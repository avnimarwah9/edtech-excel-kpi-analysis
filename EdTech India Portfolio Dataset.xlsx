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 - DO NOT EDIT" sheetId="1" state="visible" r:id="rId3"/>
    <sheet name="Working Data" sheetId="2" state="visible" r:id="rId4"/>
    <sheet name="Lookup Tables" sheetId="3" state="visible" r:id="rId5"/>
    <sheet name="KPI Summary" sheetId="4" state="visible" r:id="rId6"/>
    <sheet name="Project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<sst xmlns="http://schemas.openxmlformats.org/spreadsheetml/2006/main" count="75464" uniqueCount="3441">
  <si>
    <t xml:space="preserve">Enrollment_ID</t>
  </si>
  <si>
    <t xml:space="preserve">Enrollment_Date</t>
  </si>
  <si>
    <t xml:space="preserve">Company</t>
  </si>
  <si>
    <t xml:space="preserve">Course_Category</t>
  </si>
  <si>
    <t xml:space="preserve">Course_Name</t>
  </si>
  <si>
    <t xml:space="preserve">City</t>
  </si>
  <si>
    <t xml:space="preserve">State</t>
  </si>
  <si>
    <t xml:space="preserve">City_Tier</t>
  </si>
  <si>
    <t xml:space="preserve">Gender</t>
  </si>
  <si>
    <t xml:space="preserve">Age_Group</t>
  </si>
  <si>
    <t xml:space="preserve">Referral_Source</t>
  </si>
  <si>
    <t xml:space="preserve">Payment_Mode</t>
  </si>
  <si>
    <t xml:space="preserve">Device_Type</t>
  </si>
  <si>
    <t xml:space="preserve">Original_Price_INR</t>
  </si>
  <si>
    <t xml:space="preserve">Discount_%</t>
  </si>
  <si>
    <t xml:space="preserve">Discount_Amount_INR</t>
  </si>
  <si>
    <t xml:space="preserve">Final_Price_INR</t>
  </si>
  <si>
    <t xml:space="preserve">GST_Amount_INR</t>
  </si>
  <si>
    <t xml:space="preserve">Net_Revenue_INR</t>
  </si>
  <si>
    <t xml:space="preserve">Platform_Cost_INR</t>
  </si>
  <si>
    <t xml:space="preserve">Gross_Profit_INR</t>
  </si>
  <si>
    <t xml:space="preserve">Gross_Margin_%</t>
  </si>
  <si>
    <t xml:space="preserve">Course_Completed</t>
  </si>
  <si>
    <t xml:space="preserve">Student_Rating</t>
  </si>
  <si>
    <t xml:space="preserve">Refund_Issued</t>
  </si>
  <si>
    <t xml:space="preserve">Support_Tickets_Raised</t>
  </si>
  <si>
    <t xml:space="preserve">EDU00524</t>
  </si>
  <si>
    <t xml:space="preserve">08-11-2023</t>
  </si>
  <si>
    <t xml:space="preserve">Embibe</t>
  </si>
  <si>
    <t xml:space="preserve">Coding &amp; Tech</t>
  </si>
  <si>
    <t xml:space="preserve">Python for Beginners</t>
  </si>
  <si>
    <t xml:space="preserve">Jodhpur</t>
  </si>
  <si>
    <t xml:space="preserve">Rajasthan</t>
  </si>
  <si>
    <t xml:space="preserve">Tier 3</t>
  </si>
  <si>
    <t xml:space="preserve">Male</t>
  </si>
  <si>
    <t xml:space="preserve">25-34</t>
  </si>
  <si>
    <t xml:space="preserve">Google Ads</t>
  </si>
  <si>
    <t xml:space="preserve">Debit Card</t>
  </si>
  <si>
    <t xml:space="preserve">Desktop</t>
  </si>
  <si>
    <t xml:space="preserve">Yes</t>
  </si>
  <si>
    <t xml:space="preserve">No</t>
  </si>
  <si>
    <t xml:space="preserve">EDU00061</t>
  </si>
  <si>
    <t xml:space="preserve">05-12-2023</t>
  </si>
  <si>
    <t xml:space="preserve">Meritnation</t>
  </si>
  <si>
    <t xml:space="preserve">Test Preparation</t>
  </si>
  <si>
    <t xml:space="preserve">GRE Verbal+Quant</t>
  </si>
  <si>
    <t xml:space="preserve">Mangaluru</t>
  </si>
  <si>
    <t xml:space="preserve">Karnataka</t>
  </si>
  <si>
    <t xml:space="preserve">Instagram</t>
  </si>
  <si>
    <t xml:space="preserve">Wallet</t>
  </si>
  <si>
    <t xml:space="preserve">Tablet</t>
  </si>
  <si>
    <t xml:space="preserve">EDU00457</t>
  </si>
  <si>
    <t xml:space="preserve">15-12-2024</t>
  </si>
  <si>
    <t xml:space="preserve">Higher Education</t>
  </si>
  <si>
    <t xml:space="preserve">MBA Finance Prep</t>
  </si>
  <si>
    <t xml:space="preserve">Ghaziabad</t>
  </si>
  <si>
    <t xml:space="preserve">Delhi NCR</t>
  </si>
  <si>
    <t xml:space="preserve">Tier 2</t>
  </si>
  <si>
    <t xml:space="preserve">Other</t>
  </si>
  <si>
    <t xml:space="preserve">18-24</t>
  </si>
  <si>
    <t xml:space="preserve">Word of Mouth</t>
  </si>
  <si>
    <t xml:space="preserve">Credit Card</t>
  </si>
  <si>
    <t xml:space="preserve">Mobile</t>
  </si>
  <si>
    <t xml:space="preserve">EDU01052</t>
  </si>
  <si>
    <t xml:space="preserve">29-08-2024</t>
  </si>
  <si>
    <t xml:space="preserve">Toppr</t>
  </si>
  <si>
    <t xml:space="preserve">SAT Complete Prep</t>
  </si>
  <si>
    <t xml:space="preserve">Ahmedabad</t>
  </si>
  <si>
    <t xml:space="preserve">Gujarat</t>
  </si>
  <si>
    <t xml:space="preserve">Tier 1</t>
  </si>
  <si>
    <t xml:space="preserve">13-17</t>
  </si>
  <si>
    <t xml:space="preserve">YouTube</t>
  </si>
  <si>
    <t xml:space="preserve">EDU00891</t>
  </si>
  <si>
    <t xml:space="preserve">09-02-2023</t>
  </si>
  <si>
    <t xml:space="preserve">Vedantu</t>
  </si>
  <si>
    <t xml:space="preserve">Kolkata</t>
  </si>
  <si>
    <t xml:space="preserve">West Bengal</t>
  </si>
  <si>
    <t xml:space="preserve">35-44</t>
  </si>
  <si>
    <t xml:space="preserve">EDU01966</t>
  </si>
  <si>
    <t xml:space="preserve">12-01-2023</t>
  </si>
  <si>
    <t xml:space="preserve">Professional Upskilling</t>
  </si>
  <si>
    <t xml:space="preserve">Digital Marketing Pro</t>
  </si>
  <si>
    <t xml:space="preserve">Gurugram</t>
  </si>
  <si>
    <t xml:space="preserve">Female</t>
  </si>
  <si>
    <t xml:space="preserve">WhatsApp</t>
  </si>
  <si>
    <t xml:space="preserve">EMI</t>
  </si>
  <si>
    <t xml:space="preserve">EDU00027</t>
  </si>
  <si>
    <t xml:space="preserve">03-11-2023</t>
  </si>
  <si>
    <t xml:space="preserve">BYJU'S</t>
  </si>
  <si>
    <t xml:space="preserve">Vadodara</t>
  </si>
  <si>
    <t xml:space="preserve">School/College Partnership</t>
  </si>
  <si>
    <t xml:space="preserve">EDU00427</t>
  </si>
  <si>
    <t xml:space="preserve">18-01-2024</t>
  </si>
  <si>
    <t xml:space="preserve">upGrad</t>
  </si>
  <si>
    <t xml:space="preserve">Creative Arts</t>
  </si>
  <si>
    <t xml:space="preserve">Video Editing Basics</t>
  </si>
  <si>
    <t xml:space="preserve">Pune</t>
  </si>
  <si>
    <t xml:space="preserve">Maharashtra</t>
  </si>
  <si>
    <t xml:space="preserve">EDU01634</t>
  </si>
  <si>
    <t xml:space="preserve">16-01-2023</t>
  </si>
  <si>
    <t xml:space="preserve">Physics Wallah</t>
  </si>
  <si>
    <t xml:space="preserve">UI/UX Design</t>
  </si>
  <si>
    <t xml:space="preserve">Warangal</t>
  </si>
  <si>
    <t xml:space="preserve">Telangana</t>
  </si>
  <si>
    <t xml:space="preserve">Direct/Organic</t>
  </si>
  <si>
    <t xml:space="preserve">EDU00833</t>
  </si>
  <si>
    <t xml:space="preserve">03-11-2024</t>
  </si>
  <si>
    <t xml:space="preserve">Madurai</t>
  </si>
  <si>
    <t xml:space="preserve">Tamil Nadu</t>
  </si>
  <si>
    <t xml:space="preserve">EDU02161</t>
  </si>
  <si>
    <t xml:space="preserve">15-11-2023</t>
  </si>
  <si>
    <t xml:space="preserve">NOIDA</t>
  </si>
  <si>
    <t xml:space="preserve">Email Campaign</t>
  </si>
  <si>
    <t xml:space="preserve">UPI</t>
  </si>
  <si>
    <t xml:space="preserve">EDU01493</t>
  </si>
  <si>
    <t xml:space="preserve">19-02-2024</t>
  </si>
  <si>
    <t xml:space="preserve">B.Tech CSE Support</t>
  </si>
  <si>
    <t xml:space="preserve">EDU02280</t>
  </si>
  <si>
    <t xml:space="preserve">14-10-2023</t>
  </si>
  <si>
    <t xml:space="preserve">Simplilearn</t>
  </si>
  <si>
    <t xml:space="preserve">Mysuru</t>
  </si>
  <si>
    <t xml:space="preserve">EDU00700</t>
  </si>
  <si>
    <t xml:space="preserve">02-11-2023</t>
  </si>
  <si>
    <t xml:space="preserve">Language Learning</t>
  </si>
  <si>
    <t xml:space="preserve">English Communication</t>
  </si>
  <si>
    <t xml:space="preserve">Chennai</t>
  </si>
  <si>
    <t xml:space="preserve">EDU02121</t>
  </si>
  <si>
    <t xml:space="preserve">21-12-2024</t>
  </si>
  <si>
    <t xml:space="preserve">Great Learning</t>
  </si>
  <si>
    <t xml:space="preserve">Full Stack Development</t>
  </si>
  <si>
    <t xml:space="preserve">Bengaluru</t>
  </si>
  <si>
    <t xml:space="preserve">45+</t>
  </si>
  <si>
    <t xml:space="preserve">EDU00341</t>
  </si>
  <si>
    <t xml:space="preserve">10-11-2024</t>
  </si>
  <si>
    <t xml:space="preserve">Doubtnut</t>
  </si>
  <si>
    <t xml:space="preserve">Graphic Design Pro</t>
  </si>
  <si>
    <t xml:space="preserve">Net Banking</t>
  </si>
  <si>
    <t xml:space="preserve">EDU02148</t>
  </si>
  <si>
    <t xml:space="preserve">20-11-2023</t>
  </si>
  <si>
    <t xml:space="preserve">Extramarks</t>
  </si>
  <si>
    <t xml:space="preserve">Nashik</t>
  </si>
  <si>
    <t xml:space="preserve">EDU00152</t>
  </si>
  <si>
    <t xml:space="preserve">24-11-2023</t>
  </si>
  <si>
    <t xml:space="preserve">Competitive Exams</t>
  </si>
  <si>
    <t xml:space="preserve">GATE CS Complete</t>
  </si>
  <si>
    <t xml:space="preserve">EDU01163</t>
  </si>
  <si>
    <t xml:space="preserve">15-06-2024</t>
  </si>
  <si>
    <t xml:space="preserve">Business English</t>
  </si>
  <si>
    <t xml:space="preserve">EDU02226</t>
  </si>
  <si>
    <t xml:space="preserve">19-05-2023</t>
  </si>
  <si>
    <t xml:space="preserve">Jaipur</t>
  </si>
  <si>
    <t xml:space="preserve">EDU02334</t>
  </si>
  <si>
    <t xml:space="preserve">25-07-2024</t>
  </si>
  <si>
    <t xml:space="preserve">Howrah</t>
  </si>
  <si>
    <t xml:space="preserve">EDU00808</t>
  </si>
  <si>
    <t xml:space="preserve">09-10-2023</t>
  </si>
  <si>
    <t xml:space="preserve">Surat</t>
  </si>
  <si>
    <t xml:space="preserve">EDU01261</t>
  </si>
  <si>
    <t xml:space="preserve">14-01-2024</t>
  </si>
  <si>
    <t xml:space="preserve">IIT-JEE Advanced Prep</t>
  </si>
  <si>
    <t xml:space="preserve">EDU01083</t>
  </si>
  <si>
    <t xml:space="preserve">17-06-2023</t>
  </si>
  <si>
    <t xml:space="preserve">CAT Prep Masterclass</t>
  </si>
  <si>
    <t xml:space="preserve">EDU00326</t>
  </si>
  <si>
    <t xml:space="preserve">05-01-2023</t>
  </si>
  <si>
    <t xml:space="preserve">EDU00465</t>
  </si>
  <si>
    <t xml:space="preserve">27-05-2024</t>
  </si>
  <si>
    <t xml:space="preserve">Scaler</t>
  </si>
  <si>
    <t xml:space="preserve">K-12 Academics</t>
  </si>
  <si>
    <t xml:space="preserve">Class 8-10 Science Pack</t>
  </si>
  <si>
    <t xml:space="preserve">EDU00745</t>
  </si>
  <si>
    <t xml:space="preserve">12-05-2023</t>
  </si>
  <si>
    <t xml:space="preserve">Foundation Course</t>
  </si>
  <si>
    <t xml:space="preserve">EDU02388</t>
  </si>
  <si>
    <t xml:space="preserve">27-06-2023</t>
  </si>
  <si>
    <t xml:space="preserve">Data Analytics Bootcamp</t>
  </si>
  <si>
    <t xml:space="preserve">EDU01927</t>
  </si>
  <si>
    <t xml:space="preserve">17-07-2024</t>
  </si>
  <si>
    <t xml:space="preserve">Leverage Edu</t>
  </si>
  <si>
    <t xml:space="preserve">EDU00661</t>
  </si>
  <si>
    <t xml:space="preserve">10-04-2024</t>
  </si>
  <si>
    <t xml:space="preserve">Great Learning  </t>
  </si>
  <si>
    <t xml:space="preserve">Data Science Masters</t>
  </si>
  <si>
    <t xml:space="preserve">EDU01751</t>
  </si>
  <si>
    <t xml:space="preserve">Faridabad</t>
  </si>
  <si>
    <t xml:space="preserve">EDU00116</t>
  </si>
  <si>
    <t xml:space="preserve">16-03-2024</t>
  </si>
  <si>
    <t xml:space="preserve">Mumbai</t>
  </si>
  <si>
    <t xml:space="preserve">EDU01438</t>
  </si>
  <si>
    <t xml:space="preserve">02-06-2023</t>
  </si>
  <si>
    <t xml:space="preserve">Financial Modelling</t>
  </si>
  <si>
    <t xml:space="preserve">EDU02469</t>
  </si>
  <si>
    <t xml:space="preserve">12-10-2023</t>
  </si>
  <si>
    <t xml:space="preserve">HR Management</t>
  </si>
  <si>
    <t xml:space="preserve">Hyderabad</t>
  </si>
  <si>
    <t xml:space="preserve">EDU01030</t>
  </si>
  <si>
    <t xml:space="preserve">11-03-2024</t>
  </si>
  <si>
    <t xml:space="preserve">Class 11-12 PCB</t>
  </si>
  <si>
    <t xml:space="preserve">EDU00451</t>
  </si>
  <si>
    <t xml:space="preserve">20-07-2024</t>
  </si>
  <si>
    <t xml:space="preserve">EDU01690</t>
  </si>
  <si>
    <t xml:space="preserve">21-08-2024</t>
  </si>
  <si>
    <t xml:space="preserve">EDU00493</t>
  </si>
  <si>
    <t xml:space="preserve">28-11-2023</t>
  </si>
  <si>
    <t xml:space="preserve">BYJU'S  </t>
  </si>
  <si>
    <t xml:space="preserve">New Delhi</t>
  </si>
  <si>
    <t xml:space="preserve">EDU01138</t>
  </si>
  <si>
    <t xml:space="preserve">08-12-2023</t>
  </si>
  <si>
    <t xml:space="preserve">EDU01309</t>
  </si>
  <si>
    <t xml:space="preserve">08-03-2024</t>
  </si>
  <si>
    <t xml:space="preserve">UPSC GS Foundation</t>
  </si>
  <si>
    <t xml:space="preserve">Noida</t>
  </si>
  <si>
    <t xml:space="preserve">EDU02068</t>
  </si>
  <si>
    <t xml:space="preserve">01-01-2024</t>
  </si>
  <si>
    <t xml:space="preserve">EDU02259</t>
  </si>
  <si>
    <t xml:space="preserve">16-08-2023</t>
  </si>
  <si>
    <t xml:space="preserve">BBA Business Basics</t>
  </si>
  <si>
    <t xml:space="preserve">EDU01792</t>
  </si>
  <si>
    <t xml:space="preserve">13-05-2023</t>
  </si>
  <si>
    <t xml:space="preserve">EDU00545</t>
  </si>
  <si>
    <t xml:space="preserve">31-10-2024</t>
  </si>
  <si>
    <t xml:space="preserve">GMAT Focus Edition</t>
  </si>
  <si>
    <t xml:space="preserve">EDU00396</t>
  </si>
  <si>
    <t xml:space="preserve">06-11-2024</t>
  </si>
  <si>
    <t xml:space="preserve">EDU00640</t>
  </si>
  <si>
    <t xml:space="preserve">21-05-2024</t>
  </si>
  <si>
    <t xml:space="preserve">EDU01671</t>
  </si>
  <si>
    <t xml:space="preserve">12-08-2023</t>
  </si>
  <si>
    <t xml:space="preserve">EDU01426</t>
  </si>
  <si>
    <t xml:space="preserve">26-06-2023</t>
  </si>
  <si>
    <t xml:space="preserve">EDU02418</t>
  </si>
  <si>
    <t xml:space="preserve">EDU02069</t>
  </si>
  <si>
    <t xml:space="preserve">11-09-2024</t>
  </si>
  <si>
    <t xml:space="preserve">IELTS Preparation</t>
  </si>
  <si>
    <t xml:space="preserve">EDU02322</t>
  </si>
  <si>
    <t xml:space="preserve">16-09-2023</t>
  </si>
  <si>
    <t xml:space="preserve">EDU01252</t>
  </si>
  <si>
    <t xml:space="preserve">01-04-2024</t>
  </si>
  <si>
    <t xml:space="preserve">EDU00064</t>
  </si>
  <si>
    <t xml:space="preserve">15-10-2024</t>
  </si>
  <si>
    <t xml:space="preserve">EDU01716</t>
  </si>
  <si>
    <t xml:space="preserve">05-11-2023</t>
  </si>
  <si>
    <t xml:space="preserve">Leverage Edu  </t>
  </si>
  <si>
    <t xml:space="preserve">NEET Complete Course</t>
  </si>
  <si>
    <t xml:space="preserve">Nagpur</t>
  </si>
  <si>
    <t xml:space="preserve">EDU00859</t>
  </si>
  <si>
    <t xml:space="preserve">09-07-2024</t>
  </si>
  <si>
    <t xml:space="preserve">EDU00948</t>
  </si>
  <si>
    <t xml:space="preserve">11-07-2024</t>
  </si>
  <si>
    <t xml:space="preserve">WhiteHat Jr</t>
  </si>
  <si>
    <t xml:space="preserve">EDU02145</t>
  </si>
  <si>
    <t xml:space="preserve">03-04-2023</t>
  </si>
  <si>
    <t xml:space="preserve">EDU00357</t>
  </si>
  <si>
    <t xml:space="preserve">15-09-2023</t>
  </si>
  <si>
    <t xml:space="preserve">EDU00271</t>
  </si>
  <si>
    <t xml:space="preserve">04-11-2024</t>
  </si>
  <si>
    <t xml:space="preserve">EDU02112</t>
  </si>
  <si>
    <t xml:space="preserve">23-06-2023</t>
  </si>
  <si>
    <t xml:space="preserve">EDU01938</t>
  </si>
  <si>
    <t xml:space="preserve">07-12-2024</t>
  </si>
  <si>
    <t xml:space="preserve">EDU00807</t>
  </si>
  <si>
    <t xml:space="preserve">11-02-2024</t>
  </si>
  <si>
    <t xml:space="preserve">EDU00504</t>
  </si>
  <si>
    <t xml:space="preserve">07-07-2024</t>
  </si>
  <si>
    <t xml:space="preserve">Unacademy</t>
  </si>
  <si>
    <t xml:space="preserve">EDU00122</t>
  </si>
  <si>
    <t xml:space="preserve">25-04-2024</t>
  </si>
  <si>
    <t xml:space="preserve">EDU00197</t>
  </si>
  <si>
    <t xml:space="preserve">15-08-2023</t>
  </si>
  <si>
    <t xml:space="preserve">Coimbatore</t>
  </si>
  <si>
    <t xml:space="preserve">EDU01654</t>
  </si>
  <si>
    <t xml:space="preserve">EDU01140</t>
  </si>
  <si>
    <t xml:space="preserve">EDU01344</t>
  </si>
  <si>
    <t xml:space="preserve">18-04-2024</t>
  </si>
  <si>
    <t xml:space="preserve">EDU00588</t>
  </si>
  <si>
    <t xml:space="preserve">12-08-2024</t>
  </si>
  <si>
    <t xml:space="preserve">EDU00733</t>
  </si>
  <si>
    <t xml:space="preserve">14-05-2023</t>
  </si>
  <si>
    <t xml:space="preserve">EDU01607</t>
  </si>
  <si>
    <t xml:space="preserve">20-07-2023</t>
  </si>
  <si>
    <t xml:space="preserve">EDU01390</t>
  </si>
  <si>
    <t xml:space="preserve">26-10-2024</t>
  </si>
  <si>
    <t xml:space="preserve">EDU01076</t>
  </si>
  <si>
    <t xml:space="preserve">EDU01766</t>
  </si>
  <si>
    <t xml:space="preserve">19-10-2024</t>
  </si>
  <si>
    <t xml:space="preserve">MANGALURU</t>
  </si>
  <si>
    <t xml:space="preserve">EDU00242</t>
  </si>
  <si>
    <t xml:space="preserve">EDU00279</t>
  </si>
  <si>
    <t xml:space="preserve">08-03-2023</t>
  </si>
  <si>
    <t xml:space="preserve">EDU01932</t>
  </si>
  <si>
    <t xml:space="preserve">04-01-2023</t>
  </si>
  <si>
    <t xml:space="preserve">EDU02287</t>
  </si>
  <si>
    <t xml:space="preserve">26-10-2023</t>
  </si>
  <si>
    <t xml:space="preserve">EDU02382</t>
  </si>
  <si>
    <t xml:space="preserve">25-09-2024</t>
  </si>
  <si>
    <t xml:space="preserve">EDU02054</t>
  </si>
  <si>
    <t xml:space="preserve">08-06-2023</t>
  </si>
  <si>
    <t xml:space="preserve">EDU01839</t>
  </si>
  <si>
    <t xml:space="preserve">29-03-2024</t>
  </si>
  <si>
    <t xml:space="preserve">EDU00218</t>
  </si>
  <si>
    <t xml:space="preserve">29-12-2024</t>
  </si>
  <si>
    <t xml:space="preserve">EDU01537</t>
  </si>
  <si>
    <t xml:space="preserve">29-01-2023</t>
  </si>
  <si>
    <t xml:space="preserve">EDU01443</t>
  </si>
  <si>
    <t xml:space="preserve">30-10-2023</t>
  </si>
  <si>
    <t xml:space="preserve">AI/ML Fundamentals</t>
  </si>
  <si>
    <t xml:space="preserve">EDU01941</t>
  </si>
  <si>
    <t xml:space="preserve">23-10-2023</t>
  </si>
  <si>
    <t xml:space="preserve">EDU01498</t>
  </si>
  <si>
    <t xml:space="preserve">25-10-2024</t>
  </si>
  <si>
    <t xml:space="preserve">EDU00464</t>
  </si>
  <si>
    <t xml:space="preserve">27-10-2023</t>
  </si>
  <si>
    <t xml:space="preserve">EDU01693</t>
  </si>
  <si>
    <t xml:space="preserve">13-05-2024</t>
  </si>
  <si>
    <t xml:space="preserve">EDU00187</t>
  </si>
  <si>
    <t xml:space="preserve">06-06-2023</t>
  </si>
  <si>
    <t xml:space="preserve">EDU00749</t>
  </si>
  <si>
    <t xml:space="preserve">EDU00537</t>
  </si>
  <si>
    <t xml:space="preserve">07-02-2024</t>
  </si>
  <si>
    <t xml:space="preserve">EDU01959</t>
  </si>
  <si>
    <t xml:space="preserve">12-06-2023</t>
  </si>
  <si>
    <t xml:space="preserve">EDU02071</t>
  </si>
  <si>
    <t xml:space="preserve">21-02-2023</t>
  </si>
  <si>
    <t xml:space="preserve">BENGALURU</t>
  </si>
  <si>
    <t xml:space="preserve">EDU01776</t>
  </si>
  <si>
    <t xml:space="preserve">26-05-2023</t>
  </si>
  <si>
    <t xml:space="preserve">EDU00978</t>
  </si>
  <si>
    <t xml:space="preserve">07-09-2024</t>
  </si>
  <si>
    <t xml:space="preserve">Class 11-12 PCM</t>
  </si>
  <si>
    <t xml:space="preserve">EDU00515</t>
  </si>
  <si>
    <t xml:space="preserve">18-02-2024</t>
  </si>
  <si>
    <t xml:space="preserve">EDU02158</t>
  </si>
  <si>
    <t xml:space="preserve">14-01-2023</t>
  </si>
  <si>
    <t xml:space="preserve">EDU00171</t>
  </si>
  <si>
    <t xml:space="preserve">20-08-2024</t>
  </si>
  <si>
    <t xml:space="preserve">HYDERABAD</t>
  </si>
  <si>
    <t xml:space="preserve">EDU00984</t>
  </si>
  <si>
    <t xml:space="preserve">EDU02433</t>
  </si>
  <si>
    <t xml:space="preserve">17-01-2023</t>
  </si>
  <si>
    <t xml:space="preserve">EDU02480</t>
  </si>
  <si>
    <t xml:space="preserve">23-02-2023</t>
  </si>
  <si>
    <t xml:space="preserve">EDU00513</t>
  </si>
  <si>
    <t xml:space="preserve">13-10-2024</t>
  </si>
  <si>
    <t xml:space="preserve">EDU00616</t>
  </si>
  <si>
    <t xml:space="preserve">08-12-2024</t>
  </si>
  <si>
    <t xml:space="preserve">EDU02090</t>
  </si>
  <si>
    <t xml:space="preserve">07-10-2024</t>
  </si>
  <si>
    <t xml:space="preserve">EDU00597</t>
  </si>
  <si>
    <t xml:space="preserve">24-08-2024</t>
  </si>
  <si>
    <t xml:space="preserve">EDU00472</t>
  </si>
  <si>
    <t xml:space="preserve">19-09-2024</t>
  </si>
  <si>
    <t xml:space="preserve">EDU00750</t>
  </si>
  <si>
    <t xml:space="preserve">03-07-2024</t>
  </si>
  <si>
    <t xml:space="preserve">EDU01211</t>
  </si>
  <si>
    <t xml:space="preserve">22-05-2024</t>
  </si>
  <si>
    <t xml:space="preserve">EDU01602</t>
  </si>
  <si>
    <t xml:space="preserve">06-09-2023</t>
  </si>
  <si>
    <t xml:space="preserve">EDU02210</t>
  </si>
  <si>
    <t xml:space="preserve">02-11-2024</t>
  </si>
  <si>
    <t xml:space="preserve">EDU00659</t>
  </si>
  <si>
    <t xml:space="preserve">16-02-2023</t>
  </si>
  <si>
    <t xml:space="preserve">EDU01779</t>
  </si>
  <si>
    <t xml:space="preserve">17-08-2024</t>
  </si>
  <si>
    <t xml:space="preserve">EDU01929</t>
  </si>
  <si>
    <t xml:space="preserve">18-04-2023</t>
  </si>
  <si>
    <t xml:space="preserve">EDU01627</t>
  </si>
  <si>
    <t xml:space="preserve">06-04-2023</t>
  </si>
  <si>
    <t xml:space="preserve">EDU00201</t>
  </si>
  <si>
    <t xml:space="preserve">EDU00220</t>
  </si>
  <si>
    <t xml:space="preserve">03-09-2024</t>
  </si>
  <si>
    <t xml:space="preserve">EDU01154</t>
  </si>
  <si>
    <t xml:space="preserve">30-01-2023</t>
  </si>
  <si>
    <t xml:space="preserve">EDU00001</t>
  </si>
  <si>
    <t xml:space="preserve">16-10-2024</t>
  </si>
  <si>
    <t xml:space="preserve">EDU00038</t>
  </si>
  <si>
    <t xml:space="preserve">EDU00621</t>
  </si>
  <si>
    <t xml:space="preserve">23-04-2024</t>
  </si>
  <si>
    <t xml:space="preserve">EDU01375</t>
  </si>
  <si>
    <t xml:space="preserve">08-10-2024</t>
  </si>
  <si>
    <t xml:space="preserve">EDU02315</t>
  </si>
  <si>
    <t xml:space="preserve">11-02-2023</t>
  </si>
  <si>
    <t xml:space="preserve">EDU00254</t>
  </si>
  <si>
    <t xml:space="preserve">27-01-2024</t>
  </si>
  <si>
    <t xml:space="preserve">GHAZIABAD</t>
  </si>
  <si>
    <t xml:space="preserve">EDU01491</t>
  </si>
  <si>
    <t xml:space="preserve">01-07-2023</t>
  </si>
  <si>
    <t xml:space="preserve">EDU00401</t>
  </si>
  <si>
    <t xml:space="preserve">28-12-2023</t>
  </si>
  <si>
    <t xml:space="preserve">EDU02490</t>
  </si>
  <si>
    <t xml:space="preserve">01-02-2023</t>
  </si>
  <si>
    <t xml:space="preserve">EDU01694</t>
  </si>
  <si>
    <t xml:space="preserve">28-08-2023</t>
  </si>
  <si>
    <t xml:space="preserve">EDU02360</t>
  </si>
  <si>
    <t xml:space="preserve">10-12-2023</t>
  </si>
  <si>
    <t xml:space="preserve">EDU01141</t>
  </si>
  <si>
    <t xml:space="preserve">16-09-2024</t>
  </si>
  <si>
    <t xml:space="preserve">EDU00342</t>
  </si>
  <si>
    <t xml:space="preserve">18-03-2023</t>
  </si>
  <si>
    <t xml:space="preserve">EDU00195</t>
  </si>
  <si>
    <t xml:space="preserve">31-08-2024</t>
  </si>
  <si>
    <t xml:space="preserve">EDU02111</t>
  </si>
  <si>
    <t xml:space="preserve">04-05-2024</t>
  </si>
  <si>
    <t xml:space="preserve">EDU00095</t>
  </si>
  <si>
    <t xml:space="preserve">EDU01458</t>
  </si>
  <si>
    <t xml:space="preserve">13-12-2024</t>
  </si>
  <si>
    <t xml:space="preserve">EDU01544</t>
  </si>
  <si>
    <t xml:space="preserve">29-04-2023</t>
  </si>
  <si>
    <t xml:space="preserve">EDU01188</t>
  </si>
  <si>
    <t xml:space="preserve">EDU01423</t>
  </si>
  <si>
    <t xml:space="preserve">EDU00604</t>
  </si>
  <si>
    <t xml:space="preserve">15-02-2024</t>
  </si>
  <si>
    <t xml:space="preserve">EDU01029</t>
  </si>
  <si>
    <t xml:space="preserve">EDU01037</t>
  </si>
  <si>
    <t xml:space="preserve">24-01-2023</t>
  </si>
  <si>
    <t xml:space="preserve">EDU02150</t>
  </si>
  <si>
    <t xml:space="preserve">04-08-2023</t>
  </si>
  <si>
    <t xml:space="preserve">EDU01727</t>
  </si>
  <si>
    <t xml:space="preserve">05-05-2024</t>
  </si>
  <si>
    <t xml:space="preserve">EDU01333</t>
  </si>
  <si>
    <t xml:space="preserve">30-07-2023</t>
  </si>
  <si>
    <t xml:space="preserve">EDU02455</t>
  </si>
  <si>
    <t xml:space="preserve">02-04-2024</t>
  </si>
  <si>
    <t xml:space="preserve">EDU02459</t>
  </si>
  <si>
    <t xml:space="preserve">30-12-2023</t>
  </si>
  <si>
    <t xml:space="preserve">EDU00994</t>
  </si>
  <si>
    <t xml:space="preserve">28-02-2023</t>
  </si>
  <si>
    <t xml:space="preserve">EDU01519</t>
  </si>
  <si>
    <t xml:space="preserve">EDU01764</t>
  </si>
  <si>
    <t xml:space="preserve">24-08-2023</t>
  </si>
  <si>
    <t xml:space="preserve">EDU01451</t>
  </si>
  <si>
    <t xml:space="preserve">27-11-2023</t>
  </si>
  <si>
    <t xml:space="preserve">EDU02333</t>
  </si>
  <si>
    <t xml:space="preserve">06-08-2023</t>
  </si>
  <si>
    <t xml:space="preserve">EDU00563</t>
  </si>
  <si>
    <t xml:space="preserve">EDU02254</t>
  </si>
  <si>
    <t xml:space="preserve">12-02-2024</t>
  </si>
  <si>
    <t xml:space="preserve">Toppr  </t>
  </si>
  <si>
    <t xml:space="preserve">EDU01650</t>
  </si>
  <si>
    <t xml:space="preserve">15-05-2023</t>
  </si>
  <si>
    <t xml:space="preserve">EDU01065</t>
  </si>
  <si>
    <t xml:space="preserve">EDU00003</t>
  </si>
  <si>
    <t xml:space="preserve">26-08-2024</t>
  </si>
  <si>
    <t xml:space="preserve">Embibe  </t>
  </si>
  <si>
    <t xml:space="preserve">EDU01409</t>
  </si>
  <si>
    <t xml:space="preserve">21-10-2024</t>
  </si>
  <si>
    <t xml:space="preserve">EDU01417</t>
  </si>
  <si>
    <t xml:space="preserve">EDU02311</t>
  </si>
  <si>
    <t xml:space="preserve">EDU00180</t>
  </si>
  <si>
    <t xml:space="preserve">23-10-2024</t>
  </si>
  <si>
    <t xml:space="preserve">EDU01954</t>
  </si>
  <si>
    <t xml:space="preserve">15-07-2024</t>
  </si>
  <si>
    <t xml:space="preserve">EDU00035</t>
  </si>
  <si>
    <t xml:space="preserve">02-07-2023</t>
  </si>
  <si>
    <t xml:space="preserve">EDU01421</t>
  </si>
  <si>
    <t xml:space="preserve">10-04-2023</t>
  </si>
  <si>
    <t xml:space="preserve">EDU01112</t>
  </si>
  <si>
    <t xml:space="preserve">04-12-2023</t>
  </si>
  <si>
    <t xml:space="preserve">EDU00858</t>
  </si>
  <si>
    <t xml:space="preserve">22-01-2023</t>
  </si>
  <si>
    <t xml:space="preserve">EDU02410</t>
  </si>
  <si>
    <t xml:space="preserve">16-04-2023</t>
  </si>
  <si>
    <t xml:space="preserve">EDU01907</t>
  </si>
  <si>
    <t xml:space="preserve">26-02-2024</t>
  </si>
  <si>
    <t xml:space="preserve">EDU01550</t>
  </si>
  <si>
    <t xml:space="preserve">09-03-2023</t>
  </si>
  <si>
    <t xml:space="preserve">EDU01964</t>
  </si>
  <si>
    <t xml:space="preserve">28-02-2024</t>
  </si>
  <si>
    <t xml:space="preserve">EDU01003</t>
  </si>
  <si>
    <t xml:space="preserve">29-10-2024</t>
  </si>
  <si>
    <t xml:space="preserve">EDU01701</t>
  </si>
  <si>
    <t xml:space="preserve">04-09-2023</t>
  </si>
  <si>
    <t xml:space="preserve">EDU02135</t>
  </si>
  <si>
    <t xml:space="preserve">11-12-2023</t>
  </si>
  <si>
    <t xml:space="preserve">EDU02048</t>
  </si>
  <si>
    <t xml:space="preserve">CHENNAI</t>
  </si>
  <si>
    <t xml:space="preserve">EDU02440</t>
  </si>
  <si>
    <t xml:space="preserve">EDU01720</t>
  </si>
  <si>
    <t xml:space="preserve">08-01-2024</t>
  </si>
  <si>
    <t xml:space="preserve">EDU00428</t>
  </si>
  <si>
    <t xml:space="preserve">EDU02041</t>
  </si>
  <si>
    <t xml:space="preserve">EDU00207</t>
  </si>
  <si>
    <t xml:space="preserve">EDU02162</t>
  </si>
  <si>
    <t xml:space="preserve">EDU00862</t>
  </si>
  <si>
    <t xml:space="preserve">04-12-2024</t>
  </si>
  <si>
    <t xml:space="preserve">EDU02220</t>
  </si>
  <si>
    <t xml:space="preserve">14-03-2023</t>
  </si>
  <si>
    <t xml:space="preserve">EDU00540</t>
  </si>
  <si>
    <t xml:space="preserve">13-03-2023</t>
  </si>
  <si>
    <t xml:space="preserve">EDU00241</t>
  </si>
  <si>
    <t xml:space="preserve">26-04-2023</t>
  </si>
  <si>
    <t xml:space="preserve">EDU00944</t>
  </si>
  <si>
    <t xml:space="preserve">21-06-2023</t>
  </si>
  <si>
    <t xml:space="preserve">EDU02225</t>
  </si>
  <si>
    <t xml:space="preserve">EDU02384</t>
  </si>
  <si>
    <t xml:space="preserve">EDU01724</t>
  </si>
  <si>
    <t xml:space="preserve">26-09-2023</t>
  </si>
  <si>
    <t xml:space="preserve">EDU00971</t>
  </si>
  <si>
    <t xml:space="preserve">19-04-2023</t>
  </si>
  <si>
    <t xml:space="preserve">EDU02436</t>
  </si>
  <si>
    <t xml:space="preserve">29-06-2023</t>
  </si>
  <si>
    <t xml:space="preserve">EDU02190</t>
  </si>
  <si>
    <t xml:space="preserve">EDU00148</t>
  </si>
  <si>
    <t xml:space="preserve">26-11-2024</t>
  </si>
  <si>
    <t xml:space="preserve">EDU01482</t>
  </si>
  <si>
    <t xml:space="preserve">01-08-2024</t>
  </si>
  <si>
    <t xml:space="preserve">EDU00111</t>
  </si>
  <si>
    <t xml:space="preserve">07-10-2023</t>
  </si>
  <si>
    <t xml:space="preserve">EDU02020</t>
  </si>
  <si>
    <t xml:space="preserve">22-10-2024</t>
  </si>
  <si>
    <t xml:space="preserve">EDU01543</t>
  </si>
  <si>
    <t xml:space="preserve">01-03-2024</t>
  </si>
  <si>
    <t xml:space="preserve">EDU00682</t>
  </si>
  <si>
    <t xml:space="preserve">EDU00408</t>
  </si>
  <si>
    <t xml:space="preserve">09-06-2023</t>
  </si>
  <si>
    <t xml:space="preserve">EDU01316</t>
  </si>
  <si>
    <t xml:space="preserve">12-09-2024</t>
  </si>
  <si>
    <t xml:space="preserve">Meritnation  </t>
  </si>
  <si>
    <t xml:space="preserve">EDU01439</t>
  </si>
  <si>
    <t xml:space="preserve">19-07-2024</t>
  </si>
  <si>
    <t xml:space="preserve">EDU00424</t>
  </si>
  <si>
    <t xml:space="preserve">06-07-2024</t>
  </si>
  <si>
    <t xml:space="preserve">EDU00416</t>
  </si>
  <si>
    <t xml:space="preserve">09-12-2023</t>
  </si>
  <si>
    <t xml:space="preserve">EDU02236</t>
  </si>
  <si>
    <t xml:space="preserve">26-03-2023</t>
  </si>
  <si>
    <t xml:space="preserve">EDU01023</t>
  </si>
  <si>
    <t xml:space="preserve">03-10-2024</t>
  </si>
  <si>
    <t xml:space="preserve">EDU00072</t>
  </si>
  <si>
    <t xml:space="preserve">13-08-2024</t>
  </si>
  <si>
    <t xml:space="preserve">EDU01510</t>
  </si>
  <si>
    <t xml:space="preserve">25-11-2023</t>
  </si>
  <si>
    <t xml:space="preserve">EDU00665</t>
  </si>
  <si>
    <t xml:space="preserve">EDU01915</t>
  </si>
  <si>
    <t xml:space="preserve">24-02-2024</t>
  </si>
  <si>
    <t xml:space="preserve">EDU01472</t>
  </si>
  <si>
    <t xml:space="preserve">18-01-2023</t>
  </si>
  <si>
    <t xml:space="preserve">EDU02096</t>
  </si>
  <si>
    <t xml:space="preserve">09-03-2024</t>
  </si>
  <si>
    <t xml:space="preserve">EDU01019</t>
  </si>
  <si>
    <t xml:space="preserve">10-02-2023</t>
  </si>
  <si>
    <t xml:space="preserve">EDU00514</t>
  </si>
  <si>
    <t xml:space="preserve">28-11-2024</t>
  </si>
  <si>
    <t xml:space="preserve">EDU01091</t>
  </si>
  <si>
    <t xml:space="preserve">07-09-2023</t>
  </si>
  <si>
    <t xml:space="preserve">EDU00263</t>
  </si>
  <si>
    <t xml:space="preserve">21-05-2023</t>
  </si>
  <si>
    <t xml:space="preserve">EDU01542</t>
  </si>
  <si>
    <t xml:space="preserve">05-04-2023</t>
  </si>
  <si>
    <t xml:space="preserve">EDU02144</t>
  </si>
  <si>
    <t xml:space="preserve">12-04-2023</t>
  </si>
  <si>
    <t xml:space="preserve">EDU01629</t>
  </si>
  <si>
    <t xml:space="preserve">23-07-2023</t>
  </si>
  <si>
    <t xml:space="preserve">EDU01864</t>
  </si>
  <si>
    <t xml:space="preserve">05-08-2023</t>
  </si>
  <si>
    <t xml:space="preserve">EDU00375</t>
  </si>
  <si>
    <t xml:space="preserve">22-06-2023</t>
  </si>
  <si>
    <t xml:space="preserve">EDU00718</t>
  </si>
  <si>
    <t xml:space="preserve">21-04-2023</t>
  </si>
  <si>
    <t xml:space="preserve">EDU00215</t>
  </si>
  <si>
    <t xml:space="preserve">06-12-2023</t>
  </si>
  <si>
    <t xml:space="preserve">EDU02368</t>
  </si>
  <si>
    <t xml:space="preserve">28-03-2024</t>
  </si>
  <si>
    <t xml:space="preserve">EDU00728</t>
  </si>
  <si>
    <t xml:space="preserve">17-08-2023</t>
  </si>
  <si>
    <t xml:space="preserve">EDU00151</t>
  </si>
  <si>
    <t xml:space="preserve">EDU00705</t>
  </si>
  <si>
    <t xml:space="preserve">27-11-2024</t>
  </si>
  <si>
    <t xml:space="preserve">EDU02298</t>
  </si>
  <si>
    <t xml:space="preserve">11-08-2023</t>
  </si>
  <si>
    <t xml:space="preserve">EDU01445</t>
  </si>
  <si>
    <t xml:space="preserve">EDU02467</t>
  </si>
  <si>
    <t xml:space="preserve">EDU02143</t>
  </si>
  <si>
    <t xml:space="preserve">20-10-2024</t>
  </si>
  <si>
    <t xml:space="preserve">EDU02461</t>
  </si>
  <si>
    <t xml:space="preserve">02-06-2024</t>
  </si>
  <si>
    <t xml:space="preserve">EDU01192</t>
  </si>
  <si>
    <t xml:space="preserve">11-08-2024</t>
  </si>
  <si>
    <t xml:space="preserve">EDU02498</t>
  </si>
  <si>
    <t xml:space="preserve">22-09-2024</t>
  </si>
  <si>
    <t xml:space="preserve">EDU00985</t>
  </si>
  <si>
    <t xml:space="preserve">01-03-2023</t>
  </si>
  <si>
    <t xml:space="preserve">EDU00090</t>
  </si>
  <si>
    <t xml:space="preserve">EDU01583</t>
  </si>
  <si>
    <t xml:space="preserve">17-10-2024</t>
  </si>
  <si>
    <t xml:space="preserve">EDU01230</t>
  </si>
  <si>
    <t xml:space="preserve">22-02-2023</t>
  </si>
  <si>
    <t xml:space="preserve">EDU02444</t>
  </si>
  <si>
    <t xml:space="preserve">09-04-2023</t>
  </si>
  <si>
    <t xml:space="preserve">EDU00620</t>
  </si>
  <si>
    <t xml:space="preserve">09-04-2024</t>
  </si>
  <si>
    <t xml:space="preserve">EDU01357</t>
  </si>
  <si>
    <t xml:space="preserve">20-05-2024</t>
  </si>
  <si>
    <t xml:space="preserve">EDU02395</t>
  </si>
  <si>
    <t xml:space="preserve">EDU02147</t>
  </si>
  <si>
    <t xml:space="preserve">01-10-2024</t>
  </si>
  <si>
    <t xml:space="preserve">EDU00766</t>
  </si>
  <si>
    <t xml:space="preserve">05-12-2024</t>
  </si>
  <si>
    <t xml:space="preserve">EDU01574</t>
  </si>
  <si>
    <t xml:space="preserve">25-02-2024</t>
  </si>
  <si>
    <t xml:space="preserve">EDU00233</t>
  </si>
  <si>
    <t xml:space="preserve">EDU01063</t>
  </si>
  <si>
    <t xml:space="preserve">01-06-2023</t>
  </si>
  <si>
    <t xml:space="preserve">JODHPUR</t>
  </si>
  <si>
    <t xml:space="preserve">EDU01632</t>
  </si>
  <si>
    <t xml:space="preserve">FARIDABAD</t>
  </si>
  <si>
    <t xml:space="preserve">EDU01809</t>
  </si>
  <si>
    <t xml:space="preserve">20-05-2023</t>
  </si>
  <si>
    <t xml:space="preserve">EDU02237</t>
  </si>
  <si>
    <t xml:space="preserve">18-12-2024</t>
  </si>
  <si>
    <t xml:space="preserve">EDU00014</t>
  </si>
  <si>
    <t xml:space="preserve">09-05-2023</t>
  </si>
  <si>
    <t xml:space="preserve">EDU00480</t>
  </si>
  <si>
    <t xml:space="preserve">EDU01456</t>
  </si>
  <si>
    <t xml:space="preserve">EDU01506</t>
  </si>
  <si>
    <t xml:space="preserve">10-09-2023</t>
  </si>
  <si>
    <t xml:space="preserve">EDU00340</t>
  </si>
  <si>
    <t xml:space="preserve">13-01-2023</t>
  </si>
  <si>
    <t xml:space="preserve">EDU00581</t>
  </si>
  <si>
    <t xml:space="preserve">22-11-2023</t>
  </si>
  <si>
    <t xml:space="preserve">EDU01760</t>
  </si>
  <si>
    <t xml:space="preserve">26-01-2024</t>
  </si>
  <si>
    <t xml:space="preserve">EDU00675</t>
  </si>
  <si>
    <t xml:space="preserve">24-04-2023</t>
  </si>
  <si>
    <t xml:space="preserve">EDU00956</t>
  </si>
  <si>
    <t xml:space="preserve">EDU00142</t>
  </si>
  <si>
    <t xml:space="preserve">27-12-2023</t>
  </si>
  <si>
    <t xml:space="preserve">EDU00205</t>
  </si>
  <si>
    <t xml:space="preserve">EDU01935</t>
  </si>
  <si>
    <t xml:space="preserve">14-07-2024</t>
  </si>
  <si>
    <t xml:space="preserve">EDU00652</t>
  </si>
  <si>
    <t xml:space="preserve">25-12-2024</t>
  </si>
  <si>
    <t xml:space="preserve">EDU01395</t>
  </si>
  <si>
    <t xml:space="preserve">07-05-2023</t>
  </si>
  <si>
    <t xml:space="preserve">EDU01749</t>
  </si>
  <si>
    <t xml:space="preserve">22-06-2024</t>
  </si>
  <si>
    <t xml:space="preserve">EDU02269</t>
  </si>
  <si>
    <t xml:space="preserve">24-11-2024</t>
  </si>
  <si>
    <t xml:space="preserve">EDU01616</t>
  </si>
  <si>
    <t xml:space="preserve">09-11-2023</t>
  </si>
  <si>
    <t xml:space="preserve">EDU01623</t>
  </si>
  <si>
    <t xml:space="preserve">16-06-2023</t>
  </si>
  <si>
    <t xml:space="preserve">WARANGAL</t>
  </si>
  <si>
    <t xml:space="preserve">EDU01591</t>
  </si>
  <si>
    <t xml:space="preserve">03-08-2024</t>
  </si>
  <si>
    <t xml:space="preserve">EDU00834</t>
  </si>
  <si>
    <t xml:space="preserve">EDU01837</t>
  </si>
  <si>
    <t xml:space="preserve">09-12-2024</t>
  </si>
  <si>
    <t xml:space="preserve">EDU02446</t>
  </si>
  <si>
    <t xml:space="preserve">EDU01264</t>
  </si>
  <si>
    <t xml:space="preserve">26-11-2023</t>
  </si>
  <si>
    <t xml:space="preserve">EDU02087</t>
  </si>
  <si>
    <t xml:space="preserve">18-06-2023</t>
  </si>
  <si>
    <t xml:space="preserve">EDU00947</t>
  </si>
  <si>
    <t xml:space="preserve">14-08-2024</t>
  </si>
  <si>
    <t xml:space="preserve">EDU00780</t>
  </si>
  <si>
    <t xml:space="preserve">EDU00363</t>
  </si>
  <si>
    <t xml:space="preserve">EDU01894</t>
  </si>
  <si>
    <t xml:space="preserve">18-05-2024</t>
  </si>
  <si>
    <t xml:space="preserve">EDU02115</t>
  </si>
  <si>
    <t xml:space="preserve">EDU02355</t>
  </si>
  <si>
    <t xml:space="preserve">EDU00013</t>
  </si>
  <si>
    <t xml:space="preserve">25-04-2023</t>
  </si>
  <si>
    <t xml:space="preserve">EDU00856</t>
  </si>
  <si>
    <t xml:space="preserve">EDU01348</t>
  </si>
  <si>
    <t xml:space="preserve">EDU00387</t>
  </si>
  <si>
    <t xml:space="preserve">22-09-2023</t>
  </si>
  <si>
    <t xml:space="preserve">EDU00842</t>
  </si>
  <si>
    <t xml:space="preserve">06-07-2023</t>
  </si>
  <si>
    <t xml:space="preserve">EDU01773</t>
  </si>
  <si>
    <t xml:space="preserve">28-03-2023</t>
  </si>
  <si>
    <t xml:space="preserve">EDU02227</t>
  </si>
  <si>
    <t xml:space="preserve">03-05-2023</t>
  </si>
  <si>
    <t xml:space="preserve">EDU00803</t>
  </si>
  <si>
    <t xml:space="preserve">24-06-2024</t>
  </si>
  <si>
    <t xml:space="preserve">EDU00377</t>
  </si>
  <si>
    <t xml:space="preserve">27-09-2023</t>
  </si>
  <si>
    <t xml:space="preserve">EDU01210</t>
  </si>
  <si>
    <t xml:space="preserve">EDU00893</t>
  </si>
  <si>
    <t xml:space="preserve">EDU01733</t>
  </si>
  <si>
    <t xml:space="preserve">EDU01362</t>
  </si>
  <si>
    <t xml:space="preserve">02-05-2023</t>
  </si>
  <si>
    <t xml:space="preserve">EDU00118</t>
  </si>
  <si>
    <t xml:space="preserve">EDU01982</t>
  </si>
  <si>
    <t xml:space="preserve">02-10-2023</t>
  </si>
  <si>
    <t xml:space="preserve">EDU01647</t>
  </si>
  <si>
    <t xml:space="preserve">14-02-2023</t>
  </si>
  <si>
    <t xml:space="preserve">EDU00052</t>
  </si>
  <si>
    <t xml:space="preserve">21-01-2023</t>
  </si>
  <si>
    <t xml:space="preserve">EDU00717</t>
  </si>
  <si>
    <t xml:space="preserve">21-07-2023</t>
  </si>
  <si>
    <t xml:space="preserve">EDU01802</t>
  </si>
  <si>
    <t xml:space="preserve">EDU02095</t>
  </si>
  <si>
    <t xml:space="preserve">19-01-2024</t>
  </si>
  <si>
    <t xml:space="preserve">EDU01560</t>
  </si>
  <si>
    <t xml:space="preserve">11-01-2024</t>
  </si>
  <si>
    <t xml:space="preserve">EDU00518</t>
  </si>
  <si>
    <t xml:space="preserve">NEW DELHI</t>
  </si>
  <si>
    <t xml:space="preserve">EDU01369</t>
  </si>
  <si>
    <t xml:space="preserve">17-04-2024</t>
  </si>
  <si>
    <t xml:space="preserve">EDU02339</t>
  </si>
  <si>
    <t xml:space="preserve">EDU01337</t>
  </si>
  <si>
    <t xml:space="preserve">23-03-2024</t>
  </si>
  <si>
    <t xml:space="preserve">EDU01795</t>
  </si>
  <si>
    <t xml:space="preserve">23-06-2024</t>
  </si>
  <si>
    <t xml:space="preserve">EDU01579</t>
  </si>
  <si>
    <t xml:space="preserve">EDU00591</t>
  </si>
  <si>
    <t xml:space="preserve">EDU00191</t>
  </si>
  <si>
    <t xml:space="preserve">19-12-2023</t>
  </si>
  <si>
    <t xml:space="preserve">EDU01819</t>
  </si>
  <si>
    <t xml:space="preserve">EDU01349</t>
  </si>
  <si>
    <t xml:space="preserve">22-04-2024</t>
  </si>
  <si>
    <t xml:space="preserve">EDU00433</t>
  </si>
  <si>
    <t xml:space="preserve">30-01-2024</t>
  </si>
  <si>
    <t xml:space="preserve">EDU01609</t>
  </si>
  <si>
    <t xml:space="preserve">21-12-2023</t>
  </si>
  <si>
    <t xml:space="preserve">EDU00329</t>
  </si>
  <si>
    <t xml:space="preserve">EDU00547</t>
  </si>
  <si>
    <t xml:space="preserve">17-09-2024</t>
  </si>
  <si>
    <t xml:space="preserve">EDU02393</t>
  </si>
  <si>
    <t xml:space="preserve">06-01-2024</t>
  </si>
  <si>
    <t xml:space="preserve">EDU01097</t>
  </si>
  <si>
    <t xml:space="preserve">EDU02009</t>
  </si>
  <si>
    <t xml:space="preserve">01-10-2023</t>
  </si>
  <si>
    <t xml:space="preserve">EDU02182</t>
  </si>
  <si>
    <t xml:space="preserve">20-01-2024</t>
  </si>
  <si>
    <t xml:space="preserve">EDU01414</t>
  </si>
  <si>
    <t xml:space="preserve">16-11-2024</t>
  </si>
  <si>
    <t xml:space="preserve">EDU00100</t>
  </si>
  <si>
    <t xml:space="preserve">PUNE</t>
  </si>
  <si>
    <t xml:space="preserve">EDU00596</t>
  </si>
  <si>
    <t xml:space="preserve">09-06-2024</t>
  </si>
  <si>
    <t xml:space="preserve">EDU00869</t>
  </si>
  <si>
    <t xml:space="preserve">28-07-2023</t>
  </si>
  <si>
    <t xml:space="preserve">EDU01082</t>
  </si>
  <si>
    <t xml:space="preserve">EDU01797</t>
  </si>
  <si>
    <t xml:space="preserve">10-02-2024</t>
  </si>
  <si>
    <t xml:space="preserve">EDU01535</t>
  </si>
  <si>
    <t xml:space="preserve">10-09-2024</t>
  </si>
  <si>
    <t xml:space="preserve">EDU02038</t>
  </si>
  <si>
    <t xml:space="preserve">EDU01096</t>
  </si>
  <si>
    <t xml:space="preserve">15-09-2024</t>
  </si>
  <si>
    <t xml:space="preserve">EDU01454</t>
  </si>
  <si>
    <t xml:space="preserve">14-10-2024</t>
  </si>
  <si>
    <t xml:space="preserve">EDU00044</t>
  </si>
  <si>
    <t xml:space="preserve">EDU00008</t>
  </si>
  <si>
    <t xml:space="preserve">EDU00227</t>
  </si>
  <si>
    <t xml:space="preserve">EDU02013</t>
  </si>
  <si>
    <t xml:space="preserve">13-10-2023</t>
  </si>
  <si>
    <t xml:space="preserve">EDU00491</t>
  </si>
  <si>
    <t xml:space="preserve">27-08-2023</t>
  </si>
  <si>
    <t xml:space="preserve">EDU01223</t>
  </si>
  <si>
    <t xml:space="preserve">EDU01158</t>
  </si>
  <si>
    <t xml:space="preserve">EDU02488</t>
  </si>
  <si>
    <t xml:space="preserve">25-06-2024</t>
  </si>
  <si>
    <t xml:space="preserve">EDU00143</t>
  </si>
  <si>
    <t xml:space="preserve">07-02-2023</t>
  </si>
  <si>
    <t xml:space="preserve">EDU02012</t>
  </si>
  <si>
    <t xml:space="preserve">EDU02114</t>
  </si>
  <si>
    <t xml:space="preserve">16-01-2024</t>
  </si>
  <si>
    <t xml:space="preserve">EDU00319</t>
  </si>
  <si>
    <t xml:space="preserve">31-12-2024</t>
  </si>
  <si>
    <t xml:space="preserve">EDU00898</t>
  </si>
  <si>
    <t xml:space="preserve">03-08-2023</t>
  </si>
  <si>
    <t xml:space="preserve">EDU02018</t>
  </si>
  <si>
    <t xml:space="preserve">12-11-2023</t>
  </si>
  <si>
    <t xml:space="preserve">EDU00747</t>
  </si>
  <si>
    <t xml:space="preserve">05-02-2024</t>
  </si>
  <si>
    <t xml:space="preserve">EDU00735</t>
  </si>
  <si>
    <t xml:space="preserve">25-03-2023</t>
  </si>
  <si>
    <t xml:space="preserve">EDU01917</t>
  </si>
  <si>
    <t xml:space="preserve">28-09-2024</t>
  </si>
  <si>
    <t xml:space="preserve">EDU01622</t>
  </si>
  <si>
    <t xml:space="preserve">02-04-2023</t>
  </si>
  <si>
    <t xml:space="preserve">EDU01700</t>
  </si>
  <si>
    <t xml:space="preserve">16-10-2023</t>
  </si>
  <si>
    <t xml:space="preserve">EDU01554</t>
  </si>
  <si>
    <t xml:space="preserve">29-03-2023</t>
  </si>
  <si>
    <t xml:space="preserve">EDU01383</t>
  </si>
  <si>
    <t xml:space="preserve">EDU02101</t>
  </si>
  <si>
    <t xml:space="preserve">11-12-2024</t>
  </si>
  <si>
    <t xml:space="preserve">Extramarks  </t>
  </si>
  <si>
    <t xml:space="preserve">EDU02414</t>
  </si>
  <si>
    <t xml:space="preserve">06-12-2024</t>
  </si>
  <si>
    <t xml:space="preserve">EDU02476</t>
  </si>
  <si>
    <t xml:space="preserve">EDU02061</t>
  </si>
  <si>
    <t xml:space="preserve">08-08-2024</t>
  </si>
  <si>
    <t xml:space="preserve">EDU01134</t>
  </si>
  <si>
    <t xml:space="preserve">04-02-2024</t>
  </si>
  <si>
    <t xml:space="preserve">EDU00399</t>
  </si>
  <si>
    <t xml:space="preserve">EDU01331</t>
  </si>
  <si>
    <t xml:space="preserve">EDU01893</t>
  </si>
  <si>
    <t xml:space="preserve">11-06-2023</t>
  </si>
  <si>
    <t xml:space="preserve">EDU01856</t>
  </si>
  <si>
    <t xml:space="preserve">05-09-2023</t>
  </si>
  <si>
    <t xml:space="preserve">EDU01313</t>
  </si>
  <si>
    <t xml:space="preserve">01-05-2024</t>
  </si>
  <si>
    <t xml:space="preserve">EDU01184</t>
  </si>
  <si>
    <t xml:space="preserve">EDU01040</t>
  </si>
  <si>
    <t xml:space="preserve">22-04-2023</t>
  </si>
  <si>
    <t xml:space="preserve">EDU01181</t>
  </si>
  <si>
    <t xml:space="preserve">EDU00420</t>
  </si>
  <si>
    <t xml:space="preserve">EDU00413</t>
  </si>
  <si>
    <t xml:space="preserve">Vedantu  </t>
  </si>
  <si>
    <t xml:space="preserve">MADURAI</t>
  </si>
  <si>
    <t xml:space="preserve">EDU00805</t>
  </si>
  <si>
    <t xml:space="preserve">10-01-2023</t>
  </si>
  <si>
    <t xml:space="preserve">EDU01842</t>
  </si>
  <si>
    <t xml:space="preserve">EDU00359</t>
  </si>
  <si>
    <t xml:space="preserve">EDU00130</t>
  </si>
  <si>
    <t xml:space="preserve">21-03-2023</t>
  </si>
  <si>
    <t xml:space="preserve">EDU00691</t>
  </si>
  <si>
    <t xml:space="preserve">EDU01556</t>
  </si>
  <si>
    <t xml:space="preserve">07-01-2024</t>
  </si>
  <si>
    <t xml:space="preserve">EDU01437</t>
  </si>
  <si>
    <t xml:space="preserve">EDU01404</t>
  </si>
  <si>
    <t xml:space="preserve">11-10-2023</t>
  </si>
  <si>
    <t xml:space="preserve">EDU02140</t>
  </si>
  <si>
    <t xml:space="preserve">26-03-2024</t>
  </si>
  <si>
    <t xml:space="preserve">EDU00373</t>
  </si>
  <si>
    <t xml:space="preserve">10-03-2023</t>
  </si>
  <si>
    <t xml:space="preserve">EDU01509</t>
  </si>
  <si>
    <t xml:space="preserve">27-07-2024</t>
  </si>
  <si>
    <t xml:space="preserve">EDU00485</t>
  </si>
  <si>
    <t xml:space="preserve">24-07-2024</t>
  </si>
  <si>
    <t xml:space="preserve">EDU01869</t>
  </si>
  <si>
    <t xml:space="preserve">07-04-2023</t>
  </si>
  <si>
    <t xml:space="preserve">EDU01611</t>
  </si>
  <si>
    <t xml:space="preserve">23-11-2024</t>
  </si>
  <si>
    <t xml:space="preserve">EDU00238</t>
  </si>
  <si>
    <t xml:space="preserve">EDU02443</t>
  </si>
  <si>
    <t xml:space="preserve">06-02-2024</t>
  </si>
  <si>
    <t xml:space="preserve">EDU02448</t>
  </si>
  <si>
    <t xml:space="preserve">05-07-2024</t>
  </si>
  <si>
    <t xml:space="preserve">EDU01581</t>
  </si>
  <si>
    <t xml:space="preserve">EDU01124</t>
  </si>
  <si>
    <t xml:space="preserve">EDU01534</t>
  </si>
  <si>
    <t xml:space="preserve">11-09-2023</t>
  </si>
  <si>
    <t xml:space="preserve">EDU00370</t>
  </si>
  <si>
    <t xml:space="preserve">EDU01923</t>
  </si>
  <si>
    <t xml:space="preserve">12-12-2023</t>
  </si>
  <si>
    <t xml:space="preserve">EDU02120</t>
  </si>
  <si>
    <t xml:space="preserve">17-12-2024</t>
  </si>
  <si>
    <t xml:space="preserve">EDU00076</t>
  </si>
  <si>
    <t xml:space="preserve">22-10-2023</t>
  </si>
  <si>
    <t xml:space="preserve">EDU00055</t>
  </si>
  <si>
    <t xml:space="preserve">14-03-2024</t>
  </si>
  <si>
    <t xml:space="preserve">EDU01745</t>
  </si>
  <si>
    <t xml:space="preserve">15-06-2023</t>
  </si>
  <si>
    <t xml:space="preserve">EDU01515</t>
  </si>
  <si>
    <t xml:space="preserve">12-04-2024</t>
  </si>
  <si>
    <t xml:space="preserve">EDU01232</t>
  </si>
  <si>
    <t xml:space="preserve">21-11-2023</t>
  </si>
  <si>
    <t xml:space="preserve">EDU01973</t>
  </si>
  <si>
    <t xml:space="preserve">EDU02406</t>
  </si>
  <si>
    <t xml:space="preserve">03-04-2024</t>
  </si>
  <si>
    <t xml:space="preserve">EDU01496</t>
  </si>
  <si>
    <t xml:space="preserve">EDU02350</t>
  </si>
  <si>
    <t xml:space="preserve">EDU02248</t>
  </si>
  <si>
    <t xml:space="preserve">27-09-2024</t>
  </si>
  <si>
    <t xml:space="preserve">WhiteHat Jr  </t>
  </si>
  <si>
    <t xml:space="preserve">EDU01318</t>
  </si>
  <si>
    <t xml:space="preserve">EDU02327</t>
  </si>
  <si>
    <t xml:space="preserve">EDU00174</t>
  </si>
  <si>
    <t xml:space="preserve">EDU00047</t>
  </si>
  <si>
    <t xml:space="preserve">EDU01386</t>
  </si>
  <si>
    <t xml:space="preserve">EDU02462</t>
  </si>
  <si>
    <t xml:space="preserve">04-07-2023</t>
  </si>
  <si>
    <t xml:space="preserve">EDU00855</t>
  </si>
  <si>
    <t xml:space="preserve">20-03-2024</t>
  </si>
  <si>
    <t xml:space="preserve">EDU01432</t>
  </si>
  <si>
    <t xml:space="preserve">11-11-2024</t>
  </si>
  <si>
    <t xml:space="preserve">EDU02264</t>
  </si>
  <si>
    <t xml:space="preserve">03-09-2023</t>
  </si>
  <si>
    <t xml:space="preserve">EDU01972</t>
  </si>
  <si>
    <t xml:space="preserve">29-09-2023</t>
  </si>
  <si>
    <t xml:space="preserve">EDU01676</t>
  </si>
  <si>
    <t xml:space="preserve">10-07-2023</t>
  </si>
  <si>
    <t xml:space="preserve">EDU01418</t>
  </si>
  <si>
    <t xml:space="preserve">25-08-2024</t>
  </si>
  <si>
    <t xml:space="preserve">EDU00929</t>
  </si>
  <si>
    <t xml:space="preserve">EDU01518</t>
  </si>
  <si>
    <t xml:space="preserve">EDU00667</t>
  </si>
  <si>
    <t xml:space="preserve">15-08-2024</t>
  </si>
  <si>
    <t xml:space="preserve">AHMEDABAD</t>
  </si>
  <si>
    <t xml:space="preserve">EDU01521</t>
  </si>
  <si>
    <t xml:space="preserve">06-01-2023</t>
  </si>
  <si>
    <t xml:space="preserve">EDU00638</t>
  </si>
  <si>
    <t xml:space="preserve">EDU00101</t>
  </si>
  <si>
    <t xml:space="preserve">EDU00922</t>
  </si>
  <si>
    <t xml:space="preserve">08-09-2024</t>
  </si>
  <si>
    <t xml:space="preserve">EDU00475</t>
  </si>
  <si>
    <t xml:space="preserve">13-04-2024</t>
  </si>
  <si>
    <t xml:space="preserve">EDU00523</t>
  </si>
  <si>
    <t xml:space="preserve">08-06-2024</t>
  </si>
  <si>
    <t xml:space="preserve">EDU00685</t>
  </si>
  <si>
    <t xml:space="preserve">EDU01871</t>
  </si>
  <si>
    <t xml:space="preserve">EDU00603</t>
  </si>
  <si>
    <t xml:space="preserve">12-01-2024</t>
  </si>
  <si>
    <t xml:space="preserve">EDU01737</t>
  </si>
  <si>
    <t xml:space="preserve">06-03-2024</t>
  </si>
  <si>
    <t xml:space="preserve">EDU01965</t>
  </si>
  <si>
    <t xml:space="preserve">26-01-2023</t>
  </si>
  <si>
    <t xml:space="preserve">EDU00569</t>
  </si>
  <si>
    <t xml:space="preserve">28-06-2024</t>
  </si>
  <si>
    <t xml:space="preserve">EDU01319</t>
  </si>
  <si>
    <t xml:space="preserve">EDU00986</t>
  </si>
  <si>
    <t xml:space="preserve">13-09-2023</t>
  </si>
  <si>
    <t xml:space="preserve">EDU01035</t>
  </si>
  <si>
    <t xml:space="preserve">EDU01321</t>
  </si>
  <si>
    <t xml:space="preserve">16-07-2023</t>
  </si>
  <si>
    <t xml:space="preserve">EDU00368</t>
  </si>
  <si>
    <t xml:space="preserve">EDU01757</t>
  </si>
  <si>
    <t xml:space="preserve">EDU02138</t>
  </si>
  <si>
    <t xml:space="preserve">02-01-2023</t>
  </si>
  <si>
    <t xml:space="preserve">EDU01814</t>
  </si>
  <si>
    <t xml:space="preserve">20-06-2023</t>
  </si>
  <si>
    <t xml:space="preserve">EDU02100</t>
  </si>
  <si>
    <t xml:space="preserve">EDU00688</t>
  </si>
  <si>
    <t xml:space="preserve">17-02-2024</t>
  </si>
  <si>
    <t xml:space="preserve">EDU02240</t>
  </si>
  <si>
    <t xml:space="preserve">EDU00098</t>
  </si>
  <si>
    <t xml:space="preserve">EDU01288</t>
  </si>
  <si>
    <t xml:space="preserve">27-02-2024</t>
  </si>
  <si>
    <t xml:space="preserve">EDU01645</t>
  </si>
  <si>
    <t xml:space="preserve">EDU01706</t>
  </si>
  <si>
    <t xml:space="preserve">EDU01812</t>
  </si>
  <si>
    <t xml:space="preserve">06-11-2023</t>
  </si>
  <si>
    <t xml:space="preserve">EDU01160</t>
  </si>
  <si>
    <t xml:space="preserve">22-07-2023</t>
  </si>
  <si>
    <t xml:space="preserve">EDU00417</t>
  </si>
  <si>
    <t xml:space="preserve">EDU00029</t>
  </si>
  <si>
    <t xml:space="preserve">EDU01529</t>
  </si>
  <si>
    <t xml:space="preserve">EDU01589</t>
  </si>
  <si>
    <t xml:space="preserve">12-09-2023</t>
  </si>
  <si>
    <t xml:space="preserve">EDU01422</t>
  </si>
  <si>
    <t xml:space="preserve">EDU00689</t>
  </si>
  <si>
    <t xml:space="preserve">01-06-2024</t>
  </si>
  <si>
    <t xml:space="preserve">EDU02482</t>
  </si>
  <si>
    <t xml:space="preserve">EDU02107</t>
  </si>
  <si>
    <t xml:space="preserve">21-06-2024</t>
  </si>
  <si>
    <t xml:space="preserve">EDU01269</t>
  </si>
  <si>
    <t xml:space="preserve">EDU00677</t>
  </si>
  <si>
    <t xml:space="preserve">07-01-2023</t>
  </si>
  <si>
    <t xml:space="preserve">EDU01967</t>
  </si>
  <si>
    <t xml:space="preserve">EDU01785</t>
  </si>
  <si>
    <t xml:space="preserve">31-10-2023</t>
  </si>
  <si>
    <t xml:space="preserve">EDU01103</t>
  </si>
  <si>
    <t xml:space="preserve">10-06-2023</t>
  </si>
  <si>
    <t xml:space="preserve">EDU02202</t>
  </si>
  <si>
    <t xml:space="preserve">EDU00512</t>
  </si>
  <si>
    <t xml:space="preserve">EDU02110</t>
  </si>
  <si>
    <t xml:space="preserve">EDU02197</t>
  </si>
  <si>
    <t xml:space="preserve">01-08-2023</t>
  </si>
  <si>
    <t xml:space="preserve">EDU00993</t>
  </si>
  <si>
    <t xml:space="preserve">27-01-2023</t>
  </si>
  <si>
    <t xml:space="preserve">EDU01898</t>
  </si>
  <si>
    <t xml:space="preserve">24-09-2024</t>
  </si>
  <si>
    <t xml:space="preserve">EDU01565</t>
  </si>
  <si>
    <t xml:space="preserve">EDU00641</t>
  </si>
  <si>
    <t xml:space="preserve">30-05-2023</t>
  </si>
  <si>
    <t xml:space="preserve">EDU00610</t>
  </si>
  <si>
    <t xml:space="preserve">EDU00260</t>
  </si>
  <si>
    <t xml:space="preserve">21-10-2023</t>
  </si>
  <si>
    <t xml:space="preserve">SURAT</t>
  </si>
  <si>
    <t xml:space="preserve">EDU01284</t>
  </si>
  <si>
    <t xml:space="preserve">01-01-2023</t>
  </si>
  <si>
    <t xml:space="preserve">EDU00577</t>
  </si>
  <si>
    <t xml:space="preserve">EDU01078</t>
  </si>
  <si>
    <t xml:space="preserve">07-06-2023</t>
  </si>
  <si>
    <t xml:space="preserve">EDU00268</t>
  </si>
  <si>
    <t xml:space="preserve">20-11-2024</t>
  </si>
  <si>
    <t xml:space="preserve">EDU00119</t>
  </si>
  <si>
    <t xml:space="preserve">EDU01986</t>
  </si>
  <si>
    <t xml:space="preserve">EDU02439</t>
  </si>
  <si>
    <t xml:space="preserve">15-02-2023</t>
  </si>
  <si>
    <t xml:space="preserve">EDU01577</t>
  </si>
  <si>
    <t xml:space="preserve">EDU01796</t>
  </si>
  <si>
    <t xml:space="preserve">EDU00743</t>
  </si>
  <si>
    <t xml:space="preserve">EDU00853</t>
  </si>
  <si>
    <t xml:space="preserve">29-11-2023</t>
  </si>
  <si>
    <t xml:space="preserve">EDU01870</t>
  </si>
  <si>
    <t xml:space="preserve">12-07-2024</t>
  </si>
  <si>
    <t xml:space="preserve">EDU01761</t>
  </si>
  <si>
    <t xml:space="preserve">12-07-2023</t>
  </si>
  <si>
    <t xml:space="preserve">EDU01635</t>
  </si>
  <si>
    <t xml:space="preserve">EDU01854</t>
  </si>
  <si>
    <t xml:space="preserve">04-03-2023</t>
  </si>
  <si>
    <t xml:space="preserve">EDU00397</t>
  </si>
  <si>
    <t xml:space="preserve">14-12-2024</t>
  </si>
  <si>
    <t xml:space="preserve">EDU00351</t>
  </si>
  <si>
    <t xml:space="preserve">10-12-2024</t>
  </si>
  <si>
    <t xml:space="preserve">EDU01919</t>
  </si>
  <si>
    <t xml:space="preserve">09-05-2024</t>
  </si>
  <si>
    <t xml:space="preserve">EDU02123</t>
  </si>
  <si>
    <t xml:space="preserve">25-10-2023</t>
  </si>
  <si>
    <t xml:space="preserve">EDU01912</t>
  </si>
  <si>
    <t xml:space="preserve">15-03-2024</t>
  </si>
  <si>
    <t xml:space="preserve">EDU00730</t>
  </si>
  <si>
    <t xml:space="preserve">EDU02276</t>
  </si>
  <si>
    <t xml:space="preserve">16-03-2023</t>
  </si>
  <si>
    <t xml:space="preserve">EDU00037</t>
  </si>
  <si>
    <t xml:space="preserve">EDU01406</t>
  </si>
  <si>
    <t xml:space="preserve">12-10-2024</t>
  </si>
  <si>
    <t xml:space="preserve">EDU00526</t>
  </si>
  <si>
    <t xml:space="preserve">28-08-2024</t>
  </si>
  <si>
    <t xml:space="preserve">EDU00719</t>
  </si>
  <si>
    <t xml:space="preserve">EDU00059</t>
  </si>
  <si>
    <t xml:space="preserve">EDU00159</t>
  </si>
  <si>
    <t xml:space="preserve">EDU02126</t>
  </si>
  <si>
    <t xml:space="preserve">02-03-2023</t>
  </si>
  <si>
    <t xml:space="preserve">EDU00384</t>
  </si>
  <si>
    <t xml:space="preserve">28-05-2024</t>
  </si>
  <si>
    <t xml:space="preserve">EDU02208</t>
  </si>
  <si>
    <t xml:space="preserve">EDU00214</t>
  </si>
  <si>
    <t xml:space="preserve">EDU01705</t>
  </si>
  <si>
    <t xml:space="preserve">04-06-2024</t>
  </si>
  <si>
    <t xml:space="preserve">EDU00141</t>
  </si>
  <si>
    <t xml:space="preserve">EDU02079</t>
  </si>
  <si>
    <t xml:space="preserve">18-12-2023</t>
  </si>
  <si>
    <t xml:space="preserve">EDU02255</t>
  </si>
  <si>
    <t xml:space="preserve">EDU00466</t>
  </si>
  <si>
    <t xml:space="preserve">01-12-2024</t>
  </si>
  <si>
    <t xml:space="preserve">EDU00415</t>
  </si>
  <si>
    <t xml:space="preserve">14-09-2023</t>
  </si>
  <si>
    <t xml:space="preserve">EDU00653</t>
  </si>
  <si>
    <t xml:space="preserve">05-08-2024</t>
  </si>
  <si>
    <t xml:space="preserve">EDU00300</t>
  </si>
  <si>
    <t xml:space="preserve">EDU01168</t>
  </si>
  <si>
    <t xml:space="preserve">EDU01126</t>
  </si>
  <si>
    <t xml:space="preserve">16-12-2023</t>
  </si>
  <si>
    <t xml:space="preserve">EDU01875</t>
  </si>
  <si>
    <t xml:space="preserve">09-07-2023</t>
  </si>
  <si>
    <t xml:space="preserve">EDU00900</t>
  </si>
  <si>
    <t xml:space="preserve">EDU01449</t>
  </si>
  <si>
    <t xml:space="preserve">26-12-2024</t>
  </si>
  <si>
    <t xml:space="preserve">EDU02407</t>
  </si>
  <si>
    <t xml:space="preserve">20-04-2023</t>
  </si>
  <si>
    <t xml:space="preserve">EDU00376</t>
  </si>
  <si>
    <t xml:space="preserve">EDU01397</t>
  </si>
  <si>
    <t xml:space="preserve">EDU01402</t>
  </si>
  <si>
    <t xml:space="preserve">19-09-2023</t>
  </si>
  <si>
    <t xml:space="preserve">EDU02366</t>
  </si>
  <si>
    <t xml:space="preserve">24-03-2023</t>
  </si>
  <si>
    <t xml:space="preserve">EDU00010</t>
  </si>
  <si>
    <t xml:space="preserve">23-04-2023</t>
  </si>
  <si>
    <t xml:space="preserve">EDU02435</t>
  </si>
  <si>
    <t xml:space="preserve">02-08-2023</t>
  </si>
  <si>
    <t xml:space="preserve">EDU01765</t>
  </si>
  <si>
    <t xml:space="preserve">11-01-2023</t>
  </si>
  <si>
    <t xml:space="preserve">EDU00025</t>
  </si>
  <si>
    <t xml:space="preserve">04-11-2023</t>
  </si>
  <si>
    <t xml:space="preserve">EDU01169</t>
  </si>
  <si>
    <t xml:space="preserve">24-05-2023</t>
  </si>
  <si>
    <t xml:space="preserve">EDU00548</t>
  </si>
  <si>
    <t xml:space="preserve">25-11-2024</t>
  </si>
  <si>
    <t xml:space="preserve">EDU00846</t>
  </si>
  <si>
    <t xml:space="preserve">30-04-2024</t>
  </si>
  <si>
    <t xml:space="preserve">EDU01412</t>
  </si>
  <si>
    <t xml:space="preserve">15-11-2024</t>
  </si>
  <si>
    <t xml:space="preserve">EDU01925</t>
  </si>
  <si>
    <t xml:space="preserve">EDU01813</t>
  </si>
  <si>
    <t xml:space="preserve">18-08-2024</t>
  </si>
  <si>
    <t xml:space="preserve">EDU00831</t>
  </si>
  <si>
    <t xml:space="preserve">EDU00639</t>
  </si>
  <si>
    <t xml:space="preserve">01-05-2023</t>
  </si>
  <si>
    <t xml:space="preserve">EDU01620</t>
  </si>
  <si>
    <t xml:space="preserve">31-01-2024</t>
  </si>
  <si>
    <t xml:space="preserve">EDU02417</t>
  </si>
  <si>
    <t xml:space="preserve">EDU01725</t>
  </si>
  <si>
    <t xml:space="preserve">14-09-2024</t>
  </si>
  <si>
    <t xml:space="preserve">EDU00673</t>
  </si>
  <si>
    <t xml:space="preserve">EDU00021</t>
  </si>
  <si>
    <t xml:space="preserve">03-01-2023</t>
  </si>
  <si>
    <t xml:space="preserve">EDU00280</t>
  </si>
  <si>
    <t xml:space="preserve">EDU00097</t>
  </si>
  <si>
    <t xml:space="preserve">KOLKATA</t>
  </si>
  <si>
    <t xml:space="preserve">EDU01914</t>
  </si>
  <si>
    <t xml:space="preserve">08-01-2023</t>
  </si>
  <si>
    <t xml:space="preserve">EDU00442</t>
  </si>
  <si>
    <t xml:space="preserve">18-10-2024</t>
  </si>
  <si>
    <t xml:space="preserve">EDU00173</t>
  </si>
  <si>
    <t xml:space="preserve">28-07-2024</t>
  </si>
  <si>
    <t xml:space="preserve">EDU00758</t>
  </si>
  <si>
    <t xml:space="preserve">EDU00636</t>
  </si>
  <si>
    <t xml:space="preserve">EDU02277</t>
  </si>
  <si>
    <t xml:space="preserve">02-07-2024</t>
  </si>
  <si>
    <t xml:space="preserve">EDU01166</t>
  </si>
  <si>
    <t xml:space="preserve">EDU01996</t>
  </si>
  <si>
    <t xml:space="preserve">EDU00880</t>
  </si>
  <si>
    <t xml:space="preserve">19-07-2023</t>
  </si>
  <si>
    <t xml:space="preserve">EDU02344</t>
  </si>
  <si>
    <t xml:space="preserve">EDU01993</t>
  </si>
  <si>
    <t xml:space="preserve">28-12-2024</t>
  </si>
  <si>
    <t xml:space="preserve">EDU01203</t>
  </si>
  <si>
    <t xml:space="preserve">29-09-2024</t>
  </si>
  <si>
    <t xml:space="preserve">EDU02261</t>
  </si>
  <si>
    <t xml:space="preserve">EDU01704</t>
  </si>
  <si>
    <t xml:space="preserve">15-10-2023</t>
  </si>
  <si>
    <t xml:space="preserve">EDU01918</t>
  </si>
  <si>
    <t xml:space="preserve">09-11-2024</t>
  </si>
  <si>
    <t xml:space="preserve">EDU01722</t>
  </si>
  <si>
    <t xml:space="preserve">EDU00934</t>
  </si>
  <si>
    <t xml:space="preserve">12-03-2023</t>
  </si>
  <si>
    <t xml:space="preserve">EDU00706</t>
  </si>
  <si>
    <t xml:space="preserve">06-05-2023</t>
  </si>
  <si>
    <t xml:space="preserve">EDU02073</t>
  </si>
  <si>
    <t xml:space="preserve">EDU01460</t>
  </si>
  <si>
    <t xml:space="preserve">17-07-2023</t>
  </si>
  <si>
    <t xml:space="preserve">EDU01089</t>
  </si>
  <si>
    <t xml:space="preserve">03-03-2024</t>
  </si>
  <si>
    <t xml:space="preserve">EDU01756</t>
  </si>
  <si>
    <t xml:space="preserve">23-12-2024</t>
  </si>
  <si>
    <t xml:space="preserve">EDU01477</t>
  </si>
  <si>
    <t xml:space="preserve">03-02-2024</t>
  </si>
  <si>
    <t xml:space="preserve">EDU02060</t>
  </si>
  <si>
    <t xml:space="preserve">EDU01045</t>
  </si>
  <si>
    <t xml:space="preserve">24-06-2023</t>
  </si>
  <si>
    <t xml:space="preserve">EDU00890</t>
  </si>
  <si>
    <t xml:space="preserve">24-07-2023</t>
  </si>
  <si>
    <t xml:space="preserve">EDU02064</t>
  </si>
  <si>
    <t xml:space="preserve">EDU01262</t>
  </si>
  <si>
    <t xml:space="preserve">EDU01610</t>
  </si>
  <si>
    <t xml:space="preserve">EDU02465</t>
  </si>
  <si>
    <t xml:space="preserve">EDU01179</t>
  </si>
  <si>
    <t xml:space="preserve">18-03-2024</t>
  </si>
  <si>
    <t xml:space="preserve">EDU01626</t>
  </si>
  <si>
    <t xml:space="preserve">24-01-2024</t>
  </si>
  <si>
    <t xml:space="preserve">EDU00884</t>
  </si>
  <si>
    <t xml:space="preserve">04-10-2024</t>
  </si>
  <si>
    <t xml:space="preserve">EDU00448</t>
  </si>
  <si>
    <t xml:space="preserve">EDU00211</t>
  </si>
  <si>
    <t xml:space="preserve">15-04-2024</t>
  </si>
  <si>
    <t xml:space="preserve">EDU01120</t>
  </si>
  <si>
    <t xml:space="preserve">EDU00378</t>
  </si>
  <si>
    <t xml:space="preserve">EDU00670</t>
  </si>
  <si>
    <t xml:space="preserve">03-06-2024</t>
  </si>
  <si>
    <t xml:space="preserve">EDU01476</t>
  </si>
  <si>
    <t xml:space="preserve">GURUGRAM</t>
  </si>
  <si>
    <t xml:space="preserve">EDU00585</t>
  </si>
  <si>
    <t xml:space="preserve">EDU01356</t>
  </si>
  <si>
    <t xml:space="preserve">EDU02452</t>
  </si>
  <si>
    <t xml:space="preserve">20-06-2024</t>
  </si>
  <si>
    <t xml:space="preserve">EDU00695</t>
  </si>
  <si>
    <t xml:space="preserve">17-11-2024</t>
  </si>
  <si>
    <t xml:space="preserve">EDU00301</t>
  </si>
  <si>
    <t xml:space="preserve">08-07-2024</t>
  </si>
  <si>
    <t xml:space="preserve">EDU01048</t>
  </si>
  <si>
    <t xml:space="preserve">EDU00489</t>
  </si>
  <si>
    <t xml:space="preserve">06-10-2024</t>
  </si>
  <si>
    <t xml:space="preserve">EDU00562</t>
  </si>
  <si>
    <t xml:space="preserve">08-02-2024</t>
  </si>
  <si>
    <t xml:space="preserve">EDU00468</t>
  </si>
  <si>
    <t xml:space="preserve">09-08-2024</t>
  </si>
  <si>
    <t xml:space="preserve">EDU01222</t>
  </si>
  <si>
    <t xml:space="preserve">02-12-2024</t>
  </si>
  <si>
    <t xml:space="preserve">EDU01807</t>
  </si>
  <si>
    <t xml:space="preserve">21-01-2024</t>
  </si>
  <si>
    <t xml:space="preserve">EDU00469</t>
  </si>
  <si>
    <t xml:space="preserve">EDU01528</t>
  </si>
  <si>
    <t xml:space="preserve">EDU02438</t>
  </si>
  <si>
    <t xml:space="preserve">09-01-2023</t>
  </si>
  <si>
    <t xml:space="preserve">EDU02281</t>
  </si>
  <si>
    <t xml:space="preserve">EDU01951</t>
  </si>
  <si>
    <t xml:space="preserve">30-05-2024</t>
  </si>
  <si>
    <t xml:space="preserve">EDU02247</t>
  </si>
  <si>
    <t xml:space="preserve">EDU01890</t>
  </si>
  <si>
    <t xml:space="preserve">23-09-2023</t>
  </si>
  <si>
    <t xml:space="preserve">EDU01687</t>
  </si>
  <si>
    <t xml:space="preserve">11-10-2024</t>
  </si>
  <si>
    <t xml:space="preserve">EDU01152</t>
  </si>
  <si>
    <t xml:space="preserve">26-04-2024</t>
  </si>
  <si>
    <t xml:space="preserve">EDU00440</t>
  </si>
  <si>
    <t xml:space="preserve">EDU00811</t>
  </si>
  <si>
    <t xml:space="preserve">EDU00022</t>
  </si>
  <si>
    <t xml:space="preserve">EDU00181</t>
  </si>
  <si>
    <t xml:space="preserve">EDU01121</t>
  </si>
  <si>
    <t xml:space="preserve">EDU02278</t>
  </si>
  <si>
    <t xml:space="preserve">EDU00721</t>
  </si>
  <si>
    <t xml:space="preserve">EDU00865</t>
  </si>
  <si>
    <t xml:space="preserve">EDU01997</t>
  </si>
  <si>
    <t xml:space="preserve">EDU02330</t>
  </si>
  <si>
    <t xml:space="preserve">EDU02136</t>
  </si>
  <si>
    <t xml:space="preserve">20-04-2024</t>
  </si>
  <si>
    <t xml:space="preserve">EDU01748</t>
  </si>
  <si>
    <t xml:space="preserve">09-09-2024</t>
  </si>
  <si>
    <t xml:space="preserve">EDU00644</t>
  </si>
  <si>
    <t xml:space="preserve">31-05-2024</t>
  </si>
  <si>
    <t xml:space="preserve">EDU00928</t>
  </si>
  <si>
    <t xml:space="preserve">15-07-2023</t>
  </si>
  <si>
    <t xml:space="preserve">EDU01937</t>
  </si>
  <si>
    <t xml:space="preserve">EDU00230</t>
  </si>
  <si>
    <t xml:space="preserve">EDU00796</t>
  </si>
  <si>
    <t xml:space="preserve">EDU01049</t>
  </si>
  <si>
    <t xml:space="preserve">EDU02308</t>
  </si>
  <si>
    <t xml:space="preserve">EDU01821</t>
  </si>
  <si>
    <t xml:space="preserve">EDU00962</t>
  </si>
  <si>
    <t xml:space="preserve">16-06-2024</t>
  </si>
  <si>
    <t xml:space="preserve">EDU00722</t>
  </si>
  <si>
    <t xml:space="preserve">22-11-2024</t>
  </si>
  <si>
    <t xml:space="preserve">EDU02457</t>
  </si>
  <si>
    <t xml:space="preserve">27-10-2024</t>
  </si>
  <si>
    <t xml:space="preserve">EDU00708</t>
  </si>
  <si>
    <t xml:space="preserve">EDU00432</t>
  </si>
  <si>
    <t xml:space="preserve">30-09-2023</t>
  </si>
  <si>
    <t xml:space="preserve">EDU01567</t>
  </si>
  <si>
    <t xml:space="preserve">12-05-2024</t>
  </si>
  <si>
    <t xml:space="preserve">EDU02456</t>
  </si>
  <si>
    <t xml:space="preserve">31-03-2024</t>
  </si>
  <si>
    <t xml:space="preserve">EDU00345</t>
  </si>
  <si>
    <t xml:space="preserve">EDU01998</t>
  </si>
  <si>
    <t xml:space="preserve">30-03-2024</t>
  </si>
  <si>
    <t xml:space="preserve">EDU02213</t>
  </si>
  <si>
    <t xml:space="preserve">08-07-2023</t>
  </si>
  <si>
    <t xml:space="preserve">MYSURU</t>
  </si>
  <si>
    <t xml:space="preserve">EDU02159</t>
  </si>
  <si>
    <t xml:space="preserve">09-10-2024</t>
  </si>
  <si>
    <t xml:space="preserve">EDU01277</t>
  </si>
  <si>
    <t xml:space="preserve">EDU00179</t>
  </si>
  <si>
    <t xml:space="preserve">EDU00071</t>
  </si>
  <si>
    <t xml:space="preserve">04-09-2024</t>
  </si>
  <si>
    <t xml:space="preserve">EDU01206</t>
  </si>
  <si>
    <t xml:space="preserve">EDU01334</t>
  </si>
  <si>
    <t xml:space="preserve">17-01-2024</t>
  </si>
  <si>
    <t xml:space="preserve">EDU00131</t>
  </si>
  <si>
    <t xml:space="preserve">EDU01845</t>
  </si>
  <si>
    <t xml:space="preserve">EDU01921</t>
  </si>
  <si>
    <t xml:space="preserve">20-09-2023</t>
  </si>
  <si>
    <t xml:space="preserve">EDU02214</t>
  </si>
  <si>
    <t xml:space="preserve">EDU00128</t>
  </si>
  <si>
    <t xml:space="preserve">EDU00285</t>
  </si>
  <si>
    <t xml:space="preserve">EDU01123</t>
  </si>
  <si>
    <t xml:space="preserve">EDU00921</t>
  </si>
  <si>
    <t xml:space="preserve">EDU00471</t>
  </si>
  <si>
    <t xml:space="preserve">EDU01229</t>
  </si>
  <si>
    <t xml:space="preserve">23-02-2024</t>
  </si>
  <si>
    <t xml:space="preserve">EDU01702</t>
  </si>
  <si>
    <t xml:space="preserve">EDU00126</t>
  </si>
  <si>
    <t xml:space="preserve">EDU01042</t>
  </si>
  <si>
    <t xml:space="preserve">EDU01339</t>
  </si>
  <si>
    <t xml:space="preserve">EDU02306</t>
  </si>
  <si>
    <t xml:space="preserve">EDU00611</t>
  </si>
  <si>
    <t xml:space="preserve">EDU00459</t>
  </si>
  <si>
    <t xml:space="preserve">25-01-2023</t>
  </si>
  <si>
    <t xml:space="preserve">EDU01889</t>
  </si>
  <si>
    <t xml:space="preserve">23-07-2024</t>
  </si>
  <si>
    <t xml:space="preserve">EDU01228</t>
  </si>
  <si>
    <t xml:space="preserve">12-11-2024</t>
  </si>
  <si>
    <t xml:space="preserve">EDU00463</t>
  </si>
  <si>
    <t xml:space="preserve">EDU00550</t>
  </si>
  <si>
    <t xml:space="preserve">EDU00505</t>
  </si>
  <si>
    <t xml:space="preserve">03-07-2023</t>
  </si>
  <si>
    <t xml:space="preserve">EDU00309</t>
  </si>
  <si>
    <t xml:space="preserve">EDU01794</t>
  </si>
  <si>
    <t xml:space="preserve">07-06-2024</t>
  </si>
  <si>
    <t xml:space="preserve">EDU00364</t>
  </si>
  <si>
    <t xml:space="preserve">EDU00580</t>
  </si>
  <si>
    <t xml:space="preserve">EDU00906</t>
  </si>
  <si>
    <t xml:space="preserve">EDU00109</t>
  </si>
  <si>
    <t xml:space="preserve">EDU00508</t>
  </si>
  <si>
    <t xml:space="preserve">EDU01683</t>
  </si>
  <si>
    <t xml:space="preserve">EDU01227</t>
  </si>
  <si>
    <t xml:space="preserve">EDU00872</t>
  </si>
  <si>
    <t xml:space="preserve">25-05-2023</t>
  </si>
  <si>
    <t xml:space="preserve">EDU02485</t>
  </si>
  <si>
    <t xml:space="preserve">26-02-2023</t>
  </si>
  <si>
    <t xml:space="preserve">EDU00716</t>
  </si>
  <si>
    <t xml:space="preserve">29-06-2024</t>
  </si>
  <si>
    <t xml:space="preserve">EDU01345</t>
  </si>
  <si>
    <t xml:space="preserve">EDU00189</t>
  </si>
  <si>
    <t xml:space="preserve">EDU01531</t>
  </si>
  <si>
    <t xml:space="preserve">EDU01904</t>
  </si>
  <si>
    <t xml:space="preserve">24-02-2023</t>
  </si>
  <si>
    <t xml:space="preserve">EDU02007</t>
  </si>
  <si>
    <t xml:space="preserve">EDU01803</t>
  </si>
  <si>
    <t xml:space="preserve">EDU01088</t>
  </si>
  <si>
    <t xml:space="preserve">03-12-2024</t>
  </si>
  <si>
    <t xml:space="preserve">EDU01922</t>
  </si>
  <si>
    <t xml:space="preserve">EDU01793</t>
  </si>
  <si>
    <t xml:space="preserve">EDU00281</t>
  </si>
  <si>
    <t xml:space="preserve">EDU01597</t>
  </si>
  <si>
    <t xml:space="preserve">04-07-2024</t>
  </si>
  <si>
    <t xml:space="preserve">EDU01850</t>
  </si>
  <si>
    <t xml:space="preserve">EDU01455</t>
  </si>
  <si>
    <t xml:space="preserve">EDU01197</t>
  </si>
  <si>
    <t xml:space="preserve">EDU00486</t>
  </si>
  <si>
    <t xml:space="preserve">20-02-2023</t>
  </si>
  <si>
    <t xml:space="preserve">EDU01431</t>
  </si>
  <si>
    <t xml:space="preserve">EDU02224</t>
  </si>
  <si>
    <t xml:space="preserve">EDU00354</t>
  </si>
  <si>
    <t xml:space="preserve">19-06-2024</t>
  </si>
  <si>
    <t xml:space="preserve">EDU01235</t>
  </si>
  <si>
    <t xml:space="preserve">05-06-2023</t>
  </si>
  <si>
    <t xml:space="preserve">EDU00422</t>
  </si>
  <si>
    <t xml:space="preserve">EDU01391</t>
  </si>
  <si>
    <t xml:space="preserve">29-04-2024</t>
  </si>
  <si>
    <t xml:space="preserve">EDU02119</t>
  </si>
  <si>
    <t xml:space="preserve">EDU02125</t>
  </si>
  <si>
    <t xml:space="preserve">EDU00703</t>
  </si>
  <si>
    <t xml:space="preserve">21-02-2024</t>
  </si>
  <si>
    <t xml:space="preserve">EDU00692</t>
  </si>
  <si>
    <t xml:space="preserve">09-08-2023</t>
  </si>
  <si>
    <t xml:space="preserve">EDU02365</t>
  </si>
  <si>
    <t xml:space="preserve">21-07-2024</t>
  </si>
  <si>
    <t xml:space="preserve">EDU02271</t>
  </si>
  <si>
    <t xml:space="preserve">EDU01139</t>
  </si>
  <si>
    <t xml:space="preserve">19-02-2023</t>
  </si>
  <si>
    <t xml:space="preserve">EDU00979</t>
  </si>
  <si>
    <t xml:space="preserve">EDU00362</t>
  </si>
  <si>
    <t xml:space="preserve">EDU02180</t>
  </si>
  <si>
    <t xml:space="preserve">EDU00650</t>
  </si>
  <si>
    <t xml:space="preserve">EDU01172</t>
  </si>
  <si>
    <t xml:space="preserve">24-03-2024</t>
  </si>
  <si>
    <t xml:space="preserve">EDU01178</t>
  </si>
  <si>
    <t xml:space="preserve">27-12-2024</t>
  </si>
  <si>
    <t xml:space="preserve">EDU02453</t>
  </si>
  <si>
    <t xml:space="preserve">EDU01719</t>
  </si>
  <si>
    <t xml:space="preserve">04-06-2023</t>
  </si>
  <si>
    <t xml:space="preserve">EDU01011</t>
  </si>
  <si>
    <t xml:space="preserve">17-03-2024</t>
  </si>
  <si>
    <t xml:space="preserve">EDU00998</t>
  </si>
  <si>
    <t xml:space="preserve">EDU00714</t>
  </si>
  <si>
    <t xml:space="preserve">EDU00186</t>
  </si>
  <si>
    <t xml:space="preserve">20-02-2024</t>
  </si>
  <si>
    <t xml:space="preserve">EDU02181</t>
  </si>
  <si>
    <t xml:space="preserve">EDU00931</t>
  </si>
  <si>
    <t xml:space="preserve">EDU01302</t>
  </si>
  <si>
    <t xml:space="preserve">EDU00161</t>
  </si>
  <si>
    <t xml:space="preserve">23-11-2023</t>
  </si>
  <si>
    <t xml:space="preserve">EDU00736</t>
  </si>
  <si>
    <t xml:space="preserve">EDU00936</t>
  </si>
  <si>
    <t xml:space="preserve">EDU02464</t>
  </si>
  <si>
    <t xml:space="preserve">06-09-2024</t>
  </si>
  <si>
    <t xml:space="preserve">EDU00264</t>
  </si>
  <si>
    <t xml:space="preserve">03-10-2023</t>
  </si>
  <si>
    <t xml:space="preserve">EDU00369</t>
  </si>
  <si>
    <t xml:space="preserve">EDU02212</t>
  </si>
  <si>
    <t xml:space="preserve">EDU02037</t>
  </si>
  <si>
    <t xml:space="preserve">01-12-2023</t>
  </si>
  <si>
    <t xml:space="preserve">EDU01026</t>
  </si>
  <si>
    <t xml:space="preserve">10-05-2024</t>
  </si>
  <si>
    <t xml:space="preserve">EDU01308</t>
  </si>
  <si>
    <t xml:space="preserve">EDU00821</t>
  </si>
  <si>
    <t xml:space="preserve">EDU01494</t>
  </si>
  <si>
    <t xml:space="preserve">EDU02273</t>
  </si>
  <si>
    <t xml:space="preserve">EDU01968</t>
  </si>
  <si>
    <t xml:space="preserve">EDU01189</t>
  </si>
  <si>
    <t xml:space="preserve">04-08-2024</t>
  </si>
  <si>
    <t xml:space="preserve">EDU01786</t>
  </si>
  <si>
    <t xml:space="preserve">18-07-2024</t>
  </si>
  <si>
    <t xml:space="preserve">EDU02165</t>
  </si>
  <si>
    <t xml:space="preserve">13-03-2024</t>
  </si>
  <si>
    <t xml:space="preserve">EDU01304</t>
  </si>
  <si>
    <t xml:space="preserve">05-07-2023</t>
  </si>
  <si>
    <t xml:space="preserve">EDU00381</t>
  </si>
  <si>
    <t xml:space="preserve">EDU01755</t>
  </si>
  <si>
    <t xml:space="preserve">19-08-2024</t>
  </si>
  <si>
    <t xml:space="preserve">EDU01272</t>
  </si>
  <si>
    <t xml:space="preserve">EDU00770</t>
  </si>
  <si>
    <t xml:space="preserve">EDU01133</t>
  </si>
  <si>
    <t xml:space="preserve">EDU01588</t>
  </si>
  <si>
    <t xml:space="preserve">EDU02372</t>
  </si>
  <si>
    <t xml:space="preserve">EDU00892</t>
  </si>
  <si>
    <t xml:space="preserve">EDU01354</t>
  </si>
  <si>
    <t xml:space="preserve">VADODARA</t>
  </si>
  <si>
    <t xml:space="preserve">EDU02243</t>
  </si>
  <si>
    <t xml:space="preserve">EDU00896</t>
  </si>
  <si>
    <t xml:space="preserve">EDU02478</t>
  </si>
  <si>
    <t xml:space="preserve">04-04-2023</t>
  </si>
  <si>
    <t xml:space="preserve">EDU01672</t>
  </si>
  <si>
    <t xml:space="preserve">20-10-2023</t>
  </si>
  <si>
    <t xml:space="preserve">EDU00579</t>
  </si>
  <si>
    <t xml:space="preserve">EDU01833</t>
  </si>
  <si>
    <t xml:space="preserve">31-12-2023</t>
  </si>
  <si>
    <t xml:space="preserve">EDU00208</t>
  </si>
  <si>
    <t xml:space="preserve">EDU01125</t>
  </si>
  <si>
    <t xml:space="preserve">05-10-2023</t>
  </si>
  <si>
    <t xml:space="preserve">EDU01824</t>
  </si>
  <si>
    <t xml:space="preserve">EDU02431</t>
  </si>
  <si>
    <t xml:space="preserve">28-06-2023</t>
  </si>
  <si>
    <t xml:space="preserve">EDU02286</t>
  </si>
  <si>
    <t xml:space="preserve">EDU00144</t>
  </si>
  <si>
    <t xml:space="preserve">24-10-2024</t>
  </si>
  <si>
    <t xml:space="preserve">EDU00557</t>
  </si>
  <si>
    <t xml:space="preserve">22-08-2024</t>
  </si>
  <si>
    <t xml:space="preserve">EDU00752</t>
  </si>
  <si>
    <t xml:space="preserve">EDU02200</t>
  </si>
  <si>
    <t xml:space="preserve">EDU02411</t>
  </si>
  <si>
    <t xml:space="preserve">EDU00431</t>
  </si>
  <si>
    <t xml:space="preserve">EDU01908</t>
  </si>
  <si>
    <t xml:space="preserve">JAIPUR</t>
  </si>
  <si>
    <t xml:space="preserve">EDU01006</t>
  </si>
  <si>
    <t xml:space="preserve">EDU01435</t>
  </si>
  <si>
    <t xml:space="preserve">EDU01831</t>
  </si>
  <si>
    <t xml:space="preserve">EDU02305</t>
  </si>
  <si>
    <t xml:space="preserve">02-02-2024</t>
  </si>
  <si>
    <t xml:space="preserve">EDU01551</t>
  </si>
  <si>
    <t xml:space="preserve">23-08-2023</t>
  </si>
  <si>
    <t xml:space="preserve">EDU01219</t>
  </si>
  <si>
    <t xml:space="preserve">13-07-2023</t>
  </si>
  <si>
    <t xml:space="preserve">EDU01555</t>
  </si>
  <si>
    <t xml:space="preserve">EDU00930</t>
  </si>
  <si>
    <t xml:space="preserve">EDU02343</t>
  </si>
  <si>
    <t xml:space="preserve">27-04-2023</t>
  </si>
  <si>
    <t xml:space="preserve">EDU01237</t>
  </si>
  <si>
    <t xml:space="preserve">EDU01353</t>
  </si>
  <si>
    <t xml:space="preserve">EDU02450</t>
  </si>
  <si>
    <t xml:space="preserve">26-12-2023</t>
  </si>
  <si>
    <t xml:space="preserve">EDU02307</t>
  </si>
  <si>
    <t xml:space="preserve">11-06-2024</t>
  </si>
  <si>
    <t xml:space="preserve">EDU00781</t>
  </si>
  <si>
    <t xml:space="preserve">05-11-2024</t>
  </si>
  <si>
    <t xml:space="preserve">EDU00632</t>
  </si>
  <si>
    <t xml:space="preserve">01-11-2023</t>
  </si>
  <si>
    <t xml:space="preserve">EDU02424</t>
  </si>
  <si>
    <t xml:space="preserve">25-06-2023</t>
  </si>
  <si>
    <t xml:space="preserve">EDU01209</t>
  </si>
  <si>
    <t xml:space="preserve">EDU01376</t>
  </si>
  <si>
    <t xml:space="preserve">EDU02201</t>
  </si>
  <si>
    <t xml:space="preserve">EDU01572</t>
  </si>
  <si>
    <t xml:space="preserve">EDU02484</t>
  </si>
  <si>
    <t xml:space="preserve">30-11-2023</t>
  </si>
  <si>
    <t xml:space="preserve">EDU00147</t>
  </si>
  <si>
    <t xml:space="preserve">EDU02238</t>
  </si>
  <si>
    <t xml:space="preserve">13-04-2023</t>
  </si>
  <si>
    <t xml:space="preserve">EDU01388</t>
  </si>
  <si>
    <t xml:space="preserve">EDU01396</t>
  </si>
  <si>
    <t xml:space="preserve">EDU02321</t>
  </si>
  <si>
    <t xml:space="preserve">EDU02329</t>
  </si>
  <si>
    <t xml:space="preserve">EDU02335</t>
  </si>
  <si>
    <t xml:space="preserve">EDU02359</t>
  </si>
  <si>
    <t xml:space="preserve">04-10-2023</t>
  </si>
  <si>
    <t xml:space="preserve">EDU02409</t>
  </si>
  <si>
    <t xml:space="preserve">22-02-2024</t>
  </si>
  <si>
    <t xml:space="preserve">EDU00554</t>
  </si>
  <si>
    <t xml:space="preserve">13-06-2023</t>
  </si>
  <si>
    <t xml:space="preserve">EDU00864</t>
  </si>
  <si>
    <t xml:space="preserve">03-06-2023</t>
  </si>
  <si>
    <t xml:space="preserve">EDU02477</t>
  </si>
  <si>
    <t xml:space="preserve">EDU00265</t>
  </si>
  <si>
    <t xml:space="preserve">EDU00322</t>
  </si>
  <si>
    <t xml:space="preserve">EDU00112</t>
  </si>
  <si>
    <t xml:space="preserve">10-10-2024</t>
  </si>
  <si>
    <t xml:space="preserve">EDU00589</t>
  </si>
  <si>
    <t xml:space="preserve">EDU01699</t>
  </si>
  <si>
    <t xml:space="preserve">EDU02302</t>
  </si>
  <si>
    <t xml:space="preserve">EDU02483</t>
  </si>
  <si>
    <t xml:space="preserve">EDU00455</t>
  </si>
  <si>
    <t xml:space="preserve">EDU00593</t>
  </si>
  <si>
    <t xml:space="preserve">20-03-2023</t>
  </si>
  <si>
    <t xml:space="preserve">EDU00137</t>
  </si>
  <si>
    <t xml:space="preserve">EDU02015</t>
  </si>
  <si>
    <t xml:space="preserve">EDU00654</t>
  </si>
  <si>
    <t xml:space="preserve">EDU00339</t>
  </si>
  <si>
    <t xml:space="preserve">03-01-2024</t>
  </si>
  <si>
    <t xml:space="preserve">EDU01293</t>
  </si>
  <si>
    <t xml:space="preserve">EDU02198</t>
  </si>
  <si>
    <t xml:space="preserve">23-01-2024</t>
  </si>
  <si>
    <t xml:space="preserve">EDU02497</t>
  </si>
  <si>
    <t xml:space="preserve">01-04-2023</t>
  </si>
  <si>
    <t xml:space="preserve">EDU02187</t>
  </si>
  <si>
    <t xml:space="preserve">EDU02083</t>
  </si>
  <si>
    <t xml:space="preserve">16-05-2023</t>
  </si>
  <si>
    <t xml:space="preserve">EDU01930</t>
  </si>
  <si>
    <t xml:space="preserve">EDU00542</t>
  </si>
  <si>
    <t xml:space="preserve">EDU00507</t>
  </si>
  <si>
    <t xml:space="preserve">23-09-2024</t>
  </si>
  <si>
    <t xml:space="preserve">EDU00441</t>
  </si>
  <si>
    <t xml:space="preserve">EDU00221</t>
  </si>
  <si>
    <t xml:space="preserve">EDU01865</t>
  </si>
  <si>
    <t xml:space="preserve">EDU01946</t>
  </si>
  <si>
    <t xml:space="preserve">EDU00825</t>
  </si>
  <si>
    <t xml:space="preserve">EDU01826</t>
  </si>
  <si>
    <t xml:space="preserve">EDU01479</t>
  </si>
  <si>
    <t xml:space="preserve">EDU01545</t>
  </si>
  <si>
    <t xml:space="preserve">EDU02323</t>
  </si>
  <si>
    <t xml:space="preserve">EDU00607</t>
  </si>
  <si>
    <t xml:space="preserve">EDU01673</t>
  </si>
  <si>
    <t xml:space="preserve">EDU00741</t>
  </si>
  <si>
    <t xml:space="preserve">EDU01731</t>
  </si>
  <si>
    <t xml:space="preserve">EDU02088</t>
  </si>
  <si>
    <t xml:space="preserve">16-04-2024</t>
  </si>
  <si>
    <t xml:space="preserve">EDU00299</t>
  </si>
  <si>
    <t xml:space="preserve">EDU02019</t>
  </si>
  <si>
    <t xml:space="preserve">EDU02216</t>
  </si>
  <si>
    <t xml:space="preserve">EDU00114</t>
  </si>
  <si>
    <t xml:space="preserve">EDU01314</t>
  </si>
  <si>
    <t xml:space="preserve">06-06-2024</t>
  </si>
  <si>
    <t xml:space="preserve">EDU00849</t>
  </si>
  <si>
    <t xml:space="preserve">05-06-2024</t>
  </si>
  <si>
    <t xml:space="preserve">EDU01012</t>
  </si>
  <si>
    <t xml:space="preserve">EDU00519</t>
  </si>
  <si>
    <t xml:space="preserve">EDU02387</t>
  </si>
  <si>
    <t xml:space="preserve">08-09-2023</t>
  </si>
  <si>
    <t xml:space="preserve">EDU01295</t>
  </si>
  <si>
    <t xml:space="preserve">EDU02042</t>
  </si>
  <si>
    <t xml:space="preserve">EDU01399</t>
  </si>
  <si>
    <t xml:space="preserve">EDU00096</t>
  </si>
  <si>
    <t xml:space="preserve">EDU01696</t>
  </si>
  <si>
    <t xml:space="preserve">EDU00841</t>
  </si>
  <si>
    <t xml:space="preserve">EDU02392</t>
  </si>
  <si>
    <t xml:space="preserve">10-08-2023</t>
  </si>
  <si>
    <t xml:space="preserve">EDU00738</t>
  </si>
  <si>
    <t xml:space="preserve">EDU01327</t>
  </si>
  <si>
    <t xml:space="preserve">EDU00348</t>
  </si>
  <si>
    <t xml:space="preserve">EDU00168</t>
  </si>
  <si>
    <t xml:space="preserve">EDU02163</t>
  </si>
  <si>
    <t xml:space="preserve">EDU00117</t>
  </si>
  <si>
    <t xml:space="preserve">13-02-2023</t>
  </si>
  <si>
    <t xml:space="preserve">EDU02199</t>
  </si>
  <si>
    <t xml:space="preserve">EDU00531</t>
  </si>
  <si>
    <t xml:space="preserve">01-11-2024</t>
  </si>
  <si>
    <t xml:space="preserve">EDU01214</t>
  </si>
  <si>
    <t xml:space="preserve">EDU02427</t>
  </si>
  <si>
    <t xml:space="preserve">EDU00321</t>
  </si>
  <si>
    <t xml:space="preserve">EDU00005</t>
  </si>
  <si>
    <t xml:space="preserve">28-10-2023</t>
  </si>
  <si>
    <t xml:space="preserve">EDU01566</t>
  </si>
  <si>
    <t xml:space="preserve">EDU01180</t>
  </si>
  <si>
    <t xml:space="preserve">EDU01767</t>
  </si>
  <si>
    <t xml:space="preserve">EDU00474</t>
  </si>
  <si>
    <t xml:space="preserve">EDU02044</t>
  </si>
  <si>
    <t xml:space="preserve">EDU01226</t>
  </si>
  <si>
    <t xml:space="preserve">14-06-2023</t>
  </si>
  <si>
    <t xml:space="preserve">EDU01905</t>
  </si>
  <si>
    <t xml:space="preserve">EDU01559</t>
  </si>
  <si>
    <t xml:space="preserve">13-02-2024</t>
  </si>
  <si>
    <t xml:space="preserve">EDU02067</t>
  </si>
  <si>
    <t xml:space="preserve">EDU01429</t>
  </si>
  <si>
    <t xml:space="preserve">10-07-2024</t>
  </si>
  <si>
    <t xml:space="preserve">EDU00740</t>
  </si>
  <si>
    <t xml:space="preserve">EDU00228</t>
  </si>
  <si>
    <t xml:space="preserve">EDU01136</t>
  </si>
  <si>
    <t xml:space="preserve">EDU01434</t>
  </si>
  <si>
    <t xml:space="preserve">EDU00756</t>
  </si>
  <si>
    <t xml:space="preserve">EDU02066</t>
  </si>
  <si>
    <t xml:space="preserve">EDU01601</t>
  </si>
  <si>
    <t xml:space="preserve">EDU01182</t>
  </si>
  <si>
    <t xml:space="preserve">EDU01292</t>
  </si>
  <si>
    <t xml:space="preserve">EDU00082</t>
  </si>
  <si>
    <t xml:space="preserve">29-05-2024</t>
  </si>
  <si>
    <t xml:space="preserve">EDU01738</t>
  </si>
  <si>
    <t xml:space="preserve">EDU02468</t>
  </si>
  <si>
    <t xml:space="preserve">EDU00769</t>
  </si>
  <si>
    <t xml:space="preserve">18-05-2023</t>
  </si>
  <si>
    <t xml:space="preserve">EDU01071</t>
  </si>
  <si>
    <t xml:space="preserve">EDU00453</t>
  </si>
  <si>
    <t xml:space="preserve">EDU00669</t>
  </si>
  <si>
    <t xml:space="preserve">EDU01468</t>
  </si>
  <si>
    <t xml:space="preserve">EDU01165</t>
  </si>
  <si>
    <t xml:space="preserve">EDU02031</t>
  </si>
  <si>
    <t xml:space="preserve">14-07-2023</t>
  </si>
  <si>
    <t xml:space="preserve">EDU02173</t>
  </si>
  <si>
    <t xml:space="preserve">EDU00454</t>
  </si>
  <si>
    <t xml:space="preserve">04-05-2023</t>
  </si>
  <si>
    <t xml:space="preserve">EDU00987</t>
  </si>
  <si>
    <t xml:space="preserve">EDU01636</t>
  </si>
  <si>
    <t xml:space="preserve">31-08-2023</t>
  </si>
  <si>
    <t xml:space="preserve">EDU01806</t>
  </si>
  <si>
    <t xml:space="preserve">05-03-2024</t>
  </si>
  <si>
    <t xml:space="preserve">EDU01911</t>
  </si>
  <si>
    <t xml:space="preserve">EDU00516</t>
  </si>
  <si>
    <t xml:space="preserve">EDU00331</t>
  </si>
  <si>
    <t xml:space="preserve">EDU00671</t>
  </si>
  <si>
    <t xml:space="preserve">04-01-2024</t>
  </si>
  <si>
    <t xml:space="preserve">EDU00110</t>
  </si>
  <si>
    <t xml:space="preserve">10-08-2024</t>
  </si>
  <si>
    <t xml:space="preserve">EDU00863</t>
  </si>
  <si>
    <t xml:space="preserve">EDU00937</t>
  </si>
  <si>
    <t xml:space="preserve">EDU01778</t>
  </si>
  <si>
    <t xml:space="preserve">EDU01171</t>
  </si>
  <si>
    <t xml:space="preserve">19-11-2024</t>
  </si>
  <si>
    <t xml:space="preserve">EDU01204</t>
  </si>
  <si>
    <t xml:space="preserve">EDU01371</t>
  </si>
  <si>
    <t xml:space="preserve">18-11-2024</t>
  </si>
  <si>
    <t xml:space="preserve">EDU01407</t>
  </si>
  <si>
    <t xml:space="preserve">EDU02258</t>
  </si>
  <si>
    <t xml:space="preserve">13-01-2024</t>
  </si>
  <si>
    <t xml:space="preserve">EDU00355</t>
  </si>
  <si>
    <t xml:space="preserve">EDU01641</t>
  </si>
  <si>
    <t xml:space="preserve">EDU00528</t>
  </si>
  <si>
    <t xml:space="preserve">20-12-2023</t>
  </si>
  <si>
    <t xml:space="preserve">EDU00960</t>
  </si>
  <si>
    <t xml:space="preserve">Scaler  </t>
  </si>
  <si>
    <t xml:space="preserve">EDU01896</t>
  </si>
  <si>
    <t xml:space="preserve">EDU00312</t>
  </si>
  <si>
    <t xml:space="preserve">15-05-2024</t>
  </si>
  <si>
    <t xml:space="preserve">EDU01752</t>
  </si>
  <si>
    <t xml:space="preserve">EDU00972</t>
  </si>
  <si>
    <t xml:space="preserve">29-01-2024</t>
  </si>
  <si>
    <t xml:space="preserve">EDU02139</t>
  </si>
  <si>
    <t xml:space="preserve">EDU02129</t>
  </si>
  <si>
    <t xml:space="preserve">29-02-2024</t>
  </si>
  <si>
    <t xml:space="preserve">EDU00020</t>
  </si>
  <si>
    <t xml:space="preserve">EDU02075</t>
  </si>
  <si>
    <t xml:space="preserve">31-07-2023</t>
  </si>
  <si>
    <t xml:space="preserve">EDU00358</t>
  </si>
  <si>
    <t xml:space="preserve">29-10-2023</t>
  </si>
  <si>
    <t xml:space="preserve">EDU00361</t>
  </si>
  <si>
    <t xml:space="preserve">11-03-2023</t>
  </si>
  <si>
    <t xml:space="preserve">EDU00763</t>
  </si>
  <si>
    <t xml:space="preserve">EDU02168</t>
  </si>
  <si>
    <t xml:space="preserve">EDU00739</t>
  </si>
  <si>
    <t xml:space="preserve">upGrad  </t>
  </si>
  <si>
    <t xml:space="preserve">EDU01135</t>
  </si>
  <si>
    <t xml:space="preserve">10-10-2023</t>
  </si>
  <si>
    <t xml:space="preserve">EDU01364</t>
  </si>
  <si>
    <t xml:space="preserve">19-05-2024</t>
  </si>
  <si>
    <t xml:space="preserve">EDU00804</t>
  </si>
  <si>
    <t xml:space="preserve">EDU00393</t>
  </si>
  <si>
    <t xml:space="preserve">EDU01310</t>
  </si>
  <si>
    <t xml:space="preserve">30-03-2023</t>
  </si>
  <si>
    <t xml:space="preserve">EDU00790</t>
  </si>
  <si>
    <t xml:space="preserve">EDU00267</t>
  </si>
  <si>
    <t xml:space="preserve">EDU01823</t>
  </si>
  <si>
    <t xml:space="preserve">22-01-2024</t>
  </si>
  <si>
    <t xml:space="preserve">EDU00223</t>
  </si>
  <si>
    <t xml:space="preserve">EDU01885</t>
  </si>
  <si>
    <t xml:space="preserve">EDU01303</t>
  </si>
  <si>
    <t xml:space="preserve">EDU02211</t>
  </si>
  <si>
    <t xml:space="preserve">27-04-2024</t>
  </si>
  <si>
    <t xml:space="preserve">EDU01628</t>
  </si>
  <si>
    <t xml:space="preserve">07-03-2024</t>
  </si>
  <si>
    <t xml:space="preserve">EDU00624</t>
  </si>
  <si>
    <t xml:space="preserve">22-03-2024</t>
  </si>
  <si>
    <t xml:space="preserve">EDU01507</t>
  </si>
  <si>
    <t xml:space="preserve">24-09-2023</t>
  </si>
  <si>
    <t xml:space="preserve">EDU01297</t>
  </si>
  <si>
    <t xml:space="preserve">EDU00398</t>
  </si>
  <si>
    <t xml:space="preserve">EDU00988</t>
  </si>
  <si>
    <t xml:space="preserve">EDU00371</t>
  </si>
  <si>
    <t xml:space="preserve">EDU01142</t>
  </si>
  <si>
    <t xml:space="preserve">EDU00314</t>
  </si>
  <si>
    <t xml:space="preserve">EDU00288</t>
  </si>
  <si>
    <t xml:space="preserve">22-12-2024</t>
  </si>
  <si>
    <t xml:space="preserve">EDU00594</t>
  </si>
  <si>
    <t xml:space="preserve">EDU00836</t>
  </si>
  <si>
    <t xml:space="preserve">10-05-2023</t>
  </si>
  <si>
    <t xml:space="preserve">EDU01759</t>
  </si>
  <si>
    <t xml:space="preserve">EDU00702</t>
  </si>
  <si>
    <t xml:space="preserve">EDU02157</t>
  </si>
  <si>
    <t xml:space="preserve">17-05-2024</t>
  </si>
  <si>
    <t xml:space="preserve">EDU01658</t>
  </si>
  <si>
    <t xml:space="preserve">EDU02104</t>
  </si>
  <si>
    <t xml:space="preserve">EDU01239</t>
  </si>
  <si>
    <t xml:space="preserve">27-03-2023</t>
  </si>
  <si>
    <t xml:space="preserve">EDU01600</t>
  </si>
  <si>
    <t xml:space="preserve">EDU01338</t>
  </si>
  <si>
    <t xml:space="preserve">13-06-2024</t>
  </si>
  <si>
    <t xml:space="preserve">EDU00439</t>
  </si>
  <si>
    <t xml:space="preserve">16-05-2024</t>
  </si>
  <si>
    <t xml:space="preserve">EDU00327</t>
  </si>
  <si>
    <t xml:space="preserve">EDU02036</t>
  </si>
  <si>
    <t xml:space="preserve">EDU00839</t>
  </si>
  <si>
    <t xml:space="preserve">EDU01058</t>
  </si>
  <si>
    <t xml:space="preserve">EDU00388</t>
  </si>
  <si>
    <t xml:space="preserve">13-09-2024</t>
  </si>
  <si>
    <t xml:space="preserve">EDU00018</t>
  </si>
  <si>
    <t xml:space="preserve">EDU01721</t>
  </si>
  <si>
    <t xml:space="preserve">EDU02425</t>
  </si>
  <si>
    <t xml:space="preserve">09-09-2023</t>
  </si>
  <si>
    <t xml:space="preserve">EDU00282</t>
  </si>
  <si>
    <t xml:space="preserve">EDU01085</t>
  </si>
  <si>
    <t xml:space="preserve">EDU00352</t>
  </si>
  <si>
    <t xml:space="preserve">18-11-2023</t>
  </si>
  <si>
    <t xml:space="preserve">EDU01511</t>
  </si>
  <si>
    <t xml:space="preserve">05-09-2024</t>
  </si>
  <si>
    <t xml:space="preserve">EDU00848</t>
  </si>
  <si>
    <t xml:space="preserve">EDU00732</t>
  </si>
  <si>
    <t xml:space="preserve">EDU01114</t>
  </si>
  <si>
    <t xml:space="preserve">31-07-2024</t>
  </si>
  <si>
    <t xml:space="preserve">EDU01224</t>
  </si>
  <si>
    <t xml:space="preserve">02-05-2024</t>
  </si>
  <si>
    <t xml:space="preserve">EDU00043</t>
  </si>
  <si>
    <t xml:space="preserve">EDU01117</t>
  </si>
  <si>
    <t xml:space="preserve">EDU01978</t>
  </si>
  <si>
    <t xml:space="preserve">EDU00102</t>
  </si>
  <si>
    <t xml:space="preserve">EDU00276</t>
  </si>
  <si>
    <t xml:space="preserve">EDU00287</t>
  </si>
  <si>
    <t xml:space="preserve">20-09-2024</t>
  </si>
  <si>
    <t xml:space="preserve">EDU00447</t>
  </si>
  <si>
    <t xml:space="preserve">EDU01392</t>
  </si>
  <si>
    <t xml:space="preserve">EDU00250</t>
  </si>
  <si>
    <t xml:space="preserve">EDU00135</t>
  </si>
  <si>
    <t xml:space="preserve">06-04-2024</t>
  </si>
  <si>
    <t xml:space="preserve">EDU00575</t>
  </si>
  <si>
    <t xml:space="preserve">EDU01355</t>
  </si>
  <si>
    <t xml:space="preserve">14-08-2023</t>
  </si>
  <si>
    <t xml:space="preserve">EDU00877</t>
  </si>
  <si>
    <t xml:space="preserve">10-03-2024</t>
  </si>
  <si>
    <t xml:space="preserve">EDU01034</t>
  </si>
  <si>
    <t xml:space="preserve">EDU00595</t>
  </si>
  <si>
    <t xml:space="preserve">22-03-2023</t>
  </si>
  <si>
    <t xml:space="preserve">EDU00857</t>
  </si>
  <si>
    <t xml:space="preserve">EDU00129</t>
  </si>
  <si>
    <t xml:space="preserve">EDU01253</t>
  </si>
  <si>
    <t xml:space="preserve">EDU01039</t>
  </si>
  <si>
    <t xml:space="preserve">EDU00748</t>
  </si>
  <si>
    <t xml:space="preserve">EDU01190</t>
  </si>
  <si>
    <t xml:space="preserve">15-01-2024</t>
  </si>
  <si>
    <t xml:space="preserve">EDU00573</t>
  </si>
  <si>
    <t xml:space="preserve">EDU02341</t>
  </si>
  <si>
    <t xml:space="preserve">EDU01129</t>
  </si>
  <si>
    <t xml:space="preserve">EDU02160</t>
  </si>
  <si>
    <t xml:space="preserve">EDU01943</t>
  </si>
  <si>
    <t xml:space="preserve">EDU00876</t>
  </si>
  <si>
    <t xml:space="preserve">13-08-2023</t>
  </si>
  <si>
    <t xml:space="preserve">EDU01677</t>
  </si>
  <si>
    <t xml:space="preserve">EDU00104</t>
  </si>
  <si>
    <t xml:space="preserve">EDU01127</t>
  </si>
  <si>
    <t xml:space="preserve">MUMBAI</t>
  </si>
  <si>
    <t xml:space="preserve">EDU00411</t>
  </si>
  <si>
    <t xml:space="preserve">14-06-2024</t>
  </si>
  <si>
    <t xml:space="preserve">EDU01365</t>
  </si>
  <si>
    <t xml:space="preserve">31-03-2023</t>
  </si>
  <si>
    <t xml:space="preserve">EDU02102</t>
  </si>
  <si>
    <t xml:space="preserve">EDU02219</t>
  </si>
  <si>
    <t xml:space="preserve">EDU00605</t>
  </si>
  <si>
    <t xml:space="preserve">EDU02386</t>
  </si>
  <si>
    <t xml:space="preserve">EDU01398</t>
  </si>
  <si>
    <t xml:space="preserve">05-01-2024</t>
  </si>
  <si>
    <t xml:space="preserve">EDU01881</t>
  </si>
  <si>
    <t xml:space="preserve">28-04-2024</t>
  </si>
  <si>
    <t xml:space="preserve">EDU01079</t>
  </si>
  <si>
    <t xml:space="preserve">EDU01735</t>
  </si>
  <si>
    <t xml:space="preserve">EDU01274</t>
  </si>
  <si>
    <t xml:space="preserve">EDU01514</t>
  </si>
  <si>
    <t xml:space="preserve">EDU01562</t>
  </si>
  <si>
    <t xml:space="preserve">27-06-2024</t>
  </si>
  <si>
    <t xml:space="preserve">EDU00712</t>
  </si>
  <si>
    <t xml:space="preserve">EDU00325</t>
  </si>
  <si>
    <t xml:space="preserve">EDU01991</t>
  </si>
  <si>
    <t xml:space="preserve">02-01-2024</t>
  </si>
  <si>
    <t xml:space="preserve">EDU00079</t>
  </si>
  <si>
    <t xml:space="preserve">EDU00541</t>
  </si>
  <si>
    <t xml:space="preserve">07-11-2023</t>
  </si>
  <si>
    <t xml:space="preserve">EDU00356</t>
  </si>
  <si>
    <t xml:space="preserve">EDU00494</t>
  </si>
  <si>
    <t xml:space="preserve">EDU02076</t>
  </si>
  <si>
    <t xml:space="preserve">EDU00360</t>
  </si>
  <si>
    <t xml:space="preserve">02-10-2024</t>
  </si>
  <si>
    <t xml:space="preserve">EDU01517</t>
  </si>
  <si>
    <t xml:space="preserve">EDU02353</t>
  </si>
  <si>
    <t xml:space="preserve">EDU00225</t>
  </si>
  <si>
    <t xml:space="preserve">EDU00916</t>
  </si>
  <si>
    <t xml:space="preserve">EDU00308</t>
  </si>
  <si>
    <t xml:space="preserve">EDU01043</t>
  </si>
  <si>
    <t xml:space="preserve">17-11-2023</t>
  </si>
  <si>
    <t xml:space="preserve">EDU01538</t>
  </si>
  <si>
    <t xml:space="preserve">EDU01403</t>
  </si>
  <si>
    <t xml:space="preserve">EDU01059</t>
  </si>
  <si>
    <t xml:space="preserve">EDU00382</t>
  </si>
  <si>
    <t xml:space="preserve">17-06-2024</t>
  </si>
  <si>
    <t xml:space="preserve">EDU00789</t>
  </si>
  <si>
    <t xml:space="preserve">EDU01068</t>
  </si>
  <si>
    <t xml:space="preserve">EDU00658</t>
  </si>
  <si>
    <t xml:space="preserve">EDU00883</t>
  </si>
  <si>
    <t xml:space="preserve">14-12-2023</t>
  </si>
  <si>
    <t xml:space="preserve">EDU01897</t>
  </si>
  <si>
    <t xml:space="preserve">EDU00946</t>
  </si>
  <si>
    <t xml:space="preserve">EDU00699</t>
  </si>
  <si>
    <t xml:space="preserve">EDU01225</t>
  </si>
  <si>
    <t xml:space="preserve">EDU00004</t>
  </si>
  <si>
    <t xml:space="preserve">EDU00216</t>
  </si>
  <si>
    <t xml:space="preserve">19-03-2023</t>
  </si>
  <si>
    <t xml:space="preserve">EDU00977</t>
  </si>
  <si>
    <t xml:space="preserve">EDU00099</t>
  </si>
  <si>
    <t xml:space="preserve">EDU01675</t>
  </si>
  <si>
    <t xml:space="preserve">EDU01513</t>
  </si>
  <si>
    <t xml:space="preserve">EDU01924</t>
  </si>
  <si>
    <t xml:space="preserve">EDU02142</t>
  </si>
  <si>
    <t xml:space="preserve">EDU01137</t>
  </si>
  <si>
    <t xml:space="preserve">EDU02022</t>
  </si>
  <si>
    <t xml:space="preserve">EDU00701</t>
  </si>
  <si>
    <t xml:space="preserve">23-08-2024</t>
  </si>
  <si>
    <t xml:space="preserve">EDU00456</t>
  </si>
  <si>
    <t xml:space="preserve">EDU02174</t>
  </si>
  <si>
    <t xml:space="preserve">EDU01662</t>
  </si>
  <si>
    <t xml:space="preserve">EDU00522</t>
  </si>
  <si>
    <t xml:space="preserve">EDU01038</t>
  </si>
  <si>
    <t xml:space="preserve">EDU00390</t>
  </si>
  <si>
    <t xml:space="preserve">EDU00952</t>
  </si>
  <si>
    <t xml:space="preserve">EDU01950</t>
  </si>
  <si>
    <t xml:space="preserve">EDU01276</t>
  </si>
  <si>
    <t xml:space="preserve">EDU01367</t>
  </si>
  <si>
    <t xml:space="preserve">EDU02001</t>
  </si>
  <si>
    <t xml:space="preserve">12-12-2024</t>
  </si>
  <si>
    <t xml:space="preserve">EDU02195</t>
  </si>
  <si>
    <t xml:space="preserve">EDU02218</t>
  </si>
  <si>
    <t xml:space="preserve">04-02-2023</t>
  </si>
  <si>
    <t xml:space="preserve">EDU00502</t>
  </si>
  <si>
    <t xml:space="preserve">EDU02363</t>
  </si>
  <si>
    <t xml:space="preserve">02-09-2023</t>
  </si>
  <si>
    <t xml:space="preserve">EDU00759</t>
  </si>
  <si>
    <t xml:space="preserve">EDU02357</t>
  </si>
  <si>
    <t xml:space="preserve">EDU00429</t>
  </si>
  <si>
    <t xml:space="preserve">24-10-2023</t>
  </si>
  <si>
    <t xml:space="preserve">EDU02423</t>
  </si>
  <si>
    <t xml:space="preserve">08-04-2024</t>
  </si>
  <si>
    <t xml:space="preserve">EDU00074</t>
  </si>
  <si>
    <t xml:space="preserve">EDU00026</t>
  </si>
  <si>
    <t xml:space="preserve">EDU00506</t>
  </si>
  <si>
    <t xml:space="preserve">EDU01810</t>
  </si>
  <si>
    <t xml:space="preserve">06-03-2023</t>
  </si>
  <si>
    <t xml:space="preserve">EDU02285</t>
  </si>
  <si>
    <t xml:space="preserve">EDU01086</t>
  </si>
  <si>
    <t xml:space="preserve">EDU00587</t>
  </si>
  <si>
    <t xml:space="preserve">EDU01193</t>
  </si>
  <si>
    <t xml:space="preserve">EDU00612</t>
  </si>
  <si>
    <t xml:space="preserve">EDU00426</t>
  </si>
  <si>
    <t xml:space="preserve">EDU00649</t>
  </si>
  <si>
    <t xml:space="preserve">EDU02034</t>
  </si>
  <si>
    <t xml:space="preserve">Doubtnut  </t>
  </si>
  <si>
    <t xml:space="preserve">EDU00566</t>
  </si>
  <si>
    <t xml:space="preserve">EDU01940</t>
  </si>
  <si>
    <t xml:space="preserve">EDU00886</t>
  </si>
  <si>
    <t xml:space="preserve">EDU02421</t>
  </si>
  <si>
    <t xml:space="preserve">EDU02336</t>
  </si>
  <si>
    <t xml:space="preserve">EDU01741</t>
  </si>
  <si>
    <t xml:space="preserve">EDU01988</t>
  </si>
  <si>
    <t xml:space="preserve">25-09-2023</t>
  </si>
  <si>
    <t xml:space="preserve">EDU01424</t>
  </si>
  <si>
    <t xml:space="preserve">EDU01668</t>
  </si>
  <si>
    <t xml:space="preserve">EDU00501</t>
  </si>
  <si>
    <t xml:space="preserve">EDU01697</t>
  </si>
  <si>
    <t xml:space="preserve">EDU01524</t>
  </si>
  <si>
    <t xml:space="preserve">EDU00165</t>
  </si>
  <si>
    <t xml:space="preserve">EDU00244</t>
  </si>
  <si>
    <t xml:space="preserve">EDU02361</t>
  </si>
  <si>
    <t xml:space="preserve">EDU00379</t>
  </si>
  <si>
    <t xml:space="preserve">EDU00295</t>
  </si>
  <si>
    <t xml:space="preserve">17-03-2023</t>
  </si>
  <si>
    <t xml:space="preserve">EDU01294</t>
  </si>
  <si>
    <t xml:space="preserve">EDU01578</t>
  </si>
  <si>
    <t xml:space="preserve">EDU01299</t>
  </si>
  <si>
    <t xml:space="preserve">EDU01962</t>
  </si>
  <si>
    <t xml:space="preserve">EDU00316</t>
  </si>
  <si>
    <t xml:space="preserve">EDU00529</t>
  </si>
  <si>
    <t xml:space="preserve">EDU00190</t>
  </si>
  <si>
    <t xml:space="preserve">EDU00028</t>
  </si>
  <si>
    <t xml:space="preserve">EDU01913</t>
  </si>
  <si>
    <t xml:space="preserve">EDU01326</t>
  </si>
  <si>
    <t xml:space="preserve">EDU01075</t>
  </si>
  <si>
    <t xml:space="preserve">HOWRAH</t>
  </si>
  <si>
    <t xml:space="preserve">EDU02055</t>
  </si>
  <si>
    <t xml:space="preserve">EDU01536</t>
  </si>
  <si>
    <t xml:space="preserve">24-04-2024</t>
  </si>
  <si>
    <t xml:space="preserve">EDU01268</t>
  </si>
  <si>
    <t xml:space="preserve">29-07-2023</t>
  </si>
  <si>
    <t xml:space="preserve">EDU02205</t>
  </si>
  <si>
    <t xml:space="preserve">EDU01587</t>
  </si>
  <si>
    <t xml:space="preserve">EDU00586</t>
  </si>
  <si>
    <t xml:space="preserve">EDU00838</t>
  </si>
  <si>
    <t xml:space="preserve">EDU00711</t>
  </si>
  <si>
    <t xml:space="preserve">EDU02106</t>
  </si>
  <si>
    <t xml:space="preserve">EDU02052</t>
  </si>
  <si>
    <t xml:space="preserve">03-05-2024</t>
  </si>
  <si>
    <t xml:space="preserve">EDU01667</t>
  </si>
  <si>
    <t xml:space="preserve">EDU02131</t>
  </si>
  <si>
    <t xml:space="preserve">26-07-2023</t>
  </si>
  <si>
    <t xml:space="preserve">EDU02398</t>
  </si>
  <si>
    <t xml:space="preserve">EDU00817</t>
  </si>
  <si>
    <t xml:space="preserve">EDU01289</t>
  </si>
  <si>
    <t xml:space="preserve">EDU00958</t>
  </si>
  <si>
    <t xml:space="preserve">EDU00303</t>
  </si>
  <si>
    <t xml:space="preserve">EDU00572</t>
  </si>
  <si>
    <t xml:space="preserve">EDU00631</t>
  </si>
  <si>
    <t xml:space="preserve">EDU02229</t>
  </si>
  <si>
    <t xml:space="preserve">EDU02416</t>
  </si>
  <si>
    <t xml:space="preserve">EDU01147</t>
  </si>
  <si>
    <t xml:space="preserve">EDU01808</t>
  </si>
  <si>
    <t xml:space="preserve">EDU01233</t>
  </si>
  <si>
    <t xml:space="preserve">EDU01594</t>
  </si>
  <si>
    <t xml:space="preserve">EDU01335</t>
  </si>
  <si>
    <t xml:space="preserve">EDU01646</t>
  </si>
  <si>
    <t xml:space="preserve">EDU01680</t>
  </si>
  <si>
    <t xml:space="preserve">EDU01236</t>
  </si>
  <si>
    <t xml:space="preserve">EDU00924</t>
  </si>
  <si>
    <t xml:space="preserve">EDU01835</t>
  </si>
  <si>
    <t xml:space="preserve">EDU00060</t>
  </si>
  <si>
    <t xml:space="preserve">EDU01681</t>
  </si>
  <si>
    <t xml:space="preserve">EDU01241</t>
  </si>
  <si>
    <t xml:space="preserve">EDU00024</t>
  </si>
  <si>
    <t xml:space="preserve">EDU02016</t>
  </si>
  <si>
    <t xml:space="preserve">EDU00684</t>
  </si>
  <si>
    <t xml:space="preserve">EDU01016</t>
  </si>
  <si>
    <t xml:space="preserve">EDU00347</t>
  </si>
  <si>
    <t xml:space="preserve">EDU01691</t>
  </si>
  <si>
    <t xml:space="preserve">EDU02466</t>
  </si>
  <si>
    <t xml:space="preserve">EDU00009</t>
  </si>
  <si>
    <t xml:space="preserve">EDU02434</t>
  </si>
  <si>
    <t xml:space="preserve">EDU00229</t>
  </si>
  <si>
    <t xml:space="preserve">EDU00490</t>
  </si>
  <si>
    <t xml:space="preserve">EDU00830</t>
  </si>
  <si>
    <t xml:space="preserve">06-02-2023</t>
  </si>
  <si>
    <t xml:space="preserve">EDU02475</t>
  </si>
  <si>
    <t xml:space="preserve">24-12-2023</t>
  </si>
  <si>
    <t xml:space="preserve">EDU00450</t>
  </si>
  <si>
    <t xml:space="preserve">05-02-2023</t>
  </si>
  <si>
    <t xml:space="preserve">EDU02056</t>
  </si>
  <si>
    <t xml:space="preserve">12-06-2024</t>
  </si>
  <si>
    <t xml:space="preserve">EDU00016</t>
  </si>
  <si>
    <t xml:space="preserve">EDU01115</t>
  </si>
  <si>
    <t xml:space="preserve">EDU02347</t>
  </si>
  <si>
    <t xml:space="preserve">EDU02317</t>
  </si>
  <si>
    <t xml:space="preserve">16-08-2024</t>
  </si>
  <si>
    <t xml:space="preserve">EDU00824</t>
  </si>
  <si>
    <t xml:space="preserve">EDU01298</t>
  </si>
  <si>
    <t xml:space="preserve">EDU02130</t>
  </si>
  <si>
    <t xml:space="preserve">EDU01010</t>
  </si>
  <si>
    <t xml:space="preserve">EDU02263</t>
  </si>
  <si>
    <t xml:space="preserve">EDU01617</t>
  </si>
  <si>
    <t xml:space="preserve">EDU01107</t>
  </si>
  <si>
    <t xml:space="preserve">EDU01612</t>
  </si>
  <si>
    <t xml:space="preserve">18-07-2023</t>
  </si>
  <si>
    <t xml:space="preserve">EDU01782</t>
  </si>
  <si>
    <t xml:space="preserve">EDU01282</t>
  </si>
  <si>
    <t xml:space="preserve">EDU00443</t>
  </si>
  <si>
    <t xml:space="preserve">EDU01666</t>
  </si>
  <si>
    <t xml:space="preserve">EDU00286</t>
  </si>
  <si>
    <t xml:space="preserve">EDU00784</t>
  </si>
  <si>
    <t xml:space="preserve">EDU00861</t>
  </si>
  <si>
    <t xml:space="preserve">EDU01322</t>
  </si>
  <si>
    <t xml:space="preserve">EDU02203</t>
  </si>
  <si>
    <t xml:space="preserve">EDU00349</t>
  </si>
  <si>
    <t xml:space="preserve">EDU00069</t>
  </si>
  <si>
    <t xml:space="preserve">EDU00404</t>
  </si>
  <si>
    <t xml:space="preserve">EDU00755</t>
  </si>
  <si>
    <t xml:space="preserve">05-05-2023</t>
  </si>
  <si>
    <t xml:space="preserve">EDU00798</t>
  </si>
  <si>
    <t xml:space="preserve">EDU01051</t>
  </si>
  <si>
    <t xml:space="preserve">EDU02481</t>
  </si>
  <si>
    <t xml:space="preserve">16-02-2024</t>
  </si>
  <si>
    <t xml:space="preserve">EDU01783</t>
  </si>
  <si>
    <t xml:space="preserve">EDU00178</t>
  </si>
  <si>
    <t xml:space="preserve">EDU00954</t>
  </si>
  <si>
    <t xml:space="preserve">EDU01433</t>
  </si>
  <si>
    <t xml:space="preserve">EDU01465</t>
  </si>
  <si>
    <t xml:space="preserve">EDU00253</t>
  </si>
  <si>
    <t xml:space="preserve">EDU00559</t>
  </si>
  <si>
    <t xml:space="preserve">14-04-2024</t>
  </si>
  <si>
    <t xml:space="preserve">EDU01822</t>
  </si>
  <si>
    <t xml:space="preserve">01-09-2024</t>
  </si>
  <si>
    <t xml:space="preserve">EDU00194</t>
  </si>
  <si>
    <t xml:space="preserve">EDU02401</t>
  </si>
  <si>
    <t xml:space="preserve">26-07-2024</t>
  </si>
  <si>
    <t xml:space="preserve">EDU02184</t>
  </si>
  <si>
    <t xml:space="preserve">30-06-2024</t>
  </si>
  <si>
    <t xml:space="preserve">EDU00446</t>
  </si>
  <si>
    <t xml:space="preserve">14-04-2023</t>
  </si>
  <si>
    <t xml:space="preserve">EDU00256</t>
  </si>
  <si>
    <t xml:space="preserve">EDU00452</t>
  </si>
  <si>
    <t xml:space="preserve">EDU01828</t>
  </si>
  <si>
    <t xml:space="preserve">EDU01715</t>
  </si>
  <si>
    <t xml:space="preserve">EDU02189</t>
  </si>
  <si>
    <t xml:space="preserve">19-03-2024</t>
  </si>
  <si>
    <t xml:space="preserve">EDU01743</t>
  </si>
  <si>
    <t xml:space="preserve">12-03-2024</t>
  </si>
  <si>
    <t xml:space="preserve">EDU02385</t>
  </si>
  <si>
    <t xml:space="preserve">EDU00949</t>
  </si>
  <si>
    <t xml:space="preserve">12-02-2023</t>
  </si>
  <si>
    <t xml:space="preserve">EDU00511</t>
  </si>
  <si>
    <t xml:space="preserve">30-08-2023</t>
  </si>
  <si>
    <t xml:space="preserve">EDU02266</t>
  </si>
  <si>
    <t xml:space="preserve">07-03-2023</t>
  </si>
  <si>
    <t xml:space="preserve">EDU01708</t>
  </si>
  <si>
    <t xml:space="preserve">30-04-2023</t>
  </si>
  <si>
    <t xml:space="preserve">EDU01926</t>
  </si>
  <si>
    <t xml:space="preserve">23-05-2024</t>
  </si>
  <si>
    <t xml:space="preserve">EDU01258</t>
  </si>
  <si>
    <t xml:space="preserve">EDU01730</t>
  </si>
  <si>
    <t xml:space="preserve">EDU01975</t>
  </si>
  <si>
    <t xml:space="preserve">EDU01901</t>
  </si>
  <si>
    <t xml:space="preserve">22-07-2024</t>
  </si>
  <si>
    <t xml:space="preserve">EDU00622</t>
  </si>
  <si>
    <t xml:space="preserve">EDU01508</t>
  </si>
  <si>
    <t xml:space="preserve">EDU01969</t>
  </si>
  <si>
    <t xml:space="preserve">EDU01489</t>
  </si>
  <si>
    <t xml:space="preserve">EDU01958</t>
  </si>
  <si>
    <t xml:space="preserve">EDU00664</t>
  </si>
  <si>
    <t xml:space="preserve">07-05-2024</t>
  </si>
  <si>
    <t xml:space="preserve">EDU00775</t>
  </si>
  <si>
    <t xml:space="preserve">EDU00574</t>
  </si>
  <si>
    <t xml:space="preserve">EDU01800</t>
  </si>
  <si>
    <t xml:space="preserve">EDU01287</t>
  </si>
  <si>
    <t xml:space="preserve">20-12-2024</t>
  </si>
  <si>
    <t xml:space="preserve">EDU01122</t>
  </si>
  <si>
    <t xml:space="preserve">22-08-2023</t>
  </si>
  <si>
    <t xml:space="preserve">EDU01427</t>
  </si>
  <si>
    <t xml:space="preserve">EDU02093</t>
  </si>
  <si>
    <t xml:space="preserve">EDU01351</t>
  </si>
  <si>
    <t xml:space="preserve">EDU00140</t>
  </si>
  <si>
    <t xml:space="preserve">EDU02394</t>
  </si>
  <si>
    <t xml:space="preserve">EDU00283</t>
  </si>
  <si>
    <t xml:space="preserve">EDU01903</t>
  </si>
  <si>
    <t xml:space="preserve">EDU00617</t>
  </si>
  <si>
    <t xml:space="preserve">EDU02062</t>
  </si>
  <si>
    <t xml:space="preserve">21-09-2023</t>
  </si>
  <si>
    <t xml:space="preserve">EDU01486</t>
  </si>
  <si>
    <t xml:space="preserve">EDU00726</t>
  </si>
  <si>
    <t xml:space="preserve">EDU02265</t>
  </si>
  <si>
    <t xml:space="preserve">EDU00678</t>
  </si>
  <si>
    <t xml:space="preserve">EDU01153</t>
  </si>
  <si>
    <t xml:space="preserve">EDU00056</t>
  </si>
  <si>
    <t xml:space="preserve">EDU01657</t>
  </si>
  <si>
    <t xml:space="preserve">EDU00167</t>
  </si>
  <si>
    <t xml:space="preserve">EDU02318</t>
  </si>
  <si>
    <t xml:space="preserve">EDU00873</t>
  </si>
  <si>
    <t xml:space="preserve">16-12-2024</t>
  </si>
  <si>
    <t xml:space="preserve">EDU00888</t>
  </si>
  <si>
    <t xml:space="preserve">EDU00889</t>
  </si>
  <si>
    <t xml:space="preserve">EDU01846</t>
  </si>
  <si>
    <t xml:space="preserve">03-12-2023</t>
  </si>
  <si>
    <t xml:space="preserve">EDU00499</t>
  </si>
  <si>
    <t xml:space="preserve">EDU00715</t>
  </si>
  <si>
    <t xml:space="preserve">08-10-2023</t>
  </si>
  <si>
    <t xml:space="preserve">EDU02256</t>
  </si>
  <si>
    <t xml:space="preserve">EDU01057</t>
  </si>
  <si>
    <t xml:space="preserve">EDU02268</t>
  </si>
  <si>
    <t xml:space="preserve">19-10-2023</t>
  </si>
  <si>
    <t xml:space="preserve">EDU00365</t>
  </si>
  <si>
    <t xml:space="preserve">EDU02430</t>
  </si>
  <si>
    <t xml:space="preserve">14-11-2024</t>
  </si>
  <si>
    <t xml:space="preserve">EDU02332</t>
  </si>
  <si>
    <t xml:space="preserve">EDU02496</t>
  </si>
  <si>
    <t xml:space="preserve">EDU00801</t>
  </si>
  <si>
    <t xml:space="preserve">EDU00618</t>
  </si>
  <si>
    <t xml:space="preserve">EDU02000</t>
  </si>
  <si>
    <t xml:space="preserve">25-07-2023</t>
  </si>
  <si>
    <t xml:space="preserve">EDU00124</t>
  </si>
  <si>
    <t xml:space="preserve">EDU00335</t>
  </si>
  <si>
    <t xml:space="preserve">EDU01415</t>
  </si>
  <si>
    <t xml:space="preserve">EDU01916</t>
  </si>
  <si>
    <t xml:space="preserve">EDU01770</t>
  </si>
  <si>
    <t xml:space="preserve">07-07-2023</t>
  </si>
  <si>
    <t xml:space="preserve">EDU01784</t>
  </si>
  <si>
    <t xml:space="preserve">EDU00919</t>
  </si>
  <si>
    <t xml:space="preserve">EDU01080</t>
  </si>
  <si>
    <t xml:space="preserve">EDU00697</t>
  </si>
  <si>
    <t xml:space="preserve">EDU00582</t>
  </si>
  <si>
    <t xml:space="preserve">EDU01772</t>
  </si>
  <si>
    <t xml:space="preserve">EDU01195</t>
  </si>
  <si>
    <t xml:space="preserve">06-08-2024</t>
  </si>
  <si>
    <t xml:space="preserve">EDU00829</t>
  </si>
  <si>
    <t xml:space="preserve">EDU00992</t>
  </si>
  <si>
    <t xml:space="preserve">EDU01546</t>
  </si>
  <si>
    <t xml:space="preserve">EDU01196</t>
  </si>
  <si>
    <t xml:space="preserve">EDU01899</t>
  </si>
  <si>
    <t xml:space="preserve">EDU01651</t>
  </si>
  <si>
    <t xml:space="preserve">EDU00410</t>
  </si>
  <si>
    <t xml:space="preserve">25-02-2023</t>
  </si>
  <si>
    <t xml:space="preserve">EDU01769</t>
  </si>
  <si>
    <t xml:space="preserve">EDU00298</t>
  </si>
  <si>
    <t xml:space="preserve">EDU00926</t>
  </si>
  <si>
    <t xml:space="preserve">14-02-2024</t>
  </si>
  <si>
    <t xml:space="preserve">EDU01855</t>
  </si>
  <si>
    <t xml:space="preserve">EDU02082</t>
  </si>
  <si>
    <t xml:space="preserve">EDU00729</t>
  </si>
  <si>
    <t xml:space="preserve">EDU01394</t>
  </si>
  <si>
    <t xml:space="preserve">EDU00672</t>
  </si>
  <si>
    <t xml:space="preserve">EDU01200</t>
  </si>
  <si>
    <t xml:space="preserve">EDU00182</t>
  </si>
  <si>
    <t xml:space="preserve">EDU00294</t>
  </si>
  <si>
    <t xml:space="preserve">EDU00202</t>
  </si>
  <si>
    <t xml:space="preserve">EDU01503</t>
  </si>
  <si>
    <t xml:space="preserve">EDU00127</t>
  </si>
  <si>
    <t xml:space="preserve">EDU00532</t>
  </si>
  <si>
    <t xml:space="preserve">EDU00200</t>
  </si>
  <si>
    <t xml:space="preserve">EDU01325</t>
  </si>
  <si>
    <t xml:space="preserve">EDU00693</t>
  </si>
  <si>
    <t xml:space="preserve">02-08-2024</t>
  </si>
  <si>
    <t xml:space="preserve">EDU00935</t>
  </si>
  <si>
    <t xml:space="preserve">EDU01902</t>
  </si>
  <si>
    <t xml:space="preserve">EDU00818</t>
  </si>
  <si>
    <t xml:space="preserve">EDU00217</t>
  </si>
  <si>
    <t xml:space="preserve">EDU01278</t>
  </si>
  <si>
    <t xml:space="preserve">EDU00153</t>
  </si>
  <si>
    <t xml:space="preserve">EDU02429</t>
  </si>
  <si>
    <t xml:space="preserve">EDU01470</t>
  </si>
  <si>
    <t xml:space="preserve">EDU00966</t>
  </si>
  <si>
    <t xml:space="preserve">EDU00479</t>
  </si>
  <si>
    <t xml:space="preserve">EDU01283</t>
  </si>
  <si>
    <t xml:space="preserve">19-06-2023</t>
  </si>
  <si>
    <t xml:space="preserve">EDU01884</t>
  </si>
  <si>
    <t xml:space="preserve">EDU01151</t>
  </si>
  <si>
    <t xml:space="preserve">EDU02179</t>
  </si>
  <si>
    <t xml:space="preserve">EDU02246</t>
  </si>
  <si>
    <t xml:space="preserve">05-10-2024</t>
  </si>
  <si>
    <t xml:space="preserve">EDU02086</t>
  </si>
  <si>
    <t xml:space="preserve">EDU00844</t>
  </si>
  <si>
    <t xml:space="preserve">EDU02074</t>
  </si>
  <si>
    <t xml:space="preserve">EDU01265</t>
  </si>
  <si>
    <t xml:space="preserve">EDU01009</t>
  </si>
  <si>
    <t xml:space="preserve">EDU01698</t>
  </si>
  <si>
    <t xml:space="preserve">EDU00968</t>
  </si>
  <si>
    <t xml:space="preserve">EDU02014</t>
  </si>
  <si>
    <t xml:space="preserve">EDU02186</t>
  </si>
  <si>
    <t xml:space="preserve">EDU00973</t>
  </si>
  <si>
    <t xml:space="preserve">EDU00188</t>
  </si>
  <si>
    <t xml:space="preserve">EDU00247</t>
  </si>
  <si>
    <t xml:space="preserve">EDU02092</t>
  </si>
  <si>
    <t xml:space="preserve">EDU02077</t>
  </si>
  <si>
    <t xml:space="preserve">EDU02419</t>
  </si>
  <si>
    <t xml:space="preserve">11-04-2023</t>
  </si>
  <si>
    <t xml:space="preserve">EDU00284</t>
  </si>
  <si>
    <t xml:space="preserve">EDU01771</t>
  </si>
  <si>
    <t xml:space="preserve">EDU01858</t>
  </si>
  <si>
    <t xml:space="preserve">EDU00904</t>
  </si>
  <si>
    <t xml:space="preserve">EDU01270</t>
  </si>
  <si>
    <t xml:space="preserve">EDU02267</t>
  </si>
  <si>
    <t xml:space="preserve">EDU00976</t>
  </si>
  <si>
    <t xml:space="preserve">29-11-2024</t>
  </si>
  <si>
    <t xml:space="preserve">EDU01413</t>
  </si>
  <si>
    <t xml:space="preserve">EDU02320</t>
  </si>
  <si>
    <t xml:space="preserve">EDU00123</t>
  </si>
  <si>
    <t xml:space="preserve">EDU01073</t>
  </si>
  <si>
    <t xml:space="preserve">EDU01305</t>
  </si>
  <si>
    <t xml:space="preserve">EDU01891</t>
  </si>
  <si>
    <t xml:space="preserve">26-09-2024</t>
  </si>
  <si>
    <t xml:space="preserve">EDU02072</t>
  </si>
  <si>
    <t xml:space="preserve">EDU00870</t>
  </si>
  <si>
    <t xml:space="preserve">EDU01660</t>
  </si>
  <si>
    <t xml:space="preserve">EDU01592</t>
  </si>
  <si>
    <t xml:space="preserve">EDU00757</t>
  </si>
  <si>
    <t xml:space="preserve">EDU01157</t>
  </si>
  <si>
    <t xml:space="preserve">EDU01109</t>
  </si>
  <si>
    <t xml:space="preserve">EDU00068</t>
  </si>
  <si>
    <t xml:space="preserve">EDU01707</t>
  </si>
  <si>
    <t xml:space="preserve">EDU00333</t>
  </si>
  <si>
    <t xml:space="preserve">EDU00337</t>
  </si>
  <si>
    <t xml:space="preserve">EDU00913</t>
  </si>
  <si>
    <t xml:space="preserve">EDU02402</t>
  </si>
  <si>
    <t xml:space="preserve">EDU00473</t>
  </si>
  <si>
    <t xml:space="preserve">EDU00902</t>
  </si>
  <si>
    <t xml:space="preserve">EDU01853</t>
  </si>
  <si>
    <t xml:space="preserve">EDU00885</t>
  </si>
  <si>
    <t xml:space="preserve">EDU00478</t>
  </si>
  <si>
    <t xml:space="preserve">EDU01330</t>
  </si>
  <si>
    <t xml:space="preserve">07-08-2024</t>
  </si>
  <si>
    <t xml:space="preserve">EDU01343</t>
  </si>
  <si>
    <t xml:space="preserve">EDU01492</t>
  </si>
  <si>
    <t xml:space="preserve">EDU02310</t>
  </si>
  <si>
    <t xml:space="preserve">EDU01341</t>
  </si>
  <si>
    <t xml:space="preserve">EDU00133</t>
  </si>
  <si>
    <t xml:space="preserve">EDU02314</t>
  </si>
  <si>
    <t xml:space="preserve">EDU01410</t>
  </si>
  <si>
    <t xml:space="preserve">29-08-2023</t>
  </si>
  <si>
    <t xml:space="preserve">EDU00982</t>
  </si>
  <si>
    <t xml:space="preserve">EDU01234</t>
  </si>
  <si>
    <t xml:space="preserve">EDU02053</t>
  </si>
  <si>
    <t xml:space="preserve">18-09-2023</t>
  </si>
  <si>
    <t xml:space="preserve">EDU01150</t>
  </si>
  <si>
    <t xml:space="preserve">EDU01762</t>
  </si>
  <si>
    <t xml:space="preserve">EDU00257</t>
  </si>
  <si>
    <t xml:space="preserve">EDU00551</t>
  </si>
  <si>
    <t xml:space="preserve">EDU01679</t>
  </si>
  <si>
    <t xml:space="preserve">EDU00899</t>
  </si>
  <si>
    <t xml:space="preserve">EDU00290</t>
  </si>
  <si>
    <t xml:space="preserve">EDU01947</t>
  </si>
  <si>
    <t xml:space="preserve">EDU00778</t>
  </si>
  <si>
    <t xml:space="preserve">EDU01873</t>
  </si>
  <si>
    <t xml:space="preserve">EDU00054</t>
  </si>
  <si>
    <t xml:space="preserve">EDU01576</t>
  </si>
  <si>
    <t xml:space="preserve">EDU00558</t>
  </si>
  <si>
    <t xml:space="preserve">EDU00041</t>
  </si>
  <si>
    <t xml:space="preserve">EDU01593</t>
  </si>
  <si>
    <t xml:space="preserve">EDU01173</t>
  </si>
  <si>
    <t xml:space="preserve">EDU00262</t>
  </si>
  <si>
    <t xml:space="preserve">EDU02495</t>
  </si>
  <si>
    <t xml:space="preserve">29-12-2023</t>
  </si>
  <si>
    <t xml:space="preserve">EDU00084</t>
  </si>
  <si>
    <t xml:space="preserve">14-05-2024</t>
  </si>
  <si>
    <t xml:space="preserve">EDU02426</t>
  </si>
  <si>
    <t xml:space="preserve">EDU01084</t>
  </si>
  <si>
    <t xml:space="preserve">EDU02471</t>
  </si>
  <si>
    <t xml:space="preserve">EDU02377</t>
  </si>
  <si>
    <t xml:space="preserve">EDU00031</t>
  </si>
  <si>
    <t xml:space="preserve">EDU01523</t>
  </si>
  <si>
    <t xml:space="preserve">EDU01977</t>
  </si>
  <si>
    <t xml:space="preserve">EDU02289</t>
  </si>
  <si>
    <t xml:space="preserve">09-02-2024</t>
  </si>
  <si>
    <t xml:space="preserve">EDU01637</t>
  </si>
  <si>
    <t xml:space="preserve">EDU02222</t>
  </si>
  <si>
    <t xml:space="preserve">EDU01021</t>
  </si>
  <si>
    <t xml:space="preserve">EDU02221</t>
  </si>
  <si>
    <t xml:space="preserve">EDU01419</t>
  </si>
  <si>
    <t xml:space="preserve">EDU01207</t>
  </si>
  <si>
    <t xml:space="preserve">EDU02415</t>
  </si>
  <si>
    <t xml:space="preserve">EDU00049</t>
  </si>
  <si>
    <t xml:space="preserve">EDU01801</t>
  </si>
  <si>
    <t xml:space="preserve">EDU00894</t>
  </si>
  <si>
    <t xml:space="preserve">EDU00154</t>
  </si>
  <si>
    <t xml:space="preserve">EDU00395</t>
  </si>
  <si>
    <t xml:space="preserve">EDU01148</t>
  </si>
  <si>
    <t xml:space="preserve">EDU01380</t>
  </si>
  <si>
    <t xml:space="preserve">EDU01159</t>
  </si>
  <si>
    <t xml:space="preserve">EDU00269</t>
  </si>
  <si>
    <t xml:space="preserve">EDU00386</t>
  </si>
  <si>
    <t xml:space="preserve">23-01-2023</t>
  </si>
  <si>
    <t xml:space="preserve">EDU01245</t>
  </si>
  <si>
    <t xml:space="preserve">EDU00042</t>
  </si>
  <si>
    <t xml:space="preserve">EDU02460</t>
  </si>
  <si>
    <t xml:space="preserve">EDU00598</t>
  </si>
  <si>
    <t xml:space="preserve">EDU01090</t>
  </si>
  <si>
    <t xml:space="preserve">EDU00681</t>
  </si>
  <si>
    <t xml:space="preserve">EDU02097</t>
  </si>
  <si>
    <t xml:space="preserve">EDU00525</t>
  </si>
  <si>
    <t xml:space="preserve">EDU02374</t>
  </si>
  <si>
    <t xml:space="preserve">EDU01585</t>
  </si>
  <si>
    <t xml:space="preserve">EDU01329</t>
  </si>
  <si>
    <t xml:space="preserve">EDU01561</t>
  </si>
  <si>
    <t xml:space="preserve">EDU02420</t>
  </si>
  <si>
    <t xml:space="preserve">EDU01732</t>
  </si>
  <si>
    <t xml:space="preserve">EDU01017</t>
  </si>
  <si>
    <t xml:space="preserve">EDU02358</t>
  </si>
  <si>
    <t xml:space="preserve">EDU01525</t>
  </si>
  <si>
    <t xml:space="preserve">EDU01652</t>
  </si>
  <si>
    <t xml:space="preserve">EDU01990</t>
  </si>
  <si>
    <t xml:space="preserve">EDU00226</t>
  </si>
  <si>
    <t xml:space="preserve">EDU02373</t>
  </si>
  <si>
    <t xml:space="preserve">EDU01872</t>
  </si>
  <si>
    <t xml:space="preserve">EDU02379</t>
  </si>
  <si>
    <t xml:space="preserve">EDU01512</t>
  </si>
  <si>
    <t xml:space="preserve">EDU02500</t>
  </si>
  <si>
    <t xml:space="preserve">EDU01361</t>
  </si>
  <si>
    <t xml:space="preserve">EDU01257</t>
  </si>
  <si>
    <t xml:space="preserve">EDU02432</t>
  </si>
  <si>
    <t xml:space="preserve">22-12-2023</t>
  </si>
  <si>
    <t xml:space="preserve">EDU01692</t>
  </si>
  <si>
    <t xml:space="preserve">EDU00206</t>
  </si>
  <si>
    <t xml:space="preserve">EDU01028</t>
  </si>
  <si>
    <t xml:space="preserve">EDU02262</t>
  </si>
  <si>
    <t xml:space="preserve">EDU01459</t>
  </si>
  <si>
    <t xml:space="preserve">EDU01328</t>
  </si>
  <si>
    <t xml:space="preserve">EDU01047</t>
  </si>
  <si>
    <t xml:space="preserve">EDU00694</t>
  </si>
  <si>
    <t xml:space="preserve">04-04-2024</t>
  </si>
  <si>
    <t xml:space="preserve">EDU01768</t>
  </si>
  <si>
    <t xml:space="preserve">EDU02046</t>
  </si>
  <si>
    <t xml:space="preserve">EDU01488</t>
  </si>
  <si>
    <t xml:space="preserve">15-04-2023</t>
  </si>
  <si>
    <t xml:space="preserve">EDU01187</t>
  </si>
  <si>
    <t xml:space="preserve">EDU01370</t>
  </si>
  <si>
    <t xml:space="preserve">EDU01174</t>
  </si>
  <si>
    <t xml:space="preserve">EDU01674</t>
  </si>
  <si>
    <t xml:space="preserve">EDU01684</t>
  </si>
  <si>
    <t xml:space="preserve">EDU01825</t>
  </si>
  <si>
    <t xml:space="preserve">25-05-2024</t>
  </si>
  <si>
    <t xml:space="preserve">EDU01605</t>
  </si>
  <si>
    <t xml:space="preserve">EDU00158</t>
  </si>
  <si>
    <t xml:space="preserve">EDU01596</t>
  </si>
  <si>
    <t xml:space="preserve">EDU01185</t>
  </si>
  <si>
    <t xml:space="preserve">EDU00306</t>
  </si>
  <si>
    <t xml:space="preserve">EDU00657</t>
  </si>
  <si>
    <t xml:space="preserve">EDU01420</t>
  </si>
  <si>
    <t xml:space="preserve">EDU00400</t>
  </si>
  <si>
    <t xml:space="preserve">EDU00799</t>
  </si>
  <si>
    <t xml:space="preserve">EDU02371</t>
  </si>
  <si>
    <t xml:space="preserve">EDU00619</t>
  </si>
  <si>
    <t xml:space="preserve">EDU01389</t>
  </si>
  <si>
    <t xml:space="preserve">01-02-2024</t>
  </si>
  <si>
    <t xml:space="preserve">EDU00509</t>
  </si>
  <si>
    <t xml:space="preserve">EDU00080</t>
  </si>
  <si>
    <t xml:space="preserve">EDU00737</t>
  </si>
  <si>
    <t xml:space="preserve">EDU01734</t>
  </si>
  <si>
    <t xml:space="preserve">EDU00275</t>
  </si>
  <si>
    <t xml:space="preserve">05-04-2024</t>
  </si>
  <si>
    <t xml:space="preserve">EDU01931</t>
  </si>
  <si>
    <t xml:space="preserve">15-12-2023</t>
  </si>
  <si>
    <t xml:space="preserve">EDU00868</t>
  </si>
  <si>
    <t xml:space="preserve">EDU00460</t>
  </si>
  <si>
    <t xml:space="preserve">EDU02025</t>
  </si>
  <si>
    <t xml:space="preserve">EDU00063</t>
  </si>
  <si>
    <t xml:space="preserve">EDU00600</t>
  </si>
  <si>
    <t xml:space="preserve">EDU01532</t>
  </si>
  <si>
    <t xml:space="preserve">EDU00860</t>
  </si>
  <si>
    <t xml:space="preserve">EDU00458</t>
  </si>
  <si>
    <t xml:space="preserve">EDU01490</t>
  </si>
  <si>
    <t xml:space="preserve">13-07-2024</t>
  </si>
  <si>
    <t xml:space="preserve">EDU01118</t>
  </si>
  <si>
    <t xml:space="preserve">EDU00871</t>
  </si>
  <si>
    <t xml:space="preserve">EDU00791</t>
  </si>
  <si>
    <t xml:space="preserve">11-05-2024</t>
  </si>
  <si>
    <t xml:space="preserve">EDU01307</t>
  </si>
  <si>
    <t xml:space="preserve">EDU02241</t>
  </si>
  <si>
    <t xml:space="preserve">EDU01372</t>
  </si>
  <si>
    <t xml:space="preserve">02-02-2023</t>
  </si>
  <si>
    <t xml:space="preserve">EDU01816</t>
  </si>
  <si>
    <t xml:space="preserve">EDU00761</t>
  </si>
  <si>
    <t xml:space="preserve">EDU00955</t>
  </si>
  <si>
    <t xml:space="preserve">02-03-2024</t>
  </si>
  <si>
    <t xml:space="preserve">EDU01471</t>
  </si>
  <si>
    <t xml:space="preserve">EDU00651</t>
  </si>
  <si>
    <t xml:space="preserve">EDU01883</t>
  </si>
  <si>
    <t xml:space="preserve">29-05-2023</t>
  </si>
  <si>
    <t xml:space="preserve">EDU02340</t>
  </si>
  <si>
    <t xml:space="preserve">EDU00380</t>
  </si>
  <si>
    <t xml:space="preserve">EDU00565</t>
  </si>
  <si>
    <t xml:space="preserve">EDU01201</t>
  </si>
  <si>
    <t xml:space="preserve">EDU01948</t>
  </si>
  <si>
    <t xml:space="preserve">EDU00957</t>
  </si>
  <si>
    <t xml:space="preserve">EDU00742</t>
  </si>
  <si>
    <t xml:space="preserve">22-05-2023</t>
  </si>
  <si>
    <t xml:space="preserve">EDU01590</t>
  </si>
  <si>
    <t xml:space="preserve">EDU00232</t>
  </si>
  <si>
    <t xml:space="preserve">EDU02099</t>
  </si>
  <si>
    <t xml:space="preserve">EDU00383</t>
  </si>
  <si>
    <t xml:space="preserve">EDU01843</t>
  </si>
  <si>
    <t xml:space="preserve">10-06-2024</t>
  </si>
  <si>
    <t xml:space="preserve">EDU00073</t>
  </si>
  <si>
    <t xml:space="preserve">EDU01095</t>
  </si>
  <si>
    <t xml:space="preserve">EDU02021</t>
  </si>
  <si>
    <t xml:space="preserve">EDU01644</t>
  </si>
  <si>
    <t xml:space="preserve">EDU00172</t>
  </si>
  <si>
    <t xml:space="preserve">EDU02231</t>
  </si>
  <si>
    <t xml:space="preserve">EDU00169</t>
  </si>
  <si>
    <t xml:space="preserve">EDU02171</t>
  </si>
  <si>
    <t xml:space="preserve">EDU01347</t>
  </si>
  <si>
    <t xml:space="preserve">EDU00273</t>
  </si>
  <si>
    <t xml:space="preserve">EDU01216</t>
  </si>
  <si>
    <t xml:space="preserve">EDU00421</t>
  </si>
  <si>
    <t xml:space="preserve">EDU01119</t>
  </si>
  <si>
    <t xml:space="preserve">EDU02057</t>
  </si>
  <si>
    <t xml:space="preserve">EDU00196</t>
  </si>
  <si>
    <t xml:space="preserve">EDU01067</t>
  </si>
  <si>
    <t xml:space="preserve">EDU00057</t>
  </si>
  <si>
    <t xml:space="preserve">EDU01128</t>
  </si>
  <si>
    <t xml:space="preserve">26-08-2023</t>
  </si>
  <si>
    <t xml:space="preserve">EDU02369</t>
  </si>
  <si>
    <t xml:space="preserve">EDU01781</t>
  </si>
  <si>
    <t xml:space="preserve">EDU02408</t>
  </si>
  <si>
    <t xml:space="preserve">01-07-2024</t>
  </si>
  <si>
    <t xml:space="preserve">EDU00039</t>
  </si>
  <si>
    <t xml:space="preserve">EDU00307</t>
  </si>
  <si>
    <t xml:space="preserve">EDU00007</t>
  </si>
  <si>
    <t xml:space="preserve">EDU01105</t>
  </si>
  <si>
    <t xml:space="preserve">EDU00783</t>
  </si>
  <si>
    <t xml:space="preserve">EDU00409</t>
  </si>
  <si>
    <t xml:space="preserve">EDU02183</t>
  </si>
  <si>
    <t xml:space="preserve">EDU00782</t>
  </si>
  <si>
    <t xml:space="preserve">EDU01191</t>
  </si>
  <si>
    <t xml:space="preserve">EDU00535</t>
  </si>
  <si>
    <t xml:space="preserve">07-11-2024</t>
  </si>
  <si>
    <t xml:space="preserve">EDU00584</t>
  </si>
  <si>
    <t xml:space="preserve">EDU01906</t>
  </si>
  <si>
    <t xml:space="preserve">EDU02442</t>
  </si>
  <si>
    <t xml:space="preserve">EDU02105</t>
  </si>
  <si>
    <t xml:space="preserve">13-12-2023</t>
  </si>
  <si>
    <t xml:space="preserve">EDU01882</t>
  </si>
  <si>
    <t xml:space="preserve">EDU02282</t>
  </si>
  <si>
    <t xml:space="preserve">EDU01685</t>
  </si>
  <si>
    <t xml:space="preserve">EDU01352</t>
  </si>
  <si>
    <t xml:space="preserve">EDU02291</t>
  </si>
  <si>
    <t xml:space="preserve">17-09-2023</t>
  </si>
  <si>
    <t xml:space="preserve">EDU00814</t>
  </si>
  <si>
    <t xml:space="preserve">EDU00317</t>
  </si>
  <si>
    <t xml:space="preserve">EDU01956</t>
  </si>
  <si>
    <t xml:space="preserve">EDU02316</t>
  </si>
  <si>
    <t xml:space="preserve">EDU00517</t>
  </si>
  <si>
    <t xml:space="preserve">EDU01630</t>
  </si>
  <si>
    <t xml:space="preserve">EDU00662</t>
  </si>
  <si>
    <t xml:space="preserve">19-01-2023</t>
  </si>
  <si>
    <t xml:space="preserve">EDU00534</t>
  </si>
  <si>
    <t xml:space="preserve">EDU01649</t>
  </si>
  <si>
    <t xml:space="preserve">02-12-2023</t>
  </si>
  <si>
    <t xml:space="preserve">EDU01689</t>
  </si>
  <si>
    <t xml:space="preserve">EDU00272</t>
  </si>
  <si>
    <t xml:space="preserve">EDU00549</t>
  </si>
  <si>
    <t xml:space="preserve">EDU01478</t>
  </si>
  <si>
    <t xml:space="preserve">EDU00965</t>
  </si>
  <si>
    <t xml:space="preserve">EDU02491</t>
  </si>
  <si>
    <t xml:space="preserve">EDU02249</t>
  </si>
  <si>
    <t xml:space="preserve">EDU00599</t>
  </si>
  <si>
    <t xml:space="preserve">EDU00895</t>
  </si>
  <si>
    <t xml:space="preserve">EDU00571</t>
  </si>
  <si>
    <t xml:space="preserve">EDU00075</t>
  </si>
  <si>
    <t xml:space="preserve">EDU00062</t>
  </si>
  <si>
    <t xml:space="preserve">EDU01248</t>
  </si>
  <si>
    <t xml:space="preserve">EDU02493</t>
  </si>
  <si>
    <t xml:space="preserve">EDU01260</t>
  </si>
  <si>
    <t xml:space="preserve">EDU00810</t>
  </si>
  <si>
    <t xml:space="preserve">EDU00245</t>
  </si>
  <si>
    <t xml:space="preserve">EDU01050</t>
  </si>
  <si>
    <t xml:space="preserve">15-01-2023</t>
  </si>
  <si>
    <t xml:space="preserve">EDU02381</t>
  </si>
  <si>
    <t xml:space="preserve">EDU01247</t>
  </si>
  <si>
    <t xml:space="preserve">23-03-2023</t>
  </si>
  <si>
    <t xml:space="preserve">EDU00108</t>
  </si>
  <si>
    <t xml:space="preserve">29-07-2024</t>
  </si>
  <si>
    <t xml:space="preserve">EDU00106</t>
  </si>
  <si>
    <t xml:space="preserve">EDU00674</t>
  </si>
  <si>
    <t xml:space="preserve">EDU00643</t>
  </si>
  <si>
    <t xml:space="preserve">EDU02303</t>
  </si>
  <si>
    <t xml:space="preserve">EDU00666</t>
  </si>
  <si>
    <t xml:space="preserve">EDU00510</t>
  </si>
  <si>
    <t xml:space="preserve">08-05-2024</t>
  </si>
  <si>
    <t xml:space="preserve">EDU00132</t>
  </si>
  <si>
    <t xml:space="preserve">EDU00445</t>
  </si>
  <si>
    <t xml:space="preserve">EDU02191</t>
  </si>
  <si>
    <t xml:space="preserve">EDU01533</t>
  </si>
  <si>
    <t xml:space="preserve">EDU00867</t>
  </si>
  <si>
    <t xml:space="preserve">EDU00917</t>
  </si>
  <si>
    <t xml:space="preserve">EDU02492</t>
  </si>
  <si>
    <t xml:space="preserve">EDU01061</t>
  </si>
  <si>
    <t xml:space="preserve">EDU00209</t>
  </si>
  <si>
    <t xml:space="preserve">EDU00058</t>
  </si>
  <si>
    <t xml:space="preserve">EDU00820</t>
  </si>
  <si>
    <t xml:space="preserve">EDU00103</t>
  </si>
  <si>
    <t xml:space="preserve">EDU01618</t>
  </si>
  <si>
    <t xml:space="preserve">EDU02209</t>
  </si>
  <si>
    <t xml:space="preserve">EDU01876</t>
  </si>
  <si>
    <t xml:space="preserve">EDU01780</t>
  </si>
  <si>
    <t xml:space="preserve">EDU02169</t>
  </si>
  <si>
    <t xml:space="preserve">EDU00087</t>
  </si>
  <si>
    <t xml:space="preserve">EDU02399</t>
  </si>
  <si>
    <t xml:space="preserve">EDU02167</t>
  </si>
  <si>
    <t xml:space="preserve">EDU00772</t>
  </si>
  <si>
    <t xml:space="preserve">EDU01359</t>
  </si>
  <si>
    <t xml:space="preserve">EDU01874</t>
  </si>
  <si>
    <t xml:space="preserve">EDU01540</t>
  </si>
  <si>
    <t xml:space="preserve">EDU01852</t>
  </si>
  <si>
    <t xml:space="preserve">EDU00709</t>
  </si>
  <si>
    <t xml:space="preserve">EDU01110</t>
  </si>
  <si>
    <t xml:space="preserve">03-03-2023</t>
  </si>
  <si>
    <t xml:space="preserve">EDU02196</t>
  </si>
  <si>
    <t xml:space="preserve">EDU02028</t>
  </si>
  <si>
    <t xml:space="preserve">EDU00430</t>
  </si>
  <si>
    <t xml:space="preserve">EDU00539</t>
  </si>
  <si>
    <t xml:space="preserve">EDU00676</t>
  </si>
  <si>
    <t xml:space="preserve">EDU01789</t>
  </si>
  <si>
    <t xml:space="preserve">EDU02324</t>
  </si>
  <si>
    <t xml:space="preserve">EDU01981</t>
  </si>
  <si>
    <t xml:space="preserve">EDU00419</t>
  </si>
  <si>
    <t xml:space="preserve">EDU01462</t>
  </si>
  <si>
    <t xml:space="preserve">EDU01485</t>
  </si>
  <si>
    <t xml:space="preserve">EDU00498</t>
  </si>
  <si>
    <t xml:space="preserve">08-02-2023</t>
  </si>
  <si>
    <t xml:space="preserve">EDU01598</t>
  </si>
  <si>
    <t xml:space="preserve">EDU01074</t>
  </si>
  <si>
    <t xml:space="preserve">EDU02300</t>
  </si>
  <si>
    <t xml:space="preserve">EDU02389</t>
  </si>
  <si>
    <t xml:space="preserve">01-09-2023</t>
  </si>
  <si>
    <t xml:space="preserve">EDU01945</t>
  </si>
  <si>
    <t xml:space="preserve">EDU00852</t>
  </si>
  <si>
    <t xml:space="preserve">EDU01005</t>
  </si>
  <si>
    <t xml:space="preserve">EDU01862</t>
  </si>
  <si>
    <t xml:space="preserve">EDU01599</t>
  </si>
  <si>
    <t xml:space="preserve">EDU00437</t>
  </si>
  <si>
    <t xml:space="preserve">EDU01317</t>
  </si>
  <si>
    <t xml:space="preserve">EDU01280</t>
  </si>
  <si>
    <t xml:space="preserve">07-04-2024</t>
  </si>
  <si>
    <t xml:space="preserve">EDU01624</t>
  </si>
  <si>
    <t xml:space="preserve">EDU01481</t>
  </si>
  <si>
    <t xml:space="preserve">EDU01004</t>
  </si>
  <si>
    <t xml:space="preserve">EDU01279</t>
  </si>
  <si>
    <t xml:space="preserve">EDU01033</t>
  </si>
  <si>
    <t xml:space="preserve">EDU01970</t>
  </si>
  <si>
    <t xml:space="preserve">EDU02391</t>
  </si>
  <si>
    <t xml:space="preserve">EDU02356</t>
  </si>
  <si>
    <t xml:space="preserve">EDU00305</t>
  </si>
  <si>
    <t xml:space="preserve">EDU02166</t>
  </si>
  <si>
    <t xml:space="preserve">08-11-2024</t>
  </si>
  <si>
    <t xml:space="preserve">EDU01099</t>
  </si>
  <si>
    <t xml:space="preserve">EDU01442</t>
  </si>
  <si>
    <t xml:space="preserve">EDU01547</t>
  </si>
  <si>
    <t xml:space="preserve">EDU00336</t>
  </si>
  <si>
    <t xml:space="preserve">EDU00996</t>
  </si>
  <si>
    <t xml:space="preserve">EDU00570</t>
  </si>
  <si>
    <t xml:space="preserve">EDU01615</t>
  </si>
  <si>
    <t xml:space="preserve">EDU00089</t>
  </si>
  <si>
    <t xml:space="preserve">EDU00875</t>
  </si>
  <si>
    <t xml:space="preserve">10-11-2023</t>
  </si>
  <si>
    <t xml:space="preserve">EDU02290</t>
  </si>
  <si>
    <t xml:space="preserve">EDU01242</t>
  </si>
  <si>
    <t xml:space="preserve">EDU02176</t>
  </si>
  <si>
    <t xml:space="preserve">EDU00713</t>
  </si>
  <si>
    <t xml:space="preserve">EDU01069</t>
  </si>
  <si>
    <t xml:space="preserve">EDU01198</t>
  </si>
  <si>
    <t xml:space="preserve">EDU02396</t>
  </si>
  <si>
    <t xml:space="preserve">EDU02065</t>
  </si>
  <si>
    <t xml:space="preserve">EDU00222</t>
  </si>
  <si>
    <t xml:space="preserve">EDU00320</t>
  </si>
  <si>
    <t xml:space="preserve">EDU00520</t>
  </si>
  <si>
    <t xml:space="preserve">EDU00879</t>
  </si>
  <si>
    <t xml:space="preserve">EDU00630</t>
  </si>
  <si>
    <t xml:space="preserve">EDU00826</t>
  </si>
  <si>
    <t xml:space="preserve">EDU01199</t>
  </si>
  <si>
    <t xml:space="preserve">EDU01291</t>
  </si>
  <si>
    <t xml:space="preserve">EDU01031</t>
  </si>
  <si>
    <t xml:space="preserve">EDU02132</t>
  </si>
  <si>
    <t xml:space="preserve">EDU00139</t>
  </si>
  <si>
    <t xml:space="preserve">EDU00164</t>
  </si>
  <si>
    <t xml:space="preserve">EDU01464</t>
  </si>
  <si>
    <t xml:space="preserve">EDU01619</t>
  </si>
  <si>
    <t xml:space="preserve">EDU00002</t>
  </si>
  <si>
    <t xml:space="preserve">EDU01580</t>
  </si>
  <si>
    <t xml:space="preserve">EDU01046</t>
  </si>
  <si>
    <t xml:space="preserve">EDU00961</t>
  </si>
  <si>
    <t xml:space="preserve">EDU02118</t>
  </si>
  <si>
    <t xml:space="preserve">EDU01548</t>
  </si>
  <si>
    <t xml:space="preserve">30-06-2023</t>
  </si>
  <si>
    <t xml:space="preserve">EDU01887</t>
  </si>
  <si>
    <t xml:space="preserve">EDU01505</t>
  </si>
  <si>
    <t xml:space="preserve">EDU01603</t>
  </si>
  <si>
    <t xml:space="preserve">EDU01788</t>
  </si>
  <si>
    <t xml:space="preserve">EDU02458</t>
  </si>
  <si>
    <t xml:space="preserve">EDU02351</t>
  </si>
  <si>
    <t xml:space="preserve">EDU01060</t>
  </si>
  <si>
    <t xml:space="preserve">EDU00634</t>
  </si>
  <si>
    <t xml:space="preserve">EDU01243</t>
  </si>
  <si>
    <t xml:space="preserve">17-12-2023</t>
  </si>
  <si>
    <t xml:space="preserve">EDU01643</t>
  </si>
  <si>
    <t xml:space="preserve">EDU01798</t>
  </si>
  <si>
    <t xml:space="preserve">EDU00656</t>
  </si>
  <si>
    <t xml:space="preserve">EDU00017</t>
  </si>
  <si>
    <t xml:space="preserve">EDU02245</t>
  </si>
  <si>
    <t xml:space="preserve">EDU02116</t>
  </si>
  <si>
    <t xml:space="preserve">EDU00138</t>
  </si>
  <si>
    <t xml:space="preserve">EDU01861</t>
  </si>
  <si>
    <t xml:space="preserve">30-09-2024</t>
  </si>
  <si>
    <t xml:space="preserve">EDU01582</t>
  </si>
  <si>
    <t xml:space="preserve">EDU00698</t>
  </si>
  <si>
    <t xml:space="preserve">EDU01098</t>
  </si>
  <si>
    <t xml:space="preserve">EDU01728</t>
  </si>
  <si>
    <t xml:space="preserve">EDU02235</t>
  </si>
  <si>
    <t xml:space="preserve">EDU00449</t>
  </si>
  <si>
    <t xml:space="preserve">EDU01393</t>
  </si>
  <si>
    <t xml:space="preserve">EDU00036</t>
  </si>
  <si>
    <t xml:space="preserve">EDU01267</t>
  </si>
  <si>
    <t xml:space="preserve">EDU00328</t>
  </si>
  <si>
    <t xml:space="preserve">EDU00318</t>
  </si>
  <si>
    <t xml:space="preserve">EDU00136</t>
  </si>
  <si>
    <t xml:space="preserve">EDU01170</t>
  </si>
  <si>
    <t xml:space="preserve">EDU01553</t>
  </si>
  <si>
    <t xml:space="preserve">EDU00527</t>
  </si>
  <si>
    <t xml:space="preserve">EDU00088</t>
  </si>
  <si>
    <t xml:space="preserve">EDU01504</t>
  </si>
  <si>
    <t xml:space="preserve">EDU01363</t>
  </si>
  <si>
    <t xml:space="preserve">EDU01934</t>
  </si>
  <si>
    <t xml:space="preserve">EDU01804</t>
  </si>
  <si>
    <t xml:space="preserve">EDU01682</t>
  </si>
  <si>
    <t xml:space="preserve">EDU00149</t>
  </si>
  <si>
    <t xml:space="preserve">EDU00304</t>
  </si>
  <si>
    <t xml:space="preserve">EDU02251</t>
  </si>
  <si>
    <t xml:space="preserve">EDU01939</t>
  </si>
  <si>
    <t xml:space="preserve">EDU01053</t>
  </si>
  <si>
    <t xml:space="preserve">EDU02270</t>
  </si>
  <si>
    <t xml:space="preserve">EDU00366</t>
  </si>
  <si>
    <t xml:space="preserve">EDU00590</t>
  </si>
  <si>
    <t xml:space="preserve">EDU01848</t>
  </si>
  <si>
    <t xml:space="preserve">EDU00163</t>
  </si>
  <si>
    <t xml:space="preserve">EDU00199</t>
  </si>
  <si>
    <t xml:space="preserve">EDU02109</t>
  </si>
  <si>
    <t xml:space="preserve">EDU02428</t>
  </si>
  <si>
    <t xml:space="preserve">EDU00193</t>
  </si>
  <si>
    <t xml:space="preserve">EDU00405</t>
  </si>
  <si>
    <t xml:space="preserve">EDU02207</t>
  </si>
  <si>
    <t xml:space="preserve">EDU00251</t>
  </si>
  <si>
    <t xml:space="preserve">EDU00484</t>
  </si>
  <si>
    <t xml:space="preserve">EDU01183</t>
  </si>
  <si>
    <t xml:space="preserve">EDU01340</t>
  </si>
  <si>
    <t xml:space="preserve">16-11-2023</t>
  </si>
  <si>
    <t xml:space="preserve">EDU01281</t>
  </si>
  <si>
    <t xml:space="preserve">EDU01032</t>
  </si>
  <si>
    <t xml:space="preserve">EDU01633</t>
  </si>
  <si>
    <t xml:space="preserve">27-07-2023</t>
  </si>
  <si>
    <t xml:space="preserve">EDU00792</t>
  </si>
  <si>
    <t xml:space="preserve">EDU00800</t>
  </si>
  <si>
    <t xml:space="preserve">18-10-2023</t>
  </si>
  <si>
    <t xml:space="preserve">EDU00385</t>
  </si>
  <si>
    <t xml:space="preserve">EDU00751</t>
  </si>
  <si>
    <t xml:space="preserve">14-11-2023</t>
  </si>
  <si>
    <t xml:space="preserve">EDU01202</t>
  </si>
  <si>
    <t xml:space="preserve">30-11-2024</t>
  </si>
  <si>
    <t xml:space="preserve">EDU00423</t>
  </si>
  <si>
    <t xml:space="preserve">EDU00315</t>
  </si>
  <si>
    <t xml:space="preserve">EDU01022</t>
  </si>
  <si>
    <t xml:space="preserve">EDU01382</t>
  </si>
  <si>
    <t xml:space="preserve">EDU01323</t>
  </si>
  <si>
    <t xml:space="preserve">EDU01480</t>
  </si>
  <si>
    <t xml:space="preserve">EDU00544</t>
  </si>
  <si>
    <t xml:space="preserve">EDU00914</t>
  </si>
  <si>
    <t xml:space="preserve">EDU00663</t>
  </si>
  <si>
    <t xml:space="preserve">EDU02091</t>
  </si>
  <si>
    <t xml:space="preserve">EDU01878</t>
  </si>
  <si>
    <t xml:space="preserve">EDU00903</t>
  </si>
  <si>
    <t xml:space="preserve">08-05-2023</t>
  </si>
  <si>
    <t xml:space="preserve">EDU02080</t>
  </si>
  <si>
    <t xml:space="preserve">EDU00686</t>
  </si>
  <si>
    <t xml:space="preserve">EDU01552</t>
  </si>
  <si>
    <t xml:space="preserve">EDU00434</t>
  </si>
  <si>
    <t xml:space="preserve">EDU00160</t>
  </si>
  <si>
    <t xml:space="preserve">EDU01000</t>
  </si>
  <si>
    <t xml:space="preserve">EDU01974</t>
  </si>
  <si>
    <t xml:space="preserve">EDU01385</t>
  </si>
  <si>
    <t xml:space="preserve">EDU02342</t>
  </si>
  <si>
    <t xml:space="preserve">EDU00203</t>
  </si>
  <si>
    <t xml:space="preserve">EDU01024</t>
  </si>
  <si>
    <t xml:space="preserve">EDU00843</t>
  </si>
  <si>
    <t xml:space="preserve">Simplilearn  </t>
  </si>
  <si>
    <t xml:space="preserve">EDU01953</t>
  </si>
  <si>
    <t xml:space="preserve">EDU02404</t>
  </si>
  <si>
    <t xml:space="preserve">EDU00113</t>
  </si>
  <si>
    <t xml:space="preserve">EDU02364</t>
  </si>
  <si>
    <t xml:space="preserve">EDU02103</t>
  </si>
  <si>
    <t xml:space="preserve">17-05-2023</t>
  </si>
  <si>
    <t xml:space="preserve">EDU01332</t>
  </si>
  <si>
    <t xml:space="preserve">EDU01877</t>
  </si>
  <si>
    <t xml:space="preserve">EDU01447</t>
  </si>
  <si>
    <t xml:space="preserve">EDU00981</t>
  </si>
  <si>
    <t xml:space="preserve">EDU00923</t>
  </si>
  <si>
    <t xml:space="preserve">Physics Wallah  </t>
  </si>
  <si>
    <t xml:space="preserve">EDU01625</t>
  </si>
  <si>
    <t xml:space="preserve">EDU02146</t>
  </si>
  <si>
    <t xml:space="preserve">EDU02215</t>
  </si>
  <si>
    <t xml:space="preserve">EDU00866</t>
  </si>
  <si>
    <t xml:space="preserve">EDU01888</t>
  </si>
  <si>
    <t xml:space="preserve">EDU01320</t>
  </si>
  <si>
    <t xml:space="preserve">EDU01484</t>
  </si>
  <si>
    <t xml:space="preserve">EDU02024</t>
  </si>
  <si>
    <t xml:space="preserve">19-11-2023</t>
  </si>
  <si>
    <t xml:space="preserve">EDU01664</t>
  </si>
  <si>
    <t xml:space="preserve">EDU00816</t>
  </si>
  <si>
    <t xml:space="preserve">EDU00353</t>
  </si>
  <si>
    <t xml:space="preserve">EDU01960</t>
  </si>
  <si>
    <t xml:space="preserve">EDU01474</t>
  </si>
  <si>
    <t xml:space="preserve">EDU01774</t>
  </si>
  <si>
    <t xml:space="preserve">EDU00680</t>
  </si>
  <si>
    <t xml:space="preserve">EDU02297</t>
  </si>
  <si>
    <t xml:space="preserve">EDU01094</t>
  </si>
  <si>
    <t xml:space="preserve">EDU00081</t>
  </si>
  <si>
    <t xml:space="preserve">EDU00613</t>
  </si>
  <si>
    <t xml:space="preserve">25-01-2024</t>
  </si>
  <si>
    <t xml:space="preserve">EDU02032</t>
  </si>
  <si>
    <t xml:space="preserve">31-05-2023</t>
  </si>
  <si>
    <t xml:space="preserve">EDU00837</t>
  </si>
  <si>
    <t xml:space="preserve">EDU00753</t>
  </si>
  <si>
    <t xml:space="preserve">EDU01240</t>
  </si>
  <si>
    <t xml:space="preserve">EDU01999</t>
  </si>
  <si>
    <t xml:space="preserve">EDU01055</t>
  </si>
  <si>
    <t xml:space="preserve">EDU00243</t>
  </si>
  <si>
    <t xml:space="preserve">EDU02029</t>
  </si>
  <si>
    <t xml:space="preserve">EDU00642</t>
  </si>
  <si>
    <t xml:space="preserve">EDU00210</t>
  </si>
  <si>
    <t xml:space="preserve">EDU00503</t>
  </si>
  <si>
    <t xml:space="preserve">25-12-2023</t>
  </si>
  <si>
    <t xml:space="preserve">EDU00771</t>
  </si>
  <si>
    <t xml:space="preserve">Unacademy  </t>
  </si>
  <si>
    <t xml:space="preserve">EDU01777</t>
  </si>
  <si>
    <t xml:space="preserve">EDU00754</t>
  </si>
  <si>
    <t xml:space="preserve">EDU00436</t>
  </si>
  <si>
    <t xml:space="preserve">EDU01564</t>
  </si>
  <si>
    <t xml:space="preserve">EDU01064</t>
  </si>
  <si>
    <t xml:space="preserve">EDU02295</t>
  </si>
  <si>
    <t xml:space="preserve">EDU01446</t>
  </si>
  <si>
    <t xml:space="preserve">EDU00975</t>
  </si>
  <si>
    <t xml:space="preserve">EDU01713</t>
  </si>
  <si>
    <t xml:space="preserve">EDU00552</t>
  </si>
  <si>
    <t xml:space="preserve">26-05-2024</t>
  </si>
  <si>
    <t xml:space="preserve">EDU01569</t>
  </si>
  <si>
    <t xml:space="preserve">EDU00601</t>
  </si>
  <si>
    <t xml:space="preserve">EDU00602</t>
  </si>
  <si>
    <t xml:space="preserve">EDU01516</t>
  </si>
  <si>
    <t xml:space="preserve">EDU01014</t>
  </si>
  <si>
    <t xml:space="preserve">EDU01008</t>
  </si>
  <si>
    <t xml:space="preserve">EDU02039</t>
  </si>
  <si>
    <t xml:space="preserve">EDU01428</t>
  </si>
  <si>
    <t xml:space="preserve">EDU01275</t>
  </si>
  <si>
    <t xml:space="preserve">EDU01387</t>
  </si>
  <si>
    <t xml:space="preserve">EDU01296</t>
  </si>
  <si>
    <t xml:space="preserve">EDU00467</t>
  </si>
  <si>
    <t xml:space="preserve">19-08-2023</t>
  </si>
  <si>
    <t xml:space="preserve">EDU01500</t>
  </si>
  <si>
    <t xml:space="preserve">EDU02137</t>
  </si>
  <si>
    <t xml:space="preserve">NAGPUR</t>
  </si>
  <si>
    <t xml:space="preserve">EDU01980</t>
  </si>
  <si>
    <t xml:space="preserve">EDU00278</t>
  </si>
  <si>
    <t xml:space="preserve">EDU01070</t>
  </si>
  <si>
    <t xml:space="preserve">EDU01549</t>
  </si>
  <si>
    <t xml:space="preserve">EDU01018</t>
  </si>
  <si>
    <t xml:space="preserve">EDU02040</t>
  </si>
  <si>
    <t xml:space="preserve">EDU01466</t>
  </si>
  <si>
    <t xml:space="preserve">EDU00723</t>
  </si>
  <si>
    <t xml:space="preserve">EDU00941</t>
  </si>
  <si>
    <t xml:space="preserve">EDU00787</t>
  </si>
  <si>
    <t xml:space="preserve">EDU00660</t>
  </si>
  <si>
    <t xml:space="preserve">EDU01467</t>
  </si>
  <si>
    <t xml:space="preserve">EDU01324</t>
  </si>
  <si>
    <t xml:space="preserve">EDU01983</t>
  </si>
  <si>
    <t xml:space="preserve">EDU01400</t>
  </si>
  <si>
    <t xml:space="preserve">EDU02058</t>
  </si>
  <si>
    <t xml:space="preserve">EDU01450</t>
  </si>
  <si>
    <t xml:space="preserve">EDU01976</t>
  </si>
  <si>
    <t xml:space="preserve">EDU00907</t>
  </si>
  <si>
    <t xml:space="preserve">EDU01847</t>
  </si>
  <si>
    <t xml:space="preserve">EDU02223</t>
  </si>
  <si>
    <t xml:space="preserve">28-05-2023</t>
  </si>
  <si>
    <t xml:space="preserve">EDU01497</t>
  </si>
  <si>
    <t xml:space="preserve">EDU02451</t>
  </si>
  <si>
    <t xml:space="preserve">EDU00564</t>
  </si>
  <si>
    <t xml:space="preserve">EDU01250</t>
  </si>
  <si>
    <t xml:space="preserve">EDU01775</t>
  </si>
  <si>
    <t xml:space="preserve">EDU00389</t>
  </si>
  <si>
    <t xml:space="preserve">EDU00023</t>
  </si>
  <si>
    <t xml:space="preserve">EDU02164</t>
  </si>
  <si>
    <t xml:space="preserve">EDU00125</t>
  </si>
  <si>
    <t xml:space="preserve">EDU01448</t>
  </si>
  <si>
    <t xml:space="preserve">EDU01963</t>
  </si>
  <si>
    <t xml:space="preserve">EDU00774</t>
  </si>
  <si>
    <t xml:space="preserve">EDU00881</t>
  </si>
  <si>
    <t xml:space="preserve">EDU02272</t>
  </si>
  <si>
    <t xml:space="preserve">EDU02117</t>
  </si>
  <si>
    <t xml:space="preserve">EDU01746</t>
  </si>
  <si>
    <t xml:space="preserve">EDU01145</t>
  </si>
  <si>
    <t xml:space="preserve">EDU01527</t>
  </si>
  <si>
    <t xml:space="preserve">EDU01167</t>
  </si>
  <si>
    <t xml:space="preserve">EDU00051</t>
  </si>
  <si>
    <t xml:space="preserve">20-01-2023</t>
  </si>
  <si>
    <t xml:space="preserve">EDU01703</t>
  </si>
  <si>
    <t xml:space="preserve">EDU02078</t>
  </si>
  <si>
    <t xml:space="preserve">EDU01648</t>
  </si>
  <si>
    <t xml:space="preserve">30-08-2024</t>
  </si>
  <si>
    <t xml:space="preserve">EDU00134</t>
  </si>
  <si>
    <t xml:space="preserve">EDU01106</t>
  </si>
  <si>
    <t xml:space="preserve">EDU00704</t>
  </si>
  <si>
    <t xml:space="preserve">EDU00483</t>
  </si>
  <si>
    <t xml:space="preserve">EDU01346</t>
  </si>
  <si>
    <t xml:space="preserve">EDU01146</t>
  </si>
  <si>
    <t xml:space="preserve">EDU01530</t>
  </si>
  <si>
    <t xml:space="preserve">EDU00204</t>
  </si>
  <si>
    <t xml:space="preserve">EDU02454</t>
  </si>
  <si>
    <t xml:space="preserve">15-03-2023</t>
  </si>
  <si>
    <t xml:space="preserve">EDU00067</t>
  </si>
  <si>
    <t xml:space="preserve">EDU00847</t>
  </si>
  <si>
    <t xml:space="preserve">EDU00734</t>
  </si>
  <si>
    <t xml:space="preserve">EDU02349</t>
  </si>
  <si>
    <t xml:space="preserve">EDU00802</t>
  </si>
  <si>
    <t xml:space="preserve">EDU02188</t>
  </si>
  <si>
    <t xml:space="preserve">EDU02133</t>
  </si>
  <si>
    <t xml:space="preserve">EDU00908</t>
  </si>
  <si>
    <t xml:space="preserve">EDU00032</t>
  </si>
  <si>
    <t xml:space="preserve">EDU01820</t>
  </si>
  <si>
    <t xml:space="preserve">EDU00418</t>
  </si>
  <si>
    <t xml:space="preserve">EDU00882</t>
  </si>
  <si>
    <t xml:space="preserve">19-04-2024</t>
  </si>
  <si>
    <t xml:space="preserve">EDU00633</t>
  </si>
  <si>
    <t xml:space="preserve">EDU02354</t>
  </si>
  <si>
    <t xml:space="preserve">EDU00011</t>
  </si>
  <si>
    <t xml:space="preserve">EDU00065</t>
  </si>
  <si>
    <t xml:space="preserve">EDU01164</t>
  </si>
  <si>
    <t xml:space="preserve">EDU01430</t>
  </si>
  <si>
    <t xml:space="preserve">EDU00777</t>
  </si>
  <si>
    <t xml:space="preserve">EDU00078</t>
  </si>
  <si>
    <t xml:space="preserve">EDU00492</t>
  </si>
  <si>
    <t xml:space="preserve">EDU00687</t>
  </si>
  <si>
    <t xml:space="preserve">EDU00259</t>
  </si>
  <si>
    <t xml:space="preserve">EDU00533</t>
  </si>
  <si>
    <t xml:space="preserve">NASHIK</t>
  </si>
  <si>
    <t xml:space="preserve">EDU00066</t>
  </si>
  <si>
    <t xml:space="preserve">EDU02293</t>
  </si>
  <si>
    <t xml:space="preserve">EDU01436</t>
  </si>
  <si>
    <t xml:space="preserve">EDU01285</t>
  </si>
  <si>
    <t xml:space="preserve">EDU00297</t>
  </si>
  <si>
    <t xml:space="preserve">EDU00592</t>
  </si>
  <si>
    <t xml:space="preserve">EDU01444</t>
  </si>
  <si>
    <t xml:space="preserve">EDU00768</t>
  </si>
  <si>
    <t xml:space="preserve">EDU02390</t>
  </si>
  <si>
    <t xml:space="preserve">EDU01286</t>
  </si>
  <si>
    <t xml:space="preserve">EDU02089</t>
  </si>
  <si>
    <t xml:space="preserve">EDU00725</t>
  </si>
  <si>
    <t xml:space="preserve">EDU01194</t>
  </si>
  <si>
    <t xml:space="preserve">EDU01306</t>
  </si>
  <si>
    <t xml:space="preserve">EDU00627</t>
  </si>
  <si>
    <t xml:space="preserve">EDU01377</t>
  </si>
  <si>
    <t xml:space="preserve">EDU00292</t>
  </si>
  <si>
    <t xml:space="preserve">EDU00746</t>
  </si>
  <si>
    <t xml:space="preserve">EDU01213</t>
  </si>
  <si>
    <t xml:space="preserve">EDU02352</t>
  </si>
  <si>
    <t xml:space="preserve">EDU00252</t>
  </si>
  <si>
    <t xml:space="preserve">EDU02313</t>
  </si>
  <si>
    <t xml:space="preserve">EDU01638</t>
  </si>
  <si>
    <t xml:space="preserve">EDU00477</t>
  </si>
  <si>
    <t xml:space="preserve">EDU02010</t>
  </si>
  <si>
    <t xml:space="preserve">EDU01539</t>
  </si>
  <si>
    <t xml:space="preserve">EDU01817</t>
  </si>
  <si>
    <t xml:space="preserve">EDU01992</t>
  </si>
  <si>
    <t xml:space="preserve">EDU02437</t>
  </si>
  <si>
    <t xml:space="preserve">EDU00983</t>
  </si>
  <si>
    <t xml:space="preserve">EDU00980</t>
  </si>
  <si>
    <t xml:space="preserve">31-01-2023</t>
  </si>
  <si>
    <t xml:space="preserve">EDU00707</t>
  </si>
  <si>
    <t xml:space="preserve">EDU00488</t>
  </si>
  <si>
    <t xml:space="preserve">EDU01688</t>
  </si>
  <si>
    <t xml:space="preserve">EDU01832</t>
  </si>
  <si>
    <t xml:space="preserve">EDU02234</t>
  </si>
  <si>
    <t xml:space="preserve">EDU00274</t>
  </si>
  <si>
    <t xml:space="preserve">EDU01710</t>
  </si>
  <si>
    <t xml:space="preserve">EDU02242</t>
  </si>
  <si>
    <t xml:space="preserve">EDU02275</t>
  </si>
  <si>
    <t xml:space="preserve">EDU00964</t>
  </si>
  <si>
    <t xml:space="preserve">EDU00878</t>
  </si>
  <si>
    <t xml:space="preserve">EDU02085</t>
  </si>
  <si>
    <t xml:space="preserve">EDU02378</t>
  </si>
  <si>
    <t xml:space="preserve">EDU02470</t>
  </si>
  <si>
    <t xml:space="preserve">EDU00412</t>
  </si>
  <si>
    <t xml:space="preserve">EDU02206</t>
  </si>
  <si>
    <t xml:space="preserve">EDU02124</t>
  </si>
  <si>
    <t xml:space="preserve">EDU01453</t>
  </si>
  <si>
    <t xml:space="preserve">EDU00668</t>
  </si>
  <si>
    <t xml:space="preserve">EDU01263</t>
  </si>
  <si>
    <t xml:space="preserve">EDU00150</t>
  </si>
  <si>
    <t xml:space="preserve">EDU00645</t>
  </si>
  <si>
    <t xml:space="preserve">EDU02288</t>
  </si>
  <si>
    <t xml:space="preserve">EDU01758</t>
  </si>
  <si>
    <t xml:space="preserve">EDU00219</t>
  </si>
  <si>
    <t xml:space="preserve">EDU00240</t>
  </si>
  <si>
    <t xml:space="preserve">EDU01132</t>
  </si>
  <si>
    <t xml:space="preserve">EDU02244</t>
  </si>
  <si>
    <t xml:space="preserve">EDU01750</t>
  </si>
  <si>
    <t xml:space="preserve">EDU01217</t>
  </si>
  <si>
    <t xml:space="preserve">EDU00793</t>
  </si>
  <si>
    <t xml:space="preserve">EDU00192</t>
  </si>
  <si>
    <t xml:space="preserve">EDU00334</t>
  </si>
  <si>
    <t xml:space="preserve">EDU02004</t>
  </si>
  <si>
    <t xml:space="preserve">EDU02172</t>
  </si>
  <si>
    <t xml:space="preserve">EDU00963</t>
  </si>
  <si>
    <t xml:space="preserve">EDU01669</t>
  </si>
  <si>
    <t xml:space="preserve">25-03-2024</t>
  </si>
  <si>
    <t xml:space="preserve">EDU02113</t>
  </si>
  <si>
    <t xml:space="preserve">EDU02294</t>
  </si>
  <si>
    <t xml:space="preserve">EDU02473</t>
  </si>
  <si>
    <t xml:space="preserve">EDU01041</t>
  </si>
  <si>
    <t xml:space="preserve">EDU01358</t>
  </si>
  <si>
    <t xml:space="preserve">EDU00776</t>
  </si>
  <si>
    <t xml:space="preserve">EDU00583</t>
  </si>
  <si>
    <t xml:space="preserve">EDU02441</t>
  </si>
  <si>
    <t xml:space="preserve">EDU02177</t>
  </si>
  <si>
    <t xml:space="preserve">EDU00840</t>
  </si>
  <si>
    <t xml:space="preserve">EDU00628</t>
  </si>
  <si>
    <t xml:space="preserve">EDU02312</t>
  </si>
  <si>
    <t xml:space="preserve">EDU00324</t>
  </si>
  <si>
    <t xml:space="preserve">EDU02376</t>
  </si>
  <si>
    <t xml:space="preserve">EDU00296</t>
  </si>
  <si>
    <t xml:space="preserve">EDU02445</t>
  </si>
  <si>
    <t xml:space="preserve">EDU01868</t>
  </si>
  <si>
    <t xml:space="preserve">EDU01161</t>
  </si>
  <si>
    <t xml:space="preserve">EDU00779</t>
  </si>
  <si>
    <t xml:space="preserve">11-04-2024</t>
  </si>
  <si>
    <t xml:space="preserve">EDU01077</t>
  </si>
  <si>
    <t xml:space="preserve">EDU00940</t>
  </si>
  <si>
    <t xml:space="preserve">EDU01880</t>
  </si>
  <si>
    <t xml:space="preserve">EDU00438</t>
  </si>
  <si>
    <t xml:space="preserve">EDU00120</t>
  </si>
  <si>
    <t xml:space="preserve">EDU02194</t>
  </si>
  <si>
    <t xml:space="preserve">EDU02051</t>
  </si>
  <si>
    <t xml:space="preserve">EDU00330</t>
  </si>
  <si>
    <t xml:space="preserve">EDU01815</t>
  </si>
  <si>
    <t xml:space="preserve">EDU01366</t>
  </si>
  <si>
    <t xml:space="preserve">EDU01840</t>
  </si>
  <si>
    <t xml:space="preserve">EDU01027</t>
  </si>
  <si>
    <t xml:space="preserve">EDU01254</t>
  </si>
  <si>
    <t xml:space="preserve">EDU01025</t>
  </si>
  <si>
    <t xml:space="preserve">EDU01381</t>
  </si>
  <si>
    <t xml:space="preserve">07-08-2023</t>
  </si>
  <si>
    <t xml:space="preserve">EDU00077</t>
  </si>
  <si>
    <t xml:space="preserve">EDU01054</t>
  </si>
  <si>
    <t xml:space="preserve">EDU00901</t>
  </si>
  <si>
    <t xml:space="preserve">EDU02370</t>
  </si>
  <si>
    <t xml:space="preserve">EDU00372</t>
  </si>
  <si>
    <t xml:space="preserve">EDU01205</t>
  </si>
  <si>
    <t xml:space="preserve">10-01-2024</t>
  </si>
  <si>
    <t xml:space="preserve">EDU00033</t>
  </si>
  <si>
    <t xml:space="preserve">EDU00950</t>
  </si>
  <si>
    <t xml:space="preserve">EDU00942</t>
  </si>
  <si>
    <t xml:space="preserve">EDU00578</t>
  </si>
  <si>
    <t xml:space="preserve">EDU02003</t>
  </si>
  <si>
    <t xml:space="preserve">EDU00553</t>
  </si>
  <si>
    <t xml:space="preserve">EDU00407</t>
  </si>
  <si>
    <t xml:space="preserve">EDU02319</t>
  </si>
  <si>
    <t xml:space="preserve">EDU01584</t>
  </si>
  <si>
    <t xml:space="preserve">18-09-2024</t>
  </si>
  <si>
    <t xml:space="preserve">EDU01087</t>
  </si>
  <si>
    <t xml:space="preserve">21-09-2024</t>
  </si>
  <si>
    <t xml:space="preserve">EDU01614</t>
  </si>
  <si>
    <t xml:space="preserve">EDU00887</t>
  </si>
  <si>
    <t xml:space="preserve">EDU00969</t>
  </si>
  <si>
    <t xml:space="preserve">EDU01251</t>
  </si>
  <si>
    <t xml:space="preserve">EDU00786</t>
  </si>
  <si>
    <t xml:space="preserve">EDU02260</t>
  </si>
  <si>
    <t xml:space="preserve">EDU02283</t>
  </si>
  <si>
    <t xml:space="preserve">EDU00850</t>
  </si>
  <si>
    <t xml:space="preserve">EDU00302</t>
  </si>
  <si>
    <t xml:space="preserve">EDU01747</t>
  </si>
  <si>
    <t xml:space="preserve">EDU00690</t>
  </si>
  <si>
    <t xml:space="preserve">EDU00813</t>
  </si>
  <si>
    <t xml:space="preserve">EDU01062</t>
  </si>
  <si>
    <t xml:space="preserve">EDU01378</t>
  </si>
  <si>
    <t xml:space="preserve">EDU01522</t>
  </si>
  <si>
    <t xml:space="preserve">EDU01739</t>
  </si>
  <si>
    <t xml:space="preserve">EDU02005</t>
  </si>
  <si>
    <t xml:space="preserve">EDU00237</t>
  </si>
  <si>
    <t xml:space="preserve">EDU02383</t>
  </si>
  <si>
    <t xml:space="preserve">EDU01987</t>
  </si>
  <si>
    <t xml:space="preserve">23-05-2023</t>
  </si>
  <si>
    <t xml:space="preserve">EDU01984</t>
  </si>
  <si>
    <t xml:space="preserve">EDU01754</t>
  </si>
  <si>
    <t xml:space="preserve">EDU01116</t>
  </si>
  <si>
    <t xml:space="preserve">EDU02346</t>
  </si>
  <si>
    <t xml:space="preserve">EDU00500</t>
  </si>
  <si>
    <t xml:space="preserve">EDU00823</t>
  </si>
  <si>
    <t xml:space="preserve">EDU00795</t>
  </si>
  <si>
    <t xml:space="preserve">EDU00991</t>
  </si>
  <si>
    <t xml:space="preserve">EDU00568</t>
  </si>
  <si>
    <t xml:space="preserve">EDU00391</t>
  </si>
  <si>
    <t xml:space="preserve">EDU00744</t>
  </si>
  <si>
    <t xml:space="preserve">EDU01218</t>
  </si>
  <si>
    <t xml:space="preserve">EDU00236</t>
  </si>
  <si>
    <t xml:space="preserve">EDU02301</t>
  </si>
  <si>
    <t xml:space="preserve">EDU00481</t>
  </si>
  <si>
    <t xml:space="preserve">EDU02043</t>
  </si>
  <si>
    <t xml:space="preserve">EDU01678</t>
  </si>
  <si>
    <t xml:space="preserve">28-04-2023</t>
  </si>
  <si>
    <t xml:space="preserve">EDU02284</t>
  </si>
  <si>
    <t xml:space="preserve">EDU02155</t>
  </si>
  <si>
    <t xml:space="preserve">02-09-2024</t>
  </si>
  <si>
    <t xml:space="preserve">EDU00121</t>
  </si>
  <si>
    <t xml:space="preserve">EDU01273</t>
  </si>
  <si>
    <t xml:space="preserve">EDU00927</t>
  </si>
  <si>
    <t xml:space="preserve">EDU01595</t>
  </si>
  <si>
    <t xml:space="preserve">EDU00224</t>
  </si>
  <si>
    <t xml:space="preserve">EDU00767</t>
  </si>
  <si>
    <t xml:space="preserve">EDU00614</t>
  </si>
  <si>
    <t xml:space="preserve">EDU01246</t>
  </si>
  <si>
    <t xml:space="preserve">27-02-2023</t>
  </si>
  <si>
    <t xml:space="preserve">EDU01541</t>
  </si>
  <si>
    <t xml:space="preserve">EDU00053</t>
  </si>
  <si>
    <t xml:space="preserve">EDU00530</t>
  </si>
  <si>
    <t xml:space="preserve">EDU01900</t>
  </si>
  <si>
    <t xml:space="preserve">EDU02447</t>
  </si>
  <si>
    <t xml:space="preserve">EDU00819</t>
  </si>
  <si>
    <t xml:space="preserve">EDU00156</t>
  </si>
  <si>
    <t xml:space="preserve">EDU02397</t>
  </si>
  <si>
    <t xml:space="preserve">EDU00249</t>
  </si>
  <si>
    <t xml:space="preserve">EDU00762</t>
  </si>
  <si>
    <t xml:space="preserve">EDU01895</t>
  </si>
  <si>
    <t xml:space="preserve">EDU02030</t>
  </si>
  <si>
    <t xml:space="preserve">EDU01131</t>
  </si>
  <si>
    <t xml:space="preserve">30-07-2024</t>
  </si>
  <si>
    <t xml:space="preserve">EDU00543</t>
  </si>
  <si>
    <t xml:space="preserve">EDU00794</t>
  </si>
  <si>
    <t xml:space="preserve">EDU01726</t>
  </si>
  <si>
    <t xml:space="preserve">EDU00629</t>
  </si>
  <si>
    <t xml:space="preserve">EDU02253</t>
  </si>
  <si>
    <t xml:space="preserve">EDU02375</t>
  </si>
  <si>
    <t xml:space="preserve">EDU01368</t>
  </si>
  <si>
    <t xml:space="preserve">EDU01621</t>
  </si>
  <si>
    <t xml:space="preserve">EDU02326</t>
  </si>
  <si>
    <t xml:space="preserve">EDU01072</t>
  </si>
  <si>
    <t xml:space="preserve">EDU00555</t>
  </si>
  <si>
    <t xml:space="preserve">EDU01829</t>
  </si>
  <si>
    <t xml:space="preserve">EDU00827</t>
  </si>
  <si>
    <t xml:space="preserve">EDU01985</t>
  </si>
  <si>
    <t xml:space="preserve">EDU01838</t>
  </si>
  <si>
    <t xml:space="preserve">EDU00536</t>
  </si>
  <si>
    <t xml:space="preserve">05-03-2023</t>
  </si>
  <si>
    <t xml:space="preserve">EDU02228</t>
  </si>
  <si>
    <t xml:space="preserve">EDU00155</t>
  </si>
  <si>
    <t xml:space="preserve">EDU02154</t>
  </si>
  <si>
    <t xml:space="preserve">EDU02345</t>
  </si>
  <si>
    <t xml:space="preserve">EDU00323</t>
  </si>
  <si>
    <t xml:space="preserve">EDU01711</t>
  </si>
  <si>
    <t xml:space="preserve">EDU00015</t>
  </si>
  <si>
    <t xml:space="preserve">EDU01799</t>
  </si>
  <si>
    <t xml:space="preserve">EDU02348</t>
  </si>
  <si>
    <t xml:space="preserve">EDU00083</t>
  </si>
  <si>
    <t xml:space="preserve">EDU01944</t>
  </si>
  <si>
    <t xml:space="preserve">EDU01989</t>
  </si>
  <si>
    <t xml:space="preserve">EDU01384</t>
  </si>
  <si>
    <t xml:space="preserve">13-11-2023</t>
  </si>
  <si>
    <t xml:space="preserve">EDU01575</t>
  </si>
  <si>
    <t xml:space="preserve">EDU02059</t>
  </si>
  <si>
    <t xml:space="preserve">EDU02400</t>
  </si>
  <si>
    <t xml:space="preserve">EDU01495</t>
  </si>
  <si>
    <t xml:space="preserve">EDU00832</t>
  </si>
  <si>
    <t xml:space="preserve">EDU02081</t>
  </si>
  <si>
    <t xml:space="preserve">EDU01175</t>
  </si>
  <si>
    <t xml:space="preserve">EDU00414</t>
  </si>
  <si>
    <t xml:space="preserve">EDU01818</t>
  </si>
  <si>
    <t xml:space="preserve">18-02-2023</t>
  </si>
  <si>
    <t xml:space="preserve">EDU00166</t>
  </si>
  <si>
    <t xml:space="preserve">EDU02153</t>
  </si>
  <si>
    <t xml:space="preserve">EDU00615</t>
  </si>
  <si>
    <t xml:space="preserve">EDU01015</t>
  </si>
  <si>
    <t xml:space="preserve">EDU02292</t>
  </si>
  <si>
    <t xml:space="preserve">EDU01238</t>
  </si>
  <si>
    <t xml:space="preserve">EDU00556</t>
  </si>
  <si>
    <t xml:space="preserve">EDU01212</t>
  </si>
  <si>
    <t xml:space="preserve">EDU02325</t>
  </si>
  <si>
    <t xml:space="preserve">EDU00635</t>
  </si>
  <si>
    <t xml:space="preserve">EDU01056</t>
  </si>
  <si>
    <t xml:space="preserve">EDU01709</t>
  </si>
  <si>
    <t xml:space="preserve">20-08-2023</t>
  </si>
  <si>
    <t xml:space="preserve">EDU00797</t>
  </si>
  <si>
    <t xml:space="preserve">EDU02338</t>
  </si>
  <si>
    <t xml:space="preserve">EDU00175</t>
  </si>
  <si>
    <t xml:space="preserve">EDU00246</t>
  </si>
  <si>
    <t xml:space="preserve">EDU01081</t>
  </si>
  <si>
    <t xml:space="preserve">EDU01655</t>
  </si>
  <si>
    <t xml:space="preserve">EDU02472</t>
  </si>
  <si>
    <t xml:space="preserve">EDU00145</t>
  </si>
  <si>
    <t xml:space="preserve">EDU00146</t>
  </si>
  <si>
    <t xml:space="preserve">EDU00091</t>
  </si>
  <si>
    <t xml:space="preserve">EDU00683</t>
  </si>
  <si>
    <t xml:space="preserve">EDU00311</t>
  </si>
  <si>
    <t xml:space="preserve">EDU00094</t>
  </si>
  <si>
    <t xml:space="preserve">EDU02204</t>
  </si>
  <si>
    <t xml:space="preserve">EDU01957</t>
  </si>
  <si>
    <t xml:space="preserve">EDU00925</t>
  </si>
  <si>
    <t xml:space="preserve">EDU01910</t>
  </si>
  <si>
    <t xml:space="preserve">EDU01036</t>
  </si>
  <si>
    <t xml:space="preserve">EDU01401</t>
  </si>
  <si>
    <t xml:space="preserve">EDU01501</t>
  </si>
  <si>
    <t xml:space="preserve">EDU01469</t>
  </si>
  <si>
    <t xml:space="preserve">EDU00999</t>
  </si>
  <si>
    <t xml:space="preserve">EDU00854</t>
  </si>
  <si>
    <t xml:space="preserve">EDU01143</t>
  </si>
  <si>
    <t xml:space="preserve">EDU01144</t>
  </si>
  <si>
    <t xml:space="preserve">EDU02049</t>
  </si>
  <si>
    <t xml:space="preserve">EDU00402</t>
  </si>
  <si>
    <t xml:space="preserve">EDU01104</t>
  </si>
  <si>
    <t xml:space="preserve">30-10-2024</t>
  </si>
  <si>
    <t xml:space="preserve">EDU00085</t>
  </si>
  <si>
    <t xml:space="preserve">EDU02403</t>
  </si>
  <si>
    <t xml:space="preserve">EDU00115</t>
  </si>
  <si>
    <t xml:space="preserve">EDU02217</t>
  </si>
  <si>
    <t xml:space="preserve">EDU01586</t>
  </si>
  <si>
    <t xml:space="preserve">EDU01568</t>
  </si>
  <si>
    <t xml:space="preserve">EDU01502</t>
  </si>
  <si>
    <t xml:space="preserve">EDU01661</t>
  </si>
  <si>
    <t xml:space="preserve">EDU01557</t>
  </si>
  <si>
    <t xml:space="preserve">23-12-2023</t>
  </si>
  <si>
    <t xml:space="preserve">EDU02008</t>
  </si>
  <si>
    <t xml:space="preserve">EDU00626</t>
  </si>
  <si>
    <t xml:space="preserve">EDU01886</t>
  </si>
  <si>
    <t xml:space="preserve">EDU01867</t>
  </si>
  <si>
    <t xml:space="preserve">EDU00953</t>
  </si>
  <si>
    <t xml:space="preserve">EDU00625</t>
  </si>
  <si>
    <t xml:space="preserve">EDU00235</t>
  </si>
  <si>
    <t xml:space="preserve">EDU02035</t>
  </si>
  <si>
    <t xml:space="preserve">EDU01827</t>
  </si>
  <si>
    <t xml:space="preserve">EDU02367</t>
  </si>
  <si>
    <t xml:space="preserve">EDU01315</t>
  </si>
  <si>
    <t xml:space="preserve">EDU01526</t>
  </si>
  <si>
    <t xml:space="preserve">EDU01563</t>
  </si>
  <si>
    <t xml:space="preserve">EDU01753</t>
  </si>
  <si>
    <t xml:space="preserve">EDU01606</t>
  </si>
  <si>
    <t xml:space="preserve">EDU00344</t>
  </si>
  <si>
    <t xml:space="preserve">EDU00997</t>
  </si>
  <si>
    <t xml:space="preserve">EDU02063</t>
  </si>
  <si>
    <t xml:space="preserve">EDU01111</t>
  </si>
  <si>
    <t xml:space="preserve">EDU01360</t>
  </si>
  <si>
    <t xml:space="preserve">EDU02108</t>
  </si>
  <si>
    <t xml:space="preserve">EDU00710</t>
  </si>
  <si>
    <t xml:space="preserve">EDU01879</t>
  </si>
  <si>
    <t xml:space="preserve">EDU01379</t>
  </si>
  <si>
    <t xml:space="preserve">EDU00425</t>
  </si>
  <si>
    <t xml:space="preserve">EDU00293</t>
  </si>
  <si>
    <t xml:space="preserve">EDU01066</t>
  </si>
  <si>
    <t xml:space="preserve">EDU01639</t>
  </si>
  <si>
    <t xml:space="preserve">EDU01013</t>
  </si>
  <si>
    <t xml:space="preserve">EDU02128</t>
  </si>
  <si>
    <t xml:space="preserve">EDU01718</t>
  </si>
  <si>
    <t xml:space="preserve">EDU00938</t>
  </si>
  <si>
    <t xml:space="preserve">EDU00835</t>
  </si>
  <si>
    <t xml:space="preserve">EDU00255</t>
  </si>
  <si>
    <t xml:space="preserve">EDU01483</t>
  </si>
  <si>
    <t xml:space="preserve">EDU02479</t>
  </si>
  <si>
    <t xml:space="preserve">EDU01408</t>
  </si>
  <si>
    <t xml:space="preserve">EDU02422</t>
  </si>
  <si>
    <t xml:space="preserve">EDU02185</t>
  </si>
  <si>
    <t xml:space="preserve">EDU00724</t>
  </si>
  <si>
    <t xml:space="preserve">EDU00970</t>
  </si>
  <si>
    <t xml:space="preserve">EDU00497</t>
  </si>
  <si>
    <t xml:space="preserve">EDU00951</t>
  </si>
  <si>
    <t xml:space="preserve">EDU00806</t>
  </si>
  <si>
    <t xml:space="preserve">EDU01830</t>
  </si>
  <si>
    <t xml:space="preserve">EDU02178</t>
  </si>
  <si>
    <t xml:space="preserve">EDU01740</t>
  </si>
  <si>
    <t xml:space="preserve">EDU00338</t>
  </si>
  <si>
    <t xml:space="preserve">EDU00731</t>
  </si>
  <si>
    <t xml:space="preserve">EDU00609</t>
  </si>
  <si>
    <t xml:space="preserve">EDU01149</t>
  </si>
  <si>
    <t xml:space="preserve">EDU01714</t>
  </si>
  <si>
    <t xml:space="preserve">EDU02489</t>
  </si>
  <si>
    <t xml:space="preserve">EDU00910</t>
  </si>
  <si>
    <t xml:space="preserve">EDU02152</t>
  </si>
  <si>
    <t xml:space="preserve">EDU02011</t>
  </si>
  <si>
    <t xml:space="preserve">EDU01811</t>
  </si>
  <si>
    <t xml:space="preserve">24-05-2024</t>
  </si>
  <si>
    <t xml:space="preserve">EDU01995</t>
  </si>
  <si>
    <t xml:space="preserve">EDU00720</t>
  </si>
  <si>
    <t xml:space="preserve">EDU01570</t>
  </si>
  <si>
    <t xml:space="preserve">EDU00435</t>
  </si>
  <si>
    <t xml:space="preserve">EDU01300</t>
  </si>
  <si>
    <t xml:space="preserve">EDU02175</t>
  </si>
  <si>
    <t xml:space="preserve">EDU00406</t>
  </si>
  <si>
    <t xml:space="preserve">EDU00822</t>
  </si>
  <si>
    <t xml:space="preserve">11-05-2023</t>
  </si>
  <si>
    <t xml:space="preserve">EDU01790</t>
  </si>
  <si>
    <t xml:space="preserve">EDU01859</t>
  </si>
  <si>
    <t xml:space="preserve">EDU01558</t>
  </si>
  <si>
    <t xml:space="preserve">EDU00546</t>
  </si>
  <si>
    <t xml:space="preserve">EDU00213</t>
  </si>
  <si>
    <t xml:space="preserve">EDU00897</t>
  </si>
  <si>
    <t xml:space="preserve">EDU01942</t>
  </si>
  <si>
    <t xml:space="preserve">EDU01892</t>
  </si>
  <si>
    <t xml:space="preserve">EDU01290</t>
  </si>
  <si>
    <t xml:space="preserve">EDU00815</t>
  </si>
  <si>
    <t xml:space="preserve">EDU01266</t>
  </si>
  <si>
    <t xml:space="preserve">EDU00343</t>
  </si>
  <si>
    <t xml:space="preserve">EDU01411</t>
  </si>
  <si>
    <t xml:space="preserve">EDU01215</t>
  </si>
  <si>
    <t xml:space="preserve">EDU00967</t>
  </si>
  <si>
    <t xml:space="preserve">EDU01231</t>
  </si>
  <si>
    <t xml:space="preserve">EDU00696</t>
  </si>
  <si>
    <t xml:space="preserve">EDU02122</t>
  </si>
  <si>
    <t xml:space="preserve">EDU00606</t>
  </si>
  <si>
    <t xml:space="preserve">EDU00105</t>
  </si>
  <si>
    <t xml:space="preserve">EDU00646</t>
  </si>
  <si>
    <t xml:space="preserve">EDU01405</t>
  </si>
  <si>
    <t xml:space="preserve">EDU00495</t>
  </si>
  <si>
    <t xml:space="preserve">EDU01020</t>
  </si>
  <si>
    <t xml:space="preserve">EDU00092</t>
  </si>
  <si>
    <t xml:space="preserve">EDU01113</t>
  </si>
  <si>
    <t xml:space="preserve">EDU00909</t>
  </si>
  <si>
    <t xml:space="preserve">EDU01475</t>
  </si>
  <si>
    <t xml:space="preserve">EDU01742</t>
  </si>
  <si>
    <t xml:space="preserve">03-02-2023</t>
  </si>
  <si>
    <t xml:space="preserve">EDU02151</t>
  </si>
  <si>
    <t xml:space="preserve">EDU00239</t>
  </si>
  <si>
    <t xml:space="preserve">EDU00943</t>
  </si>
  <si>
    <t xml:space="preserve">EDU01271</t>
  </si>
  <si>
    <t xml:space="preserve">EDU00939</t>
  </si>
  <si>
    <t xml:space="preserve">EDU01425</t>
  </si>
  <si>
    <t xml:space="preserve">EDU01863</t>
  </si>
  <si>
    <t xml:space="preserve">EDU01670</t>
  </si>
  <si>
    <t xml:space="preserve">11-11-2023</t>
  </si>
  <si>
    <t xml:space="preserve">EDU00006</t>
  </si>
  <si>
    <t xml:space="preserve">EDU00248</t>
  </si>
  <si>
    <t xml:space="preserve">EDU00019</t>
  </si>
  <si>
    <t xml:space="preserve">EDU02170</t>
  </si>
  <si>
    <t xml:space="preserve">EDU01971</t>
  </si>
  <si>
    <t xml:space="preserve">EDU02233</t>
  </si>
  <si>
    <t xml:space="preserve">EDU00812</t>
  </si>
  <si>
    <t xml:space="preserve">EDU01301</t>
  </si>
  <si>
    <t xml:space="preserve">EDU01336</t>
  </si>
  <si>
    <t xml:space="preserve">EDU02413</t>
  </si>
  <si>
    <t xml:space="preserve">EDU00261</t>
  </si>
  <si>
    <t xml:space="preserve">EDU01805</t>
  </si>
  <si>
    <t xml:space="preserve">EDU01571</t>
  </si>
  <si>
    <t xml:space="preserve">EDU02230</t>
  </si>
  <si>
    <t xml:space="preserve">EDU00185</t>
  </si>
  <si>
    <t xml:space="preserve">EDU01744</t>
  </si>
  <si>
    <t xml:space="preserve">EDU01631</t>
  </si>
  <si>
    <t xml:space="preserve">EDU01717</t>
  </si>
  <si>
    <t xml:space="preserve">EDU00521</t>
  </si>
  <si>
    <t xml:space="preserve">EDU02017</t>
  </si>
  <si>
    <t xml:space="preserve">EDU01659</t>
  </si>
  <si>
    <t xml:space="preserve">EDU01613</t>
  </si>
  <si>
    <t xml:space="preserve">EDU02127</t>
  </si>
  <si>
    <t xml:space="preserve">EDU02487</t>
  </si>
  <si>
    <t xml:space="preserve">EDU00608</t>
  </si>
  <si>
    <t xml:space="preserve">EDU00231</t>
  </si>
  <si>
    <t xml:space="preserve">EDU00332</t>
  </si>
  <si>
    <t xml:space="preserve">EDU01441</t>
  </si>
  <si>
    <t xml:space="preserve">EDU01928</t>
  </si>
  <si>
    <t xml:space="preserve">EDU01092</t>
  </si>
  <si>
    <t xml:space="preserve">EDU01102</t>
  </si>
  <si>
    <t xml:space="preserve">EDU01130</t>
  </si>
  <si>
    <t xml:space="preserve">EDU00462</t>
  </si>
  <si>
    <t xml:space="preserve">EDU00959</t>
  </si>
  <si>
    <t xml:space="preserve">EDU01663</t>
  </si>
  <si>
    <t xml:space="preserve">EDU00560</t>
  </si>
  <si>
    <t xml:space="preserve">EDU02337</t>
  </si>
  <si>
    <t xml:space="preserve">EDU01520</t>
  </si>
  <si>
    <t xml:space="preserve">EDU02141</t>
  </si>
  <si>
    <t xml:space="preserve">EDU02412</t>
  </si>
  <si>
    <t xml:space="preserve">EDU02033</t>
  </si>
  <si>
    <t xml:space="preserve">EDU02499</t>
  </si>
  <si>
    <t xml:space="preserve">EDU02098</t>
  </si>
  <si>
    <t xml:space="preserve">EDU02362</t>
  </si>
  <si>
    <t xml:space="preserve">EDU00070</t>
  </si>
  <si>
    <t xml:space="preserve">EDU01573</t>
  </si>
  <si>
    <t xml:space="preserve">28-09-2023</t>
  </si>
  <si>
    <t xml:space="preserve">EDU00809</t>
  </si>
  <si>
    <t xml:space="preserve">EDU00012</t>
  </si>
  <si>
    <t xml:space="preserve">EDU02026</t>
  </si>
  <si>
    <t xml:space="preserve">EDU02193</t>
  </si>
  <si>
    <t xml:space="preserve">EDU00918</t>
  </si>
  <si>
    <t xml:space="preserve">EDU01452</t>
  </si>
  <si>
    <t xml:space="preserve">08-04-2023</t>
  </si>
  <si>
    <t xml:space="preserve">EDU00177</t>
  </si>
  <si>
    <t xml:space="preserve">EDU00995</t>
  </si>
  <si>
    <t xml:space="preserve">EDU01256</t>
  </si>
  <si>
    <t xml:space="preserve">EDU01665</t>
  </si>
  <si>
    <t xml:space="preserve">EDU02192</t>
  </si>
  <si>
    <t xml:space="preserve">24-12-2024</t>
  </si>
  <si>
    <t xml:space="preserve">EDU01791</t>
  </si>
  <si>
    <t xml:space="preserve">EDU00157</t>
  </si>
  <si>
    <t xml:space="preserve">EDU01461</t>
  </si>
  <si>
    <t xml:space="preserve">EDU02047</t>
  </si>
  <si>
    <t xml:space="preserve">EDU01851</t>
  </si>
  <si>
    <t xml:space="preserve">EDU02304</t>
  </si>
  <si>
    <t xml:space="preserve">EDU02006</t>
  </si>
  <si>
    <t xml:space="preserve">EDU01186</t>
  </si>
  <si>
    <t xml:space="preserve">EDU01007</t>
  </si>
  <si>
    <t xml:space="preserve">EDU00561</t>
  </si>
  <si>
    <t xml:space="preserve">EDU02257</t>
  </si>
  <si>
    <t xml:space="preserve">EDU00911</t>
  </si>
  <si>
    <t xml:space="preserve">EDU01312</t>
  </si>
  <si>
    <t xml:space="preserve">EDU02050</t>
  </si>
  <si>
    <t xml:space="preserve">EDU00270</t>
  </si>
  <si>
    <t xml:space="preserve">EDU01994</t>
  </si>
  <si>
    <t xml:space="preserve">EDU00266</t>
  </si>
  <si>
    <t xml:space="preserve">EDU00915</t>
  </si>
  <si>
    <t xml:space="preserve">EDU02279</t>
  </si>
  <si>
    <t xml:space="preserve">EDU02232</t>
  </si>
  <si>
    <t xml:space="preserve">EDU02486</t>
  </si>
  <si>
    <t xml:space="preserve">EDU00874</t>
  </si>
  <si>
    <t xml:space="preserve">EDU02094</t>
  </si>
  <si>
    <t xml:space="preserve">EDU00476</t>
  </si>
  <si>
    <t xml:space="preserve">EDU01653</t>
  </si>
  <si>
    <t xml:space="preserve">EDU01961</t>
  </si>
  <si>
    <t xml:space="preserve">EDU00046</t>
  </si>
  <si>
    <t xml:space="preserve">EDU00162</t>
  </si>
  <si>
    <t xml:space="preserve">EDU00289</t>
  </si>
  <si>
    <t xml:space="preserve">EDU01949</t>
  </si>
  <si>
    <t xml:space="preserve">EDU00576</t>
  </si>
  <si>
    <t xml:space="preserve">EDU00851</t>
  </si>
  <si>
    <t xml:space="preserve">EDU00912</t>
  </si>
  <si>
    <t xml:space="preserve">EDU01255</t>
  </si>
  <si>
    <t xml:space="preserve">EDU01834</t>
  </si>
  <si>
    <t xml:space="preserve">EDU01723</t>
  </si>
  <si>
    <t xml:space="preserve">EDU02134</t>
  </si>
  <si>
    <t xml:space="preserve">EDU01736</t>
  </si>
  <si>
    <t xml:space="preserve">EDU00933</t>
  </si>
  <si>
    <t xml:space="preserve">EDU01101</t>
  </si>
  <si>
    <t xml:space="preserve">EDU01208</t>
  </si>
  <si>
    <t xml:space="preserve">EDU02296</t>
  </si>
  <si>
    <t xml:space="preserve">EDU01844</t>
  </si>
  <si>
    <t xml:space="preserve">EDU01849</t>
  </si>
  <si>
    <t xml:space="preserve">EDU01695</t>
  </si>
  <si>
    <t xml:space="preserve">EDU00086</t>
  </si>
  <si>
    <t xml:space="preserve">EDU00470</t>
  </si>
  <si>
    <t xml:space="preserve">EDU02274</t>
  </si>
  <si>
    <t xml:space="preserve">EDU02380</t>
  </si>
  <si>
    <t xml:space="preserve">EDU00234</t>
  </si>
  <si>
    <t xml:space="preserve">EDU02463</t>
  </si>
  <si>
    <t xml:space="preserve">EDU01712</t>
  </si>
  <si>
    <t xml:space="preserve">EDU00183</t>
  </si>
  <si>
    <t xml:space="preserve">EDU00989</t>
  </si>
  <si>
    <t xml:space="preserve">EDU01001</t>
  </si>
  <si>
    <t xml:space="preserve">EDU01642</t>
  </si>
  <si>
    <t xml:space="preserve">EDU01463</t>
  </si>
  <si>
    <t xml:space="preserve">EDU00050</t>
  </si>
  <si>
    <t xml:space="preserve">EDU01259</t>
  </si>
  <si>
    <t xml:space="preserve">EDU00487</t>
  </si>
  <si>
    <t xml:space="preserve">EDU02474</t>
  </si>
  <si>
    <t xml:space="preserve">EDU01909</t>
  </si>
  <si>
    <t xml:space="preserve">EDU00107</t>
  </si>
  <si>
    <t xml:space="preserve">EDU00444</t>
  </si>
  <si>
    <t xml:space="preserve">EDU01955</t>
  </si>
  <si>
    <t xml:space="preserve">EDU00647</t>
  </si>
  <si>
    <t xml:space="preserve">EDU01763</t>
  </si>
  <si>
    <t xml:space="preserve">EDU00727</t>
  </si>
  <si>
    <t xml:space="preserve">EDU02239</t>
  </si>
  <si>
    <t xml:space="preserve">EDU01857</t>
  </si>
  <si>
    <t xml:space="preserve">EDU02331</t>
  </si>
  <si>
    <t xml:space="preserve">EDU00030</t>
  </si>
  <si>
    <t xml:space="preserve">EDU00170</t>
  </si>
  <si>
    <t xml:space="preserve">EDU01002</t>
  </si>
  <si>
    <t xml:space="preserve">EDU02149</t>
  </si>
  <si>
    <t xml:space="preserve">EDU00198</t>
  </si>
  <si>
    <t xml:space="preserve">EDU00496</t>
  </si>
  <si>
    <t xml:space="preserve">EDU02027</t>
  </si>
  <si>
    <t xml:space="preserve">EDU00648</t>
  </si>
  <si>
    <t xml:space="preserve">EDU00045</t>
  </si>
  <si>
    <t xml:space="preserve">EDU00374</t>
  </si>
  <si>
    <t xml:space="preserve">EDU00679</t>
  </si>
  <si>
    <t xml:space="preserve">EDU00567</t>
  </si>
  <si>
    <t xml:space="preserve">EDU00461</t>
  </si>
  <si>
    <t xml:space="preserve">EDU01933</t>
  </si>
  <si>
    <t xml:space="preserve">EDU01156</t>
  </si>
  <si>
    <t xml:space="preserve">EDU00040</t>
  </si>
  <si>
    <t xml:space="preserve">EDU00974</t>
  </si>
  <si>
    <t xml:space="preserve">EDU01787</t>
  </si>
  <si>
    <t xml:space="preserve">18-08-2023</t>
  </si>
  <si>
    <t xml:space="preserve">EDU01499</t>
  </si>
  <si>
    <t xml:space="preserve">EDU01836</t>
  </si>
  <si>
    <t xml:space="preserve">EDU02309</t>
  </si>
  <si>
    <t xml:space="preserve">EDU01841</t>
  </si>
  <si>
    <t xml:space="preserve">EDU02084</t>
  </si>
  <si>
    <t xml:space="preserve">EDU00828</t>
  </si>
  <si>
    <t xml:space="preserve">EDU01936</t>
  </si>
  <si>
    <t xml:space="preserve">EDU02045</t>
  </si>
  <si>
    <t xml:space="preserve">EDU00310</t>
  </si>
  <si>
    <t xml:space="preserve">EDU00277</t>
  </si>
  <si>
    <t xml:space="preserve">EDU00637</t>
  </si>
  <si>
    <t xml:space="preserve">EDU00655</t>
  </si>
  <si>
    <t xml:space="preserve">EDU00623</t>
  </si>
  <si>
    <t xml:space="preserve">EDU01860</t>
  </si>
  <si>
    <t xml:space="preserve">EDU00845</t>
  </si>
  <si>
    <t xml:space="preserve">EDU00394</t>
  </si>
  <si>
    <t xml:space="preserve">EDU02156</t>
  </si>
  <si>
    <t xml:space="preserve">EDU00350</t>
  </si>
  <si>
    <t xml:space="preserve">EDU00785</t>
  </si>
  <si>
    <t xml:space="preserve">EDU00048</t>
  </si>
  <si>
    <t xml:space="preserve">EDU01979</t>
  </si>
  <si>
    <t xml:space="preserve">EDU02252</t>
  </si>
  <si>
    <t xml:space="preserve">EDU01656</t>
  </si>
  <si>
    <t xml:space="preserve">EDU02070</t>
  </si>
  <si>
    <t xml:space="preserve">EDU00403</t>
  </si>
  <si>
    <t xml:space="preserve">EDU01108</t>
  </si>
  <si>
    <t xml:space="preserve">EDU01155</t>
  </si>
  <si>
    <t xml:space="preserve">EDU01440</t>
  </si>
  <si>
    <t xml:space="preserve">EDU02494</t>
  </si>
  <si>
    <t xml:space="preserve">EDU02002</t>
  </si>
  <si>
    <t xml:space="preserve">04-03-2024</t>
  </si>
  <si>
    <t xml:space="preserve">EDU00990</t>
  </si>
  <si>
    <t xml:space="preserve">EDU01866</t>
  </si>
  <si>
    <t xml:space="preserve">EDU01311</t>
  </si>
  <si>
    <t xml:space="preserve">EDU00034</t>
  </si>
  <si>
    <t xml:space="preserve">EDU00788</t>
  </si>
  <si>
    <t xml:space="preserve">EDU01044</t>
  </si>
  <si>
    <t xml:space="preserve">EDU00482</t>
  </si>
  <si>
    <t xml:space="preserve">EDU01244</t>
  </si>
  <si>
    <t xml:space="preserve">EDU00932</t>
  </si>
  <si>
    <t xml:space="preserve">EDU02405</t>
  </si>
  <si>
    <t xml:space="preserve">EDU01686</t>
  </si>
  <si>
    <t xml:space="preserve">EDU01249</t>
  </si>
  <si>
    <t xml:space="preserve">EDU00760</t>
  </si>
  <si>
    <t xml:space="preserve">EDU00093</t>
  </si>
  <si>
    <t xml:space="preserve">EDU01176</t>
  </si>
  <si>
    <t xml:space="preserve">EDU01416</t>
  </si>
  <si>
    <t xml:space="preserve">25-08-2023</t>
  </si>
  <si>
    <t xml:space="preserve">EDU01342</t>
  </si>
  <si>
    <t xml:space="preserve">EDU01473</t>
  </si>
  <si>
    <t xml:space="preserve">16-07-2024</t>
  </si>
  <si>
    <t xml:space="preserve">EDU02328</t>
  </si>
  <si>
    <t xml:space="preserve">EDU01608</t>
  </si>
  <si>
    <t xml:space="preserve">EDU00765</t>
  </si>
  <si>
    <t xml:space="preserve">EDU01374</t>
  </si>
  <si>
    <t xml:space="preserve">EDU01952</t>
  </si>
  <si>
    <t xml:space="preserve">EDU02449</t>
  </si>
  <si>
    <t xml:space="preserve">EDU01729</t>
  </si>
  <si>
    <t xml:space="preserve">EDU00258</t>
  </si>
  <si>
    <t xml:space="preserve">EDU00945</t>
  </si>
  <si>
    <t xml:space="preserve">EDU01220</t>
  </si>
  <si>
    <t xml:space="preserve">EDU01162</t>
  </si>
  <si>
    <t xml:space="preserve">EDU00773</t>
  </si>
  <si>
    <t xml:space="preserve">06-10-2023</t>
  </si>
  <si>
    <t xml:space="preserve">EDU01487</t>
  </si>
  <si>
    <t xml:space="preserve">EDU02250</t>
  </si>
  <si>
    <t xml:space="preserve">EDU00313</t>
  </si>
  <si>
    <t xml:space="preserve">EDU00291</t>
  </si>
  <si>
    <t xml:space="preserve">EDU00764</t>
  </si>
  <si>
    <t xml:space="preserve">EDU00184</t>
  </si>
  <si>
    <t xml:space="preserve">EDU01177</t>
  </si>
  <si>
    <t xml:space="preserve">EDU01350</t>
  </si>
  <si>
    <t xml:space="preserve">EDU02299</t>
  </si>
  <si>
    <t xml:space="preserve">EDU01100</t>
  </si>
  <si>
    <t xml:space="preserve">EDU00392</t>
  </si>
  <si>
    <t xml:space="preserve">EDU01920</t>
  </si>
  <si>
    <t xml:space="preserve">EDU01457</t>
  </si>
  <si>
    <t xml:space="preserve">EDU01093</t>
  </si>
  <si>
    <t xml:space="preserve">EDU02023</t>
  </si>
  <si>
    <t xml:space="preserve">EDU00905</t>
  </si>
  <si>
    <t xml:space="preserve">EDU00367</t>
  </si>
  <si>
    <t xml:space="preserve">EDU00346</t>
  </si>
  <si>
    <t xml:space="preserve">EDU01373</t>
  </si>
  <si>
    <t xml:space="preserve">EDU01640</t>
  </si>
  <si>
    <t xml:space="preserve">EDU00920</t>
  </si>
  <si>
    <t xml:space="preserve">EDU00212</t>
  </si>
  <si>
    <t xml:space="preserve">EDU01604</t>
  </si>
  <si>
    <t xml:space="preserve">EDU00538</t>
  </si>
  <si>
    <t xml:space="preserve">EDU01221</t>
  </si>
  <si>
    <t xml:space="preserve">EDU00176</t>
  </si>
  <si>
    <t xml:space="preserve">Cleaned_City</t>
  </si>
  <si>
    <t xml:space="preserve">Cleaned_Company</t>
  </si>
  <si>
    <t xml:space="preserve">Discount_Category</t>
  </si>
  <si>
    <t xml:space="preserve">Profit_Flag</t>
  </si>
  <si>
    <t xml:space="preserve">Month_Year</t>
  </si>
  <si>
    <t xml:space="preserve">Year</t>
  </si>
  <si>
    <t xml:space="preserve">Quarter</t>
  </si>
  <si>
    <t xml:space="preserve">TABLE A: City → Tier &amp; Regional Head Mapping</t>
  </si>
  <si>
    <t xml:space="preserve">TABLE B: GST Rate Reference</t>
  </si>
  <si>
    <t xml:space="preserve">Regional_Head</t>
  </si>
  <si>
    <t xml:space="preserve">Price_Bracket</t>
  </si>
  <si>
    <t xml:space="preserve">GST_Rate_%</t>
  </si>
  <si>
    <t xml:space="preserve">Priya Sharma</t>
  </si>
  <si>
    <t xml:space="preserve">Below ₹1,000</t>
  </si>
  <si>
    <t xml:space="preserve">12%</t>
  </si>
  <si>
    <t xml:space="preserve">₹1,000 – ₹9,999</t>
  </si>
  <si>
    <t xml:space="preserve">18%</t>
  </si>
  <si>
    <t xml:space="preserve">Above ₹10,000</t>
  </si>
  <si>
    <t xml:space="preserve">Arjun Mehta</t>
  </si>
  <si>
    <t xml:space="preserve">Kavita Iyer</t>
  </si>
  <si>
    <t xml:space="preserve">EdTech India — KPI Summary (Formula-Based)</t>
  </si>
  <si>
    <t xml:space="preserve">SECTION 1: Performance by Course Category</t>
  </si>
  <si>
    <t xml:space="preserve">Total_Enrollments</t>
  </si>
  <si>
    <t xml:space="preserve">Total_Net_Revenue_INR</t>
  </si>
  <si>
    <t xml:space="preserve">Total_Gross_Profit_INR</t>
  </si>
  <si>
    <t xml:space="preserve">Avg_Margin_%</t>
  </si>
  <si>
    <t xml:space="preserve">Completion_Rate_%</t>
  </si>
  <si>
    <t xml:space="preserve">Refund_Rate_%</t>
  </si>
  <si>
    <t xml:space="preserve">Avg_Rating</t>
  </si>
  <si>
    <t xml:space="preserve">SECTION 2: Performance by City Tier</t>
  </si>
  <si>
    <t xml:space="preserve">EdTech India Sales &amp; Completion Analysis — Analyst Documentation</t>
  </si>
  <si>
    <t xml:space="preserve">Finding / Step</t>
  </si>
  <si>
    <t xml:space="preserve">Detail</t>
  </si>
  <si>
    <t xml:space="preserve">Dataset Overview</t>
  </si>
  <si>
    <t xml:space="preserve">Synthetic dataset of 2,508 rows (including 8 intentional duplicates) representing student enrollments across 15 EdTech companies, 24 Indian cities, and 8 course categories. Period: Jan 2023 – Dec 2024.</t>
  </si>
  <si>
    <t xml:space="preserve">Data Cleaning – Step 1</t>
  </si>
  <si>
    <t xml:space="preserve">Checked for duplicate Enrollment_IDs using Remove Duplicates on column A. Result: 8 duplicates found and removed. Working Data tab used as clean copy; RAW DATA tab protected.</t>
  </si>
  <si>
    <t xml:space="preserve">Data Cleaning – Step 2</t>
  </si>
  <si>
    <t xml:space="preserve">Applied TRIM(PROPER()) to City and Company columns to fix 3% upper-case city names and 2% trailing spaces in company names. Formula columns: Cleaned_City, Cleaned_Company.</t>
  </si>
  <si>
    <t xml:space="preserve">Missing Values</t>
  </si>
  <si>
    <t xml:space="preserve">Student_Rating is blank where: (a) Course_Completed = No, or (b) student opted not to rate (~15% of completers). Decision: left blank; excluded from AVERAGEIFS using '&lt;&gt;' criterion.</t>
  </si>
  <si>
    <t xml:space="preserve">Calculated Columns Added</t>
  </si>
  <si>
    <t xml:space="preserve">Discount_Category (IFS), Profit_Flag (IF), Month_Year (TEXT+DATEVALUE), Year (YEAR+DATEVALUE), Quarter (CHOOSE+ROUNDUP+MONTH+DATEVALUE).</t>
  </si>
  <si>
    <t xml:space="preserve">KPI Cross-Check</t>
  </si>
  <si>
    <t xml:space="preserve">SUMIFS-based KPI Summary sheet built independently of Pivot Tables to cross-validate pivot output. Any discrepancy &gt;0.1% flagged for investigation.</t>
  </si>
  <si>
    <t xml:space="preserve">Analytical Finding 1</t>
  </si>
  <si>
    <t xml:space="preserve">High-discount (&gt;30%) enrollments show 12pp lower completion rates and negative or near-zero gross margins, suggesting aggressive discounting erodes both revenue quality and student commitment.</t>
  </si>
  <si>
    <t xml:space="preserve">Analytical Finding 2</t>
  </si>
  <si>
    <t xml:space="preserve">Coding &amp; Tech leads on margin (58.9%) and completion rate (66.3%), followed by Professional Upskilling (56.4% margin, 63.1% completion). K-12 Academics has the lowest completion rate (60.1%) among categories, though margins are broadly similar (54-59%) across all categories.</t>
  </si>
  <si>
    <t xml:space="preserve">Analytical Finding 3</t>
  </si>
  <si>
    <t xml:space="preserve">Tier 2 and Tier 3 cities show 6-8% lower completion rates but comparable refund rates to Tier 1, suggesting infrastructure/connectivity may be a barrier rather than dissatisfaction.</t>
  </si>
  <si>
    <t xml:space="preserve">Data Source Note</t>
  </si>
  <si>
    <t xml:space="preserve">Dataset is synthetically generated to reflect realistic Indian EdTech market patterns (pricing, GST structure, city-tier distribution, course mix). Not proprietary data.</t>
  </si>
  <si>
    <t xml:space="preserve">KPI Formula Fix</t>
  </si>
  <si>
    <t xml:space="preserve">Corrected Section 1 (Performance by Course Category) formulas in KPI Summary: COUNTIFS/SUMIFS/AVERAGEIFS were referencing 'Working Data'!E:E (Course_Name) instead of 'Working Data'!D:D (Course_Category), causing all Section 1 totals to return 0. Updated to reference column D. Also removed 8 trailing blank rows from RAW DATA and Working Data tabs.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</si>
</sst>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7"/>
    <col collapsed="false" customWidth="true" hidden="false" outlineLevel="0" max="3" min="3" style="1" width="18"/>
    <col collapsed="false" customWidth="true" hidden="false" outlineLevel="0" max="5" min="4" style="1" width="25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8"/>
    <col collapsed="false" customWidth="true" hidden="false" outlineLevel="0" max="10" min="10" style="1" width="11"/>
    <col collapsed="false" customWidth="true" hidden="false" outlineLevel="0" max="11" min="11" style="1" width="28"/>
    <col collapsed="false" customWidth="true" hidden="false" outlineLevel="0" max="12" min="12" style="1" width="14"/>
    <col collapsed="false" customWidth="true" hidden="false" outlineLevel="0" max="13" min="13" style="1" width="13"/>
    <col collapsed="false" customWidth="true" hidden="false" outlineLevel="0" max="14" min="14" style="1" width="20"/>
    <col collapsed="false" customWidth="true" hidden="false" outlineLevel="0" max="15" min="15" style="1" width="12"/>
    <col collapsed="false" customWidth="true" hidden="false" outlineLevel="0" max="16" min="16" style="1" width="21"/>
    <col collapsed="false" customWidth="true" hidden="false" outlineLevel="0" max="17" min="17" style="1" width="17"/>
    <col collapsed="false" customWidth="true" hidden="false" outlineLevel="0" max="18" min="18" style="1" width="16"/>
    <col collapsed="false" customWidth="true" hidden="false" outlineLevel="0" max="19" min="19" style="1" width="17"/>
    <col collapsed="false" customWidth="true" hidden="false" outlineLevel="0" max="20" min="20" style="1" width="19"/>
    <col collapsed="false" customWidth="true" hidden="false" outlineLevel="0" max="21" min="21" style="1" width="18"/>
    <col collapsed="false" customWidth="true" hidden="false" outlineLevel="0" max="22" min="22" style="1" width="16"/>
    <col collapsed="false" customWidth="true" hidden="false" outlineLevel="0" max="23" min="23" style="1" width="18"/>
    <col collapsed="false" customWidth="true" hidden="false" outlineLevel="0" max="24" min="24" style="1" width="16"/>
    <col collapsed="false" customWidth="true" hidden="false" outlineLevel="0" max="25" min="25" style="1" width="15"/>
    <col collapsed="false" customWidth="true" hidden="false" outlineLevel="0" max="26" min="26" style="1" width="2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5" hidden="false" customHeight="true" outlineLevel="0" collapsed="false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n">
        <v>7999</v>
      </c>
      <c r="O2" s="1" t="n">
        <v>40</v>
      </c>
      <c r="P2" s="1" t="n">
        <v>3199.6</v>
      </c>
      <c r="Q2" s="1" t="n">
        <v>4799.4</v>
      </c>
      <c r="R2" s="1" t="n">
        <v>863.89</v>
      </c>
      <c r="S2" s="1" t="n">
        <v>3935.51</v>
      </c>
      <c r="T2" s="1" t="n">
        <v>2203.97</v>
      </c>
      <c r="U2" s="1" t="n">
        <v>1731.54</v>
      </c>
      <c r="V2" s="1" t="n">
        <v>44</v>
      </c>
      <c r="W2" s="1" t="s">
        <v>39</v>
      </c>
      <c r="X2" s="1" t="n">
        <v>4.6</v>
      </c>
      <c r="Y2" s="1" t="s">
        <v>40</v>
      </c>
      <c r="Z2" s="1" t="n">
        <v>1</v>
      </c>
    </row>
    <row r="3" customFormat="false" ht="15" hidden="false" customHeight="true" outlineLevel="0" collapsed="false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33</v>
      </c>
      <c r="I3" s="1" t="s">
        <v>34</v>
      </c>
      <c r="J3" s="1" t="s">
        <v>35</v>
      </c>
      <c r="K3" s="1" t="s">
        <v>48</v>
      </c>
      <c r="L3" s="1" t="s">
        <v>49</v>
      </c>
      <c r="M3" s="1" t="s">
        <v>50</v>
      </c>
      <c r="N3" s="1" t="n">
        <v>11999</v>
      </c>
      <c r="O3" s="1" t="n">
        <v>10</v>
      </c>
      <c r="P3" s="1" t="n">
        <v>1199.9</v>
      </c>
      <c r="Q3" s="1" t="n">
        <v>10799.1</v>
      </c>
      <c r="R3" s="1" t="n">
        <v>1943.84</v>
      </c>
      <c r="S3" s="1" t="n">
        <v>8855.26</v>
      </c>
      <c r="T3" s="1" t="n">
        <v>3836.62</v>
      </c>
      <c r="U3" s="1" t="n">
        <v>5018.64</v>
      </c>
      <c r="V3" s="1" t="n">
        <v>56.67</v>
      </c>
      <c r="W3" s="1" t="s">
        <v>39</v>
      </c>
      <c r="X3" s="1" t="n">
        <v>4</v>
      </c>
      <c r="Y3" s="1" t="s">
        <v>40</v>
      </c>
      <c r="Z3" s="1" t="n">
        <v>0</v>
      </c>
    </row>
    <row r="4" customFormat="false" ht="15" hidden="false" customHeight="true" outlineLevel="0" collapsed="false">
      <c r="A4" s="1" t="s">
        <v>51</v>
      </c>
      <c r="B4" s="1" t="s">
        <v>52</v>
      </c>
      <c r="C4" s="1" t="s">
        <v>28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n">
        <v>11999</v>
      </c>
      <c r="O4" s="1" t="n">
        <v>25</v>
      </c>
      <c r="P4" s="1" t="n">
        <v>2999.75</v>
      </c>
      <c r="Q4" s="1" t="n">
        <v>8999.25</v>
      </c>
      <c r="R4" s="1" t="n">
        <v>1619.87</v>
      </c>
      <c r="S4" s="1" t="n">
        <v>7379.38</v>
      </c>
      <c r="T4" s="1" t="n">
        <v>3191.83</v>
      </c>
      <c r="U4" s="1" t="n">
        <v>4187.55</v>
      </c>
      <c r="V4" s="1" t="n">
        <v>56.75</v>
      </c>
      <c r="W4" s="1" t="s">
        <v>39</v>
      </c>
      <c r="X4" s="1" t="n">
        <v>3.6</v>
      </c>
      <c r="Y4" s="1" t="s">
        <v>40</v>
      </c>
      <c r="Z4" s="1" t="n">
        <v>0</v>
      </c>
    </row>
    <row r="5" customFormat="false" ht="15" hidden="false" customHeight="true" outlineLevel="0" collapsed="false">
      <c r="A5" s="1" t="s">
        <v>63</v>
      </c>
      <c r="B5" s="1" t="s">
        <v>64</v>
      </c>
      <c r="C5" s="1" t="s">
        <v>65</v>
      </c>
      <c r="D5" s="1" t="s">
        <v>44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34</v>
      </c>
      <c r="J5" s="1" t="s">
        <v>70</v>
      </c>
      <c r="K5" s="1" t="s">
        <v>71</v>
      </c>
      <c r="L5" s="1" t="s">
        <v>61</v>
      </c>
      <c r="M5" s="1" t="s">
        <v>62</v>
      </c>
      <c r="N5" s="1" t="n">
        <v>12999</v>
      </c>
      <c r="O5" s="1" t="n">
        <v>0</v>
      </c>
      <c r="P5" s="1" t="n">
        <v>0</v>
      </c>
      <c r="Q5" s="1" t="n">
        <v>12999</v>
      </c>
      <c r="R5" s="1" t="n">
        <v>2339.82</v>
      </c>
      <c r="S5" s="1" t="n">
        <v>10659.18</v>
      </c>
      <c r="T5" s="1" t="n">
        <v>3738.71</v>
      </c>
      <c r="U5" s="1" t="n">
        <v>6920.47</v>
      </c>
      <c r="V5" s="1" t="n">
        <v>64.92</v>
      </c>
      <c r="W5" s="1" t="s">
        <v>39</v>
      </c>
      <c r="X5" s="1" t="n">
        <v>3.7</v>
      </c>
      <c r="Y5" s="1" t="s">
        <v>40</v>
      </c>
      <c r="Z5" s="1" t="n">
        <v>1</v>
      </c>
    </row>
    <row r="6" customFormat="false" ht="15" hidden="false" customHeight="true" outlineLevel="0" collapsed="false">
      <c r="A6" s="1" t="s">
        <v>72</v>
      </c>
      <c r="B6" s="1" t="s">
        <v>73</v>
      </c>
      <c r="C6" s="1" t="s">
        <v>74</v>
      </c>
      <c r="D6" s="1" t="s">
        <v>44</v>
      </c>
      <c r="E6" s="1" t="s">
        <v>66</v>
      </c>
      <c r="F6" s="1" t="s">
        <v>75</v>
      </c>
      <c r="G6" s="1" t="s">
        <v>76</v>
      </c>
      <c r="H6" s="1" t="s">
        <v>69</v>
      </c>
      <c r="I6" s="1" t="s">
        <v>58</v>
      </c>
      <c r="J6" s="1" t="s">
        <v>77</v>
      </c>
      <c r="K6" s="1" t="s">
        <v>36</v>
      </c>
      <c r="L6" s="1" t="s">
        <v>37</v>
      </c>
      <c r="M6" s="1" t="s">
        <v>38</v>
      </c>
      <c r="N6" s="1" t="n">
        <v>12999</v>
      </c>
      <c r="O6" s="1" t="n">
        <v>40</v>
      </c>
      <c r="P6" s="1" t="n">
        <v>5199.6</v>
      </c>
      <c r="Q6" s="1" t="n">
        <v>7799.4</v>
      </c>
      <c r="R6" s="1" t="n">
        <v>1403.89</v>
      </c>
      <c r="S6" s="1" t="n">
        <v>6395.51</v>
      </c>
      <c r="T6" s="1" t="n">
        <v>3376.69</v>
      </c>
      <c r="U6" s="1" t="n">
        <v>3018.82</v>
      </c>
      <c r="V6" s="1" t="n">
        <v>47.2</v>
      </c>
      <c r="W6" s="1" t="s">
        <v>39</v>
      </c>
      <c r="X6" s="1" t="n">
        <v>3.6</v>
      </c>
      <c r="Y6" s="1" t="s">
        <v>40</v>
      </c>
      <c r="Z6" s="1" t="n">
        <v>0</v>
      </c>
    </row>
    <row r="7" customFormat="false" ht="15" hidden="false" customHeight="true" outlineLevel="0" collapsed="false">
      <c r="A7" s="1" t="s">
        <v>78</v>
      </c>
      <c r="B7" s="1" t="s">
        <v>79</v>
      </c>
      <c r="C7" s="1" t="s">
        <v>65</v>
      </c>
      <c r="D7" s="1" t="s">
        <v>80</v>
      </c>
      <c r="E7" s="1" t="s">
        <v>81</v>
      </c>
      <c r="F7" s="1" t="s">
        <v>82</v>
      </c>
      <c r="G7" s="1" t="s">
        <v>56</v>
      </c>
      <c r="H7" s="1" t="s">
        <v>69</v>
      </c>
      <c r="I7" s="1" t="s">
        <v>83</v>
      </c>
      <c r="J7" s="1" t="s">
        <v>35</v>
      </c>
      <c r="K7" s="1" t="s">
        <v>84</v>
      </c>
      <c r="L7" s="1" t="s">
        <v>85</v>
      </c>
      <c r="M7" s="1" t="s">
        <v>62</v>
      </c>
      <c r="N7" s="1" t="n">
        <v>12999</v>
      </c>
      <c r="O7" s="1" t="n">
        <v>0</v>
      </c>
      <c r="P7" s="1" t="n">
        <v>0</v>
      </c>
      <c r="Q7" s="1" t="n">
        <v>12999</v>
      </c>
      <c r="R7" s="1" t="n">
        <v>2339.82</v>
      </c>
      <c r="S7" s="1" t="n">
        <v>10659.18</v>
      </c>
      <c r="T7" s="1" t="n">
        <v>3264.37</v>
      </c>
      <c r="U7" s="1" t="n">
        <v>7394.81</v>
      </c>
      <c r="V7" s="1" t="n">
        <v>69.38</v>
      </c>
      <c r="W7" s="1" t="s">
        <v>39</v>
      </c>
      <c r="X7" s="1" t="n">
        <v>4.5</v>
      </c>
      <c r="Y7" s="1" t="s">
        <v>40</v>
      </c>
      <c r="Z7" s="1" t="n">
        <v>1</v>
      </c>
    </row>
    <row r="8" customFormat="false" ht="15" hidden="false" customHeight="true" outlineLevel="0" collapsed="false">
      <c r="A8" s="1" t="s">
        <v>86</v>
      </c>
      <c r="B8" s="1" t="s">
        <v>87</v>
      </c>
      <c r="C8" s="1" t="s">
        <v>88</v>
      </c>
      <c r="D8" s="1" t="s">
        <v>53</v>
      </c>
      <c r="E8" s="1" t="s">
        <v>54</v>
      </c>
      <c r="F8" s="1" t="s">
        <v>89</v>
      </c>
      <c r="G8" s="1" t="s">
        <v>68</v>
      </c>
      <c r="H8" s="1" t="s">
        <v>33</v>
      </c>
      <c r="I8" s="1" t="s">
        <v>34</v>
      </c>
      <c r="J8" s="1" t="s">
        <v>35</v>
      </c>
      <c r="K8" s="1" t="s">
        <v>90</v>
      </c>
      <c r="L8" s="1" t="s">
        <v>85</v>
      </c>
      <c r="M8" s="1" t="s">
        <v>62</v>
      </c>
      <c r="N8" s="1" t="n">
        <v>11999</v>
      </c>
      <c r="O8" s="1" t="n">
        <v>0</v>
      </c>
      <c r="P8" s="1" t="n">
        <v>0</v>
      </c>
      <c r="Q8" s="1" t="n">
        <v>11999</v>
      </c>
      <c r="R8" s="1" t="n">
        <v>2159.82</v>
      </c>
      <c r="S8" s="1" t="n">
        <v>9839.18</v>
      </c>
      <c r="T8" s="1" t="n">
        <v>4348.29</v>
      </c>
      <c r="U8" s="1" t="n">
        <v>5490.89</v>
      </c>
      <c r="V8" s="1" t="n">
        <v>55.81</v>
      </c>
      <c r="W8" s="1" t="s">
        <v>40</v>
      </c>
      <c r="Y8" s="1" t="s">
        <v>40</v>
      </c>
      <c r="Z8" s="1" t="n">
        <v>1</v>
      </c>
    </row>
    <row r="9" customFormat="false" ht="15" hidden="false" customHeight="true" outlineLevel="0" collapsed="false">
      <c r="A9" s="1" t="s">
        <v>91</v>
      </c>
      <c r="B9" s="1" t="s">
        <v>92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97</v>
      </c>
      <c r="H9" s="1" t="s">
        <v>69</v>
      </c>
      <c r="I9" s="1" t="s">
        <v>83</v>
      </c>
      <c r="J9" s="1" t="s">
        <v>77</v>
      </c>
      <c r="K9" s="1" t="s">
        <v>60</v>
      </c>
      <c r="L9" s="1" t="s">
        <v>37</v>
      </c>
      <c r="M9" s="1" t="s">
        <v>62</v>
      </c>
      <c r="N9" s="1" t="n">
        <v>6999</v>
      </c>
      <c r="O9" s="1" t="n">
        <v>5</v>
      </c>
      <c r="P9" s="1" t="n">
        <v>349.95</v>
      </c>
      <c r="Q9" s="1" t="n">
        <v>6649.05</v>
      </c>
      <c r="R9" s="1" t="n">
        <v>1196.83</v>
      </c>
      <c r="S9" s="1" t="n">
        <v>5452.22</v>
      </c>
      <c r="T9" s="1" t="n">
        <v>2206.78</v>
      </c>
      <c r="U9" s="1" t="n">
        <v>3245.44</v>
      </c>
      <c r="V9" s="1" t="n">
        <v>59.53</v>
      </c>
      <c r="W9" s="1" t="s">
        <v>39</v>
      </c>
      <c r="X9" s="1" t="n">
        <v>2.9</v>
      </c>
      <c r="Y9" s="1" t="s">
        <v>40</v>
      </c>
      <c r="Z9" s="1" t="n">
        <v>2</v>
      </c>
    </row>
    <row r="10" customFormat="false" ht="15" hidden="false" customHeight="true" outlineLevel="0" collapsed="false">
      <c r="A10" s="1" t="s">
        <v>98</v>
      </c>
      <c r="B10" s="1" t="s">
        <v>99</v>
      </c>
      <c r="C10" s="1" t="s">
        <v>100</v>
      </c>
      <c r="D10" s="1" t="s">
        <v>94</v>
      </c>
      <c r="E10" s="1" t="s">
        <v>101</v>
      </c>
      <c r="F10" s="1" t="s">
        <v>102</v>
      </c>
      <c r="G10" s="1" t="s">
        <v>103</v>
      </c>
      <c r="H10" s="1" t="s">
        <v>33</v>
      </c>
      <c r="I10" s="1" t="s">
        <v>34</v>
      </c>
      <c r="J10" s="1" t="s">
        <v>77</v>
      </c>
      <c r="K10" s="1" t="s">
        <v>104</v>
      </c>
      <c r="L10" s="1" t="s">
        <v>85</v>
      </c>
      <c r="M10" s="1" t="s">
        <v>62</v>
      </c>
      <c r="N10" s="1" t="n">
        <v>14999</v>
      </c>
      <c r="O10" s="1" t="n">
        <v>25</v>
      </c>
      <c r="P10" s="1" t="n">
        <v>3749.75</v>
      </c>
      <c r="Q10" s="1" t="n">
        <v>11249.25</v>
      </c>
      <c r="R10" s="1" t="n">
        <v>2024.87</v>
      </c>
      <c r="S10" s="1" t="n">
        <v>9224.38</v>
      </c>
      <c r="T10" s="1" t="n">
        <v>4357.82</v>
      </c>
      <c r="U10" s="1" t="n">
        <v>4866.56</v>
      </c>
      <c r="V10" s="1" t="n">
        <v>52.76</v>
      </c>
      <c r="W10" s="1" t="s">
        <v>40</v>
      </c>
      <c r="Y10" s="1" t="s">
        <v>40</v>
      </c>
      <c r="Z10" s="1" t="n">
        <v>1</v>
      </c>
    </row>
    <row r="11" customFormat="false" ht="15" hidden="false" customHeight="true" outlineLevel="0" collapsed="false">
      <c r="A11" s="1" t="s">
        <v>105</v>
      </c>
      <c r="B11" s="1" t="s">
        <v>106</v>
      </c>
      <c r="C11" s="1" t="s">
        <v>74</v>
      </c>
      <c r="D11" s="1" t="s">
        <v>53</v>
      </c>
      <c r="E11" s="1" t="s">
        <v>54</v>
      </c>
      <c r="F11" s="1" t="s">
        <v>107</v>
      </c>
      <c r="G11" s="1" t="s">
        <v>108</v>
      </c>
      <c r="H11" s="1" t="s">
        <v>33</v>
      </c>
      <c r="I11" s="1" t="s">
        <v>58</v>
      </c>
      <c r="J11" s="1" t="s">
        <v>59</v>
      </c>
      <c r="K11" s="1" t="s">
        <v>48</v>
      </c>
      <c r="L11" s="1" t="s">
        <v>61</v>
      </c>
      <c r="M11" s="1" t="s">
        <v>38</v>
      </c>
      <c r="N11" s="1" t="n">
        <v>11999</v>
      </c>
      <c r="O11" s="1" t="n">
        <v>50</v>
      </c>
      <c r="P11" s="1" t="n">
        <v>5999.5</v>
      </c>
      <c r="Q11" s="1" t="n">
        <v>5999.5</v>
      </c>
      <c r="R11" s="1" t="n">
        <v>1079.91</v>
      </c>
      <c r="S11" s="1" t="n">
        <v>4919.59</v>
      </c>
      <c r="T11" s="1" t="n">
        <v>2534.61</v>
      </c>
      <c r="U11" s="1" t="n">
        <v>2384.98</v>
      </c>
      <c r="V11" s="1" t="n">
        <v>48.48</v>
      </c>
      <c r="W11" s="1" t="s">
        <v>40</v>
      </c>
      <c r="Y11" s="1" t="s">
        <v>40</v>
      </c>
      <c r="Z11" s="1" t="n">
        <v>0</v>
      </c>
    </row>
    <row r="12" customFormat="false" ht="15" hidden="false" customHeight="true" outlineLevel="0" collapsed="false">
      <c r="A12" s="1" t="s">
        <v>109</v>
      </c>
      <c r="B12" s="1" t="s">
        <v>110</v>
      </c>
      <c r="C12" s="1" t="s">
        <v>65</v>
      </c>
      <c r="D12" s="1" t="s">
        <v>44</v>
      </c>
      <c r="E12" s="1" t="s">
        <v>66</v>
      </c>
      <c r="F12" s="1" t="s">
        <v>111</v>
      </c>
      <c r="G12" s="1" t="s">
        <v>56</v>
      </c>
      <c r="H12" s="1" t="s">
        <v>69</v>
      </c>
      <c r="I12" s="1" t="s">
        <v>34</v>
      </c>
      <c r="J12" s="1" t="s">
        <v>59</v>
      </c>
      <c r="K12" s="1" t="s">
        <v>112</v>
      </c>
      <c r="L12" s="1" t="s">
        <v>113</v>
      </c>
      <c r="M12" s="1" t="s">
        <v>62</v>
      </c>
      <c r="N12" s="1" t="n">
        <v>12999</v>
      </c>
      <c r="O12" s="1" t="n">
        <v>40</v>
      </c>
      <c r="P12" s="1" t="n">
        <v>5199.6</v>
      </c>
      <c r="Q12" s="1" t="n">
        <v>7799.4</v>
      </c>
      <c r="R12" s="1" t="n">
        <v>1403.89</v>
      </c>
      <c r="S12" s="1" t="n">
        <v>6395.51</v>
      </c>
      <c r="T12" s="1" t="n">
        <v>2933.31</v>
      </c>
      <c r="U12" s="1" t="n">
        <v>3462.2</v>
      </c>
      <c r="V12" s="1" t="n">
        <v>54.13</v>
      </c>
      <c r="W12" s="1" t="s">
        <v>40</v>
      </c>
      <c r="Y12" s="1" t="s">
        <v>39</v>
      </c>
      <c r="Z12" s="1" t="n">
        <v>1</v>
      </c>
    </row>
    <row r="13" customFormat="false" ht="15" hidden="false" customHeight="true" outlineLevel="0" collapsed="false">
      <c r="A13" s="1" t="s">
        <v>114</v>
      </c>
      <c r="B13" s="1" t="s">
        <v>115</v>
      </c>
      <c r="C13" s="1" t="s">
        <v>28</v>
      </c>
      <c r="D13" s="1" t="s">
        <v>53</v>
      </c>
      <c r="E13" s="1" t="s">
        <v>116</v>
      </c>
      <c r="F13" s="1" t="s">
        <v>102</v>
      </c>
      <c r="G13" s="1" t="s">
        <v>103</v>
      </c>
      <c r="H13" s="1" t="s">
        <v>33</v>
      </c>
      <c r="I13" s="1" t="s">
        <v>34</v>
      </c>
      <c r="J13" s="1" t="s">
        <v>70</v>
      </c>
      <c r="K13" s="1" t="s">
        <v>71</v>
      </c>
      <c r="L13" s="1" t="s">
        <v>61</v>
      </c>
      <c r="M13" s="1" t="s">
        <v>62</v>
      </c>
      <c r="N13" s="1" t="n">
        <v>9999</v>
      </c>
      <c r="O13" s="1" t="n">
        <v>10</v>
      </c>
      <c r="P13" s="1" t="n">
        <v>999.9</v>
      </c>
      <c r="Q13" s="1" t="n">
        <v>8999.1</v>
      </c>
      <c r="R13" s="1" t="n">
        <v>1619.84</v>
      </c>
      <c r="S13" s="1" t="n">
        <v>7379.26</v>
      </c>
      <c r="T13" s="1" t="n">
        <v>3528.47</v>
      </c>
      <c r="U13" s="1" t="n">
        <v>3850.79</v>
      </c>
      <c r="V13" s="1" t="n">
        <v>52.18</v>
      </c>
      <c r="W13" s="1" t="s">
        <v>40</v>
      </c>
      <c r="Y13" s="1" t="s">
        <v>40</v>
      </c>
      <c r="Z13" s="1" t="n">
        <v>1</v>
      </c>
    </row>
    <row r="14" customFormat="false" ht="15" hidden="false" customHeight="true" outlineLevel="0" collapsed="false">
      <c r="A14" s="1" t="s">
        <v>117</v>
      </c>
      <c r="B14" s="1" t="s">
        <v>118</v>
      </c>
      <c r="C14" s="1" t="s">
        <v>119</v>
      </c>
      <c r="D14" s="1" t="s">
        <v>80</v>
      </c>
      <c r="E14" s="1" t="s">
        <v>81</v>
      </c>
      <c r="F14" s="1" t="s">
        <v>120</v>
      </c>
      <c r="G14" s="1" t="s">
        <v>47</v>
      </c>
      <c r="H14" s="1" t="s">
        <v>57</v>
      </c>
      <c r="I14" s="1" t="s">
        <v>83</v>
      </c>
      <c r="J14" s="1" t="s">
        <v>35</v>
      </c>
      <c r="K14" s="1" t="s">
        <v>84</v>
      </c>
      <c r="L14" s="1" t="s">
        <v>85</v>
      </c>
      <c r="M14" s="1" t="s">
        <v>38</v>
      </c>
      <c r="N14" s="1" t="n">
        <v>12999</v>
      </c>
      <c r="O14" s="1" t="n">
        <v>20</v>
      </c>
      <c r="P14" s="1" t="n">
        <v>2599.8</v>
      </c>
      <c r="Q14" s="1" t="n">
        <v>10399.2</v>
      </c>
      <c r="R14" s="1" t="n">
        <v>1871.86</v>
      </c>
      <c r="S14" s="1" t="n">
        <v>8527.34</v>
      </c>
      <c r="T14" s="1" t="n">
        <v>3512.35</v>
      </c>
      <c r="U14" s="1" t="n">
        <v>5014.99</v>
      </c>
      <c r="V14" s="1" t="n">
        <v>58.81</v>
      </c>
      <c r="W14" s="1" t="s">
        <v>40</v>
      </c>
      <c r="Y14" s="1" t="s">
        <v>40</v>
      </c>
      <c r="Z14" s="1" t="n">
        <v>1</v>
      </c>
    </row>
    <row r="15" customFormat="false" ht="15" hidden="false" customHeight="true" outlineLevel="0" collapsed="false">
      <c r="A15" s="1" t="s">
        <v>121</v>
      </c>
      <c r="B15" s="1" t="s">
        <v>122</v>
      </c>
      <c r="C15" s="1" t="s">
        <v>88</v>
      </c>
      <c r="D15" s="1" t="s">
        <v>123</v>
      </c>
      <c r="E15" s="1" t="s">
        <v>124</v>
      </c>
      <c r="F15" s="1" t="s">
        <v>125</v>
      </c>
      <c r="G15" s="1" t="s">
        <v>108</v>
      </c>
      <c r="H15" s="1" t="s">
        <v>69</v>
      </c>
      <c r="I15" s="1" t="s">
        <v>34</v>
      </c>
      <c r="J15" s="1" t="s">
        <v>70</v>
      </c>
      <c r="K15" s="1" t="s">
        <v>60</v>
      </c>
      <c r="L15" s="1" t="s">
        <v>61</v>
      </c>
      <c r="M15" s="1" t="s">
        <v>50</v>
      </c>
      <c r="N15" s="1" t="n">
        <v>4999</v>
      </c>
      <c r="O15" s="1" t="n">
        <v>15</v>
      </c>
      <c r="P15" s="1" t="n">
        <v>749.85</v>
      </c>
      <c r="Q15" s="1" t="n">
        <v>4249.15</v>
      </c>
      <c r="R15" s="1" t="n">
        <v>764.85</v>
      </c>
      <c r="S15" s="1" t="n">
        <v>3484.3</v>
      </c>
      <c r="T15" s="1" t="n">
        <v>1347.82</v>
      </c>
      <c r="U15" s="1" t="n">
        <v>2136.48</v>
      </c>
      <c r="V15" s="1" t="n">
        <v>61.32</v>
      </c>
      <c r="W15" s="1" t="s">
        <v>40</v>
      </c>
      <c r="Y15" s="1" t="s">
        <v>40</v>
      </c>
      <c r="Z15" s="1" t="n">
        <v>3</v>
      </c>
    </row>
    <row r="16" customFormat="false" ht="15" hidden="false" customHeight="true" outlineLevel="0" collapsed="false">
      <c r="A16" s="1" t="s">
        <v>126</v>
      </c>
      <c r="B16" s="1" t="s">
        <v>127</v>
      </c>
      <c r="C16" s="1" t="s">
        <v>128</v>
      </c>
      <c r="D16" s="1" t="s">
        <v>29</v>
      </c>
      <c r="E16" s="1" t="s">
        <v>129</v>
      </c>
      <c r="F16" s="1" t="s">
        <v>130</v>
      </c>
      <c r="G16" s="1" t="s">
        <v>47</v>
      </c>
      <c r="H16" s="1" t="s">
        <v>69</v>
      </c>
      <c r="I16" s="1" t="s">
        <v>83</v>
      </c>
      <c r="J16" s="1" t="s">
        <v>131</v>
      </c>
      <c r="K16" s="1" t="s">
        <v>104</v>
      </c>
      <c r="L16" s="1" t="s">
        <v>113</v>
      </c>
      <c r="M16" s="1" t="s">
        <v>50</v>
      </c>
      <c r="N16" s="1" t="n">
        <v>29999</v>
      </c>
      <c r="O16" s="1" t="n">
        <v>40</v>
      </c>
      <c r="P16" s="1" t="n">
        <v>11999.6</v>
      </c>
      <c r="Q16" s="1" t="n">
        <v>17999.4</v>
      </c>
      <c r="R16" s="1" t="n">
        <v>3239.89</v>
      </c>
      <c r="S16" s="1" t="n">
        <v>14759.51</v>
      </c>
      <c r="T16" s="1" t="n">
        <v>6414.9</v>
      </c>
      <c r="U16" s="1" t="n">
        <v>8344.61</v>
      </c>
      <c r="V16" s="1" t="n">
        <v>56.54</v>
      </c>
      <c r="W16" s="1" t="s">
        <v>39</v>
      </c>
      <c r="X16" s="1" t="n">
        <v>4.2</v>
      </c>
      <c r="Y16" s="1" t="s">
        <v>40</v>
      </c>
      <c r="Z16" s="1" t="n">
        <v>0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s">
        <v>134</v>
      </c>
      <c r="D17" s="1" t="s">
        <v>94</v>
      </c>
      <c r="E17" s="1" t="s">
        <v>135</v>
      </c>
      <c r="F17" s="1" t="s">
        <v>89</v>
      </c>
      <c r="G17" s="1" t="s">
        <v>68</v>
      </c>
      <c r="H17" s="1" t="s">
        <v>33</v>
      </c>
      <c r="I17" s="1" t="s">
        <v>34</v>
      </c>
      <c r="J17" s="1" t="s">
        <v>59</v>
      </c>
      <c r="K17" s="1" t="s">
        <v>104</v>
      </c>
      <c r="L17" s="1" t="s">
        <v>136</v>
      </c>
      <c r="M17" s="1" t="s">
        <v>62</v>
      </c>
      <c r="N17" s="1" t="n">
        <v>9999</v>
      </c>
      <c r="O17" s="1" t="n">
        <v>25</v>
      </c>
      <c r="P17" s="1" t="n">
        <v>2499.75</v>
      </c>
      <c r="Q17" s="1" t="n">
        <v>7499.25</v>
      </c>
      <c r="R17" s="1" t="n">
        <v>1349.87</v>
      </c>
      <c r="S17" s="1" t="n">
        <v>6149.38</v>
      </c>
      <c r="T17" s="1" t="n">
        <v>2274.96</v>
      </c>
      <c r="U17" s="1" t="n">
        <v>3874.42</v>
      </c>
      <c r="V17" s="1" t="n">
        <v>63.01</v>
      </c>
      <c r="W17" s="1" t="s">
        <v>40</v>
      </c>
      <c r="Y17" s="1" t="s">
        <v>40</v>
      </c>
      <c r="Z17" s="1" t="n">
        <v>3</v>
      </c>
    </row>
    <row r="18" customFormat="false" ht="15" hidden="false" customHeight="true" outlineLevel="0" collapsed="false">
      <c r="A18" s="1" t="s">
        <v>137</v>
      </c>
      <c r="B18" s="1" t="s">
        <v>138</v>
      </c>
      <c r="C18" s="1" t="s">
        <v>139</v>
      </c>
      <c r="D18" s="1" t="s">
        <v>44</v>
      </c>
      <c r="E18" s="1" t="s">
        <v>66</v>
      </c>
      <c r="F18" s="1" t="s">
        <v>140</v>
      </c>
      <c r="G18" s="1" t="s">
        <v>97</v>
      </c>
      <c r="H18" s="1" t="s">
        <v>57</v>
      </c>
      <c r="I18" s="1" t="s">
        <v>83</v>
      </c>
      <c r="J18" s="1" t="s">
        <v>77</v>
      </c>
      <c r="K18" s="1" t="s">
        <v>112</v>
      </c>
      <c r="L18" s="1" t="s">
        <v>49</v>
      </c>
      <c r="M18" s="1" t="s">
        <v>38</v>
      </c>
      <c r="N18" s="1" t="n">
        <v>12999</v>
      </c>
      <c r="O18" s="1" t="n">
        <v>40</v>
      </c>
      <c r="P18" s="1" t="n">
        <v>5199.6</v>
      </c>
      <c r="Q18" s="1" t="n">
        <v>7799.4</v>
      </c>
      <c r="R18" s="1" t="n">
        <v>1403.89</v>
      </c>
      <c r="S18" s="1" t="n">
        <v>6395.51</v>
      </c>
      <c r="T18" s="1" t="n">
        <v>3570.77</v>
      </c>
      <c r="U18" s="1" t="n">
        <v>2824.74</v>
      </c>
      <c r="V18" s="1" t="n">
        <v>44.17</v>
      </c>
      <c r="W18" s="1" t="s">
        <v>40</v>
      </c>
      <c r="Y18" s="1" t="s">
        <v>40</v>
      </c>
      <c r="Z18" s="1" t="n">
        <v>0</v>
      </c>
    </row>
    <row r="19" customFormat="false" ht="15" hidden="false" customHeight="true" outlineLevel="0" collapsed="false">
      <c r="A19" s="1" t="s">
        <v>141</v>
      </c>
      <c r="B19" s="1" t="s">
        <v>142</v>
      </c>
      <c r="C19" s="1" t="s">
        <v>119</v>
      </c>
      <c r="D19" s="1" t="s">
        <v>143</v>
      </c>
      <c r="E19" s="1" t="s">
        <v>144</v>
      </c>
      <c r="F19" s="1" t="s">
        <v>89</v>
      </c>
      <c r="G19" s="1" t="s">
        <v>68</v>
      </c>
      <c r="H19" s="1" t="s">
        <v>33</v>
      </c>
      <c r="I19" s="1" t="s">
        <v>34</v>
      </c>
      <c r="J19" s="1" t="s">
        <v>59</v>
      </c>
      <c r="K19" s="1" t="s">
        <v>112</v>
      </c>
      <c r="L19" s="1" t="s">
        <v>85</v>
      </c>
      <c r="M19" s="1" t="s">
        <v>62</v>
      </c>
      <c r="N19" s="1" t="n">
        <v>12999</v>
      </c>
      <c r="O19" s="1" t="n">
        <v>25</v>
      </c>
      <c r="P19" s="1" t="n">
        <v>3249.75</v>
      </c>
      <c r="Q19" s="1" t="n">
        <v>9749.25</v>
      </c>
      <c r="R19" s="1" t="n">
        <v>1754.87</v>
      </c>
      <c r="S19" s="1" t="n">
        <v>7994.38</v>
      </c>
      <c r="T19" s="1" t="n">
        <v>3501.87</v>
      </c>
      <c r="U19" s="1" t="n">
        <v>4492.51</v>
      </c>
      <c r="V19" s="1" t="n">
        <v>56.2</v>
      </c>
      <c r="W19" s="1" t="s">
        <v>39</v>
      </c>
      <c r="Y19" s="1" t="s">
        <v>40</v>
      </c>
      <c r="Z19" s="1" t="n">
        <v>0</v>
      </c>
    </row>
    <row r="20" customFormat="false" ht="15" hidden="false" customHeight="true" outlineLevel="0" collapsed="false">
      <c r="A20" s="1" t="s">
        <v>145</v>
      </c>
      <c r="B20" s="1" t="s">
        <v>146</v>
      </c>
      <c r="C20" s="1" t="s">
        <v>88</v>
      </c>
      <c r="D20" s="1" t="s">
        <v>123</v>
      </c>
      <c r="E20" s="1" t="s">
        <v>147</v>
      </c>
      <c r="F20" s="1" t="s">
        <v>140</v>
      </c>
      <c r="G20" s="1" t="s">
        <v>97</v>
      </c>
      <c r="H20" s="1" t="s">
        <v>57</v>
      </c>
      <c r="I20" s="1" t="s">
        <v>34</v>
      </c>
      <c r="J20" s="1" t="s">
        <v>59</v>
      </c>
      <c r="K20" s="1" t="s">
        <v>104</v>
      </c>
      <c r="L20" s="1" t="s">
        <v>113</v>
      </c>
      <c r="M20" s="1" t="s">
        <v>62</v>
      </c>
      <c r="N20" s="1" t="n">
        <v>6999</v>
      </c>
      <c r="O20" s="1" t="n">
        <v>40</v>
      </c>
      <c r="P20" s="1" t="n">
        <v>2799.6</v>
      </c>
      <c r="Q20" s="1" t="n">
        <v>4199.4</v>
      </c>
      <c r="R20" s="1" t="n">
        <v>755.89</v>
      </c>
      <c r="S20" s="1" t="n">
        <v>3443.51</v>
      </c>
      <c r="T20" s="1" t="n">
        <v>1857.34</v>
      </c>
      <c r="U20" s="1" t="n">
        <v>1586.17</v>
      </c>
      <c r="V20" s="1" t="n">
        <v>46.06</v>
      </c>
      <c r="W20" s="1" t="s">
        <v>39</v>
      </c>
      <c r="X20" s="1" t="n">
        <v>4</v>
      </c>
      <c r="Y20" s="1" t="s">
        <v>40</v>
      </c>
      <c r="Z20" s="1" t="n">
        <v>0</v>
      </c>
    </row>
    <row r="21" customFormat="false" ht="15" hidden="false" customHeight="true" outlineLevel="0" collapsed="false">
      <c r="A21" s="1" t="s">
        <v>148</v>
      </c>
      <c r="B21" s="1" t="s">
        <v>149</v>
      </c>
      <c r="C21" s="1" t="s">
        <v>88</v>
      </c>
      <c r="D21" s="1" t="s">
        <v>29</v>
      </c>
      <c r="E21" s="1" t="s">
        <v>30</v>
      </c>
      <c r="F21" s="1" t="s">
        <v>150</v>
      </c>
      <c r="G21" s="1" t="s">
        <v>32</v>
      </c>
      <c r="H21" s="1" t="s">
        <v>57</v>
      </c>
      <c r="I21" s="1" t="s">
        <v>34</v>
      </c>
      <c r="J21" s="1" t="s">
        <v>59</v>
      </c>
      <c r="K21" s="1" t="s">
        <v>48</v>
      </c>
      <c r="L21" s="1" t="s">
        <v>37</v>
      </c>
      <c r="M21" s="1" t="s">
        <v>62</v>
      </c>
      <c r="N21" s="1" t="n">
        <v>7999</v>
      </c>
      <c r="O21" s="1" t="n">
        <v>0</v>
      </c>
      <c r="P21" s="1" t="n">
        <v>0</v>
      </c>
      <c r="Q21" s="1" t="n">
        <v>7999</v>
      </c>
      <c r="R21" s="1" t="n">
        <v>1439.82</v>
      </c>
      <c r="S21" s="1" t="n">
        <v>6559.18</v>
      </c>
      <c r="T21" s="1" t="n">
        <v>2831.55</v>
      </c>
      <c r="U21" s="1" t="n">
        <v>3727.63</v>
      </c>
      <c r="V21" s="1" t="n">
        <v>56.83</v>
      </c>
      <c r="W21" s="1" t="s">
        <v>39</v>
      </c>
      <c r="X21" s="1" t="n">
        <v>4.3</v>
      </c>
      <c r="Y21" s="1" t="s">
        <v>40</v>
      </c>
      <c r="Z21" s="1" t="n">
        <v>0</v>
      </c>
    </row>
    <row r="22" customFormat="false" ht="15" hidden="false" customHeight="true" outlineLevel="0" collapsed="false">
      <c r="A22" s="1" t="s">
        <v>151</v>
      </c>
      <c r="B22" s="1" t="s">
        <v>152</v>
      </c>
      <c r="C22" s="1" t="s">
        <v>88</v>
      </c>
      <c r="D22" s="1" t="s">
        <v>29</v>
      </c>
      <c r="E22" s="1" t="s">
        <v>129</v>
      </c>
      <c r="F22" s="1" t="s">
        <v>153</v>
      </c>
      <c r="G22" s="1" t="s">
        <v>76</v>
      </c>
      <c r="H22" s="1" t="s">
        <v>33</v>
      </c>
      <c r="I22" s="1" t="s">
        <v>83</v>
      </c>
      <c r="J22" s="1" t="s">
        <v>35</v>
      </c>
      <c r="K22" s="1" t="s">
        <v>36</v>
      </c>
      <c r="L22" s="1" t="s">
        <v>49</v>
      </c>
      <c r="M22" s="1" t="s">
        <v>62</v>
      </c>
      <c r="N22" s="1" t="n">
        <v>29999</v>
      </c>
      <c r="O22" s="1" t="n">
        <v>40</v>
      </c>
      <c r="P22" s="1" t="n">
        <v>11999.6</v>
      </c>
      <c r="Q22" s="1" t="n">
        <v>17999.4</v>
      </c>
      <c r="R22" s="1" t="n">
        <v>3239.89</v>
      </c>
      <c r="S22" s="1" t="n">
        <v>14759.51</v>
      </c>
      <c r="T22" s="1" t="n">
        <v>7295.56</v>
      </c>
      <c r="U22" s="1" t="n">
        <v>7463.95</v>
      </c>
      <c r="V22" s="1" t="n">
        <v>50.57</v>
      </c>
      <c r="W22" s="1" t="s">
        <v>39</v>
      </c>
      <c r="Y22" s="1" t="s">
        <v>40</v>
      </c>
      <c r="Z22" s="1" t="n">
        <v>0</v>
      </c>
    </row>
    <row r="23" customFormat="false" ht="15" hidden="false" customHeight="true" outlineLevel="0" collapsed="false">
      <c r="A23" s="1" t="s">
        <v>154</v>
      </c>
      <c r="B23" s="1" t="s">
        <v>155</v>
      </c>
      <c r="C23" s="1" t="s">
        <v>134</v>
      </c>
      <c r="D23" s="1" t="s">
        <v>44</v>
      </c>
      <c r="E23" s="1" t="s">
        <v>45</v>
      </c>
      <c r="F23" s="1" t="s">
        <v>156</v>
      </c>
      <c r="G23" s="1" t="s">
        <v>68</v>
      </c>
      <c r="H23" s="1" t="s">
        <v>57</v>
      </c>
      <c r="I23" s="1" t="s">
        <v>83</v>
      </c>
      <c r="J23" s="1" t="s">
        <v>131</v>
      </c>
      <c r="K23" s="1" t="s">
        <v>60</v>
      </c>
      <c r="L23" s="1" t="s">
        <v>113</v>
      </c>
      <c r="M23" s="1" t="s">
        <v>50</v>
      </c>
      <c r="N23" s="1" t="n">
        <v>11999</v>
      </c>
      <c r="O23" s="1" t="n">
        <v>0</v>
      </c>
      <c r="P23" s="1" t="n">
        <v>0</v>
      </c>
      <c r="Q23" s="1" t="n">
        <v>11999</v>
      </c>
      <c r="R23" s="1" t="n">
        <v>2159.82</v>
      </c>
      <c r="S23" s="1" t="n">
        <v>9839.18</v>
      </c>
      <c r="T23" s="1" t="n">
        <v>4634.06</v>
      </c>
      <c r="U23" s="1" t="n">
        <v>5205.12</v>
      </c>
      <c r="V23" s="1" t="n">
        <v>52.9</v>
      </c>
      <c r="W23" s="1" t="s">
        <v>39</v>
      </c>
      <c r="X23" s="1" t="n">
        <v>3.1</v>
      </c>
      <c r="Y23" s="1" t="s">
        <v>40</v>
      </c>
      <c r="Z23" s="1" t="n">
        <v>2</v>
      </c>
    </row>
    <row r="24" customFormat="false" ht="15" hidden="false" customHeight="true" outlineLevel="0" collapsed="false">
      <c r="A24" s="1" t="s">
        <v>157</v>
      </c>
      <c r="B24" s="1" t="s">
        <v>158</v>
      </c>
      <c r="C24" s="1" t="s">
        <v>128</v>
      </c>
      <c r="D24" s="1" t="s">
        <v>143</v>
      </c>
      <c r="E24" s="1" t="s">
        <v>159</v>
      </c>
      <c r="F24" s="1" t="s">
        <v>153</v>
      </c>
      <c r="G24" s="1" t="s">
        <v>76</v>
      </c>
      <c r="H24" s="1" t="s">
        <v>33</v>
      </c>
      <c r="I24" s="1" t="s">
        <v>83</v>
      </c>
      <c r="J24" s="1" t="s">
        <v>59</v>
      </c>
      <c r="K24" s="1" t="s">
        <v>112</v>
      </c>
      <c r="L24" s="1" t="s">
        <v>49</v>
      </c>
      <c r="M24" s="1" t="s">
        <v>38</v>
      </c>
      <c r="N24" s="1" t="n">
        <v>24999</v>
      </c>
      <c r="O24" s="1" t="n">
        <v>20</v>
      </c>
      <c r="P24" s="1" t="n">
        <v>4999.8</v>
      </c>
      <c r="Q24" s="1" t="n">
        <v>19999.2</v>
      </c>
      <c r="R24" s="1" t="n">
        <v>3599.86</v>
      </c>
      <c r="S24" s="1" t="n">
        <v>16399.34</v>
      </c>
      <c r="T24" s="1" t="n">
        <v>6763.99</v>
      </c>
      <c r="U24" s="1" t="n">
        <v>9635.35</v>
      </c>
      <c r="V24" s="1" t="n">
        <v>58.75</v>
      </c>
      <c r="W24" s="1" t="s">
        <v>39</v>
      </c>
      <c r="X24" s="1" t="n">
        <v>3.7</v>
      </c>
      <c r="Y24" s="1" t="s">
        <v>40</v>
      </c>
      <c r="Z24" s="1" t="n">
        <v>0</v>
      </c>
    </row>
    <row r="25" customFormat="false" ht="15" hidden="false" customHeight="true" outlineLevel="0" collapsed="false">
      <c r="A25" s="1" t="s">
        <v>160</v>
      </c>
      <c r="B25" s="1" t="s">
        <v>161</v>
      </c>
      <c r="C25" s="1" t="s">
        <v>134</v>
      </c>
      <c r="D25" s="1" t="s">
        <v>143</v>
      </c>
      <c r="E25" s="1" t="s">
        <v>162</v>
      </c>
      <c r="F25" s="1" t="s">
        <v>125</v>
      </c>
      <c r="G25" s="1" t="s">
        <v>108</v>
      </c>
      <c r="H25" s="1" t="s">
        <v>69</v>
      </c>
      <c r="I25" s="1" t="s">
        <v>58</v>
      </c>
      <c r="J25" s="1" t="s">
        <v>77</v>
      </c>
      <c r="K25" s="1" t="s">
        <v>36</v>
      </c>
      <c r="L25" s="1" t="s">
        <v>61</v>
      </c>
      <c r="M25" s="1" t="s">
        <v>38</v>
      </c>
      <c r="N25" s="1" t="n">
        <v>14999</v>
      </c>
      <c r="O25" s="1" t="n">
        <v>0</v>
      </c>
      <c r="P25" s="1" t="n">
        <v>0</v>
      </c>
      <c r="Q25" s="1" t="n">
        <v>14999</v>
      </c>
      <c r="R25" s="1" t="n">
        <v>2699.82</v>
      </c>
      <c r="S25" s="1" t="n">
        <v>12299.18</v>
      </c>
      <c r="T25" s="1" t="n">
        <v>4245.97</v>
      </c>
      <c r="U25" s="1" t="n">
        <v>8053.21</v>
      </c>
      <c r="V25" s="1" t="n">
        <v>65.48</v>
      </c>
      <c r="W25" s="1" t="s">
        <v>39</v>
      </c>
      <c r="X25" s="1" t="n">
        <v>3.4</v>
      </c>
      <c r="Y25" s="1" t="s">
        <v>40</v>
      </c>
      <c r="Z25" s="1" t="n">
        <v>0</v>
      </c>
    </row>
    <row r="26" customFormat="false" ht="15" hidden="false" customHeight="true" outlineLevel="0" collapsed="false">
      <c r="A26" s="1" t="s">
        <v>163</v>
      </c>
      <c r="B26" s="1" t="s">
        <v>164</v>
      </c>
      <c r="C26" s="1" t="s">
        <v>43</v>
      </c>
      <c r="D26" s="1" t="s">
        <v>80</v>
      </c>
      <c r="E26" s="1" t="s">
        <v>81</v>
      </c>
      <c r="F26" s="1" t="s">
        <v>156</v>
      </c>
      <c r="G26" s="1" t="s">
        <v>68</v>
      </c>
      <c r="H26" s="1" t="s">
        <v>57</v>
      </c>
      <c r="I26" s="1" t="s">
        <v>34</v>
      </c>
      <c r="J26" s="1" t="s">
        <v>77</v>
      </c>
      <c r="K26" s="1" t="s">
        <v>90</v>
      </c>
      <c r="L26" s="1" t="s">
        <v>61</v>
      </c>
      <c r="M26" s="1" t="s">
        <v>62</v>
      </c>
      <c r="N26" s="1" t="n">
        <v>12999</v>
      </c>
      <c r="O26" s="1" t="n">
        <v>50</v>
      </c>
      <c r="P26" s="1" t="n">
        <v>6499.5</v>
      </c>
      <c r="Q26" s="1" t="n">
        <v>6499.5</v>
      </c>
      <c r="R26" s="1" t="n">
        <v>1169.91</v>
      </c>
      <c r="S26" s="1" t="n">
        <v>5329.59</v>
      </c>
      <c r="T26" s="1" t="n">
        <v>2783.75</v>
      </c>
      <c r="U26" s="1" t="n">
        <v>2545.84</v>
      </c>
      <c r="V26" s="1" t="n">
        <v>47.77</v>
      </c>
      <c r="W26" s="1" t="s">
        <v>40</v>
      </c>
      <c r="Y26" s="1" t="s">
        <v>40</v>
      </c>
      <c r="Z26" s="1" t="n">
        <v>1</v>
      </c>
    </row>
    <row r="27" customFormat="false" ht="15" hidden="false" customHeight="true" outlineLevel="0" collapsed="false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107</v>
      </c>
      <c r="G27" s="1" t="s">
        <v>108</v>
      </c>
      <c r="H27" s="1" t="s">
        <v>33</v>
      </c>
      <c r="I27" s="1" t="s">
        <v>83</v>
      </c>
      <c r="J27" s="1" t="s">
        <v>77</v>
      </c>
      <c r="K27" s="1" t="s">
        <v>71</v>
      </c>
      <c r="L27" s="1" t="s">
        <v>113</v>
      </c>
      <c r="M27" s="1" t="s">
        <v>38</v>
      </c>
      <c r="N27" s="1" t="n">
        <v>4999</v>
      </c>
      <c r="O27" s="1" t="n">
        <v>5</v>
      </c>
      <c r="P27" s="1" t="n">
        <v>249.95</v>
      </c>
      <c r="Q27" s="1" t="n">
        <v>4749.05</v>
      </c>
      <c r="R27" s="1" t="n">
        <v>854.83</v>
      </c>
      <c r="S27" s="1" t="n">
        <v>3894.22</v>
      </c>
      <c r="T27" s="1" t="n">
        <v>2019.87</v>
      </c>
      <c r="U27" s="1" t="n">
        <v>1874.35</v>
      </c>
      <c r="V27" s="1" t="n">
        <v>48.13</v>
      </c>
      <c r="W27" s="1" t="s">
        <v>40</v>
      </c>
      <c r="Y27" s="1" t="s">
        <v>40</v>
      </c>
      <c r="Z27" s="1" t="n">
        <v>1</v>
      </c>
    </row>
    <row r="28" customFormat="false" ht="15" hidden="false" customHeight="true" outlineLevel="0" collapsed="false">
      <c r="A28" s="1" t="s">
        <v>170</v>
      </c>
      <c r="B28" s="1" t="s">
        <v>171</v>
      </c>
      <c r="C28" s="1" t="s">
        <v>43</v>
      </c>
      <c r="D28" s="1" t="s">
        <v>168</v>
      </c>
      <c r="E28" s="1" t="s">
        <v>172</v>
      </c>
      <c r="F28" s="1" t="s">
        <v>130</v>
      </c>
      <c r="G28" s="1" t="s">
        <v>47</v>
      </c>
      <c r="H28" s="1" t="s">
        <v>69</v>
      </c>
      <c r="I28" s="1" t="s">
        <v>83</v>
      </c>
      <c r="J28" s="1" t="s">
        <v>77</v>
      </c>
      <c r="K28" s="1" t="s">
        <v>84</v>
      </c>
      <c r="L28" s="1" t="s">
        <v>49</v>
      </c>
      <c r="M28" s="1" t="s">
        <v>50</v>
      </c>
      <c r="N28" s="1" t="n">
        <v>6999</v>
      </c>
      <c r="O28" s="1" t="n">
        <v>40</v>
      </c>
      <c r="P28" s="1" t="n">
        <v>2799.6</v>
      </c>
      <c r="Q28" s="1" t="n">
        <v>4199.4</v>
      </c>
      <c r="R28" s="1" t="n">
        <v>755.89</v>
      </c>
      <c r="S28" s="1" t="n">
        <v>3443.51</v>
      </c>
      <c r="T28" s="1" t="n">
        <v>1688.9</v>
      </c>
      <c r="U28" s="1" t="n">
        <v>1754.61</v>
      </c>
      <c r="V28" s="1" t="n">
        <v>50.95</v>
      </c>
      <c r="W28" s="1" t="s">
        <v>40</v>
      </c>
      <c r="Y28" s="1" t="s">
        <v>40</v>
      </c>
      <c r="Z28" s="1" t="n">
        <v>1</v>
      </c>
    </row>
    <row r="29" customFormat="false" ht="15" hidden="false" customHeight="true" outlineLevel="0" collapsed="false">
      <c r="A29" s="1" t="s">
        <v>173</v>
      </c>
      <c r="B29" s="1" t="s">
        <v>174</v>
      </c>
      <c r="C29" s="1" t="s">
        <v>28</v>
      </c>
      <c r="D29" s="1" t="s">
        <v>80</v>
      </c>
      <c r="E29" s="1" t="s">
        <v>175</v>
      </c>
      <c r="F29" s="1" t="s">
        <v>82</v>
      </c>
      <c r="G29" s="1" t="s">
        <v>56</v>
      </c>
      <c r="H29" s="1" t="s">
        <v>69</v>
      </c>
      <c r="I29" s="1" t="s">
        <v>58</v>
      </c>
      <c r="J29" s="1" t="s">
        <v>77</v>
      </c>
      <c r="K29" s="1" t="s">
        <v>60</v>
      </c>
      <c r="L29" s="1" t="s">
        <v>136</v>
      </c>
      <c r="M29" s="1" t="s">
        <v>62</v>
      </c>
      <c r="N29" s="1" t="n">
        <v>19999</v>
      </c>
      <c r="O29" s="1" t="n">
        <v>40</v>
      </c>
      <c r="P29" s="1" t="n">
        <v>7999.6</v>
      </c>
      <c r="Q29" s="1" t="n">
        <v>11999.4</v>
      </c>
      <c r="R29" s="1" t="n">
        <v>2159.89</v>
      </c>
      <c r="S29" s="1" t="n">
        <v>9839.51</v>
      </c>
      <c r="T29" s="1" t="n">
        <v>4786.15</v>
      </c>
      <c r="U29" s="1" t="n">
        <v>5053.36</v>
      </c>
      <c r="V29" s="1" t="n">
        <v>51.36</v>
      </c>
      <c r="W29" s="1" t="s">
        <v>39</v>
      </c>
      <c r="X29" s="1" t="n">
        <v>3.4</v>
      </c>
      <c r="Y29" s="1" t="s">
        <v>40</v>
      </c>
      <c r="Z29" s="1" t="n">
        <v>0</v>
      </c>
    </row>
    <row r="30" customFormat="false" ht="15" hidden="false" customHeight="true" outlineLevel="0" collapsed="false">
      <c r="A30" s="1" t="s">
        <v>176</v>
      </c>
      <c r="B30" s="1" t="s">
        <v>177</v>
      </c>
      <c r="C30" s="1" t="s">
        <v>178</v>
      </c>
      <c r="D30" s="1" t="s">
        <v>168</v>
      </c>
      <c r="E30" s="1" t="s">
        <v>169</v>
      </c>
      <c r="F30" s="1" t="s">
        <v>153</v>
      </c>
      <c r="G30" s="1" t="s">
        <v>76</v>
      </c>
      <c r="H30" s="1" t="s">
        <v>33</v>
      </c>
      <c r="I30" s="1" t="s">
        <v>34</v>
      </c>
      <c r="J30" s="1" t="s">
        <v>59</v>
      </c>
      <c r="K30" s="1" t="s">
        <v>90</v>
      </c>
      <c r="L30" s="1" t="s">
        <v>136</v>
      </c>
      <c r="M30" s="1" t="s">
        <v>62</v>
      </c>
      <c r="N30" s="1" t="n">
        <v>4999</v>
      </c>
      <c r="O30" s="1" t="n">
        <v>0</v>
      </c>
      <c r="P30" s="1" t="n">
        <v>0</v>
      </c>
      <c r="Q30" s="1" t="n">
        <v>4999</v>
      </c>
      <c r="R30" s="1" t="n">
        <v>899.82</v>
      </c>
      <c r="S30" s="1" t="n">
        <v>4099.18</v>
      </c>
      <c r="T30" s="1" t="n">
        <v>2251.19</v>
      </c>
      <c r="U30" s="1" t="n">
        <v>1847.99</v>
      </c>
      <c r="V30" s="1" t="n">
        <v>45.08</v>
      </c>
      <c r="W30" s="1" t="s">
        <v>40</v>
      </c>
      <c r="Y30" s="1" t="s">
        <v>39</v>
      </c>
      <c r="Z30" s="1" t="n">
        <v>2</v>
      </c>
    </row>
    <row r="31" customFormat="false" ht="15" hidden="false" customHeight="true" outlineLevel="0" collapsed="false">
      <c r="A31" s="1" t="s">
        <v>179</v>
      </c>
      <c r="B31" s="1" t="s">
        <v>180</v>
      </c>
      <c r="C31" s="1" t="s">
        <v>181</v>
      </c>
      <c r="D31" s="1" t="s">
        <v>29</v>
      </c>
      <c r="E31" s="1" t="s">
        <v>182</v>
      </c>
      <c r="F31" s="1" t="s">
        <v>89</v>
      </c>
      <c r="G31" s="1" t="s">
        <v>68</v>
      </c>
      <c r="H31" s="1" t="s">
        <v>33</v>
      </c>
      <c r="I31" s="1" t="s">
        <v>58</v>
      </c>
      <c r="J31" s="1" t="s">
        <v>35</v>
      </c>
      <c r="K31" s="1" t="s">
        <v>48</v>
      </c>
      <c r="L31" s="1" t="s">
        <v>136</v>
      </c>
      <c r="M31" s="1" t="s">
        <v>50</v>
      </c>
      <c r="N31" s="1" t="n">
        <v>34999</v>
      </c>
      <c r="O31" s="1" t="n">
        <v>0</v>
      </c>
      <c r="P31" s="1" t="n">
        <v>0</v>
      </c>
      <c r="Q31" s="1" t="n">
        <v>34999</v>
      </c>
      <c r="R31" s="1" t="n">
        <v>6299.82</v>
      </c>
      <c r="S31" s="1" t="n">
        <v>28699.18</v>
      </c>
      <c r="T31" s="1" t="n">
        <v>15004.71</v>
      </c>
      <c r="U31" s="1" t="n">
        <v>13694.47</v>
      </c>
      <c r="V31" s="1" t="n">
        <v>47.72</v>
      </c>
      <c r="W31" s="1" t="s">
        <v>39</v>
      </c>
      <c r="X31" s="1" t="n">
        <v>4.2</v>
      </c>
      <c r="Y31" s="1" t="s">
        <v>40</v>
      </c>
      <c r="Z31" s="1" t="n">
        <v>0</v>
      </c>
    </row>
    <row r="32" customFormat="false" ht="15" hidden="false" customHeight="true" outlineLevel="0" collapsed="false">
      <c r="A32" s="1" t="s">
        <v>183</v>
      </c>
      <c r="B32" s="1" t="s">
        <v>174</v>
      </c>
      <c r="C32" s="1" t="s">
        <v>139</v>
      </c>
      <c r="D32" s="1" t="s">
        <v>44</v>
      </c>
      <c r="E32" s="1" t="s">
        <v>66</v>
      </c>
      <c r="F32" s="1" t="s">
        <v>184</v>
      </c>
      <c r="G32" s="1" t="s">
        <v>56</v>
      </c>
      <c r="H32" s="1" t="s">
        <v>57</v>
      </c>
      <c r="I32" s="1" t="s">
        <v>58</v>
      </c>
      <c r="J32" s="1" t="s">
        <v>35</v>
      </c>
      <c r="K32" s="1" t="s">
        <v>60</v>
      </c>
      <c r="L32" s="1" t="s">
        <v>37</v>
      </c>
      <c r="M32" s="1" t="s">
        <v>50</v>
      </c>
      <c r="N32" s="1" t="n">
        <v>12999</v>
      </c>
      <c r="O32" s="1" t="n">
        <v>20</v>
      </c>
      <c r="P32" s="1" t="n">
        <v>2599.8</v>
      </c>
      <c r="Q32" s="1" t="n">
        <v>10399.2</v>
      </c>
      <c r="R32" s="1" t="n">
        <v>1871.86</v>
      </c>
      <c r="S32" s="1" t="n">
        <v>8527.34</v>
      </c>
      <c r="T32" s="1" t="n">
        <v>4283.93</v>
      </c>
      <c r="U32" s="1" t="n">
        <v>4243.41</v>
      </c>
      <c r="V32" s="1" t="n">
        <v>49.76</v>
      </c>
      <c r="W32" s="1" t="s">
        <v>39</v>
      </c>
      <c r="X32" s="1" t="n">
        <v>3.5</v>
      </c>
      <c r="Y32" s="1" t="s">
        <v>40</v>
      </c>
      <c r="Z32" s="1" t="n">
        <v>1</v>
      </c>
    </row>
    <row r="33" customFormat="false" ht="15" hidden="false" customHeight="true" outlineLevel="0" collapsed="false">
      <c r="A33" s="1" t="s">
        <v>185</v>
      </c>
      <c r="B33" s="1" t="s">
        <v>186</v>
      </c>
      <c r="C33" s="1" t="s">
        <v>74</v>
      </c>
      <c r="D33" s="1" t="s">
        <v>94</v>
      </c>
      <c r="E33" s="1" t="s">
        <v>101</v>
      </c>
      <c r="F33" s="1" t="s">
        <v>187</v>
      </c>
      <c r="G33" s="1" t="s">
        <v>97</v>
      </c>
      <c r="H33" s="1" t="s">
        <v>69</v>
      </c>
      <c r="I33" s="1" t="s">
        <v>58</v>
      </c>
      <c r="J33" s="1" t="s">
        <v>35</v>
      </c>
      <c r="K33" s="1" t="s">
        <v>48</v>
      </c>
      <c r="L33" s="1" t="s">
        <v>136</v>
      </c>
      <c r="M33" s="1" t="s">
        <v>50</v>
      </c>
      <c r="N33" s="1" t="n">
        <v>14999</v>
      </c>
      <c r="O33" s="1" t="n">
        <v>50</v>
      </c>
      <c r="P33" s="1" t="n">
        <v>7499.5</v>
      </c>
      <c r="Q33" s="1" t="n">
        <v>7499.5</v>
      </c>
      <c r="R33" s="1" t="n">
        <v>1349.91</v>
      </c>
      <c r="S33" s="1" t="n">
        <v>6149.59</v>
      </c>
      <c r="T33" s="1" t="n">
        <v>3376.6</v>
      </c>
      <c r="U33" s="1" t="n">
        <v>2772.99</v>
      </c>
      <c r="V33" s="1" t="n">
        <v>45.09</v>
      </c>
      <c r="W33" s="1" t="s">
        <v>39</v>
      </c>
      <c r="X33" s="1" t="n">
        <v>3.7</v>
      </c>
      <c r="Y33" s="1" t="s">
        <v>40</v>
      </c>
      <c r="Z33" s="1" t="n">
        <v>0</v>
      </c>
    </row>
    <row r="34" customFormat="false" ht="15" hidden="false" customHeight="true" outlineLevel="0" collapsed="false">
      <c r="A34" s="1" t="s">
        <v>188</v>
      </c>
      <c r="B34" s="1" t="s">
        <v>189</v>
      </c>
      <c r="C34" s="1" t="s">
        <v>167</v>
      </c>
      <c r="D34" s="1" t="s">
        <v>80</v>
      </c>
      <c r="E34" s="1" t="s">
        <v>190</v>
      </c>
      <c r="F34" s="1" t="s">
        <v>140</v>
      </c>
      <c r="G34" s="1" t="s">
        <v>97</v>
      </c>
      <c r="H34" s="1" t="s">
        <v>57</v>
      </c>
      <c r="I34" s="1" t="s">
        <v>34</v>
      </c>
      <c r="J34" s="1" t="s">
        <v>131</v>
      </c>
      <c r="K34" s="1" t="s">
        <v>84</v>
      </c>
      <c r="L34" s="1" t="s">
        <v>49</v>
      </c>
      <c r="M34" s="1" t="s">
        <v>62</v>
      </c>
      <c r="N34" s="1" t="n">
        <v>15999</v>
      </c>
      <c r="O34" s="1" t="n">
        <v>10</v>
      </c>
      <c r="P34" s="1" t="n">
        <v>1599.9</v>
      </c>
      <c r="Q34" s="1" t="n">
        <v>14399.1</v>
      </c>
      <c r="R34" s="1" t="n">
        <v>2591.84</v>
      </c>
      <c r="S34" s="1" t="n">
        <v>11807.26</v>
      </c>
      <c r="T34" s="1" t="n">
        <v>5560.38</v>
      </c>
      <c r="U34" s="1" t="n">
        <v>6246.88</v>
      </c>
      <c r="V34" s="1" t="n">
        <v>52.91</v>
      </c>
      <c r="W34" s="1" t="s">
        <v>39</v>
      </c>
      <c r="X34" s="1" t="n">
        <v>2.7</v>
      </c>
      <c r="Y34" s="1" t="s">
        <v>40</v>
      </c>
      <c r="Z34" s="1" t="n">
        <v>1</v>
      </c>
    </row>
    <row r="35" customFormat="false" ht="15" hidden="false" customHeight="true" outlineLevel="0" collapsed="false">
      <c r="A35" s="1" t="s">
        <v>191</v>
      </c>
      <c r="B35" s="1" t="s">
        <v>192</v>
      </c>
      <c r="C35" s="1" t="s">
        <v>134</v>
      </c>
      <c r="D35" s="1" t="s">
        <v>80</v>
      </c>
      <c r="E35" s="1" t="s">
        <v>193</v>
      </c>
      <c r="F35" s="1" t="s">
        <v>194</v>
      </c>
      <c r="G35" s="1" t="s">
        <v>103</v>
      </c>
      <c r="H35" s="1" t="s">
        <v>69</v>
      </c>
      <c r="I35" s="1" t="s">
        <v>34</v>
      </c>
      <c r="J35" s="1" t="s">
        <v>35</v>
      </c>
      <c r="K35" s="1" t="s">
        <v>48</v>
      </c>
      <c r="L35" s="1" t="s">
        <v>61</v>
      </c>
      <c r="M35" s="1" t="s">
        <v>62</v>
      </c>
      <c r="N35" s="1" t="n">
        <v>8999</v>
      </c>
      <c r="O35" s="1" t="n">
        <v>0</v>
      </c>
      <c r="P35" s="1" t="n">
        <v>0</v>
      </c>
      <c r="Q35" s="1" t="n">
        <v>8999</v>
      </c>
      <c r="R35" s="1" t="n">
        <v>1619.82</v>
      </c>
      <c r="S35" s="1" t="n">
        <v>7379.18</v>
      </c>
      <c r="T35" s="1" t="n">
        <v>2355.9</v>
      </c>
      <c r="U35" s="1" t="n">
        <v>5023.28</v>
      </c>
      <c r="V35" s="1" t="n">
        <v>68.07</v>
      </c>
      <c r="W35" s="1" t="s">
        <v>40</v>
      </c>
      <c r="Y35" s="1" t="s">
        <v>39</v>
      </c>
      <c r="Z35" s="1" t="n">
        <v>0</v>
      </c>
    </row>
    <row r="36" customFormat="false" ht="15" hidden="false" customHeight="true" outlineLevel="0" collapsed="false">
      <c r="A36" s="1" t="s">
        <v>195</v>
      </c>
      <c r="B36" s="1" t="s">
        <v>196</v>
      </c>
      <c r="C36" s="1" t="s">
        <v>65</v>
      </c>
      <c r="D36" s="1" t="s">
        <v>168</v>
      </c>
      <c r="E36" s="1" t="s">
        <v>197</v>
      </c>
      <c r="F36" s="1" t="s">
        <v>125</v>
      </c>
      <c r="G36" s="1" t="s">
        <v>108</v>
      </c>
      <c r="H36" s="1" t="s">
        <v>69</v>
      </c>
      <c r="I36" s="1" t="s">
        <v>34</v>
      </c>
      <c r="J36" s="1" t="s">
        <v>35</v>
      </c>
      <c r="K36" s="1" t="s">
        <v>104</v>
      </c>
      <c r="L36" s="1" t="s">
        <v>136</v>
      </c>
      <c r="M36" s="1" t="s">
        <v>62</v>
      </c>
      <c r="N36" s="1" t="n">
        <v>8499</v>
      </c>
      <c r="O36" s="1" t="n">
        <v>20</v>
      </c>
      <c r="P36" s="1" t="n">
        <v>1699.8</v>
      </c>
      <c r="Q36" s="1" t="n">
        <v>6799.2</v>
      </c>
      <c r="R36" s="1" t="n">
        <v>1223.86</v>
      </c>
      <c r="S36" s="1" t="n">
        <v>5575.34</v>
      </c>
      <c r="T36" s="1" t="n">
        <v>2362.25</v>
      </c>
      <c r="U36" s="1" t="n">
        <v>3213.09</v>
      </c>
      <c r="V36" s="1" t="n">
        <v>57.63</v>
      </c>
      <c r="W36" s="1" t="s">
        <v>40</v>
      </c>
      <c r="Y36" s="1" t="s">
        <v>40</v>
      </c>
      <c r="Z36" s="1" t="n">
        <v>1</v>
      </c>
    </row>
    <row r="37" customFormat="false" ht="15" hidden="false" customHeight="true" outlineLevel="0" collapsed="false">
      <c r="A37" s="1" t="s">
        <v>198</v>
      </c>
      <c r="B37" s="1" t="s">
        <v>199</v>
      </c>
      <c r="C37" s="1" t="s">
        <v>167</v>
      </c>
      <c r="D37" s="1" t="s">
        <v>53</v>
      </c>
      <c r="E37" s="1" t="s">
        <v>116</v>
      </c>
      <c r="F37" s="1" t="s">
        <v>102</v>
      </c>
      <c r="G37" s="1" t="s">
        <v>103</v>
      </c>
      <c r="H37" s="1" t="s">
        <v>33</v>
      </c>
      <c r="I37" s="1" t="s">
        <v>83</v>
      </c>
      <c r="J37" s="1" t="s">
        <v>35</v>
      </c>
      <c r="K37" s="1" t="s">
        <v>60</v>
      </c>
      <c r="L37" s="1" t="s">
        <v>61</v>
      </c>
      <c r="M37" s="1" t="s">
        <v>38</v>
      </c>
      <c r="N37" s="1" t="n">
        <v>9999</v>
      </c>
      <c r="O37" s="1" t="n">
        <v>0</v>
      </c>
      <c r="P37" s="1" t="n">
        <v>0</v>
      </c>
      <c r="Q37" s="1" t="n">
        <v>9999</v>
      </c>
      <c r="R37" s="1" t="n">
        <v>1799.82</v>
      </c>
      <c r="S37" s="1" t="n">
        <v>8199.18</v>
      </c>
      <c r="T37" s="1" t="n">
        <v>3293.48</v>
      </c>
      <c r="U37" s="1" t="n">
        <v>4905.7</v>
      </c>
      <c r="V37" s="1" t="n">
        <v>59.83</v>
      </c>
      <c r="W37" s="1" t="s">
        <v>39</v>
      </c>
      <c r="X37" s="1" t="n">
        <v>2.8</v>
      </c>
      <c r="Y37" s="1" t="s">
        <v>40</v>
      </c>
      <c r="Z37" s="1" t="n">
        <v>1</v>
      </c>
    </row>
    <row r="38" customFormat="false" ht="15" hidden="false" customHeight="true" outlineLevel="0" collapsed="false">
      <c r="A38" s="1" t="s">
        <v>200</v>
      </c>
      <c r="B38" s="1" t="s">
        <v>201</v>
      </c>
      <c r="C38" s="1" t="s">
        <v>178</v>
      </c>
      <c r="D38" s="1" t="s">
        <v>80</v>
      </c>
      <c r="E38" s="1" t="s">
        <v>81</v>
      </c>
      <c r="F38" s="1" t="s">
        <v>184</v>
      </c>
      <c r="G38" s="1" t="s">
        <v>56</v>
      </c>
      <c r="H38" s="1" t="s">
        <v>57</v>
      </c>
      <c r="I38" s="1" t="s">
        <v>58</v>
      </c>
      <c r="J38" s="1" t="s">
        <v>70</v>
      </c>
      <c r="K38" s="1" t="s">
        <v>84</v>
      </c>
      <c r="L38" s="1" t="s">
        <v>49</v>
      </c>
      <c r="M38" s="1" t="s">
        <v>50</v>
      </c>
      <c r="N38" s="1" t="n">
        <v>12999</v>
      </c>
      <c r="O38" s="1" t="n">
        <v>0</v>
      </c>
      <c r="P38" s="1" t="n">
        <v>0</v>
      </c>
      <c r="Q38" s="1" t="n">
        <v>12999</v>
      </c>
      <c r="R38" s="1" t="n">
        <v>2339.82</v>
      </c>
      <c r="S38" s="1" t="n">
        <v>10659.18</v>
      </c>
      <c r="T38" s="1" t="n">
        <v>5160.76</v>
      </c>
      <c r="U38" s="1" t="n">
        <v>5498.42</v>
      </c>
      <c r="V38" s="1" t="n">
        <v>51.58</v>
      </c>
      <c r="W38" s="1" t="s">
        <v>40</v>
      </c>
      <c r="Y38" s="1" t="s">
        <v>40</v>
      </c>
      <c r="Z38" s="1" t="n">
        <v>0</v>
      </c>
    </row>
    <row r="39" customFormat="false" ht="15" hidden="false" customHeight="true" outlineLevel="0" collapsed="false">
      <c r="A39" s="1" t="s">
        <v>202</v>
      </c>
      <c r="B39" s="1" t="s">
        <v>203</v>
      </c>
      <c r="C39" s="1" t="s">
        <v>204</v>
      </c>
      <c r="D39" s="1" t="s">
        <v>123</v>
      </c>
      <c r="E39" s="1" t="s">
        <v>147</v>
      </c>
      <c r="F39" s="1" t="s">
        <v>205</v>
      </c>
      <c r="G39" s="1" t="s">
        <v>56</v>
      </c>
      <c r="H39" s="1" t="s">
        <v>69</v>
      </c>
      <c r="I39" s="1" t="s">
        <v>34</v>
      </c>
      <c r="J39" s="1" t="s">
        <v>59</v>
      </c>
      <c r="K39" s="1" t="s">
        <v>60</v>
      </c>
      <c r="L39" s="1" t="s">
        <v>37</v>
      </c>
      <c r="M39" s="1" t="s">
        <v>38</v>
      </c>
      <c r="N39" s="1" t="n">
        <v>6999</v>
      </c>
      <c r="O39" s="1" t="n">
        <v>15</v>
      </c>
      <c r="P39" s="1" t="n">
        <v>1049.85</v>
      </c>
      <c r="Q39" s="1" t="n">
        <v>5949.15</v>
      </c>
      <c r="R39" s="1" t="n">
        <v>1070.85</v>
      </c>
      <c r="S39" s="1" t="n">
        <v>4878.3</v>
      </c>
      <c r="T39" s="1" t="n">
        <v>2141.47</v>
      </c>
      <c r="U39" s="1" t="n">
        <v>2736.83</v>
      </c>
      <c r="V39" s="1" t="n">
        <v>56.1</v>
      </c>
      <c r="W39" s="1" t="s">
        <v>40</v>
      </c>
      <c r="Y39" s="1" t="s">
        <v>40</v>
      </c>
      <c r="Z39" s="1" t="n">
        <v>0</v>
      </c>
    </row>
    <row r="40" customFormat="false" ht="15" hidden="false" customHeight="true" outlineLevel="0" collapsed="false">
      <c r="A40" s="1" t="s">
        <v>206</v>
      </c>
      <c r="B40" s="1" t="s">
        <v>207</v>
      </c>
      <c r="C40" s="1" t="s">
        <v>134</v>
      </c>
      <c r="D40" s="1" t="s">
        <v>29</v>
      </c>
      <c r="E40" s="1" t="s">
        <v>182</v>
      </c>
      <c r="F40" s="1" t="s">
        <v>96</v>
      </c>
      <c r="G40" s="1" t="s">
        <v>97</v>
      </c>
      <c r="H40" s="1" t="s">
        <v>69</v>
      </c>
      <c r="I40" s="1" t="s">
        <v>34</v>
      </c>
      <c r="J40" s="1" t="s">
        <v>77</v>
      </c>
      <c r="K40" s="1" t="s">
        <v>84</v>
      </c>
      <c r="L40" s="1" t="s">
        <v>136</v>
      </c>
      <c r="M40" s="1" t="s">
        <v>38</v>
      </c>
      <c r="N40" s="1" t="n">
        <v>34999</v>
      </c>
      <c r="O40" s="1" t="n">
        <v>30</v>
      </c>
      <c r="P40" s="1" t="n">
        <v>10499.7</v>
      </c>
      <c r="Q40" s="1" t="n">
        <v>24499.3</v>
      </c>
      <c r="R40" s="1" t="n">
        <v>4409.87</v>
      </c>
      <c r="S40" s="1" t="n">
        <v>20089.43</v>
      </c>
      <c r="T40" s="1" t="n">
        <v>5458.37</v>
      </c>
      <c r="U40" s="1" t="n">
        <v>14631.06</v>
      </c>
      <c r="V40" s="1" t="n">
        <v>72.83</v>
      </c>
      <c r="W40" s="1" t="s">
        <v>40</v>
      </c>
      <c r="Y40" s="1" t="s">
        <v>39</v>
      </c>
      <c r="Z40" s="1" t="n">
        <v>0</v>
      </c>
    </row>
    <row r="41" customFormat="false" ht="15" hidden="false" customHeight="true" outlineLevel="0" collapsed="false">
      <c r="A41" s="1" t="s">
        <v>208</v>
      </c>
      <c r="B41" s="1" t="s">
        <v>209</v>
      </c>
      <c r="C41" s="1" t="s">
        <v>88</v>
      </c>
      <c r="D41" s="1" t="s">
        <v>143</v>
      </c>
      <c r="E41" s="1" t="s">
        <v>210</v>
      </c>
      <c r="F41" s="1" t="s">
        <v>211</v>
      </c>
      <c r="G41" s="1" t="s">
        <v>56</v>
      </c>
      <c r="H41" s="1" t="s">
        <v>69</v>
      </c>
      <c r="I41" s="1" t="s">
        <v>34</v>
      </c>
      <c r="J41" s="1" t="s">
        <v>59</v>
      </c>
      <c r="K41" s="1" t="s">
        <v>48</v>
      </c>
      <c r="L41" s="1" t="s">
        <v>113</v>
      </c>
      <c r="M41" s="1" t="s">
        <v>62</v>
      </c>
      <c r="N41" s="1" t="n">
        <v>18999</v>
      </c>
      <c r="O41" s="1" t="n">
        <v>40</v>
      </c>
      <c r="P41" s="1" t="n">
        <v>7599.6</v>
      </c>
      <c r="Q41" s="1" t="n">
        <v>11399.4</v>
      </c>
      <c r="R41" s="1" t="n">
        <v>2051.89</v>
      </c>
      <c r="S41" s="1" t="n">
        <v>9347.51</v>
      </c>
      <c r="T41" s="1" t="n">
        <v>4563.59</v>
      </c>
      <c r="U41" s="1" t="n">
        <v>4783.92</v>
      </c>
      <c r="V41" s="1" t="n">
        <v>51.18</v>
      </c>
      <c r="W41" s="1" t="s">
        <v>39</v>
      </c>
      <c r="X41" s="1" t="n">
        <v>4.4</v>
      </c>
      <c r="Y41" s="1" t="s">
        <v>40</v>
      </c>
      <c r="Z41" s="1" t="n">
        <v>0</v>
      </c>
    </row>
    <row r="42" customFormat="false" ht="15" hidden="false" customHeight="true" outlineLevel="0" collapsed="false">
      <c r="A42" s="1" t="s">
        <v>212</v>
      </c>
      <c r="B42" s="1" t="s">
        <v>213</v>
      </c>
      <c r="C42" s="1" t="s">
        <v>128</v>
      </c>
      <c r="D42" s="1" t="s">
        <v>80</v>
      </c>
      <c r="E42" s="1" t="s">
        <v>81</v>
      </c>
      <c r="F42" s="1" t="s">
        <v>211</v>
      </c>
      <c r="G42" s="1" t="s">
        <v>56</v>
      </c>
      <c r="H42" s="1" t="s">
        <v>69</v>
      </c>
      <c r="I42" s="1" t="s">
        <v>83</v>
      </c>
      <c r="J42" s="1" t="s">
        <v>77</v>
      </c>
      <c r="K42" s="1" t="s">
        <v>60</v>
      </c>
      <c r="L42" s="1" t="s">
        <v>37</v>
      </c>
      <c r="M42" s="1" t="s">
        <v>62</v>
      </c>
      <c r="N42" s="1" t="n">
        <v>12999</v>
      </c>
      <c r="O42" s="1" t="n">
        <v>25</v>
      </c>
      <c r="P42" s="1" t="n">
        <v>3249.75</v>
      </c>
      <c r="Q42" s="1" t="n">
        <v>9749.25</v>
      </c>
      <c r="R42" s="1" t="n">
        <v>1754.87</v>
      </c>
      <c r="S42" s="1" t="n">
        <v>7994.38</v>
      </c>
      <c r="T42" s="1" t="n">
        <v>3183.21</v>
      </c>
      <c r="U42" s="1" t="n">
        <v>4811.17</v>
      </c>
      <c r="V42" s="1" t="n">
        <v>60.18</v>
      </c>
      <c r="W42" s="1" t="s">
        <v>39</v>
      </c>
      <c r="X42" s="1" t="n">
        <v>3.8</v>
      </c>
      <c r="Y42" s="1" t="s">
        <v>40</v>
      </c>
      <c r="Z42" s="1" t="n">
        <v>1</v>
      </c>
    </row>
    <row r="43" customFormat="false" ht="15" hidden="false" customHeight="true" outlineLevel="0" collapsed="false">
      <c r="A43" s="1" t="s">
        <v>214</v>
      </c>
      <c r="B43" s="1" t="s">
        <v>215</v>
      </c>
      <c r="C43" s="1" t="s">
        <v>119</v>
      </c>
      <c r="D43" s="1" t="s">
        <v>53</v>
      </c>
      <c r="E43" s="1" t="s">
        <v>216</v>
      </c>
      <c r="F43" s="1" t="s">
        <v>211</v>
      </c>
      <c r="G43" s="1" t="s">
        <v>56</v>
      </c>
      <c r="H43" s="1" t="s">
        <v>69</v>
      </c>
      <c r="I43" s="1" t="s">
        <v>34</v>
      </c>
      <c r="J43" s="1" t="s">
        <v>131</v>
      </c>
      <c r="K43" s="1" t="s">
        <v>84</v>
      </c>
      <c r="L43" s="1" t="s">
        <v>136</v>
      </c>
      <c r="M43" s="1" t="s">
        <v>62</v>
      </c>
      <c r="N43" s="1" t="n">
        <v>7499</v>
      </c>
      <c r="O43" s="1" t="n">
        <v>15</v>
      </c>
      <c r="P43" s="1" t="n">
        <v>1124.85</v>
      </c>
      <c r="Q43" s="1" t="n">
        <v>6374.15</v>
      </c>
      <c r="R43" s="1" t="n">
        <v>1147.35</v>
      </c>
      <c r="S43" s="1" t="n">
        <v>5226.8</v>
      </c>
      <c r="T43" s="1" t="n">
        <v>1637.16</v>
      </c>
      <c r="U43" s="1" t="n">
        <v>3589.64</v>
      </c>
      <c r="V43" s="1" t="n">
        <v>68.68</v>
      </c>
      <c r="W43" s="1" t="s">
        <v>39</v>
      </c>
      <c r="Y43" s="1" t="s">
        <v>40</v>
      </c>
      <c r="Z43" s="1" t="n">
        <v>0</v>
      </c>
    </row>
    <row r="44" customFormat="false" ht="15" hidden="false" customHeight="true" outlineLevel="0" collapsed="false">
      <c r="A44" s="1" t="s">
        <v>217</v>
      </c>
      <c r="B44" s="1" t="s">
        <v>218</v>
      </c>
      <c r="C44" s="1" t="s">
        <v>65</v>
      </c>
      <c r="D44" s="1" t="s">
        <v>53</v>
      </c>
      <c r="E44" s="1" t="s">
        <v>116</v>
      </c>
      <c r="F44" s="1" t="s">
        <v>96</v>
      </c>
      <c r="G44" s="1" t="s">
        <v>97</v>
      </c>
      <c r="H44" s="1" t="s">
        <v>69</v>
      </c>
      <c r="I44" s="1" t="s">
        <v>34</v>
      </c>
      <c r="J44" s="1" t="s">
        <v>59</v>
      </c>
      <c r="K44" s="1" t="s">
        <v>48</v>
      </c>
      <c r="L44" s="1" t="s">
        <v>61</v>
      </c>
      <c r="M44" s="1" t="s">
        <v>62</v>
      </c>
      <c r="N44" s="1" t="n">
        <v>9999</v>
      </c>
      <c r="O44" s="1" t="n">
        <v>30</v>
      </c>
      <c r="P44" s="1" t="n">
        <v>2999.7</v>
      </c>
      <c r="Q44" s="1" t="n">
        <v>6999.3</v>
      </c>
      <c r="R44" s="1" t="n">
        <v>1259.87</v>
      </c>
      <c r="S44" s="1" t="n">
        <v>5739.43</v>
      </c>
      <c r="T44" s="1" t="n">
        <v>2404.81</v>
      </c>
      <c r="U44" s="1" t="n">
        <v>3334.62</v>
      </c>
      <c r="V44" s="1" t="n">
        <v>58.1</v>
      </c>
      <c r="W44" s="1" t="s">
        <v>39</v>
      </c>
      <c r="X44" s="1" t="n">
        <v>4.2</v>
      </c>
      <c r="Y44" s="1" t="s">
        <v>40</v>
      </c>
      <c r="Z44" s="1" t="n">
        <v>0</v>
      </c>
    </row>
    <row r="45" customFormat="false" ht="15" hidden="false" customHeight="true" outlineLevel="0" collapsed="false">
      <c r="A45" s="1" t="s">
        <v>219</v>
      </c>
      <c r="B45" s="1" t="s">
        <v>220</v>
      </c>
      <c r="C45" s="1" t="s">
        <v>167</v>
      </c>
      <c r="D45" s="1" t="s">
        <v>44</v>
      </c>
      <c r="E45" s="1" t="s">
        <v>221</v>
      </c>
      <c r="F45" s="1" t="s">
        <v>89</v>
      </c>
      <c r="G45" s="1" t="s">
        <v>68</v>
      </c>
      <c r="H45" s="1" t="s">
        <v>33</v>
      </c>
      <c r="I45" s="1" t="s">
        <v>34</v>
      </c>
      <c r="J45" s="1" t="s">
        <v>70</v>
      </c>
      <c r="K45" s="1" t="s">
        <v>71</v>
      </c>
      <c r="L45" s="1" t="s">
        <v>136</v>
      </c>
      <c r="M45" s="1" t="s">
        <v>50</v>
      </c>
      <c r="N45" s="1" t="n">
        <v>16999</v>
      </c>
      <c r="O45" s="1" t="n">
        <v>25</v>
      </c>
      <c r="P45" s="1" t="n">
        <v>4249.75</v>
      </c>
      <c r="Q45" s="1" t="n">
        <v>12749.25</v>
      </c>
      <c r="R45" s="1" t="n">
        <v>2294.86</v>
      </c>
      <c r="S45" s="1" t="n">
        <v>10454.39</v>
      </c>
      <c r="T45" s="1" t="n">
        <v>5448.17</v>
      </c>
      <c r="U45" s="1" t="n">
        <v>5006.22</v>
      </c>
      <c r="V45" s="1" t="n">
        <v>47.89</v>
      </c>
      <c r="W45" s="1" t="s">
        <v>39</v>
      </c>
      <c r="X45" s="1" t="n">
        <v>4.2</v>
      </c>
      <c r="Y45" s="1" t="s">
        <v>40</v>
      </c>
      <c r="Z45" s="1" t="n">
        <v>1</v>
      </c>
    </row>
    <row r="46" customFormat="false" ht="15" hidden="false" customHeight="true" outlineLevel="0" collapsed="false">
      <c r="A46" s="1" t="s">
        <v>222</v>
      </c>
      <c r="B46" s="1" t="s">
        <v>223</v>
      </c>
      <c r="C46" s="1" t="s">
        <v>43</v>
      </c>
      <c r="D46" s="1" t="s">
        <v>80</v>
      </c>
      <c r="E46" s="1" t="s">
        <v>193</v>
      </c>
      <c r="F46" s="1" t="s">
        <v>184</v>
      </c>
      <c r="G46" s="1" t="s">
        <v>56</v>
      </c>
      <c r="H46" s="1" t="s">
        <v>57</v>
      </c>
      <c r="I46" s="1" t="s">
        <v>58</v>
      </c>
      <c r="J46" s="1" t="s">
        <v>77</v>
      </c>
      <c r="K46" s="1" t="s">
        <v>112</v>
      </c>
      <c r="L46" s="1" t="s">
        <v>85</v>
      </c>
      <c r="M46" s="1" t="s">
        <v>50</v>
      </c>
      <c r="N46" s="1" t="n">
        <v>8999</v>
      </c>
      <c r="O46" s="1" t="n">
        <v>50</v>
      </c>
      <c r="P46" s="1" t="n">
        <v>4499.5</v>
      </c>
      <c r="Q46" s="1" t="n">
        <v>4499.5</v>
      </c>
      <c r="R46" s="1" t="n">
        <v>809.91</v>
      </c>
      <c r="S46" s="1" t="n">
        <v>3689.59</v>
      </c>
      <c r="T46" s="1" t="n">
        <v>2052.6</v>
      </c>
      <c r="U46" s="1" t="n">
        <v>1636.99</v>
      </c>
      <c r="V46" s="1" t="n">
        <v>44.37</v>
      </c>
      <c r="W46" s="1" t="s">
        <v>40</v>
      </c>
      <c r="Y46" s="1" t="s">
        <v>39</v>
      </c>
      <c r="Z46" s="1" t="n">
        <v>1</v>
      </c>
    </row>
    <row r="47" customFormat="false" ht="15" hidden="false" customHeight="true" outlineLevel="0" collapsed="false">
      <c r="A47" s="1" t="s">
        <v>224</v>
      </c>
      <c r="B47" s="1" t="s">
        <v>225</v>
      </c>
      <c r="C47" s="1" t="s">
        <v>74</v>
      </c>
      <c r="D47" s="1" t="s">
        <v>94</v>
      </c>
      <c r="E47" s="1" t="s">
        <v>135</v>
      </c>
      <c r="F47" s="1" t="s">
        <v>125</v>
      </c>
      <c r="G47" s="1" t="s">
        <v>108</v>
      </c>
      <c r="H47" s="1" t="s">
        <v>69</v>
      </c>
      <c r="I47" s="1" t="s">
        <v>58</v>
      </c>
      <c r="J47" s="1" t="s">
        <v>59</v>
      </c>
      <c r="K47" s="1" t="s">
        <v>84</v>
      </c>
      <c r="L47" s="1" t="s">
        <v>61</v>
      </c>
      <c r="M47" s="1" t="s">
        <v>38</v>
      </c>
      <c r="N47" s="1" t="n">
        <v>9999</v>
      </c>
      <c r="O47" s="1" t="n">
        <v>30</v>
      </c>
      <c r="P47" s="1" t="n">
        <v>2999.7</v>
      </c>
      <c r="Q47" s="1" t="n">
        <v>6999.3</v>
      </c>
      <c r="R47" s="1" t="n">
        <v>1259.87</v>
      </c>
      <c r="S47" s="1" t="n">
        <v>5739.43</v>
      </c>
      <c r="T47" s="1" t="n">
        <v>2797.85</v>
      </c>
      <c r="U47" s="1" t="n">
        <v>2941.58</v>
      </c>
      <c r="V47" s="1" t="n">
        <v>51.25</v>
      </c>
      <c r="W47" s="1" t="s">
        <v>39</v>
      </c>
      <c r="X47" s="1" t="n">
        <v>3.1</v>
      </c>
      <c r="Y47" s="1" t="s">
        <v>40</v>
      </c>
      <c r="Z47" s="1" t="n">
        <v>0</v>
      </c>
    </row>
    <row r="48" customFormat="false" ht="15" hidden="false" customHeight="true" outlineLevel="0" collapsed="false">
      <c r="A48" s="1" t="s">
        <v>226</v>
      </c>
      <c r="B48" s="1" t="s">
        <v>227</v>
      </c>
      <c r="C48" s="1" t="s">
        <v>134</v>
      </c>
      <c r="D48" s="1" t="s">
        <v>123</v>
      </c>
      <c r="E48" s="1" t="s">
        <v>124</v>
      </c>
      <c r="F48" s="1" t="s">
        <v>187</v>
      </c>
      <c r="G48" s="1" t="s">
        <v>97</v>
      </c>
      <c r="H48" s="1" t="s">
        <v>69</v>
      </c>
      <c r="I48" s="1" t="s">
        <v>83</v>
      </c>
      <c r="J48" s="1" t="s">
        <v>35</v>
      </c>
      <c r="K48" s="1" t="s">
        <v>71</v>
      </c>
      <c r="L48" s="1" t="s">
        <v>136</v>
      </c>
      <c r="M48" s="1" t="s">
        <v>62</v>
      </c>
      <c r="N48" s="1" t="n">
        <v>4999</v>
      </c>
      <c r="O48" s="1" t="n">
        <v>0</v>
      </c>
      <c r="P48" s="1" t="n">
        <v>0</v>
      </c>
      <c r="Q48" s="1" t="n">
        <v>4999</v>
      </c>
      <c r="R48" s="1" t="n">
        <v>899.82</v>
      </c>
      <c r="S48" s="1" t="n">
        <v>4099.18</v>
      </c>
      <c r="T48" s="1" t="n">
        <v>1743.29</v>
      </c>
      <c r="U48" s="1" t="n">
        <v>2355.89</v>
      </c>
      <c r="V48" s="1" t="n">
        <v>57.47</v>
      </c>
      <c r="W48" s="1" t="s">
        <v>39</v>
      </c>
      <c r="X48" s="1" t="n">
        <v>3.1</v>
      </c>
      <c r="Y48" s="1" t="s">
        <v>40</v>
      </c>
      <c r="Z48" s="1" t="n">
        <v>0</v>
      </c>
    </row>
    <row r="49" customFormat="false" ht="15" hidden="false" customHeight="true" outlineLevel="0" collapsed="false">
      <c r="A49" s="1" t="s">
        <v>228</v>
      </c>
      <c r="B49" s="1" t="s">
        <v>229</v>
      </c>
      <c r="C49" s="1" t="s">
        <v>139</v>
      </c>
      <c r="D49" s="1" t="s">
        <v>44</v>
      </c>
      <c r="E49" s="1" t="s">
        <v>45</v>
      </c>
      <c r="F49" s="1" t="s">
        <v>67</v>
      </c>
      <c r="G49" s="1" t="s">
        <v>68</v>
      </c>
      <c r="H49" s="1" t="s">
        <v>69</v>
      </c>
      <c r="I49" s="1" t="s">
        <v>58</v>
      </c>
      <c r="J49" s="1" t="s">
        <v>70</v>
      </c>
      <c r="K49" s="1" t="s">
        <v>60</v>
      </c>
      <c r="L49" s="1" t="s">
        <v>136</v>
      </c>
      <c r="M49" s="1" t="s">
        <v>38</v>
      </c>
      <c r="N49" s="1" t="n">
        <v>11999</v>
      </c>
      <c r="O49" s="1" t="n">
        <v>10</v>
      </c>
      <c r="P49" s="1" t="n">
        <v>1199.9</v>
      </c>
      <c r="Q49" s="1" t="n">
        <v>10799.1</v>
      </c>
      <c r="R49" s="1" t="n">
        <v>1943.84</v>
      </c>
      <c r="S49" s="1" t="n">
        <v>8855.26</v>
      </c>
      <c r="T49" s="1" t="n">
        <v>4140.28</v>
      </c>
      <c r="U49" s="1" t="n">
        <v>4714.98</v>
      </c>
      <c r="V49" s="1" t="n">
        <v>53.24</v>
      </c>
      <c r="W49" s="1" t="s">
        <v>39</v>
      </c>
      <c r="Y49" s="1" t="s">
        <v>40</v>
      </c>
      <c r="Z49" s="1" t="n">
        <v>0</v>
      </c>
    </row>
    <row r="50" customFormat="false" ht="15" hidden="false" customHeight="true" outlineLevel="0" collapsed="false">
      <c r="A50" s="1" t="s">
        <v>230</v>
      </c>
      <c r="B50" s="1" t="s">
        <v>127</v>
      </c>
      <c r="C50" s="1" t="s">
        <v>43</v>
      </c>
      <c r="D50" s="1" t="s">
        <v>80</v>
      </c>
      <c r="E50" s="1" t="s">
        <v>193</v>
      </c>
      <c r="F50" s="1" t="s">
        <v>187</v>
      </c>
      <c r="G50" s="1" t="s">
        <v>97</v>
      </c>
      <c r="H50" s="1" t="s">
        <v>69</v>
      </c>
      <c r="I50" s="1" t="s">
        <v>34</v>
      </c>
      <c r="J50" s="1" t="s">
        <v>131</v>
      </c>
      <c r="K50" s="1" t="s">
        <v>90</v>
      </c>
      <c r="L50" s="1" t="s">
        <v>37</v>
      </c>
      <c r="M50" s="1" t="s">
        <v>38</v>
      </c>
      <c r="N50" s="1" t="n">
        <v>8999</v>
      </c>
      <c r="O50" s="1" t="n">
        <v>0</v>
      </c>
      <c r="P50" s="1" t="n">
        <v>0</v>
      </c>
      <c r="Q50" s="1" t="n">
        <v>8999</v>
      </c>
      <c r="R50" s="1" t="n">
        <v>1619.82</v>
      </c>
      <c r="S50" s="1" t="n">
        <v>7379.18</v>
      </c>
      <c r="T50" s="1" t="n">
        <v>3259.12</v>
      </c>
      <c r="U50" s="1" t="n">
        <v>4120.06</v>
      </c>
      <c r="V50" s="1" t="n">
        <v>55.83</v>
      </c>
      <c r="W50" s="1" t="s">
        <v>39</v>
      </c>
      <c r="X50" s="1" t="n">
        <v>4.5</v>
      </c>
      <c r="Y50" s="1" t="s">
        <v>40</v>
      </c>
      <c r="Z50" s="1" t="n">
        <v>0</v>
      </c>
    </row>
    <row r="51" customFormat="false" ht="15" hidden="false" customHeight="true" outlineLevel="0" collapsed="false">
      <c r="A51" s="1" t="s">
        <v>231</v>
      </c>
      <c r="B51" s="1" t="s">
        <v>232</v>
      </c>
      <c r="C51" s="1" t="s">
        <v>167</v>
      </c>
      <c r="D51" s="1" t="s">
        <v>123</v>
      </c>
      <c r="E51" s="1" t="s">
        <v>233</v>
      </c>
      <c r="F51" s="1" t="s">
        <v>111</v>
      </c>
      <c r="G51" s="1" t="s">
        <v>56</v>
      </c>
      <c r="H51" s="1" t="s">
        <v>69</v>
      </c>
      <c r="I51" s="1" t="s">
        <v>34</v>
      </c>
      <c r="J51" s="1" t="s">
        <v>70</v>
      </c>
      <c r="K51" s="1" t="s">
        <v>112</v>
      </c>
      <c r="L51" s="1" t="s">
        <v>136</v>
      </c>
      <c r="M51" s="1" t="s">
        <v>38</v>
      </c>
      <c r="N51" s="1" t="n">
        <v>8999</v>
      </c>
      <c r="O51" s="1" t="n">
        <v>0</v>
      </c>
      <c r="P51" s="1" t="n">
        <v>0</v>
      </c>
      <c r="Q51" s="1" t="n">
        <v>8999</v>
      </c>
      <c r="R51" s="1" t="n">
        <v>1619.82</v>
      </c>
      <c r="S51" s="1" t="n">
        <v>7379.18</v>
      </c>
      <c r="T51" s="1" t="n">
        <v>2457.09</v>
      </c>
      <c r="U51" s="1" t="n">
        <v>4922.09</v>
      </c>
      <c r="V51" s="1" t="n">
        <v>66.7</v>
      </c>
      <c r="W51" s="1" t="s">
        <v>39</v>
      </c>
      <c r="X51" s="1" t="n">
        <v>3.8</v>
      </c>
      <c r="Y51" s="1" t="s">
        <v>40</v>
      </c>
      <c r="Z51" s="1" t="n">
        <v>0</v>
      </c>
    </row>
    <row r="52" customFormat="false" ht="15" hidden="false" customHeight="true" outlineLevel="0" collapsed="false">
      <c r="A52" s="1" t="s">
        <v>234</v>
      </c>
      <c r="B52" s="1" t="s">
        <v>235</v>
      </c>
      <c r="C52" s="1" t="s">
        <v>100</v>
      </c>
      <c r="D52" s="1" t="s">
        <v>94</v>
      </c>
      <c r="E52" s="1" t="s">
        <v>101</v>
      </c>
      <c r="F52" s="1" t="s">
        <v>125</v>
      </c>
      <c r="G52" s="1" t="s">
        <v>108</v>
      </c>
      <c r="H52" s="1" t="s">
        <v>69</v>
      </c>
      <c r="I52" s="1" t="s">
        <v>34</v>
      </c>
      <c r="J52" s="1" t="s">
        <v>59</v>
      </c>
      <c r="K52" s="1" t="s">
        <v>36</v>
      </c>
      <c r="L52" s="1" t="s">
        <v>61</v>
      </c>
      <c r="M52" s="1" t="s">
        <v>62</v>
      </c>
      <c r="N52" s="1" t="n">
        <v>14999</v>
      </c>
      <c r="O52" s="1" t="n">
        <v>15</v>
      </c>
      <c r="P52" s="1" t="n">
        <v>2249.85</v>
      </c>
      <c r="Q52" s="1" t="n">
        <v>12749.15</v>
      </c>
      <c r="R52" s="1" t="n">
        <v>2294.85</v>
      </c>
      <c r="S52" s="1" t="n">
        <v>10454.3</v>
      </c>
      <c r="T52" s="1" t="n">
        <v>3767.51</v>
      </c>
      <c r="U52" s="1" t="n">
        <v>6686.79</v>
      </c>
      <c r="V52" s="1" t="n">
        <v>63.96</v>
      </c>
      <c r="W52" s="1" t="s">
        <v>40</v>
      </c>
      <c r="Y52" s="1" t="s">
        <v>40</v>
      </c>
      <c r="Z52" s="1" t="n">
        <v>0</v>
      </c>
    </row>
    <row r="53" customFormat="false" ht="15" hidden="false" customHeight="true" outlineLevel="0" collapsed="false">
      <c r="A53" s="1" t="s">
        <v>236</v>
      </c>
      <c r="B53" s="1" t="s">
        <v>237</v>
      </c>
      <c r="C53" s="1" t="s">
        <v>43</v>
      </c>
      <c r="D53" s="1" t="s">
        <v>143</v>
      </c>
      <c r="E53" s="1" t="s">
        <v>210</v>
      </c>
      <c r="F53" s="1" t="s">
        <v>205</v>
      </c>
      <c r="G53" s="1" t="s">
        <v>56</v>
      </c>
      <c r="H53" s="1" t="s">
        <v>69</v>
      </c>
      <c r="I53" s="1" t="s">
        <v>58</v>
      </c>
      <c r="J53" s="1" t="s">
        <v>131</v>
      </c>
      <c r="K53" s="1" t="s">
        <v>48</v>
      </c>
      <c r="L53" s="1" t="s">
        <v>85</v>
      </c>
      <c r="M53" s="1" t="s">
        <v>38</v>
      </c>
      <c r="N53" s="1" t="n">
        <v>18999</v>
      </c>
      <c r="O53" s="1" t="n">
        <v>30</v>
      </c>
      <c r="P53" s="1" t="n">
        <v>5699.7</v>
      </c>
      <c r="Q53" s="1" t="n">
        <v>13299.3</v>
      </c>
      <c r="R53" s="1" t="n">
        <v>2393.87</v>
      </c>
      <c r="S53" s="1" t="n">
        <v>10905.43</v>
      </c>
      <c r="T53" s="1" t="n">
        <v>3801</v>
      </c>
      <c r="U53" s="1" t="n">
        <v>7104.43</v>
      </c>
      <c r="V53" s="1" t="n">
        <v>65.15</v>
      </c>
      <c r="W53" s="1" t="s">
        <v>40</v>
      </c>
      <c r="Y53" s="1" t="s">
        <v>40</v>
      </c>
      <c r="Z53" s="1" t="n">
        <v>0</v>
      </c>
    </row>
    <row r="54" customFormat="false" ht="15" hidden="false" customHeight="true" outlineLevel="0" collapsed="false">
      <c r="A54" s="1" t="s">
        <v>238</v>
      </c>
      <c r="B54" s="1" t="s">
        <v>239</v>
      </c>
      <c r="C54" s="1" t="s">
        <v>88</v>
      </c>
      <c r="D54" s="1" t="s">
        <v>168</v>
      </c>
      <c r="E54" s="1" t="s">
        <v>197</v>
      </c>
      <c r="F54" s="1" t="s">
        <v>194</v>
      </c>
      <c r="G54" s="1" t="s">
        <v>103</v>
      </c>
      <c r="H54" s="1" t="s">
        <v>69</v>
      </c>
      <c r="I54" s="1" t="s">
        <v>34</v>
      </c>
      <c r="J54" s="1" t="s">
        <v>35</v>
      </c>
      <c r="K54" s="1" t="s">
        <v>104</v>
      </c>
      <c r="L54" s="1" t="s">
        <v>113</v>
      </c>
      <c r="M54" s="1" t="s">
        <v>62</v>
      </c>
      <c r="N54" s="1" t="n">
        <v>8499</v>
      </c>
      <c r="O54" s="1" t="n">
        <v>20</v>
      </c>
      <c r="P54" s="1" t="n">
        <v>1699.8</v>
      </c>
      <c r="Q54" s="1" t="n">
        <v>6799.2</v>
      </c>
      <c r="R54" s="1" t="n">
        <v>1223.86</v>
      </c>
      <c r="S54" s="1" t="n">
        <v>5575.34</v>
      </c>
      <c r="T54" s="1" t="n">
        <v>2054.91</v>
      </c>
      <c r="U54" s="1" t="n">
        <v>3520.43</v>
      </c>
      <c r="V54" s="1" t="n">
        <v>63.14</v>
      </c>
      <c r="W54" s="1" t="s">
        <v>39</v>
      </c>
      <c r="X54" s="1" t="n">
        <v>3.6</v>
      </c>
      <c r="Y54" s="1" t="s">
        <v>40</v>
      </c>
      <c r="Z54" s="1" t="n">
        <v>0</v>
      </c>
    </row>
    <row r="55" customFormat="false" ht="15" hidden="false" customHeight="true" outlineLevel="0" collapsed="false">
      <c r="A55" s="1" t="s">
        <v>240</v>
      </c>
      <c r="B55" s="1" t="s">
        <v>241</v>
      </c>
      <c r="C55" s="1" t="s">
        <v>242</v>
      </c>
      <c r="D55" s="1" t="s">
        <v>143</v>
      </c>
      <c r="E55" s="1" t="s">
        <v>243</v>
      </c>
      <c r="F55" s="1" t="s">
        <v>244</v>
      </c>
      <c r="G55" s="1" t="s">
        <v>97</v>
      </c>
      <c r="H55" s="1" t="s">
        <v>57</v>
      </c>
      <c r="I55" s="1" t="s">
        <v>34</v>
      </c>
      <c r="J55" s="1" t="s">
        <v>77</v>
      </c>
      <c r="K55" s="1" t="s">
        <v>71</v>
      </c>
      <c r="L55" s="1" t="s">
        <v>113</v>
      </c>
      <c r="M55" s="1" t="s">
        <v>62</v>
      </c>
      <c r="N55" s="1" t="n">
        <v>22999</v>
      </c>
      <c r="O55" s="1" t="n">
        <v>15</v>
      </c>
      <c r="P55" s="1" t="n">
        <v>3449.85</v>
      </c>
      <c r="Q55" s="1" t="n">
        <v>19549.15</v>
      </c>
      <c r="R55" s="1" t="n">
        <v>3518.85</v>
      </c>
      <c r="S55" s="1" t="n">
        <v>16030.3</v>
      </c>
      <c r="T55" s="1" t="n">
        <v>7740.39</v>
      </c>
      <c r="U55" s="1" t="n">
        <v>8289.91</v>
      </c>
      <c r="V55" s="1" t="n">
        <v>51.71</v>
      </c>
      <c r="W55" s="1" t="s">
        <v>39</v>
      </c>
      <c r="X55" s="1" t="n">
        <v>4.5</v>
      </c>
      <c r="Y55" s="1" t="s">
        <v>40</v>
      </c>
      <c r="Z55" s="1" t="n">
        <v>0</v>
      </c>
    </row>
    <row r="56" customFormat="false" ht="15" hidden="false" customHeight="true" outlineLevel="0" collapsed="false">
      <c r="A56" s="1" t="s">
        <v>245</v>
      </c>
      <c r="B56" s="1" t="s">
        <v>246</v>
      </c>
      <c r="C56" s="1" t="s">
        <v>139</v>
      </c>
      <c r="D56" s="1" t="s">
        <v>123</v>
      </c>
      <c r="E56" s="1" t="s">
        <v>233</v>
      </c>
      <c r="F56" s="1" t="s">
        <v>31</v>
      </c>
      <c r="G56" s="1" t="s">
        <v>32</v>
      </c>
      <c r="H56" s="1" t="s">
        <v>33</v>
      </c>
      <c r="I56" s="1" t="s">
        <v>58</v>
      </c>
      <c r="J56" s="1" t="s">
        <v>77</v>
      </c>
      <c r="K56" s="1" t="s">
        <v>71</v>
      </c>
      <c r="L56" s="1" t="s">
        <v>37</v>
      </c>
      <c r="M56" s="1" t="s">
        <v>38</v>
      </c>
      <c r="N56" s="1" t="n">
        <v>8999</v>
      </c>
      <c r="O56" s="1" t="n">
        <v>0</v>
      </c>
      <c r="P56" s="1" t="n">
        <v>0</v>
      </c>
      <c r="Q56" s="1" t="n">
        <v>8999</v>
      </c>
      <c r="R56" s="1" t="n">
        <v>1619.82</v>
      </c>
      <c r="S56" s="1" t="n">
        <v>7379.18</v>
      </c>
      <c r="T56" s="1" t="n">
        <v>3525.06</v>
      </c>
      <c r="U56" s="1" t="n">
        <v>3854.12</v>
      </c>
      <c r="V56" s="1" t="n">
        <v>52.23</v>
      </c>
      <c r="W56" s="1" t="s">
        <v>39</v>
      </c>
      <c r="X56" s="1" t="n">
        <v>3.3</v>
      </c>
      <c r="Y56" s="1" t="s">
        <v>40</v>
      </c>
      <c r="Z56" s="1" t="n">
        <v>0</v>
      </c>
    </row>
    <row r="57" customFormat="false" ht="15" hidden="false" customHeight="true" outlineLevel="0" collapsed="false">
      <c r="A57" s="1" t="s">
        <v>247</v>
      </c>
      <c r="B57" s="1" t="s">
        <v>248</v>
      </c>
      <c r="C57" s="1" t="s">
        <v>249</v>
      </c>
      <c r="D57" s="1" t="s">
        <v>53</v>
      </c>
      <c r="E57" s="1" t="s">
        <v>54</v>
      </c>
      <c r="F57" s="1" t="s">
        <v>107</v>
      </c>
      <c r="G57" s="1" t="s">
        <v>108</v>
      </c>
      <c r="H57" s="1" t="s">
        <v>33</v>
      </c>
      <c r="I57" s="1" t="s">
        <v>58</v>
      </c>
      <c r="J57" s="1" t="s">
        <v>77</v>
      </c>
      <c r="K57" s="1" t="s">
        <v>90</v>
      </c>
      <c r="L57" s="1" t="s">
        <v>37</v>
      </c>
      <c r="M57" s="1" t="s">
        <v>62</v>
      </c>
      <c r="N57" s="1" t="n">
        <v>11999</v>
      </c>
      <c r="O57" s="1" t="n">
        <v>40</v>
      </c>
      <c r="P57" s="1" t="n">
        <v>4799.6</v>
      </c>
      <c r="Q57" s="1" t="n">
        <v>7199.4</v>
      </c>
      <c r="R57" s="1" t="n">
        <v>1295.89</v>
      </c>
      <c r="S57" s="1" t="n">
        <v>5903.51</v>
      </c>
      <c r="T57" s="1" t="n">
        <v>3463.78</v>
      </c>
      <c r="U57" s="1" t="n">
        <v>2439.73</v>
      </c>
      <c r="V57" s="1" t="n">
        <v>41.33</v>
      </c>
      <c r="W57" s="1" t="s">
        <v>39</v>
      </c>
      <c r="X57" s="1" t="n">
        <v>3.3</v>
      </c>
      <c r="Y57" s="1" t="s">
        <v>40</v>
      </c>
      <c r="Z57" s="1" t="n">
        <v>0</v>
      </c>
    </row>
    <row r="58" customFormat="false" ht="15" hidden="false" customHeight="true" outlineLevel="0" collapsed="false">
      <c r="A58" s="1" t="s">
        <v>250</v>
      </c>
      <c r="B58" s="1" t="s">
        <v>251</v>
      </c>
      <c r="C58" s="1" t="s">
        <v>167</v>
      </c>
      <c r="D58" s="1" t="s">
        <v>53</v>
      </c>
      <c r="E58" s="1" t="s">
        <v>54</v>
      </c>
      <c r="F58" s="1" t="s">
        <v>107</v>
      </c>
      <c r="G58" s="1" t="s">
        <v>108</v>
      </c>
      <c r="H58" s="1" t="s">
        <v>33</v>
      </c>
      <c r="I58" s="1" t="s">
        <v>83</v>
      </c>
      <c r="J58" s="1" t="s">
        <v>131</v>
      </c>
      <c r="K58" s="1" t="s">
        <v>90</v>
      </c>
      <c r="L58" s="1" t="s">
        <v>136</v>
      </c>
      <c r="M58" s="1" t="s">
        <v>50</v>
      </c>
      <c r="N58" s="1" t="n">
        <v>11999</v>
      </c>
      <c r="O58" s="1" t="n">
        <v>0</v>
      </c>
      <c r="P58" s="1" t="n">
        <v>0</v>
      </c>
      <c r="Q58" s="1" t="n">
        <v>11999</v>
      </c>
      <c r="R58" s="1" t="n">
        <v>2159.82</v>
      </c>
      <c r="S58" s="1" t="n">
        <v>9839.18</v>
      </c>
      <c r="T58" s="1" t="n">
        <v>4296.21</v>
      </c>
      <c r="U58" s="1" t="n">
        <v>5542.97</v>
      </c>
      <c r="V58" s="1" t="n">
        <v>56.34</v>
      </c>
      <c r="W58" s="1" t="s">
        <v>40</v>
      </c>
      <c r="Y58" s="1" t="s">
        <v>40</v>
      </c>
      <c r="Z58" s="1" t="n">
        <v>0</v>
      </c>
    </row>
    <row r="59" customFormat="false" ht="15" hidden="false" customHeight="true" outlineLevel="0" collapsed="false">
      <c r="A59" s="1" t="s">
        <v>252</v>
      </c>
      <c r="B59" s="1" t="s">
        <v>253</v>
      </c>
      <c r="C59" s="1" t="s">
        <v>178</v>
      </c>
      <c r="D59" s="1" t="s">
        <v>44</v>
      </c>
      <c r="E59" s="1" t="s">
        <v>66</v>
      </c>
      <c r="F59" s="1" t="s">
        <v>96</v>
      </c>
      <c r="G59" s="1" t="s">
        <v>97</v>
      </c>
      <c r="H59" s="1" t="s">
        <v>69</v>
      </c>
      <c r="I59" s="1" t="s">
        <v>58</v>
      </c>
      <c r="J59" s="1" t="s">
        <v>131</v>
      </c>
      <c r="K59" s="1" t="s">
        <v>60</v>
      </c>
      <c r="L59" s="1" t="s">
        <v>49</v>
      </c>
      <c r="M59" s="1" t="s">
        <v>62</v>
      </c>
      <c r="N59" s="1" t="n">
        <v>12999</v>
      </c>
      <c r="O59" s="1" t="n">
        <v>40</v>
      </c>
      <c r="P59" s="1" t="n">
        <v>5199.6</v>
      </c>
      <c r="Q59" s="1" t="n">
        <v>7799.4</v>
      </c>
      <c r="R59" s="1" t="n">
        <v>1403.89</v>
      </c>
      <c r="S59" s="1" t="n">
        <v>6395.51</v>
      </c>
      <c r="T59" s="1" t="n">
        <v>3096.5</v>
      </c>
      <c r="U59" s="1" t="n">
        <v>3299.01</v>
      </c>
      <c r="V59" s="1" t="n">
        <v>51.58</v>
      </c>
      <c r="W59" s="1" t="s">
        <v>40</v>
      </c>
      <c r="Y59" s="1" t="s">
        <v>40</v>
      </c>
      <c r="Z59" s="1" t="n">
        <v>0</v>
      </c>
    </row>
    <row r="60" customFormat="false" ht="15" hidden="false" customHeight="true" outlineLevel="0" collapsed="false">
      <c r="A60" s="1" t="s">
        <v>254</v>
      </c>
      <c r="B60" s="1" t="s">
        <v>255</v>
      </c>
      <c r="C60" s="1" t="s">
        <v>139</v>
      </c>
      <c r="D60" s="1" t="s">
        <v>29</v>
      </c>
      <c r="E60" s="1" t="s">
        <v>30</v>
      </c>
      <c r="F60" s="1" t="s">
        <v>125</v>
      </c>
      <c r="G60" s="1" t="s">
        <v>108</v>
      </c>
      <c r="H60" s="1" t="s">
        <v>69</v>
      </c>
      <c r="I60" s="1" t="s">
        <v>83</v>
      </c>
      <c r="J60" s="1" t="s">
        <v>70</v>
      </c>
      <c r="K60" s="1" t="s">
        <v>71</v>
      </c>
      <c r="L60" s="1" t="s">
        <v>49</v>
      </c>
      <c r="M60" s="1" t="s">
        <v>38</v>
      </c>
      <c r="N60" s="1" t="n">
        <v>7999</v>
      </c>
      <c r="O60" s="1" t="n">
        <v>5</v>
      </c>
      <c r="P60" s="1" t="n">
        <v>399.95</v>
      </c>
      <c r="Q60" s="1" t="n">
        <v>7599.05</v>
      </c>
      <c r="R60" s="1" t="n">
        <v>1367.83</v>
      </c>
      <c r="S60" s="1" t="n">
        <v>6231.22</v>
      </c>
      <c r="T60" s="1" t="n">
        <v>2645.48</v>
      </c>
      <c r="U60" s="1" t="n">
        <v>3585.74</v>
      </c>
      <c r="V60" s="1" t="n">
        <v>57.54</v>
      </c>
      <c r="W60" s="1" t="s">
        <v>39</v>
      </c>
      <c r="X60" s="1" t="n">
        <v>4.5</v>
      </c>
      <c r="Y60" s="1" t="s">
        <v>40</v>
      </c>
      <c r="Z60" s="1" t="n">
        <v>0</v>
      </c>
    </row>
    <row r="61" customFormat="false" ht="15" hidden="false" customHeight="true" outlineLevel="0" collapsed="false">
      <c r="A61" s="1" t="s">
        <v>256</v>
      </c>
      <c r="B61" s="1" t="s">
        <v>257</v>
      </c>
      <c r="C61" s="1" t="s">
        <v>167</v>
      </c>
      <c r="D61" s="1" t="s">
        <v>29</v>
      </c>
      <c r="E61" s="1" t="s">
        <v>129</v>
      </c>
      <c r="F61" s="1" t="s">
        <v>67</v>
      </c>
      <c r="G61" s="1" t="s">
        <v>68</v>
      </c>
      <c r="H61" s="1" t="s">
        <v>69</v>
      </c>
      <c r="I61" s="1" t="s">
        <v>34</v>
      </c>
      <c r="J61" s="1" t="s">
        <v>77</v>
      </c>
      <c r="K61" s="1" t="s">
        <v>90</v>
      </c>
      <c r="L61" s="1" t="s">
        <v>49</v>
      </c>
      <c r="M61" s="1" t="s">
        <v>62</v>
      </c>
      <c r="N61" s="1" t="n">
        <v>29999</v>
      </c>
      <c r="O61" s="1" t="n">
        <v>40</v>
      </c>
      <c r="P61" s="1" t="n">
        <v>11999.6</v>
      </c>
      <c r="Q61" s="1" t="n">
        <v>17999.4</v>
      </c>
      <c r="R61" s="1" t="n">
        <v>3239.89</v>
      </c>
      <c r="S61" s="1" t="n">
        <v>14759.51</v>
      </c>
      <c r="T61" s="1" t="n">
        <v>8037.87</v>
      </c>
      <c r="U61" s="1" t="n">
        <v>6721.64</v>
      </c>
      <c r="V61" s="1" t="n">
        <v>45.54</v>
      </c>
      <c r="W61" s="1" t="s">
        <v>39</v>
      </c>
      <c r="X61" s="1" t="n">
        <v>3.6</v>
      </c>
      <c r="Y61" s="1" t="s">
        <v>40</v>
      </c>
      <c r="Z61" s="1" t="n">
        <v>0</v>
      </c>
    </row>
    <row r="62" customFormat="false" ht="15" hidden="false" customHeight="true" outlineLevel="0" collapsed="false">
      <c r="A62" s="1" t="s">
        <v>258</v>
      </c>
      <c r="B62" s="1" t="s">
        <v>259</v>
      </c>
      <c r="C62" s="1" t="s">
        <v>100</v>
      </c>
      <c r="D62" s="1" t="s">
        <v>123</v>
      </c>
      <c r="E62" s="1" t="s">
        <v>233</v>
      </c>
      <c r="F62" s="1" t="s">
        <v>184</v>
      </c>
      <c r="G62" s="1" t="s">
        <v>56</v>
      </c>
      <c r="H62" s="1" t="s">
        <v>57</v>
      </c>
      <c r="I62" s="1" t="s">
        <v>34</v>
      </c>
      <c r="J62" s="1" t="s">
        <v>35</v>
      </c>
      <c r="K62" s="1" t="s">
        <v>36</v>
      </c>
      <c r="L62" s="1" t="s">
        <v>49</v>
      </c>
      <c r="M62" s="1" t="s">
        <v>62</v>
      </c>
      <c r="N62" s="1" t="n">
        <v>8999</v>
      </c>
      <c r="O62" s="1" t="n">
        <v>50</v>
      </c>
      <c r="P62" s="1" t="n">
        <v>4499.5</v>
      </c>
      <c r="Q62" s="1" t="n">
        <v>4499.5</v>
      </c>
      <c r="R62" s="1" t="n">
        <v>809.91</v>
      </c>
      <c r="S62" s="1" t="n">
        <v>3689.59</v>
      </c>
      <c r="T62" s="1" t="n">
        <v>1907.33</v>
      </c>
      <c r="U62" s="1" t="n">
        <v>1782.26</v>
      </c>
      <c r="V62" s="1" t="n">
        <v>48.31</v>
      </c>
      <c r="W62" s="1" t="s">
        <v>40</v>
      </c>
      <c r="Y62" s="1" t="s">
        <v>40</v>
      </c>
      <c r="Z62" s="1" t="n">
        <v>1</v>
      </c>
    </row>
    <row r="63" customFormat="false" ht="15" hidden="false" customHeight="true" outlineLevel="0" collapsed="false">
      <c r="A63" s="1" t="s">
        <v>260</v>
      </c>
      <c r="B63" s="1" t="s">
        <v>261</v>
      </c>
      <c r="C63" s="1" t="s">
        <v>65</v>
      </c>
      <c r="D63" s="1" t="s">
        <v>53</v>
      </c>
      <c r="E63" s="1" t="s">
        <v>216</v>
      </c>
      <c r="F63" s="1" t="s">
        <v>194</v>
      </c>
      <c r="G63" s="1" t="s">
        <v>103</v>
      </c>
      <c r="H63" s="1" t="s">
        <v>69</v>
      </c>
      <c r="I63" s="1" t="s">
        <v>58</v>
      </c>
      <c r="J63" s="1" t="s">
        <v>70</v>
      </c>
      <c r="K63" s="1" t="s">
        <v>104</v>
      </c>
      <c r="L63" s="1" t="s">
        <v>49</v>
      </c>
      <c r="M63" s="1" t="s">
        <v>38</v>
      </c>
      <c r="N63" s="1" t="n">
        <v>7499</v>
      </c>
      <c r="O63" s="1" t="n">
        <v>50</v>
      </c>
      <c r="P63" s="1" t="n">
        <v>3749.5</v>
      </c>
      <c r="Q63" s="1" t="n">
        <v>3749.5</v>
      </c>
      <c r="R63" s="1" t="n">
        <v>674.91</v>
      </c>
      <c r="S63" s="1" t="n">
        <v>3074.59</v>
      </c>
      <c r="T63" s="1" t="n">
        <v>1257.82</v>
      </c>
      <c r="U63" s="1" t="n">
        <v>1816.77</v>
      </c>
      <c r="V63" s="1" t="n">
        <v>59.09</v>
      </c>
      <c r="W63" s="1" t="s">
        <v>39</v>
      </c>
      <c r="X63" s="1" t="n">
        <v>3.7</v>
      </c>
      <c r="Y63" s="1" t="s">
        <v>40</v>
      </c>
      <c r="Z63" s="1" t="n">
        <v>0</v>
      </c>
    </row>
    <row r="64" customFormat="false" ht="15" hidden="false" customHeight="true" outlineLevel="0" collapsed="false">
      <c r="A64" s="1" t="s">
        <v>262</v>
      </c>
      <c r="B64" s="1" t="s">
        <v>263</v>
      </c>
      <c r="C64" s="1" t="s">
        <v>264</v>
      </c>
      <c r="D64" s="1" t="s">
        <v>53</v>
      </c>
      <c r="E64" s="1" t="s">
        <v>116</v>
      </c>
      <c r="F64" s="1" t="s">
        <v>107</v>
      </c>
      <c r="G64" s="1" t="s">
        <v>108</v>
      </c>
      <c r="H64" s="1" t="s">
        <v>33</v>
      </c>
      <c r="I64" s="1" t="s">
        <v>83</v>
      </c>
      <c r="J64" s="1" t="s">
        <v>70</v>
      </c>
      <c r="K64" s="1" t="s">
        <v>48</v>
      </c>
      <c r="L64" s="1" t="s">
        <v>136</v>
      </c>
      <c r="M64" s="1" t="s">
        <v>38</v>
      </c>
      <c r="N64" s="1" t="n">
        <v>9999</v>
      </c>
      <c r="O64" s="1" t="n">
        <v>20</v>
      </c>
      <c r="P64" s="1" t="n">
        <v>1999.8</v>
      </c>
      <c r="Q64" s="1" t="n">
        <v>7999.2</v>
      </c>
      <c r="R64" s="1" t="n">
        <v>1439.86</v>
      </c>
      <c r="S64" s="1" t="n">
        <v>6559.34</v>
      </c>
      <c r="T64" s="1" t="n">
        <v>2560.13</v>
      </c>
      <c r="U64" s="1" t="n">
        <v>3999.21</v>
      </c>
      <c r="V64" s="1" t="n">
        <v>60.97</v>
      </c>
      <c r="W64" s="1" t="s">
        <v>40</v>
      </c>
      <c r="Y64" s="1" t="s">
        <v>39</v>
      </c>
      <c r="Z64" s="1" t="n">
        <v>1</v>
      </c>
    </row>
    <row r="65" customFormat="false" ht="15" hidden="false" customHeight="true" outlineLevel="0" collapsed="false">
      <c r="A65" s="1" t="s">
        <v>265</v>
      </c>
      <c r="B65" s="1" t="s">
        <v>266</v>
      </c>
      <c r="C65" s="1" t="s">
        <v>134</v>
      </c>
      <c r="D65" s="1" t="s">
        <v>29</v>
      </c>
      <c r="E65" s="1" t="s">
        <v>182</v>
      </c>
      <c r="F65" s="1" t="s">
        <v>107</v>
      </c>
      <c r="G65" s="1" t="s">
        <v>108</v>
      </c>
      <c r="H65" s="1" t="s">
        <v>33</v>
      </c>
      <c r="I65" s="1" t="s">
        <v>83</v>
      </c>
      <c r="J65" s="1" t="s">
        <v>77</v>
      </c>
      <c r="K65" s="1" t="s">
        <v>104</v>
      </c>
      <c r="L65" s="1" t="s">
        <v>113</v>
      </c>
      <c r="M65" s="1" t="s">
        <v>62</v>
      </c>
      <c r="N65" s="1" t="n">
        <v>34999</v>
      </c>
      <c r="O65" s="1" t="n">
        <v>30</v>
      </c>
      <c r="P65" s="1" t="n">
        <v>10499.7</v>
      </c>
      <c r="Q65" s="1" t="n">
        <v>24499.3</v>
      </c>
      <c r="R65" s="1" t="n">
        <v>4409.87</v>
      </c>
      <c r="S65" s="1" t="n">
        <v>20089.43</v>
      </c>
      <c r="T65" s="1" t="n">
        <v>7641.14</v>
      </c>
      <c r="U65" s="1" t="n">
        <v>12448.29</v>
      </c>
      <c r="V65" s="1" t="n">
        <v>61.96</v>
      </c>
      <c r="W65" s="1" t="s">
        <v>39</v>
      </c>
      <c r="X65" s="1" t="n">
        <v>3.9</v>
      </c>
      <c r="Y65" s="1" t="s">
        <v>40</v>
      </c>
      <c r="Z65" s="1" t="n">
        <v>0</v>
      </c>
    </row>
    <row r="66" customFormat="false" ht="15" hidden="false" customHeight="true" outlineLevel="0" collapsed="false">
      <c r="A66" s="1" t="s">
        <v>267</v>
      </c>
      <c r="B66" s="1" t="s">
        <v>268</v>
      </c>
      <c r="C66" s="1" t="s">
        <v>65</v>
      </c>
      <c r="D66" s="1" t="s">
        <v>29</v>
      </c>
      <c r="E66" s="1" t="s">
        <v>30</v>
      </c>
      <c r="F66" s="1" t="s">
        <v>269</v>
      </c>
      <c r="G66" s="1" t="s">
        <v>108</v>
      </c>
      <c r="H66" s="1" t="s">
        <v>57</v>
      </c>
      <c r="I66" s="1" t="s">
        <v>34</v>
      </c>
      <c r="J66" s="1" t="s">
        <v>77</v>
      </c>
      <c r="K66" s="1" t="s">
        <v>104</v>
      </c>
      <c r="L66" s="1" t="s">
        <v>113</v>
      </c>
      <c r="M66" s="1" t="s">
        <v>38</v>
      </c>
      <c r="N66" s="1" t="n">
        <v>7999</v>
      </c>
      <c r="O66" s="1" t="n">
        <v>25</v>
      </c>
      <c r="P66" s="1" t="n">
        <v>1999.75</v>
      </c>
      <c r="Q66" s="1" t="n">
        <v>5999.25</v>
      </c>
      <c r="R66" s="1" t="n">
        <v>1079.87</v>
      </c>
      <c r="S66" s="1" t="n">
        <v>4919.38</v>
      </c>
      <c r="T66" s="1" t="n">
        <v>1713.33</v>
      </c>
      <c r="U66" s="1" t="n">
        <v>3206.05</v>
      </c>
      <c r="V66" s="1" t="n">
        <v>65.17</v>
      </c>
      <c r="W66" s="1" t="s">
        <v>40</v>
      </c>
      <c r="Y66" s="1" t="s">
        <v>40</v>
      </c>
      <c r="Z66" s="1" t="n">
        <v>0</v>
      </c>
    </row>
    <row r="67" customFormat="false" ht="15" hidden="false" customHeight="true" outlineLevel="0" collapsed="false">
      <c r="A67" s="1" t="s">
        <v>270</v>
      </c>
      <c r="B67" s="1" t="s">
        <v>87</v>
      </c>
      <c r="C67" s="1" t="s">
        <v>167</v>
      </c>
      <c r="D67" s="1" t="s">
        <v>80</v>
      </c>
      <c r="E67" s="1" t="s">
        <v>190</v>
      </c>
      <c r="F67" s="1" t="s">
        <v>75</v>
      </c>
      <c r="G67" s="1" t="s">
        <v>76</v>
      </c>
      <c r="H67" s="1" t="s">
        <v>69</v>
      </c>
      <c r="I67" s="1" t="s">
        <v>58</v>
      </c>
      <c r="J67" s="1" t="s">
        <v>35</v>
      </c>
      <c r="K67" s="1" t="s">
        <v>84</v>
      </c>
      <c r="L67" s="1" t="s">
        <v>61</v>
      </c>
      <c r="M67" s="1" t="s">
        <v>50</v>
      </c>
      <c r="N67" s="1" t="n">
        <v>15999</v>
      </c>
      <c r="O67" s="1" t="n">
        <v>0</v>
      </c>
      <c r="P67" s="1" t="n">
        <v>0</v>
      </c>
      <c r="Q67" s="1" t="n">
        <v>15999</v>
      </c>
      <c r="R67" s="1" t="n">
        <v>2879.82</v>
      </c>
      <c r="S67" s="1" t="n">
        <v>13119.18</v>
      </c>
      <c r="T67" s="1" t="n">
        <v>4948.23</v>
      </c>
      <c r="U67" s="1" t="n">
        <v>8170.95</v>
      </c>
      <c r="V67" s="1" t="n">
        <v>62.28</v>
      </c>
      <c r="W67" s="1" t="s">
        <v>39</v>
      </c>
      <c r="X67" s="1" t="n">
        <v>4.5</v>
      </c>
      <c r="Y67" s="1" t="s">
        <v>40</v>
      </c>
      <c r="Z67" s="1" t="n">
        <v>0</v>
      </c>
    </row>
    <row r="68" customFormat="false" ht="15" hidden="false" customHeight="true" outlineLevel="0" collapsed="false">
      <c r="A68" s="1" t="s">
        <v>271</v>
      </c>
      <c r="B68" s="1" t="s">
        <v>207</v>
      </c>
      <c r="C68" s="1" t="s">
        <v>88</v>
      </c>
      <c r="D68" s="1" t="s">
        <v>143</v>
      </c>
      <c r="E68" s="1" t="s">
        <v>144</v>
      </c>
      <c r="F68" s="1" t="s">
        <v>156</v>
      </c>
      <c r="G68" s="1" t="s">
        <v>68</v>
      </c>
      <c r="H68" s="1" t="s">
        <v>57</v>
      </c>
      <c r="I68" s="1" t="s">
        <v>58</v>
      </c>
      <c r="J68" s="1" t="s">
        <v>59</v>
      </c>
      <c r="K68" s="1" t="s">
        <v>48</v>
      </c>
      <c r="L68" s="1" t="s">
        <v>85</v>
      </c>
      <c r="M68" s="1" t="s">
        <v>38</v>
      </c>
      <c r="N68" s="1" t="n">
        <v>12999</v>
      </c>
      <c r="O68" s="1" t="n">
        <v>0</v>
      </c>
      <c r="P68" s="1" t="n">
        <v>0</v>
      </c>
      <c r="Q68" s="1" t="n">
        <v>12999</v>
      </c>
      <c r="R68" s="1" t="n">
        <v>2339.82</v>
      </c>
      <c r="S68" s="1" t="n">
        <v>10659.18</v>
      </c>
      <c r="T68" s="1" t="n">
        <v>3905.05</v>
      </c>
      <c r="U68" s="1" t="n">
        <v>6754.13</v>
      </c>
      <c r="V68" s="1" t="n">
        <v>63.36</v>
      </c>
      <c r="W68" s="1" t="s">
        <v>40</v>
      </c>
      <c r="Y68" s="1" t="s">
        <v>40</v>
      </c>
      <c r="Z68" s="1" t="n">
        <v>3</v>
      </c>
    </row>
    <row r="69" customFormat="false" ht="15" hidden="false" customHeight="true" outlineLevel="0" collapsed="false">
      <c r="A69" s="1" t="s">
        <v>272</v>
      </c>
      <c r="B69" s="1" t="s">
        <v>273</v>
      </c>
      <c r="C69" s="1" t="s">
        <v>128</v>
      </c>
      <c r="D69" s="1" t="s">
        <v>53</v>
      </c>
      <c r="E69" s="1" t="s">
        <v>216</v>
      </c>
      <c r="F69" s="1" t="s">
        <v>244</v>
      </c>
      <c r="G69" s="1" t="s">
        <v>97</v>
      </c>
      <c r="H69" s="1" t="s">
        <v>57</v>
      </c>
      <c r="I69" s="1" t="s">
        <v>58</v>
      </c>
      <c r="J69" s="1" t="s">
        <v>70</v>
      </c>
      <c r="K69" s="1" t="s">
        <v>48</v>
      </c>
      <c r="L69" s="1" t="s">
        <v>136</v>
      </c>
      <c r="M69" s="1" t="s">
        <v>62</v>
      </c>
      <c r="N69" s="1" t="n">
        <v>7499</v>
      </c>
      <c r="O69" s="1" t="n">
        <v>0</v>
      </c>
      <c r="P69" s="1" t="n">
        <v>0</v>
      </c>
      <c r="Q69" s="1" t="n">
        <v>7499</v>
      </c>
      <c r="R69" s="1" t="n">
        <v>1349.82</v>
      </c>
      <c r="S69" s="1" t="n">
        <v>6149.18</v>
      </c>
      <c r="T69" s="1" t="n">
        <v>2922.4</v>
      </c>
      <c r="U69" s="1" t="n">
        <v>3226.78</v>
      </c>
      <c r="V69" s="1" t="n">
        <v>52.47</v>
      </c>
      <c r="W69" s="1" t="s">
        <v>39</v>
      </c>
      <c r="X69" s="1" t="n">
        <v>3.8</v>
      </c>
      <c r="Y69" s="1" t="s">
        <v>40</v>
      </c>
      <c r="Z69" s="1" t="n">
        <v>1</v>
      </c>
    </row>
    <row r="70" customFormat="false" ht="15" hidden="false" customHeight="true" outlineLevel="0" collapsed="false">
      <c r="A70" s="1" t="s">
        <v>274</v>
      </c>
      <c r="B70" s="1" t="s">
        <v>275</v>
      </c>
      <c r="C70" s="1" t="s">
        <v>139</v>
      </c>
      <c r="D70" s="1" t="s">
        <v>29</v>
      </c>
      <c r="E70" s="1" t="s">
        <v>129</v>
      </c>
      <c r="F70" s="1" t="s">
        <v>205</v>
      </c>
      <c r="G70" s="1" t="s">
        <v>56</v>
      </c>
      <c r="H70" s="1" t="s">
        <v>69</v>
      </c>
      <c r="I70" s="1" t="s">
        <v>58</v>
      </c>
      <c r="J70" s="1" t="s">
        <v>59</v>
      </c>
      <c r="K70" s="1" t="s">
        <v>112</v>
      </c>
      <c r="L70" s="1" t="s">
        <v>61</v>
      </c>
      <c r="M70" s="1" t="s">
        <v>62</v>
      </c>
      <c r="N70" s="1" t="n">
        <v>29999</v>
      </c>
      <c r="O70" s="1" t="n">
        <v>30</v>
      </c>
      <c r="P70" s="1" t="n">
        <v>8999.7</v>
      </c>
      <c r="Q70" s="1" t="n">
        <v>20999.3</v>
      </c>
      <c r="R70" s="1" t="n">
        <v>3779.87</v>
      </c>
      <c r="S70" s="1" t="n">
        <v>17219.43</v>
      </c>
      <c r="T70" s="1" t="n">
        <v>5854.24</v>
      </c>
      <c r="U70" s="1" t="n">
        <v>11365.19</v>
      </c>
      <c r="V70" s="1" t="n">
        <v>66</v>
      </c>
      <c r="W70" s="1" t="s">
        <v>39</v>
      </c>
      <c r="X70" s="1" t="n">
        <v>3.7</v>
      </c>
      <c r="Y70" s="1" t="s">
        <v>40</v>
      </c>
      <c r="Z70" s="1" t="n">
        <v>0</v>
      </c>
    </row>
    <row r="71" customFormat="false" ht="15" hidden="false" customHeight="true" outlineLevel="0" collapsed="false">
      <c r="A71" s="1" t="s">
        <v>276</v>
      </c>
      <c r="B71" s="1" t="s">
        <v>277</v>
      </c>
      <c r="C71" s="1" t="s">
        <v>100</v>
      </c>
      <c r="D71" s="1" t="s">
        <v>94</v>
      </c>
      <c r="E71" s="1" t="s">
        <v>101</v>
      </c>
      <c r="F71" s="1" t="s">
        <v>96</v>
      </c>
      <c r="G71" s="1" t="s">
        <v>97</v>
      </c>
      <c r="H71" s="1" t="s">
        <v>69</v>
      </c>
      <c r="I71" s="1" t="s">
        <v>58</v>
      </c>
      <c r="J71" s="1" t="s">
        <v>59</v>
      </c>
      <c r="K71" s="1" t="s">
        <v>36</v>
      </c>
      <c r="L71" s="1" t="s">
        <v>85</v>
      </c>
      <c r="M71" s="1" t="s">
        <v>50</v>
      </c>
      <c r="N71" s="1" t="n">
        <v>14999</v>
      </c>
      <c r="O71" s="1" t="n">
        <v>10</v>
      </c>
      <c r="P71" s="1" t="n">
        <v>1499.9</v>
      </c>
      <c r="Q71" s="1" t="n">
        <v>13499.1</v>
      </c>
      <c r="R71" s="1" t="n">
        <v>2429.84</v>
      </c>
      <c r="S71" s="1" t="n">
        <v>11069.26</v>
      </c>
      <c r="T71" s="1" t="n">
        <v>3872</v>
      </c>
      <c r="U71" s="1" t="n">
        <v>7197.26</v>
      </c>
      <c r="V71" s="1" t="n">
        <v>65.02</v>
      </c>
      <c r="W71" s="1" t="s">
        <v>39</v>
      </c>
      <c r="Y71" s="1" t="s">
        <v>40</v>
      </c>
      <c r="Z71" s="1" t="n">
        <v>0</v>
      </c>
    </row>
    <row r="72" customFormat="false" ht="15" hidden="false" customHeight="true" outlineLevel="0" collapsed="false">
      <c r="A72" s="1" t="s">
        <v>278</v>
      </c>
      <c r="B72" s="1" t="s">
        <v>279</v>
      </c>
      <c r="C72" s="1" t="s">
        <v>74</v>
      </c>
      <c r="D72" s="1" t="s">
        <v>123</v>
      </c>
      <c r="E72" s="1" t="s">
        <v>147</v>
      </c>
      <c r="F72" s="1" t="s">
        <v>211</v>
      </c>
      <c r="G72" s="1" t="s">
        <v>56</v>
      </c>
      <c r="H72" s="1" t="s">
        <v>69</v>
      </c>
      <c r="I72" s="1" t="s">
        <v>34</v>
      </c>
      <c r="J72" s="1" t="s">
        <v>77</v>
      </c>
      <c r="K72" s="1" t="s">
        <v>90</v>
      </c>
      <c r="L72" s="1" t="s">
        <v>61</v>
      </c>
      <c r="M72" s="1" t="s">
        <v>50</v>
      </c>
      <c r="N72" s="1" t="n">
        <v>6999</v>
      </c>
      <c r="O72" s="1" t="n">
        <v>0</v>
      </c>
      <c r="P72" s="1" t="n">
        <v>0</v>
      </c>
      <c r="Q72" s="1" t="n">
        <v>6999</v>
      </c>
      <c r="R72" s="1" t="n">
        <v>1259.82</v>
      </c>
      <c r="S72" s="1" t="n">
        <v>5739.18</v>
      </c>
      <c r="T72" s="1" t="n">
        <v>2961.7</v>
      </c>
      <c r="U72" s="1" t="n">
        <v>2777.48</v>
      </c>
      <c r="V72" s="1" t="n">
        <v>48.4</v>
      </c>
      <c r="W72" s="1" t="s">
        <v>40</v>
      </c>
      <c r="Y72" s="1" t="s">
        <v>40</v>
      </c>
      <c r="Z72" s="1" t="n">
        <v>1</v>
      </c>
    </row>
    <row r="73" customFormat="false" ht="15" hidden="false" customHeight="true" outlineLevel="0" collapsed="false">
      <c r="A73" s="1" t="s">
        <v>280</v>
      </c>
      <c r="B73" s="1" t="s">
        <v>281</v>
      </c>
      <c r="C73" s="1" t="s">
        <v>93</v>
      </c>
      <c r="D73" s="1" t="s">
        <v>168</v>
      </c>
      <c r="E73" s="1" t="s">
        <v>197</v>
      </c>
      <c r="F73" s="1" t="s">
        <v>120</v>
      </c>
      <c r="G73" s="1" t="s">
        <v>47</v>
      </c>
      <c r="H73" s="1" t="s">
        <v>57</v>
      </c>
      <c r="I73" s="1" t="s">
        <v>58</v>
      </c>
      <c r="J73" s="1" t="s">
        <v>131</v>
      </c>
      <c r="K73" s="1" t="s">
        <v>48</v>
      </c>
      <c r="L73" s="1" t="s">
        <v>85</v>
      </c>
      <c r="M73" s="1" t="s">
        <v>62</v>
      </c>
      <c r="N73" s="1" t="n">
        <v>8499</v>
      </c>
      <c r="O73" s="1" t="n">
        <v>20</v>
      </c>
      <c r="P73" s="1" t="n">
        <v>1699.8</v>
      </c>
      <c r="Q73" s="1" t="n">
        <v>6799.2</v>
      </c>
      <c r="R73" s="1" t="n">
        <v>1223.86</v>
      </c>
      <c r="S73" s="1" t="n">
        <v>5575.34</v>
      </c>
      <c r="T73" s="1" t="n">
        <v>2840.94</v>
      </c>
      <c r="U73" s="1" t="n">
        <v>2734.4</v>
      </c>
      <c r="V73" s="1" t="n">
        <v>49.04</v>
      </c>
      <c r="W73" s="1" t="s">
        <v>39</v>
      </c>
      <c r="X73" s="1" t="n">
        <v>4.2</v>
      </c>
      <c r="Y73" s="1" t="s">
        <v>40</v>
      </c>
      <c r="Z73" s="1" t="n">
        <v>0</v>
      </c>
    </row>
    <row r="74" customFormat="false" ht="15" hidden="false" customHeight="true" outlineLevel="0" collapsed="false">
      <c r="A74" s="1" t="s">
        <v>282</v>
      </c>
      <c r="B74" s="1" t="s">
        <v>277</v>
      </c>
      <c r="C74" s="1" t="s">
        <v>119</v>
      </c>
      <c r="D74" s="1" t="s">
        <v>168</v>
      </c>
      <c r="E74" s="1" t="s">
        <v>169</v>
      </c>
      <c r="F74" s="1" t="s">
        <v>89</v>
      </c>
      <c r="G74" s="1" t="s">
        <v>68</v>
      </c>
      <c r="H74" s="1" t="s">
        <v>33</v>
      </c>
      <c r="I74" s="1" t="s">
        <v>83</v>
      </c>
      <c r="J74" s="1" t="s">
        <v>77</v>
      </c>
      <c r="K74" s="1" t="s">
        <v>84</v>
      </c>
      <c r="L74" s="1" t="s">
        <v>61</v>
      </c>
      <c r="M74" s="1" t="s">
        <v>38</v>
      </c>
      <c r="N74" s="1" t="n">
        <v>4999</v>
      </c>
      <c r="O74" s="1" t="n">
        <v>10</v>
      </c>
      <c r="P74" s="1" t="n">
        <v>499.9</v>
      </c>
      <c r="Q74" s="1" t="n">
        <v>4499.1</v>
      </c>
      <c r="R74" s="1" t="n">
        <v>809.84</v>
      </c>
      <c r="S74" s="1" t="n">
        <v>3689.26</v>
      </c>
      <c r="T74" s="1" t="n">
        <v>1459.22</v>
      </c>
      <c r="U74" s="1" t="n">
        <v>2230.04</v>
      </c>
      <c r="V74" s="1" t="n">
        <v>60.45</v>
      </c>
      <c r="W74" s="1" t="s">
        <v>40</v>
      </c>
      <c r="Y74" s="1" t="s">
        <v>39</v>
      </c>
      <c r="Z74" s="1" t="n">
        <v>0</v>
      </c>
    </row>
    <row r="75" customFormat="false" ht="15" hidden="false" customHeight="true" outlineLevel="0" collapsed="false">
      <c r="A75" s="1" t="s">
        <v>283</v>
      </c>
      <c r="B75" s="1" t="s">
        <v>284</v>
      </c>
      <c r="C75" s="1" t="s">
        <v>100</v>
      </c>
      <c r="D75" s="1" t="s">
        <v>168</v>
      </c>
      <c r="E75" s="1" t="s">
        <v>169</v>
      </c>
      <c r="F75" s="1" t="s">
        <v>285</v>
      </c>
      <c r="G75" s="1" t="s">
        <v>47</v>
      </c>
      <c r="H75" s="1" t="s">
        <v>33</v>
      </c>
      <c r="I75" s="1" t="s">
        <v>58</v>
      </c>
      <c r="J75" s="1" t="s">
        <v>35</v>
      </c>
      <c r="K75" s="1" t="s">
        <v>104</v>
      </c>
      <c r="L75" s="1" t="s">
        <v>61</v>
      </c>
      <c r="M75" s="1" t="s">
        <v>62</v>
      </c>
      <c r="N75" s="1" t="n">
        <v>4999</v>
      </c>
      <c r="O75" s="1" t="n">
        <v>0</v>
      </c>
      <c r="P75" s="1" t="n">
        <v>0</v>
      </c>
      <c r="Q75" s="1" t="n">
        <v>4999</v>
      </c>
      <c r="R75" s="1" t="n">
        <v>899.82</v>
      </c>
      <c r="S75" s="1" t="n">
        <v>4099.18</v>
      </c>
      <c r="T75" s="1" t="n">
        <v>1644.12</v>
      </c>
      <c r="U75" s="1" t="n">
        <v>2455.06</v>
      </c>
      <c r="V75" s="1" t="n">
        <v>59.89</v>
      </c>
      <c r="W75" s="1" t="s">
        <v>40</v>
      </c>
      <c r="Y75" s="1" t="s">
        <v>40</v>
      </c>
      <c r="Z75" s="1" t="n">
        <v>0</v>
      </c>
    </row>
    <row r="76" customFormat="false" ht="15" hidden="false" customHeight="true" outlineLevel="0" collapsed="false">
      <c r="A76" s="1" t="s">
        <v>286</v>
      </c>
      <c r="B76" s="1" t="s">
        <v>220</v>
      </c>
      <c r="C76" s="1" t="s">
        <v>65</v>
      </c>
      <c r="D76" s="1" t="s">
        <v>168</v>
      </c>
      <c r="E76" s="1" t="s">
        <v>172</v>
      </c>
      <c r="F76" s="1" t="s">
        <v>244</v>
      </c>
      <c r="G76" s="1" t="s">
        <v>97</v>
      </c>
      <c r="H76" s="1" t="s">
        <v>57</v>
      </c>
      <c r="I76" s="1" t="s">
        <v>83</v>
      </c>
      <c r="J76" s="1" t="s">
        <v>70</v>
      </c>
      <c r="K76" s="1" t="s">
        <v>60</v>
      </c>
      <c r="L76" s="1" t="s">
        <v>61</v>
      </c>
      <c r="M76" s="1" t="s">
        <v>50</v>
      </c>
      <c r="N76" s="1" t="n">
        <v>6999</v>
      </c>
      <c r="O76" s="1" t="n">
        <v>10</v>
      </c>
      <c r="P76" s="1" t="n">
        <v>699.9</v>
      </c>
      <c r="Q76" s="1" t="n">
        <v>6299.1</v>
      </c>
      <c r="R76" s="1" t="n">
        <v>1133.84</v>
      </c>
      <c r="S76" s="1" t="n">
        <v>5165.26</v>
      </c>
      <c r="T76" s="1" t="n">
        <v>2396.43</v>
      </c>
      <c r="U76" s="1" t="n">
        <v>2768.83</v>
      </c>
      <c r="V76" s="1" t="n">
        <v>53.6</v>
      </c>
      <c r="W76" s="1" t="s">
        <v>39</v>
      </c>
      <c r="X76" s="1" t="n">
        <v>3.9</v>
      </c>
      <c r="Y76" s="1" t="s">
        <v>40</v>
      </c>
      <c r="Z76" s="1" t="n">
        <v>0</v>
      </c>
    </row>
    <row r="77" customFormat="false" ht="15" hidden="false" customHeight="true" outlineLevel="0" collapsed="false">
      <c r="A77" s="1" t="s">
        <v>287</v>
      </c>
      <c r="B77" s="1" t="s">
        <v>288</v>
      </c>
      <c r="C77" s="1" t="s">
        <v>249</v>
      </c>
      <c r="D77" s="1" t="s">
        <v>44</v>
      </c>
      <c r="E77" s="1" t="s">
        <v>66</v>
      </c>
      <c r="F77" s="1" t="s">
        <v>96</v>
      </c>
      <c r="G77" s="1" t="s">
        <v>97</v>
      </c>
      <c r="H77" s="1" t="s">
        <v>69</v>
      </c>
      <c r="I77" s="1" t="s">
        <v>83</v>
      </c>
      <c r="J77" s="1" t="s">
        <v>70</v>
      </c>
      <c r="K77" s="1" t="s">
        <v>36</v>
      </c>
      <c r="L77" s="1" t="s">
        <v>136</v>
      </c>
      <c r="M77" s="1" t="s">
        <v>62</v>
      </c>
      <c r="N77" s="1" t="n">
        <v>12999</v>
      </c>
      <c r="O77" s="1" t="n">
        <v>0</v>
      </c>
      <c r="P77" s="1" t="n">
        <v>0</v>
      </c>
      <c r="Q77" s="1" t="n">
        <v>12999</v>
      </c>
      <c r="R77" s="1" t="n">
        <v>2339.82</v>
      </c>
      <c r="S77" s="1" t="n">
        <v>10659.18</v>
      </c>
      <c r="T77" s="1" t="n">
        <v>4236.8</v>
      </c>
      <c r="U77" s="1" t="n">
        <v>6422.38</v>
      </c>
      <c r="V77" s="1" t="n">
        <v>60.25</v>
      </c>
      <c r="W77" s="1" t="s">
        <v>40</v>
      </c>
      <c r="Y77" s="1" t="s">
        <v>40</v>
      </c>
      <c r="Z77" s="1" t="n">
        <v>1</v>
      </c>
    </row>
    <row r="78" customFormat="false" ht="15" hidden="false" customHeight="true" outlineLevel="0" collapsed="false">
      <c r="A78" s="1" t="s">
        <v>289</v>
      </c>
      <c r="B78" s="1" t="s">
        <v>290</v>
      </c>
      <c r="C78" s="1" t="s">
        <v>74</v>
      </c>
      <c r="D78" s="1" t="s">
        <v>44</v>
      </c>
      <c r="E78" s="1" t="s">
        <v>221</v>
      </c>
      <c r="F78" s="1" t="s">
        <v>194</v>
      </c>
      <c r="G78" s="1" t="s">
        <v>103</v>
      </c>
      <c r="H78" s="1" t="s">
        <v>69</v>
      </c>
      <c r="I78" s="1" t="s">
        <v>83</v>
      </c>
      <c r="J78" s="1" t="s">
        <v>70</v>
      </c>
      <c r="K78" s="1" t="s">
        <v>84</v>
      </c>
      <c r="L78" s="1" t="s">
        <v>113</v>
      </c>
      <c r="M78" s="1" t="s">
        <v>50</v>
      </c>
      <c r="N78" s="1" t="n">
        <v>16999</v>
      </c>
      <c r="O78" s="1" t="n">
        <v>0</v>
      </c>
      <c r="P78" s="1" t="n">
        <v>0</v>
      </c>
      <c r="Q78" s="1" t="n">
        <v>16999</v>
      </c>
      <c r="R78" s="1" t="n">
        <v>3059.82</v>
      </c>
      <c r="S78" s="1" t="n">
        <v>13939.18</v>
      </c>
      <c r="T78" s="1" t="n">
        <v>5518.11</v>
      </c>
      <c r="U78" s="1" t="n">
        <v>8421.07</v>
      </c>
      <c r="V78" s="1" t="n">
        <v>60.41</v>
      </c>
      <c r="W78" s="1" t="s">
        <v>40</v>
      </c>
      <c r="Y78" s="1" t="s">
        <v>40</v>
      </c>
      <c r="Z78" s="1" t="n">
        <v>1</v>
      </c>
    </row>
    <row r="79" customFormat="false" ht="15" hidden="false" customHeight="true" outlineLevel="0" collapsed="false">
      <c r="A79" s="1" t="s">
        <v>291</v>
      </c>
      <c r="B79" s="1" t="s">
        <v>292</v>
      </c>
      <c r="C79" s="1" t="s">
        <v>134</v>
      </c>
      <c r="D79" s="1" t="s">
        <v>168</v>
      </c>
      <c r="E79" s="1" t="s">
        <v>172</v>
      </c>
      <c r="F79" s="1" t="s">
        <v>150</v>
      </c>
      <c r="G79" s="1" t="s">
        <v>32</v>
      </c>
      <c r="H79" s="1" t="s">
        <v>57</v>
      </c>
      <c r="I79" s="1" t="s">
        <v>58</v>
      </c>
      <c r="J79" s="1" t="s">
        <v>59</v>
      </c>
      <c r="K79" s="1" t="s">
        <v>48</v>
      </c>
      <c r="L79" s="1" t="s">
        <v>37</v>
      </c>
      <c r="M79" s="1" t="s">
        <v>38</v>
      </c>
      <c r="N79" s="1" t="n">
        <v>6999</v>
      </c>
      <c r="O79" s="1" t="n">
        <v>0</v>
      </c>
      <c r="P79" s="1" t="n">
        <v>0</v>
      </c>
      <c r="Q79" s="1" t="n">
        <v>6999</v>
      </c>
      <c r="R79" s="1" t="n">
        <v>1259.82</v>
      </c>
      <c r="S79" s="1" t="n">
        <v>5739.18</v>
      </c>
      <c r="T79" s="1" t="n">
        <v>2768.27</v>
      </c>
      <c r="U79" s="1" t="n">
        <v>2970.91</v>
      </c>
      <c r="V79" s="1" t="n">
        <v>51.77</v>
      </c>
      <c r="W79" s="1" t="s">
        <v>39</v>
      </c>
      <c r="X79" s="1" t="n">
        <v>3</v>
      </c>
      <c r="Y79" s="1" t="s">
        <v>40</v>
      </c>
      <c r="Z79" s="1" t="n">
        <v>1</v>
      </c>
    </row>
    <row r="80" customFormat="false" ht="15" hidden="false" customHeight="true" outlineLevel="0" collapsed="false">
      <c r="A80" s="1" t="s">
        <v>293</v>
      </c>
      <c r="B80" s="1" t="s">
        <v>294</v>
      </c>
      <c r="C80" s="1" t="s">
        <v>88</v>
      </c>
      <c r="D80" s="1" t="s">
        <v>123</v>
      </c>
      <c r="E80" s="1" t="s">
        <v>124</v>
      </c>
      <c r="F80" s="1" t="s">
        <v>31</v>
      </c>
      <c r="G80" s="1" t="s">
        <v>32</v>
      </c>
      <c r="H80" s="1" t="s">
        <v>33</v>
      </c>
      <c r="I80" s="1" t="s">
        <v>34</v>
      </c>
      <c r="J80" s="1" t="s">
        <v>59</v>
      </c>
      <c r="K80" s="1" t="s">
        <v>36</v>
      </c>
      <c r="L80" s="1" t="s">
        <v>61</v>
      </c>
      <c r="M80" s="1" t="s">
        <v>50</v>
      </c>
      <c r="N80" s="1" t="n">
        <v>4999</v>
      </c>
      <c r="O80" s="1" t="n">
        <v>0</v>
      </c>
      <c r="P80" s="1" t="n">
        <v>0</v>
      </c>
      <c r="Q80" s="1" t="n">
        <v>4999</v>
      </c>
      <c r="R80" s="1" t="n">
        <v>899.82</v>
      </c>
      <c r="S80" s="1" t="n">
        <v>4099.18</v>
      </c>
      <c r="T80" s="1" t="n">
        <v>1718.76</v>
      </c>
      <c r="U80" s="1" t="n">
        <v>2380.42</v>
      </c>
      <c r="V80" s="1" t="n">
        <v>58.07</v>
      </c>
      <c r="W80" s="1" t="s">
        <v>39</v>
      </c>
      <c r="X80" s="1" t="n">
        <v>4.4</v>
      </c>
      <c r="Y80" s="1" t="s">
        <v>40</v>
      </c>
      <c r="Z80" s="1" t="n">
        <v>0</v>
      </c>
    </row>
    <row r="81" customFormat="false" ht="15" hidden="false" customHeight="true" outlineLevel="0" collapsed="false">
      <c r="A81" s="1" t="s">
        <v>295</v>
      </c>
      <c r="B81" s="1" t="s">
        <v>296</v>
      </c>
      <c r="C81" s="1" t="s">
        <v>93</v>
      </c>
      <c r="D81" s="1" t="s">
        <v>168</v>
      </c>
      <c r="E81" s="1" t="s">
        <v>169</v>
      </c>
      <c r="F81" s="1" t="s">
        <v>55</v>
      </c>
      <c r="G81" s="1" t="s">
        <v>56</v>
      </c>
      <c r="H81" s="1" t="s">
        <v>57</v>
      </c>
      <c r="I81" s="1" t="s">
        <v>34</v>
      </c>
      <c r="J81" s="1" t="s">
        <v>77</v>
      </c>
      <c r="K81" s="1" t="s">
        <v>84</v>
      </c>
      <c r="L81" s="1" t="s">
        <v>61</v>
      </c>
      <c r="M81" s="1" t="s">
        <v>50</v>
      </c>
      <c r="N81" s="1" t="n">
        <v>4999</v>
      </c>
      <c r="O81" s="1" t="n">
        <v>0</v>
      </c>
      <c r="P81" s="1" t="n">
        <v>0</v>
      </c>
      <c r="Q81" s="1" t="n">
        <v>4999</v>
      </c>
      <c r="R81" s="1" t="n">
        <v>899.82</v>
      </c>
      <c r="S81" s="1" t="n">
        <v>4099.18</v>
      </c>
      <c r="T81" s="1" t="n">
        <v>1761.8</v>
      </c>
      <c r="U81" s="1" t="n">
        <v>2337.38</v>
      </c>
      <c r="V81" s="1" t="n">
        <v>57.02</v>
      </c>
      <c r="W81" s="1" t="s">
        <v>40</v>
      </c>
      <c r="Y81" s="1" t="s">
        <v>40</v>
      </c>
      <c r="Z81" s="1" t="n">
        <v>0</v>
      </c>
    </row>
    <row r="82" customFormat="false" ht="15" hidden="false" customHeight="true" outlineLevel="0" collapsed="false">
      <c r="A82" s="1" t="s">
        <v>297</v>
      </c>
      <c r="B82" s="1" t="s">
        <v>298</v>
      </c>
      <c r="C82" s="1" t="s">
        <v>93</v>
      </c>
      <c r="D82" s="1" t="s">
        <v>53</v>
      </c>
      <c r="E82" s="1" t="s">
        <v>216</v>
      </c>
      <c r="F82" s="1" t="s">
        <v>31</v>
      </c>
      <c r="G82" s="1" t="s">
        <v>32</v>
      </c>
      <c r="H82" s="1" t="s">
        <v>33</v>
      </c>
      <c r="I82" s="1" t="s">
        <v>83</v>
      </c>
      <c r="J82" s="1" t="s">
        <v>59</v>
      </c>
      <c r="K82" s="1" t="s">
        <v>60</v>
      </c>
      <c r="L82" s="1" t="s">
        <v>136</v>
      </c>
      <c r="M82" s="1" t="s">
        <v>62</v>
      </c>
      <c r="N82" s="1" t="n">
        <v>7499</v>
      </c>
      <c r="O82" s="1" t="n">
        <v>15</v>
      </c>
      <c r="P82" s="1" t="n">
        <v>1124.85</v>
      </c>
      <c r="Q82" s="1" t="n">
        <v>6374.15</v>
      </c>
      <c r="R82" s="1" t="n">
        <v>1147.35</v>
      </c>
      <c r="S82" s="1" t="n">
        <v>5226.8</v>
      </c>
      <c r="T82" s="1" t="n">
        <v>2015.98</v>
      </c>
      <c r="U82" s="1" t="n">
        <v>3210.82</v>
      </c>
      <c r="V82" s="1" t="n">
        <v>61.43</v>
      </c>
      <c r="W82" s="1" t="s">
        <v>40</v>
      </c>
      <c r="Y82" s="1" t="s">
        <v>39</v>
      </c>
      <c r="Z82" s="1" t="n">
        <v>1</v>
      </c>
    </row>
    <row r="83" customFormat="false" ht="15" hidden="false" customHeight="true" outlineLevel="0" collapsed="false">
      <c r="A83" s="1" t="s">
        <v>299</v>
      </c>
      <c r="B83" s="1" t="s">
        <v>300</v>
      </c>
      <c r="C83" s="1" t="s">
        <v>74</v>
      </c>
      <c r="D83" s="1" t="s">
        <v>94</v>
      </c>
      <c r="E83" s="1" t="s">
        <v>95</v>
      </c>
      <c r="F83" s="1" t="s">
        <v>156</v>
      </c>
      <c r="G83" s="1" t="s">
        <v>68</v>
      </c>
      <c r="H83" s="1" t="s">
        <v>57</v>
      </c>
      <c r="I83" s="1" t="s">
        <v>83</v>
      </c>
      <c r="J83" s="1" t="s">
        <v>77</v>
      </c>
      <c r="K83" s="1" t="s">
        <v>112</v>
      </c>
      <c r="L83" s="1" t="s">
        <v>37</v>
      </c>
      <c r="M83" s="1" t="s">
        <v>62</v>
      </c>
      <c r="N83" s="1" t="n">
        <v>6999</v>
      </c>
      <c r="O83" s="1" t="n">
        <v>10</v>
      </c>
      <c r="P83" s="1" t="n">
        <v>699.9</v>
      </c>
      <c r="Q83" s="1" t="n">
        <v>6299.1</v>
      </c>
      <c r="R83" s="1" t="n">
        <v>1133.84</v>
      </c>
      <c r="S83" s="1" t="n">
        <v>5165.26</v>
      </c>
      <c r="T83" s="1" t="n">
        <v>2561.92</v>
      </c>
      <c r="U83" s="1" t="n">
        <v>2603.34</v>
      </c>
      <c r="V83" s="1" t="n">
        <v>50.4</v>
      </c>
      <c r="W83" s="1" t="s">
        <v>39</v>
      </c>
      <c r="Y83" s="1" t="s">
        <v>39</v>
      </c>
      <c r="Z83" s="1" t="n">
        <v>0</v>
      </c>
    </row>
    <row r="84" customFormat="false" ht="15" hidden="false" customHeight="true" outlineLevel="0" collapsed="false">
      <c r="A84" s="1" t="s">
        <v>301</v>
      </c>
      <c r="B84" s="1" t="s">
        <v>302</v>
      </c>
      <c r="C84" s="1" t="s">
        <v>28</v>
      </c>
      <c r="D84" s="1" t="s">
        <v>143</v>
      </c>
      <c r="E84" s="1" t="s">
        <v>243</v>
      </c>
      <c r="F84" s="1" t="s">
        <v>89</v>
      </c>
      <c r="G84" s="1" t="s">
        <v>68</v>
      </c>
      <c r="H84" s="1" t="s">
        <v>33</v>
      </c>
      <c r="I84" s="1" t="s">
        <v>34</v>
      </c>
      <c r="J84" s="1" t="s">
        <v>131</v>
      </c>
      <c r="K84" s="1" t="s">
        <v>60</v>
      </c>
      <c r="L84" s="1" t="s">
        <v>61</v>
      </c>
      <c r="M84" s="1" t="s">
        <v>62</v>
      </c>
      <c r="N84" s="1" t="n">
        <v>22999</v>
      </c>
      <c r="O84" s="1" t="n">
        <v>10</v>
      </c>
      <c r="P84" s="1" t="n">
        <v>2299.9</v>
      </c>
      <c r="Q84" s="1" t="n">
        <v>20699.1</v>
      </c>
      <c r="R84" s="1" t="n">
        <v>3725.84</v>
      </c>
      <c r="S84" s="1" t="n">
        <v>16973.26</v>
      </c>
      <c r="T84" s="1" t="n">
        <v>7435.79</v>
      </c>
      <c r="U84" s="1" t="n">
        <v>9537.47</v>
      </c>
      <c r="V84" s="1" t="n">
        <v>56.19</v>
      </c>
      <c r="W84" s="1" t="s">
        <v>39</v>
      </c>
      <c r="X84" s="1" t="n">
        <v>2.6</v>
      </c>
      <c r="Y84" s="1" t="s">
        <v>40</v>
      </c>
      <c r="Z84" s="1" t="n">
        <v>1</v>
      </c>
    </row>
    <row r="85" customFormat="false" ht="15" hidden="false" customHeight="true" outlineLevel="0" collapsed="false">
      <c r="A85" s="1" t="s">
        <v>303</v>
      </c>
      <c r="B85" s="1" t="s">
        <v>304</v>
      </c>
      <c r="C85" s="1" t="s">
        <v>74</v>
      </c>
      <c r="D85" s="1" t="s">
        <v>29</v>
      </c>
      <c r="E85" s="1" t="s">
        <v>305</v>
      </c>
      <c r="F85" s="1" t="s">
        <v>31</v>
      </c>
      <c r="G85" s="1" t="s">
        <v>32</v>
      </c>
      <c r="H85" s="1" t="s">
        <v>33</v>
      </c>
      <c r="I85" s="1" t="s">
        <v>83</v>
      </c>
      <c r="J85" s="1" t="s">
        <v>59</v>
      </c>
      <c r="K85" s="1" t="s">
        <v>112</v>
      </c>
      <c r="L85" s="1" t="s">
        <v>49</v>
      </c>
      <c r="M85" s="1" t="s">
        <v>50</v>
      </c>
      <c r="N85" s="1" t="n">
        <v>24999</v>
      </c>
      <c r="O85" s="1" t="n">
        <v>10</v>
      </c>
      <c r="P85" s="1" t="n">
        <v>2499.9</v>
      </c>
      <c r="Q85" s="1" t="n">
        <v>22499.1</v>
      </c>
      <c r="R85" s="1" t="n">
        <v>4049.84</v>
      </c>
      <c r="S85" s="1" t="n">
        <v>18449.26</v>
      </c>
      <c r="T85" s="1" t="n">
        <v>6447.62</v>
      </c>
      <c r="U85" s="1" t="n">
        <v>12001.64</v>
      </c>
      <c r="V85" s="1" t="n">
        <v>65.05</v>
      </c>
      <c r="W85" s="1" t="s">
        <v>39</v>
      </c>
      <c r="X85" s="1" t="n">
        <v>3.9</v>
      </c>
      <c r="Y85" s="1" t="s">
        <v>40</v>
      </c>
      <c r="Z85" s="1" t="n">
        <v>0</v>
      </c>
    </row>
    <row r="86" customFormat="false" ht="15" hidden="false" customHeight="true" outlineLevel="0" collapsed="false">
      <c r="A86" s="1" t="s">
        <v>306</v>
      </c>
      <c r="B86" s="1" t="s">
        <v>307</v>
      </c>
      <c r="C86" s="1" t="s">
        <v>139</v>
      </c>
      <c r="D86" s="1" t="s">
        <v>29</v>
      </c>
      <c r="E86" s="1" t="s">
        <v>30</v>
      </c>
      <c r="F86" s="1" t="s">
        <v>75</v>
      </c>
      <c r="G86" s="1" t="s">
        <v>76</v>
      </c>
      <c r="H86" s="1" t="s">
        <v>69</v>
      </c>
      <c r="I86" s="1" t="s">
        <v>34</v>
      </c>
      <c r="J86" s="1" t="s">
        <v>77</v>
      </c>
      <c r="K86" s="1" t="s">
        <v>48</v>
      </c>
      <c r="L86" s="1" t="s">
        <v>113</v>
      </c>
      <c r="M86" s="1" t="s">
        <v>38</v>
      </c>
      <c r="N86" s="1" t="n">
        <v>7999</v>
      </c>
      <c r="O86" s="1" t="n">
        <v>5</v>
      </c>
      <c r="P86" s="1" t="n">
        <v>399.95</v>
      </c>
      <c r="Q86" s="1" t="n">
        <v>7599.05</v>
      </c>
      <c r="R86" s="1" t="n">
        <v>1367.83</v>
      </c>
      <c r="S86" s="1" t="n">
        <v>6231.22</v>
      </c>
      <c r="T86" s="1" t="n">
        <v>2002.62</v>
      </c>
      <c r="U86" s="1" t="n">
        <v>4228.6</v>
      </c>
      <c r="V86" s="1" t="n">
        <v>67.86</v>
      </c>
      <c r="W86" s="1" t="s">
        <v>39</v>
      </c>
      <c r="Y86" s="1" t="s">
        <v>40</v>
      </c>
      <c r="Z86" s="1" t="n">
        <v>0</v>
      </c>
    </row>
    <row r="87" customFormat="false" ht="15" hidden="false" customHeight="true" outlineLevel="0" collapsed="false">
      <c r="A87" s="1" t="s">
        <v>308</v>
      </c>
      <c r="B87" s="1" t="s">
        <v>309</v>
      </c>
      <c r="C87" s="1" t="s">
        <v>65</v>
      </c>
      <c r="D87" s="1" t="s">
        <v>123</v>
      </c>
      <c r="E87" s="1" t="s">
        <v>233</v>
      </c>
      <c r="F87" s="1" t="s">
        <v>55</v>
      </c>
      <c r="G87" s="1" t="s">
        <v>56</v>
      </c>
      <c r="H87" s="1" t="s">
        <v>57</v>
      </c>
      <c r="I87" s="1" t="s">
        <v>58</v>
      </c>
      <c r="J87" s="1" t="s">
        <v>70</v>
      </c>
      <c r="K87" s="1" t="s">
        <v>90</v>
      </c>
      <c r="L87" s="1" t="s">
        <v>37</v>
      </c>
      <c r="M87" s="1" t="s">
        <v>38</v>
      </c>
      <c r="N87" s="1" t="n">
        <v>8999</v>
      </c>
      <c r="O87" s="1" t="n">
        <v>30</v>
      </c>
      <c r="P87" s="1" t="n">
        <v>2699.7</v>
      </c>
      <c r="Q87" s="1" t="n">
        <v>6299.3</v>
      </c>
      <c r="R87" s="1" t="n">
        <v>1133.87</v>
      </c>
      <c r="S87" s="1" t="n">
        <v>5165.43</v>
      </c>
      <c r="T87" s="1" t="n">
        <v>2326.66</v>
      </c>
      <c r="U87" s="1" t="n">
        <v>2838.77</v>
      </c>
      <c r="V87" s="1" t="n">
        <v>54.96</v>
      </c>
      <c r="W87" s="1" t="s">
        <v>39</v>
      </c>
      <c r="X87" s="1" t="n">
        <v>4.1</v>
      </c>
      <c r="Y87" s="1" t="s">
        <v>40</v>
      </c>
      <c r="Z87" s="1" t="n">
        <v>0</v>
      </c>
    </row>
    <row r="88" customFormat="false" ht="15" hidden="false" customHeight="true" outlineLevel="0" collapsed="false">
      <c r="A88" s="1" t="s">
        <v>310</v>
      </c>
      <c r="B88" s="1" t="s">
        <v>311</v>
      </c>
      <c r="C88" s="1" t="s">
        <v>93</v>
      </c>
      <c r="D88" s="1" t="s">
        <v>80</v>
      </c>
      <c r="E88" s="1" t="s">
        <v>193</v>
      </c>
      <c r="F88" s="1" t="s">
        <v>156</v>
      </c>
      <c r="G88" s="1" t="s">
        <v>68</v>
      </c>
      <c r="H88" s="1" t="s">
        <v>57</v>
      </c>
      <c r="I88" s="1" t="s">
        <v>83</v>
      </c>
      <c r="J88" s="1" t="s">
        <v>77</v>
      </c>
      <c r="K88" s="1" t="s">
        <v>48</v>
      </c>
      <c r="L88" s="1" t="s">
        <v>61</v>
      </c>
      <c r="M88" s="1" t="s">
        <v>62</v>
      </c>
      <c r="N88" s="1" t="n">
        <v>8999</v>
      </c>
      <c r="O88" s="1" t="n">
        <v>25</v>
      </c>
      <c r="P88" s="1" t="n">
        <v>2249.75</v>
      </c>
      <c r="Q88" s="1" t="n">
        <v>6749.25</v>
      </c>
      <c r="R88" s="1" t="n">
        <v>1214.87</v>
      </c>
      <c r="S88" s="1" t="n">
        <v>5534.38</v>
      </c>
      <c r="T88" s="1" t="n">
        <v>2300.11</v>
      </c>
      <c r="U88" s="1" t="n">
        <v>3234.27</v>
      </c>
      <c r="V88" s="1" t="n">
        <v>58.44</v>
      </c>
      <c r="W88" s="1" t="s">
        <v>40</v>
      </c>
      <c r="Y88" s="1" t="s">
        <v>39</v>
      </c>
      <c r="Z88" s="1" t="n">
        <v>1</v>
      </c>
    </row>
    <row r="89" customFormat="false" ht="15" hidden="false" customHeight="true" outlineLevel="0" collapsed="false">
      <c r="A89" s="1" t="s">
        <v>312</v>
      </c>
      <c r="B89" s="1" t="s">
        <v>313</v>
      </c>
      <c r="C89" s="1" t="s">
        <v>167</v>
      </c>
      <c r="D89" s="1" t="s">
        <v>168</v>
      </c>
      <c r="E89" s="1" t="s">
        <v>197</v>
      </c>
      <c r="F89" s="1" t="s">
        <v>205</v>
      </c>
      <c r="G89" s="1" t="s">
        <v>56</v>
      </c>
      <c r="H89" s="1" t="s">
        <v>69</v>
      </c>
      <c r="I89" s="1" t="s">
        <v>83</v>
      </c>
      <c r="J89" s="1" t="s">
        <v>77</v>
      </c>
      <c r="K89" s="1" t="s">
        <v>104</v>
      </c>
      <c r="L89" s="1" t="s">
        <v>113</v>
      </c>
      <c r="M89" s="1" t="s">
        <v>38</v>
      </c>
      <c r="N89" s="1" t="n">
        <v>8499</v>
      </c>
      <c r="O89" s="1" t="n">
        <v>15</v>
      </c>
      <c r="P89" s="1" t="n">
        <v>1274.85</v>
      </c>
      <c r="Q89" s="1" t="n">
        <v>7224.15</v>
      </c>
      <c r="R89" s="1" t="n">
        <v>1300.35</v>
      </c>
      <c r="S89" s="1" t="n">
        <v>5923.8</v>
      </c>
      <c r="T89" s="1" t="n">
        <v>2318.67</v>
      </c>
      <c r="U89" s="1" t="n">
        <v>3605.13</v>
      </c>
      <c r="V89" s="1" t="n">
        <v>60.86</v>
      </c>
      <c r="W89" s="1" t="s">
        <v>39</v>
      </c>
      <c r="X89" s="1" t="n">
        <v>3.9</v>
      </c>
      <c r="Y89" s="1" t="s">
        <v>40</v>
      </c>
      <c r="Z89" s="1" t="n">
        <v>0</v>
      </c>
    </row>
    <row r="90" customFormat="false" ht="15" hidden="false" customHeight="true" outlineLevel="0" collapsed="false">
      <c r="A90" s="1" t="s">
        <v>314</v>
      </c>
      <c r="B90" s="1" t="s">
        <v>315</v>
      </c>
      <c r="C90" s="1" t="s">
        <v>43</v>
      </c>
      <c r="D90" s="1" t="s">
        <v>123</v>
      </c>
      <c r="E90" s="1" t="s">
        <v>147</v>
      </c>
      <c r="F90" s="1" t="s">
        <v>107</v>
      </c>
      <c r="G90" s="1" t="s">
        <v>108</v>
      </c>
      <c r="H90" s="1" t="s">
        <v>33</v>
      </c>
      <c r="I90" s="1" t="s">
        <v>58</v>
      </c>
      <c r="J90" s="1" t="s">
        <v>59</v>
      </c>
      <c r="K90" s="1" t="s">
        <v>60</v>
      </c>
      <c r="L90" s="1" t="s">
        <v>49</v>
      </c>
      <c r="M90" s="1" t="s">
        <v>50</v>
      </c>
      <c r="N90" s="1" t="n">
        <v>6999</v>
      </c>
      <c r="O90" s="1" t="n">
        <v>50</v>
      </c>
      <c r="P90" s="1" t="n">
        <v>3499.5</v>
      </c>
      <c r="Q90" s="1" t="n">
        <v>3499.5</v>
      </c>
      <c r="R90" s="1" t="n">
        <v>629.91</v>
      </c>
      <c r="S90" s="1" t="n">
        <v>2869.59</v>
      </c>
      <c r="T90" s="1" t="n">
        <v>1830.05</v>
      </c>
      <c r="U90" s="1" t="n">
        <v>1039.54</v>
      </c>
      <c r="V90" s="1" t="n">
        <v>36.23</v>
      </c>
      <c r="W90" s="1" t="s">
        <v>40</v>
      </c>
      <c r="Y90" s="1" t="s">
        <v>40</v>
      </c>
      <c r="Z90" s="1" t="n">
        <v>1</v>
      </c>
    </row>
    <row r="91" customFormat="false" ht="15" hidden="false" customHeight="true" outlineLevel="0" collapsed="false">
      <c r="A91" s="1" t="s">
        <v>316</v>
      </c>
      <c r="B91" s="1" t="s">
        <v>223</v>
      </c>
      <c r="C91" s="1" t="s">
        <v>88</v>
      </c>
      <c r="D91" s="1" t="s">
        <v>44</v>
      </c>
      <c r="E91" s="1" t="s">
        <v>66</v>
      </c>
      <c r="F91" s="1" t="s">
        <v>102</v>
      </c>
      <c r="G91" s="1" t="s">
        <v>103</v>
      </c>
      <c r="H91" s="1" t="s">
        <v>33</v>
      </c>
      <c r="I91" s="1" t="s">
        <v>83</v>
      </c>
      <c r="J91" s="1" t="s">
        <v>77</v>
      </c>
      <c r="K91" s="1" t="s">
        <v>71</v>
      </c>
      <c r="L91" s="1" t="s">
        <v>113</v>
      </c>
      <c r="M91" s="1" t="s">
        <v>62</v>
      </c>
      <c r="N91" s="1" t="n">
        <v>12999</v>
      </c>
      <c r="O91" s="1" t="n">
        <v>10</v>
      </c>
      <c r="P91" s="1" t="n">
        <v>1299.9</v>
      </c>
      <c r="Q91" s="1" t="n">
        <v>11699.1</v>
      </c>
      <c r="R91" s="1" t="n">
        <v>2105.84</v>
      </c>
      <c r="S91" s="1" t="n">
        <v>9593.26</v>
      </c>
      <c r="T91" s="1" t="n">
        <v>4011.27</v>
      </c>
      <c r="U91" s="1" t="n">
        <v>5581.99</v>
      </c>
      <c r="V91" s="1" t="n">
        <v>58.19</v>
      </c>
      <c r="W91" s="1" t="s">
        <v>39</v>
      </c>
      <c r="X91" s="1" t="n">
        <v>2.7</v>
      </c>
      <c r="Y91" s="1" t="s">
        <v>40</v>
      </c>
      <c r="Z91" s="1" t="n">
        <v>0</v>
      </c>
    </row>
    <row r="92" customFormat="false" ht="15" hidden="false" customHeight="true" outlineLevel="0" collapsed="false">
      <c r="A92" s="1" t="s">
        <v>317</v>
      </c>
      <c r="B92" s="1" t="s">
        <v>318</v>
      </c>
      <c r="C92" s="1" t="s">
        <v>134</v>
      </c>
      <c r="D92" s="1" t="s">
        <v>44</v>
      </c>
      <c r="E92" s="1" t="s">
        <v>66</v>
      </c>
      <c r="F92" s="1" t="s">
        <v>187</v>
      </c>
      <c r="G92" s="1" t="s">
        <v>97</v>
      </c>
      <c r="H92" s="1" t="s">
        <v>69</v>
      </c>
      <c r="I92" s="1" t="s">
        <v>58</v>
      </c>
      <c r="J92" s="1" t="s">
        <v>70</v>
      </c>
      <c r="K92" s="1" t="s">
        <v>104</v>
      </c>
      <c r="L92" s="1" t="s">
        <v>49</v>
      </c>
      <c r="M92" s="1" t="s">
        <v>38</v>
      </c>
      <c r="N92" s="1" t="n">
        <v>12999</v>
      </c>
      <c r="O92" s="1" t="n">
        <v>0</v>
      </c>
      <c r="P92" s="1" t="n">
        <v>0</v>
      </c>
      <c r="Q92" s="1" t="n">
        <v>12999</v>
      </c>
      <c r="R92" s="1" t="n">
        <v>2339.82</v>
      </c>
      <c r="S92" s="1" t="n">
        <v>10659.18</v>
      </c>
      <c r="T92" s="1" t="n">
        <v>3286.58</v>
      </c>
      <c r="U92" s="1" t="n">
        <v>7372.6</v>
      </c>
      <c r="V92" s="1" t="n">
        <v>69.17</v>
      </c>
      <c r="W92" s="1" t="s">
        <v>39</v>
      </c>
      <c r="X92" s="1" t="n">
        <v>3.9</v>
      </c>
      <c r="Y92" s="1" t="s">
        <v>40</v>
      </c>
      <c r="Z92" s="1" t="n">
        <v>0</v>
      </c>
    </row>
    <row r="93" customFormat="false" ht="15" hidden="false" customHeight="true" outlineLevel="0" collapsed="false">
      <c r="A93" s="1" t="s">
        <v>319</v>
      </c>
      <c r="B93" s="1" t="s">
        <v>320</v>
      </c>
      <c r="C93" s="1" t="s">
        <v>139</v>
      </c>
      <c r="D93" s="1" t="s">
        <v>143</v>
      </c>
      <c r="E93" s="1" t="s">
        <v>144</v>
      </c>
      <c r="F93" s="1" t="s">
        <v>269</v>
      </c>
      <c r="G93" s="1" t="s">
        <v>108</v>
      </c>
      <c r="H93" s="1" t="s">
        <v>57</v>
      </c>
      <c r="I93" s="1" t="s">
        <v>58</v>
      </c>
      <c r="J93" s="1" t="s">
        <v>35</v>
      </c>
      <c r="K93" s="1" t="s">
        <v>71</v>
      </c>
      <c r="L93" s="1" t="s">
        <v>61</v>
      </c>
      <c r="M93" s="1" t="s">
        <v>38</v>
      </c>
      <c r="N93" s="1" t="n">
        <v>12999</v>
      </c>
      <c r="O93" s="1" t="n">
        <v>50</v>
      </c>
      <c r="P93" s="1" t="n">
        <v>6499.5</v>
      </c>
      <c r="Q93" s="1" t="n">
        <v>6499.5</v>
      </c>
      <c r="R93" s="1" t="n">
        <v>1169.91</v>
      </c>
      <c r="S93" s="1" t="n">
        <v>5329.59</v>
      </c>
      <c r="T93" s="1" t="n">
        <v>3156.68</v>
      </c>
      <c r="U93" s="1" t="n">
        <v>2172.91</v>
      </c>
      <c r="V93" s="1" t="n">
        <v>40.77</v>
      </c>
      <c r="W93" s="1" t="s">
        <v>40</v>
      </c>
      <c r="Y93" s="1" t="s">
        <v>40</v>
      </c>
      <c r="Z93" s="1" t="n">
        <v>0</v>
      </c>
    </row>
    <row r="94" customFormat="false" ht="15" hidden="false" customHeight="true" outlineLevel="0" collapsed="false">
      <c r="A94" s="1" t="s">
        <v>321</v>
      </c>
      <c r="B94" s="1" t="s">
        <v>322</v>
      </c>
      <c r="C94" s="1" t="s">
        <v>264</v>
      </c>
      <c r="D94" s="1" t="s">
        <v>80</v>
      </c>
      <c r="E94" s="1" t="s">
        <v>175</v>
      </c>
      <c r="F94" s="1" t="s">
        <v>323</v>
      </c>
      <c r="G94" s="1" t="s">
        <v>47</v>
      </c>
      <c r="H94" s="1" t="s">
        <v>69</v>
      </c>
      <c r="I94" s="1" t="s">
        <v>34</v>
      </c>
      <c r="J94" s="1" t="s">
        <v>131</v>
      </c>
      <c r="K94" s="1" t="s">
        <v>90</v>
      </c>
      <c r="L94" s="1" t="s">
        <v>113</v>
      </c>
      <c r="M94" s="1" t="s">
        <v>62</v>
      </c>
      <c r="N94" s="1" t="n">
        <v>19999</v>
      </c>
      <c r="O94" s="1" t="n">
        <v>50</v>
      </c>
      <c r="P94" s="1" t="n">
        <v>9999.5</v>
      </c>
      <c r="Q94" s="1" t="n">
        <v>9999.5</v>
      </c>
      <c r="R94" s="1" t="n">
        <v>1799.91</v>
      </c>
      <c r="S94" s="1" t="n">
        <v>8199.59</v>
      </c>
      <c r="T94" s="1" t="n">
        <v>4033.97</v>
      </c>
      <c r="U94" s="1" t="n">
        <v>4165.62</v>
      </c>
      <c r="V94" s="1" t="n">
        <v>50.8</v>
      </c>
      <c r="W94" s="1" t="s">
        <v>39</v>
      </c>
      <c r="X94" s="1" t="n">
        <v>4.2</v>
      </c>
      <c r="Y94" s="1" t="s">
        <v>40</v>
      </c>
      <c r="Z94" s="1" t="n">
        <v>0</v>
      </c>
    </row>
    <row r="95" customFormat="false" ht="15" hidden="false" customHeight="true" outlineLevel="0" collapsed="false">
      <c r="A95" s="1" t="s">
        <v>324</v>
      </c>
      <c r="B95" s="1" t="s">
        <v>325</v>
      </c>
      <c r="C95" s="1" t="s">
        <v>93</v>
      </c>
      <c r="D95" s="1" t="s">
        <v>29</v>
      </c>
      <c r="E95" s="1" t="s">
        <v>129</v>
      </c>
      <c r="F95" s="1" t="s">
        <v>194</v>
      </c>
      <c r="G95" s="1" t="s">
        <v>103</v>
      </c>
      <c r="H95" s="1" t="s">
        <v>69</v>
      </c>
      <c r="I95" s="1" t="s">
        <v>34</v>
      </c>
      <c r="J95" s="1" t="s">
        <v>35</v>
      </c>
      <c r="K95" s="1" t="s">
        <v>90</v>
      </c>
      <c r="L95" s="1" t="s">
        <v>61</v>
      </c>
      <c r="M95" s="1" t="s">
        <v>62</v>
      </c>
      <c r="N95" s="1" t="n">
        <v>29999</v>
      </c>
      <c r="O95" s="1" t="n">
        <v>5</v>
      </c>
      <c r="P95" s="1" t="n">
        <v>1499.95</v>
      </c>
      <c r="Q95" s="1" t="n">
        <v>28499.05</v>
      </c>
      <c r="R95" s="1" t="n">
        <v>5129.83</v>
      </c>
      <c r="S95" s="1" t="n">
        <v>23369.22</v>
      </c>
      <c r="T95" s="1" t="n">
        <v>8074.25</v>
      </c>
      <c r="U95" s="1" t="n">
        <v>15294.97</v>
      </c>
      <c r="V95" s="1" t="n">
        <v>65.45</v>
      </c>
      <c r="W95" s="1" t="s">
        <v>39</v>
      </c>
      <c r="Y95" s="1" t="s">
        <v>40</v>
      </c>
      <c r="Z95" s="1" t="n">
        <v>0</v>
      </c>
    </row>
    <row r="96" customFormat="false" ht="15" hidden="false" customHeight="true" outlineLevel="0" collapsed="false">
      <c r="A96" s="1" t="s">
        <v>326</v>
      </c>
      <c r="B96" s="1" t="s">
        <v>327</v>
      </c>
      <c r="C96" s="1" t="s">
        <v>119</v>
      </c>
      <c r="D96" s="1" t="s">
        <v>168</v>
      </c>
      <c r="E96" s="1" t="s">
        <v>328</v>
      </c>
      <c r="F96" s="1" t="s">
        <v>75</v>
      </c>
      <c r="G96" s="1" t="s">
        <v>76</v>
      </c>
      <c r="H96" s="1" t="s">
        <v>69</v>
      </c>
      <c r="I96" s="1" t="s">
        <v>58</v>
      </c>
      <c r="J96" s="1" t="s">
        <v>35</v>
      </c>
      <c r="K96" s="1" t="s">
        <v>48</v>
      </c>
      <c r="L96" s="1" t="s">
        <v>61</v>
      </c>
      <c r="M96" s="1" t="s">
        <v>38</v>
      </c>
      <c r="N96" s="1" t="n">
        <v>8999</v>
      </c>
      <c r="O96" s="1" t="n">
        <v>10</v>
      </c>
      <c r="P96" s="1" t="n">
        <v>899.9</v>
      </c>
      <c r="Q96" s="1" t="n">
        <v>8099.1</v>
      </c>
      <c r="R96" s="1" t="n">
        <v>1457.84</v>
      </c>
      <c r="S96" s="1" t="n">
        <v>6641.26</v>
      </c>
      <c r="T96" s="1" t="n">
        <v>2188.59</v>
      </c>
      <c r="U96" s="1" t="n">
        <v>4452.67</v>
      </c>
      <c r="V96" s="1" t="n">
        <v>67.05</v>
      </c>
      <c r="W96" s="1" t="s">
        <v>40</v>
      </c>
      <c r="Y96" s="1" t="s">
        <v>40</v>
      </c>
      <c r="Z96" s="1" t="n">
        <v>0</v>
      </c>
    </row>
    <row r="97" customFormat="false" ht="15" hidden="false" customHeight="true" outlineLevel="0" collapsed="false">
      <c r="A97" s="1" t="s">
        <v>329</v>
      </c>
      <c r="B97" s="1" t="s">
        <v>330</v>
      </c>
      <c r="C97" s="1" t="s">
        <v>139</v>
      </c>
      <c r="D97" s="1" t="s">
        <v>29</v>
      </c>
      <c r="E97" s="1" t="s">
        <v>30</v>
      </c>
      <c r="F97" s="1" t="s">
        <v>55</v>
      </c>
      <c r="G97" s="1" t="s">
        <v>56</v>
      </c>
      <c r="H97" s="1" t="s">
        <v>57</v>
      </c>
      <c r="I97" s="1" t="s">
        <v>34</v>
      </c>
      <c r="J97" s="1" t="s">
        <v>131</v>
      </c>
      <c r="K97" s="1" t="s">
        <v>112</v>
      </c>
      <c r="L97" s="1" t="s">
        <v>113</v>
      </c>
      <c r="M97" s="1" t="s">
        <v>38</v>
      </c>
      <c r="N97" s="1" t="n">
        <v>7999</v>
      </c>
      <c r="O97" s="1" t="n">
        <v>10</v>
      </c>
      <c r="P97" s="1" t="n">
        <v>799.9</v>
      </c>
      <c r="Q97" s="1" t="n">
        <v>7199.1</v>
      </c>
      <c r="R97" s="1" t="n">
        <v>1295.84</v>
      </c>
      <c r="S97" s="1" t="n">
        <v>5903.26</v>
      </c>
      <c r="T97" s="1" t="n">
        <v>2230.62</v>
      </c>
      <c r="U97" s="1" t="n">
        <v>3672.64</v>
      </c>
      <c r="V97" s="1" t="n">
        <v>62.21</v>
      </c>
      <c r="W97" s="1" t="s">
        <v>40</v>
      </c>
      <c r="Y97" s="1" t="s">
        <v>40</v>
      </c>
      <c r="Z97" s="1" t="n">
        <v>1</v>
      </c>
    </row>
    <row r="98" customFormat="false" ht="15" hidden="false" customHeight="true" outlineLevel="0" collapsed="false">
      <c r="A98" s="1" t="s">
        <v>331</v>
      </c>
      <c r="B98" s="1" t="s">
        <v>332</v>
      </c>
      <c r="C98" s="1" t="s">
        <v>128</v>
      </c>
      <c r="D98" s="1" t="s">
        <v>80</v>
      </c>
      <c r="E98" s="1" t="s">
        <v>175</v>
      </c>
      <c r="F98" s="1" t="s">
        <v>194</v>
      </c>
      <c r="G98" s="1" t="s">
        <v>103</v>
      </c>
      <c r="H98" s="1" t="s">
        <v>69</v>
      </c>
      <c r="I98" s="1" t="s">
        <v>34</v>
      </c>
      <c r="J98" s="1" t="s">
        <v>70</v>
      </c>
      <c r="K98" s="1" t="s">
        <v>112</v>
      </c>
      <c r="L98" s="1" t="s">
        <v>37</v>
      </c>
      <c r="M98" s="1" t="s">
        <v>38</v>
      </c>
      <c r="N98" s="1" t="n">
        <v>19999</v>
      </c>
      <c r="O98" s="1" t="n">
        <v>0</v>
      </c>
      <c r="P98" s="1" t="n">
        <v>0</v>
      </c>
      <c r="Q98" s="1" t="n">
        <v>19999</v>
      </c>
      <c r="R98" s="1" t="n">
        <v>3599.82</v>
      </c>
      <c r="S98" s="1" t="n">
        <v>16399.18</v>
      </c>
      <c r="T98" s="1" t="n">
        <v>5756.67</v>
      </c>
      <c r="U98" s="1" t="n">
        <v>10642.51</v>
      </c>
      <c r="V98" s="1" t="n">
        <v>64.9</v>
      </c>
      <c r="W98" s="1" t="s">
        <v>40</v>
      </c>
      <c r="Y98" s="1" t="s">
        <v>40</v>
      </c>
      <c r="Z98" s="1" t="n">
        <v>1</v>
      </c>
    </row>
    <row r="99" customFormat="false" ht="15" hidden="false" customHeight="true" outlineLevel="0" collapsed="false">
      <c r="A99" s="1" t="s">
        <v>333</v>
      </c>
      <c r="B99" s="1" t="s">
        <v>334</v>
      </c>
      <c r="C99" s="1" t="s">
        <v>74</v>
      </c>
      <c r="D99" s="1" t="s">
        <v>94</v>
      </c>
      <c r="E99" s="1" t="s">
        <v>135</v>
      </c>
      <c r="F99" s="1" t="s">
        <v>335</v>
      </c>
      <c r="G99" s="1" t="s">
        <v>103</v>
      </c>
      <c r="H99" s="1" t="s">
        <v>69</v>
      </c>
      <c r="I99" s="1" t="s">
        <v>58</v>
      </c>
      <c r="J99" s="1" t="s">
        <v>70</v>
      </c>
      <c r="K99" s="1" t="s">
        <v>60</v>
      </c>
      <c r="L99" s="1" t="s">
        <v>113</v>
      </c>
      <c r="M99" s="1" t="s">
        <v>38</v>
      </c>
      <c r="N99" s="1" t="n">
        <v>9999</v>
      </c>
      <c r="O99" s="1" t="n">
        <v>40</v>
      </c>
      <c r="P99" s="1" t="n">
        <v>3999.6</v>
      </c>
      <c r="Q99" s="1" t="n">
        <v>5999.4</v>
      </c>
      <c r="R99" s="1" t="n">
        <v>1079.89</v>
      </c>
      <c r="S99" s="1" t="n">
        <v>4919.51</v>
      </c>
      <c r="T99" s="1" t="n">
        <v>2631</v>
      </c>
      <c r="U99" s="1" t="n">
        <v>2288.51</v>
      </c>
      <c r="V99" s="1" t="n">
        <v>46.52</v>
      </c>
      <c r="W99" s="1" t="s">
        <v>39</v>
      </c>
      <c r="Y99" s="1" t="s">
        <v>40</v>
      </c>
      <c r="Z99" s="1" t="n">
        <v>0</v>
      </c>
    </row>
    <row r="100" customFormat="false" ht="15" hidden="false" customHeight="true" outlineLevel="0" collapsed="false">
      <c r="A100" s="1" t="s">
        <v>336</v>
      </c>
      <c r="B100" s="1" t="s">
        <v>186</v>
      </c>
      <c r="C100" s="1" t="s">
        <v>93</v>
      </c>
      <c r="D100" s="1" t="s">
        <v>53</v>
      </c>
      <c r="E100" s="1" t="s">
        <v>116</v>
      </c>
      <c r="F100" s="1" t="s">
        <v>150</v>
      </c>
      <c r="G100" s="1" t="s">
        <v>32</v>
      </c>
      <c r="H100" s="1" t="s">
        <v>57</v>
      </c>
      <c r="I100" s="1" t="s">
        <v>83</v>
      </c>
      <c r="J100" s="1" t="s">
        <v>35</v>
      </c>
      <c r="K100" s="1" t="s">
        <v>60</v>
      </c>
      <c r="L100" s="1" t="s">
        <v>37</v>
      </c>
      <c r="M100" s="1" t="s">
        <v>38</v>
      </c>
      <c r="N100" s="1" t="n">
        <v>9999</v>
      </c>
      <c r="O100" s="1" t="n">
        <v>20</v>
      </c>
      <c r="P100" s="1" t="n">
        <v>1999.8</v>
      </c>
      <c r="Q100" s="1" t="n">
        <v>7999.2</v>
      </c>
      <c r="R100" s="1" t="n">
        <v>1439.86</v>
      </c>
      <c r="S100" s="1" t="n">
        <v>6559.34</v>
      </c>
      <c r="T100" s="1" t="n">
        <v>2882.03</v>
      </c>
      <c r="U100" s="1" t="n">
        <v>3677.31</v>
      </c>
      <c r="V100" s="1" t="n">
        <v>56.06</v>
      </c>
      <c r="W100" s="1" t="s">
        <v>39</v>
      </c>
      <c r="X100" s="1" t="n">
        <v>3.7</v>
      </c>
      <c r="Y100" s="1" t="s">
        <v>40</v>
      </c>
      <c r="Z100" s="1" t="n">
        <v>2</v>
      </c>
    </row>
    <row r="101" customFormat="false" ht="15" hidden="false" customHeight="true" outlineLevel="0" collapsed="false">
      <c r="A101" s="1" t="s">
        <v>337</v>
      </c>
      <c r="B101" s="1" t="s">
        <v>338</v>
      </c>
      <c r="C101" s="1" t="s">
        <v>28</v>
      </c>
      <c r="D101" s="1" t="s">
        <v>80</v>
      </c>
      <c r="E101" s="1" t="s">
        <v>190</v>
      </c>
      <c r="F101" s="1" t="s">
        <v>67</v>
      </c>
      <c r="G101" s="1" t="s">
        <v>68</v>
      </c>
      <c r="H101" s="1" t="s">
        <v>69</v>
      </c>
      <c r="I101" s="1" t="s">
        <v>34</v>
      </c>
      <c r="J101" s="1" t="s">
        <v>35</v>
      </c>
      <c r="K101" s="1" t="s">
        <v>36</v>
      </c>
      <c r="L101" s="1" t="s">
        <v>136</v>
      </c>
      <c r="M101" s="1" t="s">
        <v>38</v>
      </c>
      <c r="N101" s="1" t="n">
        <v>15999</v>
      </c>
      <c r="O101" s="1" t="n">
        <v>0</v>
      </c>
      <c r="P101" s="1" t="n">
        <v>0</v>
      </c>
      <c r="Q101" s="1" t="n">
        <v>15999</v>
      </c>
      <c r="R101" s="1" t="n">
        <v>2879.82</v>
      </c>
      <c r="S101" s="1" t="n">
        <v>13119.18</v>
      </c>
      <c r="T101" s="1" t="n">
        <v>5504.61</v>
      </c>
      <c r="U101" s="1" t="n">
        <v>7614.57</v>
      </c>
      <c r="V101" s="1" t="n">
        <v>58.04</v>
      </c>
      <c r="W101" s="1" t="s">
        <v>39</v>
      </c>
      <c r="X101" s="1" t="n">
        <v>3.9</v>
      </c>
      <c r="Y101" s="1" t="s">
        <v>40</v>
      </c>
      <c r="Z101" s="1" t="n">
        <v>0</v>
      </c>
    </row>
    <row r="102" customFormat="false" ht="15" hidden="false" customHeight="true" outlineLevel="0" collapsed="false">
      <c r="A102" s="1" t="s">
        <v>339</v>
      </c>
      <c r="B102" s="1" t="s">
        <v>340</v>
      </c>
      <c r="C102" s="1" t="s">
        <v>43</v>
      </c>
      <c r="D102" s="1" t="s">
        <v>143</v>
      </c>
      <c r="E102" s="1" t="s">
        <v>243</v>
      </c>
      <c r="F102" s="1" t="s">
        <v>153</v>
      </c>
      <c r="G102" s="1" t="s">
        <v>76</v>
      </c>
      <c r="H102" s="1" t="s">
        <v>33</v>
      </c>
      <c r="I102" s="1" t="s">
        <v>34</v>
      </c>
      <c r="J102" s="1" t="s">
        <v>35</v>
      </c>
      <c r="K102" s="1" t="s">
        <v>48</v>
      </c>
      <c r="L102" s="1" t="s">
        <v>113</v>
      </c>
      <c r="M102" s="1" t="s">
        <v>38</v>
      </c>
      <c r="N102" s="1" t="n">
        <v>22999</v>
      </c>
      <c r="O102" s="1" t="n">
        <v>0</v>
      </c>
      <c r="P102" s="1" t="n">
        <v>0</v>
      </c>
      <c r="Q102" s="1" t="n">
        <v>22999</v>
      </c>
      <c r="R102" s="1" t="n">
        <v>4139.82</v>
      </c>
      <c r="S102" s="1" t="n">
        <v>18859.18</v>
      </c>
      <c r="T102" s="1" t="n">
        <v>9819.76</v>
      </c>
      <c r="U102" s="1" t="n">
        <v>9039.42</v>
      </c>
      <c r="V102" s="1" t="n">
        <v>47.93</v>
      </c>
      <c r="W102" s="1" t="s">
        <v>39</v>
      </c>
      <c r="X102" s="1" t="n">
        <v>2.9</v>
      </c>
      <c r="Y102" s="1" t="s">
        <v>40</v>
      </c>
      <c r="Z102" s="1" t="n">
        <v>2</v>
      </c>
    </row>
    <row r="103" customFormat="false" ht="15" hidden="false" customHeight="true" outlineLevel="0" collapsed="false">
      <c r="A103" s="1" t="s">
        <v>341</v>
      </c>
      <c r="B103" s="1" t="s">
        <v>342</v>
      </c>
      <c r="C103" s="1" t="s">
        <v>28</v>
      </c>
      <c r="D103" s="1" t="s">
        <v>53</v>
      </c>
      <c r="E103" s="1" t="s">
        <v>216</v>
      </c>
      <c r="F103" s="1" t="s">
        <v>205</v>
      </c>
      <c r="G103" s="1" t="s">
        <v>56</v>
      </c>
      <c r="H103" s="1" t="s">
        <v>69</v>
      </c>
      <c r="I103" s="1" t="s">
        <v>58</v>
      </c>
      <c r="J103" s="1" t="s">
        <v>131</v>
      </c>
      <c r="K103" s="1" t="s">
        <v>104</v>
      </c>
      <c r="L103" s="1" t="s">
        <v>61</v>
      </c>
      <c r="M103" s="1" t="s">
        <v>62</v>
      </c>
      <c r="N103" s="1" t="n">
        <v>7499</v>
      </c>
      <c r="O103" s="1" t="n">
        <v>0</v>
      </c>
      <c r="P103" s="1" t="n">
        <v>0</v>
      </c>
      <c r="Q103" s="1" t="n">
        <v>7499</v>
      </c>
      <c r="R103" s="1" t="n">
        <v>1349.82</v>
      </c>
      <c r="S103" s="1" t="n">
        <v>6149.18</v>
      </c>
      <c r="T103" s="1" t="n">
        <v>2421.36</v>
      </c>
      <c r="U103" s="1" t="n">
        <v>3727.82</v>
      </c>
      <c r="V103" s="1" t="n">
        <v>60.62</v>
      </c>
      <c r="W103" s="1" t="s">
        <v>39</v>
      </c>
      <c r="X103" s="1" t="n">
        <v>3.7</v>
      </c>
      <c r="Y103" s="1" t="s">
        <v>40</v>
      </c>
      <c r="Z103" s="1" t="n">
        <v>1</v>
      </c>
    </row>
    <row r="104" customFormat="false" ht="15" hidden="false" customHeight="true" outlineLevel="0" collapsed="false">
      <c r="A104" s="1" t="s">
        <v>343</v>
      </c>
      <c r="B104" s="1" t="s">
        <v>344</v>
      </c>
      <c r="C104" s="1" t="s">
        <v>100</v>
      </c>
      <c r="D104" s="1" t="s">
        <v>123</v>
      </c>
      <c r="E104" s="1" t="s">
        <v>147</v>
      </c>
      <c r="F104" s="1" t="s">
        <v>89</v>
      </c>
      <c r="G104" s="1" t="s">
        <v>68</v>
      </c>
      <c r="H104" s="1" t="s">
        <v>33</v>
      </c>
      <c r="I104" s="1" t="s">
        <v>34</v>
      </c>
      <c r="J104" s="1" t="s">
        <v>131</v>
      </c>
      <c r="K104" s="1" t="s">
        <v>90</v>
      </c>
      <c r="L104" s="1" t="s">
        <v>37</v>
      </c>
      <c r="M104" s="1" t="s">
        <v>38</v>
      </c>
      <c r="N104" s="1" t="n">
        <v>6999</v>
      </c>
      <c r="O104" s="1" t="n">
        <v>25</v>
      </c>
      <c r="P104" s="1" t="n">
        <v>1749.75</v>
      </c>
      <c r="Q104" s="1" t="n">
        <v>5249.25</v>
      </c>
      <c r="R104" s="1" t="n">
        <v>944.87</v>
      </c>
      <c r="S104" s="1" t="n">
        <v>4304.38</v>
      </c>
      <c r="T104" s="1" t="n">
        <v>1989.41</v>
      </c>
      <c r="U104" s="1" t="n">
        <v>2314.97</v>
      </c>
      <c r="V104" s="1" t="n">
        <v>53.78</v>
      </c>
      <c r="W104" s="1" t="s">
        <v>40</v>
      </c>
      <c r="Y104" s="1" t="s">
        <v>40</v>
      </c>
      <c r="Z104" s="1" t="n">
        <v>0</v>
      </c>
    </row>
    <row r="105" customFormat="false" ht="15" hidden="false" customHeight="true" outlineLevel="0" collapsed="false">
      <c r="A105" s="1" t="s">
        <v>345</v>
      </c>
      <c r="B105" s="1" t="s">
        <v>346</v>
      </c>
      <c r="C105" s="1" t="s">
        <v>74</v>
      </c>
      <c r="D105" s="1" t="s">
        <v>168</v>
      </c>
      <c r="E105" s="1" t="s">
        <v>197</v>
      </c>
      <c r="F105" s="1" t="s">
        <v>153</v>
      </c>
      <c r="G105" s="1" t="s">
        <v>76</v>
      </c>
      <c r="H105" s="1" t="s">
        <v>33</v>
      </c>
      <c r="I105" s="1" t="s">
        <v>83</v>
      </c>
      <c r="J105" s="1" t="s">
        <v>35</v>
      </c>
      <c r="K105" s="1" t="s">
        <v>112</v>
      </c>
      <c r="L105" s="1" t="s">
        <v>61</v>
      </c>
      <c r="M105" s="1" t="s">
        <v>50</v>
      </c>
      <c r="N105" s="1" t="n">
        <v>8499</v>
      </c>
      <c r="O105" s="1" t="n">
        <v>10</v>
      </c>
      <c r="P105" s="1" t="n">
        <v>849.9</v>
      </c>
      <c r="Q105" s="1" t="n">
        <v>7649.1</v>
      </c>
      <c r="R105" s="1" t="n">
        <v>1376.84</v>
      </c>
      <c r="S105" s="1" t="n">
        <v>6272.26</v>
      </c>
      <c r="T105" s="1" t="n">
        <v>2915.73</v>
      </c>
      <c r="U105" s="1" t="n">
        <v>3356.53</v>
      </c>
      <c r="V105" s="1" t="n">
        <v>53.51</v>
      </c>
      <c r="W105" s="1" t="s">
        <v>40</v>
      </c>
      <c r="Y105" s="1" t="s">
        <v>40</v>
      </c>
      <c r="Z105" s="1" t="n">
        <v>0</v>
      </c>
    </row>
    <row r="106" customFormat="false" ht="15" hidden="false" customHeight="true" outlineLevel="0" collapsed="false">
      <c r="A106" s="1" t="s">
        <v>347</v>
      </c>
      <c r="B106" s="1" t="s">
        <v>348</v>
      </c>
      <c r="C106" s="1" t="s">
        <v>74</v>
      </c>
      <c r="D106" s="1" t="s">
        <v>123</v>
      </c>
      <c r="E106" s="1" t="s">
        <v>124</v>
      </c>
      <c r="F106" s="1" t="s">
        <v>96</v>
      </c>
      <c r="G106" s="1" t="s">
        <v>97</v>
      </c>
      <c r="H106" s="1" t="s">
        <v>69</v>
      </c>
      <c r="I106" s="1" t="s">
        <v>83</v>
      </c>
      <c r="J106" s="1" t="s">
        <v>131</v>
      </c>
      <c r="K106" s="1" t="s">
        <v>112</v>
      </c>
      <c r="L106" s="1" t="s">
        <v>37</v>
      </c>
      <c r="M106" s="1" t="s">
        <v>62</v>
      </c>
      <c r="N106" s="1" t="n">
        <v>4999</v>
      </c>
      <c r="O106" s="1" t="n">
        <v>0</v>
      </c>
      <c r="P106" s="1" t="n">
        <v>0</v>
      </c>
      <c r="Q106" s="1" t="n">
        <v>4999</v>
      </c>
      <c r="R106" s="1" t="n">
        <v>899.82</v>
      </c>
      <c r="S106" s="1" t="n">
        <v>4099.18</v>
      </c>
      <c r="T106" s="1" t="n">
        <v>1729.19</v>
      </c>
      <c r="U106" s="1" t="n">
        <v>2369.99</v>
      </c>
      <c r="V106" s="1" t="n">
        <v>57.82</v>
      </c>
      <c r="W106" s="1" t="s">
        <v>39</v>
      </c>
      <c r="X106" s="1" t="n">
        <v>4.3</v>
      </c>
      <c r="Y106" s="1" t="s">
        <v>40</v>
      </c>
      <c r="Z106" s="1" t="n">
        <v>1</v>
      </c>
    </row>
    <row r="107" customFormat="false" ht="15" hidden="false" customHeight="true" outlineLevel="0" collapsed="false">
      <c r="A107" s="1" t="s">
        <v>349</v>
      </c>
      <c r="B107" s="1" t="s">
        <v>350</v>
      </c>
      <c r="C107" s="1" t="s">
        <v>178</v>
      </c>
      <c r="D107" s="1" t="s">
        <v>80</v>
      </c>
      <c r="E107" s="1" t="s">
        <v>81</v>
      </c>
      <c r="F107" s="1" t="s">
        <v>244</v>
      </c>
      <c r="G107" s="1" t="s">
        <v>97</v>
      </c>
      <c r="H107" s="1" t="s">
        <v>57</v>
      </c>
      <c r="I107" s="1" t="s">
        <v>83</v>
      </c>
      <c r="J107" s="1" t="s">
        <v>59</v>
      </c>
      <c r="K107" s="1" t="s">
        <v>104</v>
      </c>
      <c r="L107" s="1" t="s">
        <v>49</v>
      </c>
      <c r="M107" s="1" t="s">
        <v>50</v>
      </c>
      <c r="N107" s="1" t="n">
        <v>12999</v>
      </c>
      <c r="O107" s="1" t="n">
        <v>40</v>
      </c>
      <c r="P107" s="1" t="n">
        <v>5199.6</v>
      </c>
      <c r="Q107" s="1" t="n">
        <v>7799.4</v>
      </c>
      <c r="R107" s="1" t="n">
        <v>1403.89</v>
      </c>
      <c r="S107" s="1" t="n">
        <v>6395.51</v>
      </c>
      <c r="T107" s="1" t="n">
        <v>3120.99</v>
      </c>
      <c r="U107" s="1" t="n">
        <v>3274.52</v>
      </c>
      <c r="V107" s="1" t="n">
        <v>51.2</v>
      </c>
      <c r="W107" s="1" t="s">
        <v>39</v>
      </c>
      <c r="X107" s="1" t="n">
        <v>3.3</v>
      </c>
      <c r="Y107" s="1" t="s">
        <v>40</v>
      </c>
      <c r="Z107" s="1" t="n">
        <v>0</v>
      </c>
    </row>
    <row r="108" customFormat="false" ht="15" hidden="false" customHeight="true" outlineLevel="0" collapsed="false">
      <c r="A108" s="1" t="s">
        <v>351</v>
      </c>
      <c r="B108" s="1" t="s">
        <v>352</v>
      </c>
      <c r="C108" s="1" t="s">
        <v>128</v>
      </c>
      <c r="D108" s="1" t="s">
        <v>143</v>
      </c>
      <c r="E108" s="1" t="s">
        <v>162</v>
      </c>
      <c r="F108" s="1" t="s">
        <v>269</v>
      </c>
      <c r="G108" s="1" t="s">
        <v>108</v>
      </c>
      <c r="H108" s="1" t="s">
        <v>57</v>
      </c>
      <c r="I108" s="1" t="s">
        <v>83</v>
      </c>
      <c r="J108" s="1" t="s">
        <v>77</v>
      </c>
      <c r="K108" s="1" t="s">
        <v>71</v>
      </c>
      <c r="L108" s="1" t="s">
        <v>85</v>
      </c>
      <c r="M108" s="1" t="s">
        <v>50</v>
      </c>
      <c r="N108" s="1" t="n">
        <v>14999</v>
      </c>
      <c r="O108" s="1" t="n">
        <v>5</v>
      </c>
      <c r="P108" s="1" t="n">
        <v>749.95</v>
      </c>
      <c r="Q108" s="1" t="n">
        <v>14249.05</v>
      </c>
      <c r="R108" s="1" t="n">
        <v>2564.83</v>
      </c>
      <c r="S108" s="1" t="n">
        <v>11684.22</v>
      </c>
      <c r="T108" s="1" t="n">
        <v>4916.36</v>
      </c>
      <c r="U108" s="1" t="n">
        <v>6767.86</v>
      </c>
      <c r="V108" s="1" t="n">
        <v>57.92</v>
      </c>
      <c r="W108" s="1" t="s">
        <v>39</v>
      </c>
      <c r="X108" s="1" t="n">
        <v>3.7</v>
      </c>
      <c r="Y108" s="1" t="s">
        <v>40</v>
      </c>
      <c r="Z108" s="1" t="n">
        <v>0</v>
      </c>
    </row>
    <row r="109" customFormat="false" ht="15" hidden="false" customHeight="true" outlineLevel="0" collapsed="false">
      <c r="A109" s="1" t="s">
        <v>353</v>
      </c>
      <c r="B109" s="1" t="s">
        <v>354</v>
      </c>
      <c r="C109" s="1" t="s">
        <v>178</v>
      </c>
      <c r="D109" s="1" t="s">
        <v>168</v>
      </c>
      <c r="E109" s="1" t="s">
        <v>169</v>
      </c>
      <c r="F109" s="1" t="s">
        <v>96</v>
      </c>
      <c r="G109" s="1" t="s">
        <v>97</v>
      </c>
      <c r="H109" s="1" t="s">
        <v>69</v>
      </c>
      <c r="I109" s="1" t="s">
        <v>83</v>
      </c>
      <c r="J109" s="1" t="s">
        <v>70</v>
      </c>
      <c r="K109" s="1" t="s">
        <v>60</v>
      </c>
      <c r="L109" s="1" t="s">
        <v>49</v>
      </c>
      <c r="M109" s="1" t="s">
        <v>38</v>
      </c>
      <c r="N109" s="1" t="n">
        <v>4999</v>
      </c>
      <c r="O109" s="1" t="n">
        <v>15</v>
      </c>
      <c r="P109" s="1" t="n">
        <v>749.85</v>
      </c>
      <c r="Q109" s="1" t="n">
        <v>4249.15</v>
      </c>
      <c r="R109" s="1" t="n">
        <v>764.85</v>
      </c>
      <c r="S109" s="1" t="n">
        <v>3484.3</v>
      </c>
      <c r="T109" s="1" t="n">
        <v>1347.44</v>
      </c>
      <c r="U109" s="1" t="n">
        <v>2136.86</v>
      </c>
      <c r="V109" s="1" t="n">
        <v>61.33</v>
      </c>
      <c r="W109" s="1" t="s">
        <v>39</v>
      </c>
      <c r="X109" s="1" t="n">
        <v>3.4</v>
      </c>
      <c r="Y109" s="1" t="s">
        <v>40</v>
      </c>
      <c r="Z109" s="1" t="n">
        <v>0</v>
      </c>
    </row>
    <row r="110" customFormat="false" ht="15" hidden="false" customHeight="true" outlineLevel="0" collapsed="false">
      <c r="A110" s="1" t="s">
        <v>355</v>
      </c>
      <c r="B110" s="1" t="s">
        <v>356</v>
      </c>
      <c r="C110" s="1" t="s">
        <v>65</v>
      </c>
      <c r="D110" s="1" t="s">
        <v>94</v>
      </c>
      <c r="E110" s="1" t="s">
        <v>95</v>
      </c>
      <c r="F110" s="1" t="s">
        <v>46</v>
      </c>
      <c r="G110" s="1" t="s">
        <v>47</v>
      </c>
      <c r="H110" s="1" t="s">
        <v>33</v>
      </c>
      <c r="I110" s="1" t="s">
        <v>83</v>
      </c>
      <c r="J110" s="1" t="s">
        <v>35</v>
      </c>
      <c r="K110" s="1" t="s">
        <v>90</v>
      </c>
      <c r="L110" s="1" t="s">
        <v>113</v>
      </c>
      <c r="M110" s="1" t="s">
        <v>62</v>
      </c>
      <c r="N110" s="1" t="n">
        <v>6999</v>
      </c>
      <c r="O110" s="1" t="n">
        <v>0</v>
      </c>
      <c r="P110" s="1" t="n">
        <v>0</v>
      </c>
      <c r="Q110" s="1" t="n">
        <v>6999</v>
      </c>
      <c r="R110" s="1" t="n">
        <v>1259.82</v>
      </c>
      <c r="S110" s="1" t="n">
        <v>5739.18</v>
      </c>
      <c r="T110" s="1" t="n">
        <v>2817.16</v>
      </c>
      <c r="U110" s="1" t="n">
        <v>2922.02</v>
      </c>
      <c r="V110" s="1" t="n">
        <v>50.91</v>
      </c>
      <c r="W110" s="1" t="s">
        <v>40</v>
      </c>
      <c r="Y110" s="1" t="s">
        <v>40</v>
      </c>
      <c r="Z110" s="1" t="n">
        <v>2</v>
      </c>
    </row>
    <row r="111" customFormat="false" ht="15" hidden="false" customHeight="true" outlineLevel="0" collapsed="false">
      <c r="A111" s="1" t="s">
        <v>357</v>
      </c>
      <c r="B111" s="1" t="s">
        <v>358</v>
      </c>
      <c r="C111" s="1" t="s">
        <v>43</v>
      </c>
      <c r="D111" s="1" t="s">
        <v>44</v>
      </c>
      <c r="E111" s="1" t="s">
        <v>66</v>
      </c>
      <c r="F111" s="1" t="s">
        <v>96</v>
      </c>
      <c r="G111" s="1" t="s">
        <v>97</v>
      </c>
      <c r="H111" s="1" t="s">
        <v>69</v>
      </c>
      <c r="I111" s="1" t="s">
        <v>34</v>
      </c>
      <c r="J111" s="1" t="s">
        <v>77</v>
      </c>
      <c r="K111" s="1" t="s">
        <v>71</v>
      </c>
      <c r="L111" s="1" t="s">
        <v>136</v>
      </c>
      <c r="M111" s="1" t="s">
        <v>62</v>
      </c>
      <c r="N111" s="1" t="n">
        <v>12999</v>
      </c>
      <c r="O111" s="1" t="n">
        <v>0</v>
      </c>
      <c r="P111" s="1" t="n">
        <v>0</v>
      </c>
      <c r="Q111" s="1" t="n">
        <v>12999</v>
      </c>
      <c r="R111" s="1" t="n">
        <v>2339.82</v>
      </c>
      <c r="S111" s="1" t="n">
        <v>10659.18</v>
      </c>
      <c r="T111" s="1" t="n">
        <v>4202.47</v>
      </c>
      <c r="U111" s="1" t="n">
        <v>6456.71</v>
      </c>
      <c r="V111" s="1" t="n">
        <v>60.57</v>
      </c>
      <c r="W111" s="1" t="s">
        <v>39</v>
      </c>
      <c r="X111" s="1" t="n">
        <v>3.9</v>
      </c>
      <c r="Y111" s="1" t="s">
        <v>40</v>
      </c>
      <c r="Z111" s="1" t="n">
        <v>0</v>
      </c>
    </row>
    <row r="112" customFormat="false" ht="15" hidden="false" customHeight="true" outlineLevel="0" collapsed="false">
      <c r="A112" s="1" t="s">
        <v>359</v>
      </c>
      <c r="B112" s="1" t="s">
        <v>360</v>
      </c>
      <c r="C112" s="1" t="s">
        <v>88</v>
      </c>
      <c r="D112" s="1" t="s">
        <v>94</v>
      </c>
      <c r="E112" s="1" t="s">
        <v>95</v>
      </c>
      <c r="F112" s="1" t="s">
        <v>102</v>
      </c>
      <c r="G112" s="1" t="s">
        <v>103</v>
      </c>
      <c r="H112" s="1" t="s">
        <v>33</v>
      </c>
      <c r="I112" s="1" t="s">
        <v>83</v>
      </c>
      <c r="J112" s="1" t="s">
        <v>35</v>
      </c>
      <c r="K112" s="1" t="s">
        <v>90</v>
      </c>
      <c r="L112" s="1" t="s">
        <v>85</v>
      </c>
      <c r="M112" s="1" t="s">
        <v>62</v>
      </c>
      <c r="N112" s="1" t="n">
        <v>6999</v>
      </c>
      <c r="O112" s="1" t="n">
        <v>0</v>
      </c>
      <c r="P112" s="1" t="n">
        <v>0</v>
      </c>
      <c r="Q112" s="1" t="n">
        <v>6999</v>
      </c>
      <c r="R112" s="1" t="n">
        <v>1259.82</v>
      </c>
      <c r="S112" s="1" t="n">
        <v>5739.18</v>
      </c>
      <c r="T112" s="1" t="n">
        <v>1945.78</v>
      </c>
      <c r="U112" s="1" t="n">
        <v>3793.4</v>
      </c>
      <c r="V112" s="1" t="n">
        <v>66.1</v>
      </c>
      <c r="W112" s="1" t="s">
        <v>39</v>
      </c>
      <c r="X112" s="1" t="n">
        <v>2.6</v>
      </c>
      <c r="Y112" s="1" t="s">
        <v>40</v>
      </c>
      <c r="Z112" s="1" t="n">
        <v>0</v>
      </c>
    </row>
    <row r="113" customFormat="false" ht="15" hidden="false" customHeight="true" outlineLevel="0" collapsed="false">
      <c r="A113" s="1" t="s">
        <v>361</v>
      </c>
      <c r="B113" s="1" t="s">
        <v>362</v>
      </c>
      <c r="C113" s="1" t="s">
        <v>264</v>
      </c>
      <c r="D113" s="1" t="s">
        <v>29</v>
      </c>
      <c r="E113" s="1" t="s">
        <v>305</v>
      </c>
      <c r="F113" s="1" t="s">
        <v>120</v>
      </c>
      <c r="G113" s="1" t="s">
        <v>47</v>
      </c>
      <c r="H113" s="1" t="s">
        <v>57</v>
      </c>
      <c r="I113" s="1" t="s">
        <v>83</v>
      </c>
      <c r="J113" s="1" t="s">
        <v>131</v>
      </c>
      <c r="K113" s="1" t="s">
        <v>84</v>
      </c>
      <c r="L113" s="1" t="s">
        <v>85</v>
      </c>
      <c r="M113" s="1" t="s">
        <v>50</v>
      </c>
      <c r="N113" s="1" t="n">
        <v>24999</v>
      </c>
      <c r="O113" s="1" t="n">
        <v>0</v>
      </c>
      <c r="P113" s="1" t="n">
        <v>0</v>
      </c>
      <c r="Q113" s="1" t="n">
        <v>24999</v>
      </c>
      <c r="R113" s="1" t="n">
        <v>4499.82</v>
      </c>
      <c r="S113" s="1" t="n">
        <v>20499.18</v>
      </c>
      <c r="T113" s="1" t="n">
        <v>7889.2</v>
      </c>
      <c r="U113" s="1" t="n">
        <v>12609.98</v>
      </c>
      <c r="V113" s="1" t="n">
        <v>61.51</v>
      </c>
      <c r="W113" s="1" t="s">
        <v>40</v>
      </c>
      <c r="Y113" s="1" t="s">
        <v>39</v>
      </c>
      <c r="Z113" s="1" t="n">
        <v>0</v>
      </c>
    </row>
    <row r="114" customFormat="false" ht="15" hidden="false" customHeight="true" outlineLevel="0" collapsed="false">
      <c r="A114" s="1" t="s">
        <v>363</v>
      </c>
      <c r="B114" s="1" t="s">
        <v>364</v>
      </c>
      <c r="C114" s="1" t="s">
        <v>28</v>
      </c>
      <c r="D114" s="1" t="s">
        <v>94</v>
      </c>
      <c r="E114" s="1" t="s">
        <v>135</v>
      </c>
      <c r="F114" s="1" t="s">
        <v>156</v>
      </c>
      <c r="G114" s="1" t="s">
        <v>68</v>
      </c>
      <c r="H114" s="1" t="s">
        <v>57</v>
      </c>
      <c r="I114" s="1" t="s">
        <v>34</v>
      </c>
      <c r="J114" s="1" t="s">
        <v>131</v>
      </c>
      <c r="K114" s="1" t="s">
        <v>90</v>
      </c>
      <c r="L114" s="1" t="s">
        <v>113</v>
      </c>
      <c r="M114" s="1" t="s">
        <v>50</v>
      </c>
      <c r="N114" s="1" t="n">
        <v>9999</v>
      </c>
      <c r="O114" s="1" t="n">
        <v>10</v>
      </c>
      <c r="P114" s="1" t="n">
        <v>999.9</v>
      </c>
      <c r="Q114" s="1" t="n">
        <v>8999.1</v>
      </c>
      <c r="R114" s="1" t="n">
        <v>1619.84</v>
      </c>
      <c r="S114" s="1" t="n">
        <v>7379.26</v>
      </c>
      <c r="T114" s="1" t="n">
        <v>2580.68</v>
      </c>
      <c r="U114" s="1" t="n">
        <v>4798.58</v>
      </c>
      <c r="V114" s="1" t="n">
        <v>65.03</v>
      </c>
      <c r="W114" s="1" t="s">
        <v>40</v>
      </c>
      <c r="Y114" s="1" t="s">
        <v>40</v>
      </c>
      <c r="Z114" s="1" t="n">
        <v>1</v>
      </c>
    </row>
    <row r="115" customFormat="false" ht="15" hidden="false" customHeight="true" outlineLevel="0" collapsed="false">
      <c r="A115" s="1" t="s">
        <v>365</v>
      </c>
      <c r="B115" s="1" t="s">
        <v>366</v>
      </c>
      <c r="C115" s="1" t="s">
        <v>264</v>
      </c>
      <c r="D115" s="1" t="s">
        <v>80</v>
      </c>
      <c r="E115" s="1" t="s">
        <v>190</v>
      </c>
      <c r="F115" s="1" t="s">
        <v>323</v>
      </c>
      <c r="G115" s="1" t="s">
        <v>47</v>
      </c>
      <c r="H115" s="1" t="s">
        <v>69</v>
      </c>
      <c r="I115" s="1" t="s">
        <v>34</v>
      </c>
      <c r="J115" s="1" t="s">
        <v>131</v>
      </c>
      <c r="K115" s="1" t="s">
        <v>36</v>
      </c>
      <c r="L115" s="1" t="s">
        <v>136</v>
      </c>
      <c r="M115" s="1" t="s">
        <v>38</v>
      </c>
      <c r="N115" s="1" t="n">
        <v>15999</v>
      </c>
      <c r="O115" s="1" t="n">
        <v>10</v>
      </c>
      <c r="P115" s="1" t="n">
        <v>1599.9</v>
      </c>
      <c r="Q115" s="1" t="n">
        <v>14399.1</v>
      </c>
      <c r="R115" s="1" t="n">
        <v>2591.84</v>
      </c>
      <c r="S115" s="1" t="n">
        <v>11807.26</v>
      </c>
      <c r="T115" s="1" t="n">
        <v>4249.32</v>
      </c>
      <c r="U115" s="1" t="n">
        <v>7557.94</v>
      </c>
      <c r="V115" s="1" t="n">
        <v>64.01</v>
      </c>
      <c r="W115" s="1" t="s">
        <v>40</v>
      </c>
      <c r="Y115" s="1" t="s">
        <v>40</v>
      </c>
      <c r="Z115" s="1" t="n">
        <v>0</v>
      </c>
    </row>
    <row r="116" customFormat="false" ht="15" hidden="false" customHeight="true" outlineLevel="0" collapsed="false">
      <c r="A116" s="1" t="s">
        <v>367</v>
      </c>
      <c r="B116" s="1" t="s">
        <v>232</v>
      </c>
      <c r="C116" s="1" t="s">
        <v>264</v>
      </c>
      <c r="D116" s="1" t="s">
        <v>143</v>
      </c>
      <c r="E116" s="1" t="s">
        <v>243</v>
      </c>
      <c r="F116" s="1" t="s">
        <v>67</v>
      </c>
      <c r="G116" s="1" t="s">
        <v>68</v>
      </c>
      <c r="H116" s="1" t="s">
        <v>69</v>
      </c>
      <c r="I116" s="1" t="s">
        <v>83</v>
      </c>
      <c r="J116" s="1" t="s">
        <v>59</v>
      </c>
      <c r="K116" s="1" t="s">
        <v>112</v>
      </c>
      <c r="L116" s="1" t="s">
        <v>37</v>
      </c>
      <c r="M116" s="1" t="s">
        <v>62</v>
      </c>
      <c r="N116" s="1" t="n">
        <v>22999</v>
      </c>
      <c r="O116" s="1" t="n">
        <v>30</v>
      </c>
      <c r="P116" s="1" t="n">
        <v>6899.7</v>
      </c>
      <c r="Q116" s="1" t="n">
        <v>16099.3</v>
      </c>
      <c r="R116" s="1" t="n">
        <v>2897.87</v>
      </c>
      <c r="S116" s="1" t="n">
        <v>13201.43</v>
      </c>
      <c r="T116" s="1" t="n">
        <v>4845.74</v>
      </c>
      <c r="U116" s="1" t="n">
        <v>8355.69</v>
      </c>
      <c r="V116" s="1" t="n">
        <v>63.29</v>
      </c>
      <c r="W116" s="1" t="s">
        <v>40</v>
      </c>
      <c r="Y116" s="1" t="s">
        <v>40</v>
      </c>
      <c r="Z116" s="1" t="n">
        <v>0</v>
      </c>
    </row>
    <row r="117" customFormat="false" ht="15" hidden="false" customHeight="true" outlineLevel="0" collapsed="false">
      <c r="A117" s="1" t="s">
        <v>368</v>
      </c>
      <c r="B117" s="1" t="s">
        <v>369</v>
      </c>
      <c r="C117" s="1" t="s">
        <v>28</v>
      </c>
      <c r="D117" s="1" t="s">
        <v>123</v>
      </c>
      <c r="E117" s="1" t="s">
        <v>147</v>
      </c>
      <c r="F117" s="1" t="s">
        <v>67</v>
      </c>
      <c r="G117" s="1" t="s">
        <v>68</v>
      </c>
      <c r="H117" s="1" t="s">
        <v>69</v>
      </c>
      <c r="I117" s="1" t="s">
        <v>34</v>
      </c>
      <c r="J117" s="1" t="s">
        <v>131</v>
      </c>
      <c r="K117" s="1" t="s">
        <v>60</v>
      </c>
      <c r="L117" s="1" t="s">
        <v>85</v>
      </c>
      <c r="M117" s="1" t="s">
        <v>50</v>
      </c>
      <c r="N117" s="1" t="n">
        <v>6999</v>
      </c>
      <c r="O117" s="1" t="n">
        <v>0</v>
      </c>
      <c r="P117" s="1" t="n">
        <v>0</v>
      </c>
      <c r="Q117" s="1" t="n">
        <v>6999</v>
      </c>
      <c r="R117" s="1" t="n">
        <v>1259.82</v>
      </c>
      <c r="S117" s="1" t="n">
        <v>5739.18</v>
      </c>
      <c r="T117" s="1" t="n">
        <v>2006.96</v>
      </c>
      <c r="U117" s="1" t="n">
        <v>3732.22</v>
      </c>
      <c r="V117" s="1" t="n">
        <v>65.03</v>
      </c>
      <c r="W117" s="1" t="s">
        <v>39</v>
      </c>
      <c r="X117" s="1" t="n">
        <v>2.7</v>
      </c>
      <c r="Y117" s="1" t="s">
        <v>40</v>
      </c>
      <c r="Z117" s="1" t="n">
        <v>0</v>
      </c>
    </row>
    <row r="118" customFormat="false" ht="15" hidden="false" customHeight="true" outlineLevel="0" collapsed="false">
      <c r="A118" s="1" t="s">
        <v>370</v>
      </c>
      <c r="B118" s="1" t="s">
        <v>371</v>
      </c>
      <c r="C118" s="1" t="s">
        <v>119</v>
      </c>
      <c r="D118" s="1" t="s">
        <v>168</v>
      </c>
      <c r="E118" s="1" t="s">
        <v>172</v>
      </c>
      <c r="F118" s="1" t="s">
        <v>205</v>
      </c>
      <c r="G118" s="1" t="s">
        <v>56</v>
      </c>
      <c r="H118" s="1" t="s">
        <v>69</v>
      </c>
      <c r="I118" s="1" t="s">
        <v>83</v>
      </c>
      <c r="J118" s="1" t="s">
        <v>70</v>
      </c>
      <c r="K118" s="1" t="s">
        <v>84</v>
      </c>
      <c r="L118" s="1" t="s">
        <v>85</v>
      </c>
      <c r="M118" s="1" t="s">
        <v>50</v>
      </c>
      <c r="N118" s="1" t="n">
        <v>6999</v>
      </c>
      <c r="O118" s="1" t="n">
        <v>0</v>
      </c>
      <c r="P118" s="1" t="n">
        <v>0</v>
      </c>
      <c r="Q118" s="1" t="n">
        <v>6999</v>
      </c>
      <c r="R118" s="1" t="n">
        <v>1259.82</v>
      </c>
      <c r="S118" s="1" t="n">
        <v>5739.18</v>
      </c>
      <c r="T118" s="1" t="n">
        <v>2275.11</v>
      </c>
      <c r="U118" s="1" t="n">
        <v>3464.07</v>
      </c>
      <c r="V118" s="1" t="n">
        <v>60.36</v>
      </c>
      <c r="W118" s="1" t="s">
        <v>40</v>
      </c>
      <c r="Y118" s="1" t="s">
        <v>39</v>
      </c>
      <c r="Z118" s="1" t="n">
        <v>1</v>
      </c>
    </row>
    <row r="119" customFormat="false" ht="15" hidden="false" customHeight="true" outlineLevel="0" collapsed="false">
      <c r="A119" s="1" t="s">
        <v>372</v>
      </c>
      <c r="B119" s="1" t="s">
        <v>373</v>
      </c>
      <c r="C119" s="1" t="s">
        <v>264</v>
      </c>
      <c r="D119" s="1" t="s">
        <v>29</v>
      </c>
      <c r="E119" s="1" t="s">
        <v>129</v>
      </c>
      <c r="F119" s="1" t="s">
        <v>184</v>
      </c>
      <c r="G119" s="1" t="s">
        <v>56</v>
      </c>
      <c r="H119" s="1" t="s">
        <v>57</v>
      </c>
      <c r="I119" s="1" t="s">
        <v>58</v>
      </c>
      <c r="J119" s="1" t="s">
        <v>131</v>
      </c>
      <c r="K119" s="1" t="s">
        <v>48</v>
      </c>
      <c r="L119" s="1" t="s">
        <v>85</v>
      </c>
      <c r="M119" s="1" t="s">
        <v>38</v>
      </c>
      <c r="N119" s="1" t="n">
        <v>29999</v>
      </c>
      <c r="O119" s="1" t="n">
        <v>5</v>
      </c>
      <c r="P119" s="1" t="n">
        <v>1499.95</v>
      </c>
      <c r="Q119" s="1" t="n">
        <v>28499.05</v>
      </c>
      <c r="R119" s="1" t="n">
        <v>5129.83</v>
      </c>
      <c r="S119" s="1" t="n">
        <v>23369.22</v>
      </c>
      <c r="T119" s="1" t="n">
        <v>10395.46</v>
      </c>
      <c r="U119" s="1" t="n">
        <v>12973.76</v>
      </c>
      <c r="V119" s="1" t="n">
        <v>55.52</v>
      </c>
      <c r="W119" s="1" t="s">
        <v>39</v>
      </c>
      <c r="X119" s="1" t="n">
        <v>4.3</v>
      </c>
      <c r="Y119" s="1" t="s">
        <v>40</v>
      </c>
      <c r="Z119" s="1" t="n">
        <v>0</v>
      </c>
    </row>
    <row r="120" customFormat="false" ht="15" hidden="false" customHeight="true" outlineLevel="0" collapsed="false">
      <c r="A120" s="1" t="s">
        <v>374</v>
      </c>
      <c r="B120" s="1" t="s">
        <v>304</v>
      </c>
      <c r="C120" s="1" t="s">
        <v>74</v>
      </c>
      <c r="D120" s="1" t="s">
        <v>80</v>
      </c>
      <c r="E120" s="1" t="s">
        <v>193</v>
      </c>
      <c r="F120" s="1" t="s">
        <v>75</v>
      </c>
      <c r="G120" s="1" t="s">
        <v>76</v>
      </c>
      <c r="H120" s="1" t="s">
        <v>69</v>
      </c>
      <c r="I120" s="1" t="s">
        <v>34</v>
      </c>
      <c r="J120" s="1" t="s">
        <v>131</v>
      </c>
      <c r="K120" s="1" t="s">
        <v>90</v>
      </c>
      <c r="L120" s="1" t="s">
        <v>136</v>
      </c>
      <c r="M120" s="1" t="s">
        <v>50</v>
      </c>
      <c r="N120" s="1" t="n">
        <v>8999</v>
      </c>
      <c r="O120" s="1" t="n">
        <v>40</v>
      </c>
      <c r="P120" s="1" t="n">
        <v>3599.6</v>
      </c>
      <c r="Q120" s="1" t="n">
        <v>5399.4</v>
      </c>
      <c r="R120" s="1" t="n">
        <v>971.89</v>
      </c>
      <c r="S120" s="1" t="n">
        <v>4427.51</v>
      </c>
      <c r="T120" s="1" t="n">
        <v>2040.36</v>
      </c>
      <c r="U120" s="1" t="n">
        <v>2387.15</v>
      </c>
      <c r="V120" s="1" t="n">
        <v>53.92</v>
      </c>
      <c r="W120" s="1" t="s">
        <v>40</v>
      </c>
      <c r="Y120" s="1" t="s">
        <v>40</v>
      </c>
      <c r="Z120" s="1" t="n">
        <v>2</v>
      </c>
    </row>
    <row r="121" customFormat="false" ht="15" hidden="false" customHeight="true" outlineLevel="0" collapsed="false">
      <c r="A121" s="1" t="s">
        <v>375</v>
      </c>
      <c r="B121" s="1" t="s">
        <v>376</v>
      </c>
      <c r="C121" s="1" t="s">
        <v>249</v>
      </c>
      <c r="D121" s="1" t="s">
        <v>94</v>
      </c>
      <c r="E121" s="1" t="s">
        <v>101</v>
      </c>
      <c r="F121" s="1" t="s">
        <v>140</v>
      </c>
      <c r="G121" s="1" t="s">
        <v>97</v>
      </c>
      <c r="H121" s="1" t="s">
        <v>57</v>
      </c>
      <c r="I121" s="1" t="s">
        <v>83</v>
      </c>
      <c r="J121" s="1" t="s">
        <v>77</v>
      </c>
      <c r="K121" s="1" t="s">
        <v>71</v>
      </c>
      <c r="L121" s="1" t="s">
        <v>61</v>
      </c>
      <c r="M121" s="1" t="s">
        <v>62</v>
      </c>
      <c r="N121" s="1" t="n">
        <v>14999</v>
      </c>
      <c r="O121" s="1" t="n">
        <v>50</v>
      </c>
      <c r="P121" s="1" t="n">
        <v>7499.5</v>
      </c>
      <c r="Q121" s="1" t="n">
        <v>7499.5</v>
      </c>
      <c r="R121" s="1" t="n">
        <v>1349.91</v>
      </c>
      <c r="S121" s="1" t="n">
        <v>6149.59</v>
      </c>
      <c r="T121" s="1" t="n">
        <v>3043.5</v>
      </c>
      <c r="U121" s="1" t="n">
        <v>3106.09</v>
      </c>
      <c r="V121" s="1" t="n">
        <v>50.51</v>
      </c>
      <c r="W121" s="1" t="s">
        <v>40</v>
      </c>
      <c r="Y121" s="1" t="s">
        <v>40</v>
      </c>
      <c r="Z121" s="1" t="n">
        <v>1</v>
      </c>
    </row>
    <row r="122" customFormat="false" ht="15" hidden="false" customHeight="true" outlineLevel="0" collapsed="false">
      <c r="A122" s="1" t="s">
        <v>377</v>
      </c>
      <c r="B122" s="1" t="s">
        <v>378</v>
      </c>
      <c r="C122" s="1" t="s">
        <v>43</v>
      </c>
      <c r="D122" s="1" t="s">
        <v>123</v>
      </c>
      <c r="E122" s="1" t="s">
        <v>233</v>
      </c>
      <c r="F122" s="1" t="s">
        <v>46</v>
      </c>
      <c r="G122" s="1" t="s">
        <v>47</v>
      </c>
      <c r="H122" s="1" t="s">
        <v>33</v>
      </c>
      <c r="I122" s="1" t="s">
        <v>58</v>
      </c>
      <c r="J122" s="1" t="s">
        <v>59</v>
      </c>
      <c r="K122" s="1" t="s">
        <v>60</v>
      </c>
      <c r="L122" s="1" t="s">
        <v>61</v>
      </c>
      <c r="M122" s="1" t="s">
        <v>38</v>
      </c>
      <c r="N122" s="1" t="n">
        <v>8999</v>
      </c>
      <c r="O122" s="1" t="n">
        <v>10</v>
      </c>
      <c r="P122" s="1" t="n">
        <v>899.9</v>
      </c>
      <c r="Q122" s="1" t="n">
        <v>8099.1</v>
      </c>
      <c r="R122" s="1" t="n">
        <v>1457.84</v>
      </c>
      <c r="S122" s="1" t="n">
        <v>6641.26</v>
      </c>
      <c r="T122" s="1" t="n">
        <v>3396.92</v>
      </c>
      <c r="U122" s="1" t="n">
        <v>3244.34</v>
      </c>
      <c r="V122" s="1" t="n">
        <v>48.85</v>
      </c>
      <c r="W122" s="1" t="s">
        <v>39</v>
      </c>
      <c r="X122" s="1" t="n">
        <v>3.7</v>
      </c>
      <c r="Y122" s="1" t="s">
        <v>40</v>
      </c>
      <c r="Z122" s="1" t="n">
        <v>0</v>
      </c>
    </row>
    <row r="123" customFormat="false" ht="15" hidden="false" customHeight="true" outlineLevel="0" collapsed="false">
      <c r="A123" s="1" t="s">
        <v>379</v>
      </c>
      <c r="B123" s="1" t="s">
        <v>380</v>
      </c>
      <c r="C123" s="1" t="s">
        <v>178</v>
      </c>
      <c r="D123" s="1" t="s">
        <v>94</v>
      </c>
      <c r="E123" s="1" t="s">
        <v>101</v>
      </c>
      <c r="F123" s="1" t="s">
        <v>67</v>
      </c>
      <c r="G123" s="1" t="s">
        <v>68</v>
      </c>
      <c r="H123" s="1" t="s">
        <v>69</v>
      </c>
      <c r="I123" s="1" t="s">
        <v>34</v>
      </c>
      <c r="J123" s="1" t="s">
        <v>70</v>
      </c>
      <c r="K123" s="1" t="s">
        <v>112</v>
      </c>
      <c r="L123" s="1" t="s">
        <v>61</v>
      </c>
      <c r="M123" s="1" t="s">
        <v>62</v>
      </c>
      <c r="N123" s="1" t="n">
        <v>14999</v>
      </c>
      <c r="O123" s="1" t="n">
        <v>5</v>
      </c>
      <c r="P123" s="1" t="n">
        <v>749.95</v>
      </c>
      <c r="Q123" s="1" t="n">
        <v>14249.05</v>
      </c>
      <c r="R123" s="1" t="n">
        <v>2564.83</v>
      </c>
      <c r="S123" s="1" t="n">
        <v>11684.22</v>
      </c>
      <c r="T123" s="1" t="n">
        <v>4813.86</v>
      </c>
      <c r="U123" s="1" t="n">
        <v>6870.36</v>
      </c>
      <c r="V123" s="1" t="n">
        <v>58.8</v>
      </c>
      <c r="W123" s="1" t="s">
        <v>39</v>
      </c>
      <c r="X123" s="1" t="n">
        <v>3.6</v>
      </c>
      <c r="Y123" s="1" t="s">
        <v>40</v>
      </c>
      <c r="Z123" s="1" t="n">
        <v>0</v>
      </c>
    </row>
    <row r="124" customFormat="false" ht="15" hidden="false" customHeight="true" outlineLevel="0" collapsed="false">
      <c r="A124" s="1" t="s">
        <v>381</v>
      </c>
      <c r="B124" s="1" t="s">
        <v>382</v>
      </c>
      <c r="C124" s="1" t="s">
        <v>134</v>
      </c>
      <c r="D124" s="1" t="s">
        <v>53</v>
      </c>
      <c r="E124" s="1" t="s">
        <v>116</v>
      </c>
      <c r="F124" s="1" t="s">
        <v>383</v>
      </c>
      <c r="G124" s="1" t="s">
        <v>56</v>
      </c>
      <c r="H124" s="1" t="s">
        <v>57</v>
      </c>
      <c r="I124" s="1" t="s">
        <v>34</v>
      </c>
      <c r="J124" s="1" t="s">
        <v>77</v>
      </c>
      <c r="K124" s="1" t="s">
        <v>112</v>
      </c>
      <c r="L124" s="1" t="s">
        <v>49</v>
      </c>
      <c r="M124" s="1" t="s">
        <v>62</v>
      </c>
      <c r="N124" s="1" t="n">
        <v>9999</v>
      </c>
      <c r="O124" s="1" t="n">
        <v>25</v>
      </c>
      <c r="P124" s="1" t="n">
        <v>2499.75</v>
      </c>
      <c r="Q124" s="1" t="n">
        <v>7499.25</v>
      </c>
      <c r="R124" s="1" t="n">
        <v>1349.87</v>
      </c>
      <c r="S124" s="1" t="n">
        <v>6149.38</v>
      </c>
      <c r="T124" s="1" t="n">
        <v>2985.22</v>
      </c>
      <c r="U124" s="1" t="n">
        <v>3164.16</v>
      </c>
      <c r="V124" s="1" t="n">
        <v>51.45</v>
      </c>
      <c r="W124" s="1" t="s">
        <v>39</v>
      </c>
      <c r="Y124" s="1" t="s">
        <v>40</v>
      </c>
      <c r="Z124" s="1" t="n">
        <v>0</v>
      </c>
    </row>
    <row r="125" customFormat="false" ht="15" hidden="false" customHeight="true" outlineLevel="0" collapsed="false">
      <c r="A125" s="1" t="s">
        <v>384</v>
      </c>
      <c r="B125" s="1" t="s">
        <v>385</v>
      </c>
      <c r="C125" s="1" t="s">
        <v>134</v>
      </c>
      <c r="D125" s="1" t="s">
        <v>123</v>
      </c>
      <c r="E125" s="1" t="s">
        <v>147</v>
      </c>
      <c r="F125" s="1" t="s">
        <v>75</v>
      </c>
      <c r="G125" s="1" t="s">
        <v>76</v>
      </c>
      <c r="H125" s="1" t="s">
        <v>69</v>
      </c>
      <c r="I125" s="1" t="s">
        <v>83</v>
      </c>
      <c r="J125" s="1" t="s">
        <v>70</v>
      </c>
      <c r="K125" s="1" t="s">
        <v>104</v>
      </c>
      <c r="L125" s="1" t="s">
        <v>49</v>
      </c>
      <c r="M125" s="1" t="s">
        <v>50</v>
      </c>
      <c r="N125" s="1" t="n">
        <v>6999</v>
      </c>
      <c r="O125" s="1" t="n">
        <v>0</v>
      </c>
      <c r="P125" s="1" t="n">
        <v>0</v>
      </c>
      <c r="Q125" s="1" t="n">
        <v>6999</v>
      </c>
      <c r="R125" s="1" t="n">
        <v>1259.82</v>
      </c>
      <c r="S125" s="1" t="n">
        <v>5739.18</v>
      </c>
      <c r="T125" s="1" t="n">
        <v>2521.34</v>
      </c>
      <c r="U125" s="1" t="n">
        <v>3217.84</v>
      </c>
      <c r="V125" s="1" t="n">
        <v>56.07</v>
      </c>
      <c r="W125" s="1" t="s">
        <v>39</v>
      </c>
      <c r="X125" s="1" t="n">
        <v>2.3</v>
      </c>
      <c r="Y125" s="1" t="s">
        <v>40</v>
      </c>
      <c r="Z125" s="1" t="n">
        <v>0</v>
      </c>
    </row>
    <row r="126" customFormat="false" ht="15" hidden="false" customHeight="true" outlineLevel="0" collapsed="false">
      <c r="A126" s="1" t="s">
        <v>386</v>
      </c>
      <c r="B126" s="1" t="s">
        <v>387</v>
      </c>
      <c r="C126" s="1" t="s">
        <v>93</v>
      </c>
      <c r="D126" s="1" t="s">
        <v>94</v>
      </c>
      <c r="E126" s="1" t="s">
        <v>101</v>
      </c>
      <c r="F126" s="1" t="s">
        <v>89</v>
      </c>
      <c r="G126" s="1" t="s">
        <v>68</v>
      </c>
      <c r="H126" s="1" t="s">
        <v>33</v>
      </c>
      <c r="I126" s="1" t="s">
        <v>34</v>
      </c>
      <c r="J126" s="1" t="s">
        <v>70</v>
      </c>
      <c r="K126" s="1" t="s">
        <v>90</v>
      </c>
      <c r="L126" s="1" t="s">
        <v>49</v>
      </c>
      <c r="M126" s="1" t="s">
        <v>50</v>
      </c>
      <c r="N126" s="1" t="n">
        <v>14999</v>
      </c>
      <c r="O126" s="1" t="n">
        <v>5</v>
      </c>
      <c r="P126" s="1" t="n">
        <v>749.95</v>
      </c>
      <c r="Q126" s="1" t="n">
        <v>14249.05</v>
      </c>
      <c r="R126" s="1" t="n">
        <v>2564.83</v>
      </c>
      <c r="S126" s="1" t="n">
        <v>11684.22</v>
      </c>
      <c r="T126" s="1" t="n">
        <v>5178.89</v>
      </c>
      <c r="U126" s="1" t="n">
        <v>6505.33</v>
      </c>
      <c r="V126" s="1" t="n">
        <v>55.68</v>
      </c>
      <c r="W126" s="1" t="s">
        <v>39</v>
      </c>
      <c r="X126" s="1" t="n">
        <v>4</v>
      </c>
      <c r="Y126" s="1" t="s">
        <v>40</v>
      </c>
      <c r="Z126" s="1" t="n">
        <v>2</v>
      </c>
    </row>
    <row r="127" customFormat="false" ht="15" hidden="false" customHeight="true" outlineLevel="0" collapsed="false">
      <c r="A127" s="1" t="s">
        <v>388</v>
      </c>
      <c r="B127" s="1" t="s">
        <v>389</v>
      </c>
      <c r="C127" s="1" t="s">
        <v>134</v>
      </c>
      <c r="D127" s="1" t="s">
        <v>44</v>
      </c>
      <c r="E127" s="1" t="s">
        <v>45</v>
      </c>
      <c r="F127" s="1" t="s">
        <v>82</v>
      </c>
      <c r="G127" s="1" t="s">
        <v>56</v>
      </c>
      <c r="H127" s="1" t="s">
        <v>69</v>
      </c>
      <c r="I127" s="1" t="s">
        <v>34</v>
      </c>
      <c r="J127" s="1" t="s">
        <v>35</v>
      </c>
      <c r="K127" s="1" t="s">
        <v>60</v>
      </c>
      <c r="L127" s="1" t="s">
        <v>85</v>
      </c>
      <c r="M127" s="1" t="s">
        <v>38</v>
      </c>
      <c r="N127" s="1" t="n">
        <v>11999</v>
      </c>
      <c r="O127" s="1" t="n">
        <v>25</v>
      </c>
      <c r="P127" s="1" t="n">
        <v>2999.75</v>
      </c>
      <c r="Q127" s="1" t="n">
        <v>8999.25</v>
      </c>
      <c r="R127" s="1" t="n">
        <v>1619.87</v>
      </c>
      <c r="S127" s="1" t="n">
        <v>7379.38</v>
      </c>
      <c r="T127" s="1" t="n">
        <v>3181.81</v>
      </c>
      <c r="U127" s="1" t="n">
        <v>4197.57</v>
      </c>
      <c r="V127" s="1" t="n">
        <v>56.88</v>
      </c>
      <c r="W127" s="1" t="s">
        <v>39</v>
      </c>
      <c r="X127" s="1" t="n">
        <v>3.1</v>
      </c>
      <c r="Y127" s="1" t="s">
        <v>40</v>
      </c>
      <c r="Z127" s="1" t="n">
        <v>1</v>
      </c>
    </row>
    <row r="128" customFormat="false" ht="15" hidden="false" customHeight="true" outlineLevel="0" collapsed="false">
      <c r="A128" s="1" t="s">
        <v>390</v>
      </c>
      <c r="B128" s="1" t="s">
        <v>391</v>
      </c>
      <c r="C128" s="1" t="s">
        <v>93</v>
      </c>
      <c r="D128" s="1" t="s">
        <v>53</v>
      </c>
      <c r="E128" s="1" t="s">
        <v>116</v>
      </c>
      <c r="F128" s="1" t="s">
        <v>150</v>
      </c>
      <c r="G128" s="1" t="s">
        <v>32</v>
      </c>
      <c r="H128" s="1" t="s">
        <v>57</v>
      </c>
      <c r="I128" s="1" t="s">
        <v>83</v>
      </c>
      <c r="J128" s="1" t="s">
        <v>70</v>
      </c>
      <c r="K128" s="1" t="s">
        <v>90</v>
      </c>
      <c r="L128" s="1" t="s">
        <v>85</v>
      </c>
      <c r="M128" s="1" t="s">
        <v>38</v>
      </c>
      <c r="N128" s="1" t="n">
        <v>9999</v>
      </c>
      <c r="O128" s="1" t="n">
        <v>30</v>
      </c>
      <c r="P128" s="1" t="n">
        <v>2999.7</v>
      </c>
      <c r="Q128" s="1" t="n">
        <v>6999.3</v>
      </c>
      <c r="R128" s="1" t="n">
        <v>1259.87</v>
      </c>
      <c r="S128" s="1" t="n">
        <v>5739.43</v>
      </c>
      <c r="T128" s="1" t="n">
        <v>2601.25</v>
      </c>
      <c r="U128" s="1" t="n">
        <v>3138.18</v>
      </c>
      <c r="V128" s="1" t="n">
        <v>54.68</v>
      </c>
      <c r="W128" s="1" t="s">
        <v>39</v>
      </c>
      <c r="X128" s="1" t="n">
        <v>3</v>
      </c>
      <c r="Y128" s="1" t="s">
        <v>40</v>
      </c>
      <c r="Z128" s="1" t="n">
        <v>0</v>
      </c>
    </row>
    <row r="129" customFormat="false" ht="15" hidden="false" customHeight="true" outlineLevel="0" collapsed="false">
      <c r="A129" s="1" t="s">
        <v>392</v>
      </c>
      <c r="B129" s="1" t="s">
        <v>393</v>
      </c>
      <c r="C129" s="1" t="s">
        <v>119</v>
      </c>
      <c r="D129" s="1" t="s">
        <v>143</v>
      </c>
      <c r="E129" s="1" t="s">
        <v>210</v>
      </c>
      <c r="F129" s="1" t="s">
        <v>75</v>
      </c>
      <c r="G129" s="1" t="s">
        <v>76</v>
      </c>
      <c r="H129" s="1" t="s">
        <v>69</v>
      </c>
      <c r="I129" s="1" t="s">
        <v>58</v>
      </c>
      <c r="J129" s="1" t="s">
        <v>70</v>
      </c>
      <c r="K129" s="1" t="s">
        <v>90</v>
      </c>
      <c r="L129" s="1" t="s">
        <v>37</v>
      </c>
      <c r="M129" s="1" t="s">
        <v>62</v>
      </c>
      <c r="N129" s="1" t="n">
        <v>18999</v>
      </c>
      <c r="O129" s="1" t="n">
        <v>0</v>
      </c>
      <c r="P129" s="1" t="n">
        <v>0</v>
      </c>
      <c r="Q129" s="1" t="n">
        <v>18999</v>
      </c>
      <c r="R129" s="1" t="n">
        <v>3419.82</v>
      </c>
      <c r="S129" s="1" t="n">
        <v>15579.18</v>
      </c>
      <c r="T129" s="1" t="n">
        <v>6356.51</v>
      </c>
      <c r="U129" s="1" t="n">
        <v>9222.67</v>
      </c>
      <c r="V129" s="1" t="n">
        <v>59.2</v>
      </c>
      <c r="W129" s="1" t="s">
        <v>40</v>
      </c>
      <c r="Y129" s="1" t="s">
        <v>40</v>
      </c>
      <c r="Z129" s="1" t="n">
        <v>2</v>
      </c>
    </row>
    <row r="130" customFormat="false" ht="15" hidden="false" customHeight="true" outlineLevel="0" collapsed="false">
      <c r="A130" s="1" t="s">
        <v>394</v>
      </c>
      <c r="B130" s="1" t="s">
        <v>395</v>
      </c>
      <c r="C130" s="1" t="s">
        <v>100</v>
      </c>
      <c r="D130" s="1" t="s">
        <v>143</v>
      </c>
      <c r="E130" s="1" t="s">
        <v>162</v>
      </c>
      <c r="F130" s="1" t="s">
        <v>156</v>
      </c>
      <c r="G130" s="1" t="s">
        <v>68</v>
      </c>
      <c r="H130" s="1" t="s">
        <v>57</v>
      </c>
      <c r="I130" s="1" t="s">
        <v>58</v>
      </c>
      <c r="J130" s="1" t="s">
        <v>59</v>
      </c>
      <c r="K130" s="1" t="s">
        <v>112</v>
      </c>
      <c r="L130" s="1" t="s">
        <v>113</v>
      </c>
      <c r="M130" s="1" t="s">
        <v>62</v>
      </c>
      <c r="N130" s="1" t="n">
        <v>14999</v>
      </c>
      <c r="O130" s="1" t="n">
        <v>10</v>
      </c>
      <c r="P130" s="1" t="n">
        <v>1499.9</v>
      </c>
      <c r="Q130" s="1" t="n">
        <v>13499.1</v>
      </c>
      <c r="R130" s="1" t="n">
        <v>2429.84</v>
      </c>
      <c r="S130" s="1" t="n">
        <v>11069.26</v>
      </c>
      <c r="T130" s="1" t="n">
        <v>5157.12</v>
      </c>
      <c r="U130" s="1" t="n">
        <v>5912.14</v>
      </c>
      <c r="V130" s="1" t="n">
        <v>53.41</v>
      </c>
      <c r="W130" s="1" t="s">
        <v>39</v>
      </c>
      <c r="X130" s="1" t="n">
        <v>3.9</v>
      </c>
      <c r="Y130" s="1" t="s">
        <v>40</v>
      </c>
      <c r="Z130" s="1" t="n">
        <v>0</v>
      </c>
    </row>
    <row r="131" customFormat="false" ht="15" hidden="false" customHeight="true" outlineLevel="0" collapsed="false">
      <c r="A131" s="1" t="s">
        <v>396</v>
      </c>
      <c r="B131" s="1" t="s">
        <v>397</v>
      </c>
      <c r="C131" s="1" t="s">
        <v>119</v>
      </c>
      <c r="D131" s="1" t="s">
        <v>80</v>
      </c>
      <c r="E131" s="1" t="s">
        <v>190</v>
      </c>
      <c r="F131" s="1" t="s">
        <v>194</v>
      </c>
      <c r="G131" s="1" t="s">
        <v>103</v>
      </c>
      <c r="H131" s="1" t="s">
        <v>69</v>
      </c>
      <c r="I131" s="1" t="s">
        <v>58</v>
      </c>
      <c r="J131" s="1" t="s">
        <v>77</v>
      </c>
      <c r="K131" s="1" t="s">
        <v>84</v>
      </c>
      <c r="L131" s="1" t="s">
        <v>61</v>
      </c>
      <c r="M131" s="1" t="s">
        <v>62</v>
      </c>
      <c r="N131" s="1" t="n">
        <v>15999</v>
      </c>
      <c r="O131" s="1" t="n">
        <v>10</v>
      </c>
      <c r="P131" s="1" t="n">
        <v>1599.9</v>
      </c>
      <c r="Q131" s="1" t="n">
        <v>14399.1</v>
      </c>
      <c r="R131" s="1" t="n">
        <v>2591.84</v>
      </c>
      <c r="S131" s="1" t="n">
        <v>11807.26</v>
      </c>
      <c r="T131" s="1" t="n">
        <v>6194.68</v>
      </c>
      <c r="U131" s="1" t="n">
        <v>5612.58</v>
      </c>
      <c r="V131" s="1" t="n">
        <v>47.53</v>
      </c>
      <c r="W131" s="1" t="s">
        <v>39</v>
      </c>
      <c r="X131" s="1" t="n">
        <v>4</v>
      </c>
      <c r="Y131" s="1" t="s">
        <v>40</v>
      </c>
      <c r="Z131" s="1" t="n">
        <v>0</v>
      </c>
    </row>
    <row r="132" customFormat="false" ht="15" hidden="false" customHeight="true" outlineLevel="0" collapsed="false">
      <c r="A132" s="1" t="s">
        <v>398</v>
      </c>
      <c r="B132" s="1" t="s">
        <v>399</v>
      </c>
      <c r="C132" s="1" t="s">
        <v>128</v>
      </c>
      <c r="D132" s="1" t="s">
        <v>168</v>
      </c>
      <c r="E132" s="1" t="s">
        <v>328</v>
      </c>
      <c r="F132" s="1" t="s">
        <v>82</v>
      </c>
      <c r="G132" s="1" t="s">
        <v>56</v>
      </c>
      <c r="H132" s="1" t="s">
        <v>69</v>
      </c>
      <c r="I132" s="1" t="s">
        <v>58</v>
      </c>
      <c r="J132" s="1" t="s">
        <v>59</v>
      </c>
      <c r="K132" s="1" t="s">
        <v>36</v>
      </c>
      <c r="L132" s="1" t="s">
        <v>61</v>
      </c>
      <c r="M132" s="1" t="s">
        <v>50</v>
      </c>
      <c r="N132" s="1" t="n">
        <v>8999</v>
      </c>
      <c r="O132" s="1" t="n">
        <v>50</v>
      </c>
      <c r="P132" s="1" t="n">
        <v>4499.5</v>
      </c>
      <c r="Q132" s="1" t="n">
        <v>4499.5</v>
      </c>
      <c r="R132" s="1" t="n">
        <v>809.91</v>
      </c>
      <c r="S132" s="1" t="n">
        <v>3689.59</v>
      </c>
      <c r="T132" s="1" t="n">
        <v>1938.93</v>
      </c>
      <c r="U132" s="1" t="n">
        <v>1750.66</v>
      </c>
      <c r="V132" s="1" t="n">
        <v>47.45</v>
      </c>
      <c r="W132" s="1" t="s">
        <v>39</v>
      </c>
      <c r="X132" s="1" t="n">
        <v>2.5</v>
      </c>
      <c r="Y132" s="1" t="s">
        <v>40</v>
      </c>
      <c r="Z132" s="1" t="n">
        <v>0</v>
      </c>
    </row>
    <row r="133" customFormat="false" ht="15" hidden="false" customHeight="true" outlineLevel="0" collapsed="false">
      <c r="A133" s="1" t="s">
        <v>400</v>
      </c>
      <c r="B133" s="1" t="s">
        <v>401</v>
      </c>
      <c r="C133" s="1" t="s">
        <v>249</v>
      </c>
      <c r="D133" s="1" t="s">
        <v>44</v>
      </c>
      <c r="E133" s="1" t="s">
        <v>66</v>
      </c>
      <c r="F133" s="1" t="s">
        <v>205</v>
      </c>
      <c r="G133" s="1" t="s">
        <v>56</v>
      </c>
      <c r="H133" s="1" t="s">
        <v>69</v>
      </c>
      <c r="I133" s="1" t="s">
        <v>83</v>
      </c>
      <c r="J133" s="1" t="s">
        <v>70</v>
      </c>
      <c r="K133" s="1" t="s">
        <v>112</v>
      </c>
      <c r="L133" s="1" t="s">
        <v>85</v>
      </c>
      <c r="M133" s="1" t="s">
        <v>38</v>
      </c>
      <c r="N133" s="1" t="n">
        <v>12999</v>
      </c>
      <c r="O133" s="1" t="n">
        <v>5</v>
      </c>
      <c r="P133" s="1" t="n">
        <v>649.95</v>
      </c>
      <c r="Q133" s="1" t="n">
        <v>12349.05</v>
      </c>
      <c r="R133" s="1" t="n">
        <v>2222.83</v>
      </c>
      <c r="S133" s="1" t="n">
        <v>10126.22</v>
      </c>
      <c r="T133" s="1" t="n">
        <v>5113.44</v>
      </c>
      <c r="U133" s="1" t="n">
        <v>5012.78</v>
      </c>
      <c r="V133" s="1" t="n">
        <v>49.5</v>
      </c>
      <c r="W133" s="1" t="s">
        <v>39</v>
      </c>
      <c r="X133" s="1" t="n">
        <v>3.5</v>
      </c>
      <c r="Y133" s="1" t="s">
        <v>40</v>
      </c>
      <c r="Z133" s="1" t="n">
        <v>0</v>
      </c>
    </row>
    <row r="134" customFormat="false" ht="15" hidden="false" customHeight="true" outlineLevel="0" collapsed="false">
      <c r="A134" s="1" t="s">
        <v>402</v>
      </c>
      <c r="B134" s="1" t="s">
        <v>391</v>
      </c>
      <c r="C134" s="1" t="s">
        <v>264</v>
      </c>
      <c r="D134" s="1" t="s">
        <v>123</v>
      </c>
      <c r="E134" s="1" t="s">
        <v>233</v>
      </c>
      <c r="F134" s="1" t="s">
        <v>194</v>
      </c>
      <c r="G134" s="1" t="s">
        <v>103</v>
      </c>
      <c r="H134" s="1" t="s">
        <v>69</v>
      </c>
      <c r="I134" s="1" t="s">
        <v>83</v>
      </c>
      <c r="J134" s="1" t="s">
        <v>35</v>
      </c>
      <c r="K134" s="1" t="s">
        <v>84</v>
      </c>
      <c r="L134" s="1" t="s">
        <v>113</v>
      </c>
      <c r="M134" s="1" t="s">
        <v>62</v>
      </c>
      <c r="N134" s="1" t="n">
        <v>8999</v>
      </c>
      <c r="O134" s="1" t="n">
        <v>5</v>
      </c>
      <c r="P134" s="1" t="n">
        <v>449.95</v>
      </c>
      <c r="Q134" s="1" t="n">
        <v>8549.05</v>
      </c>
      <c r="R134" s="1" t="n">
        <v>1538.83</v>
      </c>
      <c r="S134" s="1" t="n">
        <v>7010.22</v>
      </c>
      <c r="T134" s="1" t="n">
        <v>2683.79</v>
      </c>
      <c r="U134" s="1" t="n">
        <v>4326.43</v>
      </c>
      <c r="V134" s="1" t="n">
        <v>61.72</v>
      </c>
      <c r="W134" s="1" t="s">
        <v>39</v>
      </c>
      <c r="X134" s="1" t="n">
        <v>3.7</v>
      </c>
      <c r="Y134" s="1" t="s">
        <v>40</v>
      </c>
      <c r="Z134" s="1" t="n">
        <v>1</v>
      </c>
    </row>
    <row r="135" customFormat="false" ht="15" hidden="false" customHeight="true" outlineLevel="0" collapsed="false">
      <c r="A135" s="1" t="s">
        <v>403</v>
      </c>
      <c r="B135" s="1" t="s">
        <v>404</v>
      </c>
      <c r="C135" s="1" t="s">
        <v>139</v>
      </c>
      <c r="D135" s="1" t="s">
        <v>29</v>
      </c>
      <c r="E135" s="1" t="s">
        <v>129</v>
      </c>
      <c r="F135" s="1" t="s">
        <v>31</v>
      </c>
      <c r="G135" s="1" t="s">
        <v>32</v>
      </c>
      <c r="H135" s="1" t="s">
        <v>33</v>
      </c>
      <c r="I135" s="1" t="s">
        <v>34</v>
      </c>
      <c r="J135" s="1" t="s">
        <v>35</v>
      </c>
      <c r="K135" s="1" t="s">
        <v>36</v>
      </c>
      <c r="L135" s="1" t="s">
        <v>37</v>
      </c>
      <c r="M135" s="1" t="s">
        <v>62</v>
      </c>
      <c r="N135" s="1" t="n">
        <v>29999</v>
      </c>
      <c r="O135" s="1" t="n">
        <v>25</v>
      </c>
      <c r="P135" s="1" t="n">
        <v>7499.75</v>
      </c>
      <c r="Q135" s="1" t="n">
        <v>22499.25</v>
      </c>
      <c r="R135" s="1" t="n">
        <v>4049.86</v>
      </c>
      <c r="S135" s="1" t="n">
        <v>18449.39</v>
      </c>
      <c r="T135" s="1" t="n">
        <v>7361.06</v>
      </c>
      <c r="U135" s="1" t="n">
        <v>11088.33</v>
      </c>
      <c r="V135" s="1" t="n">
        <v>60.1</v>
      </c>
      <c r="W135" s="1" t="s">
        <v>39</v>
      </c>
      <c r="X135" s="1" t="n">
        <v>4.2</v>
      </c>
      <c r="Y135" s="1" t="s">
        <v>40</v>
      </c>
      <c r="Z135" s="1" t="n">
        <v>1</v>
      </c>
    </row>
    <row r="136" customFormat="false" ht="15" hidden="false" customHeight="true" outlineLevel="0" collapsed="false">
      <c r="A136" s="1" t="s">
        <v>405</v>
      </c>
      <c r="B136" s="1" t="s">
        <v>406</v>
      </c>
      <c r="C136" s="1" t="s">
        <v>74</v>
      </c>
      <c r="D136" s="1" t="s">
        <v>143</v>
      </c>
      <c r="E136" s="1" t="s">
        <v>162</v>
      </c>
      <c r="F136" s="1" t="s">
        <v>96</v>
      </c>
      <c r="G136" s="1" t="s">
        <v>97</v>
      </c>
      <c r="H136" s="1" t="s">
        <v>69</v>
      </c>
      <c r="I136" s="1" t="s">
        <v>34</v>
      </c>
      <c r="J136" s="1" t="s">
        <v>70</v>
      </c>
      <c r="K136" s="1" t="s">
        <v>48</v>
      </c>
      <c r="L136" s="1" t="s">
        <v>113</v>
      </c>
      <c r="M136" s="1" t="s">
        <v>62</v>
      </c>
      <c r="N136" s="1" t="n">
        <v>14999</v>
      </c>
      <c r="O136" s="1" t="n">
        <v>15</v>
      </c>
      <c r="P136" s="1" t="n">
        <v>2249.85</v>
      </c>
      <c r="Q136" s="1" t="n">
        <v>12749.15</v>
      </c>
      <c r="R136" s="1" t="n">
        <v>2294.85</v>
      </c>
      <c r="S136" s="1" t="n">
        <v>10454.3</v>
      </c>
      <c r="T136" s="1" t="n">
        <v>4265.66</v>
      </c>
      <c r="U136" s="1" t="n">
        <v>6188.64</v>
      </c>
      <c r="V136" s="1" t="n">
        <v>59.2</v>
      </c>
      <c r="W136" s="1" t="s">
        <v>39</v>
      </c>
      <c r="X136" s="1" t="n">
        <v>3.6</v>
      </c>
      <c r="Y136" s="1" t="s">
        <v>40</v>
      </c>
      <c r="Z136" s="1" t="n">
        <v>0</v>
      </c>
    </row>
    <row r="137" customFormat="false" ht="15" hidden="false" customHeight="true" outlineLevel="0" collapsed="false">
      <c r="A137" s="1" t="s">
        <v>407</v>
      </c>
      <c r="B137" s="1" t="s">
        <v>309</v>
      </c>
      <c r="C137" s="1" t="s">
        <v>74</v>
      </c>
      <c r="D137" s="1" t="s">
        <v>168</v>
      </c>
      <c r="E137" s="1" t="s">
        <v>197</v>
      </c>
      <c r="F137" s="1" t="s">
        <v>96</v>
      </c>
      <c r="G137" s="1" t="s">
        <v>97</v>
      </c>
      <c r="H137" s="1" t="s">
        <v>69</v>
      </c>
      <c r="I137" s="1" t="s">
        <v>83</v>
      </c>
      <c r="J137" s="1" t="s">
        <v>77</v>
      </c>
      <c r="K137" s="1" t="s">
        <v>84</v>
      </c>
      <c r="L137" s="1" t="s">
        <v>85</v>
      </c>
      <c r="M137" s="1" t="s">
        <v>50</v>
      </c>
      <c r="N137" s="1" t="n">
        <v>8499</v>
      </c>
      <c r="O137" s="1" t="n">
        <v>5</v>
      </c>
      <c r="P137" s="1" t="n">
        <v>424.95</v>
      </c>
      <c r="Q137" s="1" t="n">
        <v>8074.05</v>
      </c>
      <c r="R137" s="1" t="n">
        <v>1453.33</v>
      </c>
      <c r="S137" s="1" t="n">
        <v>6620.72</v>
      </c>
      <c r="T137" s="1" t="n">
        <v>2611.7</v>
      </c>
      <c r="U137" s="1" t="n">
        <v>4009.02</v>
      </c>
      <c r="V137" s="1" t="n">
        <v>60.55</v>
      </c>
      <c r="W137" s="1" t="s">
        <v>40</v>
      </c>
      <c r="Y137" s="1" t="s">
        <v>40</v>
      </c>
      <c r="Z137" s="1" t="n">
        <v>3</v>
      </c>
    </row>
    <row r="138" customFormat="false" ht="15" hidden="false" customHeight="true" outlineLevel="0" collapsed="false">
      <c r="A138" s="1" t="s">
        <v>408</v>
      </c>
      <c r="B138" s="1" t="s">
        <v>87</v>
      </c>
      <c r="C138" s="1" t="s">
        <v>93</v>
      </c>
      <c r="D138" s="1" t="s">
        <v>53</v>
      </c>
      <c r="E138" s="1" t="s">
        <v>216</v>
      </c>
      <c r="F138" s="1" t="s">
        <v>89</v>
      </c>
      <c r="G138" s="1" t="s">
        <v>68</v>
      </c>
      <c r="H138" s="1" t="s">
        <v>33</v>
      </c>
      <c r="I138" s="1" t="s">
        <v>83</v>
      </c>
      <c r="J138" s="1" t="s">
        <v>70</v>
      </c>
      <c r="K138" s="1" t="s">
        <v>71</v>
      </c>
      <c r="L138" s="1" t="s">
        <v>37</v>
      </c>
      <c r="M138" s="1" t="s">
        <v>62</v>
      </c>
      <c r="N138" s="1" t="n">
        <v>7499</v>
      </c>
      <c r="O138" s="1" t="n">
        <v>0</v>
      </c>
      <c r="P138" s="1" t="n">
        <v>0</v>
      </c>
      <c r="Q138" s="1" t="n">
        <v>7499</v>
      </c>
      <c r="R138" s="1" t="n">
        <v>1349.82</v>
      </c>
      <c r="S138" s="1" t="n">
        <v>6149.18</v>
      </c>
      <c r="T138" s="1" t="n">
        <v>2954.29</v>
      </c>
      <c r="U138" s="1" t="n">
        <v>3194.89</v>
      </c>
      <c r="V138" s="1" t="n">
        <v>51.96</v>
      </c>
      <c r="W138" s="1" t="s">
        <v>40</v>
      </c>
      <c r="Y138" s="1" t="s">
        <v>40</v>
      </c>
      <c r="Z138" s="1" t="n">
        <v>0</v>
      </c>
    </row>
    <row r="139" customFormat="false" ht="15" hidden="false" customHeight="true" outlineLevel="0" collapsed="false">
      <c r="A139" s="1" t="s">
        <v>409</v>
      </c>
      <c r="B139" s="1" t="s">
        <v>410</v>
      </c>
      <c r="C139" s="1" t="s">
        <v>178</v>
      </c>
      <c r="D139" s="1" t="s">
        <v>143</v>
      </c>
      <c r="E139" s="1" t="s">
        <v>243</v>
      </c>
      <c r="F139" s="1" t="s">
        <v>150</v>
      </c>
      <c r="G139" s="1" t="s">
        <v>32</v>
      </c>
      <c r="H139" s="1" t="s">
        <v>57</v>
      </c>
      <c r="I139" s="1" t="s">
        <v>34</v>
      </c>
      <c r="J139" s="1" t="s">
        <v>131</v>
      </c>
      <c r="K139" s="1" t="s">
        <v>84</v>
      </c>
      <c r="L139" s="1" t="s">
        <v>113</v>
      </c>
      <c r="M139" s="1" t="s">
        <v>62</v>
      </c>
      <c r="N139" s="1" t="n">
        <v>22999</v>
      </c>
      <c r="O139" s="1" t="n">
        <v>0</v>
      </c>
      <c r="P139" s="1" t="n">
        <v>0</v>
      </c>
      <c r="Q139" s="1" t="n">
        <v>22999</v>
      </c>
      <c r="R139" s="1" t="n">
        <v>4139.82</v>
      </c>
      <c r="S139" s="1" t="n">
        <v>18859.18</v>
      </c>
      <c r="T139" s="1" t="n">
        <v>9827.87</v>
      </c>
      <c r="U139" s="1" t="n">
        <v>9031.31</v>
      </c>
      <c r="V139" s="1" t="n">
        <v>47.89</v>
      </c>
      <c r="W139" s="1" t="s">
        <v>39</v>
      </c>
      <c r="X139" s="1" t="n">
        <v>3.8</v>
      </c>
      <c r="Y139" s="1" t="s">
        <v>40</v>
      </c>
      <c r="Z139" s="1" t="n">
        <v>0</v>
      </c>
    </row>
    <row r="140" customFormat="false" ht="15" hidden="false" customHeight="true" outlineLevel="0" collapsed="false">
      <c r="A140" s="1" t="s">
        <v>411</v>
      </c>
      <c r="B140" s="1" t="s">
        <v>371</v>
      </c>
      <c r="C140" s="1" t="s">
        <v>65</v>
      </c>
      <c r="D140" s="1" t="s">
        <v>80</v>
      </c>
      <c r="E140" s="1" t="s">
        <v>193</v>
      </c>
      <c r="F140" s="1" t="s">
        <v>130</v>
      </c>
      <c r="G140" s="1" t="s">
        <v>47</v>
      </c>
      <c r="H140" s="1" t="s">
        <v>69</v>
      </c>
      <c r="I140" s="1" t="s">
        <v>58</v>
      </c>
      <c r="J140" s="1" t="s">
        <v>35</v>
      </c>
      <c r="K140" s="1" t="s">
        <v>84</v>
      </c>
      <c r="L140" s="1" t="s">
        <v>136</v>
      </c>
      <c r="M140" s="1" t="s">
        <v>38</v>
      </c>
      <c r="N140" s="1" t="n">
        <v>8999</v>
      </c>
      <c r="O140" s="1" t="n">
        <v>0</v>
      </c>
      <c r="P140" s="1" t="n">
        <v>0</v>
      </c>
      <c r="Q140" s="1" t="n">
        <v>8999</v>
      </c>
      <c r="R140" s="1" t="n">
        <v>1619.82</v>
      </c>
      <c r="S140" s="1" t="n">
        <v>7379.18</v>
      </c>
      <c r="T140" s="1" t="n">
        <v>2897.6</v>
      </c>
      <c r="U140" s="1" t="n">
        <v>4481.58</v>
      </c>
      <c r="V140" s="1" t="n">
        <v>60.73</v>
      </c>
      <c r="W140" s="1" t="s">
        <v>39</v>
      </c>
      <c r="X140" s="1" t="n">
        <v>4.2</v>
      </c>
      <c r="Y140" s="1" t="s">
        <v>40</v>
      </c>
      <c r="Z140" s="1" t="n">
        <v>0</v>
      </c>
    </row>
    <row r="141" customFormat="false" ht="15" hidden="false" customHeight="true" outlineLevel="0" collapsed="false">
      <c r="A141" s="1" t="s">
        <v>412</v>
      </c>
      <c r="B141" s="1" t="s">
        <v>413</v>
      </c>
      <c r="C141" s="1" t="s">
        <v>65</v>
      </c>
      <c r="D141" s="1" t="s">
        <v>44</v>
      </c>
      <c r="E141" s="1" t="s">
        <v>66</v>
      </c>
      <c r="F141" s="1" t="s">
        <v>130</v>
      </c>
      <c r="G141" s="1" t="s">
        <v>47</v>
      </c>
      <c r="H141" s="1" t="s">
        <v>69</v>
      </c>
      <c r="I141" s="1" t="s">
        <v>83</v>
      </c>
      <c r="J141" s="1" t="s">
        <v>77</v>
      </c>
      <c r="K141" s="1" t="s">
        <v>90</v>
      </c>
      <c r="L141" s="1" t="s">
        <v>136</v>
      </c>
      <c r="M141" s="1" t="s">
        <v>62</v>
      </c>
      <c r="N141" s="1" t="n">
        <v>12999</v>
      </c>
      <c r="O141" s="1" t="n">
        <v>0</v>
      </c>
      <c r="P141" s="1" t="n">
        <v>0</v>
      </c>
      <c r="Q141" s="1" t="n">
        <v>12999</v>
      </c>
      <c r="R141" s="1" t="n">
        <v>2339.82</v>
      </c>
      <c r="S141" s="1" t="n">
        <v>10659.18</v>
      </c>
      <c r="T141" s="1" t="n">
        <v>4214.14</v>
      </c>
      <c r="U141" s="1" t="n">
        <v>6445.04</v>
      </c>
      <c r="V141" s="1" t="n">
        <v>60.46</v>
      </c>
      <c r="W141" s="1" t="s">
        <v>39</v>
      </c>
      <c r="X141" s="1" t="n">
        <v>4.3</v>
      </c>
      <c r="Y141" s="1" t="s">
        <v>40</v>
      </c>
      <c r="Z141" s="1" t="n">
        <v>0</v>
      </c>
    </row>
    <row r="142" customFormat="false" ht="15" hidden="false" customHeight="true" outlineLevel="0" collapsed="false">
      <c r="A142" s="1" t="s">
        <v>414</v>
      </c>
      <c r="B142" s="1" t="s">
        <v>415</v>
      </c>
      <c r="C142" s="1" t="s">
        <v>167</v>
      </c>
      <c r="D142" s="1" t="s">
        <v>143</v>
      </c>
      <c r="E142" s="1" t="s">
        <v>210</v>
      </c>
      <c r="F142" s="1" t="s">
        <v>107</v>
      </c>
      <c r="G142" s="1" t="s">
        <v>108</v>
      </c>
      <c r="H142" s="1" t="s">
        <v>33</v>
      </c>
      <c r="I142" s="1" t="s">
        <v>34</v>
      </c>
      <c r="J142" s="1" t="s">
        <v>131</v>
      </c>
      <c r="K142" s="1" t="s">
        <v>90</v>
      </c>
      <c r="L142" s="1" t="s">
        <v>37</v>
      </c>
      <c r="M142" s="1" t="s">
        <v>50</v>
      </c>
      <c r="N142" s="1" t="n">
        <v>18999</v>
      </c>
      <c r="O142" s="1" t="n">
        <v>30</v>
      </c>
      <c r="P142" s="1" t="n">
        <v>5699.7</v>
      </c>
      <c r="Q142" s="1" t="n">
        <v>13299.3</v>
      </c>
      <c r="R142" s="1" t="n">
        <v>2393.87</v>
      </c>
      <c r="S142" s="1" t="n">
        <v>10905.43</v>
      </c>
      <c r="T142" s="1" t="n">
        <v>4886.55</v>
      </c>
      <c r="U142" s="1" t="n">
        <v>6018.88</v>
      </c>
      <c r="V142" s="1" t="n">
        <v>55.19</v>
      </c>
      <c r="W142" s="1" t="s">
        <v>39</v>
      </c>
      <c r="X142" s="1" t="n">
        <v>4.3</v>
      </c>
      <c r="Y142" s="1" t="s">
        <v>40</v>
      </c>
      <c r="Z142" s="1" t="n">
        <v>0</v>
      </c>
    </row>
    <row r="143" customFormat="false" ht="15" hidden="false" customHeight="true" outlineLevel="0" collapsed="false">
      <c r="A143" s="1" t="s">
        <v>416</v>
      </c>
      <c r="B143" s="1" t="s">
        <v>417</v>
      </c>
      <c r="C143" s="1" t="s">
        <v>88</v>
      </c>
      <c r="D143" s="1" t="s">
        <v>143</v>
      </c>
      <c r="E143" s="1" t="s">
        <v>144</v>
      </c>
      <c r="F143" s="1" t="s">
        <v>244</v>
      </c>
      <c r="G143" s="1" t="s">
        <v>97</v>
      </c>
      <c r="H143" s="1" t="s">
        <v>57</v>
      </c>
      <c r="I143" s="1" t="s">
        <v>83</v>
      </c>
      <c r="J143" s="1" t="s">
        <v>35</v>
      </c>
      <c r="K143" s="1" t="s">
        <v>48</v>
      </c>
      <c r="L143" s="1" t="s">
        <v>61</v>
      </c>
      <c r="M143" s="1" t="s">
        <v>62</v>
      </c>
      <c r="N143" s="1" t="n">
        <v>12999</v>
      </c>
      <c r="O143" s="1" t="n">
        <v>0</v>
      </c>
      <c r="P143" s="1" t="n">
        <v>0</v>
      </c>
      <c r="Q143" s="1" t="n">
        <v>12999</v>
      </c>
      <c r="R143" s="1" t="n">
        <v>2339.82</v>
      </c>
      <c r="S143" s="1" t="n">
        <v>10659.18</v>
      </c>
      <c r="T143" s="1" t="n">
        <v>4890.2</v>
      </c>
      <c r="U143" s="1" t="n">
        <v>5768.98</v>
      </c>
      <c r="V143" s="1" t="n">
        <v>54.12</v>
      </c>
      <c r="W143" s="1" t="s">
        <v>39</v>
      </c>
      <c r="Y143" s="1" t="s">
        <v>40</v>
      </c>
      <c r="Z143" s="1" t="n">
        <v>1</v>
      </c>
    </row>
    <row r="144" customFormat="false" ht="15" hidden="false" customHeight="true" outlineLevel="0" collapsed="false">
      <c r="A144" s="1" t="s">
        <v>418</v>
      </c>
      <c r="B144" s="1" t="s">
        <v>419</v>
      </c>
      <c r="C144" s="1" t="s">
        <v>128</v>
      </c>
      <c r="D144" s="1" t="s">
        <v>94</v>
      </c>
      <c r="E144" s="1" t="s">
        <v>101</v>
      </c>
      <c r="F144" s="1" t="s">
        <v>89</v>
      </c>
      <c r="G144" s="1" t="s">
        <v>68</v>
      </c>
      <c r="H144" s="1" t="s">
        <v>33</v>
      </c>
      <c r="I144" s="1" t="s">
        <v>58</v>
      </c>
      <c r="J144" s="1" t="s">
        <v>77</v>
      </c>
      <c r="K144" s="1" t="s">
        <v>104</v>
      </c>
      <c r="L144" s="1" t="s">
        <v>85</v>
      </c>
      <c r="M144" s="1" t="s">
        <v>62</v>
      </c>
      <c r="N144" s="1" t="n">
        <v>14999</v>
      </c>
      <c r="O144" s="1" t="n">
        <v>10</v>
      </c>
      <c r="P144" s="1" t="n">
        <v>1499.9</v>
      </c>
      <c r="Q144" s="1" t="n">
        <v>13499.1</v>
      </c>
      <c r="R144" s="1" t="n">
        <v>2429.84</v>
      </c>
      <c r="S144" s="1" t="n">
        <v>11069.26</v>
      </c>
      <c r="T144" s="1" t="n">
        <v>5218.7</v>
      </c>
      <c r="U144" s="1" t="n">
        <v>5850.56</v>
      </c>
      <c r="V144" s="1" t="n">
        <v>52.85</v>
      </c>
      <c r="W144" s="1" t="s">
        <v>39</v>
      </c>
      <c r="X144" s="1" t="n">
        <v>3.6</v>
      </c>
      <c r="Y144" s="1" t="s">
        <v>40</v>
      </c>
      <c r="Z144" s="1" t="n">
        <v>1</v>
      </c>
    </row>
    <row r="145" customFormat="false" ht="15" hidden="false" customHeight="true" outlineLevel="0" collapsed="false">
      <c r="A145" s="1" t="s">
        <v>420</v>
      </c>
      <c r="B145" s="1" t="s">
        <v>421</v>
      </c>
      <c r="C145" s="1" t="s">
        <v>65</v>
      </c>
      <c r="D145" s="1" t="s">
        <v>123</v>
      </c>
      <c r="E145" s="1" t="s">
        <v>147</v>
      </c>
      <c r="F145" s="1" t="s">
        <v>130</v>
      </c>
      <c r="G145" s="1" t="s">
        <v>47</v>
      </c>
      <c r="H145" s="1" t="s">
        <v>69</v>
      </c>
      <c r="I145" s="1" t="s">
        <v>83</v>
      </c>
      <c r="J145" s="1" t="s">
        <v>59</v>
      </c>
      <c r="K145" s="1" t="s">
        <v>84</v>
      </c>
      <c r="L145" s="1" t="s">
        <v>61</v>
      </c>
      <c r="M145" s="1" t="s">
        <v>38</v>
      </c>
      <c r="N145" s="1" t="n">
        <v>6999</v>
      </c>
      <c r="O145" s="1" t="n">
        <v>20</v>
      </c>
      <c r="P145" s="1" t="n">
        <v>1399.8</v>
      </c>
      <c r="Q145" s="1" t="n">
        <v>5599.2</v>
      </c>
      <c r="R145" s="1" t="n">
        <v>1007.86</v>
      </c>
      <c r="S145" s="1" t="n">
        <v>4591.34</v>
      </c>
      <c r="T145" s="1" t="n">
        <v>2035.52</v>
      </c>
      <c r="U145" s="1" t="n">
        <v>2555.82</v>
      </c>
      <c r="V145" s="1" t="n">
        <v>55.67</v>
      </c>
      <c r="W145" s="1" t="s">
        <v>40</v>
      </c>
      <c r="Y145" s="1" t="s">
        <v>40</v>
      </c>
      <c r="Z145" s="1" t="n">
        <v>2</v>
      </c>
    </row>
    <row r="146" customFormat="false" ht="15" hidden="false" customHeight="true" outlineLevel="0" collapsed="false">
      <c r="A146" s="1" t="s">
        <v>422</v>
      </c>
      <c r="B146" s="1" t="s">
        <v>423</v>
      </c>
      <c r="C146" s="1" t="s">
        <v>65</v>
      </c>
      <c r="D146" s="1" t="s">
        <v>44</v>
      </c>
      <c r="E146" s="1" t="s">
        <v>45</v>
      </c>
      <c r="F146" s="1" t="s">
        <v>211</v>
      </c>
      <c r="G146" s="1" t="s">
        <v>56</v>
      </c>
      <c r="H146" s="1" t="s">
        <v>69</v>
      </c>
      <c r="I146" s="1" t="s">
        <v>83</v>
      </c>
      <c r="J146" s="1" t="s">
        <v>59</v>
      </c>
      <c r="K146" s="1" t="s">
        <v>60</v>
      </c>
      <c r="L146" s="1" t="s">
        <v>113</v>
      </c>
      <c r="M146" s="1" t="s">
        <v>50</v>
      </c>
      <c r="N146" s="1" t="n">
        <v>11999</v>
      </c>
      <c r="O146" s="1" t="n">
        <v>5</v>
      </c>
      <c r="P146" s="1" t="n">
        <v>599.95</v>
      </c>
      <c r="Q146" s="1" t="n">
        <v>11399.05</v>
      </c>
      <c r="R146" s="1" t="n">
        <v>2051.83</v>
      </c>
      <c r="S146" s="1" t="n">
        <v>9347.22</v>
      </c>
      <c r="T146" s="1" t="n">
        <v>3755.31</v>
      </c>
      <c r="U146" s="1" t="n">
        <v>5591.91</v>
      </c>
      <c r="V146" s="1" t="n">
        <v>59.82</v>
      </c>
      <c r="W146" s="1" t="s">
        <v>39</v>
      </c>
      <c r="X146" s="1" t="n">
        <v>3.9</v>
      </c>
      <c r="Y146" s="1" t="s">
        <v>40</v>
      </c>
      <c r="Z146" s="1" t="n">
        <v>0</v>
      </c>
    </row>
    <row r="147" customFormat="false" ht="15" hidden="false" customHeight="true" outlineLevel="0" collapsed="false">
      <c r="A147" s="1" t="s">
        <v>424</v>
      </c>
      <c r="B147" s="1" t="s">
        <v>425</v>
      </c>
      <c r="C147" s="1" t="s">
        <v>167</v>
      </c>
      <c r="D147" s="1" t="s">
        <v>94</v>
      </c>
      <c r="E147" s="1" t="s">
        <v>101</v>
      </c>
      <c r="F147" s="1" t="s">
        <v>184</v>
      </c>
      <c r="G147" s="1" t="s">
        <v>56</v>
      </c>
      <c r="H147" s="1" t="s">
        <v>57</v>
      </c>
      <c r="I147" s="1" t="s">
        <v>58</v>
      </c>
      <c r="J147" s="1" t="s">
        <v>77</v>
      </c>
      <c r="K147" s="1" t="s">
        <v>84</v>
      </c>
      <c r="L147" s="1" t="s">
        <v>85</v>
      </c>
      <c r="M147" s="1" t="s">
        <v>50</v>
      </c>
      <c r="N147" s="1" t="n">
        <v>14999</v>
      </c>
      <c r="O147" s="1" t="n">
        <v>40</v>
      </c>
      <c r="P147" s="1" t="n">
        <v>5999.6</v>
      </c>
      <c r="Q147" s="1" t="n">
        <v>8999.4</v>
      </c>
      <c r="R147" s="1" t="n">
        <v>1619.89</v>
      </c>
      <c r="S147" s="1" t="n">
        <v>7379.51</v>
      </c>
      <c r="T147" s="1" t="n">
        <v>4637.97</v>
      </c>
      <c r="U147" s="1" t="n">
        <v>2741.54</v>
      </c>
      <c r="V147" s="1" t="n">
        <v>37.15</v>
      </c>
      <c r="W147" s="1" t="s">
        <v>39</v>
      </c>
      <c r="X147" s="1" t="n">
        <v>3.4</v>
      </c>
      <c r="Y147" s="1" t="s">
        <v>40</v>
      </c>
      <c r="Z147" s="1" t="n">
        <v>0</v>
      </c>
    </row>
    <row r="148" customFormat="false" ht="15" hidden="false" customHeight="true" outlineLevel="0" collapsed="false">
      <c r="A148" s="1" t="s">
        <v>426</v>
      </c>
      <c r="B148" s="1" t="s">
        <v>171</v>
      </c>
      <c r="C148" s="1" t="s">
        <v>178</v>
      </c>
      <c r="D148" s="1" t="s">
        <v>143</v>
      </c>
      <c r="E148" s="1" t="s">
        <v>159</v>
      </c>
      <c r="F148" s="1" t="s">
        <v>130</v>
      </c>
      <c r="G148" s="1" t="s">
        <v>47</v>
      </c>
      <c r="H148" s="1" t="s">
        <v>69</v>
      </c>
      <c r="I148" s="1" t="s">
        <v>34</v>
      </c>
      <c r="J148" s="1" t="s">
        <v>70</v>
      </c>
      <c r="K148" s="1" t="s">
        <v>36</v>
      </c>
      <c r="L148" s="1" t="s">
        <v>113</v>
      </c>
      <c r="M148" s="1" t="s">
        <v>62</v>
      </c>
      <c r="N148" s="1" t="n">
        <v>24999</v>
      </c>
      <c r="O148" s="1" t="n">
        <v>50</v>
      </c>
      <c r="P148" s="1" t="n">
        <v>12499.5</v>
      </c>
      <c r="Q148" s="1" t="n">
        <v>12499.5</v>
      </c>
      <c r="R148" s="1" t="n">
        <v>2249.91</v>
      </c>
      <c r="S148" s="1" t="n">
        <v>10249.59</v>
      </c>
      <c r="T148" s="1" t="n">
        <v>5491.75</v>
      </c>
      <c r="U148" s="1" t="n">
        <v>4757.84</v>
      </c>
      <c r="V148" s="1" t="n">
        <v>46.42</v>
      </c>
      <c r="W148" s="1" t="s">
        <v>39</v>
      </c>
      <c r="X148" s="1" t="n">
        <v>4.4</v>
      </c>
      <c r="Y148" s="1" t="s">
        <v>40</v>
      </c>
      <c r="Z148" s="1" t="n">
        <v>0</v>
      </c>
    </row>
    <row r="149" customFormat="false" ht="15" hidden="false" customHeight="true" outlineLevel="0" collapsed="false">
      <c r="A149" s="1" t="s">
        <v>427</v>
      </c>
      <c r="B149" s="1" t="s">
        <v>428</v>
      </c>
      <c r="C149" s="1" t="s">
        <v>100</v>
      </c>
      <c r="D149" s="1" t="s">
        <v>80</v>
      </c>
      <c r="E149" s="1" t="s">
        <v>190</v>
      </c>
      <c r="F149" s="1" t="s">
        <v>205</v>
      </c>
      <c r="G149" s="1" t="s">
        <v>56</v>
      </c>
      <c r="H149" s="1" t="s">
        <v>69</v>
      </c>
      <c r="I149" s="1" t="s">
        <v>58</v>
      </c>
      <c r="J149" s="1" t="s">
        <v>70</v>
      </c>
      <c r="K149" s="1" t="s">
        <v>84</v>
      </c>
      <c r="L149" s="1" t="s">
        <v>136</v>
      </c>
      <c r="M149" s="1" t="s">
        <v>38</v>
      </c>
      <c r="N149" s="1" t="n">
        <v>15999</v>
      </c>
      <c r="O149" s="1" t="n">
        <v>15</v>
      </c>
      <c r="P149" s="1" t="n">
        <v>2399.85</v>
      </c>
      <c r="Q149" s="1" t="n">
        <v>13599.15</v>
      </c>
      <c r="R149" s="1" t="n">
        <v>2447.85</v>
      </c>
      <c r="S149" s="1" t="n">
        <v>11151.3</v>
      </c>
      <c r="T149" s="1" t="n">
        <v>4271.46</v>
      </c>
      <c r="U149" s="1" t="n">
        <v>6879.84</v>
      </c>
      <c r="V149" s="1" t="n">
        <v>61.7</v>
      </c>
      <c r="W149" s="1" t="s">
        <v>39</v>
      </c>
      <c r="Y149" s="1" t="s">
        <v>40</v>
      </c>
      <c r="Z149" s="1" t="n">
        <v>0</v>
      </c>
    </row>
    <row r="150" customFormat="false" ht="15" hidden="false" customHeight="true" outlineLevel="0" collapsed="false">
      <c r="A150" s="1" t="s">
        <v>429</v>
      </c>
      <c r="B150" s="1" t="s">
        <v>430</v>
      </c>
      <c r="C150" s="1" t="s">
        <v>264</v>
      </c>
      <c r="D150" s="1" t="s">
        <v>94</v>
      </c>
      <c r="E150" s="1" t="s">
        <v>135</v>
      </c>
      <c r="F150" s="1" t="s">
        <v>244</v>
      </c>
      <c r="G150" s="1" t="s">
        <v>97</v>
      </c>
      <c r="H150" s="1" t="s">
        <v>57</v>
      </c>
      <c r="I150" s="1" t="s">
        <v>58</v>
      </c>
      <c r="J150" s="1" t="s">
        <v>131</v>
      </c>
      <c r="K150" s="1" t="s">
        <v>104</v>
      </c>
      <c r="L150" s="1" t="s">
        <v>37</v>
      </c>
      <c r="M150" s="1" t="s">
        <v>38</v>
      </c>
      <c r="N150" s="1" t="n">
        <v>9999</v>
      </c>
      <c r="O150" s="1" t="n">
        <v>50</v>
      </c>
      <c r="P150" s="1" t="n">
        <v>4999.5</v>
      </c>
      <c r="Q150" s="1" t="n">
        <v>4999.5</v>
      </c>
      <c r="R150" s="1" t="n">
        <v>899.91</v>
      </c>
      <c r="S150" s="1" t="n">
        <v>4099.59</v>
      </c>
      <c r="T150" s="1" t="n">
        <v>2407.52</v>
      </c>
      <c r="U150" s="1" t="n">
        <v>1692.07</v>
      </c>
      <c r="V150" s="1" t="n">
        <v>41.27</v>
      </c>
      <c r="W150" s="1" t="s">
        <v>39</v>
      </c>
      <c r="X150" s="1" t="n">
        <v>3.5</v>
      </c>
      <c r="Y150" s="1" t="s">
        <v>40</v>
      </c>
      <c r="Z150" s="1" t="n">
        <v>1</v>
      </c>
    </row>
    <row r="151" customFormat="false" ht="15" hidden="false" customHeight="true" outlineLevel="0" collapsed="false">
      <c r="A151" s="1" t="s">
        <v>431</v>
      </c>
      <c r="B151" s="1" t="s">
        <v>432</v>
      </c>
      <c r="C151" s="1" t="s">
        <v>28</v>
      </c>
      <c r="D151" s="1" t="s">
        <v>80</v>
      </c>
      <c r="E151" s="1" t="s">
        <v>175</v>
      </c>
      <c r="F151" s="1" t="s">
        <v>89</v>
      </c>
      <c r="G151" s="1" t="s">
        <v>68</v>
      </c>
      <c r="H151" s="1" t="s">
        <v>33</v>
      </c>
      <c r="I151" s="1" t="s">
        <v>58</v>
      </c>
      <c r="J151" s="1" t="s">
        <v>77</v>
      </c>
      <c r="K151" s="1" t="s">
        <v>90</v>
      </c>
      <c r="L151" s="1" t="s">
        <v>61</v>
      </c>
      <c r="M151" s="1" t="s">
        <v>62</v>
      </c>
      <c r="N151" s="1" t="n">
        <v>19999</v>
      </c>
      <c r="O151" s="1" t="n">
        <v>30</v>
      </c>
      <c r="P151" s="1" t="n">
        <v>5999.7</v>
      </c>
      <c r="Q151" s="1" t="n">
        <v>13999.3</v>
      </c>
      <c r="R151" s="1" t="n">
        <v>2519.87</v>
      </c>
      <c r="S151" s="1" t="n">
        <v>11479.43</v>
      </c>
      <c r="T151" s="1" t="n">
        <v>4946.9</v>
      </c>
      <c r="U151" s="1" t="n">
        <v>6532.53</v>
      </c>
      <c r="V151" s="1" t="n">
        <v>56.91</v>
      </c>
      <c r="W151" s="1" t="s">
        <v>39</v>
      </c>
      <c r="Y151" s="1" t="s">
        <v>40</v>
      </c>
      <c r="Z151" s="1" t="n">
        <v>0</v>
      </c>
    </row>
    <row r="152" customFormat="false" ht="15" hidden="false" customHeight="true" outlineLevel="0" collapsed="false">
      <c r="A152" s="1" t="s">
        <v>433</v>
      </c>
      <c r="B152" s="1" t="s">
        <v>304</v>
      </c>
      <c r="C152" s="1" t="s">
        <v>134</v>
      </c>
      <c r="D152" s="1" t="s">
        <v>143</v>
      </c>
      <c r="E152" s="1" t="s">
        <v>159</v>
      </c>
      <c r="F152" s="1" t="s">
        <v>244</v>
      </c>
      <c r="G152" s="1" t="s">
        <v>97</v>
      </c>
      <c r="H152" s="1" t="s">
        <v>57</v>
      </c>
      <c r="I152" s="1" t="s">
        <v>83</v>
      </c>
      <c r="J152" s="1" t="s">
        <v>131</v>
      </c>
      <c r="K152" s="1" t="s">
        <v>36</v>
      </c>
      <c r="L152" s="1" t="s">
        <v>136</v>
      </c>
      <c r="M152" s="1" t="s">
        <v>38</v>
      </c>
      <c r="N152" s="1" t="n">
        <v>24999</v>
      </c>
      <c r="O152" s="1" t="n">
        <v>20</v>
      </c>
      <c r="P152" s="1" t="n">
        <v>4999.8</v>
      </c>
      <c r="Q152" s="1" t="n">
        <v>19999.2</v>
      </c>
      <c r="R152" s="1" t="n">
        <v>3599.86</v>
      </c>
      <c r="S152" s="1" t="n">
        <v>16399.34</v>
      </c>
      <c r="T152" s="1" t="n">
        <v>8190.38</v>
      </c>
      <c r="U152" s="1" t="n">
        <v>8208.96</v>
      </c>
      <c r="V152" s="1" t="n">
        <v>50.06</v>
      </c>
      <c r="W152" s="1" t="s">
        <v>40</v>
      </c>
      <c r="Y152" s="1" t="s">
        <v>39</v>
      </c>
      <c r="Z152" s="1" t="n">
        <v>2</v>
      </c>
    </row>
    <row r="153" customFormat="false" ht="15" hidden="false" customHeight="true" outlineLevel="0" collapsed="false">
      <c r="A153" s="1" t="s">
        <v>434</v>
      </c>
      <c r="B153" s="1" t="s">
        <v>435</v>
      </c>
      <c r="C153" s="1" t="s">
        <v>436</v>
      </c>
      <c r="D153" s="1" t="s">
        <v>29</v>
      </c>
      <c r="E153" s="1" t="s">
        <v>305</v>
      </c>
      <c r="F153" s="1" t="s">
        <v>130</v>
      </c>
      <c r="G153" s="1" t="s">
        <v>47</v>
      </c>
      <c r="H153" s="1" t="s">
        <v>69</v>
      </c>
      <c r="I153" s="1" t="s">
        <v>34</v>
      </c>
      <c r="J153" s="1" t="s">
        <v>131</v>
      </c>
      <c r="K153" s="1" t="s">
        <v>90</v>
      </c>
      <c r="L153" s="1" t="s">
        <v>49</v>
      </c>
      <c r="M153" s="1" t="s">
        <v>62</v>
      </c>
      <c r="N153" s="1" t="n">
        <v>24999</v>
      </c>
      <c r="O153" s="1" t="n">
        <v>20</v>
      </c>
      <c r="P153" s="1" t="n">
        <v>4999.8</v>
      </c>
      <c r="Q153" s="1" t="n">
        <v>19999.2</v>
      </c>
      <c r="R153" s="1" t="n">
        <v>3599.86</v>
      </c>
      <c r="S153" s="1" t="n">
        <v>16399.34</v>
      </c>
      <c r="T153" s="1" t="n">
        <v>6706.66</v>
      </c>
      <c r="U153" s="1" t="n">
        <v>9692.68</v>
      </c>
      <c r="V153" s="1" t="n">
        <v>59.1</v>
      </c>
      <c r="W153" s="1" t="s">
        <v>40</v>
      </c>
      <c r="Y153" s="1" t="s">
        <v>40</v>
      </c>
      <c r="Z153" s="1" t="n">
        <v>0</v>
      </c>
    </row>
    <row r="154" customFormat="false" ht="15" hidden="false" customHeight="true" outlineLevel="0" collapsed="false">
      <c r="A154" s="1" t="s">
        <v>437</v>
      </c>
      <c r="B154" s="1" t="s">
        <v>438</v>
      </c>
      <c r="C154" s="1" t="s">
        <v>65</v>
      </c>
      <c r="D154" s="1" t="s">
        <v>29</v>
      </c>
      <c r="E154" s="1" t="s">
        <v>305</v>
      </c>
      <c r="F154" s="1" t="s">
        <v>67</v>
      </c>
      <c r="G154" s="1" t="s">
        <v>68</v>
      </c>
      <c r="H154" s="1" t="s">
        <v>69</v>
      </c>
      <c r="I154" s="1" t="s">
        <v>58</v>
      </c>
      <c r="J154" s="1" t="s">
        <v>131</v>
      </c>
      <c r="K154" s="1" t="s">
        <v>71</v>
      </c>
      <c r="L154" s="1" t="s">
        <v>136</v>
      </c>
      <c r="M154" s="1" t="s">
        <v>62</v>
      </c>
      <c r="N154" s="1" t="n">
        <v>24999</v>
      </c>
      <c r="O154" s="1" t="n">
        <v>0</v>
      </c>
      <c r="P154" s="1" t="n">
        <v>0</v>
      </c>
      <c r="Q154" s="1" t="n">
        <v>24999</v>
      </c>
      <c r="R154" s="1" t="n">
        <v>4499.82</v>
      </c>
      <c r="S154" s="1" t="n">
        <v>20499.18</v>
      </c>
      <c r="T154" s="1" t="n">
        <v>6634.51</v>
      </c>
      <c r="U154" s="1" t="n">
        <v>13864.67</v>
      </c>
      <c r="V154" s="1" t="n">
        <v>67.64</v>
      </c>
      <c r="W154" s="1" t="s">
        <v>39</v>
      </c>
      <c r="X154" s="1" t="n">
        <v>3.4</v>
      </c>
      <c r="Y154" s="1" t="s">
        <v>40</v>
      </c>
      <c r="Z154" s="1" t="n">
        <v>1</v>
      </c>
    </row>
    <row r="155" customFormat="false" ht="15" hidden="false" customHeight="true" outlineLevel="0" collapsed="false">
      <c r="A155" s="1" t="s">
        <v>439</v>
      </c>
      <c r="B155" s="1" t="s">
        <v>251</v>
      </c>
      <c r="C155" s="1" t="s">
        <v>43</v>
      </c>
      <c r="D155" s="1" t="s">
        <v>143</v>
      </c>
      <c r="E155" s="1" t="s">
        <v>243</v>
      </c>
      <c r="F155" s="1" t="s">
        <v>187</v>
      </c>
      <c r="G155" s="1" t="s">
        <v>97</v>
      </c>
      <c r="H155" s="1" t="s">
        <v>69</v>
      </c>
      <c r="I155" s="1" t="s">
        <v>34</v>
      </c>
      <c r="J155" s="1" t="s">
        <v>70</v>
      </c>
      <c r="K155" s="1" t="s">
        <v>60</v>
      </c>
      <c r="L155" s="1" t="s">
        <v>49</v>
      </c>
      <c r="M155" s="1" t="s">
        <v>38</v>
      </c>
      <c r="N155" s="1" t="n">
        <v>22999</v>
      </c>
      <c r="O155" s="1" t="n">
        <v>10</v>
      </c>
      <c r="P155" s="1" t="n">
        <v>2299.9</v>
      </c>
      <c r="Q155" s="1" t="n">
        <v>20699.1</v>
      </c>
      <c r="R155" s="1" t="n">
        <v>3725.84</v>
      </c>
      <c r="S155" s="1" t="n">
        <v>16973.26</v>
      </c>
      <c r="T155" s="1" t="n">
        <v>7475.97</v>
      </c>
      <c r="U155" s="1" t="n">
        <v>9497.29</v>
      </c>
      <c r="V155" s="1" t="n">
        <v>55.95</v>
      </c>
      <c r="W155" s="1" t="s">
        <v>40</v>
      </c>
      <c r="Y155" s="1" t="s">
        <v>40</v>
      </c>
      <c r="Z155" s="1" t="n">
        <v>3</v>
      </c>
    </row>
    <row r="156" customFormat="false" ht="15" hidden="false" customHeight="true" outlineLevel="0" collapsed="false">
      <c r="A156" s="1" t="s">
        <v>440</v>
      </c>
      <c r="B156" s="1" t="s">
        <v>441</v>
      </c>
      <c r="C156" s="1" t="s">
        <v>442</v>
      </c>
      <c r="D156" s="1" t="s">
        <v>168</v>
      </c>
      <c r="E156" s="1" t="s">
        <v>328</v>
      </c>
      <c r="F156" s="1" t="s">
        <v>140</v>
      </c>
      <c r="G156" s="1" t="s">
        <v>97</v>
      </c>
      <c r="H156" s="1" t="s">
        <v>57</v>
      </c>
      <c r="I156" s="1" t="s">
        <v>34</v>
      </c>
      <c r="J156" s="1" t="s">
        <v>35</v>
      </c>
      <c r="K156" s="1" t="s">
        <v>48</v>
      </c>
      <c r="L156" s="1" t="s">
        <v>113</v>
      </c>
      <c r="M156" s="1" t="s">
        <v>38</v>
      </c>
      <c r="N156" s="1" t="n">
        <v>8999</v>
      </c>
      <c r="O156" s="1" t="n">
        <v>50</v>
      </c>
      <c r="P156" s="1" t="n">
        <v>4499.5</v>
      </c>
      <c r="Q156" s="1" t="n">
        <v>4499.5</v>
      </c>
      <c r="R156" s="1" t="n">
        <v>809.91</v>
      </c>
      <c r="S156" s="1" t="n">
        <v>3689.59</v>
      </c>
      <c r="T156" s="1" t="n">
        <v>1942.67</v>
      </c>
      <c r="U156" s="1" t="n">
        <v>1746.92</v>
      </c>
      <c r="V156" s="1" t="n">
        <v>47.35</v>
      </c>
      <c r="W156" s="1" t="s">
        <v>39</v>
      </c>
      <c r="X156" s="1" t="n">
        <v>3.5</v>
      </c>
      <c r="Y156" s="1" t="s">
        <v>40</v>
      </c>
      <c r="Z156" s="1" t="n">
        <v>0</v>
      </c>
    </row>
    <row r="157" customFormat="false" ht="15" hidden="false" customHeight="true" outlineLevel="0" collapsed="false">
      <c r="A157" s="1" t="s">
        <v>443</v>
      </c>
      <c r="B157" s="1" t="s">
        <v>444</v>
      </c>
      <c r="C157" s="1" t="s">
        <v>128</v>
      </c>
      <c r="D157" s="1" t="s">
        <v>80</v>
      </c>
      <c r="E157" s="1" t="s">
        <v>190</v>
      </c>
      <c r="F157" s="1" t="s">
        <v>244</v>
      </c>
      <c r="G157" s="1" t="s">
        <v>97</v>
      </c>
      <c r="H157" s="1" t="s">
        <v>57</v>
      </c>
      <c r="I157" s="1" t="s">
        <v>83</v>
      </c>
      <c r="J157" s="1" t="s">
        <v>59</v>
      </c>
      <c r="K157" s="1" t="s">
        <v>104</v>
      </c>
      <c r="L157" s="1" t="s">
        <v>61</v>
      </c>
      <c r="M157" s="1" t="s">
        <v>62</v>
      </c>
      <c r="N157" s="1" t="n">
        <v>15999</v>
      </c>
      <c r="O157" s="1" t="n">
        <v>20</v>
      </c>
      <c r="P157" s="1" t="n">
        <v>3199.8</v>
      </c>
      <c r="Q157" s="1" t="n">
        <v>12799.2</v>
      </c>
      <c r="R157" s="1" t="n">
        <v>2303.86</v>
      </c>
      <c r="S157" s="1" t="n">
        <v>10495.34</v>
      </c>
      <c r="T157" s="1" t="n">
        <v>4440.18</v>
      </c>
      <c r="U157" s="1" t="n">
        <v>6055.16</v>
      </c>
      <c r="V157" s="1" t="n">
        <v>57.69</v>
      </c>
      <c r="W157" s="1" t="s">
        <v>40</v>
      </c>
      <c r="Y157" s="1" t="s">
        <v>40</v>
      </c>
      <c r="Z157" s="1" t="n">
        <v>0</v>
      </c>
    </row>
    <row r="158" customFormat="false" ht="15" hidden="false" customHeight="true" outlineLevel="0" collapsed="false">
      <c r="A158" s="1" t="s">
        <v>445</v>
      </c>
      <c r="B158" s="1" t="s">
        <v>268</v>
      </c>
      <c r="C158" s="1" t="s">
        <v>100</v>
      </c>
      <c r="D158" s="1" t="s">
        <v>80</v>
      </c>
      <c r="E158" s="1" t="s">
        <v>190</v>
      </c>
      <c r="F158" s="1" t="s">
        <v>31</v>
      </c>
      <c r="G158" s="1" t="s">
        <v>32</v>
      </c>
      <c r="H158" s="1" t="s">
        <v>33</v>
      </c>
      <c r="I158" s="1" t="s">
        <v>58</v>
      </c>
      <c r="J158" s="1" t="s">
        <v>77</v>
      </c>
      <c r="K158" s="1" t="s">
        <v>48</v>
      </c>
      <c r="L158" s="1" t="s">
        <v>37</v>
      </c>
      <c r="M158" s="1" t="s">
        <v>50</v>
      </c>
      <c r="N158" s="1" t="n">
        <v>15999</v>
      </c>
      <c r="O158" s="1" t="n">
        <v>0</v>
      </c>
      <c r="P158" s="1" t="n">
        <v>0</v>
      </c>
      <c r="Q158" s="1" t="n">
        <v>15999</v>
      </c>
      <c r="R158" s="1" t="n">
        <v>2879.82</v>
      </c>
      <c r="S158" s="1" t="n">
        <v>13119.18</v>
      </c>
      <c r="T158" s="1" t="n">
        <v>5549.68</v>
      </c>
      <c r="U158" s="1" t="n">
        <v>7569.5</v>
      </c>
      <c r="V158" s="1" t="n">
        <v>57.7</v>
      </c>
      <c r="W158" s="1" t="s">
        <v>39</v>
      </c>
      <c r="X158" s="1" t="n">
        <v>3.2</v>
      </c>
      <c r="Y158" s="1" t="s">
        <v>39</v>
      </c>
      <c r="Z158" s="1" t="n">
        <v>0</v>
      </c>
    </row>
    <row r="159" customFormat="false" ht="15" hidden="false" customHeight="true" outlineLevel="0" collapsed="false">
      <c r="A159" s="1" t="s">
        <v>446</v>
      </c>
      <c r="B159" s="1" t="s">
        <v>171</v>
      </c>
      <c r="C159" s="1" t="s">
        <v>43</v>
      </c>
      <c r="D159" s="1" t="s">
        <v>44</v>
      </c>
      <c r="E159" s="1" t="s">
        <v>221</v>
      </c>
      <c r="F159" s="1" t="s">
        <v>150</v>
      </c>
      <c r="G159" s="1" t="s">
        <v>32</v>
      </c>
      <c r="H159" s="1" t="s">
        <v>57</v>
      </c>
      <c r="I159" s="1" t="s">
        <v>58</v>
      </c>
      <c r="J159" s="1" t="s">
        <v>70</v>
      </c>
      <c r="K159" s="1" t="s">
        <v>36</v>
      </c>
      <c r="L159" s="1" t="s">
        <v>136</v>
      </c>
      <c r="M159" s="1" t="s">
        <v>62</v>
      </c>
      <c r="N159" s="1" t="n">
        <v>16999</v>
      </c>
      <c r="O159" s="1" t="n">
        <v>25</v>
      </c>
      <c r="P159" s="1" t="n">
        <v>4249.75</v>
      </c>
      <c r="Q159" s="1" t="n">
        <v>12749.25</v>
      </c>
      <c r="R159" s="1" t="n">
        <v>2294.86</v>
      </c>
      <c r="S159" s="1" t="n">
        <v>10454.39</v>
      </c>
      <c r="T159" s="1" t="n">
        <v>4244.08</v>
      </c>
      <c r="U159" s="1" t="n">
        <v>6210.31</v>
      </c>
      <c r="V159" s="1" t="n">
        <v>59.4</v>
      </c>
      <c r="W159" s="1" t="s">
        <v>40</v>
      </c>
      <c r="Y159" s="1" t="s">
        <v>40</v>
      </c>
      <c r="Z159" s="1" t="n">
        <v>0</v>
      </c>
    </row>
    <row r="160" customFormat="false" ht="15" hidden="false" customHeight="true" outlineLevel="0" collapsed="false">
      <c r="A160" s="1" t="s">
        <v>447</v>
      </c>
      <c r="B160" s="1" t="s">
        <v>448</v>
      </c>
      <c r="C160" s="1" t="s">
        <v>249</v>
      </c>
      <c r="D160" s="1" t="s">
        <v>143</v>
      </c>
      <c r="E160" s="1" t="s">
        <v>144</v>
      </c>
      <c r="F160" s="1" t="s">
        <v>82</v>
      </c>
      <c r="G160" s="1" t="s">
        <v>56</v>
      </c>
      <c r="H160" s="1" t="s">
        <v>69</v>
      </c>
      <c r="I160" s="1" t="s">
        <v>34</v>
      </c>
      <c r="J160" s="1" t="s">
        <v>59</v>
      </c>
      <c r="K160" s="1" t="s">
        <v>84</v>
      </c>
      <c r="L160" s="1" t="s">
        <v>61</v>
      </c>
      <c r="M160" s="1" t="s">
        <v>62</v>
      </c>
      <c r="N160" s="1" t="n">
        <v>12999</v>
      </c>
      <c r="O160" s="1" t="n">
        <v>5</v>
      </c>
      <c r="P160" s="1" t="n">
        <v>649.95</v>
      </c>
      <c r="Q160" s="1" t="n">
        <v>12349.05</v>
      </c>
      <c r="R160" s="1" t="n">
        <v>2222.83</v>
      </c>
      <c r="S160" s="1" t="n">
        <v>10126.22</v>
      </c>
      <c r="T160" s="1" t="n">
        <v>4100.48</v>
      </c>
      <c r="U160" s="1" t="n">
        <v>6025.74</v>
      </c>
      <c r="V160" s="1" t="n">
        <v>59.51</v>
      </c>
      <c r="W160" s="1" t="s">
        <v>39</v>
      </c>
      <c r="X160" s="1" t="n">
        <v>4</v>
      </c>
      <c r="Y160" s="1" t="s">
        <v>40</v>
      </c>
      <c r="Z160" s="1" t="n">
        <v>0</v>
      </c>
    </row>
    <row r="161" customFormat="false" ht="15" hidden="false" customHeight="true" outlineLevel="0" collapsed="false">
      <c r="A161" s="1" t="s">
        <v>449</v>
      </c>
      <c r="B161" s="1" t="s">
        <v>450</v>
      </c>
      <c r="C161" s="1" t="s">
        <v>128</v>
      </c>
      <c r="D161" s="1" t="s">
        <v>94</v>
      </c>
      <c r="E161" s="1" t="s">
        <v>101</v>
      </c>
      <c r="F161" s="1" t="s">
        <v>125</v>
      </c>
      <c r="G161" s="1" t="s">
        <v>108</v>
      </c>
      <c r="H161" s="1" t="s">
        <v>69</v>
      </c>
      <c r="I161" s="1" t="s">
        <v>58</v>
      </c>
      <c r="J161" s="1" t="s">
        <v>77</v>
      </c>
      <c r="K161" s="1" t="s">
        <v>104</v>
      </c>
      <c r="L161" s="1" t="s">
        <v>85</v>
      </c>
      <c r="M161" s="1" t="s">
        <v>62</v>
      </c>
      <c r="N161" s="1" t="n">
        <v>14999</v>
      </c>
      <c r="O161" s="1" t="n">
        <v>0</v>
      </c>
      <c r="P161" s="1" t="n">
        <v>0</v>
      </c>
      <c r="Q161" s="1" t="n">
        <v>14999</v>
      </c>
      <c r="R161" s="1" t="n">
        <v>2699.82</v>
      </c>
      <c r="S161" s="1" t="n">
        <v>12299.18</v>
      </c>
      <c r="T161" s="1" t="n">
        <v>4540.19</v>
      </c>
      <c r="U161" s="1" t="n">
        <v>7758.99</v>
      </c>
      <c r="V161" s="1" t="n">
        <v>63.09</v>
      </c>
      <c r="W161" s="1" t="s">
        <v>39</v>
      </c>
      <c r="X161" s="1" t="n">
        <v>4</v>
      </c>
      <c r="Y161" s="1" t="s">
        <v>40</v>
      </c>
      <c r="Z161" s="1" t="n">
        <v>1</v>
      </c>
    </row>
    <row r="162" customFormat="false" ht="15" hidden="false" customHeight="true" outlineLevel="0" collapsed="false">
      <c r="A162" s="1" t="s">
        <v>451</v>
      </c>
      <c r="B162" s="1" t="s">
        <v>452</v>
      </c>
      <c r="C162" s="1" t="s">
        <v>65</v>
      </c>
      <c r="D162" s="1" t="s">
        <v>168</v>
      </c>
      <c r="E162" s="1" t="s">
        <v>169</v>
      </c>
      <c r="F162" s="1" t="s">
        <v>153</v>
      </c>
      <c r="G162" s="1" t="s">
        <v>76</v>
      </c>
      <c r="H162" s="1" t="s">
        <v>33</v>
      </c>
      <c r="I162" s="1" t="s">
        <v>83</v>
      </c>
      <c r="J162" s="1" t="s">
        <v>77</v>
      </c>
      <c r="K162" s="1" t="s">
        <v>48</v>
      </c>
      <c r="L162" s="1" t="s">
        <v>136</v>
      </c>
      <c r="M162" s="1" t="s">
        <v>50</v>
      </c>
      <c r="N162" s="1" t="n">
        <v>4999</v>
      </c>
      <c r="O162" s="1" t="n">
        <v>30</v>
      </c>
      <c r="P162" s="1" t="n">
        <v>1499.7</v>
      </c>
      <c r="Q162" s="1" t="n">
        <v>3499.3</v>
      </c>
      <c r="R162" s="1" t="n">
        <v>629.87</v>
      </c>
      <c r="S162" s="1" t="n">
        <v>2869.43</v>
      </c>
      <c r="T162" s="1" t="n">
        <v>1423.69</v>
      </c>
      <c r="U162" s="1" t="n">
        <v>1445.74</v>
      </c>
      <c r="V162" s="1" t="n">
        <v>50.38</v>
      </c>
      <c r="W162" s="1" t="s">
        <v>39</v>
      </c>
      <c r="X162" s="1" t="n">
        <v>3.4</v>
      </c>
      <c r="Y162" s="1" t="s">
        <v>40</v>
      </c>
      <c r="Z162" s="1" t="n">
        <v>0</v>
      </c>
    </row>
    <row r="163" customFormat="false" ht="15" hidden="false" customHeight="true" outlineLevel="0" collapsed="false">
      <c r="A163" s="1" t="s">
        <v>453</v>
      </c>
      <c r="B163" s="1" t="s">
        <v>454</v>
      </c>
      <c r="C163" s="1" t="s">
        <v>178</v>
      </c>
      <c r="D163" s="1" t="s">
        <v>168</v>
      </c>
      <c r="E163" s="1" t="s">
        <v>197</v>
      </c>
      <c r="F163" s="1" t="s">
        <v>156</v>
      </c>
      <c r="G163" s="1" t="s">
        <v>68</v>
      </c>
      <c r="H163" s="1" t="s">
        <v>57</v>
      </c>
      <c r="I163" s="1" t="s">
        <v>58</v>
      </c>
      <c r="J163" s="1" t="s">
        <v>70</v>
      </c>
      <c r="K163" s="1" t="s">
        <v>71</v>
      </c>
      <c r="L163" s="1" t="s">
        <v>61</v>
      </c>
      <c r="M163" s="1" t="s">
        <v>62</v>
      </c>
      <c r="N163" s="1" t="n">
        <v>8499</v>
      </c>
      <c r="O163" s="1" t="n">
        <v>5</v>
      </c>
      <c r="P163" s="1" t="n">
        <v>424.95</v>
      </c>
      <c r="Q163" s="1" t="n">
        <v>8074.05</v>
      </c>
      <c r="R163" s="1" t="n">
        <v>1453.33</v>
      </c>
      <c r="S163" s="1" t="n">
        <v>6620.72</v>
      </c>
      <c r="T163" s="1" t="n">
        <v>2568.1</v>
      </c>
      <c r="U163" s="1" t="n">
        <v>4052.62</v>
      </c>
      <c r="V163" s="1" t="n">
        <v>61.21</v>
      </c>
      <c r="W163" s="1" t="s">
        <v>39</v>
      </c>
      <c r="X163" s="1" t="n">
        <v>3.2</v>
      </c>
      <c r="Y163" s="1" t="s">
        <v>40</v>
      </c>
      <c r="Z163" s="1" t="n">
        <v>0</v>
      </c>
    </row>
    <row r="164" customFormat="false" ht="15" hidden="false" customHeight="true" outlineLevel="0" collapsed="false">
      <c r="A164" s="1" t="s">
        <v>455</v>
      </c>
      <c r="B164" s="1" t="s">
        <v>456</v>
      </c>
      <c r="C164" s="1" t="s">
        <v>43</v>
      </c>
      <c r="D164" s="1" t="s">
        <v>143</v>
      </c>
      <c r="E164" s="1" t="s">
        <v>162</v>
      </c>
      <c r="F164" s="1" t="s">
        <v>156</v>
      </c>
      <c r="G164" s="1" t="s">
        <v>68</v>
      </c>
      <c r="H164" s="1" t="s">
        <v>57</v>
      </c>
      <c r="I164" s="1" t="s">
        <v>83</v>
      </c>
      <c r="J164" s="1" t="s">
        <v>35</v>
      </c>
      <c r="K164" s="1" t="s">
        <v>90</v>
      </c>
      <c r="L164" s="1" t="s">
        <v>49</v>
      </c>
      <c r="M164" s="1" t="s">
        <v>38</v>
      </c>
      <c r="N164" s="1" t="n">
        <v>14999</v>
      </c>
      <c r="O164" s="1" t="n">
        <v>50</v>
      </c>
      <c r="P164" s="1" t="n">
        <v>7499.5</v>
      </c>
      <c r="Q164" s="1" t="n">
        <v>7499.5</v>
      </c>
      <c r="R164" s="1" t="n">
        <v>1349.91</v>
      </c>
      <c r="S164" s="1" t="n">
        <v>6149.59</v>
      </c>
      <c r="T164" s="1" t="n">
        <v>2489.21</v>
      </c>
      <c r="U164" s="1" t="n">
        <v>3660.38</v>
      </c>
      <c r="V164" s="1" t="n">
        <v>59.52</v>
      </c>
      <c r="W164" s="1" t="s">
        <v>39</v>
      </c>
      <c r="X164" s="1" t="n">
        <v>3.7</v>
      </c>
      <c r="Y164" s="1" t="s">
        <v>40</v>
      </c>
      <c r="Z164" s="1" t="n">
        <v>1</v>
      </c>
    </row>
    <row r="165" customFormat="false" ht="15" hidden="false" customHeight="true" outlineLevel="0" collapsed="false">
      <c r="A165" s="1" t="s">
        <v>457</v>
      </c>
      <c r="B165" s="1" t="s">
        <v>458</v>
      </c>
      <c r="C165" s="1" t="s">
        <v>139</v>
      </c>
      <c r="D165" s="1" t="s">
        <v>168</v>
      </c>
      <c r="E165" s="1" t="s">
        <v>169</v>
      </c>
      <c r="F165" s="1" t="s">
        <v>184</v>
      </c>
      <c r="G165" s="1" t="s">
        <v>56</v>
      </c>
      <c r="H165" s="1" t="s">
        <v>57</v>
      </c>
      <c r="I165" s="1" t="s">
        <v>34</v>
      </c>
      <c r="J165" s="1" t="s">
        <v>131</v>
      </c>
      <c r="K165" s="1" t="s">
        <v>36</v>
      </c>
      <c r="L165" s="1" t="s">
        <v>113</v>
      </c>
      <c r="M165" s="1" t="s">
        <v>62</v>
      </c>
      <c r="N165" s="1" t="n">
        <v>4999</v>
      </c>
      <c r="O165" s="1" t="n">
        <v>0</v>
      </c>
      <c r="P165" s="1" t="n">
        <v>0</v>
      </c>
      <c r="Q165" s="1" t="n">
        <v>4999</v>
      </c>
      <c r="R165" s="1" t="n">
        <v>899.82</v>
      </c>
      <c r="S165" s="1" t="n">
        <v>4099.18</v>
      </c>
      <c r="T165" s="1" t="n">
        <v>2084.47</v>
      </c>
      <c r="U165" s="1" t="n">
        <v>2014.71</v>
      </c>
      <c r="V165" s="1" t="n">
        <v>49.15</v>
      </c>
      <c r="W165" s="1" t="s">
        <v>39</v>
      </c>
      <c r="X165" s="1" t="n">
        <v>3.7</v>
      </c>
      <c r="Y165" s="1" t="s">
        <v>40</v>
      </c>
      <c r="Z165" s="1" t="n">
        <v>0</v>
      </c>
    </row>
    <row r="166" customFormat="false" ht="15" hidden="false" customHeight="true" outlineLevel="0" collapsed="false">
      <c r="A166" s="1" t="s">
        <v>459</v>
      </c>
      <c r="B166" s="1" t="s">
        <v>460</v>
      </c>
      <c r="C166" s="1" t="s">
        <v>178</v>
      </c>
      <c r="D166" s="1" t="s">
        <v>29</v>
      </c>
      <c r="E166" s="1" t="s">
        <v>305</v>
      </c>
      <c r="F166" s="1" t="s">
        <v>269</v>
      </c>
      <c r="G166" s="1" t="s">
        <v>108</v>
      </c>
      <c r="H166" s="1" t="s">
        <v>57</v>
      </c>
      <c r="I166" s="1" t="s">
        <v>34</v>
      </c>
      <c r="J166" s="1" t="s">
        <v>70</v>
      </c>
      <c r="K166" s="1" t="s">
        <v>60</v>
      </c>
      <c r="L166" s="1" t="s">
        <v>85</v>
      </c>
      <c r="M166" s="1" t="s">
        <v>50</v>
      </c>
      <c r="N166" s="1" t="n">
        <v>24999</v>
      </c>
      <c r="O166" s="1" t="n">
        <v>5</v>
      </c>
      <c r="P166" s="1" t="n">
        <v>1249.95</v>
      </c>
      <c r="Q166" s="1" t="n">
        <v>23749.05</v>
      </c>
      <c r="R166" s="1" t="n">
        <v>4274.83</v>
      </c>
      <c r="S166" s="1" t="n">
        <v>19474.22</v>
      </c>
      <c r="T166" s="1" t="n">
        <v>6981.97</v>
      </c>
      <c r="U166" s="1" t="n">
        <v>12492.25</v>
      </c>
      <c r="V166" s="1" t="n">
        <v>64.15</v>
      </c>
      <c r="W166" s="1" t="s">
        <v>39</v>
      </c>
      <c r="X166" s="1" t="n">
        <v>4.1</v>
      </c>
      <c r="Y166" s="1" t="s">
        <v>40</v>
      </c>
      <c r="Z166" s="1" t="n">
        <v>0</v>
      </c>
    </row>
    <row r="167" customFormat="false" ht="15" hidden="false" customHeight="true" outlineLevel="0" collapsed="false">
      <c r="A167" s="1" t="s">
        <v>461</v>
      </c>
      <c r="B167" s="1" t="s">
        <v>462</v>
      </c>
      <c r="C167" s="1" t="s">
        <v>74</v>
      </c>
      <c r="D167" s="1" t="s">
        <v>80</v>
      </c>
      <c r="E167" s="1" t="s">
        <v>190</v>
      </c>
      <c r="F167" s="1" t="s">
        <v>130</v>
      </c>
      <c r="G167" s="1" t="s">
        <v>47</v>
      </c>
      <c r="H167" s="1" t="s">
        <v>69</v>
      </c>
      <c r="I167" s="1" t="s">
        <v>34</v>
      </c>
      <c r="J167" s="1" t="s">
        <v>131</v>
      </c>
      <c r="K167" s="1" t="s">
        <v>48</v>
      </c>
      <c r="L167" s="1" t="s">
        <v>85</v>
      </c>
      <c r="M167" s="1" t="s">
        <v>62</v>
      </c>
      <c r="N167" s="1" t="n">
        <v>15999</v>
      </c>
      <c r="O167" s="1" t="n">
        <v>20</v>
      </c>
      <c r="P167" s="1" t="n">
        <v>3199.8</v>
      </c>
      <c r="Q167" s="1" t="n">
        <v>12799.2</v>
      </c>
      <c r="R167" s="1" t="n">
        <v>2303.86</v>
      </c>
      <c r="S167" s="1" t="n">
        <v>10495.34</v>
      </c>
      <c r="T167" s="1" t="n">
        <v>4415.72</v>
      </c>
      <c r="U167" s="1" t="n">
        <v>6079.62</v>
      </c>
      <c r="V167" s="1" t="n">
        <v>57.93</v>
      </c>
      <c r="W167" s="1" t="s">
        <v>39</v>
      </c>
      <c r="X167" s="1" t="n">
        <v>3.8</v>
      </c>
      <c r="Y167" s="1" t="s">
        <v>40</v>
      </c>
      <c r="Z167" s="1" t="n">
        <v>0</v>
      </c>
    </row>
    <row r="168" customFormat="false" ht="15" hidden="false" customHeight="true" outlineLevel="0" collapsed="false">
      <c r="A168" s="1" t="s">
        <v>463</v>
      </c>
      <c r="B168" s="1" t="s">
        <v>464</v>
      </c>
      <c r="C168" s="1" t="s">
        <v>43</v>
      </c>
      <c r="D168" s="1" t="s">
        <v>168</v>
      </c>
      <c r="E168" s="1" t="s">
        <v>328</v>
      </c>
      <c r="F168" s="1" t="s">
        <v>31</v>
      </c>
      <c r="G168" s="1" t="s">
        <v>32</v>
      </c>
      <c r="H168" s="1" t="s">
        <v>33</v>
      </c>
      <c r="I168" s="1" t="s">
        <v>34</v>
      </c>
      <c r="J168" s="1" t="s">
        <v>131</v>
      </c>
      <c r="K168" s="1" t="s">
        <v>104</v>
      </c>
      <c r="L168" s="1" t="s">
        <v>113</v>
      </c>
      <c r="M168" s="1" t="s">
        <v>62</v>
      </c>
      <c r="N168" s="1" t="n">
        <v>8999</v>
      </c>
      <c r="O168" s="1" t="n">
        <v>50</v>
      </c>
      <c r="P168" s="1" t="n">
        <v>4499.5</v>
      </c>
      <c r="Q168" s="1" t="n">
        <v>4499.5</v>
      </c>
      <c r="R168" s="1" t="n">
        <v>809.91</v>
      </c>
      <c r="S168" s="1" t="n">
        <v>3689.59</v>
      </c>
      <c r="T168" s="1" t="n">
        <v>2074.13</v>
      </c>
      <c r="U168" s="1" t="n">
        <v>1615.46</v>
      </c>
      <c r="V168" s="1" t="n">
        <v>43.78</v>
      </c>
      <c r="W168" s="1" t="s">
        <v>40</v>
      </c>
      <c r="Y168" s="1" t="s">
        <v>40</v>
      </c>
      <c r="Z168" s="1" t="n">
        <v>0</v>
      </c>
    </row>
    <row r="169" customFormat="false" ht="15" hidden="false" customHeight="true" outlineLevel="0" collapsed="false">
      <c r="A169" s="1" t="s">
        <v>465</v>
      </c>
      <c r="B169" s="1" t="s">
        <v>466</v>
      </c>
      <c r="C169" s="1" t="s">
        <v>28</v>
      </c>
      <c r="D169" s="1" t="s">
        <v>168</v>
      </c>
      <c r="E169" s="1" t="s">
        <v>169</v>
      </c>
      <c r="F169" s="1" t="s">
        <v>153</v>
      </c>
      <c r="G169" s="1" t="s">
        <v>76</v>
      </c>
      <c r="H169" s="1" t="s">
        <v>33</v>
      </c>
      <c r="I169" s="1" t="s">
        <v>83</v>
      </c>
      <c r="J169" s="1" t="s">
        <v>70</v>
      </c>
      <c r="K169" s="1" t="s">
        <v>36</v>
      </c>
      <c r="L169" s="1" t="s">
        <v>136</v>
      </c>
      <c r="M169" s="1" t="s">
        <v>50</v>
      </c>
      <c r="N169" s="1" t="n">
        <v>4999</v>
      </c>
      <c r="O169" s="1" t="n">
        <v>10</v>
      </c>
      <c r="P169" s="1" t="n">
        <v>499.9</v>
      </c>
      <c r="Q169" s="1" t="n">
        <v>4499.1</v>
      </c>
      <c r="R169" s="1" t="n">
        <v>809.84</v>
      </c>
      <c r="S169" s="1" t="n">
        <v>3689.26</v>
      </c>
      <c r="T169" s="1" t="n">
        <v>1735.39</v>
      </c>
      <c r="U169" s="1" t="n">
        <v>1953.87</v>
      </c>
      <c r="V169" s="1" t="n">
        <v>52.96</v>
      </c>
      <c r="W169" s="1" t="s">
        <v>39</v>
      </c>
      <c r="X169" s="1" t="n">
        <v>3.6</v>
      </c>
      <c r="Y169" s="1" t="s">
        <v>40</v>
      </c>
      <c r="Z169" s="1" t="n">
        <v>0</v>
      </c>
    </row>
    <row r="170" customFormat="false" ht="15" hidden="false" customHeight="true" outlineLevel="0" collapsed="false">
      <c r="A170" s="1" t="s">
        <v>467</v>
      </c>
      <c r="B170" s="1" t="s">
        <v>468</v>
      </c>
      <c r="C170" s="1" t="s">
        <v>128</v>
      </c>
      <c r="D170" s="1" t="s">
        <v>29</v>
      </c>
      <c r="E170" s="1" t="s">
        <v>30</v>
      </c>
      <c r="F170" s="1" t="s">
        <v>46</v>
      </c>
      <c r="G170" s="1" t="s">
        <v>47</v>
      </c>
      <c r="H170" s="1" t="s">
        <v>33</v>
      </c>
      <c r="I170" s="1" t="s">
        <v>34</v>
      </c>
      <c r="J170" s="1" t="s">
        <v>131</v>
      </c>
      <c r="K170" s="1" t="s">
        <v>36</v>
      </c>
      <c r="L170" s="1" t="s">
        <v>113</v>
      </c>
      <c r="M170" s="1" t="s">
        <v>50</v>
      </c>
      <c r="N170" s="1" t="n">
        <v>7999</v>
      </c>
      <c r="O170" s="1" t="n">
        <v>0</v>
      </c>
      <c r="P170" s="1" t="n">
        <v>0</v>
      </c>
      <c r="Q170" s="1" t="n">
        <v>7999</v>
      </c>
      <c r="R170" s="1" t="n">
        <v>1439.82</v>
      </c>
      <c r="S170" s="1" t="n">
        <v>6559.18</v>
      </c>
      <c r="T170" s="1" t="n">
        <v>2914.76</v>
      </c>
      <c r="U170" s="1" t="n">
        <v>3644.42</v>
      </c>
      <c r="V170" s="1" t="n">
        <v>55.56</v>
      </c>
      <c r="W170" s="1" t="s">
        <v>39</v>
      </c>
      <c r="Y170" s="1" t="s">
        <v>40</v>
      </c>
      <c r="Z170" s="1" t="n">
        <v>1</v>
      </c>
    </row>
    <row r="171" customFormat="false" ht="15" hidden="false" customHeight="true" outlineLevel="0" collapsed="false">
      <c r="A171" s="1" t="s">
        <v>469</v>
      </c>
      <c r="B171" s="1" t="s">
        <v>470</v>
      </c>
      <c r="C171" s="1" t="s">
        <v>88</v>
      </c>
      <c r="D171" s="1" t="s">
        <v>123</v>
      </c>
      <c r="E171" s="1" t="s">
        <v>233</v>
      </c>
      <c r="F171" s="1" t="s">
        <v>211</v>
      </c>
      <c r="G171" s="1" t="s">
        <v>56</v>
      </c>
      <c r="H171" s="1" t="s">
        <v>69</v>
      </c>
      <c r="I171" s="1" t="s">
        <v>58</v>
      </c>
      <c r="J171" s="1" t="s">
        <v>35</v>
      </c>
      <c r="K171" s="1" t="s">
        <v>112</v>
      </c>
      <c r="L171" s="1" t="s">
        <v>136</v>
      </c>
      <c r="M171" s="1" t="s">
        <v>50</v>
      </c>
      <c r="N171" s="1" t="n">
        <v>8999</v>
      </c>
      <c r="O171" s="1" t="n">
        <v>25</v>
      </c>
      <c r="P171" s="1" t="n">
        <v>2249.75</v>
      </c>
      <c r="Q171" s="1" t="n">
        <v>6749.25</v>
      </c>
      <c r="R171" s="1" t="n">
        <v>1214.87</v>
      </c>
      <c r="S171" s="1" t="n">
        <v>5534.38</v>
      </c>
      <c r="T171" s="1" t="n">
        <v>2190.99</v>
      </c>
      <c r="U171" s="1" t="n">
        <v>3343.39</v>
      </c>
      <c r="V171" s="1" t="n">
        <v>60.41</v>
      </c>
      <c r="W171" s="1" t="s">
        <v>39</v>
      </c>
      <c r="X171" s="1" t="n">
        <v>3.5</v>
      </c>
      <c r="Y171" s="1" t="s">
        <v>39</v>
      </c>
      <c r="Z171" s="1" t="n">
        <v>0</v>
      </c>
    </row>
    <row r="172" customFormat="false" ht="15" hidden="false" customHeight="true" outlineLevel="0" collapsed="false">
      <c r="A172" s="1" t="s">
        <v>471</v>
      </c>
      <c r="B172" s="1" t="s">
        <v>472</v>
      </c>
      <c r="C172" s="1" t="s">
        <v>167</v>
      </c>
      <c r="D172" s="1" t="s">
        <v>29</v>
      </c>
      <c r="E172" s="1" t="s">
        <v>30</v>
      </c>
      <c r="F172" s="1" t="s">
        <v>55</v>
      </c>
      <c r="G172" s="1" t="s">
        <v>56</v>
      </c>
      <c r="H172" s="1" t="s">
        <v>57</v>
      </c>
      <c r="I172" s="1" t="s">
        <v>58</v>
      </c>
      <c r="J172" s="1" t="s">
        <v>70</v>
      </c>
      <c r="K172" s="1" t="s">
        <v>90</v>
      </c>
      <c r="L172" s="1" t="s">
        <v>37</v>
      </c>
      <c r="M172" s="1" t="s">
        <v>62</v>
      </c>
      <c r="N172" s="1" t="n">
        <v>7999</v>
      </c>
      <c r="O172" s="1" t="n">
        <v>5</v>
      </c>
      <c r="P172" s="1" t="n">
        <v>399.95</v>
      </c>
      <c r="Q172" s="1" t="n">
        <v>7599.05</v>
      </c>
      <c r="R172" s="1" t="n">
        <v>1367.83</v>
      </c>
      <c r="S172" s="1" t="n">
        <v>6231.22</v>
      </c>
      <c r="T172" s="1" t="n">
        <v>2396.93</v>
      </c>
      <c r="U172" s="1" t="n">
        <v>3834.29</v>
      </c>
      <c r="V172" s="1" t="n">
        <v>61.53</v>
      </c>
      <c r="W172" s="1" t="s">
        <v>39</v>
      </c>
      <c r="X172" s="1" t="n">
        <v>3.6</v>
      </c>
      <c r="Y172" s="1" t="s">
        <v>40</v>
      </c>
      <c r="Z172" s="1" t="n">
        <v>0</v>
      </c>
    </row>
    <row r="173" customFormat="false" ht="15" hidden="false" customHeight="true" outlineLevel="0" collapsed="false">
      <c r="A173" s="1" t="s">
        <v>473</v>
      </c>
      <c r="B173" s="1" t="s">
        <v>73</v>
      </c>
      <c r="C173" s="1" t="s">
        <v>93</v>
      </c>
      <c r="D173" s="1" t="s">
        <v>44</v>
      </c>
      <c r="E173" s="1" t="s">
        <v>221</v>
      </c>
      <c r="F173" s="1" t="s">
        <v>474</v>
      </c>
      <c r="G173" s="1" t="s">
        <v>108</v>
      </c>
      <c r="H173" s="1" t="s">
        <v>69</v>
      </c>
      <c r="I173" s="1" t="s">
        <v>58</v>
      </c>
      <c r="J173" s="1" t="s">
        <v>70</v>
      </c>
      <c r="K173" s="1" t="s">
        <v>71</v>
      </c>
      <c r="L173" s="1" t="s">
        <v>37</v>
      </c>
      <c r="M173" s="1" t="s">
        <v>50</v>
      </c>
      <c r="N173" s="1" t="n">
        <v>16999</v>
      </c>
      <c r="O173" s="1" t="n">
        <v>30</v>
      </c>
      <c r="P173" s="1" t="n">
        <v>5099.7</v>
      </c>
      <c r="Q173" s="1" t="n">
        <v>11899.3</v>
      </c>
      <c r="R173" s="1" t="n">
        <v>2141.87</v>
      </c>
      <c r="S173" s="1" t="n">
        <v>9757.43</v>
      </c>
      <c r="T173" s="1" t="n">
        <v>3968.24</v>
      </c>
      <c r="U173" s="1" t="n">
        <v>5789.19</v>
      </c>
      <c r="V173" s="1" t="n">
        <v>59.33</v>
      </c>
      <c r="W173" s="1" t="s">
        <v>40</v>
      </c>
      <c r="Y173" s="1" t="s">
        <v>40</v>
      </c>
      <c r="Z173" s="1" t="n">
        <v>3</v>
      </c>
    </row>
    <row r="174" customFormat="false" ht="15" hidden="false" customHeight="true" outlineLevel="0" collapsed="false">
      <c r="A174" s="1" t="s">
        <v>475</v>
      </c>
      <c r="B174" s="1" t="s">
        <v>177</v>
      </c>
      <c r="C174" s="1" t="s">
        <v>128</v>
      </c>
      <c r="D174" s="1" t="s">
        <v>80</v>
      </c>
      <c r="E174" s="1" t="s">
        <v>190</v>
      </c>
      <c r="F174" s="1" t="s">
        <v>102</v>
      </c>
      <c r="G174" s="1" t="s">
        <v>103</v>
      </c>
      <c r="H174" s="1" t="s">
        <v>33</v>
      </c>
      <c r="I174" s="1" t="s">
        <v>83</v>
      </c>
      <c r="J174" s="1" t="s">
        <v>77</v>
      </c>
      <c r="K174" s="1" t="s">
        <v>84</v>
      </c>
      <c r="L174" s="1" t="s">
        <v>136</v>
      </c>
      <c r="M174" s="1" t="s">
        <v>38</v>
      </c>
      <c r="N174" s="1" t="n">
        <v>15999</v>
      </c>
      <c r="O174" s="1" t="n">
        <v>10</v>
      </c>
      <c r="P174" s="1" t="n">
        <v>1599.9</v>
      </c>
      <c r="Q174" s="1" t="n">
        <v>14399.1</v>
      </c>
      <c r="R174" s="1" t="n">
        <v>2591.84</v>
      </c>
      <c r="S174" s="1" t="n">
        <v>11807.26</v>
      </c>
      <c r="T174" s="1" t="n">
        <v>5680.84</v>
      </c>
      <c r="U174" s="1" t="n">
        <v>6126.42</v>
      </c>
      <c r="V174" s="1" t="n">
        <v>51.89</v>
      </c>
      <c r="W174" s="1" t="s">
        <v>39</v>
      </c>
      <c r="X174" s="1" t="n">
        <v>4.5</v>
      </c>
      <c r="Y174" s="1" t="s">
        <v>40</v>
      </c>
      <c r="Z174" s="1" t="n">
        <v>1</v>
      </c>
    </row>
    <row r="175" customFormat="false" ht="15" hidden="false" customHeight="true" outlineLevel="0" collapsed="false">
      <c r="A175" s="1" t="s">
        <v>476</v>
      </c>
      <c r="B175" s="1" t="s">
        <v>477</v>
      </c>
      <c r="C175" s="1" t="s">
        <v>43</v>
      </c>
      <c r="D175" s="1" t="s">
        <v>80</v>
      </c>
      <c r="E175" s="1" t="s">
        <v>190</v>
      </c>
      <c r="F175" s="1" t="s">
        <v>194</v>
      </c>
      <c r="G175" s="1" t="s">
        <v>103</v>
      </c>
      <c r="H175" s="1" t="s">
        <v>69</v>
      </c>
      <c r="I175" s="1" t="s">
        <v>34</v>
      </c>
      <c r="J175" s="1" t="s">
        <v>131</v>
      </c>
      <c r="K175" s="1" t="s">
        <v>112</v>
      </c>
      <c r="L175" s="1" t="s">
        <v>113</v>
      </c>
      <c r="M175" s="1" t="s">
        <v>38</v>
      </c>
      <c r="N175" s="1" t="n">
        <v>15999</v>
      </c>
      <c r="O175" s="1" t="n">
        <v>5</v>
      </c>
      <c r="P175" s="1" t="n">
        <v>799.95</v>
      </c>
      <c r="Q175" s="1" t="n">
        <v>15199.05</v>
      </c>
      <c r="R175" s="1" t="n">
        <v>2735.83</v>
      </c>
      <c r="S175" s="1" t="n">
        <v>12463.22</v>
      </c>
      <c r="T175" s="1" t="n">
        <v>4417.91</v>
      </c>
      <c r="U175" s="1" t="n">
        <v>8045.31</v>
      </c>
      <c r="V175" s="1" t="n">
        <v>64.55</v>
      </c>
      <c r="W175" s="1" t="s">
        <v>39</v>
      </c>
      <c r="X175" s="1" t="n">
        <v>3</v>
      </c>
      <c r="Y175" s="1" t="s">
        <v>40</v>
      </c>
      <c r="Z175" s="1" t="n">
        <v>0</v>
      </c>
    </row>
    <row r="176" customFormat="false" ht="15" hidden="false" customHeight="true" outlineLevel="0" collapsed="false">
      <c r="A176" s="1" t="s">
        <v>478</v>
      </c>
      <c r="B176" s="1" t="s">
        <v>209</v>
      </c>
      <c r="C176" s="1" t="s">
        <v>100</v>
      </c>
      <c r="D176" s="1" t="s">
        <v>29</v>
      </c>
      <c r="E176" s="1" t="s">
        <v>182</v>
      </c>
      <c r="F176" s="1" t="s">
        <v>156</v>
      </c>
      <c r="G176" s="1" t="s">
        <v>68</v>
      </c>
      <c r="H176" s="1" t="s">
        <v>57</v>
      </c>
      <c r="I176" s="1" t="s">
        <v>83</v>
      </c>
      <c r="J176" s="1" t="s">
        <v>59</v>
      </c>
      <c r="K176" s="1" t="s">
        <v>48</v>
      </c>
      <c r="L176" s="1" t="s">
        <v>61</v>
      </c>
      <c r="M176" s="1" t="s">
        <v>62</v>
      </c>
      <c r="N176" s="1" t="n">
        <v>34999</v>
      </c>
      <c r="O176" s="1" t="n">
        <v>40</v>
      </c>
      <c r="P176" s="1" t="n">
        <v>13999.6</v>
      </c>
      <c r="Q176" s="1" t="n">
        <v>20999.4</v>
      </c>
      <c r="R176" s="1" t="n">
        <v>3779.89</v>
      </c>
      <c r="S176" s="1" t="n">
        <v>17219.51</v>
      </c>
      <c r="T176" s="1" t="n">
        <v>8901.59</v>
      </c>
      <c r="U176" s="1" t="n">
        <v>8317.92</v>
      </c>
      <c r="V176" s="1" t="n">
        <v>48.31</v>
      </c>
      <c r="W176" s="1" t="s">
        <v>40</v>
      </c>
      <c r="Y176" s="1" t="s">
        <v>40</v>
      </c>
      <c r="Z176" s="1" t="n">
        <v>2</v>
      </c>
    </row>
    <row r="177" customFormat="false" ht="15" hidden="false" customHeight="true" outlineLevel="0" collapsed="false">
      <c r="A177" s="1" t="s">
        <v>479</v>
      </c>
      <c r="B177" s="1" t="s">
        <v>346</v>
      </c>
      <c r="C177" s="1" t="s">
        <v>74</v>
      </c>
      <c r="D177" s="1" t="s">
        <v>29</v>
      </c>
      <c r="E177" s="1" t="s">
        <v>182</v>
      </c>
      <c r="F177" s="1" t="s">
        <v>156</v>
      </c>
      <c r="G177" s="1" t="s">
        <v>68</v>
      </c>
      <c r="H177" s="1" t="s">
        <v>57</v>
      </c>
      <c r="I177" s="1" t="s">
        <v>34</v>
      </c>
      <c r="J177" s="1" t="s">
        <v>70</v>
      </c>
      <c r="K177" s="1" t="s">
        <v>71</v>
      </c>
      <c r="L177" s="1" t="s">
        <v>113</v>
      </c>
      <c r="M177" s="1" t="s">
        <v>50</v>
      </c>
      <c r="N177" s="1" t="n">
        <v>34999</v>
      </c>
      <c r="O177" s="1" t="n">
        <v>25</v>
      </c>
      <c r="P177" s="1" t="n">
        <v>8749.75</v>
      </c>
      <c r="Q177" s="1" t="n">
        <v>26249.25</v>
      </c>
      <c r="R177" s="1" t="n">
        <v>4724.86</v>
      </c>
      <c r="S177" s="1" t="n">
        <v>21524.39</v>
      </c>
      <c r="T177" s="1" t="n">
        <v>9481.16</v>
      </c>
      <c r="U177" s="1" t="n">
        <v>12043.23</v>
      </c>
      <c r="V177" s="1" t="n">
        <v>55.95</v>
      </c>
      <c r="W177" s="1" t="s">
        <v>40</v>
      </c>
      <c r="Y177" s="1" t="s">
        <v>40</v>
      </c>
      <c r="Z177" s="1" t="n">
        <v>1</v>
      </c>
    </row>
    <row r="178" customFormat="false" ht="15" hidden="false" customHeight="true" outlineLevel="0" collapsed="false">
      <c r="A178" s="1" t="s">
        <v>480</v>
      </c>
      <c r="B178" s="1" t="s">
        <v>284</v>
      </c>
      <c r="C178" s="1" t="s">
        <v>167</v>
      </c>
      <c r="D178" s="1" t="s">
        <v>168</v>
      </c>
      <c r="E178" s="1" t="s">
        <v>169</v>
      </c>
      <c r="F178" s="1" t="s">
        <v>82</v>
      </c>
      <c r="G178" s="1" t="s">
        <v>56</v>
      </c>
      <c r="H178" s="1" t="s">
        <v>69</v>
      </c>
      <c r="I178" s="1" t="s">
        <v>34</v>
      </c>
      <c r="J178" s="1" t="s">
        <v>59</v>
      </c>
      <c r="K178" s="1" t="s">
        <v>48</v>
      </c>
      <c r="L178" s="1" t="s">
        <v>49</v>
      </c>
      <c r="M178" s="1" t="s">
        <v>62</v>
      </c>
      <c r="N178" s="1" t="n">
        <v>4999</v>
      </c>
      <c r="O178" s="1" t="n">
        <v>40</v>
      </c>
      <c r="P178" s="1" t="n">
        <v>1999.6</v>
      </c>
      <c r="Q178" s="1" t="n">
        <v>2999.4</v>
      </c>
      <c r="R178" s="1" t="n">
        <v>539.89</v>
      </c>
      <c r="S178" s="1" t="n">
        <v>2459.51</v>
      </c>
      <c r="T178" s="1" t="n">
        <v>1332.31</v>
      </c>
      <c r="U178" s="1" t="n">
        <v>1127.2</v>
      </c>
      <c r="V178" s="1" t="n">
        <v>45.83</v>
      </c>
      <c r="W178" s="1" t="s">
        <v>39</v>
      </c>
      <c r="X178" s="1" t="n">
        <v>3.7</v>
      </c>
      <c r="Y178" s="1" t="s">
        <v>39</v>
      </c>
      <c r="Z178" s="1" t="n">
        <v>0</v>
      </c>
    </row>
    <row r="179" customFormat="false" ht="15" hidden="false" customHeight="true" outlineLevel="0" collapsed="false">
      <c r="A179" s="1" t="s">
        <v>481</v>
      </c>
      <c r="B179" s="1" t="s">
        <v>410</v>
      </c>
      <c r="C179" s="1" t="s">
        <v>128</v>
      </c>
      <c r="D179" s="1" t="s">
        <v>143</v>
      </c>
      <c r="E179" s="1" t="s">
        <v>210</v>
      </c>
      <c r="F179" s="1" t="s">
        <v>75</v>
      </c>
      <c r="G179" s="1" t="s">
        <v>76</v>
      </c>
      <c r="H179" s="1" t="s">
        <v>69</v>
      </c>
      <c r="I179" s="1" t="s">
        <v>58</v>
      </c>
      <c r="J179" s="1" t="s">
        <v>131</v>
      </c>
      <c r="K179" s="1" t="s">
        <v>48</v>
      </c>
      <c r="L179" s="1" t="s">
        <v>49</v>
      </c>
      <c r="M179" s="1" t="s">
        <v>62</v>
      </c>
      <c r="N179" s="1" t="n">
        <v>18999</v>
      </c>
      <c r="O179" s="1" t="n">
        <v>40</v>
      </c>
      <c r="P179" s="1" t="n">
        <v>7599.6</v>
      </c>
      <c r="Q179" s="1" t="n">
        <v>11399.4</v>
      </c>
      <c r="R179" s="1" t="n">
        <v>2051.89</v>
      </c>
      <c r="S179" s="1" t="n">
        <v>9347.51</v>
      </c>
      <c r="T179" s="1" t="n">
        <v>4351.91</v>
      </c>
      <c r="U179" s="1" t="n">
        <v>4995.6</v>
      </c>
      <c r="V179" s="1" t="n">
        <v>53.44</v>
      </c>
      <c r="W179" s="1" t="s">
        <v>40</v>
      </c>
      <c r="Y179" s="1" t="s">
        <v>40</v>
      </c>
      <c r="Z179" s="1" t="n">
        <v>0</v>
      </c>
    </row>
    <row r="180" customFormat="false" ht="15" hidden="false" customHeight="true" outlineLevel="0" collapsed="false">
      <c r="A180" s="1" t="s">
        <v>482</v>
      </c>
      <c r="B180" s="1" t="s">
        <v>483</v>
      </c>
      <c r="C180" s="1" t="s">
        <v>139</v>
      </c>
      <c r="D180" s="1" t="s">
        <v>143</v>
      </c>
      <c r="E180" s="1" t="s">
        <v>162</v>
      </c>
      <c r="F180" s="1" t="s">
        <v>150</v>
      </c>
      <c r="G180" s="1" t="s">
        <v>32</v>
      </c>
      <c r="H180" s="1" t="s">
        <v>57</v>
      </c>
      <c r="I180" s="1" t="s">
        <v>83</v>
      </c>
      <c r="J180" s="1" t="s">
        <v>35</v>
      </c>
      <c r="K180" s="1" t="s">
        <v>48</v>
      </c>
      <c r="L180" s="1" t="s">
        <v>85</v>
      </c>
      <c r="M180" s="1" t="s">
        <v>38</v>
      </c>
      <c r="N180" s="1" t="n">
        <v>14999</v>
      </c>
      <c r="O180" s="1" t="n">
        <v>0</v>
      </c>
      <c r="P180" s="1" t="n">
        <v>0</v>
      </c>
      <c r="Q180" s="1" t="n">
        <v>14999</v>
      </c>
      <c r="R180" s="1" t="n">
        <v>2699.82</v>
      </c>
      <c r="S180" s="1" t="n">
        <v>12299.18</v>
      </c>
      <c r="T180" s="1" t="n">
        <v>6319.91</v>
      </c>
      <c r="U180" s="1" t="n">
        <v>5979.27</v>
      </c>
      <c r="V180" s="1" t="n">
        <v>48.62</v>
      </c>
      <c r="W180" s="1" t="s">
        <v>40</v>
      </c>
      <c r="Y180" s="1" t="s">
        <v>40</v>
      </c>
      <c r="Z180" s="1" t="n">
        <v>0</v>
      </c>
    </row>
    <row r="181" customFormat="false" ht="15" hidden="false" customHeight="true" outlineLevel="0" collapsed="false">
      <c r="A181" s="1" t="s">
        <v>484</v>
      </c>
      <c r="B181" s="1" t="s">
        <v>485</v>
      </c>
      <c r="C181" s="1" t="s">
        <v>128</v>
      </c>
      <c r="D181" s="1" t="s">
        <v>80</v>
      </c>
      <c r="E181" s="1" t="s">
        <v>175</v>
      </c>
      <c r="F181" s="1" t="s">
        <v>269</v>
      </c>
      <c r="G181" s="1" t="s">
        <v>108</v>
      </c>
      <c r="H181" s="1" t="s">
        <v>57</v>
      </c>
      <c r="I181" s="1" t="s">
        <v>34</v>
      </c>
      <c r="J181" s="1" t="s">
        <v>70</v>
      </c>
      <c r="K181" s="1" t="s">
        <v>84</v>
      </c>
      <c r="L181" s="1" t="s">
        <v>113</v>
      </c>
      <c r="M181" s="1" t="s">
        <v>38</v>
      </c>
      <c r="N181" s="1" t="n">
        <v>19999</v>
      </c>
      <c r="O181" s="1" t="n">
        <v>0</v>
      </c>
      <c r="P181" s="1" t="n">
        <v>0</v>
      </c>
      <c r="Q181" s="1" t="n">
        <v>19999</v>
      </c>
      <c r="R181" s="1" t="n">
        <v>3599.82</v>
      </c>
      <c r="S181" s="1" t="n">
        <v>16399.18</v>
      </c>
      <c r="T181" s="1" t="n">
        <v>7228.52</v>
      </c>
      <c r="U181" s="1" t="n">
        <v>9170.66</v>
      </c>
      <c r="V181" s="1" t="n">
        <v>55.92</v>
      </c>
      <c r="W181" s="1" t="s">
        <v>40</v>
      </c>
      <c r="Y181" s="1" t="s">
        <v>40</v>
      </c>
      <c r="Z181" s="1" t="n">
        <v>0</v>
      </c>
    </row>
    <row r="182" customFormat="false" ht="15" hidden="false" customHeight="true" outlineLevel="0" collapsed="false">
      <c r="A182" s="1" t="s">
        <v>486</v>
      </c>
      <c r="B182" s="1" t="s">
        <v>487</v>
      </c>
      <c r="C182" s="1" t="s">
        <v>100</v>
      </c>
      <c r="D182" s="1" t="s">
        <v>168</v>
      </c>
      <c r="E182" s="1" t="s">
        <v>172</v>
      </c>
      <c r="F182" s="1" t="s">
        <v>75</v>
      </c>
      <c r="G182" s="1" t="s">
        <v>76</v>
      </c>
      <c r="H182" s="1" t="s">
        <v>69</v>
      </c>
      <c r="I182" s="1" t="s">
        <v>58</v>
      </c>
      <c r="J182" s="1" t="s">
        <v>131</v>
      </c>
      <c r="K182" s="1" t="s">
        <v>112</v>
      </c>
      <c r="L182" s="1" t="s">
        <v>37</v>
      </c>
      <c r="M182" s="1" t="s">
        <v>50</v>
      </c>
      <c r="N182" s="1" t="n">
        <v>6999</v>
      </c>
      <c r="O182" s="1" t="n">
        <v>50</v>
      </c>
      <c r="P182" s="1" t="n">
        <v>3499.5</v>
      </c>
      <c r="Q182" s="1" t="n">
        <v>3499.5</v>
      </c>
      <c r="R182" s="1" t="n">
        <v>629.91</v>
      </c>
      <c r="S182" s="1" t="n">
        <v>2869.59</v>
      </c>
      <c r="T182" s="1" t="n">
        <v>1286.6</v>
      </c>
      <c r="U182" s="1" t="n">
        <v>1582.99</v>
      </c>
      <c r="V182" s="1" t="n">
        <v>55.16</v>
      </c>
      <c r="W182" s="1" t="s">
        <v>40</v>
      </c>
      <c r="Y182" s="1" t="s">
        <v>40</v>
      </c>
      <c r="Z182" s="1" t="n">
        <v>0</v>
      </c>
    </row>
    <row r="183" customFormat="false" ht="15" hidden="false" customHeight="true" outlineLevel="0" collapsed="false">
      <c r="A183" s="1" t="s">
        <v>488</v>
      </c>
      <c r="B183" s="1" t="s">
        <v>489</v>
      </c>
      <c r="C183" s="1" t="s">
        <v>88</v>
      </c>
      <c r="D183" s="1" t="s">
        <v>29</v>
      </c>
      <c r="E183" s="1" t="s">
        <v>182</v>
      </c>
      <c r="F183" s="1" t="s">
        <v>153</v>
      </c>
      <c r="G183" s="1" t="s">
        <v>76</v>
      </c>
      <c r="H183" s="1" t="s">
        <v>33</v>
      </c>
      <c r="I183" s="1" t="s">
        <v>58</v>
      </c>
      <c r="J183" s="1" t="s">
        <v>77</v>
      </c>
      <c r="K183" s="1" t="s">
        <v>60</v>
      </c>
      <c r="L183" s="1" t="s">
        <v>136</v>
      </c>
      <c r="M183" s="1" t="s">
        <v>62</v>
      </c>
      <c r="N183" s="1" t="n">
        <v>34999</v>
      </c>
      <c r="O183" s="1" t="n">
        <v>25</v>
      </c>
      <c r="P183" s="1" t="n">
        <v>8749.75</v>
      </c>
      <c r="Q183" s="1" t="n">
        <v>26249.25</v>
      </c>
      <c r="R183" s="1" t="n">
        <v>4724.86</v>
      </c>
      <c r="S183" s="1" t="n">
        <v>21524.39</v>
      </c>
      <c r="T183" s="1" t="n">
        <v>9308.64</v>
      </c>
      <c r="U183" s="1" t="n">
        <v>12215.75</v>
      </c>
      <c r="V183" s="1" t="n">
        <v>56.75</v>
      </c>
      <c r="W183" s="1" t="s">
        <v>39</v>
      </c>
      <c r="Y183" s="1" t="s">
        <v>39</v>
      </c>
      <c r="Z183" s="1" t="n">
        <v>0</v>
      </c>
    </row>
    <row r="184" customFormat="false" ht="15" hidden="false" customHeight="true" outlineLevel="0" collapsed="false">
      <c r="A184" s="1" t="s">
        <v>490</v>
      </c>
      <c r="B184" s="1" t="s">
        <v>491</v>
      </c>
      <c r="C184" s="1" t="s">
        <v>28</v>
      </c>
      <c r="D184" s="1" t="s">
        <v>143</v>
      </c>
      <c r="E184" s="1" t="s">
        <v>159</v>
      </c>
      <c r="F184" s="1" t="s">
        <v>55</v>
      </c>
      <c r="G184" s="1" t="s">
        <v>56</v>
      </c>
      <c r="H184" s="1" t="s">
        <v>57</v>
      </c>
      <c r="I184" s="1" t="s">
        <v>83</v>
      </c>
      <c r="J184" s="1" t="s">
        <v>35</v>
      </c>
      <c r="K184" s="1" t="s">
        <v>90</v>
      </c>
      <c r="L184" s="1" t="s">
        <v>49</v>
      </c>
      <c r="M184" s="1" t="s">
        <v>38</v>
      </c>
      <c r="N184" s="1" t="n">
        <v>24999</v>
      </c>
      <c r="O184" s="1" t="n">
        <v>10</v>
      </c>
      <c r="P184" s="1" t="n">
        <v>2499.9</v>
      </c>
      <c r="Q184" s="1" t="n">
        <v>22499.1</v>
      </c>
      <c r="R184" s="1" t="n">
        <v>4049.84</v>
      </c>
      <c r="S184" s="1" t="n">
        <v>18449.26</v>
      </c>
      <c r="T184" s="1" t="n">
        <v>8718.1</v>
      </c>
      <c r="U184" s="1" t="n">
        <v>9731.16</v>
      </c>
      <c r="V184" s="1" t="n">
        <v>52.75</v>
      </c>
      <c r="W184" s="1" t="s">
        <v>40</v>
      </c>
      <c r="Y184" s="1" t="s">
        <v>40</v>
      </c>
      <c r="Z184" s="1" t="n">
        <v>0</v>
      </c>
    </row>
    <row r="185" customFormat="false" ht="15" hidden="false" customHeight="true" outlineLevel="0" collapsed="false">
      <c r="A185" s="1" t="s">
        <v>492</v>
      </c>
      <c r="B185" s="1" t="s">
        <v>419</v>
      </c>
      <c r="C185" s="1" t="s">
        <v>93</v>
      </c>
      <c r="D185" s="1" t="s">
        <v>168</v>
      </c>
      <c r="E185" s="1" t="s">
        <v>169</v>
      </c>
      <c r="F185" s="1" t="s">
        <v>75</v>
      </c>
      <c r="G185" s="1" t="s">
        <v>76</v>
      </c>
      <c r="H185" s="1" t="s">
        <v>69</v>
      </c>
      <c r="I185" s="1" t="s">
        <v>58</v>
      </c>
      <c r="J185" s="1" t="s">
        <v>70</v>
      </c>
      <c r="K185" s="1" t="s">
        <v>104</v>
      </c>
      <c r="L185" s="1" t="s">
        <v>113</v>
      </c>
      <c r="M185" s="1" t="s">
        <v>62</v>
      </c>
      <c r="N185" s="1" t="n">
        <v>4999</v>
      </c>
      <c r="O185" s="1" t="n">
        <v>10</v>
      </c>
      <c r="P185" s="1" t="n">
        <v>499.9</v>
      </c>
      <c r="Q185" s="1" t="n">
        <v>4499.1</v>
      </c>
      <c r="R185" s="1" t="n">
        <v>809.84</v>
      </c>
      <c r="S185" s="1" t="n">
        <v>3689.26</v>
      </c>
      <c r="T185" s="1" t="n">
        <v>1646.38</v>
      </c>
      <c r="U185" s="1" t="n">
        <v>2042.88</v>
      </c>
      <c r="V185" s="1" t="n">
        <v>55.37</v>
      </c>
      <c r="W185" s="1" t="s">
        <v>40</v>
      </c>
      <c r="Y185" s="1" t="s">
        <v>39</v>
      </c>
      <c r="Z185" s="1" t="n">
        <v>1</v>
      </c>
    </row>
    <row r="186" customFormat="false" ht="15" hidden="false" customHeight="true" outlineLevel="0" collapsed="false">
      <c r="A186" s="1" t="s">
        <v>493</v>
      </c>
      <c r="B186" s="1" t="s">
        <v>399</v>
      </c>
      <c r="C186" s="1" t="s">
        <v>167</v>
      </c>
      <c r="D186" s="1" t="s">
        <v>94</v>
      </c>
      <c r="E186" s="1" t="s">
        <v>95</v>
      </c>
      <c r="F186" s="1" t="s">
        <v>120</v>
      </c>
      <c r="G186" s="1" t="s">
        <v>47</v>
      </c>
      <c r="H186" s="1" t="s">
        <v>57</v>
      </c>
      <c r="I186" s="1" t="s">
        <v>34</v>
      </c>
      <c r="J186" s="1" t="s">
        <v>35</v>
      </c>
      <c r="K186" s="1" t="s">
        <v>36</v>
      </c>
      <c r="L186" s="1" t="s">
        <v>85</v>
      </c>
      <c r="M186" s="1" t="s">
        <v>50</v>
      </c>
      <c r="N186" s="1" t="n">
        <v>6999</v>
      </c>
      <c r="O186" s="1" t="n">
        <v>15</v>
      </c>
      <c r="P186" s="1" t="n">
        <v>1049.85</v>
      </c>
      <c r="Q186" s="1" t="n">
        <v>5949.15</v>
      </c>
      <c r="R186" s="1" t="n">
        <v>1070.85</v>
      </c>
      <c r="S186" s="1" t="n">
        <v>4878.3</v>
      </c>
      <c r="T186" s="1" t="n">
        <v>2163.58</v>
      </c>
      <c r="U186" s="1" t="n">
        <v>2714.72</v>
      </c>
      <c r="V186" s="1" t="n">
        <v>55.65</v>
      </c>
      <c r="W186" s="1" t="s">
        <v>39</v>
      </c>
      <c r="X186" s="1" t="n">
        <v>3.9</v>
      </c>
      <c r="Y186" s="1" t="s">
        <v>40</v>
      </c>
      <c r="Z186" s="1" t="n">
        <v>0</v>
      </c>
    </row>
    <row r="187" customFormat="false" ht="15" hidden="false" customHeight="true" outlineLevel="0" collapsed="false">
      <c r="A187" s="1" t="s">
        <v>494</v>
      </c>
      <c r="B187" s="1" t="s">
        <v>495</v>
      </c>
      <c r="C187" s="1" t="s">
        <v>74</v>
      </c>
      <c r="D187" s="1" t="s">
        <v>80</v>
      </c>
      <c r="E187" s="1" t="s">
        <v>81</v>
      </c>
      <c r="F187" s="1" t="s">
        <v>55</v>
      </c>
      <c r="G187" s="1" t="s">
        <v>56</v>
      </c>
      <c r="H187" s="1" t="s">
        <v>57</v>
      </c>
      <c r="I187" s="1" t="s">
        <v>34</v>
      </c>
      <c r="J187" s="1" t="s">
        <v>131</v>
      </c>
      <c r="K187" s="1" t="s">
        <v>36</v>
      </c>
      <c r="L187" s="1" t="s">
        <v>49</v>
      </c>
      <c r="M187" s="1" t="s">
        <v>62</v>
      </c>
      <c r="N187" s="1" t="n">
        <v>12999</v>
      </c>
      <c r="O187" s="1" t="n">
        <v>50</v>
      </c>
      <c r="P187" s="1" t="n">
        <v>6499.5</v>
      </c>
      <c r="Q187" s="1" t="n">
        <v>6499.5</v>
      </c>
      <c r="R187" s="1" t="n">
        <v>1169.91</v>
      </c>
      <c r="S187" s="1" t="n">
        <v>5329.59</v>
      </c>
      <c r="T187" s="1" t="n">
        <v>3257.13</v>
      </c>
      <c r="U187" s="1" t="n">
        <v>2072.46</v>
      </c>
      <c r="V187" s="1" t="n">
        <v>38.89</v>
      </c>
      <c r="W187" s="1" t="s">
        <v>40</v>
      </c>
      <c r="Y187" s="1" t="s">
        <v>39</v>
      </c>
      <c r="Z187" s="1" t="n">
        <v>0</v>
      </c>
    </row>
    <row r="188" customFormat="false" ht="15" hidden="false" customHeight="true" outlineLevel="0" collapsed="false">
      <c r="A188" s="1" t="s">
        <v>496</v>
      </c>
      <c r="B188" s="1" t="s">
        <v>497</v>
      </c>
      <c r="C188" s="1" t="s">
        <v>249</v>
      </c>
      <c r="D188" s="1" t="s">
        <v>44</v>
      </c>
      <c r="E188" s="1" t="s">
        <v>45</v>
      </c>
      <c r="F188" s="1" t="s">
        <v>194</v>
      </c>
      <c r="G188" s="1" t="s">
        <v>103</v>
      </c>
      <c r="H188" s="1" t="s">
        <v>69</v>
      </c>
      <c r="I188" s="1" t="s">
        <v>58</v>
      </c>
      <c r="J188" s="1" t="s">
        <v>59</v>
      </c>
      <c r="K188" s="1" t="s">
        <v>48</v>
      </c>
      <c r="L188" s="1" t="s">
        <v>61</v>
      </c>
      <c r="M188" s="1" t="s">
        <v>50</v>
      </c>
      <c r="N188" s="1" t="n">
        <v>11999</v>
      </c>
      <c r="O188" s="1" t="n">
        <v>5</v>
      </c>
      <c r="P188" s="1" t="n">
        <v>599.95</v>
      </c>
      <c r="Q188" s="1" t="n">
        <v>11399.05</v>
      </c>
      <c r="R188" s="1" t="n">
        <v>2051.83</v>
      </c>
      <c r="S188" s="1" t="n">
        <v>9347.22</v>
      </c>
      <c r="T188" s="1" t="n">
        <v>3099.41</v>
      </c>
      <c r="U188" s="1" t="n">
        <v>6247.81</v>
      </c>
      <c r="V188" s="1" t="n">
        <v>66.84</v>
      </c>
      <c r="W188" s="1" t="s">
        <v>40</v>
      </c>
      <c r="Y188" s="1" t="s">
        <v>40</v>
      </c>
      <c r="Z188" s="1" t="n">
        <v>1</v>
      </c>
    </row>
    <row r="189" customFormat="false" ht="15" hidden="false" customHeight="true" outlineLevel="0" collapsed="false">
      <c r="A189" s="1" t="s">
        <v>498</v>
      </c>
      <c r="B189" s="1" t="s">
        <v>499</v>
      </c>
      <c r="C189" s="1" t="s">
        <v>100</v>
      </c>
      <c r="D189" s="1" t="s">
        <v>53</v>
      </c>
      <c r="E189" s="1" t="s">
        <v>54</v>
      </c>
      <c r="F189" s="1" t="s">
        <v>130</v>
      </c>
      <c r="G189" s="1" t="s">
        <v>47</v>
      </c>
      <c r="H189" s="1" t="s">
        <v>69</v>
      </c>
      <c r="I189" s="1" t="s">
        <v>83</v>
      </c>
      <c r="J189" s="1" t="s">
        <v>70</v>
      </c>
      <c r="K189" s="1" t="s">
        <v>104</v>
      </c>
      <c r="L189" s="1" t="s">
        <v>37</v>
      </c>
      <c r="M189" s="1" t="s">
        <v>62</v>
      </c>
      <c r="N189" s="1" t="n">
        <v>11999</v>
      </c>
      <c r="O189" s="1" t="n">
        <v>30</v>
      </c>
      <c r="P189" s="1" t="n">
        <v>3599.7</v>
      </c>
      <c r="Q189" s="1" t="n">
        <v>8399.3</v>
      </c>
      <c r="R189" s="1" t="n">
        <v>1511.87</v>
      </c>
      <c r="S189" s="1" t="n">
        <v>6887.43</v>
      </c>
      <c r="T189" s="1" t="n">
        <v>3328.07</v>
      </c>
      <c r="U189" s="1" t="n">
        <v>3559.36</v>
      </c>
      <c r="V189" s="1" t="n">
        <v>51.68</v>
      </c>
      <c r="W189" s="1" t="s">
        <v>40</v>
      </c>
      <c r="Y189" s="1" t="s">
        <v>40</v>
      </c>
      <c r="Z189" s="1" t="n">
        <v>0</v>
      </c>
    </row>
    <row r="190" customFormat="false" ht="15" hidden="false" customHeight="true" outlineLevel="0" collapsed="false">
      <c r="A190" s="1" t="s">
        <v>500</v>
      </c>
      <c r="B190" s="1" t="s">
        <v>454</v>
      </c>
      <c r="C190" s="1" t="s">
        <v>178</v>
      </c>
      <c r="D190" s="1" t="s">
        <v>94</v>
      </c>
      <c r="E190" s="1" t="s">
        <v>101</v>
      </c>
      <c r="F190" s="1" t="s">
        <v>82</v>
      </c>
      <c r="G190" s="1" t="s">
        <v>56</v>
      </c>
      <c r="H190" s="1" t="s">
        <v>69</v>
      </c>
      <c r="I190" s="1" t="s">
        <v>83</v>
      </c>
      <c r="J190" s="1" t="s">
        <v>77</v>
      </c>
      <c r="K190" s="1" t="s">
        <v>36</v>
      </c>
      <c r="L190" s="1" t="s">
        <v>136</v>
      </c>
      <c r="M190" s="1" t="s">
        <v>50</v>
      </c>
      <c r="N190" s="1" t="n">
        <v>14999</v>
      </c>
      <c r="O190" s="1" t="n">
        <v>25</v>
      </c>
      <c r="P190" s="1" t="n">
        <v>3749.75</v>
      </c>
      <c r="Q190" s="1" t="n">
        <v>11249.25</v>
      </c>
      <c r="R190" s="1" t="n">
        <v>2024.87</v>
      </c>
      <c r="S190" s="1" t="n">
        <v>9224.38</v>
      </c>
      <c r="T190" s="1" t="n">
        <v>2818</v>
      </c>
      <c r="U190" s="1" t="n">
        <v>6406.38</v>
      </c>
      <c r="V190" s="1" t="n">
        <v>69.45</v>
      </c>
      <c r="W190" s="1" t="s">
        <v>39</v>
      </c>
      <c r="X190" s="1" t="n">
        <v>4.4</v>
      </c>
      <c r="Y190" s="1" t="s">
        <v>40</v>
      </c>
      <c r="Z190" s="1" t="n">
        <v>0</v>
      </c>
    </row>
    <row r="191" customFormat="false" ht="15" hidden="false" customHeight="true" outlineLevel="0" collapsed="false">
      <c r="A191" s="1" t="s">
        <v>501</v>
      </c>
      <c r="B191" s="1" t="s">
        <v>502</v>
      </c>
      <c r="C191" s="1" t="s">
        <v>264</v>
      </c>
      <c r="D191" s="1" t="s">
        <v>53</v>
      </c>
      <c r="E191" s="1" t="s">
        <v>216</v>
      </c>
      <c r="F191" s="1" t="s">
        <v>187</v>
      </c>
      <c r="G191" s="1" t="s">
        <v>97</v>
      </c>
      <c r="H191" s="1" t="s">
        <v>69</v>
      </c>
      <c r="I191" s="1" t="s">
        <v>34</v>
      </c>
      <c r="J191" s="1" t="s">
        <v>59</v>
      </c>
      <c r="K191" s="1" t="s">
        <v>112</v>
      </c>
      <c r="L191" s="1" t="s">
        <v>37</v>
      </c>
      <c r="M191" s="1" t="s">
        <v>38</v>
      </c>
      <c r="N191" s="1" t="n">
        <v>7499</v>
      </c>
      <c r="O191" s="1" t="n">
        <v>40</v>
      </c>
      <c r="P191" s="1" t="n">
        <v>2999.6</v>
      </c>
      <c r="Q191" s="1" t="n">
        <v>4499.4</v>
      </c>
      <c r="R191" s="1" t="n">
        <v>809.89</v>
      </c>
      <c r="S191" s="1" t="n">
        <v>3689.51</v>
      </c>
      <c r="T191" s="1" t="n">
        <v>1786</v>
      </c>
      <c r="U191" s="1" t="n">
        <v>1903.51</v>
      </c>
      <c r="V191" s="1" t="n">
        <v>51.59</v>
      </c>
      <c r="W191" s="1" t="s">
        <v>40</v>
      </c>
      <c r="Y191" s="1" t="s">
        <v>39</v>
      </c>
      <c r="Z191" s="1" t="n">
        <v>2</v>
      </c>
    </row>
    <row r="192" customFormat="false" ht="15" hidden="false" customHeight="true" outlineLevel="0" collapsed="false">
      <c r="A192" s="1" t="s">
        <v>503</v>
      </c>
      <c r="B192" s="1" t="s">
        <v>504</v>
      </c>
      <c r="C192" s="1" t="s">
        <v>249</v>
      </c>
      <c r="D192" s="1" t="s">
        <v>143</v>
      </c>
      <c r="E192" s="1" t="s">
        <v>210</v>
      </c>
      <c r="F192" s="1" t="s">
        <v>150</v>
      </c>
      <c r="G192" s="1" t="s">
        <v>32</v>
      </c>
      <c r="H192" s="1" t="s">
        <v>57</v>
      </c>
      <c r="I192" s="1" t="s">
        <v>58</v>
      </c>
      <c r="J192" s="1" t="s">
        <v>35</v>
      </c>
      <c r="K192" s="1" t="s">
        <v>48</v>
      </c>
      <c r="L192" s="1" t="s">
        <v>61</v>
      </c>
      <c r="M192" s="1" t="s">
        <v>62</v>
      </c>
      <c r="N192" s="1" t="n">
        <v>18999</v>
      </c>
      <c r="O192" s="1" t="n">
        <v>0</v>
      </c>
      <c r="P192" s="1" t="n">
        <v>0</v>
      </c>
      <c r="Q192" s="1" t="n">
        <v>18999</v>
      </c>
      <c r="R192" s="1" t="n">
        <v>3419.82</v>
      </c>
      <c r="S192" s="1" t="n">
        <v>15579.18</v>
      </c>
      <c r="T192" s="1" t="n">
        <v>6757.24</v>
      </c>
      <c r="U192" s="1" t="n">
        <v>8821.94</v>
      </c>
      <c r="V192" s="1" t="n">
        <v>56.63</v>
      </c>
      <c r="W192" s="1" t="s">
        <v>39</v>
      </c>
      <c r="X192" s="1" t="n">
        <v>3.8</v>
      </c>
      <c r="Y192" s="1" t="s">
        <v>40</v>
      </c>
      <c r="Z192" s="1" t="n">
        <v>0</v>
      </c>
    </row>
    <row r="193" customFormat="false" ht="15" hidden="false" customHeight="true" outlineLevel="0" collapsed="false">
      <c r="A193" s="1" t="s">
        <v>505</v>
      </c>
      <c r="B193" s="1" t="s">
        <v>506</v>
      </c>
      <c r="C193" s="1" t="s">
        <v>28</v>
      </c>
      <c r="D193" s="1" t="s">
        <v>29</v>
      </c>
      <c r="E193" s="1" t="s">
        <v>182</v>
      </c>
      <c r="F193" s="1" t="s">
        <v>150</v>
      </c>
      <c r="G193" s="1" t="s">
        <v>32</v>
      </c>
      <c r="H193" s="1" t="s">
        <v>57</v>
      </c>
      <c r="I193" s="1" t="s">
        <v>58</v>
      </c>
      <c r="J193" s="1" t="s">
        <v>77</v>
      </c>
      <c r="K193" s="1" t="s">
        <v>48</v>
      </c>
      <c r="L193" s="1" t="s">
        <v>61</v>
      </c>
      <c r="M193" s="1" t="s">
        <v>50</v>
      </c>
      <c r="N193" s="1" t="n">
        <v>34999</v>
      </c>
      <c r="O193" s="1" t="n">
        <v>10</v>
      </c>
      <c r="P193" s="1" t="n">
        <v>3499.9</v>
      </c>
      <c r="Q193" s="1" t="n">
        <v>31499.1</v>
      </c>
      <c r="R193" s="1" t="n">
        <v>5669.84</v>
      </c>
      <c r="S193" s="1" t="n">
        <v>25829.26</v>
      </c>
      <c r="T193" s="1" t="n">
        <v>12337.66</v>
      </c>
      <c r="U193" s="1" t="n">
        <v>13491.6</v>
      </c>
      <c r="V193" s="1" t="n">
        <v>52.23</v>
      </c>
      <c r="W193" s="1" t="s">
        <v>39</v>
      </c>
      <c r="X193" s="1" t="n">
        <v>4.5</v>
      </c>
      <c r="Y193" s="1" t="s">
        <v>40</v>
      </c>
      <c r="Z193" s="1" t="n">
        <v>0</v>
      </c>
    </row>
    <row r="194" customFormat="false" ht="15" hidden="false" customHeight="true" outlineLevel="0" collapsed="false">
      <c r="A194" s="1" t="s">
        <v>507</v>
      </c>
      <c r="B194" s="1" t="s">
        <v>508</v>
      </c>
      <c r="C194" s="1" t="s">
        <v>134</v>
      </c>
      <c r="D194" s="1" t="s">
        <v>80</v>
      </c>
      <c r="E194" s="1" t="s">
        <v>175</v>
      </c>
      <c r="F194" s="1" t="s">
        <v>107</v>
      </c>
      <c r="G194" s="1" t="s">
        <v>108</v>
      </c>
      <c r="H194" s="1" t="s">
        <v>33</v>
      </c>
      <c r="I194" s="1" t="s">
        <v>34</v>
      </c>
      <c r="J194" s="1" t="s">
        <v>131</v>
      </c>
      <c r="K194" s="1" t="s">
        <v>71</v>
      </c>
      <c r="L194" s="1" t="s">
        <v>61</v>
      </c>
      <c r="M194" s="1" t="s">
        <v>50</v>
      </c>
      <c r="N194" s="1" t="n">
        <v>19999</v>
      </c>
      <c r="O194" s="1" t="n">
        <v>15</v>
      </c>
      <c r="P194" s="1" t="n">
        <v>2999.85</v>
      </c>
      <c r="Q194" s="1" t="n">
        <v>16999.15</v>
      </c>
      <c r="R194" s="1" t="n">
        <v>3059.85</v>
      </c>
      <c r="S194" s="1" t="n">
        <v>13939.3</v>
      </c>
      <c r="T194" s="1" t="n">
        <v>5709.78</v>
      </c>
      <c r="U194" s="1" t="n">
        <v>8229.52</v>
      </c>
      <c r="V194" s="1" t="n">
        <v>59.04</v>
      </c>
      <c r="W194" s="1" t="s">
        <v>39</v>
      </c>
      <c r="X194" s="1" t="n">
        <v>4.8</v>
      </c>
      <c r="Y194" s="1" t="s">
        <v>40</v>
      </c>
      <c r="Z194" s="1" t="n">
        <v>1</v>
      </c>
    </row>
    <row r="195" customFormat="false" ht="15" hidden="false" customHeight="true" outlineLevel="0" collapsed="false">
      <c r="A195" s="1" t="s">
        <v>509</v>
      </c>
      <c r="B195" s="1" t="s">
        <v>510</v>
      </c>
      <c r="C195" s="1" t="s">
        <v>88</v>
      </c>
      <c r="D195" s="1" t="s">
        <v>80</v>
      </c>
      <c r="E195" s="1" t="s">
        <v>193</v>
      </c>
      <c r="F195" s="1" t="s">
        <v>194</v>
      </c>
      <c r="G195" s="1" t="s">
        <v>103</v>
      </c>
      <c r="H195" s="1" t="s">
        <v>69</v>
      </c>
      <c r="I195" s="1" t="s">
        <v>83</v>
      </c>
      <c r="J195" s="1" t="s">
        <v>70</v>
      </c>
      <c r="K195" s="1" t="s">
        <v>71</v>
      </c>
      <c r="L195" s="1" t="s">
        <v>49</v>
      </c>
      <c r="M195" s="1" t="s">
        <v>62</v>
      </c>
      <c r="N195" s="1" t="n">
        <v>8999</v>
      </c>
      <c r="O195" s="1" t="n">
        <v>0</v>
      </c>
      <c r="P195" s="1" t="n">
        <v>0</v>
      </c>
      <c r="Q195" s="1" t="n">
        <v>8999</v>
      </c>
      <c r="R195" s="1" t="n">
        <v>1619.82</v>
      </c>
      <c r="S195" s="1" t="n">
        <v>7379.18</v>
      </c>
      <c r="T195" s="1" t="n">
        <v>2731.44</v>
      </c>
      <c r="U195" s="1" t="n">
        <v>4647.74</v>
      </c>
      <c r="V195" s="1" t="n">
        <v>62.98</v>
      </c>
      <c r="W195" s="1" t="s">
        <v>40</v>
      </c>
      <c r="Y195" s="1" t="s">
        <v>39</v>
      </c>
      <c r="Z195" s="1" t="n">
        <v>1</v>
      </c>
    </row>
    <row r="196" customFormat="false" ht="15" hidden="false" customHeight="true" outlineLevel="0" collapsed="false">
      <c r="A196" s="1" t="s">
        <v>511</v>
      </c>
      <c r="B196" s="1" t="s">
        <v>281</v>
      </c>
      <c r="C196" s="1" t="s">
        <v>28</v>
      </c>
      <c r="D196" s="1" t="s">
        <v>80</v>
      </c>
      <c r="E196" s="1" t="s">
        <v>190</v>
      </c>
      <c r="F196" s="1" t="s">
        <v>125</v>
      </c>
      <c r="G196" s="1" t="s">
        <v>108</v>
      </c>
      <c r="H196" s="1" t="s">
        <v>69</v>
      </c>
      <c r="I196" s="1" t="s">
        <v>58</v>
      </c>
      <c r="J196" s="1" t="s">
        <v>59</v>
      </c>
      <c r="K196" s="1" t="s">
        <v>90</v>
      </c>
      <c r="L196" s="1" t="s">
        <v>61</v>
      </c>
      <c r="M196" s="1" t="s">
        <v>62</v>
      </c>
      <c r="N196" s="1" t="n">
        <v>15999</v>
      </c>
      <c r="O196" s="1" t="n">
        <v>0</v>
      </c>
      <c r="P196" s="1" t="n">
        <v>0</v>
      </c>
      <c r="Q196" s="1" t="n">
        <v>15999</v>
      </c>
      <c r="R196" s="1" t="n">
        <v>2879.82</v>
      </c>
      <c r="S196" s="1" t="n">
        <v>13119.18</v>
      </c>
      <c r="T196" s="1" t="n">
        <v>3800.91</v>
      </c>
      <c r="U196" s="1" t="n">
        <v>9318.27</v>
      </c>
      <c r="V196" s="1" t="n">
        <v>71.03</v>
      </c>
      <c r="W196" s="1" t="s">
        <v>39</v>
      </c>
      <c r="X196" s="1" t="n">
        <v>4.5</v>
      </c>
      <c r="Y196" s="1" t="s">
        <v>40</v>
      </c>
      <c r="Z196" s="1" t="n">
        <v>0</v>
      </c>
    </row>
    <row r="197" customFormat="false" ht="15" hidden="false" customHeight="true" outlineLevel="0" collapsed="false">
      <c r="A197" s="1" t="s">
        <v>512</v>
      </c>
      <c r="B197" s="1" t="s">
        <v>513</v>
      </c>
      <c r="C197" s="1" t="s">
        <v>88</v>
      </c>
      <c r="D197" s="1" t="s">
        <v>143</v>
      </c>
      <c r="E197" s="1" t="s">
        <v>162</v>
      </c>
      <c r="F197" s="1" t="s">
        <v>184</v>
      </c>
      <c r="G197" s="1" t="s">
        <v>56</v>
      </c>
      <c r="H197" s="1" t="s">
        <v>57</v>
      </c>
      <c r="I197" s="1" t="s">
        <v>34</v>
      </c>
      <c r="J197" s="1" t="s">
        <v>77</v>
      </c>
      <c r="K197" s="1" t="s">
        <v>112</v>
      </c>
      <c r="L197" s="1" t="s">
        <v>85</v>
      </c>
      <c r="M197" s="1" t="s">
        <v>38</v>
      </c>
      <c r="N197" s="1" t="n">
        <v>14999</v>
      </c>
      <c r="O197" s="1" t="n">
        <v>30</v>
      </c>
      <c r="P197" s="1" t="n">
        <v>4499.7</v>
      </c>
      <c r="Q197" s="1" t="n">
        <v>10499.3</v>
      </c>
      <c r="R197" s="1" t="n">
        <v>1889.87</v>
      </c>
      <c r="S197" s="1" t="n">
        <v>8609.43</v>
      </c>
      <c r="T197" s="1" t="n">
        <v>4047.19</v>
      </c>
      <c r="U197" s="1" t="n">
        <v>4562.24</v>
      </c>
      <c r="V197" s="1" t="n">
        <v>52.99</v>
      </c>
      <c r="W197" s="1" t="s">
        <v>39</v>
      </c>
      <c r="X197" s="1" t="n">
        <v>3.7</v>
      </c>
      <c r="Y197" s="1" t="s">
        <v>40</v>
      </c>
      <c r="Z197" s="1" t="n">
        <v>0</v>
      </c>
    </row>
    <row r="198" customFormat="false" ht="15" hidden="false" customHeight="true" outlineLevel="0" collapsed="false">
      <c r="A198" s="1" t="s">
        <v>514</v>
      </c>
      <c r="B198" s="1" t="s">
        <v>515</v>
      </c>
      <c r="C198" s="1" t="s">
        <v>516</v>
      </c>
      <c r="D198" s="1" t="s">
        <v>53</v>
      </c>
      <c r="E198" s="1" t="s">
        <v>54</v>
      </c>
      <c r="F198" s="1" t="s">
        <v>244</v>
      </c>
      <c r="G198" s="1" t="s">
        <v>97</v>
      </c>
      <c r="H198" s="1" t="s">
        <v>57</v>
      </c>
      <c r="I198" s="1" t="s">
        <v>83</v>
      </c>
      <c r="J198" s="1" t="s">
        <v>59</v>
      </c>
      <c r="K198" s="1" t="s">
        <v>60</v>
      </c>
      <c r="L198" s="1" t="s">
        <v>85</v>
      </c>
      <c r="M198" s="1" t="s">
        <v>50</v>
      </c>
      <c r="N198" s="1" t="n">
        <v>11999</v>
      </c>
      <c r="O198" s="1" t="n">
        <v>30</v>
      </c>
      <c r="P198" s="1" t="n">
        <v>3599.7</v>
      </c>
      <c r="Q198" s="1" t="n">
        <v>8399.3</v>
      </c>
      <c r="R198" s="1" t="n">
        <v>1511.87</v>
      </c>
      <c r="S198" s="1" t="n">
        <v>6887.43</v>
      </c>
      <c r="T198" s="1" t="n">
        <v>3059.81</v>
      </c>
      <c r="U198" s="1" t="n">
        <v>3827.62</v>
      </c>
      <c r="V198" s="1" t="n">
        <v>55.57</v>
      </c>
      <c r="W198" s="1" t="s">
        <v>40</v>
      </c>
      <c r="Y198" s="1" t="s">
        <v>40</v>
      </c>
      <c r="Z198" s="1" t="n">
        <v>1</v>
      </c>
    </row>
    <row r="199" customFormat="false" ht="15" hidden="false" customHeight="true" outlineLevel="0" collapsed="false">
      <c r="A199" s="1" t="s">
        <v>517</v>
      </c>
      <c r="B199" s="1" t="s">
        <v>518</v>
      </c>
      <c r="C199" s="1" t="s">
        <v>264</v>
      </c>
      <c r="D199" s="1" t="s">
        <v>44</v>
      </c>
      <c r="E199" s="1" t="s">
        <v>66</v>
      </c>
      <c r="F199" s="1" t="s">
        <v>150</v>
      </c>
      <c r="G199" s="1" t="s">
        <v>32</v>
      </c>
      <c r="H199" s="1" t="s">
        <v>57</v>
      </c>
      <c r="I199" s="1" t="s">
        <v>58</v>
      </c>
      <c r="J199" s="1" t="s">
        <v>131</v>
      </c>
      <c r="K199" s="1" t="s">
        <v>104</v>
      </c>
      <c r="L199" s="1" t="s">
        <v>85</v>
      </c>
      <c r="M199" s="1" t="s">
        <v>38</v>
      </c>
      <c r="N199" s="1" t="n">
        <v>12999</v>
      </c>
      <c r="O199" s="1" t="n">
        <v>15</v>
      </c>
      <c r="P199" s="1" t="n">
        <v>1949.85</v>
      </c>
      <c r="Q199" s="1" t="n">
        <v>11049.15</v>
      </c>
      <c r="R199" s="1" t="n">
        <v>1988.85</v>
      </c>
      <c r="S199" s="1" t="n">
        <v>9060.3</v>
      </c>
      <c r="T199" s="1" t="n">
        <v>3839.09</v>
      </c>
      <c r="U199" s="1" t="n">
        <v>5221.21</v>
      </c>
      <c r="V199" s="1" t="n">
        <v>57.63</v>
      </c>
      <c r="W199" s="1" t="s">
        <v>39</v>
      </c>
      <c r="X199" s="1" t="n">
        <v>3.2</v>
      </c>
      <c r="Y199" s="1" t="s">
        <v>40</v>
      </c>
      <c r="Z199" s="1" t="n">
        <v>0</v>
      </c>
    </row>
    <row r="200" customFormat="false" ht="15" hidden="false" customHeight="true" outlineLevel="0" collapsed="false">
      <c r="A200" s="1" t="s">
        <v>519</v>
      </c>
      <c r="B200" s="1" t="s">
        <v>520</v>
      </c>
      <c r="C200" s="1" t="s">
        <v>178</v>
      </c>
      <c r="D200" s="1" t="s">
        <v>44</v>
      </c>
      <c r="E200" s="1" t="s">
        <v>221</v>
      </c>
      <c r="F200" s="1" t="s">
        <v>187</v>
      </c>
      <c r="G200" s="1" t="s">
        <v>97</v>
      </c>
      <c r="H200" s="1" t="s">
        <v>69</v>
      </c>
      <c r="I200" s="1" t="s">
        <v>58</v>
      </c>
      <c r="J200" s="1" t="s">
        <v>131</v>
      </c>
      <c r="K200" s="1" t="s">
        <v>90</v>
      </c>
      <c r="L200" s="1" t="s">
        <v>37</v>
      </c>
      <c r="M200" s="1" t="s">
        <v>38</v>
      </c>
      <c r="N200" s="1" t="n">
        <v>16999</v>
      </c>
      <c r="O200" s="1" t="n">
        <v>50</v>
      </c>
      <c r="P200" s="1" t="n">
        <v>8499.5</v>
      </c>
      <c r="Q200" s="1" t="n">
        <v>8499.5</v>
      </c>
      <c r="R200" s="1" t="n">
        <v>1529.91</v>
      </c>
      <c r="S200" s="1" t="n">
        <v>6969.59</v>
      </c>
      <c r="T200" s="1" t="n">
        <v>3700.56</v>
      </c>
      <c r="U200" s="1" t="n">
        <v>3269.03</v>
      </c>
      <c r="V200" s="1" t="n">
        <v>46.9</v>
      </c>
      <c r="W200" s="1" t="s">
        <v>39</v>
      </c>
      <c r="X200" s="1" t="n">
        <v>3.7</v>
      </c>
      <c r="Y200" s="1" t="s">
        <v>40</v>
      </c>
      <c r="Z200" s="1" t="n">
        <v>1</v>
      </c>
    </row>
    <row r="201" customFormat="false" ht="15" hidden="false" customHeight="true" outlineLevel="0" collapsed="false">
      <c r="A201" s="1" t="s">
        <v>521</v>
      </c>
      <c r="B201" s="1" t="s">
        <v>522</v>
      </c>
      <c r="C201" s="1" t="s">
        <v>119</v>
      </c>
      <c r="D201" s="1" t="s">
        <v>123</v>
      </c>
      <c r="E201" s="1" t="s">
        <v>233</v>
      </c>
      <c r="F201" s="1" t="s">
        <v>140</v>
      </c>
      <c r="G201" s="1" t="s">
        <v>97</v>
      </c>
      <c r="H201" s="1" t="s">
        <v>57</v>
      </c>
      <c r="I201" s="1" t="s">
        <v>34</v>
      </c>
      <c r="J201" s="1" t="s">
        <v>77</v>
      </c>
      <c r="K201" s="1" t="s">
        <v>48</v>
      </c>
      <c r="L201" s="1" t="s">
        <v>37</v>
      </c>
      <c r="M201" s="1" t="s">
        <v>50</v>
      </c>
      <c r="N201" s="1" t="n">
        <v>8999</v>
      </c>
      <c r="O201" s="1" t="n">
        <v>25</v>
      </c>
      <c r="P201" s="1" t="n">
        <v>2249.75</v>
      </c>
      <c r="Q201" s="1" t="n">
        <v>6749.25</v>
      </c>
      <c r="R201" s="1" t="n">
        <v>1214.87</v>
      </c>
      <c r="S201" s="1" t="n">
        <v>5534.38</v>
      </c>
      <c r="T201" s="1" t="n">
        <v>2412.62</v>
      </c>
      <c r="U201" s="1" t="n">
        <v>3121.76</v>
      </c>
      <c r="V201" s="1" t="n">
        <v>56.41</v>
      </c>
      <c r="W201" s="1" t="s">
        <v>40</v>
      </c>
      <c r="Y201" s="1" t="s">
        <v>40</v>
      </c>
      <c r="Z201" s="1" t="n">
        <v>2</v>
      </c>
    </row>
    <row r="202" customFormat="false" ht="15" hidden="false" customHeight="true" outlineLevel="0" collapsed="false">
      <c r="A202" s="1" t="s">
        <v>523</v>
      </c>
      <c r="B202" s="1" t="s">
        <v>524</v>
      </c>
      <c r="C202" s="1" t="s">
        <v>139</v>
      </c>
      <c r="D202" s="1" t="s">
        <v>29</v>
      </c>
      <c r="E202" s="1" t="s">
        <v>30</v>
      </c>
      <c r="F202" s="1" t="s">
        <v>130</v>
      </c>
      <c r="G202" s="1" t="s">
        <v>47</v>
      </c>
      <c r="H202" s="1" t="s">
        <v>69</v>
      </c>
      <c r="I202" s="1" t="s">
        <v>58</v>
      </c>
      <c r="J202" s="1" t="s">
        <v>77</v>
      </c>
      <c r="K202" s="1" t="s">
        <v>71</v>
      </c>
      <c r="L202" s="1" t="s">
        <v>37</v>
      </c>
      <c r="M202" s="1" t="s">
        <v>62</v>
      </c>
      <c r="N202" s="1" t="n">
        <v>7999</v>
      </c>
      <c r="O202" s="1" t="n">
        <v>5</v>
      </c>
      <c r="P202" s="1" t="n">
        <v>399.95</v>
      </c>
      <c r="Q202" s="1" t="n">
        <v>7599.05</v>
      </c>
      <c r="R202" s="1" t="n">
        <v>1367.83</v>
      </c>
      <c r="S202" s="1" t="n">
        <v>6231.22</v>
      </c>
      <c r="T202" s="1" t="n">
        <v>2252.19</v>
      </c>
      <c r="U202" s="1" t="n">
        <v>3979.03</v>
      </c>
      <c r="V202" s="1" t="n">
        <v>63.86</v>
      </c>
      <c r="W202" s="1" t="s">
        <v>39</v>
      </c>
      <c r="X202" s="1" t="n">
        <v>3.3</v>
      </c>
      <c r="Y202" s="1" t="s">
        <v>40</v>
      </c>
      <c r="Z202" s="1" t="n">
        <v>0</v>
      </c>
    </row>
    <row r="203" customFormat="false" ht="15" hidden="false" customHeight="true" outlineLevel="0" collapsed="false">
      <c r="A203" s="1" t="s">
        <v>525</v>
      </c>
      <c r="B203" s="1" t="s">
        <v>526</v>
      </c>
      <c r="C203" s="1" t="s">
        <v>134</v>
      </c>
      <c r="D203" s="1" t="s">
        <v>168</v>
      </c>
      <c r="E203" s="1" t="s">
        <v>328</v>
      </c>
      <c r="F203" s="1" t="s">
        <v>82</v>
      </c>
      <c r="G203" s="1" t="s">
        <v>56</v>
      </c>
      <c r="H203" s="1" t="s">
        <v>69</v>
      </c>
      <c r="I203" s="1" t="s">
        <v>34</v>
      </c>
      <c r="J203" s="1" t="s">
        <v>59</v>
      </c>
      <c r="K203" s="1" t="s">
        <v>90</v>
      </c>
      <c r="L203" s="1" t="s">
        <v>136</v>
      </c>
      <c r="M203" s="1" t="s">
        <v>62</v>
      </c>
      <c r="N203" s="1" t="n">
        <v>8999</v>
      </c>
      <c r="O203" s="1" t="n">
        <v>0</v>
      </c>
      <c r="P203" s="1" t="n">
        <v>0</v>
      </c>
      <c r="Q203" s="1" t="n">
        <v>8999</v>
      </c>
      <c r="R203" s="1" t="n">
        <v>1619.82</v>
      </c>
      <c r="S203" s="1" t="n">
        <v>7379.18</v>
      </c>
      <c r="T203" s="1" t="n">
        <v>2903.69</v>
      </c>
      <c r="U203" s="1" t="n">
        <v>4475.49</v>
      </c>
      <c r="V203" s="1" t="n">
        <v>60.65</v>
      </c>
      <c r="W203" s="1" t="s">
        <v>40</v>
      </c>
      <c r="Y203" s="1" t="s">
        <v>40</v>
      </c>
      <c r="Z203" s="1" t="n">
        <v>1</v>
      </c>
    </row>
    <row r="204" customFormat="false" ht="15" hidden="false" customHeight="true" outlineLevel="0" collapsed="false">
      <c r="A204" s="1" t="s">
        <v>527</v>
      </c>
      <c r="B204" s="1" t="s">
        <v>528</v>
      </c>
      <c r="C204" s="1" t="s">
        <v>28</v>
      </c>
      <c r="D204" s="1" t="s">
        <v>53</v>
      </c>
      <c r="E204" s="1" t="s">
        <v>54</v>
      </c>
      <c r="F204" s="1" t="s">
        <v>82</v>
      </c>
      <c r="G204" s="1" t="s">
        <v>56</v>
      </c>
      <c r="H204" s="1" t="s">
        <v>69</v>
      </c>
      <c r="I204" s="1" t="s">
        <v>34</v>
      </c>
      <c r="J204" s="1" t="s">
        <v>131</v>
      </c>
      <c r="K204" s="1" t="s">
        <v>84</v>
      </c>
      <c r="L204" s="1" t="s">
        <v>49</v>
      </c>
      <c r="M204" s="1" t="s">
        <v>38</v>
      </c>
      <c r="N204" s="1" t="n">
        <v>11999</v>
      </c>
      <c r="O204" s="1" t="n">
        <v>25</v>
      </c>
      <c r="P204" s="1" t="n">
        <v>2999.75</v>
      </c>
      <c r="Q204" s="1" t="n">
        <v>8999.25</v>
      </c>
      <c r="R204" s="1" t="n">
        <v>1619.87</v>
      </c>
      <c r="S204" s="1" t="n">
        <v>7379.38</v>
      </c>
      <c r="T204" s="1" t="n">
        <v>2779.94</v>
      </c>
      <c r="U204" s="1" t="n">
        <v>4599.44</v>
      </c>
      <c r="V204" s="1" t="n">
        <v>62.33</v>
      </c>
      <c r="W204" s="1" t="s">
        <v>39</v>
      </c>
      <c r="Y204" s="1" t="s">
        <v>40</v>
      </c>
      <c r="Z204" s="1" t="n">
        <v>0</v>
      </c>
    </row>
    <row r="205" customFormat="false" ht="15" hidden="false" customHeight="true" outlineLevel="0" collapsed="false">
      <c r="A205" s="1" t="s">
        <v>529</v>
      </c>
      <c r="B205" s="1" t="s">
        <v>530</v>
      </c>
      <c r="C205" s="1" t="s">
        <v>28</v>
      </c>
      <c r="D205" s="1" t="s">
        <v>29</v>
      </c>
      <c r="E205" s="1" t="s">
        <v>182</v>
      </c>
      <c r="F205" s="1" t="s">
        <v>194</v>
      </c>
      <c r="G205" s="1" t="s">
        <v>103</v>
      </c>
      <c r="H205" s="1" t="s">
        <v>69</v>
      </c>
      <c r="I205" s="1" t="s">
        <v>58</v>
      </c>
      <c r="J205" s="1" t="s">
        <v>70</v>
      </c>
      <c r="K205" s="1" t="s">
        <v>48</v>
      </c>
      <c r="L205" s="1" t="s">
        <v>113</v>
      </c>
      <c r="M205" s="1" t="s">
        <v>38</v>
      </c>
      <c r="N205" s="1" t="n">
        <v>34999</v>
      </c>
      <c r="O205" s="1" t="n">
        <v>5</v>
      </c>
      <c r="P205" s="1" t="n">
        <v>1749.95</v>
      </c>
      <c r="Q205" s="1" t="n">
        <v>33249.05</v>
      </c>
      <c r="R205" s="1" t="n">
        <v>5984.83</v>
      </c>
      <c r="S205" s="1" t="n">
        <v>27264.22</v>
      </c>
      <c r="T205" s="1" t="n">
        <v>13293.72</v>
      </c>
      <c r="U205" s="1" t="n">
        <v>13970.5</v>
      </c>
      <c r="V205" s="1" t="n">
        <v>51.24</v>
      </c>
      <c r="W205" s="1" t="s">
        <v>39</v>
      </c>
      <c r="X205" s="1" t="n">
        <v>4.2</v>
      </c>
      <c r="Y205" s="1" t="s">
        <v>40</v>
      </c>
      <c r="Z205" s="1" t="n">
        <v>0</v>
      </c>
    </row>
    <row r="206" customFormat="false" ht="15" hidden="false" customHeight="true" outlineLevel="0" collapsed="false">
      <c r="A206" s="1" t="s">
        <v>531</v>
      </c>
      <c r="B206" s="1" t="s">
        <v>209</v>
      </c>
      <c r="C206" s="1" t="s">
        <v>88</v>
      </c>
      <c r="D206" s="1" t="s">
        <v>53</v>
      </c>
      <c r="E206" s="1" t="s">
        <v>116</v>
      </c>
      <c r="F206" s="1" t="s">
        <v>205</v>
      </c>
      <c r="G206" s="1" t="s">
        <v>56</v>
      </c>
      <c r="H206" s="1" t="s">
        <v>69</v>
      </c>
      <c r="I206" s="1" t="s">
        <v>83</v>
      </c>
      <c r="J206" s="1" t="s">
        <v>70</v>
      </c>
      <c r="K206" s="1" t="s">
        <v>104</v>
      </c>
      <c r="L206" s="1" t="s">
        <v>85</v>
      </c>
      <c r="M206" s="1" t="s">
        <v>62</v>
      </c>
      <c r="N206" s="1" t="n">
        <v>9999</v>
      </c>
      <c r="O206" s="1" t="n">
        <v>50</v>
      </c>
      <c r="P206" s="1" t="n">
        <v>4999.5</v>
      </c>
      <c r="Q206" s="1" t="n">
        <v>4999.5</v>
      </c>
      <c r="R206" s="1" t="n">
        <v>899.91</v>
      </c>
      <c r="S206" s="1" t="n">
        <v>4099.59</v>
      </c>
      <c r="T206" s="1" t="n">
        <v>2005.31</v>
      </c>
      <c r="U206" s="1" t="n">
        <v>2094.28</v>
      </c>
      <c r="V206" s="1" t="n">
        <v>51.09</v>
      </c>
      <c r="W206" s="1" t="s">
        <v>40</v>
      </c>
      <c r="Y206" s="1" t="s">
        <v>40</v>
      </c>
      <c r="Z206" s="1" t="n">
        <v>1</v>
      </c>
    </row>
    <row r="207" customFormat="false" ht="15" hidden="false" customHeight="true" outlineLevel="0" collapsed="false">
      <c r="A207" s="1" t="s">
        <v>532</v>
      </c>
      <c r="B207" s="1" t="s">
        <v>533</v>
      </c>
      <c r="C207" s="1" t="s">
        <v>74</v>
      </c>
      <c r="D207" s="1" t="s">
        <v>53</v>
      </c>
      <c r="E207" s="1" t="s">
        <v>54</v>
      </c>
      <c r="F207" s="1" t="s">
        <v>75</v>
      </c>
      <c r="G207" s="1" t="s">
        <v>76</v>
      </c>
      <c r="H207" s="1" t="s">
        <v>69</v>
      </c>
      <c r="I207" s="1" t="s">
        <v>83</v>
      </c>
      <c r="J207" s="1" t="s">
        <v>59</v>
      </c>
      <c r="K207" s="1" t="s">
        <v>84</v>
      </c>
      <c r="L207" s="1" t="s">
        <v>136</v>
      </c>
      <c r="M207" s="1" t="s">
        <v>62</v>
      </c>
      <c r="N207" s="1" t="n">
        <v>11999</v>
      </c>
      <c r="O207" s="1" t="n">
        <v>0</v>
      </c>
      <c r="P207" s="1" t="n">
        <v>0</v>
      </c>
      <c r="Q207" s="1" t="n">
        <v>11999</v>
      </c>
      <c r="R207" s="1" t="n">
        <v>2159.82</v>
      </c>
      <c r="S207" s="1" t="n">
        <v>9839.18</v>
      </c>
      <c r="T207" s="1" t="n">
        <v>4791.52</v>
      </c>
      <c r="U207" s="1" t="n">
        <v>5047.66</v>
      </c>
      <c r="V207" s="1" t="n">
        <v>51.3</v>
      </c>
      <c r="W207" s="1" t="s">
        <v>40</v>
      </c>
      <c r="Y207" s="1" t="s">
        <v>39</v>
      </c>
      <c r="Z207" s="1" t="n">
        <v>0</v>
      </c>
    </row>
    <row r="208" customFormat="false" ht="15" hidden="false" customHeight="true" outlineLevel="0" collapsed="false">
      <c r="A208" s="1" t="s">
        <v>534</v>
      </c>
      <c r="B208" s="1" t="s">
        <v>535</v>
      </c>
      <c r="C208" s="1" t="s">
        <v>139</v>
      </c>
      <c r="D208" s="1" t="s">
        <v>168</v>
      </c>
      <c r="E208" s="1" t="s">
        <v>197</v>
      </c>
      <c r="F208" s="1" t="s">
        <v>130</v>
      </c>
      <c r="G208" s="1" t="s">
        <v>47</v>
      </c>
      <c r="H208" s="1" t="s">
        <v>69</v>
      </c>
      <c r="I208" s="1" t="s">
        <v>34</v>
      </c>
      <c r="J208" s="1" t="s">
        <v>131</v>
      </c>
      <c r="K208" s="1" t="s">
        <v>84</v>
      </c>
      <c r="L208" s="1" t="s">
        <v>37</v>
      </c>
      <c r="M208" s="1" t="s">
        <v>62</v>
      </c>
      <c r="N208" s="1" t="n">
        <v>8499</v>
      </c>
      <c r="O208" s="1" t="n">
        <v>15</v>
      </c>
      <c r="P208" s="1" t="n">
        <v>1274.85</v>
      </c>
      <c r="Q208" s="1" t="n">
        <v>7224.15</v>
      </c>
      <c r="R208" s="1" t="n">
        <v>1300.35</v>
      </c>
      <c r="S208" s="1" t="n">
        <v>5923.8</v>
      </c>
      <c r="T208" s="1" t="n">
        <v>2573.91</v>
      </c>
      <c r="U208" s="1" t="n">
        <v>3349.89</v>
      </c>
      <c r="V208" s="1" t="n">
        <v>56.55</v>
      </c>
      <c r="W208" s="1" t="s">
        <v>40</v>
      </c>
      <c r="Y208" s="1" t="s">
        <v>39</v>
      </c>
      <c r="Z208" s="1" t="n">
        <v>1</v>
      </c>
    </row>
    <row r="209" customFormat="false" ht="15" hidden="false" customHeight="true" outlineLevel="0" collapsed="false">
      <c r="A209" s="1" t="s">
        <v>536</v>
      </c>
      <c r="B209" s="1" t="s">
        <v>537</v>
      </c>
      <c r="C209" s="1" t="s">
        <v>119</v>
      </c>
      <c r="D209" s="1" t="s">
        <v>44</v>
      </c>
      <c r="E209" s="1" t="s">
        <v>221</v>
      </c>
      <c r="F209" s="1" t="s">
        <v>82</v>
      </c>
      <c r="G209" s="1" t="s">
        <v>56</v>
      </c>
      <c r="H209" s="1" t="s">
        <v>69</v>
      </c>
      <c r="I209" s="1" t="s">
        <v>83</v>
      </c>
      <c r="J209" s="1" t="s">
        <v>70</v>
      </c>
      <c r="K209" s="1" t="s">
        <v>60</v>
      </c>
      <c r="L209" s="1" t="s">
        <v>61</v>
      </c>
      <c r="M209" s="1" t="s">
        <v>50</v>
      </c>
      <c r="N209" s="1" t="n">
        <v>16999</v>
      </c>
      <c r="O209" s="1" t="n">
        <v>0</v>
      </c>
      <c r="P209" s="1" t="n">
        <v>0</v>
      </c>
      <c r="Q209" s="1" t="n">
        <v>16999</v>
      </c>
      <c r="R209" s="1" t="n">
        <v>3059.82</v>
      </c>
      <c r="S209" s="1" t="n">
        <v>13939.18</v>
      </c>
      <c r="T209" s="1" t="n">
        <v>5976.5</v>
      </c>
      <c r="U209" s="1" t="n">
        <v>7962.68</v>
      </c>
      <c r="V209" s="1" t="n">
        <v>57.12</v>
      </c>
      <c r="W209" s="1" t="s">
        <v>39</v>
      </c>
      <c r="X209" s="1" t="n">
        <v>3.1</v>
      </c>
      <c r="Y209" s="1" t="s">
        <v>40</v>
      </c>
      <c r="Z209" s="1" t="n">
        <v>0</v>
      </c>
    </row>
    <row r="210" customFormat="false" ht="15" hidden="false" customHeight="true" outlineLevel="0" collapsed="false">
      <c r="A210" s="1" t="s">
        <v>538</v>
      </c>
      <c r="B210" s="1" t="s">
        <v>539</v>
      </c>
      <c r="C210" s="1" t="s">
        <v>167</v>
      </c>
      <c r="D210" s="1" t="s">
        <v>80</v>
      </c>
      <c r="E210" s="1" t="s">
        <v>175</v>
      </c>
      <c r="F210" s="1" t="s">
        <v>75</v>
      </c>
      <c r="G210" s="1" t="s">
        <v>76</v>
      </c>
      <c r="H210" s="1" t="s">
        <v>69</v>
      </c>
      <c r="I210" s="1" t="s">
        <v>34</v>
      </c>
      <c r="J210" s="1" t="s">
        <v>35</v>
      </c>
      <c r="K210" s="1" t="s">
        <v>84</v>
      </c>
      <c r="L210" s="1" t="s">
        <v>49</v>
      </c>
      <c r="M210" s="1" t="s">
        <v>38</v>
      </c>
      <c r="N210" s="1" t="n">
        <v>19999</v>
      </c>
      <c r="O210" s="1" t="n">
        <v>20</v>
      </c>
      <c r="P210" s="1" t="n">
        <v>3999.8</v>
      </c>
      <c r="Q210" s="1" t="n">
        <v>15999.2</v>
      </c>
      <c r="R210" s="1" t="n">
        <v>2879.86</v>
      </c>
      <c r="S210" s="1" t="n">
        <v>13119.34</v>
      </c>
      <c r="T210" s="1" t="n">
        <v>3807.15</v>
      </c>
      <c r="U210" s="1" t="n">
        <v>9312.19</v>
      </c>
      <c r="V210" s="1" t="n">
        <v>70.98</v>
      </c>
      <c r="W210" s="1" t="s">
        <v>40</v>
      </c>
      <c r="Y210" s="1" t="s">
        <v>39</v>
      </c>
      <c r="Z210" s="1" t="n">
        <v>2</v>
      </c>
    </row>
    <row r="211" customFormat="false" ht="15" hidden="false" customHeight="true" outlineLevel="0" collapsed="false">
      <c r="A211" s="1" t="s">
        <v>540</v>
      </c>
      <c r="B211" s="1" t="s">
        <v>541</v>
      </c>
      <c r="C211" s="1" t="s">
        <v>65</v>
      </c>
      <c r="D211" s="1" t="s">
        <v>29</v>
      </c>
      <c r="E211" s="1" t="s">
        <v>305</v>
      </c>
      <c r="F211" s="1" t="s">
        <v>120</v>
      </c>
      <c r="G211" s="1" t="s">
        <v>47</v>
      </c>
      <c r="H211" s="1" t="s">
        <v>57</v>
      </c>
      <c r="I211" s="1" t="s">
        <v>34</v>
      </c>
      <c r="J211" s="1" t="s">
        <v>131</v>
      </c>
      <c r="K211" s="1" t="s">
        <v>36</v>
      </c>
      <c r="L211" s="1" t="s">
        <v>85</v>
      </c>
      <c r="M211" s="1" t="s">
        <v>50</v>
      </c>
      <c r="N211" s="1" t="n">
        <v>24999</v>
      </c>
      <c r="O211" s="1" t="n">
        <v>50</v>
      </c>
      <c r="P211" s="1" t="n">
        <v>12499.5</v>
      </c>
      <c r="Q211" s="1" t="n">
        <v>12499.5</v>
      </c>
      <c r="R211" s="1" t="n">
        <v>2249.91</v>
      </c>
      <c r="S211" s="1" t="n">
        <v>10249.59</v>
      </c>
      <c r="T211" s="1" t="n">
        <v>5529.92</v>
      </c>
      <c r="U211" s="1" t="n">
        <v>4719.67</v>
      </c>
      <c r="V211" s="1" t="n">
        <v>46.05</v>
      </c>
      <c r="W211" s="1" t="s">
        <v>40</v>
      </c>
      <c r="Y211" s="1" t="s">
        <v>40</v>
      </c>
      <c r="Z211" s="1" t="n">
        <v>0</v>
      </c>
    </row>
    <row r="212" customFormat="false" ht="15" hidden="false" customHeight="true" outlineLevel="0" collapsed="false">
      <c r="A212" s="1" t="s">
        <v>542</v>
      </c>
      <c r="B212" s="1" t="s">
        <v>543</v>
      </c>
      <c r="C212" s="1" t="s">
        <v>139</v>
      </c>
      <c r="D212" s="1" t="s">
        <v>44</v>
      </c>
      <c r="E212" s="1" t="s">
        <v>66</v>
      </c>
      <c r="F212" s="1" t="s">
        <v>31</v>
      </c>
      <c r="G212" s="1" t="s">
        <v>32</v>
      </c>
      <c r="H212" s="1" t="s">
        <v>33</v>
      </c>
      <c r="I212" s="1" t="s">
        <v>58</v>
      </c>
      <c r="J212" s="1" t="s">
        <v>70</v>
      </c>
      <c r="K212" s="1" t="s">
        <v>84</v>
      </c>
      <c r="L212" s="1" t="s">
        <v>85</v>
      </c>
      <c r="M212" s="1" t="s">
        <v>50</v>
      </c>
      <c r="N212" s="1" t="n">
        <v>12999</v>
      </c>
      <c r="O212" s="1" t="n">
        <v>0</v>
      </c>
      <c r="P212" s="1" t="n">
        <v>0</v>
      </c>
      <c r="Q212" s="1" t="n">
        <v>12999</v>
      </c>
      <c r="R212" s="1" t="n">
        <v>2339.82</v>
      </c>
      <c r="S212" s="1" t="n">
        <v>10659.18</v>
      </c>
      <c r="T212" s="1" t="n">
        <v>3817.93</v>
      </c>
      <c r="U212" s="1" t="n">
        <v>6841.25</v>
      </c>
      <c r="V212" s="1" t="n">
        <v>64.18</v>
      </c>
      <c r="W212" s="1" t="s">
        <v>39</v>
      </c>
      <c r="X212" s="1" t="n">
        <v>3.6</v>
      </c>
      <c r="Y212" s="1" t="s">
        <v>40</v>
      </c>
      <c r="Z212" s="1" t="n">
        <v>0</v>
      </c>
    </row>
    <row r="213" customFormat="false" ht="15" hidden="false" customHeight="true" outlineLevel="0" collapsed="false">
      <c r="A213" s="1" t="s">
        <v>544</v>
      </c>
      <c r="B213" s="1" t="s">
        <v>545</v>
      </c>
      <c r="C213" s="1" t="s">
        <v>264</v>
      </c>
      <c r="D213" s="1" t="s">
        <v>53</v>
      </c>
      <c r="E213" s="1" t="s">
        <v>54</v>
      </c>
      <c r="F213" s="1" t="s">
        <v>150</v>
      </c>
      <c r="G213" s="1" t="s">
        <v>32</v>
      </c>
      <c r="H213" s="1" t="s">
        <v>57</v>
      </c>
      <c r="I213" s="1" t="s">
        <v>58</v>
      </c>
      <c r="J213" s="1" t="s">
        <v>35</v>
      </c>
      <c r="K213" s="1" t="s">
        <v>71</v>
      </c>
      <c r="L213" s="1" t="s">
        <v>37</v>
      </c>
      <c r="M213" s="1" t="s">
        <v>62</v>
      </c>
      <c r="N213" s="1" t="n">
        <v>11999</v>
      </c>
      <c r="O213" s="1" t="n">
        <v>10</v>
      </c>
      <c r="P213" s="1" t="n">
        <v>1199.9</v>
      </c>
      <c r="Q213" s="1" t="n">
        <v>10799.1</v>
      </c>
      <c r="R213" s="1" t="n">
        <v>1943.84</v>
      </c>
      <c r="S213" s="1" t="n">
        <v>8855.26</v>
      </c>
      <c r="T213" s="1" t="n">
        <v>4780.82</v>
      </c>
      <c r="U213" s="1" t="n">
        <v>4074.44</v>
      </c>
      <c r="V213" s="1" t="n">
        <v>46.01</v>
      </c>
      <c r="W213" s="1" t="s">
        <v>39</v>
      </c>
      <c r="X213" s="1" t="n">
        <v>3.4</v>
      </c>
      <c r="Y213" s="1" t="s">
        <v>40</v>
      </c>
      <c r="Z213" s="1" t="n">
        <v>0</v>
      </c>
    </row>
    <row r="214" customFormat="false" ht="15" hidden="false" customHeight="true" outlineLevel="0" collapsed="false">
      <c r="A214" s="1" t="s">
        <v>546</v>
      </c>
      <c r="B214" s="1" t="s">
        <v>547</v>
      </c>
      <c r="C214" s="1" t="s">
        <v>100</v>
      </c>
      <c r="D214" s="1" t="s">
        <v>44</v>
      </c>
      <c r="E214" s="1" t="s">
        <v>45</v>
      </c>
      <c r="F214" s="1" t="s">
        <v>130</v>
      </c>
      <c r="G214" s="1" t="s">
        <v>47</v>
      </c>
      <c r="H214" s="1" t="s">
        <v>69</v>
      </c>
      <c r="I214" s="1" t="s">
        <v>34</v>
      </c>
      <c r="J214" s="1" t="s">
        <v>131</v>
      </c>
      <c r="K214" s="1" t="s">
        <v>60</v>
      </c>
      <c r="L214" s="1" t="s">
        <v>113</v>
      </c>
      <c r="M214" s="1" t="s">
        <v>50</v>
      </c>
      <c r="N214" s="1" t="n">
        <v>11999</v>
      </c>
      <c r="O214" s="1" t="n">
        <v>40</v>
      </c>
      <c r="P214" s="1" t="n">
        <v>4799.6</v>
      </c>
      <c r="Q214" s="1" t="n">
        <v>7199.4</v>
      </c>
      <c r="R214" s="1" t="n">
        <v>1295.89</v>
      </c>
      <c r="S214" s="1" t="n">
        <v>5903.51</v>
      </c>
      <c r="T214" s="1" t="n">
        <v>2961.71</v>
      </c>
      <c r="U214" s="1" t="n">
        <v>2941.8</v>
      </c>
      <c r="V214" s="1" t="n">
        <v>49.83</v>
      </c>
      <c r="W214" s="1" t="s">
        <v>40</v>
      </c>
      <c r="Y214" s="1" t="s">
        <v>40</v>
      </c>
      <c r="Z214" s="1" t="n">
        <v>1</v>
      </c>
    </row>
    <row r="215" customFormat="false" ht="15" hidden="false" customHeight="true" outlineLevel="0" collapsed="false">
      <c r="A215" s="1" t="s">
        <v>548</v>
      </c>
      <c r="B215" s="1" t="s">
        <v>549</v>
      </c>
      <c r="C215" s="1" t="s">
        <v>100</v>
      </c>
      <c r="D215" s="1" t="s">
        <v>168</v>
      </c>
      <c r="E215" s="1" t="s">
        <v>172</v>
      </c>
      <c r="F215" s="1" t="s">
        <v>107</v>
      </c>
      <c r="G215" s="1" t="s">
        <v>108</v>
      </c>
      <c r="H215" s="1" t="s">
        <v>33</v>
      </c>
      <c r="I215" s="1" t="s">
        <v>58</v>
      </c>
      <c r="J215" s="1" t="s">
        <v>70</v>
      </c>
      <c r="K215" s="1" t="s">
        <v>112</v>
      </c>
      <c r="L215" s="1" t="s">
        <v>113</v>
      </c>
      <c r="M215" s="1" t="s">
        <v>50</v>
      </c>
      <c r="N215" s="1" t="n">
        <v>6999</v>
      </c>
      <c r="O215" s="1" t="n">
        <v>15</v>
      </c>
      <c r="P215" s="1" t="n">
        <v>1049.85</v>
      </c>
      <c r="Q215" s="1" t="n">
        <v>5949.15</v>
      </c>
      <c r="R215" s="1" t="n">
        <v>1070.85</v>
      </c>
      <c r="S215" s="1" t="n">
        <v>4878.3</v>
      </c>
      <c r="T215" s="1" t="n">
        <v>1839.42</v>
      </c>
      <c r="U215" s="1" t="n">
        <v>3038.88</v>
      </c>
      <c r="V215" s="1" t="n">
        <v>62.29</v>
      </c>
      <c r="W215" s="1" t="s">
        <v>39</v>
      </c>
      <c r="Y215" s="1" t="s">
        <v>40</v>
      </c>
      <c r="Z215" s="1" t="n">
        <v>0</v>
      </c>
    </row>
    <row r="216" customFormat="false" ht="15" hidden="false" customHeight="true" outlineLevel="0" collapsed="false">
      <c r="A216" s="1" t="s">
        <v>550</v>
      </c>
      <c r="B216" s="1" t="s">
        <v>551</v>
      </c>
      <c r="C216" s="1" t="s">
        <v>28</v>
      </c>
      <c r="D216" s="1" t="s">
        <v>168</v>
      </c>
      <c r="E216" s="1" t="s">
        <v>172</v>
      </c>
      <c r="F216" s="1" t="s">
        <v>31</v>
      </c>
      <c r="G216" s="1" t="s">
        <v>32</v>
      </c>
      <c r="H216" s="1" t="s">
        <v>33</v>
      </c>
      <c r="I216" s="1" t="s">
        <v>83</v>
      </c>
      <c r="J216" s="1" t="s">
        <v>35</v>
      </c>
      <c r="K216" s="1" t="s">
        <v>84</v>
      </c>
      <c r="L216" s="1" t="s">
        <v>136</v>
      </c>
      <c r="M216" s="1" t="s">
        <v>62</v>
      </c>
      <c r="N216" s="1" t="n">
        <v>6999</v>
      </c>
      <c r="O216" s="1" t="n">
        <v>15</v>
      </c>
      <c r="P216" s="1" t="n">
        <v>1049.85</v>
      </c>
      <c r="Q216" s="1" t="n">
        <v>5949.15</v>
      </c>
      <c r="R216" s="1" t="n">
        <v>1070.85</v>
      </c>
      <c r="S216" s="1" t="n">
        <v>4878.3</v>
      </c>
      <c r="T216" s="1" t="n">
        <v>2478.08</v>
      </c>
      <c r="U216" s="1" t="n">
        <v>2400.22</v>
      </c>
      <c r="V216" s="1" t="n">
        <v>49.2</v>
      </c>
      <c r="W216" s="1" t="s">
        <v>40</v>
      </c>
      <c r="Y216" s="1" t="s">
        <v>39</v>
      </c>
      <c r="Z216" s="1" t="n">
        <v>0</v>
      </c>
    </row>
    <row r="217" customFormat="false" ht="15" hidden="false" customHeight="true" outlineLevel="0" collapsed="false">
      <c r="A217" s="1" t="s">
        <v>552</v>
      </c>
      <c r="B217" s="1" t="s">
        <v>553</v>
      </c>
      <c r="C217" s="1" t="s">
        <v>178</v>
      </c>
      <c r="D217" s="1" t="s">
        <v>94</v>
      </c>
      <c r="E217" s="1" t="s">
        <v>101</v>
      </c>
      <c r="F217" s="1" t="s">
        <v>205</v>
      </c>
      <c r="G217" s="1" t="s">
        <v>56</v>
      </c>
      <c r="H217" s="1" t="s">
        <v>69</v>
      </c>
      <c r="I217" s="1" t="s">
        <v>58</v>
      </c>
      <c r="J217" s="1" t="s">
        <v>131</v>
      </c>
      <c r="K217" s="1" t="s">
        <v>36</v>
      </c>
      <c r="L217" s="1" t="s">
        <v>85</v>
      </c>
      <c r="M217" s="1" t="s">
        <v>62</v>
      </c>
      <c r="N217" s="1" t="n">
        <v>14999</v>
      </c>
      <c r="O217" s="1" t="n">
        <v>0</v>
      </c>
      <c r="P217" s="1" t="n">
        <v>0</v>
      </c>
      <c r="Q217" s="1" t="n">
        <v>14999</v>
      </c>
      <c r="R217" s="1" t="n">
        <v>2699.82</v>
      </c>
      <c r="S217" s="1" t="n">
        <v>12299.18</v>
      </c>
      <c r="T217" s="1" t="n">
        <v>4967.03</v>
      </c>
      <c r="U217" s="1" t="n">
        <v>7332.15</v>
      </c>
      <c r="V217" s="1" t="n">
        <v>59.61</v>
      </c>
      <c r="W217" s="1" t="s">
        <v>39</v>
      </c>
      <c r="Y217" s="1" t="s">
        <v>40</v>
      </c>
      <c r="Z217" s="1" t="n">
        <v>0</v>
      </c>
    </row>
    <row r="218" customFormat="false" ht="15" hidden="false" customHeight="true" outlineLevel="0" collapsed="false">
      <c r="A218" s="1" t="s">
        <v>554</v>
      </c>
      <c r="B218" s="1" t="s">
        <v>555</v>
      </c>
      <c r="C218" s="1" t="s">
        <v>119</v>
      </c>
      <c r="D218" s="1" t="s">
        <v>80</v>
      </c>
      <c r="E218" s="1" t="s">
        <v>81</v>
      </c>
      <c r="F218" s="1" t="s">
        <v>205</v>
      </c>
      <c r="G218" s="1" t="s">
        <v>56</v>
      </c>
      <c r="H218" s="1" t="s">
        <v>69</v>
      </c>
      <c r="I218" s="1" t="s">
        <v>83</v>
      </c>
      <c r="J218" s="1" t="s">
        <v>59</v>
      </c>
      <c r="K218" s="1" t="s">
        <v>112</v>
      </c>
      <c r="L218" s="1" t="s">
        <v>136</v>
      </c>
      <c r="M218" s="1" t="s">
        <v>38</v>
      </c>
      <c r="N218" s="1" t="n">
        <v>12999</v>
      </c>
      <c r="O218" s="1" t="n">
        <v>50</v>
      </c>
      <c r="P218" s="1" t="n">
        <v>6499.5</v>
      </c>
      <c r="Q218" s="1" t="n">
        <v>6499.5</v>
      </c>
      <c r="R218" s="1" t="n">
        <v>1169.91</v>
      </c>
      <c r="S218" s="1" t="n">
        <v>5329.59</v>
      </c>
      <c r="T218" s="1" t="n">
        <v>2675.08</v>
      </c>
      <c r="U218" s="1" t="n">
        <v>2654.51</v>
      </c>
      <c r="V218" s="1" t="n">
        <v>49.81</v>
      </c>
      <c r="W218" s="1" t="s">
        <v>40</v>
      </c>
      <c r="Y218" s="1" t="s">
        <v>40</v>
      </c>
      <c r="Z218" s="1" t="n">
        <v>1</v>
      </c>
    </row>
    <row r="219" customFormat="false" ht="15" hidden="false" customHeight="true" outlineLevel="0" collapsed="false">
      <c r="A219" s="1" t="s">
        <v>556</v>
      </c>
      <c r="B219" s="1" t="s">
        <v>557</v>
      </c>
      <c r="C219" s="1" t="s">
        <v>100</v>
      </c>
      <c r="D219" s="1" t="s">
        <v>123</v>
      </c>
      <c r="E219" s="1" t="s">
        <v>124</v>
      </c>
      <c r="F219" s="1" t="s">
        <v>194</v>
      </c>
      <c r="G219" s="1" t="s">
        <v>103</v>
      </c>
      <c r="H219" s="1" t="s">
        <v>69</v>
      </c>
      <c r="I219" s="1" t="s">
        <v>34</v>
      </c>
      <c r="J219" s="1" t="s">
        <v>131</v>
      </c>
      <c r="K219" s="1" t="s">
        <v>104</v>
      </c>
      <c r="L219" s="1" t="s">
        <v>113</v>
      </c>
      <c r="M219" s="1" t="s">
        <v>50</v>
      </c>
      <c r="N219" s="1" t="n">
        <v>4999</v>
      </c>
      <c r="O219" s="1" t="n">
        <v>10</v>
      </c>
      <c r="P219" s="1" t="n">
        <v>499.9</v>
      </c>
      <c r="Q219" s="1" t="n">
        <v>4499.1</v>
      </c>
      <c r="R219" s="1" t="n">
        <v>809.84</v>
      </c>
      <c r="S219" s="1" t="n">
        <v>3689.26</v>
      </c>
      <c r="T219" s="1" t="n">
        <v>1520.22</v>
      </c>
      <c r="U219" s="1" t="n">
        <v>2169.04</v>
      </c>
      <c r="V219" s="1" t="n">
        <v>58.79</v>
      </c>
      <c r="W219" s="1" t="s">
        <v>39</v>
      </c>
      <c r="Y219" s="1" t="s">
        <v>40</v>
      </c>
      <c r="Z219" s="1" t="n">
        <v>0</v>
      </c>
    </row>
    <row r="220" customFormat="false" ht="15" hidden="false" customHeight="true" outlineLevel="0" collapsed="false">
      <c r="A220" s="1" t="s">
        <v>558</v>
      </c>
      <c r="B220" s="1" t="s">
        <v>559</v>
      </c>
      <c r="C220" s="1" t="s">
        <v>28</v>
      </c>
      <c r="D220" s="1" t="s">
        <v>53</v>
      </c>
      <c r="E220" s="1" t="s">
        <v>216</v>
      </c>
      <c r="F220" s="1" t="s">
        <v>125</v>
      </c>
      <c r="G220" s="1" t="s">
        <v>108</v>
      </c>
      <c r="H220" s="1" t="s">
        <v>69</v>
      </c>
      <c r="I220" s="1" t="s">
        <v>83</v>
      </c>
      <c r="J220" s="1" t="s">
        <v>70</v>
      </c>
      <c r="K220" s="1" t="s">
        <v>48</v>
      </c>
      <c r="L220" s="1" t="s">
        <v>136</v>
      </c>
      <c r="M220" s="1" t="s">
        <v>62</v>
      </c>
      <c r="N220" s="1" t="n">
        <v>7499</v>
      </c>
      <c r="O220" s="1" t="n">
        <v>50</v>
      </c>
      <c r="P220" s="1" t="n">
        <v>3749.5</v>
      </c>
      <c r="Q220" s="1" t="n">
        <v>3749.5</v>
      </c>
      <c r="R220" s="1" t="n">
        <v>674.91</v>
      </c>
      <c r="S220" s="1" t="n">
        <v>3074.59</v>
      </c>
      <c r="T220" s="1" t="n">
        <v>1670.7</v>
      </c>
      <c r="U220" s="1" t="n">
        <v>1403.89</v>
      </c>
      <c r="V220" s="1" t="n">
        <v>45.66</v>
      </c>
      <c r="W220" s="1" t="s">
        <v>39</v>
      </c>
      <c r="X220" s="1" t="n">
        <v>3</v>
      </c>
      <c r="Y220" s="1" t="s">
        <v>40</v>
      </c>
      <c r="Z220" s="1" t="n">
        <v>0</v>
      </c>
    </row>
    <row r="221" customFormat="false" ht="15" hidden="false" customHeight="true" outlineLevel="0" collapsed="false">
      <c r="A221" s="1" t="s">
        <v>560</v>
      </c>
      <c r="B221" s="1" t="s">
        <v>561</v>
      </c>
      <c r="C221" s="1" t="s">
        <v>93</v>
      </c>
      <c r="D221" s="1" t="s">
        <v>143</v>
      </c>
      <c r="E221" s="1" t="s">
        <v>243</v>
      </c>
      <c r="F221" s="1" t="s">
        <v>140</v>
      </c>
      <c r="G221" s="1" t="s">
        <v>97</v>
      </c>
      <c r="H221" s="1" t="s">
        <v>57</v>
      </c>
      <c r="I221" s="1" t="s">
        <v>83</v>
      </c>
      <c r="J221" s="1" t="s">
        <v>77</v>
      </c>
      <c r="K221" s="1" t="s">
        <v>71</v>
      </c>
      <c r="L221" s="1" t="s">
        <v>136</v>
      </c>
      <c r="M221" s="1" t="s">
        <v>38</v>
      </c>
      <c r="N221" s="1" t="n">
        <v>22999</v>
      </c>
      <c r="O221" s="1" t="n">
        <v>0</v>
      </c>
      <c r="P221" s="1" t="n">
        <v>0</v>
      </c>
      <c r="Q221" s="1" t="n">
        <v>22999</v>
      </c>
      <c r="R221" s="1" t="n">
        <v>4139.82</v>
      </c>
      <c r="S221" s="1" t="n">
        <v>18859.18</v>
      </c>
      <c r="T221" s="1" t="n">
        <v>8440.65</v>
      </c>
      <c r="U221" s="1" t="n">
        <v>10418.53</v>
      </c>
      <c r="V221" s="1" t="n">
        <v>55.24</v>
      </c>
      <c r="W221" s="1" t="s">
        <v>40</v>
      </c>
      <c r="Y221" s="1" t="s">
        <v>40</v>
      </c>
      <c r="Z221" s="1" t="n">
        <v>0</v>
      </c>
    </row>
    <row r="222" customFormat="false" ht="15" hidden="false" customHeight="true" outlineLevel="0" collapsed="false">
      <c r="A222" s="1" t="s">
        <v>562</v>
      </c>
      <c r="B222" s="1" t="s">
        <v>563</v>
      </c>
      <c r="C222" s="1" t="s">
        <v>100</v>
      </c>
      <c r="D222" s="1" t="s">
        <v>44</v>
      </c>
      <c r="E222" s="1" t="s">
        <v>221</v>
      </c>
      <c r="F222" s="1" t="s">
        <v>150</v>
      </c>
      <c r="G222" s="1" t="s">
        <v>32</v>
      </c>
      <c r="H222" s="1" t="s">
        <v>57</v>
      </c>
      <c r="I222" s="1" t="s">
        <v>83</v>
      </c>
      <c r="J222" s="1" t="s">
        <v>77</v>
      </c>
      <c r="K222" s="1" t="s">
        <v>60</v>
      </c>
      <c r="L222" s="1" t="s">
        <v>136</v>
      </c>
      <c r="M222" s="1" t="s">
        <v>62</v>
      </c>
      <c r="N222" s="1" t="n">
        <v>16999</v>
      </c>
      <c r="O222" s="1" t="n">
        <v>5</v>
      </c>
      <c r="P222" s="1" t="n">
        <v>849.95</v>
      </c>
      <c r="Q222" s="1" t="n">
        <v>16149.05</v>
      </c>
      <c r="R222" s="1" t="n">
        <v>2906.83</v>
      </c>
      <c r="S222" s="1" t="n">
        <v>13242.22</v>
      </c>
      <c r="T222" s="1" t="n">
        <v>5449.18</v>
      </c>
      <c r="U222" s="1" t="n">
        <v>7793.04</v>
      </c>
      <c r="V222" s="1" t="n">
        <v>58.85</v>
      </c>
      <c r="W222" s="1" t="s">
        <v>39</v>
      </c>
      <c r="Y222" s="1" t="s">
        <v>40</v>
      </c>
      <c r="Z222" s="1" t="n">
        <v>0</v>
      </c>
    </row>
    <row r="223" customFormat="false" ht="15" hidden="false" customHeight="true" outlineLevel="0" collapsed="false">
      <c r="A223" s="1" t="s">
        <v>564</v>
      </c>
      <c r="B223" s="1" t="s">
        <v>127</v>
      </c>
      <c r="C223" s="1" t="s">
        <v>100</v>
      </c>
      <c r="D223" s="1" t="s">
        <v>29</v>
      </c>
      <c r="E223" s="1" t="s">
        <v>305</v>
      </c>
      <c r="F223" s="1" t="s">
        <v>107</v>
      </c>
      <c r="G223" s="1" t="s">
        <v>108</v>
      </c>
      <c r="H223" s="1" t="s">
        <v>33</v>
      </c>
      <c r="I223" s="1" t="s">
        <v>83</v>
      </c>
      <c r="J223" s="1" t="s">
        <v>59</v>
      </c>
      <c r="K223" s="1" t="s">
        <v>104</v>
      </c>
      <c r="L223" s="1" t="s">
        <v>113</v>
      </c>
      <c r="M223" s="1" t="s">
        <v>50</v>
      </c>
      <c r="N223" s="1" t="n">
        <v>24999</v>
      </c>
      <c r="O223" s="1" t="n">
        <v>5</v>
      </c>
      <c r="P223" s="1" t="n">
        <v>1249.95</v>
      </c>
      <c r="Q223" s="1" t="n">
        <v>23749.05</v>
      </c>
      <c r="R223" s="1" t="n">
        <v>4274.83</v>
      </c>
      <c r="S223" s="1" t="n">
        <v>19474.22</v>
      </c>
      <c r="T223" s="1" t="n">
        <v>6007.48</v>
      </c>
      <c r="U223" s="1" t="n">
        <v>13466.74</v>
      </c>
      <c r="V223" s="1" t="n">
        <v>69.15</v>
      </c>
      <c r="W223" s="1" t="s">
        <v>39</v>
      </c>
      <c r="X223" s="1" t="n">
        <v>4.8</v>
      </c>
      <c r="Y223" s="1" t="s">
        <v>40</v>
      </c>
      <c r="Z223" s="1" t="n">
        <v>0</v>
      </c>
    </row>
    <row r="224" customFormat="false" ht="15" hidden="false" customHeight="true" outlineLevel="0" collapsed="false">
      <c r="A224" s="1" t="s">
        <v>565</v>
      </c>
      <c r="B224" s="1" t="s">
        <v>566</v>
      </c>
      <c r="C224" s="1" t="s">
        <v>119</v>
      </c>
      <c r="D224" s="1" t="s">
        <v>80</v>
      </c>
      <c r="E224" s="1" t="s">
        <v>190</v>
      </c>
      <c r="F224" s="1" t="s">
        <v>125</v>
      </c>
      <c r="G224" s="1" t="s">
        <v>108</v>
      </c>
      <c r="H224" s="1" t="s">
        <v>69</v>
      </c>
      <c r="I224" s="1" t="s">
        <v>34</v>
      </c>
      <c r="J224" s="1" t="s">
        <v>35</v>
      </c>
      <c r="K224" s="1" t="s">
        <v>48</v>
      </c>
      <c r="L224" s="1" t="s">
        <v>136</v>
      </c>
      <c r="M224" s="1" t="s">
        <v>50</v>
      </c>
      <c r="N224" s="1" t="n">
        <v>15999</v>
      </c>
      <c r="O224" s="1" t="n">
        <v>0</v>
      </c>
      <c r="P224" s="1" t="n">
        <v>0</v>
      </c>
      <c r="Q224" s="1" t="n">
        <v>15999</v>
      </c>
      <c r="R224" s="1" t="n">
        <v>2879.82</v>
      </c>
      <c r="S224" s="1" t="n">
        <v>13119.18</v>
      </c>
      <c r="T224" s="1" t="n">
        <v>6123.31</v>
      </c>
      <c r="U224" s="1" t="n">
        <v>6995.87</v>
      </c>
      <c r="V224" s="1" t="n">
        <v>53.33</v>
      </c>
      <c r="W224" s="1" t="s">
        <v>39</v>
      </c>
      <c r="X224" s="1" t="n">
        <v>4.5</v>
      </c>
      <c r="Y224" s="1" t="s">
        <v>40</v>
      </c>
      <c r="Z224" s="1" t="n">
        <v>0</v>
      </c>
    </row>
    <row r="225" customFormat="false" ht="15" hidden="false" customHeight="true" outlineLevel="0" collapsed="false">
      <c r="A225" s="1" t="s">
        <v>567</v>
      </c>
      <c r="B225" s="1" t="s">
        <v>568</v>
      </c>
      <c r="C225" s="1" t="s">
        <v>65</v>
      </c>
      <c r="D225" s="1" t="s">
        <v>44</v>
      </c>
      <c r="E225" s="1" t="s">
        <v>45</v>
      </c>
      <c r="F225" s="1" t="s">
        <v>194</v>
      </c>
      <c r="G225" s="1" t="s">
        <v>103</v>
      </c>
      <c r="H225" s="1" t="s">
        <v>69</v>
      </c>
      <c r="I225" s="1" t="s">
        <v>58</v>
      </c>
      <c r="J225" s="1" t="s">
        <v>70</v>
      </c>
      <c r="K225" s="1" t="s">
        <v>48</v>
      </c>
      <c r="L225" s="1" t="s">
        <v>136</v>
      </c>
      <c r="M225" s="1" t="s">
        <v>50</v>
      </c>
      <c r="N225" s="1" t="n">
        <v>11999</v>
      </c>
      <c r="O225" s="1" t="n">
        <v>10</v>
      </c>
      <c r="P225" s="1" t="n">
        <v>1199.9</v>
      </c>
      <c r="Q225" s="1" t="n">
        <v>10799.1</v>
      </c>
      <c r="R225" s="1" t="n">
        <v>1943.84</v>
      </c>
      <c r="S225" s="1" t="n">
        <v>8855.26</v>
      </c>
      <c r="T225" s="1" t="n">
        <v>3922.72</v>
      </c>
      <c r="U225" s="1" t="n">
        <v>4932.54</v>
      </c>
      <c r="V225" s="1" t="n">
        <v>55.7</v>
      </c>
      <c r="W225" s="1" t="s">
        <v>39</v>
      </c>
      <c r="X225" s="1" t="n">
        <v>4.3</v>
      </c>
      <c r="Y225" s="1" t="s">
        <v>40</v>
      </c>
      <c r="Z225" s="1" t="n">
        <v>0</v>
      </c>
    </row>
    <row r="226" customFormat="false" ht="15" hidden="false" customHeight="true" outlineLevel="0" collapsed="false">
      <c r="A226" s="1" t="s">
        <v>569</v>
      </c>
      <c r="B226" s="1" t="s">
        <v>92</v>
      </c>
      <c r="C226" s="1" t="s">
        <v>139</v>
      </c>
      <c r="D226" s="1" t="s">
        <v>168</v>
      </c>
      <c r="E226" s="1" t="s">
        <v>328</v>
      </c>
      <c r="F226" s="1" t="s">
        <v>130</v>
      </c>
      <c r="G226" s="1" t="s">
        <v>47</v>
      </c>
      <c r="H226" s="1" t="s">
        <v>69</v>
      </c>
      <c r="I226" s="1" t="s">
        <v>83</v>
      </c>
      <c r="J226" s="1" t="s">
        <v>35</v>
      </c>
      <c r="K226" s="1" t="s">
        <v>71</v>
      </c>
      <c r="L226" s="1" t="s">
        <v>37</v>
      </c>
      <c r="M226" s="1" t="s">
        <v>62</v>
      </c>
      <c r="N226" s="1" t="n">
        <v>8999</v>
      </c>
      <c r="O226" s="1" t="n">
        <v>15</v>
      </c>
      <c r="P226" s="1" t="n">
        <v>1349.85</v>
      </c>
      <c r="Q226" s="1" t="n">
        <v>7649.15</v>
      </c>
      <c r="R226" s="1" t="n">
        <v>1376.85</v>
      </c>
      <c r="S226" s="1" t="n">
        <v>6272.3</v>
      </c>
      <c r="T226" s="1" t="n">
        <v>2505.09</v>
      </c>
      <c r="U226" s="1" t="n">
        <v>3767.21</v>
      </c>
      <c r="V226" s="1" t="n">
        <v>60.06</v>
      </c>
      <c r="W226" s="1" t="s">
        <v>40</v>
      </c>
      <c r="Y226" s="1" t="s">
        <v>40</v>
      </c>
      <c r="Z226" s="1" t="n">
        <v>0</v>
      </c>
    </row>
    <row r="227" customFormat="false" ht="15" hidden="false" customHeight="true" outlineLevel="0" collapsed="false">
      <c r="A227" s="1" t="s">
        <v>570</v>
      </c>
      <c r="B227" s="1" t="s">
        <v>338</v>
      </c>
      <c r="C227" s="1" t="s">
        <v>119</v>
      </c>
      <c r="D227" s="1" t="s">
        <v>53</v>
      </c>
      <c r="E227" s="1" t="s">
        <v>54</v>
      </c>
      <c r="F227" s="1" t="s">
        <v>31</v>
      </c>
      <c r="G227" s="1" t="s">
        <v>32</v>
      </c>
      <c r="H227" s="1" t="s">
        <v>33</v>
      </c>
      <c r="I227" s="1" t="s">
        <v>83</v>
      </c>
      <c r="J227" s="1" t="s">
        <v>70</v>
      </c>
      <c r="K227" s="1" t="s">
        <v>48</v>
      </c>
      <c r="L227" s="1" t="s">
        <v>37</v>
      </c>
      <c r="M227" s="1" t="s">
        <v>50</v>
      </c>
      <c r="N227" s="1" t="n">
        <v>11999</v>
      </c>
      <c r="O227" s="1" t="n">
        <v>15</v>
      </c>
      <c r="P227" s="1" t="n">
        <v>1799.85</v>
      </c>
      <c r="Q227" s="1" t="n">
        <v>10199.15</v>
      </c>
      <c r="R227" s="1" t="n">
        <v>1835.85</v>
      </c>
      <c r="S227" s="1" t="n">
        <v>8363.3</v>
      </c>
      <c r="T227" s="1" t="n">
        <v>3120.96</v>
      </c>
      <c r="U227" s="1" t="n">
        <v>5242.34</v>
      </c>
      <c r="V227" s="1" t="n">
        <v>62.68</v>
      </c>
      <c r="W227" s="1" t="s">
        <v>39</v>
      </c>
      <c r="X227" s="1" t="n">
        <v>3.5</v>
      </c>
      <c r="Y227" s="1" t="s">
        <v>40</v>
      </c>
      <c r="Z227" s="1" t="n">
        <v>0</v>
      </c>
    </row>
    <row r="228" customFormat="false" ht="15" hidden="false" customHeight="true" outlineLevel="0" collapsed="false">
      <c r="A228" s="1" t="s">
        <v>571</v>
      </c>
      <c r="B228" s="1" t="s">
        <v>572</v>
      </c>
      <c r="C228" s="1" t="s">
        <v>43</v>
      </c>
      <c r="D228" s="1" t="s">
        <v>94</v>
      </c>
      <c r="E228" s="1" t="s">
        <v>101</v>
      </c>
      <c r="F228" s="1" t="s">
        <v>46</v>
      </c>
      <c r="G228" s="1" t="s">
        <v>47</v>
      </c>
      <c r="H228" s="1" t="s">
        <v>33</v>
      </c>
      <c r="I228" s="1" t="s">
        <v>83</v>
      </c>
      <c r="J228" s="1" t="s">
        <v>77</v>
      </c>
      <c r="K228" s="1" t="s">
        <v>90</v>
      </c>
      <c r="L228" s="1" t="s">
        <v>85</v>
      </c>
      <c r="M228" s="1" t="s">
        <v>62</v>
      </c>
      <c r="N228" s="1" t="n">
        <v>14999</v>
      </c>
      <c r="O228" s="1" t="n">
        <v>30</v>
      </c>
      <c r="P228" s="1" t="n">
        <v>4499.7</v>
      </c>
      <c r="Q228" s="1" t="n">
        <v>10499.3</v>
      </c>
      <c r="R228" s="1" t="n">
        <v>1889.87</v>
      </c>
      <c r="S228" s="1" t="n">
        <v>8609.43</v>
      </c>
      <c r="T228" s="1" t="n">
        <v>3574.05</v>
      </c>
      <c r="U228" s="1" t="n">
        <v>5035.38</v>
      </c>
      <c r="V228" s="1" t="n">
        <v>58.49</v>
      </c>
      <c r="W228" s="1" t="s">
        <v>40</v>
      </c>
      <c r="Y228" s="1" t="s">
        <v>39</v>
      </c>
      <c r="Z228" s="1" t="n">
        <v>1</v>
      </c>
    </row>
    <row r="229" customFormat="false" ht="15" hidden="false" customHeight="true" outlineLevel="0" collapsed="false">
      <c r="A229" s="1" t="s">
        <v>573</v>
      </c>
      <c r="B229" s="1" t="s">
        <v>574</v>
      </c>
      <c r="C229" s="1" t="s">
        <v>100</v>
      </c>
      <c r="D229" s="1" t="s">
        <v>29</v>
      </c>
      <c r="E229" s="1" t="s">
        <v>182</v>
      </c>
      <c r="F229" s="1" t="s">
        <v>55</v>
      </c>
      <c r="G229" s="1" t="s">
        <v>56</v>
      </c>
      <c r="H229" s="1" t="s">
        <v>57</v>
      </c>
      <c r="I229" s="1" t="s">
        <v>83</v>
      </c>
      <c r="J229" s="1" t="s">
        <v>77</v>
      </c>
      <c r="K229" s="1" t="s">
        <v>112</v>
      </c>
      <c r="L229" s="1" t="s">
        <v>61</v>
      </c>
      <c r="M229" s="1" t="s">
        <v>38</v>
      </c>
      <c r="N229" s="1" t="n">
        <v>34999</v>
      </c>
      <c r="O229" s="1" t="n">
        <v>10</v>
      </c>
      <c r="P229" s="1" t="n">
        <v>3499.9</v>
      </c>
      <c r="Q229" s="1" t="n">
        <v>31499.1</v>
      </c>
      <c r="R229" s="1" t="n">
        <v>5669.84</v>
      </c>
      <c r="S229" s="1" t="n">
        <v>25829.26</v>
      </c>
      <c r="T229" s="1" t="n">
        <v>10483.34</v>
      </c>
      <c r="U229" s="1" t="n">
        <v>15345.92</v>
      </c>
      <c r="V229" s="1" t="n">
        <v>59.41</v>
      </c>
      <c r="W229" s="1" t="s">
        <v>39</v>
      </c>
      <c r="X229" s="1" t="n">
        <v>3.6</v>
      </c>
      <c r="Y229" s="1" t="s">
        <v>40</v>
      </c>
      <c r="Z229" s="1" t="n">
        <v>0</v>
      </c>
    </row>
    <row r="230" customFormat="false" ht="15" hidden="false" customHeight="true" outlineLevel="0" collapsed="false">
      <c r="A230" s="1" t="s">
        <v>575</v>
      </c>
      <c r="B230" s="1" t="s">
        <v>576</v>
      </c>
      <c r="C230" s="1" t="s">
        <v>128</v>
      </c>
      <c r="D230" s="1" t="s">
        <v>44</v>
      </c>
      <c r="E230" s="1" t="s">
        <v>45</v>
      </c>
      <c r="F230" s="1" t="s">
        <v>82</v>
      </c>
      <c r="G230" s="1" t="s">
        <v>56</v>
      </c>
      <c r="H230" s="1" t="s">
        <v>69</v>
      </c>
      <c r="I230" s="1" t="s">
        <v>34</v>
      </c>
      <c r="J230" s="1" t="s">
        <v>70</v>
      </c>
      <c r="K230" s="1" t="s">
        <v>104</v>
      </c>
      <c r="L230" s="1" t="s">
        <v>85</v>
      </c>
      <c r="M230" s="1" t="s">
        <v>50</v>
      </c>
      <c r="N230" s="1" t="n">
        <v>11999</v>
      </c>
      <c r="O230" s="1" t="n">
        <v>30</v>
      </c>
      <c r="P230" s="1" t="n">
        <v>3599.7</v>
      </c>
      <c r="Q230" s="1" t="n">
        <v>8399.3</v>
      </c>
      <c r="R230" s="1" t="n">
        <v>1511.87</v>
      </c>
      <c r="S230" s="1" t="n">
        <v>6887.43</v>
      </c>
      <c r="T230" s="1" t="n">
        <v>2882.46</v>
      </c>
      <c r="U230" s="1" t="n">
        <v>4004.97</v>
      </c>
      <c r="V230" s="1" t="n">
        <v>58.15</v>
      </c>
      <c r="W230" s="1" t="s">
        <v>39</v>
      </c>
      <c r="X230" s="1" t="n">
        <v>3.6</v>
      </c>
      <c r="Y230" s="1" t="s">
        <v>40</v>
      </c>
      <c r="Z230" s="1" t="n">
        <v>0</v>
      </c>
    </row>
    <row r="231" customFormat="false" ht="15" hidden="false" customHeight="true" outlineLevel="0" collapsed="false">
      <c r="A231" s="1" t="s">
        <v>577</v>
      </c>
      <c r="B231" s="1" t="s">
        <v>578</v>
      </c>
      <c r="C231" s="1" t="s">
        <v>100</v>
      </c>
      <c r="D231" s="1" t="s">
        <v>168</v>
      </c>
      <c r="E231" s="1" t="s">
        <v>328</v>
      </c>
      <c r="F231" s="1" t="s">
        <v>205</v>
      </c>
      <c r="G231" s="1" t="s">
        <v>56</v>
      </c>
      <c r="H231" s="1" t="s">
        <v>69</v>
      </c>
      <c r="I231" s="1" t="s">
        <v>83</v>
      </c>
      <c r="J231" s="1" t="s">
        <v>131</v>
      </c>
      <c r="K231" s="1" t="s">
        <v>112</v>
      </c>
      <c r="L231" s="1" t="s">
        <v>49</v>
      </c>
      <c r="M231" s="1" t="s">
        <v>62</v>
      </c>
      <c r="N231" s="1" t="n">
        <v>8999</v>
      </c>
      <c r="O231" s="1" t="n">
        <v>10</v>
      </c>
      <c r="P231" s="1" t="n">
        <v>899.9</v>
      </c>
      <c r="Q231" s="1" t="n">
        <v>8099.1</v>
      </c>
      <c r="R231" s="1" t="n">
        <v>1457.84</v>
      </c>
      <c r="S231" s="1" t="n">
        <v>6641.26</v>
      </c>
      <c r="T231" s="1" t="n">
        <v>2135.63</v>
      </c>
      <c r="U231" s="1" t="n">
        <v>4505.63</v>
      </c>
      <c r="V231" s="1" t="n">
        <v>67.84</v>
      </c>
      <c r="W231" s="1" t="s">
        <v>39</v>
      </c>
      <c r="Y231" s="1" t="s">
        <v>40</v>
      </c>
      <c r="Z231" s="1" t="n">
        <v>1</v>
      </c>
    </row>
    <row r="232" customFormat="false" ht="15" hidden="false" customHeight="true" outlineLevel="0" collapsed="false">
      <c r="A232" s="1" t="s">
        <v>579</v>
      </c>
      <c r="B232" s="1" t="s">
        <v>580</v>
      </c>
      <c r="C232" s="1" t="s">
        <v>100</v>
      </c>
      <c r="D232" s="1" t="s">
        <v>143</v>
      </c>
      <c r="E232" s="1" t="s">
        <v>144</v>
      </c>
      <c r="F232" s="1" t="s">
        <v>244</v>
      </c>
      <c r="G232" s="1" t="s">
        <v>97</v>
      </c>
      <c r="H232" s="1" t="s">
        <v>57</v>
      </c>
      <c r="I232" s="1" t="s">
        <v>58</v>
      </c>
      <c r="J232" s="1" t="s">
        <v>131</v>
      </c>
      <c r="K232" s="1" t="s">
        <v>36</v>
      </c>
      <c r="L232" s="1" t="s">
        <v>113</v>
      </c>
      <c r="M232" s="1" t="s">
        <v>50</v>
      </c>
      <c r="N232" s="1" t="n">
        <v>12999</v>
      </c>
      <c r="O232" s="1" t="n">
        <v>0</v>
      </c>
      <c r="P232" s="1" t="n">
        <v>0</v>
      </c>
      <c r="Q232" s="1" t="n">
        <v>12999</v>
      </c>
      <c r="R232" s="1" t="n">
        <v>2339.82</v>
      </c>
      <c r="S232" s="1" t="n">
        <v>10659.18</v>
      </c>
      <c r="T232" s="1" t="n">
        <v>4954.58</v>
      </c>
      <c r="U232" s="1" t="n">
        <v>5704.6</v>
      </c>
      <c r="V232" s="1" t="n">
        <v>53.52</v>
      </c>
      <c r="W232" s="1" t="s">
        <v>39</v>
      </c>
      <c r="X232" s="1" t="n">
        <v>3.7</v>
      </c>
      <c r="Y232" s="1" t="s">
        <v>40</v>
      </c>
      <c r="Z232" s="1" t="n">
        <v>1</v>
      </c>
    </row>
    <row r="233" customFormat="false" ht="15" hidden="false" customHeight="true" outlineLevel="0" collapsed="false">
      <c r="A233" s="1" t="s">
        <v>581</v>
      </c>
      <c r="B233" s="1" t="s">
        <v>155</v>
      </c>
      <c r="C233" s="1" t="s">
        <v>178</v>
      </c>
      <c r="D233" s="1" t="s">
        <v>168</v>
      </c>
      <c r="E233" s="1" t="s">
        <v>172</v>
      </c>
      <c r="F233" s="1" t="s">
        <v>205</v>
      </c>
      <c r="G233" s="1" t="s">
        <v>56</v>
      </c>
      <c r="H233" s="1" t="s">
        <v>69</v>
      </c>
      <c r="I233" s="1" t="s">
        <v>83</v>
      </c>
      <c r="J233" s="1" t="s">
        <v>59</v>
      </c>
      <c r="K233" s="1" t="s">
        <v>60</v>
      </c>
      <c r="L233" s="1" t="s">
        <v>85</v>
      </c>
      <c r="M233" s="1" t="s">
        <v>38</v>
      </c>
      <c r="N233" s="1" t="n">
        <v>6999</v>
      </c>
      <c r="O233" s="1" t="n">
        <v>10</v>
      </c>
      <c r="P233" s="1" t="n">
        <v>699.9</v>
      </c>
      <c r="Q233" s="1" t="n">
        <v>6299.1</v>
      </c>
      <c r="R233" s="1" t="n">
        <v>1133.84</v>
      </c>
      <c r="S233" s="1" t="n">
        <v>5165.26</v>
      </c>
      <c r="T233" s="1" t="n">
        <v>2291.45</v>
      </c>
      <c r="U233" s="1" t="n">
        <v>2873.81</v>
      </c>
      <c r="V233" s="1" t="n">
        <v>55.64</v>
      </c>
      <c r="W233" s="1" t="s">
        <v>40</v>
      </c>
      <c r="Y233" s="1" t="s">
        <v>40</v>
      </c>
      <c r="Z233" s="1" t="n">
        <v>4</v>
      </c>
    </row>
    <row r="234" customFormat="false" ht="15" hidden="false" customHeight="true" outlineLevel="0" collapsed="false">
      <c r="A234" s="1" t="s">
        <v>582</v>
      </c>
      <c r="B234" s="1" t="s">
        <v>583</v>
      </c>
      <c r="C234" s="1" t="s">
        <v>249</v>
      </c>
      <c r="D234" s="1" t="s">
        <v>94</v>
      </c>
      <c r="E234" s="1" t="s">
        <v>101</v>
      </c>
      <c r="F234" s="1" t="s">
        <v>82</v>
      </c>
      <c r="G234" s="1" t="s">
        <v>56</v>
      </c>
      <c r="H234" s="1" t="s">
        <v>69</v>
      </c>
      <c r="I234" s="1" t="s">
        <v>83</v>
      </c>
      <c r="J234" s="1" t="s">
        <v>131</v>
      </c>
      <c r="K234" s="1" t="s">
        <v>60</v>
      </c>
      <c r="L234" s="1" t="s">
        <v>49</v>
      </c>
      <c r="M234" s="1" t="s">
        <v>38</v>
      </c>
      <c r="N234" s="1" t="n">
        <v>14999</v>
      </c>
      <c r="O234" s="1" t="n">
        <v>40</v>
      </c>
      <c r="P234" s="1" t="n">
        <v>5999.6</v>
      </c>
      <c r="Q234" s="1" t="n">
        <v>8999.4</v>
      </c>
      <c r="R234" s="1" t="n">
        <v>1619.89</v>
      </c>
      <c r="S234" s="1" t="n">
        <v>7379.51</v>
      </c>
      <c r="T234" s="1" t="n">
        <v>4357.26</v>
      </c>
      <c r="U234" s="1" t="n">
        <v>3022.25</v>
      </c>
      <c r="V234" s="1" t="n">
        <v>40.95</v>
      </c>
      <c r="W234" s="1" t="s">
        <v>39</v>
      </c>
      <c r="X234" s="1" t="n">
        <v>2.6</v>
      </c>
      <c r="Y234" s="1" t="s">
        <v>40</v>
      </c>
      <c r="Z234" s="1" t="n">
        <v>0</v>
      </c>
    </row>
    <row r="235" customFormat="false" ht="15" hidden="false" customHeight="true" outlineLevel="0" collapsed="false">
      <c r="A235" s="1" t="s">
        <v>584</v>
      </c>
      <c r="B235" s="1" t="s">
        <v>585</v>
      </c>
      <c r="C235" s="1" t="s">
        <v>100</v>
      </c>
      <c r="D235" s="1" t="s">
        <v>123</v>
      </c>
      <c r="E235" s="1" t="s">
        <v>233</v>
      </c>
      <c r="F235" s="1" t="s">
        <v>96</v>
      </c>
      <c r="G235" s="1" t="s">
        <v>97</v>
      </c>
      <c r="H235" s="1" t="s">
        <v>69</v>
      </c>
      <c r="I235" s="1" t="s">
        <v>83</v>
      </c>
      <c r="J235" s="1" t="s">
        <v>59</v>
      </c>
      <c r="K235" s="1" t="s">
        <v>104</v>
      </c>
      <c r="L235" s="1" t="s">
        <v>113</v>
      </c>
      <c r="M235" s="1" t="s">
        <v>50</v>
      </c>
      <c r="N235" s="1" t="n">
        <v>8999</v>
      </c>
      <c r="O235" s="1" t="n">
        <v>0</v>
      </c>
      <c r="P235" s="1" t="n">
        <v>0</v>
      </c>
      <c r="Q235" s="1" t="n">
        <v>8999</v>
      </c>
      <c r="R235" s="1" t="n">
        <v>1619.82</v>
      </c>
      <c r="S235" s="1" t="n">
        <v>7379.18</v>
      </c>
      <c r="T235" s="1" t="n">
        <v>3282.83</v>
      </c>
      <c r="U235" s="1" t="n">
        <v>4096.35</v>
      </c>
      <c r="V235" s="1" t="n">
        <v>55.51</v>
      </c>
      <c r="W235" s="1" t="s">
        <v>39</v>
      </c>
      <c r="X235" s="1" t="n">
        <v>3.4</v>
      </c>
      <c r="Y235" s="1" t="s">
        <v>40</v>
      </c>
      <c r="Z235" s="1" t="n">
        <v>0</v>
      </c>
    </row>
    <row r="236" customFormat="false" ht="15" hidden="false" customHeight="true" outlineLevel="0" collapsed="false">
      <c r="A236" s="1" t="s">
        <v>586</v>
      </c>
      <c r="B236" s="1" t="s">
        <v>587</v>
      </c>
      <c r="C236" s="1" t="s">
        <v>128</v>
      </c>
      <c r="D236" s="1" t="s">
        <v>29</v>
      </c>
      <c r="E236" s="1" t="s">
        <v>182</v>
      </c>
      <c r="F236" s="1" t="s">
        <v>125</v>
      </c>
      <c r="G236" s="1" t="s">
        <v>108</v>
      </c>
      <c r="H236" s="1" t="s">
        <v>69</v>
      </c>
      <c r="I236" s="1" t="s">
        <v>34</v>
      </c>
      <c r="J236" s="1" t="s">
        <v>35</v>
      </c>
      <c r="K236" s="1" t="s">
        <v>60</v>
      </c>
      <c r="L236" s="1" t="s">
        <v>37</v>
      </c>
      <c r="M236" s="1" t="s">
        <v>50</v>
      </c>
      <c r="N236" s="1" t="n">
        <v>34999</v>
      </c>
      <c r="O236" s="1" t="n">
        <v>30</v>
      </c>
      <c r="P236" s="1" t="n">
        <v>10499.7</v>
      </c>
      <c r="Q236" s="1" t="n">
        <v>24499.3</v>
      </c>
      <c r="R236" s="1" t="n">
        <v>4409.87</v>
      </c>
      <c r="S236" s="1" t="n">
        <v>20089.43</v>
      </c>
      <c r="T236" s="1" t="n">
        <v>6803.24</v>
      </c>
      <c r="U236" s="1" t="n">
        <v>13286.19</v>
      </c>
      <c r="V236" s="1" t="n">
        <v>66.14</v>
      </c>
      <c r="W236" s="1" t="s">
        <v>40</v>
      </c>
      <c r="Y236" s="1" t="s">
        <v>40</v>
      </c>
      <c r="Z236" s="1" t="n">
        <v>0</v>
      </c>
    </row>
    <row r="237" customFormat="false" ht="15" hidden="false" customHeight="true" outlineLevel="0" collapsed="false">
      <c r="A237" s="1" t="s">
        <v>588</v>
      </c>
      <c r="B237" s="1" t="s">
        <v>589</v>
      </c>
      <c r="C237" s="1" t="s">
        <v>28</v>
      </c>
      <c r="D237" s="1" t="s">
        <v>53</v>
      </c>
      <c r="E237" s="1" t="s">
        <v>116</v>
      </c>
      <c r="F237" s="1" t="s">
        <v>89</v>
      </c>
      <c r="G237" s="1" t="s">
        <v>68</v>
      </c>
      <c r="H237" s="1" t="s">
        <v>33</v>
      </c>
      <c r="I237" s="1" t="s">
        <v>58</v>
      </c>
      <c r="J237" s="1" t="s">
        <v>77</v>
      </c>
      <c r="K237" s="1" t="s">
        <v>60</v>
      </c>
      <c r="L237" s="1" t="s">
        <v>49</v>
      </c>
      <c r="M237" s="1" t="s">
        <v>50</v>
      </c>
      <c r="N237" s="1" t="n">
        <v>9999</v>
      </c>
      <c r="O237" s="1" t="n">
        <v>40</v>
      </c>
      <c r="P237" s="1" t="n">
        <v>3999.6</v>
      </c>
      <c r="Q237" s="1" t="n">
        <v>5999.4</v>
      </c>
      <c r="R237" s="1" t="n">
        <v>1079.89</v>
      </c>
      <c r="S237" s="1" t="n">
        <v>4919.51</v>
      </c>
      <c r="T237" s="1" t="n">
        <v>2741</v>
      </c>
      <c r="U237" s="1" t="n">
        <v>2178.51</v>
      </c>
      <c r="V237" s="1" t="n">
        <v>44.28</v>
      </c>
      <c r="W237" s="1" t="s">
        <v>40</v>
      </c>
      <c r="Y237" s="1" t="s">
        <v>40</v>
      </c>
      <c r="Z237" s="1" t="n">
        <v>0</v>
      </c>
    </row>
    <row r="238" customFormat="false" ht="15" hidden="false" customHeight="true" outlineLevel="0" collapsed="false">
      <c r="A238" s="1" t="s">
        <v>590</v>
      </c>
      <c r="B238" s="1" t="s">
        <v>591</v>
      </c>
      <c r="C238" s="1" t="s">
        <v>88</v>
      </c>
      <c r="D238" s="1" t="s">
        <v>44</v>
      </c>
      <c r="E238" s="1" t="s">
        <v>45</v>
      </c>
      <c r="F238" s="1" t="s">
        <v>184</v>
      </c>
      <c r="G238" s="1" t="s">
        <v>56</v>
      </c>
      <c r="H238" s="1" t="s">
        <v>57</v>
      </c>
      <c r="I238" s="1" t="s">
        <v>83</v>
      </c>
      <c r="J238" s="1" t="s">
        <v>35</v>
      </c>
      <c r="K238" s="1" t="s">
        <v>112</v>
      </c>
      <c r="L238" s="1" t="s">
        <v>49</v>
      </c>
      <c r="M238" s="1" t="s">
        <v>50</v>
      </c>
      <c r="N238" s="1" t="n">
        <v>11999</v>
      </c>
      <c r="O238" s="1" t="n">
        <v>30</v>
      </c>
      <c r="P238" s="1" t="n">
        <v>3599.7</v>
      </c>
      <c r="Q238" s="1" t="n">
        <v>8399.3</v>
      </c>
      <c r="R238" s="1" t="n">
        <v>1511.87</v>
      </c>
      <c r="S238" s="1" t="n">
        <v>6887.43</v>
      </c>
      <c r="T238" s="1" t="n">
        <v>3300</v>
      </c>
      <c r="U238" s="1" t="n">
        <v>3587.43</v>
      </c>
      <c r="V238" s="1" t="n">
        <v>52.09</v>
      </c>
      <c r="W238" s="1" t="s">
        <v>40</v>
      </c>
      <c r="Y238" s="1" t="s">
        <v>40</v>
      </c>
      <c r="Z238" s="1" t="n">
        <v>2</v>
      </c>
    </row>
    <row r="239" customFormat="false" ht="15" hidden="false" customHeight="true" outlineLevel="0" collapsed="false">
      <c r="A239" s="1" t="s">
        <v>592</v>
      </c>
      <c r="B239" s="1" t="s">
        <v>470</v>
      </c>
      <c r="C239" s="1" t="s">
        <v>119</v>
      </c>
      <c r="D239" s="1" t="s">
        <v>94</v>
      </c>
      <c r="E239" s="1" t="s">
        <v>135</v>
      </c>
      <c r="F239" s="1" t="s">
        <v>153</v>
      </c>
      <c r="G239" s="1" t="s">
        <v>76</v>
      </c>
      <c r="H239" s="1" t="s">
        <v>33</v>
      </c>
      <c r="I239" s="1" t="s">
        <v>83</v>
      </c>
      <c r="J239" s="1" t="s">
        <v>77</v>
      </c>
      <c r="K239" s="1" t="s">
        <v>60</v>
      </c>
      <c r="L239" s="1" t="s">
        <v>113</v>
      </c>
      <c r="M239" s="1" t="s">
        <v>38</v>
      </c>
      <c r="N239" s="1" t="n">
        <v>9999</v>
      </c>
      <c r="O239" s="1" t="n">
        <v>0</v>
      </c>
      <c r="P239" s="1" t="n">
        <v>0</v>
      </c>
      <c r="Q239" s="1" t="n">
        <v>9999</v>
      </c>
      <c r="R239" s="1" t="n">
        <v>1799.82</v>
      </c>
      <c r="S239" s="1" t="n">
        <v>8199.18</v>
      </c>
      <c r="T239" s="1" t="n">
        <v>3406.51</v>
      </c>
      <c r="U239" s="1" t="n">
        <v>4792.67</v>
      </c>
      <c r="V239" s="1" t="n">
        <v>58.45</v>
      </c>
      <c r="W239" s="1" t="s">
        <v>40</v>
      </c>
      <c r="Y239" s="1" t="s">
        <v>40</v>
      </c>
      <c r="Z239" s="1" t="n">
        <v>1</v>
      </c>
    </row>
    <row r="240" customFormat="false" ht="15" hidden="false" customHeight="true" outlineLevel="0" collapsed="false">
      <c r="A240" s="1" t="s">
        <v>593</v>
      </c>
      <c r="B240" s="1" t="s">
        <v>594</v>
      </c>
      <c r="C240" s="1" t="s">
        <v>178</v>
      </c>
      <c r="D240" s="1" t="s">
        <v>168</v>
      </c>
      <c r="E240" s="1" t="s">
        <v>328</v>
      </c>
      <c r="F240" s="1" t="s">
        <v>102</v>
      </c>
      <c r="G240" s="1" t="s">
        <v>103</v>
      </c>
      <c r="H240" s="1" t="s">
        <v>33</v>
      </c>
      <c r="I240" s="1" t="s">
        <v>58</v>
      </c>
      <c r="J240" s="1" t="s">
        <v>70</v>
      </c>
      <c r="K240" s="1" t="s">
        <v>36</v>
      </c>
      <c r="L240" s="1" t="s">
        <v>49</v>
      </c>
      <c r="M240" s="1" t="s">
        <v>38</v>
      </c>
      <c r="N240" s="1" t="n">
        <v>8999</v>
      </c>
      <c r="O240" s="1" t="n">
        <v>0</v>
      </c>
      <c r="P240" s="1" t="n">
        <v>0</v>
      </c>
      <c r="Q240" s="1" t="n">
        <v>8999</v>
      </c>
      <c r="R240" s="1" t="n">
        <v>1619.82</v>
      </c>
      <c r="S240" s="1" t="n">
        <v>7379.18</v>
      </c>
      <c r="T240" s="1" t="n">
        <v>3746.23</v>
      </c>
      <c r="U240" s="1" t="n">
        <v>3632.95</v>
      </c>
      <c r="V240" s="1" t="n">
        <v>49.23</v>
      </c>
      <c r="W240" s="1" t="s">
        <v>39</v>
      </c>
      <c r="X240" s="1" t="n">
        <v>3.9</v>
      </c>
      <c r="Y240" s="1" t="s">
        <v>40</v>
      </c>
      <c r="Z240" s="1" t="n">
        <v>1</v>
      </c>
    </row>
    <row r="241" customFormat="false" ht="15" hidden="false" customHeight="true" outlineLevel="0" collapsed="false">
      <c r="A241" s="1" t="s">
        <v>595</v>
      </c>
      <c r="B241" s="1" t="s">
        <v>596</v>
      </c>
      <c r="C241" s="1" t="s">
        <v>139</v>
      </c>
      <c r="D241" s="1" t="s">
        <v>44</v>
      </c>
      <c r="E241" s="1" t="s">
        <v>66</v>
      </c>
      <c r="F241" s="1" t="s">
        <v>120</v>
      </c>
      <c r="G241" s="1" t="s">
        <v>47</v>
      </c>
      <c r="H241" s="1" t="s">
        <v>57</v>
      </c>
      <c r="I241" s="1" t="s">
        <v>83</v>
      </c>
      <c r="J241" s="1" t="s">
        <v>77</v>
      </c>
      <c r="K241" s="1" t="s">
        <v>60</v>
      </c>
      <c r="L241" s="1" t="s">
        <v>85</v>
      </c>
      <c r="M241" s="1" t="s">
        <v>50</v>
      </c>
      <c r="N241" s="1" t="n">
        <v>12999</v>
      </c>
      <c r="O241" s="1" t="n">
        <v>10</v>
      </c>
      <c r="P241" s="1" t="n">
        <v>1299.9</v>
      </c>
      <c r="Q241" s="1" t="n">
        <v>11699.1</v>
      </c>
      <c r="R241" s="1" t="n">
        <v>2105.84</v>
      </c>
      <c r="S241" s="1" t="n">
        <v>9593.26</v>
      </c>
      <c r="T241" s="1" t="n">
        <v>4792.44</v>
      </c>
      <c r="U241" s="1" t="n">
        <v>4800.82</v>
      </c>
      <c r="V241" s="1" t="n">
        <v>50.04</v>
      </c>
      <c r="W241" s="1" t="s">
        <v>39</v>
      </c>
      <c r="X241" s="1" t="n">
        <v>3.2</v>
      </c>
      <c r="Y241" s="1" t="s">
        <v>40</v>
      </c>
      <c r="Z241" s="1" t="n">
        <v>0</v>
      </c>
    </row>
    <row r="242" customFormat="false" ht="15" hidden="false" customHeight="true" outlineLevel="0" collapsed="false">
      <c r="A242" s="1" t="s">
        <v>597</v>
      </c>
      <c r="B242" s="1" t="s">
        <v>598</v>
      </c>
      <c r="C242" s="1" t="s">
        <v>139</v>
      </c>
      <c r="D242" s="1" t="s">
        <v>53</v>
      </c>
      <c r="E242" s="1" t="s">
        <v>216</v>
      </c>
      <c r="F242" s="1" t="s">
        <v>82</v>
      </c>
      <c r="G242" s="1" t="s">
        <v>56</v>
      </c>
      <c r="H242" s="1" t="s">
        <v>69</v>
      </c>
      <c r="I242" s="1" t="s">
        <v>58</v>
      </c>
      <c r="J242" s="1" t="s">
        <v>35</v>
      </c>
      <c r="K242" s="1" t="s">
        <v>48</v>
      </c>
      <c r="L242" s="1" t="s">
        <v>85</v>
      </c>
      <c r="M242" s="1" t="s">
        <v>62</v>
      </c>
      <c r="N242" s="1" t="n">
        <v>7499</v>
      </c>
      <c r="O242" s="1" t="n">
        <v>40</v>
      </c>
      <c r="P242" s="1" t="n">
        <v>2999.6</v>
      </c>
      <c r="Q242" s="1" t="n">
        <v>4499.4</v>
      </c>
      <c r="R242" s="1" t="n">
        <v>809.89</v>
      </c>
      <c r="S242" s="1" t="n">
        <v>3689.51</v>
      </c>
      <c r="T242" s="1" t="n">
        <v>2095.17</v>
      </c>
      <c r="U242" s="1" t="n">
        <v>1594.34</v>
      </c>
      <c r="V242" s="1" t="n">
        <v>43.21</v>
      </c>
      <c r="W242" s="1" t="s">
        <v>40</v>
      </c>
      <c r="Y242" s="1" t="s">
        <v>40</v>
      </c>
      <c r="Z242" s="1" t="n">
        <v>1</v>
      </c>
    </row>
    <row r="243" customFormat="false" ht="15" hidden="false" customHeight="true" outlineLevel="0" collapsed="false">
      <c r="A243" s="1" t="s">
        <v>599</v>
      </c>
      <c r="B243" s="1" t="s">
        <v>42</v>
      </c>
      <c r="C243" s="1" t="s">
        <v>93</v>
      </c>
      <c r="D243" s="1" t="s">
        <v>44</v>
      </c>
      <c r="E243" s="1" t="s">
        <v>66</v>
      </c>
      <c r="F243" s="1" t="s">
        <v>75</v>
      </c>
      <c r="G243" s="1" t="s">
        <v>76</v>
      </c>
      <c r="H243" s="1" t="s">
        <v>69</v>
      </c>
      <c r="I243" s="1" t="s">
        <v>58</v>
      </c>
      <c r="J243" s="1" t="s">
        <v>77</v>
      </c>
      <c r="K243" s="1" t="s">
        <v>84</v>
      </c>
      <c r="L243" s="1" t="s">
        <v>113</v>
      </c>
      <c r="M243" s="1" t="s">
        <v>50</v>
      </c>
      <c r="N243" s="1" t="n">
        <v>12999</v>
      </c>
      <c r="O243" s="1" t="n">
        <v>15</v>
      </c>
      <c r="P243" s="1" t="n">
        <v>1949.85</v>
      </c>
      <c r="Q243" s="1" t="n">
        <v>11049.15</v>
      </c>
      <c r="R243" s="1" t="n">
        <v>1988.85</v>
      </c>
      <c r="S243" s="1" t="n">
        <v>9060.3</v>
      </c>
      <c r="T243" s="1" t="n">
        <v>4162.48</v>
      </c>
      <c r="U243" s="1" t="n">
        <v>4897.82</v>
      </c>
      <c r="V243" s="1" t="n">
        <v>54.06</v>
      </c>
      <c r="W243" s="1" t="s">
        <v>39</v>
      </c>
      <c r="X243" s="1" t="n">
        <v>3.9</v>
      </c>
      <c r="Y243" s="1" t="s">
        <v>40</v>
      </c>
      <c r="Z243" s="1" t="n">
        <v>0</v>
      </c>
    </row>
    <row r="244" customFormat="false" ht="15" hidden="false" customHeight="true" outlineLevel="0" collapsed="false">
      <c r="A244" s="1" t="s">
        <v>600</v>
      </c>
      <c r="B244" s="1" t="s">
        <v>601</v>
      </c>
      <c r="C244" s="1" t="s">
        <v>65</v>
      </c>
      <c r="D244" s="1" t="s">
        <v>143</v>
      </c>
      <c r="E244" s="1" t="s">
        <v>243</v>
      </c>
      <c r="F244" s="1" t="s">
        <v>602</v>
      </c>
      <c r="G244" s="1" t="s">
        <v>32</v>
      </c>
      <c r="H244" s="1" t="s">
        <v>33</v>
      </c>
      <c r="I244" s="1" t="s">
        <v>58</v>
      </c>
      <c r="J244" s="1" t="s">
        <v>131</v>
      </c>
      <c r="K244" s="1" t="s">
        <v>84</v>
      </c>
      <c r="L244" s="1" t="s">
        <v>61</v>
      </c>
      <c r="M244" s="1" t="s">
        <v>50</v>
      </c>
      <c r="N244" s="1" t="n">
        <v>22999</v>
      </c>
      <c r="O244" s="1" t="n">
        <v>20</v>
      </c>
      <c r="P244" s="1" t="n">
        <v>4599.8</v>
      </c>
      <c r="Q244" s="1" t="n">
        <v>18399.2</v>
      </c>
      <c r="R244" s="1" t="n">
        <v>3311.86</v>
      </c>
      <c r="S244" s="1" t="n">
        <v>15087.34</v>
      </c>
      <c r="T244" s="1" t="n">
        <v>7324.74</v>
      </c>
      <c r="U244" s="1" t="n">
        <v>7762.6</v>
      </c>
      <c r="V244" s="1" t="n">
        <v>51.45</v>
      </c>
      <c r="W244" s="1" t="s">
        <v>39</v>
      </c>
      <c r="X244" s="1" t="n">
        <v>3.9</v>
      </c>
      <c r="Y244" s="1" t="s">
        <v>40</v>
      </c>
      <c r="Z244" s="1" t="n">
        <v>0</v>
      </c>
    </row>
    <row r="245" customFormat="false" ht="15" hidden="false" customHeight="true" outlineLevel="0" collapsed="false">
      <c r="A245" s="1" t="s">
        <v>603</v>
      </c>
      <c r="B245" s="1" t="s">
        <v>203</v>
      </c>
      <c r="C245" s="1" t="s">
        <v>93</v>
      </c>
      <c r="D245" s="1" t="s">
        <v>29</v>
      </c>
      <c r="E245" s="1" t="s">
        <v>305</v>
      </c>
      <c r="F245" s="1" t="s">
        <v>604</v>
      </c>
      <c r="G245" s="1" t="s">
        <v>56</v>
      </c>
      <c r="H245" s="1" t="s">
        <v>57</v>
      </c>
      <c r="I245" s="1" t="s">
        <v>58</v>
      </c>
      <c r="J245" s="1" t="s">
        <v>59</v>
      </c>
      <c r="K245" s="1" t="s">
        <v>84</v>
      </c>
      <c r="L245" s="1" t="s">
        <v>136</v>
      </c>
      <c r="M245" s="1" t="s">
        <v>50</v>
      </c>
      <c r="N245" s="1" t="n">
        <v>24999</v>
      </c>
      <c r="O245" s="1" t="n">
        <v>0</v>
      </c>
      <c r="P245" s="1" t="n">
        <v>0</v>
      </c>
      <c r="Q245" s="1" t="n">
        <v>24999</v>
      </c>
      <c r="R245" s="1" t="n">
        <v>4499.82</v>
      </c>
      <c r="S245" s="1" t="n">
        <v>20499.18</v>
      </c>
      <c r="T245" s="1" t="n">
        <v>8108.46</v>
      </c>
      <c r="U245" s="1" t="n">
        <v>12390.72</v>
      </c>
      <c r="V245" s="1" t="n">
        <v>60.44</v>
      </c>
      <c r="W245" s="1" t="s">
        <v>39</v>
      </c>
      <c r="Y245" s="1" t="s">
        <v>39</v>
      </c>
      <c r="Z245" s="1" t="n">
        <v>0</v>
      </c>
    </row>
    <row r="246" customFormat="false" ht="15" hidden="false" customHeight="true" outlineLevel="0" collapsed="false">
      <c r="A246" s="1" t="s">
        <v>605</v>
      </c>
      <c r="B246" s="1" t="s">
        <v>606</v>
      </c>
      <c r="C246" s="1" t="s">
        <v>139</v>
      </c>
      <c r="D246" s="1" t="s">
        <v>168</v>
      </c>
      <c r="E246" s="1" t="s">
        <v>172</v>
      </c>
      <c r="F246" s="1" t="s">
        <v>153</v>
      </c>
      <c r="G246" s="1" t="s">
        <v>76</v>
      </c>
      <c r="H246" s="1" t="s">
        <v>33</v>
      </c>
      <c r="I246" s="1" t="s">
        <v>58</v>
      </c>
      <c r="J246" s="1" t="s">
        <v>77</v>
      </c>
      <c r="K246" s="1" t="s">
        <v>84</v>
      </c>
      <c r="L246" s="1" t="s">
        <v>85</v>
      </c>
      <c r="M246" s="1" t="s">
        <v>38</v>
      </c>
      <c r="N246" s="1" t="n">
        <v>6999</v>
      </c>
      <c r="O246" s="1" t="n">
        <v>10</v>
      </c>
      <c r="P246" s="1" t="n">
        <v>699.9</v>
      </c>
      <c r="Q246" s="1" t="n">
        <v>6299.1</v>
      </c>
      <c r="R246" s="1" t="n">
        <v>1133.84</v>
      </c>
      <c r="S246" s="1" t="n">
        <v>5165.26</v>
      </c>
      <c r="T246" s="1" t="n">
        <v>2090.15</v>
      </c>
      <c r="U246" s="1" t="n">
        <v>3075.11</v>
      </c>
      <c r="V246" s="1" t="n">
        <v>59.53</v>
      </c>
      <c r="W246" s="1" t="s">
        <v>40</v>
      </c>
      <c r="Y246" s="1" t="s">
        <v>39</v>
      </c>
      <c r="Z246" s="1" t="n">
        <v>0</v>
      </c>
    </row>
    <row r="247" customFormat="false" ht="15" hidden="false" customHeight="true" outlineLevel="0" collapsed="false">
      <c r="A247" s="1" t="s">
        <v>607</v>
      </c>
      <c r="B247" s="1" t="s">
        <v>608</v>
      </c>
      <c r="C247" s="1" t="s">
        <v>128</v>
      </c>
      <c r="D247" s="1" t="s">
        <v>143</v>
      </c>
      <c r="E247" s="1" t="s">
        <v>159</v>
      </c>
      <c r="F247" s="1" t="s">
        <v>102</v>
      </c>
      <c r="G247" s="1" t="s">
        <v>103</v>
      </c>
      <c r="H247" s="1" t="s">
        <v>33</v>
      </c>
      <c r="I247" s="1" t="s">
        <v>83</v>
      </c>
      <c r="J247" s="1" t="s">
        <v>77</v>
      </c>
      <c r="K247" s="1" t="s">
        <v>36</v>
      </c>
      <c r="L247" s="1" t="s">
        <v>49</v>
      </c>
      <c r="M247" s="1" t="s">
        <v>38</v>
      </c>
      <c r="N247" s="1" t="n">
        <v>24999</v>
      </c>
      <c r="O247" s="1" t="n">
        <v>0</v>
      </c>
      <c r="P247" s="1" t="n">
        <v>0</v>
      </c>
      <c r="Q247" s="1" t="n">
        <v>24999</v>
      </c>
      <c r="R247" s="1" t="n">
        <v>4499.82</v>
      </c>
      <c r="S247" s="1" t="n">
        <v>20499.18</v>
      </c>
      <c r="T247" s="1" t="n">
        <v>11038.59</v>
      </c>
      <c r="U247" s="1" t="n">
        <v>9460.59</v>
      </c>
      <c r="V247" s="1" t="n">
        <v>46.15</v>
      </c>
      <c r="W247" s="1" t="s">
        <v>40</v>
      </c>
      <c r="Y247" s="1" t="s">
        <v>40</v>
      </c>
      <c r="Z247" s="1" t="n">
        <v>1</v>
      </c>
    </row>
    <row r="248" customFormat="false" ht="15" hidden="false" customHeight="true" outlineLevel="0" collapsed="false">
      <c r="A248" s="1" t="s">
        <v>609</v>
      </c>
      <c r="B248" s="1" t="s">
        <v>610</v>
      </c>
      <c r="C248" s="1" t="s">
        <v>134</v>
      </c>
      <c r="D248" s="1" t="s">
        <v>44</v>
      </c>
      <c r="E248" s="1" t="s">
        <v>221</v>
      </c>
      <c r="F248" s="1" t="s">
        <v>55</v>
      </c>
      <c r="G248" s="1" t="s">
        <v>56</v>
      </c>
      <c r="H248" s="1" t="s">
        <v>57</v>
      </c>
      <c r="I248" s="1" t="s">
        <v>83</v>
      </c>
      <c r="J248" s="1" t="s">
        <v>59</v>
      </c>
      <c r="K248" s="1" t="s">
        <v>60</v>
      </c>
      <c r="L248" s="1" t="s">
        <v>49</v>
      </c>
      <c r="M248" s="1" t="s">
        <v>38</v>
      </c>
      <c r="N248" s="1" t="n">
        <v>16999</v>
      </c>
      <c r="O248" s="1" t="n">
        <v>0</v>
      </c>
      <c r="P248" s="1" t="n">
        <v>0</v>
      </c>
      <c r="Q248" s="1" t="n">
        <v>16999</v>
      </c>
      <c r="R248" s="1" t="n">
        <v>3059.82</v>
      </c>
      <c r="S248" s="1" t="n">
        <v>13939.18</v>
      </c>
      <c r="T248" s="1" t="n">
        <v>5484.68</v>
      </c>
      <c r="U248" s="1" t="n">
        <v>8454.5</v>
      </c>
      <c r="V248" s="1" t="n">
        <v>60.65</v>
      </c>
      <c r="W248" s="1" t="s">
        <v>39</v>
      </c>
      <c r="X248" s="1" t="n">
        <v>4</v>
      </c>
      <c r="Y248" s="1" t="s">
        <v>40</v>
      </c>
      <c r="Z248" s="1" t="n">
        <v>0</v>
      </c>
    </row>
    <row r="249" customFormat="false" ht="15" hidden="false" customHeight="true" outlineLevel="0" collapsed="false">
      <c r="A249" s="1" t="s">
        <v>611</v>
      </c>
      <c r="B249" s="1" t="s">
        <v>281</v>
      </c>
      <c r="C249" s="1" t="s">
        <v>28</v>
      </c>
      <c r="D249" s="1" t="s">
        <v>53</v>
      </c>
      <c r="E249" s="1" t="s">
        <v>216</v>
      </c>
      <c r="F249" s="1" t="s">
        <v>150</v>
      </c>
      <c r="G249" s="1" t="s">
        <v>32</v>
      </c>
      <c r="H249" s="1" t="s">
        <v>57</v>
      </c>
      <c r="I249" s="1" t="s">
        <v>83</v>
      </c>
      <c r="J249" s="1" t="s">
        <v>35</v>
      </c>
      <c r="K249" s="1" t="s">
        <v>48</v>
      </c>
      <c r="L249" s="1" t="s">
        <v>85</v>
      </c>
      <c r="M249" s="1" t="s">
        <v>50</v>
      </c>
      <c r="N249" s="1" t="n">
        <v>7499</v>
      </c>
      <c r="O249" s="1" t="n">
        <v>50</v>
      </c>
      <c r="P249" s="1" t="n">
        <v>3749.5</v>
      </c>
      <c r="Q249" s="1" t="n">
        <v>3749.5</v>
      </c>
      <c r="R249" s="1" t="n">
        <v>674.91</v>
      </c>
      <c r="S249" s="1" t="n">
        <v>3074.59</v>
      </c>
      <c r="T249" s="1" t="n">
        <v>1616.76</v>
      </c>
      <c r="U249" s="1" t="n">
        <v>1457.83</v>
      </c>
      <c r="V249" s="1" t="n">
        <v>47.42</v>
      </c>
      <c r="W249" s="1" t="s">
        <v>39</v>
      </c>
      <c r="X249" s="1" t="n">
        <v>4.5</v>
      </c>
      <c r="Y249" s="1" t="s">
        <v>40</v>
      </c>
      <c r="Z249" s="1" t="n">
        <v>0</v>
      </c>
    </row>
    <row r="250" customFormat="false" ht="15" hidden="false" customHeight="true" outlineLevel="0" collapsed="false">
      <c r="A250" s="1" t="s">
        <v>612</v>
      </c>
      <c r="B250" s="1" t="s">
        <v>311</v>
      </c>
      <c r="C250" s="1" t="s">
        <v>100</v>
      </c>
      <c r="D250" s="1" t="s">
        <v>94</v>
      </c>
      <c r="E250" s="1" t="s">
        <v>101</v>
      </c>
      <c r="F250" s="1" t="s">
        <v>244</v>
      </c>
      <c r="G250" s="1" t="s">
        <v>97</v>
      </c>
      <c r="H250" s="1" t="s">
        <v>57</v>
      </c>
      <c r="I250" s="1" t="s">
        <v>34</v>
      </c>
      <c r="J250" s="1" t="s">
        <v>77</v>
      </c>
      <c r="K250" s="1" t="s">
        <v>60</v>
      </c>
      <c r="L250" s="1" t="s">
        <v>61</v>
      </c>
      <c r="M250" s="1" t="s">
        <v>50</v>
      </c>
      <c r="N250" s="1" t="n">
        <v>14999</v>
      </c>
      <c r="O250" s="1" t="n">
        <v>20</v>
      </c>
      <c r="P250" s="1" t="n">
        <v>2999.8</v>
      </c>
      <c r="Q250" s="1" t="n">
        <v>11999.2</v>
      </c>
      <c r="R250" s="1" t="n">
        <v>2159.86</v>
      </c>
      <c r="S250" s="1" t="n">
        <v>9839.34</v>
      </c>
      <c r="T250" s="1" t="n">
        <v>3910.54</v>
      </c>
      <c r="U250" s="1" t="n">
        <v>5928.8</v>
      </c>
      <c r="V250" s="1" t="n">
        <v>60.26</v>
      </c>
      <c r="W250" s="1" t="s">
        <v>39</v>
      </c>
      <c r="X250" s="1" t="n">
        <v>3.6</v>
      </c>
      <c r="Y250" s="1" t="s">
        <v>39</v>
      </c>
      <c r="Z250" s="1" t="n">
        <v>1</v>
      </c>
    </row>
    <row r="251" customFormat="false" ht="15" hidden="false" customHeight="true" outlineLevel="0" collapsed="false">
      <c r="A251" s="1" t="s">
        <v>613</v>
      </c>
      <c r="B251" s="1" t="s">
        <v>614</v>
      </c>
      <c r="C251" s="1" t="s">
        <v>74</v>
      </c>
      <c r="D251" s="1" t="s">
        <v>29</v>
      </c>
      <c r="E251" s="1" t="s">
        <v>305</v>
      </c>
      <c r="F251" s="1" t="s">
        <v>156</v>
      </c>
      <c r="G251" s="1" t="s">
        <v>68</v>
      </c>
      <c r="H251" s="1" t="s">
        <v>57</v>
      </c>
      <c r="I251" s="1" t="s">
        <v>58</v>
      </c>
      <c r="J251" s="1" t="s">
        <v>70</v>
      </c>
      <c r="K251" s="1" t="s">
        <v>112</v>
      </c>
      <c r="L251" s="1" t="s">
        <v>136</v>
      </c>
      <c r="M251" s="1" t="s">
        <v>62</v>
      </c>
      <c r="N251" s="1" t="n">
        <v>24999</v>
      </c>
      <c r="O251" s="1" t="n">
        <v>5</v>
      </c>
      <c r="P251" s="1" t="n">
        <v>1249.95</v>
      </c>
      <c r="Q251" s="1" t="n">
        <v>23749.05</v>
      </c>
      <c r="R251" s="1" t="n">
        <v>4274.83</v>
      </c>
      <c r="S251" s="1" t="n">
        <v>19474.22</v>
      </c>
      <c r="T251" s="1" t="n">
        <v>8208.91</v>
      </c>
      <c r="U251" s="1" t="n">
        <v>11265.31</v>
      </c>
      <c r="V251" s="1" t="n">
        <v>57.85</v>
      </c>
      <c r="W251" s="1" t="s">
        <v>40</v>
      </c>
      <c r="Y251" s="1" t="s">
        <v>40</v>
      </c>
      <c r="Z251" s="1" t="n">
        <v>3</v>
      </c>
    </row>
    <row r="252" customFormat="false" ht="15" hidden="false" customHeight="true" outlineLevel="0" collapsed="false">
      <c r="A252" s="1" t="s">
        <v>615</v>
      </c>
      <c r="B252" s="1" t="s">
        <v>616</v>
      </c>
      <c r="C252" s="1" t="s">
        <v>139</v>
      </c>
      <c r="D252" s="1" t="s">
        <v>80</v>
      </c>
      <c r="E252" s="1" t="s">
        <v>190</v>
      </c>
      <c r="F252" s="1" t="s">
        <v>150</v>
      </c>
      <c r="G252" s="1" t="s">
        <v>32</v>
      </c>
      <c r="H252" s="1" t="s">
        <v>57</v>
      </c>
      <c r="I252" s="1" t="s">
        <v>34</v>
      </c>
      <c r="J252" s="1" t="s">
        <v>77</v>
      </c>
      <c r="K252" s="1" t="s">
        <v>60</v>
      </c>
      <c r="L252" s="1" t="s">
        <v>136</v>
      </c>
      <c r="M252" s="1" t="s">
        <v>38</v>
      </c>
      <c r="N252" s="1" t="n">
        <v>15999</v>
      </c>
      <c r="O252" s="1" t="n">
        <v>25</v>
      </c>
      <c r="P252" s="1" t="n">
        <v>3999.75</v>
      </c>
      <c r="Q252" s="1" t="n">
        <v>11999.25</v>
      </c>
      <c r="R252" s="1" t="n">
        <v>2159.86</v>
      </c>
      <c r="S252" s="1" t="n">
        <v>9839.39</v>
      </c>
      <c r="T252" s="1" t="n">
        <v>4470.62</v>
      </c>
      <c r="U252" s="1" t="n">
        <v>5368.77</v>
      </c>
      <c r="V252" s="1" t="n">
        <v>54.56</v>
      </c>
      <c r="W252" s="1" t="s">
        <v>39</v>
      </c>
      <c r="X252" s="1" t="n">
        <v>3.6</v>
      </c>
      <c r="Y252" s="1" t="s">
        <v>40</v>
      </c>
      <c r="Z252" s="1" t="n">
        <v>0</v>
      </c>
    </row>
    <row r="253" customFormat="false" ht="15" hidden="false" customHeight="true" outlineLevel="0" collapsed="false">
      <c r="A253" s="1" t="s">
        <v>617</v>
      </c>
      <c r="B253" s="1" t="s">
        <v>618</v>
      </c>
      <c r="C253" s="1" t="s">
        <v>178</v>
      </c>
      <c r="D253" s="1" t="s">
        <v>168</v>
      </c>
      <c r="E253" s="1" t="s">
        <v>197</v>
      </c>
      <c r="F253" s="1" t="s">
        <v>67</v>
      </c>
      <c r="G253" s="1" t="s">
        <v>68</v>
      </c>
      <c r="H253" s="1" t="s">
        <v>69</v>
      </c>
      <c r="I253" s="1" t="s">
        <v>83</v>
      </c>
      <c r="J253" s="1" t="s">
        <v>77</v>
      </c>
      <c r="K253" s="1" t="s">
        <v>112</v>
      </c>
      <c r="L253" s="1" t="s">
        <v>113</v>
      </c>
      <c r="M253" s="1" t="s">
        <v>38</v>
      </c>
      <c r="N253" s="1" t="n">
        <v>8499</v>
      </c>
      <c r="O253" s="1" t="n">
        <v>15</v>
      </c>
      <c r="P253" s="1" t="n">
        <v>1274.85</v>
      </c>
      <c r="Q253" s="1" t="n">
        <v>7224.15</v>
      </c>
      <c r="R253" s="1" t="n">
        <v>1300.35</v>
      </c>
      <c r="S253" s="1" t="n">
        <v>5923.8</v>
      </c>
      <c r="T253" s="1" t="n">
        <v>2086.23</v>
      </c>
      <c r="U253" s="1" t="n">
        <v>3837.57</v>
      </c>
      <c r="V253" s="1" t="n">
        <v>64.78</v>
      </c>
      <c r="W253" s="1" t="s">
        <v>39</v>
      </c>
      <c r="Y253" s="1" t="s">
        <v>40</v>
      </c>
      <c r="Z253" s="1" t="n">
        <v>0</v>
      </c>
    </row>
    <row r="254" customFormat="false" ht="15" hidden="false" customHeight="true" outlineLevel="0" collapsed="false">
      <c r="A254" s="1" t="s">
        <v>619</v>
      </c>
      <c r="B254" s="1" t="s">
        <v>620</v>
      </c>
      <c r="C254" s="1" t="s">
        <v>264</v>
      </c>
      <c r="D254" s="1" t="s">
        <v>53</v>
      </c>
      <c r="E254" s="1" t="s">
        <v>216</v>
      </c>
      <c r="F254" s="1" t="s">
        <v>153</v>
      </c>
      <c r="G254" s="1" t="s">
        <v>76</v>
      </c>
      <c r="H254" s="1" t="s">
        <v>33</v>
      </c>
      <c r="I254" s="1" t="s">
        <v>83</v>
      </c>
      <c r="J254" s="1" t="s">
        <v>35</v>
      </c>
      <c r="K254" s="1" t="s">
        <v>48</v>
      </c>
      <c r="L254" s="1" t="s">
        <v>136</v>
      </c>
      <c r="M254" s="1" t="s">
        <v>38</v>
      </c>
      <c r="N254" s="1" t="n">
        <v>7499</v>
      </c>
      <c r="O254" s="1" t="n">
        <v>0</v>
      </c>
      <c r="P254" s="1" t="n">
        <v>0</v>
      </c>
      <c r="Q254" s="1" t="n">
        <v>7499</v>
      </c>
      <c r="R254" s="1" t="n">
        <v>1349.82</v>
      </c>
      <c r="S254" s="1" t="n">
        <v>6149.18</v>
      </c>
      <c r="T254" s="1" t="n">
        <v>2035.86</v>
      </c>
      <c r="U254" s="1" t="n">
        <v>4113.32</v>
      </c>
      <c r="V254" s="1" t="n">
        <v>66.89</v>
      </c>
      <c r="W254" s="1" t="s">
        <v>40</v>
      </c>
      <c r="Y254" s="1" t="s">
        <v>40</v>
      </c>
      <c r="Z254" s="1" t="n">
        <v>0</v>
      </c>
    </row>
    <row r="255" customFormat="false" ht="15" hidden="false" customHeight="true" outlineLevel="0" collapsed="false">
      <c r="A255" s="1" t="s">
        <v>621</v>
      </c>
      <c r="B255" s="1" t="s">
        <v>622</v>
      </c>
      <c r="C255" s="1" t="s">
        <v>28</v>
      </c>
      <c r="D255" s="1" t="s">
        <v>143</v>
      </c>
      <c r="E255" s="1" t="s">
        <v>144</v>
      </c>
      <c r="F255" s="1" t="s">
        <v>184</v>
      </c>
      <c r="G255" s="1" t="s">
        <v>56</v>
      </c>
      <c r="H255" s="1" t="s">
        <v>57</v>
      </c>
      <c r="I255" s="1" t="s">
        <v>34</v>
      </c>
      <c r="J255" s="1" t="s">
        <v>59</v>
      </c>
      <c r="K255" s="1" t="s">
        <v>112</v>
      </c>
      <c r="L255" s="1" t="s">
        <v>61</v>
      </c>
      <c r="M255" s="1" t="s">
        <v>50</v>
      </c>
      <c r="N255" s="1" t="n">
        <v>12999</v>
      </c>
      <c r="O255" s="1" t="n">
        <v>0</v>
      </c>
      <c r="P255" s="1" t="n">
        <v>0</v>
      </c>
      <c r="Q255" s="1" t="n">
        <v>12999</v>
      </c>
      <c r="R255" s="1" t="n">
        <v>2339.82</v>
      </c>
      <c r="S255" s="1" t="n">
        <v>10659.18</v>
      </c>
      <c r="T255" s="1" t="n">
        <v>4866.99</v>
      </c>
      <c r="U255" s="1" t="n">
        <v>5792.19</v>
      </c>
      <c r="V255" s="1" t="n">
        <v>54.34</v>
      </c>
      <c r="W255" s="1" t="s">
        <v>39</v>
      </c>
      <c r="X255" s="1" t="n">
        <v>3.4</v>
      </c>
      <c r="Y255" s="1" t="s">
        <v>40</v>
      </c>
      <c r="Z255" s="1" t="n">
        <v>0</v>
      </c>
    </row>
    <row r="256" customFormat="false" ht="15" hidden="false" customHeight="true" outlineLevel="0" collapsed="false">
      <c r="A256" s="1" t="s">
        <v>623</v>
      </c>
      <c r="B256" s="1" t="s">
        <v>587</v>
      </c>
      <c r="C256" s="1" t="s">
        <v>167</v>
      </c>
      <c r="D256" s="1" t="s">
        <v>44</v>
      </c>
      <c r="E256" s="1" t="s">
        <v>221</v>
      </c>
      <c r="F256" s="1" t="s">
        <v>55</v>
      </c>
      <c r="G256" s="1" t="s">
        <v>56</v>
      </c>
      <c r="H256" s="1" t="s">
        <v>57</v>
      </c>
      <c r="I256" s="1" t="s">
        <v>83</v>
      </c>
      <c r="J256" s="1" t="s">
        <v>77</v>
      </c>
      <c r="K256" s="1" t="s">
        <v>112</v>
      </c>
      <c r="L256" s="1" t="s">
        <v>136</v>
      </c>
      <c r="M256" s="1" t="s">
        <v>38</v>
      </c>
      <c r="N256" s="1" t="n">
        <v>16999</v>
      </c>
      <c r="O256" s="1" t="n">
        <v>10</v>
      </c>
      <c r="P256" s="1" t="n">
        <v>1699.9</v>
      </c>
      <c r="Q256" s="1" t="n">
        <v>15299.1</v>
      </c>
      <c r="R256" s="1" t="n">
        <v>2753.84</v>
      </c>
      <c r="S256" s="1" t="n">
        <v>12545.26</v>
      </c>
      <c r="T256" s="1" t="n">
        <v>5290.97</v>
      </c>
      <c r="U256" s="1" t="n">
        <v>7254.29</v>
      </c>
      <c r="V256" s="1" t="n">
        <v>57.82</v>
      </c>
      <c r="W256" s="1" t="s">
        <v>39</v>
      </c>
      <c r="Y256" s="1" t="s">
        <v>40</v>
      </c>
      <c r="Z256" s="1" t="n">
        <v>0</v>
      </c>
    </row>
    <row r="257" customFormat="false" ht="15" hidden="false" customHeight="true" outlineLevel="0" collapsed="false">
      <c r="A257" s="1" t="s">
        <v>624</v>
      </c>
      <c r="B257" s="1" t="s">
        <v>625</v>
      </c>
      <c r="C257" s="1" t="s">
        <v>119</v>
      </c>
      <c r="D257" s="1" t="s">
        <v>53</v>
      </c>
      <c r="E257" s="1" t="s">
        <v>216</v>
      </c>
      <c r="F257" s="1" t="s">
        <v>75</v>
      </c>
      <c r="G257" s="1" t="s">
        <v>76</v>
      </c>
      <c r="H257" s="1" t="s">
        <v>69</v>
      </c>
      <c r="I257" s="1" t="s">
        <v>34</v>
      </c>
      <c r="J257" s="1" t="s">
        <v>59</v>
      </c>
      <c r="K257" s="1" t="s">
        <v>48</v>
      </c>
      <c r="L257" s="1" t="s">
        <v>49</v>
      </c>
      <c r="M257" s="1" t="s">
        <v>38</v>
      </c>
      <c r="N257" s="1" t="n">
        <v>7499</v>
      </c>
      <c r="O257" s="1" t="n">
        <v>20</v>
      </c>
      <c r="P257" s="1" t="n">
        <v>1499.8</v>
      </c>
      <c r="Q257" s="1" t="n">
        <v>5999.2</v>
      </c>
      <c r="R257" s="1" t="n">
        <v>1079.86</v>
      </c>
      <c r="S257" s="1" t="n">
        <v>4919.34</v>
      </c>
      <c r="T257" s="1" t="n">
        <v>1687.54</v>
      </c>
      <c r="U257" s="1" t="n">
        <v>3231.8</v>
      </c>
      <c r="V257" s="1" t="n">
        <v>65.7</v>
      </c>
      <c r="W257" s="1" t="s">
        <v>40</v>
      </c>
      <c r="Y257" s="1" t="s">
        <v>40</v>
      </c>
      <c r="Z257" s="1" t="n">
        <v>1</v>
      </c>
    </row>
    <row r="258" customFormat="false" ht="15" hidden="false" customHeight="true" outlineLevel="0" collapsed="false">
      <c r="A258" s="1" t="s">
        <v>626</v>
      </c>
      <c r="B258" s="1" t="s">
        <v>279</v>
      </c>
      <c r="C258" s="1" t="s">
        <v>100</v>
      </c>
      <c r="D258" s="1" t="s">
        <v>94</v>
      </c>
      <c r="E258" s="1" t="s">
        <v>101</v>
      </c>
      <c r="F258" s="1" t="s">
        <v>120</v>
      </c>
      <c r="G258" s="1" t="s">
        <v>47</v>
      </c>
      <c r="H258" s="1" t="s">
        <v>57</v>
      </c>
      <c r="I258" s="1" t="s">
        <v>58</v>
      </c>
      <c r="J258" s="1" t="s">
        <v>35</v>
      </c>
      <c r="K258" s="1" t="s">
        <v>90</v>
      </c>
      <c r="L258" s="1" t="s">
        <v>136</v>
      </c>
      <c r="M258" s="1" t="s">
        <v>50</v>
      </c>
      <c r="N258" s="1" t="n">
        <v>14999</v>
      </c>
      <c r="O258" s="1" t="n">
        <v>5</v>
      </c>
      <c r="P258" s="1" t="n">
        <v>749.95</v>
      </c>
      <c r="Q258" s="1" t="n">
        <v>14249.05</v>
      </c>
      <c r="R258" s="1" t="n">
        <v>2564.83</v>
      </c>
      <c r="S258" s="1" t="n">
        <v>11684.22</v>
      </c>
      <c r="T258" s="1" t="n">
        <v>5926.32</v>
      </c>
      <c r="U258" s="1" t="n">
        <v>5757.9</v>
      </c>
      <c r="V258" s="1" t="n">
        <v>49.28</v>
      </c>
      <c r="W258" s="1" t="s">
        <v>39</v>
      </c>
      <c r="X258" s="1" t="n">
        <v>4</v>
      </c>
      <c r="Y258" s="1" t="s">
        <v>40</v>
      </c>
      <c r="Z258" s="1" t="n">
        <v>0</v>
      </c>
    </row>
    <row r="259" customFormat="false" ht="15" hidden="false" customHeight="true" outlineLevel="0" collapsed="false">
      <c r="A259" s="1" t="s">
        <v>627</v>
      </c>
      <c r="B259" s="1" t="s">
        <v>628</v>
      </c>
      <c r="C259" s="1" t="s">
        <v>134</v>
      </c>
      <c r="D259" s="1" t="s">
        <v>123</v>
      </c>
      <c r="E259" s="1" t="s">
        <v>147</v>
      </c>
      <c r="F259" s="1" t="s">
        <v>205</v>
      </c>
      <c r="G259" s="1" t="s">
        <v>56</v>
      </c>
      <c r="H259" s="1" t="s">
        <v>69</v>
      </c>
      <c r="I259" s="1" t="s">
        <v>34</v>
      </c>
      <c r="J259" s="1" t="s">
        <v>59</v>
      </c>
      <c r="K259" s="1" t="s">
        <v>90</v>
      </c>
      <c r="L259" s="1" t="s">
        <v>49</v>
      </c>
      <c r="M259" s="1" t="s">
        <v>38</v>
      </c>
      <c r="N259" s="1" t="n">
        <v>6999</v>
      </c>
      <c r="O259" s="1" t="n">
        <v>20</v>
      </c>
      <c r="P259" s="1" t="n">
        <v>1399.8</v>
      </c>
      <c r="Q259" s="1" t="n">
        <v>5599.2</v>
      </c>
      <c r="R259" s="1" t="n">
        <v>1007.86</v>
      </c>
      <c r="S259" s="1" t="n">
        <v>4591.34</v>
      </c>
      <c r="T259" s="1" t="n">
        <v>2270.88</v>
      </c>
      <c r="U259" s="1" t="n">
        <v>2320.46</v>
      </c>
      <c r="V259" s="1" t="n">
        <v>50.54</v>
      </c>
      <c r="W259" s="1" t="s">
        <v>40</v>
      </c>
      <c r="Y259" s="1" t="s">
        <v>40</v>
      </c>
      <c r="Z259" s="1" t="n">
        <v>0</v>
      </c>
    </row>
    <row r="260" customFormat="false" ht="15" hidden="false" customHeight="true" outlineLevel="0" collapsed="false">
      <c r="A260" s="1" t="s">
        <v>629</v>
      </c>
      <c r="B260" s="1" t="s">
        <v>630</v>
      </c>
      <c r="C260" s="1" t="s">
        <v>128</v>
      </c>
      <c r="D260" s="1" t="s">
        <v>44</v>
      </c>
      <c r="E260" s="1" t="s">
        <v>221</v>
      </c>
      <c r="F260" s="1" t="s">
        <v>89</v>
      </c>
      <c r="G260" s="1" t="s">
        <v>68</v>
      </c>
      <c r="H260" s="1" t="s">
        <v>33</v>
      </c>
      <c r="I260" s="1" t="s">
        <v>34</v>
      </c>
      <c r="J260" s="1" t="s">
        <v>131</v>
      </c>
      <c r="K260" s="1" t="s">
        <v>104</v>
      </c>
      <c r="L260" s="1" t="s">
        <v>37</v>
      </c>
      <c r="M260" s="1" t="s">
        <v>50</v>
      </c>
      <c r="N260" s="1" t="n">
        <v>16999</v>
      </c>
      <c r="O260" s="1" t="n">
        <v>10</v>
      </c>
      <c r="P260" s="1" t="n">
        <v>1699.9</v>
      </c>
      <c r="Q260" s="1" t="n">
        <v>15299.1</v>
      </c>
      <c r="R260" s="1" t="n">
        <v>2753.84</v>
      </c>
      <c r="S260" s="1" t="n">
        <v>12545.26</v>
      </c>
      <c r="T260" s="1" t="n">
        <v>5647.93</v>
      </c>
      <c r="U260" s="1" t="n">
        <v>6897.33</v>
      </c>
      <c r="V260" s="1" t="n">
        <v>54.98</v>
      </c>
      <c r="W260" s="1" t="s">
        <v>40</v>
      </c>
      <c r="Y260" s="1" t="s">
        <v>39</v>
      </c>
      <c r="Z260" s="1" t="n">
        <v>1</v>
      </c>
    </row>
    <row r="261" customFormat="false" ht="15" hidden="false" customHeight="true" outlineLevel="0" collapsed="false">
      <c r="A261" s="1" t="s">
        <v>631</v>
      </c>
      <c r="B261" s="1" t="s">
        <v>632</v>
      </c>
      <c r="C261" s="1" t="s">
        <v>178</v>
      </c>
      <c r="D261" s="1" t="s">
        <v>80</v>
      </c>
      <c r="E261" s="1" t="s">
        <v>175</v>
      </c>
      <c r="F261" s="1" t="s">
        <v>187</v>
      </c>
      <c r="G261" s="1" t="s">
        <v>97</v>
      </c>
      <c r="H261" s="1" t="s">
        <v>69</v>
      </c>
      <c r="I261" s="1" t="s">
        <v>58</v>
      </c>
      <c r="J261" s="1" t="s">
        <v>131</v>
      </c>
      <c r="K261" s="1" t="s">
        <v>48</v>
      </c>
      <c r="L261" s="1" t="s">
        <v>49</v>
      </c>
      <c r="M261" s="1" t="s">
        <v>50</v>
      </c>
      <c r="N261" s="1" t="n">
        <v>19999</v>
      </c>
      <c r="O261" s="1" t="n">
        <v>5</v>
      </c>
      <c r="P261" s="1" t="n">
        <v>999.95</v>
      </c>
      <c r="Q261" s="1" t="n">
        <v>18999.05</v>
      </c>
      <c r="R261" s="1" t="n">
        <v>3419.83</v>
      </c>
      <c r="S261" s="1" t="n">
        <v>15579.22</v>
      </c>
      <c r="T261" s="1" t="n">
        <v>5248.04</v>
      </c>
      <c r="U261" s="1" t="n">
        <v>10331.18</v>
      </c>
      <c r="V261" s="1" t="n">
        <v>66.31</v>
      </c>
      <c r="W261" s="1" t="s">
        <v>39</v>
      </c>
      <c r="X261" s="1" t="n">
        <v>4.3</v>
      </c>
      <c r="Y261" s="1" t="s">
        <v>40</v>
      </c>
      <c r="Z261" s="1" t="n">
        <v>0</v>
      </c>
    </row>
    <row r="262" customFormat="false" ht="15" hidden="false" customHeight="true" outlineLevel="0" collapsed="false">
      <c r="A262" s="1" t="s">
        <v>633</v>
      </c>
      <c r="B262" s="1" t="s">
        <v>634</v>
      </c>
      <c r="C262" s="1" t="s">
        <v>139</v>
      </c>
      <c r="D262" s="1" t="s">
        <v>53</v>
      </c>
      <c r="E262" s="1" t="s">
        <v>116</v>
      </c>
      <c r="F262" s="1" t="s">
        <v>89</v>
      </c>
      <c r="G262" s="1" t="s">
        <v>68</v>
      </c>
      <c r="H262" s="1" t="s">
        <v>33</v>
      </c>
      <c r="I262" s="1" t="s">
        <v>83</v>
      </c>
      <c r="J262" s="1" t="s">
        <v>59</v>
      </c>
      <c r="K262" s="1" t="s">
        <v>104</v>
      </c>
      <c r="L262" s="1" t="s">
        <v>49</v>
      </c>
      <c r="M262" s="1" t="s">
        <v>62</v>
      </c>
      <c r="N262" s="1" t="n">
        <v>9999</v>
      </c>
      <c r="O262" s="1" t="n">
        <v>5</v>
      </c>
      <c r="P262" s="1" t="n">
        <v>499.95</v>
      </c>
      <c r="Q262" s="1" t="n">
        <v>9499.05</v>
      </c>
      <c r="R262" s="1" t="n">
        <v>1709.83</v>
      </c>
      <c r="S262" s="1" t="n">
        <v>7789.22</v>
      </c>
      <c r="T262" s="1" t="n">
        <v>3056.87</v>
      </c>
      <c r="U262" s="1" t="n">
        <v>4732.35</v>
      </c>
      <c r="V262" s="1" t="n">
        <v>60.76</v>
      </c>
      <c r="W262" s="1" t="s">
        <v>39</v>
      </c>
      <c r="X262" s="1" t="n">
        <v>3.4</v>
      </c>
      <c r="Y262" s="1" t="s">
        <v>40</v>
      </c>
      <c r="Z262" s="1" t="n">
        <v>0</v>
      </c>
    </row>
    <row r="263" customFormat="false" ht="15" hidden="false" customHeight="true" outlineLevel="0" collapsed="false">
      <c r="A263" s="1" t="s">
        <v>635</v>
      </c>
      <c r="B263" s="1" t="s">
        <v>636</v>
      </c>
      <c r="C263" s="1" t="s">
        <v>43</v>
      </c>
      <c r="D263" s="1" t="s">
        <v>143</v>
      </c>
      <c r="E263" s="1" t="s">
        <v>159</v>
      </c>
      <c r="F263" s="1" t="s">
        <v>67</v>
      </c>
      <c r="G263" s="1" t="s">
        <v>68</v>
      </c>
      <c r="H263" s="1" t="s">
        <v>69</v>
      </c>
      <c r="I263" s="1" t="s">
        <v>83</v>
      </c>
      <c r="J263" s="1" t="s">
        <v>77</v>
      </c>
      <c r="K263" s="1" t="s">
        <v>112</v>
      </c>
      <c r="L263" s="1" t="s">
        <v>113</v>
      </c>
      <c r="M263" s="1" t="s">
        <v>38</v>
      </c>
      <c r="N263" s="1" t="n">
        <v>24999</v>
      </c>
      <c r="O263" s="1" t="n">
        <v>40</v>
      </c>
      <c r="P263" s="1" t="n">
        <v>9999.6</v>
      </c>
      <c r="Q263" s="1" t="n">
        <v>14999.4</v>
      </c>
      <c r="R263" s="1" t="n">
        <v>2699.89</v>
      </c>
      <c r="S263" s="1" t="n">
        <v>12299.51</v>
      </c>
      <c r="T263" s="1" t="n">
        <v>6277.97</v>
      </c>
      <c r="U263" s="1" t="n">
        <v>6021.54</v>
      </c>
      <c r="V263" s="1" t="n">
        <v>48.96</v>
      </c>
      <c r="W263" s="1" t="s">
        <v>40</v>
      </c>
      <c r="Y263" s="1" t="s">
        <v>40</v>
      </c>
      <c r="Z263" s="1" t="n">
        <v>2</v>
      </c>
    </row>
    <row r="264" customFormat="false" ht="15" hidden="false" customHeight="true" outlineLevel="0" collapsed="false">
      <c r="A264" s="1" t="s">
        <v>637</v>
      </c>
      <c r="B264" s="1" t="s">
        <v>638</v>
      </c>
      <c r="C264" s="1" t="s">
        <v>264</v>
      </c>
      <c r="D264" s="1" t="s">
        <v>143</v>
      </c>
      <c r="E264" s="1" t="s">
        <v>144</v>
      </c>
      <c r="F264" s="1" t="s">
        <v>205</v>
      </c>
      <c r="G264" s="1" t="s">
        <v>56</v>
      </c>
      <c r="H264" s="1" t="s">
        <v>69</v>
      </c>
      <c r="I264" s="1" t="s">
        <v>83</v>
      </c>
      <c r="J264" s="1" t="s">
        <v>131</v>
      </c>
      <c r="K264" s="1" t="s">
        <v>90</v>
      </c>
      <c r="L264" s="1" t="s">
        <v>85</v>
      </c>
      <c r="M264" s="1" t="s">
        <v>62</v>
      </c>
      <c r="N264" s="1" t="n">
        <v>12999</v>
      </c>
      <c r="O264" s="1" t="n">
        <v>0</v>
      </c>
      <c r="P264" s="1" t="n">
        <v>0</v>
      </c>
      <c r="Q264" s="1" t="n">
        <v>12999</v>
      </c>
      <c r="R264" s="1" t="n">
        <v>2339.82</v>
      </c>
      <c r="S264" s="1" t="n">
        <v>10659.18</v>
      </c>
      <c r="T264" s="1" t="n">
        <v>4198.48</v>
      </c>
      <c r="U264" s="1" t="n">
        <v>6460.7</v>
      </c>
      <c r="V264" s="1" t="n">
        <v>60.61</v>
      </c>
      <c r="W264" s="1" t="s">
        <v>40</v>
      </c>
      <c r="Y264" s="1" t="s">
        <v>40</v>
      </c>
      <c r="Z264" s="1" t="n">
        <v>0</v>
      </c>
    </row>
    <row r="265" customFormat="false" ht="15" hidden="false" customHeight="true" outlineLevel="0" collapsed="false">
      <c r="A265" s="1" t="s">
        <v>639</v>
      </c>
      <c r="B265" s="1" t="s">
        <v>640</v>
      </c>
      <c r="C265" s="1" t="s">
        <v>100</v>
      </c>
      <c r="D265" s="1" t="s">
        <v>80</v>
      </c>
      <c r="E265" s="1" t="s">
        <v>175</v>
      </c>
      <c r="F265" s="1" t="s">
        <v>641</v>
      </c>
      <c r="G265" s="1" t="s">
        <v>103</v>
      </c>
      <c r="H265" s="1" t="s">
        <v>33</v>
      </c>
      <c r="I265" s="1" t="s">
        <v>58</v>
      </c>
      <c r="J265" s="1" t="s">
        <v>131</v>
      </c>
      <c r="K265" s="1" t="s">
        <v>104</v>
      </c>
      <c r="L265" s="1" t="s">
        <v>113</v>
      </c>
      <c r="M265" s="1" t="s">
        <v>38</v>
      </c>
      <c r="N265" s="1" t="n">
        <v>19999</v>
      </c>
      <c r="O265" s="1" t="n">
        <v>0</v>
      </c>
      <c r="P265" s="1" t="n">
        <v>0</v>
      </c>
      <c r="Q265" s="1" t="n">
        <v>19999</v>
      </c>
      <c r="R265" s="1" t="n">
        <v>3599.82</v>
      </c>
      <c r="S265" s="1" t="n">
        <v>16399.18</v>
      </c>
      <c r="T265" s="1" t="n">
        <v>6693.34</v>
      </c>
      <c r="U265" s="1" t="n">
        <v>9705.84</v>
      </c>
      <c r="V265" s="1" t="n">
        <v>59.18</v>
      </c>
      <c r="W265" s="1" t="s">
        <v>40</v>
      </c>
      <c r="Y265" s="1" t="s">
        <v>40</v>
      </c>
      <c r="Z265" s="1" t="n">
        <v>0</v>
      </c>
    </row>
    <row r="266" customFormat="false" ht="15" hidden="false" customHeight="true" outlineLevel="0" collapsed="false">
      <c r="A266" s="1" t="s">
        <v>642</v>
      </c>
      <c r="B266" s="1" t="s">
        <v>643</v>
      </c>
      <c r="C266" s="1" t="s">
        <v>93</v>
      </c>
      <c r="D266" s="1" t="s">
        <v>143</v>
      </c>
      <c r="E266" s="1" t="s">
        <v>162</v>
      </c>
      <c r="F266" s="1" t="s">
        <v>269</v>
      </c>
      <c r="G266" s="1" t="s">
        <v>108</v>
      </c>
      <c r="H266" s="1" t="s">
        <v>57</v>
      </c>
      <c r="I266" s="1" t="s">
        <v>58</v>
      </c>
      <c r="J266" s="1" t="s">
        <v>70</v>
      </c>
      <c r="K266" s="1" t="s">
        <v>71</v>
      </c>
      <c r="L266" s="1" t="s">
        <v>49</v>
      </c>
      <c r="M266" s="1" t="s">
        <v>38</v>
      </c>
      <c r="N266" s="1" t="n">
        <v>14999</v>
      </c>
      <c r="O266" s="1" t="n">
        <v>50</v>
      </c>
      <c r="P266" s="1" t="n">
        <v>7499.5</v>
      </c>
      <c r="Q266" s="1" t="n">
        <v>7499.5</v>
      </c>
      <c r="R266" s="1" t="n">
        <v>1349.91</v>
      </c>
      <c r="S266" s="1" t="n">
        <v>6149.59</v>
      </c>
      <c r="T266" s="1" t="n">
        <v>3007.95</v>
      </c>
      <c r="U266" s="1" t="n">
        <v>3141.64</v>
      </c>
      <c r="V266" s="1" t="n">
        <v>51.09</v>
      </c>
      <c r="W266" s="1" t="s">
        <v>40</v>
      </c>
      <c r="Y266" s="1" t="s">
        <v>40</v>
      </c>
      <c r="Z266" s="1" t="n">
        <v>0</v>
      </c>
    </row>
    <row r="267" customFormat="false" ht="15" hidden="false" customHeight="true" outlineLevel="0" collapsed="false">
      <c r="A267" s="1" t="s">
        <v>644</v>
      </c>
      <c r="B267" s="1" t="s">
        <v>380</v>
      </c>
      <c r="C267" s="1" t="s">
        <v>93</v>
      </c>
      <c r="D267" s="1" t="s">
        <v>94</v>
      </c>
      <c r="E267" s="1" t="s">
        <v>101</v>
      </c>
      <c r="F267" s="1" t="s">
        <v>55</v>
      </c>
      <c r="G267" s="1" t="s">
        <v>56</v>
      </c>
      <c r="H267" s="1" t="s">
        <v>57</v>
      </c>
      <c r="I267" s="1" t="s">
        <v>34</v>
      </c>
      <c r="J267" s="1" t="s">
        <v>77</v>
      </c>
      <c r="K267" s="1" t="s">
        <v>90</v>
      </c>
      <c r="L267" s="1" t="s">
        <v>113</v>
      </c>
      <c r="M267" s="1" t="s">
        <v>38</v>
      </c>
      <c r="N267" s="1" t="n">
        <v>14999</v>
      </c>
      <c r="O267" s="1" t="n">
        <v>10</v>
      </c>
      <c r="P267" s="1" t="n">
        <v>1499.9</v>
      </c>
      <c r="Q267" s="1" t="n">
        <v>13499.1</v>
      </c>
      <c r="R267" s="1" t="n">
        <v>2429.84</v>
      </c>
      <c r="S267" s="1" t="n">
        <v>11069.26</v>
      </c>
      <c r="T267" s="1" t="n">
        <v>5475.8</v>
      </c>
      <c r="U267" s="1" t="n">
        <v>5593.46</v>
      </c>
      <c r="V267" s="1" t="n">
        <v>50.53</v>
      </c>
      <c r="W267" s="1" t="s">
        <v>40</v>
      </c>
      <c r="Y267" s="1" t="s">
        <v>39</v>
      </c>
      <c r="Z267" s="1" t="n">
        <v>2</v>
      </c>
    </row>
    <row r="268" customFormat="false" ht="15" hidden="false" customHeight="true" outlineLevel="0" collapsed="false">
      <c r="A268" s="1" t="s">
        <v>645</v>
      </c>
      <c r="B268" s="1" t="s">
        <v>646</v>
      </c>
      <c r="C268" s="1" t="s">
        <v>93</v>
      </c>
      <c r="D268" s="1" t="s">
        <v>123</v>
      </c>
      <c r="E268" s="1" t="s">
        <v>233</v>
      </c>
      <c r="F268" s="1" t="s">
        <v>130</v>
      </c>
      <c r="G268" s="1" t="s">
        <v>47</v>
      </c>
      <c r="H268" s="1" t="s">
        <v>69</v>
      </c>
      <c r="I268" s="1" t="s">
        <v>83</v>
      </c>
      <c r="J268" s="1" t="s">
        <v>131</v>
      </c>
      <c r="K268" s="1" t="s">
        <v>36</v>
      </c>
      <c r="L268" s="1" t="s">
        <v>113</v>
      </c>
      <c r="M268" s="1" t="s">
        <v>50</v>
      </c>
      <c r="N268" s="1" t="n">
        <v>8999</v>
      </c>
      <c r="O268" s="1" t="n">
        <v>5</v>
      </c>
      <c r="P268" s="1" t="n">
        <v>449.95</v>
      </c>
      <c r="Q268" s="1" t="n">
        <v>8549.05</v>
      </c>
      <c r="R268" s="1" t="n">
        <v>1538.83</v>
      </c>
      <c r="S268" s="1" t="n">
        <v>7010.22</v>
      </c>
      <c r="T268" s="1" t="n">
        <v>2941.57</v>
      </c>
      <c r="U268" s="1" t="n">
        <v>4068.65</v>
      </c>
      <c r="V268" s="1" t="n">
        <v>58.04</v>
      </c>
      <c r="W268" s="1" t="s">
        <v>40</v>
      </c>
      <c r="Y268" s="1" t="s">
        <v>40</v>
      </c>
      <c r="Z268" s="1" t="n">
        <v>0</v>
      </c>
    </row>
    <row r="269" customFormat="false" ht="15" hidden="false" customHeight="true" outlineLevel="0" collapsed="false">
      <c r="A269" s="1" t="s">
        <v>647</v>
      </c>
      <c r="B269" s="1" t="s">
        <v>528</v>
      </c>
      <c r="C269" s="1" t="s">
        <v>128</v>
      </c>
      <c r="D269" s="1" t="s">
        <v>123</v>
      </c>
      <c r="E269" s="1" t="s">
        <v>147</v>
      </c>
      <c r="F269" s="1" t="s">
        <v>244</v>
      </c>
      <c r="G269" s="1" t="s">
        <v>97</v>
      </c>
      <c r="H269" s="1" t="s">
        <v>57</v>
      </c>
      <c r="I269" s="1" t="s">
        <v>83</v>
      </c>
      <c r="J269" s="1" t="s">
        <v>59</v>
      </c>
      <c r="K269" s="1" t="s">
        <v>84</v>
      </c>
      <c r="L269" s="1" t="s">
        <v>113</v>
      </c>
      <c r="M269" s="1" t="s">
        <v>38</v>
      </c>
      <c r="N269" s="1" t="n">
        <v>6999</v>
      </c>
      <c r="O269" s="1" t="n">
        <v>0</v>
      </c>
      <c r="P269" s="1" t="n">
        <v>0</v>
      </c>
      <c r="Q269" s="1" t="n">
        <v>6999</v>
      </c>
      <c r="R269" s="1" t="n">
        <v>1259.82</v>
      </c>
      <c r="S269" s="1" t="n">
        <v>5739.18</v>
      </c>
      <c r="T269" s="1" t="n">
        <v>2736.55</v>
      </c>
      <c r="U269" s="1" t="n">
        <v>3002.63</v>
      </c>
      <c r="V269" s="1" t="n">
        <v>52.32</v>
      </c>
      <c r="W269" s="1" t="s">
        <v>39</v>
      </c>
      <c r="Y269" s="1" t="s">
        <v>40</v>
      </c>
      <c r="Z269" s="1" t="n">
        <v>0</v>
      </c>
    </row>
    <row r="270" customFormat="false" ht="15" hidden="false" customHeight="true" outlineLevel="0" collapsed="false">
      <c r="A270" s="1" t="s">
        <v>648</v>
      </c>
      <c r="B270" s="1" t="s">
        <v>649</v>
      </c>
      <c r="C270" s="1" t="s">
        <v>167</v>
      </c>
      <c r="D270" s="1" t="s">
        <v>44</v>
      </c>
      <c r="E270" s="1" t="s">
        <v>45</v>
      </c>
      <c r="F270" s="1" t="s">
        <v>211</v>
      </c>
      <c r="G270" s="1" t="s">
        <v>56</v>
      </c>
      <c r="H270" s="1" t="s">
        <v>69</v>
      </c>
      <c r="I270" s="1" t="s">
        <v>58</v>
      </c>
      <c r="J270" s="1" t="s">
        <v>35</v>
      </c>
      <c r="K270" s="1" t="s">
        <v>48</v>
      </c>
      <c r="L270" s="1" t="s">
        <v>136</v>
      </c>
      <c r="M270" s="1" t="s">
        <v>38</v>
      </c>
      <c r="N270" s="1" t="n">
        <v>11999</v>
      </c>
      <c r="O270" s="1" t="n">
        <v>30</v>
      </c>
      <c r="P270" s="1" t="n">
        <v>3599.7</v>
      </c>
      <c r="Q270" s="1" t="n">
        <v>8399.3</v>
      </c>
      <c r="R270" s="1" t="n">
        <v>1511.87</v>
      </c>
      <c r="S270" s="1" t="n">
        <v>6887.43</v>
      </c>
      <c r="T270" s="1" t="n">
        <v>2276.68</v>
      </c>
      <c r="U270" s="1" t="n">
        <v>4610.75</v>
      </c>
      <c r="V270" s="1" t="n">
        <v>66.94</v>
      </c>
      <c r="W270" s="1" t="s">
        <v>40</v>
      </c>
      <c r="Y270" s="1" t="s">
        <v>40</v>
      </c>
      <c r="Z270" s="1" t="n">
        <v>1</v>
      </c>
    </row>
    <row r="271" customFormat="false" ht="15" hidden="false" customHeight="true" outlineLevel="0" collapsed="false">
      <c r="A271" s="1" t="s">
        <v>650</v>
      </c>
      <c r="B271" s="1" t="s">
        <v>651</v>
      </c>
      <c r="C271" s="1" t="s">
        <v>28</v>
      </c>
      <c r="D271" s="1" t="s">
        <v>80</v>
      </c>
      <c r="E271" s="1" t="s">
        <v>175</v>
      </c>
      <c r="F271" s="1" t="s">
        <v>82</v>
      </c>
      <c r="G271" s="1" t="s">
        <v>56</v>
      </c>
      <c r="H271" s="1" t="s">
        <v>69</v>
      </c>
      <c r="I271" s="1" t="s">
        <v>83</v>
      </c>
      <c r="J271" s="1" t="s">
        <v>35</v>
      </c>
      <c r="K271" s="1" t="s">
        <v>71</v>
      </c>
      <c r="L271" s="1" t="s">
        <v>49</v>
      </c>
      <c r="M271" s="1" t="s">
        <v>62</v>
      </c>
      <c r="N271" s="1" t="n">
        <v>19999</v>
      </c>
      <c r="O271" s="1" t="n">
        <v>0</v>
      </c>
      <c r="P271" s="1" t="n">
        <v>0</v>
      </c>
      <c r="Q271" s="1" t="n">
        <v>19999</v>
      </c>
      <c r="R271" s="1" t="n">
        <v>3599.82</v>
      </c>
      <c r="S271" s="1" t="n">
        <v>16399.18</v>
      </c>
      <c r="T271" s="1" t="n">
        <v>7604.03</v>
      </c>
      <c r="U271" s="1" t="n">
        <v>8795.15</v>
      </c>
      <c r="V271" s="1" t="n">
        <v>53.63</v>
      </c>
      <c r="W271" s="1" t="s">
        <v>39</v>
      </c>
      <c r="X271" s="1" t="n">
        <v>4.4</v>
      </c>
      <c r="Y271" s="1" t="s">
        <v>39</v>
      </c>
      <c r="Z271" s="1" t="n">
        <v>0</v>
      </c>
    </row>
    <row r="272" customFormat="false" ht="15" hidden="false" customHeight="true" outlineLevel="0" collapsed="false">
      <c r="A272" s="1" t="s">
        <v>652</v>
      </c>
      <c r="B272" s="1" t="s">
        <v>653</v>
      </c>
      <c r="C272" s="1" t="s">
        <v>43</v>
      </c>
      <c r="D272" s="1" t="s">
        <v>94</v>
      </c>
      <c r="E272" s="1" t="s">
        <v>95</v>
      </c>
      <c r="F272" s="1" t="s">
        <v>31</v>
      </c>
      <c r="G272" s="1" t="s">
        <v>32</v>
      </c>
      <c r="H272" s="1" t="s">
        <v>33</v>
      </c>
      <c r="I272" s="1" t="s">
        <v>83</v>
      </c>
      <c r="J272" s="1" t="s">
        <v>70</v>
      </c>
      <c r="K272" s="1" t="s">
        <v>90</v>
      </c>
      <c r="L272" s="1" t="s">
        <v>49</v>
      </c>
      <c r="M272" s="1" t="s">
        <v>50</v>
      </c>
      <c r="N272" s="1" t="n">
        <v>6999</v>
      </c>
      <c r="O272" s="1" t="n">
        <v>5</v>
      </c>
      <c r="P272" s="1" t="n">
        <v>349.95</v>
      </c>
      <c r="Q272" s="1" t="n">
        <v>6649.05</v>
      </c>
      <c r="R272" s="1" t="n">
        <v>1196.83</v>
      </c>
      <c r="S272" s="1" t="n">
        <v>5452.22</v>
      </c>
      <c r="T272" s="1" t="n">
        <v>2340.31</v>
      </c>
      <c r="U272" s="1" t="n">
        <v>3111.91</v>
      </c>
      <c r="V272" s="1" t="n">
        <v>57.08</v>
      </c>
      <c r="W272" s="1" t="s">
        <v>40</v>
      </c>
      <c r="Y272" s="1" t="s">
        <v>40</v>
      </c>
      <c r="Z272" s="1" t="n">
        <v>2</v>
      </c>
    </row>
    <row r="273" customFormat="false" ht="15" hidden="false" customHeight="true" outlineLevel="0" collapsed="false">
      <c r="A273" s="1" t="s">
        <v>654</v>
      </c>
      <c r="B273" s="1" t="s">
        <v>300</v>
      </c>
      <c r="C273" s="1" t="s">
        <v>93</v>
      </c>
      <c r="D273" s="1" t="s">
        <v>143</v>
      </c>
      <c r="E273" s="1" t="s">
        <v>144</v>
      </c>
      <c r="F273" s="1" t="s">
        <v>125</v>
      </c>
      <c r="G273" s="1" t="s">
        <v>108</v>
      </c>
      <c r="H273" s="1" t="s">
        <v>69</v>
      </c>
      <c r="I273" s="1" t="s">
        <v>83</v>
      </c>
      <c r="J273" s="1" t="s">
        <v>35</v>
      </c>
      <c r="K273" s="1" t="s">
        <v>90</v>
      </c>
      <c r="L273" s="1" t="s">
        <v>85</v>
      </c>
      <c r="M273" s="1" t="s">
        <v>50</v>
      </c>
      <c r="N273" s="1" t="n">
        <v>12999</v>
      </c>
      <c r="O273" s="1" t="n">
        <v>5</v>
      </c>
      <c r="P273" s="1" t="n">
        <v>649.95</v>
      </c>
      <c r="Q273" s="1" t="n">
        <v>12349.05</v>
      </c>
      <c r="R273" s="1" t="n">
        <v>2222.83</v>
      </c>
      <c r="S273" s="1" t="n">
        <v>10126.22</v>
      </c>
      <c r="T273" s="1" t="n">
        <v>5271.55</v>
      </c>
      <c r="U273" s="1" t="n">
        <v>4854.67</v>
      </c>
      <c r="V273" s="1" t="n">
        <v>47.94</v>
      </c>
      <c r="W273" s="1" t="s">
        <v>40</v>
      </c>
      <c r="Y273" s="1" t="s">
        <v>39</v>
      </c>
      <c r="Z273" s="1" t="n">
        <v>1</v>
      </c>
    </row>
    <row r="274" customFormat="false" ht="15" hidden="false" customHeight="true" outlineLevel="0" collapsed="false">
      <c r="A274" s="1" t="s">
        <v>655</v>
      </c>
      <c r="B274" s="1" t="s">
        <v>530</v>
      </c>
      <c r="C274" s="1" t="s">
        <v>249</v>
      </c>
      <c r="D274" s="1" t="s">
        <v>143</v>
      </c>
      <c r="E274" s="1" t="s">
        <v>162</v>
      </c>
      <c r="F274" s="1" t="s">
        <v>125</v>
      </c>
      <c r="G274" s="1" t="s">
        <v>108</v>
      </c>
      <c r="H274" s="1" t="s">
        <v>69</v>
      </c>
      <c r="I274" s="1" t="s">
        <v>58</v>
      </c>
      <c r="J274" s="1" t="s">
        <v>35</v>
      </c>
      <c r="K274" s="1" t="s">
        <v>104</v>
      </c>
      <c r="L274" s="1" t="s">
        <v>136</v>
      </c>
      <c r="M274" s="1" t="s">
        <v>62</v>
      </c>
      <c r="N274" s="1" t="n">
        <v>14999</v>
      </c>
      <c r="O274" s="1" t="n">
        <v>10</v>
      </c>
      <c r="P274" s="1" t="n">
        <v>1499.9</v>
      </c>
      <c r="Q274" s="1" t="n">
        <v>13499.1</v>
      </c>
      <c r="R274" s="1" t="n">
        <v>2429.84</v>
      </c>
      <c r="S274" s="1" t="n">
        <v>11069.26</v>
      </c>
      <c r="T274" s="1" t="n">
        <v>3534.66</v>
      </c>
      <c r="U274" s="1" t="n">
        <v>7534.6</v>
      </c>
      <c r="V274" s="1" t="n">
        <v>68.07</v>
      </c>
      <c r="W274" s="1" t="s">
        <v>39</v>
      </c>
      <c r="X274" s="1" t="n">
        <v>3.8</v>
      </c>
      <c r="Y274" s="1" t="s">
        <v>40</v>
      </c>
      <c r="Z274" s="1" t="n">
        <v>2</v>
      </c>
    </row>
    <row r="275" customFormat="false" ht="15" hidden="false" customHeight="true" outlineLevel="0" collapsed="false">
      <c r="A275" s="1" t="s">
        <v>656</v>
      </c>
      <c r="B275" s="1" t="s">
        <v>657</v>
      </c>
      <c r="C275" s="1" t="s">
        <v>43</v>
      </c>
      <c r="D275" s="1" t="s">
        <v>53</v>
      </c>
      <c r="E275" s="1" t="s">
        <v>116</v>
      </c>
      <c r="F275" s="1" t="s">
        <v>89</v>
      </c>
      <c r="G275" s="1" t="s">
        <v>68</v>
      </c>
      <c r="H275" s="1" t="s">
        <v>33</v>
      </c>
      <c r="I275" s="1" t="s">
        <v>34</v>
      </c>
      <c r="J275" s="1" t="s">
        <v>59</v>
      </c>
      <c r="K275" s="1" t="s">
        <v>36</v>
      </c>
      <c r="L275" s="1" t="s">
        <v>113</v>
      </c>
      <c r="M275" s="1" t="s">
        <v>62</v>
      </c>
      <c r="N275" s="1" t="n">
        <v>9999</v>
      </c>
      <c r="O275" s="1" t="n">
        <v>10</v>
      </c>
      <c r="P275" s="1" t="n">
        <v>999.9</v>
      </c>
      <c r="Q275" s="1" t="n">
        <v>8999.1</v>
      </c>
      <c r="R275" s="1" t="n">
        <v>1619.84</v>
      </c>
      <c r="S275" s="1" t="n">
        <v>7379.26</v>
      </c>
      <c r="T275" s="1" t="n">
        <v>2607.06</v>
      </c>
      <c r="U275" s="1" t="n">
        <v>4772.2</v>
      </c>
      <c r="V275" s="1" t="n">
        <v>64.67</v>
      </c>
      <c r="W275" s="1" t="s">
        <v>40</v>
      </c>
      <c r="Y275" s="1" t="s">
        <v>39</v>
      </c>
      <c r="Z275" s="1" t="n">
        <v>0</v>
      </c>
    </row>
    <row r="276" customFormat="false" ht="15" hidden="false" customHeight="true" outlineLevel="0" collapsed="false">
      <c r="A276" s="1" t="s">
        <v>658</v>
      </c>
      <c r="B276" s="1" t="s">
        <v>213</v>
      </c>
      <c r="C276" s="1" t="s">
        <v>139</v>
      </c>
      <c r="D276" s="1" t="s">
        <v>94</v>
      </c>
      <c r="E276" s="1" t="s">
        <v>95</v>
      </c>
      <c r="F276" s="1" t="s">
        <v>156</v>
      </c>
      <c r="G276" s="1" t="s">
        <v>68</v>
      </c>
      <c r="H276" s="1" t="s">
        <v>57</v>
      </c>
      <c r="I276" s="1" t="s">
        <v>83</v>
      </c>
      <c r="J276" s="1" t="s">
        <v>35</v>
      </c>
      <c r="K276" s="1" t="s">
        <v>112</v>
      </c>
      <c r="L276" s="1" t="s">
        <v>85</v>
      </c>
      <c r="M276" s="1" t="s">
        <v>38</v>
      </c>
      <c r="N276" s="1" t="n">
        <v>6999</v>
      </c>
      <c r="O276" s="1" t="n">
        <v>15</v>
      </c>
      <c r="P276" s="1" t="n">
        <v>1049.85</v>
      </c>
      <c r="Q276" s="1" t="n">
        <v>5949.15</v>
      </c>
      <c r="R276" s="1" t="n">
        <v>1070.85</v>
      </c>
      <c r="S276" s="1" t="n">
        <v>4878.3</v>
      </c>
      <c r="T276" s="1" t="n">
        <v>2239.99</v>
      </c>
      <c r="U276" s="1" t="n">
        <v>2638.31</v>
      </c>
      <c r="V276" s="1" t="n">
        <v>54.08</v>
      </c>
      <c r="W276" s="1" t="s">
        <v>40</v>
      </c>
      <c r="Y276" s="1" t="s">
        <v>40</v>
      </c>
      <c r="Z276" s="1" t="n">
        <v>0</v>
      </c>
    </row>
    <row r="277" customFormat="false" ht="15" hidden="false" customHeight="true" outlineLevel="0" collapsed="false">
      <c r="A277" s="1" t="s">
        <v>659</v>
      </c>
      <c r="B277" s="1" t="s">
        <v>164</v>
      </c>
      <c r="C277" s="1" t="s">
        <v>249</v>
      </c>
      <c r="D277" s="1" t="s">
        <v>29</v>
      </c>
      <c r="E277" s="1" t="s">
        <v>129</v>
      </c>
      <c r="F277" s="1" t="s">
        <v>102</v>
      </c>
      <c r="G277" s="1" t="s">
        <v>103</v>
      </c>
      <c r="H277" s="1" t="s">
        <v>33</v>
      </c>
      <c r="I277" s="1" t="s">
        <v>58</v>
      </c>
      <c r="J277" s="1" t="s">
        <v>131</v>
      </c>
      <c r="K277" s="1" t="s">
        <v>60</v>
      </c>
      <c r="L277" s="1" t="s">
        <v>49</v>
      </c>
      <c r="M277" s="1" t="s">
        <v>50</v>
      </c>
      <c r="N277" s="1" t="n">
        <v>29999</v>
      </c>
      <c r="O277" s="1" t="n">
        <v>0</v>
      </c>
      <c r="P277" s="1" t="n">
        <v>0</v>
      </c>
      <c r="Q277" s="1" t="n">
        <v>29999</v>
      </c>
      <c r="R277" s="1" t="n">
        <v>5399.82</v>
      </c>
      <c r="S277" s="1" t="n">
        <v>24599.18</v>
      </c>
      <c r="T277" s="1" t="n">
        <v>11010.09</v>
      </c>
      <c r="U277" s="1" t="n">
        <v>13589.09</v>
      </c>
      <c r="V277" s="1" t="n">
        <v>55.24</v>
      </c>
      <c r="W277" s="1" t="s">
        <v>40</v>
      </c>
      <c r="Y277" s="1" t="s">
        <v>40</v>
      </c>
      <c r="Z277" s="1" t="n">
        <v>1</v>
      </c>
    </row>
    <row r="278" customFormat="false" ht="15" hidden="false" customHeight="true" outlineLevel="0" collapsed="false">
      <c r="A278" s="1" t="s">
        <v>660</v>
      </c>
      <c r="B278" s="1" t="s">
        <v>661</v>
      </c>
      <c r="C278" s="1" t="s">
        <v>249</v>
      </c>
      <c r="D278" s="1" t="s">
        <v>29</v>
      </c>
      <c r="E278" s="1" t="s">
        <v>129</v>
      </c>
      <c r="F278" s="1" t="s">
        <v>46</v>
      </c>
      <c r="G278" s="1" t="s">
        <v>47</v>
      </c>
      <c r="H278" s="1" t="s">
        <v>33</v>
      </c>
      <c r="I278" s="1" t="s">
        <v>34</v>
      </c>
      <c r="J278" s="1" t="s">
        <v>70</v>
      </c>
      <c r="K278" s="1" t="s">
        <v>104</v>
      </c>
      <c r="L278" s="1" t="s">
        <v>113</v>
      </c>
      <c r="M278" s="1" t="s">
        <v>50</v>
      </c>
      <c r="N278" s="1" t="n">
        <v>29999</v>
      </c>
      <c r="O278" s="1" t="n">
        <v>0</v>
      </c>
      <c r="P278" s="1" t="n">
        <v>0</v>
      </c>
      <c r="Q278" s="1" t="n">
        <v>29999</v>
      </c>
      <c r="R278" s="1" t="n">
        <v>5399.82</v>
      </c>
      <c r="S278" s="1" t="n">
        <v>24599.18</v>
      </c>
      <c r="T278" s="1" t="n">
        <v>8384.27</v>
      </c>
      <c r="U278" s="1" t="n">
        <v>16214.91</v>
      </c>
      <c r="V278" s="1" t="n">
        <v>65.92</v>
      </c>
      <c r="W278" s="1" t="s">
        <v>39</v>
      </c>
      <c r="X278" s="1" t="n">
        <v>4.5</v>
      </c>
      <c r="Y278" s="1" t="s">
        <v>40</v>
      </c>
      <c r="Z278" s="1" t="n">
        <v>0</v>
      </c>
    </row>
    <row r="279" customFormat="false" ht="15" hidden="false" customHeight="true" outlineLevel="0" collapsed="false">
      <c r="A279" s="1" t="s">
        <v>662</v>
      </c>
      <c r="B279" s="1" t="s">
        <v>309</v>
      </c>
      <c r="C279" s="1" t="s">
        <v>264</v>
      </c>
      <c r="D279" s="1" t="s">
        <v>29</v>
      </c>
      <c r="E279" s="1" t="s">
        <v>129</v>
      </c>
      <c r="F279" s="1" t="s">
        <v>130</v>
      </c>
      <c r="G279" s="1" t="s">
        <v>47</v>
      </c>
      <c r="H279" s="1" t="s">
        <v>69</v>
      </c>
      <c r="I279" s="1" t="s">
        <v>34</v>
      </c>
      <c r="J279" s="1" t="s">
        <v>70</v>
      </c>
      <c r="K279" s="1" t="s">
        <v>71</v>
      </c>
      <c r="L279" s="1" t="s">
        <v>113</v>
      </c>
      <c r="M279" s="1" t="s">
        <v>38</v>
      </c>
      <c r="N279" s="1" t="n">
        <v>29999</v>
      </c>
      <c r="O279" s="1" t="n">
        <v>0</v>
      </c>
      <c r="P279" s="1" t="n">
        <v>0</v>
      </c>
      <c r="Q279" s="1" t="n">
        <v>29999</v>
      </c>
      <c r="R279" s="1" t="n">
        <v>5399.82</v>
      </c>
      <c r="S279" s="1" t="n">
        <v>24599.18</v>
      </c>
      <c r="T279" s="1" t="n">
        <v>10989.87</v>
      </c>
      <c r="U279" s="1" t="n">
        <v>13609.31</v>
      </c>
      <c r="V279" s="1" t="n">
        <v>55.32</v>
      </c>
      <c r="W279" s="1" t="s">
        <v>40</v>
      </c>
      <c r="Y279" s="1" t="s">
        <v>40</v>
      </c>
      <c r="Z279" s="1" t="n">
        <v>1</v>
      </c>
    </row>
    <row r="280" customFormat="false" ht="15" hidden="false" customHeight="true" outlineLevel="0" collapsed="false">
      <c r="A280" s="1" t="s">
        <v>663</v>
      </c>
      <c r="B280" s="1" t="s">
        <v>239</v>
      </c>
      <c r="C280" s="1" t="s">
        <v>128</v>
      </c>
      <c r="D280" s="1" t="s">
        <v>53</v>
      </c>
      <c r="E280" s="1" t="s">
        <v>216</v>
      </c>
      <c r="F280" s="1" t="s">
        <v>55</v>
      </c>
      <c r="G280" s="1" t="s">
        <v>56</v>
      </c>
      <c r="H280" s="1" t="s">
        <v>57</v>
      </c>
      <c r="I280" s="1" t="s">
        <v>34</v>
      </c>
      <c r="J280" s="1" t="s">
        <v>77</v>
      </c>
      <c r="K280" s="1" t="s">
        <v>90</v>
      </c>
      <c r="L280" s="1" t="s">
        <v>136</v>
      </c>
      <c r="M280" s="1" t="s">
        <v>38</v>
      </c>
      <c r="N280" s="1" t="n">
        <v>7499</v>
      </c>
      <c r="O280" s="1" t="n">
        <v>10</v>
      </c>
      <c r="P280" s="1" t="n">
        <v>749.9</v>
      </c>
      <c r="Q280" s="1" t="n">
        <v>6749.1</v>
      </c>
      <c r="R280" s="1" t="n">
        <v>1214.84</v>
      </c>
      <c r="S280" s="1" t="n">
        <v>5534.26</v>
      </c>
      <c r="T280" s="1" t="n">
        <v>2278.22</v>
      </c>
      <c r="U280" s="1" t="n">
        <v>3256.04</v>
      </c>
      <c r="V280" s="1" t="n">
        <v>58.83</v>
      </c>
      <c r="W280" s="1" t="s">
        <v>39</v>
      </c>
      <c r="X280" s="1" t="n">
        <v>4.2</v>
      </c>
      <c r="Y280" s="1" t="s">
        <v>40</v>
      </c>
      <c r="Z280" s="1" t="n">
        <v>0</v>
      </c>
    </row>
    <row r="281" customFormat="false" ht="15" hidden="false" customHeight="true" outlineLevel="0" collapsed="false">
      <c r="A281" s="1" t="s">
        <v>664</v>
      </c>
      <c r="B281" s="1" t="s">
        <v>665</v>
      </c>
      <c r="C281" s="1" t="s">
        <v>167</v>
      </c>
      <c r="D281" s="1" t="s">
        <v>94</v>
      </c>
      <c r="E281" s="1" t="s">
        <v>101</v>
      </c>
      <c r="F281" s="1" t="s">
        <v>187</v>
      </c>
      <c r="G281" s="1" t="s">
        <v>97</v>
      </c>
      <c r="H281" s="1" t="s">
        <v>69</v>
      </c>
      <c r="I281" s="1" t="s">
        <v>58</v>
      </c>
      <c r="J281" s="1" t="s">
        <v>35</v>
      </c>
      <c r="K281" s="1" t="s">
        <v>48</v>
      </c>
      <c r="L281" s="1" t="s">
        <v>61</v>
      </c>
      <c r="M281" s="1" t="s">
        <v>38</v>
      </c>
      <c r="N281" s="1" t="n">
        <v>14999</v>
      </c>
      <c r="O281" s="1" t="n">
        <v>30</v>
      </c>
      <c r="P281" s="1" t="n">
        <v>4499.7</v>
      </c>
      <c r="Q281" s="1" t="n">
        <v>10499.3</v>
      </c>
      <c r="R281" s="1" t="n">
        <v>1889.87</v>
      </c>
      <c r="S281" s="1" t="n">
        <v>8609.43</v>
      </c>
      <c r="T281" s="1" t="n">
        <v>3175.86</v>
      </c>
      <c r="U281" s="1" t="n">
        <v>5433.57</v>
      </c>
      <c r="V281" s="1" t="n">
        <v>63.11</v>
      </c>
      <c r="W281" s="1" t="s">
        <v>39</v>
      </c>
      <c r="X281" s="1" t="n">
        <v>3.6</v>
      </c>
      <c r="Y281" s="1" t="s">
        <v>40</v>
      </c>
      <c r="Z281" s="1" t="n">
        <v>0</v>
      </c>
    </row>
    <row r="282" customFormat="false" ht="15" hidden="false" customHeight="true" outlineLevel="0" collapsed="false">
      <c r="A282" s="1" t="s">
        <v>666</v>
      </c>
      <c r="B282" s="1" t="s">
        <v>667</v>
      </c>
      <c r="C282" s="1" t="s">
        <v>264</v>
      </c>
      <c r="D282" s="1" t="s">
        <v>168</v>
      </c>
      <c r="E282" s="1" t="s">
        <v>197</v>
      </c>
      <c r="F282" s="1" t="s">
        <v>82</v>
      </c>
      <c r="G282" s="1" t="s">
        <v>56</v>
      </c>
      <c r="H282" s="1" t="s">
        <v>69</v>
      </c>
      <c r="I282" s="1" t="s">
        <v>58</v>
      </c>
      <c r="J282" s="1" t="s">
        <v>70</v>
      </c>
      <c r="K282" s="1" t="s">
        <v>84</v>
      </c>
      <c r="L282" s="1" t="s">
        <v>61</v>
      </c>
      <c r="M282" s="1" t="s">
        <v>38</v>
      </c>
      <c r="N282" s="1" t="n">
        <v>8499</v>
      </c>
      <c r="O282" s="1" t="n">
        <v>5</v>
      </c>
      <c r="P282" s="1" t="n">
        <v>424.95</v>
      </c>
      <c r="Q282" s="1" t="n">
        <v>8074.05</v>
      </c>
      <c r="R282" s="1" t="n">
        <v>1453.33</v>
      </c>
      <c r="S282" s="1" t="n">
        <v>6620.72</v>
      </c>
      <c r="T282" s="1" t="n">
        <v>2300.65</v>
      </c>
      <c r="U282" s="1" t="n">
        <v>4320.07</v>
      </c>
      <c r="V282" s="1" t="n">
        <v>65.25</v>
      </c>
      <c r="W282" s="1" t="s">
        <v>39</v>
      </c>
      <c r="X282" s="1" t="n">
        <v>4.4</v>
      </c>
      <c r="Y282" s="1" t="s">
        <v>40</v>
      </c>
      <c r="Z282" s="1" t="n">
        <v>0</v>
      </c>
    </row>
    <row r="283" customFormat="false" ht="15" hidden="false" customHeight="true" outlineLevel="0" collapsed="false">
      <c r="A283" s="1" t="s">
        <v>668</v>
      </c>
      <c r="B283" s="1" t="s">
        <v>669</v>
      </c>
      <c r="C283" s="1" t="s">
        <v>264</v>
      </c>
      <c r="D283" s="1" t="s">
        <v>143</v>
      </c>
      <c r="E283" s="1" t="s">
        <v>144</v>
      </c>
      <c r="F283" s="1" t="s">
        <v>211</v>
      </c>
      <c r="G283" s="1" t="s">
        <v>56</v>
      </c>
      <c r="H283" s="1" t="s">
        <v>69</v>
      </c>
      <c r="I283" s="1" t="s">
        <v>58</v>
      </c>
      <c r="J283" s="1" t="s">
        <v>35</v>
      </c>
      <c r="K283" s="1" t="s">
        <v>84</v>
      </c>
      <c r="L283" s="1" t="s">
        <v>49</v>
      </c>
      <c r="M283" s="1" t="s">
        <v>50</v>
      </c>
      <c r="N283" s="1" t="n">
        <v>12999</v>
      </c>
      <c r="O283" s="1" t="n">
        <v>20</v>
      </c>
      <c r="P283" s="1" t="n">
        <v>2599.8</v>
      </c>
      <c r="Q283" s="1" t="n">
        <v>10399.2</v>
      </c>
      <c r="R283" s="1" t="n">
        <v>1871.86</v>
      </c>
      <c r="S283" s="1" t="n">
        <v>8527.34</v>
      </c>
      <c r="T283" s="1" t="n">
        <v>3513.64</v>
      </c>
      <c r="U283" s="1" t="n">
        <v>5013.7</v>
      </c>
      <c r="V283" s="1" t="n">
        <v>58.8</v>
      </c>
      <c r="W283" s="1" t="s">
        <v>40</v>
      </c>
      <c r="Y283" s="1" t="s">
        <v>39</v>
      </c>
      <c r="Z283" s="1" t="n">
        <v>2</v>
      </c>
    </row>
    <row r="284" customFormat="false" ht="15" hidden="false" customHeight="true" outlineLevel="0" collapsed="false">
      <c r="A284" s="1" t="s">
        <v>670</v>
      </c>
      <c r="B284" s="1" t="s">
        <v>671</v>
      </c>
      <c r="C284" s="1" t="s">
        <v>139</v>
      </c>
      <c r="D284" s="1" t="s">
        <v>44</v>
      </c>
      <c r="E284" s="1" t="s">
        <v>221</v>
      </c>
      <c r="F284" s="1" t="s">
        <v>55</v>
      </c>
      <c r="G284" s="1" t="s">
        <v>56</v>
      </c>
      <c r="H284" s="1" t="s">
        <v>57</v>
      </c>
      <c r="I284" s="1" t="s">
        <v>58</v>
      </c>
      <c r="J284" s="1" t="s">
        <v>70</v>
      </c>
      <c r="K284" s="1" t="s">
        <v>60</v>
      </c>
      <c r="L284" s="1" t="s">
        <v>136</v>
      </c>
      <c r="M284" s="1" t="s">
        <v>38</v>
      </c>
      <c r="N284" s="1" t="n">
        <v>16999</v>
      </c>
      <c r="O284" s="1" t="n">
        <v>10</v>
      </c>
      <c r="P284" s="1" t="n">
        <v>1699.9</v>
      </c>
      <c r="Q284" s="1" t="n">
        <v>15299.1</v>
      </c>
      <c r="R284" s="1" t="n">
        <v>2753.84</v>
      </c>
      <c r="S284" s="1" t="n">
        <v>12545.26</v>
      </c>
      <c r="T284" s="1" t="n">
        <v>5539.19</v>
      </c>
      <c r="U284" s="1" t="n">
        <v>7006.07</v>
      </c>
      <c r="V284" s="1" t="n">
        <v>55.85</v>
      </c>
      <c r="W284" s="1" t="s">
        <v>39</v>
      </c>
      <c r="X284" s="1" t="n">
        <v>4.5</v>
      </c>
      <c r="Y284" s="1" t="s">
        <v>40</v>
      </c>
      <c r="Z284" s="1" t="n">
        <v>0</v>
      </c>
    </row>
    <row r="285" customFormat="false" ht="15" hidden="false" customHeight="true" outlineLevel="0" collapsed="false">
      <c r="A285" s="1" t="s">
        <v>672</v>
      </c>
      <c r="B285" s="1" t="s">
        <v>673</v>
      </c>
      <c r="C285" s="1" t="s">
        <v>65</v>
      </c>
      <c r="D285" s="1" t="s">
        <v>29</v>
      </c>
      <c r="E285" s="1" t="s">
        <v>129</v>
      </c>
      <c r="F285" s="1" t="s">
        <v>31</v>
      </c>
      <c r="G285" s="1" t="s">
        <v>32</v>
      </c>
      <c r="H285" s="1" t="s">
        <v>33</v>
      </c>
      <c r="I285" s="1" t="s">
        <v>34</v>
      </c>
      <c r="J285" s="1" t="s">
        <v>35</v>
      </c>
      <c r="K285" s="1" t="s">
        <v>36</v>
      </c>
      <c r="L285" s="1" t="s">
        <v>49</v>
      </c>
      <c r="M285" s="1" t="s">
        <v>38</v>
      </c>
      <c r="N285" s="1" t="n">
        <v>29999</v>
      </c>
      <c r="O285" s="1" t="n">
        <v>50</v>
      </c>
      <c r="P285" s="1" t="n">
        <v>14999.5</v>
      </c>
      <c r="Q285" s="1" t="n">
        <v>14999.5</v>
      </c>
      <c r="R285" s="1" t="n">
        <v>2699.91</v>
      </c>
      <c r="S285" s="1" t="n">
        <v>12299.59</v>
      </c>
      <c r="T285" s="1" t="n">
        <v>7442.8</v>
      </c>
      <c r="U285" s="1" t="n">
        <v>4856.79</v>
      </c>
      <c r="V285" s="1" t="n">
        <v>39.49</v>
      </c>
      <c r="W285" s="1" t="s">
        <v>40</v>
      </c>
      <c r="Y285" s="1" t="s">
        <v>40</v>
      </c>
      <c r="Z285" s="1" t="n">
        <v>2</v>
      </c>
    </row>
    <row r="286" customFormat="false" ht="15" hidden="false" customHeight="true" outlineLevel="0" collapsed="false">
      <c r="A286" s="1" t="s">
        <v>674</v>
      </c>
      <c r="B286" s="1" t="s">
        <v>675</v>
      </c>
      <c r="C286" s="1" t="s">
        <v>249</v>
      </c>
      <c r="D286" s="1" t="s">
        <v>143</v>
      </c>
      <c r="E286" s="1" t="s">
        <v>159</v>
      </c>
      <c r="F286" s="1" t="s">
        <v>31</v>
      </c>
      <c r="G286" s="1" t="s">
        <v>32</v>
      </c>
      <c r="H286" s="1" t="s">
        <v>33</v>
      </c>
      <c r="I286" s="1" t="s">
        <v>58</v>
      </c>
      <c r="J286" s="1" t="s">
        <v>131</v>
      </c>
      <c r="K286" s="1" t="s">
        <v>84</v>
      </c>
      <c r="L286" s="1" t="s">
        <v>85</v>
      </c>
      <c r="M286" s="1" t="s">
        <v>62</v>
      </c>
      <c r="N286" s="1" t="n">
        <v>24999</v>
      </c>
      <c r="O286" s="1" t="n">
        <v>0</v>
      </c>
      <c r="P286" s="1" t="n">
        <v>0</v>
      </c>
      <c r="Q286" s="1" t="n">
        <v>24999</v>
      </c>
      <c r="R286" s="1" t="n">
        <v>4499.82</v>
      </c>
      <c r="S286" s="1" t="n">
        <v>20499.18</v>
      </c>
      <c r="T286" s="1" t="n">
        <v>9795.35</v>
      </c>
      <c r="U286" s="1" t="n">
        <v>10703.83</v>
      </c>
      <c r="V286" s="1" t="n">
        <v>52.22</v>
      </c>
      <c r="W286" s="1" t="s">
        <v>40</v>
      </c>
      <c r="Y286" s="1" t="s">
        <v>40</v>
      </c>
      <c r="Z286" s="1" t="n">
        <v>0</v>
      </c>
    </row>
    <row r="287" customFormat="false" ht="15" hidden="false" customHeight="true" outlineLevel="0" collapsed="false">
      <c r="A287" s="1" t="s">
        <v>676</v>
      </c>
      <c r="B287" s="1" t="s">
        <v>541</v>
      </c>
      <c r="C287" s="1" t="s">
        <v>264</v>
      </c>
      <c r="D287" s="1" t="s">
        <v>80</v>
      </c>
      <c r="E287" s="1" t="s">
        <v>175</v>
      </c>
      <c r="F287" s="1" t="s">
        <v>150</v>
      </c>
      <c r="G287" s="1" t="s">
        <v>32</v>
      </c>
      <c r="H287" s="1" t="s">
        <v>57</v>
      </c>
      <c r="I287" s="1" t="s">
        <v>58</v>
      </c>
      <c r="J287" s="1" t="s">
        <v>35</v>
      </c>
      <c r="K287" s="1" t="s">
        <v>48</v>
      </c>
      <c r="L287" s="1" t="s">
        <v>49</v>
      </c>
      <c r="M287" s="1" t="s">
        <v>62</v>
      </c>
      <c r="N287" s="1" t="n">
        <v>19999</v>
      </c>
      <c r="O287" s="1" t="n">
        <v>20</v>
      </c>
      <c r="P287" s="1" t="n">
        <v>3999.8</v>
      </c>
      <c r="Q287" s="1" t="n">
        <v>15999.2</v>
      </c>
      <c r="R287" s="1" t="n">
        <v>2879.86</v>
      </c>
      <c r="S287" s="1" t="n">
        <v>13119.34</v>
      </c>
      <c r="T287" s="1" t="n">
        <v>5329.26</v>
      </c>
      <c r="U287" s="1" t="n">
        <v>7790.08</v>
      </c>
      <c r="V287" s="1" t="n">
        <v>59.38</v>
      </c>
      <c r="W287" s="1" t="s">
        <v>40</v>
      </c>
      <c r="Y287" s="1" t="s">
        <v>40</v>
      </c>
      <c r="Z287" s="1" t="n">
        <v>1</v>
      </c>
    </row>
    <row r="288" customFormat="false" ht="15" hidden="false" customHeight="true" outlineLevel="0" collapsed="false">
      <c r="A288" s="1" t="s">
        <v>677</v>
      </c>
      <c r="B288" s="1" t="s">
        <v>115</v>
      </c>
      <c r="C288" s="1" t="s">
        <v>65</v>
      </c>
      <c r="D288" s="1" t="s">
        <v>44</v>
      </c>
      <c r="E288" s="1" t="s">
        <v>45</v>
      </c>
      <c r="F288" s="1" t="s">
        <v>211</v>
      </c>
      <c r="G288" s="1" t="s">
        <v>56</v>
      </c>
      <c r="H288" s="1" t="s">
        <v>69</v>
      </c>
      <c r="I288" s="1" t="s">
        <v>34</v>
      </c>
      <c r="J288" s="1" t="s">
        <v>70</v>
      </c>
      <c r="K288" s="1" t="s">
        <v>48</v>
      </c>
      <c r="L288" s="1" t="s">
        <v>136</v>
      </c>
      <c r="M288" s="1" t="s">
        <v>38</v>
      </c>
      <c r="N288" s="1" t="n">
        <v>11999</v>
      </c>
      <c r="O288" s="1" t="n">
        <v>25</v>
      </c>
      <c r="P288" s="1" t="n">
        <v>2999.75</v>
      </c>
      <c r="Q288" s="1" t="n">
        <v>8999.25</v>
      </c>
      <c r="R288" s="1" t="n">
        <v>1619.87</v>
      </c>
      <c r="S288" s="1" t="n">
        <v>7379.38</v>
      </c>
      <c r="T288" s="1" t="n">
        <v>3460.62</v>
      </c>
      <c r="U288" s="1" t="n">
        <v>3918.76</v>
      </c>
      <c r="V288" s="1" t="n">
        <v>53.1</v>
      </c>
      <c r="W288" s="1" t="s">
        <v>39</v>
      </c>
      <c r="X288" s="1" t="n">
        <v>3.4</v>
      </c>
      <c r="Y288" s="1" t="s">
        <v>40</v>
      </c>
      <c r="Z288" s="1" t="n">
        <v>0</v>
      </c>
    </row>
    <row r="289" customFormat="false" ht="15" hidden="false" customHeight="true" outlineLevel="0" collapsed="false">
      <c r="A289" s="1" t="s">
        <v>678</v>
      </c>
      <c r="B289" s="1" t="s">
        <v>320</v>
      </c>
      <c r="C289" s="1" t="s">
        <v>264</v>
      </c>
      <c r="D289" s="1" t="s">
        <v>143</v>
      </c>
      <c r="E289" s="1" t="s">
        <v>144</v>
      </c>
      <c r="F289" s="1" t="s">
        <v>89</v>
      </c>
      <c r="G289" s="1" t="s">
        <v>68</v>
      </c>
      <c r="H289" s="1" t="s">
        <v>33</v>
      </c>
      <c r="I289" s="1" t="s">
        <v>58</v>
      </c>
      <c r="J289" s="1" t="s">
        <v>70</v>
      </c>
      <c r="K289" s="1" t="s">
        <v>71</v>
      </c>
      <c r="L289" s="1" t="s">
        <v>37</v>
      </c>
      <c r="M289" s="1" t="s">
        <v>62</v>
      </c>
      <c r="N289" s="1" t="n">
        <v>12999</v>
      </c>
      <c r="O289" s="1" t="n">
        <v>40</v>
      </c>
      <c r="P289" s="1" t="n">
        <v>5199.6</v>
      </c>
      <c r="Q289" s="1" t="n">
        <v>7799.4</v>
      </c>
      <c r="R289" s="1" t="n">
        <v>1403.89</v>
      </c>
      <c r="S289" s="1" t="n">
        <v>6395.51</v>
      </c>
      <c r="T289" s="1" t="n">
        <v>3608.04</v>
      </c>
      <c r="U289" s="1" t="n">
        <v>2787.47</v>
      </c>
      <c r="V289" s="1" t="n">
        <v>43.58</v>
      </c>
      <c r="W289" s="1" t="s">
        <v>39</v>
      </c>
      <c r="Y289" s="1" t="s">
        <v>40</v>
      </c>
      <c r="Z289" s="1" t="n">
        <v>0</v>
      </c>
    </row>
    <row r="290" customFormat="false" ht="15" hidden="false" customHeight="true" outlineLevel="0" collapsed="false">
      <c r="A290" s="1" t="s">
        <v>679</v>
      </c>
      <c r="B290" s="1" t="s">
        <v>680</v>
      </c>
      <c r="C290" s="1" t="s">
        <v>100</v>
      </c>
      <c r="D290" s="1" t="s">
        <v>44</v>
      </c>
      <c r="E290" s="1" t="s">
        <v>45</v>
      </c>
      <c r="F290" s="1" t="s">
        <v>130</v>
      </c>
      <c r="G290" s="1" t="s">
        <v>47</v>
      </c>
      <c r="H290" s="1" t="s">
        <v>69</v>
      </c>
      <c r="I290" s="1" t="s">
        <v>34</v>
      </c>
      <c r="J290" s="1" t="s">
        <v>35</v>
      </c>
      <c r="K290" s="1" t="s">
        <v>60</v>
      </c>
      <c r="L290" s="1" t="s">
        <v>85</v>
      </c>
      <c r="M290" s="1" t="s">
        <v>62</v>
      </c>
      <c r="N290" s="1" t="n">
        <v>11999</v>
      </c>
      <c r="O290" s="1" t="n">
        <v>15</v>
      </c>
      <c r="P290" s="1" t="n">
        <v>1799.85</v>
      </c>
      <c r="Q290" s="1" t="n">
        <v>10199.15</v>
      </c>
      <c r="R290" s="1" t="n">
        <v>1835.85</v>
      </c>
      <c r="S290" s="1" t="n">
        <v>8363.3</v>
      </c>
      <c r="T290" s="1" t="n">
        <v>2981.81</v>
      </c>
      <c r="U290" s="1" t="n">
        <v>5381.49</v>
      </c>
      <c r="V290" s="1" t="n">
        <v>64.35</v>
      </c>
      <c r="W290" s="1" t="s">
        <v>39</v>
      </c>
      <c r="X290" s="1" t="n">
        <v>3.8</v>
      </c>
      <c r="Y290" s="1" t="s">
        <v>40</v>
      </c>
      <c r="Z290" s="1" t="n">
        <v>0</v>
      </c>
    </row>
    <row r="291" customFormat="false" ht="15" hidden="false" customHeight="true" outlineLevel="0" collapsed="false">
      <c r="A291" s="1" t="s">
        <v>681</v>
      </c>
      <c r="B291" s="1" t="s">
        <v>458</v>
      </c>
      <c r="C291" s="1" t="s">
        <v>74</v>
      </c>
      <c r="D291" s="1" t="s">
        <v>44</v>
      </c>
      <c r="E291" s="1" t="s">
        <v>221</v>
      </c>
      <c r="F291" s="1" t="s">
        <v>120</v>
      </c>
      <c r="G291" s="1" t="s">
        <v>47</v>
      </c>
      <c r="H291" s="1" t="s">
        <v>57</v>
      </c>
      <c r="I291" s="1" t="s">
        <v>34</v>
      </c>
      <c r="J291" s="1" t="s">
        <v>77</v>
      </c>
      <c r="K291" s="1" t="s">
        <v>84</v>
      </c>
      <c r="L291" s="1" t="s">
        <v>85</v>
      </c>
      <c r="M291" s="1" t="s">
        <v>62</v>
      </c>
      <c r="N291" s="1" t="n">
        <v>16999</v>
      </c>
      <c r="O291" s="1" t="n">
        <v>10</v>
      </c>
      <c r="P291" s="1" t="n">
        <v>1699.9</v>
      </c>
      <c r="Q291" s="1" t="n">
        <v>15299.1</v>
      </c>
      <c r="R291" s="1" t="n">
        <v>2753.84</v>
      </c>
      <c r="S291" s="1" t="n">
        <v>12545.26</v>
      </c>
      <c r="T291" s="1" t="n">
        <v>6349.58</v>
      </c>
      <c r="U291" s="1" t="n">
        <v>6195.68</v>
      </c>
      <c r="V291" s="1" t="n">
        <v>49.39</v>
      </c>
      <c r="W291" s="1" t="s">
        <v>39</v>
      </c>
      <c r="X291" s="1" t="n">
        <v>3.6</v>
      </c>
      <c r="Y291" s="1" t="s">
        <v>40</v>
      </c>
      <c r="Z291" s="1" t="n">
        <v>0</v>
      </c>
    </row>
    <row r="292" customFormat="false" ht="15" hidden="false" customHeight="true" outlineLevel="0" collapsed="false">
      <c r="A292" s="1" t="s">
        <v>682</v>
      </c>
      <c r="B292" s="1" t="s">
        <v>683</v>
      </c>
      <c r="C292" s="1" t="s">
        <v>88</v>
      </c>
      <c r="D292" s="1" t="s">
        <v>80</v>
      </c>
      <c r="E292" s="1" t="s">
        <v>193</v>
      </c>
      <c r="F292" s="1" t="s">
        <v>156</v>
      </c>
      <c r="G292" s="1" t="s">
        <v>68</v>
      </c>
      <c r="H292" s="1" t="s">
        <v>57</v>
      </c>
      <c r="I292" s="1" t="s">
        <v>58</v>
      </c>
      <c r="J292" s="1" t="s">
        <v>59</v>
      </c>
      <c r="K292" s="1" t="s">
        <v>71</v>
      </c>
      <c r="L292" s="1" t="s">
        <v>136</v>
      </c>
      <c r="M292" s="1" t="s">
        <v>38</v>
      </c>
      <c r="N292" s="1" t="n">
        <v>8999</v>
      </c>
      <c r="O292" s="1" t="n">
        <v>10</v>
      </c>
      <c r="P292" s="1" t="n">
        <v>899.9</v>
      </c>
      <c r="Q292" s="1" t="n">
        <v>8099.1</v>
      </c>
      <c r="R292" s="1" t="n">
        <v>1457.84</v>
      </c>
      <c r="S292" s="1" t="n">
        <v>6641.26</v>
      </c>
      <c r="T292" s="1" t="n">
        <v>2653.85</v>
      </c>
      <c r="U292" s="1" t="n">
        <v>3987.41</v>
      </c>
      <c r="V292" s="1" t="n">
        <v>60.04</v>
      </c>
      <c r="W292" s="1" t="s">
        <v>39</v>
      </c>
      <c r="X292" s="1" t="n">
        <v>4.2</v>
      </c>
      <c r="Y292" s="1" t="s">
        <v>40</v>
      </c>
      <c r="Z292" s="1" t="n">
        <v>0</v>
      </c>
    </row>
    <row r="293" customFormat="false" ht="15" hidden="false" customHeight="true" outlineLevel="0" collapsed="false">
      <c r="A293" s="1" t="s">
        <v>684</v>
      </c>
      <c r="B293" s="1" t="s">
        <v>685</v>
      </c>
      <c r="C293" s="1" t="s">
        <v>119</v>
      </c>
      <c r="D293" s="1" t="s">
        <v>80</v>
      </c>
      <c r="E293" s="1" t="s">
        <v>193</v>
      </c>
      <c r="F293" s="1" t="s">
        <v>31</v>
      </c>
      <c r="G293" s="1" t="s">
        <v>32</v>
      </c>
      <c r="H293" s="1" t="s">
        <v>33</v>
      </c>
      <c r="I293" s="1" t="s">
        <v>34</v>
      </c>
      <c r="J293" s="1" t="s">
        <v>70</v>
      </c>
      <c r="K293" s="1" t="s">
        <v>104</v>
      </c>
      <c r="L293" s="1" t="s">
        <v>113</v>
      </c>
      <c r="M293" s="1" t="s">
        <v>38</v>
      </c>
      <c r="N293" s="1" t="n">
        <v>8999</v>
      </c>
      <c r="O293" s="1" t="n">
        <v>0</v>
      </c>
      <c r="P293" s="1" t="n">
        <v>0</v>
      </c>
      <c r="Q293" s="1" t="n">
        <v>8999</v>
      </c>
      <c r="R293" s="1" t="n">
        <v>1619.82</v>
      </c>
      <c r="S293" s="1" t="n">
        <v>7379.18</v>
      </c>
      <c r="T293" s="1" t="n">
        <v>4009.65</v>
      </c>
      <c r="U293" s="1" t="n">
        <v>3369.53</v>
      </c>
      <c r="V293" s="1" t="n">
        <v>45.66</v>
      </c>
      <c r="W293" s="1" t="s">
        <v>40</v>
      </c>
      <c r="Y293" s="1" t="s">
        <v>39</v>
      </c>
      <c r="Z293" s="1" t="n">
        <v>0</v>
      </c>
    </row>
    <row r="294" customFormat="false" ht="15" hidden="false" customHeight="true" outlineLevel="0" collapsed="false">
      <c r="A294" s="1" t="s">
        <v>686</v>
      </c>
      <c r="B294" s="1" t="s">
        <v>687</v>
      </c>
      <c r="C294" s="1" t="s">
        <v>74</v>
      </c>
      <c r="D294" s="1" t="s">
        <v>80</v>
      </c>
      <c r="E294" s="1" t="s">
        <v>81</v>
      </c>
      <c r="F294" s="1" t="s">
        <v>67</v>
      </c>
      <c r="G294" s="1" t="s">
        <v>68</v>
      </c>
      <c r="H294" s="1" t="s">
        <v>69</v>
      </c>
      <c r="I294" s="1" t="s">
        <v>34</v>
      </c>
      <c r="J294" s="1" t="s">
        <v>77</v>
      </c>
      <c r="K294" s="1" t="s">
        <v>90</v>
      </c>
      <c r="L294" s="1" t="s">
        <v>37</v>
      </c>
      <c r="M294" s="1" t="s">
        <v>62</v>
      </c>
      <c r="N294" s="1" t="n">
        <v>12999</v>
      </c>
      <c r="O294" s="1" t="n">
        <v>20</v>
      </c>
      <c r="P294" s="1" t="n">
        <v>2599.8</v>
      </c>
      <c r="Q294" s="1" t="n">
        <v>10399.2</v>
      </c>
      <c r="R294" s="1" t="n">
        <v>1871.86</v>
      </c>
      <c r="S294" s="1" t="n">
        <v>8527.34</v>
      </c>
      <c r="T294" s="1" t="n">
        <v>3502.22</v>
      </c>
      <c r="U294" s="1" t="n">
        <v>5025.12</v>
      </c>
      <c r="V294" s="1" t="n">
        <v>58.93</v>
      </c>
      <c r="W294" s="1" t="s">
        <v>40</v>
      </c>
      <c r="Y294" s="1" t="s">
        <v>40</v>
      </c>
      <c r="Z294" s="1" t="n">
        <v>2</v>
      </c>
    </row>
    <row r="295" customFormat="false" ht="15" hidden="false" customHeight="true" outlineLevel="0" collapsed="false">
      <c r="A295" s="1" t="s">
        <v>688</v>
      </c>
      <c r="B295" s="1" t="s">
        <v>689</v>
      </c>
      <c r="C295" s="1" t="s">
        <v>119</v>
      </c>
      <c r="D295" s="1" t="s">
        <v>29</v>
      </c>
      <c r="E295" s="1" t="s">
        <v>30</v>
      </c>
      <c r="F295" s="1" t="s">
        <v>187</v>
      </c>
      <c r="G295" s="1" t="s">
        <v>97</v>
      </c>
      <c r="H295" s="1" t="s">
        <v>69</v>
      </c>
      <c r="I295" s="1" t="s">
        <v>83</v>
      </c>
      <c r="J295" s="1" t="s">
        <v>70</v>
      </c>
      <c r="K295" s="1" t="s">
        <v>112</v>
      </c>
      <c r="L295" s="1" t="s">
        <v>37</v>
      </c>
      <c r="M295" s="1" t="s">
        <v>62</v>
      </c>
      <c r="N295" s="1" t="n">
        <v>7999</v>
      </c>
      <c r="O295" s="1" t="n">
        <v>40</v>
      </c>
      <c r="P295" s="1" t="n">
        <v>3199.6</v>
      </c>
      <c r="Q295" s="1" t="n">
        <v>4799.4</v>
      </c>
      <c r="R295" s="1" t="n">
        <v>863.89</v>
      </c>
      <c r="S295" s="1" t="n">
        <v>3935.51</v>
      </c>
      <c r="T295" s="1" t="n">
        <v>1858.25</v>
      </c>
      <c r="U295" s="1" t="n">
        <v>2077.26</v>
      </c>
      <c r="V295" s="1" t="n">
        <v>52.78</v>
      </c>
      <c r="W295" s="1" t="s">
        <v>40</v>
      </c>
      <c r="Y295" s="1" t="s">
        <v>39</v>
      </c>
      <c r="Z295" s="1" t="n">
        <v>1</v>
      </c>
    </row>
    <row r="296" customFormat="false" ht="15" hidden="false" customHeight="true" outlineLevel="0" collapsed="false">
      <c r="A296" s="1" t="s">
        <v>690</v>
      </c>
      <c r="B296" s="1" t="s">
        <v>133</v>
      </c>
      <c r="C296" s="1" t="s">
        <v>28</v>
      </c>
      <c r="D296" s="1" t="s">
        <v>53</v>
      </c>
      <c r="E296" s="1" t="s">
        <v>116</v>
      </c>
      <c r="F296" s="1" t="s">
        <v>102</v>
      </c>
      <c r="G296" s="1" t="s">
        <v>103</v>
      </c>
      <c r="H296" s="1" t="s">
        <v>33</v>
      </c>
      <c r="I296" s="1" t="s">
        <v>58</v>
      </c>
      <c r="J296" s="1" t="s">
        <v>131</v>
      </c>
      <c r="K296" s="1" t="s">
        <v>60</v>
      </c>
      <c r="L296" s="1" t="s">
        <v>37</v>
      </c>
      <c r="M296" s="1" t="s">
        <v>62</v>
      </c>
      <c r="N296" s="1" t="n">
        <v>9999</v>
      </c>
      <c r="O296" s="1" t="n">
        <v>5</v>
      </c>
      <c r="P296" s="1" t="n">
        <v>499.95</v>
      </c>
      <c r="Q296" s="1" t="n">
        <v>9499.05</v>
      </c>
      <c r="R296" s="1" t="n">
        <v>1709.83</v>
      </c>
      <c r="S296" s="1" t="n">
        <v>7789.22</v>
      </c>
      <c r="T296" s="1" t="n">
        <v>2641.48</v>
      </c>
      <c r="U296" s="1" t="n">
        <v>5147.74</v>
      </c>
      <c r="V296" s="1" t="n">
        <v>66.09</v>
      </c>
      <c r="W296" s="1" t="s">
        <v>40</v>
      </c>
      <c r="Y296" s="1" t="s">
        <v>39</v>
      </c>
      <c r="Z296" s="1" t="n">
        <v>1</v>
      </c>
    </row>
    <row r="297" customFormat="false" ht="15" hidden="false" customHeight="true" outlineLevel="0" collapsed="false">
      <c r="A297" s="1" t="s">
        <v>691</v>
      </c>
      <c r="B297" s="1" t="s">
        <v>692</v>
      </c>
      <c r="C297" s="1" t="s">
        <v>134</v>
      </c>
      <c r="D297" s="1" t="s">
        <v>168</v>
      </c>
      <c r="E297" s="1" t="s">
        <v>169</v>
      </c>
      <c r="F297" s="1" t="s">
        <v>96</v>
      </c>
      <c r="G297" s="1" t="s">
        <v>97</v>
      </c>
      <c r="H297" s="1" t="s">
        <v>69</v>
      </c>
      <c r="I297" s="1" t="s">
        <v>34</v>
      </c>
      <c r="J297" s="1" t="s">
        <v>77</v>
      </c>
      <c r="K297" s="1" t="s">
        <v>104</v>
      </c>
      <c r="L297" s="1" t="s">
        <v>113</v>
      </c>
      <c r="M297" s="1" t="s">
        <v>38</v>
      </c>
      <c r="N297" s="1" t="n">
        <v>4999</v>
      </c>
      <c r="O297" s="1" t="n">
        <v>20</v>
      </c>
      <c r="P297" s="1" t="n">
        <v>999.8</v>
      </c>
      <c r="Q297" s="1" t="n">
        <v>3999.2</v>
      </c>
      <c r="R297" s="1" t="n">
        <v>719.86</v>
      </c>
      <c r="S297" s="1" t="n">
        <v>3279.34</v>
      </c>
      <c r="T297" s="1" t="n">
        <v>1280.9</v>
      </c>
      <c r="U297" s="1" t="n">
        <v>1998.44</v>
      </c>
      <c r="V297" s="1" t="n">
        <v>60.94</v>
      </c>
      <c r="W297" s="1" t="s">
        <v>39</v>
      </c>
      <c r="X297" s="1" t="n">
        <v>3.6</v>
      </c>
      <c r="Y297" s="1" t="s">
        <v>40</v>
      </c>
      <c r="Z297" s="1" t="n">
        <v>0</v>
      </c>
    </row>
    <row r="298" customFormat="false" ht="15" hidden="false" customHeight="true" outlineLevel="0" collapsed="false">
      <c r="A298" s="1" t="s">
        <v>693</v>
      </c>
      <c r="B298" s="1" t="s">
        <v>694</v>
      </c>
      <c r="C298" s="1" t="s">
        <v>88</v>
      </c>
      <c r="D298" s="1" t="s">
        <v>53</v>
      </c>
      <c r="E298" s="1" t="s">
        <v>216</v>
      </c>
      <c r="F298" s="1" t="s">
        <v>107</v>
      </c>
      <c r="G298" s="1" t="s">
        <v>108</v>
      </c>
      <c r="H298" s="1" t="s">
        <v>33</v>
      </c>
      <c r="I298" s="1" t="s">
        <v>83</v>
      </c>
      <c r="J298" s="1" t="s">
        <v>70</v>
      </c>
      <c r="K298" s="1" t="s">
        <v>104</v>
      </c>
      <c r="L298" s="1" t="s">
        <v>113</v>
      </c>
      <c r="M298" s="1" t="s">
        <v>62</v>
      </c>
      <c r="N298" s="1" t="n">
        <v>7499</v>
      </c>
      <c r="O298" s="1" t="n">
        <v>0</v>
      </c>
      <c r="P298" s="1" t="n">
        <v>0</v>
      </c>
      <c r="Q298" s="1" t="n">
        <v>7499</v>
      </c>
      <c r="R298" s="1" t="n">
        <v>1349.82</v>
      </c>
      <c r="S298" s="1" t="n">
        <v>6149.18</v>
      </c>
      <c r="T298" s="1" t="n">
        <v>2070.41</v>
      </c>
      <c r="U298" s="1" t="n">
        <v>4078.77</v>
      </c>
      <c r="V298" s="1" t="n">
        <v>66.33</v>
      </c>
      <c r="W298" s="1" t="s">
        <v>40</v>
      </c>
      <c r="Y298" s="1" t="s">
        <v>39</v>
      </c>
      <c r="Z298" s="1" t="n">
        <v>1</v>
      </c>
    </row>
    <row r="299" customFormat="false" ht="15" hidden="false" customHeight="true" outlineLevel="0" collapsed="false">
      <c r="A299" s="1" t="s">
        <v>695</v>
      </c>
      <c r="B299" s="1" t="s">
        <v>309</v>
      </c>
      <c r="C299" s="1" t="s">
        <v>74</v>
      </c>
      <c r="D299" s="1" t="s">
        <v>44</v>
      </c>
      <c r="E299" s="1" t="s">
        <v>221</v>
      </c>
      <c r="F299" s="1" t="s">
        <v>696</v>
      </c>
      <c r="G299" s="1" t="s">
        <v>56</v>
      </c>
      <c r="H299" s="1" t="s">
        <v>69</v>
      </c>
      <c r="I299" s="1" t="s">
        <v>34</v>
      </c>
      <c r="J299" s="1" t="s">
        <v>77</v>
      </c>
      <c r="K299" s="1" t="s">
        <v>104</v>
      </c>
      <c r="L299" s="1" t="s">
        <v>49</v>
      </c>
      <c r="M299" s="1" t="s">
        <v>50</v>
      </c>
      <c r="N299" s="1" t="n">
        <v>16999</v>
      </c>
      <c r="O299" s="1" t="n">
        <v>15</v>
      </c>
      <c r="P299" s="1" t="n">
        <v>2549.85</v>
      </c>
      <c r="Q299" s="1" t="n">
        <v>14449.15</v>
      </c>
      <c r="R299" s="1" t="n">
        <v>2600.85</v>
      </c>
      <c r="S299" s="1" t="n">
        <v>11848.3</v>
      </c>
      <c r="T299" s="1" t="n">
        <v>5429.96</v>
      </c>
      <c r="U299" s="1" t="n">
        <v>6418.34</v>
      </c>
      <c r="V299" s="1" t="n">
        <v>54.17</v>
      </c>
      <c r="W299" s="1" t="s">
        <v>40</v>
      </c>
      <c r="Y299" s="1" t="s">
        <v>39</v>
      </c>
      <c r="Z299" s="1" t="n">
        <v>1</v>
      </c>
    </row>
    <row r="300" customFormat="false" ht="15" hidden="false" customHeight="true" outlineLevel="0" collapsed="false">
      <c r="A300" s="1" t="s">
        <v>697</v>
      </c>
      <c r="B300" s="1" t="s">
        <v>698</v>
      </c>
      <c r="C300" s="1" t="s">
        <v>43</v>
      </c>
      <c r="D300" s="1" t="s">
        <v>53</v>
      </c>
      <c r="E300" s="1" t="s">
        <v>116</v>
      </c>
      <c r="F300" s="1" t="s">
        <v>55</v>
      </c>
      <c r="G300" s="1" t="s">
        <v>56</v>
      </c>
      <c r="H300" s="1" t="s">
        <v>57</v>
      </c>
      <c r="I300" s="1" t="s">
        <v>34</v>
      </c>
      <c r="J300" s="1" t="s">
        <v>70</v>
      </c>
      <c r="K300" s="1" t="s">
        <v>104</v>
      </c>
      <c r="L300" s="1" t="s">
        <v>61</v>
      </c>
      <c r="M300" s="1" t="s">
        <v>62</v>
      </c>
      <c r="N300" s="1" t="n">
        <v>9999</v>
      </c>
      <c r="O300" s="1" t="n">
        <v>0</v>
      </c>
      <c r="P300" s="1" t="n">
        <v>0</v>
      </c>
      <c r="Q300" s="1" t="n">
        <v>9999</v>
      </c>
      <c r="R300" s="1" t="n">
        <v>1799.82</v>
      </c>
      <c r="S300" s="1" t="n">
        <v>8199.18</v>
      </c>
      <c r="T300" s="1" t="n">
        <v>4116.17</v>
      </c>
      <c r="U300" s="1" t="n">
        <v>4083.01</v>
      </c>
      <c r="V300" s="1" t="n">
        <v>49.8</v>
      </c>
      <c r="W300" s="1" t="s">
        <v>39</v>
      </c>
      <c r="X300" s="1" t="n">
        <v>3.5</v>
      </c>
      <c r="Y300" s="1" t="s">
        <v>40</v>
      </c>
      <c r="Z300" s="1" t="n">
        <v>0</v>
      </c>
    </row>
    <row r="301" customFormat="false" ht="15" hidden="false" customHeight="true" outlineLevel="0" collapsed="false">
      <c r="A301" s="1" t="s">
        <v>699</v>
      </c>
      <c r="B301" s="1" t="s">
        <v>362</v>
      </c>
      <c r="C301" s="1" t="s">
        <v>100</v>
      </c>
      <c r="D301" s="1" t="s">
        <v>123</v>
      </c>
      <c r="E301" s="1" t="s">
        <v>233</v>
      </c>
      <c r="F301" s="1" t="s">
        <v>153</v>
      </c>
      <c r="G301" s="1" t="s">
        <v>76</v>
      </c>
      <c r="H301" s="1" t="s">
        <v>33</v>
      </c>
      <c r="I301" s="1" t="s">
        <v>58</v>
      </c>
      <c r="J301" s="1" t="s">
        <v>77</v>
      </c>
      <c r="K301" s="1" t="s">
        <v>104</v>
      </c>
      <c r="L301" s="1" t="s">
        <v>136</v>
      </c>
      <c r="M301" s="1" t="s">
        <v>62</v>
      </c>
      <c r="N301" s="1" t="n">
        <v>8999</v>
      </c>
      <c r="O301" s="1" t="n">
        <v>25</v>
      </c>
      <c r="P301" s="1" t="n">
        <v>2249.75</v>
      </c>
      <c r="Q301" s="1" t="n">
        <v>6749.25</v>
      </c>
      <c r="R301" s="1" t="n">
        <v>1214.87</v>
      </c>
      <c r="S301" s="1" t="n">
        <v>5534.38</v>
      </c>
      <c r="T301" s="1" t="n">
        <v>2501.21</v>
      </c>
      <c r="U301" s="1" t="n">
        <v>3033.17</v>
      </c>
      <c r="V301" s="1" t="n">
        <v>54.81</v>
      </c>
      <c r="W301" s="1" t="s">
        <v>39</v>
      </c>
      <c r="X301" s="1" t="n">
        <v>4.6</v>
      </c>
      <c r="Y301" s="1" t="s">
        <v>40</v>
      </c>
      <c r="Z301" s="1" t="n">
        <v>1</v>
      </c>
    </row>
    <row r="302" customFormat="false" ht="15" hidden="false" customHeight="true" outlineLevel="0" collapsed="false">
      <c r="A302" s="1" t="s">
        <v>700</v>
      </c>
      <c r="B302" s="1" t="s">
        <v>701</v>
      </c>
      <c r="C302" s="1" t="s">
        <v>119</v>
      </c>
      <c r="D302" s="1" t="s">
        <v>80</v>
      </c>
      <c r="E302" s="1" t="s">
        <v>190</v>
      </c>
      <c r="F302" s="1" t="s">
        <v>140</v>
      </c>
      <c r="G302" s="1" t="s">
        <v>97</v>
      </c>
      <c r="H302" s="1" t="s">
        <v>57</v>
      </c>
      <c r="I302" s="1" t="s">
        <v>34</v>
      </c>
      <c r="J302" s="1" t="s">
        <v>59</v>
      </c>
      <c r="K302" s="1" t="s">
        <v>60</v>
      </c>
      <c r="L302" s="1" t="s">
        <v>85</v>
      </c>
      <c r="M302" s="1" t="s">
        <v>50</v>
      </c>
      <c r="N302" s="1" t="n">
        <v>15999</v>
      </c>
      <c r="O302" s="1" t="n">
        <v>10</v>
      </c>
      <c r="P302" s="1" t="n">
        <v>1599.9</v>
      </c>
      <c r="Q302" s="1" t="n">
        <v>14399.1</v>
      </c>
      <c r="R302" s="1" t="n">
        <v>2591.84</v>
      </c>
      <c r="S302" s="1" t="n">
        <v>11807.26</v>
      </c>
      <c r="T302" s="1" t="n">
        <v>5054.14</v>
      </c>
      <c r="U302" s="1" t="n">
        <v>6753.12</v>
      </c>
      <c r="V302" s="1" t="n">
        <v>57.19</v>
      </c>
      <c r="W302" s="1" t="s">
        <v>40</v>
      </c>
      <c r="Y302" s="1" t="s">
        <v>40</v>
      </c>
      <c r="Z302" s="1" t="n">
        <v>1</v>
      </c>
    </row>
    <row r="303" customFormat="false" ht="15" hidden="false" customHeight="true" outlineLevel="0" collapsed="false">
      <c r="A303" s="1" t="s">
        <v>702</v>
      </c>
      <c r="B303" s="1" t="s">
        <v>703</v>
      </c>
      <c r="C303" s="1" t="s">
        <v>134</v>
      </c>
      <c r="D303" s="1" t="s">
        <v>53</v>
      </c>
      <c r="E303" s="1" t="s">
        <v>216</v>
      </c>
      <c r="F303" s="1" t="s">
        <v>184</v>
      </c>
      <c r="G303" s="1" t="s">
        <v>56</v>
      </c>
      <c r="H303" s="1" t="s">
        <v>57</v>
      </c>
      <c r="I303" s="1" t="s">
        <v>34</v>
      </c>
      <c r="J303" s="1" t="s">
        <v>70</v>
      </c>
      <c r="K303" s="1" t="s">
        <v>60</v>
      </c>
      <c r="L303" s="1" t="s">
        <v>136</v>
      </c>
      <c r="M303" s="1" t="s">
        <v>38</v>
      </c>
      <c r="N303" s="1" t="n">
        <v>7499</v>
      </c>
      <c r="O303" s="1" t="n">
        <v>50</v>
      </c>
      <c r="P303" s="1" t="n">
        <v>3749.5</v>
      </c>
      <c r="Q303" s="1" t="n">
        <v>3749.5</v>
      </c>
      <c r="R303" s="1" t="n">
        <v>674.91</v>
      </c>
      <c r="S303" s="1" t="n">
        <v>3074.59</v>
      </c>
      <c r="T303" s="1" t="n">
        <v>1626.03</v>
      </c>
      <c r="U303" s="1" t="n">
        <v>1448.56</v>
      </c>
      <c r="V303" s="1" t="n">
        <v>47.11</v>
      </c>
      <c r="W303" s="1" t="s">
        <v>39</v>
      </c>
      <c r="Y303" s="1" t="s">
        <v>40</v>
      </c>
      <c r="Z303" s="1" t="n">
        <v>0</v>
      </c>
    </row>
    <row r="304" customFormat="false" ht="15" hidden="false" customHeight="true" outlineLevel="0" collapsed="false">
      <c r="A304" s="1" t="s">
        <v>704</v>
      </c>
      <c r="B304" s="1" t="s">
        <v>669</v>
      </c>
      <c r="C304" s="1" t="s">
        <v>167</v>
      </c>
      <c r="D304" s="1" t="s">
        <v>44</v>
      </c>
      <c r="E304" s="1" t="s">
        <v>221</v>
      </c>
      <c r="F304" s="1" t="s">
        <v>187</v>
      </c>
      <c r="G304" s="1" t="s">
        <v>97</v>
      </c>
      <c r="H304" s="1" t="s">
        <v>69</v>
      </c>
      <c r="I304" s="1" t="s">
        <v>58</v>
      </c>
      <c r="J304" s="1" t="s">
        <v>77</v>
      </c>
      <c r="K304" s="1" t="s">
        <v>71</v>
      </c>
      <c r="L304" s="1" t="s">
        <v>136</v>
      </c>
      <c r="M304" s="1" t="s">
        <v>50</v>
      </c>
      <c r="N304" s="1" t="n">
        <v>16999</v>
      </c>
      <c r="O304" s="1" t="n">
        <v>30</v>
      </c>
      <c r="P304" s="1" t="n">
        <v>5099.7</v>
      </c>
      <c r="Q304" s="1" t="n">
        <v>11899.3</v>
      </c>
      <c r="R304" s="1" t="n">
        <v>2141.87</v>
      </c>
      <c r="S304" s="1" t="n">
        <v>9757.43</v>
      </c>
      <c r="T304" s="1" t="n">
        <v>3645.53</v>
      </c>
      <c r="U304" s="1" t="n">
        <v>6111.9</v>
      </c>
      <c r="V304" s="1" t="n">
        <v>62.64</v>
      </c>
      <c r="W304" s="1" t="s">
        <v>39</v>
      </c>
      <c r="X304" s="1" t="n">
        <v>4</v>
      </c>
      <c r="Y304" s="1" t="s">
        <v>40</v>
      </c>
      <c r="Z304" s="1" t="n">
        <v>0</v>
      </c>
    </row>
    <row r="305" customFormat="false" ht="15" hidden="false" customHeight="true" outlineLevel="0" collapsed="false">
      <c r="A305" s="1" t="s">
        <v>705</v>
      </c>
      <c r="B305" s="1" t="s">
        <v>596</v>
      </c>
      <c r="C305" s="1" t="s">
        <v>88</v>
      </c>
      <c r="D305" s="1" t="s">
        <v>123</v>
      </c>
      <c r="E305" s="1" t="s">
        <v>124</v>
      </c>
      <c r="F305" s="1" t="s">
        <v>46</v>
      </c>
      <c r="G305" s="1" t="s">
        <v>47</v>
      </c>
      <c r="H305" s="1" t="s">
        <v>33</v>
      </c>
      <c r="I305" s="1" t="s">
        <v>83</v>
      </c>
      <c r="J305" s="1" t="s">
        <v>77</v>
      </c>
      <c r="K305" s="1" t="s">
        <v>112</v>
      </c>
      <c r="L305" s="1" t="s">
        <v>61</v>
      </c>
      <c r="M305" s="1" t="s">
        <v>62</v>
      </c>
      <c r="N305" s="1" t="n">
        <v>4999</v>
      </c>
      <c r="O305" s="1" t="n">
        <v>0</v>
      </c>
      <c r="P305" s="1" t="n">
        <v>0</v>
      </c>
      <c r="Q305" s="1" t="n">
        <v>4999</v>
      </c>
      <c r="R305" s="1" t="n">
        <v>899.82</v>
      </c>
      <c r="S305" s="1" t="n">
        <v>4099.18</v>
      </c>
      <c r="T305" s="1" t="n">
        <v>1851.31</v>
      </c>
      <c r="U305" s="1" t="n">
        <v>2247.87</v>
      </c>
      <c r="V305" s="1" t="n">
        <v>54.84</v>
      </c>
      <c r="W305" s="1" t="s">
        <v>39</v>
      </c>
      <c r="X305" s="1" t="n">
        <v>4</v>
      </c>
      <c r="Y305" s="1" t="s">
        <v>40</v>
      </c>
      <c r="Z305" s="1" t="n">
        <v>1</v>
      </c>
    </row>
    <row r="306" customFormat="false" ht="15" hidden="false" customHeight="true" outlineLevel="0" collapsed="false">
      <c r="A306" s="1" t="s">
        <v>706</v>
      </c>
      <c r="B306" s="1" t="s">
        <v>707</v>
      </c>
      <c r="C306" s="1" t="s">
        <v>88</v>
      </c>
      <c r="D306" s="1" t="s">
        <v>168</v>
      </c>
      <c r="E306" s="1" t="s">
        <v>169</v>
      </c>
      <c r="F306" s="1" t="s">
        <v>150</v>
      </c>
      <c r="G306" s="1" t="s">
        <v>32</v>
      </c>
      <c r="H306" s="1" t="s">
        <v>57</v>
      </c>
      <c r="I306" s="1" t="s">
        <v>34</v>
      </c>
      <c r="J306" s="1" t="s">
        <v>77</v>
      </c>
      <c r="K306" s="1" t="s">
        <v>112</v>
      </c>
      <c r="L306" s="1" t="s">
        <v>136</v>
      </c>
      <c r="M306" s="1" t="s">
        <v>38</v>
      </c>
      <c r="N306" s="1" t="n">
        <v>4999</v>
      </c>
      <c r="O306" s="1" t="n">
        <v>20</v>
      </c>
      <c r="P306" s="1" t="n">
        <v>999.8</v>
      </c>
      <c r="Q306" s="1" t="n">
        <v>3999.2</v>
      </c>
      <c r="R306" s="1" t="n">
        <v>719.86</v>
      </c>
      <c r="S306" s="1" t="n">
        <v>3279.34</v>
      </c>
      <c r="T306" s="1" t="n">
        <v>1503.72</v>
      </c>
      <c r="U306" s="1" t="n">
        <v>1775.62</v>
      </c>
      <c r="V306" s="1" t="n">
        <v>54.15</v>
      </c>
      <c r="W306" s="1" t="s">
        <v>39</v>
      </c>
      <c r="X306" s="1" t="n">
        <v>3.7</v>
      </c>
      <c r="Y306" s="1" t="s">
        <v>40</v>
      </c>
      <c r="Z306" s="1" t="n">
        <v>0</v>
      </c>
    </row>
    <row r="307" customFormat="false" ht="15" hidden="false" customHeight="true" outlineLevel="0" collapsed="false">
      <c r="A307" s="1" t="s">
        <v>708</v>
      </c>
      <c r="B307" s="1" t="s">
        <v>535</v>
      </c>
      <c r="C307" s="1" t="s">
        <v>93</v>
      </c>
      <c r="D307" s="1" t="s">
        <v>29</v>
      </c>
      <c r="E307" s="1" t="s">
        <v>30</v>
      </c>
      <c r="F307" s="1" t="s">
        <v>46</v>
      </c>
      <c r="G307" s="1" t="s">
        <v>47</v>
      </c>
      <c r="H307" s="1" t="s">
        <v>33</v>
      </c>
      <c r="I307" s="1" t="s">
        <v>83</v>
      </c>
      <c r="J307" s="1" t="s">
        <v>131</v>
      </c>
      <c r="K307" s="1" t="s">
        <v>90</v>
      </c>
      <c r="L307" s="1" t="s">
        <v>136</v>
      </c>
      <c r="M307" s="1" t="s">
        <v>38</v>
      </c>
      <c r="N307" s="1" t="n">
        <v>7999</v>
      </c>
      <c r="O307" s="1" t="n">
        <v>25</v>
      </c>
      <c r="P307" s="1" t="n">
        <v>1999.75</v>
      </c>
      <c r="Q307" s="1" t="n">
        <v>5999.25</v>
      </c>
      <c r="R307" s="1" t="n">
        <v>1079.87</v>
      </c>
      <c r="S307" s="1" t="n">
        <v>4919.38</v>
      </c>
      <c r="T307" s="1" t="n">
        <v>1642.66</v>
      </c>
      <c r="U307" s="1" t="n">
        <v>3276.72</v>
      </c>
      <c r="V307" s="1" t="n">
        <v>66.61</v>
      </c>
      <c r="W307" s="1" t="s">
        <v>39</v>
      </c>
      <c r="Y307" s="1" t="s">
        <v>40</v>
      </c>
      <c r="Z307" s="1" t="n">
        <v>0</v>
      </c>
    </row>
    <row r="308" customFormat="false" ht="15" hidden="false" customHeight="true" outlineLevel="0" collapsed="false">
      <c r="A308" s="1" t="s">
        <v>709</v>
      </c>
      <c r="B308" s="1" t="s">
        <v>710</v>
      </c>
      <c r="C308" s="1" t="s">
        <v>128</v>
      </c>
      <c r="D308" s="1" t="s">
        <v>123</v>
      </c>
      <c r="E308" s="1" t="s">
        <v>124</v>
      </c>
      <c r="F308" s="1" t="s">
        <v>150</v>
      </c>
      <c r="G308" s="1" t="s">
        <v>32</v>
      </c>
      <c r="H308" s="1" t="s">
        <v>57</v>
      </c>
      <c r="I308" s="1" t="s">
        <v>34</v>
      </c>
      <c r="J308" s="1" t="s">
        <v>59</v>
      </c>
      <c r="K308" s="1" t="s">
        <v>48</v>
      </c>
      <c r="L308" s="1" t="s">
        <v>37</v>
      </c>
      <c r="M308" s="1" t="s">
        <v>38</v>
      </c>
      <c r="N308" s="1" t="n">
        <v>4999</v>
      </c>
      <c r="O308" s="1" t="n">
        <v>20</v>
      </c>
      <c r="P308" s="1" t="n">
        <v>999.8</v>
      </c>
      <c r="Q308" s="1" t="n">
        <v>3999.2</v>
      </c>
      <c r="R308" s="1" t="n">
        <v>719.86</v>
      </c>
      <c r="S308" s="1" t="n">
        <v>3279.34</v>
      </c>
      <c r="T308" s="1" t="n">
        <v>1557.96</v>
      </c>
      <c r="U308" s="1" t="n">
        <v>1721.38</v>
      </c>
      <c r="V308" s="1" t="n">
        <v>52.49</v>
      </c>
      <c r="W308" s="1" t="s">
        <v>39</v>
      </c>
      <c r="X308" s="1" t="n">
        <v>4.1</v>
      </c>
      <c r="Y308" s="1" t="s">
        <v>40</v>
      </c>
      <c r="Z308" s="1" t="n">
        <v>0</v>
      </c>
    </row>
    <row r="309" customFormat="false" ht="15" hidden="false" customHeight="true" outlineLevel="0" collapsed="false">
      <c r="A309" s="1" t="s">
        <v>711</v>
      </c>
      <c r="B309" s="1" t="s">
        <v>712</v>
      </c>
      <c r="C309" s="1" t="s">
        <v>100</v>
      </c>
      <c r="D309" s="1" t="s">
        <v>168</v>
      </c>
      <c r="E309" s="1" t="s">
        <v>328</v>
      </c>
      <c r="F309" s="1" t="s">
        <v>107</v>
      </c>
      <c r="G309" s="1" t="s">
        <v>108</v>
      </c>
      <c r="H309" s="1" t="s">
        <v>33</v>
      </c>
      <c r="I309" s="1" t="s">
        <v>58</v>
      </c>
      <c r="J309" s="1" t="s">
        <v>59</v>
      </c>
      <c r="K309" s="1" t="s">
        <v>104</v>
      </c>
      <c r="L309" s="1" t="s">
        <v>136</v>
      </c>
      <c r="M309" s="1" t="s">
        <v>50</v>
      </c>
      <c r="N309" s="1" t="n">
        <v>8999</v>
      </c>
      <c r="O309" s="1" t="n">
        <v>20</v>
      </c>
      <c r="P309" s="1" t="n">
        <v>1799.8</v>
      </c>
      <c r="Q309" s="1" t="n">
        <v>7199.2</v>
      </c>
      <c r="R309" s="1" t="n">
        <v>1295.86</v>
      </c>
      <c r="S309" s="1" t="n">
        <v>5903.34</v>
      </c>
      <c r="T309" s="1" t="n">
        <v>2946.53</v>
      </c>
      <c r="U309" s="1" t="n">
        <v>2956.81</v>
      </c>
      <c r="V309" s="1" t="n">
        <v>50.09</v>
      </c>
      <c r="W309" s="1" t="s">
        <v>40</v>
      </c>
      <c r="Y309" s="1" t="s">
        <v>39</v>
      </c>
      <c r="Z309" s="1" t="n">
        <v>0</v>
      </c>
    </row>
    <row r="310" customFormat="false" ht="15" hidden="false" customHeight="true" outlineLevel="0" collapsed="false">
      <c r="A310" s="1" t="s">
        <v>713</v>
      </c>
      <c r="B310" s="1" t="s">
        <v>714</v>
      </c>
      <c r="C310" s="1" t="s">
        <v>178</v>
      </c>
      <c r="D310" s="1" t="s">
        <v>94</v>
      </c>
      <c r="E310" s="1" t="s">
        <v>101</v>
      </c>
      <c r="F310" s="1" t="s">
        <v>150</v>
      </c>
      <c r="G310" s="1" t="s">
        <v>32</v>
      </c>
      <c r="H310" s="1" t="s">
        <v>57</v>
      </c>
      <c r="I310" s="1" t="s">
        <v>58</v>
      </c>
      <c r="J310" s="1" t="s">
        <v>59</v>
      </c>
      <c r="K310" s="1" t="s">
        <v>112</v>
      </c>
      <c r="L310" s="1" t="s">
        <v>37</v>
      </c>
      <c r="M310" s="1" t="s">
        <v>50</v>
      </c>
      <c r="N310" s="1" t="n">
        <v>14999</v>
      </c>
      <c r="O310" s="1" t="n">
        <v>0</v>
      </c>
      <c r="P310" s="1" t="n">
        <v>0</v>
      </c>
      <c r="Q310" s="1" t="n">
        <v>14999</v>
      </c>
      <c r="R310" s="1" t="n">
        <v>2699.82</v>
      </c>
      <c r="S310" s="1" t="n">
        <v>12299.18</v>
      </c>
      <c r="T310" s="1" t="n">
        <v>4862.15</v>
      </c>
      <c r="U310" s="1" t="n">
        <v>7437.03</v>
      </c>
      <c r="V310" s="1" t="n">
        <v>60.47</v>
      </c>
      <c r="W310" s="1" t="s">
        <v>39</v>
      </c>
      <c r="X310" s="1" t="n">
        <v>4</v>
      </c>
      <c r="Y310" s="1" t="s">
        <v>40</v>
      </c>
      <c r="Z310" s="1" t="n">
        <v>0</v>
      </c>
    </row>
    <row r="311" customFormat="false" ht="15" hidden="false" customHeight="true" outlineLevel="0" collapsed="false">
      <c r="A311" s="1" t="s">
        <v>715</v>
      </c>
      <c r="B311" s="1" t="s">
        <v>300</v>
      </c>
      <c r="C311" s="1" t="s">
        <v>28</v>
      </c>
      <c r="D311" s="1" t="s">
        <v>168</v>
      </c>
      <c r="E311" s="1" t="s">
        <v>172</v>
      </c>
      <c r="F311" s="1" t="s">
        <v>156</v>
      </c>
      <c r="G311" s="1" t="s">
        <v>68</v>
      </c>
      <c r="H311" s="1" t="s">
        <v>57</v>
      </c>
      <c r="I311" s="1" t="s">
        <v>34</v>
      </c>
      <c r="J311" s="1" t="s">
        <v>131</v>
      </c>
      <c r="K311" s="1" t="s">
        <v>36</v>
      </c>
      <c r="L311" s="1" t="s">
        <v>49</v>
      </c>
      <c r="M311" s="1" t="s">
        <v>62</v>
      </c>
      <c r="N311" s="1" t="n">
        <v>6999</v>
      </c>
      <c r="O311" s="1" t="n">
        <v>40</v>
      </c>
      <c r="P311" s="1" t="n">
        <v>2799.6</v>
      </c>
      <c r="Q311" s="1" t="n">
        <v>4199.4</v>
      </c>
      <c r="R311" s="1" t="n">
        <v>755.89</v>
      </c>
      <c r="S311" s="1" t="n">
        <v>3443.51</v>
      </c>
      <c r="T311" s="1" t="n">
        <v>1786.87</v>
      </c>
      <c r="U311" s="1" t="n">
        <v>1656.64</v>
      </c>
      <c r="V311" s="1" t="n">
        <v>48.11</v>
      </c>
      <c r="W311" s="1" t="s">
        <v>39</v>
      </c>
      <c r="X311" s="1" t="n">
        <v>4.2</v>
      </c>
      <c r="Y311" s="1" t="s">
        <v>40</v>
      </c>
      <c r="Z311" s="1" t="n">
        <v>0</v>
      </c>
    </row>
    <row r="312" customFormat="false" ht="15" hidden="false" customHeight="true" outlineLevel="0" collapsed="false">
      <c r="A312" s="1" t="s">
        <v>716</v>
      </c>
      <c r="B312" s="1" t="s">
        <v>717</v>
      </c>
      <c r="C312" s="1" t="s">
        <v>139</v>
      </c>
      <c r="D312" s="1" t="s">
        <v>143</v>
      </c>
      <c r="E312" s="1" t="s">
        <v>159</v>
      </c>
      <c r="F312" s="1" t="s">
        <v>187</v>
      </c>
      <c r="G312" s="1" t="s">
        <v>97</v>
      </c>
      <c r="H312" s="1" t="s">
        <v>69</v>
      </c>
      <c r="I312" s="1" t="s">
        <v>34</v>
      </c>
      <c r="J312" s="1" t="s">
        <v>70</v>
      </c>
      <c r="K312" s="1" t="s">
        <v>60</v>
      </c>
      <c r="L312" s="1" t="s">
        <v>136</v>
      </c>
      <c r="M312" s="1" t="s">
        <v>38</v>
      </c>
      <c r="N312" s="1" t="n">
        <v>24999</v>
      </c>
      <c r="O312" s="1" t="n">
        <v>0</v>
      </c>
      <c r="P312" s="1" t="n">
        <v>0</v>
      </c>
      <c r="Q312" s="1" t="n">
        <v>24999</v>
      </c>
      <c r="R312" s="1" t="n">
        <v>4499.82</v>
      </c>
      <c r="S312" s="1" t="n">
        <v>20499.18</v>
      </c>
      <c r="T312" s="1" t="n">
        <v>8401.91</v>
      </c>
      <c r="U312" s="1" t="n">
        <v>12097.27</v>
      </c>
      <c r="V312" s="1" t="n">
        <v>59.01</v>
      </c>
      <c r="W312" s="1" t="s">
        <v>39</v>
      </c>
      <c r="X312" s="1" t="n">
        <v>3.6</v>
      </c>
      <c r="Y312" s="1" t="s">
        <v>40</v>
      </c>
      <c r="Z312" s="1" t="n">
        <v>0</v>
      </c>
    </row>
    <row r="313" customFormat="false" ht="15" hidden="false" customHeight="true" outlineLevel="0" collapsed="false">
      <c r="A313" s="1" t="s">
        <v>718</v>
      </c>
      <c r="B313" s="1" t="s">
        <v>719</v>
      </c>
      <c r="C313" s="1" t="s">
        <v>249</v>
      </c>
      <c r="D313" s="1" t="s">
        <v>123</v>
      </c>
      <c r="E313" s="1" t="s">
        <v>147</v>
      </c>
      <c r="F313" s="1" t="s">
        <v>140</v>
      </c>
      <c r="G313" s="1" t="s">
        <v>97</v>
      </c>
      <c r="H313" s="1" t="s">
        <v>57</v>
      </c>
      <c r="I313" s="1" t="s">
        <v>83</v>
      </c>
      <c r="J313" s="1" t="s">
        <v>35</v>
      </c>
      <c r="K313" s="1" t="s">
        <v>84</v>
      </c>
      <c r="L313" s="1" t="s">
        <v>113</v>
      </c>
      <c r="M313" s="1" t="s">
        <v>50</v>
      </c>
      <c r="N313" s="1" t="n">
        <v>6999</v>
      </c>
      <c r="O313" s="1" t="n">
        <v>30</v>
      </c>
      <c r="P313" s="1" t="n">
        <v>2099.7</v>
      </c>
      <c r="Q313" s="1" t="n">
        <v>4899.3</v>
      </c>
      <c r="R313" s="1" t="n">
        <v>881.87</v>
      </c>
      <c r="S313" s="1" t="n">
        <v>4017.43</v>
      </c>
      <c r="T313" s="1" t="n">
        <v>1529.28</v>
      </c>
      <c r="U313" s="1" t="n">
        <v>2488.15</v>
      </c>
      <c r="V313" s="1" t="n">
        <v>61.93</v>
      </c>
      <c r="W313" s="1" t="s">
        <v>39</v>
      </c>
      <c r="Y313" s="1" t="s">
        <v>40</v>
      </c>
      <c r="Z313" s="1" t="n">
        <v>0</v>
      </c>
    </row>
    <row r="314" customFormat="false" ht="15" hidden="false" customHeight="true" outlineLevel="0" collapsed="false">
      <c r="A314" s="1" t="s">
        <v>720</v>
      </c>
      <c r="B314" s="1" t="s">
        <v>714</v>
      </c>
      <c r="C314" s="1" t="s">
        <v>74</v>
      </c>
      <c r="D314" s="1" t="s">
        <v>44</v>
      </c>
      <c r="E314" s="1" t="s">
        <v>221</v>
      </c>
      <c r="F314" s="1" t="s">
        <v>107</v>
      </c>
      <c r="G314" s="1" t="s">
        <v>108</v>
      </c>
      <c r="H314" s="1" t="s">
        <v>33</v>
      </c>
      <c r="I314" s="1" t="s">
        <v>58</v>
      </c>
      <c r="J314" s="1" t="s">
        <v>77</v>
      </c>
      <c r="K314" s="1" t="s">
        <v>90</v>
      </c>
      <c r="L314" s="1" t="s">
        <v>136</v>
      </c>
      <c r="M314" s="1" t="s">
        <v>62</v>
      </c>
      <c r="N314" s="1" t="n">
        <v>16999</v>
      </c>
      <c r="O314" s="1" t="n">
        <v>20</v>
      </c>
      <c r="P314" s="1" t="n">
        <v>3399.8</v>
      </c>
      <c r="Q314" s="1" t="n">
        <v>13599.2</v>
      </c>
      <c r="R314" s="1" t="n">
        <v>2447.86</v>
      </c>
      <c r="S314" s="1" t="n">
        <v>11151.34</v>
      </c>
      <c r="T314" s="1" t="n">
        <v>5165.05</v>
      </c>
      <c r="U314" s="1" t="n">
        <v>5986.29</v>
      </c>
      <c r="V314" s="1" t="n">
        <v>53.68</v>
      </c>
      <c r="W314" s="1" t="s">
        <v>39</v>
      </c>
      <c r="X314" s="1" t="n">
        <v>5</v>
      </c>
      <c r="Y314" s="1" t="s">
        <v>40</v>
      </c>
      <c r="Z314" s="1" t="n">
        <v>0</v>
      </c>
    </row>
    <row r="315" customFormat="false" ht="15" hidden="false" customHeight="true" outlineLevel="0" collapsed="false">
      <c r="A315" s="1" t="s">
        <v>721</v>
      </c>
      <c r="B315" s="1" t="s">
        <v>722</v>
      </c>
      <c r="C315" s="1" t="s">
        <v>88</v>
      </c>
      <c r="D315" s="1" t="s">
        <v>44</v>
      </c>
      <c r="E315" s="1" t="s">
        <v>66</v>
      </c>
      <c r="F315" s="1" t="s">
        <v>140</v>
      </c>
      <c r="G315" s="1" t="s">
        <v>97</v>
      </c>
      <c r="H315" s="1" t="s">
        <v>57</v>
      </c>
      <c r="I315" s="1" t="s">
        <v>83</v>
      </c>
      <c r="J315" s="1" t="s">
        <v>59</v>
      </c>
      <c r="K315" s="1" t="s">
        <v>84</v>
      </c>
      <c r="L315" s="1" t="s">
        <v>85</v>
      </c>
      <c r="M315" s="1" t="s">
        <v>38</v>
      </c>
      <c r="N315" s="1" t="n">
        <v>12999</v>
      </c>
      <c r="O315" s="1" t="n">
        <v>5</v>
      </c>
      <c r="P315" s="1" t="n">
        <v>649.95</v>
      </c>
      <c r="Q315" s="1" t="n">
        <v>12349.05</v>
      </c>
      <c r="R315" s="1" t="n">
        <v>2222.83</v>
      </c>
      <c r="S315" s="1" t="n">
        <v>10126.22</v>
      </c>
      <c r="T315" s="1" t="n">
        <v>4748.44</v>
      </c>
      <c r="U315" s="1" t="n">
        <v>5377.78</v>
      </c>
      <c r="V315" s="1" t="n">
        <v>53.11</v>
      </c>
      <c r="W315" s="1" t="s">
        <v>39</v>
      </c>
      <c r="X315" s="1" t="n">
        <v>3</v>
      </c>
      <c r="Y315" s="1" t="s">
        <v>40</v>
      </c>
      <c r="Z315" s="1" t="n">
        <v>0</v>
      </c>
    </row>
    <row r="316" customFormat="false" ht="15" hidden="false" customHeight="true" outlineLevel="0" collapsed="false">
      <c r="A316" s="1" t="s">
        <v>723</v>
      </c>
      <c r="B316" s="1" t="s">
        <v>724</v>
      </c>
      <c r="C316" s="1" t="s">
        <v>28</v>
      </c>
      <c r="D316" s="1" t="s">
        <v>143</v>
      </c>
      <c r="E316" s="1" t="s">
        <v>210</v>
      </c>
      <c r="F316" s="1" t="s">
        <v>140</v>
      </c>
      <c r="G316" s="1" t="s">
        <v>97</v>
      </c>
      <c r="H316" s="1" t="s">
        <v>57</v>
      </c>
      <c r="I316" s="1" t="s">
        <v>58</v>
      </c>
      <c r="J316" s="1" t="s">
        <v>35</v>
      </c>
      <c r="K316" s="1" t="s">
        <v>36</v>
      </c>
      <c r="L316" s="1" t="s">
        <v>61</v>
      </c>
      <c r="M316" s="1" t="s">
        <v>50</v>
      </c>
      <c r="N316" s="1" t="n">
        <v>18999</v>
      </c>
      <c r="O316" s="1" t="n">
        <v>30</v>
      </c>
      <c r="P316" s="1" t="n">
        <v>5699.7</v>
      </c>
      <c r="Q316" s="1" t="n">
        <v>13299.3</v>
      </c>
      <c r="R316" s="1" t="n">
        <v>2393.87</v>
      </c>
      <c r="S316" s="1" t="n">
        <v>10905.43</v>
      </c>
      <c r="T316" s="1" t="n">
        <v>4539.08</v>
      </c>
      <c r="U316" s="1" t="n">
        <v>6366.35</v>
      </c>
      <c r="V316" s="1" t="n">
        <v>58.38</v>
      </c>
      <c r="W316" s="1" t="s">
        <v>39</v>
      </c>
      <c r="X316" s="1" t="n">
        <v>3.8</v>
      </c>
      <c r="Y316" s="1" t="s">
        <v>40</v>
      </c>
      <c r="Z316" s="1" t="n">
        <v>0</v>
      </c>
    </row>
    <row r="317" customFormat="false" ht="15" hidden="false" customHeight="true" outlineLevel="0" collapsed="false">
      <c r="A317" s="1" t="s">
        <v>725</v>
      </c>
      <c r="B317" s="1" t="s">
        <v>726</v>
      </c>
      <c r="C317" s="1" t="s">
        <v>178</v>
      </c>
      <c r="D317" s="1" t="s">
        <v>123</v>
      </c>
      <c r="E317" s="1" t="s">
        <v>124</v>
      </c>
      <c r="F317" s="1" t="s">
        <v>67</v>
      </c>
      <c r="G317" s="1" t="s">
        <v>68</v>
      </c>
      <c r="H317" s="1" t="s">
        <v>69</v>
      </c>
      <c r="I317" s="1" t="s">
        <v>34</v>
      </c>
      <c r="J317" s="1" t="s">
        <v>35</v>
      </c>
      <c r="K317" s="1" t="s">
        <v>36</v>
      </c>
      <c r="L317" s="1" t="s">
        <v>37</v>
      </c>
      <c r="M317" s="1" t="s">
        <v>38</v>
      </c>
      <c r="N317" s="1" t="n">
        <v>4999</v>
      </c>
      <c r="O317" s="1" t="n">
        <v>15</v>
      </c>
      <c r="P317" s="1" t="n">
        <v>749.85</v>
      </c>
      <c r="Q317" s="1" t="n">
        <v>4249.15</v>
      </c>
      <c r="R317" s="1" t="n">
        <v>764.85</v>
      </c>
      <c r="S317" s="1" t="n">
        <v>3484.3</v>
      </c>
      <c r="T317" s="1" t="n">
        <v>1183.98</v>
      </c>
      <c r="U317" s="1" t="n">
        <v>2300.32</v>
      </c>
      <c r="V317" s="1" t="n">
        <v>66.02</v>
      </c>
      <c r="W317" s="1" t="s">
        <v>39</v>
      </c>
      <c r="X317" s="1" t="n">
        <v>4.5</v>
      </c>
      <c r="Y317" s="1" t="s">
        <v>40</v>
      </c>
      <c r="Z317" s="1" t="n">
        <v>1</v>
      </c>
    </row>
    <row r="318" customFormat="false" ht="15" hidden="false" customHeight="true" outlineLevel="0" collapsed="false">
      <c r="A318" s="1" t="s">
        <v>727</v>
      </c>
      <c r="B318" s="1" t="s">
        <v>504</v>
      </c>
      <c r="C318" s="1" t="s">
        <v>88</v>
      </c>
      <c r="D318" s="1" t="s">
        <v>80</v>
      </c>
      <c r="E318" s="1" t="s">
        <v>81</v>
      </c>
      <c r="F318" s="1" t="s">
        <v>728</v>
      </c>
      <c r="G318" s="1" t="s">
        <v>97</v>
      </c>
      <c r="H318" s="1" t="s">
        <v>69</v>
      </c>
      <c r="I318" s="1" t="s">
        <v>58</v>
      </c>
      <c r="J318" s="1" t="s">
        <v>70</v>
      </c>
      <c r="K318" s="1" t="s">
        <v>90</v>
      </c>
      <c r="L318" s="1" t="s">
        <v>61</v>
      </c>
      <c r="M318" s="1" t="s">
        <v>62</v>
      </c>
      <c r="N318" s="1" t="n">
        <v>12999</v>
      </c>
      <c r="O318" s="1" t="n">
        <v>5</v>
      </c>
      <c r="P318" s="1" t="n">
        <v>649.95</v>
      </c>
      <c r="Q318" s="1" t="n">
        <v>12349.05</v>
      </c>
      <c r="R318" s="1" t="n">
        <v>2222.83</v>
      </c>
      <c r="S318" s="1" t="n">
        <v>10126.22</v>
      </c>
      <c r="T318" s="1" t="n">
        <v>3666.13</v>
      </c>
      <c r="U318" s="1" t="n">
        <v>6460.09</v>
      </c>
      <c r="V318" s="1" t="n">
        <v>63.8</v>
      </c>
      <c r="W318" s="1" t="s">
        <v>39</v>
      </c>
      <c r="X318" s="1" t="n">
        <v>4.2</v>
      </c>
      <c r="Y318" s="1" t="s">
        <v>40</v>
      </c>
      <c r="Z318" s="1" t="n">
        <v>0</v>
      </c>
    </row>
    <row r="319" customFormat="false" ht="15" hidden="false" customHeight="true" outlineLevel="0" collapsed="false">
      <c r="A319" s="1" t="s">
        <v>729</v>
      </c>
      <c r="B319" s="1" t="s">
        <v>730</v>
      </c>
      <c r="C319" s="1" t="s">
        <v>264</v>
      </c>
      <c r="D319" s="1" t="s">
        <v>44</v>
      </c>
      <c r="E319" s="1" t="s">
        <v>66</v>
      </c>
      <c r="F319" s="1" t="s">
        <v>153</v>
      </c>
      <c r="G319" s="1" t="s">
        <v>76</v>
      </c>
      <c r="H319" s="1" t="s">
        <v>33</v>
      </c>
      <c r="I319" s="1" t="s">
        <v>34</v>
      </c>
      <c r="J319" s="1" t="s">
        <v>70</v>
      </c>
      <c r="K319" s="1" t="s">
        <v>48</v>
      </c>
      <c r="L319" s="1" t="s">
        <v>85</v>
      </c>
      <c r="M319" s="1" t="s">
        <v>62</v>
      </c>
      <c r="N319" s="1" t="n">
        <v>12999</v>
      </c>
      <c r="O319" s="1" t="n">
        <v>10</v>
      </c>
      <c r="P319" s="1" t="n">
        <v>1299.9</v>
      </c>
      <c r="Q319" s="1" t="n">
        <v>11699.1</v>
      </c>
      <c r="R319" s="1" t="n">
        <v>2105.84</v>
      </c>
      <c r="S319" s="1" t="n">
        <v>9593.26</v>
      </c>
      <c r="T319" s="1" t="n">
        <v>4115.14</v>
      </c>
      <c r="U319" s="1" t="n">
        <v>5478.12</v>
      </c>
      <c r="V319" s="1" t="n">
        <v>57.1</v>
      </c>
      <c r="W319" s="1" t="s">
        <v>39</v>
      </c>
      <c r="X319" s="1" t="n">
        <v>4.1</v>
      </c>
      <c r="Y319" s="1" t="s">
        <v>40</v>
      </c>
      <c r="Z319" s="1" t="n">
        <v>0</v>
      </c>
    </row>
    <row r="320" customFormat="false" ht="15" hidden="false" customHeight="true" outlineLevel="0" collapsed="false">
      <c r="A320" s="1" t="s">
        <v>731</v>
      </c>
      <c r="B320" s="1" t="s">
        <v>732</v>
      </c>
      <c r="C320" s="1" t="s">
        <v>119</v>
      </c>
      <c r="D320" s="1" t="s">
        <v>44</v>
      </c>
      <c r="E320" s="1" t="s">
        <v>66</v>
      </c>
      <c r="F320" s="1" t="s">
        <v>205</v>
      </c>
      <c r="G320" s="1" t="s">
        <v>56</v>
      </c>
      <c r="H320" s="1" t="s">
        <v>69</v>
      </c>
      <c r="I320" s="1" t="s">
        <v>34</v>
      </c>
      <c r="J320" s="1" t="s">
        <v>35</v>
      </c>
      <c r="K320" s="1" t="s">
        <v>104</v>
      </c>
      <c r="L320" s="1" t="s">
        <v>61</v>
      </c>
      <c r="M320" s="1" t="s">
        <v>50</v>
      </c>
      <c r="N320" s="1" t="n">
        <v>12999</v>
      </c>
      <c r="O320" s="1" t="n">
        <v>0</v>
      </c>
      <c r="P320" s="1" t="n">
        <v>0</v>
      </c>
      <c r="Q320" s="1" t="n">
        <v>12999</v>
      </c>
      <c r="R320" s="1" t="n">
        <v>2339.82</v>
      </c>
      <c r="S320" s="1" t="n">
        <v>10659.18</v>
      </c>
      <c r="T320" s="1" t="n">
        <v>3740.14</v>
      </c>
      <c r="U320" s="1" t="n">
        <v>6919.04</v>
      </c>
      <c r="V320" s="1" t="n">
        <v>64.91</v>
      </c>
      <c r="W320" s="1" t="s">
        <v>39</v>
      </c>
      <c r="X320" s="1" t="n">
        <v>3.2</v>
      </c>
      <c r="Y320" s="1" t="s">
        <v>40</v>
      </c>
      <c r="Z320" s="1" t="n">
        <v>0</v>
      </c>
    </row>
    <row r="321" customFormat="false" ht="15" hidden="false" customHeight="true" outlineLevel="0" collapsed="false">
      <c r="A321" s="1" t="s">
        <v>733</v>
      </c>
      <c r="B321" s="1" t="s">
        <v>366</v>
      </c>
      <c r="C321" s="1" t="s">
        <v>93</v>
      </c>
      <c r="D321" s="1" t="s">
        <v>53</v>
      </c>
      <c r="E321" s="1" t="s">
        <v>54</v>
      </c>
      <c r="F321" s="1" t="s">
        <v>120</v>
      </c>
      <c r="G321" s="1" t="s">
        <v>47</v>
      </c>
      <c r="H321" s="1" t="s">
        <v>57</v>
      </c>
      <c r="I321" s="1" t="s">
        <v>83</v>
      </c>
      <c r="J321" s="1" t="s">
        <v>70</v>
      </c>
      <c r="K321" s="1" t="s">
        <v>90</v>
      </c>
      <c r="L321" s="1" t="s">
        <v>136</v>
      </c>
      <c r="M321" s="1" t="s">
        <v>62</v>
      </c>
      <c r="N321" s="1" t="n">
        <v>11999</v>
      </c>
      <c r="O321" s="1" t="n">
        <v>0</v>
      </c>
      <c r="P321" s="1" t="n">
        <v>0</v>
      </c>
      <c r="Q321" s="1" t="n">
        <v>11999</v>
      </c>
      <c r="R321" s="1" t="n">
        <v>2159.82</v>
      </c>
      <c r="S321" s="1" t="n">
        <v>9839.18</v>
      </c>
      <c r="T321" s="1" t="n">
        <v>4898.83</v>
      </c>
      <c r="U321" s="1" t="n">
        <v>4940.35</v>
      </c>
      <c r="V321" s="1" t="n">
        <v>50.21</v>
      </c>
      <c r="W321" s="1" t="s">
        <v>39</v>
      </c>
      <c r="X321" s="1" t="n">
        <v>3.9</v>
      </c>
      <c r="Y321" s="1" t="s">
        <v>40</v>
      </c>
      <c r="Z321" s="1" t="n">
        <v>0</v>
      </c>
    </row>
    <row r="322" customFormat="false" ht="15" hidden="false" customHeight="true" outlineLevel="0" collapsed="false">
      <c r="A322" s="1" t="s">
        <v>734</v>
      </c>
      <c r="B322" s="1" t="s">
        <v>735</v>
      </c>
      <c r="C322" s="1" t="s">
        <v>139</v>
      </c>
      <c r="D322" s="1" t="s">
        <v>143</v>
      </c>
      <c r="E322" s="1" t="s">
        <v>159</v>
      </c>
      <c r="F322" s="1" t="s">
        <v>96</v>
      </c>
      <c r="G322" s="1" t="s">
        <v>97</v>
      </c>
      <c r="H322" s="1" t="s">
        <v>69</v>
      </c>
      <c r="I322" s="1" t="s">
        <v>34</v>
      </c>
      <c r="J322" s="1" t="s">
        <v>35</v>
      </c>
      <c r="K322" s="1" t="s">
        <v>60</v>
      </c>
      <c r="L322" s="1" t="s">
        <v>85</v>
      </c>
      <c r="M322" s="1" t="s">
        <v>62</v>
      </c>
      <c r="N322" s="1" t="n">
        <v>24999</v>
      </c>
      <c r="O322" s="1" t="n">
        <v>10</v>
      </c>
      <c r="P322" s="1" t="n">
        <v>2499.9</v>
      </c>
      <c r="Q322" s="1" t="n">
        <v>22499.1</v>
      </c>
      <c r="R322" s="1" t="n">
        <v>4049.84</v>
      </c>
      <c r="S322" s="1" t="n">
        <v>18449.26</v>
      </c>
      <c r="T322" s="1" t="n">
        <v>7645.09</v>
      </c>
      <c r="U322" s="1" t="n">
        <v>10804.17</v>
      </c>
      <c r="V322" s="1" t="n">
        <v>58.56</v>
      </c>
      <c r="W322" s="1" t="s">
        <v>40</v>
      </c>
      <c r="Y322" s="1" t="s">
        <v>40</v>
      </c>
      <c r="Z322" s="1" t="n">
        <v>2</v>
      </c>
    </row>
    <row r="323" customFormat="false" ht="15" hidden="false" customHeight="true" outlineLevel="0" collapsed="false">
      <c r="A323" s="1" t="s">
        <v>736</v>
      </c>
      <c r="B323" s="1" t="s">
        <v>737</v>
      </c>
      <c r="C323" s="1" t="s">
        <v>128</v>
      </c>
      <c r="D323" s="1" t="s">
        <v>168</v>
      </c>
      <c r="E323" s="1" t="s">
        <v>328</v>
      </c>
      <c r="F323" s="1" t="s">
        <v>153</v>
      </c>
      <c r="G323" s="1" t="s">
        <v>76</v>
      </c>
      <c r="H323" s="1" t="s">
        <v>33</v>
      </c>
      <c r="I323" s="1" t="s">
        <v>34</v>
      </c>
      <c r="J323" s="1" t="s">
        <v>35</v>
      </c>
      <c r="K323" s="1" t="s">
        <v>60</v>
      </c>
      <c r="L323" s="1" t="s">
        <v>49</v>
      </c>
      <c r="M323" s="1" t="s">
        <v>50</v>
      </c>
      <c r="N323" s="1" t="n">
        <v>8999</v>
      </c>
      <c r="O323" s="1" t="n">
        <v>30</v>
      </c>
      <c r="P323" s="1" t="n">
        <v>2699.7</v>
      </c>
      <c r="Q323" s="1" t="n">
        <v>6299.3</v>
      </c>
      <c r="R323" s="1" t="n">
        <v>1133.87</v>
      </c>
      <c r="S323" s="1" t="n">
        <v>5165.43</v>
      </c>
      <c r="T323" s="1" t="n">
        <v>1677.07</v>
      </c>
      <c r="U323" s="1" t="n">
        <v>3488.36</v>
      </c>
      <c r="V323" s="1" t="n">
        <v>67.53</v>
      </c>
      <c r="W323" s="1" t="s">
        <v>39</v>
      </c>
      <c r="X323" s="1" t="n">
        <v>3.4</v>
      </c>
      <c r="Y323" s="1" t="s">
        <v>40</v>
      </c>
      <c r="Z323" s="1" t="n">
        <v>0</v>
      </c>
    </row>
    <row r="324" customFormat="false" ht="15" hidden="false" customHeight="true" outlineLevel="0" collapsed="false">
      <c r="A324" s="1" t="s">
        <v>738</v>
      </c>
      <c r="B324" s="1" t="s">
        <v>376</v>
      </c>
      <c r="C324" s="1" t="s">
        <v>65</v>
      </c>
      <c r="D324" s="1" t="s">
        <v>143</v>
      </c>
      <c r="E324" s="1" t="s">
        <v>159</v>
      </c>
      <c r="F324" s="1" t="s">
        <v>156</v>
      </c>
      <c r="G324" s="1" t="s">
        <v>68</v>
      </c>
      <c r="H324" s="1" t="s">
        <v>57</v>
      </c>
      <c r="I324" s="1" t="s">
        <v>58</v>
      </c>
      <c r="J324" s="1" t="s">
        <v>70</v>
      </c>
      <c r="K324" s="1" t="s">
        <v>84</v>
      </c>
      <c r="L324" s="1" t="s">
        <v>113</v>
      </c>
      <c r="M324" s="1" t="s">
        <v>62</v>
      </c>
      <c r="N324" s="1" t="n">
        <v>24999</v>
      </c>
      <c r="O324" s="1" t="n">
        <v>15</v>
      </c>
      <c r="P324" s="1" t="n">
        <v>3749.85</v>
      </c>
      <c r="Q324" s="1" t="n">
        <v>21249.15</v>
      </c>
      <c r="R324" s="1" t="n">
        <v>3824.85</v>
      </c>
      <c r="S324" s="1" t="n">
        <v>17424.3</v>
      </c>
      <c r="T324" s="1" t="n">
        <v>7169.11</v>
      </c>
      <c r="U324" s="1" t="n">
        <v>10255.19</v>
      </c>
      <c r="V324" s="1" t="n">
        <v>58.86</v>
      </c>
      <c r="W324" s="1" t="s">
        <v>39</v>
      </c>
      <c r="X324" s="1" t="n">
        <v>4.2</v>
      </c>
      <c r="Y324" s="1" t="s">
        <v>40</v>
      </c>
      <c r="Z324" s="1" t="n">
        <v>0</v>
      </c>
    </row>
    <row r="325" customFormat="false" ht="15" hidden="false" customHeight="true" outlineLevel="0" collapsed="false">
      <c r="A325" s="1" t="s">
        <v>739</v>
      </c>
      <c r="B325" s="1" t="s">
        <v>740</v>
      </c>
      <c r="C325" s="1" t="s">
        <v>178</v>
      </c>
      <c r="D325" s="1" t="s">
        <v>94</v>
      </c>
      <c r="E325" s="1" t="s">
        <v>101</v>
      </c>
      <c r="F325" s="1" t="s">
        <v>107</v>
      </c>
      <c r="G325" s="1" t="s">
        <v>108</v>
      </c>
      <c r="H325" s="1" t="s">
        <v>33</v>
      </c>
      <c r="I325" s="1" t="s">
        <v>58</v>
      </c>
      <c r="J325" s="1" t="s">
        <v>70</v>
      </c>
      <c r="K325" s="1" t="s">
        <v>112</v>
      </c>
      <c r="L325" s="1" t="s">
        <v>37</v>
      </c>
      <c r="M325" s="1" t="s">
        <v>38</v>
      </c>
      <c r="N325" s="1" t="n">
        <v>14999</v>
      </c>
      <c r="O325" s="1" t="n">
        <v>30</v>
      </c>
      <c r="P325" s="1" t="n">
        <v>4499.7</v>
      </c>
      <c r="Q325" s="1" t="n">
        <v>10499.3</v>
      </c>
      <c r="R325" s="1" t="n">
        <v>1889.87</v>
      </c>
      <c r="S325" s="1" t="n">
        <v>8609.43</v>
      </c>
      <c r="T325" s="1" t="n">
        <v>3694.9</v>
      </c>
      <c r="U325" s="1" t="n">
        <v>4914.53</v>
      </c>
      <c r="V325" s="1" t="n">
        <v>57.08</v>
      </c>
      <c r="W325" s="1" t="s">
        <v>39</v>
      </c>
      <c r="X325" s="1" t="n">
        <v>3.9</v>
      </c>
      <c r="Y325" s="1" t="s">
        <v>40</v>
      </c>
      <c r="Z325" s="1" t="n">
        <v>0</v>
      </c>
    </row>
    <row r="326" customFormat="false" ht="15" hidden="false" customHeight="true" outlineLevel="0" collapsed="false">
      <c r="A326" s="1" t="s">
        <v>741</v>
      </c>
      <c r="B326" s="1" t="s">
        <v>742</v>
      </c>
      <c r="C326" s="1" t="s">
        <v>128</v>
      </c>
      <c r="D326" s="1" t="s">
        <v>29</v>
      </c>
      <c r="E326" s="1" t="s">
        <v>182</v>
      </c>
      <c r="F326" s="1" t="s">
        <v>150</v>
      </c>
      <c r="G326" s="1" t="s">
        <v>32</v>
      </c>
      <c r="H326" s="1" t="s">
        <v>57</v>
      </c>
      <c r="I326" s="1" t="s">
        <v>83</v>
      </c>
      <c r="J326" s="1" t="s">
        <v>70</v>
      </c>
      <c r="K326" s="1" t="s">
        <v>60</v>
      </c>
      <c r="L326" s="1" t="s">
        <v>136</v>
      </c>
      <c r="M326" s="1" t="s">
        <v>38</v>
      </c>
      <c r="N326" s="1" t="n">
        <v>34999</v>
      </c>
      <c r="O326" s="1" t="n">
        <v>30</v>
      </c>
      <c r="P326" s="1" t="n">
        <v>10499.7</v>
      </c>
      <c r="Q326" s="1" t="n">
        <v>24499.3</v>
      </c>
      <c r="R326" s="1" t="n">
        <v>4409.87</v>
      </c>
      <c r="S326" s="1" t="n">
        <v>20089.43</v>
      </c>
      <c r="T326" s="1" t="n">
        <v>6181.85</v>
      </c>
      <c r="U326" s="1" t="n">
        <v>13907.58</v>
      </c>
      <c r="V326" s="1" t="n">
        <v>69.23</v>
      </c>
      <c r="W326" s="1" t="s">
        <v>39</v>
      </c>
      <c r="X326" s="1" t="n">
        <v>4.3</v>
      </c>
      <c r="Y326" s="1" t="s">
        <v>40</v>
      </c>
      <c r="Z326" s="1" t="n">
        <v>1</v>
      </c>
    </row>
    <row r="327" customFormat="false" ht="15" hidden="false" customHeight="true" outlineLevel="0" collapsed="false">
      <c r="A327" s="1" t="s">
        <v>743</v>
      </c>
      <c r="B327" s="1" t="s">
        <v>320</v>
      </c>
      <c r="C327" s="1" t="s">
        <v>139</v>
      </c>
      <c r="D327" s="1" t="s">
        <v>44</v>
      </c>
      <c r="E327" s="1" t="s">
        <v>45</v>
      </c>
      <c r="F327" s="1" t="s">
        <v>31</v>
      </c>
      <c r="G327" s="1" t="s">
        <v>32</v>
      </c>
      <c r="H327" s="1" t="s">
        <v>33</v>
      </c>
      <c r="I327" s="1" t="s">
        <v>83</v>
      </c>
      <c r="J327" s="1" t="s">
        <v>131</v>
      </c>
      <c r="K327" s="1" t="s">
        <v>104</v>
      </c>
      <c r="L327" s="1" t="s">
        <v>49</v>
      </c>
      <c r="M327" s="1" t="s">
        <v>62</v>
      </c>
      <c r="N327" s="1" t="n">
        <v>11999</v>
      </c>
      <c r="O327" s="1" t="n">
        <v>10</v>
      </c>
      <c r="P327" s="1" t="n">
        <v>1199.9</v>
      </c>
      <c r="Q327" s="1" t="n">
        <v>10799.1</v>
      </c>
      <c r="R327" s="1" t="n">
        <v>1943.84</v>
      </c>
      <c r="S327" s="1" t="n">
        <v>8855.26</v>
      </c>
      <c r="T327" s="1" t="n">
        <v>3446.09</v>
      </c>
      <c r="U327" s="1" t="n">
        <v>5409.17</v>
      </c>
      <c r="V327" s="1" t="n">
        <v>61.08</v>
      </c>
      <c r="W327" s="1" t="s">
        <v>40</v>
      </c>
      <c r="Y327" s="1" t="s">
        <v>40</v>
      </c>
      <c r="Z327" s="1" t="n">
        <v>0</v>
      </c>
    </row>
    <row r="328" customFormat="false" ht="15" hidden="false" customHeight="true" outlineLevel="0" collapsed="false">
      <c r="A328" s="1" t="s">
        <v>744</v>
      </c>
      <c r="B328" s="1" t="s">
        <v>410</v>
      </c>
      <c r="C328" s="1" t="s">
        <v>88</v>
      </c>
      <c r="D328" s="1" t="s">
        <v>80</v>
      </c>
      <c r="E328" s="1" t="s">
        <v>190</v>
      </c>
      <c r="F328" s="1" t="s">
        <v>140</v>
      </c>
      <c r="G328" s="1" t="s">
        <v>97</v>
      </c>
      <c r="H328" s="1" t="s">
        <v>57</v>
      </c>
      <c r="I328" s="1" t="s">
        <v>58</v>
      </c>
      <c r="J328" s="1" t="s">
        <v>77</v>
      </c>
      <c r="K328" s="1" t="s">
        <v>71</v>
      </c>
      <c r="L328" s="1" t="s">
        <v>37</v>
      </c>
      <c r="M328" s="1" t="s">
        <v>62</v>
      </c>
      <c r="N328" s="1" t="n">
        <v>15999</v>
      </c>
      <c r="O328" s="1" t="n">
        <v>5</v>
      </c>
      <c r="P328" s="1" t="n">
        <v>799.95</v>
      </c>
      <c r="Q328" s="1" t="n">
        <v>15199.05</v>
      </c>
      <c r="R328" s="1" t="n">
        <v>2735.83</v>
      </c>
      <c r="S328" s="1" t="n">
        <v>12463.22</v>
      </c>
      <c r="T328" s="1" t="n">
        <v>4891.19</v>
      </c>
      <c r="U328" s="1" t="n">
        <v>7572.03</v>
      </c>
      <c r="V328" s="1" t="n">
        <v>60.76</v>
      </c>
      <c r="W328" s="1" t="s">
        <v>39</v>
      </c>
      <c r="X328" s="1" t="n">
        <v>3.7</v>
      </c>
      <c r="Y328" s="1" t="s">
        <v>40</v>
      </c>
      <c r="Z328" s="1" t="n">
        <v>0</v>
      </c>
    </row>
    <row r="329" customFormat="false" ht="15" hidden="false" customHeight="true" outlineLevel="0" collapsed="false">
      <c r="A329" s="1" t="s">
        <v>745</v>
      </c>
      <c r="B329" s="1" t="s">
        <v>537</v>
      </c>
      <c r="C329" s="1" t="s">
        <v>88</v>
      </c>
      <c r="D329" s="1" t="s">
        <v>44</v>
      </c>
      <c r="E329" s="1" t="s">
        <v>221</v>
      </c>
      <c r="F329" s="1" t="s">
        <v>125</v>
      </c>
      <c r="G329" s="1" t="s">
        <v>108</v>
      </c>
      <c r="H329" s="1" t="s">
        <v>69</v>
      </c>
      <c r="I329" s="1" t="s">
        <v>58</v>
      </c>
      <c r="J329" s="1" t="s">
        <v>77</v>
      </c>
      <c r="K329" s="1" t="s">
        <v>36</v>
      </c>
      <c r="L329" s="1" t="s">
        <v>37</v>
      </c>
      <c r="M329" s="1" t="s">
        <v>50</v>
      </c>
      <c r="N329" s="1" t="n">
        <v>16999</v>
      </c>
      <c r="O329" s="1" t="n">
        <v>20</v>
      </c>
      <c r="P329" s="1" t="n">
        <v>3399.8</v>
      </c>
      <c r="Q329" s="1" t="n">
        <v>13599.2</v>
      </c>
      <c r="R329" s="1" t="n">
        <v>2447.86</v>
      </c>
      <c r="S329" s="1" t="n">
        <v>11151.34</v>
      </c>
      <c r="T329" s="1" t="n">
        <v>4152.63</v>
      </c>
      <c r="U329" s="1" t="n">
        <v>6998.71</v>
      </c>
      <c r="V329" s="1" t="n">
        <v>62.76</v>
      </c>
      <c r="W329" s="1" t="s">
        <v>39</v>
      </c>
      <c r="X329" s="1" t="n">
        <v>3.8</v>
      </c>
      <c r="Y329" s="1" t="s">
        <v>40</v>
      </c>
      <c r="Z329" s="1" t="n">
        <v>0</v>
      </c>
    </row>
    <row r="330" customFormat="false" ht="15" hidden="false" customHeight="true" outlineLevel="0" collapsed="false">
      <c r="A330" s="1" t="s">
        <v>746</v>
      </c>
      <c r="B330" s="1" t="s">
        <v>747</v>
      </c>
      <c r="C330" s="1" t="s">
        <v>119</v>
      </c>
      <c r="D330" s="1" t="s">
        <v>168</v>
      </c>
      <c r="E330" s="1" t="s">
        <v>169</v>
      </c>
      <c r="F330" s="1" t="s">
        <v>244</v>
      </c>
      <c r="G330" s="1" t="s">
        <v>97</v>
      </c>
      <c r="H330" s="1" t="s">
        <v>57</v>
      </c>
      <c r="I330" s="1" t="s">
        <v>34</v>
      </c>
      <c r="J330" s="1" t="s">
        <v>35</v>
      </c>
      <c r="K330" s="1" t="s">
        <v>84</v>
      </c>
      <c r="L330" s="1" t="s">
        <v>113</v>
      </c>
      <c r="M330" s="1" t="s">
        <v>38</v>
      </c>
      <c r="N330" s="1" t="n">
        <v>4999</v>
      </c>
      <c r="O330" s="1" t="n">
        <v>30</v>
      </c>
      <c r="P330" s="1" t="n">
        <v>1499.7</v>
      </c>
      <c r="Q330" s="1" t="n">
        <v>3499.3</v>
      </c>
      <c r="R330" s="1" t="n">
        <v>629.87</v>
      </c>
      <c r="S330" s="1" t="n">
        <v>2869.43</v>
      </c>
      <c r="T330" s="1" t="n">
        <v>1386.3</v>
      </c>
      <c r="U330" s="1" t="n">
        <v>1483.13</v>
      </c>
      <c r="V330" s="1" t="n">
        <v>51.69</v>
      </c>
      <c r="W330" s="1" t="s">
        <v>40</v>
      </c>
      <c r="Y330" s="1" t="s">
        <v>40</v>
      </c>
      <c r="Z330" s="1" t="n">
        <v>1</v>
      </c>
    </row>
    <row r="331" customFormat="false" ht="15" hidden="false" customHeight="true" outlineLevel="0" collapsed="false">
      <c r="A331" s="1" t="s">
        <v>748</v>
      </c>
      <c r="B331" s="1" t="s">
        <v>749</v>
      </c>
      <c r="C331" s="1" t="s">
        <v>65</v>
      </c>
      <c r="D331" s="1" t="s">
        <v>80</v>
      </c>
      <c r="E331" s="1" t="s">
        <v>175</v>
      </c>
      <c r="F331" s="1" t="s">
        <v>150</v>
      </c>
      <c r="G331" s="1" t="s">
        <v>32</v>
      </c>
      <c r="H331" s="1" t="s">
        <v>57</v>
      </c>
      <c r="I331" s="1" t="s">
        <v>34</v>
      </c>
      <c r="J331" s="1" t="s">
        <v>59</v>
      </c>
      <c r="K331" s="1" t="s">
        <v>84</v>
      </c>
      <c r="L331" s="1" t="s">
        <v>136</v>
      </c>
      <c r="M331" s="1" t="s">
        <v>62</v>
      </c>
      <c r="N331" s="1" t="n">
        <v>19999</v>
      </c>
      <c r="O331" s="1" t="n">
        <v>0</v>
      </c>
      <c r="P331" s="1" t="n">
        <v>0</v>
      </c>
      <c r="Q331" s="1" t="n">
        <v>19999</v>
      </c>
      <c r="R331" s="1" t="n">
        <v>3599.82</v>
      </c>
      <c r="S331" s="1" t="n">
        <v>16399.18</v>
      </c>
      <c r="T331" s="1" t="n">
        <v>7174.6</v>
      </c>
      <c r="U331" s="1" t="n">
        <v>9224.58</v>
      </c>
      <c r="V331" s="1" t="n">
        <v>56.25</v>
      </c>
      <c r="W331" s="1" t="s">
        <v>39</v>
      </c>
      <c r="X331" s="1" t="n">
        <v>4.4</v>
      </c>
      <c r="Y331" s="1" t="s">
        <v>40</v>
      </c>
      <c r="Z331" s="1" t="n">
        <v>0</v>
      </c>
    </row>
    <row r="332" customFormat="false" ht="15" hidden="false" customHeight="true" outlineLevel="0" collapsed="false">
      <c r="A332" s="1" t="s">
        <v>750</v>
      </c>
      <c r="B332" s="1" t="s">
        <v>290</v>
      </c>
      <c r="C332" s="1" t="s">
        <v>264</v>
      </c>
      <c r="D332" s="1" t="s">
        <v>94</v>
      </c>
      <c r="E332" s="1" t="s">
        <v>101</v>
      </c>
      <c r="F332" s="1" t="s">
        <v>153</v>
      </c>
      <c r="G332" s="1" t="s">
        <v>76</v>
      </c>
      <c r="H332" s="1" t="s">
        <v>33</v>
      </c>
      <c r="I332" s="1" t="s">
        <v>34</v>
      </c>
      <c r="J332" s="1" t="s">
        <v>131</v>
      </c>
      <c r="K332" s="1" t="s">
        <v>48</v>
      </c>
      <c r="L332" s="1" t="s">
        <v>113</v>
      </c>
      <c r="M332" s="1" t="s">
        <v>50</v>
      </c>
      <c r="N332" s="1" t="n">
        <v>14999</v>
      </c>
      <c r="O332" s="1" t="n">
        <v>0</v>
      </c>
      <c r="P332" s="1" t="n">
        <v>0</v>
      </c>
      <c r="Q332" s="1" t="n">
        <v>14999</v>
      </c>
      <c r="R332" s="1" t="n">
        <v>2699.82</v>
      </c>
      <c r="S332" s="1" t="n">
        <v>12299.18</v>
      </c>
      <c r="T332" s="1" t="n">
        <v>5340.74</v>
      </c>
      <c r="U332" s="1" t="n">
        <v>6958.44</v>
      </c>
      <c r="V332" s="1" t="n">
        <v>56.58</v>
      </c>
      <c r="W332" s="1" t="s">
        <v>40</v>
      </c>
      <c r="Y332" s="1" t="s">
        <v>40</v>
      </c>
      <c r="Z332" s="1" t="n">
        <v>0</v>
      </c>
    </row>
    <row r="333" customFormat="false" ht="15" hidden="false" customHeight="true" outlineLevel="0" collapsed="false">
      <c r="A333" s="1" t="s">
        <v>751</v>
      </c>
      <c r="B333" s="1" t="s">
        <v>330</v>
      </c>
      <c r="C333" s="1" t="s">
        <v>249</v>
      </c>
      <c r="D333" s="1" t="s">
        <v>143</v>
      </c>
      <c r="E333" s="1" t="s">
        <v>243</v>
      </c>
      <c r="F333" s="1" t="s">
        <v>130</v>
      </c>
      <c r="G333" s="1" t="s">
        <v>47</v>
      </c>
      <c r="H333" s="1" t="s">
        <v>69</v>
      </c>
      <c r="I333" s="1" t="s">
        <v>83</v>
      </c>
      <c r="J333" s="1" t="s">
        <v>35</v>
      </c>
      <c r="K333" s="1" t="s">
        <v>104</v>
      </c>
      <c r="L333" s="1" t="s">
        <v>49</v>
      </c>
      <c r="M333" s="1" t="s">
        <v>50</v>
      </c>
      <c r="N333" s="1" t="n">
        <v>22999</v>
      </c>
      <c r="O333" s="1" t="n">
        <v>5</v>
      </c>
      <c r="P333" s="1" t="n">
        <v>1149.95</v>
      </c>
      <c r="Q333" s="1" t="n">
        <v>21849.05</v>
      </c>
      <c r="R333" s="1" t="n">
        <v>3932.83</v>
      </c>
      <c r="S333" s="1" t="n">
        <v>17916.22</v>
      </c>
      <c r="T333" s="1" t="n">
        <v>8300.09</v>
      </c>
      <c r="U333" s="1" t="n">
        <v>9616.13</v>
      </c>
      <c r="V333" s="1" t="n">
        <v>53.67</v>
      </c>
      <c r="W333" s="1" t="s">
        <v>39</v>
      </c>
      <c r="Y333" s="1" t="s">
        <v>40</v>
      </c>
      <c r="Z333" s="1" t="n">
        <v>0</v>
      </c>
    </row>
    <row r="334" customFormat="false" ht="15" hidden="false" customHeight="true" outlineLevel="0" collapsed="false">
      <c r="A334" s="1" t="s">
        <v>752</v>
      </c>
      <c r="B334" s="1" t="s">
        <v>753</v>
      </c>
      <c r="C334" s="1" t="s">
        <v>134</v>
      </c>
      <c r="D334" s="1" t="s">
        <v>29</v>
      </c>
      <c r="E334" s="1" t="s">
        <v>305</v>
      </c>
      <c r="F334" s="1" t="s">
        <v>96</v>
      </c>
      <c r="G334" s="1" t="s">
        <v>97</v>
      </c>
      <c r="H334" s="1" t="s">
        <v>69</v>
      </c>
      <c r="I334" s="1" t="s">
        <v>58</v>
      </c>
      <c r="J334" s="1" t="s">
        <v>70</v>
      </c>
      <c r="K334" s="1" t="s">
        <v>36</v>
      </c>
      <c r="L334" s="1" t="s">
        <v>37</v>
      </c>
      <c r="M334" s="1" t="s">
        <v>50</v>
      </c>
      <c r="N334" s="1" t="n">
        <v>24999</v>
      </c>
      <c r="O334" s="1" t="n">
        <v>30</v>
      </c>
      <c r="P334" s="1" t="n">
        <v>7499.7</v>
      </c>
      <c r="Q334" s="1" t="n">
        <v>17499.3</v>
      </c>
      <c r="R334" s="1" t="n">
        <v>3149.87</v>
      </c>
      <c r="S334" s="1" t="n">
        <v>14349.43</v>
      </c>
      <c r="T334" s="1" t="n">
        <v>5822.45</v>
      </c>
      <c r="U334" s="1" t="n">
        <v>8526.98</v>
      </c>
      <c r="V334" s="1" t="n">
        <v>59.42</v>
      </c>
      <c r="W334" s="1" t="s">
        <v>40</v>
      </c>
      <c r="Y334" s="1" t="s">
        <v>40</v>
      </c>
      <c r="Z334" s="1" t="n">
        <v>0</v>
      </c>
    </row>
    <row r="335" customFormat="false" ht="15" hidden="false" customHeight="true" outlineLevel="0" collapsed="false">
      <c r="A335" s="1" t="s">
        <v>754</v>
      </c>
      <c r="B335" s="1" t="s">
        <v>755</v>
      </c>
      <c r="C335" s="1" t="s">
        <v>100</v>
      </c>
      <c r="D335" s="1" t="s">
        <v>168</v>
      </c>
      <c r="E335" s="1" t="s">
        <v>328</v>
      </c>
      <c r="F335" s="1" t="s">
        <v>130</v>
      </c>
      <c r="G335" s="1" t="s">
        <v>47</v>
      </c>
      <c r="H335" s="1" t="s">
        <v>69</v>
      </c>
      <c r="I335" s="1" t="s">
        <v>83</v>
      </c>
      <c r="J335" s="1" t="s">
        <v>131</v>
      </c>
      <c r="K335" s="1" t="s">
        <v>104</v>
      </c>
      <c r="L335" s="1" t="s">
        <v>37</v>
      </c>
      <c r="M335" s="1" t="s">
        <v>62</v>
      </c>
      <c r="N335" s="1" t="n">
        <v>8999</v>
      </c>
      <c r="O335" s="1" t="n">
        <v>0</v>
      </c>
      <c r="P335" s="1" t="n">
        <v>0</v>
      </c>
      <c r="Q335" s="1" t="n">
        <v>8999</v>
      </c>
      <c r="R335" s="1" t="n">
        <v>1619.82</v>
      </c>
      <c r="S335" s="1" t="n">
        <v>7379.18</v>
      </c>
      <c r="T335" s="1" t="n">
        <v>2896.86</v>
      </c>
      <c r="U335" s="1" t="n">
        <v>4482.32</v>
      </c>
      <c r="V335" s="1" t="n">
        <v>60.74</v>
      </c>
      <c r="W335" s="1" t="s">
        <v>39</v>
      </c>
      <c r="X335" s="1" t="n">
        <v>3.4</v>
      </c>
      <c r="Y335" s="1" t="s">
        <v>40</v>
      </c>
      <c r="Z335" s="1" t="n">
        <v>0</v>
      </c>
    </row>
    <row r="336" customFormat="false" ht="15" hidden="false" customHeight="true" outlineLevel="0" collapsed="false">
      <c r="A336" s="1" t="s">
        <v>756</v>
      </c>
      <c r="B336" s="1" t="s">
        <v>290</v>
      </c>
      <c r="C336" s="1" t="s">
        <v>119</v>
      </c>
      <c r="D336" s="1" t="s">
        <v>80</v>
      </c>
      <c r="E336" s="1" t="s">
        <v>190</v>
      </c>
      <c r="F336" s="1" t="s">
        <v>67</v>
      </c>
      <c r="G336" s="1" t="s">
        <v>68</v>
      </c>
      <c r="H336" s="1" t="s">
        <v>69</v>
      </c>
      <c r="I336" s="1" t="s">
        <v>83</v>
      </c>
      <c r="J336" s="1" t="s">
        <v>59</v>
      </c>
      <c r="K336" s="1" t="s">
        <v>48</v>
      </c>
      <c r="L336" s="1" t="s">
        <v>136</v>
      </c>
      <c r="M336" s="1" t="s">
        <v>50</v>
      </c>
      <c r="N336" s="1" t="n">
        <v>15999</v>
      </c>
      <c r="O336" s="1" t="n">
        <v>40</v>
      </c>
      <c r="P336" s="1" t="n">
        <v>6399.6</v>
      </c>
      <c r="Q336" s="1" t="n">
        <v>9599.4</v>
      </c>
      <c r="R336" s="1" t="n">
        <v>1727.89</v>
      </c>
      <c r="S336" s="1" t="n">
        <v>7871.51</v>
      </c>
      <c r="T336" s="1" t="n">
        <v>3984.84</v>
      </c>
      <c r="U336" s="1" t="n">
        <v>3886.67</v>
      </c>
      <c r="V336" s="1" t="n">
        <v>49.38</v>
      </c>
      <c r="W336" s="1" t="s">
        <v>40</v>
      </c>
      <c r="Y336" s="1" t="s">
        <v>40</v>
      </c>
      <c r="Z336" s="1" t="n">
        <v>2</v>
      </c>
    </row>
    <row r="337" customFormat="false" ht="15" hidden="false" customHeight="true" outlineLevel="0" collapsed="false">
      <c r="A337" s="1" t="s">
        <v>757</v>
      </c>
      <c r="B337" s="1" t="s">
        <v>758</v>
      </c>
      <c r="C337" s="1" t="s">
        <v>249</v>
      </c>
      <c r="D337" s="1" t="s">
        <v>168</v>
      </c>
      <c r="E337" s="1" t="s">
        <v>172</v>
      </c>
      <c r="F337" s="1" t="s">
        <v>153</v>
      </c>
      <c r="G337" s="1" t="s">
        <v>76</v>
      </c>
      <c r="H337" s="1" t="s">
        <v>33</v>
      </c>
      <c r="I337" s="1" t="s">
        <v>58</v>
      </c>
      <c r="J337" s="1" t="s">
        <v>77</v>
      </c>
      <c r="K337" s="1" t="s">
        <v>60</v>
      </c>
      <c r="L337" s="1" t="s">
        <v>85</v>
      </c>
      <c r="M337" s="1" t="s">
        <v>50</v>
      </c>
      <c r="N337" s="1" t="n">
        <v>6999</v>
      </c>
      <c r="O337" s="1" t="n">
        <v>0</v>
      </c>
      <c r="P337" s="1" t="n">
        <v>0</v>
      </c>
      <c r="Q337" s="1" t="n">
        <v>6999</v>
      </c>
      <c r="R337" s="1" t="n">
        <v>1259.82</v>
      </c>
      <c r="S337" s="1" t="n">
        <v>5739.18</v>
      </c>
      <c r="T337" s="1" t="n">
        <v>2473.58</v>
      </c>
      <c r="U337" s="1" t="n">
        <v>3265.6</v>
      </c>
      <c r="V337" s="1" t="n">
        <v>56.9</v>
      </c>
      <c r="W337" s="1" t="s">
        <v>39</v>
      </c>
      <c r="X337" s="1" t="n">
        <v>4</v>
      </c>
      <c r="Y337" s="1" t="s">
        <v>40</v>
      </c>
      <c r="Z337" s="1" t="n">
        <v>0</v>
      </c>
    </row>
    <row r="338" customFormat="false" ht="15" hidden="false" customHeight="true" outlineLevel="0" collapsed="false">
      <c r="A338" s="1" t="s">
        <v>759</v>
      </c>
      <c r="B338" s="1" t="s">
        <v>760</v>
      </c>
      <c r="C338" s="1" t="s">
        <v>134</v>
      </c>
      <c r="D338" s="1" t="s">
        <v>44</v>
      </c>
      <c r="E338" s="1" t="s">
        <v>221</v>
      </c>
      <c r="F338" s="1" t="s">
        <v>244</v>
      </c>
      <c r="G338" s="1" t="s">
        <v>97</v>
      </c>
      <c r="H338" s="1" t="s">
        <v>57</v>
      </c>
      <c r="I338" s="1" t="s">
        <v>58</v>
      </c>
      <c r="J338" s="1" t="s">
        <v>131</v>
      </c>
      <c r="K338" s="1" t="s">
        <v>71</v>
      </c>
      <c r="L338" s="1" t="s">
        <v>37</v>
      </c>
      <c r="M338" s="1" t="s">
        <v>62</v>
      </c>
      <c r="N338" s="1" t="n">
        <v>16999</v>
      </c>
      <c r="O338" s="1" t="n">
        <v>10</v>
      </c>
      <c r="P338" s="1" t="n">
        <v>1699.9</v>
      </c>
      <c r="Q338" s="1" t="n">
        <v>15299.1</v>
      </c>
      <c r="R338" s="1" t="n">
        <v>2753.84</v>
      </c>
      <c r="S338" s="1" t="n">
        <v>12545.26</v>
      </c>
      <c r="T338" s="1" t="n">
        <v>6742.81</v>
      </c>
      <c r="U338" s="1" t="n">
        <v>5802.45</v>
      </c>
      <c r="V338" s="1" t="n">
        <v>46.25</v>
      </c>
      <c r="W338" s="1" t="s">
        <v>39</v>
      </c>
      <c r="X338" s="1" t="n">
        <v>3.3</v>
      </c>
      <c r="Y338" s="1" t="s">
        <v>40</v>
      </c>
      <c r="Z338" s="1" t="n">
        <v>0</v>
      </c>
    </row>
    <row r="339" customFormat="false" ht="15" hidden="false" customHeight="true" outlineLevel="0" collapsed="false">
      <c r="A339" s="1" t="s">
        <v>761</v>
      </c>
      <c r="B339" s="1" t="s">
        <v>762</v>
      </c>
      <c r="C339" s="1" t="s">
        <v>134</v>
      </c>
      <c r="D339" s="1" t="s">
        <v>168</v>
      </c>
      <c r="E339" s="1" t="s">
        <v>197</v>
      </c>
      <c r="F339" s="1" t="s">
        <v>96</v>
      </c>
      <c r="G339" s="1" t="s">
        <v>97</v>
      </c>
      <c r="H339" s="1" t="s">
        <v>69</v>
      </c>
      <c r="I339" s="1" t="s">
        <v>58</v>
      </c>
      <c r="J339" s="1" t="s">
        <v>70</v>
      </c>
      <c r="K339" s="1" t="s">
        <v>104</v>
      </c>
      <c r="L339" s="1" t="s">
        <v>49</v>
      </c>
      <c r="M339" s="1" t="s">
        <v>38</v>
      </c>
      <c r="N339" s="1" t="n">
        <v>8499</v>
      </c>
      <c r="O339" s="1" t="n">
        <v>10</v>
      </c>
      <c r="P339" s="1" t="n">
        <v>849.9</v>
      </c>
      <c r="Q339" s="1" t="n">
        <v>7649.1</v>
      </c>
      <c r="R339" s="1" t="n">
        <v>1376.84</v>
      </c>
      <c r="S339" s="1" t="n">
        <v>6272.26</v>
      </c>
      <c r="T339" s="1" t="n">
        <v>2588.11</v>
      </c>
      <c r="U339" s="1" t="n">
        <v>3684.15</v>
      </c>
      <c r="V339" s="1" t="n">
        <v>58.74</v>
      </c>
      <c r="W339" s="1" t="s">
        <v>39</v>
      </c>
      <c r="Y339" s="1" t="s">
        <v>40</v>
      </c>
      <c r="Z339" s="1" t="n">
        <v>1</v>
      </c>
    </row>
    <row r="340" customFormat="false" ht="15" hidden="false" customHeight="true" outlineLevel="0" collapsed="false">
      <c r="A340" s="1" t="s">
        <v>763</v>
      </c>
      <c r="B340" s="1" t="s">
        <v>764</v>
      </c>
      <c r="C340" s="1" t="s">
        <v>264</v>
      </c>
      <c r="D340" s="1" t="s">
        <v>44</v>
      </c>
      <c r="E340" s="1" t="s">
        <v>221</v>
      </c>
      <c r="F340" s="1" t="s">
        <v>120</v>
      </c>
      <c r="G340" s="1" t="s">
        <v>47</v>
      </c>
      <c r="H340" s="1" t="s">
        <v>57</v>
      </c>
      <c r="I340" s="1" t="s">
        <v>34</v>
      </c>
      <c r="J340" s="1" t="s">
        <v>35</v>
      </c>
      <c r="K340" s="1" t="s">
        <v>84</v>
      </c>
      <c r="L340" s="1" t="s">
        <v>136</v>
      </c>
      <c r="M340" s="1" t="s">
        <v>62</v>
      </c>
      <c r="N340" s="1" t="n">
        <v>16999</v>
      </c>
      <c r="O340" s="1" t="n">
        <v>25</v>
      </c>
      <c r="P340" s="1" t="n">
        <v>4249.75</v>
      </c>
      <c r="Q340" s="1" t="n">
        <v>12749.25</v>
      </c>
      <c r="R340" s="1" t="n">
        <v>2294.86</v>
      </c>
      <c r="S340" s="1" t="n">
        <v>10454.39</v>
      </c>
      <c r="T340" s="1" t="n">
        <v>4870.4</v>
      </c>
      <c r="U340" s="1" t="n">
        <v>5583.99</v>
      </c>
      <c r="V340" s="1" t="n">
        <v>53.41</v>
      </c>
      <c r="W340" s="1" t="s">
        <v>39</v>
      </c>
      <c r="X340" s="1" t="n">
        <v>3.4</v>
      </c>
      <c r="Y340" s="1" t="s">
        <v>40</v>
      </c>
      <c r="Z340" s="1" t="n">
        <v>1</v>
      </c>
    </row>
    <row r="341" customFormat="false" ht="15" hidden="false" customHeight="true" outlineLevel="0" collapsed="false">
      <c r="A341" s="1" t="s">
        <v>765</v>
      </c>
      <c r="B341" s="1" t="s">
        <v>766</v>
      </c>
      <c r="C341" s="1" t="s">
        <v>167</v>
      </c>
      <c r="D341" s="1" t="s">
        <v>94</v>
      </c>
      <c r="E341" s="1" t="s">
        <v>135</v>
      </c>
      <c r="F341" s="1" t="s">
        <v>211</v>
      </c>
      <c r="G341" s="1" t="s">
        <v>56</v>
      </c>
      <c r="H341" s="1" t="s">
        <v>69</v>
      </c>
      <c r="I341" s="1" t="s">
        <v>83</v>
      </c>
      <c r="J341" s="1" t="s">
        <v>35</v>
      </c>
      <c r="K341" s="1" t="s">
        <v>48</v>
      </c>
      <c r="L341" s="1" t="s">
        <v>61</v>
      </c>
      <c r="M341" s="1" t="s">
        <v>62</v>
      </c>
      <c r="N341" s="1" t="n">
        <v>9999</v>
      </c>
      <c r="O341" s="1" t="n">
        <v>20</v>
      </c>
      <c r="P341" s="1" t="n">
        <v>1999.8</v>
      </c>
      <c r="Q341" s="1" t="n">
        <v>7999.2</v>
      </c>
      <c r="R341" s="1" t="n">
        <v>1439.86</v>
      </c>
      <c r="S341" s="1" t="n">
        <v>6559.34</v>
      </c>
      <c r="T341" s="1" t="n">
        <v>2794.28</v>
      </c>
      <c r="U341" s="1" t="n">
        <v>3765.06</v>
      </c>
      <c r="V341" s="1" t="n">
        <v>57.4</v>
      </c>
      <c r="W341" s="1" t="s">
        <v>39</v>
      </c>
      <c r="X341" s="1" t="n">
        <v>3.4</v>
      </c>
      <c r="Y341" s="1" t="s">
        <v>40</v>
      </c>
      <c r="Z341" s="1" t="n">
        <v>1</v>
      </c>
    </row>
    <row r="342" customFormat="false" ht="15" hidden="false" customHeight="true" outlineLevel="0" collapsed="false">
      <c r="A342" s="1" t="s">
        <v>767</v>
      </c>
      <c r="B342" s="1" t="s">
        <v>768</v>
      </c>
      <c r="C342" s="1" t="s">
        <v>28</v>
      </c>
      <c r="D342" s="1" t="s">
        <v>143</v>
      </c>
      <c r="E342" s="1" t="s">
        <v>243</v>
      </c>
      <c r="F342" s="1" t="s">
        <v>194</v>
      </c>
      <c r="G342" s="1" t="s">
        <v>103</v>
      </c>
      <c r="H342" s="1" t="s">
        <v>69</v>
      </c>
      <c r="I342" s="1" t="s">
        <v>58</v>
      </c>
      <c r="J342" s="1" t="s">
        <v>35</v>
      </c>
      <c r="K342" s="1" t="s">
        <v>104</v>
      </c>
      <c r="L342" s="1" t="s">
        <v>85</v>
      </c>
      <c r="M342" s="1" t="s">
        <v>38</v>
      </c>
      <c r="N342" s="1" t="n">
        <v>22999</v>
      </c>
      <c r="O342" s="1" t="n">
        <v>25</v>
      </c>
      <c r="P342" s="1" t="n">
        <v>5749.75</v>
      </c>
      <c r="Q342" s="1" t="n">
        <v>17249.25</v>
      </c>
      <c r="R342" s="1" t="n">
        <v>3104.86</v>
      </c>
      <c r="S342" s="1" t="n">
        <v>14144.39</v>
      </c>
      <c r="T342" s="1" t="n">
        <v>5208.28</v>
      </c>
      <c r="U342" s="1" t="n">
        <v>8936.11</v>
      </c>
      <c r="V342" s="1" t="n">
        <v>63.18</v>
      </c>
      <c r="W342" s="1" t="s">
        <v>39</v>
      </c>
      <c r="Y342" s="1" t="s">
        <v>40</v>
      </c>
      <c r="Z342" s="1" t="n">
        <v>0</v>
      </c>
    </row>
    <row r="343" customFormat="false" ht="15" hidden="false" customHeight="true" outlineLevel="0" collapsed="false">
      <c r="A343" s="1" t="s">
        <v>769</v>
      </c>
      <c r="B343" s="1" t="s">
        <v>770</v>
      </c>
      <c r="C343" s="1" t="s">
        <v>249</v>
      </c>
      <c r="D343" s="1" t="s">
        <v>94</v>
      </c>
      <c r="E343" s="1" t="s">
        <v>101</v>
      </c>
      <c r="F343" s="1" t="s">
        <v>107</v>
      </c>
      <c r="G343" s="1" t="s">
        <v>108</v>
      </c>
      <c r="H343" s="1" t="s">
        <v>33</v>
      </c>
      <c r="I343" s="1" t="s">
        <v>58</v>
      </c>
      <c r="J343" s="1" t="s">
        <v>35</v>
      </c>
      <c r="K343" s="1" t="s">
        <v>104</v>
      </c>
      <c r="L343" s="1" t="s">
        <v>136</v>
      </c>
      <c r="M343" s="1" t="s">
        <v>62</v>
      </c>
      <c r="N343" s="1" t="n">
        <v>14999</v>
      </c>
      <c r="O343" s="1" t="n">
        <v>20</v>
      </c>
      <c r="P343" s="1" t="n">
        <v>2999.8</v>
      </c>
      <c r="Q343" s="1" t="n">
        <v>11999.2</v>
      </c>
      <c r="R343" s="1" t="n">
        <v>2159.86</v>
      </c>
      <c r="S343" s="1" t="n">
        <v>9839.34</v>
      </c>
      <c r="T343" s="1" t="n">
        <v>5424.82</v>
      </c>
      <c r="U343" s="1" t="n">
        <v>4414.52</v>
      </c>
      <c r="V343" s="1" t="n">
        <v>44.87</v>
      </c>
      <c r="W343" s="1" t="s">
        <v>39</v>
      </c>
      <c r="X343" s="1" t="n">
        <v>3.1</v>
      </c>
      <c r="Y343" s="1" t="s">
        <v>40</v>
      </c>
      <c r="Z343" s="1" t="n">
        <v>0</v>
      </c>
    </row>
    <row r="344" customFormat="false" ht="15" hidden="false" customHeight="true" outlineLevel="0" collapsed="false">
      <c r="A344" s="1" t="s">
        <v>771</v>
      </c>
      <c r="B344" s="1" t="s">
        <v>772</v>
      </c>
      <c r="C344" s="1" t="s">
        <v>178</v>
      </c>
      <c r="D344" s="1" t="s">
        <v>94</v>
      </c>
      <c r="E344" s="1" t="s">
        <v>101</v>
      </c>
      <c r="F344" s="1" t="s">
        <v>31</v>
      </c>
      <c r="G344" s="1" t="s">
        <v>32</v>
      </c>
      <c r="H344" s="1" t="s">
        <v>33</v>
      </c>
      <c r="I344" s="1" t="s">
        <v>34</v>
      </c>
      <c r="J344" s="1" t="s">
        <v>131</v>
      </c>
      <c r="K344" s="1" t="s">
        <v>60</v>
      </c>
      <c r="L344" s="1" t="s">
        <v>85</v>
      </c>
      <c r="M344" s="1" t="s">
        <v>38</v>
      </c>
      <c r="N344" s="1" t="n">
        <v>14999</v>
      </c>
      <c r="O344" s="1" t="n">
        <v>10</v>
      </c>
      <c r="P344" s="1" t="n">
        <v>1499.9</v>
      </c>
      <c r="Q344" s="1" t="n">
        <v>13499.1</v>
      </c>
      <c r="R344" s="1" t="n">
        <v>2429.84</v>
      </c>
      <c r="S344" s="1" t="n">
        <v>11069.26</v>
      </c>
      <c r="T344" s="1" t="n">
        <v>4866.61</v>
      </c>
      <c r="U344" s="1" t="n">
        <v>6202.65</v>
      </c>
      <c r="V344" s="1" t="n">
        <v>56.03</v>
      </c>
      <c r="W344" s="1" t="s">
        <v>39</v>
      </c>
      <c r="X344" s="1" t="n">
        <v>4.1</v>
      </c>
      <c r="Y344" s="1" t="s">
        <v>40</v>
      </c>
      <c r="Z344" s="1" t="n">
        <v>0</v>
      </c>
    </row>
    <row r="345" customFormat="false" ht="15" hidden="false" customHeight="true" outlineLevel="0" collapsed="false">
      <c r="A345" s="1" t="s">
        <v>773</v>
      </c>
      <c r="B345" s="1" t="s">
        <v>774</v>
      </c>
      <c r="C345" s="1" t="s">
        <v>74</v>
      </c>
      <c r="D345" s="1" t="s">
        <v>123</v>
      </c>
      <c r="E345" s="1" t="s">
        <v>233</v>
      </c>
      <c r="F345" s="1" t="s">
        <v>107</v>
      </c>
      <c r="G345" s="1" t="s">
        <v>108</v>
      </c>
      <c r="H345" s="1" t="s">
        <v>33</v>
      </c>
      <c r="I345" s="1" t="s">
        <v>34</v>
      </c>
      <c r="J345" s="1" t="s">
        <v>35</v>
      </c>
      <c r="K345" s="1" t="s">
        <v>60</v>
      </c>
      <c r="L345" s="1" t="s">
        <v>113</v>
      </c>
      <c r="M345" s="1" t="s">
        <v>50</v>
      </c>
      <c r="N345" s="1" t="n">
        <v>8999</v>
      </c>
      <c r="O345" s="1" t="n">
        <v>0</v>
      </c>
      <c r="P345" s="1" t="n">
        <v>0</v>
      </c>
      <c r="Q345" s="1" t="n">
        <v>8999</v>
      </c>
      <c r="R345" s="1" t="n">
        <v>1619.82</v>
      </c>
      <c r="S345" s="1" t="n">
        <v>7379.18</v>
      </c>
      <c r="T345" s="1" t="n">
        <v>3430.05</v>
      </c>
      <c r="U345" s="1" t="n">
        <v>3949.13</v>
      </c>
      <c r="V345" s="1" t="n">
        <v>53.52</v>
      </c>
      <c r="W345" s="1" t="s">
        <v>39</v>
      </c>
      <c r="X345" s="1" t="n">
        <v>3.3</v>
      </c>
      <c r="Y345" s="1" t="s">
        <v>40</v>
      </c>
      <c r="Z345" s="1" t="n">
        <v>0</v>
      </c>
    </row>
    <row r="346" customFormat="false" ht="15" hidden="false" customHeight="true" outlineLevel="0" collapsed="false">
      <c r="A346" s="1" t="s">
        <v>775</v>
      </c>
      <c r="B346" s="1" t="s">
        <v>776</v>
      </c>
      <c r="C346" s="1" t="s">
        <v>93</v>
      </c>
      <c r="D346" s="1" t="s">
        <v>168</v>
      </c>
      <c r="E346" s="1" t="s">
        <v>172</v>
      </c>
      <c r="F346" s="1" t="s">
        <v>269</v>
      </c>
      <c r="G346" s="1" t="s">
        <v>108</v>
      </c>
      <c r="H346" s="1" t="s">
        <v>57</v>
      </c>
      <c r="I346" s="1" t="s">
        <v>58</v>
      </c>
      <c r="J346" s="1" t="s">
        <v>70</v>
      </c>
      <c r="K346" s="1" t="s">
        <v>112</v>
      </c>
      <c r="L346" s="1" t="s">
        <v>37</v>
      </c>
      <c r="M346" s="1" t="s">
        <v>38</v>
      </c>
      <c r="N346" s="1" t="n">
        <v>6999</v>
      </c>
      <c r="O346" s="1" t="n">
        <v>5</v>
      </c>
      <c r="P346" s="1" t="n">
        <v>349.95</v>
      </c>
      <c r="Q346" s="1" t="n">
        <v>6649.05</v>
      </c>
      <c r="R346" s="1" t="n">
        <v>1196.83</v>
      </c>
      <c r="S346" s="1" t="n">
        <v>5452.22</v>
      </c>
      <c r="T346" s="1" t="n">
        <v>2410.25</v>
      </c>
      <c r="U346" s="1" t="n">
        <v>3041.97</v>
      </c>
      <c r="V346" s="1" t="n">
        <v>55.79</v>
      </c>
      <c r="W346" s="1" t="s">
        <v>39</v>
      </c>
      <c r="X346" s="1" t="n">
        <v>3.3</v>
      </c>
      <c r="Y346" s="1" t="s">
        <v>40</v>
      </c>
      <c r="Z346" s="1" t="n">
        <v>0</v>
      </c>
    </row>
    <row r="347" customFormat="false" ht="15" hidden="false" customHeight="true" outlineLevel="0" collapsed="false">
      <c r="A347" s="1" t="s">
        <v>777</v>
      </c>
      <c r="B347" s="1" t="s">
        <v>665</v>
      </c>
      <c r="C347" s="1" t="s">
        <v>134</v>
      </c>
      <c r="D347" s="1" t="s">
        <v>29</v>
      </c>
      <c r="E347" s="1" t="s">
        <v>182</v>
      </c>
      <c r="F347" s="1" t="s">
        <v>187</v>
      </c>
      <c r="G347" s="1" t="s">
        <v>97</v>
      </c>
      <c r="H347" s="1" t="s">
        <v>69</v>
      </c>
      <c r="I347" s="1" t="s">
        <v>58</v>
      </c>
      <c r="J347" s="1" t="s">
        <v>59</v>
      </c>
      <c r="K347" s="1" t="s">
        <v>112</v>
      </c>
      <c r="L347" s="1" t="s">
        <v>113</v>
      </c>
      <c r="M347" s="1" t="s">
        <v>38</v>
      </c>
      <c r="N347" s="1" t="n">
        <v>34999</v>
      </c>
      <c r="O347" s="1" t="n">
        <v>15</v>
      </c>
      <c r="P347" s="1" t="n">
        <v>5249.85</v>
      </c>
      <c r="Q347" s="1" t="n">
        <v>29749.15</v>
      </c>
      <c r="R347" s="1" t="n">
        <v>5354.85</v>
      </c>
      <c r="S347" s="1" t="n">
        <v>24394.3</v>
      </c>
      <c r="T347" s="1" t="n">
        <v>8901.49</v>
      </c>
      <c r="U347" s="1" t="n">
        <v>15492.81</v>
      </c>
      <c r="V347" s="1" t="n">
        <v>63.51</v>
      </c>
      <c r="W347" s="1" t="s">
        <v>39</v>
      </c>
      <c r="X347" s="1" t="n">
        <v>4.4</v>
      </c>
      <c r="Y347" s="1" t="s">
        <v>40</v>
      </c>
      <c r="Z347" s="1" t="n">
        <v>0</v>
      </c>
    </row>
    <row r="348" customFormat="false" ht="15" hidden="false" customHeight="true" outlineLevel="0" collapsed="false">
      <c r="A348" s="1" t="s">
        <v>778</v>
      </c>
      <c r="B348" s="1" t="s">
        <v>779</v>
      </c>
      <c r="C348" s="1" t="s">
        <v>780</v>
      </c>
      <c r="D348" s="1" t="s">
        <v>44</v>
      </c>
      <c r="E348" s="1" t="s">
        <v>221</v>
      </c>
      <c r="F348" s="1" t="s">
        <v>194</v>
      </c>
      <c r="G348" s="1" t="s">
        <v>103</v>
      </c>
      <c r="H348" s="1" t="s">
        <v>69</v>
      </c>
      <c r="I348" s="1" t="s">
        <v>34</v>
      </c>
      <c r="J348" s="1" t="s">
        <v>70</v>
      </c>
      <c r="K348" s="1" t="s">
        <v>71</v>
      </c>
      <c r="L348" s="1" t="s">
        <v>61</v>
      </c>
      <c r="M348" s="1" t="s">
        <v>62</v>
      </c>
      <c r="N348" s="1" t="n">
        <v>16999</v>
      </c>
      <c r="O348" s="1" t="n">
        <v>0</v>
      </c>
      <c r="P348" s="1" t="n">
        <v>0</v>
      </c>
      <c r="Q348" s="1" t="n">
        <v>16999</v>
      </c>
      <c r="R348" s="1" t="n">
        <v>3059.82</v>
      </c>
      <c r="S348" s="1" t="n">
        <v>13939.18</v>
      </c>
      <c r="T348" s="1" t="n">
        <v>6110.65</v>
      </c>
      <c r="U348" s="1" t="n">
        <v>7828.53</v>
      </c>
      <c r="V348" s="1" t="n">
        <v>56.16</v>
      </c>
      <c r="W348" s="1" t="s">
        <v>39</v>
      </c>
      <c r="X348" s="1" t="n">
        <v>4.1</v>
      </c>
      <c r="Y348" s="1" t="s">
        <v>40</v>
      </c>
      <c r="Z348" s="1" t="n">
        <v>0</v>
      </c>
    </row>
    <row r="349" customFormat="false" ht="15" hidden="false" customHeight="true" outlineLevel="0" collapsed="false">
      <c r="A349" s="1" t="s">
        <v>781</v>
      </c>
      <c r="B349" s="1" t="s">
        <v>782</v>
      </c>
      <c r="C349" s="1" t="s">
        <v>139</v>
      </c>
      <c r="D349" s="1" t="s">
        <v>168</v>
      </c>
      <c r="E349" s="1" t="s">
        <v>328</v>
      </c>
      <c r="F349" s="1" t="s">
        <v>67</v>
      </c>
      <c r="G349" s="1" t="s">
        <v>68</v>
      </c>
      <c r="H349" s="1" t="s">
        <v>69</v>
      </c>
      <c r="I349" s="1" t="s">
        <v>58</v>
      </c>
      <c r="J349" s="1" t="s">
        <v>35</v>
      </c>
      <c r="K349" s="1" t="s">
        <v>112</v>
      </c>
      <c r="L349" s="1" t="s">
        <v>85</v>
      </c>
      <c r="M349" s="1" t="s">
        <v>38</v>
      </c>
      <c r="N349" s="1" t="n">
        <v>8999</v>
      </c>
      <c r="O349" s="1" t="n">
        <v>20</v>
      </c>
      <c r="P349" s="1" t="n">
        <v>1799.8</v>
      </c>
      <c r="Q349" s="1" t="n">
        <v>7199.2</v>
      </c>
      <c r="R349" s="1" t="n">
        <v>1295.86</v>
      </c>
      <c r="S349" s="1" t="n">
        <v>5903.34</v>
      </c>
      <c r="T349" s="1" t="n">
        <v>2520.73</v>
      </c>
      <c r="U349" s="1" t="n">
        <v>3382.61</v>
      </c>
      <c r="V349" s="1" t="n">
        <v>57.3</v>
      </c>
      <c r="W349" s="1" t="s">
        <v>39</v>
      </c>
      <c r="Y349" s="1" t="s">
        <v>40</v>
      </c>
      <c r="Z349" s="1" t="n">
        <v>1</v>
      </c>
    </row>
    <row r="350" customFormat="false" ht="15" hidden="false" customHeight="true" outlineLevel="0" collapsed="false">
      <c r="A350" s="1" t="s">
        <v>783</v>
      </c>
      <c r="B350" s="1" t="s">
        <v>580</v>
      </c>
      <c r="C350" s="1" t="s">
        <v>167</v>
      </c>
      <c r="D350" s="1" t="s">
        <v>29</v>
      </c>
      <c r="E350" s="1" t="s">
        <v>30</v>
      </c>
      <c r="F350" s="1" t="s">
        <v>153</v>
      </c>
      <c r="G350" s="1" t="s">
        <v>76</v>
      </c>
      <c r="H350" s="1" t="s">
        <v>33</v>
      </c>
      <c r="I350" s="1" t="s">
        <v>83</v>
      </c>
      <c r="J350" s="1" t="s">
        <v>35</v>
      </c>
      <c r="K350" s="1" t="s">
        <v>112</v>
      </c>
      <c r="L350" s="1" t="s">
        <v>85</v>
      </c>
      <c r="M350" s="1" t="s">
        <v>62</v>
      </c>
      <c r="N350" s="1" t="n">
        <v>7999</v>
      </c>
      <c r="O350" s="1" t="n">
        <v>0</v>
      </c>
      <c r="P350" s="1" t="n">
        <v>0</v>
      </c>
      <c r="Q350" s="1" t="n">
        <v>7999</v>
      </c>
      <c r="R350" s="1" t="n">
        <v>1439.82</v>
      </c>
      <c r="S350" s="1" t="n">
        <v>6559.18</v>
      </c>
      <c r="T350" s="1" t="n">
        <v>2701.8</v>
      </c>
      <c r="U350" s="1" t="n">
        <v>3857.38</v>
      </c>
      <c r="V350" s="1" t="n">
        <v>58.81</v>
      </c>
      <c r="W350" s="1" t="s">
        <v>40</v>
      </c>
      <c r="Y350" s="1" t="s">
        <v>40</v>
      </c>
      <c r="Z350" s="1" t="n">
        <v>2</v>
      </c>
    </row>
    <row r="351" customFormat="false" ht="15" hidden="false" customHeight="true" outlineLevel="0" collapsed="false">
      <c r="A351" s="1" t="s">
        <v>784</v>
      </c>
      <c r="B351" s="1" t="s">
        <v>785</v>
      </c>
      <c r="C351" s="1" t="s">
        <v>128</v>
      </c>
      <c r="D351" s="1" t="s">
        <v>53</v>
      </c>
      <c r="E351" s="1" t="s">
        <v>216</v>
      </c>
      <c r="F351" s="1" t="s">
        <v>120</v>
      </c>
      <c r="G351" s="1" t="s">
        <v>47</v>
      </c>
      <c r="H351" s="1" t="s">
        <v>57</v>
      </c>
      <c r="I351" s="1" t="s">
        <v>34</v>
      </c>
      <c r="J351" s="1" t="s">
        <v>35</v>
      </c>
      <c r="K351" s="1" t="s">
        <v>60</v>
      </c>
      <c r="L351" s="1" t="s">
        <v>37</v>
      </c>
      <c r="M351" s="1" t="s">
        <v>38</v>
      </c>
      <c r="N351" s="1" t="n">
        <v>7499</v>
      </c>
      <c r="O351" s="1" t="n">
        <v>50</v>
      </c>
      <c r="P351" s="1" t="n">
        <v>3749.5</v>
      </c>
      <c r="Q351" s="1" t="n">
        <v>3749.5</v>
      </c>
      <c r="R351" s="1" t="n">
        <v>674.91</v>
      </c>
      <c r="S351" s="1" t="n">
        <v>3074.59</v>
      </c>
      <c r="T351" s="1" t="n">
        <v>1893.06</v>
      </c>
      <c r="U351" s="1" t="n">
        <v>1181.53</v>
      </c>
      <c r="V351" s="1" t="n">
        <v>38.43</v>
      </c>
      <c r="W351" s="1" t="s">
        <v>40</v>
      </c>
      <c r="Y351" s="1" t="s">
        <v>40</v>
      </c>
      <c r="Z351" s="1" t="n">
        <v>1</v>
      </c>
    </row>
    <row r="352" customFormat="false" ht="15" hidden="false" customHeight="true" outlineLevel="0" collapsed="false">
      <c r="A352" s="1" t="s">
        <v>786</v>
      </c>
      <c r="B352" s="1" t="s">
        <v>787</v>
      </c>
      <c r="C352" s="1" t="s">
        <v>249</v>
      </c>
      <c r="D352" s="1" t="s">
        <v>44</v>
      </c>
      <c r="E352" s="1" t="s">
        <v>66</v>
      </c>
      <c r="F352" s="1" t="s">
        <v>150</v>
      </c>
      <c r="G352" s="1" t="s">
        <v>32</v>
      </c>
      <c r="H352" s="1" t="s">
        <v>57</v>
      </c>
      <c r="I352" s="1" t="s">
        <v>34</v>
      </c>
      <c r="J352" s="1" t="s">
        <v>70</v>
      </c>
      <c r="K352" s="1" t="s">
        <v>36</v>
      </c>
      <c r="L352" s="1" t="s">
        <v>49</v>
      </c>
      <c r="M352" s="1" t="s">
        <v>38</v>
      </c>
      <c r="N352" s="1" t="n">
        <v>12999</v>
      </c>
      <c r="O352" s="1" t="n">
        <v>10</v>
      </c>
      <c r="P352" s="1" t="n">
        <v>1299.9</v>
      </c>
      <c r="Q352" s="1" t="n">
        <v>11699.1</v>
      </c>
      <c r="R352" s="1" t="n">
        <v>2105.84</v>
      </c>
      <c r="S352" s="1" t="n">
        <v>9593.26</v>
      </c>
      <c r="T352" s="1" t="n">
        <v>4763.98</v>
      </c>
      <c r="U352" s="1" t="n">
        <v>4829.28</v>
      </c>
      <c r="V352" s="1" t="n">
        <v>50.34</v>
      </c>
      <c r="W352" s="1" t="s">
        <v>40</v>
      </c>
      <c r="Y352" s="1" t="s">
        <v>40</v>
      </c>
      <c r="Z352" s="1" t="n">
        <v>1</v>
      </c>
    </row>
    <row r="353" customFormat="false" ht="15" hidden="false" customHeight="true" outlineLevel="0" collapsed="false">
      <c r="A353" s="1" t="s">
        <v>788</v>
      </c>
      <c r="B353" s="1" t="s">
        <v>425</v>
      </c>
      <c r="C353" s="1" t="s">
        <v>134</v>
      </c>
      <c r="D353" s="1" t="s">
        <v>44</v>
      </c>
      <c r="E353" s="1" t="s">
        <v>45</v>
      </c>
      <c r="F353" s="1" t="s">
        <v>187</v>
      </c>
      <c r="G353" s="1" t="s">
        <v>97</v>
      </c>
      <c r="H353" s="1" t="s">
        <v>69</v>
      </c>
      <c r="I353" s="1" t="s">
        <v>58</v>
      </c>
      <c r="J353" s="1" t="s">
        <v>35</v>
      </c>
      <c r="K353" s="1" t="s">
        <v>60</v>
      </c>
      <c r="L353" s="1" t="s">
        <v>113</v>
      </c>
      <c r="M353" s="1" t="s">
        <v>50</v>
      </c>
      <c r="N353" s="1" t="n">
        <v>11999</v>
      </c>
      <c r="O353" s="1" t="n">
        <v>0</v>
      </c>
      <c r="P353" s="1" t="n">
        <v>0</v>
      </c>
      <c r="Q353" s="1" t="n">
        <v>11999</v>
      </c>
      <c r="R353" s="1" t="n">
        <v>2159.82</v>
      </c>
      <c r="S353" s="1" t="n">
        <v>9839.18</v>
      </c>
      <c r="T353" s="1" t="n">
        <v>3616.26</v>
      </c>
      <c r="U353" s="1" t="n">
        <v>6222.92</v>
      </c>
      <c r="V353" s="1" t="n">
        <v>63.25</v>
      </c>
      <c r="W353" s="1" t="s">
        <v>39</v>
      </c>
      <c r="X353" s="1" t="n">
        <v>4.4</v>
      </c>
      <c r="Y353" s="1" t="s">
        <v>40</v>
      </c>
      <c r="Z353" s="1" t="n">
        <v>0</v>
      </c>
    </row>
    <row r="354" customFormat="false" ht="15" hidden="false" customHeight="true" outlineLevel="0" collapsed="false">
      <c r="A354" s="1" t="s">
        <v>789</v>
      </c>
      <c r="B354" s="1" t="s">
        <v>174</v>
      </c>
      <c r="C354" s="1" t="s">
        <v>65</v>
      </c>
      <c r="D354" s="1" t="s">
        <v>143</v>
      </c>
      <c r="E354" s="1" t="s">
        <v>159</v>
      </c>
      <c r="F354" s="1" t="s">
        <v>244</v>
      </c>
      <c r="G354" s="1" t="s">
        <v>97</v>
      </c>
      <c r="H354" s="1" t="s">
        <v>57</v>
      </c>
      <c r="I354" s="1" t="s">
        <v>58</v>
      </c>
      <c r="J354" s="1" t="s">
        <v>77</v>
      </c>
      <c r="K354" s="1" t="s">
        <v>104</v>
      </c>
      <c r="L354" s="1" t="s">
        <v>61</v>
      </c>
      <c r="M354" s="1" t="s">
        <v>62</v>
      </c>
      <c r="N354" s="1" t="n">
        <v>24999</v>
      </c>
      <c r="O354" s="1" t="n">
        <v>5</v>
      </c>
      <c r="P354" s="1" t="n">
        <v>1249.95</v>
      </c>
      <c r="Q354" s="1" t="n">
        <v>23749.05</v>
      </c>
      <c r="R354" s="1" t="n">
        <v>4274.83</v>
      </c>
      <c r="S354" s="1" t="n">
        <v>19474.22</v>
      </c>
      <c r="T354" s="1" t="n">
        <v>10231.77</v>
      </c>
      <c r="U354" s="1" t="n">
        <v>9242.45</v>
      </c>
      <c r="V354" s="1" t="n">
        <v>47.46</v>
      </c>
      <c r="W354" s="1" t="s">
        <v>40</v>
      </c>
      <c r="Y354" s="1" t="s">
        <v>40</v>
      </c>
      <c r="Z354" s="1" t="n">
        <v>2</v>
      </c>
    </row>
    <row r="355" customFormat="false" ht="15" hidden="false" customHeight="true" outlineLevel="0" collapsed="false">
      <c r="A355" s="1" t="s">
        <v>790</v>
      </c>
      <c r="B355" s="1" t="s">
        <v>791</v>
      </c>
      <c r="C355" s="1" t="s">
        <v>100</v>
      </c>
      <c r="D355" s="1" t="s">
        <v>94</v>
      </c>
      <c r="E355" s="1" t="s">
        <v>95</v>
      </c>
      <c r="F355" s="1" t="s">
        <v>184</v>
      </c>
      <c r="G355" s="1" t="s">
        <v>56</v>
      </c>
      <c r="H355" s="1" t="s">
        <v>57</v>
      </c>
      <c r="I355" s="1" t="s">
        <v>34</v>
      </c>
      <c r="J355" s="1" t="s">
        <v>59</v>
      </c>
      <c r="K355" s="1" t="s">
        <v>48</v>
      </c>
      <c r="L355" s="1" t="s">
        <v>61</v>
      </c>
      <c r="M355" s="1" t="s">
        <v>62</v>
      </c>
      <c r="N355" s="1" t="n">
        <v>6999</v>
      </c>
      <c r="O355" s="1" t="n">
        <v>10</v>
      </c>
      <c r="P355" s="1" t="n">
        <v>699.9</v>
      </c>
      <c r="Q355" s="1" t="n">
        <v>6299.1</v>
      </c>
      <c r="R355" s="1" t="n">
        <v>1133.84</v>
      </c>
      <c r="S355" s="1" t="n">
        <v>5165.26</v>
      </c>
      <c r="T355" s="1" t="n">
        <v>2200.96</v>
      </c>
      <c r="U355" s="1" t="n">
        <v>2964.3</v>
      </c>
      <c r="V355" s="1" t="n">
        <v>57.39</v>
      </c>
      <c r="W355" s="1" t="s">
        <v>39</v>
      </c>
      <c r="X355" s="1" t="n">
        <v>4.4</v>
      </c>
      <c r="Y355" s="1" t="s">
        <v>40</v>
      </c>
      <c r="Z355" s="1" t="n">
        <v>1</v>
      </c>
    </row>
    <row r="356" customFormat="false" ht="15" hidden="false" customHeight="true" outlineLevel="0" collapsed="false">
      <c r="A356" s="1" t="s">
        <v>792</v>
      </c>
      <c r="B356" s="1" t="s">
        <v>793</v>
      </c>
      <c r="C356" s="1" t="s">
        <v>264</v>
      </c>
      <c r="D356" s="1" t="s">
        <v>168</v>
      </c>
      <c r="E356" s="1" t="s">
        <v>197</v>
      </c>
      <c r="F356" s="1" t="s">
        <v>67</v>
      </c>
      <c r="G356" s="1" t="s">
        <v>68</v>
      </c>
      <c r="H356" s="1" t="s">
        <v>69</v>
      </c>
      <c r="I356" s="1" t="s">
        <v>83</v>
      </c>
      <c r="J356" s="1" t="s">
        <v>70</v>
      </c>
      <c r="K356" s="1" t="s">
        <v>112</v>
      </c>
      <c r="L356" s="1" t="s">
        <v>49</v>
      </c>
      <c r="M356" s="1" t="s">
        <v>38</v>
      </c>
      <c r="N356" s="1" t="n">
        <v>8499</v>
      </c>
      <c r="O356" s="1" t="n">
        <v>25</v>
      </c>
      <c r="P356" s="1" t="n">
        <v>2124.75</v>
      </c>
      <c r="Q356" s="1" t="n">
        <v>6374.25</v>
      </c>
      <c r="R356" s="1" t="n">
        <v>1147.37</v>
      </c>
      <c r="S356" s="1" t="n">
        <v>5226.88</v>
      </c>
      <c r="T356" s="1" t="n">
        <v>2159.55</v>
      </c>
      <c r="U356" s="1" t="n">
        <v>3067.33</v>
      </c>
      <c r="V356" s="1" t="n">
        <v>58.68</v>
      </c>
      <c r="W356" s="1" t="s">
        <v>39</v>
      </c>
      <c r="X356" s="1" t="n">
        <v>4.6</v>
      </c>
      <c r="Y356" s="1" t="s">
        <v>40</v>
      </c>
      <c r="Z356" s="1" t="n">
        <v>0</v>
      </c>
    </row>
    <row r="357" customFormat="false" ht="15" hidden="false" customHeight="true" outlineLevel="0" collapsed="false">
      <c r="A357" s="1" t="s">
        <v>794</v>
      </c>
      <c r="B357" s="1" t="s">
        <v>795</v>
      </c>
      <c r="C357" s="1" t="s">
        <v>128</v>
      </c>
      <c r="D357" s="1" t="s">
        <v>80</v>
      </c>
      <c r="E357" s="1" t="s">
        <v>175</v>
      </c>
      <c r="F357" s="1" t="s">
        <v>194</v>
      </c>
      <c r="G357" s="1" t="s">
        <v>103</v>
      </c>
      <c r="H357" s="1" t="s">
        <v>69</v>
      </c>
      <c r="I357" s="1" t="s">
        <v>58</v>
      </c>
      <c r="J357" s="1" t="s">
        <v>70</v>
      </c>
      <c r="K357" s="1" t="s">
        <v>71</v>
      </c>
      <c r="L357" s="1" t="s">
        <v>49</v>
      </c>
      <c r="M357" s="1" t="s">
        <v>62</v>
      </c>
      <c r="N357" s="1" t="n">
        <v>19999</v>
      </c>
      <c r="O357" s="1" t="n">
        <v>0</v>
      </c>
      <c r="P357" s="1" t="n">
        <v>0</v>
      </c>
      <c r="Q357" s="1" t="n">
        <v>19999</v>
      </c>
      <c r="R357" s="1" t="n">
        <v>3599.82</v>
      </c>
      <c r="S357" s="1" t="n">
        <v>16399.18</v>
      </c>
      <c r="T357" s="1" t="n">
        <v>6797.66</v>
      </c>
      <c r="U357" s="1" t="n">
        <v>9601.52</v>
      </c>
      <c r="V357" s="1" t="n">
        <v>58.55</v>
      </c>
      <c r="W357" s="1" t="s">
        <v>39</v>
      </c>
      <c r="Y357" s="1" t="s">
        <v>40</v>
      </c>
      <c r="Z357" s="1" t="n">
        <v>0</v>
      </c>
    </row>
    <row r="358" customFormat="false" ht="15" hidden="false" customHeight="true" outlineLevel="0" collapsed="false">
      <c r="A358" s="1" t="s">
        <v>796</v>
      </c>
      <c r="B358" s="1" t="s">
        <v>430</v>
      </c>
      <c r="C358" s="1" t="s">
        <v>88</v>
      </c>
      <c r="D358" s="1" t="s">
        <v>80</v>
      </c>
      <c r="E358" s="1" t="s">
        <v>190</v>
      </c>
      <c r="F358" s="1" t="s">
        <v>205</v>
      </c>
      <c r="G358" s="1" t="s">
        <v>56</v>
      </c>
      <c r="H358" s="1" t="s">
        <v>69</v>
      </c>
      <c r="I358" s="1" t="s">
        <v>58</v>
      </c>
      <c r="J358" s="1" t="s">
        <v>131</v>
      </c>
      <c r="K358" s="1" t="s">
        <v>71</v>
      </c>
      <c r="L358" s="1" t="s">
        <v>136</v>
      </c>
      <c r="M358" s="1" t="s">
        <v>50</v>
      </c>
      <c r="N358" s="1" t="n">
        <v>15999</v>
      </c>
      <c r="O358" s="1" t="n">
        <v>25</v>
      </c>
      <c r="P358" s="1" t="n">
        <v>3999.75</v>
      </c>
      <c r="Q358" s="1" t="n">
        <v>11999.25</v>
      </c>
      <c r="R358" s="1" t="n">
        <v>2159.86</v>
      </c>
      <c r="S358" s="1" t="n">
        <v>9839.39</v>
      </c>
      <c r="T358" s="1" t="n">
        <v>3475.47</v>
      </c>
      <c r="U358" s="1" t="n">
        <v>6363.92</v>
      </c>
      <c r="V358" s="1" t="n">
        <v>64.68</v>
      </c>
      <c r="W358" s="1" t="s">
        <v>39</v>
      </c>
      <c r="X358" s="1" t="n">
        <v>3.8</v>
      </c>
      <c r="Y358" s="1" t="s">
        <v>40</v>
      </c>
      <c r="Z358" s="1" t="n">
        <v>0</v>
      </c>
    </row>
    <row r="359" customFormat="false" ht="15" hidden="false" customHeight="true" outlineLevel="0" collapsed="false">
      <c r="A359" s="1" t="s">
        <v>797</v>
      </c>
      <c r="B359" s="1" t="s">
        <v>798</v>
      </c>
      <c r="C359" s="1" t="s">
        <v>65</v>
      </c>
      <c r="D359" s="1" t="s">
        <v>123</v>
      </c>
      <c r="E359" s="1" t="s">
        <v>124</v>
      </c>
      <c r="F359" s="1" t="s">
        <v>156</v>
      </c>
      <c r="G359" s="1" t="s">
        <v>68</v>
      </c>
      <c r="H359" s="1" t="s">
        <v>57</v>
      </c>
      <c r="I359" s="1" t="s">
        <v>34</v>
      </c>
      <c r="J359" s="1" t="s">
        <v>59</v>
      </c>
      <c r="K359" s="1" t="s">
        <v>104</v>
      </c>
      <c r="L359" s="1" t="s">
        <v>85</v>
      </c>
      <c r="M359" s="1" t="s">
        <v>62</v>
      </c>
      <c r="N359" s="1" t="n">
        <v>4999</v>
      </c>
      <c r="O359" s="1" t="n">
        <v>40</v>
      </c>
      <c r="P359" s="1" t="n">
        <v>1999.6</v>
      </c>
      <c r="Q359" s="1" t="n">
        <v>2999.4</v>
      </c>
      <c r="R359" s="1" t="n">
        <v>539.89</v>
      </c>
      <c r="S359" s="1" t="n">
        <v>2459.51</v>
      </c>
      <c r="T359" s="1" t="n">
        <v>1397.38</v>
      </c>
      <c r="U359" s="1" t="n">
        <v>1062.13</v>
      </c>
      <c r="V359" s="1" t="n">
        <v>43.18</v>
      </c>
      <c r="W359" s="1" t="s">
        <v>40</v>
      </c>
      <c r="Y359" s="1" t="s">
        <v>39</v>
      </c>
      <c r="Z359" s="1" t="n">
        <v>1</v>
      </c>
    </row>
    <row r="360" customFormat="false" ht="15" hidden="false" customHeight="true" outlineLevel="0" collapsed="false">
      <c r="A360" s="1" t="s">
        <v>799</v>
      </c>
      <c r="B360" s="1" t="s">
        <v>152</v>
      </c>
      <c r="C360" s="1" t="s">
        <v>134</v>
      </c>
      <c r="D360" s="1" t="s">
        <v>123</v>
      </c>
      <c r="E360" s="1" t="s">
        <v>233</v>
      </c>
      <c r="F360" s="1" t="s">
        <v>75</v>
      </c>
      <c r="G360" s="1" t="s">
        <v>76</v>
      </c>
      <c r="H360" s="1" t="s">
        <v>69</v>
      </c>
      <c r="I360" s="1" t="s">
        <v>34</v>
      </c>
      <c r="J360" s="1" t="s">
        <v>77</v>
      </c>
      <c r="K360" s="1" t="s">
        <v>48</v>
      </c>
      <c r="L360" s="1" t="s">
        <v>37</v>
      </c>
      <c r="M360" s="1" t="s">
        <v>38</v>
      </c>
      <c r="N360" s="1" t="n">
        <v>8999</v>
      </c>
      <c r="O360" s="1" t="n">
        <v>15</v>
      </c>
      <c r="P360" s="1" t="n">
        <v>1349.85</v>
      </c>
      <c r="Q360" s="1" t="n">
        <v>7649.15</v>
      </c>
      <c r="R360" s="1" t="n">
        <v>1376.85</v>
      </c>
      <c r="S360" s="1" t="n">
        <v>6272.3</v>
      </c>
      <c r="T360" s="1" t="n">
        <v>2725.46</v>
      </c>
      <c r="U360" s="1" t="n">
        <v>3546.84</v>
      </c>
      <c r="V360" s="1" t="n">
        <v>56.55</v>
      </c>
      <c r="W360" s="1" t="s">
        <v>40</v>
      </c>
      <c r="Y360" s="1" t="s">
        <v>40</v>
      </c>
      <c r="Z360" s="1" t="n">
        <v>0</v>
      </c>
    </row>
    <row r="361" customFormat="false" ht="15" hidden="false" customHeight="true" outlineLevel="0" collapsed="false">
      <c r="A361" s="1" t="s">
        <v>800</v>
      </c>
      <c r="B361" s="1" t="s">
        <v>348</v>
      </c>
      <c r="C361" s="1" t="s">
        <v>128</v>
      </c>
      <c r="D361" s="1" t="s">
        <v>94</v>
      </c>
      <c r="E361" s="1" t="s">
        <v>135</v>
      </c>
      <c r="F361" s="1" t="s">
        <v>102</v>
      </c>
      <c r="G361" s="1" t="s">
        <v>103</v>
      </c>
      <c r="H361" s="1" t="s">
        <v>33</v>
      </c>
      <c r="I361" s="1" t="s">
        <v>34</v>
      </c>
      <c r="J361" s="1" t="s">
        <v>35</v>
      </c>
      <c r="K361" s="1" t="s">
        <v>48</v>
      </c>
      <c r="L361" s="1" t="s">
        <v>61</v>
      </c>
      <c r="M361" s="1" t="s">
        <v>62</v>
      </c>
      <c r="N361" s="1" t="n">
        <v>9999</v>
      </c>
      <c r="O361" s="1" t="n">
        <v>0</v>
      </c>
      <c r="P361" s="1" t="n">
        <v>0</v>
      </c>
      <c r="Q361" s="1" t="n">
        <v>9999</v>
      </c>
      <c r="R361" s="1" t="n">
        <v>1799.82</v>
      </c>
      <c r="S361" s="1" t="n">
        <v>8199.18</v>
      </c>
      <c r="T361" s="1" t="n">
        <v>3560.39</v>
      </c>
      <c r="U361" s="1" t="n">
        <v>4638.79</v>
      </c>
      <c r="V361" s="1" t="n">
        <v>56.58</v>
      </c>
      <c r="W361" s="1" t="s">
        <v>40</v>
      </c>
      <c r="Y361" s="1" t="s">
        <v>39</v>
      </c>
      <c r="Z361" s="1" t="n">
        <v>2</v>
      </c>
    </row>
    <row r="362" customFormat="false" ht="15" hidden="false" customHeight="true" outlineLevel="0" collapsed="false">
      <c r="A362" s="1" t="s">
        <v>801</v>
      </c>
      <c r="B362" s="1" t="s">
        <v>118</v>
      </c>
      <c r="C362" s="1" t="s">
        <v>802</v>
      </c>
      <c r="D362" s="1" t="s">
        <v>53</v>
      </c>
      <c r="E362" s="1" t="s">
        <v>216</v>
      </c>
      <c r="F362" s="1" t="s">
        <v>803</v>
      </c>
      <c r="G362" s="1" t="s">
        <v>108</v>
      </c>
      <c r="H362" s="1" t="s">
        <v>33</v>
      </c>
      <c r="I362" s="1" t="s">
        <v>83</v>
      </c>
      <c r="J362" s="1" t="s">
        <v>59</v>
      </c>
      <c r="K362" s="1" t="s">
        <v>84</v>
      </c>
      <c r="L362" s="1" t="s">
        <v>136</v>
      </c>
      <c r="M362" s="1" t="s">
        <v>62</v>
      </c>
      <c r="N362" s="1" t="n">
        <v>7499</v>
      </c>
      <c r="O362" s="1" t="n">
        <v>40</v>
      </c>
      <c r="P362" s="1" t="n">
        <v>2999.6</v>
      </c>
      <c r="Q362" s="1" t="n">
        <v>4499.4</v>
      </c>
      <c r="R362" s="1" t="n">
        <v>809.89</v>
      </c>
      <c r="S362" s="1" t="n">
        <v>3689.51</v>
      </c>
      <c r="T362" s="1" t="n">
        <v>1876.69</v>
      </c>
      <c r="U362" s="1" t="n">
        <v>1812.82</v>
      </c>
      <c r="V362" s="1" t="n">
        <v>49.13</v>
      </c>
      <c r="W362" s="1" t="s">
        <v>39</v>
      </c>
      <c r="X362" s="1" t="n">
        <v>3.3</v>
      </c>
      <c r="Y362" s="1" t="s">
        <v>40</v>
      </c>
      <c r="Z362" s="1" t="n">
        <v>0</v>
      </c>
    </row>
    <row r="363" customFormat="false" ht="15" hidden="false" customHeight="true" outlineLevel="0" collapsed="false">
      <c r="A363" s="1" t="s">
        <v>804</v>
      </c>
      <c r="B363" s="1" t="s">
        <v>805</v>
      </c>
      <c r="C363" s="1" t="s">
        <v>43</v>
      </c>
      <c r="D363" s="1" t="s">
        <v>143</v>
      </c>
      <c r="E363" s="1" t="s">
        <v>243</v>
      </c>
      <c r="F363" s="1" t="s">
        <v>46</v>
      </c>
      <c r="G363" s="1" t="s">
        <v>47</v>
      </c>
      <c r="H363" s="1" t="s">
        <v>33</v>
      </c>
      <c r="I363" s="1" t="s">
        <v>34</v>
      </c>
      <c r="J363" s="1" t="s">
        <v>70</v>
      </c>
      <c r="K363" s="1" t="s">
        <v>48</v>
      </c>
      <c r="L363" s="1" t="s">
        <v>37</v>
      </c>
      <c r="M363" s="1" t="s">
        <v>38</v>
      </c>
      <c r="N363" s="1" t="n">
        <v>22999</v>
      </c>
      <c r="O363" s="1" t="n">
        <v>15</v>
      </c>
      <c r="P363" s="1" t="n">
        <v>3449.85</v>
      </c>
      <c r="Q363" s="1" t="n">
        <v>19549.15</v>
      </c>
      <c r="R363" s="1" t="n">
        <v>3518.85</v>
      </c>
      <c r="S363" s="1" t="n">
        <v>16030.3</v>
      </c>
      <c r="T363" s="1" t="n">
        <v>7800.53</v>
      </c>
      <c r="U363" s="1" t="n">
        <v>8229.77</v>
      </c>
      <c r="V363" s="1" t="n">
        <v>51.34</v>
      </c>
      <c r="W363" s="1" t="s">
        <v>40</v>
      </c>
      <c r="Y363" s="1" t="s">
        <v>40</v>
      </c>
      <c r="Z363" s="1" t="n">
        <v>0</v>
      </c>
    </row>
    <row r="364" customFormat="false" ht="15" hidden="false" customHeight="true" outlineLevel="0" collapsed="false">
      <c r="A364" s="1" t="s">
        <v>806</v>
      </c>
      <c r="B364" s="1" t="s">
        <v>776</v>
      </c>
      <c r="C364" s="1" t="s">
        <v>178</v>
      </c>
      <c r="D364" s="1" t="s">
        <v>94</v>
      </c>
      <c r="E364" s="1" t="s">
        <v>101</v>
      </c>
      <c r="F364" s="1" t="s">
        <v>75</v>
      </c>
      <c r="G364" s="1" t="s">
        <v>76</v>
      </c>
      <c r="H364" s="1" t="s">
        <v>69</v>
      </c>
      <c r="I364" s="1" t="s">
        <v>58</v>
      </c>
      <c r="J364" s="1" t="s">
        <v>35</v>
      </c>
      <c r="K364" s="1" t="s">
        <v>84</v>
      </c>
      <c r="L364" s="1" t="s">
        <v>37</v>
      </c>
      <c r="M364" s="1" t="s">
        <v>50</v>
      </c>
      <c r="N364" s="1" t="n">
        <v>14999</v>
      </c>
      <c r="O364" s="1" t="n">
        <v>25</v>
      </c>
      <c r="P364" s="1" t="n">
        <v>3749.75</v>
      </c>
      <c r="Q364" s="1" t="n">
        <v>11249.25</v>
      </c>
      <c r="R364" s="1" t="n">
        <v>2024.87</v>
      </c>
      <c r="S364" s="1" t="n">
        <v>9224.38</v>
      </c>
      <c r="T364" s="1" t="n">
        <v>3212.97</v>
      </c>
      <c r="U364" s="1" t="n">
        <v>6011.41</v>
      </c>
      <c r="V364" s="1" t="n">
        <v>65.17</v>
      </c>
      <c r="W364" s="1" t="s">
        <v>39</v>
      </c>
      <c r="Y364" s="1" t="s">
        <v>40</v>
      </c>
      <c r="Z364" s="1" t="n">
        <v>0</v>
      </c>
    </row>
    <row r="365" customFormat="false" ht="15" hidden="false" customHeight="true" outlineLevel="0" collapsed="false">
      <c r="A365" s="1" t="s">
        <v>807</v>
      </c>
      <c r="B365" s="1" t="s">
        <v>277</v>
      </c>
      <c r="C365" s="1" t="s">
        <v>178</v>
      </c>
      <c r="D365" s="1" t="s">
        <v>29</v>
      </c>
      <c r="E365" s="1" t="s">
        <v>30</v>
      </c>
      <c r="F365" s="1" t="s">
        <v>187</v>
      </c>
      <c r="G365" s="1" t="s">
        <v>97</v>
      </c>
      <c r="H365" s="1" t="s">
        <v>69</v>
      </c>
      <c r="I365" s="1" t="s">
        <v>34</v>
      </c>
      <c r="J365" s="1" t="s">
        <v>59</v>
      </c>
      <c r="K365" s="1" t="s">
        <v>112</v>
      </c>
      <c r="L365" s="1" t="s">
        <v>85</v>
      </c>
      <c r="M365" s="1" t="s">
        <v>62</v>
      </c>
      <c r="N365" s="1" t="n">
        <v>7999</v>
      </c>
      <c r="O365" s="1" t="n">
        <v>10</v>
      </c>
      <c r="P365" s="1" t="n">
        <v>799.9</v>
      </c>
      <c r="Q365" s="1" t="n">
        <v>7199.1</v>
      </c>
      <c r="R365" s="1" t="n">
        <v>1295.84</v>
      </c>
      <c r="S365" s="1" t="n">
        <v>5903.26</v>
      </c>
      <c r="T365" s="1" t="n">
        <v>1949.13</v>
      </c>
      <c r="U365" s="1" t="n">
        <v>3954.13</v>
      </c>
      <c r="V365" s="1" t="n">
        <v>66.98</v>
      </c>
      <c r="W365" s="1" t="s">
        <v>39</v>
      </c>
      <c r="X365" s="1" t="n">
        <v>4.1</v>
      </c>
      <c r="Y365" s="1" t="s">
        <v>40</v>
      </c>
      <c r="Z365" s="1" t="n">
        <v>0</v>
      </c>
    </row>
    <row r="366" customFormat="false" ht="15" hidden="false" customHeight="true" outlineLevel="0" collapsed="false">
      <c r="A366" s="1" t="s">
        <v>808</v>
      </c>
      <c r="B366" s="1" t="s">
        <v>809</v>
      </c>
      <c r="C366" s="1" t="s">
        <v>139</v>
      </c>
      <c r="D366" s="1" t="s">
        <v>143</v>
      </c>
      <c r="E366" s="1" t="s">
        <v>144</v>
      </c>
      <c r="F366" s="1" t="s">
        <v>130</v>
      </c>
      <c r="G366" s="1" t="s">
        <v>47</v>
      </c>
      <c r="H366" s="1" t="s">
        <v>69</v>
      </c>
      <c r="I366" s="1" t="s">
        <v>34</v>
      </c>
      <c r="J366" s="1" t="s">
        <v>35</v>
      </c>
      <c r="K366" s="1" t="s">
        <v>71</v>
      </c>
      <c r="L366" s="1" t="s">
        <v>85</v>
      </c>
      <c r="M366" s="1" t="s">
        <v>38</v>
      </c>
      <c r="N366" s="1" t="n">
        <v>12999</v>
      </c>
      <c r="O366" s="1" t="n">
        <v>25</v>
      </c>
      <c r="P366" s="1" t="n">
        <v>3249.75</v>
      </c>
      <c r="Q366" s="1" t="n">
        <v>9749.25</v>
      </c>
      <c r="R366" s="1" t="n">
        <v>1754.87</v>
      </c>
      <c r="S366" s="1" t="n">
        <v>7994.38</v>
      </c>
      <c r="T366" s="1" t="n">
        <v>2765.44</v>
      </c>
      <c r="U366" s="1" t="n">
        <v>5228.94</v>
      </c>
      <c r="V366" s="1" t="n">
        <v>65.41</v>
      </c>
      <c r="W366" s="1" t="s">
        <v>40</v>
      </c>
      <c r="Y366" s="1" t="s">
        <v>40</v>
      </c>
      <c r="Z366" s="1" t="n">
        <v>2</v>
      </c>
    </row>
    <row r="367" customFormat="false" ht="15" hidden="false" customHeight="true" outlineLevel="0" collapsed="false">
      <c r="A367" s="1" t="s">
        <v>810</v>
      </c>
      <c r="B367" s="1" t="s">
        <v>638</v>
      </c>
      <c r="C367" s="1" t="s">
        <v>65</v>
      </c>
      <c r="D367" s="1" t="s">
        <v>29</v>
      </c>
      <c r="E367" s="1" t="s">
        <v>305</v>
      </c>
      <c r="F367" s="1" t="s">
        <v>46</v>
      </c>
      <c r="G367" s="1" t="s">
        <v>47</v>
      </c>
      <c r="H367" s="1" t="s">
        <v>33</v>
      </c>
      <c r="I367" s="1" t="s">
        <v>58</v>
      </c>
      <c r="J367" s="1" t="s">
        <v>77</v>
      </c>
      <c r="K367" s="1" t="s">
        <v>36</v>
      </c>
      <c r="L367" s="1" t="s">
        <v>37</v>
      </c>
      <c r="M367" s="1" t="s">
        <v>38</v>
      </c>
      <c r="N367" s="1" t="n">
        <v>24999</v>
      </c>
      <c r="O367" s="1" t="n">
        <v>0</v>
      </c>
      <c r="P367" s="1" t="n">
        <v>0</v>
      </c>
      <c r="Q367" s="1" t="n">
        <v>24999</v>
      </c>
      <c r="R367" s="1" t="n">
        <v>4499.82</v>
      </c>
      <c r="S367" s="1" t="n">
        <v>20499.18</v>
      </c>
      <c r="T367" s="1" t="n">
        <v>7905.11</v>
      </c>
      <c r="U367" s="1" t="n">
        <v>12594.07</v>
      </c>
      <c r="V367" s="1" t="n">
        <v>61.44</v>
      </c>
      <c r="W367" s="1" t="s">
        <v>40</v>
      </c>
      <c r="Y367" s="1" t="s">
        <v>39</v>
      </c>
      <c r="Z367" s="1" t="n">
        <v>0</v>
      </c>
    </row>
    <row r="368" customFormat="false" ht="15" hidden="false" customHeight="true" outlineLevel="0" collapsed="false">
      <c r="A368" s="1" t="s">
        <v>811</v>
      </c>
      <c r="B368" s="1" t="s">
        <v>812</v>
      </c>
      <c r="C368" s="1" t="s">
        <v>128</v>
      </c>
      <c r="D368" s="1" t="s">
        <v>44</v>
      </c>
      <c r="E368" s="1" t="s">
        <v>45</v>
      </c>
      <c r="F368" s="1" t="s">
        <v>125</v>
      </c>
      <c r="G368" s="1" t="s">
        <v>108</v>
      </c>
      <c r="H368" s="1" t="s">
        <v>69</v>
      </c>
      <c r="I368" s="1" t="s">
        <v>34</v>
      </c>
      <c r="J368" s="1" t="s">
        <v>35</v>
      </c>
      <c r="K368" s="1" t="s">
        <v>104</v>
      </c>
      <c r="L368" s="1" t="s">
        <v>85</v>
      </c>
      <c r="M368" s="1" t="s">
        <v>50</v>
      </c>
      <c r="N368" s="1" t="n">
        <v>11999</v>
      </c>
      <c r="O368" s="1" t="n">
        <v>15</v>
      </c>
      <c r="P368" s="1" t="n">
        <v>1799.85</v>
      </c>
      <c r="Q368" s="1" t="n">
        <v>10199.15</v>
      </c>
      <c r="R368" s="1" t="n">
        <v>1835.85</v>
      </c>
      <c r="S368" s="1" t="n">
        <v>8363.3</v>
      </c>
      <c r="T368" s="1" t="n">
        <v>3432.43</v>
      </c>
      <c r="U368" s="1" t="n">
        <v>4930.87</v>
      </c>
      <c r="V368" s="1" t="n">
        <v>58.96</v>
      </c>
      <c r="W368" s="1" t="s">
        <v>40</v>
      </c>
      <c r="Y368" s="1" t="s">
        <v>40</v>
      </c>
      <c r="Z368" s="1" t="n">
        <v>1</v>
      </c>
    </row>
    <row r="369" customFormat="false" ht="15" hidden="false" customHeight="true" outlineLevel="0" collapsed="false">
      <c r="A369" s="1" t="s">
        <v>813</v>
      </c>
      <c r="B369" s="1" t="s">
        <v>342</v>
      </c>
      <c r="C369" s="1" t="s">
        <v>88</v>
      </c>
      <c r="D369" s="1" t="s">
        <v>123</v>
      </c>
      <c r="E369" s="1" t="s">
        <v>233</v>
      </c>
      <c r="F369" s="1" t="s">
        <v>120</v>
      </c>
      <c r="G369" s="1" t="s">
        <v>47</v>
      </c>
      <c r="H369" s="1" t="s">
        <v>57</v>
      </c>
      <c r="I369" s="1" t="s">
        <v>83</v>
      </c>
      <c r="J369" s="1" t="s">
        <v>131</v>
      </c>
      <c r="K369" s="1" t="s">
        <v>48</v>
      </c>
      <c r="L369" s="1" t="s">
        <v>61</v>
      </c>
      <c r="M369" s="1" t="s">
        <v>38</v>
      </c>
      <c r="N369" s="1" t="n">
        <v>8999</v>
      </c>
      <c r="O369" s="1" t="n">
        <v>25</v>
      </c>
      <c r="P369" s="1" t="n">
        <v>2249.75</v>
      </c>
      <c r="Q369" s="1" t="n">
        <v>6749.25</v>
      </c>
      <c r="R369" s="1" t="n">
        <v>1214.87</v>
      </c>
      <c r="S369" s="1" t="n">
        <v>5534.38</v>
      </c>
      <c r="T369" s="1" t="n">
        <v>2373.81</v>
      </c>
      <c r="U369" s="1" t="n">
        <v>3160.57</v>
      </c>
      <c r="V369" s="1" t="n">
        <v>57.11</v>
      </c>
      <c r="W369" s="1" t="s">
        <v>39</v>
      </c>
      <c r="X369" s="1" t="n">
        <v>3.5</v>
      </c>
      <c r="Y369" s="1" t="s">
        <v>40</v>
      </c>
      <c r="Z369" s="1" t="n">
        <v>0</v>
      </c>
    </row>
    <row r="370" customFormat="false" ht="15" hidden="false" customHeight="true" outlineLevel="0" collapsed="false">
      <c r="A370" s="1" t="s">
        <v>814</v>
      </c>
      <c r="B370" s="1" t="s">
        <v>815</v>
      </c>
      <c r="C370" s="1" t="s">
        <v>178</v>
      </c>
      <c r="D370" s="1" t="s">
        <v>168</v>
      </c>
      <c r="E370" s="1" t="s">
        <v>328</v>
      </c>
      <c r="F370" s="1" t="s">
        <v>184</v>
      </c>
      <c r="G370" s="1" t="s">
        <v>56</v>
      </c>
      <c r="H370" s="1" t="s">
        <v>57</v>
      </c>
      <c r="I370" s="1" t="s">
        <v>83</v>
      </c>
      <c r="J370" s="1" t="s">
        <v>70</v>
      </c>
      <c r="K370" s="1" t="s">
        <v>112</v>
      </c>
      <c r="L370" s="1" t="s">
        <v>61</v>
      </c>
      <c r="M370" s="1" t="s">
        <v>38</v>
      </c>
      <c r="N370" s="1" t="n">
        <v>8999</v>
      </c>
      <c r="O370" s="1" t="n">
        <v>50</v>
      </c>
      <c r="P370" s="1" t="n">
        <v>4499.5</v>
      </c>
      <c r="Q370" s="1" t="n">
        <v>4499.5</v>
      </c>
      <c r="R370" s="1" t="n">
        <v>809.91</v>
      </c>
      <c r="S370" s="1" t="n">
        <v>3689.59</v>
      </c>
      <c r="T370" s="1" t="n">
        <v>2064.04</v>
      </c>
      <c r="U370" s="1" t="n">
        <v>1625.55</v>
      </c>
      <c r="V370" s="1" t="n">
        <v>44.06</v>
      </c>
      <c r="W370" s="1" t="s">
        <v>39</v>
      </c>
      <c r="Y370" s="1" t="s">
        <v>40</v>
      </c>
      <c r="Z370" s="1" t="n">
        <v>0</v>
      </c>
    </row>
    <row r="371" customFormat="false" ht="15" hidden="false" customHeight="true" outlineLevel="0" collapsed="false">
      <c r="A371" s="1" t="s">
        <v>816</v>
      </c>
      <c r="B371" s="1" t="s">
        <v>817</v>
      </c>
      <c r="C371" s="1" t="s">
        <v>128</v>
      </c>
      <c r="D371" s="1" t="s">
        <v>44</v>
      </c>
      <c r="E371" s="1" t="s">
        <v>45</v>
      </c>
      <c r="F371" s="1" t="s">
        <v>89</v>
      </c>
      <c r="G371" s="1" t="s">
        <v>68</v>
      </c>
      <c r="H371" s="1" t="s">
        <v>33</v>
      </c>
      <c r="I371" s="1" t="s">
        <v>83</v>
      </c>
      <c r="J371" s="1" t="s">
        <v>70</v>
      </c>
      <c r="K371" s="1" t="s">
        <v>90</v>
      </c>
      <c r="L371" s="1" t="s">
        <v>113</v>
      </c>
      <c r="M371" s="1" t="s">
        <v>50</v>
      </c>
      <c r="N371" s="1" t="n">
        <v>11999</v>
      </c>
      <c r="O371" s="1" t="n">
        <v>25</v>
      </c>
      <c r="P371" s="1" t="n">
        <v>2999.75</v>
      </c>
      <c r="Q371" s="1" t="n">
        <v>8999.25</v>
      </c>
      <c r="R371" s="1" t="n">
        <v>1619.87</v>
      </c>
      <c r="S371" s="1" t="n">
        <v>7379.38</v>
      </c>
      <c r="T371" s="1" t="n">
        <v>3092.66</v>
      </c>
      <c r="U371" s="1" t="n">
        <v>4286.72</v>
      </c>
      <c r="V371" s="1" t="n">
        <v>58.09</v>
      </c>
      <c r="W371" s="1" t="s">
        <v>39</v>
      </c>
      <c r="X371" s="1" t="n">
        <v>3.5</v>
      </c>
      <c r="Y371" s="1" t="s">
        <v>40</v>
      </c>
      <c r="Z371" s="1" t="n">
        <v>0</v>
      </c>
    </row>
    <row r="372" customFormat="false" ht="15" hidden="false" customHeight="true" outlineLevel="0" collapsed="false">
      <c r="A372" s="1" t="s">
        <v>818</v>
      </c>
      <c r="B372" s="1" t="s">
        <v>819</v>
      </c>
      <c r="C372" s="1" t="s">
        <v>88</v>
      </c>
      <c r="D372" s="1" t="s">
        <v>80</v>
      </c>
      <c r="E372" s="1" t="s">
        <v>193</v>
      </c>
      <c r="F372" s="1" t="s">
        <v>140</v>
      </c>
      <c r="G372" s="1" t="s">
        <v>97</v>
      </c>
      <c r="H372" s="1" t="s">
        <v>57</v>
      </c>
      <c r="I372" s="1" t="s">
        <v>34</v>
      </c>
      <c r="J372" s="1" t="s">
        <v>70</v>
      </c>
      <c r="K372" s="1" t="s">
        <v>90</v>
      </c>
      <c r="L372" s="1" t="s">
        <v>85</v>
      </c>
      <c r="M372" s="1" t="s">
        <v>62</v>
      </c>
      <c r="N372" s="1" t="n">
        <v>8999</v>
      </c>
      <c r="O372" s="1" t="n">
        <v>10</v>
      </c>
      <c r="P372" s="1" t="n">
        <v>899.9</v>
      </c>
      <c r="Q372" s="1" t="n">
        <v>8099.1</v>
      </c>
      <c r="R372" s="1" t="n">
        <v>1457.84</v>
      </c>
      <c r="S372" s="1" t="n">
        <v>6641.26</v>
      </c>
      <c r="T372" s="1" t="n">
        <v>3423.95</v>
      </c>
      <c r="U372" s="1" t="n">
        <v>3217.31</v>
      </c>
      <c r="V372" s="1" t="n">
        <v>48.44</v>
      </c>
      <c r="W372" s="1" t="s">
        <v>39</v>
      </c>
      <c r="X372" s="1" t="n">
        <v>3.9</v>
      </c>
      <c r="Y372" s="1" t="s">
        <v>40</v>
      </c>
      <c r="Z372" s="1" t="n">
        <v>0</v>
      </c>
    </row>
    <row r="373" customFormat="false" ht="15" hidden="false" customHeight="true" outlineLevel="0" collapsed="false">
      <c r="A373" s="1" t="s">
        <v>820</v>
      </c>
      <c r="B373" s="1" t="s">
        <v>821</v>
      </c>
      <c r="C373" s="1" t="s">
        <v>93</v>
      </c>
      <c r="D373" s="1" t="s">
        <v>123</v>
      </c>
      <c r="E373" s="1" t="s">
        <v>147</v>
      </c>
      <c r="F373" s="1" t="s">
        <v>150</v>
      </c>
      <c r="G373" s="1" t="s">
        <v>32</v>
      </c>
      <c r="H373" s="1" t="s">
        <v>57</v>
      </c>
      <c r="I373" s="1" t="s">
        <v>83</v>
      </c>
      <c r="J373" s="1" t="s">
        <v>77</v>
      </c>
      <c r="K373" s="1" t="s">
        <v>112</v>
      </c>
      <c r="L373" s="1" t="s">
        <v>113</v>
      </c>
      <c r="M373" s="1" t="s">
        <v>50</v>
      </c>
      <c r="N373" s="1" t="n">
        <v>6999</v>
      </c>
      <c r="O373" s="1" t="n">
        <v>0</v>
      </c>
      <c r="P373" s="1" t="n">
        <v>0</v>
      </c>
      <c r="Q373" s="1" t="n">
        <v>6999</v>
      </c>
      <c r="R373" s="1" t="n">
        <v>1259.82</v>
      </c>
      <c r="S373" s="1" t="n">
        <v>5739.18</v>
      </c>
      <c r="T373" s="1" t="n">
        <v>2413.09</v>
      </c>
      <c r="U373" s="1" t="n">
        <v>3326.09</v>
      </c>
      <c r="V373" s="1" t="n">
        <v>57.95</v>
      </c>
      <c r="W373" s="1" t="s">
        <v>40</v>
      </c>
      <c r="Y373" s="1" t="s">
        <v>40</v>
      </c>
      <c r="Z373" s="1" t="n">
        <v>1</v>
      </c>
    </row>
    <row r="374" customFormat="false" ht="15" hidden="false" customHeight="true" outlineLevel="0" collapsed="false">
      <c r="A374" s="1" t="s">
        <v>822</v>
      </c>
      <c r="B374" s="1" t="s">
        <v>823</v>
      </c>
      <c r="C374" s="1" t="s">
        <v>264</v>
      </c>
      <c r="D374" s="1" t="s">
        <v>53</v>
      </c>
      <c r="E374" s="1" t="s">
        <v>116</v>
      </c>
      <c r="F374" s="1" t="s">
        <v>96</v>
      </c>
      <c r="G374" s="1" t="s">
        <v>97</v>
      </c>
      <c r="H374" s="1" t="s">
        <v>69</v>
      </c>
      <c r="I374" s="1" t="s">
        <v>34</v>
      </c>
      <c r="J374" s="1" t="s">
        <v>131</v>
      </c>
      <c r="K374" s="1" t="s">
        <v>90</v>
      </c>
      <c r="L374" s="1" t="s">
        <v>37</v>
      </c>
      <c r="M374" s="1" t="s">
        <v>62</v>
      </c>
      <c r="N374" s="1" t="n">
        <v>9999</v>
      </c>
      <c r="O374" s="1" t="n">
        <v>0</v>
      </c>
      <c r="P374" s="1" t="n">
        <v>0</v>
      </c>
      <c r="Q374" s="1" t="n">
        <v>9999</v>
      </c>
      <c r="R374" s="1" t="n">
        <v>1799.82</v>
      </c>
      <c r="S374" s="1" t="n">
        <v>8199.18</v>
      </c>
      <c r="T374" s="1" t="n">
        <v>3570.01</v>
      </c>
      <c r="U374" s="1" t="n">
        <v>4629.17</v>
      </c>
      <c r="V374" s="1" t="n">
        <v>56.46</v>
      </c>
      <c r="W374" s="1" t="s">
        <v>40</v>
      </c>
      <c r="Y374" s="1" t="s">
        <v>39</v>
      </c>
      <c r="Z374" s="1" t="n">
        <v>2</v>
      </c>
    </row>
    <row r="375" customFormat="false" ht="15" hidden="false" customHeight="true" outlineLevel="0" collapsed="false">
      <c r="A375" s="1" t="s">
        <v>824</v>
      </c>
      <c r="B375" s="1" t="s">
        <v>825</v>
      </c>
      <c r="C375" s="1" t="s">
        <v>43</v>
      </c>
      <c r="D375" s="1" t="s">
        <v>168</v>
      </c>
      <c r="E375" s="1" t="s">
        <v>169</v>
      </c>
      <c r="F375" s="1" t="s">
        <v>244</v>
      </c>
      <c r="G375" s="1" t="s">
        <v>97</v>
      </c>
      <c r="H375" s="1" t="s">
        <v>57</v>
      </c>
      <c r="I375" s="1" t="s">
        <v>83</v>
      </c>
      <c r="J375" s="1" t="s">
        <v>59</v>
      </c>
      <c r="K375" s="1" t="s">
        <v>84</v>
      </c>
      <c r="L375" s="1" t="s">
        <v>113</v>
      </c>
      <c r="M375" s="1" t="s">
        <v>62</v>
      </c>
      <c r="N375" s="1" t="n">
        <v>4999</v>
      </c>
      <c r="O375" s="1" t="n">
        <v>30</v>
      </c>
      <c r="P375" s="1" t="n">
        <v>1499.7</v>
      </c>
      <c r="Q375" s="1" t="n">
        <v>3499.3</v>
      </c>
      <c r="R375" s="1" t="n">
        <v>629.87</v>
      </c>
      <c r="S375" s="1" t="n">
        <v>2869.43</v>
      </c>
      <c r="T375" s="1" t="n">
        <v>1348.56</v>
      </c>
      <c r="U375" s="1" t="n">
        <v>1520.87</v>
      </c>
      <c r="V375" s="1" t="n">
        <v>53</v>
      </c>
      <c r="W375" s="1" t="s">
        <v>40</v>
      </c>
      <c r="Y375" s="1" t="s">
        <v>40</v>
      </c>
      <c r="Z375" s="1" t="n">
        <v>0</v>
      </c>
    </row>
    <row r="376" customFormat="false" ht="15" hidden="false" customHeight="true" outlineLevel="0" collapsed="false">
      <c r="A376" s="1" t="s">
        <v>826</v>
      </c>
      <c r="B376" s="1" t="s">
        <v>827</v>
      </c>
      <c r="C376" s="1" t="s">
        <v>65</v>
      </c>
      <c r="D376" s="1" t="s">
        <v>29</v>
      </c>
      <c r="E376" s="1" t="s">
        <v>182</v>
      </c>
      <c r="F376" s="1" t="s">
        <v>269</v>
      </c>
      <c r="G376" s="1" t="s">
        <v>108</v>
      </c>
      <c r="H376" s="1" t="s">
        <v>57</v>
      </c>
      <c r="I376" s="1" t="s">
        <v>34</v>
      </c>
      <c r="J376" s="1" t="s">
        <v>59</v>
      </c>
      <c r="K376" s="1" t="s">
        <v>48</v>
      </c>
      <c r="L376" s="1" t="s">
        <v>113</v>
      </c>
      <c r="M376" s="1" t="s">
        <v>62</v>
      </c>
      <c r="N376" s="1" t="n">
        <v>34999</v>
      </c>
      <c r="O376" s="1" t="n">
        <v>10</v>
      </c>
      <c r="P376" s="1" t="n">
        <v>3499.9</v>
      </c>
      <c r="Q376" s="1" t="n">
        <v>31499.1</v>
      </c>
      <c r="R376" s="1" t="n">
        <v>5669.84</v>
      </c>
      <c r="S376" s="1" t="n">
        <v>25829.26</v>
      </c>
      <c r="T376" s="1" t="n">
        <v>9463.77</v>
      </c>
      <c r="U376" s="1" t="n">
        <v>16365.49</v>
      </c>
      <c r="V376" s="1" t="n">
        <v>63.36</v>
      </c>
      <c r="W376" s="1" t="s">
        <v>39</v>
      </c>
      <c r="X376" s="1" t="n">
        <v>4.4</v>
      </c>
      <c r="Y376" s="1" t="s">
        <v>40</v>
      </c>
      <c r="Z376" s="1" t="n">
        <v>0</v>
      </c>
    </row>
    <row r="377" customFormat="false" ht="15" hidden="false" customHeight="true" outlineLevel="0" collapsed="false">
      <c r="A377" s="1" t="s">
        <v>828</v>
      </c>
      <c r="B377" s="1" t="s">
        <v>537</v>
      </c>
      <c r="C377" s="1" t="s">
        <v>128</v>
      </c>
      <c r="D377" s="1" t="s">
        <v>53</v>
      </c>
      <c r="E377" s="1" t="s">
        <v>216</v>
      </c>
      <c r="F377" s="1" t="s">
        <v>187</v>
      </c>
      <c r="G377" s="1" t="s">
        <v>97</v>
      </c>
      <c r="H377" s="1" t="s">
        <v>69</v>
      </c>
      <c r="I377" s="1" t="s">
        <v>83</v>
      </c>
      <c r="J377" s="1" t="s">
        <v>77</v>
      </c>
      <c r="K377" s="1" t="s">
        <v>36</v>
      </c>
      <c r="L377" s="1" t="s">
        <v>37</v>
      </c>
      <c r="M377" s="1" t="s">
        <v>62</v>
      </c>
      <c r="N377" s="1" t="n">
        <v>7499</v>
      </c>
      <c r="O377" s="1" t="n">
        <v>0</v>
      </c>
      <c r="P377" s="1" t="n">
        <v>0</v>
      </c>
      <c r="Q377" s="1" t="n">
        <v>7499</v>
      </c>
      <c r="R377" s="1" t="n">
        <v>1349.82</v>
      </c>
      <c r="S377" s="1" t="n">
        <v>6149.18</v>
      </c>
      <c r="T377" s="1" t="n">
        <v>2247.67</v>
      </c>
      <c r="U377" s="1" t="n">
        <v>3901.51</v>
      </c>
      <c r="V377" s="1" t="n">
        <v>63.45</v>
      </c>
      <c r="W377" s="1" t="s">
        <v>39</v>
      </c>
      <c r="X377" s="1" t="n">
        <v>3.9</v>
      </c>
      <c r="Y377" s="1" t="s">
        <v>40</v>
      </c>
      <c r="Z377" s="1" t="n">
        <v>0</v>
      </c>
    </row>
    <row r="378" customFormat="false" ht="15" hidden="false" customHeight="true" outlineLevel="0" collapsed="false">
      <c r="A378" s="1" t="s">
        <v>829</v>
      </c>
      <c r="B378" s="1" t="s">
        <v>830</v>
      </c>
      <c r="C378" s="1" t="s">
        <v>139</v>
      </c>
      <c r="D378" s="1" t="s">
        <v>123</v>
      </c>
      <c r="E378" s="1" t="s">
        <v>147</v>
      </c>
      <c r="F378" s="1" t="s">
        <v>194</v>
      </c>
      <c r="G378" s="1" t="s">
        <v>103</v>
      </c>
      <c r="H378" s="1" t="s">
        <v>69</v>
      </c>
      <c r="I378" s="1" t="s">
        <v>83</v>
      </c>
      <c r="J378" s="1" t="s">
        <v>70</v>
      </c>
      <c r="K378" s="1" t="s">
        <v>84</v>
      </c>
      <c r="L378" s="1" t="s">
        <v>113</v>
      </c>
      <c r="M378" s="1" t="s">
        <v>50</v>
      </c>
      <c r="N378" s="1" t="n">
        <v>6999</v>
      </c>
      <c r="O378" s="1" t="n">
        <v>15</v>
      </c>
      <c r="P378" s="1" t="n">
        <v>1049.85</v>
      </c>
      <c r="Q378" s="1" t="n">
        <v>5949.15</v>
      </c>
      <c r="R378" s="1" t="n">
        <v>1070.85</v>
      </c>
      <c r="S378" s="1" t="n">
        <v>4878.3</v>
      </c>
      <c r="T378" s="1" t="n">
        <v>2507.91</v>
      </c>
      <c r="U378" s="1" t="n">
        <v>2370.39</v>
      </c>
      <c r="V378" s="1" t="n">
        <v>48.59</v>
      </c>
      <c r="W378" s="1" t="s">
        <v>40</v>
      </c>
      <c r="Y378" s="1" t="s">
        <v>39</v>
      </c>
      <c r="Z378" s="1" t="n">
        <v>1</v>
      </c>
    </row>
    <row r="379" customFormat="false" ht="15" hidden="false" customHeight="true" outlineLevel="0" collapsed="false">
      <c r="A379" s="1" t="s">
        <v>831</v>
      </c>
      <c r="B379" s="1" t="s">
        <v>832</v>
      </c>
      <c r="C379" s="1" t="s">
        <v>139</v>
      </c>
      <c r="D379" s="1" t="s">
        <v>44</v>
      </c>
      <c r="E379" s="1" t="s">
        <v>45</v>
      </c>
      <c r="F379" s="1" t="s">
        <v>120</v>
      </c>
      <c r="G379" s="1" t="s">
        <v>47</v>
      </c>
      <c r="H379" s="1" t="s">
        <v>57</v>
      </c>
      <c r="I379" s="1" t="s">
        <v>83</v>
      </c>
      <c r="J379" s="1" t="s">
        <v>131</v>
      </c>
      <c r="K379" s="1" t="s">
        <v>48</v>
      </c>
      <c r="L379" s="1" t="s">
        <v>49</v>
      </c>
      <c r="M379" s="1" t="s">
        <v>38</v>
      </c>
      <c r="N379" s="1" t="n">
        <v>11999</v>
      </c>
      <c r="O379" s="1" t="n">
        <v>50</v>
      </c>
      <c r="P379" s="1" t="n">
        <v>5999.5</v>
      </c>
      <c r="Q379" s="1" t="n">
        <v>5999.5</v>
      </c>
      <c r="R379" s="1" t="n">
        <v>1079.91</v>
      </c>
      <c r="S379" s="1" t="n">
        <v>4919.59</v>
      </c>
      <c r="T379" s="1" t="n">
        <v>2800.1</v>
      </c>
      <c r="U379" s="1" t="n">
        <v>2119.49</v>
      </c>
      <c r="V379" s="1" t="n">
        <v>43.08</v>
      </c>
      <c r="W379" s="1" t="s">
        <v>39</v>
      </c>
      <c r="X379" s="1" t="n">
        <v>4.4</v>
      </c>
      <c r="Y379" s="1" t="s">
        <v>40</v>
      </c>
      <c r="Z379" s="1" t="n">
        <v>1</v>
      </c>
    </row>
    <row r="380" customFormat="false" ht="15" hidden="false" customHeight="true" outlineLevel="0" collapsed="false">
      <c r="A380" s="1" t="s">
        <v>833</v>
      </c>
      <c r="B380" s="1" t="s">
        <v>362</v>
      </c>
      <c r="C380" s="1" t="s">
        <v>88</v>
      </c>
      <c r="D380" s="1" t="s">
        <v>123</v>
      </c>
      <c r="E380" s="1" t="s">
        <v>147</v>
      </c>
      <c r="F380" s="1" t="s">
        <v>269</v>
      </c>
      <c r="G380" s="1" t="s">
        <v>108</v>
      </c>
      <c r="H380" s="1" t="s">
        <v>57</v>
      </c>
      <c r="I380" s="1" t="s">
        <v>34</v>
      </c>
      <c r="J380" s="1" t="s">
        <v>59</v>
      </c>
      <c r="K380" s="1" t="s">
        <v>104</v>
      </c>
      <c r="L380" s="1" t="s">
        <v>37</v>
      </c>
      <c r="M380" s="1" t="s">
        <v>50</v>
      </c>
      <c r="N380" s="1" t="n">
        <v>6999</v>
      </c>
      <c r="O380" s="1" t="n">
        <v>0</v>
      </c>
      <c r="P380" s="1" t="n">
        <v>0</v>
      </c>
      <c r="Q380" s="1" t="n">
        <v>6999</v>
      </c>
      <c r="R380" s="1" t="n">
        <v>1259.82</v>
      </c>
      <c r="S380" s="1" t="n">
        <v>5739.18</v>
      </c>
      <c r="T380" s="1" t="n">
        <v>2520.39</v>
      </c>
      <c r="U380" s="1" t="n">
        <v>3218.79</v>
      </c>
      <c r="V380" s="1" t="n">
        <v>56.08</v>
      </c>
      <c r="W380" s="1" t="s">
        <v>39</v>
      </c>
      <c r="X380" s="1" t="n">
        <v>3.8</v>
      </c>
      <c r="Y380" s="1" t="s">
        <v>40</v>
      </c>
      <c r="Z380" s="1" t="n">
        <v>0</v>
      </c>
    </row>
    <row r="381" customFormat="false" ht="15" hidden="false" customHeight="true" outlineLevel="0" collapsed="false">
      <c r="A381" s="1" t="s">
        <v>834</v>
      </c>
      <c r="B381" s="1" t="s">
        <v>661</v>
      </c>
      <c r="C381" s="1" t="s">
        <v>249</v>
      </c>
      <c r="D381" s="1" t="s">
        <v>44</v>
      </c>
      <c r="E381" s="1" t="s">
        <v>221</v>
      </c>
      <c r="F381" s="1" t="s">
        <v>31</v>
      </c>
      <c r="G381" s="1" t="s">
        <v>32</v>
      </c>
      <c r="H381" s="1" t="s">
        <v>33</v>
      </c>
      <c r="I381" s="1" t="s">
        <v>83</v>
      </c>
      <c r="J381" s="1" t="s">
        <v>70</v>
      </c>
      <c r="K381" s="1" t="s">
        <v>90</v>
      </c>
      <c r="L381" s="1" t="s">
        <v>136</v>
      </c>
      <c r="M381" s="1" t="s">
        <v>50</v>
      </c>
      <c r="N381" s="1" t="n">
        <v>16999</v>
      </c>
      <c r="O381" s="1" t="n">
        <v>5</v>
      </c>
      <c r="P381" s="1" t="n">
        <v>849.95</v>
      </c>
      <c r="Q381" s="1" t="n">
        <v>16149.05</v>
      </c>
      <c r="R381" s="1" t="n">
        <v>2906.83</v>
      </c>
      <c r="S381" s="1" t="n">
        <v>13242.22</v>
      </c>
      <c r="T381" s="1" t="n">
        <v>5866.93</v>
      </c>
      <c r="U381" s="1" t="n">
        <v>7375.29</v>
      </c>
      <c r="V381" s="1" t="n">
        <v>55.7</v>
      </c>
      <c r="W381" s="1" t="s">
        <v>39</v>
      </c>
      <c r="X381" s="1" t="n">
        <v>3.5</v>
      </c>
      <c r="Y381" s="1" t="s">
        <v>40</v>
      </c>
      <c r="Z381" s="1" t="n">
        <v>1</v>
      </c>
    </row>
    <row r="382" customFormat="false" ht="15" hidden="false" customHeight="true" outlineLevel="0" collapsed="false">
      <c r="A382" s="1" t="s">
        <v>835</v>
      </c>
      <c r="B382" s="1" t="s">
        <v>836</v>
      </c>
      <c r="C382" s="1" t="s">
        <v>178</v>
      </c>
      <c r="D382" s="1" t="s">
        <v>123</v>
      </c>
      <c r="E382" s="1" t="s">
        <v>147</v>
      </c>
      <c r="F382" s="1" t="s">
        <v>205</v>
      </c>
      <c r="G382" s="1" t="s">
        <v>56</v>
      </c>
      <c r="H382" s="1" t="s">
        <v>69</v>
      </c>
      <c r="I382" s="1" t="s">
        <v>83</v>
      </c>
      <c r="J382" s="1" t="s">
        <v>131</v>
      </c>
      <c r="K382" s="1" t="s">
        <v>48</v>
      </c>
      <c r="L382" s="1" t="s">
        <v>61</v>
      </c>
      <c r="M382" s="1" t="s">
        <v>38</v>
      </c>
      <c r="N382" s="1" t="n">
        <v>6999</v>
      </c>
      <c r="O382" s="1" t="n">
        <v>10</v>
      </c>
      <c r="P382" s="1" t="n">
        <v>699.9</v>
      </c>
      <c r="Q382" s="1" t="n">
        <v>6299.1</v>
      </c>
      <c r="R382" s="1" t="n">
        <v>1133.84</v>
      </c>
      <c r="S382" s="1" t="n">
        <v>5165.26</v>
      </c>
      <c r="T382" s="1" t="n">
        <v>2567.71</v>
      </c>
      <c r="U382" s="1" t="n">
        <v>2597.55</v>
      </c>
      <c r="V382" s="1" t="n">
        <v>50.29</v>
      </c>
      <c r="W382" s="1" t="s">
        <v>40</v>
      </c>
      <c r="Y382" s="1" t="s">
        <v>40</v>
      </c>
      <c r="Z382" s="1" t="n">
        <v>2</v>
      </c>
    </row>
    <row r="383" customFormat="false" ht="15" hidden="false" customHeight="true" outlineLevel="0" collapsed="false">
      <c r="A383" s="1" t="s">
        <v>837</v>
      </c>
      <c r="B383" s="1" t="s">
        <v>122</v>
      </c>
      <c r="C383" s="1" t="s">
        <v>249</v>
      </c>
      <c r="D383" s="1" t="s">
        <v>123</v>
      </c>
      <c r="E383" s="1" t="s">
        <v>124</v>
      </c>
      <c r="F383" s="1" t="s">
        <v>89</v>
      </c>
      <c r="G383" s="1" t="s">
        <v>68</v>
      </c>
      <c r="H383" s="1" t="s">
        <v>33</v>
      </c>
      <c r="I383" s="1" t="s">
        <v>34</v>
      </c>
      <c r="J383" s="1" t="s">
        <v>70</v>
      </c>
      <c r="K383" s="1" t="s">
        <v>84</v>
      </c>
      <c r="L383" s="1" t="s">
        <v>85</v>
      </c>
      <c r="M383" s="1" t="s">
        <v>50</v>
      </c>
      <c r="N383" s="1" t="n">
        <v>4999</v>
      </c>
      <c r="O383" s="1" t="n">
        <v>25</v>
      </c>
      <c r="P383" s="1" t="n">
        <v>1249.75</v>
      </c>
      <c r="Q383" s="1" t="n">
        <v>3749.25</v>
      </c>
      <c r="R383" s="1" t="n">
        <v>674.87</v>
      </c>
      <c r="S383" s="1" t="n">
        <v>3074.38</v>
      </c>
      <c r="T383" s="1" t="n">
        <v>1234.12</v>
      </c>
      <c r="U383" s="1" t="n">
        <v>1840.26</v>
      </c>
      <c r="V383" s="1" t="n">
        <v>59.86</v>
      </c>
      <c r="W383" s="1" t="s">
        <v>40</v>
      </c>
      <c r="Y383" s="1" t="s">
        <v>39</v>
      </c>
      <c r="Z383" s="1" t="n">
        <v>0</v>
      </c>
    </row>
    <row r="384" customFormat="false" ht="15" hidden="false" customHeight="true" outlineLevel="0" collapsed="false">
      <c r="A384" s="1" t="s">
        <v>838</v>
      </c>
      <c r="B384" s="1" t="s">
        <v>839</v>
      </c>
      <c r="C384" s="1" t="s">
        <v>178</v>
      </c>
      <c r="D384" s="1" t="s">
        <v>29</v>
      </c>
      <c r="E384" s="1" t="s">
        <v>129</v>
      </c>
      <c r="F384" s="1" t="s">
        <v>89</v>
      </c>
      <c r="G384" s="1" t="s">
        <v>68</v>
      </c>
      <c r="H384" s="1" t="s">
        <v>33</v>
      </c>
      <c r="I384" s="1" t="s">
        <v>58</v>
      </c>
      <c r="J384" s="1" t="s">
        <v>77</v>
      </c>
      <c r="K384" s="1" t="s">
        <v>36</v>
      </c>
      <c r="L384" s="1" t="s">
        <v>136</v>
      </c>
      <c r="M384" s="1" t="s">
        <v>38</v>
      </c>
      <c r="N384" s="1" t="n">
        <v>29999</v>
      </c>
      <c r="O384" s="1" t="n">
        <v>50</v>
      </c>
      <c r="P384" s="1" t="n">
        <v>14999.5</v>
      </c>
      <c r="Q384" s="1" t="n">
        <v>14999.5</v>
      </c>
      <c r="R384" s="1" t="n">
        <v>2699.91</v>
      </c>
      <c r="S384" s="1" t="n">
        <v>12299.59</v>
      </c>
      <c r="T384" s="1" t="n">
        <v>6825.63</v>
      </c>
      <c r="U384" s="1" t="n">
        <v>5473.96</v>
      </c>
      <c r="V384" s="1" t="n">
        <v>44.51</v>
      </c>
      <c r="W384" s="1" t="s">
        <v>39</v>
      </c>
      <c r="X384" s="1" t="n">
        <v>3.9</v>
      </c>
      <c r="Y384" s="1" t="s">
        <v>40</v>
      </c>
      <c r="Z384" s="1" t="n">
        <v>0</v>
      </c>
    </row>
    <row r="385" customFormat="false" ht="15" hidden="false" customHeight="true" outlineLevel="0" collapsed="false">
      <c r="A385" s="1" t="s">
        <v>840</v>
      </c>
      <c r="B385" s="1" t="s">
        <v>841</v>
      </c>
      <c r="C385" s="1" t="s">
        <v>74</v>
      </c>
      <c r="D385" s="1" t="s">
        <v>44</v>
      </c>
      <c r="E385" s="1" t="s">
        <v>45</v>
      </c>
      <c r="F385" s="1" t="s">
        <v>211</v>
      </c>
      <c r="G385" s="1" t="s">
        <v>56</v>
      </c>
      <c r="H385" s="1" t="s">
        <v>69</v>
      </c>
      <c r="I385" s="1" t="s">
        <v>34</v>
      </c>
      <c r="J385" s="1" t="s">
        <v>59</v>
      </c>
      <c r="K385" s="1" t="s">
        <v>60</v>
      </c>
      <c r="L385" s="1" t="s">
        <v>85</v>
      </c>
      <c r="M385" s="1" t="s">
        <v>50</v>
      </c>
      <c r="N385" s="1" t="n">
        <v>11999</v>
      </c>
      <c r="O385" s="1" t="n">
        <v>50</v>
      </c>
      <c r="P385" s="1" t="n">
        <v>5999.5</v>
      </c>
      <c r="Q385" s="1" t="n">
        <v>5999.5</v>
      </c>
      <c r="R385" s="1" t="n">
        <v>1079.91</v>
      </c>
      <c r="S385" s="1" t="n">
        <v>4919.59</v>
      </c>
      <c r="T385" s="1" t="n">
        <v>2757.24</v>
      </c>
      <c r="U385" s="1" t="n">
        <v>2162.35</v>
      </c>
      <c r="V385" s="1" t="n">
        <v>43.95</v>
      </c>
      <c r="W385" s="1" t="s">
        <v>40</v>
      </c>
      <c r="Y385" s="1" t="s">
        <v>40</v>
      </c>
      <c r="Z385" s="1" t="n">
        <v>1</v>
      </c>
    </row>
    <row r="386" customFormat="false" ht="15" hidden="false" customHeight="true" outlineLevel="0" collapsed="false">
      <c r="A386" s="1" t="s">
        <v>842</v>
      </c>
      <c r="B386" s="1" t="s">
        <v>843</v>
      </c>
      <c r="C386" s="1" t="s">
        <v>249</v>
      </c>
      <c r="D386" s="1" t="s">
        <v>44</v>
      </c>
      <c r="E386" s="1" t="s">
        <v>66</v>
      </c>
      <c r="F386" s="1" t="s">
        <v>107</v>
      </c>
      <c r="G386" s="1" t="s">
        <v>108</v>
      </c>
      <c r="H386" s="1" t="s">
        <v>33</v>
      </c>
      <c r="I386" s="1" t="s">
        <v>34</v>
      </c>
      <c r="J386" s="1" t="s">
        <v>59</v>
      </c>
      <c r="K386" s="1" t="s">
        <v>90</v>
      </c>
      <c r="L386" s="1" t="s">
        <v>85</v>
      </c>
      <c r="M386" s="1" t="s">
        <v>62</v>
      </c>
      <c r="N386" s="1" t="n">
        <v>12999</v>
      </c>
      <c r="O386" s="1" t="n">
        <v>0</v>
      </c>
      <c r="P386" s="1" t="n">
        <v>0</v>
      </c>
      <c r="Q386" s="1" t="n">
        <v>12999</v>
      </c>
      <c r="R386" s="1" t="n">
        <v>2339.82</v>
      </c>
      <c r="S386" s="1" t="n">
        <v>10659.18</v>
      </c>
      <c r="T386" s="1" t="n">
        <v>4464.76</v>
      </c>
      <c r="U386" s="1" t="n">
        <v>6194.42</v>
      </c>
      <c r="V386" s="1" t="n">
        <v>58.11</v>
      </c>
      <c r="W386" s="1" t="s">
        <v>40</v>
      </c>
      <c r="Y386" s="1" t="s">
        <v>40</v>
      </c>
      <c r="Z386" s="1" t="n">
        <v>0</v>
      </c>
    </row>
    <row r="387" customFormat="false" ht="15" hidden="false" customHeight="true" outlineLevel="0" collapsed="false">
      <c r="A387" s="1" t="s">
        <v>844</v>
      </c>
      <c r="B387" s="1" t="s">
        <v>845</v>
      </c>
      <c r="C387" s="1" t="s">
        <v>119</v>
      </c>
      <c r="D387" s="1" t="s">
        <v>143</v>
      </c>
      <c r="E387" s="1" t="s">
        <v>144</v>
      </c>
      <c r="F387" s="1" t="s">
        <v>89</v>
      </c>
      <c r="G387" s="1" t="s">
        <v>68</v>
      </c>
      <c r="H387" s="1" t="s">
        <v>33</v>
      </c>
      <c r="I387" s="1" t="s">
        <v>83</v>
      </c>
      <c r="J387" s="1" t="s">
        <v>70</v>
      </c>
      <c r="K387" s="1" t="s">
        <v>84</v>
      </c>
      <c r="L387" s="1" t="s">
        <v>37</v>
      </c>
      <c r="M387" s="1" t="s">
        <v>50</v>
      </c>
      <c r="N387" s="1" t="n">
        <v>12999</v>
      </c>
      <c r="O387" s="1" t="n">
        <v>40</v>
      </c>
      <c r="P387" s="1" t="n">
        <v>5199.6</v>
      </c>
      <c r="Q387" s="1" t="n">
        <v>7799.4</v>
      </c>
      <c r="R387" s="1" t="n">
        <v>1403.89</v>
      </c>
      <c r="S387" s="1" t="n">
        <v>6395.51</v>
      </c>
      <c r="T387" s="1" t="n">
        <v>3854.51</v>
      </c>
      <c r="U387" s="1" t="n">
        <v>2541</v>
      </c>
      <c r="V387" s="1" t="n">
        <v>39.73</v>
      </c>
      <c r="W387" s="1" t="s">
        <v>39</v>
      </c>
      <c r="X387" s="1" t="n">
        <v>3.4</v>
      </c>
      <c r="Y387" s="1" t="s">
        <v>40</v>
      </c>
      <c r="Z387" s="1" t="n">
        <v>1</v>
      </c>
    </row>
    <row r="388" customFormat="false" ht="15" hidden="false" customHeight="true" outlineLevel="0" collapsed="false">
      <c r="A388" s="1" t="s">
        <v>846</v>
      </c>
      <c r="B388" s="1" t="s">
        <v>847</v>
      </c>
      <c r="C388" s="1" t="s">
        <v>74</v>
      </c>
      <c r="D388" s="1" t="s">
        <v>44</v>
      </c>
      <c r="E388" s="1" t="s">
        <v>45</v>
      </c>
      <c r="F388" s="1" t="s">
        <v>102</v>
      </c>
      <c r="G388" s="1" t="s">
        <v>103</v>
      </c>
      <c r="H388" s="1" t="s">
        <v>33</v>
      </c>
      <c r="I388" s="1" t="s">
        <v>34</v>
      </c>
      <c r="J388" s="1" t="s">
        <v>35</v>
      </c>
      <c r="K388" s="1" t="s">
        <v>90</v>
      </c>
      <c r="L388" s="1" t="s">
        <v>85</v>
      </c>
      <c r="M388" s="1" t="s">
        <v>50</v>
      </c>
      <c r="N388" s="1" t="n">
        <v>11999</v>
      </c>
      <c r="O388" s="1" t="n">
        <v>40</v>
      </c>
      <c r="P388" s="1" t="n">
        <v>4799.6</v>
      </c>
      <c r="Q388" s="1" t="n">
        <v>7199.4</v>
      </c>
      <c r="R388" s="1" t="n">
        <v>1295.89</v>
      </c>
      <c r="S388" s="1" t="n">
        <v>5903.51</v>
      </c>
      <c r="T388" s="1" t="n">
        <v>3682.35</v>
      </c>
      <c r="U388" s="1" t="n">
        <v>2221.16</v>
      </c>
      <c r="V388" s="1" t="n">
        <v>37.62</v>
      </c>
      <c r="W388" s="1" t="s">
        <v>39</v>
      </c>
      <c r="X388" s="1" t="n">
        <v>3.8</v>
      </c>
      <c r="Y388" s="1" t="s">
        <v>40</v>
      </c>
      <c r="Z388" s="1" t="n">
        <v>0</v>
      </c>
    </row>
    <row r="389" customFormat="false" ht="15" hidden="false" customHeight="true" outlineLevel="0" collapsed="false">
      <c r="A389" s="1" t="s">
        <v>848</v>
      </c>
      <c r="B389" s="1" t="s">
        <v>849</v>
      </c>
      <c r="C389" s="1" t="s">
        <v>178</v>
      </c>
      <c r="D389" s="1" t="s">
        <v>143</v>
      </c>
      <c r="E389" s="1" t="s">
        <v>144</v>
      </c>
      <c r="F389" s="1" t="s">
        <v>125</v>
      </c>
      <c r="G389" s="1" t="s">
        <v>108</v>
      </c>
      <c r="H389" s="1" t="s">
        <v>69</v>
      </c>
      <c r="I389" s="1" t="s">
        <v>58</v>
      </c>
      <c r="J389" s="1" t="s">
        <v>59</v>
      </c>
      <c r="K389" s="1" t="s">
        <v>104</v>
      </c>
      <c r="L389" s="1" t="s">
        <v>113</v>
      </c>
      <c r="M389" s="1" t="s">
        <v>38</v>
      </c>
      <c r="N389" s="1" t="n">
        <v>12999</v>
      </c>
      <c r="O389" s="1" t="n">
        <v>25</v>
      </c>
      <c r="P389" s="1" t="n">
        <v>3249.75</v>
      </c>
      <c r="Q389" s="1" t="n">
        <v>9749.25</v>
      </c>
      <c r="R389" s="1" t="n">
        <v>1754.87</v>
      </c>
      <c r="S389" s="1" t="n">
        <v>7994.38</v>
      </c>
      <c r="T389" s="1" t="n">
        <v>2548.71</v>
      </c>
      <c r="U389" s="1" t="n">
        <v>5445.67</v>
      </c>
      <c r="V389" s="1" t="n">
        <v>68.12</v>
      </c>
      <c r="W389" s="1" t="s">
        <v>39</v>
      </c>
      <c r="X389" s="1" t="n">
        <v>4</v>
      </c>
      <c r="Y389" s="1" t="s">
        <v>40</v>
      </c>
      <c r="Z389" s="1" t="n">
        <v>0</v>
      </c>
    </row>
    <row r="390" customFormat="false" ht="15" hidden="false" customHeight="true" outlineLevel="0" collapsed="false">
      <c r="A390" s="1" t="s">
        <v>850</v>
      </c>
      <c r="B390" s="1" t="s">
        <v>851</v>
      </c>
      <c r="C390" s="1" t="s">
        <v>100</v>
      </c>
      <c r="D390" s="1" t="s">
        <v>53</v>
      </c>
      <c r="E390" s="1" t="s">
        <v>54</v>
      </c>
      <c r="F390" s="1" t="s">
        <v>107</v>
      </c>
      <c r="G390" s="1" t="s">
        <v>108</v>
      </c>
      <c r="H390" s="1" t="s">
        <v>33</v>
      </c>
      <c r="I390" s="1" t="s">
        <v>58</v>
      </c>
      <c r="J390" s="1" t="s">
        <v>70</v>
      </c>
      <c r="K390" s="1" t="s">
        <v>48</v>
      </c>
      <c r="L390" s="1" t="s">
        <v>113</v>
      </c>
      <c r="M390" s="1" t="s">
        <v>62</v>
      </c>
      <c r="N390" s="1" t="n">
        <v>11999</v>
      </c>
      <c r="O390" s="1" t="n">
        <v>10</v>
      </c>
      <c r="P390" s="1" t="n">
        <v>1199.9</v>
      </c>
      <c r="Q390" s="1" t="n">
        <v>10799.1</v>
      </c>
      <c r="R390" s="1" t="n">
        <v>1943.84</v>
      </c>
      <c r="S390" s="1" t="n">
        <v>8855.26</v>
      </c>
      <c r="T390" s="1" t="n">
        <v>3771.05</v>
      </c>
      <c r="U390" s="1" t="n">
        <v>5084.21</v>
      </c>
      <c r="V390" s="1" t="n">
        <v>57.41</v>
      </c>
      <c r="W390" s="1" t="s">
        <v>40</v>
      </c>
      <c r="Y390" s="1" t="s">
        <v>40</v>
      </c>
      <c r="Z390" s="1" t="n">
        <v>0</v>
      </c>
    </row>
    <row r="391" customFormat="false" ht="15" hidden="false" customHeight="true" outlineLevel="0" collapsed="false">
      <c r="A391" s="1" t="s">
        <v>852</v>
      </c>
      <c r="B391" s="1" t="s">
        <v>354</v>
      </c>
      <c r="C391" s="1" t="s">
        <v>28</v>
      </c>
      <c r="D391" s="1" t="s">
        <v>94</v>
      </c>
      <c r="E391" s="1" t="s">
        <v>135</v>
      </c>
      <c r="F391" s="1" t="s">
        <v>46</v>
      </c>
      <c r="G391" s="1" t="s">
        <v>47</v>
      </c>
      <c r="H391" s="1" t="s">
        <v>33</v>
      </c>
      <c r="I391" s="1" t="s">
        <v>58</v>
      </c>
      <c r="J391" s="1" t="s">
        <v>70</v>
      </c>
      <c r="K391" s="1" t="s">
        <v>71</v>
      </c>
      <c r="L391" s="1" t="s">
        <v>85</v>
      </c>
      <c r="M391" s="1" t="s">
        <v>62</v>
      </c>
      <c r="N391" s="1" t="n">
        <v>9999</v>
      </c>
      <c r="O391" s="1" t="n">
        <v>0</v>
      </c>
      <c r="P391" s="1" t="n">
        <v>0</v>
      </c>
      <c r="Q391" s="1" t="n">
        <v>9999</v>
      </c>
      <c r="R391" s="1" t="n">
        <v>1799.82</v>
      </c>
      <c r="S391" s="1" t="n">
        <v>8199.18</v>
      </c>
      <c r="T391" s="1" t="n">
        <v>3185.9</v>
      </c>
      <c r="U391" s="1" t="n">
        <v>5013.28</v>
      </c>
      <c r="V391" s="1" t="n">
        <v>61.14</v>
      </c>
      <c r="W391" s="1" t="s">
        <v>39</v>
      </c>
      <c r="X391" s="1" t="n">
        <v>4.3</v>
      </c>
      <c r="Y391" s="1" t="s">
        <v>39</v>
      </c>
      <c r="Z391" s="1" t="n">
        <v>0</v>
      </c>
    </row>
    <row r="392" customFormat="false" ht="15" hidden="false" customHeight="true" outlineLevel="0" collapsed="false">
      <c r="A392" s="1" t="s">
        <v>853</v>
      </c>
      <c r="B392" s="1" t="s">
        <v>854</v>
      </c>
      <c r="C392" s="1" t="s">
        <v>178</v>
      </c>
      <c r="D392" s="1" t="s">
        <v>29</v>
      </c>
      <c r="E392" s="1" t="s">
        <v>305</v>
      </c>
      <c r="F392" s="1" t="s">
        <v>102</v>
      </c>
      <c r="G392" s="1" t="s">
        <v>103</v>
      </c>
      <c r="H392" s="1" t="s">
        <v>33</v>
      </c>
      <c r="I392" s="1" t="s">
        <v>58</v>
      </c>
      <c r="J392" s="1" t="s">
        <v>70</v>
      </c>
      <c r="K392" s="1" t="s">
        <v>112</v>
      </c>
      <c r="L392" s="1" t="s">
        <v>61</v>
      </c>
      <c r="M392" s="1" t="s">
        <v>62</v>
      </c>
      <c r="N392" s="1" t="n">
        <v>24999</v>
      </c>
      <c r="O392" s="1" t="n">
        <v>10</v>
      </c>
      <c r="P392" s="1" t="n">
        <v>2499.9</v>
      </c>
      <c r="Q392" s="1" t="n">
        <v>22499.1</v>
      </c>
      <c r="R392" s="1" t="n">
        <v>4049.84</v>
      </c>
      <c r="S392" s="1" t="n">
        <v>18449.26</v>
      </c>
      <c r="T392" s="1" t="n">
        <v>9017.63</v>
      </c>
      <c r="U392" s="1" t="n">
        <v>9431.63</v>
      </c>
      <c r="V392" s="1" t="n">
        <v>51.12</v>
      </c>
      <c r="W392" s="1" t="s">
        <v>39</v>
      </c>
      <c r="Y392" s="1" t="s">
        <v>40</v>
      </c>
      <c r="Z392" s="1" t="n">
        <v>0</v>
      </c>
    </row>
    <row r="393" customFormat="false" ht="15" hidden="false" customHeight="true" outlineLevel="0" collapsed="false">
      <c r="A393" s="1" t="s">
        <v>855</v>
      </c>
      <c r="B393" s="1" t="s">
        <v>435</v>
      </c>
      <c r="C393" s="1" t="s">
        <v>28</v>
      </c>
      <c r="D393" s="1" t="s">
        <v>168</v>
      </c>
      <c r="E393" s="1" t="s">
        <v>197</v>
      </c>
      <c r="F393" s="1" t="s">
        <v>107</v>
      </c>
      <c r="G393" s="1" t="s">
        <v>108</v>
      </c>
      <c r="H393" s="1" t="s">
        <v>33</v>
      </c>
      <c r="I393" s="1" t="s">
        <v>83</v>
      </c>
      <c r="J393" s="1" t="s">
        <v>131</v>
      </c>
      <c r="K393" s="1" t="s">
        <v>36</v>
      </c>
      <c r="L393" s="1" t="s">
        <v>61</v>
      </c>
      <c r="M393" s="1" t="s">
        <v>62</v>
      </c>
      <c r="N393" s="1" t="n">
        <v>8499</v>
      </c>
      <c r="O393" s="1" t="n">
        <v>5</v>
      </c>
      <c r="P393" s="1" t="n">
        <v>424.95</v>
      </c>
      <c r="Q393" s="1" t="n">
        <v>8074.05</v>
      </c>
      <c r="R393" s="1" t="n">
        <v>1453.33</v>
      </c>
      <c r="S393" s="1" t="n">
        <v>6620.72</v>
      </c>
      <c r="T393" s="1" t="n">
        <v>2849.91</v>
      </c>
      <c r="U393" s="1" t="n">
        <v>3770.81</v>
      </c>
      <c r="V393" s="1" t="n">
        <v>56.95</v>
      </c>
      <c r="W393" s="1" t="s">
        <v>39</v>
      </c>
      <c r="X393" s="1" t="n">
        <v>3.8</v>
      </c>
      <c r="Y393" s="1" t="s">
        <v>40</v>
      </c>
      <c r="Z393" s="1" t="n">
        <v>1</v>
      </c>
    </row>
    <row r="394" customFormat="false" ht="15" hidden="false" customHeight="true" outlineLevel="0" collapsed="false">
      <c r="A394" s="1" t="s">
        <v>856</v>
      </c>
      <c r="B394" s="1" t="s">
        <v>284</v>
      </c>
      <c r="C394" s="1" t="s">
        <v>65</v>
      </c>
      <c r="D394" s="1" t="s">
        <v>94</v>
      </c>
      <c r="E394" s="1" t="s">
        <v>101</v>
      </c>
      <c r="F394" s="1" t="s">
        <v>140</v>
      </c>
      <c r="G394" s="1" t="s">
        <v>97</v>
      </c>
      <c r="H394" s="1" t="s">
        <v>57</v>
      </c>
      <c r="I394" s="1" t="s">
        <v>83</v>
      </c>
      <c r="J394" s="1" t="s">
        <v>35</v>
      </c>
      <c r="K394" s="1" t="s">
        <v>36</v>
      </c>
      <c r="L394" s="1" t="s">
        <v>49</v>
      </c>
      <c r="M394" s="1" t="s">
        <v>38</v>
      </c>
      <c r="N394" s="1" t="n">
        <v>14999</v>
      </c>
      <c r="O394" s="1" t="n">
        <v>30</v>
      </c>
      <c r="P394" s="1" t="n">
        <v>4499.7</v>
      </c>
      <c r="Q394" s="1" t="n">
        <v>10499.3</v>
      </c>
      <c r="R394" s="1" t="n">
        <v>1889.87</v>
      </c>
      <c r="S394" s="1" t="n">
        <v>8609.43</v>
      </c>
      <c r="T394" s="1" t="n">
        <v>4473.5</v>
      </c>
      <c r="U394" s="1" t="n">
        <v>4135.93</v>
      </c>
      <c r="V394" s="1" t="n">
        <v>48.04</v>
      </c>
      <c r="W394" s="1" t="s">
        <v>39</v>
      </c>
      <c r="X394" s="1" t="n">
        <v>3.3</v>
      </c>
      <c r="Y394" s="1" t="s">
        <v>40</v>
      </c>
      <c r="Z394" s="1" t="n">
        <v>0</v>
      </c>
    </row>
    <row r="395" customFormat="false" ht="15" hidden="false" customHeight="true" outlineLevel="0" collapsed="false">
      <c r="A395" s="1" t="s">
        <v>857</v>
      </c>
      <c r="B395" s="1" t="s">
        <v>858</v>
      </c>
      <c r="C395" s="1" t="s">
        <v>859</v>
      </c>
      <c r="D395" s="1" t="s">
        <v>44</v>
      </c>
      <c r="E395" s="1" t="s">
        <v>45</v>
      </c>
      <c r="F395" s="1" t="s">
        <v>31</v>
      </c>
      <c r="G395" s="1" t="s">
        <v>32</v>
      </c>
      <c r="H395" s="1" t="s">
        <v>33</v>
      </c>
      <c r="I395" s="1" t="s">
        <v>58</v>
      </c>
      <c r="J395" s="1" t="s">
        <v>70</v>
      </c>
      <c r="K395" s="1" t="s">
        <v>112</v>
      </c>
      <c r="L395" s="1" t="s">
        <v>37</v>
      </c>
      <c r="M395" s="1" t="s">
        <v>50</v>
      </c>
      <c r="N395" s="1" t="n">
        <v>11999</v>
      </c>
      <c r="O395" s="1" t="n">
        <v>5</v>
      </c>
      <c r="P395" s="1" t="n">
        <v>599.95</v>
      </c>
      <c r="Q395" s="1" t="n">
        <v>11399.05</v>
      </c>
      <c r="R395" s="1" t="n">
        <v>2051.83</v>
      </c>
      <c r="S395" s="1" t="n">
        <v>9347.22</v>
      </c>
      <c r="T395" s="1" t="n">
        <v>4738.44</v>
      </c>
      <c r="U395" s="1" t="n">
        <v>4608.78</v>
      </c>
      <c r="V395" s="1" t="n">
        <v>49.31</v>
      </c>
      <c r="W395" s="1" t="s">
        <v>40</v>
      </c>
      <c r="Y395" s="1" t="s">
        <v>40</v>
      </c>
      <c r="Z395" s="1" t="n">
        <v>1</v>
      </c>
    </row>
    <row r="396" customFormat="false" ht="15" hidden="false" customHeight="true" outlineLevel="0" collapsed="false">
      <c r="A396" s="1" t="s">
        <v>860</v>
      </c>
      <c r="B396" s="1" t="s">
        <v>318</v>
      </c>
      <c r="C396" s="1" t="s">
        <v>128</v>
      </c>
      <c r="D396" s="1" t="s">
        <v>123</v>
      </c>
      <c r="E396" s="1" t="s">
        <v>147</v>
      </c>
      <c r="F396" s="1" t="s">
        <v>140</v>
      </c>
      <c r="G396" s="1" t="s">
        <v>97</v>
      </c>
      <c r="H396" s="1" t="s">
        <v>57</v>
      </c>
      <c r="I396" s="1" t="s">
        <v>83</v>
      </c>
      <c r="J396" s="1" t="s">
        <v>131</v>
      </c>
      <c r="K396" s="1" t="s">
        <v>104</v>
      </c>
      <c r="L396" s="1" t="s">
        <v>136</v>
      </c>
      <c r="M396" s="1" t="s">
        <v>50</v>
      </c>
      <c r="N396" s="1" t="n">
        <v>6999</v>
      </c>
      <c r="O396" s="1" t="n">
        <v>25</v>
      </c>
      <c r="P396" s="1" t="n">
        <v>1749.75</v>
      </c>
      <c r="Q396" s="1" t="n">
        <v>5249.25</v>
      </c>
      <c r="R396" s="1" t="n">
        <v>944.87</v>
      </c>
      <c r="S396" s="1" t="n">
        <v>4304.38</v>
      </c>
      <c r="T396" s="1" t="n">
        <v>1754.45</v>
      </c>
      <c r="U396" s="1" t="n">
        <v>2549.93</v>
      </c>
      <c r="V396" s="1" t="n">
        <v>59.24</v>
      </c>
      <c r="W396" s="1" t="s">
        <v>39</v>
      </c>
      <c r="X396" s="1" t="n">
        <v>3</v>
      </c>
      <c r="Y396" s="1" t="s">
        <v>40</v>
      </c>
      <c r="Z396" s="1" t="n">
        <v>0</v>
      </c>
    </row>
    <row r="397" customFormat="false" ht="15" hidden="false" customHeight="true" outlineLevel="0" collapsed="false">
      <c r="A397" s="1" t="s">
        <v>861</v>
      </c>
      <c r="B397" s="1" t="s">
        <v>620</v>
      </c>
      <c r="C397" s="1" t="s">
        <v>43</v>
      </c>
      <c r="D397" s="1" t="s">
        <v>80</v>
      </c>
      <c r="E397" s="1" t="s">
        <v>175</v>
      </c>
      <c r="F397" s="1" t="s">
        <v>67</v>
      </c>
      <c r="G397" s="1" t="s">
        <v>68</v>
      </c>
      <c r="H397" s="1" t="s">
        <v>69</v>
      </c>
      <c r="I397" s="1" t="s">
        <v>34</v>
      </c>
      <c r="J397" s="1" t="s">
        <v>131</v>
      </c>
      <c r="K397" s="1" t="s">
        <v>36</v>
      </c>
      <c r="L397" s="1" t="s">
        <v>85</v>
      </c>
      <c r="M397" s="1" t="s">
        <v>50</v>
      </c>
      <c r="N397" s="1" t="n">
        <v>19999</v>
      </c>
      <c r="O397" s="1" t="n">
        <v>0</v>
      </c>
      <c r="P397" s="1" t="n">
        <v>0</v>
      </c>
      <c r="Q397" s="1" t="n">
        <v>19999</v>
      </c>
      <c r="R397" s="1" t="n">
        <v>3599.82</v>
      </c>
      <c r="S397" s="1" t="n">
        <v>16399.18</v>
      </c>
      <c r="T397" s="1" t="n">
        <v>7195.94</v>
      </c>
      <c r="U397" s="1" t="n">
        <v>9203.24</v>
      </c>
      <c r="V397" s="1" t="n">
        <v>56.12</v>
      </c>
      <c r="W397" s="1" t="s">
        <v>40</v>
      </c>
      <c r="Y397" s="1" t="s">
        <v>39</v>
      </c>
      <c r="Z397" s="1" t="n">
        <v>0</v>
      </c>
    </row>
    <row r="398" customFormat="false" ht="15" hidden="false" customHeight="true" outlineLevel="0" collapsed="false">
      <c r="A398" s="1" t="s">
        <v>862</v>
      </c>
      <c r="B398" s="1" t="s">
        <v>541</v>
      </c>
      <c r="C398" s="1" t="s">
        <v>28</v>
      </c>
      <c r="D398" s="1" t="s">
        <v>29</v>
      </c>
      <c r="E398" s="1" t="s">
        <v>305</v>
      </c>
      <c r="F398" s="1" t="s">
        <v>156</v>
      </c>
      <c r="G398" s="1" t="s">
        <v>68</v>
      </c>
      <c r="H398" s="1" t="s">
        <v>57</v>
      </c>
      <c r="I398" s="1" t="s">
        <v>83</v>
      </c>
      <c r="J398" s="1" t="s">
        <v>59</v>
      </c>
      <c r="K398" s="1" t="s">
        <v>90</v>
      </c>
      <c r="L398" s="1" t="s">
        <v>37</v>
      </c>
      <c r="M398" s="1" t="s">
        <v>50</v>
      </c>
      <c r="N398" s="1" t="n">
        <v>24999</v>
      </c>
      <c r="O398" s="1" t="n">
        <v>5</v>
      </c>
      <c r="P398" s="1" t="n">
        <v>1249.95</v>
      </c>
      <c r="Q398" s="1" t="n">
        <v>23749.05</v>
      </c>
      <c r="R398" s="1" t="n">
        <v>4274.83</v>
      </c>
      <c r="S398" s="1" t="n">
        <v>19474.22</v>
      </c>
      <c r="T398" s="1" t="n">
        <v>8147.28</v>
      </c>
      <c r="U398" s="1" t="n">
        <v>11326.94</v>
      </c>
      <c r="V398" s="1" t="n">
        <v>58.16</v>
      </c>
      <c r="W398" s="1" t="s">
        <v>40</v>
      </c>
      <c r="Y398" s="1" t="s">
        <v>40</v>
      </c>
      <c r="Z398" s="1" t="n">
        <v>1</v>
      </c>
    </row>
    <row r="399" customFormat="false" ht="15" hidden="false" customHeight="true" outlineLevel="0" collapsed="false">
      <c r="A399" s="1" t="s">
        <v>863</v>
      </c>
      <c r="B399" s="1" t="s">
        <v>201</v>
      </c>
      <c r="C399" s="1" t="s">
        <v>264</v>
      </c>
      <c r="D399" s="1" t="s">
        <v>94</v>
      </c>
      <c r="E399" s="1" t="s">
        <v>95</v>
      </c>
      <c r="F399" s="1" t="s">
        <v>150</v>
      </c>
      <c r="G399" s="1" t="s">
        <v>32</v>
      </c>
      <c r="H399" s="1" t="s">
        <v>57</v>
      </c>
      <c r="I399" s="1" t="s">
        <v>83</v>
      </c>
      <c r="J399" s="1" t="s">
        <v>77</v>
      </c>
      <c r="K399" s="1" t="s">
        <v>60</v>
      </c>
      <c r="L399" s="1" t="s">
        <v>136</v>
      </c>
      <c r="M399" s="1" t="s">
        <v>62</v>
      </c>
      <c r="N399" s="1" t="n">
        <v>6999</v>
      </c>
      <c r="O399" s="1" t="n">
        <v>0</v>
      </c>
      <c r="P399" s="1" t="n">
        <v>0</v>
      </c>
      <c r="Q399" s="1" t="n">
        <v>6999</v>
      </c>
      <c r="R399" s="1" t="n">
        <v>1259.82</v>
      </c>
      <c r="S399" s="1" t="n">
        <v>5739.18</v>
      </c>
      <c r="T399" s="1" t="n">
        <v>2361.16</v>
      </c>
      <c r="U399" s="1" t="n">
        <v>3378.02</v>
      </c>
      <c r="V399" s="1" t="n">
        <v>58.86</v>
      </c>
      <c r="W399" s="1" t="s">
        <v>40</v>
      </c>
      <c r="Y399" s="1" t="s">
        <v>40</v>
      </c>
      <c r="Z399" s="1" t="n">
        <v>2</v>
      </c>
    </row>
    <row r="400" customFormat="false" ht="15" hidden="false" customHeight="true" outlineLevel="0" collapsed="false">
      <c r="A400" s="1" t="s">
        <v>864</v>
      </c>
      <c r="B400" s="1" t="s">
        <v>547</v>
      </c>
      <c r="C400" s="1" t="s">
        <v>74</v>
      </c>
      <c r="D400" s="1" t="s">
        <v>94</v>
      </c>
      <c r="E400" s="1" t="s">
        <v>135</v>
      </c>
      <c r="F400" s="1" t="s">
        <v>46</v>
      </c>
      <c r="G400" s="1" t="s">
        <v>47</v>
      </c>
      <c r="H400" s="1" t="s">
        <v>33</v>
      </c>
      <c r="I400" s="1" t="s">
        <v>58</v>
      </c>
      <c r="J400" s="1" t="s">
        <v>70</v>
      </c>
      <c r="K400" s="1" t="s">
        <v>48</v>
      </c>
      <c r="L400" s="1" t="s">
        <v>61</v>
      </c>
      <c r="M400" s="1" t="s">
        <v>62</v>
      </c>
      <c r="N400" s="1" t="n">
        <v>9999</v>
      </c>
      <c r="O400" s="1" t="n">
        <v>25</v>
      </c>
      <c r="P400" s="1" t="n">
        <v>2499.75</v>
      </c>
      <c r="Q400" s="1" t="n">
        <v>7499.25</v>
      </c>
      <c r="R400" s="1" t="n">
        <v>1349.87</v>
      </c>
      <c r="S400" s="1" t="n">
        <v>6149.38</v>
      </c>
      <c r="T400" s="1" t="n">
        <v>2643.95</v>
      </c>
      <c r="U400" s="1" t="n">
        <v>3505.43</v>
      </c>
      <c r="V400" s="1" t="n">
        <v>57</v>
      </c>
      <c r="W400" s="1" t="s">
        <v>40</v>
      </c>
      <c r="Y400" s="1" t="s">
        <v>40</v>
      </c>
      <c r="Z400" s="1" t="n">
        <v>0</v>
      </c>
    </row>
    <row r="401" customFormat="false" ht="15" hidden="false" customHeight="true" outlineLevel="0" collapsed="false">
      <c r="A401" s="1" t="s">
        <v>865</v>
      </c>
      <c r="B401" s="1" t="s">
        <v>866</v>
      </c>
      <c r="C401" s="1" t="s">
        <v>139</v>
      </c>
      <c r="D401" s="1" t="s">
        <v>53</v>
      </c>
      <c r="E401" s="1" t="s">
        <v>54</v>
      </c>
      <c r="F401" s="1" t="s">
        <v>96</v>
      </c>
      <c r="G401" s="1" t="s">
        <v>97</v>
      </c>
      <c r="H401" s="1" t="s">
        <v>69</v>
      </c>
      <c r="I401" s="1" t="s">
        <v>58</v>
      </c>
      <c r="J401" s="1" t="s">
        <v>70</v>
      </c>
      <c r="K401" s="1" t="s">
        <v>36</v>
      </c>
      <c r="L401" s="1" t="s">
        <v>37</v>
      </c>
      <c r="M401" s="1" t="s">
        <v>38</v>
      </c>
      <c r="N401" s="1" t="n">
        <v>11999</v>
      </c>
      <c r="O401" s="1" t="n">
        <v>15</v>
      </c>
      <c r="P401" s="1" t="n">
        <v>1799.85</v>
      </c>
      <c r="Q401" s="1" t="n">
        <v>10199.15</v>
      </c>
      <c r="R401" s="1" t="n">
        <v>1835.85</v>
      </c>
      <c r="S401" s="1" t="n">
        <v>8363.3</v>
      </c>
      <c r="T401" s="1" t="n">
        <v>3184.11</v>
      </c>
      <c r="U401" s="1" t="n">
        <v>5179.19</v>
      </c>
      <c r="V401" s="1" t="n">
        <v>61.93</v>
      </c>
      <c r="W401" s="1" t="s">
        <v>40</v>
      </c>
      <c r="Y401" s="1" t="s">
        <v>40</v>
      </c>
      <c r="Z401" s="1" t="n">
        <v>0</v>
      </c>
    </row>
    <row r="402" customFormat="false" ht="15" hidden="false" customHeight="true" outlineLevel="0" collapsed="false">
      <c r="A402" s="1" t="s">
        <v>867</v>
      </c>
      <c r="B402" s="1" t="s">
        <v>868</v>
      </c>
      <c r="C402" s="1" t="s">
        <v>74</v>
      </c>
      <c r="D402" s="1" t="s">
        <v>44</v>
      </c>
      <c r="E402" s="1" t="s">
        <v>66</v>
      </c>
      <c r="F402" s="1" t="s">
        <v>46</v>
      </c>
      <c r="G402" s="1" t="s">
        <v>47</v>
      </c>
      <c r="H402" s="1" t="s">
        <v>33</v>
      </c>
      <c r="I402" s="1" t="s">
        <v>34</v>
      </c>
      <c r="J402" s="1" t="s">
        <v>59</v>
      </c>
      <c r="K402" s="1" t="s">
        <v>104</v>
      </c>
      <c r="L402" s="1" t="s">
        <v>49</v>
      </c>
      <c r="M402" s="1" t="s">
        <v>62</v>
      </c>
      <c r="N402" s="1" t="n">
        <v>12999</v>
      </c>
      <c r="O402" s="1" t="n">
        <v>20</v>
      </c>
      <c r="P402" s="1" t="n">
        <v>2599.8</v>
      </c>
      <c r="Q402" s="1" t="n">
        <v>10399.2</v>
      </c>
      <c r="R402" s="1" t="n">
        <v>1871.86</v>
      </c>
      <c r="S402" s="1" t="n">
        <v>8527.34</v>
      </c>
      <c r="T402" s="1" t="n">
        <v>4139.48</v>
      </c>
      <c r="U402" s="1" t="n">
        <v>4387.86</v>
      </c>
      <c r="V402" s="1" t="n">
        <v>51.46</v>
      </c>
      <c r="W402" s="1" t="s">
        <v>39</v>
      </c>
      <c r="X402" s="1" t="n">
        <v>4</v>
      </c>
      <c r="Y402" s="1" t="s">
        <v>40</v>
      </c>
      <c r="Z402" s="1" t="n">
        <v>0</v>
      </c>
    </row>
    <row r="403" customFormat="false" ht="15" hidden="false" customHeight="true" outlineLevel="0" collapsed="false">
      <c r="A403" s="1" t="s">
        <v>869</v>
      </c>
      <c r="B403" s="1" t="s">
        <v>870</v>
      </c>
      <c r="C403" s="1" t="s">
        <v>264</v>
      </c>
      <c r="D403" s="1" t="s">
        <v>168</v>
      </c>
      <c r="E403" s="1" t="s">
        <v>169</v>
      </c>
      <c r="F403" s="1" t="s">
        <v>150</v>
      </c>
      <c r="G403" s="1" t="s">
        <v>32</v>
      </c>
      <c r="H403" s="1" t="s">
        <v>57</v>
      </c>
      <c r="I403" s="1" t="s">
        <v>58</v>
      </c>
      <c r="J403" s="1" t="s">
        <v>131</v>
      </c>
      <c r="K403" s="1" t="s">
        <v>48</v>
      </c>
      <c r="L403" s="1" t="s">
        <v>113</v>
      </c>
      <c r="M403" s="1" t="s">
        <v>50</v>
      </c>
      <c r="N403" s="1" t="n">
        <v>4999</v>
      </c>
      <c r="O403" s="1" t="n">
        <v>10</v>
      </c>
      <c r="P403" s="1" t="n">
        <v>499.9</v>
      </c>
      <c r="Q403" s="1" t="n">
        <v>4499.1</v>
      </c>
      <c r="R403" s="1" t="n">
        <v>809.84</v>
      </c>
      <c r="S403" s="1" t="n">
        <v>3689.26</v>
      </c>
      <c r="T403" s="1" t="n">
        <v>1622.3</v>
      </c>
      <c r="U403" s="1" t="n">
        <v>2066.96</v>
      </c>
      <c r="V403" s="1" t="n">
        <v>56.03</v>
      </c>
      <c r="W403" s="1" t="s">
        <v>39</v>
      </c>
      <c r="X403" s="1" t="n">
        <v>3.4</v>
      </c>
      <c r="Y403" s="1" t="s">
        <v>40</v>
      </c>
      <c r="Z403" s="1" t="n">
        <v>1</v>
      </c>
    </row>
    <row r="404" customFormat="false" ht="15" hidden="false" customHeight="true" outlineLevel="0" collapsed="false">
      <c r="A404" s="1" t="s">
        <v>871</v>
      </c>
      <c r="B404" s="1" t="s">
        <v>872</v>
      </c>
      <c r="C404" s="1" t="s">
        <v>100</v>
      </c>
      <c r="D404" s="1" t="s">
        <v>80</v>
      </c>
      <c r="E404" s="1" t="s">
        <v>190</v>
      </c>
      <c r="F404" s="1" t="s">
        <v>156</v>
      </c>
      <c r="G404" s="1" t="s">
        <v>68</v>
      </c>
      <c r="H404" s="1" t="s">
        <v>57</v>
      </c>
      <c r="I404" s="1" t="s">
        <v>34</v>
      </c>
      <c r="J404" s="1" t="s">
        <v>131</v>
      </c>
      <c r="K404" s="1" t="s">
        <v>36</v>
      </c>
      <c r="L404" s="1" t="s">
        <v>113</v>
      </c>
      <c r="M404" s="1" t="s">
        <v>62</v>
      </c>
      <c r="N404" s="1" t="n">
        <v>15999</v>
      </c>
      <c r="O404" s="1" t="n">
        <v>30</v>
      </c>
      <c r="P404" s="1" t="n">
        <v>4799.7</v>
      </c>
      <c r="Q404" s="1" t="n">
        <v>11199.3</v>
      </c>
      <c r="R404" s="1" t="n">
        <v>2015.87</v>
      </c>
      <c r="S404" s="1" t="n">
        <v>9183.43</v>
      </c>
      <c r="T404" s="1" t="n">
        <v>4311.75</v>
      </c>
      <c r="U404" s="1" t="n">
        <v>4871.68</v>
      </c>
      <c r="V404" s="1" t="n">
        <v>53.05</v>
      </c>
      <c r="W404" s="1" t="s">
        <v>39</v>
      </c>
      <c r="Y404" s="1" t="s">
        <v>40</v>
      </c>
      <c r="Z404" s="1" t="n">
        <v>2</v>
      </c>
    </row>
    <row r="405" customFormat="false" ht="15" hidden="false" customHeight="true" outlineLevel="0" collapsed="false">
      <c r="A405" s="1" t="s">
        <v>873</v>
      </c>
      <c r="B405" s="1" t="s">
        <v>874</v>
      </c>
      <c r="C405" s="1" t="s">
        <v>43</v>
      </c>
      <c r="D405" s="1" t="s">
        <v>123</v>
      </c>
      <c r="E405" s="1" t="s">
        <v>124</v>
      </c>
      <c r="F405" s="1" t="s">
        <v>67</v>
      </c>
      <c r="G405" s="1" t="s">
        <v>68</v>
      </c>
      <c r="H405" s="1" t="s">
        <v>69</v>
      </c>
      <c r="I405" s="1" t="s">
        <v>58</v>
      </c>
      <c r="J405" s="1" t="s">
        <v>77</v>
      </c>
      <c r="K405" s="1" t="s">
        <v>90</v>
      </c>
      <c r="L405" s="1" t="s">
        <v>113</v>
      </c>
      <c r="M405" s="1" t="s">
        <v>38</v>
      </c>
      <c r="N405" s="1" t="n">
        <v>4999</v>
      </c>
      <c r="O405" s="1" t="n">
        <v>20</v>
      </c>
      <c r="P405" s="1" t="n">
        <v>999.8</v>
      </c>
      <c r="Q405" s="1" t="n">
        <v>3999.2</v>
      </c>
      <c r="R405" s="1" t="n">
        <v>719.86</v>
      </c>
      <c r="S405" s="1" t="n">
        <v>3279.34</v>
      </c>
      <c r="T405" s="1" t="n">
        <v>1344.92</v>
      </c>
      <c r="U405" s="1" t="n">
        <v>1934.42</v>
      </c>
      <c r="V405" s="1" t="n">
        <v>58.99</v>
      </c>
      <c r="W405" s="1" t="s">
        <v>40</v>
      </c>
      <c r="Y405" s="1" t="s">
        <v>40</v>
      </c>
      <c r="Z405" s="1" t="n">
        <v>0</v>
      </c>
    </row>
    <row r="406" customFormat="false" ht="15" hidden="false" customHeight="true" outlineLevel="0" collapsed="false">
      <c r="A406" s="1" t="s">
        <v>875</v>
      </c>
      <c r="B406" s="1" t="s">
        <v>876</v>
      </c>
      <c r="C406" s="1" t="s">
        <v>74</v>
      </c>
      <c r="D406" s="1" t="s">
        <v>94</v>
      </c>
      <c r="E406" s="1" t="s">
        <v>95</v>
      </c>
      <c r="F406" s="1" t="s">
        <v>211</v>
      </c>
      <c r="G406" s="1" t="s">
        <v>56</v>
      </c>
      <c r="H406" s="1" t="s">
        <v>69</v>
      </c>
      <c r="I406" s="1" t="s">
        <v>34</v>
      </c>
      <c r="J406" s="1" t="s">
        <v>77</v>
      </c>
      <c r="K406" s="1" t="s">
        <v>71</v>
      </c>
      <c r="L406" s="1" t="s">
        <v>113</v>
      </c>
      <c r="M406" s="1" t="s">
        <v>50</v>
      </c>
      <c r="N406" s="1" t="n">
        <v>6999</v>
      </c>
      <c r="O406" s="1" t="n">
        <v>0</v>
      </c>
      <c r="P406" s="1" t="n">
        <v>0</v>
      </c>
      <c r="Q406" s="1" t="n">
        <v>6999</v>
      </c>
      <c r="R406" s="1" t="n">
        <v>1259.82</v>
      </c>
      <c r="S406" s="1" t="n">
        <v>5739.18</v>
      </c>
      <c r="T406" s="1" t="n">
        <v>2303.93</v>
      </c>
      <c r="U406" s="1" t="n">
        <v>3435.25</v>
      </c>
      <c r="V406" s="1" t="n">
        <v>59.86</v>
      </c>
      <c r="W406" s="1" t="s">
        <v>39</v>
      </c>
      <c r="X406" s="1" t="n">
        <v>4</v>
      </c>
      <c r="Y406" s="1" t="s">
        <v>40</v>
      </c>
      <c r="Z406" s="1" t="n">
        <v>0</v>
      </c>
    </row>
    <row r="407" customFormat="false" ht="15" hidden="false" customHeight="true" outlineLevel="0" collapsed="false">
      <c r="A407" s="1" t="s">
        <v>877</v>
      </c>
      <c r="B407" s="1" t="s">
        <v>878</v>
      </c>
      <c r="C407" s="1" t="s">
        <v>249</v>
      </c>
      <c r="D407" s="1" t="s">
        <v>80</v>
      </c>
      <c r="E407" s="1" t="s">
        <v>175</v>
      </c>
      <c r="F407" s="1" t="s">
        <v>107</v>
      </c>
      <c r="G407" s="1" t="s">
        <v>108</v>
      </c>
      <c r="H407" s="1" t="s">
        <v>33</v>
      </c>
      <c r="I407" s="1" t="s">
        <v>34</v>
      </c>
      <c r="J407" s="1" t="s">
        <v>35</v>
      </c>
      <c r="K407" s="1" t="s">
        <v>60</v>
      </c>
      <c r="L407" s="1" t="s">
        <v>113</v>
      </c>
      <c r="M407" s="1" t="s">
        <v>38</v>
      </c>
      <c r="N407" s="1" t="n">
        <v>19999</v>
      </c>
      <c r="O407" s="1" t="n">
        <v>10</v>
      </c>
      <c r="P407" s="1" t="n">
        <v>1999.9</v>
      </c>
      <c r="Q407" s="1" t="n">
        <v>17999.1</v>
      </c>
      <c r="R407" s="1" t="n">
        <v>3239.84</v>
      </c>
      <c r="S407" s="1" t="n">
        <v>14759.26</v>
      </c>
      <c r="T407" s="1" t="n">
        <v>5973.85</v>
      </c>
      <c r="U407" s="1" t="n">
        <v>8785.41</v>
      </c>
      <c r="V407" s="1" t="n">
        <v>59.52</v>
      </c>
      <c r="W407" s="1" t="s">
        <v>40</v>
      </c>
      <c r="Y407" s="1" t="s">
        <v>40</v>
      </c>
      <c r="Z407" s="1" t="n">
        <v>1</v>
      </c>
    </row>
    <row r="408" customFormat="false" ht="15" hidden="false" customHeight="true" outlineLevel="0" collapsed="false">
      <c r="A408" s="1" t="s">
        <v>879</v>
      </c>
      <c r="B408" s="1" t="s">
        <v>397</v>
      </c>
      <c r="C408" s="1" t="s">
        <v>119</v>
      </c>
      <c r="D408" s="1" t="s">
        <v>94</v>
      </c>
      <c r="E408" s="1" t="s">
        <v>95</v>
      </c>
      <c r="F408" s="1" t="s">
        <v>140</v>
      </c>
      <c r="G408" s="1" t="s">
        <v>97</v>
      </c>
      <c r="H408" s="1" t="s">
        <v>57</v>
      </c>
      <c r="I408" s="1" t="s">
        <v>83</v>
      </c>
      <c r="J408" s="1" t="s">
        <v>70</v>
      </c>
      <c r="K408" s="1" t="s">
        <v>71</v>
      </c>
      <c r="L408" s="1" t="s">
        <v>37</v>
      </c>
      <c r="M408" s="1" t="s">
        <v>62</v>
      </c>
      <c r="N408" s="1" t="n">
        <v>6999</v>
      </c>
      <c r="O408" s="1" t="n">
        <v>50</v>
      </c>
      <c r="P408" s="1" t="n">
        <v>3499.5</v>
      </c>
      <c r="Q408" s="1" t="n">
        <v>3499.5</v>
      </c>
      <c r="R408" s="1" t="n">
        <v>629.91</v>
      </c>
      <c r="S408" s="1" t="n">
        <v>2869.59</v>
      </c>
      <c r="T408" s="1" t="n">
        <v>1623.2</v>
      </c>
      <c r="U408" s="1" t="n">
        <v>1246.39</v>
      </c>
      <c r="V408" s="1" t="n">
        <v>43.43</v>
      </c>
      <c r="W408" s="1" t="s">
        <v>39</v>
      </c>
      <c r="X408" s="1" t="n">
        <v>3.7</v>
      </c>
      <c r="Y408" s="1" t="s">
        <v>40</v>
      </c>
      <c r="Z408" s="1" t="n">
        <v>0</v>
      </c>
    </row>
    <row r="409" customFormat="false" ht="15" hidden="false" customHeight="true" outlineLevel="0" collapsed="false">
      <c r="A409" s="1" t="s">
        <v>880</v>
      </c>
      <c r="B409" s="1" t="s">
        <v>726</v>
      </c>
      <c r="C409" s="1" t="s">
        <v>167</v>
      </c>
      <c r="D409" s="1" t="s">
        <v>123</v>
      </c>
      <c r="E409" s="1" t="s">
        <v>233</v>
      </c>
      <c r="F409" s="1" t="s">
        <v>140</v>
      </c>
      <c r="G409" s="1" t="s">
        <v>97</v>
      </c>
      <c r="H409" s="1" t="s">
        <v>57</v>
      </c>
      <c r="I409" s="1" t="s">
        <v>83</v>
      </c>
      <c r="J409" s="1" t="s">
        <v>131</v>
      </c>
      <c r="K409" s="1" t="s">
        <v>90</v>
      </c>
      <c r="L409" s="1" t="s">
        <v>61</v>
      </c>
      <c r="M409" s="1" t="s">
        <v>50</v>
      </c>
      <c r="N409" s="1" t="n">
        <v>8999</v>
      </c>
      <c r="O409" s="1" t="n">
        <v>30</v>
      </c>
      <c r="P409" s="1" t="n">
        <v>2699.7</v>
      </c>
      <c r="Q409" s="1" t="n">
        <v>6299.3</v>
      </c>
      <c r="R409" s="1" t="n">
        <v>1133.87</v>
      </c>
      <c r="S409" s="1" t="n">
        <v>5165.43</v>
      </c>
      <c r="T409" s="1" t="n">
        <v>2309.97</v>
      </c>
      <c r="U409" s="1" t="n">
        <v>2855.46</v>
      </c>
      <c r="V409" s="1" t="n">
        <v>55.28</v>
      </c>
      <c r="W409" s="1" t="s">
        <v>39</v>
      </c>
      <c r="Y409" s="1" t="s">
        <v>40</v>
      </c>
      <c r="Z409" s="1" t="n">
        <v>0</v>
      </c>
    </row>
    <row r="410" customFormat="false" ht="15" hidden="false" customHeight="true" outlineLevel="0" collapsed="false">
      <c r="A410" s="1" t="s">
        <v>881</v>
      </c>
      <c r="B410" s="1" t="s">
        <v>882</v>
      </c>
      <c r="C410" s="1" t="s">
        <v>43</v>
      </c>
      <c r="D410" s="1" t="s">
        <v>29</v>
      </c>
      <c r="E410" s="1" t="s">
        <v>30</v>
      </c>
      <c r="F410" s="1" t="s">
        <v>883</v>
      </c>
      <c r="G410" s="1" t="s">
        <v>68</v>
      </c>
      <c r="H410" s="1" t="s">
        <v>69</v>
      </c>
      <c r="I410" s="1" t="s">
        <v>58</v>
      </c>
      <c r="J410" s="1" t="s">
        <v>131</v>
      </c>
      <c r="K410" s="1" t="s">
        <v>104</v>
      </c>
      <c r="L410" s="1" t="s">
        <v>61</v>
      </c>
      <c r="M410" s="1" t="s">
        <v>50</v>
      </c>
      <c r="N410" s="1" t="n">
        <v>7999</v>
      </c>
      <c r="O410" s="1" t="n">
        <v>20</v>
      </c>
      <c r="P410" s="1" t="n">
        <v>1599.8</v>
      </c>
      <c r="Q410" s="1" t="n">
        <v>6399.2</v>
      </c>
      <c r="R410" s="1" t="n">
        <v>1151.86</v>
      </c>
      <c r="S410" s="1" t="n">
        <v>5247.34</v>
      </c>
      <c r="T410" s="1" t="n">
        <v>2489.45</v>
      </c>
      <c r="U410" s="1" t="n">
        <v>2757.89</v>
      </c>
      <c r="V410" s="1" t="n">
        <v>52.56</v>
      </c>
      <c r="W410" s="1" t="s">
        <v>39</v>
      </c>
      <c r="X410" s="1" t="n">
        <v>2.8</v>
      </c>
      <c r="Y410" s="1" t="s">
        <v>40</v>
      </c>
      <c r="Z410" s="1" t="n">
        <v>0</v>
      </c>
    </row>
    <row r="411" customFormat="false" ht="15" hidden="false" customHeight="true" outlineLevel="0" collapsed="false">
      <c r="A411" s="1" t="s">
        <v>884</v>
      </c>
      <c r="B411" s="1" t="s">
        <v>885</v>
      </c>
      <c r="C411" s="1" t="s">
        <v>119</v>
      </c>
      <c r="D411" s="1" t="s">
        <v>44</v>
      </c>
      <c r="E411" s="1" t="s">
        <v>66</v>
      </c>
      <c r="F411" s="1" t="s">
        <v>120</v>
      </c>
      <c r="G411" s="1" t="s">
        <v>47</v>
      </c>
      <c r="H411" s="1" t="s">
        <v>57</v>
      </c>
      <c r="I411" s="1" t="s">
        <v>58</v>
      </c>
      <c r="J411" s="1" t="s">
        <v>59</v>
      </c>
      <c r="K411" s="1" t="s">
        <v>48</v>
      </c>
      <c r="L411" s="1" t="s">
        <v>37</v>
      </c>
      <c r="M411" s="1" t="s">
        <v>38</v>
      </c>
      <c r="N411" s="1" t="n">
        <v>12999</v>
      </c>
      <c r="O411" s="1" t="n">
        <v>25</v>
      </c>
      <c r="P411" s="1" t="n">
        <v>3249.75</v>
      </c>
      <c r="Q411" s="1" t="n">
        <v>9749.25</v>
      </c>
      <c r="R411" s="1" t="n">
        <v>1754.87</v>
      </c>
      <c r="S411" s="1" t="n">
        <v>7994.38</v>
      </c>
      <c r="T411" s="1" t="n">
        <v>3643.62</v>
      </c>
      <c r="U411" s="1" t="n">
        <v>4350.76</v>
      </c>
      <c r="V411" s="1" t="n">
        <v>54.42</v>
      </c>
      <c r="W411" s="1" t="s">
        <v>39</v>
      </c>
      <c r="X411" s="1" t="n">
        <v>3.9</v>
      </c>
      <c r="Y411" s="1" t="s">
        <v>40</v>
      </c>
      <c r="Z411" s="1" t="n">
        <v>0</v>
      </c>
    </row>
    <row r="412" customFormat="false" ht="15" hidden="false" customHeight="true" outlineLevel="0" collapsed="false">
      <c r="A412" s="1" t="s">
        <v>886</v>
      </c>
      <c r="B412" s="1" t="s">
        <v>551</v>
      </c>
      <c r="C412" s="1" t="s">
        <v>43</v>
      </c>
      <c r="D412" s="1" t="s">
        <v>53</v>
      </c>
      <c r="E412" s="1" t="s">
        <v>116</v>
      </c>
      <c r="F412" s="1" t="s">
        <v>140</v>
      </c>
      <c r="G412" s="1" t="s">
        <v>97</v>
      </c>
      <c r="H412" s="1" t="s">
        <v>57</v>
      </c>
      <c r="I412" s="1" t="s">
        <v>34</v>
      </c>
      <c r="J412" s="1" t="s">
        <v>70</v>
      </c>
      <c r="K412" s="1" t="s">
        <v>112</v>
      </c>
      <c r="L412" s="1" t="s">
        <v>61</v>
      </c>
      <c r="M412" s="1" t="s">
        <v>50</v>
      </c>
      <c r="N412" s="1" t="n">
        <v>9999</v>
      </c>
      <c r="O412" s="1" t="n">
        <v>15</v>
      </c>
      <c r="P412" s="1" t="n">
        <v>1499.85</v>
      </c>
      <c r="Q412" s="1" t="n">
        <v>8499.15</v>
      </c>
      <c r="R412" s="1" t="n">
        <v>1529.85</v>
      </c>
      <c r="S412" s="1" t="n">
        <v>6969.3</v>
      </c>
      <c r="T412" s="1" t="n">
        <v>2834.97</v>
      </c>
      <c r="U412" s="1" t="n">
        <v>4134.33</v>
      </c>
      <c r="V412" s="1" t="n">
        <v>59.32</v>
      </c>
      <c r="W412" s="1" t="s">
        <v>40</v>
      </c>
      <c r="Y412" s="1" t="s">
        <v>40</v>
      </c>
      <c r="Z412" s="1" t="n">
        <v>2</v>
      </c>
    </row>
    <row r="413" customFormat="false" ht="15" hidden="false" customHeight="true" outlineLevel="0" collapsed="false">
      <c r="A413" s="1" t="s">
        <v>887</v>
      </c>
      <c r="B413" s="1" t="s">
        <v>263</v>
      </c>
      <c r="C413" s="1" t="s">
        <v>28</v>
      </c>
      <c r="D413" s="1" t="s">
        <v>53</v>
      </c>
      <c r="E413" s="1" t="s">
        <v>116</v>
      </c>
      <c r="F413" s="1" t="s">
        <v>140</v>
      </c>
      <c r="G413" s="1" t="s">
        <v>97</v>
      </c>
      <c r="H413" s="1" t="s">
        <v>57</v>
      </c>
      <c r="I413" s="1" t="s">
        <v>83</v>
      </c>
      <c r="J413" s="1" t="s">
        <v>59</v>
      </c>
      <c r="K413" s="1" t="s">
        <v>112</v>
      </c>
      <c r="L413" s="1" t="s">
        <v>113</v>
      </c>
      <c r="M413" s="1" t="s">
        <v>62</v>
      </c>
      <c r="N413" s="1" t="n">
        <v>9999</v>
      </c>
      <c r="O413" s="1" t="n">
        <v>40</v>
      </c>
      <c r="P413" s="1" t="n">
        <v>3999.6</v>
      </c>
      <c r="Q413" s="1" t="n">
        <v>5999.4</v>
      </c>
      <c r="R413" s="1" t="n">
        <v>1079.89</v>
      </c>
      <c r="S413" s="1" t="n">
        <v>4919.51</v>
      </c>
      <c r="T413" s="1" t="n">
        <v>3167.22</v>
      </c>
      <c r="U413" s="1" t="n">
        <v>1752.29</v>
      </c>
      <c r="V413" s="1" t="n">
        <v>35.62</v>
      </c>
      <c r="W413" s="1" t="s">
        <v>40</v>
      </c>
      <c r="Y413" s="1" t="s">
        <v>39</v>
      </c>
      <c r="Z413" s="1" t="n">
        <v>0</v>
      </c>
    </row>
    <row r="414" customFormat="false" ht="15" hidden="false" customHeight="true" outlineLevel="0" collapsed="false">
      <c r="A414" s="1" t="s">
        <v>888</v>
      </c>
      <c r="B414" s="1" t="s">
        <v>889</v>
      </c>
      <c r="C414" s="1" t="s">
        <v>167</v>
      </c>
      <c r="D414" s="1" t="s">
        <v>80</v>
      </c>
      <c r="E414" s="1" t="s">
        <v>175</v>
      </c>
      <c r="F414" s="1" t="s">
        <v>96</v>
      </c>
      <c r="G414" s="1" t="s">
        <v>97</v>
      </c>
      <c r="H414" s="1" t="s">
        <v>69</v>
      </c>
      <c r="I414" s="1" t="s">
        <v>58</v>
      </c>
      <c r="J414" s="1" t="s">
        <v>70</v>
      </c>
      <c r="K414" s="1" t="s">
        <v>84</v>
      </c>
      <c r="L414" s="1" t="s">
        <v>49</v>
      </c>
      <c r="M414" s="1" t="s">
        <v>38</v>
      </c>
      <c r="N414" s="1" t="n">
        <v>19999</v>
      </c>
      <c r="O414" s="1" t="n">
        <v>25</v>
      </c>
      <c r="P414" s="1" t="n">
        <v>4999.75</v>
      </c>
      <c r="Q414" s="1" t="n">
        <v>14999.25</v>
      </c>
      <c r="R414" s="1" t="n">
        <v>2699.86</v>
      </c>
      <c r="S414" s="1" t="n">
        <v>12299.39</v>
      </c>
      <c r="T414" s="1" t="n">
        <v>3556.48</v>
      </c>
      <c r="U414" s="1" t="n">
        <v>8742.91</v>
      </c>
      <c r="V414" s="1" t="n">
        <v>71.08</v>
      </c>
      <c r="W414" s="1" t="s">
        <v>39</v>
      </c>
      <c r="X414" s="1" t="n">
        <v>4</v>
      </c>
      <c r="Y414" s="1" t="s">
        <v>40</v>
      </c>
      <c r="Z414" s="1" t="n">
        <v>0</v>
      </c>
    </row>
    <row r="415" customFormat="false" ht="15" hidden="false" customHeight="true" outlineLevel="0" collapsed="false">
      <c r="A415" s="1" t="s">
        <v>890</v>
      </c>
      <c r="B415" s="1" t="s">
        <v>891</v>
      </c>
      <c r="C415" s="1" t="s">
        <v>93</v>
      </c>
      <c r="D415" s="1" t="s">
        <v>94</v>
      </c>
      <c r="E415" s="1" t="s">
        <v>135</v>
      </c>
      <c r="F415" s="1" t="s">
        <v>244</v>
      </c>
      <c r="G415" s="1" t="s">
        <v>97</v>
      </c>
      <c r="H415" s="1" t="s">
        <v>57</v>
      </c>
      <c r="I415" s="1" t="s">
        <v>83</v>
      </c>
      <c r="J415" s="1" t="s">
        <v>77</v>
      </c>
      <c r="K415" s="1" t="s">
        <v>36</v>
      </c>
      <c r="L415" s="1" t="s">
        <v>85</v>
      </c>
      <c r="M415" s="1" t="s">
        <v>62</v>
      </c>
      <c r="N415" s="1" t="n">
        <v>9999</v>
      </c>
      <c r="O415" s="1" t="n">
        <v>30</v>
      </c>
      <c r="P415" s="1" t="n">
        <v>2999.7</v>
      </c>
      <c r="Q415" s="1" t="n">
        <v>6999.3</v>
      </c>
      <c r="R415" s="1" t="n">
        <v>1259.87</v>
      </c>
      <c r="S415" s="1" t="n">
        <v>5739.43</v>
      </c>
      <c r="T415" s="1" t="n">
        <v>2328.42</v>
      </c>
      <c r="U415" s="1" t="n">
        <v>3411.01</v>
      </c>
      <c r="V415" s="1" t="n">
        <v>59.43</v>
      </c>
      <c r="W415" s="1" t="s">
        <v>40</v>
      </c>
      <c r="Y415" s="1" t="s">
        <v>40</v>
      </c>
      <c r="Z415" s="1" t="n">
        <v>0</v>
      </c>
    </row>
    <row r="416" customFormat="false" ht="15" hidden="false" customHeight="true" outlineLevel="0" collapsed="false">
      <c r="A416" s="1" t="s">
        <v>892</v>
      </c>
      <c r="B416" s="1" t="s">
        <v>893</v>
      </c>
      <c r="C416" s="1" t="s">
        <v>178</v>
      </c>
      <c r="D416" s="1" t="s">
        <v>123</v>
      </c>
      <c r="E416" s="1" t="s">
        <v>147</v>
      </c>
      <c r="F416" s="1" t="s">
        <v>194</v>
      </c>
      <c r="G416" s="1" t="s">
        <v>103</v>
      </c>
      <c r="H416" s="1" t="s">
        <v>69</v>
      </c>
      <c r="I416" s="1" t="s">
        <v>83</v>
      </c>
      <c r="J416" s="1" t="s">
        <v>59</v>
      </c>
      <c r="K416" s="1" t="s">
        <v>36</v>
      </c>
      <c r="L416" s="1" t="s">
        <v>49</v>
      </c>
      <c r="M416" s="1" t="s">
        <v>50</v>
      </c>
      <c r="N416" s="1" t="n">
        <v>6999</v>
      </c>
      <c r="O416" s="1" t="n">
        <v>10</v>
      </c>
      <c r="P416" s="1" t="n">
        <v>699.9</v>
      </c>
      <c r="Q416" s="1" t="n">
        <v>6299.1</v>
      </c>
      <c r="R416" s="1" t="n">
        <v>1133.84</v>
      </c>
      <c r="S416" s="1" t="n">
        <v>5165.26</v>
      </c>
      <c r="T416" s="1" t="n">
        <v>2199.12</v>
      </c>
      <c r="U416" s="1" t="n">
        <v>2966.14</v>
      </c>
      <c r="V416" s="1" t="n">
        <v>57.42</v>
      </c>
      <c r="W416" s="1" t="s">
        <v>40</v>
      </c>
      <c r="Y416" s="1" t="s">
        <v>40</v>
      </c>
      <c r="Z416" s="1" t="n">
        <v>0</v>
      </c>
    </row>
    <row r="417" customFormat="false" ht="15" hidden="false" customHeight="true" outlineLevel="0" collapsed="false">
      <c r="A417" s="1" t="s">
        <v>894</v>
      </c>
      <c r="B417" s="1" t="s">
        <v>885</v>
      </c>
      <c r="C417" s="1" t="s">
        <v>119</v>
      </c>
      <c r="D417" s="1" t="s">
        <v>80</v>
      </c>
      <c r="E417" s="1" t="s">
        <v>81</v>
      </c>
      <c r="F417" s="1" t="s">
        <v>107</v>
      </c>
      <c r="G417" s="1" t="s">
        <v>108</v>
      </c>
      <c r="H417" s="1" t="s">
        <v>33</v>
      </c>
      <c r="I417" s="1" t="s">
        <v>58</v>
      </c>
      <c r="J417" s="1" t="s">
        <v>131</v>
      </c>
      <c r="K417" s="1" t="s">
        <v>71</v>
      </c>
      <c r="L417" s="1" t="s">
        <v>49</v>
      </c>
      <c r="M417" s="1" t="s">
        <v>38</v>
      </c>
      <c r="N417" s="1" t="n">
        <v>12999</v>
      </c>
      <c r="O417" s="1" t="n">
        <v>10</v>
      </c>
      <c r="P417" s="1" t="n">
        <v>1299.9</v>
      </c>
      <c r="Q417" s="1" t="n">
        <v>11699.1</v>
      </c>
      <c r="R417" s="1" t="n">
        <v>2105.84</v>
      </c>
      <c r="S417" s="1" t="n">
        <v>9593.26</v>
      </c>
      <c r="T417" s="1" t="n">
        <v>4356.3</v>
      </c>
      <c r="U417" s="1" t="n">
        <v>5236.96</v>
      </c>
      <c r="V417" s="1" t="n">
        <v>54.59</v>
      </c>
      <c r="W417" s="1" t="s">
        <v>39</v>
      </c>
      <c r="Y417" s="1" t="s">
        <v>40</v>
      </c>
      <c r="Z417" s="1" t="n">
        <v>1</v>
      </c>
    </row>
    <row r="418" customFormat="false" ht="15" hidden="false" customHeight="true" outlineLevel="0" collapsed="false">
      <c r="A418" s="1" t="s">
        <v>895</v>
      </c>
      <c r="B418" s="1" t="s">
        <v>717</v>
      </c>
      <c r="C418" s="1" t="s">
        <v>43</v>
      </c>
      <c r="D418" s="1" t="s">
        <v>123</v>
      </c>
      <c r="E418" s="1" t="s">
        <v>147</v>
      </c>
      <c r="F418" s="1" t="s">
        <v>82</v>
      </c>
      <c r="G418" s="1" t="s">
        <v>56</v>
      </c>
      <c r="H418" s="1" t="s">
        <v>69</v>
      </c>
      <c r="I418" s="1" t="s">
        <v>83</v>
      </c>
      <c r="J418" s="1" t="s">
        <v>70</v>
      </c>
      <c r="K418" s="1" t="s">
        <v>36</v>
      </c>
      <c r="L418" s="1" t="s">
        <v>113</v>
      </c>
      <c r="M418" s="1" t="s">
        <v>50</v>
      </c>
      <c r="N418" s="1" t="n">
        <v>6999</v>
      </c>
      <c r="O418" s="1" t="n">
        <v>20</v>
      </c>
      <c r="P418" s="1" t="n">
        <v>1399.8</v>
      </c>
      <c r="Q418" s="1" t="n">
        <v>5599.2</v>
      </c>
      <c r="R418" s="1" t="n">
        <v>1007.86</v>
      </c>
      <c r="S418" s="1" t="n">
        <v>4591.34</v>
      </c>
      <c r="T418" s="1" t="n">
        <v>1714.43</v>
      </c>
      <c r="U418" s="1" t="n">
        <v>2876.91</v>
      </c>
      <c r="V418" s="1" t="n">
        <v>62.66</v>
      </c>
      <c r="W418" s="1" t="s">
        <v>39</v>
      </c>
      <c r="X418" s="1" t="n">
        <v>4.5</v>
      </c>
      <c r="Y418" s="1" t="s">
        <v>40</v>
      </c>
      <c r="Z418" s="1" t="n">
        <v>0</v>
      </c>
    </row>
    <row r="419" customFormat="false" ht="15" hidden="false" customHeight="true" outlineLevel="0" collapsed="false">
      <c r="A419" s="1" t="s">
        <v>896</v>
      </c>
      <c r="B419" s="1" t="s">
        <v>897</v>
      </c>
      <c r="C419" s="1" t="s">
        <v>264</v>
      </c>
      <c r="D419" s="1" t="s">
        <v>44</v>
      </c>
      <c r="E419" s="1" t="s">
        <v>221</v>
      </c>
      <c r="F419" s="1" t="s">
        <v>187</v>
      </c>
      <c r="G419" s="1" t="s">
        <v>97</v>
      </c>
      <c r="H419" s="1" t="s">
        <v>69</v>
      </c>
      <c r="I419" s="1" t="s">
        <v>58</v>
      </c>
      <c r="J419" s="1" t="s">
        <v>70</v>
      </c>
      <c r="K419" s="1" t="s">
        <v>48</v>
      </c>
      <c r="L419" s="1" t="s">
        <v>61</v>
      </c>
      <c r="M419" s="1" t="s">
        <v>38</v>
      </c>
      <c r="N419" s="1" t="n">
        <v>16999</v>
      </c>
      <c r="O419" s="1" t="n">
        <v>0</v>
      </c>
      <c r="P419" s="1" t="n">
        <v>0</v>
      </c>
      <c r="Q419" s="1" t="n">
        <v>16999</v>
      </c>
      <c r="R419" s="1" t="n">
        <v>3059.82</v>
      </c>
      <c r="S419" s="1" t="n">
        <v>13939.18</v>
      </c>
      <c r="T419" s="1" t="n">
        <v>6121.66</v>
      </c>
      <c r="U419" s="1" t="n">
        <v>7817.52</v>
      </c>
      <c r="V419" s="1" t="n">
        <v>56.08</v>
      </c>
      <c r="W419" s="1" t="s">
        <v>39</v>
      </c>
      <c r="X419" s="1" t="n">
        <v>3.4</v>
      </c>
      <c r="Y419" s="1" t="s">
        <v>40</v>
      </c>
      <c r="Z419" s="1" t="n">
        <v>0</v>
      </c>
    </row>
    <row r="420" customFormat="false" ht="15" hidden="false" customHeight="true" outlineLevel="0" collapsed="false">
      <c r="A420" s="1" t="s">
        <v>898</v>
      </c>
      <c r="B420" s="1" t="s">
        <v>899</v>
      </c>
      <c r="C420" s="1" t="s">
        <v>100</v>
      </c>
      <c r="D420" s="1" t="s">
        <v>80</v>
      </c>
      <c r="E420" s="1" t="s">
        <v>190</v>
      </c>
      <c r="F420" s="1" t="s">
        <v>46</v>
      </c>
      <c r="G420" s="1" t="s">
        <v>47</v>
      </c>
      <c r="H420" s="1" t="s">
        <v>33</v>
      </c>
      <c r="I420" s="1" t="s">
        <v>83</v>
      </c>
      <c r="J420" s="1" t="s">
        <v>35</v>
      </c>
      <c r="K420" s="1" t="s">
        <v>90</v>
      </c>
      <c r="L420" s="1" t="s">
        <v>61</v>
      </c>
      <c r="M420" s="1" t="s">
        <v>62</v>
      </c>
      <c r="N420" s="1" t="n">
        <v>15999</v>
      </c>
      <c r="O420" s="1" t="n">
        <v>5</v>
      </c>
      <c r="P420" s="1" t="n">
        <v>799.95</v>
      </c>
      <c r="Q420" s="1" t="n">
        <v>15199.05</v>
      </c>
      <c r="R420" s="1" t="n">
        <v>2735.83</v>
      </c>
      <c r="S420" s="1" t="n">
        <v>12463.22</v>
      </c>
      <c r="T420" s="1" t="n">
        <v>6042.13</v>
      </c>
      <c r="U420" s="1" t="n">
        <v>6421.09</v>
      </c>
      <c r="V420" s="1" t="n">
        <v>51.52</v>
      </c>
      <c r="W420" s="1" t="s">
        <v>39</v>
      </c>
      <c r="X420" s="1" t="n">
        <v>3.8</v>
      </c>
      <c r="Y420" s="1" t="s">
        <v>40</v>
      </c>
      <c r="Z420" s="1" t="n">
        <v>0</v>
      </c>
    </row>
    <row r="421" customFormat="false" ht="15" hidden="false" customHeight="true" outlineLevel="0" collapsed="false">
      <c r="A421" s="1" t="s">
        <v>900</v>
      </c>
      <c r="B421" s="1" t="s">
        <v>901</v>
      </c>
      <c r="C421" s="1" t="s">
        <v>128</v>
      </c>
      <c r="D421" s="1" t="s">
        <v>44</v>
      </c>
      <c r="E421" s="1" t="s">
        <v>66</v>
      </c>
      <c r="F421" s="1" t="s">
        <v>211</v>
      </c>
      <c r="G421" s="1" t="s">
        <v>56</v>
      </c>
      <c r="H421" s="1" t="s">
        <v>69</v>
      </c>
      <c r="I421" s="1" t="s">
        <v>34</v>
      </c>
      <c r="J421" s="1" t="s">
        <v>77</v>
      </c>
      <c r="K421" s="1" t="s">
        <v>36</v>
      </c>
      <c r="L421" s="1" t="s">
        <v>37</v>
      </c>
      <c r="M421" s="1" t="s">
        <v>50</v>
      </c>
      <c r="N421" s="1" t="n">
        <v>12999</v>
      </c>
      <c r="O421" s="1" t="n">
        <v>5</v>
      </c>
      <c r="P421" s="1" t="n">
        <v>649.95</v>
      </c>
      <c r="Q421" s="1" t="n">
        <v>12349.05</v>
      </c>
      <c r="R421" s="1" t="n">
        <v>2222.83</v>
      </c>
      <c r="S421" s="1" t="n">
        <v>10126.22</v>
      </c>
      <c r="T421" s="1" t="n">
        <v>4548.66</v>
      </c>
      <c r="U421" s="1" t="n">
        <v>5577.56</v>
      </c>
      <c r="V421" s="1" t="n">
        <v>55.08</v>
      </c>
      <c r="W421" s="1" t="s">
        <v>40</v>
      </c>
      <c r="Y421" s="1" t="s">
        <v>39</v>
      </c>
      <c r="Z421" s="1" t="n">
        <v>0</v>
      </c>
    </row>
    <row r="422" customFormat="false" ht="15" hidden="false" customHeight="true" outlineLevel="0" collapsed="false">
      <c r="A422" s="1" t="s">
        <v>902</v>
      </c>
      <c r="B422" s="1" t="s">
        <v>903</v>
      </c>
      <c r="C422" s="1" t="s">
        <v>139</v>
      </c>
      <c r="D422" s="1" t="s">
        <v>29</v>
      </c>
      <c r="E422" s="1" t="s">
        <v>305</v>
      </c>
      <c r="F422" s="1" t="s">
        <v>89</v>
      </c>
      <c r="G422" s="1" t="s">
        <v>68</v>
      </c>
      <c r="H422" s="1" t="s">
        <v>33</v>
      </c>
      <c r="I422" s="1" t="s">
        <v>58</v>
      </c>
      <c r="J422" s="1" t="s">
        <v>70</v>
      </c>
      <c r="K422" s="1" t="s">
        <v>60</v>
      </c>
      <c r="L422" s="1" t="s">
        <v>136</v>
      </c>
      <c r="M422" s="1" t="s">
        <v>62</v>
      </c>
      <c r="N422" s="1" t="n">
        <v>24999</v>
      </c>
      <c r="O422" s="1" t="n">
        <v>30</v>
      </c>
      <c r="P422" s="1" t="n">
        <v>7499.7</v>
      </c>
      <c r="Q422" s="1" t="n">
        <v>17499.3</v>
      </c>
      <c r="R422" s="1" t="n">
        <v>3149.87</v>
      </c>
      <c r="S422" s="1" t="n">
        <v>14349.43</v>
      </c>
      <c r="T422" s="1" t="n">
        <v>6260.45</v>
      </c>
      <c r="U422" s="1" t="n">
        <v>8088.98</v>
      </c>
      <c r="V422" s="1" t="n">
        <v>56.37</v>
      </c>
      <c r="W422" s="1" t="s">
        <v>39</v>
      </c>
      <c r="X422" s="1" t="n">
        <v>3.4</v>
      </c>
      <c r="Y422" s="1" t="s">
        <v>40</v>
      </c>
      <c r="Z422" s="1" t="n">
        <v>0</v>
      </c>
    </row>
    <row r="423" customFormat="false" ht="15" hidden="false" customHeight="true" outlineLevel="0" collapsed="false">
      <c r="A423" s="1" t="s">
        <v>904</v>
      </c>
      <c r="B423" s="1" t="s">
        <v>441</v>
      </c>
      <c r="C423" s="1" t="s">
        <v>167</v>
      </c>
      <c r="D423" s="1" t="s">
        <v>53</v>
      </c>
      <c r="E423" s="1" t="s">
        <v>54</v>
      </c>
      <c r="F423" s="1" t="s">
        <v>150</v>
      </c>
      <c r="G423" s="1" t="s">
        <v>32</v>
      </c>
      <c r="H423" s="1" t="s">
        <v>57</v>
      </c>
      <c r="I423" s="1" t="s">
        <v>83</v>
      </c>
      <c r="J423" s="1" t="s">
        <v>131</v>
      </c>
      <c r="K423" s="1" t="s">
        <v>48</v>
      </c>
      <c r="L423" s="1" t="s">
        <v>37</v>
      </c>
      <c r="M423" s="1" t="s">
        <v>50</v>
      </c>
      <c r="N423" s="1" t="n">
        <v>11999</v>
      </c>
      <c r="O423" s="1" t="n">
        <v>10</v>
      </c>
      <c r="P423" s="1" t="n">
        <v>1199.9</v>
      </c>
      <c r="Q423" s="1" t="n">
        <v>10799.1</v>
      </c>
      <c r="R423" s="1" t="n">
        <v>1943.84</v>
      </c>
      <c r="S423" s="1" t="n">
        <v>8855.26</v>
      </c>
      <c r="T423" s="1" t="n">
        <v>4309.34</v>
      </c>
      <c r="U423" s="1" t="n">
        <v>4545.92</v>
      </c>
      <c r="V423" s="1" t="n">
        <v>51.34</v>
      </c>
      <c r="W423" s="1" t="s">
        <v>39</v>
      </c>
      <c r="X423" s="1" t="n">
        <v>4.2</v>
      </c>
      <c r="Y423" s="1" t="s">
        <v>40</v>
      </c>
      <c r="Z423" s="1" t="n">
        <v>0</v>
      </c>
    </row>
    <row r="424" customFormat="false" ht="15" hidden="false" customHeight="true" outlineLevel="0" collapsed="false">
      <c r="A424" s="1" t="s">
        <v>905</v>
      </c>
      <c r="B424" s="1" t="s">
        <v>906</v>
      </c>
      <c r="C424" s="1" t="s">
        <v>88</v>
      </c>
      <c r="D424" s="1" t="s">
        <v>168</v>
      </c>
      <c r="E424" s="1" t="s">
        <v>328</v>
      </c>
      <c r="F424" s="1" t="s">
        <v>82</v>
      </c>
      <c r="G424" s="1" t="s">
        <v>56</v>
      </c>
      <c r="H424" s="1" t="s">
        <v>69</v>
      </c>
      <c r="I424" s="1" t="s">
        <v>83</v>
      </c>
      <c r="J424" s="1" t="s">
        <v>131</v>
      </c>
      <c r="K424" s="1" t="s">
        <v>60</v>
      </c>
      <c r="L424" s="1" t="s">
        <v>37</v>
      </c>
      <c r="M424" s="1" t="s">
        <v>62</v>
      </c>
      <c r="N424" s="1" t="n">
        <v>8999</v>
      </c>
      <c r="O424" s="1" t="n">
        <v>20</v>
      </c>
      <c r="P424" s="1" t="n">
        <v>1799.8</v>
      </c>
      <c r="Q424" s="1" t="n">
        <v>7199.2</v>
      </c>
      <c r="R424" s="1" t="n">
        <v>1295.86</v>
      </c>
      <c r="S424" s="1" t="n">
        <v>5903.34</v>
      </c>
      <c r="T424" s="1" t="n">
        <v>2073.44</v>
      </c>
      <c r="U424" s="1" t="n">
        <v>3829.9</v>
      </c>
      <c r="V424" s="1" t="n">
        <v>64.88</v>
      </c>
      <c r="W424" s="1" t="s">
        <v>39</v>
      </c>
      <c r="X424" s="1" t="n">
        <v>4</v>
      </c>
      <c r="Y424" s="1" t="s">
        <v>39</v>
      </c>
      <c r="Z424" s="1" t="n">
        <v>0</v>
      </c>
    </row>
    <row r="425" customFormat="false" ht="15" hidden="false" customHeight="true" outlineLevel="0" collapsed="false">
      <c r="A425" s="1" t="s">
        <v>907</v>
      </c>
      <c r="B425" s="1" t="s">
        <v>632</v>
      </c>
      <c r="C425" s="1" t="s">
        <v>134</v>
      </c>
      <c r="D425" s="1" t="s">
        <v>94</v>
      </c>
      <c r="E425" s="1" t="s">
        <v>135</v>
      </c>
      <c r="F425" s="1" t="s">
        <v>474</v>
      </c>
      <c r="G425" s="1" t="s">
        <v>108</v>
      </c>
      <c r="H425" s="1" t="s">
        <v>69</v>
      </c>
      <c r="I425" s="1" t="s">
        <v>34</v>
      </c>
      <c r="J425" s="1" t="s">
        <v>70</v>
      </c>
      <c r="K425" s="1" t="s">
        <v>84</v>
      </c>
      <c r="L425" s="1" t="s">
        <v>113</v>
      </c>
      <c r="M425" s="1" t="s">
        <v>62</v>
      </c>
      <c r="N425" s="1" t="n">
        <v>9999</v>
      </c>
      <c r="O425" s="1" t="n">
        <v>50</v>
      </c>
      <c r="P425" s="1" t="n">
        <v>4999.5</v>
      </c>
      <c r="Q425" s="1" t="n">
        <v>4999.5</v>
      </c>
      <c r="R425" s="1" t="n">
        <v>899.91</v>
      </c>
      <c r="S425" s="1" t="n">
        <v>4099.59</v>
      </c>
      <c r="T425" s="1" t="n">
        <v>1802.14</v>
      </c>
      <c r="U425" s="1" t="n">
        <v>2297.45</v>
      </c>
      <c r="V425" s="1" t="n">
        <v>56.04</v>
      </c>
      <c r="W425" s="1" t="s">
        <v>40</v>
      </c>
      <c r="Y425" s="1" t="s">
        <v>40</v>
      </c>
      <c r="Z425" s="1" t="n">
        <v>1</v>
      </c>
    </row>
    <row r="426" customFormat="false" ht="15" hidden="false" customHeight="true" outlineLevel="0" collapsed="false">
      <c r="A426" s="1" t="s">
        <v>908</v>
      </c>
      <c r="B426" s="1" t="s">
        <v>909</v>
      </c>
      <c r="C426" s="1" t="s">
        <v>167</v>
      </c>
      <c r="D426" s="1" t="s">
        <v>94</v>
      </c>
      <c r="E426" s="1" t="s">
        <v>95</v>
      </c>
      <c r="F426" s="1" t="s">
        <v>120</v>
      </c>
      <c r="G426" s="1" t="s">
        <v>47</v>
      </c>
      <c r="H426" s="1" t="s">
        <v>57</v>
      </c>
      <c r="I426" s="1" t="s">
        <v>34</v>
      </c>
      <c r="J426" s="1" t="s">
        <v>131</v>
      </c>
      <c r="K426" s="1" t="s">
        <v>71</v>
      </c>
      <c r="L426" s="1" t="s">
        <v>49</v>
      </c>
      <c r="M426" s="1" t="s">
        <v>38</v>
      </c>
      <c r="N426" s="1" t="n">
        <v>6999</v>
      </c>
      <c r="O426" s="1" t="n">
        <v>10</v>
      </c>
      <c r="P426" s="1" t="n">
        <v>699.9</v>
      </c>
      <c r="Q426" s="1" t="n">
        <v>6299.1</v>
      </c>
      <c r="R426" s="1" t="n">
        <v>1133.84</v>
      </c>
      <c r="S426" s="1" t="n">
        <v>5165.26</v>
      </c>
      <c r="T426" s="1" t="n">
        <v>2240</v>
      </c>
      <c r="U426" s="1" t="n">
        <v>2925.26</v>
      </c>
      <c r="V426" s="1" t="n">
        <v>56.63</v>
      </c>
      <c r="W426" s="1" t="s">
        <v>39</v>
      </c>
      <c r="X426" s="1" t="n">
        <v>3.6</v>
      </c>
      <c r="Y426" s="1" t="s">
        <v>40</v>
      </c>
      <c r="Z426" s="1" t="n">
        <v>0</v>
      </c>
    </row>
    <row r="427" customFormat="false" ht="15" hidden="false" customHeight="true" outlineLevel="0" collapsed="false">
      <c r="A427" s="1" t="s">
        <v>910</v>
      </c>
      <c r="B427" s="1" t="s">
        <v>294</v>
      </c>
      <c r="C427" s="1" t="s">
        <v>28</v>
      </c>
      <c r="D427" s="1" t="s">
        <v>168</v>
      </c>
      <c r="E427" s="1" t="s">
        <v>169</v>
      </c>
      <c r="F427" s="1" t="s">
        <v>111</v>
      </c>
      <c r="G427" s="1" t="s">
        <v>56</v>
      </c>
      <c r="H427" s="1" t="s">
        <v>69</v>
      </c>
      <c r="I427" s="1" t="s">
        <v>58</v>
      </c>
      <c r="J427" s="1" t="s">
        <v>35</v>
      </c>
      <c r="K427" s="1" t="s">
        <v>48</v>
      </c>
      <c r="L427" s="1" t="s">
        <v>37</v>
      </c>
      <c r="M427" s="1" t="s">
        <v>38</v>
      </c>
      <c r="N427" s="1" t="n">
        <v>4999</v>
      </c>
      <c r="O427" s="1" t="n">
        <v>10</v>
      </c>
      <c r="P427" s="1" t="n">
        <v>499.9</v>
      </c>
      <c r="Q427" s="1" t="n">
        <v>4499.1</v>
      </c>
      <c r="R427" s="1" t="n">
        <v>809.84</v>
      </c>
      <c r="S427" s="1" t="n">
        <v>3689.26</v>
      </c>
      <c r="T427" s="1" t="n">
        <v>1500.89</v>
      </c>
      <c r="U427" s="1" t="n">
        <v>2188.37</v>
      </c>
      <c r="V427" s="1" t="n">
        <v>59.32</v>
      </c>
      <c r="W427" s="1" t="s">
        <v>40</v>
      </c>
      <c r="Y427" s="1" t="s">
        <v>39</v>
      </c>
      <c r="Z427" s="1" t="n">
        <v>0</v>
      </c>
    </row>
    <row r="428" customFormat="false" ht="15" hidden="false" customHeight="true" outlineLevel="0" collapsed="false">
      <c r="A428" s="1" t="s">
        <v>911</v>
      </c>
      <c r="B428" s="1" t="s">
        <v>177</v>
      </c>
      <c r="C428" s="1" t="s">
        <v>264</v>
      </c>
      <c r="D428" s="1" t="s">
        <v>80</v>
      </c>
      <c r="E428" s="1" t="s">
        <v>190</v>
      </c>
      <c r="F428" s="1" t="s">
        <v>46</v>
      </c>
      <c r="G428" s="1" t="s">
        <v>47</v>
      </c>
      <c r="H428" s="1" t="s">
        <v>33</v>
      </c>
      <c r="I428" s="1" t="s">
        <v>58</v>
      </c>
      <c r="J428" s="1" t="s">
        <v>59</v>
      </c>
      <c r="K428" s="1" t="s">
        <v>36</v>
      </c>
      <c r="L428" s="1" t="s">
        <v>61</v>
      </c>
      <c r="M428" s="1" t="s">
        <v>62</v>
      </c>
      <c r="N428" s="1" t="n">
        <v>15999</v>
      </c>
      <c r="O428" s="1" t="n">
        <v>0</v>
      </c>
      <c r="P428" s="1" t="n">
        <v>0</v>
      </c>
      <c r="Q428" s="1" t="n">
        <v>15999</v>
      </c>
      <c r="R428" s="1" t="n">
        <v>2879.82</v>
      </c>
      <c r="S428" s="1" t="n">
        <v>13119.18</v>
      </c>
      <c r="T428" s="1" t="n">
        <v>6026.82</v>
      </c>
      <c r="U428" s="1" t="n">
        <v>7092.36</v>
      </c>
      <c r="V428" s="1" t="n">
        <v>54.06</v>
      </c>
      <c r="W428" s="1" t="s">
        <v>39</v>
      </c>
      <c r="X428" s="1" t="n">
        <v>4.5</v>
      </c>
      <c r="Y428" s="1" t="s">
        <v>40</v>
      </c>
      <c r="Z428" s="1" t="n">
        <v>0</v>
      </c>
    </row>
    <row r="429" customFormat="false" ht="15" hidden="false" customHeight="true" outlineLevel="0" collapsed="false">
      <c r="A429" s="1" t="s">
        <v>912</v>
      </c>
      <c r="B429" s="1" t="s">
        <v>913</v>
      </c>
      <c r="C429" s="1" t="s">
        <v>43</v>
      </c>
      <c r="D429" s="1" t="s">
        <v>29</v>
      </c>
      <c r="E429" s="1" t="s">
        <v>182</v>
      </c>
      <c r="F429" s="1" t="s">
        <v>187</v>
      </c>
      <c r="G429" s="1" t="s">
        <v>97</v>
      </c>
      <c r="H429" s="1" t="s">
        <v>69</v>
      </c>
      <c r="I429" s="1" t="s">
        <v>34</v>
      </c>
      <c r="J429" s="1" t="s">
        <v>59</v>
      </c>
      <c r="K429" s="1" t="s">
        <v>48</v>
      </c>
      <c r="L429" s="1" t="s">
        <v>37</v>
      </c>
      <c r="M429" s="1" t="s">
        <v>50</v>
      </c>
      <c r="N429" s="1" t="n">
        <v>34999</v>
      </c>
      <c r="O429" s="1" t="n">
        <v>0</v>
      </c>
      <c r="P429" s="1" t="n">
        <v>0</v>
      </c>
      <c r="Q429" s="1" t="n">
        <v>34999</v>
      </c>
      <c r="R429" s="1" t="n">
        <v>6299.82</v>
      </c>
      <c r="S429" s="1" t="n">
        <v>28699.18</v>
      </c>
      <c r="T429" s="1" t="n">
        <v>10881.31</v>
      </c>
      <c r="U429" s="1" t="n">
        <v>17817.87</v>
      </c>
      <c r="V429" s="1" t="n">
        <v>62.08</v>
      </c>
      <c r="W429" s="1" t="s">
        <v>40</v>
      </c>
      <c r="Y429" s="1" t="s">
        <v>40</v>
      </c>
      <c r="Z429" s="1" t="n">
        <v>2</v>
      </c>
    </row>
    <row r="430" customFormat="false" ht="15" hidden="false" customHeight="true" outlineLevel="0" collapsed="false">
      <c r="A430" s="1" t="s">
        <v>914</v>
      </c>
      <c r="B430" s="1" t="s">
        <v>915</v>
      </c>
      <c r="C430" s="1" t="s">
        <v>134</v>
      </c>
      <c r="D430" s="1" t="s">
        <v>94</v>
      </c>
      <c r="E430" s="1" t="s">
        <v>135</v>
      </c>
      <c r="F430" s="1" t="s">
        <v>89</v>
      </c>
      <c r="G430" s="1" t="s">
        <v>68</v>
      </c>
      <c r="H430" s="1" t="s">
        <v>33</v>
      </c>
      <c r="I430" s="1" t="s">
        <v>34</v>
      </c>
      <c r="J430" s="1" t="s">
        <v>59</v>
      </c>
      <c r="K430" s="1" t="s">
        <v>84</v>
      </c>
      <c r="L430" s="1" t="s">
        <v>61</v>
      </c>
      <c r="M430" s="1" t="s">
        <v>38</v>
      </c>
      <c r="N430" s="1" t="n">
        <v>9999</v>
      </c>
      <c r="O430" s="1" t="n">
        <v>10</v>
      </c>
      <c r="P430" s="1" t="n">
        <v>999.9</v>
      </c>
      <c r="Q430" s="1" t="n">
        <v>8999.1</v>
      </c>
      <c r="R430" s="1" t="n">
        <v>1619.84</v>
      </c>
      <c r="S430" s="1" t="n">
        <v>7379.26</v>
      </c>
      <c r="T430" s="1" t="n">
        <v>2774.18</v>
      </c>
      <c r="U430" s="1" t="n">
        <v>4605.08</v>
      </c>
      <c r="V430" s="1" t="n">
        <v>62.41</v>
      </c>
      <c r="W430" s="1" t="s">
        <v>40</v>
      </c>
      <c r="Y430" s="1" t="s">
        <v>39</v>
      </c>
      <c r="Z430" s="1" t="n">
        <v>1</v>
      </c>
    </row>
    <row r="431" customFormat="false" ht="15" hidden="false" customHeight="true" outlineLevel="0" collapsed="false">
      <c r="A431" s="1" t="s">
        <v>916</v>
      </c>
      <c r="B431" s="1" t="s">
        <v>225</v>
      </c>
      <c r="C431" s="1" t="s">
        <v>134</v>
      </c>
      <c r="D431" s="1" t="s">
        <v>44</v>
      </c>
      <c r="E431" s="1" t="s">
        <v>45</v>
      </c>
      <c r="F431" s="1" t="s">
        <v>140</v>
      </c>
      <c r="G431" s="1" t="s">
        <v>97</v>
      </c>
      <c r="H431" s="1" t="s">
        <v>57</v>
      </c>
      <c r="I431" s="1" t="s">
        <v>83</v>
      </c>
      <c r="J431" s="1" t="s">
        <v>70</v>
      </c>
      <c r="K431" s="1" t="s">
        <v>71</v>
      </c>
      <c r="L431" s="1" t="s">
        <v>61</v>
      </c>
      <c r="M431" s="1" t="s">
        <v>50</v>
      </c>
      <c r="N431" s="1" t="n">
        <v>11999</v>
      </c>
      <c r="O431" s="1" t="n">
        <v>25</v>
      </c>
      <c r="P431" s="1" t="n">
        <v>2999.75</v>
      </c>
      <c r="Q431" s="1" t="n">
        <v>8999.25</v>
      </c>
      <c r="R431" s="1" t="n">
        <v>1619.87</v>
      </c>
      <c r="S431" s="1" t="n">
        <v>7379.38</v>
      </c>
      <c r="T431" s="1" t="n">
        <v>3152.02</v>
      </c>
      <c r="U431" s="1" t="n">
        <v>4227.36</v>
      </c>
      <c r="V431" s="1" t="n">
        <v>57.29</v>
      </c>
      <c r="W431" s="1" t="s">
        <v>40</v>
      </c>
      <c r="Y431" s="1" t="s">
        <v>40</v>
      </c>
      <c r="Z431" s="1" t="n">
        <v>1</v>
      </c>
    </row>
    <row r="432" customFormat="false" ht="15" hidden="false" customHeight="true" outlineLevel="0" collapsed="false">
      <c r="A432" s="1" t="s">
        <v>917</v>
      </c>
      <c r="B432" s="1" t="s">
        <v>918</v>
      </c>
      <c r="C432" s="1" t="s">
        <v>167</v>
      </c>
      <c r="D432" s="1" t="s">
        <v>94</v>
      </c>
      <c r="E432" s="1" t="s">
        <v>95</v>
      </c>
      <c r="F432" s="1" t="s">
        <v>153</v>
      </c>
      <c r="G432" s="1" t="s">
        <v>76</v>
      </c>
      <c r="H432" s="1" t="s">
        <v>33</v>
      </c>
      <c r="I432" s="1" t="s">
        <v>83</v>
      </c>
      <c r="J432" s="1" t="s">
        <v>77</v>
      </c>
      <c r="K432" s="1" t="s">
        <v>84</v>
      </c>
      <c r="L432" s="1" t="s">
        <v>61</v>
      </c>
      <c r="M432" s="1" t="s">
        <v>62</v>
      </c>
      <c r="N432" s="1" t="n">
        <v>6999</v>
      </c>
      <c r="O432" s="1" t="n">
        <v>30</v>
      </c>
      <c r="P432" s="1" t="n">
        <v>2099.7</v>
      </c>
      <c r="Q432" s="1" t="n">
        <v>4899.3</v>
      </c>
      <c r="R432" s="1" t="n">
        <v>881.87</v>
      </c>
      <c r="S432" s="1" t="n">
        <v>4017.43</v>
      </c>
      <c r="T432" s="1" t="n">
        <v>1965.35</v>
      </c>
      <c r="U432" s="1" t="n">
        <v>2052.08</v>
      </c>
      <c r="V432" s="1" t="n">
        <v>51.08</v>
      </c>
      <c r="W432" s="1" t="s">
        <v>39</v>
      </c>
      <c r="X432" s="1" t="n">
        <v>4.6</v>
      </c>
      <c r="Y432" s="1" t="s">
        <v>40</v>
      </c>
      <c r="Z432" s="1" t="n">
        <v>0</v>
      </c>
    </row>
    <row r="433" customFormat="false" ht="15" hidden="false" customHeight="true" outlineLevel="0" collapsed="false">
      <c r="A433" s="1" t="s">
        <v>919</v>
      </c>
      <c r="B433" s="1" t="s">
        <v>513</v>
      </c>
      <c r="C433" s="1" t="s">
        <v>100</v>
      </c>
      <c r="D433" s="1" t="s">
        <v>123</v>
      </c>
      <c r="E433" s="1" t="s">
        <v>233</v>
      </c>
      <c r="F433" s="1" t="s">
        <v>102</v>
      </c>
      <c r="G433" s="1" t="s">
        <v>103</v>
      </c>
      <c r="H433" s="1" t="s">
        <v>33</v>
      </c>
      <c r="I433" s="1" t="s">
        <v>83</v>
      </c>
      <c r="J433" s="1" t="s">
        <v>70</v>
      </c>
      <c r="K433" s="1" t="s">
        <v>36</v>
      </c>
      <c r="L433" s="1" t="s">
        <v>49</v>
      </c>
      <c r="M433" s="1" t="s">
        <v>50</v>
      </c>
      <c r="N433" s="1" t="n">
        <v>8999</v>
      </c>
      <c r="O433" s="1" t="n">
        <v>30</v>
      </c>
      <c r="P433" s="1" t="n">
        <v>2699.7</v>
      </c>
      <c r="Q433" s="1" t="n">
        <v>6299.3</v>
      </c>
      <c r="R433" s="1" t="n">
        <v>1133.87</v>
      </c>
      <c r="S433" s="1" t="n">
        <v>5165.43</v>
      </c>
      <c r="T433" s="1" t="n">
        <v>2525.54</v>
      </c>
      <c r="U433" s="1" t="n">
        <v>2639.89</v>
      </c>
      <c r="V433" s="1" t="n">
        <v>51.11</v>
      </c>
      <c r="W433" s="1" t="s">
        <v>40</v>
      </c>
      <c r="Y433" s="1" t="s">
        <v>39</v>
      </c>
      <c r="Z433" s="1" t="n">
        <v>0</v>
      </c>
    </row>
    <row r="434" customFormat="false" ht="15" hidden="false" customHeight="true" outlineLevel="0" collapsed="false">
      <c r="A434" s="1" t="s">
        <v>920</v>
      </c>
      <c r="B434" s="1" t="s">
        <v>568</v>
      </c>
      <c r="C434" s="1" t="s">
        <v>128</v>
      </c>
      <c r="D434" s="1" t="s">
        <v>80</v>
      </c>
      <c r="E434" s="1" t="s">
        <v>190</v>
      </c>
      <c r="F434" s="1" t="s">
        <v>107</v>
      </c>
      <c r="G434" s="1" t="s">
        <v>108</v>
      </c>
      <c r="H434" s="1" t="s">
        <v>33</v>
      </c>
      <c r="I434" s="1" t="s">
        <v>58</v>
      </c>
      <c r="J434" s="1" t="s">
        <v>35</v>
      </c>
      <c r="K434" s="1" t="s">
        <v>36</v>
      </c>
      <c r="L434" s="1" t="s">
        <v>136</v>
      </c>
      <c r="M434" s="1" t="s">
        <v>38</v>
      </c>
      <c r="N434" s="1" t="n">
        <v>15999</v>
      </c>
      <c r="O434" s="1" t="n">
        <v>0</v>
      </c>
      <c r="P434" s="1" t="n">
        <v>0</v>
      </c>
      <c r="Q434" s="1" t="n">
        <v>15999</v>
      </c>
      <c r="R434" s="1" t="n">
        <v>2879.82</v>
      </c>
      <c r="S434" s="1" t="n">
        <v>13119.18</v>
      </c>
      <c r="T434" s="1" t="n">
        <v>5400.28</v>
      </c>
      <c r="U434" s="1" t="n">
        <v>7718.9</v>
      </c>
      <c r="V434" s="1" t="n">
        <v>58.84</v>
      </c>
      <c r="W434" s="1" t="s">
        <v>40</v>
      </c>
      <c r="Y434" s="1" t="s">
        <v>40</v>
      </c>
      <c r="Z434" s="1" t="n">
        <v>1</v>
      </c>
    </row>
    <row r="435" customFormat="false" ht="15" hidden="false" customHeight="true" outlineLevel="0" collapsed="false">
      <c r="A435" s="1" t="s">
        <v>921</v>
      </c>
      <c r="B435" s="1" t="s">
        <v>922</v>
      </c>
      <c r="C435" s="1" t="s">
        <v>264</v>
      </c>
      <c r="D435" s="1" t="s">
        <v>168</v>
      </c>
      <c r="E435" s="1" t="s">
        <v>169</v>
      </c>
      <c r="F435" s="1" t="s">
        <v>187</v>
      </c>
      <c r="G435" s="1" t="s">
        <v>97</v>
      </c>
      <c r="H435" s="1" t="s">
        <v>69</v>
      </c>
      <c r="I435" s="1" t="s">
        <v>34</v>
      </c>
      <c r="J435" s="1" t="s">
        <v>35</v>
      </c>
      <c r="K435" s="1" t="s">
        <v>36</v>
      </c>
      <c r="L435" s="1" t="s">
        <v>49</v>
      </c>
      <c r="M435" s="1" t="s">
        <v>38</v>
      </c>
      <c r="N435" s="1" t="n">
        <v>4999</v>
      </c>
      <c r="O435" s="1" t="n">
        <v>10</v>
      </c>
      <c r="P435" s="1" t="n">
        <v>499.9</v>
      </c>
      <c r="Q435" s="1" t="n">
        <v>4499.1</v>
      </c>
      <c r="R435" s="1" t="n">
        <v>809.84</v>
      </c>
      <c r="S435" s="1" t="n">
        <v>3689.26</v>
      </c>
      <c r="T435" s="1" t="n">
        <v>1443.62</v>
      </c>
      <c r="U435" s="1" t="n">
        <v>2245.64</v>
      </c>
      <c r="V435" s="1" t="n">
        <v>60.87</v>
      </c>
      <c r="W435" s="1" t="s">
        <v>40</v>
      </c>
      <c r="Y435" s="1" t="s">
        <v>40</v>
      </c>
      <c r="Z435" s="1" t="n">
        <v>0</v>
      </c>
    </row>
    <row r="436" customFormat="false" ht="15" hidden="false" customHeight="true" outlineLevel="0" collapsed="false">
      <c r="A436" s="1" t="s">
        <v>923</v>
      </c>
      <c r="B436" s="1" t="s">
        <v>246</v>
      </c>
      <c r="C436" s="1" t="s">
        <v>264</v>
      </c>
      <c r="D436" s="1" t="s">
        <v>44</v>
      </c>
      <c r="E436" s="1" t="s">
        <v>66</v>
      </c>
      <c r="F436" s="1" t="s">
        <v>46</v>
      </c>
      <c r="G436" s="1" t="s">
        <v>47</v>
      </c>
      <c r="H436" s="1" t="s">
        <v>33</v>
      </c>
      <c r="I436" s="1" t="s">
        <v>58</v>
      </c>
      <c r="J436" s="1" t="s">
        <v>70</v>
      </c>
      <c r="K436" s="1" t="s">
        <v>48</v>
      </c>
      <c r="L436" s="1" t="s">
        <v>113</v>
      </c>
      <c r="M436" s="1" t="s">
        <v>50</v>
      </c>
      <c r="N436" s="1" t="n">
        <v>12999</v>
      </c>
      <c r="O436" s="1" t="n">
        <v>0</v>
      </c>
      <c r="P436" s="1" t="n">
        <v>0</v>
      </c>
      <c r="Q436" s="1" t="n">
        <v>12999</v>
      </c>
      <c r="R436" s="1" t="n">
        <v>2339.82</v>
      </c>
      <c r="S436" s="1" t="n">
        <v>10659.18</v>
      </c>
      <c r="T436" s="1" t="n">
        <v>5341.59</v>
      </c>
      <c r="U436" s="1" t="n">
        <v>5317.59</v>
      </c>
      <c r="V436" s="1" t="n">
        <v>49.89</v>
      </c>
      <c r="W436" s="1" t="s">
        <v>40</v>
      </c>
      <c r="Y436" s="1" t="s">
        <v>40</v>
      </c>
      <c r="Z436" s="1" t="n">
        <v>0</v>
      </c>
    </row>
    <row r="437" customFormat="false" ht="15" hidden="false" customHeight="true" outlineLevel="0" collapsed="false">
      <c r="A437" s="1" t="s">
        <v>924</v>
      </c>
      <c r="B437" s="1" t="s">
        <v>421</v>
      </c>
      <c r="C437" s="1" t="s">
        <v>88</v>
      </c>
      <c r="D437" s="1" t="s">
        <v>80</v>
      </c>
      <c r="E437" s="1" t="s">
        <v>175</v>
      </c>
      <c r="F437" s="1" t="s">
        <v>187</v>
      </c>
      <c r="G437" s="1" t="s">
        <v>97</v>
      </c>
      <c r="H437" s="1" t="s">
        <v>69</v>
      </c>
      <c r="I437" s="1" t="s">
        <v>34</v>
      </c>
      <c r="J437" s="1" t="s">
        <v>35</v>
      </c>
      <c r="K437" s="1" t="s">
        <v>48</v>
      </c>
      <c r="L437" s="1" t="s">
        <v>37</v>
      </c>
      <c r="M437" s="1" t="s">
        <v>62</v>
      </c>
      <c r="N437" s="1" t="n">
        <v>19999</v>
      </c>
      <c r="O437" s="1" t="n">
        <v>20</v>
      </c>
      <c r="P437" s="1" t="n">
        <v>3999.8</v>
      </c>
      <c r="Q437" s="1" t="n">
        <v>15999.2</v>
      </c>
      <c r="R437" s="1" t="n">
        <v>2879.86</v>
      </c>
      <c r="S437" s="1" t="n">
        <v>13119.34</v>
      </c>
      <c r="T437" s="1" t="n">
        <v>5623.2</v>
      </c>
      <c r="U437" s="1" t="n">
        <v>7496.14</v>
      </c>
      <c r="V437" s="1" t="n">
        <v>57.14</v>
      </c>
      <c r="W437" s="1" t="s">
        <v>40</v>
      </c>
      <c r="Y437" s="1" t="s">
        <v>40</v>
      </c>
      <c r="Z437" s="1" t="n">
        <v>0</v>
      </c>
    </row>
    <row r="438" customFormat="false" ht="15" hidden="false" customHeight="true" outlineLevel="0" collapsed="false">
      <c r="A438" s="1" t="s">
        <v>925</v>
      </c>
      <c r="B438" s="1" t="s">
        <v>926</v>
      </c>
      <c r="C438" s="1" t="s">
        <v>93</v>
      </c>
      <c r="D438" s="1" t="s">
        <v>44</v>
      </c>
      <c r="E438" s="1" t="s">
        <v>66</v>
      </c>
      <c r="F438" s="1" t="s">
        <v>184</v>
      </c>
      <c r="G438" s="1" t="s">
        <v>56</v>
      </c>
      <c r="H438" s="1" t="s">
        <v>57</v>
      </c>
      <c r="I438" s="1" t="s">
        <v>58</v>
      </c>
      <c r="J438" s="1" t="s">
        <v>35</v>
      </c>
      <c r="K438" s="1" t="s">
        <v>60</v>
      </c>
      <c r="L438" s="1" t="s">
        <v>136</v>
      </c>
      <c r="M438" s="1" t="s">
        <v>50</v>
      </c>
      <c r="N438" s="1" t="n">
        <v>12999</v>
      </c>
      <c r="O438" s="1" t="n">
        <v>10</v>
      </c>
      <c r="P438" s="1" t="n">
        <v>1299.9</v>
      </c>
      <c r="Q438" s="1" t="n">
        <v>11699.1</v>
      </c>
      <c r="R438" s="1" t="n">
        <v>2105.84</v>
      </c>
      <c r="S438" s="1" t="n">
        <v>9593.26</v>
      </c>
      <c r="T438" s="1" t="n">
        <v>4098.05</v>
      </c>
      <c r="U438" s="1" t="n">
        <v>5495.21</v>
      </c>
      <c r="V438" s="1" t="n">
        <v>57.28</v>
      </c>
      <c r="W438" s="1" t="s">
        <v>40</v>
      </c>
      <c r="Y438" s="1" t="s">
        <v>40</v>
      </c>
      <c r="Z438" s="1" t="n">
        <v>0</v>
      </c>
    </row>
    <row r="439" customFormat="false" ht="15" hidden="false" customHeight="true" outlineLevel="0" collapsed="false">
      <c r="A439" s="1" t="s">
        <v>927</v>
      </c>
      <c r="B439" s="1" t="s">
        <v>928</v>
      </c>
      <c r="C439" s="1" t="s">
        <v>264</v>
      </c>
      <c r="D439" s="1" t="s">
        <v>53</v>
      </c>
      <c r="E439" s="1" t="s">
        <v>216</v>
      </c>
      <c r="F439" s="1" t="s">
        <v>187</v>
      </c>
      <c r="G439" s="1" t="s">
        <v>97</v>
      </c>
      <c r="H439" s="1" t="s">
        <v>69</v>
      </c>
      <c r="I439" s="1" t="s">
        <v>83</v>
      </c>
      <c r="J439" s="1" t="s">
        <v>35</v>
      </c>
      <c r="K439" s="1" t="s">
        <v>36</v>
      </c>
      <c r="L439" s="1" t="s">
        <v>85</v>
      </c>
      <c r="M439" s="1" t="s">
        <v>38</v>
      </c>
      <c r="N439" s="1" t="n">
        <v>7499</v>
      </c>
      <c r="O439" s="1" t="n">
        <v>0</v>
      </c>
      <c r="P439" s="1" t="n">
        <v>0</v>
      </c>
      <c r="Q439" s="1" t="n">
        <v>7499</v>
      </c>
      <c r="R439" s="1" t="n">
        <v>1349.82</v>
      </c>
      <c r="S439" s="1" t="n">
        <v>6149.18</v>
      </c>
      <c r="T439" s="1" t="n">
        <v>2541.02</v>
      </c>
      <c r="U439" s="1" t="n">
        <v>3608.16</v>
      </c>
      <c r="V439" s="1" t="n">
        <v>58.68</v>
      </c>
      <c r="W439" s="1" t="s">
        <v>40</v>
      </c>
      <c r="Y439" s="1" t="s">
        <v>40</v>
      </c>
      <c r="Z439" s="1" t="n">
        <v>2</v>
      </c>
    </row>
    <row r="440" customFormat="false" ht="15" hidden="false" customHeight="true" outlineLevel="0" collapsed="false">
      <c r="A440" s="1" t="s">
        <v>929</v>
      </c>
      <c r="B440" s="1" t="s">
        <v>515</v>
      </c>
      <c r="C440" s="1" t="s">
        <v>178</v>
      </c>
      <c r="D440" s="1" t="s">
        <v>53</v>
      </c>
      <c r="E440" s="1" t="s">
        <v>54</v>
      </c>
      <c r="F440" s="1" t="s">
        <v>96</v>
      </c>
      <c r="G440" s="1" t="s">
        <v>97</v>
      </c>
      <c r="H440" s="1" t="s">
        <v>69</v>
      </c>
      <c r="I440" s="1" t="s">
        <v>58</v>
      </c>
      <c r="J440" s="1" t="s">
        <v>77</v>
      </c>
      <c r="K440" s="1" t="s">
        <v>48</v>
      </c>
      <c r="L440" s="1" t="s">
        <v>136</v>
      </c>
      <c r="M440" s="1" t="s">
        <v>50</v>
      </c>
      <c r="N440" s="1" t="n">
        <v>11999</v>
      </c>
      <c r="O440" s="1" t="n">
        <v>10</v>
      </c>
      <c r="P440" s="1" t="n">
        <v>1199.9</v>
      </c>
      <c r="Q440" s="1" t="n">
        <v>10799.1</v>
      </c>
      <c r="R440" s="1" t="n">
        <v>1943.84</v>
      </c>
      <c r="S440" s="1" t="n">
        <v>8855.26</v>
      </c>
      <c r="T440" s="1" t="n">
        <v>3580.77</v>
      </c>
      <c r="U440" s="1" t="n">
        <v>5274.49</v>
      </c>
      <c r="V440" s="1" t="n">
        <v>59.56</v>
      </c>
      <c r="W440" s="1" t="s">
        <v>39</v>
      </c>
      <c r="X440" s="1" t="n">
        <v>3.4</v>
      </c>
      <c r="Y440" s="1" t="s">
        <v>40</v>
      </c>
      <c r="Z440" s="1" t="n">
        <v>0</v>
      </c>
    </row>
    <row r="441" customFormat="false" ht="15" hidden="false" customHeight="true" outlineLevel="0" collapsed="false">
      <c r="A441" s="1" t="s">
        <v>930</v>
      </c>
      <c r="B441" s="1" t="s">
        <v>207</v>
      </c>
      <c r="C441" s="1" t="s">
        <v>134</v>
      </c>
      <c r="D441" s="1" t="s">
        <v>29</v>
      </c>
      <c r="E441" s="1" t="s">
        <v>129</v>
      </c>
      <c r="F441" s="1" t="s">
        <v>55</v>
      </c>
      <c r="G441" s="1" t="s">
        <v>56</v>
      </c>
      <c r="H441" s="1" t="s">
        <v>57</v>
      </c>
      <c r="I441" s="1" t="s">
        <v>58</v>
      </c>
      <c r="J441" s="1" t="s">
        <v>70</v>
      </c>
      <c r="K441" s="1" t="s">
        <v>48</v>
      </c>
      <c r="L441" s="1" t="s">
        <v>113</v>
      </c>
      <c r="M441" s="1" t="s">
        <v>50</v>
      </c>
      <c r="N441" s="1" t="n">
        <v>29999</v>
      </c>
      <c r="O441" s="1" t="n">
        <v>50</v>
      </c>
      <c r="P441" s="1" t="n">
        <v>14999.5</v>
      </c>
      <c r="Q441" s="1" t="n">
        <v>14999.5</v>
      </c>
      <c r="R441" s="1" t="n">
        <v>2699.91</v>
      </c>
      <c r="S441" s="1" t="n">
        <v>12299.59</v>
      </c>
      <c r="T441" s="1" t="n">
        <v>5215.78</v>
      </c>
      <c r="U441" s="1" t="n">
        <v>7083.81</v>
      </c>
      <c r="V441" s="1" t="n">
        <v>57.59</v>
      </c>
      <c r="W441" s="1" t="s">
        <v>39</v>
      </c>
      <c r="X441" s="1" t="n">
        <v>4</v>
      </c>
      <c r="Y441" s="1" t="s">
        <v>40</v>
      </c>
      <c r="Z441" s="1" t="n">
        <v>0</v>
      </c>
    </row>
    <row r="442" customFormat="false" ht="15" hidden="false" customHeight="true" outlineLevel="0" collapsed="false">
      <c r="A442" s="1" t="s">
        <v>931</v>
      </c>
      <c r="B442" s="1" t="s">
        <v>470</v>
      </c>
      <c r="C442" s="1" t="s">
        <v>88</v>
      </c>
      <c r="D442" s="1" t="s">
        <v>94</v>
      </c>
      <c r="E442" s="1" t="s">
        <v>135</v>
      </c>
      <c r="F442" s="1" t="s">
        <v>31</v>
      </c>
      <c r="G442" s="1" t="s">
        <v>32</v>
      </c>
      <c r="H442" s="1" t="s">
        <v>33</v>
      </c>
      <c r="I442" s="1" t="s">
        <v>34</v>
      </c>
      <c r="J442" s="1" t="s">
        <v>77</v>
      </c>
      <c r="K442" s="1" t="s">
        <v>71</v>
      </c>
      <c r="L442" s="1" t="s">
        <v>113</v>
      </c>
      <c r="M442" s="1" t="s">
        <v>38</v>
      </c>
      <c r="N442" s="1" t="n">
        <v>9999</v>
      </c>
      <c r="O442" s="1" t="n">
        <v>25</v>
      </c>
      <c r="P442" s="1" t="n">
        <v>2499.75</v>
      </c>
      <c r="Q442" s="1" t="n">
        <v>7499.25</v>
      </c>
      <c r="R442" s="1" t="n">
        <v>1349.87</v>
      </c>
      <c r="S442" s="1" t="n">
        <v>6149.38</v>
      </c>
      <c r="T442" s="1" t="n">
        <v>2823.63</v>
      </c>
      <c r="U442" s="1" t="n">
        <v>3325.75</v>
      </c>
      <c r="V442" s="1" t="n">
        <v>54.08</v>
      </c>
      <c r="W442" s="1" t="s">
        <v>40</v>
      </c>
      <c r="Y442" s="1" t="s">
        <v>40</v>
      </c>
      <c r="Z442" s="1" t="n">
        <v>0</v>
      </c>
    </row>
    <row r="443" customFormat="false" ht="15" hidden="false" customHeight="true" outlineLevel="0" collapsed="false">
      <c r="A443" s="1" t="s">
        <v>932</v>
      </c>
      <c r="B443" s="1" t="s">
        <v>933</v>
      </c>
      <c r="C443" s="1" t="s">
        <v>249</v>
      </c>
      <c r="D443" s="1" t="s">
        <v>29</v>
      </c>
      <c r="E443" s="1" t="s">
        <v>182</v>
      </c>
      <c r="F443" s="1" t="s">
        <v>82</v>
      </c>
      <c r="G443" s="1" t="s">
        <v>56</v>
      </c>
      <c r="H443" s="1" t="s">
        <v>69</v>
      </c>
      <c r="I443" s="1" t="s">
        <v>58</v>
      </c>
      <c r="J443" s="1" t="s">
        <v>70</v>
      </c>
      <c r="K443" s="1" t="s">
        <v>71</v>
      </c>
      <c r="L443" s="1" t="s">
        <v>37</v>
      </c>
      <c r="M443" s="1" t="s">
        <v>38</v>
      </c>
      <c r="N443" s="1" t="n">
        <v>34999</v>
      </c>
      <c r="O443" s="1" t="n">
        <v>25</v>
      </c>
      <c r="P443" s="1" t="n">
        <v>8749.75</v>
      </c>
      <c r="Q443" s="1" t="n">
        <v>26249.25</v>
      </c>
      <c r="R443" s="1" t="n">
        <v>4724.86</v>
      </c>
      <c r="S443" s="1" t="n">
        <v>21524.39</v>
      </c>
      <c r="T443" s="1" t="n">
        <v>8293.77</v>
      </c>
      <c r="U443" s="1" t="n">
        <v>13230.62</v>
      </c>
      <c r="V443" s="1" t="n">
        <v>61.47</v>
      </c>
      <c r="W443" s="1" t="s">
        <v>39</v>
      </c>
      <c r="X443" s="1" t="n">
        <v>3.4</v>
      </c>
      <c r="Y443" s="1" t="s">
        <v>40</v>
      </c>
      <c r="Z443" s="1" t="n">
        <v>0</v>
      </c>
    </row>
    <row r="444" customFormat="false" ht="15" hidden="false" customHeight="true" outlineLevel="0" collapsed="false">
      <c r="A444" s="1" t="s">
        <v>934</v>
      </c>
      <c r="B444" s="1" t="s">
        <v>928</v>
      </c>
      <c r="C444" s="1" t="s">
        <v>65</v>
      </c>
      <c r="D444" s="1" t="s">
        <v>44</v>
      </c>
      <c r="E444" s="1" t="s">
        <v>66</v>
      </c>
      <c r="F444" s="1" t="s">
        <v>55</v>
      </c>
      <c r="G444" s="1" t="s">
        <v>56</v>
      </c>
      <c r="H444" s="1" t="s">
        <v>57</v>
      </c>
      <c r="I444" s="1" t="s">
        <v>34</v>
      </c>
      <c r="J444" s="1" t="s">
        <v>70</v>
      </c>
      <c r="K444" s="1" t="s">
        <v>60</v>
      </c>
      <c r="L444" s="1" t="s">
        <v>37</v>
      </c>
      <c r="M444" s="1" t="s">
        <v>50</v>
      </c>
      <c r="N444" s="1" t="n">
        <v>12999</v>
      </c>
      <c r="O444" s="1" t="n">
        <v>40</v>
      </c>
      <c r="P444" s="1" t="n">
        <v>5199.6</v>
      </c>
      <c r="Q444" s="1" t="n">
        <v>7799.4</v>
      </c>
      <c r="R444" s="1" t="n">
        <v>1403.89</v>
      </c>
      <c r="S444" s="1" t="n">
        <v>6395.51</v>
      </c>
      <c r="T444" s="1" t="n">
        <v>3495.83</v>
      </c>
      <c r="U444" s="1" t="n">
        <v>2899.68</v>
      </c>
      <c r="V444" s="1" t="n">
        <v>45.34</v>
      </c>
      <c r="W444" s="1" t="s">
        <v>39</v>
      </c>
      <c r="X444" s="1" t="n">
        <v>4.6</v>
      </c>
      <c r="Y444" s="1" t="s">
        <v>40</v>
      </c>
      <c r="Z444" s="1" t="n">
        <v>0</v>
      </c>
    </row>
    <row r="445" customFormat="false" ht="15" hidden="false" customHeight="true" outlineLevel="0" collapsed="false">
      <c r="A445" s="1" t="s">
        <v>935</v>
      </c>
      <c r="B445" s="1" t="s">
        <v>936</v>
      </c>
      <c r="C445" s="1" t="s">
        <v>128</v>
      </c>
      <c r="D445" s="1" t="s">
        <v>44</v>
      </c>
      <c r="E445" s="1" t="s">
        <v>66</v>
      </c>
      <c r="F445" s="1" t="s">
        <v>55</v>
      </c>
      <c r="G445" s="1" t="s">
        <v>56</v>
      </c>
      <c r="H445" s="1" t="s">
        <v>57</v>
      </c>
      <c r="I445" s="1" t="s">
        <v>58</v>
      </c>
      <c r="J445" s="1" t="s">
        <v>59</v>
      </c>
      <c r="K445" s="1" t="s">
        <v>104</v>
      </c>
      <c r="L445" s="1" t="s">
        <v>136</v>
      </c>
      <c r="M445" s="1" t="s">
        <v>62</v>
      </c>
      <c r="N445" s="1" t="n">
        <v>12999</v>
      </c>
      <c r="O445" s="1" t="n">
        <v>50</v>
      </c>
      <c r="P445" s="1" t="n">
        <v>6499.5</v>
      </c>
      <c r="Q445" s="1" t="n">
        <v>6499.5</v>
      </c>
      <c r="R445" s="1" t="n">
        <v>1169.91</v>
      </c>
      <c r="S445" s="1" t="n">
        <v>5329.59</v>
      </c>
      <c r="T445" s="1" t="n">
        <v>3227.05</v>
      </c>
      <c r="U445" s="1" t="n">
        <v>2102.54</v>
      </c>
      <c r="V445" s="1" t="n">
        <v>39.45</v>
      </c>
      <c r="W445" s="1" t="s">
        <v>39</v>
      </c>
      <c r="X445" s="1" t="n">
        <v>3.6</v>
      </c>
      <c r="Y445" s="1" t="s">
        <v>40</v>
      </c>
      <c r="Z445" s="1" t="n">
        <v>0</v>
      </c>
    </row>
    <row r="446" customFormat="false" ht="15" hidden="false" customHeight="true" outlineLevel="0" collapsed="false">
      <c r="A446" s="1" t="s">
        <v>937</v>
      </c>
      <c r="B446" s="1" t="s">
        <v>73</v>
      </c>
      <c r="C446" s="1" t="s">
        <v>264</v>
      </c>
      <c r="D446" s="1" t="s">
        <v>29</v>
      </c>
      <c r="E446" s="1" t="s">
        <v>182</v>
      </c>
      <c r="F446" s="1" t="s">
        <v>96</v>
      </c>
      <c r="G446" s="1" t="s">
        <v>97</v>
      </c>
      <c r="H446" s="1" t="s">
        <v>69</v>
      </c>
      <c r="I446" s="1" t="s">
        <v>58</v>
      </c>
      <c r="J446" s="1" t="s">
        <v>70</v>
      </c>
      <c r="K446" s="1" t="s">
        <v>36</v>
      </c>
      <c r="L446" s="1" t="s">
        <v>85</v>
      </c>
      <c r="M446" s="1" t="s">
        <v>50</v>
      </c>
      <c r="N446" s="1" t="n">
        <v>34999</v>
      </c>
      <c r="O446" s="1" t="n">
        <v>0</v>
      </c>
      <c r="P446" s="1" t="n">
        <v>0</v>
      </c>
      <c r="Q446" s="1" t="n">
        <v>34999</v>
      </c>
      <c r="R446" s="1" t="n">
        <v>6299.82</v>
      </c>
      <c r="S446" s="1" t="n">
        <v>28699.18</v>
      </c>
      <c r="T446" s="1" t="n">
        <v>9806.76</v>
      </c>
      <c r="U446" s="1" t="n">
        <v>18892.42</v>
      </c>
      <c r="V446" s="1" t="n">
        <v>65.83</v>
      </c>
      <c r="W446" s="1" t="s">
        <v>39</v>
      </c>
      <c r="X446" s="1" t="n">
        <v>3.9</v>
      </c>
      <c r="Y446" s="1" t="s">
        <v>40</v>
      </c>
      <c r="Z446" s="1" t="n">
        <v>0</v>
      </c>
    </row>
    <row r="447" customFormat="false" ht="15" hidden="false" customHeight="true" outlineLevel="0" collapsed="false">
      <c r="A447" s="1" t="s">
        <v>938</v>
      </c>
      <c r="B447" s="1" t="s">
        <v>939</v>
      </c>
      <c r="C447" s="1" t="s">
        <v>249</v>
      </c>
      <c r="D447" s="1" t="s">
        <v>168</v>
      </c>
      <c r="E447" s="1" t="s">
        <v>172</v>
      </c>
      <c r="F447" s="1" t="s">
        <v>55</v>
      </c>
      <c r="G447" s="1" t="s">
        <v>56</v>
      </c>
      <c r="H447" s="1" t="s">
        <v>57</v>
      </c>
      <c r="I447" s="1" t="s">
        <v>83</v>
      </c>
      <c r="J447" s="1" t="s">
        <v>35</v>
      </c>
      <c r="K447" s="1" t="s">
        <v>112</v>
      </c>
      <c r="L447" s="1" t="s">
        <v>61</v>
      </c>
      <c r="M447" s="1" t="s">
        <v>38</v>
      </c>
      <c r="N447" s="1" t="n">
        <v>6999</v>
      </c>
      <c r="O447" s="1" t="n">
        <v>10</v>
      </c>
      <c r="P447" s="1" t="n">
        <v>699.9</v>
      </c>
      <c r="Q447" s="1" t="n">
        <v>6299.1</v>
      </c>
      <c r="R447" s="1" t="n">
        <v>1133.84</v>
      </c>
      <c r="S447" s="1" t="n">
        <v>5165.26</v>
      </c>
      <c r="T447" s="1" t="n">
        <v>1951.45</v>
      </c>
      <c r="U447" s="1" t="n">
        <v>3213.81</v>
      </c>
      <c r="V447" s="1" t="n">
        <v>62.22</v>
      </c>
      <c r="W447" s="1" t="s">
        <v>40</v>
      </c>
      <c r="Y447" s="1" t="s">
        <v>40</v>
      </c>
      <c r="Z447" s="1" t="n">
        <v>0</v>
      </c>
    </row>
    <row r="448" customFormat="false" ht="15" hidden="false" customHeight="true" outlineLevel="0" collapsed="false">
      <c r="A448" s="1" t="s">
        <v>940</v>
      </c>
      <c r="B448" s="1" t="s">
        <v>382</v>
      </c>
      <c r="C448" s="1" t="s">
        <v>74</v>
      </c>
      <c r="D448" s="1" t="s">
        <v>44</v>
      </c>
      <c r="E448" s="1" t="s">
        <v>45</v>
      </c>
      <c r="F448" s="1" t="s">
        <v>75</v>
      </c>
      <c r="G448" s="1" t="s">
        <v>76</v>
      </c>
      <c r="H448" s="1" t="s">
        <v>69</v>
      </c>
      <c r="I448" s="1" t="s">
        <v>34</v>
      </c>
      <c r="J448" s="1" t="s">
        <v>131</v>
      </c>
      <c r="K448" s="1" t="s">
        <v>104</v>
      </c>
      <c r="L448" s="1" t="s">
        <v>37</v>
      </c>
      <c r="M448" s="1" t="s">
        <v>62</v>
      </c>
      <c r="N448" s="1" t="n">
        <v>11999</v>
      </c>
      <c r="O448" s="1" t="n">
        <v>0</v>
      </c>
      <c r="P448" s="1" t="n">
        <v>0</v>
      </c>
      <c r="Q448" s="1" t="n">
        <v>11999</v>
      </c>
      <c r="R448" s="1" t="n">
        <v>2159.82</v>
      </c>
      <c r="S448" s="1" t="n">
        <v>9839.18</v>
      </c>
      <c r="T448" s="1" t="n">
        <v>4054.35</v>
      </c>
      <c r="U448" s="1" t="n">
        <v>5784.83</v>
      </c>
      <c r="V448" s="1" t="n">
        <v>58.79</v>
      </c>
      <c r="W448" s="1" t="s">
        <v>40</v>
      </c>
      <c r="Y448" s="1" t="s">
        <v>40</v>
      </c>
      <c r="Z448" s="1" t="n">
        <v>1</v>
      </c>
    </row>
    <row r="449" customFormat="false" ht="15" hidden="false" customHeight="true" outlineLevel="0" collapsed="false">
      <c r="A449" s="1" t="s">
        <v>941</v>
      </c>
      <c r="B449" s="1" t="s">
        <v>942</v>
      </c>
      <c r="C449" s="1" t="s">
        <v>139</v>
      </c>
      <c r="D449" s="1" t="s">
        <v>44</v>
      </c>
      <c r="E449" s="1" t="s">
        <v>45</v>
      </c>
      <c r="F449" s="1" t="s">
        <v>244</v>
      </c>
      <c r="G449" s="1" t="s">
        <v>97</v>
      </c>
      <c r="H449" s="1" t="s">
        <v>57</v>
      </c>
      <c r="I449" s="1" t="s">
        <v>83</v>
      </c>
      <c r="J449" s="1" t="s">
        <v>77</v>
      </c>
      <c r="K449" s="1" t="s">
        <v>112</v>
      </c>
      <c r="L449" s="1" t="s">
        <v>49</v>
      </c>
      <c r="M449" s="1" t="s">
        <v>50</v>
      </c>
      <c r="N449" s="1" t="n">
        <v>11999</v>
      </c>
      <c r="O449" s="1" t="n">
        <v>10</v>
      </c>
      <c r="P449" s="1" t="n">
        <v>1199.9</v>
      </c>
      <c r="Q449" s="1" t="n">
        <v>10799.1</v>
      </c>
      <c r="R449" s="1" t="n">
        <v>1943.84</v>
      </c>
      <c r="S449" s="1" t="n">
        <v>8855.26</v>
      </c>
      <c r="T449" s="1" t="n">
        <v>4437.98</v>
      </c>
      <c r="U449" s="1" t="n">
        <v>4417.28</v>
      </c>
      <c r="V449" s="1" t="n">
        <v>49.88</v>
      </c>
      <c r="W449" s="1" t="s">
        <v>39</v>
      </c>
      <c r="X449" s="1" t="n">
        <v>3.5</v>
      </c>
      <c r="Y449" s="1" t="s">
        <v>40</v>
      </c>
      <c r="Z449" s="1" t="n">
        <v>1</v>
      </c>
    </row>
    <row r="450" customFormat="false" ht="15" hidden="false" customHeight="true" outlineLevel="0" collapsed="false">
      <c r="A450" s="1" t="s">
        <v>943</v>
      </c>
      <c r="B450" s="1" t="s">
        <v>489</v>
      </c>
      <c r="C450" s="1" t="s">
        <v>74</v>
      </c>
      <c r="D450" s="1" t="s">
        <v>29</v>
      </c>
      <c r="E450" s="1" t="s">
        <v>305</v>
      </c>
      <c r="F450" s="1" t="s">
        <v>107</v>
      </c>
      <c r="G450" s="1" t="s">
        <v>108</v>
      </c>
      <c r="H450" s="1" t="s">
        <v>33</v>
      </c>
      <c r="I450" s="1" t="s">
        <v>34</v>
      </c>
      <c r="J450" s="1" t="s">
        <v>131</v>
      </c>
      <c r="K450" s="1" t="s">
        <v>60</v>
      </c>
      <c r="L450" s="1" t="s">
        <v>85</v>
      </c>
      <c r="M450" s="1" t="s">
        <v>62</v>
      </c>
      <c r="N450" s="1" t="n">
        <v>24999</v>
      </c>
      <c r="O450" s="1" t="n">
        <v>15</v>
      </c>
      <c r="P450" s="1" t="n">
        <v>3749.85</v>
      </c>
      <c r="Q450" s="1" t="n">
        <v>21249.15</v>
      </c>
      <c r="R450" s="1" t="n">
        <v>3824.85</v>
      </c>
      <c r="S450" s="1" t="n">
        <v>17424.3</v>
      </c>
      <c r="T450" s="1" t="n">
        <v>7403.09</v>
      </c>
      <c r="U450" s="1" t="n">
        <v>10021.21</v>
      </c>
      <c r="V450" s="1" t="n">
        <v>57.51</v>
      </c>
      <c r="W450" s="1" t="s">
        <v>40</v>
      </c>
      <c r="Y450" s="1" t="s">
        <v>40</v>
      </c>
      <c r="Z450" s="1" t="n">
        <v>2</v>
      </c>
    </row>
    <row r="451" customFormat="false" ht="15" hidden="false" customHeight="true" outlineLevel="0" collapsed="false">
      <c r="A451" s="1" t="s">
        <v>944</v>
      </c>
      <c r="B451" s="1" t="s">
        <v>945</v>
      </c>
      <c r="C451" s="1" t="s">
        <v>28</v>
      </c>
      <c r="D451" s="1" t="s">
        <v>53</v>
      </c>
      <c r="E451" s="1" t="s">
        <v>116</v>
      </c>
      <c r="F451" s="1" t="s">
        <v>89</v>
      </c>
      <c r="G451" s="1" t="s">
        <v>68</v>
      </c>
      <c r="H451" s="1" t="s">
        <v>33</v>
      </c>
      <c r="I451" s="1" t="s">
        <v>83</v>
      </c>
      <c r="J451" s="1" t="s">
        <v>131</v>
      </c>
      <c r="K451" s="1" t="s">
        <v>36</v>
      </c>
      <c r="L451" s="1" t="s">
        <v>49</v>
      </c>
      <c r="M451" s="1" t="s">
        <v>50</v>
      </c>
      <c r="N451" s="1" t="n">
        <v>9999</v>
      </c>
      <c r="O451" s="1" t="n">
        <v>15</v>
      </c>
      <c r="P451" s="1" t="n">
        <v>1499.85</v>
      </c>
      <c r="Q451" s="1" t="n">
        <v>8499.15</v>
      </c>
      <c r="R451" s="1" t="n">
        <v>1529.85</v>
      </c>
      <c r="S451" s="1" t="n">
        <v>6969.3</v>
      </c>
      <c r="T451" s="1" t="n">
        <v>3220.17</v>
      </c>
      <c r="U451" s="1" t="n">
        <v>3749.13</v>
      </c>
      <c r="V451" s="1" t="n">
        <v>53.79</v>
      </c>
      <c r="W451" s="1" t="s">
        <v>39</v>
      </c>
      <c r="X451" s="1" t="n">
        <v>3.8</v>
      </c>
      <c r="Y451" s="1" t="s">
        <v>40</v>
      </c>
      <c r="Z451" s="1" t="n">
        <v>0</v>
      </c>
    </row>
    <row r="452" customFormat="false" ht="15" hidden="false" customHeight="true" outlineLevel="0" collapsed="false">
      <c r="A452" s="1" t="s">
        <v>946</v>
      </c>
      <c r="B452" s="1" t="s">
        <v>947</v>
      </c>
      <c r="C452" s="1" t="s">
        <v>93</v>
      </c>
      <c r="D452" s="1" t="s">
        <v>29</v>
      </c>
      <c r="E452" s="1" t="s">
        <v>30</v>
      </c>
      <c r="F452" s="1" t="s">
        <v>187</v>
      </c>
      <c r="G452" s="1" t="s">
        <v>97</v>
      </c>
      <c r="H452" s="1" t="s">
        <v>69</v>
      </c>
      <c r="I452" s="1" t="s">
        <v>58</v>
      </c>
      <c r="J452" s="1" t="s">
        <v>59</v>
      </c>
      <c r="K452" s="1" t="s">
        <v>48</v>
      </c>
      <c r="L452" s="1" t="s">
        <v>136</v>
      </c>
      <c r="M452" s="1" t="s">
        <v>50</v>
      </c>
      <c r="N452" s="1" t="n">
        <v>7999</v>
      </c>
      <c r="O452" s="1" t="n">
        <v>25</v>
      </c>
      <c r="P452" s="1" t="n">
        <v>1999.75</v>
      </c>
      <c r="Q452" s="1" t="n">
        <v>5999.25</v>
      </c>
      <c r="R452" s="1" t="n">
        <v>1079.87</v>
      </c>
      <c r="S452" s="1" t="n">
        <v>4919.38</v>
      </c>
      <c r="T452" s="1" t="n">
        <v>1925.95</v>
      </c>
      <c r="U452" s="1" t="n">
        <v>2993.43</v>
      </c>
      <c r="V452" s="1" t="n">
        <v>60.85</v>
      </c>
      <c r="W452" s="1" t="s">
        <v>40</v>
      </c>
      <c r="Y452" s="1" t="s">
        <v>40</v>
      </c>
      <c r="Z452" s="1" t="n">
        <v>0</v>
      </c>
    </row>
    <row r="453" customFormat="false" ht="15" hidden="false" customHeight="true" outlineLevel="0" collapsed="false">
      <c r="A453" s="1" t="s">
        <v>948</v>
      </c>
      <c r="B453" s="1" t="s">
        <v>115</v>
      </c>
      <c r="C453" s="1" t="s">
        <v>119</v>
      </c>
      <c r="D453" s="1" t="s">
        <v>53</v>
      </c>
      <c r="E453" s="1" t="s">
        <v>54</v>
      </c>
      <c r="F453" s="1" t="s">
        <v>211</v>
      </c>
      <c r="G453" s="1" t="s">
        <v>56</v>
      </c>
      <c r="H453" s="1" t="s">
        <v>69</v>
      </c>
      <c r="I453" s="1" t="s">
        <v>34</v>
      </c>
      <c r="J453" s="1" t="s">
        <v>35</v>
      </c>
      <c r="K453" s="1" t="s">
        <v>104</v>
      </c>
      <c r="L453" s="1" t="s">
        <v>136</v>
      </c>
      <c r="M453" s="1" t="s">
        <v>62</v>
      </c>
      <c r="N453" s="1" t="n">
        <v>11999</v>
      </c>
      <c r="O453" s="1" t="n">
        <v>15</v>
      </c>
      <c r="P453" s="1" t="n">
        <v>1799.85</v>
      </c>
      <c r="Q453" s="1" t="n">
        <v>10199.15</v>
      </c>
      <c r="R453" s="1" t="n">
        <v>1835.85</v>
      </c>
      <c r="S453" s="1" t="n">
        <v>8363.3</v>
      </c>
      <c r="T453" s="1" t="n">
        <v>4116.39</v>
      </c>
      <c r="U453" s="1" t="n">
        <v>4246.91</v>
      </c>
      <c r="V453" s="1" t="n">
        <v>50.78</v>
      </c>
      <c r="W453" s="1" t="s">
        <v>39</v>
      </c>
      <c r="X453" s="1" t="n">
        <v>4.2</v>
      </c>
      <c r="Y453" s="1" t="s">
        <v>40</v>
      </c>
      <c r="Z453" s="1" t="n">
        <v>0</v>
      </c>
    </row>
    <row r="454" customFormat="false" ht="15" hidden="false" customHeight="true" outlineLevel="0" collapsed="false">
      <c r="A454" s="1" t="s">
        <v>949</v>
      </c>
      <c r="B454" s="1" t="s">
        <v>764</v>
      </c>
      <c r="C454" s="1" t="s">
        <v>88</v>
      </c>
      <c r="D454" s="1" t="s">
        <v>143</v>
      </c>
      <c r="E454" s="1" t="s">
        <v>144</v>
      </c>
      <c r="F454" s="1" t="s">
        <v>125</v>
      </c>
      <c r="G454" s="1" t="s">
        <v>108</v>
      </c>
      <c r="H454" s="1" t="s">
        <v>69</v>
      </c>
      <c r="I454" s="1" t="s">
        <v>34</v>
      </c>
      <c r="J454" s="1" t="s">
        <v>70</v>
      </c>
      <c r="K454" s="1" t="s">
        <v>60</v>
      </c>
      <c r="L454" s="1" t="s">
        <v>61</v>
      </c>
      <c r="M454" s="1" t="s">
        <v>50</v>
      </c>
      <c r="N454" s="1" t="n">
        <v>12999</v>
      </c>
      <c r="O454" s="1" t="n">
        <v>15</v>
      </c>
      <c r="P454" s="1" t="n">
        <v>1949.85</v>
      </c>
      <c r="Q454" s="1" t="n">
        <v>11049.15</v>
      </c>
      <c r="R454" s="1" t="n">
        <v>1988.85</v>
      </c>
      <c r="S454" s="1" t="n">
        <v>9060.3</v>
      </c>
      <c r="T454" s="1" t="n">
        <v>3668.51</v>
      </c>
      <c r="U454" s="1" t="n">
        <v>5391.79</v>
      </c>
      <c r="V454" s="1" t="n">
        <v>59.51</v>
      </c>
      <c r="W454" s="1" t="s">
        <v>39</v>
      </c>
      <c r="X454" s="1" t="n">
        <v>3.8</v>
      </c>
      <c r="Y454" s="1" t="s">
        <v>40</v>
      </c>
      <c r="Z454" s="1" t="n">
        <v>1</v>
      </c>
    </row>
    <row r="455" customFormat="false" ht="15" hidden="false" customHeight="true" outlineLevel="0" collapsed="false">
      <c r="A455" s="1" t="s">
        <v>950</v>
      </c>
      <c r="B455" s="1" t="s">
        <v>376</v>
      </c>
      <c r="C455" s="1" t="s">
        <v>100</v>
      </c>
      <c r="D455" s="1" t="s">
        <v>80</v>
      </c>
      <c r="E455" s="1" t="s">
        <v>175</v>
      </c>
      <c r="F455" s="1" t="s">
        <v>107</v>
      </c>
      <c r="G455" s="1" t="s">
        <v>108</v>
      </c>
      <c r="H455" s="1" t="s">
        <v>33</v>
      </c>
      <c r="I455" s="1" t="s">
        <v>34</v>
      </c>
      <c r="J455" s="1" t="s">
        <v>77</v>
      </c>
      <c r="K455" s="1" t="s">
        <v>84</v>
      </c>
      <c r="L455" s="1" t="s">
        <v>37</v>
      </c>
      <c r="M455" s="1" t="s">
        <v>50</v>
      </c>
      <c r="N455" s="1" t="n">
        <v>19999</v>
      </c>
      <c r="O455" s="1" t="n">
        <v>15</v>
      </c>
      <c r="P455" s="1" t="n">
        <v>2999.85</v>
      </c>
      <c r="Q455" s="1" t="n">
        <v>16999.15</v>
      </c>
      <c r="R455" s="1" t="n">
        <v>3059.85</v>
      </c>
      <c r="S455" s="1" t="n">
        <v>13939.3</v>
      </c>
      <c r="T455" s="1" t="n">
        <v>5817.09</v>
      </c>
      <c r="U455" s="1" t="n">
        <v>8122.21</v>
      </c>
      <c r="V455" s="1" t="n">
        <v>58.27</v>
      </c>
      <c r="W455" s="1" t="s">
        <v>40</v>
      </c>
      <c r="Y455" s="1" t="s">
        <v>40</v>
      </c>
      <c r="Z455" s="1" t="n">
        <v>1</v>
      </c>
    </row>
    <row r="456" customFormat="false" ht="15" hidden="false" customHeight="true" outlineLevel="0" collapsed="false">
      <c r="A456" s="1" t="s">
        <v>951</v>
      </c>
      <c r="B456" s="1" t="s">
        <v>952</v>
      </c>
      <c r="C456" s="1" t="s">
        <v>167</v>
      </c>
      <c r="D456" s="1" t="s">
        <v>29</v>
      </c>
      <c r="E456" s="1" t="s">
        <v>129</v>
      </c>
      <c r="F456" s="1" t="s">
        <v>140</v>
      </c>
      <c r="G456" s="1" t="s">
        <v>97</v>
      </c>
      <c r="H456" s="1" t="s">
        <v>57</v>
      </c>
      <c r="I456" s="1" t="s">
        <v>58</v>
      </c>
      <c r="J456" s="1" t="s">
        <v>59</v>
      </c>
      <c r="K456" s="1" t="s">
        <v>112</v>
      </c>
      <c r="L456" s="1" t="s">
        <v>61</v>
      </c>
      <c r="M456" s="1" t="s">
        <v>50</v>
      </c>
      <c r="N456" s="1" t="n">
        <v>29999</v>
      </c>
      <c r="O456" s="1" t="n">
        <v>5</v>
      </c>
      <c r="P456" s="1" t="n">
        <v>1499.95</v>
      </c>
      <c r="Q456" s="1" t="n">
        <v>28499.05</v>
      </c>
      <c r="R456" s="1" t="n">
        <v>5129.83</v>
      </c>
      <c r="S456" s="1" t="n">
        <v>23369.22</v>
      </c>
      <c r="T456" s="1" t="n">
        <v>11015.14</v>
      </c>
      <c r="U456" s="1" t="n">
        <v>12354.08</v>
      </c>
      <c r="V456" s="1" t="n">
        <v>52.86</v>
      </c>
      <c r="W456" s="1" t="s">
        <v>39</v>
      </c>
      <c r="X456" s="1" t="n">
        <v>3.2</v>
      </c>
      <c r="Y456" s="1" t="s">
        <v>40</v>
      </c>
      <c r="Z456" s="1" t="n">
        <v>0</v>
      </c>
    </row>
    <row r="457" customFormat="false" ht="15" hidden="false" customHeight="true" outlineLevel="0" collapsed="false">
      <c r="A457" s="1" t="s">
        <v>953</v>
      </c>
      <c r="B457" s="1" t="s">
        <v>954</v>
      </c>
      <c r="C457" s="1" t="s">
        <v>28</v>
      </c>
      <c r="D457" s="1" t="s">
        <v>123</v>
      </c>
      <c r="E457" s="1" t="s">
        <v>147</v>
      </c>
      <c r="F457" s="1" t="s">
        <v>67</v>
      </c>
      <c r="G457" s="1" t="s">
        <v>68</v>
      </c>
      <c r="H457" s="1" t="s">
        <v>69</v>
      </c>
      <c r="I457" s="1" t="s">
        <v>58</v>
      </c>
      <c r="J457" s="1" t="s">
        <v>131</v>
      </c>
      <c r="K457" s="1" t="s">
        <v>84</v>
      </c>
      <c r="L457" s="1" t="s">
        <v>136</v>
      </c>
      <c r="M457" s="1" t="s">
        <v>50</v>
      </c>
      <c r="N457" s="1" t="n">
        <v>6999</v>
      </c>
      <c r="O457" s="1" t="n">
        <v>30</v>
      </c>
      <c r="P457" s="1" t="n">
        <v>2099.7</v>
      </c>
      <c r="Q457" s="1" t="n">
        <v>4899.3</v>
      </c>
      <c r="R457" s="1" t="n">
        <v>881.87</v>
      </c>
      <c r="S457" s="1" t="n">
        <v>4017.43</v>
      </c>
      <c r="T457" s="1" t="n">
        <v>1513</v>
      </c>
      <c r="U457" s="1" t="n">
        <v>2504.43</v>
      </c>
      <c r="V457" s="1" t="n">
        <v>62.34</v>
      </c>
      <c r="W457" s="1" t="s">
        <v>39</v>
      </c>
      <c r="X457" s="1" t="n">
        <v>3.5</v>
      </c>
      <c r="Y457" s="1" t="s">
        <v>39</v>
      </c>
      <c r="Z457" s="1" t="n">
        <v>0</v>
      </c>
    </row>
    <row r="458" customFormat="false" ht="15" hidden="false" customHeight="true" outlineLevel="0" collapsed="false">
      <c r="A458" s="1" t="s">
        <v>955</v>
      </c>
      <c r="B458" s="1" t="s">
        <v>956</v>
      </c>
      <c r="C458" s="1" t="s">
        <v>93</v>
      </c>
      <c r="D458" s="1" t="s">
        <v>168</v>
      </c>
      <c r="E458" s="1" t="s">
        <v>197</v>
      </c>
      <c r="F458" s="1" t="s">
        <v>82</v>
      </c>
      <c r="G458" s="1" t="s">
        <v>56</v>
      </c>
      <c r="H458" s="1" t="s">
        <v>69</v>
      </c>
      <c r="I458" s="1" t="s">
        <v>34</v>
      </c>
      <c r="J458" s="1" t="s">
        <v>131</v>
      </c>
      <c r="K458" s="1" t="s">
        <v>84</v>
      </c>
      <c r="L458" s="1" t="s">
        <v>136</v>
      </c>
      <c r="M458" s="1" t="s">
        <v>38</v>
      </c>
      <c r="N458" s="1" t="n">
        <v>8499</v>
      </c>
      <c r="O458" s="1" t="n">
        <v>10</v>
      </c>
      <c r="P458" s="1" t="n">
        <v>849.9</v>
      </c>
      <c r="Q458" s="1" t="n">
        <v>7649.1</v>
      </c>
      <c r="R458" s="1" t="n">
        <v>1376.84</v>
      </c>
      <c r="S458" s="1" t="n">
        <v>6272.26</v>
      </c>
      <c r="T458" s="1" t="n">
        <v>2351.64</v>
      </c>
      <c r="U458" s="1" t="n">
        <v>3920.62</v>
      </c>
      <c r="V458" s="1" t="n">
        <v>62.51</v>
      </c>
      <c r="W458" s="1" t="s">
        <v>39</v>
      </c>
      <c r="X458" s="1" t="n">
        <v>3.5</v>
      </c>
      <c r="Y458" s="1" t="s">
        <v>40</v>
      </c>
      <c r="Z458" s="1" t="n">
        <v>0</v>
      </c>
    </row>
    <row r="459" customFormat="false" ht="15" hidden="false" customHeight="true" outlineLevel="0" collapsed="false">
      <c r="A459" s="1" t="s">
        <v>957</v>
      </c>
      <c r="B459" s="1" t="s">
        <v>189</v>
      </c>
      <c r="C459" s="1" t="s">
        <v>119</v>
      </c>
      <c r="D459" s="1" t="s">
        <v>143</v>
      </c>
      <c r="E459" s="1" t="s">
        <v>144</v>
      </c>
      <c r="F459" s="1" t="s">
        <v>211</v>
      </c>
      <c r="G459" s="1" t="s">
        <v>56</v>
      </c>
      <c r="H459" s="1" t="s">
        <v>69</v>
      </c>
      <c r="I459" s="1" t="s">
        <v>83</v>
      </c>
      <c r="J459" s="1" t="s">
        <v>70</v>
      </c>
      <c r="K459" s="1" t="s">
        <v>36</v>
      </c>
      <c r="L459" s="1" t="s">
        <v>113</v>
      </c>
      <c r="M459" s="1" t="s">
        <v>38</v>
      </c>
      <c r="N459" s="1" t="n">
        <v>12999</v>
      </c>
      <c r="O459" s="1" t="n">
        <v>5</v>
      </c>
      <c r="P459" s="1" t="n">
        <v>649.95</v>
      </c>
      <c r="Q459" s="1" t="n">
        <v>12349.05</v>
      </c>
      <c r="R459" s="1" t="n">
        <v>2222.83</v>
      </c>
      <c r="S459" s="1" t="n">
        <v>10126.22</v>
      </c>
      <c r="T459" s="1" t="n">
        <v>3708.79</v>
      </c>
      <c r="U459" s="1" t="n">
        <v>6417.43</v>
      </c>
      <c r="V459" s="1" t="n">
        <v>63.37</v>
      </c>
      <c r="W459" s="1" t="s">
        <v>40</v>
      </c>
      <c r="Y459" s="1" t="s">
        <v>40</v>
      </c>
      <c r="Z459" s="1" t="n">
        <v>0</v>
      </c>
    </row>
    <row r="460" customFormat="false" ht="15" hidden="false" customHeight="true" outlineLevel="0" collapsed="false">
      <c r="A460" s="1" t="s">
        <v>958</v>
      </c>
      <c r="B460" s="1" t="s">
        <v>959</v>
      </c>
      <c r="C460" s="1" t="s">
        <v>65</v>
      </c>
      <c r="D460" s="1" t="s">
        <v>29</v>
      </c>
      <c r="E460" s="1" t="s">
        <v>129</v>
      </c>
      <c r="F460" s="1" t="s">
        <v>205</v>
      </c>
      <c r="G460" s="1" t="s">
        <v>56</v>
      </c>
      <c r="H460" s="1" t="s">
        <v>69</v>
      </c>
      <c r="I460" s="1" t="s">
        <v>58</v>
      </c>
      <c r="J460" s="1" t="s">
        <v>77</v>
      </c>
      <c r="K460" s="1" t="s">
        <v>48</v>
      </c>
      <c r="L460" s="1" t="s">
        <v>113</v>
      </c>
      <c r="M460" s="1" t="s">
        <v>38</v>
      </c>
      <c r="N460" s="1" t="n">
        <v>29999</v>
      </c>
      <c r="O460" s="1" t="n">
        <v>30</v>
      </c>
      <c r="P460" s="1" t="n">
        <v>8999.7</v>
      </c>
      <c r="Q460" s="1" t="n">
        <v>20999.3</v>
      </c>
      <c r="R460" s="1" t="n">
        <v>3779.87</v>
      </c>
      <c r="S460" s="1" t="n">
        <v>17219.43</v>
      </c>
      <c r="T460" s="1" t="n">
        <v>6965.01</v>
      </c>
      <c r="U460" s="1" t="n">
        <v>10254.42</v>
      </c>
      <c r="V460" s="1" t="n">
        <v>59.55</v>
      </c>
      <c r="W460" s="1" t="s">
        <v>39</v>
      </c>
      <c r="X460" s="1" t="n">
        <v>4.3</v>
      </c>
      <c r="Y460" s="1" t="s">
        <v>40</v>
      </c>
      <c r="Z460" s="1" t="n">
        <v>0</v>
      </c>
    </row>
    <row r="461" customFormat="false" ht="15" hidden="false" customHeight="true" outlineLevel="0" collapsed="false">
      <c r="A461" s="1" t="s">
        <v>960</v>
      </c>
      <c r="B461" s="1" t="s">
        <v>223</v>
      </c>
      <c r="C461" s="1" t="s">
        <v>249</v>
      </c>
      <c r="D461" s="1" t="s">
        <v>53</v>
      </c>
      <c r="E461" s="1" t="s">
        <v>54</v>
      </c>
      <c r="F461" s="1" t="s">
        <v>130</v>
      </c>
      <c r="G461" s="1" t="s">
        <v>47</v>
      </c>
      <c r="H461" s="1" t="s">
        <v>69</v>
      </c>
      <c r="I461" s="1" t="s">
        <v>83</v>
      </c>
      <c r="J461" s="1" t="s">
        <v>70</v>
      </c>
      <c r="K461" s="1" t="s">
        <v>104</v>
      </c>
      <c r="L461" s="1" t="s">
        <v>49</v>
      </c>
      <c r="M461" s="1" t="s">
        <v>50</v>
      </c>
      <c r="N461" s="1" t="n">
        <v>11999</v>
      </c>
      <c r="O461" s="1" t="n">
        <v>15</v>
      </c>
      <c r="P461" s="1" t="n">
        <v>1799.85</v>
      </c>
      <c r="Q461" s="1" t="n">
        <v>10199.15</v>
      </c>
      <c r="R461" s="1" t="n">
        <v>1835.85</v>
      </c>
      <c r="S461" s="1" t="n">
        <v>8363.3</v>
      </c>
      <c r="T461" s="1" t="n">
        <v>3121.2</v>
      </c>
      <c r="U461" s="1" t="n">
        <v>5242.1</v>
      </c>
      <c r="V461" s="1" t="n">
        <v>62.68</v>
      </c>
      <c r="W461" s="1" t="s">
        <v>39</v>
      </c>
      <c r="X461" s="1" t="n">
        <v>3.1</v>
      </c>
      <c r="Y461" s="1" t="s">
        <v>40</v>
      </c>
      <c r="Z461" s="1" t="n">
        <v>2</v>
      </c>
    </row>
    <row r="462" customFormat="false" ht="15" hidden="false" customHeight="true" outlineLevel="0" collapsed="false">
      <c r="A462" s="1" t="s">
        <v>961</v>
      </c>
      <c r="B462" s="1" t="s">
        <v>962</v>
      </c>
      <c r="C462" s="1" t="s">
        <v>43</v>
      </c>
      <c r="D462" s="1" t="s">
        <v>94</v>
      </c>
      <c r="E462" s="1" t="s">
        <v>95</v>
      </c>
      <c r="F462" s="1" t="s">
        <v>963</v>
      </c>
      <c r="G462" s="1" t="s">
        <v>68</v>
      </c>
      <c r="H462" s="1" t="s">
        <v>57</v>
      </c>
      <c r="I462" s="1" t="s">
        <v>58</v>
      </c>
      <c r="J462" s="1" t="s">
        <v>131</v>
      </c>
      <c r="K462" s="1" t="s">
        <v>71</v>
      </c>
      <c r="L462" s="1" t="s">
        <v>37</v>
      </c>
      <c r="M462" s="1" t="s">
        <v>62</v>
      </c>
      <c r="N462" s="1" t="n">
        <v>6999</v>
      </c>
      <c r="O462" s="1" t="n">
        <v>50</v>
      </c>
      <c r="P462" s="1" t="n">
        <v>3499.5</v>
      </c>
      <c r="Q462" s="1" t="n">
        <v>3499.5</v>
      </c>
      <c r="R462" s="1" t="n">
        <v>629.91</v>
      </c>
      <c r="S462" s="1" t="n">
        <v>2869.59</v>
      </c>
      <c r="T462" s="1" t="n">
        <v>1412.07</v>
      </c>
      <c r="U462" s="1" t="n">
        <v>1457.52</v>
      </c>
      <c r="V462" s="1" t="n">
        <v>50.79</v>
      </c>
      <c r="W462" s="1" t="s">
        <v>39</v>
      </c>
      <c r="Y462" s="1" t="s">
        <v>40</v>
      </c>
      <c r="Z462" s="1" t="n">
        <v>0</v>
      </c>
    </row>
    <row r="463" customFormat="false" ht="15" hidden="false" customHeight="true" outlineLevel="0" collapsed="false">
      <c r="A463" s="1" t="s">
        <v>964</v>
      </c>
      <c r="B463" s="1" t="s">
        <v>965</v>
      </c>
      <c r="C463" s="1" t="s">
        <v>128</v>
      </c>
      <c r="D463" s="1" t="s">
        <v>94</v>
      </c>
      <c r="E463" s="1" t="s">
        <v>101</v>
      </c>
      <c r="F463" s="1" t="s">
        <v>130</v>
      </c>
      <c r="G463" s="1" t="s">
        <v>47</v>
      </c>
      <c r="H463" s="1" t="s">
        <v>69</v>
      </c>
      <c r="I463" s="1" t="s">
        <v>83</v>
      </c>
      <c r="J463" s="1" t="s">
        <v>59</v>
      </c>
      <c r="K463" s="1" t="s">
        <v>60</v>
      </c>
      <c r="L463" s="1" t="s">
        <v>136</v>
      </c>
      <c r="M463" s="1" t="s">
        <v>50</v>
      </c>
      <c r="N463" s="1" t="n">
        <v>14999</v>
      </c>
      <c r="O463" s="1" t="n">
        <v>30</v>
      </c>
      <c r="P463" s="1" t="n">
        <v>4499.7</v>
      </c>
      <c r="Q463" s="1" t="n">
        <v>10499.3</v>
      </c>
      <c r="R463" s="1" t="n">
        <v>1889.87</v>
      </c>
      <c r="S463" s="1" t="n">
        <v>8609.43</v>
      </c>
      <c r="T463" s="1" t="n">
        <v>3150.46</v>
      </c>
      <c r="U463" s="1" t="n">
        <v>5458.97</v>
      </c>
      <c r="V463" s="1" t="n">
        <v>63.41</v>
      </c>
      <c r="W463" s="1" t="s">
        <v>40</v>
      </c>
      <c r="Y463" s="1" t="s">
        <v>39</v>
      </c>
      <c r="Z463" s="1" t="n">
        <v>0</v>
      </c>
    </row>
    <row r="464" customFormat="false" ht="15" hidden="false" customHeight="true" outlineLevel="0" collapsed="false">
      <c r="A464" s="1" t="s">
        <v>966</v>
      </c>
      <c r="B464" s="1" t="s">
        <v>115</v>
      </c>
      <c r="C464" s="1" t="s">
        <v>28</v>
      </c>
      <c r="D464" s="1" t="s">
        <v>53</v>
      </c>
      <c r="E464" s="1" t="s">
        <v>54</v>
      </c>
      <c r="F464" s="1" t="s">
        <v>194</v>
      </c>
      <c r="G464" s="1" t="s">
        <v>103</v>
      </c>
      <c r="H464" s="1" t="s">
        <v>69</v>
      </c>
      <c r="I464" s="1" t="s">
        <v>58</v>
      </c>
      <c r="J464" s="1" t="s">
        <v>131</v>
      </c>
      <c r="K464" s="1" t="s">
        <v>112</v>
      </c>
      <c r="L464" s="1" t="s">
        <v>49</v>
      </c>
      <c r="M464" s="1" t="s">
        <v>50</v>
      </c>
      <c r="N464" s="1" t="n">
        <v>11999</v>
      </c>
      <c r="O464" s="1" t="n">
        <v>10</v>
      </c>
      <c r="P464" s="1" t="n">
        <v>1199.9</v>
      </c>
      <c r="Q464" s="1" t="n">
        <v>10799.1</v>
      </c>
      <c r="R464" s="1" t="n">
        <v>1943.84</v>
      </c>
      <c r="S464" s="1" t="n">
        <v>8855.26</v>
      </c>
      <c r="T464" s="1" t="n">
        <v>3689.03</v>
      </c>
      <c r="U464" s="1" t="n">
        <v>5166.23</v>
      </c>
      <c r="V464" s="1" t="n">
        <v>58.34</v>
      </c>
      <c r="W464" s="1" t="s">
        <v>39</v>
      </c>
      <c r="X464" s="1" t="n">
        <v>3</v>
      </c>
      <c r="Y464" s="1" t="s">
        <v>40</v>
      </c>
      <c r="Z464" s="1" t="n">
        <v>0</v>
      </c>
    </row>
    <row r="465" customFormat="false" ht="15" hidden="false" customHeight="true" outlineLevel="0" collapsed="false">
      <c r="A465" s="1" t="s">
        <v>967</v>
      </c>
      <c r="B465" s="1" t="s">
        <v>968</v>
      </c>
      <c r="C465" s="1" t="s">
        <v>167</v>
      </c>
      <c r="D465" s="1" t="s">
        <v>123</v>
      </c>
      <c r="E465" s="1" t="s">
        <v>124</v>
      </c>
      <c r="F465" s="1" t="s">
        <v>89</v>
      </c>
      <c r="G465" s="1" t="s">
        <v>68</v>
      </c>
      <c r="H465" s="1" t="s">
        <v>33</v>
      </c>
      <c r="I465" s="1" t="s">
        <v>58</v>
      </c>
      <c r="J465" s="1" t="s">
        <v>77</v>
      </c>
      <c r="K465" s="1" t="s">
        <v>60</v>
      </c>
      <c r="L465" s="1" t="s">
        <v>136</v>
      </c>
      <c r="M465" s="1" t="s">
        <v>50</v>
      </c>
      <c r="N465" s="1" t="n">
        <v>4999</v>
      </c>
      <c r="O465" s="1" t="n">
        <v>20</v>
      </c>
      <c r="P465" s="1" t="n">
        <v>999.8</v>
      </c>
      <c r="Q465" s="1" t="n">
        <v>3999.2</v>
      </c>
      <c r="R465" s="1" t="n">
        <v>719.86</v>
      </c>
      <c r="S465" s="1" t="n">
        <v>3279.34</v>
      </c>
      <c r="T465" s="1" t="n">
        <v>1663.61</v>
      </c>
      <c r="U465" s="1" t="n">
        <v>1615.73</v>
      </c>
      <c r="V465" s="1" t="n">
        <v>49.27</v>
      </c>
      <c r="W465" s="1" t="s">
        <v>39</v>
      </c>
      <c r="X465" s="1" t="n">
        <v>4.5</v>
      </c>
      <c r="Y465" s="1" t="s">
        <v>40</v>
      </c>
      <c r="Z465" s="1" t="n">
        <v>0</v>
      </c>
    </row>
    <row r="466" customFormat="false" ht="15" hidden="false" customHeight="true" outlineLevel="0" collapsed="false">
      <c r="A466" s="1" t="s">
        <v>969</v>
      </c>
      <c r="B466" s="1" t="s">
        <v>970</v>
      </c>
      <c r="C466" s="1" t="s">
        <v>74</v>
      </c>
      <c r="D466" s="1" t="s">
        <v>80</v>
      </c>
      <c r="E466" s="1" t="s">
        <v>175</v>
      </c>
      <c r="F466" s="1" t="s">
        <v>82</v>
      </c>
      <c r="G466" s="1" t="s">
        <v>56</v>
      </c>
      <c r="H466" s="1" t="s">
        <v>69</v>
      </c>
      <c r="I466" s="1" t="s">
        <v>83</v>
      </c>
      <c r="J466" s="1" t="s">
        <v>35</v>
      </c>
      <c r="K466" s="1" t="s">
        <v>112</v>
      </c>
      <c r="L466" s="1" t="s">
        <v>113</v>
      </c>
      <c r="M466" s="1" t="s">
        <v>50</v>
      </c>
      <c r="N466" s="1" t="n">
        <v>19999</v>
      </c>
      <c r="O466" s="1" t="n">
        <v>15</v>
      </c>
      <c r="P466" s="1" t="n">
        <v>2999.85</v>
      </c>
      <c r="Q466" s="1" t="n">
        <v>16999.15</v>
      </c>
      <c r="R466" s="1" t="n">
        <v>3059.85</v>
      </c>
      <c r="S466" s="1" t="n">
        <v>13939.3</v>
      </c>
      <c r="T466" s="1" t="n">
        <v>7096.85</v>
      </c>
      <c r="U466" s="1" t="n">
        <v>6842.45</v>
      </c>
      <c r="V466" s="1" t="n">
        <v>49.09</v>
      </c>
      <c r="W466" s="1" t="s">
        <v>39</v>
      </c>
      <c r="X466" s="1" t="n">
        <v>3.7</v>
      </c>
      <c r="Y466" s="1" t="s">
        <v>40</v>
      </c>
      <c r="Z466" s="1" t="n">
        <v>1</v>
      </c>
    </row>
    <row r="467" customFormat="false" ht="15" hidden="false" customHeight="true" outlineLevel="0" collapsed="false">
      <c r="A467" s="1" t="s">
        <v>971</v>
      </c>
      <c r="B467" s="1" t="s">
        <v>735</v>
      </c>
      <c r="C467" s="1" t="s">
        <v>43</v>
      </c>
      <c r="D467" s="1" t="s">
        <v>123</v>
      </c>
      <c r="E467" s="1" t="s">
        <v>124</v>
      </c>
      <c r="F467" s="1" t="s">
        <v>130</v>
      </c>
      <c r="G467" s="1" t="s">
        <v>47</v>
      </c>
      <c r="H467" s="1" t="s">
        <v>69</v>
      </c>
      <c r="I467" s="1" t="s">
        <v>58</v>
      </c>
      <c r="J467" s="1" t="s">
        <v>70</v>
      </c>
      <c r="K467" s="1" t="s">
        <v>60</v>
      </c>
      <c r="L467" s="1" t="s">
        <v>37</v>
      </c>
      <c r="M467" s="1" t="s">
        <v>38</v>
      </c>
      <c r="N467" s="1" t="n">
        <v>4999</v>
      </c>
      <c r="O467" s="1" t="n">
        <v>10</v>
      </c>
      <c r="P467" s="1" t="n">
        <v>499.9</v>
      </c>
      <c r="Q467" s="1" t="n">
        <v>4499.1</v>
      </c>
      <c r="R467" s="1" t="n">
        <v>809.84</v>
      </c>
      <c r="S467" s="1" t="n">
        <v>3689.26</v>
      </c>
      <c r="T467" s="1" t="n">
        <v>1461.81</v>
      </c>
      <c r="U467" s="1" t="n">
        <v>2227.45</v>
      </c>
      <c r="V467" s="1" t="n">
        <v>60.38</v>
      </c>
      <c r="W467" s="1" t="s">
        <v>40</v>
      </c>
      <c r="Y467" s="1" t="s">
        <v>39</v>
      </c>
      <c r="Z467" s="1" t="n">
        <v>0</v>
      </c>
    </row>
    <row r="468" customFormat="false" ht="15" hidden="false" customHeight="true" outlineLevel="0" collapsed="false">
      <c r="A468" s="1" t="s">
        <v>972</v>
      </c>
      <c r="B468" s="1" t="s">
        <v>915</v>
      </c>
      <c r="C468" s="1" t="s">
        <v>88</v>
      </c>
      <c r="D468" s="1" t="s">
        <v>143</v>
      </c>
      <c r="E468" s="1" t="s">
        <v>210</v>
      </c>
      <c r="F468" s="1" t="s">
        <v>150</v>
      </c>
      <c r="G468" s="1" t="s">
        <v>32</v>
      </c>
      <c r="H468" s="1" t="s">
        <v>57</v>
      </c>
      <c r="I468" s="1" t="s">
        <v>34</v>
      </c>
      <c r="J468" s="1" t="s">
        <v>35</v>
      </c>
      <c r="K468" s="1" t="s">
        <v>48</v>
      </c>
      <c r="L468" s="1" t="s">
        <v>37</v>
      </c>
      <c r="M468" s="1" t="s">
        <v>62</v>
      </c>
      <c r="N468" s="1" t="n">
        <v>18999</v>
      </c>
      <c r="O468" s="1" t="n">
        <v>50</v>
      </c>
      <c r="P468" s="1" t="n">
        <v>9499.5</v>
      </c>
      <c r="Q468" s="1" t="n">
        <v>9499.5</v>
      </c>
      <c r="R468" s="1" t="n">
        <v>1709.91</v>
      </c>
      <c r="S468" s="1" t="n">
        <v>7789.59</v>
      </c>
      <c r="T468" s="1" t="n">
        <v>3441.52</v>
      </c>
      <c r="U468" s="1" t="n">
        <v>4348.07</v>
      </c>
      <c r="V468" s="1" t="n">
        <v>55.82</v>
      </c>
      <c r="W468" s="1" t="s">
        <v>39</v>
      </c>
      <c r="X468" s="1" t="n">
        <v>3.5</v>
      </c>
      <c r="Y468" s="1" t="s">
        <v>40</v>
      </c>
      <c r="Z468" s="1" t="n">
        <v>0</v>
      </c>
    </row>
    <row r="469" customFormat="false" ht="15" hidden="false" customHeight="true" outlineLevel="0" collapsed="false">
      <c r="A469" s="1" t="s">
        <v>973</v>
      </c>
      <c r="B469" s="1" t="s">
        <v>974</v>
      </c>
      <c r="C469" s="1" t="s">
        <v>128</v>
      </c>
      <c r="D469" s="1" t="s">
        <v>143</v>
      </c>
      <c r="E469" s="1" t="s">
        <v>144</v>
      </c>
      <c r="F469" s="1" t="s">
        <v>140</v>
      </c>
      <c r="G469" s="1" t="s">
        <v>97</v>
      </c>
      <c r="H469" s="1" t="s">
        <v>57</v>
      </c>
      <c r="I469" s="1" t="s">
        <v>58</v>
      </c>
      <c r="J469" s="1" t="s">
        <v>131</v>
      </c>
      <c r="K469" s="1" t="s">
        <v>112</v>
      </c>
      <c r="L469" s="1" t="s">
        <v>37</v>
      </c>
      <c r="M469" s="1" t="s">
        <v>62</v>
      </c>
      <c r="N469" s="1" t="n">
        <v>12999</v>
      </c>
      <c r="O469" s="1" t="n">
        <v>25</v>
      </c>
      <c r="P469" s="1" t="n">
        <v>3249.75</v>
      </c>
      <c r="Q469" s="1" t="n">
        <v>9749.25</v>
      </c>
      <c r="R469" s="1" t="n">
        <v>1754.87</v>
      </c>
      <c r="S469" s="1" t="n">
        <v>7994.38</v>
      </c>
      <c r="T469" s="1" t="n">
        <v>3951.85</v>
      </c>
      <c r="U469" s="1" t="n">
        <v>4042.53</v>
      </c>
      <c r="V469" s="1" t="n">
        <v>50.57</v>
      </c>
      <c r="W469" s="1" t="s">
        <v>39</v>
      </c>
      <c r="X469" s="1" t="n">
        <v>3.5</v>
      </c>
      <c r="Y469" s="1" t="s">
        <v>39</v>
      </c>
      <c r="Z469" s="1" t="n">
        <v>1</v>
      </c>
    </row>
    <row r="470" customFormat="false" ht="15" hidden="false" customHeight="true" outlineLevel="0" collapsed="false">
      <c r="A470" s="1" t="s">
        <v>975</v>
      </c>
      <c r="B470" s="1" t="s">
        <v>749</v>
      </c>
      <c r="C470" s="1" t="s">
        <v>128</v>
      </c>
      <c r="D470" s="1" t="s">
        <v>123</v>
      </c>
      <c r="E470" s="1" t="s">
        <v>147</v>
      </c>
      <c r="F470" s="1" t="s">
        <v>153</v>
      </c>
      <c r="G470" s="1" t="s">
        <v>76</v>
      </c>
      <c r="H470" s="1" t="s">
        <v>33</v>
      </c>
      <c r="I470" s="1" t="s">
        <v>34</v>
      </c>
      <c r="J470" s="1" t="s">
        <v>35</v>
      </c>
      <c r="K470" s="1" t="s">
        <v>36</v>
      </c>
      <c r="L470" s="1" t="s">
        <v>136</v>
      </c>
      <c r="M470" s="1" t="s">
        <v>38</v>
      </c>
      <c r="N470" s="1" t="n">
        <v>6999</v>
      </c>
      <c r="O470" s="1" t="n">
        <v>0</v>
      </c>
      <c r="P470" s="1" t="n">
        <v>0</v>
      </c>
      <c r="Q470" s="1" t="n">
        <v>6999</v>
      </c>
      <c r="R470" s="1" t="n">
        <v>1259.82</v>
      </c>
      <c r="S470" s="1" t="n">
        <v>5739.18</v>
      </c>
      <c r="T470" s="1" t="n">
        <v>2104.34</v>
      </c>
      <c r="U470" s="1" t="n">
        <v>3634.84</v>
      </c>
      <c r="V470" s="1" t="n">
        <v>63.33</v>
      </c>
      <c r="W470" s="1" t="s">
        <v>40</v>
      </c>
      <c r="Y470" s="1" t="s">
        <v>39</v>
      </c>
      <c r="Z470" s="1" t="n">
        <v>0</v>
      </c>
    </row>
    <row r="471" customFormat="false" ht="15" hidden="false" customHeight="true" outlineLevel="0" collapsed="false">
      <c r="A471" s="1" t="s">
        <v>976</v>
      </c>
      <c r="B471" s="1" t="s">
        <v>533</v>
      </c>
      <c r="C471" s="1" t="s">
        <v>43</v>
      </c>
      <c r="D471" s="1" t="s">
        <v>53</v>
      </c>
      <c r="E471" s="1" t="s">
        <v>216</v>
      </c>
      <c r="F471" s="1" t="s">
        <v>205</v>
      </c>
      <c r="G471" s="1" t="s">
        <v>56</v>
      </c>
      <c r="H471" s="1" t="s">
        <v>69</v>
      </c>
      <c r="I471" s="1" t="s">
        <v>34</v>
      </c>
      <c r="J471" s="1" t="s">
        <v>59</v>
      </c>
      <c r="K471" s="1" t="s">
        <v>112</v>
      </c>
      <c r="L471" s="1" t="s">
        <v>61</v>
      </c>
      <c r="M471" s="1" t="s">
        <v>50</v>
      </c>
      <c r="N471" s="1" t="n">
        <v>7499</v>
      </c>
      <c r="O471" s="1" t="n">
        <v>0</v>
      </c>
      <c r="P471" s="1" t="n">
        <v>0</v>
      </c>
      <c r="Q471" s="1" t="n">
        <v>7499</v>
      </c>
      <c r="R471" s="1" t="n">
        <v>1349.82</v>
      </c>
      <c r="S471" s="1" t="n">
        <v>6149.18</v>
      </c>
      <c r="T471" s="1" t="n">
        <v>2431.42</v>
      </c>
      <c r="U471" s="1" t="n">
        <v>3717.76</v>
      </c>
      <c r="V471" s="1" t="n">
        <v>60.46</v>
      </c>
      <c r="W471" s="1" t="s">
        <v>39</v>
      </c>
      <c r="X471" s="1" t="n">
        <v>3.9</v>
      </c>
      <c r="Y471" s="1" t="s">
        <v>40</v>
      </c>
      <c r="Z471" s="1" t="n">
        <v>0</v>
      </c>
    </row>
    <row r="472" customFormat="false" ht="15" hidden="false" customHeight="true" outlineLevel="0" collapsed="false">
      <c r="A472" s="1" t="s">
        <v>977</v>
      </c>
      <c r="B472" s="1" t="s">
        <v>893</v>
      </c>
      <c r="C472" s="1" t="s">
        <v>139</v>
      </c>
      <c r="D472" s="1" t="s">
        <v>94</v>
      </c>
      <c r="E472" s="1" t="s">
        <v>135</v>
      </c>
      <c r="F472" s="1" t="s">
        <v>55</v>
      </c>
      <c r="G472" s="1" t="s">
        <v>56</v>
      </c>
      <c r="H472" s="1" t="s">
        <v>57</v>
      </c>
      <c r="I472" s="1" t="s">
        <v>34</v>
      </c>
      <c r="J472" s="1" t="s">
        <v>131</v>
      </c>
      <c r="K472" s="1" t="s">
        <v>104</v>
      </c>
      <c r="L472" s="1" t="s">
        <v>49</v>
      </c>
      <c r="M472" s="1" t="s">
        <v>38</v>
      </c>
      <c r="N472" s="1" t="n">
        <v>9999</v>
      </c>
      <c r="O472" s="1" t="n">
        <v>5</v>
      </c>
      <c r="P472" s="1" t="n">
        <v>499.95</v>
      </c>
      <c r="Q472" s="1" t="n">
        <v>9499.05</v>
      </c>
      <c r="R472" s="1" t="n">
        <v>1709.83</v>
      </c>
      <c r="S472" s="1" t="n">
        <v>7789.22</v>
      </c>
      <c r="T472" s="1" t="n">
        <v>3275.81</v>
      </c>
      <c r="U472" s="1" t="n">
        <v>4513.41</v>
      </c>
      <c r="V472" s="1" t="n">
        <v>57.94</v>
      </c>
      <c r="W472" s="1" t="s">
        <v>40</v>
      </c>
      <c r="Y472" s="1" t="s">
        <v>40</v>
      </c>
      <c r="Z472" s="1" t="n">
        <v>0</v>
      </c>
    </row>
    <row r="473" customFormat="false" ht="15" hidden="false" customHeight="true" outlineLevel="0" collapsed="false">
      <c r="A473" s="1" t="s">
        <v>978</v>
      </c>
      <c r="B473" s="1" t="s">
        <v>979</v>
      </c>
      <c r="C473" s="1" t="s">
        <v>134</v>
      </c>
      <c r="D473" s="1" t="s">
        <v>168</v>
      </c>
      <c r="E473" s="1" t="s">
        <v>197</v>
      </c>
      <c r="F473" s="1" t="s">
        <v>82</v>
      </c>
      <c r="G473" s="1" t="s">
        <v>56</v>
      </c>
      <c r="H473" s="1" t="s">
        <v>69</v>
      </c>
      <c r="I473" s="1" t="s">
        <v>83</v>
      </c>
      <c r="J473" s="1" t="s">
        <v>70</v>
      </c>
      <c r="K473" s="1" t="s">
        <v>48</v>
      </c>
      <c r="L473" s="1" t="s">
        <v>49</v>
      </c>
      <c r="M473" s="1" t="s">
        <v>50</v>
      </c>
      <c r="N473" s="1" t="n">
        <v>8499</v>
      </c>
      <c r="O473" s="1" t="n">
        <v>5</v>
      </c>
      <c r="P473" s="1" t="n">
        <v>424.95</v>
      </c>
      <c r="Q473" s="1" t="n">
        <v>8074.05</v>
      </c>
      <c r="R473" s="1" t="n">
        <v>1453.33</v>
      </c>
      <c r="S473" s="1" t="n">
        <v>6620.72</v>
      </c>
      <c r="T473" s="1" t="n">
        <v>2864.34</v>
      </c>
      <c r="U473" s="1" t="n">
        <v>3756.38</v>
      </c>
      <c r="V473" s="1" t="n">
        <v>56.74</v>
      </c>
      <c r="W473" s="1" t="s">
        <v>40</v>
      </c>
      <c r="Y473" s="1" t="s">
        <v>40</v>
      </c>
      <c r="Z473" s="1" t="n">
        <v>1</v>
      </c>
    </row>
    <row r="474" customFormat="false" ht="15" hidden="false" customHeight="true" outlineLevel="0" collapsed="false">
      <c r="A474" s="1" t="s">
        <v>980</v>
      </c>
      <c r="B474" s="1" t="s">
        <v>981</v>
      </c>
      <c r="C474" s="1" t="s">
        <v>93</v>
      </c>
      <c r="D474" s="1" t="s">
        <v>53</v>
      </c>
      <c r="E474" s="1" t="s">
        <v>54</v>
      </c>
      <c r="F474" s="1" t="s">
        <v>383</v>
      </c>
      <c r="G474" s="1" t="s">
        <v>56</v>
      </c>
      <c r="H474" s="1" t="s">
        <v>57</v>
      </c>
      <c r="I474" s="1" t="s">
        <v>83</v>
      </c>
      <c r="J474" s="1" t="s">
        <v>70</v>
      </c>
      <c r="K474" s="1" t="s">
        <v>71</v>
      </c>
      <c r="L474" s="1" t="s">
        <v>61</v>
      </c>
      <c r="M474" s="1" t="s">
        <v>62</v>
      </c>
      <c r="N474" s="1" t="n">
        <v>11999</v>
      </c>
      <c r="O474" s="1" t="n">
        <v>10</v>
      </c>
      <c r="P474" s="1" t="n">
        <v>1199.9</v>
      </c>
      <c r="Q474" s="1" t="n">
        <v>10799.1</v>
      </c>
      <c r="R474" s="1" t="n">
        <v>1943.84</v>
      </c>
      <c r="S474" s="1" t="n">
        <v>8855.26</v>
      </c>
      <c r="T474" s="1" t="n">
        <v>4708.4</v>
      </c>
      <c r="U474" s="1" t="n">
        <v>4146.86</v>
      </c>
      <c r="V474" s="1" t="n">
        <v>46.83</v>
      </c>
      <c r="W474" s="1" t="s">
        <v>40</v>
      </c>
      <c r="Y474" s="1" t="s">
        <v>40</v>
      </c>
      <c r="Z474" s="1" t="n">
        <v>0</v>
      </c>
    </row>
    <row r="475" customFormat="false" ht="15" hidden="false" customHeight="true" outlineLevel="0" collapsed="false">
      <c r="A475" s="1" t="s">
        <v>982</v>
      </c>
      <c r="B475" s="1" t="s">
        <v>983</v>
      </c>
      <c r="C475" s="1" t="s">
        <v>65</v>
      </c>
      <c r="D475" s="1" t="s">
        <v>80</v>
      </c>
      <c r="E475" s="1" t="s">
        <v>190</v>
      </c>
      <c r="F475" s="1" t="s">
        <v>82</v>
      </c>
      <c r="G475" s="1" t="s">
        <v>56</v>
      </c>
      <c r="H475" s="1" t="s">
        <v>69</v>
      </c>
      <c r="I475" s="1" t="s">
        <v>83</v>
      </c>
      <c r="J475" s="1" t="s">
        <v>70</v>
      </c>
      <c r="K475" s="1" t="s">
        <v>71</v>
      </c>
      <c r="L475" s="1" t="s">
        <v>61</v>
      </c>
      <c r="M475" s="1" t="s">
        <v>50</v>
      </c>
      <c r="N475" s="1" t="n">
        <v>15999</v>
      </c>
      <c r="O475" s="1" t="n">
        <v>0</v>
      </c>
      <c r="P475" s="1" t="n">
        <v>0</v>
      </c>
      <c r="Q475" s="1" t="n">
        <v>15999</v>
      </c>
      <c r="R475" s="1" t="n">
        <v>2879.82</v>
      </c>
      <c r="S475" s="1" t="n">
        <v>13119.18</v>
      </c>
      <c r="T475" s="1" t="n">
        <v>4532.52</v>
      </c>
      <c r="U475" s="1" t="n">
        <v>8586.66</v>
      </c>
      <c r="V475" s="1" t="n">
        <v>65.45</v>
      </c>
      <c r="W475" s="1" t="s">
        <v>39</v>
      </c>
      <c r="X475" s="1" t="n">
        <v>4.8</v>
      </c>
      <c r="Y475" s="1" t="s">
        <v>40</v>
      </c>
      <c r="Z475" s="1" t="n">
        <v>0</v>
      </c>
    </row>
    <row r="476" customFormat="false" ht="15" hidden="false" customHeight="true" outlineLevel="0" collapsed="false">
      <c r="A476" s="1" t="s">
        <v>984</v>
      </c>
      <c r="B476" s="1" t="s">
        <v>477</v>
      </c>
      <c r="C476" s="1" t="s">
        <v>119</v>
      </c>
      <c r="D476" s="1" t="s">
        <v>94</v>
      </c>
      <c r="E476" s="1" t="s">
        <v>135</v>
      </c>
      <c r="F476" s="1" t="s">
        <v>205</v>
      </c>
      <c r="G476" s="1" t="s">
        <v>56</v>
      </c>
      <c r="H476" s="1" t="s">
        <v>69</v>
      </c>
      <c r="I476" s="1" t="s">
        <v>83</v>
      </c>
      <c r="J476" s="1" t="s">
        <v>77</v>
      </c>
      <c r="K476" s="1" t="s">
        <v>36</v>
      </c>
      <c r="L476" s="1" t="s">
        <v>49</v>
      </c>
      <c r="M476" s="1" t="s">
        <v>50</v>
      </c>
      <c r="N476" s="1" t="n">
        <v>9999</v>
      </c>
      <c r="O476" s="1" t="n">
        <v>10</v>
      </c>
      <c r="P476" s="1" t="n">
        <v>999.9</v>
      </c>
      <c r="Q476" s="1" t="n">
        <v>8999.1</v>
      </c>
      <c r="R476" s="1" t="n">
        <v>1619.84</v>
      </c>
      <c r="S476" s="1" t="n">
        <v>7379.26</v>
      </c>
      <c r="T476" s="1" t="n">
        <v>2813</v>
      </c>
      <c r="U476" s="1" t="n">
        <v>4566.26</v>
      </c>
      <c r="V476" s="1" t="n">
        <v>61.88</v>
      </c>
      <c r="W476" s="1" t="s">
        <v>39</v>
      </c>
      <c r="X476" s="1" t="n">
        <v>4.1</v>
      </c>
      <c r="Y476" s="1" t="s">
        <v>40</v>
      </c>
      <c r="Z476" s="1" t="n">
        <v>0</v>
      </c>
    </row>
    <row r="477" customFormat="false" ht="15" hidden="false" customHeight="true" outlineLevel="0" collapsed="false">
      <c r="A477" s="1" t="s">
        <v>985</v>
      </c>
      <c r="B477" s="1" t="s">
        <v>986</v>
      </c>
      <c r="C477" s="1" t="s">
        <v>65</v>
      </c>
      <c r="D477" s="1" t="s">
        <v>80</v>
      </c>
      <c r="E477" s="1" t="s">
        <v>193</v>
      </c>
      <c r="F477" s="1" t="s">
        <v>55</v>
      </c>
      <c r="G477" s="1" t="s">
        <v>56</v>
      </c>
      <c r="H477" s="1" t="s">
        <v>57</v>
      </c>
      <c r="I477" s="1" t="s">
        <v>58</v>
      </c>
      <c r="J477" s="1" t="s">
        <v>131</v>
      </c>
      <c r="K477" s="1" t="s">
        <v>104</v>
      </c>
      <c r="L477" s="1" t="s">
        <v>61</v>
      </c>
      <c r="M477" s="1" t="s">
        <v>38</v>
      </c>
      <c r="N477" s="1" t="n">
        <v>8999</v>
      </c>
      <c r="O477" s="1" t="n">
        <v>5</v>
      </c>
      <c r="P477" s="1" t="n">
        <v>449.95</v>
      </c>
      <c r="Q477" s="1" t="n">
        <v>8549.05</v>
      </c>
      <c r="R477" s="1" t="n">
        <v>1538.83</v>
      </c>
      <c r="S477" s="1" t="n">
        <v>7010.22</v>
      </c>
      <c r="T477" s="1" t="n">
        <v>2780.94</v>
      </c>
      <c r="U477" s="1" t="n">
        <v>4229.28</v>
      </c>
      <c r="V477" s="1" t="n">
        <v>60.33</v>
      </c>
      <c r="W477" s="1" t="s">
        <v>39</v>
      </c>
      <c r="Y477" s="1" t="s">
        <v>40</v>
      </c>
      <c r="Z477" s="1" t="n">
        <v>0</v>
      </c>
    </row>
    <row r="478" customFormat="false" ht="15" hidden="false" customHeight="true" outlineLevel="0" collapsed="false">
      <c r="A478" s="1" t="s">
        <v>987</v>
      </c>
      <c r="B478" s="1" t="s">
        <v>988</v>
      </c>
      <c r="C478" s="1" t="s">
        <v>43</v>
      </c>
      <c r="D478" s="1" t="s">
        <v>168</v>
      </c>
      <c r="E478" s="1" t="s">
        <v>328</v>
      </c>
      <c r="F478" s="1" t="s">
        <v>89</v>
      </c>
      <c r="G478" s="1" t="s">
        <v>68</v>
      </c>
      <c r="H478" s="1" t="s">
        <v>33</v>
      </c>
      <c r="I478" s="1" t="s">
        <v>34</v>
      </c>
      <c r="J478" s="1" t="s">
        <v>59</v>
      </c>
      <c r="K478" s="1" t="s">
        <v>104</v>
      </c>
      <c r="L478" s="1" t="s">
        <v>85</v>
      </c>
      <c r="M478" s="1" t="s">
        <v>38</v>
      </c>
      <c r="N478" s="1" t="n">
        <v>8999</v>
      </c>
      <c r="O478" s="1" t="n">
        <v>15</v>
      </c>
      <c r="P478" s="1" t="n">
        <v>1349.85</v>
      </c>
      <c r="Q478" s="1" t="n">
        <v>7649.15</v>
      </c>
      <c r="R478" s="1" t="n">
        <v>1376.85</v>
      </c>
      <c r="S478" s="1" t="n">
        <v>6272.3</v>
      </c>
      <c r="T478" s="1" t="n">
        <v>3334.02</v>
      </c>
      <c r="U478" s="1" t="n">
        <v>2938.28</v>
      </c>
      <c r="V478" s="1" t="n">
        <v>46.85</v>
      </c>
      <c r="W478" s="1" t="s">
        <v>40</v>
      </c>
      <c r="Y478" s="1" t="s">
        <v>39</v>
      </c>
      <c r="Z478" s="1" t="n">
        <v>1</v>
      </c>
    </row>
    <row r="479" customFormat="false" ht="15" hidden="false" customHeight="true" outlineLevel="0" collapsed="false">
      <c r="A479" s="1" t="s">
        <v>989</v>
      </c>
      <c r="B479" s="1" t="s">
        <v>990</v>
      </c>
      <c r="C479" s="1" t="s">
        <v>65</v>
      </c>
      <c r="D479" s="1" t="s">
        <v>94</v>
      </c>
      <c r="E479" s="1" t="s">
        <v>95</v>
      </c>
      <c r="F479" s="1" t="s">
        <v>244</v>
      </c>
      <c r="G479" s="1" t="s">
        <v>97</v>
      </c>
      <c r="H479" s="1" t="s">
        <v>57</v>
      </c>
      <c r="I479" s="1" t="s">
        <v>83</v>
      </c>
      <c r="J479" s="1" t="s">
        <v>131</v>
      </c>
      <c r="K479" s="1" t="s">
        <v>90</v>
      </c>
      <c r="L479" s="1" t="s">
        <v>49</v>
      </c>
      <c r="M479" s="1" t="s">
        <v>50</v>
      </c>
      <c r="N479" s="1" t="n">
        <v>6999</v>
      </c>
      <c r="O479" s="1" t="n">
        <v>10</v>
      </c>
      <c r="P479" s="1" t="n">
        <v>699.9</v>
      </c>
      <c r="Q479" s="1" t="n">
        <v>6299.1</v>
      </c>
      <c r="R479" s="1" t="n">
        <v>1133.84</v>
      </c>
      <c r="S479" s="1" t="n">
        <v>5165.26</v>
      </c>
      <c r="T479" s="1" t="n">
        <v>2719.7</v>
      </c>
      <c r="U479" s="1" t="n">
        <v>2445.56</v>
      </c>
      <c r="V479" s="1" t="n">
        <v>47.35</v>
      </c>
      <c r="W479" s="1" t="s">
        <v>39</v>
      </c>
      <c r="X479" s="1" t="n">
        <v>3.6</v>
      </c>
      <c r="Y479" s="1" t="s">
        <v>40</v>
      </c>
      <c r="Z479" s="1" t="n">
        <v>0</v>
      </c>
    </row>
    <row r="480" customFormat="false" ht="15" hidden="false" customHeight="true" outlineLevel="0" collapsed="false">
      <c r="A480" s="1" t="s">
        <v>991</v>
      </c>
      <c r="B480" s="1" t="s">
        <v>992</v>
      </c>
      <c r="C480" s="1" t="s">
        <v>74</v>
      </c>
      <c r="D480" s="1" t="s">
        <v>53</v>
      </c>
      <c r="E480" s="1" t="s">
        <v>116</v>
      </c>
      <c r="F480" s="1" t="s">
        <v>130</v>
      </c>
      <c r="G480" s="1" t="s">
        <v>47</v>
      </c>
      <c r="H480" s="1" t="s">
        <v>69</v>
      </c>
      <c r="I480" s="1" t="s">
        <v>83</v>
      </c>
      <c r="J480" s="1" t="s">
        <v>70</v>
      </c>
      <c r="K480" s="1" t="s">
        <v>90</v>
      </c>
      <c r="L480" s="1" t="s">
        <v>49</v>
      </c>
      <c r="M480" s="1" t="s">
        <v>38</v>
      </c>
      <c r="N480" s="1" t="n">
        <v>9999</v>
      </c>
      <c r="O480" s="1" t="n">
        <v>10</v>
      </c>
      <c r="P480" s="1" t="n">
        <v>999.9</v>
      </c>
      <c r="Q480" s="1" t="n">
        <v>8999.1</v>
      </c>
      <c r="R480" s="1" t="n">
        <v>1619.84</v>
      </c>
      <c r="S480" s="1" t="n">
        <v>7379.26</v>
      </c>
      <c r="T480" s="1" t="n">
        <v>2568.31</v>
      </c>
      <c r="U480" s="1" t="n">
        <v>4810.95</v>
      </c>
      <c r="V480" s="1" t="n">
        <v>65.2</v>
      </c>
      <c r="W480" s="1" t="s">
        <v>40</v>
      </c>
      <c r="Y480" s="1" t="s">
        <v>40</v>
      </c>
      <c r="Z480" s="1" t="n">
        <v>2</v>
      </c>
    </row>
    <row r="481" customFormat="false" ht="15" hidden="false" customHeight="true" outlineLevel="0" collapsed="false">
      <c r="A481" s="1" t="s">
        <v>993</v>
      </c>
      <c r="B481" s="1" t="s">
        <v>994</v>
      </c>
      <c r="C481" s="1" t="s">
        <v>93</v>
      </c>
      <c r="D481" s="1" t="s">
        <v>168</v>
      </c>
      <c r="E481" s="1" t="s">
        <v>172</v>
      </c>
      <c r="F481" s="1" t="s">
        <v>211</v>
      </c>
      <c r="G481" s="1" t="s">
        <v>56</v>
      </c>
      <c r="H481" s="1" t="s">
        <v>69</v>
      </c>
      <c r="I481" s="1" t="s">
        <v>58</v>
      </c>
      <c r="J481" s="1" t="s">
        <v>35</v>
      </c>
      <c r="K481" s="1" t="s">
        <v>112</v>
      </c>
      <c r="L481" s="1" t="s">
        <v>136</v>
      </c>
      <c r="M481" s="1" t="s">
        <v>38</v>
      </c>
      <c r="N481" s="1" t="n">
        <v>6999</v>
      </c>
      <c r="O481" s="1" t="n">
        <v>50</v>
      </c>
      <c r="P481" s="1" t="n">
        <v>3499.5</v>
      </c>
      <c r="Q481" s="1" t="n">
        <v>3499.5</v>
      </c>
      <c r="R481" s="1" t="n">
        <v>629.91</v>
      </c>
      <c r="S481" s="1" t="n">
        <v>2869.59</v>
      </c>
      <c r="T481" s="1" t="n">
        <v>1410.06</v>
      </c>
      <c r="U481" s="1" t="n">
        <v>1459.53</v>
      </c>
      <c r="V481" s="1" t="n">
        <v>50.86</v>
      </c>
      <c r="W481" s="1" t="s">
        <v>39</v>
      </c>
      <c r="Y481" s="1" t="s">
        <v>40</v>
      </c>
      <c r="Z481" s="1" t="n">
        <v>1</v>
      </c>
    </row>
    <row r="482" customFormat="false" ht="15" hidden="false" customHeight="true" outlineLevel="0" collapsed="false">
      <c r="A482" s="1" t="s">
        <v>995</v>
      </c>
      <c r="B482" s="1" t="s">
        <v>996</v>
      </c>
      <c r="C482" s="1" t="s">
        <v>28</v>
      </c>
      <c r="D482" s="1" t="s">
        <v>123</v>
      </c>
      <c r="E482" s="1" t="s">
        <v>124</v>
      </c>
      <c r="F482" s="1" t="s">
        <v>269</v>
      </c>
      <c r="G482" s="1" t="s">
        <v>108</v>
      </c>
      <c r="H482" s="1" t="s">
        <v>57</v>
      </c>
      <c r="I482" s="1" t="s">
        <v>83</v>
      </c>
      <c r="J482" s="1" t="s">
        <v>77</v>
      </c>
      <c r="K482" s="1" t="s">
        <v>36</v>
      </c>
      <c r="L482" s="1" t="s">
        <v>37</v>
      </c>
      <c r="M482" s="1" t="s">
        <v>50</v>
      </c>
      <c r="N482" s="1" t="n">
        <v>4999</v>
      </c>
      <c r="O482" s="1" t="n">
        <v>50</v>
      </c>
      <c r="P482" s="1" t="n">
        <v>2499.5</v>
      </c>
      <c r="Q482" s="1" t="n">
        <v>2499.5</v>
      </c>
      <c r="R482" s="1" t="n">
        <v>449.91</v>
      </c>
      <c r="S482" s="1" t="n">
        <v>2049.59</v>
      </c>
      <c r="T482" s="1" t="n">
        <v>1205.04</v>
      </c>
      <c r="U482" s="1" t="n">
        <v>844.55</v>
      </c>
      <c r="V482" s="1" t="n">
        <v>41.21</v>
      </c>
      <c r="W482" s="1" t="s">
        <v>40</v>
      </c>
      <c r="Y482" s="1" t="s">
        <v>40</v>
      </c>
      <c r="Z482" s="1" t="n">
        <v>0</v>
      </c>
    </row>
    <row r="483" customFormat="false" ht="15" hidden="false" customHeight="true" outlineLevel="0" collapsed="false">
      <c r="A483" s="1" t="s">
        <v>997</v>
      </c>
      <c r="B483" s="1" t="s">
        <v>551</v>
      </c>
      <c r="C483" s="1" t="s">
        <v>65</v>
      </c>
      <c r="D483" s="1" t="s">
        <v>53</v>
      </c>
      <c r="E483" s="1" t="s">
        <v>116</v>
      </c>
      <c r="F483" s="1" t="s">
        <v>96</v>
      </c>
      <c r="G483" s="1" t="s">
        <v>97</v>
      </c>
      <c r="H483" s="1" t="s">
        <v>69</v>
      </c>
      <c r="I483" s="1" t="s">
        <v>58</v>
      </c>
      <c r="J483" s="1" t="s">
        <v>59</v>
      </c>
      <c r="K483" s="1" t="s">
        <v>71</v>
      </c>
      <c r="L483" s="1" t="s">
        <v>61</v>
      </c>
      <c r="M483" s="1" t="s">
        <v>62</v>
      </c>
      <c r="N483" s="1" t="n">
        <v>9999</v>
      </c>
      <c r="O483" s="1" t="n">
        <v>10</v>
      </c>
      <c r="P483" s="1" t="n">
        <v>999.9</v>
      </c>
      <c r="Q483" s="1" t="n">
        <v>8999.1</v>
      </c>
      <c r="R483" s="1" t="n">
        <v>1619.84</v>
      </c>
      <c r="S483" s="1" t="n">
        <v>7379.26</v>
      </c>
      <c r="T483" s="1" t="n">
        <v>2940.1</v>
      </c>
      <c r="U483" s="1" t="n">
        <v>4439.16</v>
      </c>
      <c r="V483" s="1" t="n">
        <v>60.16</v>
      </c>
      <c r="W483" s="1" t="s">
        <v>40</v>
      </c>
      <c r="Y483" s="1" t="s">
        <v>40</v>
      </c>
      <c r="Z483" s="1" t="n">
        <v>0</v>
      </c>
    </row>
    <row r="484" customFormat="false" ht="15" hidden="false" customHeight="true" outlineLevel="0" collapsed="false">
      <c r="A484" s="1" t="s">
        <v>998</v>
      </c>
      <c r="B484" s="1" t="s">
        <v>999</v>
      </c>
      <c r="C484" s="1" t="s">
        <v>74</v>
      </c>
      <c r="D484" s="1" t="s">
        <v>29</v>
      </c>
      <c r="E484" s="1" t="s">
        <v>305</v>
      </c>
      <c r="F484" s="1" t="s">
        <v>96</v>
      </c>
      <c r="G484" s="1" t="s">
        <v>97</v>
      </c>
      <c r="H484" s="1" t="s">
        <v>69</v>
      </c>
      <c r="I484" s="1" t="s">
        <v>83</v>
      </c>
      <c r="J484" s="1" t="s">
        <v>77</v>
      </c>
      <c r="K484" s="1" t="s">
        <v>60</v>
      </c>
      <c r="L484" s="1" t="s">
        <v>61</v>
      </c>
      <c r="M484" s="1" t="s">
        <v>38</v>
      </c>
      <c r="N484" s="1" t="n">
        <v>24999</v>
      </c>
      <c r="O484" s="1" t="n">
        <v>10</v>
      </c>
      <c r="P484" s="1" t="n">
        <v>2499.9</v>
      </c>
      <c r="Q484" s="1" t="n">
        <v>22499.1</v>
      </c>
      <c r="R484" s="1" t="n">
        <v>4049.84</v>
      </c>
      <c r="S484" s="1" t="n">
        <v>18449.26</v>
      </c>
      <c r="T484" s="1" t="n">
        <v>6659.27</v>
      </c>
      <c r="U484" s="1" t="n">
        <v>11789.99</v>
      </c>
      <c r="V484" s="1" t="n">
        <v>63.9</v>
      </c>
      <c r="W484" s="1" t="s">
        <v>39</v>
      </c>
      <c r="X484" s="1" t="n">
        <v>3.9</v>
      </c>
      <c r="Y484" s="1" t="s">
        <v>40</v>
      </c>
      <c r="Z484" s="1" t="n">
        <v>0</v>
      </c>
    </row>
    <row r="485" customFormat="false" ht="15" hidden="false" customHeight="true" outlineLevel="0" collapsed="false">
      <c r="A485" s="1" t="s">
        <v>1000</v>
      </c>
      <c r="B485" s="1" t="s">
        <v>870</v>
      </c>
      <c r="C485" s="1" t="s">
        <v>178</v>
      </c>
      <c r="D485" s="1" t="s">
        <v>123</v>
      </c>
      <c r="E485" s="1" t="s">
        <v>233</v>
      </c>
      <c r="F485" s="1" t="s">
        <v>120</v>
      </c>
      <c r="G485" s="1" t="s">
        <v>47</v>
      </c>
      <c r="H485" s="1" t="s">
        <v>57</v>
      </c>
      <c r="I485" s="1" t="s">
        <v>83</v>
      </c>
      <c r="J485" s="1" t="s">
        <v>77</v>
      </c>
      <c r="K485" s="1" t="s">
        <v>112</v>
      </c>
      <c r="L485" s="1" t="s">
        <v>136</v>
      </c>
      <c r="M485" s="1" t="s">
        <v>50</v>
      </c>
      <c r="N485" s="1" t="n">
        <v>8999</v>
      </c>
      <c r="O485" s="1" t="n">
        <v>0</v>
      </c>
      <c r="P485" s="1" t="n">
        <v>0</v>
      </c>
      <c r="Q485" s="1" t="n">
        <v>8999</v>
      </c>
      <c r="R485" s="1" t="n">
        <v>1619.82</v>
      </c>
      <c r="S485" s="1" t="n">
        <v>7379.18</v>
      </c>
      <c r="T485" s="1" t="n">
        <v>2928.68</v>
      </c>
      <c r="U485" s="1" t="n">
        <v>4450.5</v>
      </c>
      <c r="V485" s="1" t="n">
        <v>60.31</v>
      </c>
      <c r="W485" s="1" t="s">
        <v>40</v>
      </c>
      <c r="Y485" s="1" t="s">
        <v>40</v>
      </c>
      <c r="Z485" s="1" t="n">
        <v>1</v>
      </c>
    </row>
    <row r="486" customFormat="false" ht="15" hidden="false" customHeight="true" outlineLevel="0" collapsed="false">
      <c r="A486" s="1" t="s">
        <v>1001</v>
      </c>
      <c r="B486" s="1" t="s">
        <v>1002</v>
      </c>
      <c r="C486" s="1" t="s">
        <v>100</v>
      </c>
      <c r="D486" s="1" t="s">
        <v>94</v>
      </c>
      <c r="E486" s="1" t="s">
        <v>95</v>
      </c>
      <c r="F486" s="1" t="s">
        <v>55</v>
      </c>
      <c r="G486" s="1" t="s">
        <v>56</v>
      </c>
      <c r="H486" s="1" t="s">
        <v>57</v>
      </c>
      <c r="I486" s="1" t="s">
        <v>58</v>
      </c>
      <c r="J486" s="1" t="s">
        <v>59</v>
      </c>
      <c r="K486" s="1" t="s">
        <v>104</v>
      </c>
      <c r="L486" s="1" t="s">
        <v>136</v>
      </c>
      <c r="M486" s="1" t="s">
        <v>38</v>
      </c>
      <c r="N486" s="1" t="n">
        <v>6999</v>
      </c>
      <c r="O486" s="1" t="n">
        <v>5</v>
      </c>
      <c r="P486" s="1" t="n">
        <v>349.95</v>
      </c>
      <c r="Q486" s="1" t="n">
        <v>6649.05</v>
      </c>
      <c r="R486" s="1" t="n">
        <v>1196.83</v>
      </c>
      <c r="S486" s="1" t="n">
        <v>5452.22</v>
      </c>
      <c r="T486" s="1" t="n">
        <v>2631.92</v>
      </c>
      <c r="U486" s="1" t="n">
        <v>2820.3</v>
      </c>
      <c r="V486" s="1" t="n">
        <v>51.73</v>
      </c>
      <c r="W486" s="1" t="s">
        <v>40</v>
      </c>
      <c r="Y486" s="1" t="s">
        <v>40</v>
      </c>
      <c r="Z486" s="1" t="n">
        <v>0</v>
      </c>
    </row>
    <row r="487" customFormat="false" ht="15" hidden="false" customHeight="true" outlineLevel="0" collapsed="false">
      <c r="A487" s="1" t="s">
        <v>1003</v>
      </c>
      <c r="B487" s="1" t="s">
        <v>1004</v>
      </c>
      <c r="C487" s="1" t="s">
        <v>74</v>
      </c>
      <c r="D487" s="1" t="s">
        <v>44</v>
      </c>
      <c r="E487" s="1" t="s">
        <v>45</v>
      </c>
      <c r="F487" s="1" t="s">
        <v>31</v>
      </c>
      <c r="G487" s="1" t="s">
        <v>32</v>
      </c>
      <c r="H487" s="1" t="s">
        <v>33</v>
      </c>
      <c r="I487" s="1" t="s">
        <v>83</v>
      </c>
      <c r="J487" s="1" t="s">
        <v>59</v>
      </c>
      <c r="K487" s="1" t="s">
        <v>36</v>
      </c>
      <c r="L487" s="1" t="s">
        <v>37</v>
      </c>
      <c r="M487" s="1" t="s">
        <v>62</v>
      </c>
      <c r="N487" s="1" t="n">
        <v>11999</v>
      </c>
      <c r="O487" s="1" t="n">
        <v>0</v>
      </c>
      <c r="P487" s="1" t="n">
        <v>0</v>
      </c>
      <c r="Q487" s="1" t="n">
        <v>11999</v>
      </c>
      <c r="R487" s="1" t="n">
        <v>2159.82</v>
      </c>
      <c r="S487" s="1" t="n">
        <v>9839.18</v>
      </c>
      <c r="T487" s="1" t="n">
        <v>3620.69</v>
      </c>
      <c r="U487" s="1" t="n">
        <v>6218.49</v>
      </c>
      <c r="V487" s="1" t="n">
        <v>63.2</v>
      </c>
      <c r="W487" s="1" t="s">
        <v>39</v>
      </c>
      <c r="X487" s="1" t="n">
        <v>3.6</v>
      </c>
      <c r="Y487" s="1" t="s">
        <v>40</v>
      </c>
      <c r="Z487" s="1" t="n">
        <v>0</v>
      </c>
    </row>
    <row r="488" customFormat="false" ht="15" hidden="false" customHeight="true" outlineLevel="0" collapsed="false">
      <c r="A488" s="1" t="s">
        <v>1005</v>
      </c>
      <c r="B488" s="1" t="s">
        <v>421</v>
      </c>
      <c r="C488" s="1" t="s">
        <v>88</v>
      </c>
      <c r="D488" s="1" t="s">
        <v>143</v>
      </c>
      <c r="E488" s="1" t="s">
        <v>159</v>
      </c>
      <c r="F488" s="1" t="s">
        <v>153</v>
      </c>
      <c r="G488" s="1" t="s">
        <v>76</v>
      </c>
      <c r="H488" s="1" t="s">
        <v>33</v>
      </c>
      <c r="I488" s="1" t="s">
        <v>58</v>
      </c>
      <c r="J488" s="1" t="s">
        <v>70</v>
      </c>
      <c r="K488" s="1" t="s">
        <v>71</v>
      </c>
      <c r="L488" s="1" t="s">
        <v>113</v>
      </c>
      <c r="M488" s="1" t="s">
        <v>38</v>
      </c>
      <c r="N488" s="1" t="n">
        <v>24999</v>
      </c>
      <c r="O488" s="1" t="n">
        <v>0</v>
      </c>
      <c r="P488" s="1" t="n">
        <v>0</v>
      </c>
      <c r="Q488" s="1" t="n">
        <v>24999</v>
      </c>
      <c r="R488" s="1" t="n">
        <v>4499.82</v>
      </c>
      <c r="S488" s="1" t="n">
        <v>20499.18</v>
      </c>
      <c r="T488" s="1" t="n">
        <v>9015.06</v>
      </c>
      <c r="U488" s="1" t="n">
        <v>11484.12</v>
      </c>
      <c r="V488" s="1" t="n">
        <v>56.02</v>
      </c>
      <c r="W488" s="1" t="s">
        <v>39</v>
      </c>
      <c r="X488" s="1" t="n">
        <v>4.3</v>
      </c>
      <c r="Y488" s="1" t="s">
        <v>40</v>
      </c>
      <c r="Z488" s="1" t="n">
        <v>0</v>
      </c>
    </row>
    <row r="489" customFormat="false" ht="15" hidden="false" customHeight="true" outlineLevel="0" collapsed="false">
      <c r="A489" s="1" t="s">
        <v>1006</v>
      </c>
      <c r="B489" s="1" t="s">
        <v>776</v>
      </c>
      <c r="C489" s="1" t="s">
        <v>516</v>
      </c>
      <c r="D489" s="1" t="s">
        <v>94</v>
      </c>
      <c r="E489" s="1" t="s">
        <v>95</v>
      </c>
      <c r="F489" s="1" t="s">
        <v>244</v>
      </c>
      <c r="G489" s="1" t="s">
        <v>97</v>
      </c>
      <c r="H489" s="1" t="s">
        <v>57</v>
      </c>
      <c r="I489" s="1" t="s">
        <v>58</v>
      </c>
      <c r="J489" s="1" t="s">
        <v>77</v>
      </c>
      <c r="K489" s="1" t="s">
        <v>104</v>
      </c>
      <c r="L489" s="1" t="s">
        <v>113</v>
      </c>
      <c r="M489" s="1" t="s">
        <v>62</v>
      </c>
      <c r="N489" s="1" t="n">
        <v>6999</v>
      </c>
      <c r="O489" s="1" t="n">
        <v>25</v>
      </c>
      <c r="P489" s="1" t="n">
        <v>1749.75</v>
      </c>
      <c r="Q489" s="1" t="n">
        <v>5249.25</v>
      </c>
      <c r="R489" s="1" t="n">
        <v>944.87</v>
      </c>
      <c r="S489" s="1" t="n">
        <v>4304.38</v>
      </c>
      <c r="T489" s="1" t="n">
        <v>1886</v>
      </c>
      <c r="U489" s="1" t="n">
        <v>2418.38</v>
      </c>
      <c r="V489" s="1" t="n">
        <v>56.18</v>
      </c>
      <c r="W489" s="1" t="s">
        <v>39</v>
      </c>
      <c r="Y489" s="1" t="s">
        <v>40</v>
      </c>
      <c r="Z489" s="1" t="n">
        <v>0</v>
      </c>
    </row>
    <row r="490" customFormat="false" ht="15" hidden="false" customHeight="true" outlineLevel="0" collapsed="false">
      <c r="A490" s="1" t="s">
        <v>1007</v>
      </c>
      <c r="B490" s="1" t="s">
        <v>785</v>
      </c>
      <c r="C490" s="1" t="s">
        <v>178</v>
      </c>
      <c r="D490" s="1" t="s">
        <v>168</v>
      </c>
      <c r="E490" s="1" t="s">
        <v>172</v>
      </c>
      <c r="F490" s="1" t="s">
        <v>269</v>
      </c>
      <c r="G490" s="1" t="s">
        <v>108</v>
      </c>
      <c r="H490" s="1" t="s">
        <v>57</v>
      </c>
      <c r="I490" s="1" t="s">
        <v>83</v>
      </c>
      <c r="J490" s="1" t="s">
        <v>77</v>
      </c>
      <c r="K490" s="1" t="s">
        <v>60</v>
      </c>
      <c r="L490" s="1" t="s">
        <v>49</v>
      </c>
      <c r="M490" s="1" t="s">
        <v>38</v>
      </c>
      <c r="N490" s="1" t="n">
        <v>6999</v>
      </c>
      <c r="O490" s="1" t="n">
        <v>40</v>
      </c>
      <c r="P490" s="1" t="n">
        <v>2799.6</v>
      </c>
      <c r="Q490" s="1" t="n">
        <v>4199.4</v>
      </c>
      <c r="R490" s="1" t="n">
        <v>755.89</v>
      </c>
      <c r="S490" s="1" t="n">
        <v>3443.51</v>
      </c>
      <c r="T490" s="1" t="n">
        <v>1612.9</v>
      </c>
      <c r="U490" s="1" t="n">
        <v>1830.61</v>
      </c>
      <c r="V490" s="1" t="n">
        <v>53.16</v>
      </c>
      <c r="W490" s="1" t="s">
        <v>40</v>
      </c>
      <c r="Y490" s="1" t="s">
        <v>40</v>
      </c>
      <c r="Z490" s="1" t="n">
        <v>0</v>
      </c>
    </row>
    <row r="491" customFormat="false" ht="15" hidden="false" customHeight="true" outlineLevel="0" collapsed="false">
      <c r="A491" s="1" t="s">
        <v>1008</v>
      </c>
      <c r="B491" s="1" t="s">
        <v>1009</v>
      </c>
      <c r="C491" s="1" t="s">
        <v>249</v>
      </c>
      <c r="D491" s="1" t="s">
        <v>53</v>
      </c>
      <c r="E491" s="1" t="s">
        <v>54</v>
      </c>
      <c r="F491" s="1" t="s">
        <v>153</v>
      </c>
      <c r="G491" s="1" t="s">
        <v>76</v>
      </c>
      <c r="H491" s="1" t="s">
        <v>33</v>
      </c>
      <c r="I491" s="1" t="s">
        <v>34</v>
      </c>
      <c r="J491" s="1" t="s">
        <v>77</v>
      </c>
      <c r="K491" s="1" t="s">
        <v>112</v>
      </c>
      <c r="L491" s="1" t="s">
        <v>37</v>
      </c>
      <c r="M491" s="1" t="s">
        <v>38</v>
      </c>
      <c r="N491" s="1" t="n">
        <v>11999</v>
      </c>
      <c r="O491" s="1" t="n">
        <v>0</v>
      </c>
      <c r="P491" s="1" t="n">
        <v>0</v>
      </c>
      <c r="Q491" s="1" t="n">
        <v>11999</v>
      </c>
      <c r="R491" s="1" t="n">
        <v>2159.82</v>
      </c>
      <c r="S491" s="1" t="n">
        <v>9839.18</v>
      </c>
      <c r="T491" s="1" t="n">
        <v>4400.15</v>
      </c>
      <c r="U491" s="1" t="n">
        <v>5439.03</v>
      </c>
      <c r="V491" s="1" t="n">
        <v>55.28</v>
      </c>
      <c r="W491" s="1" t="s">
        <v>39</v>
      </c>
      <c r="X491" s="1" t="n">
        <v>3.3</v>
      </c>
      <c r="Y491" s="1" t="s">
        <v>40</v>
      </c>
      <c r="Z491" s="1" t="n">
        <v>2</v>
      </c>
    </row>
    <row r="492" customFormat="false" ht="15" hidden="false" customHeight="true" outlineLevel="0" collapsed="false">
      <c r="A492" s="1" t="s">
        <v>1010</v>
      </c>
      <c r="B492" s="1" t="s">
        <v>1011</v>
      </c>
      <c r="C492" s="1" t="s">
        <v>128</v>
      </c>
      <c r="D492" s="1" t="s">
        <v>53</v>
      </c>
      <c r="E492" s="1" t="s">
        <v>116</v>
      </c>
      <c r="F492" s="1" t="s">
        <v>55</v>
      </c>
      <c r="G492" s="1" t="s">
        <v>56</v>
      </c>
      <c r="H492" s="1" t="s">
        <v>57</v>
      </c>
      <c r="I492" s="1" t="s">
        <v>34</v>
      </c>
      <c r="J492" s="1" t="s">
        <v>59</v>
      </c>
      <c r="K492" s="1" t="s">
        <v>71</v>
      </c>
      <c r="L492" s="1" t="s">
        <v>37</v>
      </c>
      <c r="M492" s="1" t="s">
        <v>50</v>
      </c>
      <c r="N492" s="1" t="n">
        <v>9999</v>
      </c>
      <c r="O492" s="1" t="n">
        <v>0</v>
      </c>
      <c r="P492" s="1" t="n">
        <v>0</v>
      </c>
      <c r="Q492" s="1" t="n">
        <v>9999</v>
      </c>
      <c r="R492" s="1" t="n">
        <v>1799.82</v>
      </c>
      <c r="S492" s="1" t="n">
        <v>8199.18</v>
      </c>
      <c r="T492" s="1" t="n">
        <v>3926.55</v>
      </c>
      <c r="U492" s="1" t="n">
        <v>4272.63</v>
      </c>
      <c r="V492" s="1" t="n">
        <v>52.11</v>
      </c>
      <c r="W492" s="1" t="s">
        <v>39</v>
      </c>
      <c r="Y492" s="1" t="s">
        <v>40</v>
      </c>
      <c r="Z492" s="1" t="n">
        <v>0</v>
      </c>
    </row>
    <row r="493" customFormat="false" ht="15" hidden="false" customHeight="true" outlineLevel="0" collapsed="false">
      <c r="A493" s="1" t="s">
        <v>1012</v>
      </c>
      <c r="B493" s="1" t="s">
        <v>996</v>
      </c>
      <c r="C493" s="1" t="s">
        <v>134</v>
      </c>
      <c r="D493" s="1" t="s">
        <v>168</v>
      </c>
      <c r="E493" s="1" t="s">
        <v>172</v>
      </c>
      <c r="F493" s="1" t="s">
        <v>244</v>
      </c>
      <c r="G493" s="1" t="s">
        <v>97</v>
      </c>
      <c r="H493" s="1" t="s">
        <v>57</v>
      </c>
      <c r="I493" s="1" t="s">
        <v>83</v>
      </c>
      <c r="J493" s="1" t="s">
        <v>131</v>
      </c>
      <c r="K493" s="1" t="s">
        <v>104</v>
      </c>
      <c r="L493" s="1" t="s">
        <v>85</v>
      </c>
      <c r="M493" s="1" t="s">
        <v>50</v>
      </c>
      <c r="N493" s="1" t="n">
        <v>6999</v>
      </c>
      <c r="O493" s="1" t="n">
        <v>0</v>
      </c>
      <c r="P493" s="1" t="n">
        <v>0</v>
      </c>
      <c r="Q493" s="1" t="n">
        <v>6999</v>
      </c>
      <c r="R493" s="1" t="n">
        <v>1259.82</v>
      </c>
      <c r="S493" s="1" t="n">
        <v>5739.18</v>
      </c>
      <c r="T493" s="1" t="n">
        <v>2727.96</v>
      </c>
      <c r="U493" s="1" t="n">
        <v>3011.22</v>
      </c>
      <c r="V493" s="1" t="n">
        <v>52.47</v>
      </c>
      <c r="W493" s="1" t="s">
        <v>39</v>
      </c>
      <c r="Y493" s="1" t="s">
        <v>40</v>
      </c>
      <c r="Z493" s="1" t="n">
        <v>0</v>
      </c>
    </row>
    <row r="494" customFormat="false" ht="15" hidden="false" customHeight="true" outlineLevel="0" collapsed="false">
      <c r="A494" s="1" t="s">
        <v>1013</v>
      </c>
      <c r="B494" s="1" t="s">
        <v>338</v>
      </c>
      <c r="C494" s="1" t="s">
        <v>178</v>
      </c>
      <c r="D494" s="1" t="s">
        <v>53</v>
      </c>
      <c r="E494" s="1" t="s">
        <v>216</v>
      </c>
      <c r="F494" s="1" t="s">
        <v>96</v>
      </c>
      <c r="G494" s="1" t="s">
        <v>97</v>
      </c>
      <c r="H494" s="1" t="s">
        <v>69</v>
      </c>
      <c r="I494" s="1" t="s">
        <v>58</v>
      </c>
      <c r="J494" s="1" t="s">
        <v>59</v>
      </c>
      <c r="K494" s="1" t="s">
        <v>84</v>
      </c>
      <c r="L494" s="1" t="s">
        <v>49</v>
      </c>
      <c r="M494" s="1" t="s">
        <v>50</v>
      </c>
      <c r="N494" s="1" t="n">
        <v>7499</v>
      </c>
      <c r="O494" s="1" t="n">
        <v>15</v>
      </c>
      <c r="P494" s="1" t="n">
        <v>1124.85</v>
      </c>
      <c r="Q494" s="1" t="n">
        <v>6374.15</v>
      </c>
      <c r="R494" s="1" t="n">
        <v>1147.35</v>
      </c>
      <c r="S494" s="1" t="n">
        <v>5226.8</v>
      </c>
      <c r="T494" s="1" t="n">
        <v>2468.87</v>
      </c>
      <c r="U494" s="1" t="n">
        <v>2757.93</v>
      </c>
      <c r="V494" s="1" t="n">
        <v>52.77</v>
      </c>
      <c r="W494" s="1" t="s">
        <v>40</v>
      </c>
      <c r="Y494" s="1" t="s">
        <v>40</v>
      </c>
      <c r="Z494" s="1" t="n">
        <v>0</v>
      </c>
    </row>
    <row r="495" customFormat="false" ht="15" hidden="false" customHeight="true" outlineLevel="0" collapsed="false">
      <c r="A495" s="1" t="s">
        <v>1014</v>
      </c>
      <c r="B495" s="1" t="s">
        <v>1015</v>
      </c>
      <c r="C495" s="1" t="s">
        <v>139</v>
      </c>
      <c r="D495" s="1" t="s">
        <v>123</v>
      </c>
      <c r="E495" s="1" t="s">
        <v>124</v>
      </c>
      <c r="F495" s="1" t="s">
        <v>211</v>
      </c>
      <c r="G495" s="1" t="s">
        <v>56</v>
      </c>
      <c r="H495" s="1" t="s">
        <v>69</v>
      </c>
      <c r="I495" s="1" t="s">
        <v>83</v>
      </c>
      <c r="J495" s="1" t="s">
        <v>131</v>
      </c>
      <c r="K495" s="1" t="s">
        <v>84</v>
      </c>
      <c r="L495" s="1" t="s">
        <v>136</v>
      </c>
      <c r="M495" s="1" t="s">
        <v>38</v>
      </c>
      <c r="N495" s="1" t="n">
        <v>4999</v>
      </c>
      <c r="O495" s="1" t="n">
        <v>15</v>
      </c>
      <c r="P495" s="1" t="n">
        <v>749.85</v>
      </c>
      <c r="Q495" s="1" t="n">
        <v>4249.15</v>
      </c>
      <c r="R495" s="1" t="n">
        <v>764.85</v>
      </c>
      <c r="S495" s="1" t="n">
        <v>3484.3</v>
      </c>
      <c r="T495" s="1" t="n">
        <v>1489.21</v>
      </c>
      <c r="U495" s="1" t="n">
        <v>1995.09</v>
      </c>
      <c r="V495" s="1" t="n">
        <v>57.26</v>
      </c>
      <c r="W495" s="1" t="s">
        <v>39</v>
      </c>
      <c r="Y495" s="1" t="s">
        <v>40</v>
      </c>
      <c r="Z495" s="1" t="n">
        <v>0</v>
      </c>
    </row>
    <row r="496" customFormat="false" ht="15" hidden="false" customHeight="true" outlineLevel="0" collapsed="false">
      <c r="A496" s="1" t="s">
        <v>1016</v>
      </c>
      <c r="B496" s="1" t="s">
        <v>1002</v>
      </c>
      <c r="C496" s="1" t="s">
        <v>119</v>
      </c>
      <c r="D496" s="1" t="s">
        <v>29</v>
      </c>
      <c r="E496" s="1" t="s">
        <v>30</v>
      </c>
      <c r="F496" s="1" t="s">
        <v>125</v>
      </c>
      <c r="G496" s="1" t="s">
        <v>108</v>
      </c>
      <c r="H496" s="1" t="s">
        <v>69</v>
      </c>
      <c r="I496" s="1" t="s">
        <v>58</v>
      </c>
      <c r="J496" s="1" t="s">
        <v>70</v>
      </c>
      <c r="K496" s="1" t="s">
        <v>112</v>
      </c>
      <c r="L496" s="1" t="s">
        <v>61</v>
      </c>
      <c r="M496" s="1" t="s">
        <v>62</v>
      </c>
      <c r="N496" s="1" t="n">
        <v>7999</v>
      </c>
      <c r="O496" s="1" t="n">
        <v>10</v>
      </c>
      <c r="P496" s="1" t="n">
        <v>799.9</v>
      </c>
      <c r="Q496" s="1" t="n">
        <v>7199.1</v>
      </c>
      <c r="R496" s="1" t="n">
        <v>1295.84</v>
      </c>
      <c r="S496" s="1" t="n">
        <v>5903.26</v>
      </c>
      <c r="T496" s="1" t="n">
        <v>2260.87</v>
      </c>
      <c r="U496" s="1" t="n">
        <v>3642.39</v>
      </c>
      <c r="V496" s="1" t="n">
        <v>61.7</v>
      </c>
      <c r="W496" s="1" t="s">
        <v>40</v>
      </c>
      <c r="Y496" s="1" t="s">
        <v>40</v>
      </c>
      <c r="Z496" s="1" t="n">
        <v>0</v>
      </c>
    </row>
    <row r="497" customFormat="false" ht="15" hidden="false" customHeight="true" outlineLevel="0" collapsed="false">
      <c r="A497" s="1" t="s">
        <v>1017</v>
      </c>
      <c r="B497" s="1" t="s">
        <v>1018</v>
      </c>
      <c r="C497" s="1" t="s">
        <v>28</v>
      </c>
      <c r="D497" s="1" t="s">
        <v>94</v>
      </c>
      <c r="E497" s="1" t="s">
        <v>135</v>
      </c>
      <c r="F497" s="1" t="s">
        <v>187</v>
      </c>
      <c r="G497" s="1" t="s">
        <v>97</v>
      </c>
      <c r="H497" s="1" t="s">
        <v>69</v>
      </c>
      <c r="I497" s="1" t="s">
        <v>58</v>
      </c>
      <c r="J497" s="1" t="s">
        <v>77</v>
      </c>
      <c r="K497" s="1" t="s">
        <v>36</v>
      </c>
      <c r="L497" s="1" t="s">
        <v>37</v>
      </c>
      <c r="M497" s="1" t="s">
        <v>38</v>
      </c>
      <c r="N497" s="1" t="n">
        <v>9999</v>
      </c>
      <c r="O497" s="1" t="n">
        <v>0</v>
      </c>
      <c r="P497" s="1" t="n">
        <v>0</v>
      </c>
      <c r="Q497" s="1" t="n">
        <v>9999</v>
      </c>
      <c r="R497" s="1" t="n">
        <v>1799.82</v>
      </c>
      <c r="S497" s="1" t="n">
        <v>8199.18</v>
      </c>
      <c r="T497" s="1" t="n">
        <v>3139.61</v>
      </c>
      <c r="U497" s="1" t="n">
        <v>5059.57</v>
      </c>
      <c r="V497" s="1" t="n">
        <v>61.71</v>
      </c>
      <c r="W497" s="1" t="s">
        <v>39</v>
      </c>
      <c r="X497" s="1" t="n">
        <v>3.6</v>
      </c>
      <c r="Y497" s="1" t="s">
        <v>40</v>
      </c>
      <c r="Z497" s="1" t="n">
        <v>0</v>
      </c>
    </row>
    <row r="498" customFormat="false" ht="15" hidden="false" customHeight="true" outlineLevel="0" collapsed="false">
      <c r="A498" s="1" t="s">
        <v>1019</v>
      </c>
      <c r="B498" s="1" t="s">
        <v>470</v>
      </c>
      <c r="C498" s="1" t="s">
        <v>74</v>
      </c>
      <c r="D498" s="1" t="s">
        <v>29</v>
      </c>
      <c r="E498" s="1" t="s">
        <v>129</v>
      </c>
      <c r="F498" s="1" t="s">
        <v>31</v>
      </c>
      <c r="G498" s="1" t="s">
        <v>32</v>
      </c>
      <c r="H498" s="1" t="s">
        <v>33</v>
      </c>
      <c r="I498" s="1" t="s">
        <v>34</v>
      </c>
      <c r="J498" s="1" t="s">
        <v>35</v>
      </c>
      <c r="K498" s="1" t="s">
        <v>48</v>
      </c>
      <c r="L498" s="1" t="s">
        <v>136</v>
      </c>
      <c r="M498" s="1" t="s">
        <v>50</v>
      </c>
      <c r="N498" s="1" t="n">
        <v>29999</v>
      </c>
      <c r="O498" s="1" t="n">
        <v>5</v>
      </c>
      <c r="P498" s="1" t="n">
        <v>1499.95</v>
      </c>
      <c r="Q498" s="1" t="n">
        <v>28499.05</v>
      </c>
      <c r="R498" s="1" t="n">
        <v>5129.83</v>
      </c>
      <c r="S498" s="1" t="n">
        <v>23369.22</v>
      </c>
      <c r="T498" s="1" t="n">
        <v>9818.65</v>
      </c>
      <c r="U498" s="1" t="n">
        <v>13550.57</v>
      </c>
      <c r="V498" s="1" t="n">
        <v>57.98</v>
      </c>
      <c r="W498" s="1" t="s">
        <v>39</v>
      </c>
      <c r="X498" s="1" t="n">
        <v>4.1</v>
      </c>
      <c r="Y498" s="1" t="s">
        <v>39</v>
      </c>
      <c r="Z498" s="1" t="n">
        <v>0</v>
      </c>
    </row>
    <row r="499" customFormat="false" ht="15" hidden="false" customHeight="true" outlineLevel="0" collapsed="false">
      <c r="A499" s="1" t="s">
        <v>1020</v>
      </c>
      <c r="B499" s="1" t="s">
        <v>1021</v>
      </c>
      <c r="C499" s="1" t="s">
        <v>119</v>
      </c>
      <c r="D499" s="1" t="s">
        <v>29</v>
      </c>
      <c r="E499" s="1" t="s">
        <v>129</v>
      </c>
      <c r="F499" s="1" t="s">
        <v>46</v>
      </c>
      <c r="G499" s="1" t="s">
        <v>47</v>
      </c>
      <c r="H499" s="1" t="s">
        <v>33</v>
      </c>
      <c r="I499" s="1" t="s">
        <v>83</v>
      </c>
      <c r="J499" s="1" t="s">
        <v>77</v>
      </c>
      <c r="K499" s="1" t="s">
        <v>36</v>
      </c>
      <c r="L499" s="1" t="s">
        <v>85</v>
      </c>
      <c r="M499" s="1" t="s">
        <v>38</v>
      </c>
      <c r="N499" s="1" t="n">
        <v>29999</v>
      </c>
      <c r="O499" s="1" t="n">
        <v>25</v>
      </c>
      <c r="P499" s="1" t="n">
        <v>7499.75</v>
      </c>
      <c r="Q499" s="1" t="n">
        <v>22499.25</v>
      </c>
      <c r="R499" s="1" t="n">
        <v>4049.86</v>
      </c>
      <c r="S499" s="1" t="n">
        <v>18449.39</v>
      </c>
      <c r="T499" s="1" t="n">
        <v>8961.71</v>
      </c>
      <c r="U499" s="1" t="n">
        <v>9487.68</v>
      </c>
      <c r="V499" s="1" t="n">
        <v>51.43</v>
      </c>
      <c r="W499" s="1" t="s">
        <v>39</v>
      </c>
      <c r="Y499" s="1" t="s">
        <v>40</v>
      </c>
      <c r="Z499" s="1" t="n">
        <v>0</v>
      </c>
    </row>
    <row r="500" customFormat="false" ht="15" hidden="false" customHeight="true" outlineLevel="0" collapsed="false">
      <c r="A500" s="1" t="s">
        <v>1022</v>
      </c>
      <c r="B500" s="1" t="s">
        <v>1023</v>
      </c>
      <c r="C500" s="1" t="s">
        <v>139</v>
      </c>
      <c r="D500" s="1" t="s">
        <v>168</v>
      </c>
      <c r="E500" s="1" t="s">
        <v>172</v>
      </c>
      <c r="F500" s="1" t="s">
        <v>75</v>
      </c>
      <c r="G500" s="1" t="s">
        <v>76</v>
      </c>
      <c r="H500" s="1" t="s">
        <v>69</v>
      </c>
      <c r="I500" s="1" t="s">
        <v>83</v>
      </c>
      <c r="J500" s="1" t="s">
        <v>77</v>
      </c>
      <c r="K500" s="1" t="s">
        <v>48</v>
      </c>
      <c r="L500" s="1" t="s">
        <v>136</v>
      </c>
      <c r="M500" s="1" t="s">
        <v>50</v>
      </c>
      <c r="N500" s="1" t="n">
        <v>6999</v>
      </c>
      <c r="O500" s="1" t="n">
        <v>0</v>
      </c>
      <c r="P500" s="1" t="n">
        <v>0</v>
      </c>
      <c r="Q500" s="1" t="n">
        <v>6999</v>
      </c>
      <c r="R500" s="1" t="n">
        <v>1259.82</v>
      </c>
      <c r="S500" s="1" t="n">
        <v>5739.18</v>
      </c>
      <c r="T500" s="1" t="n">
        <v>1971.11</v>
      </c>
      <c r="U500" s="1" t="n">
        <v>3768.07</v>
      </c>
      <c r="V500" s="1" t="n">
        <v>65.66</v>
      </c>
      <c r="W500" s="1" t="s">
        <v>40</v>
      </c>
      <c r="Y500" s="1" t="s">
        <v>39</v>
      </c>
      <c r="Z500" s="1" t="n">
        <v>0</v>
      </c>
    </row>
    <row r="501" customFormat="false" ht="15" hidden="false" customHeight="true" outlineLevel="0" collapsed="false">
      <c r="A501" s="1" t="s">
        <v>1024</v>
      </c>
      <c r="B501" s="1" t="s">
        <v>1025</v>
      </c>
      <c r="C501" s="1" t="s">
        <v>100</v>
      </c>
      <c r="D501" s="1" t="s">
        <v>168</v>
      </c>
      <c r="E501" s="1" t="s">
        <v>197</v>
      </c>
      <c r="F501" s="1" t="s">
        <v>55</v>
      </c>
      <c r="G501" s="1" t="s">
        <v>56</v>
      </c>
      <c r="H501" s="1" t="s">
        <v>57</v>
      </c>
      <c r="I501" s="1" t="s">
        <v>58</v>
      </c>
      <c r="J501" s="1" t="s">
        <v>131</v>
      </c>
      <c r="K501" s="1" t="s">
        <v>84</v>
      </c>
      <c r="L501" s="1" t="s">
        <v>113</v>
      </c>
      <c r="M501" s="1" t="s">
        <v>38</v>
      </c>
      <c r="N501" s="1" t="n">
        <v>8499</v>
      </c>
      <c r="O501" s="1" t="n">
        <v>10</v>
      </c>
      <c r="P501" s="1" t="n">
        <v>849.9</v>
      </c>
      <c r="Q501" s="1" t="n">
        <v>7649.1</v>
      </c>
      <c r="R501" s="1" t="n">
        <v>1376.84</v>
      </c>
      <c r="S501" s="1" t="n">
        <v>6272.26</v>
      </c>
      <c r="T501" s="1" t="n">
        <v>3275.26</v>
      </c>
      <c r="U501" s="1" t="n">
        <v>2997</v>
      </c>
      <c r="V501" s="1" t="n">
        <v>47.78</v>
      </c>
      <c r="W501" s="1" t="s">
        <v>40</v>
      </c>
      <c r="Y501" s="1" t="s">
        <v>40</v>
      </c>
      <c r="Z501" s="1" t="n">
        <v>0</v>
      </c>
    </row>
    <row r="502" customFormat="false" ht="15" hidden="false" customHeight="true" outlineLevel="0" collapsed="false">
      <c r="A502" s="1" t="s">
        <v>1026</v>
      </c>
      <c r="B502" s="1" t="s">
        <v>675</v>
      </c>
      <c r="C502" s="1" t="s">
        <v>128</v>
      </c>
      <c r="D502" s="1" t="s">
        <v>29</v>
      </c>
      <c r="E502" s="1" t="s">
        <v>129</v>
      </c>
      <c r="F502" s="1" t="s">
        <v>107</v>
      </c>
      <c r="G502" s="1" t="s">
        <v>108</v>
      </c>
      <c r="H502" s="1" t="s">
        <v>33</v>
      </c>
      <c r="I502" s="1" t="s">
        <v>58</v>
      </c>
      <c r="J502" s="1" t="s">
        <v>70</v>
      </c>
      <c r="K502" s="1" t="s">
        <v>48</v>
      </c>
      <c r="L502" s="1" t="s">
        <v>49</v>
      </c>
      <c r="M502" s="1" t="s">
        <v>38</v>
      </c>
      <c r="N502" s="1" t="n">
        <v>29999</v>
      </c>
      <c r="O502" s="1" t="n">
        <v>10</v>
      </c>
      <c r="P502" s="1" t="n">
        <v>2999.9</v>
      </c>
      <c r="Q502" s="1" t="n">
        <v>26999.1</v>
      </c>
      <c r="R502" s="1" t="n">
        <v>4859.84</v>
      </c>
      <c r="S502" s="1" t="n">
        <v>22139.26</v>
      </c>
      <c r="T502" s="1" t="n">
        <v>10615.19</v>
      </c>
      <c r="U502" s="1" t="n">
        <v>11524.07</v>
      </c>
      <c r="V502" s="1" t="n">
        <v>52.05</v>
      </c>
      <c r="W502" s="1" t="s">
        <v>39</v>
      </c>
      <c r="X502" s="1" t="n">
        <v>4.3</v>
      </c>
      <c r="Y502" s="1" t="s">
        <v>40</v>
      </c>
      <c r="Z502" s="1" t="n">
        <v>1</v>
      </c>
    </row>
    <row r="503" customFormat="false" ht="15" hidden="false" customHeight="true" outlineLevel="0" collapsed="false">
      <c r="A503" s="1" t="s">
        <v>1027</v>
      </c>
      <c r="B503" s="1" t="s">
        <v>649</v>
      </c>
      <c r="C503" s="1" t="s">
        <v>43</v>
      </c>
      <c r="D503" s="1" t="s">
        <v>29</v>
      </c>
      <c r="E503" s="1" t="s">
        <v>30</v>
      </c>
      <c r="F503" s="1" t="s">
        <v>55</v>
      </c>
      <c r="G503" s="1" t="s">
        <v>56</v>
      </c>
      <c r="H503" s="1" t="s">
        <v>57</v>
      </c>
      <c r="I503" s="1" t="s">
        <v>83</v>
      </c>
      <c r="J503" s="1" t="s">
        <v>59</v>
      </c>
      <c r="K503" s="1" t="s">
        <v>48</v>
      </c>
      <c r="L503" s="1" t="s">
        <v>113</v>
      </c>
      <c r="M503" s="1" t="s">
        <v>38</v>
      </c>
      <c r="N503" s="1" t="n">
        <v>7999</v>
      </c>
      <c r="O503" s="1" t="n">
        <v>0</v>
      </c>
      <c r="P503" s="1" t="n">
        <v>0</v>
      </c>
      <c r="Q503" s="1" t="n">
        <v>7999</v>
      </c>
      <c r="R503" s="1" t="n">
        <v>1439.82</v>
      </c>
      <c r="S503" s="1" t="n">
        <v>6559.18</v>
      </c>
      <c r="T503" s="1" t="n">
        <v>2194.49</v>
      </c>
      <c r="U503" s="1" t="n">
        <v>4364.69</v>
      </c>
      <c r="V503" s="1" t="n">
        <v>66.54</v>
      </c>
      <c r="W503" s="1" t="s">
        <v>39</v>
      </c>
      <c r="X503" s="1" t="n">
        <v>4.9</v>
      </c>
      <c r="Y503" s="1" t="s">
        <v>40</v>
      </c>
      <c r="Z503" s="1" t="n">
        <v>1</v>
      </c>
    </row>
    <row r="504" customFormat="false" ht="15" hidden="false" customHeight="true" outlineLevel="0" collapsed="false">
      <c r="A504" s="1" t="s">
        <v>1028</v>
      </c>
      <c r="B504" s="1" t="s">
        <v>1029</v>
      </c>
      <c r="C504" s="1" t="s">
        <v>134</v>
      </c>
      <c r="D504" s="1" t="s">
        <v>29</v>
      </c>
      <c r="E504" s="1" t="s">
        <v>305</v>
      </c>
      <c r="F504" s="1" t="s">
        <v>140</v>
      </c>
      <c r="G504" s="1" t="s">
        <v>97</v>
      </c>
      <c r="H504" s="1" t="s">
        <v>57</v>
      </c>
      <c r="I504" s="1" t="s">
        <v>83</v>
      </c>
      <c r="J504" s="1" t="s">
        <v>70</v>
      </c>
      <c r="K504" s="1" t="s">
        <v>112</v>
      </c>
      <c r="L504" s="1" t="s">
        <v>85</v>
      </c>
      <c r="M504" s="1" t="s">
        <v>38</v>
      </c>
      <c r="N504" s="1" t="n">
        <v>24999</v>
      </c>
      <c r="O504" s="1" t="n">
        <v>0</v>
      </c>
      <c r="P504" s="1" t="n">
        <v>0</v>
      </c>
      <c r="Q504" s="1" t="n">
        <v>24999</v>
      </c>
      <c r="R504" s="1" t="n">
        <v>4499.82</v>
      </c>
      <c r="S504" s="1" t="n">
        <v>20499.18</v>
      </c>
      <c r="T504" s="1" t="n">
        <v>7528.23</v>
      </c>
      <c r="U504" s="1" t="n">
        <v>12970.95</v>
      </c>
      <c r="V504" s="1" t="n">
        <v>63.28</v>
      </c>
      <c r="W504" s="1" t="s">
        <v>40</v>
      </c>
      <c r="Y504" s="1" t="s">
        <v>40</v>
      </c>
      <c r="Z504" s="1" t="n">
        <v>0</v>
      </c>
    </row>
    <row r="505" customFormat="false" ht="15" hidden="false" customHeight="true" outlineLevel="0" collapsed="false">
      <c r="A505" s="1" t="s">
        <v>1030</v>
      </c>
      <c r="B505" s="1" t="s">
        <v>1031</v>
      </c>
      <c r="C505" s="1" t="s">
        <v>264</v>
      </c>
      <c r="D505" s="1" t="s">
        <v>29</v>
      </c>
      <c r="E505" s="1" t="s">
        <v>129</v>
      </c>
      <c r="F505" s="1" t="s">
        <v>130</v>
      </c>
      <c r="G505" s="1" t="s">
        <v>47</v>
      </c>
      <c r="H505" s="1" t="s">
        <v>69</v>
      </c>
      <c r="I505" s="1" t="s">
        <v>58</v>
      </c>
      <c r="J505" s="1" t="s">
        <v>70</v>
      </c>
      <c r="K505" s="1" t="s">
        <v>36</v>
      </c>
      <c r="L505" s="1" t="s">
        <v>61</v>
      </c>
      <c r="M505" s="1" t="s">
        <v>38</v>
      </c>
      <c r="N505" s="1" t="n">
        <v>29999</v>
      </c>
      <c r="O505" s="1" t="n">
        <v>0</v>
      </c>
      <c r="P505" s="1" t="n">
        <v>0</v>
      </c>
      <c r="Q505" s="1" t="n">
        <v>29999</v>
      </c>
      <c r="R505" s="1" t="n">
        <v>5399.82</v>
      </c>
      <c r="S505" s="1" t="n">
        <v>24599.18</v>
      </c>
      <c r="T505" s="1" t="n">
        <v>6753.64</v>
      </c>
      <c r="U505" s="1" t="n">
        <v>17845.54</v>
      </c>
      <c r="V505" s="1" t="n">
        <v>72.55</v>
      </c>
      <c r="W505" s="1" t="s">
        <v>39</v>
      </c>
      <c r="X505" s="1" t="n">
        <v>4.6</v>
      </c>
      <c r="Y505" s="1" t="s">
        <v>40</v>
      </c>
      <c r="Z505" s="1" t="n">
        <v>1</v>
      </c>
    </row>
    <row r="506" customFormat="false" ht="15" hidden="false" customHeight="true" outlineLevel="0" collapsed="false">
      <c r="A506" s="1" t="s">
        <v>1032</v>
      </c>
      <c r="B506" s="1" t="s">
        <v>385</v>
      </c>
      <c r="C506" s="1" t="s">
        <v>178</v>
      </c>
      <c r="D506" s="1" t="s">
        <v>53</v>
      </c>
      <c r="E506" s="1" t="s">
        <v>216</v>
      </c>
      <c r="F506" s="1" t="s">
        <v>75</v>
      </c>
      <c r="G506" s="1" t="s">
        <v>76</v>
      </c>
      <c r="H506" s="1" t="s">
        <v>69</v>
      </c>
      <c r="I506" s="1" t="s">
        <v>58</v>
      </c>
      <c r="J506" s="1" t="s">
        <v>77</v>
      </c>
      <c r="K506" s="1" t="s">
        <v>90</v>
      </c>
      <c r="L506" s="1" t="s">
        <v>49</v>
      </c>
      <c r="M506" s="1" t="s">
        <v>50</v>
      </c>
      <c r="N506" s="1" t="n">
        <v>7499</v>
      </c>
      <c r="O506" s="1" t="n">
        <v>15</v>
      </c>
      <c r="P506" s="1" t="n">
        <v>1124.85</v>
      </c>
      <c r="Q506" s="1" t="n">
        <v>6374.15</v>
      </c>
      <c r="R506" s="1" t="n">
        <v>1147.35</v>
      </c>
      <c r="S506" s="1" t="n">
        <v>5226.8</v>
      </c>
      <c r="T506" s="1" t="n">
        <v>1739.47</v>
      </c>
      <c r="U506" s="1" t="n">
        <v>3487.33</v>
      </c>
      <c r="V506" s="1" t="n">
        <v>66.72</v>
      </c>
      <c r="W506" s="1" t="s">
        <v>39</v>
      </c>
      <c r="X506" s="1" t="n">
        <v>4.3</v>
      </c>
      <c r="Y506" s="1" t="s">
        <v>40</v>
      </c>
      <c r="Z506" s="1" t="n">
        <v>0</v>
      </c>
    </row>
    <row r="507" customFormat="false" ht="15" hidden="false" customHeight="true" outlineLevel="0" collapsed="false">
      <c r="A507" s="1" t="s">
        <v>1033</v>
      </c>
      <c r="B507" s="1" t="s">
        <v>1034</v>
      </c>
      <c r="C507" s="1" t="s">
        <v>93</v>
      </c>
      <c r="D507" s="1" t="s">
        <v>80</v>
      </c>
      <c r="E507" s="1" t="s">
        <v>81</v>
      </c>
      <c r="F507" s="1" t="s">
        <v>184</v>
      </c>
      <c r="G507" s="1" t="s">
        <v>56</v>
      </c>
      <c r="H507" s="1" t="s">
        <v>57</v>
      </c>
      <c r="I507" s="1" t="s">
        <v>83</v>
      </c>
      <c r="J507" s="1" t="s">
        <v>131</v>
      </c>
      <c r="K507" s="1" t="s">
        <v>104</v>
      </c>
      <c r="L507" s="1" t="s">
        <v>49</v>
      </c>
      <c r="M507" s="1" t="s">
        <v>62</v>
      </c>
      <c r="N507" s="1" t="n">
        <v>12999</v>
      </c>
      <c r="O507" s="1" t="n">
        <v>0</v>
      </c>
      <c r="P507" s="1" t="n">
        <v>0</v>
      </c>
      <c r="Q507" s="1" t="n">
        <v>12999</v>
      </c>
      <c r="R507" s="1" t="n">
        <v>2339.82</v>
      </c>
      <c r="S507" s="1" t="n">
        <v>10659.18</v>
      </c>
      <c r="T507" s="1" t="n">
        <v>5668.95</v>
      </c>
      <c r="U507" s="1" t="n">
        <v>4990.23</v>
      </c>
      <c r="V507" s="1" t="n">
        <v>46.82</v>
      </c>
      <c r="W507" s="1" t="s">
        <v>39</v>
      </c>
      <c r="X507" s="1" t="n">
        <v>2.9</v>
      </c>
      <c r="Y507" s="1" t="s">
        <v>40</v>
      </c>
      <c r="Z507" s="1" t="n">
        <v>0</v>
      </c>
    </row>
    <row r="508" customFormat="false" ht="15" hidden="false" customHeight="true" outlineLevel="0" collapsed="false">
      <c r="A508" s="1" t="s">
        <v>1035</v>
      </c>
      <c r="B508" s="1" t="s">
        <v>1036</v>
      </c>
      <c r="C508" s="1" t="s">
        <v>88</v>
      </c>
      <c r="D508" s="1" t="s">
        <v>143</v>
      </c>
      <c r="E508" s="1" t="s">
        <v>210</v>
      </c>
      <c r="F508" s="1" t="s">
        <v>194</v>
      </c>
      <c r="G508" s="1" t="s">
        <v>103</v>
      </c>
      <c r="H508" s="1" t="s">
        <v>69</v>
      </c>
      <c r="I508" s="1" t="s">
        <v>83</v>
      </c>
      <c r="J508" s="1" t="s">
        <v>35</v>
      </c>
      <c r="K508" s="1" t="s">
        <v>48</v>
      </c>
      <c r="L508" s="1" t="s">
        <v>85</v>
      </c>
      <c r="M508" s="1" t="s">
        <v>50</v>
      </c>
      <c r="N508" s="1" t="n">
        <v>18999</v>
      </c>
      <c r="O508" s="1" t="n">
        <v>25</v>
      </c>
      <c r="P508" s="1" t="n">
        <v>4749.75</v>
      </c>
      <c r="Q508" s="1" t="n">
        <v>14249.25</v>
      </c>
      <c r="R508" s="1" t="n">
        <v>2564.86</v>
      </c>
      <c r="S508" s="1" t="n">
        <v>11684.39</v>
      </c>
      <c r="T508" s="1" t="n">
        <v>5837.58</v>
      </c>
      <c r="U508" s="1" t="n">
        <v>5846.81</v>
      </c>
      <c r="V508" s="1" t="n">
        <v>50.04</v>
      </c>
      <c r="W508" s="1" t="s">
        <v>40</v>
      </c>
      <c r="Y508" s="1" t="s">
        <v>40</v>
      </c>
      <c r="Z508" s="1" t="n">
        <v>1</v>
      </c>
    </row>
    <row r="509" customFormat="false" ht="15" hidden="false" customHeight="true" outlineLevel="0" collapsed="false">
      <c r="A509" s="1" t="s">
        <v>1037</v>
      </c>
      <c r="B509" s="1" t="s">
        <v>237</v>
      </c>
      <c r="C509" s="1" t="s">
        <v>28</v>
      </c>
      <c r="D509" s="1" t="s">
        <v>29</v>
      </c>
      <c r="E509" s="1" t="s">
        <v>305</v>
      </c>
      <c r="F509" s="1" t="s">
        <v>46</v>
      </c>
      <c r="G509" s="1" t="s">
        <v>47</v>
      </c>
      <c r="H509" s="1" t="s">
        <v>33</v>
      </c>
      <c r="I509" s="1" t="s">
        <v>34</v>
      </c>
      <c r="J509" s="1" t="s">
        <v>35</v>
      </c>
      <c r="K509" s="1" t="s">
        <v>71</v>
      </c>
      <c r="L509" s="1" t="s">
        <v>85</v>
      </c>
      <c r="M509" s="1" t="s">
        <v>62</v>
      </c>
      <c r="N509" s="1" t="n">
        <v>24999</v>
      </c>
      <c r="O509" s="1" t="n">
        <v>25</v>
      </c>
      <c r="P509" s="1" t="n">
        <v>6249.75</v>
      </c>
      <c r="Q509" s="1" t="n">
        <v>18749.25</v>
      </c>
      <c r="R509" s="1" t="n">
        <v>3374.86</v>
      </c>
      <c r="S509" s="1" t="n">
        <v>15374.39</v>
      </c>
      <c r="T509" s="1" t="n">
        <v>6663.72</v>
      </c>
      <c r="U509" s="1" t="n">
        <v>8710.67</v>
      </c>
      <c r="V509" s="1" t="n">
        <v>56.66</v>
      </c>
      <c r="W509" s="1" t="s">
        <v>39</v>
      </c>
      <c r="X509" s="1" t="n">
        <v>4.5</v>
      </c>
      <c r="Y509" s="1" t="s">
        <v>40</v>
      </c>
      <c r="Z509" s="1" t="n">
        <v>0</v>
      </c>
    </row>
    <row r="510" customFormat="false" ht="15" hidden="false" customHeight="true" outlineLevel="0" collapsed="false">
      <c r="A510" s="1" t="s">
        <v>1038</v>
      </c>
      <c r="B510" s="1" t="s">
        <v>207</v>
      </c>
      <c r="C510" s="1" t="s">
        <v>43</v>
      </c>
      <c r="D510" s="1" t="s">
        <v>168</v>
      </c>
      <c r="E510" s="1" t="s">
        <v>328</v>
      </c>
      <c r="F510" s="1" t="s">
        <v>140</v>
      </c>
      <c r="G510" s="1" t="s">
        <v>97</v>
      </c>
      <c r="H510" s="1" t="s">
        <v>57</v>
      </c>
      <c r="I510" s="1" t="s">
        <v>34</v>
      </c>
      <c r="J510" s="1" t="s">
        <v>70</v>
      </c>
      <c r="K510" s="1" t="s">
        <v>104</v>
      </c>
      <c r="L510" s="1" t="s">
        <v>113</v>
      </c>
      <c r="M510" s="1" t="s">
        <v>38</v>
      </c>
      <c r="N510" s="1" t="n">
        <v>8999</v>
      </c>
      <c r="O510" s="1" t="n">
        <v>0</v>
      </c>
      <c r="P510" s="1" t="n">
        <v>0</v>
      </c>
      <c r="Q510" s="1" t="n">
        <v>8999</v>
      </c>
      <c r="R510" s="1" t="n">
        <v>1619.82</v>
      </c>
      <c r="S510" s="1" t="n">
        <v>7379.18</v>
      </c>
      <c r="T510" s="1" t="n">
        <v>3097.35</v>
      </c>
      <c r="U510" s="1" t="n">
        <v>4281.83</v>
      </c>
      <c r="V510" s="1" t="n">
        <v>58.03</v>
      </c>
      <c r="W510" s="1" t="s">
        <v>39</v>
      </c>
      <c r="X510" s="1" t="n">
        <v>4.5</v>
      </c>
      <c r="Y510" s="1" t="s">
        <v>40</v>
      </c>
      <c r="Z510" s="1" t="n">
        <v>0</v>
      </c>
    </row>
    <row r="511" customFormat="false" ht="15" hidden="false" customHeight="true" outlineLevel="0" collapsed="false">
      <c r="A511" s="1" t="s">
        <v>1039</v>
      </c>
      <c r="B511" s="1" t="s">
        <v>1040</v>
      </c>
      <c r="C511" s="1" t="s">
        <v>178</v>
      </c>
      <c r="D511" s="1" t="s">
        <v>44</v>
      </c>
      <c r="E511" s="1" t="s">
        <v>66</v>
      </c>
      <c r="F511" s="1" t="s">
        <v>156</v>
      </c>
      <c r="G511" s="1" t="s">
        <v>68</v>
      </c>
      <c r="H511" s="1" t="s">
        <v>57</v>
      </c>
      <c r="I511" s="1" t="s">
        <v>83</v>
      </c>
      <c r="J511" s="1" t="s">
        <v>59</v>
      </c>
      <c r="K511" s="1" t="s">
        <v>71</v>
      </c>
      <c r="L511" s="1" t="s">
        <v>49</v>
      </c>
      <c r="M511" s="1" t="s">
        <v>50</v>
      </c>
      <c r="N511" s="1" t="n">
        <v>12999</v>
      </c>
      <c r="O511" s="1" t="n">
        <v>0</v>
      </c>
      <c r="P511" s="1" t="n">
        <v>0</v>
      </c>
      <c r="Q511" s="1" t="n">
        <v>12999</v>
      </c>
      <c r="R511" s="1" t="n">
        <v>2339.82</v>
      </c>
      <c r="S511" s="1" t="n">
        <v>10659.18</v>
      </c>
      <c r="T511" s="1" t="n">
        <v>4342.73</v>
      </c>
      <c r="U511" s="1" t="n">
        <v>6316.45</v>
      </c>
      <c r="V511" s="1" t="n">
        <v>59.26</v>
      </c>
      <c r="W511" s="1" t="s">
        <v>39</v>
      </c>
      <c r="X511" s="1" t="n">
        <v>3.3</v>
      </c>
      <c r="Y511" s="1" t="s">
        <v>40</v>
      </c>
      <c r="Z511" s="1" t="n">
        <v>0</v>
      </c>
    </row>
    <row r="512" customFormat="false" ht="15" hidden="false" customHeight="true" outlineLevel="0" collapsed="false">
      <c r="A512" s="1" t="s">
        <v>1041</v>
      </c>
      <c r="B512" s="1" t="s">
        <v>1042</v>
      </c>
      <c r="C512" s="1" t="s">
        <v>100</v>
      </c>
      <c r="D512" s="1" t="s">
        <v>123</v>
      </c>
      <c r="E512" s="1" t="s">
        <v>124</v>
      </c>
      <c r="F512" s="1" t="s">
        <v>153</v>
      </c>
      <c r="G512" s="1" t="s">
        <v>76</v>
      </c>
      <c r="H512" s="1" t="s">
        <v>33</v>
      </c>
      <c r="I512" s="1" t="s">
        <v>83</v>
      </c>
      <c r="J512" s="1" t="s">
        <v>35</v>
      </c>
      <c r="K512" s="1" t="s">
        <v>112</v>
      </c>
      <c r="L512" s="1" t="s">
        <v>37</v>
      </c>
      <c r="M512" s="1" t="s">
        <v>50</v>
      </c>
      <c r="N512" s="1" t="n">
        <v>4999</v>
      </c>
      <c r="O512" s="1" t="n">
        <v>0</v>
      </c>
      <c r="P512" s="1" t="n">
        <v>0</v>
      </c>
      <c r="Q512" s="1" t="n">
        <v>4999</v>
      </c>
      <c r="R512" s="1" t="n">
        <v>899.82</v>
      </c>
      <c r="S512" s="1" t="n">
        <v>4099.18</v>
      </c>
      <c r="T512" s="1" t="n">
        <v>1783.12</v>
      </c>
      <c r="U512" s="1" t="n">
        <v>2316.06</v>
      </c>
      <c r="V512" s="1" t="n">
        <v>56.5</v>
      </c>
      <c r="W512" s="1" t="s">
        <v>39</v>
      </c>
      <c r="X512" s="1" t="n">
        <v>3.3</v>
      </c>
      <c r="Y512" s="1" t="s">
        <v>40</v>
      </c>
      <c r="Z512" s="1" t="n">
        <v>0</v>
      </c>
    </row>
    <row r="513" customFormat="false" ht="15" hidden="false" customHeight="true" outlineLevel="0" collapsed="false">
      <c r="A513" s="1" t="s">
        <v>1043</v>
      </c>
      <c r="B513" s="1" t="s">
        <v>1044</v>
      </c>
      <c r="C513" s="1" t="s">
        <v>134</v>
      </c>
      <c r="D513" s="1" t="s">
        <v>53</v>
      </c>
      <c r="E513" s="1" t="s">
        <v>216</v>
      </c>
      <c r="F513" s="1" t="s">
        <v>55</v>
      </c>
      <c r="G513" s="1" t="s">
        <v>56</v>
      </c>
      <c r="H513" s="1" t="s">
        <v>57</v>
      </c>
      <c r="I513" s="1" t="s">
        <v>58</v>
      </c>
      <c r="J513" s="1" t="s">
        <v>77</v>
      </c>
      <c r="K513" s="1" t="s">
        <v>90</v>
      </c>
      <c r="L513" s="1" t="s">
        <v>85</v>
      </c>
      <c r="M513" s="1" t="s">
        <v>62</v>
      </c>
      <c r="N513" s="1" t="n">
        <v>7499</v>
      </c>
      <c r="O513" s="1" t="n">
        <v>15</v>
      </c>
      <c r="P513" s="1" t="n">
        <v>1124.85</v>
      </c>
      <c r="Q513" s="1" t="n">
        <v>6374.15</v>
      </c>
      <c r="R513" s="1" t="n">
        <v>1147.35</v>
      </c>
      <c r="S513" s="1" t="n">
        <v>5226.8</v>
      </c>
      <c r="T513" s="1" t="n">
        <v>2567.02</v>
      </c>
      <c r="U513" s="1" t="n">
        <v>2659.78</v>
      </c>
      <c r="V513" s="1" t="n">
        <v>50.89</v>
      </c>
      <c r="W513" s="1" t="s">
        <v>40</v>
      </c>
      <c r="Y513" s="1" t="s">
        <v>40</v>
      </c>
      <c r="Z513" s="1" t="n">
        <v>0</v>
      </c>
    </row>
    <row r="514" customFormat="false" ht="15" hidden="false" customHeight="true" outlineLevel="0" collapsed="false">
      <c r="A514" s="1" t="s">
        <v>1045</v>
      </c>
      <c r="B514" s="1" t="s">
        <v>1046</v>
      </c>
      <c r="C514" s="1" t="s">
        <v>119</v>
      </c>
      <c r="D514" s="1" t="s">
        <v>143</v>
      </c>
      <c r="E514" s="1" t="s">
        <v>144</v>
      </c>
      <c r="F514" s="1" t="s">
        <v>194</v>
      </c>
      <c r="G514" s="1" t="s">
        <v>103</v>
      </c>
      <c r="H514" s="1" t="s">
        <v>69</v>
      </c>
      <c r="I514" s="1" t="s">
        <v>58</v>
      </c>
      <c r="J514" s="1" t="s">
        <v>70</v>
      </c>
      <c r="K514" s="1" t="s">
        <v>84</v>
      </c>
      <c r="L514" s="1" t="s">
        <v>37</v>
      </c>
      <c r="M514" s="1" t="s">
        <v>38</v>
      </c>
      <c r="N514" s="1" t="n">
        <v>12999</v>
      </c>
      <c r="O514" s="1" t="n">
        <v>15</v>
      </c>
      <c r="P514" s="1" t="n">
        <v>1949.85</v>
      </c>
      <c r="Q514" s="1" t="n">
        <v>11049.15</v>
      </c>
      <c r="R514" s="1" t="n">
        <v>1988.85</v>
      </c>
      <c r="S514" s="1" t="n">
        <v>9060.3</v>
      </c>
      <c r="T514" s="1" t="n">
        <v>2931.12</v>
      </c>
      <c r="U514" s="1" t="n">
        <v>6129.18</v>
      </c>
      <c r="V514" s="1" t="n">
        <v>67.65</v>
      </c>
      <c r="W514" s="1" t="s">
        <v>39</v>
      </c>
      <c r="X514" s="1" t="n">
        <v>4.9</v>
      </c>
      <c r="Y514" s="1" t="s">
        <v>40</v>
      </c>
      <c r="Z514" s="1" t="n">
        <v>0</v>
      </c>
    </row>
    <row r="515" customFormat="false" ht="15" hidden="false" customHeight="true" outlineLevel="0" collapsed="false">
      <c r="A515" s="1" t="s">
        <v>1047</v>
      </c>
      <c r="B515" s="1" t="s">
        <v>1048</v>
      </c>
      <c r="C515" s="1" t="s">
        <v>139</v>
      </c>
      <c r="D515" s="1" t="s">
        <v>94</v>
      </c>
      <c r="E515" s="1" t="s">
        <v>135</v>
      </c>
      <c r="F515" s="1" t="s">
        <v>107</v>
      </c>
      <c r="G515" s="1" t="s">
        <v>108</v>
      </c>
      <c r="H515" s="1" t="s">
        <v>33</v>
      </c>
      <c r="I515" s="1" t="s">
        <v>83</v>
      </c>
      <c r="J515" s="1" t="s">
        <v>59</v>
      </c>
      <c r="K515" s="1" t="s">
        <v>36</v>
      </c>
      <c r="L515" s="1" t="s">
        <v>61</v>
      </c>
      <c r="M515" s="1" t="s">
        <v>38</v>
      </c>
      <c r="N515" s="1" t="n">
        <v>9999</v>
      </c>
      <c r="O515" s="1" t="n">
        <v>20</v>
      </c>
      <c r="P515" s="1" t="n">
        <v>1999.8</v>
      </c>
      <c r="Q515" s="1" t="n">
        <v>7999.2</v>
      </c>
      <c r="R515" s="1" t="n">
        <v>1439.86</v>
      </c>
      <c r="S515" s="1" t="n">
        <v>6559.34</v>
      </c>
      <c r="T515" s="1" t="n">
        <v>2433.64</v>
      </c>
      <c r="U515" s="1" t="n">
        <v>4125.7</v>
      </c>
      <c r="V515" s="1" t="n">
        <v>62.9</v>
      </c>
      <c r="W515" s="1" t="s">
        <v>40</v>
      </c>
      <c r="Y515" s="1" t="s">
        <v>40</v>
      </c>
      <c r="Z515" s="1" t="n">
        <v>0</v>
      </c>
    </row>
    <row r="516" customFormat="false" ht="15" hidden="false" customHeight="true" outlineLevel="0" collapsed="false">
      <c r="A516" s="1" t="s">
        <v>1049</v>
      </c>
      <c r="B516" s="1" t="s">
        <v>1050</v>
      </c>
      <c r="C516" s="1" t="s">
        <v>119</v>
      </c>
      <c r="D516" s="1" t="s">
        <v>143</v>
      </c>
      <c r="E516" s="1" t="s">
        <v>159</v>
      </c>
      <c r="F516" s="1" t="s">
        <v>107</v>
      </c>
      <c r="G516" s="1" t="s">
        <v>108</v>
      </c>
      <c r="H516" s="1" t="s">
        <v>33</v>
      </c>
      <c r="I516" s="1" t="s">
        <v>34</v>
      </c>
      <c r="J516" s="1" t="s">
        <v>70</v>
      </c>
      <c r="K516" s="1" t="s">
        <v>60</v>
      </c>
      <c r="L516" s="1" t="s">
        <v>85</v>
      </c>
      <c r="M516" s="1" t="s">
        <v>38</v>
      </c>
      <c r="N516" s="1" t="n">
        <v>24999</v>
      </c>
      <c r="O516" s="1" t="n">
        <v>20</v>
      </c>
      <c r="P516" s="1" t="n">
        <v>4999.8</v>
      </c>
      <c r="Q516" s="1" t="n">
        <v>19999.2</v>
      </c>
      <c r="R516" s="1" t="n">
        <v>3599.86</v>
      </c>
      <c r="S516" s="1" t="n">
        <v>16399.34</v>
      </c>
      <c r="T516" s="1" t="n">
        <v>7622.51</v>
      </c>
      <c r="U516" s="1" t="n">
        <v>8776.83</v>
      </c>
      <c r="V516" s="1" t="n">
        <v>53.52</v>
      </c>
      <c r="W516" s="1" t="s">
        <v>39</v>
      </c>
      <c r="X516" s="1" t="n">
        <v>3.7</v>
      </c>
      <c r="Y516" s="1" t="s">
        <v>40</v>
      </c>
      <c r="Z516" s="1" t="n">
        <v>0</v>
      </c>
    </row>
    <row r="517" customFormat="false" ht="15" hidden="false" customHeight="true" outlineLevel="0" collapsed="false">
      <c r="A517" s="1" t="s">
        <v>1051</v>
      </c>
      <c r="B517" s="1" t="s">
        <v>1052</v>
      </c>
      <c r="C517" s="1" t="s">
        <v>128</v>
      </c>
      <c r="D517" s="1" t="s">
        <v>53</v>
      </c>
      <c r="E517" s="1" t="s">
        <v>116</v>
      </c>
      <c r="F517" s="1" t="s">
        <v>55</v>
      </c>
      <c r="G517" s="1" t="s">
        <v>56</v>
      </c>
      <c r="H517" s="1" t="s">
        <v>57</v>
      </c>
      <c r="I517" s="1" t="s">
        <v>83</v>
      </c>
      <c r="J517" s="1" t="s">
        <v>131</v>
      </c>
      <c r="K517" s="1" t="s">
        <v>60</v>
      </c>
      <c r="L517" s="1" t="s">
        <v>61</v>
      </c>
      <c r="M517" s="1" t="s">
        <v>38</v>
      </c>
      <c r="N517" s="1" t="n">
        <v>9999</v>
      </c>
      <c r="O517" s="1" t="n">
        <v>15</v>
      </c>
      <c r="P517" s="1" t="n">
        <v>1499.85</v>
      </c>
      <c r="Q517" s="1" t="n">
        <v>8499.15</v>
      </c>
      <c r="R517" s="1" t="n">
        <v>1529.85</v>
      </c>
      <c r="S517" s="1" t="n">
        <v>6969.3</v>
      </c>
      <c r="T517" s="1" t="n">
        <v>2934.07</v>
      </c>
      <c r="U517" s="1" t="n">
        <v>4035.23</v>
      </c>
      <c r="V517" s="1" t="n">
        <v>57.9</v>
      </c>
      <c r="W517" s="1" t="s">
        <v>40</v>
      </c>
      <c r="Y517" s="1" t="s">
        <v>40</v>
      </c>
      <c r="Z517" s="1" t="n">
        <v>0</v>
      </c>
    </row>
    <row r="518" customFormat="false" ht="15" hidden="false" customHeight="true" outlineLevel="0" collapsed="false">
      <c r="A518" s="1" t="s">
        <v>1053</v>
      </c>
      <c r="B518" s="1" t="s">
        <v>1054</v>
      </c>
      <c r="C518" s="1" t="s">
        <v>119</v>
      </c>
      <c r="D518" s="1" t="s">
        <v>143</v>
      </c>
      <c r="E518" s="1" t="s">
        <v>144</v>
      </c>
      <c r="F518" s="1" t="s">
        <v>125</v>
      </c>
      <c r="G518" s="1" t="s">
        <v>108</v>
      </c>
      <c r="H518" s="1" t="s">
        <v>69</v>
      </c>
      <c r="I518" s="1" t="s">
        <v>34</v>
      </c>
      <c r="J518" s="1" t="s">
        <v>70</v>
      </c>
      <c r="K518" s="1" t="s">
        <v>71</v>
      </c>
      <c r="L518" s="1" t="s">
        <v>37</v>
      </c>
      <c r="M518" s="1" t="s">
        <v>62</v>
      </c>
      <c r="N518" s="1" t="n">
        <v>12999</v>
      </c>
      <c r="O518" s="1" t="n">
        <v>25</v>
      </c>
      <c r="P518" s="1" t="n">
        <v>3249.75</v>
      </c>
      <c r="Q518" s="1" t="n">
        <v>9749.25</v>
      </c>
      <c r="R518" s="1" t="n">
        <v>1754.87</v>
      </c>
      <c r="S518" s="1" t="n">
        <v>7994.38</v>
      </c>
      <c r="T518" s="1" t="n">
        <v>3142.01</v>
      </c>
      <c r="U518" s="1" t="n">
        <v>4852.37</v>
      </c>
      <c r="V518" s="1" t="n">
        <v>60.7</v>
      </c>
      <c r="W518" s="1" t="s">
        <v>39</v>
      </c>
      <c r="Y518" s="1" t="s">
        <v>40</v>
      </c>
      <c r="Z518" s="1" t="n">
        <v>0</v>
      </c>
    </row>
    <row r="519" customFormat="false" ht="15" hidden="false" customHeight="true" outlineLevel="0" collapsed="false">
      <c r="A519" s="1" t="s">
        <v>1055</v>
      </c>
      <c r="B519" s="1" t="s">
        <v>1056</v>
      </c>
      <c r="C519" s="1" t="s">
        <v>167</v>
      </c>
      <c r="D519" s="1" t="s">
        <v>53</v>
      </c>
      <c r="E519" s="1" t="s">
        <v>116</v>
      </c>
      <c r="F519" s="1" t="s">
        <v>96</v>
      </c>
      <c r="G519" s="1" t="s">
        <v>97</v>
      </c>
      <c r="H519" s="1" t="s">
        <v>69</v>
      </c>
      <c r="I519" s="1" t="s">
        <v>83</v>
      </c>
      <c r="J519" s="1" t="s">
        <v>131</v>
      </c>
      <c r="K519" s="1" t="s">
        <v>112</v>
      </c>
      <c r="L519" s="1" t="s">
        <v>37</v>
      </c>
      <c r="M519" s="1" t="s">
        <v>38</v>
      </c>
      <c r="N519" s="1" t="n">
        <v>9999</v>
      </c>
      <c r="O519" s="1" t="n">
        <v>0</v>
      </c>
      <c r="P519" s="1" t="n">
        <v>0</v>
      </c>
      <c r="Q519" s="1" t="n">
        <v>9999</v>
      </c>
      <c r="R519" s="1" t="n">
        <v>1799.82</v>
      </c>
      <c r="S519" s="1" t="n">
        <v>8199.18</v>
      </c>
      <c r="T519" s="1" t="n">
        <v>2840.67</v>
      </c>
      <c r="U519" s="1" t="n">
        <v>5358.51</v>
      </c>
      <c r="V519" s="1" t="n">
        <v>65.35</v>
      </c>
      <c r="W519" s="1" t="s">
        <v>39</v>
      </c>
      <c r="X519" s="1" t="n">
        <v>3.1</v>
      </c>
      <c r="Y519" s="1" t="s">
        <v>40</v>
      </c>
      <c r="Z519" s="1" t="n">
        <v>0</v>
      </c>
    </row>
    <row r="520" customFormat="false" ht="15" hidden="false" customHeight="true" outlineLevel="0" collapsed="false">
      <c r="A520" s="1" t="s">
        <v>1057</v>
      </c>
      <c r="B520" s="1" t="s">
        <v>1058</v>
      </c>
      <c r="C520" s="1" t="s">
        <v>139</v>
      </c>
      <c r="D520" s="1" t="s">
        <v>53</v>
      </c>
      <c r="E520" s="1" t="s">
        <v>216</v>
      </c>
      <c r="F520" s="1" t="s">
        <v>75</v>
      </c>
      <c r="G520" s="1" t="s">
        <v>76</v>
      </c>
      <c r="H520" s="1" t="s">
        <v>69</v>
      </c>
      <c r="I520" s="1" t="s">
        <v>34</v>
      </c>
      <c r="J520" s="1" t="s">
        <v>35</v>
      </c>
      <c r="K520" s="1" t="s">
        <v>84</v>
      </c>
      <c r="L520" s="1" t="s">
        <v>85</v>
      </c>
      <c r="M520" s="1" t="s">
        <v>38</v>
      </c>
      <c r="N520" s="1" t="n">
        <v>7499</v>
      </c>
      <c r="O520" s="1" t="n">
        <v>20</v>
      </c>
      <c r="P520" s="1" t="n">
        <v>1499.8</v>
      </c>
      <c r="Q520" s="1" t="n">
        <v>5999.2</v>
      </c>
      <c r="R520" s="1" t="n">
        <v>1079.86</v>
      </c>
      <c r="S520" s="1" t="n">
        <v>4919.34</v>
      </c>
      <c r="T520" s="1" t="n">
        <v>1882.34</v>
      </c>
      <c r="U520" s="1" t="n">
        <v>3037</v>
      </c>
      <c r="V520" s="1" t="n">
        <v>61.74</v>
      </c>
      <c r="W520" s="1" t="s">
        <v>40</v>
      </c>
      <c r="Y520" s="1" t="s">
        <v>39</v>
      </c>
      <c r="Z520" s="1" t="n">
        <v>0</v>
      </c>
    </row>
    <row r="521" customFormat="false" ht="15" hidden="false" customHeight="true" outlineLevel="0" collapsed="false">
      <c r="A521" s="1" t="s">
        <v>1059</v>
      </c>
      <c r="B521" s="1" t="s">
        <v>747</v>
      </c>
      <c r="C521" s="1" t="s">
        <v>28</v>
      </c>
      <c r="D521" s="1" t="s">
        <v>53</v>
      </c>
      <c r="E521" s="1" t="s">
        <v>116</v>
      </c>
      <c r="F521" s="1" t="s">
        <v>211</v>
      </c>
      <c r="G521" s="1" t="s">
        <v>56</v>
      </c>
      <c r="H521" s="1" t="s">
        <v>69</v>
      </c>
      <c r="I521" s="1" t="s">
        <v>83</v>
      </c>
      <c r="J521" s="1" t="s">
        <v>131</v>
      </c>
      <c r="K521" s="1" t="s">
        <v>84</v>
      </c>
      <c r="L521" s="1" t="s">
        <v>113</v>
      </c>
      <c r="M521" s="1" t="s">
        <v>62</v>
      </c>
      <c r="N521" s="1" t="n">
        <v>9999</v>
      </c>
      <c r="O521" s="1" t="n">
        <v>0</v>
      </c>
      <c r="P521" s="1" t="n">
        <v>0</v>
      </c>
      <c r="Q521" s="1" t="n">
        <v>9999</v>
      </c>
      <c r="R521" s="1" t="n">
        <v>1799.82</v>
      </c>
      <c r="S521" s="1" t="n">
        <v>8199.18</v>
      </c>
      <c r="T521" s="1" t="n">
        <v>3712.89</v>
      </c>
      <c r="U521" s="1" t="n">
        <v>4486.29</v>
      </c>
      <c r="V521" s="1" t="n">
        <v>54.72</v>
      </c>
      <c r="W521" s="1" t="s">
        <v>39</v>
      </c>
      <c r="Y521" s="1" t="s">
        <v>40</v>
      </c>
      <c r="Z521" s="1" t="n">
        <v>1</v>
      </c>
    </row>
    <row r="522" customFormat="false" ht="15" hidden="false" customHeight="true" outlineLevel="0" collapsed="false">
      <c r="A522" s="1" t="s">
        <v>1060</v>
      </c>
      <c r="B522" s="1" t="s">
        <v>1061</v>
      </c>
      <c r="C522" s="1" t="s">
        <v>28</v>
      </c>
      <c r="D522" s="1" t="s">
        <v>143</v>
      </c>
      <c r="E522" s="1" t="s">
        <v>162</v>
      </c>
      <c r="F522" s="1" t="s">
        <v>75</v>
      </c>
      <c r="G522" s="1" t="s">
        <v>76</v>
      </c>
      <c r="H522" s="1" t="s">
        <v>69</v>
      </c>
      <c r="I522" s="1" t="s">
        <v>83</v>
      </c>
      <c r="J522" s="1" t="s">
        <v>35</v>
      </c>
      <c r="K522" s="1" t="s">
        <v>112</v>
      </c>
      <c r="L522" s="1" t="s">
        <v>113</v>
      </c>
      <c r="M522" s="1" t="s">
        <v>50</v>
      </c>
      <c r="N522" s="1" t="n">
        <v>14999</v>
      </c>
      <c r="O522" s="1" t="n">
        <v>10</v>
      </c>
      <c r="P522" s="1" t="n">
        <v>1499.9</v>
      </c>
      <c r="Q522" s="1" t="n">
        <v>13499.1</v>
      </c>
      <c r="R522" s="1" t="n">
        <v>2429.84</v>
      </c>
      <c r="S522" s="1" t="n">
        <v>11069.26</v>
      </c>
      <c r="T522" s="1" t="n">
        <v>3140.31</v>
      </c>
      <c r="U522" s="1" t="n">
        <v>7928.95</v>
      </c>
      <c r="V522" s="1" t="n">
        <v>71.63</v>
      </c>
      <c r="W522" s="1" t="s">
        <v>40</v>
      </c>
      <c r="Y522" s="1" t="s">
        <v>40</v>
      </c>
      <c r="Z522" s="1" t="n">
        <v>0</v>
      </c>
    </row>
    <row r="523" customFormat="false" ht="15" hidden="false" customHeight="true" outlineLevel="0" collapsed="false">
      <c r="A523" s="1" t="s">
        <v>1062</v>
      </c>
      <c r="B523" s="1" t="s">
        <v>876</v>
      </c>
      <c r="C523" s="1" t="s">
        <v>119</v>
      </c>
      <c r="D523" s="1" t="s">
        <v>168</v>
      </c>
      <c r="E523" s="1" t="s">
        <v>169</v>
      </c>
      <c r="F523" s="1" t="s">
        <v>125</v>
      </c>
      <c r="G523" s="1" t="s">
        <v>108</v>
      </c>
      <c r="H523" s="1" t="s">
        <v>69</v>
      </c>
      <c r="I523" s="1" t="s">
        <v>58</v>
      </c>
      <c r="J523" s="1" t="s">
        <v>59</v>
      </c>
      <c r="K523" s="1" t="s">
        <v>84</v>
      </c>
      <c r="L523" s="1" t="s">
        <v>113</v>
      </c>
      <c r="M523" s="1" t="s">
        <v>38</v>
      </c>
      <c r="N523" s="1" t="n">
        <v>4999</v>
      </c>
      <c r="O523" s="1" t="n">
        <v>15</v>
      </c>
      <c r="P523" s="1" t="n">
        <v>749.85</v>
      </c>
      <c r="Q523" s="1" t="n">
        <v>4249.15</v>
      </c>
      <c r="R523" s="1" t="n">
        <v>764.85</v>
      </c>
      <c r="S523" s="1" t="n">
        <v>3484.3</v>
      </c>
      <c r="T523" s="1" t="n">
        <v>1262.63</v>
      </c>
      <c r="U523" s="1" t="n">
        <v>2221.67</v>
      </c>
      <c r="V523" s="1" t="n">
        <v>63.76</v>
      </c>
      <c r="W523" s="1" t="s">
        <v>39</v>
      </c>
      <c r="X523" s="1" t="n">
        <v>3.1</v>
      </c>
      <c r="Y523" s="1" t="s">
        <v>40</v>
      </c>
      <c r="Z523" s="1" t="n">
        <v>1</v>
      </c>
    </row>
    <row r="524" customFormat="false" ht="15" hidden="false" customHeight="true" outlineLevel="0" collapsed="false">
      <c r="A524" s="1" t="s">
        <v>1063</v>
      </c>
      <c r="B524" s="1" t="s">
        <v>1064</v>
      </c>
      <c r="C524" s="1" t="s">
        <v>43</v>
      </c>
      <c r="D524" s="1" t="s">
        <v>94</v>
      </c>
      <c r="E524" s="1" t="s">
        <v>95</v>
      </c>
      <c r="F524" s="1" t="s">
        <v>205</v>
      </c>
      <c r="G524" s="1" t="s">
        <v>56</v>
      </c>
      <c r="H524" s="1" t="s">
        <v>69</v>
      </c>
      <c r="I524" s="1" t="s">
        <v>34</v>
      </c>
      <c r="J524" s="1" t="s">
        <v>59</v>
      </c>
      <c r="K524" s="1" t="s">
        <v>90</v>
      </c>
      <c r="L524" s="1" t="s">
        <v>37</v>
      </c>
      <c r="M524" s="1" t="s">
        <v>50</v>
      </c>
      <c r="N524" s="1" t="n">
        <v>6999</v>
      </c>
      <c r="O524" s="1" t="n">
        <v>40</v>
      </c>
      <c r="P524" s="1" t="n">
        <v>2799.6</v>
      </c>
      <c r="Q524" s="1" t="n">
        <v>4199.4</v>
      </c>
      <c r="R524" s="1" t="n">
        <v>755.89</v>
      </c>
      <c r="S524" s="1" t="n">
        <v>3443.51</v>
      </c>
      <c r="T524" s="1" t="n">
        <v>1646.55</v>
      </c>
      <c r="U524" s="1" t="n">
        <v>1796.96</v>
      </c>
      <c r="V524" s="1" t="n">
        <v>52.18</v>
      </c>
      <c r="W524" s="1" t="s">
        <v>40</v>
      </c>
      <c r="Y524" s="1" t="s">
        <v>40</v>
      </c>
      <c r="Z524" s="1" t="n">
        <v>1</v>
      </c>
    </row>
    <row r="525" customFormat="false" ht="15" hidden="false" customHeight="true" outlineLevel="0" collapsed="false">
      <c r="A525" s="1" t="s">
        <v>1065</v>
      </c>
      <c r="B525" s="1" t="s">
        <v>1066</v>
      </c>
      <c r="C525" s="1" t="s">
        <v>178</v>
      </c>
      <c r="D525" s="1" t="s">
        <v>94</v>
      </c>
      <c r="E525" s="1" t="s">
        <v>101</v>
      </c>
      <c r="F525" s="1" t="s">
        <v>67</v>
      </c>
      <c r="G525" s="1" t="s">
        <v>68</v>
      </c>
      <c r="H525" s="1" t="s">
        <v>69</v>
      </c>
      <c r="I525" s="1" t="s">
        <v>58</v>
      </c>
      <c r="J525" s="1" t="s">
        <v>131</v>
      </c>
      <c r="K525" s="1" t="s">
        <v>36</v>
      </c>
      <c r="L525" s="1" t="s">
        <v>37</v>
      </c>
      <c r="M525" s="1" t="s">
        <v>38</v>
      </c>
      <c r="N525" s="1" t="n">
        <v>14999</v>
      </c>
      <c r="O525" s="1" t="n">
        <v>25</v>
      </c>
      <c r="P525" s="1" t="n">
        <v>3749.75</v>
      </c>
      <c r="Q525" s="1" t="n">
        <v>11249.25</v>
      </c>
      <c r="R525" s="1" t="n">
        <v>2024.87</v>
      </c>
      <c r="S525" s="1" t="n">
        <v>9224.38</v>
      </c>
      <c r="T525" s="1" t="n">
        <v>4768</v>
      </c>
      <c r="U525" s="1" t="n">
        <v>4456.38</v>
      </c>
      <c r="V525" s="1" t="n">
        <v>48.31</v>
      </c>
      <c r="W525" s="1" t="s">
        <v>39</v>
      </c>
      <c r="X525" s="1" t="n">
        <v>4</v>
      </c>
      <c r="Y525" s="1" t="s">
        <v>40</v>
      </c>
      <c r="Z525" s="1" t="n">
        <v>0</v>
      </c>
    </row>
    <row r="526" customFormat="false" ht="15" hidden="false" customHeight="true" outlineLevel="0" collapsed="false">
      <c r="A526" s="1" t="s">
        <v>1067</v>
      </c>
      <c r="B526" s="1" t="s">
        <v>608</v>
      </c>
      <c r="C526" s="1" t="s">
        <v>74</v>
      </c>
      <c r="D526" s="1" t="s">
        <v>123</v>
      </c>
      <c r="E526" s="1" t="s">
        <v>233</v>
      </c>
      <c r="F526" s="1" t="s">
        <v>31</v>
      </c>
      <c r="G526" s="1" t="s">
        <v>32</v>
      </c>
      <c r="H526" s="1" t="s">
        <v>33</v>
      </c>
      <c r="I526" s="1" t="s">
        <v>83</v>
      </c>
      <c r="J526" s="1" t="s">
        <v>77</v>
      </c>
      <c r="K526" s="1" t="s">
        <v>84</v>
      </c>
      <c r="L526" s="1" t="s">
        <v>61</v>
      </c>
      <c r="M526" s="1" t="s">
        <v>62</v>
      </c>
      <c r="N526" s="1" t="n">
        <v>8999</v>
      </c>
      <c r="O526" s="1" t="n">
        <v>0</v>
      </c>
      <c r="P526" s="1" t="n">
        <v>0</v>
      </c>
      <c r="Q526" s="1" t="n">
        <v>8999</v>
      </c>
      <c r="R526" s="1" t="n">
        <v>1619.82</v>
      </c>
      <c r="S526" s="1" t="n">
        <v>7379.18</v>
      </c>
      <c r="T526" s="1" t="n">
        <v>3572.13</v>
      </c>
      <c r="U526" s="1" t="n">
        <v>3807.05</v>
      </c>
      <c r="V526" s="1" t="n">
        <v>51.59</v>
      </c>
      <c r="W526" s="1" t="s">
        <v>40</v>
      </c>
      <c r="Y526" s="1" t="s">
        <v>40</v>
      </c>
      <c r="Z526" s="1" t="n">
        <v>2</v>
      </c>
    </row>
    <row r="527" customFormat="false" ht="15" hidden="false" customHeight="true" outlineLevel="0" collapsed="false">
      <c r="A527" s="1" t="s">
        <v>1068</v>
      </c>
      <c r="B527" s="1" t="s">
        <v>1069</v>
      </c>
      <c r="C527" s="1" t="s">
        <v>65</v>
      </c>
      <c r="D527" s="1" t="s">
        <v>53</v>
      </c>
      <c r="E527" s="1" t="s">
        <v>54</v>
      </c>
      <c r="F527" s="1" t="s">
        <v>130</v>
      </c>
      <c r="G527" s="1" t="s">
        <v>47</v>
      </c>
      <c r="H527" s="1" t="s">
        <v>69</v>
      </c>
      <c r="I527" s="1" t="s">
        <v>58</v>
      </c>
      <c r="J527" s="1" t="s">
        <v>59</v>
      </c>
      <c r="K527" s="1" t="s">
        <v>71</v>
      </c>
      <c r="L527" s="1" t="s">
        <v>61</v>
      </c>
      <c r="M527" s="1" t="s">
        <v>50</v>
      </c>
      <c r="N527" s="1" t="n">
        <v>11999</v>
      </c>
      <c r="O527" s="1" t="n">
        <v>25</v>
      </c>
      <c r="P527" s="1" t="n">
        <v>2999.75</v>
      </c>
      <c r="Q527" s="1" t="n">
        <v>8999.25</v>
      </c>
      <c r="R527" s="1" t="n">
        <v>1619.87</v>
      </c>
      <c r="S527" s="1" t="n">
        <v>7379.38</v>
      </c>
      <c r="T527" s="1" t="n">
        <v>3387.83</v>
      </c>
      <c r="U527" s="1" t="n">
        <v>3991.55</v>
      </c>
      <c r="V527" s="1" t="n">
        <v>54.09</v>
      </c>
      <c r="W527" s="1" t="s">
        <v>40</v>
      </c>
      <c r="Y527" s="1" t="s">
        <v>40</v>
      </c>
      <c r="Z527" s="1" t="n">
        <v>1</v>
      </c>
    </row>
    <row r="528" customFormat="false" ht="15" hidden="false" customHeight="true" outlineLevel="0" collapsed="false">
      <c r="A528" s="1" t="s">
        <v>1070</v>
      </c>
      <c r="B528" s="1" t="s">
        <v>636</v>
      </c>
      <c r="C528" s="1" t="s">
        <v>74</v>
      </c>
      <c r="D528" s="1" t="s">
        <v>168</v>
      </c>
      <c r="E528" s="1" t="s">
        <v>169</v>
      </c>
      <c r="F528" s="1" t="s">
        <v>187</v>
      </c>
      <c r="G528" s="1" t="s">
        <v>97</v>
      </c>
      <c r="H528" s="1" t="s">
        <v>69</v>
      </c>
      <c r="I528" s="1" t="s">
        <v>34</v>
      </c>
      <c r="J528" s="1" t="s">
        <v>131</v>
      </c>
      <c r="K528" s="1" t="s">
        <v>60</v>
      </c>
      <c r="L528" s="1" t="s">
        <v>136</v>
      </c>
      <c r="M528" s="1" t="s">
        <v>38</v>
      </c>
      <c r="N528" s="1" t="n">
        <v>4999</v>
      </c>
      <c r="O528" s="1" t="n">
        <v>10</v>
      </c>
      <c r="P528" s="1" t="n">
        <v>499.9</v>
      </c>
      <c r="Q528" s="1" t="n">
        <v>4499.1</v>
      </c>
      <c r="R528" s="1" t="n">
        <v>809.84</v>
      </c>
      <c r="S528" s="1" t="n">
        <v>3689.26</v>
      </c>
      <c r="T528" s="1" t="n">
        <v>1959.14</v>
      </c>
      <c r="U528" s="1" t="n">
        <v>1730.12</v>
      </c>
      <c r="V528" s="1" t="n">
        <v>46.9</v>
      </c>
      <c r="W528" s="1" t="s">
        <v>39</v>
      </c>
      <c r="X528" s="1" t="n">
        <v>4.4</v>
      </c>
      <c r="Y528" s="1" t="s">
        <v>40</v>
      </c>
      <c r="Z528" s="1" t="n">
        <v>0</v>
      </c>
    </row>
    <row r="529" customFormat="false" ht="15" hidden="false" customHeight="true" outlineLevel="0" collapsed="false">
      <c r="A529" s="1" t="s">
        <v>1071</v>
      </c>
      <c r="B529" s="1" t="s">
        <v>1072</v>
      </c>
      <c r="C529" s="1" t="s">
        <v>65</v>
      </c>
      <c r="D529" s="1" t="s">
        <v>44</v>
      </c>
      <c r="E529" s="1" t="s">
        <v>45</v>
      </c>
      <c r="F529" s="1" t="s">
        <v>125</v>
      </c>
      <c r="G529" s="1" t="s">
        <v>108</v>
      </c>
      <c r="H529" s="1" t="s">
        <v>69</v>
      </c>
      <c r="I529" s="1" t="s">
        <v>58</v>
      </c>
      <c r="J529" s="1" t="s">
        <v>77</v>
      </c>
      <c r="K529" s="1" t="s">
        <v>71</v>
      </c>
      <c r="L529" s="1" t="s">
        <v>61</v>
      </c>
      <c r="M529" s="1" t="s">
        <v>38</v>
      </c>
      <c r="N529" s="1" t="n">
        <v>11999</v>
      </c>
      <c r="O529" s="1" t="n">
        <v>15</v>
      </c>
      <c r="P529" s="1" t="n">
        <v>1799.85</v>
      </c>
      <c r="Q529" s="1" t="n">
        <v>10199.15</v>
      </c>
      <c r="R529" s="1" t="n">
        <v>1835.85</v>
      </c>
      <c r="S529" s="1" t="n">
        <v>8363.3</v>
      </c>
      <c r="T529" s="1" t="n">
        <v>3353.27</v>
      </c>
      <c r="U529" s="1" t="n">
        <v>5010.03</v>
      </c>
      <c r="V529" s="1" t="n">
        <v>59.9</v>
      </c>
      <c r="W529" s="1" t="s">
        <v>39</v>
      </c>
      <c r="X529" s="1" t="n">
        <v>3.4</v>
      </c>
      <c r="Y529" s="1" t="s">
        <v>40</v>
      </c>
      <c r="Z529" s="1" t="n">
        <v>0</v>
      </c>
    </row>
    <row r="530" customFormat="false" ht="15" hidden="false" customHeight="true" outlineLevel="0" collapsed="false">
      <c r="A530" s="1" t="s">
        <v>1073</v>
      </c>
      <c r="B530" s="1" t="s">
        <v>555</v>
      </c>
      <c r="C530" s="1" t="s">
        <v>93</v>
      </c>
      <c r="D530" s="1" t="s">
        <v>94</v>
      </c>
      <c r="E530" s="1" t="s">
        <v>95</v>
      </c>
      <c r="F530" s="1" t="s">
        <v>153</v>
      </c>
      <c r="G530" s="1" t="s">
        <v>76</v>
      </c>
      <c r="H530" s="1" t="s">
        <v>33</v>
      </c>
      <c r="I530" s="1" t="s">
        <v>83</v>
      </c>
      <c r="J530" s="1" t="s">
        <v>59</v>
      </c>
      <c r="K530" s="1" t="s">
        <v>71</v>
      </c>
      <c r="L530" s="1" t="s">
        <v>37</v>
      </c>
      <c r="M530" s="1" t="s">
        <v>38</v>
      </c>
      <c r="N530" s="1" t="n">
        <v>6999</v>
      </c>
      <c r="O530" s="1" t="n">
        <v>0</v>
      </c>
      <c r="P530" s="1" t="n">
        <v>0</v>
      </c>
      <c r="Q530" s="1" t="n">
        <v>6999</v>
      </c>
      <c r="R530" s="1" t="n">
        <v>1259.82</v>
      </c>
      <c r="S530" s="1" t="n">
        <v>5739.18</v>
      </c>
      <c r="T530" s="1" t="n">
        <v>2650.12</v>
      </c>
      <c r="U530" s="1" t="n">
        <v>3089.06</v>
      </c>
      <c r="V530" s="1" t="n">
        <v>53.82</v>
      </c>
      <c r="W530" s="1" t="s">
        <v>39</v>
      </c>
      <c r="Y530" s="1" t="s">
        <v>40</v>
      </c>
      <c r="Z530" s="1" t="n">
        <v>0</v>
      </c>
    </row>
    <row r="531" customFormat="false" ht="15" hidden="false" customHeight="true" outlineLevel="0" collapsed="false">
      <c r="A531" s="1" t="s">
        <v>1074</v>
      </c>
      <c r="B531" s="1" t="s">
        <v>988</v>
      </c>
      <c r="C531" s="1" t="s">
        <v>93</v>
      </c>
      <c r="D531" s="1" t="s">
        <v>53</v>
      </c>
      <c r="E531" s="1" t="s">
        <v>54</v>
      </c>
      <c r="F531" s="1" t="s">
        <v>1075</v>
      </c>
      <c r="G531" s="1" t="s">
        <v>76</v>
      </c>
      <c r="H531" s="1" t="s">
        <v>69</v>
      </c>
      <c r="I531" s="1" t="s">
        <v>83</v>
      </c>
      <c r="J531" s="1" t="s">
        <v>35</v>
      </c>
      <c r="K531" s="1" t="s">
        <v>36</v>
      </c>
      <c r="L531" s="1" t="s">
        <v>49</v>
      </c>
      <c r="M531" s="1" t="s">
        <v>38</v>
      </c>
      <c r="N531" s="1" t="n">
        <v>11999</v>
      </c>
      <c r="O531" s="1" t="n">
        <v>40</v>
      </c>
      <c r="P531" s="1" t="n">
        <v>4799.6</v>
      </c>
      <c r="Q531" s="1" t="n">
        <v>7199.4</v>
      </c>
      <c r="R531" s="1" t="n">
        <v>1295.89</v>
      </c>
      <c r="S531" s="1" t="n">
        <v>5903.51</v>
      </c>
      <c r="T531" s="1" t="n">
        <v>3380.1</v>
      </c>
      <c r="U531" s="1" t="n">
        <v>2523.41</v>
      </c>
      <c r="V531" s="1" t="n">
        <v>42.74</v>
      </c>
      <c r="W531" s="1" t="s">
        <v>39</v>
      </c>
      <c r="X531" s="1" t="n">
        <v>4.8</v>
      </c>
      <c r="Y531" s="1" t="s">
        <v>40</v>
      </c>
      <c r="Z531" s="1" t="n">
        <v>0</v>
      </c>
    </row>
    <row r="532" customFormat="false" ht="15" hidden="false" customHeight="true" outlineLevel="0" collapsed="false">
      <c r="A532" s="1" t="s">
        <v>1076</v>
      </c>
      <c r="B532" s="1" t="s">
        <v>1077</v>
      </c>
      <c r="C532" s="1" t="s">
        <v>128</v>
      </c>
      <c r="D532" s="1" t="s">
        <v>80</v>
      </c>
      <c r="E532" s="1" t="s">
        <v>190</v>
      </c>
      <c r="F532" s="1" t="s">
        <v>46</v>
      </c>
      <c r="G532" s="1" t="s">
        <v>47</v>
      </c>
      <c r="H532" s="1" t="s">
        <v>33</v>
      </c>
      <c r="I532" s="1" t="s">
        <v>83</v>
      </c>
      <c r="J532" s="1" t="s">
        <v>131</v>
      </c>
      <c r="K532" s="1" t="s">
        <v>84</v>
      </c>
      <c r="L532" s="1" t="s">
        <v>113</v>
      </c>
      <c r="M532" s="1" t="s">
        <v>38</v>
      </c>
      <c r="N532" s="1" t="n">
        <v>15999</v>
      </c>
      <c r="O532" s="1" t="n">
        <v>20</v>
      </c>
      <c r="P532" s="1" t="n">
        <v>3199.8</v>
      </c>
      <c r="Q532" s="1" t="n">
        <v>12799.2</v>
      </c>
      <c r="R532" s="1" t="n">
        <v>2303.86</v>
      </c>
      <c r="S532" s="1" t="n">
        <v>10495.34</v>
      </c>
      <c r="T532" s="1" t="n">
        <v>4610.77</v>
      </c>
      <c r="U532" s="1" t="n">
        <v>5884.57</v>
      </c>
      <c r="V532" s="1" t="n">
        <v>56.07</v>
      </c>
      <c r="W532" s="1" t="s">
        <v>40</v>
      </c>
      <c r="Y532" s="1" t="s">
        <v>40</v>
      </c>
      <c r="Z532" s="1" t="n">
        <v>1</v>
      </c>
    </row>
    <row r="533" customFormat="false" ht="15" hidden="false" customHeight="true" outlineLevel="0" collapsed="false">
      <c r="A533" s="1" t="s">
        <v>1078</v>
      </c>
      <c r="B533" s="1" t="s">
        <v>1079</v>
      </c>
      <c r="C533" s="1" t="s">
        <v>88</v>
      </c>
      <c r="D533" s="1" t="s">
        <v>143</v>
      </c>
      <c r="E533" s="1" t="s">
        <v>144</v>
      </c>
      <c r="F533" s="1" t="s">
        <v>120</v>
      </c>
      <c r="G533" s="1" t="s">
        <v>47</v>
      </c>
      <c r="H533" s="1" t="s">
        <v>57</v>
      </c>
      <c r="I533" s="1" t="s">
        <v>34</v>
      </c>
      <c r="J533" s="1" t="s">
        <v>59</v>
      </c>
      <c r="K533" s="1" t="s">
        <v>36</v>
      </c>
      <c r="L533" s="1" t="s">
        <v>61</v>
      </c>
      <c r="M533" s="1" t="s">
        <v>62</v>
      </c>
      <c r="N533" s="1" t="n">
        <v>12999</v>
      </c>
      <c r="O533" s="1" t="n">
        <v>40</v>
      </c>
      <c r="P533" s="1" t="n">
        <v>5199.6</v>
      </c>
      <c r="Q533" s="1" t="n">
        <v>7799.4</v>
      </c>
      <c r="R533" s="1" t="n">
        <v>1403.89</v>
      </c>
      <c r="S533" s="1" t="n">
        <v>6395.51</v>
      </c>
      <c r="T533" s="1" t="n">
        <v>3692.07</v>
      </c>
      <c r="U533" s="1" t="n">
        <v>2703.44</v>
      </c>
      <c r="V533" s="1" t="n">
        <v>42.27</v>
      </c>
      <c r="W533" s="1" t="s">
        <v>39</v>
      </c>
      <c r="X533" s="1" t="n">
        <v>3.4</v>
      </c>
      <c r="Y533" s="1" t="s">
        <v>40</v>
      </c>
      <c r="Z533" s="1" t="n">
        <v>0</v>
      </c>
    </row>
    <row r="534" customFormat="false" ht="15" hidden="false" customHeight="true" outlineLevel="0" collapsed="false">
      <c r="A534" s="1" t="s">
        <v>1080</v>
      </c>
      <c r="B534" s="1" t="s">
        <v>1081</v>
      </c>
      <c r="C534" s="1" t="s">
        <v>134</v>
      </c>
      <c r="D534" s="1" t="s">
        <v>44</v>
      </c>
      <c r="E534" s="1" t="s">
        <v>221</v>
      </c>
      <c r="F534" s="1" t="s">
        <v>120</v>
      </c>
      <c r="G534" s="1" t="s">
        <v>47</v>
      </c>
      <c r="H534" s="1" t="s">
        <v>57</v>
      </c>
      <c r="I534" s="1" t="s">
        <v>58</v>
      </c>
      <c r="J534" s="1" t="s">
        <v>35</v>
      </c>
      <c r="K534" s="1" t="s">
        <v>112</v>
      </c>
      <c r="L534" s="1" t="s">
        <v>49</v>
      </c>
      <c r="M534" s="1" t="s">
        <v>50</v>
      </c>
      <c r="N534" s="1" t="n">
        <v>16999</v>
      </c>
      <c r="O534" s="1" t="n">
        <v>15</v>
      </c>
      <c r="P534" s="1" t="n">
        <v>2549.85</v>
      </c>
      <c r="Q534" s="1" t="n">
        <v>14449.15</v>
      </c>
      <c r="R534" s="1" t="n">
        <v>2600.85</v>
      </c>
      <c r="S534" s="1" t="n">
        <v>11848.3</v>
      </c>
      <c r="T534" s="1" t="n">
        <v>5420.17</v>
      </c>
      <c r="U534" s="1" t="n">
        <v>6428.13</v>
      </c>
      <c r="V534" s="1" t="n">
        <v>54.25</v>
      </c>
      <c r="W534" s="1" t="s">
        <v>39</v>
      </c>
      <c r="X534" s="1" t="n">
        <v>3.8</v>
      </c>
      <c r="Y534" s="1" t="s">
        <v>40</v>
      </c>
      <c r="Z534" s="1" t="n">
        <v>0</v>
      </c>
    </row>
    <row r="535" customFormat="false" ht="15" hidden="false" customHeight="true" outlineLevel="0" collapsed="false">
      <c r="A535" s="1" t="s">
        <v>1082</v>
      </c>
      <c r="B535" s="1" t="s">
        <v>847</v>
      </c>
      <c r="C535" s="1" t="s">
        <v>139</v>
      </c>
      <c r="D535" s="1" t="s">
        <v>168</v>
      </c>
      <c r="E535" s="1" t="s">
        <v>169</v>
      </c>
      <c r="F535" s="1" t="s">
        <v>187</v>
      </c>
      <c r="G535" s="1" t="s">
        <v>97</v>
      </c>
      <c r="H535" s="1" t="s">
        <v>69</v>
      </c>
      <c r="I535" s="1" t="s">
        <v>83</v>
      </c>
      <c r="J535" s="1" t="s">
        <v>59</v>
      </c>
      <c r="K535" s="1" t="s">
        <v>48</v>
      </c>
      <c r="L535" s="1" t="s">
        <v>49</v>
      </c>
      <c r="M535" s="1" t="s">
        <v>62</v>
      </c>
      <c r="N535" s="1" t="n">
        <v>4999</v>
      </c>
      <c r="O535" s="1" t="n">
        <v>0</v>
      </c>
      <c r="P535" s="1" t="n">
        <v>0</v>
      </c>
      <c r="Q535" s="1" t="n">
        <v>4999</v>
      </c>
      <c r="R535" s="1" t="n">
        <v>899.82</v>
      </c>
      <c r="S535" s="1" t="n">
        <v>4099.18</v>
      </c>
      <c r="T535" s="1" t="n">
        <v>1522.88</v>
      </c>
      <c r="U535" s="1" t="n">
        <v>2576.3</v>
      </c>
      <c r="V535" s="1" t="n">
        <v>62.85</v>
      </c>
      <c r="W535" s="1" t="s">
        <v>39</v>
      </c>
      <c r="X535" s="1" t="n">
        <v>2.9</v>
      </c>
      <c r="Y535" s="1" t="s">
        <v>40</v>
      </c>
      <c r="Z535" s="1" t="n">
        <v>0</v>
      </c>
    </row>
    <row r="536" customFormat="false" ht="15" hidden="false" customHeight="true" outlineLevel="0" collapsed="false">
      <c r="A536" s="1" t="s">
        <v>1083</v>
      </c>
      <c r="B536" s="1" t="s">
        <v>401</v>
      </c>
      <c r="C536" s="1" t="s">
        <v>74</v>
      </c>
      <c r="D536" s="1" t="s">
        <v>29</v>
      </c>
      <c r="E536" s="1" t="s">
        <v>129</v>
      </c>
      <c r="F536" s="1" t="s">
        <v>31</v>
      </c>
      <c r="G536" s="1" t="s">
        <v>32</v>
      </c>
      <c r="H536" s="1" t="s">
        <v>33</v>
      </c>
      <c r="I536" s="1" t="s">
        <v>83</v>
      </c>
      <c r="J536" s="1" t="s">
        <v>59</v>
      </c>
      <c r="K536" s="1" t="s">
        <v>48</v>
      </c>
      <c r="L536" s="1" t="s">
        <v>136</v>
      </c>
      <c r="M536" s="1" t="s">
        <v>38</v>
      </c>
      <c r="N536" s="1" t="n">
        <v>29999</v>
      </c>
      <c r="O536" s="1" t="n">
        <v>40</v>
      </c>
      <c r="P536" s="1" t="n">
        <v>11999.6</v>
      </c>
      <c r="Q536" s="1" t="n">
        <v>17999.4</v>
      </c>
      <c r="R536" s="1" t="n">
        <v>3239.89</v>
      </c>
      <c r="S536" s="1" t="n">
        <v>14759.51</v>
      </c>
      <c r="T536" s="1" t="n">
        <v>8926.1</v>
      </c>
      <c r="U536" s="1" t="n">
        <v>5833.41</v>
      </c>
      <c r="V536" s="1" t="n">
        <v>39.52</v>
      </c>
      <c r="W536" s="1" t="s">
        <v>40</v>
      </c>
      <c r="Y536" s="1" t="s">
        <v>40</v>
      </c>
      <c r="Z536" s="1" t="n">
        <v>1</v>
      </c>
    </row>
    <row r="537" customFormat="false" ht="15" hidden="false" customHeight="true" outlineLevel="0" collapsed="false">
      <c r="A537" s="1" t="s">
        <v>1084</v>
      </c>
      <c r="B537" s="1" t="s">
        <v>1085</v>
      </c>
      <c r="C537" s="1" t="s">
        <v>65</v>
      </c>
      <c r="D537" s="1" t="s">
        <v>143</v>
      </c>
      <c r="E537" s="1" t="s">
        <v>162</v>
      </c>
      <c r="F537" s="1" t="s">
        <v>150</v>
      </c>
      <c r="G537" s="1" t="s">
        <v>32</v>
      </c>
      <c r="H537" s="1" t="s">
        <v>57</v>
      </c>
      <c r="I537" s="1" t="s">
        <v>83</v>
      </c>
      <c r="J537" s="1" t="s">
        <v>77</v>
      </c>
      <c r="K537" s="1" t="s">
        <v>112</v>
      </c>
      <c r="L537" s="1" t="s">
        <v>85</v>
      </c>
      <c r="M537" s="1" t="s">
        <v>62</v>
      </c>
      <c r="N537" s="1" t="n">
        <v>14999</v>
      </c>
      <c r="O537" s="1" t="n">
        <v>40</v>
      </c>
      <c r="P537" s="1" t="n">
        <v>5999.6</v>
      </c>
      <c r="Q537" s="1" t="n">
        <v>8999.4</v>
      </c>
      <c r="R537" s="1" t="n">
        <v>1619.89</v>
      </c>
      <c r="S537" s="1" t="n">
        <v>7379.51</v>
      </c>
      <c r="T537" s="1" t="n">
        <v>3790.83</v>
      </c>
      <c r="U537" s="1" t="n">
        <v>3588.68</v>
      </c>
      <c r="V537" s="1" t="n">
        <v>48.63</v>
      </c>
      <c r="W537" s="1" t="s">
        <v>39</v>
      </c>
      <c r="X537" s="1" t="n">
        <v>3.8</v>
      </c>
      <c r="Y537" s="1" t="s">
        <v>40</v>
      </c>
      <c r="Z537" s="1" t="n">
        <v>0</v>
      </c>
    </row>
    <row r="538" customFormat="false" ht="15" hidden="false" customHeight="true" outlineLevel="0" collapsed="false">
      <c r="A538" s="1" t="s">
        <v>1086</v>
      </c>
      <c r="B538" s="1" t="s">
        <v>520</v>
      </c>
      <c r="C538" s="1" t="s">
        <v>43</v>
      </c>
      <c r="D538" s="1" t="s">
        <v>53</v>
      </c>
      <c r="E538" s="1" t="s">
        <v>54</v>
      </c>
      <c r="F538" s="1" t="s">
        <v>244</v>
      </c>
      <c r="G538" s="1" t="s">
        <v>97</v>
      </c>
      <c r="H538" s="1" t="s">
        <v>57</v>
      </c>
      <c r="I538" s="1" t="s">
        <v>58</v>
      </c>
      <c r="J538" s="1" t="s">
        <v>131</v>
      </c>
      <c r="K538" s="1" t="s">
        <v>60</v>
      </c>
      <c r="L538" s="1" t="s">
        <v>49</v>
      </c>
      <c r="M538" s="1" t="s">
        <v>62</v>
      </c>
      <c r="N538" s="1" t="n">
        <v>11999</v>
      </c>
      <c r="O538" s="1" t="n">
        <v>0</v>
      </c>
      <c r="P538" s="1" t="n">
        <v>0</v>
      </c>
      <c r="Q538" s="1" t="n">
        <v>11999</v>
      </c>
      <c r="R538" s="1" t="n">
        <v>2159.82</v>
      </c>
      <c r="S538" s="1" t="n">
        <v>9839.18</v>
      </c>
      <c r="T538" s="1" t="n">
        <v>4993.22</v>
      </c>
      <c r="U538" s="1" t="n">
        <v>4845.96</v>
      </c>
      <c r="V538" s="1" t="n">
        <v>49.25</v>
      </c>
      <c r="W538" s="1" t="s">
        <v>39</v>
      </c>
      <c r="Y538" s="1" t="s">
        <v>40</v>
      </c>
      <c r="Z538" s="1" t="n">
        <v>0</v>
      </c>
    </row>
    <row r="539" customFormat="false" ht="15" hidden="false" customHeight="true" outlineLevel="0" collapsed="false">
      <c r="A539" s="1" t="s">
        <v>1087</v>
      </c>
      <c r="B539" s="1" t="s">
        <v>229</v>
      </c>
      <c r="C539" s="1" t="s">
        <v>93</v>
      </c>
      <c r="D539" s="1" t="s">
        <v>80</v>
      </c>
      <c r="E539" s="1" t="s">
        <v>190</v>
      </c>
      <c r="F539" s="1" t="s">
        <v>75</v>
      </c>
      <c r="G539" s="1" t="s">
        <v>76</v>
      </c>
      <c r="H539" s="1" t="s">
        <v>69</v>
      </c>
      <c r="I539" s="1" t="s">
        <v>34</v>
      </c>
      <c r="J539" s="1" t="s">
        <v>59</v>
      </c>
      <c r="K539" s="1" t="s">
        <v>60</v>
      </c>
      <c r="L539" s="1" t="s">
        <v>37</v>
      </c>
      <c r="M539" s="1" t="s">
        <v>62</v>
      </c>
      <c r="N539" s="1" t="n">
        <v>15999</v>
      </c>
      <c r="O539" s="1" t="n">
        <v>0</v>
      </c>
      <c r="P539" s="1" t="n">
        <v>0</v>
      </c>
      <c r="Q539" s="1" t="n">
        <v>15999</v>
      </c>
      <c r="R539" s="1" t="n">
        <v>2879.82</v>
      </c>
      <c r="S539" s="1" t="n">
        <v>13119.18</v>
      </c>
      <c r="T539" s="1" t="n">
        <v>5648.44</v>
      </c>
      <c r="U539" s="1" t="n">
        <v>7470.74</v>
      </c>
      <c r="V539" s="1" t="n">
        <v>56.95</v>
      </c>
      <c r="W539" s="1" t="s">
        <v>39</v>
      </c>
      <c r="X539" s="1" t="n">
        <v>3.7</v>
      </c>
      <c r="Y539" s="1" t="s">
        <v>40</v>
      </c>
      <c r="Z539" s="1" t="n">
        <v>0</v>
      </c>
    </row>
    <row r="540" customFormat="false" ht="15" hidden="false" customHeight="true" outlineLevel="0" collapsed="false">
      <c r="A540" s="1" t="s">
        <v>1088</v>
      </c>
      <c r="B540" s="1" t="s">
        <v>1089</v>
      </c>
      <c r="C540" s="1" t="s">
        <v>28</v>
      </c>
      <c r="D540" s="1" t="s">
        <v>94</v>
      </c>
      <c r="E540" s="1" t="s">
        <v>101</v>
      </c>
      <c r="F540" s="1" t="s">
        <v>120</v>
      </c>
      <c r="G540" s="1" t="s">
        <v>47</v>
      </c>
      <c r="H540" s="1" t="s">
        <v>57</v>
      </c>
      <c r="I540" s="1" t="s">
        <v>34</v>
      </c>
      <c r="J540" s="1" t="s">
        <v>35</v>
      </c>
      <c r="K540" s="1" t="s">
        <v>84</v>
      </c>
      <c r="L540" s="1" t="s">
        <v>49</v>
      </c>
      <c r="M540" s="1" t="s">
        <v>50</v>
      </c>
      <c r="N540" s="1" t="n">
        <v>14999</v>
      </c>
      <c r="O540" s="1" t="n">
        <v>10</v>
      </c>
      <c r="P540" s="1" t="n">
        <v>1499.9</v>
      </c>
      <c r="Q540" s="1" t="n">
        <v>13499.1</v>
      </c>
      <c r="R540" s="1" t="n">
        <v>2429.84</v>
      </c>
      <c r="S540" s="1" t="n">
        <v>11069.26</v>
      </c>
      <c r="T540" s="1" t="n">
        <v>4362.52</v>
      </c>
      <c r="U540" s="1" t="n">
        <v>6706.74</v>
      </c>
      <c r="V540" s="1" t="n">
        <v>60.59</v>
      </c>
      <c r="W540" s="1" t="s">
        <v>40</v>
      </c>
      <c r="Y540" s="1" t="s">
        <v>40</v>
      </c>
      <c r="Z540" s="1" t="n">
        <v>4</v>
      </c>
    </row>
    <row r="541" customFormat="false" ht="15" hidden="false" customHeight="true" outlineLevel="0" collapsed="false">
      <c r="A541" s="1" t="s">
        <v>1090</v>
      </c>
      <c r="B541" s="1" t="s">
        <v>399</v>
      </c>
      <c r="C541" s="1" t="s">
        <v>134</v>
      </c>
      <c r="D541" s="1" t="s">
        <v>53</v>
      </c>
      <c r="E541" s="1" t="s">
        <v>216</v>
      </c>
      <c r="F541" s="1" t="s">
        <v>150</v>
      </c>
      <c r="G541" s="1" t="s">
        <v>32</v>
      </c>
      <c r="H541" s="1" t="s">
        <v>57</v>
      </c>
      <c r="I541" s="1" t="s">
        <v>83</v>
      </c>
      <c r="J541" s="1" t="s">
        <v>77</v>
      </c>
      <c r="K541" s="1" t="s">
        <v>36</v>
      </c>
      <c r="L541" s="1" t="s">
        <v>49</v>
      </c>
      <c r="M541" s="1" t="s">
        <v>62</v>
      </c>
      <c r="N541" s="1" t="n">
        <v>7499</v>
      </c>
      <c r="O541" s="1" t="n">
        <v>20</v>
      </c>
      <c r="P541" s="1" t="n">
        <v>1499.8</v>
      </c>
      <c r="Q541" s="1" t="n">
        <v>5999.2</v>
      </c>
      <c r="R541" s="1" t="n">
        <v>1079.86</v>
      </c>
      <c r="S541" s="1" t="n">
        <v>4919.34</v>
      </c>
      <c r="T541" s="1" t="n">
        <v>2209</v>
      </c>
      <c r="U541" s="1" t="n">
        <v>2710.34</v>
      </c>
      <c r="V541" s="1" t="n">
        <v>55.1</v>
      </c>
      <c r="W541" s="1" t="s">
        <v>39</v>
      </c>
      <c r="Y541" s="1" t="s">
        <v>40</v>
      </c>
      <c r="Z541" s="1" t="n">
        <v>1</v>
      </c>
    </row>
    <row r="542" customFormat="false" ht="15" hidden="false" customHeight="true" outlineLevel="0" collapsed="false">
      <c r="A542" s="1" t="s">
        <v>1091</v>
      </c>
      <c r="B542" s="1" t="s">
        <v>1092</v>
      </c>
      <c r="C542" s="1" t="s">
        <v>74</v>
      </c>
      <c r="D542" s="1" t="s">
        <v>94</v>
      </c>
      <c r="E542" s="1" t="s">
        <v>135</v>
      </c>
      <c r="F542" s="1" t="s">
        <v>194</v>
      </c>
      <c r="G542" s="1" t="s">
        <v>103</v>
      </c>
      <c r="H542" s="1" t="s">
        <v>69</v>
      </c>
      <c r="I542" s="1" t="s">
        <v>83</v>
      </c>
      <c r="J542" s="1" t="s">
        <v>59</v>
      </c>
      <c r="K542" s="1" t="s">
        <v>71</v>
      </c>
      <c r="L542" s="1" t="s">
        <v>37</v>
      </c>
      <c r="M542" s="1" t="s">
        <v>38</v>
      </c>
      <c r="N542" s="1" t="n">
        <v>9999</v>
      </c>
      <c r="O542" s="1" t="n">
        <v>0</v>
      </c>
      <c r="P542" s="1" t="n">
        <v>0</v>
      </c>
      <c r="Q542" s="1" t="n">
        <v>9999</v>
      </c>
      <c r="R542" s="1" t="n">
        <v>1799.82</v>
      </c>
      <c r="S542" s="1" t="n">
        <v>8199.18</v>
      </c>
      <c r="T542" s="1" t="n">
        <v>3602.77</v>
      </c>
      <c r="U542" s="1" t="n">
        <v>4596.41</v>
      </c>
      <c r="V542" s="1" t="n">
        <v>56.06</v>
      </c>
      <c r="W542" s="1" t="s">
        <v>39</v>
      </c>
      <c r="X542" s="1" t="n">
        <v>4.9</v>
      </c>
      <c r="Y542" s="1" t="s">
        <v>40</v>
      </c>
      <c r="Z542" s="1" t="n">
        <v>0</v>
      </c>
    </row>
    <row r="543" customFormat="false" ht="15" hidden="false" customHeight="true" outlineLevel="0" collapsed="false">
      <c r="A543" s="1" t="s">
        <v>1093</v>
      </c>
      <c r="B543" s="1" t="s">
        <v>1094</v>
      </c>
      <c r="C543" s="1" t="s">
        <v>249</v>
      </c>
      <c r="D543" s="1" t="s">
        <v>143</v>
      </c>
      <c r="E543" s="1" t="s">
        <v>210</v>
      </c>
      <c r="F543" s="1" t="s">
        <v>82</v>
      </c>
      <c r="G543" s="1" t="s">
        <v>56</v>
      </c>
      <c r="H543" s="1" t="s">
        <v>69</v>
      </c>
      <c r="I543" s="1" t="s">
        <v>58</v>
      </c>
      <c r="J543" s="1" t="s">
        <v>131</v>
      </c>
      <c r="K543" s="1" t="s">
        <v>71</v>
      </c>
      <c r="L543" s="1" t="s">
        <v>113</v>
      </c>
      <c r="M543" s="1" t="s">
        <v>38</v>
      </c>
      <c r="N543" s="1" t="n">
        <v>18999</v>
      </c>
      <c r="O543" s="1" t="n">
        <v>10</v>
      </c>
      <c r="P543" s="1" t="n">
        <v>1899.9</v>
      </c>
      <c r="Q543" s="1" t="n">
        <v>17099.1</v>
      </c>
      <c r="R543" s="1" t="n">
        <v>3077.84</v>
      </c>
      <c r="S543" s="1" t="n">
        <v>14021.26</v>
      </c>
      <c r="T543" s="1" t="n">
        <v>5755.36</v>
      </c>
      <c r="U543" s="1" t="n">
        <v>8265.9</v>
      </c>
      <c r="V543" s="1" t="n">
        <v>58.95</v>
      </c>
      <c r="W543" s="1" t="s">
        <v>39</v>
      </c>
      <c r="X543" s="1" t="n">
        <v>3.7</v>
      </c>
      <c r="Y543" s="1" t="s">
        <v>40</v>
      </c>
      <c r="Z543" s="1" t="n">
        <v>1</v>
      </c>
    </row>
    <row r="544" customFormat="false" ht="15" hidden="false" customHeight="true" outlineLevel="0" collapsed="false">
      <c r="A544" s="1" t="s">
        <v>1095</v>
      </c>
      <c r="B544" s="1" t="s">
        <v>926</v>
      </c>
      <c r="C544" s="1" t="s">
        <v>93</v>
      </c>
      <c r="D544" s="1" t="s">
        <v>44</v>
      </c>
      <c r="E544" s="1" t="s">
        <v>221</v>
      </c>
      <c r="F544" s="1" t="s">
        <v>211</v>
      </c>
      <c r="G544" s="1" t="s">
        <v>56</v>
      </c>
      <c r="H544" s="1" t="s">
        <v>69</v>
      </c>
      <c r="I544" s="1" t="s">
        <v>34</v>
      </c>
      <c r="J544" s="1" t="s">
        <v>131</v>
      </c>
      <c r="K544" s="1" t="s">
        <v>71</v>
      </c>
      <c r="L544" s="1" t="s">
        <v>136</v>
      </c>
      <c r="M544" s="1" t="s">
        <v>38</v>
      </c>
      <c r="N544" s="1" t="n">
        <v>16999</v>
      </c>
      <c r="O544" s="1" t="n">
        <v>0</v>
      </c>
      <c r="P544" s="1" t="n">
        <v>0</v>
      </c>
      <c r="Q544" s="1" t="n">
        <v>16999</v>
      </c>
      <c r="R544" s="1" t="n">
        <v>3059.82</v>
      </c>
      <c r="S544" s="1" t="n">
        <v>13939.18</v>
      </c>
      <c r="T544" s="1" t="n">
        <v>5164.11</v>
      </c>
      <c r="U544" s="1" t="n">
        <v>8775.07</v>
      </c>
      <c r="V544" s="1" t="n">
        <v>62.95</v>
      </c>
      <c r="W544" s="1" t="s">
        <v>40</v>
      </c>
      <c r="Y544" s="1" t="s">
        <v>40</v>
      </c>
      <c r="Z544" s="1" t="n">
        <v>0</v>
      </c>
    </row>
    <row r="545" customFormat="false" ht="15" hidden="false" customHeight="true" outlineLevel="0" collapsed="false">
      <c r="A545" s="1" t="s">
        <v>1096</v>
      </c>
      <c r="B545" s="1" t="s">
        <v>1097</v>
      </c>
      <c r="C545" s="1" t="s">
        <v>88</v>
      </c>
      <c r="D545" s="1" t="s">
        <v>53</v>
      </c>
      <c r="E545" s="1" t="s">
        <v>54</v>
      </c>
      <c r="F545" s="1" t="s">
        <v>55</v>
      </c>
      <c r="G545" s="1" t="s">
        <v>56</v>
      </c>
      <c r="H545" s="1" t="s">
        <v>57</v>
      </c>
      <c r="I545" s="1" t="s">
        <v>34</v>
      </c>
      <c r="J545" s="1" t="s">
        <v>131</v>
      </c>
      <c r="K545" s="1" t="s">
        <v>112</v>
      </c>
      <c r="L545" s="1" t="s">
        <v>85</v>
      </c>
      <c r="M545" s="1" t="s">
        <v>38</v>
      </c>
      <c r="N545" s="1" t="n">
        <v>11999</v>
      </c>
      <c r="O545" s="1" t="n">
        <v>10</v>
      </c>
      <c r="P545" s="1" t="n">
        <v>1199.9</v>
      </c>
      <c r="Q545" s="1" t="n">
        <v>10799.1</v>
      </c>
      <c r="R545" s="1" t="n">
        <v>1943.84</v>
      </c>
      <c r="S545" s="1" t="n">
        <v>8855.26</v>
      </c>
      <c r="T545" s="1" t="n">
        <v>4203.38</v>
      </c>
      <c r="U545" s="1" t="n">
        <v>4651.88</v>
      </c>
      <c r="V545" s="1" t="n">
        <v>52.53</v>
      </c>
      <c r="W545" s="1" t="s">
        <v>39</v>
      </c>
      <c r="X545" s="1" t="n">
        <v>3.6</v>
      </c>
      <c r="Y545" s="1" t="s">
        <v>40</v>
      </c>
      <c r="Z545" s="1" t="n">
        <v>0</v>
      </c>
    </row>
    <row r="546" customFormat="false" ht="15" hidden="false" customHeight="true" outlineLevel="0" collapsed="false">
      <c r="A546" s="1" t="s">
        <v>1098</v>
      </c>
      <c r="B546" s="1" t="s">
        <v>1099</v>
      </c>
      <c r="C546" s="1" t="s">
        <v>178</v>
      </c>
      <c r="D546" s="1" t="s">
        <v>168</v>
      </c>
      <c r="E546" s="1" t="s">
        <v>328</v>
      </c>
      <c r="F546" s="1" t="s">
        <v>187</v>
      </c>
      <c r="G546" s="1" t="s">
        <v>97</v>
      </c>
      <c r="H546" s="1" t="s">
        <v>69</v>
      </c>
      <c r="I546" s="1" t="s">
        <v>34</v>
      </c>
      <c r="J546" s="1" t="s">
        <v>131</v>
      </c>
      <c r="K546" s="1" t="s">
        <v>90</v>
      </c>
      <c r="L546" s="1" t="s">
        <v>85</v>
      </c>
      <c r="M546" s="1" t="s">
        <v>50</v>
      </c>
      <c r="N546" s="1" t="n">
        <v>8999</v>
      </c>
      <c r="O546" s="1" t="n">
        <v>10</v>
      </c>
      <c r="P546" s="1" t="n">
        <v>899.9</v>
      </c>
      <c r="Q546" s="1" t="n">
        <v>8099.1</v>
      </c>
      <c r="R546" s="1" t="n">
        <v>1457.84</v>
      </c>
      <c r="S546" s="1" t="n">
        <v>6641.26</v>
      </c>
      <c r="T546" s="1" t="n">
        <v>2653.6</v>
      </c>
      <c r="U546" s="1" t="n">
        <v>3987.66</v>
      </c>
      <c r="V546" s="1" t="n">
        <v>60.04</v>
      </c>
      <c r="W546" s="1" t="s">
        <v>39</v>
      </c>
      <c r="X546" s="1" t="n">
        <v>3.7</v>
      </c>
      <c r="Y546" s="1" t="s">
        <v>40</v>
      </c>
      <c r="Z546" s="1" t="n">
        <v>1</v>
      </c>
    </row>
    <row r="547" customFormat="false" ht="15" hidden="false" customHeight="true" outlineLevel="0" collapsed="false">
      <c r="A547" s="1" t="s">
        <v>1100</v>
      </c>
      <c r="B547" s="1" t="s">
        <v>73</v>
      </c>
      <c r="C547" s="1" t="s">
        <v>264</v>
      </c>
      <c r="D547" s="1" t="s">
        <v>44</v>
      </c>
      <c r="E547" s="1" t="s">
        <v>66</v>
      </c>
      <c r="F547" s="1" t="s">
        <v>184</v>
      </c>
      <c r="G547" s="1" t="s">
        <v>56</v>
      </c>
      <c r="H547" s="1" t="s">
        <v>57</v>
      </c>
      <c r="I547" s="1" t="s">
        <v>58</v>
      </c>
      <c r="J547" s="1" t="s">
        <v>59</v>
      </c>
      <c r="K547" s="1" t="s">
        <v>71</v>
      </c>
      <c r="L547" s="1" t="s">
        <v>49</v>
      </c>
      <c r="M547" s="1" t="s">
        <v>62</v>
      </c>
      <c r="N547" s="1" t="n">
        <v>12999</v>
      </c>
      <c r="O547" s="1" t="n">
        <v>0</v>
      </c>
      <c r="P547" s="1" t="n">
        <v>0</v>
      </c>
      <c r="Q547" s="1" t="n">
        <v>12999</v>
      </c>
      <c r="R547" s="1" t="n">
        <v>2339.82</v>
      </c>
      <c r="S547" s="1" t="n">
        <v>10659.18</v>
      </c>
      <c r="T547" s="1" t="n">
        <v>4861.29</v>
      </c>
      <c r="U547" s="1" t="n">
        <v>5797.89</v>
      </c>
      <c r="V547" s="1" t="n">
        <v>54.39</v>
      </c>
      <c r="W547" s="1" t="s">
        <v>39</v>
      </c>
      <c r="X547" s="1" t="n">
        <v>4.4</v>
      </c>
      <c r="Y547" s="1" t="s">
        <v>40</v>
      </c>
      <c r="Z547" s="1" t="n">
        <v>0</v>
      </c>
    </row>
    <row r="548" customFormat="false" ht="15" hidden="false" customHeight="true" outlineLevel="0" collapsed="false">
      <c r="A548" s="1" t="s">
        <v>1101</v>
      </c>
      <c r="B548" s="1" t="s">
        <v>1102</v>
      </c>
      <c r="C548" s="1" t="s">
        <v>93</v>
      </c>
      <c r="D548" s="1" t="s">
        <v>53</v>
      </c>
      <c r="E548" s="1" t="s">
        <v>216</v>
      </c>
      <c r="F548" s="1" t="s">
        <v>140</v>
      </c>
      <c r="G548" s="1" t="s">
        <v>97</v>
      </c>
      <c r="H548" s="1" t="s">
        <v>57</v>
      </c>
      <c r="I548" s="1" t="s">
        <v>34</v>
      </c>
      <c r="J548" s="1" t="s">
        <v>59</v>
      </c>
      <c r="K548" s="1" t="s">
        <v>104</v>
      </c>
      <c r="L548" s="1" t="s">
        <v>113</v>
      </c>
      <c r="M548" s="1" t="s">
        <v>50</v>
      </c>
      <c r="N548" s="1" t="n">
        <v>7499</v>
      </c>
      <c r="O548" s="1" t="n">
        <v>10</v>
      </c>
      <c r="P548" s="1" t="n">
        <v>749.9</v>
      </c>
      <c r="Q548" s="1" t="n">
        <v>6749.1</v>
      </c>
      <c r="R548" s="1" t="n">
        <v>1214.84</v>
      </c>
      <c r="S548" s="1" t="n">
        <v>5534.26</v>
      </c>
      <c r="T548" s="1" t="n">
        <v>2650.75</v>
      </c>
      <c r="U548" s="1" t="n">
        <v>2883.51</v>
      </c>
      <c r="V548" s="1" t="n">
        <v>52.1</v>
      </c>
      <c r="W548" s="1" t="s">
        <v>40</v>
      </c>
      <c r="Y548" s="1" t="s">
        <v>40</v>
      </c>
      <c r="Z548" s="1" t="n">
        <v>1</v>
      </c>
    </row>
    <row r="549" customFormat="false" ht="15" hidden="false" customHeight="true" outlineLevel="0" collapsed="false">
      <c r="A549" s="1" t="s">
        <v>1103</v>
      </c>
      <c r="B549" s="1" t="s">
        <v>1104</v>
      </c>
      <c r="C549" s="1" t="s">
        <v>43</v>
      </c>
      <c r="D549" s="1" t="s">
        <v>29</v>
      </c>
      <c r="E549" s="1" t="s">
        <v>305</v>
      </c>
      <c r="F549" s="1" t="s">
        <v>55</v>
      </c>
      <c r="G549" s="1" t="s">
        <v>56</v>
      </c>
      <c r="H549" s="1" t="s">
        <v>57</v>
      </c>
      <c r="I549" s="1" t="s">
        <v>83</v>
      </c>
      <c r="J549" s="1" t="s">
        <v>35</v>
      </c>
      <c r="K549" s="1" t="s">
        <v>90</v>
      </c>
      <c r="L549" s="1" t="s">
        <v>49</v>
      </c>
      <c r="M549" s="1" t="s">
        <v>38</v>
      </c>
      <c r="N549" s="1" t="n">
        <v>24999</v>
      </c>
      <c r="O549" s="1" t="n">
        <v>5</v>
      </c>
      <c r="P549" s="1" t="n">
        <v>1249.95</v>
      </c>
      <c r="Q549" s="1" t="n">
        <v>23749.05</v>
      </c>
      <c r="R549" s="1" t="n">
        <v>4274.83</v>
      </c>
      <c r="S549" s="1" t="n">
        <v>19474.22</v>
      </c>
      <c r="T549" s="1" t="n">
        <v>10146.12</v>
      </c>
      <c r="U549" s="1" t="n">
        <v>9328.1</v>
      </c>
      <c r="V549" s="1" t="n">
        <v>47.9</v>
      </c>
      <c r="W549" s="1" t="s">
        <v>39</v>
      </c>
      <c r="X549" s="1" t="n">
        <v>4.5</v>
      </c>
      <c r="Y549" s="1" t="s">
        <v>40</v>
      </c>
      <c r="Z549" s="1" t="n">
        <v>0</v>
      </c>
    </row>
    <row r="550" customFormat="false" ht="15" hidden="false" customHeight="true" outlineLevel="0" collapsed="false">
      <c r="A550" s="1" t="s">
        <v>1105</v>
      </c>
      <c r="B550" s="1" t="s">
        <v>539</v>
      </c>
      <c r="C550" s="1" t="s">
        <v>167</v>
      </c>
      <c r="D550" s="1" t="s">
        <v>123</v>
      </c>
      <c r="E550" s="1" t="s">
        <v>233</v>
      </c>
      <c r="F550" s="1" t="s">
        <v>244</v>
      </c>
      <c r="G550" s="1" t="s">
        <v>97</v>
      </c>
      <c r="H550" s="1" t="s">
        <v>57</v>
      </c>
      <c r="I550" s="1" t="s">
        <v>58</v>
      </c>
      <c r="J550" s="1" t="s">
        <v>70</v>
      </c>
      <c r="K550" s="1" t="s">
        <v>104</v>
      </c>
      <c r="L550" s="1" t="s">
        <v>85</v>
      </c>
      <c r="M550" s="1" t="s">
        <v>50</v>
      </c>
      <c r="N550" s="1" t="n">
        <v>8999</v>
      </c>
      <c r="O550" s="1" t="n">
        <v>25</v>
      </c>
      <c r="P550" s="1" t="n">
        <v>2249.75</v>
      </c>
      <c r="Q550" s="1" t="n">
        <v>6749.25</v>
      </c>
      <c r="R550" s="1" t="n">
        <v>1214.87</v>
      </c>
      <c r="S550" s="1" t="n">
        <v>5534.38</v>
      </c>
      <c r="T550" s="1" t="n">
        <v>2757.28</v>
      </c>
      <c r="U550" s="1" t="n">
        <v>2777.1</v>
      </c>
      <c r="V550" s="1" t="n">
        <v>50.18</v>
      </c>
      <c r="W550" s="1" t="s">
        <v>39</v>
      </c>
      <c r="X550" s="1" t="n">
        <v>3.9</v>
      </c>
      <c r="Y550" s="1" t="s">
        <v>40</v>
      </c>
      <c r="Z550" s="1" t="n">
        <v>1</v>
      </c>
    </row>
    <row r="551" customFormat="false" ht="15" hidden="false" customHeight="true" outlineLevel="0" collapsed="false">
      <c r="A551" s="1" t="s">
        <v>1106</v>
      </c>
      <c r="B551" s="1" t="s">
        <v>1107</v>
      </c>
      <c r="C551" s="1" t="s">
        <v>167</v>
      </c>
      <c r="D551" s="1" t="s">
        <v>80</v>
      </c>
      <c r="E551" s="1" t="s">
        <v>190</v>
      </c>
      <c r="F551" s="1" t="s">
        <v>82</v>
      </c>
      <c r="G551" s="1" t="s">
        <v>56</v>
      </c>
      <c r="H551" s="1" t="s">
        <v>69</v>
      </c>
      <c r="I551" s="1" t="s">
        <v>34</v>
      </c>
      <c r="J551" s="1" t="s">
        <v>77</v>
      </c>
      <c r="K551" s="1" t="s">
        <v>71</v>
      </c>
      <c r="L551" s="1" t="s">
        <v>49</v>
      </c>
      <c r="M551" s="1" t="s">
        <v>38</v>
      </c>
      <c r="N551" s="1" t="n">
        <v>15999</v>
      </c>
      <c r="O551" s="1" t="n">
        <v>15</v>
      </c>
      <c r="P551" s="1" t="n">
        <v>2399.85</v>
      </c>
      <c r="Q551" s="1" t="n">
        <v>13599.15</v>
      </c>
      <c r="R551" s="1" t="n">
        <v>2447.85</v>
      </c>
      <c r="S551" s="1" t="n">
        <v>11151.3</v>
      </c>
      <c r="T551" s="1" t="n">
        <v>4044.61</v>
      </c>
      <c r="U551" s="1" t="n">
        <v>7106.69</v>
      </c>
      <c r="V551" s="1" t="n">
        <v>63.73</v>
      </c>
      <c r="W551" s="1" t="s">
        <v>39</v>
      </c>
      <c r="X551" s="1" t="n">
        <v>4.4</v>
      </c>
      <c r="Y551" s="1" t="s">
        <v>40</v>
      </c>
      <c r="Z551" s="1" t="n">
        <v>0</v>
      </c>
    </row>
    <row r="552" customFormat="false" ht="15" hidden="false" customHeight="true" outlineLevel="0" collapsed="false">
      <c r="A552" s="1" t="s">
        <v>1108</v>
      </c>
      <c r="B552" s="1" t="s">
        <v>1109</v>
      </c>
      <c r="C552" s="1" t="s">
        <v>128</v>
      </c>
      <c r="D552" s="1" t="s">
        <v>123</v>
      </c>
      <c r="E552" s="1" t="s">
        <v>147</v>
      </c>
      <c r="F552" s="1" t="s">
        <v>205</v>
      </c>
      <c r="G552" s="1" t="s">
        <v>56</v>
      </c>
      <c r="H552" s="1" t="s">
        <v>69</v>
      </c>
      <c r="I552" s="1" t="s">
        <v>58</v>
      </c>
      <c r="J552" s="1" t="s">
        <v>70</v>
      </c>
      <c r="K552" s="1" t="s">
        <v>84</v>
      </c>
      <c r="L552" s="1" t="s">
        <v>61</v>
      </c>
      <c r="M552" s="1" t="s">
        <v>62</v>
      </c>
      <c r="N552" s="1" t="n">
        <v>6999</v>
      </c>
      <c r="O552" s="1" t="n">
        <v>40</v>
      </c>
      <c r="P552" s="1" t="n">
        <v>2799.6</v>
      </c>
      <c r="Q552" s="1" t="n">
        <v>4199.4</v>
      </c>
      <c r="R552" s="1" t="n">
        <v>755.89</v>
      </c>
      <c r="S552" s="1" t="n">
        <v>3443.51</v>
      </c>
      <c r="T552" s="1" t="n">
        <v>1948.96</v>
      </c>
      <c r="U552" s="1" t="n">
        <v>1494.55</v>
      </c>
      <c r="V552" s="1" t="n">
        <v>43.4</v>
      </c>
      <c r="W552" s="1" t="s">
        <v>39</v>
      </c>
      <c r="X552" s="1" t="n">
        <v>4.3</v>
      </c>
      <c r="Y552" s="1" t="s">
        <v>40</v>
      </c>
      <c r="Z552" s="1" t="n">
        <v>0</v>
      </c>
    </row>
    <row r="553" customFormat="false" ht="15" hidden="false" customHeight="true" outlineLevel="0" collapsed="false">
      <c r="A553" s="1" t="s">
        <v>1110</v>
      </c>
      <c r="B553" s="1" t="s">
        <v>1111</v>
      </c>
      <c r="C553" s="1" t="s">
        <v>167</v>
      </c>
      <c r="D553" s="1" t="s">
        <v>29</v>
      </c>
      <c r="E553" s="1" t="s">
        <v>129</v>
      </c>
      <c r="F553" s="1" t="s">
        <v>46</v>
      </c>
      <c r="G553" s="1" t="s">
        <v>47</v>
      </c>
      <c r="H553" s="1" t="s">
        <v>33</v>
      </c>
      <c r="I553" s="1" t="s">
        <v>34</v>
      </c>
      <c r="J553" s="1" t="s">
        <v>70</v>
      </c>
      <c r="K553" s="1" t="s">
        <v>48</v>
      </c>
      <c r="L553" s="1" t="s">
        <v>61</v>
      </c>
      <c r="M553" s="1" t="s">
        <v>50</v>
      </c>
      <c r="N553" s="1" t="n">
        <v>29999</v>
      </c>
      <c r="O553" s="1" t="n">
        <v>10</v>
      </c>
      <c r="P553" s="1" t="n">
        <v>2999.9</v>
      </c>
      <c r="Q553" s="1" t="n">
        <v>26999.1</v>
      </c>
      <c r="R553" s="1" t="n">
        <v>4859.84</v>
      </c>
      <c r="S553" s="1" t="n">
        <v>22139.26</v>
      </c>
      <c r="T553" s="1" t="n">
        <v>9289.65</v>
      </c>
      <c r="U553" s="1" t="n">
        <v>12849.61</v>
      </c>
      <c r="V553" s="1" t="n">
        <v>58.04</v>
      </c>
      <c r="W553" s="1" t="s">
        <v>40</v>
      </c>
      <c r="Y553" s="1" t="s">
        <v>40</v>
      </c>
      <c r="Z553" s="1" t="n">
        <v>1</v>
      </c>
    </row>
    <row r="554" customFormat="false" ht="15" hidden="false" customHeight="true" outlineLevel="0" collapsed="false">
      <c r="A554" s="1" t="s">
        <v>1112</v>
      </c>
      <c r="B554" s="1" t="s">
        <v>1113</v>
      </c>
      <c r="C554" s="1" t="s">
        <v>264</v>
      </c>
      <c r="D554" s="1" t="s">
        <v>143</v>
      </c>
      <c r="E554" s="1" t="s">
        <v>162</v>
      </c>
      <c r="F554" s="1" t="s">
        <v>211</v>
      </c>
      <c r="G554" s="1" t="s">
        <v>56</v>
      </c>
      <c r="H554" s="1" t="s">
        <v>69</v>
      </c>
      <c r="I554" s="1" t="s">
        <v>34</v>
      </c>
      <c r="J554" s="1" t="s">
        <v>131</v>
      </c>
      <c r="K554" s="1" t="s">
        <v>112</v>
      </c>
      <c r="L554" s="1" t="s">
        <v>113</v>
      </c>
      <c r="M554" s="1" t="s">
        <v>62</v>
      </c>
      <c r="N554" s="1" t="n">
        <v>14999</v>
      </c>
      <c r="O554" s="1" t="n">
        <v>25</v>
      </c>
      <c r="P554" s="1" t="n">
        <v>3749.75</v>
      </c>
      <c r="Q554" s="1" t="n">
        <v>11249.25</v>
      </c>
      <c r="R554" s="1" t="n">
        <v>2024.87</v>
      </c>
      <c r="S554" s="1" t="n">
        <v>9224.38</v>
      </c>
      <c r="T554" s="1" t="n">
        <v>3513.62</v>
      </c>
      <c r="U554" s="1" t="n">
        <v>5710.76</v>
      </c>
      <c r="V554" s="1" t="n">
        <v>61.91</v>
      </c>
      <c r="W554" s="1" t="s">
        <v>39</v>
      </c>
      <c r="X554" s="1" t="n">
        <v>4.8</v>
      </c>
      <c r="Y554" s="1" t="s">
        <v>40</v>
      </c>
      <c r="Z554" s="1" t="n">
        <v>0</v>
      </c>
    </row>
    <row r="555" customFormat="false" ht="15" hidden="false" customHeight="true" outlineLevel="0" collapsed="false">
      <c r="A555" s="1" t="s">
        <v>1114</v>
      </c>
      <c r="B555" s="1" t="s">
        <v>164</v>
      </c>
      <c r="C555" s="1" t="s">
        <v>128</v>
      </c>
      <c r="D555" s="1" t="s">
        <v>123</v>
      </c>
      <c r="E555" s="1" t="s">
        <v>124</v>
      </c>
      <c r="F555" s="1" t="s">
        <v>211</v>
      </c>
      <c r="G555" s="1" t="s">
        <v>56</v>
      </c>
      <c r="H555" s="1" t="s">
        <v>69</v>
      </c>
      <c r="I555" s="1" t="s">
        <v>83</v>
      </c>
      <c r="J555" s="1" t="s">
        <v>77</v>
      </c>
      <c r="K555" s="1" t="s">
        <v>48</v>
      </c>
      <c r="L555" s="1" t="s">
        <v>85</v>
      </c>
      <c r="M555" s="1" t="s">
        <v>38</v>
      </c>
      <c r="N555" s="1" t="n">
        <v>4999</v>
      </c>
      <c r="O555" s="1" t="n">
        <v>40</v>
      </c>
      <c r="P555" s="1" t="n">
        <v>1999.6</v>
      </c>
      <c r="Q555" s="1" t="n">
        <v>2999.4</v>
      </c>
      <c r="R555" s="1" t="n">
        <v>539.89</v>
      </c>
      <c r="S555" s="1" t="n">
        <v>2459.51</v>
      </c>
      <c r="T555" s="1" t="n">
        <v>964.33</v>
      </c>
      <c r="U555" s="1" t="n">
        <v>1495.18</v>
      </c>
      <c r="V555" s="1" t="n">
        <v>60.79</v>
      </c>
      <c r="W555" s="1" t="s">
        <v>40</v>
      </c>
      <c r="Y555" s="1" t="s">
        <v>40</v>
      </c>
      <c r="Z555" s="1" t="n">
        <v>0</v>
      </c>
    </row>
    <row r="556" customFormat="false" ht="15" hidden="false" customHeight="true" outlineLevel="0" collapsed="false">
      <c r="A556" s="1" t="s">
        <v>1115</v>
      </c>
      <c r="B556" s="1" t="s">
        <v>1116</v>
      </c>
      <c r="C556" s="1" t="s">
        <v>28</v>
      </c>
      <c r="D556" s="1" t="s">
        <v>44</v>
      </c>
      <c r="E556" s="1" t="s">
        <v>66</v>
      </c>
      <c r="F556" s="1" t="s">
        <v>156</v>
      </c>
      <c r="G556" s="1" t="s">
        <v>68</v>
      </c>
      <c r="H556" s="1" t="s">
        <v>57</v>
      </c>
      <c r="I556" s="1" t="s">
        <v>34</v>
      </c>
      <c r="J556" s="1" t="s">
        <v>35</v>
      </c>
      <c r="K556" s="1" t="s">
        <v>48</v>
      </c>
      <c r="L556" s="1" t="s">
        <v>136</v>
      </c>
      <c r="M556" s="1" t="s">
        <v>38</v>
      </c>
      <c r="N556" s="1" t="n">
        <v>12999</v>
      </c>
      <c r="O556" s="1" t="n">
        <v>50</v>
      </c>
      <c r="P556" s="1" t="n">
        <v>6499.5</v>
      </c>
      <c r="Q556" s="1" t="n">
        <v>6499.5</v>
      </c>
      <c r="R556" s="1" t="n">
        <v>1169.91</v>
      </c>
      <c r="S556" s="1" t="n">
        <v>5329.59</v>
      </c>
      <c r="T556" s="1" t="n">
        <v>2785.19</v>
      </c>
      <c r="U556" s="1" t="n">
        <v>2544.4</v>
      </c>
      <c r="V556" s="1" t="n">
        <v>47.74</v>
      </c>
      <c r="W556" s="1" t="s">
        <v>40</v>
      </c>
      <c r="Y556" s="1" t="s">
        <v>40</v>
      </c>
      <c r="Z556" s="1" t="n">
        <v>1</v>
      </c>
    </row>
    <row r="557" customFormat="false" ht="15" hidden="false" customHeight="true" outlineLevel="0" collapsed="false">
      <c r="A557" s="1" t="s">
        <v>1117</v>
      </c>
      <c r="B557" s="1" t="s">
        <v>1118</v>
      </c>
      <c r="C557" s="1" t="s">
        <v>119</v>
      </c>
      <c r="D557" s="1" t="s">
        <v>143</v>
      </c>
      <c r="E557" s="1" t="s">
        <v>210</v>
      </c>
      <c r="F557" s="1" t="s">
        <v>125</v>
      </c>
      <c r="G557" s="1" t="s">
        <v>108</v>
      </c>
      <c r="H557" s="1" t="s">
        <v>69</v>
      </c>
      <c r="I557" s="1" t="s">
        <v>58</v>
      </c>
      <c r="J557" s="1" t="s">
        <v>77</v>
      </c>
      <c r="K557" s="1" t="s">
        <v>48</v>
      </c>
      <c r="L557" s="1" t="s">
        <v>37</v>
      </c>
      <c r="M557" s="1" t="s">
        <v>38</v>
      </c>
      <c r="N557" s="1" t="n">
        <v>18999</v>
      </c>
      <c r="O557" s="1" t="n">
        <v>10</v>
      </c>
      <c r="P557" s="1" t="n">
        <v>1899.9</v>
      </c>
      <c r="Q557" s="1" t="n">
        <v>17099.1</v>
      </c>
      <c r="R557" s="1" t="n">
        <v>3077.84</v>
      </c>
      <c r="S557" s="1" t="n">
        <v>14021.26</v>
      </c>
      <c r="T557" s="1" t="n">
        <v>7200.93</v>
      </c>
      <c r="U557" s="1" t="n">
        <v>6820.33</v>
      </c>
      <c r="V557" s="1" t="n">
        <v>48.64</v>
      </c>
      <c r="W557" s="1" t="s">
        <v>40</v>
      </c>
      <c r="Y557" s="1" t="s">
        <v>40</v>
      </c>
      <c r="Z557" s="1" t="n">
        <v>2</v>
      </c>
    </row>
    <row r="558" customFormat="false" ht="15" hidden="false" customHeight="true" outlineLevel="0" collapsed="false">
      <c r="A558" s="1" t="s">
        <v>1119</v>
      </c>
      <c r="B558" s="1" t="s">
        <v>275</v>
      </c>
      <c r="C558" s="1" t="s">
        <v>74</v>
      </c>
      <c r="D558" s="1" t="s">
        <v>168</v>
      </c>
      <c r="E558" s="1" t="s">
        <v>328</v>
      </c>
      <c r="F558" s="1" t="s">
        <v>89</v>
      </c>
      <c r="G558" s="1" t="s">
        <v>68</v>
      </c>
      <c r="H558" s="1" t="s">
        <v>33</v>
      </c>
      <c r="I558" s="1" t="s">
        <v>58</v>
      </c>
      <c r="J558" s="1" t="s">
        <v>131</v>
      </c>
      <c r="K558" s="1" t="s">
        <v>48</v>
      </c>
      <c r="L558" s="1" t="s">
        <v>85</v>
      </c>
      <c r="M558" s="1" t="s">
        <v>62</v>
      </c>
      <c r="N558" s="1" t="n">
        <v>8999</v>
      </c>
      <c r="O558" s="1" t="n">
        <v>50</v>
      </c>
      <c r="P558" s="1" t="n">
        <v>4499.5</v>
      </c>
      <c r="Q558" s="1" t="n">
        <v>4499.5</v>
      </c>
      <c r="R558" s="1" t="n">
        <v>809.91</v>
      </c>
      <c r="S558" s="1" t="n">
        <v>3689.59</v>
      </c>
      <c r="T558" s="1" t="n">
        <v>1991.58</v>
      </c>
      <c r="U558" s="1" t="n">
        <v>1698.01</v>
      </c>
      <c r="V558" s="1" t="n">
        <v>46.02</v>
      </c>
      <c r="W558" s="1" t="s">
        <v>39</v>
      </c>
      <c r="X558" s="1" t="n">
        <v>3.2</v>
      </c>
      <c r="Y558" s="1" t="s">
        <v>40</v>
      </c>
      <c r="Z558" s="1" t="n">
        <v>1</v>
      </c>
    </row>
    <row r="559" customFormat="false" ht="15" hidden="false" customHeight="true" outlineLevel="0" collapsed="false">
      <c r="A559" s="1" t="s">
        <v>1120</v>
      </c>
      <c r="B559" s="1" t="s">
        <v>1097</v>
      </c>
      <c r="C559" s="1" t="s">
        <v>119</v>
      </c>
      <c r="D559" s="1" t="s">
        <v>123</v>
      </c>
      <c r="E559" s="1" t="s">
        <v>233</v>
      </c>
      <c r="F559" s="1" t="s">
        <v>75</v>
      </c>
      <c r="G559" s="1" t="s">
        <v>76</v>
      </c>
      <c r="H559" s="1" t="s">
        <v>69</v>
      </c>
      <c r="I559" s="1" t="s">
        <v>58</v>
      </c>
      <c r="J559" s="1" t="s">
        <v>131</v>
      </c>
      <c r="K559" s="1" t="s">
        <v>60</v>
      </c>
      <c r="L559" s="1" t="s">
        <v>49</v>
      </c>
      <c r="M559" s="1" t="s">
        <v>50</v>
      </c>
      <c r="N559" s="1" t="n">
        <v>8999</v>
      </c>
      <c r="O559" s="1" t="n">
        <v>5</v>
      </c>
      <c r="P559" s="1" t="n">
        <v>449.95</v>
      </c>
      <c r="Q559" s="1" t="n">
        <v>8549.05</v>
      </c>
      <c r="R559" s="1" t="n">
        <v>1538.83</v>
      </c>
      <c r="S559" s="1" t="n">
        <v>7010.22</v>
      </c>
      <c r="T559" s="1" t="n">
        <v>2936.06</v>
      </c>
      <c r="U559" s="1" t="n">
        <v>4074.16</v>
      </c>
      <c r="V559" s="1" t="n">
        <v>58.12</v>
      </c>
      <c r="W559" s="1" t="s">
        <v>40</v>
      </c>
      <c r="Y559" s="1" t="s">
        <v>40</v>
      </c>
      <c r="Z559" s="1" t="n">
        <v>1</v>
      </c>
    </row>
    <row r="560" customFormat="false" ht="15" hidden="false" customHeight="true" outlineLevel="0" collapsed="false">
      <c r="A560" s="1" t="s">
        <v>1121</v>
      </c>
      <c r="B560" s="1" t="s">
        <v>499</v>
      </c>
      <c r="C560" s="1" t="s">
        <v>74</v>
      </c>
      <c r="D560" s="1" t="s">
        <v>143</v>
      </c>
      <c r="E560" s="1" t="s">
        <v>144</v>
      </c>
      <c r="F560" s="1" t="s">
        <v>130</v>
      </c>
      <c r="G560" s="1" t="s">
        <v>47</v>
      </c>
      <c r="H560" s="1" t="s">
        <v>69</v>
      </c>
      <c r="I560" s="1" t="s">
        <v>83</v>
      </c>
      <c r="J560" s="1" t="s">
        <v>35</v>
      </c>
      <c r="K560" s="1" t="s">
        <v>90</v>
      </c>
      <c r="L560" s="1" t="s">
        <v>113</v>
      </c>
      <c r="M560" s="1" t="s">
        <v>62</v>
      </c>
      <c r="N560" s="1" t="n">
        <v>12999</v>
      </c>
      <c r="O560" s="1" t="n">
        <v>50</v>
      </c>
      <c r="P560" s="1" t="n">
        <v>6499.5</v>
      </c>
      <c r="Q560" s="1" t="n">
        <v>6499.5</v>
      </c>
      <c r="R560" s="1" t="n">
        <v>1169.91</v>
      </c>
      <c r="S560" s="1" t="n">
        <v>5329.59</v>
      </c>
      <c r="T560" s="1" t="n">
        <v>2714.09</v>
      </c>
      <c r="U560" s="1" t="n">
        <v>2615.5</v>
      </c>
      <c r="V560" s="1" t="n">
        <v>49.08</v>
      </c>
      <c r="W560" s="1" t="s">
        <v>40</v>
      </c>
      <c r="Y560" s="1" t="s">
        <v>40</v>
      </c>
      <c r="Z560" s="1" t="n">
        <v>0</v>
      </c>
    </row>
    <row r="561" customFormat="false" ht="15" hidden="false" customHeight="true" outlineLevel="0" collapsed="false">
      <c r="A561" s="1" t="s">
        <v>1122</v>
      </c>
      <c r="B561" s="1" t="s">
        <v>815</v>
      </c>
      <c r="C561" s="1" t="s">
        <v>93</v>
      </c>
      <c r="D561" s="1" t="s">
        <v>143</v>
      </c>
      <c r="E561" s="1" t="s">
        <v>210</v>
      </c>
      <c r="F561" s="1" t="s">
        <v>125</v>
      </c>
      <c r="G561" s="1" t="s">
        <v>108</v>
      </c>
      <c r="H561" s="1" t="s">
        <v>69</v>
      </c>
      <c r="I561" s="1" t="s">
        <v>34</v>
      </c>
      <c r="J561" s="1" t="s">
        <v>131</v>
      </c>
      <c r="K561" s="1" t="s">
        <v>84</v>
      </c>
      <c r="L561" s="1" t="s">
        <v>85</v>
      </c>
      <c r="M561" s="1" t="s">
        <v>38</v>
      </c>
      <c r="N561" s="1" t="n">
        <v>18999</v>
      </c>
      <c r="O561" s="1" t="n">
        <v>50</v>
      </c>
      <c r="P561" s="1" t="n">
        <v>9499.5</v>
      </c>
      <c r="Q561" s="1" t="n">
        <v>9499.5</v>
      </c>
      <c r="R561" s="1" t="n">
        <v>1709.91</v>
      </c>
      <c r="S561" s="1" t="n">
        <v>7789.59</v>
      </c>
      <c r="T561" s="1" t="n">
        <v>4296.89</v>
      </c>
      <c r="U561" s="1" t="n">
        <v>3492.7</v>
      </c>
      <c r="V561" s="1" t="n">
        <v>44.84</v>
      </c>
      <c r="W561" s="1" t="s">
        <v>39</v>
      </c>
      <c r="X561" s="1" t="n">
        <v>3.9</v>
      </c>
      <c r="Y561" s="1" t="s">
        <v>40</v>
      </c>
      <c r="Z561" s="1" t="n">
        <v>0</v>
      </c>
    </row>
    <row r="562" customFormat="false" ht="15" hidden="false" customHeight="true" outlineLevel="0" collapsed="false">
      <c r="A562" s="1" t="s">
        <v>1123</v>
      </c>
      <c r="B562" s="1" t="s">
        <v>1124</v>
      </c>
      <c r="C562" s="1" t="s">
        <v>249</v>
      </c>
      <c r="D562" s="1" t="s">
        <v>168</v>
      </c>
      <c r="E562" s="1" t="s">
        <v>328</v>
      </c>
      <c r="F562" s="1" t="s">
        <v>89</v>
      </c>
      <c r="G562" s="1" t="s">
        <v>68</v>
      </c>
      <c r="H562" s="1" t="s">
        <v>33</v>
      </c>
      <c r="I562" s="1" t="s">
        <v>83</v>
      </c>
      <c r="J562" s="1" t="s">
        <v>70</v>
      </c>
      <c r="K562" s="1" t="s">
        <v>90</v>
      </c>
      <c r="L562" s="1" t="s">
        <v>136</v>
      </c>
      <c r="M562" s="1" t="s">
        <v>62</v>
      </c>
      <c r="N562" s="1" t="n">
        <v>8999</v>
      </c>
      <c r="O562" s="1" t="n">
        <v>30</v>
      </c>
      <c r="P562" s="1" t="n">
        <v>2699.7</v>
      </c>
      <c r="Q562" s="1" t="n">
        <v>6299.3</v>
      </c>
      <c r="R562" s="1" t="n">
        <v>1133.87</v>
      </c>
      <c r="S562" s="1" t="n">
        <v>5165.43</v>
      </c>
      <c r="T562" s="1" t="n">
        <v>1764.08</v>
      </c>
      <c r="U562" s="1" t="n">
        <v>3401.35</v>
      </c>
      <c r="V562" s="1" t="n">
        <v>65.85</v>
      </c>
      <c r="W562" s="1" t="s">
        <v>39</v>
      </c>
      <c r="Y562" s="1" t="s">
        <v>40</v>
      </c>
      <c r="Z562" s="1" t="n">
        <v>0</v>
      </c>
    </row>
    <row r="563" customFormat="false" ht="15" hidden="false" customHeight="true" outlineLevel="0" collapsed="false">
      <c r="A563" s="1" t="s">
        <v>1125</v>
      </c>
      <c r="B563" s="1" t="s">
        <v>1126</v>
      </c>
      <c r="C563" s="1" t="s">
        <v>264</v>
      </c>
      <c r="D563" s="1" t="s">
        <v>168</v>
      </c>
      <c r="E563" s="1" t="s">
        <v>172</v>
      </c>
      <c r="F563" s="1" t="s">
        <v>184</v>
      </c>
      <c r="G563" s="1" t="s">
        <v>56</v>
      </c>
      <c r="H563" s="1" t="s">
        <v>57</v>
      </c>
      <c r="I563" s="1" t="s">
        <v>34</v>
      </c>
      <c r="J563" s="1" t="s">
        <v>35</v>
      </c>
      <c r="K563" s="1" t="s">
        <v>60</v>
      </c>
      <c r="L563" s="1" t="s">
        <v>37</v>
      </c>
      <c r="M563" s="1" t="s">
        <v>38</v>
      </c>
      <c r="N563" s="1" t="n">
        <v>6999</v>
      </c>
      <c r="O563" s="1" t="n">
        <v>50</v>
      </c>
      <c r="P563" s="1" t="n">
        <v>3499.5</v>
      </c>
      <c r="Q563" s="1" t="n">
        <v>3499.5</v>
      </c>
      <c r="R563" s="1" t="n">
        <v>629.91</v>
      </c>
      <c r="S563" s="1" t="n">
        <v>2869.59</v>
      </c>
      <c r="T563" s="1" t="n">
        <v>1369.5</v>
      </c>
      <c r="U563" s="1" t="n">
        <v>1500.09</v>
      </c>
      <c r="V563" s="1" t="n">
        <v>52.28</v>
      </c>
      <c r="W563" s="1" t="s">
        <v>39</v>
      </c>
      <c r="X563" s="1" t="n">
        <v>4.6</v>
      </c>
      <c r="Y563" s="1" t="s">
        <v>39</v>
      </c>
      <c r="Z563" s="1" t="n">
        <v>0</v>
      </c>
    </row>
    <row r="564" customFormat="false" ht="15" hidden="false" customHeight="true" outlineLevel="0" collapsed="false">
      <c r="A564" s="1" t="s">
        <v>1127</v>
      </c>
      <c r="B564" s="1" t="s">
        <v>1128</v>
      </c>
      <c r="C564" s="1" t="s">
        <v>88</v>
      </c>
      <c r="D564" s="1" t="s">
        <v>168</v>
      </c>
      <c r="E564" s="1" t="s">
        <v>328</v>
      </c>
      <c r="F564" s="1" t="s">
        <v>194</v>
      </c>
      <c r="G564" s="1" t="s">
        <v>103</v>
      </c>
      <c r="H564" s="1" t="s">
        <v>69</v>
      </c>
      <c r="I564" s="1" t="s">
        <v>34</v>
      </c>
      <c r="J564" s="1" t="s">
        <v>77</v>
      </c>
      <c r="K564" s="1" t="s">
        <v>48</v>
      </c>
      <c r="L564" s="1" t="s">
        <v>136</v>
      </c>
      <c r="M564" s="1" t="s">
        <v>38</v>
      </c>
      <c r="N564" s="1" t="n">
        <v>8999</v>
      </c>
      <c r="O564" s="1" t="n">
        <v>10</v>
      </c>
      <c r="P564" s="1" t="n">
        <v>899.9</v>
      </c>
      <c r="Q564" s="1" t="n">
        <v>8099.1</v>
      </c>
      <c r="R564" s="1" t="n">
        <v>1457.84</v>
      </c>
      <c r="S564" s="1" t="n">
        <v>6641.26</v>
      </c>
      <c r="T564" s="1" t="n">
        <v>2683.33</v>
      </c>
      <c r="U564" s="1" t="n">
        <v>3957.93</v>
      </c>
      <c r="V564" s="1" t="n">
        <v>59.6</v>
      </c>
      <c r="W564" s="1" t="s">
        <v>39</v>
      </c>
      <c r="X564" s="1" t="n">
        <v>4.2</v>
      </c>
      <c r="Y564" s="1" t="s">
        <v>40</v>
      </c>
      <c r="Z564" s="1" t="n">
        <v>0</v>
      </c>
    </row>
    <row r="565" customFormat="false" ht="15" hidden="false" customHeight="true" outlineLevel="0" collapsed="false">
      <c r="A565" s="1" t="s">
        <v>1129</v>
      </c>
      <c r="B565" s="1" t="s">
        <v>255</v>
      </c>
      <c r="C565" s="1" t="s">
        <v>167</v>
      </c>
      <c r="D565" s="1" t="s">
        <v>44</v>
      </c>
      <c r="E565" s="1" t="s">
        <v>45</v>
      </c>
      <c r="F565" s="1" t="s">
        <v>187</v>
      </c>
      <c r="G565" s="1" t="s">
        <v>97</v>
      </c>
      <c r="H565" s="1" t="s">
        <v>69</v>
      </c>
      <c r="I565" s="1" t="s">
        <v>83</v>
      </c>
      <c r="J565" s="1" t="s">
        <v>77</v>
      </c>
      <c r="K565" s="1" t="s">
        <v>84</v>
      </c>
      <c r="L565" s="1" t="s">
        <v>49</v>
      </c>
      <c r="M565" s="1" t="s">
        <v>38</v>
      </c>
      <c r="N565" s="1" t="n">
        <v>11999</v>
      </c>
      <c r="O565" s="1" t="n">
        <v>10</v>
      </c>
      <c r="P565" s="1" t="n">
        <v>1199.9</v>
      </c>
      <c r="Q565" s="1" t="n">
        <v>10799.1</v>
      </c>
      <c r="R565" s="1" t="n">
        <v>1943.84</v>
      </c>
      <c r="S565" s="1" t="n">
        <v>8855.26</v>
      </c>
      <c r="T565" s="1" t="n">
        <v>3598.06</v>
      </c>
      <c r="U565" s="1" t="n">
        <v>5257.2</v>
      </c>
      <c r="V565" s="1" t="n">
        <v>59.37</v>
      </c>
      <c r="W565" s="1" t="s">
        <v>39</v>
      </c>
      <c r="X565" s="1" t="n">
        <v>3.2</v>
      </c>
      <c r="Y565" s="1" t="s">
        <v>40</v>
      </c>
      <c r="Z565" s="1" t="n">
        <v>0</v>
      </c>
    </row>
    <row r="566" customFormat="false" ht="15" hidden="false" customHeight="true" outlineLevel="0" collapsed="false">
      <c r="A566" s="1" t="s">
        <v>1130</v>
      </c>
      <c r="B566" s="1" t="s">
        <v>1131</v>
      </c>
      <c r="C566" s="1" t="s">
        <v>100</v>
      </c>
      <c r="D566" s="1" t="s">
        <v>80</v>
      </c>
      <c r="E566" s="1" t="s">
        <v>190</v>
      </c>
      <c r="F566" s="1" t="s">
        <v>153</v>
      </c>
      <c r="G566" s="1" t="s">
        <v>76</v>
      </c>
      <c r="H566" s="1" t="s">
        <v>33</v>
      </c>
      <c r="I566" s="1" t="s">
        <v>58</v>
      </c>
      <c r="J566" s="1" t="s">
        <v>70</v>
      </c>
      <c r="K566" s="1" t="s">
        <v>48</v>
      </c>
      <c r="L566" s="1" t="s">
        <v>136</v>
      </c>
      <c r="M566" s="1" t="s">
        <v>38</v>
      </c>
      <c r="N566" s="1" t="n">
        <v>15999</v>
      </c>
      <c r="O566" s="1" t="n">
        <v>40</v>
      </c>
      <c r="P566" s="1" t="n">
        <v>6399.6</v>
      </c>
      <c r="Q566" s="1" t="n">
        <v>9599.4</v>
      </c>
      <c r="R566" s="1" t="n">
        <v>1727.89</v>
      </c>
      <c r="S566" s="1" t="n">
        <v>7871.51</v>
      </c>
      <c r="T566" s="1" t="n">
        <v>4126.23</v>
      </c>
      <c r="U566" s="1" t="n">
        <v>3745.28</v>
      </c>
      <c r="V566" s="1" t="n">
        <v>47.58</v>
      </c>
      <c r="W566" s="1" t="s">
        <v>40</v>
      </c>
      <c r="Y566" s="1" t="s">
        <v>39</v>
      </c>
      <c r="Z566" s="1" t="n">
        <v>0</v>
      </c>
    </row>
    <row r="567" customFormat="false" ht="15" hidden="false" customHeight="true" outlineLevel="0" collapsed="false">
      <c r="A567" s="1" t="s">
        <v>1132</v>
      </c>
      <c r="B567" s="1" t="s">
        <v>643</v>
      </c>
      <c r="C567" s="1" t="s">
        <v>100</v>
      </c>
      <c r="D567" s="1" t="s">
        <v>80</v>
      </c>
      <c r="E567" s="1" t="s">
        <v>190</v>
      </c>
      <c r="F567" s="1" t="s">
        <v>102</v>
      </c>
      <c r="G567" s="1" t="s">
        <v>103</v>
      </c>
      <c r="H567" s="1" t="s">
        <v>33</v>
      </c>
      <c r="I567" s="1" t="s">
        <v>34</v>
      </c>
      <c r="J567" s="1" t="s">
        <v>59</v>
      </c>
      <c r="K567" s="1" t="s">
        <v>104</v>
      </c>
      <c r="L567" s="1" t="s">
        <v>61</v>
      </c>
      <c r="M567" s="1" t="s">
        <v>62</v>
      </c>
      <c r="N567" s="1" t="n">
        <v>15999</v>
      </c>
      <c r="O567" s="1" t="n">
        <v>50</v>
      </c>
      <c r="P567" s="1" t="n">
        <v>7999.5</v>
      </c>
      <c r="Q567" s="1" t="n">
        <v>7999.5</v>
      </c>
      <c r="R567" s="1" t="n">
        <v>1439.91</v>
      </c>
      <c r="S567" s="1" t="n">
        <v>6559.59</v>
      </c>
      <c r="T567" s="1" t="n">
        <v>3174.54</v>
      </c>
      <c r="U567" s="1" t="n">
        <v>3385.05</v>
      </c>
      <c r="V567" s="1" t="n">
        <v>51.6</v>
      </c>
      <c r="W567" s="1" t="s">
        <v>39</v>
      </c>
      <c r="X567" s="1" t="n">
        <v>4.1</v>
      </c>
      <c r="Y567" s="1" t="s">
        <v>40</v>
      </c>
      <c r="Z567" s="1" t="n">
        <v>0</v>
      </c>
    </row>
    <row r="568" customFormat="false" ht="15" hidden="false" customHeight="true" outlineLevel="0" collapsed="false">
      <c r="A568" s="1" t="s">
        <v>1133</v>
      </c>
      <c r="B568" s="1" t="s">
        <v>755</v>
      </c>
      <c r="C568" s="1" t="s">
        <v>65</v>
      </c>
      <c r="D568" s="1" t="s">
        <v>44</v>
      </c>
      <c r="E568" s="1" t="s">
        <v>221</v>
      </c>
      <c r="F568" s="1" t="s">
        <v>75</v>
      </c>
      <c r="G568" s="1" t="s">
        <v>76</v>
      </c>
      <c r="H568" s="1" t="s">
        <v>69</v>
      </c>
      <c r="I568" s="1" t="s">
        <v>58</v>
      </c>
      <c r="J568" s="1" t="s">
        <v>35</v>
      </c>
      <c r="K568" s="1" t="s">
        <v>71</v>
      </c>
      <c r="L568" s="1" t="s">
        <v>136</v>
      </c>
      <c r="M568" s="1" t="s">
        <v>50</v>
      </c>
      <c r="N568" s="1" t="n">
        <v>16999</v>
      </c>
      <c r="O568" s="1" t="n">
        <v>0</v>
      </c>
      <c r="P568" s="1" t="n">
        <v>0</v>
      </c>
      <c r="Q568" s="1" t="n">
        <v>16999</v>
      </c>
      <c r="R568" s="1" t="n">
        <v>3059.82</v>
      </c>
      <c r="S568" s="1" t="n">
        <v>13939.18</v>
      </c>
      <c r="T568" s="1" t="n">
        <v>4847.48</v>
      </c>
      <c r="U568" s="1" t="n">
        <v>9091.7</v>
      </c>
      <c r="V568" s="1" t="n">
        <v>65.22</v>
      </c>
      <c r="W568" s="1" t="s">
        <v>39</v>
      </c>
      <c r="X568" s="1" t="n">
        <v>4.7</v>
      </c>
      <c r="Y568" s="1" t="s">
        <v>40</v>
      </c>
      <c r="Z568" s="1" t="n">
        <v>1</v>
      </c>
    </row>
    <row r="569" customFormat="false" ht="15" hidden="false" customHeight="true" outlineLevel="0" collapsed="false">
      <c r="A569" s="1" t="s">
        <v>1134</v>
      </c>
      <c r="B569" s="1" t="s">
        <v>1135</v>
      </c>
      <c r="C569" s="1" t="s">
        <v>178</v>
      </c>
      <c r="D569" s="1" t="s">
        <v>123</v>
      </c>
      <c r="E569" s="1" t="s">
        <v>233</v>
      </c>
      <c r="F569" s="1" t="s">
        <v>244</v>
      </c>
      <c r="G569" s="1" t="s">
        <v>97</v>
      </c>
      <c r="H569" s="1" t="s">
        <v>57</v>
      </c>
      <c r="I569" s="1" t="s">
        <v>83</v>
      </c>
      <c r="J569" s="1" t="s">
        <v>77</v>
      </c>
      <c r="K569" s="1" t="s">
        <v>84</v>
      </c>
      <c r="L569" s="1" t="s">
        <v>49</v>
      </c>
      <c r="M569" s="1" t="s">
        <v>50</v>
      </c>
      <c r="N569" s="1" t="n">
        <v>8999</v>
      </c>
      <c r="O569" s="1" t="n">
        <v>50</v>
      </c>
      <c r="P569" s="1" t="n">
        <v>4499.5</v>
      </c>
      <c r="Q569" s="1" t="n">
        <v>4499.5</v>
      </c>
      <c r="R569" s="1" t="n">
        <v>809.91</v>
      </c>
      <c r="S569" s="1" t="n">
        <v>3689.59</v>
      </c>
      <c r="T569" s="1" t="n">
        <v>1967.34</v>
      </c>
      <c r="U569" s="1" t="n">
        <v>1722.25</v>
      </c>
      <c r="V569" s="1" t="n">
        <v>46.68</v>
      </c>
      <c r="W569" s="1" t="s">
        <v>40</v>
      </c>
      <c r="Y569" s="1" t="s">
        <v>39</v>
      </c>
      <c r="Z569" s="1" t="n">
        <v>0</v>
      </c>
    </row>
    <row r="570" customFormat="false" ht="15" hidden="false" customHeight="true" outlineLevel="0" collapsed="false">
      <c r="A570" s="1" t="s">
        <v>1136</v>
      </c>
      <c r="B570" s="1" t="s">
        <v>526</v>
      </c>
      <c r="C570" s="1" t="s">
        <v>139</v>
      </c>
      <c r="D570" s="1" t="s">
        <v>168</v>
      </c>
      <c r="E570" s="1" t="s">
        <v>328</v>
      </c>
      <c r="F570" s="1" t="s">
        <v>1137</v>
      </c>
      <c r="G570" s="1" t="s">
        <v>56</v>
      </c>
      <c r="H570" s="1" t="s">
        <v>69</v>
      </c>
      <c r="I570" s="1" t="s">
        <v>58</v>
      </c>
      <c r="J570" s="1" t="s">
        <v>131</v>
      </c>
      <c r="K570" s="1" t="s">
        <v>84</v>
      </c>
      <c r="L570" s="1" t="s">
        <v>85</v>
      </c>
      <c r="M570" s="1" t="s">
        <v>38</v>
      </c>
      <c r="N570" s="1" t="n">
        <v>8999</v>
      </c>
      <c r="O570" s="1" t="n">
        <v>20</v>
      </c>
      <c r="P570" s="1" t="n">
        <v>1799.8</v>
      </c>
      <c r="Q570" s="1" t="n">
        <v>7199.2</v>
      </c>
      <c r="R570" s="1" t="n">
        <v>1295.86</v>
      </c>
      <c r="S570" s="1" t="n">
        <v>5903.34</v>
      </c>
      <c r="T570" s="1" t="n">
        <v>2846.46</v>
      </c>
      <c r="U570" s="1" t="n">
        <v>3056.88</v>
      </c>
      <c r="V570" s="1" t="n">
        <v>51.78</v>
      </c>
      <c r="W570" s="1" t="s">
        <v>40</v>
      </c>
      <c r="Y570" s="1" t="s">
        <v>39</v>
      </c>
      <c r="Z570" s="1" t="n">
        <v>0</v>
      </c>
    </row>
    <row r="571" customFormat="false" ht="15" hidden="false" customHeight="true" outlineLevel="0" collapsed="false">
      <c r="A571" s="1" t="s">
        <v>1138</v>
      </c>
      <c r="B571" s="1" t="s">
        <v>620</v>
      </c>
      <c r="C571" s="1" t="s">
        <v>167</v>
      </c>
      <c r="D571" s="1" t="s">
        <v>44</v>
      </c>
      <c r="E571" s="1" t="s">
        <v>66</v>
      </c>
      <c r="F571" s="1" t="s">
        <v>130</v>
      </c>
      <c r="G571" s="1" t="s">
        <v>47</v>
      </c>
      <c r="H571" s="1" t="s">
        <v>69</v>
      </c>
      <c r="I571" s="1" t="s">
        <v>58</v>
      </c>
      <c r="J571" s="1" t="s">
        <v>77</v>
      </c>
      <c r="K571" s="1" t="s">
        <v>60</v>
      </c>
      <c r="L571" s="1" t="s">
        <v>113</v>
      </c>
      <c r="M571" s="1" t="s">
        <v>62</v>
      </c>
      <c r="N571" s="1" t="n">
        <v>12999</v>
      </c>
      <c r="O571" s="1" t="n">
        <v>10</v>
      </c>
      <c r="P571" s="1" t="n">
        <v>1299.9</v>
      </c>
      <c r="Q571" s="1" t="n">
        <v>11699.1</v>
      </c>
      <c r="R571" s="1" t="n">
        <v>2105.84</v>
      </c>
      <c r="S571" s="1" t="n">
        <v>9593.26</v>
      </c>
      <c r="T571" s="1" t="n">
        <v>4844.46</v>
      </c>
      <c r="U571" s="1" t="n">
        <v>4748.8</v>
      </c>
      <c r="V571" s="1" t="n">
        <v>49.5</v>
      </c>
      <c r="W571" s="1" t="s">
        <v>40</v>
      </c>
      <c r="Y571" s="1" t="s">
        <v>40</v>
      </c>
      <c r="Z571" s="1" t="n">
        <v>0</v>
      </c>
    </row>
    <row r="572" customFormat="false" ht="15" hidden="false" customHeight="true" outlineLevel="0" collapsed="false">
      <c r="A572" s="1" t="s">
        <v>1139</v>
      </c>
      <c r="B572" s="1" t="s">
        <v>1040</v>
      </c>
      <c r="C572" s="1" t="s">
        <v>264</v>
      </c>
      <c r="D572" s="1" t="s">
        <v>143</v>
      </c>
      <c r="E572" s="1" t="s">
        <v>243</v>
      </c>
      <c r="F572" s="1" t="s">
        <v>96</v>
      </c>
      <c r="G572" s="1" t="s">
        <v>97</v>
      </c>
      <c r="H572" s="1" t="s">
        <v>69</v>
      </c>
      <c r="I572" s="1" t="s">
        <v>34</v>
      </c>
      <c r="J572" s="1" t="s">
        <v>59</v>
      </c>
      <c r="K572" s="1" t="s">
        <v>104</v>
      </c>
      <c r="L572" s="1" t="s">
        <v>61</v>
      </c>
      <c r="M572" s="1" t="s">
        <v>50</v>
      </c>
      <c r="N572" s="1" t="n">
        <v>22999</v>
      </c>
      <c r="O572" s="1" t="n">
        <v>0</v>
      </c>
      <c r="P572" s="1" t="n">
        <v>0</v>
      </c>
      <c r="Q572" s="1" t="n">
        <v>22999</v>
      </c>
      <c r="R572" s="1" t="n">
        <v>4139.82</v>
      </c>
      <c r="S572" s="1" t="n">
        <v>18859.18</v>
      </c>
      <c r="T572" s="1" t="n">
        <v>8172.51</v>
      </c>
      <c r="U572" s="1" t="n">
        <v>10686.67</v>
      </c>
      <c r="V572" s="1" t="n">
        <v>56.67</v>
      </c>
      <c r="W572" s="1" t="s">
        <v>39</v>
      </c>
      <c r="X572" s="1" t="n">
        <v>3.9</v>
      </c>
      <c r="Y572" s="1" t="s">
        <v>40</v>
      </c>
      <c r="Z572" s="1" t="n">
        <v>0</v>
      </c>
    </row>
    <row r="573" customFormat="false" ht="15" hidden="false" customHeight="true" outlineLevel="0" collapsed="false">
      <c r="A573" s="1" t="s">
        <v>1140</v>
      </c>
      <c r="B573" s="1" t="s">
        <v>1141</v>
      </c>
      <c r="C573" s="1" t="s">
        <v>28</v>
      </c>
      <c r="D573" s="1" t="s">
        <v>44</v>
      </c>
      <c r="E573" s="1" t="s">
        <v>66</v>
      </c>
      <c r="F573" s="1" t="s">
        <v>125</v>
      </c>
      <c r="G573" s="1" t="s">
        <v>108</v>
      </c>
      <c r="H573" s="1" t="s">
        <v>69</v>
      </c>
      <c r="I573" s="1" t="s">
        <v>34</v>
      </c>
      <c r="J573" s="1" t="s">
        <v>59</v>
      </c>
      <c r="K573" s="1" t="s">
        <v>84</v>
      </c>
      <c r="L573" s="1" t="s">
        <v>61</v>
      </c>
      <c r="M573" s="1" t="s">
        <v>38</v>
      </c>
      <c r="N573" s="1" t="n">
        <v>12999</v>
      </c>
      <c r="O573" s="1" t="n">
        <v>5</v>
      </c>
      <c r="P573" s="1" t="n">
        <v>649.95</v>
      </c>
      <c r="Q573" s="1" t="n">
        <v>12349.05</v>
      </c>
      <c r="R573" s="1" t="n">
        <v>2222.83</v>
      </c>
      <c r="S573" s="1" t="n">
        <v>10126.22</v>
      </c>
      <c r="T573" s="1" t="n">
        <v>4619.16</v>
      </c>
      <c r="U573" s="1" t="n">
        <v>5507.06</v>
      </c>
      <c r="V573" s="1" t="n">
        <v>54.38</v>
      </c>
      <c r="W573" s="1" t="s">
        <v>39</v>
      </c>
      <c r="X573" s="1" t="n">
        <v>4.4</v>
      </c>
      <c r="Y573" s="1" t="s">
        <v>40</v>
      </c>
      <c r="Z573" s="1" t="n">
        <v>0</v>
      </c>
    </row>
    <row r="574" customFormat="false" ht="15" hidden="false" customHeight="true" outlineLevel="0" collapsed="false">
      <c r="A574" s="1" t="s">
        <v>1142</v>
      </c>
      <c r="B574" s="1" t="s">
        <v>1143</v>
      </c>
      <c r="C574" s="1" t="s">
        <v>43</v>
      </c>
      <c r="D574" s="1" t="s">
        <v>29</v>
      </c>
      <c r="E574" s="1" t="s">
        <v>30</v>
      </c>
      <c r="F574" s="1" t="s">
        <v>107</v>
      </c>
      <c r="G574" s="1" t="s">
        <v>108</v>
      </c>
      <c r="H574" s="1" t="s">
        <v>33</v>
      </c>
      <c r="I574" s="1" t="s">
        <v>58</v>
      </c>
      <c r="J574" s="1" t="s">
        <v>35</v>
      </c>
      <c r="K574" s="1" t="s">
        <v>48</v>
      </c>
      <c r="L574" s="1" t="s">
        <v>49</v>
      </c>
      <c r="M574" s="1" t="s">
        <v>50</v>
      </c>
      <c r="N574" s="1" t="n">
        <v>7999</v>
      </c>
      <c r="O574" s="1" t="n">
        <v>0</v>
      </c>
      <c r="P574" s="1" t="n">
        <v>0</v>
      </c>
      <c r="Q574" s="1" t="n">
        <v>7999</v>
      </c>
      <c r="R574" s="1" t="n">
        <v>1439.82</v>
      </c>
      <c r="S574" s="1" t="n">
        <v>6559.18</v>
      </c>
      <c r="T574" s="1" t="n">
        <v>2936.3</v>
      </c>
      <c r="U574" s="1" t="n">
        <v>3622.88</v>
      </c>
      <c r="V574" s="1" t="n">
        <v>55.23</v>
      </c>
      <c r="W574" s="1" t="s">
        <v>40</v>
      </c>
      <c r="Y574" s="1" t="s">
        <v>40</v>
      </c>
      <c r="Z574" s="1" t="n">
        <v>1</v>
      </c>
    </row>
    <row r="575" customFormat="false" ht="15" hidden="false" customHeight="true" outlineLevel="0" collapsed="false">
      <c r="A575" s="1" t="s">
        <v>1144</v>
      </c>
      <c r="B575" s="1" t="s">
        <v>1145</v>
      </c>
      <c r="C575" s="1" t="s">
        <v>28</v>
      </c>
      <c r="D575" s="1" t="s">
        <v>80</v>
      </c>
      <c r="E575" s="1" t="s">
        <v>175</v>
      </c>
      <c r="F575" s="1" t="s">
        <v>269</v>
      </c>
      <c r="G575" s="1" t="s">
        <v>108</v>
      </c>
      <c r="H575" s="1" t="s">
        <v>57</v>
      </c>
      <c r="I575" s="1" t="s">
        <v>58</v>
      </c>
      <c r="J575" s="1" t="s">
        <v>77</v>
      </c>
      <c r="K575" s="1" t="s">
        <v>60</v>
      </c>
      <c r="L575" s="1" t="s">
        <v>136</v>
      </c>
      <c r="M575" s="1" t="s">
        <v>38</v>
      </c>
      <c r="N575" s="1" t="n">
        <v>19999</v>
      </c>
      <c r="O575" s="1" t="n">
        <v>15</v>
      </c>
      <c r="P575" s="1" t="n">
        <v>2999.85</v>
      </c>
      <c r="Q575" s="1" t="n">
        <v>16999.15</v>
      </c>
      <c r="R575" s="1" t="n">
        <v>3059.85</v>
      </c>
      <c r="S575" s="1" t="n">
        <v>13939.3</v>
      </c>
      <c r="T575" s="1" t="n">
        <v>6761.38</v>
      </c>
      <c r="U575" s="1" t="n">
        <v>7177.92</v>
      </c>
      <c r="V575" s="1" t="n">
        <v>51.49</v>
      </c>
      <c r="W575" s="1" t="s">
        <v>40</v>
      </c>
      <c r="Y575" s="1" t="s">
        <v>40</v>
      </c>
      <c r="Z575" s="1" t="n">
        <v>1</v>
      </c>
    </row>
    <row r="576" customFormat="false" ht="15" hidden="false" customHeight="true" outlineLevel="0" collapsed="false">
      <c r="A576" s="1" t="s">
        <v>1146</v>
      </c>
      <c r="B576" s="1" t="s">
        <v>1056</v>
      </c>
      <c r="C576" s="1" t="s">
        <v>119</v>
      </c>
      <c r="D576" s="1" t="s">
        <v>94</v>
      </c>
      <c r="E576" s="1" t="s">
        <v>135</v>
      </c>
      <c r="F576" s="1" t="s">
        <v>205</v>
      </c>
      <c r="G576" s="1" t="s">
        <v>56</v>
      </c>
      <c r="H576" s="1" t="s">
        <v>69</v>
      </c>
      <c r="I576" s="1" t="s">
        <v>34</v>
      </c>
      <c r="J576" s="1" t="s">
        <v>35</v>
      </c>
      <c r="K576" s="1" t="s">
        <v>60</v>
      </c>
      <c r="L576" s="1" t="s">
        <v>61</v>
      </c>
      <c r="M576" s="1" t="s">
        <v>50</v>
      </c>
      <c r="N576" s="1" t="n">
        <v>9999</v>
      </c>
      <c r="O576" s="1" t="n">
        <v>0</v>
      </c>
      <c r="P576" s="1" t="n">
        <v>0</v>
      </c>
      <c r="Q576" s="1" t="n">
        <v>9999</v>
      </c>
      <c r="R576" s="1" t="n">
        <v>1799.82</v>
      </c>
      <c r="S576" s="1" t="n">
        <v>8199.18</v>
      </c>
      <c r="T576" s="1" t="n">
        <v>3148.36</v>
      </c>
      <c r="U576" s="1" t="n">
        <v>5050.82</v>
      </c>
      <c r="V576" s="1" t="n">
        <v>61.6</v>
      </c>
      <c r="W576" s="1" t="s">
        <v>39</v>
      </c>
      <c r="Y576" s="1" t="s">
        <v>40</v>
      </c>
      <c r="Z576" s="1" t="n">
        <v>0</v>
      </c>
    </row>
    <row r="577" customFormat="false" ht="15" hidden="false" customHeight="true" outlineLevel="0" collapsed="false">
      <c r="A577" s="1" t="s">
        <v>1147</v>
      </c>
      <c r="B577" s="1" t="s">
        <v>1148</v>
      </c>
      <c r="C577" s="1" t="s">
        <v>88</v>
      </c>
      <c r="D577" s="1" t="s">
        <v>44</v>
      </c>
      <c r="E577" s="1" t="s">
        <v>221</v>
      </c>
      <c r="F577" s="1" t="s">
        <v>102</v>
      </c>
      <c r="G577" s="1" t="s">
        <v>103</v>
      </c>
      <c r="H577" s="1" t="s">
        <v>33</v>
      </c>
      <c r="I577" s="1" t="s">
        <v>58</v>
      </c>
      <c r="J577" s="1" t="s">
        <v>35</v>
      </c>
      <c r="K577" s="1" t="s">
        <v>84</v>
      </c>
      <c r="L577" s="1" t="s">
        <v>85</v>
      </c>
      <c r="M577" s="1" t="s">
        <v>38</v>
      </c>
      <c r="N577" s="1" t="n">
        <v>16999</v>
      </c>
      <c r="O577" s="1" t="n">
        <v>50</v>
      </c>
      <c r="P577" s="1" t="n">
        <v>8499.5</v>
      </c>
      <c r="Q577" s="1" t="n">
        <v>8499.5</v>
      </c>
      <c r="R577" s="1" t="n">
        <v>1529.91</v>
      </c>
      <c r="S577" s="1" t="n">
        <v>6969.59</v>
      </c>
      <c r="T577" s="1" t="n">
        <v>4281.88</v>
      </c>
      <c r="U577" s="1" t="n">
        <v>2687.71</v>
      </c>
      <c r="V577" s="1" t="n">
        <v>38.56</v>
      </c>
      <c r="W577" s="1" t="s">
        <v>39</v>
      </c>
      <c r="X577" s="1" t="n">
        <v>3.3</v>
      </c>
      <c r="Y577" s="1" t="s">
        <v>40</v>
      </c>
      <c r="Z577" s="1" t="n">
        <v>0</v>
      </c>
    </row>
    <row r="578" customFormat="false" ht="15" hidden="false" customHeight="true" outlineLevel="0" collapsed="false">
      <c r="A578" s="1" t="s">
        <v>1149</v>
      </c>
      <c r="B578" s="1" t="s">
        <v>1150</v>
      </c>
      <c r="C578" s="1" t="s">
        <v>28</v>
      </c>
      <c r="D578" s="1" t="s">
        <v>143</v>
      </c>
      <c r="E578" s="1" t="s">
        <v>162</v>
      </c>
      <c r="F578" s="1" t="s">
        <v>194</v>
      </c>
      <c r="G578" s="1" t="s">
        <v>103</v>
      </c>
      <c r="H578" s="1" t="s">
        <v>69</v>
      </c>
      <c r="I578" s="1" t="s">
        <v>34</v>
      </c>
      <c r="J578" s="1" t="s">
        <v>77</v>
      </c>
      <c r="K578" s="1" t="s">
        <v>60</v>
      </c>
      <c r="L578" s="1" t="s">
        <v>61</v>
      </c>
      <c r="M578" s="1" t="s">
        <v>38</v>
      </c>
      <c r="N578" s="1" t="n">
        <v>14999</v>
      </c>
      <c r="O578" s="1" t="n">
        <v>20</v>
      </c>
      <c r="P578" s="1" t="n">
        <v>2999.8</v>
      </c>
      <c r="Q578" s="1" t="n">
        <v>11999.2</v>
      </c>
      <c r="R578" s="1" t="n">
        <v>2159.86</v>
      </c>
      <c r="S578" s="1" t="n">
        <v>9839.34</v>
      </c>
      <c r="T578" s="1" t="n">
        <v>3570.58</v>
      </c>
      <c r="U578" s="1" t="n">
        <v>6268.76</v>
      </c>
      <c r="V578" s="1" t="n">
        <v>63.71</v>
      </c>
      <c r="W578" s="1" t="s">
        <v>39</v>
      </c>
      <c r="X578" s="1" t="n">
        <v>3</v>
      </c>
      <c r="Y578" s="1" t="s">
        <v>40</v>
      </c>
      <c r="Z578" s="1" t="n">
        <v>0</v>
      </c>
    </row>
    <row r="579" customFormat="false" ht="15" hidden="false" customHeight="true" outlineLevel="0" collapsed="false">
      <c r="A579" s="1" t="s">
        <v>1151</v>
      </c>
      <c r="B579" s="1" t="s">
        <v>1152</v>
      </c>
      <c r="C579" s="1" t="s">
        <v>93</v>
      </c>
      <c r="D579" s="1" t="s">
        <v>29</v>
      </c>
      <c r="E579" s="1" t="s">
        <v>182</v>
      </c>
      <c r="F579" s="1" t="s">
        <v>55</v>
      </c>
      <c r="G579" s="1" t="s">
        <v>56</v>
      </c>
      <c r="H579" s="1" t="s">
        <v>57</v>
      </c>
      <c r="I579" s="1" t="s">
        <v>34</v>
      </c>
      <c r="J579" s="1" t="s">
        <v>131</v>
      </c>
      <c r="K579" s="1" t="s">
        <v>60</v>
      </c>
      <c r="L579" s="1" t="s">
        <v>61</v>
      </c>
      <c r="M579" s="1" t="s">
        <v>38</v>
      </c>
      <c r="N579" s="1" t="n">
        <v>34999</v>
      </c>
      <c r="O579" s="1" t="n">
        <v>20</v>
      </c>
      <c r="P579" s="1" t="n">
        <v>6999.8</v>
      </c>
      <c r="Q579" s="1" t="n">
        <v>27999.2</v>
      </c>
      <c r="R579" s="1" t="n">
        <v>5039.86</v>
      </c>
      <c r="S579" s="1" t="n">
        <v>22959.34</v>
      </c>
      <c r="T579" s="1" t="n">
        <v>9807.47</v>
      </c>
      <c r="U579" s="1" t="n">
        <v>13151.87</v>
      </c>
      <c r="V579" s="1" t="n">
        <v>57.28</v>
      </c>
      <c r="W579" s="1" t="s">
        <v>39</v>
      </c>
      <c r="X579" s="1" t="n">
        <v>4.8</v>
      </c>
      <c r="Y579" s="1" t="s">
        <v>40</v>
      </c>
      <c r="Z579" s="1" t="n">
        <v>0</v>
      </c>
    </row>
    <row r="580" customFormat="false" ht="15" hidden="false" customHeight="true" outlineLevel="0" collapsed="false">
      <c r="A580" s="1" t="s">
        <v>1153</v>
      </c>
      <c r="B580" s="1" t="s">
        <v>1154</v>
      </c>
      <c r="C580" s="1" t="s">
        <v>93</v>
      </c>
      <c r="D580" s="1" t="s">
        <v>168</v>
      </c>
      <c r="E580" s="1" t="s">
        <v>328</v>
      </c>
      <c r="F580" s="1" t="s">
        <v>211</v>
      </c>
      <c r="G580" s="1" t="s">
        <v>56</v>
      </c>
      <c r="H580" s="1" t="s">
        <v>69</v>
      </c>
      <c r="I580" s="1" t="s">
        <v>34</v>
      </c>
      <c r="J580" s="1" t="s">
        <v>70</v>
      </c>
      <c r="K580" s="1" t="s">
        <v>60</v>
      </c>
      <c r="L580" s="1" t="s">
        <v>113</v>
      </c>
      <c r="M580" s="1" t="s">
        <v>38</v>
      </c>
      <c r="N580" s="1" t="n">
        <v>8999</v>
      </c>
      <c r="O580" s="1" t="n">
        <v>50</v>
      </c>
      <c r="P580" s="1" t="n">
        <v>4499.5</v>
      </c>
      <c r="Q580" s="1" t="n">
        <v>4499.5</v>
      </c>
      <c r="R580" s="1" t="n">
        <v>809.91</v>
      </c>
      <c r="S580" s="1" t="n">
        <v>3689.59</v>
      </c>
      <c r="T580" s="1" t="n">
        <v>1853.2</v>
      </c>
      <c r="U580" s="1" t="n">
        <v>1836.39</v>
      </c>
      <c r="V580" s="1" t="n">
        <v>49.77</v>
      </c>
      <c r="W580" s="1" t="s">
        <v>40</v>
      </c>
      <c r="Y580" s="1" t="s">
        <v>40</v>
      </c>
      <c r="Z580" s="1" t="n">
        <v>1</v>
      </c>
    </row>
    <row r="581" customFormat="false" ht="15" hidden="false" customHeight="true" outlineLevel="0" collapsed="false">
      <c r="A581" s="1" t="s">
        <v>1155</v>
      </c>
      <c r="B581" s="1" t="s">
        <v>1156</v>
      </c>
      <c r="C581" s="1" t="s">
        <v>43</v>
      </c>
      <c r="D581" s="1" t="s">
        <v>94</v>
      </c>
      <c r="E581" s="1" t="s">
        <v>101</v>
      </c>
      <c r="F581" s="1" t="s">
        <v>46</v>
      </c>
      <c r="G581" s="1" t="s">
        <v>47</v>
      </c>
      <c r="H581" s="1" t="s">
        <v>33</v>
      </c>
      <c r="I581" s="1" t="s">
        <v>83</v>
      </c>
      <c r="J581" s="1" t="s">
        <v>131</v>
      </c>
      <c r="K581" s="1" t="s">
        <v>48</v>
      </c>
      <c r="L581" s="1" t="s">
        <v>61</v>
      </c>
      <c r="M581" s="1" t="s">
        <v>38</v>
      </c>
      <c r="N581" s="1" t="n">
        <v>14999</v>
      </c>
      <c r="O581" s="1" t="n">
        <v>15</v>
      </c>
      <c r="P581" s="1" t="n">
        <v>2249.85</v>
      </c>
      <c r="Q581" s="1" t="n">
        <v>12749.15</v>
      </c>
      <c r="R581" s="1" t="n">
        <v>2294.85</v>
      </c>
      <c r="S581" s="1" t="n">
        <v>10454.3</v>
      </c>
      <c r="T581" s="1" t="n">
        <v>4339.67</v>
      </c>
      <c r="U581" s="1" t="n">
        <v>6114.63</v>
      </c>
      <c r="V581" s="1" t="n">
        <v>58.49</v>
      </c>
      <c r="W581" s="1" t="s">
        <v>39</v>
      </c>
      <c r="X581" s="1" t="n">
        <v>3.2</v>
      </c>
      <c r="Y581" s="1" t="s">
        <v>40</v>
      </c>
      <c r="Z581" s="1" t="n">
        <v>0</v>
      </c>
    </row>
    <row r="582" customFormat="false" ht="15" hidden="false" customHeight="true" outlineLevel="0" collapsed="false">
      <c r="A582" s="1" t="s">
        <v>1157</v>
      </c>
      <c r="B582" s="1" t="s">
        <v>782</v>
      </c>
      <c r="C582" s="1" t="s">
        <v>249</v>
      </c>
      <c r="D582" s="1" t="s">
        <v>53</v>
      </c>
      <c r="E582" s="1" t="s">
        <v>54</v>
      </c>
      <c r="F582" s="1" t="s">
        <v>150</v>
      </c>
      <c r="G582" s="1" t="s">
        <v>32</v>
      </c>
      <c r="H582" s="1" t="s">
        <v>57</v>
      </c>
      <c r="I582" s="1" t="s">
        <v>34</v>
      </c>
      <c r="J582" s="1" t="s">
        <v>35</v>
      </c>
      <c r="K582" s="1" t="s">
        <v>48</v>
      </c>
      <c r="L582" s="1" t="s">
        <v>85</v>
      </c>
      <c r="M582" s="1" t="s">
        <v>50</v>
      </c>
      <c r="N582" s="1" t="n">
        <v>11999</v>
      </c>
      <c r="O582" s="1" t="n">
        <v>0</v>
      </c>
      <c r="P582" s="1" t="n">
        <v>0</v>
      </c>
      <c r="Q582" s="1" t="n">
        <v>11999</v>
      </c>
      <c r="R582" s="1" t="n">
        <v>2159.82</v>
      </c>
      <c r="S582" s="1" t="n">
        <v>9839.18</v>
      </c>
      <c r="T582" s="1" t="n">
        <v>4375.71</v>
      </c>
      <c r="U582" s="1" t="n">
        <v>5463.47</v>
      </c>
      <c r="V582" s="1" t="n">
        <v>55.53</v>
      </c>
      <c r="W582" s="1" t="s">
        <v>40</v>
      </c>
      <c r="Y582" s="1" t="s">
        <v>40</v>
      </c>
      <c r="Z582" s="1" t="n">
        <v>0</v>
      </c>
    </row>
    <row r="583" customFormat="false" ht="15" hidden="false" customHeight="true" outlineLevel="0" collapsed="false">
      <c r="A583" s="1" t="s">
        <v>1158</v>
      </c>
      <c r="B583" s="1" t="s">
        <v>1126</v>
      </c>
      <c r="C583" s="1" t="s">
        <v>139</v>
      </c>
      <c r="D583" s="1" t="s">
        <v>168</v>
      </c>
      <c r="E583" s="1" t="s">
        <v>197</v>
      </c>
      <c r="F583" s="1" t="s">
        <v>55</v>
      </c>
      <c r="G583" s="1" t="s">
        <v>56</v>
      </c>
      <c r="H583" s="1" t="s">
        <v>57</v>
      </c>
      <c r="I583" s="1" t="s">
        <v>58</v>
      </c>
      <c r="J583" s="1" t="s">
        <v>77</v>
      </c>
      <c r="K583" s="1" t="s">
        <v>84</v>
      </c>
      <c r="L583" s="1" t="s">
        <v>49</v>
      </c>
      <c r="M583" s="1" t="s">
        <v>50</v>
      </c>
      <c r="N583" s="1" t="n">
        <v>8499</v>
      </c>
      <c r="O583" s="1" t="n">
        <v>0</v>
      </c>
      <c r="P583" s="1" t="n">
        <v>0</v>
      </c>
      <c r="Q583" s="1" t="n">
        <v>8499</v>
      </c>
      <c r="R583" s="1" t="n">
        <v>1529.82</v>
      </c>
      <c r="S583" s="1" t="n">
        <v>6969.18</v>
      </c>
      <c r="T583" s="1" t="n">
        <v>2593.21</v>
      </c>
      <c r="U583" s="1" t="n">
        <v>4375.97</v>
      </c>
      <c r="V583" s="1" t="n">
        <v>62.79</v>
      </c>
      <c r="W583" s="1" t="s">
        <v>39</v>
      </c>
      <c r="Y583" s="1" t="s">
        <v>40</v>
      </c>
      <c r="Z583" s="1" t="n">
        <v>0</v>
      </c>
    </row>
    <row r="584" customFormat="false" ht="15" hidden="false" customHeight="true" outlineLevel="0" collapsed="false">
      <c r="A584" s="1" t="s">
        <v>1159</v>
      </c>
      <c r="B584" s="1" t="s">
        <v>1160</v>
      </c>
      <c r="C584" s="1" t="s">
        <v>178</v>
      </c>
      <c r="D584" s="1" t="s">
        <v>94</v>
      </c>
      <c r="E584" s="1" t="s">
        <v>101</v>
      </c>
      <c r="F584" s="1" t="s">
        <v>244</v>
      </c>
      <c r="G584" s="1" t="s">
        <v>97</v>
      </c>
      <c r="H584" s="1" t="s">
        <v>57</v>
      </c>
      <c r="I584" s="1" t="s">
        <v>58</v>
      </c>
      <c r="J584" s="1" t="s">
        <v>70</v>
      </c>
      <c r="K584" s="1" t="s">
        <v>104</v>
      </c>
      <c r="L584" s="1" t="s">
        <v>136</v>
      </c>
      <c r="M584" s="1" t="s">
        <v>38</v>
      </c>
      <c r="N584" s="1" t="n">
        <v>14999</v>
      </c>
      <c r="O584" s="1" t="n">
        <v>15</v>
      </c>
      <c r="P584" s="1" t="n">
        <v>2249.85</v>
      </c>
      <c r="Q584" s="1" t="n">
        <v>12749.15</v>
      </c>
      <c r="R584" s="1" t="n">
        <v>2294.85</v>
      </c>
      <c r="S584" s="1" t="n">
        <v>10454.3</v>
      </c>
      <c r="T584" s="1" t="n">
        <v>5254.62</v>
      </c>
      <c r="U584" s="1" t="n">
        <v>5199.68</v>
      </c>
      <c r="V584" s="1" t="n">
        <v>49.74</v>
      </c>
      <c r="W584" s="1" t="s">
        <v>39</v>
      </c>
      <c r="X584" s="1" t="n">
        <v>3.8</v>
      </c>
      <c r="Y584" s="1" t="s">
        <v>40</v>
      </c>
      <c r="Z584" s="1" t="n">
        <v>2</v>
      </c>
    </row>
    <row r="585" customFormat="false" ht="15" hidden="false" customHeight="true" outlineLevel="0" collapsed="false">
      <c r="A585" s="1" t="s">
        <v>1161</v>
      </c>
      <c r="B585" s="1" t="s">
        <v>598</v>
      </c>
      <c r="C585" s="1" t="s">
        <v>167</v>
      </c>
      <c r="D585" s="1" t="s">
        <v>44</v>
      </c>
      <c r="E585" s="1" t="s">
        <v>221</v>
      </c>
      <c r="F585" s="1" t="s">
        <v>140</v>
      </c>
      <c r="G585" s="1" t="s">
        <v>97</v>
      </c>
      <c r="H585" s="1" t="s">
        <v>57</v>
      </c>
      <c r="I585" s="1" t="s">
        <v>83</v>
      </c>
      <c r="J585" s="1" t="s">
        <v>131</v>
      </c>
      <c r="K585" s="1" t="s">
        <v>90</v>
      </c>
      <c r="L585" s="1" t="s">
        <v>49</v>
      </c>
      <c r="M585" s="1" t="s">
        <v>38</v>
      </c>
      <c r="N585" s="1" t="n">
        <v>16999</v>
      </c>
      <c r="O585" s="1" t="n">
        <v>10</v>
      </c>
      <c r="P585" s="1" t="n">
        <v>1699.9</v>
      </c>
      <c r="Q585" s="1" t="n">
        <v>15299.1</v>
      </c>
      <c r="R585" s="1" t="n">
        <v>2753.84</v>
      </c>
      <c r="S585" s="1" t="n">
        <v>12545.26</v>
      </c>
      <c r="T585" s="1" t="n">
        <v>6359.05</v>
      </c>
      <c r="U585" s="1" t="n">
        <v>6186.21</v>
      </c>
      <c r="V585" s="1" t="n">
        <v>49.31</v>
      </c>
      <c r="W585" s="1" t="s">
        <v>40</v>
      </c>
      <c r="Y585" s="1" t="s">
        <v>39</v>
      </c>
      <c r="Z585" s="1" t="n">
        <v>1</v>
      </c>
    </row>
    <row r="586" customFormat="false" ht="15" hidden="false" customHeight="true" outlineLevel="0" collapsed="false">
      <c r="A586" s="1" t="s">
        <v>1162</v>
      </c>
      <c r="B586" s="1" t="s">
        <v>1163</v>
      </c>
      <c r="C586" s="1" t="s">
        <v>43</v>
      </c>
      <c r="D586" s="1" t="s">
        <v>44</v>
      </c>
      <c r="E586" s="1" t="s">
        <v>221</v>
      </c>
      <c r="F586" s="1" t="s">
        <v>120</v>
      </c>
      <c r="G586" s="1" t="s">
        <v>47</v>
      </c>
      <c r="H586" s="1" t="s">
        <v>57</v>
      </c>
      <c r="I586" s="1" t="s">
        <v>34</v>
      </c>
      <c r="J586" s="1" t="s">
        <v>35</v>
      </c>
      <c r="K586" s="1" t="s">
        <v>90</v>
      </c>
      <c r="L586" s="1" t="s">
        <v>136</v>
      </c>
      <c r="M586" s="1" t="s">
        <v>50</v>
      </c>
      <c r="N586" s="1" t="n">
        <v>16999</v>
      </c>
      <c r="O586" s="1" t="n">
        <v>0</v>
      </c>
      <c r="P586" s="1" t="n">
        <v>0</v>
      </c>
      <c r="Q586" s="1" t="n">
        <v>16999</v>
      </c>
      <c r="R586" s="1" t="n">
        <v>3059.82</v>
      </c>
      <c r="S586" s="1" t="n">
        <v>13939.18</v>
      </c>
      <c r="T586" s="1" t="n">
        <v>5702.28</v>
      </c>
      <c r="U586" s="1" t="n">
        <v>8236.9</v>
      </c>
      <c r="V586" s="1" t="n">
        <v>59.09</v>
      </c>
      <c r="W586" s="1" t="s">
        <v>39</v>
      </c>
      <c r="X586" s="1" t="n">
        <v>4.4</v>
      </c>
      <c r="Y586" s="1" t="s">
        <v>40</v>
      </c>
      <c r="Z586" s="1" t="n">
        <v>0</v>
      </c>
    </row>
    <row r="587" customFormat="false" ht="15" hidden="false" customHeight="true" outlineLevel="0" collapsed="false">
      <c r="A587" s="1" t="s">
        <v>1164</v>
      </c>
      <c r="B587" s="1" t="s">
        <v>707</v>
      </c>
      <c r="C587" s="1" t="s">
        <v>249</v>
      </c>
      <c r="D587" s="1" t="s">
        <v>168</v>
      </c>
      <c r="E587" s="1" t="s">
        <v>328</v>
      </c>
      <c r="F587" s="1" t="s">
        <v>194</v>
      </c>
      <c r="G587" s="1" t="s">
        <v>103</v>
      </c>
      <c r="H587" s="1" t="s">
        <v>69</v>
      </c>
      <c r="I587" s="1" t="s">
        <v>58</v>
      </c>
      <c r="J587" s="1" t="s">
        <v>59</v>
      </c>
      <c r="K587" s="1" t="s">
        <v>48</v>
      </c>
      <c r="L587" s="1" t="s">
        <v>61</v>
      </c>
      <c r="M587" s="1" t="s">
        <v>50</v>
      </c>
      <c r="N587" s="1" t="n">
        <v>8999</v>
      </c>
      <c r="O587" s="1" t="n">
        <v>20</v>
      </c>
      <c r="P587" s="1" t="n">
        <v>1799.8</v>
      </c>
      <c r="Q587" s="1" t="n">
        <v>7199.2</v>
      </c>
      <c r="R587" s="1" t="n">
        <v>1295.86</v>
      </c>
      <c r="S587" s="1" t="n">
        <v>5903.34</v>
      </c>
      <c r="T587" s="1" t="n">
        <v>2783.4</v>
      </c>
      <c r="U587" s="1" t="n">
        <v>3119.94</v>
      </c>
      <c r="V587" s="1" t="n">
        <v>52.85</v>
      </c>
      <c r="W587" s="1" t="s">
        <v>39</v>
      </c>
      <c r="X587" s="1" t="n">
        <v>3.7</v>
      </c>
      <c r="Y587" s="1" t="s">
        <v>40</v>
      </c>
      <c r="Z587" s="1" t="n">
        <v>0</v>
      </c>
    </row>
    <row r="588" customFormat="false" ht="15" hidden="false" customHeight="true" outlineLevel="0" collapsed="false">
      <c r="A588" s="1" t="s">
        <v>1165</v>
      </c>
      <c r="B588" s="1" t="s">
        <v>1166</v>
      </c>
      <c r="C588" s="1" t="s">
        <v>167</v>
      </c>
      <c r="D588" s="1" t="s">
        <v>80</v>
      </c>
      <c r="E588" s="1" t="s">
        <v>193</v>
      </c>
      <c r="F588" s="1" t="s">
        <v>205</v>
      </c>
      <c r="G588" s="1" t="s">
        <v>56</v>
      </c>
      <c r="H588" s="1" t="s">
        <v>69</v>
      </c>
      <c r="I588" s="1" t="s">
        <v>58</v>
      </c>
      <c r="J588" s="1" t="s">
        <v>70</v>
      </c>
      <c r="K588" s="1" t="s">
        <v>36</v>
      </c>
      <c r="L588" s="1" t="s">
        <v>136</v>
      </c>
      <c r="M588" s="1" t="s">
        <v>38</v>
      </c>
      <c r="N588" s="1" t="n">
        <v>8999</v>
      </c>
      <c r="O588" s="1" t="n">
        <v>40</v>
      </c>
      <c r="P588" s="1" t="n">
        <v>3599.6</v>
      </c>
      <c r="Q588" s="1" t="n">
        <v>5399.4</v>
      </c>
      <c r="R588" s="1" t="n">
        <v>971.89</v>
      </c>
      <c r="S588" s="1" t="n">
        <v>4427.51</v>
      </c>
      <c r="T588" s="1" t="n">
        <v>1768.13</v>
      </c>
      <c r="U588" s="1" t="n">
        <v>2659.38</v>
      </c>
      <c r="V588" s="1" t="n">
        <v>60.06</v>
      </c>
      <c r="W588" s="1" t="s">
        <v>39</v>
      </c>
      <c r="X588" s="1" t="n">
        <v>3.5</v>
      </c>
      <c r="Y588" s="1" t="s">
        <v>40</v>
      </c>
      <c r="Z588" s="1" t="n">
        <v>0</v>
      </c>
    </row>
    <row r="589" customFormat="false" ht="15" hidden="false" customHeight="true" outlineLevel="0" collapsed="false">
      <c r="A589" s="1" t="s">
        <v>1167</v>
      </c>
      <c r="B589" s="1" t="s">
        <v>1168</v>
      </c>
      <c r="C589" s="1" t="s">
        <v>264</v>
      </c>
      <c r="D589" s="1" t="s">
        <v>29</v>
      </c>
      <c r="E589" s="1" t="s">
        <v>129</v>
      </c>
      <c r="F589" s="1" t="s">
        <v>96</v>
      </c>
      <c r="G589" s="1" t="s">
        <v>97</v>
      </c>
      <c r="H589" s="1" t="s">
        <v>69</v>
      </c>
      <c r="I589" s="1" t="s">
        <v>83</v>
      </c>
      <c r="J589" s="1" t="s">
        <v>77</v>
      </c>
      <c r="K589" s="1" t="s">
        <v>112</v>
      </c>
      <c r="L589" s="1" t="s">
        <v>61</v>
      </c>
      <c r="M589" s="1" t="s">
        <v>50</v>
      </c>
      <c r="N589" s="1" t="n">
        <v>29999</v>
      </c>
      <c r="O589" s="1" t="n">
        <v>5</v>
      </c>
      <c r="P589" s="1" t="n">
        <v>1499.95</v>
      </c>
      <c r="Q589" s="1" t="n">
        <v>28499.05</v>
      </c>
      <c r="R589" s="1" t="n">
        <v>5129.83</v>
      </c>
      <c r="S589" s="1" t="n">
        <v>23369.22</v>
      </c>
      <c r="T589" s="1" t="n">
        <v>6219.58</v>
      </c>
      <c r="U589" s="1" t="n">
        <v>17149.64</v>
      </c>
      <c r="V589" s="1" t="n">
        <v>73.39</v>
      </c>
      <c r="W589" s="1" t="s">
        <v>40</v>
      </c>
      <c r="Y589" s="1" t="s">
        <v>39</v>
      </c>
      <c r="Z589" s="1" t="n">
        <v>0</v>
      </c>
    </row>
    <row r="590" customFormat="false" ht="15" hidden="false" customHeight="true" outlineLevel="0" collapsed="false">
      <c r="A590" s="1" t="s">
        <v>1169</v>
      </c>
      <c r="B590" s="1" t="s">
        <v>1170</v>
      </c>
      <c r="C590" s="1" t="s">
        <v>264</v>
      </c>
      <c r="D590" s="1" t="s">
        <v>80</v>
      </c>
      <c r="E590" s="1" t="s">
        <v>190</v>
      </c>
      <c r="F590" s="1" t="s">
        <v>82</v>
      </c>
      <c r="G590" s="1" t="s">
        <v>56</v>
      </c>
      <c r="H590" s="1" t="s">
        <v>69</v>
      </c>
      <c r="I590" s="1" t="s">
        <v>83</v>
      </c>
      <c r="J590" s="1" t="s">
        <v>59</v>
      </c>
      <c r="K590" s="1" t="s">
        <v>71</v>
      </c>
      <c r="L590" s="1" t="s">
        <v>85</v>
      </c>
      <c r="M590" s="1" t="s">
        <v>62</v>
      </c>
      <c r="N590" s="1" t="n">
        <v>15999</v>
      </c>
      <c r="O590" s="1" t="n">
        <v>10</v>
      </c>
      <c r="P590" s="1" t="n">
        <v>1599.9</v>
      </c>
      <c r="Q590" s="1" t="n">
        <v>14399.1</v>
      </c>
      <c r="R590" s="1" t="n">
        <v>2591.84</v>
      </c>
      <c r="S590" s="1" t="n">
        <v>11807.26</v>
      </c>
      <c r="T590" s="1" t="n">
        <v>5279.49</v>
      </c>
      <c r="U590" s="1" t="n">
        <v>6527.77</v>
      </c>
      <c r="V590" s="1" t="n">
        <v>55.29</v>
      </c>
      <c r="W590" s="1" t="s">
        <v>39</v>
      </c>
      <c r="X590" s="1" t="n">
        <v>4.5</v>
      </c>
      <c r="Y590" s="1" t="s">
        <v>40</v>
      </c>
      <c r="Z590" s="1" t="n">
        <v>0</v>
      </c>
    </row>
    <row r="591" customFormat="false" ht="15" hidden="false" customHeight="true" outlineLevel="0" collapsed="false">
      <c r="A591" s="1" t="s">
        <v>1171</v>
      </c>
      <c r="B591" s="1" t="s">
        <v>296</v>
      </c>
      <c r="C591" s="1" t="s">
        <v>65</v>
      </c>
      <c r="D591" s="1" t="s">
        <v>29</v>
      </c>
      <c r="E591" s="1" t="s">
        <v>182</v>
      </c>
      <c r="F591" s="1" t="s">
        <v>107</v>
      </c>
      <c r="G591" s="1" t="s">
        <v>108</v>
      </c>
      <c r="H591" s="1" t="s">
        <v>33</v>
      </c>
      <c r="I591" s="1" t="s">
        <v>83</v>
      </c>
      <c r="J591" s="1" t="s">
        <v>59</v>
      </c>
      <c r="K591" s="1" t="s">
        <v>36</v>
      </c>
      <c r="L591" s="1" t="s">
        <v>85</v>
      </c>
      <c r="M591" s="1" t="s">
        <v>38</v>
      </c>
      <c r="N591" s="1" t="n">
        <v>34999</v>
      </c>
      <c r="O591" s="1" t="n">
        <v>20</v>
      </c>
      <c r="P591" s="1" t="n">
        <v>6999.8</v>
      </c>
      <c r="Q591" s="1" t="n">
        <v>27999.2</v>
      </c>
      <c r="R591" s="1" t="n">
        <v>5039.86</v>
      </c>
      <c r="S591" s="1" t="n">
        <v>22959.34</v>
      </c>
      <c r="T591" s="1" t="n">
        <v>11718.3</v>
      </c>
      <c r="U591" s="1" t="n">
        <v>11241.04</v>
      </c>
      <c r="V591" s="1" t="n">
        <v>48.96</v>
      </c>
      <c r="W591" s="1" t="s">
        <v>39</v>
      </c>
      <c r="X591" s="1" t="n">
        <v>3.8</v>
      </c>
      <c r="Y591" s="1" t="s">
        <v>40</v>
      </c>
      <c r="Z591" s="1" t="n">
        <v>1</v>
      </c>
    </row>
    <row r="592" customFormat="false" ht="15" hidden="false" customHeight="true" outlineLevel="0" collapsed="false">
      <c r="A592" s="1" t="s">
        <v>1172</v>
      </c>
      <c r="B592" s="1" t="s">
        <v>201</v>
      </c>
      <c r="C592" s="1" t="s">
        <v>43</v>
      </c>
      <c r="D592" s="1" t="s">
        <v>143</v>
      </c>
      <c r="E592" s="1" t="s">
        <v>243</v>
      </c>
      <c r="F592" s="1" t="s">
        <v>75</v>
      </c>
      <c r="G592" s="1" t="s">
        <v>76</v>
      </c>
      <c r="H592" s="1" t="s">
        <v>69</v>
      </c>
      <c r="I592" s="1" t="s">
        <v>58</v>
      </c>
      <c r="J592" s="1" t="s">
        <v>59</v>
      </c>
      <c r="K592" s="1" t="s">
        <v>36</v>
      </c>
      <c r="L592" s="1" t="s">
        <v>85</v>
      </c>
      <c r="M592" s="1" t="s">
        <v>38</v>
      </c>
      <c r="N592" s="1" t="n">
        <v>22999</v>
      </c>
      <c r="O592" s="1" t="n">
        <v>40</v>
      </c>
      <c r="P592" s="1" t="n">
        <v>9199.6</v>
      </c>
      <c r="Q592" s="1" t="n">
        <v>13799.4</v>
      </c>
      <c r="R592" s="1" t="n">
        <v>2483.89</v>
      </c>
      <c r="S592" s="1" t="n">
        <v>11315.51</v>
      </c>
      <c r="T592" s="1" t="n">
        <v>5912.7</v>
      </c>
      <c r="U592" s="1" t="n">
        <v>5402.81</v>
      </c>
      <c r="V592" s="1" t="n">
        <v>47.75</v>
      </c>
      <c r="W592" s="1" t="s">
        <v>40</v>
      </c>
      <c r="Y592" s="1" t="s">
        <v>40</v>
      </c>
      <c r="Z592" s="1" t="n">
        <v>0</v>
      </c>
    </row>
    <row r="593" customFormat="false" ht="15" hidden="false" customHeight="true" outlineLevel="0" collapsed="false">
      <c r="A593" s="1" t="s">
        <v>1173</v>
      </c>
      <c r="B593" s="1" t="s">
        <v>568</v>
      </c>
      <c r="C593" s="1" t="s">
        <v>178</v>
      </c>
      <c r="D593" s="1" t="s">
        <v>168</v>
      </c>
      <c r="E593" s="1" t="s">
        <v>197</v>
      </c>
      <c r="F593" s="1" t="s">
        <v>82</v>
      </c>
      <c r="G593" s="1" t="s">
        <v>56</v>
      </c>
      <c r="H593" s="1" t="s">
        <v>69</v>
      </c>
      <c r="I593" s="1" t="s">
        <v>58</v>
      </c>
      <c r="J593" s="1" t="s">
        <v>59</v>
      </c>
      <c r="K593" s="1" t="s">
        <v>36</v>
      </c>
      <c r="L593" s="1" t="s">
        <v>85</v>
      </c>
      <c r="M593" s="1" t="s">
        <v>62</v>
      </c>
      <c r="N593" s="1" t="n">
        <v>8499</v>
      </c>
      <c r="O593" s="1" t="n">
        <v>0</v>
      </c>
      <c r="P593" s="1" t="n">
        <v>0</v>
      </c>
      <c r="Q593" s="1" t="n">
        <v>8499</v>
      </c>
      <c r="R593" s="1" t="n">
        <v>1529.82</v>
      </c>
      <c r="S593" s="1" t="n">
        <v>6969.18</v>
      </c>
      <c r="T593" s="1" t="n">
        <v>2713.74</v>
      </c>
      <c r="U593" s="1" t="n">
        <v>4255.44</v>
      </c>
      <c r="V593" s="1" t="n">
        <v>61.06</v>
      </c>
      <c r="W593" s="1" t="s">
        <v>39</v>
      </c>
      <c r="X593" s="1" t="n">
        <v>4</v>
      </c>
      <c r="Y593" s="1" t="s">
        <v>40</v>
      </c>
      <c r="Z593" s="1" t="n">
        <v>1</v>
      </c>
    </row>
    <row r="594" customFormat="false" ht="15" hidden="false" customHeight="true" outlineLevel="0" collapsed="false">
      <c r="A594" s="1" t="s">
        <v>1174</v>
      </c>
      <c r="B594" s="1" t="s">
        <v>261</v>
      </c>
      <c r="C594" s="1" t="s">
        <v>74</v>
      </c>
      <c r="D594" s="1" t="s">
        <v>29</v>
      </c>
      <c r="E594" s="1" t="s">
        <v>30</v>
      </c>
      <c r="F594" s="1" t="s">
        <v>194</v>
      </c>
      <c r="G594" s="1" t="s">
        <v>103</v>
      </c>
      <c r="H594" s="1" t="s">
        <v>69</v>
      </c>
      <c r="I594" s="1" t="s">
        <v>83</v>
      </c>
      <c r="J594" s="1" t="s">
        <v>35</v>
      </c>
      <c r="K594" s="1" t="s">
        <v>104</v>
      </c>
      <c r="L594" s="1" t="s">
        <v>49</v>
      </c>
      <c r="M594" s="1" t="s">
        <v>50</v>
      </c>
      <c r="N594" s="1" t="n">
        <v>7999</v>
      </c>
      <c r="O594" s="1" t="n">
        <v>0</v>
      </c>
      <c r="P594" s="1" t="n">
        <v>0</v>
      </c>
      <c r="Q594" s="1" t="n">
        <v>7999</v>
      </c>
      <c r="R594" s="1" t="n">
        <v>1439.82</v>
      </c>
      <c r="S594" s="1" t="n">
        <v>6559.18</v>
      </c>
      <c r="T594" s="1" t="n">
        <v>2081.47</v>
      </c>
      <c r="U594" s="1" t="n">
        <v>4477.71</v>
      </c>
      <c r="V594" s="1" t="n">
        <v>68.27</v>
      </c>
      <c r="W594" s="1" t="s">
        <v>39</v>
      </c>
      <c r="X594" s="1" t="n">
        <v>3.8</v>
      </c>
      <c r="Y594" s="1" t="s">
        <v>40</v>
      </c>
      <c r="Z594" s="1" t="n">
        <v>0</v>
      </c>
    </row>
    <row r="595" customFormat="false" ht="15" hidden="false" customHeight="true" outlineLevel="0" collapsed="false">
      <c r="A595" s="1" t="s">
        <v>1175</v>
      </c>
      <c r="B595" s="1" t="s">
        <v>740</v>
      </c>
      <c r="C595" s="1" t="s">
        <v>167</v>
      </c>
      <c r="D595" s="1" t="s">
        <v>29</v>
      </c>
      <c r="E595" s="1" t="s">
        <v>30</v>
      </c>
      <c r="F595" s="1" t="s">
        <v>140</v>
      </c>
      <c r="G595" s="1" t="s">
        <v>97</v>
      </c>
      <c r="H595" s="1" t="s">
        <v>57</v>
      </c>
      <c r="I595" s="1" t="s">
        <v>34</v>
      </c>
      <c r="J595" s="1" t="s">
        <v>59</v>
      </c>
      <c r="K595" s="1" t="s">
        <v>90</v>
      </c>
      <c r="L595" s="1" t="s">
        <v>113</v>
      </c>
      <c r="M595" s="1" t="s">
        <v>62</v>
      </c>
      <c r="N595" s="1" t="n">
        <v>7999</v>
      </c>
      <c r="O595" s="1" t="n">
        <v>50</v>
      </c>
      <c r="P595" s="1" t="n">
        <v>3999.5</v>
      </c>
      <c r="Q595" s="1" t="n">
        <v>3999.5</v>
      </c>
      <c r="R595" s="1" t="n">
        <v>719.91</v>
      </c>
      <c r="S595" s="1" t="n">
        <v>3279.59</v>
      </c>
      <c r="T595" s="1" t="n">
        <v>1712.91</v>
      </c>
      <c r="U595" s="1" t="n">
        <v>1566.68</v>
      </c>
      <c r="V595" s="1" t="n">
        <v>47.77</v>
      </c>
      <c r="W595" s="1" t="s">
        <v>39</v>
      </c>
      <c r="X595" s="1" t="n">
        <v>4.5</v>
      </c>
      <c r="Y595" s="1" t="s">
        <v>40</v>
      </c>
      <c r="Z595" s="1" t="n">
        <v>0</v>
      </c>
    </row>
    <row r="596" customFormat="false" ht="15" hidden="false" customHeight="true" outlineLevel="0" collapsed="false">
      <c r="A596" s="1" t="s">
        <v>1176</v>
      </c>
      <c r="B596" s="1" t="s">
        <v>1029</v>
      </c>
      <c r="C596" s="1" t="s">
        <v>249</v>
      </c>
      <c r="D596" s="1" t="s">
        <v>53</v>
      </c>
      <c r="E596" s="1" t="s">
        <v>116</v>
      </c>
      <c r="F596" s="1" t="s">
        <v>96</v>
      </c>
      <c r="G596" s="1" t="s">
        <v>97</v>
      </c>
      <c r="H596" s="1" t="s">
        <v>69</v>
      </c>
      <c r="I596" s="1" t="s">
        <v>34</v>
      </c>
      <c r="J596" s="1" t="s">
        <v>77</v>
      </c>
      <c r="K596" s="1" t="s">
        <v>112</v>
      </c>
      <c r="L596" s="1" t="s">
        <v>61</v>
      </c>
      <c r="M596" s="1" t="s">
        <v>50</v>
      </c>
      <c r="N596" s="1" t="n">
        <v>9999</v>
      </c>
      <c r="O596" s="1" t="n">
        <v>0</v>
      </c>
      <c r="P596" s="1" t="n">
        <v>0</v>
      </c>
      <c r="Q596" s="1" t="n">
        <v>9999</v>
      </c>
      <c r="R596" s="1" t="n">
        <v>1799.82</v>
      </c>
      <c r="S596" s="1" t="n">
        <v>8199.18</v>
      </c>
      <c r="T596" s="1" t="n">
        <v>3626.88</v>
      </c>
      <c r="U596" s="1" t="n">
        <v>4572.3</v>
      </c>
      <c r="V596" s="1" t="n">
        <v>55.77</v>
      </c>
      <c r="W596" s="1" t="s">
        <v>39</v>
      </c>
      <c r="X596" s="1" t="n">
        <v>4.3</v>
      </c>
      <c r="Y596" s="1" t="s">
        <v>40</v>
      </c>
      <c r="Z596" s="1" t="n">
        <v>0</v>
      </c>
    </row>
    <row r="597" customFormat="false" ht="15" hidden="false" customHeight="true" outlineLevel="0" collapsed="false">
      <c r="A597" s="1" t="s">
        <v>1177</v>
      </c>
      <c r="B597" s="1" t="s">
        <v>598</v>
      </c>
      <c r="C597" s="1" t="s">
        <v>139</v>
      </c>
      <c r="D597" s="1" t="s">
        <v>168</v>
      </c>
      <c r="E597" s="1" t="s">
        <v>172</v>
      </c>
      <c r="F597" s="1" t="s">
        <v>244</v>
      </c>
      <c r="G597" s="1" t="s">
        <v>97</v>
      </c>
      <c r="H597" s="1" t="s">
        <v>57</v>
      </c>
      <c r="I597" s="1" t="s">
        <v>58</v>
      </c>
      <c r="J597" s="1" t="s">
        <v>131</v>
      </c>
      <c r="K597" s="1" t="s">
        <v>48</v>
      </c>
      <c r="L597" s="1" t="s">
        <v>37</v>
      </c>
      <c r="M597" s="1" t="s">
        <v>50</v>
      </c>
      <c r="N597" s="1" t="n">
        <v>6999</v>
      </c>
      <c r="O597" s="1" t="n">
        <v>15</v>
      </c>
      <c r="P597" s="1" t="n">
        <v>1049.85</v>
      </c>
      <c r="Q597" s="1" t="n">
        <v>5949.15</v>
      </c>
      <c r="R597" s="1" t="n">
        <v>1070.85</v>
      </c>
      <c r="S597" s="1" t="n">
        <v>4878.3</v>
      </c>
      <c r="T597" s="1" t="n">
        <v>2422.46</v>
      </c>
      <c r="U597" s="1" t="n">
        <v>2455.84</v>
      </c>
      <c r="V597" s="1" t="n">
        <v>50.34</v>
      </c>
      <c r="W597" s="1" t="s">
        <v>39</v>
      </c>
      <c r="X597" s="1" t="n">
        <v>3.9</v>
      </c>
      <c r="Y597" s="1" t="s">
        <v>40</v>
      </c>
      <c r="Z597" s="1" t="n">
        <v>0</v>
      </c>
    </row>
    <row r="598" customFormat="false" ht="15" hidden="false" customHeight="true" outlineLevel="0" collapsed="false">
      <c r="A598" s="1" t="s">
        <v>1178</v>
      </c>
      <c r="B598" s="1" t="s">
        <v>1072</v>
      </c>
      <c r="C598" s="1" t="s">
        <v>28</v>
      </c>
      <c r="D598" s="1" t="s">
        <v>53</v>
      </c>
      <c r="E598" s="1" t="s">
        <v>54</v>
      </c>
      <c r="F598" s="1" t="s">
        <v>55</v>
      </c>
      <c r="G598" s="1" t="s">
        <v>56</v>
      </c>
      <c r="H598" s="1" t="s">
        <v>57</v>
      </c>
      <c r="I598" s="1" t="s">
        <v>83</v>
      </c>
      <c r="J598" s="1" t="s">
        <v>70</v>
      </c>
      <c r="K598" s="1" t="s">
        <v>48</v>
      </c>
      <c r="L598" s="1" t="s">
        <v>85</v>
      </c>
      <c r="M598" s="1" t="s">
        <v>38</v>
      </c>
      <c r="N598" s="1" t="n">
        <v>11999</v>
      </c>
      <c r="O598" s="1" t="n">
        <v>0</v>
      </c>
      <c r="P598" s="1" t="n">
        <v>0</v>
      </c>
      <c r="Q598" s="1" t="n">
        <v>11999</v>
      </c>
      <c r="R598" s="1" t="n">
        <v>2159.82</v>
      </c>
      <c r="S598" s="1" t="n">
        <v>9839.18</v>
      </c>
      <c r="T598" s="1" t="n">
        <v>3966.21</v>
      </c>
      <c r="U598" s="1" t="n">
        <v>5872.97</v>
      </c>
      <c r="V598" s="1" t="n">
        <v>59.69</v>
      </c>
      <c r="W598" s="1" t="s">
        <v>39</v>
      </c>
      <c r="X598" s="1" t="n">
        <v>4.1</v>
      </c>
      <c r="Y598" s="1" t="s">
        <v>40</v>
      </c>
      <c r="Z598" s="1" t="n">
        <v>0</v>
      </c>
    </row>
    <row r="599" customFormat="false" ht="15" hidden="false" customHeight="true" outlineLevel="0" collapsed="false">
      <c r="A599" s="1" t="s">
        <v>1179</v>
      </c>
      <c r="B599" s="1" t="s">
        <v>843</v>
      </c>
      <c r="C599" s="1" t="s">
        <v>178</v>
      </c>
      <c r="D599" s="1" t="s">
        <v>53</v>
      </c>
      <c r="E599" s="1" t="s">
        <v>216</v>
      </c>
      <c r="F599" s="1" t="s">
        <v>153</v>
      </c>
      <c r="G599" s="1" t="s">
        <v>76</v>
      </c>
      <c r="H599" s="1" t="s">
        <v>33</v>
      </c>
      <c r="I599" s="1" t="s">
        <v>58</v>
      </c>
      <c r="J599" s="1" t="s">
        <v>77</v>
      </c>
      <c r="K599" s="1" t="s">
        <v>84</v>
      </c>
      <c r="L599" s="1" t="s">
        <v>61</v>
      </c>
      <c r="M599" s="1" t="s">
        <v>50</v>
      </c>
      <c r="N599" s="1" t="n">
        <v>7499</v>
      </c>
      <c r="O599" s="1" t="n">
        <v>0</v>
      </c>
      <c r="P599" s="1" t="n">
        <v>0</v>
      </c>
      <c r="Q599" s="1" t="n">
        <v>7499</v>
      </c>
      <c r="R599" s="1" t="n">
        <v>1349.82</v>
      </c>
      <c r="S599" s="1" t="n">
        <v>6149.18</v>
      </c>
      <c r="T599" s="1" t="n">
        <v>2834.81</v>
      </c>
      <c r="U599" s="1" t="n">
        <v>3314.37</v>
      </c>
      <c r="V599" s="1" t="n">
        <v>53.9</v>
      </c>
      <c r="W599" s="1" t="s">
        <v>40</v>
      </c>
      <c r="Y599" s="1" t="s">
        <v>40</v>
      </c>
      <c r="Z599" s="1" t="n">
        <v>0</v>
      </c>
    </row>
    <row r="600" customFormat="false" ht="15" hidden="false" customHeight="true" outlineLevel="0" collapsed="false">
      <c r="A600" s="1" t="s">
        <v>1180</v>
      </c>
      <c r="B600" s="1" t="s">
        <v>428</v>
      </c>
      <c r="C600" s="1" t="s">
        <v>249</v>
      </c>
      <c r="D600" s="1" t="s">
        <v>29</v>
      </c>
      <c r="E600" s="1" t="s">
        <v>129</v>
      </c>
      <c r="F600" s="1" t="s">
        <v>82</v>
      </c>
      <c r="G600" s="1" t="s">
        <v>56</v>
      </c>
      <c r="H600" s="1" t="s">
        <v>69</v>
      </c>
      <c r="I600" s="1" t="s">
        <v>34</v>
      </c>
      <c r="J600" s="1" t="s">
        <v>77</v>
      </c>
      <c r="K600" s="1" t="s">
        <v>84</v>
      </c>
      <c r="L600" s="1" t="s">
        <v>61</v>
      </c>
      <c r="M600" s="1" t="s">
        <v>50</v>
      </c>
      <c r="N600" s="1" t="n">
        <v>29999</v>
      </c>
      <c r="O600" s="1" t="n">
        <v>40</v>
      </c>
      <c r="P600" s="1" t="n">
        <v>11999.6</v>
      </c>
      <c r="Q600" s="1" t="n">
        <v>17999.4</v>
      </c>
      <c r="R600" s="1" t="n">
        <v>3239.89</v>
      </c>
      <c r="S600" s="1" t="n">
        <v>14759.51</v>
      </c>
      <c r="T600" s="1" t="n">
        <v>7103.2</v>
      </c>
      <c r="U600" s="1" t="n">
        <v>7656.31</v>
      </c>
      <c r="V600" s="1" t="n">
        <v>51.87</v>
      </c>
      <c r="W600" s="1" t="s">
        <v>39</v>
      </c>
      <c r="Y600" s="1" t="s">
        <v>40</v>
      </c>
      <c r="Z600" s="1" t="n">
        <v>2</v>
      </c>
    </row>
    <row r="601" customFormat="false" ht="15" hidden="false" customHeight="true" outlineLevel="0" collapsed="false">
      <c r="A601" s="1" t="s">
        <v>1181</v>
      </c>
      <c r="B601" s="1" t="s">
        <v>1182</v>
      </c>
      <c r="C601" s="1" t="s">
        <v>119</v>
      </c>
      <c r="D601" s="1" t="s">
        <v>94</v>
      </c>
      <c r="E601" s="1" t="s">
        <v>101</v>
      </c>
      <c r="F601" s="1" t="s">
        <v>96</v>
      </c>
      <c r="G601" s="1" t="s">
        <v>97</v>
      </c>
      <c r="H601" s="1" t="s">
        <v>69</v>
      </c>
      <c r="I601" s="1" t="s">
        <v>34</v>
      </c>
      <c r="J601" s="1" t="s">
        <v>131</v>
      </c>
      <c r="K601" s="1" t="s">
        <v>112</v>
      </c>
      <c r="L601" s="1" t="s">
        <v>136</v>
      </c>
      <c r="M601" s="1" t="s">
        <v>50</v>
      </c>
      <c r="N601" s="1" t="n">
        <v>14999</v>
      </c>
      <c r="O601" s="1" t="n">
        <v>20</v>
      </c>
      <c r="P601" s="1" t="n">
        <v>2999.8</v>
      </c>
      <c r="Q601" s="1" t="n">
        <v>11999.2</v>
      </c>
      <c r="R601" s="1" t="n">
        <v>2159.86</v>
      </c>
      <c r="S601" s="1" t="n">
        <v>9839.34</v>
      </c>
      <c r="T601" s="1" t="n">
        <v>3727.29</v>
      </c>
      <c r="U601" s="1" t="n">
        <v>6112.05</v>
      </c>
      <c r="V601" s="1" t="n">
        <v>62.12</v>
      </c>
      <c r="W601" s="1" t="s">
        <v>39</v>
      </c>
      <c r="X601" s="1" t="n">
        <v>3.4</v>
      </c>
      <c r="Y601" s="1" t="s">
        <v>40</v>
      </c>
      <c r="Z601" s="1" t="n">
        <v>0</v>
      </c>
    </row>
    <row r="602" customFormat="false" ht="15" hidden="false" customHeight="true" outlineLevel="0" collapsed="false">
      <c r="A602" s="1" t="s">
        <v>1183</v>
      </c>
      <c r="B602" s="1" t="s">
        <v>1184</v>
      </c>
      <c r="C602" s="1" t="s">
        <v>100</v>
      </c>
      <c r="D602" s="1" t="s">
        <v>80</v>
      </c>
      <c r="E602" s="1" t="s">
        <v>190</v>
      </c>
      <c r="F602" s="1" t="s">
        <v>153</v>
      </c>
      <c r="G602" s="1" t="s">
        <v>76</v>
      </c>
      <c r="H602" s="1" t="s">
        <v>33</v>
      </c>
      <c r="I602" s="1" t="s">
        <v>58</v>
      </c>
      <c r="J602" s="1" t="s">
        <v>35</v>
      </c>
      <c r="K602" s="1" t="s">
        <v>84</v>
      </c>
      <c r="L602" s="1" t="s">
        <v>37</v>
      </c>
      <c r="M602" s="1" t="s">
        <v>62</v>
      </c>
      <c r="N602" s="1" t="n">
        <v>15999</v>
      </c>
      <c r="O602" s="1" t="n">
        <v>10</v>
      </c>
      <c r="P602" s="1" t="n">
        <v>1599.9</v>
      </c>
      <c r="Q602" s="1" t="n">
        <v>14399.1</v>
      </c>
      <c r="R602" s="1" t="n">
        <v>2591.84</v>
      </c>
      <c r="S602" s="1" t="n">
        <v>11807.26</v>
      </c>
      <c r="T602" s="1" t="n">
        <v>5586.7</v>
      </c>
      <c r="U602" s="1" t="n">
        <v>6220.56</v>
      </c>
      <c r="V602" s="1" t="n">
        <v>52.68</v>
      </c>
      <c r="W602" s="1" t="s">
        <v>39</v>
      </c>
      <c r="X602" s="1" t="n">
        <v>4.6</v>
      </c>
      <c r="Y602" s="1" t="s">
        <v>40</v>
      </c>
      <c r="Z602" s="1" t="n">
        <v>0</v>
      </c>
    </row>
    <row r="603" customFormat="false" ht="15" hidden="false" customHeight="true" outlineLevel="0" collapsed="false">
      <c r="A603" s="1" t="s">
        <v>1185</v>
      </c>
      <c r="B603" s="1" t="s">
        <v>1186</v>
      </c>
      <c r="C603" s="1" t="s">
        <v>93</v>
      </c>
      <c r="D603" s="1" t="s">
        <v>29</v>
      </c>
      <c r="E603" s="1" t="s">
        <v>305</v>
      </c>
      <c r="F603" s="1" t="s">
        <v>67</v>
      </c>
      <c r="G603" s="1" t="s">
        <v>68</v>
      </c>
      <c r="H603" s="1" t="s">
        <v>69</v>
      </c>
      <c r="I603" s="1" t="s">
        <v>58</v>
      </c>
      <c r="J603" s="1" t="s">
        <v>70</v>
      </c>
      <c r="K603" s="1" t="s">
        <v>71</v>
      </c>
      <c r="L603" s="1" t="s">
        <v>37</v>
      </c>
      <c r="M603" s="1" t="s">
        <v>62</v>
      </c>
      <c r="N603" s="1" t="n">
        <v>24999</v>
      </c>
      <c r="O603" s="1" t="n">
        <v>40</v>
      </c>
      <c r="P603" s="1" t="n">
        <v>9999.6</v>
      </c>
      <c r="Q603" s="1" t="n">
        <v>14999.4</v>
      </c>
      <c r="R603" s="1" t="n">
        <v>2699.89</v>
      </c>
      <c r="S603" s="1" t="n">
        <v>12299.51</v>
      </c>
      <c r="T603" s="1" t="n">
        <v>6031.6</v>
      </c>
      <c r="U603" s="1" t="n">
        <v>6267.91</v>
      </c>
      <c r="V603" s="1" t="n">
        <v>50.96</v>
      </c>
      <c r="W603" s="1" t="s">
        <v>39</v>
      </c>
      <c r="X603" s="1" t="n">
        <v>3.3</v>
      </c>
      <c r="Y603" s="1" t="s">
        <v>40</v>
      </c>
      <c r="Z603" s="1" t="n">
        <v>0</v>
      </c>
    </row>
    <row r="604" customFormat="false" ht="15" hidden="false" customHeight="true" outlineLevel="0" collapsed="false">
      <c r="A604" s="1" t="s">
        <v>1187</v>
      </c>
      <c r="B604" s="1" t="s">
        <v>1188</v>
      </c>
      <c r="C604" s="1" t="s">
        <v>249</v>
      </c>
      <c r="D604" s="1" t="s">
        <v>123</v>
      </c>
      <c r="E604" s="1" t="s">
        <v>233</v>
      </c>
      <c r="F604" s="1" t="s">
        <v>31</v>
      </c>
      <c r="G604" s="1" t="s">
        <v>32</v>
      </c>
      <c r="H604" s="1" t="s">
        <v>33</v>
      </c>
      <c r="I604" s="1" t="s">
        <v>83</v>
      </c>
      <c r="J604" s="1" t="s">
        <v>70</v>
      </c>
      <c r="K604" s="1" t="s">
        <v>48</v>
      </c>
      <c r="L604" s="1" t="s">
        <v>113</v>
      </c>
      <c r="M604" s="1" t="s">
        <v>38</v>
      </c>
      <c r="N604" s="1" t="n">
        <v>8999</v>
      </c>
      <c r="O604" s="1" t="n">
        <v>0</v>
      </c>
      <c r="P604" s="1" t="n">
        <v>0</v>
      </c>
      <c r="Q604" s="1" t="n">
        <v>8999</v>
      </c>
      <c r="R604" s="1" t="n">
        <v>1619.82</v>
      </c>
      <c r="S604" s="1" t="n">
        <v>7379.18</v>
      </c>
      <c r="T604" s="1" t="n">
        <v>3480.67</v>
      </c>
      <c r="U604" s="1" t="n">
        <v>3898.51</v>
      </c>
      <c r="V604" s="1" t="n">
        <v>52.83</v>
      </c>
      <c r="W604" s="1" t="s">
        <v>40</v>
      </c>
      <c r="Y604" s="1" t="s">
        <v>40</v>
      </c>
      <c r="Z604" s="1" t="n">
        <v>1</v>
      </c>
    </row>
    <row r="605" customFormat="false" ht="15" hidden="false" customHeight="true" outlineLevel="0" collapsed="false">
      <c r="A605" s="1" t="s">
        <v>1189</v>
      </c>
      <c r="B605" s="1" t="s">
        <v>382</v>
      </c>
      <c r="C605" s="1" t="s">
        <v>119</v>
      </c>
      <c r="D605" s="1" t="s">
        <v>44</v>
      </c>
      <c r="E605" s="1" t="s">
        <v>45</v>
      </c>
      <c r="F605" s="1" t="s">
        <v>75</v>
      </c>
      <c r="G605" s="1" t="s">
        <v>76</v>
      </c>
      <c r="H605" s="1" t="s">
        <v>69</v>
      </c>
      <c r="I605" s="1" t="s">
        <v>83</v>
      </c>
      <c r="J605" s="1" t="s">
        <v>35</v>
      </c>
      <c r="K605" s="1" t="s">
        <v>48</v>
      </c>
      <c r="L605" s="1" t="s">
        <v>136</v>
      </c>
      <c r="M605" s="1" t="s">
        <v>50</v>
      </c>
      <c r="N605" s="1" t="n">
        <v>11999</v>
      </c>
      <c r="O605" s="1" t="n">
        <v>15</v>
      </c>
      <c r="P605" s="1" t="n">
        <v>1799.85</v>
      </c>
      <c r="Q605" s="1" t="n">
        <v>10199.15</v>
      </c>
      <c r="R605" s="1" t="n">
        <v>1835.85</v>
      </c>
      <c r="S605" s="1" t="n">
        <v>8363.3</v>
      </c>
      <c r="T605" s="1" t="n">
        <v>3170.12</v>
      </c>
      <c r="U605" s="1" t="n">
        <v>5193.18</v>
      </c>
      <c r="V605" s="1" t="n">
        <v>62.09</v>
      </c>
      <c r="W605" s="1" t="s">
        <v>39</v>
      </c>
      <c r="Y605" s="1" t="s">
        <v>39</v>
      </c>
      <c r="Z605" s="1" t="n">
        <v>0</v>
      </c>
    </row>
    <row r="606" customFormat="false" ht="15" hidden="false" customHeight="true" outlineLevel="0" collapsed="false">
      <c r="A606" s="1" t="s">
        <v>1190</v>
      </c>
      <c r="B606" s="1" t="s">
        <v>766</v>
      </c>
      <c r="C606" s="1" t="s">
        <v>28</v>
      </c>
      <c r="D606" s="1" t="s">
        <v>53</v>
      </c>
      <c r="E606" s="1" t="s">
        <v>54</v>
      </c>
      <c r="F606" s="1" t="s">
        <v>107</v>
      </c>
      <c r="G606" s="1" t="s">
        <v>108</v>
      </c>
      <c r="H606" s="1" t="s">
        <v>33</v>
      </c>
      <c r="I606" s="1" t="s">
        <v>34</v>
      </c>
      <c r="J606" s="1" t="s">
        <v>70</v>
      </c>
      <c r="K606" s="1" t="s">
        <v>71</v>
      </c>
      <c r="L606" s="1" t="s">
        <v>37</v>
      </c>
      <c r="M606" s="1" t="s">
        <v>38</v>
      </c>
      <c r="N606" s="1" t="n">
        <v>11999</v>
      </c>
      <c r="O606" s="1" t="n">
        <v>0</v>
      </c>
      <c r="P606" s="1" t="n">
        <v>0</v>
      </c>
      <c r="Q606" s="1" t="n">
        <v>11999</v>
      </c>
      <c r="R606" s="1" t="n">
        <v>2159.82</v>
      </c>
      <c r="S606" s="1" t="n">
        <v>9839.18</v>
      </c>
      <c r="T606" s="1" t="n">
        <v>4340.58</v>
      </c>
      <c r="U606" s="1" t="n">
        <v>5498.6</v>
      </c>
      <c r="V606" s="1" t="n">
        <v>55.88</v>
      </c>
      <c r="W606" s="1" t="s">
        <v>39</v>
      </c>
      <c r="X606" s="1" t="n">
        <v>3</v>
      </c>
      <c r="Y606" s="1" t="s">
        <v>40</v>
      </c>
      <c r="Z606" s="1" t="n">
        <v>0</v>
      </c>
    </row>
    <row r="607" customFormat="false" ht="15" hidden="false" customHeight="true" outlineLevel="0" collapsed="false">
      <c r="A607" s="1" t="s">
        <v>1191</v>
      </c>
      <c r="B607" s="1" t="s">
        <v>620</v>
      </c>
      <c r="C607" s="1" t="s">
        <v>134</v>
      </c>
      <c r="D607" s="1" t="s">
        <v>94</v>
      </c>
      <c r="E607" s="1" t="s">
        <v>135</v>
      </c>
      <c r="F607" s="1" t="s">
        <v>156</v>
      </c>
      <c r="G607" s="1" t="s">
        <v>68</v>
      </c>
      <c r="H607" s="1" t="s">
        <v>57</v>
      </c>
      <c r="I607" s="1" t="s">
        <v>34</v>
      </c>
      <c r="J607" s="1" t="s">
        <v>70</v>
      </c>
      <c r="K607" s="1" t="s">
        <v>112</v>
      </c>
      <c r="L607" s="1" t="s">
        <v>49</v>
      </c>
      <c r="M607" s="1" t="s">
        <v>50</v>
      </c>
      <c r="N607" s="1" t="n">
        <v>9999</v>
      </c>
      <c r="O607" s="1" t="n">
        <v>5</v>
      </c>
      <c r="P607" s="1" t="n">
        <v>499.95</v>
      </c>
      <c r="Q607" s="1" t="n">
        <v>9499.05</v>
      </c>
      <c r="R607" s="1" t="n">
        <v>1709.83</v>
      </c>
      <c r="S607" s="1" t="n">
        <v>7789.22</v>
      </c>
      <c r="T607" s="1" t="n">
        <v>3950.63</v>
      </c>
      <c r="U607" s="1" t="n">
        <v>3838.59</v>
      </c>
      <c r="V607" s="1" t="n">
        <v>49.28</v>
      </c>
      <c r="W607" s="1" t="s">
        <v>39</v>
      </c>
      <c r="Y607" s="1" t="s">
        <v>40</v>
      </c>
      <c r="Z607" s="1" t="n">
        <v>0</v>
      </c>
    </row>
    <row r="608" customFormat="false" ht="15" hidden="false" customHeight="true" outlineLevel="0" collapsed="false">
      <c r="A608" s="1" t="s">
        <v>1192</v>
      </c>
      <c r="B608" s="1" t="s">
        <v>825</v>
      </c>
      <c r="C608" s="1" t="s">
        <v>128</v>
      </c>
      <c r="D608" s="1" t="s">
        <v>123</v>
      </c>
      <c r="E608" s="1" t="s">
        <v>124</v>
      </c>
      <c r="F608" s="1" t="s">
        <v>75</v>
      </c>
      <c r="G608" s="1" t="s">
        <v>76</v>
      </c>
      <c r="H608" s="1" t="s">
        <v>69</v>
      </c>
      <c r="I608" s="1" t="s">
        <v>34</v>
      </c>
      <c r="J608" s="1" t="s">
        <v>35</v>
      </c>
      <c r="K608" s="1" t="s">
        <v>60</v>
      </c>
      <c r="L608" s="1" t="s">
        <v>37</v>
      </c>
      <c r="M608" s="1" t="s">
        <v>50</v>
      </c>
      <c r="N608" s="1" t="n">
        <v>4999</v>
      </c>
      <c r="O608" s="1" t="n">
        <v>0</v>
      </c>
      <c r="P608" s="1" t="n">
        <v>0</v>
      </c>
      <c r="Q608" s="1" t="n">
        <v>4999</v>
      </c>
      <c r="R608" s="1" t="n">
        <v>899.82</v>
      </c>
      <c r="S608" s="1" t="n">
        <v>4099.18</v>
      </c>
      <c r="T608" s="1" t="n">
        <v>2129.68</v>
      </c>
      <c r="U608" s="1" t="n">
        <v>1969.5</v>
      </c>
      <c r="V608" s="1" t="n">
        <v>48.05</v>
      </c>
      <c r="W608" s="1" t="s">
        <v>39</v>
      </c>
      <c r="X608" s="1" t="n">
        <v>3.7</v>
      </c>
      <c r="Y608" s="1" t="s">
        <v>40</v>
      </c>
      <c r="Z608" s="1" t="n">
        <v>0</v>
      </c>
    </row>
    <row r="609" customFormat="false" ht="15" hidden="false" customHeight="true" outlineLevel="0" collapsed="false">
      <c r="A609" s="1" t="s">
        <v>1193</v>
      </c>
      <c r="B609" s="1" t="s">
        <v>487</v>
      </c>
      <c r="C609" s="1" t="s">
        <v>119</v>
      </c>
      <c r="D609" s="1" t="s">
        <v>168</v>
      </c>
      <c r="E609" s="1" t="s">
        <v>328</v>
      </c>
      <c r="F609" s="1" t="s">
        <v>156</v>
      </c>
      <c r="G609" s="1" t="s">
        <v>68</v>
      </c>
      <c r="H609" s="1" t="s">
        <v>57</v>
      </c>
      <c r="I609" s="1" t="s">
        <v>83</v>
      </c>
      <c r="J609" s="1" t="s">
        <v>77</v>
      </c>
      <c r="K609" s="1" t="s">
        <v>48</v>
      </c>
      <c r="L609" s="1" t="s">
        <v>61</v>
      </c>
      <c r="M609" s="1" t="s">
        <v>62</v>
      </c>
      <c r="N609" s="1" t="n">
        <v>8999</v>
      </c>
      <c r="O609" s="1" t="n">
        <v>10</v>
      </c>
      <c r="P609" s="1" t="n">
        <v>899.9</v>
      </c>
      <c r="Q609" s="1" t="n">
        <v>8099.1</v>
      </c>
      <c r="R609" s="1" t="n">
        <v>1457.84</v>
      </c>
      <c r="S609" s="1" t="n">
        <v>6641.26</v>
      </c>
      <c r="T609" s="1" t="n">
        <v>3145.55</v>
      </c>
      <c r="U609" s="1" t="n">
        <v>3495.71</v>
      </c>
      <c r="V609" s="1" t="n">
        <v>52.64</v>
      </c>
      <c r="W609" s="1" t="s">
        <v>39</v>
      </c>
      <c r="X609" s="1" t="n">
        <v>3.3</v>
      </c>
      <c r="Y609" s="1" t="s">
        <v>40</v>
      </c>
      <c r="Z609" s="1" t="n">
        <v>0</v>
      </c>
    </row>
    <row r="610" customFormat="false" ht="15" hidden="false" customHeight="true" outlineLevel="0" collapsed="false">
      <c r="A610" s="1" t="s">
        <v>1194</v>
      </c>
      <c r="B610" s="1" t="s">
        <v>378</v>
      </c>
      <c r="C610" s="1" t="s">
        <v>93</v>
      </c>
      <c r="D610" s="1" t="s">
        <v>123</v>
      </c>
      <c r="E610" s="1" t="s">
        <v>233</v>
      </c>
      <c r="F610" s="1" t="s">
        <v>96</v>
      </c>
      <c r="G610" s="1" t="s">
        <v>97</v>
      </c>
      <c r="H610" s="1" t="s">
        <v>69</v>
      </c>
      <c r="I610" s="1" t="s">
        <v>83</v>
      </c>
      <c r="J610" s="1" t="s">
        <v>35</v>
      </c>
      <c r="K610" s="1" t="s">
        <v>90</v>
      </c>
      <c r="L610" s="1" t="s">
        <v>61</v>
      </c>
      <c r="M610" s="1" t="s">
        <v>50</v>
      </c>
      <c r="N610" s="1" t="n">
        <v>8999</v>
      </c>
      <c r="O610" s="1" t="n">
        <v>0</v>
      </c>
      <c r="P610" s="1" t="n">
        <v>0</v>
      </c>
      <c r="Q610" s="1" t="n">
        <v>8999</v>
      </c>
      <c r="R610" s="1" t="n">
        <v>1619.82</v>
      </c>
      <c r="S610" s="1" t="n">
        <v>7379.18</v>
      </c>
      <c r="T610" s="1" t="n">
        <v>2956.08</v>
      </c>
      <c r="U610" s="1" t="n">
        <v>4423.1</v>
      </c>
      <c r="V610" s="1" t="n">
        <v>59.94</v>
      </c>
      <c r="W610" s="1" t="s">
        <v>39</v>
      </c>
      <c r="X610" s="1" t="n">
        <v>3.9</v>
      </c>
      <c r="Y610" s="1" t="s">
        <v>40</v>
      </c>
      <c r="Z610" s="1" t="n">
        <v>0</v>
      </c>
    </row>
    <row r="611" customFormat="false" ht="15" hidden="false" customHeight="true" outlineLevel="0" collapsed="false">
      <c r="A611" s="1" t="s">
        <v>1195</v>
      </c>
      <c r="B611" s="1" t="s">
        <v>1196</v>
      </c>
      <c r="C611" s="1" t="s">
        <v>100</v>
      </c>
      <c r="D611" s="1" t="s">
        <v>80</v>
      </c>
      <c r="E611" s="1" t="s">
        <v>175</v>
      </c>
      <c r="F611" s="1" t="s">
        <v>184</v>
      </c>
      <c r="G611" s="1" t="s">
        <v>56</v>
      </c>
      <c r="H611" s="1" t="s">
        <v>57</v>
      </c>
      <c r="I611" s="1" t="s">
        <v>83</v>
      </c>
      <c r="J611" s="1" t="s">
        <v>70</v>
      </c>
      <c r="K611" s="1" t="s">
        <v>48</v>
      </c>
      <c r="L611" s="1" t="s">
        <v>37</v>
      </c>
      <c r="M611" s="1" t="s">
        <v>38</v>
      </c>
      <c r="N611" s="1" t="n">
        <v>19999</v>
      </c>
      <c r="O611" s="1" t="n">
        <v>20</v>
      </c>
      <c r="P611" s="1" t="n">
        <v>3999.8</v>
      </c>
      <c r="Q611" s="1" t="n">
        <v>15999.2</v>
      </c>
      <c r="R611" s="1" t="n">
        <v>2879.86</v>
      </c>
      <c r="S611" s="1" t="n">
        <v>13119.34</v>
      </c>
      <c r="T611" s="1" t="n">
        <v>6266.69</v>
      </c>
      <c r="U611" s="1" t="n">
        <v>6852.65</v>
      </c>
      <c r="V611" s="1" t="n">
        <v>52.23</v>
      </c>
      <c r="W611" s="1" t="s">
        <v>39</v>
      </c>
      <c r="X611" s="1" t="n">
        <v>3.9</v>
      </c>
      <c r="Y611" s="1" t="s">
        <v>40</v>
      </c>
      <c r="Z611" s="1" t="n">
        <v>1</v>
      </c>
    </row>
    <row r="612" customFormat="false" ht="15" hidden="false" customHeight="true" outlineLevel="0" collapsed="false">
      <c r="A612" s="1" t="s">
        <v>1197</v>
      </c>
      <c r="B612" s="1" t="s">
        <v>1198</v>
      </c>
      <c r="C612" s="1" t="s">
        <v>128</v>
      </c>
      <c r="D612" s="1" t="s">
        <v>123</v>
      </c>
      <c r="E612" s="1" t="s">
        <v>233</v>
      </c>
      <c r="F612" s="1" t="s">
        <v>205</v>
      </c>
      <c r="G612" s="1" t="s">
        <v>56</v>
      </c>
      <c r="H612" s="1" t="s">
        <v>69</v>
      </c>
      <c r="I612" s="1" t="s">
        <v>58</v>
      </c>
      <c r="J612" s="1" t="s">
        <v>70</v>
      </c>
      <c r="K612" s="1" t="s">
        <v>60</v>
      </c>
      <c r="L612" s="1" t="s">
        <v>85</v>
      </c>
      <c r="M612" s="1" t="s">
        <v>62</v>
      </c>
      <c r="N612" s="1" t="n">
        <v>8999</v>
      </c>
      <c r="O612" s="1" t="n">
        <v>5</v>
      </c>
      <c r="P612" s="1" t="n">
        <v>449.95</v>
      </c>
      <c r="Q612" s="1" t="n">
        <v>8549.05</v>
      </c>
      <c r="R612" s="1" t="n">
        <v>1538.83</v>
      </c>
      <c r="S612" s="1" t="n">
        <v>7010.22</v>
      </c>
      <c r="T612" s="1" t="n">
        <v>3084.21</v>
      </c>
      <c r="U612" s="1" t="n">
        <v>3926.01</v>
      </c>
      <c r="V612" s="1" t="n">
        <v>56</v>
      </c>
      <c r="W612" s="1" t="s">
        <v>39</v>
      </c>
      <c r="X612" s="1" t="n">
        <v>3.3</v>
      </c>
      <c r="Y612" s="1" t="s">
        <v>39</v>
      </c>
      <c r="Z612" s="1" t="n">
        <v>0</v>
      </c>
    </row>
    <row r="613" customFormat="false" ht="15" hidden="false" customHeight="true" outlineLevel="0" collapsed="false">
      <c r="A613" s="1" t="s">
        <v>1199</v>
      </c>
      <c r="B613" s="1" t="s">
        <v>1200</v>
      </c>
      <c r="C613" s="1" t="s">
        <v>65</v>
      </c>
      <c r="D613" s="1" t="s">
        <v>123</v>
      </c>
      <c r="E613" s="1" t="s">
        <v>124</v>
      </c>
      <c r="F613" s="1" t="s">
        <v>244</v>
      </c>
      <c r="G613" s="1" t="s">
        <v>97</v>
      </c>
      <c r="H613" s="1" t="s">
        <v>57</v>
      </c>
      <c r="I613" s="1" t="s">
        <v>58</v>
      </c>
      <c r="J613" s="1" t="s">
        <v>77</v>
      </c>
      <c r="K613" s="1" t="s">
        <v>90</v>
      </c>
      <c r="L613" s="1" t="s">
        <v>113</v>
      </c>
      <c r="M613" s="1" t="s">
        <v>62</v>
      </c>
      <c r="N613" s="1" t="n">
        <v>4999</v>
      </c>
      <c r="O613" s="1" t="n">
        <v>30</v>
      </c>
      <c r="P613" s="1" t="n">
        <v>1499.7</v>
      </c>
      <c r="Q613" s="1" t="n">
        <v>3499.3</v>
      </c>
      <c r="R613" s="1" t="n">
        <v>629.87</v>
      </c>
      <c r="S613" s="1" t="n">
        <v>2869.43</v>
      </c>
      <c r="T613" s="1" t="n">
        <v>1348.29</v>
      </c>
      <c r="U613" s="1" t="n">
        <v>1521.14</v>
      </c>
      <c r="V613" s="1" t="n">
        <v>53.01</v>
      </c>
      <c r="W613" s="1" t="s">
        <v>39</v>
      </c>
      <c r="X613" s="1" t="n">
        <v>3.2</v>
      </c>
      <c r="Y613" s="1" t="s">
        <v>40</v>
      </c>
      <c r="Z613" s="1" t="n">
        <v>1</v>
      </c>
    </row>
    <row r="614" customFormat="false" ht="15" hidden="false" customHeight="true" outlineLevel="0" collapsed="false">
      <c r="A614" s="1" t="s">
        <v>1201</v>
      </c>
      <c r="B614" s="1" t="s">
        <v>164</v>
      </c>
      <c r="C614" s="1" t="s">
        <v>134</v>
      </c>
      <c r="D614" s="1" t="s">
        <v>53</v>
      </c>
      <c r="E614" s="1" t="s">
        <v>54</v>
      </c>
      <c r="F614" s="1" t="s">
        <v>205</v>
      </c>
      <c r="G614" s="1" t="s">
        <v>56</v>
      </c>
      <c r="H614" s="1" t="s">
        <v>69</v>
      </c>
      <c r="I614" s="1" t="s">
        <v>83</v>
      </c>
      <c r="J614" s="1" t="s">
        <v>131</v>
      </c>
      <c r="K614" s="1" t="s">
        <v>48</v>
      </c>
      <c r="L614" s="1" t="s">
        <v>49</v>
      </c>
      <c r="M614" s="1" t="s">
        <v>50</v>
      </c>
      <c r="N614" s="1" t="n">
        <v>11999</v>
      </c>
      <c r="O614" s="1" t="n">
        <v>25</v>
      </c>
      <c r="P614" s="1" t="n">
        <v>2999.75</v>
      </c>
      <c r="Q614" s="1" t="n">
        <v>8999.25</v>
      </c>
      <c r="R614" s="1" t="n">
        <v>1619.87</v>
      </c>
      <c r="S614" s="1" t="n">
        <v>7379.38</v>
      </c>
      <c r="T614" s="1" t="n">
        <v>2747.64</v>
      </c>
      <c r="U614" s="1" t="n">
        <v>4631.74</v>
      </c>
      <c r="V614" s="1" t="n">
        <v>62.77</v>
      </c>
      <c r="W614" s="1" t="s">
        <v>40</v>
      </c>
      <c r="Y614" s="1" t="s">
        <v>40</v>
      </c>
      <c r="Z614" s="1" t="n">
        <v>0</v>
      </c>
    </row>
    <row r="615" customFormat="false" ht="15" hidden="false" customHeight="true" outlineLevel="0" collapsed="false">
      <c r="A615" s="1" t="s">
        <v>1202</v>
      </c>
      <c r="B615" s="1" t="s">
        <v>1203</v>
      </c>
      <c r="C615" s="1" t="s">
        <v>88</v>
      </c>
      <c r="D615" s="1" t="s">
        <v>44</v>
      </c>
      <c r="E615" s="1" t="s">
        <v>66</v>
      </c>
      <c r="F615" s="1" t="s">
        <v>474</v>
      </c>
      <c r="G615" s="1" t="s">
        <v>108</v>
      </c>
      <c r="H615" s="1" t="s">
        <v>69</v>
      </c>
      <c r="I615" s="1" t="s">
        <v>83</v>
      </c>
      <c r="J615" s="1" t="s">
        <v>70</v>
      </c>
      <c r="K615" s="1" t="s">
        <v>48</v>
      </c>
      <c r="L615" s="1" t="s">
        <v>49</v>
      </c>
      <c r="M615" s="1" t="s">
        <v>62</v>
      </c>
      <c r="N615" s="1" t="n">
        <v>12999</v>
      </c>
      <c r="O615" s="1" t="n">
        <v>5</v>
      </c>
      <c r="P615" s="1" t="n">
        <v>649.95</v>
      </c>
      <c r="Q615" s="1" t="n">
        <v>12349.05</v>
      </c>
      <c r="R615" s="1" t="n">
        <v>2222.83</v>
      </c>
      <c r="S615" s="1" t="n">
        <v>10126.22</v>
      </c>
      <c r="T615" s="1" t="n">
        <v>4084.84</v>
      </c>
      <c r="U615" s="1" t="n">
        <v>6041.38</v>
      </c>
      <c r="V615" s="1" t="n">
        <v>59.66</v>
      </c>
      <c r="W615" s="1" t="s">
        <v>40</v>
      </c>
      <c r="Y615" s="1" t="s">
        <v>40</v>
      </c>
      <c r="Z615" s="1" t="n">
        <v>0</v>
      </c>
    </row>
    <row r="616" customFormat="false" ht="15" hidden="false" customHeight="true" outlineLevel="0" collapsed="false">
      <c r="A616" s="1" t="s">
        <v>1204</v>
      </c>
      <c r="B616" s="1" t="s">
        <v>1205</v>
      </c>
      <c r="C616" s="1" t="s">
        <v>128</v>
      </c>
      <c r="D616" s="1" t="s">
        <v>143</v>
      </c>
      <c r="E616" s="1" t="s">
        <v>210</v>
      </c>
      <c r="F616" s="1" t="s">
        <v>89</v>
      </c>
      <c r="G616" s="1" t="s">
        <v>68</v>
      </c>
      <c r="H616" s="1" t="s">
        <v>33</v>
      </c>
      <c r="I616" s="1" t="s">
        <v>58</v>
      </c>
      <c r="J616" s="1" t="s">
        <v>59</v>
      </c>
      <c r="K616" s="1" t="s">
        <v>48</v>
      </c>
      <c r="L616" s="1" t="s">
        <v>49</v>
      </c>
      <c r="M616" s="1" t="s">
        <v>50</v>
      </c>
      <c r="N616" s="1" t="n">
        <v>18999</v>
      </c>
      <c r="O616" s="1" t="n">
        <v>0</v>
      </c>
      <c r="P616" s="1" t="n">
        <v>0</v>
      </c>
      <c r="Q616" s="1" t="n">
        <v>18999</v>
      </c>
      <c r="R616" s="1" t="n">
        <v>3419.82</v>
      </c>
      <c r="S616" s="1" t="n">
        <v>15579.18</v>
      </c>
      <c r="T616" s="1" t="n">
        <v>8391.49</v>
      </c>
      <c r="U616" s="1" t="n">
        <v>7187.69</v>
      </c>
      <c r="V616" s="1" t="n">
        <v>46.14</v>
      </c>
      <c r="W616" s="1" t="s">
        <v>39</v>
      </c>
      <c r="X616" s="1" t="n">
        <v>3.2</v>
      </c>
      <c r="Y616" s="1" t="s">
        <v>40</v>
      </c>
      <c r="Z616" s="1" t="n">
        <v>0</v>
      </c>
    </row>
    <row r="617" customFormat="false" ht="15" hidden="false" customHeight="true" outlineLevel="0" collapsed="false">
      <c r="A617" s="1" t="s">
        <v>1206</v>
      </c>
      <c r="B617" s="1" t="s">
        <v>1207</v>
      </c>
      <c r="C617" s="1" t="s">
        <v>119</v>
      </c>
      <c r="D617" s="1" t="s">
        <v>168</v>
      </c>
      <c r="E617" s="1" t="s">
        <v>172</v>
      </c>
      <c r="F617" s="1" t="s">
        <v>75</v>
      </c>
      <c r="G617" s="1" t="s">
        <v>76</v>
      </c>
      <c r="H617" s="1" t="s">
        <v>69</v>
      </c>
      <c r="I617" s="1" t="s">
        <v>83</v>
      </c>
      <c r="J617" s="1" t="s">
        <v>131</v>
      </c>
      <c r="K617" s="1" t="s">
        <v>90</v>
      </c>
      <c r="L617" s="1" t="s">
        <v>49</v>
      </c>
      <c r="M617" s="1" t="s">
        <v>38</v>
      </c>
      <c r="N617" s="1" t="n">
        <v>6999</v>
      </c>
      <c r="O617" s="1" t="n">
        <v>20</v>
      </c>
      <c r="P617" s="1" t="n">
        <v>1399.8</v>
      </c>
      <c r="Q617" s="1" t="n">
        <v>5599.2</v>
      </c>
      <c r="R617" s="1" t="n">
        <v>1007.86</v>
      </c>
      <c r="S617" s="1" t="n">
        <v>4591.34</v>
      </c>
      <c r="T617" s="1" t="n">
        <v>1686.99</v>
      </c>
      <c r="U617" s="1" t="n">
        <v>2904.35</v>
      </c>
      <c r="V617" s="1" t="n">
        <v>63.26</v>
      </c>
      <c r="W617" s="1" t="s">
        <v>39</v>
      </c>
      <c r="Y617" s="1" t="s">
        <v>40</v>
      </c>
      <c r="Z617" s="1" t="n">
        <v>0</v>
      </c>
    </row>
    <row r="618" customFormat="false" ht="15" hidden="false" customHeight="true" outlineLevel="0" collapsed="false">
      <c r="A618" s="1" t="s">
        <v>1208</v>
      </c>
      <c r="B618" s="1" t="s">
        <v>849</v>
      </c>
      <c r="C618" s="1" t="s">
        <v>119</v>
      </c>
      <c r="D618" s="1" t="s">
        <v>168</v>
      </c>
      <c r="E618" s="1" t="s">
        <v>328</v>
      </c>
      <c r="F618" s="1" t="s">
        <v>120</v>
      </c>
      <c r="G618" s="1" t="s">
        <v>47</v>
      </c>
      <c r="H618" s="1" t="s">
        <v>57</v>
      </c>
      <c r="I618" s="1" t="s">
        <v>58</v>
      </c>
      <c r="J618" s="1" t="s">
        <v>77</v>
      </c>
      <c r="K618" s="1" t="s">
        <v>112</v>
      </c>
      <c r="L618" s="1" t="s">
        <v>49</v>
      </c>
      <c r="M618" s="1" t="s">
        <v>38</v>
      </c>
      <c r="N618" s="1" t="n">
        <v>8999</v>
      </c>
      <c r="O618" s="1" t="n">
        <v>20</v>
      </c>
      <c r="P618" s="1" t="n">
        <v>1799.8</v>
      </c>
      <c r="Q618" s="1" t="n">
        <v>7199.2</v>
      </c>
      <c r="R618" s="1" t="n">
        <v>1295.86</v>
      </c>
      <c r="S618" s="1" t="n">
        <v>5903.34</v>
      </c>
      <c r="T618" s="1" t="n">
        <v>2391.3</v>
      </c>
      <c r="U618" s="1" t="n">
        <v>3512.04</v>
      </c>
      <c r="V618" s="1" t="n">
        <v>59.49</v>
      </c>
      <c r="W618" s="1" t="s">
        <v>39</v>
      </c>
      <c r="X618" s="1" t="n">
        <v>3.8</v>
      </c>
      <c r="Y618" s="1" t="s">
        <v>40</v>
      </c>
      <c r="Z618" s="1" t="n">
        <v>1</v>
      </c>
    </row>
    <row r="619" customFormat="false" ht="15" hidden="false" customHeight="true" outlineLevel="0" collapsed="false">
      <c r="A619" s="1" t="s">
        <v>1209</v>
      </c>
      <c r="B619" s="1" t="s">
        <v>1210</v>
      </c>
      <c r="C619" s="1" t="s">
        <v>74</v>
      </c>
      <c r="D619" s="1" t="s">
        <v>94</v>
      </c>
      <c r="E619" s="1" t="s">
        <v>95</v>
      </c>
      <c r="F619" s="1" t="s">
        <v>82</v>
      </c>
      <c r="G619" s="1" t="s">
        <v>56</v>
      </c>
      <c r="H619" s="1" t="s">
        <v>69</v>
      </c>
      <c r="I619" s="1" t="s">
        <v>83</v>
      </c>
      <c r="J619" s="1" t="s">
        <v>70</v>
      </c>
      <c r="K619" s="1" t="s">
        <v>112</v>
      </c>
      <c r="L619" s="1" t="s">
        <v>136</v>
      </c>
      <c r="M619" s="1" t="s">
        <v>62</v>
      </c>
      <c r="N619" s="1" t="n">
        <v>6999</v>
      </c>
      <c r="O619" s="1" t="n">
        <v>0</v>
      </c>
      <c r="P619" s="1" t="n">
        <v>0</v>
      </c>
      <c r="Q619" s="1" t="n">
        <v>6999</v>
      </c>
      <c r="R619" s="1" t="n">
        <v>1259.82</v>
      </c>
      <c r="S619" s="1" t="n">
        <v>5739.18</v>
      </c>
      <c r="T619" s="1" t="n">
        <v>2179.92</v>
      </c>
      <c r="U619" s="1" t="n">
        <v>3559.26</v>
      </c>
      <c r="V619" s="1" t="n">
        <v>62.02</v>
      </c>
      <c r="W619" s="1" t="s">
        <v>39</v>
      </c>
      <c r="X619" s="1" t="n">
        <v>3.3</v>
      </c>
      <c r="Y619" s="1" t="s">
        <v>40</v>
      </c>
      <c r="Z619" s="1" t="n">
        <v>1</v>
      </c>
    </row>
    <row r="620" customFormat="false" ht="15" hidden="false" customHeight="true" outlineLevel="0" collapsed="false">
      <c r="A620" s="1" t="s">
        <v>1211</v>
      </c>
      <c r="B620" s="1" t="s">
        <v>1212</v>
      </c>
      <c r="C620" s="1" t="s">
        <v>134</v>
      </c>
      <c r="D620" s="1" t="s">
        <v>29</v>
      </c>
      <c r="E620" s="1" t="s">
        <v>129</v>
      </c>
      <c r="F620" s="1" t="s">
        <v>1213</v>
      </c>
      <c r="G620" s="1" t="s">
        <v>47</v>
      </c>
      <c r="H620" s="1" t="s">
        <v>57</v>
      </c>
      <c r="I620" s="1" t="s">
        <v>34</v>
      </c>
      <c r="J620" s="1" t="s">
        <v>77</v>
      </c>
      <c r="K620" s="1" t="s">
        <v>90</v>
      </c>
      <c r="L620" s="1" t="s">
        <v>37</v>
      </c>
      <c r="M620" s="1" t="s">
        <v>38</v>
      </c>
      <c r="N620" s="1" t="n">
        <v>29999</v>
      </c>
      <c r="O620" s="1" t="n">
        <v>50</v>
      </c>
      <c r="P620" s="1" t="n">
        <v>14999.5</v>
      </c>
      <c r="Q620" s="1" t="n">
        <v>14999.5</v>
      </c>
      <c r="R620" s="1" t="n">
        <v>2699.91</v>
      </c>
      <c r="S620" s="1" t="n">
        <v>12299.59</v>
      </c>
      <c r="T620" s="1" t="n">
        <v>7953.74</v>
      </c>
      <c r="U620" s="1" t="n">
        <v>4345.85</v>
      </c>
      <c r="V620" s="1" t="n">
        <v>35.33</v>
      </c>
      <c r="W620" s="1" t="s">
        <v>40</v>
      </c>
      <c r="Y620" s="1" t="s">
        <v>40</v>
      </c>
      <c r="Z620" s="1" t="n">
        <v>2</v>
      </c>
    </row>
    <row r="621" customFormat="false" ht="15" hidden="false" customHeight="true" outlineLevel="0" collapsed="false">
      <c r="A621" s="1" t="s">
        <v>1214</v>
      </c>
      <c r="B621" s="1" t="s">
        <v>1215</v>
      </c>
      <c r="C621" s="1" t="s">
        <v>134</v>
      </c>
      <c r="D621" s="1" t="s">
        <v>123</v>
      </c>
      <c r="E621" s="1" t="s">
        <v>147</v>
      </c>
      <c r="F621" s="1" t="s">
        <v>82</v>
      </c>
      <c r="G621" s="1" t="s">
        <v>56</v>
      </c>
      <c r="H621" s="1" t="s">
        <v>69</v>
      </c>
      <c r="I621" s="1" t="s">
        <v>58</v>
      </c>
      <c r="J621" s="1" t="s">
        <v>70</v>
      </c>
      <c r="K621" s="1" t="s">
        <v>104</v>
      </c>
      <c r="L621" s="1" t="s">
        <v>85</v>
      </c>
      <c r="M621" s="1" t="s">
        <v>50</v>
      </c>
      <c r="N621" s="1" t="n">
        <v>6999</v>
      </c>
      <c r="O621" s="1" t="n">
        <v>40</v>
      </c>
      <c r="P621" s="1" t="n">
        <v>2799.6</v>
      </c>
      <c r="Q621" s="1" t="n">
        <v>4199.4</v>
      </c>
      <c r="R621" s="1" t="n">
        <v>755.89</v>
      </c>
      <c r="S621" s="1" t="n">
        <v>3443.51</v>
      </c>
      <c r="T621" s="1" t="n">
        <v>1781.38</v>
      </c>
      <c r="U621" s="1" t="n">
        <v>1662.13</v>
      </c>
      <c r="V621" s="1" t="n">
        <v>48.27</v>
      </c>
      <c r="W621" s="1" t="s">
        <v>40</v>
      </c>
      <c r="Y621" s="1" t="s">
        <v>40</v>
      </c>
      <c r="Z621" s="1" t="n">
        <v>0</v>
      </c>
    </row>
    <row r="622" customFormat="false" ht="15" hidden="false" customHeight="true" outlineLevel="0" collapsed="false">
      <c r="A622" s="1" t="s">
        <v>1216</v>
      </c>
      <c r="B622" s="1" t="s">
        <v>988</v>
      </c>
      <c r="C622" s="1" t="s">
        <v>167</v>
      </c>
      <c r="D622" s="1" t="s">
        <v>143</v>
      </c>
      <c r="E622" s="1" t="s">
        <v>159</v>
      </c>
      <c r="F622" s="1" t="s">
        <v>269</v>
      </c>
      <c r="G622" s="1" t="s">
        <v>108</v>
      </c>
      <c r="H622" s="1" t="s">
        <v>57</v>
      </c>
      <c r="I622" s="1" t="s">
        <v>58</v>
      </c>
      <c r="J622" s="1" t="s">
        <v>77</v>
      </c>
      <c r="K622" s="1" t="s">
        <v>36</v>
      </c>
      <c r="L622" s="1" t="s">
        <v>37</v>
      </c>
      <c r="M622" s="1" t="s">
        <v>50</v>
      </c>
      <c r="N622" s="1" t="n">
        <v>24999</v>
      </c>
      <c r="O622" s="1" t="n">
        <v>5</v>
      </c>
      <c r="P622" s="1" t="n">
        <v>1249.95</v>
      </c>
      <c r="Q622" s="1" t="n">
        <v>23749.05</v>
      </c>
      <c r="R622" s="1" t="n">
        <v>4274.83</v>
      </c>
      <c r="S622" s="1" t="n">
        <v>19474.22</v>
      </c>
      <c r="T622" s="1" t="n">
        <v>11245.4</v>
      </c>
      <c r="U622" s="1" t="n">
        <v>8228.82</v>
      </c>
      <c r="V622" s="1" t="n">
        <v>42.25</v>
      </c>
      <c r="W622" s="1" t="s">
        <v>40</v>
      </c>
      <c r="Y622" s="1" t="s">
        <v>40</v>
      </c>
      <c r="Z622" s="1" t="n">
        <v>0</v>
      </c>
    </row>
    <row r="623" customFormat="false" ht="15" hidden="false" customHeight="true" outlineLevel="0" collapsed="false">
      <c r="A623" s="1" t="s">
        <v>1217</v>
      </c>
      <c r="B623" s="1" t="s">
        <v>885</v>
      </c>
      <c r="C623" s="1" t="s">
        <v>249</v>
      </c>
      <c r="D623" s="1" t="s">
        <v>53</v>
      </c>
      <c r="E623" s="1" t="s">
        <v>54</v>
      </c>
      <c r="F623" s="1" t="s">
        <v>75</v>
      </c>
      <c r="G623" s="1" t="s">
        <v>76</v>
      </c>
      <c r="H623" s="1" t="s">
        <v>69</v>
      </c>
      <c r="I623" s="1" t="s">
        <v>83</v>
      </c>
      <c r="J623" s="1" t="s">
        <v>59</v>
      </c>
      <c r="K623" s="1" t="s">
        <v>90</v>
      </c>
      <c r="L623" s="1" t="s">
        <v>37</v>
      </c>
      <c r="M623" s="1" t="s">
        <v>38</v>
      </c>
      <c r="N623" s="1" t="n">
        <v>11999</v>
      </c>
      <c r="O623" s="1" t="n">
        <v>40</v>
      </c>
      <c r="P623" s="1" t="n">
        <v>4799.6</v>
      </c>
      <c r="Q623" s="1" t="n">
        <v>7199.4</v>
      </c>
      <c r="R623" s="1" t="n">
        <v>1295.89</v>
      </c>
      <c r="S623" s="1" t="n">
        <v>5903.51</v>
      </c>
      <c r="T623" s="1" t="n">
        <v>3164.77</v>
      </c>
      <c r="U623" s="1" t="n">
        <v>2738.74</v>
      </c>
      <c r="V623" s="1" t="n">
        <v>46.39</v>
      </c>
      <c r="W623" s="1" t="s">
        <v>40</v>
      </c>
      <c r="Y623" s="1" t="s">
        <v>40</v>
      </c>
      <c r="Z623" s="1" t="n">
        <v>0</v>
      </c>
    </row>
    <row r="624" customFormat="false" ht="15" hidden="false" customHeight="true" outlineLevel="0" collapsed="false">
      <c r="A624" s="1" t="s">
        <v>1218</v>
      </c>
      <c r="B624" s="1" t="s">
        <v>1219</v>
      </c>
      <c r="C624" s="1" t="s">
        <v>249</v>
      </c>
      <c r="D624" s="1" t="s">
        <v>94</v>
      </c>
      <c r="E624" s="1" t="s">
        <v>101</v>
      </c>
      <c r="F624" s="1" t="s">
        <v>82</v>
      </c>
      <c r="G624" s="1" t="s">
        <v>56</v>
      </c>
      <c r="H624" s="1" t="s">
        <v>69</v>
      </c>
      <c r="I624" s="1" t="s">
        <v>34</v>
      </c>
      <c r="J624" s="1" t="s">
        <v>131</v>
      </c>
      <c r="K624" s="1" t="s">
        <v>36</v>
      </c>
      <c r="L624" s="1" t="s">
        <v>49</v>
      </c>
      <c r="M624" s="1" t="s">
        <v>38</v>
      </c>
      <c r="N624" s="1" t="n">
        <v>14999</v>
      </c>
      <c r="O624" s="1" t="n">
        <v>10</v>
      </c>
      <c r="P624" s="1" t="n">
        <v>1499.9</v>
      </c>
      <c r="Q624" s="1" t="n">
        <v>13499.1</v>
      </c>
      <c r="R624" s="1" t="n">
        <v>2429.84</v>
      </c>
      <c r="S624" s="1" t="n">
        <v>11069.26</v>
      </c>
      <c r="T624" s="1" t="n">
        <v>5281.73</v>
      </c>
      <c r="U624" s="1" t="n">
        <v>5787.53</v>
      </c>
      <c r="V624" s="1" t="n">
        <v>52.28</v>
      </c>
      <c r="W624" s="1" t="s">
        <v>39</v>
      </c>
      <c r="X624" s="1" t="n">
        <v>3.6</v>
      </c>
      <c r="Y624" s="1" t="s">
        <v>39</v>
      </c>
      <c r="Z624" s="1" t="n">
        <v>0</v>
      </c>
    </row>
    <row r="625" customFormat="false" ht="15" hidden="false" customHeight="true" outlineLevel="0" collapsed="false">
      <c r="A625" s="1" t="s">
        <v>1220</v>
      </c>
      <c r="B625" s="1" t="s">
        <v>133</v>
      </c>
      <c r="C625" s="1" t="s">
        <v>119</v>
      </c>
      <c r="D625" s="1" t="s">
        <v>94</v>
      </c>
      <c r="E625" s="1" t="s">
        <v>101</v>
      </c>
      <c r="F625" s="1" t="s">
        <v>156</v>
      </c>
      <c r="G625" s="1" t="s">
        <v>68</v>
      </c>
      <c r="H625" s="1" t="s">
        <v>57</v>
      </c>
      <c r="I625" s="1" t="s">
        <v>83</v>
      </c>
      <c r="J625" s="1" t="s">
        <v>59</v>
      </c>
      <c r="K625" s="1" t="s">
        <v>90</v>
      </c>
      <c r="L625" s="1" t="s">
        <v>49</v>
      </c>
      <c r="M625" s="1" t="s">
        <v>38</v>
      </c>
      <c r="N625" s="1" t="n">
        <v>14999</v>
      </c>
      <c r="O625" s="1" t="n">
        <v>40</v>
      </c>
      <c r="P625" s="1" t="n">
        <v>5999.6</v>
      </c>
      <c r="Q625" s="1" t="n">
        <v>8999.4</v>
      </c>
      <c r="R625" s="1" t="n">
        <v>1619.89</v>
      </c>
      <c r="S625" s="1" t="n">
        <v>7379.51</v>
      </c>
      <c r="T625" s="1" t="n">
        <v>3833.37</v>
      </c>
      <c r="U625" s="1" t="n">
        <v>3546.14</v>
      </c>
      <c r="V625" s="1" t="n">
        <v>48.05</v>
      </c>
      <c r="W625" s="1" t="s">
        <v>39</v>
      </c>
      <c r="Y625" s="1" t="s">
        <v>40</v>
      </c>
      <c r="Z625" s="1" t="n">
        <v>1</v>
      </c>
    </row>
    <row r="626" customFormat="false" ht="15" hidden="false" customHeight="true" outlineLevel="0" collapsed="false">
      <c r="A626" s="1" t="s">
        <v>1221</v>
      </c>
      <c r="B626" s="1" t="s">
        <v>1222</v>
      </c>
      <c r="C626" s="1" t="s">
        <v>43</v>
      </c>
      <c r="D626" s="1" t="s">
        <v>143</v>
      </c>
      <c r="E626" s="1" t="s">
        <v>144</v>
      </c>
      <c r="F626" s="1" t="s">
        <v>55</v>
      </c>
      <c r="G626" s="1" t="s">
        <v>56</v>
      </c>
      <c r="H626" s="1" t="s">
        <v>57</v>
      </c>
      <c r="I626" s="1" t="s">
        <v>83</v>
      </c>
      <c r="J626" s="1" t="s">
        <v>59</v>
      </c>
      <c r="K626" s="1" t="s">
        <v>60</v>
      </c>
      <c r="L626" s="1" t="s">
        <v>37</v>
      </c>
      <c r="M626" s="1" t="s">
        <v>38</v>
      </c>
      <c r="N626" s="1" t="n">
        <v>12999</v>
      </c>
      <c r="O626" s="1" t="n">
        <v>50</v>
      </c>
      <c r="P626" s="1" t="n">
        <v>6499.5</v>
      </c>
      <c r="Q626" s="1" t="n">
        <v>6499.5</v>
      </c>
      <c r="R626" s="1" t="n">
        <v>1169.91</v>
      </c>
      <c r="S626" s="1" t="n">
        <v>5329.59</v>
      </c>
      <c r="T626" s="1" t="n">
        <v>3007.46</v>
      </c>
      <c r="U626" s="1" t="n">
        <v>2322.13</v>
      </c>
      <c r="V626" s="1" t="n">
        <v>43.57</v>
      </c>
      <c r="W626" s="1" t="s">
        <v>40</v>
      </c>
      <c r="Y626" s="1" t="s">
        <v>39</v>
      </c>
      <c r="Z626" s="1" t="n">
        <v>0</v>
      </c>
    </row>
    <row r="627" customFormat="false" ht="15" hidden="false" customHeight="true" outlineLevel="0" collapsed="false">
      <c r="A627" s="1" t="s">
        <v>1223</v>
      </c>
      <c r="B627" s="1" t="s">
        <v>968</v>
      </c>
      <c r="C627" s="1" t="s">
        <v>74</v>
      </c>
      <c r="D627" s="1" t="s">
        <v>53</v>
      </c>
      <c r="E627" s="1" t="s">
        <v>216</v>
      </c>
      <c r="F627" s="1" t="s">
        <v>187</v>
      </c>
      <c r="G627" s="1" t="s">
        <v>97</v>
      </c>
      <c r="H627" s="1" t="s">
        <v>69</v>
      </c>
      <c r="I627" s="1" t="s">
        <v>58</v>
      </c>
      <c r="J627" s="1" t="s">
        <v>59</v>
      </c>
      <c r="K627" s="1" t="s">
        <v>104</v>
      </c>
      <c r="L627" s="1" t="s">
        <v>85</v>
      </c>
      <c r="M627" s="1" t="s">
        <v>38</v>
      </c>
      <c r="N627" s="1" t="n">
        <v>7499</v>
      </c>
      <c r="O627" s="1" t="n">
        <v>20</v>
      </c>
      <c r="P627" s="1" t="n">
        <v>1499.8</v>
      </c>
      <c r="Q627" s="1" t="n">
        <v>5999.2</v>
      </c>
      <c r="R627" s="1" t="n">
        <v>1079.86</v>
      </c>
      <c r="S627" s="1" t="n">
        <v>4919.34</v>
      </c>
      <c r="T627" s="1" t="n">
        <v>2191.7</v>
      </c>
      <c r="U627" s="1" t="n">
        <v>2727.64</v>
      </c>
      <c r="V627" s="1" t="n">
        <v>55.45</v>
      </c>
      <c r="W627" s="1" t="s">
        <v>39</v>
      </c>
      <c r="X627" s="1" t="n">
        <v>3.3</v>
      </c>
      <c r="Y627" s="1" t="s">
        <v>40</v>
      </c>
      <c r="Z627" s="1" t="n">
        <v>0</v>
      </c>
    </row>
    <row r="628" customFormat="false" ht="15" hidden="false" customHeight="true" outlineLevel="0" collapsed="false">
      <c r="A628" s="1" t="s">
        <v>1224</v>
      </c>
      <c r="B628" s="1" t="s">
        <v>334</v>
      </c>
      <c r="C628" s="1" t="s">
        <v>43</v>
      </c>
      <c r="D628" s="1" t="s">
        <v>143</v>
      </c>
      <c r="E628" s="1" t="s">
        <v>243</v>
      </c>
      <c r="F628" s="1" t="s">
        <v>107</v>
      </c>
      <c r="G628" s="1" t="s">
        <v>108</v>
      </c>
      <c r="H628" s="1" t="s">
        <v>33</v>
      </c>
      <c r="I628" s="1" t="s">
        <v>58</v>
      </c>
      <c r="J628" s="1" t="s">
        <v>77</v>
      </c>
      <c r="K628" s="1" t="s">
        <v>48</v>
      </c>
      <c r="L628" s="1" t="s">
        <v>136</v>
      </c>
      <c r="M628" s="1" t="s">
        <v>62</v>
      </c>
      <c r="N628" s="1" t="n">
        <v>22999</v>
      </c>
      <c r="O628" s="1" t="n">
        <v>10</v>
      </c>
      <c r="P628" s="1" t="n">
        <v>2299.9</v>
      </c>
      <c r="Q628" s="1" t="n">
        <v>20699.1</v>
      </c>
      <c r="R628" s="1" t="n">
        <v>3725.84</v>
      </c>
      <c r="S628" s="1" t="n">
        <v>16973.26</v>
      </c>
      <c r="T628" s="1" t="n">
        <v>7368.27</v>
      </c>
      <c r="U628" s="1" t="n">
        <v>9604.99</v>
      </c>
      <c r="V628" s="1" t="n">
        <v>56.59</v>
      </c>
      <c r="W628" s="1" t="s">
        <v>39</v>
      </c>
      <c r="Y628" s="1" t="s">
        <v>40</v>
      </c>
      <c r="Z628" s="1" t="n">
        <v>0</v>
      </c>
    </row>
    <row r="629" customFormat="false" ht="15" hidden="false" customHeight="true" outlineLevel="0" collapsed="false">
      <c r="A629" s="1" t="s">
        <v>1225</v>
      </c>
      <c r="B629" s="1" t="s">
        <v>1226</v>
      </c>
      <c r="C629" s="1" t="s">
        <v>28</v>
      </c>
      <c r="D629" s="1" t="s">
        <v>53</v>
      </c>
      <c r="E629" s="1" t="s">
        <v>116</v>
      </c>
      <c r="F629" s="1" t="s">
        <v>153</v>
      </c>
      <c r="G629" s="1" t="s">
        <v>76</v>
      </c>
      <c r="H629" s="1" t="s">
        <v>33</v>
      </c>
      <c r="I629" s="1" t="s">
        <v>83</v>
      </c>
      <c r="J629" s="1" t="s">
        <v>70</v>
      </c>
      <c r="K629" s="1" t="s">
        <v>48</v>
      </c>
      <c r="L629" s="1" t="s">
        <v>113</v>
      </c>
      <c r="M629" s="1" t="s">
        <v>50</v>
      </c>
      <c r="N629" s="1" t="n">
        <v>9999</v>
      </c>
      <c r="O629" s="1" t="n">
        <v>15</v>
      </c>
      <c r="P629" s="1" t="n">
        <v>1499.85</v>
      </c>
      <c r="Q629" s="1" t="n">
        <v>8499.15</v>
      </c>
      <c r="R629" s="1" t="n">
        <v>1529.85</v>
      </c>
      <c r="S629" s="1" t="n">
        <v>6969.3</v>
      </c>
      <c r="T629" s="1" t="n">
        <v>3236.63</v>
      </c>
      <c r="U629" s="1" t="n">
        <v>3732.67</v>
      </c>
      <c r="V629" s="1" t="n">
        <v>53.56</v>
      </c>
      <c r="W629" s="1" t="s">
        <v>40</v>
      </c>
      <c r="Y629" s="1" t="s">
        <v>40</v>
      </c>
      <c r="Z629" s="1" t="n">
        <v>0</v>
      </c>
    </row>
    <row r="630" customFormat="false" ht="15" hidden="false" customHeight="true" outlineLevel="0" collapsed="false">
      <c r="A630" s="1" t="s">
        <v>1227</v>
      </c>
      <c r="B630" s="1" t="s">
        <v>419</v>
      </c>
      <c r="C630" s="1" t="s">
        <v>178</v>
      </c>
      <c r="D630" s="1" t="s">
        <v>143</v>
      </c>
      <c r="E630" s="1" t="s">
        <v>162</v>
      </c>
      <c r="F630" s="1" t="s">
        <v>96</v>
      </c>
      <c r="G630" s="1" t="s">
        <v>97</v>
      </c>
      <c r="H630" s="1" t="s">
        <v>69</v>
      </c>
      <c r="I630" s="1" t="s">
        <v>58</v>
      </c>
      <c r="J630" s="1" t="s">
        <v>35</v>
      </c>
      <c r="K630" s="1" t="s">
        <v>36</v>
      </c>
      <c r="L630" s="1" t="s">
        <v>61</v>
      </c>
      <c r="M630" s="1" t="s">
        <v>38</v>
      </c>
      <c r="N630" s="1" t="n">
        <v>14999</v>
      </c>
      <c r="O630" s="1" t="n">
        <v>0</v>
      </c>
      <c r="P630" s="1" t="n">
        <v>0</v>
      </c>
      <c r="Q630" s="1" t="n">
        <v>14999</v>
      </c>
      <c r="R630" s="1" t="n">
        <v>2699.82</v>
      </c>
      <c r="S630" s="1" t="n">
        <v>12299.18</v>
      </c>
      <c r="T630" s="1" t="n">
        <v>5114.04</v>
      </c>
      <c r="U630" s="1" t="n">
        <v>7185.14</v>
      </c>
      <c r="V630" s="1" t="n">
        <v>58.42</v>
      </c>
      <c r="W630" s="1" t="s">
        <v>40</v>
      </c>
      <c r="Y630" s="1" t="s">
        <v>40</v>
      </c>
      <c r="Z630" s="1" t="n">
        <v>1</v>
      </c>
    </row>
    <row r="631" customFormat="false" ht="15" hidden="false" customHeight="true" outlineLevel="0" collapsed="false">
      <c r="A631" s="1" t="s">
        <v>1228</v>
      </c>
      <c r="B631" s="1" t="s">
        <v>572</v>
      </c>
      <c r="C631" s="1" t="s">
        <v>139</v>
      </c>
      <c r="D631" s="1" t="s">
        <v>53</v>
      </c>
      <c r="E631" s="1" t="s">
        <v>216</v>
      </c>
      <c r="F631" s="1" t="s">
        <v>120</v>
      </c>
      <c r="G631" s="1" t="s">
        <v>47</v>
      </c>
      <c r="H631" s="1" t="s">
        <v>57</v>
      </c>
      <c r="I631" s="1" t="s">
        <v>58</v>
      </c>
      <c r="J631" s="1" t="s">
        <v>131</v>
      </c>
      <c r="K631" s="1" t="s">
        <v>48</v>
      </c>
      <c r="L631" s="1" t="s">
        <v>49</v>
      </c>
      <c r="M631" s="1" t="s">
        <v>50</v>
      </c>
      <c r="N631" s="1" t="n">
        <v>7499</v>
      </c>
      <c r="O631" s="1" t="n">
        <v>50</v>
      </c>
      <c r="P631" s="1" t="n">
        <v>3749.5</v>
      </c>
      <c r="Q631" s="1" t="n">
        <v>3749.5</v>
      </c>
      <c r="R631" s="1" t="n">
        <v>674.91</v>
      </c>
      <c r="S631" s="1" t="n">
        <v>3074.59</v>
      </c>
      <c r="T631" s="1" t="n">
        <v>1671.36</v>
      </c>
      <c r="U631" s="1" t="n">
        <v>1403.23</v>
      </c>
      <c r="V631" s="1" t="n">
        <v>45.64</v>
      </c>
      <c r="W631" s="1" t="s">
        <v>40</v>
      </c>
      <c r="Y631" s="1" t="s">
        <v>40</v>
      </c>
      <c r="Z631" s="1" t="n">
        <v>1</v>
      </c>
    </row>
    <row r="632" customFormat="false" ht="15" hidden="false" customHeight="true" outlineLevel="0" collapsed="false">
      <c r="A632" s="1" t="s">
        <v>1229</v>
      </c>
      <c r="B632" s="1" t="s">
        <v>423</v>
      </c>
      <c r="C632" s="1" t="s">
        <v>74</v>
      </c>
      <c r="D632" s="1" t="s">
        <v>80</v>
      </c>
      <c r="E632" s="1" t="s">
        <v>190</v>
      </c>
      <c r="F632" s="1" t="s">
        <v>187</v>
      </c>
      <c r="G632" s="1" t="s">
        <v>97</v>
      </c>
      <c r="H632" s="1" t="s">
        <v>69</v>
      </c>
      <c r="I632" s="1" t="s">
        <v>34</v>
      </c>
      <c r="J632" s="1" t="s">
        <v>35</v>
      </c>
      <c r="K632" s="1" t="s">
        <v>71</v>
      </c>
      <c r="L632" s="1" t="s">
        <v>85</v>
      </c>
      <c r="M632" s="1" t="s">
        <v>62</v>
      </c>
      <c r="N632" s="1" t="n">
        <v>15999</v>
      </c>
      <c r="O632" s="1" t="n">
        <v>50</v>
      </c>
      <c r="P632" s="1" t="n">
        <v>7999.5</v>
      </c>
      <c r="Q632" s="1" t="n">
        <v>7999.5</v>
      </c>
      <c r="R632" s="1" t="n">
        <v>1439.91</v>
      </c>
      <c r="S632" s="1" t="n">
        <v>6559.59</v>
      </c>
      <c r="T632" s="1" t="n">
        <v>3165.25</v>
      </c>
      <c r="U632" s="1" t="n">
        <v>3394.34</v>
      </c>
      <c r="V632" s="1" t="n">
        <v>51.75</v>
      </c>
      <c r="W632" s="1" t="s">
        <v>40</v>
      </c>
      <c r="Y632" s="1" t="s">
        <v>40</v>
      </c>
      <c r="Z632" s="1" t="n">
        <v>1</v>
      </c>
    </row>
    <row r="633" customFormat="false" ht="15" hidden="false" customHeight="true" outlineLevel="0" collapsed="false">
      <c r="A633" s="1" t="s">
        <v>1230</v>
      </c>
      <c r="B633" s="1" t="s">
        <v>561</v>
      </c>
      <c r="C633" s="1" t="s">
        <v>128</v>
      </c>
      <c r="D633" s="1" t="s">
        <v>80</v>
      </c>
      <c r="E633" s="1" t="s">
        <v>175</v>
      </c>
      <c r="F633" s="1" t="s">
        <v>211</v>
      </c>
      <c r="G633" s="1" t="s">
        <v>56</v>
      </c>
      <c r="H633" s="1" t="s">
        <v>69</v>
      </c>
      <c r="I633" s="1" t="s">
        <v>83</v>
      </c>
      <c r="J633" s="1" t="s">
        <v>131</v>
      </c>
      <c r="K633" s="1" t="s">
        <v>36</v>
      </c>
      <c r="L633" s="1" t="s">
        <v>85</v>
      </c>
      <c r="M633" s="1" t="s">
        <v>38</v>
      </c>
      <c r="N633" s="1" t="n">
        <v>19999</v>
      </c>
      <c r="O633" s="1" t="n">
        <v>25</v>
      </c>
      <c r="P633" s="1" t="n">
        <v>4999.75</v>
      </c>
      <c r="Q633" s="1" t="n">
        <v>14999.25</v>
      </c>
      <c r="R633" s="1" t="n">
        <v>2699.86</v>
      </c>
      <c r="S633" s="1" t="n">
        <v>12299.39</v>
      </c>
      <c r="T633" s="1" t="n">
        <v>4515.24</v>
      </c>
      <c r="U633" s="1" t="n">
        <v>7784.15</v>
      </c>
      <c r="V633" s="1" t="n">
        <v>63.29</v>
      </c>
      <c r="W633" s="1" t="s">
        <v>39</v>
      </c>
      <c r="X633" s="1" t="n">
        <v>3.8</v>
      </c>
      <c r="Y633" s="1" t="s">
        <v>40</v>
      </c>
      <c r="Z633" s="1" t="n">
        <v>0</v>
      </c>
    </row>
    <row r="634" customFormat="false" ht="15" hidden="false" customHeight="true" outlineLevel="0" collapsed="false">
      <c r="A634" s="1" t="s">
        <v>1231</v>
      </c>
      <c r="B634" s="1" t="s">
        <v>1104</v>
      </c>
      <c r="C634" s="1" t="s">
        <v>119</v>
      </c>
      <c r="D634" s="1" t="s">
        <v>168</v>
      </c>
      <c r="E634" s="1" t="s">
        <v>197</v>
      </c>
      <c r="F634" s="1" t="s">
        <v>205</v>
      </c>
      <c r="G634" s="1" t="s">
        <v>56</v>
      </c>
      <c r="H634" s="1" t="s">
        <v>69</v>
      </c>
      <c r="I634" s="1" t="s">
        <v>34</v>
      </c>
      <c r="J634" s="1" t="s">
        <v>131</v>
      </c>
      <c r="K634" s="1" t="s">
        <v>48</v>
      </c>
      <c r="L634" s="1" t="s">
        <v>136</v>
      </c>
      <c r="M634" s="1" t="s">
        <v>38</v>
      </c>
      <c r="N634" s="1" t="n">
        <v>8499</v>
      </c>
      <c r="O634" s="1" t="n">
        <v>5</v>
      </c>
      <c r="P634" s="1" t="n">
        <v>424.95</v>
      </c>
      <c r="Q634" s="1" t="n">
        <v>8074.05</v>
      </c>
      <c r="R634" s="1" t="n">
        <v>1453.33</v>
      </c>
      <c r="S634" s="1" t="n">
        <v>6620.72</v>
      </c>
      <c r="T634" s="1" t="n">
        <v>2384.93</v>
      </c>
      <c r="U634" s="1" t="n">
        <v>4235.79</v>
      </c>
      <c r="V634" s="1" t="n">
        <v>63.98</v>
      </c>
      <c r="W634" s="1" t="s">
        <v>39</v>
      </c>
      <c r="X634" s="1" t="n">
        <v>4.3</v>
      </c>
      <c r="Y634" s="1" t="s">
        <v>40</v>
      </c>
      <c r="Z634" s="1" t="n">
        <v>0</v>
      </c>
    </row>
    <row r="635" customFormat="false" ht="15" hidden="false" customHeight="true" outlineLevel="0" collapsed="false">
      <c r="A635" s="1" t="s">
        <v>1232</v>
      </c>
      <c r="B635" s="1" t="s">
        <v>742</v>
      </c>
      <c r="C635" s="1" t="s">
        <v>65</v>
      </c>
      <c r="D635" s="1" t="s">
        <v>53</v>
      </c>
      <c r="E635" s="1" t="s">
        <v>116</v>
      </c>
      <c r="F635" s="1" t="s">
        <v>31</v>
      </c>
      <c r="G635" s="1" t="s">
        <v>32</v>
      </c>
      <c r="H635" s="1" t="s">
        <v>33</v>
      </c>
      <c r="I635" s="1" t="s">
        <v>58</v>
      </c>
      <c r="J635" s="1" t="s">
        <v>131</v>
      </c>
      <c r="K635" s="1" t="s">
        <v>90</v>
      </c>
      <c r="L635" s="1" t="s">
        <v>85</v>
      </c>
      <c r="M635" s="1" t="s">
        <v>50</v>
      </c>
      <c r="N635" s="1" t="n">
        <v>9999</v>
      </c>
      <c r="O635" s="1" t="n">
        <v>0</v>
      </c>
      <c r="P635" s="1" t="n">
        <v>0</v>
      </c>
      <c r="Q635" s="1" t="n">
        <v>9999</v>
      </c>
      <c r="R635" s="1" t="n">
        <v>1799.82</v>
      </c>
      <c r="S635" s="1" t="n">
        <v>8199.18</v>
      </c>
      <c r="T635" s="1" t="n">
        <v>3599.36</v>
      </c>
      <c r="U635" s="1" t="n">
        <v>4599.82</v>
      </c>
      <c r="V635" s="1" t="n">
        <v>56.1</v>
      </c>
      <c r="W635" s="1" t="s">
        <v>39</v>
      </c>
      <c r="X635" s="1" t="n">
        <v>3.9</v>
      </c>
      <c r="Y635" s="1" t="s">
        <v>39</v>
      </c>
      <c r="Z635" s="1" t="n">
        <v>0</v>
      </c>
    </row>
    <row r="636" customFormat="false" ht="15" hidden="false" customHeight="true" outlineLevel="0" collapsed="false">
      <c r="A636" s="1" t="s">
        <v>1233</v>
      </c>
      <c r="B636" s="1" t="s">
        <v>1234</v>
      </c>
      <c r="C636" s="1" t="s">
        <v>134</v>
      </c>
      <c r="D636" s="1" t="s">
        <v>29</v>
      </c>
      <c r="E636" s="1" t="s">
        <v>129</v>
      </c>
      <c r="F636" s="1" t="s">
        <v>46</v>
      </c>
      <c r="G636" s="1" t="s">
        <v>47</v>
      </c>
      <c r="H636" s="1" t="s">
        <v>33</v>
      </c>
      <c r="I636" s="1" t="s">
        <v>58</v>
      </c>
      <c r="J636" s="1" t="s">
        <v>77</v>
      </c>
      <c r="K636" s="1" t="s">
        <v>90</v>
      </c>
      <c r="L636" s="1" t="s">
        <v>85</v>
      </c>
      <c r="M636" s="1" t="s">
        <v>38</v>
      </c>
      <c r="N636" s="1" t="n">
        <v>29999</v>
      </c>
      <c r="O636" s="1" t="n">
        <v>15</v>
      </c>
      <c r="P636" s="1" t="n">
        <v>4499.85</v>
      </c>
      <c r="Q636" s="1" t="n">
        <v>25499.15</v>
      </c>
      <c r="R636" s="1" t="n">
        <v>4589.85</v>
      </c>
      <c r="S636" s="1" t="n">
        <v>20909.3</v>
      </c>
      <c r="T636" s="1" t="n">
        <v>10416.91</v>
      </c>
      <c r="U636" s="1" t="n">
        <v>10492.39</v>
      </c>
      <c r="V636" s="1" t="n">
        <v>50.18</v>
      </c>
      <c r="W636" s="1" t="s">
        <v>39</v>
      </c>
      <c r="X636" s="1" t="n">
        <v>3.6</v>
      </c>
      <c r="Y636" s="1" t="s">
        <v>40</v>
      </c>
      <c r="Z636" s="1" t="n">
        <v>1</v>
      </c>
    </row>
    <row r="637" customFormat="false" ht="15" hidden="false" customHeight="true" outlineLevel="0" collapsed="false">
      <c r="A637" s="1" t="s">
        <v>1235</v>
      </c>
      <c r="B637" s="1" t="s">
        <v>787</v>
      </c>
      <c r="C637" s="1" t="s">
        <v>178</v>
      </c>
      <c r="D637" s="1" t="s">
        <v>29</v>
      </c>
      <c r="E637" s="1" t="s">
        <v>305</v>
      </c>
      <c r="F637" s="1" t="s">
        <v>150</v>
      </c>
      <c r="G637" s="1" t="s">
        <v>32</v>
      </c>
      <c r="H637" s="1" t="s">
        <v>57</v>
      </c>
      <c r="I637" s="1" t="s">
        <v>58</v>
      </c>
      <c r="J637" s="1" t="s">
        <v>35</v>
      </c>
      <c r="K637" s="1" t="s">
        <v>112</v>
      </c>
      <c r="L637" s="1" t="s">
        <v>61</v>
      </c>
      <c r="M637" s="1" t="s">
        <v>38</v>
      </c>
      <c r="N637" s="1" t="n">
        <v>24999</v>
      </c>
      <c r="O637" s="1" t="n">
        <v>10</v>
      </c>
      <c r="P637" s="1" t="n">
        <v>2499.9</v>
      </c>
      <c r="Q637" s="1" t="n">
        <v>22499.1</v>
      </c>
      <c r="R637" s="1" t="n">
        <v>4049.84</v>
      </c>
      <c r="S637" s="1" t="n">
        <v>18449.26</v>
      </c>
      <c r="T637" s="1" t="n">
        <v>7916.57</v>
      </c>
      <c r="U637" s="1" t="n">
        <v>10532.69</v>
      </c>
      <c r="V637" s="1" t="n">
        <v>57.09</v>
      </c>
      <c r="W637" s="1" t="s">
        <v>40</v>
      </c>
      <c r="Y637" s="1" t="s">
        <v>40</v>
      </c>
      <c r="Z637" s="1" t="n">
        <v>0</v>
      </c>
    </row>
    <row r="638" customFormat="false" ht="15" hidden="false" customHeight="true" outlineLevel="0" collapsed="false">
      <c r="A638" s="1" t="s">
        <v>1236</v>
      </c>
      <c r="B638" s="1" t="s">
        <v>522</v>
      </c>
      <c r="C638" s="1" t="s">
        <v>119</v>
      </c>
      <c r="D638" s="1" t="s">
        <v>143</v>
      </c>
      <c r="E638" s="1" t="s">
        <v>144</v>
      </c>
      <c r="F638" s="1" t="s">
        <v>211</v>
      </c>
      <c r="G638" s="1" t="s">
        <v>56</v>
      </c>
      <c r="H638" s="1" t="s">
        <v>69</v>
      </c>
      <c r="I638" s="1" t="s">
        <v>58</v>
      </c>
      <c r="J638" s="1" t="s">
        <v>131</v>
      </c>
      <c r="K638" s="1" t="s">
        <v>71</v>
      </c>
      <c r="L638" s="1" t="s">
        <v>37</v>
      </c>
      <c r="M638" s="1" t="s">
        <v>62</v>
      </c>
      <c r="N638" s="1" t="n">
        <v>12999</v>
      </c>
      <c r="O638" s="1" t="n">
        <v>40</v>
      </c>
      <c r="P638" s="1" t="n">
        <v>5199.6</v>
      </c>
      <c r="Q638" s="1" t="n">
        <v>7799.4</v>
      </c>
      <c r="R638" s="1" t="n">
        <v>1403.89</v>
      </c>
      <c r="S638" s="1" t="n">
        <v>6395.51</v>
      </c>
      <c r="T638" s="1" t="n">
        <v>2805.05</v>
      </c>
      <c r="U638" s="1" t="n">
        <v>3590.46</v>
      </c>
      <c r="V638" s="1" t="n">
        <v>56.14</v>
      </c>
      <c r="W638" s="1" t="s">
        <v>39</v>
      </c>
      <c r="X638" s="1" t="n">
        <v>2.6</v>
      </c>
      <c r="Y638" s="1" t="s">
        <v>40</v>
      </c>
      <c r="Z638" s="1" t="n">
        <v>1</v>
      </c>
    </row>
    <row r="639" customFormat="false" ht="15" hidden="false" customHeight="true" outlineLevel="0" collapsed="false">
      <c r="A639" s="1" t="s">
        <v>1237</v>
      </c>
      <c r="B639" s="1" t="s">
        <v>839</v>
      </c>
      <c r="C639" s="1" t="s">
        <v>264</v>
      </c>
      <c r="D639" s="1" t="s">
        <v>123</v>
      </c>
      <c r="E639" s="1" t="s">
        <v>233</v>
      </c>
      <c r="F639" s="1" t="s">
        <v>55</v>
      </c>
      <c r="G639" s="1" t="s">
        <v>56</v>
      </c>
      <c r="H639" s="1" t="s">
        <v>57</v>
      </c>
      <c r="I639" s="1" t="s">
        <v>83</v>
      </c>
      <c r="J639" s="1" t="s">
        <v>59</v>
      </c>
      <c r="K639" s="1" t="s">
        <v>104</v>
      </c>
      <c r="L639" s="1" t="s">
        <v>85</v>
      </c>
      <c r="M639" s="1" t="s">
        <v>38</v>
      </c>
      <c r="N639" s="1" t="n">
        <v>8999</v>
      </c>
      <c r="O639" s="1" t="n">
        <v>30</v>
      </c>
      <c r="P639" s="1" t="n">
        <v>2699.7</v>
      </c>
      <c r="Q639" s="1" t="n">
        <v>6299.3</v>
      </c>
      <c r="R639" s="1" t="n">
        <v>1133.87</v>
      </c>
      <c r="S639" s="1" t="n">
        <v>5165.43</v>
      </c>
      <c r="T639" s="1" t="n">
        <v>1938.02</v>
      </c>
      <c r="U639" s="1" t="n">
        <v>3227.41</v>
      </c>
      <c r="V639" s="1" t="n">
        <v>62.48</v>
      </c>
      <c r="W639" s="1" t="s">
        <v>39</v>
      </c>
      <c r="X639" s="1" t="n">
        <v>3.2</v>
      </c>
      <c r="Y639" s="1" t="s">
        <v>40</v>
      </c>
      <c r="Z639" s="1" t="n">
        <v>0</v>
      </c>
    </row>
    <row r="640" customFormat="false" ht="15" hidden="false" customHeight="true" outlineLevel="0" collapsed="false">
      <c r="A640" s="1" t="s">
        <v>1238</v>
      </c>
      <c r="B640" s="1" t="s">
        <v>199</v>
      </c>
      <c r="C640" s="1" t="s">
        <v>65</v>
      </c>
      <c r="D640" s="1" t="s">
        <v>143</v>
      </c>
      <c r="E640" s="1" t="s">
        <v>144</v>
      </c>
      <c r="F640" s="1" t="s">
        <v>82</v>
      </c>
      <c r="G640" s="1" t="s">
        <v>56</v>
      </c>
      <c r="H640" s="1" t="s">
        <v>69</v>
      </c>
      <c r="I640" s="1" t="s">
        <v>83</v>
      </c>
      <c r="J640" s="1" t="s">
        <v>35</v>
      </c>
      <c r="K640" s="1" t="s">
        <v>71</v>
      </c>
      <c r="L640" s="1" t="s">
        <v>61</v>
      </c>
      <c r="M640" s="1" t="s">
        <v>38</v>
      </c>
      <c r="N640" s="1" t="n">
        <v>12999</v>
      </c>
      <c r="O640" s="1" t="n">
        <v>10</v>
      </c>
      <c r="P640" s="1" t="n">
        <v>1299.9</v>
      </c>
      <c r="Q640" s="1" t="n">
        <v>11699.1</v>
      </c>
      <c r="R640" s="1" t="n">
        <v>2105.84</v>
      </c>
      <c r="S640" s="1" t="n">
        <v>9593.26</v>
      </c>
      <c r="T640" s="1" t="n">
        <v>3627.59</v>
      </c>
      <c r="U640" s="1" t="n">
        <v>5965.67</v>
      </c>
      <c r="V640" s="1" t="n">
        <v>62.19</v>
      </c>
      <c r="W640" s="1" t="s">
        <v>39</v>
      </c>
      <c r="Y640" s="1" t="s">
        <v>40</v>
      </c>
      <c r="Z640" s="1" t="n">
        <v>0</v>
      </c>
    </row>
    <row r="641" customFormat="false" ht="15" hidden="false" customHeight="true" outlineLevel="0" collapsed="false">
      <c r="A641" s="1" t="s">
        <v>1239</v>
      </c>
      <c r="B641" s="1" t="s">
        <v>42</v>
      </c>
      <c r="C641" s="1" t="s">
        <v>139</v>
      </c>
      <c r="D641" s="1" t="s">
        <v>29</v>
      </c>
      <c r="E641" s="1" t="s">
        <v>305</v>
      </c>
      <c r="F641" s="1" t="s">
        <v>75</v>
      </c>
      <c r="G641" s="1" t="s">
        <v>76</v>
      </c>
      <c r="H641" s="1" t="s">
        <v>69</v>
      </c>
      <c r="I641" s="1" t="s">
        <v>34</v>
      </c>
      <c r="J641" s="1" t="s">
        <v>70</v>
      </c>
      <c r="K641" s="1" t="s">
        <v>60</v>
      </c>
      <c r="L641" s="1" t="s">
        <v>113</v>
      </c>
      <c r="M641" s="1" t="s">
        <v>62</v>
      </c>
      <c r="N641" s="1" t="n">
        <v>24999</v>
      </c>
      <c r="O641" s="1" t="n">
        <v>15</v>
      </c>
      <c r="P641" s="1" t="n">
        <v>3749.85</v>
      </c>
      <c r="Q641" s="1" t="n">
        <v>21249.15</v>
      </c>
      <c r="R641" s="1" t="n">
        <v>3824.85</v>
      </c>
      <c r="S641" s="1" t="n">
        <v>17424.3</v>
      </c>
      <c r="T641" s="1" t="n">
        <v>6356.55</v>
      </c>
      <c r="U641" s="1" t="n">
        <v>11067.75</v>
      </c>
      <c r="V641" s="1" t="n">
        <v>63.52</v>
      </c>
      <c r="W641" s="1" t="s">
        <v>39</v>
      </c>
      <c r="X641" s="1" t="n">
        <v>4.8</v>
      </c>
      <c r="Y641" s="1" t="s">
        <v>40</v>
      </c>
      <c r="Z641" s="1" t="n">
        <v>2</v>
      </c>
    </row>
    <row r="642" customFormat="false" ht="15" hidden="false" customHeight="true" outlineLevel="0" collapsed="false">
      <c r="A642" s="1" t="s">
        <v>1240</v>
      </c>
      <c r="B642" s="1" t="s">
        <v>1154</v>
      </c>
      <c r="C642" s="1" t="s">
        <v>178</v>
      </c>
      <c r="D642" s="1" t="s">
        <v>44</v>
      </c>
      <c r="E642" s="1" t="s">
        <v>45</v>
      </c>
      <c r="F642" s="1" t="s">
        <v>75</v>
      </c>
      <c r="G642" s="1" t="s">
        <v>76</v>
      </c>
      <c r="H642" s="1" t="s">
        <v>69</v>
      </c>
      <c r="I642" s="1" t="s">
        <v>83</v>
      </c>
      <c r="J642" s="1" t="s">
        <v>35</v>
      </c>
      <c r="K642" s="1" t="s">
        <v>104</v>
      </c>
      <c r="L642" s="1" t="s">
        <v>85</v>
      </c>
      <c r="M642" s="1" t="s">
        <v>38</v>
      </c>
      <c r="N642" s="1" t="n">
        <v>11999</v>
      </c>
      <c r="O642" s="1" t="n">
        <v>25</v>
      </c>
      <c r="P642" s="1" t="n">
        <v>2999.75</v>
      </c>
      <c r="Q642" s="1" t="n">
        <v>8999.25</v>
      </c>
      <c r="R642" s="1" t="n">
        <v>1619.87</v>
      </c>
      <c r="S642" s="1" t="n">
        <v>7379.38</v>
      </c>
      <c r="T642" s="1" t="n">
        <v>2500.79</v>
      </c>
      <c r="U642" s="1" t="n">
        <v>4878.59</v>
      </c>
      <c r="V642" s="1" t="n">
        <v>66.11</v>
      </c>
      <c r="W642" s="1" t="s">
        <v>40</v>
      </c>
      <c r="Y642" s="1" t="s">
        <v>40</v>
      </c>
      <c r="Z642" s="1" t="n">
        <v>2</v>
      </c>
    </row>
    <row r="643" customFormat="false" ht="15" hidden="false" customHeight="true" outlineLevel="0" collapsed="false">
      <c r="A643" s="1" t="s">
        <v>1241</v>
      </c>
      <c r="B643" s="1" t="s">
        <v>1242</v>
      </c>
      <c r="C643" s="1" t="s">
        <v>74</v>
      </c>
      <c r="D643" s="1" t="s">
        <v>123</v>
      </c>
      <c r="E643" s="1" t="s">
        <v>233</v>
      </c>
      <c r="F643" s="1" t="s">
        <v>130</v>
      </c>
      <c r="G643" s="1" t="s">
        <v>47</v>
      </c>
      <c r="H643" s="1" t="s">
        <v>69</v>
      </c>
      <c r="I643" s="1" t="s">
        <v>34</v>
      </c>
      <c r="J643" s="1" t="s">
        <v>59</v>
      </c>
      <c r="K643" s="1" t="s">
        <v>112</v>
      </c>
      <c r="L643" s="1" t="s">
        <v>61</v>
      </c>
      <c r="M643" s="1" t="s">
        <v>50</v>
      </c>
      <c r="N643" s="1" t="n">
        <v>8999</v>
      </c>
      <c r="O643" s="1" t="n">
        <v>20</v>
      </c>
      <c r="P643" s="1" t="n">
        <v>1799.8</v>
      </c>
      <c r="Q643" s="1" t="n">
        <v>7199.2</v>
      </c>
      <c r="R643" s="1" t="n">
        <v>1295.86</v>
      </c>
      <c r="S643" s="1" t="n">
        <v>5903.34</v>
      </c>
      <c r="T643" s="1" t="n">
        <v>2866.25</v>
      </c>
      <c r="U643" s="1" t="n">
        <v>3037.09</v>
      </c>
      <c r="V643" s="1" t="n">
        <v>51.45</v>
      </c>
      <c r="W643" s="1" t="s">
        <v>40</v>
      </c>
      <c r="Y643" s="1" t="s">
        <v>40</v>
      </c>
      <c r="Z643" s="1" t="n">
        <v>1</v>
      </c>
    </row>
    <row r="644" customFormat="false" ht="15" hidden="false" customHeight="true" outlineLevel="0" collapsed="false">
      <c r="A644" s="1" t="s">
        <v>1243</v>
      </c>
      <c r="B644" s="1" t="s">
        <v>1244</v>
      </c>
      <c r="C644" s="1" t="s">
        <v>28</v>
      </c>
      <c r="D644" s="1" t="s">
        <v>94</v>
      </c>
      <c r="E644" s="1" t="s">
        <v>135</v>
      </c>
      <c r="F644" s="1" t="s">
        <v>269</v>
      </c>
      <c r="G644" s="1" t="s">
        <v>108</v>
      </c>
      <c r="H644" s="1" t="s">
        <v>57</v>
      </c>
      <c r="I644" s="1" t="s">
        <v>34</v>
      </c>
      <c r="J644" s="1" t="s">
        <v>131</v>
      </c>
      <c r="K644" s="1" t="s">
        <v>90</v>
      </c>
      <c r="L644" s="1" t="s">
        <v>37</v>
      </c>
      <c r="M644" s="1" t="s">
        <v>38</v>
      </c>
      <c r="N644" s="1" t="n">
        <v>9999</v>
      </c>
      <c r="O644" s="1" t="n">
        <v>5</v>
      </c>
      <c r="P644" s="1" t="n">
        <v>499.95</v>
      </c>
      <c r="Q644" s="1" t="n">
        <v>9499.05</v>
      </c>
      <c r="R644" s="1" t="n">
        <v>1709.83</v>
      </c>
      <c r="S644" s="1" t="n">
        <v>7789.22</v>
      </c>
      <c r="T644" s="1" t="n">
        <v>3573.4</v>
      </c>
      <c r="U644" s="1" t="n">
        <v>4215.82</v>
      </c>
      <c r="V644" s="1" t="n">
        <v>54.12</v>
      </c>
      <c r="W644" s="1" t="s">
        <v>39</v>
      </c>
      <c r="Y644" s="1" t="s">
        <v>40</v>
      </c>
      <c r="Z644" s="1" t="n">
        <v>0</v>
      </c>
    </row>
    <row r="645" customFormat="false" ht="15" hidden="false" customHeight="true" outlineLevel="0" collapsed="false">
      <c r="A645" s="1" t="s">
        <v>1245</v>
      </c>
      <c r="B645" s="1" t="s">
        <v>1246</v>
      </c>
      <c r="C645" s="1" t="s">
        <v>74</v>
      </c>
      <c r="D645" s="1" t="s">
        <v>80</v>
      </c>
      <c r="E645" s="1" t="s">
        <v>81</v>
      </c>
      <c r="F645" s="1" t="s">
        <v>125</v>
      </c>
      <c r="G645" s="1" t="s">
        <v>108</v>
      </c>
      <c r="H645" s="1" t="s">
        <v>69</v>
      </c>
      <c r="I645" s="1" t="s">
        <v>58</v>
      </c>
      <c r="J645" s="1" t="s">
        <v>131</v>
      </c>
      <c r="K645" s="1" t="s">
        <v>112</v>
      </c>
      <c r="L645" s="1" t="s">
        <v>136</v>
      </c>
      <c r="M645" s="1" t="s">
        <v>50</v>
      </c>
      <c r="N645" s="1" t="n">
        <v>12999</v>
      </c>
      <c r="O645" s="1" t="n">
        <v>5</v>
      </c>
      <c r="P645" s="1" t="n">
        <v>649.95</v>
      </c>
      <c r="Q645" s="1" t="n">
        <v>12349.05</v>
      </c>
      <c r="R645" s="1" t="n">
        <v>2222.83</v>
      </c>
      <c r="S645" s="1" t="n">
        <v>10126.22</v>
      </c>
      <c r="T645" s="1" t="n">
        <v>4522</v>
      </c>
      <c r="U645" s="1" t="n">
        <v>5604.22</v>
      </c>
      <c r="V645" s="1" t="n">
        <v>55.34</v>
      </c>
      <c r="W645" s="1" t="s">
        <v>39</v>
      </c>
      <c r="Y645" s="1" t="s">
        <v>40</v>
      </c>
      <c r="Z645" s="1" t="n">
        <v>1</v>
      </c>
    </row>
    <row r="646" customFormat="false" ht="15" hidden="false" customHeight="true" outlineLevel="0" collapsed="false">
      <c r="A646" s="1" t="s">
        <v>1247</v>
      </c>
      <c r="B646" s="1" t="s">
        <v>988</v>
      </c>
      <c r="C646" s="1" t="s">
        <v>65</v>
      </c>
      <c r="D646" s="1" t="s">
        <v>168</v>
      </c>
      <c r="E646" s="1" t="s">
        <v>172</v>
      </c>
      <c r="F646" s="1" t="s">
        <v>67</v>
      </c>
      <c r="G646" s="1" t="s">
        <v>68</v>
      </c>
      <c r="H646" s="1" t="s">
        <v>69</v>
      </c>
      <c r="I646" s="1" t="s">
        <v>58</v>
      </c>
      <c r="J646" s="1" t="s">
        <v>35</v>
      </c>
      <c r="K646" s="1" t="s">
        <v>112</v>
      </c>
      <c r="L646" s="1" t="s">
        <v>113</v>
      </c>
      <c r="M646" s="1" t="s">
        <v>62</v>
      </c>
      <c r="N646" s="1" t="n">
        <v>6999</v>
      </c>
      <c r="O646" s="1" t="n">
        <v>40</v>
      </c>
      <c r="P646" s="1" t="n">
        <v>2799.6</v>
      </c>
      <c r="Q646" s="1" t="n">
        <v>4199.4</v>
      </c>
      <c r="R646" s="1" t="n">
        <v>755.89</v>
      </c>
      <c r="S646" s="1" t="n">
        <v>3443.51</v>
      </c>
      <c r="T646" s="1" t="n">
        <v>1808.03</v>
      </c>
      <c r="U646" s="1" t="n">
        <v>1635.48</v>
      </c>
      <c r="V646" s="1" t="n">
        <v>47.49</v>
      </c>
      <c r="W646" s="1" t="s">
        <v>40</v>
      </c>
      <c r="Y646" s="1" t="s">
        <v>39</v>
      </c>
      <c r="Z646" s="1" t="n">
        <v>0</v>
      </c>
    </row>
    <row r="647" customFormat="false" ht="15" hidden="false" customHeight="true" outlineLevel="0" collapsed="false">
      <c r="A647" s="1" t="s">
        <v>1248</v>
      </c>
      <c r="B647" s="1" t="s">
        <v>1215</v>
      </c>
      <c r="C647" s="1" t="s">
        <v>93</v>
      </c>
      <c r="D647" s="1" t="s">
        <v>53</v>
      </c>
      <c r="E647" s="1" t="s">
        <v>116</v>
      </c>
      <c r="F647" s="1" t="s">
        <v>67</v>
      </c>
      <c r="G647" s="1" t="s">
        <v>68</v>
      </c>
      <c r="H647" s="1" t="s">
        <v>69</v>
      </c>
      <c r="I647" s="1" t="s">
        <v>34</v>
      </c>
      <c r="J647" s="1" t="s">
        <v>131</v>
      </c>
      <c r="K647" s="1" t="s">
        <v>90</v>
      </c>
      <c r="L647" s="1" t="s">
        <v>136</v>
      </c>
      <c r="M647" s="1" t="s">
        <v>50</v>
      </c>
      <c r="N647" s="1" t="n">
        <v>9999</v>
      </c>
      <c r="O647" s="1" t="n">
        <v>20</v>
      </c>
      <c r="P647" s="1" t="n">
        <v>1999.8</v>
      </c>
      <c r="Q647" s="1" t="n">
        <v>7999.2</v>
      </c>
      <c r="R647" s="1" t="n">
        <v>1439.86</v>
      </c>
      <c r="S647" s="1" t="n">
        <v>6559.34</v>
      </c>
      <c r="T647" s="1" t="n">
        <v>2457.08</v>
      </c>
      <c r="U647" s="1" t="n">
        <v>4102.26</v>
      </c>
      <c r="V647" s="1" t="n">
        <v>62.54</v>
      </c>
      <c r="W647" s="1" t="s">
        <v>39</v>
      </c>
      <c r="X647" s="1" t="n">
        <v>3.5</v>
      </c>
      <c r="Y647" s="1" t="s">
        <v>39</v>
      </c>
      <c r="Z647" s="1" t="n">
        <v>1</v>
      </c>
    </row>
    <row r="648" customFormat="false" ht="15" hidden="false" customHeight="true" outlineLevel="0" collapsed="false">
      <c r="A648" s="1" t="s">
        <v>1249</v>
      </c>
      <c r="B648" s="1" t="s">
        <v>1250</v>
      </c>
      <c r="C648" s="1" t="s">
        <v>178</v>
      </c>
      <c r="D648" s="1" t="s">
        <v>44</v>
      </c>
      <c r="E648" s="1" t="s">
        <v>221</v>
      </c>
      <c r="F648" s="1" t="s">
        <v>150</v>
      </c>
      <c r="G648" s="1" t="s">
        <v>32</v>
      </c>
      <c r="H648" s="1" t="s">
        <v>57</v>
      </c>
      <c r="I648" s="1" t="s">
        <v>58</v>
      </c>
      <c r="J648" s="1" t="s">
        <v>131</v>
      </c>
      <c r="K648" s="1" t="s">
        <v>48</v>
      </c>
      <c r="L648" s="1" t="s">
        <v>136</v>
      </c>
      <c r="M648" s="1" t="s">
        <v>50</v>
      </c>
      <c r="N648" s="1" t="n">
        <v>16999</v>
      </c>
      <c r="O648" s="1" t="n">
        <v>10</v>
      </c>
      <c r="P648" s="1" t="n">
        <v>1699.9</v>
      </c>
      <c r="Q648" s="1" t="n">
        <v>15299.1</v>
      </c>
      <c r="R648" s="1" t="n">
        <v>2753.84</v>
      </c>
      <c r="S648" s="1" t="n">
        <v>12545.26</v>
      </c>
      <c r="T648" s="1" t="n">
        <v>6045.59</v>
      </c>
      <c r="U648" s="1" t="n">
        <v>6499.67</v>
      </c>
      <c r="V648" s="1" t="n">
        <v>51.81</v>
      </c>
      <c r="W648" s="1" t="s">
        <v>39</v>
      </c>
      <c r="X648" s="1" t="n">
        <v>2.8</v>
      </c>
      <c r="Y648" s="1" t="s">
        <v>40</v>
      </c>
      <c r="Z648" s="1" t="n">
        <v>0</v>
      </c>
    </row>
    <row r="649" customFormat="false" ht="15" hidden="false" customHeight="true" outlineLevel="0" collapsed="false">
      <c r="A649" s="1" t="s">
        <v>1251</v>
      </c>
      <c r="B649" s="1" t="s">
        <v>772</v>
      </c>
      <c r="C649" s="1" t="s">
        <v>128</v>
      </c>
      <c r="D649" s="1" t="s">
        <v>80</v>
      </c>
      <c r="E649" s="1" t="s">
        <v>193</v>
      </c>
      <c r="F649" s="1" t="s">
        <v>96</v>
      </c>
      <c r="G649" s="1" t="s">
        <v>97</v>
      </c>
      <c r="H649" s="1" t="s">
        <v>69</v>
      </c>
      <c r="I649" s="1" t="s">
        <v>83</v>
      </c>
      <c r="J649" s="1" t="s">
        <v>70</v>
      </c>
      <c r="K649" s="1" t="s">
        <v>71</v>
      </c>
      <c r="L649" s="1" t="s">
        <v>113</v>
      </c>
      <c r="M649" s="1" t="s">
        <v>38</v>
      </c>
      <c r="N649" s="1" t="n">
        <v>8999</v>
      </c>
      <c r="O649" s="1" t="n">
        <v>50</v>
      </c>
      <c r="P649" s="1" t="n">
        <v>4499.5</v>
      </c>
      <c r="Q649" s="1" t="n">
        <v>4499.5</v>
      </c>
      <c r="R649" s="1" t="n">
        <v>809.91</v>
      </c>
      <c r="S649" s="1" t="n">
        <v>3689.59</v>
      </c>
      <c r="T649" s="1" t="n">
        <v>1984.8</v>
      </c>
      <c r="U649" s="1" t="n">
        <v>1704.79</v>
      </c>
      <c r="V649" s="1" t="n">
        <v>46.21</v>
      </c>
      <c r="W649" s="1" t="s">
        <v>39</v>
      </c>
      <c r="X649" s="1" t="n">
        <v>4.1</v>
      </c>
      <c r="Y649" s="1" t="s">
        <v>40</v>
      </c>
      <c r="Z649" s="1" t="n">
        <v>0</v>
      </c>
    </row>
    <row r="650" customFormat="false" ht="15" hidden="false" customHeight="true" outlineLevel="0" collapsed="false">
      <c r="A650" s="1" t="s">
        <v>1252</v>
      </c>
      <c r="B650" s="1" t="s">
        <v>1253</v>
      </c>
      <c r="C650" s="1" t="s">
        <v>28</v>
      </c>
      <c r="D650" s="1" t="s">
        <v>143</v>
      </c>
      <c r="E650" s="1" t="s">
        <v>159</v>
      </c>
      <c r="F650" s="1" t="s">
        <v>153</v>
      </c>
      <c r="G650" s="1" t="s">
        <v>76</v>
      </c>
      <c r="H650" s="1" t="s">
        <v>33</v>
      </c>
      <c r="I650" s="1" t="s">
        <v>83</v>
      </c>
      <c r="J650" s="1" t="s">
        <v>131</v>
      </c>
      <c r="K650" s="1" t="s">
        <v>90</v>
      </c>
      <c r="L650" s="1" t="s">
        <v>85</v>
      </c>
      <c r="M650" s="1" t="s">
        <v>50</v>
      </c>
      <c r="N650" s="1" t="n">
        <v>24999</v>
      </c>
      <c r="O650" s="1" t="n">
        <v>20</v>
      </c>
      <c r="P650" s="1" t="n">
        <v>4999.8</v>
      </c>
      <c r="Q650" s="1" t="n">
        <v>19999.2</v>
      </c>
      <c r="R650" s="1" t="n">
        <v>3599.86</v>
      </c>
      <c r="S650" s="1" t="n">
        <v>16399.34</v>
      </c>
      <c r="T650" s="1" t="n">
        <v>6155.93</v>
      </c>
      <c r="U650" s="1" t="n">
        <v>10243.41</v>
      </c>
      <c r="V650" s="1" t="n">
        <v>62.46</v>
      </c>
      <c r="W650" s="1" t="s">
        <v>40</v>
      </c>
      <c r="Y650" s="1" t="s">
        <v>40</v>
      </c>
      <c r="Z650" s="1" t="n">
        <v>0</v>
      </c>
    </row>
    <row r="651" customFormat="false" ht="15" hidden="false" customHeight="true" outlineLevel="0" collapsed="false">
      <c r="A651" s="1" t="s">
        <v>1254</v>
      </c>
      <c r="B651" s="1" t="s">
        <v>945</v>
      </c>
      <c r="C651" s="1" t="s">
        <v>100</v>
      </c>
      <c r="D651" s="1" t="s">
        <v>123</v>
      </c>
      <c r="E651" s="1" t="s">
        <v>233</v>
      </c>
      <c r="F651" s="1" t="s">
        <v>156</v>
      </c>
      <c r="G651" s="1" t="s">
        <v>68</v>
      </c>
      <c r="H651" s="1" t="s">
        <v>57</v>
      </c>
      <c r="I651" s="1" t="s">
        <v>58</v>
      </c>
      <c r="J651" s="1" t="s">
        <v>131</v>
      </c>
      <c r="K651" s="1" t="s">
        <v>36</v>
      </c>
      <c r="L651" s="1" t="s">
        <v>49</v>
      </c>
      <c r="M651" s="1" t="s">
        <v>62</v>
      </c>
      <c r="N651" s="1" t="n">
        <v>8999</v>
      </c>
      <c r="O651" s="1" t="n">
        <v>0</v>
      </c>
      <c r="P651" s="1" t="n">
        <v>0</v>
      </c>
      <c r="Q651" s="1" t="n">
        <v>8999</v>
      </c>
      <c r="R651" s="1" t="n">
        <v>1619.82</v>
      </c>
      <c r="S651" s="1" t="n">
        <v>7379.18</v>
      </c>
      <c r="T651" s="1" t="n">
        <v>3097.18</v>
      </c>
      <c r="U651" s="1" t="n">
        <v>4282</v>
      </c>
      <c r="V651" s="1" t="n">
        <v>58.03</v>
      </c>
      <c r="W651" s="1" t="s">
        <v>40</v>
      </c>
      <c r="Y651" s="1" t="s">
        <v>40</v>
      </c>
      <c r="Z651" s="1" t="n">
        <v>0</v>
      </c>
    </row>
    <row r="652" customFormat="false" ht="15" hidden="false" customHeight="true" outlineLevel="0" collapsed="false">
      <c r="A652" s="1" t="s">
        <v>1255</v>
      </c>
      <c r="B652" s="1" t="s">
        <v>1079</v>
      </c>
      <c r="C652" s="1" t="s">
        <v>178</v>
      </c>
      <c r="D652" s="1" t="s">
        <v>80</v>
      </c>
      <c r="E652" s="1" t="s">
        <v>190</v>
      </c>
      <c r="F652" s="1" t="s">
        <v>96</v>
      </c>
      <c r="G652" s="1" t="s">
        <v>97</v>
      </c>
      <c r="H652" s="1" t="s">
        <v>69</v>
      </c>
      <c r="I652" s="1" t="s">
        <v>83</v>
      </c>
      <c r="J652" s="1" t="s">
        <v>70</v>
      </c>
      <c r="K652" s="1" t="s">
        <v>84</v>
      </c>
      <c r="L652" s="1" t="s">
        <v>61</v>
      </c>
      <c r="M652" s="1" t="s">
        <v>38</v>
      </c>
      <c r="N652" s="1" t="n">
        <v>15999</v>
      </c>
      <c r="O652" s="1" t="n">
        <v>5</v>
      </c>
      <c r="P652" s="1" t="n">
        <v>799.95</v>
      </c>
      <c r="Q652" s="1" t="n">
        <v>15199.05</v>
      </c>
      <c r="R652" s="1" t="n">
        <v>2735.83</v>
      </c>
      <c r="S652" s="1" t="n">
        <v>12463.22</v>
      </c>
      <c r="T652" s="1" t="n">
        <v>5289.31</v>
      </c>
      <c r="U652" s="1" t="n">
        <v>7173.91</v>
      </c>
      <c r="V652" s="1" t="n">
        <v>57.56</v>
      </c>
      <c r="W652" s="1" t="s">
        <v>39</v>
      </c>
      <c r="X652" s="1" t="n">
        <v>4.4</v>
      </c>
      <c r="Y652" s="1" t="s">
        <v>40</v>
      </c>
      <c r="Z652" s="1" t="n">
        <v>0</v>
      </c>
    </row>
    <row r="653" customFormat="false" ht="15" hidden="false" customHeight="true" outlineLevel="0" collapsed="false">
      <c r="A653" s="1" t="s">
        <v>1256</v>
      </c>
      <c r="B653" s="1" t="s">
        <v>444</v>
      </c>
      <c r="C653" s="1" t="s">
        <v>139</v>
      </c>
      <c r="D653" s="1" t="s">
        <v>168</v>
      </c>
      <c r="E653" s="1" t="s">
        <v>172</v>
      </c>
      <c r="F653" s="1" t="s">
        <v>125</v>
      </c>
      <c r="G653" s="1" t="s">
        <v>108</v>
      </c>
      <c r="H653" s="1" t="s">
        <v>69</v>
      </c>
      <c r="I653" s="1" t="s">
        <v>58</v>
      </c>
      <c r="J653" s="1" t="s">
        <v>59</v>
      </c>
      <c r="K653" s="1" t="s">
        <v>84</v>
      </c>
      <c r="L653" s="1" t="s">
        <v>37</v>
      </c>
      <c r="M653" s="1" t="s">
        <v>50</v>
      </c>
      <c r="N653" s="1" t="n">
        <v>6999</v>
      </c>
      <c r="O653" s="1" t="n">
        <v>0</v>
      </c>
      <c r="P653" s="1" t="n">
        <v>0</v>
      </c>
      <c r="Q653" s="1" t="n">
        <v>6999</v>
      </c>
      <c r="R653" s="1" t="n">
        <v>1259.82</v>
      </c>
      <c r="S653" s="1" t="n">
        <v>5739.18</v>
      </c>
      <c r="T653" s="1" t="n">
        <v>2086.86</v>
      </c>
      <c r="U653" s="1" t="n">
        <v>3652.32</v>
      </c>
      <c r="V653" s="1" t="n">
        <v>63.64</v>
      </c>
      <c r="W653" s="1" t="s">
        <v>40</v>
      </c>
      <c r="Y653" s="1" t="s">
        <v>40</v>
      </c>
      <c r="Z653" s="1" t="n">
        <v>0</v>
      </c>
    </row>
    <row r="654" customFormat="false" ht="15" hidden="false" customHeight="true" outlineLevel="0" collapsed="false">
      <c r="A654" s="1" t="s">
        <v>1257</v>
      </c>
      <c r="B654" s="1" t="s">
        <v>625</v>
      </c>
      <c r="C654" s="1" t="s">
        <v>178</v>
      </c>
      <c r="D654" s="1" t="s">
        <v>80</v>
      </c>
      <c r="E654" s="1" t="s">
        <v>81</v>
      </c>
      <c r="F654" s="1" t="s">
        <v>184</v>
      </c>
      <c r="G654" s="1" t="s">
        <v>56</v>
      </c>
      <c r="H654" s="1" t="s">
        <v>57</v>
      </c>
      <c r="I654" s="1" t="s">
        <v>83</v>
      </c>
      <c r="J654" s="1" t="s">
        <v>131</v>
      </c>
      <c r="K654" s="1" t="s">
        <v>112</v>
      </c>
      <c r="L654" s="1" t="s">
        <v>113</v>
      </c>
      <c r="M654" s="1" t="s">
        <v>38</v>
      </c>
      <c r="N654" s="1" t="n">
        <v>12999</v>
      </c>
      <c r="O654" s="1" t="n">
        <v>40</v>
      </c>
      <c r="P654" s="1" t="n">
        <v>5199.6</v>
      </c>
      <c r="Q654" s="1" t="n">
        <v>7799.4</v>
      </c>
      <c r="R654" s="1" t="n">
        <v>1403.89</v>
      </c>
      <c r="S654" s="1" t="n">
        <v>6395.51</v>
      </c>
      <c r="T654" s="1" t="n">
        <v>4010.42</v>
      </c>
      <c r="U654" s="1" t="n">
        <v>2385.09</v>
      </c>
      <c r="V654" s="1" t="n">
        <v>37.29</v>
      </c>
      <c r="W654" s="1" t="s">
        <v>39</v>
      </c>
      <c r="X654" s="1" t="n">
        <v>3.6</v>
      </c>
      <c r="Y654" s="1" t="s">
        <v>40</v>
      </c>
      <c r="Z654" s="1" t="n">
        <v>0</v>
      </c>
    </row>
    <row r="655" customFormat="false" ht="15" hidden="false" customHeight="true" outlineLevel="0" collapsed="false">
      <c r="A655" s="1" t="s">
        <v>1258</v>
      </c>
      <c r="B655" s="1" t="s">
        <v>795</v>
      </c>
      <c r="C655" s="1" t="s">
        <v>119</v>
      </c>
      <c r="D655" s="1" t="s">
        <v>44</v>
      </c>
      <c r="E655" s="1" t="s">
        <v>45</v>
      </c>
      <c r="F655" s="1" t="s">
        <v>184</v>
      </c>
      <c r="G655" s="1" t="s">
        <v>56</v>
      </c>
      <c r="H655" s="1" t="s">
        <v>57</v>
      </c>
      <c r="I655" s="1" t="s">
        <v>58</v>
      </c>
      <c r="J655" s="1" t="s">
        <v>59</v>
      </c>
      <c r="K655" s="1" t="s">
        <v>48</v>
      </c>
      <c r="L655" s="1" t="s">
        <v>136</v>
      </c>
      <c r="M655" s="1" t="s">
        <v>50</v>
      </c>
      <c r="N655" s="1" t="n">
        <v>11999</v>
      </c>
      <c r="O655" s="1" t="n">
        <v>0</v>
      </c>
      <c r="P655" s="1" t="n">
        <v>0</v>
      </c>
      <c r="Q655" s="1" t="n">
        <v>11999</v>
      </c>
      <c r="R655" s="1" t="n">
        <v>2159.82</v>
      </c>
      <c r="S655" s="1" t="n">
        <v>9839.18</v>
      </c>
      <c r="T655" s="1" t="n">
        <v>5447.99</v>
      </c>
      <c r="U655" s="1" t="n">
        <v>4391.19</v>
      </c>
      <c r="V655" s="1" t="n">
        <v>44.63</v>
      </c>
      <c r="W655" s="1" t="s">
        <v>39</v>
      </c>
      <c r="Y655" s="1" t="s">
        <v>40</v>
      </c>
      <c r="Z655" s="1" t="n">
        <v>2</v>
      </c>
    </row>
    <row r="656" customFormat="false" ht="15" hidden="false" customHeight="true" outlineLevel="0" collapsed="false">
      <c r="A656" s="1" t="s">
        <v>1259</v>
      </c>
      <c r="B656" s="1" t="s">
        <v>740</v>
      </c>
      <c r="C656" s="1" t="s">
        <v>167</v>
      </c>
      <c r="D656" s="1" t="s">
        <v>44</v>
      </c>
      <c r="E656" s="1" t="s">
        <v>66</v>
      </c>
      <c r="F656" s="1" t="s">
        <v>55</v>
      </c>
      <c r="G656" s="1" t="s">
        <v>56</v>
      </c>
      <c r="H656" s="1" t="s">
        <v>57</v>
      </c>
      <c r="I656" s="1" t="s">
        <v>83</v>
      </c>
      <c r="J656" s="1" t="s">
        <v>70</v>
      </c>
      <c r="K656" s="1" t="s">
        <v>48</v>
      </c>
      <c r="L656" s="1" t="s">
        <v>85</v>
      </c>
      <c r="M656" s="1" t="s">
        <v>62</v>
      </c>
      <c r="N656" s="1" t="n">
        <v>12999</v>
      </c>
      <c r="O656" s="1" t="n">
        <v>25</v>
      </c>
      <c r="P656" s="1" t="n">
        <v>3249.75</v>
      </c>
      <c r="Q656" s="1" t="n">
        <v>9749.25</v>
      </c>
      <c r="R656" s="1" t="n">
        <v>1754.87</v>
      </c>
      <c r="S656" s="1" t="n">
        <v>7994.38</v>
      </c>
      <c r="T656" s="1" t="n">
        <v>3436.8</v>
      </c>
      <c r="U656" s="1" t="n">
        <v>4557.58</v>
      </c>
      <c r="V656" s="1" t="n">
        <v>57.01</v>
      </c>
      <c r="W656" s="1" t="s">
        <v>39</v>
      </c>
      <c r="X656" s="1" t="n">
        <v>3.5</v>
      </c>
      <c r="Y656" s="1" t="s">
        <v>40</v>
      </c>
      <c r="Z656" s="1" t="n">
        <v>0</v>
      </c>
    </row>
    <row r="657" customFormat="false" ht="15" hidden="false" customHeight="true" outlineLevel="0" collapsed="false">
      <c r="A657" s="1" t="s">
        <v>1260</v>
      </c>
      <c r="B657" s="1" t="s">
        <v>526</v>
      </c>
      <c r="C657" s="1" t="s">
        <v>100</v>
      </c>
      <c r="D657" s="1" t="s">
        <v>94</v>
      </c>
      <c r="E657" s="1" t="s">
        <v>95</v>
      </c>
      <c r="F657" s="1" t="s">
        <v>46</v>
      </c>
      <c r="G657" s="1" t="s">
        <v>47</v>
      </c>
      <c r="H657" s="1" t="s">
        <v>33</v>
      </c>
      <c r="I657" s="1" t="s">
        <v>83</v>
      </c>
      <c r="J657" s="1" t="s">
        <v>77</v>
      </c>
      <c r="K657" s="1" t="s">
        <v>112</v>
      </c>
      <c r="L657" s="1" t="s">
        <v>37</v>
      </c>
      <c r="M657" s="1" t="s">
        <v>38</v>
      </c>
      <c r="N657" s="1" t="n">
        <v>6999</v>
      </c>
      <c r="O657" s="1" t="n">
        <v>15</v>
      </c>
      <c r="P657" s="1" t="n">
        <v>1049.85</v>
      </c>
      <c r="Q657" s="1" t="n">
        <v>5949.15</v>
      </c>
      <c r="R657" s="1" t="n">
        <v>1070.85</v>
      </c>
      <c r="S657" s="1" t="n">
        <v>4878.3</v>
      </c>
      <c r="T657" s="1" t="n">
        <v>2428.8</v>
      </c>
      <c r="U657" s="1" t="n">
        <v>2449.5</v>
      </c>
      <c r="V657" s="1" t="n">
        <v>50.21</v>
      </c>
      <c r="W657" s="1" t="s">
        <v>39</v>
      </c>
      <c r="X657" s="1" t="n">
        <v>3.2</v>
      </c>
      <c r="Y657" s="1" t="s">
        <v>40</v>
      </c>
      <c r="Z657" s="1" t="n">
        <v>0</v>
      </c>
    </row>
    <row r="658" customFormat="false" ht="15" hidden="false" customHeight="true" outlineLevel="0" collapsed="false">
      <c r="A658" s="1" t="s">
        <v>1261</v>
      </c>
      <c r="B658" s="1" t="s">
        <v>1262</v>
      </c>
      <c r="C658" s="1" t="s">
        <v>100</v>
      </c>
      <c r="D658" s="1" t="s">
        <v>143</v>
      </c>
      <c r="E658" s="1" t="s">
        <v>159</v>
      </c>
      <c r="F658" s="1" t="s">
        <v>211</v>
      </c>
      <c r="G658" s="1" t="s">
        <v>56</v>
      </c>
      <c r="H658" s="1" t="s">
        <v>69</v>
      </c>
      <c r="I658" s="1" t="s">
        <v>34</v>
      </c>
      <c r="J658" s="1" t="s">
        <v>77</v>
      </c>
      <c r="K658" s="1" t="s">
        <v>71</v>
      </c>
      <c r="L658" s="1" t="s">
        <v>49</v>
      </c>
      <c r="M658" s="1" t="s">
        <v>50</v>
      </c>
      <c r="N658" s="1" t="n">
        <v>24999</v>
      </c>
      <c r="O658" s="1" t="n">
        <v>30</v>
      </c>
      <c r="P658" s="1" t="n">
        <v>7499.7</v>
      </c>
      <c r="Q658" s="1" t="n">
        <v>17499.3</v>
      </c>
      <c r="R658" s="1" t="n">
        <v>3149.87</v>
      </c>
      <c r="S658" s="1" t="n">
        <v>14349.43</v>
      </c>
      <c r="T658" s="1" t="n">
        <v>4630.75</v>
      </c>
      <c r="U658" s="1" t="n">
        <v>9718.68</v>
      </c>
      <c r="V658" s="1" t="n">
        <v>67.73</v>
      </c>
      <c r="W658" s="1" t="s">
        <v>40</v>
      </c>
      <c r="Y658" s="1" t="s">
        <v>40</v>
      </c>
      <c r="Z658" s="1" t="n">
        <v>1</v>
      </c>
    </row>
    <row r="659" customFormat="false" ht="15" hidden="false" customHeight="true" outlineLevel="0" collapsed="false">
      <c r="A659" s="1" t="s">
        <v>1263</v>
      </c>
      <c r="B659" s="1" t="s">
        <v>1264</v>
      </c>
      <c r="C659" s="1" t="s">
        <v>65</v>
      </c>
      <c r="D659" s="1" t="s">
        <v>143</v>
      </c>
      <c r="E659" s="1" t="s">
        <v>144</v>
      </c>
      <c r="F659" s="1" t="s">
        <v>269</v>
      </c>
      <c r="G659" s="1" t="s">
        <v>108</v>
      </c>
      <c r="H659" s="1" t="s">
        <v>57</v>
      </c>
      <c r="I659" s="1" t="s">
        <v>34</v>
      </c>
      <c r="J659" s="1" t="s">
        <v>77</v>
      </c>
      <c r="K659" s="1" t="s">
        <v>84</v>
      </c>
      <c r="L659" s="1" t="s">
        <v>49</v>
      </c>
      <c r="M659" s="1" t="s">
        <v>50</v>
      </c>
      <c r="N659" s="1" t="n">
        <v>12999</v>
      </c>
      <c r="O659" s="1" t="n">
        <v>50</v>
      </c>
      <c r="P659" s="1" t="n">
        <v>6499.5</v>
      </c>
      <c r="Q659" s="1" t="n">
        <v>6499.5</v>
      </c>
      <c r="R659" s="1" t="n">
        <v>1169.91</v>
      </c>
      <c r="S659" s="1" t="n">
        <v>5329.59</v>
      </c>
      <c r="T659" s="1" t="n">
        <v>2883.85</v>
      </c>
      <c r="U659" s="1" t="n">
        <v>2445.74</v>
      </c>
      <c r="V659" s="1" t="n">
        <v>45.89</v>
      </c>
      <c r="W659" s="1" t="s">
        <v>40</v>
      </c>
      <c r="Y659" s="1" t="s">
        <v>39</v>
      </c>
      <c r="Z659" s="1" t="n">
        <v>2</v>
      </c>
    </row>
    <row r="660" customFormat="false" ht="15" hidden="false" customHeight="true" outlineLevel="0" collapsed="false">
      <c r="A660" s="1" t="s">
        <v>1265</v>
      </c>
      <c r="B660" s="1" t="s">
        <v>1266</v>
      </c>
      <c r="C660" s="1" t="s">
        <v>119</v>
      </c>
      <c r="D660" s="1" t="s">
        <v>168</v>
      </c>
      <c r="E660" s="1" t="s">
        <v>172</v>
      </c>
      <c r="F660" s="1" t="s">
        <v>107</v>
      </c>
      <c r="G660" s="1" t="s">
        <v>108</v>
      </c>
      <c r="H660" s="1" t="s">
        <v>33</v>
      </c>
      <c r="I660" s="1" t="s">
        <v>34</v>
      </c>
      <c r="J660" s="1" t="s">
        <v>59</v>
      </c>
      <c r="K660" s="1" t="s">
        <v>84</v>
      </c>
      <c r="L660" s="1" t="s">
        <v>113</v>
      </c>
      <c r="M660" s="1" t="s">
        <v>62</v>
      </c>
      <c r="N660" s="1" t="n">
        <v>6999</v>
      </c>
      <c r="O660" s="1" t="n">
        <v>5</v>
      </c>
      <c r="P660" s="1" t="n">
        <v>349.95</v>
      </c>
      <c r="Q660" s="1" t="n">
        <v>6649.05</v>
      </c>
      <c r="R660" s="1" t="n">
        <v>1196.83</v>
      </c>
      <c r="S660" s="1" t="n">
        <v>5452.22</v>
      </c>
      <c r="T660" s="1" t="n">
        <v>2582.63</v>
      </c>
      <c r="U660" s="1" t="n">
        <v>2869.59</v>
      </c>
      <c r="V660" s="1" t="n">
        <v>52.63</v>
      </c>
      <c r="W660" s="1" t="s">
        <v>39</v>
      </c>
      <c r="X660" s="1" t="n">
        <v>4.1</v>
      </c>
      <c r="Y660" s="1" t="s">
        <v>40</v>
      </c>
      <c r="Z660" s="1" t="n">
        <v>1</v>
      </c>
    </row>
    <row r="661" customFormat="false" ht="15" hidden="false" customHeight="true" outlineLevel="0" collapsed="false">
      <c r="A661" s="1" t="s">
        <v>1267</v>
      </c>
      <c r="B661" s="1" t="s">
        <v>965</v>
      </c>
      <c r="C661" s="1" t="s">
        <v>128</v>
      </c>
      <c r="D661" s="1" t="s">
        <v>44</v>
      </c>
      <c r="E661" s="1" t="s">
        <v>221</v>
      </c>
      <c r="F661" s="1" t="s">
        <v>130</v>
      </c>
      <c r="G661" s="1" t="s">
        <v>47</v>
      </c>
      <c r="H661" s="1" t="s">
        <v>69</v>
      </c>
      <c r="I661" s="1" t="s">
        <v>58</v>
      </c>
      <c r="J661" s="1" t="s">
        <v>77</v>
      </c>
      <c r="K661" s="1" t="s">
        <v>112</v>
      </c>
      <c r="L661" s="1" t="s">
        <v>85</v>
      </c>
      <c r="M661" s="1" t="s">
        <v>50</v>
      </c>
      <c r="N661" s="1" t="n">
        <v>16999</v>
      </c>
      <c r="O661" s="1" t="n">
        <v>15</v>
      </c>
      <c r="P661" s="1" t="n">
        <v>2549.85</v>
      </c>
      <c r="Q661" s="1" t="n">
        <v>14449.15</v>
      </c>
      <c r="R661" s="1" t="n">
        <v>2600.85</v>
      </c>
      <c r="S661" s="1" t="n">
        <v>11848.3</v>
      </c>
      <c r="T661" s="1" t="n">
        <v>5110.74</v>
      </c>
      <c r="U661" s="1" t="n">
        <v>6737.56</v>
      </c>
      <c r="V661" s="1" t="n">
        <v>56.87</v>
      </c>
      <c r="W661" s="1" t="s">
        <v>39</v>
      </c>
      <c r="X661" s="1" t="n">
        <v>3.9</v>
      </c>
      <c r="Y661" s="1" t="s">
        <v>40</v>
      </c>
      <c r="Z661" s="1" t="n">
        <v>0</v>
      </c>
    </row>
    <row r="662" customFormat="false" ht="15" hidden="false" customHeight="true" outlineLevel="0" collapsed="false">
      <c r="A662" s="1" t="s">
        <v>1268</v>
      </c>
      <c r="B662" s="1" t="s">
        <v>1196</v>
      </c>
      <c r="C662" s="1" t="s">
        <v>88</v>
      </c>
      <c r="D662" s="1" t="s">
        <v>80</v>
      </c>
      <c r="E662" s="1" t="s">
        <v>193</v>
      </c>
      <c r="F662" s="1" t="s">
        <v>107</v>
      </c>
      <c r="G662" s="1" t="s">
        <v>108</v>
      </c>
      <c r="H662" s="1" t="s">
        <v>33</v>
      </c>
      <c r="I662" s="1" t="s">
        <v>34</v>
      </c>
      <c r="J662" s="1" t="s">
        <v>77</v>
      </c>
      <c r="K662" s="1" t="s">
        <v>71</v>
      </c>
      <c r="L662" s="1" t="s">
        <v>85</v>
      </c>
      <c r="M662" s="1" t="s">
        <v>38</v>
      </c>
      <c r="N662" s="1" t="n">
        <v>8999</v>
      </c>
      <c r="O662" s="1" t="n">
        <v>0</v>
      </c>
      <c r="P662" s="1" t="n">
        <v>0</v>
      </c>
      <c r="Q662" s="1" t="n">
        <v>8999</v>
      </c>
      <c r="R662" s="1" t="n">
        <v>1619.82</v>
      </c>
      <c r="S662" s="1" t="n">
        <v>7379.18</v>
      </c>
      <c r="T662" s="1" t="n">
        <v>3186.47</v>
      </c>
      <c r="U662" s="1" t="n">
        <v>4192.71</v>
      </c>
      <c r="V662" s="1" t="n">
        <v>56.82</v>
      </c>
      <c r="W662" s="1" t="s">
        <v>40</v>
      </c>
      <c r="Y662" s="1" t="s">
        <v>40</v>
      </c>
      <c r="Z662" s="1" t="n">
        <v>0</v>
      </c>
    </row>
    <row r="663" customFormat="false" ht="15" hidden="false" customHeight="true" outlineLevel="0" collapsed="false">
      <c r="A663" s="1" t="s">
        <v>1269</v>
      </c>
      <c r="B663" s="1" t="s">
        <v>229</v>
      </c>
      <c r="C663" s="1" t="s">
        <v>178</v>
      </c>
      <c r="D663" s="1" t="s">
        <v>80</v>
      </c>
      <c r="E663" s="1" t="s">
        <v>193</v>
      </c>
      <c r="F663" s="1" t="s">
        <v>55</v>
      </c>
      <c r="G663" s="1" t="s">
        <v>56</v>
      </c>
      <c r="H663" s="1" t="s">
        <v>57</v>
      </c>
      <c r="I663" s="1" t="s">
        <v>83</v>
      </c>
      <c r="J663" s="1" t="s">
        <v>131</v>
      </c>
      <c r="K663" s="1" t="s">
        <v>48</v>
      </c>
      <c r="L663" s="1" t="s">
        <v>49</v>
      </c>
      <c r="M663" s="1" t="s">
        <v>38</v>
      </c>
      <c r="N663" s="1" t="n">
        <v>8999</v>
      </c>
      <c r="O663" s="1" t="n">
        <v>0</v>
      </c>
      <c r="P663" s="1" t="n">
        <v>0</v>
      </c>
      <c r="Q663" s="1" t="n">
        <v>8999</v>
      </c>
      <c r="R663" s="1" t="n">
        <v>1619.82</v>
      </c>
      <c r="S663" s="1" t="n">
        <v>7379.18</v>
      </c>
      <c r="T663" s="1" t="n">
        <v>2865.87</v>
      </c>
      <c r="U663" s="1" t="n">
        <v>4513.31</v>
      </c>
      <c r="V663" s="1" t="n">
        <v>61.16</v>
      </c>
      <c r="W663" s="1" t="s">
        <v>40</v>
      </c>
      <c r="Y663" s="1" t="s">
        <v>40</v>
      </c>
      <c r="Z663" s="1" t="n">
        <v>0</v>
      </c>
    </row>
    <row r="664" customFormat="false" ht="15" hidden="false" customHeight="true" outlineLevel="0" collapsed="false">
      <c r="A664" s="1" t="s">
        <v>1270</v>
      </c>
      <c r="B664" s="1" t="s">
        <v>1271</v>
      </c>
      <c r="C664" s="1" t="s">
        <v>264</v>
      </c>
      <c r="D664" s="1" t="s">
        <v>53</v>
      </c>
      <c r="E664" s="1" t="s">
        <v>54</v>
      </c>
      <c r="F664" s="1" t="s">
        <v>184</v>
      </c>
      <c r="G664" s="1" t="s">
        <v>56</v>
      </c>
      <c r="H664" s="1" t="s">
        <v>57</v>
      </c>
      <c r="I664" s="1" t="s">
        <v>58</v>
      </c>
      <c r="J664" s="1" t="s">
        <v>131</v>
      </c>
      <c r="K664" s="1" t="s">
        <v>48</v>
      </c>
      <c r="L664" s="1" t="s">
        <v>49</v>
      </c>
      <c r="M664" s="1" t="s">
        <v>50</v>
      </c>
      <c r="N664" s="1" t="n">
        <v>11999</v>
      </c>
      <c r="O664" s="1" t="n">
        <v>40</v>
      </c>
      <c r="P664" s="1" t="n">
        <v>4799.6</v>
      </c>
      <c r="Q664" s="1" t="n">
        <v>7199.4</v>
      </c>
      <c r="R664" s="1" t="n">
        <v>1295.89</v>
      </c>
      <c r="S664" s="1" t="n">
        <v>5903.51</v>
      </c>
      <c r="T664" s="1" t="n">
        <v>3016.25</v>
      </c>
      <c r="U664" s="1" t="n">
        <v>2887.26</v>
      </c>
      <c r="V664" s="1" t="n">
        <v>48.91</v>
      </c>
      <c r="W664" s="1" t="s">
        <v>40</v>
      </c>
      <c r="Y664" s="1" t="s">
        <v>40</v>
      </c>
      <c r="Z664" s="1" t="n">
        <v>0</v>
      </c>
    </row>
    <row r="665" customFormat="false" ht="15" hidden="false" customHeight="true" outlineLevel="0" collapsed="false">
      <c r="A665" s="1" t="s">
        <v>1272</v>
      </c>
      <c r="B665" s="1" t="s">
        <v>311</v>
      </c>
      <c r="C665" s="1" t="s">
        <v>178</v>
      </c>
      <c r="D665" s="1" t="s">
        <v>168</v>
      </c>
      <c r="E665" s="1" t="s">
        <v>197</v>
      </c>
      <c r="F665" s="1" t="s">
        <v>187</v>
      </c>
      <c r="G665" s="1" t="s">
        <v>97</v>
      </c>
      <c r="H665" s="1" t="s">
        <v>69</v>
      </c>
      <c r="I665" s="1" t="s">
        <v>83</v>
      </c>
      <c r="J665" s="1" t="s">
        <v>70</v>
      </c>
      <c r="K665" s="1" t="s">
        <v>104</v>
      </c>
      <c r="L665" s="1" t="s">
        <v>113</v>
      </c>
      <c r="M665" s="1" t="s">
        <v>62</v>
      </c>
      <c r="N665" s="1" t="n">
        <v>8499</v>
      </c>
      <c r="O665" s="1" t="n">
        <v>15</v>
      </c>
      <c r="P665" s="1" t="n">
        <v>1274.85</v>
      </c>
      <c r="Q665" s="1" t="n">
        <v>7224.15</v>
      </c>
      <c r="R665" s="1" t="n">
        <v>1300.35</v>
      </c>
      <c r="S665" s="1" t="n">
        <v>5923.8</v>
      </c>
      <c r="T665" s="1" t="n">
        <v>1859.75</v>
      </c>
      <c r="U665" s="1" t="n">
        <v>4064.05</v>
      </c>
      <c r="V665" s="1" t="n">
        <v>68.61</v>
      </c>
      <c r="W665" s="1" t="s">
        <v>40</v>
      </c>
      <c r="Y665" s="1" t="s">
        <v>40</v>
      </c>
      <c r="Z665" s="1" t="n">
        <v>0</v>
      </c>
    </row>
    <row r="666" customFormat="false" ht="15" hidden="false" customHeight="true" outlineLevel="0" collapsed="false">
      <c r="A666" s="1" t="s">
        <v>1273</v>
      </c>
      <c r="B666" s="1" t="s">
        <v>698</v>
      </c>
      <c r="C666" s="1" t="s">
        <v>178</v>
      </c>
      <c r="D666" s="1" t="s">
        <v>143</v>
      </c>
      <c r="E666" s="1" t="s">
        <v>144</v>
      </c>
      <c r="F666" s="1" t="s">
        <v>31</v>
      </c>
      <c r="G666" s="1" t="s">
        <v>32</v>
      </c>
      <c r="H666" s="1" t="s">
        <v>33</v>
      </c>
      <c r="I666" s="1" t="s">
        <v>58</v>
      </c>
      <c r="J666" s="1" t="s">
        <v>70</v>
      </c>
      <c r="K666" s="1" t="s">
        <v>84</v>
      </c>
      <c r="L666" s="1" t="s">
        <v>136</v>
      </c>
      <c r="M666" s="1" t="s">
        <v>38</v>
      </c>
      <c r="N666" s="1" t="n">
        <v>12999</v>
      </c>
      <c r="O666" s="1" t="n">
        <v>20</v>
      </c>
      <c r="P666" s="1" t="n">
        <v>2599.8</v>
      </c>
      <c r="Q666" s="1" t="n">
        <v>10399.2</v>
      </c>
      <c r="R666" s="1" t="n">
        <v>1871.86</v>
      </c>
      <c r="S666" s="1" t="n">
        <v>8527.34</v>
      </c>
      <c r="T666" s="1" t="n">
        <v>4209.16</v>
      </c>
      <c r="U666" s="1" t="n">
        <v>4318.18</v>
      </c>
      <c r="V666" s="1" t="n">
        <v>50.64</v>
      </c>
      <c r="W666" s="1" t="s">
        <v>39</v>
      </c>
      <c r="X666" s="1" t="n">
        <v>4.1</v>
      </c>
      <c r="Y666" s="1" t="s">
        <v>40</v>
      </c>
      <c r="Z666" s="1" t="n">
        <v>1</v>
      </c>
    </row>
    <row r="667" customFormat="false" ht="15" hidden="false" customHeight="true" outlineLevel="0" collapsed="false">
      <c r="A667" s="1" t="s">
        <v>1274</v>
      </c>
      <c r="B667" s="1" t="s">
        <v>1275</v>
      </c>
      <c r="C667" s="1" t="s">
        <v>65</v>
      </c>
      <c r="D667" s="1" t="s">
        <v>94</v>
      </c>
      <c r="E667" s="1" t="s">
        <v>95</v>
      </c>
      <c r="F667" s="1" t="s">
        <v>46</v>
      </c>
      <c r="G667" s="1" t="s">
        <v>47</v>
      </c>
      <c r="H667" s="1" t="s">
        <v>33</v>
      </c>
      <c r="I667" s="1" t="s">
        <v>58</v>
      </c>
      <c r="J667" s="1" t="s">
        <v>35</v>
      </c>
      <c r="K667" s="1" t="s">
        <v>71</v>
      </c>
      <c r="L667" s="1" t="s">
        <v>37</v>
      </c>
      <c r="M667" s="1" t="s">
        <v>38</v>
      </c>
      <c r="N667" s="1" t="n">
        <v>6999</v>
      </c>
      <c r="O667" s="1" t="n">
        <v>40</v>
      </c>
      <c r="P667" s="1" t="n">
        <v>2799.6</v>
      </c>
      <c r="Q667" s="1" t="n">
        <v>4199.4</v>
      </c>
      <c r="R667" s="1" t="n">
        <v>755.89</v>
      </c>
      <c r="S667" s="1" t="n">
        <v>3443.51</v>
      </c>
      <c r="T667" s="1" t="n">
        <v>1762.08</v>
      </c>
      <c r="U667" s="1" t="n">
        <v>1681.43</v>
      </c>
      <c r="V667" s="1" t="n">
        <v>48.83</v>
      </c>
      <c r="W667" s="1" t="s">
        <v>39</v>
      </c>
      <c r="X667" s="1" t="n">
        <v>2.6</v>
      </c>
      <c r="Y667" s="1" t="s">
        <v>40</v>
      </c>
      <c r="Z667" s="1" t="n">
        <v>1</v>
      </c>
    </row>
    <row r="668" customFormat="false" ht="15" hidden="false" customHeight="true" outlineLevel="0" collapsed="false">
      <c r="A668" s="1" t="s">
        <v>1276</v>
      </c>
      <c r="B668" s="1" t="s">
        <v>1092</v>
      </c>
      <c r="C668" s="1" t="s">
        <v>128</v>
      </c>
      <c r="D668" s="1" t="s">
        <v>80</v>
      </c>
      <c r="E668" s="1" t="s">
        <v>175</v>
      </c>
      <c r="F668" s="1" t="s">
        <v>67</v>
      </c>
      <c r="G668" s="1" t="s">
        <v>68</v>
      </c>
      <c r="H668" s="1" t="s">
        <v>69</v>
      </c>
      <c r="I668" s="1" t="s">
        <v>58</v>
      </c>
      <c r="J668" s="1" t="s">
        <v>77</v>
      </c>
      <c r="K668" s="1" t="s">
        <v>60</v>
      </c>
      <c r="L668" s="1" t="s">
        <v>37</v>
      </c>
      <c r="M668" s="1" t="s">
        <v>62</v>
      </c>
      <c r="N668" s="1" t="n">
        <v>19999</v>
      </c>
      <c r="O668" s="1" t="n">
        <v>25</v>
      </c>
      <c r="P668" s="1" t="n">
        <v>4999.75</v>
      </c>
      <c r="Q668" s="1" t="n">
        <v>14999.25</v>
      </c>
      <c r="R668" s="1" t="n">
        <v>2699.86</v>
      </c>
      <c r="S668" s="1" t="n">
        <v>12299.39</v>
      </c>
      <c r="T668" s="1" t="n">
        <v>4306.67</v>
      </c>
      <c r="U668" s="1" t="n">
        <v>7992.72</v>
      </c>
      <c r="V668" s="1" t="n">
        <v>64.98</v>
      </c>
      <c r="W668" s="1" t="s">
        <v>39</v>
      </c>
      <c r="X668" s="1" t="n">
        <v>3.8</v>
      </c>
      <c r="Y668" s="1" t="s">
        <v>40</v>
      </c>
      <c r="Z668" s="1" t="n">
        <v>0</v>
      </c>
    </row>
    <row r="669" customFormat="false" ht="15" hidden="false" customHeight="true" outlineLevel="0" collapsed="false">
      <c r="A669" s="1" t="s">
        <v>1277</v>
      </c>
      <c r="B669" s="1" t="s">
        <v>535</v>
      </c>
      <c r="C669" s="1" t="s">
        <v>43</v>
      </c>
      <c r="D669" s="1" t="s">
        <v>143</v>
      </c>
      <c r="E669" s="1" t="s">
        <v>159</v>
      </c>
      <c r="F669" s="1" t="s">
        <v>130</v>
      </c>
      <c r="G669" s="1" t="s">
        <v>47</v>
      </c>
      <c r="H669" s="1" t="s">
        <v>69</v>
      </c>
      <c r="I669" s="1" t="s">
        <v>34</v>
      </c>
      <c r="J669" s="1" t="s">
        <v>70</v>
      </c>
      <c r="K669" s="1" t="s">
        <v>90</v>
      </c>
      <c r="L669" s="1" t="s">
        <v>49</v>
      </c>
      <c r="M669" s="1" t="s">
        <v>38</v>
      </c>
      <c r="N669" s="1" t="n">
        <v>24999</v>
      </c>
      <c r="O669" s="1" t="n">
        <v>10</v>
      </c>
      <c r="P669" s="1" t="n">
        <v>2499.9</v>
      </c>
      <c r="Q669" s="1" t="n">
        <v>22499.1</v>
      </c>
      <c r="R669" s="1" t="n">
        <v>4049.84</v>
      </c>
      <c r="S669" s="1" t="n">
        <v>18449.26</v>
      </c>
      <c r="T669" s="1" t="n">
        <v>5801.74</v>
      </c>
      <c r="U669" s="1" t="n">
        <v>12647.52</v>
      </c>
      <c r="V669" s="1" t="n">
        <v>68.55</v>
      </c>
      <c r="W669" s="1" t="s">
        <v>39</v>
      </c>
      <c r="X669" s="1" t="n">
        <v>2.9</v>
      </c>
      <c r="Y669" s="1" t="s">
        <v>40</v>
      </c>
      <c r="Z669" s="1" t="n">
        <v>0</v>
      </c>
    </row>
    <row r="670" customFormat="false" ht="15" hidden="false" customHeight="true" outlineLevel="0" collapsed="false">
      <c r="A670" s="1" t="s">
        <v>1278</v>
      </c>
      <c r="B670" s="1" t="s">
        <v>237</v>
      </c>
      <c r="C670" s="1" t="s">
        <v>264</v>
      </c>
      <c r="D670" s="1" t="s">
        <v>80</v>
      </c>
      <c r="E670" s="1" t="s">
        <v>190</v>
      </c>
      <c r="F670" s="1" t="s">
        <v>55</v>
      </c>
      <c r="G670" s="1" t="s">
        <v>56</v>
      </c>
      <c r="H670" s="1" t="s">
        <v>57</v>
      </c>
      <c r="I670" s="1" t="s">
        <v>34</v>
      </c>
      <c r="J670" s="1" t="s">
        <v>70</v>
      </c>
      <c r="K670" s="1" t="s">
        <v>90</v>
      </c>
      <c r="L670" s="1" t="s">
        <v>136</v>
      </c>
      <c r="M670" s="1" t="s">
        <v>62</v>
      </c>
      <c r="N670" s="1" t="n">
        <v>15999</v>
      </c>
      <c r="O670" s="1" t="n">
        <v>20</v>
      </c>
      <c r="P670" s="1" t="n">
        <v>3199.8</v>
      </c>
      <c r="Q670" s="1" t="n">
        <v>12799.2</v>
      </c>
      <c r="R670" s="1" t="n">
        <v>2303.86</v>
      </c>
      <c r="S670" s="1" t="n">
        <v>10495.34</v>
      </c>
      <c r="T670" s="1" t="n">
        <v>4043.5</v>
      </c>
      <c r="U670" s="1" t="n">
        <v>6451.84</v>
      </c>
      <c r="V670" s="1" t="n">
        <v>61.47</v>
      </c>
      <c r="W670" s="1" t="s">
        <v>39</v>
      </c>
      <c r="X670" s="1" t="n">
        <v>3.8</v>
      </c>
      <c r="Y670" s="1" t="s">
        <v>40</v>
      </c>
      <c r="Z670" s="1" t="n">
        <v>1</v>
      </c>
    </row>
    <row r="671" customFormat="false" ht="15" hidden="false" customHeight="true" outlineLevel="0" collapsed="false">
      <c r="A671" s="1" t="s">
        <v>1279</v>
      </c>
      <c r="B671" s="1" t="s">
        <v>1280</v>
      </c>
      <c r="C671" s="1" t="s">
        <v>28</v>
      </c>
      <c r="D671" s="1" t="s">
        <v>94</v>
      </c>
      <c r="E671" s="1" t="s">
        <v>135</v>
      </c>
      <c r="F671" s="1" t="s">
        <v>75</v>
      </c>
      <c r="G671" s="1" t="s">
        <v>76</v>
      </c>
      <c r="H671" s="1" t="s">
        <v>69</v>
      </c>
      <c r="I671" s="1" t="s">
        <v>58</v>
      </c>
      <c r="J671" s="1" t="s">
        <v>59</v>
      </c>
      <c r="K671" s="1" t="s">
        <v>48</v>
      </c>
      <c r="L671" s="1" t="s">
        <v>85</v>
      </c>
      <c r="M671" s="1" t="s">
        <v>50</v>
      </c>
      <c r="N671" s="1" t="n">
        <v>9999</v>
      </c>
      <c r="O671" s="1" t="n">
        <v>15</v>
      </c>
      <c r="P671" s="1" t="n">
        <v>1499.85</v>
      </c>
      <c r="Q671" s="1" t="n">
        <v>8499.15</v>
      </c>
      <c r="R671" s="1" t="n">
        <v>1529.85</v>
      </c>
      <c r="S671" s="1" t="n">
        <v>6969.3</v>
      </c>
      <c r="T671" s="1" t="n">
        <v>2217.78</v>
      </c>
      <c r="U671" s="1" t="n">
        <v>4751.52</v>
      </c>
      <c r="V671" s="1" t="n">
        <v>68.18</v>
      </c>
      <c r="W671" s="1" t="s">
        <v>39</v>
      </c>
      <c r="X671" s="1" t="n">
        <v>3.6</v>
      </c>
      <c r="Y671" s="1" t="s">
        <v>40</v>
      </c>
      <c r="Z671" s="1" t="n">
        <v>0</v>
      </c>
    </row>
    <row r="672" customFormat="false" ht="15" hidden="false" customHeight="true" outlineLevel="0" collapsed="false">
      <c r="A672" s="1" t="s">
        <v>1281</v>
      </c>
      <c r="B672" s="1" t="s">
        <v>952</v>
      </c>
      <c r="C672" s="1" t="s">
        <v>139</v>
      </c>
      <c r="D672" s="1" t="s">
        <v>123</v>
      </c>
      <c r="E672" s="1" t="s">
        <v>124</v>
      </c>
      <c r="F672" s="1" t="s">
        <v>244</v>
      </c>
      <c r="G672" s="1" t="s">
        <v>97</v>
      </c>
      <c r="H672" s="1" t="s">
        <v>57</v>
      </c>
      <c r="I672" s="1" t="s">
        <v>58</v>
      </c>
      <c r="J672" s="1" t="s">
        <v>131</v>
      </c>
      <c r="K672" s="1" t="s">
        <v>36</v>
      </c>
      <c r="L672" s="1" t="s">
        <v>49</v>
      </c>
      <c r="M672" s="1" t="s">
        <v>38</v>
      </c>
      <c r="N672" s="1" t="n">
        <v>4999</v>
      </c>
      <c r="O672" s="1" t="n">
        <v>40</v>
      </c>
      <c r="P672" s="1" t="n">
        <v>1999.6</v>
      </c>
      <c r="Q672" s="1" t="n">
        <v>2999.4</v>
      </c>
      <c r="R672" s="1" t="n">
        <v>539.89</v>
      </c>
      <c r="S672" s="1" t="n">
        <v>2459.51</v>
      </c>
      <c r="T672" s="1" t="n">
        <v>1680.69</v>
      </c>
      <c r="U672" s="1" t="n">
        <v>778.82</v>
      </c>
      <c r="V672" s="1" t="n">
        <v>31.67</v>
      </c>
      <c r="W672" s="1" t="s">
        <v>40</v>
      </c>
      <c r="Y672" s="1" t="s">
        <v>40</v>
      </c>
      <c r="Z672" s="1" t="n">
        <v>1</v>
      </c>
    </row>
    <row r="673" customFormat="false" ht="15" hidden="false" customHeight="true" outlineLevel="0" collapsed="false">
      <c r="A673" s="1" t="s">
        <v>1282</v>
      </c>
      <c r="B673" s="1" t="s">
        <v>395</v>
      </c>
      <c r="C673" s="1" t="s">
        <v>74</v>
      </c>
      <c r="D673" s="1" t="s">
        <v>168</v>
      </c>
      <c r="E673" s="1" t="s">
        <v>169</v>
      </c>
      <c r="F673" s="1" t="s">
        <v>46</v>
      </c>
      <c r="G673" s="1" t="s">
        <v>47</v>
      </c>
      <c r="H673" s="1" t="s">
        <v>33</v>
      </c>
      <c r="I673" s="1" t="s">
        <v>58</v>
      </c>
      <c r="J673" s="1" t="s">
        <v>131</v>
      </c>
      <c r="K673" s="1" t="s">
        <v>90</v>
      </c>
      <c r="L673" s="1" t="s">
        <v>113</v>
      </c>
      <c r="M673" s="1" t="s">
        <v>50</v>
      </c>
      <c r="N673" s="1" t="n">
        <v>4999</v>
      </c>
      <c r="O673" s="1" t="n">
        <v>10</v>
      </c>
      <c r="P673" s="1" t="n">
        <v>499.9</v>
      </c>
      <c r="Q673" s="1" t="n">
        <v>4499.1</v>
      </c>
      <c r="R673" s="1" t="n">
        <v>809.84</v>
      </c>
      <c r="S673" s="1" t="n">
        <v>3689.26</v>
      </c>
      <c r="T673" s="1" t="n">
        <v>1690.68</v>
      </c>
      <c r="U673" s="1" t="n">
        <v>1998.58</v>
      </c>
      <c r="V673" s="1" t="n">
        <v>54.17</v>
      </c>
      <c r="W673" s="1" t="s">
        <v>40</v>
      </c>
      <c r="Y673" s="1" t="s">
        <v>40</v>
      </c>
      <c r="Z673" s="1" t="n">
        <v>3</v>
      </c>
    </row>
    <row r="674" customFormat="false" ht="15" hidden="false" customHeight="true" outlineLevel="0" collapsed="false">
      <c r="A674" s="1" t="s">
        <v>1283</v>
      </c>
      <c r="B674" s="1" t="s">
        <v>225</v>
      </c>
      <c r="C674" s="1" t="s">
        <v>88</v>
      </c>
      <c r="D674" s="1" t="s">
        <v>123</v>
      </c>
      <c r="E674" s="1" t="s">
        <v>124</v>
      </c>
      <c r="F674" s="1" t="s">
        <v>602</v>
      </c>
      <c r="G674" s="1" t="s">
        <v>32</v>
      </c>
      <c r="H674" s="1" t="s">
        <v>33</v>
      </c>
      <c r="I674" s="1" t="s">
        <v>58</v>
      </c>
      <c r="J674" s="1" t="s">
        <v>77</v>
      </c>
      <c r="K674" s="1" t="s">
        <v>84</v>
      </c>
      <c r="L674" s="1" t="s">
        <v>136</v>
      </c>
      <c r="M674" s="1" t="s">
        <v>50</v>
      </c>
      <c r="N674" s="1" t="n">
        <v>4999</v>
      </c>
      <c r="O674" s="1" t="n">
        <v>0</v>
      </c>
      <c r="P674" s="1" t="n">
        <v>0</v>
      </c>
      <c r="Q674" s="1" t="n">
        <v>4999</v>
      </c>
      <c r="R674" s="1" t="n">
        <v>899.82</v>
      </c>
      <c r="S674" s="1" t="n">
        <v>4099.18</v>
      </c>
      <c r="T674" s="1" t="n">
        <v>1660.92</v>
      </c>
      <c r="U674" s="1" t="n">
        <v>2438.26</v>
      </c>
      <c r="V674" s="1" t="n">
        <v>59.48</v>
      </c>
      <c r="W674" s="1" t="s">
        <v>40</v>
      </c>
      <c r="Y674" s="1" t="s">
        <v>40</v>
      </c>
      <c r="Z674" s="1" t="n">
        <v>0</v>
      </c>
    </row>
    <row r="675" customFormat="false" ht="15" hidden="false" customHeight="true" outlineLevel="0" collapsed="false">
      <c r="A675" s="1" t="s">
        <v>1284</v>
      </c>
      <c r="B675" s="1" t="s">
        <v>1285</v>
      </c>
      <c r="C675" s="1" t="s">
        <v>93</v>
      </c>
      <c r="D675" s="1" t="s">
        <v>53</v>
      </c>
      <c r="E675" s="1" t="s">
        <v>116</v>
      </c>
      <c r="F675" s="1" t="s">
        <v>184</v>
      </c>
      <c r="G675" s="1" t="s">
        <v>56</v>
      </c>
      <c r="H675" s="1" t="s">
        <v>57</v>
      </c>
      <c r="I675" s="1" t="s">
        <v>58</v>
      </c>
      <c r="J675" s="1" t="s">
        <v>131</v>
      </c>
      <c r="K675" s="1" t="s">
        <v>71</v>
      </c>
      <c r="L675" s="1" t="s">
        <v>136</v>
      </c>
      <c r="M675" s="1" t="s">
        <v>50</v>
      </c>
      <c r="N675" s="1" t="n">
        <v>9999</v>
      </c>
      <c r="O675" s="1" t="n">
        <v>40</v>
      </c>
      <c r="P675" s="1" t="n">
        <v>3999.6</v>
      </c>
      <c r="Q675" s="1" t="n">
        <v>5999.4</v>
      </c>
      <c r="R675" s="1" t="n">
        <v>1079.89</v>
      </c>
      <c r="S675" s="1" t="n">
        <v>4919.51</v>
      </c>
      <c r="T675" s="1" t="n">
        <v>2720.08</v>
      </c>
      <c r="U675" s="1" t="n">
        <v>2199.43</v>
      </c>
      <c r="V675" s="1" t="n">
        <v>44.71</v>
      </c>
      <c r="W675" s="1" t="s">
        <v>39</v>
      </c>
      <c r="X675" s="1" t="n">
        <v>2.9</v>
      </c>
      <c r="Y675" s="1" t="s">
        <v>40</v>
      </c>
      <c r="Z675" s="1" t="n">
        <v>0</v>
      </c>
    </row>
    <row r="676" customFormat="false" ht="15" hidden="false" customHeight="true" outlineLevel="0" collapsed="false">
      <c r="A676" s="1" t="s">
        <v>1286</v>
      </c>
      <c r="B676" s="1" t="s">
        <v>1168</v>
      </c>
      <c r="C676" s="1" t="s">
        <v>88</v>
      </c>
      <c r="D676" s="1" t="s">
        <v>123</v>
      </c>
      <c r="E676" s="1" t="s">
        <v>147</v>
      </c>
      <c r="F676" s="1" t="s">
        <v>75</v>
      </c>
      <c r="G676" s="1" t="s">
        <v>76</v>
      </c>
      <c r="H676" s="1" t="s">
        <v>69</v>
      </c>
      <c r="I676" s="1" t="s">
        <v>83</v>
      </c>
      <c r="J676" s="1" t="s">
        <v>70</v>
      </c>
      <c r="K676" s="1" t="s">
        <v>36</v>
      </c>
      <c r="L676" s="1" t="s">
        <v>113</v>
      </c>
      <c r="M676" s="1" t="s">
        <v>62</v>
      </c>
      <c r="N676" s="1" t="n">
        <v>6999</v>
      </c>
      <c r="O676" s="1" t="n">
        <v>0</v>
      </c>
      <c r="P676" s="1" t="n">
        <v>0</v>
      </c>
      <c r="Q676" s="1" t="n">
        <v>6999</v>
      </c>
      <c r="R676" s="1" t="n">
        <v>1259.82</v>
      </c>
      <c r="S676" s="1" t="n">
        <v>5739.18</v>
      </c>
      <c r="T676" s="1" t="n">
        <v>2355.38</v>
      </c>
      <c r="U676" s="1" t="n">
        <v>3383.8</v>
      </c>
      <c r="V676" s="1" t="n">
        <v>58.96</v>
      </c>
      <c r="W676" s="1" t="s">
        <v>40</v>
      </c>
      <c r="Y676" s="1" t="s">
        <v>40</v>
      </c>
      <c r="Z676" s="1" t="n">
        <v>0</v>
      </c>
    </row>
    <row r="677" customFormat="false" ht="15" hidden="false" customHeight="true" outlineLevel="0" collapsed="false">
      <c r="A677" s="1" t="s">
        <v>1287</v>
      </c>
      <c r="B677" s="1" t="s">
        <v>762</v>
      </c>
      <c r="C677" s="1" t="s">
        <v>100</v>
      </c>
      <c r="D677" s="1" t="s">
        <v>143</v>
      </c>
      <c r="E677" s="1" t="s">
        <v>162</v>
      </c>
      <c r="F677" s="1" t="s">
        <v>120</v>
      </c>
      <c r="G677" s="1" t="s">
        <v>47</v>
      </c>
      <c r="H677" s="1" t="s">
        <v>57</v>
      </c>
      <c r="I677" s="1" t="s">
        <v>58</v>
      </c>
      <c r="J677" s="1" t="s">
        <v>70</v>
      </c>
      <c r="K677" s="1" t="s">
        <v>104</v>
      </c>
      <c r="L677" s="1" t="s">
        <v>85</v>
      </c>
      <c r="M677" s="1" t="s">
        <v>62</v>
      </c>
      <c r="N677" s="1" t="n">
        <v>14999</v>
      </c>
      <c r="O677" s="1" t="n">
        <v>0</v>
      </c>
      <c r="P677" s="1" t="n">
        <v>0</v>
      </c>
      <c r="Q677" s="1" t="n">
        <v>14999</v>
      </c>
      <c r="R677" s="1" t="n">
        <v>2699.82</v>
      </c>
      <c r="S677" s="1" t="n">
        <v>12299.18</v>
      </c>
      <c r="T677" s="1" t="n">
        <v>5493.24</v>
      </c>
      <c r="U677" s="1" t="n">
        <v>6805.94</v>
      </c>
      <c r="V677" s="1" t="n">
        <v>55.34</v>
      </c>
      <c r="W677" s="1" t="s">
        <v>40</v>
      </c>
      <c r="Y677" s="1" t="s">
        <v>40</v>
      </c>
      <c r="Z677" s="1" t="n">
        <v>2</v>
      </c>
    </row>
    <row r="678" customFormat="false" ht="15" hidden="false" customHeight="true" outlineLevel="0" collapsed="false">
      <c r="A678" s="1" t="s">
        <v>1288</v>
      </c>
      <c r="B678" s="1" t="s">
        <v>1289</v>
      </c>
      <c r="C678" s="1" t="s">
        <v>264</v>
      </c>
      <c r="D678" s="1" t="s">
        <v>94</v>
      </c>
      <c r="E678" s="1" t="s">
        <v>135</v>
      </c>
      <c r="F678" s="1" t="s">
        <v>184</v>
      </c>
      <c r="G678" s="1" t="s">
        <v>56</v>
      </c>
      <c r="H678" s="1" t="s">
        <v>57</v>
      </c>
      <c r="I678" s="1" t="s">
        <v>34</v>
      </c>
      <c r="J678" s="1" t="s">
        <v>35</v>
      </c>
      <c r="K678" s="1" t="s">
        <v>90</v>
      </c>
      <c r="L678" s="1" t="s">
        <v>61</v>
      </c>
      <c r="M678" s="1" t="s">
        <v>62</v>
      </c>
      <c r="N678" s="1" t="n">
        <v>9999</v>
      </c>
      <c r="O678" s="1" t="n">
        <v>0</v>
      </c>
      <c r="P678" s="1" t="n">
        <v>0</v>
      </c>
      <c r="Q678" s="1" t="n">
        <v>9999</v>
      </c>
      <c r="R678" s="1" t="n">
        <v>1799.82</v>
      </c>
      <c r="S678" s="1" t="n">
        <v>8199.18</v>
      </c>
      <c r="T678" s="1" t="n">
        <v>3759.49</v>
      </c>
      <c r="U678" s="1" t="n">
        <v>4439.69</v>
      </c>
      <c r="V678" s="1" t="n">
        <v>54.15</v>
      </c>
      <c r="W678" s="1" t="s">
        <v>40</v>
      </c>
      <c r="Y678" s="1" t="s">
        <v>40</v>
      </c>
      <c r="Z678" s="1" t="n">
        <v>1</v>
      </c>
    </row>
    <row r="679" customFormat="false" ht="15" hidden="false" customHeight="true" outlineLevel="0" collapsed="false">
      <c r="A679" s="1" t="s">
        <v>1290</v>
      </c>
      <c r="B679" s="1" t="s">
        <v>1291</v>
      </c>
      <c r="C679" s="1" t="s">
        <v>93</v>
      </c>
      <c r="D679" s="1" t="s">
        <v>143</v>
      </c>
      <c r="E679" s="1" t="s">
        <v>144</v>
      </c>
      <c r="F679" s="1" t="s">
        <v>187</v>
      </c>
      <c r="G679" s="1" t="s">
        <v>97</v>
      </c>
      <c r="H679" s="1" t="s">
        <v>69</v>
      </c>
      <c r="I679" s="1" t="s">
        <v>58</v>
      </c>
      <c r="J679" s="1" t="s">
        <v>77</v>
      </c>
      <c r="K679" s="1" t="s">
        <v>90</v>
      </c>
      <c r="L679" s="1" t="s">
        <v>49</v>
      </c>
      <c r="M679" s="1" t="s">
        <v>62</v>
      </c>
      <c r="N679" s="1" t="n">
        <v>12999</v>
      </c>
      <c r="O679" s="1" t="n">
        <v>30</v>
      </c>
      <c r="P679" s="1" t="n">
        <v>3899.7</v>
      </c>
      <c r="Q679" s="1" t="n">
        <v>9099.3</v>
      </c>
      <c r="R679" s="1" t="n">
        <v>1637.87</v>
      </c>
      <c r="S679" s="1" t="n">
        <v>7461.43</v>
      </c>
      <c r="T679" s="1" t="n">
        <v>3030.71</v>
      </c>
      <c r="U679" s="1" t="n">
        <v>4430.72</v>
      </c>
      <c r="V679" s="1" t="n">
        <v>59.38</v>
      </c>
      <c r="W679" s="1" t="s">
        <v>39</v>
      </c>
      <c r="X679" s="1" t="n">
        <v>3</v>
      </c>
      <c r="Y679" s="1" t="s">
        <v>40</v>
      </c>
      <c r="Z679" s="1" t="n">
        <v>1</v>
      </c>
    </row>
    <row r="680" customFormat="false" ht="15" hidden="false" customHeight="true" outlineLevel="0" collapsed="false">
      <c r="A680" s="1" t="s">
        <v>1292</v>
      </c>
      <c r="B680" s="1" t="s">
        <v>513</v>
      </c>
      <c r="C680" s="1" t="s">
        <v>134</v>
      </c>
      <c r="D680" s="1" t="s">
        <v>94</v>
      </c>
      <c r="E680" s="1" t="s">
        <v>95</v>
      </c>
      <c r="F680" s="1" t="s">
        <v>211</v>
      </c>
      <c r="G680" s="1" t="s">
        <v>56</v>
      </c>
      <c r="H680" s="1" t="s">
        <v>69</v>
      </c>
      <c r="I680" s="1" t="s">
        <v>58</v>
      </c>
      <c r="J680" s="1" t="s">
        <v>59</v>
      </c>
      <c r="K680" s="1" t="s">
        <v>71</v>
      </c>
      <c r="L680" s="1" t="s">
        <v>85</v>
      </c>
      <c r="M680" s="1" t="s">
        <v>62</v>
      </c>
      <c r="N680" s="1" t="n">
        <v>6999</v>
      </c>
      <c r="O680" s="1" t="n">
        <v>5</v>
      </c>
      <c r="P680" s="1" t="n">
        <v>349.95</v>
      </c>
      <c r="Q680" s="1" t="n">
        <v>6649.05</v>
      </c>
      <c r="R680" s="1" t="n">
        <v>1196.83</v>
      </c>
      <c r="S680" s="1" t="n">
        <v>5452.22</v>
      </c>
      <c r="T680" s="1" t="n">
        <v>1955.28</v>
      </c>
      <c r="U680" s="1" t="n">
        <v>3496.94</v>
      </c>
      <c r="V680" s="1" t="n">
        <v>64.14</v>
      </c>
      <c r="W680" s="1" t="s">
        <v>39</v>
      </c>
      <c r="X680" s="1" t="n">
        <v>3.2</v>
      </c>
      <c r="Y680" s="1" t="s">
        <v>40</v>
      </c>
      <c r="Z680" s="1" t="n">
        <v>0</v>
      </c>
    </row>
    <row r="681" customFormat="false" ht="15" hidden="false" customHeight="true" outlineLevel="0" collapsed="false">
      <c r="A681" s="1" t="s">
        <v>1293</v>
      </c>
      <c r="B681" s="1" t="s">
        <v>1294</v>
      </c>
      <c r="C681" s="1" t="s">
        <v>167</v>
      </c>
      <c r="D681" s="1" t="s">
        <v>123</v>
      </c>
      <c r="E681" s="1" t="s">
        <v>124</v>
      </c>
      <c r="F681" s="1" t="s">
        <v>194</v>
      </c>
      <c r="G681" s="1" t="s">
        <v>103</v>
      </c>
      <c r="H681" s="1" t="s">
        <v>69</v>
      </c>
      <c r="I681" s="1" t="s">
        <v>58</v>
      </c>
      <c r="J681" s="1" t="s">
        <v>35</v>
      </c>
      <c r="K681" s="1" t="s">
        <v>60</v>
      </c>
      <c r="L681" s="1" t="s">
        <v>37</v>
      </c>
      <c r="M681" s="1" t="s">
        <v>50</v>
      </c>
      <c r="N681" s="1" t="n">
        <v>4999</v>
      </c>
      <c r="O681" s="1" t="n">
        <v>30</v>
      </c>
      <c r="P681" s="1" t="n">
        <v>1499.7</v>
      </c>
      <c r="Q681" s="1" t="n">
        <v>3499.3</v>
      </c>
      <c r="R681" s="1" t="n">
        <v>629.87</v>
      </c>
      <c r="S681" s="1" t="n">
        <v>2869.43</v>
      </c>
      <c r="T681" s="1" t="n">
        <v>1069.16</v>
      </c>
      <c r="U681" s="1" t="n">
        <v>1800.27</v>
      </c>
      <c r="V681" s="1" t="n">
        <v>62.74</v>
      </c>
      <c r="W681" s="1" t="s">
        <v>40</v>
      </c>
      <c r="Y681" s="1" t="s">
        <v>40</v>
      </c>
      <c r="Z681" s="1" t="n">
        <v>0</v>
      </c>
    </row>
    <row r="682" customFormat="false" ht="15" hidden="false" customHeight="true" outlineLevel="0" collapsed="false">
      <c r="A682" s="1" t="s">
        <v>1295</v>
      </c>
      <c r="B682" s="1" t="s">
        <v>277</v>
      </c>
      <c r="C682" s="1" t="s">
        <v>74</v>
      </c>
      <c r="D682" s="1" t="s">
        <v>143</v>
      </c>
      <c r="E682" s="1" t="s">
        <v>159</v>
      </c>
      <c r="F682" s="1" t="s">
        <v>184</v>
      </c>
      <c r="G682" s="1" t="s">
        <v>56</v>
      </c>
      <c r="H682" s="1" t="s">
        <v>57</v>
      </c>
      <c r="I682" s="1" t="s">
        <v>83</v>
      </c>
      <c r="J682" s="1" t="s">
        <v>59</v>
      </c>
      <c r="K682" s="1" t="s">
        <v>90</v>
      </c>
      <c r="L682" s="1" t="s">
        <v>113</v>
      </c>
      <c r="M682" s="1" t="s">
        <v>62</v>
      </c>
      <c r="N682" s="1" t="n">
        <v>24999</v>
      </c>
      <c r="O682" s="1" t="n">
        <v>10</v>
      </c>
      <c r="P682" s="1" t="n">
        <v>2499.9</v>
      </c>
      <c r="Q682" s="1" t="n">
        <v>22499.1</v>
      </c>
      <c r="R682" s="1" t="n">
        <v>4049.84</v>
      </c>
      <c r="S682" s="1" t="n">
        <v>18449.26</v>
      </c>
      <c r="T682" s="1" t="n">
        <v>7526.59</v>
      </c>
      <c r="U682" s="1" t="n">
        <v>10922.67</v>
      </c>
      <c r="V682" s="1" t="n">
        <v>59.2</v>
      </c>
      <c r="W682" s="1" t="s">
        <v>39</v>
      </c>
      <c r="X682" s="1" t="n">
        <v>3.6</v>
      </c>
      <c r="Y682" s="1" t="s">
        <v>40</v>
      </c>
      <c r="Z682" s="1" t="n">
        <v>0</v>
      </c>
    </row>
    <row r="683" customFormat="false" ht="15" hidden="false" customHeight="true" outlineLevel="0" collapsed="false">
      <c r="A683" s="1" t="s">
        <v>1296</v>
      </c>
      <c r="B683" s="1" t="s">
        <v>1107</v>
      </c>
      <c r="C683" s="1" t="s">
        <v>167</v>
      </c>
      <c r="D683" s="1" t="s">
        <v>80</v>
      </c>
      <c r="E683" s="1" t="s">
        <v>175</v>
      </c>
      <c r="F683" s="1" t="s">
        <v>89</v>
      </c>
      <c r="G683" s="1" t="s">
        <v>68</v>
      </c>
      <c r="H683" s="1" t="s">
        <v>33</v>
      </c>
      <c r="I683" s="1" t="s">
        <v>34</v>
      </c>
      <c r="J683" s="1" t="s">
        <v>77</v>
      </c>
      <c r="K683" s="1" t="s">
        <v>48</v>
      </c>
      <c r="L683" s="1" t="s">
        <v>113</v>
      </c>
      <c r="M683" s="1" t="s">
        <v>50</v>
      </c>
      <c r="N683" s="1" t="n">
        <v>19999</v>
      </c>
      <c r="O683" s="1" t="n">
        <v>30</v>
      </c>
      <c r="P683" s="1" t="n">
        <v>5999.7</v>
      </c>
      <c r="Q683" s="1" t="n">
        <v>13999.3</v>
      </c>
      <c r="R683" s="1" t="n">
        <v>2519.87</v>
      </c>
      <c r="S683" s="1" t="n">
        <v>11479.43</v>
      </c>
      <c r="T683" s="1" t="n">
        <v>5757.46</v>
      </c>
      <c r="U683" s="1" t="n">
        <v>5721.97</v>
      </c>
      <c r="V683" s="1" t="n">
        <v>49.85</v>
      </c>
      <c r="W683" s="1" t="s">
        <v>40</v>
      </c>
      <c r="Y683" s="1" t="s">
        <v>40</v>
      </c>
      <c r="Z683" s="1" t="n">
        <v>1</v>
      </c>
    </row>
    <row r="684" customFormat="false" ht="15" hidden="false" customHeight="true" outlineLevel="0" collapsed="false">
      <c r="A684" s="1" t="s">
        <v>1297</v>
      </c>
      <c r="B684" s="1" t="s">
        <v>1298</v>
      </c>
      <c r="C684" s="1" t="s">
        <v>88</v>
      </c>
      <c r="D684" s="1" t="s">
        <v>80</v>
      </c>
      <c r="E684" s="1" t="s">
        <v>81</v>
      </c>
      <c r="F684" s="1" t="s">
        <v>107</v>
      </c>
      <c r="G684" s="1" t="s">
        <v>108</v>
      </c>
      <c r="H684" s="1" t="s">
        <v>33</v>
      </c>
      <c r="I684" s="1" t="s">
        <v>34</v>
      </c>
      <c r="J684" s="1" t="s">
        <v>131</v>
      </c>
      <c r="K684" s="1" t="s">
        <v>84</v>
      </c>
      <c r="L684" s="1" t="s">
        <v>85</v>
      </c>
      <c r="M684" s="1" t="s">
        <v>38</v>
      </c>
      <c r="N684" s="1" t="n">
        <v>12999</v>
      </c>
      <c r="O684" s="1" t="n">
        <v>10</v>
      </c>
      <c r="P684" s="1" t="n">
        <v>1299.9</v>
      </c>
      <c r="Q684" s="1" t="n">
        <v>11699.1</v>
      </c>
      <c r="R684" s="1" t="n">
        <v>2105.84</v>
      </c>
      <c r="S684" s="1" t="n">
        <v>9593.26</v>
      </c>
      <c r="T684" s="1" t="n">
        <v>4270.28</v>
      </c>
      <c r="U684" s="1" t="n">
        <v>5322.98</v>
      </c>
      <c r="V684" s="1" t="n">
        <v>55.49</v>
      </c>
      <c r="W684" s="1" t="s">
        <v>39</v>
      </c>
      <c r="X684" s="1" t="n">
        <v>4.6</v>
      </c>
      <c r="Y684" s="1" t="s">
        <v>40</v>
      </c>
      <c r="Z684" s="1" t="n">
        <v>0</v>
      </c>
    </row>
    <row r="685" customFormat="false" ht="15" hidden="false" customHeight="true" outlineLevel="0" collapsed="false">
      <c r="A685" s="1" t="s">
        <v>1299</v>
      </c>
      <c r="B685" s="1" t="s">
        <v>1300</v>
      </c>
      <c r="C685" s="1" t="s">
        <v>139</v>
      </c>
      <c r="D685" s="1" t="s">
        <v>44</v>
      </c>
      <c r="E685" s="1" t="s">
        <v>66</v>
      </c>
      <c r="F685" s="1" t="s">
        <v>187</v>
      </c>
      <c r="G685" s="1" t="s">
        <v>97</v>
      </c>
      <c r="H685" s="1" t="s">
        <v>69</v>
      </c>
      <c r="I685" s="1" t="s">
        <v>34</v>
      </c>
      <c r="J685" s="1" t="s">
        <v>77</v>
      </c>
      <c r="K685" s="1" t="s">
        <v>104</v>
      </c>
      <c r="L685" s="1" t="s">
        <v>85</v>
      </c>
      <c r="M685" s="1" t="s">
        <v>38</v>
      </c>
      <c r="N685" s="1" t="n">
        <v>12999</v>
      </c>
      <c r="O685" s="1" t="n">
        <v>0</v>
      </c>
      <c r="P685" s="1" t="n">
        <v>0</v>
      </c>
      <c r="Q685" s="1" t="n">
        <v>12999</v>
      </c>
      <c r="R685" s="1" t="n">
        <v>2339.82</v>
      </c>
      <c r="S685" s="1" t="n">
        <v>10659.18</v>
      </c>
      <c r="T685" s="1" t="n">
        <v>4744.55</v>
      </c>
      <c r="U685" s="1" t="n">
        <v>5914.63</v>
      </c>
      <c r="V685" s="1" t="n">
        <v>55.49</v>
      </c>
      <c r="W685" s="1" t="s">
        <v>39</v>
      </c>
      <c r="X685" s="1" t="n">
        <v>3.5</v>
      </c>
      <c r="Y685" s="1" t="s">
        <v>40</v>
      </c>
      <c r="Z685" s="1" t="n">
        <v>0</v>
      </c>
    </row>
    <row r="686" customFormat="false" ht="15" hidden="false" customHeight="true" outlineLevel="0" collapsed="false">
      <c r="A686" s="1" t="s">
        <v>1301</v>
      </c>
      <c r="B686" s="1" t="s">
        <v>1302</v>
      </c>
      <c r="C686" s="1" t="s">
        <v>134</v>
      </c>
      <c r="D686" s="1" t="s">
        <v>123</v>
      </c>
      <c r="E686" s="1" t="s">
        <v>147</v>
      </c>
      <c r="F686" s="1" t="s">
        <v>150</v>
      </c>
      <c r="G686" s="1" t="s">
        <v>32</v>
      </c>
      <c r="H686" s="1" t="s">
        <v>57</v>
      </c>
      <c r="I686" s="1" t="s">
        <v>58</v>
      </c>
      <c r="J686" s="1" t="s">
        <v>77</v>
      </c>
      <c r="K686" s="1" t="s">
        <v>36</v>
      </c>
      <c r="L686" s="1" t="s">
        <v>85</v>
      </c>
      <c r="M686" s="1" t="s">
        <v>50</v>
      </c>
      <c r="N686" s="1" t="n">
        <v>6999</v>
      </c>
      <c r="O686" s="1" t="n">
        <v>10</v>
      </c>
      <c r="P686" s="1" t="n">
        <v>699.9</v>
      </c>
      <c r="Q686" s="1" t="n">
        <v>6299.1</v>
      </c>
      <c r="R686" s="1" t="n">
        <v>1133.84</v>
      </c>
      <c r="S686" s="1" t="n">
        <v>5165.26</v>
      </c>
      <c r="T686" s="1" t="n">
        <v>2035.49</v>
      </c>
      <c r="U686" s="1" t="n">
        <v>3129.77</v>
      </c>
      <c r="V686" s="1" t="n">
        <v>60.59</v>
      </c>
      <c r="W686" s="1" t="s">
        <v>39</v>
      </c>
      <c r="X686" s="1" t="n">
        <v>3</v>
      </c>
      <c r="Y686" s="1" t="s">
        <v>40</v>
      </c>
      <c r="Z686" s="1" t="n">
        <v>0</v>
      </c>
    </row>
    <row r="687" customFormat="false" ht="15" hidden="false" customHeight="true" outlineLevel="0" collapsed="false">
      <c r="A687" s="1" t="s">
        <v>1303</v>
      </c>
      <c r="B687" s="1" t="s">
        <v>1264</v>
      </c>
      <c r="C687" s="1" t="s">
        <v>134</v>
      </c>
      <c r="D687" s="1" t="s">
        <v>143</v>
      </c>
      <c r="E687" s="1" t="s">
        <v>144</v>
      </c>
      <c r="F687" s="1" t="s">
        <v>269</v>
      </c>
      <c r="G687" s="1" t="s">
        <v>108</v>
      </c>
      <c r="H687" s="1" t="s">
        <v>57</v>
      </c>
      <c r="I687" s="1" t="s">
        <v>58</v>
      </c>
      <c r="J687" s="1" t="s">
        <v>70</v>
      </c>
      <c r="K687" s="1" t="s">
        <v>84</v>
      </c>
      <c r="L687" s="1" t="s">
        <v>136</v>
      </c>
      <c r="M687" s="1" t="s">
        <v>50</v>
      </c>
      <c r="N687" s="1" t="n">
        <v>12999</v>
      </c>
      <c r="O687" s="1" t="n">
        <v>0</v>
      </c>
      <c r="P687" s="1" t="n">
        <v>0</v>
      </c>
      <c r="Q687" s="1" t="n">
        <v>12999</v>
      </c>
      <c r="R687" s="1" t="n">
        <v>2339.82</v>
      </c>
      <c r="S687" s="1" t="n">
        <v>10659.18</v>
      </c>
      <c r="T687" s="1" t="n">
        <v>5015.35</v>
      </c>
      <c r="U687" s="1" t="n">
        <v>5643.83</v>
      </c>
      <c r="V687" s="1" t="n">
        <v>52.95</v>
      </c>
      <c r="W687" s="1" t="s">
        <v>39</v>
      </c>
      <c r="X687" s="1" t="n">
        <v>3.6</v>
      </c>
      <c r="Y687" s="1" t="s">
        <v>40</v>
      </c>
      <c r="Z687" s="1" t="n">
        <v>0</v>
      </c>
    </row>
    <row r="688" customFormat="false" ht="15" hidden="false" customHeight="true" outlineLevel="0" collapsed="false">
      <c r="A688" s="1" t="s">
        <v>1304</v>
      </c>
      <c r="B688" s="1" t="s">
        <v>1305</v>
      </c>
      <c r="C688" s="1" t="s">
        <v>264</v>
      </c>
      <c r="D688" s="1" t="s">
        <v>123</v>
      </c>
      <c r="E688" s="1" t="s">
        <v>124</v>
      </c>
      <c r="F688" s="1" t="s">
        <v>102</v>
      </c>
      <c r="G688" s="1" t="s">
        <v>103</v>
      </c>
      <c r="H688" s="1" t="s">
        <v>33</v>
      </c>
      <c r="I688" s="1" t="s">
        <v>58</v>
      </c>
      <c r="J688" s="1" t="s">
        <v>35</v>
      </c>
      <c r="K688" s="1" t="s">
        <v>104</v>
      </c>
      <c r="L688" s="1" t="s">
        <v>37</v>
      </c>
      <c r="M688" s="1" t="s">
        <v>50</v>
      </c>
      <c r="N688" s="1" t="n">
        <v>4999</v>
      </c>
      <c r="O688" s="1" t="n">
        <v>30</v>
      </c>
      <c r="P688" s="1" t="n">
        <v>1499.7</v>
      </c>
      <c r="Q688" s="1" t="n">
        <v>3499.3</v>
      </c>
      <c r="R688" s="1" t="n">
        <v>629.87</v>
      </c>
      <c r="S688" s="1" t="n">
        <v>2869.43</v>
      </c>
      <c r="T688" s="1" t="n">
        <v>999.1</v>
      </c>
      <c r="U688" s="1" t="n">
        <v>1870.33</v>
      </c>
      <c r="V688" s="1" t="n">
        <v>65.18</v>
      </c>
      <c r="W688" s="1" t="s">
        <v>39</v>
      </c>
      <c r="Y688" s="1" t="s">
        <v>39</v>
      </c>
      <c r="Z688" s="1" t="n">
        <v>0</v>
      </c>
    </row>
    <row r="689" customFormat="false" ht="15" hidden="false" customHeight="true" outlineLevel="0" collapsed="false">
      <c r="A689" s="1" t="s">
        <v>1306</v>
      </c>
      <c r="B689" s="1" t="s">
        <v>397</v>
      </c>
      <c r="C689" s="1" t="s">
        <v>178</v>
      </c>
      <c r="D689" s="1" t="s">
        <v>80</v>
      </c>
      <c r="E689" s="1" t="s">
        <v>190</v>
      </c>
      <c r="F689" s="1" t="s">
        <v>75</v>
      </c>
      <c r="G689" s="1" t="s">
        <v>76</v>
      </c>
      <c r="H689" s="1" t="s">
        <v>69</v>
      </c>
      <c r="I689" s="1" t="s">
        <v>34</v>
      </c>
      <c r="J689" s="1" t="s">
        <v>131</v>
      </c>
      <c r="K689" s="1" t="s">
        <v>104</v>
      </c>
      <c r="L689" s="1" t="s">
        <v>37</v>
      </c>
      <c r="M689" s="1" t="s">
        <v>50</v>
      </c>
      <c r="N689" s="1" t="n">
        <v>15999</v>
      </c>
      <c r="O689" s="1" t="n">
        <v>15</v>
      </c>
      <c r="P689" s="1" t="n">
        <v>2399.85</v>
      </c>
      <c r="Q689" s="1" t="n">
        <v>13599.15</v>
      </c>
      <c r="R689" s="1" t="n">
        <v>2447.85</v>
      </c>
      <c r="S689" s="1" t="n">
        <v>11151.3</v>
      </c>
      <c r="T689" s="1" t="n">
        <v>4062.04</v>
      </c>
      <c r="U689" s="1" t="n">
        <v>7089.26</v>
      </c>
      <c r="V689" s="1" t="n">
        <v>63.57</v>
      </c>
      <c r="W689" s="1" t="s">
        <v>39</v>
      </c>
      <c r="X689" s="1" t="n">
        <v>4.2</v>
      </c>
      <c r="Y689" s="1" t="s">
        <v>40</v>
      </c>
      <c r="Z689" s="1" t="n">
        <v>0</v>
      </c>
    </row>
    <row r="690" customFormat="false" ht="15" hidden="false" customHeight="true" outlineLevel="0" collapsed="false">
      <c r="A690" s="1" t="s">
        <v>1307</v>
      </c>
      <c r="B690" s="1" t="s">
        <v>227</v>
      </c>
      <c r="C690" s="1" t="s">
        <v>167</v>
      </c>
      <c r="D690" s="1" t="s">
        <v>44</v>
      </c>
      <c r="E690" s="1" t="s">
        <v>221</v>
      </c>
      <c r="F690" s="1" t="s">
        <v>67</v>
      </c>
      <c r="G690" s="1" t="s">
        <v>68</v>
      </c>
      <c r="H690" s="1" t="s">
        <v>69</v>
      </c>
      <c r="I690" s="1" t="s">
        <v>83</v>
      </c>
      <c r="J690" s="1" t="s">
        <v>59</v>
      </c>
      <c r="K690" s="1" t="s">
        <v>60</v>
      </c>
      <c r="L690" s="1" t="s">
        <v>113</v>
      </c>
      <c r="M690" s="1" t="s">
        <v>50</v>
      </c>
      <c r="N690" s="1" t="n">
        <v>16999</v>
      </c>
      <c r="O690" s="1" t="n">
        <v>40</v>
      </c>
      <c r="P690" s="1" t="n">
        <v>6799.6</v>
      </c>
      <c r="Q690" s="1" t="n">
        <v>10199.4</v>
      </c>
      <c r="R690" s="1" t="n">
        <v>1835.89</v>
      </c>
      <c r="S690" s="1" t="n">
        <v>8363.51</v>
      </c>
      <c r="T690" s="1" t="n">
        <v>4109.43</v>
      </c>
      <c r="U690" s="1" t="n">
        <v>4254.08</v>
      </c>
      <c r="V690" s="1" t="n">
        <v>50.86</v>
      </c>
      <c r="W690" s="1" t="s">
        <v>39</v>
      </c>
      <c r="Y690" s="1" t="s">
        <v>40</v>
      </c>
      <c r="Z690" s="1" t="n">
        <v>0</v>
      </c>
    </row>
    <row r="691" customFormat="false" ht="15" hidden="false" customHeight="true" outlineLevel="0" collapsed="false">
      <c r="A691" s="1" t="s">
        <v>1308</v>
      </c>
      <c r="B691" s="1" t="s">
        <v>868</v>
      </c>
      <c r="C691" s="1" t="s">
        <v>74</v>
      </c>
      <c r="D691" s="1" t="s">
        <v>94</v>
      </c>
      <c r="E691" s="1" t="s">
        <v>135</v>
      </c>
      <c r="F691" s="1" t="s">
        <v>130</v>
      </c>
      <c r="G691" s="1" t="s">
        <v>47</v>
      </c>
      <c r="H691" s="1" t="s">
        <v>69</v>
      </c>
      <c r="I691" s="1" t="s">
        <v>34</v>
      </c>
      <c r="J691" s="1" t="s">
        <v>77</v>
      </c>
      <c r="K691" s="1" t="s">
        <v>60</v>
      </c>
      <c r="L691" s="1" t="s">
        <v>113</v>
      </c>
      <c r="M691" s="1" t="s">
        <v>50</v>
      </c>
      <c r="N691" s="1" t="n">
        <v>9999</v>
      </c>
      <c r="O691" s="1" t="n">
        <v>0</v>
      </c>
      <c r="P691" s="1" t="n">
        <v>0</v>
      </c>
      <c r="Q691" s="1" t="n">
        <v>9999</v>
      </c>
      <c r="R691" s="1" t="n">
        <v>1799.82</v>
      </c>
      <c r="S691" s="1" t="n">
        <v>8199.18</v>
      </c>
      <c r="T691" s="1" t="n">
        <v>3644.97</v>
      </c>
      <c r="U691" s="1" t="n">
        <v>4554.21</v>
      </c>
      <c r="V691" s="1" t="n">
        <v>55.54</v>
      </c>
      <c r="W691" s="1" t="s">
        <v>39</v>
      </c>
      <c r="X691" s="1" t="n">
        <v>2.7</v>
      </c>
      <c r="Y691" s="1" t="s">
        <v>40</v>
      </c>
      <c r="Z691" s="1" t="n">
        <v>0</v>
      </c>
    </row>
    <row r="692" customFormat="false" ht="15" hidden="false" customHeight="true" outlineLevel="0" collapsed="false">
      <c r="A692" s="1" t="s">
        <v>1309</v>
      </c>
      <c r="B692" s="1" t="s">
        <v>1015</v>
      </c>
      <c r="C692" s="1" t="s">
        <v>178</v>
      </c>
      <c r="D692" s="1" t="s">
        <v>80</v>
      </c>
      <c r="E692" s="1" t="s">
        <v>175</v>
      </c>
      <c r="F692" s="1" t="s">
        <v>140</v>
      </c>
      <c r="G692" s="1" t="s">
        <v>97</v>
      </c>
      <c r="H692" s="1" t="s">
        <v>57</v>
      </c>
      <c r="I692" s="1" t="s">
        <v>34</v>
      </c>
      <c r="J692" s="1" t="s">
        <v>59</v>
      </c>
      <c r="K692" s="1" t="s">
        <v>104</v>
      </c>
      <c r="L692" s="1" t="s">
        <v>49</v>
      </c>
      <c r="M692" s="1" t="s">
        <v>62</v>
      </c>
      <c r="N692" s="1" t="n">
        <v>19999</v>
      </c>
      <c r="O692" s="1" t="n">
        <v>25</v>
      </c>
      <c r="P692" s="1" t="n">
        <v>4999.75</v>
      </c>
      <c r="Q692" s="1" t="n">
        <v>14999.25</v>
      </c>
      <c r="R692" s="1" t="n">
        <v>2699.86</v>
      </c>
      <c r="S692" s="1" t="n">
        <v>12299.39</v>
      </c>
      <c r="T692" s="1" t="n">
        <v>5196.76</v>
      </c>
      <c r="U692" s="1" t="n">
        <v>7102.63</v>
      </c>
      <c r="V692" s="1" t="n">
        <v>57.75</v>
      </c>
      <c r="W692" s="1" t="s">
        <v>39</v>
      </c>
      <c r="X692" s="1" t="n">
        <v>3.8</v>
      </c>
      <c r="Y692" s="1" t="s">
        <v>40</v>
      </c>
      <c r="Z692" s="1" t="n">
        <v>0</v>
      </c>
    </row>
    <row r="693" customFormat="false" ht="15" hidden="false" customHeight="true" outlineLevel="0" collapsed="false">
      <c r="A693" s="1" t="s">
        <v>1310</v>
      </c>
      <c r="B693" s="1" t="s">
        <v>1311</v>
      </c>
      <c r="C693" s="1" t="s">
        <v>139</v>
      </c>
      <c r="D693" s="1" t="s">
        <v>143</v>
      </c>
      <c r="E693" s="1" t="s">
        <v>144</v>
      </c>
      <c r="F693" s="1" t="s">
        <v>130</v>
      </c>
      <c r="G693" s="1" t="s">
        <v>47</v>
      </c>
      <c r="H693" s="1" t="s">
        <v>69</v>
      </c>
      <c r="I693" s="1" t="s">
        <v>58</v>
      </c>
      <c r="J693" s="1" t="s">
        <v>35</v>
      </c>
      <c r="K693" s="1" t="s">
        <v>90</v>
      </c>
      <c r="L693" s="1" t="s">
        <v>113</v>
      </c>
      <c r="M693" s="1" t="s">
        <v>38</v>
      </c>
      <c r="N693" s="1" t="n">
        <v>12999</v>
      </c>
      <c r="O693" s="1" t="n">
        <v>50</v>
      </c>
      <c r="P693" s="1" t="n">
        <v>6499.5</v>
      </c>
      <c r="Q693" s="1" t="n">
        <v>6499.5</v>
      </c>
      <c r="R693" s="1" t="n">
        <v>1169.91</v>
      </c>
      <c r="S693" s="1" t="n">
        <v>5329.59</v>
      </c>
      <c r="T693" s="1" t="n">
        <v>2925.73</v>
      </c>
      <c r="U693" s="1" t="n">
        <v>2403.86</v>
      </c>
      <c r="V693" s="1" t="n">
        <v>45.1</v>
      </c>
      <c r="W693" s="1" t="s">
        <v>40</v>
      </c>
      <c r="Y693" s="1" t="s">
        <v>39</v>
      </c>
      <c r="Z693" s="1" t="n">
        <v>0</v>
      </c>
    </row>
    <row r="694" customFormat="false" ht="15" hidden="false" customHeight="true" outlineLevel="0" collapsed="false">
      <c r="A694" s="1" t="s">
        <v>1312</v>
      </c>
      <c r="B694" s="1" t="s">
        <v>1313</v>
      </c>
      <c r="C694" s="1" t="s">
        <v>93</v>
      </c>
      <c r="D694" s="1" t="s">
        <v>94</v>
      </c>
      <c r="E694" s="1" t="s">
        <v>101</v>
      </c>
      <c r="F694" s="1" t="s">
        <v>67</v>
      </c>
      <c r="G694" s="1" t="s">
        <v>68</v>
      </c>
      <c r="H694" s="1" t="s">
        <v>69</v>
      </c>
      <c r="I694" s="1" t="s">
        <v>83</v>
      </c>
      <c r="J694" s="1" t="s">
        <v>77</v>
      </c>
      <c r="K694" s="1" t="s">
        <v>36</v>
      </c>
      <c r="L694" s="1" t="s">
        <v>136</v>
      </c>
      <c r="M694" s="1" t="s">
        <v>50</v>
      </c>
      <c r="N694" s="1" t="n">
        <v>14999</v>
      </c>
      <c r="O694" s="1" t="n">
        <v>50</v>
      </c>
      <c r="P694" s="1" t="n">
        <v>7499.5</v>
      </c>
      <c r="Q694" s="1" t="n">
        <v>7499.5</v>
      </c>
      <c r="R694" s="1" t="n">
        <v>1349.91</v>
      </c>
      <c r="S694" s="1" t="n">
        <v>6149.59</v>
      </c>
      <c r="T694" s="1" t="n">
        <v>3282.5</v>
      </c>
      <c r="U694" s="1" t="n">
        <v>2867.09</v>
      </c>
      <c r="V694" s="1" t="n">
        <v>46.62</v>
      </c>
      <c r="W694" s="1" t="s">
        <v>39</v>
      </c>
      <c r="X694" s="1" t="n">
        <v>4.5</v>
      </c>
      <c r="Y694" s="1" t="s">
        <v>40</v>
      </c>
      <c r="Z694" s="1" t="n">
        <v>1</v>
      </c>
    </row>
    <row r="695" customFormat="false" ht="15" hidden="false" customHeight="true" outlineLevel="0" collapsed="false">
      <c r="A695" s="1" t="s">
        <v>1314</v>
      </c>
      <c r="B695" s="1" t="s">
        <v>27</v>
      </c>
      <c r="C695" s="1" t="s">
        <v>65</v>
      </c>
      <c r="D695" s="1" t="s">
        <v>80</v>
      </c>
      <c r="E695" s="1" t="s">
        <v>190</v>
      </c>
      <c r="F695" s="1" t="s">
        <v>89</v>
      </c>
      <c r="G695" s="1" t="s">
        <v>68</v>
      </c>
      <c r="H695" s="1" t="s">
        <v>33</v>
      </c>
      <c r="I695" s="1" t="s">
        <v>58</v>
      </c>
      <c r="J695" s="1" t="s">
        <v>59</v>
      </c>
      <c r="K695" s="1" t="s">
        <v>60</v>
      </c>
      <c r="L695" s="1" t="s">
        <v>113</v>
      </c>
      <c r="M695" s="1" t="s">
        <v>50</v>
      </c>
      <c r="N695" s="1" t="n">
        <v>15999</v>
      </c>
      <c r="O695" s="1" t="n">
        <v>15</v>
      </c>
      <c r="P695" s="1" t="n">
        <v>2399.85</v>
      </c>
      <c r="Q695" s="1" t="n">
        <v>13599.15</v>
      </c>
      <c r="R695" s="1" t="n">
        <v>2447.85</v>
      </c>
      <c r="S695" s="1" t="n">
        <v>11151.3</v>
      </c>
      <c r="T695" s="1" t="n">
        <v>4703.96</v>
      </c>
      <c r="U695" s="1" t="n">
        <v>6447.34</v>
      </c>
      <c r="V695" s="1" t="n">
        <v>57.82</v>
      </c>
      <c r="W695" s="1" t="s">
        <v>39</v>
      </c>
      <c r="X695" s="1" t="n">
        <v>4.2</v>
      </c>
      <c r="Y695" s="1" t="s">
        <v>40</v>
      </c>
      <c r="Z695" s="1" t="n">
        <v>0</v>
      </c>
    </row>
    <row r="696" customFormat="false" ht="15" hidden="false" customHeight="true" outlineLevel="0" collapsed="false">
      <c r="A696" s="1" t="s">
        <v>1315</v>
      </c>
      <c r="B696" s="1" t="s">
        <v>1316</v>
      </c>
      <c r="C696" s="1" t="s">
        <v>43</v>
      </c>
      <c r="D696" s="1" t="s">
        <v>44</v>
      </c>
      <c r="E696" s="1" t="s">
        <v>66</v>
      </c>
      <c r="F696" s="1" t="s">
        <v>156</v>
      </c>
      <c r="G696" s="1" t="s">
        <v>68</v>
      </c>
      <c r="H696" s="1" t="s">
        <v>57</v>
      </c>
      <c r="I696" s="1" t="s">
        <v>58</v>
      </c>
      <c r="J696" s="1" t="s">
        <v>131</v>
      </c>
      <c r="K696" s="1" t="s">
        <v>71</v>
      </c>
      <c r="L696" s="1" t="s">
        <v>113</v>
      </c>
      <c r="M696" s="1" t="s">
        <v>38</v>
      </c>
      <c r="N696" s="1" t="n">
        <v>12999</v>
      </c>
      <c r="O696" s="1" t="n">
        <v>50</v>
      </c>
      <c r="P696" s="1" t="n">
        <v>6499.5</v>
      </c>
      <c r="Q696" s="1" t="n">
        <v>6499.5</v>
      </c>
      <c r="R696" s="1" t="n">
        <v>1169.91</v>
      </c>
      <c r="S696" s="1" t="n">
        <v>5329.59</v>
      </c>
      <c r="T696" s="1" t="n">
        <v>3010.76</v>
      </c>
      <c r="U696" s="1" t="n">
        <v>2318.83</v>
      </c>
      <c r="V696" s="1" t="n">
        <v>43.51</v>
      </c>
      <c r="W696" s="1" t="s">
        <v>40</v>
      </c>
      <c r="Y696" s="1" t="s">
        <v>40</v>
      </c>
      <c r="Z696" s="1" t="n">
        <v>1</v>
      </c>
    </row>
    <row r="697" customFormat="false" ht="15" hidden="false" customHeight="true" outlineLevel="0" collapsed="false">
      <c r="A697" s="1" t="s">
        <v>1317</v>
      </c>
      <c r="B697" s="1" t="s">
        <v>1318</v>
      </c>
      <c r="C697" s="1" t="s">
        <v>43</v>
      </c>
      <c r="D697" s="1" t="s">
        <v>53</v>
      </c>
      <c r="E697" s="1" t="s">
        <v>116</v>
      </c>
      <c r="F697" s="1" t="s">
        <v>205</v>
      </c>
      <c r="G697" s="1" t="s">
        <v>56</v>
      </c>
      <c r="H697" s="1" t="s">
        <v>69</v>
      </c>
      <c r="I697" s="1" t="s">
        <v>83</v>
      </c>
      <c r="J697" s="1" t="s">
        <v>77</v>
      </c>
      <c r="K697" s="1" t="s">
        <v>112</v>
      </c>
      <c r="L697" s="1" t="s">
        <v>61</v>
      </c>
      <c r="M697" s="1" t="s">
        <v>38</v>
      </c>
      <c r="N697" s="1" t="n">
        <v>9999</v>
      </c>
      <c r="O697" s="1" t="n">
        <v>0</v>
      </c>
      <c r="P697" s="1" t="n">
        <v>0</v>
      </c>
      <c r="Q697" s="1" t="n">
        <v>9999</v>
      </c>
      <c r="R697" s="1" t="n">
        <v>1799.82</v>
      </c>
      <c r="S697" s="1" t="n">
        <v>8199.18</v>
      </c>
      <c r="T697" s="1" t="n">
        <v>3042.82</v>
      </c>
      <c r="U697" s="1" t="n">
        <v>5156.36</v>
      </c>
      <c r="V697" s="1" t="n">
        <v>62.89</v>
      </c>
      <c r="W697" s="1" t="s">
        <v>39</v>
      </c>
      <c r="X697" s="1" t="n">
        <v>3.6</v>
      </c>
      <c r="Y697" s="1" t="s">
        <v>40</v>
      </c>
      <c r="Z697" s="1" t="n">
        <v>0</v>
      </c>
    </row>
    <row r="698" customFormat="false" ht="15" hidden="false" customHeight="true" outlineLevel="0" collapsed="false">
      <c r="A698" s="1" t="s">
        <v>1319</v>
      </c>
      <c r="B698" s="1" t="s">
        <v>239</v>
      </c>
      <c r="C698" s="1" t="s">
        <v>100</v>
      </c>
      <c r="D698" s="1" t="s">
        <v>94</v>
      </c>
      <c r="E698" s="1" t="s">
        <v>135</v>
      </c>
      <c r="F698" s="1" t="s">
        <v>75</v>
      </c>
      <c r="G698" s="1" t="s">
        <v>76</v>
      </c>
      <c r="H698" s="1" t="s">
        <v>69</v>
      </c>
      <c r="I698" s="1" t="s">
        <v>58</v>
      </c>
      <c r="J698" s="1" t="s">
        <v>131</v>
      </c>
      <c r="K698" s="1" t="s">
        <v>112</v>
      </c>
      <c r="L698" s="1" t="s">
        <v>113</v>
      </c>
      <c r="M698" s="1" t="s">
        <v>38</v>
      </c>
      <c r="N698" s="1" t="n">
        <v>9999</v>
      </c>
      <c r="O698" s="1" t="n">
        <v>30</v>
      </c>
      <c r="P698" s="1" t="n">
        <v>2999.7</v>
      </c>
      <c r="Q698" s="1" t="n">
        <v>6999.3</v>
      </c>
      <c r="R698" s="1" t="n">
        <v>1259.87</v>
      </c>
      <c r="S698" s="1" t="n">
        <v>5739.43</v>
      </c>
      <c r="T698" s="1" t="n">
        <v>2668.99</v>
      </c>
      <c r="U698" s="1" t="n">
        <v>3070.44</v>
      </c>
      <c r="V698" s="1" t="n">
        <v>53.5</v>
      </c>
      <c r="W698" s="1" t="s">
        <v>40</v>
      </c>
      <c r="Y698" s="1" t="s">
        <v>40</v>
      </c>
      <c r="Z698" s="1" t="n">
        <v>0</v>
      </c>
    </row>
    <row r="699" customFormat="false" ht="15" hidden="false" customHeight="true" outlineLevel="0" collapsed="false">
      <c r="A699" s="1" t="s">
        <v>1320</v>
      </c>
      <c r="B699" s="1" t="s">
        <v>990</v>
      </c>
      <c r="C699" s="1" t="s">
        <v>167</v>
      </c>
      <c r="D699" s="1" t="s">
        <v>29</v>
      </c>
      <c r="E699" s="1" t="s">
        <v>305</v>
      </c>
      <c r="F699" s="1" t="s">
        <v>89</v>
      </c>
      <c r="G699" s="1" t="s">
        <v>68</v>
      </c>
      <c r="H699" s="1" t="s">
        <v>33</v>
      </c>
      <c r="I699" s="1" t="s">
        <v>58</v>
      </c>
      <c r="J699" s="1" t="s">
        <v>70</v>
      </c>
      <c r="K699" s="1" t="s">
        <v>112</v>
      </c>
      <c r="L699" s="1" t="s">
        <v>136</v>
      </c>
      <c r="M699" s="1" t="s">
        <v>38</v>
      </c>
      <c r="N699" s="1" t="n">
        <v>24999</v>
      </c>
      <c r="O699" s="1" t="n">
        <v>0</v>
      </c>
      <c r="P699" s="1" t="n">
        <v>0</v>
      </c>
      <c r="Q699" s="1" t="n">
        <v>24999</v>
      </c>
      <c r="R699" s="1" t="n">
        <v>4499.82</v>
      </c>
      <c r="S699" s="1" t="n">
        <v>20499.18</v>
      </c>
      <c r="T699" s="1" t="n">
        <v>9871.25</v>
      </c>
      <c r="U699" s="1" t="n">
        <v>10627.93</v>
      </c>
      <c r="V699" s="1" t="n">
        <v>51.85</v>
      </c>
      <c r="W699" s="1" t="s">
        <v>40</v>
      </c>
      <c r="Y699" s="1" t="s">
        <v>40</v>
      </c>
      <c r="Z699" s="1" t="n">
        <v>0</v>
      </c>
    </row>
    <row r="700" customFormat="false" ht="15" hidden="false" customHeight="true" outlineLevel="0" collapsed="false">
      <c r="A700" s="1" t="s">
        <v>1321</v>
      </c>
      <c r="B700" s="1" t="s">
        <v>1322</v>
      </c>
      <c r="C700" s="1" t="s">
        <v>167</v>
      </c>
      <c r="D700" s="1" t="s">
        <v>29</v>
      </c>
      <c r="E700" s="1" t="s">
        <v>30</v>
      </c>
      <c r="F700" s="1" t="s">
        <v>89</v>
      </c>
      <c r="G700" s="1" t="s">
        <v>68</v>
      </c>
      <c r="H700" s="1" t="s">
        <v>33</v>
      </c>
      <c r="I700" s="1" t="s">
        <v>58</v>
      </c>
      <c r="J700" s="1" t="s">
        <v>59</v>
      </c>
      <c r="K700" s="1" t="s">
        <v>60</v>
      </c>
      <c r="L700" s="1" t="s">
        <v>61</v>
      </c>
      <c r="M700" s="1" t="s">
        <v>38</v>
      </c>
      <c r="N700" s="1" t="n">
        <v>7999</v>
      </c>
      <c r="O700" s="1" t="n">
        <v>40</v>
      </c>
      <c r="P700" s="1" t="n">
        <v>3199.6</v>
      </c>
      <c r="Q700" s="1" t="n">
        <v>4799.4</v>
      </c>
      <c r="R700" s="1" t="n">
        <v>863.89</v>
      </c>
      <c r="S700" s="1" t="n">
        <v>3935.51</v>
      </c>
      <c r="T700" s="1" t="n">
        <v>1701.5</v>
      </c>
      <c r="U700" s="1" t="n">
        <v>2234.01</v>
      </c>
      <c r="V700" s="1" t="n">
        <v>56.77</v>
      </c>
      <c r="W700" s="1" t="s">
        <v>40</v>
      </c>
      <c r="Y700" s="1" t="s">
        <v>40</v>
      </c>
      <c r="Z700" s="1" t="n">
        <v>1</v>
      </c>
    </row>
    <row r="701" customFormat="false" ht="15" hidden="false" customHeight="true" outlineLevel="0" collapsed="false">
      <c r="A701" s="1" t="s">
        <v>1323</v>
      </c>
      <c r="B701" s="1" t="s">
        <v>201</v>
      </c>
      <c r="C701" s="1" t="s">
        <v>43</v>
      </c>
      <c r="D701" s="1" t="s">
        <v>94</v>
      </c>
      <c r="E701" s="1" t="s">
        <v>101</v>
      </c>
      <c r="F701" s="1" t="s">
        <v>285</v>
      </c>
      <c r="G701" s="1" t="s">
        <v>47</v>
      </c>
      <c r="H701" s="1" t="s">
        <v>33</v>
      </c>
      <c r="I701" s="1" t="s">
        <v>34</v>
      </c>
      <c r="J701" s="1" t="s">
        <v>59</v>
      </c>
      <c r="K701" s="1" t="s">
        <v>104</v>
      </c>
      <c r="L701" s="1" t="s">
        <v>49</v>
      </c>
      <c r="M701" s="1" t="s">
        <v>38</v>
      </c>
      <c r="N701" s="1" t="n">
        <v>14999</v>
      </c>
      <c r="O701" s="1" t="n">
        <v>40</v>
      </c>
      <c r="P701" s="1" t="n">
        <v>5999.6</v>
      </c>
      <c r="Q701" s="1" t="n">
        <v>8999.4</v>
      </c>
      <c r="R701" s="1" t="n">
        <v>1619.89</v>
      </c>
      <c r="S701" s="1" t="n">
        <v>7379.51</v>
      </c>
      <c r="T701" s="1" t="n">
        <v>4858.39</v>
      </c>
      <c r="U701" s="1" t="n">
        <v>2521.12</v>
      </c>
      <c r="V701" s="1" t="n">
        <v>34.16</v>
      </c>
      <c r="W701" s="1" t="s">
        <v>39</v>
      </c>
      <c r="X701" s="1" t="n">
        <v>4.2</v>
      </c>
      <c r="Y701" s="1" t="s">
        <v>40</v>
      </c>
      <c r="Z701" s="1" t="n">
        <v>1</v>
      </c>
    </row>
    <row r="702" customFormat="false" ht="15" hidden="false" customHeight="true" outlineLevel="0" collapsed="false">
      <c r="A702" s="1" t="s">
        <v>1324</v>
      </c>
      <c r="B702" s="1" t="s">
        <v>992</v>
      </c>
      <c r="C702" s="1" t="s">
        <v>88</v>
      </c>
      <c r="D702" s="1" t="s">
        <v>29</v>
      </c>
      <c r="E702" s="1" t="s">
        <v>182</v>
      </c>
      <c r="F702" s="1" t="s">
        <v>244</v>
      </c>
      <c r="G702" s="1" t="s">
        <v>97</v>
      </c>
      <c r="H702" s="1" t="s">
        <v>57</v>
      </c>
      <c r="I702" s="1" t="s">
        <v>34</v>
      </c>
      <c r="J702" s="1" t="s">
        <v>59</v>
      </c>
      <c r="K702" s="1" t="s">
        <v>48</v>
      </c>
      <c r="L702" s="1" t="s">
        <v>113</v>
      </c>
      <c r="M702" s="1" t="s">
        <v>38</v>
      </c>
      <c r="N702" s="1" t="n">
        <v>34999</v>
      </c>
      <c r="O702" s="1" t="n">
        <v>50</v>
      </c>
      <c r="P702" s="1" t="n">
        <v>17499.5</v>
      </c>
      <c r="Q702" s="1" t="n">
        <v>17499.5</v>
      </c>
      <c r="R702" s="1" t="n">
        <v>3149.91</v>
      </c>
      <c r="S702" s="1" t="n">
        <v>14349.59</v>
      </c>
      <c r="T702" s="1" t="n">
        <v>7460.54</v>
      </c>
      <c r="U702" s="1" t="n">
        <v>6889.05</v>
      </c>
      <c r="V702" s="1" t="n">
        <v>48.01</v>
      </c>
      <c r="W702" s="1" t="s">
        <v>39</v>
      </c>
      <c r="X702" s="1" t="n">
        <v>4.5</v>
      </c>
      <c r="Y702" s="1" t="s">
        <v>40</v>
      </c>
      <c r="Z702" s="1" t="n">
        <v>0</v>
      </c>
    </row>
    <row r="703" customFormat="false" ht="15" hidden="false" customHeight="true" outlineLevel="0" collapsed="false">
      <c r="A703" s="1" t="s">
        <v>1325</v>
      </c>
      <c r="B703" s="1" t="s">
        <v>547</v>
      </c>
      <c r="C703" s="1" t="s">
        <v>100</v>
      </c>
      <c r="D703" s="1" t="s">
        <v>143</v>
      </c>
      <c r="E703" s="1" t="s">
        <v>162</v>
      </c>
      <c r="F703" s="1" t="s">
        <v>211</v>
      </c>
      <c r="G703" s="1" t="s">
        <v>56</v>
      </c>
      <c r="H703" s="1" t="s">
        <v>69</v>
      </c>
      <c r="I703" s="1" t="s">
        <v>83</v>
      </c>
      <c r="J703" s="1" t="s">
        <v>70</v>
      </c>
      <c r="K703" s="1" t="s">
        <v>112</v>
      </c>
      <c r="L703" s="1" t="s">
        <v>37</v>
      </c>
      <c r="M703" s="1" t="s">
        <v>50</v>
      </c>
      <c r="N703" s="1" t="n">
        <v>14999</v>
      </c>
      <c r="O703" s="1" t="n">
        <v>15</v>
      </c>
      <c r="P703" s="1" t="n">
        <v>2249.85</v>
      </c>
      <c r="Q703" s="1" t="n">
        <v>12749.15</v>
      </c>
      <c r="R703" s="1" t="n">
        <v>2294.85</v>
      </c>
      <c r="S703" s="1" t="n">
        <v>10454.3</v>
      </c>
      <c r="T703" s="1" t="n">
        <v>4182.09</v>
      </c>
      <c r="U703" s="1" t="n">
        <v>6272.21</v>
      </c>
      <c r="V703" s="1" t="n">
        <v>60</v>
      </c>
      <c r="W703" s="1" t="s">
        <v>40</v>
      </c>
      <c r="Y703" s="1" t="s">
        <v>40</v>
      </c>
      <c r="Z703" s="1" t="n">
        <v>0</v>
      </c>
    </row>
    <row r="704" customFormat="false" ht="15" hidden="false" customHeight="true" outlineLevel="0" collapsed="false">
      <c r="A704" s="1" t="s">
        <v>1326</v>
      </c>
      <c r="B704" s="1" t="s">
        <v>1327</v>
      </c>
      <c r="C704" s="1" t="s">
        <v>139</v>
      </c>
      <c r="D704" s="1" t="s">
        <v>123</v>
      </c>
      <c r="E704" s="1" t="s">
        <v>147</v>
      </c>
      <c r="F704" s="1" t="s">
        <v>31</v>
      </c>
      <c r="G704" s="1" t="s">
        <v>32</v>
      </c>
      <c r="H704" s="1" t="s">
        <v>33</v>
      </c>
      <c r="I704" s="1" t="s">
        <v>34</v>
      </c>
      <c r="J704" s="1" t="s">
        <v>35</v>
      </c>
      <c r="K704" s="1" t="s">
        <v>60</v>
      </c>
      <c r="L704" s="1" t="s">
        <v>136</v>
      </c>
      <c r="M704" s="1" t="s">
        <v>62</v>
      </c>
      <c r="N704" s="1" t="n">
        <v>6999</v>
      </c>
      <c r="O704" s="1" t="n">
        <v>0</v>
      </c>
      <c r="P704" s="1" t="n">
        <v>0</v>
      </c>
      <c r="Q704" s="1" t="n">
        <v>6999</v>
      </c>
      <c r="R704" s="1" t="n">
        <v>1259.82</v>
      </c>
      <c r="S704" s="1" t="n">
        <v>5739.18</v>
      </c>
      <c r="T704" s="1" t="n">
        <v>2566.68</v>
      </c>
      <c r="U704" s="1" t="n">
        <v>3172.5</v>
      </c>
      <c r="V704" s="1" t="n">
        <v>55.28</v>
      </c>
      <c r="W704" s="1" t="s">
        <v>40</v>
      </c>
      <c r="Y704" s="1" t="s">
        <v>40</v>
      </c>
      <c r="Z704" s="1" t="n">
        <v>1</v>
      </c>
    </row>
    <row r="705" customFormat="false" ht="15" hidden="false" customHeight="true" outlineLevel="0" collapsed="false">
      <c r="A705" s="1" t="s">
        <v>1328</v>
      </c>
      <c r="B705" s="1" t="s">
        <v>1250</v>
      </c>
      <c r="C705" s="1" t="s">
        <v>43</v>
      </c>
      <c r="D705" s="1" t="s">
        <v>123</v>
      </c>
      <c r="E705" s="1" t="s">
        <v>233</v>
      </c>
      <c r="F705" s="1" t="s">
        <v>120</v>
      </c>
      <c r="G705" s="1" t="s">
        <v>47</v>
      </c>
      <c r="H705" s="1" t="s">
        <v>57</v>
      </c>
      <c r="I705" s="1" t="s">
        <v>83</v>
      </c>
      <c r="J705" s="1" t="s">
        <v>35</v>
      </c>
      <c r="K705" s="1" t="s">
        <v>84</v>
      </c>
      <c r="L705" s="1" t="s">
        <v>49</v>
      </c>
      <c r="M705" s="1" t="s">
        <v>50</v>
      </c>
      <c r="N705" s="1" t="n">
        <v>8999</v>
      </c>
      <c r="O705" s="1" t="n">
        <v>50</v>
      </c>
      <c r="P705" s="1" t="n">
        <v>4499.5</v>
      </c>
      <c r="Q705" s="1" t="n">
        <v>4499.5</v>
      </c>
      <c r="R705" s="1" t="n">
        <v>809.91</v>
      </c>
      <c r="S705" s="1" t="n">
        <v>3689.59</v>
      </c>
      <c r="T705" s="1" t="n">
        <v>2118.21</v>
      </c>
      <c r="U705" s="1" t="n">
        <v>1571.38</v>
      </c>
      <c r="V705" s="1" t="n">
        <v>42.59</v>
      </c>
      <c r="W705" s="1" t="s">
        <v>39</v>
      </c>
      <c r="X705" s="1" t="n">
        <v>3.9</v>
      </c>
      <c r="Y705" s="1" t="s">
        <v>40</v>
      </c>
      <c r="Z705" s="1" t="n">
        <v>2</v>
      </c>
    </row>
    <row r="706" customFormat="false" ht="15" hidden="false" customHeight="true" outlineLevel="0" collapsed="false">
      <c r="A706" s="1" t="s">
        <v>1329</v>
      </c>
      <c r="B706" s="1" t="s">
        <v>669</v>
      </c>
      <c r="C706" s="1" t="s">
        <v>93</v>
      </c>
      <c r="D706" s="1" t="s">
        <v>80</v>
      </c>
      <c r="E706" s="1" t="s">
        <v>81</v>
      </c>
      <c r="F706" s="1" t="s">
        <v>46</v>
      </c>
      <c r="G706" s="1" t="s">
        <v>47</v>
      </c>
      <c r="H706" s="1" t="s">
        <v>33</v>
      </c>
      <c r="I706" s="1" t="s">
        <v>34</v>
      </c>
      <c r="J706" s="1" t="s">
        <v>77</v>
      </c>
      <c r="K706" s="1" t="s">
        <v>90</v>
      </c>
      <c r="L706" s="1" t="s">
        <v>37</v>
      </c>
      <c r="M706" s="1" t="s">
        <v>62</v>
      </c>
      <c r="N706" s="1" t="n">
        <v>12999</v>
      </c>
      <c r="O706" s="1" t="n">
        <v>15</v>
      </c>
      <c r="P706" s="1" t="n">
        <v>1949.85</v>
      </c>
      <c r="Q706" s="1" t="n">
        <v>11049.15</v>
      </c>
      <c r="R706" s="1" t="n">
        <v>1988.85</v>
      </c>
      <c r="S706" s="1" t="n">
        <v>9060.3</v>
      </c>
      <c r="T706" s="1" t="n">
        <v>4254.57</v>
      </c>
      <c r="U706" s="1" t="n">
        <v>4805.73</v>
      </c>
      <c r="V706" s="1" t="n">
        <v>53.04</v>
      </c>
      <c r="W706" s="1" t="s">
        <v>39</v>
      </c>
      <c r="X706" s="1" t="n">
        <v>4.1</v>
      </c>
      <c r="Y706" s="1" t="s">
        <v>40</v>
      </c>
      <c r="Z706" s="1" t="n">
        <v>0</v>
      </c>
    </row>
    <row r="707" customFormat="false" ht="15" hidden="false" customHeight="true" outlineLevel="0" collapsed="false">
      <c r="A707" s="1" t="s">
        <v>1330</v>
      </c>
      <c r="B707" s="1" t="s">
        <v>1331</v>
      </c>
      <c r="C707" s="1" t="s">
        <v>28</v>
      </c>
      <c r="D707" s="1" t="s">
        <v>94</v>
      </c>
      <c r="E707" s="1" t="s">
        <v>95</v>
      </c>
      <c r="F707" s="1" t="s">
        <v>150</v>
      </c>
      <c r="G707" s="1" t="s">
        <v>32</v>
      </c>
      <c r="H707" s="1" t="s">
        <v>57</v>
      </c>
      <c r="I707" s="1" t="s">
        <v>83</v>
      </c>
      <c r="J707" s="1" t="s">
        <v>131</v>
      </c>
      <c r="K707" s="1" t="s">
        <v>60</v>
      </c>
      <c r="L707" s="1" t="s">
        <v>49</v>
      </c>
      <c r="M707" s="1" t="s">
        <v>38</v>
      </c>
      <c r="N707" s="1" t="n">
        <v>6999</v>
      </c>
      <c r="O707" s="1" t="n">
        <v>0</v>
      </c>
      <c r="P707" s="1" t="n">
        <v>0</v>
      </c>
      <c r="Q707" s="1" t="n">
        <v>6999</v>
      </c>
      <c r="R707" s="1" t="n">
        <v>1259.82</v>
      </c>
      <c r="S707" s="1" t="n">
        <v>5739.18</v>
      </c>
      <c r="T707" s="1" t="n">
        <v>2820.85</v>
      </c>
      <c r="U707" s="1" t="n">
        <v>2918.33</v>
      </c>
      <c r="V707" s="1" t="n">
        <v>50.85</v>
      </c>
      <c r="W707" s="1" t="s">
        <v>39</v>
      </c>
      <c r="X707" s="1" t="n">
        <v>3.8</v>
      </c>
      <c r="Y707" s="1" t="s">
        <v>40</v>
      </c>
      <c r="Z707" s="1" t="n">
        <v>0</v>
      </c>
    </row>
    <row r="708" customFormat="false" ht="15" hidden="false" customHeight="true" outlineLevel="0" collapsed="false">
      <c r="A708" s="1" t="s">
        <v>1332</v>
      </c>
      <c r="B708" s="1" t="s">
        <v>1333</v>
      </c>
      <c r="C708" s="1" t="s">
        <v>249</v>
      </c>
      <c r="D708" s="1" t="s">
        <v>143</v>
      </c>
      <c r="E708" s="1" t="s">
        <v>159</v>
      </c>
      <c r="F708" s="1" t="s">
        <v>31</v>
      </c>
      <c r="G708" s="1" t="s">
        <v>32</v>
      </c>
      <c r="H708" s="1" t="s">
        <v>33</v>
      </c>
      <c r="I708" s="1" t="s">
        <v>34</v>
      </c>
      <c r="J708" s="1" t="s">
        <v>35</v>
      </c>
      <c r="K708" s="1" t="s">
        <v>48</v>
      </c>
      <c r="L708" s="1" t="s">
        <v>136</v>
      </c>
      <c r="M708" s="1" t="s">
        <v>38</v>
      </c>
      <c r="N708" s="1" t="n">
        <v>24999</v>
      </c>
      <c r="O708" s="1" t="n">
        <v>10</v>
      </c>
      <c r="P708" s="1" t="n">
        <v>2499.9</v>
      </c>
      <c r="Q708" s="1" t="n">
        <v>22499.1</v>
      </c>
      <c r="R708" s="1" t="n">
        <v>4049.84</v>
      </c>
      <c r="S708" s="1" t="n">
        <v>18449.26</v>
      </c>
      <c r="T708" s="1" t="n">
        <v>8830.35</v>
      </c>
      <c r="U708" s="1" t="n">
        <v>9618.91</v>
      </c>
      <c r="V708" s="1" t="n">
        <v>52.14</v>
      </c>
      <c r="W708" s="1" t="s">
        <v>40</v>
      </c>
      <c r="Y708" s="1" t="s">
        <v>40</v>
      </c>
      <c r="Z708" s="1" t="n">
        <v>1</v>
      </c>
    </row>
    <row r="709" customFormat="false" ht="15" hidden="false" customHeight="true" outlineLevel="0" collapsed="false">
      <c r="A709" s="1" t="s">
        <v>1334</v>
      </c>
      <c r="B709" s="1" t="s">
        <v>620</v>
      </c>
      <c r="C709" s="1" t="s">
        <v>139</v>
      </c>
      <c r="D709" s="1" t="s">
        <v>168</v>
      </c>
      <c r="E709" s="1" t="s">
        <v>172</v>
      </c>
      <c r="F709" s="1" t="s">
        <v>125</v>
      </c>
      <c r="G709" s="1" t="s">
        <v>108</v>
      </c>
      <c r="H709" s="1" t="s">
        <v>69</v>
      </c>
      <c r="I709" s="1" t="s">
        <v>83</v>
      </c>
      <c r="J709" s="1" t="s">
        <v>131</v>
      </c>
      <c r="K709" s="1" t="s">
        <v>90</v>
      </c>
      <c r="L709" s="1" t="s">
        <v>49</v>
      </c>
      <c r="M709" s="1" t="s">
        <v>62</v>
      </c>
      <c r="N709" s="1" t="n">
        <v>6999</v>
      </c>
      <c r="O709" s="1" t="n">
        <v>0</v>
      </c>
      <c r="P709" s="1" t="n">
        <v>0</v>
      </c>
      <c r="Q709" s="1" t="n">
        <v>6999</v>
      </c>
      <c r="R709" s="1" t="n">
        <v>1259.82</v>
      </c>
      <c r="S709" s="1" t="n">
        <v>5739.18</v>
      </c>
      <c r="T709" s="1" t="n">
        <v>2165.16</v>
      </c>
      <c r="U709" s="1" t="n">
        <v>3574.02</v>
      </c>
      <c r="V709" s="1" t="n">
        <v>62.27</v>
      </c>
      <c r="W709" s="1" t="s">
        <v>40</v>
      </c>
      <c r="Y709" s="1" t="s">
        <v>39</v>
      </c>
      <c r="Z709" s="1" t="n">
        <v>0</v>
      </c>
    </row>
    <row r="710" customFormat="false" ht="15" hidden="false" customHeight="true" outlineLevel="0" collapsed="false">
      <c r="A710" s="1" t="s">
        <v>1335</v>
      </c>
      <c r="B710" s="1" t="s">
        <v>1066</v>
      </c>
      <c r="C710" s="1" t="s">
        <v>65</v>
      </c>
      <c r="D710" s="1" t="s">
        <v>80</v>
      </c>
      <c r="E710" s="1" t="s">
        <v>175</v>
      </c>
      <c r="F710" s="1" t="s">
        <v>31</v>
      </c>
      <c r="G710" s="1" t="s">
        <v>32</v>
      </c>
      <c r="H710" s="1" t="s">
        <v>33</v>
      </c>
      <c r="I710" s="1" t="s">
        <v>83</v>
      </c>
      <c r="J710" s="1" t="s">
        <v>59</v>
      </c>
      <c r="K710" s="1" t="s">
        <v>90</v>
      </c>
      <c r="L710" s="1" t="s">
        <v>136</v>
      </c>
      <c r="M710" s="1" t="s">
        <v>38</v>
      </c>
      <c r="N710" s="1" t="n">
        <v>19999</v>
      </c>
      <c r="O710" s="1" t="n">
        <v>0</v>
      </c>
      <c r="P710" s="1" t="n">
        <v>0</v>
      </c>
      <c r="Q710" s="1" t="n">
        <v>19999</v>
      </c>
      <c r="R710" s="1" t="n">
        <v>3599.82</v>
      </c>
      <c r="S710" s="1" t="n">
        <v>16399.18</v>
      </c>
      <c r="T710" s="1" t="n">
        <v>8375.48</v>
      </c>
      <c r="U710" s="1" t="n">
        <v>8023.7</v>
      </c>
      <c r="V710" s="1" t="n">
        <v>48.93</v>
      </c>
      <c r="W710" s="1" t="s">
        <v>40</v>
      </c>
      <c r="Y710" s="1" t="s">
        <v>40</v>
      </c>
      <c r="Z710" s="1" t="n">
        <v>0</v>
      </c>
    </row>
    <row r="711" customFormat="false" ht="15" hidden="false" customHeight="true" outlineLevel="0" collapsed="false">
      <c r="A711" s="1" t="s">
        <v>1336</v>
      </c>
      <c r="B711" s="1" t="s">
        <v>1337</v>
      </c>
      <c r="C711" s="1" t="s">
        <v>134</v>
      </c>
      <c r="D711" s="1" t="s">
        <v>168</v>
      </c>
      <c r="E711" s="1" t="s">
        <v>172</v>
      </c>
      <c r="F711" s="1" t="s">
        <v>205</v>
      </c>
      <c r="G711" s="1" t="s">
        <v>56</v>
      </c>
      <c r="H711" s="1" t="s">
        <v>69</v>
      </c>
      <c r="I711" s="1" t="s">
        <v>83</v>
      </c>
      <c r="J711" s="1" t="s">
        <v>131</v>
      </c>
      <c r="K711" s="1" t="s">
        <v>71</v>
      </c>
      <c r="L711" s="1" t="s">
        <v>49</v>
      </c>
      <c r="M711" s="1" t="s">
        <v>50</v>
      </c>
      <c r="N711" s="1" t="n">
        <v>6999</v>
      </c>
      <c r="O711" s="1" t="n">
        <v>0</v>
      </c>
      <c r="P711" s="1" t="n">
        <v>0</v>
      </c>
      <c r="Q711" s="1" t="n">
        <v>6999</v>
      </c>
      <c r="R711" s="1" t="n">
        <v>1259.82</v>
      </c>
      <c r="S711" s="1" t="n">
        <v>5739.18</v>
      </c>
      <c r="T711" s="1" t="n">
        <v>2234.11</v>
      </c>
      <c r="U711" s="1" t="n">
        <v>3505.07</v>
      </c>
      <c r="V711" s="1" t="n">
        <v>61.07</v>
      </c>
      <c r="W711" s="1" t="s">
        <v>40</v>
      </c>
      <c r="Y711" s="1" t="s">
        <v>40</v>
      </c>
      <c r="Z711" s="1" t="n">
        <v>0</v>
      </c>
    </row>
    <row r="712" customFormat="false" ht="15" hidden="false" customHeight="true" outlineLevel="0" collapsed="false">
      <c r="A712" s="1" t="s">
        <v>1338</v>
      </c>
      <c r="B712" s="1" t="s">
        <v>1339</v>
      </c>
      <c r="C712" s="1" t="s">
        <v>134</v>
      </c>
      <c r="D712" s="1" t="s">
        <v>53</v>
      </c>
      <c r="E712" s="1" t="s">
        <v>54</v>
      </c>
      <c r="F712" s="1" t="s">
        <v>102</v>
      </c>
      <c r="G712" s="1" t="s">
        <v>103</v>
      </c>
      <c r="H712" s="1" t="s">
        <v>33</v>
      </c>
      <c r="I712" s="1" t="s">
        <v>83</v>
      </c>
      <c r="J712" s="1" t="s">
        <v>77</v>
      </c>
      <c r="K712" s="1" t="s">
        <v>112</v>
      </c>
      <c r="L712" s="1" t="s">
        <v>85</v>
      </c>
      <c r="M712" s="1" t="s">
        <v>38</v>
      </c>
      <c r="N712" s="1" t="n">
        <v>11999</v>
      </c>
      <c r="O712" s="1" t="n">
        <v>5</v>
      </c>
      <c r="P712" s="1" t="n">
        <v>599.95</v>
      </c>
      <c r="Q712" s="1" t="n">
        <v>11399.05</v>
      </c>
      <c r="R712" s="1" t="n">
        <v>2051.83</v>
      </c>
      <c r="S712" s="1" t="n">
        <v>9347.22</v>
      </c>
      <c r="T712" s="1" t="n">
        <v>4984.31</v>
      </c>
      <c r="U712" s="1" t="n">
        <v>4362.91</v>
      </c>
      <c r="V712" s="1" t="n">
        <v>46.68</v>
      </c>
      <c r="W712" s="1" t="s">
        <v>40</v>
      </c>
      <c r="Y712" s="1" t="s">
        <v>40</v>
      </c>
      <c r="Z712" s="1" t="n">
        <v>1</v>
      </c>
    </row>
    <row r="713" customFormat="false" ht="15" hidden="false" customHeight="true" outlineLevel="0" collapsed="false">
      <c r="A713" s="1" t="s">
        <v>1340</v>
      </c>
      <c r="B713" s="1" t="s">
        <v>694</v>
      </c>
      <c r="C713" s="1" t="s">
        <v>93</v>
      </c>
      <c r="D713" s="1" t="s">
        <v>168</v>
      </c>
      <c r="E713" s="1" t="s">
        <v>197</v>
      </c>
      <c r="F713" s="1" t="s">
        <v>150</v>
      </c>
      <c r="G713" s="1" t="s">
        <v>32</v>
      </c>
      <c r="H713" s="1" t="s">
        <v>57</v>
      </c>
      <c r="I713" s="1" t="s">
        <v>34</v>
      </c>
      <c r="J713" s="1" t="s">
        <v>35</v>
      </c>
      <c r="K713" s="1" t="s">
        <v>84</v>
      </c>
      <c r="L713" s="1" t="s">
        <v>85</v>
      </c>
      <c r="M713" s="1" t="s">
        <v>50</v>
      </c>
      <c r="N713" s="1" t="n">
        <v>8499</v>
      </c>
      <c r="O713" s="1" t="n">
        <v>40</v>
      </c>
      <c r="P713" s="1" t="n">
        <v>3399.6</v>
      </c>
      <c r="Q713" s="1" t="n">
        <v>5099.4</v>
      </c>
      <c r="R713" s="1" t="n">
        <v>917.89</v>
      </c>
      <c r="S713" s="1" t="n">
        <v>4181.51</v>
      </c>
      <c r="T713" s="1" t="n">
        <v>2084.52</v>
      </c>
      <c r="U713" s="1" t="n">
        <v>2096.99</v>
      </c>
      <c r="V713" s="1" t="n">
        <v>50.15</v>
      </c>
      <c r="W713" s="1" t="s">
        <v>40</v>
      </c>
      <c r="Y713" s="1" t="s">
        <v>40</v>
      </c>
      <c r="Z713" s="1" t="n">
        <v>1</v>
      </c>
    </row>
    <row r="714" customFormat="false" ht="15" hidden="false" customHeight="true" outlineLevel="0" collapsed="false">
      <c r="A714" s="1" t="s">
        <v>1341</v>
      </c>
      <c r="B714" s="1" t="s">
        <v>1305</v>
      </c>
      <c r="C714" s="1" t="s">
        <v>119</v>
      </c>
      <c r="D714" s="1" t="s">
        <v>94</v>
      </c>
      <c r="E714" s="1" t="s">
        <v>135</v>
      </c>
      <c r="F714" s="1" t="s">
        <v>187</v>
      </c>
      <c r="G714" s="1" t="s">
        <v>97</v>
      </c>
      <c r="H714" s="1" t="s">
        <v>69</v>
      </c>
      <c r="I714" s="1" t="s">
        <v>58</v>
      </c>
      <c r="J714" s="1" t="s">
        <v>131</v>
      </c>
      <c r="K714" s="1" t="s">
        <v>84</v>
      </c>
      <c r="L714" s="1" t="s">
        <v>136</v>
      </c>
      <c r="M714" s="1" t="s">
        <v>50</v>
      </c>
      <c r="N714" s="1" t="n">
        <v>9999</v>
      </c>
      <c r="O714" s="1" t="n">
        <v>10</v>
      </c>
      <c r="P714" s="1" t="n">
        <v>999.9</v>
      </c>
      <c r="Q714" s="1" t="n">
        <v>8999.1</v>
      </c>
      <c r="R714" s="1" t="n">
        <v>1619.84</v>
      </c>
      <c r="S714" s="1" t="n">
        <v>7379.26</v>
      </c>
      <c r="T714" s="1" t="n">
        <v>2977.51</v>
      </c>
      <c r="U714" s="1" t="n">
        <v>4401.75</v>
      </c>
      <c r="V714" s="1" t="n">
        <v>59.65</v>
      </c>
      <c r="W714" s="1" t="s">
        <v>40</v>
      </c>
      <c r="Y714" s="1" t="s">
        <v>40</v>
      </c>
      <c r="Z714" s="1" t="n">
        <v>0</v>
      </c>
    </row>
    <row r="715" customFormat="false" ht="15" hidden="false" customHeight="true" outlineLevel="0" collapsed="false">
      <c r="A715" s="1" t="s">
        <v>1342</v>
      </c>
      <c r="B715" s="1" t="s">
        <v>1148</v>
      </c>
      <c r="C715" s="1" t="s">
        <v>119</v>
      </c>
      <c r="D715" s="1" t="s">
        <v>53</v>
      </c>
      <c r="E715" s="1" t="s">
        <v>116</v>
      </c>
      <c r="F715" s="1" t="s">
        <v>46</v>
      </c>
      <c r="G715" s="1" t="s">
        <v>47</v>
      </c>
      <c r="H715" s="1" t="s">
        <v>33</v>
      </c>
      <c r="I715" s="1" t="s">
        <v>34</v>
      </c>
      <c r="J715" s="1" t="s">
        <v>35</v>
      </c>
      <c r="K715" s="1" t="s">
        <v>104</v>
      </c>
      <c r="L715" s="1" t="s">
        <v>113</v>
      </c>
      <c r="M715" s="1" t="s">
        <v>50</v>
      </c>
      <c r="N715" s="1" t="n">
        <v>9999</v>
      </c>
      <c r="O715" s="1" t="n">
        <v>15</v>
      </c>
      <c r="P715" s="1" t="n">
        <v>1499.85</v>
      </c>
      <c r="Q715" s="1" t="n">
        <v>8499.15</v>
      </c>
      <c r="R715" s="1" t="n">
        <v>1529.85</v>
      </c>
      <c r="S715" s="1" t="n">
        <v>6969.3</v>
      </c>
      <c r="T715" s="1" t="n">
        <v>3463.27</v>
      </c>
      <c r="U715" s="1" t="n">
        <v>3506.03</v>
      </c>
      <c r="V715" s="1" t="n">
        <v>50.31</v>
      </c>
      <c r="W715" s="1" t="s">
        <v>40</v>
      </c>
      <c r="Y715" s="1" t="s">
        <v>40</v>
      </c>
      <c r="Z715" s="1" t="n">
        <v>0</v>
      </c>
    </row>
    <row r="716" customFormat="false" ht="15" hidden="false" customHeight="true" outlineLevel="0" collapsed="false">
      <c r="A716" s="1" t="s">
        <v>1343</v>
      </c>
      <c r="B716" s="1" t="s">
        <v>1316</v>
      </c>
      <c r="C716" s="1" t="s">
        <v>134</v>
      </c>
      <c r="D716" s="1" t="s">
        <v>44</v>
      </c>
      <c r="E716" s="1" t="s">
        <v>66</v>
      </c>
      <c r="F716" s="1" t="s">
        <v>96</v>
      </c>
      <c r="G716" s="1" t="s">
        <v>97</v>
      </c>
      <c r="H716" s="1" t="s">
        <v>69</v>
      </c>
      <c r="I716" s="1" t="s">
        <v>34</v>
      </c>
      <c r="J716" s="1" t="s">
        <v>77</v>
      </c>
      <c r="K716" s="1" t="s">
        <v>90</v>
      </c>
      <c r="L716" s="1" t="s">
        <v>49</v>
      </c>
      <c r="M716" s="1" t="s">
        <v>50</v>
      </c>
      <c r="N716" s="1" t="n">
        <v>12999</v>
      </c>
      <c r="O716" s="1" t="n">
        <v>25</v>
      </c>
      <c r="P716" s="1" t="n">
        <v>3249.75</v>
      </c>
      <c r="Q716" s="1" t="n">
        <v>9749.25</v>
      </c>
      <c r="R716" s="1" t="n">
        <v>1754.87</v>
      </c>
      <c r="S716" s="1" t="n">
        <v>7994.38</v>
      </c>
      <c r="T716" s="1" t="n">
        <v>3203.19</v>
      </c>
      <c r="U716" s="1" t="n">
        <v>4791.19</v>
      </c>
      <c r="V716" s="1" t="n">
        <v>59.93</v>
      </c>
      <c r="W716" s="1" t="s">
        <v>39</v>
      </c>
      <c r="Y716" s="1" t="s">
        <v>40</v>
      </c>
      <c r="Z716" s="1" t="n">
        <v>0</v>
      </c>
    </row>
    <row r="717" customFormat="false" ht="15" hidden="false" customHeight="true" outlineLevel="0" collapsed="false">
      <c r="A717" s="1" t="s">
        <v>1344</v>
      </c>
      <c r="B717" s="1" t="s">
        <v>435</v>
      </c>
      <c r="C717" s="1" t="s">
        <v>65</v>
      </c>
      <c r="D717" s="1" t="s">
        <v>168</v>
      </c>
      <c r="E717" s="1" t="s">
        <v>328</v>
      </c>
      <c r="F717" s="1" t="s">
        <v>120</v>
      </c>
      <c r="G717" s="1" t="s">
        <v>47</v>
      </c>
      <c r="H717" s="1" t="s">
        <v>57</v>
      </c>
      <c r="I717" s="1" t="s">
        <v>58</v>
      </c>
      <c r="J717" s="1" t="s">
        <v>35</v>
      </c>
      <c r="K717" s="1" t="s">
        <v>48</v>
      </c>
      <c r="L717" s="1" t="s">
        <v>49</v>
      </c>
      <c r="M717" s="1" t="s">
        <v>50</v>
      </c>
      <c r="N717" s="1" t="n">
        <v>8999</v>
      </c>
      <c r="O717" s="1" t="n">
        <v>10</v>
      </c>
      <c r="P717" s="1" t="n">
        <v>899.9</v>
      </c>
      <c r="Q717" s="1" t="n">
        <v>8099.1</v>
      </c>
      <c r="R717" s="1" t="n">
        <v>1457.84</v>
      </c>
      <c r="S717" s="1" t="n">
        <v>6641.26</v>
      </c>
      <c r="T717" s="1" t="n">
        <v>2403.06</v>
      </c>
      <c r="U717" s="1" t="n">
        <v>4238.2</v>
      </c>
      <c r="V717" s="1" t="n">
        <v>63.82</v>
      </c>
      <c r="W717" s="1" t="s">
        <v>40</v>
      </c>
      <c r="Y717" s="1" t="s">
        <v>40</v>
      </c>
      <c r="Z717" s="1" t="n">
        <v>0</v>
      </c>
    </row>
    <row r="718" customFormat="false" ht="15" hidden="false" customHeight="true" outlineLevel="0" collapsed="false">
      <c r="A718" s="1" t="s">
        <v>1345</v>
      </c>
      <c r="B718" s="1" t="s">
        <v>1346</v>
      </c>
      <c r="C718" s="1" t="s">
        <v>93</v>
      </c>
      <c r="D718" s="1" t="s">
        <v>53</v>
      </c>
      <c r="E718" s="1" t="s">
        <v>216</v>
      </c>
      <c r="F718" s="1" t="s">
        <v>96</v>
      </c>
      <c r="G718" s="1" t="s">
        <v>97</v>
      </c>
      <c r="H718" s="1" t="s">
        <v>69</v>
      </c>
      <c r="I718" s="1" t="s">
        <v>83</v>
      </c>
      <c r="J718" s="1" t="s">
        <v>35</v>
      </c>
      <c r="K718" s="1" t="s">
        <v>112</v>
      </c>
      <c r="L718" s="1" t="s">
        <v>37</v>
      </c>
      <c r="M718" s="1" t="s">
        <v>38</v>
      </c>
      <c r="N718" s="1" t="n">
        <v>7499</v>
      </c>
      <c r="O718" s="1" t="n">
        <v>30</v>
      </c>
      <c r="P718" s="1" t="n">
        <v>2249.7</v>
      </c>
      <c r="Q718" s="1" t="n">
        <v>5249.3</v>
      </c>
      <c r="R718" s="1" t="n">
        <v>944.87</v>
      </c>
      <c r="S718" s="1" t="n">
        <v>4304.43</v>
      </c>
      <c r="T718" s="1" t="n">
        <v>1532.71</v>
      </c>
      <c r="U718" s="1" t="n">
        <v>2771.72</v>
      </c>
      <c r="V718" s="1" t="n">
        <v>64.39</v>
      </c>
      <c r="W718" s="1" t="s">
        <v>39</v>
      </c>
      <c r="X718" s="1" t="n">
        <v>3.4</v>
      </c>
      <c r="Y718" s="1" t="s">
        <v>40</v>
      </c>
      <c r="Z718" s="1" t="n">
        <v>0</v>
      </c>
    </row>
    <row r="719" customFormat="false" ht="15" hidden="false" customHeight="true" outlineLevel="0" collapsed="false">
      <c r="A719" s="1" t="s">
        <v>1347</v>
      </c>
      <c r="B719" s="1" t="s">
        <v>1348</v>
      </c>
      <c r="C719" s="1" t="s">
        <v>88</v>
      </c>
      <c r="D719" s="1" t="s">
        <v>80</v>
      </c>
      <c r="E719" s="1" t="s">
        <v>81</v>
      </c>
      <c r="F719" s="1" t="s">
        <v>120</v>
      </c>
      <c r="G719" s="1" t="s">
        <v>47</v>
      </c>
      <c r="H719" s="1" t="s">
        <v>57</v>
      </c>
      <c r="I719" s="1" t="s">
        <v>34</v>
      </c>
      <c r="J719" s="1" t="s">
        <v>70</v>
      </c>
      <c r="K719" s="1" t="s">
        <v>90</v>
      </c>
      <c r="L719" s="1" t="s">
        <v>85</v>
      </c>
      <c r="M719" s="1" t="s">
        <v>50</v>
      </c>
      <c r="N719" s="1" t="n">
        <v>12999</v>
      </c>
      <c r="O719" s="1" t="n">
        <v>50</v>
      </c>
      <c r="P719" s="1" t="n">
        <v>6499.5</v>
      </c>
      <c r="Q719" s="1" t="n">
        <v>6499.5</v>
      </c>
      <c r="R719" s="1" t="n">
        <v>1169.91</v>
      </c>
      <c r="S719" s="1" t="n">
        <v>5329.59</v>
      </c>
      <c r="T719" s="1" t="n">
        <v>2709.96</v>
      </c>
      <c r="U719" s="1" t="n">
        <v>2619.63</v>
      </c>
      <c r="V719" s="1" t="n">
        <v>49.15</v>
      </c>
      <c r="W719" s="1" t="s">
        <v>39</v>
      </c>
      <c r="X719" s="1" t="n">
        <v>4</v>
      </c>
      <c r="Y719" s="1" t="s">
        <v>40</v>
      </c>
      <c r="Z719" s="1" t="n">
        <v>1</v>
      </c>
    </row>
    <row r="720" customFormat="false" ht="15" hidden="false" customHeight="true" outlineLevel="0" collapsed="false">
      <c r="A720" s="1" t="s">
        <v>1349</v>
      </c>
      <c r="B720" s="1" t="s">
        <v>1350</v>
      </c>
      <c r="C720" s="1" t="s">
        <v>139</v>
      </c>
      <c r="D720" s="1" t="s">
        <v>168</v>
      </c>
      <c r="E720" s="1" t="s">
        <v>169</v>
      </c>
      <c r="F720" s="1" t="s">
        <v>130</v>
      </c>
      <c r="G720" s="1" t="s">
        <v>47</v>
      </c>
      <c r="H720" s="1" t="s">
        <v>69</v>
      </c>
      <c r="I720" s="1" t="s">
        <v>83</v>
      </c>
      <c r="J720" s="1" t="s">
        <v>77</v>
      </c>
      <c r="K720" s="1" t="s">
        <v>60</v>
      </c>
      <c r="L720" s="1" t="s">
        <v>136</v>
      </c>
      <c r="M720" s="1" t="s">
        <v>50</v>
      </c>
      <c r="N720" s="1" t="n">
        <v>4999</v>
      </c>
      <c r="O720" s="1" t="n">
        <v>15</v>
      </c>
      <c r="P720" s="1" t="n">
        <v>749.85</v>
      </c>
      <c r="Q720" s="1" t="n">
        <v>4249.15</v>
      </c>
      <c r="R720" s="1" t="n">
        <v>764.85</v>
      </c>
      <c r="S720" s="1" t="n">
        <v>3484.3</v>
      </c>
      <c r="T720" s="1" t="n">
        <v>1442.61</v>
      </c>
      <c r="U720" s="1" t="n">
        <v>2041.69</v>
      </c>
      <c r="V720" s="1" t="n">
        <v>58.6</v>
      </c>
      <c r="W720" s="1" t="s">
        <v>39</v>
      </c>
      <c r="X720" s="1" t="n">
        <v>3.7</v>
      </c>
      <c r="Y720" s="1" t="s">
        <v>40</v>
      </c>
      <c r="Z720" s="1" t="n">
        <v>0</v>
      </c>
    </row>
    <row r="721" customFormat="false" ht="15" hidden="false" customHeight="true" outlineLevel="0" collapsed="false">
      <c r="A721" s="1" t="s">
        <v>1351</v>
      </c>
      <c r="B721" s="1" t="s">
        <v>1352</v>
      </c>
      <c r="C721" s="1" t="s">
        <v>65</v>
      </c>
      <c r="D721" s="1" t="s">
        <v>94</v>
      </c>
      <c r="E721" s="1" t="s">
        <v>101</v>
      </c>
      <c r="F721" s="1" t="s">
        <v>107</v>
      </c>
      <c r="G721" s="1" t="s">
        <v>108</v>
      </c>
      <c r="H721" s="1" t="s">
        <v>33</v>
      </c>
      <c r="I721" s="1" t="s">
        <v>34</v>
      </c>
      <c r="J721" s="1" t="s">
        <v>131</v>
      </c>
      <c r="K721" s="1" t="s">
        <v>104</v>
      </c>
      <c r="L721" s="1" t="s">
        <v>61</v>
      </c>
      <c r="M721" s="1" t="s">
        <v>38</v>
      </c>
      <c r="N721" s="1" t="n">
        <v>14999</v>
      </c>
      <c r="O721" s="1" t="n">
        <v>40</v>
      </c>
      <c r="P721" s="1" t="n">
        <v>5999.6</v>
      </c>
      <c r="Q721" s="1" t="n">
        <v>8999.4</v>
      </c>
      <c r="R721" s="1" t="n">
        <v>1619.89</v>
      </c>
      <c r="S721" s="1" t="n">
        <v>7379.51</v>
      </c>
      <c r="T721" s="1" t="n">
        <v>3785.77</v>
      </c>
      <c r="U721" s="1" t="n">
        <v>3593.74</v>
      </c>
      <c r="V721" s="1" t="n">
        <v>48.7</v>
      </c>
      <c r="W721" s="1" t="s">
        <v>40</v>
      </c>
      <c r="Y721" s="1" t="s">
        <v>40</v>
      </c>
      <c r="Z721" s="1" t="n">
        <v>1</v>
      </c>
    </row>
    <row r="722" customFormat="false" ht="15" hidden="false" customHeight="true" outlineLevel="0" collapsed="false">
      <c r="A722" s="1" t="s">
        <v>1353</v>
      </c>
      <c r="B722" s="1" t="s">
        <v>158</v>
      </c>
      <c r="C722" s="1" t="s">
        <v>264</v>
      </c>
      <c r="D722" s="1" t="s">
        <v>80</v>
      </c>
      <c r="E722" s="1" t="s">
        <v>190</v>
      </c>
      <c r="F722" s="1" t="s">
        <v>244</v>
      </c>
      <c r="G722" s="1" t="s">
        <v>97</v>
      </c>
      <c r="H722" s="1" t="s">
        <v>57</v>
      </c>
      <c r="I722" s="1" t="s">
        <v>34</v>
      </c>
      <c r="J722" s="1" t="s">
        <v>70</v>
      </c>
      <c r="K722" s="1" t="s">
        <v>112</v>
      </c>
      <c r="L722" s="1" t="s">
        <v>113</v>
      </c>
      <c r="M722" s="1" t="s">
        <v>50</v>
      </c>
      <c r="N722" s="1" t="n">
        <v>15999</v>
      </c>
      <c r="O722" s="1" t="n">
        <v>15</v>
      </c>
      <c r="P722" s="1" t="n">
        <v>2399.85</v>
      </c>
      <c r="Q722" s="1" t="n">
        <v>13599.15</v>
      </c>
      <c r="R722" s="1" t="n">
        <v>2447.85</v>
      </c>
      <c r="S722" s="1" t="n">
        <v>11151.3</v>
      </c>
      <c r="T722" s="1" t="n">
        <v>4879.42</v>
      </c>
      <c r="U722" s="1" t="n">
        <v>6271.88</v>
      </c>
      <c r="V722" s="1" t="n">
        <v>56.24</v>
      </c>
      <c r="W722" s="1" t="s">
        <v>39</v>
      </c>
      <c r="X722" s="1" t="n">
        <v>4.2</v>
      </c>
      <c r="Y722" s="1" t="s">
        <v>40</v>
      </c>
      <c r="Z722" s="1" t="n">
        <v>1</v>
      </c>
    </row>
    <row r="723" customFormat="false" ht="15" hidden="false" customHeight="true" outlineLevel="0" collapsed="false">
      <c r="A723" s="1" t="s">
        <v>1354</v>
      </c>
      <c r="B723" s="1" t="s">
        <v>1355</v>
      </c>
      <c r="C723" s="1" t="s">
        <v>134</v>
      </c>
      <c r="D723" s="1" t="s">
        <v>44</v>
      </c>
      <c r="E723" s="1" t="s">
        <v>66</v>
      </c>
      <c r="F723" s="1" t="s">
        <v>120</v>
      </c>
      <c r="G723" s="1" t="s">
        <v>47</v>
      </c>
      <c r="H723" s="1" t="s">
        <v>57</v>
      </c>
      <c r="I723" s="1" t="s">
        <v>34</v>
      </c>
      <c r="J723" s="1" t="s">
        <v>131</v>
      </c>
      <c r="K723" s="1" t="s">
        <v>60</v>
      </c>
      <c r="L723" s="1" t="s">
        <v>113</v>
      </c>
      <c r="M723" s="1" t="s">
        <v>38</v>
      </c>
      <c r="N723" s="1" t="n">
        <v>12999</v>
      </c>
      <c r="O723" s="1" t="n">
        <v>25</v>
      </c>
      <c r="P723" s="1" t="n">
        <v>3249.75</v>
      </c>
      <c r="Q723" s="1" t="n">
        <v>9749.25</v>
      </c>
      <c r="R723" s="1" t="n">
        <v>1754.87</v>
      </c>
      <c r="S723" s="1" t="n">
        <v>7994.38</v>
      </c>
      <c r="T723" s="1" t="n">
        <v>3620.83</v>
      </c>
      <c r="U723" s="1" t="n">
        <v>4373.55</v>
      </c>
      <c r="V723" s="1" t="n">
        <v>54.71</v>
      </c>
      <c r="W723" s="1" t="s">
        <v>40</v>
      </c>
      <c r="Y723" s="1" t="s">
        <v>40</v>
      </c>
      <c r="Z723" s="1" t="n">
        <v>0</v>
      </c>
    </row>
    <row r="724" customFormat="false" ht="15" hidden="false" customHeight="true" outlineLevel="0" collapsed="false">
      <c r="A724" s="1" t="s">
        <v>1356</v>
      </c>
      <c r="B724" s="1" t="s">
        <v>539</v>
      </c>
      <c r="C724" s="1" t="s">
        <v>264</v>
      </c>
      <c r="D724" s="1" t="s">
        <v>53</v>
      </c>
      <c r="E724" s="1" t="s">
        <v>54</v>
      </c>
      <c r="F724" s="1" t="s">
        <v>102</v>
      </c>
      <c r="G724" s="1" t="s">
        <v>103</v>
      </c>
      <c r="H724" s="1" t="s">
        <v>33</v>
      </c>
      <c r="I724" s="1" t="s">
        <v>34</v>
      </c>
      <c r="J724" s="1" t="s">
        <v>131</v>
      </c>
      <c r="K724" s="1" t="s">
        <v>71</v>
      </c>
      <c r="L724" s="1" t="s">
        <v>49</v>
      </c>
      <c r="M724" s="1" t="s">
        <v>62</v>
      </c>
      <c r="N724" s="1" t="n">
        <v>11999</v>
      </c>
      <c r="O724" s="1" t="n">
        <v>0</v>
      </c>
      <c r="P724" s="1" t="n">
        <v>0</v>
      </c>
      <c r="Q724" s="1" t="n">
        <v>11999</v>
      </c>
      <c r="R724" s="1" t="n">
        <v>2159.82</v>
      </c>
      <c r="S724" s="1" t="n">
        <v>9839.18</v>
      </c>
      <c r="T724" s="1" t="n">
        <v>4028.9</v>
      </c>
      <c r="U724" s="1" t="n">
        <v>5810.28</v>
      </c>
      <c r="V724" s="1" t="n">
        <v>59.05</v>
      </c>
      <c r="W724" s="1" t="s">
        <v>40</v>
      </c>
      <c r="Y724" s="1" t="s">
        <v>39</v>
      </c>
      <c r="Z724" s="1" t="n">
        <v>0</v>
      </c>
    </row>
    <row r="725" customFormat="false" ht="15" hidden="false" customHeight="true" outlineLevel="0" collapsed="false">
      <c r="A725" s="1" t="s">
        <v>1357</v>
      </c>
      <c r="B725" s="1" t="s">
        <v>520</v>
      </c>
      <c r="C725" s="1" t="s">
        <v>249</v>
      </c>
      <c r="D725" s="1" t="s">
        <v>80</v>
      </c>
      <c r="E725" s="1" t="s">
        <v>81</v>
      </c>
      <c r="F725" s="1" t="s">
        <v>82</v>
      </c>
      <c r="G725" s="1" t="s">
        <v>56</v>
      </c>
      <c r="H725" s="1" t="s">
        <v>69</v>
      </c>
      <c r="I725" s="1" t="s">
        <v>34</v>
      </c>
      <c r="J725" s="1" t="s">
        <v>77</v>
      </c>
      <c r="K725" s="1" t="s">
        <v>36</v>
      </c>
      <c r="L725" s="1" t="s">
        <v>113</v>
      </c>
      <c r="M725" s="1" t="s">
        <v>38</v>
      </c>
      <c r="N725" s="1" t="n">
        <v>12999</v>
      </c>
      <c r="O725" s="1" t="n">
        <v>30</v>
      </c>
      <c r="P725" s="1" t="n">
        <v>3899.7</v>
      </c>
      <c r="Q725" s="1" t="n">
        <v>9099.3</v>
      </c>
      <c r="R725" s="1" t="n">
        <v>1637.87</v>
      </c>
      <c r="S725" s="1" t="n">
        <v>7461.43</v>
      </c>
      <c r="T725" s="1" t="n">
        <v>2988.26</v>
      </c>
      <c r="U725" s="1" t="n">
        <v>4473.17</v>
      </c>
      <c r="V725" s="1" t="n">
        <v>59.95</v>
      </c>
      <c r="W725" s="1" t="s">
        <v>40</v>
      </c>
      <c r="Y725" s="1" t="s">
        <v>40</v>
      </c>
      <c r="Z725" s="1" t="n">
        <v>2</v>
      </c>
    </row>
    <row r="726" customFormat="false" ht="15" hidden="false" customHeight="true" outlineLevel="0" collapsed="false">
      <c r="A726" s="1" t="s">
        <v>1358</v>
      </c>
      <c r="B726" s="1" t="s">
        <v>1163</v>
      </c>
      <c r="C726" s="1" t="s">
        <v>139</v>
      </c>
      <c r="D726" s="1" t="s">
        <v>29</v>
      </c>
      <c r="E726" s="1" t="s">
        <v>30</v>
      </c>
      <c r="F726" s="1" t="s">
        <v>107</v>
      </c>
      <c r="G726" s="1" t="s">
        <v>108</v>
      </c>
      <c r="H726" s="1" t="s">
        <v>33</v>
      </c>
      <c r="I726" s="1" t="s">
        <v>83</v>
      </c>
      <c r="J726" s="1" t="s">
        <v>131</v>
      </c>
      <c r="K726" s="1" t="s">
        <v>104</v>
      </c>
      <c r="L726" s="1" t="s">
        <v>113</v>
      </c>
      <c r="M726" s="1" t="s">
        <v>50</v>
      </c>
      <c r="N726" s="1" t="n">
        <v>7999</v>
      </c>
      <c r="O726" s="1" t="n">
        <v>0</v>
      </c>
      <c r="P726" s="1" t="n">
        <v>0</v>
      </c>
      <c r="Q726" s="1" t="n">
        <v>7999</v>
      </c>
      <c r="R726" s="1" t="n">
        <v>1439.82</v>
      </c>
      <c r="S726" s="1" t="n">
        <v>6559.18</v>
      </c>
      <c r="T726" s="1" t="n">
        <v>3004.17</v>
      </c>
      <c r="U726" s="1" t="n">
        <v>3555.01</v>
      </c>
      <c r="V726" s="1" t="n">
        <v>54.2</v>
      </c>
      <c r="W726" s="1" t="s">
        <v>39</v>
      </c>
      <c r="X726" s="1" t="n">
        <v>4.5</v>
      </c>
      <c r="Y726" s="1" t="s">
        <v>40</v>
      </c>
      <c r="Z726" s="1" t="n">
        <v>0</v>
      </c>
    </row>
    <row r="727" customFormat="false" ht="15" hidden="false" customHeight="true" outlineLevel="0" collapsed="false">
      <c r="A727" s="1" t="s">
        <v>1359</v>
      </c>
      <c r="B727" s="1" t="s">
        <v>933</v>
      </c>
      <c r="C727" s="1" t="s">
        <v>134</v>
      </c>
      <c r="D727" s="1" t="s">
        <v>53</v>
      </c>
      <c r="E727" s="1" t="s">
        <v>116</v>
      </c>
      <c r="F727" s="1" t="s">
        <v>285</v>
      </c>
      <c r="G727" s="1" t="s">
        <v>47</v>
      </c>
      <c r="H727" s="1" t="s">
        <v>33</v>
      </c>
      <c r="I727" s="1" t="s">
        <v>83</v>
      </c>
      <c r="J727" s="1" t="s">
        <v>77</v>
      </c>
      <c r="K727" s="1" t="s">
        <v>36</v>
      </c>
      <c r="L727" s="1" t="s">
        <v>37</v>
      </c>
      <c r="M727" s="1" t="s">
        <v>62</v>
      </c>
      <c r="N727" s="1" t="n">
        <v>9999</v>
      </c>
      <c r="O727" s="1" t="n">
        <v>50</v>
      </c>
      <c r="P727" s="1" t="n">
        <v>4999.5</v>
      </c>
      <c r="Q727" s="1" t="n">
        <v>4999.5</v>
      </c>
      <c r="R727" s="1" t="n">
        <v>899.91</v>
      </c>
      <c r="S727" s="1" t="n">
        <v>4099.59</v>
      </c>
      <c r="T727" s="1" t="n">
        <v>2343.93</v>
      </c>
      <c r="U727" s="1" t="n">
        <v>1755.66</v>
      </c>
      <c r="V727" s="1" t="n">
        <v>42.83</v>
      </c>
      <c r="W727" s="1" t="s">
        <v>39</v>
      </c>
      <c r="X727" s="1" t="n">
        <v>4</v>
      </c>
      <c r="Y727" s="1" t="s">
        <v>40</v>
      </c>
      <c r="Z727" s="1" t="n">
        <v>0</v>
      </c>
    </row>
    <row r="728" customFormat="false" ht="15" hidden="false" customHeight="true" outlineLevel="0" collapsed="false">
      <c r="A728" s="1" t="s">
        <v>1360</v>
      </c>
      <c r="B728" s="1" t="s">
        <v>127</v>
      </c>
      <c r="C728" s="1" t="s">
        <v>93</v>
      </c>
      <c r="D728" s="1" t="s">
        <v>44</v>
      </c>
      <c r="E728" s="1" t="s">
        <v>66</v>
      </c>
      <c r="F728" s="1" t="s">
        <v>31</v>
      </c>
      <c r="G728" s="1" t="s">
        <v>32</v>
      </c>
      <c r="H728" s="1" t="s">
        <v>33</v>
      </c>
      <c r="I728" s="1" t="s">
        <v>34</v>
      </c>
      <c r="J728" s="1" t="s">
        <v>35</v>
      </c>
      <c r="K728" s="1" t="s">
        <v>60</v>
      </c>
      <c r="L728" s="1" t="s">
        <v>85</v>
      </c>
      <c r="M728" s="1" t="s">
        <v>50</v>
      </c>
      <c r="N728" s="1" t="n">
        <v>12999</v>
      </c>
      <c r="O728" s="1" t="n">
        <v>40</v>
      </c>
      <c r="P728" s="1" t="n">
        <v>5199.6</v>
      </c>
      <c r="Q728" s="1" t="n">
        <v>7799.4</v>
      </c>
      <c r="R728" s="1" t="n">
        <v>1403.89</v>
      </c>
      <c r="S728" s="1" t="n">
        <v>6395.51</v>
      </c>
      <c r="T728" s="1" t="n">
        <v>3576.63</v>
      </c>
      <c r="U728" s="1" t="n">
        <v>2818.88</v>
      </c>
      <c r="V728" s="1" t="n">
        <v>44.08</v>
      </c>
      <c r="W728" s="1" t="s">
        <v>40</v>
      </c>
      <c r="Y728" s="1" t="s">
        <v>40</v>
      </c>
      <c r="Z728" s="1" t="n">
        <v>0</v>
      </c>
    </row>
    <row r="729" customFormat="false" ht="15" hidden="false" customHeight="true" outlineLevel="0" collapsed="false">
      <c r="A729" s="1" t="s">
        <v>1361</v>
      </c>
      <c r="B729" s="1" t="s">
        <v>1294</v>
      </c>
      <c r="C729" s="1" t="s">
        <v>264</v>
      </c>
      <c r="D729" s="1" t="s">
        <v>80</v>
      </c>
      <c r="E729" s="1" t="s">
        <v>175</v>
      </c>
      <c r="F729" s="1" t="s">
        <v>96</v>
      </c>
      <c r="G729" s="1" t="s">
        <v>97</v>
      </c>
      <c r="H729" s="1" t="s">
        <v>69</v>
      </c>
      <c r="I729" s="1" t="s">
        <v>34</v>
      </c>
      <c r="J729" s="1" t="s">
        <v>70</v>
      </c>
      <c r="K729" s="1" t="s">
        <v>71</v>
      </c>
      <c r="L729" s="1" t="s">
        <v>113</v>
      </c>
      <c r="M729" s="1" t="s">
        <v>38</v>
      </c>
      <c r="N729" s="1" t="n">
        <v>19999</v>
      </c>
      <c r="O729" s="1" t="n">
        <v>40</v>
      </c>
      <c r="P729" s="1" t="n">
        <v>7999.6</v>
      </c>
      <c r="Q729" s="1" t="n">
        <v>11999.4</v>
      </c>
      <c r="R729" s="1" t="n">
        <v>2159.89</v>
      </c>
      <c r="S729" s="1" t="n">
        <v>9839.51</v>
      </c>
      <c r="T729" s="1" t="n">
        <v>4677.32</v>
      </c>
      <c r="U729" s="1" t="n">
        <v>5162.19</v>
      </c>
      <c r="V729" s="1" t="n">
        <v>52.46</v>
      </c>
      <c r="W729" s="1" t="s">
        <v>39</v>
      </c>
      <c r="X729" s="1" t="n">
        <v>4.1</v>
      </c>
      <c r="Y729" s="1" t="s">
        <v>40</v>
      </c>
      <c r="Z729" s="1" t="n">
        <v>0</v>
      </c>
    </row>
    <row r="730" customFormat="false" ht="15" hidden="false" customHeight="true" outlineLevel="0" collapsed="false">
      <c r="A730" s="1" t="s">
        <v>1362</v>
      </c>
      <c r="B730" s="1" t="s">
        <v>42</v>
      </c>
      <c r="C730" s="1" t="s">
        <v>43</v>
      </c>
      <c r="D730" s="1" t="s">
        <v>44</v>
      </c>
      <c r="E730" s="1" t="s">
        <v>221</v>
      </c>
      <c r="F730" s="1" t="s">
        <v>1363</v>
      </c>
      <c r="G730" s="1" t="s">
        <v>68</v>
      </c>
      <c r="H730" s="1" t="s">
        <v>33</v>
      </c>
      <c r="I730" s="1" t="s">
        <v>34</v>
      </c>
      <c r="J730" s="1" t="s">
        <v>70</v>
      </c>
      <c r="K730" s="1" t="s">
        <v>84</v>
      </c>
      <c r="L730" s="1" t="s">
        <v>37</v>
      </c>
      <c r="M730" s="1" t="s">
        <v>38</v>
      </c>
      <c r="N730" s="1" t="n">
        <v>16999</v>
      </c>
      <c r="O730" s="1" t="n">
        <v>50</v>
      </c>
      <c r="P730" s="1" t="n">
        <v>8499.5</v>
      </c>
      <c r="Q730" s="1" t="n">
        <v>8499.5</v>
      </c>
      <c r="R730" s="1" t="n">
        <v>1529.91</v>
      </c>
      <c r="S730" s="1" t="n">
        <v>6969.59</v>
      </c>
      <c r="T730" s="1" t="n">
        <v>4073.43</v>
      </c>
      <c r="U730" s="1" t="n">
        <v>2896.16</v>
      </c>
      <c r="V730" s="1" t="n">
        <v>41.55</v>
      </c>
      <c r="W730" s="1" t="s">
        <v>40</v>
      </c>
      <c r="Y730" s="1" t="s">
        <v>39</v>
      </c>
      <c r="Z730" s="1" t="n">
        <v>0</v>
      </c>
    </row>
    <row r="731" customFormat="false" ht="15" hidden="false" customHeight="true" outlineLevel="0" collapsed="false">
      <c r="A731" s="1" t="s">
        <v>1364</v>
      </c>
      <c r="B731" s="1" t="s">
        <v>373</v>
      </c>
      <c r="C731" s="1" t="s">
        <v>249</v>
      </c>
      <c r="D731" s="1" t="s">
        <v>123</v>
      </c>
      <c r="E731" s="1" t="s">
        <v>147</v>
      </c>
      <c r="F731" s="1" t="s">
        <v>150</v>
      </c>
      <c r="G731" s="1" t="s">
        <v>32</v>
      </c>
      <c r="H731" s="1" t="s">
        <v>57</v>
      </c>
      <c r="I731" s="1" t="s">
        <v>83</v>
      </c>
      <c r="J731" s="1" t="s">
        <v>131</v>
      </c>
      <c r="K731" s="1" t="s">
        <v>60</v>
      </c>
      <c r="L731" s="1" t="s">
        <v>113</v>
      </c>
      <c r="M731" s="1" t="s">
        <v>62</v>
      </c>
      <c r="N731" s="1" t="n">
        <v>6999</v>
      </c>
      <c r="O731" s="1" t="n">
        <v>25</v>
      </c>
      <c r="P731" s="1" t="n">
        <v>1749.75</v>
      </c>
      <c r="Q731" s="1" t="n">
        <v>5249.25</v>
      </c>
      <c r="R731" s="1" t="n">
        <v>944.87</v>
      </c>
      <c r="S731" s="1" t="n">
        <v>4304.38</v>
      </c>
      <c r="T731" s="1" t="n">
        <v>1636.21</v>
      </c>
      <c r="U731" s="1" t="n">
        <v>2668.17</v>
      </c>
      <c r="V731" s="1" t="n">
        <v>61.99</v>
      </c>
      <c r="W731" s="1" t="s">
        <v>40</v>
      </c>
      <c r="Y731" s="1" t="s">
        <v>40</v>
      </c>
      <c r="Z731" s="1" t="n">
        <v>2</v>
      </c>
    </row>
    <row r="732" customFormat="false" ht="15" hidden="false" customHeight="true" outlineLevel="0" collapsed="false">
      <c r="A732" s="1" t="s">
        <v>1365</v>
      </c>
      <c r="B732" s="1" t="s">
        <v>601</v>
      </c>
      <c r="C732" s="1" t="s">
        <v>139</v>
      </c>
      <c r="D732" s="1" t="s">
        <v>123</v>
      </c>
      <c r="E732" s="1" t="s">
        <v>124</v>
      </c>
      <c r="F732" s="1" t="s">
        <v>194</v>
      </c>
      <c r="G732" s="1" t="s">
        <v>103</v>
      </c>
      <c r="H732" s="1" t="s">
        <v>69</v>
      </c>
      <c r="I732" s="1" t="s">
        <v>34</v>
      </c>
      <c r="J732" s="1" t="s">
        <v>77</v>
      </c>
      <c r="K732" s="1" t="s">
        <v>71</v>
      </c>
      <c r="L732" s="1" t="s">
        <v>49</v>
      </c>
      <c r="M732" s="1" t="s">
        <v>38</v>
      </c>
      <c r="N732" s="1" t="n">
        <v>4999</v>
      </c>
      <c r="O732" s="1" t="n">
        <v>40</v>
      </c>
      <c r="P732" s="1" t="n">
        <v>1999.6</v>
      </c>
      <c r="Q732" s="1" t="n">
        <v>2999.4</v>
      </c>
      <c r="R732" s="1" t="n">
        <v>539.89</v>
      </c>
      <c r="S732" s="1" t="n">
        <v>2459.51</v>
      </c>
      <c r="T732" s="1" t="n">
        <v>1193.67</v>
      </c>
      <c r="U732" s="1" t="n">
        <v>1265.84</v>
      </c>
      <c r="V732" s="1" t="n">
        <v>51.47</v>
      </c>
      <c r="W732" s="1" t="s">
        <v>40</v>
      </c>
      <c r="Y732" s="1" t="s">
        <v>40</v>
      </c>
      <c r="Z732" s="1" t="n">
        <v>0</v>
      </c>
    </row>
    <row r="733" customFormat="false" ht="15" hidden="false" customHeight="true" outlineLevel="0" collapsed="false">
      <c r="A733" s="1" t="s">
        <v>1366</v>
      </c>
      <c r="B733" s="1" t="s">
        <v>1367</v>
      </c>
      <c r="C733" s="1" t="s">
        <v>249</v>
      </c>
      <c r="D733" s="1" t="s">
        <v>168</v>
      </c>
      <c r="E733" s="1" t="s">
        <v>169</v>
      </c>
      <c r="F733" s="1" t="s">
        <v>75</v>
      </c>
      <c r="G733" s="1" t="s">
        <v>76</v>
      </c>
      <c r="H733" s="1" t="s">
        <v>69</v>
      </c>
      <c r="I733" s="1" t="s">
        <v>83</v>
      </c>
      <c r="J733" s="1" t="s">
        <v>77</v>
      </c>
      <c r="K733" s="1" t="s">
        <v>60</v>
      </c>
      <c r="L733" s="1" t="s">
        <v>37</v>
      </c>
      <c r="M733" s="1" t="s">
        <v>62</v>
      </c>
      <c r="N733" s="1" t="n">
        <v>4999</v>
      </c>
      <c r="O733" s="1" t="n">
        <v>5</v>
      </c>
      <c r="P733" s="1" t="n">
        <v>249.95</v>
      </c>
      <c r="Q733" s="1" t="n">
        <v>4749.05</v>
      </c>
      <c r="R733" s="1" t="n">
        <v>854.83</v>
      </c>
      <c r="S733" s="1" t="n">
        <v>3894.22</v>
      </c>
      <c r="T733" s="1" t="n">
        <v>1686.26</v>
      </c>
      <c r="U733" s="1" t="n">
        <v>2207.96</v>
      </c>
      <c r="V733" s="1" t="n">
        <v>56.7</v>
      </c>
      <c r="W733" s="1" t="s">
        <v>40</v>
      </c>
      <c r="Y733" s="1" t="s">
        <v>39</v>
      </c>
      <c r="Z733" s="1" t="n">
        <v>1</v>
      </c>
    </row>
    <row r="734" customFormat="false" ht="15" hidden="false" customHeight="true" outlineLevel="0" collapsed="false">
      <c r="A734" s="1" t="s">
        <v>1368</v>
      </c>
      <c r="B734" s="1" t="s">
        <v>1369</v>
      </c>
      <c r="C734" s="1" t="s">
        <v>128</v>
      </c>
      <c r="D734" s="1" t="s">
        <v>29</v>
      </c>
      <c r="E734" s="1" t="s">
        <v>129</v>
      </c>
      <c r="F734" s="1" t="s">
        <v>184</v>
      </c>
      <c r="G734" s="1" t="s">
        <v>56</v>
      </c>
      <c r="H734" s="1" t="s">
        <v>57</v>
      </c>
      <c r="I734" s="1" t="s">
        <v>58</v>
      </c>
      <c r="J734" s="1" t="s">
        <v>59</v>
      </c>
      <c r="K734" s="1" t="s">
        <v>60</v>
      </c>
      <c r="L734" s="1" t="s">
        <v>61</v>
      </c>
      <c r="M734" s="1" t="s">
        <v>38</v>
      </c>
      <c r="N734" s="1" t="n">
        <v>29999</v>
      </c>
      <c r="O734" s="1" t="n">
        <v>30</v>
      </c>
      <c r="P734" s="1" t="n">
        <v>8999.7</v>
      </c>
      <c r="Q734" s="1" t="n">
        <v>20999.3</v>
      </c>
      <c r="R734" s="1" t="n">
        <v>3779.87</v>
      </c>
      <c r="S734" s="1" t="n">
        <v>17219.43</v>
      </c>
      <c r="T734" s="1" t="n">
        <v>7816.53</v>
      </c>
      <c r="U734" s="1" t="n">
        <v>9402.9</v>
      </c>
      <c r="V734" s="1" t="n">
        <v>54.61</v>
      </c>
      <c r="W734" s="1" t="s">
        <v>39</v>
      </c>
      <c r="X734" s="1" t="n">
        <v>3.8</v>
      </c>
      <c r="Y734" s="1" t="s">
        <v>40</v>
      </c>
      <c r="Z734" s="1" t="n">
        <v>0</v>
      </c>
    </row>
    <row r="735" customFormat="false" ht="15" hidden="false" customHeight="true" outlineLevel="0" collapsed="false">
      <c r="A735" s="1" t="s">
        <v>1370</v>
      </c>
      <c r="B735" s="1" t="s">
        <v>1054</v>
      </c>
      <c r="C735" s="1" t="s">
        <v>204</v>
      </c>
      <c r="D735" s="1" t="s">
        <v>29</v>
      </c>
      <c r="E735" s="1" t="s">
        <v>30</v>
      </c>
      <c r="F735" s="1" t="s">
        <v>75</v>
      </c>
      <c r="G735" s="1" t="s">
        <v>76</v>
      </c>
      <c r="H735" s="1" t="s">
        <v>69</v>
      </c>
      <c r="I735" s="1" t="s">
        <v>83</v>
      </c>
      <c r="J735" s="1" t="s">
        <v>70</v>
      </c>
      <c r="K735" s="1" t="s">
        <v>112</v>
      </c>
      <c r="L735" s="1" t="s">
        <v>113</v>
      </c>
      <c r="M735" s="1" t="s">
        <v>50</v>
      </c>
      <c r="N735" s="1" t="n">
        <v>7999</v>
      </c>
      <c r="O735" s="1" t="n">
        <v>15</v>
      </c>
      <c r="P735" s="1" t="n">
        <v>1199.85</v>
      </c>
      <c r="Q735" s="1" t="n">
        <v>6799.15</v>
      </c>
      <c r="R735" s="1" t="n">
        <v>1223.85</v>
      </c>
      <c r="S735" s="1" t="n">
        <v>5575.3</v>
      </c>
      <c r="T735" s="1" t="n">
        <v>2181.58</v>
      </c>
      <c r="U735" s="1" t="n">
        <v>3393.72</v>
      </c>
      <c r="V735" s="1" t="n">
        <v>60.87</v>
      </c>
      <c r="W735" s="1" t="s">
        <v>39</v>
      </c>
      <c r="X735" s="1" t="n">
        <v>3.7</v>
      </c>
      <c r="Y735" s="1" t="s">
        <v>40</v>
      </c>
      <c r="Z735" s="1" t="n">
        <v>0</v>
      </c>
    </row>
    <row r="736" customFormat="false" ht="15" hidden="false" customHeight="true" outlineLevel="0" collapsed="false">
      <c r="A736" s="1" t="s">
        <v>1371</v>
      </c>
      <c r="B736" s="1" t="s">
        <v>1372</v>
      </c>
      <c r="C736" s="1" t="s">
        <v>65</v>
      </c>
      <c r="D736" s="1" t="s">
        <v>44</v>
      </c>
      <c r="E736" s="1" t="s">
        <v>66</v>
      </c>
      <c r="F736" s="1" t="s">
        <v>153</v>
      </c>
      <c r="G736" s="1" t="s">
        <v>76</v>
      </c>
      <c r="H736" s="1" t="s">
        <v>33</v>
      </c>
      <c r="I736" s="1" t="s">
        <v>34</v>
      </c>
      <c r="J736" s="1" t="s">
        <v>70</v>
      </c>
      <c r="K736" s="1" t="s">
        <v>112</v>
      </c>
      <c r="L736" s="1" t="s">
        <v>61</v>
      </c>
      <c r="M736" s="1" t="s">
        <v>38</v>
      </c>
      <c r="N736" s="1" t="n">
        <v>12999</v>
      </c>
      <c r="O736" s="1" t="n">
        <v>10</v>
      </c>
      <c r="P736" s="1" t="n">
        <v>1299.9</v>
      </c>
      <c r="Q736" s="1" t="n">
        <v>11699.1</v>
      </c>
      <c r="R736" s="1" t="n">
        <v>2105.84</v>
      </c>
      <c r="S736" s="1" t="n">
        <v>9593.26</v>
      </c>
      <c r="T736" s="1" t="n">
        <v>3720.03</v>
      </c>
      <c r="U736" s="1" t="n">
        <v>5873.23</v>
      </c>
      <c r="V736" s="1" t="n">
        <v>61.22</v>
      </c>
      <c r="W736" s="1" t="s">
        <v>39</v>
      </c>
      <c r="Y736" s="1" t="s">
        <v>40</v>
      </c>
      <c r="Z736" s="1" t="n">
        <v>2</v>
      </c>
    </row>
    <row r="737" customFormat="false" ht="15" hidden="false" customHeight="true" outlineLevel="0" collapsed="false">
      <c r="A737" s="1" t="s">
        <v>1373</v>
      </c>
      <c r="B737" s="1" t="s">
        <v>805</v>
      </c>
      <c r="C737" s="1" t="s">
        <v>167</v>
      </c>
      <c r="D737" s="1" t="s">
        <v>44</v>
      </c>
      <c r="E737" s="1" t="s">
        <v>45</v>
      </c>
      <c r="F737" s="1" t="s">
        <v>96</v>
      </c>
      <c r="G737" s="1" t="s">
        <v>97</v>
      </c>
      <c r="H737" s="1" t="s">
        <v>69</v>
      </c>
      <c r="I737" s="1" t="s">
        <v>58</v>
      </c>
      <c r="J737" s="1" t="s">
        <v>77</v>
      </c>
      <c r="K737" s="1" t="s">
        <v>104</v>
      </c>
      <c r="L737" s="1" t="s">
        <v>113</v>
      </c>
      <c r="M737" s="1" t="s">
        <v>62</v>
      </c>
      <c r="N737" s="1" t="n">
        <v>11999</v>
      </c>
      <c r="O737" s="1" t="n">
        <v>0</v>
      </c>
      <c r="P737" s="1" t="n">
        <v>0</v>
      </c>
      <c r="Q737" s="1" t="n">
        <v>11999</v>
      </c>
      <c r="R737" s="1" t="n">
        <v>2159.82</v>
      </c>
      <c r="S737" s="1" t="n">
        <v>9839.18</v>
      </c>
      <c r="T737" s="1" t="n">
        <v>3118.55</v>
      </c>
      <c r="U737" s="1" t="n">
        <v>6720.63</v>
      </c>
      <c r="V737" s="1" t="n">
        <v>68.3</v>
      </c>
      <c r="W737" s="1" t="s">
        <v>39</v>
      </c>
      <c r="X737" s="1" t="n">
        <v>3.8</v>
      </c>
      <c r="Y737" s="1" t="s">
        <v>40</v>
      </c>
      <c r="Z737" s="1" t="n">
        <v>0</v>
      </c>
    </row>
    <row r="738" customFormat="false" ht="15" hidden="false" customHeight="true" outlineLevel="0" collapsed="false">
      <c r="A738" s="1" t="s">
        <v>1374</v>
      </c>
      <c r="B738" s="1" t="s">
        <v>1375</v>
      </c>
      <c r="C738" s="1" t="s">
        <v>134</v>
      </c>
      <c r="D738" s="1" t="s">
        <v>53</v>
      </c>
      <c r="E738" s="1" t="s">
        <v>54</v>
      </c>
      <c r="F738" s="1" t="s">
        <v>194</v>
      </c>
      <c r="G738" s="1" t="s">
        <v>103</v>
      </c>
      <c r="H738" s="1" t="s">
        <v>69</v>
      </c>
      <c r="I738" s="1" t="s">
        <v>58</v>
      </c>
      <c r="J738" s="1" t="s">
        <v>35</v>
      </c>
      <c r="K738" s="1" t="s">
        <v>90</v>
      </c>
      <c r="L738" s="1" t="s">
        <v>85</v>
      </c>
      <c r="M738" s="1" t="s">
        <v>62</v>
      </c>
      <c r="N738" s="1" t="n">
        <v>11999</v>
      </c>
      <c r="O738" s="1" t="n">
        <v>25</v>
      </c>
      <c r="P738" s="1" t="n">
        <v>2999.75</v>
      </c>
      <c r="Q738" s="1" t="n">
        <v>8999.25</v>
      </c>
      <c r="R738" s="1" t="n">
        <v>1619.87</v>
      </c>
      <c r="S738" s="1" t="n">
        <v>7379.38</v>
      </c>
      <c r="T738" s="1" t="n">
        <v>2825.87</v>
      </c>
      <c r="U738" s="1" t="n">
        <v>4553.51</v>
      </c>
      <c r="V738" s="1" t="n">
        <v>61.71</v>
      </c>
      <c r="W738" s="1" t="s">
        <v>39</v>
      </c>
      <c r="X738" s="1" t="n">
        <v>3.1</v>
      </c>
      <c r="Y738" s="1" t="s">
        <v>40</v>
      </c>
      <c r="Z738" s="1" t="n">
        <v>0</v>
      </c>
    </row>
    <row r="739" customFormat="false" ht="15" hidden="false" customHeight="true" outlineLevel="0" collapsed="false">
      <c r="A739" s="1" t="s">
        <v>1376</v>
      </c>
      <c r="B739" s="1" t="s">
        <v>452</v>
      </c>
      <c r="C739" s="1" t="s">
        <v>139</v>
      </c>
      <c r="D739" s="1" t="s">
        <v>53</v>
      </c>
      <c r="E739" s="1" t="s">
        <v>116</v>
      </c>
      <c r="F739" s="1" t="s">
        <v>187</v>
      </c>
      <c r="G739" s="1" t="s">
        <v>97</v>
      </c>
      <c r="H739" s="1" t="s">
        <v>69</v>
      </c>
      <c r="I739" s="1" t="s">
        <v>58</v>
      </c>
      <c r="J739" s="1" t="s">
        <v>35</v>
      </c>
      <c r="K739" s="1" t="s">
        <v>104</v>
      </c>
      <c r="L739" s="1" t="s">
        <v>113</v>
      </c>
      <c r="M739" s="1" t="s">
        <v>38</v>
      </c>
      <c r="N739" s="1" t="n">
        <v>9999</v>
      </c>
      <c r="O739" s="1" t="n">
        <v>30</v>
      </c>
      <c r="P739" s="1" t="n">
        <v>2999.7</v>
      </c>
      <c r="Q739" s="1" t="n">
        <v>6999.3</v>
      </c>
      <c r="R739" s="1" t="n">
        <v>1259.87</v>
      </c>
      <c r="S739" s="1" t="n">
        <v>5739.43</v>
      </c>
      <c r="T739" s="1" t="n">
        <v>2076.71</v>
      </c>
      <c r="U739" s="1" t="n">
        <v>3662.72</v>
      </c>
      <c r="V739" s="1" t="n">
        <v>63.82</v>
      </c>
      <c r="W739" s="1" t="s">
        <v>39</v>
      </c>
      <c r="X739" s="1" t="n">
        <v>4.1</v>
      </c>
      <c r="Y739" s="1" t="s">
        <v>40</v>
      </c>
      <c r="Z739" s="1" t="n">
        <v>0</v>
      </c>
    </row>
    <row r="740" customFormat="false" ht="15" hidden="false" customHeight="true" outlineLevel="0" collapsed="false">
      <c r="A740" s="1" t="s">
        <v>1377</v>
      </c>
      <c r="B740" s="1" t="s">
        <v>1378</v>
      </c>
      <c r="C740" s="1" t="s">
        <v>128</v>
      </c>
      <c r="D740" s="1" t="s">
        <v>94</v>
      </c>
      <c r="E740" s="1" t="s">
        <v>101</v>
      </c>
      <c r="F740" s="1" t="s">
        <v>244</v>
      </c>
      <c r="G740" s="1" t="s">
        <v>97</v>
      </c>
      <c r="H740" s="1" t="s">
        <v>57</v>
      </c>
      <c r="I740" s="1" t="s">
        <v>83</v>
      </c>
      <c r="J740" s="1" t="s">
        <v>131</v>
      </c>
      <c r="K740" s="1" t="s">
        <v>71</v>
      </c>
      <c r="L740" s="1" t="s">
        <v>61</v>
      </c>
      <c r="M740" s="1" t="s">
        <v>50</v>
      </c>
      <c r="N740" s="1" t="n">
        <v>14999</v>
      </c>
      <c r="O740" s="1" t="n">
        <v>15</v>
      </c>
      <c r="P740" s="1" t="n">
        <v>2249.85</v>
      </c>
      <c r="Q740" s="1" t="n">
        <v>12749.15</v>
      </c>
      <c r="R740" s="1" t="n">
        <v>2294.85</v>
      </c>
      <c r="S740" s="1" t="n">
        <v>10454.3</v>
      </c>
      <c r="T740" s="1" t="n">
        <v>5315.27</v>
      </c>
      <c r="U740" s="1" t="n">
        <v>5139.03</v>
      </c>
      <c r="V740" s="1" t="n">
        <v>49.16</v>
      </c>
      <c r="W740" s="1" t="s">
        <v>39</v>
      </c>
      <c r="X740" s="1" t="n">
        <v>3.5</v>
      </c>
      <c r="Y740" s="1" t="s">
        <v>40</v>
      </c>
      <c r="Z740" s="1" t="n">
        <v>1</v>
      </c>
    </row>
    <row r="741" customFormat="false" ht="15" hidden="false" customHeight="true" outlineLevel="0" collapsed="false">
      <c r="A741" s="1" t="s">
        <v>1379</v>
      </c>
      <c r="B741" s="1" t="s">
        <v>177</v>
      </c>
      <c r="C741" s="1" t="s">
        <v>249</v>
      </c>
      <c r="D741" s="1" t="s">
        <v>168</v>
      </c>
      <c r="E741" s="1" t="s">
        <v>197</v>
      </c>
      <c r="F741" s="1" t="s">
        <v>150</v>
      </c>
      <c r="G741" s="1" t="s">
        <v>32</v>
      </c>
      <c r="H741" s="1" t="s">
        <v>57</v>
      </c>
      <c r="I741" s="1" t="s">
        <v>83</v>
      </c>
      <c r="J741" s="1" t="s">
        <v>59</v>
      </c>
      <c r="K741" s="1" t="s">
        <v>112</v>
      </c>
      <c r="L741" s="1" t="s">
        <v>113</v>
      </c>
      <c r="M741" s="1" t="s">
        <v>50</v>
      </c>
      <c r="N741" s="1" t="n">
        <v>8499</v>
      </c>
      <c r="O741" s="1" t="n">
        <v>10</v>
      </c>
      <c r="P741" s="1" t="n">
        <v>849.9</v>
      </c>
      <c r="Q741" s="1" t="n">
        <v>7649.1</v>
      </c>
      <c r="R741" s="1" t="n">
        <v>1376.84</v>
      </c>
      <c r="S741" s="1" t="n">
        <v>6272.26</v>
      </c>
      <c r="T741" s="1" t="n">
        <v>3143.02</v>
      </c>
      <c r="U741" s="1" t="n">
        <v>3129.24</v>
      </c>
      <c r="V741" s="1" t="n">
        <v>49.89</v>
      </c>
      <c r="W741" s="1" t="s">
        <v>40</v>
      </c>
      <c r="Y741" s="1" t="s">
        <v>40</v>
      </c>
      <c r="Z741" s="1" t="n">
        <v>1</v>
      </c>
    </row>
    <row r="742" customFormat="false" ht="15" hidden="false" customHeight="true" outlineLevel="0" collapsed="false">
      <c r="A742" s="1" t="s">
        <v>1380</v>
      </c>
      <c r="B742" s="1" t="s">
        <v>1381</v>
      </c>
      <c r="C742" s="1" t="s">
        <v>65</v>
      </c>
      <c r="D742" s="1" t="s">
        <v>123</v>
      </c>
      <c r="E742" s="1" t="s">
        <v>124</v>
      </c>
      <c r="F742" s="1" t="s">
        <v>96</v>
      </c>
      <c r="G742" s="1" t="s">
        <v>97</v>
      </c>
      <c r="H742" s="1" t="s">
        <v>69</v>
      </c>
      <c r="I742" s="1" t="s">
        <v>83</v>
      </c>
      <c r="J742" s="1" t="s">
        <v>77</v>
      </c>
      <c r="K742" s="1" t="s">
        <v>84</v>
      </c>
      <c r="L742" s="1" t="s">
        <v>49</v>
      </c>
      <c r="M742" s="1" t="s">
        <v>38</v>
      </c>
      <c r="N742" s="1" t="n">
        <v>4999</v>
      </c>
      <c r="O742" s="1" t="n">
        <v>40</v>
      </c>
      <c r="P742" s="1" t="n">
        <v>1999.6</v>
      </c>
      <c r="Q742" s="1" t="n">
        <v>2999.4</v>
      </c>
      <c r="R742" s="1" t="n">
        <v>539.89</v>
      </c>
      <c r="S742" s="1" t="n">
        <v>2459.51</v>
      </c>
      <c r="T742" s="1" t="n">
        <v>1323.25</v>
      </c>
      <c r="U742" s="1" t="n">
        <v>1136.26</v>
      </c>
      <c r="V742" s="1" t="n">
        <v>46.2</v>
      </c>
      <c r="W742" s="1" t="s">
        <v>39</v>
      </c>
      <c r="X742" s="1" t="n">
        <v>4.4</v>
      </c>
      <c r="Y742" s="1" t="s">
        <v>40</v>
      </c>
      <c r="Z742" s="1" t="n">
        <v>0</v>
      </c>
    </row>
    <row r="743" customFormat="false" ht="15" hidden="false" customHeight="true" outlineLevel="0" collapsed="false">
      <c r="A743" s="1" t="s">
        <v>1382</v>
      </c>
      <c r="B743" s="1" t="s">
        <v>1383</v>
      </c>
      <c r="C743" s="1" t="s">
        <v>264</v>
      </c>
      <c r="D743" s="1" t="s">
        <v>94</v>
      </c>
      <c r="E743" s="1" t="s">
        <v>135</v>
      </c>
      <c r="F743" s="1" t="s">
        <v>194</v>
      </c>
      <c r="G743" s="1" t="s">
        <v>103</v>
      </c>
      <c r="H743" s="1" t="s">
        <v>69</v>
      </c>
      <c r="I743" s="1" t="s">
        <v>83</v>
      </c>
      <c r="J743" s="1" t="s">
        <v>35</v>
      </c>
      <c r="K743" s="1" t="s">
        <v>71</v>
      </c>
      <c r="L743" s="1" t="s">
        <v>136</v>
      </c>
      <c r="M743" s="1" t="s">
        <v>50</v>
      </c>
      <c r="N743" s="1" t="n">
        <v>9999</v>
      </c>
      <c r="O743" s="1" t="n">
        <v>5</v>
      </c>
      <c r="P743" s="1" t="n">
        <v>499.95</v>
      </c>
      <c r="Q743" s="1" t="n">
        <v>9499.05</v>
      </c>
      <c r="R743" s="1" t="n">
        <v>1709.83</v>
      </c>
      <c r="S743" s="1" t="n">
        <v>7789.22</v>
      </c>
      <c r="T743" s="1" t="n">
        <v>2674.11</v>
      </c>
      <c r="U743" s="1" t="n">
        <v>5115.11</v>
      </c>
      <c r="V743" s="1" t="n">
        <v>65.67</v>
      </c>
      <c r="W743" s="1" t="s">
        <v>40</v>
      </c>
      <c r="Y743" s="1" t="s">
        <v>40</v>
      </c>
      <c r="Z743" s="1" t="n">
        <v>1</v>
      </c>
    </row>
    <row r="744" customFormat="false" ht="15" hidden="false" customHeight="true" outlineLevel="0" collapsed="false">
      <c r="A744" s="1" t="s">
        <v>1384</v>
      </c>
      <c r="B744" s="1" t="s">
        <v>1025</v>
      </c>
      <c r="C744" s="1" t="s">
        <v>128</v>
      </c>
      <c r="D744" s="1" t="s">
        <v>44</v>
      </c>
      <c r="E744" s="1" t="s">
        <v>221</v>
      </c>
      <c r="F744" s="1" t="s">
        <v>194</v>
      </c>
      <c r="G744" s="1" t="s">
        <v>103</v>
      </c>
      <c r="H744" s="1" t="s">
        <v>69</v>
      </c>
      <c r="I744" s="1" t="s">
        <v>83</v>
      </c>
      <c r="J744" s="1" t="s">
        <v>35</v>
      </c>
      <c r="K744" s="1" t="s">
        <v>90</v>
      </c>
      <c r="L744" s="1" t="s">
        <v>136</v>
      </c>
      <c r="M744" s="1" t="s">
        <v>50</v>
      </c>
      <c r="N744" s="1" t="n">
        <v>16999</v>
      </c>
      <c r="O744" s="1" t="n">
        <v>0</v>
      </c>
      <c r="P744" s="1" t="n">
        <v>0</v>
      </c>
      <c r="Q744" s="1" t="n">
        <v>16999</v>
      </c>
      <c r="R744" s="1" t="n">
        <v>3059.82</v>
      </c>
      <c r="S744" s="1" t="n">
        <v>13939.18</v>
      </c>
      <c r="T744" s="1" t="n">
        <v>5445.11</v>
      </c>
      <c r="U744" s="1" t="n">
        <v>8494.07</v>
      </c>
      <c r="V744" s="1" t="n">
        <v>60.94</v>
      </c>
      <c r="W744" s="1" t="s">
        <v>39</v>
      </c>
      <c r="X744" s="1" t="n">
        <v>3.6</v>
      </c>
      <c r="Y744" s="1" t="s">
        <v>40</v>
      </c>
      <c r="Z744" s="1" t="n">
        <v>0</v>
      </c>
    </row>
    <row r="745" customFormat="false" ht="15" hidden="false" customHeight="true" outlineLevel="0" collapsed="false">
      <c r="A745" s="1" t="s">
        <v>1385</v>
      </c>
      <c r="B745" s="1" t="s">
        <v>186</v>
      </c>
      <c r="C745" s="1" t="s">
        <v>100</v>
      </c>
      <c r="D745" s="1" t="s">
        <v>29</v>
      </c>
      <c r="E745" s="1" t="s">
        <v>129</v>
      </c>
      <c r="F745" s="1" t="s">
        <v>269</v>
      </c>
      <c r="G745" s="1" t="s">
        <v>108</v>
      </c>
      <c r="H745" s="1" t="s">
        <v>57</v>
      </c>
      <c r="I745" s="1" t="s">
        <v>83</v>
      </c>
      <c r="J745" s="1" t="s">
        <v>59</v>
      </c>
      <c r="K745" s="1" t="s">
        <v>84</v>
      </c>
      <c r="L745" s="1" t="s">
        <v>136</v>
      </c>
      <c r="M745" s="1" t="s">
        <v>50</v>
      </c>
      <c r="N745" s="1" t="n">
        <v>29999</v>
      </c>
      <c r="O745" s="1" t="n">
        <v>50</v>
      </c>
      <c r="P745" s="1" t="n">
        <v>14999.5</v>
      </c>
      <c r="Q745" s="1" t="n">
        <v>14999.5</v>
      </c>
      <c r="R745" s="1" t="n">
        <v>2699.91</v>
      </c>
      <c r="S745" s="1" t="n">
        <v>12299.59</v>
      </c>
      <c r="T745" s="1" t="n">
        <v>6777.01</v>
      </c>
      <c r="U745" s="1" t="n">
        <v>5522.58</v>
      </c>
      <c r="V745" s="1" t="n">
        <v>44.9</v>
      </c>
      <c r="W745" s="1" t="s">
        <v>39</v>
      </c>
      <c r="X745" s="1" t="n">
        <v>5</v>
      </c>
      <c r="Y745" s="1" t="s">
        <v>40</v>
      </c>
      <c r="Z745" s="1" t="n">
        <v>0</v>
      </c>
    </row>
    <row r="746" customFormat="false" ht="15" hidden="false" customHeight="true" outlineLevel="0" collapsed="false">
      <c r="A746" s="1" t="s">
        <v>1386</v>
      </c>
      <c r="B746" s="1" t="s">
        <v>1092</v>
      </c>
      <c r="C746" s="1" t="s">
        <v>134</v>
      </c>
      <c r="D746" s="1" t="s">
        <v>168</v>
      </c>
      <c r="E746" s="1" t="s">
        <v>172</v>
      </c>
      <c r="F746" s="1" t="s">
        <v>153</v>
      </c>
      <c r="G746" s="1" t="s">
        <v>76</v>
      </c>
      <c r="H746" s="1" t="s">
        <v>33</v>
      </c>
      <c r="I746" s="1" t="s">
        <v>34</v>
      </c>
      <c r="J746" s="1" t="s">
        <v>70</v>
      </c>
      <c r="K746" s="1" t="s">
        <v>60</v>
      </c>
      <c r="L746" s="1" t="s">
        <v>49</v>
      </c>
      <c r="M746" s="1" t="s">
        <v>62</v>
      </c>
      <c r="N746" s="1" t="n">
        <v>6999</v>
      </c>
      <c r="O746" s="1" t="n">
        <v>25</v>
      </c>
      <c r="P746" s="1" t="n">
        <v>1749.75</v>
      </c>
      <c r="Q746" s="1" t="n">
        <v>5249.25</v>
      </c>
      <c r="R746" s="1" t="n">
        <v>944.87</v>
      </c>
      <c r="S746" s="1" t="n">
        <v>4304.38</v>
      </c>
      <c r="T746" s="1" t="n">
        <v>2094.77</v>
      </c>
      <c r="U746" s="1" t="n">
        <v>2209.61</v>
      </c>
      <c r="V746" s="1" t="n">
        <v>51.33</v>
      </c>
      <c r="W746" s="1" t="s">
        <v>40</v>
      </c>
      <c r="Y746" s="1" t="s">
        <v>39</v>
      </c>
      <c r="Z746" s="1" t="n">
        <v>0</v>
      </c>
    </row>
    <row r="747" customFormat="false" ht="15" hidden="false" customHeight="true" outlineLevel="0" collapsed="false">
      <c r="A747" s="1" t="s">
        <v>1387</v>
      </c>
      <c r="B747" s="1" t="s">
        <v>591</v>
      </c>
      <c r="C747" s="1" t="s">
        <v>119</v>
      </c>
      <c r="D747" s="1" t="s">
        <v>94</v>
      </c>
      <c r="E747" s="1" t="s">
        <v>95</v>
      </c>
      <c r="F747" s="1" t="s">
        <v>96</v>
      </c>
      <c r="G747" s="1" t="s">
        <v>97</v>
      </c>
      <c r="H747" s="1" t="s">
        <v>69</v>
      </c>
      <c r="I747" s="1" t="s">
        <v>34</v>
      </c>
      <c r="J747" s="1" t="s">
        <v>35</v>
      </c>
      <c r="K747" s="1" t="s">
        <v>48</v>
      </c>
      <c r="L747" s="1" t="s">
        <v>61</v>
      </c>
      <c r="M747" s="1" t="s">
        <v>62</v>
      </c>
      <c r="N747" s="1" t="n">
        <v>6999</v>
      </c>
      <c r="O747" s="1" t="n">
        <v>20</v>
      </c>
      <c r="P747" s="1" t="n">
        <v>1399.8</v>
      </c>
      <c r="Q747" s="1" t="n">
        <v>5599.2</v>
      </c>
      <c r="R747" s="1" t="n">
        <v>1007.86</v>
      </c>
      <c r="S747" s="1" t="n">
        <v>4591.34</v>
      </c>
      <c r="T747" s="1" t="n">
        <v>2109.3</v>
      </c>
      <c r="U747" s="1" t="n">
        <v>2482.04</v>
      </c>
      <c r="V747" s="1" t="n">
        <v>54.06</v>
      </c>
      <c r="W747" s="1" t="s">
        <v>40</v>
      </c>
      <c r="Y747" s="1" t="s">
        <v>40</v>
      </c>
      <c r="Z747" s="1" t="n">
        <v>0</v>
      </c>
    </row>
    <row r="748" customFormat="false" ht="15" hidden="false" customHeight="true" outlineLevel="0" collapsed="false">
      <c r="A748" s="1" t="s">
        <v>1388</v>
      </c>
      <c r="B748" s="1" t="s">
        <v>1348</v>
      </c>
      <c r="C748" s="1" t="s">
        <v>119</v>
      </c>
      <c r="D748" s="1" t="s">
        <v>143</v>
      </c>
      <c r="E748" s="1" t="s">
        <v>144</v>
      </c>
      <c r="F748" s="1" t="s">
        <v>1389</v>
      </c>
      <c r="G748" s="1" t="s">
        <v>32</v>
      </c>
      <c r="H748" s="1" t="s">
        <v>57</v>
      </c>
      <c r="I748" s="1" t="s">
        <v>58</v>
      </c>
      <c r="J748" s="1" t="s">
        <v>59</v>
      </c>
      <c r="K748" s="1" t="s">
        <v>112</v>
      </c>
      <c r="L748" s="1" t="s">
        <v>37</v>
      </c>
      <c r="M748" s="1" t="s">
        <v>50</v>
      </c>
      <c r="N748" s="1" t="n">
        <v>12999</v>
      </c>
      <c r="O748" s="1" t="n">
        <v>0</v>
      </c>
      <c r="P748" s="1" t="n">
        <v>0</v>
      </c>
      <c r="Q748" s="1" t="n">
        <v>12999</v>
      </c>
      <c r="R748" s="1" t="n">
        <v>2339.82</v>
      </c>
      <c r="S748" s="1" t="n">
        <v>10659.18</v>
      </c>
      <c r="T748" s="1" t="n">
        <v>4904.06</v>
      </c>
      <c r="U748" s="1" t="n">
        <v>5755.12</v>
      </c>
      <c r="V748" s="1" t="n">
        <v>53.99</v>
      </c>
      <c r="W748" s="1" t="s">
        <v>40</v>
      </c>
      <c r="Y748" s="1" t="s">
        <v>40</v>
      </c>
      <c r="Z748" s="1" t="n">
        <v>1</v>
      </c>
    </row>
    <row r="749" customFormat="false" ht="15" hidden="false" customHeight="true" outlineLevel="0" collapsed="false">
      <c r="A749" s="1" t="s">
        <v>1390</v>
      </c>
      <c r="B749" s="1" t="s">
        <v>1196</v>
      </c>
      <c r="C749" s="1" t="s">
        <v>119</v>
      </c>
      <c r="D749" s="1" t="s">
        <v>29</v>
      </c>
      <c r="E749" s="1" t="s">
        <v>129</v>
      </c>
      <c r="F749" s="1" t="s">
        <v>107</v>
      </c>
      <c r="G749" s="1" t="s">
        <v>108</v>
      </c>
      <c r="H749" s="1" t="s">
        <v>33</v>
      </c>
      <c r="I749" s="1" t="s">
        <v>34</v>
      </c>
      <c r="J749" s="1" t="s">
        <v>35</v>
      </c>
      <c r="K749" s="1" t="s">
        <v>60</v>
      </c>
      <c r="L749" s="1" t="s">
        <v>136</v>
      </c>
      <c r="M749" s="1" t="s">
        <v>38</v>
      </c>
      <c r="N749" s="1" t="n">
        <v>29999</v>
      </c>
      <c r="O749" s="1" t="n">
        <v>30</v>
      </c>
      <c r="P749" s="1" t="n">
        <v>8999.7</v>
      </c>
      <c r="Q749" s="1" t="n">
        <v>20999.3</v>
      </c>
      <c r="R749" s="1" t="n">
        <v>3779.87</v>
      </c>
      <c r="S749" s="1" t="n">
        <v>17219.43</v>
      </c>
      <c r="T749" s="1" t="n">
        <v>8249.62</v>
      </c>
      <c r="U749" s="1" t="n">
        <v>8969.81</v>
      </c>
      <c r="V749" s="1" t="n">
        <v>52.09</v>
      </c>
      <c r="W749" s="1" t="s">
        <v>39</v>
      </c>
      <c r="Y749" s="1" t="s">
        <v>40</v>
      </c>
      <c r="Z749" s="1" t="n">
        <v>0</v>
      </c>
    </row>
    <row r="750" customFormat="false" ht="15" hidden="false" customHeight="true" outlineLevel="0" collapsed="false">
      <c r="A750" s="1" t="s">
        <v>1391</v>
      </c>
      <c r="B750" s="1" t="s">
        <v>528</v>
      </c>
      <c r="C750" s="1" t="s">
        <v>128</v>
      </c>
      <c r="D750" s="1" t="s">
        <v>29</v>
      </c>
      <c r="E750" s="1" t="s">
        <v>305</v>
      </c>
      <c r="F750" s="1" t="s">
        <v>75</v>
      </c>
      <c r="G750" s="1" t="s">
        <v>76</v>
      </c>
      <c r="H750" s="1" t="s">
        <v>69</v>
      </c>
      <c r="I750" s="1" t="s">
        <v>34</v>
      </c>
      <c r="J750" s="1" t="s">
        <v>35</v>
      </c>
      <c r="K750" s="1" t="s">
        <v>36</v>
      </c>
      <c r="L750" s="1" t="s">
        <v>37</v>
      </c>
      <c r="M750" s="1" t="s">
        <v>38</v>
      </c>
      <c r="N750" s="1" t="n">
        <v>24999</v>
      </c>
      <c r="O750" s="1" t="n">
        <v>25</v>
      </c>
      <c r="P750" s="1" t="n">
        <v>6249.75</v>
      </c>
      <c r="Q750" s="1" t="n">
        <v>18749.25</v>
      </c>
      <c r="R750" s="1" t="n">
        <v>3374.86</v>
      </c>
      <c r="S750" s="1" t="n">
        <v>15374.39</v>
      </c>
      <c r="T750" s="1" t="n">
        <v>4935.36</v>
      </c>
      <c r="U750" s="1" t="n">
        <v>10439.03</v>
      </c>
      <c r="V750" s="1" t="n">
        <v>67.9</v>
      </c>
      <c r="W750" s="1" t="s">
        <v>40</v>
      </c>
      <c r="Y750" s="1" t="s">
        <v>39</v>
      </c>
      <c r="Z750" s="1" t="n">
        <v>1</v>
      </c>
    </row>
    <row r="751" customFormat="false" ht="15" hidden="false" customHeight="true" outlineLevel="0" collapsed="false">
      <c r="A751" s="1" t="s">
        <v>1392</v>
      </c>
      <c r="B751" s="1" t="s">
        <v>753</v>
      </c>
      <c r="C751" s="1" t="s">
        <v>264</v>
      </c>
      <c r="D751" s="1" t="s">
        <v>123</v>
      </c>
      <c r="E751" s="1" t="s">
        <v>147</v>
      </c>
      <c r="F751" s="1" t="s">
        <v>156</v>
      </c>
      <c r="G751" s="1" t="s">
        <v>68</v>
      </c>
      <c r="H751" s="1" t="s">
        <v>57</v>
      </c>
      <c r="I751" s="1" t="s">
        <v>83</v>
      </c>
      <c r="J751" s="1" t="s">
        <v>35</v>
      </c>
      <c r="K751" s="1" t="s">
        <v>104</v>
      </c>
      <c r="L751" s="1" t="s">
        <v>61</v>
      </c>
      <c r="M751" s="1" t="s">
        <v>38</v>
      </c>
      <c r="N751" s="1" t="n">
        <v>6999</v>
      </c>
      <c r="O751" s="1" t="n">
        <v>30</v>
      </c>
      <c r="P751" s="1" t="n">
        <v>2099.7</v>
      </c>
      <c r="Q751" s="1" t="n">
        <v>4899.3</v>
      </c>
      <c r="R751" s="1" t="n">
        <v>881.87</v>
      </c>
      <c r="S751" s="1" t="n">
        <v>4017.43</v>
      </c>
      <c r="T751" s="1" t="n">
        <v>1769.88</v>
      </c>
      <c r="U751" s="1" t="n">
        <v>2247.55</v>
      </c>
      <c r="V751" s="1" t="n">
        <v>55.94</v>
      </c>
      <c r="W751" s="1" t="s">
        <v>39</v>
      </c>
      <c r="X751" s="1" t="n">
        <v>4.5</v>
      </c>
      <c r="Y751" s="1" t="s">
        <v>40</v>
      </c>
      <c r="Z751" s="1" t="n">
        <v>0</v>
      </c>
    </row>
    <row r="752" customFormat="false" ht="15" hidden="false" customHeight="true" outlineLevel="0" collapsed="false">
      <c r="A752" s="1" t="s">
        <v>1393</v>
      </c>
      <c r="B752" s="1" t="s">
        <v>1394</v>
      </c>
      <c r="C752" s="1" t="s">
        <v>134</v>
      </c>
      <c r="D752" s="1" t="s">
        <v>53</v>
      </c>
      <c r="E752" s="1" t="s">
        <v>116</v>
      </c>
      <c r="F752" s="1" t="s">
        <v>125</v>
      </c>
      <c r="G752" s="1" t="s">
        <v>108</v>
      </c>
      <c r="H752" s="1" t="s">
        <v>69</v>
      </c>
      <c r="I752" s="1" t="s">
        <v>83</v>
      </c>
      <c r="J752" s="1" t="s">
        <v>131</v>
      </c>
      <c r="K752" s="1" t="s">
        <v>36</v>
      </c>
      <c r="L752" s="1" t="s">
        <v>113</v>
      </c>
      <c r="M752" s="1" t="s">
        <v>50</v>
      </c>
      <c r="N752" s="1" t="n">
        <v>9999</v>
      </c>
      <c r="O752" s="1" t="n">
        <v>20</v>
      </c>
      <c r="P752" s="1" t="n">
        <v>1999.8</v>
      </c>
      <c r="Q752" s="1" t="n">
        <v>7999.2</v>
      </c>
      <c r="R752" s="1" t="n">
        <v>1439.86</v>
      </c>
      <c r="S752" s="1" t="n">
        <v>6559.34</v>
      </c>
      <c r="T752" s="1" t="n">
        <v>2612.4</v>
      </c>
      <c r="U752" s="1" t="n">
        <v>3946.94</v>
      </c>
      <c r="V752" s="1" t="n">
        <v>60.17</v>
      </c>
      <c r="W752" s="1" t="s">
        <v>40</v>
      </c>
      <c r="Y752" s="1" t="s">
        <v>40</v>
      </c>
      <c r="Z752" s="1" t="n">
        <v>1</v>
      </c>
    </row>
    <row r="753" customFormat="false" ht="15" hidden="false" customHeight="true" outlineLevel="0" collapsed="false">
      <c r="A753" s="1" t="s">
        <v>1395</v>
      </c>
      <c r="B753" s="1" t="s">
        <v>1396</v>
      </c>
      <c r="C753" s="1" t="s">
        <v>88</v>
      </c>
      <c r="D753" s="1" t="s">
        <v>53</v>
      </c>
      <c r="E753" s="1" t="s">
        <v>54</v>
      </c>
      <c r="F753" s="1" t="s">
        <v>107</v>
      </c>
      <c r="G753" s="1" t="s">
        <v>108</v>
      </c>
      <c r="H753" s="1" t="s">
        <v>33</v>
      </c>
      <c r="I753" s="1" t="s">
        <v>83</v>
      </c>
      <c r="J753" s="1" t="s">
        <v>131</v>
      </c>
      <c r="K753" s="1" t="s">
        <v>112</v>
      </c>
      <c r="L753" s="1" t="s">
        <v>136</v>
      </c>
      <c r="M753" s="1" t="s">
        <v>38</v>
      </c>
      <c r="N753" s="1" t="n">
        <v>11999</v>
      </c>
      <c r="O753" s="1" t="n">
        <v>5</v>
      </c>
      <c r="P753" s="1" t="n">
        <v>599.95</v>
      </c>
      <c r="Q753" s="1" t="n">
        <v>11399.05</v>
      </c>
      <c r="R753" s="1" t="n">
        <v>2051.83</v>
      </c>
      <c r="S753" s="1" t="n">
        <v>9347.22</v>
      </c>
      <c r="T753" s="1" t="n">
        <v>3782.44</v>
      </c>
      <c r="U753" s="1" t="n">
        <v>5564.78</v>
      </c>
      <c r="V753" s="1" t="n">
        <v>59.53</v>
      </c>
      <c r="W753" s="1" t="s">
        <v>39</v>
      </c>
      <c r="X753" s="1" t="n">
        <v>3.2</v>
      </c>
      <c r="Y753" s="1" t="s">
        <v>40</v>
      </c>
      <c r="Z753" s="1" t="n">
        <v>0</v>
      </c>
    </row>
    <row r="754" customFormat="false" ht="15" hidden="false" customHeight="true" outlineLevel="0" collapsed="false">
      <c r="A754" s="1" t="s">
        <v>1397</v>
      </c>
      <c r="B754" s="1" t="s">
        <v>1398</v>
      </c>
      <c r="C754" s="1" t="s">
        <v>43</v>
      </c>
      <c r="D754" s="1" t="s">
        <v>123</v>
      </c>
      <c r="E754" s="1" t="s">
        <v>124</v>
      </c>
      <c r="F754" s="1" t="s">
        <v>96</v>
      </c>
      <c r="G754" s="1" t="s">
        <v>97</v>
      </c>
      <c r="H754" s="1" t="s">
        <v>69</v>
      </c>
      <c r="I754" s="1" t="s">
        <v>83</v>
      </c>
      <c r="J754" s="1" t="s">
        <v>59</v>
      </c>
      <c r="K754" s="1" t="s">
        <v>112</v>
      </c>
      <c r="L754" s="1" t="s">
        <v>136</v>
      </c>
      <c r="M754" s="1" t="s">
        <v>62</v>
      </c>
      <c r="N754" s="1" t="n">
        <v>4999</v>
      </c>
      <c r="O754" s="1" t="n">
        <v>30</v>
      </c>
      <c r="P754" s="1" t="n">
        <v>1499.7</v>
      </c>
      <c r="Q754" s="1" t="n">
        <v>3499.3</v>
      </c>
      <c r="R754" s="1" t="n">
        <v>629.87</v>
      </c>
      <c r="S754" s="1" t="n">
        <v>2869.43</v>
      </c>
      <c r="T754" s="1" t="n">
        <v>1173.33</v>
      </c>
      <c r="U754" s="1" t="n">
        <v>1696.1</v>
      </c>
      <c r="V754" s="1" t="n">
        <v>59.11</v>
      </c>
      <c r="W754" s="1" t="s">
        <v>39</v>
      </c>
      <c r="X754" s="1" t="n">
        <v>3.8</v>
      </c>
      <c r="Y754" s="1" t="s">
        <v>40</v>
      </c>
      <c r="Z754" s="1" t="n">
        <v>1</v>
      </c>
    </row>
    <row r="755" customFormat="false" ht="15" hidden="false" customHeight="true" outlineLevel="0" collapsed="false">
      <c r="A755" s="1" t="s">
        <v>1399</v>
      </c>
      <c r="B755" s="1" t="s">
        <v>320</v>
      </c>
      <c r="C755" s="1" t="s">
        <v>134</v>
      </c>
      <c r="D755" s="1" t="s">
        <v>168</v>
      </c>
      <c r="E755" s="1" t="s">
        <v>328</v>
      </c>
      <c r="F755" s="1" t="s">
        <v>89</v>
      </c>
      <c r="G755" s="1" t="s">
        <v>68</v>
      </c>
      <c r="H755" s="1" t="s">
        <v>33</v>
      </c>
      <c r="I755" s="1" t="s">
        <v>34</v>
      </c>
      <c r="J755" s="1" t="s">
        <v>70</v>
      </c>
      <c r="K755" s="1" t="s">
        <v>48</v>
      </c>
      <c r="L755" s="1" t="s">
        <v>113</v>
      </c>
      <c r="M755" s="1" t="s">
        <v>50</v>
      </c>
      <c r="N755" s="1" t="n">
        <v>8999</v>
      </c>
      <c r="O755" s="1" t="n">
        <v>50</v>
      </c>
      <c r="P755" s="1" t="n">
        <v>4499.5</v>
      </c>
      <c r="Q755" s="1" t="n">
        <v>4499.5</v>
      </c>
      <c r="R755" s="1" t="n">
        <v>809.91</v>
      </c>
      <c r="S755" s="1" t="n">
        <v>3689.59</v>
      </c>
      <c r="T755" s="1" t="n">
        <v>1858.26</v>
      </c>
      <c r="U755" s="1" t="n">
        <v>1831.33</v>
      </c>
      <c r="V755" s="1" t="n">
        <v>49.64</v>
      </c>
      <c r="W755" s="1" t="s">
        <v>40</v>
      </c>
      <c r="Y755" s="1" t="s">
        <v>40</v>
      </c>
      <c r="Z755" s="1" t="n">
        <v>0</v>
      </c>
    </row>
    <row r="756" customFormat="false" ht="15" hidden="false" customHeight="true" outlineLevel="0" collapsed="false">
      <c r="A756" s="1" t="s">
        <v>1400</v>
      </c>
      <c r="B756" s="1" t="s">
        <v>201</v>
      </c>
      <c r="C756" s="1" t="s">
        <v>134</v>
      </c>
      <c r="D756" s="1" t="s">
        <v>44</v>
      </c>
      <c r="E756" s="1" t="s">
        <v>221</v>
      </c>
      <c r="F756" s="1" t="s">
        <v>269</v>
      </c>
      <c r="G756" s="1" t="s">
        <v>108</v>
      </c>
      <c r="H756" s="1" t="s">
        <v>57</v>
      </c>
      <c r="I756" s="1" t="s">
        <v>83</v>
      </c>
      <c r="J756" s="1" t="s">
        <v>77</v>
      </c>
      <c r="K756" s="1" t="s">
        <v>90</v>
      </c>
      <c r="L756" s="1" t="s">
        <v>37</v>
      </c>
      <c r="M756" s="1" t="s">
        <v>50</v>
      </c>
      <c r="N756" s="1" t="n">
        <v>16999</v>
      </c>
      <c r="O756" s="1" t="n">
        <v>0</v>
      </c>
      <c r="P756" s="1" t="n">
        <v>0</v>
      </c>
      <c r="Q756" s="1" t="n">
        <v>16999</v>
      </c>
      <c r="R756" s="1" t="n">
        <v>3059.82</v>
      </c>
      <c r="S756" s="1" t="n">
        <v>13939.18</v>
      </c>
      <c r="T756" s="1" t="n">
        <v>7533.79</v>
      </c>
      <c r="U756" s="1" t="n">
        <v>6405.39</v>
      </c>
      <c r="V756" s="1" t="n">
        <v>45.95</v>
      </c>
      <c r="W756" s="1" t="s">
        <v>40</v>
      </c>
      <c r="Y756" s="1" t="s">
        <v>40</v>
      </c>
      <c r="Z756" s="1" t="n">
        <v>1</v>
      </c>
    </row>
    <row r="757" customFormat="false" ht="15" hidden="false" customHeight="true" outlineLevel="0" collapsed="false">
      <c r="A757" s="1" t="s">
        <v>1401</v>
      </c>
      <c r="B757" s="1" t="s">
        <v>1402</v>
      </c>
      <c r="C757" s="1" t="s">
        <v>167</v>
      </c>
      <c r="D757" s="1" t="s">
        <v>94</v>
      </c>
      <c r="E757" s="1" t="s">
        <v>135</v>
      </c>
      <c r="F757" s="1" t="s">
        <v>130</v>
      </c>
      <c r="G757" s="1" t="s">
        <v>47</v>
      </c>
      <c r="H757" s="1" t="s">
        <v>69</v>
      </c>
      <c r="I757" s="1" t="s">
        <v>34</v>
      </c>
      <c r="J757" s="1" t="s">
        <v>70</v>
      </c>
      <c r="K757" s="1" t="s">
        <v>71</v>
      </c>
      <c r="L757" s="1" t="s">
        <v>37</v>
      </c>
      <c r="M757" s="1" t="s">
        <v>38</v>
      </c>
      <c r="N757" s="1" t="n">
        <v>9999</v>
      </c>
      <c r="O757" s="1" t="n">
        <v>0</v>
      </c>
      <c r="P757" s="1" t="n">
        <v>0</v>
      </c>
      <c r="Q757" s="1" t="n">
        <v>9999</v>
      </c>
      <c r="R757" s="1" t="n">
        <v>1799.82</v>
      </c>
      <c r="S757" s="1" t="n">
        <v>8199.18</v>
      </c>
      <c r="T757" s="1" t="n">
        <v>3069.23</v>
      </c>
      <c r="U757" s="1" t="n">
        <v>5129.95</v>
      </c>
      <c r="V757" s="1" t="n">
        <v>62.57</v>
      </c>
      <c r="W757" s="1" t="s">
        <v>40</v>
      </c>
      <c r="Y757" s="1" t="s">
        <v>40</v>
      </c>
      <c r="Z757" s="1" t="n">
        <v>0</v>
      </c>
    </row>
    <row r="758" customFormat="false" ht="15" hidden="false" customHeight="true" outlineLevel="0" collapsed="false">
      <c r="A758" s="1" t="s">
        <v>1403</v>
      </c>
      <c r="B758" s="1" t="s">
        <v>596</v>
      </c>
      <c r="C758" s="1" t="s">
        <v>249</v>
      </c>
      <c r="D758" s="1" t="s">
        <v>44</v>
      </c>
      <c r="E758" s="1" t="s">
        <v>221</v>
      </c>
      <c r="F758" s="1" t="s">
        <v>46</v>
      </c>
      <c r="G758" s="1" t="s">
        <v>47</v>
      </c>
      <c r="H758" s="1" t="s">
        <v>33</v>
      </c>
      <c r="I758" s="1" t="s">
        <v>83</v>
      </c>
      <c r="J758" s="1" t="s">
        <v>131</v>
      </c>
      <c r="K758" s="1" t="s">
        <v>112</v>
      </c>
      <c r="L758" s="1" t="s">
        <v>37</v>
      </c>
      <c r="M758" s="1" t="s">
        <v>62</v>
      </c>
      <c r="N758" s="1" t="n">
        <v>16999</v>
      </c>
      <c r="O758" s="1" t="n">
        <v>30</v>
      </c>
      <c r="P758" s="1" t="n">
        <v>5099.7</v>
      </c>
      <c r="Q758" s="1" t="n">
        <v>11899.3</v>
      </c>
      <c r="R758" s="1" t="n">
        <v>2141.87</v>
      </c>
      <c r="S758" s="1" t="n">
        <v>9757.43</v>
      </c>
      <c r="T758" s="1" t="n">
        <v>4154.66</v>
      </c>
      <c r="U758" s="1" t="n">
        <v>5602.77</v>
      </c>
      <c r="V758" s="1" t="n">
        <v>57.42</v>
      </c>
      <c r="W758" s="1" t="s">
        <v>39</v>
      </c>
      <c r="X758" s="1" t="n">
        <v>4</v>
      </c>
      <c r="Y758" s="1" t="s">
        <v>40</v>
      </c>
      <c r="Z758" s="1" t="n">
        <v>0</v>
      </c>
    </row>
    <row r="759" customFormat="false" ht="15" hidden="false" customHeight="true" outlineLevel="0" collapsed="false">
      <c r="A759" s="1" t="s">
        <v>1404</v>
      </c>
      <c r="B759" s="1" t="s">
        <v>585</v>
      </c>
      <c r="C759" s="1" t="s">
        <v>178</v>
      </c>
      <c r="D759" s="1" t="s">
        <v>143</v>
      </c>
      <c r="E759" s="1" t="s">
        <v>162</v>
      </c>
      <c r="F759" s="1" t="s">
        <v>102</v>
      </c>
      <c r="G759" s="1" t="s">
        <v>103</v>
      </c>
      <c r="H759" s="1" t="s">
        <v>33</v>
      </c>
      <c r="I759" s="1" t="s">
        <v>58</v>
      </c>
      <c r="J759" s="1" t="s">
        <v>131</v>
      </c>
      <c r="K759" s="1" t="s">
        <v>48</v>
      </c>
      <c r="L759" s="1" t="s">
        <v>61</v>
      </c>
      <c r="M759" s="1" t="s">
        <v>38</v>
      </c>
      <c r="N759" s="1" t="n">
        <v>14999</v>
      </c>
      <c r="O759" s="1" t="n">
        <v>20</v>
      </c>
      <c r="P759" s="1" t="n">
        <v>2999.8</v>
      </c>
      <c r="Q759" s="1" t="n">
        <v>11999.2</v>
      </c>
      <c r="R759" s="1" t="n">
        <v>2159.86</v>
      </c>
      <c r="S759" s="1" t="n">
        <v>9839.34</v>
      </c>
      <c r="T759" s="1" t="n">
        <v>4829.56</v>
      </c>
      <c r="U759" s="1" t="n">
        <v>5009.78</v>
      </c>
      <c r="V759" s="1" t="n">
        <v>50.92</v>
      </c>
      <c r="W759" s="1" t="s">
        <v>39</v>
      </c>
      <c r="X759" s="1" t="n">
        <v>3.2</v>
      </c>
      <c r="Y759" s="1" t="s">
        <v>40</v>
      </c>
      <c r="Z759" s="1" t="n">
        <v>0</v>
      </c>
    </row>
    <row r="760" customFormat="false" ht="15" hidden="false" customHeight="true" outlineLevel="0" collapsed="false">
      <c r="A760" s="1" t="s">
        <v>1405</v>
      </c>
      <c r="B760" s="1" t="s">
        <v>1406</v>
      </c>
      <c r="C760" s="1" t="s">
        <v>264</v>
      </c>
      <c r="D760" s="1" t="s">
        <v>143</v>
      </c>
      <c r="E760" s="1" t="s">
        <v>159</v>
      </c>
      <c r="F760" s="1" t="s">
        <v>244</v>
      </c>
      <c r="G760" s="1" t="s">
        <v>97</v>
      </c>
      <c r="H760" s="1" t="s">
        <v>57</v>
      </c>
      <c r="I760" s="1" t="s">
        <v>58</v>
      </c>
      <c r="J760" s="1" t="s">
        <v>131</v>
      </c>
      <c r="K760" s="1" t="s">
        <v>84</v>
      </c>
      <c r="L760" s="1" t="s">
        <v>85</v>
      </c>
      <c r="M760" s="1" t="s">
        <v>38</v>
      </c>
      <c r="N760" s="1" t="n">
        <v>24999</v>
      </c>
      <c r="O760" s="1" t="n">
        <v>0</v>
      </c>
      <c r="P760" s="1" t="n">
        <v>0</v>
      </c>
      <c r="Q760" s="1" t="n">
        <v>24999</v>
      </c>
      <c r="R760" s="1" t="n">
        <v>4499.82</v>
      </c>
      <c r="S760" s="1" t="n">
        <v>20499.18</v>
      </c>
      <c r="T760" s="1" t="n">
        <v>8479.3</v>
      </c>
      <c r="U760" s="1" t="n">
        <v>12019.88</v>
      </c>
      <c r="V760" s="1" t="n">
        <v>58.64</v>
      </c>
      <c r="W760" s="1" t="s">
        <v>40</v>
      </c>
      <c r="Y760" s="1" t="s">
        <v>39</v>
      </c>
      <c r="Z760" s="1" t="n">
        <v>1</v>
      </c>
    </row>
    <row r="761" customFormat="false" ht="15" hidden="false" customHeight="true" outlineLevel="0" collapsed="false">
      <c r="A761" s="1" t="s">
        <v>1407</v>
      </c>
      <c r="B761" s="1" t="s">
        <v>1408</v>
      </c>
      <c r="C761" s="1" t="s">
        <v>100</v>
      </c>
      <c r="D761" s="1" t="s">
        <v>53</v>
      </c>
      <c r="E761" s="1" t="s">
        <v>54</v>
      </c>
      <c r="F761" s="1" t="s">
        <v>120</v>
      </c>
      <c r="G761" s="1" t="s">
        <v>47</v>
      </c>
      <c r="H761" s="1" t="s">
        <v>57</v>
      </c>
      <c r="I761" s="1" t="s">
        <v>58</v>
      </c>
      <c r="J761" s="1" t="s">
        <v>131</v>
      </c>
      <c r="K761" s="1" t="s">
        <v>60</v>
      </c>
      <c r="L761" s="1" t="s">
        <v>37</v>
      </c>
      <c r="M761" s="1" t="s">
        <v>38</v>
      </c>
      <c r="N761" s="1" t="n">
        <v>11999</v>
      </c>
      <c r="O761" s="1" t="n">
        <v>0</v>
      </c>
      <c r="P761" s="1" t="n">
        <v>0</v>
      </c>
      <c r="Q761" s="1" t="n">
        <v>11999</v>
      </c>
      <c r="R761" s="1" t="n">
        <v>2159.82</v>
      </c>
      <c r="S761" s="1" t="n">
        <v>9839.18</v>
      </c>
      <c r="T761" s="1" t="n">
        <v>4138.49</v>
      </c>
      <c r="U761" s="1" t="n">
        <v>5700.69</v>
      </c>
      <c r="V761" s="1" t="n">
        <v>57.94</v>
      </c>
      <c r="W761" s="1" t="s">
        <v>39</v>
      </c>
      <c r="Y761" s="1" t="s">
        <v>40</v>
      </c>
      <c r="Z761" s="1" t="n">
        <v>1</v>
      </c>
    </row>
    <row r="762" customFormat="false" ht="15" hidden="false" customHeight="true" outlineLevel="0" collapsed="false">
      <c r="A762" s="1" t="s">
        <v>1409</v>
      </c>
      <c r="B762" s="1" t="s">
        <v>1410</v>
      </c>
      <c r="C762" s="1" t="s">
        <v>178</v>
      </c>
      <c r="D762" s="1" t="s">
        <v>29</v>
      </c>
      <c r="E762" s="1" t="s">
        <v>305</v>
      </c>
      <c r="F762" s="1" t="s">
        <v>125</v>
      </c>
      <c r="G762" s="1" t="s">
        <v>108</v>
      </c>
      <c r="H762" s="1" t="s">
        <v>69</v>
      </c>
      <c r="I762" s="1" t="s">
        <v>58</v>
      </c>
      <c r="J762" s="1" t="s">
        <v>35</v>
      </c>
      <c r="K762" s="1" t="s">
        <v>71</v>
      </c>
      <c r="L762" s="1" t="s">
        <v>37</v>
      </c>
      <c r="M762" s="1" t="s">
        <v>50</v>
      </c>
      <c r="N762" s="1" t="n">
        <v>24999</v>
      </c>
      <c r="O762" s="1" t="n">
        <v>50</v>
      </c>
      <c r="P762" s="1" t="n">
        <v>12499.5</v>
      </c>
      <c r="Q762" s="1" t="n">
        <v>12499.5</v>
      </c>
      <c r="R762" s="1" t="n">
        <v>2249.91</v>
      </c>
      <c r="S762" s="1" t="n">
        <v>10249.59</v>
      </c>
      <c r="T762" s="1" t="n">
        <v>4469.11</v>
      </c>
      <c r="U762" s="1" t="n">
        <v>5780.48</v>
      </c>
      <c r="V762" s="1" t="n">
        <v>56.4</v>
      </c>
      <c r="W762" s="1" t="s">
        <v>40</v>
      </c>
      <c r="Y762" s="1" t="s">
        <v>39</v>
      </c>
      <c r="Z762" s="1" t="n">
        <v>0</v>
      </c>
    </row>
    <row r="763" customFormat="false" ht="15" hidden="false" customHeight="true" outlineLevel="0" collapsed="false">
      <c r="A763" s="1" t="s">
        <v>1411</v>
      </c>
      <c r="B763" s="1" t="s">
        <v>1412</v>
      </c>
      <c r="C763" s="1" t="s">
        <v>139</v>
      </c>
      <c r="D763" s="1" t="s">
        <v>53</v>
      </c>
      <c r="E763" s="1" t="s">
        <v>54</v>
      </c>
      <c r="F763" s="1" t="s">
        <v>96</v>
      </c>
      <c r="G763" s="1" t="s">
        <v>97</v>
      </c>
      <c r="H763" s="1" t="s">
        <v>69</v>
      </c>
      <c r="I763" s="1" t="s">
        <v>58</v>
      </c>
      <c r="J763" s="1" t="s">
        <v>77</v>
      </c>
      <c r="K763" s="1" t="s">
        <v>36</v>
      </c>
      <c r="L763" s="1" t="s">
        <v>37</v>
      </c>
      <c r="M763" s="1" t="s">
        <v>62</v>
      </c>
      <c r="N763" s="1" t="n">
        <v>11999</v>
      </c>
      <c r="O763" s="1" t="n">
        <v>40</v>
      </c>
      <c r="P763" s="1" t="n">
        <v>4799.6</v>
      </c>
      <c r="Q763" s="1" t="n">
        <v>7199.4</v>
      </c>
      <c r="R763" s="1" t="n">
        <v>1295.89</v>
      </c>
      <c r="S763" s="1" t="n">
        <v>5903.51</v>
      </c>
      <c r="T763" s="1" t="n">
        <v>3347.43</v>
      </c>
      <c r="U763" s="1" t="n">
        <v>2556.08</v>
      </c>
      <c r="V763" s="1" t="n">
        <v>43.3</v>
      </c>
      <c r="W763" s="1" t="s">
        <v>39</v>
      </c>
      <c r="X763" s="1" t="n">
        <v>3.1</v>
      </c>
      <c r="Y763" s="1" t="s">
        <v>40</v>
      </c>
      <c r="Z763" s="1" t="n">
        <v>0</v>
      </c>
    </row>
    <row r="764" customFormat="false" ht="15" hidden="false" customHeight="true" outlineLevel="0" collapsed="false">
      <c r="A764" s="1" t="s">
        <v>1413</v>
      </c>
      <c r="B764" s="1" t="s">
        <v>1414</v>
      </c>
      <c r="C764" s="1" t="s">
        <v>74</v>
      </c>
      <c r="D764" s="1" t="s">
        <v>29</v>
      </c>
      <c r="E764" s="1" t="s">
        <v>30</v>
      </c>
      <c r="F764" s="1" t="s">
        <v>156</v>
      </c>
      <c r="G764" s="1" t="s">
        <v>68</v>
      </c>
      <c r="H764" s="1" t="s">
        <v>57</v>
      </c>
      <c r="I764" s="1" t="s">
        <v>58</v>
      </c>
      <c r="J764" s="1" t="s">
        <v>59</v>
      </c>
      <c r="K764" s="1" t="s">
        <v>36</v>
      </c>
      <c r="L764" s="1" t="s">
        <v>136</v>
      </c>
      <c r="M764" s="1" t="s">
        <v>50</v>
      </c>
      <c r="N764" s="1" t="n">
        <v>7999</v>
      </c>
      <c r="O764" s="1" t="n">
        <v>50</v>
      </c>
      <c r="P764" s="1" t="n">
        <v>3999.5</v>
      </c>
      <c r="Q764" s="1" t="n">
        <v>3999.5</v>
      </c>
      <c r="R764" s="1" t="n">
        <v>719.91</v>
      </c>
      <c r="S764" s="1" t="n">
        <v>3279.59</v>
      </c>
      <c r="T764" s="1" t="n">
        <v>1620.78</v>
      </c>
      <c r="U764" s="1" t="n">
        <v>1658.81</v>
      </c>
      <c r="V764" s="1" t="n">
        <v>50.58</v>
      </c>
      <c r="W764" s="1" t="s">
        <v>40</v>
      </c>
      <c r="Y764" s="1" t="s">
        <v>40</v>
      </c>
      <c r="Z764" s="1" t="n">
        <v>2</v>
      </c>
    </row>
    <row r="765" customFormat="false" ht="15" hidden="false" customHeight="true" outlineLevel="0" collapsed="false">
      <c r="A765" s="1" t="s">
        <v>1415</v>
      </c>
      <c r="B765" s="1" t="s">
        <v>1305</v>
      </c>
      <c r="C765" s="1" t="s">
        <v>264</v>
      </c>
      <c r="D765" s="1" t="s">
        <v>168</v>
      </c>
      <c r="E765" s="1" t="s">
        <v>197</v>
      </c>
      <c r="F765" s="1" t="s">
        <v>75</v>
      </c>
      <c r="G765" s="1" t="s">
        <v>76</v>
      </c>
      <c r="H765" s="1" t="s">
        <v>69</v>
      </c>
      <c r="I765" s="1" t="s">
        <v>34</v>
      </c>
      <c r="J765" s="1" t="s">
        <v>77</v>
      </c>
      <c r="K765" s="1" t="s">
        <v>71</v>
      </c>
      <c r="L765" s="1" t="s">
        <v>85</v>
      </c>
      <c r="M765" s="1" t="s">
        <v>38</v>
      </c>
      <c r="N765" s="1" t="n">
        <v>8499</v>
      </c>
      <c r="O765" s="1" t="n">
        <v>15</v>
      </c>
      <c r="P765" s="1" t="n">
        <v>1274.85</v>
      </c>
      <c r="Q765" s="1" t="n">
        <v>7224.15</v>
      </c>
      <c r="R765" s="1" t="n">
        <v>1300.35</v>
      </c>
      <c r="S765" s="1" t="n">
        <v>5923.8</v>
      </c>
      <c r="T765" s="1" t="n">
        <v>2912.03</v>
      </c>
      <c r="U765" s="1" t="n">
        <v>3011.77</v>
      </c>
      <c r="V765" s="1" t="n">
        <v>50.84</v>
      </c>
      <c r="W765" s="1" t="s">
        <v>39</v>
      </c>
      <c r="X765" s="1" t="n">
        <v>3.9</v>
      </c>
      <c r="Y765" s="1" t="s">
        <v>40</v>
      </c>
      <c r="Z765" s="1" t="n">
        <v>0</v>
      </c>
    </row>
    <row r="766" customFormat="false" ht="15" hidden="false" customHeight="true" outlineLevel="0" collapsed="false">
      <c r="A766" s="1" t="s">
        <v>1416</v>
      </c>
      <c r="B766" s="1" t="s">
        <v>566</v>
      </c>
      <c r="C766" s="1" t="s">
        <v>139</v>
      </c>
      <c r="D766" s="1" t="s">
        <v>29</v>
      </c>
      <c r="E766" s="1" t="s">
        <v>305</v>
      </c>
      <c r="F766" s="1" t="s">
        <v>89</v>
      </c>
      <c r="G766" s="1" t="s">
        <v>68</v>
      </c>
      <c r="H766" s="1" t="s">
        <v>33</v>
      </c>
      <c r="I766" s="1" t="s">
        <v>58</v>
      </c>
      <c r="J766" s="1" t="s">
        <v>59</v>
      </c>
      <c r="K766" s="1" t="s">
        <v>84</v>
      </c>
      <c r="L766" s="1" t="s">
        <v>49</v>
      </c>
      <c r="M766" s="1" t="s">
        <v>62</v>
      </c>
      <c r="N766" s="1" t="n">
        <v>24999</v>
      </c>
      <c r="O766" s="1" t="n">
        <v>25</v>
      </c>
      <c r="P766" s="1" t="n">
        <v>6249.75</v>
      </c>
      <c r="Q766" s="1" t="n">
        <v>18749.25</v>
      </c>
      <c r="R766" s="1" t="n">
        <v>3374.86</v>
      </c>
      <c r="S766" s="1" t="n">
        <v>15374.39</v>
      </c>
      <c r="T766" s="1" t="n">
        <v>6734.29</v>
      </c>
      <c r="U766" s="1" t="n">
        <v>8640.1</v>
      </c>
      <c r="V766" s="1" t="n">
        <v>56.2</v>
      </c>
      <c r="W766" s="1" t="s">
        <v>40</v>
      </c>
      <c r="Y766" s="1" t="s">
        <v>40</v>
      </c>
      <c r="Z766" s="1" t="n">
        <v>0</v>
      </c>
    </row>
    <row r="767" customFormat="false" ht="15" hidden="false" customHeight="true" outlineLevel="0" collapsed="false">
      <c r="A767" s="1" t="s">
        <v>1417</v>
      </c>
      <c r="B767" s="1" t="s">
        <v>1143</v>
      </c>
      <c r="C767" s="1" t="s">
        <v>134</v>
      </c>
      <c r="D767" s="1" t="s">
        <v>80</v>
      </c>
      <c r="E767" s="1" t="s">
        <v>190</v>
      </c>
      <c r="F767" s="1" t="s">
        <v>194</v>
      </c>
      <c r="G767" s="1" t="s">
        <v>103</v>
      </c>
      <c r="H767" s="1" t="s">
        <v>69</v>
      </c>
      <c r="I767" s="1" t="s">
        <v>83</v>
      </c>
      <c r="J767" s="1" t="s">
        <v>59</v>
      </c>
      <c r="K767" s="1" t="s">
        <v>104</v>
      </c>
      <c r="L767" s="1" t="s">
        <v>61</v>
      </c>
      <c r="M767" s="1" t="s">
        <v>38</v>
      </c>
      <c r="N767" s="1" t="n">
        <v>15999</v>
      </c>
      <c r="O767" s="1" t="n">
        <v>40</v>
      </c>
      <c r="P767" s="1" t="n">
        <v>6399.6</v>
      </c>
      <c r="Q767" s="1" t="n">
        <v>9599.4</v>
      </c>
      <c r="R767" s="1" t="n">
        <v>1727.89</v>
      </c>
      <c r="S767" s="1" t="n">
        <v>7871.51</v>
      </c>
      <c r="T767" s="1" t="n">
        <v>4591.75</v>
      </c>
      <c r="U767" s="1" t="n">
        <v>3279.76</v>
      </c>
      <c r="V767" s="1" t="n">
        <v>41.67</v>
      </c>
      <c r="W767" s="1" t="s">
        <v>39</v>
      </c>
      <c r="X767" s="1" t="n">
        <v>4.2</v>
      </c>
      <c r="Y767" s="1" t="s">
        <v>40</v>
      </c>
      <c r="Z767" s="1" t="n">
        <v>0</v>
      </c>
    </row>
    <row r="768" customFormat="false" ht="15" hidden="false" customHeight="true" outlineLevel="0" collapsed="false">
      <c r="A768" s="1" t="s">
        <v>1418</v>
      </c>
      <c r="B768" s="1" t="s">
        <v>430</v>
      </c>
      <c r="C768" s="1" t="s">
        <v>74</v>
      </c>
      <c r="D768" s="1" t="s">
        <v>80</v>
      </c>
      <c r="E768" s="1" t="s">
        <v>190</v>
      </c>
      <c r="F768" s="1" t="s">
        <v>269</v>
      </c>
      <c r="G768" s="1" t="s">
        <v>108</v>
      </c>
      <c r="H768" s="1" t="s">
        <v>57</v>
      </c>
      <c r="I768" s="1" t="s">
        <v>58</v>
      </c>
      <c r="J768" s="1" t="s">
        <v>77</v>
      </c>
      <c r="K768" s="1" t="s">
        <v>36</v>
      </c>
      <c r="L768" s="1" t="s">
        <v>113</v>
      </c>
      <c r="M768" s="1" t="s">
        <v>50</v>
      </c>
      <c r="N768" s="1" t="n">
        <v>15999</v>
      </c>
      <c r="O768" s="1" t="n">
        <v>30</v>
      </c>
      <c r="P768" s="1" t="n">
        <v>4799.7</v>
      </c>
      <c r="Q768" s="1" t="n">
        <v>11199.3</v>
      </c>
      <c r="R768" s="1" t="n">
        <v>2015.87</v>
      </c>
      <c r="S768" s="1" t="n">
        <v>9183.43</v>
      </c>
      <c r="T768" s="1" t="n">
        <v>4475.2</v>
      </c>
      <c r="U768" s="1" t="n">
        <v>4708.23</v>
      </c>
      <c r="V768" s="1" t="n">
        <v>51.27</v>
      </c>
      <c r="W768" s="1" t="s">
        <v>39</v>
      </c>
      <c r="Y768" s="1" t="s">
        <v>40</v>
      </c>
      <c r="Z768" s="1" t="n">
        <v>0</v>
      </c>
    </row>
    <row r="769" customFormat="false" ht="15" hidden="false" customHeight="true" outlineLevel="0" collapsed="false">
      <c r="A769" s="1" t="s">
        <v>1419</v>
      </c>
      <c r="B769" s="1" t="s">
        <v>1420</v>
      </c>
      <c r="C769" s="1" t="s">
        <v>88</v>
      </c>
      <c r="D769" s="1" t="s">
        <v>53</v>
      </c>
      <c r="E769" s="1" t="s">
        <v>216</v>
      </c>
      <c r="F769" s="1" t="s">
        <v>130</v>
      </c>
      <c r="G769" s="1" t="s">
        <v>47</v>
      </c>
      <c r="H769" s="1" t="s">
        <v>69</v>
      </c>
      <c r="I769" s="1" t="s">
        <v>58</v>
      </c>
      <c r="J769" s="1" t="s">
        <v>131</v>
      </c>
      <c r="K769" s="1" t="s">
        <v>90</v>
      </c>
      <c r="L769" s="1" t="s">
        <v>37</v>
      </c>
      <c r="M769" s="1" t="s">
        <v>62</v>
      </c>
      <c r="N769" s="1" t="n">
        <v>7499</v>
      </c>
      <c r="O769" s="1" t="n">
        <v>30</v>
      </c>
      <c r="P769" s="1" t="n">
        <v>2249.7</v>
      </c>
      <c r="Q769" s="1" t="n">
        <v>5249.3</v>
      </c>
      <c r="R769" s="1" t="n">
        <v>944.87</v>
      </c>
      <c r="S769" s="1" t="n">
        <v>4304.43</v>
      </c>
      <c r="T769" s="1" t="n">
        <v>1266.11</v>
      </c>
      <c r="U769" s="1" t="n">
        <v>3038.32</v>
      </c>
      <c r="V769" s="1" t="n">
        <v>70.59</v>
      </c>
      <c r="W769" s="1" t="s">
        <v>39</v>
      </c>
      <c r="X769" s="1" t="n">
        <v>3.5</v>
      </c>
      <c r="Y769" s="1" t="s">
        <v>40</v>
      </c>
      <c r="Z769" s="1" t="n">
        <v>1</v>
      </c>
    </row>
    <row r="770" customFormat="false" ht="15" hidden="false" customHeight="true" outlineLevel="0" collapsed="false">
      <c r="A770" s="1" t="s">
        <v>1421</v>
      </c>
      <c r="B770" s="1" t="s">
        <v>1210</v>
      </c>
      <c r="C770" s="1" t="s">
        <v>128</v>
      </c>
      <c r="D770" s="1" t="s">
        <v>168</v>
      </c>
      <c r="E770" s="1" t="s">
        <v>197</v>
      </c>
      <c r="F770" s="1" t="s">
        <v>46</v>
      </c>
      <c r="G770" s="1" t="s">
        <v>47</v>
      </c>
      <c r="H770" s="1" t="s">
        <v>33</v>
      </c>
      <c r="I770" s="1" t="s">
        <v>34</v>
      </c>
      <c r="J770" s="1" t="s">
        <v>70</v>
      </c>
      <c r="K770" s="1" t="s">
        <v>84</v>
      </c>
      <c r="L770" s="1" t="s">
        <v>37</v>
      </c>
      <c r="M770" s="1" t="s">
        <v>50</v>
      </c>
      <c r="N770" s="1" t="n">
        <v>8499</v>
      </c>
      <c r="O770" s="1" t="n">
        <v>30</v>
      </c>
      <c r="P770" s="1" t="n">
        <v>2549.7</v>
      </c>
      <c r="Q770" s="1" t="n">
        <v>5949.3</v>
      </c>
      <c r="R770" s="1" t="n">
        <v>1070.87</v>
      </c>
      <c r="S770" s="1" t="n">
        <v>4878.43</v>
      </c>
      <c r="T770" s="1" t="n">
        <v>2166.06</v>
      </c>
      <c r="U770" s="1" t="n">
        <v>2712.37</v>
      </c>
      <c r="V770" s="1" t="n">
        <v>55.6</v>
      </c>
      <c r="W770" s="1" t="s">
        <v>40</v>
      </c>
      <c r="Y770" s="1" t="s">
        <v>40</v>
      </c>
      <c r="Z770" s="1" t="n">
        <v>1</v>
      </c>
    </row>
    <row r="771" customFormat="false" ht="15" hidden="false" customHeight="true" outlineLevel="0" collapsed="false">
      <c r="A771" s="1" t="s">
        <v>1422</v>
      </c>
      <c r="B771" s="1" t="s">
        <v>1423</v>
      </c>
      <c r="C771" s="1" t="s">
        <v>74</v>
      </c>
      <c r="D771" s="1" t="s">
        <v>53</v>
      </c>
      <c r="E771" s="1" t="s">
        <v>116</v>
      </c>
      <c r="F771" s="1" t="s">
        <v>194</v>
      </c>
      <c r="G771" s="1" t="s">
        <v>103</v>
      </c>
      <c r="H771" s="1" t="s">
        <v>69</v>
      </c>
      <c r="I771" s="1" t="s">
        <v>58</v>
      </c>
      <c r="J771" s="1" t="s">
        <v>70</v>
      </c>
      <c r="K771" s="1" t="s">
        <v>48</v>
      </c>
      <c r="L771" s="1" t="s">
        <v>37</v>
      </c>
      <c r="M771" s="1" t="s">
        <v>50</v>
      </c>
      <c r="N771" s="1" t="n">
        <v>9999</v>
      </c>
      <c r="O771" s="1" t="n">
        <v>20</v>
      </c>
      <c r="P771" s="1" t="n">
        <v>1999.8</v>
      </c>
      <c r="Q771" s="1" t="n">
        <v>7999.2</v>
      </c>
      <c r="R771" s="1" t="n">
        <v>1439.86</v>
      </c>
      <c r="S771" s="1" t="n">
        <v>6559.34</v>
      </c>
      <c r="T771" s="1" t="n">
        <v>2670.67</v>
      </c>
      <c r="U771" s="1" t="n">
        <v>3888.67</v>
      </c>
      <c r="V771" s="1" t="n">
        <v>59.28</v>
      </c>
      <c r="W771" s="1" t="s">
        <v>39</v>
      </c>
      <c r="X771" s="1" t="n">
        <v>3.8</v>
      </c>
      <c r="Y771" s="1" t="s">
        <v>40</v>
      </c>
      <c r="Z771" s="1" t="n">
        <v>2</v>
      </c>
    </row>
    <row r="772" customFormat="false" ht="15" hidden="false" customHeight="true" outlineLevel="0" collapsed="false">
      <c r="A772" s="1" t="s">
        <v>1424</v>
      </c>
      <c r="B772" s="1" t="s">
        <v>432</v>
      </c>
      <c r="C772" s="1" t="s">
        <v>100</v>
      </c>
      <c r="D772" s="1" t="s">
        <v>44</v>
      </c>
      <c r="E772" s="1" t="s">
        <v>221</v>
      </c>
      <c r="F772" s="1" t="s">
        <v>187</v>
      </c>
      <c r="G772" s="1" t="s">
        <v>97</v>
      </c>
      <c r="H772" s="1" t="s">
        <v>69</v>
      </c>
      <c r="I772" s="1" t="s">
        <v>58</v>
      </c>
      <c r="J772" s="1" t="s">
        <v>59</v>
      </c>
      <c r="K772" s="1" t="s">
        <v>104</v>
      </c>
      <c r="L772" s="1" t="s">
        <v>85</v>
      </c>
      <c r="M772" s="1" t="s">
        <v>38</v>
      </c>
      <c r="N772" s="1" t="n">
        <v>16999</v>
      </c>
      <c r="O772" s="1" t="n">
        <v>50</v>
      </c>
      <c r="P772" s="1" t="n">
        <v>8499.5</v>
      </c>
      <c r="Q772" s="1" t="n">
        <v>8499.5</v>
      </c>
      <c r="R772" s="1" t="n">
        <v>1529.91</v>
      </c>
      <c r="S772" s="1" t="n">
        <v>6969.59</v>
      </c>
      <c r="T772" s="1" t="n">
        <v>3089.68</v>
      </c>
      <c r="U772" s="1" t="n">
        <v>3879.91</v>
      </c>
      <c r="V772" s="1" t="n">
        <v>55.67</v>
      </c>
      <c r="W772" s="1" t="s">
        <v>40</v>
      </c>
      <c r="Y772" s="1" t="s">
        <v>40</v>
      </c>
      <c r="Z772" s="1" t="n">
        <v>0</v>
      </c>
    </row>
    <row r="773" customFormat="false" ht="15" hidden="false" customHeight="true" outlineLevel="0" collapsed="false">
      <c r="A773" s="1" t="s">
        <v>1425</v>
      </c>
      <c r="B773" s="1" t="s">
        <v>653</v>
      </c>
      <c r="C773" s="1" t="s">
        <v>167</v>
      </c>
      <c r="D773" s="1" t="s">
        <v>29</v>
      </c>
      <c r="E773" s="1" t="s">
        <v>182</v>
      </c>
      <c r="F773" s="1" t="s">
        <v>150</v>
      </c>
      <c r="G773" s="1" t="s">
        <v>32</v>
      </c>
      <c r="H773" s="1" t="s">
        <v>57</v>
      </c>
      <c r="I773" s="1" t="s">
        <v>34</v>
      </c>
      <c r="J773" s="1" t="s">
        <v>35</v>
      </c>
      <c r="K773" s="1" t="s">
        <v>84</v>
      </c>
      <c r="L773" s="1" t="s">
        <v>113</v>
      </c>
      <c r="M773" s="1" t="s">
        <v>50</v>
      </c>
      <c r="N773" s="1" t="n">
        <v>34999</v>
      </c>
      <c r="O773" s="1" t="n">
        <v>0</v>
      </c>
      <c r="P773" s="1" t="n">
        <v>0</v>
      </c>
      <c r="Q773" s="1" t="n">
        <v>34999</v>
      </c>
      <c r="R773" s="1" t="n">
        <v>6299.82</v>
      </c>
      <c r="S773" s="1" t="n">
        <v>28699.18</v>
      </c>
      <c r="T773" s="1" t="n">
        <v>12451.13</v>
      </c>
      <c r="U773" s="1" t="n">
        <v>16248.05</v>
      </c>
      <c r="V773" s="1" t="n">
        <v>56.62</v>
      </c>
      <c r="W773" s="1" t="s">
        <v>40</v>
      </c>
      <c r="Y773" s="1" t="s">
        <v>40</v>
      </c>
      <c r="Z773" s="1" t="n">
        <v>2</v>
      </c>
    </row>
    <row r="774" customFormat="false" ht="15" hidden="false" customHeight="true" outlineLevel="0" collapsed="false">
      <c r="A774" s="1" t="s">
        <v>1426</v>
      </c>
      <c r="B774" s="1" t="s">
        <v>166</v>
      </c>
      <c r="C774" s="1" t="s">
        <v>100</v>
      </c>
      <c r="D774" s="1" t="s">
        <v>123</v>
      </c>
      <c r="E774" s="1" t="s">
        <v>147</v>
      </c>
      <c r="F774" s="1" t="s">
        <v>150</v>
      </c>
      <c r="G774" s="1" t="s">
        <v>32</v>
      </c>
      <c r="H774" s="1" t="s">
        <v>57</v>
      </c>
      <c r="I774" s="1" t="s">
        <v>58</v>
      </c>
      <c r="J774" s="1" t="s">
        <v>77</v>
      </c>
      <c r="K774" s="1" t="s">
        <v>104</v>
      </c>
      <c r="L774" s="1" t="s">
        <v>85</v>
      </c>
      <c r="M774" s="1" t="s">
        <v>62</v>
      </c>
      <c r="N774" s="1" t="n">
        <v>6999</v>
      </c>
      <c r="O774" s="1" t="n">
        <v>0</v>
      </c>
      <c r="P774" s="1" t="n">
        <v>0</v>
      </c>
      <c r="Q774" s="1" t="n">
        <v>6999</v>
      </c>
      <c r="R774" s="1" t="n">
        <v>1259.82</v>
      </c>
      <c r="S774" s="1" t="n">
        <v>5739.18</v>
      </c>
      <c r="T774" s="1" t="n">
        <v>2678.52</v>
      </c>
      <c r="U774" s="1" t="n">
        <v>3060.66</v>
      </c>
      <c r="V774" s="1" t="n">
        <v>53.33</v>
      </c>
      <c r="W774" s="1" t="s">
        <v>39</v>
      </c>
      <c r="X774" s="1" t="n">
        <v>4.4</v>
      </c>
      <c r="Y774" s="1" t="s">
        <v>40</v>
      </c>
      <c r="Z774" s="1" t="n">
        <v>0</v>
      </c>
    </row>
    <row r="775" customFormat="false" ht="15" hidden="false" customHeight="true" outlineLevel="0" collapsed="false">
      <c r="A775" s="1" t="s">
        <v>1427</v>
      </c>
      <c r="B775" s="1" t="s">
        <v>444</v>
      </c>
      <c r="C775" s="1" t="s">
        <v>119</v>
      </c>
      <c r="D775" s="1" t="s">
        <v>29</v>
      </c>
      <c r="E775" s="1" t="s">
        <v>30</v>
      </c>
      <c r="F775" s="1" t="s">
        <v>244</v>
      </c>
      <c r="G775" s="1" t="s">
        <v>97</v>
      </c>
      <c r="H775" s="1" t="s">
        <v>57</v>
      </c>
      <c r="I775" s="1" t="s">
        <v>34</v>
      </c>
      <c r="J775" s="1" t="s">
        <v>131</v>
      </c>
      <c r="K775" s="1" t="s">
        <v>36</v>
      </c>
      <c r="L775" s="1" t="s">
        <v>85</v>
      </c>
      <c r="M775" s="1" t="s">
        <v>50</v>
      </c>
      <c r="N775" s="1" t="n">
        <v>7999</v>
      </c>
      <c r="O775" s="1" t="n">
        <v>10</v>
      </c>
      <c r="P775" s="1" t="n">
        <v>799.9</v>
      </c>
      <c r="Q775" s="1" t="n">
        <v>7199.1</v>
      </c>
      <c r="R775" s="1" t="n">
        <v>1295.84</v>
      </c>
      <c r="S775" s="1" t="n">
        <v>5903.26</v>
      </c>
      <c r="T775" s="1" t="n">
        <v>2828.71</v>
      </c>
      <c r="U775" s="1" t="n">
        <v>3074.55</v>
      </c>
      <c r="V775" s="1" t="n">
        <v>52.08</v>
      </c>
      <c r="W775" s="1" t="s">
        <v>39</v>
      </c>
      <c r="X775" s="1" t="n">
        <v>3.4</v>
      </c>
      <c r="Y775" s="1" t="s">
        <v>40</v>
      </c>
      <c r="Z775" s="1" t="n">
        <v>0</v>
      </c>
    </row>
    <row r="776" customFormat="false" ht="15" hidden="false" customHeight="true" outlineLevel="0" collapsed="false">
      <c r="A776" s="1" t="s">
        <v>1428</v>
      </c>
      <c r="B776" s="1" t="s">
        <v>1322</v>
      </c>
      <c r="C776" s="1" t="s">
        <v>93</v>
      </c>
      <c r="D776" s="1" t="s">
        <v>44</v>
      </c>
      <c r="E776" s="1" t="s">
        <v>221</v>
      </c>
      <c r="F776" s="1" t="s">
        <v>194</v>
      </c>
      <c r="G776" s="1" t="s">
        <v>103</v>
      </c>
      <c r="H776" s="1" t="s">
        <v>69</v>
      </c>
      <c r="I776" s="1" t="s">
        <v>34</v>
      </c>
      <c r="J776" s="1" t="s">
        <v>131</v>
      </c>
      <c r="K776" s="1" t="s">
        <v>60</v>
      </c>
      <c r="L776" s="1" t="s">
        <v>136</v>
      </c>
      <c r="M776" s="1" t="s">
        <v>62</v>
      </c>
      <c r="N776" s="1" t="n">
        <v>16999</v>
      </c>
      <c r="O776" s="1" t="n">
        <v>0</v>
      </c>
      <c r="P776" s="1" t="n">
        <v>0</v>
      </c>
      <c r="Q776" s="1" t="n">
        <v>16999</v>
      </c>
      <c r="R776" s="1" t="n">
        <v>3059.82</v>
      </c>
      <c r="S776" s="1" t="n">
        <v>13939.18</v>
      </c>
      <c r="T776" s="1" t="n">
        <v>6403.46</v>
      </c>
      <c r="U776" s="1" t="n">
        <v>7535.72</v>
      </c>
      <c r="V776" s="1" t="n">
        <v>54.06</v>
      </c>
      <c r="W776" s="1" t="s">
        <v>39</v>
      </c>
      <c r="Y776" s="1" t="s">
        <v>40</v>
      </c>
      <c r="Z776" s="1" t="n">
        <v>1</v>
      </c>
    </row>
    <row r="777" customFormat="false" ht="15" hidden="false" customHeight="true" outlineLevel="0" collapsed="false">
      <c r="A777" s="1" t="s">
        <v>1429</v>
      </c>
      <c r="B777" s="1" t="s">
        <v>1430</v>
      </c>
      <c r="C777" s="1" t="s">
        <v>28</v>
      </c>
      <c r="D777" s="1" t="s">
        <v>123</v>
      </c>
      <c r="E777" s="1" t="s">
        <v>233</v>
      </c>
      <c r="F777" s="1" t="s">
        <v>156</v>
      </c>
      <c r="G777" s="1" t="s">
        <v>68</v>
      </c>
      <c r="H777" s="1" t="s">
        <v>57</v>
      </c>
      <c r="I777" s="1" t="s">
        <v>58</v>
      </c>
      <c r="J777" s="1" t="s">
        <v>70</v>
      </c>
      <c r="K777" s="1" t="s">
        <v>48</v>
      </c>
      <c r="L777" s="1" t="s">
        <v>136</v>
      </c>
      <c r="M777" s="1" t="s">
        <v>62</v>
      </c>
      <c r="N777" s="1" t="n">
        <v>8999</v>
      </c>
      <c r="O777" s="1" t="n">
        <v>40</v>
      </c>
      <c r="P777" s="1" t="n">
        <v>3599.6</v>
      </c>
      <c r="Q777" s="1" t="n">
        <v>5399.4</v>
      </c>
      <c r="R777" s="1" t="n">
        <v>971.89</v>
      </c>
      <c r="S777" s="1" t="n">
        <v>4427.51</v>
      </c>
      <c r="T777" s="1" t="n">
        <v>2333.32</v>
      </c>
      <c r="U777" s="1" t="n">
        <v>2094.19</v>
      </c>
      <c r="V777" s="1" t="n">
        <v>47.3</v>
      </c>
      <c r="W777" s="1" t="s">
        <v>40</v>
      </c>
      <c r="Y777" s="1" t="s">
        <v>39</v>
      </c>
      <c r="Z777" s="1" t="n">
        <v>0</v>
      </c>
    </row>
    <row r="778" customFormat="false" ht="15" hidden="false" customHeight="true" outlineLevel="0" collapsed="false">
      <c r="A778" s="1" t="s">
        <v>1431</v>
      </c>
      <c r="B778" s="1" t="s">
        <v>1432</v>
      </c>
      <c r="C778" s="1" t="s">
        <v>139</v>
      </c>
      <c r="D778" s="1" t="s">
        <v>143</v>
      </c>
      <c r="E778" s="1" t="s">
        <v>243</v>
      </c>
      <c r="F778" s="1" t="s">
        <v>96</v>
      </c>
      <c r="G778" s="1" t="s">
        <v>97</v>
      </c>
      <c r="H778" s="1" t="s">
        <v>69</v>
      </c>
      <c r="I778" s="1" t="s">
        <v>83</v>
      </c>
      <c r="J778" s="1" t="s">
        <v>77</v>
      </c>
      <c r="K778" s="1" t="s">
        <v>71</v>
      </c>
      <c r="L778" s="1" t="s">
        <v>49</v>
      </c>
      <c r="M778" s="1" t="s">
        <v>38</v>
      </c>
      <c r="N778" s="1" t="n">
        <v>22999</v>
      </c>
      <c r="O778" s="1" t="n">
        <v>30</v>
      </c>
      <c r="P778" s="1" t="n">
        <v>6899.7</v>
      </c>
      <c r="Q778" s="1" t="n">
        <v>16099.3</v>
      </c>
      <c r="R778" s="1" t="n">
        <v>2897.87</v>
      </c>
      <c r="S778" s="1" t="n">
        <v>13201.43</v>
      </c>
      <c r="T778" s="1" t="n">
        <v>6083.51</v>
      </c>
      <c r="U778" s="1" t="n">
        <v>7117.92</v>
      </c>
      <c r="V778" s="1" t="n">
        <v>53.92</v>
      </c>
      <c r="W778" s="1" t="s">
        <v>39</v>
      </c>
      <c r="X778" s="1" t="n">
        <v>3.1</v>
      </c>
      <c r="Y778" s="1" t="s">
        <v>40</v>
      </c>
      <c r="Z778" s="1" t="n">
        <v>0</v>
      </c>
    </row>
    <row r="779" customFormat="false" ht="15" hidden="false" customHeight="true" outlineLevel="0" collapsed="false">
      <c r="A779" s="1" t="s">
        <v>1433</v>
      </c>
      <c r="B779" s="1" t="s">
        <v>1434</v>
      </c>
      <c r="C779" s="1" t="s">
        <v>249</v>
      </c>
      <c r="D779" s="1" t="s">
        <v>168</v>
      </c>
      <c r="E779" s="1" t="s">
        <v>169</v>
      </c>
      <c r="F779" s="1" t="s">
        <v>89</v>
      </c>
      <c r="G779" s="1" t="s">
        <v>68</v>
      </c>
      <c r="H779" s="1" t="s">
        <v>33</v>
      </c>
      <c r="I779" s="1" t="s">
        <v>83</v>
      </c>
      <c r="J779" s="1" t="s">
        <v>35</v>
      </c>
      <c r="K779" s="1" t="s">
        <v>104</v>
      </c>
      <c r="L779" s="1" t="s">
        <v>113</v>
      </c>
      <c r="M779" s="1" t="s">
        <v>62</v>
      </c>
      <c r="N779" s="1" t="n">
        <v>4999</v>
      </c>
      <c r="O779" s="1" t="n">
        <v>40</v>
      </c>
      <c r="P779" s="1" t="n">
        <v>1999.6</v>
      </c>
      <c r="Q779" s="1" t="n">
        <v>2999.4</v>
      </c>
      <c r="R779" s="1" t="n">
        <v>539.89</v>
      </c>
      <c r="S779" s="1" t="n">
        <v>2459.51</v>
      </c>
      <c r="T779" s="1" t="n">
        <v>1484.95</v>
      </c>
      <c r="U779" s="1" t="n">
        <v>974.56</v>
      </c>
      <c r="V779" s="1" t="n">
        <v>39.62</v>
      </c>
      <c r="W779" s="1" t="s">
        <v>39</v>
      </c>
      <c r="Y779" s="1" t="s">
        <v>40</v>
      </c>
      <c r="Z779" s="1" t="n">
        <v>0</v>
      </c>
    </row>
    <row r="780" customFormat="false" ht="15" hidden="false" customHeight="true" outlineLevel="0" collapsed="false">
      <c r="A780" s="1" t="s">
        <v>1435</v>
      </c>
      <c r="B780" s="1" t="s">
        <v>1436</v>
      </c>
      <c r="C780" s="1" t="s">
        <v>134</v>
      </c>
      <c r="D780" s="1" t="s">
        <v>29</v>
      </c>
      <c r="E780" s="1" t="s">
        <v>182</v>
      </c>
      <c r="F780" s="1" t="s">
        <v>89</v>
      </c>
      <c r="G780" s="1" t="s">
        <v>68</v>
      </c>
      <c r="H780" s="1" t="s">
        <v>33</v>
      </c>
      <c r="I780" s="1" t="s">
        <v>83</v>
      </c>
      <c r="J780" s="1" t="s">
        <v>35</v>
      </c>
      <c r="K780" s="1" t="s">
        <v>90</v>
      </c>
      <c r="L780" s="1" t="s">
        <v>49</v>
      </c>
      <c r="M780" s="1" t="s">
        <v>62</v>
      </c>
      <c r="N780" s="1" t="n">
        <v>34999</v>
      </c>
      <c r="O780" s="1" t="n">
        <v>10</v>
      </c>
      <c r="P780" s="1" t="n">
        <v>3499.9</v>
      </c>
      <c r="Q780" s="1" t="n">
        <v>31499.1</v>
      </c>
      <c r="R780" s="1" t="n">
        <v>5669.84</v>
      </c>
      <c r="S780" s="1" t="n">
        <v>25829.26</v>
      </c>
      <c r="T780" s="1" t="n">
        <v>12322.95</v>
      </c>
      <c r="U780" s="1" t="n">
        <v>13506.31</v>
      </c>
      <c r="V780" s="1" t="n">
        <v>52.29</v>
      </c>
      <c r="W780" s="1" t="s">
        <v>40</v>
      </c>
      <c r="Y780" s="1" t="s">
        <v>40</v>
      </c>
      <c r="Z780" s="1" t="n">
        <v>0</v>
      </c>
    </row>
    <row r="781" customFormat="false" ht="15" hidden="false" customHeight="true" outlineLevel="0" collapsed="false">
      <c r="A781" s="1" t="s">
        <v>1437</v>
      </c>
      <c r="B781" s="1" t="s">
        <v>1156</v>
      </c>
      <c r="C781" s="1" t="s">
        <v>119</v>
      </c>
      <c r="D781" s="1" t="s">
        <v>53</v>
      </c>
      <c r="E781" s="1" t="s">
        <v>116</v>
      </c>
      <c r="F781" s="1" t="s">
        <v>107</v>
      </c>
      <c r="G781" s="1" t="s">
        <v>108</v>
      </c>
      <c r="H781" s="1" t="s">
        <v>33</v>
      </c>
      <c r="I781" s="1" t="s">
        <v>58</v>
      </c>
      <c r="J781" s="1" t="s">
        <v>59</v>
      </c>
      <c r="K781" s="1" t="s">
        <v>90</v>
      </c>
      <c r="L781" s="1" t="s">
        <v>85</v>
      </c>
      <c r="M781" s="1" t="s">
        <v>50</v>
      </c>
      <c r="N781" s="1" t="n">
        <v>9999</v>
      </c>
      <c r="O781" s="1" t="n">
        <v>25</v>
      </c>
      <c r="P781" s="1" t="n">
        <v>2499.75</v>
      </c>
      <c r="Q781" s="1" t="n">
        <v>7499.25</v>
      </c>
      <c r="R781" s="1" t="n">
        <v>1349.87</v>
      </c>
      <c r="S781" s="1" t="n">
        <v>6149.38</v>
      </c>
      <c r="T781" s="1" t="n">
        <v>2665.18</v>
      </c>
      <c r="U781" s="1" t="n">
        <v>3484.2</v>
      </c>
      <c r="V781" s="1" t="n">
        <v>56.66</v>
      </c>
      <c r="W781" s="1" t="s">
        <v>39</v>
      </c>
      <c r="Y781" s="1" t="s">
        <v>40</v>
      </c>
      <c r="Z781" s="1" t="n">
        <v>0</v>
      </c>
    </row>
    <row r="782" customFormat="false" ht="15" hidden="false" customHeight="true" outlineLevel="0" collapsed="false">
      <c r="A782" s="1" t="s">
        <v>1438</v>
      </c>
      <c r="B782" s="1" t="s">
        <v>1253</v>
      </c>
      <c r="C782" s="1" t="s">
        <v>264</v>
      </c>
      <c r="D782" s="1" t="s">
        <v>44</v>
      </c>
      <c r="E782" s="1" t="s">
        <v>221</v>
      </c>
      <c r="F782" s="1" t="s">
        <v>46</v>
      </c>
      <c r="G782" s="1" t="s">
        <v>47</v>
      </c>
      <c r="H782" s="1" t="s">
        <v>33</v>
      </c>
      <c r="I782" s="1" t="s">
        <v>34</v>
      </c>
      <c r="J782" s="1" t="s">
        <v>131</v>
      </c>
      <c r="K782" s="1" t="s">
        <v>48</v>
      </c>
      <c r="L782" s="1" t="s">
        <v>61</v>
      </c>
      <c r="M782" s="1" t="s">
        <v>50</v>
      </c>
      <c r="N782" s="1" t="n">
        <v>16999</v>
      </c>
      <c r="O782" s="1" t="n">
        <v>0</v>
      </c>
      <c r="P782" s="1" t="n">
        <v>0</v>
      </c>
      <c r="Q782" s="1" t="n">
        <v>16999</v>
      </c>
      <c r="R782" s="1" t="n">
        <v>3059.82</v>
      </c>
      <c r="S782" s="1" t="n">
        <v>13939.18</v>
      </c>
      <c r="T782" s="1" t="n">
        <v>5716.08</v>
      </c>
      <c r="U782" s="1" t="n">
        <v>8223.1</v>
      </c>
      <c r="V782" s="1" t="n">
        <v>58.99</v>
      </c>
      <c r="W782" s="1" t="s">
        <v>39</v>
      </c>
      <c r="X782" s="1" t="n">
        <v>3.9</v>
      </c>
      <c r="Y782" s="1" t="s">
        <v>40</v>
      </c>
      <c r="Z782" s="1" t="n">
        <v>1</v>
      </c>
    </row>
    <row r="783" customFormat="false" ht="15" hidden="false" customHeight="true" outlineLevel="0" collapsed="false">
      <c r="A783" s="1" t="s">
        <v>1439</v>
      </c>
      <c r="B783" s="1" t="s">
        <v>166</v>
      </c>
      <c r="C783" s="1" t="s">
        <v>139</v>
      </c>
      <c r="D783" s="1" t="s">
        <v>94</v>
      </c>
      <c r="E783" s="1" t="s">
        <v>101</v>
      </c>
      <c r="F783" s="1" t="s">
        <v>184</v>
      </c>
      <c r="G783" s="1" t="s">
        <v>56</v>
      </c>
      <c r="H783" s="1" t="s">
        <v>57</v>
      </c>
      <c r="I783" s="1" t="s">
        <v>34</v>
      </c>
      <c r="J783" s="1" t="s">
        <v>59</v>
      </c>
      <c r="K783" s="1" t="s">
        <v>60</v>
      </c>
      <c r="L783" s="1" t="s">
        <v>37</v>
      </c>
      <c r="M783" s="1" t="s">
        <v>38</v>
      </c>
      <c r="N783" s="1" t="n">
        <v>14999</v>
      </c>
      <c r="O783" s="1" t="n">
        <v>10</v>
      </c>
      <c r="P783" s="1" t="n">
        <v>1499.9</v>
      </c>
      <c r="Q783" s="1" t="n">
        <v>13499.1</v>
      </c>
      <c r="R783" s="1" t="n">
        <v>2429.84</v>
      </c>
      <c r="S783" s="1" t="n">
        <v>11069.26</v>
      </c>
      <c r="T783" s="1" t="n">
        <v>5152.64</v>
      </c>
      <c r="U783" s="1" t="n">
        <v>5916.62</v>
      </c>
      <c r="V783" s="1" t="n">
        <v>53.45</v>
      </c>
      <c r="W783" s="1" t="s">
        <v>39</v>
      </c>
      <c r="X783" s="1" t="n">
        <v>3.9</v>
      </c>
      <c r="Y783" s="1" t="s">
        <v>40</v>
      </c>
      <c r="Z783" s="1" t="n">
        <v>0</v>
      </c>
    </row>
    <row r="784" customFormat="false" ht="15" hidden="false" customHeight="true" outlineLevel="0" collapsed="false">
      <c r="A784" s="1" t="s">
        <v>1440</v>
      </c>
      <c r="B784" s="1" t="s">
        <v>1441</v>
      </c>
      <c r="C784" s="1" t="s">
        <v>88</v>
      </c>
      <c r="D784" s="1" t="s">
        <v>80</v>
      </c>
      <c r="E784" s="1" t="s">
        <v>193</v>
      </c>
      <c r="F784" s="1" t="s">
        <v>205</v>
      </c>
      <c r="G784" s="1" t="s">
        <v>56</v>
      </c>
      <c r="H784" s="1" t="s">
        <v>69</v>
      </c>
      <c r="I784" s="1" t="s">
        <v>83</v>
      </c>
      <c r="J784" s="1" t="s">
        <v>35</v>
      </c>
      <c r="K784" s="1" t="s">
        <v>48</v>
      </c>
      <c r="L784" s="1" t="s">
        <v>113</v>
      </c>
      <c r="M784" s="1" t="s">
        <v>62</v>
      </c>
      <c r="N784" s="1" t="n">
        <v>8999</v>
      </c>
      <c r="O784" s="1" t="n">
        <v>15</v>
      </c>
      <c r="P784" s="1" t="n">
        <v>1349.85</v>
      </c>
      <c r="Q784" s="1" t="n">
        <v>7649.15</v>
      </c>
      <c r="R784" s="1" t="n">
        <v>1376.85</v>
      </c>
      <c r="S784" s="1" t="n">
        <v>6272.3</v>
      </c>
      <c r="T784" s="1" t="n">
        <v>2975.91</v>
      </c>
      <c r="U784" s="1" t="n">
        <v>3296.39</v>
      </c>
      <c r="V784" s="1" t="n">
        <v>52.55</v>
      </c>
      <c r="W784" s="1" t="s">
        <v>39</v>
      </c>
      <c r="X784" s="1" t="n">
        <v>3.8</v>
      </c>
      <c r="Y784" s="1" t="s">
        <v>40</v>
      </c>
      <c r="Z784" s="1" t="n">
        <v>0</v>
      </c>
    </row>
    <row r="785" customFormat="false" ht="15" hidden="false" customHeight="true" outlineLevel="0" collapsed="false">
      <c r="A785" s="1" t="s">
        <v>1442</v>
      </c>
      <c r="B785" s="1" t="s">
        <v>506</v>
      </c>
      <c r="C785" s="1" t="s">
        <v>93</v>
      </c>
      <c r="D785" s="1" t="s">
        <v>123</v>
      </c>
      <c r="E785" s="1" t="s">
        <v>124</v>
      </c>
      <c r="F785" s="1" t="s">
        <v>46</v>
      </c>
      <c r="G785" s="1" t="s">
        <v>47</v>
      </c>
      <c r="H785" s="1" t="s">
        <v>33</v>
      </c>
      <c r="I785" s="1" t="s">
        <v>34</v>
      </c>
      <c r="J785" s="1" t="s">
        <v>131</v>
      </c>
      <c r="K785" s="1" t="s">
        <v>60</v>
      </c>
      <c r="L785" s="1" t="s">
        <v>49</v>
      </c>
      <c r="M785" s="1" t="s">
        <v>62</v>
      </c>
      <c r="N785" s="1" t="n">
        <v>4999</v>
      </c>
      <c r="O785" s="1" t="n">
        <v>10</v>
      </c>
      <c r="P785" s="1" t="n">
        <v>499.9</v>
      </c>
      <c r="Q785" s="1" t="n">
        <v>4499.1</v>
      </c>
      <c r="R785" s="1" t="n">
        <v>809.84</v>
      </c>
      <c r="S785" s="1" t="n">
        <v>3689.26</v>
      </c>
      <c r="T785" s="1" t="n">
        <v>1296.76</v>
      </c>
      <c r="U785" s="1" t="n">
        <v>2392.5</v>
      </c>
      <c r="V785" s="1" t="n">
        <v>64.85</v>
      </c>
      <c r="W785" s="1" t="s">
        <v>39</v>
      </c>
      <c r="X785" s="1" t="n">
        <v>3.1</v>
      </c>
      <c r="Y785" s="1" t="s">
        <v>40</v>
      </c>
      <c r="Z785" s="1" t="n">
        <v>0</v>
      </c>
    </row>
    <row r="786" customFormat="false" ht="15" hidden="false" customHeight="true" outlineLevel="0" collapsed="false">
      <c r="A786" s="1" t="s">
        <v>1443</v>
      </c>
      <c r="B786" s="1" t="s">
        <v>872</v>
      </c>
      <c r="C786" s="1" t="s">
        <v>65</v>
      </c>
      <c r="D786" s="1" t="s">
        <v>143</v>
      </c>
      <c r="E786" s="1" t="s">
        <v>144</v>
      </c>
      <c r="F786" s="1" t="s">
        <v>31</v>
      </c>
      <c r="G786" s="1" t="s">
        <v>32</v>
      </c>
      <c r="H786" s="1" t="s">
        <v>33</v>
      </c>
      <c r="I786" s="1" t="s">
        <v>34</v>
      </c>
      <c r="J786" s="1" t="s">
        <v>131</v>
      </c>
      <c r="K786" s="1" t="s">
        <v>112</v>
      </c>
      <c r="L786" s="1" t="s">
        <v>61</v>
      </c>
      <c r="M786" s="1" t="s">
        <v>62</v>
      </c>
      <c r="N786" s="1" t="n">
        <v>12999</v>
      </c>
      <c r="O786" s="1" t="n">
        <v>30</v>
      </c>
      <c r="P786" s="1" t="n">
        <v>3899.7</v>
      </c>
      <c r="Q786" s="1" t="n">
        <v>9099.3</v>
      </c>
      <c r="R786" s="1" t="n">
        <v>1637.87</v>
      </c>
      <c r="S786" s="1" t="n">
        <v>7461.43</v>
      </c>
      <c r="T786" s="1" t="n">
        <v>2878.03</v>
      </c>
      <c r="U786" s="1" t="n">
        <v>4583.4</v>
      </c>
      <c r="V786" s="1" t="n">
        <v>61.43</v>
      </c>
      <c r="W786" s="1" t="s">
        <v>40</v>
      </c>
      <c r="Y786" s="1" t="s">
        <v>40</v>
      </c>
      <c r="Z786" s="1" t="n">
        <v>1</v>
      </c>
    </row>
    <row r="787" customFormat="false" ht="15" hidden="false" customHeight="true" outlineLevel="0" collapsed="false">
      <c r="A787" s="1" t="s">
        <v>1444</v>
      </c>
      <c r="B787" s="1" t="s">
        <v>1170</v>
      </c>
      <c r="C787" s="1" t="s">
        <v>128</v>
      </c>
      <c r="D787" s="1" t="s">
        <v>123</v>
      </c>
      <c r="E787" s="1" t="s">
        <v>233</v>
      </c>
      <c r="F787" s="1" t="s">
        <v>125</v>
      </c>
      <c r="G787" s="1" t="s">
        <v>108</v>
      </c>
      <c r="H787" s="1" t="s">
        <v>69</v>
      </c>
      <c r="I787" s="1" t="s">
        <v>34</v>
      </c>
      <c r="J787" s="1" t="s">
        <v>59</v>
      </c>
      <c r="K787" s="1" t="s">
        <v>84</v>
      </c>
      <c r="L787" s="1" t="s">
        <v>113</v>
      </c>
      <c r="M787" s="1" t="s">
        <v>38</v>
      </c>
      <c r="N787" s="1" t="n">
        <v>8999</v>
      </c>
      <c r="O787" s="1" t="n">
        <v>50</v>
      </c>
      <c r="P787" s="1" t="n">
        <v>4499.5</v>
      </c>
      <c r="Q787" s="1" t="n">
        <v>4499.5</v>
      </c>
      <c r="R787" s="1" t="n">
        <v>809.91</v>
      </c>
      <c r="S787" s="1" t="n">
        <v>3689.59</v>
      </c>
      <c r="T787" s="1" t="n">
        <v>2005.58</v>
      </c>
      <c r="U787" s="1" t="n">
        <v>1684.01</v>
      </c>
      <c r="V787" s="1" t="n">
        <v>45.64</v>
      </c>
      <c r="W787" s="1" t="s">
        <v>40</v>
      </c>
      <c r="Y787" s="1" t="s">
        <v>40</v>
      </c>
      <c r="Z787" s="1" t="n">
        <v>1</v>
      </c>
    </row>
    <row r="788" customFormat="false" ht="15" hidden="false" customHeight="true" outlineLevel="0" collapsed="false">
      <c r="A788" s="1" t="s">
        <v>1445</v>
      </c>
      <c r="B788" s="1" t="s">
        <v>1432</v>
      </c>
      <c r="C788" s="1" t="s">
        <v>178</v>
      </c>
      <c r="D788" s="1" t="s">
        <v>29</v>
      </c>
      <c r="E788" s="1" t="s">
        <v>182</v>
      </c>
      <c r="F788" s="1" t="s">
        <v>46</v>
      </c>
      <c r="G788" s="1" t="s">
        <v>47</v>
      </c>
      <c r="H788" s="1" t="s">
        <v>33</v>
      </c>
      <c r="I788" s="1" t="s">
        <v>58</v>
      </c>
      <c r="J788" s="1" t="s">
        <v>77</v>
      </c>
      <c r="K788" s="1" t="s">
        <v>60</v>
      </c>
      <c r="L788" s="1" t="s">
        <v>49</v>
      </c>
      <c r="M788" s="1" t="s">
        <v>38</v>
      </c>
      <c r="N788" s="1" t="n">
        <v>34999</v>
      </c>
      <c r="O788" s="1" t="n">
        <v>10</v>
      </c>
      <c r="P788" s="1" t="n">
        <v>3499.9</v>
      </c>
      <c r="Q788" s="1" t="n">
        <v>31499.1</v>
      </c>
      <c r="R788" s="1" t="n">
        <v>5669.84</v>
      </c>
      <c r="S788" s="1" t="n">
        <v>25829.26</v>
      </c>
      <c r="T788" s="1" t="n">
        <v>10273.14</v>
      </c>
      <c r="U788" s="1" t="n">
        <v>15556.12</v>
      </c>
      <c r="V788" s="1" t="n">
        <v>60.23</v>
      </c>
      <c r="W788" s="1" t="s">
        <v>39</v>
      </c>
      <c r="X788" s="1" t="n">
        <v>4.6</v>
      </c>
      <c r="Y788" s="1" t="s">
        <v>40</v>
      </c>
      <c r="Z788" s="1" t="n">
        <v>0</v>
      </c>
    </row>
    <row r="789" customFormat="false" ht="15" hidden="false" customHeight="true" outlineLevel="0" collapsed="false">
      <c r="A789" s="1" t="s">
        <v>1446</v>
      </c>
      <c r="B789" s="1" t="s">
        <v>52</v>
      </c>
      <c r="C789" s="1" t="s">
        <v>74</v>
      </c>
      <c r="D789" s="1" t="s">
        <v>168</v>
      </c>
      <c r="E789" s="1" t="s">
        <v>172</v>
      </c>
      <c r="F789" s="1" t="s">
        <v>244</v>
      </c>
      <c r="G789" s="1" t="s">
        <v>97</v>
      </c>
      <c r="H789" s="1" t="s">
        <v>57</v>
      </c>
      <c r="I789" s="1" t="s">
        <v>34</v>
      </c>
      <c r="J789" s="1" t="s">
        <v>59</v>
      </c>
      <c r="K789" s="1" t="s">
        <v>84</v>
      </c>
      <c r="L789" s="1" t="s">
        <v>37</v>
      </c>
      <c r="M789" s="1" t="s">
        <v>38</v>
      </c>
      <c r="N789" s="1" t="n">
        <v>6999</v>
      </c>
      <c r="O789" s="1" t="n">
        <v>20</v>
      </c>
      <c r="P789" s="1" t="n">
        <v>1399.8</v>
      </c>
      <c r="Q789" s="1" t="n">
        <v>5599.2</v>
      </c>
      <c r="R789" s="1" t="n">
        <v>1007.86</v>
      </c>
      <c r="S789" s="1" t="n">
        <v>4591.34</v>
      </c>
      <c r="T789" s="1" t="n">
        <v>2270.11</v>
      </c>
      <c r="U789" s="1" t="n">
        <v>2321.23</v>
      </c>
      <c r="V789" s="1" t="n">
        <v>50.56</v>
      </c>
      <c r="W789" s="1" t="s">
        <v>40</v>
      </c>
      <c r="Y789" s="1" t="s">
        <v>40</v>
      </c>
      <c r="Z789" s="1" t="n">
        <v>0</v>
      </c>
    </row>
    <row r="790" customFormat="false" ht="15" hidden="false" customHeight="true" outlineLevel="0" collapsed="false">
      <c r="A790" s="1" t="s">
        <v>1447</v>
      </c>
      <c r="B790" s="1" t="s">
        <v>1448</v>
      </c>
      <c r="C790" s="1" t="s">
        <v>139</v>
      </c>
      <c r="D790" s="1" t="s">
        <v>53</v>
      </c>
      <c r="E790" s="1" t="s">
        <v>116</v>
      </c>
      <c r="F790" s="1" t="s">
        <v>184</v>
      </c>
      <c r="G790" s="1" t="s">
        <v>56</v>
      </c>
      <c r="H790" s="1" t="s">
        <v>57</v>
      </c>
      <c r="I790" s="1" t="s">
        <v>34</v>
      </c>
      <c r="J790" s="1" t="s">
        <v>77</v>
      </c>
      <c r="K790" s="1" t="s">
        <v>112</v>
      </c>
      <c r="L790" s="1" t="s">
        <v>61</v>
      </c>
      <c r="M790" s="1" t="s">
        <v>50</v>
      </c>
      <c r="N790" s="1" t="n">
        <v>9999</v>
      </c>
      <c r="O790" s="1" t="n">
        <v>20</v>
      </c>
      <c r="P790" s="1" t="n">
        <v>1999.8</v>
      </c>
      <c r="Q790" s="1" t="n">
        <v>7999.2</v>
      </c>
      <c r="R790" s="1" t="n">
        <v>1439.86</v>
      </c>
      <c r="S790" s="1" t="n">
        <v>6559.34</v>
      </c>
      <c r="T790" s="1" t="n">
        <v>2656.93</v>
      </c>
      <c r="U790" s="1" t="n">
        <v>3902.41</v>
      </c>
      <c r="V790" s="1" t="n">
        <v>59.49</v>
      </c>
      <c r="W790" s="1" t="s">
        <v>39</v>
      </c>
      <c r="Y790" s="1" t="s">
        <v>40</v>
      </c>
      <c r="Z790" s="1" t="n">
        <v>1</v>
      </c>
    </row>
    <row r="791" customFormat="false" ht="15" hidden="false" customHeight="true" outlineLevel="0" collapsed="false">
      <c r="A791" s="1" t="s">
        <v>1449</v>
      </c>
      <c r="B791" s="1" t="s">
        <v>885</v>
      </c>
      <c r="C791" s="1" t="s">
        <v>264</v>
      </c>
      <c r="D791" s="1" t="s">
        <v>29</v>
      </c>
      <c r="E791" s="1" t="s">
        <v>129</v>
      </c>
      <c r="F791" s="1" t="s">
        <v>211</v>
      </c>
      <c r="G791" s="1" t="s">
        <v>56</v>
      </c>
      <c r="H791" s="1" t="s">
        <v>69</v>
      </c>
      <c r="I791" s="1" t="s">
        <v>58</v>
      </c>
      <c r="J791" s="1" t="s">
        <v>77</v>
      </c>
      <c r="K791" s="1" t="s">
        <v>48</v>
      </c>
      <c r="L791" s="1" t="s">
        <v>37</v>
      </c>
      <c r="M791" s="1" t="s">
        <v>62</v>
      </c>
      <c r="N791" s="1" t="n">
        <v>29999</v>
      </c>
      <c r="O791" s="1" t="n">
        <v>0</v>
      </c>
      <c r="P791" s="1" t="n">
        <v>0</v>
      </c>
      <c r="Q791" s="1" t="n">
        <v>29999</v>
      </c>
      <c r="R791" s="1" t="n">
        <v>5399.82</v>
      </c>
      <c r="S791" s="1" t="n">
        <v>24599.18</v>
      </c>
      <c r="T791" s="1" t="n">
        <v>9581.69</v>
      </c>
      <c r="U791" s="1" t="n">
        <v>15017.49</v>
      </c>
      <c r="V791" s="1" t="n">
        <v>61.05</v>
      </c>
      <c r="W791" s="1" t="s">
        <v>39</v>
      </c>
      <c r="X791" s="1" t="n">
        <v>4.1</v>
      </c>
      <c r="Y791" s="1" t="s">
        <v>40</v>
      </c>
      <c r="Z791" s="1" t="n">
        <v>0</v>
      </c>
    </row>
    <row r="792" customFormat="false" ht="15" hidden="false" customHeight="true" outlineLevel="0" collapsed="false">
      <c r="A792" s="1" t="s">
        <v>1450</v>
      </c>
      <c r="B792" s="1" t="s">
        <v>585</v>
      </c>
      <c r="C792" s="1" t="s">
        <v>43</v>
      </c>
      <c r="D792" s="1" t="s">
        <v>94</v>
      </c>
      <c r="E792" s="1" t="s">
        <v>135</v>
      </c>
      <c r="F792" s="1" t="s">
        <v>125</v>
      </c>
      <c r="G792" s="1" t="s">
        <v>108</v>
      </c>
      <c r="H792" s="1" t="s">
        <v>69</v>
      </c>
      <c r="I792" s="1" t="s">
        <v>83</v>
      </c>
      <c r="J792" s="1" t="s">
        <v>77</v>
      </c>
      <c r="K792" s="1" t="s">
        <v>90</v>
      </c>
      <c r="L792" s="1" t="s">
        <v>136</v>
      </c>
      <c r="M792" s="1" t="s">
        <v>38</v>
      </c>
      <c r="N792" s="1" t="n">
        <v>9999</v>
      </c>
      <c r="O792" s="1" t="n">
        <v>25</v>
      </c>
      <c r="P792" s="1" t="n">
        <v>2499.75</v>
      </c>
      <c r="Q792" s="1" t="n">
        <v>7499.25</v>
      </c>
      <c r="R792" s="1" t="n">
        <v>1349.87</v>
      </c>
      <c r="S792" s="1" t="n">
        <v>6149.38</v>
      </c>
      <c r="T792" s="1" t="n">
        <v>2646.68</v>
      </c>
      <c r="U792" s="1" t="n">
        <v>3502.7</v>
      </c>
      <c r="V792" s="1" t="n">
        <v>56.96</v>
      </c>
      <c r="W792" s="1" t="s">
        <v>40</v>
      </c>
      <c r="Y792" s="1" t="s">
        <v>40</v>
      </c>
      <c r="Z792" s="1" t="n">
        <v>1</v>
      </c>
    </row>
    <row r="793" customFormat="false" ht="15" hidden="false" customHeight="true" outlineLevel="0" collapsed="false">
      <c r="A793" s="1" t="s">
        <v>1451</v>
      </c>
      <c r="B793" s="1" t="s">
        <v>1040</v>
      </c>
      <c r="C793" s="1" t="s">
        <v>100</v>
      </c>
      <c r="D793" s="1" t="s">
        <v>94</v>
      </c>
      <c r="E793" s="1" t="s">
        <v>135</v>
      </c>
      <c r="F793" s="1" t="s">
        <v>187</v>
      </c>
      <c r="G793" s="1" t="s">
        <v>97</v>
      </c>
      <c r="H793" s="1" t="s">
        <v>69</v>
      </c>
      <c r="I793" s="1" t="s">
        <v>83</v>
      </c>
      <c r="J793" s="1" t="s">
        <v>35</v>
      </c>
      <c r="K793" s="1" t="s">
        <v>71</v>
      </c>
      <c r="L793" s="1" t="s">
        <v>113</v>
      </c>
      <c r="M793" s="1" t="s">
        <v>38</v>
      </c>
      <c r="N793" s="1" t="n">
        <v>9999</v>
      </c>
      <c r="O793" s="1" t="n">
        <v>0</v>
      </c>
      <c r="P793" s="1" t="n">
        <v>0</v>
      </c>
      <c r="Q793" s="1" t="n">
        <v>9999</v>
      </c>
      <c r="R793" s="1" t="n">
        <v>1799.82</v>
      </c>
      <c r="S793" s="1" t="n">
        <v>8199.18</v>
      </c>
      <c r="T793" s="1" t="n">
        <v>3164.98</v>
      </c>
      <c r="U793" s="1" t="n">
        <v>5034.2</v>
      </c>
      <c r="V793" s="1" t="n">
        <v>61.4</v>
      </c>
      <c r="W793" s="1" t="s">
        <v>40</v>
      </c>
      <c r="Y793" s="1" t="s">
        <v>40</v>
      </c>
      <c r="Z793" s="1" t="n">
        <v>3</v>
      </c>
    </row>
    <row r="794" customFormat="false" ht="15" hidden="false" customHeight="true" outlineLevel="0" collapsed="false">
      <c r="A794" s="1" t="s">
        <v>1452</v>
      </c>
      <c r="B794" s="1" t="s">
        <v>1453</v>
      </c>
      <c r="C794" s="1" t="s">
        <v>264</v>
      </c>
      <c r="D794" s="1" t="s">
        <v>53</v>
      </c>
      <c r="E794" s="1" t="s">
        <v>54</v>
      </c>
      <c r="F794" s="1" t="s">
        <v>67</v>
      </c>
      <c r="G794" s="1" t="s">
        <v>68</v>
      </c>
      <c r="H794" s="1" t="s">
        <v>69</v>
      </c>
      <c r="I794" s="1" t="s">
        <v>34</v>
      </c>
      <c r="J794" s="1" t="s">
        <v>70</v>
      </c>
      <c r="K794" s="1" t="s">
        <v>90</v>
      </c>
      <c r="L794" s="1" t="s">
        <v>49</v>
      </c>
      <c r="M794" s="1" t="s">
        <v>38</v>
      </c>
      <c r="N794" s="1" t="n">
        <v>11999</v>
      </c>
      <c r="O794" s="1" t="n">
        <v>20</v>
      </c>
      <c r="P794" s="1" t="n">
        <v>2399.8</v>
      </c>
      <c r="Q794" s="1" t="n">
        <v>9599.2</v>
      </c>
      <c r="R794" s="1" t="n">
        <v>1727.86</v>
      </c>
      <c r="S794" s="1" t="n">
        <v>7871.34</v>
      </c>
      <c r="T794" s="1" t="n">
        <v>3377.75</v>
      </c>
      <c r="U794" s="1" t="n">
        <v>4493.59</v>
      </c>
      <c r="V794" s="1" t="n">
        <v>57.09</v>
      </c>
      <c r="W794" s="1" t="s">
        <v>39</v>
      </c>
      <c r="X794" s="1" t="n">
        <v>3</v>
      </c>
      <c r="Y794" s="1" t="s">
        <v>40</v>
      </c>
      <c r="Z794" s="1" t="n">
        <v>0</v>
      </c>
    </row>
    <row r="795" customFormat="false" ht="15" hidden="false" customHeight="true" outlineLevel="0" collapsed="false">
      <c r="A795" s="1" t="s">
        <v>1454</v>
      </c>
      <c r="B795" s="1" t="s">
        <v>566</v>
      </c>
      <c r="C795" s="1" t="s">
        <v>249</v>
      </c>
      <c r="D795" s="1" t="s">
        <v>168</v>
      </c>
      <c r="E795" s="1" t="s">
        <v>197</v>
      </c>
      <c r="F795" s="1" t="s">
        <v>187</v>
      </c>
      <c r="G795" s="1" t="s">
        <v>97</v>
      </c>
      <c r="H795" s="1" t="s">
        <v>69</v>
      </c>
      <c r="I795" s="1" t="s">
        <v>34</v>
      </c>
      <c r="J795" s="1" t="s">
        <v>131</v>
      </c>
      <c r="K795" s="1" t="s">
        <v>112</v>
      </c>
      <c r="L795" s="1" t="s">
        <v>85</v>
      </c>
      <c r="M795" s="1" t="s">
        <v>50</v>
      </c>
      <c r="N795" s="1" t="n">
        <v>8499</v>
      </c>
      <c r="O795" s="1" t="n">
        <v>25</v>
      </c>
      <c r="P795" s="1" t="n">
        <v>2124.75</v>
      </c>
      <c r="Q795" s="1" t="n">
        <v>6374.25</v>
      </c>
      <c r="R795" s="1" t="n">
        <v>1147.37</v>
      </c>
      <c r="S795" s="1" t="n">
        <v>5226.88</v>
      </c>
      <c r="T795" s="1" t="n">
        <v>1878.56</v>
      </c>
      <c r="U795" s="1" t="n">
        <v>3348.32</v>
      </c>
      <c r="V795" s="1" t="n">
        <v>64.06</v>
      </c>
      <c r="W795" s="1" t="s">
        <v>40</v>
      </c>
      <c r="Y795" s="1" t="s">
        <v>40</v>
      </c>
      <c r="Z795" s="1" t="n">
        <v>1</v>
      </c>
    </row>
    <row r="796" customFormat="false" ht="15" hidden="false" customHeight="true" outlineLevel="0" collapsed="false">
      <c r="A796" s="1" t="s">
        <v>1455</v>
      </c>
      <c r="B796" s="1" t="s">
        <v>1456</v>
      </c>
      <c r="C796" s="1" t="s">
        <v>28</v>
      </c>
      <c r="D796" s="1" t="s">
        <v>80</v>
      </c>
      <c r="E796" s="1" t="s">
        <v>81</v>
      </c>
      <c r="F796" s="1" t="s">
        <v>184</v>
      </c>
      <c r="G796" s="1" t="s">
        <v>56</v>
      </c>
      <c r="H796" s="1" t="s">
        <v>57</v>
      </c>
      <c r="I796" s="1" t="s">
        <v>83</v>
      </c>
      <c r="J796" s="1" t="s">
        <v>35</v>
      </c>
      <c r="K796" s="1" t="s">
        <v>112</v>
      </c>
      <c r="L796" s="1" t="s">
        <v>61</v>
      </c>
      <c r="M796" s="1" t="s">
        <v>62</v>
      </c>
      <c r="N796" s="1" t="n">
        <v>12999</v>
      </c>
      <c r="O796" s="1" t="n">
        <v>5</v>
      </c>
      <c r="P796" s="1" t="n">
        <v>649.95</v>
      </c>
      <c r="Q796" s="1" t="n">
        <v>12349.05</v>
      </c>
      <c r="R796" s="1" t="n">
        <v>2222.83</v>
      </c>
      <c r="S796" s="1" t="n">
        <v>10126.22</v>
      </c>
      <c r="T796" s="1" t="n">
        <v>3438.68</v>
      </c>
      <c r="U796" s="1" t="n">
        <v>6687.54</v>
      </c>
      <c r="V796" s="1" t="n">
        <v>66.04</v>
      </c>
      <c r="W796" s="1" t="s">
        <v>40</v>
      </c>
      <c r="Y796" s="1" t="s">
        <v>40</v>
      </c>
      <c r="Z796" s="1" t="n">
        <v>0</v>
      </c>
    </row>
    <row r="797" customFormat="false" ht="15" hidden="false" customHeight="true" outlineLevel="0" collapsed="false">
      <c r="A797" s="1" t="s">
        <v>1457</v>
      </c>
      <c r="B797" s="1" t="s">
        <v>1458</v>
      </c>
      <c r="C797" s="1" t="s">
        <v>28</v>
      </c>
      <c r="D797" s="1" t="s">
        <v>80</v>
      </c>
      <c r="E797" s="1" t="s">
        <v>193</v>
      </c>
      <c r="F797" s="1" t="s">
        <v>184</v>
      </c>
      <c r="G797" s="1" t="s">
        <v>56</v>
      </c>
      <c r="H797" s="1" t="s">
        <v>57</v>
      </c>
      <c r="I797" s="1" t="s">
        <v>58</v>
      </c>
      <c r="J797" s="1" t="s">
        <v>35</v>
      </c>
      <c r="K797" s="1" t="s">
        <v>104</v>
      </c>
      <c r="L797" s="1" t="s">
        <v>113</v>
      </c>
      <c r="M797" s="1" t="s">
        <v>50</v>
      </c>
      <c r="N797" s="1" t="n">
        <v>8999</v>
      </c>
      <c r="O797" s="1" t="n">
        <v>0</v>
      </c>
      <c r="P797" s="1" t="n">
        <v>0</v>
      </c>
      <c r="Q797" s="1" t="n">
        <v>8999</v>
      </c>
      <c r="R797" s="1" t="n">
        <v>1619.82</v>
      </c>
      <c r="S797" s="1" t="n">
        <v>7379.18</v>
      </c>
      <c r="T797" s="1" t="n">
        <v>3014.37</v>
      </c>
      <c r="U797" s="1" t="n">
        <v>4364.81</v>
      </c>
      <c r="V797" s="1" t="n">
        <v>59.15</v>
      </c>
      <c r="W797" s="1" t="s">
        <v>40</v>
      </c>
      <c r="Y797" s="1" t="s">
        <v>40</v>
      </c>
      <c r="Z797" s="1" t="n">
        <v>1</v>
      </c>
    </row>
    <row r="798" customFormat="false" ht="15" hidden="false" customHeight="true" outlineLevel="0" collapsed="false">
      <c r="A798" s="1" t="s">
        <v>1459</v>
      </c>
      <c r="B798" s="1" t="s">
        <v>649</v>
      </c>
      <c r="C798" s="1" t="s">
        <v>100</v>
      </c>
      <c r="D798" s="1" t="s">
        <v>44</v>
      </c>
      <c r="E798" s="1" t="s">
        <v>45</v>
      </c>
      <c r="F798" s="1" t="s">
        <v>130</v>
      </c>
      <c r="G798" s="1" t="s">
        <v>47</v>
      </c>
      <c r="H798" s="1" t="s">
        <v>69</v>
      </c>
      <c r="I798" s="1" t="s">
        <v>34</v>
      </c>
      <c r="J798" s="1" t="s">
        <v>70</v>
      </c>
      <c r="K798" s="1" t="s">
        <v>112</v>
      </c>
      <c r="L798" s="1" t="s">
        <v>85</v>
      </c>
      <c r="M798" s="1" t="s">
        <v>62</v>
      </c>
      <c r="N798" s="1" t="n">
        <v>11999</v>
      </c>
      <c r="O798" s="1" t="n">
        <v>40</v>
      </c>
      <c r="P798" s="1" t="n">
        <v>4799.6</v>
      </c>
      <c r="Q798" s="1" t="n">
        <v>7199.4</v>
      </c>
      <c r="R798" s="1" t="n">
        <v>1295.89</v>
      </c>
      <c r="S798" s="1" t="n">
        <v>5903.51</v>
      </c>
      <c r="T798" s="1" t="n">
        <v>3545.14</v>
      </c>
      <c r="U798" s="1" t="n">
        <v>2358.37</v>
      </c>
      <c r="V798" s="1" t="n">
        <v>39.95</v>
      </c>
      <c r="W798" s="1" t="s">
        <v>40</v>
      </c>
      <c r="Y798" s="1" t="s">
        <v>39</v>
      </c>
      <c r="Z798" s="1" t="n">
        <v>0</v>
      </c>
    </row>
    <row r="799" customFormat="false" ht="15" hidden="false" customHeight="true" outlineLevel="0" collapsed="false">
      <c r="A799" s="1" t="s">
        <v>1460</v>
      </c>
      <c r="B799" s="1" t="s">
        <v>1461</v>
      </c>
      <c r="C799" s="1" t="s">
        <v>74</v>
      </c>
      <c r="D799" s="1" t="s">
        <v>80</v>
      </c>
      <c r="E799" s="1" t="s">
        <v>190</v>
      </c>
      <c r="F799" s="1" t="s">
        <v>269</v>
      </c>
      <c r="G799" s="1" t="s">
        <v>108</v>
      </c>
      <c r="H799" s="1" t="s">
        <v>57</v>
      </c>
      <c r="I799" s="1" t="s">
        <v>34</v>
      </c>
      <c r="J799" s="1" t="s">
        <v>35</v>
      </c>
      <c r="K799" s="1" t="s">
        <v>60</v>
      </c>
      <c r="L799" s="1" t="s">
        <v>113</v>
      </c>
      <c r="M799" s="1" t="s">
        <v>62</v>
      </c>
      <c r="N799" s="1" t="n">
        <v>15999</v>
      </c>
      <c r="O799" s="1" t="n">
        <v>50</v>
      </c>
      <c r="P799" s="1" t="n">
        <v>7999.5</v>
      </c>
      <c r="Q799" s="1" t="n">
        <v>7999.5</v>
      </c>
      <c r="R799" s="1" t="n">
        <v>1439.91</v>
      </c>
      <c r="S799" s="1" t="n">
        <v>6559.59</v>
      </c>
      <c r="T799" s="1" t="n">
        <v>3864.93</v>
      </c>
      <c r="U799" s="1" t="n">
        <v>2694.66</v>
      </c>
      <c r="V799" s="1" t="n">
        <v>41.08</v>
      </c>
      <c r="W799" s="1" t="s">
        <v>40</v>
      </c>
      <c r="Y799" s="1" t="s">
        <v>40</v>
      </c>
      <c r="Z799" s="1" t="n">
        <v>2</v>
      </c>
    </row>
    <row r="800" customFormat="false" ht="15" hidden="false" customHeight="true" outlineLevel="0" collapsed="false">
      <c r="A800" s="1" t="s">
        <v>1462</v>
      </c>
      <c r="B800" s="1" t="s">
        <v>309</v>
      </c>
      <c r="C800" s="1" t="s">
        <v>139</v>
      </c>
      <c r="D800" s="1" t="s">
        <v>44</v>
      </c>
      <c r="E800" s="1" t="s">
        <v>221</v>
      </c>
      <c r="F800" s="1" t="s">
        <v>130</v>
      </c>
      <c r="G800" s="1" t="s">
        <v>47</v>
      </c>
      <c r="H800" s="1" t="s">
        <v>69</v>
      </c>
      <c r="I800" s="1" t="s">
        <v>58</v>
      </c>
      <c r="J800" s="1" t="s">
        <v>70</v>
      </c>
      <c r="K800" s="1" t="s">
        <v>48</v>
      </c>
      <c r="L800" s="1" t="s">
        <v>61</v>
      </c>
      <c r="M800" s="1" t="s">
        <v>38</v>
      </c>
      <c r="N800" s="1" t="n">
        <v>16999</v>
      </c>
      <c r="O800" s="1" t="n">
        <v>10</v>
      </c>
      <c r="P800" s="1" t="n">
        <v>1699.9</v>
      </c>
      <c r="Q800" s="1" t="n">
        <v>15299.1</v>
      </c>
      <c r="R800" s="1" t="n">
        <v>2753.84</v>
      </c>
      <c r="S800" s="1" t="n">
        <v>12545.26</v>
      </c>
      <c r="T800" s="1" t="n">
        <v>4494.8</v>
      </c>
      <c r="U800" s="1" t="n">
        <v>8050.46</v>
      </c>
      <c r="V800" s="1" t="n">
        <v>64.17</v>
      </c>
      <c r="W800" s="1" t="s">
        <v>40</v>
      </c>
      <c r="Y800" s="1" t="s">
        <v>40</v>
      </c>
      <c r="Z800" s="1" t="n">
        <v>0</v>
      </c>
    </row>
    <row r="801" customFormat="false" ht="15" hidden="false" customHeight="true" outlineLevel="0" collapsed="false">
      <c r="A801" s="1" t="s">
        <v>1463</v>
      </c>
      <c r="B801" s="1" t="s">
        <v>539</v>
      </c>
      <c r="C801" s="1" t="s">
        <v>134</v>
      </c>
      <c r="D801" s="1" t="s">
        <v>80</v>
      </c>
      <c r="E801" s="1" t="s">
        <v>190</v>
      </c>
      <c r="F801" s="1" t="s">
        <v>125</v>
      </c>
      <c r="G801" s="1" t="s">
        <v>108</v>
      </c>
      <c r="H801" s="1" t="s">
        <v>69</v>
      </c>
      <c r="I801" s="1" t="s">
        <v>58</v>
      </c>
      <c r="J801" s="1" t="s">
        <v>35</v>
      </c>
      <c r="K801" s="1" t="s">
        <v>104</v>
      </c>
      <c r="L801" s="1" t="s">
        <v>113</v>
      </c>
      <c r="M801" s="1" t="s">
        <v>50</v>
      </c>
      <c r="N801" s="1" t="n">
        <v>15999</v>
      </c>
      <c r="O801" s="1" t="n">
        <v>50</v>
      </c>
      <c r="P801" s="1" t="n">
        <v>7999.5</v>
      </c>
      <c r="Q801" s="1" t="n">
        <v>7999.5</v>
      </c>
      <c r="R801" s="1" t="n">
        <v>1439.91</v>
      </c>
      <c r="S801" s="1" t="n">
        <v>6559.59</v>
      </c>
      <c r="T801" s="1" t="n">
        <v>3024.78</v>
      </c>
      <c r="U801" s="1" t="n">
        <v>3534.81</v>
      </c>
      <c r="V801" s="1" t="n">
        <v>53.89</v>
      </c>
      <c r="W801" s="1" t="s">
        <v>39</v>
      </c>
      <c r="X801" s="1" t="n">
        <v>4.4</v>
      </c>
      <c r="Y801" s="1" t="s">
        <v>40</v>
      </c>
      <c r="Z801" s="1" t="n">
        <v>1</v>
      </c>
    </row>
    <row r="802" customFormat="false" ht="15" hidden="false" customHeight="true" outlineLevel="0" collapsed="false">
      <c r="A802" s="1" t="s">
        <v>1464</v>
      </c>
      <c r="B802" s="1" t="s">
        <v>1465</v>
      </c>
      <c r="C802" s="1" t="s">
        <v>249</v>
      </c>
      <c r="D802" s="1" t="s">
        <v>123</v>
      </c>
      <c r="E802" s="1" t="s">
        <v>147</v>
      </c>
      <c r="F802" s="1" t="s">
        <v>140</v>
      </c>
      <c r="G802" s="1" t="s">
        <v>97</v>
      </c>
      <c r="H802" s="1" t="s">
        <v>57</v>
      </c>
      <c r="I802" s="1" t="s">
        <v>83</v>
      </c>
      <c r="J802" s="1" t="s">
        <v>77</v>
      </c>
      <c r="K802" s="1" t="s">
        <v>104</v>
      </c>
      <c r="L802" s="1" t="s">
        <v>113</v>
      </c>
      <c r="M802" s="1" t="s">
        <v>62</v>
      </c>
      <c r="N802" s="1" t="n">
        <v>6999</v>
      </c>
      <c r="O802" s="1" t="n">
        <v>0</v>
      </c>
      <c r="P802" s="1" t="n">
        <v>0</v>
      </c>
      <c r="Q802" s="1" t="n">
        <v>6999</v>
      </c>
      <c r="R802" s="1" t="n">
        <v>1259.82</v>
      </c>
      <c r="S802" s="1" t="n">
        <v>5739.18</v>
      </c>
      <c r="T802" s="1" t="n">
        <v>2858.52</v>
      </c>
      <c r="U802" s="1" t="n">
        <v>2880.66</v>
      </c>
      <c r="V802" s="1" t="n">
        <v>50.19</v>
      </c>
      <c r="W802" s="1" t="s">
        <v>40</v>
      </c>
      <c r="Y802" s="1" t="s">
        <v>40</v>
      </c>
      <c r="Z802" s="1" t="n">
        <v>0</v>
      </c>
    </row>
    <row r="803" customFormat="false" ht="15" hidden="false" customHeight="true" outlineLevel="0" collapsed="false">
      <c r="A803" s="1" t="s">
        <v>1466</v>
      </c>
      <c r="B803" s="1" t="s">
        <v>858</v>
      </c>
      <c r="C803" s="1" t="s">
        <v>119</v>
      </c>
      <c r="D803" s="1" t="s">
        <v>143</v>
      </c>
      <c r="E803" s="1" t="s">
        <v>144</v>
      </c>
      <c r="F803" s="1" t="s">
        <v>244</v>
      </c>
      <c r="G803" s="1" t="s">
        <v>97</v>
      </c>
      <c r="H803" s="1" t="s">
        <v>57</v>
      </c>
      <c r="I803" s="1" t="s">
        <v>58</v>
      </c>
      <c r="J803" s="1" t="s">
        <v>59</v>
      </c>
      <c r="K803" s="1" t="s">
        <v>90</v>
      </c>
      <c r="L803" s="1" t="s">
        <v>37</v>
      </c>
      <c r="M803" s="1" t="s">
        <v>38</v>
      </c>
      <c r="N803" s="1" t="n">
        <v>12999</v>
      </c>
      <c r="O803" s="1" t="n">
        <v>15</v>
      </c>
      <c r="P803" s="1" t="n">
        <v>1949.85</v>
      </c>
      <c r="Q803" s="1" t="n">
        <v>11049.15</v>
      </c>
      <c r="R803" s="1" t="n">
        <v>1988.85</v>
      </c>
      <c r="S803" s="1" t="n">
        <v>9060.3</v>
      </c>
      <c r="T803" s="1" t="n">
        <v>3191.37</v>
      </c>
      <c r="U803" s="1" t="n">
        <v>5868.93</v>
      </c>
      <c r="V803" s="1" t="n">
        <v>64.78</v>
      </c>
      <c r="W803" s="1" t="s">
        <v>39</v>
      </c>
      <c r="X803" s="1" t="n">
        <v>2.6</v>
      </c>
      <c r="Y803" s="1" t="s">
        <v>40</v>
      </c>
      <c r="Z803" s="1" t="n">
        <v>1</v>
      </c>
    </row>
    <row r="804" customFormat="false" ht="15" hidden="false" customHeight="true" outlineLevel="0" collapsed="false">
      <c r="A804" s="1" t="s">
        <v>1467</v>
      </c>
      <c r="B804" s="1" t="s">
        <v>257</v>
      </c>
      <c r="C804" s="1" t="s">
        <v>93</v>
      </c>
      <c r="D804" s="1" t="s">
        <v>53</v>
      </c>
      <c r="E804" s="1" t="s">
        <v>116</v>
      </c>
      <c r="F804" s="1" t="s">
        <v>89</v>
      </c>
      <c r="G804" s="1" t="s">
        <v>68</v>
      </c>
      <c r="H804" s="1" t="s">
        <v>33</v>
      </c>
      <c r="I804" s="1" t="s">
        <v>34</v>
      </c>
      <c r="J804" s="1" t="s">
        <v>59</v>
      </c>
      <c r="K804" s="1" t="s">
        <v>84</v>
      </c>
      <c r="L804" s="1" t="s">
        <v>37</v>
      </c>
      <c r="M804" s="1" t="s">
        <v>38</v>
      </c>
      <c r="N804" s="1" t="n">
        <v>9999</v>
      </c>
      <c r="O804" s="1" t="n">
        <v>10</v>
      </c>
      <c r="P804" s="1" t="n">
        <v>999.9</v>
      </c>
      <c r="Q804" s="1" t="n">
        <v>8999.1</v>
      </c>
      <c r="R804" s="1" t="n">
        <v>1619.84</v>
      </c>
      <c r="S804" s="1" t="n">
        <v>7379.26</v>
      </c>
      <c r="T804" s="1" t="n">
        <v>2875.18</v>
      </c>
      <c r="U804" s="1" t="n">
        <v>4504.08</v>
      </c>
      <c r="V804" s="1" t="n">
        <v>61.04</v>
      </c>
      <c r="W804" s="1" t="s">
        <v>39</v>
      </c>
      <c r="X804" s="1" t="n">
        <v>3.6</v>
      </c>
      <c r="Y804" s="1" t="s">
        <v>40</v>
      </c>
      <c r="Z804" s="1" t="n">
        <v>1</v>
      </c>
    </row>
    <row r="805" customFormat="false" ht="15" hidden="false" customHeight="true" outlineLevel="0" collapsed="false">
      <c r="A805" s="1" t="s">
        <v>1468</v>
      </c>
      <c r="B805" s="1" t="s">
        <v>174</v>
      </c>
      <c r="C805" s="1" t="s">
        <v>167</v>
      </c>
      <c r="D805" s="1" t="s">
        <v>29</v>
      </c>
      <c r="E805" s="1" t="s">
        <v>305</v>
      </c>
      <c r="F805" s="1" t="s">
        <v>641</v>
      </c>
      <c r="G805" s="1" t="s">
        <v>103</v>
      </c>
      <c r="H805" s="1" t="s">
        <v>33</v>
      </c>
      <c r="I805" s="1" t="s">
        <v>83</v>
      </c>
      <c r="J805" s="1" t="s">
        <v>70</v>
      </c>
      <c r="K805" s="1" t="s">
        <v>60</v>
      </c>
      <c r="L805" s="1" t="s">
        <v>37</v>
      </c>
      <c r="M805" s="1" t="s">
        <v>50</v>
      </c>
      <c r="N805" s="1" t="n">
        <v>24999</v>
      </c>
      <c r="O805" s="1" t="n">
        <v>10</v>
      </c>
      <c r="P805" s="1" t="n">
        <v>2499.9</v>
      </c>
      <c r="Q805" s="1" t="n">
        <v>22499.1</v>
      </c>
      <c r="R805" s="1" t="n">
        <v>4049.84</v>
      </c>
      <c r="S805" s="1" t="n">
        <v>18449.26</v>
      </c>
      <c r="T805" s="1" t="n">
        <v>8017.48</v>
      </c>
      <c r="U805" s="1" t="n">
        <v>10431.78</v>
      </c>
      <c r="V805" s="1" t="n">
        <v>56.54</v>
      </c>
      <c r="W805" s="1" t="s">
        <v>40</v>
      </c>
      <c r="Y805" s="1" t="s">
        <v>40</v>
      </c>
      <c r="Z805" s="1" t="n">
        <v>3</v>
      </c>
    </row>
    <row r="806" customFormat="false" ht="15" hidden="false" customHeight="true" outlineLevel="0" collapsed="false">
      <c r="A806" s="1" t="s">
        <v>1469</v>
      </c>
      <c r="B806" s="1" t="s">
        <v>456</v>
      </c>
      <c r="C806" s="1" t="s">
        <v>74</v>
      </c>
      <c r="D806" s="1" t="s">
        <v>80</v>
      </c>
      <c r="E806" s="1" t="s">
        <v>190</v>
      </c>
      <c r="F806" s="1" t="s">
        <v>184</v>
      </c>
      <c r="G806" s="1" t="s">
        <v>56</v>
      </c>
      <c r="H806" s="1" t="s">
        <v>57</v>
      </c>
      <c r="I806" s="1" t="s">
        <v>83</v>
      </c>
      <c r="J806" s="1" t="s">
        <v>35</v>
      </c>
      <c r="K806" s="1" t="s">
        <v>71</v>
      </c>
      <c r="L806" s="1" t="s">
        <v>136</v>
      </c>
      <c r="M806" s="1" t="s">
        <v>50</v>
      </c>
      <c r="N806" s="1" t="n">
        <v>15999</v>
      </c>
      <c r="O806" s="1" t="n">
        <v>30</v>
      </c>
      <c r="P806" s="1" t="n">
        <v>4799.7</v>
      </c>
      <c r="Q806" s="1" t="n">
        <v>11199.3</v>
      </c>
      <c r="R806" s="1" t="n">
        <v>2015.87</v>
      </c>
      <c r="S806" s="1" t="n">
        <v>9183.43</v>
      </c>
      <c r="T806" s="1" t="n">
        <v>4457.45</v>
      </c>
      <c r="U806" s="1" t="n">
        <v>4725.98</v>
      </c>
      <c r="V806" s="1" t="n">
        <v>51.46</v>
      </c>
      <c r="W806" s="1" t="s">
        <v>39</v>
      </c>
      <c r="Y806" s="1" t="s">
        <v>40</v>
      </c>
      <c r="Z806" s="1" t="n">
        <v>0</v>
      </c>
    </row>
    <row r="807" customFormat="false" ht="15" hidden="false" customHeight="true" outlineLevel="0" collapsed="false">
      <c r="A807" s="1" t="s">
        <v>1470</v>
      </c>
      <c r="B807" s="1" t="s">
        <v>366</v>
      </c>
      <c r="C807" s="1" t="s">
        <v>178</v>
      </c>
      <c r="D807" s="1" t="s">
        <v>168</v>
      </c>
      <c r="E807" s="1" t="s">
        <v>169</v>
      </c>
      <c r="F807" s="1" t="s">
        <v>187</v>
      </c>
      <c r="G807" s="1" t="s">
        <v>97</v>
      </c>
      <c r="H807" s="1" t="s">
        <v>69</v>
      </c>
      <c r="I807" s="1" t="s">
        <v>34</v>
      </c>
      <c r="J807" s="1" t="s">
        <v>77</v>
      </c>
      <c r="K807" s="1" t="s">
        <v>71</v>
      </c>
      <c r="L807" s="1" t="s">
        <v>136</v>
      </c>
      <c r="M807" s="1" t="s">
        <v>38</v>
      </c>
      <c r="N807" s="1" t="n">
        <v>4999</v>
      </c>
      <c r="O807" s="1" t="n">
        <v>50</v>
      </c>
      <c r="P807" s="1" t="n">
        <v>2499.5</v>
      </c>
      <c r="Q807" s="1" t="n">
        <v>2499.5</v>
      </c>
      <c r="R807" s="1" t="n">
        <v>449.91</v>
      </c>
      <c r="S807" s="1" t="n">
        <v>2049.59</v>
      </c>
      <c r="T807" s="1" t="n">
        <v>726.89</v>
      </c>
      <c r="U807" s="1" t="n">
        <v>1322.7</v>
      </c>
      <c r="V807" s="1" t="n">
        <v>64.53</v>
      </c>
      <c r="W807" s="1" t="s">
        <v>39</v>
      </c>
      <c r="X807" s="1" t="n">
        <v>3.2</v>
      </c>
      <c r="Y807" s="1" t="s">
        <v>40</v>
      </c>
      <c r="Z807" s="1" t="n">
        <v>0</v>
      </c>
    </row>
    <row r="808" customFormat="false" ht="15" hidden="false" customHeight="true" outlineLevel="0" collapsed="false">
      <c r="A808" s="1" t="s">
        <v>1471</v>
      </c>
      <c r="B808" s="1" t="s">
        <v>1337</v>
      </c>
      <c r="C808" s="1" t="s">
        <v>88</v>
      </c>
      <c r="D808" s="1" t="s">
        <v>80</v>
      </c>
      <c r="E808" s="1" t="s">
        <v>81</v>
      </c>
      <c r="F808" s="1" t="s">
        <v>187</v>
      </c>
      <c r="G808" s="1" t="s">
        <v>97</v>
      </c>
      <c r="H808" s="1" t="s">
        <v>69</v>
      </c>
      <c r="I808" s="1" t="s">
        <v>34</v>
      </c>
      <c r="J808" s="1" t="s">
        <v>35</v>
      </c>
      <c r="K808" s="1" t="s">
        <v>112</v>
      </c>
      <c r="L808" s="1" t="s">
        <v>49</v>
      </c>
      <c r="M808" s="1" t="s">
        <v>38</v>
      </c>
      <c r="N808" s="1" t="n">
        <v>12999</v>
      </c>
      <c r="O808" s="1" t="n">
        <v>10</v>
      </c>
      <c r="P808" s="1" t="n">
        <v>1299.9</v>
      </c>
      <c r="Q808" s="1" t="n">
        <v>11699.1</v>
      </c>
      <c r="R808" s="1" t="n">
        <v>2105.84</v>
      </c>
      <c r="S808" s="1" t="n">
        <v>9593.26</v>
      </c>
      <c r="T808" s="1" t="n">
        <v>4174.38</v>
      </c>
      <c r="U808" s="1" t="n">
        <v>5418.88</v>
      </c>
      <c r="V808" s="1" t="n">
        <v>56.49</v>
      </c>
      <c r="W808" s="1" t="s">
        <v>39</v>
      </c>
      <c r="X808" s="1" t="n">
        <v>3</v>
      </c>
      <c r="Y808" s="1" t="s">
        <v>40</v>
      </c>
      <c r="Z808" s="1" t="n">
        <v>1</v>
      </c>
    </row>
    <row r="809" customFormat="false" ht="15" hidden="false" customHeight="true" outlineLevel="0" collapsed="false">
      <c r="A809" s="1" t="s">
        <v>1472</v>
      </c>
      <c r="B809" s="1" t="s">
        <v>385</v>
      </c>
      <c r="C809" s="1" t="s">
        <v>167</v>
      </c>
      <c r="D809" s="1" t="s">
        <v>80</v>
      </c>
      <c r="E809" s="1" t="s">
        <v>193</v>
      </c>
      <c r="F809" s="1" t="s">
        <v>156</v>
      </c>
      <c r="G809" s="1" t="s">
        <v>68</v>
      </c>
      <c r="H809" s="1" t="s">
        <v>57</v>
      </c>
      <c r="I809" s="1" t="s">
        <v>58</v>
      </c>
      <c r="J809" s="1" t="s">
        <v>35</v>
      </c>
      <c r="K809" s="1" t="s">
        <v>60</v>
      </c>
      <c r="L809" s="1" t="s">
        <v>49</v>
      </c>
      <c r="M809" s="1" t="s">
        <v>38</v>
      </c>
      <c r="N809" s="1" t="n">
        <v>8999</v>
      </c>
      <c r="O809" s="1" t="n">
        <v>40</v>
      </c>
      <c r="P809" s="1" t="n">
        <v>3599.6</v>
      </c>
      <c r="Q809" s="1" t="n">
        <v>5399.4</v>
      </c>
      <c r="R809" s="1" t="n">
        <v>971.89</v>
      </c>
      <c r="S809" s="1" t="n">
        <v>4427.51</v>
      </c>
      <c r="T809" s="1" t="n">
        <v>2484.81</v>
      </c>
      <c r="U809" s="1" t="n">
        <v>1942.7</v>
      </c>
      <c r="V809" s="1" t="n">
        <v>43.88</v>
      </c>
      <c r="W809" s="1" t="s">
        <v>39</v>
      </c>
      <c r="X809" s="1" t="n">
        <v>3.8</v>
      </c>
      <c r="Y809" s="1" t="s">
        <v>40</v>
      </c>
      <c r="Z809" s="1" t="n">
        <v>0</v>
      </c>
    </row>
    <row r="810" customFormat="false" ht="15" hidden="false" customHeight="true" outlineLevel="0" collapsed="false">
      <c r="A810" s="1" t="s">
        <v>1473</v>
      </c>
      <c r="B810" s="1" t="s">
        <v>382</v>
      </c>
      <c r="C810" s="1" t="s">
        <v>88</v>
      </c>
      <c r="D810" s="1" t="s">
        <v>53</v>
      </c>
      <c r="E810" s="1" t="s">
        <v>116</v>
      </c>
      <c r="F810" s="1" t="s">
        <v>125</v>
      </c>
      <c r="G810" s="1" t="s">
        <v>108</v>
      </c>
      <c r="H810" s="1" t="s">
        <v>69</v>
      </c>
      <c r="I810" s="1" t="s">
        <v>83</v>
      </c>
      <c r="J810" s="1" t="s">
        <v>59</v>
      </c>
      <c r="K810" s="1" t="s">
        <v>112</v>
      </c>
      <c r="L810" s="1" t="s">
        <v>49</v>
      </c>
      <c r="M810" s="1" t="s">
        <v>50</v>
      </c>
      <c r="N810" s="1" t="n">
        <v>9999</v>
      </c>
      <c r="O810" s="1" t="n">
        <v>0</v>
      </c>
      <c r="P810" s="1" t="n">
        <v>0</v>
      </c>
      <c r="Q810" s="1" t="n">
        <v>9999</v>
      </c>
      <c r="R810" s="1" t="n">
        <v>1799.82</v>
      </c>
      <c r="S810" s="1" t="n">
        <v>8199.18</v>
      </c>
      <c r="T810" s="1" t="n">
        <v>3230.63</v>
      </c>
      <c r="U810" s="1" t="n">
        <v>4968.55</v>
      </c>
      <c r="V810" s="1" t="n">
        <v>60.6</v>
      </c>
      <c r="W810" s="1" t="s">
        <v>39</v>
      </c>
      <c r="X810" s="1" t="n">
        <v>4</v>
      </c>
      <c r="Y810" s="1" t="s">
        <v>40</v>
      </c>
      <c r="Z810" s="1" t="n">
        <v>0</v>
      </c>
    </row>
    <row r="811" customFormat="false" ht="15" hidden="false" customHeight="true" outlineLevel="0" collapsed="false">
      <c r="A811" s="1" t="s">
        <v>1474</v>
      </c>
      <c r="B811" s="1" t="s">
        <v>225</v>
      </c>
      <c r="C811" s="1" t="s">
        <v>74</v>
      </c>
      <c r="D811" s="1" t="s">
        <v>94</v>
      </c>
      <c r="E811" s="1" t="s">
        <v>95</v>
      </c>
      <c r="F811" s="1" t="s">
        <v>150</v>
      </c>
      <c r="G811" s="1" t="s">
        <v>32</v>
      </c>
      <c r="H811" s="1" t="s">
        <v>57</v>
      </c>
      <c r="I811" s="1" t="s">
        <v>83</v>
      </c>
      <c r="J811" s="1" t="s">
        <v>77</v>
      </c>
      <c r="K811" s="1" t="s">
        <v>112</v>
      </c>
      <c r="L811" s="1" t="s">
        <v>37</v>
      </c>
      <c r="M811" s="1" t="s">
        <v>50</v>
      </c>
      <c r="N811" s="1" t="n">
        <v>6999</v>
      </c>
      <c r="O811" s="1" t="n">
        <v>10</v>
      </c>
      <c r="P811" s="1" t="n">
        <v>699.9</v>
      </c>
      <c r="Q811" s="1" t="n">
        <v>6299.1</v>
      </c>
      <c r="R811" s="1" t="n">
        <v>1133.84</v>
      </c>
      <c r="S811" s="1" t="n">
        <v>5165.26</v>
      </c>
      <c r="T811" s="1" t="n">
        <v>2701.87</v>
      </c>
      <c r="U811" s="1" t="n">
        <v>2463.39</v>
      </c>
      <c r="V811" s="1" t="n">
        <v>47.69</v>
      </c>
      <c r="W811" s="1" t="s">
        <v>39</v>
      </c>
      <c r="X811" s="1" t="n">
        <v>4.4</v>
      </c>
      <c r="Y811" s="1" t="s">
        <v>40</v>
      </c>
      <c r="Z811" s="1" t="n">
        <v>0</v>
      </c>
    </row>
    <row r="812" customFormat="false" ht="15" hidden="false" customHeight="true" outlineLevel="0" collapsed="false">
      <c r="A812" s="1" t="s">
        <v>1475</v>
      </c>
      <c r="B812" s="1" t="s">
        <v>1271</v>
      </c>
      <c r="C812" s="1" t="s">
        <v>128</v>
      </c>
      <c r="D812" s="1" t="s">
        <v>168</v>
      </c>
      <c r="E812" s="1" t="s">
        <v>328</v>
      </c>
      <c r="F812" s="1" t="s">
        <v>211</v>
      </c>
      <c r="G812" s="1" t="s">
        <v>56</v>
      </c>
      <c r="H812" s="1" t="s">
        <v>69</v>
      </c>
      <c r="I812" s="1" t="s">
        <v>83</v>
      </c>
      <c r="J812" s="1" t="s">
        <v>131</v>
      </c>
      <c r="K812" s="1" t="s">
        <v>48</v>
      </c>
      <c r="L812" s="1" t="s">
        <v>113</v>
      </c>
      <c r="M812" s="1" t="s">
        <v>50</v>
      </c>
      <c r="N812" s="1" t="n">
        <v>8999</v>
      </c>
      <c r="O812" s="1" t="n">
        <v>15</v>
      </c>
      <c r="P812" s="1" t="n">
        <v>1349.85</v>
      </c>
      <c r="Q812" s="1" t="n">
        <v>7649.15</v>
      </c>
      <c r="R812" s="1" t="n">
        <v>1376.85</v>
      </c>
      <c r="S812" s="1" t="n">
        <v>6272.3</v>
      </c>
      <c r="T812" s="1" t="n">
        <v>2760.87</v>
      </c>
      <c r="U812" s="1" t="n">
        <v>3511.43</v>
      </c>
      <c r="V812" s="1" t="n">
        <v>55.98</v>
      </c>
      <c r="W812" s="1" t="s">
        <v>39</v>
      </c>
      <c r="X812" s="1" t="n">
        <v>5</v>
      </c>
      <c r="Y812" s="1" t="s">
        <v>40</v>
      </c>
      <c r="Z812" s="1" t="n">
        <v>0</v>
      </c>
    </row>
    <row r="813" customFormat="false" ht="15" hidden="false" customHeight="true" outlineLevel="0" collapsed="false">
      <c r="A813" s="1" t="s">
        <v>1476</v>
      </c>
      <c r="B813" s="1" t="s">
        <v>42</v>
      </c>
      <c r="C813" s="1" t="s">
        <v>88</v>
      </c>
      <c r="D813" s="1" t="s">
        <v>168</v>
      </c>
      <c r="E813" s="1" t="s">
        <v>169</v>
      </c>
      <c r="F813" s="1" t="s">
        <v>184</v>
      </c>
      <c r="G813" s="1" t="s">
        <v>56</v>
      </c>
      <c r="H813" s="1" t="s">
        <v>57</v>
      </c>
      <c r="I813" s="1" t="s">
        <v>83</v>
      </c>
      <c r="J813" s="1" t="s">
        <v>70</v>
      </c>
      <c r="K813" s="1" t="s">
        <v>112</v>
      </c>
      <c r="L813" s="1" t="s">
        <v>61</v>
      </c>
      <c r="M813" s="1" t="s">
        <v>62</v>
      </c>
      <c r="N813" s="1" t="n">
        <v>4999</v>
      </c>
      <c r="O813" s="1" t="n">
        <v>30</v>
      </c>
      <c r="P813" s="1" t="n">
        <v>1499.7</v>
      </c>
      <c r="Q813" s="1" t="n">
        <v>3499.3</v>
      </c>
      <c r="R813" s="1" t="n">
        <v>629.87</v>
      </c>
      <c r="S813" s="1" t="n">
        <v>2869.43</v>
      </c>
      <c r="T813" s="1" t="n">
        <v>1259.45</v>
      </c>
      <c r="U813" s="1" t="n">
        <v>1609.98</v>
      </c>
      <c r="V813" s="1" t="n">
        <v>56.11</v>
      </c>
      <c r="W813" s="1" t="s">
        <v>39</v>
      </c>
      <c r="Y813" s="1" t="s">
        <v>40</v>
      </c>
      <c r="Z813" s="1" t="n">
        <v>0</v>
      </c>
    </row>
    <row r="814" customFormat="false" ht="15" hidden="false" customHeight="true" outlineLevel="0" collapsed="false">
      <c r="A814" s="1" t="s">
        <v>1477</v>
      </c>
      <c r="B814" s="1" t="s">
        <v>680</v>
      </c>
      <c r="C814" s="1" t="s">
        <v>119</v>
      </c>
      <c r="D814" s="1" t="s">
        <v>168</v>
      </c>
      <c r="E814" s="1" t="s">
        <v>328</v>
      </c>
      <c r="F814" s="1" t="s">
        <v>211</v>
      </c>
      <c r="G814" s="1" t="s">
        <v>56</v>
      </c>
      <c r="H814" s="1" t="s">
        <v>69</v>
      </c>
      <c r="I814" s="1" t="s">
        <v>83</v>
      </c>
      <c r="J814" s="1" t="s">
        <v>35</v>
      </c>
      <c r="K814" s="1" t="s">
        <v>60</v>
      </c>
      <c r="L814" s="1" t="s">
        <v>49</v>
      </c>
      <c r="M814" s="1" t="s">
        <v>50</v>
      </c>
      <c r="N814" s="1" t="n">
        <v>8999</v>
      </c>
      <c r="O814" s="1" t="n">
        <v>10</v>
      </c>
      <c r="P814" s="1" t="n">
        <v>899.9</v>
      </c>
      <c r="Q814" s="1" t="n">
        <v>8099.1</v>
      </c>
      <c r="R814" s="1" t="n">
        <v>1457.84</v>
      </c>
      <c r="S814" s="1" t="n">
        <v>6641.26</v>
      </c>
      <c r="T814" s="1" t="n">
        <v>3393.28</v>
      </c>
      <c r="U814" s="1" t="n">
        <v>3247.98</v>
      </c>
      <c r="V814" s="1" t="n">
        <v>48.91</v>
      </c>
      <c r="W814" s="1" t="s">
        <v>39</v>
      </c>
      <c r="X814" s="1" t="n">
        <v>3.8</v>
      </c>
      <c r="Y814" s="1" t="s">
        <v>40</v>
      </c>
      <c r="Z814" s="1" t="n">
        <v>0</v>
      </c>
    </row>
    <row r="815" customFormat="false" ht="15" hidden="false" customHeight="true" outlineLevel="0" collapsed="false">
      <c r="A815" s="1" t="s">
        <v>1478</v>
      </c>
      <c r="B815" s="1" t="s">
        <v>683</v>
      </c>
      <c r="C815" s="1" t="s">
        <v>88</v>
      </c>
      <c r="D815" s="1" t="s">
        <v>123</v>
      </c>
      <c r="E815" s="1" t="s">
        <v>147</v>
      </c>
      <c r="F815" s="1" t="s">
        <v>211</v>
      </c>
      <c r="G815" s="1" t="s">
        <v>56</v>
      </c>
      <c r="H815" s="1" t="s">
        <v>69</v>
      </c>
      <c r="I815" s="1" t="s">
        <v>58</v>
      </c>
      <c r="J815" s="1" t="s">
        <v>70</v>
      </c>
      <c r="K815" s="1" t="s">
        <v>84</v>
      </c>
      <c r="L815" s="1" t="s">
        <v>85</v>
      </c>
      <c r="M815" s="1" t="s">
        <v>62</v>
      </c>
      <c r="N815" s="1" t="n">
        <v>6999</v>
      </c>
      <c r="O815" s="1" t="n">
        <v>15</v>
      </c>
      <c r="P815" s="1" t="n">
        <v>1049.85</v>
      </c>
      <c r="Q815" s="1" t="n">
        <v>5949.15</v>
      </c>
      <c r="R815" s="1" t="n">
        <v>1070.85</v>
      </c>
      <c r="S815" s="1" t="n">
        <v>4878.3</v>
      </c>
      <c r="T815" s="1" t="n">
        <v>2570.96</v>
      </c>
      <c r="U815" s="1" t="n">
        <v>2307.34</v>
      </c>
      <c r="V815" s="1" t="n">
        <v>47.3</v>
      </c>
      <c r="W815" s="1" t="s">
        <v>39</v>
      </c>
      <c r="X815" s="1" t="n">
        <v>3</v>
      </c>
      <c r="Y815" s="1" t="s">
        <v>40</v>
      </c>
      <c r="Z815" s="1" t="n">
        <v>0</v>
      </c>
    </row>
    <row r="816" customFormat="false" ht="15" hidden="false" customHeight="true" outlineLevel="0" collapsed="false">
      <c r="A816" s="1" t="s">
        <v>1479</v>
      </c>
      <c r="B816" s="1" t="s">
        <v>1480</v>
      </c>
      <c r="C816" s="1" t="s">
        <v>178</v>
      </c>
      <c r="D816" s="1" t="s">
        <v>44</v>
      </c>
      <c r="E816" s="1" t="s">
        <v>221</v>
      </c>
      <c r="F816" s="1" t="s">
        <v>46</v>
      </c>
      <c r="G816" s="1" t="s">
        <v>47</v>
      </c>
      <c r="H816" s="1" t="s">
        <v>33</v>
      </c>
      <c r="I816" s="1" t="s">
        <v>58</v>
      </c>
      <c r="J816" s="1" t="s">
        <v>59</v>
      </c>
      <c r="K816" s="1" t="s">
        <v>84</v>
      </c>
      <c r="L816" s="1" t="s">
        <v>113</v>
      </c>
      <c r="M816" s="1" t="s">
        <v>62</v>
      </c>
      <c r="N816" s="1" t="n">
        <v>16999</v>
      </c>
      <c r="O816" s="1" t="n">
        <v>30</v>
      </c>
      <c r="P816" s="1" t="n">
        <v>5099.7</v>
      </c>
      <c r="Q816" s="1" t="n">
        <v>11899.3</v>
      </c>
      <c r="R816" s="1" t="n">
        <v>2141.87</v>
      </c>
      <c r="S816" s="1" t="n">
        <v>9757.43</v>
      </c>
      <c r="T816" s="1" t="n">
        <v>4963.7</v>
      </c>
      <c r="U816" s="1" t="n">
        <v>4793.73</v>
      </c>
      <c r="V816" s="1" t="n">
        <v>49.13</v>
      </c>
      <c r="W816" s="1" t="s">
        <v>39</v>
      </c>
      <c r="Y816" s="1" t="s">
        <v>40</v>
      </c>
      <c r="Z816" s="1" t="n">
        <v>0</v>
      </c>
    </row>
    <row r="817" customFormat="false" ht="15" hidden="false" customHeight="true" outlineLevel="0" collapsed="false">
      <c r="A817" s="1" t="s">
        <v>1481</v>
      </c>
      <c r="B817" s="1" t="s">
        <v>435</v>
      </c>
      <c r="C817" s="1" t="s">
        <v>128</v>
      </c>
      <c r="D817" s="1" t="s">
        <v>29</v>
      </c>
      <c r="E817" s="1" t="s">
        <v>30</v>
      </c>
      <c r="F817" s="1" t="s">
        <v>194</v>
      </c>
      <c r="G817" s="1" t="s">
        <v>103</v>
      </c>
      <c r="H817" s="1" t="s">
        <v>69</v>
      </c>
      <c r="I817" s="1" t="s">
        <v>83</v>
      </c>
      <c r="J817" s="1" t="s">
        <v>35</v>
      </c>
      <c r="K817" s="1" t="s">
        <v>71</v>
      </c>
      <c r="L817" s="1" t="s">
        <v>136</v>
      </c>
      <c r="M817" s="1" t="s">
        <v>62</v>
      </c>
      <c r="N817" s="1" t="n">
        <v>7999</v>
      </c>
      <c r="O817" s="1" t="n">
        <v>40</v>
      </c>
      <c r="P817" s="1" t="n">
        <v>3199.6</v>
      </c>
      <c r="Q817" s="1" t="n">
        <v>4799.4</v>
      </c>
      <c r="R817" s="1" t="n">
        <v>863.89</v>
      </c>
      <c r="S817" s="1" t="n">
        <v>3935.51</v>
      </c>
      <c r="T817" s="1" t="n">
        <v>1932.71</v>
      </c>
      <c r="U817" s="1" t="n">
        <v>2002.8</v>
      </c>
      <c r="V817" s="1" t="n">
        <v>50.89</v>
      </c>
      <c r="W817" s="1" t="s">
        <v>39</v>
      </c>
      <c r="X817" s="1" t="n">
        <v>4.2</v>
      </c>
      <c r="Y817" s="1" t="s">
        <v>40</v>
      </c>
      <c r="Z817" s="1" t="n">
        <v>0</v>
      </c>
    </row>
    <row r="818" customFormat="false" ht="15" hidden="false" customHeight="true" outlineLevel="0" collapsed="false">
      <c r="A818" s="1" t="s">
        <v>1482</v>
      </c>
      <c r="B818" s="1" t="s">
        <v>839</v>
      </c>
      <c r="C818" s="1" t="s">
        <v>100</v>
      </c>
      <c r="D818" s="1" t="s">
        <v>80</v>
      </c>
      <c r="E818" s="1" t="s">
        <v>193</v>
      </c>
      <c r="F818" s="1" t="s">
        <v>82</v>
      </c>
      <c r="G818" s="1" t="s">
        <v>56</v>
      </c>
      <c r="H818" s="1" t="s">
        <v>69</v>
      </c>
      <c r="I818" s="1" t="s">
        <v>34</v>
      </c>
      <c r="J818" s="1" t="s">
        <v>59</v>
      </c>
      <c r="K818" s="1" t="s">
        <v>36</v>
      </c>
      <c r="L818" s="1" t="s">
        <v>136</v>
      </c>
      <c r="M818" s="1" t="s">
        <v>38</v>
      </c>
      <c r="N818" s="1" t="n">
        <v>8999</v>
      </c>
      <c r="O818" s="1" t="n">
        <v>10</v>
      </c>
      <c r="P818" s="1" t="n">
        <v>899.9</v>
      </c>
      <c r="Q818" s="1" t="n">
        <v>8099.1</v>
      </c>
      <c r="R818" s="1" t="n">
        <v>1457.84</v>
      </c>
      <c r="S818" s="1" t="n">
        <v>6641.26</v>
      </c>
      <c r="T818" s="1" t="n">
        <v>2531.85</v>
      </c>
      <c r="U818" s="1" t="n">
        <v>4109.41</v>
      </c>
      <c r="V818" s="1" t="n">
        <v>61.88</v>
      </c>
      <c r="W818" s="1" t="s">
        <v>40</v>
      </c>
      <c r="Y818" s="1" t="s">
        <v>40</v>
      </c>
      <c r="Z818" s="1" t="n">
        <v>1</v>
      </c>
    </row>
    <row r="819" customFormat="false" ht="15" hidden="false" customHeight="true" outlineLevel="0" collapsed="false">
      <c r="A819" s="1" t="s">
        <v>1483</v>
      </c>
      <c r="B819" s="1" t="s">
        <v>533</v>
      </c>
      <c r="C819" s="1" t="s">
        <v>134</v>
      </c>
      <c r="D819" s="1" t="s">
        <v>168</v>
      </c>
      <c r="E819" s="1" t="s">
        <v>172</v>
      </c>
      <c r="F819" s="1" t="s">
        <v>107</v>
      </c>
      <c r="G819" s="1" t="s">
        <v>108</v>
      </c>
      <c r="H819" s="1" t="s">
        <v>33</v>
      </c>
      <c r="I819" s="1" t="s">
        <v>83</v>
      </c>
      <c r="J819" s="1" t="s">
        <v>59</v>
      </c>
      <c r="K819" s="1" t="s">
        <v>48</v>
      </c>
      <c r="L819" s="1" t="s">
        <v>113</v>
      </c>
      <c r="M819" s="1" t="s">
        <v>62</v>
      </c>
      <c r="N819" s="1" t="n">
        <v>6999</v>
      </c>
      <c r="O819" s="1" t="n">
        <v>40</v>
      </c>
      <c r="P819" s="1" t="n">
        <v>2799.6</v>
      </c>
      <c r="Q819" s="1" t="n">
        <v>4199.4</v>
      </c>
      <c r="R819" s="1" t="n">
        <v>755.89</v>
      </c>
      <c r="S819" s="1" t="n">
        <v>3443.51</v>
      </c>
      <c r="T819" s="1" t="n">
        <v>1930.28</v>
      </c>
      <c r="U819" s="1" t="n">
        <v>1513.23</v>
      </c>
      <c r="V819" s="1" t="n">
        <v>43.94</v>
      </c>
      <c r="W819" s="1" t="s">
        <v>40</v>
      </c>
      <c r="Y819" s="1" t="s">
        <v>40</v>
      </c>
      <c r="Z819" s="1" t="n">
        <v>1</v>
      </c>
    </row>
    <row r="820" customFormat="false" ht="15" hidden="false" customHeight="true" outlineLevel="0" collapsed="false">
      <c r="A820" s="1" t="s">
        <v>1484</v>
      </c>
      <c r="B820" s="1" t="s">
        <v>1402</v>
      </c>
      <c r="C820" s="1" t="s">
        <v>93</v>
      </c>
      <c r="D820" s="1" t="s">
        <v>143</v>
      </c>
      <c r="E820" s="1" t="s">
        <v>210</v>
      </c>
      <c r="F820" s="1" t="s">
        <v>46</v>
      </c>
      <c r="G820" s="1" t="s">
        <v>47</v>
      </c>
      <c r="H820" s="1" t="s">
        <v>33</v>
      </c>
      <c r="I820" s="1" t="s">
        <v>58</v>
      </c>
      <c r="J820" s="1" t="s">
        <v>35</v>
      </c>
      <c r="K820" s="1" t="s">
        <v>36</v>
      </c>
      <c r="L820" s="1" t="s">
        <v>61</v>
      </c>
      <c r="M820" s="1" t="s">
        <v>38</v>
      </c>
      <c r="N820" s="1" t="n">
        <v>18999</v>
      </c>
      <c r="O820" s="1" t="n">
        <v>40</v>
      </c>
      <c r="P820" s="1" t="n">
        <v>7599.6</v>
      </c>
      <c r="Q820" s="1" t="n">
        <v>11399.4</v>
      </c>
      <c r="R820" s="1" t="n">
        <v>2051.89</v>
      </c>
      <c r="S820" s="1" t="n">
        <v>9347.51</v>
      </c>
      <c r="T820" s="1" t="n">
        <v>5555.25</v>
      </c>
      <c r="U820" s="1" t="n">
        <v>3792.26</v>
      </c>
      <c r="V820" s="1" t="n">
        <v>40.57</v>
      </c>
      <c r="W820" s="1" t="s">
        <v>40</v>
      </c>
      <c r="Y820" s="1" t="s">
        <v>40</v>
      </c>
      <c r="Z820" s="1" t="n">
        <v>0</v>
      </c>
    </row>
    <row r="821" customFormat="false" ht="15" hidden="false" customHeight="true" outlineLevel="0" collapsed="false">
      <c r="A821" s="1" t="s">
        <v>1485</v>
      </c>
      <c r="B821" s="1" t="s">
        <v>1486</v>
      </c>
      <c r="C821" s="1" t="s">
        <v>139</v>
      </c>
      <c r="D821" s="1" t="s">
        <v>143</v>
      </c>
      <c r="E821" s="1" t="s">
        <v>162</v>
      </c>
      <c r="F821" s="1" t="s">
        <v>55</v>
      </c>
      <c r="G821" s="1" t="s">
        <v>56</v>
      </c>
      <c r="H821" s="1" t="s">
        <v>57</v>
      </c>
      <c r="I821" s="1" t="s">
        <v>34</v>
      </c>
      <c r="J821" s="1" t="s">
        <v>59</v>
      </c>
      <c r="K821" s="1" t="s">
        <v>84</v>
      </c>
      <c r="L821" s="1" t="s">
        <v>49</v>
      </c>
      <c r="M821" s="1" t="s">
        <v>38</v>
      </c>
      <c r="N821" s="1" t="n">
        <v>14999</v>
      </c>
      <c r="O821" s="1" t="n">
        <v>25</v>
      </c>
      <c r="P821" s="1" t="n">
        <v>3749.75</v>
      </c>
      <c r="Q821" s="1" t="n">
        <v>11249.25</v>
      </c>
      <c r="R821" s="1" t="n">
        <v>2024.87</v>
      </c>
      <c r="S821" s="1" t="n">
        <v>9224.38</v>
      </c>
      <c r="T821" s="1" t="n">
        <v>5007.88</v>
      </c>
      <c r="U821" s="1" t="n">
        <v>4216.5</v>
      </c>
      <c r="V821" s="1" t="n">
        <v>45.71</v>
      </c>
      <c r="W821" s="1" t="s">
        <v>40</v>
      </c>
      <c r="Y821" s="1" t="s">
        <v>39</v>
      </c>
      <c r="Z821" s="1" t="n">
        <v>0</v>
      </c>
    </row>
    <row r="822" customFormat="false" ht="15" hidden="false" customHeight="true" outlineLevel="0" collapsed="false">
      <c r="A822" s="1" t="s">
        <v>1487</v>
      </c>
      <c r="B822" s="1" t="s">
        <v>1488</v>
      </c>
      <c r="C822" s="1" t="s">
        <v>167</v>
      </c>
      <c r="D822" s="1" t="s">
        <v>94</v>
      </c>
      <c r="E822" s="1" t="s">
        <v>95</v>
      </c>
      <c r="F822" s="1" t="s">
        <v>125</v>
      </c>
      <c r="G822" s="1" t="s">
        <v>108</v>
      </c>
      <c r="H822" s="1" t="s">
        <v>69</v>
      </c>
      <c r="I822" s="1" t="s">
        <v>34</v>
      </c>
      <c r="J822" s="1" t="s">
        <v>131</v>
      </c>
      <c r="K822" s="1" t="s">
        <v>60</v>
      </c>
      <c r="L822" s="1" t="s">
        <v>85</v>
      </c>
      <c r="M822" s="1" t="s">
        <v>50</v>
      </c>
      <c r="N822" s="1" t="n">
        <v>6999</v>
      </c>
      <c r="O822" s="1" t="n">
        <v>30</v>
      </c>
      <c r="P822" s="1" t="n">
        <v>2099.7</v>
      </c>
      <c r="Q822" s="1" t="n">
        <v>4899.3</v>
      </c>
      <c r="R822" s="1" t="n">
        <v>881.87</v>
      </c>
      <c r="S822" s="1" t="n">
        <v>4017.43</v>
      </c>
      <c r="T822" s="1" t="n">
        <v>2183.15</v>
      </c>
      <c r="U822" s="1" t="n">
        <v>1834.28</v>
      </c>
      <c r="V822" s="1" t="n">
        <v>45.66</v>
      </c>
      <c r="W822" s="1" t="s">
        <v>39</v>
      </c>
      <c r="X822" s="1" t="n">
        <v>3.3</v>
      </c>
      <c r="Y822" s="1" t="s">
        <v>40</v>
      </c>
      <c r="Z822" s="1" t="n">
        <v>0</v>
      </c>
    </row>
    <row r="823" customFormat="false" ht="15" hidden="false" customHeight="true" outlineLevel="0" collapsed="false">
      <c r="A823" s="1" t="s">
        <v>1489</v>
      </c>
      <c r="B823" s="1" t="s">
        <v>988</v>
      </c>
      <c r="C823" s="1" t="s">
        <v>100</v>
      </c>
      <c r="D823" s="1" t="s">
        <v>29</v>
      </c>
      <c r="E823" s="1" t="s">
        <v>30</v>
      </c>
      <c r="F823" s="1" t="s">
        <v>75</v>
      </c>
      <c r="G823" s="1" t="s">
        <v>76</v>
      </c>
      <c r="H823" s="1" t="s">
        <v>69</v>
      </c>
      <c r="I823" s="1" t="s">
        <v>58</v>
      </c>
      <c r="J823" s="1" t="s">
        <v>131</v>
      </c>
      <c r="K823" s="1" t="s">
        <v>48</v>
      </c>
      <c r="L823" s="1" t="s">
        <v>49</v>
      </c>
      <c r="M823" s="1" t="s">
        <v>62</v>
      </c>
      <c r="N823" s="1" t="n">
        <v>7999</v>
      </c>
      <c r="O823" s="1" t="n">
        <v>10</v>
      </c>
      <c r="P823" s="1" t="n">
        <v>799.9</v>
      </c>
      <c r="Q823" s="1" t="n">
        <v>7199.1</v>
      </c>
      <c r="R823" s="1" t="n">
        <v>1295.84</v>
      </c>
      <c r="S823" s="1" t="n">
        <v>5903.26</v>
      </c>
      <c r="T823" s="1" t="n">
        <v>2025.95</v>
      </c>
      <c r="U823" s="1" t="n">
        <v>3877.31</v>
      </c>
      <c r="V823" s="1" t="n">
        <v>65.68</v>
      </c>
      <c r="W823" s="1" t="s">
        <v>40</v>
      </c>
      <c r="Y823" s="1" t="s">
        <v>40</v>
      </c>
      <c r="Z823" s="1" t="n">
        <v>1</v>
      </c>
    </row>
    <row r="824" customFormat="false" ht="15" hidden="false" customHeight="true" outlineLevel="0" collapsed="false">
      <c r="A824" s="1" t="s">
        <v>1490</v>
      </c>
      <c r="B824" s="1" t="s">
        <v>196</v>
      </c>
      <c r="C824" s="1" t="s">
        <v>74</v>
      </c>
      <c r="D824" s="1" t="s">
        <v>44</v>
      </c>
      <c r="E824" s="1" t="s">
        <v>221</v>
      </c>
      <c r="F824" s="1" t="s">
        <v>67</v>
      </c>
      <c r="G824" s="1" t="s">
        <v>68</v>
      </c>
      <c r="H824" s="1" t="s">
        <v>69</v>
      </c>
      <c r="I824" s="1" t="s">
        <v>83</v>
      </c>
      <c r="J824" s="1" t="s">
        <v>59</v>
      </c>
      <c r="K824" s="1" t="s">
        <v>71</v>
      </c>
      <c r="L824" s="1" t="s">
        <v>136</v>
      </c>
      <c r="M824" s="1" t="s">
        <v>50</v>
      </c>
      <c r="N824" s="1" t="n">
        <v>16999</v>
      </c>
      <c r="O824" s="1" t="n">
        <v>15</v>
      </c>
      <c r="P824" s="1" t="n">
        <v>2549.85</v>
      </c>
      <c r="Q824" s="1" t="n">
        <v>14449.15</v>
      </c>
      <c r="R824" s="1" t="n">
        <v>2600.85</v>
      </c>
      <c r="S824" s="1" t="n">
        <v>11848.3</v>
      </c>
      <c r="T824" s="1" t="n">
        <v>4659.19</v>
      </c>
      <c r="U824" s="1" t="n">
        <v>7189.11</v>
      </c>
      <c r="V824" s="1" t="n">
        <v>60.68</v>
      </c>
      <c r="W824" s="1" t="s">
        <v>39</v>
      </c>
      <c r="X824" s="1" t="n">
        <v>4.9</v>
      </c>
      <c r="Y824" s="1" t="s">
        <v>40</v>
      </c>
      <c r="Z824" s="1" t="n">
        <v>1</v>
      </c>
    </row>
    <row r="825" customFormat="false" ht="15" hidden="false" customHeight="true" outlineLevel="0" collapsed="false">
      <c r="A825" s="1" t="s">
        <v>1491</v>
      </c>
      <c r="B825" s="1" t="s">
        <v>1492</v>
      </c>
      <c r="C825" s="1" t="s">
        <v>93</v>
      </c>
      <c r="D825" s="1" t="s">
        <v>168</v>
      </c>
      <c r="E825" s="1" t="s">
        <v>169</v>
      </c>
      <c r="F825" s="1" t="s">
        <v>140</v>
      </c>
      <c r="G825" s="1" t="s">
        <v>97</v>
      </c>
      <c r="H825" s="1" t="s">
        <v>57</v>
      </c>
      <c r="I825" s="1" t="s">
        <v>34</v>
      </c>
      <c r="J825" s="1" t="s">
        <v>59</v>
      </c>
      <c r="K825" s="1" t="s">
        <v>71</v>
      </c>
      <c r="L825" s="1" t="s">
        <v>37</v>
      </c>
      <c r="M825" s="1" t="s">
        <v>62</v>
      </c>
      <c r="N825" s="1" t="n">
        <v>4999</v>
      </c>
      <c r="O825" s="1" t="n">
        <v>25</v>
      </c>
      <c r="P825" s="1" t="n">
        <v>1249.75</v>
      </c>
      <c r="Q825" s="1" t="n">
        <v>3749.25</v>
      </c>
      <c r="R825" s="1" t="n">
        <v>674.87</v>
      </c>
      <c r="S825" s="1" t="n">
        <v>3074.38</v>
      </c>
      <c r="T825" s="1" t="n">
        <v>1540.11</v>
      </c>
      <c r="U825" s="1" t="n">
        <v>1534.27</v>
      </c>
      <c r="V825" s="1" t="n">
        <v>49.91</v>
      </c>
      <c r="W825" s="1" t="s">
        <v>39</v>
      </c>
      <c r="X825" s="1" t="n">
        <v>4.3</v>
      </c>
      <c r="Y825" s="1" t="s">
        <v>40</v>
      </c>
      <c r="Z825" s="1" t="n">
        <v>0</v>
      </c>
    </row>
    <row r="826" customFormat="false" ht="15" hidden="false" customHeight="true" outlineLevel="0" collapsed="false">
      <c r="A826" s="1" t="s">
        <v>1493</v>
      </c>
      <c r="B826" s="1" t="s">
        <v>275</v>
      </c>
      <c r="C826" s="1" t="s">
        <v>65</v>
      </c>
      <c r="D826" s="1" t="s">
        <v>53</v>
      </c>
      <c r="E826" s="1" t="s">
        <v>216</v>
      </c>
      <c r="F826" s="1" t="s">
        <v>205</v>
      </c>
      <c r="G826" s="1" t="s">
        <v>56</v>
      </c>
      <c r="H826" s="1" t="s">
        <v>69</v>
      </c>
      <c r="I826" s="1" t="s">
        <v>83</v>
      </c>
      <c r="J826" s="1" t="s">
        <v>70</v>
      </c>
      <c r="K826" s="1" t="s">
        <v>112</v>
      </c>
      <c r="L826" s="1" t="s">
        <v>49</v>
      </c>
      <c r="M826" s="1" t="s">
        <v>38</v>
      </c>
      <c r="N826" s="1" t="n">
        <v>7499</v>
      </c>
      <c r="O826" s="1" t="n">
        <v>5</v>
      </c>
      <c r="P826" s="1" t="n">
        <v>374.95</v>
      </c>
      <c r="Q826" s="1" t="n">
        <v>7124.05</v>
      </c>
      <c r="R826" s="1" t="n">
        <v>1282.33</v>
      </c>
      <c r="S826" s="1" t="n">
        <v>5841.72</v>
      </c>
      <c r="T826" s="1" t="n">
        <v>2647.08</v>
      </c>
      <c r="U826" s="1" t="n">
        <v>3194.64</v>
      </c>
      <c r="V826" s="1" t="n">
        <v>54.69</v>
      </c>
      <c r="W826" s="1" t="s">
        <v>40</v>
      </c>
      <c r="Y826" s="1" t="s">
        <v>40</v>
      </c>
      <c r="Z826" s="1" t="n">
        <v>1</v>
      </c>
    </row>
    <row r="827" customFormat="false" ht="15" hidden="false" customHeight="true" outlineLevel="0" collapsed="false">
      <c r="A827" s="1" t="s">
        <v>1494</v>
      </c>
      <c r="B827" s="1" t="s">
        <v>304</v>
      </c>
      <c r="C827" s="1" t="s">
        <v>249</v>
      </c>
      <c r="D827" s="1" t="s">
        <v>53</v>
      </c>
      <c r="E827" s="1" t="s">
        <v>54</v>
      </c>
      <c r="F827" s="1" t="s">
        <v>89</v>
      </c>
      <c r="G827" s="1" t="s">
        <v>68</v>
      </c>
      <c r="H827" s="1" t="s">
        <v>33</v>
      </c>
      <c r="I827" s="1" t="s">
        <v>83</v>
      </c>
      <c r="J827" s="1" t="s">
        <v>131</v>
      </c>
      <c r="K827" s="1" t="s">
        <v>36</v>
      </c>
      <c r="L827" s="1" t="s">
        <v>85</v>
      </c>
      <c r="M827" s="1" t="s">
        <v>62</v>
      </c>
      <c r="N827" s="1" t="n">
        <v>11999</v>
      </c>
      <c r="O827" s="1" t="n">
        <v>0</v>
      </c>
      <c r="P827" s="1" t="n">
        <v>0</v>
      </c>
      <c r="Q827" s="1" t="n">
        <v>11999</v>
      </c>
      <c r="R827" s="1" t="n">
        <v>2159.82</v>
      </c>
      <c r="S827" s="1" t="n">
        <v>9839.18</v>
      </c>
      <c r="T827" s="1" t="n">
        <v>4731.84</v>
      </c>
      <c r="U827" s="1" t="n">
        <v>5107.34</v>
      </c>
      <c r="V827" s="1" t="n">
        <v>51.91</v>
      </c>
      <c r="W827" s="1" t="s">
        <v>39</v>
      </c>
      <c r="Y827" s="1" t="s">
        <v>40</v>
      </c>
      <c r="Z827" s="1" t="n">
        <v>0</v>
      </c>
    </row>
    <row r="828" customFormat="false" ht="15" hidden="false" customHeight="true" outlineLevel="0" collapsed="false">
      <c r="A828" s="1" t="s">
        <v>1495</v>
      </c>
      <c r="B828" s="1" t="s">
        <v>281</v>
      </c>
      <c r="C828" s="1" t="s">
        <v>43</v>
      </c>
      <c r="D828" s="1" t="s">
        <v>143</v>
      </c>
      <c r="E828" s="1" t="s">
        <v>159</v>
      </c>
      <c r="F828" s="1" t="s">
        <v>153</v>
      </c>
      <c r="G828" s="1" t="s">
        <v>76</v>
      </c>
      <c r="H828" s="1" t="s">
        <v>33</v>
      </c>
      <c r="I828" s="1" t="s">
        <v>34</v>
      </c>
      <c r="J828" s="1" t="s">
        <v>131</v>
      </c>
      <c r="K828" s="1" t="s">
        <v>60</v>
      </c>
      <c r="L828" s="1" t="s">
        <v>136</v>
      </c>
      <c r="M828" s="1" t="s">
        <v>62</v>
      </c>
      <c r="N828" s="1" t="n">
        <v>24999</v>
      </c>
      <c r="O828" s="1" t="n">
        <v>20</v>
      </c>
      <c r="P828" s="1" t="n">
        <v>4999.8</v>
      </c>
      <c r="Q828" s="1" t="n">
        <v>19999.2</v>
      </c>
      <c r="R828" s="1" t="n">
        <v>3599.86</v>
      </c>
      <c r="S828" s="1" t="n">
        <v>16399.34</v>
      </c>
      <c r="T828" s="1" t="n">
        <v>5848</v>
      </c>
      <c r="U828" s="1" t="n">
        <v>10551.34</v>
      </c>
      <c r="V828" s="1" t="n">
        <v>64.34</v>
      </c>
      <c r="W828" s="1" t="s">
        <v>39</v>
      </c>
      <c r="X828" s="1" t="n">
        <v>3.8</v>
      </c>
      <c r="Y828" s="1" t="s">
        <v>40</v>
      </c>
      <c r="Z828" s="1" t="n">
        <v>0</v>
      </c>
    </row>
    <row r="829" customFormat="false" ht="15" hidden="false" customHeight="true" outlineLevel="0" collapsed="false">
      <c r="A829" s="1" t="s">
        <v>1496</v>
      </c>
      <c r="B829" s="1" t="s">
        <v>360</v>
      </c>
      <c r="C829" s="1" t="s">
        <v>65</v>
      </c>
      <c r="D829" s="1" t="s">
        <v>44</v>
      </c>
      <c r="E829" s="1" t="s">
        <v>66</v>
      </c>
      <c r="F829" s="1" t="s">
        <v>82</v>
      </c>
      <c r="G829" s="1" t="s">
        <v>56</v>
      </c>
      <c r="H829" s="1" t="s">
        <v>69</v>
      </c>
      <c r="I829" s="1" t="s">
        <v>83</v>
      </c>
      <c r="J829" s="1" t="s">
        <v>77</v>
      </c>
      <c r="K829" s="1" t="s">
        <v>112</v>
      </c>
      <c r="L829" s="1" t="s">
        <v>49</v>
      </c>
      <c r="M829" s="1" t="s">
        <v>50</v>
      </c>
      <c r="N829" s="1" t="n">
        <v>12999</v>
      </c>
      <c r="O829" s="1" t="n">
        <v>0</v>
      </c>
      <c r="P829" s="1" t="n">
        <v>0</v>
      </c>
      <c r="Q829" s="1" t="n">
        <v>12999</v>
      </c>
      <c r="R829" s="1" t="n">
        <v>2339.82</v>
      </c>
      <c r="S829" s="1" t="n">
        <v>10659.18</v>
      </c>
      <c r="T829" s="1" t="n">
        <v>4787.84</v>
      </c>
      <c r="U829" s="1" t="n">
        <v>5871.34</v>
      </c>
      <c r="V829" s="1" t="n">
        <v>55.08</v>
      </c>
      <c r="W829" s="1" t="s">
        <v>39</v>
      </c>
      <c r="Y829" s="1" t="s">
        <v>40</v>
      </c>
      <c r="Z829" s="1" t="n">
        <v>0</v>
      </c>
    </row>
    <row r="830" customFormat="false" ht="15" hidden="false" customHeight="true" outlineLevel="0" collapsed="false">
      <c r="A830" s="1" t="s">
        <v>1497</v>
      </c>
      <c r="B830" s="1" t="s">
        <v>1346</v>
      </c>
      <c r="C830" s="1" t="s">
        <v>119</v>
      </c>
      <c r="D830" s="1" t="s">
        <v>168</v>
      </c>
      <c r="E830" s="1" t="s">
        <v>197</v>
      </c>
      <c r="F830" s="1" t="s">
        <v>269</v>
      </c>
      <c r="G830" s="1" t="s">
        <v>108</v>
      </c>
      <c r="H830" s="1" t="s">
        <v>57</v>
      </c>
      <c r="I830" s="1" t="s">
        <v>34</v>
      </c>
      <c r="J830" s="1" t="s">
        <v>59</v>
      </c>
      <c r="K830" s="1" t="s">
        <v>71</v>
      </c>
      <c r="L830" s="1" t="s">
        <v>136</v>
      </c>
      <c r="M830" s="1" t="s">
        <v>62</v>
      </c>
      <c r="N830" s="1" t="n">
        <v>8499</v>
      </c>
      <c r="O830" s="1" t="n">
        <v>40</v>
      </c>
      <c r="P830" s="1" t="n">
        <v>3399.6</v>
      </c>
      <c r="Q830" s="1" t="n">
        <v>5099.4</v>
      </c>
      <c r="R830" s="1" t="n">
        <v>917.89</v>
      </c>
      <c r="S830" s="1" t="n">
        <v>4181.51</v>
      </c>
      <c r="T830" s="1" t="n">
        <v>2564.93</v>
      </c>
      <c r="U830" s="1" t="n">
        <v>1616.58</v>
      </c>
      <c r="V830" s="1" t="n">
        <v>38.66</v>
      </c>
      <c r="W830" s="1" t="s">
        <v>39</v>
      </c>
      <c r="X830" s="1" t="n">
        <v>3.7</v>
      </c>
      <c r="Y830" s="1" t="s">
        <v>40</v>
      </c>
      <c r="Z830" s="1" t="n">
        <v>1</v>
      </c>
    </row>
    <row r="831" customFormat="false" ht="15" hidden="false" customHeight="true" outlineLevel="0" collapsed="false">
      <c r="A831" s="1" t="s">
        <v>1498</v>
      </c>
      <c r="B831" s="1" t="s">
        <v>986</v>
      </c>
      <c r="C831" s="1" t="s">
        <v>93</v>
      </c>
      <c r="D831" s="1" t="s">
        <v>168</v>
      </c>
      <c r="E831" s="1" t="s">
        <v>197</v>
      </c>
      <c r="F831" s="1" t="s">
        <v>102</v>
      </c>
      <c r="G831" s="1" t="s">
        <v>103</v>
      </c>
      <c r="H831" s="1" t="s">
        <v>33</v>
      </c>
      <c r="I831" s="1" t="s">
        <v>83</v>
      </c>
      <c r="J831" s="1" t="s">
        <v>77</v>
      </c>
      <c r="K831" s="1" t="s">
        <v>60</v>
      </c>
      <c r="L831" s="1" t="s">
        <v>37</v>
      </c>
      <c r="M831" s="1" t="s">
        <v>62</v>
      </c>
      <c r="N831" s="1" t="n">
        <v>8499</v>
      </c>
      <c r="O831" s="1" t="n">
        <v>0</v>
      </c>
      <c r="P831" s="1" t="n">
        <v>0</v>
      </c>
      <c r="Q831" s="1" t="n">
        <v>8499</v>
      </c>
      <c r="R831" s="1" t="n">
        <v>1529.82</v>
      </c>
      <c r="S831" s="1" t="n">
        <v>6969.18</v>
      </c>
      <c r="T831" s="1" t="n">
        <v>3455.78</v>
      </c>
      <c r="U831" s="1" t="n">
        <v>3513.4</v>
      </c>
      <c r="V831" s="1" t="n">
        <v>50.41</v>
      </c>
      <c r="W831" s="1" t="s">
        <v>39</v>
      </c>
      <c r="Y831" s="1" t="s">
        <v>40</v>
      </c>
      <c r="Z831" s="1" t="n">
        <v>1</v>
      </c>
    </row>
    <row r="832" customFormat="false" ht="15" hidden="false" customHeight="true" outlineLevel="0" collapsed="false">
      <c r="A832" s="1" t="s">
        <v>1499</v>
      </c>
      <c r="B832" s="1" t="s">
        <v>1500</v>
      </c>
      <c r="C832" s="1" t="s">
        <v>264</v>
      </c>
      <c r="D832" s="1" t="s">
        <v>123</v>
      </c>
      <c r="E832" s="1" t="s">
        <v>124</v>
      </c>
      <c r="F832" s="1" t="s">
        <v>107</v>
      </c>
      <c r="G832" s="1" t="s">
        <v>108</v>
      </c>
      <c r="H832" s="1" t="s">
        <v>33</v>
      </c>
      <c r="I832" s="1" t="s">
        <v>34</v>
      </c>
      <c r="J832" s="1" t="s">
        <v>131</v>
      </c>
      <c r="K832" s="1" t="s">
        <v>90</v>
      </c>
      <c r="L832" s="1" t="s">
        <v>49</v>
      </c>
      <c r="M832" s="1" t="s">
        <v>38</v>
      </c>
      <c r="N832" s="1" t="n">
        <v>4999</v>
      </c>
      <c r="O832" s="1" t="n">
        <v>0</v>
      </c>
      <c r="P832" s="1" t="n">
        <v>0</v>
      </c>
      <c r="Q832" s="1" t="n">
        <v>4999</v>
      </c>
      <c r="R832" s="1" t="n">
        <v>899.82</v>
      </c>
      <c r="S832" s="1" t="n">
        <v>4099.18</v>
      </c>
      <c r="T832" s="1" t="n">
        <v>1755.16</v>
      </c>
      <c r="U832" s="1" t="n">
        <v>2344.02</v>
      </c>
      <c r="V832" s="1" t="n">
        <v>57.18</v>
      </c>
      <c r="W832" s="1" t="s">
        <v>40</v>
      </c>
      <c r="Y832" s="1" t="s">
        <v>40</v>
      </c>
      <c r="Z832" s="1" t="n">
        <v>0</v>
      </c>
    </row>
    <row r="833" customFormat="false" ht="15" hidden="false" customHeight="true" outlineLevel="0" collapsed="false">
      <c r="A833" s="1" t="s">
        <v>1501</v>
      </c>
      <c r="B833" s="1" t="s">
        <v>692</v>
      </c>
      <c r="C833" s="1" t="s">
        <v>167</v>
      </c>
      <c r="D833" s="1" t="s">
        <v>143</v>
      </c>
      <c r="E833" s="1" t="s">
        <v>243</v>
      </c>
      <c r="F833" s="1" t="s">
        <v>140</v>
      </c>
      <c r="G833" s="1" t="s">
        <v>97</v>
      </c>
      <c r="H833" s="1" t="s">
        <v>57</v>
      </c>
      <c r="I833" s="1" t="s">
        <v>34</v>
      </c>
      <c r="J833" s="1" t="s">
        <v>131</v>
      </c>
      <c r="K833" s="1" t="s">
        <v>36</v>
      </c>
      <c r="L833" s="1" t="s">
        <v>136</v>
      </c>
      <c r="M833" s="1" t="s">
        <v>50</v>
      </c>
      <c r="N833" s="1" t="n">
        <v>22999</v>
      </c>
      <c r="O833" s="1" t="n">
        <v>0</v>
      </c>
      <c r="P833" s="1" t="n">
        <v>0</v>
      </c>
      <c r="Q833" s="1" t="n">
        <v>22999</v>
      </c>
      <c r="R833" s="1" t="n">
        <v>4139.82</v>
      </c>
      <c r="S833" s="1" t="n">
        <v>18859.18</v>
      </c>
      <c r="T833" s="1" t="n">
        <v>8015.73</v>
      </c>
      <c r="U833" s="1" t="n">
        <v>10843.45</v>
      </c>
      <c r="V833" s="1" t="n">
        <v>57.5</v>
      </c>
      <c r="W833" s="1" t="s">
        <v>39</v>
      </c>
      <c r="X833" s="1" t="n">
        <v>3</v>
      </c>
      <c r="Y833" s="1" t="s">
        <v>40</v>
      </c>
      <c r="Z833" s="1" t="n">
        <v>1</v>
      </c>
    </row>
    <row r="834" customFormat="false" ht="15" hidden="false" customHeight="true" outlineLevel="0" collapsed="false">
      <c r="A834" s="1" t="s">
        <v>1502</v>
      </c>
      <c r="B834" s="1" t="s">
        <v>487</v>
      </c>
      <c r="C834" s="1" t="s">
        <v>88</v>
      </c>
      <c r="D834" s="1" t="s">
        <v>29</v>
      </c>
      <c r="E834" s="1" t="s">
        <v>129</v>
      </c>
      <c r="F834" s="1" t="s">
        <v>140</v>
      </c>
      <c r="G834" s="1" t="s">
        <v>97</v>
      </c>
      <c r="H834" s="1" t="s">
        <v>57</v>
      </c>
      <c r="I834" s="1" t="s">
        <v>34</v>
      </c>
      <c r="J834" s="1" t="s">
        <v>70</v>
      </c>
      <c r="K834" s="1" t="s">
        <v>36</v>
      </c>
      <c r="L834" s="1" t="s">
        <v>113</v>
      </c>
      <c r="M834" s="1" t="s">
        <v>62</v>
      </c>
      <c r="N834" s="1" t="n">
        <v>29999</v>
      </c>
      <c r="O834" s="1" t="n">
        <v>0</v>
      </c>
      <c r="P834" s="1" t="n">
        <v>0</v>
      </c>
      <c r="Q834" s="1" t="n">
        <v>29999</v>
      </c>
      <c r="R834" s="1" t="n">
        <v>5399.82</v>
      </c>
      <c r="S834" s="1" t="n">
        <v>24599.18</v>
      </c>
      <c r="T834" s="1" t="n">
        <v>10957.07</v>
      </c>
      <c r="U834" s="1" t="n">
        <v>13642.11</v>
      </c>
      <c r="V834" s="1" t="n">
        <v>55.46</v>
      </c>
      <c r="W834" s="1" t="s">
        <v>40</v>
      </c>
      <c r="Y834" s="1" t="s">
        <v>40</v>
      </c>
      <c r="Z834" s="1" t="n">
        <v>1</v>
      </c>
    </row>
    <row r="835" customFormat="false" ht="15" hidden="false" customHeight="true" outlineLevel="0" collapsed="false">
      <c r="A835" s="1" t="s">
        <v>1503</v>
      </c>
      <c r="B835" s="1" t="s">
        <v>1300</v>
      </c>
      <c r="C835" s="1" t="s">
        <v>139</v>
      </c>
      <c r="D835" s="1" t="s">
        <v>80</v>
      </c>
      <c r="E835" s="1" t="s">
        <v>190</v>
      </c>
      <c r="F835" s="1" t="s">
        <v>107</v>
      </c>
      <c r="G835" s="1" t="s">
        <v>108</v>
      </c>
      <c r="H835" s="1" t="s">
        <v>33</v>
      </c>
      <c r="I835" s="1" t="s">
        <v>58</v>
      </c>
      <c r="J835" s="1" t="s">
        <v>131</v>
      </c>
      <c r="K835" s="1" t="s">
        <v>48</v>
      </c>
      <c r="L835" s="1" t="s">
        <v>136</v>
      </c>
      <c r="M835" s="1" t="s">
        <v>38</v>
      </c>
      <c r="N835" s="1" t="n">
        <v>15999</v>
      </c>
      <c r="O835" s="1" t="n">
        <v>0</v>
      </c>
      <c r="P835" s="1" t="n">
        <v>0</v>
      </c>
      <c r="Q835" s="1" t="n">
        <v>15999</v>
      </c>
      <c r="R835" s="1" t="n">
        <v>2879.82</v>
      </c>
      <c r="S835" s="1" t="n">
        <v>13119.18</v>
      </c>
      <c r="T835" s="1" t="n">
        <v>5703.42</v>
      </c>
      <c r="U835" s="1" t="n">
        <v>7415.76</v>
      </c>
      <c r="V835" s="1" t="n">
        <v>56.53</v>
      </c>
      <c r="W835" s="1" t="s">
        <v>40</v>
      </c>
      <c r="Y835" s="1" t="s">
        <v>39</v>
      </c>
      <c r="Z835" s="1" t="n">
        <v>0</v>
      </c>
    </row>
    <row r="836" customFormat="false" ht="15" hidden="false" customHeight="true" outlineLevel="0" collapsed="false">
      <c r="A836" s="1" t="s">
        <v>1504</v>
      </c>
      <c r="B836" s="1" t="s">
        <v>207</v>
      </c>
      <c r="C836" s="1" t="s">
        <v>167</v>
      </c>
      <c r="D836" s="1" t="s">
        <v>44</v>
      </c>
      <c r="E836" s="1" t="s">
        <v>66</v>
      </c>
      <c r="F836" s="1" t="s">
        <v>194</v>
      </c>
      <c r="G836" s="1" t="s">
        <v>103</v>
      </c>
      <c r="H836" s="1" t="s">
        <v>69</v>
      </c>
      <c r="I836" s="1" t="s">
        <v>58</v>
      </c>
      <c r="J836" s="1" t="s">
        <v>35</v>
      </c>
      <c r="K836" s="1" t="s">
        <v>71</v>
      </c>
      <c r="L836" s="1" t="s">
        <v>136</v>
      </c>
      <c r="M836" s="1" t="s">
        <v>50</v>
      </c>
      <c r="N836" s="1" t="n">
        <v>12999</v>
      </c>
      <c r="O836" s="1" t="n">
        <v>30</v>
      </c>
      <c r="P836" s="1" t="n">
        <v>3899.7</v>
      </c>
      <c r="Q836" s="1" t="n">
        <v>9099.3</v>
      </c>
      <c r="R836" s="1" t="n">
        <v>1637.87</v>
      </c>
      <c r="S836" s="1" t="n">
        <v>7461.43</v>
      </c>
      <c r="T836" s="1" t="n">
        <v>3458.42</v>
      </c>
      <c r="U836" s="1" t="n">
        <v>4003.01</v>
      </c>
      <c r="V836" s="1" t="n">
        <v>53.65</v>
      </c>
      <c r="W836" s="1" t="s">
        <v>40</v>
      </c>
      <c r="Y836" s="1" t="s">
        <v>39</v>
      </c>
      <c r="Z836" s="1" t="n">
        <v>1</v>
      </c>
    </row>
    <row r="837" customFormat="false" ht="15" hidden="false" customHeight="true" outlineLevel="0" collapsed="false">
      <c r="A837" s="1" t="s">
        <v>1505</v>
      </c>
      <c r="B837" s="1" t="s">
        <v>1355</v>
      </c>
      <c r="C837" s="1" t="s">
        <v>128</v>
      </c>
      <c r="D837" s="1" t="s">
        <v>44</v>
      </c>
      <c r="E837" s="1" t="s">
        <v>221</v>
      </c>
      <c r="F837" s="1" t="s">
        <v>156</v>
      </c>
      <c r="G837" s="1" t="s">
        <v>68</v>
      </c>
      <c r="H837" s="1" t="s">
        <v>57</v>
      </c>
      <c r="I837" s="1" t="s">
        <v>34</v>
      </c>
      <c r="J837" s="1" t="s">
        <v>59</v>
      </c>
      <c r="K837" s="1" t="s">
        <v>90</v>
      </c>
      <c r="L837" s="1" t="s">
        <v>49</v>
      </c>
      <c r="M837" s="1" t="s">
        <v>38</v>
      </c>
      <c r="N837" s="1" t="n">
        <v>16999</v>
      </c>
      <c r="O837" s="1" t="n">
        <v>20</v>
      </c>
      <c r="P837" s="1" t="n">
        <v>3399.8</v>
      </c>
      <c r="Q837" s="1" t="n">
        <v>13599.2</v>
      </c>
      <c r="R837" s="1" t="n">
        <v>2447.86</v>
      </c>
      <c r="S837" s="1" t="n">
        <v>11151.34</v>
      </c>
      <c r="T837" s="1" t="n">
        <v>5534.55</v>
      </c>
      <c r="U837" s="1" t="n">
        <v>5616.79</v>
      </c>
      <c r="V837" s="1" t="n">
        <v>50.37</v>
      </c>
      <c r="W837" s="1" t="s">
        <v>39</v>
      </c>
      <c r="X837" s="1" t="n">
        <v>3.8</v>
      </c>
      <c r="Y837" s="1" t="s">
        <v>40</v>
      </c>
      <c r="Z837" s="1" t="n">
        <v>0</v>
      </c>
    </row>
    <row r="838" customFormat="false" ht="15" hidden="false" customHeight="true" outlineLevel="0" collapsed="false">
      <c r="A838" s="1" t="s">
        <v>1506</v>
      </c>
      <c r="B838" s="1" t="s">
        <v>1507</v>
      </c>
      <c r="C838" s="1" t="s">
        <v>264</v>
      </c>
      <c r="D838" s="1" t="s">
        <v>44</v>
      </c>
      <c r="E838" s="1" t="s">
        <v>66</v>
      </c>
      <c r="F838" s="1" t="s">
        <v>269</v>
      </c>
      <c r="G838" s="1" t="s">
        <v>108</v>
      </c>
      <c r="H838" s="1" t="s">
        <v>57</v>
      </c>
      <c r="I838" s="1" t="s">
        <v>58</v>
      </c>
      <c r="J838" s="1" t="s">
        <v>77</v>
      </c>
      <c r="K838" s="1" t="s">
        <v>90</v>
      </c>
      <c r="L838" s="1" t="s">
        <v>113</v>
      </c>
      <c r="M838" s="1" t="s">
        <v>38</v>
      </c>
      <c r="N838" s="1" t="n">
        <v>12999</v>
      </c>
      <c r="O838" s="1" t="n">
        <v>10</v>
      </c>
      <c r="P838" s="1" t="n">
        <v>1299.9</v>
      </c>
      <c r="Q838" s="1" t="n">
        <v>11699.1</v>
      </c>
      <c r="R838" s="1" t="n">
        <v>2105.84</v>
      </c>
      <c r="S838" s="1" t="n">
        <v>9593.26</v>
      </c>
      <c r="T838" s="1" t="n">
        <v>4698.97</v>
      </c>
      <c r="U838" s="1" t="n">
        <v>4894.29</v>
      </c>
      <c r="V838" s="1" t="n">
        <v>51.02</v>
      </c>
      <c r="W838" s="1" t="s">
        <v>39</v>
      </c>
      <c r="X838" s="1" t="n">
        <v>3.7</v>
      </c>
      <c r="Y838" s="1" t="s">
        <v>40</v>
      </c>
      <c r="Z838" s="1" t="n">
        <v>0</v>
      </c>
    </row>
    <row r="839" customFormat="false" ht="15" hidden="false" customHeight="true" outlineLevel="0" collapsed="false">
      <c r="A839" s="1" t="s">
        <v>1508</v>
      </c>
      <c r="B839" s="1" t="s">
        <v>27</v>
      </c>
      <c r="C839" s="1" t="s">
        <v>167</v>
      </c>
      <c r="D839" s="1" t="s">
        <v>94</v>
      </c>
      <c r="E839" s="1" t="s">
        <v>95</v>
      </c>
      <c r="F839" s="1" t="s">
        <v>187</v>
      </c>
      <c r="G839" s="1" t="s">
        <v>97</v>
      </c>
      <c r="H839" s="1" t="s">
        <v>69</v>
      </c>
      <c r="I839" s="1" t="s">
        <v>34</v>
      </c>
      <c r="J839" s="1" t="s">
        <v>59</v>
      </c>
      <c r="K839" s="1" t="s">
        <v>90</v>
      </c>
      <c r="L839" s="1" t="s">
        <v>85</v>
      </c>
      <c r="M839" s="1" t="s">
        <v>50</v>
      </c>
      <c r="N839" s="1" t="n">
        <v>6999</v>
      </c>
      <c r="O839" s="1" t="n">
        <v>10</v>
      </c>
      <c r="P839" s="1" t="n">
        <v>699.9</v>
      </c>
      <c r="Q839" s="1" t="n">
        <v>6299.1</v>
      </c>
      <c r="R839" s="1" t="n">
        <v>1133.84</v>
      </c>
      <c r="S839" s="1" t="n">
        <v>5165.26</v>
      </c>
      <c r="T839" s="1" t="n">
        <v>2310</v>
      </c>
      <c r="U839" s="1" t="n">
        <v>2855.26</v>
      </c>
      <c r="V839" s="1" t="n">
        <v>55.28</v>
      </c>
      <c r="W839" s="1" t="s">
        <v>40</v>
      </c>
      <c r="Y839" s="1" t="s">
        <v>40</v>
      </c>
      <c r="Z839" s="1" t="n">
        <v>0</v>
      </c>
    </row>
    <row r="840" customFormat="false" ht="15" hidden="false" customHeight="true" outlineLevel="0" collapsed="false">
      <c r="A840" s="1" t="s">
        <v>1509</v>
      </c>
      <c r="B840" s="1" t="s">
        <v>1510</v>
      </c>
      <c r="C840" s="1" t="s">
        <v>93</v>
      </c>
      <c r="D840" s="1" t="s">
        <v>44</v>
      </c>
      <c r="E840" s="1" t="s">
        <v>221</v>
      </c>
      <c r="F840" s="1" t="s">
        <v>153</v>
      </c>
      <c r="G840" s="1" t="s">
        <v>76</v>
      </c>
      <c r="H840" s="1" t="s">
        <v>33</v>
      </c>
      <c r="I840" s="1" t="s">
        <v>34</v>
      </c>
      <c r="J840" s="1" t="s">
        <v>131</v>
      </c>
      <c r="K840" s="1" t="s">
        <v>112</v>
      </c>
      <c r="L840" s="1" t="s">
        <v>49</v>
      </c>
      <c r="M840" s="1" t="s">
        <v>50</v>
      </c>
      <c r="N840" s="1" t="n">
        <v>16999</v>
      </c>
      <c r="O840" s="1" t="n">
        <v>50</v>
      </c>
      <c r="P840" s="1" t="n">
        <v>8499.5</v>
      </c>
      <c r="Q840" s="1" t="n">
        <v>8499.5</v>
      </c>
      <c r="R840" s="1" t="n">
        <v>1529.91</v>
      </c>
      <c r="S840" s="1" t="n">
        <v>6969.59</v>
      </c>
      <c r="T840" s="1" t="n">
        <v>3736.26</v>
      </c>
      <c r="U840" s="1" t="n">
        <v>3233.33</v>
      </c>
      <c r="V840" s="1" t="n">
        <v>46.39</v>
      </c>
      <c r="W840" s="1" t="s">
        <v>39</v>
      </c>
      <c r="X840" s="1" t="n">
        <v>2.9</v>
      </c>
      <c r="Y840" s="1" t="s">
        <v>40</v>
      </c>
      <c r="Z840" s="1" t="n">
        <v>0</v>
      </c>
    </row>
    <row r="841" customFormat="false" ht="15" hidden="false" customHeight="true" outlineLevel="0" collapsed="false">
      <c r="A841" s="1" t="s">
        <v>1511</v>
      </c>
      <c r="B841" s="1" t="s">
        <v>192</v>
      </c>
      <c r="C841" s="1" t="s">
        <v>139</v>
      </c>
      <c r="D841" s="1" t="s">
        <v>44</v>
      </c>
      <c r="E841" s="1" t="s">
        <v>45</v>
      </c>
      <c r="F841" s="1" t="s">
        <v>96</v>
      </c>
      <c r="G841" s="1" t="s">
        <v>97</v>
      </c>
      <c r="H841" s="1" t="s">
        <v>69</v>
      </c>
      <c r="I841" s="1" t="s">
        <v>34</v>
      </c>
      <c r="J841" s="1" t="s">
        <v>77</v>
      </c>
      <c r="K841" s="1" t="s">
        <v>71</v>
      </c>
      <c r="L841" s="1" t="s">
        <v>49</v>
      </c>
      <c r="M841" s="1" t="s">
        <v>50</v>
      </c>
      <c r="N841" s="1" t="n">
        <v>11999</v>
      </c>
      <c r="O841" s="1" t="n">
        <v>30</v>
      </c>
      <c r="P841" s="1" t="n">
        <v>3599.7</v>
      </c>
      <c r="Q841" s="1" t="n">
        <v>8399.3</v>
      </c>
      <c r="R841" s="1" t="n">
        <v>1511.87</v>
      </c>
      <c r="S841" s="1" t="n">
        <v>6887.43</v>
      </c>
      <c r="T841" s="1" t="n">
        <v>2598.75</v>
      </c>
      <c r="U841" s="1" t="n">
        <v>4288.68</v>
      </c>
      <c r="V841" s="1" t="n">
        <v>62.27</v>
      </c>
      <c r="W841" s="1" t="s">
        <v>39</v>
      </c>
      <c r="Y841" s="1" t="s">
        <v>40</v>
      </c>
      <c r="Z841" s="1" t="n">
        <v>1</v>
      </c>
    </row>
    <row r="842" customFormat="false" ht="15" hidden="false" customHeight="true" outlineLevel="0" collapsed="false">
      <c r="A842" s="1" t="s">
        <v>1512</v>
      </c>
      <c r="B842" s="1" t="s">
        <v>52</v>
      </c>
      <c r="C842" s="1" t="s">
        <v>65</v>
      </c>
      <c r="D842" s="1" t="s">
        <v>44</v>
      </c>
      <c r="E842" s="1" t="s">
        <v>45</v>
      </c>
      <c r="F842" s="1" t="s">
        <v>67</v>
      </c>
      <c r="G842" s="1" t="s">
        <v>68</v>
      </c>
      <c r="H842" s="1" t="s">
        <v>69</v>
      </c>
      <c r="I842" s="1" t="s">
        <v>34</v>
      </c>
      <c r="J842" s="1" t="s">
        <v>131</v>
      </c>
      <c r="K842" s="1" t="s">
        <v>84</v>
      </c>
      <c r="L842" s="1" t="s">
        <v>49</v>
      </c>
      <c r="M842" s="1" t="s">
        <v>62</v>
      </c>
      <c r="N842" s="1" t="n">
        <v>11999</v>
      </c>
      <c r="O842" s="1" t="n">
        <v>10</v>
      </c>
      <c r="P842" s="1" t="n">
        <v>1199.9</v>
      </c>
      <c r="Q842" s="1" t="n">
        <v>10799.1</v>
      </c>
      <c r="R842" s="1" t="n">
        <v>1943.84</v>
      </c>
      <c r="S842" s="1" t="n">
        <v>8855.26</v>
      </c>
      <c r="T842" s="1" t="n">
        <v>4069.51</v>
      </c>
      <c r="U842" s="1" t="n">
        <v>4785.75</v>
      </c>
      <c r="V842" s="1" t="n">
        <v>54.04</v>
      </c>
      <c r="W842" s="1" t="s">
        <v>40</v>
      </c>
      <c r="Y842" s="1" t="s">
        <v>40</v>
      </c>
      <c r="Z842" s="1" t="n">
        <v>1</v>
      </c>
    </row>
    <row r="843" customFormat="false" ht="15" hidden="false" customHeight="true" outlineLevel="0" collapsed="false">
      <c r="A843" s="1" t="s">
        <v>1513</v>
      </c>
      <c r="B843" s="1" t="s">
        <v>899</v>
      </c>
      <c r="C843" s="1" t="s">
        <v>119</v>
      </c>
      <c r="D843" s="1" t="s">
        <v>29</v>
      </c>
      <c r="E843" s="1" t="s">
        <v>182</v>
      </c>
      <c r="F843" s="1" t="s">
        <v>1213</v>
      </c>
      <c r="G843" s="1" t="s">
        <v>47</v>
      </c>
      <c r="H843" s="1" t="s">
        <v>57</v>
      </c>
      <c r="I843" s="1" t="s">
        <v>58</v>
      </c>
      <c r="J843" s="1" t="s">
        <v>131</v>
      </c>
      <c r="K843" s="1" t="s">
        <v>48</v>
      </c>
      <c r="L843" s="1" t="s">
        <v>136</v>
      </c>
      <c r="M843" s="1" t="s">
        <v>62</v>
      </c>
      <c r="N843" s="1" t="n">
        <v>34999</v>
      </c>
      <c r="O843" s="1" t="n">
        <v>20</v>
      </c>
      <c r="P843" s="1" t="n">
        <v>6999.8</v>
      </c>
      <c r="Q843" s="1" t="n">
        <v>27999.2</v>
      </c>
      <c r="R843" s="1" t="n">
        <v>5039.86</v>
      </c>
      <c r="S843" s="1" t="n">
        <v>22959.34</v>
      </c>
      <c r="T843" s="1" t="n">
        <v>8683.97</v>
      </c>
      <c r="U843" s="1" t="n">
        <v>14275.37</v>
      </c>
      <c r="V843" s="1" t="n">
        <v>62.18</v>
      </c>
      <c r="W843" s="1" t="s">
        <v>39</v>
      </c>
      <c r="X843" s="1" t="n">
        <v>3.4</v>
      </c>
      <c r="Y843" s="1" t="s">
        <v>40</v>
      </c>
      <c r="Z843" s="1" t="n">
        <v>0</v>
      </c>
    </row>
    <row r="844" customFormat="false" ht="15" hidden="false" customHeight="true" outlineLevel="0" collapsed="false">
      <c r="A844" s="1" t="s">
        <v>1514</v>
      </c>
      <c r="B844" s="1" t="s">
        <v>1515</v>
      </c>
      <c r="C844" s="1" t="s">
        <v>178</v>
      </c>
      <c r="D844" s="1" t="s">
        <v>123</v>
      </c>
      <c r="E844" s="1" t="s">
        <v>233</v>
      </c>
      <c r="F844" s="1" t="s">
        <v>156</v>
      </c>
      <c r="G844" s="1" t="s">
        <v>68</v>
      </c>
      <c r="H844" s="1" t="s">
        <v>57</v>
      </c>
      <c r="I844" s="1" t="s">
        <v>34</v>
      </c>
      <c r="J844" s="1" t="s">
        <v>35</v>
      </c>
      <c r="K844" s="1" t="s">
        <v>48</v>
      </c>
      <c r="L844" s="1" t="s">
        <v>61</v>
      </c>
      <c r="M844" s="1" t="s">
        <v>62</v>
      </c>
      <c r="N844" s="1" t="n">
        <v>8999</v>
      </c>
      <c r="O844" s="1" t="n">
        <v>5</v>
      </c>
      <c r="P844" s="1" t="n">
        <v>449.95</v>
      </c>
      <c r="Q844" s="1" t="n">
        <v>8549.05</v>
      </c>
      <c r="R844" s="1" t="n">
        <v>1538.83</v>
      </c>
      <c r="S844" s="1" t="n">
        <v>7010.22</v>
      </c>
      <c r="T844" s="1" t="n">
        <v>3487.71</v>
      </c>
      <c r="U844" s="1" t="n">
        <v>3522.51</v>
      </c>
      <c r="V844" s="1" t="n">
        <v>50.25</v>
      </c>
      <c r="W844" s="1" t="s">
        <v>40</v>
      </c>
      <c r="Y844" s="1" t="s">
        <v>39</v>
      </c>
      <c r="Z844" s="1" t="n">
        <v>0</v>
      </c>
    </row>
    <row r="845" customFormat="false" ht="15" hidden="false" customHeight="true" outlineLevel="0" collapsed="false">
      <c r="A845" s="1" t="s">
        <v>1516</v>
      </c>
      <c r="B845" s="1" t="s">
        <v>918</v>
      </c>
      <c r="C845" s="1" t="s">
        <v>93</v>
      </c>
      <c r="D845" s="1" t="s">
        <v>143</v>
      </c>
      <c r="E845" s="1" t="s">
        <v>210</v>
      </c>
      <c r="F845" s="1" t="s">
        <v>269</v>
      </c>
      <c r="G845" s="1" t="s">
        <v>108</v>
      </c>
      <c r="H845" s="1" t="s">
        <v>57</v>
      </c>
      <c r="I845" s="1" t="s">
        <v>34</v>
      </c>
      <c r="J845" s="1" t="s">
        <v>70</v>
      </c>
      <c r="K845" s="1" t="s">
        <v>36</v>
      </c>
      <c r="L845" s="1" t="s">
        <v>136</v>
      </c>
      <c r="M845" s="1" t="s">
        <v>50</v>
      </c>
      <c r="N845" s="1" t="n">
        <v>18999</v>
      </c>
      <c r="O845" s="1" t="n">
        <v>10</v>
      </c>
      <c r="P845" s="1" t="n">
        <v>1899.9</v>
      </c>
      <c r="Q845" s="1" t="n">
        <v>17099.1</v>
      </c>
      <c r="R845" s="1" t="n">
        <v>3077.84</v>
      </c>
      <c r="S845" s="1" t="n">
        <v>14021.26</v>
      </c>
      <c r="T845" s="1" t="n">
        <v>4276.83</v>
      </c>
      <c r="U845" s="1" t="n">
        <v>9744.43</v>
      </c>
      <c r="V845" s="1" t="n">
        <v>69.5</v>
      </c>
      <c r="W845" s="1" t="s">
        <v>40</v>
      </c>
      <c r="Y845" s="1" t="s">
        <v>39</v>
      </c>
      <c r="Z845" s="1" t="n">
        <v>3</v>
      </c>
    </row>
    <row r="846" customFormat="false" ht="15" hidden="false" customHeight="true" outlineLevel="0" collapsed="false">
      <c r="A846" s="1" t="s">
        <v>1517</v>
      </c>
      <c r="B846" s="1" t="s">
        <v>849</v>
      </c>
      <c r="C846" s="1" t="s">
        <v>119</v>
      </c>
      <c r="D846" s="1" t="s">
        <v>123</v>
      </c>
      <c r="E846" s="1" t="s">
        <v>147</v>
      </c>
      <c r="F846" s="1" t="s">
        <v>140</v>
      </c>
      <c r="G846" s="1" t="s">
        <v>97</v>
      </c>
      <c r="H846" s="1" t="s">
        <v>57</v>
      </c>
      <c r="I846" s="1" t="s">
        <v>83</v>
      </c>
      <c r="J846" s="1" t="s">
        <v>77</v>
      </c>
      <c r="K846" s="1" t="s">
        <v>90</v>
      </c>
      <c r="L846" s="1" t="s">
        <v>61</v>
      </c>
      <c r="M846" s="1" t="s">
        <v>62</v>
      </c>
      <c r="N846" s="1" t="n">
        <v>6999</v>
      </c>
      <c r="O846" s="1" t="n">
        <v>5</v>
      </c>
      <c r="P846" s="1" t="n">
        <v>349.95</v>
      </c>
      <c r="Q846" s="1" t="n">
        <v>6649.05</v>
      </c>
      <c r="R846" s="1" t="n">
        <v>1196.83</v>
      </c>
      <c r="S846" s="1" t="n">
        <v>5452.22</v>
      </c>
      <c r="T846" s="1" t="n">
        <v>2084.79</v>
      </c>
      <c r="U846" s="1" t="n">
        <v>3367.43</v>
      </c>
      <c r="V846" s="1" t="n">
        <v>61.76</v>
      </c>
      <c r="W846" s="1" t="s">
        <v>39</v>
      </c>
      <c r="X846" s="1" t="n">
        <v>3.6</v>
      </c>
      <c r="Y846" s="1" t="s">
        <v>40</v>
      </c>
      <c r="Z846" s="1" t="n">
        <v>0</v>
      </c>
    </row>
    <row r="847" customFormat="false" ht="15" hidden="false" customHeight="true" outlineLevel="0" collapsed="false">
      <c r="A847" s="1" t="s">
        <v>1518</v>
      </c>
      <c r="B847" s="1" t="s">
        <v>371</v>
      </c>
      <c r="C847" s="1" t="s">
        <v>65</v>
      </c>
      <c r="D847" s="1" t="s">
        <v>53</v>
      </c>
      <c r="E847" s="1" t="s">
        <v>116</v>
      </c>
      <c r="F847" s="1" t="s">
        <v>96</v>
      </c>
      <c r="G847" s="1" t="s">
        <v>97</v>
      </c>
      <c r="H847" s="1" t="s">
        <v>69</v>
      </c>
      <c r="I847" s="1" t="s">
        <v>58</v>
      </c>
      <c r="J847" s="1" t="s">
        <v>70</v>
      </c>
      <c r="K847" s="1" t="s">
        <v>48</v>
      </c>
      <c r="L847" s="1" t="s">
        <v>136</v>
      </c>
      <c r="M847" s="1" t="s">
        <v>50</v>
      </c>
      <c r="N847" s="1" t="n">
        <v>9999</v>
      </c>
      <c r="O847" s="1" t="n">
        <v>0</v>
      </c>
      <c r="P847" s="1" t="n">
        <v>0</v>
      </c>
      <c r="Q847" s="1" t="n">
        <v>9999</v>
      </c>
      <c r="R847" s="1" t="n">
        <v>1799.82</v>
      </c>
      <c r="S847" s="1" t="n">
        <v>8199.18</v>
      </c>
      <c r="T847" s="1" t="n">
        <v>3535.05</v>
      </c>
      <c r="U847" s="1" t="n">
        <v>4664.13</v>
      </c>
      <c r="V847" s="1" t="n">
        <v>56.89</v>
      </c>
      <c r="W847" s="1" t="s">
        <v>39</v>
      </c>
      <c r="X847" s="1" t="n">
        <v>4</v>
      </c>
      <c r="Y847" s="1" t="s">
        <v>40</v>
      </c>
      <c r="Z847" s="1" t="n">
        <v>0</v>
      </c>
    </row>
    <row r="848" customFormat="false" ht="15" hidden="false" customHeight="true" outlineLevel="0" collapsed="false">
      <c r="A848" s="1" t="s">
        <v>1519</v>
      </c>
      <c r="B848" s="1" t="s">
        <v>215</v>
      </c>
      <c r="C848" s="1" t="s">
        <v>134</v>
      </c>
      <c r="D848" s="1" t="s">
        <v>80</v>
      </c>
      <c r="E848" s="1" t="s">
        <v>81</v>
      </c>
      <c r="F848" s="1" t="s">
        <v>31</v>
      </c>
      <c r="G848" s="1" t="s">
        <v>32</v>
      </c>
      <c r="H848" s="1" t="s">
        <v>33</v>
      </c>
      <c r="I848" s="1" t="s">
        <v>83</v>
      </c>
      <c r="J848" s="1" t="s">
        <v>131</v>
      </c>
      <c r="K848" s="1" t="s">
        <v>104</v>
      </c>
      <c r="L848" s="1" t="s">
        <v>49</v>
      </c>
      <c r="M848" s="1" t="s">
        <v>38</v>
      </c>
      <c r="N848" s="1" t="n">
        <v>12999</v>
      </c>
      <c r="O848" s="1" t="n">
        <v>0</v>
      </c>
      <c r="P848" s="1" t="n">
        <v>0</v>
      </c>
      <c r="Q848" s="1" t="n">
        <v>12999</v>
      </c>
      <c r="R848" s="1" t="n">
        <v>2339.82</v>
      </c>
      <c r="S848" s="1" t="n">
        <v>10659.18</v>
      </c>
      <c r="T848" s="1" t="n">
        <v>6252.07</v>
      </c>
      <c r="U848" s="1" t="n">
        <v>4407.11</v>
      </c>
      <c r="V848" s="1" t="n">
        <v>41.35</v>
      </c>
      <c r="W848" s="1" t="s">
        <v>39</v>
      </c>
      <c r="X848" s="1" t="n">
        <v>4.3</v>
      </c>
      <c r="Y848" s="1" t="s">
        <v>40</v>
      </c>
      <c r="Z848" s="1" t="n">
        <v>0</v>
      </c>
    </row>
    <row r="849" customFormat="false" ht="15" hidden="false" customHeight="true" outlineLevel="0" collapsed="false">
      <c r="A849" s="1" t="s">
        <v>1520</v>
      </c>
      <c r="B849" s="1" t="s">
        <v>906</v>
      </c>
      <c r="C849" s="1" t="s">
        <v>93</v>
      </c>
      <c r="D849" s="1" t="s">
        <v>44</v>
      </c>
      <c r="E849" s="1" t="s">
        <v>66</v>
      </c>
      <c r="F849" s="1" t="s">
        <v>67</v>
      </c>
      <c r="G849" s="1" t="s">
        <v>68</v>
      </c>
      <c r="H849" s="1" t="s">
        <v>69</v>
      </c>
      <c r="I849" s="1" t="s">
        <v>83</v>
      </c>
      <c r="J849" s="1" t="s">
        <v>35</v>
      </c>
      <c r="K849" s="1" t="s">
        <v>71</v>
      </c>
      <c r="L849" s="1" t="s">
        <v>49</v>
      </c>
      <c r="M849" s="1" t="s">
        <v>38</v>
      </c>
      <c r="N849" s="1" t="n">
        <v>12999</v>
      </c>
      <c r="O849" s="1" t="n">
        <v>0</v>
      </c>
      <c r="P849" s="1" t="n">
        <v>0</v>
      </c>
      <c r="Q849" s="1" t="n">
        <v>12999</v>
      </c>
      <c r="R849" s="1" t="n">
        <v>2339.82</v>
      </c>
      <c r="S849" s="1" t="n">
        <v>10659.18</v>
      </c>
      <c r="T849" s="1" t="n">
        <v>3913.5</v>
      </c>
      <c r="U849" s="1" t="n">
        <v>6745.68</v>
      </c>
      <c r="V849" s="1" t="n">
        <v>63.29</v>
      </c>
      <c r="W849" s="1" t="s">
        <v>40</v>
      </c>
      <c r="Y849" s="1" t="s">
        <v>40</v>
      </c>
      <c r="Z849" s="1" t="n">
        <v>0</v>
      </c>
    </row>
    <row r="850" customFormat="false" ht="15" hidden="false" customHeight="true" outlineLevel="0" collapsed="false">
      <c r="A850" s="1" t="s">
        <v>1521</v>
      </c>
      <c r="B850" s="1" t="s">
        <v>1522</v>
      </c>
      <c r="C850" s="1" t="s">
        <v>43</v>
      </c>
      <c r="D850" s="1" t="s">
        <v>168</v>
      </c>
      <c r="E850" s="1" t="s">
        <v>172</v>
      </c>
      <c r="F850" s="1" t="s">
        <v>46</v>
      </c>
      <c r="G850" s="1" t="s">
        <v>47</v>
      </c>
      <c r="H850" s="1" t="s">
        <v>33</v>
      </c>
      <c r="I850" s="1" t="s">
        <v>58</v>
      </c>
      <c r="J850" s="1" t="s">
        <v>131</v>
      </c>
      <c r="K850" s="1" t="s">
        <v>60</v>
      </c>
      <c r="L850" s="1" t="s">
        <v>136</v>
      </c>
      <c r="M850" s="1" t="s">
        <v>62</v>
      </c>
      <c r="N850" s="1" t="n">
        <v>6999</v>
      </c>
      <c r="O850" s="1" t="n">
        <v>10</v>
      </c>
      <c r="P850" s="1" t="n">
        <v>699.9</v>
      </c>
      <c r="Q850" s="1" t="n">
        <v>6299.1</v>
      </c>
      <c r="R850" s="1" t="n">
        <v>1133.84</v>
      </c>
      <c r="S850" s="1" t="n">
        <v>5165.26</v>
      </c>
      <c r="T850" s="1" t="n">
        <v>2468.64</v>
      </c>
      <c r="U850" s="1" t="n">
        <v>2696.62</v>
      </c>
      <c r="V850" s="1" t="n">
        <v>52.21</v>
      </c>
      <c r="W850" s="1" t="s">
        <v>39</v>
      </c>
      <c r="X850" s="1" t="n">
        <v>3.1</v>
      </c>
      <c r="Y850" s="1" t="s">
        <v>40</v>
      </c>
      <c r="Z850" s="1" t="n">
        <v>0</v>
      </c>
    </row>
    <row r="851" customFormat="false" ht="15" hidden="false" customHeight="true" outlineLevel="0" collapsed="false">
      <c r="A851" s="1" t="s">
        <v>1523</v>
      </c>
      <c r="B851" s="1" t="s">
        <v>1291</v>
      </c>
      <c r="C851" s="1" t="s">
        <v>134</v>
      </c>
      <c r="D851" s="1" t="s">
        <v>80</v>
      </c>
      <c r="E851" s="1" t="s">
        <v>193</v>
      </c>
      <c r="F851" s="1" t="s">
        <v>55</v>
      </c>
      <c r="G851" s="1" t="s">
        <v>56</v>
      </c>
      <c r="H851" s="1" t="s">
        <v>57</v>
      </c>
      <c r="I851" s="1" t="s">
        <v>34</v>
      </c>
      <c r="J851" s="1" t="s">
        <v>59</v>
      </c>
      <c r="K851" s="1" t="s">
        <v>84</v>
      </c>
      <c r="L851" s="1" t="s">
        <v>61</v>
      </c>
      <c r="M851" s="1" t="s">
        <v>62</v>
      </c>
      <c r="N851" s="1" t="n">
        <v>8999</v>
      </c>
      <c r="O851" s="1" t="n">
        <v>30</v>
      </c>
      <c r="P851" s="1" t="n">
        <v>2699.7</v>
      </c>
      <c r="Q851" s="1" t="n">
        <v>6299.3</v>
      </c>
      <c r="R851" s="1" t="n">
        <v>1133.87</v>
      </c>
      <c r="S851" s="1" t="n">
        <v>5165.43</v>
      </c>
      <c r="T851" s="1" t="n">
        <v>2501.88</v>
      </c>
      <c r="U851" s="1" t="n">
        <v>2663.55</v>
      </c>
      <c r="V851" s="1" t="n">
        <v>51.56</v>
      </c>
      <c r="W851" s="1" t="s">
        <v>40</v>
      </c>
      <c r="Y851" s="1" t="s">
        <v>40</v>
      </c>
      <c r="Z851" s="1" t="n">
        <v>2</v>
      </c>
    </row>
    <row r="852" customFormat="false" ht="15" hidden="false" customHeight="true" outlineLevel="0" collapsed="false">
      <c r="A852" s="1" t="s">
        <v>1524</v>
      </c>
      <c r="B852" s="1" t="s">
        <v>1525</v>
      </c>
      <c r="C852" s="1" t="s">
        <v>28</v>
      </c>
      <c r="D852" s="1" t="s">
        <v>143</v>
      </c>
      <c r="E852" s="1" t="s">
        <v>162</v>
      </c>
      <c r="F852" s="1" t="s">
        <v>140</v>
      </c>
      <c r="G852" s="1" t="s">
        <v>97</v>
      </c>
      <c r="H852" s="1" t="s">
        <v>57</v>
      </c>
      <c r="I852" s="1" t="s">
        <v>34</v>
      </c>
      <c r="J852" s="1" t="s">
        <v>131</v>
      </c>
      <c r="K852" s="1" t="s">
        <v>48</v>
      </c>
      <c r="L852" s="1" t="s">
        <v>49</v>
      </c>
      <c r="M852" s="1" t="s">
        <v>50</v>
      </c>
      <c r="N852" s="1" t="n">
        <v>14999</v>
      </c>
      <c r="O852" s="1" t="n">
        <v>0</v>
      </c>
      <c r="P852" s="1" t="n">
        <v>0</v>
      </c>
      <c r="Q852" s="1" t="n">
        <v>14999</v>
      </c>
      <c r="R852" s="1" t="n">
        <v>2699.82</v>
      </c>
      <c r="S852" s="1" t="n">
        <v>12299.18</v>
      </c>
      <c r="T852" s="1" t="n">
        <v>4611.9</v>
      </c>
      <c r="U852" s="1" t="n">
        <v>7687.28</v>
      </c>
      <c r="V852" s="1" t="n">
        <v>62.5</v>
      </c>
      <c r="W852" s="1" t="s">
        <v>39</v>
      </c>
      <c r="X852" s="1" t="n">
        <v>3.5</v>
      </c>
      <c r="Y852" s="1" t="s">
        <v>40</v>
      </c>
      <c r="Z852" s="1" t="n">
        <v>0</v>
      </c>
    </row>
    <row r="853" customFormat="false" ht="15" hidden="false" customHeight="true" outlineLevel="0" collapsed="false">
      <c r="A853" s="1" t="s">
        <v>1526</v>
      </c>
      <c r="B853" s="1" t="s">
        <v>464</v>
      </c>
      <c r="C853" s="1" t="s">
        <v>43</v>
      </c>
      <c r="D853" s="1" t="s">
        <v>44</v>
      </c>
      <c r="E853" s="1" t="s">
        <v>45</v>
      </c>
      <c r="F853" s="1" t="s">
        <v>696</v>
      </c>
      <c r="G853" s="1" t="s">
        <v>56</v>
      </c>
      <c r="H853" s="1" t="s">
        <v>69</v>
      </c>
      <c r="I853" s="1" t="s">
        <v>34</v>
      </c>
      <c r="J853" s="1" t="s">
        <v>77</v>
      </c>
      <c r="K853" s="1" t="s">
        <v>36</v>
      </c>
      <c r="L853" s="1" t="s">
        <v>49</v>
      </c>
      <c r="M853" s="1" t="s">
        <v>50</v>
      </c>
      <c r="N853" s="1" t="n">
        <v>11999</v>
      </c>
      <c r="O853" s="1" t="n">
        <v>10</v>
      </c>
      <c r="P853" s="1" t="n">
        <v>1199.9</v>
      </c>
      <c r="Q853" s="1" t="n">
        <v>10799.1</v>
      </c>
      <c r="R853" s="1" t="n">
        <v>1943.84</v>
      </c>
      <c r="S853" s="1" t="n">
        <v>8855.26</v>
      </c>
      <c r="T853" s="1" t="n">
        <v>4017.2</v>
      </c>
      <c r="U853" s="1" t="n">
        <v>4838.06</v>
      </c>
      <c r="V853" s="1" t="n">
        <v>54.63</v>
      </c>
      <c r="W853" s="1" t="s">
        <v>39</v>
      </c>
      <c r="X853" s="1" t="n">
        <v>3.3</v>
      </c>
      <c r="Y853" s="1" t="s">
        <v>40</v>
      </c>
      <c r="Z853" s="1" t="n">
        <v>0</v>
      </c>
    </row>
    <row r="854" customFormat="false" ht="15" hidden="false" customHeight="true" outlineLevel="0" collapsed="false">
      <c r="A854" s="1" t="s">
        <v>1527</v>
      </c>
      <c r="B854" s="1" t="s">
        <v>1528</v>
      </c>
      <c r="C854" s="1" t="s">
        <v>100</v>
      </c>
      <c r="D854" s="1" t="s">
        <v>143</v>
      </c>
      <c r="E854" s="1" t="s">
        <v>210</v>
      </c>
      <c r="F854" s="1" t="s">
        <v>211</v>
      </c>
      <c r="G854" s="1" t="s">
        <v>56</v>
      </c>
      <c r="H854" s="1" t="s">
        <v>69</v>
      </c>
      <c r="I854" s="1" t="s">
        <v>83</v>
      </c>
      <c r="J854" s="1" t="s">
        <v>131</v>
      </c>
      <c r="K854" s="1" t="s">
        <v>71</v>
      </c>
      <c r="L854" s="1" t="s">
        <v>61</v>
      </c>
      <c r="M854" s="1" t="s">
        <v>62</v>
      </c>
      <c r="N854" s="1" t="n">
        <v>18999</v>
      </c>
      <c r="O854" s="1" t="n">
        <v>25</v>
      </c>
      <c r="P854" s="1" t="n">
        <v>4749.75</v>
      </c>
      <c r="Q854" s="1" t="n">
        <v>14249.25</v>
      </c>
      <c r="R854" s="1" t="n">
        <v>2564.86</v>
      </c>
      <c r="S854" s="1" t="n">
        <v>11684.39</v>
      </c>
      <c r="T854" s="1" t="n">
        <v>4710.13</v>
      </c>
      <c r="U854" s="1" t="n">
        <v>6974.26</v>
      </c>
      <c r="V854" s="1" t="n">
        <v>59.69</v>
      </c>
      <c r="W854" s="1" t="s">
        <v>39</v>
      </c>
      <c r="X854" s="1" t="n">
        <v>3.3</v>
      </c>
      <c r="Y854" s="1" t="s">
        <v>40</v>
      </c>
      <c r="Z854" s="1" t="n">
        <v>0</v>
      </c>
    </row>
    <row r="855" customFormat="false" ht="15" hidden="false" customHeight="true" outlineLevel="0" collapsed="false">
      <c r="A855" s="1" t="s">
        <v>1529</v>
      </c>
      <c r="B855" s="1" t="s">
        <v>561</v>
      </c>
      <c r="C855" s="1" t="s">
        <v>65</v>
      </c>
      <c r="D855" s="1" t="s">
        <v>143</v>
      </c>
      <c r="E855" s="1" t="s">
        <v>210</v>
      </c>
      <c r="F855" s="1" t="s">
        <v>244</v>
      </c>
      <c r="G855" s="1" t="s">
        <v>97</v>
      </c>
      <c r="H855" s="1" t="s">
        <v>57</v>
      </c>
      <c r="I855" s="1" t="s">
        <v>58</v>
      </c>
      <c r="J855" s="1" t="s">
        <v>70</v>
      </c>
      <c r="K855" s="1" t="s">
        <v>90</v>
      </c>
      <c r="L855" s="1" t="s">
        <v>61</v>
      </c>
      <c r="M855" s="1" t="s">
        <v>62</v>
      </c>
      <c r="N855" s="1" t="n">
        <v>18999</v>
      </c>
      <c r="O855" s="1" t="n">
        <v>0</v>
      </c>
      <c r="P855" s="1" t="n">
        <v>0</v>
      </c>
      <c r="Q855" s="1" t="n">
        <v>18999</v>
      </c>
      <c r="R855" s="1" t="n">
        <v>3419.82</v>
      </c>
      <c r="S855" s="1" t="n">
        <v>15579.18</v>
      </c>
      <c r="T855" s="1" t="n">
        <v>5480.53</v>
      </c>
      <c r="U855" s="1" t="n">
        <v>10098.65</v>
      </c>
      <c r="V855" s="1" t="n">
        <v>64.82</v>
      </c>
      <c r="W855" s="1" t="s">
        <v>39</v>
      </c>
      <c r="X855" s="1" t="n">
        <v>3.1</v>
      </c>
      <c r="Y855" s="1" t="s">
        <v>40</v>
      </c>
      <c r="Z855" s="1" t="n">
        <v>0</v>
      </c>
    </row>
    <row r="856" customFormat="false" ht="15" hidden="false" customHeight="true" outlineLevel="0" collapsed="false">
      <c r="A856" s="1" t="s">
        <v>1530</v>
      </c>
      <c r="B856" s="1" t="s">
        <v>352</v>
      </c>
      <c r="C856" s="1" t="s">
        <v>134</v>
      </c>
      <c r="D856" s="1" t="s">
        <v>143</v>
      </c>
      <c r="E856" s="1" t="s">
        <v>159</v>
      </c>
      <c r="F856" s="1" t="s">
        <v>67</v>
      </c>
      <c r="G856" s="1" t="s">
        <v>68</v>
      </c>
      <c r="H856" s="1" t="s">
        <v>69</v>
      </c>
      <c r="I856" s="1" t="s">
        <v>58</v>
      </c>
      <c r="J856" s="1" t="s">
        <v>131</v>
      </c>
      <c r="K856" s="1" t="s">
        <v>36</v>
      </c>
      <c r="L856" s="1" t="s">
        <v>85</v>
      </c>
      <c r="M856" s="1" t="s">
        <v>50</v>
      </c>
      <c r="N856" s="1" t="n">
        <v>24999</v>
      </c>
      <c r="O856" s="1" t="n">
        <v>5</v>
      </c>
      <c r="P856" s="1" t="n">
        <v>1249.95</v>
      </c>
      <c r="Q856" s="1" t="n">
        <v>23749.05</v>
      </c>
      <c r="R856" s="1" t="n">
        <v>4274.83</v>
      </c>
      <c r="S856" s="1" t="n">
        <v>19474.22</v>
      </c>
      <c r="T856" s="1" t="n">
        <v>6313.79</v>
      </c>
      <c r="U856" s="1" t="n">
        <v>13160.43</v>
      </c>
      <c r="V856" s="1" t="n">
        <v>67.58</v>
      </c>
      <c r="W856" s="1" t="s">
        <v>40</v>
      </c>
      <c r="Y856" s="1" t="s">
        <v>40</v>
      </c>
      <c r="Z856" s="1" t="n">
        <v>1</v>
      </c>
    </row>
    <row r="857" customFormat="false" ht="15" hidden="false" customHeight="true" outlineLevel="0" collapsed="false">
      <c r="A857" s="1" t="s">
        <v>1531</v>
      </c>
      <c r="B857" s="1" t="s">
        <v>441</v>
      </c>
      <c r="C857" s="1" t="s">
        <v>178</v>
      </c>
      <c r="D857" s="1" t="s">
        <v>80</v>
      </c>
      <c r="E857" s="1" t="s">
        <v>175</v>
      </c>
      <c r="F857" s="1" t="s">
        <v>130</v>
      </c>
      <c r="G857" s="1" t="s">
        <v>47</v>
      </c>
      <c r="H857" s="1" t="s">
        <v>69</v>
      </c>
      <c r="I857" s="1" t="s">
        <v>58</v>
      </c>
      <c r="J857" s="1" t="s">
        <v>35</v>
      </c>
      <c r="K857" s="1" t="s">
        <v>90</v>
      </c>
      <c r="L857" s="1" t="s">
        <v>49</v>
      </c>
      <c r="M857" s="1" t="s">
        <v>62</v>
      </c>
      <c r="N857" s="1" t="n">
        <v>19999</v>
      </c>
      <c r="O857" s="1" t="n">
        <v>20</v>
      </c>
      <c r="P857" s="1" t="n">
        <v>3999.8</v>
      </c>
      <c r="Q857" s="1" t="n">
        <v>15999.2</v>
      </c>
      <c r="R857" s="1" t="n">
        <v>2879.86</v>
      </c>
      <c r="S857" s="1" t="n">
        <v>13119.34</v>
      </c>
      <c r="T857" s="1" t="n">
        <v>6269</v>
      </c>
      <c r="U857" s="1" t="n">
        <v>6850.34</v>
      </c>
      <c r="V857" s="1" t="n">
        <v>52.22</v>
      </c>
      <c r="W857" s="1" t="s">
        <v>39</v>
      </c>
      <c r="Y857" s="1" t="s">
        <v>40</v>
      </c>
      <c r="Z857" s="1" t="n">
        <v>0</v>
      </c>
    </row>
    <row r="858" customFormat="false" ht="15" hidden="false" customHeight="true" outlineLevel="0" collapsed="false">
      <c r="A858" s="1" t="s">
        <v>1532</v>
      </c>
      <c r="B858" s="1" t="s">
        <v>387</v>
      </c>
      <c r="C858" s="1" t="s">
        <v>93</v>
      </c>
      <c r="D858" s="1" t="s">
        <v>143</v>
      </c>
      <c r="E858" s="1" t="s">
        <v>144</v>
      </c>
      <c r="F858" s="1" t="s">
        <v>120</v>
      </c>
      <c r="G858" s="1" t="s">
        <v>47</v>
      </c>
      <c r="H858" s="1" t="s">
        <v>57</v>
      </c>
      <c r="I858" s="1" t="s">
        <v>34</v>
      </c>
      <c r="J858" s="1" t="s">
        <v>70</v>
      </c>
      <c r="K858" s="1" t="s">
        <v>71</v>
      </c>
      <c r="L858" s="1" t="s">
        <v>85</v>
      </c>
      <c r="M858" s="1" t="s">
        <v>50</v>
      </c>
      <c r="N858" s="1" t="n">
        <v>12999</v>
      </c>
      <c r="O858" s="1" t="n">
        <v>40</v>
      </c>
      <c r="P858" s="1" t="n">
        <v>5199.6</v>
      </c>
      <c r="Q858" s="1" t="n">
        <v>7799.4</v>
      </c>
      <c r="R858" s="1" t="n">
        <v>1403.89</v>
      </c>
      <c r="S858" s="1" t="n">
        <v>6395.51</v>
      </c>
      <c r="T858" s="1" t="n">
        <v>3723.66</v>
      </c>
      <c r="U858" s="1" t="n">
        <v>2671.85</v>
      </c>
      <c r="V858" s="1" t="n">
        <v>41.78</v>
      </c>
      <c r="W858" s="1" t="s">
        <v>39</v>
      </c>
      <c r="X858" s="1" t="n">
        <v>3.7</v>
      </c>
      <c r="Y858" s="1" t="s">
        <v>40</v>
      </c>
      <c r="Z858" s="1" t="n">
        <v>1</v>
      </c>
    </row>
    <row r="859" customFormat="false" ht="15" hidden="false" customHeight="true" outlineLevel="0" collapsed="false">
      <c r="A859" s="1" t="s">
        <v>1533</v>
      </c>
      <c r="B859" s="1" t="s">
        <v>999</v>
      </c>
      <c r="C859" s="1" t="s">
        <v>43</v>
      </c>
      <c r="D859" s="1" t="s">
        <v>44</v>
      </c>
      <c r="E859" s="1" t="s">
        <v>45</v>
      </c>
      <c r="F859" s="1" t="s">
        <v>156</v>
      </c>
      <c r="G859" s="1" t="s">
        <v>68</v>
      </c>
      <c r="H859" s="1" t="s">
        <v>57</v>
      </c>
      <c r="I859" s="1" t="s">
        <v>83</v>
      </c>
      <c r="J859" s="1" t="s">
        <v>70</v>
      </c>
      <c r="K859" s="1" t="s">
        <v>36</v>
      </c>
      <c r="L859" s="1" t="s">
        <v>37</v>
      </c>
      <c r="M859" s="1" t="s">
        <v>62</v>
      </c>
      <c r="N859" s="1" t="n">
        <v>11999</v>
      </c>
      <c r="O859" s="1" t="n">
        <v>10</v>
      </c>
      <c r="P859" s="1" t="n">
        <v>1199.9</v>
      </c>
      <c r="Q859" s="1" t="n">
        <v>10799.1</v>
      </c>
      <c r="R859" s="1" t="n">
        <v>1943.84</v>
      </c>
      <c r="S859" s="1" t="n">
        <v>8855.26</v>
      </c>
      <c r="T859" s="1" t="n">
        <v>3062.1</v>
      </c>
      <c r="U859" s="1" t="n">
        <v>5793.16</v>
      </c>
      <c r="V859" s="1" t="n">
        <v>65.42</v>
      </c>
      <c r="W859" s="1" t="s">
        <v>39</v>
      </c>
      <c r="X859" s="1" t="n">
        <v>3.6</v>
      </c>
      <c r="Y859" s="1" t="s">
        <v>40</v>
      </c>
      <c r="Z859" s="1" t="n">
        <v>0</v>
      </c>
    </row>
    <row r="860" customFormat="false" ht="15" hidden="false" customHeight="true" outlineLevel="0" collapsed="false">
      <c r="A860" s="1" t="s">
        <v>1534</v>
      </c>
      <c r="B860" s="1" t="s">
        <v>177</v>
      </c>
      <c r="C860" s="1" t="s">
        <v>264</v>
      </c>
      <c r="D860" s="1" t="s">
        <v>29</v>
      </c>
      <c r="E860" s="1" t="s">
        <v>305</v>
      </c>
      <c r="F860" s="1" t="s">
        <v>883</v>
      </c>
      <c r="G860" s="1" t="s">
        <v>68</v>
      </c>
      <c r="H860" s="1" t="s">
        <v>69</v>
      </c>
      <c r="I860" s="1" t="s">
        <v>58</v>
      </c>
      <c r="J860" s="1" t="s">
        <v>77</v>
      </c>
      <c r="K860" s="1" t="s">
        <v>71</v>
      </c>
      <c r="L860" s="1" t="s">
        <v>61</v>
      </c>
      <c r="M860" s="1" t="s">
        <v>38</v>
      </c>
      <c r="N860" s="1" t="n">
        <v>24999</v>
      </c>
      <c r="O860" s="1" t="n">
        <v>15</v>
      </c>
      <c r="P860" s="1" t="n">
        <v>3749.85</v>
      </c>
      <c r="Q860" s="1" t="n">
        <v>21249.15</v>
      </c>
      <c r="R860" s="1" t="n">
        <v>3824.85</v>
      </c>
      <c r="S860" s="1" t="n">
        <v>17424.3</v>
      </c>
      <c r="T860" s="1" t="n">
        <v>6188.89</v>
      </c>
      <c r="U860" s="1" t="n">
        <v>11235.41</v>
      </c>
      <c r="V860" s="1" t="n">
        <v>64.48</v>
      </c>
      <c r="W860" s="1" t="s">
        <v>39</v>
      </c>
      <c r="X860" s="1" t="n">
        <v>5</v>
      </c>
      <c r="Y860" s="1" t="s">
        <v>40</v>
      </c>
      <c r="Z860" s="1" t="n">
        <v>0</v>
      </c>
    </row>
    <row r="861" customFormat="false" ht="15" hidden="false" customHeight="true" outlineLevel="0" collapsed="false">
      <c r="A861" s="1" t="s">
        <v>1535</v>
      </c>
      <c r="B861" s="1" t="s">
        <v>298</v>
      </c>
      <c r="C861" s="1" t="s">
        <v>167</v>
      </c>
      <c r="D861" s="1" t="s">
        <v>168</v>
      </c>
      <c r="E861" s="1" t="s">
        <v>172</v>
      </c>
      <c r="F861" s="1" t="s">
        <v>120</v>
      </c>
      <c r="G861" s="1" t="s">
        <v>47</v>
      </c>
      <c r="H861" s="1" t="s">
        <v>57</v>
      </c>
      <c r="I861" s="1" t="s">
        <v>34</v>
      </c>
      <c r="J861" s="1" t="s">
        <v>131</v>
      </c>
      <c r="K861" s="1" t="s">
        <v>36</v>
      </c>
      <c r="L861" s="1" t="s">
        <v>136</v>
      </c>
      <c r="M861" s="1" t="s">
        <v>62</v>
      </c>
      <c r="N861" s="1" t="n">
        <v>6999</v>
      </c>
      <c r="O861" s="1" t="n">
        <v>10</v>
      </c>
      <c r="P861" s="1" t="n">
        <v>699.9</v>
      </c>
      <c r="Q861" s="1" t="n">
        <v>6299.1</v>
      </c>
      <c r="R861" s="1" t="n">
        <v>1133.84</v>
      </c>
      <c r="S861" s="1" t="n">
        <v>5165.26</v>
      </c>
      <c r="T861" s="1" t="n">
        <v>2363.97</v>
      </c>
      <c r="U861" s="1" t="n">
        <v>2801.29</v>
      </c>
      <c r="V861" s="1" t="n">
        <v>54.23</v>
      </c>
      <c r="W861" s="1" t="s">
        <v>40</v>
      </c>
      <c r="Y861" s="1" t="s">
        <v>40</v>
      </c>
      <c r="Z861" s="1" t="n">
        <v>2</v>
      </c>
    </row>
    <row r="862" customFormat="false" ht="15" hidden="false" customHeight="true" outlineLevel="0" collapsed="false">
      <c r="A862" s="1" t="s">
        <v>1536</v>
      </c>
      <c r="B862" s="1" t="s">
        <v>1465</v>
      </c>
      <c r="C862" s="1" t="s">
        <v>43</v>
      </c>
      <c r="D862" s="1" t="s">
        <v>80</v>
      </c>
      <c r="E862" s="1" t="s">
        <v>190</v>
      </c>
      <c r="F862" s="1" t="s">
        <v>75</v>
      </c>
      <c r="G862" s="1" t="s">
        <v>76</v>
      </c>
      <c r="H862" s="1" t="s">
        <v>69</v>
      </c>
      <c r="I862" s="1" t="s">
        <v>58</v>
      </c>
      <c r="J862" s="1" t="s">
        <v>77</v>
      </c>
      <c r="K862" s="1" t="s">
        <v>112</v>
      </c>
      <c r="L862" s="1" t="s">
        <v>85</v>
      </c>
      <c r="M862" s="1" t="s">
        <v>38</v>
      </c>
      <c r="N862" s="1" t="n">
        <v>15999</v>
      </c>
      <c r="O862" s="1" t="n">
        <v>10</v>
      </c>
      <c r="P862" s="1" t="n">
        <v>1599.9</v>
      </c>
      <c r="Q862" s="1" t="n">
        <v>14399.1</v>
      </c>
      <c r="R862" s="1" t="n">
        <v>2591.84</v>
      </c>
      <c r="S862" s="1" t="n">
        <v>11807.26</v>
      </c>
      <c r="T862" s="1" t="n">
        <v>4693.86</v>
      </c>
      <c r="U862" s="1" t="n">
        <v>7113.4</v>
      </c>
      <c r="V862" s="1" t="n">
        <v>60.25</v>
      </c>
      <c r="W862" s="1" t="s">
        <v>39</v>
      </c>
      <c r="X862" s="1" t="n">
        <v>4.1</v>
      </c>
      <c r="Y862" s="1" t="s">
        <v>40</v>
      </c>
      <c r="Z862" s="1" t="n">
        <v>0</v>
      </c>
    </row>
    <row r="863" customFormat="false" ht="15" hidden="false" customHeight="true" outlineLevel="0" collapsed="false">
      <c r="A863" s="1" t="s">
        <v>1537</v>
      </c>
      <c r="B863" s="1" t="s">
        <v>1198</v>
      </c>
      <c r="C863" s="1" t="s">
        <v>93</v>
      </c>
      <c r="D863" s="1" t="s">
        <v>123</v>
      </c>
      <c r="E863" s="1" t="s">
        <v>147</v>
      </c>
      <c r="F863" s="1" t="s">
        <v>75</v>
      </c>
      <c r="G863" s="1" t="s">
        <v>76</v>
      </c>
      <c r="H863" s="1" t="s">
        <v>69</v>
      </c>
      <c r="I863" s="1" t="s">
        <v>83</v>
      </c>
      <c r="J863" s="1" t="s">
        <v>35</v>
      </c>
      <c r="K863" s="1" t="s">
        <v>104</v>
      </c>
      <c r="L863" s="1" t="s">
        <v>136</v>
      </c>
      <c r="M863" s="1" t="s">
        <v>50</v>
      </c>
      <c r="N863" s="1" t="n">
        <v>6999</v>
      </c>
      <c r="O863" s="1" t="n">
        <v>0</v>
      </c>
      <c r="P863" s="1" t="n">
        <v>0</v>
      </c>
      <c r="Q863" s="1" t="n">
        <v>6999</v>
      </c>
      <c r="R863" s="1" t="n">
        <v>1259.82</v>
      </c>
      <c r="S863" s="1" t="n">
        <v>5739.18</v>
      </c>
      <c r="T863" s="1" t="n">
        <v>1879.42</v>
      </c>
      <c r="U863" s="1" t="n">
        <v>3859.76</v>
      </c>
      <c r="V863" s="1" t="n">
        <v>67.25</v>
      </c>
      <c r="W863" s="1" t="s">
        <v>39</v>
      </c>
      <c r="X863" s="1" t="n">
        <v>4.2</v>
      </c>
      <c r="Y863" s="1" t="s">
        <v>40</v>
      </c>
      <c r="Z863" s="1" t="n">
        <v>0</v>
      </c>
    </row>
    <row r="864" customFormat="false" ht="15" hidden="false" customHeight="true" outlineLevel="0" collapsed="false">
      <c r="A864" s="1" t="s">
        <v>1538</v>
      </c>
      <c r="B864" s="1" t="s">
        <v>1539</v>
      </c>
      <c r="C864" s="1" t="s">
        <v>119</v>
      </c>
      <c r="D864" s="1" t="s">
        <v>143</v>
      </c>
      <c r="E864" s="1" t="s">
        <v>162</v>
      </c>
      <c r="F864" s="1" t="s">
        <v>153</v>
      </c>
      <c r="G864" s="1" t="s">
        <v>76</v>
      </c>
      <c r="H864" s="1" t="s">
        <v>33</v>
      </c>
      <c r="I864" s="1" t="s">
        <v>58</v>
      </c>
      <c r="J864" s="1" t="s">
        <v>59</v>
      </c>
      <c r="K864" s="1" t="s">
        <v>84</v>
      </c>
      <c r="L864" s="1" t="s">
        <v>49</v>
      </c>
      <c r="M864" s="1" t="s">
        <v>62</v>
      </c>
      <c r="N864" s="1" t="n">
        <v>14999</v>
      </c>
      <c r="O864" s="1" t="n">
        <v>0</v>
      </c>
      <c r="P864" s="1" t="n">
        <v>0</v>
      </c>
      <c r="Q864" s="1" t="n">
        <v>14999</v>
      </c>
      <c r="R864" s="1" t="n">
        <v>2699.82</v>
      </c>
      <c r="S864" s="1" t="n">
        <v>12299.18</v>
      </c>
      <c r="T864" s="1" t="n">
        <v>5542.1</v>
      </c>
      <c r="U864" s="1" t="n">
        <v>6757.08</v>
      </c>
      <c r="V864" s="1" t="n">
        <v>54.94</v>
      </c>
      <c r="W864" s="1" t="s">
        <v>39</v>
      </c>
      <c r="X864" s="1" t="n">
        <v>3.4</v>
      </c>
      <c r="Y864" s="1" t="s">
        <v>40</v>
      </c>
      <c r="Z864" s="1" t="n">
        <v>1</v>
      </c>
    </row>
    <row r="865" customFormat="false" ht="15" hidden="false" customHeight="true" outlineLevel="0" collapsed="false">
      <c r="A865" s="1" t="s">
        <v>1540</v>
      </c>
      <c r="B865" s="1" t="s">
        <v>893</v>
      </c>
      <c r="C865" s="1" t="s">
        <v>43</v>
      </c>
      <c r="D865" s="1" t="s">
        <v>123</v>
      </c>
      <c r="E865" s="1" t="s">
        <v>124</v>
      </c>
      <c r="F865" s="1" t="s">
        <v>89</v>
      </c>
      <c r="G865" s="1" t="s">
        <v>68</v>
      </c>
      <c r="H865" s="1" t="s">
        <v>33</v>
      </c>
      <c r="I865" s="1" t="s">
        <v>34</v>
      </c>
      <c r="J865" s="1" t="s">
        <v>131</v>
      </c>
      <c r="K865" s="1" t="s">
        <v>48</v>
      </c>
      <c r="L865" s="1" t="s">
        <v>37</v>
      </c>
      <c r="M865" s="1" t="s">
        <v>62</v>
      </c>
      <c r="N865" s="1" t="n">
        <v>4999</v>
      </c>
      <c r="O865" s="1" t="n">
        <v>5</v>
      </c>
      <c r="P865" s="1" t="n">
        <v>249.95</v>
      </c>
      <c r="Q865" s="1" t="n">
        <v>4749.05</v>
      </c>
      <c r="R865" s="1" t="n">
        <v>854.83</v>
      </c>
      <c r="S865" s="1" t="n">
        <v>3894.22</v>
      </c>
      <c r="T865" s="1" t="n">
        <v>1806.93</v>
      </c>
      <c r="U865" s="1" t="n">
        <v>2087.29</v>
      </c>
      <c r="V865" s="1" t="n">
        <v>53.6</v>
      </c>
      <c r="W865" s="1" t="s">
        <v>39</v>
      </c>
      <c r="X865" s="1" t="n">
        <v>2.8</v>
      </c>
      <c r="Y865" s="1" t="s">
        <v>39</v>
      </c>
      <c r="Z865" s="1" t="n">
        <v>0</v>
      </c>
    </row>
    <row r="866" customFormat="false" ht="15" hidden="false" customHeight="true" outlineLevel="0" collapsed="false">
      <c r="A866" s="1" t="s">
        <v>1541</v>
      </c>
      <c r="B866" s="1" t="s">
        <v>651</v>
      </c>
      <c r="C866" s="1" t="s">
        <v>100</v>
      </c>
      <c r="D866" s="1" t="s">
        <v>80</v>
      </c>
      <c r="E866" s="1" t="s">
        <v>175</v>
      </c>
      <c r="F866" s="1" t="s">
        <v>150</v>
      </c>
      <c r="G866" s="1" t="s">
        <v>32</v>
      </c>
      <c r="H866" s="1" t="s">
        <v>57</v>
      </c>
      <c r="I866" s="1" t="s">
        <v>83</v>
      </c>
      <c r="J866" s="1" t="s">
        <v>77</v>
      </c>
      <c r="K866" s="1" t="s">
        <v>90</v>
      </c>
      <c r="L866" s="1" t="s">
        <v>113</v>
      </c>
      <c r="M866" s="1" t="s">
        <v>38</v>
      </c>
      <c r="N866" s="1" t="n">
        <v>19999</v>
      </c>
      <c r="O866" s="1" t="n">
        <v>50</v>
      </c>
      <c r="P866" s="1" t="n">
        <v>9999.5</v>
      </c>
      <c r="Q866" s="1" t="n">
        <v>9999.5</v>
      </c>
      <c r="R866" s="1" t="n">
        <v>1799.91</v>
      </c>
      <c r="S866" s="1" t="n">
        <v>8199.59</v>
      </c>
      <c r="T866" s="1" t="n">
        <v>4325.73</v>
      </c>
      <c r="U866" s="1" t="n">
        <v>3873.86</v>
      </c>
      <c r="V866" s="1" t="n">
        <v>47.24</v>
      </c>
      <c r="W866" s="1" t="s">
        <v>39</v>
      </c>
      <c r="X866" s="1" t="n">
        <v>4</v>
      </c>
      <c r="Y866" s="1" t="s">
        <v>40</v>
      </c>
      <c r="Z866" s="1" t="n">
        <v>0</v>
      </c>
    </row>
    <row r="867" customFormat="false" ht="15" hidden="false" customHeight="true" outlineLevel="0" collapsed="false">
      <c r="A867" s="1" t="s">
        <v>1542</v>
      </c>
      <c r="B867" s="1" t="s">
        <v>1543</v>
      </c>
      <c r="C867" s="1" t="s">
        <v>119</v>
      </c>
      <c r="D867" s="1" t="s">
        <v>168</v>
      </c>
      <c r="E867" s="1" t="s">
        <v>172</v>
      </c>
      <c r="F867" s="1" t="s">
        <v>140</v>
      </c>
      <c r="G867" s="1" t="s">
        <v>97</v>
      </c>
      <c r="H867" s="1" t="s">
        <v>57</v>
      </c>
      <c r="I867" s="1" t="s">
        <v>34</v>
      </c>
      <c r="J867" s="1" t="s">
        <v>35</v>
      </c>
      <c r="K867" s="1" t="s">
        <v>112</v>
      </c>
      <c r="L867" s="1" t="s">
        <v>61</v>
      </c>
      <c r="M867" s="1" t="s">
        <v>62</v>
      </c>
      <c r="N867" s="1" t="n">
        <v>6999</v>
      </c>
      <c r="O867" s="1" t="n">
        <v>40</v>
      </c>
      <c r="P867" s="1" t="n">
        <v>2799.6</v>
      </c>
      <c r="Q867" s="1" t="n">
        <v>4199.4</v>
      </c>
      <c r="R867" s="1" t="n">
        <v>755.89</v>
      </c>
      <c r="S867" s="1" t="n">
        <v>3443.51</v>
      </c>
      <c r="T867" s="1" t="n">
        <v>1945.31</v>
      </c>
      <c r="U867" s="1" t="n">
        <v>1498.2</v>
      </c>
      <c r="V867" s="1" t="n">
        <v>43.51</v>
      </c>
      <c r="W867" s="1" t="s">
        <v>40</v>
      </c>
      <c r="Y867" s="1" t="s">
        <v>40</v>
      </c>
      <c r="Z867" s="1" t="n">
        <v>1</v>
      </c>
    </row>
    <row r="868" customFormat="false" ht="15" hidden="false" customHeight="true" outlineLevel="0" collapsed="false">
      <c r="A868" s="1" t="s">
        <v>1544</v>
      </c>
      <c r="B868" s="1" t="s">
        <v>1410</v>
      </c>
      <c r="C868" s="1" t="s">
        <v>74</v>
      </c>
      <c r="D868" s="1" t="s">
        <v>44</v>
      </c>
      <c r="E868" s="1" t="s">
        <v>66</v>
      </c>
      <c r="F868" s="1" t="s">
        <v>156</v>
      </c>
      <c r="G868" s="1" t="s">
        <v>68</v>
      </c>
      <c r="H868" s="1" t="s">
        <v>57</v>
      </c>
      <c r="I868" s="1" t="s">
        <v>83</v>
      </c>
      <c r="J868" s="1" t="s">
        <v>131</v>
      </c>
      <c r="K868" s="1" t="s">
        <v>36</v>
      </c>
      <c r="L868" s="1" t="s">
        <v>37</v>
      </c>
      <c r="M868" s="1" t="s">
        <v>50</v>
      </c>
      <c r="N868" s="1" t="n">
        <v>12999</v>
      </c>
      <c r="O868" s="1" t="n">
        <v>20</v>
      </c>
      <c r="P868" s="1" t="n">
        <v>2599.8</v>
      </c>
      <c r="Q868" s="1" t="n">
        <v>10399.2</v>
      </c>
      <c r="R868" s="1" t="n">
        <v>1871.86</v>
      </c>
      <c r="S868" s="1" t="n">
        <v>8527.34</v>
      </c>
      <c r="T868" s="1" t="n">
        <v>4203.8</v>
      </c>
      <c r="U868" s="1" t="n">
        <v>4323.54</v>
      </c>
      <c r="V868" s="1" t="n">
        <v>50.7</v>
      </c>
      <c r="W868" s="1" t="s">
        <v>39</v>
      </c>
      <c r="Y868" s="1" t="s">
        <v>40</v>
      </c>
      <c r="Z868" s="1" t="n">
        <v>0</v>
      </c>
    </row>
    <row r="869" customFormat="false" ht="15" hidden="false" customHeight="true" outlineLevel="0" collapsed="false">
      <c r="A869" s="1" t="s">
        <v>1545</v>
      </c>
      <c r="B869" s="1" t="s">
        <v>528</v>
      </c>
      <c r="C869" s="1" t="s">
        <v>178</v>
      </c>
      <c r="D869" s="1" t="s">
        <v>29</v>
      </c>
      <c r="E869" s="1" t="s">
        <v>30</v>
      </c>
      <c r="F869" s="1" t="s">
        <v>184</v>
      </c>
      <c r="G869" s="1" t="s">
        <v>56</v>
      </c>
      <c r="H869" s="1" t="s">
        <v>57</v>
      </c>
      <c r="I869" s="1" t="s">
        <v>34</v>
      </c>
      <c r="J869" s="1" t="s">
        <v>35</v>
      </c>
      <c r="K869" s="1" t="s">
        <v>112</v>
      </c>
      <c r="L869" s="1" t="s">
        <v>136</v>
      </c>
      <c r="M869" s="1" t="s">
        <v>38</v>
      </c>
      <c r="N869" s="1" t="n">
        <v>7999</v>
      </c>
      <c r="O869" s="1" t="n">
        <v>50</v>
      </c>
      <c r="P869" s="1" t="n">
        <v>3999.5</v>
      </c>
      <c r="Q869" s="1" t="n">
        <v>3999.5</v>
      </c>
      <c r="R869" s="1" t="n">
        <v>719.91</v>
      </c>
      <c r="S869" s="1" t="n">
        <v>3279.59</v>
      </c>
      <c r="T869" s="1" t="n">
        <v>1694.98</v>
      </c>
      <c r="U869" s="1" t="n">
        <v>1584.61</v>
      </c>
      <c r="V869" s="1" t="n">
        <v>48.32</v>
      </c>
      <c r="W869" s="1" t="s">
        <v>40</v>
      </c>
      <c r="Y869" s="1" t="s">
        <v>40</v>
      </c>
      <c r="Z869" s="1" t="n">
        <v>2</v>
      </c>
    </row>
    <row r="870" customFormat="false" ht="15" hidden="false" customHeight="true" outlineLevel="0" collapsed="false">
      <c r="A870" s="1" t="s">
        <v>1546</v>
      </c>
      <c r="B870" s="1" t="s">
        <v>1094</v>
      </c>
      <c r="C870" s="1" t="s">
        <v>119</v>
      </c>
      <c r="D870" s="1" t="s">
        <v>44</v>
      </c>
      <c r="E870" s="1" t="s">
        <v>221</v>
      </c>
      <c r="F870" s="1" t="s">
        <v>156</v>
      </c>
      <c r="G870" s="1" t="s">
        <v>68</v>
      </c>
      <c r="H870" s="1" t="s">
        <v>57</v>
      </c>
      <c r="I870" s="1" t="s">
        <v>34</v>
      </c>
      <c r="J870" s="1" t="s">
        <v>77</v>
      </c>
      <c r="K870" s="1" t="s">
        <v>112</v>
      </c>
      <c r="L870" s="1" t="s">
        <v>136</v>
      </c>
      <c r="M870" s="1" t="s">
        <v>62</v>
      </c>
      <c r="N870" s="1" t="n">
        <v>16999</v>
      </c>
      <c r="O870" s="1" t="n">
        <v>15</v>
      </c>
      <c r="P870" s="1" t="n">
        <v>2549.85</v>
      </c>
      <c r="Q870" s="1" t="n">
        <v>14449.15</v>
      </c>
      <c r="R870" s="1" t="n">
        <v>2600.85</v>
      </c>
      <c r="S870" s="1" t="n">
        <v>11848.3</v>
      </c>
      <c r="T870" s="1" t="n">
        <v>5333.73</v>
      </c>
      <c r="U870" s="1" t="n">
        <v>6514.57</v>
      </c>
      <c r="V870" s="1" t="n">
        <v>54.98</v>
      </c>
      <c r="W870" s="1" t="s">
        <v>39</v>
      </c>
      <c r="X870" s="1" t="n">
        <v>3.7</v>
      </c>
      <c r="Y870" s="1" t="s">
        <v>40</v>
      </c>
      <c r="Z870" s="1" t="n">
        <v>0</v>
      </c>
    </row>
    <row r="871" customFormat="false" ht="15" hidden="false" customHeight="true" outlineLevel="0" collapsed="false">
      <c r="A871" s="1" t="s">
        <v>1547</v>
      </c>
      <c r="B871" s="1" t="s">
        <v>933</v>
      </c>
      <c r="C871" s="1" t="s">
        <v>119</v>
      </c>
      <c r="D871" s="1" t="s">
        <v>143</v>
      </c>
      <c r="E871" s="1" t="s">
        <v>210</v>
      </c>
      <c r="F871" s="1" t="s">
        <v>55</v>
      </c>
      <c r="G871" s="1" t="s">
        <v>56</v>
      </c>
      <c r="H871" s="1" t="s">
        <v>57</v>
      </c>
      <c r="I871" s="1" t="s">
        <v>58</v>
      </c>
      <c r="J871" s="1" t="s">
        <v>131</v>
      </c>
      <c r="K871" s="1" t="s">
        <v>60</v>
      </c>
      <c r="L871" s="1" t="s">
        <v>61</v>
      </c>
      <c r="M871" s="1" t="s">
        <v>62</v>
      </c>
      <c r="N871" s="1" t="n">
        <v>18999</v>
      </c>
      <c r="O871" s="1" t="n">
        <v>0</v>
      </c>
      <c r="P871" s="1" t="n">
        <v>0</v>
      </c>
      <c r="Q871" s="1" t="n">
        <v>18999</v>
      </c>
      <c r="R871" s="1" t="n">
        <v>3419.82</v>
      </c>
      <c r="S871" s="1" t="n">
        <v>15579.18</v>
      </c>
      <c r="T871" s="1" t="n">
        <v>6252.89</v>
      </c>
      <c r="U871" s="1" t="n">
        <v>9326.29</v>
      </c>
      <c r="V871" s="1" t="n">
        <v>59.86</v>
      </c>
      <c r="W871" s="1" t="s">
        <v>40</v>
      </c>
      <c r="Y871" s="1" t="s">
        <v>40</v>
      </c>
      <c r="Z871" s="1" t="n">
        <v>1</v>
      </c>
    </row>
    <row r="872" customFormat="false" ht="15" hidden="false" customHeight="true" outlineLevel="0" collapsed="false">
      <c r="A872" s="1" t="s">
        <v>1548</v>
      </c>
      <c r="B872" s="1" t="s">
        <v>1089</v>
      </c>
      <c r="C872" s="1" t="s">
        <v>139</v>
      </c>
      <c r="D872" s="1" t="s">
        <v>80</v>
      </c>
      <c r="E872" s="1" t="s">
        <v>175</v>
      </c>
      <c r="F872" s="1" t="s">
        <v>55</v>
      </c>
      <c r="G872" s="1" t="s">
        <v>56</v>
      </c>
      <c r="H872" s="1" t="s">
        <v>57</v>
      </c>
      <c r="I872" s="1" t="s">
        <v>58</v>
      </c>
      <c r="J872" s="1" t="s">
        <v>59</v>
      </c>
      <c r="K872" s="1" t="s">
        <v>36</v>
      </c>
      <c r="L872" s="1" t="s">
        <v>85</v>
      </c>
      <c r="M872" s="1" t="s">
        <v>38</v>
      </c>
      <c r="N872" s="1" t="n">
        <v>19999</v>
      </c>
      <c r="O872" s="1" t="n">
        <v>5</v>
      </c>
      <c r="P872" s="1" t="n">
        <v>999.95</v>
      </c>
      <c r="Q872" s="1" t="n">
        <v>18999.05</v>
      </c>
      <c r="R872" s="1" t="n">
        <v>3419.83</v>
      </c>
      <c r="S872" s="1" t="n">
        <v>15579.22</v>
      </c>
      <c r="T872" s="1" t="n">
        <v>6627.6</v>
      </c>
      <c r="U872" s="1" t="n">
        <v>8951.62</v>
      </c>
      <c r="V872" s="1" t="n">
        <v>57.46</v>
      </c>
      <c r="W872" s="1" t="s">
        <v>40</v>
      </c>
      <c r="Y872" s="1" t="s">
        <v>40</v>
      </c>
      <c r="Z872" s="1" t="n">
        <v>0</v>
      </c>
    </row>
    <row r="873" customFormat="false" ht="15" hidden="false" customHeight="true" outlineLevel="0" collapsed="false">
      <c r="A873" s="1" t="s">
        <v>1549</v>
      </c>
      <c r="B873" s="1" t="s">
        <v>1550</v>
      </c>
      <c r="C873" s="1" t="s">
        <v>119</v>
      </c>
      <c r="D873" s="1" t="s">
        <v>29</v>
      </c>
      <c r="E873" s="1" t="s">
        <v>129</v>
      </c>
      <c r="F873" s="1" t="s">
        <v>205</v>
      </c>
      <c r="G873" s="1" t="s">
        <v>56</v>
      </c>
      <c r="H873" s="1" t="s">
        <v>69</v>
      </c>
      <c r="I873" s="1" t="s">
        <v>58</v>
      </c>
      <c r="J873" s="1" t="s">
        <v>35</v>
      </c>
      <c r="K873" s="1" t="s">
        <v>60</v>
      </c>
      <c r="L873" s="1" t="s">
        <v>113</v>
      </c>
      <c r="M873" s="1" t="s">
        <v>50</v>
      </c>
      <c r="N873" s="1" t="n">
        <v>29999</v>
      </c>
      <c r="O873" s="1" t="n">
        <v>10</v>
      </c>
      <c r="P873" s="1" t="n">
        <v>2999.9</v>
      </c>
      <c r="Q873" s="1" t="n">
        <v>26999.1</v>
      </c>
      <c r="R873" s="1" t="n">
        <v>4859.84</v>
      </c>
      <c r="S873" s="1" t="n">
        <v>22139.26</v>
      </c>
      <c r="T873" s="1" t="n">
        <v>6518.85</v>
      </c>
      <c r="U873" s="1" t="n">
        <v>15620.41</v>
      </c>
      <c r="V873" s="1" t="n">
        <v>70.56</v>
      </c>
      <c r="W873" s="1" t="s">
        <v>39</v>
      </c>
      <c r="Y873" s="1" t="s">
        <v>40</v>
      </c>
      <c r="Z873" s="1" t="n">
        <v>0</v>
      </c>
    </row>
    <row r="874" customFormat="false" ht="15" hidden="false" customHeight="true" outlineLevel="0" collapsed="false">
      <c r="A874" s="1" t="s">
        <v>1551</v>
      </c>
      <c r="B874" s="1" t="s">
        <v>1111</v>
      </c>
      <c r="C874" s="1" t="s">
        <v>65</v>
      </c>
      <c r="D874" s="1" t="s">
        <v>80</v>
      </c>
      <c r="E874" s="1" t="s">
        <v>193</v>
      </c>
      <c r="F874" s="1" t="s">
        <v>153</v>
      </c>
      <c r="G874" s="1" t="s">
        <v>76</v>
      </c>
      <c r="H874" s="1" t="s">
        <v>33</v>
      </c>
      <c r="I874" s="1" t="s">
        <v>34</v>
      </c>
      <c r="J874" s="1" t="s">
        <v>131</v>
      </c>
      <c r="K874" s="1" t="s">
        <v>71</v>
      </c>
      <c r="L874" s="1" t="s">
        <v>85</v>
      </c>
      <c r="M874" s="1" t="s">
        <v>38</v>
      </c>
      <c r="N874" s="1" t="n">
        <v>8999</v>
      </c>
      <c r="O874" s="1" t="n">
        <v>20</v>
      </c>
      <c r="P874" s="1" t="n">
        <v>1799.8</v>
      </c>
      <c r="Q874" s="1" t="n">
        <v>7199.2</v>
      </c>
      <c r="R874" s="1" t="n">
        <v>1295.86</v>
      </c>
      <c r="S874" s="1" t="n">
        <v>5903.34</v>
      </c>
      <c r="T874" s="1" t="n">
        <v>2688.29</v>
      </c>
      <c r="U874" s="1" t="n">
        <v>3215.05</v>
      </c>
      <c r="V874" s="1" t="n">
        <v>54.46</v>
      </c>
      <c r="W874" s="1" t="s">
        <v>39</v>
      </c>
      <c r="Y874" s="1" t="s">
        <v>40</v>
      </c>
      <c r="Z874" s="1" t="n">
        <v>0</v>
      </c>
    </row>
    <row r="875" customFormat="false" ht="15" hidden="false" customHeight="true" outlineLevel="0" collapsed="false">
      <c r="A875" s="1" t="s">
        <v>1552</v>
      </c>
      <c r="B875" s="1" t="s">
        <v>1553</v>
      </c>
      <c r="C875" s="1" t="s">
        <v>43</v>
      </c>
      <c r="D875" s="1" t="s">
        <v>168</v>
      </c>
      <c r="E875" s="1" t="s">
        <v>172</v>
      </c>
      <c r="F875" s="1" t="s">
        <v>244</v>
      </c>
      <c r="G875" s="1" t="s">
        <v>97</v>
      </c>
      <c r="H875" s="1" t="s">
        <v>57</v>
      </c>
      <c r="I875" s="1" t="s">
        <v>58</v>
      </c>
      <c r="J875" s="1" t="s">
        <v>131</v>
      </c>
      <c r="K875" s="1" t="s">
        <v>71</v>
      </c>
      <c r="L875" s="1" t="s">
        <v>37</v>
      </c>
      <c r="M875" s="1" t="s">
        <v>50</v>
      </c>
      <c r="N875" s="1" t="n">
        <v>6999</v>
      </c>
      <c r="O875" s="1" t="n">
        <v>0</v>
      </c>
      <c r="P875" s="1" t="n">
        <v>0</v>
      </c>
      <c r="Q875" s="1" t="n">
        <v>6999</v>
      </c>
      <c r="R875" s="1" t="n">
        <v>1259.82</v>
      </c>
      <c r="S875" s="1" t="n">
        <v>5739.18</v>
      </c>
      <c r="T875" s="1" t="n">
        <v>2556.65</v>
      </c>
      <c r="U875" s="1" t="n">
        <v>3182.53</v>
      </c>
      <c r="V875" s="1" t="n">
        <v>55.45</v>
      </c>
      <c r="W875" s="1" t="s">
        <v>39</v>
      </c>
      <c r="X875" s="1" t="n">
        <v>4.1</v>
      </c>
      <c r="Y875" s="1" t="s">
        <v>40</v>
      </c>
      <c r="Z875" s="1" t="n">
        <v>1</v>
      </c>
    </row>
    <row r="876" customFormat="false" ht="15" hidden="false" customHeight="true" outlineLevel="0" collapsed="false">
      <c r="A876" s="1" t="s">
        <v>1554</v>
      </c>
      <c r="B876" s="1" t="s">
        <v>515</v>
      </c>
      <c r="C876" s="1" t="s">
        <v>128</v>
      </c>
      <c r="D876" s="1" t="s">
        <v>143</v>
      </c>
      <c r="E876" s="1" t="s">
        <v>159</v>
      </c>
      <c r="F876" s="1" t="s">
        <v>125</v>
      </c>
      <c r="G876" s="1" t="s">
        <v>108</v>
      </c>
      <c r="H876" s="1" t="s">
        <v>69</v>
      </c>
      <c r="I876" s="1" t="s">
        <v>83</v>
      </c>
      <c r="J876" s="1" t="s">
        <v>35</v>
      </c>
      <c r="K876" s="1" t="s">
        <v>60</v>
      </c>
      <c r="L876" s="1" t="s">
        <v>136</v>
      </c>
      <c r="M876" s="1" t="s">
        <v>50</v>
      </c>
      <c r="N876" s="1" t="n">
        <v>24999</v>
      </c>
      <c r="O876" s="1" t="n">
        <v>0</v>
      </c>
      <c r="P876" s="1" t="n">
        <v>0</v>
      </c>
      <c r="Q876" s="1" t="n">
        <v>24999</v>
      </c>
      <c r="R876" s="1" t="n">
        <v>4499.82</v>
      </c>
      <c r="S876" s="1" t="n">
        <v>20499.18</v>
      </c>
      <c r="T876" s="1" t="n">
        <v>7632.95</v>
      </c>
      <c r="U876" s="1" t="n">
        <v>12866.23</v>
      </c>
      <c r="V876" s="1" t="n">
        <v>62.76</v>
      </c>
      <c r="W876" s="1" t="s">
        <v>39</v>
      </c>
      <c r="X876" s="1" t="n">
        <v>3.3</v>
      </c>
      <c r="Y876" s="1" t="s">
        <v>40</v>
      </c>
      <c r="Z876" s="1" t="n">
        <v>0</v>
      </c>
    </row>
    <row r="877" customFormat="false" ht="15" hidden="false" customHeight="true" outlineLevel="0" collapsed="false">
      <c r="A877" s="1" t="s">
        <v>1555</v>
      </c>
      <c r="B877" s="1" t="s">
        <v>1556</v>
      </c>
      <c r="C877" s="1" t="s">
        <v>264</v>
      </c>
      <c r="D877" s="1" t="s">
        <v>143</v>
      </c>
      <c r="E877" s="1" t="s">
        <v>243</v>
      </c>
      <c r="F877" s="1" t="s">
        <v>55</v>
      </c>
      <c r="G877" s="1" t="s">
        <v>56</v>
      </c>
      <c r="H877" s="1" t="s">
        <v>57</v>
      </c>
      <c r="I877" s="1" t="s">
        <v>83</v>
      </c>
      <c r="J877" s="1" t="s">
        <v>77</v>
      </c>
      <c r="K877" s="1" t="s">
        <v>71</v>
      </c>
      <c r="L877" s="1" t="s">
        <v>136</v>
      </c>
      <c r="M877" s="1" t="s">
        <v>62</v>
      </c>
      <c r="N877" s="1" t="n">
        <v>22999</v>
      </c>
      <c r="O877" s="1" t="n">
        <v>15</v>
      </c>
      <c r="P877" s="1" t="n">
        <v>3449.85</v>
      </c>
      <c r="Q877" s="1" t="n">
        <v>19549.15</v>
      </c>
      <c r="R877" s="1" t="n">
        <v>3518.85</v>
      </c>
      <c r="S877" s="1" t="n">
        <v>16030.3</v>
      </c>
      <c r="T877" s="1" t="n">
        <v>8479.58</v>
      </c>
      <c r="U877" s="1" t="n">
        <v>7550.72</v>
      </c>
      <c r="V877" s="1" t="n">
        <v>47.1</v>
      </c>
      <c r="W877" s="1" t="s">
        <v>40</v>
      </c>
      <c r="Y877" s="1" t="s">
        <v>40</v>
      </c>
      <c r="Z877" s="1" t="n">
        <v>1</v>
      </c>
    </row>
    <row r="878" customFormat="false" ht="15" hidden="false" customHeight="true" outlineLevel="0" collapsed="false">
      <c r="A878" s="1" t="s">
        <v>1557</v>
      </c>
      <c r="B878" s="1" t="s">
        <v>1558</v>
      </c>
      <c r="C878" s="1" t="s">
        <v>139</v>
      </c>
      <c r="D878" s="1" t="s">
        <v>80</v>
      </c>
      <c r="E878" s="1" t="s">
        <v>190</v>
      </c>
      <c r="F878" s="1" t="s">
        <v>153</v>
      </c>
      <c r="G878" s="1" t="s">
        <v>76</v>
      </c>
      <c r="H878" s="1" t="s">
        <v>33</v>
      </c>
      <c r="I878" s="1" t="s">
        <v>58</v>
      </c>
      <c r="J878" s="1" t="s">
        <v>70</v>
      </c>
      <c r="K878" s="1" t="s">
        <v>71</v>
      </c>
      <c r="L878" s="1" t="s">
        <v>49</v>
      </c>
      <c r="M878" s="1" t="s">
        <v>38</v>
      </c>
      <c r="N878" s="1" t="n">
        <v>15999</v>
      </c>
      <c r="O878" s="1" t="n">
        <v>10</v>
      </c>
      <c r="P878" s="1" t="n">
        <v>1599.9</v>
      </c>
      <c r="Q878" s="1" t="n">
        <v>14399.1</v>
      </c>
      <c r="R878" s="1" t="n">
        <v>2591.84</v>
      </c>
      <c r="S878" s="1" t="n">
        <v>11807.26</v>
      </c>
      <c r="T878" s="1" t="n">
        <v>5973.4</v>
      </c>
      <c r="U878" s="1" t="n">
        <v>5833.86</v>
      </c>
      <c r="V878" s="1" t="n">
        <v>49.41</v>
      </c>
      <c r="W878" s="1" t="s">
        <v>39</v>
      </c>
      <c r="X878" s="1" t="n">
        <v>3.2</v>
      </c>
      <c r="Y878" s="1" t="s">
        <v>40</v>
      </c>
      <c r="Z878" s="1" t="n">
        <v>1</v>
      </c>
    </row>
    <row r="879" customFormat="false" ht="15" hidden="false" customHeight="true" outlineLevel="0" collapsed="false">
      <c r="A879" s="1" t="s">
        <v>1559</v>
      </c>
      <c r="B879" s="1" t="s">
        <v>1346</v>
      </c>
      <c r="C879" s="1" t="s">
        <v>249</v>
      </c>
      <c r="D879" s="1" t="s">
        <v>94</v>
      </c>
      <c r="E879" s="1" t="s">
        <v>135</v>
      </c>
      <c r="F879" s="1" t="s">
        <v>31</v>
      </c>
      <c r="G879" s="1" t="s">
        <v>32</v>
      </c>
      <c r="H879" s="1" t="s">
        <v>33</v>
      </c>
      <c r="I879" s="1" t="s">
        <v>83</v>
      </c>
      <c r="J879" s="1" t="s">
        <v>131</v>
      </c>
      <c r="K879" s="1" t="s">
        <v>112</v>
      </c>
      <c r="L879" s="1" t="s">
        <v>113</v>
      </c>
      <c r="M879" s="1" t="s">
        <v>38</v>
      </c>
      <c r="N879" s="1" t="n">
        <v>9999</v>
      </c>
      <c r="O879" s="1" t="n">
        <v>10</v>
      </c>
      <c r="P879" s="1" t="n">
        <v>999.9</v>
      </c>
      <c r="Q879" s="1" t="n">
        <v>8999.1</v>
      </c>
      <c r="R879" s="1" t="n">
        <v>1619.84</v>
      </c>
      <c r="S879" s="1" t="n">
        <v>7379.26</v>
      </c>
      <c r="T879" s="1" t="n">
        <v>3287.38</v>
      </c>
      <c r="U879" s="1" t="n">
        <v>4091.88</v>
      </c>
      <c r="V879" s="1" t="n">
        <v>55.45</v>
      </c>
      <c r="W879" s="1" t="s">
        <v>39</v>
      </c>
      <c r="Y879" s="1" t="s">
        <v>39</v>
      </c>
      <c r="Z879" s="1" t="n">
        <v>1</v>
      </c>
    </row>
    <row r="880" customFormat="false" ht="15" hidden="false" customHeight="true" outlineLevel="0" collapsed="false">
      <c r="A880" s="1" t="s">
        <v>1560</v>
      </c>
      <c r="B880" s="1" t="s">
        <v>389</v>
      </c>
      <c r="C880" s="1" t="s">
        <v>93</v>
      </c>
      <c r="D880" s="1" t="s">
        <v>94</v>
      </c>
      <c r="E880" s="1" t="s">
        <v>101</v>
      </c>
      <c r="F880" s="1" t="s">
        <v>244</v>
      </c>
      <c r="G880" s="1" t="s">
        <v>97</v>
      </c>
      <c r="H880" s="1" t="s">
        <v>57</v>
      </c>
      <c r="I880" s="1" t="s">
        <v>83</v>
      </c>
      <c r="J880" s="1" t="s">
        <v>131</v>
      </c>
      <c r="K880" s="1" t="s">
        <v>60</v>
      </c>
      <c r="L880" s="1" t="s">
        <v>49</v>
      </c>
      <c r="M880" s="1" t="s">
        <v>62</v>
      </c>
      <c r="N880" s="1" t="n">
        <v>14999</v>
      </c>
      <c r="O880" s="1" t="n">
        <v>10</v>
      </c>
      <c r="P880" s="1" t="n">
        <v>1499.9</v>
      </c>
      <c r="Q880" s="1" t="n">
        <v>13499.1</v>
      </c>
      <c r="R880" s="1" t="n">
        <v>2429.84</v>
      </c>
      <c r="S880" s="1" t="n">
        <v>11069.26</v>
      </c>
      <c r="T880" s="1" t="n">
        <v>5741.87</v>
      </c>
      <c r="U880" s="1" t="n">
        <v>5327.39</v>
      </c>
      <c r="V880" s="1" t="n">
        <v>48.13</v>
      </c>
      <c r="W880" s="1" t="s">
        <v>40</v>
      </c>
      <c r="Y880" s="1" t="s">
        <v>40</v>
      </c>
      <c r="Z880" s="1" t="n">
        <v>1</v>
      </c>
    </row>
    <row r="881" customFormat="false" ht="15" hidden="false" customHeight="true" outlineLevel="0" collapsed="false">
      <c r="A881" s="1" t="s">
        <v>1561</v>
      </c>
      <c r="B881" s="1" t="s">
        <v>346</v>
      </c>
      <c r="C881" s="1" t="s">
        <v>65</v>
      </c>
      <c r="D881" s="1" t="s">
        <v>94</v>
      </c>
      <c r="E881" s="1" t="s">
        <v>101</v>
      </c>
      <c r="F881" s="1" t="s">
        <v>205</v>
      </c>
      <c r="G881" s="1" t="s">
        <v>56</v>
      </c>
      <c r="H881" s="1" t="s">
        <v>69</v>
      </c>
      <c r="I881" s="1" t="s">
        <v>58</v>
      </c>
      <c r="J881" s="1" t="s">
        <v>59</v>
      </c>
      <c r="K881" s="1" t="s">
        <v>84</v>
      </c>
      <c r="L881" s="1" t="s">
        <v>113</v>
      </c>
      <c r="M881" s="1" t="s">
        <v>50</v>
      </c>
      <c r="N881" s="1" t="n">
        <v>14999</v>
      </c>
      <c r="O881" s="1" t="n">
        <v>0</v>
      </c>
      <c r="P881" s="1" t="n">
        <v>0</v>
      </c>
      <c r="Q881" s="1" t="n">
        <v>14999</v>
      </c>
      <c r="R881" s="1" t="n">
        <v>2699.82</v>
      </c>
      <c r="S881" s="1" t="n">
        <v>12299.18</v>
      </c>
      <c r="T881" s="1" t="n">
        <v>5347.07</v>
      </c>
      <c r="U881" s="1" t="n">
        <v>6952.11</v>
      </c>
      <c r="V881" s="1" t="n">
        <v>56.52</v>
      </c>
      <c r="W881" s="1" t="s">
        <v>39</v>
      </c>
      <c r="X881" s="1" t="n">
        <v>3.6</v>
      </c>
      <c r="Y881" s="1" t="s">
        <v>40</v>
      </c>
      <c r="Z881" s="1" t="n">
        <v>0</v>
      </c>
    </row>
    <row r="882" customFormat="false" ht="15" hidden="false" customHeight="true" outlineLevel="0" collapsed="false">
      <c r="A882" s="1" t="s">
        <v>1562</v>
      </c>
      <c r="B882" s="1" t="s">
        <v>1563</v>
      </c>
      <c r="C882" s="1" t="s">
        <v>28</v>
      </c>
      <c r="D882" s="1" t="s">
        <v>53</v>
      </c>
      <c r="E882" s="1" t="s">
        <v>216</v>
      </c>
      <c r="F882" s="1" t="s">
        <v>194</v>
      </c>
      <c r="G882" s="1" t="s">
        <v>103</v>
      </c>
      <c r="H882" s="1" t="s">
        <v>69</v>
      </c>
      <c r="I882" s="1" t="s">
        <v>58</v>
      </c>
      <c r="J882" s="1" t="s">
        <v>77</v>
      </c>
      <c r="K882" s="1" t="s">
        <v>71</v>
      </c>
      <c r="L882" s="1" t="s">
        <v>61</v>
      </c>
      <c r="M882" s="1" t="s">
        <v>62</v>
      </c>
      <c r="N882" s="1" t="n">
        <v>7499</v>
      </c>
      <c r="O882" s="1" t="n">
        <v>5</v>
      </c>
      <c r="P882" s="1" t="n">
        <v>374.95</v>
      </c>
      <c r="Q882" s="1" t="n">
        <v>7124.05</v>
      </c>
      <c r="R882" s="1" t="n">
        <v>1282.33</v>
      </c>
      <c r="S882" s="1" t="n">
        <v>5841.72</v>
      </c>
      <c r="T882" s="1" t="n">
        <v>2045.82</v>
      </c>
      <c r="U882" s="1" t="n">
        <v>3795.9</v>
      </c>
      <c r="V882" s="1" t="n">
        <v>64.98</v>
      </c>
      <c r="W882" s="1" t="s">
        <v>39</v>
      </c>
      <c r="Y882" s="1" t="s">
        <v>40</v>
      </c>
      <c r="Z882" s="1" t="n">
        <v>0</v>
      </c>
    </row>
    <row r="883" customFormat="false" ht="15" hidden="false" customHeight="true" outlineLevel="0" collapsed="false">
      <c r="A883" s="1" t="s">
        <v>1564</v>
      </c>
      <c r="B883" s="1" t="s">
        <v>1565</v>
      </c>
      <c r="C883" s="1" t="s">
        <v>28</v>
      </c>
      <c r="D883" s="1" t="s">
        <v>94</v>
      </c>
      <c r="E883" s="1" t="s">
        <v>101</v>
      </c>
      <c r="F883" s="1" t="s">
        <v>244</v>
      </c>
      <c r="G883" s="1" t="s">
        <v>97</v>
      </c>
      <c r="H883" s="1" t="s">
        <v>57</v>
      </c>
      <c r="I883" s="1" t="s">
        <v>34</v>
      </c>
      <c r="J883" s="1" t="s">
        <v>131</v>
      </c>
      <c r="K883" s="1" t="s">
        <v>90</v>
      </c>
      <c r="L883" s="1" t="s">
        <v>113</v>
      </c>
      <c r="M883" s="1" t="s">
        <v>62</v>
      </c>
      <c r="N883" s="1" t="n">
        <v>14999</v>
      </c>
      <c r="O883" s="1" t="n">
        <v>30</v>
      </c>
      <c r="P883" s="1" t="n">
        <v>4499.7</v>
      </c>
      <c r="Q883" s="1" t="n">
        <v>10499.3</v>
      </c>
      <c r="R883" s="1" t="n">
        <v>1889.87</v>
      </c>
      <c r="S883" s="1" t="n">
        <v>8609.43</v>
      </c>
      <c r="T883" s="1" t="n">
        <v>3923.69</v>
      </c>
      <c r="U883" s="1" t="n">
        <v>4685.74</v>
      </c>
      <c r="V883" s="1" t="n">
        <v>54.43</v>
      </c>
      <c r="W883" s="1" t="s">
        <v>39</v>
      </c>
      <c r="X883" s="1" t="n">
        <v>3.8</v>
      </c>
      <c r="Y883" s="1" t="s">
        <v>40</v>
      </c>
      <c r="Z883" s="1" t="n">
        <v>0</v>
      </c>
    </row>
    <row r="884" customFormat="false" ht="15" hidden="false" customHeight="true" outlineLevel="0" collapsed="false">
      <c r="A884" s="1" t="s">
        <v>1566</v>
      </c>
      <c r="B884" s="1" t="s">
        <v>680</v>
      </c>
      <c r="C884" s="1" t="s">
        <v>249</v>
      </c>
      <c r="D884" s="1" t="s">
        <v>143</v>
      </c>
      <c r="E884" s="1" t="s">
        <v>159</v>
      </c>
      <c r="F884" s="1" t="s">
        <v>46</v>
      </c>
      <c r="G884" s="1" t="s">
        <v>47</v>
      </c>
      <c r="H884" s="1" t="s">
        <v>33</v>
      </c>
      <c r="I884" s="1" t="s">
        <v>83</v>
      </c>
      <c r="J884" s="1" t="s">
        <v>131</v>
      </c>
      <c r="K884" s="1" t="s">
        <v>71</v>
      </c>
      <c r="L884" s="1" t="s">
        <v>49</v>
      </c>
      <c r="M884" s="1" t="s">
        <v>38</v>
      </c>
      <c r="N884" s="1" t="n">
        <v>24999</v>
      </c>
      <c r="O884" s="1" t="n">
        <v>30</v>
      </c>
      <c r="P884" s="1" t="n">
        <v>7499.7</v>
      </c>
      <c r="Q884" s="1" t="n">
        <v>17499.3</v>
      </c>
      <c r="R884" s="1" t="n">
        <v>3149.87</v>
      </c>
      <c r="S884" s="1" t="n">
        <v>14349.43</v>
      </c>
      <c r="T884" s="1" t="n">
        <v>5870.56</v>
      </c>
      <c r="U884" s="1" t="n">
        <v>8478.87</v>
      </c>
      <c r="V884" s="1" t="n">
        <v>59.09</v>
      </c>
      <c r="W884" s="1" t="s">
        <v>39</v>
      </c>
      <c r="X884" s="1" t="n">
        <v>4.3</v>
      </c>
      <c r="Y884" s="1" t="s">
        <v>40</v>
      </c>
      <c r="Z884" s="1" t="n">
        <v>0</v>
      </c>
    </row>
    <row r="885" customFormat="false" ht="15" hidden="false" customHeight="true" outlineLevel="0" collapsed="false">
      <c r="A885" s="1" t="s">
        <v>1567</v>
      </c>
      <c r="B885" s="1" t="s">
        <v>1285</v>
      </c>
      <c r="C885" s="1" t="s">
        <v>93</v>
      </c>
      <c r="D885" s="1" t="s">
        <v>94</v>
      </c>
      <c r="E885" s="1" t="s">
        <v>135</v>
      </c>
      <c r="F885" s="1" t="s">
        <v>156</v>
      </c>
      <c r="G885" s="1" t="s">
        <v>68</v>
      </c>
      <c r="H885" s="1" t="s">
        <v>57</v>
      </c>
      <c r="I885" s="1" t="s">
        <v>83</v>
      </c>
      <c r="J885" s="1" t="s">
        <v>131</v>
      </c>
      <c r="K885" s="1" t="s">
        <v>104</v>
      </c>
      <c r="L885" s="1" t="s">
        <v>85</v>
      </c>
      <c r="M885" s="1" t="s">
        <v>38</v>
      </c>
      <c r="N885" s="1" t="n">
        <v>9999</v>
      </c>
      <c r="O885" s="1" t="n">
        <v>10</v>
      </c>
      <c r="P885" s="1" t="n">
        <v>999.9</v>
      </c>
      <c r="Q885" s="1" t="n">
        <v>8999.1</v>
      </c>
      <c r="R885" s="1" t="n">
        <v>1619.84</v>
      </c>
      <c r="S885" s="1" t="n">
        <v>7379.26</v>
      </c>
      <c r="T885" s="1" t="n">
        <v>3109.55</v>
      </c>
      <c r="U885" s="1" t="n">
        <v>4269.71</v>
      </c>
      <c r="V885" s="1" t="n">
        <v>57.86</v>
      </c>
      <c r="W885" s="1" t="s">
        <v>39</v>
      </c>
      <c r="X885" s="1" t="n">
        <v>3.4</v>
      </c>
      <c r="Y885" s="1" t="s">
        <v>40</v>
      </c>
      <c r="Z885" s="1" t="n">
        <v>0</v>
      </c>
    </row>
    <row r="886" customFormat="false" ht="15" hidden="false" customHeight="true" outlineLevel="0" collapsed="false">
      <c r="A886" s="1" t="s">
        <v>1568</v>
      </c>
      <c r="B886" s="1" t="s">
        <v>913</v>
      </c>
      <c r="C886" s="1" t="s">
        <v>167</v>
      </c>
      <c r="D886" s="1" t="s">
        <v>80</v>
      </c>
      <c r="E886" s="1" t="s">
        <v>81</v>
      </c>
      <c r="F886" s="1" t="s">
        <v>150</v>
      </c>
      <c r="G886" s="1" t="s">
        <v>32</v>
      </c>
      <c r="H886" s="1" t="s">
        <v>57</v>
      </c>
      <c r="I886" s="1" t="s">
        <v>34</v>
      </c>
      <c r="J886" s="1" t="s">
        <v>35</v>
      </c>
      <c r="K886" s="1" t="s">
        <v>104</v>
      </c>
      <c r="L886" s="1" t="s">
        <v>85</v>
      </c>
      <c r="M886" s="1" t="s">
        <v>50</v>
      </c>
      <c r="N886" s="1" t="n">
        <v>12999</v>
      </c>
      <c r="O886" s="1" t="n">
        <v>10</v>
      </c>
      <c r="P886" s="1" t="n">
        <v>1299.9</v>
      </c>
      <c r="Q886" s="1" t="n">
        <v>11699.1</v>
      </c>
      <c r="R886" s="1" t="n">
        <v>2105.84</v>
      </c>
      <c r="S886" s="1" t="n">
        <v>9593.26</v>
      </c>
      <c r="T886" s="1" t="n">
        <v>3474.95</v>
      </c>
      <c r="U886" s="1" t="n">
        <v>6118.31</v>
      </c>
      <c r="V886" s="1" t="n">
        <v>63.78</v>
      </c>
      <c r="W886" s="1" t="s">
        <v>39</v>
      </c>
      <c r="X886" s="1" t="n">
        <v>4.2</v>
      </c>
      <c r="Y886" s="1" t="s">
        <v>40</v>
      </c>
      <c r="Z886" s="1" t="n">
        <v>0</v>
      </c>
    </row>
    <row r="887" customFormat="false" ht="15" hidden="false" customHeight="true" outlineLevel="0" collapsed="false">
      <c r="A887" s="1" t="s">
        <v>1569</v>
      </c>
      <c r="B887" s="1" t="s">
        <v>1570</v>
      </c>
      <c r="C887" s="1" t="s">
        <v>442</v>
      </c>
      <c r="D887" s="1" t="s">
        <v>123</v>
      </c>
      <c r="E887" s="1" t="s">
        <v>124</v>
      </c>
      <c r="F887" s="1" t="s">
        <v>140</v>
      </c>
      <c r="G887" s="1" t="s">
        <v>97</v>
      </c>
      <c r="H887" s="1" t="s">
        <v>57</v>
      </c>
      <c r="I887" s="1" t="s">
        <v>34</v>
      </c>
      <c r="J887" s="1" t="s">
        <v>131</v>
      </c>
      <c r="K887" s="1" t="s">
        <v>104</v>
      </c>
      <c r="L887" s="1" t="s">
        <v>61</v>
      </c>
      <c r="M887" s="1" t="s">
        <v>50</v>
      </c>
      <c r="N887" s="1" t="n">
        <v>4999</v>
      </c>
      <c r="O887" s="1" t="n">
        <v>40</v>
      </c>
      <c r="P887" s="1" t="n">
        <v>1999.6</v>
      </c>
      <c r="Q887" s="1" t="n">
        <v>2999.4</v>
      </c>
      <c r="R887" s="1" t="n">
        <v>539.89</v>
      </c>
      <c r="S887" s="1" t="n">
        <v>2459.51</v>
      </c>
      <c r="T887" s="1" t="n">
        <v>1582.35</v>
      </c>
      <c r="U887" s="1" t="n">
        <v>877.16</v>
      </c>
      <c r="V887" s="1" t="n">
        <v>35.66</v>
      </c>
      <c r="W887" s="1" t="s">
        <v>39</v>
      </c>
      <c r="Y887" s="1" t="s">
        <v>40</v>
      </c>
      <c r="Z887" s="1" t="n">
        <v>1</v>
      </c>
    </row>
    <row r="888" customFormat="false" ht="15" hidden="false" customHeight="true" outlineLevel="0" collapsed="false">
      <c r="A888" s="1" t="s">
        <v>1571</v>
      </c>
      <c r="B888" s="1" t="s">
        <v>1107</v>
      </c>
      <c r="C888" s="1" t="s">
        <v>74</v>
      </c>
      <c r="D888" s="1" t="s">
        <v>123</v>
      </c>
      <c r="E888" s="1" t="s">
        <v>147</v>
      </c>
      <c r="F888" s="1" t="s">
        <v>67</v>
      </c>
      <c r="G888" s="1" t="s">
        <v>68</v>
      </c>
      <c r="H888" s="1" t="s">
        <v>69</v>
      </c>
      <c r="I888" s="1" t="s">
        <v>83</v>
      </c>
      <c r="J888" s="1" t="s">
        <v>70</v>
      </c>
      <c r="K888" s="1" t="s">
        <v>48</v>
      </c>
      <c r="L888" s="1" t="s">
        <v>37</v>
      </c>
      <c r="M888" s="1" t="s">
        <v>62</v>
      </c>
      <c r="N888" s="1" t="n">
        <v>6999</v>
      </c>
      <c r="O888" s="1" t="n">
        <v>40</v>
      </c>
      <c r="P888" s="1" t="n">
        <v>2799.6</v>
      </c>
      <c r="Q888" s="1" t="n">
        <v>4199.4</v>
      </c>
      <c r="R888" s="1" t="n">
        <v>755.89</v>
      </c>
      <c r="S888" s="1" t="n">
        <v>3443.51</v>
      </c>
      <c r="T888" s="1" t="n">
        <v>1856.74</v>
      </c>
      <c r="U888" s="1" t="n">
        <v>1586.77</v>
      </c>
      <c r="V888" s="1" t="n">
        <v>46.08</v>
      </c>
      <c r="W888" s="1" t="s">
        <v>39</v>
      </c>
      <c r="X888" s="1" t="n">
        <v>4.2</v>
      </c>
      <c r="Y888" s="1" t="s">
        <v>40</v>
      </c>
      <c r="Z888" s="1" t="n">
        <v>0</v>
      </c>
    </row>
    <row r="889" customFormat="false" ht="15" hidden="false" customHeight="true" outlineLevel="0" collapsed="false">
      <c r="A889" s="1" t="s">
        <v>1572</v>
      </c>
      <c r="B889" s="1" t="s">
        <v>1573</v>
      </c>
      <c r="C889" s="1" t="s">
        <v>43</v>
      </c>
      <c r="D889" s="1" t="s">
        <v>29</v>
      </c>
      <c r="E889" s="1" t="s">
        <v>129</v>
      </c>
      <c r="F889" s="1" t="s">
        <v>75</v>
      </c>
      <c r="G889" s="1" t="s">
        <v>76</v>
      </c>
      <c r="H889" s="1" t="s">
        <v>69</v>
      </c>
      <c r="I889" s="1" t="s">
        <v>83</v>
      </c>
      <c r="J889" s="1" t="s">
        <v>59</v>
      </c>
      <c r="K889" s="1" t="s">
        <v>112</v>
      </c>
      <c r="L889" s="1" t="s">
        <v>113</v>
      </c>
      <c r="M889" s="1" t="s">
        <v>62</v>
      </c>
      <c r="N889" s="1" t="n">
        <v>29999</v>
      </c>
      <c r="O889" s="1" t="n">
        <v>20</v>
      </c>
      <c r="P889" s="1" t="n">
        <v>5999.8</v>
      </c>
      <c r="Q889" s="1" t="n">
        <v>23999.2</v>
      </c>
      <c r="R889" s="1" t="n">
        <v>4319.86</v>
      </c>
      <c r="S889" s="1" t="n">
        <v>19679.34</v>
      </c>
      <c r="T889" s="1" t="n">
        <v>4919.84</v>
      </c>
      <c r="U889" s="1" t="n">
        <v>14759.5</v>
      </c>
      <c r="V889" s="1" t="n">
        <v>75</v>
      </c>
      <c r="W889" s="1" t="s">
        <v>39</v>
      </c>
      <c r="X889" s="1" t="n">
        <v>3.7</v>
      </c>
      <c r="Y889" s="1" t="s">
        <v>40</v>
      </c>
      <c r="Z889" s="1" t="n">
        <v>0</v>
      </c>
    </row>
    <row r="890" customFormat="false" ht="15" hidden="false" customHeight="true" outlineLevel="0" collapsed="false">
      <c r="A890" s="1" t="s">
        <v>1574</v>
      </c>
      <c r="B890" s="1" t="s">
        <v>701</v>
      </c>
      <c r="C890" s="1" t="s">
        <v>65</v>
      </c>
      <c r="D890" s="1" t="s">
        <v>168</v>
      </c>
      <c r="E890" s="1" t="s">
        <v>172</v>
      </c>
      <c r="F890" s="1" t="s">
        <v>82</v>
      </c>
      <c r="G890" s="1" t="s">
        <v>56</v>
      </c>
      <c r="H890" s="1" t="s">
        <v>69</v>
      </c>
      <c r="I890" s="1" t="s">
        <v>34</v>
      </c>
      <c r="J890" s="1" t="s">
        <v>77</v>
      </c>
      <c r="K890" s="1" t="s">
        <v>90</v>
      </c>
      <c r="L890" s="1" t="s">
        <v>61</v>
      </c>
      <c r="M890" s="1" t="s">
        <v>38</v>
      </c>
      <c r="N890" s="1" t="n">
        <v>6999</v>
      </c>
      <c r="O890" s="1" t="n">
        <v>20</v>
      </c>
      <c r="P890" s="1" t="n">
        <v>1399.8</v>
      </c>
      <c r="Q890" s="1" t="n">
        <v>5599.2</v>
      </c>
      <c r="R890" s="1" t="n">
        <v>1007.86</v>
      </c>
      <c r="S890" s="1" t="n">
        <v>4591.34</v>
      </c>
      <c r="T890" s="1" t="n">
        <v>2085.43</v>
      </c>
      <c r="U890" s="1" t="n">
        <v>2505.91</v>
      </c>
      <c r="V890" s="1" t="n">
        <v>54.58</v>
      </c>
      <c r="W890" s="1" t="s">
        <v>39</v>
      </c>
      <c r="X890" s="1" t="n">
        <v>3.8</v>
      </c>
      <c r="Y890" s="1" t="s">
        <v>40</v>
      </c>
      <c r="Z890" s="1" t="n">
        <v>0</v>
      </c>
    </row>
    <row r="891" customFormat="false" ht="15" hidden="false" customHeight="true" outlineLevel="0" collapsed="false">
      <c r="A891" s="1" t="s">
        <v>1575</v>
      </c>
      <c r="B891" s="1" t="s">
        <v>1576</v>
      </c>
      <c r="C891" s="1" t="s">
        <v>264</v>
      </c>
      <c r="D891" s="1" t="s">
        <v>80</v>
      </c>
      <c r="E891" s="1" t="s">
        <v>81</v>
      </c>
      <c r="F891" s="1" t="s">
        <v>803</v>
      </c>
      <c r="G891" s="1" t="s">
        <v>108</v>
      </c>
      <c r="H891" s="1" t="s">
        <v>33</v>
      </c>
      <c r="I891" s="1" t="s">
        <v>83</v>
      </c>
      <c r="J891" s="1" t="s">
        <v>131</v>
      </c>
      <c r="K891" s="1" t="s">
        <v>90</v>
      </c>
      <c r="L891" s="1" t="s">
        <v>37</v>
      </c>
      <c r="M891" s="1" t="s">
        <v>62</v>
      </c>
      <c r="N891" s="1" t="n">
        <v>12999</v>
      </c>
      <c r="O891" s="1" t="n">
        <v>5</v>
      </c>
      <c r="P891" s="1" t="n">
        <v>649.95</v>
      </c>
      <c r="Q891" s="1" t="n">
        <v>12349.05</v>
      </c>
      <c r="R891" s="1" t="n">
        <v>2222.83</v>
      </c>
      <c r="S891" s="1" t="n">
        <v>10126.22</v>
      </c>
      <c r="T891" s="1" t="n">
        <v>4659.07</v>
      </c>
      <c r="U891" s="1" t="n">
        <v>5467.15</v>
      </c>
      <c r="V891" s="1" t="n">
        <v>53.99</v>
      </c>
      <c r="W891" s="1" t="s">
        <v>40</v>
      </c>
      <c r="Y891" s="1" t="s">
        <v>40</v>
      </c>
      <c r="Z891" s="1" t="n">
        <v>0</v>
      </c>
    </row>
    <row r="892" customFormat="false" ht="15" hidden="false" customHeight="true" outlineLevel="0" collapsed="false">
      <c r="A892" s="1" t="s">
        <v>1577</v>
      </c>
      <c r="B892" s="1" t="s">
        <v>344</v>
      </c>
      <c r="C892" s="1" t="s">
        <v>100</v>
      </c>
      <c r="D892" s="1" t="s">
        <v>168</v>
      </c>
      <c r="E892" s="1" t="s">
        <v>197</v>
      </c>
      <c r="F892" s="1" t="s">
        <v>130</v>
      </c>
      <c r="G892" s="1" t="s">
        <v>47</v>
      </c>
      <c r="H892" s="1" t="s">
        <v>69</v>
      </c>
      <c r="I892" s="1" t="s">
        <v>58</v>
      </c>
      <c r="J892" s="1" t="s">
        <v>131</v>
      </c>
      <c r="K892" s="1" t="s">
        <v>60</v>
      </c>
      <c r="L892" s="1" t="s">
        <v>49</v>
      </c>
      <c r="M892" s="1" t="s">
        <v>50</v>
      </c>
      <c r="N892" s="1" t="n">
        <v>8499</v>
      </c>
      <c r="O892" s="1" t="n">
        <v>20</v>
      </c>
      <c r="P892" s="1" t="n">
        <v>1699.8</v>
      </c>
      <c r="Q892" s="1" t="n">
        <v>6799.2</v>
      </c>
      <c r="R892" s="1" t="n">
        <v>1223.86</v>
      </c>
      <c r="S892" s="1" t="n">
        <v>5575.34</v>
      </c>
      <c r="T892" s="1" t="n">
        <v>2484.49</v>
      </c>
      <c r="U892" s="1" t="n">
        <v>3090.85</v>
      </c>
      <c r="V892" s="1" t="n">
        <v>55.44</v>
      </c>
      <c r="W892" s="1" t="s">
        <v>39</v>
      </c>
      <c r="X892" s="1" t="n">
        <v>3.6</v>
      </c>
      <c r="Y892" s="1" t="s">
        <v>40</v>
      </c>
      <c r="Z892" s="1" t="n">
        <v>1</v>
      </c>
    </row>
    <row r="893" customFormat="false" ht="15" hidden="false" customHeight="true" outlineLevel="0" collapsed="false">
      <c r="A893" s="1" t="s">
        <v>1578</v>
      </c>
      <c r="B893" s="1" t="s">
        <v>360</v>
      </c>
      <c r="C893" s="1" t="s">
        <v>93</v>
      </c>
      <c r="D893" s="1" t="s">
        <v>53</v>
      </c>
      <c r="E893" s="1" t="s">
        <v>116</v>
      </c>
      <c r="F893" s="1" t="s">
        <v>120</v>
      </c>
      <c r="G893" s="1" t="s">
        <v>47</v>
      </c>
      <c r="H893" s="1" t="s">
        <v>57</v>
      </c>
      <c r="I893" s="1" t="s">
        <v>83</v>
      </c>
      <c r="J893" s="1" t="s">
        <v>77</v>
      </c>
      <c r="K893" s="1" t="s">
        <v>36</v>
      </c>
      <c r="L893" s="1" t="s">
        <v>49</v>
      </c>
      <c r="M893" s="1" t="s">
        <v>50</v>
      </c>
      <c r="N893" s="1" t="n">
        <v>9999</v>
      </c>
      <c r="O893" s="1" t="n">
        <v>30</v>
      </c>
      <c r="P893" s="1" t="n">
        <v>2999.7</v>
      </c>
      <c r="Q893" s="1" t="n">
        <v>6999.3</v>
      </c>
      <c r="R893" s="1" t="n">
        <v>1259.87</v>
      </c>
      <c r="S893" s="1" t="n">
        <v>5739.43</v>
      </c>
      <c r="T893" s="1" t="n">
        <v>2565.21</v>
      </c>
      <c r="U893" s="1" t="n">
        <v>3174.22</v>
      </c>
      <c r="V893" s="1" t="n">
        <v>55.31</v>
      </c>
      <c r="W893" s="1" t="s">
        <v>39</v>
      </c>
      <c r="Y893" s="1" t="s">
        <v>40</v>
      </c>
      <c r="Z893" s="1" t="n">
        <v>1</v>
      </c>
    </row>
    <row r="894" customFormat="false" ht="15" hidden="false" customHeight="true" outlineLevel="0" collapsed="false">
      <c r="A894" s="1" t="s">
        <v>1579</v>
      </c>
      <c r="B894" s="1" t="s">
        <v>1580</v>
      </c>
      <c r="C894" s="1" t="s">
        <v>134</v>
      </c>
      <c r="D894" s="1" t="s">
        <v>29</v>
      </c>
      <c r="E894" s="1" t="s">
        <v>30</v>
      </c>
      <c r="F894" s="1" t="s">
        <v>82</v>
      </c>
      <c r="G894" s="1" t="s">
        <v>56</v>
      </c>
      <c r="H894" s="1" t="s">
        <v>69</v>
      </c>
      <c r="I894" s="1" t="s">
        <v>83</v>
      </c>
      <c r="J894" s="1" t="s">
        <v>77</v>
      </c>
      <c r="K894" s="1" t="s">
        <v>60</v>
      </c>
      <c r="L894" s="1" t="s">
        <v>136</v>
      </c>
      <c r="M894" s="1" t="s">
        <v>50</v>
      </c>
      <c r="N894" s="1" t="n">
        <v>7999</v>
      </c>
      <c r="O894" s="1" t="n">
        <v>0</v>
      </c>
      <c r="P894" s="1" t="n">
        <v>0</v>
      </c>
      <c r="Q894" s="1" t="n">
        <v>7999</v>
      </c>
      <c r="R894" s="1" t="n">
        <v>1439.82</v>
      </c>
      <c r="S894" s="1" t="n">
        <v>6559.18</v>
      </c>
      <c r="T894" s="1" t="n">
        <v>2496.85</v>
      </c>
      <c r="U894" s="1" t="n">
        <v>4062.33</v>
      </c>
      <c r="V894" s="1" t="n">
        <v>61.93</v>
      </c>
      <c r="W894" s="1" t="s">
        <v>39</v>
      </c>
      <c r="X894" s="1" t="n">
        <v>4</v>
      </c>
      <c r="Y894" s="1" t="s">
        <v>40</v>
      </c>
      <c r="Z894" s="1" t="n">
        <v>0</v>
      </c>
    </row>
    <row r="895" customFormat="false" ht="15" hidden="false" customHeight="true" outlineLevel="0" collapsed="false">
      <c r="A895" s="1" t="s">
        <v>1581</v>
      </c>
      <c r="B895" s="1" t="s">
        <v>201</v>
      </c>
      <c r="C895" s="1" t="s">
        <v>1582</v>
      </c>
      <c r="D895" s="1" t="s">
        <v>168</v>
      </c>
      <c r="E895" s="1" t="s">
        <v>328</v>
      </c>
      <c r="F895" s="1" t="s">
        <v>89</v>
      </c>
      <c r="G895" s="1" t="s">
        <v>68</v>
      </c>
      <c r="H895" s="1" t="s">
        <v>33</v>
      </c>
      <c r="I895" s="1" t="s">
        <v>83</v>
      </c>
      <c r="J895" s="1" t="s">
        <v>59</v>
      </c>
      <c r="K895" s="1" t="s">
        <v>60</v>
      </c>
      <c r="L895" s="1" t="s">
        <v>49</v>
      </c>
      <c r="M895" s="1" t="s">
        <v>50</v>
      </c>
      <c r="N895" s="1" t="n">
        <v>8999</v>
      </c>
      <c r="O895" s="1" t="n">
        <v>25</v>
      </c>
      <c r="P895" s="1" t="n">
        <v>2249.75</v>
      </c>
      <c r="Q895" s="1" t="n">
        <v>6749.25</v>
      </c>
      <c r="R895" s="1" t="n">
        <v>1214.87</v>
      </c>
      <c r="S895" s="1" t="n">
        <v>5534.38</v>
      </c>
      <c r="T895" s="1" t="n">
        <v>2692.86</v>
      </c>
      <c r="U895" s="1" t="n">
        <v>2841.52</v>
      </c>
      <c r="V895" s="1" t="n">
        <v>51.34</v>
      </c>
      <c r="W895" s="1" t="s">
        <v>39</v>
      </c>
      <c r="X895" s="1" t="n">
        <v>3.6</v>
      </c>
      <c r="Y895" s="1" t="s">
        <v>40</v>
      </c>
      <c r="Z895" s="1" t="n">
        <v>1</v>
      </c>
    </row>
    <row r="896" customFormat="false" ht="15" hidden="false" customHeight="true" outlineLevel="0" collapsed="false">
      <c r="A896" s="1" t="s">
        <v>1583</v>
      </c>
      <c r="B896" s="1" t="s">
        <v>290</v>
      </c>
      <c r="C896" s="1" t="s">
        <v>167</v>
      </c>
      <c r="D896" s="1" t="s">
        <v>143</v>
      </c>
      <c r="E896" s="1" t="s">
        <v>159</v>
      </c>
      <c r="F896" s="1" t="s">
        <v>641</v>
      </c>
      <c r="G896" s="1" t="s">
        <v>103</v>
      </c>
      <c r="H896" s="1" t="s">
        <v>33</v>
      </c>
      <c r="I896" s="1" t="s">
        <v>34</v>
      </c>
      <c r="J896" s="1" t="s">
        <v>131</v>
      </c>
      <c r="K896" s="1" t="s">
        <v>48</v>
      </c>
      <c r="L896" s="1" t="s">
        <v>136</v>
      </c>
      <c r="M896" s="1" t="s">
        <v>50</v>
      </c>
      <c r="N896" s="1" t="n">
        <v>24999</v>
      </c>
      <c r="O896" s="1" t="n">
        <v>10</v>
      </c>
      <c r="P896" s="1" t="n">
        <v>2499.9</v>
      </c>
      <c r="Q896" s="1" t="n">
        <v>22499.1</v>
      </c>
      <c r="R896" s="1" t="n">
        <v>4049.84</v>
      </c>
      <c r="S896" s="1" t="n">
        <v>18449.26</v>
      </c>
      <c r="T896" s="1" t="n">
        <v>6666.45</v>
      </c>
      <c r="U896" s="1" t="n">
        <v>11782.81</v>
      </c>
      <c r="V896" s="1" t="n">
        <v>63.87</v>
      </c>
      <c r="W896" s="1" t="s">
        <v>39</v>
      </c>
      <c r="X896" s="1" t="n">
        <v>3.4</v>
      </c>
      <c r="Y896" s="1" t="s">
        <v>40</v>
      </c>
      <c r="Z896" s="1" t="n">
        <v>2</v>
      </c>
    </row>
    <row r="897" customFormat="false" ht="15" hidden="false" customHeight="true" outlineLevel="0" collapsed="false">
      <c r="A897" s="1" t="s">
        <v>1584</v>
      </c>
      <c r="B897" s="1" t="s">
        <v>1585</v>
      </c>
      <c r="C897" s="1" t="s">
        <v>128</v>
      </c>
      <c r="D897" s="1" t="s">
        <v>53</v>
      </c>
      <c r="E897" s="1" t="s">
        <v>54</v>
      </c>
      <c r="F897" s="1" t="s">
        <v>67</v>
      </c>
      <c r="G897" s="1" t="s">
        <v>68</v>
      </c>
      <c r="H897" s="1" t="s">
        <v>69</v>
      </c>
      <c r="I897" s="1" t="s">
        <v>83</v>
      </c>
      <c r="J897" s="1" t="s">
        <v>70</v>
      </c>
      <c r="K897" s="1" t="s">
        <v>90</v>
      </c>
      <c r="L897" s="1" t="s">
        <v>113</v>
      </c>
      <c r="M897" s="1" t="s">
        <v>38</v>
      </c>
      <c r="N897" s="1" t="n">
        <v>11999</v>
      </c>
      <c r="O897" s="1" t="n">
        <v>30</v>
      </c>
      <c r="P897" s="1" t="n">
        <v>3599.7</v>
      </c>
      <c r="Q897" s="1" t="n">
        <v>8399.3</v>
      </c>
      <c r="R897" s="1" t="n">
        <v>1511.87</v>
      </c>
      <c r="S897" s="1" t="n">
        <v>6887.43</v>
      </c>
      <c r="T897" s="1" t="n">
        <v>3089.32</v>
      </c>
      <c r="U897" s="1" t="n">
        <v>3798.11</v>
      </c>
      <c r="V897" s="1" t="n">
        <v>55.15</v>
      </c>
      <c r="W897" s="1" t="s">
        <v>39</v>
      </c>
      <c r="Y897" s="1" t="s">
        <v>40</v>
      </c>
      <c r="Z897" s="1" t="n">
        <v>0</v>
      </c>
    </row>
    <row r="898" customFormat="false" ht="15" hidden="false" customHeight="true" outlineLevel="0" collapsed="false">
      <c r="A898" s="1" t="s">
        <v>1586</v>
      </c>
      <c r="B898" s="1" t="s">
        <v>1313</v>
      </c>
      <c r="C898" s="1" t="s">
        <v>119</v>
      </c>
      <c r="D898" s="1" t="s">
        <v>123</v>
      </c>
      <c r="E898" s="1" t="s">
        <v>147</v>
      </c>
      <c r="F898" s="1" t="s">
        <v>269</v>
      </c>
      <c r="G898" s="1" t="s">
        <v>108</v>
      </c>
      <c r="H898" s="1" t="s">
        <v>57</v>
      </c>
      <c r="I898" s="1" t="s">
        <v>34</v>
      </c>
      <c r="J898" s="1" t="s">
        <v>59</v>
      </c>
      <c r="K898" s="1" t="s">
        <v>36</v>
      </c>
      <c r="L898" s="1" t="s">
        <v>113</v>
      </c>
      <c r="M898" s="1" t="s">
        <v>38</v>
      </c>
      <c r="N898" s="1" t="n">
        <v>6999</v>
      </c>
      <c r="O898" s="1" t="n">
        <v>30</v>
      </c>
      <c r="P898" s="1" t="n">
        <v>2099.7</v>
      </c>
      <c r="Q898" s="1" t="n">
        <v>4899.3</v>
      </c>
      <c r="R898" s="1" t="n">
        <v>881.87</v>
      </c>
      <c r="S898" s="1" t="n">
        <v>4017.43</v>
      </c>
      <c r="T898" s="1" t="n">
        <v>2118.19</v>
      </c>
      <c r="U898" s="1" t="n">
        <v>1899.24</v>
      </c>
      <c r="V898" s="1" t="n">
        <v>47.27</v>
      </c>
      <c r="W898" s="1" t="s">
        <v>39</v>
      </c>
      <c r="X898" s="1" t="n">
        <v>3.1</v>
      </c>
      <c r="Y898" s="1" t="s">
        <v>40</v>
      </c>
      <c r="Z898" s="1" t="n">
        <v>1</v>
      </c>
    </row>
    <row r="899" customFormat="false" ht="15" hidden="false" customHeight="true" outlineLevel="0" collapsed="false">
      <c r="A899" s="1" t="s">
        <v>1587</v>
      </c>
      <c r="B899" s="1" t="s">
        <v>1588</v>
      </c>
      <c r="C899" s="1" t="s">
        <v>249</v>
      </c>
      <c r="D899" s="1" t="s">
        <v>143</v>
      </c>
      <c r="E899" s="1" t="s">
        <v>159</v>
      </c>
      <c r="F899" s="1" t="s">
        <v>269</v>
      </c>
      <c r="G899" s="1" t="s">
        <v>108</v>
      </c>
      <c r="H899" s="1" t="s">
        <v>57</v>
      </c>
      <c r="I899" s="1" t="s">
        <v>58</v>
      </c>
      <c r="J899" s="1" t="s">
        <v>70</v>
      </c>
      <c r="K899" s="1" t="s">
        <v>104</v>
      </c>
      <c r="L899" s="1" t="s">
        <v>37</v>
      </c>
      <c r="M899" s="1" t="s">
        <v>50</v>
      </c>
      <c r="N899" s="1" t="n">
        <v>24999</v>
      </c>
      <c r="O899" s="1" t="n">
        <v>30</v>
      </c>
      <c r="P899" s="1" t="n">
        <v>7499.7</v>
      </c>
      <c r="Q899" s="1" t="n">
        <v>17499.3</v>
      </c>
      <c r="R899" s="1" t="n">
        <v>3149.87</v>
      </c>
      <c r="S899" s="1" t="n">
        <v>14349.43</v>
      </c>
      <c r="T899" s="1" t="n">
        <v>6468.17</v>
      </c>
      <c r="U899" s="1" t="n">
        <v>7881.26</v>
      </c>
      <c r="V899" s="1" t="n">
        <v>54.92</v>
      </c>
      <c r="W899" s="1" t="s">
        <v>39</v>
      </c>
      <c r="X899" s="1" t="n">
        <v>3.1</v>
      </c>
      <c r="Y899" s="1" t="s">
        <v>39</v>
      </c>
      <c r="Z899" s="1" t="n">
        <v>1</v>
      </c>
    </row>
    <row r="900" customFormat="false" ht="15" hidden="false" customHeight="true" outlineLevel="0" collapsed="false">
      <c r="A900" s="1" t="s">
        <v>1589</v>
      </c>
      <c r="B900" s="1" t="s">
        <v>1331</v>
      </c>
      <c r="C900" s="1" t="s">
        <v>119</v>
      </c>
      <c r="D900" s="1" t="s">
        <v>29</v>
      </c>
      <c r="E900" s="1" t="s">
        <v>30</v>
      </c>
      <c r="F900" s="1" t="s">
        <v>55</v>
      </c>
      <c r="G900" s="1" t="s">
        <v>56</v>
      </c>
      <c r="H900" s="1" t="s">
        <v>57</v>
      </c>
      <c r="I900" s="1" t="s">
        <v>34</v>
      </c>
      <c r="J900" s="1" t="s">
        <v>59</v>
      </c>
      <c r="K900" s="1" t="s">
        <v>48</v>
      </c>
      <c r="L900" s="1" t="s">
        <v>85</v>
      </c>
      <c r="M900" s="1" t="s">
        <v>50</v>
      </c>
      <c r="N900" s="1" t="n">
        <v>7999</v>
      </c>
      <c r="O900" s="1" t="n">
        <v>20</v>
      </c>
      <c r="P900" s="1" t="n">
        <v>1599.8</v>
      </c>
      <c r="Q900" s="1" t="n">
        <v>6399.2</v>
      </c>
      <c r="R900" s="1" t="n">
        <v>1151.86</v>
      </c>
      <c r="S900" s="1" t="n">
        <v>5247.34</v>
      </c>
      <c r="T900" s="1" t="n">
        <v>2318</v>
      </c>
      <c r="U900" s="1" t="n">
        <v>2929.34</v>
      </c>
      <c r="V900" s="1" t="n">
        <v>55.83</v>
      </c>
      <c r="W900" s="1" t="s">
        <v>39</v>
      </c>
      <c r="X900" s="1" t="n">
        <v>4.1</v>
      </c>
      <c r="Y900" s="1" t="s">
        <v>40</v>
      </c>
      <c r="Z900" s="1" t="n">
        <v>0</v>
      </c>
    </row>
    <row r="901" customFormat="false" ht="15" hidden="false" customHeight="true" outlineLevel="0" collapsed="false">
      <c r="A901" s="1" t="s">
        <v>1590</v>
      </c>
      <c r="B901" s="1" t="s">
        <v>1591</v>
      </c>
      <c r="C901" s="1" t="s">
        <v>139</v>
      </c>
      <c r="D901" s="1" t="s">
        <v>53</v>
      </c>
      <c r="E901" s="1" t="s">
        <v>54</v>
      </c>
      <c r="F901" s="1" t="s">
        <v>102</v>
      </c>
      <c r="G901" s="1" t="s">
        <v>103</v>
      </c>
      <c r="H901" s="1" t="s">
        <v>33</v>
      </c>
      <c r="I901" s="1" t="s">
        <v>83</v>
      </c>
      <c r="J901" s="1" t="s">
        <v>35</v>
      </c>
      <c r="K901" s="1" t="s">
        <v>90</v>
      </c>
      <c r="L901" s="1" t="s">
        <v>37</v>
      </c>
      <c r="M901" s="1" t="s">
        <v>62</v>
      </c>
      <c r="N901" s="1" t="n">
        <v>11999</v>
      </c>
      <c r="O901" s="1" t="n">
        <v>40</v>
      </c>
      <c r="P901" s="1" t="n">
        <v>4799.6</v>
      </c>
      <c r="Q901" s="1" t="n">
        <v>7199.4</v>
      </c>
      <c r="R901" s="1" t="n">
        <v>1295.89</v>
      </c>
      <c r="S901" s="1" t="n">
        <v>5903.51</v>
      </c>
      <c r="T901" s="1" t="n">
        <v>3617.6</v>
      </c>
      <c r="U901" s="1" t="n">
        <v>2285.91</v>
      </c>
      <c r="V901" s="1" t="n">
        <v>38.72</v>
      </c>
      <c r="W901" s="1" t="s">
        <v>39</v>
      </c>
      <c r="X901" s="1" t="n">
        <v>3.7</v>
      </c>
      <c r="Y901" s="1" t="s">
        <v>40</v>
      </c>
      <c r="Z901" s="1" t="n">
        <v>0</v>
      </c>
    </row>
    <row r="902" customFormat="false" ht="15" hidden="false" customHeight="true" outlineLevel="0" collapsed="false">
      <c r="A902" s="1" t="s">
        <v>1592</v>
      </c>
      <c r="B902" s="1" t="s">
        <v>177</v>
      </c>
      <c r="C902" s="1" t="s">
        <v>264</v>
      </c>
      <c r="D902" s="1" t="s">
        <v>168</v>
      </c>
      <c r="E902" s="1" t="s">
        <v>169</v>
      </c>
      <c r="F902" s="1" t="s">
        <v>184</v>
      </c>
      <c r="G902" s="1" t="s">
        <v>56</v>
      </c>
      <c r="H902" s="1" t="s">
        <v>57</v>
      </c>
      <c r="I902" s="1" t="s">
        <v>34</v>
      </c>
      <c r="J902" s="1" t="s">
        <v>77</v>
      </c>
      <c r="K902" s="1" t="s">
        <v>36</v>
      </c>
      <c r="L902" s="1" t="s">
        <v>61</v>
      </c>
      <c r="M902" s="1" t="s">
        <v>38</v>
      </c>
      <c r="N902" s="1" t="n">
        <v>4999</v>
      </c>
      <c r="O902" s="1" t="n">
        <v>5</v>
      </c>
      <c r="P902" s="1" t="n">
        <v>249.95</v>
      </c>
      <c r="Q902" s="1" t="n">
        <v>4749.05</v>
      </c>
      <c r="R902" s="1" t="n">
        <v>854.83</v>
      </c>
      <c r="S902" s="1" t="n">
        <v>3894.22</v>
      </c>
      <c r="T902" s="1" t="n">
        <v>1476.15</v>
      </c>
      <c r="U902" s="1" t="n">
        <v>2418.07</v>
      </c>
      <c r="V902" s="1" t="n">
        <v>62.09</v>
      </c>
      <c r="W902" s="1" t="s">
        <v>39</v>
      </c>
      <c r="X902" s="1" t="n">
        <v>4.2</v>
      </c>
      <c r="Y902" s="1" t="s">
        <v>40</v>
      </c>
      <c r="Z902" s="1" t="n">
        <v>0</v>
      </c>
    </row>
    <row r="903" customFormat="false" ht="15" hidden="false" customHeight="true" outlineLevel="0" collapsed="false">
      <c r="A903" s="1" t="s">
        <v>1593</v>
      </c>
      <c r="B903" s="1" t="s">
        <v>1594</v>
      </c>
      <c r="C903" s="1" t="s">
        <v>43</v>
      </c>
      <c r="D903" s="1" t="s">
        <v>80</v>
      </c>
      <c r="E903" s="1" t="s">
        <v>190</v>
      </c>
      <c r="F903" s="1" t="s">
        <v>96</v>
      </c>
      <c r="G903" s="1" t="s">
        <v>97</v>
      </c>
      <c r="H903" s="1" t="s">
        <v>69</v>
      </c>
      <c r="I903" s="1" t="s">
        <v>34</v>
      </c>
      <c r="J903" s="1" t="s">
        <v>131</v>
      </c>
      <c r="K903" s="1" t="s">
        <v>104</v>
      </c>
      <c r="L903" s="1" t="s">
        <v>37</v>
      </c>
      <c r="M903" s="1" t="s">
        <v>38</v>
      </c>
      <c r="N903" s="1" t="n">
        <v>15999</v>
      </c>
      <c r="O903" s="1" t="n">
        <v>50</v>
      </c>
      <c r="P903" s="1" t="n">
        <v>7999.5</v>
      </c>
      <c r="Q903" s="1" t="n">
        <v>7999.5</v>
      </c>
      <c r="R903" s="1" t="n">
        <v>1439.91</v>
      </c>
      <c r="S903" s="1" t="n">
        <v>6559.59</v>
      </c>
      <c r="T903" s="1" t="n">
        <v>3476.25</v>
      </c>
      <c r="U903" s="1" t="n">
        <v>3083.34</v>
      </c>
      <c r="V903" s="1" t="n">
        <v>47.01</v>
      </c>
      <c r="W903" s="1" t="s">
        <v>39</v>
      </c>
      <c r="X903" s="1" t="n">
        <v>3.8</v>
      </c>
      <c r="Y903" s="1" t="s">
        <v>40</v>
      </c>
      <c r="Z903" s="1" t="n">
        <v>0</v>
      </c>
    </row>
    <row r="904" customFormat="false" ht="15" hidden="false" customHeight="true" outlineLevel="0" collapsed="false">
      <c r="A904" s="1" t="s">
        <v>1595</v>
      </c>
      <c r="B904" s="1" t="s">
        <v>1596</v>
      </c>
      <c r="C904" s="1" t="s">
        <v>74</v>
      </c>
      <c r="D904" s="1" t="s">
        <v>143</v>
      </c>
      <c r="E904" s="1" t="s">
        <v>243</v>
      </c>
      <c r="F904" s="1" t="s">
        <v>107</v>
      </c>
      <c r="G904" s="1" t="s">
        <v>108</v>
      </c>
      <c r="H904" s="1" t="s">
        <v>33</v>
      </c>
      <c r="I904" s="1" t="s">
        <v>34</v>
      </c>
      <c r="J904" s="1" t="s">
        <v>77</v>
      </c>
      <c r="K904" s="1" t="s">
        <v>90</v>
      </c>
      <c r="L904" s="1" t="s">
        <v>85</v>
      </c>
      <c r="M904" s="1" t="s">
        <v>38</v>
      </c>
      <c r="N904" s="1" t="n">
        <v>22999</v>
      </c>
      <c r="O904" s="1" t="n">
        <v>0</v>
      </c>
      <c r="P904" s="1" t="n">
        <v>0</v>
      </c>
      <c r="Q904" s="1" t="n">
        <v>22999</v>
      </c>
      <c r="R904" s="1" t="n">
        <v>4139.82</v>
      </c>
      <c r="S904" s="1" t="n">
        <v>18859.18</v>
      </c>
      <c r="T904" s="1" t="n">
        <v>6043.38</v>
      </c>
      <c r="U904" s="1" t="n">
        <v>12815.8</v>
      </c>
      <c r="V904" s="1" t="n">
        <v>67.96</v>
      </c>
      <c r="W904" s="1" t="s">
        <v>40</v>
      </c>
      <c r="Y904" s="1" t="s">
        <v>39</v>
      </c>
      <c r="Z904" s="1" t="n">
        <v>0</v>
      </c>
    </row>
    <row r="905" customFormat="false" ht="15" hidden="false" customHeight="true" outlineLevel="0" collapsed="false">
      <c r="A905" s="1" t="s">
        <v>1597</v>
      </c>
      <c r="B905" s="1" t="s">
        <v>1598</v>
      </c>
      <c r="C905" s="1" t="s">
        <v>74</v>
      </c>
      <c r="D905" s="1" t="s">
        <v>94</v>
      </c>
      <c r="E905" s="1" t="s">
        <v>101</v>
      </c>
      <c r="F905" s="1" t="s">
        <v>102</v>
      </c>
      <c r="G905" s="1" t="s">
        <v>103</v>
      </c>
      <c r="H905" s="1" t="s">
        <v>33</v>
      </c>
      <c r="I905" s="1" t="s">
        <v>34</v>
      </c>
      <c r="J905" s="1" t="s">
        <v>35</v>
      </c>
      <c r="K905" s="1" t="s">
        <v>112</v>
      </c>
      <c r="L905" s="1" t="s">
        <v>37</v>
      </c>
      <c r="M905" s="1" t="s">
        <v>38</v>
      </c>
      <c r="N905" s="1" t="n">
        <v>14999</v>
      </c>
      <c r="O905" s="1" t="n">
        <v>25</v>
      </c>
      <c r="P905" s="1" t="n">
        <v>3749.75</v>
      </c>
      <c r="Q905" s="1" t="n">
        <v>11249.25</v>
      </c>
      <c r="R905" s="1" t="n">
        <v>2024.87</v>
      </c>
      <c r="S905" s="1" t="n">
        <v>9224.38</v>
      </c>
      <c r="T905" s="1" t="n">
        <v>5101.34</v>
      </c>
      <c r="U905" s="1" t="n">
        <v>4123.04</v>
      </c>
      <c r="V905" s="1" t="n">
        <v>44.7</v>
      </c>
      <c r="W905" s="1" t="s">
        <v>39</v>
      </c>
      <c r="X905" s="1" t="n">
        <v>3.7</v>
      </c>
      <c r="Y905" s="1" t="s">
        <v>40</v>
      </c>
      <c r="Z905" s="1" t="n">
        <v>0</v>
      </c>
    </row>
    <row r="906" customFormat="false" ht="15" hidden="false" customHeight="true" outlineLevel="0" collapsed="false">
      <c r="A906" s="1" t="s">
        <v>1599</v>
      </c>
      <c r="B906" s="1" t="s">
        <v>845</v>
      </c>
      <c r="C906" s="1" t="s">
        <v>100</v>
      </c>
      <c r="D906" s="1" t="s">
        <v>80</v>
      </c>
      <c r="E906" s="1" t="s">
        <v>175</v>
      </c>
      <c r="F906" s="1" t="s">
        <v>184</v>
      </c>
      <c r="G906" s="1" t="s">
        <v>56</v>
      </c>
      <c r="H906" s="1" t="s">
        <v>57</v>
      </c>
      <c r="I906" s="1" t="s">
        <v>58</v>
      </c>
      <c r="J906" s="1" t="s">
        <v>35</v>
      </c>
      <c r="K906" s="1" t="s">
        <v>36</v>
      </c>
      <c r="L906" s="1" t="s">
        <v>136</v>
      </c>
      <c r="M906" s="1" t="s">
        <v>62</v>
      </c>
      <c r="N906" s="1" t="n">
        <v>19999</v>
      </c>
      <c r="O906" s="1" t="n">
        <v>10</v>
      </c>
      <c r="P906" s="1" t="n">
        <v>1999.9</v>
      </c>
      <c r="Q906" s="1" t="n">
        <v>17999.1</v>
      </c>
      <c r="R906" s="1" t="n">
        <v>3239.84</v>
      </c>
      <c r="S906" s="1" t="n">
        <v>14759.26</v>
      </c>
      <c r="T906" s="1" t="n">
        <v>7191.45</v>
      </c>
      <c r="U906" s="1" t="n">
        <v>7567.81</v>
      </c>
      <c r="V906" s="1" t="n">
        <v>51.27</v>
      </c>
      <c r="W906" s="1" t="s">
        <v>39</v>
      </c>
      <c r="X906" s="1" t="n">
        <v>4.1</v>
      </c>
      <c r="Y906" s="1" t="s">
        <v>39</v>
      </c>
      <c r="Z906" s="1" t="n">
        <v>0</v>
      </c>
    </row>
    <row r="907" customFormat="false" ht="15" hidden="false" customHeight="true" outlineLevel="0" collapsed="false">
      <c r="A907" s="1" t="s">
        <v>1600</v>
      </c>
      <c r="B907" s="1" t="s">
        <v>1111</v>
      </c>
      <c r="C907" s="1" t="s">
        <v>65</v>
      </c>
      <c r="D907" s="1" t="s">
        <v>53</v>
      </c>
      <c r="E907" s="1" t="s">
        <v>116</v>
      </c>
      <c r="F907" s="1" t="s">
        <v>89</v>
      </c>
      <c r="G907" s="1" t="s">
        <v>68</v>
      </c>
      <c r="H907" s="1" t="s">
        <v>33</v>
      </c>
      <c r="I907" s="1" t="s">
        <v>58</v>
      </c>
      <c r="J907" s="1" t="s">
        <v>35</v>
      </c>
      <c r="K907" s="1" t="s">
        <v>48</v>
      </c>
      <c r="L907" s="1" t="s">
        <v>85</v>
      </c>
      <c r="M907" s="1" t="s">
        <v>38</v>
      </c>
      <c r="N907" s="1" t="n">
        <v>9999</v>
      </c>
      <c r="O907" s="1" t="n">
        <v>5</v>
      </c>
      <c r="P907" s="1" t="n">
        <v>499.95</v>
      </c>
      <c r="Q907" s="1" t="n">
        <v>9499.05</v>
      </c>
      <c r="R907" s="1" t="n">
        <v>1709.83</v>
      </c>
      <c r="S907" s="1" t="n">
        <v>7789.22</v>
      </c>
      <c r="T907" s="1" t="n">
        <v>3408.23</v>
      </c>
      <c r="U907" s="1" t="n">
        <v>4380.99</v>
      </c>
      <c r="V907" s="1" t="n">
        <v>56.24</v>
      </c>
      <c r="W907" s="1" t="s">
        <v>39</v>
      </c>
      <c r="X907" s="1" t="n">
        <v>4.3</v>
      </c>
      <c r="Y907" s="1" t="s">
        <v>40</v>
      </c>
      <c r="Z907" s="1" t="n">
        <v>0</v>
      </c>
    </row>
    <row r="908" customFormat="false" ht="15" hidden="false" customHeight="true" outlineLevel="0" collapsed="false">
      <c r="A908" s="1" t="s">
        <v>1601</v>
      </c>
      <c r="B908" s="1" t="s">
        <v>770</v>
      </c>
      <c r="C908" s="1" t="s">
        <v>1602</v>
      </c>
      <c r="D908" s="1" t="s">
        <v>44</v>
      </c>
      <c r="E908" s="1" t="s">
        <v>45</v>
      </c>
      <c r="F908" s="1" t="s">
        <v>120</v>
      </c>
      <c r="G908" s="1" t="s">
        <v>47</v>
      </c>
      <c r="H908" s="1" t="s">
        <v>57</v>
      </c>
      <c r="I908" s="1" t="s">
        <v>83</v>
      </c>
      <c r="J908" s="1" t="s">
        <v>35</v>
      </c>
      <c r="K908" s="1" t="s">
        <v>84</v>
      </c>
      <c r="L908" s="1" t="s">
        <v>113</v>
      </c>
      <c r="M908" s="1" t="s">
        <v>62</v>
      </c>
      <c r="N908" s="1" t="n">
        <v>11999</v>
      </c>
      <c r="O908" s="1" t="n">
        <v>15</v>
      </c>
      <c r="P908" s="1" t="n">
        <v>1799.85</v>
      </c>
      <c r="Q908" s="1" t="n">
        <v>10199.15</v>
      </c>
      <c r="R908" s="1" t="n">
        <v>1835.85</v>
      </c>
      <c r="S908" s="1" t="n">
        <v>8363.3</v>
      </c>
      <c r="T908" s="1" t="n">
        <v>3649.27</v>
      </c>
      <c r="U908" s="1" t="n">
        <v>4714.03</v>
      </c>
      <c r="V908" s="1" t="n">
        <v>56.37</v>
      </c>
      <c r="W908" s="1" t="s">
        <v>39</v>
      </c>
      <c r="X908" s="1" t="n">
        <v>3.4</v>
      </c>
      <c r="Y908" s="1" t="s">
        <v>40</v>
      </c>
      <c r="Z908" s="1" t="n">
        <v>1</v>
      </c>
    </row>
    <row r="909" customFormat="false" ht="15" hidden="false" customHeight="true" outlineLevel="0" collapsed="false">
      <c r="A909" s="1" t="s">
        <v>1603</v>
      </c>
      <c r="B909" s="1" t="s">
        <v>1604</v>
      </c>
      <c r="C909" s="1" t="s">
        <v>119</v>
      </c>
      <c r="D909" s="1" t="s">
        <v>44</v>
      </c>
      <c r="E909" s="1" t="s">
        <v>45</v>
      </c>
      <c r="F909" s="1" t="s">
        <v>75</v>
      </c>
      <c r="G909" s="1" t="s">
        <v>76</v>
      </c>
      <c r="H909" s="1" t="s">
        <v>69</v>
      </c>
      <c r="I909" s="1" t="s">
        <v>34</v>
      </c>
      <c r="J909" s="1" t="s">
        <v>35</v>
      </c>
      <c r="K909" s="1" t="s">
        <v>84</v>
      </c>
      <c r="L909" s="1" t="s">
        <v>61</v>
      </c>
      <c r="M909" s="1" t="s">
        <v>62</v>
      </c>
      <c r="N909" s="1" t="n">
        <v>11999</v>
      </c>
      <c r="O909" s="1" t="n">
        <v>0</v>
      </c>
      <c r="P909" s="1" t="n">
        <v>0</v>
      </c>
      <c r="Q909" s="1" t="n">
        <v>11999</v>
      </c>
      <c r="R909" s="1" t="n">
        <v>2159.82</v>
      </c>
      <c r="S909" s="1" t="n">
        <v>9839.18</v>
      </c>
      <c r="T909" s="1" t="n">
        <v>4468.92</v>
      </c>
      <c r="U909" s="1" t="n">
        <v>5370.26</v>
      </c>
      <c r="V909" s="1" t="n">
        <v>54.58</v>
      </c>
      <c r="W909" s="1" t="s">
        <v>39</v>
      </c>
      <c r="Y909" s="1" t="s">
        <v>40</v>
      </c>
      <c r="Z909" s="1" t="n">
        <v>0</v>
      </c>
    </row>
    <row r="910" customFormat="false" ht="15" hidden="false" customHeight="true" outlineLevel="0" collapsed="false">
      <c r="A910" s="1" t="s">
        <v>1605</v>
      </c>
      <c r="B910" s="1" t="s">
        <v>1606</v>
      </c>
      <c r="C910" s="1" t="s">
        <v>249</v>
      </c>
      <c r="D910" s="1" t="s">
        <v>53</v>
      </c>
      <c r="E910" s="1" t="s">
        <v>116</v>
      </c>
      <c r="F910" s="1" t="s">
        <v>211</v>
      </c>
      <c r="G910" s="1" t="s">
        <v>56</v>
      </c>
      <c r="H910" s="1" t="s">
        <v>69</v>
      </c>
      <c r="I910" s="1" t="s">
        <v>83</v>
      </c>
      <c r="J910" s="1" t="s">
        <v>35</v>
      </c>
      <c r="K910" s="1" t="s">
        <v>112</v>
      </c>
      <c r="L910" s="1" t="s">
        <v>49</v>
      </c>
      <c r="M910" s="1" t="s">
        <v>50</v>
      </c>
      <c r="N910" s="1" t="n">
        <v>9999</v>
      </c>
      <c r="O910" s="1" t="n">
        <v>0</v>
      </c>
      <c r="P910" s="1" t="n">
        <v>0</v>
      </c>
      <c r="Q910" s="1" t="n">
        <v>9999</v>
      </c>
      <c r="R910" s="1" t="n">
        <v>1799.82</v>
      </c>
      <c r="S910" s="1" t="n">
        <v>8199.18</v>
      </c>
      <c r="T910" s="1" t="n">
        <v>3003.24</v>
      </c>
      <c r="U910" s="1" t="n">
        <v>5195.94</v>
      </c>
      <c r="V910" s="1" t="n">
        <v>63.37</v>
      </c>
      <c r="W910" s="1" t="s">
        <v>39</v>
      </c>
      <c r="X910" s="1" t="n">
        <v>4.4</v>
      </c>
      <c r="Y910" s="1" t="s">
        <v>40</v>
      </c>
      <c r="Z910" s="1" t="n">
        <v>0</v>
      </c>
    </row>
    <row r="911" customFormat="false" ht="15" hidden="false" customHeight="true" outlineLevel="0" collapsed="false">
      <c r="A911" s="1" t="s">
        <v>1607</v>
      </c>
      <c r="B911" s="1" t="s">
        <v>891</v>
      </c>
      <c r="C911" s="1" t="s">
        <v>74</v>
      </c>
      <c r="D911" s="1" t="s">
        <v>53</v>
      </c>
      <c r="E911" s="1" t="s">
        <v>54</v>
      </c>
      <c r="F911" s="1" t="s">
        <v>156</v>
      </c>
      <c r="G911" s="1" t="s">
        <v>68</v>
      </c>
      <c r="H911" s="1" t="s">
        <v>57</v>
      </c>
      <c r="I911" s="1" t="s">
        <v>34</v>
      </c>
      <c r="J911" s="1" t="s">
        <v>59</v>
      </c>
      <c r="K911" s="1" t="s">
        <v>60</v>
      </c>
      <c r="L911" s="1" t="s">
        <v>49</v>
      </c>
      <c r="M911" s="1" t="s">
        <v>50</v>
      </c>
      <c r="N911" s="1" t="n">
        <v>11999</v>
      </c>
      <c r="O911" s="1" t="n">
        <v>50</v>
      </c>
      <c r="P911" s="1" t="n">
        <v>5999.5</v>
      </c>
      <c r="Q911" s="1" t="n">
        <v>5999.5</v>
      </c>
      <c r="R911" s="1" t="n">
        <v>1079.91</v>
      </c>
      <c r="S911" s="1" t="n">
        <v>4919.59</v>
      </c>
      <c r="T911" s="1" t="n">
        <v>3152.98</v>
      </c>
      <c r="U911" s="1" t="n">
        <v>1766.61</v>
      </c>
      <c r="V911" s="1" t="n">
        <v>35.91</v>
      </c>
      <c r="W911" s="1" t="s">
        <v>39</v>
      </c>
      <c r="X911" s="1" t="n">
        <v>4.3</v>
      </c>
      <c r="Y911" s="1" t="s">
        <v>40</v>
      </c>
      <c r="Z911" s="1" t="n">
        <v>1</v>
      </c>
    </row>
    <row r="912" customFormat="false" ht="15" hidden="false" customHeight="true" outlineLevel="0" collapsed="false">
      <c r="A912" s="1" t="s">
        <v>1608</v>
      </c>
      <c r="B912" s="1" t="s">
        <v>885</v>
      </c>
      <c r="C912" s="1" t="s">
        <v>43</v>
      </c>
      <c r="D912" s="1" t="s">
        <v>168</v>
      </c>
      <c r="E912" s="1" t="s">
        <v>169</v>
      </c>
      <c r="F912" s="1" t="s">
        <v>150</v>
      </c>
      <c r="G912" s="1" t="s">
        <v>32</v>
      </c>
      <c r="H912" s="1" t="s">
        <v>57</v>
      </c>
      <c r="I912" s="1" t="s">
        <v>58</v>
      </c>
      <c r="J912" s="1" t="s">
        <v>35</v>
      </c>
      <c r="K912" s="1" t="s">
        <v>84</v>
      </c>
      <c r="L912" s="1" t="s">
        <v>37</v>
      </c>
      <c r="M912" s="1" t="s">
        <v>62</v>
      </c>
      <c r="N912" s="1" t="n">
        <v>4999</v>
      </c>
      <c r="O912" s="1" t="n">
        <v>25</v>
      </c>
      <c r="P912" s="1" t="n">
        <v>1249.75</v>
      </c>
      <c r="Q912" s="1" t="n">
        <v>3749.25</v>
      </c>
      <c r="R912" s="1" t="n">
        <v>674.87</v>
      </c>
      <c r="S912" s="1" t="n">
        <v>3074.38</v>
      </c>
      <c r="T912" s="1" t="n">
        <v>1326.16</v>
      </c>
      <c r="U912" s="1" t="n">
        <v>1748.22</v>
      </c>
      <c r="V912" s="1" t="n">
        <v>56.86</v>
      </c>
      <c r="W912" s="1" t="s">
        <v>39</v>
      </c>
      <c r="X912" s="1" t="n">
        <v>3.5</v>
      </c>
      <c r="Y912" s="1" t="s">
        <v>40</v>
      </c>
      <c r="Z912" s="1" t="n">
        <v>1</v>
      </c>
    </row>
    <row r="913" customFormat="false" ht="15" hidden="false" customHeight="true" outlineLevel="0" collapsed="false">
      <c r="A913" s="1" t="s">
        <v>1609</v>
      </c>
      <c r="B913" s="1" t="s">
        <v>1610</v>
      </c>
      <c r="C913" s="1" t="s">
        <v>74</v>
      </c>
      <c r="D913" s="1" t="s">
        <v>80</v>
      </c>
      <c r="E913" s="1" t="s">
        <v>193</v>
      </c>
      <c r="F913" s="1" t="s">
        <v>153</v>
      </c>
      <c r="G913" s="1" t="s">
        <v>76</v>
      </c>
      <c r="H913" s="1" t="s">
        <v>33</v>
      </c>
      <c r="I913" s="1" t="s">
        <v>83</v>
      </c>
      <c r="J913" s="1" t="s">
        <v>77</v>
      </c>
      <c r="K913" s="1" t="s">
        <v>48</v>
      </c>
      <c r="L913" s="1" t="s">
        <v>49</v>
      </c>
      <c r="M913" s="1" t="s">
        <v>62</v>
      </c>
      <c r="N913" s="1" t="n">
        <v>8999</v>
      </c>
      <c r="O913" s="1" t="n">
        <v>40</v>
      </c>
      <c r="P913" s="1" t="n">
        <v>3599.6</v>
      </c>
      <c r="Q913" s="1" t="n">
        <v>5399.4</v>
      </c>
      <c r="R913" s="1" t="n">
        <v>971.89</v>
      </c>
      <c r="S913" s="1" t="n">
        <v>4427.51</v>
      </c>
      <c r="T913" s="1" t="n">
        <v>2312.5</v>
      </c>
      <c r="U913" s="1" t="n">
        <v>2115.01</v>
      </c>
      <c r="V913" s="1" t="n">
        <v>47.77</v>
      </c>
      <c r="W913" s="1" t="s">
        <v>40</v>
      </c>
      <c r="Y913" s="1" t="s">
        <v>40</v>
      </c>
      <c r="Z913" s="1" t="n">
        <v>0</v>
      </c>
    </row>
    <row r="914" customFormat="false" ht="15" hidden="false" customHeight="true" outlineLevel="0" collapsed="false">
      <c r="A914" s="1" t="s">
        <v>1611</v>
      </c>
      <c r="B914" s="1" t="s">
        <v>290</v>
      </c>
      <c r="C914" s="1" t="s">
        <v>139</v>
      </c>
      <c r="D914" s="1" t="s">
        <v>123</v>
      </c>
      <c r="E914" s="1" t="s">
        <v>124</v>
      </c>
      <c r="F914" s="1" t="s">
        <v>156</v>
      </c>
      <c r="G914" s="1" t="s">
        <v>68</v>
      </c>
      <c r="H914" s="1" t="s">
        <v>57</v>
      </c>
      <c r="I914" s="1" t="s">
        <v>58</v>
      </c>
      <c r="J914" s="1" t="s">
        <v>35</v>
      </c>
      <c r="K914" s="1" t="s">
        <v>104</v>
      </c>
      <c r="L914" s="1" t="s">
        <v>61</v>
      </c>
      <c r="M914" s="1" t="s">
        <v>50</v>
      </c>
      <c r="N914" s="1" t="n">
        <v>4999</v>
      </c>
      <c r="O914" s="1" t="n">
        <v>40</v>
      </c>
      <c r="P914" s="1" t="n">
        <v>1999.6</v>
      </c>
      <c r="Q914" s="1" t="n">
        <v>2999.4</v>
      </c>
      <c r="R914" s="1" t="n">
        <v>539.89</v>
      </c>
      <c r="S914" s="1" t="n">
        <v>2459.51</v>
      </c>
      <c r="T914" s="1" t="n">
        <v>1122.8</v>
      </c>
      <c r="U914" s="1" t="n">
        <v>1336.71</v>
      </c>
      <c r="V914" s="1" t="n">
        <v>54.35</v>
      </c>
      <c r="W914" s="1" t="s">
        <v>39</v>
      </c>
      <c r="X914" s="1" t="n">
        <v>3.8</v>
      </c>
      <c r="Y914" s="1" t="s">
        <v>39</v>
      </c>
      <c r="Z914" s="1" t="n">
        <v>0</v>
      </c>
    </row>
    <row r="915" customFormat="false" ht="15" hidden="false" customHeight="true" outlineLevel="0" collapsed="false">
      <c r="A915" s="1" t="s">
        <v>1612</v>
      </c>
      <c r="B915" s="1" t="s">
        <v>358</v>
      </c>
      <c r="C915" s="1" t="s">
        <v>100</v>
      </c>
      <c r="D915" s="1" t="s">
        <v>123</v>
      </c>
      <c r="E915" s="1" t="s">
        <v>124</v>
      </c>
      <c r="F915" s="1" t="s">
        <v>269</v>
      </c>
      <c r="G915" s="1" t="s">
        <v>108</v>
      </c>
      <c r="H915" s="1" t="s">
        <v>57</v>
      </c>
      <c r="I915" s="1" t="s">
        <v>34</v>
      </c>
      <c r="J915" s="1" t="s">
        <v>131</v>
      </c>
      <c r="K915" s="1" t="s">
        <v>112</v>
      </c>
      <c r="L915" s="1" t="s">
        <v>113</v>
      </c>
      <c r="M915" s="1" t="s">
        <v>50</v>
      </c>
      <c r="N915" s="1" t="n">
        <v>4999</v>
      </c>
      <c r="O915" s="1" t="n">
        <v>15</v>
      </c>
      <c r="P915" s="1" t="n">
        <v>749.85</v>
      </c>
      <c r="Q915" s="1" t="n">
        <v>4249.15</v>
      </c>
      <c r="R915" s="1" t="n">
        <v>764.85</v>
      </c>
      <c r="S915" s="1" t="n">
        <v>3484.3</v>
      </c>
      <c r="T915" s="1" t="n">
        <v>1733.46</v>
      </c>
      <c r="U915" s="1" t="n">
        <v>1750.84</v>
      </c>
      <c r="V915" s="1" t="n">
        <v>50.25</v>
      </c>
      <c r="W915" s="1" t="s">
        <v>40</v>
      </c>
      <c r="Y915" s="1" t="s">
        <v>40</v>
      </c>
      <c r="Z915" s="1" t="n">
        <v>1</v>
      </c>
    </row>
    <row r="916" customFormat="false" ht="15" hidden="false" customHeight="true" outlineLevel="0" collapsed="false">
      <c r="A916" s="1" t="s">
        <v>1613</v>
      </c>
      <c r="B916" s="1" t="s">
        <v>1614</v>
      </c>
      <c r="C916" s="1" t="s">
        <v>28</v>
      </c>
      <c r="D916" s="1" t="s">
        <v>53</v>
      </c>
      <c r="E916" s="1" t="s">
        <v>116</v>
      </c>
      <c r="F916" s="1" t="s">
        <v>55</v>
      </c>
      <c r="G916" s="1" t="s">
        <v>56</v>
      </c>
      <c r="H916" s="1" t="s">
        <v>57</v>
      </c>
      <c r="I916" s="1" t="s">
        <v>83</v>
      </c>
      <c r="J916" s="1" t="s">
        <v>77</v>
      </c>
      <c r="K916" s="1" t="s">
        <v>71</v>
      </c>
      <c r="L916" s="1" t="s">
        <v>37</v>
      </c>
      <c r="M916" s="1" t="s">
        <v>38</v>
      </c>
      <c r="N916" s="1" t="n">
        <v>9999</v>
      </c>
      <c r="O916" s="1" t="n">
        <v>10</v>
      </c>
      <c r="P916" s="1" t="n">
        <v>999.9</v>
      </c>
      <c r="Q916" s="1" t="n">
        <v>8999.1</v>
      </c>
      <c r="R916" s="1" t="n">
        <v>1619.84</v>
      </c>
      <c r="S916" s="1" t="n">
        <v>7379.26</v>
      </c>
      <c r="T916" s="1" t="n">
        <v>3030.08</v>
      </c>
      <c r="U916" s="1" t="n">
        <v>4349.18</v>
      </c>
      <c r="V916" s="1" t="n">
        <v>58.94</v>
      </c>
      <c r="W916" s="1" t="s">
        <v>40</v>
      </c>
      <c r="Y916" s="1" t="s">
        <v>40</v>
      </c>
      <c r="Z916" s="1" t="n">
        <v>1</v>
      </c>
    </row>
    <row r="917" customFormat="false" ht="15" hidden="false" customHeight="true" outlineLevel="0" collapsed="false">
      <c r="A917" s="1" t="s">
        <v>1615</v>
      </c>
      <c r="B917" s="1" t="s">
        <v>149</v>
      </c>
      <c r="C917" s="1" t="s">
        <v>264</v>
      </c>
      <c r="D917" s="1" t="s">
        <v>94</v>
      </c>
      <c r="E917" s="1" t="s">
        <v>95</v>
      </c>
      <c r="F917" s="1" t="s">
        <v>130</v>
      </c>
      <c r="G917" s="1" t="s">
        <v>47</v>
      </c>
      <c r="H917" s="1" t="s">
        <v>69</v>
      </c>
      <c r="I917" s="1" t="s">
        <v>83</v>
      </c>
      <c r="J917" s="1" t="s">
        <v>35</v>
      </c>
      <c r="K917" s="1" t="s">
        <v>84</v>
      </c>
      <c r="L917" s="1" t="s">
        <v>49</v>
      </c>
      <c r="M917" s="1" t="s">
        <v>50</v>
      </c>
      <c r="N917" s="1" t="n">
        <v>6999</v>
      </c>
      <c r="O917" s="1" t="n">
        <v>30</v>
      </c>
      <c r="P917" s="1" t="n">
        <v>2099.7</v>
      </c>
      <c r="Q917" s="1" t="n">
        <v>4899.3</v>
      </c>
      <c r="R917" s="1" t="n">
        <v>881.87</v>
      </c>
      <c r="S917" s="1" t="n">
        <v>4017.43</v>
      </c>
      <c r="T917" s="1" t="n">
        <v>1640.41</v>
      </c>
      <c r="U917" s="1" t="n">
        <v>2377.02</v>
      </c>
      <c r="V917" s="1" t="n">
        <v>59.17</v>
      </c>
      <c r="W917" s="1" t="s">
        <v>39</v>
      </c>
      <c r="X917" s="1" t="n">
        <v>3.8</v>
      </c>
      <c r="Y917" s="1" t="s">
        <v>40</v>
      </c>
      <c r="Z917" s="1" t="n">
        <v>0</v>
      </c>
    </row>
    <row r="918" customFormat="false" ht="15" hidden="false" customHeight="true" outlineLevel="0" collapsed="false">
      <c r="A918" s="1" t="s">
        <v>1616</v>
      </c>
      <c r="B918" s="1" t="s">
        <v>237</v>
      </c>
      <c r="C918" s="1" t="s">
        <v>249</v>
      </c>
      <c r="D918" s="1" t="s">
        <v>53</v>
      </c>
      <c r="E918" s="1" t="s">
        <v>54</v>
      </c>
      <c r="F918" s="1" t="s">
        <v>194</v>
      </c>
      <c r="G918" s="1" t="s">
        <v>103</v>
      </c>
      <c r="H918" s="1" t="s">
        <v>69</v>
      </c>
      <c r="I918" s="1" t="s">
        <v>83</v>
      </c>
      <c r="J918" s="1" t="s">
        <v>35</v>
      </c>
      <c r="K918" s="1" t="s">
        <v>112</v>
      </c>
      <c r="L918" s="1" t="s">
        <v>113</v>
      </c>
      <c r="M918" s="1" t="s">
        <v>62</v>
      </c>
      <c r="N918" s="1" t="n">
        <v>11999</v>
      </c>
      <c r="O918" s="1" t="n">
        <v>30</v>
      </c>
      <c r="P918" s="1" t="n">
        <v>3599.7</v>
      </c>
      <c r="Q918" s="1" t="n">
        <v>8399.3</v>
      </c>
      <c r="R918" s="1" t="n">
        <v>1511.87</v>
      </c>
      <c r="S918" s="1" t="n">
        <v>6887.43</v>
      </c>
      <c r="T918" s="1" t="n">
        <v>3364.28</v>
      </c>
      <c r="U918" s="1" t="n">
        <v>3523.15</v>
      </c>
      <c r="V918" s="1" t="n">
        <v>51.15</v>
      </c>
      <c r="W918" s="1" t="s">
        <v>39</v>
      </c>
      <c r="X918" s="1" t="n">
        <v>4.7</v>
      </c>
      <c r="Y918" s="1" t="s">
        <v>40</v>
      </c>
      <c r="Z918" s="1" t="n">
        <v>0</v>
      </c>
    </row>
    <row r="919" customFormat="false" ht="15" hidden="false" customHeight="true" outlineLevel="0" collapsed="false">
      <c r="A919" s="1" t="s">
        <v>1617</v>
      </c>
      <c r="B919" s="1" t="s">
        <v>127</v>
      </c>
      <c r="C919" s="1" t="s">
        <v>100</v>
      </c>
      <c r="D919" s="1" t="s">
        <v>94</v>
      </c>
      <c r="E919" s="1" t="s">
        <v>135</v>
      </c>
      <c r="F919" s="1" t="s">
        <v>107</v>
      </c>
      <c r="G919" s="1" t="s">
        <v>108</v>
      </c>
      <c r="H919" s="1" t="s">
        <v>33</v>
      </c>
      <c r="I919" s="1" t="s">
        <v>58</v>
      </c>
      <c r="J919" s="1" t="s">
        <v>70</v>
      </c>
      <c r="K919" s="1" t="s">
        <v>104</v>
      </c>
      <c r="L919" s="1" t="s">
        <v>113</v>
      </c>
      <c r="M919" s="1" t="s">
        <v>50</v>
      </c>
      <c r="N919" s="1" t="n">
        <v>9999</v>
      </c>
      <c r="O919" s="1" t="n">
        <v>0</v>
      </c>
      <c r="P919" s="1" t="n">
        <v>0</v>
      </c>
      <c r="Q919" s="1" t="n">
        <v>9999</v>
      </c>
      <c r="R919" s="1" t="n">
        <v>1799.82</v>
      </c>
      <c r="S919" s="1" t="n">
        <v>8199.18</v>
      </c>
      <c r="T919" s="1" t="n">
        <v>3115.66</v>
      </c>
      <c r="U919" s="1" t="n">
        <v>5083.52</v>
      </c>
      <c r="V919" s="1" t="n">
        <v>62</v>
      </c>
      <c r="W919" s="1" t="s">
        <v>39</v>
      </c>
      <c r="X919" s="1" t="n">
        <v>4.3</v>
      </c>
      <c r="Y919" s="1" t="s">
        <v>40</v>
      </c>
      <c r="Z919" s="1" t="n">
        <v>0</v>
      </c>
    </row>
    <row r="920" customFormat="false" ht="15" hidden="false" customHeight="true" outlineLevel="0" collapsed="false">
      <c r="A920" s="1" t="s">
        <v>1618</v>
      </c>
      <c r="B920" s="1" t="s">
        <v>1619</v>
      </c>
      <c r="C920" s="1" t="s">
        <v>74</v>
      </c>
      <c r="D920" s="1" t="s">
        <v>168</v>
      </c>
      <c r="E920" s="1" t="s">
        <v>169</v>
      </c>
      <c r="F920" s="1" t="s">
        <v>150</v>
      </c>
      <c r="G920" s="1" t="s">
        <v>32</v>
      </c>
      <c r="H920" s="1" t="s">
        <v>57</v>
      </c>
      <c r="I920" s="1" t="s">
        <v>83</v>
      </c>
      <c r="J920" s="1" t="s">
        <v>131</v>
      </c>
      <c r="K920" s="1" t="s">
        <v>36</v>
      </c>
      <c r="L920" s="1" t="s">
        <v>85</v>
      </c>
      <c r="M920" s="1" t="s">
        <v>62</v>
      </c>
      <c r="N920" s="1" t="n">
        <v>4999</v>
      </c>
      <c r="O920" s="1" t="n">
        <v>10</v>
      </c>
      <c r="P920" s="1" t="n">
        <v>499.9</v>
      </c>
      <c r="Q920" s="1" t="n">
        <v>4499.1</v>
      </c>
      <c r="R920" s="1" t="n">
        <v>809.84</v>
      </c>
      <c r="S920" s="1" t="n">
        <v>3689.26</v>
      </c>
      <c r="T920" s="1" t="n">
        <v>1793.64</v>
      </c>
      <c r="U920" s="1" t="n">
        <v>1895.62</v>
      </c>
      <c r="V920" s="1" t="n">
        <v>51.38</v>
      </c>
      <c r="W920" s="1" t="s">
        <v>39</v>
      </c>
      <c r="X920" s="1" t="n">
        <v>3.5</v>
      </c>
      <c r="Y920" s="1" t="s">
        <v>40</v>
      </c>
      <c r="Z920" s="1" t="n">
        <v>1</v>
      </c>
    </row>
    <row r="921" customFormat="false" ht="15" hidden="false" customHeight="true" outlineLevel="0" collapsed="false">
      <c r="A921" s="1" t="s">
        <v>1620</v>
      </c>
      <c r="B921" s="1" t="s">
        <v>1621</v>
      </c>
      <c r="C921" s="1" t="s">
        <v>134</v>
      </c>
      <c r="D921" s="1" t="s">
        <v>53</v>
      </c>
      <c r="E921" s="1" t="s">
        <v>116</v>
      </c>
      <c r="F921" s="1" t="s">
        <v>75</v>
      </c>
      <c r="G921" s="1" t="s">
        <v>76</v>
      </c>
      <c r="H921" s="1" t="s">
        <v>69</v>
      </c>
      <c r="I921" s="1" t="s">
        <v>58</v>
      </c>
      <c r="J921" s="1" t="s">
        <v>35</v>
      </c>
      <c r="K921" s="1" t="s">
        <v>48</v>
      </c>
      <c r="L921" s="1" t="s">
        <v>113</v>
      </c>
      <c r="M921" s="1" t="s">
        <v>62</v>
      </c>
      <c r="N921" s="1" t="n">
        <v>9999</v>
      </c>
      <c r="O921" s="1" t="n">
        <v>10</v>
      </c>
      <c r="P921" s="1" t="n">
        <v>999.9</v>
      </c>
      <c r="Q921" s="1" t="n">
        <v>8999.1</v>
      </c>
      <c r="R921" s="1" t="n">
        <v>1619.84</v>
      </c>
      <c r="S921" s="1" t="n">
        <v>7379.26</v>
      </c>
      <c r="T921" s="1" t="n">
        <v>2962.21</v>
      </c>
      <c r="U921" s="1" t="n">
        <v>4417.05</v>
      </c>
      <c r="V921" s="1" t="n">
        <v>59.86</v>
      </c>
      <c r="W921" s="1" t="s">
        <v>39</v>
      </c>
      <c r="X921" s="1" t="n">
        <v>2.3</v>
      </c>
      <c r="Y921" s="1" t="s">
        <v>40</v>
      </c>
      <c r="Z921" s="1" t="n">
        <v>0</v>
      </c>
    </row>
    <row r="922" customFormat="false" ht="15" hidden="false" customHeight="true" outlineLevel="0" collapsed="false">
      <c r="A922" s="1" t="s">
        <v>1622</v>
      </c>
      <c r="B922" s="1" t="s">
        <v>1623</v>
      </c>
      <c r="C922" s="1" t="s">
        <v>134</v>
      </c>
      <c r="D922" s="1" t="s">
        <v>168</v>
      </c>
      <c r="E922" s="1" t="s">
        <v>328</v>
      </c>
      <c r="F922" s="1" t="s">
        <v>269</v>
      </c>
      <c r="G922" s="1" t="s">
        <v>108</v>
      </c>
      <c r="H922" s="1" t="s">
        <v>57</v>
      </c>
      <c r="I922" s="1" t="s">
        <v>83</v>
      </c>
      <c r="J922" s="1" t="s">
        <v>131</v>
      </c>
      <c r="K922" s="1" t="s">
        <v>71</v>
      </c>
      <c r="L922" s="1" t="s">
        <v>49</v>
      </c>
      <c r="M922" s="1" t="s">
        <v>62</v>
      </c>
      <c r="N922" s="1" t="n">
        <v>8999</v>
      </c>
      <c r="O922" s="1" t="n">
        <v>0</v>
      </c>
      <c r="P922" s="1" t="n">
        <v>0</v>
      </c>
      <c r="Q922" s="1" t="n">
        <v>8999</v>
      </c>
      <c r="R922" s="1" t="n">
        <v>1619.82</v>
      </c>
      <c r="S922" s="1" t="n">
        <v>7379.18</v>
      </c>
      <c r="T922" s="1" t="n">
        <v>3732.91</v>
      </c>
      <c r="U922" s="1" t="n">
        <v>3646.27</v>
      </c>
      <c r="V922" s="1" t="n">
        <v>49.41</v>
      </c>
      <c r="W922" s="1" t="s">
        <v>39</v>
      </c>
      <c r="X922" s="1" t="n">
        <v>3.5</v>
      </c>
      <c r="Y922" s="1" t="s">
        <v>39</v>
      </c>
      <c r="Z922" s="1" t="n">
        <v>1</v>
      </c>
    </row>
    <row r="923" customFormat="false" ht="15" hidden="false" customHeight="true" outlineLevel="0" collapsed="false">
      <c r="A923" s="1" t="s">
        <v>1624</v>
      </c>
      <c r="B923" s="1" t="s">
        <v>1625</v>
      </c>
      <c r="C923" s="1" t="s">
        <v>134</v>
      </c>
      <c r="D923" s="1" t="s">
        <v>123</v>
      </c>
      <c r="E923" s="1" t="s">
        <v>124</v>
      </c>
      <c r="F923" s="1" t="s">
        <v>211</v>
      </c>
      <c r="G923" s="1" t="s">
        <v>56</v>
      </c>
      <c r="H923" s="1" t="s">
        <v>69</v>
      </c>
      <c r="I923" s="1" t="s">
        <v>83</v>
      </c>
      <c r="J923" s="1" t="s">
        <v>59</v>
      </c>
      <c r="K923" s="1" t="s">
        <v>112</v>
      </c>
      <c r="L923" s="1" t="s">
        <v>136</v>
      </c>
      <c r="M923" s="1" t="s">
        <v>62</v>
      </c>
      <c r="N923" s="1" t="n">
        <v>4999</v>
      </c>
      <c r="O923" s="1" t="n">
        <v>25</v>
      </c>
      <c r="P923" s="1" t="n">
        <v>1249.75</v>
      </c>
      <c r="Q923" s="1" t="n">
        <v>3749.25</v>
      </c>
      <c r="R923" s="1" t="n">
        <v>674.87</v>
      </c>
      <c r="S923" s="1" t="n">
        <v>3074.38</v>
      </c>
      <c r="T923" s="1" t="n">
        <v>1310.29</v>
      </c>
      <c r="U923" s="1" t="n">
        <v>1764.09</v>
      </c>
      <c r="V923" s="1" t="n">
        <v>57.38</v>
      </c>
      <c r="W923" s="1" t="s">
        <v>40</v>
      </c>
      <c r="Y923" s="1" t="s">
        <v>40</v>
      </c>
      <c r="Z923" s="1" t="n">
        <v>3</v>
      </c>
    </row>
    <row r="924" customFormat="false" ht="15" hidden="false" customHeight="true" outlineLevel="0" collapsed="false">
      <c r="A924" s="1" t="s">
        <v>1626</v>
      </c>
      <c r="B924" s="1" t="s">
        <v>983</v>
      </c>
      <c r="C924" s="1" t="s">
        <v>264</v>
      </c>
      <c r="D924" s="1" t="s">
        <v>143</v>
      </c>
      <c r="E924" s="1" t="s">
        <v>162</v>
      </c>
      <c r="F924" s="1" t="s">
        <v>150</v>
      </c>
      <c r="G924" s="1" t="s">
        <v>32</v>
      </c>
      <c r="H924" s="1" t="s">
        <v>57</v>
      </c>
      <c r="I924" s="1" t="s">
        <v>83</v>
      </c>
      <c r="J924" s="1" t="s">
        <v>59</v>
      </c>
      <c r="K924" s="1" t="s">
        <v>84</v>
      </c>
      <c r="L924" s="1" t="s">
        <v>37</v>
      </c>
      <c r="M924" s="1" t="s">
        <v>62</v>
      </c>
      <c r="N924" s="1" t="n">
        <v>14999</v>
      </c>
      <c r="O924" s="1" t="n">
        <v>0</v>
      </c>
      <c r="P924" s="1" t="n">
        <v>0</v>
      </c>
      <c r="Q924" s="1" t="n">
        <v>14999</v>
      </c>
      <c r="R924" s="1" t="n">
        <v>2699.82</v>
      </c>
      <c r="S924" s="1" t="n">
        <v>12299.18</v>
      </c>
      <c r="T924" s="1" t="n">
        <v>6404.3</v>
      </c>
      <c r="U924" s="1" t="n">
        <v>5894.88</v>
      </c>
      <c r="V924" s="1" t="n">
        <v>47.93</v>
      </c>
      <c r="W924" s="1" t="s">
        <v>40</v>
      </c>
      <c r="Y924" s="1" t="s">
        <v>40</v>
      </c>
      <c r="Z924" s="1" t="n">
        <v>0</v>
      </c>
    </row>
    <row r="925" customFormat="false" ht="15" hidden="false" customHeight="true" outlineLevel="0" collapsed="false">
      <c r="A925" s="1" t="s">
        <v>1627</v>
      </c>
      <c r="B925" s="1" t="s">
        <v>1458</v>
      </c>
      <c r="C925" s="1" t="s">
        <v>65</v>
      </c>
      <c r="D925" s="1" t="s">
        <v>80</v>
      </c>
      <c r="E925" s="1" t="s">
        <v>190</v>
      </c>
      <c r="F925" s="1" t="s">
        <v>211</v>
      </c>
      <c r="G925" s="1" t="s">
        <v>56</v>
      </c>
      <c r="H925" s="1" t="s">
        <v>69</v>
      </c>
      <c r="I925" s="1" t="s">
        <v>83</v>
      </c>
      <c r="J925" s="1" t="s">
        <v>131</v>
      </c>
      <c r="K925" s="1" t="s">
        <v>90</v>
      </c>
      <c r="L925" s="1" t="s">
        <v>49</v>
      </c>
      <c r="M925" s="1" t="s">
        <v>50</v>
      </c>
      <c r="N925" s="1" t="n">
        <v>15999</v>
      </c>
      <c r="O925" s="1" t="n">
        <v>0</v>
      </c>
      <c r="P925" s="1" t="n">
        <v>0</v>
      </c>
      <c r="Q925" s="1" t="n">
        <v>15999</v>
      </c>
      <c r="R925" s="1" t="n">
        <v>2879.82</v>
      </c>
      <c r="S925" s="1" t="n">
        <v>13119.18</v>
      </c>
      <c r="T925" s="1" t="n">
        <v>5243.05</v>
      </c>
      <c r="U925" s="1" t="n">
        <v>7876.13</v>
      </c>
      <c r="V925" s="1" t="n">
        <v>60.04</v>
      </c>
      <c r="W925" s="1" t="s">
        <v>39</v>
      </c>
      <c r="X925" s="1" t="n">
        <v>4.6</v>
      </c>
      <c r="Y925" s="1" t="s">
        <v>40</v>
      </c>
      <c r="Z925" s="1" t="n">
        <v>0</v>
      </c>
    </row>
    <row r="926" customFormat="false" ht="15" hidden="false" customHeight="true" outlineLevel="0" collapsed="false">
      <c r="A926" s="1" t="s">
        <v>1628</v>
      </c>
      <c r="B926" s="1" t="s">
        <v>926</v>
      </c>
      <c r="C926" s="1" t="s">
        <v>28</v>
      </c>
      <c r="D926" s="1" t="s">
        <v>29</v>
      </c>
      <c r="E926" s="1" t="s">
        <v>129</v>
      </c>
      <c r="F926" s="1" t="s">
        <v>46</v>
      </c>
      <c r="G926" s="1" t="s">
        <v>47</v>
      </c>
      <c r="H926" s="1" t="s">
        <v>33</v>
      </c>
      <c r="I926" s="1" t="s">
        <v>58</v>
      </c>
      <c r="J926" s="1" t="s">
        <v>131</v>
      </c>
      <c r="K926" s="1" t="s">
        <v>48</v>
      </c>
      <c r="L926" s="1" t="s">
        <v>113</v>
      </c>
      <c r="M926" s="1" t="s">
        <v>38</v>
      </c>
      <c r="N926" s="1" t="n">
        <v>29999</v>
      </c>
      <c r="O926" s="1" t="n">
        <v>25</v>
      </c>
      <c r="P926" s="1" t="n">
        <v>7499.75</v>
      </c>
      <c r="Q926" s="1" t="n">
        <v>22499.25</v>
      </c>
      <c r="R926" s="1" t="n">
        <v>4049.86</v>
      </c>
      <c r="S926" s="1" t="n">
        <v>18449.39</v>
      </c>
      <c r="T926" s="1" t="n">
        <v>6114.99</v>
      </c>
      <c r="U926" s="1" t="n">
        <v>12334.4</v>
      </c>
      <c r="V926" s="1" t="n">
        <v>66.86</v>
      </c>
      <c r="W926" s="1" t="s">
        <v>40</v>
      </c>
      <c r="Y926" s="1" t="s">
        <v>40</v>
      </c>
      <c r="Z926" s="1" t="n">
        <v>0</v>
      </c>
    </row>
    <row r="927" customFormat="false" ht="15" hidden="false" customHeight="true" outlineLevel="0" collapsed="false">
      <c r="A927" s="1" t="s">
        <v>1629</v>
      </c>
      <c r="B927" s="1" t="s">
        <v>776</v>
      </c>
      <c r="C927" s="1" t="s">
        <v>100</v>
      </c>
      <c r="D927" s="1" t="s">
        <v>123</v>
      </c>
      <c r="E927" s="1" t="s">
        <v>124</v>
      </c>
      <c r="F927" s="1" t="s">
        <v>130</v>
      </c>
      <c r="G927" s="1" t="s">
        <v>47</v>
      </c>
      <c r="H927" s="1" t="s">
        <v>69</v>
      </c>
      <c r="I927" s="1" t="s">
        <v>34</v>
      </c>
      <c r="J927" s="1" t="s">
        <v>59</v>
      </c>
      <c r="K927" s="1" t="s">
        <v>71</v>
      </c>
      <c r="L927" s="1" t="s">
        <v>61</v>
      </c>
      <c r="M927" s="1" t="s">
        <v>50</v>
      </c>
      <c r="N927" s="1" t="n">
        <v>4999</v>
      </c>
      <c r="O927" s="1" t="n">
        <v>15</v>
      </c>
      <c r="P927" s="1" t="n">
        <v>749.85</v>
      </c>
      <c r="Q927" s="1" t="n">
        <v>4249.15</v>
      </c>
      <c r="R927" s="1" t="n">
        <v>764.85</v>
      </c>
      <c r="S927" s="1" t="n">
        <v>3484.3</v>
      </c>
      <c r="T927" s="1" t="n">
        <v>1595.43</v>
      </c>
      <c r="U927" s="1" t="n">
        <v>1888.87</v>
      </c>
      <c r="V927" s="1" t="n">
        <v>54.21</v>
      </c>
      <c r="W927" s="1" t="s">
        <v>40</v>
      </c>
      <c r="Y927" s="1" t="s">
        <v>40</v>
      </c>
      <c r="Z927" s="1" t="n">
        <v>0</v>
      </c>
    </row>
    <row r="928" customFormat="false" ht="15" hidden="false" customHeight="true" outlineLevel="0" collapsed="false">
      <c r="A928" s="1" t="s">
        <v>1630</v>
      </c>
      <c r="B928" s="1" t="s">
        <v>309</v>
      </c>
      <c r="C928" s="1" t="s">
        <v>119</v>
      </c>
      <c r="D928" s="1" t="s">
        <v>44</v>
      </c>
      <c r="E928" s="1" t="s">
        <v>221</v>
      </c>
      <c r="F928" s="1" t="s">
        <v>153</v>
      </c>
      <c r="G928" s="1" t="s">
        <v>76</v>
      </c>
      <c r="H928" s="1" t="s">
        <v>33</v>
      </c>
      <c r="I928" s="1" t="s">
        <v>34</v>
      </c>
      <c r="J928" s="1" t="s">
        <v>77</v>
      </c>
      <c r="K928" s="1" t="s">
        <v>90</v>
      </c>
      <c r="L928" s="1" t="s">
        <v>113</v>
      </c>
      <c r="M928" s="1" t="s">
        <v>50</v>
      </c>
      <c r="N928" s="1" t="n">
        <v>16999</v>
      </c>
      <c r="O928" s="1" t="n">
        <v>50</v>
      </c>
      <c r="P928" s="1" t="n">
        <v>8499.5</v>
      </c>
      <c r="Q928" s="1" t="n">
        <v>8499.5</v>
      </c>
      <c r="R928" s="1" t="n">
        <v>1529.91</v>
      </c>
      <c r="S928" s="1" t="n">
        <v>6969.59</v>
      </c>
      <c r="T928" s="1" t="n">
        <v>3625.36</v>
      </c>
      <c r="U928" s="1" t="n">
        <v>3344.23</v>
      </c>
      <c r="V928" s="1" t="n">
        <v>47.98</v>
      </c>
      <c r="W928" s="1" t="s">
        <v>40</v>
      </c>
      <c r="Y928" s="1" t="s">
        <v>40</v>
      </c>
      <c r="Z928" s="1" t="n">
        <v>1</v>
      </c>
    </row>
    <row r="929" customFormat="false" ht="15" hidden="false" customHeight="true" outlineLevel="0" collapsed="false">
      <c r="A929" s="1" t="s">
        <v>1631</v>
      </c>
      <c r="B929" s="1" t="s">
        <v>1056</v>
      </c>
      <c r="C929" s="1" t="s">
        <v>134</v>
      </c>
      <c r="D929" s="1" t="s">
        <v>53</v>
      </c>
      <c r="E929" s="1" t="s">
        <v>216</v>
      </c>
      <c r="F929" s="1" t="s">
        <v>55</v>
      </c>
      <c r="G929" s="1" t="s">
        <v>56</v>
      </c>
      <c r="H929" s="1" t="s">
        <v>57</v>
      </c>
      <c r="I929" s="1" t="s">
        <v>83</v>
      </c>
      <c r="J929" s="1" t="s">
        <v>35</v>
      </c>
      <c r="K929" s="1" t="s">
        <v>84</v>
      </c>
      <c r="L929" s="1" t="s">
        <v>136</v>
      </c>
      <c r="M929" s="1" t="s">
        <v>38</v>
      </c>
      <c r="N929" s="1" t="n">
        <v>7499</v>
      </c>
      <c r="O929" s="1" t="n">
        <v>0</v>
      </c>
      <c r="P929" s="1" t="n">
        <v>0</v>
      </c>
      <c r="Q929" s="1" t="n">
        <v>7499</v>
      </c>
      <c r="R929" s="1" t="n">
        <v>1349.82</v>
      </c>
      <c r="S929" s="1" t="n">
        <v>6149.18</v>
      </c>
      <c r="T929" s="1" t="n">
        <v>2725.85</v>
      </c>
      <c r="U929" s="1" t="n">
        <v>3423.33</v>
      </c>
      <c r="V929" s="1" t="n">
        <v>55.67</v>
      </c>
      <c r="W929" s="1" t="s">
        <v>39</v>
      </c>
      <c r="X929" s="1" t="n">
        <v>3.2</v>
      </c>
      <c r="Y929" s="1" t="s">
        <v>40</v>
      </c>
      <c r="Z929" s="1" t="n">
        <v>0</v>
      </c>
    </row>
    <row r="930" customFormat="false" ht="15" hidden="false" customHeight="true" outlineLevel="0" collapsed="false">
      <c r="A930" s="1" t="s">
        <v>1632</v>
      </c>
      <c r="B930" s="1" t="s">
        <v>1633</v>
      </c>
      <c r="C930" s="1" t="s">
        <v>28</v>
      </c>
      <c r="D930" s="1" t="s">
        <v>143</v>
      </c>
      <c r="E930" s="1" t="s">
        <v>144</v>
      </c>
      <c r="F930" s="1" t="s">
        <v>55</v>
      </c>
      <c r="G930" s="1" t="s">
        <v>56</v>
      </c>
      <c r="H930" s="1" t="s">
        <v>57</v>
      </c>
      <c r="I930" s="1" t="s">
        <v>58</v>
      </c>
      <c r="J930" s="1" t="s">
        <v>77</v>
      </c>
      <c r="K930" s="1" t="s">
        <v>48</v>
      </c>
      <c r="L930" s="1" t="s">
        <v>37</v>
      </c>
      <c r="M930" s="1" t="s">
        <v>38</v>
      </c>
      <c r="N930" s="1" t="n">
        <v>12999</v>
      </c>
      <c r="O930" s="1" t="n">
        <v>10</v>
      </c>
      <c r="P930" s="1" t="n">
        <v>1299.9</v>
      </c>
      <c r="Q930" s="1" t="n">
        <v>11699.1</v>
      </c>
      <c r="R930" s="1" t="n">
        <v>2105.84</v>
      </c>
      <c r="S930" s="1" t="n">
        <v>9593.26</v>
      </c>
      <c r="T930" s="1" t="n">
        <v>3987.18</v>
      </c>
      <c r="U930" s="1" t="n">
        <v>5606.08</v>
      </c>
      <c r="V930" s="1" t="n">
        <v>58.44</v>
      </c>
      <c r="W930" s="1" t="s">
        <v>40</v>
      </c>
      <c r="Y930" s="1" t="s">
        <v>40</v>
      </c>
      <c r="Z930" s="1" t="n">
        <v>1</v>
      </c>
    </row>
    <row r="931" customFormat="false" ht="15" hidden="false" customHeight="true" outlineLevel="0" collapsed="false">
      <c r="A931" s="1" t="s">
        <v>1634</v>
      </c>
      <c r="B931" s="1" t="s">
        <v>27</v>
      </c>
      <c r="C931" s="1" t="s">
        <v>43</v>
      </c>
      <c r="D931" s="1" t="s">
        <v>143</v>
      </c>
      <c r="E931" s="1" t="s">
        <v>243</v>
      </c>
      <c r="F931" s="1" t="s">
        <v>205</v>
      </c>
      <c r="G931" s="1" t="s">
        <v>56</v>
      </c>
      <c r="H931" s="1" t="s">
        <v>69</v>
      </c>
      <c r="I931" s="1" t="s">
        <v>34</v>
      </c>
      <c r="J931" s="1" t="s">
        <v>35</v>
      </c>
      <c r="K931" s="1" t="s">
        <v>71</v>
      </c>
      <c r="L931" s="1" t="s">
        <v>61</v>
      </c>
      <c r="M931" s="1" t="s">
        <v>62</v>
      </c>
      <c r="N931" s="1" t="n">
        <v>22999</v>
      </c>
      <c r="O931" s="1" t="n">
        <v>0</v>
      </c>
      <c r="P931" s="1" t="n">
        <v>0</v>
      </c>
      <c r="Q931" s="1" t="n">
        <v>22999</v>
      </c>
      <c r="R931" s="1" t="n">
        <v>4139.82</v>
      </c>
      <c r="S931" s="1" t="n">
        <v>18859.18</v>
      </c>
      <c r="T931" s="1" t="n">
        <v>8412.75</v>
      </c>
      <c r="U931" s="1" t="n">
        <v>10446.43</v>
      </c>
      <c r="V931" s="1" t="n">
        <v>55.39</v>
      </c>
      <c r="W931" s="1" t="s">
        <v>40</v>
      </c>
      <c r="Y931" s="1" t="s">
        <v>39</v>
      </c>
      <c r="Z931" s="1" t="n">
        <v>1</v>
      </c>
    </row>
    <row r="932" customFormat="false" ht="15" hidden="false" customHeight="true" outlineLevel="0" collapsed="false">
      <c r="A932" s="1" t="s">
        <v>1635</v>
      </c>
      <c r="B932" s="1" t="s">
        <v>1636</v>
      </c>
      <c r="C932" s="1" t="s">
        <v>119</v>
      </c>
      <c r="D932" s="1" t="s">
        <v>168</v>
      </c>
      <c r="E932" s="1" t="s">
        <v>328</v>
      </c>
      <c r="F932" s="1" t="s">
        <v>55</v>
      </c>
      <c r="G932" s="1" t="s">
        <v>56</v>
      </c>
      <c r="H932" s="1" t="s">
        <v>57</v>
      </c>
      <c r="I932" s="1" t="s">
        <v>58</v>
      </c>
      <c r="J932" s="1" t="s">
        <v>70</v>
      </c>
      <c r="K932" s="1" t="s">
        <v>84</v>
      </c>
      <c r="L932" s="1" t="s">
        <v>136</v>
      </c>
      <c r="M932" s="1" t="s">
        <v>38</v>
      </c>
      <c r="N932" s="1" t="n">
        <v>8999</v>
      </c>
      <c r="O932" s="1" t="n">
        <v>0</v>
      </c>
      <c r="P932" s="1" t="n">
        <v>0</v>
      </c>
      <c r="Q932" s="1" t="n">
        <v>8999</v>
      </c>
      <c r="R932" s="1" t="n">
        <v>1619.82</v>
      </c>
      <c r="S932" s="1" t="n">
        <v>7379.18</v>
      </c>
      <c r="T932" s="1" t="n">
        <v>2643.2</v>
      </c>
      <c r="U932" s="1" t="n">
        <v>4735.98</v>
      </c>
      <c r="V932" s="1" t="n">
        <v>64.18</v>
      </c>
      <c r="W932" s="1" t="s">
        <v>40</v>
      </c>
      <c r="Y932" s="1" t="s">
        <v>40</v>
      </c>
      <c r="Z932" s="1" t="n">
        <v>2</v>
      </c>
    </row>
    <row r="933" customFormat="false" ht="15" hidden="false" customHeight="true" outlineLevel="0" collapsed="false">
      <c r="A933" s="1" t="s">
        <v>1637</v>
      </c>
      <c r="B933" s="1" t="s">
        <v>510</v>
      </c>
      <c r="C933" s="1" t="s">
        <v>43</v>
      </c>
      <c r="D933" s="1" t="s">
        <v>94</v>
      </c>
      <c r="E933" s="1" t="s">
        <v>101</v>
      </c>
      <c r="F933" s="1" t="s">
        <v>102</v>
      </c>
      <c r="G933" s="1" t="s">
        <v>103</v>
      </c>
      <c r="H933" s="1" t="s">
        <v>33</v>
      </c>
      <c r="I933" s="1" t="s">
        <v>58</v>
      </c>
      <c r="J933" s="1" t="s">
        <v>35</v>
      </c>
      <c r="K933" s="1" t="s">
        <v>71</v>
      </c>
      <c r="L933" s="1" t="s">
        <v>85</v>
      </c>
      <c r="M933" s="1" t="s">
        <v>38</v>
      </c>
      <c r="N933" s="1" t="n">
        <v>14999</v>
      </c>
      <c r="O933" s="1" t="n">
        <v>0</v>
      </c>
      <c r="P933" s="1" t="n">
        <v>0</v>
      </c>
      <c r="Q933" s="1" t="n">
        <v>14999</v>
      </c>
      <c r="R933" s="1" t="n">
        <v>2699.82</v>
      </c>
      <c r="S933" s="1" t="n">
        <v>12299.18</v>
      </c>
      <c r="T933" s="1" t="n">
        <v>5904.18</v>
      </c>
      <c r="U933" s="1" t="n">
        <v>6395</v>
      </c>
      <c r="V933" s="1" t="n">
        <v>52</v>
      </c>
      <c r="W933" s="1" t="s">
        <v>39</v>
      </c>
      <c r="X933" s="1" t="n">
        <v>4.6</v>
      </c>
      <c r="Y933" s="1" t="s">
        <v>40</v>
      </c>
      <c r="Z933" s="1" t="n">
        <v>0</v>
      </c>
    </row>
    <row r="934" customFormat="false" ht="15" hidden="false" customHeight="true" outlineLevel="0" collapsed="false">
      <c r="A934" s="1" t="s">
        <v>1638</v>
      </c>
      <c r="B934" s="1" t="s">
        <v>1441</v>
      </c>
      <c r="C934" s="1" t="s">
        <v>249</v>
      </c>
      <c r="D934" s="1" t="s">
        <v>168</v>
      </c>
      <c r="E934" s="1" t="s">
        <v>197</v>
      </c>
      <c r="F934" s="1" t="s">
        <v>244</v>
      </c>
      <c r="G934" s="1" t="s">
        <v>97</v>
      </c>
      <c r="H934" s="1" t="s">
        <v>57</v>
      </c>
      <c r="I934" s="1" t="s">
        <v>34</v>
      </c>
      <c r="J934" s="1" t="s">
        <v>131</v>
      </c>
      <c r="K934" s="1" t="s">
        <v>71</v>
      </c>
      <c r="L934" s="1" t="s">
        <v>37</v>
      </c>
      <c r="M934" s="1" t="s">
        <v>50</v>
      </c>
      <c r="N934" s="1" t="n">
        <v>8499</v>
      </c>
      <c r="O934" s="1" t="n">
        <v>25</v>
      </c>
      <c r="P934" s="1" t="n">
        <v>2124.75</v>
      </c>
      <c r="Q934" s="1" t="n">
        <v>6374.25</v>
      </c>
      <c r="R934" s="1" t="n">
        <v>1147.37</v>
      </c>
      <c r="S934" s="1" t="n">
        <v>5226.88</v>
      </c>
      <c r="T934" s="1" t="n">
        <v>2549.88</v>
      </c>
      <c r="U934" s="1" t="n">
        <v>2677</v>
      </c>
      <c r="V934" s="1" t="n">
        <v>51.22</v>
      </c>
      <c r="W934" s="1" t="s">
        <v>40</v>
      </c>
      <c r="Y934" s="1" t="s">
        <v>40</v>
      </c>
      <c r="Z934" s="1" t="n">
        <v>2</v>
      </c>
    </row>
    <row r="935" customFormat="false" ht="15" hidden="false" customHeight="true" outlineLevel="0" collapsed="false">
      <c r="A935" s="1" t="s">
        <v>1639</v>
      </c>
      <c r="B935" s="1" t="s">
        <v>1640</v>
      </c>
      <c r="C935" s="1" t="s">
        <v>128</v>
      </c>
      <c r="D935" s="1" t="s">
        <v>94</v>
      </c>
      <c r="E935" s="1" t="s">
        <v>101</v>
      </c>
      <c r="F935" s="1" t="s">
        <v>120</v>
      </c>
      <c r="G935" s="1" t="s">
        <v>47</v>
      </c>
      <c r="H935" s="1" t="s">
        <v>57</v>
      </c>
      <c r="I935" s="1" t="s">
        <v>34</v>
      </c>
      <c r="J935" s="1" t="s">
        <v>35</v>
      </c>
      <c r="K935" s="1" t="s">
        <v>112</v>
      </c>
      <c r="L935" s="1" t="s">
        <v>49</v>
      </c>
      <c r="M935" s="1" t="s">
        <v>38</v>
      </c>
      <c r="N935" s="1" t="n">
        <v>14999</v>
      </c>
      <c r="O935" s="1" t="n">
        <v>50</v>
      </c>
      <c r="P935" s="1" t="n">
        <v>7499.5</v>
      </c>
      <c r="Q935" s="1" t="n">
        <v>7499.5</v>
      </c>
      <c r="R935" s="1" t="n">
        <v>1349.91</v>
      </c>
      <c r="S935" s="1" t="n">
        <v>6149.59</v>
      </c>
      <c r="T935" s="1" t="n">
        <v>3945.75</v>
      </c>
      <c r="U935" s="1" t="n">
        <v>2203.84</v>
      </c>
      <c r="V935" s="1" t="n">
        <v>35.84</v>
      </c>
      <c r="W935" s="1" t="s">
        <v>40</v>
      </c>
      <c r="Y935" s="1" t="s">
        <v>40</v>
      </c>
      <c r="Z935" s="1" t="n">
        <v>0</v>
      </c>
    </row>
    <row r="936" customFormat="false" ht="15" hidden="false" customHeight="true" outlineLevel="0" collapsed="false">
      <c r="A936" s="1" t="s">
        <v>1641</v>
      </c>
      <c r="B936" s="1" t="s">
        <v>1423</v>
      </c>
      <c r="C936" s="1" t="s">
        <v>28</v>
      </c>
      <c r="D936" s="1" t="s">
        <v>94</v>
      </c>
      <c r="E936" s="1" t="s">
        <v>135</v>
      </c>
      <c r="F936" s="1" t="s">
        <v>107</v>
      </c>
      <c r="G936" s="1" t="s">
        <v>108</v>
      </c>
      <c r="H936" s="1" t="s">
        <v>33</v>
      </c>
      <c r="I936" s="1" t="s">
        <v>83</v>
      </c>
      <c r="J936" s="1" t="s">
        <v>35</v>
      </c>
      <c r="K936" s="1" t="s">
        <v>104</v>
      </c>
      <c r="L936" s="1" t="s">
        <v>49</v>
      </c>
      <c r="M936" s="1" t="s">
        <v>38</v>
      </c>
      <c r="N936" s="1" t="n">
        <v>9999</v>
      </c>
      <c r="O936" s="1" t="n">
        <v>30</v>
      </c>
      <c r="P936" s="1" t="n">
        <v>2999.7</v>
      </c>
      <c r="Q936" s="1" t="n">
        <v>6999.3</v>
      </c>
      <c r="R936" s="1" t="n">
        <v>1259.87</v>
      </c>
      <c r="S936" s="1" t="n">
        <v>5739.43</v>
      </c>
      <c r="T936" s="1" t="n">
        <v>2849.32</v>
      </c>
      <c r="U936" s="1" t="n">
        <v>2890.11</v>
      </c>
      <c r="V936" s="1" t="n">
        <v>50.36</v>
      </c>
      <c r="W936" s="1" t="s">
        <v>40</v>
      </c>
      <c r="Y936" s="1" t="s">
        <v>39</v>
      </c>
      <c r="Z936" s="1" t="n">
        <v>2</v>
      </c>
    </row>
    <row r="937" customFormat="false" ht="15" hidden="false" customHeight="true" outlineLevel="0" collapsed="false">
      <c r="A937" s="1" t="s">
        <v>1642</v>
      </c>
      <c r="B937" s="1" t="s">
        <v>1480</v>
      </c>
      <c r="C937" s="1" t="s">
        <v>178</v>
      </c>
      <c r="D937" s="1" t="s">
        <v>53</v>
      </c>
      <c r="E937" s="1" t="s">
        <v>54</v>
      </c>
      <c r="F937" s="1" t="s">
        <v>125</v>
      </c>
      <c r="G937" s="1" t="s">
        <v>108</v>
      </c>
      <c r="H937" s="1" t="s">
        <v>69</v>
      </c>
      <c r="I937" s="1" t="s">
        <v>58</v>
      </c>
      <c r="J937" s="1" t="s">
        <v>59</v>
      </c>
      <c r="K937" s="1" t="s">
        <v>60</v>
      </c>
      <c r="L937" s="1" t="s">
        <v>49</v>
      </c>
      <c r="M937" s="1" t="s">
        <v>50</v>
      </c>
      <c r="N937" s="1" t="n">
        <v>11999</v>
      </c>
      <c r="O937" s="1" t="n">
        <v>0</v>
      </c>
      <c r="P937" s="1" t="n">
        <v>0</v>
      </c>
      <c r="Q937" s="1" t="n">
        <v>11999</v>
      </c>
      <c r="R937" s="1" t="n">
        <v>2159.82</v>
      </c>
      <c r="S937" s="1" t="n">
        <v>9839.18</v>
      </c>
      <c r="T937" s="1" t="n">
        <v>3849.75</v>
      </c>
      <c r="U937" s="1" t="n">
        <v>5989.43</v>
      </c>
      <c r="V937" s="1" t="n">
        <v>60.87</v>
      </c>
      <c r="W937" s="1" t="s">
        <v>39</v>
      </c>
      <c r="X937" s="1" t="n">
        <v>3.6</v>
      </c>
      <c r="Y937" s="1" t="s">
        <v>40</v>
      </c>
      <c r="Z937" s="1" t="n">
        <v>0</v>
      </c>
    </row>
    <row r="938" customFormat="false" ht="15" hidden="false" customHeight="true" outlineLevel="0" collapsed="false">
      <c r="A938" s="1" t="s">
        <v>1643</v>
      </c>
      <c r="B938" s="1" t="s">
        <v>1644</v>
      </c>
      <c r="C938" s="1" t="s">
        <v>178</v>
      </c>
      <c r="D938" s="1" t="s">
        <v>44</v>
      </c>
      <c r="E938" s="1" t="s">
        <v>66</v>
      </c>
      <c r="F938" s="1" t="s">
        <v>46</v>
      </c>
      <c r="G938" s="1" t="s">
        <v>47</v>
      </c>
      <c r="H938" s="1" t="s">
        <v>33</v>
      </c>
      <c r="I938" s="1" t="s">
        <v>34</v>
      </c>
      <c r="J938" s="1" t="s">
        <v>35</v>
      </c>
      <c r="K938" s="1" t="s">
        <v>90</v>
      </c>
      <c r="L938" s="1" t="s">
        <v>61</v>
      </c>
      <c r="M938" s="1" t="s">
        <v>50</v>
      </c>
      <c r="N938" s="1" t="n">
        <v>12999</v>
      </c>
      <c r="O938" s="1" t="n">
        <v>30</v>
      </c>
      <c r="P938" s="1" t="n">
        <v>3899.7</v>
      </c>
      <c r="Q938" s="1" t="n">
        <v>9099.3</v>
      </c>
      <c r="R938" s="1" t="n">
        <v>1637.87</v>
      </c>
      <c r="S938" s="1" t="n">
        <v>7461.43</v>
      </c>
      <c r="T938" s="1" t="n">
        <v>3404.8</v>
      </c>
      <c r="U938" s="1" t="n">
        <v>4056.63</v>
      </c>
      <c r="V938" s="1" t="n">
        <v>54.37</v>
      </c>
      <c r="W938" s="1" t="s">
        <v>40</v>
      </c>
      <c r="Y938" s="1" t="s">
        <v>40</v>
      </c>
      <c r="Z938" s="1" t="n">
        <v>1</v>
      </c>
    </row>
    <row r="939" customFormat="false" ht="15" hidden="false" customHeight="true" outlineLevel="0" collapsed="false">
      <c r="A939" s="1" t="s">
        <v>1645</v>
      </c>
      <c r="B939" s="1" t="s">
        <v>598</v>
      </c>
      <c r="C939" s="1" t="s">
        <v>119</v>
      </c>
      <c r="D939" s="1" t="s">
        <v>94</v>
      </c>
      <c r="E939" s="1" t="s">
        <v>95</v>
      </c>
      <c r="F939" s="1" t="s">
        <v>82</v>
      </c>
      <c r="G939" s="1" t="s">
        <v>56</v>
      </c>
      <c r="H939" s="1" t="s">
        <v>69</v>
      </c>
      <c r="I939" s="1" t="s">
        <v>83</v>
      </c>
      <c r="J939" s="1" t="s">
        <v>35</v>
      </c>
      <c r="K939" s="1" t="s">
        <v>84</v>
      </c>
      <c r="L939" s="1" t="s">
        <v>37</v>
      </c>
      <c r="M939" s="1" t="s">
        <v>38</v>
      </c>
      <c r="N939" s="1" t="n">
        <v>6999</v>
      </c>
      <c r="O939" s="1" t="n">
        <v>0</v>
      </c>
      <c r="P939" s="1" t="n">
        <v>0</v>
      </c>
      <c r="Q939" s="1" t="n">
        <v>6999</v>
      </c>
      <c r="R939" s="1" t="n">
        <v>1259.82</v>
      </c>
      <c r="S939" s="1" t="n">
        <v>5739.18</v>
      </c>
      <c r="T939" s="1" t="n">
        <v>2118.92</v>
      </c>
      <c r="U939" s="1" t="n">
        <v>3620.26</v>
      </c>
      <c r="V939" s="1" t="n">
        <v>63.08</v>
      </c>
      <c r="W939" s="1" t="s">
        <v>39</v>
      </c>
      <c r="X939" s="1" t="n">
        <v>3.3</v>
      </c>
      <c r="Y939" s="1" t="s">
        <v>40</v>
      </c>
      <c r="Z939" s="1" t="n">
        <v>0</v>
      </c>
    </row>
    <row r="940" customFormat="false" ht="15" hidden="false" customHeight="true" outlineLevel="0" collapsed="false">
      <c r="A940" s="1" t="s">
        <v>1646</v>
      </c>
      <c r="B940" s="1" t="s">
        <v>1647</v>
      </c>
      <c r="C940" s="1" t="s">
        <v>167</v>
      </c>
      <c r="D940" s="1" t="s">
        <v>80</v>
      </c>
      <c r="E940" s="1" t="s">
        <v>175</v>
      </c>
      <c r="F940" s="1" t="s">
        <v>67</v>
      </c>
      <c r="G940" s="1" t="s">
        <v>68</v>
      </c>
      <c r="H940" s="1" t="s">
        <v>69</v>
      </c>
      <c r="I940" s="1" t="s">
        <v>34</v>
      </c>
      <c r="J940" s="1" t="s">
        <v>59</v>
      </c>
      <c r="K940" s="1" t="s">
        <v>48</v>
      </c>
      <c r="L940" s="1" t="s">
        <v>85</v>
      </c>
      <c r="M940" s="1" t="s">
        <v>50</v>
      </c>
      <c r="N940" s="1" t="n">
        <v>19999</v>
      </c>
      <c r="O940" s="1" t="n">
        <v>15</v>
      </c>
      <c r="P940" s="1" t="n">
        <v>2999.85</v>
      </c>
      <c r="Q940" s="1" t="n">
        <v>16999.15</v>
      </c>
      <c r="R940" s="1" t="n">
        <v>3059.85</v>
      </c>
      <c r="S940" s="1" t="n">
        <v>13939.3</v>
      </c>
      <c r="T940" s="1" t="n">
        <v>5432.93</v>
      </c>
      <c r="U940" s="1" t="n">
        <v>8506.37</v>
      </c>
      <c r="V940" s="1" t="n">
        <v>61.02</v>
      </c>
      <c r="W940" s="1" t="s">
        <v>39</v>
      </c>
      <c r="X940" s="1" t="n">
        <v>4.1</v>
      </c>
      <c r="Y940" s="1" t="s">
        <v>40</v>
      </c>
      <c r="Z940" s="1" t="n">
        <v>0</v>
      </c>
    </row>
    <row r="941" customFormat="false" ht="15" hidden="false" customHeight="true" outlineLevel="0" collapsed="false">
      <c r="A941" s="1" t="s">
        <v>1648</v>
      </c>
      <c r="B941" s="1" t="s">
        <v>1649</v>
      </c>
      <c r="C941" s="1" t="s">
        <v>178</v>
      </c>
      <c r="D941" s="1" t="s">
        <v>53</v>
      </c>
      <c r="E941" s="1" t="s">
        <v>216</v>
      </c>
      <c r="F941" s="1" t="s">
        <v>96</v>
      </c>
      <c r="G941" s="1" t="s">
        <v>97</v>
      </c>
      <c r="H941" s="1" t="s">
        <v>69</v>
      </c>
      <c r="I941" s="1" t="s">
        <v>58</v>
      </c>
      <c r="J941" s="1" t="s">
        <v>131</v>
      </c>
      <c r="K941" s="1" t="s">
        <v>71</v>
      </c>
      <c r="L941" s="1" t="s">
        <v>113</v>
      </c>
      <c r="M941" s="1" t="s">
        <v>50</v>
      </c>
      <c r="N941" s="1" t="n">
        <v>7499</v>
      </c>
      <c r="O941" s="1" t="n">
        <v>10</v>
      </c>
      <c r="P941" s="1" t="n">
        <v>749.9</v>
      </c>
      <c r="Q941" s="1" t="n">
        <v>6749.1</v>
      </c>
      <c r="R941" s="1" t="n">
        <v>1214.84</v>
      </c>
      <c r="S941" s="1" t="n">
        <v>5534.26</v>
      </c>
      <c r="T941" s="1" t="n">
        <v>2303.86</v>
      </c>
      <c r="U941" s="1" t="n">
        <v>3230.4</v>
      </c>
      <c r="V941" s="1" t="n">
        <v>58.37</v>
      </c>
      <c r="W941" s="1" t="s">
        <v>39</v>
      </c>
      <c r="X941" s="1" t="n">
        <v>4</v>
      </c>
      <c r="Y941" s="1" t="s">
        <v>40</v>
      </c>
      <c r="Z941" s="1" t="n">
        <v>1</v>
      </c>
    </row>
    <row r="942" customFormat="false" ht="15" hidden="false" customHeight="true" outlineLevel="0" collapsed="false">
      <c r="A942" s="1" t="s">
        <v>1650</v>
      </c>
      <c r="B942" s="1" t="s">
        <v>360</v>
      </c>
      <c r="C942" s="1" t="s">
        <v>65</v>
      </c>
      <c r="D942" s="1" t="s">
        <v>44</v>
      </c>
      <c r="E942" s="1" t="s">
        <v>221</v>
      </c>
      <c r="F942" s="1" t="s">
        <v>130</v>
      </c>
      <c r="G942" s="1" t="s">
        <v>47</v>
      </c>
      <c r="H942" s="1" t="s">
        <v>69</v>
      </c>
      <c r="I942" s="1" t="s">
        <v>58</v>
      </c>
      <c r="J942" s="1" t="s">
        <v>59</v>
      </c>
      <c r="K942" s="1" t="s">
        <v>112</v>
      </c>
      <c r="L942" s="1" t="s">
        <v>136</v>
      </c>
      <c r="M942" s="1" t="s">
        <v>38</v>
      </c>
      <c r="N942" s="1" t="n">
        <v>16999</v>
      </c>
      <c r="O942" s="1" t="n">
        <v>25</v>
      </c>
      <c r="P942" s="1" t="n">
        <v>4249.75</v>
      </c>
      <c r="Q942" s="1" t="n">
        <v>12749.25</v>
      </c>
      <c r="R942" s="1" t="n">
        <v>2294.86</v>
      </c>
      <c r="S942" s="1" t="n">
        <v>10454.39</v>
      </c>
      <c r="T942" s="1" t="n">
        <v>3902.55</v>
      </c>
      <c r="U942" s="1" t="n">
        <v>6551.84</v>
      </c>
      <c r="V942" s="1" t="n">
        <v>62.67</v>
      </c>
      <c r="W942" s="1" t="s">
        <v>40</v>
      </c>
      <c r="Y942" s="1" t="s">
        <v>40</v>
      </c>
      <c r="Z942" s="1" t="n">
        <v>0</v>
      </c>
    </row>
    <row r="943" customFormat="false" ht="15" hidden="false" customHeight="true" outlineLevel="0" collapsed="false">
      <c r="A943" s="1" t="s">
        <v>1651</v>
      </c>
      <c r="B943" s="1" t="s">
        <v>464</v>
      </c>
      <c r="C943" s="1" t="s">
        <v>74</v>
      </c>
      <c r="D943" s="1" t="s">
        <v>94</v>
      </c>
      <c r="E943" s="1" t="s">
        <v>135</v>
      </c>
      <c r="F943" s="1" t="s">
        <v>107</v>
      </c>
      <c r="G943" s="1" t="s">
        <v>108</v>
      </c>
      <c r="H943" s="1" t="s">
        <v>33</v>
      </c>
      <c r="I943" s="1" t="s">
        <v>58</v>
      </c>
      <c r="J943" s="1" t="s">
        <v>59</v>
      </c>
      <c r="K943" s="1" t="s">
        <v>90</v>
      </c>
      <c r="L943" s="1" t="s">
        <v>37</v>
      </c>
      <c r="M943" s="1" t="s">
        <v>50</v>
      </c>
      <c r="N943" s="1" t="n">
        <v>9999</v>
      </c>
      <c r="O943" s="1" t="n">
        <v>25</v>
      </c>
      <c r="P943" s="1" t="n">
        <v>2499.75</v>
      </c>
      <c r="Q943" s="1" t="n">
        <v>7499.25</v>
      </c>
      <c r="R943" s="1" t="n">
        <v>1349.87</v>
      </c>
      <c r="S943" s="1" t="n">
        <v>6149.38</v>
      </c>
      <c r="T943" s="1" t="n">
        <v>2557.43</v>
      </c>
      <c r="U943" s="1" t="n">
        <v>3591.95</v>
      </c>
      <c r="V943" s="1" t="n">
        <v>58.41</v>
      </c>
      <c r="W943" s="1" t="s">
        <v>39</v>
      </c>
      <c r="X943" s="1" t="n">
        <v>4</v>
      </c>
      <c r="Y943" s="1" t="s">
        <v>40</v>
      </c>
      <c r="Z943" s="1" t="n">
        <v>0</v>
      </c>
    </row>
    <row r="944" customFormat="false" ht="15" hidden="false" customHeight="true" outlineLevel="0" collapsed="false">
      <c r="A944" s="1" t="s">
        <v>1652</v>
      </c>
      <c r="B944" s="1" t="s">
        <v>1148</v>
      </c>
      <c r="C944" s="1" t="s">
        <v>74</v>
      </c>
      <c r="D944" s="1" t="s">
        <v>80</v>
      </c>
      <c r="E944" s="1" t="s">
        <v>175</v>
      </c>
      <c r="F944" s="1" t="s">
        <v>156</v>
      </c>
      <c r="G944" s="1" t="s">
        <v>68</v>
      </c>
      <c r="H944" s="1" t="s">
        <v>57</v>
      </c>
      <c r="I944" s="1" t="s">
        <v>34</v>
      </c>
      <c r="J944" s="1" t="s">
        <v>59</v>
      </c>
      <c r="K944" s="1" t="s">
        <v>84</v>
      </c>
      <c r="L944" s="1" t="s">
        <v>113</v>
      </c>
      <c r="M944" s="1" t="s">
        <v>50</v>
      </c>
      <c r="N944" s="1" t="n">
        <v>19999</v>
      </c>
      <c r="O944" s="1" t="n">
        <v>0</v>
      </c>
      <c r="P944" s="1" t="n">
        <v>0</v>
      </c>
      <c r="Q944" s="1" t="n">
        <v>19999</v>
      </c>
      <c r="R944" s="1" t="n">
        <v>3599.82</v>
      </c>
      <c r="S944" s="1" t="n">
        <v>16399.18</v>
      </c>
      <c r="T944" s="1" t="n">
        <v>6824.52</v>
      </c>
      <c r="U944" s="1" t="n">
        <v>9574.66</v>
      </c>
      <c r="V944" s="1" t="n">
        <v>58.38</v>
      </c>
      <c r="W944" s="1" t="s">
        <v>39</v>
      </c>
      <c r="X944" s="1" t="n">
        <v>4.2</v>
      </c>
      <c r="Y944" s="1" t="s">
        <v>40</v>
      </c>
      <c r="Z944" s="1" t="n">
        <v>0</v>
      </c>
    </row>
    <row r="945" customFormat="false" ht="15" hidden="false" customHeight="true" outlineLevel="0" collapsed="false">
      <c r="A945" s="1" t="s">
        <v>1653</v>
      </c>
      <c r="B945" s="1" t="s">
        <v>1539</v>
      </c>
      <c r="C945" s="1" t="s">
        <v>178</v>
      </c>
      <c r="D945" s="1" t="s">
        <v>29</v>
      </c>
      <c r="E945" s="1" t="s">
        <v>30</v>
      </c>
      <c r="F945" s="1" t="s">
        <v>205</v>
      </c>
      <c r="G945" s="1" t="s">
        <v>56</v>
      </c>
      <c r="H945" s="1" t="s">
        <v>69</v>
      </c>
      <c r="I945" s="1" t="s">
        <v>34</v>
      </c>
      <c r="J945" s="1" t="s">
        <v>35</v>
      </c>
      <c r="K945" s="1" t="s">
        <v>90</v>
      </c>
      <c r="L945" s="1" t="s">
        <v>49</v>
      </c>
      <c r="M945" s="1" t="s">
        <v>62</v>
      </c>
      <c r="N945" s="1" t="n">
        <v>7999</v>
      </c>
      <c r="O945" s="1" t="n">
        <v>40</v>
      </c>
      <c r="P945" s="1" t="n">
        <v>3199.6</v>
      </c>
      <c r="Q945" s="1" t="n">
        <v>4799.4</v>
      </c>
      <c r="R945" s="1" t="n">
        <v>863.89</v>
      </c>
      <c r="S945" s="1" t="n">
        <v>3935.51</v>
      </c>
      <c r="T945" s="1" t="n">
        <v>1951.41</v>
      </c>
      <c r="U945" s="1" t="n">
        <v>1984.1</v>
      </c>
      <c r="V945" s="1" t="n">
        <v>50.42</v>
      </c>
      <c r="W945" s="1" t="s">
        <v>39</v>
      </c>
      <c r="X945" s="1" t="n">
        <v>4</v>
      </c>
      <c r="Y945" s="1" t="s">
        <v>40</v>
      </c>
      <c r="Z945" s="1" t="n">
        <v>1</v>
      </c>
    </row>
    <row r="946" customFormat="false" ht="15" hidden="false" customHeight="true" outlineLevel="0" collapsed="false">
      <c r="A946" s="1" t="s">
        <v>1654</v>
      </c>
      <c r="B946" s="1" t="s">
        <v>1655</v>
      </c>
      <c r="C946" s="1" t="s">
        <v>139</v>
      </c>
      <c r="D946" s="1" t="s">
        <v>44</v>
      </c>
      <c r="E946" s="1" t="s">
        <v>66</v>
      </c>
      <c r="F946" s="1" t="s">
        <v>194</v>
      </c>
      <c r="G946" s="1" t="s">
        <v>103</v>
      </c>
      <c r="H946" s="1" t="s">
        <v>69</v>
      </c>
      <c r="I946" s="1" t="s">
        <v>58</v>
      </c>
      <c r="J946" s="1" t="s">
        <v>59</v>
      </c>
      <c r="K946" s="1" t="s">
        <v>90</v>
      </c>
      <c r="L946" s="1" t="s">
        <v>61</v>
      </c>
      <c r="M946" s="1" t="s">
        <v>50</v>
      </c>
      <c r="N946" s="1" t="n">
        <v>12999</v>
      </c>
      <c r="O946" s="1" t="n">
        <v>5</v>
      </c>
      <c r="P946" s="1" t="n">
        <v>649.95</v>
      </c>
      <c r="Q946" s="1" t="n">
        <v>12349.05</v>
      </c>
      <c r="R946" s="1" t="n">
        <v>2222.83</v>
      </c>
      <c r="S946" s="1" t="n">
        <v>10126.22</v>
      </c>
      <c r="T946" s="1" t="n">
        <v>4040.55</v>
      </c>
      <c r="U946" s="1" t="n">
        <v>6085.67</v>
      </c>
      <c r="V946" s="1" t="n">
        <v>60.1</v>
      </c>
      <c r="W946" s="1" t="s">
        <v>40</v>
      </c>
      <c r="Y946" s="1" t="s">
        <v>40</v>
      </c>
      <c r="Z946" s="1" t="n">
        <v>1</v>
      </c>
    </row>
    <row r="947" customFormat="false" ht="15" hidden="false" customHeight="true" outlineLevel="0" collapsed="false">
      <c r="A947" s="1" t="s">
        <v>1656</v>
      </c>
      <c r="B947" s="1" t="s">
        <v>825</v>
      </c>
      <c r="C947" s="1" t="s">
        <v>134</v>
      </c>
      <c r="D947" s="1" t="s">
        <v>94</v>
      </c>
      <c r="E947" s="1" t="s">
        <v>95</v>
      </c>
      <c r="F947" s="1" t="s">
        <v>184</v>
      </c>
      <c r="G947" s="1" t="s">
        <v>56</v>
      </c>
      <c r="H947" s="1" t="s">
        <v>57</v>
      </c>
      <c r="I947" s="1" t="s">
        <v>34</v>
      </c>
      <c r="J947" s="1" t="s">
        <v>70</v>
      </c>
      <c r="K947" s="1" t="s">
        <v>36</v>
      </c>
      <c r="L947" s="1" t="s">
        <v>136</v>
      </c>
      <c r="M947" s="1" t="s">
        <v>50</v>
      </c>
      <c r="N947" s="1" t="n">
        <v>6999</v>
      </c>
      <c r="O947" s="1" t="n">
        <v>15</v>
      </c>
      <c r="P947" s="1" t="n">
        <v>1049.85</v>
      </c>
      <c r="Q947" s="1" t="n">
        <v>5949.15</v>
      </c>
      <c r="R947" s="1" t="n">
        <v>1070.85</v>
      </c>
      <c r="S947" s="1" t="n">
        <v>4878.3</v>
      </c>
      <c r="T947" s="1" t="n">
        <v>2283.44</v>
      </c>
      <c r="U947" s="1" t="n">
        <v>2594.86</v>
      </c>
      <c r="V947" s="1" t="n">
        <v>53.19</v>
      </c>
      <c r="W947" s="1" t="s">
        <v>39</v>
      </c>
      <c r="X947" s="1" t="n">
        <v>3.9</v>
      </c>
      <c r="Y947" s="1" t="s">
        <v>40</v>
      </c>
      <c r="Z947" s="1" t="n">
        <v>1</v>
      </c>
    </row>
    <row r="948" customFormat="false" ht="15" hidden="false" customHeight="true" outlineLevel="0" collapsed="false">
      <c r="A948" s="1" t="s">
        <v>1657</v>
      </c>
      <c r="B948" s="1" t="s">
        <v>261</v>
      </c>
      <c r="C948" s="1" t="s">
        <v>249</v>
      </c>
      <c r="D948" s="1" t="s">
        <v>168</v>
      </c>
      <c r="E948" s="1" t="s">
        <v>172</v>
      </c>
      <c r="F948" s="1" t="s">
        <v>211</v>
      </c>
      <c r="G948" s="1" t="s">
        <v>56</v>
      </c>
      <c r="H948" s="1" t="s">
        <v>69</v>
      </c>
      <c r="I948" s="1" t="s">
        <v>83</v>
      </c>
      <c r="J948" s="1" t="s">
        <v>70</v>
      </c>
      <c r="K948" s="1" t="s">
        <v>71</v>
      </c>
      <c r="L948" s="1" t="s">
        <v>61</v>
      </c>
      <c r="M948" s="1" t="s">
        <v>38</v>
      </c>
      <c r="N948" s="1" t="n">
        <v>6999</v>
      </c>
      <c r="O948" s="1" t="n">
        <v>0</v>
      </c>
      <c r="P948" s="1" t="n">
        <v>0</v>
      </c>
      <c r="Q948" s="1" t="n">
        <v>6999</v>
      </c>
      <c r="R948" s="1" t="n">
        <v>1259.82</v>
      </c>
      <c r="S948" s="1" t="n">
        <v>5739.18</v>
      </c>
      <c r="T948" s="1" t="n">
        <v>2363.9</v>
      </c>
      <c r="U948" s="1" t="n">
        <v>3375.28</v>
      </c>
      <c r="V948" s="1" t="n">
        <v>58.81</v>
      </c>
      <c r="W948" s="1" t="s">
        <v>39</v>
      </c>
      <c r="X948" s="1" t="n">
        <v>3</v>
      </c>
      <c r="Y948" s="1" t="s">
        <v>40</v>
      </c>
      <c r="Z948" s="1" t="n">
        <v>0</v>
      </c>
    </row>
    <row r="949" customFormat="false" ht="15" hidden="false" customHeight="true" outlineLevel="0" collapsed="false">
      <c r="A949" s="1" t="s">
        <v>1658</v>
      </c>
      <c r="B949" s="1" t="s">
        <v>1659</v>
      </c>
      <c r="C949" s="1" t="s">
        <v>43</v>
      </c>
      <c r="D949" s="1" t="s">
        <v>80</v>
      </c>
      <c r="E949" s="1" t="s">
        <v>193</v>
      </c>
      <c r="F949" s="1" t="s">
        <v>187</v>
      </c>
      <c r="G949" s="1" t="s">
        <v>97</v>
      </c>
      <c r="H949" s="1" t="s">
        <v>69</v>
      </c>
      <c r="I949" s="1" t="s">
        <v>58</v>
      </c>
      <c r="J949" s="1" t="s">
        <v>70</v>
      </c>
      <c r="K949" s="1" t="s">
        <v>90</v>
      </c>
      <c r="L949" s="1" t="s">
        <v>37</v>
      </c>
      <c r="M949" s="1" t="s">
        <v>38</v>
      </c>
      <c r="N949" s="1" t="n">
        <v>8999</v>
      </c>
      <c r="O949" s="1" t="n">
        <v>10</v>
      </c>
      <c r="P949" s="1" t="n">
        <v>899.9</v>
      </c>
      <c r="Q949" s="1" t="n">
        <v>8099.1</v>
      </c>
      <c r="R949" s="1" t="n">
        <v>1457.84</v>
      </c>
      <c r="S949" s="1" t="n">
        <v>6641.26</v>
      </c>
      <c r="T949" s="1" t="n">
        <v>2642.51</v>
      </c>
      <c r="U949" s="1" t="n">
        <v>3998.75</v>
      </c>
      <c r="V949" s="1" t="n">
        <v>60.21</v>
      </c>
      <c r="W949" s="1" t="s">
        <v>39</v>
      </c>
      <c r="X949" s="1" t="n">
        <v>4.2</v>
      </c>
      <c r="Y949" s="1" t="s">
        <v>39</v>
      </c>
      <c r="Z949" s="1" t="n">
        <v>0</v>
      </c>
    </row>
    <row r="950" customFormat="false" ht="15" hidden="false" customHeight="true" outlineLevel="0" collapsed="false">
      <c r="A950" s="1" t="s">
        <v>1660</v>
      </c>
      <c r="B950" s="1" t="s">
        <v>1558</v>
      </c>
      <c r="C950" s="1" t="s">
        <v>134</v>
      </c>
      <c r="D950" s="1" t="s">
        <v>80</v>
      </c>
      <c r="E950" s="1" t="s">
        <v>175</v>
      </c>
      <c r="F950" s="1" t="s">
        <v>96</v>
      </c>
      <c r="G950" s="1" t="s">
        <v>97</v>
      </c>
      <c r="H950" s="1" t="s">
        <v>69</v>
      </c>
      <c r="I950" s="1" t="s">
        <v>58</v>
      </c>
      <c r="J950" s="1" t="s">
        <v>77</v>
      </c>
      <c r="K950" s="1" t="s">
        <v>112</v>
      </c>
      <c r="L950" s="1" t="s">
        <v>85</v>
      </c>
      <c r="M950" s="1" t="s">
        <v>50</v>
      </c>
      <c r="N950" s="1" t="n">
        <v>19999</v>
      </c>
      <c r="O950" s="1" t="n">
        <v>15</v>
      </c>
      <c r="P950" s="1" t="n">
        <v>2999.85</v>
      </c>
      <c r="Q950" s="1" t="n">
        <v>16999.15</v>
      </c>
      <c r="R950" s="1" t="n">
        <v>3059.85</v>
      </c>
      <c r="S950" s="1" t="n">
        <v>13939.3</v>
      </c>
      <c r="T950" s="1" t="n">
        <v>5817.22</v>
      </c>
      <c r="U950" s="1" t="n">
        <v>8122.08</v>
      </c>
      <c r="V950" s="1" t="n">
        <v>58.27</v>
      </c>
      <c r="W950" s="1" t="s">
        <v>40</v>
      </c>
      <c r="Y950" s="1" t="s">
        <v>40</v>
      </c>
      <c r="Z950" s="1" t="n">
        <v>0</v>
      </c>
    </row>
    <row r="951" customFormat="false" ht="15" hidden="false" customHeight="true" outlineLevel="0" collapsed="false">
      <c r="A951" s="1" t="s">
        <v>1661</v>
      </c>
      <c r="B951" s="1" t="s">
        <v>196</v>
      </c>
      <c r="C951" s="1" t="s">
        <v>43</v>
      </c>
      <c r="D951" s="1" t="s">
        <v>143</v>
      </c>
      <c r="E951" s="1" t="s">
        <v>144</v>
      </c>
      <c r="F951" s="1" t="s">
        <v>140</v>
      </c>
      <c r="G951" s="1" t="s">
        <v>97</v>
      </c>
      <c r="H951" s="1" t="s">
        <v>57</v>
      </c>
      <c r="I951" s="1" t="s">
        <v>58</v>
      </c>
      <c r="J951" s="1" t="s">
        <v>35</v>
      </c>
      <c r="K951" s="1" t="s">
        <v>112</v>
      </c>
      <c r="L951" s="1" t="s">
        <v>113</v>
      </c>
      <c r="M951" s="1" t="s">
        <v>62</v>
      </c>
      <c r="N951" s="1" t="n">
        <v>12999</v>
      </c>
      <c r="O951" s="1" t="n">
        <v>20</v>
      </c>
      <c r="P951" s="1" t="n">
        <v>2599.8</v>
      </c>
      <c r="Q951" s="1" t="n">
        <v>10399.2</v>
      </c>
      <c r="R951" s="1" t="n">
        <v>1871.86</v>
      </c>
      <c r="S951" s="1" t="n">
        <v>8527.34</v>
      </c>
      <c r="T951" s="1" t="n">
        <v>4379.6</v>
      </c>
      <c r="U951" s="1" t="n">
        <v>4147.74</v>
      </c>
      <c r="V951" s="1" t="n">
        <v>48.64</v>
      </c>
      <c r="W951" s="1" t="s">
        <v>39</v>
      </c>
      <c r="X951" s="1" t="n">
        <v>3.7</v>
      </c>
      <c r="Y951" s="1" t="s">
        <v>40</v>
      </c>
      <c r="Z951" s="1" t="n">
        <v>0</v>
      </c>
    </row>
    <row r="952" customFormat="false" ht="15" hidden="false" customHeight="true" outlineLevel="0" collapsed="false">
      <c r="A952" s="1" t="s">
        <v>1662</v>
      </c>
      <c r="B952" s="1" t="s">
        <v>1663</v>
      </c>
      <c r="C952" s="1" t="s">
        <v>43</v>
      </c>
      <c r="D952" s="1" t="s">
        <v>80</v>
      </c>
      <c r="E952" s="1" t="s">
        <v>81</v>
      </c>
      <c r="F952" s="1" t="s">
        <v>150</v>
      </c>
      <c r="G952" s="1" t="s">
        <v>32</v>
      </c>
      <c r="H952" s="1" t="s">
        <v>57</v>
      </c>
      <c r="I952" s="1" t="s">
        <v>83</v>
      </c>
      <c r="J952" s="1" t="s">
        <v>59</v>
      </c>
      <c r="K952" s="1" t="s">
        <v>71</v>
      </c>
      <c r="L952" s="1" t="s">
        <v>85</v>
      </c>
      <c r="M952" s="1" t="s">
        <v>50</v>
      </c>
      <c r="N952" s="1" t="n">
        <v>12999</v>
      </c>
      <c r="O952" s="1" t="n">
        <v>5</v>
      </c>
      <c r="P952" s="1" t="n">
        <v>649.95</v>
      </c>
      <c r="Q952" s="1" t="n">
        <v>12349.05</v>
      </c>
      <c r="R952" s="1" t="n">
        <v>2222.83</v>
      </c>
      <c r="S952" s="1" t="n">
        <v>10126.22</v>
      </c>
      <c r="T952" s="1" t="n">
        <v>5311.57</v>
      </c>
      <c r="U952" s="1" t="n">
        <v>4814.65</v>
      </c>
      <c r="V952" s="1" t="n">
        <v>47.55</v>
      </c>
      <c r="W952" s="1" t="s">
        <v>39</v>
      </c>
      <c r="X952" s="1" t="n">
        <v>3.8</v>
      </c>
      <c r="Y952" s="1" t="s">
        <v>40</v>
      </c>
      <c r="Z952" s="1" t="n">
        <v>0</v>
      </c>
    </row>
    <row r="953" customFormat="false" ht="15" hidden="false" customHeight="true" outlineLevel="0" collapsed="false">
      <c r="A953" s="1" t="s">
        <v>1664</v>
      </c>
      <c r="B953" s="1" t="s">
        <v>1665</v>
      </c>
      <c r="C953" s="1" t="s">
        <v>74</v>
      </c>
      <c r="D953" s="1" t="s">
        <v>168</v>
      </c>
      <c r="E953" s="1" t="s">
        <v>328</v>
      </c>
      <c r="F953" s="1" t="s">
        <v>194</v>
      </c>
      <c r="G953" s="1" t="s">
        <v>103</v>
      </c>
      <c r="H953" s="1" t="s">
        <v>69</v>
      </c>
      <c r="I953" s="1" t="s">
        <v>34</v>
      </c>
      <c r="J953" s="1" t="s">
        <v>35</v>
      </c>
      <c r="K953" s="1" t="s">
        <v>36</v>
      </c>
      <c r="L953" s="1" t="s">
        <v>113</v>
      </c>
      <c r="M953" s="1" t="s">
        <v>38</v>
      </c>
      <c r="N953" s="1" t="n">
        <v>8999</v>
      </c>
      <c r="O953" s="1" t="n">
        <v>25</v>
      </c>
      <c r="P953" s="1" t="n">
        <v>2249.75</v>
      </c>
      <c r="Q953" s="1" t="n">
        <v>6749.25</v>
      </c>
      <c r="R953" s="1" t="n">
        <v>1214.87</v>
      </c>
      <c r="S953" s="1" t="n">
        <v>5534.38</v>
      </c>
      <c r="T953" s="1" t="n">
        <v>2449.4</v>
      </c>
      <c r="U953" s="1" t="n">
        <v>3084.98</v>
      </c>
      <c r="V953" s="1" t="n">
        <v>55.74</v>
      </c>
      <c r="W953" s="1" t="s">
        <v>40</v>
      </c>
      <c r="Y953" s="1" t="s">
        <v>40</v>
      </c>
      <c r="Z953" s="1" t="n">
        <v>0</v>
      </c>
    </row>
    <row r="954" customFormat="false" ht="15" hidden="false" customHeight="true" outlineLevel="0" collapsed="false">
      <c r="A954" s="1" t="s">
        <v>1666</v>
      </c>
      <c r="B954" s="1" t="s">
        <v>988</v>
      </c>
      <c r="C954" s="1" t="s">
        <v>65</v>
      </c>
      <c r="D954" s="1" t="s">
        <v>168</v>
      </c>
      <c r="E954" s="1" t="s">
        <v>169</v>
      </c>
      <c r="F954" s="1" t="s">
        <v>55</v>
      </c>
      <c r="G954" s="1" t="s">
        <v>56</v>
      </c>
      <c r="H954" s="1" t="s">
        <v>57</v>
      </c>
      <c r="I954" s="1" t="s">
        <v>83</v>
      </c>
      <c r="J954" s="1" t="s">
        <v>131</v>
      </c>
      <c r="K954" s="1" t="s">
        <v>48</v>
      </c>
      <c r="L954" s="1" t="s">
        <v>61</v>
      </c>
      <c r="M954" s="1" t="s">
        <v>38</v>
      </c>
      <c r="N954" s="1" t="n">
        <v>4999</v>
      </c>
      <c r="O954" s="1" t="n">
        <v>50</v>
      </c>
      <c r="P954" s="1" t="n">
        <v>2499.5</v>
      </c>
      <c r="Q954" s="1" t="n">
        <v>2499.5</v>
      </c>
      <c r="R954" s="1" t="n">
        <v>449.91</v>
      </c>
      <c r="S954" s="1" t="n">
        <v>2049.59</v>
      </c>
      <c r="T954" s="1" t="n">
        <v>1146.2</v>
      </c>
      <c r="U954" s="1" t="n">
        <v>903.39</v>
      </c>
      <c r="V954" s="1" t="n">
        <v>44.08</v>
      </c>
      <c r="W954" s="1" t="s">
        <v>39</v>
      </c>
      <c r="X954" s="1" t="n">
        <v>3.7</v>
      </c>
      <c r="Y954" s="1" t="s">
        <v>40</v>
      </c>
      <c r="Z954" s="1" t="n">
        <v>0</v>
      </c>
    </row>
    <row r="955" customFormat="false" ht="15" hidden="false" customHeight="true" outlineLevel="0" collapsed="false">
      <c r="A955" s="1" t="s">
        <v>1667</v>
      </c>
      <c r="B955" s="1" t="s">
        <v>872</v>
      </c>
      <c r="C955" s="1" t="s">
        <v>28</v>
      </c>
      <c r="D955" s="1" t="s">
        <v>123</v>
      </c>
      <c r="E955" s="1" t="s">
        <v>233</v>
      </c>
      <c r="F955" s="1" t="s">
        <v>46</v>
      </c>
      <c r="G955" s="1" t="s">
        <v>47</v>
      </c>
      <c r="H955" s="1" t="s">
        <v>33</v>
      </c>
      <c r="I955" s="1" t="s">
        <v>58</v>
      </c>
      <c r="J955" s="1" t="s">
        <v>77</v>
      </c>
      <c r="K955" s="1" t="s">
        <v>48</v>
      </c>
      <c r="L955" s="1" t="s">
        <v>113</v>
      </c>
      <c r="M955" s="1" t="s">
        <v>62</v>
      </c>
      <c r="N955" s="1" t="n">
        <v>8999</v>
      </c>
      <c r="O955" s="1" t="n">
        <v>0</v>
      </c>
      <c r="P955" s="1" t="n">
        <v>0</v>
      </c>
      <c r="Q955" s="1" t="n">
        <v>8999</v>
      </c>
      <c r="R955" s="1" t="n">
        <v>1619.82</v>
      </c>
      <c r="S955" s="1" t="n">
        <v>7379.18</v>
      </c>
      <c r="T955" s="1" t="n">
        <v>2928.42</v>
      </c>
      <c r="U955" s="1" t="n">
        <v>4450.76</v>
      </c>
      <c r="V955" s="1" t="n">
        <v>60.32</v>
      </c>
      <c r="W955" s="1" t="s">
        <v>40</v>
      </c>
      <c r="Y955" s="1" t="s">
        <v>40</v>
      </c>
      <c r="Z955" s="1" t="n">
        <v>0</v>
      </c>
    </row>
    <row r="956" customFormat="false" ht="15" hidden="false" customHeight="true" outlineLevel="0" collapsed="false">
      <c r="A956" s="1" t="s">
        <v>1668</v>
      </c>
      <c r="B956" s="1" t="s">
        <v>1669</v>
      </c>
      <c r="C956" s="1" t="s">
        <v>43</v>
      </c>
      <c r="D956" s="1" t="s">
        <v>29</v>
      </c>
      <c r="E956" s="1" t="s">
        <v>182</v>
      </c>
      <c r="F956" s="1" t="s">
        <v>46</v>
      </c>
      <c r="G956" s="1" t="s">
        <v>47</v>
      </c>
      <c r="H956" s="1" t="s">
        <v>33</v>
      </c>
      <c r="I956" s="1" t="s">
        <v>83</v>
      </c>
      <c r="J956" s="1" t="s">
        <v>77</v>
      </c>
      <c r="K956" s="1" t="s">
        <v>90</v>
      </c>
      <c r="L956" s="1" t="s">
        <v>61</v>
      </c>
      <c r="M956" s="1" t="s">
        <v>50</v>
      </c>
      <c r="N956" s="1" t="n">
        <v>34999</v>
      </c>
      <c r="O956" s="1" t="n">
        <v>50</v>
      </c>
      <c r="P956" s="1" t="n">
        <v>17499.5</v>
      </c>
      <c r="Q956" s="1" t="n">
        <v>17499.5</v>
      </c>
      <c r="R956" s="1" t="n">
        <v>3149.91</v>
      </c>
      <c r="S956" s="1" t="n">
        <v>14349.59</v>
      </c>
      <c r="T956" s="1" t="n">
        <v>6861.93</v>
      </c>
      <c r="U956" s="1" t="n">
        <v>7487.66</v>
      </c>
      <c r="V956" s="1" t="n">
        <v>52.18</v>
      </c>
      <c r="W956" s="1" t="s">
        <v>39</v>
      </c>
      <c r="X956" s="1" t="n">
        <v>4</v>
      </c>
      <c r="Y956" s="1" t="s">
        <v>40</v>
      </c>
      <c r="Z956" s="1" t="n">
        <v>0</v>
      </c>
    </row>
    <row r="957" customFormat="false" ht="15" hidden="false" customHeight="true" outlineLevel="0" collapsed="false">
      <c r="A957" s="1" t="s">
        <v>1670</v>
      </c>
      <c r="B957" s="1" t="s">
        <v>1671</v>
      </c>
      <c r="C957" s="1" t="s">
        <v>134</v>
      </c>
      <c r="D957" s="1" t="s">
        <v>94</v>
      </c>
      <c r="E957" s="1" t="s">
        <v>95</v>
      </c>
      <c r="F957" s="1" t="s">
        <v>153</v>
      </c>
      <c r="G957" s="1" t="s">
        <v>76</v>
      </c>
      <c r="H957" s="1" t="s">
        <v>33</v>
      </c>
      <c r="I957" s="1" t="s">
        <v>58</v>
      </c>
      <c r="J957" s="1" t="s">
        <v>59</v>
      </c>
      <c r="K957" s="1" t="s">
        <v>104</v>
      </c>
      <c r="L957" s="1" t="s">
        <v>85</v>
      </c>
      <c r="M957" s="1" t="s">
        <v>38</v>
      </c>
      <c r="N957" s="1" t="n">
        <v>6999</v>
      </c>
      <c r="O957" s="1" t="n">
        <v>40</v>
      </c>
      <c r="P957" s="1" t="n">
        <v>2799.6</v>
      </c>
      <c r="Q957" s="1" t="n">
        <v>4199.4</v>
      </c>
      <c r="R957" s="1" t="n">
        <v>755.89</v>
      </c>
      <c r="S957" s="1" t="n">
        <v>3443.51</v>
      </c>
      <c r="T957" s="1" t="n">
        <v>1737.17</v>
      </c>
      <c r="U957" s="1" t="n">
        <v>1706.34</v>
      </c>
      <c r="V957" s="1" t="n">
        <v>49.55</v>
      </c>
      <c r="W957" s="1" t="s">
        <v>39</v>
      </c>
      <c r="X957" s="1" t="n">
        <v>3.4</v>
      </c>
      <c r="Y957" s="1" t="s">
        <v>40</v>
      </c>
      <c r="Z957" s="1" t="n">
        <v>0</v>
      </c>
    </row>
    <row r="958" customFormat="false" ht="15" hidden="false" customHeight="true" outlineLevel="0" collapsed="false">
      <c r="A958" s="1" t="s">
        <v>1672</v>
      </c>
      <c r="B958" s="1" t="s">
        <v>906</v>
      </c>
      <c r="C958" s="1" t="s">
        <v>128</v>
      </c>
      <c r="D958" s="1" t="s">
        <v>53</v>
      </c>
      <c r="E958" s="1" t="s">
        <v>54</v>
      </c>
      <c r="F958" s="1" t="s">
        <v>184</v>
      </c>
      <c r="G958" s="1" t="s">
        <v>56</v>
      </c>
      <c r="H958" s="1" t="s">
        <v>57</v>
      </c>
      <c r="I958" s="1" t="s">
        <v>83</v>
      </c>
      <c r="J958" s="1" t="s">
        <v>77</v>
      </c>
      <c r="K958" s="1" t="s">
        <v>84</v>
      </c>
      <c r="L958" s="1" t="s">
        <v>85</v>
      </c>
      <c r="M958" s="1" t="s">
        <v>38</v>
      </c>
      <c r="N958" s="1" t="n">
        <v>11999</v>
      </c>
      <c r="O958" s="1" t="n">
        <v>40</v>
      </c>
      <c r="P958" s="1" t="n">
        <v>4799.6</v>
      </c>
      <c r="Q958" s="1" t="n">
        <v>7199.4</v>
      </c>
      <c r="R958" s="1" t="n">
        <v>1295.89</v>
      </c>
      <c r="S958" s="1" t="n">
        <v>5903.51</v>
      </c>
      <c r="T958" s="1" t="n">
        <v>3036.07</v>
      </c>
      <c r="U958" s="1" t="n">
        <v>2867.44</v>
      </c>
      <c r="V958" s="1" t="n">
        <v>48.57</v>
      </c>
      <c r="W958" s="1" t="s">
        <v>40</v>
      </c>
      <c r="Y958" s="1" t="s">
        <v>40</v>
      </c>
      <c r="Z958" s="1" t="n">
        <v>2</v>
      </c>
    </row>
    <row r="959" customFormat="false" ht="15" hidden="false" customHeight="true" outlineLevel="0" collapsed="false">
      <c r="A959" s="1" t="s">
        <v>1673</v>
      </c>
      <c r="B959" s="1" t="s">
        <v>1456</v>
      </c>
      <c r="C959" s="1" t="s">
        <v>134</v>
      </c>
      <c r="D959" s="1" t="s">
        <v>53</v>
      </c>
      <c r="E959" s="1" t="s">
        <v>216</v>
      </c>
      <c r="F959" s="1" t="s">
        <v>194</v>
      </c>
      <c r="G959" s="1" t="s">
        <v>103</v>
      </c>
      <c r="H959" s="1" t="s">
        <v>69</v>
      </c>
      <c r="I959" s="1" t="s">
        <v>34</v>
      </c>
      <c r="J959" s="1" t="s">
        <v>70</v>
      </c>
      <c r="K959" s="1" t="s">
        <v>112</v>
      </c>
      <c r="L959" s="1" t="s">
        <v>61</v>
      </c>
      <c r="M959" s="1" t="s">
        <v>38</v>
      </c>
      <c r="N959" s="1" t="n">
        <v>7499</v>
      </c>
      <c r="O959" s="1" t="n">
        <v>20</v>
      </c>
      <c r="P959" s="1" t="n">
        <v>1499.8</v>
      </c>
      <c r="Q959" s="1" t="n">
        <v>5999.2</v>
      </c>
      <c r="R959" s="1" t="n">
        <v>1079.86</v>
      </c>
      <c r="S959" s="1" t="n">
        <v>4919.34</v>
      </c>
      <c r="T959" s="1" t="n">
        <v>2039.29</v>
      </c>
      <c r="U959" s="1" t="n">
        <v>2880.05</v>
      </c>
      <c r="V959" s="1" t="n">
        <v>58.55</v>
      </c>
      <c r="W959" s="1" t="s">
        <v>39</v>
      </c>
      <c r="X959" s="1" t="n">
        <v>3.1</v>
      </c>
      <c r="Y959" s="1" t="s">
        <v>40</v>
      </c>
      <c r="Z959" s="1" t="n">
        <v>0</v>
      </c>
    </row>
    <row r="960" customFormat="false" ht="15" hidden="false" customHeight="true" outlineLevel="0" collapsed="false">
      <c r="A960" s="1" t="s">
        <v>1674</v>
      </c>
      <c r="B960" s="1" t="s">
        <v>1659</v>
      </c>
      <c r="C960" s="1" t="s">
        <v>249</v>
      </c>
      <c r="D960" s="1" t="s">
        <v>53</v>
      </c>
      <c r="E960" s="1" t="s">
        <v>54</v>
      </c>
      <c r="F960" s="1" t="s">
        <v>96</v>
      </c>
      <c r="G960" s="1" t="s">
        <v>97</v>
      </c>
      <c r="H960" s="1" t="s">
        <v>69</v>
      </c>
      <c r="I960" s="1" t="s">
        <v>83</v>
      </c>
      <c r="J960" s="1" t="s">
        <v>59</v>
      </c>
      <c r="K960" s="1" t="s">
        <v>36</v>
      </c>
      <c r="L960" s="1" t="s">
        <v>85</v>
      </c>
      <c r="M960" s="1" t="s">
        <v>62</v>
      </c>
      <c r="N960" s="1" t="n">
        <v>11999</v>
      </c>
      <c r="O960" s="1" t="n">
        <v>5</v>
      </c>
      <c r="P960" s="1" t="n">
        <v>599.95</v>
      </c>
      <c r="Q960" s="1" t="n">
        <v>11399.05</v>
      </c>
      <c r="R960" s="1" t="n">
        <v>2051.83</v>
      </c>
      <c r="S960" s="1" t="n">
        <v>9347.22</v>
      </c>
      <c r="T960" s="1" t="n">
        <v>3929.57</v>
      </c>
      <c r="U960" s="1" t="n">
        <v>5417.65</v>
      </c>
      <c r="V960" s="1" t="n">
        <v>57.96</v>
      </c>
      <c r="W960" s="1" t="s">
        <v>39</v>
      </c>
      <c r="X960" s="1" t="n">
        <v>4.2</v>
      </c>
      <c r="Y960" s="1" t="s">
        <v>40</v>
      </c>
      <c r="Z960" s="1" t="n">
        <v>0</v>
      </c>
    </row>
    <row r="961" customFormat="false" ht="15" hidden="false" customHeight="true" outlineLevel="0" collapsed="false">
      <c r="A961" s="1" t="s">
        <v>1675</v>
      </c>
      <c r="B961" s="1" t="s">
        <v>874</v>
      </c>
      <c r="C961" s="1" t="s">
        <v>74</v>
      </c>
      <c r="D961" s="1" t="s">
        <v>94</v>
      </c>
      <c r="E961" s="1" t="s">
        <v>101</v>
      </c>
      <c r="F961" s="1" t="s">
        <v>82</v>
      </c>
      <c r="G961" s="1" t="s">
        <v>56</v>
      </c>
      <c r="H961" s="1" t="s">
        <v>69</v>
      </c>
      <c r="I961" s="1" t="s">
        <v>83</v>
      </c>
      <c r="J961" s="1" t="s">
        <v>131</v>
      </c>
      <c r="K961" s="1" t="s">
        <v>48</v>
      </c>
      <c r="L961" s="1" t="s">
        <v>136</v>
      </c>
      <c r="M961" s="1" t="s">
        <v>50</v>
      </c>
      <c r="N961" s="1" t="n">
        <v>14999</v>
      </c>
      <c r="O961" s="1" t="n">
        <v>0</v>
      </c>
      <c r="P961" s="1" t="n">
        <v>0</v>
      </c>
      <c r="Q961" s="1" t="n">
        <v>14999</v>
      </c>
      <c r="R961" s="1" t="n">
        <v>2699.82</v>
      </c>
      <c r="S961" s="1" t="n">
        <v>12299.18</v>
      </c>
      <c r="T961" s="1" t="n">
        <v>5516.5</v>
      </c>
      <c r="U961" s="1" t="n">
        <v>6782.68</v>
      </c>
      <c r="V961" s="1" t="n">
        <v>55.15</v>
      </c>
      <c r="W961" s="1" t="s">
        <v>40</v>
      </c>
      <c r="Y961" s="1" t="s">
        <v>40</v>
      </c>
      <c r="Z961" s="1" t="n">
        <v>2</v>
      </c>
    </row>
    <row r="962" customFormat="false" ht="15" hidden="false" customHeight="true" outlineLevel="0" collapsed="false">
      <c r="A962" s="1" t="s">
        <v>1676</v>
      </c>
      <c r="B962" s="1" t="s">
        <v>251</v>
      </c>
      <c r="C962" s="1" t="s">
        <v>28</v>
      </c>
      <c r="D962" s="1" t="s">
        <v>29</v>
      </c>
      <c r="E962" s="1" t="s">
        <v>30</v>
      </c>
      <c r="F962" s="1" t="s">
        <v>187</v>
      </c>
      <c r="G962" s="1" t="s">
        <v>97</v>
      </c>
      <c r="H962" s="1" t="s">
        <v>69</v>
      </c>
      <c r="I962" s="1" t="s">
        <v>34</v>
      </c>
      <c r="J962" s="1" t="s">
        <v>59</v>
      </c>
      <c r="K962" s="1" t="s">
        <v>112</v>
      </c>
      <c r="L962" s="1" t="s">
        <v>136</v>
      </c>
      <c r="M962" s="1" t="s">
        <v>50</v>
      </c>
      <c r="N962" s="1" t="n">
        <v>7999</v>
      </c>
      <c r="O962" s="1" t="n">
        <v>5</v>
      </c>
      <c r="P962" s="1" t="n">
        <v>399.95</v>
      </c>
      <c r="Q962" s="1" t="n">
        <v>7599.05</v>
      </c>
      <c r="R962" s="1" t="n">
        <v>1367.83</v>
      </c>
      <c r="S962" s="1" t="n">
        <v>6231.22</v>
      </c>
      <c r="T962" s="1" t="n">
        <v>2765.58</v>
      </c>
      <c r="U962" s="1" t="n">
        <v>3465.64</v>
      </c>
      <c r="V962" s="1" t="n">
        <v>55.62</v>
      </c>
      <c r="W962" s="1" t="s">
        <v>40</v>
      </c>
      <c r="Y962" s="1" t="s">
        <v>40</v>
      </c>
      <c r="Z962" s="1" t="n">
        <v>1</v>
      </c>
    </row>
    <row r="963" customFormat="false" ht="15" hidden="false" customHeight="true" outlineLevel="0" collapsed="false">
      <c r="A963" s="1" t="s">
        <v>1677</v>
      </c>
      <c r="B963" s="1" t="s">
        <v>1678</v>
      </c>
      <c r="C963" s="1" t="s">
        <v>28</v>
      </c>
      <c r="D963" s="1" t="s">
        <v>53</v>
      </c>
      <c r="E963" s="1" t="s">
        <v>54</v>
      </c>
      <c r="F963" s="1" t="s">
        <v>96</v>
      </c>
      <c r="G963" s="1" t="s">
        <v>97</v>
      </c>
      <c r="H963" s="1" t="s">
        <v>69</v>
      </c>
      <c r="I963" s="1" t="s">
        <v>83</v>
      </c>
      <c r="J963" s="1" t="s">
        <v>70</v>
      </c>
      <c r="K963" s="1" t="s">
        <v>36</v>
      </c>
      <c r="L963" s="1" t="s">
        <v>61</v>
      </c>
      <c r="M963" s="1" t="s">
        <v>50</v>
      </c>
      <c r="N963" s="1" t="n">
        <v>11999</v>
      </c>
      <c r="O963" s="1" t="n">
        <v>50</v>
      </c>
      <c r="P963" s="1" t="n">
        <v>5999.5</v>
      </c>
      <c r="Q963" s="1" t="n">
        <v>5999.5</v>
      </c>
      <c r="R963" s="1" t="n">
        <v>1079.91</v>
      </c>
      <c r="S963" s="1" t="n">
        <v>4919.59</v>
      </c>
      <c r="T963" s="1" t="n">
        <v>2379.39</v>
      </c>
      <c r="U963" s="1" t="n">
        <v>2540.2</v>
      </c>
      <c r="V963" s="1" t="n">
        <v>51.63</v>
      </c>
      <c r="W963" s="1" t="s">
        <v>39</v>
      </c>
      <c r="X963" s="1" t="n">
        <v>3.7</v>
      </c>
      <c r="Y963" s="1" t="s">
        <v>40</v>
      </c>
      <c r="Z963" s="1" t="n">
        <v>1</v>
      </c>
    </row>
    <row r="964" customFormat="false" ht="15" hidden="false" customHeight="true" outlineLevel="0" collapsed="false">
      <c r="A964" s="1" t="s">
        <v>1679</v>
      </c>
      <c r="B964" s="1" t="s">
        <v>239</v>
      </c>
      <c r="C964" s="1" t="s">
        <v>119</v>
      </c>
      <c r="D964" s="1" t="s">
        <v>44</v>
      </c>
      <c r="E964" s="1" t="s">
        <v>221</v>
      </c>
      <c r="F964" s="1" t="s">
        <v>153</v>
      </c>
      <c r="G964" s="1" t="s">
        <v>76</v>
      </c>
      <c r="H964" s="1" t="s">
        <v>33</v>
      </c>
      <c r="I964" s="1" t="s">
        <v>34</v>
      </c>
      <c r="J964" s="1" t="s">
        <v>131</v>
      </c>
      <c r="K964" s="1" t="s">
        <v>84</v>
      </c>
      <c r="L964" s="1" t="s">
        <v>85</v>
      </c>
      <c r="M964" s="1" t="s">
        <v>38</v>
      </c>
      <c r="N964" s="1" t="n">
        <v>16999</v>
      </c>
      <c r="O964" s="1" t="n">
        <v>40</v>
      </c>
      <c r="P964" s="1" t="n">
        <v>6799.6</v>
      </c>
      <c r="Q964" s="1" t="n">
        <v>10199.4</v>
      </c>
      <c r="R964" s="1" t="n">
        <v>1835.89</v>
      </c>
      <c r="S964" s="1" t="n">
        <v>8363.51</v>
      </c>
      <c r="T964" s="1" t="n">
        <v>4491.66</v>
      </c>
      <c r="U964" s="1" t="n">
        <v>3871.85</v>
      </c>
      <c r="V964" s="1" t="n">
        <v>46.29</v>
      </c>
      <c r="W964" s="1" t="s">
        <v>39</v>
      </c>
      <c r="X964" s="1" t="n">
        <v>4.1</v>
      </c>
      <c r="Y964" s="1" t="s">
        <v>40</v>
      </c>
      <c r="Z964" s="1" t="n">
        <v>0</v>
      </c>
    </row>
    <row r="965" customFormat="false" ht="15" hidden="false" customHeight="true" outlineLevel="0" collapsed="false">
      <c r="A965" s="1" t="s">
        <v>1680</v>
      </c>
      <c r="B965" s="1" t="s">
        <v>196</v>
      </c>
      <c r="C965" s="1" t="s">
        <v>264</v>
      </c>
      <c r="D965" s="1" t="s">
        <v>143</v>
      </c>
      <c r="E965" s="1" t="s">
        <v>159</v>
      </c>
      <c r="F965" s="1" t="s">
        <v>130</v>
      </c>
      <c r="G965" s="1" t="s">
        <v>47</v>
      </c>
      <c r="H965" s="1" t="s">
        <v>69</v>
      </c>
      <c r="I965" s="1" t="s">
        <v>58</v>
      </c>
      <c r="J965" s="1" t="s">
        <v>35</v>
      </c>
      <c r="K965" s="1" t="s">
        <v>84</v>
      </c>
      <c r="L965" s="1" t="s">
        <v>61</v>
      </c>
      <c r="M965" s="1" t="s">
        <v>38</v>
      </c>
      <c r="N965" s="1" t="n">
        <v>24999</v>
      </c>
      <c r="O965" s="1" t="n">
        <v>10</v>
      </c>
      <c r="P965" s="1" t="n">
        <v>2499.9</v>
      </c>
      <c r="Q965" s="1" t="n">
        <v>22499.1</v>
      </c>
      <c r="R965" s="1" t="n">
        <v>4049.84</v>
      </c>
      <c r="S965" s="1" t="n">
        <v>18449.26</v>
      </c>
      <c r="T965" s="1" t="n">
        <v>8272.74</v>
      </c>
      <c r="U965" s="1" t="n">
        <v>10176.52</v>
      </c>
      <c r="V965" s="1" t="n">
        <v>55.16</v>
      </c>
      <c r="W965" s="1" t="s">
        <v>39</v>
      </c>
      <c r="X965" s="1" t="n">
        <v>5</v>
      </c>
      <c r="Y965" s="1" t="s">
        <v>40</v>
      </c>
      <c r="Z965" s="1" t="n">
        <v>0</v>
      </c>
    </row>
    <row r="966" customFormat="false" ht="15" hidden="false" customHeight="true" outlineLevel="0" collapsed="false">
      <c r="A966" s="1" t="s">
        <v>1681</v>
      </c>
      <c r="B966" s="1" t="s">
        <v>965</v>
      </c>
      <c r="C966" s="1" t="s">
        <v>100</v>
      </c>
      <c r="D966" s="1" t="s">
        <v>53</v>
      </c>
      <c r="E966" s="1" t="s">
        <v>216</v>
      </c>
      <c r="F966" s="1" t="s">
        <v>269</v>
      </c>
      <c r="G966" s="1" t="s">
        <v>108</v>
      </c>
      <c r="H966" s="1" t="s">
        <v>57</v>
      </c>
      <c r="I966" s="1" t="s">
        <v>83</v>
      </c>
      <c r="J966" s="1" t="s">
        <v>70</v>
      </c>
      <c r="K966" s="1" t="s">
        <v>112</v>
      </c>
      <c r="L966" s="1" t="s">
        <v>37</v>
      </c>
      <c r="M966" s="1" t="s">
        <v>62</v>
      </c>
      <c r="N966" s="1" t="n">
        <v>7499</v>
      </c>
      <c r="O966" s="1" t="n">
        <v>10</v>
      </c>
      <c r="P966" s="1" t="n">
        <v>749.9</v>
      </c>
      <c r="Q966" s="1" t="n">
        <v>6749.1</v>
      </c>
      <c r="R966" s="1" t="n">
        <v>1214.84</v>
      </c>
      <c r="S966" s="1" t="n">
        <v>5534.26</v>
      </c>
      <c r="T966" s="1" t="n">
        <v>2150.82</v>
      </c>
      <c r="U966" s="1" t="n">
        <v>3383.44</v>
      </c>
      <c r="V966" s="1" t="n">
        <v>61.14</v>
      </c>
      <c r="W966" s="1" t="s">
        <v>39</v>
      </c>
      <c r="X966" s="1" t="n">
        <v>4.1</v>
      </c>
      <c r="Y966" s="1" t="s">
        <v>40</v>
      </c>
      <c r="Z966" s="1" t="n">
        <v>0</v>
      </c>
    </row>
    <row r="967" customFormat="false" ht="15" hidden="false" customHeight="true" outlineLevel="0" collapsed="false">
      <c r="A967" s="1" t="s">
        <v>1682</v>
      </c>
      <c r="B967" s="1" t="s">
        <v>1683</v>
      </c>
      <c r="C967" s="1" t="s">
        <v>249</v>
      </c>
      <c r="D967" s="1" t="s">
        <v>168</v>
      </c>
      <c r="E967" s="1" t="s">
        <v>172</v>
      </c>
      <c r="F967" s="1" t="s">
        <v>46</v>
      </c>
      <c r="G967" s="1" t="s">
        <v>47</v>
      </c>
      <c r="H967" s="1" t="s">
        <v>33</v>
      </c>
      <c r="I967" s="1" t="s">
        <v>83</v>
      </c>
      <c r="J967" s="1" t="s">
        <v>70</v>
      </c>
      <c r="K967" s="1" t="s">
        <v>112</v>
      </c>
      <c r="L967" s="1" t="s">
        <v>61</v>
      </c>
      <c r="M967" s="1" t="s">
        <v>62</v>
      </c>
      <c r="N967" s="1" t="n">
        <v>6999</v>
      </c>
      <c r="O967" s="1" t="n">
        <v>0</v>
      </c>
      <c r="P967" s="1" t="n">
        <v>0</v>
      </c>
      <c r="Q967" s="1" t="n">
        <v>6999</v>
      </c>
      <c r="R967" s="1" t="n">
        <v>1259.82</v>
      </c>
      <c r="S967" s="1" t="n">
        <v>5739.18</v>
      </c>
      <c r="T967" s="1" t="n">
        <v>2451.17</v>
      </c>
      <c r="U967" s="1" t="n">
        <v>3288.01</v>
      </c>
      <c r="V967" s="1" t="n">
        <v>57.29</v>
      </c>
      <c r="W967" s="1" t="s">
        <v>39</v>
      </c>
      <c r="X967" s="1" t="n">
        <v>3.5</v>
      </c>
      <c r="Y967" s="1" t="s">
        <v>40</v>
      </c>
      <c r="Z967" s="1" t="n">
        <v>0</v>
      </c>
    </row>
    <row r="968" customFormat="false" ht="15" hidden="false" customHeight="true" outlineLevel="0" collapsed="false">
      <c r="A968" s="1" t="s">
        <v>1684</v>
      </c>
      <c r="B968" s="1" t="s">
        <v>1034</v>
      </c>
      <c r="C968" s="1" t="s">
        <v>249</v>
      </c>
      <c r="D968" s="1" t="s">
        <v>53</v>
      </c>
      <c r="E968" s="1" t="s">
        <v>116</v>
      </c>
      <c r="F968" s="1" t="s">
        <v>150</v>
      </c>
      <c r="G968" s="1" t="s">
        <v>32</v>
      </c>
      <c r="H968" s="1" t="s">
        <v>57</v>
      </c>
      <c r="I968" s="1" t="s">
        <v>58</v>
      </c>
      <c r="J968" s="1" t="s">
        <v>59</v>
      </c>
      <c r="K968" s="1" t="s">
        <v>104</v>
      </c>
      <c r="L968" s="1" t="s">
        <v>37</v>
      </c>
      <c r="M968" s="1" t="s">
        <v>38</v>
      </c>
      <c r="N968" s="1" t="n">
        <v>9999</v>
      </c>
      <c r="O968" s="1" t="n">
        <v>5</v>
      </c>
      <c r="P968" s="1" t="n">
        <v>499.95</v>
      </c>
      <c r="Q968" s="1" t="n">
        <v>9499.05</v>
      </c>
      <c r="R968" s="1" t="n">
        <v>1709.83</v>
      </c>
      <c r="S968" s="1" t="n">
        <v>7789.22</v>
      </c>
      <c r="T968" s="1" t="n">
        <v>2767.33</v>
      </c>
      <c r="U968" s="1" t="n">
        <v>5021.89</v>
      </c>
      <c r="V968" s="1" t="n">
        <v>64.47</v>
      </c>
      <c r="W968" s="1" t="s">
        <v>39</v>
      </c>
      <c r="X968" s="1" t="n">
        <v>3.6</v>
      </c>
      <c r="Y968" s="1" t="s">
        <v>40</v>
      </c>
      <c r="Z968" s="1" t="n">
        <v>0</v>
      </c>
    </row>
    <row r="969" customFormat="false" ht="15" hidden="false" customHeight="true" outlineLevel="0" collapsed="false">
      <c r="A969" s="1" t="s">
        <v>1685</v>
      </c>
      <c r="B969" s="1" t="s">
        <v>1686</v>
      </c>
      <c r="C969" s="1" t="s">
        <v>264</v>
      </c>
      <c r="D969" s="1" t="s">
        <v>29</v>
      </c>
      <c r="E969" s="1" t="s">
        <v>30</v>
      </c>
      <c r="F969" s="1" t="s">
        <v>82</v>
      </c>
      <c r="G969" s="1" t="s">
        <v>56</v>
      </c>
      <c r="H969" s="1" t="s">
        <v>69</v>
      </c>
      <c r="I969" s="1" t="s">
        <v>83</v>
      </c>
      <c r="J969" s="1" t="s">
        <v>59</v>
      </c>
      <c r="K969" s="1" t="s">
        <v>84</v>
      </c>
      <c r="L969" s="1" t="s">
        <v>85</v>
      </c>
      <c r="M969" s="1" t="s">
        <v>50</v>
      </c>
      <c r="N969" s="1" t="n">
        <v>7999</v>
      </c>
      <c r="O969" s="1" t="n">
        <v>0</v>
      </c>
      <c r="P969" s="1" t="n">
        <v>0</v>
      </c>
      <c r="Q969" s="1" t="n">
        <v>7999</v>
      </c>
      <c r="R969" s="1" t="n">
        <v>1439.82</v>
      </c>
      <c r="S969" s="1" t="n">
        <v>6559.18</v>
      </c>
      <c r="T969" s="1" t="n">
        <v>2410.35</v>
      </c>
      <c r="U969" s="1" t="n">
        <v>4148.83</v>
      </c>
      <c r="V969" s="1" t="n">
        <v>63.25</v>
      </c>
      <c r="W969" s="1" t="s">
        <v>39</v>
      </c>
      <c r="Y969" s="1" t="s">
        <v>40</v>
      </c>
      <c r="Z969" s="1" t="n">
        <v>2</v>
      </c>
    </row>
    <row r="970" customFormat="false" ht="15" hidden="false" customHeight="true" outlineLevel="0" collapsed="false">
      <c r="A970" s="1" t="s">
        <v>1687</v>
      </c>
      <c r="B970" s="1" t="s">
        <v>1688</v>
      </c>
      <c r="C970" s="1" t="s">
        <v>65</v>
      </c>
      <c r="D970" s="1" t="s">
        <v>143</v>
      </c>
      <c r="E970" s="1" t="s">
        <v>159</v>
      </c>
      <c r="F970" s="1" t="s">
        <v>96</v>
      </c>
      <c r="G970" s="1" t="s">
        <v>97</v>
      </c>
      <c r="H970" s="1" t="s">
        <v>69</v>
      </c>
      <c r="I970" s="1" t="s">
        <v>83</v>
      </c>
      <c r="J970" s="1" t="s">
        <v>70</v>
      </c>
      <c r="K970" s="1" t="s">
        <v>60</v>
      </c>
      <c r="L970" s="1" t="s">
        <v>37</v>
      </c>
      <c r="M970" s="1" t="s">
        <v>62</v>
      </c>
      <c r="N970" s="1" t="n">
        <v>24999</v>
      </c>
      <c r="O970" s="1" t="n">
        <v>0</v>
      </c>
      <c r="P970" s="1" t="n">
        <v>0</v>
      </c>
      <c r="Q970" s="1" t="n">
        <v>24999</v>
      </c>
      <c r="R970" s="1" t="n">
        <v>4499.82</v>
      </c>
      <c r="S970" s="1" t="n">
        <v>20499.18</v>
      </c>
      <c r="T970" s="1" t="n">
        <v>8013.76</v>
      </c>
      <c r="U970" s="1" t="n">
        <v>12485.42</v>
      </c>
      <c r="V970" s="1" t="n">
        <v>60.91</v>
      </c>
      <c r="W970" s="1" t="s">
        <v>39</v>
      </c>
      <c r="X970" s="1" t="n">
        <v>3.1</v>
      </c>
      <c r="Y970" s="1" t="s">
        <v>40</v>
      </c>
      <c r="Z970" s="1" t="n">
        <v>0</v>
      </c>
    </row>
    <row r="971" customFormat="false" ht="15" hidden="false" customHeight="true" outlineLevel="0" collapsed="false">
      <c r="A971" s="1" t="s">
        <v>1689</v>
      </c>
      <c r="B971" s="1" t="s">
        <v>703</v>
      </c>
      <c r="C971" s="1" t="s">
        <v>167</v>
      </c>
      <c r="D971" s="1" t="s">
        <v>94</v>
      </c>
      <c r="E971" s="1" t="s">
        <v>95</v>
      </c>
      <c r="F971" s="1" t="s">
        <v>184</v>
      </c>
      <c r="G971" s="1" t="s">
        <v>56</v>
      </c>
      <c r="H971" s="1" t="s">
        <v>57</v>
      </c>
      <c r="I971" s="1" t="s">
        <v>34</v>
      </c>
      <c r="J971" s="1" t="s">
        <v>59</v>
      </c>
      <c r="K971" s="1" t="s">
        <v>36</v>
      </c>
      <c r="L971" s="1" t="s">
        <v>37</v>
      </c>
      <c r="M971" s="1" t="s">
        <v>50</v>
      </c>
      <c r="N971" s="1" t="n">
        <v>6999</v>
      </c>
      <c r="O971" s="1" t="n">
        <v>0</v>
      </c>
      <c r="P971" s="1" t="n">
        <v>0</v>
      </c>
      <c r="Q971" s="1" t="n">
        <v>6999</v>
      </c>
      <c r="R971" s="1" t="n">
        <v>1259.82</v>
      </c>
      <c r="S971" s="1" t="n">
        <v>5739.18</v>
      </c>
      <c r="T971" s="1" t="n">
        <v>2844.76</v>
      </c>
      <c r="U971" s="1" t="n">
        <v>2894.42</v>
      </c>
      <c r="V971" s="1" t="n">
        <v>50.43</v>
      </c>
      <c r="W971" s="1" t="s">
        <v>39</v>
      </c>
      <c r="X971" s="1" t="n">
        <v>3.9</v>
      </c>
      <c r="Y971" s="1" t="s">
        <v>40</v>
      </c>
      <c r="Z971" s="1" t="n">
        <v>0</v>
      </c>
    </row>
    <row r="972" customFormat="false" ht="15" hidden="false" customHeight="true" outlineLevel="0" collapsed="false">
      <c r="A972" s="1" t="s">
        <v>1690</v>
      </c>
      <c r="B972" s="1" t="s">
        <v>1691</v>
      </c>
      <c r="C972" s="1" t="s">
        <v>43</v>
      </c>
      <c r="D972" s="1" t="s">
        <v>143</v>
      </c>
      <c r="E972" s="1" t="s">
        <v>159</v>
      </c>
      <c r="F972" s="1" t="s">
        <v>269</v>
      </c>
      <c r="G972" s="1" t="s">
        <v>108</v>
      </c>
      <c r="H972" s="1" t="s">
        <v>57</v>
      </c>
      <c r="I972" s="1" t="s">
        <v>34</v>
      </c>
      <c r="J972" s="1" t="s">
        <v>59</v>
      </c>
      <c r="K972" s="1" t="s">
        <v>48</v>
      </c>
      <c r="L972" s="1" t="s">
        <v>113</v>
      </c>
      <c r="M972" s="1" t="s">
        <v>50</v>
      </c>
      <c r="N972" s="1" t="n">
        <v>24999</v>
      </c>
      <c r="O972" s="1" t="n">
        <v>0</v>
      </c>
      <c r="P972" s="1" t="n">
        <v>0</v>
      </c>
      <c r="Q972" s="1" t="n">
        <v>24999</v>
      </c>
      <c r="R972" s="1" t="n">
        <v>4499.82</v>
      </c>
      <c r="S972" s="1" t="n">
        <v>20499.18</v>
      </c>
      <c r="T972" s="1" t="n">
        <v>9212.24</v>
      </c>
      <c r="U972" s="1" t="n">
        <v>11286.94</v>
      </c>
      <c r="V972" s="1" t="n">
        <v>55.06</v>
      </c>
      <c r="W972" s="1" t="s">
        <v>40</v>
      </c>
      <c r="Y972" s="1" t="s">
        <v>40</v>
      </c>
      <c r="Z972" s="1" t="n">
        <v>0</v>
      </c>
    </row>
    <row r="973" customFormat="false" ht="15" hidden="false" customHeight="true" outlineLevel="0" collapsed="false">
      <c r="A973" s="1" t="s">
        <v>1692</v>
      </c>
      <c r="B973" s="1" t="s">
        <v>1659</v>
      </c>
      <c r="C973" s="1" t="s">
        <v>249</v>
      </c>
      <c r="D973" s="1" t="s">
        <v>94</v>
      </c>
      <c r="E973" s="1" t="s">
        <v>135</v>
      </c>
      <c r="F973" s="1" t="s">
        <v>107</v>
      </c>
      <c r="G973" s="1" t="s">
        <v>108</v>
      </c>
      <c r="H973" s="1" t="s">
        <v>33</v>
      </c>
      <c r="I973" s="1" t="s">
        <v>34</v>
      </c>
      <c r="J973" s="1" t="s">
        <v>131</v>
      </c>
      <c r="K973" s="1" t="s">
        <v>48</v>
      </c>
      <c r="L973" s="1" t="s">
        <v>136</v>
      </c>
      <c r="M973" s="1" t="s">
        <v>38</v>
      </c>
      <c r="N973" s="1" t="n">
        <v>9999</v>
      </c>
      <c r="O973" s="1" t="n">
        <v>50</v>
      </c>
      <c r="P973" s="1" t="n">
        <v>4999.5</v>
      </c>
      <c r="Q973" s="1" t="n">
        <v>4999.5</v>
      </c>
      <c r="R973" s="1" t="n">
        <v>899.91</v>
      </c>
      <c r="S973" s="1" t="n">
        <v>4099.59</v>
      </c>
      <c r="T973" s="1" t="n">
        <v>1988.81</v>
      </c>
      <c r="U973" s="1" t="n">
        <v>2110.78</v>
      </c>
      <c r="V973" s="1" t="n">
        <v>51.49</v>
      </c>
      <c r="W973" s="1" t="s">
        <v>40</v>
      </c>
      <c r="Y973" s="1" t="s">
        <v>40</v>
      </c>
      <c r="Z973" s="1" t="n">
        <v>0</v>
      </c>
    </row>
    <row r="974" customFormat="false" ht="15" hidden="false" customHeight="true" outlineLevel="0" collapsed="false">
      <c r="A974" s="1" t="s">
        <v>1693</v>
      </c>
      <c r="B974" s="1" t="s">
        <v>537</v>
      </c>
      <c r="C974" s="1" t="s">
        <v>119</v>
      </c>
      <c r="D974" s="1" t="s">
        <v>168</v>
      </c>
      <c r="E974" s="1" t="s">
        <v>197</v>
      </c>
      <c r="F974" s="1" t="s">
        <v>102</v>
      </c>
      <c r="G974" s="1" t="s">
        <v>103</v>
      </c>
      <c r="H974" s="1" t="s">
        <v>33</v>
      </c>
      <c r="I974" s="1" t="s">
        <v>83</v>
      </c>
      <c r="J974" s="1" t="s">
        <v>59</v>
      </c>
      <c r="K974" s="1" t="s">
        <v>60</v>
      </c>
      <c r="L974" s="1" t="s">
        <v>61</v>
      </c>
      <c r="M974" s="1" t="s">
        <v>62</v>
      </c>
      <c r="N974" s="1" t="n">
        <v>8499</v>
      </c>
      <c r="O974" s="1" t="n">
        <v>10</v>
      </c>
      <c r="P974" s="1" t="n">
        <v>849.9</v>
      </c>
      <c r="Q974" s="1" t="n">
        <v>7649.1</v>
      </c>
      <c r="R974" s="1" t="n">
        <v>1376.84</v>
      </c>
      <c r="S974" s="1" t="n">
        <v>6272.26</v>
      </c>
      <c r="T974" s="1" t="n">
        <v>2585.32</v>
      </c>
      <c r="U974" s="1" t="n">
        <v>3686.94</v>
      </c>
      <c r="V974" s="1" t="n">
        <v>58.78</v>
      </c>
      <c r="W974" s="1" t="s">
        <v>39</v>
      </c>
      <c r="Y974" s="1" t="s">
        <v>40</v>
      </c>
      <c r="Z974" s="1" t="n">
        <v>0</v>
      </c>
    </row>
    <row r="975" customFormat="false" ht="15" hidden="false" customHeight="true" outlineLevel="0" collapsed="false">
      <c r="A975" s="1" t="s">
        <v>1694</v>
      </c>
      <c r="B975" s="1" t="s">
        <v>1327</v>
      </c>
      <c r="C975" s="1" t="s">
        <v>119</v>
      </c>
      <c r="D975" s="1" t="s">
        <v>44</v>
      </c>
      <c r="E975" s="1" t="s">
        <v>45</v>
      </c>
      <c r="F975" s="1" t="s">
        <v>107</v>
      </c>
      <c r="G975" s="1" t="s">
        <v>108</v>
      </c>
      <c r="H975" s="1" t="s">
        <v>33</v>
      </c>
      <c r="I975" s="1" t="s">
        <v>58</v>
      </c>
      <c r="J975" s="1" t="s">
        <v>59</v>
      </c>
      <c r="K975" s="1" t="s">
        <v>60</v>
      </c>
      <c r="L975" s="1" t="s">
        <v>85</v>
      </c>
      <c r="M975" s="1" t="s">
        <v>62</v>
      </c>
      <c r="N975" s="1" t="n">
        <v>11999</v>
      </c>
      <c r="O975" s="1" t="n">
        <v>20</v>
      </c>
      <c r="P975" s="1" t="n">
        <v>2399.8</v>
      </c>
      <c r="Q975" s="1" t="n">
        <v>9599.2</v>
      </c>
      <c r="R975" s="1" t="n">
        <v>1727.86</v>
      </c>
      <c r="S975" s="1" t="n">
        <v>7871.34</v>
      </c>
      <c r="T975" s="1" t="n">
        <v>3855.66</v>
      </c>
      <c r="U975" s="1" t="n">
        <v>4015.68</v>
      </c>
      <c r="V975" s="1" t="n">
        <v>51.02</v>
      </c>
      <c r="W975" s="1" t="s">
        <v>39</v>
      </c>
      <c r="X975" s="1" t="n">
        <v>3.7</v>
      </c>
      <c r="Y975" s="1" t="s">
        <v>40</v>
      </c>
      <c r="Z975" s="1" t="n">
        <v>1</v>
      </c>
    </row>
    <row r="976" customFormat="false" ht="15" hidden="false" customHeight="true" outlineLevel="0" collapsed="false">
      <c r="A976" s="1" t="s">
        <v>1695</v>
      </c>
      <c r="B976" s="1" t="s">
        <v>1150</v>
      </c>
      <c r="C976" s="1" t="s">
        <v>28</v>
      </c>
      <c r="D976" s="1" t="s">
        <v>143</v>
      </c>
      <c r="E976" s="1" t="s">
        <v>162</v>
      </c>
      <c r="F976" s="1" t="s">
        <v>46</v>
      </c>
      <c r="G976" s="1" t="s">
        <v>47</v>
      </c>
      <c r="H976" s="1" t="s">
        <v>33</v>
      </c>
      <c r="I976" s="1" t="s">
        <v>34</v>
      </c>
      <c r="J976" s="1" t="s">
        <v>77</v>
      </c>
      <c r="K976" s="1" t="s">
        <v>112</v>
      </c>
      <c r="L976" s="1" t="s">
        <v>136</v>
      </c>
      <c r="M976" s="1" t="s">
        <v>50</v>
      </c>
      <c r="N976" s="1" t="n">
        <v>14999</v>
      </c>
      <c r="O976" s="1" t="n">
        <v>5</v>
      </c>
      <c r="P976" s="1" t="n">
        <v>749.95</v>
      </c>
      <c r="Q976" s="1" t="n">
        <v>14249.05</v>
      </c>
      <c r="R976" s="1" t="n">
        <v>2564.83</v>
      </c>
      <c r="S976" s="1" t="n">
        <v>11684.22</v>
      </c>
      <c r="T976" s="1" t="n">
        <v>5208.87</v>
      </c>
      <c r="U976" s="1" t="n">
        <v>6475.35</v>
      </c>
      <c r="V976" s="1" t="n">
        <v>55.42</v>
      </c>
      <c r="W976" s="1" t="s">
        <v>40</v>
      </c>
      <c r="Y976" s="1" t="s">
        <v>39</v>
      </c>
      <c r="Z976" s="1" t="n">
        <v>0</v>
      </c>
    </row>
    <row r="977" customFormat="false" ht="15" hidden="false" customHeight="true" outlineLevel="0" collapsed="false">
      <c r="A977" s="1" t="s">
        <v>1696</v>
      </c>
      <c r="B977" s="1" t="s">
        <v>1198</v>
      </c>
      <c r="C977" s="1" t="s">
        <v>74</v>
      </c>
      <c r="D977" s="1" t="s">
        <v>168</v>
      </c>
      <c r="E977" s="1" t="s">
        <v>172</v>
      </c>
      <c r="F977" s="1" t="s">
        <v>75</v>
      </c>
      <c r="G977" s="1" t="s">
        <v>76</v>
      </c>
      <c r="H977" s="1" t="s">
        <v>69</v>
      </c>
      <c r="I977" s="1" t="s">
        <v>83</v>
      </c>
      <c r="J977" s="1" t="s">
        <v>35</v>
      </c>
      <c r="K977" s="1" t="s">
        <v>60</v>
      </c>
      <c r="L977" s="1" t="s">
        <v>61</v>
      </c>
      <c r="M977" s="1" t="s">
        <v>38</v>
      </c>
      <c r="N977" s="1" t="n">
        <v>6999</v>
      </c>
      <c r="O977" s="1" t="n">
        <v>0</v>
      </c>
      <c r="P977" s="1" t="n">
        <v>0</v>
      </c>
      <c r="Q977" s="1" t="n">
        <v>6999</v>
      </c>
      <c r="R977" s="1" t="n">
        <v>1259.82</v>
      </c>
      <c r="S977" s="1" t="n">
        <v>5739.18</v>
      </c>
      <c r="T977" s="1" t="n">
        <v>2101.45</v>
      </c>
      <c r="U977" s="1" t="n">
        <v>3637.73</v>
      </c>
      <c r="V977" s="1" t="n">
        <v>63.38</v>
      </c>
      <c r="W977" s="1" t="s">
        <v>39</v>
      </c>
      <c r="X977" s="1" t="n">
        <v>3.9</v>
      </c>
      <c r="Y977" s="1" t="s">
        <v>40</v>
      </c>
      <c r="Z977" s="1" t="n">
        <v>0</v>
      </c>
    </row>
    <row r="978" customFormat="false" ht="15" hidden="false" customHeight="true" outlineLevel="0" collapsed="false">
      <c r="A978" s="1" t="s">
        <v>1697</v>
      </c>
      <c r="B978" s="1" t="s">
        <v>1698</v>
      </c>
      <c r="C978" s="1" t="s">
        <v>249</v>
      </c>
      <c r="D978" s="1" t="s">
        <v>80</v>
      </c>
      <c r="E978" s="1" t="s">
        <v>190</v>
      </c>
      <c r="F978" s="1" t="s">
        <v>46</v>
      </c>
      <c r="G978" s="1" t="s">
        <v>47</v>
      </c>
      <c r="H978" s="1" t="s">
        <v>33</v>
      </c>
      <c r="I978" s="1" t="s">
        <v>34</v>
      </c>
      <c r="J978" s="1" t="s">
        <v>35</v>
      </c>
      <c r="K978" s="1" t="s">
        <v>60</v>
      </c>
      <c r="L978" s="1" t="s">
        <v>85</v>
      </c>
      <c r="M978" s="1" t="s">
        <v>50</v>
      </c>
      <c r="N978" s="1" t="n">
        <v>15999</v>
      </c>
      <c r="O978" s="1" t="n">
        <v>25</v>
      </c>
      <c r="P978" s="1" t="n">
        <v>3999.75</v>
      </c>
      <c r="Q978" s="1" t="n">
        <v>11999.25</v>
      </c>
      <c r="R978" s="1" t="n">
        <v>2159.86</v>
      </c>
      <c r="S978" s="1" t="n">
        <v>9839.39</v>
      </c>
      <c r="T978" s="1" t="n">
        <v>4490.25</v>
      </c>
      <c r="U978" s="1" t="n">
        <v>5349.14</v>
      </c>
      <c r="V978" s="1" t="n">
        <v>54.36</v>
      </c>
      <c r="W978" s="1" t="s">
        <v>39</v>
      </c>
      <c r="X978" s="1" t="n">
        <v>4.8</v>
      </c>
      <c r="Y978" s="1" t="s">
        <v>40</v>
      </c>
      <c r="Z978" s="1" t="n">
        <v>0</v>
      </c>
    </row>
    <row r="979" customFormat="false" ht="15" hidden="false" customHeight="true" outlineLevel="0" collapsed="false">
      <c r="A979" s="1" t="s">
        <v>1699</v>
      </c>
      <c r="B979" s="1" t="s">
        <v>1337</v>
      </c>
      <c r="C979" s="1" t="s">
        <v>178</v>
      </c>
      <c r="D979" s="1" t="s">
        <v>44</v>
      </c>
      <c r="E979" s="1" t="s">
        <v>45</v>
      </c>
      <c r="F979" s="1" t="s">
        <v>194</v>
      </c>
      <c r="G979" s="1" t="s">
        <v>103</v>
      </c>
      <c r="H979" s="1" t="s">
        <v>69</v>
      </c>
      <c r="I979" s="1" t="s">
        <v>83</v>
      </c>
      <c r="J979" s="1" t="s">
        <v>59</v>
      </c>
      <c r="K979" s="1" t="s">
        <v>90</v>
      </c>
      <c r="L979" s="1" t="s">
        <v>61</v>
      </c>
      <c r="M979" s="1" t="s">
        <v>38</v>
      </c>
      <c r="N979" s="1" t="n">
        <v>11999</v>
      </c>
      <c r="O979" s="1" t="n">
        <v>10</v>
      </c>
      <c r="P979" s="1" t="n">
        <v>1199.9</v>
      </c>
      <c r="Q979" s="1" t="n">
        <v>10799.1</v>
      </c>
      <c r="R979" s="1" t="n">
        <v>1943.84</v>
      </c>
      <c r="S979" s="1" t="n">
        <v>8855.26</v>
      </c>
      <c r="T979" s="1" t="n">
        <v>3473.11</v>
      </c>
      <c r="U979" s="1" t="n">
        <v>5382.15</v>
      </c>
      <c r="V979" s="1" t="n">
        <v>60.78</v>
      </c>
      <c r="W979" s="1" t="s">
        <v>39</v>
      </c>
      <c r="X979" s="1" t="n">
        <v>3.7</v>
      </c>
      <c r="Y979" s="1" t="s">
        <v>40</v>
      </c>
      <c r="Z979" s="1" t="n">
        <v>0</v>
      </c>
    </row>
    <row r="980" customFormat="false" ht="15" hidden="false" customHeight="true" outlineLevel="0" collapsed="false">
      <c r="A980" s="1" t="s">
        <v>1700</v>
      </c>
      <c r="B980" s="1" t="s">
        <v>999</v>
      </c>
      <c r="C980" s="1" t="s">
        <v>249</v>
      </c>
      <c r="D980" s="1" t="s">
        <v>29</v>
      </c>
      <c r="E980" s="1" t="s">
        <v>30</v>
      </c>
      <c r="F980" s="1" t="s">
        <v>150</v>
      </c>
      <c r="G980" s="1" t="s">
        <v>32</v>
      </c>
      <c r="H980" s="1" t="s">
        <v>57</v>
      </c>
      <c r="I980" s="1" t="s">
        <v>83</v>
      </c>
      <c r="J980" s="1" t="s">
        <v>35</v>
      </c>
      <c r="K980" s="1" t="s">
        <v>104</v>
      </c>
      <c r="L980" s="1" t="s">
        <v>85</v>
      </c>
      <c r="M980" s="1" t="s">
        <v>50</v>
      </c>
      <c r="N980" s="1" t="n">
        <v>7999</v>
      </c>
      <c r="O980" s="1" t="n">
        <v>20</v>
      </c>
      <c r="P980" s="1" t="n">
        <v>1599.8</v>
      </c>
      <c r="Q980" s="1" t="n">
        <v>6399.2</v>
      </c>
      <c r="R980" s="1" t="n">
        <v>1151.86</v>
      </c>
      <c r="S980" s="1" t="n">
        <v>5247.34</v>
      </c>
      <c r="T980" s="1" t="n">
        <v>1920.16</v>
      </c>
      <c r="U980" s="1" t="n">
        <v>3327.18</v>
      </c>
      <c r="V980" s="1" t="n">
        <v>63.41</v>
      </c>
      <c r="W980" s="1" t="s">
        <v>39</v>
      </c>
      <c r="X980" s="1" t="n">
        <v>4.3</v>
      </c>
      <c r="Y980" s="1" t="s">
        <v>40</v>
      </c>
      <c r="Z980" s="1" t="n">
        <v>0</v>
      </c>
    </row>
    <row r="981" customFormat="false" ht="15" hidden="false" customHeight="true" outlineLevel="0" collapsed="false">
      <c r="A981" s="1" t="s">
        <v>1701</v>
      </c>
      <c r="B981" s="1" t="s">
        <v>909</v>
      </c>
      <c r="C981" s="1" t="s">
        <v>28</v>
      </c>
      <c r="D981" s="1" t="s">
        <v>53</v>
      </c>
      <c r="E981" s="1" t="s">
        <v>116</v>
      </c>
      <c r="F981" s="1" t="s">
        <v>125</v>
      </c>
      <c r="G981" s="1" t="s">
        <v>108</v>
      </c>
      <c r="H981" s="1" t="s">
        <v>69</v>
      </c>
      <c r="I981" s="1" t="s">
        <v>58</v>
      </c>
      <c r="J981" s="1" t="s">
        <v>77</v>
      </c>
      <c r="K981" s="1" t="s">
        <v>84</v>
      </c>
      <c r="L981" s="1" t="s">
        <v>49</v>
      </c>
      <c r="M981" s="1" t="s">
        <v>38</v>
      </c>
      <c r="N981" s="1" t="n">
        <v>9999</v>
      </c>
      <c r="O981" s="1" t="n">
        <v>30</v>
      </c>
      <c r="P981" s="1" t="n">
        <v>2999.7</v>
      </c>
      <c r="Q981" s="1" t="n">
        <v>6999.3</v>
      </c>
      <c r="R981" s="1" t="n">
        <v>1259.87</v>
      </c>
      <c r="S981" s="1" t="n">
        <v>5739.43</v>
      </c>
      <c r="T981" s="1" t="n">
        <v>2239.26</v>
      </c>
      <c r="U981" s="1" t="n">
        <v>3500.17</v>
      </c>
      <c r="V981" s="1" t="n">
        <v>60.98</v>
      </c>
      <c r="W981" s="1" t="s">
        <v>40</v>
      </c>
      <c r="Y981" s="1" t="s">
        <v>40</v>
      </c>
      <c r="Z981" s="1" t="n">
        <v>0</v>
      </c>
    </row>
    <row r="982" customFormat="false" ht="15" hidden="false" customHeight="true" outlineLevel="0" collapsed="false">
      <c r="A982" s="1" t="s">
        <v>1702</v>
      </c>
      <c r="B982" s="1" t="s">
        <v>1198</v>
      </c>
      <c r="C982" s="1" t="s">
        <v>100</v>
      </c>
      <c r="D982" s="1" t="s">
        <v>29</v>
      </c>
      <c r="E982" s="1" t="s">
        <v>182</v>
      </c>
      <c r="F982" s="1" t="s">
        <v>31</v>
      </c>
      <c r="G982" s="1" t="s">
        <v>32</v>
      </c>
      <c r="H982" s="1" t="s">
        <v>33</v>
      </c>
      <c r="I982" s="1" t="s">
        <v>58</v>
      </c>
      <c r="J982" s="1" t="s">
        <v>131</v>
      </c>
      <c r="K982" s="1" t="s">
        <v>60</v>
      </c>
      <c r="L982" s="1" t="s">
        <v>113</v>
      </c>
      <c r="M982" s="1" t="s">
        <v>62</v>
      </c>
      <c r="N982" s="1" t="n">
        <v>34999</v>
      </c>
      <c r="O982" s="1" t="n">
        <v>10</v>
      </c>
      <c r="P982" s="1" t="n">
        <v>3499.9</v>
      </c>
      <c r="Q982" s="1" t="n">
        <v>31499.1</v>
      </c>
      <c r="R982" s="1" t="n">
        <v>5669.84</v>
      </c>
      <c r="S982" s="1" t="n">
        <v>25829.26</v>
      </c>
      <c r="T982" s="1" t="n">
        <v>9900.15</v>
      </c>
      <c r="U982" s="1" t="n">
        <v>15929.11</v>
      </c>
      <c r="V982" s="1" t="n">
        <v>61.67</v>
      </c>
      <c r="W982" s="1" t="s">
        <v>39</v>
      </c>
      <c r="X982" s="1" t="n">
        <v>3.2</v>
      </c>
      <c r="Y982" s="1" t="s">
        <v>40</v>
      </c>
      <c r="Z982" s="1" t="n">
        <v>1</v>
      </c>
    </row>
    <row r="983" customFormat="false" ht="15" hidden="false" customHeight="true" outlineLevel="0" collapsed="false">
      <c r="A983" s="1" t="s">
        <v>1703</v>
      </c>
      <c r="B983" s="1" t="s">
        <v>330</v>
      </c>
      <c r="C983" s="1" t="s">
        <v>28</v>
      </c>
      <c r="D983" s="1" t="s">
        <v>80</v>
      </c>
      <c r="E983" s="1" t="s">
        <v>81</v>
      </c>
      <c r="F983" s="1" t="s">
        <v>150</v>
      </c>
      <c r="G983" s="1" t="s">
        <v>32</v>
      </c>
      <c r="H983" s="1" t="s">
        <v>57</v>
      </c>
      <c r="I983" s="1" t="s">
        <v>83</v>
      </c>
      <c r="J983" s="1" t="s">
        <v>59</v>
      </c>
      <c r="K983" s="1" t="s">
        <v>90</v>
      </c>
      <c r="L983" s="1" t="s">
        <v>85</v>
      </c>
      <c r="M983" s="1" t="s">
        <v>62</v>
      </c>
      <c r="N983" s="1" t="n">
        <v>12999</v>
      </c>
      <c r="O983" s="1" t="n">
        <v>40</v>
      </c>
      <c r="P983" s="1" t="n">
        <v>5199.6</v>
      </c>
      <c r="Q983" s="1" t="n">
        <v>7799.4</v>
      </c>
      <c r="R983" s="1" t="n">
        <v>1403.89</v>
      </c>
      <c r="S983" s="1" t="n">
        <v>6395.51</v>
      </c>
      <c r="T983" s="1" t="n">
        <v>3915.15</v>
      </c>
      <c r="U983" s="1" t="n">
        <v>2480.36</v>
      </c>
      <c r="V983" s="1" t="n">
        <v>38.78</v>
      </c>
      <c r="W983" s="1" t="s">
        <v>40</v>
      </c>
      <c r="Y983" s="1" t="s">
        <v>40</v>
      </c>
      <c r="Z983" s="1" t="n">
        <v>0</v>
      </c>
    </row>
    <row r="984" customFormat="false" ht="15" hidden="false" customHeight="true" outlineLevel="0" collapsed="false">
      <c r="A984" s="1" t="s">
        <v>1704</v>
      </c>
      <c r="B984" s="1" t="s">
        <v>1705</v>
      </c>
      <c r="C984" s="1" t="s">
        <v>74</v>
      </c>
      <c r="D984" s="1" t="s">
        <v>143</v>
      </c>
      <c r="E984" s="1" t="s">
        <v>162</v>
      </c>
      <c r="F984" s="1" t="s">
        <v>125</v>
      </c>
      <c r="G984" s="1" t="s">
        <v>108</v>
      </c>
      <c r="H984" s="1" t="s">
        <v>69</v>
      </c>
      <c r="I984" s="1" t="s">
        <v>83</v>
      </c>
      <c r="J984" s="1" t="s">
        <v>59</v>
      </c>
      <c r="K984" s="1" t="s">
        <v>36</v>
      </c>
      <c r="L984" s="1" t="s">
        <v>37</v>
      </c>
      <c r="M984" s="1" t="s">
        <v>50</v>
      </c>
      <c r="N984" s="1" t="n">
        <v>14999</v>
      </c>
      <c r="O984" s="1" t="n">
        <v>20</v>
      </c>
      <c r="P984" s="1" t="n">
        <v>2999.8</v>
      </c>
      <c r="Q984" s="1" t="n">
        <v>11999.2</v>
      </c>
      <c r="R984" s="1" t="n">
        <v>2159.86</v>
      </c>
      <c r="S984" s="1" t="n">
        <v>9839.34</v>
      </c>
      <c r="T984" s="1" t="n">
        <v>3650.86</v>
      </c>
      <c r="U984" s="1" t="n">
        <v>6188.48</v>
      </c>
      <c r="V984" s="1" t="n">
        <v>62.9</v>
      </c>
      <c r="W984" s="1" t="s">
        <v>39</v>
      </c>
      <c r="X984" s="1" t="n">
        <v>3.2</v>
      </c>
      <c r="Y984" s="1" t="s">
        <v>40</v>
      </c>
      <c r="Z984" s="1" t="n">
        <v>1</v>
      </c>
    </row>
    <row r="985" customFormat="false" ht="15" hidden="false" customHeight="true" outlineLevel="0" collapsed="false">
      <c r="A985" s="1" t="s">
        <v>1706</v>
      </c>
      <c r="B985" s="1" t="s">
        <v>1262</v>
      </c>
      <c r="C985" s="1" t="s">
        <v>119</v>
      </c>
      <c r="D985" s="1" t="s">
        <v>123</v>
      </c>
      <c r="E985" s="1" t="s">
        <v>233</v>
      </c>
      <c r="F985" s="1" t="s">
        <v>107</v>
      </c>
      <c r="G985" s="1" t="s">
        <v>108</v>
      </c>
      <c r="H985" s="1" t="s">
        <v>33</v>
      </c>
      <c r="I985" s="1" t="s">
        <v>83</v>
      </c>
      <c r="J985" s="1" t="s">
        <v>70</v>
      </c>
      <c r="K985" s="1" t="s">
        <v>71</v>
      </c>
      <c r="L985" s="1" t="s">
        <v>113</v>
      </c>
      <c r="M985" s="1" t="s">
        <v>38</v>
      </c>
      <c r="N985" s="1" t="n">
        <v>8999</v>
      </c>
      <c r="O985" s="1" t="n">
        <v>0</v>
      </c>
      <c r="P985" s="1" t="n">
        <v>0</v>
      </c>
      <c r="Q985" s="1" t="n">
        <v>8999</v>
      </c>
      <c r="R985" s="1" t="n">
        <v>1619.82</v>
      </c>
      <c r="S985" s="1" t="n">
        <v>7379.18</v>
      </c>
      <c r="T985" s="1" t="n">
        <v>3264.52</v>
      </c>
      <c r="U985" s="1" t="n">
        <v>4114.66</v>
      </c>
      <c r="V985" s="1" t="n">
        <v>55.76</v>
      </c>
      <c r="W985" s="1" t="s">
        <v>39</v>
      </c>
      <c r="X985" s="1" t="n">
        <v>3.3</v>
      </c>
      <c r="Y985" s="1" t="s">
        <v>40</v>
      </c>
      <c r="Z985" s="1" t="n">
        <v>1</v>
      </c>
    </row>
    <row r="986" customFormat="false" ht="15" hidden="false" customHeight="true" outlineLevel="0" collapsed="false">
      <c r="A986" s="1" t="s">
        <v>1707</v>
      </c>
      <c r="B986" s="1" t="s">
        <v>1640</v>
      </c>
      <c r="C986" s="1" t="s">
        <v>249</v>
      </c>
      <c r="D986" s="1" t="s">
        <v>44</v>
      </c>
      <c r="E986" s="1" t="s">
        <v>66</v>
      </c>
      <c r="F986" s="1" t="s">
        <v>150</v>
      </c>
      <c r="G986" s="1" t="s">
        <v>32</v>
      </c>
      <c r="H986" s="1" t="s">
        <v>57</v>
      </c>
      <c r="I986" s="1" t="s">
        <v>34</v>
      </c>
      <c r="J986" s="1" t="s">
        <v>35</v>
      </c>
      <c r="K986" s="1" t="s">
        <v>112</v>
      </c>
      <c r="L986" s="1" t="s">
        <v>136</v>
      </c>
      <c r="M986" s="1" t="s">
        <v>50</v>
      </c>
      <c r="N986" s="1" t="n">
        <v>12999</v>
      </c>
      <c r="O986" s="1" t="n">
        <v>0</v>
      </c>
      <c r="P986" s="1" t="n">
        <v>0</v>
      </c>
      <c r="Q986" s="1" t="n">
        <v>12999</v>
      </c>
      <c r="R986" s="1" t="n">
        <v>2339.82</v>
      </c>
      <c r="S986" s="1" t="n">
        <v>10659.18</v>
      </c>
      <c r="T986" s="1" t="n">
        <v>4646.22</v>
      </c>
      <c r="U986" s="1" t="n">
        <v>6012.96</v>
      </c>
      <c r="V986" s="1" t="n">
        <v>56.41</v>
      </c>
      <c r="W986" s="1" t="s">
        <v>39</v>
      </c>
      <c r="X986" s="1" t="n">
        <v>4.4</v>
      </c>
      <c r="Y986" s="1" t="s">
        <v>40</v>
      </c>
      <c r="Z986" s="1" t="n">
        <v>2</v>
      </c>
    </row>
    <row r="987" customFormat="false" ht="15" hidden="false" customHeight="true" outlineLevel="0" collapsed="false">
      <c r="A987" s="1" t="s">
        <v>1708</v>
      </c>
      <c r="B987" s="1" t="s">
        <v>354</v>
      </c>
      <c r="C987" s="1" t="s">
        <v>74</v>
      </c>
      <c r="D987" s="1" t="s">
        <v>143</v>
      </c>
      <c r="E987" s="1" t="s">
        <v>162</v>
      </c>
      <c r="F987" s="1" t="s">
        <v>1709</v>
      </c>
      <c r="G987" s="1" t="s">
        <v>97</v>
      </c>
      <c r="H987" s="1" t="s">
        <v>69</v>
      </c>
      <c r="I987" s="1" t="s">
        <v>83</v>
      </c>
      <c r="J987" s="1" t="s">
        <v>35</v>
      </c>
      <c r="K987" s="1" t="s">
        <v>71</v>
      </c>
      <c r="L987" s="1" t="s">
        <v>61</v>
      </c>
      <c r="M987" s="1" t="s">
        <v>62</v>
      </c>
      <c r="N987" s="1" t="n">
        <v>14999</v>
      </c>
      <c r="O987" s="1" t="n">
        <v>40</v>
      </c>
      <c r="P987" s="1" t="n">
        <v>5999.6</v>
      </c>
      <c r="Q987" s="1" t="n">
        <v>8999.4</v>
      </c>
      <c r="R987" s="1" t="n">
        <v>1619.89</v>
      </c>
      <c r="S987" s="1" t="n">
        <v>7379.51</v>
      </c>
      <c r="T987" s="1" t="n">
        <v>3414.75</v>
      </c>
      <c r="U987" s="1" t="n">
        <v>3964.76</v>
      </c>
      <c r="V987" s="1" t="n">
        <v>53.73</v>
      </c>
      <c r="W987" s="1" t="s">
        <v>39</v>
      </c>
      <c r="X987" s="1" t="n">
        <v>4.5</v>
      </c>
      <c r="Y987" s="1" t="s">
        <v>40</v>
      </c>
      <c r="Z987" s="1" t="n">
        <v>0</v>
      </c>
    </row>
    <row r="988" customFormat="false" ht="15" hidden="false" customHeight="true" outlineLevel="0" collapsed="false">
      <c r="A988" s="1" t="s">
        <v>1710</v>
      </c>
      <c r="B988" s="1" t="s">
        <v>1711</v>
      </c>
      <c r="C988" s="1" t="s">
        <v>119</v>
      </c>
      <c r="D988" s="1" t="s">
        <v>168</v>
      </c>
      <c r="E988" s="1" t="s">
        <v>169</v>
      </c>
      <c r="F988" s="1" t="s">
        <v>107</v>
      </c>
      <c r="G988" s="1" t="s">
        <v>108</v>
      </c>
      <c r="H988" s="1" t="s">
        <v>33</v>
      </c>
      <c r="I988" s="1" t="s">
        <v>83</v>
      </c>
      <c r="J988" s="1" t="s">
        <v>35</v>
      </c>
      <c r="K988" s="1" t="s">
        <v>90</v>
      </c>
      <c r="L988" s="1" t="s">
        <v>61</v>
      </c>
      <c r="M988" s="1" t="s">
        <v>50</v>
      </c>
      <c r="N988" s="1" t="n">
        <v>4999</v>
      </c>
      <c r="O988" s="1" t="n">
        <v>40</v>
      </c>
      <c r="P988" s="1" t="n">
        <v>1999.6</v>
      </c>
      <c r="Q988" s="1" t="n">
        <v>2999.4</v>
      </c>
      <c r="R988" s="1" t="n">
        <v>539.89</v>
      </c>
      <c r="S988" s="1" t="n">
        <v>2459.51</v>
      </c>
      <c r="T988" s="1" t="n">
        <v>1217.72</v>
      </c>
      <c r="U988" s="1" t="n">
        <v>1241.79</v>
      </c>
      <c r="V988" s="1" t="n">
        <v>50.49</v>
      </c>
      <c r="W988" s="1" t="s">
        <v>39</v>
      </c>
      <c r="X988" s="1" t="n">
        <v>4.3</v>
      </c>
      <c r="Y988" s="1" t="s">
        <v>40</v>
      </c>
      <c r="Z988" s="1" t="n">
        <v>1</v>
      </c>
    </row>
    <row r="989" customFormat="false" ht="15" hidden="false" customHeight="true" outlineLevel="0" collapsed="false">
      <c r="A989" s="1" t="s">
        <v>1712</v>
      </c>
      <c r="B989" s="1" t="s">
        <v>1713</v>
      </c>
      <c r="C989" s="1" t="s">
        <v>74</v>
      </c>
      <c r="D989" s="1" t="s">
        <v>29</v>
      </c>
      <c r="E989" s="1" t="s">
        <v>182</v>
      </c>
      <c r="F989" s="1" t="s">
        <v>82</v>
      </c>
      <c r="G989" s="1" t="s">
        <v>56</v>
      </c>
      <c r="H989" s="1" t="s">
        <v>69</v>
      </c>
      <c r="I989" s="1" t="s">
        <v>34</v>
      </c>
      <c r="J989" s="1" t="s">
        <v>131</v>
      </c>
      <c r="K989" s="1" t="s">
        <v>36</v>
      </c>
      <c r="L989" s="1" t="s">
        <v>61</v>
      </c>
      <c r="M989" s="1" t="s">
        <v>62</v>
      </c>
      <c r="N989" s="1" t="n">
        <v>34999</v>
      </c>
      <c r="O989" s="1" t="n">
        <v>0</v>
      </c>
      <c r="P989" s="1" t="n">
        <v>0</v>
      </c>
      <c r="Q989" s="1" t="n">
        <v>34999</v>
      </c>
      <c r="R989" s="1" t="n">
        <v>6299.82</v>
      </c>
      <c r="S989" s="1" t="n">
        <v>28699.18</v>
      </c>
      <c r="T989" s="1" t="n">
        <v>9519.34</v>
      </c>
      <c r="U989" s="1" t="n">
        <v>19179.84</v>
      </c>
      <c r="V989" s="1" t="n">
        <v>66.83</v>
      </c>
      <c r="W989" s="1" t="s">
        <v>39</v>
      </c>
      <c r="X989" s="1" t="n">
        <v>4.2</v>
      </c>
      <c r="Y989" s="1" t="s">
        <v>40</v>
      </c>
      <c r="Z989" s="1" t="n">
        <v>0</v>
      </c>
    </row>
    <row r="990" customFormat="false" ht="15" hidden="false" customHeight="true" outlineLevel="0" collapsed="false">
      <c r="A990" s="1" t="s">
        <v>1714</v>
      </c>
      <c r="B990" s="1" t="s">
        <v>1184</v>
      </c>
      <c r="C990" s="1" t="s">
        <v>93</v>
      </c>
      <c r="D990" s="1" t="s">
        <v>44</v>
      </c>
      <c r="E990" s="1" t="s">
        <v>66</v>
      </c>
      <c r="F990" s="1" t="s">
        <v>46</v>
      </c>
      <c r="G990" s="1" t="s">
        <v>47</v>
      </c>
      <c r="H990" s="1" t="s">
        <v>33</v>
      </c>
      <c r="I990" s="1" t="s">
        <v>58</v>
      </c>
      <c r="J990" s="1" t="s">
        <v>131</v>
      </c>
      <c r="K990" s="1" t="s">
        <v>104</v>
      </c>
      <c r="L990" s="1" t="s">
        <v>61</v>
      </c>
      <c r="M990" s="1" t="s">
        <v>50</v>
      </c>
      <c r="N990" s="1" t="n">
        <v>12999</v>
      </c>
      <c r="O990" s="1" t="n">
        <v>5</v>
      </c>
      <c r="P990" s="1" t="n">
        <v>649.95</v>
      </c>
      <c r="Q990" s="1" t="n">
        <v>12349.05</v>
      </c>
      <c r="R990" s="1" t="n">
        <v>2222.83</v>
      </c>
      <c r="S990" s="1" t="n">
        <v>10126.22</v>
      </c>
      <c r="T990" s="1" t="n">
        <v>4395.71</v>
      </c>
      <c r="U990" s="1" t="n">
        <v>5730.51</v>
      </c>
      <c r="V990" s="1" t="n">
        <v>56.59</v>
      </c>
      <c r="W990" s="1" t="s">
        <v>39</v>
      </c>
      <c r="Y990" s="1" t="s">
        <v>40</v>
      </c>
      <c r="Z990" s="1" t="n">
        <v>1</v>
      </c>
    </row>
    <row r="991" customFormat="false" ht="15" hidden="false" customHeight="true" outlineLevel="0" collapsed="false">
      <c r="A991" s="1" t="s">
        <v>1715</v>
      </c>
      <c r="B991" s="1" t="s">
        <v>1275</v>
      </c>
      <c r="C991" s="1" t="s">
        <v>167</v>
      </c>
      <c r="D991" s="1" t="s">
        <v>143</v>
      </c>
      <c r="E991" s="1" t="s">
        <v>210</v>
      </c>
      <c r="F991" s="1" t="s">
        <v>140</v>
      </c>
      <c r="G991" s="1" t="s">
        <v>97</v>
      </c>
      <c r="H991" s="1" t="s">
        <v>57</v>
      </c>
      <c r="I991" s="1" t="s">
        <v>58</v>
      </c>
      <c r="J991" s="1" t="s">
        <v>35</v>
      </c>
      <c r="K991" s="1" t="s">
        <v>48</v>
      </c>
      <c r="L991" s="1" t="s">
        <v>49</v>
      </c>
      <c r="M991" s="1" t="s">
        <v>62</v>
      </c>
      <c r="N991" s="1" t="n">
        <v>18999</v>
      </c>
      <c r="O991" s="1" t="n">
        <v>0</v>
      </c>
      <c r="P991" s="1" t="n">
        <v>0</v>
      </c>
      <c r="Q991" s="1" t="n">
        <v>18999</v>
      </c>
      <c r="R991" s="1" t="n">
        <v>3419.82</v>
      </c>
      <c r="S991" s="1" t="n">
        <v>15579.18</v>
      </c>
      <c r="T991" s="1" t="n">
        <v>6102.99</v>
      </c>
      <c r="U991" s="1" t="n">
        <v>9476.19</v>
      </c>
      <c r="V991" s="1" t="n">
        <v>60.83</v>
      </c>
      <c r="W991" s="1" t="s">
        <v>40</v>
      </c>
      <c r="Y991" s="1" t="s">
        <v>40</v>
      </c>
      <c r="Z991" s="1" t="n">
        <v>2</v>
      </c>
    </row>
    <row r="992" customFormat="false" ht="15" hidden="false" customHeight="true" outlineLevel="0" collapsed="false">
      <c r="A992" s="1" t="s">
        <v>1716</v>
      </c>
      <c r="B992" s="1" t="s">
        <v>1688</v>
      </c>
      <c r="C992" s="1" t="s">
        <v>128</v>
      </c>
      <c r="D992" s="1" t="s">
        <v>29</v>
      </c>
      <c r="E992" s="1" t="s">
        <v>182</v>
      </c>
      <c r="F992" s="1" t="s">
        <v>31</v>
      </c>
      <c r="G992" s="1" t="s">
        <v>32</v>
      </c>
      <c r="H992" s="1" t="s">
        <v>33</v>
      </c>
      <c r="I992" s="1" t="s">
        <v>58</v>
      </c>
      <c r="J992" s="1" t="s">
        <v>131</v>
      </c>
      <c r="K992" s="1" t="s">
        <v>84</v>
      </c>
      <c r="L992" s="1" t="s">
        <v>136</v>
      </c>
      <c r="M992" s="1" t="s">
        <v>50</v>
      </c>
      <c r="N992" s="1" t="n">
        <v>34999</v>
      </c>
      <c r="O992" s="1" t="n">
        <v>40</v>
      </c>
      <c r="P992" s="1" t="n">
        <v>13999.6</v>
      </c>
      <c r="Q992" s="1" t="n">
        <v>20999.4</v>
      </c>
      <c r="R992" s="1" t="n">
        <v>3779.89</v>
      </c>
      <c r="S992" s="1" t="n">
        <v>17219.51</v>
      </c>
      <c r="T992" s="1" t="n">
        <v>8239.15</v>
      </c>
      <c r="U992" s="1" t="n">
        <v>8980.36</v>
      </c>
      <c r="V992" s="1" t="n">
        <v>52.15</v>
      </c>
      <c r="W992" s="1" t="s">
        <v>40</v>
      </c>
      <c r="Y992" s="1" t="s">
        <v>40</v>
      </c>
      <c r="Z992" s="1" t="n">
        <v>2</v>
      </c>
    </row>
    <row r="993" customFormat="false" ht="15" hidden="false" customHeight="true" outlineLevel="0" collapsed="false">
      <c r="A993" s="1" t="s">
        <v>1717</v>
      </c>
      <c r="B993" s="1" t="s">
        <v>936</v>
      </c>
      <c r="C993" s="1" t="s">
        <v>264</v>
      </c>
      <c r="D993" s="1" t="s">
        <v>143</v>
      </c>
      <c r="E993" s="1" t="s">
        <v>243</v>
      </c>
      <c r="F993" s="1" t="s">
        <v>184</v>
      </c>
      <c r="G993" s="1" t="s">
        <v>56</v>
      </c>
      <c r="H993" s="1" t="s">
        <v>57</v>
      </c>
      <c r="I993" s="1" t="s">
        <v>34</v>
      </c>
      <c r="J993" s="1" t="s">
        <v>70</v>
      </c>
      <c r="K993" s="1" t="s">
        <v>112</v>
      </c>
      <c r="L993" s="1" t="s">
        <v>113</v>
      </c>
      <c r="M993" s="1" t="s">
        <v>62</v>
      </c>
      <c r="N993" s="1" t="n">
        <v>22999</v>
      </c>
      <c r="O993" s="1" t="n">
        <v>25</v>
      </c>
      <c r="P993" s="1" t="n">
        <v>5749.75</v>
      </c>
      <c r="Q993" s="1" t="n">
        <v>17249.25</v>
      </c>
      <c r="R993" s="1" t="n">
        <v>3104.86</v>
      </c>
      <c r="S993" s="1" t="n">
        <v>14144.39</v>
      </c>
      <c r="T993" s="1" t="n">
        <v>6717.66</v>
      </c>
      <c r="U993" s="1" t="n">
        <v>7426.73</v>
      </c>
      <c r="V993" s="1" t="n">
        <v>52.51</v>
      </c>
      <c r="W993" s="1" t="s">
        <v>40</v>
      </c>
      <c r="Y993" s="1" t="s">
        <v>40</v>
      </c>
      <c r="Z993" s="1" t="n">
        <v>0</v>
      </c>
    </row>
    <row r="994" customFormat="false" ht="15" hidden="false" customHeight="true" outlineLevel="0" collapsed="false">
      <c r="A994" s="1" t="s">
        <v>1718</v>
      </c>
      <c r="B994" s="1" t="s">
        <v>1719</v>
      </c>
      <c r="C994" s="1" t="s">
        <v>167</v>
      </c>
      <c r="D994" s="1" t="s">
        <v>143</v>
      </c>
      <c r="E994" s="1" t="s">
        <v>210</v>
      </c>
      <c r="F994" s="1" t="s">
        <v>125</v>
      </c>
      <c r="G994" s="1" t="s">
        <v>108</v>
      </c>
      <c r="H994" s="1" t="s">
        <v>69</v>
      </c>
      <c r="I994" s="1" t="s">
        <v>34</v>
      </c>
      <c r="J994" s="1" t="s">
        <v>70</v>
      </c>
      <c r="K994" s="1" t="s">
        <v>112</v>
      </c>
      <c r="L994" s="1" t="s">
        <v>61</v>
      </c>
      <c r="M994" s="1" t="s">
        <v>62</v>
      </c>
      <c r="N994" s="1" t="n">
        <v>18999</v>
      </c>
      <c r="O994" s="1" t="n">
        <v>0</v>
      </c>
      <c r="P994" s="1" t="n">
        <v>0</v>
      </c>
      <c r="Q994" s="1" t="n">
        <v>18999</v>
      </c>
      <c r="R994" s="1" t="n">
        <v>3419.82</v>
      </c>
      <c r="S994" s="1" t="n">
        <v>15579.18</v>
      </c>
      <c r="T994" s="1" t="n">
        <v>6587.41</v>
      </c>
      <c r="U994" s="1" t="n">
        <v>8991.77</v>
      </c>
      <c r="V994" s="1" t="n">
        <v>57.72</v>
      </c>
      <c r="W994" s="1" t="s">
        <v>40</v>
      </c>
      <c r="Y994" s="1" t="s">
        <v>40</v>
      </c>
      <c r="Z994" s="1" t="n">
        <v>2</v>
      </c>
    </row>
    <row r="995" customFormat="false" ht="15" hidden="false" customHeight="true" outlineLevel="0" collapsed="false">
      <c r="A995" s="1" t="s">
        <v>1720</v>
      </c>
      <c r="B995" s="1" t="s">
        <v>1721</v>
      </c>
      <c r="C995" s="1" t="s">
        <v>134</v>
      </c>
      <c r="D995" s="1" t="s">
        <v>94</v>
      </c>
      <c r="E995" s="1" t="s">
        <v>95</v>
      </c>
      <c r="F995" s="1" t="s">
        <v>211</v>
      </c>
      <c r="G995" s="1" t="s">
        <v>56</v>
      </c>
      <c r="H995" s="1" t="s">
        <v>69</v>
      </c>
      <c r="I995" s="1" t="s">
        <v>83</v>
      </c>
      <c r="J995" s="1" t="s">
        <v>35</v>
      </c>
      <c r="K995" s="1" t="s">
        <v>90</v>
      </c>
      <c r="L995" s="1" t="s">
        <v>49</v>
      </c>
      <c r="M995" s="1" t="s">
        <v>38</v>
      </c>
      <c r="N995" s="1" t="n">
        <v>6999</v>
      </c>
      <c r="O995" s="1" t="n">
        <v>0</v>
      </c>
      <c r="P995" s="1" t="n">
        <v>0</v>
      </c>
      <c r="Q995" s="1" t="n">
        <v>6999</v>
      </c>
      <c r="R995" s="1" t="n">
        <v>1259.82</v>
      </c>
      <c r="S995" s="1" t="n">
        <v>5739.18</v>
      </c>
      <c r="T995" s="1" t="n">
        <v>2471.23</v>
      </c>
      <c r="U995" s="1" t="n">
        <v>3267.95</v>
      </c>
      <c r="V995" s="1" t="n">
        <v>56.94</v>
      </c>
      <c r="W995" s="1" t="s">
        <v>39</v>
      </c>
      <c r="X995" s="1" t="n">
        <v>4.3</v>
      </c>
      <c r="Y995" s="1" t="s">
        <v>39</v>
      </c>
      <c r="Z995" s="1" t="n">
        <v>1</v>
      </c>
    </row>
    <row r="996" customFormat="false" ht="15" hidden="false" customHeight="true" outlineLevel="0" collapsed="false">
      <c r="A996" s="1" t="s">
        <v>1722</v>
      </c>
      <c r="B996" s="1" t="s">
        <v>1156</v>
      </c>
      <c r="C996" s="1" t="s">
        <v>43</v>
      </c>
      <c r="D996" s="1" t="s">
        <v>80</v>
      </c>
      <c r="E996" s="1" t="s">
        <v>175</v>
      </c>
      <c r="F996" s="1" t="s">
        <v>107</v>
      </c>
      <c r="G996" s="1" t="s">
        <v>108</v>
      </c>
      <c r="H996" s="1" t="s">
        <v>33</v>
      </c>
      <c r="I996" s="1" t="s">
        <v>34</v>
      </c>
      <c r="J996" s="1" t="s">
        <v>77</v>
      </c>
      <c r="K996" s="1" t="s">
        <v>112</v>
      </c>
      <c r="L996" s="1" t="s">
        <v>37</v>
      </c>
      <c r="M996" s="1" t="s">
        <v>50</v>
      </c>
      <c r="N996" s="1" t="n">
        <v>19999</v>
      </c>
      <c r="O996" s="1" t="n">
        <v>15</v>
      </c>
      <c r="P996" s="1" t="n">
        <v>2999.85</v>
      </c>
      <c r="Q996" s="1" t="n">
        <v>16999.15</v>
      </c>
      <c r="R996" s="1" t="n">
        <v>3059.85</v>
      </c>
      <c r="S996" s="1" t="n">
        <v>13939.3</v>
      </c>
      <c r="T996" s="1" t="n">
        <v>5206.01</v>
      </c>
      <c r="U996" s="1" t="n">
        <v>8733.29</v>
      </c>
      <c r="V996" s="1" t="n">
        <v>62.65</v>
      </c>
      <c r="W996" s="1" t="s">
        <v>39</v>
      </c>
      <c r="X996" s="1" t="n">
        <v>4.4</v>
      </c>
      <c r="Y996" s="1" t="s">
        <v>40</v>
      </c>
      <c r="Z996" s="1" t="n">
        <v>0</v>
      </c>
    </row>
    <row r="997" customFormat="false" ht="15" hidden="false" customHeight="true" outlineLevel="0" collapsed="false">
      <c r="A997" s="1" t="s">
        <v>1723</v>
      </c>
      <c r="B997" s="1" t="s">
        <v>1056</v>
      </c>
      <c r="C997" s="1" t="s">
        <v>88</v>
      </c>
      <c r="D997" s="1" t="s">
        <v>53</v>
      </c>
      <c r="E997" s="1" t="s">
        <v>54</v>
      </c>
      <c r="F997" s="1" t="s">
        <v>96</v>
      </c>
      <c r="G997" s="1" t="s">
        <v>97</v>
      </c>
      <c r="H997" s="1" t="s">
        <v>69</v>
      </c>
      <c r="I997" s="1" t="s">
        <v>58</v>
      </c>
      <c r="J997" s="1" t="s">
        <v>59</v>
      </c>
      <c r="K997" s="1" t="s">
        <v>71</v>
      </c>
      <c r="L997" s="1" t="s">
        <v>136</v>
      </c>
      <c r="M997" s="1" t="s">
        <v>50</v>
      </c>
      <c r="N997" s="1" t="n">
        <v>11999</v>
      </c>
      <c r="O997" s="1" t="n">
        <v>20</v>
      </c>
      <c r="P997" s="1" t="n">
        <v>2399.8</v>
      </c>
      <c r="Q997" s="1" t="n">
        <v>9599.2</v>
      </c>
      <c r="R997" s="1" t="n">
        <v>1727.86</v>
      </c>
      <c r="S997" s="1" t="n">
        <v>7871.34</v>
      </c>
      <c r="T997" s="1" t="n">
        <v>3642.6</v>
      </c>
      <c r="U997" s="1" t="n">
        <v>4228.74</v>
      </c>
      <c r="V997" s="1" t="n">
        <v>53.72</v>
      </c>
      <c r="W997" s="1" t="s">
        <v>40</v>
      </c>
      <c r="Y997" s="1" t="s">
        <v>40</v>
      </c>
      <c r="Z997" s="1" t="n">
        <v>0</v>
      </c>
    </row>
    <row r="998" customFormat="false" ht="15" hidden="false" customHeight="true" outlineLevel="0" collapsed="false">
      <c r="A998" s="1" t="s">
        <v>1724</v>
      </c>
      <c r="B998" s="1" t="s">
        <v>284</v>
      </c>
      <c r="C998" s="1" t="s">
        <v>43</v>
      </c>
      <c r="D998" s="1" t="s">
        <v>53</v>
      </c>
      <c r="E998" s="1" t="s">
        <v>216</v>
      </c>
      <c r="F998" s="1" t="s">
        <v>125</v>
      </c>
      <c r="G998" s="1" t="s">
        <v>108</v>
      </c>
      <c r="H998" s="1" t="s">
        <v>69</v>
      </c>
      <c r="I998" s="1" t="s">
        <v>34</v>
      </c>
      <c r="J998" s="1" t="s">
        <v>35</v>
      </c>
      <c r="K998" s="1" t="s">
        <v>60</v>
      </c>
      <c r="L998" s="1" t="s">
        <v>61</v>
      </c>
      <c r="M998" s="1" t="s">
        <v>62</v>
      </c>
      <c r="N998" s="1" t="n">
        <v>7499</v>
      </c>
      <c r="O998" s="1" t="n">
        <v>0</v>
      </c>
      <c r="P998" s="1" t="n">
        <v>0</v>
      </c>
      <c r="Q998" s="1" t="n">
        <v>7499</v>
      </c>
      <c r="R998" s="1" t="n">
        <v>1349.82</v>
      </c>
      <c r="S998" s="1" t="n">
        <v>6149.18</v>
      </c>
      <c r="T998" s="1" t="n">
        <v>2482.95</v>
      </c>
      <c r="U998" s="1" t="n">
        <v>3666.23</v>
      </c>
      <c r="V998" s="1" t="n">
        <v>59.62</v>
      </c>
      <c r="W998" s="1" t="s">
        <v>40</v>
      </c>
      <c r="Y998" s="1" t="s">
        <v>40</v>
      </c>
      <c r="Z998" s="1" t="n">
        <v>3</v>
      </c>
    </row>
    <row r="999" customFormat="false" ht="15" hidden="false" customHeight="true" outlineLevel="0" collapsed="false">
      <c r="A999" s="1" t="s">
        <v>1725</v>
      </c>
      <c r="B999" s="1" t="s">
        <v>360</v>
      </c>
      <c r="C999" s="1" t="s">
        <v>178</v>
      </c>
      <c r="D999" s="1" t="s">
        <v>29</v>
      </c>
      <c r="E999" s="1" t="s">
        <v>129</v>
      </c>
      <c r="F999" s="1" t="s">
        <v>205</v>
      </c>
      <c r="G999" s="1" t="s">
        <v>56</v>
      </c>
      <c r="H999" s="1" t="s">
        <v>69</v>
      </c>
      <c r="I999" s="1" t="s">
        <v>83</v>
      </c>
      <c r="J999" s="1" t="s">
        <v>70</v>
      </c>
      <c r="K999" s="1" t="s">
        <v>36</v>
      </c>
      <c r="L999" s="1" t="s">
        <v>37</v>
      </c>
      <c r="M999" s="1" t="s">
        <v>62</v>
      </c>
      <c r="N999" s="1" t="n">
        <v>29999</v>
      </c>
      <c r="O999" s="1" t="n">
        <v>50</v>
      </c>
      <c r="P999" s="1" t="n">
        <v>14999.5</v>
      </c>
      <c r="Q999" s="1" t="n">
        <v>14999.5</v>
      </c>
      <c r="R999" s="1" t="n">
        <v>2699.91</v>
      </c>
      <c r="S999" s="1" t="n">
        <v>12299.59</v>
      </c>
      <c r="T999" s="1" t="n">
        <v>5605.52</v>
      </c>
      <c r="U999" s="1" t="n">
        <v>6694.07</v>
      </c>
      <c r="V999" s="1" t="n">
        <v>54.43</v>
      </c>
      <c r="W999" s="1" t="s">
        <v>40</v>
      </c>
      <c r="Y999" s="1" t="s">
        <v>40</v>
      </c>
      <c r="Z999" s="1" t="n">
        <v>1</v>
      </c>
    </row>
    <row r="1000" customFormat="false" ht="15" hidden="false" customHeight="true" outlineLevel="0" collapsed="false">
      <c r="A1000" s="1" t="s">
        <v>1726</v>
      </c>
      <c r="B1000" s="1" t="s">
        <v>1727</v>
      </c>
      <c r="C1000" s="1" t="s">
        <v>128</v>
      </c>
      <c r="D1000" s="1" t="s">
        <v>29</v>
      </c>
      <c r="E1000" s="1" t="s">
        <v>129</v>
      </c>
      <c r="F1000" s="1" t="s">
        <v>140</v>
      </c>
      <c r="G1000" s="1" t="s">
        <v>97</v>
      </c>
      <c r="H1000" s="1" t="s">
        <v>57</v>
      </c>
      <c r="I1000" s="1" t="s">
        <v>34</v>
      </c>
      <c r="J1000" s="1" t="s">
        <v>70</v>
      </c>
      <c r="K1000" s="1" t="s">
        <v>84</v>
      </c>
      <c r="L1000" s="1" t="s">
        <v>61</v>
      </c>
      <c r="M1000" s="1" t="s">
        <v>38</v>
      </c>
      <c r="N1000" s="1" t="n">
        <v>29999</v>
      </c>
      <c r="O1000" s="1" t="n">
        <v>15</v>
      </c>
      <c r="P1000" s="1" t="n">
        <v>4499.85</v>
      </c>
      <c r="Q1000" s="1" t="n">
        <v>25499.15</v>
      </c>
      <c r="R1000" s="1" t="n">
        <v>4589.85</v>
      </c>
      <c r="S1000" s="1" t="n">
        <v>20909.3</v>
      </c>
      <c r="T1000" s="1" t="n">
        <v>9834.41</v>
      </c>
      <c r="U1000" s="1" t="n">
        <v>11074.89</v>
      </c>
      <c r="V1000" s="1" t="n">
        <v>52.97</v>
      </c>
      <c r="W1000" s="1" t="s">
        <v>39</v>
      </c>
      <c r="X1000" s="1" t="n">
        <v>3.7</v>
      </c>
      <c r="Y1000" s="1" t="s">
        <v>40</v>
      </c>
      <c r="Z1000" s="1" t="n">
        <v>0</v>
      </c>
    </row>
    <row r="1001" customFormat="false" ht="15" hidden="false" customHeight="true" outlineLevel="0" collapsed="false">
      <c r="A1001" s="1" t="s">
        <v>1728</v>
      </c>
      <c r="B1001" s="1" t="s">
        <v>239</v>
      </c>
      <c r="C1001" s="1" t="s">
        <v>88</v>
      </c>
      <c r="D1001" s="1" t="s">
        <v>29</v>
      </c>
      <c r="E1001" s="1" t="s">
        <v>305</v>
      </c>
      <c r="F1001" s="1" t="s">
        <v>125</v>
      </c>
      <c r="G1001" s="1" t="s">
        <v>108</v>
      </c>
      <c r="H1001" s="1" t="s">
        <v>69</v>
      </c>
      <c r="I1001" s="1" t="s">
        <v>58</v>
      </c>
      <c r="J1001" s="1" t="s">
        <v>131</v>
      </c>
      <c r="K1001" s="1" t="s">
        <v>71</v>
      </c>
      <c r="L1001" s="1" t="s">
        <v>113</v>
      </c>
      <c r="M1001" s="1" t="s">
        <v>50</v>
      </c>
      <c r="N1001" s="1" t="n">
        <v>24999</v>
      </c>
      <c r="O1001" s="1" t="n">
        <v>0</v>
      </c>
      <c r="P1001" s="1" t="n">
        <v>0</v>
      </c>
      <c r="Q1001" s="1" t="n">
        <v>24999</v>
      </c>
      <c r="R1001" s="1" t="n">
        <v>4499.82</v>
      </c>
      <c r="S1001" s="1" t="n">
        <v>20499.18</v>
      </c>
      <c r="T1001" s="1" t="n">
        <v>7420.32</v>
      </c>
      <c r="U1001" s="1" t="n">
        <v>13078.86</v>
      </c>
      <c r="V1001" s="1" t="n">
        <v>63.8</v>
      </c>
      <c r="W1001" s="1" t="s">
        <v>39</v>
      </c>
      <c r="X1001" s="1" t="n">
        <v>4</v>
      </c>
      <c r="Y1001" s="1" t="s">
        <v>40</v>
      </c>
      <c r="Z1001" s="1" t="n">
        <v>0</v>
      </c>
    </row>
    <row r="1002" customFormat="false" ht="15" hidden="false" customHeight="true" outlineLevel="0" collapsed="false">
      <c r="A1002" s="1" t="s">
        <v>1729</v>
      </c>
      <c r="B1002" s="1" t="s">
        <v>330</v>
      </c>
      <c r="C1002" s="1" t="s">
        <v>128</v>
      </c>
      <c r="D1002" s="1" t="s">
        <v>94</v>
      </c>
      <c r="E1002" s="1" t="s">
        <v>135</v>
      </c>
      <c r="F1002" s="1" t="s">
        <v>269</v>
      </c>
      <c r="G1002" s="1" t="s">
        <v>108</v>
      </c>
      <c r="H1002" s="1" t="s">
        <v>57</v>
      </c>
      <c r="I1002" s="1" t="s">
        <v>34</v>
      </c>
      <c r="J1002" s="1" t="s">
        <v>35</v>
      </c>
      <c r="K1002" s="1" t="s">
        <v>60</v>
      </c>
      <c r="L1002" s="1" t="s">
        <v>113</v>
      </c>
      <c r="M1002" s="1" t="s">
        <v>50</v>
      </c>
      <c r="N1002" s="1" t="n">
        <v>9999</v>
      </c>
      <c r="O1002" s="1" t="n">
        <v>0</v>
      </c>
      <c r="P1002" s="1" t="n">
        <v>0</v>
      </c>
      <c r="Q1002" s="1" t="n">
        <v>9999</v>
      </c>
      <c r="R1002" s="1" t="n">
        <v>1799.82</v>
      </c>
      <c r="S1002" s="1" t="n">
        <v>8199.18</v>
      </c>
      <c r="T1002" s="1" t="n">
        <v>3360.16</v>
      </c>
      <c r="U1002" s="1" t="n">
        <v>4839.02</v>
      </c>
      <c r="V1002" s="1" t="n">
        <v>59.02</v>
      </c>
      <c r="W1002" s="1" t="s">
        <v>39</v>
      </c>
      <c r="X1002" s="1" t="n">
        <v>4.5</v>
      </c>
      <c r="Y1002" s="1" t="s">
        <v>40</v>
      </c>
      <c r="Z1002" s="1" t="n">
        <v>0</v>
      </c>
    </row>
    <row r="1003" customFormat="false" ht="15" hidden="false" customHeight="true" outlineLevel="0" collapsed="false">
      <c r="A1003" s="1" t="s">
        <v>1730</v>
      </c>
      <c r="B1003" s="1" t="s">
        <v>1731</v>
      </c>
      <c r="C1003" s="1" t="s">
        <v>264</v>
      </c>
      <c r="D1003" s="1" t="s">
        <v>53</v>
      </c>
      <c r="E1003" s="1" t="s">
        <v>54</v>
      </c>
      <c r="F1003" s="1" t="s">
        <v>67</v>
      </c>
      <c r="G1003" s="1" t="s">
        <v>68</v>
      </c>
      <c r="H1003" s="1" t="s">
        <v>69</v>
      </c>
      <c r="I1003" s="1" t="s">
        <v>83</v>
      </c>
      <c r="J1003" s="1" t="s">
        <v>35</v>
      </c>
      <c r="K1003" s="1" t="s">
        <v>36</v>
      </c>
      <c r="L1003" s="1" t="s">
        <v>85</v>
      </c>
      <c r="M1003" s="1" t="s">
        <v>38</v>
      </c>
      <c r="N1003" s="1" t="n">
        <v>11999</v>
      </c>
      <c r="O1003" s="1" t="n">
        <v>20</v>
      </c>
      <c r="P1003" s="1" t="n">
        <v>2399.8</v>
      </c>
      <c r="Q1003" s="1" t="n">
        <v>9599.2</v>
      </c>
      <c r="R1003" s="1" t="n">
        <v>1727.86</v>
      </c>
      <c r="S1003" s="1" t="n">
        <v>7871.34</v>
      </c>
      <c r="T1003" s="1" t="n">
        <v>3827.71</v>
      </c>
      <c r="U1003" s="1" t="n">
        <v>4043.63</v>
      </c>
      <c r="V1003" s="1" t="n">
        <v>51.37</v>
      </c>
      <c r="W1003" s="1" t="s">
        <v>40</v>
      </c>
      <c r="Y1003" s="1" t="s">
        <v>40</v>
      </c>
      <c r="Z1003" s="1" t="n">
        <v>2</v>
      </c>
    </row>
    <row r="1004" customFormat="false" ht="15" hidden="false" customHeight="true" outlineLevel="0" collapsed="false">
      <c r="A1004" s="1" t="s">
        <v>1732</v>
      </c>
      <c r="B1004" s="1" t="s">
        <v>1591</v>
      </c>
      <c r="C1004" s="1" t="s">
        <v>249</v>
      </c>
      <c r="D1004" s="1" t="s">
        <v>29</v>
      </c>
      <c r="E1004" s="1" t="s">
        <v>30</v>
      </c>
      <c r="F1004" s="1" t="s">
        <v>120</v>
      </c>
      <c r="G1004" s="1" t="s">
        <v>47</v>
      </c>
      <c r="H1004" s="1" t="s">
        <v>57</v>
      </c>
      <c r="I1004" s="1" t="s">
        <v>58</v>
      </c>
      <c r="J1004" s="1" t="s">
        <v>77</v>
      </c>
      <c r="K1004" s="1" t="s">
        <v>71</v>
      </c>
      <c r="L1004" s="1" t="s">
        <v>136</v>
      </c>
      <c r="M1004" s="1" t="s">
        <v>50</v>
      </c>
      <c r="N1004" s="1" t="n">
        <v>7999</v>
      </c>
      <c r="O1004" s="1" t="n">
        <v>10</v>
      </c>
      <c r="P1004" s="1" t="n">
        <v>799.9</v>
      </c>
      <c r="Q1004" s="1" t="n">
        <v>7199.1</v>
      </c>
      <c r="R1004" s="1" t="n">
        <v>1295.84</v>
      </c>
      <c r="S1004" s="1" t="n">
        <v>5903.26</v>
      </c>
      <c r="T1004" s="1" t="n">
        <v>2293.5</v>
      </c>
      <c r="U1004" s="1" t="n">
        <v>3609.76</v>
      </c>
      <c r="V1004" s="1" t="n">
        <v>61.15</v>
      </c>
      <c r="W1004" s="1" t="s">
        <v>39</v>
      </c>
      <c r="X1004" s="1" t="n">
        <v>4.3</v>
      </c>
      <c r="Y1004" s="1" t="s">
        <v>40</v>
      </c>
      <c r="Z1004" s="1" t="n">
        <v>2</v>
      </c>
    </row>
    <row r="1005" customFormat="false" ht="15" hidden="false" customHeight="true" outlineLevel="0" collapsed="false">
      <c r="A1005" s="1" t="s">
        <v>1733</v>
      </c>
      <c r="B1005" s="1" t="s">
        <v>1734</v>
      </c>
      <c r="C1005" s="1" t="s">
        <v>264</v>
      </c>
      <c r="D1005" s="1" t="s">
        <v>143</v>
      </c>
      <c r="E1005" s="1" t="s">
        <v>210</v>
      </c>
      <c r="F1005" s="1" t="s">
        <v>125</v>
      </c>
      <c r="G1005" s="1" t="s">
        <v>108</v>
      </c>
      <c r="H1005" s="1" t="s">
        <v>69</v>
      </c>
      <c r="I1005" s="1" t="s">
        <v>83</v>
      </c>
      <c r="J1005" s="1" t="s">
        <v>35</v>
      </c>
      <c r="K1005" s="1" t="s">
        <v>60</v>
      </c>
      <c r="L1005" s="1" t="s">
        <v>61</v>
      </c>
      <c r="M1005" s="1" t="s">
        <v>50</v>
      </c>
      <c r="N1005" s="1" t="n">
        <v>18999</v>
      </c>
      <c r="O1005" s="1" t="n">
        <v>25</v>
      </c>
      <c r="P1005" s="1" t="n">
        <v>4749.75</v>
      </c>
      <c r="Q1005" s="1" t="n">
        <v>14249.25</v>
      </c>
      <c r="R1005" s="1" t="n">
        <v>2564.86</v>
      </c>
      <c r="S1005" s="1" t="n">
        <v>11684.39</v>
      </c>
      <c r="T1005" s="1" t="n">
        <v>4167.16</v>
      </c>
      <c r="U1005" s="1" t="n">
        <v>7517.23</v>
      </c>
      <c r="V1005" s="1" t="n">
        <v>64.34</v>
      </c>
      <c r="W1005" s="1" t="s">
        <v>40</v>
      </c>
      <c r="Y1005" s="1" t="s">
        <v>40</v>
      </c>
      <c r="Z1005" s="1" t="n">
        <v>0</v>
      </c>
    </row>
    <row r="1006" customFormat="false" ht="15" hidden="false" customHeight="true" outlineLevel="0" collapsed="false">
      <c r="A1006" s="1" t="s">
        <v>1735</v>
      </c>
      <c r="B1006" s="1" t="s">
        <v>1081</v>
      </c>
      <c r="C1006" s="1" t="s">
        <v>100</v>
      </c>
      <c r="D1006" s="1" t="s">
        <v>29</v>
      </c>
      <c r="E1006" s="1" t="s">
        <v>30</v>
      </c>
      <c r="F1006" s="1" t="s">
        <v>125</v>
      </c>
      <c r="G1006" s="1" t="s">
        <v>108</v>
      </c>
      <c r="H1006" s="1" t="s">
        <v>69</v>
      </c>
      <c r="I1006" s="1" t="s">
        <v>58</v>
      </c>
      <c r="J1006" s="1" t="s">
        <v>35</v>
      </c>
      <c r="K1006" s="1" t="s">
        <v>36</v>
      </c>
      <c r="L1006" s="1" t="s">
        <v>113</v>
      </c>
      <c r="M1006" s="1" t="s">
        <v>50</v>
      </c>
      <c r="N1006" s="1" t="n">
        <v>7999</v>
      </c>
      <c r="O1006" s="1" t="n">
        <v>15</v>
      </c>
      <c r="P1006" s="1" t="n">
        <v>1199.85</v>
      </c>
      <c r="Q1006" s="1" t="n">
        <v>6799.15</v>
      </c>
      <c r="R1006" s="1" t="n">
        <v>1223.85</v>
      </c>
      <c r="S1006" s="1" t="n">
        <v>5575.3</v>
      </c>
      <c r="T1006" s="1" t="n">
        <v>1921.5</v>
      </c>
      <c r="U1006" s="1" t="n">
        <v>3653.8</v>
      </c>
      <c r="V1006" s="1" t="n">
        <v>65.54</v>
      </c>
      <c r="W1006" s="1" t="s">
        <v>39</v>
      </c>
      <c r="X1006" s="1" t="n">
        <v>4.6</v>
      </c>
      <c r="Y1006" s="1" t="s">
        <v>40</v>
      </c>
      <c r="Z1006" s="1" t="n">
        <v>0</v>
      </c>
    </row>
    <row r="1007" customFormat="false" ht="15" hidden="false" customHeight="true" outlineLevel="0" collapsed="false">
      <c r="A1007" s="1" t="s">
        <v>1736</v>
      </c>
      <c r="B1007" s="1" t="s">
        <v>1570</v>
      </c>
      <c r="C1007" s="1" t="s">
        <v>249</v>
      </c>
      <c r="D1007" s="1" t="s">
        <v>44</v>
      </c>
      <c r="E1007" s="1" t="s">
        <v>66</v>
      </c>
      <c r="F1007" s="1" t="s">
        <v>194</v>
      </c>
      <c r="G1007" s="1" t="s">
        <v>103</v>
      </c>
      <c r="H1007" s="1" t="s">
        <v>69</v>
      </c>
      <c r="I1007" s="1" t="s">
        <v>83</v>
      </c>
      <c r="J1007" s="1" t="s">
        <v>131</v>
      </c>
      <c r="K1007" s="1" t="s">
        <v>112</v>
      </c>
      <c r="L1007" s="1" t="s">
        <v>136</v>
      </c>
      <c r="M1007" s="1" t="s">
        <v>38</v>
      </c>
      <c r="N1007" s="1" t="n">
        <v>12999</v>
      </c>
      <c r="O1007" s="1" t="n">
        <v>40</v>
      </c>
      <c r="P1007" s="1" t="n">
        <v>5199.6</v>
      </c>
      <c r="Q1007" s="1" t="n">
        <v>7799.4</v>
      </c>
      <c r="R1007" s="1" t="n">
        <v>1403.89</v>
      </c>
      <c r="S1007" s="1" t="n">
        <v>6395.51</v>
      </c>
      <c r="T1007" s="1" t="n">
        <v>3066.39</v>
      </c>
      <c r="U1007" s="1" t="n">
        <v>3329.12</v>
      </c>
      <c r="V1007" s="1" t="n">
        <v>52.05</v>
      </c>
      <c r="W1007" s="1" t="s">
        <v>39</v>
      </c>
      <c r="X1007" s="1" t="n">
        <v>3.5</v>
      </c>
      <c r="Y1007" s="1" t="s">
        <v>40</v>
      </c>
      <c r="Z1007" s="1" t="n">
        <v>0</v>
      </c>
    </row>
    <row r="1008" customFormat="false" ht="15" hidden="false" customHeight="true" outlineLevel="0" collapsed="false">
      <c r="A1008" s="1" t="s">
        <v>1737</v>
      </c>
      <c r="B1008" s="1" t="s">
        <v>458</v>
      </c>
      <c r="C1008" s="1" t="s">
        <v>249</v>
      </c>
      <c r="D1008" s="1" t="s">
        <v>168</v>
      </c>
      <c r="E1008" s="1" t="s">
        <v>172</v>
      </c>
      <c r="F1008" s="1" t="s">
        <v>102</v>
      </c>
      <c r="G1008" s="1" t="s">
        <v>103</v>
      </c>
      <c r="H1008" s="1" t="s">
        <v>33</v>
      </c>
      <c r="I1008" s="1" t="s">
        <v>58</v>
      </c>
      <c r="J1008" s="1" t="s">
        <v>131</v>
      </c>
      <c r="K1008" s="1" t="s">
        <v>104</v>
      </c>
      <c r="L1008" s="1" t="s">
        <v>113</v>
      </c>
      <c r="M1008" s="1" t="s">
        <v>50</v>
      </c>
      <c r="N1008" s="1" t="n">
        <v>6999</v>
      </c>
      <c r="O1008" s="1" t="n">
        <v>20</v>
      </c>
      <c r="P1008" s="1" t="n">
        <v>1399.8</v>
      </c>
      <c r="Q1008" s="1" t="n">
        <v>5599.2</v>
      </c>
      <c r="R1008" s="1" t="n">
        <v>1007.86</v>
      </c>
      <c r="S1008" s="1" t="n">
        <v>4591.34</v>
      </c>
      <c r="T1008" s="1" t="n">
        <v>2131.26</v>
      </c>
      <c r="U1008" s="1" t="n">
        <v>2460.08</v>
      </c>
      <c r="V1008" s="1" t="n">
        <v>53.58</v>
      </c>
      <c r="W1008" s="1" t="s">
        <v>39</v>
      </c>
      <c r="X1008" s="1" t="n">
        <v>4</v>
      </c>
      <c r="Y1008" s="1" t="s">
        <v>40</v>
      </c>
      <c r="Z1008" s="1" t="n">
        <v>0</v>
      </c>
    </row>
    <row r="1009" customFormat="false" ht="15" hidden="false" customHeight="true" outlineLevel="0" collapsed="false">
      <c r="A1009" s="1" t="s">
        <v>1738</v>
      </c>
      <c r="B1009" s="1" t="s">
        <v>1739</v>
      </c>
      <c r="C1009" s="1" t="s">
        <v>139</v>
      </c>
      <c r="D1009" s="1" t="s">
        <v>29</v>
      </c>
      <c r="E1009" s="1" t="s">
        <v>305</v>
      </c>
      <c r="F1009" s="1" t="s">
        <v>67</v>
      </c>
      <c r="G1009" s="1" t="s">
        <v>68</v>
      </c>
      <c r="H1009" s="1" t="s">
        <v>69</v>
      </c>
      <c r="I1009" s="1" t="s">
        <v>58</v>
      </c>
      <c r="J1009" s="1" t="s">
        <v>35</v>
      </c>
      <c r="K1009" s="1" t="s">
        <v>60</v>
      </c>
      <c r="L1009" s="1" t="s">
        <v>61</v>
      </c>
      <c r="M1009" s="1" t="s">
        <v>50</v>
      </c>
      <c r="N1009" s="1" t="n">
        <v>24999</v>
      </c>
      <c r="O1009" s="1" t="n">
        <v>30</v>
      </c>
      <c r="P1009" s="1" t="n">
        <v>7499.7</v>
      </c>
      <c r="Q1009" s="1" t="n">
        <v>17499.3</v>
      </c>
      <c r="R1009" s="1" t="n">
        <v>3149.87</v>
      </c>
      <c r="S1009" s="1" t="n">
        <v>14349.43</v>
      </c>
      <c r="T1009" s="1" t="n">
        <v>4596.05</v>
      </c>
      <c r="U1009" s="1" t="n">
        <v>9753.38</v>
      </c>
      <c r="V1009" s="1" t="n">
        <v>67.97</v>
      </c>
      <c r="W1009" s="1" t="s">
        <v>39</v>
      </c>
      <c r="X1009" s="1" t="n">
        <v>3</v>
      </c>
      <c r="Y1009" s="1" t="s">
        <v>40</v>
      </c>
      <c r="Z1009" s="1" t="n">
        <v>1</v>
      </c>
    </row>
    <row r="1010" customFormat="false" ht="15" hidden="false" customHeight="true" outlineLevel="0" collapsed="false">
      <c r="A1010" s="1" t="s">
        <v>1740</v>
      </c>
      <c r="B1010" s="1" t="s">
        <v>334</v>
      </c>
      <c r="C1010" s="1" t="s">
        <v>93</v>
      </c>
      <c r="D1010" s="1" t="s">
        <v>44</v>
      </c>
      <c r="E1010" s="1" t="s">
        <v>221</v>
      </c>
      <c r="F1010" s="1" t="s">
        <v>102</v>
      </c>
      <c r="G1010" s="1" t="s">
        <v>103</v>
      </c>
      <c r="H1010" s="1" t="s">
        <v>33</v>
      </c>
      <c r="I1010" s="1" t="s">
        <v>34</v>
      </c>
      <c r="J1010" s="1" t="s">
        <v>77</v>
      </c>
      <c r="K1010" s="1" t="s">
        <v>112</v>
      </c>
      <c r="L1010" s="1" t="s">
        <v>85</v>
      </c>
      <c r="M1010" s="1" t="s">
        <v>38</v>
      </c>
      <c r="N1010" s="1" t="n">
        <v>16999</v>
      </c>
      <c r="O1010" s="1" t="n">
        <v>20</v>
      </c>
      <c r="P1010" s="1" t="n">
        <v>3399.8</v>
      </c>
      <c r="Q1010" s="1" t="n">
        <v>13599.2</v>
      </c>
      <c r="R1010" s="1" t="n">
        <v>2447.86</v>
      </c>
      <c r="S1010" s="1" t="n">
        <v>11151.34</v>
      </c>
      <c r="T1010" s="1" t="n">
        <v>4340.77</v>
      </c>
      <c r="U1010" s="1" t="n">
        <v>6810.57</v>
      </c>
      <c r="V1010" s="1" t="n">
        <v>61.07</v>
      </c>
      <c r="W1010" s="1" t="s">
        <v>39</v>
      </c>
      <c r="Y1010" s="1" t="s">
        <v>40</v>
      </c>
      <c r="Z1010" s="1" t="n">
        <v>0</v>
      </c>
    </row>
    <row r="1011" customFormat="false" ht="15" hidden="false" customHeight="true" outlineLevel="0" collapsed="false">
      <c r="A1011" s="1" t="s">
        <v>1741</v>
      </c>
      <c r="B1011" s="1" t="s">
        <v>945</v>
      </c>
      <c r="C1011" s="1" t="s">
        <v>43</v>
      </c>
      <c r="D1011" s="1" t="s">
        <v>80</v>
      </c>
      <c r="E1011" s="1" t="s">
        <v>190</v>
      </c>
      <c r="F1011" s="1" t="s">
        <v>75</v>
      </c>
      <c r="G1011" s="1" t="s">
        <v>76</v>
      </c>
      <c r="H1011" s="1" t="s">
        <v>69</v>
      </c>
      <c r="I1011" s="1" t="s">
        <v>34</v>
      </c>
      <c r="J1011" s="1" t="s">
        <v>77</v>
      </c>
      <c r="K1011" s="1" t="s">
        <v>104</v>
      </c>
      <c r="L1011" s="1" t="s">
        <v>61</v>
      </c>
      <c r="M1011" s="1" t="s">
        <v>38</v>
      </c>
      <c r="N1011" s="1" t="n">
        <v>15999</v>
      </c>
      <c r="O1011" s="1" t="n">
        <v>40</v>
      </c>
      <c r="P1011" s="1" t="n">
        <v>6399.6</v>
      </c>
      <c r="Q1011" s="1" t="n">
        <v>9599.4</v>
      </c>
      <c r="R1011" s="1" t="n">
        <v>1727.89</v>
      </c>
      <c r="S1011" s="1" t="n">
        <v>7871.51</v>
      </c>
      <c r="T1011" s="1" t="n">
        <v>3635.19</v>
      </c>
      <c r="U1011" s="1" t="n">
        <v>4236.32</v>
      </c>
      <c r="V1011" s="1" t="n">
        <v>53.82</v>
      </c>
      <c r="W1011" s="1" t="s">
        <v>40</v>
      </c>
      <c r="Y1011" s="1" t="s">
        <v>40</v>
      </c>
      <c r="Z1011" s="1" t="n">
        <v>1</v>
      </c>
    </row>
    <row r="1012" customFormat="false" ht="15" hidden="false" customHeight="true" outlineLevel="0" collapsed="false">
      <c r="A1012" s="1" t="s">
        <v>1742</v>
      </c>
      <c r="B1012" s="1" t="s">
        <v>1420</v>
      </c>
      <c r="C1012" s="1" t="s">
        <v>65</v>
      </c>
      <c r="D1012" s="1" t="s">
        <v>94</v>
      </c>
      <c r="E1012" s="1" t="s">
        <v>95</v>
      </c>
      <c r="F1012" s="1" t="s">
        <v>125</v>
      </c>
      <c r="G1012" s="1" t="s">
        <v>108</v>
      </c>
      <c r="H1012" s="1" t="s">
        <v>69</v>
      </c>
      <c r="I1012" s="1" t="s">
        <v>58</v>
      </c>
      <c r="J1012" s="1" t="s">
        <v>59</v>
      </c>
      <c r="K1012" s="1" t="s">
        <v>36</v>
      </c>
      <c r="L1012" s="1" t="s">
        <v>49</v>
      </c>
      <c r="M1012" s="1" t="s">
        <v>38</v>
      </c>
      <c r="N1012" s="1" t="n">
        <v>6999</v>
      </c>
      <c r="O1012" s="1" t="n">
        <v>0</v>
      </c>
      <c r="P1012" s="1" t="n">
        <v>0</v>
      </c>
      <c r="Q1012" s="1" t="n">
        <v>6999</v>
      </c>
      <c r="R1012" s="1" t="n">
        <v>1259.82</v>
      </c>
      <c r="S1012" s="1" t="n">
        <v>5739.18</v>
      </c>
      <c r="T1012" s="1" t="n">
        <v>2112.77</v>
      </c>
      <c r="U1012" s="1" t="n">
        <v>3626.41</v>
      </c>
      <c r="V1012" s="1" t="n">
        <v>63.19</v>
      </c>
      <c r="W1012" s="1" t="s">
        <v>40</v>
      </c>
      <c r="Y1012" s="1" t="s">
        <v>40</v>
      </c>
      <c r="Z1012" s="1" t="n">
        <v>0</v>
      </c>
    </row>
    <row r="1013" customFormat="false" ht="15" hidden="false" customHeight="true" outlineLevel="0" collapsed="false">
      <c r="A1013" s="1" t="s">
        <v>1743</v>
      </c>
      <c r="B1013" s="1" t="s">
        <v>1118</v>
      </c>
      <c r="C1013" s="1" t="s">
        <v>119</v>
      </c>
      <c r="D1013" s="1" t="s">
        <v>29</v>
      </c>
      <c r="E1013" s="1" t="s">
        <v>305</v>
      </c>
      <c r="F1013" s="1" t="s">
        <v>211</v>
      </c>
      <c r="G1013" s="1" t="s">
        <v>56</v>
      </c>
      <c r="H1013" s="1" t="s">
        <v>69</v>
      </c>
      <c r="I1013" s="1" t="s">
        <v>83</v>
      </c>
      <c r="J1013" s="1" t="s">
        <v>59</v>
      </c>
      <c r="K1013" s="1" t="s">
        <v>90</v>
      </c>
      <c r="L1013" s="1" t="s">
        <v>61</v>
      </c>
      <c r="M1013" s="1" t="s">
        <v>62</v>
      </c>
      <c r="N1013" s="1" t="n">
        <v>24999</v>
      </c>
      <c r="O1013" s="1" t="n">
        <v>50</v>
      </c>
      <c r="P1013" s="1" t="n">
        <v>12499.5</v>
      </c>
      <c r="Q1013" s="1" t="n">
        <v>12499.5</v>
      </c>
      <c r="R1013" s="1" t="n">
        <v>2249.91</v>
      </c>
      <c r="S1013" s="1" t="n">
        <v>10249.59</v>
      </c>
      <c r="T1013" s="1" t="n">
        <v>4707.92</v>
      </c>
      <c r="U1013" s="1" t="n">
        <v>5541.67</v>
      </c>
      <c r="V1013" s="1" t="n">
        <v>54.07</v>
      </c>
      <c r="W1013" s="1" t="s">
        <v>40</v>
      </c>
      <c r="Y1013" s="1" t="s">
        <v>40</v>
      </c>
      <c r="Z1013" s="1" t="n">
        <v>1</v>
      </c>
    </row>
    <row r="1014" customFormat="false" ht="15" hidden="false" customHeight="true" outlineLevel="0" collapsed="false">
      <c r="A1014" s="1" t="s">
        <v>1744</v>
      </c>
      <c r="B1014" s="1" t="s">
        <v>1154</v>
      </c>
      <c r="C1014" s="1" t="s">
        <v>139</v>
      </c>
      <c r="D1014" s="1" t="s">
        <v>80</v>
      </c>
      <c r="E1014" s="1" t="s">
        <v>81</v>
      </c>
      <c r="F1014" s="1" t="s">
        <v>184</v>
      </c>
      <c r="G1014" s="1" t="s">
        <v>56</v>
      </c>
      <c r="H1014" s="1" t="s">
        <v>57</v>
      </c>
      <c r="I1014" s="1" t="s">
        <v>83</v>
      </c>
      <c r="J1014" s="1" t="s">
        <v>35</v>
      </c>
      <c r="K1014" s="1" t="s">
        <v>84</v>
      </c>
      <c r="L1014" s="1" t="s">
        <v>85</v>
      </c>
      <c r="M1014" s="1" t="s">
        <v>50</v>
      </c>
      <c r="N1014" s="1" t="n">
        <v>12999</v>
      </c>
      <c r="O1014" s="1" t="n">
        <v>10</v>
      </c>
      <c r="P1014" s="1" t="n">
        <v>1299.9</v>
      </c>
      <c r="Q1014" s="1" t="n">
        <v>11699.1</v>
      </c>
      <c r="R1014" s="1" t="n">
        <v>2105.84</v>
      </c>
      <c r="S1014" s="1" t="n">
        <v>9593.26</v>
      </c>
      <c r="T1014" s="1" t="n">
        <v>5433.92</v>
      </c>
      <c r="U1014" s="1" t="n">
        <v>4159.34</v>
      </c>
      <c r="V1014" s="1" t="n">
        <v>43.36</v>
      </c>
      <c r="W1014" s="1" t="s">
        <v>40</v>
      </c>
      <c r="Y1014" s="1" t="s">
        <v>40</v>
      </c>
      <c r="Z1014" s="1" t="n">
        <v>2</v>
      </c>
    </row>
    <row r="1015" customFormat="false" ht="15" hidden="false" customHeight="true" outlineLevel="0" collapsed="false">
      <c r="A1015" s="1" t="s">
        <v>1745</v>
      </c>
      <c r="B1015" s="1" t="s">
        <v>1746</v>
      </c>
      <c r="C1015" s="1" t="s">
        <v>100</v>
      </c>
      <c r="D1015" s="1" t="s">
        <v>123</v>
      </c>
      <c r="E1015" s="1" t="s">
        <v>147</v>
      </c>
      <c r="F1015" s="1" t="s">
        <v>156</v>
      </c>
      <c r="G1015" s="1" t="s">
        <v>68</v>
      </c>
      <c r="H1015" s="1" t="s">
        <v>57</v>
      </c>
      <c r="I1015" s="1" t="s">
        <v>58</v>
      </c>
      <c r="J1015" s="1" t="s">
        <v>70</v>
      </c>
      <c r="K1015" s="1" t="s">
        <v>48</v>
      </c>
      <c r="L1015" s="1" t="s">
        <v>136</v>
      </c>
      <c r="M1015" s="1" t="s">
        <v>50</v>
      </c>
      <c r="N1015" s="1" t="n">
        <v>6999</v>
      </c>
      <c r="O1015" s="1" t="n">
        <v>50</v>
      </c>
      <c r="P1015" s="1" t="n">
        <v>3499.5</v>
      </c>
      <c r="Q1015" s="1" t="n">
        <v>3499.5</v>
      </c>
      <c r="R1015" s="1" t="n">
        <v>629.91</v>
      </c>
      <c r="S1015" s="1" t="n">
        <v>2869.59</v>
      </c>
      <c r="T1015" s="1" t="n">
        <v>1542.5</v>
      </c>
      <c r="U1015" s="1" t="n">
        <v>1327.09</v>
      </c>
      <c r="V1015" s="1" t="n">
        <v>46.25</v>
      </c>
      <c r="W1015" s="1" t="s">
        <v>39</v>
      </c>
      <c r="X1015" s="1" t="n">
        <v>2.7</v>
      </c>
      <c r="Y1015" s="1" t="s">
        <v>40</v>
      </c>
      <c r="Z1015" s="1" t="n">
        <v>0</v>
      </c>
    </row>
    <row r="1016" customFormat="false" ht="15" hidden="false" customHeight="true" outlineLevel="0" collapsed="false">
      <c r="A1016" s="1" t="s">
        <v>1747</v>
      </c>
      <c r="B1016" s="1" t="s">
        <v>974</v>
      </c>
      <c r="C1016" s="1" t="s">
        <v>28</v>
      </c>
      <c r="D1016" s="1" t="s">
        <v>44</v>
      </c>
      <c r="E1016" s="1" t="s">
        <v>221</v>
      </c>
      <c r="F1016" s="1" t="s">
        <v>140</v>
      </c>
      <c r="G1016" s="1" t="s">
        <v>97</v>
      </c>
      <c r="H1016" s="1" t="s">
        <v>57</v>
      </c>
      <c r="I1016" s="1" t="s">
        <v>58</v>
      </c>
      <c r="J1016" s="1" t="s">
        <v>131</v>
      </c>
      <c r="K1016" s="1" t="s">
        <v>104</v>
      </c>
      <c r="L1016" s="1" t="s">
        <v>37</v>
      </c>
      <c r="M1016" s="1" t="s">
        <v>50</v>
      </c>
      <c r="N1016" s="1" t="n">
        <v>16999</v>
      </c>
      <c r="O1016" s="1" t="n">
        <v>40</v>
      </c>
      <c r="P1016" s="1" t="n">
        <v>6799.6</v>
      </c>
      <c r="Q1016" s="1" t="n">
        <v>10199.4</v>
      </c>
      <c r="R1016" s="1" t="n">
        <v>1835.89</v>
      </c>
      <c r="S1016" s="1" t="n">
        <v>8363.51</v>
      </c>
      <c r="T1016" s="1" t="n">
        <v>4547.86</v>
      </c>
      <c r="U1016" s="1" t="n">
        <v>3815.65</v>
      </c>
      <c r="V1016" s="1" t="n">
        <v>45.62</v>
      </c>
      <c r="W1016" s="1" t="s">
        <v>40</v>
      </c>
      <c r="Y1016" s="1" t="s">
        <v>40</v>
      </c>
      <c r="Z1016" s="1" t="n">
        <v>1</v>
      </c>
    </row>
    <row r="1017" customFormat="false" ht="15" hidden="false" customHeight="true" outlineLevel="0" collapsed="false">
      <c r="A1017" s="1" t="s">
        <v>1748</v>
      </c>
      <c r="B1017" s="1" t="s">
        <v>671</v>
      </c>
      <c r="C1017" s="1" t="s">
        <v>100</v>
      </c>
      <c r="D1017" s="1" t="s">
        <v>53</v>
      </c>
      <c r="E1017" s="1" t="s">
        <v>216</v>
      </c>
      <c r="F1017" s="1" t="s">
        <v>89</v>
      </c>
      <c r="G1017" s="1" t="s">
        <v>68</v>
      </c>
      <c r="H1017" s="1" t="s">
        <v>33</v>
      </c>
      <c r="I1017" s="1" t="s">
        <v>34</v>
      </c>
      <c r="J1017" s="1" t="s">
        <v>70</v>
      </c>
      <c r="K1017" s="1" t="s">
        <v>84</v>
      </c>
      <c r="L1017" s="1" t="s">
        <v>61</v>
      </c>
      <c r="M1017" s="1" t="s">
        <v>62</v>
      </c>
      <c r="N1017" s="1" t="n">
        <v>7499</v>
      </c>
      <c r="O1017" s="1" t="n">
        <v>0</v>
      </c>
      <c r="P1017" s="1" t="n">
        <v>0</v>
      </c>
      <c r="Q1017" s="1" t="n">
        <v>7499</v>
      </c>
      <c r="R1017" s="1" t="n">
        <v>1349.82</v>
      </c>
      <c r="S1017" s="1" t="n">
        <v>6149.18</v>
      </c>
      <c r="T1017" s="1" t="n">
        <v>2683.38</v>
      </c>
      <c r="U1017" s="1" t="n">
        <v>3465.8</v>
      </c>
      <c r="V1017" s="1" t="n">
        <v>56.36</v>
      </c>
      <c r="W1017" s="1" t="s">
        <v>39</v>
      </c>
      <c r="X1017" s="1" t="n">
        <v>3.3</v>
      </c>
      <c r="Y1017" s="1" t="s">
        <v>40</v>
      </c>
      <c r="Z1017" s="1" t="n">
        <v>0</v>
      </c>
    </row>
    <row r="1018" customFormat="false" ht="15" hidden="false" customHeight="true" outlineLevel="0" collapsed="false">
      <c r="A1018" s="1" t="s">
        <v>1749</v>
      </c>
      <c r="B1018" s="1" t="s">
        <v>785</v>
      </c>
      <c r="C1018" s="1" t="s">
        <v>139</v>
      </c>
      <c r="D1018" s="1" t="s">
        <v>44</v>
      </c>
      <c r="E1018" s="1" t="s">
        <v>221</v>
      </c>
      <c r="F1018" s="1" t="s">
        <v>205</v>
      </c>
      <c r="G1018" s="1" t="s">
        <v>56</v>
      </c>
      <c r="H1018" s="1" t="s">
        <v>69</v>
      </c>
      <c r="I1018" s="1" t="s">
        <v>58</v>
      </c>
      <c r="J1018" s="1" t="s">
        <v>131</v>
      </c>
      <c r="K1018" s="1" t="s">
        <v>48</v>
      </c>
      <c r="L1018" s="1" t="s">
        <v>113</v>
      </c>
      <c r="M1018" s="1" t="s">
        <v>38</v>
      </c>
      <c r="N1018" s="1" t="n">
        <v>16999</v>
      </c>
      <c r="O1018" s="1" t="n">
        <v>40</v>
      </c>
      <c r="P1018" s="1" t="n">
        <v>6799.6</v>
      </c>
      <c r="Q1018" s="1" t="n">
        <v>10199.4</v>
      </c>
      <c r="R1018" s="1" t="n">
        <v>1835.89</v>
      </c>
      <c r="S1018" s="1" t="n">
        <v>8363.51</v>
      </c>
      <c r="T1018" s="1" t="n">
        <v>3893.68</v>
      </c>
      <c r="U1018" s="1" t="n">
        <v>4469.83</v>
      </c>
      <c r="V1018" s="1" t="n">
        <v>53.44</v>
      </c>
      <c r="W1018" s="1" t="s">
        <v>40</v>
      </c>
      <c r="Y1018" s="1" t="s">
        <v>40</v>
      </c>
      <c r="Z1018" s="1" t="n">
        <v>0</v>
      </c>
    </row>
    <row r="1019" customFormat="false" ht="15" hidden="false" customHeight="true" outlineLevel="0" collapsed="false">
      <c r="A1019" s="1" t="s">
        <v>1750</v>
      </c>
      <c r="B1019" s="1" t="s">
        <v>1751</v>
      </c>
      <c r="C1019" s="1" t="s">
        <v>139</v>
      </c>
      <c r="D1019" s="1" t="s">
        <v>29</v>
      </c>
      <c r="E1019" s="1" t="s">
        <v>182</v>
      </c>
      <c r="F1019" s="1" t="s">
        <v>156</v>
      </c>
      <c r="G1019" s="1" t="s">
        <v>68</v>
      </c>
      <c r="H1019" s="1" t="s">
        <v>57</v>
      </c>
      <c r="I1019" s="1" t="s">
        <v>58</v>
      </c>
      <c r="J1019" s="1" t="s">
        <v>77</v>
      </c>
      <c r="K1019" s="1" t="s">
        <v>112</v>
      </c>
      <c r="L1019" s="1" t="s">
        <v>85</v>
      </c>
      <c r="M1019" s="1" t="s">
        <v>50</v>
      </c>
      <c r="N1019" s="1" t="n">
        <v>34999</v>
      </c>
      <c r="O1019" s="1" t="n">
        <v>30</v>
      </c>
      <c r="P1019" s="1" t="n">
        <v>10499.7</v>
      </c>
      <c r="Q1019" s="1" t="n">
        <v>24499.3</v>
      </c>
      <c r="R1019" s="1" t="n">
        <v>4409.87</v>
      </c>
      <c r="S1019" s="1" t="n">
        <v>20089.43</v>
      </c>
      <c r="T1019" s="1" t="n">
        <v>9175.72</v>
      </c>
      <c r="U1019" s="1" t="n">
        <v>10913.71</v>
      </c>
      <c r="V1019" s="1" t="n">
        <v>54.33</v>
      </c>
      <c r="W1019" s="1" t="s">
        <v>39</v>
      </c>
      <c r="X1019" s="1" t="n">
        <v>3.4</v>
      </c>
      <c r="Y1019" s="1" t="s">
        <v>40</v>
      </c>
      <c r="Z1019" s="1" t="n">
        <v>2</v>
      </c>
    </row>
    <row r="1020" customFormat="false" ht="15" hidden="false" customHeight="true" outlineLevel="0" collapsed="false">
      <c r="A1020" s="1" t="s">
        <v>1752</v>
      </c>
      <c r="B1020" s="1" t="s">
        <v>1727</v>
      </c>
      <c r="C1020" s="1" t="s">
        <v>43</v>
      </c>
      <c r="D1020" s="1" t="s">
        <v>80</v>
      </c>
      <c r="E1020" s="1" t="s">
        <v>190</v>
      </c>
      <c r="F1020" s="1" t="s">
        <v>140</v>
      </c>
      <c r="G1020" s="1" t="s">
        <v>97</v>
      </c>
      <c r="H1020" s="1" t="s">
        <v>57</v>
      </c>
      <c r="I1020" s="1" t="s">
        <v>83</v>
      </c>
      <c r="J1020" s="1" t="s">
        <v>131</v>
      </c>
      <c r="K1020" s="1" t="s">
        <v>84</v>
      </c>
      <c r="L1020" s="1" t="s">
        <v>49</v>
      </c>
      <c r="M1020" s="1" t="s">
        <v>62</v>
      </c>
      <c r="N1020" s="1" t="n">
        <v>15999</v>
      </c>
      <c r="O1020" s="1" t="n">
        <v>20</v>
      </c>
      <c r="P1020" s="1" t="n">
        <v>3199.8</v>
      </c>
      <c r="Q1020" s="1" t="n">
        <v>12799.2</v>
      </c>
      <c r="R1020" s="1" t="n">
        <v>2303.86</v>
      </c>
      <c r="S1020" s="1" t="n">
        <v>10495.34</v>
      </c>
      <c r="T1020" s="1" t="n">
        <v>4688.97</v>
      </c>
      <c r="U1020" s="1" t="n">
        <v>5806.37</v>
      </c>
      <c r="V1020" s="1" t="n">
        <v>55.32</v>
      </c>
      <c r="W1020" s="1" t="s">
        <v>39</v>
      </c>
      <c r="X1020" s="1" t="n">
        <v>3.8</v>
      </c>
      <c r="Y1020" s="1" t="s">
        <v>40</v>
      </c>
      <c r="Z1020" s="1" t="n">
        <v>1</v>
      </c>
    </row>
    <row r="1021" customFormat="false" ht="15" hidden="false" customHeight="true" outlineLevel="0" collapsed="false">
      <c r="A1021" s="1" t="s">
        <v>1753</v>
      </c>
      <c r="B1021" s="1" t="s">
        <v>1166</v>
      </c>
      <c r="C1021" s="1" t="s">
        <v>128</v>
      </c>
      <c r="D1021" s="1" t="s">
        <v>29</v>
      </c>
      <c r="E1021" s="1" t="s">
        <v>30</v>
      </c>
      <c r="F1021" s="1" t="s">
        <v>150</v>
      </c>
      <c r="G1021" s="1" t="s">
        <v>32</v>
      </c>
      <c r="H1021" s="1" t="s">
        <v>57</v>
      </c>
      <c r="I1021" s="1" t="s">
        <v>58</v>
      </c>
      <c r="J1021" s="1" t="s">
        <v>131</v>
      </c>
      <c r="K1021" s="1" t="s">
        <v>104</v>
      </c>
      <c r="L1021" s="1" t="s">
        <v>49</v>
      </c>
      <c r="M1021" s="1" t="s">
        <v>50</v>
      </c>
      <c r="N1021" s="1" t="n">
        <v>7999</v>
      </c>
      <c r="O1021" s="1" t="n">
        <v>20</v>
      </c>
      <c r="P1021" s="1" t="n">
        <v>1599.8</v>
      </c>
      <c r="Q1021" s="1" t="n">
        <v>6399.2</v>
      </c>
      <c r="R1021" s="1" t="n">
        <v>1151.86</v>
      </c>
      <c r="S1021" s="1" t="n">
        <v>5247.34</v>
      </c>
      <c r="T1021" s="1" t="n">
        <v>1896.06</v>
      </c>
      <c r="U1021" s="1" t="n">
        <v>3351.28</v>
      </c>
      <c r="V1021" s="1" t="n">
        <v>63.87</v>
      </c>
      <c r="W1021" s="1" t="s">
        <v>39</v>
      </c>
      <c r="Y1021" s="1" t="s">
        <v>40</v>
      </c>
      <c r="Z1021" s="1" t="n">
        <v>1</v>
      </c>
    </row>
    <row r="1022" customFormat="false" ht="15" hidden="false" customHeight="true" outlineLevel="0" collapsed="false">
      <c r="A1022" s="1" t="s">
        <v>1754</v>
      </c>
      <c r="B1022" s="1" t="s">
        <v>401</v>
      </c>
      <c r="C1022" s="1" t="s">
        <v>74</v>
      </c>
      <c r="D1022" s="1" t="s">
        <v>53</v>
      </c>
      <c r="E1022" s="1" t="s">
        <v>216</v>
      </c>
      <c r="F1022" s="1" t="s">
        <v>130</v>
      </c>
      <c r="G1022" s="1" t="s">
        <v>47</v>
      </c>
      <c r="H1022" s="1" t="s">
        <v>69</v>
      </c>
      <c r="I1022" s="1" t="s">
        <v>83</v>
      </c>
      <c r="J1022" s="1" t="s">
        <v>131</v>
      </c>
      <c r="K1022" s="1" t="s">
        <v>36</v>
      </c>
      <c r="L1022" s="1" t="s">
        <v>85</v>
      </c>
      <c r="M1022" s="1" t="s">
        <v>62</v>
      </c>
      <c r="N1022" s="1" t="n">
        <v>7499</v>
      </c>
      <c r="O1022" s="1" t="n">
        <v>10</v>
      </c>
      <c r="P1022" s="1" t="n">
        <v>749.9</v>
      </c>
      <c r="Q1022" s="1" t="n">
        <v>6749.1</v>
      </c>
      <c r="R1022" s="1" t="n">
        <v>1214.84</v>
      </c>
      <c r="S1022" s="1" t="n">
        <v>5534.26</v>
      </c>
      <c r="T1022" s="1" t="n">
        <v>2491.95</v>
      </c>
      <c r="U1022" s="1" t="n">
        <v>3042.31</v>
      </c>
      <c r="V1022" s="1" t="n">
        <v>54.97</v>
      </c>
      <c r="W1022" s="1" t="s">
        <v>40</v>
      </c>
      <c r="Y1022" s="1" t="s">
        <v>40</v>
      </c>
      <c r="Z1022" s="1" t="n">
        <v>2</v>
      </c>
    </row>
    <row r="1023" customFormat="false" ht="15" hidden="false" customHeight="true" outlineLevel="0" collapsed="false">
      <c r="A1023" s="1" t="s">
        <v>1755</v>
      </c>
      <c r="B1023" s="1" t="s">
        <v>1756</v>
      </c>
      <c r="C1023" s="1" t="s">
        <v>119</v>
      </c>
      <c r="D1023" s="1" t="s">
        <v>94</v>
      </c>
      <c r="E1023" s="1" t="s">
        <v>135</v>
      </c>
      <c r="F1023" s="1" t="s">
        <v>130</v>
      </c>
      <c r="G1023" s="1" t="s">
        <v>47</v>
      </c>
      <c r="H1023" s="1" t="s">
        <v>69</v>
      </c>
      <c r="I1023" s="1" t="s">
        <v>34</v>
      </c>
      <c r="J1023" s="1" t="s">
        <v>131</v>
      </c>
      <c r="K1023" s="1" t="s">
        <v>48</v>
      </c>
      <c r="L1023" s="1" t="s">
        <v>61</v>
      </c>
      <c r="M1023" s="1" t="s">
        <v>50</v>
      </c>
      <c r="N1023" s="1" t="n">
        <v>9999</v>
      </c>
      <c r="O1023" s="1" t="n">
        <v>50</v>
      </c>
      <c r="P1023" s="1" t="n">
        <v>4999.5</v>
      </c>
      <c r="Q1023" s="1" t="n">
        <v>4999.5</v>
      </c>
      <c r="R1023" s="1" t="n">
        <v>899.91</v>
      </c>
      <c r="S1023" s="1" t="n">
        <v>4099.59</v>
      </c>
      <c r="T1023" s="1" t="n">
        <v>1820.68</v>
      </c>
      <c r="U1023" s="1" t="n">
        <v>2278.91</v>
      </c>
      <c r="V1023" s="1" t="n">
        <v>55.59</v>
      </c>
      <c r="W1023" s="1" t="s">
        <v>40</v>
      </c>
      <c r="Y1023" s="1" t="s">
        <v>40</v>
      </c>
      <c r="Z1023" s="1" t="n">
        <v>1</v>
      </c>
    </row>
    <row r="1024" customFormat="false" ht="15" hidden="false" customHeight="true" outlineLevel="0" collapsed="false">
      <c r="A1024" s="1" t="s">
        <v>1757</v>
      </c>
      <c r="B1024" s="1" t="s">
        <v>1128</v>
      </c>
      <c r="C1024" s="1" t="s">
        <v>139</v>
      </c>
      <c r="D1024" s="1" t="s">
        <v>80</v>
      </c>
      <c r="E1024" s="1" t="s">
        <v>81</v>
      </c>
      <c r="F1024" s="1" t="s">
        <v>55</v>
      </c>
      <c r="G1024" s="1" t="s">
        <v>56</v>
      </c>
      <c r="H1024" s="1" t="s">
        <v>57</v>
      </c>
      <c r="I1024" s="1" t="s">
        <v>58</v>
      </c>
      <c r="J1024" s="1" t="s">
        <v>131</v>
      </c>
      <c r="K1024" s="1" t="s">
        <v>104</v>
      </c>
      <c r="L1024" s="1" t="s">
        <v>49</v>
      </c>
      <c r="M1024" s="1" t="s">
        <v>50</v>
      </c>
      <c r="N1024" s="1" t="n">
        <v>12999</v>
      </c>
      <c r="O1024" s="1" t="n">
        <v>40</v>
      </c>
      <c r="P1024" s="1" t="n">
        <v>5199.6</v>
      </c>
      <c r="Q1024" s="1" t="n">
        <v>7799.4</v>
      </c>
      <c r="R1024" s="1" t="n">
        <v>1403.89</v>
      </c>
      <c r="S1024" s="1" t="n">
        <v>6395.51</v>
      </c>
      <c r="T1024" s="1" t="n">
        <v>3549.9</v>
      </c>
      <c r="U1024" s="1" t="n">
        <v>2845.61</v>
      </c>
      <c r="V1024" s="1" t="n">
        <v>44.49</v>
      </c>
      <c r="W1024" s="1" t="s">
        <v>40</v>
      </c>
      <c r="Y1024" s="1" t="s">
        <v>40</v>
      </c>
      <c r="Z1024" s="1" t="n">
        <v>1</v>
      </c>
    </row>
    <row r="1025" customFormat="false" ht="15" hidden="false" customHeight="true" outlineLevel="0" collapsed="false">
      <c r="A1025" s="1" t="s">
        <v>1758</v>
      </c>
      <c r="B1025" s="1" t="s">
        <v>1275</v>
      </c>
      <c r="C1025" s="1" t="s">
        <v>43</v>
      </c>
      <c r="D1025" s="1" t="s">
        <v>168</v>
      </c>
      <c r="E1025" s="1" t="s">
        <v>328</v>
      </c>
      <c r="F1025" s="1" t="s">
        <v>102</v>
      </c>
      <c r="G1025" s="1" t="s">
        <v>103</v>
      </c>
      <c r="H1025" s="1" t="s">
        <v>33</v>
      </c>
      <c r="I1025" s="1" t="s">
        <v>34</v>
      </c>
      <c r="J1025" s="1" t="s">
        <v>35</v>
      </c>
      <c r="K1025" s="1" t="s">
        <v>104</v>
      </c>
      <c r="L1025" s="1" t="s">
        <v>113</v>
      </c>
      <c r="M1025" s="1" t="s">
        <v>62</v>
      </c>
      <c r="N1025" s="1" t="n">
        <v>8999</v>
      </c>
      <c r="O1025" s="1" t="n">
        <v>15</v>
      </c>
      <c r="P1025" s="1" t="n">
        <v>1349.85</v>
      </c>
      <c r="Q1025" s="1" t="n">
        <v>7649.15</v>
      </c>
      <c r="R1025" s="1" t="n">
        <v>1376.85</v>
      </c>
      <c r="S1025" s="1" t="n">
        <v>6272.3</v>
      </c>
      <c r="T1025" s="1" t="n">
        <v>3068.98</v>
      </c>
      <c r="U1025" s="1" t="n">
        <v>3203.32</v>
      </c>
      <c r="V1025" s="1" t="n">
        <v>51.07</v>
      </c>
      <c r="W1025" s="1" t="s">
        <v>40</v>
      </c>
      <c r="Y1025" s="1" t="s">
        <v>40</v>
      </c>
      <c r="Z1025" s="1" t="n">
        <v>3</v>
      </c>
    </row>
    <row r="1026" customFormat="false" ht="15" hidden="false" customHeight="true" outlineLevel="0" collapsed="false">
      <c r="A1026" s="1" t="s">
        <v>1759</v>
      </c>
      <c r="B1026" s="1" t="s">
        <v>1040</v>
      </c>
      <c r="C1026" s="1" t="s">
        <v>74</v>
      </c>
      <c r="D1026" s="1" t="s">
        <v>29</v>
      </c>
      <c r="E1026" s="1" t="s">
        <v>305</v>
      </c>
      <c r="F1026" s="1" t="s">
        <v>211</v>
      </c>
      <c r="G1026" s="1" t="s">
        <v>56</v>
      </c>
      <c r="H1026" s="1" t="s">
        <v>69</v>
      </c>
      <c r="I1026" s="1" t="s">
        <v>83</v>
      </c>
      <c r="J1026" s="1" t="s">
        <v>59</v>
      </c>
      <c r="K1026" s="1" t="s">
        <v>36</v>
      </c>
      <c r="L1026" s="1" t="s">
        <v>49</v>
      </c>
      <c r="M1026" s="1" t="s">
        <v>62</v>
      </c>
      <c r="N1026" s="1" t="n">
        <v>24999</v>
      </c>
      <c r="O1026" s="1" t="n">
        <v>40</v>
      </c>
      <c r="P1026" s="1" t="n">
        <v>9999.6</v>
      </c>
      <c r="Q1026" s="1" t="n">
        <v>14999.4</v>
      </c>
      <c r="R1026" s="1" t="n">
        <v>2699.89</v>
      </c>
      <c r="S1026" s="1" t="n">
        <v>12299.51</v>
      </c>
      <c r="T1026" s="1" t="n">
        <v>5995.8</v>
      </c>
      <c r="U1026" s="1" t="n">
        <v>6303.71</v>
      </c>
      <c r="V1026" s="1" t="n">
        <v>51.25</v>
      </c>
      <c r="W1026" s="1" t="s">
        <v>39</v>
      </c>
      <c r="X1026" s="1" t="n">
        <v>4</v>
      </c>
      <c r="Y1026" s="1" t="s">
        <v>40</v>
      </c>
      <c r="Z1026" s="1" t="n">
        <v>0</v>
      </c>
    </row>
    <row r="1027" customFormat="false" ht="15" hidden="false" customHeight="true" outlineLevel="0" collapsed="false">
      <c r="A1027" s="1" t="s">
        <v>1760</v>
      </c>
      <c r="B1027" s="1" t="s">
        <v>1580</v>
      </c>
      <c r="C1027" s="1" t="s">
        <v>128</v>
      </c>
      <c r="D1027" s="1" t="s">
        <v>44</v>
      </c>
      <c r="E1027" s="1" t="s">
        <v>66</v>
      </c>
      <c r="F1027" s="1" t="s">
        <v>156</v>
      </c>
      <c r="G1027" s="1" t="s">
        <v>68</v>
      </c>
      <c r="H1027" s="1" t="s">
        <v>57</v>
      </c>
      <c r="I1027" s="1" t="s">
        <v>34</v>
      </c>
      <c r="J1027" s="1" t="s">
        <v>35</v>
      </c>
      <c r="K1027" s="1" t="s">
        <v>71</v>
      </c>
      <c r="L1027" s="1" t="s">
        <v>136</v>
      </c>
      <c r="M1027" s="1" t="s">
        <v>38</v>
      </c>
      <c r="N1027" s="1" t="n">
        <v>12999</v>
      </c>
      <c r="O1027" s="1" t="n">
        <v>20</v>
      </c>
      <c r="P1027" s="1" t="n">
        <v>2599.8</v>
      </c>
      <c r="Q1027" s="1" t="n">
        <v>10399.2</v>
      </c>
      <c r="R1027" s="1" t="n">
        <v>1871.86</v>
      </c>
      <c r="S1027" s="1" t="n">
        <v>8527.34</v>
      </c>
      <c r="T1027" s="1" t="n">
        <v>4130.46</v>
      </c>
      <c r="U1027" s="1" t="n">
        <v>4396.88</v>
      </c>
      <c r="V1027" s="1" t="n">
        <v>51.56</v>
      </c>
      <c r="W1027" s="1" t="s">
        <v>39</v>
      </c>
      <c r="X1027" s="1" t="n">
        <v>3.6</v>
      </c>
      <c r="Y1027" s="1" t="s">
        <v>40</v>
      </c>
      <c r="Z1027" s="1" t="n">
        <v>0</v>
      </c>
    </row>
    <row r="1028" customFormat="false" ht="15" hidden="false" customHeight="true" outlineLevel="0" collapsed="false">
      <c r="A1028" s="1" t="s">
        <v>1761</v>
      </c>
      <c r="B1028" s="1" t="s">
        <v>454</v>
      </c>
      <c r="C1028" s="1" t="s">
        <v>139</v>
      </c>
      <c r="D1028" s="1" t="s">
        <v>123</v>
      </c>
      <c r="E1028" s="1" t="s">
        <v>233</v>
      </c>
      <c r="F1028" s="1" t="s">
        <v>46</v>
      </c>
      <c r="G1028" s="1" t="s">
        <v>47</v>
      </c>
      <c r="H1028" s="1" t="s">
        <v>33</v>
      </c>
      <c r="I1028" s="1" t="s">
        <v>58</v>
      </c>
      <c r="J1028" s="1" t="s">
        <v>70</v>
      </c>
      <c r="K1028" s="1" t="s">
        <v>84</v>
      </c>
      <c r="L1028" s="1" t="s">
        <v>113</v>
      </c>
      <c r="M1028" s="1" t="s">
        <v>50</v>
      </c>
      <c r="N1028" s="1" t="n">
        <v>8999</v>
      </c>
      <c r="O1028" s="1" t="n">
        <v>10</v>
      </c>
      <c r="P1028" s="1" t="n">
        <v>899.9</v>
      </c>
      <c r="Q1028" s="1" t="n">
        <v>8099.1</v>
      </c>
      <c r="R1028" s="1" t="n">
        <v>1457.84</v>
      </c>
      <c r="S1028" s="1" t="n">
        <v>6641.26</v>
      </c>
      <c r="T1028" s="1" t="n">
        <v>2833.92</v>
      </c>
      <c r="U1028" s="1" t="n">
        <v>3807.34</v>
      </c>
      <c r="V1028" s="1" t="n">
        <v>57.33</v>
      </c>
      <c r="W1028" s="1" t="s">
        <v>40</v>
      </c>
      <c r="Y1028" s="1" t="s">
        <v>40</v>
      </c>
      <c r="Z1028" s="1" t="n">
        <v>0</v>
      </c>
    </row>
    <row r="1029" customFormat="false" ht="15" hidden="false" customHeight="true" outlineLevel="0" collapsed="false">
      <c r="A1029" s="1" t="s">
        <v>1762</v>
      </c>
      <c r="B1029" s="1" t="s">
        <v>1763</v>
      </c>
      <c r="C1029" s="1" t="s">
        <v>178</v>
      </c>
      <c r="D1029" s="1" t="s">
        <v>94</v>
      </c>
      <c r="E1029" s="1" t="s">
        <v>95</v>
      </c>
      <c r="F1029" s="1" t="s">
        <v>120</v>
      </c>
      <c r="G1029" s="1" t="s">
        <v>47</v>
      </c>
      <c r="H1029" s="1" t="s">
        <v>57</v>
      </c>
      <c r="I1029" s="1" t="s">
        <v>83</v>
      </c>
      <c r="J1029" s="1" t="s">
        <v>77</v>
      </c>
      <c r="K1029" s="1" t="s">
        <v>60</v>
      </c>
      <c r="L1029" s="1" t="s">
        <v>37</v>
      </c>
      <c r="M1029" s="1" t="s">
        <v>50</v>
      </c>
      <c r="N1029" s="1" t="n">
        <v>6999</v>
      </c>
      <c r="O1029" s="1" t="n">
        <v>0</v>
      </c>
      <c r="P1029" s="1" t="n">
        <v>0</v>
      </c>
      <c r="Q1029" s="1" t="n">
        <v>6999</v>
      </c>
      <c r="R1029" s="1" t="n">
        <v>1259.82</v>
      </c>
      <c r="S1029" s="1" t="n">
        <v>5739.18</v>
      </c>
      <c r="T1029" s="1" t="n">
        <v>2750.65</v>
      </c>
      <c r="U1029" s="1" t="n">
        <v>2988.53</v>
      </c>
      <c r="V1029" s="1" t="n">
        <v>52.07</v>
      </c>
      <c r="W1029" s="1" t="s">
        <v>40</v>
      </c>
      <c r="Y1029" s="1" t="s">
        <v>40</v>
      </c>
      <c r="Z1029" s="1" t="n">
        <v>3</v>
      </c>
    </row>
    <row r="1030" customFormat="false" ht="15" hidden="false" customHeight="true" outlineLevel="0" collapsed="false">
      <c r="A1030" s="1" t="s">
        <v>1764</v>
      </c>
      <c r="B1030" s="1" t="s">
        <v>1350</v>
      </c>
      <c r="C1030" s="1" t="s">
        <v>93</v>
      </c>
      <c r="D1030" s="1" t="s">
        <v>143</v>
      </c>
      <c r="E1030" s="1" t="s">
        <v>144</v>
      </c>
      <c r="F1030" s="1" t="s">
        <v>156</v>
      </c>
      <c r="G1030" s="1" t="s">
        <v>68</v>
      </c>
      <c r="H1030" s="1" t="s">
        <v>57</v>
      </c>
      <c r="I1030" s="1" t="s">
        <v>34</v>
      </c>
      <c r="J1030" s="1" t="s">
        <v>70</v>
      </c>
      <c r="K1030" s="1" t="s">
        <v>104</v>
      </c>
      <c r="L1030" s="1" t="s">
        <v>61</v>
      </c>
      <c r="M1030" s="1" t="s">
        <v>62</v>
      </c>
      <c r="N1030" s="1" t="n">
        <v>12999</v>
      </c>
      <c r="O1030" s="1" t="n">
        <v>0</v>
      </c>
      <c r="P1030" s="1" t="n">
        <v>0</v>
      </c>
      <c r="Q1030" s="1" t="n">
        <v>12999</v>
      </c>
      <c r="R1030" s="1" t="n">
        <v>2339.82</v>
      </c>
      <c r="S1030" s="1" t="n">
        <v>10659.18</v>
      </c>
      <c r="T1030" s="1" t="n">
        <v>5676.67</v>
      </c>
      <c r="U1030" s="1" t="n">
        <v>4982.51</v>
      </c>
      <c r="V1030" s="1" t="n">
        <v>46.74</v>
      </c>
      <c r="W1030" s="1" t="s">
        <v>39</v>
      </c>
      <c r="X1030" s="1" t="n">
        <v>3.6</v>
      </c>
      <c r="Y1030" s="1" t="s">
        <v>40</v>
      </c>
      <c r="Z1030" s="1" t="n">
        <v>0</v>
      </c>
    </row>
    <row r="1031" customFormat="false" ht="15" hidden="false" customHeight="true" outlineLevel="0" collapsed="false">
      <c r="A1031" s="1" t="s">
        <v>1765</v>
      </c>
      <c r="B1031" s="1" t="s">
        <v>1550</v>
      </c>
      <c r="C1031" s="1" t="s">
        <v>139</v>
      </c>
      <c r="D1031" s="1" t="s">
        <v>44</v>
      </c>
      <c r="E1031" s="1" t="s">
        <v>66</v>
      </c>
      <c r="F1031" s="1" t="s">
        <v>184</v>
      </c>
      <c r="G1031" s="1" t="s">
        <v>56</v>
      </c>
      <c r="H1031" s="1" t="s">
        <v>57</v>
      </c>
      <c r="I1031" s="1" t="s">
        <v>34</v>
      </c>
      <c r="J1031" s="1" t="s">
        <v>70</v>
      </c>
      <c r="K1031" s="1" t="s">
        <v>112</v>
      </c>
      <c r="L1031" s="1" t="s">
        <v>61</v>
      </c>
      <c r="M1031" s="1" t="s">
        <v>62</v>
      </c>
      <c r="N1031" s="1" t="n">
        <v>12999</v>
      </c>
      <c r="O1031" s="1" t="n">
        <v>40</v>
      </c>
      <c r="P1031" s="1" t="n">
        <v>5199.6</v>
      </c>
      <c r="Q1031" s="1" t="n">
        <v>7799.4</v>
      </c>
      <c r="R1031" s="1" t="n">
        <v>1403.89</v>
      </c>
      <c r="S1031" s="1" t="n">
        <v>6395.51</v>
      </c>
      <c r="T1031" s="1" t="n">
        <v>3829.73</v>
      </c>
      <c r="U1031" s="1" t="n">
        <v>2565.78</v>
      </c>
      <c r="V1031" s="1" t="n">
        <v>40.12</v>
      </c>
      <c r="W1031" s="1" t="s">
        <v>39</v>
      </c>
      <c r="X1031" s="1" t="n">
        <v>3</v>
      </c>
      <c r="Y1031" s="1" t="s">
        <v>40</v>
      </c>
      <c r="Z1031" s="1" t="n">
        <v>0</v>
      </c>
    </row>
    <row r="1032" customFormat="false" ht="15" hidden="false" customHeight="true" outlineLevel="0" collapsed="false">
      <c r="A1032" s="1" t="s">
        <v>1766</v>
      </c>
      <c r="B1032" s="1" t="s">
        <v>1686</v>
      </c>
      <c r="C1032" s="1" t="s">
        <v>178</v>
      </c>
      <c r="D1032" s="1" t="s">
        <v>168</v>
      </c>
      <c r="E1032" s="1" t="s">
        <v>197</v>
      </c>
      <c r="F1032" s="1" t="s">
        <v>55</v>
      </c>
      <c r="G1032" s="1" t="s">
        <v>56</v>
      </c>
      <c r="H1032" s="1" t="s">
        <v>57</v>
      </c>
      <c r="I1032" s="1" t="s">
        <v>83</v>
      </c>
      <c r="J1032" s="1" t="s">
        <v>35</v>
      </c>
      <c r="K1032" s="1" t="s">
        <v>104</v>
      </c>
      <c r="L1032" s="1" t="s">
        <v>37</v>
      </c>
      <c r="M1032" s="1" t="s">
        <v>50</v>
      </c>
      <c r="N1032" s="1" t="n">
        <v>8499</v>
      </c>
      <c r="O1032" s="1" t="n">
        <v>40</v>
      </c>
      <c r="P1032" s="1" t="n">
        <v>3399.6</v>
      </c>
      <c r="Q1032" s="1" t="n">
        <v>5099.4</v>
      </c>
      <c r="R1032" s="1" t="n">
        <v>917.89</v>
      </c>
      <c r="S1032" s="1" t="n">
        <v>4181.51</v>
      </c>
      <c r="T1032" s="1" t="n">
        <v>2130.37</v>
      </c>
      <c r="U1032" s="1" t="n">
        <v>2051.14</v>
      </c>
      <c r="V1032" s="1" t="n">
        <v>49.05</v>
      </c>
      <c r="W1032" s="1" t="s">
        <v>39</v>
      </c>
      <c r="X1032" s="1" t="n">
        <v>3.7</v>
      </c>
      <c r="Y1032" s="1" t="s">
        <v>40</v>
      </c>
      <c r="Z1032" s="1" t="n">
        <v>1</v>
      </c>
    </row>
    <row r="1033" customFormat="false" ht="15" hidden="false" customHeight="true" outlineLevel="0" collapsed="false">
      <c r="A1033" s="1" t="s">
        <v>1767</v>
      </c>
      <c r="B1033" s="1" t="s">
        <v>174</v>
      </c>
      <c r="C1033" s="1" t="s">
        <v>178</v>
      </c>
      <c r="D1033" s="1" t="s">
        <v>80</v>
      </c>
      <c r="E1033" s="1" t="s">
        <v>193</v>
      </c>
      <c r="F1033" s="1" t="s">
        <v>46</v>
      </c>
      <c r="G1033" s="1" t="s">
        <v>47</v>
      </c>
      <c r="H1033" s="1" t="s">
        <v>33</v>
      </c>
      <c r="I1033" s="1" t="s">
        <v>34</v>
      </c>
      <c r="J1033" s="1" t="s">
        <v>59</v>
      </c>
      <c r="K1033" s="1" t="s">
        <v>84</v>
      </c>
      <c r="L1033" s="1" t="s">
        <v>136</v>
      </c>
      <c r="M1033" s="1" t="s">
        <v>38</v>
      </c>
      <c r="N1033" s="1" t="n">
        <v>8999</v>
      </c>
      <c r="O1033" s="1" t="n">
        <v>20</v>
      </c>
      <c r="P1033" s="1" t="n">
        <v>1799.8</v>
      </c>
      <c r="Q1033" s="1" t="n">
        <v>7199.2</v>
      </c>
      <c r="R1033" s="1" t="n">
        <v>1295.86</v>
      </c>
      <c r="S1033" s="1" t="n">
        <v>5903.34</v>
      </c>
      <c r="T1033" s="1" t="n">
        <v>2763.28</v>
      </c>
      <c r="U1033" s="1" t="n">
        <v>3140.06</v>
      </c>
      <c r="V1033" s="1" t="n">
        <v>53.19</v>
      </c>
      <c r="W1033" s="1" t="s">
        <v>40</v>
      </c>
      <c r="Y1033" s="1" t="s">
        <v>40</v>
      </c>
      <c r="Z1033" s="1" t="n">
        <v>1</v>
      </c>
    </row>
    <row r="1034" customFormat="false" ht="15" hidden="false" customHeight="true" outlineLevel="0" collapsed="false">
      <c r="A1034" s="1" t="s">
        <v>1768</v>
      </c>
      <c r="B1034" s="1" t="s">
        <v>1166</v>
      </c>
      <c r="C1034" s="1" t="s">
        <v>119</v>
      </c>
      <c r="D1034" s="1" t="s">
        <v>143</v>
      </c>
      <c r="E1034" s="1" t="s">
        <v>159</v>
      </c>
      <c r="F1034" s="1" t="s">
        <v>205</v>
      </c>
      <c r="G1034" s="1" t="s">
        <v>56</v>
      </c>
      <c r="H1034" s="1" t="s">
        <v>69</v>
      </c>
      <c r="I1034" s="1" t="s">
        <v>83</v>
      </c>
      <c r="J1034" s="1" t="s">
        <v>35</v>
      </c>
      <c r="K1034" s="1" t="s">
        <v>60</v>
      </c>
      <c r="L1034" s="1" t="s">
        <v>49</v>
      </c>
      <c r="M1034" s="1" t="s">
        <v>50</v>
      </c>
      <c r="N1034" s="1" t="n">
        <v>24999</v>
      </c>
      <c r="O1034" s="1" t="n">
        <v>0</v>
      </c>
      <c r="P1034" s="1" t="n">
        <v>0</v>
      </c>
      <c r="Q1034" s="1" t="n">
        <v>24999</v>
      </c>
      <c r="R1034" s="1" t="n">
        <v>4499.82</v>
      </c>
      <c r="S1034" s="1" t="n">
        <v>20499.18</v>
      </c>
      <c r="T1034" s="1" t="n">
        <v>8215.07</v>
      </c>
      <c r="U1034" s="1" t="n">
        <v>12284.11</v>
      </c>
      <c r="V1034" s="1" t="n">
        <v>59.92</v>
      </c>
      <c r="W1034" s="1" t="s">
        <v>39</v>
      </c>
      <c r="X1034" s="1" t="n">
        <v>3.6</v>
      </c>
      <c r="Y1034" s="1" t="s">
        <v>40</v>
      </c>
      <c r="Z1034" s="1" t="n">
        <v>0</v>
      </c>
    </row>
    <row r="1035" customFormat="false" ht="15" hidden="false" customHeight="true" outlineLevel="0" collapsed="false">
      <c r="A1035" s="1" t="s">
        <v>1769</v>
      </c>
      <c r="B1035" s="1" t="s">
        <v>735</v>
      </c>
      <c r="C1035" s="1" t="s">
        <v>167</v>
      </c>
      <c r="D1035" s="1" t="s">
        <v>29</v>
      </c>
      <c r="E1035" s="1" t="s">
        <v>30</v>
      </c>
      <c r="F1035" s="1" t="s">
        <v>150</v>
      </c>
      <c r="G1035" s="1" t="s">
        <v>32</v>
      </c>
      <c r="H1035" s="1" t="s">
        <v>57</v>
      </c>
      <c r="I1035" s="1" t="s">
        <v>34</v>
      </c>
      <c r="J1035" s="1" t="s">
        <v>59</v>
      </c>
      <c r="K1035" s="1" t="s">
        <v>84</v>
      </c>
      <c r="L1035" s="1" t="s">
        <v>113</v>
      </c>
      <c r="M1035" s="1" t="s">
        <v>50</v>
      </c>
      <c r="N1035" s="1" t="n">
        <v>7999</v>
      </c>
      <c r="O1035" s="1" t="n">
        <v>30</v>
      </c>
      <c r="P1035" s="1" t="n">
        <v>2399.7</v>
      </c>
      <c r="Q1035" s="1" t="n">
        <v>5599.3</v>
      </c>
      <c r="R1035" s="1" t="n">
        <v>1007.87</v>
      </c>
      <c r="S1035" s="1" t="n">
        <v>4591.43</v>
      </c>
      <c r="T1035" s="1" t="n">
        <v>1534.01</v>
      </c>
      <c r="U1035" s="1" t="n">
        <v>3057.42</v>
      </c>
      <c r="V1035" s="1" t="n">
        <v>66.59</v>
      </c>
      <c r="W1035" s="1" t="s">
        <v>39</v>
      </c>
      <c r="X1035" s="1" t="n">
        <v>4.6</v>
      </c>
      <c r="Y1035" s="1" t="s">
        <v>40</v>
      </c>
      <c r="Z1035" s="1" t="n">
        <v>1</v>
      </c>
    </row>
    <row r="1036" customFormat="false" ht="15" hidden="false" customHeight="true" outlineLevel="0" collapsed="false">
      <c r="A1036" s="1" t="s">
        <v>1770</v>
      </c>
      <c r="B1036" s="1" t="s">
        <v>1052</v>
      </c>
      <c r="C1036" s="1" t="s">
        <v>139</v>
      </c>
      <c r="D1036" s="1" t="s">
        <v>123</v>
      </c>
      <c r="E1036" s="1" t="s">
        <v>147</v>
      </c>
      <c r="F1036" s="1" t="s">
        <v>211</v>
      </c>
      <c r="G1036" s="1" t="s">
        <v>56</v>
      </c>
      <c r="H1036" s="1" t="s">
        <v>69</v>
      </c>
      <c r="I1036" s="1" t="s">
        <v>83</v>
      </c>
      <c r="J1036" s="1" t="s">
        <v>77</v>
      </c>
      <c r="K1036" s="1" t="s">
        <v>60</v>
      </c>
      <c r="L1036" s="1" t="s">
        <v>136</v>
      </c>
      <c r="M1036" s="1" t="s">
        <v>38</v>
      </c>
      <c r="N1036" s="1" t="n">
        <v>6999</v>
      </c>
      <c r="O1036" s="1" t="n">
        <v>20</v>
      </c>
      <c r="P1036" s="1" t="n">
        <v>1399.8</v>
      </c>
      <c r="Q1036" s="1" t="n">
        <v>5599.2</v>
      </c>
      <c r="R1036" s="1" t="n">
        <v>1007.86</v>
      </c>
      <c r="S1036" s="1" t="n">
        <v>4591.34</v>
      </c>
      <c r="T1036" s="1" t="n">
        <v>1875.61</v>
      </c>
      <c r="U1036" s="1" t="n">
        <v>2715.73</v>
      </c>
      <c r="V1036" s="1" t="n">
        <v>59.15</v>
      </c>
      <c r="W1036" s="1" t="s">
        <v>40</v>
      </c>
      <c r="Y1036" s="1" t="s">
        <v>40</v>
      </c>
      <c r="Z1036" s="1" t="n">
        <v>1</v>
      </c>
    </row>
    <row r="1037" customFormat="false" ht="15" hidden="false" customHeight="true" outlineLevel="0" collapsed="false">
      <c r="A1037" s="1" t="s">
        <v>1771</v>
      </c>
      <c r="B1037" s="1" t="s">
        <v>1135</v>
      </c>
      <c r="C1037" s="1" t="s">
        <v>119</v>
      </c>
      <c r="D1037" s="1" t="s">
        <v>80</v>
      </c>
      <c r="E1037" s="1" t="s">
        <v>190</v>
      </c>
      <c r="F1037" s="1" t="s">
        <v>269</v>
      </c>
      <c r="G1037" s="1" t="s">
        <v>108</v>
      </c>
      <c r="H1037" s="1" t="s">
        <v>57</v>
      </c>
      <c r="I1037" s="1" t="s">
        <v>83</v>
      </c>
      <c r="J1037" s="1" t="s">
        <v>77</v>
      </c>
      <c r="K1037" s="1" t="s">
        <v>60</v>
      </c>
      <c r="L1037" s="1" t="s">
        <v>85</v>
      </c>
      <c r="M1037" s="1" t="s">
        <v>38</v>
      </c>
      <c r="N1037" s="1" t="n">
        <v>15999</v>
      </c>
      <c r="O1037" s="1" t="n">
        <v>40</v>
      </c>
      <c r="P1037" s="1" t="n">
        <v>6399.6</v>
      </c>
      <c r="Q1037" s="1" t="n">
        <v>9599.4</v>
      </c>
      <c r="R1037" s="1" t="n">
        <v>1727.89</v>
      </c>
      <c r="S1037" s="1" t="n">
        <v>7871.51</v>
      </c>
      <c r="T1037" s="1" t="n">
        <v>4134.78</v>
      </c>
      <c r="U1037" s="1" t="n">
        <v>3736.73</v>
      </c>
      <c r="V1037" s="1" t="n">
        <v>47.47</v>
      </c>
      <c r="W1037" s="1" t="s">
        <v>40</v>
      </c>
      <c r="Y1037" s="1" t="s">
        <v>40</v>
      </c>
      <c r="Z1037" s="1" t="n">
        <v>0</v>
      </c>
    </row>
    <row r="1038" customFormat="false" ht="15" hidden="false" customHeight="true" outlineLevel="0" collapsed="false">
      <c r="A1038" s="1" t="s">
        <v>1772</v>
      </c>
      <c r="B1038" s="1" t="s">
        <v>1773</v>
      </c>
      <c r="C1038" s="1" t="s">
        <v>128</v>
      </c>
      <c r="D1038" s="1" t="s">
        <v>94</v>
      </c>
      <c r="E1038" s="1" t="s">
        <v>135</v>
      </c>
      <c r="F1038" s="1" t="s">
        <v>244</v>
      </c>
      <c r="G1038" s="1" t="s">
        <v>97</v>
      </c>
      <c r="H1038" s="1" t="s">
        <v>57</v>
      </c>
      <c r="I1038" s="1" t="s">
        <v>83</v>
      </c>
      <c r="J1038" s="1" t="s">
        <v>70</v>
      </c>
      <c r="K1038" s="1" t="s">
        <v>104</v>
      </c>
      <c r="L1038" s="1" t="s">
        <v>113</v>
      </c>
      <c r="M1038" s="1" t="s">
        <v>38</v>
      </c>
      <c r="N1038" s="1" t="n">
        <v>9999</v>
      </c>
      <c r="O1038" s="1" t="n">
        <v>10</v>
      </c>
      <c r="P1038" s="1" t="n">
        <v>999.9</v>
      </c>
      <c r="Q1038" s="1" t="n">
        <v>8999.1</v>
      </c>
      <c r="R1038" s="1" t="n">
        <v>1619.84</v>
      </c>
      <c r="S1038" s="1" t="n">
        <v>7379.26</v>
      </c>
      <c r="T1038" s="1" t="n">
        <v>3212.83</v>
      </c>
      <c r="U1038" s="1" t="n">
        <v>4166.43</v>
      </c>
      <c r="V1038" s="1" t="n">
        <v>56.46</v>
      </c>
      <c r="W1038" s="1" t="s">
        <v>39</v>
      </c>
      <c r="X1038" s="1" t="n">
        <v>3.8</v>
      </c>
      <c r="Y1038" s="1" t="s">
        <v>40</v>
      </c>
      <c r="Z1038" s="1" t="n">
        <v>0</v>
      </c>
    </row>
    <row r="1039" customFormat="false" ht="15" hidden="false" customHeight="true" outlineLevel="0" collapsed="false">
      <c r="A1039" s="1" t="s">
        <v>1774</v>
      </c>
      <c r="B1039" s="1" t="s">
        <v>601</v>
      </c>
      <c r="C1039" s="1" t="s">
        <v>119</v>
      </c>
      <c r="D1039" s="1" t="s">
        <v>143</v>
      </c>
      <c r="E1039" s="1" t="s">
        <v>162</v>
      </c>
      <c r="F1039" s="1" t="s">
        <v>55</v>
      </c>
      <c r="G1039" s="1" t="s">
        <v>56</v>
      </c>
      <c r="H1039" s="1" t="s">
        <v>57</v>
      </c>
      <c r="I1039" s="1" t="s">
        <v>83</v>
      </c>
      <c r="J1039" s="1" t="s">
        <v>70</v>
      </c>
      <c r="K1039" s="1" t="s">
        <v>84</v>
      </c>
      <c r="L1039" s="1" t="s">
        <v>85</v>
      </c>
      <c r="M1039" s="1" t="s">
        <v>38</v>
      </c>
      <c r="N1039" s="1" t="n">
        <v>14999</v>
      </c>
      <c r="O1039" s="1" t="n">
        <v>30</v>
      </c>
      <c r="P1039" s="1" t="n">
        <v>4499.7</v>
      </c>
      <c r="Q1039" s="1" t="n">
        <v>10499.3</v>
      </c>
      <c r="R1039" s="1" t="n">
        <v>1889.87</v>
      </c>
      <c r="S1039" s="1" t="n">
        <v>8609.43</v>
      </c>
      <c r="T1039" s="1" t="n">
        <v>4032.35</v>
      </c>
      <c r="U1039" s="1" t="n">
        <v>4577.08</v>
      </c>
      <c r="V1039" s="1" t="n">
        <v>53.16</v>
      </c>
      <c r="W1039" s="1" t="s">
        <v>39</v>
      </c>
      <c r="X1039" s="1" t="n">
        <v>3.6</v>
      </c>
      <c r="Y1039" s="1" t="s">
        <v>40</v>
      </c>
      <c r="Z1039" s="1" t="n">
        <v>0</v>
      </c>
    </row>
    <row r="1040" customFormat="false" ht="15" hidden="false" customHeight="true" outlineLevel="0" collapsed="false">
      <c r="A1040" s="1" t="s">
        <v>1775</v>
      </c>
      <c r="B1040" s="1" t="s">
        <v>307</v>
      </c>
      <c r="C1040" s="1" t="s">
        <v>134</v>
      </c>
      <c r="D1040" s="1" t="s">
        <v>80</v>
      </c>
      <c r="E1040" s="1" t="s">
        <v>81</v>
      </c>
      <c r="F1040" s="1" t="s">
        <v>89</v>
      </c>
      <c r="G1040" s="1" t="s">
        <v>68</v>
      </c>
      <c r="H1040" s="1" t="s">
        <v>33</v>
      </c>
      <c r="I1040" s="1" t="s">
        <v>58</v>
      </c>
      <c r="J1040" s="1" t="s">
        <v>35</v>
      </c>
      <c r="K1040" s="1" t="s">
        <v>36</v>
      </c>
      <c r="L1040" s="1" t="s">
        <v>85</v>
      </c>
      <c r="M1040" s="1" t="s">
        <v>50</v>
      </c>
      <c r="N1040" s="1" t="n">
        <v>12999</v>
      </c>
      <c r="O1040" s="1" t="n">
        <v>0</v>
      </c>
      <c r="P1040" s="1" t="n">
        <v>0</v>
      </c>
      <c r="Q1040" s="1" t="n">
        <v>12999</v>
      </c>
      <c r="R1040" s="1" t="n">
        <v>2339.82</v>
      </c>
      <c r="S1040" s="1" t="n">
        <v>10659.18</v>
      </c>
      <c r="T1040" s="1" t="n">
        <v>5903.77</v>
      </c>
      <c r="U1040" s="1" t="n">
        <v>4755.41</v>
      </c>
      <c r="V1040" s="1" t="n">
        <v>44.61</v>
      </c>
      <c r="W1040" s="1" t="s">
        <v>40</v>
      </c>
      <c r="Y1040" s="1" t="s">
        <v>40</v>
      </c>
      <c r="Z1040" s="1" t="n">
        <v>1</v>
      </c>
    </row>
    <row r="1041" customFormat="false" ht="15" hidden="false" customHeight="true" outlineLevel="0" collapsed="false">
      <c r="A1041" s="1" t="s">
        <v>1776</v>
      </c>
      <c r="B1041" s="1" t="s">
        <v>1275</v>
      </c>
      <c r="C1041" s="1" t="s">
        <v>65</v>
      </c>
      <c r="D1041" s="1" t="s">
        <v>44</v>
      </c>
      <c r="E1041" s="1" t="s">
        <v>221</v>
      </c>
      <c r="F1041" s="1" t="s">
        <v>153</v>
      </c>
      <c r="G1041" s="1" t="s">
        <v>76</v>
      </c>
      <c r="H1041" s="1" t="s">
        <v>33</v>
      </c>
      <c r="I1041" s="1" t="s">
        <v>34</v>
      </c>
      <c r="J1041" s="1" t="s">
        <v>77</v>
      </c>
      <c r="K1041" s="1" t="s">
        <v>48</v>
      </c>
      <c r="L1041" s="1" t="s">
        <v>136</v>
      </c>
      <c r="M1041" s="1" t="s">
        <v>50</v>
      </c>
      <c r="N1041" s="1" t="n">
        <v>16999</v>
      </c>
      <c r="O1041" s="1" t="n">
        <v>30</v>
      </c>
      <c r="P1041" s="1" t="n">
        <v>5099.7</v>
      </c>
      <c r="Q1041" s="1" t="n">
        <v>11899.3</v>
      </c>
      <c r="R1041" s="1" t="n">
        <v>2141.87</v>
      </c>
      <c r="S1041" s="1" t="n">
        <v>9757.43</v>
      </c>
      <c r="T1041" s="1" t="n">
        <v>4761.11</v>
      </c>
      <c r="U1041" s="1" t="n">
        <v>4996.32</v>
      </c>
      <c r="V1041" s="1" t="n">
        <v>51.21</v>
      </c>
      <c r="W1041" s="1" t="s">
        <v>39</v>
      </c>
      <c r="X1041" s="1" t="n">
        <v>3.5</v>
      </c>
      <c r="Y1041" s="1" t="s">
        <v>40</v>
      </c>
      <c r="Z1041" s="1" t="n">
        <v>0</v>
      </c>
    </row>
    <row r="1042" customFormat="false" ht="15" hidden="false" customHeight="true" outlineLevel="0" collapsed="false">
      <c r="A1042" s="1" t="s">
        <v>1777</v>
      </c>
      <c r="B1042" s="1" t="s">
        <v>1458</v>
      </c>
      <c r="C1042" s="1" t="s">
        <v>128</v>
      </c>
      <c r="D1042" s="1" t="s">
        <v>143</v>
      </c>
      <c r="E1042" s="1" t="s">
        <v>144</v>
      </c>
      <c r="F1042" s="1" t="s">
        <v>244</v>
      </c>
      <c r="G1042" s="1" t="s">
        <v>97</v>
      </c>
      <c r="H1042" s="1" t="s">
        <v>57</v>
      </c>
      <c r="I1042" s="1" t="s">
        <v>83</v>
      </c>
      <c r="J1042" s="1" t="s">
        <v>131</v>
      </c>
      <c r="K1042" s="1" t="s">
        <v>36</v>
      </c>
      <c r="L1042" s="1" t="s">
        <v>136</v>
      </c>
      <c r="M1042" s="1" t="s">
        <v>38</v>
      </c>
      <c r="N1042" s="1" t="n">
        <v>12999</v>
      </c>
      <c r="O1042" s="1" t="n">
        <v>30</v>
      </c>
      <c r="P1042" s="1" t="n">
        <v>3899.7</v>
      </c>
      <c r="Q1042" s="1" t="n">
        <v>9099.3</v>
      </c>
      <c r="R1042" s="1" t="n">
        <v>1637.87</v>
      </c>
      <c r="S1042" s="1" t="n">
        <v>7461.43</v>
      </c>
      <c r="T1042" s="1" t="n">
        <v>2842.95</v>
      </c>
      <c r="U1042" s="1" t="n">
        <v>4618.48</v>
      </c>
      <c r="V1042" s="1" t="n">
        <v>61.9</v>
      </c>
      <c r="W1042" s="1" t="s">
        <v>39</v>
      </c>
      <c r="X1042" s="1" t="n">
        <v>4</v>
      </c>
      <c r="Y1042" s="1" t="s">
        <v>40</v>
      </c>
      <c r="Z1042" s="1" t="n">
        <v>0</v>
      </c>
    </row>
    <row r="1043" customFormat="false" ht="15" hidden="false" customHeight="true" outlineLevel="0" collapsed="false">
      <c r="A1043" s="1" t="s">
        <v>1778</v>
      </c>
      <c r="B1043" s="1" t="s">
        <v>215</v>
      </c>
      <c r="C1043" s="1" t="s">
        <v>167</v>
      </c>
      <c r="D1043" s="1" t="s">
        <v>29</v>
      </c>
      <c r="E1043" s="1" t="s">
        <v>305</v>
      </c>
      <c r="F1043" s="1" t="s">
        <v>269</v>
      </c>
      <c r="G1043" s="1" t="s">
        <v>108</v>
      </c>
      <c r="H1043" s="1" t="s">
        <v>57</v>
      </c>
      <c r="I1043" s="1" t="s">
        <v>34</v>
      </c>
      <c r="J1043" s="1" t="s">
        <v>77</v>
      </c>
      <c r="K1043" s="1" t="s">
        <v>36</v>
      </c>
      <c r="L1043" s="1" t="s">
        <v>136</v>
      </c>
      <c r="M1043" s="1" t="s">
        <v>50</v>
      </c>
      <c r="N1043" s="1" t="n">
        <v>24999</v>
      </c>
      <c r="O1043" s="1" t="n">
        <v>10</v>
      </c>
      <c r="P1043" s="1" t="n">
        <v>2499.9</v>
      </c>
      <c r="Q1043" s="1" t="n">
        <v>22499.1</v>
      </c>
      <c r="R1043" s="1" t="n">
        <v>4049.84</v>
      </c>
      <c r="S1043" s="1" t="n">
        <v>18449.26</v>
      </c>
      <c r="T1043" s="1" t="n">
        <v>7920.65</v>
      </c>
      <c r="U1043" s="1" t="n">
        <v>10528.61</v>
      </c>
      <c r="V1043" s="1" t="n">
        <v>57.07</v>
      </c>
      <c r="W1043" s="1" t="s">
        <v>40</v>
      </c>
      <c r="Y1043" s="1" t="s">
        <v>40</v>
      </c>
      <c r="Z1043" s="1" t="n">
        <v>2</v>
      </c>
    </row>
    <row r="1044" customFormat="false" ht="15" hidden="false" customHeight="true" outlineLevel="0" collapsed="false">
      <c r="A1044" s="1" t="s">
        <v>1779</v>
      </c>
      <c r="B1044" s="1" t="s">
        <v>1186</v>
      </c>
      <c r="C1044" s="1" t="s">
        <v>93</v>
      </c>
      <c r="D1044" s="1" t="s">
        <v>53</v>
      </c>
      <c r="E1044" s="1" t="s">
        <v>216</v>
      </c>
      <c r="F1044" s="1" t="s">
        <v>89</v>
      </c>
      <c r="G1044" s="1" t="s">
        <v>68</v>
      </c>
      <c r="H1044" s="1" t="s">
        <v>33</v>
      </c>
      <c r="I1044" s="1" t="s">
        <v>58</v>
      </c>
      <c r="J1044" s="1" t="s">
        <v>70</v>
      </c>
      <c r="K1044" s="1" t="s">
        <v>48</v>
      </c>
      <c r="L1044" s="1" t="s">
        <v>113</v>
      </c>
      <c r="M1044" s="1" t="s">
        <v>38</v>
      </c>
      <c r="N1044" s="1" t="n">
        <v>7499</v>
      </c>
      <c r="O1044" s="1" t="n">
        <v>0</v>
      </c>
      <c r="P1044" s="1" t="n">
        <v>0</v>
      </c>
      <c r="Q1044" s="1" t="n">
        <v>7499</v>
      </c>
      <c r="R1044" s="1" t="n">
        <v>1349.82</v>
      </c>
      <c r="S1044" s="1" t="n">
        <v>6149.18</v>
      </c>
      <c r="T1044" s="1" t="n">
        <v>2608.9</v>
      </c>
      <c r="U1044" s="1" t="n">
        <v>3540.28</v>
      </c>
      <c r="V1044" s="1" t="n">
        <v>57.57</v>
      </c>
      <c r="W1044" s="1" t="s">
        <v>39</v>
      </c>
      <c r="Y1044" s="1" t="s">
        <v>40</v>
      </c>
      <c r="Z1044" s="1" t="n">
        <v>0</v>
      </c>
    </row>
    <row r="1045" customFormat="false" ht="15" hidden="false" customHeight="true" outlineLevel="0" collapsed="false">
      <c r="A1045" s="1" t="s">
        <v>1780</v>
      </c>
      <c r="B1045" s="1" t="s">
        <v>322</v>
      </c>
      <c r="C1045" s="1" t="s">
        <v>74</v>
      </c>
      <c r="D1045" s="1" t="s">
        <v>123</v>
      </c>
      <c r="E1045" s="1" t="s">
        <v>147</v>
      </c>
      <c r="F1045" s="1" t="s">
        <v>140</v>
      </c>
      <c r="G1045" s="1" t="s">
        <v>97</v>
      </c>
      <c r="H1045" s="1" t="s">
        <v>57</v>
      </c>
      <c r="I1045" s="1" t="s">
        <v>34</v>
      </c>
      <c r="J1045" s="1" t="s">
        <v>70</v>
      </c>
      <c r="K1045" s="1" t="s">
        <v>90</v>
      </c>
      <c r="L1045" s="1" t="s">
        <v>61</v>
      </c>
      <c r="M1045" s="1" t="s">
        <v>50</v>
      </c>
      <c r="N1045" s="1" t="n">
        <v>6999</v>
      </c>
      <c r="O1045" s="1" t="n">
        <v>25</v>
      </c>
      <c r="P1045" s="1" t="n">
        <v>1749.75</v>
      </c>
      <c r="Q1045" s="1" t="n">
        <v>5249.25</v>
      </c>
      <c r="R1045" s="1" t="n">
        <v>944.87</v>
      </c>
      <c r="S1045" s="1" t="n">
        <v>4304.38</v>
      </c>
      <c r="T1045" s="1" t="n">
        <v>1800.46</v>
      </c>
      <c r="U1045" s="1" t="n">
        <v>2503.92</v>
      </c>
      <c r="V1045" s="1" t="n">
        <v>58.17</v>
      </c>
      <c r="W1045" s="1" t="s">
        <v>40</v>
      </c>
      <c r="Y1045" s="1" t="s">
        <v>40</v>
      </c>
      <c r="Z1045" s="1" t="n">
        <v>1</v>
      </c>
    </row>
    <row r="1046" customFormat="false" ht="15" hidden="false" customHeight="true" outlineLevel="0" collapsed="false">
      <c r="A1046" s="1" t="s">
        <v>1781</v>
      </c>
      <c r="B1046" s="1" t="s">
        <v>986</v>
      </c>
      <c r="C1046" s="1" t="s">
        <v>88</v>
      </c>
      <c r="D1046" s="1" t="s">
        <v>44</v>
      </c>
      <c r="E1046" s="1" t="s">
        <v>45</v>
      </c>
      <c r="F1046" s="1" t="s">
        <v>96</v>
      </c>
      <c r="G1046" s="1" t="s">
        <v>97</v>
      </c>
      <c r="H1046" s="1" t="s">
        <v>69</v>
      </c>
      <c r="I1046" s="1" t="s">
        <v>34</v>
      </c>
      <c r="J1046" s="1" t="s">
        <v>77</v>
      </c>
      <c r="K1046" s="1" t="s">
        <v>90</v>
      </c>
      <c r="L1046" s="1" t="s">
        <v>113</v>
      </c>
      <c r="M1046" s="1" t="s">
        <v>38</v>
      </c>
      <c r="N1046" s="1" t="n">
        <v>11999</v>
      </c>
      <c r="O1046" s="1" t="n">
        <v>10</v>
      </c>
      <c r="P1046" s="1" t="n">
        <v>1199.9</v>
      </c>
      <c r="Q1046" s="1" t="n">
        <v>10799.1</v>
      </c>
      <c r="R1046" s="1" t="n">
        <v>1943.84</v>
      </c>
      <c r="S1046" s="1" t="n">
        <v>8855.26</v>
      </c>
      <c r="T1046" s="1" t="n">
        <v>3139.33</v>
      </c>
      <c r="U1046" s="1" t="n">
        <v>5715.93</v>
      </c>
      <c r="V1046" s="1" t="n">
        <v>64.55</v>
      </c>
      <c r="W1046" s="1" t="s">
        <v>40</v>
      </c>
      <c r="Y1046" s="1" t="s">
        <v>40</v>
      </c>
      <c r="Z1046" s="1" t="n">
        <v>0</v>
      </c>
    </row>
    <row r="1047" customFormat="false" ht="15" hidden="false" customHeight="true" outlineLevel="0" collapsed="false">
      <c r="A1047" s="1" t="s">
        <v>1782</v>
      </c>
      <c r="B1047" s="1" t="s">
        <v>545</v>
      </c>
      <c r="C1047" s="1" t="s">
        <v>119</v>
      </c>
      <c r="D1047" s="1" t="s">
        <v>123</v>
      </c>
      <c r="E1047" s="1" t="s">
        <v>147</v>
      </c>
      <c r="F1047" s="1" t="s">
        <v>102</v>
      </c>
      <c r="G1047" s="1" t="s">
        <v>103</v>
      </c>
      <c r="H1047" s="1" t="s">
        <v>33</v>
      </c>
      <c r="I1047" s="1" t="s">
        <v>83</v>
      </c>
      <c r="J1047" s="1" t="s">
        <v>77</v>
      </c>
      <c r="K1047" s="1" t="s">
        <v>36</v>
      </c>
      <c r="L1047" s="1" t="s">
        <v>49</v>
      </c>
      <c r="M1047" s="1" t="s">
        <v>50</v>
      </c>
      <c r="N1047" s="1" t="n">
        <v>6999</v>
      </c>
      <c r="O1047" s="1" t="n">
        <v>40</v>
      </c>
      <c r="P1047" s="1" t="n">
        <v>2799.6</v>
      </c>
      <c r="Q1047" s="1" t="n">
        <v>4199.4</v>
      </c>
      <c r="R1047" s="1" t="n">
        <v>755.89</v>
      </c>
      <c r="S1047" s="1" t="n">
        <v>3443.51</v>
      </c>
      <c r="T1047" s="1" t="n">
        <v>1844.52</v>
      </c>
      <c r="U1047" s="1" t="n">
        <v>1598.99</v>
      </c>
      <c r="V1047" s="1" t="n">
        <v>46.43</v>
      </c>
      <c r="W1047" s="1" t="s">
        <v>40</v>
      </c>
      <c r="Y1047" s="1" t="s">
        <v>39</v>
      </c>
      <c r="Z1047" s="1" t="n">
        <v>2</v>
      </c>
    </row>
    <row r="1048" customFormat="false" ht="15" hidden="false" customHeight="true" outlineLevel="0" collapsed="false">
      <c r="A1048" s="1" t="s">
        <v>1783</v>
      </c>
      <c r="B1048" s="1" t="s">
        <v>515</v>
      </c>
      <c r="C1048" s="1" t="s">
        <v>74</v>
      </c>
      <c r="D1048" s="1" t="s">
        <v>143</v>
      </c>
      <c r="E1048" s="1" t="s">
        <v>162</v>
      </c>
      <c r="F1048" s="1" t="s">
        <v>140</v>
      </c>
      <c r="G1048" s="1" t="s">
        <v>97</v>
      </c>
      <c r="H1048" s="1" t="s">
        <v>57</v>
      </c>
      <c r="I1048" s="1" t="s">
        <v>83</v>
      </c>
      <c r="J1048" s="1" t="s">
        <v>35</v>
      </c>
      <c r="K1048" s="1" t="s">
        <v>71</v>
      </c>
      <c r="L1048" s="1" t="s">
        <v>49</v>
      </c>
      <c r="M1048" s="1" t="s">
        <v>38</v>
      </c>
      <c r="N1048" s="1" t="n">
        <v>14999</v>
      </c>
      <c r="O1048" s="1" t="n">
        <v>30</v>
      </c>
      <c r="P1048" s="1" t="n">
        <v>4499.7</v>
      </c>
      <c r="Q1048" s="1" t="n">
        <v>10499.3</v>
      </c>
      <c r="R1048" s="1" t="n">
        <v>1889.87</v>
      </c>
      <c r="S1048" s="1" t="n">
        <v>8609.43</v>
      </c>
      <c r="T1048" s="1" t="n">
        <v>3444.2</v>
      </c>
      <c r="U1048" s="1" t="n">
        <v>5165.23</v>
      </c>
      <c r="V1048" s="1" t="n">
        <v>60</v>
      </c>
      <c r="W1048" s="1" t="s">
        <v>39</v>
      </c>
      <c r="X1048" s="1" t="n">
        <v>2.7</v>
      </c>
      <c r="Y1048" s="1" t="s">
        <v>40</v>
      </c>
      <c r="Z1048" s="1" t="n">
        <v>0</v>
      </c>
    </row>
    <row r="1049" customFormat="false" ht="15" hidden="false" customHeight="true" outlineLevel="0" collapsed="false">
      <c r="A1049" s="1" t="s">
        <v>1784</v>
      </c>
      <c r="B1049" s="1" t="s">
        <v>1785</v>
      </c>
      <c r="C1049" s="1" t="s">
        <v>93</v>
      </c>
      <c r="D1049" s="1" t="s">
        <v>168</v>
      </c>
      <c r="E1049" s="1" t="s">
        <v>328</v>
      </c>
      <c r="F1049" s="1" t="s">
        <v>82</v>
      </c>
      <c r="G1049" s="1" t="s">
        <v>56</v>
      </c>
      <c r="H1049" s="1" t="s">
        <v>69</v>
      </c>
      <c r="I1049" s="1" t="s">
        <v>83</v>
      </c>
      <c r="J1049" s="1" t="s">
        <v>35</v>
      </c>
      <c r="K1049" s="1" t="s">
        <v>84</v>
      </c>
      <c r="L1049" s="1" t="s">
        <v>113</v>
      </c>
      <c r="M1049" s="1" t="s">
        <v>50</v>
      </c>
      <c r="N1049" s="1" t="n">
        <v>8999</v>
      </c>
      <c r="O1049" s="1" t="n">
        <v>20</v>
      </c>
      <c r="P1049" s="1" t="n">
        <v>1799.8</v>
      </c>
      <c r="Q1049" s="1" t="n">
        <v>7199.2</v>
      </c>
      <c r="R1049" s="1" t="n">
        <v>1295.86</v>
      </c>
      <c r="S1049" s="1" t="n">
        <v>5903.34</v>
      </c>
      <c r="T1049" s="1" t="n">
        <v>2351.6</v>
      </c>
      <c r="U1049" s="1" t="n">
        <v>3551.74</v>
      </c>
      <c r="V1049" s="1" t="n">
        <v>60.16</v>
      </c>
      <c r="W1049" s="1" t="s">
        <v>39</v>
      </c>
      <c r="X1049" s="1" t="n">
        <v>4.4</v>
      </c>
      <c r="Y1049" s="1" t="s">
        <v>39</v>
      </c>
      <c r="Z1049" s="1" t="n">
        <v>1</v>
      </c>
    </row>
    <row r="1050" customFormat="false" ht="15" hidden="false" customHeight="true" outlineLevel="0" collapsed="false">
      <c r="A1050" s="1" t="s">
        <v>1786</v>
      </c>
      <c r="B1050" s="1" t="s">
        <v>1688</v>
      </c>
      <c r="C1050" s="1" t="s">
        <v>100</v>
      </c>
      <c r="D1050" s="1" t="s">
        <v>53</v>
      </c>
      <c r="E1050" s="1" t="s">
        <v>116</v>
      </c>
      <c r="F1050" s="1" t="s">
        <v>244</v>
      </c>
      <c r="G1050" s="1" t="s">
        <v>97</v>
      </c>
      <c r="H1050" s="1" t="s">
        <v>57</v>
      </c>
      <c r="I1050" s="1" t="s">
        <v>34</v>
      </c>
      <c r="J1050" s="1" t="s">
        <v>35</v>
      </c>
      <c r="K1050" s="1" t="s">
        <v>60</v>
      </c>
      <c r="L1050" s="1" t="s">
        <v>85</v>
      </c>
      <c r="M1050" s="1" t="s">
        <v>62</v>
      </c>
      <c r="N1050" s="1" t="n">
        <v>9999</v>
      </c>
      <c r="O1050" s="1" t="n">
        <v>0</v>
      </c>
      <c r="P1050" s="1" t="n">
        <v>0</v>
      </c>
      <c r="Q1050" s="1" t="n">
        <v>9999</v>
      </c>
      <c r="R1050" s="1" t="n">
        <v>1799.82</v>
      </c>
      <c r="S1050" s="1" t="n">
        <v>8199.18</v>
      </c>
      <c r="T1050" s="1" t="n">
        <v>4123.29</v>
      </c>
      <c r="U1050" s="1" t="n">
        <v>4075.89</v>
      </c>
      <c r="V1050" s="1" t="n">
        <v>49.71</v>
      </c>
      <c r="W1050" s="1" t="s">
        <v>40</v>
      </c>
      <c r="Y1050" s="1" t="s">
        <v>40</v>
      </c>
      <c r="Z1050" s="1" t="n">
        <v>0</v>
      </c>
    </row>
    <row r="1051" customFormat="false" ht="15" hidden="false" customHeight="true" outlineLevel="0" collapsed="false">
      <c r="A1051" s="1" t="s">
        <v>1787</v>
      </c>
      <c r="B1051" s="1" t="s">
        <v>1788</v>
      </c>
      <c r="C1051" s="1" t="s">
        <v>100</v>
      </c>
      <c r="D1051" s="1" t="s">
        <v>80</v>
      </c>
      <c r="E1051" s="1" t="s">
        <v>81</v>
      </c>
      <c r="F1051" s="1" t="s">
        <v>211</v>
      </c>
      <c r="G1051" s="1" t="s">
        <v>56</v>
      </c>
      <c r="H1051" s="1" t="s">
        <v>69</v>
      </c>
      <c r="I1051" s="1" t="s">
        <v>58</v>
      </c>
      <c r="J1051" s="1" t="s">
        <v>77</v>
      </c>
      <c r="K1051" s="1" t="s">
        <v>104</v>
      </c>
      <c r="L1051" s="1" t="s">
        <v>49</v>
      </c>
      <c r="M1051" s="1" t="s">
        <v>62</v>
      </c>
      <c r="N1051" s="1" t="n">
        <v>12999</v>
      </c>
      <c r="O1051" s="1" t="n">
        <v>10</v>
      </c>
      <c r="P1051" s="1" t="n">
        <v>1299.9</v>
      </c>
      <c r="Q1051" s="1" t="n">
        <v>11699.1</v>
      </c>
      <c r="R1051" s="1" t="n">
        <v>2105.84</v>
      </c>
      <c r="S1051" s="1" t="n">
        <v>9593.26</v>
      </c>
      <c r="T1051" s="1" t="n">
        <v>3889.1</v>
      </c>
      <c r="U1051" s="1" t="n">
        <v>5704.16</v>
      </c>
      <c r="V1051" s="1" t="n">
        <v>59.46</v>
      </c>
      <c r="W1051" s="1" t="s">
        <v>40</v>
      </c>
      <c r="Y1051" s="1" t="s">
        <v>40</v>
      </c>
      <c r="Z1051" s="1" t="n">
        <v>1</v>
      </c>
    </row>
    <row r="1052" customFormat="false" ht="15" hidden="false" customHeight="true" outlineLevel="0" collapsed="false">
      <c r="A1052" s="1" t="s">
        <v>1789</v>
      </c>
      <c r="B1052" s="1" t="s">
        <v>815</v>
      </c>
      <c r="C1052" s="1" t="s">
        <v>119</v>
      </c>
      <c r="D1052" s="1" t="s">
        <v>44</v>
      </c>
      <c r="E1052" s="1" t="s">
        <v>221</v>
      </c>
      <c r="F1052" s="1" t="s">
        <v>75</v>
      </c>
      <c r="G1052" s="1" t="s">
        <v>76</v>
      </c>
      <c r="H1052" s="1" t="s">
        <v>69</v>
      </c>
      <c r="I1052" s="1" t="s">
        <v>34</v>
      </c>
      <c r="J1052" s="1" t="s">
        <v>70</v>
      </c>
      <c r="K1052" s="1" t="s">
        <v>48</v>
      </c>
      <c r="L1052" s="1" t="s">
        <v>61</v>
      </c>
      <c r="M1052" s="1" t="s">
        <v>50</v>
      </c>
      <c r="N1052" s="1" t="n">
        <v>16999</v>
      </c>
      <c r="O1052" s="1" t="n">
        <v>0</v>
      </c>
      <c r="P1052" s="1" t="n">
        <v>0</v>
      </c>
      <c r="Q1052" s="1" t="n">
        <v>16999</v>
      </c>
      <c r="R1052" s="1" t="n">
        <v>3059.82</v>
      </c>
      <c r="S1052" s="1" t="n">
        <v>13939.18</v>
      </c>
      <c r="T1052" s="1" t="n">
        <v>5328.26</v>
      </c>
      <c r="U1052" s="1" t="n">
        <v>8610.92</v>
      </c>
      <c r="V1052" s="1" t="n">
        <v>61.77</v>
      </c>
      <c r="W1052" s="1" t="s">
        <v>39</v>
      </c>
      <c r="X1052" s="1" t="n">
        <v>3.8</v>
      </c>
      <c r="Y1052" s="1" t="s">
        <v>40</v>
      </c>
      <c r="Z1052" s="1" t="n">
        <v>1</v>
      </c>
    </row>
    <row r="1053" customFormat="false" ht="15" hidden="false" customHeight="true" outlineLevel="0" collapsed="false">
      <c r="A1053" s="1" t="s">
        <v>1790</v>
      </c>
      <c r="B1053" s="1" t="s">
        <v>1791</v>
      </c>
      <c r="C1053" s="1" t="s">
        <v>119</v>
      </c>
      <c r="D1053" s="1" t="s">
        <v>168</v>
      </c>
      <c r="E1053" s="1" t="s">
        <v>197</v>
      </c>
      <c r="F1053" s="1" t="s">
        <v>89</v>
      </c>
      <c r="G1053" s="1" t="s">
        <v>68</v>
      </c>
      <c r="H1053" s="1" t="s">
        <v>33</v>
      </c>
      <c r="I1053" s="1" t="s">
        <v>83</v>
      </c>
      <c r="J1053" s="1" t="s">
        <v>35</v>
      </c>
      <c r="K1053" s="1" t="s">
        <v>71</v>
      </c>
      <c r="L1053" s="1" t="s">
        <v>85</v>
      </c>
      <c r="M1053" s="1" t="s">
        <v>38</v>
      </c>
      <c r="N1053" s="1" t="n">
        <v>8499</v>
      </c>
      <c r="O1053" s="1" t="n">
        <v>0</v>
      </c>
      <c r="P1053" s="1" t="n">
        <v>0</v>
      </c>
      <c r="Q1053" s="1" t="n">
        <v>8499</v>
      </c>
      <c r="R1053" s="1" t="n">
        <v>1529.82</v>
      </c>
      <c r="S1053" s="1" t="n">
        <v>6969.18</v>
      </c>
      <c r="T1053" s="1" t="n">
        <v>3750.46</v>
      </c>
      <c r="U1053" s="1" t="n">
        <v>3218.72</v>
      </c>
      <c r="V1053" s="1" t="n">
        <v>46.19</v>
      </c>
      <c r="W1053" s="1" t="s">
        <v>39</v>
      </c>
      <c r="X1053" s="1" t="n">
        <v>2.8</v>
      </c>
      <c r="Y1053" s="1" t="s">
        <v>40</v>
      </c>
      <c r="Z1053" s="1" t="n">
        <v>0</v>
      </c>
    </row>
    <row r="1054" customFormat="false" ht="15" hidden="false" customHeight="true" outlineLevel="0" collapsed="false">
      <c r="A1054" s="1" t="s">
        <v>1792</v>
      </c>
      <c r="B1054" s="1" t="s">
        <v>636</v>
      </c>
      <c r="C1054" s="1" t="s">
        <v>74</v>
      </c>
      <c r="D1054" s="1" t="s">
        <v>44</v>
      </c>
      <c r="E1054" s="1" t="s">
        <v>45</v>
      </c>
      <c r="F1054" s="1" t="s">
        <v>140</v>
      </c>
      <c r="G1054" s="1" t="s">
        <v>97</v>
      </c>
      <c r="H1054" s="1" t="s">
        <v>57</v>
      </c>
      <c r="I1054" s="1" t="s">
        <v>58</v>
      </c>
      <c r="J1054" s="1" t="s">
        <v>131</v>
      </c>
      <c r="K1054" s="1" t="s">
        <v>60</v>
      </c>
      <c r="L1054" s="1" t="s">
        <v>136</v>
      </c>
      <c r="M1054" s="1" t="s">
        <v>50</v>
      </c>
      <c r="N1054" s="1" t="n">
        <v>11999</v>
      </c>
      <c r="O1054" s="1" t="n">
        <v>0</v>
      </c>
      <c r="P1054" s="1" t="n">
        <v>0</v>
      </c>
      <c r="Q1054" s="1" t="n">
        <v>11999</v>
      </c>
      <c r="R1054" s="1" t="n">
        <v>2159.82</v>
      </c>
      <c r="S1054" s="1" t="n">
        <v>9839.18</v>
      </c>
      <c r="T1054" s="1" t="n">
        <v>4796.89</v>
      </c>
      <c r="U1054" s="1" t="n">
        <v>5042.29</v>
      </c>
      <c r="V1054" s="1" t="n">
        <v>51.25</v>
      </c>
      <c r="W1054" s="1" t="s">
        <v>39</v>
      </c>
      <c r="X1054" s="1" t="n">
        <v>3.5</v>
      </c>
      <c r="Y1054" s="1" t="s">
        <v>40</v>
      </c>
      <c r="Z1054" s="1" t="n">
        <v>0</v>
      </c>
    </row>
    <row r="1055" customFormat="false" ht="15" hidden="false" customHeight="true" outlineLevel="0" collapsed="false">
      <c r="A1055" s="1" t="s">
        <v>1793</v>
      </c>
      <c r="B1055" s="1" t="s">
        <v>1719</v>
      </c>
      <c r="C1055" s="1" t="s">
        <v>264</v>
      </c>
      <c r="D1055" s="1" t="s">
        <v>53</v>
      </c>
      <c r="E1055" s="1" t="s">
        <v>216</v>
      </c>
      <c r="F1055" s="1" t="s">
        <v>31</v>
      </c>
      <c r="G1055" s="1" t="s">
        <v>32</v>
      </c>
      <c r="H1055" s="1" t="s">
        <v>33</v>
      </c>
      <c r="I1055" s="1" t="s">
        <v>34</v>
      </c>
      <c r="J1055" s="1" t="s">
        <v>70</v>
      </c>
      <c r="K1055" s="1" t="s">
        <v>104</v>
      </c>
      <c r="L1055" s="1" t="s">
        <v>61</v>
      </c>
      <c r="M1055" s="1" t="s">
        <v>38</v>
      </c>
      <c r="N1055" s="1" t="n">
        <v>7499</v>
      </c>
      <c r="O1055" s="1" t="n">
        <v>10</v>
      </c>
      <c r="P1055" s="1" t="n">
        <v>749.9</v>
      </c>
      <c r="Q1055" s="1" t="n">
        <v>6749.1</v>
      </c>
      <c r="R1055" s="1" t="n">
        <v>1214.84</v>
      </c>
      <c r="S1055" s="1" t="n">
        <v>5534.26</v>
      </c>
      <c r="T1055" s="1" t="n">
        <v>2229.72</v>
      </c>
      <c r="U1055" s="1" t="n">
        <v>3304.54</v>
      </c>
      <c r="V1055" s="1" t="n">
        <v>59.71</v>
      </c>
      <c r="W1055" s="1" t="s">
        <v>39</v>
      </c>
      <c r="X1055" s="1" t="n">
        <v>4.7</v>
      </c>
      <c r="Y1055" s="1" t="s">
        <v>40</v>
      </c>
      <c r="Z1055" s="1" t="n">
        <v>0</v>
      </c>
    </row>
    <row r="1056" customFormat="false" ht="15" hidden="false" customHeight="true" outlineLevel="0" collapsed="false">
      <c r="A1056" s="1" t="s">
        <v>1794</v>
      </c>
      <c r="B1056" s="1" t="s">
        <v>1795</v>
      </c>
      <c r="C1056" s="1" t="s">
        <v>134</v>
      </c>
      <c r="D1056" s="1" t="s">
        <v>44</v>
      </c>
      <c r="E1056" s="1" t="s">
        <v>221</v>
      </c>
      <c r="F1056" s="1" t="s">
        <v>184</v>
      </c>
      <c r="G1056" s="1" t="s">
        <v>56</v>
      </c>
      <c r="H1056" s="1" t="s">
        <v>57</v>
      </c>
      <c r="I1056" s="1" t="s">
        <v>34</v>
      </c>
      <c r="J1056" s="1" t="s">
        <v>35</v>
      </c>
      <c r="K1056" s="1" t="s">
        <v>36</v>
      </c>
      <c r="L1056" s="1" t="s">
        <v>61</v>
      </c>
      <c r="M1056" s="1" t="s">
        <v>62</v>
      </c>
      <c r="N1056" s="1" t="n">
        <v>16999</v>
      </c>
      <c r="O1056" s="1" t="n">
        <v>20</v>
      </c>
      <c r="P1056" s="1" t="n">
        <v>3399.8</v>
      </c>
      <c r="Q1056" s="1" t="n">
        <v>13599.2</v>
      </c>
      <c r="R1056" s="1" t="n">
        <v>2447.86</v>
      </c>
      <c r="S1056" s="1" t="n">
        <v>11151.34</v>
      </c>
      <c r="T1056" s="1" t="n">
        <v>5184.68</v>
      </c>
      <c r="U1056" s="1" t="n">
        <v>5966.66</v>
      </c>
      <c r="V1056" s="1" t="n">
        <v>53.51</v>
      </c>
      <c r="W1056" s="1" t="s">
        <v>39</v>
      </c>
      <c r="Y1056" s="1" t="s">
        <v>40</v>
      </c>
      <c r="Z1056" s="1" t="n">
        <v>2</v>
      </c>
    </row>
    <row r="1057" customFormat="false" ht="15" hidden="false" customHeight="true" outlineLevel="0" collapsed="false">
      <c r="A1057" s="1" t="s">
        <v>1796</v>
      </c>
      <c r="B1057" s="1" t="s">
        <v>1797</v>
      </c>
      <c r="C1057" s="1" t="s">
        <v>128</v>
      </c>
      <c r="D1057" s="1" t="s">
        <v>53</v>
      </c>
      <c r="E1057" s="1" t="s">
        <v>116</v>
      </c>
      <c r="F1057" s="1" t="s">
        <v>205</v>
      </c>
      <c r="G1057" s="1" t="s">
        <v>56</v>
      </c>
      <c r="H1057" s="1" t="s">
        <v>69</v>
      </c>
      <c r="I1057" s="1" t="s">
        <v>34</v>
      </c>
      <c r="J1057" s="1" t="s">
        <v>59</v>
      </c>
      <c r="K1057" s="1" t="s">
        <v>90</v>
      </c>
      <c r="L1057" s="1" t="s">
        <v>61</v>
      </c>
      <c r="M1057" s="1" t="s">
        <v>50</v>
      </c>
      <c r="N1057" s="1" t="n">
        <v>9999</v>
      </c>
      <c r="O1057" s="1" t="n">
        <v>20</v>
      </c>
      <c r="P1057" s="1" t="n">
        <v>1999.8</v>
      </c>
      <c r="Q1057" s="1" t="n">
        <v>7999.2</v>
      </c>
      <c r="R1057" s="1" t="n">
        <v>1439.86</v>
      </c>
      <c r="S1057" s="1" t="n">
        <v>6559.34</v>
      </c>
      <c r="T1057" s="1" t="n">
        <v>2346.46</v>
      </c>
      <c r="U1057" s="1" t="n">
        <v>4212.88</v>
      </c>
      <c r="V1057" s="1" t="n">
        <v>64.23</v>
      </c>
      <c r="W1057" s="1" t="s">
        <v>40</v>
      </c>
      <c r="Y1057" s="1" t="s">
        <v>40</v>
      </c>
      <c r="Z1057" s="1" t="n">
        <v>0</v>
      </c>
    </row>
    <row r="1058" customFormat="false" ht="15" hidden="false" customHeight="true" outlineLevel="0" collapsed="false">
      <c r="A1058" s="1" t="s">
        <v>1798</v>
      </c>
      <c r="B1058" s="1" t="s">
        <v>410</v>
      </c>
      <c r="C1058" s="1" t="s">
        <v>264</v>
      </c>
      <c r="D1058" s="1" t="s">
        <v>44</v>
      </c>
      <c r="E1058" s="1" t="s">
        <v>66</v>
      </c>
      <c r="F1058" s="1" t="s">
        <v>75</v>
      </c>
      <c r="G1058" s="1" t="s">
        <v>76</v>
      </c>
      <c r="H1058" s="1" t="s">
        <v>69</v>
      </c>
      <c r="I1058" s="1" t="s">
        <v>83</v>
      </c>
      <c r="J1058" s="1" t="s">
        <v>131</v>
      </c>
      <c r="K1058" s="1" t="s">
        <v>36</v>
      </c>
      <c r="L1058" s="1" t="s">
        <v>49</v>
      </c>
      <c r="M1058" s="1" t="s">
        <v>50</v>
      </c>
      <c r="N1058" s="1" t="n">
        <v>12999</v>
      </c>
      <c r="O1058" s="1" t="n">
        <v>10</v>
      </c>
      <c r="P1058" s="1" t="n">
        <v>1299.9</v>
      </c>
      <c r="Q1058" s="1" t="n">
        <v>11699.1</v>
      </c>
      <c r="R1058" s="1" t="n">
        <v>2105.84</v>
      </c>
      <c r="S1058" s="1" t="n">
        <v>9593.26</v>
      </c>
      <c r="T1058" s="1" t="n">
        <v>4598.06</v>
      </c>
      <c r="U1058" s="1" t="n">
        <v>4995.2</v>
      </c>
      <c r="V1058" s="1" t="n">
        <v>52.07</v>
      </c>
      <c r="W1058" s="1" t="s">
        <v>39</v>
      </c>
      <c r="X1058" s="1" t="n">
        <v>4.8</v>
      </c>
      <c r="Y1058" s="1" t="s">
        <v>40</v>
      </c>
      <c r="Z1058" s="1" t="n">
        <v>1</v>
      </c>
    </row>
    <row r="1059" customFormat="false" ht="15" hidden="false" customHeight="true" outlineLevel="0" collapsed="false">
      <c r="A1059" s="1" t="s">
        <v>1799</v>
      </c>
      <c r="B1059" s="1" t="s">
        <v>1461</v>
      </c>
      <c r="C1059" s="1" t="s">
        <v>249</v>
      </c>
      <c r="D1059" s="1" t="s">
        <v>143</v>
      </c>
      <c r="E1059" s="1" t="s">
        <v>243</v>
      </c>
      <c r="F1059" s="1" t="s">
        <v>46</v>
      </c>
      <c r="G1059" s="1" t="s">
        <v>47</v>
      </c>
      <c r="H1059" s="1" t="s">
        <v>33</v>
      </c>
      <c r="I1059" s="1" t="s">
        <v>58</v>
      </c>
      <c r="J1059" s="1" t="s">
        <v>35</v>
      </c>
      <c r="K1059" s="1" t="s">
        <v>36</v>
      </c>
      <c r="L1059" s="1" t="s">
        <v>49</v>
      </c>
      <c r="M1059" s="1" t="s">
        <v>50</v>
      </c>
      <c r="N1059" s="1" t="n">
        <v>22999</v>
      </c>
      <c r="O1059" s="1" t="n">
        <v>10</v>
      </c>
      <c r="P1059" s="1" t="n">
        <v>2299.9</v>
      </c>
      <c r="Q1059" s="1" t="n">
        <v>20699.1</v>
      </c>
      <c r="R1059" s="1" t="n">
        <v>3725.84</v>
      </c>
      <c r="S1059" s="1" t="n">
        <v>16973.26</v>
      </c>
      <c r="T1059" s="1" t="n">
        <v>7438.88</v>
      </c>
      <c r="U1059" s="1" t="n">
        <v>9534.38</v>
      </c>
      <c r="V1059" s="1" t="n">
        <v>56.17</v>
      </c>
      <c r="W1059" s="1" t="s">
        <v>39</v>
      </c>
      <c r="X1059" s="1" t="n">
        <v>3.6</v>
      </c>
      <c r="Y1059" s="1" t="s">
        <v>40</v>
      </c>
      <c r="Z1059" s="1" t="n">
        <v>0</v>
      </c>
    </row>
    <row r="1060" customFormat="false" ht="15" hidden="false" customHeight="true" outlineLevel="0" collapsed="false">
      <c r="A1060" s="1" t="s">
        <v>1800</v>
      </c>
      <c r="B1060" s="1" t="s">
        <v>438</v>
      </c>
      <c r="C1060" s="1" t="s">
        <v>139</v>
      </c>
      <c r="D1060" s="1" t="s">
        <v>44</v>
      </c>
      <c r="E1060" s="1" t="s">
        <v>66</v>
      </c>
      <c r="F1060" s="1" t="s">
        <v>211</v>
      </c>
      <c r="G1060" s="1" t="s">
        <v>56</v>
      </c>
      <c r="H1060" s="1" t="s">
        <v>69</v>
      </c>
      <c r="I1060" s="1" t="s">
        <v>83</v>
      </c>
      <c r="J1060" s="1" t="s">
        <v>77</v>
      </c>
      <c r="K1060" s="1" t="s">
        <v>60</v>
      </c>
      <c r="L1060" s="1" t="s">
        <v>61</v>
      </c>
      <c r="M1060" s="1" t="s">
        <v>62</v>
      </c>
      <c r="N1060" s="1" t="n">
        <v>12999</v>
      </c>
      <c r="O1060" s="1" t="n">
        <v>20</v>
      </c>
      <c r="P1060" s="1" t="n">
        <v>2599.8</v>
      </c>
      <c r="Q1060" s="1" t="n">
        <v>10399.2</v>
      </c>
      <c r="R1060" s="1" t="n">
        <v>1871.86</v>
      </c>
      <c r="S1060" s="1" t="n">
        <v>8527.34</v>
      </c>
      <c r="T1060" s="1" t="n">
        <v>3179.56</v>
      </c>
      <c r="U1060" s="1" t="n">
        <v>5347.78</v>
      </c>
      <c r="V1060" s="1" t="n">
        <v>62.71</v>
      </c>
      <c r="W1060" s="1" t="s">
        <v>39</v>
      </c>
      <c r="X1060" s="1" t="n">
        <v>3.3</v>
      </c>
      <c r="Y1060" s="1" t="s">
        <v>40</v>
      </c>
      <c r="Z1060" s="1" t="n">
        <v>1</v>
      </c>
    </row>
    <row r="1061" customFormat="false" ht="15" hidden="false" customHeight="true" outlineLevel="0" collapsed="false">
      <c r="A1061" s="1" t="s">
        <v>1801</v>
      </c>
      <c r="B1061" s="1" t="s">
        <v>1802</v>
      </c>
      <c r="C1061" s="1" t="s">
        <v>178</v>
      </c>
      <c r="D1061" s="1" t="s">
        <v>94</v>
      </c>
      <c r="E1061" s="1" t="s">
        <v>95</v>
      </c>
      <c r="F1061" s="1" t="s">
        <v>107</v>
      </c>
      <c r="G1061" s="1" t="s">
        <v>108</v>
      </c>
      <c r="H1061" s="1" t="s">
        <v>33</v>
      </c>
      <c r="I1061" s="1" t="s">
        <v>58</v>
      </c>
      <c r="J1061" s="1" t="s">
        <v>77</v>
      </c>
      <c r="K1061" s="1" t="s">
        <v>90</v>
      </c>
      <c r="L1061" s="1" t="s">
        <v>49</v>
      </c>
      <c r="M1061" s="1" t="s">
        <v>50</v>
      </c>
      <c r="N1061" s="1" t="n">
        <v>6999</v>
      </c>
      <c r="O1061" s="1" t="n">
        <v>0</v>
      </c>
      <c r="P1061" s="1" t="n">
        <v>0</v>
      </c>
      <c r="Q1061" s="1" t="n">
        <v>6999</v>
      </c>
      <c r="R1061" s="1" t="n">
        <v>1259.82</v>
      </c>
      <c r="S1061" s="1" t="n">
        <v>5739.18</v>
      </c>
      <c r="T1061" s="1" t="n">
        <v>2077.23</v>
      </c>
      <c r="U1061" s="1" t="n">
        <v>3661.95</v>
      </c>
      <c r="V1061" s="1" t="n">
        <v>63.81</v>
      </c>
      <c r="W1061" s="1" t="s">
        <v>40</v>
      </c>
      <c r="Y1061" s="1" t="s">
        <v>40</v>
      </c>
      <c r="Z1061" s="1" t="n">
        <v>0</v>
      </c>
    </row>
    <row r="1062" customFormat="false" ht="15" hidden="false" customHeight="true" outlineLevel="0" collapsed="false">
      <c r="A1062" s="1" t="s">
        <v>1803</v>
      </c>
      <c r="B1062" s="1" t="s">
        <v>438</v>
      </c>
      <c r="C1062" s="1" t="s">
        <v>88</v>
      </c>
      <c r="D1062" s="1" t="s">
        <v>29</v>
      </c>
      <c r="E1062" s="1" t="s">
        <v>305</v>
      </c>
      <c r="F1062" s="1" t="s">
        <v>153</v>
      </c>
      <c r="G1062" s="1" t="s">
        <v>76</v>
      </c>
      <c r="H1062" s="1" t="s">
        <v>33</v>
      </c>
      <c r="I1062" s="1" t="s">
        <v>34</v>
      </c>
      <c r="J1062" s="1" t="s">
        <v>59</v>
      </c>
      <c r="K1062" s="1" t="s">
        <v>90</v>
      </c>
      <c r="L1062" s="1" t="s">
        <v>136</v>
      </c>
      <c r="M1062" s="1" t="s">
        <v>38</v>
      </c>
      <c r="N1062" s="1" t="n">
        <v>24999</v>
      </c>
      <c r="O1062" s="1" t="n">
        <v>40</v>
      </c>
      <c r="P1062" s="1" t="n">
        <v>9999.6</v>
      </c>
      <c r="Q1062" s="1" t="n">
        <v>14999.4</v>
      </c>
      <c r="R1062" s="1" t="n">
        <v>2699.89</v>
      </c>
      <c r="S1062" s="1" t="n">
        <v>12299.51</v>
      </c>
      <c r="T1062" s="1" t="n">
        <v>6957.8</v>
      </c>
      <c r="U1062" s="1" t="n">
        <v>5341.71</v>
      </c>
      <c r="V1062" s="1" t="n">
        <v>43.43</v>
      </c>
      <c r="W1062" s="1" t="s">
        <v>39</v>
      </c>
      <c r="X1062" s="1" t="n">
        <v>4.3</v>
      </c>
      <c r="Y1062" s="1" t="s">
        <v>39</v>
      </c>
      <c r="Z1062" s="1" t="n">
        <v>1</v>
      </c>
    </row>
    <row r="1063" customFormat="false" ht="15" hidden="false" customHeight="true" outlineLevel="0" collapsed="false">
      <c r="A1063" s="1" t="s">
        <v>1804</v>
      </c>
      <c r="B1063" s="1" t="s">
        <v>1688</v>
      </c>
      <c r="C1063" s="1" t="s">
        <v>28</v>
      </c>
      <c r="D1063" s="1" t="s">
        <v>94</v>
      </c>
      <c r="E1063" s="1" t="s">
        <v>101</v>
      </c>
      <c r="F1063" s="1" t="s">
        <v>75</v>
      </c>
      <c r="G1063" s="1" t="s">
        <v>76</v>
      </c>
      <c r="H1063" s="1" t="s">
        <v>69</v>
      </c>
      <c r="I1063" s="1" t="s">
        <v>58</v>
      </c>
      <c r="J1063" s="1" t="s">
        <v>131</v>
      </c>
      <c r="K1063" s="1" t="s">
        <v>90</v>
      </c>
      <c r="L1063" s="1" t="s">
        <v>61</v>
      </c>
      <c r="M1063" s="1" t="s">
        <v>50</v>
      </c>
      <c r="N1063" s="1" t="n">
        <v>14999</v>
      </c>
      <c r="O1063" s="1" t="n">
        <v>0</v>
      </c>
      <c r="P1063" s="1" t="n">
        <v>0</v>
      </c>
      <c r="Q1063" s="1" t="n">
        <v>14999</v>
      </c>
      <c r="R1063" s="1" t="n">
        <v>2699.82</v>
      </c>
      <c r="S1063" s="1" t="n">
        <v>12299.18</v>
      </c>
      <c r="T1063" s="1" t="n">
        <v>5467.79</v>
      </c>
      <c r="U1063" s="1" t="n">
        <v>6831.39</v>
      </c>
      <c r="V1063" s="1" t="n">
        <v>55.54</v>
      </c>
      <c r="W1063" s="1" t="s">
        <v>39</v>
      </c>
      <c r="X1063" s="1" t="n">
        <v>4</v>
      </c>
      <c r="Y1063" s="1" t="s">
        <v>40</v>
      </c>
      <c r="Z1063" s="1" t="n">
        <v>1</v>
      </c>
    </row>
    <row r="1064" customFormat="false" ht="15" hidden="false" customHeight="true" outlineLevel="0" collapsed="false">
      <c r="A1064" s="1" t="s">
        <v>1805</v>
      </c>
      <c r="B1064" s="1" t="s">
        <v>815</v>
      </c>
      <c r="C1064" s="1" t="s">
        <v>88</v>
      </c>
      <c r="D1064" s="1" t="s">
        <v>123</v>
      </c>
      <c r="E1064" s="1" t="s">
        <v>233</v>
      </c>
      <c r="F1064" s="1" t="s">
        <v>194</v>
      </c>
      <c r="G1064" s="1" t="s">
        <v>103</v>
      </c>
      <c r="H1064" s="1" t="s">
        <v>69</v>
      </c>
      <c r="I1064" s="1" t="s">
        <v>58</v>
      </c>
      <c r="J1064" s="1" t="s">
        <v>77</v>
      </c>
      <c r="K1064" s="1" t="s">
        <v>48</v>
      </c>
      <c r="L1064" s="1" t="s">
        <v>37</v>
      </c>
      <c r="M1064" s="1" t="s">
        <v>50</v>
      </c>
      <c r="N1064" s="1" t="n">
        <v>8999</v>
      </c>
      <c r="O1064" s="1" t="n">
        <v>20</v>
      </c>
      <c r="P1064" s="1" t="n">
        <v>1799.8</v>
      </c>
      <c r="Q1064" s="1" t="n">
        <v>7199.2</v>
      </c>
      <c r="R1064" s="1" t="n">
        <v>1295.86</v>
      </c>
      <c r="S1064" s="1" t="n">
        <v>5903.34</v>
      </c>
      <c r="T1064" s="1" t="n">
        <v>2169.66</v>
      </c>
      <c r="U1064" s="1" t="n">
        <v>3733.68</v>
      </c>
      <c r="V1064" s="1" t="n">
        <v>63.25</v>
      </c>
      <c r="W1064" s="1" t="s">
        <v>39</v>
      </c>
      <c r="Y1064" s="1" t="s">
        <v>40</v>
      </c>
      <c r="Z1064" s="1" t="n">
        <v>2</v>
      </c>
    </row>
    <row r="1065" customFormat="false" ht="15" hidden="false" customHeight="true" outlineLevel="0" collapsed="false">
      <c r="A1065" s="1" t="s">
        <v>1806</v>
      </c>
      <c r="B1065" s="1" t="s">
        <v>425</v>
      </c>
      <c r="C1065" s="1" t="s">
        <v>128</v>
      </c>
      <c r="D1065" s="1" t="s">
        <v>53</v>
      </c>
      <c r="E1065" s="1" t="s">
        <v>116</v>
      </c>
      <c r="F1065" s="1" t="s">
        <v>46</v>
      </c>
      <c r="G1065" s="1" t="s">
        <v>47</v>
      </c>
      <c r="H1065" s="1" t="s">
        <v>33</v>
      </c>
      <c r="I1065" s="1" t="s">
        <v>83</v>
      </c>
      <c r="J1065" s="1" t="s">
        <v>131</v>
      </c>
      <c r="K1065" s="1" t="s">
        <v>90</v>
      </c>
      <c r="L1065" s="1" t="s">
        <v>49</v>
      </c>
      <c r="M1065" s="1" t="s">
        <v>62</v>
      </c>
      <c r="N1065" s="1" t="n">
        <v>9999</v>
      </c>
      <c r="O1065" s="1" t="n">
        <v>40</v>
      </c>
      <c r="P1065" s="1" t="n">
        <v>3999.6</v>
      </c>
      <c r="Q1065" s="1" t="n">
        <v>5999.4</v>
      </c>
      <c r="R1065" s="1" t="n">
        <v>1079.89</v>
      </c>
      <c r="S1065" s="1" t="n">
        <v>4919.51</v>
      </c>
      <c r="T1065" s="1" t="n">
        <v>2691.61</v>
      </c>
      <c r="U1065" s="1" t="n">
        <v>2227.9</v>
      </c>
      <c r="V1065" s="1" t="n">
        <v>45.29</v>
      </c>
      <c r="W1065" s="1" t="s">
        <v>39</v>
      </c>
      <c r="X1065" s="1" t="n">
        <v>4.1</v>
      </c>
      <c r="Y1065" s="1" t="s">
        <v>40</v>
      </c>
      <c r="Z1065" s="1" t="n">
        <v>0</v>
      </c>
    </row>
    <row r="1066" customFormat="false" ht="15" hidden="false" customHeight="true" outlineLevel="0" collapsed="false">
      <c r="A1066" s="1" t="s">
        <v>1807</v>
      </c>
      <c r="B1066" s="1" t="s">
        <v>1465</v>
      </c>
      <c r="C1066" s="1" t="s">
        <v>119</v>
      </c>
      <c r="D1066" s="1" t="s">
        <v>29</v>
      </c>
      <c r="E1066" s="1" t="s">
        <v>182</v>
      </c>
      <c r="F1066" s="1" t="s">
        <v>89</v>
      </c>
      <c r="G1066" s="1" t="s">
        <v>68</v>
      </c>
      <c r="H1066" s="1" t="s">
        <v>33</v>
      </c>
      <c r="I1066" s="1" t="s">
        <v>83</v>
      </c>
      <c r="J1066" s="1" t="s">
        <v>35</v>
      </c>
      <c r="K1066" s="1" t="s">
        <v>36</v>
      </c>
      <c r="L1066" s="1" t="s">
        <v>49</v>
      </c>
      <c r="M1066" s="1" t="s">
        <v>38</v>
      </c>
      <c r="N1066" s="1" t="n">
        <v>34999</v>
      </c>
      <c r="O1066" s="1" t="n">
        <v>0</v>
      </c>
      <c r="P1066" s="1" t="n">
        <v>0</v>
      </c>
      <c r="Q1066" s="1" t="n">
        <v>34999</v>
      </c>
      <c r="R1066" s="1" t="n">
        <v>6299.82</v>
      </c>
      <c r="S1066" s="1" t="n">
        <v>28699.18</v>
      </c>
      <c r="T1066" s="1" t="n">
        <v>14456.48</v>
      </c>
      <c r="U1066" s="1" t="n">
        <v>14242.7</v>
      </c>
      <c r="V1066" s="1" t="n">
        <v>49.63</v>
      </c>
      <c r="W1066" s="1" t="s">
        <v>39</v>
      </c>
      <c r="X1066" s="1" t="n">
        <v>3.7</v>
      </c>
      <c r="Y1066" s="1" t="s">
        <v>40</v>
      </c>
      <c r="Z1066" s="1" t="n">
        <v>0</v>
      </c>
    </row>
    <row r="1067" customFormat="false" ht="15" hidden="false" customHeight="true" outlineLevel="0" collapsed="false">
      <c r="A1067" s="1" t="s">
        <v>1808</v>
      </c>
      <c r="B1067" s="1" t="s">
        <v>707</v>
      </c>
      <c r="C1067" s="1" t="s">
        <v>128</v>
      </c>
      <c r="D1067" s="1" t="s">
        <v>168</v>
      </c>
      <c r="E1067" s="1" t="s">
        <v>172</v>
      </c>
      <c r="F1067" s="1" t="s">
        <v>130</v>
      </c>
      <c r="G1067" s="1" t="s">
        <v>47</v>
      </c>
      <c r="H1067" s="1" t="s">
        <v>69</v>
      </c>
      <c r="I1067" s="1" t="s">
        <v>83</v>
      </c>
      <c r="J1067" s="1" t="s">
        <v>131</v>
      </c>
      <c r="K1067" s="1" t="s">
        <v>60</v>
      </c>
      <c r="L1067" s="1" t="s">
        <v>113</v>
      </c>
      <c r="M1067" s="1" t="s">
        <v>50</v>
      </c>
      <c r="N1067" s="1" t="n">
        <v>6999</v>
      </c>
      <c r="O1067" s="1" t="n">
        <v>20</v>
      </c>
      <c r="P1067" s="1" t="n">
        <v>1399.8</v>
      </c>
      <c r="Q1067" s="1" t="n">
        <v>5599.2</v>
      </c>
      <c r="R1067" s="1" t="n">
        <v>1007.86</v>
      </c>
      <c r="S1067" s="1" t="n">
        <v>4591.34</v>
      </c>
      <c r="T1067" s="1" t="n">
        <v>2103.28</v>
      </c>
      <c r="U1067" s="1" t="n">
        <v>2488.06</v>
      </c>
      <c r="V1067" s="1" t="n">
        <v>54.19</v>
      </c>
      <c r="W1067" s="1" t="s">
        <v>39</v>
      </c>
      <c r="X1067" s="1" t="n">
        <v>3</v>
      </c>
      <c r="Y1067" s="1" t="s">
        <v>40</v>
      </c>
      <c r="Z1067" s="1" t="n">
        <v>2</v>
      </c>
    </row>
    <row r="1068" customFormat="false" ht="15" hidden="false" customHeight="true" outlineLevel="0" collapsed="false">
      <c r="A1068" s="1" t="s">
        <v>1809</v>
      </c>
      <c r="B1068" s="1" t="s">
        <v>1081</v>
      </c>
      <c r="C1068" s="1" t="s">
        <v>128</v>
      </c>
      <c r="D1068" s="1" t="s">
        <v>44</v>
      </c>
      <c r="E1068" s="1" t="s">
        <v>66</v>
      </c>
      <c r="F1068" s="1" t="s">
        <v>194</v>
      </c>
      <c r="G1068" s="1" t="s">
        <v>103</v>
      </c>
      <c r="H1068" s="1" t="s">
        <v>69</v>
      </c>
      <c r="I1068" s="1" t="s">
        <v>34</v>
      </c>
      <c r="J1068" s="1" t="s">
        <v>59</v>
      </c>
      <c r="K1068" s="1" t="s">
        <v>90</v>
      </c>
      <c r="L1068" s="1" t="s">
        <v>61</v>
      </c>
      <c r="M1068" s="1" t="s">
        <v>62</v>
      </c>
      <c r="N1068" s="1" t="n">
        <v>12999</v>
      </c>
      <c r="O1068" s="1" t="n">
        <v>50</v>
      </c>
      <c r="P1068" s="1" t="n">
        <v>6499.5</v>
      </c>
      <c r="Q1068" s="1" t="n">
        <v>6499.5</v>
      </c>
      <c r="R1068" s="1" t="n">
        <v>1169.91</v>
      </c>
      <c r="S1068" s="1" t="n">
        <v>5329.59</v>
      </c>
      <c r="T1068" s="1" t="n">
        <v>2234.33</v>
      </c>
      <c r="U1068" s="1" t="n">
        <v>3095.26</v>
      </c>
      <c r="V1068" s="1" t="n">
        <v>58.08</v>
      </c>
      <c r="W1068" s="1" t="s">
        <v>40</v>
      </c>
      <c r="Y1068" s="1" t="s">
        <v>39</v>
      </c>
      <c r="Z1068" s="1" t="n">
        <v>2</v>
      </c>
    </row>
    <row r="1069" customFormat="false" ht="15" hidden="false" customHeight="true" outlineLevel="0" collapsed="false">
      <c r="A1069" s="1" t="s">
        <v>1810</v>
      </c>
      <c r="B1069" s="1" t="s">
        <v>362</v>
      </c>
      <c r="C1069" s="1" t="s">
        <v>1811</v>
      </c>
      <c r="D1069" s="1" t="s">
        <v>53</v>
      </c>
      <c r="E1069" s="1" t="s">
        <v>216</v>
      </c>
      <c r="F1069" s="1" t="s">
        <v>31</v>
      </c>
      <c r="G1069" s="1" t="s">
        <v>32</v>
      </c>
      <c r="H1069" s="1" t="s">
        <v>33</v>
      </c>
      <c r="I1069" s="1" t="s">
        <v>83</v>
      </c>
      <c r="J1069" s="1" t="s">
        <v>70</v>
      </c>
      <c r="K1069" s="1" t="s">
        <v>48</v>
      </c>
      <c r="L1069" s="1" t="s">
        <v>136</v>
      </c>
      <c r="M1069" s="1" t="s">
        <v>62</v>
      </c>
      <c r="N1069" s="1" t="n">
        <v>7499</v>
      </c>
      <c r="O1069" s="1" t="n">
        <v>25</v>
      </c>
      <c r="P1069" s="1" t="n">
        <v>1874.75</v>
      </c>
      <c r="Q1069" s="1" t="n">
        <v>5624.25</v>
      </c>
      <c r="R1069" s="1" t="n">
        <v>1012.37</v>
      </c>
      <c r="S1069" s="1" t="n">
        <v>4611.88</v>
      </c>
      <c r="T1069" s="1" t="n">
        <v>2281.31</v>
      </c>
      <c r="U1069" s="1" t="n">
        <v>2330.57</v>
      </c>
      <c r="V1069" s="1" t="n">
        <v>50.53</v>
      </c>
      <c r="W1069" s="1" t="s">
        <v>39</v>
      </c>
      <c r="X1069" s="1" t="n">
        <v>3.2</v>
      </c>
      <c r="Y1069" s="1" t="s">
        <v>39</v>
      </c>
      <c r="Z1069" s="1" t="n">
        <v>0</v>
      </c>
    </row>
    <row r="1070" customFormat="false" ht="15" hidden="false" customHeight="true" outlineLevel="0" collapsed="false">
      <c r="A1070" s="1" t="s">
        <v>1812</v>
      </c>
      <c r="B1070" s="1" t="s">
        <v>1408</v>
      </c>
      <c r="C1070" s="1" t="s">
        <v>119</v>
      </c>
      <c r="D1070" s="1" t="s">
        <v>168</v>
      </c>
      <c r="E1070" s="1" t="s">
        <v>169</v>
      </c>
      <c r="F1070" s="1" t="s">
        <v>89</v>
      </c>
      <c r="G1070" s="1" t="s">
        <v>68</v>
      </c>
      <c r="H1070" s="1" t="s">
        <v>33</v>
      </c>
      <c r="I1070" s="1" t="s">
        <v>83</v>
      </c>
      <c r="J1070" s="1" t="s">
        <v>35</v>
      </c>
      <c r="K1070" s="1" t="s">
        <v>71</v>
      </c>
      <c r="L1070" s="1" t="s">
        <v>49</v>
      </c>
      <c r="M1070" s="1" t="s">
        <v>50</v>
      </c>
      <c r="N1070" s="1" t="n">
        <v>4999</v>
      </c>
      <c r="O1070" s="1" t="n">
        <v>15</v>
      </c>
      <c r="P1070" s="1" t="n">
        <v>749.85</v>
      </c>
      <c r="Q1070" s="1" t="n">
        <v>4249.15</v>
      </c>
      <c r="R1070" s="1" t="n">
        <v>764.85</v>
      </c>
      <c r="S1070" s="1" t="n">
        <v>3484.3</v>
      </c>
      <c r="T1070" s="1" t="n">
        <v>1536.64</v>
      </c>
      <c r="U1070" s="1" t="n">
        <v>1947.66</v>
      </c>
      <c r="V1070" s="1" t="n">
        <v>55.9</v>
      </c>
      <c r="W1070" s="1" t="s">
        <v>39</v>
      </c>
      <c r="X1070" s="1" t="n">
        <v>2.9</v>
      </c>
      <c r="Y1070" s="1" t="s">
        <v>40</v>
      </c>
      <c r="Z1070" s="1" t="n">
        <v>1</v>
      </c>
    </row>
    <row r="1071" customFormat="false" ht="15" hidden="false" customHeight="true" outlineLevel="0" collapsed="false">
      <c r="A1071" s="1" t="s">
        <v>1813</v>
      </c>
      <c r="B1071" s="1" t="s">
        <v>1289</v>
      </c>
      <c r="C1071" s="1" t="s">
        <v>249</v>
      </c>
      <c r="D1071" s="1" t="s">
        <v>53</v>
      </c>
      <c r="E1071" s="1" t="s">
        <v>54</v>
      </c>
      <c r="F1071" s="1" t="s">
        <v>140</v>
      </c>
      <c r="G1071" s="1" t="s">
        <v>97</v>
      </c>
      <c r="H1071" s="1" t="s">
        <v>57</v>
      </c>
      <c r="I1071" s="1" t="s">
        <v>58</v>
      </c>
      <c r="J1071" s="1" t="s">
        <v>131</v>
      </c>
      <c r="K1071" s="1" t="s">
        <v>60</v>
      </c>
      <c r="L1071" s="1" t="s">
        <v>85</v>
      </c>
      <c r="M1071" s="1" t="s">
        <v>62</v>
      </c>
      <c r="N1071" s="1" t="n">
        <v>11999</v>
      </c>
      <c r="O1071" s="1" t="n">
        <v>5</v>
      </c>
      <c r="P1071" s="1" t="n">
        <v>599.95</v>
      </c>
      <c r="Q1071" s="1" t="n">
        <v>11399.05</v>
      </c>
      <c r="R1071" s="1" t="n">
        <v>2051.83</v>
      </c>
      <c r="S1071" s="1" t="n">
        <v>9347.22</v>
      </c>
      <c r="T1071" s="1" t="n">
        <v>4877.55</v>
      </c>
      <c r="U1071" s="1" t="n">
        <v>4469.67</v>
      </c>
      <c r="V1071" s="1" t="n">
        <v>47.82</v>
      </c>
      <c r="W1071" s="1" t="s">
        <v>40</v>
      </c>
      <c r="Y1071" s="1" t="s">
        <v>40</v>
      </c>
      <c r="Z1071" s="1" t="n">
        <v>0</v>
      </c>
    </row>
    <row r="1072" customFormat="false" ht="15" hidden="false" customHeight="true" outlineLevel="0" collapsed="false">
      <c r="A1072" s="1" t="s">
        <v>1814</v>
      </c>
      <c r="B1072" s="1" t="s">
        <v>561</v>
      </c>
      <c r="C1072" s="1" t="s">
        <v>249</v>
      </c>
      <c r="D1072" s="1" t="s">
        <v>53</v>
      </c>
      <c r="E1072" s="1" t="s">
        <v>116</v>
      </c>
      <c r="F1072" s="1" t="s">
        <v>156</v>
      </c>
      <c r="G1072" s="1" t="s">
        <v>68</v>
      </c>
      <c r="H1072" s="1" t="s">
        <v>57</v>
      </c>
      <c r="I1072" s="1" t="s">
        <v>83</v>
      </c>
      <c r="J1072" s="1" t="s">
        <v>77</v>
      </c>
      <c r="K1072" s="1" t="s">
        <v>84</v>
      </c>
      <c r="L1072" s="1" t="s">
        <v>85</v>
      </c>
      <c r="M1072" s="1" t="s">
        <v>50</v>
      </c>
      <c r="N1072" s="1" t="n">
        <v>9999</v>
      </c>
      <c r="O1072" s="1" t="n">
        <v>30</v>
      </c>
      <c r="P1072" s="1" t="n">
        <v>2999.7</v>
      </c>
      <c r="Q1072" s="1" t="n">
        <v>6999.3</v>
      </c>
      <c r="R1072" s="1" t="n">
        <v>1259.87</v>
      </c>
      <c r="S1072" s="1" t="n">
        <v>5739.43</v>
      </c>
      <c r="T1072" s="1" t="n">
        <v>2618.3</v>
      </c>
      <c r="U1072" s="1" t="n">
        <v>3121.13</v>
      </c>
      <c r="V1072" s="1" t="n">
        <v>54.38</v>
      </c>
      <c r="W1072" s="1" t="s">
        <v>39</v>
      </c>
      <c r="X1072" s="1" t="n">
        <v>3.6</v>
      </c>
      <c r="Y1072" s="1" t="s">
        <v>40</v>
      </c>
      <c r="Z1072" s="1" t="n">
        <v>0</v>
      </c>
    </row>
    <row r="1073" customFormat="false" ht="15" hidden="false" customHeight="true" outlineLevel="0" collapsed="false">
      <c r="A1073" s="1" t="s">
        <v>1815</v>
      </c>
      <c r="B1073" s="1" t="s">
        <v>1182</v>
      </c>
      <c r="C1073" s="1" t="s">
        <v>134</v>
      </c>
      <c r="D1073" s="1" t="s">
        <v>29</v>
      </c>
      <c r="E1073" s="1" t="s">
        <v>30</v>
      </c>
      <c r="F1073" s="1" t="s">
        <v>55</v>
      </c>
      <c r="G1073" s="1" t="s">
        <v>56</v>
      </c>
      <c r="H1073" s="1" t="s">
        <v>57</v>
      </c>
      <c r="I1073" s="1" t="s">
        <v>34</v>
      </c>
      <c r="J1073" s="1" t="s">
        <v>70</v>
      </c>
      <c r="K1073" s="1" t="s">
        <v>104</v>
      </c>
      <c r="L1073" s="1" t="s">
        <v>136</v>
      </c>
      <c r="M1073" s="1" t="s">
        <v>50</v>
      </c>
      <c r="N1073" s="1" t="n">
        <v>7999</v>
      </c>
      <c r="O1073" s="1" t="n">
        <v>25</v>
      </c>
      <c r="P1073" s="1" t="n">
        <v>1999.75</v>
      </c>
      <c r="Q1073" s="1" t="n">
        <v>5999.25</v>
      </c>
      <c r="R1073" s="1" t="n">
        <v>1079.87</v>
      </c>
      <c r="S1073" s="1" t="n">
        <v>4919.38</v>
      </c>
      <c r="T1073" s="1" t="n">
        <v>1972.41</v>
      </c>
      <c r="U1073" s="1" t="n">
        <v>2946.97</v>
      </c>
      <c r="V1073" s="1" t="n">
        <v>59.91</v>
      </c>
      <c r="W1073" s="1" t="s">
        <v>40</v>
      </c>
      <c r="Y1073" s="1" t="s">
        <v>40</v>
      </c>
      <c r="Z1073" s="1" t="n">
        <v>0</v>
      </c>
    </row>
    <row r="1074" customFormat="false" ht="15" hidden="false" customHeight="true" outlineLevel="0" collapsed="false">
      <c r="A1074" s="1" t="s">
        <v>1816</v>
      </c>
      <c r="B1074" s="1" t="s">
        <v>1124</v>
      </c>
      <c r="C1074" s="1" t="s">
        <v>167</v>
      </c>
      <c r="D1074" s="1" t="s">
        <v>123</v>
      </c>
      <c r="E1074" s="1" t="s">
        <v>124</v>
      </c>
      <c r="F1074" s="1" t="s">
        <v>75</v>
      </c>
      <c r="G1074" s="1" t="s">
        <v>76</v>
      </c>
      <c r="H1074" s="1" t="s">
        <v>69</v>
      </c>
      <c r="I1074" s="1" t="s">
        <v>58</v>
      </c>
      <c r="J1074" s="1" t="s">
        <v>59</v>
      </c>
      <c r="K1074" s="1" t="s">
        <v>104</v>
      </c>
      <c r="L1074" s="1" t="s">
        <v>136</v>
      </c>
      <c r="M1074" s="1" t="s">
        <v>62</v>
      </c>
      <c r="N1074" s="1" t="n">
        <v>4999</v>
      </c>
      <c r="O1074" s="1" t="n">
        <v>0</v>
      </c>
      <c r="P1074" s="1" t="n">
        <v>0</v>
      </c>
      <c r="Q1074" s="1" t="n">
        <v>4999</v>
      </c>
      <c r="R1074" s="1" t="n">
        <v>899.82</v>
      </c>
      <c r="S1074" s="1" t="n">
        <v>4099.18</v>
      </c>
      <c r="T1074" s="1" t="n">
        <v>1493.07</v>
      </c>
      <c r="U1074" s="1" t="n">
        <v>2606.11</v>
      </c>
      <c r="V1074" s="1" t="n">
        <v>63.58</v>
      </c>
      <c r="W1074" s="1" t="s">
        <v>40</v>
      </c>
      <c r="Y1074" s="1" t="s">
        <v>40</v>
      </c>
      <c r="Z1074" s="1" t="n">
        <v>0</v>
      </c>
    </row>
    <row r="1075" customFormat="false" ht="15" hidden="false" customHeight="true" outlineLevel="0" collapsed="false">
      <c r="A1075" s="1" t="s">
        <v>1817</v>
      </c>
      <c r="B1075" s="1" t="s">
        <v>854</v>
      </c>
      <c r="C1075" s="1" t="s">
        <v>128</v>
      </c>
      <c r="D1075" s="1" t="s">
        <v>29</v>
      </c>
      <c r="E1075" s="1" t="s">
        <v>30</v>
      </c>
      <c r="F1075" s="1" t="s">
        <v>153</v>
      </c>
      <c r="G1075" s="1" t="s">
        <v>76</v>
      </c>
      <c r="H1075" s="1" t="s">
        <v>33</v>
      </c>
      <c r="I1075" s="1" t="s">
        <v>83</v>
      </c>
      <c r="J1075" s="1" t="s">
        <v>77</v>
      </c>
      <c r="K1075" s="1" t="s">
        <v>36</v>
      </c>
      <c r="L1075" s="1" t="s">
        <v>37</v>
      </c>
      <c r="M1075" s="1" t="s">
        <v>38</v>
      </c>
      <c r="N1075" s="1" t="n">
        <v>7999</v>
      </c>
      <c r="O1075" s="1" t="n">
        <v>15</v>
      </c>
      <c r="P1075" s="1" t="n">
        <v>1199.85</v>
      </c>
      <c r="Q1075" s="1" t="n">
        <v>6799.15</v>
      </c>
      <c r="R1075" s="1" t="n">
        <v>1223.85</v>
      </c>
      <c r="S1075" s="1" t="n">
        <v>5575.3</v>
      </c>
      <c r="T1075" s="1" t="n">
        <v>2452.41</v>
      </c>
      <c r="U1075" s="1" t="n">
        <v>3122.89</v>
      </c>
      <c r="V1075" s="1" t="n">
        <v>56.01</v>
      </c>
      <c r="W1075" s="1" t="s">
        <v>40</v>
      </c>
      <c r="Y1075" s="1" t="s">
        <v>40</v>
      </c>
      <c r="Z1075" s="1" t="n">
        <v>0</v>
      </c>
    </row>
    <row r="1076" customFormat="false" ht="15" hidden="false" customHeight="true" outlineLevel="0" collapsed="false">
      <c r="A1076" s="1" t="s">
        <v>1818</v>
      </c>
      <c r="B1076" s="1" t="s">
        <v>1819</v>
      </c>
      <c r="C1076" s="1" t="s">
        <v>178</v>
      </c>
      <c r="D1076" s="1" t="s">
        <v>53</v>
      </c>
      <c r="E1076" s="1" t="s">
        <v>54</v>
      </c>
      <c r="F1076" s="1" t="s">
        <v>107</v>
      </c>
      <c r="G1076" s="1" t="s">
        <v>108</v>
      </c>
      <c r="H1076" s="1" t="s">
        <v>33</v>
      </c>
      <c r="I1076" s="1" t="s">
        <v>34</v>
      </c>
      <c r="J1076" s="1" t="s">
        <v>70</v>
      </c>
      <c r="K1076" s="1" t="s">
        <v>60</v>
      </c>
      <c r="L1076" s="1" t="s">
        <v>49</v>
      </c>
      <c r="M1076" s="1" t="s">
        <v>38</v>
      </c>
      <c r="N1076" s="1" t="n">
        <v>11999</v>
      </c>
      <c r="O1076" s="1" t="n">
        <v>50</v>
      </c>
      <c r="P1076" s="1" t="n">
        <v>5999.5</v>
      </c>
      <c r="Q1076" s="1" t="n">
        <v>5999.5</v>
      </c>
      <c r="R1076" s="1" t="n">
        <v>1079.91</v>
      </c>
      <c r="S1076" s="1" t="n">
        <v>4919.59</v>
      </c>
      <c r="T1076" s="1" t="n">
        <v>2711.31</v>
      </c>
      <c r="U1076" s="1" t="n">
        <v>2208.28</v>
      </c>
      <c r="V1076" s="1" t="n">
        <v>44.89</v>
      </c>
      <c r="W1076" s="1" t="s">
        <v>40</v>
      </c>
      <c r="Y1076" s="1" t="s">
        <v>40</v>
      </c>
      <c r="Z1076" s="1" t="n">
        <v>0</v>
      </c>
    </row>
    <row r="1077" customFormat="false" ht="15" hidden="false" customHeight="true" outlineLevel="0" collapsed="false">
      <c r="A1077" s="1" t="s">
        <v>1820</v>
      </c>
      <c r="B1077" s="1" t="s">
        <v>1266</v>
      </c>
      <c r="C1077" s="1" t="s">
        <v>134</v>
      </c>
      <c r="D1077" s="1" t="s">
        <v>94</v>
      </c>
      <c r="E1077" s="1" t="s">
        <v>135</v>
      </c>
      <c r="F1077" s="1" t="s">
        <v>187</v>
      </c>
      <c r="G1077" s="1" t="s">
        <v>97</v>
      </c>
      <c r="H1077" s="1" t="s">
        <v>69</v>
      </c>
      <c r="I1077" s="1" t="s">
        <v>34</v>
      </c>
      <c r="J1077" s="1" t="s">
        <v>77</v>
      </c>
      <c r="K1077" s="1" t="s">
        <v>48</v>
      </c>
      <c r="L1077" s="1" t="s">
        <v>136</v>
      </c>
      <c r="M1077" s="1" t="s">
        <v>62</v>
      </c>
      <c r="N1077" s="1" t="n">
        <v>9999</v>
      </c>
      <c r="O1077" s="1" t="n">
        <v>0</v>
      </c>
      <c r="P1077" s="1" t="n">
        <v>0</v>
      </c>
      <c r="Q1077" s="1" t="n">
        <v>9999</v>
      </c>
      <c r="R1077" s="1" t="n">
        <v>1799.82</v>
      </c>
      <c r="S1077" s="1" t="n">
        <v>8199.18</v>
      </c>
      <c r="T1077" s="1" t="n">
        <v>3550.12</v>
      </c>
      <c r="U1077" s="1" t="n">
        <v>4649.06</v>
      </c>
      <c r="V1077" s="1" t="n">
        <v>56.7</v>
      </c>
      <c r="W1077" s="1" t="s">
        <v>40</v>
      </c>
      <c r="Y1077" s="1" t="s">
        <v>40</v>
      </c>
      <c r="Z1077" s="1" t="n">
        <v>0</v>
      </c>
    </row>
    <row r="1078" customFormat="false" ht="15" hidden="false" customHeight="true" outlineLevel="0" collapsed="false">
      <c r="A1078" s="1" t="s">
        <v>1821</v>
      </c>
      <c r="B1078" s="1" t="s">
        <v>332</v>
      </c>
      <c r="C1078" s="1" t="s">
        <v>264</v>
      </c>
      <c r="D1078" s="1" t="s">
        <v>94</v>
      </c>
      <c r="E1078" s="1" t="s">
        <v>101</v>
      </c>
      <c r="F1078" s="1" t="s">
        <v>156</v>
      </c>
      <c r="G1078" s="1" t="s">
        <v>68</v>
      </c>
      <c r="H1078" s="1" t="s">
        <v>57</v>
      </c>
      <c r="I1078" s="1" t="s">
        <v>58</v>
      </c>
      <c r="J1078" s="1" t="s">
        <v>70</v>
      </c>
      <c r="K1078" s="1" t="s">
        <v>48</v>
      </c>
      <c r="L1078" s="1" t="s">
        <v>85</v>
      </c>
      <c r="M1078" s="1" t="s">
        <v>38</v>
      </c>
      <c r="N1078" s="1" t="n">
        <v>14999</v>
      </c>
      <c r="O1078" s="1" t="n">
        <v>15</v>
      </c>
      <c r="P1078" s="1" t="n">
        <v>2249.85</v>
      </c>
      <c r="Q1078" s="1" t="n">
        <v>12749.15</v>
      </c>
      <c r="R1078" s="1" t="n">
        <v>2294.85</v>
      </c>
      <c r="S1078" s="1" t="n">
        <v>10454.3</v>
      </c>
      <c r="T1078" s="1" t="n">
        <v>4072.37</v>
      </c>
      <c r="U1078" s="1" t="n">
        <v>6381.93</v>
      </c>
      <c r="V1078" s="1" t="n">
        <v>61.05</v>
      </c>
      <c r="W1078" s="1" t="s">
        <v>40</v>
      </c>
      <c r="Y1078" s="1" t="s">
        <v>40</v>
      </c>
      <c r="Z1078" s="1" t="n">
        <v>3</v>
      </c>
    </row>
    <row r="1079" customFormat="false" ht="15" hidden="false" customHeight="true" outlineLevel="0" collapsed="false">
      <c r="A1079" s="1" t="s">
        <v>1822</v>
      </c>
      <c r="B1079" s="1" t="s">
        <v>460</v>
      </c>
      <c r="C1079" s="1" t="s">
        <v>28</v>
      </c>
      <c r="D1079" s="1" t="s">
        <v>29</v>
      </c>
      <c r="E1079" s="1" t="s">
        <v>30</v>
      </c>
      <c r="F1079" s="1" t="s">
        <v>102</v>
      </c>
      <c r="G1079" s="1" t="s">
        <v>103</v>
      </c>
      <c r="H1079" s="1" t="s">
        <v>33</v>
      </c>
      <c r="I1079" s="1" t="s">
        <v>34</v>
      </c>
      <c r="J1079" s="1" t="s">
        <v>35</v>
      </c>
      <c r="K1079" s="1" t="s">
        <v>60</v>
      </c>
      <c r="L1079" s="1" t="s">
        <v>61</v>
      </c>
      <c r="M1079" s="1" t="s">
        <v>38</v>
      </c>
      <c r="N1079" s="1" t="n">
        <v>7999</v>
      </c>
      <c r="O1079" s="1" t="n">
        <v>30</v>
      </c>
      <c r="P1079" s="1" t="n">
        <v>2399.7</v>
      </c>
      <c r="Q1079" s="1" t="n">
        <v>5599.3</v>
      </c>
      <c r="R1079" s="1" t="n">
        <v>1007.87</v>
      </c>
      <c r="S1079" s="1" t="n">
        <v>4591.43</v>
      </c>
      <c r="T1079" s="1" t="n">
        <v>1843.46</v>
      </c>
      <c r="U1079" s="1" t="n">
        <v>2747.97</v>
      </c>
      <c r="V1079" s="1" t="n">
        <v>59.85</v>
      </c>
      <c r="W1079" s="1" t="s">
        <v>40</v>
      </c>
      <c r="Y1079" s="1" t="s">
        <v>40</v>
      </c>
      <c r="Z1079" s="1" t="n">
        <v>1</v>
      </c>
    </row>
    <row r="1080" customFormat="false" ht="15" hidden="false" customHeight="true" outlineLevel="0" collapsed="false">
      <c r="A1080" s="1" t="s">
        <v>1823</v>
      </c>
      <c r="B1080" s="1" t="s">
        <v>868</v>
      </c>
      <c r="C1080" s="1" t="s">
        <v>88</v>
      </c>
      <c r="D1080" s="1" t="s">
        <v>29</v>
      </c>
      <c r="E1080" s="1" t="s">
        <v>129</v>
      </c>
      <c r="F1080" s="1" t="s">
        <v>184</v>
      </c>
      <c r="G1080" s="1" t="s">
        <v>56</v>
      </c>
      <c r="H1080" s="1" t="s">
        <v>57</v>
      </c>
      <c r="I1080" s="1" t="s">
        <v>34</v>
      </c>
      <c r="J1080" s="1" t="s">
        <v>35</v>
      </c>
      <c r="K1080" s="1" t="s">
        <v>112</v>
      </c>
      <c r="L1080" s="1" t="s">
        <v>37</v>
      </c>
      <c r="M1080" s="1" t="s">
        <v>50</v>
      </c>
      <c r="N1080" s="1" t="n">
        <v>29999</v>
      </c>
      <c r="O1080" s="1" t="n">
        <v>10</v>
      </c>
      <c r="P1080" s="1" t="n">
        <v>2999.9</v>
      </c>
      <c r="Q1080" s="1" t="n">
        <v>26999.1</v>
      </c>
      <c r="R1080" s="1" t="n">
        <v>4859.84</v>
      </c>
      <c r="S1080" s="1" t="n">
        <v>22139.26</v>
      </c>
      <c r="T1080" s="1" t="n">
        <v>8224.31</v>
      </c>
      <c r="U1080" s="1" t="n">
        <v>13914.95</v>
      </c>
      <c r="V1080" s="1" t="n">
        <v>62.85</v>
      </c>
      <c r="W1080" s="1" t="s">
        <v>39</v>
      </c>
      <c r="X1080" s="1" t="n">
        <v>4.5</v>
      </c>
      <c r="Y1080" s="1" t="s">
        <v>40</v>
      </c>
      <c r="Z1080" s="1" t="n">
        <v>0</v>
      </c>
    </row>
    <row r="1081" customFormat="false" ht="15" hidden="false" customHeight="true" outlineLevel="0" collapsed="false">
      <c r="A1081" s="1" t="s">
        <v>1824</v>
      </c>
      <c r="B1081" s="1" t="s">
        <v>487</v>
      </c>
      <c r="C1081" s="1" t="s">
        <v>100</v>
      </c>
      <c r="D1081" s="1" t="s">
        <v>53</v>
      </c>
      <c r="E1081" s="1" t="s">
        <v>216</v>
      </c>
      <c r="F1081" s="1" t="s">
        <v>102</v>
      </c>
      <c r="G1081" s="1" t="s">
        <v>103</v>
      </c>
      <c r="H1081" s="1" t="s">
        <v>33</v>
      </c>
      <c r="I1081" s="1" t="s">
        <v>34</v>
      </c>
      <c r="J1081" s="1" t="s">
        <v>59</v>
      </c>
      <c r="K1081" s="1" t="s">
        <v>48</v>
      </c>
      <c r="L1081" s="1" t="s">
        <v>61</v>
      </c>
      <c r="M1081" s="1" t="s">
        <v>62</v>
      </c>
      <c r="N1081" s="1" t="n">
        <v>7499</v>
      </c>
      <c r="O1081" s="1" t="n">
        <v>25</v>
      </c>
      <c r="P1081" s="1" t="n">
        <v>1874.75</v>
      </c>
      <c r="Q1081" s="1" t="n">
        <v>5624.25</v>
      </c>
      <c r="R1081" s="1" t="n">
        <v>1012.37</v>
      </c>
      <c r="S1081" s="1" t="n">
        <v>4611.88</v>
      </c>
      <c r="T1081" s="1" t="n">
        <v>2027.08</v>
      </c>
      <c r="U1081" s="1" t="n">
        <v>2584.8</v>
      </c>
      <c r="V1081" s="1" t="n">
        <v>56.05</v>
      </c>
      <c r="W1081" s="1" t="s">
        <v>40</v>
      </c>
      <c r="Y1081" s="1" t="s">
        <v>39</v>
      </c>
      <c r="Z1081" s="1" t="n">
        <v>1</v>
      </c>
    </row>
    <row r="1082" customFormat="false" ht="15" hidden="false" customHeight="true" outlineLevel="0" collapsed="false">
      <c r="A1082" s="1" t="s">
        <v>1825</v>
      </c>
      <c r="B1082" s="1" t="s">
        <v>557</v>
      </c>
      <c r="C1082" s="1" t="s">
        <v>74</v>
      </c>
      <c r="D1082" s="1" t="s">
        <v>29</v>
      </c>
      <c r="E1082" s="1" t="s">
        <v>182</v>
      </c>
      <c r="F1082" s="1" t="s">
        <v>269</v>
      </c>
      <c r="G1082" s="1" t="s">
        <v>108</v>
      </c>
      <c r="H1082" s="1" t="s">
        <v>57</v>
      </c>
      <c r="I1082" s="1" t="s">
        <v>58</v>
      </c>
      <c r="J1082" s="1" t="s">
        <v>131</v>
      </c>
      <c r="K1082" s="1" t="s">
        <v>60</v>
      </c>
      <c r="L1082" s="1" t="s">
        <v>37</v>
      </c>
      <c r="M1082" s="1" t="s">
        <v>50</v>
      </c>
      <c r="N1082" s="1" t="n">
        <v>34999</v>
      </c>
      <c r="O1082" s="1" t="n">
        <v>15</v>
      </c>
      <c r="P1082" s="1" t="n">
        <v>5249.85</v>
      </c>
      <c r="Q1082" s="1" t="n">
        <v>29749.15</v>
      </c>
      <c r="R1082" s="1" t="n">
        <v>5354.85</v>
      </c>
      <c r="S1082" s="1" t="n">
        <v>24394.3</v>
      </c>
      <c r="T1082" s="1" t="n">
        <v>11198.29</v>
      </c>
      <c r="U1082" s="1" t="n">
        <v>13196.01</v>
      </c>
      <c r="V1082" s="1" t="n">
        <v>54.09</v>
      </c>
      <c r="W1082" s="1" t="s">
        <v>39</v>
      </c>
      <c r="X1082" s="1" t="n">
        <v>4.5</v>
      </c>
      <c r="Y1082" s="1" t="s">
        <v>40</v>
      </c>
      <c r="Z1082" s="1" t="n">
        <v>0</v>
      </c>
    </row>
    <row r="1083" customFormat="false" ht="15" hidden="false" customHeight="true" outlineLevel="0" collapsed="false">
      <c r="A1083" s="1" t="s">
        <v>1826</v>
      </c>
      <c r="B1083" s="1" t="s">
        <v>369</v>
      </c>
      <c r="C1083" s="1" t="s">
        <v>74</v>
      </c>
      <c r="D1083" s="1" t="s">
        <v>123</v>
      </c>
      <c r="E1083" s="1" t="s">
        <v>233</v>
      </c>
      <c r="F1083" s="1" t="s">
        <v>75</v>
      </c>
      <c r="G1083" s="1" t="s">
        <v>76</v>
      </c>
      <c r="H1083" s="1" t="s">
        <v>69</v>
      </c>
      <c r="I1083" s="1" t="s">
        <v>58</v>
      </c>
      <c r="J1083" s="1" t="s">
        <v>70</v>
      </c>
      <c r="K1083" s="1" t="s">
        <v>71</v>
      </c>
      <c r="L1083" s="1" t="s">
        <v>136</v>
      </c>
      <c r="M1083" s="1" t="s">
        <v>62</v>
      </c>
      <c r="N1083" s="1" t="n">
        <v>8999</v>
      </c>
      <c r="O1083" s="1" t="n">
        <v>10</v>
      </c>
      <c r="P1083" s="1" t="n">
        <v>899.9</v>
      </c>
      <c r="Q1083" s="1" t="n">
        <v>8099.1</v>
      </c>
      <c r="R1083" s="1" t="n">
        <v>1457.84</v>
      </c>
      <c r="S1083" s="1" t="n">
        <v>6641.26</v>
      </c>
      <c r="T1083" s="1" t="n">
        <v>2424.02</v>
      </c>
      <c r="U1083" s="1" t="n">
        <v>4217.24</v>
      </c>
      <c r="V1083" s="1" t="n">
        <v>63.5</v>
      </c>
      <c r="W1083" s="1" t="s">
        <v>39</v>
      </c>
      <c r="X1083" s="1" t="n">
        <v>3.8</v>
      </c>
      <c r="Y1083" s="1" t="s">
        <v>40</v>
      </c>
      <c r="Z1083" s="1" t="n">
        <v>3</v>
      </c>
    </row>
    <row r="1084" customFormat="false" ht="15" hidden="false" customHeight="true" outlineLevel="0" collapsed="false">
      <c r="A1084" s="1" t="s">
        <v>1827</v>
      </c>
      <c r="B1084" s="1" t="s">
        <v>255</v>
      </c>
      <c r="C1084" s="1" t="s">
        <v>167</v>
      </c>
      <c r="D1084" s="1" t="s">
        <v>143</v>
      </c>
      <c r="E1084" s="1" t="s">
        <v>210</v>
      </c>
      <c r="F1084" s="1" t="s">
        <v>187</v>
      </c>
      <c r="G1084" s="1" t="s">
        <v>97</v>
      </c>
      <c r="H1084" s="1" t="s">
        <v>69</v>
      </c>
      <c r="I1084" s="1" t="s">
        <v>34</v>
      </c>
      <c r="J1084" s="1" t="s">
        <v>77</v>
      </c>
      <c r="K1084" s="1" t="s">
        <v>90</v>
      </c>
      <c r="L1084" s="1" t="s">
        <v>49</v>
      </c>
      <c r="M1084" s="1" t="s">
        <v>50</v>
      </c>
      <c r="N1084" s="1" t="n">
        <v>18999</v>
      </c>
      <c r="O1084" s="1" t="n">
        <v>5</v>
      </c>
      <c r="P1084" s="1" t="n">
        <v>949.95</v>
      </c>
      <c r="Q1084" s="1" t="n">
        <v>18049.05</v>
      </c>
      <c r="R1084" s="1" t="n">
        <v>3248.83</v>
      </c>
      <c r="S1084" s="1" t="n">
        <v>14800.22</v>
      </c>
      <c r="T1084" s="1" t="n">
        <v>5196.52</v>
      </c>
      <c r="U1084" s="1" t="n">
        <v>9603.7</v>
      </c>
      <c r="V1084" s="1" t="n">
        <v>64.89</v>
      </c>
      <c r="W1084" s="1" t="s">
        <v>39</v>
      </c>
      <c r="X1084" s="1" t="n">
        <v>3.3</v>
      </c>
      <c r="Y1084" s="1" t="s">
        <v>40</v>
      </c>
      <c r="Z1084" s="1" t="n">
        <v>1</v>
      </c>
    </row>
    <row r="1085" customFormat="false" ht="15" hidden="false" customHeight="true" outlineLevel="0" collapsed="false">
      <c r="A1085" s="1" t="s">
        <v>1828</v>
      </c>
      <c r="B1085" s="1" t="s">
        <v>1486</v>
      </c>
      <c r="C1085" s="1" t="s">
        <v>93</v>
      </c>
      <c r="D1085" s="1" t="s">
        <v>123</v>
      </c>
      <c r="E1085" s="1" t="s">
        <v>233</v>
      </c>
      <c r="F1085" s="1" t="s">
        <v>211</v>
      </c>
      <c r="G1085" s="1" t="s">
        <v>56</v>
      </c>
      <c r="H1085" s="1" t="s">
        <v>69</v>
      </c>
      <c r="I1085" s="1" t="s">
        <v>58</v>
      </c>
      <c r="J1085" s="1" t="s">
        <v>59</v>
      </c>
      <c r="K1085" s="1" t="s">
        <v>71</v>
      </c>
      <c r="L1085" s="1" t="s">
        <v>136</v>
      </c>
      <c r="M1085" s="1" t="s">
        <v>62</v>
      </c>
      <c r="N1085" s="1" t="n">
        <v>8999</v>
      </c>
      <c r="O1085" s="1" t="n">
        <v>0</v>
      </c>
      <c r="P1085" s="1" t="n">
        <v>0</v>
      </c>
      <c r="Q1085" s="1" t="n">
        <v>8999</v>
      </c>
      <c r="R1085" s="1" t="n">
        <v>1619.82</v>
      </c>
      <c r="S1085" s="1" t="n">
        <v>7379.18</v>
      </c>
      <c r="T1085" s="1" t="n">
        <v>2544.63</v>
      </c>
      <c r="U1085" s="1" t="n">
        <v>4834.55</v>
      </c>
      <c r="V1085" s="1" t="n">
        <v>65.52</v>
      </c>
      <c r="W1085" s="1" t="s">
        <v>40</v>
      </c>
      <c r="Y1085" s="1" t="s">
        <v>40</v>
      </c>
      <c r="Z1085" s="1" t="n">
        <v>2</v>
      </c>
    </row>
    <row r="1086" customFormat="false" ht="15" hidden="false" customHeight="true" outlineLevel="0" collapsed="false">
      <c r="A1086" s="1" t="s">
        <v>1829</v>
      </c>
      <c r="B1086" s="1" t="s">
        <v>1830</v>
      </c>
      <c r="C1086" s="1" t="s">
        <v>74</v>
      </c>
      <c r="D1086" s="1" t="s">
        <v>94</v>
      </c>
      <c r="E1086" s="1" t="s">
        <v>135</v>
      </c>
      <c r="F1086" s="1" t="s">
        <v>120</v>
      </c>
      <c r="G1086" s="1" t="s">
        <v>47</v>
      </c>
      <c r="H1086" s="1" t="s">
        <v>57</v>
      </c>
      <c r="I1086" s="1" t="s">
        <v>34</v>
      </c>
      <c r="J1086" s="1" t="s">
        <v>35</v>
      </c>
      <c r="K1086" s="1" t="s">
        <v>104</v>
      </c>
      <c r="L1086" s="1" t="s">
        <v>49</v>
      </c>
      <c r="M1086" s="1" t="s">
        <v>62</v>
      </c>
      <c r="N1086" s="1" t="n">
        <v>9999</v>
      </c>
      <c r="O1086" s="1" t="n">
        <v>50</v>
      </c>
      <c r="P1086" s="1" t="n">
        <v>4999.5</v>
      </c>
      <c r="Q1086" s="1" t="n">
        <v>4999.5</v>
      </c>
      <c r="R1086" s="1" t="n">
        <v>899.91</v>
      </c>
      <c r="S1086" s="1" t="n">
        <v>4099.59</v>
      </c>
      <c r="T1086" s="1" t="n">
        <v>2356.38</v>
      </c>
      <c r="U1086" s="1" t="n">
        <v>1743.21</v>
      </c>
      <c r="V1086" s="1" t="n">
        <v>42.52</v>
      </c>
      <c r="W1086" s="1" t="s">
        <v>39</v>
      </c>
      <c r="X1086" s="1" t="n">
        <v>3.7</v>
      </c>
      <c r="Y1086" s="1" t="s">
        <v>40</v>
      </c>
      <c r="Z1086" s="1" t="n">
        <v>1</v>
      </c>
    </row>
    <row r="1087" customFormat="false" ht="15" hidden="false" customHeight="true" outlineLevel="0" collapsed="false">
      <c r="A1087" s="1" t="s">
        <v>1831</v>
      </c>
      <c r="B1087" s="1" t="s">
        <v>1434</v>
      </c>
      <c r="C1087" s="1" t="s">
        <v>74</v>
      </c>
      <c r="D1087" s="1" t="s">
        <v>80</v>
      </c>
      <c r="E1087" s="1" t="s">
        <v>193</v>
      </c>
      <c r="F1087" s="1" t="s">
        <v>153</v>
      </c>
      <c r="G1087" s="1" t="s">
        <v>76</v>
      </c>
      <c r="H1087" s="1" t="s">
        <v>33</v>
      </c>
      <c r="I1087" s="1" t="s">
        <v>58</v>
      </c>
      <c r="J1087" s="1" t="s">
        <v>131</v>
      </c>
      <c r="K1087" s="1" t="s">
        <v>36</v>
      </c>
      <c r="L1087" s="1" t="s">
        <v>85</v>
      </c>
      <c r="M1087" s="1" t="s">
        <v>62</v>
      </c>
      <c r="N1087" s="1" t="n">
        <v>8999</v>
      </c>
      <c r="O1087" s="1" t="n">
        <v>0</v>
      </c>
      <c r="P1087" s="1" t="n">
        <v>0</v>
      </c>
      <c r="Q1087" s="1" t="n">
        <v>8999</v>
      </c>
      <c r="R1087" s="1" t="n">
        <v>1619.82</v>
      </c>
      <c r="S1087" s="1" t="n">
        <v>7379.18</v>
      </c>
      <c r="T1087" s="1" t="n">
        <v>3812.11</v>
      </c>
      <c r="U1087" s="1" t="n">
        <v>3567.07</v>
      </c>
      <c r="V1087" s="1" t="n">
        <v>48.34</v>
      </c>
      <c r="W1087" s="1" t="s">
        <v>40</v>
      </c>
      <c r="Y1087" s="1" t="s">
        <v>40</v>
      </c>
      <c r="Z1087" s="1" t="n">
        <v>2</v>
      </c>
    </row>
    <row r="1088" customFormat="false" ht="15" hidden="false" customHeight="true" outlineLevel="0" collapsed="false">
      <c r="A1088" s="1" t="s">
        <v>1832</v>
      </c>
      <c r="B1088" s="1" t="s">
        <v>142</v>
      </c>
      <c r="C1088" s="1" t="s">
        <v>134</v>
      </c>
      <c r="D1088" s="1" t="s">
        <v>143</v>
      </c>
      <c r="E1088" s="1" t="s">
        <v>243</v>
      </c>
      <c r="F1088" s="1" t="s">
        <v>194</v>
      </c>
      <c r="G1088" s="1" t="s">
        <v>103</v>
      </c>
      <c r="H1088" s="1" t="s">
        <v>69</v>
      </c>
      <c r="I1088" s="1" t="s">
        <v>58</v>
      </c>
      <c r="J1088" s="1" t="s">
        <v>77</v>
      </c>
      <c r="K1088" s="1" t="s">
        <v>48</v>
      </c>
      <c r="L1088" s="1" t="s">
        <v>49</v>
      </c>
      <c r="M1088" s="1" t="s">
        <v>50</v>
      </c>
      <c r="N1088" s="1" t="n">
        <v>22999</v>
      </c>
      <c r="O1088" s="1" t="n">
        <v>5</v>
      </c>
      <c r="P1088" s="1" t="n">
        <v>1149.95</v>
      </c>
      <c r="Q1088" s="1" t="n">
        <v>21849.05</v>
      </c>
      <c r="R1088" s="1" t="n">
        <v>3932.83</v>
      </c>
      <c r="S1088" s="1" t="n">
        <v>17916.22</v>
      </c>
      <c r="T1088" s="1" t="n">
        <v>7286.82</v>
      </c>
      <c r="U1088" s="1" t="n">
        <v>10629.4</v>
      </c>
      <c r="V1088" s="1" t="n">
        <v>59.33</v>
      </c>
      <c r="W1088" s="1" t="s">
        <v>39</v>
      </c>
      <c r="X1088" s="1" t="n">
        <v>4.1</v>
      </c>
      <c r="Y1088" s="1" t="s">
        <v>40</v>
      </c>
      <c r="Z1088" s="1" t="n">
        <v>0</v>
      </c>
    </row>
    <row r="1089" customFormat="false" ht="15" hidden="false" customHeight="true" outlineLevel="0" collapsed="false">
      <c r="A1089" s="1" t="s">
        <v>1833</v>
      </c>
      <c r="B1089" s="1" t="s">
        <v>680</v>
      </c>
      <c r="C1089" s="1" t="s">
        <v>119</v>
      </c>
      <c r="D1089" s="1" t="s">
        <v>94</v>
      </c>
      <c r="E1089" s="1" t="s">
        <v>135</v>
      </c>
      <c r="F1089" s="1" t="s">
        <v>269</v>
      </c>
      <c r="G1089" s="1" t="s">
        <v>108</v>
      </c>
      <c r="H1089" s="1" t="s">
        <v>57</v>
      </c>
      <c r="I1089" s="1" t="s">
        <v>83</v>
      </c>
      <c r="J1089" s="1" t="s">
        <v>59</v>
      </c>
      <c r="K1089" s="1" t="s">
        <v>90</v>
      </c>
      <c r="L1089" s="1" t="s">
        <v>136</v>
      </c>
      <c r="M1089" s="1" t="s">
        <v>50</v>
      </c>
      <c r="N1089" s="1" t="n">
        <v>9999</v>
      </c>
      <c r="O1089" s="1" t="n">
        <v>50</v>
      </c>
      <c r="P1089" s="1" t="n">
        <v>4999.5</v>
      </c>
      <c r="Q1089" s="1" t="n">
        <v>4999.5</v>
      </c>
      <c r="R1089" s="1" t="n">
        <v>899.91</v>
      </c>
      <c r="S1089" s="1" t="n">
        <v>4099.59</v>
      </c>
      <c r="T1089" s="1" t="n">
        <v>2244.31</v>
      </c>
      <c r="U1089" s="1" t="n">
        <v>1855.28</v>
      </c>
      <c r="V1089" s="1" t="n">
        <v>45.26</v>
      </c>
      <c r="W1089" s="1" t="s">
        <v>40</v>
      </c>
      <c r="Y1089" s="1" t="s">
        <v>40</v>
      </c>
      <c r="Z1089" s="1" t="n">
        <v>1</v>
      </c>
    </row>
    <row r="1090" customFormat="false" ht="15" hidden="false" customHeight="true" outlineLevel="0" collapsed="false">
      <c r="A1090" s="1" t="s">
        <v>1834</v>
      </c>
      <c r="B1090" s="1" t="s">
        <v>425</v>
      </c>
      <c r="C1090" s="1" t="s">
        <v>74</v>
      </c>
      <c r="D1090" s="1" t="s">
        <v>123</v>
      </c>
      <c r="E1090" s="1" t="s">
        <v>124</v>
      </c>
      <c r="F1090" s="1" t="s">
        <v>130</v>
      </c>
      <c r="G1090" s="1" t="s">
        <v>47</v>
      </c>
      <c r="H1090" s="1" t="s">
        <v>69</v>
      </c>
      <c r="I1090" s="1" t="s">
        <v>58</v>
      </c>
      <c r="J1090" s="1" t="s">
        <v>131</v>
      </c>
      <c r="K1090" s="1" t="s">
        <v>60</v>
      </c>
      <c r="L1090" s="1" t="s">
        <v>113</v>
      </c>
      <c r="M1090" s="1" t="s">
        <v>38</v>
      </c>
      <c r="N1090" s="1" t="n">
        <v>4999</v>
      </c>
      <c r="O1090" s="1" t="n">
        <v>10</v>
      </c>
      <c r="P1090" s="1" t="n">
        <v>499.9</v>
      </c>
      <c r="Q1090" s="1" t="n">
        <v>4499.1</v>
      </c>
      <c r="R1090" s="1" t="n">
        <v>809.84</v>
      </c>
      <c r="S1090" s="1" t="n">
        <v>3689.26</v>
      </c>
      <c r="T1090" s="1" t="n">
        <v>1698.27</v>
      </c>
      <c r="U1090" s="1" t="n">
        <v>1990.99</v>
      </c>
      <c r="V1090" s="1" t="n">
        <v>53.97</v>
      </c>
      <c r="W1090" s="1" t="s">
        <v>39</v>
      </c>
      <c r="X1090" s="1" t="n">
        <v>2.8</v>
      </c>
      <c r="Y1090" s="1" t="s">
        <v>40</v>
      </c>
      <c r="Z1090" s="1" t="n">
        <v>0</v>
      </c>
    </row>
    <row r="1091" customFormat="false" ht="15" hidden="false" customHeight="true" outlineLevel="0" collapsed="false">
      <c r="A1091" s="1" t="s">
        <v>1835</v>
      </c>
      <c r="B1091" s="1" t="s">
        <v>692</v>
      </c>
      <c r="C1091" s="1" t="s">
        <v>134</v>
      </c>
      <c r="D1091" s="1" t="s">
        <v>29</v>
      </c>
      <c r="E1091" s="1" t="s">
        <v>182</v>
      </c>
      <c r="F1091" s="1" t="s">
        <v>75</v>
      </c>
      <c r="G1091" s="1" t="s">
        <v>76</v>
      </c>
      <c r="H1091" s="1" t="s">
        <v>69</v>
      </c>
      <c r="I1091" s="1" t="s">
        <v>83</v>
      </c>
      <c r="J1091" s="1" t="s">
        <v>35</v>
      </c>
      <c r="K1091" s="1" t="s">
        <v>90</v>
      </c>
      <c r="L1091" s="1" t="s">
        <v>37</v>
      </c>
      <c r="M1091" s="1" t="s">
        <v>50</v>
      </c>
      <c r="N1091" s="1" t="n">
        <v>34999</v>
      </c>
      <c r="O1091" s="1" t="n">
        <v>40</v>
      </c>
      <c r="P1091" s="1" t="n">
        <v>13999.6</v>
      </c>
      <c r="Q1091" s="1" t="n">
        <v>20999.4</v>
      </c>
      <c r="R1091" s="1" t="n">
        <v>3779.89</v>
      </c>
      <c r="S1091" s="1" t="n">
        <v>17219.51</v>
      </c>
      <c r="T1091" s="1" t="n">
        <v>8368.49</v>
      </c>
      <c r="U1091" s="1" t="n">
        <v>8851.02</v>
      </c>
      <c r="V1091" s="1" t="n">
        <v>51.4</v>
      </c>
      <c r="W1091" s="1" t="s">
        <v>39</v>
      </c>
      <c r="X1091" s="1" t="n">
        <v>4.3</v>
      </c>
      <c r="Y1091" s="1" t="s">
        <v>40</v>
      </c>
      <c r="Z1091" s="1" t="n">
        <v>1</v>
      </c>
    </row>
    <row r="1092" customFormat="false" ht="15" hidden="false" customHeight="true" outlineLevel="0" collapsed="false">
      <c r="A1092" s="1" t="s">
        <v>1836</v>
      </c>
      <c r="B1092" s="1" t="s">
        <v>1111</v>
      </c>
      <c r="C1092" s="1" t="s">
        <v>128</v>
      </c>
      <c r="D1092" s="1" t="s">
        <v>29</v>
      </c>
      <c r="E1092" s="1" t="s">
        <v>129</v>
      </c>
      <c r="F1092" s="1" t="s">
        <v>125</v>
      </c>
      <c r="G1092" s="1" t="s">
        <v>108</v>
      </c>
      <c r="H1092" s="1" t="s">
        <v>69</v>
      </c>
      <c r="I1092" s="1" t="s">
        <v>83</v>
      </c>
      <c r="J1092" s="1" t="s">
        <v>77</v>
      </c>
      <c r="K1092" s="1" t="s">
        <v>112</v>
      </c>
      <c r="L1092" s="1" t="s">
        <v>85</v>
      </c>
      <c r="M1092" s="1" t="s">
        <v>50</v>
      </c>
      <c r="N1092" s="1" t="n">
        <v>29999</v>
      </c>
      <c r="O1092" s="1" t="n">
        <v>25</v>
      </c>
      <c r="P1092" s="1" t="n">
        <v>7499.75</v>
      </c>
      <c r="Q1092" s="1" t="n">
        <v>22499.25</v>
      </c>
      <c r="R1092" s="1" t="n">
        <v>4049.86</v>
      </c>
      <c r="S1092" s="1" t="n">
        <v>18449.39</v>
      </c>
      <c r="T1092" s="1" t="n">
        <v>5343.35</v>
      </c>
      <c r="U1092" s="1" t="n">
        <v>13106.04</v>
      </c>
      <c r="V1092" s="1" t="n">
        <v>71.04</v>
      </c>
      <c r="W1092" s="1" t="s">
        <v>40</v>
      </c>
      <c r="Y1092" s="1" t="s">
        <v>39</v>
      </c>
      <c r="Z1092" s="1" t="n">
        <v>0</v>
      </c>
    </row>
    <row r="1093" customFormat="false" ht="15" hidden="false" customHeight="true" outlineLevel="0" collapsed="false">
      <c r="A1093" s="1" t="s">
        <v>1837</v>
      </c>
      <c r="B1093" s="1" t="s">
        <v>849</v>
      </c>
      <c r="C1093" s="1" t="s">
        <v>264</v>
      </c>
      <c r="D1093" s="1" t="s">
        <v>44</v>
      </c>
      <c r="E1093" s="1" t="s">
        <v>221</v>
      </c>
      <c r="F1093" s="1" t="s">
        <v>153</v>
      </c>
      <c r="G1093" s="1" t="s">
        <v>76</v>
      </c>
      <c r="H1093" s="1" t="s">
        <v>33</v>
      </c>
      <c r="I1093" s="1" t="s">
        <v>34</v>
      </c>
      <c r="J1093" s="1" t="s">
        <v>59</v>
      </c>
      <c r="K1093" s="1" t="s">
        <v>48</v>
      </c>
      <c r="L1093" s="1" t="s">
        <v>113</v>
      </c>
      <c r="M1093" s="1" t="s">
        <v>38</v>
      </c>
      <c r="N1093" s="1" t="n">
        <v>16999</v>
      </c>
      <c r="O1093" s="1" t="n">
        <v>10</v>
      </c>
      <c r="P1093" s="1" t="n">
        <v>1699.9</v>
      </c>
      <c r="Q1093" s="1" t="n">
        <v>15299.1</v>
      </c>
      <c r="R1093" s="1" t="n">
        <v>2753.84</v>
      </c>
      <c r="S1093" s="1" t="n">
        <v>12545.26</v>
      </c>
      <c r="T1093" s="1" t="n">
        <v>6997.27</v>
      </c>
      <c r="U1093" s="1" t="n">
        <v>5547.99</v>
      </c>
      <c r="V1093" s="1" t="n">
        <v>44.22</v>
      </c>
      <c r="W1093" s="1" t="s">
        <v>40</v>
      </c>
      <c r="Y1093" s="1" t="s">
        <v>40</v>
      </c>
      <c r="Z1093" s="1" t="n">
        <v>0</v>
      </c>
    </row>
    <row r="1094" customFormat="false" ht="15" hidden="false" customHeight="true" outlineLevel="0" collapsed="false">
      <c r="A1094" s="1" t="s">
        <v>1838</v>
      </c>
      <c r="B1094" s="1" t="s">
        <v>1018</v>
      </c>
      <c r="C1094" s="1" t="s">
        <v>134</v>
      </c>
      <c r="D1094" s="1" t="s">
        <v>29</v>
      </c>
      <c r="E1094" s="1" t="s">
        <v>305</v>
      </c>
      <c r="F1094" s="1" t="s">
        <v>96</v>
      </c>
      <c r="G1094" s="1" t="s">
        <v>97</v>
      </c>
      <c r="H1094" s="1" t="s">
        <v>69</v>
      </c>
      <c r="I1094" s="1" t="s">
        <v>34</v>
      </c>
      <c r="J1094" s="1" t="s">
        <v>77</v>
      </c>
      <c r="K1094" s="1" t="s">
        <v>90</v>
      </c>
      <c r="L1094" s="1" t="s">
        <v>113</v>
      </c>
      <c r="M1094" s="1" t="s">
        <v>62</v>
      </c>
      <c r="N1094" s="1" t="n">
        <v>24999</v>
      </c>
      <c r="O1094" s="1" t="n">
        <v>10</v>
      </c>
      <c r="P1094" s="1" t="n">
        <v>2499.9</v>
      </c>
      <c r="Q1094" s="1" t="n">
        <v>22499.1</v>
      </c>
      <c r="R1094" s="1" t="n">
        <v>4049.84</v>
      </c>
      <c r="S1094" s="1" t="n">
        <v>18449.26</v>
      </c>
      <c r="T1094" s="1" t="n">
        <v>7063.81</v>
      </c>
      <c r="U1094" s="1" t="n">
        <v>11385.45</v>
      </c>
      <c r="V1094" s="1" t="n">
        <v>61.71</v>
      </c>
      <c r="W1094" s="1" t="s">
        <v>40</v>
      </c>
      <c r="Y1094" s="1" t="s">
        <v>40</v>
      </c>
      <c r="Z1094" s="1" t="n">
        <v>1</v>
      </c>
    </row>
    <row r="1095" customFormat="false" ht="15" hidden="false" customHeight="true" outlineLevel="0" collapsed="false">
      <c r="A1095" s="1" t="s">
        <v>1839</v>
      </c>
      <c r="B1095" s="1" t="s">
        <v>385</v>
      </c>
      <c r="C1095" s="1" t="s">
        <v>128</v>
      </c>
      <c r="D1095" s="1" t="s">
        <v>94</v>
      </c>
      <c r="E1095" s="1" t="s">
        <v>135</v>
      </c>
      <c r="F1095" s="1" t="s">
        <v>55</v>
      </c>
      <c r="G1095" s="1" t="s">
        <v>56</v>
      </c>
      <c r="H1095" s="1" t="s">
        <v>57</v>
      </c>
      <c r="I1095" s="1" t="s">
        <v>34</v>
      </c>
      <c r="J1095" s="1" t="s">
        <v>70</v>
      </c>
      <c r="K1095" s="1" t="s">
        <v>48</v>
      </c>
      <c r="L1095" s="1" t="s">
        <v>37</v>
      </c>
      <c r="M1095" s="1" t="s">
        <v>62</v>
      </c>
      <c r="N1095" s="1" t="n">
        <v>9999</v>
      </c>
      <c r="O1095" s="1" t="n">
        <v>40</v>
      </c>
      <c r="P1095" s="1" t="n">
        <v>3999.6</v>
      </c>
      <c r="Q1095" s="1" t="n">
        <v>5999.4</v>
      </c>
      <c r="R1095" s="1" t="n">
        <v>1079.89</v>
      </c>
      <c r="S1095" s="1" t="n">
        <v>4919.51</v>
      </c>
      <c r="T1095" s="1" t="n">
        <v>3117.38</v>
      </c>
      <c r="U1095" s="1" t="n">
        <v>1802.13</v>
      </c>
      <c r="V1095" s="1" t="n">
        <v>36.63</v>
      </c>
      <c r="W1095" s="1" t="s">
        <v>39</v>
      </c>
      <c r="Y1095" s="1" t="s">
        <v>40</v>
      </c>
      <c r="Z1095" s="1" t="n">
        <v>0</v>
      </c>
    </row>
    <row r="1096" customFormat="false" ht="15" hidden="false" customHeight="true" outlineLevel="0" collapsed="false">
      <c r="A1096" s="1" t="s">
        <v>1840</v>
      </c>
      <c r="B1096" s="1" t="s">
        <v>1350</v>
      </c>
      <c r="C1096" s="1" t="s">
        <v>128</v>
      </c>
      <c r="D1096" s="1" t="s">
        <v>143</v>
      </c>
      <c r="E1096" s="1" t="s">
        <v>162</v>
      </c>
      <c r="F1096" s="1" t="s">
        <v>156</v>
      </c>
      <c r="G1096" s="1" t="s">
        <v>68</v>
      </c>
      <c r="H1096" s="1" t="s">
        <v>57</v>
      </c>
      <c r="I1096" s="1" t="s">
        <v>34</v>
      </c>
      <c r="J1096" s="1" t="s">
        <v>70</v>
      </c>
      <c r="K1096" s="1" t="s">
        <v>112</v>
      </c>
      <c r="L1096" s="1" t="s">
        <v>113</v>
      </c>
      <c r="M1096" s="1" t="s">
        <v>62</v>
      </c>
      <c r="N1096" s="1" t="n">
        <v>14999</v>
      </c>
      <c r="O1096" s="1" t="n">
        <v>15</v>
      </c>
      <c r="P1096" s="1" t="n">
        <v>2249.85</v>
      </c>
      <c r="Q1096" s="1" t="n">
        <v>12749.15</v>
      </c>
      <c r="R1096" s="1" t="n">
        <v>2294.85</v>
      </c>
      <c r="S1096" s="1" t="n">
        <v>10454.3</v>
      </c>
      <c r="T1096" s="1" t="n">
        <v>5251.9</v>
      </c>
      <c r="U1096" s="1" t="n">
        <v>5202.4</v>
      </c>
      <c r="V1096" s="1" t="n">
        <v>49.76</v>
      </c>
      <c r="W1096" s="1" t="s">
        <v>39</v>
      </c>
      <c r="X1096" s="1" t="n">
        <v>3.7</v>
      </c>
      <c r="Y1096" s="1" t="s">
        <v>40</v>
      </c>
      <c r="Z1096" s="1" t="n">
        <v>0</v>
      </c>
    </row>
    <row r="1097" customFormat="false" ht="15" hidden="false" customHeight="true" outlineLevel="0" collapsed="false">
      <c r="A1097" s="1" t="s">
        <v>1841</v>
      </c>
      <c r="B1097" s="1" t="s">
        <v>1333</v>
      </c>
      <c r="C1097" s="1" t="s">
        <v>93</v>
      </c>
      <c r="D1097" s="1" t="s">
        <v>168</v>
      </c>
      <c r="E1097" s="1" t="s">
        <v>328</v>
      </c>
      <c r="F1097" s="1" t="s">
        <v>1842</v>
      </c>
      <c r="G1097" s="1" t="s">
        <v>76</v>
      </c>
      <c r="H1097" s="1" t="s">
        <v>33</v>
      </c>
      <c r="I1097" s="1" t="s">
        <v>58</v>
      </c>
      <c r="J1097" s="1" t="s">
        <v>131</v>
      </c>
      <c r="K1097" s="1" t="s">
        <v>60</v>
      </c>
      <c r="L1097" s="1" t="s">
        <v>85</v>
      </c>
      <c r="M1097" s="1" t="s">
        <v>62</v>
      </c>
      <c r="N1097" s="1" t="n">
        <v>8999</v>
      </c>
      <c r="O1097" s="1" t="n">
        <v>25</v>
      </c>
      <c r="P1097" s="1" t="n">
        <v>2249.75</v>
      </c>
      <c r="Q1097" s="1" t="n">
        <v>6749.25</v>
      </c>
      <c r="R1097" s="1" t="n">
        <v>1214.87</v>
      </c>
      <c r="S1097" s="1" t="n">
        <v>5534.38</v>
      </c>
      <c r="T1097" s="1" t="n">
        <v>2445.77</v>
      </c>
      <c r="U1097" s="1" t="n">
        <v>3088.61</v>
      </c>
      <c r="V1097" s="1" t="n">
        <v>55.81</v>
      </c>
      <c r="W1097" s="1" t="s">
        <v>39</v>
      </c>
      <c r="X1097" s="1" t="n">
        <v>3.2</v>
      </c>
      <c r="Y1097" s="1" t="s">
        <v>40</v>
      </c>
      <c r="Z1097" s="1" t="n">
        <v>1</v>
      </c>
    </row>
    <row r="1098" customFormat="false" ht="15" hidden="false" customHeight="true" outlineLevel="0" collapsed="false">
      <c r="A1098" s="1" t="s">
        <v>1843</v>
      </c>
      <c r="B1098" s="1" t="s">
        <v>819</v>
      </c>
      <c r="C1098" s="1" t="s">
        <v>43</v>
      </c>
      <c r="D1098" s="1" t="s">
        <v>80</v>
      </c>
      <c r="E1098" s="1" t="s">
        <v>175</v>
      </c>
      <c r="F1098" s="1" t="s">
        <v>130</v>
      </c>
      <c r="G1098" s="1" t="s">
        <v>47</v>
      </c>
      <c r="H1098" s="1" t="s">
        <v>69</v>
      </c>
      <c r="I1098" s="1" t="s">
        <v>34</v>
      </c>
      <c r="J1098" s="1" t="s">
        <v>35</v>
      </c>
      <c r="K1098" s="1" t="s">
        <v>48</v>
      </c>
      <c r="L1098" s="1" t="s">
        <v>113</v>
      </c>
      <c r="M1098" s="1" t="s">
        <v>62</v>
      </c>
      <c r="N1098" s="1" t="n">
        <v>19999</v>
      </c>
      <c r="O1098" s="1" t="n">
        <v>10</v>
      </c>
      <c r="P1098" s="1" t="n">
        <v>1999.9</v>
      </c>
      <c r="Q1098" s="1" t="n">
        <v>17999.1</v>
      </c>
      <c r="R1098" s="1" t="n">
        <v>3239.84</v>
      </c>
      <c r="S1098" s="1" t="n">
        <v>14759.26</v>
      </c>
      <c r="T1098" s="1" t="n">
        <v>5649.36</v>
      </c>
      <c r="U1098" s="1" t="n">
        <v>9109.9</v>
      </c>
      <c r="V1098" s="1" t="n">
        <v>61.72</v>
      </c>
      <c r="W1098" s="1" t="s">
        <v>40</v>
      </c>
      <c r="Y1098" s="1" t="s">
        <v>40</v>
      </c>
      <c r="Z1098" s="1" t="n">
        <v>0</v>
      </c>
    </row>
    <row r="1099" customFormat="false" ht="15" hidden="false" customHeight="true" outlineLevel="0" collapsed="false">
      <c r="A1099" s="1" t="s">
        <v>1844</v>
      </c>
      <c r="B1099" s="1" t="s">
        <v>1845</v>
      </c>
      <c r="C1099" s="1" t="s">
        <v>249</v>
      </c>
      <c r="D1099" s="1" t="s">
        <v>44</v>
      </c>
      <c r="E1099" s="1" t="s">
        <v>221</v>
      </c>
      <c r="F1099" s="1" t="s">
        <v>102</v>
      </c>
      <c r="G1099" s="1" t="s">
        <v>103</v>
      </c>
      <c r="H1099" s="1" t="s">
        <v>33</v>
      </c>
      <c r="I1099" s="1" t="s">
        <v>83</v>
      </c>
      <c r="J1099" s="1" t="s">
        <v>59</v>
      </c>
      <c r="K1099" s="1" t="s">
        <v>60</v>
      </c>
      <c r="L1099" s="1" t="s">
        <v>61</v>
      </c>
      <c r="M1099" s="1" t="s">
        <v>62</v>
      </c>
      <c r="N1099" s="1" t="n">
        <v>16999</v>
      </c>
      <c r="O1099" s="1" t="n">
        <v>0</v>
      </c>
      <c r="P1099" s="1" t="n">
        <v>0</v>
      </c>
      <c r="Q1099" s="1" t="n">
        <v>16999</v>
      </c>
      <c r="R1099" s="1" t="n">
        <v>3059.82</v>
      </c>
      <c r="S1099" s="1" t="n">
        <v>13939.18</v>
      </c>
      <c r="T1099" s="1" t="n">
        <v>6628.17</v>
      </c>
      <c r="U1099" s="1" t="n">
        <v>7311.01</v>
      </c>
      <c r="V1099" s="1" t="n">
        <v>52.45</v>
      </c>
      <c r="W1099" s="1" t="s">
        <v>39</v>
      </c>
      <c r="Y1099" s="1" t="s">
        <v>40</v>
      </c>
      <c r="Z1099" s="1" t="n">
        <v>0</v>
      </c>
    </row>
    <row r="1100" customFormat="false" ht="15" hidden="false" customHeight="true" outlineLevel="0" collapsed="false">
      <c r="A1100" s="1" t="s">
        <v>1846</v>
      </c>
      <c r="B1100" s="1" t="s">
        <v>1847</v>
      </c>
      <c r="C1100" s="1" t="s">
        <v>65</v>
      </c>
      <c r="D1100" s="1" t="s">
        <v>168</v>
      </c>
      <c r="E1100" s="1" t="s">
        <v>169</v>
      </c>
      <c r="F1100" s="1" t="s">
        <v>55</v>
      </c>
      <c r="G1100" s="1" t="s">
        <v>56</v>
      </c>
      <c r="H1100" s="1" t="s">
        <v>57</v>
      </c>
      <c r="I1100" s="1" t="s">
        <v>83</v>
      </c>
      <c r="J1100" s="1" t="s">
        <v>77</v>
      </c>
      <c r="K1100" s="1" t="s">
        <v>71</v>
      </c>
      <c r="L1100" s="1" t="s">
        <v>136</v>
      </c>
      <c r="M1100" s="1" t="s">
        <v>50</v>
      </c>
      <c r="N1100" s="1" t="n">
        <v>4999</v>
      </c>
      <c r="O1100" s="1" t="n">
        <v>40</v>
      </c>
      <c r="P1100" s="1" t="n">
        <v>1999.6</v>
      </c>
      <c r="Q1100" s="1" t="n">
        <v>2999.4</v>
      </c>
      <c r="R1100" s="1" t="n">
        <v>539.89</v>
      </c>
      <c r="S1100" s="1" t="n">
        <v>2459.51</v>
      </c>
      <c r="T1100" s="1" t="n">
        <v>1189.36</v>
      </c>
      <c r="U1100" s="1" t="n">
        <v>1270.15</v>
      </c>
      <c r="V1100" s="1" t="n">
        <v>51.64</v>
      </c>
      <c r="W1100" s="1" t="s">
        <v>40</v>
      </c>
      <c r="Y1100" s="1" t="s">
        <v>40</v>
      </c>
      <c r="Z1100" s="1" t="n">
        <v>2</v>
      </c>
    </row>
    <row r="1101" customFormat="false" ht="15" hidden="false" customHeight="true" outlineLevel="0" collapsed="false">
      <c r="A1101" s="1" t="s">
        <v>1848</v>
      </c>
      <c r="B1101" s="1" t="s">
        <v>1081</v>
      </c>
      <c r="C1101" s="1" t="s">
        <v>43</v>
      </c>
      <c r="D1101" s="1" t="s">
        <v>94</v>
      </c>
      <c r="E1101" s="1" t="s">
        <v>135</v>
      </c>
      <c r="F1101" s="1" t="s">
        <v>153</v>
      </c>
      <c r="G1101" s="1" t="s">
        <v>76</v>
      </c>
      <c r="H1101" s="1" t="s">
        <v>33</v>
      </c>
      <c r="I1101" s="1" t="s">
        <v>83</v>
      </c>
      <c r="J1101" s="1" t="s">
        <v>59</v>
      </c>
      <c r="K1101" s="1" t="s">
        <v>71</v>
      </c>
      <c r="L1101" s="1" t="s">
        <v>37</v>
      </c>
      <c r="M1101" s="1" t="s">
        <v>62</v>
      </c>
      <c r="N1101" s="1" t="n">
        <v>9999</v>
      </c>
      <c r="O1101" s="1" t="n">
        <v>40</v>
      </c>
      <c r="P1101" s="1" t="n">
        <v>3999.6</v>
      </c>
      <c r="Q1101" s="1" t="n">
        <v>5999.4</v>
      </c>
      <c r="R1101" s="1" t="n">
        <v>1079.89</v>
      </c>
      <c r="S1101" s="1" t="n">
        <v>4919.51</v>
      </c>
      <c r="T1101" s="1" t="n">
        <v>2640.53</v>
      </c>
      <c r="U1101" s="1" t="n">
        <v>2278.98</v>
      </c>
      <c r="V1101" s="1" t="n">
        <v>46.33</v>
      </c>
      <c r="W1101" s="1" t="s">
        <v>40</v>
      </c>
      <c r="Y1101" s="1" t="s">
        <v>40</v>
      </c>
      <c r="Z1101" s="1" t="n">
        <v>3</v>
      </c>
    </row>
    <row r="1102" customFormat="false" ht="15" hidden="false" customHeight="true" outlineLevel="0" collapsed="false">
      <c r="A1102" s="1" t="s">
        <v>1849</v>
      </c>
      <c r="B1102" s="1" t="s">
        <v>1316</v>
      </c>
      <c r="C1102" s="1" t="s">
        <v>128</v>
      </c>
      <c r="D1102" s="1" t="s">
        <v>143</v>
      </c>
      <c r="E1102" s="1" t="s">
        <v>162</v>
      </c>
      <c r="F1102" s="1" t="s">
        <v>102</v>
      </c>
      <c r="G1102" s="1" t="s">
        <v>103</v>
      </c>
      <c r="H1102" s="1" t="s">
        <v>33</v>
      </c>
      <c r="I1102" s="1" t="s">
        <v>83</v>
      </c>
      <c r="J1102" s="1" t="s">
        <v>70</v>
      </c>
      <c r="K1102" s="1" t="s">
        <v>60</v>
      </c>
      <c r="L1102" s="1" t="s">
        <v>113</v>
      </c>
      <c r="M1102" s="1" t="s">
        <v>50</v>
      </c>
      <c r="N1102" s="1" t="n">
        <v>14999</v>
      </c>
      <c r="O1102" s="1" t="n">
        <v>0</v>
      </c>
      <c r="P1102" s="1" t="n">
        <v>0</v>
      </c>
      <c r="Q1102" s="1" t="n">
        <v>14999</v>
      </c>
      <c r="R1102" s="1" t="n">
        <v>2699.82</v>
      </c>
      <c r="S1102" s="1" t="n">
        <v>12299.18</v>
      </c>
      <c r="T1102" s="1" t="n">
        <v>6512.66</v>
      </c>
      <c r="U1102" s="1" t="n">
        <v>5786.52</v>
      </c>
      <c r="V1102" s="1" t="n">
        <v>47.05</v>
      </c>
      <c r="W1102" s="1" t="s">
        <v>40</v>
      </c>
      <c r="Y1102" s="1" t="s">
        <v>39</v>
      </c>
      <c r="Z1102" s="1" t="n">
        <v>1</v>
      </c>
    </row>
    <row r="1103" customFormat="false" ht="15" hidden="false" customHeight="true" outlineLevel="0" collapsed="false">
      <c r="A1103" s="1" t="s">
        <v>1850</v>
      </c>
      <c r="B1103" s="1" t="s">
        <v>968</v>
      </c>
      <c r="C1103" s="1" t="s">
        <v>65</v>
      </c>
      <c r="D1103" s="1" t="s">
        <v>44</v>
      </c>
      <c r="E1103" s="1" t="s">
        <v>66</v>
      </c>
      <c r="F1103" s="1" t="s">
        <v>140</v>
      </c>
      <c r="G1103" s="1" t="s">
        <v>97</v>
      </c>
      <c r="H1103" s="1" t="s">
        <v>57</v>
      </c>
      <c r="I1103" s="1" t="s">
        <v>34</v>
      </c>
      <c r="J1103" s="1" t="s">
        <v>77</v>
      </c>
      <c r="K1103" s="1" t="s">
        <v>60</v>
      </c>
      <c r="L1103" s="1" t="s">
        <v>113</v>
      </c>
      <c r="M1103" s="1" t="s">
        <v>62</v>
      </c>
      <c r="N1103" s="1" t="n">
        <v>12999</v>
      </c>
      <c r="O1103" s="1" t="n">
        <v>40</v>
      </c>
      <c r="P1103" s="1" t="n">
        <v>5199.6</v>
      </c>
      <c r="Q1103" s="1" t="n">
        <v>7799.4</v>
      </c>
      <c r="R1103" s="1" t="n">
        <v>1403.89</v>
      </c>
      <c r="S1103" s="1" t="n">
        <v>6395.51</v>
      </c>
      <c r="T1103" s="1" t="n">
        <v>3275.14</v>
      </c>
      <c r="U1103" s="1" t="n">
        <v>3120.37</v>
      </c>
      <c r="V1103" s="1" t="n">
        <v>48.79</v>
      </c>
      <c r="W1103" s="1" t="s">
        <v>40</v>
      </c>
      <c r="Y1103" s="1" t="s">
        <v>40</v>
      </c>
      <c r="Z1103" s="1" t="n">
        <v>2</v>
      </c>
    </row>
    <row r="1104" customFormat="false" ht="15" hidden="false" customHeight="true" outlineLevel="0" collapsed="false">
      <c r="A1104" s="1" t="s">
        <v>1851</v>
      </c>
      <c r="B1104" s="1" t="s">
        <v>836</v>
      </c>
      <c r="C1104" s="1" t="s">
        <v>139</v>
      </c>
      <c r="D1104" s="1" t="s">
        <v>94</v>
      </c>
      <c r="E1104" s="1" t="s">
        <v>135</v>
      </c>
      <c r="F1104" s="1" t="s">
        <v>89</v>
      </c>
      <c r="G1104" s="1" t="s">
        <v>68</v>
      </c>
      <c r="H1104" s="1" t="s">
        <v>33</v>
      </c>
      <c r="I1104" s="1" t="s">
        <v>58</v>
      </c>
      <c r="J1104" s="1" t="s">
        <v>131</v>
      </c>
      <c r="K1104" s="1" t="s">
        <v>71</v>
      </c>
      <c r="L1104" s="1" t="s">
        <v>61</v>
      </c>
      <c r="M1104" s="1" t="s">
        <v>50</v>
      </c>
      <c r="N1104" s="1" t="n">
        <v>9999</v>
      </c>
      <c r="O1104" s="1" t="n">
        <v>20</v>
      </c>
      <c r="P1104" s="1" t="n">
        <v>1999.8</v>
      </c>
      <c r="Q1104" s="1" t="n">
        <v>7999.2</v>
      </c>
      <c r="R1104" s="1" t="n">
        <v>1439.86</v>
      </c>
      <c r="S1104" s="1" t="n">
        <v>6559.34</v>
      </c>
      <c r="T1104" s="1" t="n">
        <v>3371.13</v>
      </c>
      <c r="U1104" s="1" t="n">
        <v>3188.21</v>
      </c>
      <c r="V1104" s="1" t="n">
        <v>48.61</v>
      </c>
      <c r="W1104" s="1" t="s">
        <v>40</v>
      </c>
      <c r="Y1104" s="1" t="s">
        <v>40</v>
      </c>
      <c r="Z1104" s="1" t="n">
        <v>1</v>
      </c>
    </row>
    <row r="1105" customFormat="false" ht="15" hidden="false" customHeight="true" outlineLevel="0" collapsed="false">
      <c r="A1105" s="1" t="s">
        <v>1852</v>
      </c>
      <c r="B1105" s="1" t="s">
        <v>1739</v>
      </c>
      <c r="C1105" s="1" t="s">
        <v>28</v>
      </c>
      <c r="D1105" s="1" t="s">
        <v>80</v>
      </c>
      <c r="E1105" s="1" t="s">
        <v>81</v>
      </c>
      <c r="F1105" s="1" t="s">
        <v>130</v>
      </c>
      <c r="G1105" s="1" t="s">
        <v>47</v>
      </c>
      <c r="H1105" s="1" t="s">
        <v>69</v>
      </c>
      <c r="I1105" s="1" t="s">
        <v>83</v>
      </c>
      <c r="J1105" s="1" t="s">
        <v>131</v>
      </c>
      <c r="K1105" s="1" t="s">
        <v>60</v>
      </c>
      <c r="L1105" s="1" t="s">
        <v>113</v>
      </c>
      <c r="M1105" s="1" t="s">
        <v>62</v>
      </c>
      <c r="N1105" s="1" t="n">
        <v>12999</v>
      </c>
      <c r="O1105" s="1" t="n">
        <v>20</v>
      </c>
      <c r="P1105" s="1" t="n">
        <v>2599.8</v>
      </c>
      <c r="Q1105" s="1" t="n">
        <v>10399.2</v>
      </c>
      <c r="R1105" s="1" t="n">
        <v>1871.86</v>
      </c>
      <c r="S1105" s="1" t="n">
        <v>8527.34</v>
      </c>
      <c r="T1105" s="1" t="n">
        <v>3195.3</v>
      </c>
      <c r="U1105" s="1" t="n">
        <v>5332.04</v>
      </c>
      <c r="V1105" s="1" t="n">
        <v>62.53</v>
      </c>
      <c r="W1105" s="1" t="s">
        <v>40</v>
      </c>
      <c r="Y1105" s="1" t="s">
        <v>39</v>
      </c>
      <c r="Z1105" s="1" t="n">
        <v>0</v>
      </c>
    </row>
    <row r="1106" customFormat="false" ht="15" hidden="false" customHeight="true" outlineLevel="0" collapsed="false">
      <c r="A1106" s="1" t="s">
        <v>1853</v>
      </c>
      <c r="B1106" s="1" t="s">
        <v>1465</v>
      </c>
      <c r="C1106" s="1" t="s">
        <v>100</v>
      </c>
      <c r="D1106" s="1" t="s">
        <v>53</v>
      </c>
      <c r="E1106" s="1" t="s">
        <v>216</v>
      </c>
      <c r="F1106" s="1" t="s">
        <v>96</v>
      </c>
      <c r="G1106" s="1" t="s">
        <v>97</v>
      </c>
      <c r="H1106" s="1" t="s">
        <v>69</v>
      </c>
      <c r="I1106" s="1" t="s">
        <v>83</v>
      </c>
      <c r="J1106" s="1" t="s">
        <v>77</v>
      </c>
      <c r="K1106" s="1" t="s">
        <v>48</v>
      </c>
      <c r="L1106" s="1" t="s">
        <v>85</v>
      </c>
      <c r="M1106" s="1" t="s">
        <v>50</v>
      </c>
      <c r="N1106" s="1" t="n">
        <v>7499</v>
      </c>
      <c r="O1106" s="1" t="n">
        <v>10</v>
      </c>
      <c r="P1106" s="1" t="n">
        <v>749.9</v>
      </c>
      <c r="Q1106" s="1" t="n">
        <v>6749.1</v>
      </c>
      <c r="R1106" s="1" t="n">
        <v>1214.84</v>
      </c>
      <c r="S1106" s="1" t="n">
        <v>5534.26</v>
      </c>
      <c r="T1106" s="1" t="n">
        <v>1887.55</v>
      </c>
      <c r="U1106" s="1" t="n">
        <v>3646.71</v>
      </c>
      <c r="V1106" s="1" t="n">
        <v>65.89</v>
      </c>
      <c r="W1106" s="1" t="s">
        <v>39</v>
      </c>
      <c r="X1106" s="1" t="n">
        <v>3.3</v>
      </c>
      <c r="Y1106" s="1" t="s">
        <v>40</v>
      </c>
      <c r="Z1106" s="1" t="n">
        <v>0</v>
      </c>
    </row>
    <row r="1107" customFormat="false" ht="15" hidden="false" customHeight="true" outlineLevel="0" collapsed="false">
      <c r="A1107" s="1" t="s">
        <v>1854</v>
      </c>
      <c r="B1107" s="1" t="s">
        <v>1855</v>
      </c>
      <c r="C1107" s="1" t="s">
        <v>167</v>
      </c>
      <c r="D1107" s="1" t="s">
        <v>44</v>
      </c>
      <c r="E1107" s="1" t="s">
        <v>221</v>
      </c>
      <c r="F1107" s="1" t="s">
        <v>125</v>
      </c>
      <c r="G1107" s="1" t="s">
        <v>108</v>
      </c>
      <c r="H1107" s="1" t="s">
        <v>69</v>
      </c>
      <c r="I1107" s="1" t="s">
        <v>83</v>
      </c>
      <c r="J1107" s="1" t="s">
        <v>70</v>
      </c>
      <c r="K1107" s="1" t="s">
        <v>90</v>
      </c>
      <c r="L1107" s="1" t="s">
        <v>113</v>
      </c>
      <c r="M1107" s="1" t="s">
        <v>62</v>
      </c>
      <c r="N1107" s="1" t="n">
        <v>16999</v>
      </c>
      <c r="O1107" s="1" t="n">
        <v>20</v>
      </c>
      <c r="P1107" s="1" t="n">
        <v>3399.8</v>
      </c>
      <c r="Q1107" s="1" t="n">
        <v>13599.2</v>
      </c>
      <c r="R1107" s="1" t="n">
        <v>2447.86</v>
      </c>
      <c r="S1107" s="1" t="n">
        <v>11151.34</v>
      </c>
      <c r="T1107" s="1" t="n">
        <v>5198.86</v>
      </c>
      <c r="U1107" s="1" t="n">
        <v>5952.48</v>
      </c>
      <c r="V1107" s="1" t="n">
        <v>53.38</v>
      </c>
      <c r="W1107" s="1" t="s">
        <v>39</v>
      </c>
      <c r="X1107" s="1" t="n">
        <v>3.8</v>
      </c>
      <c r="Y1107" s="1" t="s">
        <v>40</v>
      </c>
      <c r="Z1107" s="1" t="n">
        <v>0</v>
      </c>
    </row>
    <row r="1108" customFormat="false" ht="15" hidden="false" customHeight="true" outlineLevel="0" collapsed="false">
      <c r="A1108" s="1" t="s">
        <v>1856</v>
      </c>
      <c r="B1108" s="1" t="s">
        <v>92</v>
      </c>
      <c r="C1108" s="1" t="s">
        <v>178</v>
      </c>
      <c r="D1108" s="1" t="s">
        <v>123</v>
      </c>
      <c r="E1108" s="1" t="s">
        <v>124</v>
      </c>
      <c r="F1108" s="1" t="s">
        <v>89</v>
      </c>
      <c r="G1108" s="1" t="s">
        <v>68</v>
      </c>
      <c r="H1108" s="1" t="s">
        <v>33</v>
      </c>
      <c r="I1108" s="1" t="s">
        <v>34</v>
      </c>
      <c r="J1108" s="1" t="s">
        <v>77</v>
      </c>
      <c r="K1108" s="1" t="s">
        <v>104</v>
      </c>
      <c r="L1108" s="1" t="s">
        <v>85</v>
      </c>
      <c r="M1108" s="1" t="s">
        <v>50</v>
      </c>
      <c r="N1108" s="1" t="n">
        <v>4999</v>
      </c>
      <c r="O1108" s="1" t="n">
        <v>0</v>
      </c>
      <c r="P1108" s="1" t="n">
        <v>0</v>
      </c>
      <c r="Q1108" s="1" t="n">
        <v>4999</v>
      </c>
      <c r="R1108" s="1" t="n">
        <v>899.82</v>
      </c>
      <c r="S1108" s="1" t="n">
        <v>4099.18</v>
      </c>
      <c r="T1108" s="1" t="n">
        <v>1622.88</v>
      </c>
      <c r="U1108" s="1" t="n">
        <v>2476.3</v>
      </c>
      <c r="V1108" s="1" t="n">
        <v>60.41</v>
      </c>
      <c r="W1108" s="1" t="s">
        <v>39</v>
      </c>
      <c r="X1108" s="1" t="n">
        <v>3.5</v>
      </c>
      <c r="Y1108" s="1" t="s">
        <v>40</v>
      </c>
      <c r="Z1108" s="1" t="n">
        <v>2</v>
      </c>
    </row>
    <row r="1109" customFormat="false" ht="15" hidden="false" customHeight="true" outlineLevel="0" collapsed="false">
      <c r="A1109" s="1" t="s">
        <v>1857</v>
      </c>
      <c r="B1109" s="1" t="s">
        <v>1858</v>
      </c>
      <c r="C1109" s="1" t="s">
        <v>167</v>
      </c>
      <c r="D1109" s="1" t="s">
        <v>94</v>
      </c>
      <c r="E1109" s="1" t="s">
        <v>101</v>
      </c>
      <c r="F1109" s="1" t="s">
        <v>96</v>
      </c>
      <c r="G1109" s="1" t="s">
        <v>97</v>
      </c>
      <c r="H1109" s="1" t="s">
        <v>69</v>
      </c>
      <c r="I1109" s="1" t="s">
        <v>83</v>
      </c>
      <c r="J1109" s="1" t="s">
        <v>77</v>
      </c>
      <c r="K1109" s="1" t="s">
        <v>36</v>
      </c>
      <c r="L1109" s="1" t="s">
        <v>49</v>
      </c>
      <c r="M1109" s="1" t="s">
        <v>62</v>
      </c>
      <c r="N1109" s="1" t="n">
        <v>14999</v>
      </c>
      <c r="O1109" s="1" t="n">
        <v>15</v>
      </c>
      <c r="P1109" s="1" t="n">
        <v>2249.85</v>
      </c>
      <c r="Q1109" s="1" t="n">
        <v>12749.15</v>
      </c>
      <c r="R1109" s="1" t="n">
        <v>2294.85</v>
      </c>
      <c r="S1109" s="1" t="n">
        <v>10454.3</v>
      </c>
      <c r="T1109" s="1" t="n">
        <v>4659.62</v>
      </c>
      <c r="U1109" s="1" t="n">
        <v>5794.68</v>
      </c>
      <c r="V1109" s="1" t="n">
        <v>55.43</v>
      </c>
      <c r="W1109" s="1" t="s">
        <v>39</v>
      </c>
      <c r="Y1109" s="1" t="s">
        <v>40</v>
      </c>
      <c r="Z1109" s="1" t="n">
        <v>0</v>
      </c>
    </row>
    <row r="1110" customFormat="false" ht="15" hidden="false" customHeight="true" outlineLevel="0" collapsed="false">
      <c r="A1110" s="1" t="s">
        <v>1859</v>
      </c>
      <c r="B1110" s="1" t="s">
        <v>227</v>
      </c>
      <c r="C1110" s="1" t="s">
        <v>65</v>
      </c>
      <c r="D1110" s="1" t="s">
        <v>143</v>
      </c>
      <c r="E1110" s="1" t="s">
        <v>159</v>
      </c>
      <c r="F1110" s="1" t="s">
        <v>205</v>
      </c>
      <c r="G1110" s="1" t="s">
        <v>56</v>
      </c>
      <c r="H1110" s="1" t="s">
        <v>69</v>
      </c>
      <c r="I1110" s="1" t="s">
        <v>83</v>
      </c>
      <c r="J1110" s="1" t="s">
        <v>59</v>
      </c>
      <c r="K1110" s="1" t="s">
        <v>48</v>
      </c>
      <c r="L1110" s="1" t="s">
        <v>37</v>
      </c>
      <c r="M1110" s="1" t="s">
        <v>62</v>
      </c>
      <c r="N1110" s="1" t="n">
        <v>24999</v>
      </c>
      <c r="O1110" s="1" t="n">
        <v>20</v>
      </c>
      <c r="P1110" s="1" t="n">
        <v>4999.8</v>
      </c>
      <c r="Q1110" s="1" t="n">
        <v>19999.2</v>
      </c>
      <c r="R1110" s="1" t="n">
        <v>3599.86</v>
      </c>
      <c r="S1110" s="1" t="n">
        <v>16399.34</v>
      </c>
      <c r="T1110" s="1" t="n">
        <v>6284.91</v>
      </c>
      <c r="U1110" s="1" t="n">
        <v>10114.43</v>
      </c>
      <c r="V1110" s="1" t="n">
        <v>61.68</v>
      </c>
      <c r="W1110" s="1" t="s">
        <v>39</v>
      </c>
      <c r="X1110" s="1" t="n">
        <v>3.4</v>
      </c>
      <c r="Y1110" s="1" t="s">
        <v>40</v>
      </c>
      <c r="Z1110" s="1" t="n">
        <v>2</v>
      </c>
    </row>
    <row r="1111" customFormat="false" ht="15" hidden="false" customHeight="true" outlineLevel="0" collapsed="false">
      <c r="A1111" s="1" t="s">
        <v>1860</v>
      </c>
      <c r="B1111" s="1" t="s">
        <v>1333</v>
      </c>
      <c r="C1111" s="1" t="s">
        <v>43</v>
      </c>
      <c r="D1111" s="1" t="s">
        <v>80</v>
      </c>
      <c r="E1111" s="1" t="s">
        <v>190</v>
      </c>
      <c r="F1111" s="1" t="s">
        <v>156</v>
      </c>
      <c r="G1111" s="1" t="s">
        <v>68</v>
      </c>
      <c r="H1111" s="1" t="s">
        <v>57</v>
      </c>
      <c r="I1111" s="1" t="s">
        <v>58</v>
      </c>
      <c r="J1111" s="1" t="s">
        <v>59</v>
      </c>
      <c r="K1111" s="1" t="s">
        <v>84</v>
      </c>
      <c r="L1111" s="1" t="s">
        <v>61</v>
      </c>
      <c r="M1111" s="1" t="s">
        <v>38</v>
      </c>
      <c r="N1111" s="1" t="n">
        <v>15999</v>
      </c>
      <c r="O1111" s="1" t="n">
        <v>30</v>
      </c>
      <c r="P1111" s="1" t="n">
        <v>4799.7</v>
      </c>
      <c r="Q1111" s="1" t="n">
        <v>11199.3</v>
      </c>
      <c r="R1111" s="1" t="n">
        <v>2015.87</v>
      </c>
      <c r="S1111" s="1" t="n">
        <v>9183.43</v>
      </c>
      <c r="T1111" s="1" t="n">
        <v>4165.92</v>
      </c>
      <c r="U1111" s="1" t="n">
        <v>5017.51</v>
      </c>
      <c r="V1111" s="1" t="n">
        <v>54.64</v>
      </c>
      <c r="W1111" s="1" t="s">
        <v>39</v>
      </c>
      <c r="Y1111" s="1" t="s">
        <v>40</v>
      </c>
      <c r="Z1111" s="1" t="n">
        <v>0</v>
      </c>
    </row>
    <row r="1112" customFormat="false" ht="15" hidden="false" customHeight="true" outlineLevel="0" collapsed="false">
      <c r="A1112" s="1" t="s">
        <v>1861</v>
      </c>
      <c r="B1112" s="1" t="s">
        <v>983</v>
      </c>
      <c r="C1112" s="1" t="s">
        <v>43</v>
      </c>
      <c r="D1112" s="1" t="s">
        <v>44</v>
      </c>
      <c r="E1112" s="1" t="s">
        <v>66</v>
      </c>
      <c r="F1112" s="1" t="s">
        <v>244</v>
      </c>
      <c r="G1112" s="1" t="s">
        <v>97</v>
      </c>
      <c r="H1112" s="1" t="s">
        <v>57</v>
      </c>
      <c r="I1112" s="1" t="s">
        <v>83</v>
      </c>
      <c r="J1112" s="1" t="s">
        <v>131</v>
      </c>
      <c r="K1112" s="1" t="s">
        <v>104</v>
      </c>
      <c r="L1112" s="1" t="s">
        <v>61</v>
      </c>
      <c r="M1112" s="1" t="s">
        <v>50</v>
      </c>
      <c r="N1112" s="1" t="n">
        <v>12999</v>
      </c>
      <c r="O1112" s="1" t="n">
        <v>40</v>
      </c>
      <c r="P1112" s="1" t="n">
        <v>5199.6</v>
      </c>
      <c r="Q1112" s="1" t="n">
        <v>7799.4</v>
      </c>
      <c r="R1112" s="1" t="n">
        <v>1403.89</v>
      </c>
      <c r="S1112" s="1" t="n">
        <v>6395.51</v>
      </c>
      <c r="T1112" s="1" t="n">
        <v>3127.63</v>
      </c>
      <c r="U1112" s="1" t="n">
        <v>3267.88</v>
      </c>
      <c r="V1112" s="1" t="n">
        <v>51.1</v>
      </c>
      <c r="W1112" s="1" t="s">
        <v>39</v>
      </c>
      <c r="X1112" s="1" t="n">
        <v>3.4</v>
      </c>
      <c r="Y1112" s="1" t="s">
        <v>40</v>
      </c>
      <c r="Z1112" s="1" t="n">
        <v>0</v>
      </c>
    </row>
    <row r="1113" customFormat="false" ht="15" hidden="false" customHeight="true" outlineLevel="0" collapsed="false">
      <c r="A1113" s="1" t="s">
        <v>1862</v>
      </c>
      <c r="B1113" s="1" t="s">
        <v>1528</v>
      </c>
      <c r="C1113" s="1" t="s">
        <v>249</v>
      </c>
      <c r="D1113" s="1" t="s">
        <v>29</v>
      </c>
      <c r="E1113" s="1" t="s">
        <v>30</v>
      </c>
      <c r="F1113" s="1" t="s">
        <v>153</v>
      </c>
      <c r="G1113" s="1" t="s">
        <v>76</v>
      </c>
      <c r="H1113" s="1" t="s">
        <v>33</v>
      </c>
      <c r="I1113" s="1" t="s">
        <v>83</v>
      </c>
      <c r="J1113" s="1" t="s">
        <v>131</v>
      </c>
      <c r="K1113" s="1" t="s">
        <v>104</v>
      </c>
      <c r="L1113" s="1" t="s">
        <v>113</v>
      </c>
      <c r="M1113" s="1" t="s">
        <v>62</v>
      </c>
      <c r="N1113" s="1" t="n">
        <v>7999</v>
      </c>
      <c r="O1113" s="1" t="n">
        <v>15</v>
      </c>
      <c r="P1113" s="1" t="n">
        <v>1199.85</v>
      </c>
      <c r="Q1113" s="1" t="n">
        <v>6799.15</v>
      </c>
      <c r="R1113" s="1" t="n">
        <v>1223.85</v>
      </c>
      <c r="S1113" s="1" t="n">
        <v>5575.3</v>
      </c>
      <c r="T1113" s="1" t="n">
        <v>2049.94</v>
      </c>
      <c r="U1113" s="1" t="n">
        <v>3525.36</v>
      </c>
      <c r="V1113" s="1" t="n">
        <v>63.23</v>
      </c>
      <c r="W1113" s="1" t="s">
        <v>39</v>
      </c>
      <c r="X1113" s="1" t="n">
        <v>4.5</v>
      </c>
      <c r="Y1113" s="1" t="s">
        <v>40</v>
      </c>
      <c r="Z1113" s="1" t="n">
        <v>1</v>
      </c>
    </row>
    <row r="1114" customFormat="false" ht="15" hidden="false" customHeight="true" outlineLevel="0" collapsed="false">
      <c r="A1114" s="1" t="s">
        <v>1863</v>
      </c>
      <c r="B1114" s="1" t="s">
        <v>537</v>
      </c>
      <c r="C1114" s="1" t="s">
        <v>134</v>
      </c>
      <c r="D1114" s="1" t="s">
        <v>94</v>
      </c>
      <c r="E1114" s="1" t="s">
        <v>135</v>
      </c>
      <c r="F1114" s="1" t="s">
        <v>211</v>
      </c>
      <c r="G1114" s="1" t="s">
        <v>56</v>
      </c>
      <c r="H1114" s="1" t="s">
        <v>69</v>
      </c>
      <c r="I1114" s="1" t="s">
        <v>83</v>
      </c>
      <c r="J1114" s="1" t="s">
        <v>70</v>
      </c>
      <c r="K1114" s="1" t="s">
        <v>48</v>
      </c>
      <c r="L1114" s="1" t="s">
        <v>136</v>
      </c>
      <c r="M1114" s="1" t="s">
        <v>50</v>
      </c>
      <c r="N1114" s="1" t="n">
        <v>9999</v>
      </c>
      <c r="O1114" s="1" t="n">
        <v>40</v>
      </c>
      <c r="P1114" s="1" t="n">
        <v>3999.6</v>
      </c>
      <c r="Q1114" s="1" t="n">
        <v>5999.4</v>
      </c>
      <c r="R1114" s="1" t="n">
        <v>1079.89</v>
      </c>
      <c r="S1114" s="1" t="n">
        <v>4919.51</v>
      </c>
      <c r="T1114" s="1" t="n">
        <v>2105.54</v>
      </c>
      <c r="U1114" s="1" t="n">
        <v>2813.97</v>
      </c>
      <c r="V1114" s="1" t="n">
        <v>57.2</v>
      </c>
      <c r="W1114" s="1" t="s">
        <v>39</v>
      </c>
      <c r="Y1114" s="1" t="s">
        <v>40</v>
      </c>
      <c r="Z1114" s="1" t="n">
        <v>0</v>
      </c>
    </row>
    <row r="1115" customFormat="false" ht="15" hidden="false" customHeight="true" outlineLevel="0" collapsed="false">
      <c r="A1115" s="1" t="s">
        <v>1864</v>
      </c>
      <c r="B1115" s="1" t="s">
        <v>458</v>
      </c>
      <c r="C1115" s="1" t="s">
        <v>100</v>
      </c>
      <c r="D1115" s="1" t="s">
        <v>143</v>
      </c>
      <c r="E1115" s="1" t="s">
        <v>159</v>
      </c>
      <c r="F1115" s="1" t="s">
        <v>130</v>
      </c>
      <c r="G1115" s="1" t="s">
        <v>47</v>
      </c>
      <c r="H1115" s="1" t="s">
        <v>69</v>
      </c>
      <c r="I1115" s="1" t="s">
        <v>83</v>
      </c>
      <c r="J1115" s="1" t="s">
        <v>77</v>
      </c>
      <c r="K1115" s="1" t="s">
        <v>112</v>
      </c>
      <c r="L1115" s="1" t="s">
        <v>49</v>
      </c>
      <c r="M1115" s="1" t="s">
        <v>50</v>
      </c>
      <c r="N1115" s="1" t="n">
        <v>24999</v>
      </c>
      <c r="O1115" s="1" t="n">
        <v>5</v>
      </c>
      <c r="P1115" s="1" t="n">
        <v>1249.95</v>
      </c>
      <c r="Q1115" s="1" t="n">
        <v>23749.05</v>
      </c>
      <c r="R1115" s="1" t="n">
        <v>4274.83</v>
      </c>
      <c r="S1115" s="1" t="n">
        <v>19474.22</v>
      </c>
      <c r="T1115" s="1" t="n">
        <v>7937.46</v>
      </c>
      <c r="U1115" s="1" t="n">
        <v>11536.76</v>
      </c>
      <c r="V1115" s="1" t="n">
        <v>59.24</v>
      </c>
      <c r="W1115" s="1" t="s">
        <v>40</v>
      </c>
      <c r="Y1115" s="1" t="s">
        <v>40</v>
      </c>
      <c r="Z1115" s="1" t="n">
        <v>2</v>
      </c>
    </row>
    <row r="1116" customFormat="false" ht="15" hidden="false" customHeight="true" outlineLevel="0" collapsed="false">
      <c r="A1116" s="1" t="s">
        <v>1865</v>
      </c>
      <c r="B1116" s="1" t="s">
        <v>608</v>
      </c>
      <c r="C1116" s="1" t="s">
        <v>249</v>
      </c>
      <c r="D1116" s="1" t="s">
        <v>143</v>
      </c>
      <c r="E1116" s="1" t="s">
        <v>144</v>
      </c>
      <c r="F1116" s="1" t="s">
        <v>46</v>
      </c>
      <c r="G1116" s="1" t="s">
        <v>47</v>
      </c>
      <c r="H1116" s="1" t="s">
        <v>33</v>
      </c>
      <c r="I1116" s="1" t="s">
        <v>83</v>
      </c>
      <c r="J1116" s="1" t="s">
        <v>35</v>
      </c>
      <c r="K1116" s="1" t="s">
        <v>90</v>
      </c>
      <c r="L1116" s="1" t="s">
        <v>113</v>
      </c>
      <c r="M1116" s="1" t="s">
        <v>62</v>
      </c>
      <c r="N1116" s="1" t="n">
        <v>12999</v>
      </c>
      <c r="O1116" s="1" t="n">
        <v>5</v>
      </c>
      <c r="P1116" s="1" t="n">
        <v>649.95</v>
      </c>
      <c r="Q1116" s="1" t="n">
        <v>12349.05</v>
      </c>
      <c r="R1116" s="1" t="n">
        <v>2222.83</v>
      </c>
      <c r="S1116" s="1" t="n">
        <v>10126.22</v>
      </c>
      <c r="T1116" s="1" t="n">
        <v>4650.82</v>
      </c>
      <c r="U1116" s="1" t="n">
        <v>5475.4</v>
      </c>
      <c r="V1116" s="1" t="n">
        <v>54.07</v>
      </c>
      <c r="W1116" s="1" t="s">
        <v>40</v>
      </c>
      <c r="Y1116" s="1" t="s">
        <v>40</v>
      </c>
      <c r="Z1116" s="1" t="n">
        <v>1</v>
      </c>
    </row>
    <row r="1117" customFormat="false" ht="15" hidden="false" customHeight="true" outlineLevel="0" collapsed="false">
      <c r="A1117" s="1" t="s">
        <v>1866</v>
      </c>
      <c r="B1117" s="1" t="s">
        <v>241</v>
      </c>
      <c r="C1117" s="1" t="s">
        <v>88</v>
      </c>
      <c r="D1117" s="1" t="s">
        <v>94</v>
      </c>
      <c r="E1117" s="1" t="s">
        <v>135</v>
      </c>
      <c r="F1117" s="1" t="s">
        <v>883</v>
      </c>
      <c r="G1117" s="1" t="s">
        <v>68</v>
      </c>
      <c r="H1117" s="1" t="s">
        <v>69</v>
      </c>
      <c r="I1117" s="1" t="s">
        <v>58</v>
      </c>
      <c r="J1117" s="1" t="s">
        <v>59</v>
      </c>
      <c r="K1117" s="1" t="s">
        <v>48</v>
      </c>
      <c r="L1117" s="1" t="s">
        <v>37</v>
      </c>
      <c r="M1117" s="1" t="s">
        <v>38</v>
      </c>
      <c r="N1117" s="1" t="n">
        <v>9999</v>
      </c>
      <c r="O1117" s="1" t="n">
        <v>30</v>
      </c>
      <c r="P1117" s="1" t="n">
        <v>2999.7</v>
      </c>
      <c r="Q1117" s="1" t="n">
        <v>6999.3</v>
      </c>
      <c r="R1117" s="1" t="n">
        <v>1259.87</v>
      </c>
      <c r="S1117" s="1" t="n">
        <v>5739.43</v>
      </c>
      <c r="T1117" s="1" t="n">
        <v>2584.58</v>
      </c>
      <c r="U1117" s="1" t="n">
        <v>3154.85</v>
      </c>
      <c r="V1117" s="1" t="n">
        <v>54.97</v>
      </c>
      <c r="W1117" s="1" t="s">
        <v>40</v>
      </c>
      <c r="Y1117" s="1" t="s">
        <v>39</v>
      </c>
      <c r="Z1117" s="1" t="n">
        <v>0</v>
      </c>
    </row>
    <row r="1118" customFormat="false" ht="15" hidden="false" customHeight="true" outlineLevel="0" collapsed="false">
      <c r="A1118" s="1" t="s">
        <v>1867</v>
      </c>
      <c r="B1118" s="1" t="s">
        <v>227</v>
      </c>
      <c r="C1118" s="1" t="s">
        <v>134</v>
      </c>
      <c r="D1118" s="1" t="s">
        <v>53</v>
      </c>
      <c r="E1118" s="1" t="s">
        <v>116</v>
      </c>
      <c r="F1118" s="1" t="s">
        <v>67</v>
      </c>
      <c r="G1118" s="1" t="s">
        <v>68</v>
      </c>
      <c r="H1118" s="1" t="s">
        <v>69</v>
      </c>
      <c r="I1118" s="1" t="s">
        <v>34</v>
      </c>
      <c r="J1118" s="1" t="s">
        <v>77</v>
      </c>
      <c r="K1118" s="1" t="s">
        <v>90</v>
      </c>
      <c r="L1118" s="1" t="s">
        <v>113</v>
      </c>
      <c r="M1118" s="1" t="s">
        <v>50</v>
      </c>
      <c r="N1118" s="1" t="n">
        <v>9999</v>
      </c>
      <c r="O1118" s="1" t="n">
        <v>10</v>
      </c>
      <c r="P1118" s="1" t="n">
        <v>999.9</v>
      </c>
      <c r="Q1118" s="1" t="n">
        <v>8999.1</v>
      </c>
      <c r="R1118" s="1" t="n">
        <v>1619.84</v>
      </c>
      <c r="S1118" s="1" t="n">
        <v>7379.26</v>
      </c>
      <c r="T1118" s="1" t="n">
        <v>2921.02</v>
      </c>
      <c r="U1118" s="1" t="n">
        <v>4458.24</v>
      </c>
      <c r="V1118" s="1" t="n">
        <v>60.42</v>
      </c>
      <c r="W1118" s="1" t="s">
        <v>40</v>
      </c>
      <c r="Y1118" s="1" t="s">
        <v>40</v>
      </c>
      <c r="Z1118" s="1" t="n">
        <v>1</v>
      </c>
    </row>
    <row r="1119" customFormat="false" ht="15" hidden="false" customHeight="true" outlineLevel="0" collapsed="false">
      <c r="A1119" s="1" t="s">
        <v>1868</v>
      </c>
      <c r="B1119" s="1" t="s">
        <v>1046</v>
      </c>
      <c r="C1119" s="1" t="s">
        <v>264</v>
      </c>
      <c r="D1119" s="1" t="s">
        <v>44</v>
      </c>
      <c r="E1119" s="1" t="s">
        <v>45</v>
      </c>
      <c r="F1119" s="1" t="s">
        <v>474</v>
      </c>
      <c r="G1119" s="1" t="s">
        <v>108</v>
      </c>
      <c r="H1119" s="1" t="s">
        <v>69</v>
      </c>
      <c r="I1119" s="1" t="s">
        <v>58</v>
      </c>
      <c r="J1119" s="1" t="s">
        <v>70</v>
      </c>
      <c r="K1119" s="1" t="s">
        <v>48</v>
      </c>
      <c r="L1119" s="1" t="s">
        <v>61</v>
      </c>
      <c r="M1119" s="1" t="s">
        <v>50</v>
      </c>
      <c r="N1119" s="1" t="n">
        <v>11999</v>
      </c>
      <c r="O1119" s="1" t="n">
        <v>15</v>
      </c>
      <c r="P1119" s="1" t="n">
        <v>1799.85</v>
      </c>
      <c r="Q1119" s="1" t="n">
        <v>10199.15</v>
      </c>
      <c r="R1119" s="1" t="n">
        <v>1835.85</v>
      </c>
      <c r="S1119" s="1" t="n">
        <v>8363.3</v>
      </c>
      <c r="T1119" s="1" t="n">
        <v>3175.44</v>
      </c>
      <c r="U1119" s="1" t="n">
        <v>5187.86</v>
      </c>
      <c r="V1119" s="1" t="n">
        <v>62.03</v>
      </c>
      <c r="W1119" s="1" t="s">
        <v>39</v>
      </c>
      <c r="X1119" s="1" t="n">
        <v>4</v>
      </c>
      <c r="Y1119" s="1" t="s">
        <v>40</v>
      </c>
      <c r="Z1119" s="1" t="n">
        <v>0</v>
      </c>
    </row>
    <row r="1120" customFormat="false" ht="15" hidden="false" customHeight="true" outlineLevel="0" collapsed="false">
      <c r="A1120" s="1" t="s">
        <v>1869</v>
      </c>
      <c r="B1120" s="1" t="s">
        <v>854</v>
      </c>
      <c r="C1120" s="1" t="s">
        <v>65</v>
      </c>
      <c r="D1120" s="1" t="s">
        <v>53</v>
      </c>
      <c r="E1120" s="1" t="s">
        <v>54</v>
      </c>
      <c r="F1120" s="1" t="s">
        <v>96</v>
      </c>
      <c r="G1120" s="1" t="s">
        <v>97</v>
      </c>
      <c r="H1120" s="1" t="s">
        <v>69</v>
      </c>
      <c r="I1120" s="1" t="s">
        <v>83</v>
      </c>
      <c r="J1120" s="1" t="s">
        <v>70</v>
      </c>
      <c r="K1120" s="1" t="s">
        <v>104</v>
      </c>
      <c r="L1120" s="1" t="s">
        <v>49</v>
      </c>
      <c r="M1120" s="1" t="s">
        <v>38</v>
      </c>
      <c r="N1120" s="1" t="n">
        <v>11999</v>
      </c>
      <c r="O1120" s="1" t="n">
        <v>10</v>
      </c>
      <c r="P1120" s="1" t="n">
        <v>1199.9</v>
      </c>
      <c r="Q1120" s="1" t="n">
        <v>10799.1</v>
      </c>
      <c r="R1120" s="1" t="n">
        <v>1943.84</v>
      </c>
      <c r="S1120" s="1" t="n">
        <v>8855.26</v>
      </c>
      <c r="T1120" s="1" t="n">
        <v>3417.19</v>
      </c>
      <c r="U1120" s="1" t="n">
        <v>5438.07</v>
      </c>
      <c r="V1120" s="1" t="n">
        <v>61.41</v>
      </c>
      <c r="W1120" s="1" t="s">
        <v>39</v>
      </c>
      <c r="X1120" s="1" t="n">
        <v>3.2</v>
      </c>
      <c r="Y1120" s="1" t="s">
        <v>40</v>
      </c>
      <c r="Z1120" s="1" t="n">
        <v>0</v>
      </c>
    </row>
    <row r="1121" customFormat="false" ht="15" hidden="false" customHeight="true" outlineLevel="0" collapsed="false">
      <c r="A1121" s="1" t="s">
        <v>1870</v>
      </c>
      <c r="B1121" s="1" t="s">
        <v>458</v>
      </c>
      <c r="C1121" s="1" t="s">
        <v>249</v>
      </c>
      <c r="D1121" s="1" t="s">
        <v>168</v>
      </c>
      <c r="E1121" s="1" t="s">
        <v>197</v>
      </c>
      <c r="F1121" s="1" t="s">
        <v>205</v>
      </c>
      <c r="G1121" s="1" t="s">
        <v>56</v>
      </c>
      <c r="H1121" s="1" t="s">
        <v>69</v>
      </c>
      <c r="I1121" s="1" t="s">
        <v>34</v>
      </c>
      <c r="J1121" s="1" t="s">
        <v>59</v>
      </c>
      <c r="K1121" s="1" t="s">
        <v>60</v>
      </c>
      <c r="L1121" s="1" t="s">
        <v>37</v>
      </c>
      <c r="M1121" s="1" t="s">
        <v>62</v>
      </c>
      <c r="N1121" s="1" t="n">
        <v>8499</v>
      </c>
      <c r="O1121" s="1" t="n">
        <v>0</v>
      </c>
      <c r="P1121" s="1" t="n">
        <v>0</v>
      </c>
      <c r="Q1121" s="1" t="n">
        <v>8499</v>
      </c>
      <c r="R1121" s="1" t="n">
        <v>1529.82</v>
      </c>
      <c r="S1121" s="1" t="n">
        <v>6969.18</v>
      </c>
      <c r="T1121" s="1" t="n">
        <v>2353.04</v>
      </c>
      <c r="U1121" s="1" t="n">
        <v>4616.14</v>
      </c>
      <c r="V1121" s="1" t="n">
        <v>66.24</v>
      </c>
      <c r="W1121" s="1" t="s">
        <v>39</v>
      </c>
      <c r="X1121" s="1" t="n">
        <v>4</v>
      </c>
      <c r="Y1121" s="1" t="s">
        <v>40</v>
      </c>
      <c r="Z1121" s="1" t="n">
        <v>0</v>
      </c>
    </row>
    <row r="1122" customFormat="false" ht="15" hidden="false" customHeight="true" outlineLevel="0" collapsed="false">
      <c r="A1122" s="1" t="s">
        <v>1871</v>
      </c>
      <c r="B1122" s="1" t="s">
        <v>1465</v>
      </c>
      <c r="C1122" s="1" t="s">
        <v>167</v>
      </c>
      <c r="D1122" s="1" t="s">
        <v>80</v>
      </c>
      <c r="E1122" s="1" t="s">
        <v>193</v>
      </c>
      <c r="F1122" s="1" t="s">
        <v>89</v>
      </c>
      <c r="G1122" s="1" t="s">
        <v>68</v>
      </c>
      <c r="H1122" s="1" t="s">
        <v>33</v>
      </c>
      <c r="I1122" s="1" t="s">
        <v>58</v>
      </c>
      <c r="J1122" s="1" t="s">
        <v>77</v>
      </c>
      <c r="K1122" s="1" t="s">
        <v>90</v>
      </c>
      <c r="L1122" s="1" t="s">
        <v>49</v>
      </c>
      <c r="M1122" s="1" t="s">
        <v>62</v>
      </c>
      <c r="N1122" s="1" t="n">
        <v>8999</v>
      </c>
      <c r="O1122" s="1" t="n">
        <v>50</v>
      </c>
      <c r="P1122" s="1" t="n">
        <v>4499.5</v>
      </c>
      <c r="Q1122" s="1" t="n">
        <v>4499.5</v>
      </c>
      <c r="R1122" s="1" t="n">
        <v>809.91</v>
      </c>
      <c r="S1122" s="1" t="n">
        <v>3689.59</v>
      </c>
      <c r="T1122" s="1" t="n">
        <v>2232.11</v>
      </c>
      <c r="U1122" s="1" t="n">
        <v>1457.48</v>
      </c>
      <c r="V1122" s="1" t="n">
        <v>39.5</v>
      </c>
      <c r="W1122" s="1" t="s">
        <v>40</v>
      </c>
      <c r="Y1122" s="1" t="s">
        <v>40</v>
      </c>
      <c r="Z1122" s="1" t="n">
        <v>1</v>
      </c>
    </row>
    <row r="1123" customFormat="false" ht="15" hidden="false" customHeight="true" outlineLevel="0" collapsed="false">
      <c r="A1123" s="1" t="s">
        <v>1872</v>
      </c>
      <c r="B1123" s="1" t="s">
        <v>115</v>
      </c>
      <c r="C1123" s="1" t="s">
        <v>100</v>
      </c>
      <c r="D1123" s="1" t="s">
        <v>29</v>
      </c>
      <c r="E1123" s="1" t="s">
        <v>129</v>
      </c>
      <c r="F1123" s="1" t="s">
        <v>140</v>
      </c>
      <c r="G1123" s="1" t="s">
        <v>97</v>
      </c>
      <c r="H1123" s="1" t="s">
        <v>57</v>
      </c>
      <c r="I1123" s="1" t="s">
        <v>34</v>
      </c>
      <c r="J1123" s="1" t="s">
        <v>131</v>
      </c>
      <c r="K1123" s="1" t="s">
        <v>60</v>
      </c>
      <c r="L1123" s="1" t="s">
        <v>49</v>
      </c>
      <c r="M1123" s="1" t="s">
        <v>50</v>
      </c>
      <c r="N1123" s="1" t="n">
        <v>29999</v>
      </c>
      <c r="O1123" s="1" t="n">
        <v>15</v>
      </c>
      <c r="P1123" s="1" t="n">
        <v>4499.85</v>
      </c>
      <c r="Q1123" s="1" t="n">
        <v>25499.15</v>
      </c>
      <c r="R1123" s="1" t="n">
        <v>4589.85</v>
      </c>
      <c r="S1123" s="1" t="n">
        <v>20909.3</v>
      </c>
      <c r="T1123" s="1" t="n">
        <v>9556.12</v>
      </c>
      <c r="U1123" s="1" t="n">
        <v>11353.18</v>
      </c>
      <c r="V1123" s="1" t="n">
        <v>54.3</v>
      </c>
      <c r="W1123" s="1" t="s">
        <v>39</v>
      </c>
      <c r="X1123" s="1" t="n">
        <v>4</v>
      </c>
      <c r="Y1123" s="1" t="s">
        <v>40</v>
      </c>
      <c r="Z1123" s="1" t="n">
        <v>0</v>
      </c>
    </row>
    <row r="1124" customFormat="false" ht="15" hidden="false" customHeight="true" outlineLevel="0" collapsed="false">
      <c r="A1124" s="1" t="s">
        <v>1873</v>
      </c>
      <c r="B1124" s="1" t="s">
        <v>758</v>
      </c>
      <c r="C1124" s="1" t="s">
        <v>178</v>
      </c>
      <c r="D1124" s="1" t="s">
        <v>53</v>
      </c>
      <c r="E1124" s="1" t="s">
        <v>54</v>
      </c>
      <c r="F1124" s="1" t="s">
        <v>205</v>
      </c>
      <c r="G1124" s="1" t="s">
        <v>56</v>
      </c>
      <c r="H1124" s="1" t="s">
        <v>69</v>
      </c>
      <c r="I1124" s="1" t="s">
        <v>83</v>
      </c>
      <c r="J1124" s="1" t="s">
        <v>59</v>
      </c>
      <c r="K1124" s="1" t="s">
        <v>84</v>
      </c>
      <c r="L1124" s="1" t="s">
        <v>113</v>
      </c>
      <c r="M1124" s="1" t="s">
        <v>50</v>
      </c>
      <c r="N1124" s="1" t="n">
        <v>11999</v>
      </c>
      <c r="O1124" s="1" t="n">
        <v>0</v>
      </c>
      <c r="P1124" s="1" t="n">
        <v>0</v>
      </c>
      <c r="Q1124" s="1" t="n">
        <v>11999</v>
      </c>
      <c r="R1124" s="1" t="n">
        <v>2159.82</v>
      </c>
      <c r="S1124" s="1" t="n">
        <v>9839.18</v>
      </c>
      <c r="T1124" s="1" t="n">
        <v>3261.41</v>
      </c>
      <c r="U1124" s="1" t="n">
        <v>6577.77</v>
      </c>
      <c r="V1124" s="1" t="n">
        <v>66.85</v>
      </c>
      <c r="W1124" s="1" t="s">
        <v>40</v>
      </c>
      <c r="Y1124" s="1" t="s">
        <v>40</v>
      </c>
      <c r="Z1124" s="1" t="n">
        <v>1</v>
      </c>
    </row>
    <row r="1125" customFormat="false" ht="15" hidden="false" customHeight="true" outlineLevel="0" collapsed="false">
      <c r="A1125" s="1" t="s">
        <v>1874</v>
      </c>
      <c r="B1125" s="1" t="s">
        <v>1275</v>
      </c>
      <c r="C1125" s="1" t="s">
        <v>178</v>
      </c>
      <c r="D1125" s="1" t="s">
        <v>143</v>
      </c>
      <c r="E1125" s="1" t="s">
        <v>162</v>
      </c>
      <c r="F1125" s="1" t="s">
        <v>46</v>
      </c>
      <c r="G1125" s="1" t="s">
        <v>47</v>
      </c>
      <c r="H1125" s="1" t="s">
        <v>33</v>
      </c>
      <c r="I1125" s="1" t="s">
        <v>34</v>
      </c>
      <c r="J1125" s="1" t="s">
        <v>131</v>
      </c>
      <c r="K1125" s="1" t="s">
        <v>112</v>
      </c>
      <c r="L1125" s="1" t="s">
        <v>37</v>
      </c>
      <c r="M1125" s="1" t="s">
        <v>50</v>
      </c>
      <c r="N1125" s="1" t="n">
        <v>14999</v>
      </c>
      <c r="O1125" s="1" t="n">
        <v>0</v>
      </c>
      <c r="P1125" s="1" t="n">
        <v>0</v>
      </c>
      <c r="Q1125" s="1" t="n">
        <v>14999</v>
      </c>
      <c r="R1125" s="1" t="n">
        <v>2699.82</v>
      </c>
      <c r="S1125" s="1" t="n">
        <v>12299.18</v>
      </c>
      <c r="T1125" s="1" t="n">
        <v>4665.86</v>
      </c>
      <c r="U1125" s="1" t="n">
        <v>7633.32</v>
      </c>
      <c r="V1125" s="1" t="n">
        <v>62.06</v>
      </c>
      <c r="W1125" s="1" t="s">
        <v>40</v>
      </c>
      <c r="Y1125" s="1" t="s">
        <v>40</v>
      </c>
      <c r="Z1125" s="1" t="n">
        <v>0</v>
      </c>
    </row>
    <row r="1126" customFormat="false" ht="15" hidden="false" customHeight="true" outlineLevel="0" collapsed="false">
      <c r="A1126" s="1" t="s">
        <v>1875</v>
      </c>
      <c r="B1126" s="1" t="s">
        <v>1402</v>
      </c>
      <c r="C1126" s="1" t="s">
        <v>74</v>
      </c>
      <c r="D1126" s="1" t="s">
        <v>44</v>
      </c>
      <c r="E1126" s="1" t="s">
        <v>66</v>
      </c>
      <c r="F1126" s="1" t="s">
        <v>89</v>
      </c>
      <c r="G1126" s="1" t="s">
        <v>68</v>
      </c>
      <c r="H1126" s="1" t="s">
        <v>33</v>
      </c>
      <c r="I1126" s="1" t="s">
        <v>83</v>
      </c>
      <c r="J1126" s="1" t="s">
        <v>77</v>
      </c>
      <c r="K1126" s="1" t="s">
        <v>71</v>
      </c>
      <c r="L1126" s="1" t="s">
        <v>113</v>
      </c>
      <c r="M1126" s="1" t="s">
        <v>50</v>
      </c>
      <c r="N1126" s="1" t="n">
        <v>12999</v>
      </c>
      <c r="O1126" s="1" t="n">
        <v>0</v>
      </c>
      <c r="P1126" s="1" t="n">
        <v>0</v>
      </c>
      <c r="Q1126" s="1" t="n">
        <v>12999</v>
      </c>
      <c r="R1126" s="1" t="n">
        <v>2339.82</v>
      </c>
      <c r="S1126" s="1" t="n">
        <v>10659.18</v>
      </c>
      <c r="T1126" s="1" t="n">
        <v>5104.34</v>
      </c>
      <c r="U1126" s="1" t="n">
        <v>5554.84</v>
      </c>
      <c r="V1126" s="1" t="n">
        <v>52.11</v>
      </c>
      <c r="W1126" s="1" t="s">
        <v>39</v>
      </c>
      <c r="X1126" s="1" t="n">
        <v>4.4</v>
      </c>
      <c r="Y1126" s="1" t="s">
        <v>40</v>
      </c>
      <c r="Z1126" s="1" t="n">
        <v>0</v>
      </c>
    </row>
    <row r="1127" customFormat="false" ht="15" hidden="false" customHeight="true" outlineLevel="0" collapsed="false">
      <c r="A1127" s="1" t="s">
        <v>1876</v>
      </c>
      <c r="B1127" s="1" t="s">
        <v>327</v>
      </c>
      <c r="C1127" s="1" t="s">
        <v>178</v>
      </c>
      <c r="D1127" s="1" t="s">
        <v>94</v>
      </c>
      <c r="E1127" s="1" t="s">
        <v>135</v>
      </c>
      <c r="F1127" s="1" t="s">
        <v>120</v>
      </c>
      <c r="G1127" s="1" t="s">
        <v>47</v>
      </c>
      <c r="H1127" s="1" t="s">
        <v>57</v>
      </c>
      <c r="I1127" s="1" t="s">
        <v>58</v>
      </c>
      <c r="J1127" s="1" t="s">
        <v>70</v>
      </c>
      <c r="K1127" s="1" t="s">
        <v>104</v>
      </c>
      <c r="L1127" s="1" t="s">
        <v>37</v>
      </c>
      <c r="M1127" s="1" t="s">
        <v>62</v>
      </c>
      <c r="N1127" s="1" t="n">
        <v>9999</v>
      </c>
      <c r="O1127" s="1" t="n">
        <v>30</v>
      </c>
      <c r="P1127" s="1" t="n">
        <v>2999.7</v>
      </c>
      <c r="Q1127" s="1" t="n">
        <v>6999.3</v>
      </c>
      <c r="R1127" s="1" t="n">
        <v>1259.87</v>
      </c>
      <c r="S1127" s="1" t="n">
        <v>5739.43</v>
      </c>
      <c r="T1127" s="1" t="n">
        <v>2245.87</v>
      </c>
      <c r="U1127" s="1" t="n">
        <v>3493.56</v>
      </c>
      <c r="V1127" s="1" t="n">
        <v>60.87</v>
      </c>
      <c r="W1127" s="1" t="s">
        <v>39</v>
      </c>
      <c r="X1127" s="1" t="n">
        <v>3.4</v>
      </c>
      <c r="Y1127" s="1" t="s">
        <v>39</v>
      </c>
      <c r="Z1127" s="1" t="n">
        <v>0</v>
      </c>
    </row>
    <row r="1128" customFormat="false" ht="15" hidden="false" customHeight="true" outlineLevel="0" collapsed="false">
      <c r="A1128" s="1" t="s">
        <v>1877</v>
      </c>
      <c r="B1128" s="1" t="s">
        <v>327</v>
      </c>
      <c r="C1128" s="1" t="s">
        <v>1602</v>
      </c>
      <c r="D1128" s="1" t="s">
        <v>168</v>
      </c>
      <c r="E1128" s="1" t="s">
        <v>172</v>
      </c>
      <c r="F1128" s="1" t="s">
        <v>187</v>
      </c>
      <c r="G1128" s="1" t="s">
        <v>97</v>
      </c>
      <c r="H1128" s="1" t="s">
        <v>69</v>
      </c>
      <c r="I1128" s="1" t="s">
        <v>58</v>
      </c>
      <c r="J1128" s="1" t="s">
        <v>70</v>
      </c>
      <c r="K1128" s="1" t="s">
        <v>112</v>
      </c>
      <c r="L1128" s="1" t="s">
        <v>61</v>
      </c>
      <c r="M1128" s="1" t="s">
        <v>38</v>
      </c>
      <c r="N1128" s="1" t="n">
        <v>6999</v>
      </c>
      <c r="O1128" s="1" t="n">
        <v>25</v>
      </c>
      <c r="P1128" s="1" t="n">
        <v>1749.75</v>
      </c>
      <c r="Q1128" s="1" t="n">
        <v>5249.25</v>
      </c>
      <c r="R1128" s="1" t="n">
        <v>944.87</v>
      </c>
      <c r="S1128" s="1" t="n">
        <v>4304.38</v>
      </c>
      <c r="T1128" s="1" t="n">
        <v>1925.52</v>
      </c>
      <c r="U1128" s="1" t="n">
        <v>2378.86</v>
      </c>
      <c r="V1128" s="1" t="n">
        <v>55.27</v>
      </c>
      <c r="W1128" s="1" t="s">
        <v>39</v>
      </c>
      <c r="X1128" s="1" t="n">
        <v>3.9</v>
      </c>
      <c r="Y1128" s="1" t="s">
        <v>40</v>
      </c>
      <c r="Z1128" s="1" t="n">
        <v>1</v>
      </c>
    </row>
    <row r="1129" customFormat="false" ht="15" hidden="false" customHeight="true" outlineLevel="0" collapsed="false">
      <c r="A1129" s="1" t="s">
        <v>1878</v>
      </c>
      <c r="B1129" s="1" t="s">
        <v>1596</v>
      </c>
      <c r="C1129" s="1" t="s">
        <v>93</v>
      </c>
      <c r="D1129" s="1" t="s">
        <v>80</v>
      </c>
      <c r="E1129" s="1" t="s">
        <v>190</v>
      </c>
      <c r="F1129" s="1" t="s">
        <v>244</v>
      </c>
      <c r="G1129" s="1" t="s">
        <v>97</v>
      </c>
      <c r="H1129" s="1" t="s">
        <v>57</v>
      </c>
      <c r="I1129" s="1" t="s">
        <v>58</v>
      </c>
      <c r="J1129" s="1" t="s">
        <v>35</v>
      </c>
      <c r="K1129" s="1" t="s">
        <v>84</v>
      </c>
      <c r="L1129" s="1" t="s">
        <v>49</v>
      </c>
      <c r="M1129" s="1" t="s">
        <v>50</v>
      </c>
      <c r="N1129" s="1" t="n">
        <v>15999</v>
      </c>
      <c r="O1129" s="1" t="n">
        <v>40</v>
      </c>
      <c r="P1129" s="1" t="n">
        <v>6399.6</v>
      </c>
      <c r="Q1129" s="1" t="n">
        <v>9599.4</v>
      </c>
      <c r="R1129" s="1" t="n">
        <v>1727.89</v>
      </c>
      <c r="S1129" s="1" t="n">
        <v>7871.51</v>
      </c>
      <c r="T1129" s="1" t="n">
        <v>4166.18</v>
      </c>
      <c r="U1129" s="1" t="n">
        <v>3705.33</v>
      </c>
      <c r="V1129" s="1" t="n">
        <v>47.07</v>
      </c>
      <c r="W1129" s="1" t="s">
        <v>39</v>
      </c>
      <c r="X1129" s="1" t="n">
        <v>3.6</v>
      </c>
      <c r="Y1129" s="1" t="s">
        <v>40</v>
      </c>
      <c r="Z1129" s="1" t="n">
        <v>0</v>
      </c>
    </row>
    <row r="1130" customFormat="false" ht="15" hidden="false" customHeight="true" outlineLevel="0" collapsed="false">
      <c r="A1130" s="1" t="s">
        <v>1879</v>
      </c>
      <c r="B1130" s="1" t="s">
        <v>177</v>
      </c>
      <c r="C1130" s="1" t="s">
        <v>43</v>
      </c>
      <c r="D1130" s="1" t="s">
        <v>123</v>
      </c>
      <c r="E1130" s="1" t="s">
        <v>233</v>
      </c>
      <c r="F1130" s="1" t="s">
        <v>211</v>
      </c>
      <c r="G1130" s="1" t="s">
        <v>56</v>
      </c>
      <c r="H1130" s="1" t="s">
        <v>69</v>
      </c>
      <c r="I1130" s="1" t="s">
        <v>34</v>
      </c>
      <c r="J1130" s="1" t="s">
        <v>70</v>
      </c>
      <c r="K1130" s="1" t="s">
        <v>84</v>
      </c>
      <c r="L1130" s="1" t="s">
        <v>85</v>
      </c>
      <c r="M1130" s="1" t="s">
        <v>50</v>
      </c>
      <c r="N1130" s="1" t="n">
        <v>8999</v>
      </c>
      <c r="O1130" s="1" t="n">
        <v>50</v>
      </c>
      <c r="P1130" s="1" t="n">
        <v>4499.5</v>
      </c>
      <c r="Q1130" s="1" t="n">
        <v>4499.5</v>
      </c>
      <c r="R1130" s="1" t="n">
        <v>809.91</v>
      </c>
      <c r="S1130" s="1" t="n">
        <v>3689.59</v>
      </c>
      <c r="T1130" s="1" t="n">
        <v>1865.3</v>
      </c>
      <c r="U1130" s="1" t="n">
        <v>1824.29</v>
      </c>
      <c r="V1130" s="1" t="n">
        <v>49.44</v>
      </c>
      <c r="W1130" s="1" t="s">
        <v>40</v>
      </c>
      <c r="Y1130" s="1" t="s">
        <v>40</v>
      </c>
      <c r="Z1130" s="1" t="n">
        <v>0</v>
      </c>
    </row>
    <row r="1131" customFormat="false" ht="15" hidden="false" customHeight="true" outlineLevel="0" collapsed="false">
      <c r="A1131" s="1" t="s">
        <v>1880</v>
      </c>
      <c r="B1131" s="1" t="s">
        <v>839</v>
      </c>
      <c r="C1131" s="1" t="s">
        <v>65</v>
      </c>
      <c r="D1131" s="1" t="s">
        <v>44</v>
      </c>
      <c r="E1131" s="1" t="s">
        <v>221</v>
      </c>
      <c r="F1131" s="1" t="s">
        <v>82</v>
      </c>
      <c r="G1131" s="1" t="s">
        <v>56</v>
      </c>
      <c r="H1131" s="1" t="s">
        <v>69</v>
      </c>
      <c r="I1131" s="1" t="s">
        <v>58</v>
      </c>
      <c r="J1131" s="1" t="s">
        <v>70</v>
      </c>
      <c r="K1131" s="1" t="s">
        <v>36</v>
      </c>
      <c r="L1131" s="1" t="s">
        <v>37</v>
      </c>
      <c r="M1131" s="1" t="s">
        <v>38</v>
      </c>
      <c r="N1131" s="1" t="n">
        <v>16999</v>
      </c>
      <c r="O1131" s="1" t="n">
        <v>0</v>
      </c>
      <c r="P1131" s="1" t="n">
        <v>0</v>
      </c>
      <c r="Q1131" s="1" t="n">
        <v>16999</v>
      </c>
      <c r="R1131" s="1" t="n">
        <v>3059.82</v>
      </c>
      <c r="S1131" s="1" t="n">
        <v>13939.18</v>
      </c>
      <c r="T1131" s="1" t="n">
        <v>4158.75</v>
      </c>
      <c r="U1131" s="1" t="n">
        <v>9780.43</v>
      </c>
      <c r="V1131" s="1" t="n">
        <v>70.17</v>
      </c>
      <c r="W1131" s="1" t="s">
        <v>39</v>
      </c>
      <c r="X1131" s="1" t="n">
        <v>3.3</v>
      </c>
      <c r="Y1131" s="1" t="s">
        <v>40</v>
      </c>
      <c r="Z1131" s="1" t="n">
        <v>0</v>
      </c>
    </row>
    <row r="1132" customFormat="false" ht="15" hidden="false" customHeight="true" outlineLevel="0" collapsed="false">
      <c r="A1132" s="1" t="s">
        <v>1881</v>
      </c>
      <c r="B1132" s="1" t="s">
        <v>1558</v>
      </c>
      <c r="C1132" s="1" t="s">
        <v>178</v>
      </c>
      <c r="D1132" s="1" t="s">
        <v>123</v>
      </c>
      <c r="E1132" s="1" t="s">
        <v>147</v>
      </c>
      <c r="F1132" s="1" t="s">
        <v>89</v>
      </c>
      <c r="G1132" s="1" t="s">
        <v>68</v>
      </c>
      <c r="H1132" s="1" t="s">
        <v>33</v>
      </c>
      <c r="I1132" s="1" t="s">
        <v>83</v>
      </c>
      <c r="J1132" s="1" t="s">
        <v>77</v>
      </c>
      <c r="K1132" s="1" t="s">
        <v>71</v>
      </c>
      <c r="L1132" s="1" t="s">
        <v>49</v>
      </c>
      <c r="M1132" s="1" t="s">
        <v>50</v>
      </c>
      <c r="N1132" s="1" t="n">
        <v>6999</v>
      </c>
      <c r="O1132" s="1" t="n">
        <v>5</v>
      </c>
      <c r="P1132" s="1" t="n">
        <v>349.95</v>
      </c>
      <c r="Q1132" s="1" t="n">
        <v>6649.05</v>
      </c>
      <c r="R1132" s="1" t="n">
        <v>1196.83</v>
      </c>
      <c r="S1132" s="1" t="n">
        <v>5452.22</v>
      </c>
      <c r="T1132" s="1" t="n">
        <v>2383.54</v>
      </c>
      <c r="U1132" s="1" t="n">
        <v>3068.68</v>
      </c>
      <c r="V1132" s="1" t="n">
        <v>56.28</v>
      </c>
      <c r="W1132" s="1" t="s">
        <v>40</v>
      </c>
      <c r="Y1132" s="1" t="s">
        <v>40</v>
      </c>
      <c r="Z1132" s="1" t="n">
        <v>0</v>
      </c>
    </row>
    <row r="1133" customFormat="false" ht="15" hidden="false" customHeight="true" outlineLevel="0" collapsed="false">
      <c r="A1133" s="1" t="s">
        <v>1882</v>
      </c>
      <c r="B1133" s="1" t="s">
        <v>438</v>
      </c>
      <c r="C1133" s="1" t="s">
        <v>249</v>
      </c>
      <c r="D1133" s="1" t="s">
        <v>94</v>
      </c>
      <c r="E1133" s="1" t="s">
        <v>135</v>
      </c>
      <c r="F1133" s="1" t="s">
        <v>89</v>
      </c>
      <c r="G1133" s="1" t="s">
        <v>68</v>
      </c>
      <c r="H1133" s="1" t="s">
        <v>33</v>
      </c>
      <c r="I1133" s="1" t="s">
        <v>34</v>
      </c>
      <c r="J1133" s="1" t="s">
        <v>35</v>
      </c>
      <c r="K1133" s="1" t="s">
        <v>90</v>
      </c>
      <c r="L1133" s="1" t="s">
        <v>49</v>
      </c>
      <c r="M1133" s="1" t="s">
        <v>62</v>
      </c>
      <c r="N1133" s="1" t="n">
        <v>9999</v>
      </c>
      <c r="O1133" s="1" t="n">
        <v>15</v>
      </c>
      <c r="P1133" s="1" t="n">
        <v>1499.85</v>
      </c>
      <c r="Q1133" s="1" t="n">
        <v>8499.15</v>
      </c>
      <c r="R1133" s="1" t="n">
        <v>1529.85</v>
      </c>
      <c r="S1133" s="1" t="n">
        <v>6969.3</v>
      </c>
      <c r="T1133" s="1" t="n">
        <v>2900.23</v>
      </c>
      <c r="U1133" s="1" t="n">
        <v>4069.07</v>
      </c>
      <c r="V1133" s="1" t="n">
        <v>58.39</v>
      </c>
      <c r="W1133" s="1" t="s">
        <v>39</v>
      </c>
      <c r="X1133" s="1" t="n">
        <v>2.9</v>
      </c>
      <c r="Y1133" s="1" t="s">
        <v>40</v>
      </c>
      <c r="Z1133" s="1" t="n">
        <v>1</v>
      </c>
    </row>
    <row r="1134" customFormat="false" ht="15" hidden="false" customHeight="true" outlineLevel="0" collapsed="false">
      <c r="A1134" s="1" t="s">
        <v>1883</v>
      </c>
      <c r="B1134" s="1" t="s">
        <v>209</v>
      </c>
      <c r="C1134" s="1" t="s">
        <v>88</v>
      </c>
      <c r="D1134" s="1" t="s">
        <v>168</v>
      </c>
      <c r="E1134" s="1" t="s">
        <v>197</v>
      </c>
      <c r="F1134" s="1" t="s">
        <v>102</v>
      </c>
      <c r="G1134" s="1" t="s">
        <v>103</v>
      </c>
      <c r="H1134" s="1" t="s">
        <v>33</v>
      </c>
      <c r="I1134" s="1" t="s">
        <v>34</v>
      </c>
      <c r="J1134" s="1" t="s">
        <v>70</v>
      </c>
      <c r="K1134" s="1" t="s">
        <v>104</v>
      </c>
      <c r="L1134" s="1" t="s">
        <v>37</v>
      </c>
      <c r="M1134" s="1" t="s">
        <v>50</v>
      </c>
      <c r="N1134" s="1" t="n">
        <v>8499</v>
      </c>
      <c r="O1134" s="1" t="n">
        <v>10</v>
      </c>
      <c r="P1134" s="1" t="n">
        <v>849.9</v>
      </c>
      <c r="Q1134" s="1" t="n">
        <v>7649.1</v>
      </c>
      <c r="R1134" s="1" t="n">
        <v>1376.84</v>
      </c>
      <c r="S1134" s="1" t="n">
        <v>6272.26</v>
      </c>
      <c r="T1134" s="1" t="n">
        <v>2820.47</v>
      </c>
      <c r="U1134" s="1" t="n">
        <v>3451.79</v>
      </c>
      <c r="V1134" s="1" t="n">
        <v>55.03</v>
      </c>
      <c r="W1134" s="1" t="s">
        <v>40</v>
      </c>
      <c r="Y1134" s="1" t="s">
        <v>40</v>
      </c>
      <c r="Z1134" s="1" t="n">
        <v>1</v>
      </c>
    </row>
    <row r="1135" customFormat="false" ht="15" hidden="false" customHeight="true" outlineLevel="0" collapsed="false">
      <c r="A1135" s="1" t="s">
        <v>1884</v>
      </c>
      <c r="B1135" s="1" t="s">
        <v>1588</v>
      </c>
      <c r="C1135" s="1" t="s">
        <v>28</v>
      </c>
      <c r="D1135" s="1" t="s">
        <v>53</v>
      </c>
      <c r="E1135" s="1" t="s">
        <v>116</v>
      </c>
      <c r="F1135" s="1" t="s">
        <v>120</v>
      </c>
      <c r="G1135" s="1" t="s">
        <v>47</v>
      </c>
      <c r="H1135" s="1" t="s">
        <v>57</v>
      </c>
      <c r="I1135" s="1" t="s">
        <v>58</v>
      </c>
      <c r="J1135" s="1" t="s">
        <v>59</v>
      </c>
      <c r="K1135" s="1" t="s">
        <v>84</v>
      </c>
      <c r="L1135" s="1" t="s">
        <v>85</v>
      </c>
      <c r="M1135" s="1" t="s">
        <v>38</v>
      </c>
      <c r="N1135" s="1" t="n">
        <v>9999</v>
      </c>
      <c r="O1135" s="1" t="n">
        <v>0</v>
      </c>
      <c r="P1135" s="1" t="n">
        <v>0</v>
      </c>
      <c r="Q1135" s="1" t="n">
        <v>9999</v>
      </c>
      <c r="R1135" s="1" t="n">
        <v>1799.82</v>
      </c>
      <c r="S1135" s="1" t="n">
        <v>8199.18</v>
      </c>
      <c r="T1135" s="1" t="n">
        <v>4233.22</v>
      </c>
      <c r="U1135" s="1" t="n">
        <v>3965.96</v>
      </c>
      <c r="V1135" s="1" t="n">
        <v>48.37</v>
      </c>
      <c r="W1135" s="1" t="s">
        <v>40</v>
      </c>
      <c r="Y1135" s="1" t="s">
        <v>40</v>
      </c>
      <c r="Z1135" s="1" t="n">
        <v>0</v>
      </c>
    </row>
    <row r="1136" customFormat="false" ht="15" hidden="false" customHeight="true" outlineLevel="0" collapsed="false">
      <c r="A1136" s="1" t="s">
        <v>1885</v>
      </c>
      <c r="B1136" s="1" t="s">
        <v>360</v>
      </c>
      <c r="C1136" s="1" t="s">
        <v>128</v>
      </c>
      <c r="D1136" s="1" t="s">
        <v>53</v>
      </c>
      <c r="E1136" s="1" t="s">
        <v>216</v>
      </c>
      <c r="F1136" s="1" t="s">
        <v>187</v>
      </c>
      <c r="G1136" s="1" t="s">
        <v>97</v>
      </c>
      <c r="H1136" s="1" t="s">
        <v>69</v>
      </c>
      <c r="I1136" s="1" t="s">
        <v>58</v>
      </c>
      <c r="J1136" s="1" t="s">
        <v>59</v>
      </c>
      <c r="K1136" s="1" t="s">
        <v>60</v>
      </c>
      <c r="L1136" s="1" t="s">
        <v>113</v>
      </c>
      <c r="M1136" s="1" t="s">
        <v>38</v>
      </c>
      <c r="N1136" s="1" t="n">
        <v>7499</v>
      </c>
      <c r="O1136" s="1" t="n">
        <v>50</v>
      </c>
      <c r="P1136" s="1" t="n">
        <v>3749.5</v>
      </c>
      <c r="Q1136" s="1" t="n">
        <v>3749.5</v>
      </c>
      <c r="R1136" s="1" t="n">
        <v>674.91</v>
      </c>
      <c r="S1136" s="1" t="n">
        <v>3074.59</v>
      </c>
      <c r="T1136" s="1" t="n">
        <v>1618.72</v>
      </c>
      <c r="U1136" s="1" t="n">
        <v>1455.87</v>
      </c>
      <c r="V1136" s="1" t="n">
        <v>47.35</v>
      </c>
      <c r="W1136" s="1" t="s">
        <v>40</v>
      </c>
      <c r="Y1136" s="1" t="s">
        <v>39</v>
      </c>
      <c r="Z1136" s="1" t="n">
        <v>0</v>
      </c>
    </row>
    <row r="1137" customFormat="false" ht="15" hidden="false" customHeight="true" outlineLevel="0" collapsed="false">
      <c r="A1137" s="1" t="s">
        <v>1886</v>
      </c>
      <c r="B1137" s="1" t="s">
        <v>1830</v>
      </c>
      <c r="C1137" s="1" t="s">
        <v>65</v>
      </c>
      <c r="D1137" s="1" t="s">
        <v>94</v>
      </c>
      <c r="E1137" s="1" t="s">
        <v>101</v>
      </c>
      <c r="F1137" s="1" t="s">
        <v>194</v>
      </c>
      <c r="G1137" s="1" t="s">
        <v>103</v>
      </c>
      <c r="H1137" s="1" t="s">
        <v>69</v>
      </c>
      <c r="I1137" s="1" t="s">
        <v>58</v>
      </c>
      <c r="J1137" s="1" t="s">
        <v>131</v>
      </c>
      <c r="K1137" s="1" t="s">
        <v>60</v>
      </c>
      <c r="L1137" s="1" t="s">
        <v>113</v>
      </c>
      <c r="M1137" s="1" t="s">
        <v>62</v>
      </c>
      <c r="N1137" s="1" t="n">
        <v>14999</v>
      </c>
      <c r="O1137" s="1" t="n">
        <v>0</v>
      </c>
      <c r="P1137" s="1" t="n">
        <v>0</v>
      </c>
      <c r="Q1137" s="1" t="n">
        <v>14999</v>
      </c>
      <c r="R1137" s="1" t="n">
        <v>2699.82</v>
      </c>
      <c r="S1137" s="1" t="n">
        <v>12299.18</v>
      </c>
      <c r="T1137" s="1" t="n">
        <v>3504.36</v>
      </c>
      <c r="U1137" s="1" t="n">
        <v>8794.82</v>
      </c>
      <c r="V1137" s="1" t="n">
        <v>71.51</v>
      </c>
      <c r="W1137" s="1" t="s">
        <v>40</v>
      </c>
      <c r="Y1137" s="1" t="s">
        <v>40</v>
      </c>
      <c r="Z1137" s="1" t="n">
        <v>0</v>
      </c>
    </row>
    <row r="1138" customFormat="false" ht="15" hidden="false" customHeight="true" outlineLevel="0" collapsed="false">
      <c r="A1138" s="1" t="s">
        <v>1887</v>
      </c>
      <c r="B1138" s="1" t="s">
        <v>1058</v>
      </c>
      <c r="C1138" s="1" t="s">
        <v>65</v>
      </c>
      <c r="D1138" s="1" t="s">
        <v>44</v>
      </c>
      <c r="E1138" s="1" t="s">
        <v>221</v>
      </c>
      <c r="F1138" s="1" t="s">
        <v>205</v>
      </c>
      <c r="G1138" s="1" t="s">
        <v>56</v>
      </c>
      <c r="H1138" s="1" t="s">
        <v>69</v>
      </c>
      <c r="I1138" s="1" t="s">
        <v>83</v>
      </c>
      <c r="J1138" s="1" t="s">
        <v>131</v>
      </c>
      <c r="K1138" s="1" t="s">
        <v>71</v>
      </c>
      <c r="L1138" s="1" t="s">
        <v>49</v>
      </c>
      <c r="M1138" s="1" t="s">
        <v>50</v>
      </c>
      <c r="N1138" s="1" t="n">
        <v>16999</v>
      </c>
      <c r="O1138" s="1" t="n">
        <v>30</v>
      </c>
      <c r="P1138" s="1" t="n">
        <v>5099.7</v>
      </c>
      <c r="Q1138" s="1" t="n">
        <v>11899.3</v>
      </c>
      <c r="R1138" s="1" t="n">
        <v>2141.87</v>
      </c>
      <c r="S1138" s="1" t="n">
        <v>9757.43</v>
      </c>
      <c r="T1138" s="1" t="n">
        <v>4428.96</v>
      </c>
      <c r="U1138" s="1" t="n">
        <v>5328.47</v>
      </c>
      <c r="V1138" s="1" t="n">
        <v>54.61</v>
      </c>
      <c r="W1138" s="1" t="s">
        <v>39</v>
      </c>
      <c r="X1138" s="1" t="n">
        <v>3.6</v>
      </c>
      <c r="Y1138" s="1" t="s">
        <v>40</v>
      </c>
      <c r="Z1138" s="1" t="n">
        <v>0</v>
      </c>
    </row>
    <row r="1139" customFormat="false" ht="15" hidden="false" customHeight="true" outlineLevel="0" collapsed="false">
      <c r="A1139" s="1" t="s">
        <v>1888</v>
      </c>
      <c r="B1139" s="1" t="s">
        <v>614</v>
      </c>
      <c r="C1139" s="1" t="s">
        <v>167</v>
      </c>
      <c r="D1139" s="1" t="s">
        <v>29</v>
      </c>
      <c r="E1139" s="1" t="s">
        <v>305</v>
      </c>
      <c r="F1139" s="1" t="s">
        <v>31</v>
      </c>
      <c r="G1139" s="1" t="s">
        <v>32</v>
      </c>
      <c r="H1139" s="1" t="s">
        <v>33</v>
      </c>
      <c r="I1139" s="1" t="s">
        <v>34</v>
      </c>
      <c r="J1139" s="1" t="s">
        <v>131</v>
      </c>
      <c r="K1139" s="1" t="s">
        <v>104</v>
      </c>
      <c r="L1139" s="1" t="s">
        <v>113</v>
      </c>
      <c r="M1139" s="1" t="s">
        <v>62</v>
      </c>
      <c r="N1139" s="1" t="n">
        <v>24999</v>
      </c>
      <c r="O1139" s="1" t="n">
        <v>30</v>
      </c>
      <c r="P1139" s="1" t="n">
        <v>7499.7</v>
      </c>
      <c r="Q1139" s="1" t="n">
        <v>17499.3</v>
      </c>
      <c r="R1139" s="1" t="n">
        <v>3149.87</v>
      </c>
      <c r="S1139" s="1" t="n">
        <v>14349.43</v>
      </c>
      <c r="T1139" s="1" t="n">
        <v>5817.48</v>
      </c>
      <c r="U1139" s="1" t="n">
        <v>8531.95</v>
      </c>
      <c r="V1139" s="1" t="n">
        <v>59.46</v>
      </c>
      <c r="W1139" s="1" t="s">
        <v>39</v>
      </c>
      <c r="Y1139" s="1" t="s">
        <v>40</v>
      </c>
      <c r="Z1139" s="1" t="n">
        <v>0</v>
      </c>
    </row>
    <row r="1140" customFormat="false" ht="15" hidden="false" customHeight="true" outlineLevel="0" collapsed="false">
      <c r="A1140" s="1" t="s">
        <v>1889</v>
      </c>
      <c r="B1140" s="1" t="s">
        <v>970</v>
      </c>
      <c r="C1140" s="1" t="s">
        <v>167</v>
      </c>
      <c r="D1140" s="1" t="s">
        <v>80</v>
      </c>
      <c r="E1140" s="1" t="s">
        <v>190</v>
      </c>
      <c r="F1140" s="1" t="s">
        <v>187</v>
      </c>
      <c r="G1140" s="1" t="s">
        <v>97</v>
      </c>
      <c r="H1140" s="1" t="s">
        <v>69</v>
      </c>
      <c r="I1140" s="1" t="s">
        <v>58</v>
      </c>
      <c r="J1140" s="1" t="s">
        <v>131</v>
      </c>
      <c r="K1140" s="1" t="s">
        <v>60</v>
      </c>
      <c r="L1140" s="1" t="s">
        <v>61</v>
      </c>
      <c r="M1140" s="1" t="s">
        <v>38</v>
      </c>
      <c r="N1140" s="1" t="n">
        <v>15999</v>
      </c>
      <c r="O1140" s="1" t="n">
        <v>15</v>
      </c>
      <c r="P1140" s="1" t="n">
        <v>2399.85</v>
      </c>
      <c r="Q1140" s="1" t="n">
        <v>13599.15</v>
      </c>
      <c r="R1140" s="1" t="n">
        <v>2447.85</v>
      </c>
      <c r="S1140" s="1" t="n">
        <v>11151.3</v>
      </c>
      <c r="T1140" s="1" t="n">
        <v>4805.13</v>
      </c>
      <c r="U1140" s="1" t="n">
        <v>6346.17</v>
      </c>
      <c r="V1140" s="1" t="n">
        <v>56.91</v>
      </c>
      <c r="W1140" s="1" t="s">
        <v>39</v>
      </c>
      <c r="X1140" s="1" t="n">
        <v>3.5</v>
      </c>
      <c r="Y1140" s="1" t="s">
        <v>40</v>
      </c>
      <c r="Z1140" s="1" t="n">
        <v>0</v>
      </c>
    </row>
    <row r="1141" customFormat="false" ht="15" hidden="false" customHeight="true" outlineLevel="0" collapsed="false">
      <c r="A1141" s="1" t="s">
        <v>1890</v>
      </c>
      <c r="B1141" s="1" t="s">
        <v>636</v>
      </c>
      <c r="C1141" s="1" t="s">
        <v>93</v>
      </c>
      <c r="D1141" s="1" t="s">
        <v>123</v>
      </c>
      <c r="E1141" s="1" t="s">
        <v>147</v>
      </c>
      <c r="F1141" s="1" t="s">
        <v>156</v>
      </c>
      <c r="G1141" s="1" t="s">
        <v>68</v>
      </c>
      <c r="H1141" s="1" t="s">
        <v>57</v>
      </c>
      <c r="I1141" s="1" t="s">
        <v>58</v>
      </c>
      <c r="J1141" s="1" t="s">
        <v>131</v>
      </c>
      <c r="K1141" s="1" t="s">
        <v>60</v>
      </c>
      <c r="L1141" s="1" t="s">
        <v>136</v>
      </c>
      <c r="M1141" s="1" t="s">
        <v>38</v>
      </c>
      <c r="N1141" s="1" t="n">
        <v>6999</v>
      </c>
      <c r="O1141" s="1" t="n">
        <v>0</v>
      </c>
      <c r="P1141" s="1" t="n">
        <v>0</v>
      </c>
      <c r="Q1141" s="1" t="n">
        <v>6999</v>
      </c>
      <c r="R1141" s="1" t="n">
        <v>1259.82</v>
      </c>
      <c r="S1141" s="1" t="n">
        <v>5739.18</v>
      </c>
      <c r="T1141" s="1" t="n">
        <v>2629.89</v>
      </c>
      <c r="U1141" s="1" t="n">
        <v>3109.29</v>
      </c>
      <c r="V1141" s="1" t="n">
        <v>54.18</v>
      </c>
      <c r="W1141" s="1" t="s">
        <v>39</v>
      </c>
      <c r="X1141" s="1" t="n">
        <v>4.2</v>
      </c>
      <c r="Y1141" s="1" t="s">
        <v>40</v>
      </c>
      <c r="Z1141" s="1" t="n">
        <v>0</v>
      </c>
    </row>
    <row r="1142" customFormat="false" ht="15" hidden="false" customHeight="true" outlineLevel="0" collapsed="false">
      <c r="A1142" s="1" t="s">
        <v>1891</v>
      </c>
      <c r="B1142" s="1" t="s">
        <v>1166</v>
      </c>
      <c r="C1142" s="1" t="s">
        <v>178</v>
      </c>
      <c r="D1142" s="1" t="s">
        <v>123</v>
      </c>
      <c r="E1142" s="1" t="s">
        <v>124</v>
      </c>
      <c r="F1142" s="1" t="s">
        <v>102</v>
      </c>
      <c r="G1142" s="1" t="s">
        <v>103</v>
      </c>
      <c r="H1142" s="1" t="s">
        <v>33</v>
      </c>
      <c r="I1142" s="1" t="s">
        <v>58</v>
      </c>
      <c r="J1142" s="1" t="s">
        <v>77</v>
      </c>
      <c r="K1142" s="1" t="s">
        <v>104</v>
      </c>
      <c r="L1142" s="1" t="s">
        <v>61</v>
      </c>
      <c r="M1142" s="1" t="s">
        <v>50</v>
      </c>
      <c r="N1142" s="1" t="n">
        <v>4999</v>
      </c>
      <c r="O1142" s="1" t="n">
        <v>30</v>
      </c>
      <c r="P1142" s="1" t="n">
        <v>1499.7</v>
      </c>
      <c r="Q1142" s="1" t="n">
        <v>3499.3</v>
      </c>
      <c r="R1142" s="1" t="n">
        <v>629.87</v>
      </c>
      <c r="S1142" s="1" t="n">
        <v>2869.43</v>
      </c>
      <c r="T1142" s="1" t="n">
        <v>1434.8</v>
      </c>
      <c r="U1142" s="1" t="n">
        <v>1434.63</v>
      </c>
      <c r="V1142" s="1" t="n">
        <v>50</v>
      </c>
      <c r="W1142" s="1" t="s">
        <v>39</v>
      </c>
      <c r="X1142" s="1" t="n">
        <v>4.4</v>
      </c>
      <c r="Y1142" s="1" t="s">
        <v>40</v>
      </c>
      <c r="Z1142" s="1" t="n">
        <v>1</v>
      </c>
    </row>
    <row r="1143" customFormat="false" ht="15" hidden="false" customHeight="true" outlineLevel="0" collapsed="false">
      <c r="A1143" s="1" t="s">
        <v>1892</v>
      </c>
      <c r="B1143" s="1" t="s">
        <v>1893</v>
      </c>
      <c r="C1143" s="1" t="s">
        <v>249</v>
      </c>
      <c r="D1143" s="1" t="s">
        <v>44</v>
      </c>
      <c r="E1143" s="1" t="s">
        <v>66</v>
      </c>
      <c r="F1143" s="1" t="s">
        <v>107</v>
      </c>
      <c r="G1143" s="1" t="s">
        <v>108</v>
      </c>
      <c r="H1143" s="1" t="s">
        <v>33</v>
      </c>
      <c r="I1143" s="1" t="s">
        <v>83</v>
      </c>
      <c r="J1143" s="1" t="s">
        <v>35</v>
      </c>
      <c r="K1143" s="1" t="s">
        <v>48</v>
      </c>
      <c r="L1143" s="1" t="s">
        <v>113</v>
      </c>
      <c r="M1143" s="1" t="s">
        <v>38</v>
      </c>
      <c r="N1143" s="1" t="n">
        <v>12999</v>
      </c>
      <c r="O1143" s="1" t="n">
        <v>10</v>
      </c>
      <c r="P1143" s="1" t="n">
        <v>1299.9</v>
      </c>
      <c r="Q1143" s="1" t="n">
        <v>11699.1</v>
      </c>
      <c r="R1143" s="1" t="n">
        <v>2105.84</v>
      </c>
      <c r="S1143" s="1" t="n">
        <v>9593.26</v>
      </c>
      <c r="T1143" s="1" t="n">
        <v>3685.19</v>
      </c>
      <c r="U1143" s="1" t="n">
        <v>5908.07</v>
      </c>
      <c r="V1143" s="1" t="n">
        <v>61.59</v>
      </c>
      <c r="W1143" s="1" t="s">
        <v>39</v>
      </c>
      <c r="X1143" s="1" t="n">
        <v>3.2</v>
      </c>
      <c r="Y1143" s="1" t="s">
        <v>40</v>
      </c>
      <c r="Z1143" s="1" t="n">
        <v>0</v>
      </c>
    </row>
    <row r="1144" customFormat="false" ht="15" hidden="false" customHeight="true" outlineLevel="0" collapsed="false">
      <c r="A1144" s="1" t="s">
        <v>1894</v>
      </c>
      <c r="B1144" s="1" t="s">
        <v>1895</v>
      </c>
      <c r="C1144" s="1" t="s">
        <v>178</v>
      </c>
      <c r="D1144" s="1" t="s">
        <v>123</v>
      </c>
      <c r="E1144" s="1" t="s">
        <v>233</v>
      </c>
      <c r="F1144" s="1" t="s">
        <v>96</v>
      </c>
      <c r="G1144" s="1" t="s">
        <v>97</v>
      </c>
      <c r="H1144" s="1" t="s">
        <v>69</v>
      </c>
      <c r="I1144" s="1" t="s">
        <v>58</v>
      </c>
      <c r="J1144" s="1" t="s">
        <v>35</v>
      </c>
      <c r="K1144" s="1" t="s">
        <v>112</v>
      </c>
      <c r="L1144" s="1" t="s">
        <v>85</v>
      </c>
      <c r="M1144" s="1" t="s">
        <v>50</v>
      </c>
      <c r="N1144" s="1" t="n">
        <v>8999</v>
      </c>
      <c r="O1144" s="1" t="n">
        <v>0</v>
      </c>
      <c r="P1144" s="1" t="n">
        <v>0</v>
      </c>
      <c r="Q1144" s="1" t="n">
        <v>8999</v>
      </c>
      <c r="R1144" s="1" t="n">
        <v>1619.82</v>
      </c>
      <c r="S1144" s="1" t="n">
        <v>7379.18</v>
      </c>
      <c r="T1144" s="1" t="n">
        <v>3001.75</v>
      </c>
      <c r="U1144" s="1" t="n">
        <v>4377.43</v>
      </c>
      <c r="V1144" s="1" t="n">
        <v>59.32</v>
      </c>
      <c r="W1144" s="1" t="s">
        <v>40</v>
      </c>
      <c r="Y1144" s="1" t="s">
        <v>40</v>
      </c>
      <c r="Z1144" s="1" t="n">
        <v>3</v>
      </c>
    </row>
    <row r="1145" customFormat="false" ht="15" hidden="false" customHeight="true" outlineLevel="0" collapsed="false">
      <c r="A1145" s="1" t="s">
        <v>1896</v>
      </c>
      <c r="B1145" s="1" t="s">
        <v>1897</v>
      </c>
      <c r="C1145" s="1" t="s">
        <v>178</v>
      </c>
      <c r="D1145" s="1" t="s">
        <v>168</v>
      </c>
      <c r="E1145" s="1" t="s">
        <v>328</v>
      </c>
      <c r="F1145" s="1" t="s">
        <v>130</v>
      </c>
      <c r="G1145" s="1" t="s">
        <v>47</v>
      </c>
      <c r="H1145" s="1" t="s">
        <v>69</v>
      </c>
      <c r="I1145" s="1" t="s">
        <v>34</v>
      </c>
      <c r="J1145" s="1" t="s">
        <v>35</v>
      </c>
      <c r="K1145" s="1" t="s">
        <v>36</v>
      </c>
      <c r="L1145" s="1" t="s">
        <v>49</v>
      </c>
      <c r="M1145" s="1" t="s">
        <v>38</v>
      </c>
      <c r="N1145" s="1" t="n">
        <v>8999</v>
      </c>
      <c r="O1145" s="1" t="n">
        <v>10</v>
      </c>
      <c r="P1145" s="1" t="n">
        <v>899.9</v>
      </c>
      <c r="Q1145" s="1" t="n">
        <v>8099.1</v>
      </c>
      <c r="R1145" s="1" t="n">
        <v>1457.84</v>
      </c>
      <c r="S1145" s="1" t="n">
        <v>6641.26</v>
      </c>
      <c r="T1145" s="1" t="n">
        <v>2219.26</v>
      </c>
      <c r="U1145" s="1" t="n">
        <v>4422</v>
      </c>
      <c r="V1145" s="1" t="n">
        <v>66.58</v>
      </c>
      <c r="W1145" s="1" t="s">
        <v>39</v>
      </c>
      <c r="X1145" s="1" t="n">
        <v>3.6</v>
      </c>
      <c r="Y1145" s="1" t="s">
        <v>40</v>
      </c>
      <c r="Z1145" s="1" t="n">
        <v>0</v>
      </c>
    </row>
    <row r="1146" customFormat="false" ht="15" hidden="false" customHeight="true" outlineLevel="0" collapsed="false">
      <c r="A1146" s="1" t="s">
        <v>1898</v>
      </c>
      <c r="B1146" s="1" t="s">
        <v>1899</v>
      </c>
      <c r="C1146" s="1" t="s">
        <v>128</v>
      </c>
      <c r="D1146" s="1" t="s">
        <v>123</v>
      </c>
      <c r="E1146" s="1" t="s">
        <v>124</v>
      </c>
      <c r="F1146" s="1" t="s">
        <v>153</v>
      </c>
      <c r="G1146" s="1" t="s">
        <v>76</v>
      </c>
      <c r="H1146" s="1" t="s">
        <v>33</v>
      </c>
      <c r="I1146" s="1" t="s">
        <v>34</v>
      </c>
      <c r="J1146" s="1" t="s">
        <v>131</v>
      </c>
      <c r="K1146" s="1" t="s">
        <v>84</v>
      </c>
      <c r="L1146" s="1" t="s">
        <v>49</v>
      </c>
      <c r="M1146" s="1" t="s">
        <v>38</v>
      </c>
      <c r="N1146" s="1" t="n">
        <v>4999</v>
      </c>
      <c r="O1146" s="1" t="n">
        <v>40</v>
      </c>
      <c r="P1146" s="1" t="n">
        <v>1999.6</v>
      </c>
      <c r="Q1146" s="1" t="n">
        <v>2999.4</v>
      </c>
      <c r="R1146" s="1" t="n">
        <v>539.89</v>
      </c>
      <c r="S1146" s="1" t="n">
        <v>2459.51</v>
      </c>
      <c r="T1146" s="1" t="n">
        <v>1686.03</v>
      </c>
      <c r="U1146" s="1" t="n">
        <v>773.48</v>
      </c>
      <c r="V1146" s="1" t="n">
        <v>31.45</v>
      </c>
      <c r="W1146" s="1" t="s">
        <v>40</v>
      </c>
      <c r="Y1146" s="1" t="s">
        <v>40</v>
      </c>
      <c r="Z1146" s="1" t="n">
        <v>2</v>
      </c>
    </row>
    <row r="1147" customFormat="false" ht="15" hidden="false" customHeight="true" outlineLevel="0" collapsed="false">
      <c r="A1147" s="1" t="s">
        <v>1900</v>
      </c>
      <c r="B1147" s="1" t="s">
        <v>428</v>
      </c>
      <c r="C1147" s="1" t="s">
        <v>100</v>
      </c>
      <c r="D1147" s="1" t="s">
        <v>168</v>
      </c>
      <c r="E1147" s="1" t="s">
        <v>169</v>
      </c>
      <c r="F1147" s="1" t="s">
        <v>153</v>
      </c>
      <c r="G1147" s="1" t="s">
        <v>76</v>
      </c>
      <c r="H1147" s="1" t="s">
        <v>33</v>
      </c>
      <c r="I1147" s="1" t="s">
        <v>34</v>
      </c>
      <c r="J1147" s="1" t="s">
        <v>35</v>
      </c>
      <c r="K1147" s="1" t="s">
        <v>48</v>
      </c>
      <c r="L1147" s="1" t="s">
        <v>85</v>
      </c>
      <c r="M1147" s="1" t="s">
        <v>62</v>
      </c>
      <c r="N1147" s="1" t="n">
        <v>4999</v>
      </c>
      <c r="O1147" s="1" t="n">
        <v>50</v>
      </c>
      <c r="P1147" s="1" t="n">
        <v>2499.5</v>
      </c>
      <c r="Q1147" s="1" t="n">
        <v>2499.5</v>
      </c>
      <c r="R1147" s="1" t="n">
        <v>449.91</v>
      </c>
      <c r="S1147" s="1" t="n">
        <v>2049.59</v>
      </c>
      <c r="T1147" s="1" t="n">
        <v>1078.17</v>
      </c>
      <c r="U1147" s="1" t="n">
        <v>971.42</v>
      </c>
      <c r="V1147" s="1" t="n">
        <v>47.4</v>
      </c>
      <c r="W1147" s="1" t="s">
        <v>40</v>
      </c>
      <c r="Y1147" s="1" t="s">
        <v>40</v>
      </c>
      <c r="Z1147" s="1" t="n">
        <v>0</v>
      </c>
    </row>
    <row r="1148" customFormat="false" ht="15" hidden="false" customHeight="true" outlineLevel="0" collapsed="false">
      <c r="A1148" s="1" t="s">
        <v>1901</v>
      </c>
      <c r="B1148" s="1" t="s">
        <v>1785</v>
      </c>
      <c r="C1148" s="1" t="s">
        <v>802</v>
      </c>
      <c r="D1148" s="1" t="s">
        <v>29</v>
      </c>
      <c r="E1148" s="1" t="s">
        <v>305</v>
      </c>
      <c r="F1148" s="1" t="s">
        <v>55</v>
      </c>
      <c r="G1148" s="1" t="s">
        <v>56</v>
      </c>
      <c r="H1148" s="1" t="s">
        <v>57</v>
      </c>
      <c r="I1148" s="1" t="s">
        <v>34</v>
      </c>
      <c r="J1148" s="1" t="s">
        <v>131</v>
      </c>
      <c r="K1148" s="1" t="s">
        <v>90</v>
      </c>
      <c r="L1148" s="1" t="s">
        <v>61</v>
      </c>
      <c r="M1148" s="1" t="s">
        <v>50</v>
      </c>
      <c r="N1148" s="1" t="n">
        <v>24999</v>
      </c>
      <c r="O1148" s="1" t="n">
        <v>10</v>
      </c>
      <c r="P1148" s="1" t="n">
        <v>2499.9</v>
      </c>
      <c r="Q1148" s="1" t="n">
        <v>22499.1</v>
      </c>
      <c r="R1148" s="1" t="n">
        <v>4049.84</v>
      </c>
      <c r="S1148" s="1" t="n">
        <v>18449.26</v>
      </c>
      <c r="T1148" s="1" t="n">
        <v>6929.75</v>
      </c>
      <c r="U1148" s="1" t="n">
        <v>11519.51</v>
      </c>
      <c r="V1148" s="1" t="n">
        <v>62.44</v>
      </c>
      <c r="W1148" s="1" t="s">
        <v>39</v>
      </c>
      <c r="X1148" s="1" t="n">
        <v>4.3</v>
      </c>
      <c r="Y1148" s="1" t="s">
        <v>39</v>
      </c>
      <c r="Z1148" s="1" t="n">
        <v>2</v>
      </c>
    </row>
    <row r="1149" customFormat="false" ht="15" hidden="false" customHeight="true" outlineLevel="0" collapsed="false">
      <c r="A1149" s="1" t="s">
        <v>1902</v>
      </c>
      <c r="B1149" s="1" t="s">
        <v>847</v>
      </c>
      <c r="C1149" s="1" t="s">
        <v>139</v>
      </c>
      <c r="D1149" s="1" t="s">
        <v>80</v>
      </c>
      <c r="E1149" s="1" t="s">
        <v>193</v>
      </c>
      <c r="F1149" s="1" t="s">
        <v>244</v>
      </c>
      <c r="G1149" s="1" t="s">
        <v>97</v>
      </c>
      <c r="H1149" s="1" t="s">
        <v>57</v>
      </c>
      <c r="I1149" s="1" t="s">
        <v>58</v>
      </c>
      <c r="J1149" s="1" t="s">
        <v>70</v>
      </c>
      <c r="K1149" s="1" t="s">
        <v>84</v>
      </c>
      <c r="L1149" s="1" t="s">
        <v>61</v>
      </c>
      <c r="M1149" s="1" t="s">
        <v>62</v>
      </c>
      <c r="N1149" s="1" t="n">
        <v>8999</v>
      </c>
      <c r="O1149" s="1" t="n">
        <v>30</v>
      </c>
      <c r="P1149" s="1" t="n">
        <v>2699.7</v>
      </c>
      <c r="Q1149" s="1" t="n">
        <v>6299.3</v>
      </c>
      <c r="R1149" s="1" t="n">
        <v>1133.87</v>
      </c>
      <c r="S1149" s="1" t="n">
        <v>5165.43</v>
      </c>
      <c r="T1149" s="1" t="n">
        <v>2807.17</v>
      </c>
      <c r="U1149" s="1" t="n">
        <v>2358.26</v>
      </c>
      <c r="V1149" s="1" t="n">
        <v>45.65</v>
      </c>
      <c r="W1149" s="1" t="s">
        <v>39</v>
      </c>
      <c r="X1149" s="1" t="n">
        <v>3.2</v>
      </c>
      <c r="Y1149" s="1" t="s">
        <v>40</v>
      </c>
      <c r="Z1149" s="1" t="n">
        <v>0</v>
      </c>
    </row>
    <row r="1150" customFormat="false" ht="15" hidden="false" customHeight="true" outlineLevel="0" collapsed="false">
      <c r="A1150" s="1" t="s">
        <v>1903</v>
      </c>
      <c r="B1150" s="1" t="s">
        <v>1904</v>
      </c>
      <c r="C1150" s="1" t="s">
        <v>28</v>
      </c>
      <c r="D1150" s="1" t="s">
        <v>29</v>
      </c>
      <c r="E1150" s="1" t="s">
        <v>129</v>
      </c>
      <c r="F1150" s="1" t="s">
        <v>211</v>
      </c>
      <c r="G1150" s="1" t="s">
        <v>56</v>
      </c>
      <c r="H1150" s="1" t="s">
        <v>69</v>
      </c>
      <c r="I1150" s="1" t="s">
        <v>83</v>
      </c>
      <c r="J1150" s="1" t="s">
        <v>35</v>
      </c>
      <c r="K1150" s="1" t="s">
        <v>104</v>
      </c>
      <c r="L1150" s="1" t="s">
        <v>49</v>
      </c>
      <c r="M1150" s="1" t="s">
        <v>62</v>
      </c>
      <c r="N1150" s="1" t="n">
        <v>29999</v>
      </c>
      <c r="O1150" s="1" t="n">
        <v>30</v>
      </c>
      <c r="P1150" s="1" t="n">
        <v>8999.7</v>
      </c>
      <c r="Q1150" s="1" t="n">
        <v>20999.3</v>
      </c>
      <c r="R1150" s="1" t="n">
        <v>3779.87</v>
      </c>
      <c r="S1150" s="1" t="n">
        <v>17219.43</v>
      </c>
      <c r="T1150" s="1" t="n">
        <v>6165.18</v>
      </c>
      <c r="U1150" s="1" t="n">
        <v>11054.25</v>
      </c>
      <c r="V1150" s="1" t="n">
        <v>64.2</v>
      </c>
      <c r="W1150" s="1" t="s">
        <v>39</v>
      </c>
      <c r="X1150" s="1" t="n">
        <v>3.3</v>
      </c>
      <c r="Y1150" s="1" t="s">
        <v>40</v>
      </c>
      <c r="Z1150" s="1" t="n">
        <v>0</v>
      </c>
    </row>
    <row r="1151" customFormat="false" ht="15" hidden="false" customHeight="true" outlineLevel="0" collapsed="false">
      <c r="A1151" s="1" t="s">
        <v>1905</v>
      </c>
      <c r="B1151" s="1" t="s">
        <v>1396</v>
      </c>
      <c r="C1151" s="1" t="s">
        <v>134</v>
      </c>
      <c r="D1151" s="1" t="s">
        <v>143</v>
      </c>
      <c r="E1151" s="1" t="s">
        <v>210</v>
      </c>
      <c r="F1151" s="1" t="s">
        <v>130</v>
      </c>
      <c r="G1151" s="1" t="s">
        <v>47</v>
      </c>
      <c r="H1151" s="1" t="s">
        <v>69</v>
      </c>
      <c r="I1151" s="1" t="s">
        <v>58</v>
      </c>
      <c r="J1151" s="1" t="s">
        <v>70</v>
      </c>
      <c r="K1151" s="1" t="s">
        <v>48</v>
      </c>
      <c r="L1151" s="1" t="s">
        <v>49</v>
      </c>
      <c r="M1151" s="1" t="s">
        <v>62</v>
      </c>
      <c r="N1151" s="1" t="n">
        <v>18999</v>
      </c>
      <c r="O1151" s="1" t="n">
        <v>15</v>
      </c>
      <c r="P1151" s="1" t="n">
        <v>2849.85</v>
      </c>
      <c r="Q1151" s="1" t="n">
        <v>16149.15</v>
      </c>
      <c r="R1151" s="1" t="n">
        <v>2906.85</v>
      </c>
      <c r="S1151" s="1" t="n">
        <v>13242.3</v>
      </c>
      <c r="T1151" s="1" t="n">
        <v>5745.41</v>
      </c>
      <c r="U1151" s="1" t="n">
        <v>7496.89</v>
      </c>
      <c r="V1151" s="1" t="n">
        <v>56.61</v>
      </c>
      <c r="W1151" s="1" t="s">
        <v>40</v>
      </c>
      <c r="Y1151" s="1" t="s">
        <v>40</v>
      </c>
      <c r="Z1151" s="1" t="n">
        <v>0</v>
      </c>
    </row>
    <row r="1152" customFormat="false" ht="15" hidden="false" customHeight="true" outlineLevel="0" collapsed="false">
      <c r="A1152" s="1" t="s">
        <v>1906</v>
      </c>
      <c r="B1152" s="1" t="s">
        <v>1145</v>
      </c>
      <c r="C1152" s="1" t="s">
        <v>88</v>
      </c>
      <c r="D1152" s="1" t="s">
        <v>80</v>
      </c>
      <c r="E1152" s="1" t="s">
        <v>175</v>
      </c>
      <c r="F1152" s="1" t="s">
        <v>156</v>
      </c>
      <c r="G1152" s="1" t="s">
        <v>68</v>
      </c>
      <c r="H1152" s="1" t="s">
        <v>57</v>
      </c>
      <c r="I1152" s="1" t="s">
        <v>34</v>
      </c>
      <c r="J1152" s="1" t="s">
        <v>70</v>
      </c>
      <c r="K1152" s="1" t="s">
        <v>48</v>
      </c>
      <c r="L1152" s="1" t="s">
        <v>37</v>
      </c>
      <c r="M1152" s="1" t="s">
        <v>38</v>
      </c>
      <c r="N1152" s="1" t="n">
        <v>19999</v>
      </c>
      <c r="O1152" s="1" t="n">
        <v>0</v>
      </c>
      <c r="P1152" s="1" t="n">
        <v>0</v>
      </c>
      <c r="Q1152" s="1" t="n">
        <v>19999</v>
      </c>
      <c r="R1152" s="1" t="n">
        <v>3599.82</v>
      </c>
      <c r="S1152" s="1" t="n">
        <v>16399.18</v>
      </c>
      <c r="T1152" s="1" t="n">
        <v>8102.93</v>
      </c>
      <c r="U1152" s="1" t="n">
        <v>8296.25</v>
      </c>
      <c r="V1152" s="1" t="n">
        <v>50.59</v>
      </c>
      <c r="W1152" s="1" t="s">
        <v>39</v>
      </c>
      <c r="X1152" s="1" t="n">
        <v>3.9</v>
      </c>
      <c r="Y1152" s="1" t="s">
        <v>40</v>
      </c>
      <c r="Z1152" s="1" t="n">
        <v>0</v>
      </c>
    </row>
    <row r="1153" customFormat="false" ht="15" hidden="false" customHeight="true" outlineLevel="0" collapsed="false">
      <c r="A1153" s="1" t="s">
        <v>1907</v>
      </c>
      <c r="B1153" s="1" t="s">
        <v>968</v>
      </c>
      <c r="C1153" s="1" t="s">
        <v>249</v>
      </c>
      <c r="D1153" s="1" t="s">
        <v>29</v>
      </c>
      <c r="E1153" s="1" t="s">
        <v>182</v>
      </c>
      <c r="F1153" s="1" t="s">
        <v>187</v>
      </c>
      <c r="G1153" s="1" t="s">
        <v>97</v>
      </c>
      <c r="H1153" s="1" t="s">
        <v>69</v>
      </c>
      <c r="I1153" s="1" t="s">
        <v>58</v>
      </c>
      <c r="J1153" s="1" t="s">
        <v>77</v>
      </c>
      <c r="K1153" s="1" t="s">
        <v>90</v>
      </c>
      <c r="L1153" s="1" t="s">
        <v>113</v>
      </c>
      <c r="M1153" s="1" t="s">
        <v>62</v>
      </c>
      <c r="N1153" s="1" t="n">
        <v>34999</v>
      </c>
      <c r="O1153" s="1" t="n">
        <v>10</v>
      </c>
      <c r="P1153" s="1" t="n">
        <v>3499.9</v>
      </c>
      <c r="Q1153" s="1" t="n">
        <v>31499.1</v>
      </c>
      <c r="R1153" s="1" t="n">
        <v>5669.84</v>
      </c>
      <c r="S1153" s="1" t="n">
        <v>25829.26</v>
      </c>
      <c r="T1153" s="1" t="n">
        <v>8079.41</v>
      </c>
      <c r="U1153" s="1" t="n">
        <v>17749.85</v>
      </c>
      <c r="V1153" s="1" t="n">
        <v>68.72</v>
      </c>
      <c r="W1153" s="1" t="s">
        <v>39</v>
      </c>
      <c r="X1153" s="1" t="n">
        <v>4.8</v>
      </c>
      <c r="Y1153" s="1" t="s">
        <v>40</v>
      </c>
      <c r="Z1153" s="1" t="n">
        <v>0</v>
      </c>
    </row>
    <row r="1154" customFormat="false" ht="15" hidden="false" customHeight="true" outlineLevel="0" collapsed="false">
      <c r="A1154" s="1" t="s">
        <v>1908</v>
      </c>
      <c r="B1154" s="1" t="s">
        <v>1215</v>
      </c>
      <c r="C1154" s="1" t="s">
        <v>249</v>
      </c>
      <c r="D1154" s="1" t="s">
        <v>53</v>
      </c>
      <c r="E1154" s="1" t="s">
        <v>54</v>
      </c>
      <c r="F1154" s="1" t="s">
        <v>96</v>
      </c>
      <c r="G1154" s="1" t="s">
        <v>97</v>
      </c>
      <c r="H1154" s="1" t="s">
        <v>69</v>
      </c>
      <c r="I1154" s="1" t="s">
        <v>58</v>
      </c>
      <c r="J1154" s="1" t="s">
        <v>77</v>
      </c>
      <c r="K1154" s="1" t="s">
        <v>48</v>
      </c>
      <c r="L1154" s="1" t="s">
        <v>61</v>
      </c>
      <c r="M1154" s="1" t="s">
        <v>62</v>
      </c>
      <c r="N1154" s="1" t="n">
        <v>11999</v>
      </c>
      <c r="O1154" s="1" t="n">
        <v>0</v>
      </c>
      <c r="P1154" s="1" t="n">
        <v>0</v>
      </c>
      <c r="Q1154" s="1" t="n">
        <v>11999</v>
      </c>
      <c r="R1154" s="1" t="n">
        <v>2159.82</v>
      </c>
      <c r="S1154" s="1" t="n">
        <v>9839.18</v>
      </c>
      <c r="T1154" s="1" t="n">
        <v>3389.62</v>
      </c>
      <c r="U1154" s="1" t="n">
        <v>6449.56</v>
      </c>
      <c r="V1154" s="1" t="n">
        <v>65.55</v>
      </c>
      <c r="W1154" s="1" t="s">
        <v>39</v>
      </c>
      <c r="X1154" s="1" t="n">
        <v>3.8</v>
      </c>
      <c r="Y1154" s="1" t="s">
        <v>40</v>
      </c>
      <c r="Z1154" s="1" t="n">
        <v>0</v>
      </c>
    </row>
    <row r="1155" customFormat="false" ht="15" hidden="false" customHeight="true" outlineLevel="0" collapsed="false">
      <c r="A1155" s="1" t="s">
        <v>1909</v>
      </c>
      <c r="B1155" s="1" t="s">
        <v>947</v>
      </c>
      <c r="C1155" s="1" t="s">
        <v>264</v>
      </c>
      <c r="D1155" s="1" t="s">
        <v>29</v>
      </c>
      <c r="E1155" s="1" t="s">
        <v>182</v>
      </c>
      <c r="F1155" s="1" t="s">
        <v>102</v>
      </c>
      <c r="G1155" s="1" t="s">
        <v>103</v>
      </c>
      <c r="H1155" s="1" t="s">
        <v>33</v>
      </c>
      <c r="I1155" s="1" t="s">
        <v>34</v>
      </c>
      <c r="J1155" s="1" t="s">
        <v>131</v>
      </c>
      <c r="K1155" s="1" t="s">
        <v>36</v>
      </c>
      <c r="L1155" s="1" t="s">
        <v>113</v>
      </c>
      <c r="M1155" s="1" t="s">
        <v>50</v>
      </c>
      <c r="N1155" s="1" t="n">
        <v>34999</v>
      </c>
      <c r="O1155" s="1" t="n">
        <v>0</v>
      </c>
      <c r="P1155" s="1" t="n">
        <v>0</v>
      </c>
      <c r="Q1155" s="1" t="n">
        <v>34999</v>
      </c>
      <c r="R1155" s="1" t="n">
        <v>6299.82</v>
      </c>
      <c r="S1155" s="1" t="n">
        <v>28699.18</v>
      </c>
      <c r="T1155" s="1" t="n">
        <v>13261.33</v>
      </c>
      <c r="U1155" s="1" t="n">
        <v>15437.85</v>
      </c>
      <c r="V1155" s="1" t="n">
        <v>53.79</v>
      </c>
      <c r="W1155" s="1" t="s">
        <v>39</v>
      </c>
      <c r="X1155" s="1" t="n">
        <v>3.3</v>
      </c>
      <c r="Y1155" s="1" t="s">
        <v>40</v>
      </c>
      <c r="Z1155" s="1" t="n">
        <v>0</v>
      </c>
    </row>
    <row r="1156" customFormat="false" ht="15" hidden="false" customHeight="true" outlineLevel="0" collapsed="false">
      <c r="A1156" s="1" t="s">
        <v>1910</v>
      </c>
      <c r="B1156" s="1" t="s">
        <v>196</v>
      </c>
      <c r="C1156" s="1" t="s">
        <v>74</v>
      </c>
      <c r="D1156" s="1" t="s">
        <v>29</v>
      </c>
      <c r="E1156" s="1" t="s">
        <v>182</v>
      </c>
      <c r="F1156" s="1" t="s">
        <v>46</v>
      </c>
      <c r="G1156" s="1" t="s">
        <v>47</v>
      </c>
      <c r="H1156" s="1" t="s">
        <v>33</v>
      </c>
      <c r="I1156" s="1" t="s">
        <v>83</v>
      </c>
      <c r="J1156" s="1" t="s">
        <v>35</v>
      </c>
      <c r="K1156" s="1" t="s">
        <v>84</v>
      </c>
      <c r="L1156" s="1" t="s">
        <v>113</v>
      </c>
      <c r="M1156" s="1" t="s">
        <v>50</v>
      </c>
      <c r="N1156" s="1" t="n">
        <v>34999</v>
      </c>
      <c r="O1156" s="1" t="n">
        <v>10</v>
      </c>
      <c r="P1156" s="1" t="n">
        <v>3499.9</v>
      </c>
      <c r="Q1156" s="1" t="n">
        <v>31499.1</v>
      </c>
      <c r="R1156" s="1" t="n">
        <v>5669.84</v>
      </c>
      <c r="S1156" s="1" t="n">
        <v>25829.26</v>
      </c>
      <c r="T1156" s="1" t="n">
        <v>10961.26</v>
      </c>
      <c r="U1156" s="1" t="n">
        <v>14868</v>
      </c>
      <c r="V1156" s="1" t="n">
        <v>57.56</v>
      </c>
      <c r="W1156" s="1" t="s">
        <v>40</v>
      </c>
      <c r="Y1156" s="1" t="s">
        <v>40</v>
      </c>
      <c r="Z1156" s="1" t="n">
        <v>0</v>
      </c>
    </row>
    <row r="1157" customFormat="false" ht="15" hidden="false" customHeight="true" outlineLevel="0" collapsed="false">
      <c r="A1157" s="1" t="s">
        <v>1911</v>
      </c>
      <c r="B1157" s="1" t="s">
        <v>389</v>
      </c>
      <c r="C1157" s="1" t="s">
        <v>178</v>
      </c>
      <c r="D1157" s="1" t="s">
        <v>44</v>
      </c>
      <c r="E1157" s="1" t="s">
        <v>45</v>
      </c>
      <c r="F1157" s="1" t="s">
        <v>96</v>
      </c>
      <c r="G1157" s="1" t="s">
        <v>97</v>
      </c>
      <c r="H1157" s="1" t="s">
        <v>69</v>
      </c>
      <c r="I1157" s="1" t="s">
        <v>34</v>
      </c>
      <c r="J1157" s="1" t="s">
        <v>59</v>
      </c>
      <c r="K1157" s="1" t="s">
        <v>104</v>
      </c>
      <c r="L1157" s="1" t="s">
        <v>85</v>
      </c>
      <c r="M1157" s="1" t="s">
        <v>50</v>
      </c>
      <c r="N1157" s="1" t="n">
        <v>11999</v>
      </c>
      <c r="O1157" s="1" t="n">
        <v>5</v>
      </c>
      <c r="P1157" s="1" t="n">
        <v>599.95</v>
      </c>
      <c r="Q1157" s="1" t="n">
        <v>11399.05</v>
      </c>
      <c r="R1157" s="1" t="n">
        <v>2051.83</v>
      </c>
      <c r="S1157" s="1" t="n">
        <v>9347.22</v>
      </c>
      <c r="T1157" s="1" t="n">
        <v>3981.87</v>
      </c>
      <c r="U1157" s="1" t="n">
        <v>5365.35</v>
      </c>
      <c r="V1157" s="1" t="n">
        <v>57.4</v>
      </c>
      <c r="W1157" s="1" t="s">
        <v>40</v>
      </c>
      <c r="Y1157" s="1" t="s">
        <v>40</v>
      </c>
      <c r="Z1157" s="1" t="n">
        <v>2</v>
      </c>
    </row>
    <row r="1158" customFormat="false" ht="15" hidden="false" customHeight="true" outlineLevel="0" collapsed="false">
      <c r="A1158" s="1" t="s">
        <v>1912</v>
      </c>
      <c r="B1158" s="1" t="s">
        <v>1913</v>
      </c>
      <c r="C1158" s="1" t="s">
        <v>249</v>
      </c>
      <c r="D1158" s="1" t="s">
        <v>44</v>
      </c>
      <c r="E1158" s="1" t="s">
        <v>45</v>
      </c>
      <c r="F1158" s="1" t="s">
        <v>55</v>
      </c>
      <c r="G1158" s="1" t="s">
        <v>56</v>
      </c>
      <c r="H1158" s="1" t="s">
        <v>57</v>
      </c>
      <c r="I1158" s="1" t="s">
        <v>83</v>
      </c>
      <c r="J1158" s="1" t="s">
        <v>131</v>
      </c>
      <c r="K1158" s="1" t="s">
        <v>48</v>
      </c>
      <c r="L1158" s="1" t="s">
        <v>136</v>
      </c>
      <c r="M1158" s="1" t="s">
        <v>38</v>
      </c>
      <c r="N1158" s="1" t="n">
        <v>11999</v>
      </c>
      <c r="O1158" s="1" t="n">
        <v>25</v>
      </c>
      <c r="P1158" s="1" t="n">
        <v>2999.75</v>
      </c>
      <c r="Q1158" s="1" t="n">
        <v>8999.25</v>
      </c>
      <c r="R1158" s="1" t="n">
        <v>1619.87</v>
      </c>
      <c r="S1158" s="1" t="n">
        <v>7379.38</v>
      </c>
      <c r="T1158" s="1" t="n">
        <v>3793.12</v>
      </c>
      <c r="U1158" s="1" t="n">
        <v>3586.26</v>
      </c>
      <c r="V1158" s="1" t="n">
        <v>48.6</v>
      </c>
      <c r="W1158" s="1" t="s">
        <v>39</v>
      </c>
      <c r="Y1158" s="1" t="s">
        <v>40</v>
      </c>
      <c r="Z1158" s="1" t="n">
        <v>0</v>
      </c>
    </row>
    <row r="1159" customFormat="false" ht="15" hidden="false" customHeight="true" outlineLevel="0" collapsed="false">
      <c r="A1159" s="1" t="s">
        <v>1914</v>
      </c>
      <c r="B1159" s="1" t="s">
        <v>1453</v>
      </c>
      <c r="C1159" s="1" t="s">
        <v>74</v>
      </c>
      <c r="D1159" s="1" t="s">
        <v>168</v>
      </c>
      <c r="E1159" s="1" t="s">
        <v>172</v>
      </c>
      <c r="F1159" s="1" t="s">
        <v>153</v>
      </c>
      <c r="G1159" s="1" t="s">
        <v>76</v>
      </c>
      <c r="H1159" s="1" t="s">
        <v>33</v>
      </c>
      <c r="I1159" s="1" t="s">
        <v>34</v>
      </c>
      <c r="J1159" s="1" t="s">
        <v>59</v>
      </c>
      <c r="K1159" s="1" t="s">
        <v>71</v>
      </c>
      <c r="L1159" s="1" t="s">
        <v>113</v>
      </c>
      <c r="M1159" s="1" t="s">
        <v>50</v>
      </c>
      <c r="N1159" s="1" t="n">
        <v>6999</v>
      </c>
      <c r="O1159" s="1" t="n">
        <v>0</v>
      </c>
      <c r="P1159" s="1" t="n">
        <v>0</v>
      </c>
      <c r="Q1159" s="1" t="n">
        <v>6999</v>
      </c>
      <c r="R1159" s="1" t="n">
        <v>1259.82</v>
      </c>
      <c r="S1159" s="1" t="n">
        <v>5739.18</v>
      </c>
      <c r="T1159" s="1" t="n">
        <v>2812.09</v>
      </c>
      <c r="U1159" s="1" t="n">
        <v>2927.09</v>
      </c>
      <c r="V1159" s="1" t="n">
        <v>51</v>
      </c>
      <c r="W1159" s="1" t="s">
        <v>40</v>
      </c>
      <c r="Y1159" s="1" t="s">
        <v>40</v>
      </c>
      <c r="Z1159" s="1" t="n">
        <v>0</v>
      </c>
    </row>
    <row r="1160" customFormat="false" ht="15" hidden="false" customHeight="true" outlineLevel="0" collapsed="false">
      <c r="A1160" s="1" t="s">
        <v>1915</v>
      </c>
      <c r="B1160" s="1" t="s">
        <v>1242</v>
      </c>
      <c r="C1160" s="1" t="s">
        <v>264</v>
      </c>
      <c r="D1160" s="1" t="s">
        <v>80</v>
      </c>
      <c r="E1160" s="1" t="s">
        <v>81</v>
      </c>
      <c r="F1160" s="1" t="s">
        <v>130</v>
      </c>
      <c r="G1160" s="1" t="s">
        <v>47</v>
      </c>
      <c r="H1160" s="1" t="s">
        <v>69</v>
      </c>
      <c r="I1160" s="1" t="s">
        <v>83</v>
      </c>
      <c r="J1160" s="1" t="s">
        <v>35</v>
      </c>
      <c r="K1160" s="1" t="s">
        <v>104</v>
      </c>
      <c r="L1160" s="1" t="s">
        <v>136</v>
      </c>
      <c r="M1160" s="1" t="s">
        <v>50</v>
      </c>
      <c r="N1160" s="1" t="n">
        <v>12999</v>
      </c>
      <c r="O1160" s="1" t="n">
        <v>10</v>
      </c>
      <c r="P1160" s="1" t="n">
        <v>1299.9</v>
      </c>
      <c r="Q1160" s="1" t="n">
        <v>11699.1</v>
      </c>
      <c r="R1160" s="1" t="n">
        <v>2105.84</v>
      </c>
      <c r="S1160" s="1" t="n">
        <v>9593.26</v>
      </c>
      <c r="T1160" s="1" t="n">
        <v>4440.28</v>
      </c>
      <c r="U1160" s="1" t="n">
        <v>5152.98</v>
      </c>
      <c r="V1160" s="1" t="n">
        <v>53.71</v>
      </c>
      <c r="W1160" s="1" t="s">
        <v>39</v>
      </c>
      <c r="X1160" s="1" t="n">
        <v>4.1</v>
      </c>
      <c r="Y1160" s="1" t="s">
        <v>40</v>
      </c>
      <c r="Z1160" s="1" t="n">
        <v>0</v>
      </c>
    </row>
    <row r="1161" customFormat="false" ht="15" hidden="false" customHeight="true" outlineLevel="0" collapsed="false">
      <c r="A1161" s="1" t="s">
        <v>1916</v>
      </c>
      <c r="B1161" s="1" t="s">
        <v>1205</v>
      </c>
      <c r="C1161" s="1" t="s">
        <v>88</v>
      </c>
      <c r="D1161" s="1" t="s">
        <v>168</v>
      </c>
      <c r="E1161" s="1" t="s">
        <v>172</v>
      </c>
      <c r="F1161" s="1" t="s">
        <v>96</v>
      </c>
      <c r="G1161" s="1" t="s">
        <v>97</v>
      </c>
      <c r="H1161" s="1" t="s">
        <v>69</v>
      </c>
      <c r="I1161" s="1" t="s">
        <v>58</v>
      </c>
      <c r="J1161" s="1" t="s">
        <v>35</v>
      </c>
      <c r="K1161" s="1" t="s">
        <v>36</v>
      </c>
      <c r="L1161" s="1" t="s">
        <v>37</v>
      </c>
      <c r="M1161" s="1" t="s">
        <v>62</v>
      </c>
      <c r="N1161" s="1" t="n">
        <v>6999</v>
      </c>
      <c r="O1161" s="1" t="n">
        <v>40</v>
      </c>
      <c r="P1161" s="1" t="n">
        <v>2799.6</v>
      </c>
      <c r="Q1161" s="1" t="n">
        <v>4199.4</v>
      </c>
      <c r="R1161" s="1" t="n">
        <v>755.89</v>
      </c>
      <c r="S1161" s="1" t="n">
        <v>3443.51</v>
      </c>
      <c r="T1161" s="1" t="n">
        <v>1651.04</v>
      </c>
      <c r="U1161" s="1" t="n">
        <v>1792.47</v>
      </c>
      <c r="V1161" s="1" t="n">
        <v>52.05</v>
      </c>
      <c r="W1161" s="1" t="s">
        <v>39</v>
      </c>
      <c r="X1161" s="1" t="n">
        <v>3.5</v>
      </c>
      <c r="Y1161" s="1" t="s">
        <v>40</v>
      </c>
      <c r="Z1161" s="1" t="n">
        <v>0</v>
      </c>
    </row>
    <row r="1162" customFormat="false" ht="15" hidden="false" customHeight="true" outlineLevel="0" collapsed="false">
      <c r="A1162" s="1" t="s">
        <v>1917</v>
      </c>
      <c r="B1162" s="1" t="s">
        <v>526</v>
      </c>
      <c r="C1162" s="1" t="s">
        <v>249</v>
      </c>
      <c r="D1162" s="1" t="s">
        <v>143</v>
      </c>
      <c r="E1162" s="1" t="s">
        <v>243</v>
      </c>
      <c r="F1162" s="1" t="s">
        <v>67</v>
      </c>
      <c r="G1162" s="1" t="s">
        <v>68</v>
      </c>
      <c r="H1162" s="1" t="s">
        <v>69</v>
      </c>
      <c r="I1162" s="1" t="s">
        <v>34</v>
      </c>
      <c r="J1162" s="1" t="s">
        <v>131</v>
      </c>
      <c r="K1162" s="1" t="s">
        <v>112</v>
      </c>
      <c r="L1162" s="1" t="s">
        <v>37</v>
      </c>
      <c r="M1162" s="1" t="s">
        <v>62</v>
      </c>
      <c r="N1162" s="1" t="n">
        <v>22999</v>
      </c>
      <c r="O1162" s="1" t="n">
        <v>40</v>
      </c>
      <c r="P1162" s="1" t="n">
        <v>9199.6</v>
      </c>
      <c r="Q1162" s="1" t="n">
        <v>13799.4</v>
      </c>
      <c r="R1162" s="1" t="n">
        <v>2483.89</v>
      </c>
      <c r="S1162" s="1" t="n">
        <v>11315.51</v>
      </c>
      <c r="T1162" s="1" t="n">
        <v>5452.75</v>
      </c>
      <c r="U1162" s="1" t="n">
        <v>5862.76</v>
      </c>
      <c r="V1162" s="1" t="n">
        <v>51.81</v>
      </c>
      <c r="W1162" s="1" t="s">
        <v>39</v>
      </c>
      <c r="Y1162" s="1" t="s">
        <v>40</v>
      </c>
      <c r="Z1162" s="1" t="n">
        <v>0</v>
      </c>
    </row>
    <row r="1163" customFormat="false" ht="15" hidden="false" customHeight="true" outlineLevel="0" collapsed="false">
      <c r="A1163" s="1" t="s">
        <v>1918</v>
      </c>
      <c r="B1163" s="1" t="s">
        <v>1606</v>
      </c>
      <c r="C1163" s="1" t="s">
        <v>65</v>
      </c>
      <c r="D1163" s="1" t="s">
        <v>53</v>
      </c>
      <c r="E1163" s="1" t="s">
        <v>54</v>
      </c>
      <c r="F1163" s="1" t="s">
        <v>75</v>
      </c>
      <c r="G1163" s="1" t="s">
        <v>76</v>
      </c>
      <c r="H1163" s="1" t="s">
        <v>69</v>
      </c>
      <c r="I1163" s="1" t="s">
        <v>34</v>
      </c>
      <c r="J1163" s="1" t="s">
        <v>70</v>
      </c>
      <c r="K1163" s="1" t="s">
        <v>104</v>
      </c>
      <c r="L1163" s="1" t="s">
        <v>113</v>
      </c>
      <c r="M1163" s="1" t="s">
        <v>38</v>
      </c>
      <c r="N1163" s="1" t="n">
        <v>11999</v>
      </c>
      <c r="O1163" s="1" t="n">
        <v>0</v>
      </c>
      <c r="P1163" s="1" t="n">
        <v>0</v>
      </c>
      <c r="Q1163" s="1" t="n">
        <v>11999</v>
      </c>
      <c r="R1163" s="1" t="n">
        <v>2159.82</v>
      </c>
      <c r="S1163" s="1" t="n">
        <v>9839.18</v>
      </c>
      <c r="T1163" s="1" t="n">
        <v>4537.09</v>
      </c>
      <c r="U1163" s="1" t="n">
        <v>5302.09</v>
      </c>
      <c r="V1163" s="1" t="n">
        <v>53.89</v>
      </c>
      <c r="W1163" s="1" t="s">
        <v>39</v>
      </c>
      <c r="X1163" s="1" t="n">
        <v>4.3</v>
      </c>
      <c r="Y1163" s="1" t="s">
        <v>40</v>
      </c>
      <c r="Z1163" s="1" t="n">
        <v>1</v>
      </c>
    </row>
    <row r="1164" customFormat="false" ht="15" hidden="false" customHeight="true" outlineLevel="0" collapsed="false">
      <c r="A1164" s="1" t="s">
        <v>1919</v>
      </c>
      <c r="B1164" s="1" t="s">
        <v>876</v>
      </c>
      <c r="C1164" s="1" t="s">
        <v>264</v>
      </c>
      <c r="D1164" s="1" t="s">
        <v>53</v>
      </c>
      <c r="E1164" s="1" t="s">
        <v>116</v>
      </c>
      <c r="F1164" s="1" t="s">
        <v>96</v>
      </c>
      <c r="G1164" s="1" t="s">
        <v>97</v>
      </c>
      <c r="H1164" s="1" t="s">
        <v>69</v>
      </c>
      <c r="I1164" s="1" t="s">
        <v>83</v>
      </c>
      <c r="J1164" s="1" t="s">
        <v>131</v>
      </c>
      <c r="K1164" s="1" t="s">
        <v>48</v>
      </c>
      <c r="L1164" s="1" t="s">
        <v>49</v>
      </c>
      <c r="M1164" s="1" t="s">
        <v>62</v>
      </c>
      <c r="N1164" s="1" t="n">
        <v>9999</v>
      </c>
      <c r="O1164" s="1" t="n">
        <v>10</v>
      </c>
      <c r="P1164" s="1" t="n">
        <v>999.9</v>
      </c>
      <c r="Q1164" s="1" t="n">
        <v>8999.1</v>
      </c>
      <c r="R1164" s="1" t="n">
        <v>1619.84</v>
      </c>
      <c r="S1164" s="1" t="n">
        <v>7379.26</v>
      </c>
      <c r="T1164" s="1" t="n">
        <v>2799.1</v>
      </c>
      <c r="U1164" s="1" t="n">
        <v>4580.16</v>
      </c>
      <c r="V1164" s="1" t="n">
        <v>62.07</v>
      </c>
      <c r="W1164" s="1" t="s">
        <v>40</v>
      </c>
      <c r="Y1164" s="1" t="s">
        <v>40</v>
      </c>
      <c r="Z1164" s="1" t="n">
        <v>0</v>
      </c>
    </row>
    <row r="1165" customFormat="false" ht="15" hidden="false" customHeight="true" outlineLevel="0" collapsed="false">
      <c r="A1165" s="1" t="s">
        <v>1920</v>
      </c>
      <c r="B1165" s="1" t="s">
        <v>510</v>
      </c>
      <c r="C1165" s="1" t="s">
        <v>264</v>
      </c>
      <c r="D1165" s="1" t="s">
        <v>80</v>
      </c>
      <c r="E1165" s="1" t="s">
        <v>175</v>
      </c>
      <c r="F1165" s="1" t="s">
        <v>55</v>
      </c>
      <c r="G1165" s="1" t="s">
        <v>56</v>
      </c>
      <c r="H1165" s="1" t="s">
        <v>57</v>
      </c>
      <c r="I1165" s="1" t="s">
        <v>58</v>
      </c>
      <c r="J1165" s="1" t="s">
        <v>35</v>
      </c>
      <c r="K1165" s="1" t="s">
        <v>60</v>
      </c>
      <c r="L1165" s="1" t="s">
        <v>49</v>
      </c>
      <c r="M1165" s="1" t="s">
        <v>38</v>
      </c>
      <c r="N1165" s="1" t="n">
        <v>19999</v>
      </c>
      <c r="O1165" s="1" t="n">
        <v>5</v>
      </c>
      <c r="P1165" s="1" t="n">
        <v>999.95</v>
      </c>
      <c r="Q1165" s="1" t="n">
        <v>18999.05</v>
      </c>
      <c r="R1165" s="1" t="n">
        <v>3419.83</v>
      </c>
      <c r="S1165" s="1" t="n">
        <v>15579.22</v>
      </c>
      <c r="T1165" s="1" t="n">
        <v>6845.77</v>
      </c>
      <c r="U1165" s="1" t="n">
        <v>8733.45</v>
      </c>
      <c r="V1165" s="1" t="n">
        <v>56.06</v>
      </c>
      <c r="W1165" s="1" t="s">
        <v>39</v>
      </c>
      <c r="X1165" s="1" t="n">
        <v>4.1</v>
      </c>
      <c r="Y1165" s="1" t="s">
        <v>40</v>
      </c>
      <c r="Z1165" s="1" t="n">
        <v>0</v>
      </c>
    </row>
    <row r="1166" customFormat="false" ht="15" hidden="false" customHeight="true" outlineLevel="0" collapsed="false">
      <c r="A1166" s="1" t="s">
        <v>1921</v>
      </c>
      <c r="B1166" s="1" t="s">
        <v>1550</v>
      </c>
      <c r="C1166" s="1" t="s">
        <v>134</v>
      </c>
      <c r="D1166" s="1" t="s">
        <v>123</v>
      </c>
      <c r="E1166" s="1" t="s">
        <v>233</v>
      </c>
      <c r="F1166" s="1" t="s">
        <v>89</v>
      </c>
      <c r="G1166" s="1" t="s">
        <v>68</v>
      </c>
      <c r="H1166" s="1" t="s">
        <v>33</v>
      </c>
      <c r="I1166" s="1" t="s">
        <v>83</v>
      </c>
      <c r="J1166" s="1" t="s">
        <v>131</v>
      </c>
      <c r="K1166" s="1" t="s">
        <v>71</v>
      </c>
      <c r="L1166" s="1" t="s">
        <v>113</v>
      </c>
      <c r="M1166" s="1" t="s">
        <v>50</v>
      </c>
      <c r="N1166" s="1" t="n">
        <v>8999</v>
      </c>
      <c r="O1166" s="1" t="n">
        <v>25</v>
      </c>
      <c r="P1166" s="1" t="n">
        <v>2249.75</v>
      </c>
      <c r="Q1166" s="1" t="n">
        <v>6749.25</v>
      </c>
      <c r="R1166" s="1" t="n">
        <v>1214.87</v>
      </c>
      <c r="S1166" s="1" t="n">
        <v>5534.38</v>
      </c>
      <c r="T1166" s="1" t="n">
        <v>2708.34</v>
      </c>
      <c r="U1166" s="1" t="n">
        <v>2826.04</v>
      </c>
      <c r="V1166" s="1" t="n">
        <v>51.06</v>
      </c>
      <c r="W1166" s="1" t="s">
        <v>39</v>
      </c>
      <c r="X1166" s="1" t="n">
        <v>3.7</v>
      </c>
      <c r="Y1166" s="1" t="s">
        <v>40</v>
      </c>
      <c r="Z1166" s="1" t="n">
        <v>0</v>
      </c>
    </row>
    <row r="1167" customFormat="false" ht="15" hidden="false" customHeight="true" outlineLevel="0" collapsed="false">
      <c r="A1167" s="1" t="s">
        <v>1922</v>
      </c>
      <c r="B1167" s="1" t="s">
        <v>158</v>
      </c>
      <c r="C1167" s="1" t="s">
        <v>139</v>
      </c>
      <c r="D1167" s="1" t="s">
        <v>168</v>
      </c>
      <c r="E1167" s="1" t="s">
        <v>172</v>
      </c>
      <c r="F1167" s="1" t="s">
        <v>244</v>
      </c>
      <c r="G1167" s="1" t="s">
        <v>97</v>
      </c>
      <c r="H1167" s="1" t="s">
        <v>57</v>
      </c>
      <c r="I1167" s="1" t="s">
        <v>83</v>
      </c>
      <c r="J1167" s="1" t="s">
        <v>59</v>
      </c>
      <c r="K1167" s="1" t="s">
        <v>60</v>
      </c>
      <c r="L1167" s="1" t="s">
        <v>136</v>
      </c>
      <c r="M1167" s="1" t="s">
        <v>50</v>
      </c>
      <c r="N1167" s="1" t="n">
        <v>6999</v>
      </c>
      <c r="O1167" s="1" t="n">
        <v>15</v>
      </c>
      <c r="P1167" s="1" t="n">
        <v>1049.85</v>
      </c>
      <c r="Q1167" s="1" t="n">
        <v>5949.15</v>
      </c>
      <c r="R1167" s="1" t="n">
        <v>1070.85</v>
      </c>
      <c r="S1167" s="1" t="n">
        <v>4878.3</v>
      </c>
      <c r="T1167" s="1" t="n">
        <v>2307.08</v>
      </c>
      <c r="U1167" s="1" t="n">
        <v>2571.22</v>
      </c>
      <c r="V1167" s="1" t="n">
        <v>52.71</v>
      </c>
      <c r="W1167" s="1" t="s">
        <v>39</v>
      </c>
      <c r="X1167" s="1" t="n">
        <v>3.8</v>
      </c>
      <c r="Y1167" s="1" t="s">
        <v>40</v>
      </c>
      <c r="Z1167" s="1" t="n">
        <v>0</v>
      </c>
    </row>
    <row r="1168" customFormat="false" ht="15" hidden="false" customHeight="true" outlineLevel="0" collapsed="false">
      <c r="A1168" s="1" t="s">
        <v>1923</v>
      </c>
      <c r="B1168" s="1" t="s">
        <v>1410</v>
      </c>
      <c r="C1168" s="1" t="s">
        <v>167</v>
      </c>
      <c r="D1168" s="1" t="s">
        <v>53</v>
      </c>
      <c r="E1168" s="1" t="s">
        <v>54</v>
      </c>
      <c r="F1168" s="1" t="s">
        <v>153</v>
      </c>
      <c r="G1168" s="1" t="s">
        <v>76</v>
      </c>
      <c r="H1168" s="1" t="s">
        <v>33</v>
      </c>
      <c r="I1168" s="1" t="s">
        <v>83</v>
      </c>
      <c r="J1168" s="1" t="s">
        <v>131</v>
      </c>
      <c r="K1168" s="1" t="s">
        <v>104</v>
      </c>
      <c r="L1168" s="1" t="s">
        <v>85</v>
      </c>
      <c r="M1168" s="1" t="s">
        <v>62</v>
      </c>
      <c r="N1168" s="1" t="n">
        <v>11999</v>
      </c>
      <c r="O1168" s="1" t="n">
        <v>0</v>
      </c>
      <c r="P1168" s="1" t="n">
        <v>0</v>
      </c>
      <c r="Q1168" s="1" t="n">
        <v>11999</v>
      </c>
      <c r="R1168" s="1" t="n">
        <v>2159.82</v>
      </c>
      <c r="S1168" s="1" t="n">
        <v>9839.18</v>
      </c>
      <c r="T1168" s="1" t="n">
        <v>4454.19</v>
      </c>
      <c r="U1168" s="1" t="n">
        <v>5384.99</v>
      </c>
      <c r="V1168" s="1" t="n">
        <v>54.73</v>
      </c>
      <c r="W1168" s="1" t="s">
        <v>39</v>
      </c>
      <c r="Y1168" s="1" t="s">
        <v>40</v>
      </c>
      <c r="Z1168" s="1" t="n">
        <v>0</v>
      </c>
    </row>
    <row r="1169" customFormat="false" ht="15" hidden="false" customHeight="true" outlineLevel="0" collapsed="false">
      <c r="A1169" s="1" t="s">
        <v>1924</v>
      </c>
      <c r="B1169" s="1" t="s">
        <v>391</v>
      </c>
      <c r="C1169" s="1" t="s">
        <v>28</v>
      </c>
      <c r="D1169" s="1" t="s">
        <v>80</v>
      </c>
      <c r="E1169" s="1" t="s">
        <v>193</v>
      </c>
      <c r="F1169" s="1" t="s">
        <v>140</v>
      </c>
      <c r="G1169" s="1" t="s">
        <v>97</v>
      </c>
      <c r="H1169" s="1" t="s">
        <v>57</v>
      </c>
      <c r="I1169" s="1" t="s">
        <v>83</v>
      </c>
      <c r="J1169" s="1" t="s">
        <v>59</v>
      </c>
      <c r="K1169" s="1" t="s">
        <v>48</v>
      </c>
      <c r="L1169" s="1" t="s">
        <v>113</v>
      </c>
      <c r="M1169" s="1" t="s">
        <v>62</v>
      </c>
      <c r="N1169" s="1" t="n">
        <v>8999</v>
      </c>
      <c r="O1169" s="1" t="n">
        <v>0</v>
      </c>
      <c r="P1169" s="1" t="n">
        <v>0</v>
      </c>
      <c r="Q1169" s="1" t="n">
        <v>8999</v>
      </c>
      <c r="R1169" s="1" t="n">
        <v>1619.82</v>
      </c>
      <c r="S1169" s="1" t="n">
        <v>7379.18</v>
      </c>
      <c r="T1169" s="1" t="n">
        <v>3233.04</v>
      </c>
      <c r="U1169" s="1" t="n">
        <v>4146.14</v>
      </c>
      <c r="V1169" s="1" t="n">
        <v>56.19</v>
      </c>
      <c r="W1169" s="1" t="s">
        <v>39</v>
      </c>
      <c r="X1169" s="1" t="n">
        <v>4</v>
      </c>
      <c r="Y1169" s="1" t="s">
        <v>40</v>
      </c>
      <c r="Z1169" s="1" t="n">
        <v>0</v>
      </c>
    </row>
    <row r="1170" customFormat="false" ht="15" hidden="false" customHeight="true" outlineLevel="0" collapsed="false">
      <c r="A1170" s="1" t="s">
        <v>1925</v>
      </c>
      <c r="B1170" s="1" t="s">
        <v>1614</v>
      </c>
      <c r="C1170" s="1" t="s">
        <v>128</v>
      </c>
      <c r="D1170" s="1" t="s">
        <v>80</v>
      </c>
      <c r="E1170" s="1" t="s">
        <v>190</v>
      </c>
      <c r="F1170" s="1" t="s">
        <v>153</v>
      </c>
      <c r="G1170" s="1" t="s">
        <v>76</v>
      </c>
      <c r="H1170" s="1" t="s">
        <v>33</v>
      </c>
      <c r="I1170" s="1" t="s">
        <v>34</v>
      </c>
      <c r="J1170" s="1" t="s">
        <v>77</v>
      </c>
      <c r="K1170" s="1" t="s">
        <v>48</v>
      </c>
      <c r="L1170" s="1" t="s">
        <v>37</v>
      </c>
      <c r="M1170" s="1" t="s">
        <v>62</v>
      </c>
      <c r="N1170" s="1" t="n">
        <v>15999</v>
      </c>
      <c r="O1170" s="1" t="n">
        <v>20</v>
      </c>
      <c r="P1170" s="1" t="n">
        <v>3199.8</v>
      </c>
      <c r="Q1170" s="1" t="n">
        <v>12799.2</v>
      </c>
      <c r="R1170" s="1" t="n">
        <v>2303.86</v>
      </c>
      <c r="S1170" s="1" t="n">
        <v>10495.34</v>
      </c>
      <c r="T1170" s="1" t="n">
        <v>3706.24</v>
      </c>
      <c r="U1170" s="1" t="n">
        <v>6789.1</v>
      </c>
      <c r="V1170" s="1" t="n">
        <v>64.69</v>
      </c>
      <c r="W1170" s="1" t="s">
        <v>40</v>
      </c>
      <c r="Y1170" s="1" t="s">
        <v>40</v>
      </c>
      <c r="Z1170" s="1" t="n">
        <v>0</v>
      </c>
    </row>
    <row r="1171" customFormat="false" ht="15" hidden="false" customHeight="true" outlineLevel="0" collapsed="false">
      <c r="A1171" s="1" t="s">
        <v>1926</v>
      </c>
      <c r="B1171" s="1" t="s">
        <v>1927</v>
      </c>
      <c r="C1171" s="1" t="s">
        <v>88</v>
      </c>
      <c r="D1171" s="1" t="s">
        <v>143</v>
      </c>
      <c r="E1171" s="1" t="s">
        <v>144</v>
      </c>
      <c r="F1171" s="1" t="s">
        <v>46</v>
      </c>
      <c r="G1171" s="1" t="s">
        <v>47</v>
      </c>
      <c r="H1171" s="1" t="s">
        <v>33</v>
      </c>
      <c r="I1171" s="1" t="s">
        <v>34</v>
      </c>
      <c r="J1171" s="1" t="s">
        <v>131</v>
      </c>
      <c r="K1171" s="1" t="s">
        <v>36</v>
      </c>
      <c r="L1171" s="1" t="s">
        <v>136</v>
      </c>
      <c r="M1171" s="1" t="s">
        <v>62</v>
      </c>
      <c r="N1171" s="1" t="n">
        <v>12999</v>
      </c>
      <c r="O1171" s="1" t="n">
        <v>10</v>
      </c>
      <c r="P1171" s="1" t="n">
        <v>1299.9</v>
      </c>
      <c r="Q1171" s="1" t="n">
        <v>11699.1</v>
      </c>
      <c r="R1171" s="1" t="n">
        <v>2105.84</v>
      </c>
      <c r="S1171" s="1" t="n">
        <v>9593.26</v>
      </c>
      <c r="T1171" s="1" t="n">
        <v>3295.01</v>
      </c>
      <c r="U1171" s="1" t="n">
        <v>6298.25</v>
      </c>
      <c r="V1171" s="1" t="n">
        <v>65.65</v>
      </c>
      <c r="W1171" s="1" t="s">
        <v>39</v>
      </c>
      <c r="X1171" s="1" t="n">
        <v>3.7</v>
      </c>
      <c r="Y1171" s="1" t="s">
        <v>40</v>
      </c>
      <c r="Z1171" s="1" t="n">
        <v>0</v>
      </c>
    </row>
    <row r="1172" customFormat="false" ht="15" hidden="false" customHeight="true" outlineLevel="0" collapsed="false">
      <c r="A1172" s="1" t="s">
        <v>1928</v>
      </c>
      <c r="B1172" s="1" t="s">
        <v>1550</v>
      </c>
      <c r="C1172" s="1" t="s">
        <v>93</v>
      </c>
      <c r="D1172" s="1" t="s">
        <v>123</v>
      </c>
      <c r="E1172" s="1" t="s">
        <v>147</v>
      </c>
      <c r="F1172" s="1" t="s">
        <v>125</v>
      </c>
      <c r="G1172" s="1" t="s">
        <v>108</v>
      </c>
      <c r="H1172" s="1" t="s">
        <v>69</v>
      </c>
      <c r="I1172" s="1" t="s">
        <v>58</v>
      </c>
      <c r="J1172" s="1" t="s">
        <v>131</v>
      </c>
      <c r="K1172" s="1" t="s">
        <v>60</v>
      </c>
      <c r="L1172" s="1" t="s">
        <v>113</v>
      </c>
      <c r="M1172" s="1" t="s">
        <v>38</v>
      </c>
      <c r="N1172" s="1" t="n">
        <v>6999</v>
      </c>
      <c r="O1172" s="1" t="n">
        <v>40</v>
      </c>
      <c r="P1172" s="1" t="n">
        <v>2799.6</v>
      </c>
      <c r="Q1172" s="1" t="n">
        <v>4199.4</v>
      </c>
      <c r="R1172" s="1" t="n">
        <v>755.89</v>
      </c>
      <c r="S1172" s="1" t="n">
        <v>3443.51</v>
      </c>
      <c r="T1172" s="1" t="n">
        <v>1693.26</v>
      </c>
      <c r="U1172" s="1" t="n">
        <v>1750.25</v>
      </c>
      <c r="V1172" s="1" t="n">
        <v>50.83</v>
      </c>
      <c r="W1172" s="1" t="s">
        <v>40</v>
      </c>
      <c r="Y1172" s="1" t="s">
        <v>39</v>
      </c>
      <c r="Z1172" s="1" t="n">
        <v>0</v>
      </c>
    </row>
    <row r="1173" customFormat="false" ht="15" hidden="false" customHeight="true" outlineLevel="0" collapsed="false">
      <c r="A1173" s="1" t="s">
        <v>1929</v>
      </c>
      <c r="B1173" s="1" t="s">
        <v>315</v>
      </c>
      <c r="C1173" s="1" t="s">
        <v>43</v>
      </c>
      <c r="D1173" s="1" t="s">
        <v>80</v>
      </c>
      <c r="E1173" s="1" t="s">
        <v>190</v>
      </c>
      <c r="F1173" s="1" t="s">
        <v>184</v>
      </c>
      <c r="G1173" s="1" t="s">
        <v>56</v>
      </c>
      <c r="H1173" s="1" t="s">
        <v>57</v>
      </c>
      <c r="I1173" s="1" t="s">
        <v>58</v>
      </c>
      <c r="J1173" s="1" t="s">
        <v>131</v>
      </c>
      <c r="K1173" s="1" t="s">
        <v>84</v>
      </c>
      <c r="L1173" s="1" t="s">
        <v>37</v>
      </c>
      <c r="M1173" s="1" t="s">
        <v>50</v>
      </c>
      <c r="N1173" s="1" t="n">
        <v>15999</v>
      </c>
      <c r="O1173" s="1" t="n">
        <v>0</v>
      </c>
      <c r="P1173" s="1" t="n">
        <v>0</v>
      </c>
      <c r="Q1173" s="1" t="n">
        <v>15999</v>
      </c>
      <c r="R1173" s="1" t="n">
        <v>2879.82</v>
      </c>
      <c r="S1173" s="1" t="n">
        <v>13119.18</v>
      </c>
      <c r="T1173" s="1" t="n">
        <v>6319.07</v>
      </c>
      <c r="U1173" s="1" t="n">
        <v>6800.11</v>
      </c>
      <c r="V1173" s="1" t="n">
        <v>51.83</v>
      </c>
      <c r="W1173" s="1" t="s">
        <v>39</v>
      </c>
      <c r="X1173" s="1" t="n">
        <v>4</v>
      </c>
      <c r="Y1173" s="1" t="s">
        <v>40</v>
      </c>
      <c r="Z1173" s="1" t="n">
        <v>0</v>
      </c>
    </row>
    <row r="1174" customFormat="false" ht="15" hidden="false" customHeight="true" outlineLevel="0" collapsed="false">
      <c r="A1174" s="1" t="s">
        <v>1930</v>
      </c>
      <c r="B1174" s="1" t="s">
        <v>1931</v>
      </c>
      <c r="C1174" s="1" t="s">
        <v>100</v>
      </c>
      <c r="D1174" s="1" t="s">
        <v>80</v>
      </c>
      <c r="E1174" s="1" t="s">
        <v>175</v>
      </c>
      <c r="F1174" s="1" t="s">
        <v>211</v>
      </c>
      <c r="G1174" s="1" t="s">
        <v>56</v>
      </c>
      <c r="H1174" s="1" t="s">
        <v>69</v>
      </c>
      <c r="I1174" s="1" t="s">
        <v>34</v>
      </c>
      <c r="J1174" s="1" t="s">
        <v>70</v>
      </c>
      <c r="K1174" s="1" t="s">
        <v>48</v>
      </c>
      <c r="L1174" s="1" t="s">
        <v>37</v>
      </c>
      <c r="M1174" s="1" t="s">
        <v>62</v>
      </c>
      <c r="N1174" s="1" t="n">
        <v>19999</v>
      </c>
      <c r="O1174" s="1" t="n">
        <v>10</v>
      </c>
      <c r="P1174" s="1" t="n">
        <v>1999.9</v>
      </c>
      <c r="Q1174" s="1" t="n">
        <v>17999.1</v>
      </c>
      <c r="R1174" s="1" t="n">
        <v>3239.84</v>
      </c>
      <c r="S1174" s="1" t="n">
        <v>14759.26</v>
      </c>
      <c r="T1174" s="1" t="n">
        <v>7312.69</v>
      </c>
      <c r="U1174" s="1" t="n">
        <v>7446.57</v>
      </c>
      <c r="V1174" s="1" t="n">
        <v>50.45</v>
      </c>
      <c r="W1174" s="1" t="s">
        <v>40</v>
      </c>
      <c r="Y1174" s="1" t="s">
        <v>40</v>
      </c>
      <c r="Z1174" s="1" t="n">
        <v>1</v>
      </c>
    </row>
    <row r="1175" customFormat="false" ht="15" hidden="false" customHeight="true" outlineLevel="0" collapsed="false">
      <c r="A1175" s="1" t="s">
        <v>1932</v>
      </c>
      <c r="B1175" s="1" t="s">
        <v>1576</v>
      </c>
      <c r="C1175" s="1" t="s">
        <v>43</v>
      </c>
      <c r="D1175" s="1" t="s">
        <v>53</v>
      </c>
      <c r="E1175" s="1" t="s">
        <v>116</v>
      </c>
      <c r="F1175" s="1" t="s">
        <v>153</v>
      </c>
      <c r="G1175" s="1" t="s">
        <v>76</v>
      </c>
      <c r="H1175" s="1" t="s">
        <v>33</v>
      </c>
      <c r="I1175" s="1" t="s">
        <v>83</v>
      </c>
      <c r="J1175" s="1" t="s">
        <v>59</v>
      </c>
      <c r="K1175" s="1" t="s">
        <v>36</v>
      </c>
      <c r="L1175" s="1" t="s">
        <v>61</v>
      </c>
      <c r="M1175" s="1" t="s">
        <v>50</v>
      </c>
      <c r="N1175" s="1" t="n">
        <v>9999</v>
      </c>
      <c r="O1175" s="1" t="n">
        <v>30</v>
      </c>
      <c r="P1175" s="1" t="n">
        <v>2999.7</v>
      </c>
      <c r="Q1175" s="1" t="n">
        <v>6999.3</v>
      </c>
      <c r="R1175" s="1" t="n">
        <v>1259.87</v>
      </c>
      <c r="S1175" s="1" t="n">
        <v>5739.43</v>
      </c>
      <c r="T1175" s="1" t="n">
        <v>2509.44</v>
      </c>
      <c r="U1175" s="1" t="n">
        <v>3229.99</v>
      </c>
      <c r="V1175" s="1" t="n">
        <v>56.28</v>
      </c>
      <c r="W1175" s="1" t="s">
        <v>39</v>
      </c>
      <c r="X1175" s="1" t="n">
        <v>3.7</v>
      </c>
      <c r="Y1175" s="1" t="s">
        <v>40</v>
      </c>
      <c r="Z1175" s="1" t="n">
        <v>0</v>
      </c>
    </row>
    <row r="1176" customFormat="false" ht="15" hidden="false" customHeight="true" outlineLevel="0" collapsed="false">
      <c r="A1176" s="1" t="s">
        <v>1933</v>
      </c>
      <c r="B1176" s="1" t="s">
        <v>1773</v>
      </c>
      <c r="C1176" s="1" t="s">
        <v>100</v>
      </c>
      <c r="D1176" s="1" t="s">
        <v>168</v>
      </c>
      <c r="E1176" s="1" t="s">
        <v>328</v>
      </c>
      <c r="F1176" s="1" t="s">
        <v>244</v>
      </c>
      <c r="G1176" s="1" t="s">
        <v>97</v>
      </c>
      <c r="H1176" s="1" t="s">
        <v>57</v>
      </c>
      <c r="I1176" s="1" t="s">
        <v>83</v>
      </c>
      <c r="J1176" s="1" t="s">
        <v>77</v>
      </c>
      <c r="K1176" s="1" t="s">
        <v>48</v>
      </c>
      <c r="L1176" s="1" t="s">
        <v>49</v>
      </c>
      <c r="M1176" s="1" t="s">
        <v>62</v>
      </c>
      <c r="N1176" s="1" t="n">
        <v>8999</v>
      </c>
      <c r="O1176" s="1" t="n">
        <v>40</v>
      </c>
      <c r="P1176" s="1" t="n">
        <v>3599.6</v>
      </c>
      <c r="Q1176" s="1" t="n">
        <v>5399.4</v>
      </c>
      <c r="R1176" s="1" t="n">
        <v>971.89</v>
      </c>
      <c r="S1176" s="1" t="n">
        <v>4427.51</v>
      </c>
      <c r="T1176" s="1" t="n">
        <v>2823.04</v>
      </c>
      <c r="U1176" s="1" t="n">
        <v>1604.47</v>
      </c>
      <c r="V1176" s="1" t="n">
        <v>36.24</v>
      </c>
      <c r="W1176" s="1" t="s">
        <v>39</v>
      </c>
      <c r="X1176" s="1" t="n">
        <v>3.3</v>
      </c>
      <c r="Y1176" s="1" t="s">
        <v>40</v>
      </c>
      <c r="Z1176" s="1" t="n">
        <v>0</v>
      </c>
    </row>
    <row r="1177" customFormat="false" ht="15" hidden="false" customHeight="true" outlineLevel="0" collapsed="false">
      <c r="A1177" s="1" t="s">
        <v>1934</v>
      </c>
      <c r="B1177" s="1" t="s">
        <v>1819</v>
      </c>
      <c r="C1177" s="1" t="s">
        <v>178</v>
      </c>
      <c r="D1177" s="1" t="s">
        <v>29</v>
      </c>
      <c r="E1177" s="1" t="s">
        <v>129</v>
      </c>
      <c r="F1177" s="1" t="s">
        <v>130</v>
      </c>
      <c r="G1177" s="1" t="s">
        <v>47</v>
      </c>
      <c r="H1177" s="1" t="s">
        <v>69</v>
      </c>
      <c r="I1177" s="1" t="s">
        <v>58</v>
      </c>
      <c r="J1177" s="1" t="s">
        <v>59</v>
      </c>
      <c r="K1177" s="1" t="s">
        <v>60</v>
      </c>
      <c r="L1177" s="1" t="s">
        <v>37</v>
      </c>
      <c r="M1177" s="1" t="s">
        <v>62</v>
      </c>
      <c r="N1177" s="1" t="n">
        <v>29999</v>
      </c>
      <c r="O1177" s="1" t="n">
        <v>30</v>
      </c>
      <c r="P1177" s="1" t="n">
        <v>8999.7</v>
      </c>
      <c r="Q1177" s="1" t="n">
        <v>20999.3</v>
      </c>
      <c r="R1177" s="1" t="n">
        <v>3779.87</v>
      </c>
      <c r="S1177" s="1" t="n">
        <v>17219.43</v>
      </c>
      <c r="T1177" s="1" t="n">
        <v>6351.37</v>
      </c>
      <c r="U1177" s="1" t="n">
        <v>10868.06</v>
      </c>
      <c r="V1177" s="1" t="n">
        <v>63.12</v>
      </c>
      <c r="W1177" s="1" t="s">
        <v>39</v>
      </c>
      <c r="X1177" s="1" t="n">
        <v>3.9</v>
      </c>
      <c r="Y1177" s="1" t="s">
        <v>40</v>
      </c>
      <c r="Z1177" s="1" t="n">
        <v>0</v>
      </c>
    </row>
    <row r="1178" customFormat="false" ht="15" hidden="false" customHeight="true" outlineLevel="0" collapsed="false">
      <c r="A1178" s="1" t="s">
        <v>1935</v>
      </c>
      <c r="B1178" s="1" t="s">
        <v>1550</v>
      </c>
      <c r="C1178" s="1" t="s">
        <v>28</v>
      </c>
      <c r="D1178" s="1" t="s">
        <v>143</v>
      </c>
      <c r="E1178" s="1" t="s">
        <v>162</v>
      </c>
      <c r="F1178" s="1" t="s">
        <v>194</v>
      </c>
      <c r="G1178" s="1" t="s">
        <v>103</v>
      </c>
      <c r="H1178" s="1" t="s">
        <v>69</v>
      </c>
      <c r="I1178" s="1" t="s">
        <v>58</v>
      </c>
      <c r="J1178" s="1" t="s">
        <v>131</v>
      </c>
      <c r="K1178" s="1" t="s">
        <v>36</v>
      </c>
      <c r="L1178" s="1" t="s">
        <v>49</v>
      </c>
      <c r="M1178" s="1" t="s">
        <v>62</v>
      </c>
      <c r="N1178" s="1" t="n">
        <v>14999</v>
      </c>
      <c r="O1178" s="1" t="n">
        <v>25</v>
      </c>
      <c r="P1178" s="1" t="n">
        <v>3749.75</v>
      </c>
      <c r="Q1178" s="1" t="n">
        <v>11249.25</v>
      </c>
      <c r="R1178" s="1" t="n">
        <v>2024.87</v>
      </c>
      <c r="S1178" s="1" t="n">
        <v>9224.38</v>
      </c>
      <c r="T1178" s="1" t="n">
        <v>3448.27</v>
      </c>
      <c r="U1178" s="1" t="n">
        <v>5776.11</v>
      </c>
      <c r="V1178" s="1" t="n">
        <v>62.62</v>
      </c>
      <c r="W1178" s="1" t="s">
        <v>40</v>
      </c>
      <c r="Y1178" s="1" t="s">
        <v>39</v>
      </c>
      <c r="Z1178" s="1" t="n">
        <v>0</v>
      </c>
    </row>
    <row r="1179" customFormat="false" ht="15" hidden="false" customHeight="true" outlineLevel="0" collapsed="false">
      <c r="A1179" s="1" t="s">
        <v>1936</v>
      </c>
      <c r="B1179" s="1" t="s">
        <v>1698</v>
      </c>
      <c r="C1179" s="1" t="s">
        <v>43</v>
      </c>
      <c r="D1179" s="1" t="s">
        <v>168</v>
      </c>
      <c r="E1179" s="1" t="s">
        <v>169</v>
      </c>
      <c r="F1179" s="1" t="s">
        <v>107</v>
      </c>
      <c r="G1179" s="1" t="s">
        <v>108</v>
      </c>
      <c r="H1179" s="1" t="s">
        <v>33</v>
      </c>
      <c r="I1179" s="1" t="s">
        <v>58</v>
      </c>
      <c r="J1179" s="1" t="s">
        <v>70</v>
      </c>
      <c r="K1179" s="1" t="s">
        <v>90</v>
      </c>
      <c r="L1179" s="1" t="s">
        <v>37</v>
      </c>
      <c r="M1179" s="1" t="s">
        <v>50</v>
      </c>
      <c r="N1179" s="1" t="n">
        <v>4999</v>
      </c>
      <c r="O1179" s="1" t="n">
        <v>25</v>
      </c>
      <c r="P1179" s="1" t="n">
        <v>1249.75</v>
      </c>
      <c r="Q1179" s="1" t="n">
        <v>3749.25</v>
      </c>
      <c r="R1179" s="1" t="n">
        <v>674.87</v>
      </c>
      <c r="S1179" s="1" t="n">
        <v>3074.38</v>
      </c>
      <c r="T1179" s="1" t="n">
        <v>1194.02</v>
      </c>
      <c r="U1179" s="1" t="n">
        <v>1880.36</v>
      </c>
      <c r="V1179" s="1" t="n">
        <v>61.16</v>
      </c>
      <c r="W1179" s="1" t="s">
        <v>39</v>
      </c>
      <c r="X1179" s="1" t="n">
        <v>4.5</v>
      </c>
      <c r="Y1179" s="1" t="s">
        <v>40</v>
      </c>
      <c r="Z1179" s="1" t="n">
        <v>0</v>
      </c>
    </row>
    <row r="1180" customFormat="false" ht="15" hidden="false" customHeight="true" outlineLevel="0" collapsed="false">
      <c r="A1180" s="1" t="s">
        <v>1937</v>
      </c>
      <c r="B1180" s="1" t="s">
        <v>779</v>
      </c>
      <c r="C1180" s="1" t="s">
        <v>128</v>
      </c>
      <c r="D1180" s="1" t="s">
        <v>143</v>
      </c>
      <c r="E1180" s="1" t="s">
        <v>243</v>
      </c>
      <c r="F1180" s="1" t="s">
        <v>55</v>
      </c>
      <c r="G1180" s="1" t="s">
        <v>56</v>
      </c>
      <c r="H1180" s="1" t="s">
        <v>57</v>
      </c>
      <c r="I1180" s="1" t="s">
        <v>34</v>
      </c>
      <c r="J1180" s="1" t="s">
        <v>35</v>
      </c>
      <c r="K1180" s="1" t="s">
        <v>112</v>
      </c>
      <c r="L1180" s="1" t="s">
        <v>37</v>
      </c>
      <c r="M1180" s="1" t="s">
        <v>62</v>
      </c>
      <c r="N1180" s="1" t="n">
        <v>22999</v>
      </c>
      <c r="O1180" s="1" t="n">
        <v>15</v>
      </c>
      <c r="P1180" s="1" t="n">
        <v>3449.85</v>
      </c>
      <c r="Q1180" s="1" t="n">
        <v>19549.15</v>
      </c>
      <c r="R1180" s="1" t="n">
        <v>3518.85</v>
      </c>
      <c r="S1180" s="1" t="n">
        <v>16030.3</v>
      </c>
      <c r="T1180" s="1" t="n">
        <v>7728.79</v>
      </c>
      <c r="U1180" s="1" t="n">
        <v>8301.51</v>
      </c>
      <c r="V1180" s="1" t="n">
        <v>51.79</v>
      </c>
      <c r="W1180" s="1" t="s">
        <v>39</v>
      </c>
      <c r="X1180" s="1" t="n">
        <v>3.8</v>
      </c>
      <c r="Y1180" s="1" t="s">
        <v>40</v>
      </c>
      <c r="Z1180" s="1" t="n">
        <v>1</v>
      </c>
    </row>
    <row r="1181" customFormat="false" ht="15" hidden="false" customHeight="true" outlineLevel="0" collapsed="false">
      <c r="A1181" s="1" t="s">
        <v>1938</v>
      </c>
      <c r="B1181" s="1" t="s">
        <v>1939</v>
      </c>
      <c r="C1181" s="1" t="s">
        <v>74</v>
      </c>
      <c r="D1181" s="1" t="s">
        <v>123</v>
      </c>
      <c r="E1181" s="1" t="s">
        <v>124</v>
      </c>
      <c r="F1181" s="1" t="s">
        <v>269</v>
      </c>
      <c r="G1181" s="1" t="s">
        <v>108</v>
      </c>
      <c r="H1181" s="1" t="s">
        <v>57</v>
      </c>
      <c r="I1181" s="1" t="s">
        <v>58</v>
      </c>
      <c r="J1181" s="1" t="s">
        <v>131</v>
      </c>
      <c r="K1181" s="1" t="s">
        <v>71</v>
      </c>
      <c r="L1181" s="1" t="s">
        <v>85</v>
      </c>
      <c r="M1181" s="1" t="s">
        <v>50</v>
      </c>
      <c r="N1181" s="1" t="n">
        <v>4999</v>
      </c>
      <c r="O1181" s="1" t="n">
        <v>10</v>
      </c>
      <c r="P1181" s="1" t="n">
        <v>499.9</v>
      </c>
      <c r="Q1181" s="1" t="n">
        <v>4499.1</v>
      </c>
      <c r="R1181" s="1" t="n">
        <v>809.84</v>
      </c>
      <c r="S1181" s="1" t="n">
        <v>3689.26</v>
      </c>
      <c r="T1181" s="1" t="n">
        <v>1759.42</v>
      </c>
      <c r="U1181" s="1" t="n">
        <v>1929.84</v>
      </c>
      <c r="V1181" s="1" t="n">
        <v>52.31</v>
      </c>
      <c r="W1181" s="1" t="s">
        <v>39</v>
      </c>
      <c r="Y1181" s="1" t="s">
        <v>40</v>
      </c>
      <c r="Z1181" s="1" t="n">
        <v>0</v>
      </c>
    </row>
    <row r="1182" customFormat="false" ht="15" hidden="false" customHeight="true" outlineLevel="0" collapsed="false">
      <c r="A1182" s="1" t="s">
        <v>1940</v>
      </c>
      <c r="B1182" s="1" t="s">
        <v>1941</v>
      </c>
      <c r="C1182" s="1" t="s">
        <v>93</v>
      </c>
      <c r="D1182" s="1" t="s">
        <v>44</v>
      </c>
      <c r="E1182" s="1" t="s">
        <v>45</v>
      </c>
      <c r="F1182" s="1" t="s">
        <v>82</v>
      </c>
      <c r="G1182" s="1" t="s">
        <v>56</v>
      </c>
      <c r="H1182" s="1" t="s">
        <v>69</v>
      </c>
      <c r="I1182" s="1" t="s">
        <v>83</v>
      </c>
      <c r="J1182" s="1" t="s">
        <v>35</v>
      </c>
      <c r="K1182" s="1" t="s">
        <v>71</v>
      </c>
      <c r="L1182" s="1" t="s">
        <v>37</v>
      </c>
      <c r="M1182" s="1" t="s">
        <v>62</v>
      </c>
      <c r="N1182" s="1" t="n">
        <v>11999</v>
      </c>
      <c r="O1182" s="1" t="n">
        <v>40</v>
      </c>
      <c r="P1182" s="1" t="n">
        <v>4799.6</v>
      </c>
      <c r="Q1182" s="1" t="n">
        <v>7199.4</v>
      </c>
      <c r="R1182" s="1" t="n">
        <v>1295.89</v>
      </c>
      <c r="S1182" s="1" t="n">
        <v>5903.51</v>
      </c>
      <c r="T1182" s="1" t="n">
        <v>2981.66</v>
      </c>
      <c r="U1182" s="1" t="n">
        <v>2921.85</v>
      </c>
      <c r="V1182" s="1" t="n">
        <v>49.49</v>
      </c>
      <c r="W1182" s="1" t="s">
        <v>39</v>
      </c>
      <c r="X1182" s="1" t="n">
        <v>3.2</v>
      </c>
      <c r="Y1182" s="1" t="s">
        <v>40</v>
      </c>
      <c r="Z1182" s="1" t="n">
        <v>2</v>
      </c>
    </row>
    <row r="1183" customFormat="false" ht="15" hidden="false" customHeight="true" outlineLevel="0" collapsed="false">
      <c r="A1183" s="1" t="s">
        <v>1942</v>
      </c>
      <c r="B1183" s="1" t="s">
        <v>1604</v>
      </c>
      <c r="C1183" s="1" t="s">
        <v>249</v>
      </c>
      <c r="D1183" s="1" t="s">
        <v>143</v>
      </c>
      <c r="E1183" s="1" t="s">
        <v>159</v>
      </c>
      <c r="F1183" s="1" t="s">
        <v>96</v>
      </c>
      <c r="G1183" s="1" t="s">
        <v>97</v>
      </c>
      <c r="H1183" s="1" t="s">
        <v>69</v>
      </c>
      <c r="I1183" s="1" t="s">
        <v>34</v>
      </c>
      <c r="J1183" s="1" t="s">
        <v>59</v>
      </c>
      <c r="K1183" s="1" t="s">
        <v>60</v>
      </c>
      <c r="L1183" s="1" t="s">
        <v>113</v>
      </c>
      <c r="M1183" s="1" t="s">
        <v>62</v>
      </c>
      <c r="N1183" s="1" t="n">
        <v>24999</v>
      </c>
      <c r="O1183" s="1" t="n">
        <v>40</v>
      </c>
      <c r="P1183" s="1" t="n">
        <v>9999.6</v>
      </c>
      <c r="Q1183" s="1" t="n">
        <v>14999.4</v>
      </c>
      <c r="R1183" s="1" t="n">
        <v>2699.89</v>
      </c>
      <c r="S1183" s="1" t="n">
        <v>12299.51</v>
      </c>
      <c r="T1183" s="1" t="n">
        <v>7146.34</v>
      </c>
      <c r="U1183" s="1" t="n">
        <v>5153.17</v>
      </c>
      <c r="V1183" s="1" t="n">
        <v>41.9</v>
      </c>
      <c r="W1183" s="1" t="s">
        <v>39</v>
      </c>
      <c r="X1183" s="1" t="n">
        <v>3.2</v>
      </c>
      <c r="Y1183" s="1" t="s">
        <v>40</v>
      </c>
      <c r="Z1183" s="1" t="n">
        <v>1</v>
      </c>
    </row>
    <row r="1184" customFormat="false" ht="15" hidden="false" customHeight="true" outlineLevel="0" collapsed="false">
      <c r="A1184" s="1" t="s">
        <v>1943</v>
      </c>
      <c r="B1184" s="1" t="s">
        <v>1944</v>
      </c>
      <c r="C1184" s="1" t="s">
        <v>264</v>
      </c>
      <c r="D1184" s="1" t="s">
        <v>168</v>
      </c>
      <c r="E1184" s="1" t="s">
        <v>197</v>
      </c>
      <c r="F1184" s="1" t="s">
        <v>244</v>
      </c>
      <c r="G1184" s="1" t="s">
        <v>97</v>
      </c>
      <c r="H1184" s="1" t="s">
        <v>57</v>
      </c>
      <c r="I1184" s="1" t="s">
        <v>58</v>
      </c>
      <c r="J1184" s="1" t="s">
        <v>59</v>
      </c>
      <c r="K1184" s="1" t="s">
        <v>84</v>
      </c>
      <c r="L1184" s="1" t="s">
        <v>49</v>
      </c>
      <c r="M1184" s="1" t="s">
        <v>62</v>
      </c>
      <c r="N1184" s="1" t="n">
        <v>8499</v>
      </c>
      <c r="O1184" s="1" t="n">
        <v>25</v>
      </c>
      <c r="P1184" s="1" t="n">
        <v>2124.75</v>
      </c>
      <c r="Q1184" s="1" t="n">
        <v>6374.25</v>
      </c>
      <c r="R1184" s="1" t="n">
        <v>1147.37</v>
      </c>
      <c r="S1184" s="1" t="n">
        <v>5226.88</v>
      </c>
      <c r="T1184" s="1" t="n">
        <v>2146.14</v>
      </c>
      <c r="U1184" s="1" t="n">
        <v>3080.74</v>
      </c>
      <c r="V1184" s="1" t="n">
        <v>58.94</v>
      </c>
      <c r="W1184" s="1" t="s">
        <v>39</v>
      </c>
      <c r="X1184" s="1" t="n">
        <v>3.4</v>
      </c>
      <c r="Y1184" s="1" t="s">
        <v>40</v>
      </c>
      <c r="Z1184" s="1" t="n">
        <v>0</v>
      </c>
    </row>
    <row r="1185" customFormat="false" ht="15" hidden="false" customHeight="true" outlineLevel="0" collapsed="false">
      <c r="A1185" s="1" t="s">
        <v>1945</v>
      </c>
      <c r="B1185" s="1" t="s">
        <v>1946</v>
      </c>
      <c r="C1185" s="1" t="s">
        <v>100</v>
      </c>
      <c r="D1185" s="1" t="s">
        <v>168</v>
      </c>
      <c r="E1185" s="1" t="s">
        <v>197</v>
      </c>
      <c r="F1185" s="1" t="s">
        <v>75</v>
      </c>
      <c r="G1185" s="1" t="s">
        <v>76</v>
      </c>
      <c r="H1185" s="1" t="s">
        <v>69</v>
      </c>
      <c r="I1185" s="1" t="s">
        <v>34</v>
      </c>
      <c r="J1185" s="1" t="s">
        <v>35</v>
      </c>
      <c r="K1185" s="1" t="s">
        <v>112</v>
      </c>
      <c r="L1185" s="1" t="s">
        <v>37</v>
      </c>
      <c r="M1185" s="1" t="s">
        <v>38</v>
      </c>
      <c r="N1185" s="1" t="n">
        <v>8499</v>
      </c>
      <c r="O1185" s="1" t="n">
        <v>20</v>
      </c>
      <c r="P1185" s="1" t="n">
        <v>1699.8</v>
      </c>
      <c r="Q1185" s="1" t="n">
        <v>6799.2</v>
      </c>
      <c r="R1185" s="1" t="n">
        <v>1223.86</v>
      </c>
      <c r="S1185" s="1" t="n">
        <v>5575.34</v>
      </c>
      <c r="T1185" s="1" t="n">
        <v>2231.91</v>
      </c>
      <c r="U1185" s="1" t="n">
        <v>3343.43</v>
      </c>
      <c r="V1185" s="1" t="n">
        <v>59.97</v>
      </c>
      <c r="W1185" s="1" t="s">
        <v>40</v>
      </c>
      <c r="Y1185" s="1" t="s">
        <v>40</v>
      </c>
      <c r="Z1185" s="1" t="n">
        <v>1</v>
      </c>
    </row>
    <row r="1186" customFormat="false" ht="15" hidden="false" customHeight="true" outlineLevel="0" collapsed="false">
      <c r="A1186" s="1" t="s">
        <v>1947</v>
      </c>
      <c r="B1186" s="1" t="s">
        <v>1948</v>
      </c>
      <c r="C1186" s="1" t="s">
        <v>100</v>
      </c>
      <c r="D1186" s="1" t="s">
        <v>94</v>
      </c>
      <c r="E1186" s="1" t="s">
        <v>135</v>
      </c>
      <c r="F1186" s="1" t="s">
        <v>31</v>
      </c>
      <c r="G1186" s="1" t="s">
        <v>32</v>
      </c>
      <c r="H1186" s="1" t="s">
        <v>33</v>
      </c>
      <c r="I1186" s="1" t="s">
        <v>58</v>
      </c>
      <c r="J1186" s="1" t="s">
        <v>59</v>
      </c>
      <c r="K1186" s="1" t="s">
        <v>84</v>
      </c>
      <c r="L1186" s="1" t="s">
        <v>49</v>
      </c>
      <c r="M1186" s="1" t="s">
        <v>62</v>
      </c>
      <c r="N1186" s="1" t="n">
        <v>9999</v>
      </c>
      <c r="O1186" s="1" t="n">
        <v>5</v>
      </c>
      <c r="P1186" s="1" t="n">
        <v>499.95</v>
      </c>
      <c r="Q1186" s="1" t="n">
        <v>9499.05</v>
      </c>
      <c r="R1186" s="1" t="n">
        <v>1709.83</v>
      </c>
      <c r="S1186" s="1" t="n">
        <v>7789.22</v>
      </c>
      <c r="T1186" s="1" t="n">
        <v>3324.2</v>
      </c>
      <c r="U1186" s="1" t="n">
        <v>4465.02</v>
      </c>
      <c r="V1186" s="1" t="n">
        <v>57.32</v>
      </c>
      <c r="W1186" s="1" t="s">
        <v>39</v>
      </c>
      <c r="X1186" s="1" t="n">
        <v>3.8</v>
      </c>
      <c r="Y1186" s="1" t="s">
        <v>40</v>
      </c>
      <c r="Z1186" s="1" t="n">
        <v>0</v>
      </c>
    </row>
    <row r="1187" customFormat="false" ht="15" hidden="false" customHeight="true" outlineLevel="0" collapsed="false">
      <c r="A1187" s="1" t="s">
        <v>291</v>
      </c>
      <c r="B1187" s="1" t="s">
        <v>292</v>
      </c>
      <c r="C1187" s="1" t="s">
        <v>134</v>
      </c>
      <c r="D1187" s="1" t="s">
        <v>168</v>
      </c>
      <c r="E1187" s="1" t="s">
        <v>172</v>
      </c>
      <c r="F1187" s="1" t="s">
        <v>150</v>
      </c>
      <c r="G1187" s="1" t="s">
        <v>32</v>
      </c>
      <c r="H1187" s="1" t="s">
        <v>57</v>
      </c>
      <c r="I1187" s="1" t="s">
        <v>58</v>
      </c>
      <c r="J1187" s="1" t="s">
        <v>59</v>
      </c>
      <c r="K1187" s="1" t="s">
        <v>48</v>
      </c>
      <c r="L1187" s="1" t="s">
        <v>37</v>
      </c>
      <c r="M1187" s="1" t="s">
        <v>38</v>
      </c>
      <c r="N1187" s="1" t="n">
        <v>6999</v>
      </c>
      <c r="O1187" s="1" t="n">
        <v>0</v>
      </c>
      <c r="P1187" s="1" t="n">
        <v>0</v>
      </c>
      <c r="Q1187" s="1" t="n">
        <v>6999</v>
      </c>
      <c r="R1187" s="1" t="n">
        <v>1259.82</v>
      </c>
      <c r="S1187" s="1" t="n">
        <v>5739.18</v>
      </c>
      <c r="T1187" s="1" t="n">
        <v>2768.27</v>
      </c>
      <c r="U1187" s="1" t="n">
        <v>2970.91</v>
      </c>
      <c r="V1187" s="1" t="n">
        <v>51.77</v>
      </c>
      <c r="W1187" s="1" t="s">
        <v>39</v>
      </c>
      <c r="X1187" s="1" t="n">
        <v>3</v>
      </c>
      <c r="Y1187" s="1" t="s">
        <v>40</v>
      </c>
      <c r="Z1187" s="1" t="n">
        <v>1</v>
      </c>
    </row>
    <row r="1188" customFormat="false" ht="15" hidden="false" customHeight="true" outlineLevel="0" collapsed="false">
      <c r="A1188" s="1" t="s">
        <v>1162</v>
      </c>
      <c r="B1188" s="1" t="s">
        <v>1163</v>
      </c>
      <c r="C1188" s="1" t="s">
        <v>43</v>
      </c>
      <c r="D1188" s="1" t="s">
        <v>44</v>
      </c>
      <c r="E1188" s="1" t="s">
        <v>221</v>
      </c>
      <c r="F1188" s="1" t="s">
        <v>120</v>
      </c>
      <c r="G1188" s="1" t="s">
        <v>47</v>
      </c>
      <c r="H1188" s="1" t="s">
        <v>57</v>
      </c>
      <c r="I1188" s="1" t="s">
        <v>34</v>
      </c>
      <c r="J1188" s="1" t="s">
        <v>35</v>
      </c>
      <c r="K1188" s="1" t="s">
        <v>90</v>
      </c>
      <c r="L1188" s="1" t="s">
        <v>136</v>
      </c>
      <c r="M1188" s="1" t="s">
        <v>50</v>
      </c>
      <c r="N1188" s="1" t="n">
        <v>16999</v>
      </c>
      <c r="O1188" s="1" t="n">
        <v>0</v>
      </c>
      <c r="P1188" s="1" t="n">
        <v>0</v>
      </c>
      <c r="Q1188" s="1" t="n">
        <v>16999</v>
      </c>
      <c r="R1188" s="1" t="n">
        <v>3059.82</v>
      </c>
      <c r="S1188" s="1" t="n">
        <v>13939.18</v>
      </c>
      <c r="T1188" s="1" t="n">
        <v>5702.28</v>
      </c>
      <c r="U1188" s="1" t="n">
        <v>8236.9</v>
      </c>
      <c r="V1188" s="1" t="n">
        <v>59.09</v>
      </c>
      <c r="W1188" s="1" t="s">
        <v>39</v>
      </c>
      <c r="X1188" s="1" t="n">
        <v>4.4</v>
      </c>
      <c r="Y1188" s="1" t="s">
        <v>40</v>
      </c>
      <c r="Z1188" s="1" t="n">
        <v>0</v>
      </c>
    </row>
    <row r="1189" customFormat="false" ht="15" hidden="false" customHeight="true" outlineLevel="0" collapsed="false">
      <c r="A1189" s="1" t="s">
        <v>1949</v>
      </c>
      <c r="B1189" s="1" t="s">
        <v>1588</v>
      </c>
      <c r="C1189" s="1" t="s">
        <v>93</v>
      </c>
      <c r="D1189" s="1" t="s">
        <v>123</v>
      </c>
      <c r="E1189" s="1" t="s">
        <v>124</v>
      </c>
      <c r="F1189" s="1" t="s">
        <v>46</v>
      </c>
      <c r="G1189" s="1" t="s">
        <v>47</v>
      </c>
      <c r="H1189" s="1" t="s">
        <v>33</v>
      </c>
      <c r="I1189" s="1" t="s">
        <v>58</v>
      </c>
      <c r="J1189" s="1" t="s">
        <v>131</v>
      </c>
      <c r="K1189" s="1" t="s">
        <v>90</v>
      </c>
      <c r="L1189" s="1" t="s">
        <v>49</v>
      </c>
      <c r="M1189" s="1" t="s">
        <v>62</v>
      </c>
      <c r="N1189" s="1" t="n">
        <v>4999</v>
      </c>
      <c r="O1189" s="1" t="n">
        <v>5</v>
      </c>
      <c r="P1189" s="1" t="n">
        <v>249.95</v>
      </c>
      <c r="Q1189" s="1" t="n">
        <v>4749.05</v>
      </c>
      <c r="R1189" s="1" t="n">
        <v>854.83</v>
      </c>
      <c r="S1189" s="1" t="n">
        <v>3894.22</v>
      </c>
      <c r="T1189" s="1" t="n">
        <v>1862.35</v>
      </c>
      <c r="U1189" s="1" t="n">
        <v>2031.87</v>
      </c>
      <c r="V1189" s="1" t="n">
        <v>52.18</v>
      </c>
      <c r="W1189" s="1" t="s">
        <v>39</v>
      </c>
      <c r="X1189" s="1" t="n">
        <v>3.7</v>
      </c>
      <c r="Y1189" s="1" t="s">
        <v>40</v>
      </c>
      <c r="Z1189" s="1" t="n">
        <v>0</v>
      </c>
    </row>
    <row r="1190" customFormat="false" ht="15" hidden="false" customHeight="true" outlineLevel="0" collapsed="false">
      <c r="A1190" s="1" t="s">
        <v>1950</v>
      </c>
      <c r="B1190" s="1" t="s">
        <v>1050</v>
      </c>
      <c r="C1190" s="1" t="s">
        <v>178</v>
      </c>
      <c r="D1190" s="1" t="s">
        <v>94</v>
      </c>
      <c r="E1190" s="1" t="s">
        <v>101</v>
      </c>
      <c r="F1190" s="1" t="s">
        <v>211</v>
      </c>
      <c r="G1190" s="1" t="s">
        <v>56</v>
      </c>
      <c r="H1190" s="1" t="s">
        <v>69</v>
      </c>
      <c r="I1190" s="1" t="s">
        <v>83</v>
      </c>
      <c r="J1190" s="1" t="s">
        <v>59</v>
      </c>
      <c r="K1190" s="1" t="s">
        <v>104</v>
      </c>
      <c r="L1190" s="1" t="s">
        <v>49</v>
      </c>
      <c r="M1190" s="1" t="s">
        <v>50</v>
      </c>
      <c r="N1190" s="1" t="n">
        <v>14999</v>
      </c>
      <c r="O1190" s="1" t="n">
        <v>5</v>
      </c>
      <c r="P1190" s="1" t="n">
        <v>749.95</v>
      </c>
      <c r="Q1190" s="1" t="n">
        <v>14249.05</v>
      </c>
      <c r="R1190" s="1" t="n">
        <v>2564.83</v>
      </c>
      <c r="S1190" s="1" t="n">
        <v>11684.22</v>
      </c>
      <c r="T1190" s="1" t="n">
        <v>3343.44</v>
      </c>
      <c r="U1190" s="1" t="n">
        <v>8340.78</v>
      </c>
      <c r="V1190" s="1" t="n">
        <v>71.38</v>
      </c>
      <c r="W1190" s="1" t="s">
        <v>40</v>
      </c>
      <c r="Y1190" s="1" t="s">
        <v>40</v>
      </c>
      <c r="Z1190" s="1" t="n">
        <v>0</v>
      </c>
    </row>
    <row r="1191" customFormat="false" ht="15" hidden="false" customHeight="true" outlineLevel="0" collapsed="false">
      <c r="A1191" s="1" t="s">
        <v>1951</v>
      </c>
      <c r="B1191" s="1" t="s">
        <v>1556</v>
      </c>
      <c r="C1191" s="1" t="s">
        <v>74</v>
      </c>
      <c r="D1191" s="1" t="s">
        <v>44</v>
      </c>
      <c r="E1191" s="1" t="s">
        <v>45</v>
      </c>
      <c r="F1191" s="1" t="s">
        <v>156</v>
      </c>
      <c r="G1191" s="1" t="s">
        <v>68</v>
      </c>
      <c r="H1191" s="1" t="s">
        <v>57</v>
      </c>
      <c r="I1191" s="1" t="s">
        <v>58</v>
      </c>
      <c r="J1191" s="1" t="s">
        <v>131</v>
      </c>
      <c r="K1191" s="1" t="s">
        <v>60</v>
      </c>
      <c r="L1191" s="1" t="s">
        <v>85</v>
      </c>
      <c r="M1191" s="1" t="s">
        <v>38</v>
      </c>
      <c r="N1191" s="1" t="n">
        <v>11999</v>
      </c>
      <c r="O1191" s="1" t="n">
        <v>0</v>
      </c>
      <c r="P1191" s="1" t="n">
        <v>0</v>
      </c>
      <c r="Q1191" s="1" t="n">
        <v>11999</v>
      </c>
      <c r="R1191" s="1" t="n">
        <v>2159.82</v>
      </c>
      <c r="S1191" s="1" t="n">
        <v>9839.18</v>
      </c>
      <c r="T1191" s="1" t="n">
        <v>3763.52</v>
      </c>
      <c r="U1191" s="1" t="n">
        <v>6075.66</v>
      </c>
      <c r="V1191" s="1" t="n">
        <v>61.75</v>
      </c>
      <c r="W1191" s="1" t="s">
        <v>39</v>
      </c>
      <c r="X1191" s="1" t="n">
        <v>3</v>
      </c>
      <c r="Y1191" s="1" t="s">
        <v>40</v>
      </c>
      <c r="Z1191" s="1" t="n">
        <v>0</v>
      </c>
    </row>
    <row r="1192" customFormat="false" ht="15" hidden="false" customHeight="true" outlineLevel="0" collapsed="false">
      <c r="A1192" s="1" t="s">
        <v>1952</v>
      </c>
      <c r="B1192" s="1" t="s">
        <v>452</v>
      </c>
      <c r="C1192" s="1" t="s">
        <v>74</v>
      </c>
      <c r="D1192" s="1" t="s">
        <v>143</v>
      </c>
      <c r="E1192" s="1" t="s">
        <v>210</v>
      </c>
      <c r="F1192" s="1" t="s">
        <v>31</v>
      </c>
      <c r="G1192" s="1" t="s">
        <v>32</v>
      </c>
      <c r="H1192" s="1" t="s">
        <v>33</v>
      </c>
      <c r="I1192" s="1" t="s">
        <v>34</v>
      </c>
      <c r="J1192" s="1" t="s">
        <v>70</v>
      </c>
      <c r="K1192" s="1" t="s">
        <v>84</v>
      </c>
      <c r="L1192" s="1" t="s">
        <v>113</v>
      </c>
      <c r="M1192" s="1" t="s">
        <v>50</v>
      </c>
      <c r="N1192" s="1" t="n">
        <v>18999</v>
      </c>
      <c r="O1192" s="1" t="n">
        <v>0</v>
      </c>
      <c r="P1192" s="1" t="n">
        <v>0</v>
      </c>
      <c r="Q1192" s="1" t="n">
        <v>18999</v>
      </c>
      <c r="R1192" s="1" t="n">
        <v>3419.82</v>
      </c>
      <c r="S1192" s="1" t="n">
        <v>15579.18</v>
      </c>
      <c r="T1192" s="1" t="n">
        <v>6040.8</v>
      </c>
      <c r="U1192" s="1" t="n">
        <v>9538.38</v>
      </c>
      <c r="V1192" s="1" t="n">
        <v>61.23</v>
      </c>
      <c r="W1192" s="1" t="s">
        <v>39</v>
      </c>
      <c r="X1192" s="1" t="n">
        <v>4.2</v>
      </c>
      <c r="Y1192" s="1" t="s">
        <v>40</v>
      </c>
      <c r="Z1192" s="1" t="n">
        <v>0</v>
      </c>
    </row>
    <row r="1193" customFormat="false" ht="15" hidden="false" customHeight="true" outlineLevel="0" collapsed="false">
      <c r="A1193" s="1" t="s">
        <v>1953</v>
      </c>
      <c r="B1193" s="1" t="s">
        <v>1954</v>
      </c>
      <c r="C1193" s="1" t="s">
        <v>167</v>
      </c>
      <c r="D1193" s="1" t="s">
        <v>94</v>
      </c>
      <c r="E1193" s="1" t="s">
        <v>135</v>
      </c>
      <c r="F1193" s="1" t="s">
        <v>335</v>
      </c>
      <c r="G1193" s="1" t="s">
        <v>103</v>
      </c>
      <c r="H1193" s="1" t="s">
        <v>69</v>
      </c>
      <c r="I1193" s="1" t="s">
        <v>83</v>
      </c>
      <c r="J1193" s="1" t="s">
        <v>131</v>
      </c>
      <c r="K1193" s="1" t="s">
        <v>48</v>
      </c>
      <c r="L1193" s="1" t="s">
        <v>85</v>
      </c>
      <c r="M1193" s="1" t="s">
        <v>38</v>
      </c>
      <c r="N1193" s="1" t="n">
        <v>9999</v>
      </c>
      <c r="O1193" s="1" t="n">
        <v>40</v>
      </c>
      <c r="P1193" s="1" t="n">
        <v>3999.6</v>
      </c>
      <c r="Q1193" s="1" t="n">
        <v>5999.4</v>
      </c>
      <c r="R1193" s="1" t="n">
        <v>1079.89</v>
      </c>
      <c r="S1193" s="1" t="n">
        <v>4919.51</v>
      </c>
      <c r="T1193" s="1" t="n">
        <v>2571.69</v>
      </c>
      <c r="U1193" s="1" t="n">
        <v>2347.82</v>
      </c>
      <c r="V1193" s="1" t="n">
        <v>47.72</v>
      </c>
      <c r="W1193" s="1" t="s">
        <v>39</v>
      </c>
      <c r="X1193" s="1" t="n">
        <v>3.2</v>
      </c>
      <c r="Y1193" s="1" t="s">
        <v>40</v>
      </c>
      <c r="Z1193" s="1" t="n">
        <v>0</v>
      </c>
    </row>
    <row r="1194" customFormat="false" ht="15" hidden="false" customHeight="true" outlineLevel="0" collapsed="false">
      <c r="A1194" s="1" t="s">
        <v>1955</v>
      </c>
      <c r="B1194" s="1" t="s">
        <v>1956</v>
      </c>
      <c r="C1194" s="1" t="s">
        <v>74</v>
      </c>
      <c r="D1194" s="1" t="s">
        <v>44</v>
      </c>
      <c r="E1194" s="1" t="s">
        <v>45</v>
      </c>
      <c r="F1194" s="1" t="s">
        <v>67</v>
      </c>
      <c r="G1194" s="1" t="s">
        <v>68</v>
      </c>
      <c r="H1194" s="1" t="s">
        <v>69</v>
      </c>
      <c r="I1194" s="1" t="s">
        <v>58</v>
      </c>
      <c r="J1194" s="1" t="s">
        <v>35</v>
      </c>
      <c r="K1194" s="1" t="s">
        <v>71</v>
      </c>
      <c r="L1194" s="1" t="s">
        <v>85</v>
      </c>
      <c r="M1194" s="1" t="s">
        <v>50</v>
      </c>
      <c r="N1194" s="1" t="n">
        <v>11999</v>
      </c>
      <c r="O1194" s="1" t="n">
        <v>0</v>
      </c>
      <c r="P1194" s="1" t="n">
        <v>0</v>
      </c>
      <c r="Q1194" s="1" t="n">
        <v>11999</v>
      </c>
      <c r="R1194" s="1" t="n">
        <v>2159.82</v>
      </c>
      <c r="S1194" s="1" t="n">
        <v>9839.18</v>
      </c>
      <c r="T1194" s="1" t="n">
        <v>4753.58</v>
      </c>
      <c r="U1194" s="1" t="n">
        <v>5085.6</v>
      </c>
      <c r="V1194" s="1" t="n">
        <v>51.69</v>
      </c>
      <c r="W1194" s="1" t="s">
        <v>39</v>
      </c>
      <c r="X1194" s="1" t="n">
        <v>4.3</v>
      </c>
      <c r="Y1194" s="1" t="s">
        <v>40</v>
      </c>
      <c r="Z1194" s="1" t="n">
        <v>0</v>
      </c>
    </row>
    <row r="1195" customFormat="false" ht="15" hidden="false" customHeight="true" outlineLevel="0" collapsed="false">
      <c r="A1195" s="1" t="s">
        <v>1957</v>
      </c>
      <c r="B1195" s="1" t="s">
        <v>419</v>
      </c>
      <c r="C1195" s="1" t="s">
        <v>93</v>
      </c>
      <c r="D1195" s="1" t="s">
        <v>44</v>
      </c>
      <c r="E1195" s="1" t="s">
        <v>221</v>
      </c>
      <c r="F1195" s="1" t="s">
        <v>140</v>
      </c>
      <c r="G1195" s="1" t="s">
        <v>97</v>
      </c>
      <c r="H1195" s="1" t="s">
        <v>57</v>
      </c>
      <c r="I1195" s="1" t="s">
        <v>58</v>
      </c>
      <c r="J1195" s="1" t="s">
        <v>59</v>
      </c>
      <c r="K1195" s="1" t="s">
        <v>60</v>
      </c>
      <c r="L1195" s="1" t="s">
        <v>136</v>
      </c>
      <c r="M1195" s="1" t="s">
        <v>50</v>
      </c>
      <c r="N1195" s="1" t="n">
        <v>16999</v>
      </c>
      <c r="O1195" s="1" t="n">
        <v>10</v>
      </c>
      <c r="P1195" s="1" t="n">
        <v>1699.9</v>
      </c>
      <c r="Q1195" s="1" t="n">
        <v>15299.1</v>
      </c>
      <c r="R1195" s="1" t="n">
        <v>2753.84</v>
      </c>
      <c r="S1195" s="1" t="n">
        <v>12545.26</v>
      </c>
      <c r="T1195" s="1" t="n">
        <v>5002.94</v>
      </c>
      <c r="U1195" s="1" t="n">
        <v>7542.32</v>
      </c>
      <c r="V1195" s="1" t="n">
        <v>60.12</v>
      </c>
      <c r="W1195" s="1" t="s">
        <v>39</v>
      </c>
      <c r="X1195" s="1" t="n">
        <v>4.1</v>
      </c>
      <c r="Y1195" s="1" t="s">
        <v>40</v>
      </c>
      <c r="Z1195" s="1" t="n">
        <v>1</v>
      </c>
    </row>
    <row r="1196" customFormat="false" ht="15" hidden="false" customHeight="true" outlineLevel="0" collapsed="false">
      <c r="A1196" s="1" t="s">
        <v>1958</v>
      </c>
      <c r="B1196" s="1" t="s">
        <v>1959</v>
      </c>
      <c r="C1196" s="1" t="s">
        <v>167</v>
      </c>
      <c r="D1196" s="1" t="s">
        <v>123</v>
      </c>
      <c r="E1196" s="1" t="s">
        <v>233</v>
      </c>
      <c r="F1196" s="1" t="s">
        <v>153</v>
      </c>
      <c r="G1196" s="1" t="s">
        <v>76</v>
      </c>
      <c r="H1196" s="1" t="s">
        <v>33</v>
      </c>
      <c r="I1196" s="1" t="s">
        <v>83</v>
      </c>
      <c r="J1196" s="1" t="s">
        <v>35</v>
      </c>
      <c r="K1196" s="1" t="s">
        <v>48</v>
      </c>
      <c r="L1196" s="1" t="s">
        <v>113</v>
      </c>
      <c r="M1196" s="1" t="s">
        <v>38</v>
      </c>
      <c r="N1196" s="1" t="n">
        <v>8999</v>
      </c>
      <c r="O1196" s="1" t="n">
        <v>0</v>
      </c>
      <c r="P1196" s="1" t="n">
        <v>0</v>
      </c>
      <c r="Q1196" s="1" t="n">
        <v>8999</v>
      </c>
      <c r="R1196" s="1" t="n">
        <v>1619.82</v>
      </c>
      <c r="S1196" s="1" t="n">
        <v>7379.18</v>
      </c>
      <c r="T1196" s="1" t="n">
        <v>2814.1</v>
      </c>
      <c r="U1196" s="1" t="n">
        <v>4565.08</v>
      </c>
      <c r="V1196" s="1" t="n">
        <v>61.86</v>
      </c>
      <c r="W1196" s="1" t="s">
        <v>39</v>
      </c>
      <c r="X1196" s="1" t="n">
        <v>2.7</v>
      </c>
      <c r="Y1196" s="1" t="s">
        <v>40</v>
      </c>
      <c r="Z1196" s="1" t="n">
        <v>0</v>
      </c>
    </row>
    <row r="1197" customFormat="false" ht="15" hidden="false" customHeight="true" outlineLevel="0" collapsed="false">
      <c r="A1197" s="1" t="s">
        <v>1960</v>
      </c>
      <c r="B1197" s="1" t="s">
        <v>1961</v>
      </c>
      <c r="C1197" s="1" t="s">
        <v>134</v>
      </c>
      <c r="D1197" s="1" t="s">
        <v>143</v>
      </c>
      <c r="E1197" s="1" t="s">
        <v>144</v>
      </c>
      <c r="F1197" s="1" t="s">
        <v>187</v>
      </c>
      <c r="G1197" s="1" t="s">
        <v>97</v>
      </c>
      <c r="H1197" s="1" t="s">
        <v>69</v>
      </c>
      <c r="I1197" s="1" t="s">
        <v>83</v>
      </c>
      <c r="J1197" s="1" t="s">
        <v>131</v>
      </c>
      <c r="K1197" s="1" t="s">
        <v>48</v>
      </c>
      <c r="L1197" s="1" t="s">
        <v>136</v>
      </c>
      <c r="M1197" s="1" t="s">
        <v>62</v>
      </c>
      <c r="N1197" s="1" t="n">
        <v>12999</v>
      </c>
      <c r="O1197" s="1" t="n">
        <v>20</v>
      </c>
      <c r="P1197" s="1" t="n">
        <v>2599.8</v>
      </c>
      <c r="Q1197" s="1" t="n">
        <v>10399.2</v>
      </c>
      <c r="R1197" s="1" t="n">
        <v>1871.86</v>
      </c>
      <c r="S1197" s="1" t="n">
        <v>8527.34</v>
      </c>
      <c r="T1197" s="1" t="n">
        <v>3519.12</v>
      </c>
      <c r="U1197" s="1" t="n">
        <v>5008.22</v>
      </c>
      <c r="V1197" s="1" t="n">
        <v>58.73</v>
      </c>
      <c r="W1197" s="1" t="s">
        <v>39</v>
      </c>
      <c r="X1197" s="1" t="n">
        <v>4.2</v>
      </c>
      <c r="Y1197" s="1" t="s">
        <v>40</v>
      </c>
      <c r="Z1197" s="1" t="n">
        <v>0</v>
      </c>
    </row>
    <row r="1198" customFormat="false" ht="15" hidden="false" customHeight="true" outlineLevel="0" collapsed="false">
      <c r="A1198" s="1" t="s">
        <v>1962</v>
      </c>
      <c r="B1198" s="1" t="s">
        <v>1963</v>
      </c>
      <c r="C1198" s="1" t="s">
        <v>43</v>
      </c>
      <c r="D1198" s="1" t="s">
        <v>123</v>
      </c>
      <c r="E1198" s="1" t="s">
        <v>147</v>
      </c>
      <c r="F1198" s="1" t="s">
        <v>102</v>
      </c>
      <c r="G1198" s="1" t="s">
        <v>103</v>
      </c>
      <c r="H1198" s="1" t="s">
        <v>33</v>
      </c>
      <c r="I1198" s="1" t="s">
        <v>58</v>
      </c>
      <c r="J1198" s="1" t="s">
        <v>131</v>
      </c>
      <c r="K1198" s="1" t="s">
        <v>71</v>
      </c>
      <c r="L1198" s="1" t="s">
        <v>61</v>
      </c>
      <c r="M1198" s="1" t="s">
        <v>62</v>
      </c>
      <c r="N1198" s="1" t="n">
        <v>6999</v>
      </c>
      <c r="O1198" s="1" t="n">
        <v>30</v>
      </c>
      <c r="P1198" s="1" t="n">
        <v>2099.7</v>
      </c>
      <c r="Q1198" s="1" t="n">
        <v>4899.3</v>
      </c>
      <c r="R1198" s="1" t="n">
        <v>881.87</v>
      </c>
      <c r="S1198" s="1" t="n">
        <v>4017.43</v>
      </c>
      <c r="T1198" s="1" t="n">
        <v>1817.13</v>
      </c>
      <c r="U1198" s="1" t="n">
        <v>2200.3</v>
      </c>
      <c r="V1198" s="1" t="n">
        <v>54.77</v>
      </c>
      <c r="W1198" s="1" t="s">
        <v>39</v>
      </c>
      <c r="X1198" s="1" t="n">
        <v>3.7</v>
      </c>
      <c r="Y1198" s="1" t="s">
        <v>40</v>
      </c>
      <c r="Z1198" s="1" t="n">
        <v>1</v>
      </c>
    </row>
    <row r="1199" customFormat="false" ht="15" hidden="false" customHeight="true" outlineLevel="0" collapsed="false">
      <c r="A1199" s="1" t="s">
        <v>1964</v>
      </c>
      <c r="B1199" s="1" t="s">
        <v>1965</v>
      </c>
      <c r="C1199" s="1" t="s">
        <v>28</v>
      </c>
      <c r="D1199" s="1" t="s">
        <v>123</v>
      </c>
      <c r="E1199" s="1" t="s">
        <v>147</v>
      </c>
      <c r="F1199" s="1" t="s">
        <v>130</v>
      </c>
      <c r="G1199" s="1" t="s">
        <v>47</v>
      </c>
      <c r="H1199" s="1" t="s">
        <v>69</v>
      </c>
      <c r="I1199" s="1" t="s">
        <v>58</v>
      </c>
      <c r="J1199" s="1" t="s">
        <v>77</v>
      </c>
      <c r="K1199" s="1" t="s">
        <v>60</v>
      </c>
      <c r="L1199" s="1" t="s">
        <v>49</v>
      </c>
      <c r="M1199" s="1" t="s">
        <v>38</v>
      </c>
      <c r="N1199" s="1" t="n">
        <v>6999</v>
      </c>
      <c r="O1199" s="1" t="n">
        <v>5</v>
      </c>
      <c r="P1199" s="1" t="n">
        <v>349.95</v>
      </c>
      <c r="Q1199" s="1" t="n">
        <v>6649.05</v>
      </c>
      <c r="R1199" s="1" t="n">
        <v>1196.83</v>
      </c>
      <c r="S1199" s="1" t="n">
        <v>5452.22</v>
      </c>
      <c r="T1199" s="1" t="n">
        <v>2009.51</v>
      </c>
      <c r="U1199" s="1" t="n">
        <v>3442.71</v>
      </c>
      <c r="V1199" s="1" t="n">
        <v>63.14</v>
      </c>
      <c r="W1199" s="1" t="s">
        <v>40</v>
      </c>
      <c r="Y1199" s="1" t="s">
        <v>39</v>
      </c>
      <c r="Z1199" s="1" t="n">
        <v>0</v>
      </c>
    </row>
    <row r="1200" customFormat="false" ht="15" hidden="false" customHeight="true" outlineLevel="0" collapsed="false">
      <c r="A1200" s="1" t="s">
        <v>1966</v>
      </c>
      <c r="B1200" s="1" t="s">
        <v>1967</v>
      </c>
      <c r="C1200" s="1" t="s">
        <v>88</v>
      </c>
      <c r="D1200" s="1" t="s">
        <v>94</v>
      </c>
      <c r="E1200" s="1" t="s">
        <v>135</v>
      </c>
      <c r="F1200" s="1" t="s">
        <v>55</v>
      </c>
      <c r="G1200" s="1" t="s">
        <v>56</v>
      </c>
      <c r="H1200" s="1" t="s">
        <v>57</v>
      </c>
      <c r="I1200" s="1" t="s">
        <v>58</v>
      </c>
      <c r="J1200" s="1" t="s">
        <v>59</v>
      </c>
      <c r="K1200" s="1" t="s">
        <v>48</v>
      </c>
      <c r="L1200" s="1" t="s">
        <v>85</v>
      </c>
      <c r="M1200" s="1" t="s">
        <v>38</v>
      </c>
      <c r="N1200" s="1" t="n">
        <v>9999</v>
      </c>
      <c r="O1200" s="1" t="n">
        <v>0</v>
      </c>
      <c r="P1200" s="1" t="n">
        <v>0</v>
      </c>
      <c r="Q1200" s="1" t="n">
        <v>9999</v>
      </c>
      <c r="R1200" s="1" t="n">
        <v>1799.82</v>
      </c>
      <c r="S1200" s="1" t="n">
        <v>8199.18</v>
      </c>
      <c r="T1200" s="1" t="n">
        <v>4435.66</v>
      </c>
      <c r="U1200" s="1" t="n">
        <v>3763.52</v>
      </c>
      <c r="V1200" s="1" t="n">
        <v>45.9</v>
      </c>
      <c r="W1200" s="1" t="s">
        <v>39</v>
      </c>
      <c r="X1200" s="1" t="n">
        <v>4.9</v>
      </c>
      <c r="Y1200" s="1" t="s">
        <v>40</v>
      </c>
      <c r="Z1200" s="1" t="n">
        <v>1</v>
      </c>
    </row>
    <row r="1201" customFormat="false" ht="15" hidden="false" customHeight="true" outlineLevel="0" collapsed="false">
      <c r="A1201" s="1" t="s">
        <v>1968</v>
      </c>
      <c r="B1201" s="1" t="s">
        <v>1655</v>
      </c>
      <c r="C1201" s="1" t="s">
        <v>128</v>
      </c>
      <c r="D1201" s="1" t="s">
        <v>94</v>
      </c>
      <c r="E1201" s="1" t="s">
        <v>95</v>
      </c>
      <c r="F1201" s="1" t="s">
        <v>31</v>
      </c>
      <c r="G1201" s="1" t="s">
        <v>32</v>
      </c>
      <c r="H1201" s="1" t="s">
        <v>33</v>
      </c>
      <c r="I1201" s="1" t="s">
        <v>83</v>
      </c>
      <c r="J1201" s="1" t="s">
        <v>70</v>
      </c>
      <c r="K1201" s="1" t="s">
        <v>48</v>
      </c>
      <c r="L1201" s="1" t="s">
        <v>37</v>
      </c>
      <c r="M1201" s="1" t="s">
        <v>50</v>
      </c>
      <c r="N1201" s="1" t="n">
        <v>6999</v>
      </c>
      <c r="O1201" s="1" t="n">
        <v>0</v>
      </c>
      <c r="P1201" s="1" t="n">
        <v>0</v>
      </c>
      <c r="Q1201" s="1" t="n">
        <v>6999</v>
      </c>
      <c r="R1201" s="1" t="n">
        <v>1259.82</v>
      </c>
      <c r="S1201" s="1" t="n">
        <v>5739.18</v>
      </c>
      <c r="T1201" s="1" t="n">
        <v>2506.41</v>
      </c>
      <c r="U1201" s="1" t="n">
        <v>3232.77</v>
      </c>
      <c r="V1201" s="1" t="n">
        <v>56.33</v>
      </c>
      <c r="W1201" s="1" t="s">
        <v>39</v>
      </c>
      <c r="X1201" s="1" t="n">
        <v>3.6</v>
      </c>
      <c r="Y1201" s="1" t="s">
        <v>40</v>
      </c>
      <c r="Z1201" s="1" t="n">
        <v>0</v>
      </c>
    </row>
    <row r="1202" customFormat="false" ht="15" hidden="false" customHeight="true" outlineLevel="0" collapsed="false">
      <c r="A1202" s="1" t="s">
        <v>1969</v>
      </c>
      <c r="B1202" s="1" t="s">
        <v>815</v>
      </c>
      <c r="C1202" s="1" t="s">
        <v>264</v>
      </c>
      <c r="D1202" s="1" t="s">
        <v>123</v>
      </c>
      <c r="E1202" s="1" t="s">
        <v>147</v>
      </c>
      <c r="F1202" s="1" t="s">
        <v>194</v>
      </c>
      <c r="G1202" s="1" t="s">
        <v>103</v>
      </c>
      <c r="H1202" s="1" t="s">
        <v>69</v>
      </c>
      <c r="I1202" s="1" t="s">
        <v>58</v>
      </c>
      <c r="J1202" s="1" t="s">
        <v>70</v>
      </c>
      <c r="K1202" s="1" t="s">
        <v>112</v>
      </c>
      <c r="L1202" s="1" t="s">
        <v>113</v>
      </c>
      <c r="M1202" s="1" t="s">
        <v>38</v>
      </c>
      <c r="N1202" s="1" t="n">
        <v>6999</v>
      </c>
      <c r="O1202" s="1" t="n">
        <v>10</v>
      </c>
      <c r="P1202" s="1" t="n">
        <v>699.9</v>
      </c>
      <c r="Q1202" s="1" t="n">
        <v>6299.1</v>
      </c>
      <c r="R1202" s="1" t="n">
        <v>1133.84</v>
      </c>
      <c r="S1202" s="1" t="n">
        <v>5165.26</v>
      </c>
      <c r="T1202" s="1" t="n">
        <v>1797.88</v>
      </c>
      <c r="U1202" s="1" t="n">
        <v>3367.38</v>
      </c>
      <c r="V1202" s="1" t="n">
        <v>65.19</v>
      </c>
      <c r="W1202" s="1" t="s">
        <v>39</v>
      </c>
      <c r="X1202" s="1" t="n">
        <v>4</v>
      </c>
      <c r="Y1202" s="1" t="s">
        <v>40</v>
      </c>
      <c r="Z1202" s="1" t="n">
        <v>1</v>
      </c>
    </row>
    <row r="1203" customFormat="false" ht="15" hidden="false" customHeight="true" outlineLevel="0" collapsed="false">
      <c r="A1203" s="1" t="s">
        <v>1970</v>
      </c>
      <c r="B1203" s="1" t="s">
        <v>1897</v>
      </c>
      <c r="C1203" s="1" t="s">
        <v>100</v>
      </c>
      <c r="D1203" s="1" t="s">
        <v>53</v>
      </c>
      <c r="E1203" s="1" t="s">
        <v>116</v>
      </c>
      <c r="F1203" s="1" t="s">
        <v>153</v>
      </c>
      <c r="G1203" s="1" t="s">
        <v>76</v>
      </c>
      <c r="H1203" s="1" t="s">
        <v>33</v>
      </c>
      <c r="I1203" s="1" t="s">
        <v>34</v>
      </c>
      <c r="J1203" s="1" t="s">
        <v>70</v>
      </c>
      <c r="K1203" s="1" t="s">
        <v>71</v>
      </c>
      <c r="L1203" s="1" t="s">
        <v>61</v>
      </c>
      <c r="M1203" s="1" t="s">
        <v>38</v>
      </c>
      <c r="N1203" s="1" t="n">
        <v>9999</v>
      </c>
      <c r="O1203" s="1" t="n">
        <v>10</v>
      </c>
      <c r="P1203" s="1" t="n">
        <v>999.9</v>
      </c>
      <c r="Q1203" s="1" t="n">
        <v>8999.1</v>
      </c>
      <c r="R1203" s="1" t="n">
        <v>1619.84</v>
      </c>
      <c r="S1203" s="1" t="n">
        <v>7379.26</v>
      </c>
      <c r="T1203" s="1" t="n">
        <v>3299.28</v>
      </c>
      <c r="U1203" s="1" t="n">
        <v>4079.98</v>
      </c>
      <c r="V1203" s="1" t="n">
        <v>55.29</v>
      </c>
      <c r="W1203" s="1" t="s">
        <v>40</v>
      </c>
      <c r="Y1203" s="1" t="s">
        <v>40</v>
      </c>
      <c r="Z1203" s="1" t="n">
        <v>2</v>
      </c>
    </row>
    <row r="1204" customFormat="false" ht="15" hidden="false" customHeight="true" outlineLevel="0" collapsed="false">
      <c r="A1204" s="1" t="s">
        <v>1971</v>
      </c>
      <c r="B1204" s="1" t="s">
        <v>1972</v>
      </c>
      <c r="C1204" s="1" t="s">
        <v>119</v>
      </c>
      <c r="D1204" s="1" t="s">
        <v>29</v>
      </c>
      <c r="E1204" s="1" t="s">
        <v>182</v>
      </c>
      <c r="F1204" s="1" t="s">
        <v>156</v>
      </c>
      <c r="G1204" s="1" t="s">
        <v>68</v>
      </c>
      <c r="H1204" s="1" t="s">
        <v>57</v>
      </c>
      <c r="I1204" s="1" t="s">
        <v>83</v>
      </c>
      <c r="J1204" s="1" t="s">
        <v>59</v>
      </c>
      <c r="K1204" s="1" t="s">
        <v>36</v>
      </c>
      <c r="L1204" s="1" t="s">
        <v>61</v>
      </c>
      <c r="M1204" s="1" t="s">
        <v>50</v>
      </c>
      <c r="N1204" s="1" t="n">
        <v>34999</v>
      </c>
      <c r="O1204" s="1" t="n">
        <v>25</v>
      </c>
      <c r="P1204" s="1" t="n">
        <v>8749.75</v>
      </c>
      <c r="Q1204" s="1" t="n">
        <v>26249.25</v>
      </c>
      <c r="R1204" s="1" t="n">
        <v>4724.86</v>
      </c>
      <c r="S1204" s="1" t="n">
        <v>21524.39</v>
      </c>
      <c r="T1204" s="1" t="n">
        <v>7854.81</v>
      </c>
      <c r="U1204" s="1" t="n">
        <v>13669.58</v>
      </c>
      <c r="V1204" s="1" t="n">
        <v>63.51</v>
      </c>
      <c r="W1204" s="1" t="s">
        <v>39</v>
      </c>
      <c r="Y1204" s="1" t="s">
        <v>40</v>
      </c>
      <c r="Z1204" s="1" t="n">
        <v>0</v>
      </c>
    </row>
    <row r="1205" customFormat="false" ht="15" hidden="false" customHeight="true" outlineLevel="0" collapsed="false">
      <c r="A1205" s="1" t="s">
        <v>1973</v>
      </c>
      <c r="B1205" s="1" t="s">
        <v>1154</v>
      </c>
      <c r="C1205" s="1" t="s">
        <v>139</v>
      </c>
      <c r="D1205" s="1" t="s">
        <v>94</v>
      </c>
      <c r="E1205" s="1" t="s">
        <v>95</v>
      </c>
      <c r="F1205" s="1" t="s">
        <v>130</v>
      </c>
      <c r="G1205" s="1" t="s">
        <v>47</v>
      </c>
      <c r="H1205" s="1" t="s">
        <v>69</v>
      </c>
      <c r="I1205" s="1" t="s">
        <v>58</v>
      </c>
      <c r="J1205" s="1" t="s">
        <v>59</v>
      </c>
      <c r="K1205" s="1" t="s">
        <v>84</v>
      </c>
      <c r="L1205" s="1" t="s">
        <v>37</v>
      </c>
      <c r="M1205" s="1" t="s">
        <v>38</v>
      </c>
      <c r="N1205" s="1" t="n">
        <v>6999</v>
      </c>
      <c r="O1205" s="1" t="n">
        <v>10</v>
      </c>
      <c r="P1205" s="1" t="n">
        <v>699.9</v>
      </c>
      <c r="Q1205" s="1" t="n">
        <v>6299.1</v>
      </c>
      <c r="R1205" s="1" t="n">
        <v>1133.84</v>
      </c>
      <c r="S1205" s="1" t="n">
        <v>5165.26</v>
      </c>
      <c r="T1205" s="1" t="n">
        <v>2353.47</v>
      </c>
      <c r="U1205" s="1" t="n">
        <v>2811.79</v>
      </c>
      <c r="V1205" s="1" t="n">
        <v>54.44</v>
      </c>
      <c r="W1205" s="1" t="s">
        <v>40</v>
      </c>
      <c r="Y1205" s="1" t="s">
        <v>40</v>
      </c>
      <c r="Z1205" s="1" t="n">
        <v>1</v>
      </c>
    </row>
    <row r="1206" customFormat="false" ht="15" hidden="false" customHeight="true" outlineLevel="0" collapsed="false">
      <c r="A1206" s="1" t="s">
        <v>1974</v>
      </c>
      <c r="B1206" s="1" t="s">
        <v>275</v>
      </c>
      <c r="C1206" s="1" t="s">
        <v>93</v>
      </c>
      <c r="D1206" s="1" t="s">
        <v>80</v>
      </c>
      <c r="E1206" s="1" t="s">
        <v>81</v>
      </c>
      <c r="F1206" s="1" t="s">
        <v>187</v>
      </c>
      <c r="G1206" s="1" t="s">
        <v>97</v>
      </c>
      <c r="H1206" s="1" t="s">
        <v>69</v>
      </c>
      <c r="I1206" s="1" t="s">
        <v>83</v>
      </c>
      <c r="J1206" s="1" t="s">
        <v>70</v>
      </c>
      <c r="K1206" s="1" t="s">
        <v>60</v>
      </c>
      <c r="L1206" s="1" t="s">
        <v>85</v>
      </c>
      <c r="M1206" s="1" t="s">
        <v>62</v>
      </c>
      <c r="N1206" s="1" t="n">
        <v>12999</v>
      </c>
      <c r="O1206" s="1" t="n">
        <v>10</v>
      </c>
      <c r="P1206" s="1" t="n">
        <v>1299.9</v>
      </c>
      <c r="Q1206" s="1" t="n">
        <v>11699.1</v>
      </c>
      <c r="R1206" s="1" t="n">
        <v>2105.84</v>
      </c>
      <c r="S1206" s="1" t="n">
        <v>9593.26</v>
      </c>
      <c r="T1206" s="1" t="n">
        <v>3479.87</v>
      </c>
      <c r="U1206" s="1" t="n">
        <v>6113.39</v>
      </c>
      <c r="V1206" s="1" t="n">
        <v>63.73</v>
      </c>
      <c r="W1206" s="1" t="s">
        <v>39</v>
      </c>
      <c r="X1206" s="1" t="n">
        <v>4.3</v>
      </c>
      <c r="Y1206" s="1" t="s">
        <v>40</v>
      </c>
      <c r="Z1206" s="1" t="n">
        <v>0</v>
      </c>
    </row>
    <row r="1207" customFormat="false" ht="15" hidden="false" customHeight="true" outlineLevel="0" collapsed="false">
      <c r="A1207" s="1" t="s">
        <v>1975</v>
      </c>
      <c r="B1207" s="1" t="s">
        <v>1705</v>
      </c>
      <c r="C1207" s="1" t="s">
        <v>178</v>
      </c>
      <c r="D1207" s="1" t="s">
        <v>80</v>
      </c>
      <c r="E1207" s="1" t="s">
        <v>81</v>
      </c>
      <c r="F1207" s="1" t="s">
        <v>31</v>
      </c>
      <c r="G1207" s="1" t="s">
        <v>32</v>
      </c>
      <c r="H1207" s="1" t="s">
        <v>33</v>
      </c>
      <c r="I1207" s="1" t="s">
        <v>83</v>
      </c>
      <c r="J1207" s="1" t="s">
        <v>59</v>
      </c>
      <c r="K1207" s="1" t="s">
        <v>48</v>
      </c>
      <c r="L1207" s="1" t="s">
        <v>61</v>
      </c>
      <c r="M1207" s="1" t="s">
        <v>50</v>
      </c>
      <c r="N1207" s="1" t="n">
        <v>12999</v>
      </c>
      <c r="O1207" s="1" t="n">
        <v>20</v>
      </c>
      <c r="P1207" s="1" t="n">
        <v>2599.8</v>
      </c>
      <c r="Q1207" s="1" t="n">
        <v>10399.2</v>
      </c>
      <c r="R1207" s="1" t="n">
        <v>1871.86</v>
      </c>
      <c r="S1207" s="1" t="n">
        <v>8527.34</v>
      </c>
      <c r="T1207" s="1" t="n">
        <v>4448.89</v>
      </c>
      <c r="U1207" s="1" t="n">
        <v>4078.45</v>
      </c>
      <c r="V1207" s="1" t="n">
        <v>47.83</v>
      </c>
      <c r="W1207" s="1" t="s">
        <v>40</v>
      </c>
      <c r="Y1207" s="1" t="s">
        <v>40</v>
      </c>
      <c r="Z1207" s="1" t="n">
        <v>1</v>
      </c>
    </row>
    <row r="1208" customFormat="false" ht="15" hidden="false" customHeight="true" outlineLevel="0" collapsed="false">
      <c r="A1208" s="1" t="s">
        <v>1976</v>
      </c>
      <c r="B1208" s="1" t="s">
        <v>847</v>
      </c>
      <c r="C1208" s="1" t="s">
        <v>88</v>
      </c>
      <c r="D1208" s="1" t="s">
        <v>44</v>
      </c>
      <c r="E1208" s="1" t="s">
        <v>221</v>
      </c>
      <c r="F1208" s="1" t="s">
        <v>156</v>
      </c>
      <c r="G1208" s="1" t="s">
        <v>68</v>
      </c>
      <c r="H1208" s="1" t="s">
        <v>57</v>
      </c>
      <c r="I1208" s="1" t="s">
        <v>34</v>
      </c>
      <c r="J1208" s="1" t="s">
        <v>35</v>
      </c>
      <c r="K1208" s="1" t="s">
        <v>84</v>
      </c>
      <c r="L1208" s="1" t="s">
        <v>61</v>
      </c>
      <c r="M1208" s="1" t="s">
        <v>50</v>
      </c>
      <c r="N1208" s="1" t="n">
        <v>16999</v>
      </c>
      <c r="O1208" s="1" t="n">
        <v>25</v>
      </c>
      <c r="P1208" s="1" t="n">
        <v>4249.75</v>
      </c>
      <c r="Q1208" s="1" t="n">
        <v>12749.25</v>
      </c>
      <c r="R1208" s="1" t="n">
        <v>2294.86</v>
      </c>
      <c r="S1208" s="1" t="n">
        <v>10454.39</v>
      </c>
      <c r="T1208" s="1" t="n">
        <v>4458.76</v>
      </c>
      <c r="U1208" s="1" t="n">
        <v>5995.63</v>
      </c>
      <c r="V1208" s="1" t="n">
        <v>57.35</v>
      </c>
      <c r="W1208" s="1" t="s">
        <v>40</v>
      </c>
      <c r="Y1208" s="1" t="s">
        <v>39</v>
      </c>
      <c r="Z1208" s="1" t="n">
        <v>1</v>
      </c>
    </row>
    <row r="1209" customFormat="false" ht="15" hidden="false" customHeight="true" outlineLevel="0" collapsed="false">
      <c r="A1209" s="1" t="s">
        <v>1977</v>
      </c>
      <c r="B1209" s="1" t="s">
        <v>358</v>
      </c>
      <c r="C1209" s="1" t="s">
        <v>119</v>
      </c>
      <c r="D1209" s="1" t="s">
        <v>94</v>
      </c>
      <c r="E1209" s="1" t="s">
        <v>95</v>
      </c>
      <c r="F1209" s="1" t="s">
        <v>31</v>
      </c>
      <c r="G1209" s="1" t="s">
        <v>32</v>
      </c>
      <c r="H1209" s="1" t="s">
        <v>33</v>
      </c>
      <c r="I1209" s="1" t="s">
        <v>83</v>
      </c>
      <c r="J1209" s="1" t="s">
        <v>77</v>
      </c>
      <c r="K1209" s="1" t="s">
        <v>112</v>
      </c>
      <c r="L1209" s="1" t="s">
        <v>37</v>
      </c>
      <c r="M1209" s="1" t="s">
        <v>38</v>
      </c>
      <c r="N1209" s="1" t="n">
        <v>6999</v>
      </c>
      <c r="O1209" s="1" t="n">
        <v>0</v>
      </c>
      <c r="P1209" s="1" t="n">
        <v>0</v>
      </c>
      <c r="Q1209" s="1" t="n">
        <v>6999</v>
      </c>
      <c r="R1209" s="1" t="n">
        <v>1259.82</v>
      </c>
      <c r="S1209" s="1" t="n">
        <v>5739.18</v>
      </c>
      <c r="T1209" s="1" t="n">
        <v>2746.9</v>
      </c>
      <c r="U1209" s="1" t="n">
        <v>2992.28</v>
      </c>
      <c r="V1209" s="1" t="n">
        <v>52.14</v>
      </c>
      <c r="W1209" s="1" t="s">
        <v>40</v>
      </c>
      <c r="Y1209" s="1" t="s">
        <v>40</v>
      </c>
      <c r="Z1209" s="1" t="n">
        <v>2</v>
      </c>
    </row>
    <row r="1210" customFormat="false" ht="15" hidden="false" customHeight="true" outlineLevel="0" collapsed="false">
      <c r="A1210" s="1" t="s">
        <v>1978</v>
      </c>
      <c r="B1210" s="1" t="s">
        <v>1979</v>
      </c>
      <c r="C1210" s="1" t="s">
        <v>74</v>
      </c>
      <c r="D1210" s="1" t="s">
        <v>80</v>
      </c>
      <c r="E1210" s="1" t="s">
        <v>193</v>
      </c>
      <c r="F1210" s="1" t="s">
        <v>156</v>
      </c>
      <c r="G1210" s="1" t="s">
        <v>68</v>
      </c>
      <c r="H1210" s="1" t="s">
        <v>57</v>
      </c>
      <c r="I1210" s="1" t="s">
        <v>34</v>
      </c>
      <c r="J1210" s="1" t="s">
        <v>35</v>
      </c>
      <c r="K1210" s="1" t="s">
        <v>104</v>
      </c>
      <c r="L1210" s="1" t="s">
        <v>61</v>
      </c>
      <c r="M1210" s="1" t="s">
        <v>38</v>
      </c>
      <c r="N1210" s="1" t="n">
        <v>8999</v>
      </c>
      <c r="O1210" s="1" t="n">
        <v>40</v>
      </c>
      <c r="P1210" s="1" t="n">
        <v>3599.6</v>
      </c>
      <c r="Q1210" s="1" t="n">
        <v>5399.4</v>
      </c>
      <c r="R1210" s="1" t="n">
        <v>971.89</v>
      </c>
      <c r="S1210" s="1" t="n">
        <v>4427.51</v>
      </c>
      <c r="T1210" s="1" t="n">
        <v>2372.92</v>
      </c>
      <c r="U1210" s="1" t="n">
        <v>2054.59</v>
      </c>
      <c r="V1210" s="1" t="n">
        <v>46.41</v>
      </c>
      <c r="W1210" s="1" t="s">
        <v>40</v>
      </c>
      <c r="Y1210" s="1" t="s">
        <v>40</v>
      </c>
      <c r="Z1210" s="1" t="n">
        <v>0</v>
      </c>
    </row>
    <row r="1211" customFormat="false" ht="15" hidden="false" customHeight="true" outlineLevel="0" collapsed="false">
      <c r="A1211" s="1" t="s">
        <v>1980</v>
      </c>
      <c r="B1211" s="1" t="s">
        <v>589</v>
      </c>
      <c r="C1211" s="1" t="s">
        <v>93</v>
      </c>
      <c r="D1211" s="1" t="s">
        <v>44</v>
      </c>
      <c r="E1211" s="1" t="s">
        <v>66</v>
      </c>
      <c r="F1211" s="1" t="s">
        <v>323</v>
      </c>
      <c r="G1211" s="1" t="s">
        <v>47</v>
      </c>
      <c r="H1211" s="1" t="s">
        <v>69</v>
      </c>
      <c r="I1211" s="1" t="s">
        <v>34</v>
      </c>
      <c r="J1211" s="1" t="s">
        <v>59</v>
      </c>
      <c r="K1211" s="1" t="s">
        <v>36</v>
      </c>
      <c r="L1211" s="1" t="s">
        <v>113</v>
      </c>
      <c r="M1211" s="1" t="s">
        <v>50</v>
      </c>
      <c r="N1211" s="1" t="n">
        <v>12999</v>
      </c>
      <c r="O1211" s="1" t="n">
        <v>10</v>
      </c>
      <c r="P1211" s="1" t="n">
        <v>1299.9</v>
      </c>
      <c r="Q1211" s="1" t="n">
        <v>11699.1</v>
      </c>
      <c r="R1211" s="1" t="n">
        <v>2105.84</v>
      </c>
      <c r="S1211" s="1" t="n">
        <v>9593.26</v>
      </c>
      <c r="T1211" s="1" t="n">
        <v>2949.62</v>
      </c>
      <c r="U1211" s="1" t="n">
        <v>6643.64</v>
      </c>
      <c r="V1211" s="1" t="n">
        <v>69.25</v>
      </c>
      <c r="W1211" s="1" t="s">
        <v>39</v>
      </c>
      <c r="X1211" s="1" t="n">
        <v>4.7</v>
      </c>
      <c r="Y1211" s="1" t="s">
        <v>40</v>
      </c>
      <c r="Z1211" s="1" t="n">
        <v>0</v>
      </c>
    </row>
    <row r="1212" customFormat="false" ht="15" hidden="false" customHeight="true" outlineLevel="0" collapsed="false">
      <c r="A1212" s="1" t="s">
        <v>1981</v>
      </c>
      <c r="B1212" s="1" t="s">
        <v>758</v>
      </c>
      <c r="C1212" s="1" t="s">
        <v>28</v>
      </c>
      <c r="D1212" s="1" t="s">
        <v>168</v>
      </c>
      <c r="E1212" s="1" t="s">
        <v>328</v>
      </c>
      <c r="F1212" s="1" t="s">
        <v>130</v>
      </c>
      <c r="G1212" s="1" t="s">
        <v>47</v>
      </c>
      <c r="H1212" s="1" t="s">
        <v>69</v>
      </c>
      <c r="I1212" s="1" t="s">
        <v>58</v>
      </c>
      <c r="J1212" s="1" t="s">
        <v>59</v>
      </c>
      <c r="K1212" s="1" t="s">
        <v>90</v>
      </c>
      <c r="L1212" s="1" t="s">
        <v>61</v>
      </c>
      <c r="M1212" s="1" t="s">
        <v>62</v>
      </c>
      <c r="N1212" s="1" t="n">
        <v>8999</v>
      </c>
      <c r="O1212" s="1" t="n">
        <v>10</v>
      </c>
      <c r="P1212" s="1" t="n">
        <v>899.9</v>
      </c>
      <c r="Q1212" s="1" t="n">
        <v>8099.1</v>
      </c>
      <c r="R1212" s="1" t="n">
        <v>1457.84</v>
      </c>
      <c r="S1212" s="1" t="n">
        <v>6641.26</v>
      </c>
      <c r="T1212" s="1" t="n">
        <v>2935.94</v>
      </c>
      <c r="U1212" s="1" t="n">
        <v>3705.32</v>
      </c>
      <c r="V1212" s="1" t="n">
        <v>55.79</v>
      </c>
      <c r="W1212" s="1" t="s">
        <v>39</v>
      </c>
      <c r="X1212" s="1" t="n">
        <v>4.8</v>
      </c>
      <c r="Y1212" s="1" t="s">
        <v>40</v>
      </c>
      <c r="Z1212" s="1" t="n">
        <v>0</v>
      </c>
    </row>
    <row r="1213" customFormat="false" ht="15" hidden="false" customHeight="true" outlineLevel="0" collapsed="false">
      <c r="A1213" s="1" t="s">
        <v>1982</v>
      </c>
      <c r="B1213" s="1" t="s">
        <v>712</v>
      </c>
      <c r="C1213" s="1" t="s">
        <v>28</v>
      </c>
      <c r="D1213" s="1" t="s">
        <v>80</v>
      </c>
      <c r="E1213" s="1" t="s">
        <v>81</v>
      </c>
      <c r="F1213" s="1" t="s">
        <v>89</v>
      </c>
      <c r="G1213" s="1" t="s">
        <v>68</v>
      </c>
      <c r="H1213" s="1" t="s">
        <v>33</v>
      </c>
      <c r="I1213" s="1" t="s">
        <v>58</v>
      </c>
      <c r="J1213" s="1" t="s">
        <v>35</v>
      </c>
      <c r="K1213" s="1" t="s">
        <v>48</v>
      </c>
      <c r="L1213" s="1" t="s">
        <v>49</v>
      </c>
      <c r="M1213" s="1" t="s">
        <v>50</v>
      </c>
      <c r="N1213" s="1" t="n">
        <v>12999</v>
      </c>
      <c r="O1213" s="1" t="n">
        <v>20</v>
      </c>
      <c r="P1213" s="1" t="n">
        <v>2599.8</v>
      </c>
      <c r="Q1213" s="1" t="n">
        <v>10399.2</v>
      </c>
      <c r="R1213" s="1" t="n">
        <v>1871.86</v>
      </c>
      <c r="S1213" s="1" t="n">
        <v>8527.34</v>
      </c>
      <c r="T1213" s="1" t="n">
        <v>2931.7</v>
      </c>
      <c r="U1213" s="1" t="n">
        <v>5595.64</v>
      </c>
      <c r="V1213" s="1" t="n">
        <v>65.62</v>
      </c>
      <c r="W1213" s="1" t="s">
        <v>39</v>
      </c>
      <c r="X1213" s="1" t="n">
        <v>5</v>
      </c>
      <c r="Y1213" s="1" t="s">
        <v>40</v>
      </c>
      <c r="Z1213" s="1" t="n">
        <v>0</v>
      </c>
    </row>
    <row r="1214" customFormat="false" ht="15" hidden="false" customHeight="true" outlineLevel="0" collapsed="false">
      <c r="A1214" s="1" t="s">
        <v>1983</v>
      </c>
      <c r="B1214" s="1" t="s">
        <v>1984</v>
      </c>
      <c r="C1214" s="1" t="s">
        <v>181</v>
      </c>
      <c r="D1214" s="1" t="s">
        <v>143</v>
      </c>
      <c r="E1214" s="1" t="s">
        <v>243</v>
      </c>
      <c r="F1214" s="1" t="s">
        <v>153</v>
      </c>
      <c r="G1214" s="1" t="s">
        <v>76</v>
      </c>
      <c r="H1214" s="1" t="s">
        <v>33</v>
      </c>
      <c r="I1214" s="1" t="s">
        <v>34</v>
      </c>
      <c r="J1214" s="1" t="s">
        <v>70</v>
      </c>
      <c r="K1214" s="1" t="s">
        <v>104</v>
      </c>
      <c r="L1214" s="1" t="s">
        <v>136</v>
      </c>
      <c r="M1214" s="1" t="s">
        <v>38</v>
      </c>
      <c r="N1214" s="1" t="n">
        <v>22999</v>
      </c>
      <c r="O1214" s="1" t="n">
        <v>5</v>
      </c>
      <c r="P1214" s="1" t="n">
        <v>1149.95</v>
      </c>
      <c r="Q1214" s="1" t="n">
        <v>21849.05</v>
      </c>
      <c r="R1214" s="1" t="n">
        <v>3932.83</v>
      </c>
      <c r="S1214" s="1" t="n">
        <v>17916.22</v>
      </c>
      <c r="T1214" s="1" t="n">
        <v>8242.37</v>
      </c>
      <c r="U1214" s="1" t="n">
        <v>9673.85</v>
      </c>
      <c r="V1214" s="1" t="n">
        <v>53.99</v>
      </c>
      <c r="W1214" s="1" t="s">
        <v>39</v>
      </c>
      <c r="X1214" s="1" t="n">
        <v>4.1</v>
      </c>
      <c r="Y1214" s="1" t="s">
        <v>40</v>
      </c>
      <c r="Z1214" s="1" t="n">
        <v>0</v>
      </c>
    </row>
    <row r="1215" customFormat="false" ht="15" hidden="false" customHeight="true" outlineLevel="0" collapsed="false">
      <c r="A1215" s="1" t="s">
        <v>1985</v>
      </c>
      <c r="B1215" s="1" t="s">
        <v>1986</v>
      </c>
      <c r="C1215" s="1" t="s">
        <v>178</v>
      </c>
      <c r="D1215" s="1" t="s">
        <v>44</v>
      </c>
      <c r="E1215" s="1" t="s">
        <v>45</v>
      </c>
      <c r="F1215" s="1" t="s">
        <v>244</v>
      </c>
      <c r="G1215" s="1" t="s">
        <v>97</v>
      </c>
      <c r="H1215" s="1" t="s">
        <v>57</v>
      </c>
      <c r="I1215" s="1" t="s">
        <v>83</v>
      </c>
      <c r="J1215" s="1" t="s">
        <v>70</v>
      </c>
      <c r="K1215" s="1" t="s">
        <v>60</v>
      </c>
      <c r="L1215" s="1" t="s">
        <v>136</v>
      </c>
      <c r="M1215" s="1" t="s">
        <v>62</v>
      </c>
      <c r="N1215" s="1" t="n">
        <v>11999</v>
      </c>
      <c r="O1215" s="1" t="n">
        <v>0</v>
      </c>
      <c r="P1215" s="1" t="n">
        <v>0</v>
      </c>
      <c r="Q1215" s="1" t="n">
        <v>11999</v>
      </c>
      <c r="R1215" s="1" t="n">
        <v>2159.82</v>
      </c>
      <c r="S1215" s="1" t="n">
        <v>9839.18</v>
      </c>
      <c r="T1215" s="1" t="n">
        <v>4556.63</v>
      </c>
      <c r="U1215" s="1" t="n">
        <v>5282.55</v>
      </c>
      <c r="V1215" s="1" t="n">
        <v>53.69</v>
      </c>
      <c r="W1215" s="1" t="s">
        <v>39</v>
      </c>
      <c r="X1215" s="1" t="n">
        <v>3.8</v>
      </c>
      <c r="Y1215" s="1" t="s">
        <v>40</v>
      </c>
      <c r="Z1215" s="1" t="n">
        <v>0</v>
      </c>
    </row>
    <row r="1216" customFormat="false" ht="15" hidden="false" customHeight="true" outlineLevel="0" collapsed="false">
      <c r="A1216" s="1" t="s">
        <v>1987</v>
      </c>
      <c r="B1216" s="1" t="s">
        <v>724</v>
      </c>
      <c r="C1216" s="1" t="s">
        <v>128</v>
      </c>
      <c r="D1216" s="1" t="s">
        <v>143</v>
      </c>
      <c r="E1216" s="1" t="s">
        <v>144</v>
      </c>
      <c r="F1216" s="1" t="s">
        <v>75</v>
      </c>
      <c r="G1216" s="1" t="s">
        <v>76</v>
      </c>
      <c r="H1216" s="1" t="s">
        <v>69</v>
      </c>
      <c r="I1216" s="1" t="s">
        <v>34</v>
      </c>
      <c r="J1216" s="1" t="s">
        <v>59</v>
      </c>
      <c r="K1216" s="1" t="s">
        <v>48</v>
      </c>
      <c r="L1216" s="1" t="s">
        <v>85</v>
      </c>
      <c r="M1216" s="1" t="s">
        <v>38</v>
      </c>
      <c r="N1216" s="1" t="n">
        <v>12999</v>
      </c>
      <c r="O1216" s="1" t="n">
        <v>0</v>
      </c>
      <c r="P1216" s="1" t="n">
        <v>0</v>
      </c>
      <c r="Q1216" s="1" t="n">
        <v>12999</v>
      </c>
      <c r="R1216" s="1" t="n">
        <v>2339.82</v>
      </c>
      <c r="S1216" s="1" t="n">
        <v>10659.18</v>
      </c>
      <c r="T1216" s="1" t="n">
        <v>3102.9</v>
      </c>
      <c r="U1216" s="1" t="n">
        <v>7556.28</v>
      </c>
      <c r="V1216" s="1" t="n">
        <v>70.89</v>
      </c>
      <c r="W1216" s="1" t="s">
        <v>40</v>
      </c>
      <c r="Y1216" s="1" t="s">
        <v>39</v>
      </c>
      <c r="Z1216" s="1" t="n">
        <v>0</v>
      </c>
    </row>
    <row r="1217" customFormat="false" ht="15" hidden="false" customHeight="true" outlineLevel="0" collapsed="false">
      <c r="A1217" s="1" t="s">
        <v>1988</v>
      </c>
      <c r="B1217" s="1" t="s">
        <v>841</v>
      </c>
      <c r="C1217" s="1" t="s">
        <v>93</v>
      </c>
      <c r="D1217" s="1" t="s">
        <v>168</v>
      </c>
      <c r="E1217" s="1" t="s">
        <v>328</v>
      </c>
      <c r="F1217" s="1" t="s">
        <v>269</v>
      </c>
      <c r="G1217" s="1" t="s">
        <v>108</v>
      </c>
      <c r="H1217" s="1" t="s">
        <v>57</v>
      </c>
      <c r="I1217" s="1" t="s">
        <v>34</v>
      </c>
      <c r="J1217" s="1" t="s">
        <v>35</v>
      </c>
      <c r="K1217" s="1" t="s">
        <v>84</v>
      </c>
      <c r="L1217" s="1" t="s">
        <v>113</v>
      </c>
      <c r="M1217" s="1" t="s">
        <v>38</v>
      </c>
      <c r="N1217" s="1" t="n">
        <v>8999</v>
      </c>
      <c r="O1217" s="1" t="n">
        <v>15</v>
      </c>
      <c r="P1217" s="1" t="n">
        <v>1349.85</v>
      </c>
      <c r="Q1217" s="1" t="n">
        <v>7649.15</v>
      </c>
      <c r="R1217" s="1" t="n">
        <v>1376.85</v>
      </c>
      <c r="S1217" s="1" t="n">
        <v>6272.3</v>
      </c>
      <c r="T1217" s="1" t="n">
        <v>2316.89</v>
      </c>
      <c r="U1217" s="1" t="n">
        <v>3955.41</v>
      </c>
      <c r="V1217" s="1" t="n">
        <v>63.06</v>
      </c>
      <c r="W1217" s="1" t="s">
        <v>39</v>
      </c>
      <c r="X1217" s="1" t="n">
        <v>2.8</v>
      </c>
      <c r="Y1217" s="1" t="s">
        <v>40</v>
      </c>
      <c r="Z1217" s="1" t="n">
        <v>0</v>
      </c>
    </row>
    <row r="1218" customFormat="false" ht="15" hidden="false" customHeight="true" outlineLevel="0" collapsed="false">
      <c r="A1218" s="1" t="s">
        <v>1989</v>
      </c>
      <c r="B1218" s="1" t="s">
        <v>1598</v>
      </c>
      <c r="C1218" s="1" t="s">
        <v>119</v>
      </c>
      <c r="D1218" s="1" t="s">
        <v>80</v>
      </c>
      <c r="E1218" s="1" t="s">
        <v>190</v>
      </c>
      <c r="F1218" s="1" t="s">
        <v>46</v>
      </c>
      <c r="G1218" s="1" t="s">
        <v>47</v>
      </c>
      <c r="H1218" s="1" t="s">
        <v>33</v>
      </c>
      <c r="I1218" s="1" t="s">
        <v>34</v>
      </c>
      <c r="J1218" s="1" t="s">
        <v>131</v>
      </c>
      <c r="K1218" s="1" t="s">
        <v>90</v>
      </c>
      <c r="L1218" s="1" t="s">
        <v>113</v>
      </c>
      <c r="M1218" s="1" t="s">
        <v>62</v>
      </c>
      <c r="N1218" s="1" t="n">
        <v>15999</v>
      </c>
      <c r="O1218" s="1" t="n">
        <v>25</v>
      </c>
      <c r="P1218" s="1" t="n">
        <v>3999.75</v>
      </c>
      <c r="Q1218" s="1" t="n">
        <v>11999.25</v>
      </c>
      <c r="R1218" s="1" t="n">
        <v>2159.86</v>
      </c>
      <c r="S1218" s="1" t="n">
        <v>9839.39</v>
      </c>
      <c r="T1218" s="1" t="n">
        <v>5677.02</v>
      </c>
      <c r="U1218" s="1" t="n">
        <v>4162.37</v>
      </c>
      <c r="V1218" s="1" t="n">
        <v>42.3</v>
      </c>
      <c r="W1218" s="1" t="s">
        <v>39</v>
      </c>
      <c r="X1218" s="1" t="n">
        <v>4</v>
      </c>
      <c r="Y1218" s="1" t="s">
        <v>40</v>
      </c>
      <c r="Z1218" s="1" t="n">
        <v>0</v>
      </c>
    </row>
    <row r="1219" customFormat="false" ht="15" hidden="false" customHeight="true" outlineLevel="0" collapsed="false">
      <c r="A1219" s="1" t="s">
        <v>1990</v>
      </c>
      <c r="B1219" s="1" t="s">
        <v>776</v>
      </c>
      <c r="C1219" s="1" t="s">
        <v>119</v>
      </c>
      <c r="D1219" s="1" t="s">
        <v>143</v>
      </c>
      <c r="E1219" s="1" t="s">
        <v>144</v>
      </c>
      <c r="F1219" s="1" t="s">
        <v>102</v>
      </c>
      <c r="G1219" s="1" t="s">
        <v>103</v>
      </c>
      <c r="H1219" s="1" t="s">
        <v>33</v>
      </c>
      <c r="I1219" s="1" t="s">
        <v>58</v>
      </c>
      <c r="J1219" s="1" t="s">
        <v>70</v>
      </c>
      <c r="K1219" s="1" t="s">
        <v>84</v>
      </c>
      <c r="L1219" s="1" t="s">
        <v>136</v>
      </c>
      <c r="M1219" s="1" t="s">
        <v>62</v>
      </c>
      <c r="N1219" s="1" t="n">
        <v>12999</v>
      </c>
      <c r="O1219" s="1" t="n">
        <v>25</v>
      </c>
      <c r="P1219" s="1" t="n">
        <v>3249.75</v>
      </c>
      <c r="Q1219" s="1" t="n">
        <v>9749.25</v>
      </c>
      <c r="R1219" s="1" t="n">
        <v>1754.87</v>
      </c>
      <c r="S1219" s="1" t="n">
        <v>7994.38</v>
      </c>
      <c r="T1219" s="1" t="n">
        <v>3292.38</v>
      </c>
      <c r="U1219" s="1" t="n">
        <v>4702</v>
      </c>
      <c r="V1219" s="1" t="n">
        <v>58.82</v>
      </c>
      <c r="W1219" s="1" t="s">
        <v>40</v>
      </c>
      <c r="Y1219" s="1" t="s">
        <v>40</v>
      </c>
      <c r="Z1219" s="1" t="n">
        <v>1</v>
      </c>
    </row>
    <row r="1220" customFormat="false" ht="15" hidden="false" customHeight="true" outlineLevel="0" collapsed="false">
      <c r="A1220" s="1" t="s">
        <v>1991</v>
      </c>
      <c r="B1220" s="1" t="s">
        <v>876</v>
      </c>
      <c r="C1220" s="1" t="s">
        <v>1602</v>
      </c>
      <c r="D1220" s="1" t="s">
        <v>44</v>
      </c>
      <c r="E1220" s="1" t="s">
        <v>66</v>
      </c>
      <c r="F1220" s="1" t="s">
        <v>107</v>
      </c>
      <c r="G1220" s="1" t="s">
        <v>108</v>
      </c>
      <c r="H1220" s="1" t="s">
        <v>33</v>
      </c>
      <c r="I1220" s="1" t="s">
        <v>34</v>
      </c>
      <c r="J1220" s="1" t="s">
        <v>131</v>
      </c>
      <c r="K1220" s="1" t="s">
        <v>84</v>
      </c>
      <c r="L1220" s="1" t="s">
        <v>61</v>
      </c>
      <c r="M1220" s="1" t="s">
        <v>38</v>
      </c>
      <c r="N1220" s="1" t="n">
        <v>12999</v>
      </c>
      <c r="O1220" s="1" t="n">
        <v>5</v>
      </c>
      <c r="P1220" s="1" t="n">
        <v>649.95</v>
      </c>
      <c r="Q1220" s="1" t="n">
        <v>12349.05</v>
      </c>
      <c r="R1220" s="1" t="n">
        <v>2222.83</v>
      </c>
      <c r="S1220" s="1" t="n">
        <v>10126.22</v>
      </c>
      <c r="T1220" s="1" t="n">
        <v>4579.95</v>
      </c>
      <c r="U1220" s="1" t="n">
        <v>5546.27</v>
      </c>
      <c r="V1220" s="1" t="n">
        <v>54.77</v>
      </c>
      <c r="W1220" s="1" t="s">
        <v>39</v>
      </c>
      <c r="X1220" s="1" t="n">
        <v>4.4</v>
      </c>
      <c r="Y1220" s="1" t="s">
        <v>40</v>
      </c>
      <c r="Z1220" s="1" t="n">
        <v>0</v>
      </c>
    </row>
    <row r="1221" customFormat="false" ht="15" hidden="false" customHeight="true" outlineLevel="0" collapsed="false">
      <c r="A1221" s="1" t="s">
        <v>1992</v>
      </c>
      <c r="B1221" s="1" t="s">
        <v>649</v>
      </c>
      <c r="C1221" s="1" t="s">
        <v>65</v>
      </c>
      <c r="D1221" s="1" t="s">
        <v>53</v>
      </c>
      <c r="E1221" s="1" t="s">
        <v>116</v>
      </c>
      <c r="F1221" s="1" t="s">
        <v>125</v>
      </c>
      <c r="G1221" s="1" t="s">
        <v>108</v>
      </c>
      <c r="H1221" s="1" t="s">
        <v>69</v>
      </c>
      <c r="I1221" s="1" t="s">
        <v>83</v>
      </c>
      <c r="J1221" s="1" t="s">
        <v>70</v>
      </c>
      <c r="K1221" s="1" t="s">
        <v>104</v>
      </c>
      <c r="L1221" s="1" t="s">
        <v>85</v>
      </c>
      <c r="M1221" s="1" t="s">
        <v>38</v>
      </c>
      <c r="N1221" s="1" t="n">
        <v>9999</v>
      </c>
      <c r="O1221" s="1" t="n">
        <v>10</v>
      </c>
      <c r="P1221" s="1" t="n">
        <v>999.9</v>
      </c>
      <c r="Q1221" s="1" t="n">
        <v>8999.1</v>
      </c>
      <c r="R1221" s="1" t="n">
        <v>1619.84</v>
      </c>
      <c r="S1221" s="1" t="n">
        <v>7379.26</v>
      </c>
      <c r="T1221" s="1" t="n">
        <v>2478.33</v>
      </c>
      <c r="U1221" s="1" t="n">
        <v>4900.93</v>
      </c>
      <c r="V1221" s="1" t="n">
        <v>66.41</v>
      </c>
      <c r="W1221" s="1" t="s">
        <v>39</v>
      </c>
      <c r="Y1221" s="1" t="s">
        <v>39</v>
      </c>
      <c r="Z1221" s="1" t="n">
        <v>0</v>
      </c>
    </row>
    <row r="1222" customFormat="false" ht="15" hidden="false" customHeight="true" outlineLevel="0" collapsed="false">
      <c r="A1222" s="1" t="s">
        <v>1993</v>
      </c>
      <c r="B1222" s="1" t="s">
        <v>724</v>
      </c>
      <c r="C1222" s="1" t="s">
        <v>178</v>
      </c>
      <c r="D1222" s="1" t="s">
        <v>29</v>
      </c>
      <c r="E1222" s="1" t="s">
        <v>182</v>
      </c>
      <c r="F1222" s="1" t="s">
        <v>153</v>
      </c>
      <c r="G1222" s="1" t="s">
        <v>76</v>
      </c>
      <c r="H1222" s="1" t="s">
        <v>33</v>
      </c>
      <c r="I1222" s="1" t="s">
        <v>83</v>
      </c>
      <c r="J1222" s="1" t="s">
        <v>77</v>
      </c>
      <c r="K1222" s="1" t="s">
        <v>104</v>
      </c>
      <c r="L1222" s="1" t="s">
        <v>61</v>
      </c>
      <c r="M1222" s="1" t="s">
        <v>50</v>
      </c>
      <c r="N1222" s="1" t="n">
        <v>34999</v>
      </c>
      <c r="O1222" s="1" t="n">
        <v>30</v>
      </c>
      <c r="P1222" s="1" t="n">
        <v>10499.7</v>
      </c>
      <c r="Q1222" s="1" t="n">
        <v>24499.3</v>
      </c>
      <c r="R1222" s="1" t="n">
        <v>4409.87</v>
      </c>
      <c r="S1222" s="1" t="n">
        <v>20089.43</v>
      </c>
      <c r="T1222" s="1" t="n">
        <v>7092.08</v>
      </c>
      <c r="U1222" s="1" t="n">
        <v>12997.35</v>
      </c>
      <c r="V1222" s="1" t="n">
        <v>64.7</v>
      </c>
      <c r="W1222" s="1" t="s">
        <v>40</v>
      </c>
      <c r="Y1222" s="1" t="s">
        <v>40</v>
      </c>
      <c r="Z1222" s="1" t="n">
        <v>1</v>
      </c>
    </row>
    <row r="1223" customFormat="false" ht="15" hidden="false" customHeight="true" outlineLevel="0" collapsed="false">
      <c r="A1223" s="1" t="s">
        <v>1994</v>
      </c>
      <c r="B1223" s="1" t="s">
        <v>1858</v>
      </c>
      <c r="C1223" s="1" t="s">
        <v>134</v>
      </c>
      <c r="D1223" s="1" t="s">
        <v>143</v>
      </c>
      <c r="E1223" s="1" t="s">
        <v>144</v>
      </c>
      <c r="F1223" s="1" t="s">
        <v>194</v>
      </c>
      <c r="G1223" s="1" t="s">
        <v>103</v>
      </c>
      <c r="H1223" s="1" t="s">
        <v>69</v>
      </c>
      <c r="I1223" s="1" t="s">
        <v>58</v>
      </c>
      <c r="J1223" s="1" t="s">
        <v>77</v>
      </c>
      <c r="K1223" s="1" t="s">
        <v>60</v>
      </c>
      <c r="L1223" s="1" t="s">
        <v>85</v>
      </c>
      <c r="M1223" s="1" t="s">
        <v>50</v>
      </c>
      <c r="N1223" s="1" t="n">
        <v>12999</v>
      </c>
      <c r="O1223" s="1" t="n">
        <v>5</v>
      </c>
      <c r="P1223" s="1" t="n">
        <v>649.95</v>
      </c>
      <c r="Q1223" s="1" t="n">
        <v>12349.05</v>
      </c>
      <c r="R1223" s="1" t="n">
        <v>2222.83</v>
      </c>
      <c r="S1223" s="1" t="n">
        <v>10126.22</v>
      </c>
      <c r="T1223" s="1" t="n">
        <v>3808.05</v>
      </c>
      <c r="U1223" s="1" t="n">
        <v>6318.17</v>
      </c>
      <c r="V1223" s="1" t="n">
        <v>62.39</v>
      </c>
      <c r="W1223" s="1" t="s">
        <v>39</v>
      </c>
      <c r="X1223" s="1" t="n">
        <v>4</v>
      </c>
      <c r="Y1223" s="1" t="s">
        <v>39</v>
      </c>
      <c r="Z1223" s="1" t="n">
        <v>0</v>
      </c>
    </row>
    <row r="1224" customFormat="false" ht="15" hidden="false" customHeight="true" outlineLevel="0" collapsed="false">
      <c r="A1224" s="1" t="s">
        <v>1995</v>
      </c>
      <c r="B1224" s="1" t="s">
        <v>1996</v>
      </c>
      <c r="C1224" s="1" t="s">
        <v>43</v>
      </c>
      <c r="D1224" s="1" t="s">
        <v>53</v>
      </c>
      <c r="E1224" s="1" t="s">
        <v>54</v>
      </c>
      <c r="F1224" s="1" t="s">
        <v>184</v>
      </c>
      <c r="G1224" s="1" t="s">
        <v>56</v>
      </c>
      <c r="H1224" s="1" t="s">
        <v>57</v>
      </c>
      <c r="I1224" s="1" t="s">
        <v>83</v>
      </c>
      <c r="J1224" s="1" t="s">
        <v>131</v>
      </c>
      <c r="K1224" s="1" t="s">
        <v>112</v>
      </c>
      <c r="L1224" s="1" t="s">
        <v>136</v>
      </c>
      <c r="M1224" s="1" t="s">
        <v>62</v>
      </c>
      <c r="N1224" s="1" t="n">
        <v>11999</v>
      </c>
      <c r="O1224" s="1" t="n">
        <v>5</v>
      </c>
      <c r="P1224" s="1" t="n">
        <v>599.95</v>
      </c>
      <c r="Q1224" s="1" t="n">
        <v>11399.05</v>
      </c>
      <c r="R1224" s="1" t="n">
        <v>2051.83</v>
      </c>
      <c r="S1224" s="1" t="n">
        <v>9347.22</v>
      </c>
      <c r="T1224" s="1" t="n">
        <v>4892.27</v>
      </c>
      <c r="U1224" s="1" t="n">
        <v>4454.95</v>
      </c>
      <c r="V1224" s="1" t="n">
        <v>47.66</v>
      </c>
      <c r="W1224" s="1" t="s">
        <v>40</v>
      </c>
      <c r="Y1224" s="1" t="s">
        <v>40</v>
      </c>
      <c r="Z1224" s="1" t="n">
        <v>1</v>
      </c>
    </row>
    <row r="1225" customFormat="false" ht="15" hidden="false" customHeight="true" outlineLevel="0" collapsed="false">
      <c r="A1225" s="1" t="s">
        <v>1997</v>
      </c>
      <c r="B1225" s="1" t="s">
        <v>854</v>
      </c>
      <c r="C1225" s="1" t="s">
        <v>249</v>
      </c>
      <c r="D1225" s="1" t="s">
        <v>29</v>
      </c>
      <c r="E1225" s="1" t="s">
        <v>182</v>
      </c>
      <c r="F1225" s="1" t="s">
        <v>211</v>
      </c>
      <c r="G1225" s="1" t="s">
        <v>56</v>
      </c>
      <c r="H1225" s="1" t="s">
        <v>69</v>
      </c>
      <c r="I1225" s="1" t="s">
        <v>34</v>
      </c>
      <c r="J1225" s="1" t="s">
        <v>131</v>
      </c>
      <c r="K1225" s="1" t="s">
        <v>112</v>
      </c>
      <c r="L1225" s="1" t="s">
        <v>113</v>
      </c>
      <c r="M1225" s="1" t="s">
        <v>62</v>
      </c>
      <c r="N1225" s="1" t="n">
        <v>34999</v>
      </c>
      <c r="O1225" s="1" t="n">
        <v>10</v>
      </c>
      <c r="P1225" s="1" t="n">
        <v>3499.9</v>
      </c>
      <c r="Q1225" s="1" t="n">
        <v>31499.1</v>
      </c>
      <c r="R1225" s="1" t="n">
        <v>5669.84</v>
      </c>
      <c r="S1225" s="1" t="n">
        <v>25829.26</v>
      </c>
      <c r="T1225" s="1" t="n">
        <v>8027.94</v>
      </c>
      <c r="U1225" s="1" t="n">
        <v>17801.32</v>
      </c>
      <c r="V1225" s="1" t="n">
        <v>68.92</v>
      </c>
      <c r="W1225" s="1" t="s">
        <v>39</v>
      </c>
      <c r="X1225" s="1" t="n">
        <v>3.8</v>
      </c>
      <c r="Y1225" s="1" t="s">
        <v>40</v>
      </c>
      <c r="Z1225" s="1" t="n">
        <v>0</v>
      </c>
    </row>
    <row r="1226" customFormat="false" ht="15" hidden="false" customHeight="true" outlineLevel="0" collapsed="false">
      <c r="A1226" s="1" t="s">
        <v>1998</v>
      </c>
      <c r="B1226" s="1" t="s">
        <v>583</v>
      </c>
      <c r="C1226" s="1" t="s">
        <v>28</v>
      </c>
      <c r="D1226" s="1" t="s">
        <v>143</v>
      </c>
      <c r="E1226" s="1" t="s">
        <v>210</v>
      </c>
      <c r="F1226" s="1" t="s">
        <v>96</v>
      </c>
      <c r="G1226" s="1" t="s">
        <v>97</v>
      </c>
      <c r="H1226" s="1" t="s">
        <v>69</v>
      </c>
      <c r="I1226" s="1" t="s">
        <v>83</v>
      </c>
      <c r="J1226" s="1" t="s">
        <v>131</v>
      </c>
      <c r="K1226" s="1" t="s">
        <v>112</v>
      </c>
      <c r="L1226" s="1" t="s">
        <v>85</v>
      </c>
      <c r="M1226" s="1" t="s">
        <v>50</v>
      </c>
      <c r="N1226" s="1" t="n">
        <v>18999</v>
      </c>
      <c r="O1226" s="1" t="n">
        <v>5</v>
      </c>
      <c r="P1226" s="1" t="n">
        <v>949.95</v>
      </c>
      <c r="Q1226" s="1" t="n">
        <v>18049.05</v>
      </c>
      <c r="R1226" s="1" t="n">
        <v>3248.83</v>
      </c>
      <c r="S1226" s="1" t="n">
        <v>14800.22</v>
      </c>
      <c r="T1226" s="1" t="n">
        <v>4774.09</v>
      </c>
      <c r="U1226" s="1" t="n">
        <v>10026.13</v>
      </c>
      <c r="V1226" s="1" t="n">
        <v>67.74</v>
      </c>
      <c r="W1226" s="1" t="s">
        <v>40</v>
      </c>
      <c r="Y1226" s="1" t="s">
        <v>40</v>
      </c>
      <c r="Z1226" s="1" t="n">
        <v>1</v>
      </c>
    </row>
    <row r="1227" customFormat="false" ht="15" hidden="false" customHeight="true" outlineLevel="0" collapsed="false">
      <c r="A1227" s="1" t="s">
        <v>1999</v>
      </c>
      <c r="B1227" s="1" t="s">
        <v>448</v>
      </c>
      <c r="C1227" s="1" t="s">
        <v>74</v>
      </c>
      <c r="D1227" s="1" t="s">
        <v>123</v>
      </c>
      <c r="E1227" s="1" t="s">
        <v>147</v>
      </c>
      <c r="F1227" s="1" t="s">
        <v>205</v>
      </c>
      <c r="G1227" s="1" t="s">
        <v>56</v>
      </c>
      <c r="H1227" s="1" t="s">
        <v>69</v>
      </c>
      <c r="I1227" s="1" t="s">
        <v>83</v>
      </c>
      <c r="J1227" s="1" t="s">
        <v>77</v>
      </c>
      <c r="K1227" s="1" t="s">
        <v>90</v>
      </c>
      <c r="L1227" s="1" t="s">
        <v>49</v>
      </c>
      <c r="M1227" s="1" t="s">
        <v>38</v>
      </c>
      <c r="N1227" s="1" t="n">
        <v>6999</v>
      </c>
      <c r="O1227" s="1" t="n">
        <v>0</v>
      </c>
      <c r="P1227" s="1" t="n">
        <v>0</v>
      </c>
      <c r="Q1227" s="1" t="n">
        <v>6999</v>
      </c>
      <c r="R1227" s="1" t="n">
        <v>1259.82</v>
      </c>
      <c r="S1227" s="1" t="n">
        <v>5739.18</v>
      </c>
      <c r="T1227" s="1" t="n">
        <v>2297.4</v>
      </c>
      <c r="U1227" s="1" t="n">
        <v>3441.78</v>
      </c>
      <c r="V1227" s="1" t="n">
        <v>59.97</v>
      </c>
      <c r="W1227" s="1" t="s">
        <v>39</v>
      </c>
      <c r="X1227" s="1" t="n">
        <v>3.5</v>
      </c>
      <c r="Y1227" s="1" t="s">
        <v>40</v>
      </c>
      <c r="Z1227" s="1" t="n">
        <v>0</v>
      </c>
    </row>
    <row r="1228" customFormat="false" ht="15" hidden="false" customHeight="true" outlineLevel="0" collapsed="false">
      <c r="A1228" s="1" t="s">
        <v>2000</v>
      </c>
      <c r="B1228" s="1" t="s">
        <v>1659</v>
      </c>
      <c r="C1228" s="1" t="s">
        <v>28</v>
      </c>
      <c r="D1228" s="1" t="s">
        <v>94</v>
      </c>
      <c r="E1228" s="1" t="s">
        <v>135</v>
      </c>
      <c r="F1228" s="1" t="s">
        <v>55</v>
      </c>
      <c r="G1228" s="1" t="s">
        <v>56</v>
      </c>
      <c r="H1228" s="1" t="s">
        <v>57</v>
      </c>
      <c r="I1228" s="1" t="s">
        <v>83</v>
      </c>
      <c r="J1228" s="1" t="s">
        <v>77</v>
      </c>
      <c r="K1228" s="1" t="s">
        <v>112</v>
      </c>
      <c r="L1228" s="1" t="s">
        <v>113</v>
      </c>
      <c r="M1228" s="1" t="s">
        <v>38</v>
      </c>
      <c r="N1228" s="1" t="n">
        <v>9999</v>
      </c>
      <c r="O1228" s="1" t="n">
        <v>0</v>
      </c>
      <c r="P1228" s="1" t="n">
        <v>0</v>
      </c>
      <c r="Q1228" s="1" t="n">
        <v>9999</v>
      </c>
      <c r="R1228" s="1" t="n">
        <v>1799.82</v>
      </c>
      <c r="S1228" s="1" t="n">
        <v>8199.18</v>
      </c>
      <c r="T1228" s="1" t="n">
        <v>4037.45</v>
      </c>
      <c r="U1228" s="1" t="n">
        <v>4161.73</v>
      </c>
      <c r="V1228" s="1" t="n">
        <v>50.76</v>
      </c>
      <c r="W1228" s="1" t="s">
        <v>40</v>
      </c>
      <c r="Y1228" s="1" t="s">
        <v>40</v>
      </c>
      <c r="Z1228" s="1" t="n">
        <v>1</v>
      </c>
    </row>
    <row r="1229" customFormat="false" ht="15" hidden="false" customHeight="true" outlineLevel="0" collapsed="false">
      <c r="A1229" s="1" t="s">
        <v>2001</v>
      </c>
      <c r="B1229" s="1" t="s">
        <v>1058</v>
      </c>
      <c r="C1229" s="1" t="s">
        <v>119</v>
      </c>
      <c r="D1229" s="1" t="s">
        <v>143</v>
      </c>
      <c r="E1229" s="1" t="s">
        <v>243</v>
      </c>
      <c r="F1229" s="1" t="s">
        <v>187</v>
      </c>
      <c r="G1229" s="1" t="s">
        <v>97</v>
      </c>
      <c r="H1229" s="1" t="s">
        <v>69</v>
      </c>
      <c r="I1229" s="1" t="s">
        <v>58</v>
      </c>
      <c r="J1229" s="1" t="s">
        <v>35</v>
      </c>
      <c r="K1229" s="1" t="s">
        <v>90</v>
      </c>
      <c r="L1229" s="1" t="s">
        <v>85</v>
      </c>
      <c r="M1229" s="1" t="s">
        <v>38</v>
      </c>
      <c r="N1229" s="1" t="n">
        <v>22999</v>
      </c>
      <c r="O1229" s="1" t="n">
        <v>0</v>
      </c>
      <c r="P1229" s="1" t="n">
        <v>0</v>
      </c>
      <c r="Q1229" s="1" t="n">
        <v>22999</v>
      </c>
      <c r="R1229" s="1" t="n">
        <v>4139.82</v>
      </c>
      <c r="S1229" s="1" t="n">
        <v>18859.18</v>
      </c>
      <c r="T1229" s="1" t="n">
        <v>7875.87</v>
      </c>
      <c r="U1229" s="1" t="n">
        <v>10983.31</v>
      </c>
      <c r="V1229" s="1" t="n">
        <v>58.24</v>
      </c>
      <c r="W1229" s="1" t="s">
        <v>39</v>
      </c>
      <c r="Y1229" s="1" t="s">
        <v>40</v>
      </c>
      <c r="Z1229" s="1" t="n">
        <v>0</v>
      </c>
    </row>
    <row r="1230" customFormat="false" ht="15" hidden="false" customHeight="true" outlineLevel="0" collapsed="false">
      <c r="A1230" s="1" t="s">
        <v>2002</v>
      </c>
      <c r="B1230" s="1" t="s">
        <v>1131</v>
      </c>
      <c r="C1230" s="1" t="s">
        <v>74</v>
      </c>
      <c r="D1230" s="1" t="s">
        <v>94</v>
      </c>
      <c r="E1230" s="1" t="s">
        <v>135</v>
      </c>
      <c r="F1230" s="1" t="s">
        <v>150</v>
      </c>
      <c r="G1230" s="1" t="s">
        <v>32</v>
      </c>
      <c r="H1230" s="1" t="s">
        <v>57</v>
      </c>
      <c r="I1230" s="1" t="s">
        <v>58</v>
      </c>
      <c r="J1230" s="1" t="s">
        <v>131</v>
      </c>
      <c r="K1230" s="1" t="s">
        <v>104</v>
      </c>
      <c r="L1230" s="1" t="s">
        <v>136</v>
      </c>
      <c r="M1230" s="1" t="s">
        <v>38</v>
      </c>
      <c r="N1230" s="1" t="n">
        <v>9999</v>
      </c>
      <c r="O1230" s="1" t="n">
        <v>50</v>
      </c>
      <c r="P1230" s="1" t="n">
        <v>4999.5</v>
      </c>
      <c r="Q1230" s="1" t="n">
        <v>4999.5</v>
      </c>
      <c r="R1230" s="1" t="n">
        <v>899.91</v>
      </c>
      <c r="S1230" s="1" t="n">
        <v>4099.59</v>
      </c>
      <c r="T1230" s="1" t="n">
        <v>2259.68</v>
      </c>
      <c r="U1230" s="1" t="n">
        <v>1839.91</v>
      </c>
      <c r="V1230" s="1" t="n">
        <v>44.88</v>
      </c>
      <c r="W1230" s="1" t="s">
        <v>39</v>
      </c>
      <c r="X1230" s="1" t="n">
        <v>4.4</v>
      </c>
      <c r="Y1230" s="1" t="s">
        <v>40</v>
      </c>
      <c r="Z1230" s="1" t="n">
        <v>0</v>
      </c>
    </row>
    <row r="1231" customFormat="false" ht="15" hidden="false" customHeight="true" outlineLevel="0" collapsed="false">
      <c r="A1231" s="1" t="s">
        <v>2003</v>
      </c>
      <c r="B1231" s="1" t="s">
        <v>979</v>
      </c>
      <c r="C1231" s="1" t="s">
        <v>264</v>
      </c>
      <c r="D1231" s="1" t="s">
        <v>44</v>
      </c>
      <c r="E1231" s="1" t="s">
        <v>221</v>
      </c>
      <c r="F1231" s="1" t="s">
        <v>184</v>
      </c>
      <c r="G1231" s="1" t="s">
        <v>56</v>
      </c>
      <c r="H1231" s="1" t="s">
        <v>57</v>
      </c>
      <c r="I1231" s="1" t="s">
        <v>58</v>
      </c>
      <c r="J1231" s="1" t="s">
        <v>70</v>
      </c>
      <c r="K1231" s="1" t="s">
        <v>60</v>
      </c>
      <c r="L1231" s="1" t="s">
        <v>113</v>
      </c>
      <c r="M1231" s="1" t="s">
        <v>62</v>
      </c>
      <c r="N1231" s="1" t="n">
        <v>16999</v>
      </c>
      <c r="O1231" s="1" t="n">
        <v>50</v>
      </c>
      <c r="P1231" s="1" t="n">
        <v>8499.5</v>
      </c>
      <c r="Q1231" s="1" t="n">
        <v>8499.5</v>
      </c>
      <c r="R1231" s="1" t="n">
        <v>1529.91</v>
      </c>
      <c r="S1231" s="1" t="n">
        <v>6969.59</v>
      </c>
      <c r="T1231" s="1" t="n">
        <v>3757.82</v>
      </c>
      <c r="U1231" s="1" t="n">
        <v>3211.77</v>
      </c>
      <c r="V1231" s="1" t="n">
        <v>46.08</v>
      </c>
      <c r="W1231" s="1" t="s">
        <v>39</v>
      </c>
      <c r="X1231" s="1" t="n">
        <v>4.4</v>
      </c>
      <c r="Y1231" s="1" t="s">
        <v>39</v>
      </c>
      <c r="Z1231" s="1" t="n">
        <v>0</v>
      </c>
    </row>
    <row r="1232" customFormat="false" ht="15" hidden="false" customHeight="true" outlineLevel="0" collapsed="false">
      <c r="A1232" s="1" t="s">
        <v>2004</v>
      </c>
      <c r="B1232" s="1" t="s">
        <v>92</v>
      </c>
      <c r="C1232" s="1" t="s">
        <v>167</v>
      </c>
      <c r="D1232" s="1" t="s">
        <v>123</v>
      </c>
      <c r="E1232" s="1" t="s">
        <v>124</v>
      </c>
      <c r="F1232" s="1" t="s">
        <v>120</v>
      </c>
      <c r="G1232" s="1" t="s">
        <v>47</v>
      </c>
      <c r="H1232" s="1" t="s">
        <v>57</v>
      </c>
      <c r="I1232" s="1" t="s">
        <v>34</v>
      </c>
      <c r="J1232" s="1" t="s">
        <v>70</v>
      </c>
      <c r="K1232" s="1" t="s">
        <v>36</v>
      </c>
      <c r="L1232" s="1" t="s">
        <v>61</v>
      </c>
      <c r="M1232" s="1" t="s">
        <v>50</v>
      </c>
      <c r="N1232" s="1" t="n">
        <v>4999</v>
      </c>
      <c r="O1232" s="1" t="n">
        <v>5</v>
      </c>
      <c r="P1232" s="1" t="n">
        <v>249.95</v>
      </c>
      <c r="Q1232" s="1" t="n">
        <v>4749.05</v>
      </c>
      <c r="R1232" s="1" t="n">
        <v>854.83</v>
      </c>
      <c r="S1232" s="1" t="n">
        <v>3894.22</v>
      </c>
      <c r="T1232" s="1" t="n">
        <v>1555.33</v>
      </c>
      <c r="U1232" s="1" t="n">
        <v>2338.89</v>
      </c>
      <c r="V1232" s="1" t="n">
        <v>60.06</v>
      </c>
      <c r="W1232" s="1" t="s">
        <v>40</v>
      </c>
      <c r="Y1232" s="1" t="s">
        <v>40</v>
      </c>
      <c r="Z1232" s="1" t="n">
        <v>2</v>
      </c>
    </row>
    <row r="1233" customFormat="false" ht="15" hidden="false" customHeight="true" outlineLevel="0" collapsed="false">
      <c r="A1233" s="1" t="s">
        <v>2005</v>
      </c>
      <c r="B1233" s="1" t="s">
        <v>1621</v>
      </c>
      <c r="C1233" s="1" t="s">
        <v>28</v>
      </c>
      <c r="D1233" s="1" t="s">
        <v>143</v>
      </c>
      <c r="E1233" s="1" t="s">
        <v>210</v>
      </c>
      <c r="F1233" s="1" t="s">
        <v>82</v>
      </c>
      <c r="G1233" s="1" t="s">
        <v>56</v>
      </c>
      <c r="H1233" s="1" t="s">
        <v>69</v>
      </c>
      <c r="I1233" s="1" t="s">
        <v>34</v>
      </c>
      <c r="J1233" s="1" t="s">
        <v>35</v>
      </c>
      <c r="K1233" s="1" t="s">
        <v>36</v>
      </c>
      <c r="L1233" s="1" t="s">
        <v>49</v>
      </c>
      <c r="M1233" s="1" t="s">
        <v>50</v>
      </c>
      <c r="N1233" s="1" t="n">
        <v>18999</v>
      </c>
      <c r="O1233" s="1" t="n">
        <v>20</v>
      </c>
      <c r="P1233" s="1" t="n">
        <v>3799.8</v>
      </c>
      <c r="Q1233" s="1" t="n">
        <v>15199.2</v>
      </c>
      <c r="R1233" s="1" t="n">
        <v>2735.86</v>
      </c>
      <c r="S1233" s="1" t="n">
        <v>12463.34</v>
      </c>
      <c r="T1233" s="1" t="n">
        <v>5491.34</v>
      </c>
      <c r="U1233" s="1" t="n">
        <v>6972</v>
      </c>
      <c r="V1233" s="1" t="n">
        <v>55.94</v>
      </c>
      <c r="W1233" s="1" t="s">
        <v>40</v>
      </c>
      <c r="Y1233" s="1" t="s">
        <v>40</v>
      </c>
      <c r="Z1233" s="1" t="n">
        <v>1</v>
      </c>
    </row>
    <row r="1234" customFormat="false" ht="15" hidden="false" customHeight="true" outlineLevel="0" collapsed="false">
      <c r="A1234" s="1" t="s">
        <v>2006</v>
      </c>
      <c r="B1234" s="1" t="s">
        <v>2007</v>
      </c>
      <c r="C1234" s="1" t="s">
        <v>128</v>
      </c>
      <c r="D1234" s="1" t="s">
        <v>94</v>
      </c>
      <c r="E1234" s="1" t="s">
        <v>101</v>
      </c>
      <c r="F1234" s="1" t="s">
        <v>130</v>
      </c>
      <c r="G1234" s="1" t="s">
        <v>47</v>
      </c>
      <c r="H1234" s="1" t="s">
        <v>69</v>
      </c>
      <c r="I1234" s="1" t="s">
        <v>34</v>
      </c>
      <c r="J1234" s="1" t="s">
        <v>35</v>
      </c>
      <c r="K1234" s="1" t="s">
        <v>48</v>
      </c>
      <c r="L1234" s="1" t="s">
        <v>61</v>
      </c>
      <c r="M1234" s="1" t="s">
        <v>62</v>
      </c>
      <c r="N1234" s="1" t="n">
        <v>14999</v>
      </c>
      <c r="O1234" s="1" t="n">
        <v>10</v>
      </c>
      <c r="P1234" s="1" t="n">
        <v>1499.9</v>
      </c>
      <c r="Q1234" s="1" t="n">
        <v>13499.1</v>
      </c>
      <c r="R1234" s="1" t="n">
        <v>2429.84</v>
      </c>
      <c r="S1234" s="1" t="n">
        <v>11069.26</v>
      </c>
      <c r="T1234" s="1" t="n">
        <v>5183.82</v>
      </c>
      <c r="U1234" s="1" t="n">
        <v>5885.44</v>
      </c>
      <c r="V1234" s="1" t="n">
        <v>53.17</v>
      </c>
      <c r="W1234" s="1" t="s">
        <v>39</v>
      </c>
      <c r="X1234" s="1" t="n">
        <v>3.2</v>
      </c>
      <c r="Y1234" s="1" t="s">
        <v>40</v>
      </c>
      <c r="Z1234" s="1" t="n">
        <v>0</v>
      </c>
    </row>
    <row r="1235" customFormat="false" ht="15" hidden="false" customHeight="true" outlineLevel="0" collapsed="false">
      <c r="A1235" s="1" t="s">
        <v>2008</v>
      </c>
      <c r="B1235" s="1" t="s">
        <v>841</v>
      </c>
      <c r="C1235" s="1" t="s">
        <v>264</v>
      </c>
      <c r="D1235" s="1" t="s">
        <v>53</v>
      </c>
      <c r="E1235" s="1" t="s">
        <v>116</v>
      </c>
      <c r="F1235" s="1" t="s">
        <v>75</v>
      </c>
      <c r="G1235" s="1" t="s">
        <v>76</v>
      </c>
      <c r="H1235" s="1" t="s">
        <v>69</v>
      </c>
      <c r="I1235" s="1" t="s">
        <v>34</v>
      </c>
      <c r="J1235" s="1" t="s">
        <v>59</v>
      </c>
      <c r="K1235" s="1" t="s">
        <v>84</v>
      </c>
      <c r="L1235" s="1" t="s">
        <v>136</v>
      </c>
      <c r="M1235" s="1" t="s">
        <v>50</v>
      </c>
      <c r="N1235" s="1" t="n">
        <v>9999</v>
      </c>
      <c r="O1235" s="1" t="n">
        <v>10</v>
      </c>
      <c r="P1235" s="1" t="n">
        <v>999.9</v>
      </c>
      <c r="Q1235" s="1" t="n">
        <v>8999.1</v>
      </c>
      <c r="R1235" s="1" t="n">
        <v>1619.84</v>
      </c>
      <c r="S1235" s="1" t="n">
        <v>7379.26</v>
      </c>
      <c r="T1235" s="1" t="n">
        <v>2923.79</v>
      </c>
      <c r="U1235" s="1" t="n">
        <v>4455.47</v>
      </c>
      <c r="V1235" s="1" t="n">
        <v>60.38</v>
      </c>
      <c r="W1235" s="1" t="s">
        <v>39</v>
      </c>
      <c r="X1235" s="1" t="n">
        <v>3.8</v>
      </c>
      <c r="Y1235" s="1" t="s">
        <v>40</v>
      </c>
      <c r="Z1235" s="1" t="n">
        <v>1</v>
      </c>
    </row>
    <row r="1236" customFormat="false" ht="15" hidden="false" customHeight="true" outlineLevel="0" collapsed="false">
      <c r="A1236" s="1" t="s">
        <v>2009</v>
      </c>
      <c r="B1236" s="1" t="s">
        <v>366</v>
      </c>
      <c r="C1236" s="1" t="s">
        <v>128</v>
      </c>
      <c r="D1236" s="1" t="s">
        <v>44</v>
      </c>
      <c r="E1236" s="1" t="s">
        <v>221</v>
      </c>
      <c r="F1236" s="1" t="s">
        <v>46</v>
      </c>
      <c r="G1236" s="1" t="s">
        <v>47</v>
      </c>
      <c r="H1236" s="1" t="s">
        <v>33</v>
      </c>
      <c r="I1236" s="1" t="s">
        <v>34</v>
      </c>
      <c r="J1236" s="1" t="s">
        <v>59</v>
      </c>
      <c r="K1236" s="1" t="s">
        <v>48</v>
      </c>
      <c r="L1236" s="1" t="s">
        <v>136</v>
      </c>
      <c r="M1236" s="1" t="s">
        <v>38</v>
      </c>
      <c r="N1236" s="1" t="n">
        <v>16999</v>
      </c>
      <c r="O1236" s="1" t="n">
        <v>25</v>
      </c>
      <c r="P1236" s="1" t="n">
        <v>4249.75</v>
      </c>
      <c r="Q1236" s="1" t="n">
        <v>12749.25</v>
      </c>
      <c r="R1236" s="1" t="n">
        <v>2294.86</v>
      </c>
      <c r="S1236" s="1" t="n">
        <v>10454.39</v>
      </c>
      <c r="T1236" s="1" t="n">
        <v>5333.03</v>
      </c>
      <c r="U1236" s="1" t="n">
        <v>5121.36</v>
      </c>
      <c r="V1236" s="1" t="n">
        <v>48.99</v>
      </c>
      <c r="W1236" s="1" t="s">
        <v>40</v>
      </c>
      <c r="Y1236" s="1" t="s">
        <v>40</v>
      </c>
      <c r="Z1236" s="1" t="n">
        <v>0</v>
      </c>
    </row>
    <row r="1237" customFormat="false" ht="15" hidden="false" customHeight="true" outlineLevel="0" collapsed="false">
      <c r="A1237" s="1" t="s">
        <v>2010</v>
      </c>
      <c r="B1237" s="1" t="s">
        <v>2011</v>
      </c>
      <c r="C1237" s="1" t="s">
        <v>167</v>
      </c>
      <c r="D1237" s="1" t="s">
        <v>29</v>
      </c>
      <c r="E1237" s="1" t="s">
        <v>182</v>
      </c>
      <c r="F1237" s="1" t="s">
        <v>153</v>
      </c>
      <c r="G1237" s="1" t="s">
        <v>76</v>
      </c>
      <c r="H1237" s="1" t="s">
        <v>33</v>
      </c>
      <c r="I1237" s="1" t="s">
        <v>34</v>
      </c>
      <c r="J1237" s="1" t="s">
        <v>77</v>
      </c>
      <c r="K1237" s="1" t="s">
        <v>104</v>
      </c>
      <c r="L1237" s="1" t="s">
        <v>61</v>
      </c>
      <c r="M1237" s="1" t="s">
        <v>50</v>
      </c>
      <c r="N1237" s="1" t="n">
        <v>34999</v>
      </c>
      <c r="O1237" s="1" t="n">
        <v>10</v>
      </c>
      <c r="P1237" s="1" t="n">
        <v>3499.9</v>
      </c>
      <c r="Q1237" s="1" t="n">
        <v>31499.1</v>
      </c>
      <c r="R1237" s="1" t="n">
        <v>5669.84</v>
      </c>
      <c r="S1237" s="1" t="n">
        <v>25829.26</v>
      </c>
      <c r="T1237" s="1" t="n">
        <v>11723.71</v>
      </c>
      <c r="U1237" s="1" t="n">
        <v>14105.55</v>
      </c>
      <c r="V1237" s="1" t="n">
        <v>54.61</v>
      </c>
      <c r="W1237" s="1" t="s">
        <v>39</v>
      </c>
      <c r="X1237" s="1" t="n">
        <v>4.5</v>
      </c>
      <c r="Y1237" s="1" t="s">
        <v>40</v>
      </c>
      <c r="Z1237" s="1" t="n">
        <v>0</v>
      </c>
    </row>
    <row r="1238" customFormat="false" ht="15" hidden="false" customHeight="true" outlineLevel="0" collapsed="false">
      <c r="A1238" s="1" t="s">
        <v>2012</v>
      </c>
      <c r="B1238" s="1" t="s">
        <v>1141</v>
      </c>
      <c r="C1238" s="1" t="s">
        <v>28</v>
      </c>
      <c r="D1238" s="1" t="s">
        <v>123</v>
      </c>
      <c r="E1238" s="1" t="s">
        <v>124</v>
      </c>
      <c r="F1238" s="1" t="s">
        <v>130</v>
      </c>
      <c r="G1238" s="1" t="s">
        <v>47</v>
      </c>
      <c r="H1238" s="1" t="s">
        <v>69</v>
      </c>
      <c r="I1238" s="1" t="s">
        <v>58</v>
      </c>
      <c r="J1238" s="1" t="s">
        <v>59</v>
      </c>
      <c r="K1238" s="1" t="s">
        <v>60</v>
      </c>
      <c r="L1238" s="1" t="s">
        <v>49</v>
      </c>
      <c r="M1238" s="1" t="s">
        <v>62</v>
      </c>
      <c r="N1238" s="1" t="n">
        <v>4999</v>
      </c>
      <c r="O1238" s="1" t="n">
        <v>0</v>
      </c>
      <c r="P1238" s="1" t="n">
        <v>0</v>
      </c>
      <c r="Q1238" s="1" t="n">
        <v>4999</v>
      </c>
      <c r="R1238" s="1" t="n">
        <v>899.82</v>
      </c>
      <c r="S1238" s="1" t="n">
        <v>4099.18</v>
      </c>
      <c r="T1238" s="1" t="n">
        <v>1636.71</v>
      </c>
      <c r="U1238" s="1" t="n">
        <v>2462.47</v>
      </c>
      <c r="V1238" s="1" t="n">
        <v>60.07</v>
      </c>
      <c r="W1238" s="1" t="s">
        <v>40</v>
      </c>
      <c r="Y1238" s="1" t="s">
        <v>40</v>
      </c>
      <c r="Z1238" s="1" t="n">
        <v>0</v>
      </c>
    </row>
    <row r="1239" customFormat="false" ht="15" hidden="false" customHeight="true" outlineLevel="0" collapsed="false">
      <c r="A1239" s="1" t="s">
        <v>2013</v>
      </c>
      <c r="B1239" s="1" t="s">
        <v>2014</v>
      </c>
      <c r="C1239" s="1" t="s">
        <v>134</v>
      </c>
      <c r="D1239" s="1" t="s">
        <v>44</v>
      </c>
      <c r="E1239" s="1" t="s">
        <v>45</v>
      </c>
      <c r="F1239" s="1" t="s">
        <v>184</v>
      </c>
      <c r="G1239" s="1" t="s">
        <v>56</v>
      </c>
      <c r="H1239" s="1" t="s">
        <v>57</v>
      </c>
      <c r="I1239" s="1" t="s">
        <v>58</v>
      </c>
      <c r="J1239" s="1" t="s">
        <v>59</v>
      </c>
      <c r="K1239" s="1" t="s">
        <v>36</v>
      </c>
      <c r="L1239" s="1" t="s">
        <v>37</v>
      </c>
      <c r="M1239" s="1" t="s">
        <v>38</v>
      </c>
      <c r="N1239" s="1" t="n">
        <v>11999</v>
      </c>
      <c r="O1239" s="1" t="n">
        <v>10</v>
      </c>
      <c r="P1239" s="1" t="n">
        <v>1199.9</v>
      </c>
      <c r="Q1239" s="1" t="n">
        <v>10799.1</v>
      </c>
      <c r="R1239" s="1" t="n">
        <v>1943.84</v>
      </c>
      <c r="S1239" s="1" t="n">
        <v>8855.26</v>
      </c>
      <c r="T1239" s="1" t="n">
        <v>3808.78</v>
      </c>
      <c r="U1239" s="1" t="n">
        <v>5046.48</v>
      </c>
      <c r="V1239" s="1" t="n">
        <v>56.99</v>
      </c>
      <c r="W1239" s="1" t="s">
        <v>39</v>
      </c>
      <c r="X1239" s="1" t="n">
        <v>4.2</v>
      </c>
      <c r="Y1239" s="1" t="s">
        <v>39</v>
      </c>
      <c r="Z1239" s="1" t="n">
        <v>0</v>
      </c>
    </row>
    <row r="1240" customFormat="false" ht="15" hidden="false" customHeight="true" outlineLevel="0" collapsed="false">
      <c r="A1240" s="1" t="s">
        <v>2015</v>
      </c>
      <c r="B1240" s="1" t="s">
        <v>1636</v>
      </c>
      <c r="C1240" s="1" t="s">
        <v>88</v>
      </c>
      <c r="D1240" s="1" t="s">
        <v>123</v>
      </c>
      <c r="E1240" s="1" t="s">
        <v>147</v>
      </c>
      <c r="F1240" s="1" t="s">
        <v>130</v>
      </c>
      <c r="G1240" s="1" t="s">
        <v>47</v>
      </c>
      <c r="H1240" s="1" t="s">
        <v>69</v>
      </c>
      <c r="I1240" s="1" t="s">
        <v>34</v>
      </c>
      <c r="J1240" s="1" t="s">
        <v>35</v>
      </c>
      <c r="K1240" s="1" t="s">
        <v>112</v>
      </c>
      <c r="L1240" s="1" t="s">
        <v>37</v>
      </c>
      <c r="M1240" s="1" t="s">
        <v>38</v>
      </c>
      <c r="N1240" s="1" t="n">
        <v>6999</v>
      </c>
      <c r="O1240" s="1" t="n">
        <v>5</v>
      </c>
      <c r="P1240" s="1" t="n">
        <v>349.95</v>
      </c>
      <c r="Q1240" s="1" t="n">
        <v>6649.05</v>
      </c>
      <c r="R1240" s="1" t="n">
        <v>1196.83</v>
      </c>
      <c r="S1240" s="1" t="n">
        <v>5452.22</v>
      </c>
      <c r="T1240" s="1" t="n">
        <v>2311.64</v>
      </c>
      <c r="U1240" s="1" t="n">
        <v>3140.58</v>
      </c>
      <c r="V1240" s="1" t="n">
        <v>57.6</v>
      </c>
      <c r="W1240" s="1" t="s">
        <v>40</v>
      </c>
      <c r="Y1240" s="1" t="s">
        <v>40</v>
      </c>
      <c r="Z1240" s="1" t="n">
        <v>0</v>
      </c>
    </row>
    <row r="1241" customFormat="false" ht="15" hidden="false" customHeight="true" outlineLevel="0" collapsed="false">
      <c r="A1241" s="1" t="s">
        <v>2016</v>
      </c>
      <c r="B1241" s="1" t="s">
        <v>1250</v>
      </c>
      <c r="C1241" s="1" t="s">
        <v>264</v>
      </c>
      <c r="D1241" s="1" t="s">
        <v>80</v>
      </c>
      <c r="E1241" s="1" t="s">
        <v>193</v>
      </c>
      <c r="F1241" s="1" t="s">
        <v>31</v>
      </c>
      <c r="G1241" s="1" t="s">
        <v>32</v>
      </c>
      <c r="H1241" s="1" t="s">
        <v>33</v>
      </c>
      <c r="I1241" s="1" t="s">
        <v>83</v>
      </c>
      <c r="J1241" s="1" t="s">
        <v>35</v>
      </c>
      <c r="K1241" s="1" t="s">
        <v>48</v>
      </c>
      <c r="L1241" s="1" t="s">
        <v>37</v>
      </c>
      <c r="M1241" s="1" t="s">
        <v>38</v>
      </c>
      <c r="N1241" s="1" t="n">
        <v>8999</v>
      </c>
      <c r="O1241" s="1" t="n">
        <v>10</v>
      </c>
      <c r="P1241" s="1" t="n">
        <v>899.9</v>
      </c>
      <c r="Q1241" s="1" t="n">
        <v>8099.1</v>
      </c>
      <c r="R1241" s="1" t="n">
        <v>1457.84</v>
      </c>
      <c r="S1241" s="1" t="n">
        <v>6641.26</v>
      </c>
      <c r="T1241" s="1" t="n">
        <v>2518.29</v>
      </c>
      <c r="U1241" s="1" t="n">
        <v>4122.97</v>
      </c>
      <c r="V1241" s="1" t="n">
        <v>62.08</v>
      </c>
      <c r="W1241" s="1" t="s">
        <v>39</v>
      </c>
      <c r="X1241" s="1" t="n">
        <v>3.9</v>
      </c>
      <c r="Y1241" s="1" t="s">
        <v>39</v>
      </c>
      <c r="Z1241" s="1" t="n">
        <v>0</v>
      </c>
    </row>
    <row r="1242" customFormat="false" ht="15" hidden="false" customHeight="true" outlineLevel="0" collapsed="false">
      <c r="A1242" s="1" t="s">
        <v>2017</v>
      </c>
      <c r="B1242" s="1" t="s">
        <v>2018</v>
      </c>
      <c r="C1242" s="1" t="s">
        <v>93</v>
      </c>
      <c r="D1242" s="1" t="s">
        <v>29</v>
      </c>
      <c r="E1242" s="1" t="s">
        <v>305</v>
      </c>
      <c r="F1242" s="1" t="s">
        <v>120</v>
      </c>
      <c r="G1242" s="1" t="s">
        <v>47</v>
      </c>
      <c r="H1242" s="1" t="s">
        <v>57</v>
      </c>
      <c r="I1242" s="1" t="s">
        <v>34</v>
      </c>
      <c r="J1242" s="1" t="s">
        <v>70</v>
      </c>
      <c r="K1242" s="1" t="s">
        <v>90</v>
      </c>
      <c r="L1242" s="1" t="s">
        <v>37</v>
      </c>
      <c r="M1242" s="1" t="s">
        <v>62</v>
      </c>
      <c r="N1242" s="1" t="n">
        <v>24999</v>
      </c>
      <c r="O1242" s="1" t="n">
        <v>50</v>
      </c>
      <c r="P1242" s="1" t="n">
        <v>12499.5</v>
      </c>
      <c r="Q1242" s="1" t="n">
        <v>12499.5</v>
      </c>
      <c r="R1242" s="1" t="n">
        <v>2249.91</v>
      </c>
      <c r="S1242" s="1" t="n">
        <v>10249.59</v>
      </c>
      <c r="T1242" s="1" t="n">
        <v>5124.18</v>
      </c>
      <c r="U1242" s="1" t="n">
        <v>5125.41</v>
      </c>
      <c r="V1242" s="1" t="n">
        <v>50.01</v>
      </c>
      <c r="W1242" s="1" t="s">
        <v>39</v>
      </c>
      <c r="X1242" s="1" t="n">
        <v>4.5</v>
      </c>
      <c r="Y1242" s="1" t="s">
        <v>40</v>
      </c>
      <c r="Z1242" s="1" t="n">
        <v>1</v>
      </c>
    </row>
    <row r="1243" customFormat="false" ht="15" hidden="false" customHeight="true" outlineLevel="0" collapsed="false">
      <c r="A1243" s="1" t="s">
        <v>2019</v>
      </c>
      <c r="B1243" s="1" t="s">
        <v>415</v>
      </c>
      <c r="C1243" s="1" t="s">
        <v>134</v>
      </c>
      <c r="D1243" s="1" t="s">
        <v>80</v>
      </c>
      <c r="E1243" s="1" t="s">
        <v>193</v>
      </c>
      <c r="F1243" s="1" t="s">
        <v>89</v>
      </c>
      <c r="G1243" s="1" t="s">
        <v>68</v>
      </c>
      <c r="H1243" s="1" t="s">
        <v>33</v>
      </c>
      <c r="I1243" s="1" t="s">
        <v>58</v>
      </c>
      <c r="J1243" s="1" t="s">
        <v>77</v>
      </c>
      <c r="K1243" s="1" t="s">
        <v>48</v>
      </c>
      <c r="L1243" s="1" t="s">
        <v>49</v>
      </c>
      <c r="M1243" s="1" t="s">
        <v>50</v>
      </c>
      <c r="N1243" s="1" t="n">
        <v>8999</v>
      </c>
      <c r="O1243" s="1" t="n">
        <v>0</v>
      </c>
      <c r="P1243" s="1" t="n">
        <v>0</v>
      </c>
      <c r="Q1243" s="1" t="n">
        <v>8999</v>
      </c>
      <c r="R1243" s="1" t="n">
        <v>1619.82</v>
      </c>
      <c r="S1243" s="1" t="n">
        <v>7379.18</v>
      </c>
      <c r="T1243" s="1" t="n">
        <v>3288.04</v>
      </c>
      <c r="U1243" s="1" t="n">
        <v>4091.14</v>
      </c>
      <c r="V1243" s="1" t="n">
        <v>55.44</v>
      </c>
      <c r="W1243" s="1" t="s">
        <v>39</v>
      </c>
      <c r="X1243" s="1" t="n">
        <v>4.7</v>
      </c>
      <c r="Y1243" s="1" t="s">
        <v>40</v>
      </c>
      <c r="Z1243" s="1" t="n">
        <v>1</v>
      </c>
    </row>
    <row r="1244" customFormat="false" ht="15" hidden="false" customHeight="true" outlineLevel="0" collapsed="false">
      <c r="A1244" s="1" t="s">
        <v>2020</v>
      </c>
      <c r="B1244" s="1" t="s">
        <v>2021</v>
      </c>
      <c r="C1244" s="1" t="s">
        <v>264</v>
      </c>
      <c r="D1244" s="1" t="s">
        <v>80</v>
      </c>
      <c r="E1244" s="1" t="s">
        <v>190</v>
      </c>
      <c r="F1244" s="1" t="s">
        <v>211</v>
      </c>
      <c r="G1244" s="1" t="s">
        <v>56</v>
      </c>
      <c r="H1244" s="1" t="s">
        <v>69</v>
      </c>
      <c r="I1244" s="1" t="s">
        <v>58</v>
      </c>
      <c r="J1244" s="1" t="s">
        <v>131</v>
      </c>
      <c r="K1244" s="1" t="s">
        <v>71</v>
      </c>
      <c r="L1244" s="1" t="s">
        <v>113</v>
      </c>
      <c r="M1244" s="1" t="s">
        <v>50</v>
      </c>
      <c r="N1244" s="1" t="n">
        <v>15999</v>
      </c>
      <c r="O1244" s="1" t="n">
        <v>15</v>
      </c>
      <c r="P1244" s="1" t="n">
        <v>2399.85</v>
      </c>
      <c r="Q1244" s="1" t="n">
        <v>13599.15</v>
      </c>
      <c r="R1244" s="1" t="n">
        <v>2447.85</v>
      </c>
      <c r="S1244" s="1" t="n">
        <v>11151.3</v>
      </c>
      <c r="T1244" s="1" t="n">
        <v>4192.46</v>
      </c>
      <c r="U1244" s="1" t="n">
        <v>6958.84</v>
      </c>
      <c r="V1244" s="1" t="n">
        <v>62.4</v>
      </c>
      <c r="W1244" s="1" t="s">
        <v>39</v>
      </c>
      <c r="X1244" s="1" t="n">
        <v>3.7</v>
      </c>
      <c r="Y1244" s="1" t="s">
        <v>40</v>
      </c>
      <c r="Z1244" s="1" t="n">
        <v>0</v>
      </c>
    </row>
    <row r="1245" customFormat="false" ht="15" hidden="false" customHeight="true" outlineLevel="0" collapsed="false">
      <c r="A1245" s="1" t="s">
        <v>2022</v>
      </c>
      <c r="B1245" s="1" t="s">
        <v>1226</v>
      </c>
      <c r="C1245" s="1" t="s">
        <v>139</v>
      </c>
      <c r="D1245" s="1" t="s">
        <v>168</v>
      </c>
      <c r="E1245" s="1" t="s">
        <v>197</v>
      </c>
      <c r="F1245" s="1" t="s">
        <v>107</v>
      </c>
      <c r="G1245" s="1" t="s">
        <v>108</v>
      </c>
      <c r="H1245" s="1" t="s">
        <v>33</v>
      </c>
      <c r="I1245" s="1" t="s">
        <v>34</v>
      </c>
      <c r="J1245" s="1" t="s">
        <v>70</v>
      </c>
      <c r="K1245" s="1" t="s">
        <v>112</v>
      </c>
      <c r="L1245" s="1" t="s">
        <v>49</v>
      </c>
      <c r="M1245" s="1" t="s">
        <v>50</v>
      </c>
      <c r="N1245" s="1" t="n">
        <v>8499</v>
      </c>
      <c r="O1245" s="1" t="n">
        <v>50</v>
      </c>
      <c r="P1245" s="1" t="n">
        <v>4249.5</v>
      </c>
      <c r="Q1245" s="1" t="n">
        <v>4249.5</v>
      </c>
      <c r="R1245" s="1" t="n">
        <v>764.91</v>
      </c>
      <c r="S1245" s="1" t="n">
        <v>3484.59</v>
      </c>
      <c r="T1245" s="1" t="n">
        <v>1853.05</v>
      </c>
      <c r="U1245" s="1" t="n">
        <v>1631.54</v>
      </c>
      <c r="V1245" s="1" t="n">
        <v>46.82</v>
      </c>
      <c r="W1245" s="1" t="s">
        <v>39</v>
      </c>
      <c r="X1245" s="1" t="n">
        <v>4.2</v>
      </c>
      <c r="Y1245" s="1" t="s">
        <v>40</v>
      </c>
      <c r="Z1245" s="1" t="n">
        <v>1</v>
      </c>
    </row>
    <row r="1246" customFormat="false" ht="15" hidden="false" customHeight="true" outlineLevel="0" collapsed="false">
      <c r="A1246" s="1" t="s">
        <v>2023</v>
      </c>
      <c r="B1246" s="1" t="s">
        <v>988</v>
      </c>
      <c r="C1246" s="1" t="s">
        <v>178</v>
      </c>
      <c r="D1246" s="1" t="s">
        <v>80</v>
      </c>
      <c r="E1246" s="1" t="s">
        <v>175</v>
      </c>
      <c r="F1246" s="1" t="s">
        <v>67</v>
      </c>
      <c r="G1246" s="1" t="s">
        <v>68</v>
      </c>
      <c r="H1246" s="1" t="s">
        <v>69</v>
      </c>
      <c r="I1246" s="1" t="s">
        <v>83</v>
      </c>
      <c r="J1246" s="1" t="s">
        <v>59</v>
      </c>
      <c r="K1246" s="1" t="s">
        <v>71</v>
      </c>
      <c r="L1246" s="1" t="s">
        <v>85</v>
      </c>
      <c r="M1246" s="1" t="s">
        <v>62</v>
      </c>
      <c r="N1246" s="1" t="n">
        <v>19999</v>
      </c>
      <c r="O1246" s="1" t="n">
        <v>5</v>
      </c>
      <c r="P1246" s="1" t="n">
        <v>999.95</v>
      </c>
      <c r="Q1246" s="1" t="n">
        <v>18999.05</v>
      </c>
      <c r="R1246" s="1" t="n">
        <v>3419.83</v>
      </c>
      <c r="S1246" s="1" t="n">
        <v>15579.22</v>
      </c>
      <c r="T1246" s="1" t="n">
        <v>4690.11</v>
      </c>
      <c r="U1246" s="1" t="n">
        <v>10889.11</v>
      </c>
      <c r="V1246" s="1" t="n">
        <v>69.9</v>
      </c>
      <c r="W1246" s="1" t="s">
        <v>39</v>
      </c>
      <c r="Y1246" s="1" t="s">
        <v>40</v>
      </c>
      <c r="Z1246" s="1" t="n">
        <v>0</v>
      </c>
    </row>
    <row r="1247" customFormat="false" ht="15" hidden="false" customHeight="true" outlineLevel="0" collapsed="false">
      <c r="A1247" s="1" t="s">
        <v>2024</v>
      </c>
      <c r="B1247" s="1" t="s">
        <v>225</v>
      </c>
      <c r="C1247" s="1" t="s">
        <v>43</v>
      </c>
      <c r="D1247" s="1" t="s">
        <v>94</v>
      </c>
      <c r="E1247" s="1" t="s">
        <v>135</v>
      </c>
      <c r="F1247" s="1" t="s">
        <v>130</v>
      </c>
      <c r="G1247" s="1" t="s">
        <v>47</v>
      </c>
      <c r="H1247" s="1" t="s">
        <v>69</v>
      </c>
      <c r="I1247" s="1" t="s">
        <v>58</v>
      </c>
      <c r="J1247" s="1" t="s">
        <v>59</v>
      </c>
      <c r="K1247" s="1" t="s">
        <v>36</v>
      </c>
      <c r="L1247" s="1" t="s">
        <v>61</v>
      </c>
      <c r="M1247" s="1" t="s">
        <v>38</v>
      </c>
      <c r="N1247" s="1" t="n">
        <v>9999</v>
      </c>
      <c r="O1247" s="1" t="n">
        <v>10</v>
      </c>
      <c r="P1247" s="1" t="n">
        <v>999.9</v>
      </c>
      <c r="Q1247" s="1" t="n">
        <v>8999.1</v>
      </c>
      <c r="R1247" s="1" t="n">
        <v>1619.84</v>
      </c>
      <c r="S1247" s="1" t="n">
        <v>7379.26</v>
      </c>
      <c r="T1247" s="1" t="n">
        <v>3327.37</v>
      </c>
      <c r="U1247" s="1" t="n">
        <v>4051.89</v>
      </c>
      <c r="V1247" s="1" t="n">
        <v>54.91</v>
      </c>
      <c r="W1247" s="1" t="s">
        <v>39</v>
      </c>
      <c r="X1247" s="1" t="n">
        <v>3.7</v>
      </c>
      <c r="Y1247" s="1" t="s">
        <v>40</v>
      </c>
      <c r="Z1247" s="1" t="n">
        <v>1</v>
      </c>
    </row>
    <row r="1248" customFormat="false" ht="15" hidden="false" customHeight="true" outlineLevel="0" collapsed="false">
      <c r="A1248" s="1" t="s">
        <v>2025</v>
      </c>
      <c r="B1248" s="1" t="s">
        <v>547</v>
      </c>
      <c r="C1248" s="1" t="s">
        <v>139</v>
      </c>
      <c r="D1248" s="1" t="s">
        <v>143</v>
      </c>
      <c r="E1248" s="1" t="s">
        <v>144</v>
      </c>
      <c r="F1248" s="1" t="s">
        <v>150</v>
      </c>
      <c r="G1248" s="1" t="s">
        <v>32</v>
      </c>
      <c r="H1248" s="1" t="s">
        <v>57</v>
      </c>
      <c r="I1248" s="1" t="s">
        <v>58</v>
      </c>
      <c r="J1248" s="1" t="s">
        <v>77</v>
      </c>
      <c r="K1248" s="1" t="s">
        <v>84</v>
      </c>
      <c r="L1248" s="1" t="s">
        <v>61</v>
      </c>
      <c r="M1248" s="1" t="s">
        <v>38</v>
      </c>
      <c r="N1248" s="1" t="n">
        <v>12999</v>
      </c>
      <c r="O1248" s="1" t="n">
        <v>10</v>
      </c>
      <c r="P1248" s="1" t="n">
        <v>1299.9</v>
      </c>
      <c r="Q1248" s="1" t="n">
        <v>11699.1</v>
      </c>
      <c r="R1248" s="1" t="n">
        <v>2105.84</v>
      </c>
      <c r="S1248" s="1" t="n">
        <v>9593.26</v>
      </c>
      <c r="T1248" s="1" t="n">
        <v>4128.93</v>
      </c>
      <c r="U1248" s="1" t="n">
        <v>5464.33</v>
      </c>
      <c r="V1248" s="1" t="n">
        <v>56.96</v>
      </c>
      <c r="W1248" s="1" t="s">
        <v>39</v>
      </c>
      <c r="X1248" s="1" t="n">
        <v>4.1</v>
      </c>
      <c r="Y1248" s="1" t="s">
        <v>40</v>
      </c>
      <c r="Z1248" s="1" t="n">
        <v>0</v>
      </c>
    </row>
    <row r="1249" customFormat="false" ht="15" hidden="false" customHeight="true" outlineLevel="0" collapsed="false">
      <c r="A1249" s="1" t="s">
        <v>2026</v>
      </c>
      <c r="B1249" s="1" t="s">
        <v>2027</v>
      </c>
      <c r="C1249" s="1" t="s">
        <v>178</v>
      </c>
      <c r="D1249" s="1" t="s">
        <v>53</v>
      </c>
      <c r="E1249" s="1" t="s">
        <v>116</v>
      </c>
      <c r="F1249" s="1" t="s">
        <v>75</v>
      </c>
      <c r="G1249" s="1" t="s">
        <v>76</v>
      </c>
      <c r="H1249" s="1" t="s">
        <v>69</v>
      </c>
      <c r="I1249" s="1" t="s">
        <v>34</v>
      </c>
      <c r="J1249" s="1" t="s">
        <v>131</v>
      </c>
      <c r="K1249" s="1" t="s">
        <v>60</v>
      </c>
      <c r="L1249" s="1" t="s">
        <v>136</v>
      </c>
      <c r="M1249" s="1" t="s">
        <v>62</v>
      </c>
      <c r="N1249" s="1" t="n">
        <v>9999</v>
      </c>
      <c r="O1249" s="1" t="n">
        <v>0</v>
      </c>
      <c r="P1249" s="1" t="n">
        <v>0</v>
      </c>
      <c r="Q1249" s="1" t="n">
        <v>9999</v>
      </c>
      <c r="R1249" s="1" t="n">
        <v>1799.82</v>
      </c>
      <c r="S1249" s="1" t="n">
        <v>8199.18</v>
      </c>
      <c r="T1249" s="1" t="n">
        <v>2745.67</v>
      </c>
      <c r="U1249" s="1" t="n">
        <v>5453.51</v>
      </c>
      <c r="V1249" s="1" t="n">
        <v>66.51</v>
      </c>
      <c r="W1249" s="1" t="s">
        <v>39</v>
      </c>
      <c r="Y1249" s="1" t="s">
        <v>40</v>
      </c>
      <c r="Z1249" s="1" t="n">
        <v>0</v>
      </c>
    </row>
    <row r="1250" customFormat="false" ht="15" hidden="false" customHeight="true" outlineLevel="0" collapsed="false">
      <c r="A1250" s="1" t="s">
        <v>2028</v>
      </c>
      <c r="B1250" s="1" t="s">
        <v>983</v>
      </c>
      <c r="C1250" s="1" t="s">
        <v>178</v>
      </c>
      <c r="D1250" s="1" t="s">
        <v>44</v>
      </c>
      <c r="E1250" s="1" t="s">
        <v>221</v>
      </c>
      <c r="F1250" s="1" t="s">
        <v>120</v>
      </c>
      <c r="G1250" s="1" t="s">
        <v>47</v>
      </c>
      <c r="H1250" s="1" t="s">
        <v>57</v>
      </c>
      <c r="I1250" s="1" t="s">
        <v>83</v>
      </c>
      <c r="J1250" s="1" t="s">
        <v>70</v>
      </c>
      <c r="K1250" s="1" t="s">
        <v>71</v>
      </c>
      <c r="L1250" s="1" t="s">
        <v>113</v>
      </c>
      <c r="M1250" s="1" t="s">
        <v>62</v>
      </c>
      <c r="N1250" s="1" t="n">
        <v>16999</v>
      </c>
      <c r="O1250" s="1" t="n">
        <v>0</v>
      </c>
      <c r="P1250" s="1" t="n">
        <v>0</v>
      </c>
      <c r="Q1250" s="1" t="n">
        <v>16999</v>
      </c>
      <c r="R1250" s="1" t="n">
        <v>3059.82</v>
      </c>
      <c r="S1250" s="1" t="n">
        <v>13939.18</v>
      </c>
      <c r="T1250" s="1" t="n">
        <v>6421.77</v>
      </c>
      <c r="U1250" s="1" t="n">
        <v>7517.41</v>
      </c>
      <c r="V1250" s="1" t="n">
        <v>53.93</v>
      </c>
      <c r="W1250" s="1" t="s">
        <v>40</v>
      </c>
      <c r="Y1250" s="1" t="s">
        <v>40</v>
      </c>
      <c r="Z1250" s="1" t="n">
        <v>1</v>
      </c>
    </row>
    <row r="1251" customFormat="false" ht="15" hidden="false" customHeight="true" outlineLevel="0" collapsed="false">
      <c r="A1251" s="1" t="s">
        <v>2029</v>
      </c>
      <c r="B1251" s="1" t="s">
        <v>849</v>
      </c>
      <c r="C1251" s="1" t="s">
        <v>65</v>
      </c>
      <c r="D1251" s="1" t="s">
        <v>44</v>
      </c>
      <c r="E1251" s="1" t="s">
        <v>66</v>
      </c>
      <c r="F1251" s="1" t="s">
        <v>130</v>
      </c>
      <c r="G1251" s="1" t="s">
        <v>47</v>
      </c>
      <c r="H1251" s="1" t="s">
        <v>69</v>
      </c>
      <c r="I1251" s="1" t="s">
        <v>83</v>
      </c>
      <c r="J1251" s="1" t="s">
        <v>35</v>
      </c>
      <c r="K1251" s="1" t="s">
        <v>112</v>
      </c>
      <c r="L1251" s="1" t="s">
        <v>136</v>
      </c>
      <c r="M1251" s="1" t="s">
        <v>50</v>
      </c>
      <c r="N1251" s="1" t="n">
        <v>12999</v>
      </c>
      <c r="O1251" s="1" t="n">
        <v>0</v>
      </c>
      <c r="P1251" s="1" t="n">
        <v>0</v>
      </c>
      <c r="Q1251" s="1" t="n">
        <v>12999</v>
      </c>
      <c r="R1251" s="1" t="n">
        <v>2339.82</v>
      </c>
      <c r="S1251" s="1" t="n">
        <v>10659.18</v>
      </c>
      <c r="T1251" s="1" t="n">
        <v>4845.3</v>
      </c>
      <c r="U1251" s="1" t="n">
        <v>5813.88</v>
      </c>
      <c r="V1251" s="1" t="n">
        <v>54.54</v>
      </c>
      <c r="W1251" s="1" t="s">
        <v>40</v>
      </c>
      <c r="Y1251" s="1" t="s">
        <v>40</v>
      </c>
      <c r="Z1251" s="1" t="n">
        <v>1</v>
      </c>
    </row>
    <row r="1252" customFormat="false" ht="15" hidden="false" customHeight="true" outlineLevel="0" collapsed="false">
      <c r="A1252" s="1" t="s">
        <v>2030</v>
      </c>
      <c r="B1252" s="1" t="s">
        <v>1619</v>
      </c>
      <c r="C1252" s="1" t="s">
        <v>167</v>
      </c>
      <c r="D1252" s="1" t="s">
        <v>123</v>
      </c>
      <c r="E1252" s="1" t="s">
        <v>147</v>
      </c>
      <c r="F1252" s="1" t="s">
        <v>244</v>
      </c>
      <c r="G1252" s="1" t="s">
        <v>97</v>
      </c>
      <c r="H1252" s="1" t="s">
        <v>57</v>
      </c>
      <c r="I1252" s="1" t="s">
        <v>58</v>
      </c>
      <c r="J1252" s="1" t="s">
        <v>70</v>
      </c>
      <c r="K1252" s="1" t="s">
        <v>48</v>
      </c>
      <c r="L1252" s="1" t="s">
        <v>85</v>
      </c>
      <c r="M1252" s="1" t="s">
        <v>62</v>
      </c>
      <c r="N1252" s="1" t="n">
        <v>6999</v>
      </c>
      <c r="O1252" s="1" t="n">
        <v>5</v>
      </c>
      <c r="P1252" s="1" t="n">
        <v>349.95</v>
      </c>
      <c r="Q1252" s="1" t="n">
        <v>6649.05</v>
      </c>
      <c r="R1252" s="1" t="n">
        <v>1196.83</v>
      </c>
      <c r="S1252" s="1" t="n">
        <v>5452.22</v>
      </c>
      <c r="T1252" s="1" t="n">
        <v>2378.58</v>
      </c>
      <c r="U1252" s="1" t="n">
        <v>3073.64</v>
      </c>
      <c r="V1252" s="1" t="n">
        <v>56.37</v>
      </c>
      <c r="W1252" s="1" t="s">
        <v>39</v>
      </c>
      <c r="X1252" s="1" t="n">
        <v>2.7</v>
      </c>
      <c r="Y1252" s="1" t="s">
        <v>40</v>
      </c>
      <c r="Z1252" s="1" t="n">
        <v>0</v>
      </c>
    </row>
    <row r="1253" customFormat="false" ht="15" hidden="false" customHeight="true" outlineLevel="0" collapsed="false">
      <c r="A1253" s="1" t="s">
        <v>2031</v>
      </c>
      <c r="B1253" s="1" t="s">
        <v>1488</v>
      </c>
      <c r="C1253" s="1" t="s">
        <v>139</v>
      </c>
      <c r="D1253" s="1" t="s">
        <v>94</v>
      </c>
      <c r="E1253" s="1" t="s">
        <v>101</v>
      </c>
      <c r="F1253" s="1" t="s">
        <v>125</v>
      </c>
      <c r="G1253" s="1" t="s">
        <v>108</v>
      </c>
      <c r="H1253" s="1" t="s">
        <v>69</v>
      </c>
      <c r="I1253" s="1" t="s">
        <v>83</v>
      </c>
      <c r="J1253" s="1" t="s">
        <v>59</v>
      </c>
      <c r="K1253" s="1" t="s">
        <v>71</v>
      </c>
      <c r="L1253" s="1" t="s">
        <v>37</v>
      </c>
      <c r="M1253" s="1" t="s">
        <v>62</v>
      </c>
      <c r="N1253" s="1" t="n">
        <v>14999</v>
      </c>
      <c r="O1253" s="1" t="n">
        <v>15</v>
      </c>
      <c r="P1253" s="1" t="n">
        <v>2249.85</v>
      </c>
      <c r="Q1253" s="1" t="n">
        <v>12749.15</v>
      </c>
      <c r="R1253" s="1" t="n">
        <v>2294.85</v>
      </c>
      <c r="S1253" s="1" t="n">
        <v>10454.3</v>
      </c>
      <c r="T1253" s="1" t="n">
        <v>3599.14</v>
      </c>
      <c r="U1253" s="1" t="n">
        <v>6855.16</v>
      </c>
      <c r="V1253" s="1" t="n">
        <v>65.57</v>
      </c>
      <c r="W1253" s="1" t="s">
        <v>40</v>
      </c>
      <c r="Y1253" s="1" t="s">
        <v>40</v>
      </c>
      <c r="Z1253" s="1" t="n">
        <v>0</v>
      </c>
    </row>
    <row r="1254" customFormat="false" ht="15" hidden="false" customHeight="true" outlineLevel="0" collapsed="false">
      <c r="A1254" s="1" t="s">
        <v>2032</v>
      </c>
      <c r="B1254" s="1" t="s">
        <v>2033</v>
      </c>
      <c r="C1254" s="1" t="s">
        <v>264</v>
      </c>
      <c r="D1254" s="1" t="s">
        <v>94</v>
      </c>
      <c r="E1254" s="1" t="s">
        <v>95</v>
      </c>
      <c r="F1254" s="1" t="s">
        <v>140</v>
      </c>
      <c r="G1254" s="1" t="s">
        <v>97</v>
      </c>
      <c r="H1254" s="1" t="s">
        <v>57</v>
      </c>
      <c r="I1254" s="1" t="s">
        <v>83</v>
      </c>
      <c r="J1254" s="1" t="s">
        <v>59</v>
      </c>
      <c r="K1254" s="1" t="s">
        <v>104</v>
      </c>
      <c r="L1254" s="1" t="s">
        <v>49</v>
      </c>
      <c r="M1254" s="1" t="s">
        <v>62</v>
      </c>
      <c r="N1254" s="1" t="n">
        <v>6999</v>
      </c>
      <c r="O1254" s="1" t="n">
        <v>40</v>
      </c>
      <c r="P1254" s="1" t="n">
        <v>2799.6</v>
      </c>
      <c r="Q1254" s="1" t="n">
        <v>4199.4</v>
      </c>
      <c r="R1254" s="1" t="n">
        <v>755.89</v>
      </c>
      <c r="S1254" s="1" t="n">
        <v>3443.51</v>
      </c>
      <c r="T1254" s="1" t="n">
        <v>2158.42</v>
      </c>
      <c r="U1254" s="1" t="n">
        <v>1285.09</v>
      </c>
      <c r="V1254" s="1" t="n">
        <v>37.32</v>
      </c>
      <c r="W1254" s="1" t="s">
        <v>39</v>
      </c>
      <c r="X1254" s="1" t="n">
        <v>3.4</v>
      </c>
      <c r="Y1254" s="1" t="s">
        <v>40</v>
      </c>
      <c r="Z1254" s="1" t="n">
        <v>1</v>
      </c>
    </row>
    <row r="1255" customFormat="false" ht="15" hidden="false" customHeight="true" outlineLevel="0" collapsed="false">
      <c r="A1255" s="1" t="s">
        <v>2034</v>
      </c>
      <c r="B1255" s="1" t="s">
        <v>618</v>
      </c>
      <c r="C1255" s="1" t="s">
        <v>28</v>
      </c>
      <c r="D1255" s="1" t="s">
        <v>94</v>
      </c>
      <c r="E1255" s="1" t="s">
        <v>135</v>
      </c>
      <c r="F1255" s="1" t="s">
        <v>120</v>
      </c>
      <c r="G1255" s="1" t="s">
        <v>47</v>
      </c>
      <c r="H1255" s="1" t="s">
        <v>57</v>
      </c>
      <c r="I1255" s="1" t="s">
        <v>34</v>
      </c>
      <c r="J1255" s="1" t="s">
        <v>77</v>
      </c>
      <c r="K1255" s="1" t="s">
        <v>71</v>
      </c>
      <c r="L1255" s="1" t="s">
        <v>85</v>
      </c>
      <c r="M1255" s="1" t="s">
        <v>50</v>
      </c>
      <c r="N1255" s="1" t="n">
        <v>9999</v>
      </c>
      <c r="O1255" s="1" t="n">
        <v>15</v>
      </c>
      <c r="P1255" s="1" t="n">
        <v>1499.85</v>
      </c>
      <c r="Q1255" s="1" t="n">
        <v>8499.15</v>
      </c>
      <c r="R1255" s="1" t="n">
        <v>1529.85</v>
      </c>
      <c r="S1255" s="1" t="n">
        <v>6969.3</v>
      </c>
      <c r="T1255" s="1" t="n">
        <v>3374.77</v>
      </c>
      <c r="U1255" s="1" t="n">
        <v>3594.53</v>
      </c>
      <c r="V1255" s="1" t="n">
        <v>51.58</v>
      </c>
      <c r="W1255" s="1" t="s">
        <v>39</v>
      </c>
      <c r="X1255" s="1" t="n">
        <v>4.1</v>
      </c>
      <c r="Y1255" s="1" t="s">
        <v>40</v>
      </c>
      <c r="Z1255" s="1" t="n">
        <v>0</v>
      </c>
    </row>
    <row r="1256" customFormat="false" ht="15" hidden="false" customHeight="true" outlineLevel="0" collapsed="false">
      <c r="A1256" s="1" t="s">
        <v>2035</v>
      </c>
      <c r="B1256" s="1" t="s">
        <v>1963</v>
      </c>
      <c r="C1256" s="1" t="s">
        <v>74</v>
      </c>
      <c r="D1256" s="1" t="s">
        <v>168</v>
      </c>
      <c r="E1256" s="1" t="s">
        <v>197</v>
      </c>
      <c r="F1256" s="1" t="s">
        <v>107</v>
      </c>
      <c r="G1256" s="1" t="s">
        <v>108</v>
      </c>
      <c r="H1256" s="1" t="s">
        <v>33</v>
      </c>
      <c r="I1256" s="1" t="s">
        <v>58</v>
      </c>
      <c r="J1256" s="1" t="s">
        <v>131</v>
      </c>
      <c r="K1256" s="1" t="s">
        <v>112</v>
      </c>
      <c r="L1256" s="1" t="s">
        <v>136</v>
      </c>
      <c r="M1256" s="1" t="s">
        <v>62</v>
      </c>
      <c r="N1256" s="1" t="n">
        <v>8499</v>
      </c>
      <c r="O1256" s="1" t="n">
        <v>30</v>
      </c>
      <c r="P1256" s="1" t="n">
        <v>2549.7</v>
      </c>
      <c r="Q1256" s="1" t="n">
        <v>5949.3</v>
      </c>
      <c r="R1256" s="1" t="n">
        <v>1070.87</v>
      </c>
      <c r="S1256" s="1" t="n">
        <v>4878.43</v>
      </c>
      <c r="T1256" s="1" t="n">
        <v>1822.75</v>
      </c>
      <c r="U1256" s="1" t="n">
        <v>3055.68</v>
      </c>
      <c r="V1256" s="1" t="n">
        <v>62.64</v>
      </c>
      <c r="W1256" s="1" t="s">
        <v>39</v>
      </c>
      <c r="X1256" s="1" t="n">
        <v>3.4</v>
      </c>
      <c r="Y1256" s="1" t="s">
        <v>40</v>
      </c>
      <c r="Z1256" s="1" t="n">
        <v>0</v>
      </c>
    </row>
    <row r="1257" customFormat="false" ht="15" hidden="false" customHeight="true" outlineLevel="0" collapsed="false">
      <c r="A1257" s="1" t="s">
        <v>2036</v>
      </c>
      <c r="B1257" s="1" t="s">
        <v>1688</v>
      </c>
      <c r="C1257" s="1" t="s">
        <v>93</v>
      </c>
      <c r="D1257" s="1" t="s">
        <v>143</v>
      </c>
      <c r="E1257" s="1" t="s">
        <v>210</v>
      </c>
      <c r="F1257" s="1" t="s">
        <v>67</v>
      </c>
      <c r="G1257" s="1" t="s">
        <v>68</v>
      </c>
      <c r="H1257" s="1" t="s">
        <v>69</v>
      </c>
      <c r="I1257" s="1" t="s">
        <v>34</v>
      </c>
      <c r="J1257" s="1" t="s">
        <v>59</v>
      </c>
      <c r="K1257" s="1" t="s">
        <v>71</v>
      </c>
      <c r="L1257" s="1" t="s">
        <v>61</v>
      </c>
      <c r="M1257" s="1" t="s">
        <v>38</v>
      </c>
      <c r="N1257" s="1" t="n">
        <v>18999</v>
      </c>
      <c r="O1257" s="1" t="n">
        <v>20</v>
      </c>
      <c r="P1257" s="1" t="n">
        <v>3799.8</v>
      </c>
      <c r="Q1257" s="1" t="n">
        <v>15199.2</v>
      </c>
      <c r="R1257" s="1" t="n">
        <v>2735.86</v>
      </c>
      <c r="S1257" s="1" t="n">
        <v>12463.34</v>
      </c>
      <c r="T1257" s="1" t="n">
        <v>4834.09</v>
      </c>
      <c r="U1257" s="1" t="n">
        <v>7629.25</v>
      </c>
      <c r="V1257" s="1" t="n">
        <v>61.21</v>
      </c>
      <c r="W1257" s="1" t="s">
        <v>40</v>
      </c>
      <c r="Y1257" s="1" t="s">
        <v>40</v>
      </c>
      <c r="Z1257" s="1" t="n">
        <v>0</v>
      </c>
    </row>
    <row r="1258" customFormat="false" ht="15" hidden="false" customHeight="true" outlineLevel="0" collapsed="false">
      <c r="A1258" s="1" t="s">
        <v>2037</v>
      </c>
      <c r="B1258" s="1" t="s">
        <v>419</v>
      </c>
      <c r="C1258" s="1" t="s">
        <v>139</v>
      </c>
      <c r="D1258" s="1" t="s">
        <v>44</v>
      </c>
      <c r="E1258" s="1" t="s">
        <v>66</v>
      </c>
      <c r="F1258" s="1" t="s">
        <v>244</v>
      </c>
      <c r="G1258" s="1" t="s">
        <v>97</v>
      </c>
      <c r="H1258" s="1" t="s">
        <v>57</v>
      </c>
      <c r="I1258" s="1" t="s">
        <v>34</v>
      </c>
      <c r="J1258" s="1" t="s">
        <v>77</v>
      </c>
      <c r="K1258" s="1" t="s">
        <v>36</v>
      </c>
      <c r="L1258" s="1" t="s">
        <v>37</v>
      </c>
      <c r="M1258" s="1" t="s">
        <v>38</v>
      </c>
      <c r="N1258" s="1" t="n">
        <v>12999</v>
      </c>
      <c r="O1258" s="1" t="n">
        <v>25</v>
      </c>
      <c r="P1258" s="1" t="n">
        <v>3249.75</v>
      </c>
      <c r="Q1258" s="1" t="n">
        <v>9749.25</v>
      </c>
      <c r="R1258" s="1" t="n">
        <v>1754.87</v>
      </c>
      <c r="S1258" s="1" t="n">
        <v>7994.38</v>
      </c>
      <c r="T1258" s="1" t="n">
        <v>3844.45</v>
      </c>
      <c r="U1258" s="1" t="n">
        <v>4149.93</v>
      </c>
      <c r="V1258" s="1" t="n">
        <v>51.91</v>
      </c>
      <c r="W1258" s="1" t="s">
        <v>40</v>
      </c>
      <c r="Y1258" s="1" t="s">
        <v>40</v>
      </c>
      <c r="Z1258" s="1" t="n">
        <v>0</v>
      </c>
    </row>
    <row r="1259" customFormat="false" ht="15" hidden="false" customHeight="true" outlineLevel="0" collapsed="false">
      <c r="A1259" s="1" t="s">
        <v>2038</v>
      </c>
      <c r="B1259" s="1" t="s">
        <v>1580</v>
      </c>
      <c r="C1259" s="1" t="s">
        <v>65</v>
      </c>
      <c r="D1259" s="1" t="s">
        <v>44</v>
      </c>
      <c r="E1259" s="1" t="s">
        <v>221</v>
      </c>
      <c r="F1259" s="1" t="s">
        <v>46</v>
      </c>
      <c r="G1259" s="1" t="s">
        <v>47</v>
      </c>
      <c r="H1259" s="1" t="s">
        <v>33</v>
      </c>
      <c r="I1259" s="1" t="s">
        <v>58</v>
      </c>
      <c r="J1259" s="1" t="s">
        <v>77</v>
      </c>
      <c r="K1259" s="1" t="s">
        <v>104</v>
      </c>
      <c r="L1259" s="1" t="s">
        <v>37</v>
      </c>
      <c r="M1259" s="1" t="s">
        <v>62</v>
      </c>
      <c r="N1259" s="1" t="n">
        <v>16999</v>
      </c>
      <c r="O1259" s="1" t="n">
        <v>0</v>
      </c>
      <c r="P1259" s="1" t="n">
        <v>0</v>
      </c>
      <c r="Q1259" s="1" t="n">
        <v>16999</v>
      </c>
      <c r="R1259" s="1" t="n">
        <v>3059.82</v>
      </c>
      <c r="S1259" s="1" t="n">
        <v>13939.18</v>
      </c>
      <c r="T1259" s="1" t="n">
        <v>6520.48</v>
      </c>
      <c r="U1259" s="1" t="n">
        <v>7418.7</v>
      </c>
      <c r="V1259" s="1" t="n">
        <v>53.22</v>
      </c>
      <c r="W1259" s="1" t="s">
        <v>39</v>
      </c>
      <c r="X1259" s="1" t="n">
        <v>3.6</v>
      </c>
      <c r="Y1259" s="1" t="s">
        <v>40</v>
      </c>
      <c r="Z1259" s="1" t="n">
        <v>0</v>
      </c>
    </row>
    <row r="1260" customFormat="false" ht="15" hidden="false" customHeight="true" outlineLevel="0" collapsed="false">
      <c r="A1260" s="1" t="s">
        <v>2039</v>
      </c>
      <c r="B1260" s="1" t="s">
        <v>774</v>
      </c>
      <c r="C1260" s="1" t="s">
        <v>65</v>
      </c>
      <c r="D1260" s="1" t="s">
        <v>53</v>
      </c>
      <c r="E1260" s="1" t="s">
        <v>116</v>
      </c>
      <c r="F1260" s="1" t="s">
        <v>150</v>
      </c>
      <c r="G1260" s="1" t="s">
        <v>32</v>
      </c>
      <c r="H1260" s="1" t="s">
        <v>57</v>
      </c>
      <c r="I1260" s="1" t="s">
        <v>58</v>
      </c>
      <c r="J1260" s="1" t="s">
        <v>70</v>
      </c>
      <c r="K1260" s="1" t="s">
        <v>71</v>
      </c>
      <c r="L1260" s="1" t="s">
        <v>113</v>
      </c>
      <c r="M1260" s="1" t="s">
        <v>62</v>
      </c>
      <c r="N1260" s="1" t="n">
        <v>9999</v>
      </c>
      <c r="O1260" s="1" t="n">
        <v>20</v>
      </c>
      <c r="P1260" s="1" t="n">
        <v>1999.8</v>
      </c>
      <c r="Q1260" s="1" t="n">
        <v>7999.2</v>
      </c>
      <c r="R1260" s="1" t="n">
        <v>1439.86</v>
      </c>
      <c r="S1260" s="1" t="n">
        <v>6559.34</v>
      </c>
      <c r="T1260" s="1" t="n">
        <v>2648.64</v>
      </c>
      <c r="U1260" s="1" t="n">
        <v>3910.7</v>
      </c>
      <c r="V1260" s="1" t="n">
        <v>59.62</v>
      </c>
      <c r="W1260" s="1" t="s">
        <v>39</v>
      </c>
      <c r="X1260" s="1" t="n">
        <v>3.7</v>
      </c>
      <c r="Y1260" s="1" t="s">
        <v>40</v>
      </c>
      <c r="Z1260" s="1" t="n">
        <v>0</v>
      </c>
    </row>
    <row r="1261" customFormat="false" ht="15" hidden="false" customHeight="true" outlineLevel="0" collapsed="false">
      <c r="A1261" s="1" t="s">
        <v>2040</v>
      </c>
      <c r="B1261" s="1" t="s">
        <v>2041</v>
      </c>
      <c r="C1261" s="1" t="s">
        <v>93</v>
      </c>
      <c r="D1261" s="1" t="s">
        <v>53</v>
      </c>
      <c r="E1261" s="1" t="s">
        <v>216</v>
      </c>
      <c r="F1261" s="1" t="s">
        <v>102</v>
      </c>
      <c r="G1261" s="1" t="s">
        <v>103</v>
      </c>
      <c r="H1261" s="1" t="s">
        <v>33</v>
      </c>
      <c r="I1261" s="1" t="s">
        <v>58</v>
      </c>
      <c r="J1261" s="1" t="s">
        <v>70</v>
      </c>
      <c r="K1261" s="1" t="s">
        <v>112</v>
      </c>
      <c r="L1261" s="1" t="s">
        <v>85</v>
      </c>
      <c r="M1261" s="1" t="s">
        <v>62</v>
      </c>
      <c r="N1261" s="1" t="n">
        <v>7499</v>
      </c>
      <c r="O1261" s="1" t="n">
        <v>40</v>
      </c>
      <c r="P1261" s="1" t="n">
        <v>2999.6</v>
      </c>
      <c r="Q1261" s="1" t="n">
        <v>4499.4</v>
      </c>
      <c r="R1261" s="1" t="n">
        <v>809.89</v>
      </c>
      <c r="S1261" s="1" t="n">
        <v>3689.51</v>
      </c>
      <c r="T1261" s="1" t="n">
        <v>2296.69</v>
      </c>
      <c r="U1261" s="1" t="n">
        <v>1392.82</v>
      </c>
      <c r="V1261" s="1" t="n">
        <v>37.75</v>
      </c>
      <c r="W1261" s="1" t="s">
        <v>40</v>
      </c>
      <c r="Y1261" s="1" t="s">
        <v>40</v>
      </c>
      <c r="Z1261" s="1" t="n">
        <v>0</v>
      </c>
    </row>
    <row r="1262" customFormat="false" ht="15" hidden="false" customHeight="true" outlineLevel="0" collapsed="false">
      <c r="A1262" s="1" t="s">
        <v>2042</v>
      </c>
      <c r="B1262" s="1" t="s">
        <v>994</v>
      </c>
      <c r="C1262" s="1" t="s">
        <v>128</v>
      </c>
      <c r="D1262" s="1" t="s">
        <v>29</v>
      </c>
      <c r="E1262" s="1" t="s">
        <v>182</v>
      </c>
      <c r="F1262" s="1" t="s">
        <v>130</v>
      </c>
      <c r="G1262" s="1" t="s">
        <v>47</v>
      </c>
      <c r="H1262" s="1" t="s">
        <v>69</v>
      </c>
      <c r="I1262" s="1" t="s">
        <v>83</v>
      </c>
      <c r="J1262" s="1" t="s">
        <v>59</v>
      </c>
      <c r="K1262" s="1" t="s">
        <v>90</v>
      </c>
      <c r="L1262" s="1" t="s">
        <v>49</v>
      </c>
      <c r="M1262" s="1" t="s">
        <v>50</v>
      </c>
      <c r="N1262" s="1" t="n">
        <v>34999</v>
      </c>
      <c r="O1262" s="1" t="n">
        <v>5</v>
      </c>
      <c r="P1262" s="1" t="n">
        <v>1749.95</v>
      </c>
      <c r="Q1262" s="1" t="n">
        <v>33249.05</v>
      </c>
      <c r="R1262" s="1" t="n">
        <v>5984.83</v>
      </c>
      <c r="S1262" s="1" t="n">
        <v>27264.22</v>
      </c>
      <c r="T1262" s="1" t="n">
        <v>10303.22</v>
      </c>
      <c r="U1262" s="1" t="n">
        <v>16961</v>
      </c>
      <c r="V1262" s="1" t="n">
        <v>62.21</v>
      </c>
      <c r="W1262" s="1" t="s">
        <v>39</v>
      </c>
      <c r="Y1262" s="1" t="s">
        <v>40</v>
      </c>
      <c r="Z1262" s="1" t="n">
        <v>0</v>
      </c>
    </row>
    <row r="1263" customFormat="false" ht="15" hidden="false" customHeight="true" outlineLevel="0" collapsed="false">
      <c r="A1263" s="1" t="s">
        <v>2043</v>
      </c>
      <c r="B1263" s="1" t="s">
        <v>1210</v>
      </c>
      <c r="C1263" s="1" t="s">
        <v>100</v>
      </c>
      <c r="D1263" s="1" t="s">
        <v>80</v>
      </c>
      <c r="E1263" s="1" t="s">
        <v>193</v>
      </c>
      <c r="F1263" s="1" t="s">
        <v>82</v>
      </c>
      <c r="G1263" s="1" t="s">
        <v>56</v>
      </c>
      <c r="H1263" s="1" t="s">
        <v>69</v>
      </c>
      <c r="I1263" s="1" t="s">
        <v>58</v>
      </c>
      <c r="J1263" s="1" t="s">
        <v>35</v>
      </c>
      <c r="K1263" s="1" t="s">
        <v>36</v>
      </c>
      <c r="L1263" s="1" t="s">
        <v>85</v>
      </c>
      <c r="M1263" s="1" t="s">
        <v>38</v>
      </c>
      <c r="N1263" s="1" t="n">
        <v>8999</v>
      </c>
      <c r="O1263" s="1" t="n">
        <v>0</v>
      </c>
      <c r="P1263" s="1" t="n">
        <v>0</v>
      </c>
      <c r="Q1263" s="1" t="n">
        <v>8999</v>
      </c>
      <c r="R1263" s="1" t="n">
        <v>1619.82</v>
      </c>
      <c r="S1263" s="1" t="n">
        <v>7379.18</v>
      </c>
      <c r="T1263" s="1" t="n">
        <v>2622.85</v>
      </c>
      <c r="U1263" s="1" t="n">
        <v>4756.33</v>
      </c>
      <c r="V1263" s="1" t="n">
        <v>64.46</v>
      </c>
      <c r="W1263" s="1" t="s">
        <v>39</v>
      </c>
      <c r="X1263" s="1" t="n">
        <v>4.2</v>
      </c>
      <c r="Y1263" s="1" t="s">
        <v>40</v>
      </c>
      <c r="Z1263" s="1" t="n">
        <v>0</v>
      </c>
    </row>
    <row r="1264" customFormat="false" ht="15" hidden="false" customHeight="true" outlineLevel="0" collapsed="false">
      <c r="A1264" s="1" t="s">
        <v>2044</v>
      </c>
      <c r="B1264" s="1" t="s">
        <v>753</v>
      </c>
      <c r="C1264" s="1" t="s">
        <v>249</v>
      </c>
      <c r="D1264" s="1" t="s">
        <v>80</v>
      </c>
      <c r="E1264" s="1" t="s">
        <v>81</v>
      </c>
      <c r="F1264" s="1" t="s">
        <v>107</v>
      </c>
      <c r="G1264" s="1" t="s">
        <v>108</v>
      </c>
      <c r="H1264" s="1" t="s">
        <v>33</v>
      </c>
      <c r="I1264" s="1" t="s">
        <v>83</v>
      </c>
      <c r="J1264" s="1" t="s">
        <v>131</v>
      </c>
      <c r="K1264" s="1" t="s">
        <v>60</v>
      </c>
      <c r="L1264" s="1" t="s">
        <v>136</v>
      </c>
      <c r="M1264" s="1" t="s">
        <v>38</v>
      </c>
      <c r="N1264" s="1" t="n">
        <v>12999</v>
      </c>
      <c r="O1264" s="1" t="n">
        <v>30</v>
      </c>
      <c r="P1264" s="1" t="n">
        <v>3899.7</v>
      </c>
      <c r="Q1264" s="1" t="n">
        <v>9099.3</v>
      </c>
      <c r="R1264" s="1" t="n">
        <v>1637.87</v>
      </c>
      <c r="S1264" s="1" t="n">
        <v>7461.43</v>
      </c>
      <c r="T1264" s="1" t="n">
        <v>3426.4</v>
      </c>
      <c r="U1264" s="1" t="n">
        <v>4035.03</v>
      </c>
      <c r="V1264" s="1" t="n">
        <v>54.08</v>
      </c>
      <c r="W1264" s="1" t="s">
        <v>40</v>
      </c>
      <c r="Y1264" s="1" t="s">
        <v>40</v>
      </c>
      <c r="Z1264" s="1" t="n">
        <v>1</v>
      </c>
    </row>
    <row r="1265" customFormat="false" ht="15" hidden="false" customHeight="true" outlineLevel="0" collapsed="false">
      <c r="A1265" s="1" t="s">
        <v>2045</v>
      </c>
      <c r="B1265" s="1" t="s">
        <v>485</v>
      </c>
      <c r="C1265" s="1" t="s">
        <v>88</v>
      </c>
      <c r="D1265" s="1" t="s">
        <v>94</v>
      </c>
      <c r="E1265" s="1" t="s">
        <v>101</v>
      </c>
      <c r="F1265" s="1" t="s">
        <v>67</v>
      </c>
      <c r="G1265" s="1" t="s">
        <v>68</v>
      </c>
      <c r="H1265" s="1" t="s">
        <v>69</v>
      </c>
      <c r="I1265" s="1" t="s">
        <v>58</v>
      </c>
      <c r="J1265" s="1" t="s">
        <v>59</v>
      </c>
      <c r="K1265" s="1" t="s">
        <v>71</v>
      </c>
      <c r="L1265" s="1" t="s">
        <v>113</v>
      </c>
      <c r="M1265" s="1" t="s">
        <v>50</v>
      </c>
      <c r="N1265" s="1" t="n">
        <v>14999</v>
      </c>
      <c r="O1265" s="1" t="n">
        <v>0</v>
      </c>
      <c r="P1265" s="1" t="n">
        <v>0</v>
      </c>
      <c r="Q1265" s="1" t="n">
        <v>14999</v>
      </c>
      <c r="R1265" s="1" t="n">
        <v>2699.82</v>
      </c>
      <c r="S1265" s="1" t="n">
        <v>12299.18</v>
      </c>
      <c r="T1265" s="1" t="n">
        <v>4589.04</v>
      </c>
      <c r="U1265" s="1" t="n">
        <v>7710.14</v>
      </c>
      <c r="V1265" s="1" t="n">
        <v>62.69</v>
      </c>
      <c r="W1265" s="1" t="s">
        <v>40</v>
      </c>
      <c r="Y1265" s="1" t="s">
        <v>40</v>
      </c>
      <c r="Z1265" s="1" t="n">
        <v>1</v>
      </c>
    </row>
    <row r="1266" customFormat="false" ht="15" hidden="false" customHeight="true" outlineLevel="0" collapsed="false">
      <c r="A1266" s="1" t="s">
        <v>2046</v>
      </c>
      <c r="B1266" s="1" t="s">
        <v>1394</v>
      </c>
      <c r="C1266" s="1" t="s">
        <v>264</v>
      </c>
      <c r="D1266" s="1" t="s">
        <v>168</v>
      </c>
      <c r="E1266" s="1" t="s">
        <v>169</v>
      </c>
      <c r="F1266" s="1" t="s">
        <v>244</v>
      </c>
      <c r="G1266" s="1" t="s">
        <v>97</v>
      </c>
      <c r="H1266" s="1" t="s">
        <v>57</v>
      </c>
      <c r="I1266" s="1" t="s">
        <v>58</v>
      </c>
      <c r="J1266" s="1" t="s">
        <v>35</v>
      </c>
      <c r="K1266" s="1" t="s">
        <v>60</v>
      </c>
      <c r="L1266" s="1" t="s">
        <v>61</v>
      </c>
      <c r="M1266" s="1" t="s">
        <v>38</v>
      </c>
      <c r="N1266" s="1" t="n">
        <v>4999</v>
      </c>
      <c r="O1266" s="1" t="n">
        <v>30</v>
      </c>
      <c r="P1266" s="1" t="n">
        <v>1499.7</v>
      </c>
      <c r="Q1266" s="1" t="n">
        <v>3499.3</v>
      </c>
      <c r="R1266" s="1" t="n">
        <v>629.87</v>
      </c>
      <c r="S1266" s="1" t="n">
        <v>2869.43</v>
      </c>
      <c r="T1266" s="1" t="n">
        <v>1510.99</v>
      </c>
      <c r="U1266" s="1" t="n">
        <v>1358.44</v>
      </c>
      <c r="V1266" s="1" t="n">
        <v>47.34</v>
      </c>
      <c r="W1266" s="1" t="s">
        <v>40</v>
      </c>
      <c r="Y1266" s="1" t="s">
        <v>40</v>
      </c>
      <c r="Z1266" s="1" t="n">
        <v>2</v>
      </c>
    </row>
    <row r="1267" customFormat="false" ht="15" hidden="false" customHeight="true" outlineLevel="0" collapsed="false">
      <c r="A1267" s="1" t="s">
        <v>2047</v>
      </c>
      <c r="B1267" s="1" t="s">
        <v>110</v>
      </c>
      <c r="C1267" s="1" t="s">
        <v>88</v>
      </c>
      <c r="D1267" s="1" t="s">
        <v>80</v>
      </c>
      <c r="E1267" s="1" t="s">
        <v>175</v>
      </c>
      <c r="F1267" s="1" t="s">
        <v>75</v>
      </c>
      <c r="G1267" s="1" t="s">
        <v>76</v>
      </c>
      <c r="H1267" s="1" t="s">
        <v>69</v>
      </c>
      <c r="I1267" s="1" t="s">
        <v>83</v>
      </c>
      <c r="J1267" s="1" t="s">
        <v>131</v>
      </c>
      <c r="K1267" s="1" t="s">
        <v>84</v>
      </c>
      <c r="L1267" s="1" t="s">
        <v>61</v>
      </c>
      <c r="M1267" s="1" t="s">
        <v>50</v>
      </c>
      <c r="N1267" s="1" t="n">
        <v>19999</v>
      </c>
      <c r="O1267" s="1" t="n">
        <v>0</v>
      </c>
      <c r="P1267" s="1" t="n">
        <v>0</v>
      </c>
      <c r="Q1267" s="1" t="n">
        <v>19999</v>
      </c>
      <c r="R1267" s="1" t="n">
        <v>3599.82</v>
      </c>
      <c r="S1267" s="1" t="n">
        <v>16399.18</v>
      </c>
      <c r="T1267" s="1" t="n">
        <v>7543.05</v>
      </c>
      <c r="U1267" s="1" t="n">
        <v>8856.13</v>
      </c>
      <c r="V1267" s="1" t="n">
        <v>54</v>
      </c>
      <c r="W1267" s="1" t="s">
        <v>39</v>
      </c>
      <c r="X1267" s="1" t="n">
        <v>4</v>
      </c>
      <c r="Y1267" s="1" t="s">
        <v>40</v>
      </c>
      <c r="Z1267" s="1" t="n">
        <v>0</v>
      </c>
    </row>
    <row r="1268" customFormat="false" ht="15" hidden="false" customHeight="true" outlineLevel="0" collapsed="false">
      <c r="A1268" s="1" t="s">
        <v>2048</v>
      </c>
      <c r="B1268" s="1" t="s">
        <v>2049</v>
      </c>
      <c r="C1268" s="1" t="s">
        <v>28</v>
      </c>
      <c r="D1268" s="1" t="s">
        <v>94</v>
      </c>
      <c r="E1268" s="1" t="s">
        <v>95</v>
      </c>
      <c r="F1268" s="1" t="s">
        <v>102</v>
      </c>
      <c r="G1268" s="1" t="s">
        <v>103</v>
      </c>
      <c r="H1268" s="1" t="s">
        <v>33</v>
      </c>
      <c r="I1268" s="1" t="s">
        <v>58</v>
      </c>
      <c r="J1268" s="1" t="s">
        <v>59</v>
      </c>
      <c r="K1268" s="1" t="s">
        <v>104</v>
      </c>
      <c r="L1268" s="1" t="s">
        <v>113</v>
      </c>
      <c r="M1268" s="1" t="s">
        <v>50</v>
      </c>
      <c r="N1268" s="1" t="n">
        <v>6999</v>
      </c>
      <c r="O1268" s="1" t="n">
        <v>25</v>
      </c>
      <c r="P1268" s="1" t="n">
        <v>1749.75</v>
      </c>
      <c r="Q1268" s="1" t="n">
        <v>5249.25</v>
      </c>
      <c r="R1268" s="1" t="n">
        <v>944.87</v>
      </c>
      <c r="S1268" s="1" t="n">
        <v>4304.38</v>
      </c>
      <c r="T1268" s="1" t="n">
        <v>2130.71</v>
      </c>
      <c r="U1268" s="1" t="n">
        <v>2173.67</v>
      </c>
      <c r="V1268" s="1" t="n">
        <v>50.5</v>
      </c>
      <c r="W1268" s="1" t="s">
        <v>39</v>
      </c>
      <c r="X1268" s="1" t="n">
        <v>3.9</v>
      </c>
      <c r="Y1268" s="1" t="s">
        <v>40</v>
      </c>
      <c r="Z1268" s="1" t="n">
        <v>0</v>
      </c>
    </row>
    <row r="1269" customFormat="false" ht="15" hidden="false" customHeight="true" outlineLevel="0" collapsed="false">
      <c r="A1269" s="1" t="s">
        <v>2050</v>
      </c>
      <c r="B1269" s="1" t="s">
        <v>273</v>
      </c>
      <c r="C1269" s="1" t="s">
        <v>28</v>
      </c>
      <c r="D1269" s="1" t="s">
        <v>143</v>
      </c>
      <c r="E1269" s="1" t="s">
        <v>162</v>
      </c>
      <c r="F1269" s="1" t="s">
        <v>31</v>
      </c>
      <c r="G1269" s="1" t="s">
        <v>32</v>
      </c>
      <c r="H1269" s="1" t="s">
        <v>33</v>
      </c>
      <c r="I1269" s="1" t="s">
        <v>83</v>
      </c>
      <c r="J1269" s="1" t="s">
        <v>77</v>
      </c>
      <c r="K1269" s="1" t="s">
        <v>48</v>
      </c>
      <c r="L1269" s="1" t="s">
        <v>85</v>
      </c>
      <c r="M1269" s="1" t="s">
        <v>50</v>
      </c>
      <c r="N1269" s="1" t="n">
        <v>14999</v>
      </c>
      <c r="O1269" s="1" t="n">
        <v>40</v>
      </c>
      <c r="P1269" s="1" t="n">
        <v>5999.6</v>
      </c>
      <c r="Q1269" s="1" t="n">
        <v>8999.4</v>
      </c>
      <c r="R1269" s="1" t="n">
        <v>1619.89</v>
      </c>
      <c r="S1269" s="1" t="n">
        <v>7379.51</v>
      </c>
      <c r="T1269" s="1" t="n">
        <v>4729.07</v>
      </c>
      <c r="U1269" s="1" t="n">
        <v>2650.44</v>
      </c>
      <c r="V1269" s="1" t="n">
        <v>35.92</v>
      </c>
      <c r="W1269" s="1" t="s">
        <v>40</v>
      </c>
      <c r="Y1269" s="1" t="s">
        <v>40</v>
      </c>
      <c r="Z1269" s="1" t="n">
        <v>1</v>
      </c>
    </row>
    <row r="1270" customFormat="false" ht="15" hidden="false" customHeight="true" outlineLevel="0" collapsed="false">
      <c r="A1270" s="1" t="s">
        <v>2051</v>
      </c>
      <c r="B1270" s="1" t="s">
        <v>1596</v>
      </c>
      <c r="C1270" s="1" t="s">
        <v>134</v>
      </c>
      <c r="D1270" s="1" t="s">
        <v>44</v>
      </c>
      <c r="E1270" s="1" t="s">
        <v>66</v>
      </c>
      <c r="F1270" s="1" t="s">
        <v>89</v>
      </c>
      <c r="G1270" s="1" t="s">
        <v>68</v>
      </c>
      <c r="H1270" s="1" t="s">
        <v>33</v>
      </c>
      <c r="I1270" s="1" t="s">
        <v>83</v>
      </c>
      <c r="J1270" s="1" t="s">
        <v>70</v>
      </c>
      <c r="K1270" s="1" t="s">
        <v>104</v>
      </c>
      <c r="L1270" s="1" t="s">
        <v>113</v>
      </c>
      <c r="M1270" s="1" t="s">
        <v>38</v>
      </c>
      <c r="N1270" s="1" t="n">
        <v>12999</v>
      </c>
      <c r="O1270" s="1" t="n">
        <v>0</v>
      </c>
      <c r="P1270" s="1" t="n">
        <v>0</v>
      </c>
      <c r="Q1270" s="1" t="n">
        <v>12999</v>
      </c>
      <c r="R1270" s="1" t="n">
        <v>2339.82</v>
      </c>
      <c r="S1270" s="1" t="n">
        <v>10659.18</v>
      </c>
      <c r="T1270" s="1" t="n">
        <v>4762.45</v>
      </c>
      <c r="U1270" s="1" t="n">
        <v>5896.73</v>
      </c>
      <c r="V1270" s="1" t="n">
        <v>55.32</v>
      </c>
      <c r="W1270" s="1" t="s">
        <v>39</v>
      </c>
      <c r="X1270" s="1" t="n">
        <v>3.9</v>
      </c>
      <c r="Y1270" s="1" t="s">
        <v>40</v>
      </c>
      <c r="Z1270" s="1" t="n">
        <v>0</v>
      </c>
    </row>
    <row r="1271" customFormat="false" ht="15" hidden="false" customHeight="true" outlineLevel="0" collapsed="false">
      <c r="A1271" s="1" t="s">
        <v>2052</v>
      </c>
      <c r="B1271" s="1" t="s">
        <v>2053</v>
      </c>
      <c r="C1271" s="1" t="s">
        <v>167</v>
      </c>
      <c r="D1271" s="1" t="s">
        <v>123</v>
      </c>
      <c r="E1271" s="1" t="s">
        <v>147</v>
      </c>
      <c r="F1271" s="1" t="s">
        <v>211</v>
      </c>
      <c r="G1271" s="1" t="s">
        <v>56</v>
      </c>
      <c r="H1271" s="1" t="s">
        <v>69</v>
      </c>
      <c r="I1271" s="1" t="s">
        <v>83</v>
      </c>
      <c r="J1271" s="1" t="s">
        <v>77</v>
      </c>
      <c r="K1271" s="1" t="s">
        <v>48</v>
      </c>
      <c r="L1271" s="1" t="s">
        <v>37</v>
      </c>
      <c r="M1271" s="1" t="s">
        <v>50</v>
      </c>
      <c r="N1271" s="1" t="n">
        <v>6999</v>
      </c>
      <c r="O1271" s="1" t="n">
        <v>30</v>
      </c>
      <c r="P1271" s="1" t="n">
        <v>2099.7</v>
      </c>
      <c r="Q1271" s="1" t="n">
        <v>4899.3</v>
      </c>
      <c r="R1271" s="1" t="n">
        <v>881.87</v>
      </c>
      <c r="S1271" s="1" t="n">
        <v>4017.43</v>
      </c>
      <c r="T1271" s="1" t="n">
        <v>1358.08</v>
      </c>
      <c r="U1271" s="1" t="n">
        <v>2659.35</v>
      </c>
      <c r="V1271" s="1" t="n">
        <v>66.2</v>
      </c>
      <c r="W1271" s="1" t="s">
        <v>39</v>
      </c>
      <c r="X1271" s="1" t="n">
        <v>3.9</v>
      </c>
      <c r="Y1271" s="1" t="s">
        <v>40</v>
      </c>
      <c r="Z1271" s="1" t="n">
        <v>1</v>
      </c>
    </row>
    <row r="1272" customFormat="false" ht="15" hidden="false" customHeight="true" outlineLevel="0" collapsed="false">
      <c r="A1272" s="1" t="s">
        <v>2054</v>
      </c>
      <c r="B1272" s="1" t="s">
        <v>1931</v>
      </c>
      <c r="C1272" s="1" t="s">
        <v>249</v>
      </c>
      <c r="D1272" s="1" t="s">
        <v>44</v>
      </c>
      <c r="E1272" s="1" t="s">
        <v>66</v>
      </c>
      <c r="F1272" s="1" t="s">
        <v>55</v>
      </c>
      <c r="G1272" s="1" t="s">
        <v>56</v>
      </c>
      <c r="H1272" s="1" t="s">
        <v>57</v>
      </c>
      <c r="I1272" s="1" t="s">
        <v>58</v>
      </c>
      <c r="J1272" s="1" t="s">
        <v>77</v>
      </c>
      <c r="K1272" s="1" t="s">
        <v>60</v>
      </c>
      <c r="L1272" s="1" t="s">
        <v>61</v>
      </c>
      <c r="M1272" s="1" t="s">
        <v>38</v>
      </c>
      <c r="N1272" s="1" t="n">
        <v>12999</v>
      </c>
      <c r="O1272" s="1" t="n">
        <v>5</v>
      </c>
      <c r="P1272" s="1" t="n">
        <v>649.95</v>
      </c>
      <c r="Q1272" s="1" t="n">
        <v>12349.05</v>
      </c>
      <c r="R1272" s="1" t="n">
        <v>2222.83</v>
      </c>
      <c r="S1272" s="1" t="n">
        <v>10126.22</v>
      </c>
      <c r="T1272" s="1" t="n">
        <v>5146.18</v>
      </c>
      <c r="U1272" s="1" t="n">
        <v>4980.04</v>
      </c>
      <c r="V1272" s="1" t="n">
        <v>49.18</v>
      </c>
      <c r="W1272" s="1" t="s">
        <v>40</v>
      </c>
      <c r="Y1272" s="1" t="s">
        <v>40</v>
      </c>
      <c r="Z1272" s="1" t="n">
        <v>1</v>
      </c>
    </row>
    <row r="1273" customFormat="false" ht="15" hidden="false" customHeight="true" outlineLevel="0" collapsed="false">
      <c r="A1273" s="1" t="s">
        <v>2055</v>
      </c>
      <c r="B1273" s="1" t="s">
        <v>1963</v>
      </c>
      <c r="C1273" s="1" t="s">
        <v>93</v>
      </c>
      <c r="D1273" s="1" t="s">
        <v>143</v>
      </c>
      <c r="E1273" s="1" t="s">
        <v>144</v>
      </c>
      <c r="F1273" s="1" t="s">
        <v>130</v>
      </c>
      <c r="G1273" s="1" t="s">
        <v>47</v>
      </c>
      <c r="H1273" s="1" t="s">
        <v>69</v>
      </c>
      <c r="I1273" s="1" t="s">
        <v>83</v>
      </c>
      <c r="J1273" s="1" t="s">
        <v>77</v>
      </c>
      <c r="K1273" s="1" t="s">
        <v>104</v>
      </c>
      <c r="L1273" s="1" t="s">
        <v>136</v>
      </c>
      <c r="M1273" s="1" t="s">
        <v>38</v>
      </c>
      <c r="N1273" s="1" t="n">
        <v>12999</v>
      </c>
      <c r="O1273" s="1" t="n">
        <v>30</v>
      </c>
      <c r="P1273" s="1" t="n">
        <v>3899.7</v>
      </c>
      <c r="Q1273" s="1" t="n">
        <v>9099.3</v>
      </c>
      <c r="R1273" s="1" t="n">
        <v>1637.87</v>
      </c>
      <c r="S1273" s="1" t="n">
        <v>7461.43</v>
      </c>
      <c r="T1273" s="1" t="n">
        <v>3846.84</v>
      </c>
      <c r="U1273" s="1" t="n">
        <v>3614.59</v>
      </c>
      <c r="V1273" s="1" t="n">
        <v>48.44</v>
      </c>
      <c r="W1273" s="1" t="s">
        <v>39</v>
      </c>
      <c r="X1273" s="1" t="n">
        <v>3.5</v>
      </c>
      <c r="Y1273" s="1" t="s">
        <v>40</v>
      </c>
      <c r="Z1273" s="1" t="n">
        <v>0</v>
      </c>
    </row>
    <row r="1274" customFormat="false" ht="15" hidden="false" customHeight="true" outlineLevel="0" collapsed="false">
      <c r="A1274" s="1" t="s">
        <v>2056</v>
      </c>
      <c r="B1274" s="1" t="s">
        <v>942</v>
      </c>
      <c r="C1274" s="1" t="s">
        <v>264</v>
      </c>
      <c r="D1274" s="1" t="s">
        <v>143</v>
      </c>
      <c r="E1274" s="1" t="s">
        <v>210</v>
      </c>
      <c r="F1274" s="1" t="s">
        <v>46</v>
      </c>
      <c r="G1274" s="1" t="s">
        <v>47</v>
      </c>
      <c r="H1274" s="1" t="s">
        <v>33</v>
      </c>
      <c r="I1274" s="1" t="s">
        <v>83</v>
      </c>
      <c r="J1274" s="1" t="s">
        <v>59</v>
      </c>
      <c r="K1274" s="1" t="s">
        <v>112</v>
      </c>
      <c r="L1274" s="1" t="s">
        <v>113</v>
      </c>
      <c r="M1274" s="1" t="s">
        <v>62</v>
      </c>
      <c r="N1274" s="1" t="n">
        <v>18999</v>
      </c>
      <c r="O1274" s="1" t="n">
        <v>0</v>
      </c>
      <c r="P1274" s="1" t="n">
        <v>0</v>
      </c>
      <c r="Q1274" s="1" t="n">
        <v>18999</v>
      </c>
      <c r="R1274" s="1" t="n">
        <v>3419.82</v>
      </c>
      <c r="S1274" s="1" t="n">
        <v>15579.18</v>
      </c>
      <c r="T1274" s="1" t="n">
        <v>7151.95</v>
      </c>
      <c r="U1274" s="1" t="n">
        <v>8427.23</v>
      </c>
      <c r="V1274" s="1" t="n">
        <v>54.09</v>
      </c>
      <c r="W1274" s="1" t="s">
        <v>39</v>
      </c>
      <c r="Y1274" s="1" t="s">
        <v>40</v>
      </c>
      <c r="Z1274" s="1" t="n">
        <v>0</v>
      </c>
    </row>
    <row r="1275" customFormat="false" ht="15" hidden="false" customHeight="true" outlineLevel="0" collapsed="false">
      <c r="A1275" s="1" t="s">
        <v>2057</v>
      </c>
      <c r="B1275" s="1" t="s">
        <v>300</v>
      </c>
      <c r="C1275" s="1" t="s">
        <v>139</v>
      </c>
      <c r="D1275" s="1" t="s">
        <v>53</v>
      </c>
      <c r="E1275" s="1" t="s">
        <v>216</v>
      </c>
      <c r="F1275" s="1" t="s">
        <v>211</v>
      </c>
      <c r="G1275" s="1" t="s">
        <v>56</v>
      </c>
      <c r="H1275" s="1" t="s">
        <v>69</v>
      </c>
      <c r="I1275" s="1" t="s">
        <v>34</v>
      </c>
      <c r="J1275" s="1" t="s">
        <v>70</v>
      </c>
      <c r="K1275" s="1" t="s">
        <v>90</v>
      </c>
      <c r="L1275" s="1" t="s">
        <v>37</v>
      </c>
      <c r="M1275" s="1" t="s">
        <v>38</v>
      </c>
      <c r="N1275" s="1" t="n">
        <v>7499</v>
      </c>
      <c r="O1275" s="1" t="n">
        <v>30</v>
      </c>
      <c r="P1275" s="1" t="n">
        <v>2249.7</v>
      </c>
      <c r="Q1275" s="1" t="n">
        <v>5249.3</v>
      </c>
      <c r="R1275" s="1" t="n">
        <v>944.87</v>
      </c>
      <c r="S1275" s="1" t="n">
        <v>4304.43</v>
      </c>
      <c r="T1275" s="1" t="n">
        <v>1486.51</v>
      </c>
      <c r="U1275" s="1" t="n">
        <v>2817.92</v>
      </c>
      <c r="V1275" s="1" t="n">
        <v>65.47</v>
      </c>
      <c r="W1275" s="1" t="s">
        <v>40</v>
      </c>
      <c r="Y1275" s="1" t="s">
        <v>39</v>
      </c>
      <c r="Z1275" s="1" t="n">
        <v>1</v>
      </c>
    </row>
    <row r="1276" customFormat="false" ht="15" hidden="false" customHeight="true" outlineLevel="0" collapsed="false">
      <c r="A1276" s="1" t="s">
        <v>2058</v>
      </c>
      <c r="B1276" s="1" t="s">
        <v>947</v>
      </c>
      <c r="C1276" s="1" t="s">
        <v>128</v>
      </c>
      <c r="D1276" s="1" t="s">
        <v>143</v>
      </c>
      <c r="E1276" s="1" t="s">
        <v>162</v>
      </c>
      <c r="F1276" s="1" t="s">
        <v>67</v>
      </c>
      <c r="G1276" s="1" t="s">
        <v>68</v>
      </c>
      <c r="H1276" s="1" t="s">
        <v>69</v>
      </c>
      <c r="I1276" s="1" t="s">
        <v>34</v>
      </c>
      <c r="J1276" s="1" t="s">
        <v>70</v>
      </c>
      <c r="K1276" s="1" t="s">
        <v>112</v>
      </c>
      <c r="L1276" s="1" t="s">
        <v>37</v>
      </c>
      <c r="M1276" s="1" t="s">
        <v>38</v>
      </c>
      <c r="N1276" s="1" t="n">
        <v>14999</v>
      </c>
      <c r="O1276" s="1" t="n">
        <v>20</v>
      </c>
      <c r="P1276" s="1" t="n">
        <v>2999.8</v>
      </c>
      <c r="Q1276" s="1" t="n">
        <v>11999.2</v>
      </c>
      <c r="R1276" s="1" t="n">
        <v>2159.86</v>
      </c>
      <c r="S1276" s="1" t="n">
        <v>9839.34</v>
      </c>
      <c r="T1276" s="1" t="n">
        <v>3820.31</v>
      </c>
      <c r="U1276" s="1" t="n">
        <v>6019.03</v>
      </c>
      <c r="V1276" s="1" t="n">
        <v>61.17</v>
      </c>
      <c r="W1276" s="1" t="s">
        <v>39</v>
      </c>
      <c r="X1276" s="1" t="n">
        <v>3.8</v>
      </c>
      <c r="Y1276" s="1" t="s">
        <v>40</v>
      </c>
      <c r="Z1276" s="1" t="n">
        <v>0</v>
      </c>
    </row>
    <row r="1277" customFormat="false" ht="15" hidden="false" customHeight="true" outlineLevel="0" collapsed="false">
      <c r="A1277" s="1" t="s">
        <v>2059</v>
      </c>
      <c r="B1277" s="1" t="s">
        <v>986</v>
      </c>
      <c r="C1277" s="1" t="s">
        <v>264</v>
      </c>
      <c r="D1277" s="1" t="s">
        <v>123</v>
      </c>
      <c r="E1277" s="1" t="s">
        <v>124</v>
      </c>
      <c r="F1277" s="1" t="s">
        <v>75</v>
      </c>
      <c r="G1277" s="1" t="s">
        <v>76</v>
      </c>
      <c r="H1277" s="1" t="s">
        <v>69</v>
      </c>
      <c r="I1277" s="1" t="s">
        <v>34</v>
      </c>
      <c r="J1277" s="1" t="s">
        <v>70</v>
      </c>
      <c r="K1277" s="1" t="s">
        <v>112</v>
      </c>
      <c r="L1277" s="1" t="s">
        <v>136</v>
      </c>
      <c r="M1277" s="1" t="s">
        <v>38</v>
      </c>
      <c r="N1277" s="1" t="n">
        <v>4999</v>
      </c>
      <c r="O1277" s="1" t="n">
        <v>0</v>
      </c>
      <c r="P1277" s="1" t="n">
        <v>0</v>
      </c>
      <c r="Q1277" s="1" t="n">
        <v>4999</v>
      </c>
      <c r="R1277" s="1" t="n">
        <v>899.82</v>
      </c>
      <c r="S1277" s="1" t="n">
        <v>4099.18</v>
      </c>
      <c r="T1277" s="1" t="n">
        <v>1535.84</v>
      </c>
      <c r="U1277" s="1" t="n">
        <v>2563.34</v>
      </c>
      <c r="V1277" s="1" t="n">
        <v>62.53</v>
      </c>
      <c r="W1277" s="1" t="s">
        <v>39</v>
      </c>
      <c r="X1277" s="1" t="n">
        <v>3.6</v>
      </c>
      <c r="Y1277" s="1" t="s">
        <v>40</v>
      </c>
      <c r="Z1277" s="1" t="n">
        <v>1</v>
      </c>
    </row>
    <row r="1278" customFormat="false" ht="15" hidden="false" customHeight="true" outlineLevel="0" collapsed="false">
      <c r="A1278" s="1" t="s">
        <v>2060</v>
      </c>
      <c r="B1278" s="1" t="s">
        <v>1141</v>
      </c>
      <c r="C1278" s="1" t="s">
        <v>249</v>
      </c>
      <c r="D1278" s="1" t="s">
        <v>53</v>
      </c>
      <c r="E1278" s="1" t="s">
        <v>216</v>
      </c>
      <c r="F1278" s="1" t="s">
        <v>194</v>
      </c>
      <c r="G1278" s="1" t="s">
        <v>103</v>
      </c>
      <c r="H1278" s="1" t="s">
        <v>69</v>
      </c>
      <c r="I1278" s="1" t="s">
        <v>83</v>
      </c>
      <c r="J1278" s="1" t="s">
        <v>59</v>
      </c>
      <c r="K1278" s="1" t="s">
        <v>104</v>
      </c>
      <c r="L1278" s="1" t="s">
        <v>49</v>
      </c>
      <c r="M1278" s="1" t="s">
        <v>38</v>
      </c>
      <c r="N1278" s="1" t="n">
        <v>7499</v>
      </c>
      <c r="O1278" s="1" t="n">
        <v>20</v>
      </c>
      <c r="P1278" s="1" t="n">
        <v>1499.8</v>
      </c>
      <c r="Q1278" s="1" t="n">
        <v>5999.2</v>
      </c>
      <c r="R1278" s="1" t="n">
        <v>1079.86</v>
      </c>
      <c r="S1278" s="1" t="n">
        <v>4919.34</v>
      </c>
      <c r="T1278" s="1" t="n">
        <v>2025.45</v>
      </c>
      <c r="U1278" s="1" t="n">
        <v>2893.89</v>
      </c>
      <c r="V1278" s="1" t="n">
        <v>58.83</v>
      </c>
      <c r="W1278" s="1" t="s">
        <v>39</v>
      </c>
      <c r="X1278" s="1" t="n">
        <v>4.5</v>
      </c>
      <c r="Y1278" s="1" t="s">
        <v>40</v>
      </c>
      <c r="Z1278" s="1" t="n">
        <v>0</v>
      </c>
    </row>
    <row r="1279" customFormat="false" ht="15" hidden="false" customHeight="true" outlineLevel="0" collapsed="false">
      <c r="A1279" s="1" t="s">
        <v>2061</v>
      </c>
      <c r="B1279" s="1" t="s">
        <v>1948</v>
      </c>
      <c r="C1279" s="1" t="s">
        <v>28</v>
      </c>
      <c r="D1279" s="1" t="s">
        <v>80</v>
      </c>
      <c r="E1279" s="1" t="s">
        <v>81</v>
      </c>
      <c r="F1279" s="1" t="s">
        <v>194</v>
      </c>
      <c r="G1279" s="1" t="s">
        <v>103</v>
      </c>
      <c r="H1279" s="1" t="s">
        <v>69</v>
      </c>
      <c r="I1279" s="1" t="s">
        <v>83</v>
      </c>
      <c r="J1279" s="1" t="s">
        <v>70</v>
      </c>
      <c r="K1279" s="1" t="s">
        <v>112</v>
      </c>
      <c r="L1279" s="1" t="s">
        <v>37</v>
      </c>
      <c r="M1279" s="1" t="s">
        <v>62</v>
      </c>
      <c r="N1279" s="1" t="n">
        <v>12999</v>
      </c>
      <c r="O1279" s="1" t="n">
        <v>20</v>
      </c>
      <c r="P1279" s="1" t="n">
        <v>2599.8</v>
      </c>
      <c r="Q1279" s="1" t="n">
        <v>10399.2</v>
      </c>
      <c r="R1279" s="1" t="n">
        <v>1871.86</v>
      </c>
      <c r="S1279" s="1" t="n">
        <v>8527.34</v>
      </c>
      <c r="T1279" s="1" t="n">
        <v>3329.64</v>
      </c>
      <c r="U1279" s="1" t="n">
        <v>5197.7</v>
      </c>
      <c r="V1279" s="1" t="n">
        <v>60.95</v>
      </c>
      <c r="W1279" s="1" t="s">
        <v>39</v>
      </c>
      <c r="X1279" s="1" t="n">
        <v>4.4</v>
      </c>
      <c r="Y1279" s="1" t="s">
        <v>40</v>
      </c>
      <c r="Z1279" s="1" t="n">
        <v>1</v>
      </c>
    </row>
    <row r="1280" customFormat="false" ht="15" hidden="false" customHeight="true" outlineLevel="0" collapsed="false">
      <c r="A1280" s="1" t="s">
        <v>2062</v>
      </c>
      <c r="B1280" s="1" t="s">
        <v>553</v>
      </c>
      <c r="C1280" s="1" t="s">
        <v>43</v>
      </c>
      <c r="D1280" s="1" t="s">
        <v>143</v>
      </c>
      <c r="E1280" s="1" t="s">
        <v>162</v>
      </c>
      <c r="F1280" s="1" t="s">
        <v>96</v>
      </c>
      <c r="G1280" s="1" t="s">
        <v>97</v>
      </c>
      <c r="H1280" s="1" t="s">
        <v>69</v>
      </c>
      <c r="I1280" s="1" t="s">
        <v>83</v>
      </c>
      <c r="J1280" s="1" t="s">
        <v>59</v>
      </c>
      <c r="K1280" s="1" t="s">
        <v>112</v>
      </c>
      <c r="L1280" s="1" t="s">
        <v>37</v>
      </c>
      <c r="M1280" s="1" t="s">
        <v>38</v>
      </c>
      <c r="N1280" s="1" t="n">
        <v>14999</v>
      </c>
      <c r="O1280" s="1" t="n">
        <v>5</v>
      </c>
      <c r="P1280" s="1" t="n">
        <v>749.95</v>
      </c>
      <c r="Q1280" s="1" t="n">
        <v>14249.05</v>
      </c>
      <c r="R1280" s="1" t="n">
        <v>2564.83</v>
      </c>
      <c r="S1280" s="1" t="n">
        <v>11684.22</v>
      </c>
      <c r="T1280" s="1" t="n">
        <v>4262.88</v>
      </c>
      <c r="U1280" s="1" t="n">
        <v>7421.34</v>
      </c>
      <c r="V1280" s="1" t="n">
        <v>63.52</v>
      </c>
      <c r="W1280" s="1" t="s">
        <v>40</v>
      </c>
      <c r="Y1280" s="1" t="s">
        <v>40</v>
      </c>
      <c r="Z1280" s="1" t="n">
        <v>1</v>
      </c>
    </row>
    <row r="1281" customFormat="false" ht="15" hidden="false" customHeight="true" outlineLevel="0" collapsed="false">
      <c r="A1281" s="1" t="s">
        <v>2063</v>
      </c>
      <c r="B1281" s="1" t="s">
        <v>876</v>
      </c>
      <c r="C1281" s="1" t="s">
        <v>134</v>
      </c>
      <c r="D1281" s="1" t="s">
        <v>80</v>
      </c>
      <c r="E1281" s="1" t="s">
        <v>190</v>
      </c>
      <c r="F1281" s="1" t="s">
        <v>89</v>
      </c>
      <c r="G1281" s="1" t="s">
        <v>68</v>
      </c>
      <c r="H1281" s="1" t="s">
        <v>33</v>
      </c>
      <c r="I1281" s="1" t="s">
        <v>58</v>
      </c>
      <c r="J1281" s="1" t="s">
        <v>35</v>
      </c>
      <c r="K1281" s="1" t="s">
        <v>84</v>
      </c>
      <c r="L1281" s="1" t="s">
        <v>136</v>
      </c>
      <c r="M1281" s="1" t="s">
        <v>50</v>
      </c>
      <c r="N1281" s="1" t="n">
        <v>15999</v>
      </c>
      <c r="O1281" s="1" t="n">
        <v>0</v>
      </c>
      <c r="P1281" s="1" t="n">
        <v>0</v>
      </c>
      <c r="Q1281" s="1" t="n">
        <v>15999</v>
      </c>
      <c r="R1281" s="1" t="n">
        <v>2879.82</v>
      </c>
      <c r="S1281" s="1" t="n">
        <v>13119.18</v>
      </c>
      <c r="T1281" s="1" t="n">
        <v>5679.41</v>
      </c>
      <c r="U1281" s="1" t="n">
        <v>7439.77</v>
      </c>
      <c r="V1281" s="1" t="n">
        <v>56.71</v>
      </c>
      <c r="W1281" s="1" t="s">
        <v>40</v>
      </c>
      <c r="Y1281" s="1" t="s">
        <v>40</v>
      </c>
      <c r="Z1281" s="1" t="n">
        <v>0</v>
      </c>
    </row>
    <row r="1282" customFormat="false" ht="15" hidden="false" customHeight="true" outlineLevel="0" collapsed="false">
      <c r="A1282" s="1" t="s">
        <v>2064</v>
      </c>
      <c r="B1282" s="1" t="s">
        <v>1355</v>
      </c>
      <c r="C1282" s="1" t="s">
        <v>74</v>
      </c>
      <c r="D1282" s="1" t="s">
        <v>123</v>
      </c>
      <c r="E1282" s="1" t="s">
        <v>147</v>
      </c>
      <c r="F1282" s="1" t="s">
        <v>1363</v>
      </c>
      <c r="G1282" s="1" t="s">
        <v>68</v>
      </c>
      <c r="H1282" s="1" t="s">
        <v>33</v>
      </c>
      <c r="I1282" s="1" t="s">
        <v>58</v>
      </c>
      <c r="J1282" s="1" t="s">
        <v>70</v>
      </c>
      <c r="K1282" s="1" t="s">
        <v>90</v>
      </c>
      <c r="L1282" s="1" t="s">
        <v>85</v>
      </c>
      <c r="M1282" s="1" t="s">
        <v>38</v>
      </c>
      <c r="N1282" s="1" t="n">
        <v>6999</v>
      </c>
      <c r="O1282" s="1" t="n">
        <v>40</v>
      </c>
      <c r="P1282" s="1" t="n">
        <v>2799.6</v>
      </c>
      <c r="Q1282" s="1" t="n">
        <v>4199.4</v>
      </c>
      <c r="R1282" s="1" t="n">
        <v>755.89</v>
      </c>
      <c r="S1282" s="1" t="n">
        <v>3443.51</v>
      </c>
      <c r="T1282" s="1" t="n">
        <v>2040.52</v>
      </c>
      <c r="U1282" s="1" t="n">
        <v>1402.99</v>
      </c>
      <c r="V1282" s="1" t="n">
        <v>40.74</v>
      </c>
      <c r="W1282" s="1" t="s">
        <v>40</v>
      </c>
      <c r="Y1282" s="1" t="s">
        <v>40</v>
      </c>
      <c r="Z1282" s="1" t="n">
        <v>2</v>
      </c>
    </row>
    <row r="1283" customFormat="false" ht="15" hidden="false" customHeight="true" outlineLevel="0" collapsed="false">
      <c r="A1283" s="1" t="s">
        <v>2065</v>
      </c>
      <c r="B1283" s="1" t="s">
        <v>866</v>
      </c>
      <c r="C1283" s="1" t="s">
        <v>167</v>
      </c>
      <c r="D1283" s="1" t="s">
        <v>168</v>
      </c>
      <c r="E1283" s="1" t="s">
        <v>169</v>
      </c>
      <c r="F1283" s="1" t="s">
        <v>120</v>
      </c>
      <c r="G1283" s="1" t="s">
        <v>47</v>
      </c>
      <c r="H1283" s="1" t="s">
        <v>57</v>
      </c>
      <c r="I1283" s="1" t="s">
        <v>34</v>
      </c>
      <c r="J1283" s="1" t="s">
        <v>77</v>
      </c>
      <c r="K1283" s="1" t="s">
        <v>112</v>
      </c>
      <c r="L1283" s="1" t="s">
        <v>61</v>
      </c>
      <c r="M1283" s="1" t="s">
        <v>50</v>
      </c>
      <c r="N1283" s="1" t="n">
        <v>4999</v>
      </c>
      <c r="O1283" s="1" t="n">
        <v>0</v>
      </c>
      <c r="P1283" s="1" t="n">
        <v>0</v>
      </c>
      <c r="Q1283" s="1" t="n">
        <v>4999</v>
      </c>
      <c r="R1283" s="1" t="n">
        <v>899.82</v>
      </c>
      <c r="S1283" s="1" t="n">
        <v>4099.18</v>
      </c>
      <c r="T1283" s="1" t="n">
        <v>1817.47</v>
      </c>
      <c r="U1283" s="1" t="n">
        <v>2281.71</v>
      </c>
      <c r="V1283" s="1" t="n">
        <v>55.66</v>
      </c>
      <c r="W1283" s="1" t="s">
        <v>39</v>
      </c>
      <c r="X1283" s="1" t="n">
        <v>3.8</v>
      </c>
      <c r="Y1283" s="1" t="s">
        <v>40</v>
      </c>
      <c r="Z1283" s="1" t="n">
        <v>0</v>
      </c>
    </row>
    <row r="1284" customFormat="false" ht="15" hidden="false" customHeight="true" outlineLevel="0" collapsed="false">
      <c r="A1284" s="1" t="s">
        <v>2066</v>
      </c>
      <c r="B1284" s="1" t="s">
        <v>732</v>
      </c>
      <c r="C1284" s="1" t="s">
        <v>134</v>
      </c>
      <c r="D1284" s="1" t="s">
        <v>143</v>
      </c>
      <c r="E1284" s="1" t="s">
        <v>162</v>
      </c>
      <c r="F1284" s="1" t="s">
        <v>120</v>
      </c>
      <c r="G1284" s="1" t="s">
        <v>47</v>
      </c>
      <c r="H1284" s="1" t="s">
        <v>57</v>
      </c>
      <c r="I1284" s="1" t="s">
        <v>34</v>
      </c>
      <c r="J1284" s="1" t="s">
        <v>70</v>
      </c>
      <c r="K1284" s="1" t="s">
        <v>90</v>
      </c>
      <c r="L1284" s="1" t="s">
        <v>136</v>
      </c>
      <c r="M1284" s="1" t="s">
        <v>50</v>
      </c>
      <c r="N1284" s="1" t="n">
        <v>14999</v>
      </c>
      <c r="O1284" s="1" t="n">
        <v>10</v>
      </c>
      <c r="P1284" s="1" t="n">
        <v>1499.9</v>
      </c>
      <c r="Q1284" s="1" t="n">
        <v>13499.1</v>
      </c>
      <c r="R1284" s="1" t="n">
        <v>2429.84</v>
      </c>
      <c r="S1284" s="1" t="n">
        <v>11069.26</v>
      </c>
      <c r="T1284" s="1" t="n">
        <v>5317.43</v>
      </c>
      <c r="U1284" s="1" t="n">
        <v>5751.83</v>
      </c>
      <c r="V1284" s="1" t="n">
        <v>51.96</v>
      </c>
      <c r="W1284" s="1" t="s">
        <v>39</v>
      </c>
      <c r="X1284" s="1" t="n">
        <v>3.7</v>
      </c>
      <c r="Y1284" s="1" t="s">
        <v>40</v>
      </c>
      <c r="Z1284" s="1" t="n">
        <v>0</v>
      </c>
    </row>
    <row r="1285" customFormat="false" ht="15" hidden="false" customHeight="true" outlineLevel="0" collapsed="false">
      <c r="A1285" s="1" t="s">
        <v>2067</v>
      </c>
      <c r="B1285" s="1" t="s">
        <v>1398</v>
      </c>
      <c r="C1285" s="1" t="s">
        <v>859</v>
      </c>
      <c r="D1285" s="1" t="s">
        <v>44</v>
      </c>
      <c r="E1285" s="1" t="s">
        <v>45</v>
      </c>
      <c r="F1285" s="1" t="s">
        <v>140</v>
      </c>
      <c r="G1285" s="1" t="s">
        <v>97</v>
      </c>
      <c r="H1285" s="1" t="s">
        <v>57</v>
      </c>
      <c r="I1285" s="1" t="s">
        <v>58</v>
      </c>
      <c r="J1285" s="1" t="s">
        <v>77</v>
      </c>
      <c r="K1285" s="1" t="s">
        <v>60</v>
      </c>
      <c r="L1285" s="1" t="s">
        <v>37</v>
      </c>
      <c r="M1285" s="1" t="s">
        <v>62</v>
      </c>
      <c r="N1285" s="1" t="n">
        <v>11999</v>
      </c>
      <c r="O1285" s="1" t="n">
        <v>25</v>
      </c>
      <c r="P1285" s="1" t="n">
        <v>2999.75</v>
      </c>
      <c r="Q1285" s="1" t="n">
        <v>8999.25</v>
      </c>
      <c r="R1285" s="1" t="n">
        <v>1619.87</v>
      </c>
      <c r="S1285" s="1" t="n">
        <v>7379.38</v>
      </c>
      <c r="T1285" s="1" t="n">
        <v>3243.12</v>
      </c>
      <c r="U1285" s="1" t="n">
        <v>4136.26</v>
      </c>
      <c r="V1285" s="1" t="n">
        <v>56.05</v>
      </c>
      <c r="W1285" s="1" t="s">
        <v>40</v>
      </c>
      <c r="Y1285" s="1" t="s">
        <v>40</v>
      </c>
      <c r="Z1285" s="1" t="n">
        <v>0</v>
      </c>
    </row>
    <row r="1286" customFormat="false" ht="15" hidden="false" customHeight="true" outlineLevel="0" collapsed="false">
      <c r="A1286" s="1" t="s">
        <v>2068</v>
      </c>
      <c r="B1286" s="1" t="s">
        <v>2069</v>
      </c>
      <c r="C1286" s="1" t="s">
        <v>249</v>
      </c>
      <c r="D1286" s="1" t="s">
        <v>123</v>
      </c>
      <c r="E1286" s="1" t="s">
        <v>147</v>
      </c>
      <c r="F1286" s="1" t="s">
        <v>107</v>
      </c>
      <c r="G1286" s="1" t="s">
        <v>108</v>
      </c>
      <c r="H1286" s="1" t="s">
        <v>33</v>
      </c>
      <c r="I1286" s="1" t="s">
        <v>34</v>
      </c>
      <c r="J1286" s="1" t="s">
        <v>59</v>
      </c>
      <c r="K1286" s="1" t="s">
        <v>104</v>
      </c>
      <c r="L1286" s="1" t="s">
        <v>136</v>
      </c>
      <c r="M1286" s="1" t="s">
        <v>50</v>
      </c>
      <c r="N1286" s="1" t="n">
        <v>6999</v>
      </c>
      <c r="O1286" s="1" t="n">
        <v>20</v>
      </c>
      <c r="P1286" s="1" t="n">
        <v>1399.8</v>
      </c>
      <c r="Q1286" s="1" t="n">
        <v>5599.2</v>
      </c>
      <c r="R1286" s="1" t="n">
        <v>1007.86</v>
      </c>
      <c r="S1286" s="1" t="n">
        <v>4591.34</v>
      </c>
      <c r="T1286" s="1" t="n">
        <v>2183.36</v>
      </c>
      <c r="U1286" s="1" t="n">
        <v>2407.98</v>
      </c>
      <c r="V1286" s="1" t="n">
        <v>52.45</v>
      </c>
      <c r="W1286" s="1" t="s">
        <v>40</v>
      </c>
      <c r="Y1286" s="1" t="s">
        <v>40</v>
      </c>
      <c r="Z1286" s="1" t="n">
        <v>1</v>
      </c>
    </row>
    <row r="1287" customFormat="false" ht="15" hidden="false" customHeight="true" outlineLevel="0" collapsed="false">
      <c r="A1287" s="1" t="s">
        <v>2070</v>
      </c>
      <c r="B1287" s="1" t="s">
        <v>1044</v>
      </c>
      <c r="C1287" s="1" t="s">
        <v>264</v>
      </c>
      <c r="D1287" s="1" t="s">
        <v>44</v>
      </c>
      <c r="E1287" s="1" t="s">
        <v>66</v>
      </c>
      <c r="F1287" s="1" t="s">
        <v>244</v>
      </c>
      <c r="G1287" s="1" t="s">
        <v>97</v>
      </c>
      <c r="H1287" s="1" t="s">
        <v>57</v>
      </c>
      <c r="I1287" s="1" t="s">
        <v>83</v>
      </c>
      <c r="J1287" s="1" t="s">
        <v>35</v>
      </c>
      <c r="K1287" s="1" t="s">
        <v>90</v>
      </c>
      <c r="L1287" s="1" t="s">
        <v>113</v>
      </c>
      <c r="M1287" s="1" t="s">
        <v>50</v>
      </c>
      <c r="N1287" s="1" t="n">
        <v>12999</v>
      </c>
      <c r="O1287" s="1" t="n">
        <v>10</v>
      </c>
      <c r="P1287" s="1" t="n">
        <v>1299.9</v>
      </c>
      <c r="Q1287" s="1" t="n">
        <v>11699.1</v>
      </c>
      <c r="R1287" s="1" t="n">
        <v>2105.84</v>
      </c>
      <c r="S1287" s="1" t="n">
        <v>9593.26</v>
      </c>
      <c r="T1287" s="1" t="n">
        <v>4766.03</v>
      </c>
      <c r="U1287" s="1" t="n">
        <v>4827.23</v>
      </c>
      <c r="V1287" s="1" t="n">
        <v>50.32</v>
      </c>
      <c r="W1287" s="1" t="s">
        <v>39</v>
      </c>
      <c r="X1287" s="1" t="n">
        <v>4.3</v>
      </c>
      <c r="Y1287" s="1" t="s">
        <v>40</v>
      </c>
      <c r="Z1287" s="1" t="n">
        <v>0</v>
      </c>
    </row>
    <row r="1288" customFormat="false" ht="15" hidden="false" customHeight="true" outlineLevel="0" collapsed="false">
      <c r="A1288" s="1" t="s">
        <v>2071</v>
      </c>
      <c r="B1288" s="1" t="s">
        <v>1625</v>
      </c>
      <c r="C1288" s="1" t="s">
        <v>264</v>
      </c>
      <c r="D1288" s="1" t="s">
        <v>143</v>
      </c>
      <c r="E1288" s="1" t="s">
        <v>210</v>
      </c>
      <c r="F1288" s="1" t="s">
        <v>89</v>
      </c>
      <c r="G1288" s="1" t="s">
        <v>68</v>
      </c>
      <c r="H1288" s="1" t="s">
        <v>33</v>
      </c>
      <c r="I1288" s="1" t="s">
        <v>83</v>
      </c>
      <c r="J1288" s="1" t="s">
        <v>77</v>
      </c>
      <c r="K1288" s="1" t="s">
        <v>36</v>
      </c>
      <c r="L1288" s="1" t="s">
        <v>136</v>
      </c>
      <c r="M1288" s="1" t="s">
        <v>38</v>
      </c>
      <c r="N1288" s="1" t="n">
        <v>18999</v>
      </c>
      <c r="O1288" s="1" t="n">
        <v>5</v>
      </c>
      <c r="P1288" s="1" t="n">
        <v>949.95</v>
      </c>
      <c r="Q1288" s="1" t="n">
        <v>18049.05</v>
      </c>
      <c r="R1288" s="1" t="n">
        <v>3248.83</v>
      </c>
      <c r="S1288" s="1" t="n">
        <v>14800.22</v>
      </c>
      <c r="T1288" s="1" t="n">
        <v>6861.56</v>
      </c>
      <c r="U1288" s="1" t="n">
        <v>7938.66</v>
      </c>
      <c r="V1288" s="1" t="n">
        <v>53.64</v>
      </c>
      <c r="W1288" s="1" t="s">
        <v>39</v>
      </c>
      <c r="X1288" s="1" t="n">
        <v>4</v>
      </c>
      <c r="Y1288" s="1" t="s">
        <v>40</v>
      </c>
      <c r="Z1288" s="1" t="n">
        <v>0</v>
      </c>
    </row>
    <row r="1289" customFormat="false" ht="15" hidden="false" customHeight="true" outlineLevel="0" collapsed="false">
      <c r="A1289" s="1" t="s">
        <v>2072</v>
      </c>
      <c r="B1289" s="1" t="s">
        <v>868</v>
      </c>
      <c r="C1289" s="1" t="s">
        <v>264</v>
      </c>
      <c r="D1289" s="1" t="s">
        <v>80</v>
      </c>
      <c r="E1289" s="1" t="s">
        <v>175</v>
      </c>
      <c r="F1289" s="1" t="s">
        <v>474</v>
      </c>
      <c r="G1289" s="1" t="s">
        <v>108</v>
      </c>
      <c r="H1289" s="1" t="s">
        <v>69</v>
      </c>
      <c r="I1289" s="1" t="s">
        <v>58</v>
      </c>
      <c r="J1289" s="1" t="s">
        <v>77</v>
      </c>
      <c r="K1289" s="1" t="s">
        <v>48</v>
      </c>
      <c r="L1289" s="1" t="s">
        <v>37</v>
      </c>
      <c r="M1289" s="1" t="s">
        <v>50</v>
      </c>
      <c r="N1289" s="1" t="n">
        <v>19999</v>
      </c>
      <c r="O1289" s="1" t="n">
        <v>10</v>
      </c>
      <c r="P1289" s="1" t="n">
        <v>1999.9</v>
      </c>
      <c r="Q1289" s="1" t="n">
        <v>17999.1</v>
      </c>
      <c r="R1289" s="1" t="n">
        <v>3239.84</v>
      </c>
      <c r="S1289" s="1" t="n">
        <v>14759.26</v>
      </c>
      <c r="T1289" s="1" t="n">
        <v>5875.98</v>
      </c>
      <c r="U1289" s="1" t="n">
        <v>8883.28</v>
      </c>
      <c r="V1289" s="1" t="n">
        <v>60.19</v>
      </c>
      <c r="W1289" s="1" t="s">
        <v>39</v>
      </c>
      <c r="X1289" s="1" t="n">
        <v>4</v>
      </c>
      <c r="Y1289" s="1" t="s">
        <v>40</v>
      </c>
      <c r="Z1289" s="1" t="n">
        <v>0</v>
      </c>
    </row>
    <row r="1290" customFormat="false" ht="15" hidden="false" customHeight="true" outlineLevel="0" collapsed="false">
      <c r="A1290" s="1" t="s">
        <v>2073</v>
      </c>
      <c r="B1290" s="1" t="s">
        <v>724</v>
      </c>
      <c r="C1290" s="1" t="s">
        <v>74</v>
      </c>
      <c r="D1290" s="1" t="s">
        <v>94</v>
      </c>
      <c r="E1290" s="1" t="s">
        <v>135</v>
      </c>
      <c r="F1290" s="1" t="s">
        <v>269</v>
      </c>
      <c r="G1290" s="1" t="s">
        <v>108</v>
      </c>
      <c r="H1290" s="1" t="s">
        <v>57</v>
      </c>
      <c r="I1290" s="1" t="s">
        <v>34</v>
      </c>
      <c r="J1290" s="1" t="s">
        <v>70</v>
      </c>
      <c r="K1290" s="1" t="s">
        <v>90</v>
      </c>
      <c r="L1290" s="1" t="s">
        <v>61</v>
      </c>
      <c r="M1290" s="1" t="s">
        <v>38</v>
      </c>
      <c r="N1290" s="1" t="n">
        <v>9999</v>
      </c>
      <c r="O1290" s="1" t="n">
        <v>30</v>
      </c>
      <c r="P1290" s="1" t="n">
        <v>2999.7</v>
      </c>
      <c r="Q1290" s="1" t="n">
        <v>6999.3</v>
      </c>
      <c r="R1290" s="1" t="n">
        <v>1259.87</v>
      </c>
      <c r="S1290" s="1" t="n">
        <v>5739.43</v>
      </c>
      <c r="T1290" s="1" t="n">
        <v>2888.51</v>
      </c>
      <c r="U1290" s="1" t="n">
        <v>2850.92</v>
      </c>
      <c r="V1290" s="1" t="n">
        <v>49.67</v>
      </c>
      <c r="W1290" s="1" t="s">
        <v>39</v>
      </c>
      <c r="X1290" s="1" t="n">
        <v>4.4</v>
      </c>
      <c r="Y1290" s="1" t="s">
        <v>40</v>
      </c>
      <c r="Z1290" s="1" t="n">
        <v>0</v>
      </c>
    </row>
    <row r="1291" customFormat="false" ht="15" hidden="false" customHeight="true" outlineLevel="0" collapsed="false">
      <c r="A1291" s="1" t="s">
        <v>2074</v>
      </c>
      <c r="B1291" s="1" t="s">
        <v>1042</v>
      </c>
      <c r="C1291" s="1" t="s">
        <v>249</v>
      </c>
      <c r="D1291" s="1" t="s">
        <v>123</v>
      </c>
      <c r="E1291" s="1" t="s">
        <v>233</v>
      </c>
      <c r="F1291" s="1" t="s">
        <v>153</v>
      </c>
      <c r="G1291" s="1" t="s">
        <v>76</v>
      </c>
      <c r="H1291" s="1" t="s">
        <v>33</v>
      </c>
      <c r="I1291" s="1" t="s">
        <v>34</v>
      </c>
      <c r="J1291" s="1" t="s">
        <v>131</v>
      </c>
      <c r="K1291" s="1" t="s">
        <v>90</v>
      </c>
      <c r="L1291" s="1" t="s">
        <v>37</v>
      </c>
      <c r="M1291" s="1" t="s">
        <v>50</v>
      </c>
      <c r="N1291" s="1" t="n">
        <v>8999</v>
      </c>
      <c r="O1291" s="1" t="n">
        <v>0</v>
      </c>
      <c r="P1291" s="1" t="n">
        <v>0</v>
      </c>
      <c r="Q1291" s="1" t="n">
        <v>8999</v>
      </c>
      <c r="R1291" s="1" t="n">
        <v>1619.82</v>
      </c>
      <c r="S1291" s="1" t="n">
        <v>7379.18</v>
      </c>
      <c r="T1291" s="1" t="n">
        <v>3341.63</v>
      </c>
      <c r="U1291" s="1" t="n">
        <v>4037.55</v>
      </c>
      <c r="V1291" s="1" t="n">
        <v>54.72</v>
      </c>
      <c r="W1291" s="1" t="s">
        <v>39</v>
      </c>
      <c r="X1291" s="1" t="n">
        <v>4.2</v>
      </c>
      <c r="Y1291" s="1" t="s">
        <v>40</v>
      </c>
      <c r="Z1291" s="1" t="n">
        <v>0</v>
      </c>
    </row>
    <row r="1292" customFormat="false" ht="15" hidden="false" customHeight="true" outlineLevel="0" collapsed="false">
      <c r="A1292" s="1" t="s">
        <v>2075</v>
      </c>
      <c r="B1292" s="1" t="s">
        <v>1927</v>
      </c>
      <c r="C1292" s="1" t="s">
        <v>28</v>
      </c>
      <c r="D1292" s="1" t="s">
        <v>53</v>
      </c>
      <c r="E1292" s="1" t="s">
        <v>116</v>
      </c>
      <c r="F1292" s="1" t="s">
        <v>96</v>
      </c>
      <c r="G1292" s="1" t="s">
        <v>97</v>
      </c>
      <c r="H1292" s="1" t="s">
        <v>69</v>
      </c>
      <c r="I1292" s="1" t="s">
        <v>83</v>
      </c>
      <c r="J1292" s="1" t="s">
        <v>77</v>
      </c>
      <c r="K1292" s="1" t="s">
        <v>71</v>
      </c>
      <c r="L1292" s="1" t="s">
        <v>85</v>
      </c>
      <c r="M1292" s="1" t="s">
        <v>62</v>
      </c>
      <c r="N1292" s="1" t="n">
        <v>9999</v>
      </c>
      <c r="O1292" s="1" t="n">
        <v>20</v>
      </c>
      <c r="P1292" s="1" t="n">
        <v>1999.8</v>
      </c>
      <c r="Q1292" s="1" t="n">
        <v>7999.2</v>
      </c>
      <c r="R1292" s="1" t="n">
        <v>1439.86</v>
      </c>
      <c r="S1292" s="1" t="n">
        <v>6559.34</v>
      </c>
      <c r="T1292" s="1" t="n">
        <v>2655.1</v>
      </c>
      <c r="U1292" s="1" t="n">
        <v>3904.24</v>
      </c>
      <c r="V1292" s="1" t="n">
        <v>59.52</v>
      </c>
      <c r="W1292" s="1" t="s">
        <v>39</v>
      </c>
      <c r="X1292" s="1" t="n">
        <v>4.3</v>
      </c>
      <c r="Y1292" s="1" t="s">
        <v>40</v>
      </c>
      <c r="Z1292" s="1" t="n">
        <v>0</v>
      </c>
    </row>
    <row r="1293" customFormat="false" ht="15" hidden="false" customHeight="true" outlineLevel="0" collapsed="false">
      <c r="A1293" s="1" t="s">
        <v>2076</v>
      </c>
      <c r="B1293" s="1" t="s">
        <v>73</v>
      </c>
      <c r="C1293" s="1" t="s">
        <v>65</v>
      </c>
      <c r="D1293" s="1" t="s">
        <v>53</v>
      </c>
      <c r="E1293" s="1" t="s">
        <v>54</v>
      </c>
      <c r="F1293" s="1" t="s">
        <v>120</v>
      </c>
      <c r="G1293" s="1" t="s">
        <v>47</v>
      </c>
      <c r="H1293" s="1" t="s">
        <v>57</v>
      </c>
      <c r="I1293" s="1" t="s">
        <v>58</v>
      </c>
      <c r="J1293" s="1" t="s">
        <v>70</v>
      </c>
      <c r="K1293" s="1" t="s">
        <v>71</v>
      </c>
      <c r="L1293" s="1" t="s">
        <v>136</v>
      </c>
      <c r="M1293" s="1" t="s">
        <v>62</v>
      </c>
      <c r="N1293" s="1" t="n">
        <v>11999</v>
      </c>
      <c r="O1293" s="1" t="n">
        <v>10</v>
      </c>
      <c r="P1293" s="1" t="n">
        <v>1199.9</v>
      </c>
      <c r="Q1293" s="1" t="n">
        <v>10799.1</v>
      </c>
      <c r="R1293" s="1" t="n">
        <v>1943.84</v>
      </c>
      <c r="S1293" s="1" t="n">
        <v>8855.26</v>
      </c>
      <c r="T1293" s="1" t="n">
        <v>3842.22</v>
      </c>
      <c r="U1293" s="1" t="n">
        <v>5013.04</v>
      </c>
      <c r="V1293" s="1" t="n">
        <v>56.61</v>
      </c>
      <c r="W1293" s="1" t="s">
        <v>40</v>
      </c>
      <c r="Y1293" s="1" t="s">
        <v>40</v>
      </c>
      <c r="Z1293" s="1" t="n">
        <v>1</v>
      </c>
    </row>
    <row r="1294" customFormat="false" ht="15" hidden="false" customHeight="true" outlineLevel="0" collapsed="false">
      <c r="A1294" s="1" t="s">
        <v>2077</v>
      </c>
      <c r="B1294" s="1" t="s">
        <v>841</v>
      </c>
      <c r="C1294" s="1" t="s">
        <v>167</v>
      </c>
      <c r="D1294" s="1" t="s">
        <v>44</v>
      </c>
      <c r="E1294" s="1" t="s">
        <v>66</v>
      </c>
      <c r="F1294" s="1" t="s">
        <v>205</v>
      </c>
      <c r="G1294" s="1" t="s">
        <v>56</v>
      </c>
      <c r="H1294" s="1" t="s">
        <v>69</v>
      </c>
      <c r="I1294" s="1" t="s">
        <v>83</v>
      </c>
      <c r="J1294" s="1" t="s">
        <v>70</v>
      </c>
      <c r="K1294" s="1" t="s">
        <v>104</v>
      </c>
      <c r="L1294" s="1" t="s">
        <v>61</v>
      </c>
      <c r="M1294" s="1" t="s">
        <v>50</v>
      </c>
      <c r="N1294" s="1" t="n">
        <v>12999</v>
      </c>
      <c r="O1294" s="1" t="n">
        <v>15</v>
      </c>
      <c r="P1294" s="1" t="n">
        <v>1949.85</v>
      </c>
      <c r="Q1294" s="1" t="n">
        <v>11049.15</v>
      </c>
      <c r="R1294" s="1" t="n">
        <v>1988.85</v>
      </c>
      <c r="S1294" s="1" t="n">
        <v>9060.3</v>
      </c>
      <c r="T1294" s="1" t="n">
        <v>2790.84</v>
      </c>
      <c r="U1294" s="1" t="n">
        <v>6269.46</v>
      </c>
      <c r="V1294" s="1" t="n">
        <v>69.2</v>
      </c>
      <c r="W1294" s="1" t="s">
        <v>40</v>
      </c>
      <c r="Y1294" s="1" t="s">
        <v>40</v>
      </c>
      <c r="Z1294" s="1" t="n">
        <v>0</v>
      </c>
    </row>
    <row r="1295" customFormat="false" ht="15" hidden="false" customHeight="true" outlineLevel="0" collapsed="false">
      <c r="A1295" s="1" t="s">
        <v>2078</v>
      </c>
      <c r="B1295" s="1" t="s">
        <v>302</v>
      </c>
      <c r="C1295" s="1" t="s">
        <v>128</v>
      </c>
      <c r="D1295" s="1" t="s">
        <v>143</v>
      </c>
      <c r="E1295" s="1" t="s">
        <v>144</v>
      </c>
      <c r="F1295" s="1" t="s">
        <v>130</v>
      </c>
      <c r="G1295" s="1" t="s">
        <v>47</v>
      </c>
      <c r="H1295" s="1" t="s">
        <v>69</v>
      </c>
      <c r="I1295" s="1" t="s">
        <v>58</v>
      </c>
      <c r="J1295" s="1" t="s">
        <v>131</v>
      </c>
      <c r="K1295" s="1" t="s">
        <v>104</v>
      </c>
      <c r="L1295" s="1" t="s">
        <v>113</v>
      </c>
      <c r="M1295" s="1" t="s">
        <v>38</v>
      </c>
      <c r="N1295" s="1" t="n">
        <v>12999</v>
      </c>
      <c r="O1295" s="1" t="n">
        <v>15</v>
      </c>
      <c r="P1295" s="1" t="n">
        <v>1949.85</v>
      </c>
      <c r="Q1295" s="1" t="n">
        <v>11049.15</v>
      </c>
      <c r="R1295" s="1" t="n">
        <v>1988.85</v>
      </c>
      <c r="S1295" s="1" t="n">
        <v>9060.3</v>
      </c>
      <c r="T1295" s="1" t="n">
        <v>4004.41</v>
      </c>
      <c r="U1295" s="1" t="n">
        <v>5055.89</v>
      </c>
      <c r="V1295" s="1" t="n">
        <v>55.8</v>
      </c>
      <c r="W1295" s="1" t="s">
        <v>39</v>
      </c>
      <c r="X1295" s="1" t="n">
        <v>4.2</v>
      </c>
      <c r="Y1295" s="1" t="s">
        <v>40</v>
      </c>
      <c r="Z1295" s="1" t="n">
        <v>0</v>
      </c>
    </row>
    <row r="1296" customFormat="false" ht="15" hidden="false" customHeight="true" outlineLevel="0" collapsed="false">
      <c r="A1296" s="1" t="s">
        <v>2079</v>
      </c>
      <c r="B1296" s="1" t="s">
        <v>203</v>
      </c>
      <c r="C1296" s="1" t="s">
        <v>264</v>
      </c>
      <c r="D1296" s="1" t="s">
        <v>53</v>
      </c>
      <c r="E1296" s="1" t="s">
        <v>54</v>
      </c>
      <c r="F1296" s="1" t="s">
        <v>107</v>
      </c>
      <c r="G1296" s="1" t="s">
        <v>108</v>
      </c>
      <c r="H1296" s="1" t="s">
        <v>33</v>
      </c>
      <c r="I1296" s="1" t="s">
        <v>83</v>
      </c>
      <c r="J1296" s="1" t="s">
        <v>70</v>
      </c>
      <c r="K1296" s="1" t="s">
        <v>90</v>
      </c>
      <c r="L1296" s="1" t="s">
        <v>37</v>
      </c>
      <c r="M1296" s="1" t="s">
        <v>50</v>
      </c>
      <c r="N1296" s="1" t="n">
        <v>11999</v>
      </c>
      <c r="O1296" s="1" t="n">
        <v>30</v>
      </c>
      <c r="P1296" s="1" t="n">
        <v>3599.7</v>
      </c>
      <c r="Q1296" s="1" t="n">
        <v>8399.3</v>
      </c>
      <c r="R1296" s="1" t="n">
        <v>1511.87</v>
      </c>
      <c r="S1296" s="1" t="n">
        <v>6887.43</v>
      </c>
      <c r="T1296" s="1" t="n">
        <v>2554.83</v>
      </c>
      <c r="U1296" s="1" t="n">
        <v>4332.6</v>
      </c>
      <c r="V1296" s="1" t="n">
        <v>62.91</v>
      </c>
      <c r="W1296" s="1" t="s">
        <v>40</v>
      </c>
      <c r="Y1296" s="1" t="s">
        <v>40</v>
      </c>
      <c r="Z1296" s="1" t="n">
        <v>3</v>
      </c>
    </row>
    <row r="1297" customFormat="false" ht="15" hidden="false" customHeight="true" outlineLevel="0" collapsed="false">
      <c r="A1297" s="1" t="s">
        <v>2080</v>
      </c>
      <c r="B1297" s="1" t="s">
        <v>2081</v>
      </c>
      <c r="C1297" s="1" t="s">
        <v>128</v>
      </c>
      <c r="D1297" s="1" t="s">
        <v>29</v>
      </c>
      <c r="E1297" s="1" t="s">
        <v>129</v>
      </c>
      <c r="F1297" s="1" t="s">
        <v>194</v>
      </c>
      <c r="G1297" s="1" t="s">
        <v>103</v>
      </c>
      <c r="H1297" s="1" t="s">
        <v>69</v>
      </c>
      <c r="I1297" s="1" t="s">
        <v>34</v>
      </c>
      <c r="J1297" s="1" t="s">
        <v>131</v>
      </c>
      <c r="K1297" s="1" t="s">
        <v>36</v>
      </c>
      <c r="L1297" s="1" t="s">
        <v>113</v>
      </c>
      <c r="M1297" s="1" t="s">
        <v>38</v>
      </c>
      <c r="N1297" s="1" t="n">
        <v>29999</v>
      </c>
      <c r="O1297" s="1" t="n">
        <v>0</v>
      </c>
      <c r="P1297" s="1" t="n">
        <v>0</v>
      </c>
      <c r="Q1297" s="1" t="n">
        <v>29999</v>
      </c>
      <c r="R1297" s="1" t="n">
        <v>5399.82</v>
      </c>
      <c r="S1297" s="1" t="n">
        <v>24599.18</v>
      </c>
      <c r="T1297" s="1" t="n">
        <v>10170.12</v>
      </c>
      <c r="U1297" s="1" t="n">
        <v>14429.06</v>
      </c>
      <c r="V1297" s="1" t="n">
        <v>58.66</v>
      </c>
      <c r="W1297" s="1" t="s">
        <v>40</v>
      </c>
      <c r="Y1297" s="1" t="s">
        <v>40</v>
      </c>
      <c r="Z1297" s="1" t="n">
        <v>0</v>
      </c>
    </row>
    <row r="1298" customFormat="false" ht="15" hidden="false" customHeight="true" outlineLevel="0" collapsed="false">
      <c r="A1298" s="1" t="s">
        <v>2082</v>
      </c>
      <c r="B1298" s="1" t="s">
        <v>1352</v>
      </c>
      <c r="C1298" s="1" t="s">
        <v>249</v>
      </c>
      <c r="D1298" s="1" t="s">
        <v>29</v>
      </c>
      <c r="E1298" s="1" t="s">
        <v>30</v>
      </c>
      <c r="F1298" s="1" t="s">
        <v>96</v>
      </c>
      <c r="G1298" s="1" t="s">
        <v>97</v>
      </c>
      <c r="H1298" s="1" t="s">
        <v>69</v>
      </c>
      <c r="I1298" s="1" t="s">
        <v>58</v>
      </c>
      <c r="J1298" s="1" t="s">
        <v>70</v>
      </c>
      <c r="K1298" s="1" t="s">
        <v>90</v>
      </c>
      <c r="L1298" s="1" t="s">
        <v>37</v>
      </c>
      <c r="M1298" s="1" t="s">
        <v>50</v>
      </c>
      <c r="N1298" s="1" t="n">
        <v>7999</v>
      </c>
      <c r="O1298" s="1" t="n">
        <v>0</v>
      </c>
      <c r="P1298" s="1" t="n">
        <v>0</v>
      </c>
      <c r="Q1298" s="1" t="n">
        <v>7999</v>
      </c>
      <c r="R1298" s="1" t="n">
        <v>1439.82</v>
      </c>
      <c r="S1298" s="1" t="n">
        <v>6559.18</v>
      </c>
      <c r="T1298" s="1" t="n">
        <v>1812.06</v>
      </c>
      <c r="U1298" s="1" t="n">
        <v>4747.12</v>
      </c>
      <c r="V1298" s="1" t="n">
        <v>72.37</v>
      </c>
      <c r="W1298" s="1" t="s">
        <v>40</v>
      </c>
      <c r="Y1298" s="1" t="s">
        <v>40</v>
      </c>
      <c r="Z1298" s="1" t="n">
        <v>1</v>
      </c>
    </row>
    <row r="1299" customFormat="false" ht="15" hidden="false" customHeight="true" outlineLevel="0" collapsed="false">
      <c r="A1299" s="1" t="s">
        <v>2083</v>
      </c>
      <c r="B1299" s="1" t="s">
        <v>155</v>
      </c>
      <c r="C1299" s="1" t="s">
        <v>134</v>
      </c>
      <c r="D1299" s="1" t="s">
        <v>123</v>
      </c>
      <c r="E1299" s="1" t="s">
        <v>124</v>
      </c>
      <c r="F1299" s="1" t="s">
        <v>31</v>
      </c>
      <c r="G1299" s="1" t="s">
        <v>32</v>
      </c>
      <c r="H1299" s="1" t="s">
        <v>33</v>
      </c>
      <c r="I1299" s="1" t="s">
        <v>34</v>
      </c>
      <c r="J1299" s="1" t="s">
        <v>59</v>
      </c>
      <c r="K1299" s="1" t="s">
        <v>71</v>
      </c>
      <c r="L1299" s="1" t="s">
        <v>61</v>
      </c>
      <c r="M1299" s="1" t="s">
        <v>50</v>
      </c>
      <c r="N1299" s="1" t="n">
        <v>4999</v>
      </c>
      <c r="O1299" s="1" t="n">
        <v>0</v>
      </c>
      <c r="P1299" s="1" t="n">
        <v>0</v>
      </c>
      <c r="Q1299" s="1" t="n">
        <v>4999</v>
      </c>
      <c r="R1299" s="1" t="n">
        <v>899.82</v>
      </c>
      <c r="S1299" s="1" t="n">
        <v>4099.18</v>
      </c>
      <c r="T1299" s="1" t="n">
        <v>1810.9</v>
      </c>
      <c r="U1299" s="1" t="n">
        <v>2288.28</v>
      </c>
      <c r="V1299" s="1" t="n">
        <v>55.82</v>
      </c>
      <c r="W1299" s="1" t="s">
        <v>40</v>
      </c>
      <c r="Y1299" s="1" t="s">
        <v>40</v>
      </c>
      <c r="Z1299" s="1" t="n">
        <v>3</v>
      </c>
    </row>
    <row r="1300" customFormat="false" ht="15" hidden="false" customHeight="true" outlineLevel="0" collapsed="false">
      <c r="A1300" s="1" t="s">
        <v>2084</v>
      </c>
      <c r="B1300" s="1" t="s">
        <v>1553</v>
      </c>
      <c r="C1300" s="1" t="s">
        <v>65</v>
      </c>
      <c r="D1300" s="1" t="s">
        <v>168</v>
      </c>
      <c r="E1300" s="1" t="s">
        <v>328</v>
      </c>
      <c r="F1300" s="1" t="s">
        <v>140</v>
      </c>
      <c r="G1300" s="1" t="s">
        <v>97</v>
      </c>
      <c r="H1300" s="1" t="s">
        <v>57</v>
      </c>
      <c r="I1300" s="1" t="s">
        <v>34</v>
      </c>
      <c r="J1300" s="1" t="s">
        <v>77</v>
      </c>
      <c r="K1300" s="1" t="s">
        <v>90</v>
      </c>
      <c r="L1300" s="1" t="s">
        <v>136</v>
      </c>
      <c r="M1300" s="1" t="s">
        <v>38</v>
      </c>
      <c r="N1300" s="1" t="n">
        <v>8999</v>
      </c>
      <c r="O1300" s="1" t="n">
        <v>5</v>
      </c>
      <c r="P1300" s="1" t="n">
        <v>449.95</v>
      </c>
      <c r="Q1300" s="1" t="n">
        <v>8549.05</v>
      </c>
      <c r="R1300" s="1" t="n">
        <v>1538.83</v>
      </c>
      <c r="S1300" s="1" t="n">
        <v>7010.22</v>
      </c>
      <c r="T1300" s="1" t="n">
        <v>3259.81</v>
      </c>
      <c r="U1300" s="1" t="n">
        <v>3750.41</v>
      </c>
      <c r="V1300" s="1" t="n">
        <v>53.5</v>
      </c>
      <c r="W1300" s="1" t="s">
        <v>39</v>
      </c>
      <c r="X1300" s="1" t="n">
        <v>4</v>
      </c>
      <c r="Y1300" s="1" t="s">
        <v>40</v>
      </c>
      <c r="Z1300" s="1" t="n">
        <v>0</v>
      </c>
    </row>
    <row r="1301" customFormat="false" ht="15" hidden="false" customHeight="true" outlineLevel="0" collapsed="false">
      <c r="A1301" s="1" t="s">
        <v>2085</v>
      </c>
      <c r="B1301" s="1" t="s">
        <v>2086</v>
      </c>
      <c r="C1301" s="1" t="s">
        <v>167</v>
      </c>
      <c r="D1301" s="1" t="s">
        <v>168</v>
      </c>
      <c r="E1301" s="1" t="s">
        <v>328</v>
      </c>
      <c r="F1301" s="1" t="s">
        <v>55</v>
      </c>
      <c r="G1301" s="1" t="s">
        <v>56</v>
      </c>
      <c r="H1301" s="1" t="s">
        <v>57</v>
      </c>
      <c r="I1301" s="1" t="s">
        <v>58</v>
      </c>
      <c r="J1301" s="1" t="s">
        <v>59</v>
      </c>
      <c r="K1301" s="1" t="s">
        <v>36</v>
      </c>
      <c r="L1301" s="1" t="s">
        <v>136</v>
      </c>
      <c r="M1301" s="1" t="s">
        <v>62</v>
      </c>
      <c r="N1301" s="1" t="n">
        <v>8999</v>
      </c>
      <c r="O1301" s="1" t="n">
        <v>0</v>
      </c>
      <c r="P1301" s="1" t="n">
        <v>0</v>
      </c>
      <c r="Q1301" s="1" t="n">
        <v>8999</v>
      </c>
      <c r="R1301" s="1" t="n">
        <v>1619.82</v>
      </c>
      <c r="S1301" s="1" t="n">
        <v>7379.18</v>
      </c>
      <c r="T1301" s="1" t="n">
        <v>3163.85</v>
      </c>
      <c r="U1301" s="1" t="n">
        <v>4215.33</v>
      </c>
      <c r="V1301" s="1" t="n">
        <v>57.12</v>
      </c>
      <c r="W1301" s="1" t="s">
        <v>40</v>
      </c>
      <c r="Y1301" s="1" t="s">
        <v>40</v>
      </c>
      <c r="Z1301" s="1" t="n">
        <v>2</v>
      </c>
    </row>
    <row r="1302" customFormat="false" ht="15" hidden="false" customHeight="true" outlineLevel="0" collapsed="false">
      <c r="A1302" s="1" t="s">
        <v>2087</v>
      </c>
      <c r="B1302" s="1" t="s">
        <v>1727</v>
      </c>
      <c r="C1302" s="1" t="s">
        <v>88</v>
      </c>
      <c r="D1302" s="1" t="s">
        <v>94</v>
      </c>
      <c r="E1302" s="1" t="s">
        <v>95</v>
      </c>
      <c r="F1302" s="1" t="s">
        <v>156</v>
      </c>
      <c r="G1302" s="1" t="s">
        <v>68</v>
      </c>
      <c r="H1302" s="1" t="s">
        <v>57</v>
      </c>
      <c r="I1302" s="1" t="s">
        <v>34</v>
      </c>
      <c r="J1302" s="1" t="s">
        <v>59</v>
      </c>
      <c r="K1302" s="1" t="s">
        <v>36</v>
      </c>
      <c r="L1302" s="1" t="s">
        <v>85</v>
      </c>
      <c r="M1302" s="1" t="s">
        <v>62</v>
      </c>
      <c r="N1302" s="1" t="n">
        <v>6999</v>
      </c>
      <c r="O1302" s="1" t="n">
        <v>0</v>
      </c>
      <c r="P1302" s="1" t="n">
        <v>0</v>
      </c>
      <c r="Q1302" s="1" t="n">
        <v>6999</v>
      </c>
      <c r="R1302" s="1" t="n">
        <v>1259.82</v>
      </c>
      <c r="S1302" s="1" t="n">
        <v>5739.18</v>
      </c>
      <c r="T1302" s="1" t="n">
        <v>2176.22</v>
      </c>
      <c r="U1302" s="1" t="n">
        <v>3562.96</v>
      </c>
      <c r="V1302" s="1" t="n">
        <v>62.08</v>
      </c>
      <c r="W1302" s="1" t="s">
        <v>40</v>
      </c>
      <c r="Y1302" s="1" t="s">
        <v>40</v>
      </c>
      <c r="Z1302" s="1" t="n">
        <v>0</v>
      </c>
    </row>
    <row r="1303" customFormat="false" ht="15" hidden="false" customHeight="true" outlineLevel="0" collapsed="false">
      <c r="A1303" s="1" t="s">
        <v>2088</v>
      </c>
      <c r="B1303" s="1" t="s">
        <v>441</v>
      </c>
      <c r="C1303" s="1" t="s">
        <v>178</v>
      </c>
      <c r="D1303" s="1" t="s">
        <v>123</v>
      </c>
      <c r="E1303" s="1" t="s">
        <v>124</v>
      </c>
      <c r="F1303" s="1" t="s">
        <v>102</v>
      </c>
      <c r="G1303" s="1" t="s">
        <v>103</v>
      </c>
      <c r="H1303" s="1" t="s">
        <v>33</v>
      </c>
      <c r="I1303" s="1" t="s">
        <v>34</v>
      </c>
      <c r="J1303" s="1" t="s">
        <v>70</v>
      </c>
      <c r="K1303" s="1" t="s">
        <v>71</v>
      </c>
      <c r="L1303" s="1" t="s">
        <v>49</v>
      </c>
      <c r="M1303" s="1" t="s">
        <v>50</v>
      </c>
      <c r="N1303" s="1" t="n">
        <v>4999</v>
      </c>
      <c r="O1303" s="1" t="n">
        <v>40</v>
      </c>
      <c r="P1303" s="1" t="n">
        <v>1999.6</v>
      </c>
      <c r="Q1303" s="1" t="n">
        <v>2999.4</v>
      </c>
      <c r="R1303" s="1" t="n">
        <v>539.89</v>
      </c>
      <c r="S1303" s="1" t="n">
        <v>2459.51</v>
      </c>
      <c r="T1303" s="1" t="n">
        <v>1248.59</v>
      </c>
      <c r="U1303" s="1" t="n">
        <v>1210.92</v>
      </c>
      <c r="V1303" s="1" t="n">
        <v>49.23</v>
      </c>
      <c r="W1303" s="1" t="s">
        <v>39</v>
      </c>
      <c r="X1303" s="1" t="n">
        <v>4.1</v>
      </c>
      <c r="Y1303" s="1" t="s">
        <v>40</v>
      </c>
      <c r="Z1303" s="1" t="n">
        <v>0</v>
      </c>
    </row>
    <row r="1304" customFormat="false" ht="15" hidden="false" customHeight="true" outlineLevel="0" collapsed="false">
      <c r="A1304" s="1" t="s">
        <v>2089</v>
      </c>
      <c r="B1304" s="1" t="s">
        <v>616</v>
      </c>
      <c r="C1304" s="1" t="s">
        <v>93</v>
      </c>
      <c r="D1304" s="1" t="s">
        <v>123</v>
      </c>
      <c r="E1304" s="1" t="s">
        <v>124</v>
      </c>
      <c r="F1304" s="1" t="s">
        <v>55</v>
      </c>
      <c r="G1304" s="1" t="s">
        <v>56</v>
      </c>
      <c r="H1304" s="1" t="s">
        <v>57</v>
      </c>
      <c r="I1304" s="1" t="s">
        <v>83</v>
      </c>
      <c r="J1304" s="1" t="s">
        <v>35</v>
      </c>
      <c r="K1304" s="1" t="s">
        <v>84</v>
      </c>
      <c r="L1304" s="1" t="s">
        <v>49</v>
      </c>
      <c r="M1304" s="1" t="s">
        <v>50</v>
      </c>
      <c r="N1304" s="1" t="n">
        <v>4999</v>
      </c>
      <c r="O1304" s="1" t="n">
        <v>30</v>
      </c>
      <c r="P1304" s="1" t="n">
        <v>1499.7</v>
      </c>
      <c r="Q1304" s="1" t="n">
        <v>3499.3</v>
      </c>
      <c r="R1304" s="1" t="n">
        <v>629.87</v>
      </c>
      <c r="S1304" s="1" t="n">
        <v>2869.43</v>
      </c>
      <c r="T1304" s="1" t="n">
        <v>1441.67</v>
      </c>
      <c r="U1304" s="1" t="n">
        <v>1427.76</v>
      </c>
      <c r="V1304" s="1" t="n">
        <v>49.76</v>
      </c>
      <c r="W1304" s="1" t="s">
        <v>40</v>
      </c>
      <c r="Y1304" s="1" t="s">
        <v>39</v>
      </c>
      <c r="Z1304" s="1" t="n">
        <v>0</v>
      </c>
    </row>
    <row r="1305" customFormat="false" ht="15" hidden="false" customHeight="true" outlineLevel="0" collapsed="false">
      <c r="A1305" s="1" t="s">
        <v>2090</v>
      </c>
      <c r="B1305" s="1" t="s">
        <v>1107</v>
      </c>
      <c r="C1305" s="1" t="s">
        <v>43</v>
      </c>
      <c r="D1305" s="1" t="s">
        <v>53</v>
      </c>
      <c r="E1305" s="1" t="s">
        <v>54</v>
      </c>
      <c r="F1305" s="1" t="s">
        <v>140</v>
      </c>
      <c r="G1305" s="1" t="s">
        <v>97</v>
      </c>
      <c r="H1305" s="1" t="s">
        <v>57</v>
      </c>
      <c r="I1305" s="1" t="s">
        <v>34</v>
      </c>
      <c r="J1305" s="1" t="s">
        <v>35</v>
      </c>
      <c r="K1305" s="1" t="s">
        <v>112</v>
      </c>
      <c r="L1305" s="1" t="s">
        <v>85</v>
      </c>
      <c r="M1305" s="1" t="s">
        <v>38</v>
      </c>
      <c r="N1305" s="1" t="n">
        <v>11999</v>
      </c>
      <c r="O1305" s="1" t="n">
        <v>0</v>
      </c>
      <c r="P1305" s="1" t="n">
        <v>0</v>
      </c>
      <c r="Q1305" s="1" t="n">
        <v>11999</v>
      </c>
      <c r="R1305" s="1" t="n">
        <v>2159.82</v>
      </c>
      <c r="S1305" s="1" t="n">
        <v>9839.18</v>
      </c>
      <c r="T1305" s="1" t="n">
        <v>4252.93</v>
      </c>
      <c r="U1305" s="1" t="n">
        <v>5586.25</v>
      </c>
      <c r="V1305" s="1" t="n">
        <v>56.78</v>
      </c>
      <c r="W1305" s="1" t="s">
        <v>39</v>
      </c>
      <c r="X1305" s="1" t="n">
        <v>3.5</v>
      </c>
      <c r="Y1305" s="1" t="s">
        <v>40</v>
      </c>
      <c r="Z1305" s="1" t="n">
        <v>0</v>
      </c>
    </row>
    <row r="1306" customFormat="false" ht="15" hidden="false" customHeight="true" outlineLevel="0" collapsed="false">
      <c r="A1306" s="1" t="s">
        <v>2091</v>
      </c>
      <c r="B1306" s="1" t="s">
        <v>1246</v>
      </c>
      <c r="C1306" s="1" t="s">
        <v>178</v>
      </c>
      <c r="D1306" s="1" t="s">
        <v>29</v>
      </c>
      <c r="E1306" s="1" t="s">
        <v>182</v>
      </c>
      <c r="F1306" s="1" t="s">
        <v>55</v>
      </c>
      <c r="G1306" s="1" t="s">
        <v>56</v>
      </c>
      <c r="H1306" s="1" t="s">
        <v>57</v>
      </c>
      <c r="I1306" s="1" t="s">
        <v>83</v>
      </c>
      <c r="J1306" s="1" t="s">
        <v>131</v>
      </c>
      <c r="K1306" s="1" t="s">
        <v>71</v>
      </c>
      <c r="L1306" s="1" t="s">
        <v>85</v>
      </c>
      <c r="M1306" s="1" t="s">
        <v>38</v>
      </c>
      <c r="N1306" s="1" t="n">
        <v>34999</v>
      </c>
      <c r="O1306" s="1" t="n">
        <v>10</v>
      </c>
      <c r="P1306" s="1" t="n">
        <v>3499.9</v>
      </c>
      <c r="Q1306" s="1" t="n">
        <v>31499.1</v>
      </c>
      <c r="R1306" s="1" t="n">
        <v>5669.84</v>
      </c>
      <c r="S1306" s="1" t="n">
        <v>25829.26</v>
      </c>
      <c r="T1306" s="1" t="n">
        <v>10660.93</v>
      </c>
      <c r="U1306" s="1" t="n">
        <v>15168.33</v>
      </c>
      <c r="V1306" s="1" t="n">
        <v>58.73</v>
      </c>
      <c r="W1306" s="1" t="s">
        <v>39</v>
      </c>
      <c r="X1306" s="1" t="n">
        <v>3.4</v>
      </c>
      <c r="Y1306" s="1" t="s">
        <v>40</v>
      </c>
      <c r="Z1306" s="1" t="n">
        <v>0</v>
      </c>
    </row>
    <row r="1307" customFormat="false" ht="15" hidden="false" customHeight="true" outlineLevel="0" collapsed="false">
      <c r="A1307" s="1" t="s">
        <v>2092</v>
      </c>
      <c r="B1307" s="1" t="s">
        <v>1316</v>
      </c>
      <c r="C1307" s="1" t="s">
        <v>134</v>
      </c>
      <c r="D1307" s="1" t="s">
        <v>168</v>
      </c>
      <c r="E1307" s="1" t="s">
        <v>172</v>
      </c>
      <c r="F1307" s="1" t="s">
        <v>184</v>
      </c>
      <c r="G1307" s="1" t="s">
        <v>56</v>
      </c>
      <c r="H1307" s="1" t="s">
        <v>57</v>
      </c>
      <c r="I1307" s="1" t="s">
        <v>58</v>
      </c>
      <c r="J1307" s="1" t="s">
        <v>131</v>
      </c>
      <c r="K1307" s="1" t="s">
        <v>84</v>
      </c>
      <c r="L1307" s="1" t="s">
        <v>61</v>
      </c>
      <c r="M1307" s="1" t="s">
        <v>50</v>
      </c>
      <c r="N1307" s="1" t="n">
        <v>6999</v>
      </c>
      <c r="O1307" s="1" t="n">
        <v>30</v>
      </c>
      <c r="P1307" s="1" t="n">
        <v>2099.7</v>
      </c>
      <c r="Q1307" s="1" t="n">
        <v>4899.3</v>
      </c>
      <c r="R1307" s="1" t="n">
        <v>881.87</v>
      </c>
      <c r="S1307" s="1" t="n">
        <v>4017.43</v>
      </c>
      <c r="T1307" s="1" t="n">
        <v>1622.19</v>
      </c>
      <c r="U1307" s="1" t="n">
        <v>2395.24</v>
      </c>
      <c r="V1307" s="1" t="n">
        <v>59.62</v>
      </c>
      <c r="W1307" s="1" t="s">
        <v>40</v>
      </c>
      <c r="Y1307" s="1" t="s">
        <v>40</v>
      </c>
      <c r="Z1307" s="1" t="n">
        <v>0</v>
      </c>
    </row>
    <row r="1308" customFormat="false" ht="15" hidden="false" customHeight="true" outlineLevel="0" collapsed="false">
      <c r="A1308" s="1" t="s">
        <v>2093</v>
      </c>
      <c r="B1308" s="1" t="s">
        <v>787</v>
      </c>
      <c r="C1308" s="1" t="s">
        <v>88</v>
      </c>
      <c r="D1308" s="1" t="s">
        <v>53</v>
      </c>
      <c r="E1308" s="1" t="s">
        <v>216</v>
      </c>
      <c r="F1308" s="1" t="s">
        <v>102</v>
      </c>
      <c r="G1308" s="1" t="s">
        <v>103</v>
      </c>
      <c r="H1308" s="1" t="s">
        <v>33</v>
      </c>
      <c r="I1308" s="1" t="s">
        <v>83</v>
      </c>
      <c r="J1308" s="1" t="s">
        <v>77</v>
      </c>
      <c r="K1308" s="1" t="s">
        <v>71</v>
      </c>
      <c r="L1308" s="1" t="s">
        <v>37</v>
      </c>
      <c r="M1308" s="1" t="s">
        <v>50</v>
      </c>
      <c r="N1308" s="1" t="n">
        <v>7499</v>
      </c>
      <c r="O1308" s="1" t="n">
        <v>0</v>
      </c>
      <c r="P1308" s="1" t="n">
        <v>0</v>
      </c>
      <c r="Q1308" s="1" t="n">
        <v>7499</v>
      </c>
      <c r="R1308" s="1" t="n">
        <v>1349.82</v>
      </c>
      <c r="S1308" s="1" t="n">
        <v>6149.18</v>
      </c>
      <c r="T1308" s="1" t="n">
        <v>3054.03</v>
      </c>
      <c r="U1308" s="1" t="n">
        <v>3095.15</v>
      </c>
      <c r="V1308" s="1" t="n">
        <v>50.33</v>
      </c>
      <c r="W1308" s="1" t="s">
        <v>39</v>
      </c>
      <c r="X1308" s="1" t="n">
        <v>4.2</v>
      </c>
      <c r="Y1308" s="1" t="s">
        <v>40</v>
      </c>
      <c r="Z1308" s="1" t="n">
        <v>0</v>
      </c>
    </row>
    <row r="1309" customFormat="false" ht="15" hidden="false" customHeight="true" outlineLevel="0" collapsed="false">
      <c r="A1309" s="1" t="s">
        <v>2094</v>
      </c>
      <c r="B1309" s="1" t="s">
        <v>1585</v>
      </c>
      <c r="C1309" s="1" t="s">
        <v>134</v>
      </c>
      <c r="D1309" s="1" t="s">
        <v>94</v>
      </c>
      <c r="E1309" s="1" t="s">
        <v>101</v>
      </c>
      <c r="F1309" s="1" t="s">
        <v>156</v>
      </c>
      <c r="G1309" s="1" t="s">
        <v>68</v>
      </c>
      <c r="H1309" s="1" t="s">
        <v>57</v>
      </c>
      <c r="I1309" s="1" t="s">
        <v>58</v>
      </c>
      <c r="J1309" s="1" t="s">
        <v>35</v>
      </c>
      <c r="K1309" s="1" t="s">
        <v>90</v>
      </c>
      <c r="L1309" s="1" t="s">
        <v>61</v>
      </c>
      <c r="M1309" s="1" t="s">
        <v>38</v>
      </c>
      <c r="N1309" s="1" t="n">
        <v>14999</v>
      </c>
      <c r="O1309" s="1" t="n">
        <v>0</v>
      </c>
      <c r="P1309" s="1" t="n">
        <v>0</v>
      </c>
      <c r="Q1309" s="1" t="n">
        <v>14999</v>
      </c>
      <c r="R1309" s="1" t="n">
        <v>2699.82</v>
      </c>
      <c r="S1309" s="1" t="n">
        <v>12299.18</v>
      </c>
      <c r="T1309" s="1" t="n">
        <v>5778.38</v>
      </c>
      <c r="U1309" s="1" t="n">
        <v>6520.8</v>
      </c>
      <c r="V1309" s="1" t="n">
        <v>53.02</v>
      </c>
      <c r="W1309" s="1" t="s">
        <v>39</v>
      </c>
      <c r="Y1309" s="1" t="s">
        <v>40</v>
      </c>
      <c r="Z1309" s="1" t="n">
        <v>0</v>
      </c>
    </row>
    <row r="1310" customFormat="false" ht="15" hidden="false" customHeight="true" outlineLevel="0" collapsed="false">
      <c r="A1310" s="1" t="s">
        <v>2095</v>
      </c>
      <c r="B1310" s="1" t="s">
        <v>891</v>
      </c>
      <c r="C1310" s="1" t="s">
        <v>167</v>
      </c>
      <c r="D1310" s="1" t="s">
        <v>44</v>
      </c>
      <c r="E1310" s="1" t="s">
        <v>221</v>
      </c>
      <c r="F1310" s="1" t="s">
        <v>102</v>
      </c>
      <c r="G1310" s="1" t="s">
        <v>103</v>
      </c>
      <c r="H1310" s="1" t="s">
        <v>33</v>
      </c>
      <c r="I1310" s="1" t="s">
        <v>58</v>
      </c>
      <c r="J1310" s="1" t="s">
        <v>70</v>
      </c>
      <c r="K1310" s="1" t="s">
        <v>90</v>
      </c>
      <c r="L1310" s="1" t="s">
        <v>113</v>
      </c>
      <c r="M1310" s="1" t="s">
        <v>50</v>
      </c>
      <c r="N1310" s="1" t="n">
        <v>16999</v>
      </c>
      <c r="O1310" s="1" t="n">
        <v>10</v>
      </c>
      <c r="P1310" s="1" t="n">
        <v>1699.9</v>
      </c>
      <c r="Q1310" s="1" t="n">
        <v>15299.1</v>
      </c>
      <c r="R1310" s="1" t="n">
        <v>2753.84</v>
      </c>
      <c r="S1310" s="1" t="n">
        <v>12545.26</v>
      </c>
      <c r="T1310" s="1" t="n">
        <v>5173.74</v>
      </c>
      <c r="U1310" s="1" t="n">
        <v>7371.52</v>
      </c>
      <c r="V1310" s="1" t="n">
        <v>58.76</v>
      </c>
      <c r="W1310" s="1" t="s">
        <v>39</v>
      </c>
      <c r="X1310" s="1" t="n">
        <v>3.6</v>
      </c>
      <c r="Y1310" s="1" t="s">
        <v>40</v>
      </c>
      <c r="Z1310" s="1" t="n">
        <v>1</v>
      </c>
    </row>
    <row r="1311" customFormat="false" ht="15" hidden="false" customHeight="true" outlineLevel="0" collapsed="false">
      <c r="A1311" s="1" t="s">
        <v>2096</v>
      </c>
      <c r="B1311" s="1" t="s">
        <v>378</v>
      </c>
      <c r="C1311" s="1" t="s">
        <v>249</v>
      </c>
      <c r="D1311" s="1" t="s">
        <v>53</v>
      </c>
      <c r="E1311" s="1" t="s">
        <v>54</v>
      </c>
      <c r="F1311" s="1" t="s">
        <v>205</v>
      </c>
      <c r="G1311" s="1" t="s">
        <v>56</v>
      </c>
      <c r="H1311" s="1" t="s">
        <v>69</v>
      </c>
      <c r="I1311" s="1" t="s">
        <v>58</v>
      </c>
      <c r="J1311" s="1" t="s">
        <v>131</v>
      </c>
      <c r="K1311" s="1" t="s">
        <v>60</v>
      </c>
      <c r="L1311" s="1" t="s">
        <v>61</v>
      </c>
      <c r="M1311" s="1" t="s">
        <v>38</v>
      </c>
      <c r="N1311" s="1" t="n">
        <v>11999</v>
      </c>
      <c r="O1311" s="1" t="n">
        <v>0</v>
      </c>
      <c r="P1311" s="1" t="n">
        <v>0</v>
      </c>
      <c r="Q1311" s="1" t="n">
        <v>11999</v>
      </c>
      <c r="R1311" s="1" t="n">
        <v>2159.82</v>
      </c>
      <c r="S1311" s="1" t="n">
        <v>9839.18</v>
      </c>
      <c r="T1311" s="1" t="n">
        <v>3947.68</v>
      </c>
      <c r="U1311" s="1" t="n">
        <v>5891.5</v>
      </c>
      <c r="V1311" s="1" t="n">
        <v>59.88</v>
      </c>
      <c r="W1311" s="1" t="s">
        <v>40</v>
      </c>
      <c r="Y1311" s="1" t="s">
        <v>40</v>
      </c>
      <c r="Z1311" s="1" t="n">
        <v>1</v>
      </c>
    </row>
    <row r="1312" customFormat="false" ht="15" hidden="false" customHeight="true" outlineLevel="0" collapsed="false">
      <c r="A1312" s="1" t="s">
        <v>2097</v>
      </c>
      <c r="B1312" s="1" t="s">
        <v>768</v>
      </c>
      <c r="C1312" s="1" t="s">
        <v>128</v>
      </c>
      <c r="D1312" s="1" t="s">
        <v>123</v>
      </c>
      <c r="E1312" s="1" t="s">
        <v>124</v>
      </c>
      <c r="F1312" s="1" t="s">
        <v>102</v>
      </c>
      <c r="G1312" s="1" t="s">
        <v>103</v>
      </c>
      <c r="H1312" s="1" t="s">
        <v>33</v>
      </c>
      <c r="I1312" s="1" t="s">
        <v>58</v>
      </c>
      <c r="J1312" s="1" t="s">
        <v>59</v>
      </c>
      <c r="K1312" s="1" t="s">
        <v>71</v>
      </c>
      <c r="L1312" s="1" t="s">
        <v>61</v>
      </c>
      <c r="M1312" s="1" t="s">
        <v>38</v>
      </c>
      <c r="N1312" s="1" t="n">
        <v>4999</v>
      </c>
      <c r="O1312" s="1" t="n">
        <v>30</v>
      </c>
      <c r="P1312" s="1" t="n">
        <v>1499.7</v>
      </c>
      <c r="Q1312" s="1" t="n">
        <v>3499.3</v>
      </c>
      <c r="R1312" s="1" t="n">
        <v>629.87</v>
      </c>
      <c r="S1312" s="1" t="n">
        <v>2869.43</v>
      </c>
      <c r="T1312" s="1" t="n">
        <v>1277.37</v>
      </c>
      <c r="U1312" s="1" t="n">
        <v>1592.06</v>
      </c>
      <c r="V1312" s="1" t="n">
        <v>55.48</v>
      </c>
      <c r="W1312" s="1" t="s">
        <v>39</v>
      </c>
      <c r="X1312" s="1" t="n">
        <v>4.3</v>
      </c>
      <c r="Y1312" s="1" t="s">
        <v>40</v>
      </c>
      <c r="Z1312" s="1" t="n">
        <v>1</v>
      </c>
    </row>
    <row r="1313" customFormat="false" ht="15" hidden="false" customHeight="true" outlineLevel="0" collapsed="false">
      <c r="A1313" s="1" t="s">
        <v>2098</v>
      </c>
      <c r="B1313" s="1" t="s">
        <v>180</v>
      </c>
      <c r="C1313" s="1" t="s">
        <v>119</v>
      </c>
      <c r="D1313" s="1" t="s">
        <v>168</v>
      </c>
      <c r="E1313" s="1" t="s">
        <v>169</v>
      </c>
      <c r="F1313" s="1" t="s">
        <v>194</v>
      </c>
      <c r="G1313" s="1" t="s">
        <v>103</v>
      </c>
      <c r="H1313" s="1" t="s">
        <v>69</v>
      </c>
      <c r="I1313" s="1" t="s">
        <v>58</v>
      </c>
      <c r="J1313" s="1" t="s">
        <v>35</v>
      </c>
      <c r="K1313" s="1" t="s">
        <v>48</v>
      </c>
      <c r="L1313" s="1" t="s">
        <v>85</v>
      </c>
      <c r="M1313" s="1" t="s">
        <v>38</v>
      </c>
      <c r="N1313" s="1" t="n">
        <v>4999</v>
      </c>
      <c r="O1313" s="1" t="n">
        <v>50</v>
      </c>
      <c r="P1313" s="1" t="n">
        <v>2499.5</v>
      </c>
      <c r="Q1313" s="1" t="n">
        <v>2499.5</v>
      </c>
      <c r="R1313" s="1" t="n">
        <v>449.91</v>
      </c>
      <c r="S1313" s="1" t="n">
        <v>2049.59</v>
      </c>
      <c r="T1313" s="1" t="n">
        <v>1217.58</v>
      </c>
      <c r="U1313" s="1" t="n">
        <v>832.01</v>
      </c>
      <c r="V1313" s="1" t="n">
        <v>40.59</v>
      </c>
      <c r="W1313" s="1" t="s">
        <v>40</v>
      </c>
      <c r="Y1313" s="1" t="s">
        <v>40</v>
      </c>
      <c r="Z1313" s="1" t="n">
        <v>2</v>
      </c>
    </row>
    <row r="1314" customFormat="false" ht="15" hidden="false" customHeight="true" outlineLevel="0" collapsed="false">
      <c r="A1314" s="1" t="s">
        <v>2099</v>
      </c>
      <c r="B1314" s="1" t="s">
        <v>42</v>
      </c>
      <c r="C1314" s="1" t="s">
        <v>93</v>
      </c>
      <c r="D1314" s="1" t="s">
        <v>53</v>
      </c>
      <c r="E1314" s="1" t="s">
        <v>116</v>
      </c>
      <c r="F1314" s="1" t="s">
        <v>125</v>
      </c>
      <c r="G1314" s="1" t="s">
        <v>108</v>
      </c>
      <c r="H1314" s="1" t="s">
        <v>69</v>
      </c>
      <c r="I1314" s="1" t="s">
        <v>34</v>
      </c>
      <c r="J1314" s="1" t="s">
        <v>77</v>
      </c>
      <c r="K1314" s="1" t="s">
        <v>104</v>
      </c>
      <c r="L1314" s="1" t="s">
        <v>113</v>
      </c>
      <c r="M1314" s="1" t="s">
        <v>38</v>
      </c>
      <c r="N1314" s="1" t="n">
        <v>9999</v>
      </c>
      <c r="O1314" s="1" t="n">
        <v>30</v>
      </c>
      <c r="P1314" s="1" t="n">
        <v>2999.7</v>
      </c>
      <c r="Q1314" s="1" t="n">
        <v>6999.3</v>
      </c>
      <c r="R1314" s="1" t="n">
        <v>1259.87</v>
      </c>
      <c r="S1314" s="1" t="n">
        <v>5739.43</v>
      </c>
      <c r="T1314" s="1" t="n">
        <v>2336.41</v>
      </c>
      <c r="U1314" s="1" t="n">
        <v>3403.02</v>
      </c>
      <c r="V1314" s="1" t="n">
        <v>59.29</v>
      </c>
      <c r="W1314" s="1" t="s">
        <v>40</v>
      </c>
      <c r="Y1314" s="1" t="s">
        <v>40</v>
      </c>
      <c r="Z1314" s="1" t="n">
        <v>0</v>
      </c>
    </row>
    <row r="1315" customFormat="false" ht="15" hidden="false" customHeight="true" outlineLevel="0" collapsed="false">
      <c r="A1315" s="1" t="s">
        <v>2100</v>
      </c>
      <c r="B1315" s="1" t="s">
        <v>555</v>
      </c>
      <c r="C1315" s="1" t="s">
        <v>1811</v>
      </c>
      <c r="D1315" s="1" t="s">
        <v>143</v>
      </c>
      <c r="E1315" s="1" t="s">
        <v>144</v>
      </c>
      <c r="F1315" s="1" t="s">
        <v>82</v>
      </c>
      <c r="G1315" s="1" t="s">
        <v>56</v>
      </c>
      <c r="H1315" s="1" t="s">
        <v>69</v>
      </c>
      <c r="I1315" s="1" t="s">
        <v>58</v>
      </c>
      <c r="J1315" s="1" t="s">
        <v>35</v>
      </c>
      <c r="K1315" s="1" t="s">
        <v>60</v>
      </c>
      <c r="L1315" s="1" t="s">
        <v>113</v>
      </c>
      <c r="M1315" s="1" t="s">
        <v>62</v>
      </c>
      <c r="N1315" s="1" t="n">
        <v>12999</v>
      </c>
      <c r="O1315" s="1" t="n">
        <v>50</v>
      </c>
      <c r="P1315" s="1" t="n">
        <v>6499.5</v>
      </c>
      <c r="Q1315" s="1" t="n">
        <v>6499.5</v>
      </c>
      <c r="R1315" s="1" t="n">
        <v>1169.91</v>
      </c>
      <c r="S1315" s="1" t="n">
        <v>5329.59</v>
      </c>
      <c r="T1315" s="1" t="n">
        <v>2649.12</v>
      </c>
      <c r="U1315" s="1" t="n">
        <v>2680.47</v>
      </c>
      <c r="V1315" s="1" t="n">
        <v>50.29</v>
      </c>
      <c r="W1315" s="1" t="s">
        <v>40</v>
      </c>
      <c r="Y1315" s="1" t="s">
        <v>40</v>
      </c>
      <c r="Z1315" s="1" t="n">
        <v>0</v>
      </c>
    </row>
    <row r="1316" customFormat="false" ht="15" hidden="false" customHeight="true" outlineLevel="0" collapsed="false">
      <c r="A1316" s="1" t="s">
        <v>2101</v>
      </c>
      <c r="B1316" s="1" t="s">
        <v>2102</v>
      </c>
      <c r="C1316" s="1" t="s">
        <v>43</v>
      </c>
      <c r="D1316" s="1" t="s">
        <v>29</v>
      </c>
      <c r="E1316" s="1" t="s">
        <v>182</v>
      </c>
      <c r="F1316" s="1" t="s">
        <v>96</v>
      </c>
      <c r="G1316" s="1" t="s">
        <v>97</v>
      </c>
      <c r="H1316" s="1" t="s">
        <v>69</v>
      </c>
      <c r="I1316" s="1" t="s">
        <v>34</v>
      </c>
      <c r="J1316" s="1" t="s">
        <v>131</v>
      </c>
      <c r="K1316" s="1" t="s">
        <v>60</v>
      </c>
      <c r="L1316" s="1" t="s">
        <v>113</v>
      </c>
      <c r="M1316" s="1" t="s">
        <v>38</v>
      </c>
      <c r="N1316" s="1" t="n">
        <v>34999</v>
      </c>
      <c r="O1316" s="1" t="n">
        <v>5</v>
      </c>
      <c r="P1316" s="1" t="n">
        <v>1749.95</v>
      </c>
      <c r="Q1316" s="1" t="n">
        <v>33249.05</v>
      </c>
      <c r="R1316" s="1" t="n">
        <v>5984.83</v>
      </c>
      <c r="S1316" s="1" t="n">
        <v>27264.22</v>
      </c>
      <c r="T1316" s="1" t="n">
        <v>12276.55</v>
      </c>
      <c r="U1316" s="1" t="n">
        <v>14987.67</v>
      </c>
      <c r="V1316" s="1" t="n">
        <v>54.97</v>
      </c>
      <c r="W1316" s="1" t="s">
        <v>39</v>
      </c>
      <c r="Y1316" s="1" t="s">
        <v>40</v>
      </c>
      <c r="Z1316" s="1" t="n">
        <v>0</v>
      </c>
    </row>
    <row r="1317" customFormat="false" ht="15" hidden="false" customHeight="true" outlineLevel="0" collapsed="false">
      <c r="A1317" s="1" t="s">
        <v>2103</v>
      </c>
      <c r="B1317" s="1" t="s">
        <v>201</v>
      </c>
      <c r="C1317" s="1" t="s">
        <v>74</v>
      </c>
      <c r="D1317" s="1" t="s">
        <v>143</v>
      </c>
      <c r="E1317" s="1" t="s">
        <v>243</v>
      </c>
      <c r="F1317" s="1" t="s">
        <v>244</v>
      </c>
      <c r="G1317" s="1" t="s">
        <v>97</v>
      </c>
      <c r="H1317" s="1" t="s">
        <v>57</v>
      </c>
      <c r="I1317" s="1" t="s">
        <v>58</v>
      </c>
      <c r="J1317" s="1" t="s">
        <v>70</v>
      </c>
      <c r="K1317" s="1" t="s">
        <v>60</v>
      </c>
      <c r="L1317" s="1" t="s">
        <v>85</v>
      </c>
      <c r="M1317" s="1" t="s">
        <v>38</v>
      </c>
      <c r="N1317" s="1" t="n">
        <v>22999</v>
      </c>
      <c r="O1317" s="1" t="n">
        <v>40</v>
      </c>
      <c r="P1317" s="1" t="n">
        <v>9199.6</v>
      </c>
      <c r="Q1317" s="1" t="n">
        <v>13799.4</v>
      </c>
      <c r="R1317" s="1" t="n">
        <v>2483.89</v>
      </c>
      <c r="S1317" s="1" t="n">
        <v>11315.51</v>
      </c>
      <c r="T1317" s="1" t="n">
        <v>7072.62</v>
      </c>
      <c r="U1317" s="1" t="n">
        <v>4242.89</v>
      </c>
      <c r="V1317" s="1" t="n">
        <v>37.5</v>
      </c>
      <c r="W1317" s="1" t="s">
        <v>39</v>
      </c>
      <c r="X1317" s="1" t="n">
        <v>3.5</v>
      </c>
      <c r="Y1317" s="1" t="s">
        <v>40</v>
      </c>
      <c r="Z1317" s="1" t="n">
        <v>0</v>
      </c>
    </row>
    <row r="1318" customFormat="false" ht="15" hidden="false" customHeight="true" outlineLevel="0" collapsed="false">
      <c r="A1318" s="1" t="s">
        <v>2104</v>
      </c>
      <c r="B1318" s="1" t="s">
        <v>1756</v>
      </c>
      <c r="C1318" s="1" t="s">
        <v>139</v>
      </c>
      <c r="D1318" s="1" t="s">
        <v>143</v>
      </c>
      <c r="E1318" s="1" t="s">
        <v>243</v>
      </c>
      <c r="F1318" s="1" t="s">
        <v>102</v>
      </c>
      <c r="G1318" s="1" t="s">
        <v>103</v>
      </c>
      <c r="H1318" s="1" t="s">
        <v>33</v>
      </c>
      <c r="I1318" s="1" t="s">
        <v>58</v>
      </c>
      <c r="J1318" s="1" t="s">
        <v>35</v>
      </c>
      <c r="K1318" s="1" t="s">
        <v>84</v>
      </c>
      <c r="L1318" s="1" t="s">
        <v>136</v>
      </c>
      <c r="M1318" s="1" t="s">
        <v>50</v>
      </c>
      <c r="N1318" s="1" t="n">
        <v>22999</v>
      </c>
      <c r="O1318" s="1" t="n">
        <v>0</v>
      </c>
      <c r="P1318" s="1" t="n">
        <v>0</v>
      </c>
      <c r="Q1318" s="1" t="n">
        <v>22999</v>
      </c>
      <c r="R1318" s="1" t="n">
        <v>4139.82</v>
      </c>
      <c r="S1318" s="1" t="n">
        <v>18859.18</v>
      </c>
      <c r="T1318" s="1" t="n">
        <v>9301.58</v>
      </c>
      <c r="U1318" s="1" t="n">
        <v>9557.6</v>
      </c>
      <c r="V1318" s="1" t="n">
        <v>50.68</v>
      </c>
      <c r="W1318" s="1" t="s">
        <v>39</v>
      </c>
      <c r="X1318" s="1" t="n">
        <v>3.3</v>
      </c>
      <c r="Y1318" s="1" t="s">
        <v>40</v>
      </c>
      <c r="Z1318" s="1" t="n">
        <v>0</v>
      </c>
    </row>
    <row r="1319" customFormat="false" ht="15" hidden="false" customHeight="true" outlineLevel="0" collapsed="false">
      <c r="A1319" s="1" t="s">
        <v>2105</v>
      </c>
      <c r="B1319" s="1" t="s">
        <v>406</v>
      </c>
      <c r="C1319" s="1" t="s">
        <v>93</v>
      </c>
      <c r="D1319" s="1" t="s">
        <v>29</v>
      </c>
      <c r="E1319" s="1" t="s">
        <v>129</v>
      </c>
      <c r="F1319" s="1" t="s">
        <v>184</v>
      </c>
      <c r="G1319" s="1" t="s">
        <v>56</v>
      </c>
      <c r="H1319" s="1" t="s">
        <v>57</v>
      </c>
      <c r="I1319" s="1" t="s">
        <v>58</v>
      </c>
      <c r="J1319" s="1" t="s">
        <v>59</v>
      </c>
      <c r="K1319" s="1" t="s">
        <v>60</v>
      </c>
      <c r="L1319" s="1" t="s">
        <v>136</v>
      </c>
      <c r="M1319" s="1" t="s">
        <v>38</v>
      </c>
      <c r="N1319" s="1" t="n">
        <v>29999</v>
      </c>
      <c r="O1319" s="1" t="n">
        <v>15</v>
      </c>
      <c r="P1319" s="1" t="n">
        <v>4499.85</v>
      </c>
      <c r="Q1319" s="1" t="n">
        <v>25499.15</v>
      </c>
      <c r="R1319" s="1" t="n">
        <v>4589.85</v>
      </c>
      <c r="S1319" s="1" t="n">
        <v>20909.3</v>
      </c>
      <c r="T1319" s="1" t="n">
        <v>8492.43</v>
      </c>
      <c r="U1319" s="1" t="n">
        <v>12416.87</v>
      </c>
      <c r="V1319" s="1" t="n">
        <v>59.38</v>
      </c>
      <c r="W1319" s="1" t="s">
        <v>40</v>
      </c>
      <c r="Y1319" s="1" t="s">
        <v>40</v>
      </c>
      <c r="Z1319" s="1" t="n">
        <v>0</v>
      </c>
    </row>
    <row r="1320" customFormat="false" ht="15" hidden="false" customHeight="true" outlineLevel="0" collapsed="false">
      <c r="A1320" s="1" t="s">
        <v>2106</v>
      </c>
      <c r="B1320" s="1" t="s">
        <v>683</v>
      </c>
      <c r="C1320" s="1" t="s">
        <v>65</v>
      </c>
      <c r="D1320" s="1" t="s">
        <v>29</v>
      </c>
      <c r="E1320" s="1" t="s">
        <v>305</v>
      </c>
      <c r="F1320" s="1" t="s">
        <v>89</v>
      </c>
      <c r="G1320" s="1" t="s">
        <v>68</v>
      </c>
      <c r="H1320" s="1" t="s">
        <v>33</v>
      </c>
      <c r="I1320" s="1" t="s">
        <v>83</v>
      </c>
      <c r="J1320" s="1" t="s">
        <v>70</v>
      </c>
      <c r="K1320" s="1" t="s">
        <v>36</v>
      </c>
      <c r="L1320" s="1" t="s">
        <v>113</v>
      </c>
      <c r="M1320" s="1" t="s">
        <v>62</v>
      </c>
      <c r="N1320" s="1" t="n">
        <v>24999</v>
      </c>
      <c r="O1320" s="1" t="n">
        <v>40</v>
      </c>
      <c r="P1320" s="1" t="n">
        <v>9999.6</v>
      </c>
      <c r="Q1320" s="1" t="n">
        <v>14999.4</v>
      </c>
      <c r="R1320" s="1" t="n">
        <v>2699.89</v>
      </c>
      <c r="S1320" s="1" t="n">
        <v>12299.51</v>
      </c>
      <c r="T1320" s="1" t="n">
        <v>6058.64</v>
      </c>
      <c r="U1320" s="1" t="n">
        <v>6240.87</v>
      </c>
      <c r="V1320" s="1" t="n">
        <v>50.74</v>
      </c>
      <c r="W1320" s="1" t="s">
        <v>39</v>
      </c>
      <c r="X1320" s="1" t="n">
        <v>3.7</v>
      </c>
      <c r="Y1320" s="1" t="s">
        <v>40</v>
      </c>
      <c r="Z1320" s="1" t="n">
        <v>0</v>
      </c>
    </row>
    <row r="1321" customFormat="false" ht="15" hidden="false" customHeight="true" outlineLevel="0" collapsed="false">
      <c r="A1321" s="1" t="s">
        <v>2107</v>
      </c>
      <c r="B1321" s="1" t="s">
        <v>1773</v>
      </c>
      <c r="C1321" s="1" t="s">
        <v>119</v>
      </c>
      <c r="D1321" s="1" t="s">
        <v>168</v>
      </c>
      <c r="E1321" s="1" t="s">
        <v>169</v>
      </c>
      <c r="F1321" s="1" t="s">
        <v>55</v>
      </c>
      <c r="G1321" s="1" t="s">
        <v>56</v>
      </c>
      <c r="H1321" s="1" t="s">
        <v>57</v>
      </c>
      <c r="I1321" s="1" t="s">
        <v>83</v>
      </c>
      <c r="J1321" s="1" t="s">
        <v>59</v>
      </c>
      <c r="K1321" s="1" t="s">
        <v>112</v>
      </c>
      <c r="L1321" s="1" t="s">
        <v>49</v>
      </c>
      <c r="M1321" s="1" t="s">
        <v>38</v>
      </c>
      <c r="N1321" s="1" t="n">
        <v>4999</v>
      </c>
      <c r="O1321" s="1" t="n">
        <v>0</v>
      </c>
      <c r="P1321" s="1" t="n">
        <v>0</v>
      </c>
      <c r="Q1321" s="1" t="n">
        <v>4999</v>
      </c>
      <c r="R1321" s="1" t="n">
        <v>899.82</v>
      </c>
      <c r="S1321" s="1" t="n">
        <v>4099.18</v>
      </c>
      <c r="T1321" s="1" t="n">
        <v>2107.42</v>
      </c>
      <c r="U1321" s="1" t="n">
        <v>1991.76</v>
      </c>
      <c r="V1321" s="1" t="n">
        <v>48.59</v>
      </c>
      <c r="W1321" s="1" t="s">
        <v>40</v>
      </c>
      <c r="Y1321" s="1" t="s">
        <v>40</v>
      </c>
      <c r="Z1321" s="1" t="n">
        <v>0</v>
      </c>
    </row>
    <row r="1322" customFormat="false" ht="15" hidden="false" customHeight="true" outlineLevel="0" collapsed="false">
      <c r="A1322" s="1" t="s">
        <v>2108</v>
      </c>
      <c r="B1322" s="1" t="s">
        <v>1369</v>
      </c>
      <c r="C1322" s="1" t="s">
        <v>43</v>
      </c>
      <c r="D1322" s="1" t="s">
        <v>80</v>
      </c>
      <c r="E1322" s="1" t="s">
        <v>81</v>
      </c>
      <c r="F1322" s="1" t="s">
        <v>46</v>
      </c>
      <c r="G1322" s="1" t="s">
        <v>47</v>
      </c>
      <c r="H1322" s="1" t="s">
        <v>33</v>
      </c>
      <c r="I1322" s="1" t="s">
        <v>58</v>
      </c>
      <c r="J1322" s="1" t="s">
        <v>77</v>
      </c>
      <c r="K1322" s="1" t="s">
        <v>104</v>
      </c>
      <c r="L1322" s="1" t="s">
        <v>85</v>
      </c>
      <c r="M1322" s="1" t="s">
        <v>62</v>
      </c>
      <c r="N1322" s="1" t="n">
        <v>12999</v>
      </c>
      <c r="O1322" s="1" t="n">
        <v>50</v>
      </c>
      <c r="P1322" s="1" t="n">
        <v>6499.5</v>
      </c>
      <c r="Q1322" s="1" t="n">
        <v>6499.5</v>
      </c>
      <c r="R1322" s="1" t="n">
        <v>1169.91</v>
      </c>
      <c r="S1322" s="1" t="n">
        <v>5329.59</v>
      </c>
      <c r="T1322" s="1" t="n">
        <v>3056.68</v>
      </c>
      <c r="U1322" s="1" t="n">
        <v>2272.91</v>
      </c>
      <c r="V1322" s="1" t="n">
        <v>42.65</v>
      </c>
      <c r="W1322" s="1" t="s">
        <v>39</v>
      </c>
      <c r="X1322" s="1" t="n">
        <v>4</v>
      </c>
      <c r="Y1322" s="1" t="s">
        <v>40</v>
      </c>
      <c r="Z1322" s="1" t="n">
        <v>0</v>
      </c>
    </row>
    <row r="1323" customFormat="false" ht="15" hidden="false" customHeight="true" outlineLevel="0" collapsed="false">
      <c r="A1323" s="1" t="s">
        <v>2109</v>
      </c>
      <c r="B1323" s="1" t="s">
        <v>2110</v>
      </c>
      <c r="C1323" s="1" t="s">
        <v>249</v>
      </c>
      <c r="D1323" s="1" t="s">
        <v>44</v>
      </c>
      <c r="E1323" s="1" t="s">
        <v>66</v>
      </c>
      <c r="F1323" s="1" t="s">
        <v>31</v>
      </c>
      <c r="G1323" s="1" t="s">
        <v>32</v>
      </c>
      <c r="H1323" s="1" t="s">
        <v>33</v>
      </c>
      <c r="I1323" s="1" t="s">
        <v>83</v>
      </c>
      <c r="J1323" s="1" t="s">
        <v>35</v>
      </c>
      <c r="K1323" s="1" t="s">
        <v>71</v>
      </c>
      <c r="L1323" s="1" t="s">
        <v>113</v>
      </c>
      <c r="M1323" s="1" t="s">
        <v>38</v>
      </c>
      <c r="N1323" s="1" t="n">
        <v>12999</v>
      </c>
      <c r="O1323" s="1" t="n">
        <v>5</v>
      </c>
      <c r="P1323" s="1" t="n">
        <v>649.95</v>
      </c>
      <c r="Q1323" s="1" t="n">
        <v>12349.05</v>
      </c>
      <c r="R1323" s="1" t="n">
        <v>2222.83</v>
      </c>
      <c r="S1323" s="1" t="n">
        <v>10126.22</v>
      </c>
      <c r="T1323" s="1" t="n">
        <v>3718.67</v>
      </c>
      <c r="U1323" s="1" t="n">
        <v>6407.55</v>
      </c>
      <c r="V1323" s="1" t="n">
        <v>63.28</v>
      </c>
      <c r="W1323" s="1" t="s">
        <v>39</v>
      </c>
      <c r="X1323" s="1" t="n">
        <v>3.7</v>
      </c>
      <c r="Y1323" s="1" t="s">
        <v>40</v>
      </c>
      <c r="Z1323" s="1" t="n">
        <v>0</v>
      </c>
    </row>
    <row r="1324" customFormat="false" ht="15" hidden="false" customHeight="true" outlineLevel="0" collapsed="false">
      <c r="A1324" s="1" t="s">
        <v>2111</v>
      </c>
      <c r="B1324" s="1" t="s">
        <v>913</v>
      </c>
      <c r="C1324" s="1" t="s">
        <v>100</v>
      </c>
      <c r="D1324" s="1" t="s">
        <v>53</v>
      </c>
      <c r="E1324" s="1" t="s">
        <v>116</v>
      </c>
      <c r="F1324" s="1" t="s">
        <v>194</v>
      </c>
      <c r="G1324" s="1" t="s">
        <v>103</v>
      </c>
      <c r="H1324" s="1" t="s">
        <v>69</v>
      </c>
      <c r="I1324" s="1" t="s">
        <v>83</v>
      </c>
      <c r="J1324" s="1" t="s">
        <v>35</v>
      </c>
      <c r="K1324" s="1" t="s">
        <v>60</v>
      </c>
      <c r="L1324" s="1" t="s">
        <v>49</v>
      </c>
      <c r="M1324" s="1" t="s">
        <v>38</v>
      </c>
      <c r="N1324" s="1" t="n">
        <v>9999</v>
      </c>
      <c r="O1324" s="1" t="n">
        <v>50</v>
      </c>
      <c r="P1324" s="1" t="n">
        <v>4999.5</v>
      </c>
      <c r="Q1324" s="1" t="n">
        <v>4999.5</v>
      </c>
      <c r="R1324" s="1" t="n">
        <v>899.91</v>
      </c>
      <c r="S1324" s="1" t="n">
        <v>4099.59</v>
      </c>
      <c r="T1324" s="1" t="n">
        <v>2118.78</v>
      </c>
      <c r="U1324" s="1" t="n">
        <v>1980.81</v>
      </c>
      <c r="V1324" s="1" t="n">
        <v>48.32</v>
      </c>
      <c r="W1324" s="1" t="s">
        <v>39</v>
      </c>
      <c r="Y1324" s="1" t="s">
        <v>40</v>
      </c>
      <c r="Z1324" s="1" t="n">
        <v>0</v>
      </c>
    </row>
    <row r="1325" customFormat="false" ht="15" hidden="false" customHeight="true" outlineLevel="0" collapsed="false">
      <c r="A1325" s="1" t="s">
        <v>2112</v>
      </c>
      <c r="B1325" s="1" t="s">
        <v>785</v>
      </c>
      <c r="C1325" s="1" t="s">
        <v>100</v>
      </c>
      <c r="D1325" s="1" t="s">
        <v>29</v>
      </c>
      <c r="E1325" s="1" t="s">
        <v>305</v>
      </c>
      <c r="F1325" s="1" t="s">
        <v>150</v>
      </c>
      <c r="G1325" s="1" t="s">
        <v>32</v>
      </c>
      <c r="H1325" s="1" t="s">
        <v>57</v>
      </c>
      <c r="I1325" s="1" t="s">
        <v>34</v>
      </c>
      <c r="J1325" s="1" t="s">
        <v>59</v>
      </c>
      <c r="K1325" s="1" t="s">
        <v>112</v>
      </c>
      <c r="L1325" s="1" t="s">
        <v>37</v>
      </c>
      <c r="M1325" s="1" t="s">
        <v>50</v>
      </c>
      <c r="N1325" s="1" t="n">
        <v>24999</v>
      </c>
      <c r="O1325" s="1" t="n">
        <v>10</v>
      </c>
      <c r="P1325" s="1" t="n">
        <v>2499.9</v>
      </c>
      <c r="Q1325" s="1" t="n">
        <v>22499.1</v>
      </c>
      <c r="R1325" s="1" t="n">
        <v>4049.84</v>
      </c>
      <c r="S1325" s="1" t="n">
        <v>18449.26</v>
      </c>
      <c r="T1325" s="1" t="n">
        <v>5862.66</v>
      </c>
      <c r="U1325" s="1" t="n">
        <v>12586.6</v>
      </c>
      <c r="V1325" s="1" t="n">
        <v>68.22</v>
      </c>
      <c r="W1325" s="1" t="s">
        <v>39</v>
      </c>
      <c r="Y1325" s="1" t="s">
        <v>40</v>
      </c>
      <c r="Z1325" s="1" t="n">
        <v>0</v>
      </c>
    </row>
    <row r="1326" customFormat="false" ht="15" hidden="false" customHeight="true" outlineLevel="0" collapsed="false">
      <c r="A1326" s="1" t="s">
        <v>2113</v>
      </c>
      <c r="B1326" s="1" t="s">
        <v>1576</v>
      </c>
      <c r="C1326" s="1" t="s">
        <v>88</v>
      </c>
      <c r="D1326" s="1" t="s">
        <v>143</v>
      </c>
      <c r="E1326" s="1" t="s">
        <v>144</v>
      </c>
      <c r="F1326" s="1" t="s">
        <v>130</v>
      </c>
      <c r="G1326" s="1" t="s">
        <v>47</v>
      </c>
      <c r="H1326" s="1" t="s">
        <v>69</v>
      </c>
      <c r="I1326" s="1" t="s">
        <v>58</v>
      </c>
      <c r="J1326" s="1" t="s">
        <v>70</v>
      </c>
      <c r="K1326" s="1" t="s">
        <v>104</v>
      </c>
      <c r="L1326" s="1" t="s">
        <v>85</v>
      </c>
      <c r="M1326" s="1" t="s">
        <v>50</v>
      </c>
      <c r="N1326" s="1" t="n">
        <v>12999</v>
      </c>
      <c r="O1326" s="1" t="n">
        <v>30</v>
      </c>
      <c r="P1326" s="1" t="n">
        <v>3899.7</v>
      </c>
      <c r="Q1326" s="1" t="n">
        <v>9099.3</v>
      </c>
      <c r="R1326" s="1" t="n">
        <v>1637.87</v>
      </c>
      <c r="S1326" s="1" t="n">
        <v>7461.43</v>
      </c>
      <c r="T1326" s="1" t="n">
        <v>3717.55</v>
      </c>
      <c r="U1326" s="1" t="n">
        <v>3743.88</v>
      </c>
      <c r="V1326" s="1" t="n">
        <v>50.18</v>
      </c>
      <c r="W1326" s="1" t="s">
        <v>39</v>
      </c>
      <c r="X1326" s="1" t="n">
        <v>3.4</v>
      </c>
      <c r="Y1326" s="1" t="s">
        <v>40</v>
      </c>
      <c r="Z1326" s="1" t="n">
        <v>2</v>
      </c>
    </row>
    <row r="1327" customFormat="false" ht="15" hidden="false" customHeight="true" outlineLevel="0" collapsed="false">
      <c r="A1327" s="1" t="s">
        <v>2114</v>
      </c>
      <c r="B1327" s="1" t="s">
        <v>376</v>
      </c>
      <c r="C1327" s="1" t="s">
        <v>74</v>
      </c>
      <c r="D1327" s="1" t="s">
        <v>168</v>
      </c>
      <c r="E1327" s="1" t="s">
        <v>172</v>
      </c>
      <c r="F1327" s="1" t="s">
        <v>75</v>
      </c>
      <c r="G1327" s="1" t="s">
        <v>76</v>
      </c>
      <c r="H1327" s="1" t="s">
        <v>69</v>
      </c>
      <c r="I1327" s="1" t="s">
        <v>83</v>
      </c>
      <c r="J1327" s="1" t="s">
        <v>77</v>
      </c>
      <c r="K1327" s="1" t="s">
        <v>104</v>
      </c>
      <c r="L1327" s="1" t="s">
        <v>61</v>
      </c>
      <c r="M1327" s="1" t="s">
        <v>38</v>
      </c>
      <c r="N1327" s="1" t="n">
        <v>6999</v>
      </c>
      <c r="O1327" s="1" t="n">
        <v>30</v>
      </c>
      <c r="P1327" s="1" t="n">
        <v>2099.7</v>
      </c>
      <c r="Q1327" s="1" t="n">
        <v>4899.3</v>
      </c>
      <c r="R1327" s="1" t="n">
        <v>881.87</v>
      </c>
      <c r="S1327" s="1" t="n">
        <v>4017.43</v>
      </c>
      <c r="T1327" s="1" t="n">
        <v>1584.18</v>
      </c>
      <c r="U1327" s="1" t="n">
        <v>2433.25</v>
      </c>
      <c r="V1327" s="1" t="n">
        <v>60.57</v>
      </c>
      <c r="W1327" s="1" t="s">
        <v>39</v>
      </c>
      <c r="X1327" s="1" t="n">
        <v>4.3</v>
      </c>
      <c r="Y1327" s="1" t="s">
        <v>40</v>
      </c>
      <c r="Z1327" s="1" t="n">
        <v>1</v>
      </c>
    </row>
    <row r="1328" customFormat="false" ht="15" hidden="false" customHeight="true" outlineLevel="0" collapsed="false">
      <c r="A1328" s="1" t="s">
        <v>2115</v>
      </c>
      <c r="B1328" s="1" t="s">
        <v>1515</v>
      </c>
      <c r="C1328" s="1" t="s">
        <v>264</v>
      </c>
      <c r="D1328" s="1" t="s">
        <v>29</v>
      </c>
      <c r="E1328" s="1" t="s">
        <v>182</v>
      </c>
      <c r="F1328" s="1" t="s">
        <v>187</v>
      </c>
      <c r="G1328" s="1" t="s">
        <v>97</v>
      </c>
      <c r="H1328" s="1" t="s">
        <v>69</v>
      </c>
      <c r="I1328" s="1" t="s">
        <v>34</v>
      </c>
      <c r="J1328" s="1" t="s">
        <v>59</v>
      </c>
      <c r="K1328" s="1" t="s">
        <v>104</v>
      </c>
      <c r="L1328" s="1" t="s">
        <v>136</v>
      </c>
      <c r="M1328" s="1" t="s">
        <v>62</v>
      </c>
      <c r="N1328" s="1" t="n">
        <v>34999</v>
      </c>
      <c r="O1328" s="1" t="n">
        <v>15</v>
      </c>
      <c r="P1328" s="1" t="n">
        <v>5249.85</v>
      </c>
      <c r="Q1328" s="1" t="n">
        <v>29749.15</v>
      </c>
      <c r="R1328" s="1" t="n">
        <v>5354.85</v>
      </c>
      <c r="S1328" s="1" t="n">
        <v>24394.3</v>
      </c>
      <c r="T1328" s="1" t="n">
        <v>9318.87</v>
      </c>
      <c r="U1328" s="1" t="n">
        <v>15075.43</v>
      </c>
      <c r="V1328" s="1" t="n">
        <v>61.8</v>
      </c>
      <c r="W1328" s="1" t="s">
        <v>39</v>
      </c>
      <c r="Y1328" s="1" t="s">
        <v>40</v>
      </c>
      <c r="Z1328" s="1" t="n">
        <v>0</v>
      </c>
    </row>
    <row r="1329" customFormat="false" ht="15" hidden="false" customHeight="true" outlineLevel="0" collapsed="false">
      <c r="A1329" s="1" t="s">
        <v>2116</v>
      </c>
      <c r="B1329" s="1" t="s">
        <v>2117</v>
      </c>
      <c r="C1329" s="1" t="s">
        <v>74</v>
      </c>
      <c r="D1329" s="1" t="s">
        <v>143</v>
      </c>
      <c r="E1329" s="1" t="s">
        <v>162</v>
      </c>
      <c r="F1329" s="1" t="s">
        <v>153</v>
      </c>
      <c r="G1329" s="1" t="s">
        <v>76</v>
      </c>
      <c r="H1329" s="1" t="s">
        <v>33</v>
      </c>
      <c r="I1329" s="1" t="s">
        <v>58</v>
      </c>
      <c r="J1329" s="1" t="s">
        <v>131</v>
      </c>
      <c r="K1329" s="1" t="s">
        <v>60</v>
      </c>
      <c r="L1329" s="1" t="s">
        <v>136</v>
      </c>
      <c r="M1329" s="1" t="s">
        <v>50</v>
      </c>
      <c r="N1329" s="1" t="n">
        <v>14999</v>
      </c>
      <c r="O1329" s="1" t="n">
        <v>10</v>
      </c>
      <c r="P1329" s="1" t="n">
        <v>1499.9</v>
      </c>
      <c r="Q1329" s="1" t="n">
        <v>13499.1</v>
      </c>
      <c r="R1329" s="1" t="n">
        <v>2429.84</v>
      </c>
      <c r="S1329" s="1" t="n">
        <v>11069.26</v>
      </c>
      <c r="T1329" s="1" t="n">
        <v>4886.44</v>
      </c>
      <c r="U1329" s="1" t="n">
        <v>6182.82</v>
      </c>
      <c r="V1329" s="1" t="n">
        <v>55.86</v>
      </c>
      <c r="W1329" s="1" t="s">
        <v>39</v>
      </c>
      <c r="X1329" s="1" t="n">
        <v>3.4</v>
      </c>
      <c r="Y1329" s="1" t="s">
        <v>40</v>
      </c>
      <c r="Z1329" s="1" t="n">
        <v>1</v>
      </c>
    </row>
    <row r="1330" customFormat="false" ht="15" hidden="false" customHeight="true" outlineLevel="0" collapsed="false">
      <c r="A1330" s="1" t="s">
        <v>2118</v>
      </c>
      <c r="B1330" s="1" t="s">
        <v>737</v>
      </c>
      <c r="C1330" s="1" t="s">
        <v>167</v>
      </c>
      <c r="D1330" s="1" t="s">
        <v>53</v>
      </c>
      <c r="E1330" s="1" t="s">
        <v>116</v>
      </c>
      <c r="F1330" s="1" t="s">
        <v>150</v>
      </c>
      <c r="G1330" s="1" t="s">
        <v>32</v>
      </c>
      <c r="H1330" s="1" t="s">
        <v>57</v>
      </c>
      <c r="I1330" s="1" t="s">
        <v>34</v>
      </c>
      <c r="J1330" s="1" t="s">
        <v>131</v>
      </c>
      <c r="K1330" s="1" t="s">
        <v>84</v>
      </c>
      <c r="L1330" s="1" t="s">
        <v>136</v>
      </c>
      <c r="M1330" s="1" t="s">
        <v>62</v>
      </c>
      <c r="N1330" s="1" t="n">
        <v>9999</v>
      </c>
      <c r="O1330" s="1" t="n">
        <v>0</v>
      </c>
      <c r="P1330" s="1" t="n">
        <v>0</v>
      </c>
      <c r="Q1330" s="1" t="n">
        <v>9999</v>
      </c>
      <c r="R1330" s="1" t="n">
        <v>1799.82</v>
      </c>
      <c r="S1330" s="1" t="n">
        <v>8199.18</v>
      </c>
      <c r="T1330" s="1" t="n">
        <v>4396.02</v>
      </c>
      <c r="U1330" s="1" t="n">
        <v>3803.16</v>
      </c>
      <c r="V1330" s="1" t="n">
        <v>46.38</v>
      </c>
      <c r="W1330" s="1" t="s">
        <v>40</v>
      </c>
      <c r="Y1330" s="1" t="s">
        <v>39</v>
      </c>
      <c r="Z1330" s="1" t="n">
        <v>1</v>
      </c>
    </row>
    <row r="1331" customFormat="false" ht="15" hidden="false" customHeight="true" outlineLevel="0" collapsed="false">
      <c r="A1331" s="1" t="s">
        <v>2119</v>
      </c>
      <c r="B1331" s="1" t="s">
        <v>1621</v>
      </c>
      <c r="C1331" s="1" t="s">
        <v>100</v>
      </c>
      <c r="D1331" s="1" t="s">
        <v>80</v>
      </c>
      <c r="E1331" s="1" t="s">
        <v>175</v>
      </c>
      <c r="F1331" s="1" t="s">
        <v>244</v>
      </c>
      <c r="G1331" s="1" t="s">
        <v>97</v>
      </c>
      <c r="H1331" s="1" t="s">
        <v>57</v>
      </c>
      <c r="I1331" s="1" t="s">
        <v>58</v>
      </c>
      <c r="J1331" s="1" t="s">
        <v>59</v>
      </c>
      <c r="K1331" s="1" t="s">
        <v>84</v>
      </c>
      <c r="L1331" s="1" t="s">
        <v>49</v>
      </c>
      <c r="M1331" s="1" t="s">
        <v>62</v>
      </c>
      <c r="N1331" s="1" t="n">
        <v>19999</v>
      </c>
      <c r="O1331" s="1" t="n">
        <v>50</v>
      </c>
      <c r="P1331" s="1" t="n">
        <v>9999.5</v>
      </c>
      <c r="Q1331" s="1" t="n">
        <v>9999.5</v>
      </c>
      <c r="R1331" s="1" t="n">
        <v>1799.91</v>
      </c>
      <c r="S1331" s="1" t="n">
        <v>8199.59</v>
      </c>
      <c r="T1331" s="1" t="n">
        <v>4779.28</v>
      </c>
      <c r="U1331" s="1" t="n">
        <v>3420.31</v>
      </c>
      <c r="V1331" s="1" t="n">
        <v>41.71</v>
      </c>
      <c r="W1331" s="1" t="s">
        <v>39</v>
      </c>
      <c r="X1331" s="1" t="n">
        <v>5</v>
      </c>
      <c r="Y1331" s="1" t="s">
        <v>40</v>
      </c>
      <c r="Z1331" s="1" t="n">
        <v>0</v>
      </c>
    </row>
    <row r="1332" customFormat="false" ht="15" hidden="false" customHeight="true" outlineLevel="0" collapsed="false">
      <c r="A1332" s="1" t="s">
        <v>2120</v>
      </c>
      <c r="B1332" s="1" t="s">
        <v>1644</v>
      </c>
      <c r="C1332" s="1" t="s">
        <v>74</v>
      </c>
      <c r="D1332" s="1" t="s">
        <v>168</v>
      </c>
      <c r="E1332" s="1" t="s">
        <v>169</v>
      </c>
      <c r="F1332" s="1" t="s">
        <v>89</v>
      </c>
      <c r="G1332" s="1" t="s">
        <v>68</v>
      </c>
      <c r="H1332" s="1" t="s">
        <v>33</v>
      </c>
      <c r="I1332" s="1" t="s">
        <v>83</v>
      </c>
      <c r="J1332" s="1" t="s">
        <v>131</v>
      </c>
      <c r="K1332" s="1" t="s">
        <v>112</v>
      </c>
      <c r="L1332" s="1" t="s">
        <v>113</v>
      </c>
      <c r="M1332" s="1" t="s">
        <v>62</v>
      </c>
      <c r="N1332" s="1" t="n">
        <v>4999</v>
      </c>
      <c r="O1332" s="1" t="n">
        <v>40</v>
      </c>
      <c r="P1332" s="1" t="n">
        <v>1999.6</v>
      </c>
      <c r="Q1332" s="1" t="n">
        <v>2999.4</v>
      </c>
      <c r="R1332" s="1" t="n">
        <v>539.89</v>
      </c>
      <c r="S1332" s="1" t="n">
        <v>2459.51</v>
      </c>
      <c r="T1332" s="1" t="n">
        <v>1202.03</v>
      </c>
      <c r="U1332" s="1" t="n">
        <v>1257.48</v>
      </c>
      <c r="V1332" s="1" t="n">
        <v>51.13</v>
      </c>
      <c r="W1332" s="1" t="s">
        <v>39</v>
      </c>
      <c r="X1332" s="1" t="n">
        <v>3.7</v>
      </c>
      <c r="Y1332" s="1" t="s">
        <v>40</v>
      </c>
      <c r="Z1332" s="1" t="n">
        <v>0</v>
      </c>
    </row>
    <row r="1333" customFormat="false" ht="15" hidden="false" customHeight="true" outlineLevel="0" collapsed="false">
      <c r="A1333" s="1" t="s">
        <v>2121</v>
      </c>
      <c r="B1333" s="1" t="s">
        <v>399</v>
      </c>
      <c r="C1333" s="1" t="s">
        <v>178</v>
      </c>
      <c r="D1333" s="1" t="s">
        <v>168</v>
      </c>
      <c r="E1333" s="1" t="s">
        <v>169</v>
      </c>
      <c r="F1333" s="1" t="s">
        <v>75</v>
      </c>
      <c r="G1333" s="1" t="s">
        <v>76</v>
      </c>
      <c r="H1333" s="1" t="s">
        <v>69</v>
      </c>
      <c r="I1333" s="1" t="s">
        <v>34</v>
      </c>
      <c r="J1333" s="1" t="s">
        <v>35</v>
      </c>
      <c r="K1333" s="1" t="s">
        <v>48</v>
      </c>
      <c r="L1333" s="1" t="s">
        <v>136</v>
      </c>
      <c r="M1333" s="1" t="s">
        <v>38</v>
      </c>
      <c r="N1333" s="1" t="n">
        <v>4999</v>
      </c>
      <c r="O1333" s="1" t="n">
        <v>15</v>
      </c>
      <c r="P1333" s="1" t="n">
        <v>749.85</v>
      </c>
      <c r="Q1333" s="1" t="n">
        <v>4249.15</v>
      </c>
      <c r="R1333" s="1" t="n">
        <v>764.85</v>
      </c>
      <c r="S1333" s="1" t="n">
        <v>3484.3</v>
      </c>
      <c r="T1333" s="1" t="n">
        <v>1592.9</v>
      </c>
      <c r="U1333" s="1" t="n">
        <v>1891.4</v>
      </c>
      <c r="V1333" s="1" t="n">
        <v>54.28</v>
      </c>
      <c r="W1333" s="1" t="s">
        <v>39</v>
      </c>
      <c r="X1333" s="1" t="n">
        <v>3.4</v>
      </c>
      <c r="Y1333" s="1" t="s">
        <v>40</v>
      </c>
      <c r="Z1333" s="1" t="n">
        <v>1</v>
      </c>
    </row>
    <row r="1334" customFormat="false" ht="15" hidden="false" customHeight="true" outlineLevel="0" collapsed="false">
      <c r="A1334" s="1" t="s">
        <v>2122</v>
      </c>
      <c r="B1334" s="1" t="s">
        <v>1313</v>
      </c>
      <c r="C1334" s="1" t="s">
        <v>119</v>
      </c>
      <c r="D1334" s="1" t="s">
        <v>44</v>
      </c>
      <c r="E1334" s="1" t="s">
        <v>45</v>
      </c>
      <c r="F1334" s="1" t="s">
        <v>55</v>
      </c>
      <c r="G1334" s="1" t="s">
        <v>56</v>
      </c>
      <c r="H1334" s="1" t="s">
        <v>57</v>
      </c>
      <c r="I1334" s="1" t="s">
        <v>34</v>
      </c>
      <c r="J1334" s="1" t="s">
        <v>77</v>
      </c>
      <c r="K1334" s="1" t="s">
        <v>71</v>
      </c>
      <c r="L1334" s="1" t="s">
        <v>136</v>
      </c>
      <c r="M1334" s="1" t="s">
        <v>38</v>
      </c>
      <c r="N1334" s="1" t="n">
        <v>11999</v>
      </c>
      <c r="O1334" s="1" t="n">
        <v>20</v>
      </c>
      <c r="P1334" s="1" t="n">
        <v>2399.8</v>
      </c>
      <c r="Q1334" s="1" t="n">
        <v>9599.2</v>
      </c>
      <c r="R1334" s="1" t="n">
        <v>1727.86</v>
      </c>
      <c r="S1334" s="1" t="n">
        <v>7871.34</v>
      </c>
      <c r="T1334" s="1" t="n">
        <v>3655.19</v>
      </c>
      <c r="U1334" s="1" t="n">
        <v>4216.15</v>
      </c>
      <c r="V1334" s="1" t="n">
        <v>53.56</v>
      </c>
      <c r="W1334" s="1" t="s">
        <v>39</v>
      </c>
      <c r="X1334" s="1" t="n">
        <v>3.5</v>
      </c>
      <c r="Y1334" s="1" t="s">
        <v>40</v>
      </c>
      <c r="Z1334" s="1" t="n">
        <v>0</v>
      </c>
    </row>
    <row r="1335" customFormat="false" ht="15" hidden="false" customHeight="true" outlineLevel="0" collapsed="false">
      <c r="A1335" s="1" t="s">
        <v>2123</v>
      </c>
      <c r="B1335" s="1" t="s">
        <v>587</v>
      </c>
      <c r="C1335" s="1" t="s">
        <v>128</v>
      </c>
      <c r="D1335" s="1" t="s">
        <v>80</v>
      </c>
      <c r="E1335" s="1" t="s">
        <v>81</v>
      </c>
      <c r="F1335" s="1" t="s">
        <v>194</v>
      </c>
      <c r="G1335" s="1" t="s">
        <v>103</v>
      </c>
      <c r="H1335" s="1" t="s">
        <v>69</v>
      </c>
      <c r="I1335" s="1" t="s">
        <v>34</v>
      </c>
      <c r="J1335" s="1" t="s">
        <v>59</v>
      </c>
      <c r="K1335" s="1" t="s">
        <v>48</v>
      </c>
      <c r="L1335" s="1" t="s">
        <v>49</v>
      </c>
      <c r="M1335" s="1" t="s">
        <v>62</v>
      </c>
      <c r="N1335" s="1" t="n">
        <v>12999</v>
      </c>
      <c r="O1335" s="1" t="n">
        <v>5</v>
      </c>
      <c r="P1335" s="1" t="n">
        <v>649.95</v>
      </c>
      <c r="Q1335" s="1" t="n">
        <v>12349.05</v>
      </c>
      <c r="R1335" s="1" t="n">
        <v>2222.83</v>
      </c>
      <c r="S1335" s="1" t="n">
        <v>10126.22</v>
      </c>
      <c r="T1335" s="1" t="n">
        <v>2941.12</v>
      </c>
      <c r="U1335" s="1" t="n">
        <v>7185.1</v>
      </c>
      <c r="V1335" s="1" t="n">
        <v>70.96</v>
      </c>
      <c r="W1335" s="1" t="s">
        <v>39</v>
      </c>
      <c r="Y1335" s="1" t="s">
        <v>40</v>
      </c>
      <c r="Z1335" s="1" t="n">
        <v>0</v>
      </c>
    </row>
    <row r="1336" customFormat="false" ht="15" hidden="false" customHeight="true" outlineLevel="0" collapsed="false">
      <c r="A1336" s="1" t="s">
        <v>2124</v>
      </c>
      <c r="B1336" s="1" t="s">
        <v>712</v>
      </c>
      <c r="C1336" s="1" t="s">
        <v>28</v>
      </c>
      <c r="D1336" s="1" t="s">
        <v>94</v>
      </c>
      <c r="E1336" s="1" t="s">
        <v>95</v>
      </c>
      <c r="F1336" s="1" t="s">
        <v>211</v>
      </c>
      <c r="G1336" s="1" t="s">
        <v>56</v>
      </c>
      <c r="H1336" s="1" t="s">
        <v>69</v>
      </c>
      <c r="I1336" s="1" t="s">
        <v>58</v>
      </c>
      <c r="J1336" s="1" t="s">
        <v>131</v>
      </c>
      <c r="K1336" s="1" t="s">
        <v>36</v>
      </c>
      <c r="L1336" s="1" t="s">
        <v>136</v>
      </c>
      <c r="M1336" s="1" t="s">
        <v>38</v>
      </c>
      <c r="N1336" s="1" t="n">
        <v>6999</v>
      </c>
      <c r="O1336" s="1" t="n">
        <v>50</v>
      </c>
      <c r="P1336" s="1" t="n">
        <v>3499.5</v>
      </c>
      <c r="Q1336" s="1" t="n">
        <v>3499.5</v>
      </c>
      <c r="R1336" s="1" t="n">
        <v>629.91</v>
      </c>
      <c r="S1336" s="1" t="n">
        <v>2869.59</v>
      </c>
      <c r="T1336" s="1" t="n">
        <v>1312.67</v>
      </c>
      <c r="U1336" s="1" t="n">
        <v>1556.92</v>
      </c>
      <c r="V1336" s="1" t="n">
        <v>54.26</v>
      </c>
      <c r="W1336" s="1" t="s">
        <v>40</v>
      </c>
      <c r="Y1336" s="1" t="s">
        <v>40</v>
      </c>
      <c r="Z1336" s="1" t="n">
        <v>1</v>
      </c>
    </row>
    <row r="1337" customFormat="false" ht="15" hidden="false" customHeight="true" outlineLevel="0" collapsed="false">
      <c r="A1337" s="1" t="s">
        <v>2125</v>
      </c>
      <c r="B1337" s="1" t="s">
        <v>947</v>
      </c>
      <c r="C1337" s="1" t="s">
        <v>93</v>
      </c>
      <c r="D1337" s="1" t="s">
        <v>44</v>
      </c>
      <c r="E1337" s="1" t="s">
        <v>221</v>
      </c>
      <c r="F1337" s="1" t="s">
        <v>205</v>
      </c>
      <c r="G1337" s="1" t="s">
        <v>56</v>
      </c>
      <c r="H1337" s="1" t="s">
        <v>69</v>
      </c>
      <c r="I1337" s="1" t="s">
        <v>83</v>
      </c>
      <c r="J1337" s="1" t="s">
        <v>35</v>
      </c>
      <c r="K1337" s="1" t="s">
        <v>104</v>
      </c>
      <c r="L1337" s="1" t="s">
        <v>113</v>
      </c>
      <c r="M1337" s="1" t="s">
        <v>50</v>
      </c>
      <c r="N1337" s="1" t="n">
        <v>16999</v>
      </c>
      <c r="O1337" s="1" t="n">
        <v>30</v>
      </c>
      <c r="P1337" s="1" t="n">
        <v>5099.7</v>
      </c>
      <c r="Q1337" s="1" t="n">
        <v>11899.3</v>
      </c>
      <c r="R1337" s="1" t="n">
        <v>2141.87</v>
      </c>
      <c r="S1337" s="1" t="n">
        <v>9757.43</v>
      </c>
      <c r="T1337" s="1" t="n">
        <v>4406.68</v>
      </c>
      <c r="U1337" s="1" t="n">
        <v>5350.75</v>
      </c>
      <c r="V1337" s="1" t="n">
        <v>54.84</v>
      </c>
      <c r="W1337" s="1" t="s">
        <v>39</v>
      </c>
      <c r="X1337" s="1" t="n">
        <v>3.1</v>
      </c>
      <c r="Y1337" s="1" t="s">
        <v>39</v>
      </c>
      <c r="Z1337" s="1" t="n">
        <v>1</v>
      </c>
    </row>
    <row r="1338" customFormat="false" ht="15" hidden="false" customHeight="true" outlineLevel="0" collapsed="false">
      <c r="A1338" s="1" t="s">
        <v>2126</v>
      </c>
      <c r="B1338" s="1" t="s">
        <v>712</v>
      </c>
      <c r="C1338" s="1" t="s">
        <v>249</v>
      </c>
      <c r="D1338" s="1" t="s">
        <v>29</v>
      </c>
      <c r="E1338" s="1" t="s">
        <v>30</v>
      </c>
      <c r="F1338" s="1" t="s">
        <v>184</v>
      </c>
      <c r="G1338" s="1" t="s">
        <v>56</v>
      </c>
      <c r="H1338" s="1" t="s">
        <v>57</v>
      </c>
      <c r="I1338" s="1" t="s">
        <v>58</v>
      </c>
      <c r="J1338" s="1" t="s">
        <v>59</v>
      </c>
      <c r="K1338" s="1" t="s">
        <v>60</v>
      </c>
      <c r="L1338" s="1" t="s">
        <v>61</v>
      </c>
      <c r="M1338" s="1" t="s">
        <v>38</v>
      </c>
      <c r="N1338" s="1" t="n">
        <v>7999</v>
      </c>
      <c r="O1338" s="1" t="n">
        <v>40</v>
      </c>
      <c r="P1338" s="1" t="n">
        <v>3199.6</v>
      </c>
      <c r="Q1338" s="1" t="n">
        <v>4799.4</v>
      </c>
      <c r="R1338" s="1" t="n">
        <v>863.89</v>
      </c>
      <c r="S1338" s="1" t="n">
        <v>3935.51</v>
      </c>
      <c r="T1338" s="1" t="n">
        <v>2312.66</v>
      </c>
      <c r="U1338" s="1" t="n">
        <v>1622.85</v>
      </c>
      <c r="V1338" s="1" t="n">
        <v>41.24</v>
      </c>
      <c r="W1338" s="1" t="s">
        <v>40</v>
      </c>
      <c r="Y1338" s="1" t="s">
        <v>40</v>
      </c>
      <c r="Z1338" s="1" t="n">
        <v>1</v>
      </c>
    </row>
    <row r="1339" customFormat="false" ht="15" hidden="false" customHeight="true" outlineLevel="0" collapsed="false">
      <c r="A1339" s="1" t="s">
        <v>2127</v>
      </c>
      <c r="B1339" s="1" t="s">
        <v>533</v>
      </c>
      <c r="C1339" s="1" t="s">
        <v>74</v>
      </c>
      <c r="D1339" s="1" t="s">
        <v>168</v>
      </c>
      <c r="E1339" s="1" t="s">
        <v>172</v>
      </c>
      <c r="F1339" s="1" t="s">
        <v>130</v>
      </c>
      <c r="G1339" s="1" t="s">
        <v>47</v>
      </c>
      <c r="H1339" s="1" t="s">
        <v>69</v>
      </c>
      <c r="I1339" s="1" t="s">
        <v>34</v>
      </c>
      <c r="J1339" s="1" t="s">
        <v>70</v>
      </c>
      <c r="K1339" s="1" t="s">
        <v>36</v>
      </c>
      <c r="L1339" s="1" t="s">
        <v>49</v>
      </c>
      <c r="M1339" s="1" t="s">
        <v>62</v>
      </c>
      <c r="N1339" s="1" t="n">
        <v>6999</v>
      </c>
      <c r="O1339" s="1" t="n">
        <v>5</v>
      </c>
      <c r="P1339" s="1" t="n">
        <v>349.95</v>
      </c>
      <c r="Q1339" s="1" t="n">
        <v>6649.05</v>
      </c>
      <c r="R1339" s="1" t="n">
        <v>1196.83</v>
      </c>
      <c r="S1339" s="1" t="n">
        <v>5452.22</v>
      </c>
      <c r="T1339" s="1" t="n">
        <v>1910.81</v>
      </c>
      <c r="U1339" s="1" t="n">
        <v>3541.41</v>
      </c>
      <c r="V1339" s="1" t="n">
        <v>64.95</v>
      </c>
      <c r="W1339" s="1" t="s">
        <v>40</v>
      </c>
      <c r="Y1339" s="1" t="s">
        <v>40</v>
      </c>
      <c r="Z1339" s="1" t="n">
        <v>1</v>
      </c>
    </row>
    <row r="1340" customFormat="false" ht="15" hidden="false" customHeight="true" outlineLevel="0" collapsed="false">
      <c r="A1340" s="1" t="s">
        <v>2128</v>
      </c>
      <c r="B1340" s="1" t="s">
        <v>1222</v>
      </c>
      <c r="C1340" s="1" t="s">
        <v>74</v>
      </c>
      <c r="D1340" s="1" t="s">
        <v>143</v>
      </c>
      <c r="E1340" s="1" t="s">
        <v>162</v>
      </c>
      <c r="F1340" s="1" t="s">
        <v>120</v>
      </c>
      <c r="G1340" s="1" t="s">
        <v>47</v>
      </c>
      <c r="H1340" s="1" t="s">
        <v>57</v>
      </c>
      <c r="I1340" s="1" t="s">
        <v>83</v>
      </c>
      <c r="J1340" s="1" t="s">
        <v>77</v>
      </c>
      <c r="K1340" s="1" t="s">
        <v>84</v>
      </c>
      <c r="L1340" s="1" t="s">
        <v>49</v>
      </c>
      <c r="M1340" s="1" t="s">
        <v>62</v>
      </c>
      <c r="N1340" s="1" t="n">
        <v>14999</v>
      </c>
      <c r="O1340" s="1" t="n">
        <v>15</v>
      </c>
      <c r="P1340" s="1" t="n">
        <v>2249.85</v>
      </c>
      <c r="Q1340" s="1" t="n">
        <v>12749.15</v>
      </c>
      <c r="R1340" s="1" t="n">
        <v>2294.85</v>
      </c>
      <c r="S1340" s="1" t="n">
        <v>10454.3</v>
      </c>
      <c r="T1340" s="1" t="n">
        <v>5916.78</v>
      </c>
      <c r="U1340" s="1" t="n">
        <v>4537.52</v>
      </c>
      <c r="V1340" s="1" t="n">
        <v>43.4</v>
      </c>
      <c r="W1340" s="1" t="s">
        <v>40</v>
      </c>
      <c r="Y1340" s="1" t="s">
        <v>40</v>
      </c>
      <c r="Z1340" s="1" t="n">
        <v>0</v>
      </c>
    </row>
    <row r="1341" customFormat="false" ht="15" hidden="false" customHeight="true" outlineLevel="0" collapsed="false">
      <c r="A1341" s="1" t="s">
        <v>2129</v>
      </c>
      <c r="B1341" s="1" t="s">
        <v>122</v>
      </c>
      <c r="C1341" s="1" t="s">
        <v>249</v>
      </c>
      <c r="D1341" s="1" t="s">
        <v>53</v>
      </c>
      <c r="E1341" s="1" t="s">
        <v>216</v>
      </c>
      <c r="F1341" s="1" t="s">
        <v>205</v>
      </c>
      <c r="G1341" s="1" t="s">
        <v>56</v>
      </c>
      <c r="H1341" s="1" t="s">
        <v>69</v>
      </c>
      <c r="I1341" s="1" t="s">
        <v>34</v>
      </c>
      <c r="J1341" s="1" t="s">
        <v>35</v>
      </c>
      <c r="K1341" s="1" t="s">
        <v>112</v>
      </c>
      <c r="L1341" s="1" t="s">
        <v>136</v>
      </c>
      <c r="M1341" s="1" t="s">
        <v>50</v>
      </c>
      <c r="N1341" s="1" t="n">
        <v>7499</v>
      </c>
      <c r="O1341" s="1" t="n">
        <v>30</v>
      </c>
      <c r="P1341" s="1" t="n">
        <v>2249.7</v>
      </c>
      <c r="Q1341" s="1" t="n">
        <v>5249.3</v>
      </c>
      <c r="R1341" s="1" t="n">
        <v>944.87</v>
      </c>
      <c r="S1341" s="1" t="n">
        <v>4304.43</v>
      </c>
      <c r="T1341" s="1" t="n">
        <v>1652.16</v>
      </c>
      <c r="U1341" s="1" t="n">
        <v>2652.27</v>
      </c>
      <c r="V1341" s="1" t="n">
        <v>61.62</v>
      </c>
      <c r="W1341" s="1" t="s">
        <v>40</v>
      </c>
      <c r="Y1341" s="1" t="s">
        <v>40</v>
      </c>
      <c r="Z1341" s="1" t="n">
        <v>0</v>
      </c>
    </row>
    <row r="1342" customFormat="false" ht="15" hidden="false" customHeight="true" outlineLevel="0" collapsed="false">
      <c r="A1342" s="1" t="s">
        <v>2130</v>
      </c>
      <c r="B1342" s="1" t="s">
        <v>259</v>
      </c>
      <c r="C1342" s="1" t="s">
        <v>28</v>
      </c>
      <c r="D1342" s="1" t="s">
        <v>123</v>
      </c>
      <c r="E1342" s="1" t="s">
        <v>233</v>
      </c>
      <c r="F1342" s="1" t="s">
        <v>211</v>
      </c>
      <c r="G1342" s="1" t="s">
        <v>56</v>
      </c>
      <c r="H1342" s="1" t="s">
        <v>69</v>
      </c>
      <c r="I1342" s="1" t="s">
        <v>58</v>
      </c>
      <c r="J1342" s="1" t="s">
        <v>131</v>
      </c>
      <c r="K1342" s="1" t="s">
        <v>48</v>
      </c>
      <c r="L1342" s="1" t="s">
        <v>49</v>
      </c>
      <c r="M1342" s="1" t="s">
        <v>50</v>
      </c>
      <c r="N1342" s="1" t="n">
        <v>8999</v>
      </c>
      <c r="O1342" s="1" t="n">
        <v>0</v>
      </c>
      <c r="P1342" s="1" t="n">
        <v>0</v>
      </c>
      <c r="Q1342" s="1" t="n">
        <v>8999</v>
      </c>
      <c r="R1342" s="1" t="n">
        <v>1619.82</v>
      </c>
      <c r="S1342" s="1" t="n">
        <v>7379.18</v>
      </c>
      <c r="T1342" s="1" t="n">
        <v>3502.04</v>
      </c>
      <c r="U1342" s="1" t="n">
        <v>3877.14</v>
      </c>
      <c r="V1342" s="1" t="n">
        <v>52.54</v>
      </c>
      <c r="W1342" s="1" t="s">
        <v>40</v>
      </c>
      <c r="Y1342" s="1" t="s">
        <v>39</v>
      </c>
      <c r="Z1342" s="1" t="n">
        <v>0</v>
      </c>
    </row>
    <row r="1343" customFormat="false" ht="15" hidden="false" customHeight="true" outlineLevel="0" collapsed="false">
      <c r="A1343" s="1" t="s">
        <v>2131</v>
      </c>
      <c r="B1343" s="1" t="s">
        <v>92</v>
      </c>
      <c r="C1343" s="1" t="s">
        <v>139</v>
      </c>
      <c r="D1343" s="1" t="s">
        <v>94</v>
      </c>
      <c r="E1343" s="1" t="s">
        <v>95</v>
      </c>
      <c r="F1343" s="1" t="s">
        <v>187</v>
      </c>
      <c r="G1343" s="1" t="s">
        <v>97</v>
      </c>
      <c r="H1343" s="1" t="s">
        <v>69</v>
      </c>
      <c r="I1343" s="1" t="s">
        <v>34</v>
      </c>
      <c r="J1343" s="1" t="s">
        <v>77</v>
      </c>
      <c r="K1343" s="1" t="s">
        <v>36</v>
      </c>
      <c r="L1343" s="1" t="s">
        <v>37</v>
      </c>
      <c r="M1343" s="1" t="s">
        <v>38</v>
      </c>
      <c r="N1343" s="1" t="n">
        <v>6999</v>
      </c>
      <c r="O1343" s="1" t="n">
        <v>20</v>
      </c>
      <c r="P1343" s="1" t="n">
        <v>1399.8</v>
      </c>
      <c r="Q1343" s="1" t="n">
        <v>5599.2</v>
      </c>
      <c r="R1343" s="1" t="n">
        <v>1007.86</v>
      </c>
      <c r="S1343" s="1" t="n">
        <v>4591.34</v>
      </c>
      <c r="T1343" s="1" t="n">
        <v>2085.5</v>
      </c>
      <c r="U1343" s="1" t="n">
        <v>2505.84</v>
      </c>
      <c r="V1343" s="1" t="n">
        <v>54.58</v>
      </c>
      <c r="W1343" s="1" t="s">
        <v>39</v>
      </c>
      <c r="X1343" s="1" t="n">
        <v>3.9</v>
      </c>
      <c r="Y1343" s="1" t="s">
        <v>40</v>
      </c>
      <c r="Z1343" s="1" t="n">
        <v>0</v>
      </c>
    </row>
    <row r="1344" customFormat="false" ht="15" hidden="false" customHeight="true" outlineLevel="0" collapsed="false">
      <c r="A1344" s="1" t="s">
        <v>2132</v>
      </c>
      <c r="B1344" s="1" t="s">
        <v>1163</v>
      </c>
      <c r="C1344" s="1" t="s">
        <v>28</v>
      </c>
      <c r="D1344" s="1" t="s">
        <v>168</v>
      </c>
      <c r="E1344" s="1" t="s">
        <v>197</v>
      </c>
      <c r="F1344" s="1" t="s">
        <v>153</v>
      </c>
      <c r="G1344" s="1" t="s">
        <v>76</v>
      </c>
      <c r="H1344" s="1" t="s">
        <v>33</v>
      </c>
      <c r="I1344" s="1" t="s">
        <v>58</v>
      </c>
      <c r="J1344" s="1" t="s">
        <v>77</v>
      </c>
      <c r="K1344" s="1" t="s">
        <v>48</v>
      </c>
      <c r="L1344" s="1" t="s">
        <v>61</v>
      </c>
      <c r="M1344" s="1" t="s">
        <v>38</v>
      </c>
      <c r="N1344" s="1" t="n">
        <v>8499</v>
      </c>
      <c r="O1344" s="1" t="n">
        <v>15</v>
      </c>
      <c r="P1344" s="1" t="n">
        <v>1274.85</v>
      </c>
      <c r="Q1344" s="1" t="n">
        <v>7224.15</v>
      </c>
      <c r="R1344" s="1" t="n">
        <v>1300.35</v>
      </c>
      <c r="S1344" s="1" t="n">
        <v>5923.8</v>
      </c>
      <c r="T1344" s="1" t="n">
        <v>2871.68</v>
      </c>
      <c r="U1344" s="1" t="n">
        <v>3052.12</v>
      </c>
      <c r="V1344" s="1" t="n">
        <v>51.52</v>
      </c>
      <c r="W1344" s="1" t="s">
        <v>39</v>
      </c>
      <c r="X1344" s="1" t="n">
        <v>3.6</v>
      </c>
      <c r="Y1344" s="1" t="s">
        <v>40</v>
      </c>
      <c r="Z1344" s="1" t="n">
        <v>0</v>
      </c>
    </row>
    <row r="1345" customFormat="false" ht="15" hidden="false" customHeight="true" outlineLevel="0" collapsed="false">
      <c r="A1345" s="1" t="s">
        <v>2133</v>
      </c>
      <c r="B1345" s="1" t="s">
        <v>1956</v>
      </c>
      <c r="C1345" s="1" t="s">
        <v>178</v>
      </c>
      <c r="D1345" s="1" t="s">
        <v>168</v>
      </c>
      <c r="E1345" s="1" t="s">
        <v>197</v>
      </c>
      <c r="F1345" s="1" t="s">
        <v>82</v>
      </c>
      <c r="G1345" s="1" t="s">
        <v>56</v>
      </c>
      <c r="H1345" s="1" t="s">
        <v>69</v>
      </c>
      <c r="I1345" s="1" t="s">
        <v>58</v>
      </c>
      <c r="J1345" s="1" t="s">
        <v>70</v>
      </c>
      <c r="K1345" s="1" t="s">
        <v>36</v>
      </c>
      <c r="L1345" s="1" t="s">
        <v>37</v>
      </c>
      <c r="M1345" s="1" t="s">
        <v>38</v>
      </c>
      <c r="N1345" s="1" t="n">
        <v>8499</v>
      </c>
      <c r="O1345" s="1" t="n">
        <v>25</v>
      </c>
      <c r="P1345" s="1" t="n">
        <v>2124.75</v>
      </c>
      <c r="Q1345" s="1" t="n">
        <v>6374.25</v>
      </c>
      <c r="R1345" s="1" t="n">
        <v>1147.37</v>
      </c>
      <c r="S1345" s="1" t="n">
        <v>5226.88</v>
      </c>
      <c r="T1345" s="1" t="n">
        <v>1939.58</v>
      </c>
      <c r="U1345" s="1" t="n">
        <v>3287.3</v>
      </c>
      <c r="V1345" s="1" t="n">
        <v>62.89</v>
      </c>
      <c r="W1345" s="1" t="s">
        <v>40</v>
      </c>
      <c r="Y1345" s="1" t="s">
        <v>40</v>
      </c>
      <c r="Z1345" s="1" t="n">
        <v>1</v>
      </c>
    </row>
    <row r="1346" customFormat="false" ht="15" hidden="false" customHeight="true" outlineLevel="0" collapsed="false">
      <c r="A1346" s="1" t="s">
        <v>2134</v>
      </c>
      <c r="B1346" s="1" t="s">
        <v>257</v>
      </c>
      <c r="C1346" s="1" t="s">
        <v>74</v>
      </c>
      <c r="D1346" s="1" t="s">
        <v>143</v>
      </c>
      <c r="E1346" s="1" t="s">
        <v>210</v>
      </c>
      <c r="F1346" s="1" t="s">
        <v>130</v>
      </c>
      <c r="G1346" s="1" t="s">
        <v>47</v>
      </c>
      <c r="H1346" s="1" t="s">
        <v>69</v>
      </c>
      <c r="I1346" s="1" t="s">
        <v>34</v>
      </c>
      <c r="J1346" s="1" t="s">
        <v>77</v>
      </c>
      <c r="K1346" s="1" t="s">
        <v>90</v>
      </c>
      <c r="L1346" s="1" t="s">
        <v>136</v>
      </c>
      <c r="M1346" s="1" t="s">
        <v>38</v>
      </c>
      <c r="N1346" s="1" t="n">
        <v>18999</v>
      </c>
      <c r="O1346" s="1" t="n">
        <v>30</v>
      </c>
      <c r="P1346" s="1" t="n">
        <v>5699.7</v>
      </c>
      <c r="Q1346" s="1" t="n">
        <v>13299.3</v>
      </c>
      <c r="R1346" s="1" t="n">
        <v>2393.87</v>
      </c>
      <c r="S1346" s="1" t="n">
        <v>10905.43</v>
      </c>
      <c r="T1346" s="1" t="n">
        <v>4501.21</v>
      </c>
      <c r="U1346" s="1" t="n">
        <v>6404.22</v>
      </c>
      <c r="V1346" s="1" t="n">
        <v>58.73</v>
      </c>
      <c r="W1346" s="1" t="s">
        <v>39</v>
      </c>
      <c r="X1346" s="1" t="n">
        <v>3.4</v>
      </c>
      <c r="Y1346" s="1" t="s">
        <v>40</v>
      </c>
      <c r="Z1346" s="1" t="n">
        <v>0</v>
      </c>
    </row>
    <row r="1347" customFormat="false" ht="15" hidden="false" customHeight="true" outlineLevel="0" collapsed="false">
      <c r="A1347" s="1" t="s">
        <v>2135</v>
      </c>
      <c r="B1347" s="1" t="s">
        <v>259</v>
      </c>
      <c r="C1347" s="1" t="s">
        <v>249</v>
      </c>
      <c r="D1347" s="1" t="s">
        <v>53</v>
      </c>
      <c r="E1347" s="1" t="s">
        <v>54</v>
      </c>
      <c r="F1347" s="1" t="s">
        <v>102</v>
      </c>
      <c r="G1347" s="1" t="s">
        <v>103</v>
      </c>
      <c r="H1347" s="1" t="s">
        <v>33</v>
      </c>
      <c r="I1347" s="1" t="s">
        <v>34</v>
      </c>
      <c r="J1347" s="1" t="s">
        <v>59</v>
      </c>
      <c r="K1347" s="1" t="s">
        <v>71</v>
      </c>
      <c r="L1347" s="1" t="s">
        <v>136</v>
      </c>
      <c r="M1347" s="1" t="s">
        <v>38</v>
      </c>
      <c r="N1347" s="1" t="n">
        <v>11999</v>
      </c>
      <c r="O1347" s="1" t="n">
        <v>40</v>
      </c>
      <c r="P1347" s="1" t="n">
        <v>4799.6</v>
      </c>
      <c r="Q1347" s="1" t="n">
        <v>7199.4</v>
      </c>
      <c r="R1347" s="1" t="n">
        <v>1295.89</v>
      </c>
      <c r="S1347" s="1" t="n">
        <v>5903.51</v>
      </c>
      <c r="T1347" s="1" t="n">
        <v>2800.12</v>
      </c>
      <c r="U1347" s="1" t="n">
        <v>3103.39</v>
      </c>
      <c r="V1347" s="1" t="n">
        <v>52.57</v>
      </c>
      <c r="W1347" s="1" t="s">
        <v>39</v>
      </c>
      <c r="X1347" s="1" t="n">
        <v>3.6</v>
      </c>
      <c r="Y1347" s="1" t="s">
        <v>40</v>
      </c>
      <c r="Z1347" s="1" t="n">
        <v>0</v>
      </c>
    </row>
    <row r="1348" customFormat="false" ht="15" hidden="false" customHeight="true" outlineLevel="0" collapsed="false">
      <c r="A1348" s="1" t="s">
        <v>2136</v>
      </c>
      <c r="B1348" s="1" t="s">
        <v>2137</v>
      </c>
      <c r="C1348" s="1" t="s">
        <v>178</v>
      </c>
      <c r="D1348" s="1" t="s">
        <v>29</v>
      </c>
      <c r="E1348" s="1" t="s">
        <v>305</v>
      </c>
      <c r="F1348" s="1" t="s">
        <v>31</v>
      </c>
      <c r="G1348" s="1" t="s">
        <v>32</v>
      </c>
      <c r="H1348" s="1" t="s">
        <v>33</v>
      </c>
      <c r="I1348" s="1" t="s">
        <v>34</v>
      </c>
      <c r="J1348" s="1" t="s">
        <v>59</v>
      </c>
      <c r="K1348" s="1" t="s">
        <v>104</v>
      </c>
      <c r="L1348" s="1" t="s">
        <v>85</v>
      </c>
      <c r="M1348" s="1" t="s">
        <v>62</v>
      </c>
      <c r="N1348" s="1" t="n">
        <v>24999</v>
      </c>
      <c r="O1348" s="1" t="n">
        <v>0</v>
      </c>
      <c r="P1348" s="1" t="n">
        <v>0</v>
      </c>
      <c r="Q1348" s="1" t="n">
        <v>24999</v>
      </c>
      <c r="R1348" s="1" t="n">
        <v>4499.82</v>
      </c>
      <c r="S1348" s="1" t="n">
        <v>20499.18</v>
      </c>
      <c r="T1348" s="1" t="n">
        <v>7905.8</v>
      </c>
      <c r="U1348" s="1" t="n">
        <v>12593.38</v>
      </c>
      <c r="V1348" s="1" t="n">
        <v>61.43</v>
      </c>
      <c r="W1348" s="1" t="s">
        <v>39</v>
      </c>
      <c r="X1348" s="1" t="n">
        <v>3.2</v>
      </c>
      <c r="Y1348" s="1" t="s">
        <v>40</v>
      </c>
      <c r="Z1348" s="1" t="n">
        <v>0</v>
      </c>
    </row>
    <row r="1349" customFormat="false" ht="15" hidden="false" customHeight="true" outlineLevel="0" collapsed="false">
      <c r="A1349" s="1" t="s">
        <v>2138</v>
      </c>
      <c r="B1349" s="1" t="s">
        <v>730</v>
      </c>
      <c r="C1349" s="1" t="s">
        <v>167</v>
      </c>
      <c r="D1349" s="1" t="s">
        <v>168</v>
      </c>
      <c r="E1349" s="1" t="s">
        <v>172</v>
      </c>
      <c r="F1349" s="1" t="s">
        <v>205</v>
      </c>
      <c r="G1349" s="1" t="s">
        <v>56</v>
      </c>
      <c r="H1349" s="1" t="s">
        <v>69</v>
      </c>
      <c r="I1349" s="1" t="s">
        <v>34</v>
      </c>
      <c r="J1349" s="1" t="s">
        <v>59</v>
      </c>
      <c r="K1349" s="1" t="s">
        <v>112</v>
      </c>
      <c r="L1349" s="1" t="s">
        <v>85</v>
      </c>
      <c r="M1349" s="1" t="s">
        <v>38</v>
      </c>
      <c r="N1349" s="1" t="n">
        <v>6999</v>
      </c>
      <c r="O1349" s="1" t="n">
        <v>0</v>
      </c>
      <c r="P1349" s="1" t="n">
        <v>0</v>
      </c>
      <c r="Q1349" s="1" t="n">
        <v>6999</v>
      </c>
      <c r="R1349" s="1" t="n">
        <v>1259.82</v>
      </c>
      <c r="S1349" s="1" t="n">
        <v>5739.18</v>
      </c>
      <c r="T1349" s="1" t="n">
        <v>2570.09</v>
      </c>
      <c r="U1349" s="1" t="n">
        <v>3169.09</v>
      </c>
      <c r="V1349" s="1" t="n">
        <v>55.22</v>
      </c>
      <c r="W1349" s="1" t="s">
        <v>39</v>
      </c>
      <c r="X1349" s="1" t="n">
        <v>3.7</v>
      </c>
      <c r="Y1349" s="1" t="s">
        <v>40</v>
      </c>
      <c r="Z1349" s="1" t="n">
        <v>0</v>
      </c>
    </row>
    <row r="1350" customFormat="false" ht="15" hidden="false" customHeight="true" outlineLevel="0" collapsed="false">
      <c r="A1350" s="1" t="s">
        <v>2139</v>
      </c>
      <c r="B1350" s="1" t="s">
        <v>248</v>
      </c>
      <c r="C1350" s="1" t="s">
        <v>134</v>
      </c>
      <c r="D1350" s="1" t="s">
        <v>94</v>
      </c>
      <c r="E1350" s="1" t="s">
        <v>95</v>
      </c>
      <c r="F1350" s="1" t="s">
        <v>31</v>
      </c>
      <c r="G1350" s="1" t="s">
        <v>32</v>
      </c>
      <c r="H1350" s="1" t="s">
        <v>33</v>
      </c>
      <c r="I1350" s="1" t="s">
        <v>83</v>
      </c>
      <c r="J1350" s="1" t="s">
        <v>70</v>
      </c>
      <c r="K1350" s="1" t="s">
        <v>84</v>
      </c>
      <c r="L1350" s="1" t="s">
        <v>136</v>
      </c>
      <c r="M1350" s="1" t="s">
        <v>62</v>
      </c>
      <c r="N1350" s="1" t="n">
        <v>6999</v>
      </c>
      <c r="O1350" s="1" t="n">
        <v>40</v>
      </c>
      <c r="P1350" s="1" t="n">
        <v>2799.6</v>
      </c>
      <c r="Q1350" s="1" t="n">
        <v>4199.4</v>
      </c>
      <c r="R1350" s="1" t="n">
        <v>755.89</v>
      </c>
      <c r="S1350" s="1" t="n">
        <v>3443.51</v>
      </c>
      <c r="T1350" s="1" t="n">
        <v>2127.95</v>
      </c>
      <c r="U1350" s="1" t="n">
        <v>1315.56</v>
      </c>
      <c r="V1350" s="1" t="n">
        <v>38.2</v>
      </c>
      <c r="W1350" s="1" t="s">
        <v>40</v>
      </c>
      <c r="Y1350" s="1" t="s">
        <v>39</v>
      </c>
      <c r="Z1350" s="1" t="n">
        <v>0</v>
      </c>
    </row>
    <row r="1351" customFormat="false" ht="15" hidden="false" customHeight="true" outlineLevel="0" collapsed="false">
      <c r="A1351" s="1" t="s">
        <v>2140</v>
      </c>
      <c r="B1351" s="1" t="s">
        <v>915</v>
      </c>
      <c r="C1351" s="1" t="s">
        <v>28</v>
      </c>
      <c r="D1351" s="1" t="s">
        <v>44</v>
      </c>
      <c r="E1351" s="1" t="s">
        <v>45</v>
      </c>
      <c r="F1351" s="1" t="s">
        <v>194</v>
      </c>
      <c r="G1351" s="1" t="s">
        <v>103</v>
      </c>
      <c r="H1351" s="1" t="s">
        <v>69</v>
      </c>
      <c r="I1351" s="1" t="s">
        <v>34</v>
      </c>
      <c r="J1351" s="1" t="s">
        <v>70</v>
      </c>
      <c r="K1351" s="1" t="s">
        <v>90</v>
      </c>
      <c r="L1351" s="1" t="s">
        <v>61</v>
      </c>
      <c r="M1351" s="1" t="s">
        <v>38</v>
      </c>
      <c r="N1351" s="1" t="n">
        <v>11999</v>
      </c>
      <c r="O1351" s="1" t="n">
        <v>20</v>
      </c>
      <c r="P1351" s="1" t="n">
        <v>2399.8</v>
      </c>
      <c r="Q1351" s="1" t="n">
        <v>9599.2</v>
      </c>
      <c r="R1351" s="1" t="n">
        <v>1727.86</v>
      </c>
      <c r="S1351" s="1" t="n">
        <v>7871.34</v>
      </c>
      <c r="T1351" s="1" t="n">
        <v>2970.37</v>
      </c>
      <c r="U1351" s="1" t="n">
        <v>4900.97</v>
      </c>
      <c r="V1351" s="1" t="n">
        <v>62.26</v>
      </c>
      <c r="W1351" s="1" t="s">
        <v>40</v>
      </c>
      <c r="Y1351" s="1" t="s">
        <v>40</v>
      </c>
      <c r="Z1351" s="1" t="n">
        <v>2</v>
      </c>
    </row>
    <row r="1352" customFormat="false" ht="15" hidden="false" customHeight="true" outlineLevel="0" collapsed="false">
      <c r="A1352" s="1" t="s">
        <v>2141</v>
      </c>
      <c r="B1352" s="1" t="s">
        <v>537</v>
      </c>
      <c r="C1352" s="1" t="s">
        <v>100</v>
      </c>
      <c r="D1352" s="1" t="s">
        <v>168</v>
      </c>
      <c r="E1352" s="1" t="s">
        <v>328</v>
      </c>
      <c r="F1352" s="1" t="s">
        <v>187</v>
      </c>
      <c r="G1352" s="1" t="s">
        <v>97</v>
      </c>
      <c r="H1352" s="1" t="s">
        <v>69</v>
      </c>
      <c r="I1352" s="1" t="s">
        <v>34</v>
      </c>
      <c r="J1352" s="1" t="s">
        <v>35</v>
      </c>
      <c r="K1352" s="1" t="s">
        <v>71</v>
      </c>
      <c r="L1352" s="1" t="s">
        <v>85</v>
      </c>
      <c r="M1352" s="1" t="s">
        <v>62</v>
      </c>
      <c r="N1352" s="1" t="n">
        <v>8999</v>
      </c>
      <c r="O1352" s="1" t="n">
        <v>30</v>
      </c>
      <c r="P1352" s="1" t="n">
        <v>2699.7</v>
      </c>
      <c r="Q1352" s="1" t="n">
        <v>6299.3</v>
      </c>
      <c r="R1352" s="1" t="n">
        <v>1133.87</v>
      </c>
      <c r="S1352" s="1" t="n">
        <v>5165.43</v>
      </c>
      <c r="T1352" s="1" t="n">
        <v>2152.55</v>
      </c>
      <c r="U1352" s="1" t="n">
        <v>3012.88</v>
      </c>
      <c r="V1352" s="1" t="n">
        <v>58.33</v>
      </c>
      <c r="W1352" s="1" t="s">
        <v>39</v>
      </c>
      <c r="X1352" s="1" t="n">
        <v>3.2</v>
      </c>
      <c r="Y1352" s="1" t="s">
        <v>40</v>
      </c>
      <c r="Z1352" s="1" t="n">
        <v>0</v>
      </c>
    </row>
    <row r="1353" customFormat="false" ht="15" hidden="false" customHeight="true" outlineLevel="0" collapsed="false">
      <c r="A1353" s="1" t="s">
        <v>2142</v>
      </c>
      <c r="B1353" s="1" t="s">
        <v>382</v>
      </c>
      <c r="C1353" s="1" t="s">
        <v>167</v>
      </c>
      <c r="D1353" s="1" t="s">
        <v>94</v>
      </c>
      <c r="E1353" s="1" t="s">
        <v>135</v>
      </c>
      <c r="F1353" s="1" t="s">
        <v>102</v>
      </c>
      <c r="G1353" s="1" t="s">
        <v>103</v>
      </c>
      <c r="H1353" s="1" t="s">
        <v>33</v>
      </c>
      <c r="I1353" s="1" t="s">
        <v>83</v>
      </c>
      <c r="J1353" s="1" t="s">
        <v>70</v>
      </c>
      <c r="K1353" s="1" t="s">
        <v>104</v>
      </c>
      <c r="L1353" s="1" t="s">
        <v>37</v>
      </c>
      <c r="M1353" s="1" t="s">
        <v>50</v>
      </c>
      <c r="N1353" s="1" t="n">
        <v>9999</v>
      </c>
      <c r="O1353" s="1" t="n">
        <v>5</v>
      </c>
      <c r="P1353" s="1" t="n">
        <v>499.95</v>
      </c>
      <c r="Q1353" s="1" t="n">
        <v>9499.05</v>
      </c>
      <c r="R1353" s="1" t="n">
        <v>1709.83</v>
      </c>
      <c r="S1353" s="1" t="n">
        <v>7789.22</v>
      </c>
      <c r="T1353" s="1" t="n">
        <v>3164.13</v>
      </c>
      <c r="U1353" s="1" t="n">
        <v>4625.09</v>
      </c>
      <c r="V1353" s="1" t="n">
        <v>59.38</v>
      </c>
      <c r="W1353" s="1" t="s">
        <v>40</v>
      </c>
      <c r="Y1353" s="1" t="s">
        <v>39</v>
      </c>
      <c r="Z1353" s="1" t="n">
        <v>1</v>
      </c>
    </row>
    <row r="1354" customFormat="false" ht="15" hidden="false" customHeight="true" outlineLevel="0" collapsed="false">
      <c r="A1354" s="1" t="s">
        <v>2143</v>
      </c>
      <c r="B1354" s="1" t="s">
        <v>1355</v>
      </c>
      <c r="C1354" s="1" t="s">
        <v>128</v>
      </c>
      <c r="D1354" s="1" t="s">
        <v>143</v>
      </c>
      <c r="E1354" s="1" t="s">
        <v>162</v>
      </c>
      <c r="F1354" s="1" t="s">
        <v>156</v>
      </c>
      <c r="G1354" s="1" t="s">
        <v>68</v>
      </c>
      <c r="H1354" s="1" t="s">
        <v>57</v>
      </c>
      <c r="I1354" s="1" t="s">
        <v>83</v>
      </c>
      <c r="J1354" s="1" t="s">
        <v>77</v>
      </c>
      <c r="K1354" s="1" t="s">
        <v>104</v>
      </c>
      <c r="L1354" s="1" t="s">
        <v>136</v>
      </c>
      <c r="M1354" s="1" t="s">
        <v>38</v>
      </c>
      <c r="N1354" s="1" t="n">
        <v>14999</v>
      </c>
      <c r="O1354" s="1" t="n">
        <v>10</v>
      </c>
      <c r="P1354" s="1" t="n">
        <v>1499.9</v>
      </c>
      <c r="Q1354" s="1" t="n">
        <v>13499.1</v>
      </c>
      <c r="R1354" s="1" t="n">
        <v>2429.84</v>
      </c>
      <c r="S1354" s="1" t="n">
        <v>11069.26</v>
      </c>
      <c r="T1354" s="1" t="n">
        <v>4772.28</v>
      </c>
      <c r="U1354" s="1" t="n">
        <v>6296.98</v>
      </c>
      <c r="V1354" s="1" t="n">
        <v>56.89</v>
      </c>
      <c r="W1354" s="1" t="s">
        <v>40</v>
      </c>
      <c r="Y1354" s="1" t="s">
        <v>40</v>
      </c>
      <c r="Z1354" s="1" t="n">
        <v>1</v>
      </c>
    </row>
    <row r="1355" customFormat="false" ht="15" hidden="false" customHeight="true" outlineLevel="0" collapsed="false">
      <c r="A1355" s="1" t="s">
        <v>2144</v>
      </c>
      <c r="B1355" s="1" t="s">
        <v>2145</v>
      </c>
      <c r="C1355" s="1" t="s">
        <v>128</v>
      </c>
      <c r="D1355" s="1" t="s">
        <v>94</v>
      </c>
      <c r="E1355" s="1" t="s">
        <v>135</v>
      </c>
      <c r="F1355" s="1" t="s">
        <v>156</v>
      </c>
      <c r="G1355" s="1" t="s">
        <v>68</v>
      </c>
      <c r="H1355" s="1" t="s">
        <v>57</v>
      </c>
      <c r="I1355" s="1" t="s">
        <v>34</v>
      </c>
      <c r="J1355" s="1" t="s">
        <v>35</v>
      </c>
      <c r="K1355" s="1" t="s">
        <v>112</v>
      </c>
      <c r="L1355" s="1" t="s">
        <v>85</v>
      </c>
      <c r="M1355" s="1" t="s">
        <v>38</v>
      </c>
      <c r="N1355" s="1" t="n">
        <v>9999</v>
      </c>
      <c r="O1355" s="1" t="n">
        <v>25</v>
      </c>
      <c r="P1355" s="1" t="n">
        <v>2499.75</v>
      </c>
      <c r="Q1355" s="1" t="n">
        <v>7499.25</v>
      </c>
      <c r="R1355" s="1" t="n">
        <v>1349.87</v>
      </c>
      <c r="S1355" s="1" t="n">
        <v>6149.38</v>
      </c>
      <c r="T1355" s="1" t="n">
        <v>3144.02</v>
      </c>
      <c r="U1355" s="1" t="n">
        <v>3005.36</v>
      </c>
      <c r="V1355" s="1" t="n">
        <v>48.87</v>
      </c>
      <c r="W1355" s="1" t="s">
        <v>39</v>
      </c>
      <c r="X1355" s="1" t="n">
        <v>3.2</v>
      </c>
      <c r="Y1355" s="1" t="s">
        <v>40</v>
      </c>
      <c r="Z1355" s="1" t="n">
        <v>0</v>
      </c>
    </row>
    <row r="1356" customFormat="false" ht="15" hidden="false" customHeight="true" outlineLevel="0" collapsed="false">
      <c r="A1356" s="1" t="s">
        <v>2146</v>
      </c>
      <c r="B1356" s="1" t="s">
        <v>1959</v>
      </c>
      <c r="C1356" s="1" t="s">
        <v>264</v>
      </c>
      <c r="D1356" s="1" t="s">
        <v>44</v>
      </c>
      <c r="E1356" s="1" t="s">
        <v>221</v>
      </c>
      <c r="F1356" s="1" t="s">
        <v>184</v>
      </c>
      <c r="G1356" s="1" t="s">
        <v>56</v>
      </c>
      <c r="H1356" s="1" t="s">
        <v>57</v>
      </c>
      <c r="I1356" s="1" t="s">
        <v>83</v>
      </c>
      <c r="J1356" s="1" t="s">
        <v>59</v>
      </c>
      <c r="K1356" s="1" t="s">
        <v>36</v>
      </c>
      <c r="L1356" s="1" t="s">
        <v>113</v>
      </c>
      <c r="M1356" s="1" t="s">
        <v>62</v>
      </c>
      <c r="N1356" s="1" t="n">
        <v>16999</v>
      </c>
      <c r="O1356" s="1" t="n">
        <v>5</v>
      </c>
      <c r="P1356" s="1" t="n">
        <v>849.95</v>
      </c>
      <c r="Q1356" s="1" t="n">
        <v>16149.05</v>
      </c>
      <c r="R1356" s="1" t="n">
        <v>2906.83</v>
      </c>
      <c r="S1356" s="1" t="n">
        <v>13242.22</v>
      </c>
      <c r="T1356" s="1" t="n">
        <v>6788.52</v>
      </c>
      <c r="U1356" s="1" t="n">
        <v>6453.7</v>
      </c>
      <c r="V1356" s="1" t="n">
        <v>48.74</v>
      </c>
      <c r="W1356" s="1" t="s">
        <v>40</v>
      </c>
      <c r="Y1356" s="1" t="s">
        <v>40</v>
      </c>
      <c r="Z1356" s="1" t="n">
        <v>0</v>
      </c>
    </row>
    <row r="1357" customFormat="false" ht="15" hidden="false" customHeight="true" outlineLevel="0" collapsed="false">
      <c r="A1357" s="1" t="s">
        <v>2147</v>
      </c>
      <c r="B1357" s="1" t="s">
        <v>812</v>
      </c>
      <c r="C1357" s="1" t="s">
        <v>249</v>
      </c>
      <c r="D1357" s="1" t="s">
        <v>123</v>
      </c>
      <c r="E1357" s="1" t="s">
        <v>233</v>
      </c>
      <c r="F1357" s="1" t="s">
        <v>67</v>
      </c>
      <c r="G1357" s="1" t="s">
        <v>68</v>
      </c>
      <c r="H1357" s="1" t="s">
        <v>69</v>
      </c>
      <c r="I1357" s="1" t="s">
        <v>83</v>
      </c>
      <c r="J1357" s="1" t="s">
        <v>35</v>
      </c>
      <c r="K1357" s="1" t="s">
        <v>48</v>
      </c>
      <c r="L1357" s="1" t="s">
        <v>85</v>
      </c>
      <c r="M1357" s="1" t="s">
        <v>62</v>
      </c>
      <c r="N1357" s="1" t="n">
        <v>8999</v>
      </c>
      <c r="O1357" s="1" t="n">
        <v>20</v>
      </c>
      <c r="P1357" s="1" t="n">
        <v>1799.8</v>
      </c>
      <c r="Q1357" s="1" t="n">
        <v>7199.2</v>
      </c>
      <c r="R1357" s="1" t="n">
        <v>1295.86</v>
      </c>
      <c r="S1357" s="1" t="n">
        <v>5903.34</v>
      </c>
      <c r="T1357" s="1" t="n">
        <v>2489.28</v>
      </c>
      <c r="U1357" s="1" t="n">
        <v>3414.06</v>
      </c>
      <c r="V1357" s="1" t="n">
        <v>57.83</v>
      </c>
      <c r="W1357" s="1" t="s">
        <v>39</v>
      </c>
      <c r="X1357" s="1" t="n">
        <v>3.5</v>
      </c>
      <c r="Y1357" s="1" t="s">
        <v>40</v>
      </c>
      <c r="Z1357" s="1" t="n">
        <v>0</v>
      </c>
    </row>
    <row r="1358" customFormat="false" ht="15" hidden="false" customHeight="true" outlineLevel="0" collapsed="false">
      <c r="A1358" s="1" t="s">
        <v>2148</v>
      </c>
      <c r="B1358" s="1" t="s">
        <v>2149</v>
      </c>
      <c r="C1358" s="1" t="s">
        <v>74</v>
      </c>
      <c r="D1358" s="1" t="s">
        <v>168</v>
      </c>
      <c r="E1358" s="1" t="s">
        <v>197</v>
      </c>
      <c r="F1358" s="1" t="s">
        <v>102</v>
      </c>
      <c r="G1358" s="1" t="s">
        <v>103</v>
      </c>
      <c r="H1358" s="1" t="s">
        <v>33</v>
      </c>
      <c r="I1358" s="1" t="s">
        <v>34</v>
      </c>
      <c r="J1358" s="1" t="s">
        <v>131</v>
      </c>
      <c r="K1358" s="1" t="s">
        <v>60</v>
      </c>
      <c r="L1358" s="1" t="s">
        <v>85</v>
      </c>
      <c r="M1358" s="1" t="s">
        <v>62</v>
      </c>
      <c r="N1358" s="1" t="n">
        <v>8499</v>
      </c>
      <c r="O1358" s="1" t="n">
        <v>30</v>
      </c>
      <c r="P1358" s="1" t="n">
        <v>2549.7</v>
      </c>
      <c r="Q1358" s="1" t="n">
        <v>5949.3</v>
      </c>
      <c r="R1358" s="1" t="n">
        <v>1070.87</v>
      </c>
      <c r="S1358" s="1" t="n">
        <v>4878.43</v>
      </c>
      <c r="T1358" s="1" t="n">
        <v>2139.34</v>
      </c>
      <c r="U1358" s="1" t="n">
        <v>2739.09</v>
      </c>
      <c r="V1358" s="1" t="n">
        <v>56.15</v>
      </c>
      <c r="W1358" s="1" t="s">
        <v>40</v>
      </c>
      <c r="Y1358" s="1" t="s">
        <v>39</v>
      </c>
      <c r="Z1358" s="1" t="n">
        <v>0</v>
      </c>
    </row>
    <row r="1359" customFormat="false" ht="15" hidden="false" customHeight="true" outlineLevel="0" collapsed="false">
      <c r="A1359" s="1" t="s">
        <v>2150</v>
      </c>
      <c r="B1359" s="1" t="s">
        <v>1423</v>
      </c>
      <c r="C1359" s="1" t="s">
        <v>119</v>
      </c>
      <c r="D1359" s="1" t="s">
        <v>29</v>
      </c>
      <c r="E1359" s="1" t="s">
        <v>30</v>
      </c>
      <c r="F1359" s="1" t="s">
        <v>46</v>
      </c>
      <c r="G1359" s="1" t="s">
        <v>47</v>
      </c>
      <c r="H1359" s="1" t="s">
        <v>33</v>
      </c>
      <c r="I1359" s="1" t="s">
        <v>34</v>
      </c>
      <c r="J1359" s="1" t="s">
        <v>70</v>
      </c>
      <c r="K1359" s="1" t="s">
        <v>84</v>
      </c>
      <c r="L1359" s="1" t="s">
        <v>136</v>
      </c>
      <c r="M1359" s="1" t="s">
        <v>62</v>
      </c>
      <c r="N1359" s="1" t="n">
        <v>7999</v>
      </c>
      <c r="O1359" s="1" t="n">
        <v>15</v>
      </c>
      <c r="P1359" s="1" t="n">
        <v>1199.85</v>
      </c>
      <c r="Q1359" s="1" t="n">
        <v>6799.15</v>
      </c>
      <c r="R1359" s="1" t="n">
        <v>1223.85</v>
      </c>
      <c r="S1359" s="1" t="n">
        <v>5575.3</v>
      </c>
      <c r="T1359" s="1" t="n">
        <v>2682.3</v>
      </c>
      <c r="U1359" s="1" t="n">
        <v>2893</v>
      </c>
      <c r="V1359" s="1" t="n">
        <v>51.89</v>
      </c>
      <c r="W1359" s="1" t="s">
        <v>40</v>
      </c>
      <c r="Y1359" s="1" t="s">
        <v>40</v>
      </c>
      <c r="Z1359" s="1" t="n">
        <v>0</v>
      </c>
    </row>
    <row r="1360" customFormat="false" ht="15" hidden="false" customHeight="true" outlineLevel="0" collapsed="false">
      <c r="A1360" s="1" t="s">
        <v>2151</v>
      </c>
      <c r="B1360" s="1" t="s">
        <v>395</v>
      </c>
      <c r="C1360" s="1" t="s">
        <v>93</v>
      </c>
      <c r="D1360" s="1" t="s">
        <v>94</v>
      </c>
      <c r="E1360" s="1" t="s">
        <v>95</v>
      </c>
      <c r="F1360" s="1" t="s">
        <v>140</v>
      </c>
      <c r="G1360" s="1" t="s">
        <v>97</v>
      </c>
      <c r="H1360" s="1" t="s">
        <v>57</v>
      </c>
      <c r="I1360" s="1" t="s">
        <v>34</v>
      </c>
      <c r="J1360" s="1" t="s">
        <v>59</v>
      </c>
      <c r="K1360" s="1" t="s">
        <v>60</v>
      </c>
      <c r="L1360" s="1" t="s">
        <v>61</v>
      </c>
      <c r="M1360" s="1" t="s">
        <v>50</v>
      </c>
      <c r="N1360" s="1" t="n">
        <v>6999</v>
      </c>
      <c r="O1360" s="1" t="n">
        <v>0</v>
      </c>
      <c r="P1360" s="1" t="n">
        <v>0</v>
      </c>
      <c r="Q1360" s="1" t="n">
        <v>6999</v>
      </c>
      <c r="R1360" s="1" t="n">
        <v>1259.82</v>
      </c>
      <c r="S1360" s="1" t="n">
        <v>5739.18</v>
      </c>
      <c r="T1360" s="1" t="n">
        <v>2700.48</v>
      </c>
      <c r="U1360" s="1" t="n">
        <v>3038.7</v>
      </c>
      <c r="V1360" s="1" t="n">
        <v>52.95</v>
      </c>
      <c r="W1360" s="1" t="s">
        <v>39</v>
      </c>
      <c r="X1360" s="1" t="n">
        <v>3.9</v>
      </c>
      <c r="Y1360" s="1" t="s">
        <v>40</v>
      </c>
      <c r="Z1360" s="1" t="n">
        <v>0</v>
      </c>
    </row>
    <row r="1361" customFormat="false" ht="15" hidden="false" customHeight="true" outlineLevel="0" collapsed="false">
      <c r="A1361" s="1" t="s">
        <v>2152</v>
      </c>
      <c r="B1361" s="1" t="s">
        <v>1410</v>
      </c>
      <c r="C1361" s="1" t="s">
        <v>100</v>
      </c>
      <c r="D1361" s="1" t="s">
        <v>80</v>
      </c>
      <c r="E1361" s="1" t="s">
        <v>193</v>
      </c>
      <c r="F1361" s="1" t="s">
        <v>130</v>
      </c>
      <c r="G1361" s="1" t="s">
        <v>47</v>
      </c>
      <c r="H1361" s="1" t="s">
        <v>69</v>
      </c>
      <c r="I1361" s="1" t="s">
        <v>34</v>
      </c>
      <c r="J1361" s="1" t="s">
        <v>77</v>
      </c>
      <c r="K1361" s="1" t="s">
        <v>84</v>
      </c>
      <c r="L1361" s="1" t="s">
        <v>113</v>
      </c>
      <c r="M1361" s="1" t="s">
        <v>62</v>
      </c>
      <c r="N1361" s="1" t="n">
        <v>8999</v>
      </c>
      <c r="O1361" s="1" t="n">
        <v>10</v>
      </c>
      <c r="P1361" s="1" t="n">
        <v>899.9</v>
      </c>
      <c r="Q1361" s="1" t="n">
        <v>8099.1</v>
      </c>
      <c r="R1361" s="1" t="n">
        <v>1457.84</v>
      </c>
      <c r="S1361" s="1" t="n">
        <v>6641.26</v>
      </c>
      <c r="T1361" s="1" t="n">
        <v>2506.31</v>
      </c>
      <c r="U1361" s="1" t="n">
        <v>4134.95</v>
      </c>
      <c r="V1361" s="1" t="n">
        <v>62.26</v>
      </c>
      <c r="W1361" s="1" t="s">
        <v>40</v>
      </c>
      <c r="Y1361" s="1" t="s">
        <v>40</v>
      </c>
      <c r="Z1361" s="1" t="n">
        <v>1</v>
      </c>
    </row>
    <row r="1362" customFormat="false" ht="15" hidden="false" customHeight="true" outlineLevel="0" collapsed="false">
      <c r="A1362" s="1" t="s">
        <v>2153</v>
      </c>
      <c r="B1362" s="1" t="s">
        <v>1671</v>
      </c>
      <c r="C1362" s="1" t="s">
        <v>74</v>
      </c>
      <c r="D1362" s="1" t="s">
        <v>80</v>
      </c>
      <c r="E1362" s="1" t="s">
        <v>81</v>
      </c>
      <c r="F1362" s="1" t="s">
        <v>150</v>
      </c>
      <c r="G1362" s="1" t="s">
        <v>32</v>
      </c>
      <c r="H1362" s="1" t="s">
        <v>57</v>
      </c>
      <c r="I1362" s="1" t="s">
        <v>34</v>
      </c>
      <c r="J1362" s="1" t="s">
        <v>59</v>
      </c>
      <c r="K1362" s="1" t="s">
        <v>36</v>
      </c>
      <c r="L1362" s="1" t="s">
        <v>85</v>
      </c>
      <c r="M1362" s="1" t="s">
        <v>62</v>
      </c>
      <c r="N1362" s="1" t="n">
        <v>12999</v>
      </c>
      <c r="O1362" s="1" t="n">
        <v>40</v>
      </c>
      <c r="P1362" s="1" t="n">
        <v>5199.6</v>
      </c>
      <c r="Q1362" s="1" t="n">
        <v>7799.4</v>
      </c>
      <c r="R1362" s="1" t="n">
        <v>1403.89</v>
      </c>
      <c r="S1362" s="1" t="n">
        <v>6395.51</v>
      </c>
      <c r="T1362" s="1" t="n">
        <v>3981.99</v>
      </c>
      <c r="U1362" s="1" t="n">
        <v>2413.52</v>
      </c>
      <c r="V1362" s="1" t="n">
        <v>37.74</v>
      </c>
      <c r="W1362" s="1" t="s">
        <v>39</v>
      </c>
      <c r="X1362" s="1" t="n">
        <v>3.4</v>
      </c>
      <c r="Y1362" s="1" t="s">
        <v>40</v>
      </c>
      <c r="Z1362" s="1" t="n">
        <v>0</v>
      </c>
    </row>
    <row r="1363" customFormat="false" ht="15" hidden="false" customHeight="true" outlineLevel="0" collapsed="false">
      <c r="A1363" s="1" t="s">
        <v>2154</v>
      </c>
      <c r="B1363" s="1" t="s">
        <v>549</v>
      </c>
      <c r="C1363" s="1" t="s">
        <v>28</v>
      </c>
      <c r="D1363" s="1" t="s">
        <v>53</v>
      </c>
      <c r="E1363" s="1" t="s">
        <v>116</v>
      </c>
      <c r="F1363" s="1" t="s">
        <v>156</v>
      </c>
      <c r="G1363" s="1" t="s">
        <v>68</v>
      </c>
      <c r="H1363" s="1" t="s">
        <v>57</v>
      </c>
      <c r="I1363" s="1" t="s">
        <v>34</v>
      </c>
      <c r="J1363" s="1" t="s">
        <v>131</v>
      </c>
      <c r="K1363" s="1" t="s">
        <v>104</v>
      </c>
      <c r="L1363" s="1" t="s">
        <v>49</v>
      </c>
      <c r="M1363" s="1" t="s">
        <v>62</v>
      </c>
      <c r="N1363" s="1" t="n">
        <v>9999</v>
      </c>
      <c r="O1363" s="1" t="n">
        <v>10</v>
      </c>
      <c r="P1363" s="1" t="n">
        <v>999.9</v>
      </c>
      <c r="Q1363" s="1" t="n">
        <v>8999.1</v>
      </c>
      <c r="R1363" s="1" t="n">
        <v>1619.84</v>
      </c>
      <c r="S1363" s="1" t="n">
        <v>7379.26</v>
      </c>
      <c r="T1363" s="1" t="n">
        <v>3489.3</v>
      </c>
      <c r="U1363" s="1" t="n">
        <v>3889.96</v>
      </c>
      <c r="V1363" s="1" t="n">
        <v>52.71</v>
      </c>
      <c r="W1363" s="1" t="s">
        <v>40</v>
      </c>
      <c r="Y1363" s="1" t="s">
        <v>40</v>
      </c>
      <c r="Z1363" s="1" t="n">
        <v>1</v>
      </c>
    </row>
    <row r="1364" customFormat="false" ht="15" hidden="false" customHeight="true" outlineLevel="0" collapsed="false">
      <c r="A1364" s="1" t="s">
        <v>2155</v>
      </c>
      <c r="B1364" s="1" t="s">
        <v>466</v>
      </c>
      <c r="C1364" s="1" t="s">
        <v>119</v>
      </c>
      <c r="D1364" s="1" t="s">
        <v>123</v>
      </c>
      <c r="E1364" s="1" t="s">
        <v>233</v>
      </c>
      <c r="F1364" s="1" t="s">
        <v>269</v>
      </c>
      <c r="G1364" s="1" t="s">
        <v>108</v>
      </c>
      <c r="H1364" s="1" t="s">
        <v>57</v>
      </c>
      <c r="I1364" s="1" t="s">
        <v>34</v>
      </c>
      <c r="J1364" s="1" t="s">
        <v>59</v>
      </c>
      <c r="K1364" s="1" t="s">
        <v>104</v>
      </c>
      <c r="L1364" s="1" t="s">
        <v>136</v>
      </c>
      <c r="M1364" s="1" t="s">
        <v>38</v>
      </c>
      <c r="N1364" s="1" t="n">
        <v>8999</v>
      </c>
      <c r="O1364" s="1" t="n">
        <v>15</v>
      </c>
      <c r="P1364" s="1" t="n">
        <v>1349.85</v>
      </c>
      <c r="Q1364" s="1" t="n">
        <v>7649.15</v>
      </c>
      <c r="R1364" s="1" t="n">
        <v>1376.85</v>
      </c>
      <c r="S1364" s="1" t="n">
        <v>6272.3</v>
      </c>
      <c r="T1364" s="1" t="n">
        <v>3167.93</v>
      </c>
      <c r="U1364" s="1" t="n">
        <v>3104.37</v>
      </c>
      <c r="V1364" s="1" t="n">
        <v>49.49</v>
      </c>
      <c r="W1364" s="1" t="s">
        <v>39</v>
      </c>
      <c r="Y1364" s="1" t="s">
        <v>40</v>
      </c>
      <c r="Z1364" s="1" t="n">
        <v>0</v>
      </c>
    </row>
    <row r="1365" customFormat="false" ht="15" hidden="false" customHeight="true" outlineLevel="0" collapsed="false">
      <c r="A1365" s="1" t="s">
        <v>2156</v>
      </c>
      <c r="B1365" s="1" t="s">
        <v>441</v>
      </c>
      <c r="C1365" s="1" t="s">
        <v>93</v>
      </c>
      <c r="D1365" s="1" t="s">
        <v>29</v>
      </c>
      <c r="E1365" s="1" t="s">
        <v>182</v>
      </c>
      <c r="F1365" s="1" t="s">
        <v>187</v>
      </c>
      <c r="G1365" s="1" t="s">
        <v>97</v>
      </c>
      <c r="H1365" s="1" t="s">
        <v>69</v>
      </c>
      <c r="I1365" s="1" t="s">
        <v>58</v>
      </c>
      <c r="J1365" s="1" t="s">
        <v>131</v>
      </c>
      <c r="K1365" s="1" t="s">
        <v>84</v>
      </c>
      <c r="L1365" s="1" t="s">
        <v>85</v>
      </c>
      <c r="M1365" s="1" t="s">
        <v>62</v>
      </c>
      <c r="N1365" s="1" t="n">
        <v>34999</v>
      </c>
      <c r="O1365" s="1" t="n">
        <v>0</v>
      </c>
      <c r="P1365" s="1" t="n">
        <v>0</v>
      </c>
      <c r="Q1365" s="1" t="n">
        <v>34999</v>
      </c>
      <c r="R1365" s="1" t="n">
        <v>6299.82</v>
      </c>
      <c r="S1365" s="1" t="n">
        <v>28699.18</v>
      </c>
      <c r="T1365" s="1" t="n">
        <v>10632.03</v>
      </c>
      <c r="U1365" s="1" t="n">
        <v>18067.15</v>
      </c>
      <c r="V1365" s="1" t="n">
        <v>62.95</v>
      </c>
      <c r="W1365" s="1" t="s">
        <v>39</v>
      </c>
      <c r="X1365" s="1" t="n">
        <v>4.2</v>
      </c>
      <c r="Y1365" s="1" t="s">
        <v>39</v>
      </c>
      <c r="Z1365" s="1" t="n">
        <v>0</v>
      </c>
    </row>
    <row r="1366" customFormat="false" ht="15" hidden="false" customHeight="true" outlineLevel="0" collapsed="false">
      <c r="A1366" s="1" t="s">
        <v>2157</v>
      </c>
      <c r="B1366" s="1" t="s">
        <v>360</v>
      </c>
      <c r="C1366" s="1" t="s">
        <v>28</v>
      </c>
      <c r="D1366" s="1" t="s">
        <v>44</v>
      </c>
      <c r="E1366" s="1" t="s">
        <v>66</v>
      </c>
      <c r="F1366" s="1" t="s">
        <v>89</v>
      </c>
      <c r="G1366" s="1" t="s">
        <v>68</v>
      </c>
      <c r="H1366" s="1" t="s">
        <v>33</v>
      </c>
      <c r="I1366" s="1" t="s">
        <v>83</v>
      </c>
      <c r="J1366" s="1" t="s">
        <v>35</v>
      </c>
      <c r="K1366" s="1" t="s">
        <v>84</v>
      </c>
      <c r="L1366" s="1" t="s">
        <v>49</v>
      </c>
      <c r="M1366" s="1" t="s">
        <v>38</v>
      </c>
      <c r="N1366" s="1" t="n">
        <v>12999</v>
      </c>
      <c r="O1366" s="1" t="n">
        <v>5</v>
      </c>
      <c r="P1366" s="1" t="n">
        <v>649.95</v>
      </c>
      <c r="Q1366" s="1" t="n">
        <v>12349.05</v>
      </c>
      <c r="R1366" s="1" t="n">
        <v>2222.83</v>
      </c>
      <c r="S1366" s="1" t="n">
        <v>10126.22</v>
      </c>
      <c r="T1366" s="1" t="n">
        <v>5756.4</v>
      </c>
      <c r="U1366" s="1" t="n">
        <v>4369.82</v>
      </c>
      <c r="V1366" s="1" t="n">
        <v>43.15</v>
      </c>
      <c r="W1366" s="1" t="s">
        <v>40</v>
      </c>
      <c r="Y1366" s="1" t="s">
        <v>39</v>
      </c>
      <c r="Z1366" s="1" t="n">
        <v>5</v>
      </c>
    </row>
    <row r="1367" customFormat="false" ht="15" hidden="false" customHeight="true" outlineLevel="0" collapsed="false">
      <c r="A1367" s="1" t="s">
        <v>2158</v>
      </c>
      <c r="B1367" s="1" t="s">
        <v>1576</v>
      </c>
      <c r="C1367" s="1" t="s">
        <v>264</v>
      </c>
      <c r="D1367" s="1" t="s">
        <v>94</v>
      </c>
      <c r="E1367" s="1" t="s">
        <v>95</v>
      </c>
      <c r="F1367" s="1" t="s">
        <v>150</v>
      </c>
      <c r="G1367" s="1" t="s">
        <v>32</v>
      </c>
      <c r="H1367" s="1" t="s">
        <v>57</v>
      </c>
      <c r="I1367" s="1" t="s">
        <v>83</v>
      </c>
      <c r="J1367" s="1" t="s">
        <v>70</v>
      </c>
      <c r="K1367" s="1" t="s">
        <v>71</v>
      </c>
      <c r="L1367" s="1" t="s">
        <v>37</v>
      </c>
      <c r="M1367" s="1" t="s">
        <v>50</v>
      </c>
      <c r="N1367" s="1" t="n">
        <v>6999</v>
      </c>
      <c r="O1367" s="1" t="n">
        <v>50</v>
      </c>
      <c r="P1367" s="1" t="n">
        <v>3499.5</v>
      </c>
      <c r="Q1367" s="1" t="n">
        <v>3499.5</v>
      </c>
      <c r="R1367" s="1" t="n">
        <v>629.91</v>
      </c>
      <c r="S1367" s="1" t="n">
        <v>2869.59</v>
      </c>
      <c r="T1367" s="1" t="n">
        <v>1606.94</v>
      </c>
      <c r="U1367" s="1" t="n">
        <v>1262.65</v>
      </c>
      <c r="V1367" s="1" t="n">
        <v>44</v>
      </c>
      <c r="W1367" s="1" t="s">
        <v>39</v>
      </c>
      <c r="X1367" s="1" t="n">
        <v>4.1</v>
      </c>
      <c r="Y1367" s="1" t="s">
        <v>40</v>
      </c>
      <c r="Z1367" s="1" t="n">
        <v>0</v>
      </c>
    </row>
    <row r="1368" customFormat="false" ht="15" hidden="false" customHeight="true" outlineLevel="0" collapsed="false">
      <c r="A1368" s="1" t="s">
        <v>2159</v>
      </c>
      <c r="B1368" s="1" t="s">
        <v>992</v>
      </c>
      <c r="C1368" s="1" t="s">
        <v>178</v>
      </c>
      <c r="D1368" s="1" t="s">
        <v>29</v>
      </c>
      <c r="E1368" s="1" t="s">
        <v>30</v>
      </c>
      <c r="F1368" s="1" t="s">
        <v>150</v>
      </c>
      <c r="G1368" s="1" t="s">
        <v>32</v>
      </c>
      <c r="H1368" s="1" t="s">
        <v>57</v>
      </c>
      <c r="I1368" s="1" t="s">
        <v>83</v>
      </c>
      <c r="J1368" s="1" t="s">
        <v>131</v>
      </c>
      <c r="K1368" s="1" t="s">
        <v>104</v>
      </c>
      <c r="L1368" s="1" t="s">
        <v>113</v>
      </c>
      <c r="M1368" s="1" t="s">
        <v>50</v>
      </c>
      <c r="N1368" s="1" t="n">
        <v>7999</v>
      </c>
      <c r="O1368" s="1" t="n">
        <v>40</v>
      </c>
      <c r="P1368" s="1" t="n">
        <v>3199.6</v>
      </c>
      <c r="Q1368" s="1" t="n">
        <v>4799.4</v>
      </c>
      <c r="R1368" s="1" t="n">
        <v>863.89</v>
      </c>
      <c r="S1368" s="1" t="n">
        <v>3935.51</v>
      </c>
      <c r="T1368" s="1" t="n">
        <v>1892.47</v>
      </c>
      <c r="U1368" s="1" t="n">
        <v>2043.04</v>
      </c>
      <c r="V1368" s="1" t="n">
        <v>51.91</v>
      </c>
      <c r="W1368" s="1" t="s">
        <v>40</v>
      </c>
      <c r="Y1368" s="1" t="s">
        <v>39</v>
      </c>
      <c r="Z1368" s="1" t="n">
        <v>1</v>
      </c>
    </row>
    <row r="1369" customFormat="false" ht="15" hidden="false" customHeight="true" outlineLevel="0" collapsed="false">
      <c r="A1369" s="1" t="s">
        <v>2160</v>
      </c>
      <c r="B1369" s="1" t="s">
        <v>551</v>
      </c>
      <c r="C1369" s="1" t="s">
        <v>178</v>
      </c>
      <c r="D1369" s="1" t="s">
        <v>80</v>
      </c>
      <c r="E1369" s="1" t="s">
        <v>175</v>
      </c>
      <c r="F1369" s="1" t="s">
        <v>211</v>
      </c>
      <c r="G1369" s="1" t="s">
        <v>56</v>
      </c>
      <c r="H1369" s="1" t="s">
        <v>69</v>
      </c>
      <c r="I1369" s="1" t="s">
        <v>58</v>
      </c>
      <c r="J1369" s="1" t="s">
        <v>70</v>
      </c>
      <c r="K1369" s="1" t="s">
        <v>36</v>
      </c>
      <c r="L1369" s="1" t="s">
        <v>37</v>
      </c>
      <c r="M1369" s="1" t="s">
        <v>50</v>
      </c>
      <c r="N1369" s="1" t="n">
        <v>19999</v>
      </c>
      <c r="O1369" s="1" t="n">
        <v>50</v>
      </c>
      <c r="P1369" s="1" t="n">
        <v>9999.5</v>
      </c>
      <c r="Q1369" s="1" t="n">
        <v>9999.5</v>
      </c>
      <c r="R1369" s="1" t="n">
        <v>1799.91</v>
      </c>
      <c r="S1369" s="1" t="n">
        <v>8199.59</v>
      </c>
      <c r="T1369" s="1" t="n">
        <v>4120.85</v>
      </c>
      <c r="U1369" s="1" t="n">
        <v>4078.74</v>
      </c>
      <c r="V1369" s="1" t="n">
        <v>49.74</v>
      </c>
      <c r="W1369" s="1" t="s">
        <v>40</v>
      </c>
      <c r="Y1369" s="1" t="s">
        <v>40</v>
      </c>
      <c r="Z1369" s="1" t="n">
        <v>0</v>
      </c>
    </row>
    <row r="1370" customFormat="false" ht="15" hidden="false" customHeight="true" outlineLevel="0" collapsed="false">
      <c r="A1370" s="1" t="s">
        <v>2161</v>
      </c>
      <c r="B1370" s="1" t="s">
        <v>389</v>
      </c>
      <c r="C1370" s="1" t="s">
        <v>167</v>
      </c>
      <c r="D1370" s="1" t="s">
        <v>94</v>
      </c>
      <c r="E1370" s="1" t="s">
        <v>95</v>
      </c>
      <c r="F1370" s="1" t="s">
        <v>211</v>
      </c>
      <c r="G1370" s="1" t="s">
        <v>56</v>
      </c>
      <c r="H1370" s="1" t="s">
        <v>69</v>
      </c>
      <c r="I1370" s="1" t="s">
        <v>34</v>
      </c>
      <c r="J1370" s="1" t="s">
        <v>77</v>
      </c>
      <c r="K1370" s="1" t="s">
        <v>112</v>
      </c>
      <c r="L1370" s="1" t="s">
        <v>85</v>
      </c>
      <c r="M1370" s="1" t="s">
        <v>50</v>
      </c>
      <c r="N1370" s="1" t="n">
        <v>6999</v>
      </c>
      <c r="O1370" s="1" t="n">
        <v>10</v>
      </c>
      <c r="P1370" s="1" t="n">
        <v>699.9</v>
      </c>
      <c r="Q1370" s="1" t="n">
        <v>6299.1</v>
      </c>
      <c r="R1370" s="1" t="n">
        <v>1133.84</v>
      </c>
      <c r="S1370" s="1" t="n">
        <v>5165.26</v>
      </c>
      <c r="T1370" s="1" t="n">
        <v>1961.83</v>
      </c>
      <c r="U1370" s="1" t="n">
        <v>3203.43</v>
      </c>
      <c r="V1370" s="1" t="n">
        <v>62.02</v>
      </c>
      <c r="W1370" s="1" t="s">
        <v>39</v>
      </c>
      <c r="X1370" s="1" t="n">
        <v>4.1</v>
      </c>
      <c r="Y1370" s="1" t="s">
        <v>40</v>
      </c>
      <c r="Z1370" s="1" t="n">
        <v>1</v>
      </c>
    </row>
    <row r="1371" customFormat="false" ht="15" hidden="false" customHeight="true" outlineLevel="0" collapsed="false">
      <c r="A1371" s="1" t="s">
        <v>2162</v>
      </c>
      <c r="B1371" s="1" t="s">
        <v>1913</v>
      </c>
      <c r="C1371" s="1" t="s">
        <v>119</v>
      </c>
      <c r="D1371" s="1" t="s">
        <v>29</v>
      </c>
      <c r="E1371" s="1" t="s">
        <v>129</v>
      </c>
      <c r="F1371" s="1" t="s">
        <v>156</v>
      </c>
      <c r="G1371" s="1" t="s">
        <v>68</v>
      </c>
      <c r="H1371" s="1" t="s">
        <v>57</v>
      </c>
      <c r="I1371" s="1" t="s">
        <v>34</v>
      </c>
      <c r="J1371" s="1" t="s">
        <v>35</v>
      </c>
      <c r="K1371" s="1" t="s">
        <v>71</v>
      </c>
      <c r="L1371" s="1" t="s">
        <v>113</v>
      </c>
      <c r="M1371" s="1" t="s">
        <v>38</v>
      </c>
      <c r="N1371" s="1" t="n">
        <v>29999</v>
      </c>
      <c r="O1371" s="1" t="n">
        <v>10</v>
      </c>
      <c r="P1371" s="1" t="n">
        <v>2999.9</v>
      </c>
      <c r="Q1371" s="1" t="n">
        <v>26999.1</v>
      </c>
      <c r="R1371" s="1" t="n">
        <v>4859.84</v>
      </c>
      <c r="S1371" s="1" t="n">
        <v>22139.26</v>
      </c>
      <c r="T1371" s="1" t="n">
        <v>8197.78</v>
      </c>
      <c r="U1371" s="1" t="n">
        <v>13941.48</v>
      </c>
      <c r="V1371" s="1" t="n">
        <v>62.97</v>
      </c>
      <c r="W1371" s="1" t="s">
        <v>39</v>
      </c>
      <c r="X1371" s="1" t="n">
        <v>4.4</v>
      </c>
      <c r="Y1371" s="1" t="s">
        <v>40</v>
      </c>
      <c r="Z1371" s="1" t="n">
        <v>0</v>
      </c>
    </row>
    <row r="1372" customFormat="false" ht="15" hidden="false" customHeight="true" outlineLevel="0" collapsed="false">
      <c r="A1372" s="1" t="s">
        <v>2163</v>
      </c>
      <c r="B1372" s="1" t="s">
        <v>901</v>
      </c>
      <c r="C1372" s="1" t="s">
        <v>100</v>
      </c>
      <c r="D1372" s="1" t="s">
        <v>44</v>
      </c>
      <c r="E1372" s="1" t="s">
        <v>221</v>
      </c>
      <c r="F1372" s="1" t="s">
        <v>82</v>
      </c>
      <c r="G1372" s="1" t="s">
        <v>56</v>
      </c>
      <c r="H1372" s="1" t="s">
        <v>69</v>
      </c>
      <c r="I1372" s="1" t="s">
        <v>58</v>
      </c>
      <c r="J1372" s="1" t="s">
        <v>59</v>
      </c>
      <c r="K1372" s="1" t="s">
        <v>84</v>
      </c>
      <c r="L1372" s="1" t="s">
        <v>136</v>
      </c>
      <c r="M1372" s="1" t="s">
        <v>38</v>
      </c>
      <c r="N1372" s="1" t="n">
        <v>16999</v>
      </c>
      <c r="O1372" s="1" t="n">
        <v>0</v>
      </c>
      <c r="P1372" s="1" t="n">
        <v>0</v>
      </c>
      <c r="Q1372" s="1" t="n">
        <v>16999</v>
      </c>
      <c r="R1372" s="1" t="n">
        <v>3059.82</v>
      </c>
      <c r="S1372" s="1" t="n">
        <v>13939.18</v>
      </c>
      <c r="T1372" s="1" t="n">
        <v>6120.57</v>
      </c>
      <c r="U1372" s="1" t="n">
        <v>7818.61</v>
      </c>
      <c r="V1372" s="1" t="n">
        <v>56.09</v>
      </c>
      <c r="W1372" s="1" t="s">
        <v>39</v>
      </c>
      <c r="X1372" s="1" t="n">
        <v>3.3</v>
      </c>
      <c r="Y1372" s="1" t="s">
        <v>40</v>
      </c>
      <c r="Z1372" s="1" t="n">
        <v>2</v>
      </c>
    </row>
    <row r="1373" customFormat="false" ht="15" hidden="false" customHeight="true" outlineLevel="0" collapsed="false">
      <c r="A1373" s="1" t="s">
        <v>2164</v>
      </c>
      <c r="B1373" s="1" t="s">
        <v>466</v>
      </c>
      <c r="C1373" s="1" t="s">
        <v>139</v>
      </c>
      <c r="D1373" s="1" t="s">
        <v>143</v>
      </c>
      <c r="E1373" s="1" t="s">
        <v>243</v>
      </c>
      <c r="F1373" s="1" t="s">
        <v>102</v>
      </c>
      <c r="G1373" s="1" t="s">
        <v>103</v>
      </c>
      <c r="H1373" s="1" t="s">
        <v>33</v>
      </c>
      <c r="I1373" s="1" t="s">
        <v>58</v>
      </c>
      <c r="J1373" s="1" t="s">
        <v>77</v>
      </c>
      <c r="K1373" s="1" t="s">
        <v>90</v>
      </c>
      <c r="L1373" s="1" t="s">
        <v>85</v>
      </c>
      <c r="M1373" s="1" t="s">
        <v>38</v>
      </c>
      <c r="N1373" s="1" t="n">
        <v>22999</v>
      </c>
      <c r="O1373" s="1" t="n">
        <v>10</v>
      </c>
      <c r="P1373" s="1" t="n">
        <v>2299.9</v>
      </c>
      <c r="Q1373" s="1" t="n">
        <v>20699.1</v>
      </c>
      <c r="R1373" s="1" t="n">
        <v>3725.84</v>
      </c>
      <c r="S1373" s="1" t="n">
        <v>16973.26</v>
      </c>
      <c r="T1373" s="1" t="n">
        <v>7365.41</v>
      </c>
      <c r="U1373" s="1" t="n">
        <v>9607.85</v>
      </c>
      <c r="V1373" s="1" t="n">
        <v>56.61</v>
      </c>
      <c r="W1373" s="1" t="s">
        <v>40</v>
      </c>
      <c r="Y1373" s="1" t="s">
        <v>40</v>
      </c>
      <c r="Z1373" s="1" t="n">
        <v>0</v>
      </c>
    </row>
    <row r="1374" customFormat="false" ht="15" hidden="false" customHeight="true" outlineLevel="0" collapsed="false">
      <c r="A1374" s="1" t="s">
        <v>2165</v>
      </c>
      <c r="B1374" s="1" t="s">
        <v>1040</v>
      </c>
      <c r="C1374" s="1" t="s">
        <v>134</v>
      </c>
      <c r="D1374" s="1" t="s">
        <v>44</v>
      </c>
      <c r="E1374" s="1" t="s">
        <v>45</v>
      </c>
      <c r="F1374" s="1" t="s">
        <v>184</v>
      </c>
      <c r="G1374" s="1" t="s">
        <v>56</v>
      </c>
      <c r="H1374" s="1" t="s">
        <v>57</v>
      </c>
      <c r="I1374" s="1" t="s">
        <v>83</v>
      </c>
      <c r="J1374" s="1" t="s">
        <v>35</v>
      </c>
      <c r="K1374" s="1" t="s">
        <v>60</v>
      </c>
      <c r="L1374" s="1" t="s">
        <v>85</v>
      </c>
      <c r="M1374" s="1" t="s">
        <v>62</v>
      </c>
      <c r="N1374" s="1" t="n">
        <v>11999</v>
      </c>
      <c r="O1374" s="1" t="n">
        <v>30</v>
      </c>
      <c r="P1374" s="1" t="n">
        <v>3599.7</v>
      </c>
      <c r="Q1374" s="1" t="n">
        <v>8399.3</v>
      </c>
      <c r="R1374" s="1" t="n">
        <v>1511.87</v>
      </c>
      <c r="S1374" s="1" t="n">
        <v>6887.43</v>
      </c>
      <c r="T1374" s="1" t="n">
        <v>3254.28</v>
      </c>
      <c r="U1374" s="1" t="n">
        <v>3633.15</v>
      </c>
      <c r="V1374" s="1" t="n">
        <v>52.75</v>
      </c>
      <c r="W1374" s="1" t="s">
        <v>39</v>
      </c>
      <c r="Y1374" s="1" t="s">
        <v>40</v>
      </c>
      <c r="Z1374" s="1" t="n">
        <v>1</v>
      </c>
    </row>
    <row r="1375" customFormat="false" ht="15" hidden="false" customHeight="true" outlineLevel="0" collapsed="false">
      <c r="A1375" s="1" t="s">
        <v>2166</v>
      </c>
      <c r="B1375" s="1" t="s">
        <v>1791</v>
      </c>
      <c r="C1375" s="1" t="s">
        <v>100</v>
      </c>
      <c r="D1375" s="1" t="s">
        <v>143</v>
      </c>
      <c r="E1375" s="1" t="s">
        <v>162</v>
      </c>
      <c r="F1375" s="1" t="s">
        <v>82</v>
      </c>
      <c r="G1375" s="1" t="s">
        <v>56</v>
      </c>
      <c r="H1375" s="1" t="s">
        <v>69</v>
      </c>
      <c r="I1375" s="1" t="s">
        <v>83</v>
      </c>
      <c r="J1375" s="1" t="s">
        <v>59</v>
      </c>
      <c r="K1375" s="1" t="s">
        <v>48</v>
      </c>
      <c r="L1375" s="1" t="s">
        <v>113</v>
      </c>
      <c r="M1375" s="1" t="s">
        <v>50</v>
      </c>
      <c r="N1375" s="1" t="n">
        <v>14999</v>
      </c>
      <c r="O1375" s="1" t="n">
        <v>0</v>
      </c>
      <c r="P1375" s="1" t="n">
        <v>0</v>
      </c>
      <c r="Q1375" s="1" t="n">
        <v>14999</v>
      </c>
      <c r="R1375" s="1" t="n">
        <v>2699.82</v>
      </c>
      <c r="S1375" s="1" t="n">
        <v>12299.18</v>
      </c>
      <c r="T1375" s="1" t="n">
        <v>4500.28</v>
      </c>
      <c r="U1375" s="1" t="n">
        <v>7798.9</v>
      </c>
      <c r="V1375" s="1" t="n">
        <v>63.41</v>
      </c>
      <c r="W1375" s="1" t="s">
        <v>39</v>
      </c>
      <c r="X1375" s="1" t="n">
        <v>3.3</v>
      </c>
      <c r="Y1375" s="1" t="s">
        <v>40</v>
      </c>
      <c r="Z1375" s="1" t="n">
        <v>0</v>
      </c>
    </row>
    <row r="1376" customFormat="false" ht="15" hidden="false" customHeight="true" outlineLevel="0" collapsed="false">
      <c r="A1376" s="1" t="s">
        <v>2167</v>
      </c>
      <c r="B1376" s="1" t="s">
        <v>2168</v>
      </c>
      <c r="C1376" s="1" t="s">
        <v>28</v>
      </c>
      <c r="D1376" s="1" t="s">
        <v>53</v>
      </c>
      <c r="E1376" s="1" t="s">
        <v>116</v>
      </c>
      <c r="F1376" s="1" t="s">
        <v>269</v>
      </c>
      <c r="G1376" s="1" t="s">
        <v>108</v>
      </c>
      <c r="H1376" s="1" t="s">
        <v>57</v>
      </c>
      <c r="I1376" s="1" t="s">
        <v>58</v>
      </c>
      <c r="J1376" s="1" t="s">
        <v>77</v>
      </c>
      <c r="K1376" s="1" t="s">
        <v>84</v>
      </c>
      <c r="L1376" s="1" t="s">
        <v>37</v>
      </c>
      <c r="M1376" s="1" t="s">
        <v>38</v>
      </c>
      <c r="N1376" s="1" t="n">
        <v>9999</v>
      </c>
      <c r="O1376" s="1" t="n">
        <v>25</v>
      </c>
      <c r="P1376" s="1" t="n">
        <v>2499.75</v>
      </c>
      <c r="Q1376" s="1" t="n">
        <v>7499.25</v>
      </c>
      <c r="R1376" s="1" t="n">
        <v>1349.87</v>
      </c>
      <c r="S1376" s="1" t="n">
        <v>6149.38</v>
      </c>
      <c r="T1376" s="1" t="n">
        <v>2690.39</v>
      </c>
      <c r="U1376" s="1" t="n">
        <v>3458.99</v>
      </c>
      <c r="V1376" s="1" t="n">
        <v>56.25</v>
      </c>
      <c r="W1376" s="1" t="s">
        <v>39</v>
      </c>
      <c r="X1376" s="1" t="n">
        <v>4.1</v>
      </c>
      <c r="Y1376" s="1" t="s">
        <v>40</v>
      </c>
      <c r="Z1376" s="1" t="n">
        <v>0</v>
      </c>
    </row>
    <row r="1377" customFormat="false" ht="15" hidden="false" customHeight="true" outlineLevel="0" collapsed="false">
      <c r="A1377" s="1" t="s">
        <v>2169</v>
      </c>
      <c r="B1377" s="1" t="s">
        <v>2170</v>
      </c>
      <c r="C1377" s="1" t="s">
        <v>264</v>
      </c>
      <c r="D1377" s="1" t="s">
        <v>143</v>
      </c>
      <c r="E1377" s="1" t="s">
        <v>243</v>
      </c>
      <c r="F1377" s="1" t="s">
        <v>75</v>
      </c>
      <c r="G1377" s="1" t="s">
        <v>76</v>
      </c>
      <c r="H1377" s="1" t="s">
        <v>69</v>
      </c>
      <c r="I1377" s="1" t="s">
        <v>34</v>
      </c>
      <c r="J1377" s="1" t="s">
        <v>70</v>
      </c>
      <c r="K1377" s="1" t="s">
        <v>84</v>
      </c>
      <c r="L1377" s="1" t="s">
        <v>113</v>
      </c>
      <c r="M1377" s="1" t="s">
        <v>50</v>
      </c>
      <c r="N1377" s="1" t="n">
        <v>22999</v>
      </c>
      <c r="O1377" s="1" t="n">
        <v>40</v>
      </c>
      <c r="P1377" s="1" t="n">
        <v>9199.6</v>
      </c>
      <c r="Q1377" s="1" t="n">
        <v>13799.4</v>
      </c>
      <c r="R1377" s="1" t="n">
        <v>2483.89</v>
      </c>
      <c r="S1377" s="1" t="n">
        <v>11315.51</v>
      </c>
      <c r="T1377" s="1" t="n">
        <v>5310.88</v>
      </c>
      <c r="U1377" s="1" t="n">
        <v>6004.63</v>
      </c>
      <c r="V1377" s="1" t="n">
        <v>53.07</v>
      </c>
      <c r="W1377" s="1" t="s">
        <v>40</v>
      </c>
      <c r="Y1377" s="1" t="s">
        <v>40</v>
      </c>
      <c r="Z1377" s="1" t="n">
        <v>0</v>
      </c>
    </row>
    <row r="1378" customFormat="false" ht="15" hidden="false" customHeight="true" outlineLevel="0" collapsed="false">
      <c r="A1378" s="1" t="s">
        <v>2171</v>
      </c>
      <c r="B1378" s="1" t="s">
        <v>555</v>
      </c>
      <c r="C1378" s="1" t="s">
        <v>28</v>
      </c>
      <c r="D1378" s="1" t="s">
        <v>29</v>
      </c>
      <c r="E1378" s="1" t="s">
        <v>129</v>
      </c>
      <c r="F1378" s="1" t="s">
        <v>130</v>
      </c>
      <c r="G1378" s="1" t="s">
        <v>47</v>
      </c>
      <c r="H1378" s="1" t="s">
        <v>69</v>
      </c>
      <c r="I1378" s="1" t="s">
        <v>58</v>
      </c>
      <c r="J1378" s="1" t="s">
        <v>35</v>
      </c>
      <c r="K1378" s="1" t="s">
        <v>60</v>
      </c>
      <c r="L1378" s="1" t="s">
        <v>37</v>
      </c>
      <c r="M1378" s="1" t="s">
        <v>62</v>
      </c>
      <c r="N1378" s="1" t="n">
        <v>29999</v>
      </c>
      <c r="O1378" s="1" t="n">
        <v>40</v>
      </c>
      <c r="P1378" s="1" t="n">
        <v>11999.6</v>
      </c>
      <c r="Q1378" s="1" t="n">
        <v>17999.4</v>
      </c>
      <c r="R1378" s="1" t="n">
        <v>3239.89</v>
      </c>
      <c r="S1378" s="1" t="n">
        <v>14759.51</v>
      </c>
      <c r="T1378" s="1" t="n">
        <v>6729.96</v>
      </c>
      <c r="U1378" s="1" t="n">
        <v>8029.55</v>
      </c>
      <c r="V1378" s="1" t="n">
        <v>54.4</v>
      </c>
      <c r="W1378" s="1" t="s">
        <v>40</v>
      </c>
      <c r="Y1378" s="1" t="s">
        <v>39</v>
      </c>
      <c r="Z1378" s="1" t="n">
        <v>0</v>
      </c>
    </row>
    <row r="1379" customFormat="false" ht="15" hidden="false" customHeight="true" outlineLevel="0" collapsed="false">
      <c r="A1379" s="1" t="s">
        <v>2172</v>
      </c>
      <c r="B1379" s="1" t="s">
        <v>171</v>
      </c>
      <c r="C1379" s="1" t="s">
        <v>167</v>
      </c>
      <c r="D1379" s="1" t="s">
        <v>94</v>
      </c>
      <c r="E1379" s="1" t="s">
        <v>101</v>
      </c>
      <c r="F1379" s="1" t="s">
        <v>153</v>
      </c>
      <c r="G1379" s="1" t="s">
        <v>76</v>
      </c>
      <c r="H1379" s="1" t="s">
        <v>33</v>
      </c>
      <c r="I1379" s="1" t="s">
        <v>58</v>
      </c>
      <c r="J1379" s="1" t="s">
        <v>77</v>
      </c>
      <c r="K1379" s="1" t="s">
        <v>84</v>
      </c>
      <c r="L1379" s="1" t="s">
        <v>113</v>
      </c>
      <c r="M1379" s="1" t="s">
        <v>38</v>
      </c>
      <c r="N1379" s="1" t="n">
        <v>14999</v>
      </c>
      <c r="O1379" s="1" t="n">
        <v>20</v>
      </c>
      <c r="P1379" s="1" t="n">
        <v>2999.8</v>
      </c>
      <c r="Q1379" s="1" t="n">
        <v>11999.2</v>
      </c>
      <c r="R1379" s="1" t="n">
        <v>2159.86</v>
      </c>
      <c r="S1379" s="1" t="n">
        <v>9839.34</v>
      </c>
      <c r="T1379" s="1" t="n">
        <v>4308.12</v>
      </c>
      <c r="U1379" s="1" t="n">
        <v>5531.22</v>
      </c>
      <c r="V1379" s="1" t="n">
        <v>56.22</v>
      </c>
      <c r="W1379" s="1" t="s">
        <v>39</v>
      </c>
      <c r="X1379" s="1" t="n">
        <v>4.2</v>
      </c>
      <c r="Y1379" s="1" t="s">
        <v>40</v>
      </c>
      <c r="Z1379" s="1" t="n">
        <v>0</v>
      </c>
    </row>
    <row r="1380" customFormat="false" ht="15" hidden="false" customHeight="true" outlineLevel="0" collapsed="false">
      <c r="A1380" s="1" t="s">
        <v>2173</v>
      </c>
      <c r="B1380" s="1" t="s">
        <v>166</v>
      </c>
      <c r="C1380" s="1" t="s">
        <v>74</v>
      </c>
      <c r="D1380" s="1" t="s">
        <v>29</v>
      </c>
      <c r="E1380" s="1" t="s">
        <v>305</v>
      </c>
      <c r="F1380" s="1" t="s">
        <v>120</v>
      </c>
      <c r="G1380" s="1" t="s">
        <v>47</v>
      </c>
      <c r="H1380" s="1" t="s">
        <v>57</v>
      </c>
      <c r="I1380" s="1" t="s">
        <v>34</v>
      </c>
      <c r="J1380" s="1" t="s">
        <v>59</v>
      </c>
      <c r="K1380" s="1" t="s">
        <v>112</v>
      </c>
      <c r="L1380" s="1" t="s">
        <v>85</v>
      </c>
      <c r="M1380" s="1" t="s">
        <v>38</v>
      </c>
      <c r="N1380" s="1" t="n">
        <v>24999</v>
      </c>
      <c r="O1380" s="1" t="n">
        <v>10</v>
      </c>
      <c r="P1380" s="1" t="n">
        <v>2499.9</v>
      </c>
      <c r="Q1380" s="1" t="n">
        <v>22499.1</v>
      </c>
      <c r="R1380" s="1" t="n">
        <v>4049.84</v>
      </c>
      <c r="S1380" s="1" t="n">
        <v>18449.26</v>
      </c>
      <c r="T1380" s="1" t="n">
        <v>8277.07</v>
      </c>
      <c r="U1380" s="1" t="n">
        <v>10172.19</v>
      </c>
      <c r="V1380" s="1" t="n">
        <v>55.14</v>
      </c>
      <c r="W1380" s="1" t="s">
        <v>40</v>
      </c>
      <c r="Y1380" s="1" t="s">
        <v>40</v>
      </c>
      <c r="Z1380" s="1" t="n">
        <v>0</v>
      </c>
    </row>
    <row r="1381" customFormat="false" ht="15" hidden="false" customHeight="true" outlineLevel="0" collapsed="false">
      <c r="A1381" s="1" t="s">
        <v>2174</v>
      </c>
      <c r="B1381" s="1" t="s">
        <v>73</v>
      </c>
      <c r="C1381" s="1" t="s">
        <v>134</v>
      </c>
      <c r="D1381" s="1" t="s">
        <v>53</v>
      </c>
      <c r="E1381" s="1" t="s">
        <v>216</v>
      </c>
      <c r="F1381" s="1" t="s">
        <v>89</v>
      </c>
      <c r="G1381" s="1" t="s">
        <v>68</v>
      </c>
      <c r="H1381" s="1" t="s">
        <v>33</v>
      </c>
      <c r="I1381" s="1" t="s">
        <v>58</v>
      </c>
      <c r="J1381" s="1" t="s">
        <v>70</v>
      </c>
      <c r="K1381" s="1" t="s">
        <v>112</v>
      </c>
      <c r="L1381" s="1" t="s">
        <v>113</v>
      </c>
      <c r="M1381" s="1" t="s">
        <v>38</v>
      </c>
      <c r="N1381" s="1" t="n">
        <v>7499</v>
      </c>
      <c r="O1381" s="1" t="n">
        <v>30</v>
      </c>
      <c r="P1381" s="1" t="n">
        <v>2249.7</v>
      </c>
      <c r="Q1381" s="1" t="n">
        <v>5249.3</v>
      </c>
      <c r="R1381" s="1" t="n">
        <v>944.87</v>
      </c>
      <c r="S1381" s="1" t="n">
        <v>4304.43</v>
      </c>
      <c r="T1381" s="1" t="n">
        <v>1986.4</v>
      </c>
      <c r="U1381" s="1" t="n">
        <v>2318.03</v>
      </c>
      <c r="V1381" s="1" t="n">
        <v>53.85</v>
      </c>
      <c r="W1381" s="1" t="s">
        <v>39</v>
      </c>
      <c r="X1381" s="1" t="n">
        <v>4.4</v>
      </c>
      <c r="Y1381" s="1" t="s">
        <v>40</v>
      </c>
      <c r="Z1381" s="1" t="n">
        <v>1</v>
      </c>
    </row>
    <row r="1382" customFormat="false" ht="15" hidden="false" customHeight="true" outlineLevel="0" collapsed="false">
      <c r="A1382" s="1" t="s">
        <v>2175</v>
      </c>
      <c r="B1382" s="1" t="s">
        <v>2110</v>
      </c>
      <c r="C1382" s="1" t="s">
        <v>134</v>
      </c>
      <c r="D1382" s="1" t="s">
        <v>143</v>
      </c>
      <c r="E1382" s="1" t="s">
        <v>210</v>
      </c>
      <c r="F1382" s="1" t="s">
        <v>244</v>
      </c>
      <c r="G1382" s="1" t="s">
        <v>97</v>
      </c>
      <c r="H1382" s="1" t="s">
        <v>57</v>
      </c>
      <c r="I1382" s="1" t="s">
        <v>58</v>
      </c>
      <c r="J1382" s="1" t="s">
        <v>59</v>
      </c>
      <c r="K1382" s="1" t="s">
        <v>60</v>
      </c>
      <c r="L1382" s="1" t="s">
        <v>61</v>
      </c>
      <c r="M1382" s="1" t="s">
        <v>62</v>
      </c>
      <c r="N1382" s="1" t="n">
        <v>18999</v>
      </c>
      <c r="O1382" s="1" t="n">
        <v>25</v>
      </c>
      <c r="P1382" s="1" t="n">
        <v>4749.75</v>
      </c>
      <c r="Q1382" s="1" t="n">
        <v>14249.25</v>
      </c>
      <c r="R1382" s="1" t="n">
        <v>2564.86</v>
      </c>
      <c r="S1382" s="1" t="n">
        <v>11684.39</v>
      </c>
      <c r="T1382" s="1" t="n">
        <v>5237.7</v>
      </c>
      <c r="U1382" s="1" t="n">
        <v>6446.69</v>
      </c>
      <c r="V1382" s="1" t="n">
        <v>55.17</v>
      </c>
      <c r="W1382" s="1" t="s">
        <v>40</v>
      </c>
      <c r="Y1382" s="1" t="s">
        <v>40</v>
      </c>
      <c r="Z1382" s="1" t="n">
        <v>1</v>
      </c>
    </row>
    <row r="1383" customFormat="false" ht="15" hidden="false" customHeight="true" outlineLevel="0" collapsed="false">
      <c r="A1383" s="1" t="s">
        <v>2176</v>
      </c>
      <c r="B1383" s="1" t="s">
        <v>742</v>
      </c>
      <c r="C1383" s="1" t="s">
        <v>43</v>
      </c>
      <c r="D1383" s="1" t="s">
        <v>29</v>
      </c>
      <c r="E1383" s="1" t="s">
        <v>305</v>
      </c>
      <c r="F1383" s="1" t="s">
        <v>107</v>
      </c>
      <c r="G1383" s="1" t="s">
        <v>108</v>
      </c>
      <c r="H1383" s="1" t="s">
        <v>33</v>
      </c>
      <c r="I1383" s="1" t="s">
        <v>58</v>
      </c>
      <c r="J1383" s="1" t="s">
        <v>59</v>
      </c>
      <c r="K1383" s="1" t="s">
        <v>112</v>
      </c>
      <c r="L1383" s="1" t="s">
        <v>37</v>
      </c>
      <c r="M1383" s="1" t="s">
        <v>62</v>
      </c>
      <c r="N1383" s="1" t="n">
        <v>24999</v>
      </c>
      <c r="O1383" s="1" t="n">
        <v>0</v>
      </c>
      <c r="P1383" s="1" t="n">
        <v>0</v>
      </c>
      <c r="Q1383" s="1" t="n">
        <v>24999</v>
      </c>
      <c r="R1383" s="1" t="n">
        <v>4499.82</v>
      </c>
      <c r="S1383" s="1" t="n">
        <v>20499.18</v>
      </c>
      <c r="T1383" s="1" t="n">
        <v>7608.89</v>
      </c>
      <c r="U1383" s="1" t="n">
        <v>12890.29</v>
      </c>
      <c r="V1383" s="1" t="n">
        <v>62.88</v>
      </c>
      <c r="W1383" s="1" t="s">
        <v>40</v>
      </c>
      <c r="Y1383" s="1" t="s">
        <v>39</v>
      </c>
      <c r="Z1383" s="1" t="n">
        <v>1</v>
      </c>
    </row>
    <row r="1384" customFormat="false" ht="15" hidden="false" customHeight="true" outlineLevel="0" collapsed="false">
      <c r="A1384" s="1" t="s">
        <v>2177</v>
      </c>
      <c r="B1384" s="1" t="s">
        <v>2011</v>
      </c>
      <c r="C1384" s="1" t="s">
        <v>134</v>
      </c>
      <c r="D1384" s="1" t="s">
        <v>168</v>
      </c>
      <c r="E1384" s="1" t="s">
        <v>328</v>
      </c>
      <c r="F1384" s="1" t="s">
        <v>150</v>
      </c>
      <c r="G1384" s="1" t="s">
        <v>32</v>
      </c>
      <c r="H1384" s="1" t="s">
        <v>57</v>
      </c>
      <c r="I1384" s="1" t="s">
        <v>58</v>
      </c>
      <c r="J1384" s="1" t="s">
        <v>35</v>
      </c>
      <c r="K1384" s="1" t="s">
        <v>60</v>
      </c>
      <c r="L1384" s="1" t="s">
        <v>85</v>
      </c>
      <c r="M1384" s="1" t="s">
        <v>62</v>
      </c>
      <c r="N1384" s="1" t="n">
        <v>8999</v>
      </c>
      <c r="O1384" s="1" t="n">
        <v>15</v>
      </c>
      <c r="P1384" s="1" t="n">
        <v>1349.85</v>
      </c>
      <c r="Q1384" s="1" t="n">
        <v>7649.15</v>
      </c>
      <c r="R1384" s="1" t="n">
        <v>1376.85</v>
      </c>
      <c r="S1384" s="1" t="n">
        <v>6272.3</v>
      </c>
      <c r="T1384" s="1" t="n">
        <v>2750.57</v>
      </c>
      <c r="U1384" s="1" t="n">
        <v>3521.73</v>
      </c>
      <c r="V1384" s="1" t="n">
        <v>56.15</v>
      </c>
      <c r="W1384" s="1" t="s">
        <v>39</v>
      </c>
      <c r="Y1384" s="1" t="s">
        <v>40</v>
      </c>
      <c r="Z1384" s="1" t="n">
        <v>0</v>
      </c>
    </row>
    <row r="1385" customFormat="false" ht="15" hidden="false" customHeight="true" outlineLevel="0" collapsed="false">
      <c r="A1385" s="1" t="s">
        <v>2178</v>
      </c>
      <c r="B1385" s="1" t="s">
        <v>2179</v>
      </c>
      <c r="C1385" s="1" t="s">
        <v>93</v>
      </c>
      <c r="D1385" s="1" t="s">
        <v>44</v>
      </c>
      <c r="E1385" s="1" t="s">
        <v>66</v>
      </c>
      <c r="F1385" s="1" t="s">
        <v>194</v>
      </c>
      <c r="G1385" s="1" t="s">
        <v>103</v>
      </c>
      <c r="H1385" s="1" t="s">
        <v>69</v>
      </c>
      <c r="I1385" s="1" t="s">
        <v>58</v>
      </c>
      <c r="J1385" s="1" t="s">
        <v>59</v>
      </c>
      <c r="K1385" s="1" t="s">
        <v>84</v>
      </c>
      <c r="L1385" s="1" t="s">
        <v>61</v>
      </c>
      <c r="M1385" s="1" t="s">
        <v>62</v>
      </c>
      <c r="N1385" s="1" t="n">
        <v>12999</v>
      </c>
      <c r="O1385" s="1" t="n">
        <v>15</v>
      </c>
      <c r="P1385" s="1" t="n">
        <v>1949.85</v>
      </c>
      <c r="Q1385" s="1" t="n">
        <v>11049.15</v>
      </c>
      <c r="R1385" s="1" t="n">
        <v>1988.85</v>
      </c>
      <c r="S1385" s="1" t="n">
        <v>9060.3</v>
      </c>
      <c r="T1385" s="1" t="n">
        <v>3109.2</v>
      </c>
      <c r="U1385" s="1" t="n">
        <v>5951.1</v>
      </c>
      <c r="V1385" s="1" t="n">
        <v>65.68</v>
      </c>
      <c r="W1385" s="1" t="s">
        <v>39</v>
      </c>
      <c r="X1385" s="1" t="n">
        <v>3.5</v>
      </c>
      <c r="Y1385" s="1" t="s">
        <v>40</v>
      </c>
      <c r="Z1385" s="1" t="n">
        <v>1</v>
      </c>
    </row>
    <row r="1386" customFormat="false" ht="15" hidden="false" customHeight="true" outlineLevel="0" collapsed="false">
      <c r="A1386" s="1" t="s">
        <v>2180</v>
      </c>
      <c r="B1386" s="1" t="s">
        <v>926</v>
      </c>
      <c r="C1386" s="1" t="s">
        <v>167</v>
      </c>
      <c r="D1386" s="1" t="s">
        <v>168</v>
      </c>
      <c r="E1386" s="1" t="s">
        <v>197</v>
      </c>
      <c r="F1386" s="1" t="s">
        <v>211</v>
      </c>
      <c r="G1386" s="1" t="s">
        <v>56</v>
      </c>
      <c r="H1386" s="1" t="s">
        <v>69</v>
      </c>
      <c r="I1386" s="1" t="s">
        <v>83</v>
      </c>
      <c r="J1386" s="1" t="s">
        <v>35</v>
      </c>
      <c r="K1386" s="1" t="s">
        <v>112</v>
      </c>
      <c r="L1386" s="1" t="s">
        <v>113</v>
      </c>
      <c r="M1386" s="1" t="s">
        <v>38</v>
      </c>
      <c r="N1386" s="1" t="n">
        <v>8499</v>
      </c>
      <c r="O1386" s="1" t="n">
        <v>0</v>
      </c>
      <c r="P1386" s="1" t="n">
        <v>0</v>
      </c>
      <c r="Q1386" s="1" t="n">
        <v>8499</v>
      </c>
      <c r="R1386" s="1" t="n">
        <v>1529.82</v>
      </c>
      <c r="S1386" s="1" t="n">
        <v>6969.18</v>
      </c>
      <c r="T1386" s="1" t="n">
        <v>2731.24</v>
      </c>
      <c r="U1386" s="1" t="n">
        <v>4237.94</v>
      </c>
      <c r="V1386" s="1" t="n">
        <v>60.81</v>
      </c>
      <c r="W1386" s="1" t="s">
        <v>40</v>
      </c>
      <c r="Y1386" s="1" t="s">
        <v>40</v>
      </c>
      <c r="Z1386" s="1" t="n">
        <v>1</v>
      </c>
    </row>
    <row r="1387" customFormat="false" ht="15" hidden="false" customHeight="true" outlineLevel="0" collapsed="false">
      <c r="A1387" s="1" t="s">
        <v>2181</v>
      </c>
      <c r="B1387" s="1" t="s">
        <v>1109</v>
      </c>
      <c r="C1387" s="1" t="s">
        <v>249</v>
      </c>
      <c r="D1387" s="1" t="s">
        <v>143</v>
      </c>
      <c r="E1387" s="1" t="s">
        <v>162</v>
      </c>
      <c r="F1387" s="1" t="s">
        <v>269</v>
      </c>
      <c r="G1387" s="1" t="s">
        <v>108</v>
      </c>
      <c r="H1387" s="1" t="s">
        <v>57</v>
      </c>
      <c r="I1387" s="1" t="s">
        <v>34</v>
      </c>
      <c r="J1387" s="1" t="s">
        <v>131</v>
      </c>
      <c r="K1387" s="1" t="s">
        <v>36</v>
      </c>
      <c r="L1387" s="1" t="s">
        <v>61</v>
      </c>
      <c r="M1387" s="1" t="s">
        <v>38</v>
      </c>
      <c r="N1387" s="1" t="n">
        <v>14999</v>
      </c>
      <c r="O1387" s="1" t="n">
        <v>25</v>
      </c>
      <c r="P1387" s="1" t="n">
        <v>3749.75</v>
      </c>
      <c r="Q1387" s="1" t="n">
        <v>11249.25</v>
      </c>
      <c r="R1387" s="1" t="n">
        <v>2024.87</v>
      </c>
      <c r="S1387" s="1" t="n">
        <v>9224.38</v>
      </c>
      <c r="T1387" s="1" t="n">
        <v>4207.9</v>
      </c>
      <c r="U1387" s="1" t="n">
        <v>5016.48</v>
      </c>
      <c r="V1387" s="1" t="n">
        <v>54.38</v>
      </c>
      <c r="W1387" s="1" t="s">
        <v>40</v>
      </c>
      <c r="Y1387" s="1" t="s">
        <v>40</v>
      </c>
      <c r="Z1387" s="1" t="n">
        <v>1</v>
      </c>
    </row>
    <row r="1388" customFormat="false" ht="15" hidden="false" customHeight="true" outlineLevel="0" collapsed="false">
      <c r="A1388" s="1" t="s">
        <v>2182</v>
      </c>
      <c r="B1388" s="1" t="s">
        <v>1610</v>
      </c>
      <c r="C1388" s="1" t="s">
        <v>65</v>
      </c>
      <c r="D1388" s="1" t="s">
        <v>143</v>
      </c>
      <c r="E1388" s="1" t="s">
        <v>210</v>
      </c>
      <c r="F1388" s="1" t="s">
        <v>55</v>
      </c>
      <c r="G1388" s="1" t="s">
        <v>56</v>
      </c>
      <c r="H1388" s="1" t="s">
        <v>57</v>
      </c>
      <c r="I1388" s="1" t="s">
        <v>34</v>
      </c>
      <c r="J1388" s="1" t="s">
        <v>35</v>
      </c>
      <c r="K1388" s="1" t="s">
        <v>71</v>
      </c>
      <c r="L1388" s="1" t="s">
        <v>85</v>
      </c>
      <c r="M1388" s="1" t="s">
        <v>38</v>
      </c>
      <c r="N1388" s="1" t="n">
        <v>18999</v>
      </c>
      <c r="O1388" s="1" t="n">
        <v>0</v>
      </c>
      <c r="P1388" s="1" t="n">
        <v>0</v>
      </c>
      <c r="Q1388" s="1" t="n">
        <v>18999</v>
      </c>
      <c r="R1388" s="1" t="n">
        <v>3419.82</v>
      </c>
      <c r="S1388" s="1" t="n">
        <v>15579.18</v>
      </c>
      <c r="T1388" s="1" t="n">
        <v>6704.46</v>
      </c>
      <c r="U1388" s="1" t="n">
        <v>8874.72</v>
      </c>
      <c r="V1388" s="1" t="n">
        <v>56.97</v>
      </c>
      <c r="W1388" s="1" t="s">
        <v>40</v>
      </c>
      <c r="Y1388" s="1" t="s">
        <v>40</v>
      </c>
      <c r="Z1388" s="1" t="n">
        <v>3</v>
      </c>
    </row>
    <row r="1389" customFormat="false" ht="15" hidden="false" customHeight="true" outlineLevel="0" collapsed="false">
      <c r="A1389" s="1" t="s">
        <v>2183</v>
      </c>
      <c r="B1389" s="1" t="s">
        <v>882</v>
      </c>
      <c r="C1389" s="1" t="s">
        <v>43</v>
      </c>
      <c r="D1389" s="1" t="s">
        <v>143</v>
      </c>
      <c r="E1389" s="1" t="s">
        <v>159</v>
      </c>
      <c r="F1389" s="1" t="s">
        <v>156</v>
      </c>
      <c r="G1389" s="1" t="s">
        <v>68</v>
      </c>
      <c r="H1389" s="1" t="s">
        <v>57</v>
      </c>
      <c r="I1389" s="1" t="s">
        <v>34</v>
      </c>
      <c r="J1389" s="1" t="s">
        <v>70</v>
      </c>
      <c r="K1389" s="1" t="s">
        <v>71</v>
      </c>
      <c r="L1389" s="1" t="s">
        <v>85</v>
      </c>
      <c r="M1389" s="1" t="s">
        <v>50</v>
      </c>
      <c r="N1389" s="1" t="n">
        <v>24999</v>
      </c>
      <c r="O1389" s="1" t="n">
        <v>0</v>
      </c>
      <c r="P1389" s="1" t="n">
        <v>0</v>
      </c>
      <c r="Q1389" s="1" t="n">
        <v>24999</v>
      </c>
      <c r="R1389" s="1" t="n">
        <v>4499.82</v>
      </c>
      <c r="S1389" s="1" t="n">
        <v>20499.18</v>
      </c>
      <c r="T1389" s="1" t="n">
        <v>10072.38</v>
      </c>
      <c r="U1389" s="1" t="n">
        <v>10426.8</v>
      </c>
      <c r="V1389" s="1" t="n">
        <v>50.86</v>
      </c>
      <c r="W1389" s="1" t="s">
        <v>40</v>
      </c>
      <c r="Y1389" s="1" t="s">
        <v>40</v>
      </c>
      <c r="Z1389" s="1" t="n">
        <v>4</v>
      </c>
    </row>
    <row r="1390" customFormat="false" ht="15" hidden="false" customHeight="true" outlineLevel="0" collapsed="false">
      <c r="A1390" s="1" t="s">
        <v>2184</v>
      </c>
      <c r="B1390" s="1" t="s">
        <v>782</v>
      </c>
      <c r="C1390" s="1" t="s">
        <v>167</v>
      </c>
      <c r="D1390" s="1" t="s">
        <v>53</v>
      </c>
      <c r="E1390" s="1" t="s">
        <v>216</v>
      </c>
      <c r="F1390" s="1" t="s">
        <v>140</v>
      </c>
      <c r="G1390" s="1" t="s">
        <v>97</v>
      </c>
      <c r="H1390" s="1" t="s">
        <v>57</v>
      </c>
      <c r="I1390" s="1" t="s">
        <v>83</v>
      </c>
      <c r="J1390" s="1" t="s">
        <v>59</v>
      </c>
      <c r="K1390" s="1" t="s">
        <v>84</v>
      </c>
      <c r="L1390" s="1" t="s">
        <v>37</v>
      </c>
      <c r="M1390" s="1" t="s">
        <v>62</v>
      </c>
      <c r="N1390" s="1" t="n">
        <v>7499</v>
      </c>
      <c r="O1390" s="1" t="n">
        <v>50</v>
      </c>
      <c r="P1390" s="1" t="n">
        <v>3749.5</v>
      </c>
      <c r="Q1390" s="1" t="n">
        <v>3749.5</v>
      </c>
      <c r="R1390" s="1" t="n">
        <v>674.91</v>
      </c>
      <c r="S1390" s="1" t="n">
        <v>3074.59</v>
      </c>
      <c r="T1390" s="1" t="n">
        <v>1646.04</v>
      </c>
      <c r="U1390" s="1" t="n">
        <v>1428.55</v>
      </c>
      <c r="V1390" s="1" t="n">
        <v>46.46</v>
      </c>
      <c r="W1390" s="1" t="s">
        <v>40</v>
      </c>
      <c r="Y1390" s="1" t="s">
        <v>40</v>
      </c>
      <c r="Z1390" s="1" t="n">
        <v>1</v>
      </c>
    </row>
    <row r="1391" customFormat="false" ht="15" hidden="false" customHeight="true" outlineLevel="0" collapsed="false">
      <c r="A1391" s="1" t="s">
        <v>2185</v>
      </c>
      <c r="B1391" s="1" t="s">
        <v>330</v>
      </c>
      <c r="C1391" s="1" t="s">
        <v>93</v>
      </c>
      <c r="D1391" s="1" t="s">
        <v>143</v>
      </c>
      <c r="E1391" s="1" t="s">
        <v>162</v>
      </c>
      <c r="F1391" s="1" t="s">
        <v>269</v>
      </c>
      <c r="G1391" s="1" t="s">
        <v>108</v>
      </c>
      <c r="H1391" s="1" t="s">
        <v>57</v>
      </c>
      <c r="I1391" s="1" t="s">
        <v>83</v>
      </c>
      <c r="J1391" s="1" t="s">
        <v>131</v>
      </c>
      <c r="K1391" s="1" t="s">
        <v>84</v>
      </c>
      <c r="L1391" s="1" t="s">
        <v>37</v>
      </c>
      <c r="M1391" s="1" t="s">
        <v>38</v>
      </c>
      <c r="N1391" s="1" t="n">
        <v>14999</v>
      </c>
      <c r="O1391" s="1" t="n">
        <v>0</v>
      </c>
      <c r="P1391" s="1" t="n">
        <v>0</v>
      </c>
      <c r="Q1391" s="1" t="n">
        <v>14999</v>
      </c>
      <c r="R1391" s="1" t="n">
        <v>2699.82</v>
      </c>
      <c r="S1391" s="1" t="n">
        <v>12299.18</v>
      </c>
      <c r="T1391" s="1" t="n">
        <v>5794.01</v>
      </c>
      <c r="U1391" s="1" t="n">
        <v>6505.17</v>
      </c>
      <c r="V1391" s="1" t="n">
        <v>52.89</v>
      </c>
      <c r="W1391" s="1" t="s">
        <v>39</v>
      </c>
      <c r="X1391" s="1" t="n">
        <v>3.6</v>
      </c>
      <c r="Y1391" s="1" t="s">
        <v>40</v>
      </c>
      <c r="Z1391" s="1" t="n">
        <v>0</v>
      </c>
    </row>
    <row r="1392" customFormat="false" ht="15" hidden="false" customHeight="true" outlineLevel="0" collapsed="false">
      <c r="A1392" s="1" t="s">
        <v>2186</v>
      </c>
      <c r="B1392" s="1" t="s">
        <v>1163</v>
      </c>
      <c r="C1392" s="1" t="s">
        <v>119</v>
      </c>
      <c r="D1392" s="1" t="s">
        <v>94</v>
      </c>
      <c r="E1392" s="1" t="s">
        <v>135</v>
      </c>
      <c r="F1392" s="1" t="s">
        <v>244</v>
      </c>
      <c r="G1392" s="1" t="s">
        <v>97</v>
      </c>
      <c r="H1392" s="1" t="s">
        <v>57</v>
      </c>
      <c r="I1392" s="1" t="s">
        <v>34</v>
      </c>
      <c r="J1392" s="1" t="s">
        <v>59</v>
      </c>
      <c r="K1392" s="1" t="s">
        <v>104</v>
      </c>
      <c r="L1392" s="1" t="s">
        <v>37</v>
      </c>
      <c r="M1392" s="1" t="s">
        <v>50</v>
      </c>
      <c r="N1392" s="1" t="n">
        <v>9999</v>
      </c>
      <c r="O1392" s="1" t="n">
        <v>40</v>
      </c>
      <c r="P1392" s="1" t="n">
        <v>3999.6</v>
      </c>
      <c r="Q1392" s="1" t="n">
        <v>5999.4</v>
      </c>
      <c r="R1392" s="1" t="n">
        <v>1079.89</v>
      </c>
      <c r="S1392" s="1" t="n">
        <v>4919.51</v>
      </c>
      <c r="T1392" s="1" t="n">
        <v>3102.48</v>
      </c>
      <c r="U1392" s="1" t="n">
        <v>1817.03</v>
      </c>
      <c r="V1392" s="1" t="n">
        <v>36.94</v>
      </c>
      <c r="W1392" s="1" t="s">
        <v>40</v>
      </c>
      <c r="Y1392" s="1" t="s">
        <v>40</v>
      </c>
      <c r="Z1392" s="1" t="n">
        <v>1</v>
      </c>
    </row>
    <row r="1393" customFormat="false" ht="15" hidden="false" customHeight="true" outlineLevel="0" collapsed="false">
      <c r="A1393" s="1" t="s">
        <v>2187</v>
      </c>
      <c r="B1393" s="1" t="s">
        <v>1946</v>
      </c>
      <c r="C1393" s="1" t="s">
        <v>249</v>
      </c>
      <c r="D1393" s="1" t="s">
        <v>94</v>
      </c>
      <c r="E1393" s="1" t="s">
        <v>101</v>
      </c>
      <c r="F1393" s="1" t="s">
        <v>205</v>
      </c>
      <c r="G1393" s="1" t="s">
        <v>56</v>
      </c>
      <c r="H1393" s="1" t="s">
        <v>69</v>
      </c>
      <c r="I1393" s="1" t="s">
        <v>83</v>
      </c>
      <c r="J1393" s="1" t="s">
        <v>59</v>
      </c>
      <c r="K1393" s="1" t="s">
        <v>104</v>
      </c>
      <c r="L1393" s="1" t="s">
        <v>61</v>
      </c>
      <c r="M1393" s="1" t="s">
        <v>62</v>
      </c>
      <c r="N1393" s="1" t="n">
        <v>14999</v>
      </c>
      <c r="O1393" s="1" t="n">
        <v>30</v>
      </c>
      <c r="P1393" s="1" t="n">
        <v>4499.7</v>
      </c>
      <c r="Q1393" s="1" t="n">
        <v>10499.3</v>
      </c>
      <c r="R1393" s="1" t="n">
        <v>1889.87</v>
      </c>
      <c r="S1393" s="1" t="n">
        <v>8609.43</v>
      </c>
      <c r="T1393" s="1" t="n">
        <v>3713.1</v>
      </c>
      <c r="U1393" s="1" t="n">
        <v>4896.33</v>
      </c>
      <c r="V1393" s="1" t="n">
        <v>56.87</v>
      </c>
      <c r="W1393" s="1" t="s">
        <v>40</v>
      </c>
      <c r="Y1393" s="1" t="s">
        <v>39</v>
      </c>
      <c r="Z1393" s="1" t="n">
        <v>0</v>
      </c>
    </row>
    <row r="1394" customFormat="false" ht="15" hidden="false" customHeight="true" outlineLevel="0" collapsed="false">
      <c r="A1394" s="1" t="s">
        <v>2188</v>
      </c>
      <c r="B1394" s="1" t="s">
        <v>918</v>
      </c>
      <c r="C1394" s="1" t="s">
        <v>93</v>
      </c>
      <c r="D1394" s="1" t="s">
        <v>44</v>
      </c>
      <c r="E1394" s="1" t="s">
        <v>66</v>
      </c>
      <c r="F1394" s="1" t="s">
        <v>187</v>
      </c>
      <c r="G1394" s="1" t="s">
        <v>97</v>
      </c>
      <c r="H1394" s="1" t="s">
        <v>69</v>
      </c>
      <c r="I1394" s="1" t="s">
        <v>34</v>
      </c>
      <c r="J1394" s="1" t="s">
        <v>70</v>
      </c>
      <c r="K1394" s="1" t="s">
        <v>48</v>
      </c>
      <c r="L1394" s="1" t="s">
        <v>61</v>
      </c>
      <c r="M1394" s="1" t="s">
        <v>62</v>
      </c>
      <c r="N1394" s="1" t="n">
        <v>12999</v>
      </c>
      <c r="O1394" s="1" t="n">
        <v>5</v>
      </c>
      <c r="P1394" s="1" t="n">
        <v>649.95</v>
      </c>
      <c r="Q1394" s="1" t="n">
        <v>12349.05</v>
      </c>
      <c r="R1394" s="1" t="n">
        <v>2222.83</v>
      </c>
      <c r="S1394" s="1" t="n">
        <v>10126.22</v>
      </c>
      <c r="T1394" s="1" t="n">
        <v>4193.29</v>
      </c>
      <c r="U1394" s="1" t="n">
        <v>5932.93</v>
      </c>
      <c r="V1394" s="1" t="n">
        <v>58.59</v>
      </c>
      <c r="W1394" s="1" t="s">
        <v>39</v>
      </c>
      <c r="Y1394" s="1" t="s">
        <v>40</v>
      </c>
      <c r="Z1394" s="1" t="n">
        <v>0</v>
      </c>
    </row>
    <row r="1395" customFormat="false" ht="15" hidden="false" customHeight="true" outlineLevel="0" collapsed="false">
      <c r="A1395" s="1" t="s">
        <v>2189</v>
      </c>
      <c r="B1395" s="1" t="s">
        <v>1412</v>
      </c>
      <c r="C1395" s="1" t="s">
        <v>100</v>
      </c>
      <c r="D1395" s="1" t="s">
        <v>123</v>
      </c>
      <c r="E1395" s="1" t="s">
        <v>147</v>
      </c>
      <c r="F1395" s="1" t="s">
        <v>187</v>
      </c>
      <c r="G1395" s="1" t="s">
        <v>97</v>
      </c>
      <c r="H1395" s="1" t="s">
        <v>69</v>
      </c>
      <c r="I1395" s="1" t="s">
        <v>34</v>
      </c>
      <c r="J1395" s="1" t="s">
        <v>77</v>
      </c>
      <c r="K1395" s="1" t="s">
        <v>112</v>
      </c>
      <c r="L1395" s="1" t="s">
        <v>49</v>
      </c>
      <c r="M1395" s="1" t="s">
        <v>50</v>
      </c>
      <c r="N1395" s="1" t="n">
        <v>6999</v>
      </c>
      <c r="O1395" s="1" t="n">
        <v>20</v>
      </c>
      <c r="P1395" s="1" t="n">
        <v>1399.8</v>
      </c>
      <c r="Q1395" s="1" t="n">
        <v>5599.2</v>
      </c>
      <c r="R1395" s="1" t="n">
        <v>1007.86</v>
      </c>
      <c r="S1395" s="1" t="n">
        <v>4591.34</v>
      </c>
      <c r="T1395" s="1" t="n">
        <v>2030.36</v>
      </c>
      <c r="U1395" s="1" t="n">
        <v>2560.98</v>
      </c>
      <c r="V1395" s="1" t="n">
        <v>55.78</v>
      </c>
      <c r="W1395" s="1" t="s">
        <v>39</v>
      </c>
      <c r="X1395" s="1" t="n">
        <v>3.3</v>
      </c>
      <c r="Y1395" s="1" t="s">
        <v>40</v>
      </c>
      <c r="Z1395" s="1" t="n">
        <v>0</v>
      </c>
    </row>
    <row r="1396" customFormat="false" ht="15" hidden="false" customHeight="true" outlineLevel="0" collapsed="false">
      <c r="A1396" s="1" t="s">
        <v>2190</v>
      </c>
      <c r="B1396" s="1" t="s">
        <v>464</v>
      </c>
      <c r="C1396" s="1" t="s">
        <v>93</v>
      </c>
      <c r="D1396" s="1" t="s">
        <v>44</v>
      </c>
      <c r="E1396" s="1" t="s">
        <v>221</v>
      </c>
      <c r="F1396" s="1" t="s">
        <v>130</v>
      </c>
      <c r="G1396" s="1" t="s">
        <v>47</v>
      </c>
      <c r="H1396" s="1" t="s">
        <v>69</v>
      </c>
      <c r="I1396" s="1" t="s">
        <v>34</v>
      </c>
      <c r="J1396" s="1" t="s">
        <v>59</v>
      </c>
      <c r="K1396" s="1" t="s">
        <v>112</v>
      </c>
      <c r="L1396" s="1" t="s">
        <v>49</v>
      </c>
      <c r="M1396" s="1" t="s">
        <v>62</v>
      </c>
      <c r="N1396" s="1" t="n">
        <v>16999</v>
      </c>
      <c r="O1396" s="1" t="n">
        <v>15</v>
      </c>
      <c r="P1396" s="1" t="n">
        <v>2549.85</v>
      </c>
      <c r="Q1396" s="1" t="n">
        <v>14449.15</v>
      </c>
      <c r="R1396" s="1" t="n">
        <v>2600.85</v>
      </c>
      <c r="S1396" s="1" t="n">
        <v>11848.3</v>
      </c>
      <c r="T1396" s="1" t="n">
        <v>5041.08</v>
      </c>
      <c r="U1396" s="1" t="n">
        <v>6807.22</v>
      </c>
      <c r="V1396" s="1" t="n">
        <v>57.45</v>
      </c>
      <c r="W1396" s="1" t="s">
        <v>40</v>
      </c>
      <c r="Y1396" s="1" t="s">
        <v>40</v>
      </c>
      <c r="Z1396" s="1" t="n">
        <v>2</v>
      </c>
    </row>
    <row r="1397" customFormat="false" ht="15" hidden="false" customHeight="true" outlineLevel="0" collapsed="false">
      <c r="A1397" s="1" t="s">
        <v>2191</v>
      </c>
      <c r="B1397" s="1" t="s">
        <v>823</v>
      </c>
      <c r="C1397" s="1" t="s">
        <v>74</v>
      </c>
      <c r="D1397" s="1" t="s">
        <v>123</v>
      </c>
      <c r="E1397" s="1" t="s">
        <v>233</v>
      </c>
      <c r="F1397" s="1" t="s">
        <v>194</v>
      </c>
      <c r="G1397" s="1" t="s">
        <v>103</v>
      </c>
      <c r="H1397" s="1" t="s">
        <v>69</v>
      </c>
      <c r="I1397" s="1" t="s">
        <v>58</v>
      </c>
      <c r="J1397" s="1" t="s">
        <v>35</v>
      </c>
      <c r="K1397" s="1" t="s">
        <v>84</v>
      </c>
      <c r="L1397" s="1" t="s">
        <v>49</v>
      </c>
      <c r="M1397" s="1" t="s">
        <v>62</v>
      </c>
      <c r="N1397" s="1" t="n">
        <v>8999</v>
      </c>
      <c r="O1397" s="1" t="n">
        <v>25</v>
      </c>
      <c r="P1397" s="1" t="n">
        <v>2249.75</v>
      </c>
      <c r="Q1397" s="1" t="n">
        <v>6749.25</v>
      </c>
      <c r="R1397" s="1" t="n">
        <v>1214.87</v>
      </c>
      <c r="S1397" s="1" t="n">
        <v>5534.38</v>
      </c>
      <c r="T1397" s="1" t="n">
        <v>2563.13</v>
      </c>
      <c r="U1397" s="1" t="n">
        <v>2971.25</v>
      </c>
      <c r="V1397" s="1" t="n">
        <v>53.69</v>
      </c>
      <c r="W1397" s="1" t="s">
        <v>39</v>
      </c>
      <c r="X1397" s="1" t="n">
        <v>5</v>
      </c>
      <c r="Y1397" s="1" t="s">
        <v>40</v>
      </c>
      <c r="Z1397" s="1" t="n">
        <v>0</v>
      </c>
    </row>
    <row r="1398" customFormat="false" ht="15" hidden="false" customHeight="true" outlineLevel="0" collapsed="false">
      <c r="A1398" s="1" t="s">
        <v>2192</v>
      </c>
      <c r="B1398" s="1" t="s">
        <v>882</v>
      </c>
      <c r="C1398" s="1" t="s">
        <v>167</v>
      </c>
      <c r="D1398" s="1" t="s">
        <v>143</v>
      </c>
      <c r="E1398" s="1" t="s">
        <v>243</v>
      </c>
      <c r="F1398" s="1" t="s">
        <v>31</v>
      </c>
      <c r="G1398" s="1" t="s">
        <v>32</v>
      </c>
      <c r="H1398" s="1" t="s">
        <v>33</v>
      </c>
      <c r="I1398" s="1" t="s">
        <v>58</v>
      </c>
      <c r="J1398" s="1" t="s">
        <v>35</v>
      </c>
      <c r="K1398" s="1" t="s">
        <v>112</v>
      </c>
      <c r="L1398" s="1" t="s">
        <v>136</v>
      </c>
      <c r="M1398" s="1" t="s">
        <v>62</v>
      </c>
      <c r="N1398" s="1" t="n">
        <v>22999</v>
      </c>
      <c r="O1398" s="1" t="n">
        <v>5</v>
      </c>
      <c r="P1398" s="1" t="n">
        <v>1149.95</v>
      </c>
      <c r="Q1398" s="1" t="n">
        <v>21849.05</v>
      </c>
      <c r="R1398" s="1" t="n">
        <v>3932.83</v>
      </c>
      <c r="S1398" s="1" t="n">
        <v>17916.22</v>
      </c>
      <c r="T1398" s="1" t="n">
        <v>7928.44</v>
      </c>
      <c r="U1398" s="1" t="n">
        <v>9987.78</v>
      </c>
      <c r="V1398" s="1" t="n">
        <v>55.75</v>
      </c>
      <c r="W1398" s="1" t="s">
        <v>39</v>
      </c>
      <c r="X1398" s="1" t="n">
        <v>4.1</v>
      </c>
      <c r="Y1398" s="1" t="s">
        <v>40</v>
      </c>
      <c r="Z1398" s="1" t="n">
        <v>0</v>
      </c>
    </row>
    <row r="1399" customFormat="false" ht="15" hidden="false" customHeight="true" outlineLevel="0" collapsed="false">
      <c r="A1399" s="1" t="s">
        <v>2193</v>
      </c>
      <c r="B1399" s="1" t="s">
        <v>1763</v>
      </c>
      <c r="C1399" s="1" t="s">
        <v>167</v>
      </c>
      <c r="D1399" s="1" t="s">
        <v>94</v>
      </c>
      <c r="E1399" s="1" t="s">
        <v>135</v>
      </c>
      <c r="F1399" s="1" t="s">
        <v>140</v>
      </c>
      <c r="G1399" s="1" t="s">
        <v>97</v>
      </c>
      <c r="H1399" s="1" t="s">
        <v>57</v>
      </c>
      <c r="I1399" s="1" t="s">
        <v>58</v>
      </c>
      <c r="J1399" s="1" t="s">
        <v>35</v>
      </c>
      <c r="K1399" s="1" t="s">
        <v>36</v>
      </c>
      <c r="L1399" s="1" t="s">
        <v>136</v>
      </c>
      <c r="M1399" s="1" t="s">
        <v>50</v>
      </c>
      <c r="N1399" s="1" t="n">
        <v>9999</v>
      </c>
      <c r="O1399" s="1" t="n">
        <v>25</v>
      </c>
      <c r="P1399" s="1" t="n">
        <v>2499.75</v>
      </c>
      <c r="Q1399" s="1" t="n">
        <v>7499.25</v>
      </c>
      <c r="R1399" s="1" t="n">
        <v>1349.87</v>
      </c>
      <c r="S1399" s="1" t="n">
        <v>6149.38</v>
      </c>
      <c r="T1399" s="1" t="n">
        <v>2621.7</v>
      </c>
      <c r="U1399" s="1" t="n">
        <v>3527.68</v>
      </c>
      <c r="V1399" s="1" t="n">
        <v>57.37</v>
      </c>
      <c r="W1399" s="1" t="s">
        <v>40</v>
      </c>
      <c r="Y1399" s="1" t="s">
        <v>40</v>
      </c>
      <c r="Z1399" s="1" t="n">
        <v>0</v>
      </c>
    </row>
    <row r="1400" customFormat="false" ht="15" hidden="false" customHeight="true" outlineLevel="0" collapsed="false">
      <c r="A1400" s="1" t="s">
        <v>2194</v>
      </c>
      <c r="B1400" s="1" t="s">
        <v>1196</v>
      </c>
      <c r="C1400" s="1" t="s">
        <v>242</v>
      </c>
      <c r="D1400" s="1" t="s">
        <v>29</v>
      </c>
      <c r="E1400" s="1" t="s">
        <v>129</v>
      </c>
      <c r="F1400" s="1" t="s">
        <v>102</v>
      </c>
      <c r="G1400" s="1" t="s">
        <v>103</v>
      </c>
      <c r="H1400" s="1" t="s">
        <v>33</v>
      </c>
      <c r="I1400" s="1" t="s">
        <v>58</v>
      </c>
      <c r="J1400" s="1" t="s">
        <v>70</v>
      </c>
      <c r="K1400" s="1" t="s">
        <v>84</v>
      </c>
      <c r="L1400" s="1" t="s">
        <v>49</v>
      </c>
      <c r="M1400" s="1" t="s">
        <v>62</v>
      </c>
      <c r="N1400" s="1" t="n">
        <v>29999</v>
      </c>
      <c r="O1400" s="1" t="n">
        <v>10</v>
      </c>
      <c r="P1400" s="1" t="n">
        <v>2999.9</v>
      </c>
      <c r="Q1400" s="1" t="n">
        <v>26999.1</v>
      </c>
      <c r="R1400" s="1" t="n">
        <v>4859.84</v>
      </c>
      <c r="S1400" s="1" t="n">
        <v>22139.26</v>
      </c>
      <c r="T1400" s="1" t="n">
        <v>8942.06</v>
      </c>
      <c r="U1400" s="1" t="n">
        <v>13197.2</v>
      </c>
      <c r="V1400" s="1" t="n">
        <v>59.61</v>
      </c>
      <c r="W1400" s="1" t="s">
        <v>39</v>
      </c>
      <c r="X1400" s="1" t="n">
        <v>4.5</v>
      </c>
      <c r="Y1400" s="1" t="s">
        <v>40</v>
      </c>
      <c r="Z1400" s="1" t="n">
        <v>1</v>
      </c>
    </row>
    <row r="1401" customFormat="false" ht="15" hidden="false" customHeight="true" outlineLevel="0" collapsed="false">
      <c r="A1401" s="1" t="s">
        <v>2195</v>
      </c>
      <c r="B1401" s="1" t="s">
        <v>849</v>
      </c>
      <c r="C1401" s="1" t="s">
        <v>119</v>
      </c>
      <c r="D1401" s="1" t="s">
        <v>80</v>
      </c>
      <c r="E1401" s="1" t="s">
        <v>190</v>
      </c>
      <c r="F1401" s="1" t="s">
        <v>205</v>
      </c>
      <c r="G1401" s="1" t="s">
        <v>56</v>
      </c>
      <c r="H1401" s="1" t="s">
        <v>69</v>
      </c>
      <c r="I1401" s="1" t="s">
        <v>34</v>
      </c>
      <c r="J1401" s="1" t="s">
        <v>77</v>
      </c>
      <c r="K1401" s="1" t="s">
        <v>112</v>
      </c>
      <c r="L1401" s="1" t="s">
        <v>85</v>
      </c>
      <c r="M1401" s="1" t="s">
        <v>38</v>
      </c>
      <c r="N1401" s="1" t="n">
        <v>15999</v>
      </c>
      <c r="O1401" s="1" t="n">
        <v>30</v>
      </c>
      <c r="P1401" s="1" t="n">
        <v>4799.7</v>
      </c>
      <c r="Q1401" s="1" t="n">
        <v>11199.3</v>
      </c>
      <c r="R1401" s="1" t="n">
        <v>2015.87</v>
      </c>
      <c r="S1401" s="1" t="n">
        <v>9183.43</v>
      </c>
      <c r="T1401" s="1" t="n">
        <v>5034.82</v>
      </c>
      <c r="U1401" s="1" t="n">
        <v>4148.61</v>
      </c>
      <c r="V1401" s="1" t="n">
        <v>45.17</v>
      </c>
      <c r="W1401" s="1" t="s">
        <v>40</v>
      </c>
      <c r="Y1401" s="1" t="s">
        <v>40</v>
      </c>
      <c r="Z1401" s="1" t="n">
        <v>1</v>
      </c>
    </row>
    <row r="1402" customFormat="false" ht="15" hidden="false" customHeight="true" outlineLevel="0" collapsed="false">
      <c r="A1402" s="1" t="s">
        <v>2196</v>
      </c>
      <c r="B1402" s="1" t="s">
        <v>2197</v>
      </c>
      <c r="C1402" s="1" t="s">
        <v>264</v>
      </c>
      <c r="D1402" s="1" t="s">
        <v>53</v>
      </c>
      <c r="E1402" s="1" t="s">
        <v>216</v>
      </c>
      <c r="F1402" s="1" t="s">
        <v>244</v>
      </c>
      <c r="G1402" s="1" t="s">
        <v>97</v>
      </c>
      <c r="H1402" s="1" t="s">
        <v>57</v>
      </c>
      <c r="I1402" s="1" t="s">
        <v>34</v>
      </c>
      <c r="J1402" s="1" t="s">
        <v>131</v>
      </c>
      <c r="K1402" s="1" t="s">
        <v>71</v>
      </c>
      <c r="L1402" s="1" t="s">
        <v>113</v>
      </c>
      <c r="M1402" s="1" t="s">
        <v>62</v>
      </c>
      <c r="N1402" s="1" t="n">
        <v>7499</v>
      </c>
      <c r="O1402" s="1" t="n">
        <v>30</v>
      </c>
      <c r="P1402" s="1" t="n">
        <v>2249.7</v>
      </c>
      <c r="Q1402" s="1" t="n">
        <v>5249.3</v>
      </c>
      <c r="R1402" s="1" t="n">
        <v>944.87</v>
      </c>
      <c r="S1402" s="1" t="n">
        <v>4304.43</v>
      </c>
      <c r="T1402" s="1" t="n">
        <v>1953.87</v>
      </c>
      <c r="U1402" s="1" t="n">
        <v>2350.56</v>
      </c>
      <c r="V1402" s="1" t="n">
        <v>54.61</v>
      </c>
      <c r="W1402" s="1" t="s">
        <v>39</v>
      </c>
      <c r="X1402" s="1" t="n">
        <v>3.9</v>
      </c>
      <c r="Y1402" s="1" t="s">
        <v>40</v>
      </c>
      <c r="Z1402" s="1" t="n">
        <v>0</v>
      </c>
    </row>
    <row r="1403" customFormat="false" ht="15" hidden="false" customHeight="true" outlineLevel="0" collapsed="false">
      <c r="A1403" s="1" t="s">
        <v>2198</v>
      </c>
      <c r="B1403" s="1" t="s">
        <v>332</v>
      </c>
      <c r="C1403" s="1" t="s">
        <v>28</v>
      </c>
      <c r="D1403" s="1" t="s">
        <v>123</v>
      </c>
      <c r="E1403" s="1" t="s">
        <v>233</v>
      </c>
      <c r="F1403" s="1" t="s">
        <v>31</v>
      </c>
      <c r="G1403" s="1" t="s">
        <v>32</v>
      </c>
      <c r="H1403" s="1" t="s">
        <v>33</v>
      </c>
      <c r="I1403" s="1" t="s">
        <v>83</v>
      </c>
      <c r="J1403" s="1" t="s">
        <v>35</v>
      </c>
      <c r="K1403" s="1" t="s">
        <v>48</v>
      </c>
      <c r="L1403" s="1" t="s">
        <v>85</v>
      </c>
      <c r="M1403" s="1" t="s">
        <v>62</v>
      </c>
      <c r="N1403" s="1" t="n">
        <v>8999</v>
      </c>
      <c r="O1403" s="1" t="n">
        <v>0</v>
      </c>
      <c r="P1403" s="1" t="n">
        <v>0</v>
      </c>
      <c r="Q1403" s="1" t="n">
        <v>8999</v>
      </c>
      <c r="R1403" s="1" t="n">
        <v>1619.82</v>
      </c>
      <c r="S1403" s="1" t="n">
        <v>7379.18</v>
      </c>
      <c r="T1403" s="1" t="n">
        <v>3579.45</v>
      </c>
      <c r="U1403" s="1" t="n">
        <v>3799.73</v>
      </c>
      <c r="V1403" s="1" t="n">
        <v>51.49</v>
      </c>
      <c r="W1403" s="1" t="s">
        <v>39</v>
      </c>
      <c r="X1403" s="1" t="n">
        <v>3.9</v>
      </c>
      <c r="Y1403" s="1" t="s">
        <v>40</v>
      </c>
      <c r="Z1403" s="1" t="n">
        <v>0</v>
      </c>
    </row>
    <row r="1404" customFormat="false" ht="15" hidden="false" customHeight="true" outlineLevel="0" collapsed="false">
      <c r="A1404" s="1" t="s">
        <v>2199</v>
      </c>
      <c r="B1404" s="1" t="s">
        <v>543</v>
      </c>
      <c r="C1404" s="1" t="s">
        <v>134</v>
      </c>
      <c r="D1404" s="1" t="s">
        <v>168</v>
      </c>
      <c r="E1404" s="1" t="s">
        <v>169</v>
      </c>
      <c r="F1404" s="1" t="s">
        <v>55</v>
      </c>
      <c r="G1404" s="1" t="s">
        <v>56</v>
      </c>
      <c r="H1404" s="1" t="s">
        <v>57</v>
      </c>
      <c r="I1404" s="1" t="s">
        <v>58</v>
      </c>
      <c r="J1404" s="1" t="s">
        <v>131</v>
      </c>
      <c r="K1404" s="1" t="s">
        <v>104</v>
      </c>
      <c r="L1404" s="1" t="s">
        <v>113</v>
      </c>
      <c r="M1404" s="1" t="s">
        <v>50</v>
      </c>
      <c r="N1404" s="1" t="n">
        <v>4999</v>
      </c>
      <c r="O1404" s="1" t="n">
        <v>15</v>
      </c>
      <c r="P1404" s="1" t="n">
        <v>749.85</v>
      </c>
      <c r="Q1404" s="1" t="n">
        <v>4249.15</v>
      </c>
      <c r="R1404" s="1" t="n">
        <v>764.85</v>
      </c>
      <c r="S1404" s="1" t="n">
        <v>3484.3</v>
      </c>
      <c r="T1404" s="1" t="n">
        <v>1449.46</v>
      </c>
      <c r="U1404" s="1" t="n">
        <v>2034.84</v>
      </c>
      <c r="V1404" s="1" t="n">
        <v>58.4</v>
      </c>
      <c r="W1404" s="1" t="s">
        <v>39</v>
      </c>
      <c r="X1404" s="1" t="n">
        <v>3.8</v>
      </c>
      <c r="Y1404" s="1" t="s">
        <v>40</v>
      </c>
      <c r="Z1404" s="1" t="n">
        <v>0</v>
      </c>
    </row>
    <row r="1405" customFormat="false" ht="15" hidden="false" customHeight="true" outlineLevel="0" collapsed="false">
      <c r="A1405" s="1" t="s">
        <v>2200</v>
      </c>
      <c r="B1405" s="1" t="s">
        <v>878</v>
      </c>
      <c r="C1405" s="1" t="s">
        <v>28</v>
      </c>
      <c r="D1405" s="1" t="s">
        <v>168</v>
      </c>
      <c r="E1405" s="1" t="s">
        <v>169</v>
      </c>
      <c r="F1405" s="1" t="s">
        <v>82</v>
      </c>
      <c r="G1405" s="1" t="s">
        <v>56</v>
      </c>
      <c r="H1405" s="1" t="s">
        <v>69</v>
      </c>
      <c r="I1405" s="1" t="s">
        <v>83</v>
      </c>
      <c r="J1405" s="1" t="s">
        <v>35</v>
      </c>
      <c r="K1405" s="1" t="s">
        <v>84</v>
      </c>
      <c r="L1405" s="1" t="s">
        <v>37</v>
      </c>
      <c r="M1405" s="1" t="s">
        <v>50</v>
      </c>
      <c r="N1405" s="1" t="n">
        <v>4999</v>
      </c>
      <c r="O1405" s="1" t="n">
        <v>30</v>
      </c>
      <c r="P1405" s="1" t="n">
        <v>1499.7</v>
      </c>
      <c r="Q1405" s="1" t="n">
        <v>3499.3</v>
      </c>
      <c r="R1405" s="1" t="n">
        <v>629.87</v>
      </c>
      <c r="S1405" s="1" t="n">
        <v>2869.43</v>
      </c>
      <c r="T1405" s="1" t="n">
        <v>1087.01</v>
      </c>
      <c r="U1405" s="1" t="n">
        <v>1782.42</v>
      </c>
      <c r="V1405" s="1" t="n">
        <v>62.12</v>
      </c>
      <c r="W1405" s="1" t="s">
        <v>40</v>
      </c>
      <c r="Y1405" s="1" t="s">
        <v>40</v>
      </c>
      <c r="Z1405" s="1" t="n">
        <v>1</v>
      </c>
    </row>
    <row r="1406" customFormat="false" ht="15" hidden="false" customHeight="true" outlineLevel="0" collapsed="false">
      <c r="A1406" s="1" t="s">
        <v>2201</v>
      </c>
      <c r="B1406" s="1" t="s">
        <v>166</v>
      </c>
      <c r="C1406" s="1" t="s">
        <v>178</v>
      </c>
      <c r="D1406" s="1" t="s">
        <v>80</v>
      </c>
      <c r="E1406" s="1" t="s">
        <v>175</v>
      </c>
      <c r="F1406" s="1" t="s">
        <v>31</v>
      </c>
      <c r="G1406" s="1" t="s">
        <v>32</v>
      </c>
      <c r="H1406" s="1" t="s">
        <v>33</v>
      </c>
      <c r="I1406" s="1" t="s">
        <v>58</v>
      </c>
      <c r="J1406" s="1" t="s">
        <v>59</v>
      </c>
      <c r="K1406" s="1" t="s">
        <v>60</v>
      </c>
      <c r="L1406" s="1" t="s">
        <v>37</v>
      </c>
      <c r="M1406" s="1" t="s">
        <v>62</v>
      </c>
      <c r="N1406" s="1" t="n">
        <v>19999</v>
      </c>
      <c r="O1406" s="1" t="n">
        <v>0</v>
      </c>
      <c r="P1406" s="1" t="n">
        <v>0</v>
      </c>
      <c r="Q1406" s="1" t="n">
        <v>19999</v>
      </c>
      <c r="R1406" s="1" t="n">
        <v>3599.82</v>
      </c>
      <c r="S1406" s="1" t="n">
        <v>16399.18</v>
      </c>
      <c r="T1406" s="1" t="n">
        <v>6501.41</v>
      </c>
      <c r="U1406" s="1" t="n">
        <v>9897.77</v>
      </c>
      <c r="V1406" s="1" t="n">
        <v>60.36</v>
      </c>
      <c r="W1406" s="1" t="s">
        <v>40</v>
      </c>
      <c r="Y1406" s="1" t="s">
        <v>40</v>
      </c>
      <c r="Z1406" s="1" t="n">
        <v>0</v>
      </c>
    </row>
    <row r="1407" customFormat="false" ht="15" hidden="false" customHeight="true" outlineLevel="0" collapsed="false">
      <c r="A1407" s="1" t="s">
        <v>2202</v>
      </c>
      <c r="B1407" s="1" t="s">
        <v>669</v>
      </c>
      <c r="C1407" s="1" t="s">
        <v>88</v>
      </c>
      <c r="D1407" s="1" t="s">
        <v>53</v>
      </c>
      <c r="E1407" s="1" t="s">
        <v>216</v>
      </c>
      <c r="F1407" s="1" t="s">
        <v>75</v>
      </c>
      <c r="G1407" s="1" t="s">
        <v>76</v>
      </c>
      <c r="H1407" s="1" t="s">
        <v>69</v>
      </c>
      <c r="I1407" s="1" t="s">
        <v>83</v>
      </c>
      <c r="J1407" s="1" t="s">
        <v>35</v>
      </c>
      <c r="K1407" s="1" t="s">
        <v>104</v>
      </c>
      <c r="L1407" s="1" t="s">
        <v>49</v>
      </c>
      <c r="M1407" s="1" t="s">
        <v>50</v>
      </c>
      <c r="N1407" s="1" t="n">
        <v>7499</v>
      </c>
      <c r="O1407" s="1" t="n">
        <v>0</v>
      </c>
      <c r="P1407" s="1" t="n">
        <v>0</v>
      </c>
      <c r="Q1407" s="1" t="n">
        <v>7499</v>
      </c>
      <c r="R1407" s="1" t="n">
        <v>1349.82</v>
      </c>
      <c r="S1407" s="1" t="n">
        <v>6149.18</v>
      </c>
      <c r="T1407" s="1" t="n">
        <v>2463.62</v>
      </c>
      <c r="U1407" s="1" t="n">
        <v>3685.56</v>
      </c>
      <c r="V1407" s="1" t="n">
        <v>59.94</v>
      </c>
      <c r="W1407" s="1" t="s">
        <v>39</v>
      </c>
      <c r="X1407" s="1" t="n">
        <v>3.6</v>
      </c>
      <c r="Y1407" s="1" t="s">
        <v>40</v>
      </c>
      <c r="Z1407" s="1" t="n">
        <v>1</v>
      </c>
    </row>
    <row r="1408" customFormat="false" ht="15" hidden="false" customHeight="true" outlineLevel="0" collapsed="false">
      <c r="A1408" s="1" t="s">
        <v>2203</v>
      </c>
      <c r="B1408" s="1" t="s">
        <v>118</v>
      </c>
      <c r="C1408" s="1" t="s">
        <v>178</v>
      </c>
      <c r="D1408" s="1" t="s">
        <v>53</v>
      </c>
      <c r="E1408" s="1" t="s">
        <v>216</v>
      </c>
      <c r="F1408" s="1" t="s">
        <v>102</v>
      </c>
      <c r="G1408" s="1" t="s">
        <v>103</v>
      </c>
      <c r="H1408" s="1" t="s">
        <v>33</v>
      </c>
      <c r="I1408" s="1" t="s">
        <v>58</v>
      </c>
      <c r="J1408" s="1" t="s">
        <v>131</v>
      </c>
      <c r="K1408" s="1" t="s">
        <v>104</v>
      </c>
      <c r="L1408" s="1" t="s">
        <v>49</v>
      </c>
      <c r="M1408" s="1" t="s">
        <v>38</v>
      </c>
      <c r="N1408" s="1" t="n">
        <v>7499</v>
      </c>
      <c r="O1408" s="1" t="n">
        <v>15</v>
      </c>
      <c r="P1408" s="1" t="n">
        <v>1124.85</v>
      </c>
      <c r="Q1408" s="1" t="n">
        <v>6374.15</v>
      </c>
      <c r="R1408" s="1" t="n">
        <v>1147.35</v>
      </c>
      <c r="S1408" s="1" t="n">
        <v>5226.8</v>
      </c>
      <c r="T1408" s="1" t="n">
        <v>2188.89</v>
      </c>
      <c r="U1408" s="1" t="n">
        <v>3037.91</v>
      </c>
      <c r="V1408" s="1" t="n">
        <v>58.12</v>
      </c>
      <c r="W1408" s="1" t="s">
        <v>39</v>
      </c>
      <c r="X1408" s="1" t="n">
        <v>3.4</v>
      </c>
      <c r="Y1408" s="1" t="s">
        <v>40</v>
      </c>
      <c r="Z1408" s="1" t="n">
        <v>0</v>
      </c>
    </row>
    <row r="1409" customFormat="false" ht="15" hidden="false" customHeight="true" outlineLevel="0" collapsed="false">
      <c r="A1409" s="1" t="s">
        <v>2204</v>
      </c>
      <c r="B1409" s="1" t="s">
        <v>1337</v>
      </c>
      <c r="C1409" s="1" t="s">
        <v>128</v>
      </c>
      <c r="D1409" s="1" t="s">
        <v>29</v>
      </c>
      <c r="E1409" s="1" t="s">
        <v>30</v>
      </c>
      <c r="F1409" s="1" t="s">
        <v>130</v>
      </c>
      <c r="G1409" s="1" t="s">
        <v>47</v>
      </c>
      <c r="H1409" s="1" t="s">
        <v>69</v>
      </c>
      <c r="I1409" s="1" t="s">
        <v>58</v>
      </c>
      <c r="J1409" s="1" t="s">
        <v>35</v>
      </c>
      <c r="K1409" s="1" t="s">
        <v>60</v>
      </c>
      <c r="L1409" s="1" t="s">
        <v>113</v>
      </c>
      <c r="M1409" s="1" t="s">
        <v>50</v>
      </c>
      <c r="N1409" s="1" t="n">
        <v>7999</v>
      </c>
      <c r="O1409" s="1" t="n">
        <v>50</v>
      </c>
      <c r="P1409" s="1" t="n">
        <v>3999.5</v>
      </c>
      <c r="Q1409" s="1" t="n">
        <v>3999.5</v>
      </c>
      <c r="R1409" s="1" t="n">
        <v>719.91</v>
      </c>
      <c r="S1409" s="1" t="n">
        <v>3279.59</v>
      </c>
      <c r="T1409" s="1" t="n">
        <v>1455.42</v>
      </c>
      <c r="U1409" s="1" t="n">
        <v>1824.17</v>
      </c>
      <c r="V1409" s="1" t="n">
        <v>55.62</v>
      </c>
      <c r="W1409" s="1" t="s">
        <v>39</v>
      </c>
      <c r="X1409" s="1" t="n">
        <v>4.6</v>
      </c>
      <c r="Y1409" s="1" t="s">
        <v>40</v>
      </c>
      <c r="Z1409" s="1" t="n">
        <v>1</v>
      </c>
    </row>
    <row r="1410" customFormat="false" ht="15" hidden="false" customHeight="true" outlineLevel="0" collapsed="false">
      <c r="A1410" s="1" t="s">
        <v>2205</v>
      </c>
      <c r="B1410" s="1" t="s">
        <v>524</v>
      </c>
      <c r="C1410" s="1" t="s">
        <v>167</v>
      </c>
      <c r="D1410" s="1" t="s">
        <v>143</v>
      </c>
      <c r="E1410" s="1" t="s">
        <v>210</v>
      </c>
      <c r="F1410" s="1" t="s">
        <v>55</v>
      </c>
      <c r="G1410" s="1" t="s">
        <v>56</v>
      </c>
      <c r="H1410" s="1" t="s">
        <v>57</v>
      </c>
      <c r="I1410" s="1" t="s">
        <v>83</v>
      </c>
      <c r="J1410" s="1" t="s">
        <v>70</v>
      </c>
      <c r="K1410" s="1" t="s">
        <v>48</v>
      </c>
      <c r="L1410" s="1" t="s">
        <v>85</v>
      </c>
      <c r="M1410" s="1" t="s">
        <v>62</v>
      </c>
      <c r="N1410" s="1" t="n">
        <v>18999</v>
      </c>
      <c r="O1410" s="1" t="n">
        <v>10</v>
      </c>
      <c r="P1410" s="1" t="n">
        <v>1899.9</v>
      </c>
      <c r="Q1410" s="1" t="n">
        <v>17099.1</v>
      </c>
      <c r="R1410" s="1" t="n">
        <v>3077.84</v>
      </c>
      <c r="S1410" s="1" t="n">
        <v>14021.26</v>
      </c>
      <c r="T1410" s="1" t="n">
        <v>6806.13</v>
      </c>
      <c r="U1410" s="1" t="n">
        <v>7215.13</v>
      </c>
      <c r="V1410" s="1" t="n">
        <v>51.46</v>
      </c>
      <c r="W1410" s="1" t="s">
        <v>39</v>
      </c>
      <c r="X1410" s="1" t="n">
        <v>3.3</v>
      </c>
      <c r="Y1410" s="1" t="s">
        <v>40</v>
      </c>
      <c r="Z1410" s="1" t="n">
        <v>0</v>
      </c>
    </row>
    <row r="1411" customFormat="false" ht="15" hidden="false" customHeight="true" outlineLevel="0" collapsed="false">
      <c r="A1411" s="1" t="s">
        <v>2206</v>
      </c>
      <c r="B1411" s="1" t="s">
        <v>694</v>
      </c>
      <c r="C1411" s="1" t="s">
        <v>139</v>
      </c>
      <c r="D1411" s="1" t="s">
        <v>53</v>
      </c>
      <c r="E1411" s="1" t="s">
        <v>216</v>
      </c>
      <c r="F1411" s="1" t="s">
        <v>82</v>
      </c>
      <c r="G1411" s="1" t="s">
        <v>56</v>
      </c>
      <c r="H1411" s="1" t="s">
        <v>69</v>
      </c>
      <c r="I1411" s="1" t="s">
        <v>34</v>
      </c>
      <c r="J1411" s="1" t="s">
        <v>35</v>
      </c>
      <c r="K1411" s="1" t="s">
        <v>71</v>
      </c>
      <c r="L1411" s="1" t="s">
        <v>136</v>
      </c>
      <c r="M1411" s="1" t="s">
        <v>38</v>
      </c>
      <c r="N1411" s="1" t="n">
        <v>7499</v>
      </c>
      <c r="O1411" s="1" t="n">
        <v>0</v>
      </c>
      <c r="P1411" s="1" t="n">
        <v>0</v>
      </c>
      <c r="Q1411" s="1" t="n">
        <v>7499</v>
      </c>
      <c r="R1411" s="1" t="n">
        <v>1349.82</v>
      </c>
      <c r="S1411" s="1" t="n">
        <v>6149.18</v>
      </c>
      <c r="T1411" s="1" t="n">
        <v>2337.16</v>
      </c>
      <c r="U1411" s="1" t="n">
        <v>3812.02</v>
      </c>
      <c r="V1411" s="1" t="n">
        <v>61.99</v>
      </c>
      <c r="W1411" s="1" t="s">
        <v>40</v>
      </c>
      <c r="Y1411" s="1" t="s">
        <v>40</v>
      </c>
      <c r="Z1411" s="1" t="n">
        <v>1</v>
      </c>
    </row>
    <row r="1412" customFormat="false" ht="15" hidden="false" customHeight="true" outlineLevel="0" collapsed="false">
      <c r="A1412" s="1" t="s">
        <v>2207</v>
      </c>
      <c r="B1412" s="1" t="s">
        <v>325</v>
      </c>
      <c r="C1412" s="1" t="s">
        <v>249</v>
      </c>
      <c r="D1412" s="1" t="s">
        <v>123</v>
      </c>
      <c r="E1412" s="1" t="s">
        <v>233</v>
      </c>
      <c r="F1412" s="1" t="s">
        <v>187</v>
      </c>
      <c r="G1412" s="1" t="s">
        <v>97</v>
      </c>
      <c r="H1412" s="1" t="s">
        <v>69</v>
      </c>
      <c r="I1412" s="1" t="s">
        <v>58</v>
      </c>
      <c r="J1412" s="1" t="s">
        <v>131</v>
      </c>
      <c r="K1412" s="1" t="s">
        <v>71</v>
      </c>
      <c r="L1412" s="1" t="s">
        <v>113</v>
      </c>
      <c r="M1412" s="1" t="s">
        <v>50</v>
      </c>
      <c r="N1412" s="1" t="n">
        <v>8999</v>
      </c>
      <c r="O1412" s="1" t="n">
        <v>5</v>
      </c>
      <c r="P1412" s="1" t="n">
        <v>449.95</v>
      </c>
      <c r="Q1412" s="1" t="n">
        <v>8549.05</v>
      </c>
      <c r="R1412" s="1" t="n">
        <v>1538.83</v>
      </c>
      <c r="S1412" s="1" t="n">
        <v>7010.22</v>
      </c>
      <c r="T1412" s="1" t="n">
        <v>2885.82</v>
      </c>
      <c r="U1412" s="1" t="n">
        <v>4124.4</v>
      </c>
      <c r="V1412" s="1" t="n">
        <v>58.83</v>
      </c>
      <c r="W1412" s="1" t="s">
        <v>40</v>
      </c>
      <c r="Y1412" s="1" t="s">
        <v>40</v>
      </c>
      <c r="Z1412" s="1" t="n">
        <v>0</v>
      </c>
    </row>
    <row r="1413" customFormat="false" ht="15" hidden="false" customHeight="true" outlineLevel="0" collapsed="false">
      <c r="A1413" s="1" t="s">
        <v>2208</v>
      </c>
      <c r="B1413" s="1" t="s">
        <v>1556</v>
      </c>
      <c r="C1413" s="1" t="s">
        <v>264</v>
      </c>
      <c r="D1413" s="1" t="s">
        <v>123</v>
      </c>
      <c r="E1413" s="1" t="s">
        <v>124</v>
      </c>
      <c r="F1413" s="1" t="s">
        <v>55</v>
      </c>
      <c r="G1413" s="1" t="s">
        <v>56</v>
      </c>
      <c r="H1413" s="1" t="s">
        <v>57</v>
      </c>
      <c r="I1413" s="1" t="s">
        <v>34</v>
      </c>
      <c r="J1413" s="1" t="s">
        <v>131</v>
      </c>
      <c r="K1413" s="1" t="s">
        <v>36</v>
      </c>
      <c r="L1413" s="1" t="s">
        <v>61</v>
      </c>
      <c r="M1413" s="1" t="s">
        <v>62</v>
      </c>
      <c r="N1413" s="1" t="n">
        <v>4999</v>
      </c>
      <c r="O1413" s="1" t="n">
        <v>0</v>
      </c>
      <c r="P1413" s="1" t="n">
        <v>0</v>
      </c>
      <c r="Q1413" s="1" t="n">
        <v>4999</v>
      </c>
      <c r="R1413" s="1" t="n">
        <v>899.82</v>
      </c>
      <c r="S1413" s="1" t="n">
        <v>4099.18</v>
      </c>
      <c r="T1413" s="1" t="n">
        <v>1850.75</v>
      </c>
      <c r="U1413" s="1" t="n">
        <v>2248.43</v>
      </c>
      <c r="V1413" s="1" t="n">
        <v>54.85</v>
      </c>
      <c r="W1413" s="1" t="s">
        <v>40</v>
      </c>
      <c r="Y1413" s="1" t="s">
        <v>40</v>
      </c>
      <c r="Z1413" s="1" t="n">
        <v>1</v>
      </c>
    </row>
    <row r="1414" customFormat="false" ht="15" hidden="false" customHeight="true" outlineLevel="0" collapsed="false">
      <c r="A1414" s="1" t="s">
        <v>2209</v>
      </c>
      <c r="B1414" s="1" t="s">
        <v>1015</v>
      </c>
      <c r="C1414" s="1" t="s">
        <v>93</v>
      </c>
      <c r="D1414" s="1" t="s">
        <v>44</v>
      </c>
      <c r="E1414" s="1" t="s">
        <v>66</v>
      </c>
      <c r="F1414" s="1" t="s">
        <v>82</v>
      </c>
      <c r="G1414" s="1" t="s">
        <v>56</v>
      </c>
      <c r="H1414" s="1" t="s">
        <v>69</v>
      </c>
      <c r="I1414" s="1" t="s">
        <v>83</v>
      </c>
      <c r="J1414" s="1" t="s">
        <v>70</v>
      </c>
      <c r="K1414" s="1" t="s">
        <v>36</v>
      </c>
      <c r="L1414" s="1" t="s">
        <v>37</v>
      </c>
      <c r="M1414" s="1" t="s">
        <v>38</v>
      </c>
      <c r="N1414" s="1" t="n">
        <v>12999</v>
      </c>
      <c r="O1414" s="1" t="n">
        <v>5</v>
      </c>
      <c r="P1414" s="1" t="n">
        <v>649.95</v>
      </c>
      <c r="Q1414" s="1" t="n">
        <v>12349.05</v>
      </c>
      <c r="R1414" s="1" t="n">
        <v>2222.83</v>
      </c>
      <c r="S1414" s="1" t="n">
        <v>10126.22</v>
      </c>
      <c r="T1414" s="1" t="n">
        <v>3342.12</v>
      </c>
      <c r="U1414" s="1" t="n">
        <v>6784.1</v>
      </c>
      <c r="V1414" s="1" t="n">
        <v>67</v>
      </c>
      <c r="W1414" s="1" t="s">
        <v>39</v>
      </c>
      <c r="X1414" s="1" t="n">
        <v>3.9</v>
      </c>
      <c r="Y1414" s="1" t="s">
        <v>40</v>
      </c>
      <c r="Z1414" s="1" t="n">
        <v>0</v>
      </c>
    </row>
    <row r="1415" customFormat="false" ht="15" hidden="false" customHeight="true" outlineLevel="0" collapsed="false">
      <c r="A1415" s="1" t="s">
        <v>2210</v>
      </c>
      <c r="B1415" s="1" t="s">
        <v>1219</v>
      </c>
      <c r="C1415" s="1" t="s">
        <v>167</v>
      </c>
      <c r="D1415" s="1" t="s">
        <v>123</v>
      </c>
      <c r="E1415" s="1" t="s">
        <v>233</v>
      </c>
      <c r="F1415" s="1" t="s">
        <v>125</v>
      </c>
      <c r="G1415" s="1" t="s">
        <v>108</v>
      </c>
      <c r="H1415" s="1" t="s">
        <v>69</v>
      </c>
      <c r="I1415" s="1" t="s">
        <v>58</v>
      </c>
      <c r="J1415" s="1" t="s">
        <v>35</v>
      </c>
      <c r="K1415" s="1" t="s">
        <v>112</v>
      </c>
      <c r="L1415" s="1" t="s">
        <v>85</v>
      </c>
      <c r="M1415" s="1" t="s">
        <v>50</v>
      </c>
      <c r="N1415" s="1" t="n">
        <v>8999</v>
      </c>
      <c r="O1415" s="1" t="n">
        <v>0</v>
      </c>
      <c r="P1415" s="1" t="n">
        <v>0</v>
      </c>
      <c r="Q1415" s="1" t="n">
        <v>8999</v>
      </c>
      <c r="R1415" s="1" t="n">
        <v>1619.82</v>
      </c>
      <c r="S1415" s="1" t="n">
        <v>7379.18</v>
      </c>
      <c r="T1415" s="1" t="n">
        <v>2850.02</v>
      </c>
      <c r="U1415" s="1" t="n">
        <v>4529.16</v>
      </c>
      <c r="V1415" s="1" t="n">
        <v>61.38</v>
      </c>
      <c r="W1415" s="1" t="s">
        <v>39</v>
      </c>
      <c r="Y1415" s="1" t="s">
        <v>40</v>
      </c>
      <c r="Z1415" s="1" t="n">
        <v>0</v>
      </c>
    </row>
    <row r="1416" customFormat="false" ht="15" hidden="false" customHeight="true" outlineLevel="0" collapsed="false">
      <c r="A1416" s="1" t="s">
        <v>2211</v>
      </c>
      <c r="B1416" s="1" t="s">
        <v>1004</v>
      </c>
      <c r="C1416" s="1" t="s">
        <v>128</v>
      </c>
      <c r="D1416" s="1" t="s">
        <v>44</v>
      </c>
      <c r="E1416" s="1" t="s">
        <v>45</v>
      </c>
      <c r="F1416" s="1" t="s">
        <v>120</v>
      </c>
      <c r="G1416" s="1" t="s">
        <v>47</v>
      </c>
      <c r="H1416" s="1" t="s">
        <v>57</v>
      </c>
      <c r="I1416" s="1" t="s">
        <v>34</v>
      </c>
      <c r="J1416" s="1" t="s">
        <v>70</v>
      </c>
      <c r="K1416" s="1" t="s">
        <v>90</v>
      </c>
      <c r="L1416" s="1" t="s">
        <v>61</v>
      </c>
      <c r="M1416" s="1" t="s">
        <v>38</v>
      </c>
      <c r="N1416" s="1" t="n">
        <v>11999</v>
      </c>
      <c r="O1416" s="1" t="n">
        <v>0</v>
      </c>
      <c r="P1416" s="1" t="n">
        <v>0</v>
      </c>
      <c r="Q1416" s="1" t="n">
        <v>11999</v>
      </c>
      <c r="R1416" s="1" t="n">
        <v>2159.82</v>
      </c>
      <c r="S1416" s="1" t="n">
        <v>9839.18</v>
      </c>
      <c r="T1416" s="1" t="n">
        <v>4246.29</v>
      </c>
      <c r="U1416" s="1" t="n">
        <v>5592.89</v>
      </c>
      <c r="V1416" s="1" t="n">
        <v>56.84</v>
      </c>
      <c r="W1416" s="1" t="s">
        <v>39</v>
      </c>
      <c r="X1416" s="1" t="n">
        <v>4.3</v>
      </c>
      <c r="Y1416" s="1" t="s">
        <v>40</v>
      </c>
      <c r="Z1416" s="1" t="n">
        <v>0</v>
      </c>
    </row>
    <row r="1417" customFormat="false" ht="15" hidden="false" customHeight="true" outlineLevel="0" collapsed="false">
      <c r="A1417" s="1" t="s">
        <v>2212</v>
      </c>
      <c r="B1417" s="1" t="s">
        <v>576</v>
      </c>
      <c r="C1417" s="1" t="s">
        <v>119</v>
      </c>
      <c r="D1417" s="1" t="s">
        <v>143</v>
      </c>
      <c r="E1417" s="1" t="s">
        <v>210</v>
      </c>
      <c r="F1417" s="1" t="s">
        <v>67</v>
      </c>
      <c r="G1417" s="1" t="s">
        <v>68</v>
      </c>
      <c r="H1417" s="1" t="s">
        <v>69</v>
      </c>
      <c r="I1417" s="1" t="s">
        <v>83</v>
      </c>
      <c r="J1417" s="1" t="s">
        <v>77</v>
      </c>
      <c r="K1417" s="1" t="s">
        <v>60</v>
      </c>
      <c r="L1417" s="1" t="s">
        <v>61</v>
      </c>
      <c r="M1417" s="1" t="s">
        <v>38</v>
      </c>
      <c r="N1417" s="1" t="n">
        <v>18999</v>
      </c>
      <c r="O1417" s="1" t="n">
        <v>10</v>
      </c>
      <c r="P1417" s="1" t="n">
        <v>1899.9</v>
      </c>
      <c r="Q1417" s="1" t="n">
        <v>17099.1</v>
      </c>
      <c r="R1417" s="1" t="n">
        <v>3077.84</v>
      </c>
      <c r="S1417" s="1" t="n">
        <v>14021.26</v>
      </c>
      <c r="T1417" s="1" t="n">
        <v>6274.52</v>
      </c>
      <c r="U1417" s="1" t="n">
        <v>7746.74</v>
      </c>
      <c r="V1417" s="1" t="n">
        <v>55.25</v>
      </c>
      <c r="W1417" s="1" t="s">
        <v>39</v>
      </c>
      <c r="X1417" s="1" t="n">
        <v>2.9</v>
      </c>
      <c r="Y1417" s="1" t="s">
        <v>40</v>
      </c>
      <c r="Z1417" s="1" t="n">
        <v>1</v>
      </c>
    </row>
    <row r="1418" customFormat="false" ht="15" hidden="false" customHeight="true" outlineLevel="0" collapsed="false">
      <c r="A1418" s="1" t="s">
        <v>2213</v>
      </c>
      <c r="B1418" s="1" t="s">
        <v>229</v>
      </c>
      <c r="C1418" s="1" t="s">
        <v>28</v>
      </c>
      <c r="D1418" s="1" t="s">
        <v>80</v>
      </c>
      <c r="E1418" s="1" t="s">
        <v>175</v>
      </c>
      <c r="F1418" s="1" t="s">
        <v>67</v>
      </c>
      <c r="G1418" s="1" t="s">
        <v>68</v>
      </c>
      <c r="H1418" s="1" t="s">
        <v>69</v>
      </c>
      <c r="I1418" s="1" t="s">
        <v>58</v>
      </c>
      <c r="J1418" s="1" t="s">
        <v>77</v>
      </c>
      <c r="K1418" s="1" t="s">
        <v>71</v>
      </c>
      <c r="L1418" s="1" t="s">
        <v>85</v>
      </c>
      <c r="M1418" s="1" t="s">
        <v>38</v>
      </c>
      <c r="N1418" s="1" t="n">
        <v>19999</v>
      </c>
      <c r="O1418" s="1" t="n">
        <v>50</v>
      </c>
      <c r="P1418" s="1" t="n">
        <v>9999.5</v>
      </c>
      <c r="Q1418" s="1" t="n">
        <v>9999.5</v>
      </c>
      <c r="R1418" s="1" t="n">
        <v>1799.91</v>
      </c>
      <c r="S1418" s="1" t="n">
        <v>8199.59</v>
      </c>
      <c r="T1418" s="1" t="n">
        <v>4226.7</v>
      </c>
      <c r="U1418" s="1" t="n">
        <v>3972.89</v>
      </c>
      <c r="V1418" s="1" t="n">
        <v>48.45</v>
      </c>
      <c r="W1418" s="1" t="s">
        <v>39</v>
      </c>
      <c r="X1418" s="1" t="n">
        <v>3.7</v>
      </c>
      <c r="Y1418" s="1" t="s">
        <v>40</v>
      </c>
      <c r="Z1418" s="1" t="n">
        <v>0</v>
      </c>
    </row>
    <row r="1419" customFormat="false" ht="15" hidden="false" customHeight="true" outlineLevel="0" collapsed="false">
      <c r="A1419" s="1" t="s">
        <v>2214</v>
      </c>
      <c r="B1419" s="1" t="s">
        <v>1655</v>
      </c>
      <c r="C1419" s="1" t="s">
        <v>249</v>
      </c>
      <c r="D1419" s="1" t="s">
        <v>168</v>
      </c>
      <c r="E1419" s="1" t="s">
        <v>197</v>
      </c>
      <c r="F1419" s="1" t="s">
        <v>55</v>
      </c>
      <c r="G1419" s="1" t="s">
        <v>56</v>
      </c>
      <c r="H1419" s="1" t="s">
        <v>57</v>
      </c>
      <c r="I1419" s="1" t="s">
        <v>34</v>
      </c>
      <c r="J1419" s="1" t="s">
        <v>70</v>
      </c>
      <c r="K1419" s="1" t="s">
        <v>60</v>
      </c>
      <c r="L1419" s="1" t="s">
        <v>136</v>
      </c>
      <c r="M1419" s="1" t="s">
        <v>38</v>
      </c>
      <c r="N1419" s="1" t="n">
        <v>8499</v>
      </c>
      <c r="O1419" s="1" t="n">
        <v>30</v>
      </c>
      <c r="P1419" s="1" t="n">
        <v>2549.7</v>
      </c>
      <c r="Q1419" s="1" t="n">
        <v>5949.3</v>
      </c>
      <c r="R1419" s="1" t="n">
        <v>1070.87</v>
      </c>
      <c r="S1419" s="1" t="n">
        <v>4878.43</v>
      </c>
      <c r="T1419" s="1" t="n">
        <v>2070.33</v>
      </c>
      <c r="U1419" s="1" t="n">
        <v>2808.1</v>
      </c>
      <c r="V1419" s="1" t="n">
        <v>57.56</v>
      </c>
      <c r="W1419" s="1" t="s">
        <v>39</v>
      </c>
      <c r="X1419" s="1" t="n">
        <v>3.4</v>
      </c>
      <c r="Y1419" s="1" t="s">
        <v>40</v>
      </c>
      <c r="Z1419" s="1" t="n">
        <v>0</v>
      </c>
    </row>
    <row r="1420" customFormat="false" ht="15" hidden="false" customHeight="true" outlineLevel="0" collapsed="false">
      <c r="A1420" s="1" t="s">
        <v>2215</v>
      </c>
      <c r="B1420" s="1" t="s">
        <v>2033</v>
      </c>
      <c r="C1420" s="1" t="s">
        <v>128</v>
      </c>
      <c r="D1420" s="1" t="s">
        <v>29</v>
      </c>
      <c r="E1420" s="1" t="s">
        <v>129</v>
      </c>
      <c r="F1420" s="1" t="s">
        <v>211</v>
      </c>
      <c r="G1420" s="1" t="s">
        <v>56</v>
      </c>
      <c r="H1420" s="1" t="s">
        <v>69</v>
      </c>
      <c r="I1420" s="1" t="s">
        <v>34</v>
      </c>
      <c r="J1420" s="1" t="s">
        <v>35</v>
      </c>
      <c r="K1420" s="1" t="s">
        <v>71</v>
      </c>
      <c r="L1420" s="1" t="s">
        <v>136</v>
      </c>
      <c r="M1420" s="1" t="s">
        <v>50</v>
      </c>
      <c r="N1420" s="1" t="n">
        <v>29999</v>
      </c>
      <c r="O1420" s="1" t="n">
        <v>50</v>
      </c>
      <c r="P1420" s="1" t="n">
        <v>14999.5</v>
      </c>
      <c r="Q1420" s="1" t="n">
        <v>14999.5</v>
      </c>
      <c r="R1420" s="1" t="n">
        <v>2699.91</v>
      </c>
      <c r="S1420" s="1" t="n">
        <v>12299.59</v>
      </c>
      <c r="T1420" s="1" t="n">
        <v>6936.89</v>
      </c>
      <c r="U1420" s="1" t="n">
        <v>5362.7</v>
      </c>
      <c r="V1420" s="1" t="n">
        <v>43.6</v>
      </c>
      <c r="W1420" s="1" t="s">
        <v>39</v>
      </c>
      <c r="X1420" s="1" t="n">
        <v>4.5</v>
      </c>
      <c r="Y1420" s="1" t="s">
        <v>40</v>
      </c>
      <c r="Z1420" s="1" t="n">
        <v>0</v>
      </c>
    </row>
    <row r="1421" customFormat="false" ht="15" hidden="false" customHeight="true" outlineLevel="0" collapsed="false">
      <c r="A1421" s="1" t="s">
        <v>2216</v>
      </c>
      <c r="B1421" s="1" t="s">
        <v>1318</v>
      </c>
      <c r="C1421" s="1" t="s">
        <v>134</v>
      </c>
      <c r="D1421" s="1" t="s">
        <v>94</v>
      </c>
      <c r="E1421" s="1" t="s">
        <v>101</v>
      </c>
      <c r="F1421" s="1" t="s">
        <v>194</v>
      </c>
      <c r="G1421" s="1" t="s">
        <v>103</v>
      </c>
      <c r="H1421" s="1" t="s">
        <v>69</v>
      </c>
      <c r="I1421" s="1" t="s">
        <v>34</v>
      </c>
      <c r="J1421" s="1" t="s">
        <v>131</v>
      </c>
      <c r="K1421" s="1" t="s">
        <v>84</v>
      </c>
      <c r="L1421" s="1" t="s">
        <v>37</v>
      </c>
      <c r="M1421" s="1" t="s">
        <v>62</v>
      </c>
      <c r="N1421" s="1" t="n">
        <v>14999</v>
      </c>
      <c r="O1421" s="1" t="n">
        <v>5</v>
      </c>
      <c r="P1421" s="1" t="n">
        <v>749.95</v>
      </c>
      <c r="Q1421" s="1" t="n">
        <v>14249.05</v>
      </c>
      <c r="R1421" s="1" t="n">
        <v>2564.83</v>
      </c>
      <c r="S1421" s="1" t="n">
        <v>11684.22</v>
      </c>
      <c r="T1421" s="1" t="n">
        <v>3053.19</v>
      </c>
      <c r="U1421" s="1" t="n">
        <v>8631.03</v>
      </c>
      <c r="V1421" s="1" t="n">
        <v>73.87</v>
      </c>
      <c r="W1421" s="1" t="s">
        <v>40</v>
      </c>
      <c r="Y1421" s="1" t="s">
        <v>40</v>
      </c>
      <c r="Z1421" s="1" t="n">
        <v>1</v>
      </c>
    </row>
    <row r="1422" customFormat="false" ht="15" hidden="false" customHeight="true" outlineLevel="0" collapsed="false">
      <c r="A1422" s="1" t="s">
        <v>2217</v>
      </c>
      <c r="B1422" s="1" t="s">
        <v>1034</v>
      </c>
      <c r="C1422" s="1" t="s">
        <v>128</v>
      </c>
      <c r="D1422" s="1" t="s">
        <v>29</v>
      </c>
      <c r="E1422" s="1" t="s">
        <v>30</v>
      </c>
      <c r="F1422" s="1" t="s">
        <v>96</v>
      </c>
      <c r="G1422" s="1" t="s">
        <v>97</v>
      </c>
      <c r="H1422" s="1" t="s">
        <v>69</v>
      </c>
      <c r="I1422" s="1" t="s">
        <v>83</v>
      </c>
      <c r="J1422" s="1" t="s">
        <v>59</v>
      </c>
      <c r="K1422" s="1" t="s">
        <v>90</v>
      </c>
      <c r="L1422" s="1" t="s">
        <v>49</v>
      </c>
      <c r="M1422" s="1" t="s">
        <v>62</v>
      </c>
      <c r="N1422" s="1" t="n">
        <v>7999</v>
      </c>
      <c r="O1422" s="1" t="n">
        <v>15</v>
      </c>
      <c r="P1422" s="1" t="n">
        <v>1199.85</v>
      </c>
      <c r="Q1422" s="1" t="n">
        <v>6799.15</v>
      </c>
      <c r="R1422" s="1" t="n">
        <v>1223.85</v>
      </c>
      <c r="S1422" s="1" t="n">
        <v>5575.3</v>
      </c>
      <c r="T1422" s="1" t="n">
        <v>1958.77</v>
      </c>
      <c r="U1422" s="1" t="n">
        <v>3616.53</v>
      </c>
      <c r="V1422" s="1" t="n">
        <v>64.87</v>
      </c>
      <c r="W1422" s="1" t="s">
        <v>40</v>
      </c>
      <c r="Y1422" s="1" t="s">
        <v>39</v>
      </c>
      <c r="Z1422" s="1" t="n">
        <v>2</v>
      </c>
    </row>
    <row r="1423" customFormat="false" ht="15" hidden="false" customHeight="true" outlineLevel="0" collapsed="false">
      <c r="A1423" s="1" t="s">
        <v>2218</v>
      </c>
      <c r="B1423" s="1" t="s">
        <v>1727</v>
      </c>
      <c r="C1423" s="1" t="s">
        <v>65</v>
      </c>
      <c r="D1423" s="1" t="s">
        <v>123</v>
      </c>
      <c r="E1423" s="1" t="s">
        <v>124</v>
      </c>
      <c r="F1423" s="1" t="s">
        <v>82</v>
      </c>
      <c r="G1423" s="1" t="s">
        <v>56</v>
      </c>
      <c r="H1423" s="1" t="s">
        <v>69</v>
      </c>
      <c r="I1423" s="1" t="s">
        <v>34</v>
      </c>
      <c r="J1423" s="1" t="s">
        <v>35</v>
      </c>
      <c r="K1423" s="1" t="s">
        <v>60</v>
      </c>
      <c r="L1423" s="1" t="s">
        <v>136</v>
      </c>
      <c r="M1423" s="1" t="s">
        <v>38</v>
      </c>
      <c r="N1423" s="1" t="n">
        <v>4999</v>
      </c>
      <c r="O1423" s="1" t="n">
        <v>40</v>
      </c>
      <c r="P1423" s="1" t="n">
        <v>1999.6</v>
      </c>
      <c r="Q1423" s="1" t="n">
        <v>2999.4</v>
      </c>
      <c r="R1423" s="1" t="n">
        <v>539.89</v>
      </c>
      <c r="S1423" s="1" t="n">
        <v>2459.51</v>
      </c>
      <c r="T1423" s="1" t="n">
        <v>1308.1</v>
      </c>
      <c r="U1423" s="1" t="n">
        <v>1151.41</v>
      </c>
      <c r="V1423" s="1" t="n">
        <v>46.81</v>
      </c>
      <c r="W1423" s="1" t="s">
        <v>39</v>
      </c>
      <c r="X1423" s="1" t="n">
        <v>4.2</v>
      </c>
      <c r="Y1423" s="1" t="s">
        <v>40</v>
      </c>
      <c r="Z1423" s="1" t="n">
        <v>0</v>
      </c>
    </row>
    <row r="1424" customFormat="false" ht="15" hidden="false" customHeight="true" outlineLevel="0" collapsed="false">
      <c r="A1424" s="1" t="s">
        <v>2219</v>
      </c>
      <c r="B1424" s="1" t="s">
        <v>259</v>
      </c>
      <c r="C1424" s="1" t="s">
        <v>43</v>
      </c>
      <c r="D1424" s="1" t="s">
        <v>29</v>
      </c>
      <c r="E1424" s="1" t="s">
        <v>30</v>
      </c>
      <c r="F1424" s="1" t="s">
        <v>194</v>
      </c>
      <c r="G1424" s="1" t="s">
        <v>103</v>
      </c>
      <c r="H1424" s="1" t="s">
        <v>69</v>
      </c>
      <c r="I1424" s="1" t="s">
        <v>34</v>
      </c>
      <c r="J1424" s="1" t="s">
        <v>131</v>
      </c>
      <c r="K1424" s="1" t="s">
        <v>48</v>
      </c>
      <c r="L1424" s="1" t="s">
        <v>113</v>
      </c>
      <c r="M1424" s="1" t="s">
        <v>50</v>
      </c>
      <c r="N1424" s="1" t="n">
        <v>7999</v>
      </c>
      <c r="O1424" s="1" t="n">
        <v>30</v>
      </c>
      <c r="P1424" s="1" t="n">
        <v>2399.7</v>
      </c>
      <c r="Q1424" s="1" t="n">
        <v>5599.3</v>
      </c>
      <c r="R1424" s="1" t="n">
        <v>1007.87</v>
      </c>
      <c r="S1424" s="1" t="n">
        <v>4591.43</v>
      </c>
      <c r="T1424" s="1" t="n">
        <v>1338.08</v>
      </c>
      <c r="U1424" s="1" t="n">
        <v>3253.35</v>
      </c>
      <c r="V1424" s="1" t="n">
        <v>70.86</v>
      </c>
      <c r="W1424" s="1" t="s">
        <v>39</v>
      </c>
      <c r="X1424" s="1" t="n">
        <v>2.9</v>
      </c>
      <c r="Y1424" s="1" t="s">
        <v>40</v>
      </c>
      <c r="Z1424" s="1" t="n">
        <v>2</v>
      </c>
    </row>
    <row r="1425" customFormat="false" ht="15" hidden="false" customHeight="true" outlineLevel="0" collapsed="false">
      <c r="A1425" s="1" t="s">
        <v>2220</v>
      </c>
      <c r="B1425" s="1" t="s">
        <v>1488</v>
      </c>
      <c r="C1425" s="1" t="s">
        <v>139</v>
      </c>
      <c r="D1425" s="1" t="s">
        <v>94</v>
      </c>
      <c r="E1425" s="1" t="s">
        <v>135</v>
      </c>
      <c r="F1425" s="1" t="s">
        <v>184</v>
      </c>
      <c r="G1425" s="1" t="s">
        <v>56</v>
      </c>
      <c r="H1425" s="1" t="s">
        <v>57</v>
      </c>
      <c r="I1425" s="1" t="s">
        <v>58</v>
      </c>
      <c r="J1425" s="1" t="s">
        <v>131</v>
      </c>
      <c r="K1425" s="1" t="s">
        <v>104</v>
      </c>
      <c r="L1425" s="1" t="s">
        <v>61</v>
      </c>
      <c r="M1425" s="1" t="s">
        <v>50</v>
      </c>
      <c r="N1425" s="1" t="n">
        <v>9999</v>
      </c>
      <c r="O1425" s="1" t="n">
        <v>40</v>
      </c>
      <c r="P1425" s="1" t="n">
        <v>3999.6</v>
      </c>
      <c r="Q1425" s="1" t="n">
        <v>5999.4</v>
      </c>
      <c r="R1425" s="1" t="n">
        <v>1079.89</v>
      </c>
      <c r="S1425" s="1" t="n">
        <v>4919.51</v>
      </c>
      <c r="T1425" s="1" t="n">
        <v>2693.13</v>
      </c>
      <c r="U1425" s="1" t="n">
        <v>2226.38</v>
      </c>
      <c r="V1425" s="1" t="n">
        <v>45.26</v>
      </c>
      <c r="W1425" s="1" t="s">
        <v>40</v>
      </c>
      <c r="Y1425" s="1" t="s">
        <v>40</v>
      </c>
      <c r="Z1425" s="1" t="n">
        <v>0</v>
      </c>
    </row>
    <row r="1426" customFormat="false" ht="15" hidden="false" customHeight="true" outlineLevel="0" collapsed="false">
      <c r="A1426" s="1" t="s">
        <v>2221</v>
      </c>
      <c r="B1426" s="1" t="s">
        <v>415</v>
      </c>
      <c r="C1426" s="1" t="s">
        <v>65</v>
      </c>
      <c r="D1426" s="1" t="s">
        <v>143</v>
      </c>
      <c r="E1426" s="1" t="s">
        <v>210</v>
      </c>
      <c r="F1426" s="1" t="s">
        <v>125</v>
      </c>
      <c r="G1426" s="1" t="s">
        <v>108</v>
      </c>
      <c r="H1426" s="1" t="s">
        <v>69</v>
      </c>
      <c r="I1426" s="1" t="s">
        <v>83</v>
      </c>
      <c r="J1426" s="1" t="s">
        <v>59</v>
      </c>
      <c r="K1426" s="1" t="s">
        <v>48</v>
      </c>
      <c r="L1426" s="1" t="s">
        <v>61</v>
      </c>
      <c r="M1426" s="1" t="s">
        <v>50</v>
      </c>
      <c r="N1426" s="1" t="n">
        <v>18999</v>
      </c>
      <c r="O1426" s="1" t="n">
        <v>10</v>
      </c>
      <c r="P1426" s="1" t="n">
        <v>1899.9</v>
      </c>
      <c r="Q1426" s="1" t="n">
        <v>17099.1</v>
      </c>
      <c r="R1426" s="1" t="n">
        <v>3077.84</v>
      </c>
      <c r="S1426" s="1" t="n">
        <v>14021.26</v>
      </c>
      <c r="T1426" s="1" t="n">
        <v>4882.1</v>
      </c>
      <c r="U1426" s="1" t="n">
        <v>9139.16</v>
      </c>
      <c r="V1426" s="1" t="n">
        <v>65.18</v>
      </c>
      <c r="W1426" s="1" t="s">
        <v>39</v>
      </c>
      <c r="X1426" s="1" t="n">
        <v>3.5</v>
      </c>
      <c r="Y1426" s="1" t="s">
        <v>40</v>
      </c>
      <c r="Z1426" s="1" t="n">
        <v>1</v>
      </c>
    </row>
    <row r="1427" customFormat="false" ht="15" hidden="false" customHeight="true" outlineLevel="0" collapsed="false">
      <c r="A1427" s="1" t="s">
        <v>2222</v>
      </c>
      <c r="B1427" s="1" t="s">
        <v>764</v>
      </c>
      <c r="C1427" s="1" t="s">
        <v>74</v>
      </c>
      <c r="D1427" s="1" t="s">
        <v>80</v>
      </c>
      <c r="E1427" s="1" t="s">
        <v>190</v>
      </c>
      <c r="F1427" s="1" t="s">
        <v>107</v>
      </c>
      <c r="G1427" s="1" t="s">
        <v>108</v>
      </c>
      <c r="H1427" s="1" t="s">
        <v>33</v>
      </c>
      <c r="I1427" s="1" t="s">
        <v>34</v>
      </c>
      <c r="J1427" s="1" t="s">
        <v>70</v>
      </c>
      <c r="K1427" s="1" t="s">
        <v>112</v>
      </c>
      <c r="L1427" s="1" t="s">
        <v>49</v>
      </c>
      <c r="M1427" s="1" t="s">
        <v>62</v>
      </c>
      <c r="N1427" s="1" t="n">
        <v>15999</v>
      </c>
      <c r="O1427" s="1" t="n">
        <v>0</v>
      </c>
      <c r="P1427" s="1" t="n">
        <v>0</v>
      </c>
      <c r="Q1427" s="1" t="n">
        <v>15999</v>
      </c>
      <c r="R1427" s="1" t="n">
        <v>2879.82</v>
      </c>
      <c r="S1427" s="1" t="n">
        <v>13119.18</v>
      </c>
      <c r="T1427" s="1" t="n">
        <v>5807.22</v>
      </c>
      <c r="U1427" s="1" t="n">
        <v>7311.96</v>
      </c>
      <c r="V1427" s="1" t="n">
        <v>55.73</v>
      </c>
      <c r="W1427" s="1" t="s">
        <v>40</v>
      </c>
      <c r="Y1427" s="1" t="s">
        <v>40</v>
      </c>
      <c r="Z1427" s="1" t="n">
        <v>0</v>
      </c>
    </row>
    <row r="1428" customFormat="false" ht="15" hidden="false" customHeight="true" outlineLevel="0" collapsed="false">
      <c r="A1428" s="1" t="s">
        <v>2223</v>
      </c>
      <c r="B1428" s="1" t="s">
        <v>1979</v>
      </c>
      <c r="C1428" s="1" t="s">
        <v>88</v>
      </c>
      <c r="D1428" s="1" t="s">
        <v>123</v>
      </c>
      <c r="E1428" s="1" t="s">
        <v>124</v>
      </c>
      <c r="F1428" s="1" t="s">
        <v>89</v>
      </c>
      <c r="G1428" s="1" t="s">
        <v>68</v>
      </c>
      <c r="H1428" s="1" t="s">
        <v>33</v>
      </c>
      <c r="I1428" s="1" t="s">
        <v>83</v>
      </c>
      <c r="J1428" s="1" t="s">
        <v>77</v>
      </c>
      <c r="K1428" s="1" t="s">
        <v>36</v>
      </c>
      <c r="L1428" s="1" t="s">
        <v>37</v>
      </c>
      <c r="M1428" s="1" t="s">
        <v>38</v>
      </c>
      <c r="N1428" s="1" t="n">
        <v>4999</v>
      </c>
      <c r="O1428" s="1" t="n">
        <v>15</v>
      </c>
      <c r="P1428" s="1" t="n">
        <v>749.85</v>
      </c>
      <c r="Q1428" s="1" t="n">
        <v>4249.15</v>
      </c>
      <c r="R1428" s="1" t="n">
        <v>764.85</v>
      </c>
      <c r="S1428" s="1" t="n">
        <v>3484.3</v>
      </c>
      <c r="T1428" s="1" t="n">
        <v>1624.66</v>
      </c>
      <c r="U1428" s="1" t="n">
        <v>1859.64</v>
      </c>
      <c r="V1428" s="1" t="n">
        <v>53.37</v>
      </c>
      <c r="W1428" s="1" t="s">
        <v>39</v>
      </c>
      <c r="X1428" s="1" t="n">
        <v>3.9</v>
      </c>
      <c r="Y1428" s="1" t="s">
        <v>40</v>
      </c>
      <c r="Z1428" s="1" t="n">
        <v>2</v>
      </c>
    </row>
    <row r="1429" customFormat="false" ht="15" hidden="false" customHeight="true" outlineLevel="0" collapsed="false">
      <c r="A1429" s="1" t="s">
        <v>2224</v>
      </c>
      <c r="B1429" s="1" t="s">
        <v>839</v>
      </c>
      <c r="C1429" s="1" t="s">
        <v>264</v>
      </c>
      <c r="D1429" s="1" t="s">
        <v>44</v>
      </c>
      <c r="E1429" s="1" t="s">
        <v>45</v>
      </c>
      <c r="F1429" s="1" t="s">
        <v>96</v>
      </c>
      <c r="G1429" s="1" t="s">
        <v>97</v>
      </c>
      <c r="H1429" s="1" t="s">
        <v>69</v>
      </c>
      <c r="I1429" s="1" t="s">
        <v>58</v>
      </c>
      <c r="J1429" s="1" t="s">
        <v>35</v>
      </c>
      <c r="K1429" s="1" t="s">
        <v>60</v>
      </c>
      <c r="L1429" s="1" t="s">
        <v>61</v>
      </c>
      <c r="M1429" s="1" t="s">
        <v>38</v>
      </c>
      <c r="N1429" s="1" t="n">
        <v>11999</v>
      </c>
      <c r="O1429" s="1" t="n">
        <v>0</v>
      </c>
      <c r="P1429" s="1" t="n">
        <v>0</v>
      </c>
      <c r="Q1429" s="1" t="n">
        <v>11999</v>
      </c>
      <c r="R1429" s="1" t="n">
        <v>2159.82</v>
      </c>
      <c r="S1429" s="1" t="n">
        <v>9839.18</v>
      </c>
      <c r="T1429" s="1" t="n">
        <v>2906.23</v>
      </c>
      <c r="U1429" s="1" t="n">
        <v>6932.95</v>
      </c>
      <c r="V1429" s="1" t="n">
        <v>70.46</v>
      </c>
      <c r="W1429" s="1" t="s">
        <v>39</v>
      </c>
      <c r="X1429" s="1" t="n">
        <v>4.4</v>
      </c>
      <c r="Y1429" s="1" t="s">
        <v>40</v>
      </c>
      <c r="Z1429" s="1" t="n">
        <v>0</v>
      </c>
    </row>
    <row r="1430" customFormat="false" ht="15" hidden="false" customHeight="true" outlineLevel="0" collapsed="false">
      <c r="A1430" s="1" t="s">
        <v>2225</v>
      </c>
      <c r="B1430" s="1" t="s">
        <v>2226</v>
      </c>
      <c r="C1430" s="1" t="s">
        <v>100</v>
      </c>
      <c r="D1430" s="1" t="s">
        <v>94</v>
      </c>
      <c r="E1430" s="1" t="s">
        <v>135</v>
      </c>
      <c r="F1430" s="1" t="s">
        <v>244</v>
      </c>
      <c r="G1430" s="1" t="s">
        <v>97</v>
      </c>
      <c r="H1430" s="1" t="s">
        <v>57</v>
      </c>
      <c r="I1430" s="1" t="s">
        <v>58</v>
      </c>
      <c r="J1430" s="1" t="s">
        <v>131</v>
      </c>
      <c r="K1430" s="1" t="s">
        <v>60</v>
      </c>
      <c r="L1430" s="1" t="s">
        <v>85</v>
      </c>
      <c r="M1430" s="1" t="s">
        <v>50</v>
      </c>
      <c r="N1430" s="1" t="n">
        <v>9999</v>
      </c>
      <c r="O1430" s="1" t="n">
        <v>30</v>
      </c>
      <c r="P1430" s="1" t="n">
        <v>2999.7</v>
      </c>
      <c r="Q1430" s="1" t="n">
        <v>6999.3</v>
      </c>
      <c r="R1430" s="1" t="n">
        <v>1259.87</v>
      </c>
      <c r="S1430" s="1" t="n">
        <v>5739.43</v>
      </c>
      <c r="T1430" s="1" t="n">
        <v>2533.62</v>
      </c>
      <c r="U1430" s="1" t="n">
        <v>3205.81</v>
      </c>
      <c r="V1430" s="1" t="n">
        <v>55.86</v>
      </c>
      <c r="W1430" s="1" t="s">
        <v>39</v>
      </c>
      <c r="X1430" s="1" t="n">
        <v>2.8</v>
      </c>
      <c r="Y1430" s="1" t="s">
        <v>40</v>
      </c>
      <c r="Z1430" s="1" t="n">
        <v>0</v>
      </c>
    </row>
    <row r="1431" customFormat="false" ht="15" hidden="false" customHeight="true" outlineLevel="0" collapsed="false">
      <c r="A1431" s="1" t="s">
        <v>2227</v>
      </c>
      <c r="B1431" s="1" t="s">
        <v>675</v>
      </c>
      <c r="C1431" s="1" t="s">
        <v>139</v>
      </c>
      <c r="D1431" s="1" t="s">
        <v>29</v>
      </c>
      <c r="E1431" s="1" t="s">
        <v>30</v>
      </c>
      <c r="F1431" s="1" t="s">
        <v>244</v>
      </c>
      <c r="G1431" s="1" t="s">
        <v>97</v>
      </c>
      <c r="H1431" s="1" t="s">
        <v>57</v>
      </c>
      <c r="I1431" s="1" t="s">
        <v>58</v>
      </c>
      <c r="J1431" s="1" t="s">
        <v>70</v>
      </c>
      <c r="K1431" s="1" t="s">
        <v>60</v>
      </c>
      <c r="L1431" s="1" t="s">
        <v>113</v>
      </c>
      <c r="M1431" s="1" t="s">
        <v>38</v>
      </c>
      <c r="N1431" s="1" t="n">
        <v>7999</v>
      </c>
      <c r="O1431" s="1" t="n">
        <v>30</v>
      </c>
      <c r="P1431" s="1" t="n">
        <v>2399.7</v>
      </c>
      <c r="Q1431" s="1" t="n">
        <v>5599.3</v>
      </c>
      <c r="R1431" s="1" t="n">
        <v>1007.87</v>
      </c>
      <c r="S1431" s="1" t="n">
        <v>4591.43</v>
      </c>
      <c r="T1431" s="1" t="n">
        <v>1822.76</v>
      </c>
      <c r="U1431" s="1" t="n">
        <v>2768.67</v>
      </c>
      <c r="V1431" s="1" t="n">
        <v>60.3</v>
      </c>
      <c r="W1431" s="1" t="s">
        <v>39</v>
      </c>
      <c r="X1431" s="1" t="n">
        <v>4.6</v>
      </c>
      <c r="Y1431" s="1" t="s">
        <v>40</v>
      </c>
      <c r="Z1431" s="1" t="n">
        <v>1</v>
      </c>
    </row>
    <row r="1432" customFormat="false" ht="15" hidden="false" customHeight="true" outlineLevel="0" collapsed="false">
      <c r="A1432" s="1" t="s">
        <v>2228</v>
      </c>
      <c r="B1432" s="1" t="s">
        <v>284</v>
      </c>
      <c r="C1432" s="1" t="s">
        <v>128</v>
      </c>
      <c r="D1432" s="1" t="s">
        <v>44</v>
      </c>
      <c r="E1432" s="1" t="s">
        <v>66</v>
      </c>
      <c r="F1432" s="1" t="s">
        <v>31</v>
      </c>
      <c r="G1432" s="1" t="s">
        <v>32</v>
      </c>
      <c r="H1432" s="1" t="s">
        <v>33</v>
      </c>
      <c r="I1432" s="1" t="s">
        <v>58</v>
      </c>
      <c r="J1432" s="1" t="s">
        <v>131</v>
      </c>
      <c r="K1432" s="1" t="s">
        <v>104</v>
      </c>
      <c r="L1432" s="1" t="s">
        <v>61</v>
      </c>
      <c r="M1432" s="1" t="s">
        <v>50</v>
      </c>
      <c r="N1432" s="1" t="n">
        <v>12999</v>
      </c>
      <c r="O1432" s="1" t="n">
        <v>50</v>
      </c>
      <c r="P1432" s="1" t="n">
        <v>6499.5</v>
      </c>
      <c r="Q1432" s="1" t="n">
        <v>6499.5</v>
      </c>
      <c r="R1432" s="1" t="n">
        <v>1169.91</v>
      </c>
      <c r="S1432" s="1" t="n">
        <v>5329.59</v>
      </c>
      <c r="T1432" s="1" t="n">
        <v>3214.96</v>
      </c>
      <c r="U1432" s="1" t="n">
        <v>2114.63</v>
      </c>
      <c r="V1432" s="1" t="n">
        <v>39.68</v>
      </c>
      <c r="W1432" s="1" t="s">
        <v>40</v>
      </c>
      <c r="Y1432" s="1" t="s">
        <v>39</v>
      </c>
      <c r="Z1432" s="1" t="n">
        <v>2</v>
      </c>
    </row>
    <row r="1433" customFormat="false" ht="15" hidden="false" customHeight="true" outlineLevel="0" collapsed="false">
      <c r="A1433" s="1" t="s">
        <v>2229</v>
      </c>
      <c r="B1433" s="1" t="s">
        <v>1327</v>
      </c>
      <c r="C1433" s="1" t="s">
        <v>88</v>
      </c>
      <c r="D1433" s="1" t="s">
        <v>123</v>
      </c>
      <c r="E1433" s="1" t="s">
        <v>233</v>
      </c>
      <c r="F1433" s="1" t="s">
        <v>89</v>
      </c>
      <c r="G1433" s="1" t="s">
        <v>68</v>
      </c>
      <c r="H1433" s="1" t="s">
        <v>33</v>
      </c>
      <c r="I1433" s="1" t="s">
        <v>83</v>
      </c>
      <c r="J1433" s="1" t="s">
        <v>77</v>
      </c>
      <c r="K1433" s="1" t="s">
        <v>84</v>
      </c>
      <c r="L1433" s="1" t="s">
        <v>49</v>
      </c>
      <c r="M1433" s="1" t="s">
        <v>62</v>
      </c>
      <c r="N1433" s="1" t="n">
        <v>8999</v>
      </c>
      <c r="O1433" s="1" t="n">
        <v>15</v>
      </c>
      <c r="P1433" s="1" t="n">
        <v>1349.85</v>
      </c>
      <c r="Q1433" s="1" t="n">
        <v>7649.15</v>
      </c>
      <c r="R1433" s="1" t="n">
        <v>1376.85</v>
      </c>
      <c r="S1433" s="1" t="n">
        <v>6272.3</v>
      </c>
      <c r="T1433" s="1" t="n">
        <v>2892.86</v>
      </c>
      <c r="U1433" s="1" t="n">
        <v>3379.44</v>
      </c>
      <c r="V1433" s="1" t="n">
        <v>53.88</v>
      </c>
      <c r="W1433" s="1" t="s">
        <v>40</v>
      </c>
      <c r="Y1433" s="1" t="s">
        <v>40</v>
      </c>
      <c r="Z1433" s="1" t="n">
        <v>0</v>
      </c>
    </row>
    <row r="1434" customFormat="false" ht="15" hidden="false" customHeight="true" outlineLevel="0" collapsed="false">
      <c r="A1434" s="1" t="s">
        <v>2230</v>
      </c>
      <c r="B1434" s="1" t="s">
        <v>737</v>
      </c>
      <c r="C1434" s="1" t="s">
        <v>128</v>
      </c>
      <c r="D1434" s="1" t="s">
        <v>168</v>
      </c>
      <c r="E1434" s="1" t="s">
        <v>172</v>
      </c>
      <c r="F1434" s="1" t="s">
        <v>96</v>
      </c>
      <c r="G1434" s="1" t="s">
        <v>97</v>
      </c>
      <c r="H1434" s="1" t="s">
        <v>69</v>
      </c>
      <c r="I1434" s="1" t="s">
        <v>34</v>
      </c>
      <c r="J1434" s="1" t="s">
        <v>59</v>
      </c>
      <c r="K1434" s="1" t="s">
        <v>48</v>
      </c>
      <c r="L1434" s="1" t="s">
        <v>61</v>
      </c>
      <c r="M1434" s="1" t="s">
        <v>50</v>
      </c>
      <c r="N1434" s="1" t="n">
        <v>6999</v>
      </c>
      <c r="O1434" s="1" t="n">
        <v>5</v>
      </c>
      <c r="P1434" s="1" t="n">
        <v>349.95</v>
      </c>
      <c r="Q1434" s="1" t="n">
        <v>6649.05</v>
      </c>
      <c r="R1434" s="1" t="n">
        <v>1196.83</v>
      </c>
      <c r="S1434" s="1" t="n">
        <v>5452.22</v>
      </c>
      <c r="T1434" s="1" t="n">
        <v>2374.42</v>
      </c>
      <c r="U1434" s="1" t="n">
        <v>3077.8</v>
      </c>
      <c r="V1434" s="1" t="n">
        <v>56.45</v>
      </c>
      <c r="W1434" s="1" t="s">
        <v>40</v>
      </c>
      <c r="Y1434" s="1" t="s">
        <v>40</v>
      </c>
      <c r="Z1434" s="1" t="n">
        <v>2</v>
      </c>
    </row>
    <row r="1435" customFormat="false" ht="15" hidden="false" customHeight="true" outlineLevel="0" collapsed="false">
      <c r="A1435" s="1" t="s">
        <v>2231</v>
      </c>
      <c r="B1435" s="1" t="s">
        <v>1606</v>
      </c>
      <c r="C1435" s="1" t="s">
        <v>93</v>
      </c>
      <c r="D1435" s="1" t="s">
        <v>94</v>
      </c>
      <c r="E1435" s="1" t="s">
        <v>101</v>
      </c>
      <c r="F1435" s="1" t="s">
        <v>125</v>
      </c>
      <c r="G1435" s="1" t="s">
        <v>108</v>
      </c>
      <c r="H1435" s="1" t="s">
        <v>69</v>
      </c>
      <c r="I1435" s="1" t="s">
        <v>58</v>
      </c>
      <c r="J1435" s="1" t="s">
        <v>59</v>
      </c>
      <c r="K1435" s="1" t="s">
        <v>84</v>
      </c>
      <c r="L1435" s="1" t="s">
        <v>113</v>
      </c>
      <c r="M1435" s="1" t="s">
        <v>62</v>
      </c>
      <c r="N1435" s="1" t="n">
        <v>14999</v>
      </c>
      <c r="O1435" s="1" t="n">
        <v>0</v>
      </c>
      <c r="P1435" s="1" t="n">
        <v>0</v>
      </c>
      <c r="Q1435" s="1" t="n">
        <v>14999</v>
      </c>
      <c r="R1435" s="1" t="n">
        <v>2699.82</v>
      </c>
      <c r="S1435" s="1" t="n">
        <v>12299.18</v>
      </c>
      <c r="T1435" s="1" t="n">
        <v>4662.86</v>
      </c>
      <c r="U1435" s="1" t="n">
        <v>7636.32</v>
      </c>
      <c r="V1435" s="1" t="n">
        <v>62.09</v>
      </c>
      <c r="W1435" s="1" t="s">
        <v>39</v>
      </c>
      <c r="X1435" s="1" t="n">
        <v>2.6</v>
      </c>
      <c r="Y1435" s="1" t="s">
        <v>40</v>
      </c>
      <c r="Z1435" s="1" t="n">
        <v>0</v>
      </c>
    </row>
    <row r="1436" customFormat="false" ht="15" hidden="false" customHeight="true" outlineLevel="0" collapsed="false">
      <c r="A1436" s="1" t="s">
        <v>2232</v>
      </c>
      <c r="B1436" s="1" t="s">
        <v>839</v>
      </c>
      <c r="C1436" s="1" t="s">
        <v>516</v>
      </c>
      <c r="D1436" s="1" t="s">
        <v>29</v>
      </c>
      <c r="E1436" s="1" t="s">
        <v>182</v>
      </c>
      <c r="F1436" s="1" t="s">
        <v>67</v>
      </c>
      <c r="G1436" s="1" t="s">
        <v>68</v>
      </c>
      <c r="H1436" s="1" t="s">
        <v>69</v>
      </c>
      <c r="I1436" s="1" t="s">
        <v>58</v>
      </c>
      <c r="J1436" s="1" t="s">
        <v>131</v>
      </c>
      <c r="K1436" s="1" t="s">
        <v>90</v>
      </c>
      <c r="L1436" s="1" t="s">
        <v>85</v>
      </c>
      <c r="M1436" s="1" t="s">
        <v>38</v>
      </c>
      <c r="N1436" s="1" t="n">
        <v>34999</v>
      </c>
      <c r="O1436" s="1" t="n">
        <v>15</v>
      </c>
      <c r="P1436" s="1" t="n">
        <v>5249.85</v>
      </c>
      <c r="Q1436" s="1" t="n">
        <v>29749.15</v>
      </c>
      <c r="R1436" s="1" t="n">
        <v>5354.85</v>
      </c>
      <c r="S1436" s="1" t="n">
        <v>24394.3</v>
      </c>
      <c r="T1436" s="1" t="n">
        <v>9309.46</v>
      </c>
      <c r="U1436" s="1" t="n">
        <v>15084.84</v>
      </c>
      <c r="V1436" s="1" t="n">
        <v>61.84</v>
      </c>
      <c r="W1436" s="1" t="s">
        <v>39</v>
      </c>
      <c r="X1436" s="1" t="n">
        <v>3.8</v>
      </c>
      <c r="Y1436" s="1" t="s">
        <v>40</v>
      </c>
      <c r="Z1436" s="1" t="n">
        <v>0</v>
      </c>
    </row>
    <row r="1437" customFormat="false" ht="15" hidden="false" customHeight="true" outlineLevel="0" collapsed="false">
      <c r="A1437" s="1" t="s">
        <v>2233</v>
      </c>
      <c r="B1437" s="1" t="s">
        <v>758</v>
      </c>
      <c r="C1437" s="1" t="s">
        <v>178</v>
      </c>
      <c r="D1437" s="1" t="s">
        <v>29</v>
      </c>
      <c r="E1437" s="1" t="s">
        <v>305</v>
      </c>
      <c r="F1437" s="1" t="s">
        <v>102</v>
      </c>
      <c r="G1437" s="1" t="s">
        <v>103</v>
      </c>
      <c r="H1437" s="1" t="s">
        <v>33</v>
      </c>
      <c r="I1437" s="1" t="s">
        <v>58</v>
      </c>
      <c r="J1437" s="1" t="s">
        <v>59</v>
      </c>
      <c r="K1437" s="1" t="s">
        <v>71</v>
      </c>
      <c r="L1437" s="1" t="s">
        <v>85</v>
      </c>
      <c r="M1437" s="1" t="s">
        <v>50</v>
      </c>
      <c r="N1437" s="1" t="n">
        <v>24999</v>
      </c>
      <c r="O1437" s="1" t="n">
        <v>20</v>
      </c>
      <c r="P1437" s="1" t="n">
        <v>4999.8</v>
      </c>
      <c r="Q1437" s="1" t="n">
        <v>19999.2</v>
      </c>
      <c r="R1437" s="1" t="n">
        <v>3599.86</v>
      </c>
      <c r="S1437" s="1" t="n">
        <v>16399.34</v>
      </c>
      <c r="T1437" s="1" t="n">
        <v>5194.42</v>
      </c>
      <c r="U1437" s="1" t="n">
        <v>11204.92</v>
      </c>
      <c r="V1437" s="1" t="n">
        <v>68.33</v>
      </c>
      <c r="W1437" s="1" t="s">
        <v>39</v>
      </c>
      <c r="Y1437" s="1" t="s">
        <v>40</v>
      </c>
      <c r="Z1437" s="1" t="n">
        <v>1</v>
      </c>
    </row>
    <row r="1438" customFormat="false" ht="15" hidden="false" customHeight="true" outlineLevel="0" collapsed="false">
      <c r="A1438" s="1" t="s">
        <v>2234</v>
      </c>
      <c r="B1438" s="1" t="s">
        <v>2235</v>
      </c>
      <c r="C1438" s="1" t="s">
        <v>139</v>
      </c>
      <c r="D1438" s="1" t="s">
        <v>123</v>
      </c>
      <c r="E1438" s="1" t="s">
        <v>124</v>
      </c>
      <c r="F1438" s="1" t="s">
        <v>55</v>
      </c>
      <c r="G1438" s="1" t="s">
        <v>56</v>
      </c>
      <c r="H1438" s="1" t="s">
        <v>57</v>
      </c>
      <c r="I1438" s="1" t="s">
        <v>34</v>
      </c>
      <c r="J1438" s="1" t="s">
        <v>77</v>
      </c>
      <c r="K1438" s="1" t="s">
        <v>112</v>
      </c>
      <c r="L1438" s="1" t="s">
        <v>85</v>
      </c>
      <c r="M1438" s="1" t="s">
        <v>62</v>
      </c>
      <c r="N1438" s="1" t="n">
        <v>4999</v>
      </c>
      <c r="O1438" s="1" t="n">
        <v>30</v>
      </c>
      <c r="P1438" s="1" t="n">
        <v>1499.7</v>
      </c>
      <c r="Q1438" s="1" t="n">
        <v>3499.3</v>
      </c>
      <c r="R1438" s="1" t="n">
        <v>629.87</v>
      </c>
      <c r="S1438" s="1" t="n">
        <v>2869.43</v>
      </c>
      <c r="T1438" s="1" t="n">
        <v>1134.58</v>
      </c>
      <c r="U1438" s="1" t="n">
        <v>1734.85</v>
      </c>
      <c r="V1438" s="1" t="n">
        <v>60.46</v>
      </c>
      <c r="W1438" s="1" t="s">
        <v>39</v>
      </c>
      <c r="X1438" s="1" t="n">
        <v>3.8</v>
      </c>
      <c r="Y1438" s="1" t="s">
        <v>40</v>
      </c>
      <c r="Z1438" s="1" t="n">
        <v>0</v>
      </c>
    </row>
    <row r="1439" customFormat="false" ht="15" hidden="false" customHeight="true" outlineLevel="0" collapsed="false">
      <c r="A1439" s="1" t="s">
        <v>2236</v>
      </c>
      <c r="B1439" s="1" t="s">
        <v>640</v>
      </c>
      <c r="C1439" s="1" t="s">
        <v>134</v>
      </c>
      <c r="D1439" s="1" t="s">
        <v>53</v>
      </c>
      <c r="E1439" s="1" t="s">
        <v>54</v>
      </c>
      <c r="F1439" s="1" t="s">
        <v>187</v>
      </c>
      <c r="G1439" s="1" t="s">
        <v>97</v>
      </c>
      <c r="H1439" s="1" t="s">
        <v>69</v>
      </c>
      <c r="I1439" s="1" t="s">
        <v>58</v>
      </c>
      <c r="J1439" s="1" t="s">
        <v>77</v>
      </c>
      <c r="K1439" s="1" t="s">
        <v>90</v>
      </c>
      <c r="L1439" s="1" t="s">
        <v>49</v>
      </c>
      <c r="M1439" s="1" t="s">
        <v>50</v>
      </c>
      <c r="N1439" s="1" t="n">
        <v>11999</v>
      </c>
      <c r="O1439" s="1" t="n">
        <v>0</v>
      </c>
      <c r="P1439" s="1" t="n">
        <v>0</v>
      </c>
      <c r="Q1439" s="1" t="n">
        <v>11999</v>
      </c>
      <c r="R1439" s="1" t="n">
        <v>2159.82</v>
      </c>
      <c r="S1439" s="1" t="n">
        <v>9839.18</v>
      </c>
      <c r="T1439" s="1" t="n">
        <v>4469.36</v>
      </c>
      <c r="U1439" s="1" t="n">
        <v>5369.82</v>
      </c>
      <c r="V1439" s="1" t="n">
        <v>54.58</v>
      </c>
      <c r="W1439" s="1" t="s">
        <v>40</v>
      </c>
      <c r="Y1439" s="1" t="s">
        <v>39</v>
      </c>
      <c r="Z1439" s="1" t="n">
        <v>1</v>
      </c>
    </row>
    <row r="1440" customFormat="false" ht="15" hidden="false" customHeight="true" outlineLevel="0" collapsed="false">
      <c r="A1440" s="1" t="s">
        <v>2237</v>
      </c>
      <c r="B1440" s="1" t="s">
        <v>338</v>
      </c>
      <c r="C1440" s="1" t="s">
        <v>139</v>
      </c>
      <c r="D1440" s="1" t="s">
        <v>94</v>
      </c>
      <c r="E1440" s="1" t="s">
        <v>101</v>
      </c>
      <c r="F1440" s="1" t="s">
        <v>244</v>
      </c>
      <c r="G1440" s="1" t="s">
        <v>97</v>
      </c>
      <c r="H1440" s="1" t="s">
        <v>57</v>
      </c>
      <c r="I1440" s="1" t="s">
        <v>58</v>
      </c>
      <c r="J1440" s="1" t="s">
        <v>59</v>
      </c>
      <c r="K1440" s="1" t="s">
        <v>48</v>
      </c>
      <c r="L1440" s="1" t="s">
        <v>37</v>
      </c>
      <c r="M1440" s="1" t="s">
        <v>50</v>
      </c>
      <c r="N1440" s="1" t="n">
        <v>14999</v>
      </c>
      <c r="O1440" s="1" t="n">
        <v>10</v>
      </c>
      <c r="P1440" s="1" t="n">
        <v>1499.9</v>
      </c>
      <c r="Q1440" s="1" t="n">
        <v>13499.1</v>
      </c>
      <c r="R1440" s="1" t="n">
        <v>2429.84</v>
      </c>
      <c r="S1440" s="1" t="n">
        <v>11069.26</v>
      </c>
      <c r="T1440" s="1" t="n">
        <v>4439.83</v>
      </c>
      <c r="U1440" s="1" t="n">
        <v>6629.43</v>
      </c>
      <c r="V1440" s="1" t="n">
        <v>59.89</v>
      </c>
      <c r="W1440" s="1" t="s">
        <v>40</v>
      </c>
      <c r="Y1440" s="1" t="s">
        <v>40</v>
      </c>
      <c r="Z1440" s="1" t="n">
        <v>1</v>
      </c>
    </row>
    <row r="1441" customFormat="false" ht="15" hidden="false" customHeight="true" outlineLevel="0" collapsed="false">
      <c r="A1441" s="1" t="s">
        <v>2238</v>
      </c>
      <c r="B1441" s="1" t="s">
        <v>2239</v>
      </c>
      <c r="C1441" s="1" t="s">
        <v>128</v>
      </c>
      <c r="D1441" s="1" t="s">
        <v>143</v>
      </c>
      <c r="E1441" s="1" t="s">
        <v>243</v>
      </c>
      <c r="F1441" s="1" t="s">
        <v>125</v>
      </c>
      <c r="G1441" s="1" t="s">
        <v>108</v>
      </c>
      <c r="H1441" s="1" t="s">
        <v>69</v>
      </c>
      <c r="I1441" s="1" t="s">
        <v>58</v>
      </c>
      <c r="J1441" s="1" t="s">
        <v>59</v>
      </c>
      <c r="K1441" s="1" t="s">
        <v>71</v>
      </c>
      <c r="L1441" s="1" t="s">
        <v>113</v>
      </c>
      <c r="M1441" s="1" t="s">
        <v>62</v>
      </c>
      <c r="N1441" s="1" t="n">
        <v>22999</v>
      </c>
      <c r="O1441" s="1" t="n">
        <v>20</v>
      </c>
      <c r="P1441" s="1" t="n">
        <v>4599.8</v>
      </c>
      <c r="Q1441" s="1" t="n">
        <v>18399.2</v>
      </c>
      <c r="R1441" s="1" t="n">
        <v>3311.86</v>
      </c>
      <c r="S1441" s="1" t="n">
        <v>15087.34</v>
      </c>
      <c r="T1441" s="1" t="n">
        <v>6753.45</v>
      </c>
      <c r="U1441" s="1" t="n">
        <v>8333.89</v>
      </c>
      <c r="V1441" s="1" t="n">
        <v>55.24</v>
      </c>
      <c r="W1441" s="1" t="s">
        <v>40</v>
      </c>
      <c r="Y1441" s="1" t="s">
        <v>40</v>
      </c>
      <c r="Z1441" s="1" t="n">
        <v>0</v>
      </c>
    </row>
    <row r="1442" customFormat="false" ht="15" hidden="false" customHeight="true" outlineLevel="0" collapsed="false">
      <c r="A1442" s="1" t="s">
        <v>2240</v>
      </c>
      <c r="B1442" s="1" t="s">
        <v>298</v>
      </c>
      <c r="C1442" s="1" t="s">
        <v>100</v>
      </c>
      <c r="D1442" s="1" t="s">
        <v>53</v>
      </c>
      <c r="E1442" s="1" t="s">
        <v>216</v>
      </c>
      <c r="F1442" s="1" t="s">
        <v>82</v>
      </c>
      <c r="G1442" s="1" t="s">
        <v>56</v>
      </c>
      <c r="H1442" s="1" t="s">
        <v>69</v>
      </c>
      <c r="I1442" s="1" t="s">
        <v>58</v>
      </c>
      <c r="J1442" s="1" t="s">
        <v>59</v>
      </c>
      <c r="K1442" s="1" t="s">
        <v>60</v>
      </c>
      <c r="L1442" s="1" t="s">
        <v>61</v>
      </c>
      <c r="M1442" s="1" t="s">
        <v>38</v>
      </c>
      <c r="N1442" s="1" t="n">
        <v>7499</v>
      </c>
      <c r="O1442" s="1" t="n">
        <v>10</v>
      </c>
      <c r="P1442" s="1" t="n">
        <v>749.9</v>
      </c>
      <c r="Q1442" s="1" t="n">
        <v>6749.1</v>
      </c>
      <c r="R1442" s="1" t="n">
        <v>1214.84</v>
      </c>
      <c r="S1442" s="1" t="n">
        <v>5534.26</v>
      </c>
      <c r="T1442" s="1" t="n">
        <v>2499.8</v>
      </c>
      <c r="U1442" s="1" t="n">
        <v>3034.46</v>
      </c>
      <c r="V1442" s="1" t="n">
        <v>54.83</v>
      </c>
      <c r="W1442" s="1" t="s">
        <v>39</v>
      </c>
      <c r="X1442" s="1" t="n">
        <v>4.2</v>
      </c>
      <c r="Y1442" s="1" t="s">
        <v>40</v>
      </c>
      <c r="Z1442" s="1" t="n">
        <v>0</v>
      </c>
    </row>
    <row r="1443" customFormat="false" ht="15" hidden="false" customHeight="true" outlineLevel="0" collapsed="false">
      <c r="A1443" s="1" t="s">
        <v>2241</v>
      </c>
      <c r="B1443" s="1" t="s">
        <v>1830</v>
      </c>
      <c r="C1443" s="1" t="s">
        <v>28</v>
      </c>
      <c r="D1443" s="1" t="s">
        <v>123</v>
      </c>
      <c r="E1443" s="1" t="s">
        <v>233</v>
      </c>
      <c r="F1443" s="1" t="s">
        <v>130</v>
      </c>
      <c r="G1443" s="1" t="s">
        <v>47</v>
      </c>
      <c r="H1443" s="1" t="s">
        <v>69</v>
      </c>
      <c r="I1443" s="1" t="s">
        <v>83</v>
      </c>
      <c r="J1443" s="1" t="s">
        <v>77</v>
      </c>
      <c r="K1443" s="1" t="s">
        <v>48</v>
      </c>
      <c r="L1443" s="1" t="s">
        <v>49</v>
      </c>
      <c r="M1443" s="1" t="s">
        <v>50</v>
      </c>
      <c r="N1443" s="1" t="n">
        <v>8999</v>
      </c>
      <c r="O1443" s="1" t="n">
        <v>10</v>
      </c>
      <c r="P1443" s="1" t="n">
        <v>899.9</v>
      </c>
      <c r="Q1443" s="1" t="n">
        <v>8099.1</v>
      </c>
      <c r="R1443" s="1" t="n">
        <v>1457.84</v>
      </c>
      <c r="S1443" s="1" t="n">
        <v>6641.26</v>
      </c>
      <c r="T1443" s="1" t="n">
        <v>2727.5</v>
      </c>
      <c r="U1443" s="1" t="n">
        <v>3913.76</v>
      </c>
      <c r="V1443" s="1" t="n">
        <v>58.93</v>
      </c>
      <c r="W1443" s="1" t="s">
        <v>40</v>
      </c>
      <c r="Y1443" s="1" t="s">
        <v>40</v>
      </c>
      <c r="Z1443" s="1" t="n">
        <v>0</v>
      </c>
    </row>
    <row r="1444" customFormat="false" ht="15" hidden="false" customHeight="true" outlineLevel="0" collapsed="false">
      <c r="A1444" s="1" t="s">
        <v>2242</v>
      </c>
      <c r="B1444" s="1" t="s">
        <v>1458</v>
      </c>
      <c r="C1444" s="1" t="s">
        <v>178</v>
      </c>
      <c r="D1444" s="1" t="s">
        <v>123</v>
      </c>
      <c r="E1444" s="1" t="s">
        <v>124</v>
      </c>
      <c r="F1444" s="1" t="s">
        <v>31</v>
      </c>
      <c r="G1444" s="1" t="s">
        <v>32</v>
      </c>
      <c r="H1444" s="1" t="s">
        <v>33</v>
      </c>
      <c r="I1444" s="1" t="s">
        <v>83</v>
      </c>
      <c r="J1444" s="1" t="s">
        <v>77</v>
      </c>
      <c r="K1444" s="1" t="s">
        <v>36</v>
      </c>
      <c r="L1444" s="1" t="s">
        <v>49</v>
      </c>
      <c r="M1444" s="1" t="s">
        <v>62</v>
      </c>
      <c r="N1444" s="1" t="n">
        <v>4999</v>
      </c>
      <c r="O1444" s="1" t="n">
        <v>40</v>
      </c>
      <c r="P1444" s="1" t="n">
        <v>1999.6</v>
      </c>
      <c r="Q1444" s="1" t="n">
        <v>2999.4</v>
      </c>
      <c r="R1444" s="1" t="n">
        <v>539.89</v>
      </c>
      <c r="S1444" s="1" t="n">
        <v>2459.51</v>
      </c>
      <c r="T1444" s="1" t="n">
        <v>1205.83</v>
      </c>
      <c r="U1444" s="1" t="n">
        <v>1253.68</v>
      </c>
      <c r="V1444" s="1" t="n">
        <v>50.97</v>
      </c>
      <c r="W1444" s="1" t="s">
        <v>39</v>
      </c>
      <c r="X1444" s="1" t="n">
        <v>3.3</v>
      </c>
      <c r="Y1444" s="1" t="s">
        <v>40</v>
      </c>
      <c r="Z1444" s="1" t="n">
        <v>0</v>
      </c>
    </row>
    <row r="1445" customFormat="false" ht="15" hidden="false" customHeight="true" outlineLevel="0" collapsed="false">
      <c r="A1445" s="1" t="s">
        <v>2243</v>
      </c>
      <c r="B1445" s="1" t="s">
        <v>742</v>
      </c>
      <c r="C1445" s="1" t="s">
        <v>167</v>
      </c>
      <c r="D1445" s="1" t="s">
        <v>94</v>
      </c>
      <c r="E1445" s="1" t="s">
        <v>101</v>
      </c>
      <c r="F1445" s="1" t="s">
        <v>75</v>
      </c>
      <c r="G1445" s="1" t="s">
        <v>76</v>
      </c>
      <c r="H1445" s="1" t="s">
        <v>69</v>
      </c>
      <c r="I1445" s="1" t="s">
        <v>34</v>
      </c>
      <c r="J1445" s="1" t="s">
        <v>70</v>
      </c>
      <c r="K1445" s="1" t="s">
        <v>84</v>
      </c>
      <c r="L1445" s="1" t="s">
        <v>136</v>
      </c>
      <c r="M1445" s="1" t="s">
        <v>38</v>
      </c>
      <c r="N1445" s="1" t="n">
        <v>14999</v>
      </c>
      <c r="O1445" s="1" t="n">
        <v>10</v>
      </c>
      <c r="P1445" s="1" t="n">
        <v>1499.9</v>
      </c>
      <c r="Q1445" s="1" t="n">
        <v>13499.1</v>
      </c>
      <c r="R1445" s="1" t="n">
        <v>2429.84</v>
      </c>
      <c r="S1445" s="1" t="n">
        <v>11069.26</v>
      </c>
      <c r="T1445" s="1" t="n">
        <v>5051.84</v>
      </c>
      <c r="U1445" s="1" t="n">
        <v>6017.42</v>
      </c>
      <c r="V1445" s="1" t="n">
        <v>54.36</v>
      </c>
      <c r="W1445" s="1" t="s">
        <v>39</v>
      </c>
      <c r="X1445" s="1" t="n">
        <v>4.1</v>
      </c>
      <c r="Y1445" s="1" t="s">
        <v>40</v>
      </c>
      <c r="Z1445" s="1" t="n">
        <v>0</v>
      </c>
    </row>
    <row r="1446" customFormat="false" ht="15" hidden="false" customHeight="true" outlineLevel="0" collapsed="false">
      <c r="A1446" s="1" t="s">
        <v>2244</v>
      </c>
      <c r="B1446" s="1" t="s">
        <v>555</v>
      </c>
      <c r="C1446" s="1" t="s">
        <v>28</v>
      </c>
      <c r="D1446" s="1" t="s">
        <v>44</v>
      </c>
      <c r="E1446" s="1" t="s">
        <v>66</v>
      </c>
      <c r="F1446" s="1" t="s">
        <v>31</v>
      </c>
      <c r="G1446" s="1" t="s">
        <v>32</v>
      </c>
      <c r="H1446" s="1" t="s">
        <v>33</v>
      </c>
      <c r="I1446" s="1" t="s">
        <v>58</v>
      </c>
      <c r="J1446" s="1" t="s">
        <v>35</v>
      </c>
      <c r="K1446" s="1" t="s">
        <v>71</v>
      </c>
      <c r="L1446" s="1" t="s">
        <v>49</v>
      </c>
      <c r="M1446" s="1" t="s">
        <v>62</v>
      </c>
      <c r="N1446" s="1" t="n">
        <v>12999</v>
      </c>
      <c r="O1446" s="1" t="n">
        <v>0</v>
      </c>
      <c r="P1446" s="1" t="n">
        <v>0</v>
      </c>
      <c r="Q1446" s="1" t="n">
        <v>12999</v>
      </c>
      <c r="R1446" s="1" t="n">
        <v>2339.82</v>
      </c>
      <c r="S1446" s="1" t="n">
        <v>10659.18</v>
      </c>
      <c r="T1446" s="1" t="n">
        <v>5760</v>
      </c>
      <c r="U1446" s="1" t="n">
        <v>4899.18</v>
      </c>
      <c r="V1446" s="1" t="n">
        <v>45.96</v>
      </c>
      <c r="W1446" s="1" t="s">
        <v>39</v>
      </c>
      <c r="X1446" s="1" t="n">
        <v>3.6</v>
      </c>
      <c r="Y1446" s="1" t="s">
        <v>40</v>
      </c>
      <c r="Z1446" s="1" t="n">
        <v>1</v>
      </c>
    </row>
    <row r="1447" customFormat="false" ht="15" hidden="false" customHeight="true" outlineLevel="0" collapsed="false">
      <c r="A1447" s="1" t="s">
        <v>2245</v>
      </c>
      <c r="B1447" s="1" t="s">
        <v>2246</v>
      </c>
      <c r="C1447" s="1" t="s">
        <v>128</v>
      </c>
      <c r="D1447" s="1" t="s">
        <v>94</v>
      </c>
      <c r="E1447" s="1" t="s">
        <v>95</v>
      </c>
      <c r="F1447" s="1" t="s">
        <v>130</v>
      </c>
      <c r="G1447" s="1" t="s">
        <v>47</v>
      </c>
      <c r="H1447" s="1" t="s">
        <v>69</v>
      </c>
      <c r="I1447" s="1" t="s">
        <v>83</v>
      </c>
      <c r="J1447" s="1" t="s">
        <v>131</v>
      </c>
      <c r="K1447" s="1" t="s">
        <v>60</v>
      </c>
      <c r="L1447" s="1" t="s">
        <v>85</v>
      </c>
      <c r="M1447" s="1" t="s">
        <v>38</v>
      </c>
      <c r="N1447" s="1" t="n">
        <v>6999</v>
      </c>
      <c r="O1447" s="1" t="n">
        <v>25</v>
      </c>
      <c r="P1447" s="1" t="n">
        <v>1749.75</v>
      </c>
      <c r="Q1447" s="1" t="n">
        <v>5249.25</v>
      </c>
      <c r="R1447" s="1" t="n">
        <v>944.87</v>
      </c>
      <c r="S1447" s="1" t="n">
        <v>4304.38</v>
      </c>
      <c r="T1447" s="1" t="n">
        <v>1855.46</v>
      </c>
      <c r="U1447" s="1" t="n">
        <v>2448.92</v>
      </c>
      <c r="V1447" s="1" t="n">
        <v>56.89</v>
      </c>
      <c r="W1447" s="1" t="s">
        <v>39</v>
      </c>
      <c r="Y1447" s="1" t="s">
        <v>40</v>
      </c>
      <c r="Z1447" s="1" t="n">
        <v>2</v>
      </c>
    </row>
    <row r="1448" customFormat="false" ht="15" hidden="false" customHeight="true" outlineLevel="0" collapsed="false">
      <c r="A1448" s="1" t="s">
        <v>2247</v>
      </c>
      <c r="B1448" s="1" t="s">
        <v>787</v>
      </c>
      <c r="C1448" s="1" t="s">
        <v>88</v>
      </c>
      <c r="D1448" s="1" t="s">
        <v>143</v>
      </c>
      <c r="E1448" s="1" t="s">
        <v>243</v>
      </c>
      <c r="F1448" s="1" t="s">
        <v>205</v>
      </c>
      <c r="G1448" s="1" t="s">
        <v>56</v>
      </c>
      <c r="H1448" s="1" t="s">
        <v>69</v>
      </c>
      <c r="I1448" s="1" t="s">
        <v>83</v>
      </c>
      <c r="J1448" s="1" t="s">
        <v>131</v>
      </c>
      <c r="K1448" s="1" t="s">
        <v>90</v>
      </c>
      <c r="L1448" s="1" t="s">
        <v>85</v>
      </c>
      <c r="M1448" s="1" t="s">
        <v>50</v>
      </c>
      <c r="N1448" s="1" t="n">
        <v>22999</v>
      </c>
      <c r="O1448" s="1" t="n">
        <v>10</v>
      </c>
      <c r="P1448" s="1" t="n">
        <v>2299.9</v>
      </c>
      <c r="Q1448" s="1" t="n">
        <v>20699.1</v>
      </c>
      <c r="R1448" s="1" t="n">
        <v>3725.84</v>
      </c>
      <c r="S1448" s="1" t="n">
        <v>16973.26</v>
      </c>
      <c r="T1448" s="1" t="n">
        <v>7078.88</v>
      </c>
      <c r="U1448" s="1" t="n">
        <v>9894.38</v>
      </c>
      <c r="V1448" s="1" t="n">
        <v>58.29</v>
      </c>
      <c r="W1448" s="1" t="s">
        <v>39</v>
      </c>
      <c r="X1448" s="1" t="n">
        <v>3.7</v>
      </c>
      <c r="Y1448" s="1" t="s">
        <v>40</v>
      </c>
      <c r="Z1448" s="1" t="n">
        <v>0</v>
      </c>
    </row>
    <row r="1449" customFormat="false" ht="15" hidden="false" customHeight="true" outlineLevel="0" collapsed="false">
      <c r="A1449" s="1" t="s">
        <v>2248</v>
      </c>
      <c r="B1449" s="1" t="s">
        <v>594</v>
      </c>
      <c r="C1449" s="1" t="s">
        <v>249</v>
      </c>
      <c r="D1449" s="1" t="s">
        <v>123</v>
      </c>
      <c r="E1449" s="1" t="s">
        <v>233</v>
      </c>
      <c r="F1449" s="1" t="s">
        <v>31</v>
      </c>
      <c r="G1449" s="1" t="s">
        <v>32</v>
      </c>
      <c r="H1449" s="1" t="s">
        <v>33</v>
      </c>
      <c r="I1449" s="1" t="s">
        <v>34</v>
      </c>
      <c r="J1449" s="1" t="s">
        <v>131</v>
      </c>
      <c r="K1449" s="1" t="s">
        <v>90</v>
      </c>
      <c r="L1449" s="1" t="s">
        <v>49</v>
      </c>
      <c r="M1449" s="1" t="s">
        <v>62</v>
      </c>
      <c r="N1449" s="1" t="n">
        <v>8999</v>
      </c>
      <c r="O1449" s="1" t="n">
        <v>0</v>
      </c>
      <c r="P1449" s="1" t="n">
        <v>0</v>
      </c>
      <c r="Q1449" s="1" t="n">
        <v>8999</v>
      </c>
      <c r="R1449" s="1" t="n">
        <v>1619.82</v>
      </c>
      <c r="S1449" s="1" t="n">
        <v>7379.18</v>
      </c>
      <c r="T1449" s="1" t="n">
        <v>3599.93</v>
      </c>
      <c r="U1449" s="1" t="n">
        <v>3779.25</v>
      </c>
      <c r="V1449" s="1" t="n">
        <v>51.22</v>
      </c>
      <c r="W1449" s="1" t="s">
        <v>40</v>
      </c>
      <c r="Y1449" s="1" t="s">
        <v>39</v>
      </c>
      <c r="Z1449" s="1" t="n">
        <v>2</v>
      </c>
    </row>
    <row r="1450" customFormat="false" ht="15" hidden="false" customHeight="true" outlineLevel="0" collapsed="false">
      <c r="A1450" s="1" t="s">
        <v>2249</v>
      </c>
      <c r="B1450" s="1" t="s">
        <v>401</v>
      </c>
      <c r="C1450" s="1" t="s">
        <v>100</v>
      </c>
      <c r="D1450" s="1" t="s">
        <v>94</v>
      </c>
      <c r="E1450" s="1" t="s">
        <v>101</v>
      </c>
      <c r="F1450" s="1" t="s">
        <v>46</v>
      </c>
      <c r="G1450" s="1" t="s">
        <v>47</v>
      </c>
      <c r="H1450" s="1" t="s">
        <v>33</v>
      </c>
      <c r="I1450" s="1" t="s">
        <v>34</v>
      </c>
      <c r="J1450" s="1" t="s">
        <v>77</v>
      </c>
      <c r="K1450" s="1" t="s">
        <v>36</v>
      </c>
      <c r="L1450" s="1" t="s">
        <v>61</v>
      </c>
      <c r="M1450" s="1" t="s">
        <v>50</v>
      </c>
      <c r="N1450" s="1" t="n">
        <v>14999</v>
      </c>
      <c r="O1450" s="1" t="n">
        <v>0</v>
      </c>
      <c r="P1450" s="1" t="n">
        <v>0</v>
      </c>
      <c r="Q1450" s="1" t="n">
        <v>14999</v>
      </c>
      <c r="R1450" s="1" t="n">
        <v>2699.82</v>
      </c>
      <c r="S1450" s="1" t="n">
        <v>12299.18</v>
      </c>
      <c r="T1450" s="1" t="n">
        <v>5722.56</v>
      </c>
      <c r="U1450" s="1" t="n">
        <v>6576.62</v>
      </c>
      <c r="V1450" s="1" t="n">
        <v>53.47</v>
      </c>
      <c r="W1450" s="1" t="s">
        <v>39</v>
      </c>
      <c r="X1450" s="1" t="n">
        <v>3.9</v>
      </c>
      <c r="Y1450" s="1" t="s">
        <v>40</v>
      </c>
      <c r="Z1450" s="1" t="n">
        <v>0</v>
      </c>
    </row>
    <row r="1451" customFormat="false" ht="15" hidden="false" customHeight="true" outlineLevel="0" collapsed="false">
      <c r="A1451" s="1" t="s">
        <v>2250</v>
      </c>
      <c r="B1451" s="1" t="s">
        <v>404</v>
      </c>
      <c r="C1451" s="1" t="s">
        <v>100</v>
      </c>
      <c r="D1451" s="1" t="s">
        <v>143</v>
      </c>
      <c r="E1451" s="1" t="s">
        <v>159</v>
      </c>
      <c r="F1451" s="1" t="s">
        <v>211</v>
      </c>
      <c r="G1451" s="1" t="s">
        <v>56</v>
      </c>
      <c r="H1451" s="1" t="s">
        <v>69</v>
      </c>
      <c r="I1451" s="1" t="s">
        <v>83</v>
      </c>
      <c r="J1451" s="1" t="s">
        <v>35</v>
      </c>
      <c r="K1451" s="1" t="s">
        <v>71</v>
      </c>
      <c r="L1451" s="1" t="s">
        <v>49</v>
      </c>
      <c r="M1451" s="1" t="s">
        <v>38</v>
      </c>
      <c r="N1451" s="1" t="n">
        <v>24999</v>
      </c>
      <c r="O1451" s="1" t="n">
        <v>50</v>
      </c>
      <c r="P1451" s="1" t="n">
        <v>12499.5</v>
      </c>
      <c r="Q1451" s="1" t="n">
        <v>12499.5</v>
      </c>
      <c r="R1451" s="1" t="n">
        <v>2249.91</v>
      </c>
      <c r="S1451" s="1" t="n">
        <v>10249.59</v>
      </c>
      <c r="T1451" s="1" t="n">
        <v>5303.31</v>
      </c>
      <c r="U1451" s="1" t="n">
        <v>4946.28</v>
      </c>
      <c r="V1451" s="1" t="n">
        <v>48.26</v>
      </c>
      <c r="W1451" s="1" t="s">
        <v>40</v>
      </c>
      <c r="Y1451" s="1" t="s">
        <v>40</v>
      </c>
      <c r="Z1451" s="1" t="n">
        <v>0</v>
      </c>
    </row>
    <row r="1452" customFormat="false" ht="15" hidden="false" customHeight="true" outlineLevel="0" collapsed="false">
      <c r="A1452" s="1" t="s">
        <v>2251</v>
      </c>
      <c r="B1452" s="1" t="s">
        <v>1510</v>
      </c>
      <c r="C1452" s="1" t="s">
        <v>178</v>
      </c>
      <c r="D1452" s="1" t="s">
        <v>44</v>
      </c>
      <c r="E1452" s="1" t="s">
        <v>66</v>
      </c>
      <c r="F1452" s="1" t="s">
        <v>194</v>
      </c>
      <c r="G1452" s="1" t="s">
        <v>103</v>
      </c>
      <c r="H1452" s="1" t="s">
        <v>69</v>
      </c>
      <c r="I1452" s="1" t="s">
        <v>58</v>
      </c>
      <c r="J1452" s="1" t="s">
        <v>77</v>
      </c>
      <c r="K1452" s="1" t="s">
        <v>36</v>
      </c>
      <c r="L1452" s="1" t="s">
        <v>136</v>
      </c>
      <c r="M1452" s="1" t="s">
        <v>38</v>
      </c>
      <c r="N1452" s="1" t="n">
        <v>12999</v>
      </c>
      <c r="O1452" s="1" t="n">
        <v>0</v>
      </c>
      <c r="P1452" s="1" t="n">
        <v>0</v>
      </c>
      <c r="Q1452" s="1" t="n">
        <v>12999</v>
      </c>
      <c r="R1452" s="1" t="n">
        <v>2339.82</v>
      </c>
      <c r="S1452" s="1" t="n">
        <v>10659.18</v>
      </c>
      <c r="T1452" s="1" t="n">
        <v>3065</v>
      </c>
      <c r="U1452" s="1" t="n">
        <v>7594.18</v>
      </c>
      <c r="V1452" s="1" t="n">
        <v>71.25</v>
      </c>
      <c r="W1452" s="1" t="s">
        <v>39</v>
      </c>
      <c r="X1452" s="1" t="n">
        <v>3.7</v>
      </c>
      <c r="Y1452" s="1" t="s">
        <v>40</v>
      </c>
      <c r="Z1452" s="1" t="n">
        <v>0</v>
      </c>
    </row>
    <row r="1453" customFormat="false" ht="15" hidden="false" customHeight="true" outlineLevel="0" collapsed="false">
      <c r="A1453" s="1" t="s">
        <v>2252</v>
      </c>
      <c r="B1453" s="1" t="s">
        <v>1029</v>
      </c>
      <c r="C1453" s="1" t="s">
        <v>134</v>
      </c>
      <c r="D1453" s="1" t="s">
        <v>80</v>
      </c>
      <c r="E1453" s="1" t="s">
        <v>81</v>
      </c>
      <c r="F1453" s="1" t="s">
        <v>107</v>
      </c>
      <c r="G1453" s="1" t="s">
        <v>108</v>
      </c>
      <c r="H1453" s="1" t="s">
        <v>33</v>
      </c>
      <c r="I1453" s="1" t="s">
        <v>34</v>
      </c>
      <c r="J1453" s="1" t="s">
        <v>35</v>
      </c>
      <c r="K1453" s="1" t="s">
        <v>104</v>
      </c>
      <c r="L1453" s="1" t="s">
        <v>136</v>
      </c>
      <c r="M1453" s="1" t="s">
        <v>62</v>
      </c>
      <c r="N1453" s="1" t="n">
        <v>12999</v>
      </c>
      <c r="O1453" s="1" t="n">
        <v>20</v>
      </c>
      <c r="P1453" s="1" t="n">
        <v>2599.8</v>
      </c>
      <c r="Q1453" s="1" t="n">
        <v>10399.2</v>
      </c>
      <c r="R1453" s="1" t="n">
        <v>1871.86</v>
      </c>
      <c r="S1453" s="1" t="n">
        <v>8527.34</v>
      </c>
      <c r="T1453" s="1" t="n">
        <v>4284.55</v>
      </c>
      <c r="U1453" s="1" t="n">
        <v>4242.79</v>
      </c>
      <c r="V1453" s="1" t="n">
        <v>49.76</v>
      </c>
      <c r="W1453" s="1" t="s">
        <v>39</v>
      </c>
      <c r="X1453" s="1" t="n">
        <v>3.7</v>
      </c>
      <c r="Y1453" s="1" t="s">
        <v>40</v>
      </c>
      <c r="Z1453" s="1" t="n">
        <v>2</v>
      </c>
    </row>
    <row r="1454" customFormat="false" ht="15" hidden="false" customHeight="true" outlineLevel="0" collapsed="false">
      <c r="A1454" s="1" t="s">
        <v>2253</v>
      </c>
      <c r="B1454" s="1" t="s">
        <v>1458</v>
      </c>
      <c r="C1454" s="1" t="s">
        <v>178</v>
      </c>
      <c r="D1454" s="1" t="s">
        <v>80</v>
      </c>
      <c r="E1454" s="1" t="s">
        <v>190</v>
      </c>
      <c r="F1454" s="1" t="s">
        <v>102</v>
      </c>
      <c r="G1454" s="1" t="s">
        <v>103</v>
      </c>
      <c r="H1454" s="1" t="s">
        <v>33</v>
      </c>
      <c r="I1454" s="1" t="s">
        <v>83</v>
      </c>
      <c r="J1454" s="1" t="s">
        <v>77</v>
      </c>
      <c r="K1454" s="1" t="s">
        <v>71</v>
      </c>
      <c r="L1454" s="1" t="s">
        <v>113</v>
      </c>
      <c r="M1454" s="1" t="s">
        <v>50</v>
      </c>
      <c r="N1454" s="1" t="n">
        <v>15999</v>
      </c>
      <c r="O1454" s="1" t="n">
        <v>0</v>
      </c>
      <c r="P1454" s="1" t="n">
        <v>0</v>
      </c>
      <c r="Q1454" s="1" t="n">
        <v>15999</v>
      </c>
      <c r="R1454" s="1" t="n">
        <v>2879.82</v>
      </c>
      <c r="S1454" s="1" t="n">
        <v>13119.18</v>
      </c>
      <c r="T1454" s="1" t="n">
        <v>5688.68</v>
      </c>
      <c r="U1454" s="1" t="n">
        <v>7430.5</v>
      </c>
      <c r="V1454" s="1" t="n">
        <v>56.64</v>
      </c>
      <c r="W1454" s="1" t="s">
        <v>39</v>
      </c>
      <c r="X1454" s="1" t="n">
        <v>4.4</v>
      </c>
      <c r="Y1454" s="1" t="s">
        <v>40</v>
      </c>
      <c r="Z1454" s="1" t="n">
        <v>0</v>
      </c>
    </row>
    <row r="1455" customFormat="false" ht="15" hidden="false" customHeight="true" outlineLevel="0" collapsed="false">
      <c r="A1455" s="1" t="s">
        <v>2254</v>
      </c>
      <c r="B1455" s="1" t="s">
        <v>1486</v>
      </c>
      <c r="C1455" s="1" t="s">
        <v>43</v>
      </c>
      <c r="D1455" s="1" t="s">
        <v>80</v>
      </c>
      <c r="E1455" s="1" t="s">
        <v>81</v>
      </c>
      <c r="F1455" s="1" t="s">
        <v>102</v>
      </c>
      <c r="G1455" s="1" t="s">
        <v>103</v>
      </c>
      <c r="H1455" s="1" t="s">
        <v>33</v>
      </c>
      <c r="I1455" s="1" t="s">
        <v>34</v>
      </c>
      <c r="J1455" s="1" t="s">
        <v>59</v>
      </c>
      <c r="K1455" s="1" t="s">
        <v>48</v>
      </c>
      <c r="L1455" s="1" t="s">
        <v>37</v>
      </c>
      <c r="M1455" s="1" t="s">
        <v>38</v>
      </c>
      <c r="N1455" s="1" t="n">
        <v>12999</v>
      </c>
      <c r="O1455" s="1" t="n">
        <v>40</v>
      </c>
      <c r="P1455" s="1" t="n">
        <v>5199.6</v>
      </c>
      <c r="Q1455" s="1" t="n">
        <v>7799.4</v>
      </c>
      <c r="R1455" s="1" t="n">
        <v>1403.89</v>
      </c>
      <c r="S1455" s="1" t="n">
        <v>6395.51</v>
      </c>
      <c r="T1455" s="1" t="n">
        <v>3379.45</v>
      </c>
      <c r="U1455" s="1" t="n">
        <v>3016.06</v>
      </c>
      <c r="V1455" s="1" t="n">
        <v>47.16</v>
      </c>
      <c r="W1455" s="1" t="s">
        <v>39</v>
      </c>
      <c r="X1455" s="1" t="n">
        <v>3.6</v>
      </c>
      <c r="Y1455" s="1" t="s">
        <v>40</v>
      </c>
      <c r="Z1455" s="1" t="n">
        <v>0</v>
      </c>
    </row>
    <row r="1456" customFormat="false" ht="15" hidden="false" customHeight="true" outlineLevel="0" collapsed="false">
      <c r="A1456" s="1" t="s">
        <v>2255</v>
      </c>
      <c r="B1456" s="1" t="s">
        <v>805</v>
      </c>
      <c r="C1456" s="1" t="s">
        <v>139</v>
      </c>
      <c r="D1456" s="1" t="s">
        <v>44</v>
      </c>
      <c r="E1456" s="1" t="s">
        <v>45</v>
      </c>
      <c r="F1456" s="1" t="s">
        <v>1075</v>
      </c>
      <c r="G1456" s="1" t="s">
        <v>76</v>
      </c>
      <c r="H1456" s="1" t="s">
        <v>69</v>
      </c>
      <c r="I1456" s="1" t="s">
        <v>34</v>
      </c>
      <c r="J1456" s="1" t="s">
        <v>77</v>
      </c>
      <c r="K1456" s="1" t="s">
        <v>104</v>
      </c>
      <c r="L1456" s="1" t="s">
        <v>61</v>
      </c>
      <c r="M1456" s="1" t="s">
        <v>50</v>
      </c>
      <c r="N1456" s="1" t="n">
        <v>11999</v>
      </c>
      <c r="O1456" s="1" t="n">
        <v>0</v>
      </c>
      <c r="P1456" s="1" t="n">
        <v>0</v>
      </c>
      <c r="Q1456" s="1" t="n">
        <v>11999</v>
      </c>
      <c r="R1456" s="1" t="n">
        <v>2159.82</v>
      </c>
      <c r="S1456" s="1" t="n">
        <v>9839.18</v>
      </c>
      <c r="T1456" s="1" t="n">
        <v>4091.85</v>
      </c>
      <c r="U1456" s="1" t="n">
        <v>5747.33</v>
      </c>
      <c r="V1456" s="1" t="n">
        <v>58.41</v>
      </c>
      <c r="W1456" s="1" t="s">
        <v>40</v>
      </c>
      <c r="Y1456" s="1" t="s">
        <v>40</v>
      </c>
      <c r="Z1456" s="1" t="n">
        <v>0</v>
      </c>
    </row>
    <row r="1457" customFormat="false" ht="15" hidden="false" customHeight="true" outlineLevel="0" collapsed="false">
      <c r="A1457" s="1" t="s">
        <v>2256</v>
      </c>
      <c r="B1457" s="1" t="s">
        <v>1219</v>
      </c>
      <c r="C1457" s="1" t="s">
        <v>88</v>
      </c>
      <c r="D1457" s="1" t="s">
        <v>94</v>
      </c>
      <c r="E1457" s="1" t="s">
        <v>101</v>
      </c>
      <c r="F1457" s="1" t="s">
        <v>120</v>
      </c>
      <c r="G1457" s="1" t="s">
        <v>47</v>
      </c>
      <c r="H1457" s="1" t="s">
        <v>57</v>
      </c>
      <c r="I1457" s="1" t="s">
        <v>34</v>
      </c>
      <c r="J1457" s="1" t="s">
        <v>35</v>
      </c>
      <c r="K1457" s="1" t="s">
        <v>71</v>
      </c>
      <c r="L1457" s="1" t="s">
        <v>61</v>
      </c>
      <c r="M1457" s="1" t="s">
        <v>50</v>
      </c>
      <c r="N1457" s="1" t="n">
        <v>14999</v>
      </c>
      <c r="O1457" s="1" t="n">
        <v>20</v>
      </c>
      <c r="P1457" s="1" t="n">
        <v>2999.8</v>
      </c>
      <c r="Q1457" s="1" t="n">
        <v>11999.2</v>
      </c>
      <c r="R1457" s="1" t="n">
        <v>2159.86</v>
      </c>
      <c r="S1457" s="1" t="n">
        <v>9839.34</v>
      </c>
      <c r="T1457" s="1" t="n">
        <v>4355.29</v>
      </c>
      <c r="U1457" s="1" t="n">
        <v>5484.05</v>
      </c>
      <c r="V1457" s="1" t="n">
        <v>55.74</v>
      </c>
      <c r="W1457" s="1" t="s">
        <v>40</v>
      </c>
      <c r="Y1457" s="1" t="s">
        <v>40</v>
      </c>
      <c r="Z1457" s="1" t="n">
        <v>2</v>
      </c>
    </row>
    <row r="1458" customFormat="false" ht="15" hidden="false" customHeight="true" outlineLevel="0" collapsed="false">
      <c r="A1458" s="1" t="s">
        <v>2257</v>
      </c>
      <c r="B1458" s="1" t="s">
        <v>1448</v>
      </c>
      <c r="C1458" s="1" t="s">
        <v>139</v>
      </c>
      <c r="D1458" s="1" t="s">
        <v>29</v>
      </c>
      <c r="E1458" s="1" t="s">
        <v>182</v>
      </c>
      <c r="F1458" s="1" t="s">
        <v>156</v>
      </c>
      <c r="G1458" s="1" t="s">
        <v>68</v>
      </c>
      <c r="H1458" s="1" t="s">
        <v>57</v>
      </c>
      <c r="I1458" s="1" t="s">
        <v>83</v>
      </c>
      <c r="J1458" s="1" t="s">
        <v>77</v>
      </c>
      <c r="K1458" s="1" t="s">
        <v>90</v>
      </c>
      <c r="L1458" s="1" t="s">
        <v>85</v>
      </c>
      <c r="M1458" s="1" t="s">
        <v>50</v>
      </c>
      <c r="N1458" s="1" t="n">
        <v>34999</v>
      </c>
      <c r="O1458" s="1" t="n">
        <v>15</v>
      </c>
      <c r="P1458" s="1" t="n">
        <v>5249.85</v>
      </c>
      <c r="Q1458" s="1" t="n">
        <v>29749.15</v>
      </c>
      <c r="R1458" s="1" t="n">
        <v>5354.85</v>
      </c>
      <c r="S1458" s="1" t="n">
        <v>24394.3</v>
      </c>
      <c r="T1458" s="1" t="n">
        <v>11723.83</v>
      </c>
      <c r="U1458" s="1" t="n">
        <v>12670.47</v>
      </c>
      <c r="V1458" s="1" t="n">
        <v>51.94</v>
      </c>
      <c r="W1458" s="1" t="s">
        <v>39</v>
      </c>
      <c r="X1458" s="1" t="n">
        <v>3.8</v>
      </c>
      <c r="Y1458" s="1" t="s">
        <v>40</v>
      </c>
      <c r="Z1458" s="1" t="n">
        <v>0</v>
      </c>
    </row>
    <row r="1459" customFormat="false" ht="15" hidden="false" customHeight="true" outlineLevel="0" collapsed="false">
      <c r="A1459" s="1" t="s">
        <v>2258</v>
      </c>
      <c r="B1459" s="1" t="s">
        <v>2259</v>
      </c>
      <c r="C1459" s="1" t="s">
        <v>134</v>
      </c>
      <c r="D1459" s="1" t="s">
        <v>123</v>
      </c>
      <c r="E1459" s="1" t="s">
        <v>124</v>
      </c>
      <c r="F1459" s="1" t="s">
        <v>120</v>
      </c>
      <c r="G1459" s="1" t="s">
        <v>47</v>
      </c>
      <c r="H1459" s="1" t="s">
        <v>57</v>
      </c>
      <c r="I1459" s="1" t="s">
        <v>58</v>
      </c>
      <c r="J1459" s="1" t="s">
        <v>35</v>
      </c>
      <c r="K1459" s="1" t="s">
        <v>36</v>
      </c>
      <c r="L1459" s="1" t="s">
        <v>49</v>
      </c>
      <c r="M1459" s="1" t="s">
        <v>38</v>
      </c>
      <c r="N1459" s="1" t="n">
        <v>4999</v>
      </c>
      <c r="O1459" s="1" t="n">
        <v>0</v>
      </c>
      <c r="P1459" s="1" t="n">
        <v>0</v>
      </c>
      <c r="Q1459" s="1" t="n">
        <v>4999</v>
      </c>
      <c r="R1459" s="1" t="n">
        <v>899.82</v>
      </c>
      <c r="S1459" s="1" t="n">
        <v>4099.18</v>
      </c>
      <c r="T1459" s="1" t="n">
        <v>1490.94</v>
      </c>
      <c r="U1459" s="1" t="n">
        <v>2608.24</v>
      </c>
      <c r="V1459" s="1" t="n">
        <v>63.63</v>
      </c>
      <c r="W1459" s="1" t="s">
        <v>39</v>
      </c>
      <c r="X1459" s="1" t="n">
        <v>3.3</v>
      </c>
      <c r="Y1459" s="1" t="s">
        <v>40</v>
      </c>
      <c r="Z1459" s="1" t="n">
        <v>1</v>
      </c>
    </row>
    <row r="1460" customFormat="false" ht="15" hidden="false" customHeight="true" outlineLevel="0" collapsed="false">
      <c r="A1460" s="1" t="s">
        <v>2260</v>
      </c>
      <c r="B1460" s="1" t="s">
        <v>1036</v>
      </c>
      <c r="C1460" s="1" t="s">
        <v>167</v>
      </c>
      <c r="D1460" s="1" t="s">
        <v>143</v>
      </c>
      <c r="E1460" s="1" t="s">
        <v>210</v>
      </c>
      <c r="F1460" s="1" t="s">
        <v>120</v>
      </c>
      <c r="G1460" s="1" t="s">
        <v>47</v>
      </c>
      <c r="H1460" s="1" t="s">
        <v>57</v>
      </c>
      <c r="I1460" s="1" t="s">
        <v>34</v>
      </c>
      <c r="J1460" s="1" t="s">
        <v>131</v>
      </c>
      <c r="K1460" s="1" t="s">
        <v>60</v>
      </c>
      <c r="L1460" s="1" t="s">
        <v>85</v>
      </c>
      <c r="M1460" s="1" t="s">
        <v>62</v>
      </c>
      <c r="N1460" s="1" t="n">
        <v>18999</v>
      </c>
      <c r="O1460" s="1" t="n">
        <v>25</v>
      </c>
      <c r="P1460" s="1" t="n">
        <v>4749.75</v>
      </c>
      <c r="Q1460" s="1" t="n">
        <v>14249.25</v>
      </c>
      <c r="R1460" s="1" t="n">
        <v>2564.86</v>
      </c>
      <c r="S1460" s="1" t="n">
        <v>11684.39</v>
      </c>
      <c r="T1460" s="1" t="n">
        <v>5090.89</v>
      </c>
      <c r="U1460" s="1" t="n">
        <v>6593.5</v>
      </c>
      <c r="V1460" s="1" t="n">
        <v>56.43</v>
      </c>
      <c r="W1460" s="1" t="s">
        <v>39</v>
      </c>
      <c r="X1460" s="1" t="n">
        <v>4.3</v>
      </c>
      <c r="Y1460" s="1" t="s">
        <v>40</v>
      </c>
      <c r="Z1460" s="1" t="n">
        <v>0</v>
      </c>
    </row>
    <row r="1461" customFormat="false" ht="15" hidden="false" customHeight="true" outlineLevel="0" collapsed="false">
      <c r="A1461" s="1" t="s">
        <v>2261</v>
      </c>
      <c r="B1461" s="1" t="s">
        <v>1339</v>
      </c>
      <c r="C1461" s="1" t="s">
        <v>119</v>
      </c>
      <c r="D1461" s="1" t="s">
        <v>94</v>
      </c>
      <c r="E1461" s="1" t="s">
        <v>95</v>
      </c>
      <c r="F1461" s="1" t="s">
        <v>46</v>
      </c>
      <c r="G1461" s="1" t="s">
        <v>47</v>
      </c>
      <c r="H1461" s="1" t="s">
        <v>33</v>
      </c>
      <c r="I1461" s="1" t="s">
        <v>34</v>
      </c>
      <c r="J1461" s="1" t="s">
        <v>131</v>
      </c>
      <c r="K1461" s="1" t="s">
        <v>84</v>
      </c>
      <c r="L1461" s="1" t="s">
        <v>61</v>
      </c>
      <c r="M1461" s="1" t="s">
        <v>38</v>
      </c>
      <c r="N1461" s="1" t="n">
        <v>6999</v>
      </c>
      <c r="O1461" s="1" t="n">
        <v>10</v>
      </c>
      <c r="P1461" s="1" t="n">
        <v>699.9</v>
      </c>
      <c r="Q1461" s="1" t="n">
        <v>6299.1</v>
      </c>
      <c r="R1461" s="1" t="n">
        <v>1133.84</v>
      </c>
      <c r="S1461" s="1" t="n">
        <v>5165.26</v>
      </c>
      <c r="T1461" s="1" t="n">
        <v>2140.97</v>
      </c>
      <c r="U1461" s="1" t="n">
        <v>3024.29</v>
      </c>
      <c r="V1461" s="1" t="n">
        <v>58.55</v>
      </c>
      <c r="W1461" s="1" t="s">
        <v>40</v>
      </c>
      <c r="Y1461" s="1" t="s">
        <v>40</v>
      </c>
      <c r="Z1461" s="1" t="n">
        <v>0</v>
      </c>
    </row>
    <row r="1462" customFormat="false" ht="15" hidden="false" customHeight="true" outlineLevel="0" collapsed="false">
      <c r="A1462" s="1" t="s">
        <v>2262</v>
      </c>
      <c r="B1462" s="1" t="s">
        <v>1200</v>
      </c>
      <c r="C1462" s="1" t="s">
        <v>100</v>
      </c>
      <c r="D1462" s="1" t="s">
        <v>80</v>
      </c>
      <c r="E1462" s="1" t="s">
        <v>81</v>
      </c>
      <c r="F1462" s="1" t="s">
        <v>82</v>
      </c>
      <c r="G1462" s="1" t="s">
        <v>56</v>
      </c>
      <c r="H1462" s="1" t="s">
        <v>69</v>
      </c>
      <c r="I1462" s="1" t="s">
        <v>83</v>
      </c>
      <c r="J1462" s="1" t="s">
        <v>77</v>
      </c>
      <c r="K1462" s="1" t="s">
        <v>84</v>
      </c>
      <c r="L1462" s="1" t="s">
        <v>85</v>
      </c>
      <c r="M1462" s="1" t="s">
        <v>62</v>
      </c>
      <c r="N1462" s="1" t="n">
        <v>12999</v>
      </c>
      <c r="O1462" s="1" t="n">
        <v>20</v>
      </c>
      <c r="P1462" s="1" t="n">
        <v>2599.8</v>
      </c>
      <c r="Q1462" s="1" t="n">
        <v>10399.2</v>
      </c>
      <c r="R1462" s="1" t="n">
        <v>1871.86</v>
      </c>
      <c r="S1462" s="1" t="n">
        <v>8527.34</v>
      </c>
      <c r="T1462" s="1" t="n">
        <v>2589.04</v>
      </c>
      <c r="U1462" s="1" t="n">
        <v>5938.3</v>
      </c>
      <c r="V1462" s="1" t="n">
        <v>69.64</v>
      </c>
      <c r="W1462" s="1" t="s">
        <v>40</v>
      </c>
      <c r="Y1462" s="1" t="s">
        <v>40</v>
      </c>
      <c r="Z1462" s="1" t="n">
        <v>1</v>
      </c>
    </row>
    <row r="1463" customFormat="false" ht="15" hidden="false" customHeight="true" outlineLevel="0" collapsed="false">
      <c r="A1463" s="1" t="s">
        <v>2263</v>
      </c>
      <c r="B1463" s="1" t="s">
        <v>1858</v>
      </c>
      <c r="C1463" s="1" t="s">
        <v>100</v>
      </c>
      <c r="D1463" s="1" t="s">
        <v>94</v>
      </c>
      <c r="E1463" s="1" t="s">
        <v>101</v>
      </c>
      <c r="F1463" s="1" t="s">
        <v>153</v>
      </c>
      <c r="G1463" s="1" t="s">
        <v>76</v>
      </c>
      <c r="H1463" s="1" t="s">
        <v>33</v>
      </c>
      <c r="I1463" s="1" t="s">
        <v>83</v>
      </c>
      <c r="J1463" s="1" t="s">
        <v>77</v>
      </c>
      <c r="K1463" s="1" t="s">
        <v>36</v>
      </c>
      <c r="L1463" s="1" t="s">
        <v>85</v>
      </c>
      <c r="M1463" s="1" t="s">
        <v>50</v>
      </c>
      <c r="N1463" s="1" t="n">
        <v>14999</v>
      </c>
      <c r="O1463" s="1" t="n">
        <v>15</v>
      </c>
      <c r="P1463" s="1" t="n">
        <v>2249.85</v>
      </c>
      <c r="Q1463" s="1" t="n">
        <v>12749.15</v>
      </c>
      <c r="R1463" s="1" t="n">
        <v>2294.85</v>
      </c>
      <c r="S1463" s="1" t="n">
        <v>10454.3</v>
      </c>
      <c r="T1463" s="1" t="n">
        <v>5007.05</v>
      </c>
      <c r="U1463" s="1" t="n">
        <v>5447.25</v>
      </c>
      <c r="V1463" s="1" t="n">
        <v>52.11</v>
      </c>
      <c r="W1463" s="1" t="s">
        <v>39</v>
      </c>
      <c r="X1463" s="1" t="n">
        <v>4.5</v>
      </c>
      <c r="Y1463" s="1" t="s">
        <v>40</v>
      </c>
      <c r="Z1463" s="1" t="n">
        <v>0</v>
      </c>
    </row>
    <row r="1464" customFormat="false" ht="15" hidden="false" customHeight="true" outlineLevel="0" collapsed="false">
      <c r="A1464" s="1" t="s">
        <v>2264</v>
      </c>
      <c r="B1464" s="1" t="s">
        <v>2265</v>
      </c>
      <c r="C1464" s="1" t="s">
        <v>119</v>
      </c>
      <c r="D1464" s="1" t="s">
        <v>94</v>
      </c>
      <c r="E1464" s="1" t="s">
        <v>135</v>
      </c>
      <c r="F1464" s="1" t="s">
        <v>107</v>
      </c>
      <c r="G1464" s="1" t="s">
        <v>108</v>
      </c>
      <c r="H1464" s="1" t="s">
        <v>33</v>
      </c>
      <c r="I1464" s="1" t="s">
        <v>83</v>
      </c>
      <c r="J1464" s="1" t="s">
        <v>35</v>
      </c>
      <c r="K1464" s="1" t="s">
        <v>104</v>
      </c>
      <c r="L1464" s="1" t="s">
        <v>37</v>
      </c>
      <c r="M1464" s="1" t="s">
        <v>62</v>
      </c>
      <c r="N1464" s="1" t="n">
        <v>9999</v>
      </c>
      <c r="O1464" s="1" t="n">
        <v>25</v>
      </c>
      <c r="P1464" s="1" t="n">
        <v>2499.75</v>
      </c>
      <c r="Q1464" s="1" t="n">
        <v>7499.25</v>
      </c>
      <c r="R1464" s="1" t="n">
        <v>1349.87</v>
      </c>
      <c r="S1464" s="1" t="n">
        <v>6149.38</v>
      </c>
      <c r="T1464" s="1" t="n">
        <v>3314.77</v>
      </c>
      <c r="U1464" s="1" t="n">
        <v>2834.61</v>
      </c>
      <c r="V1464" s="1" t="n">
        <v>46.1</v>
      </c>
      <c r="W1464" s="1" t="s">
        <v>39</v>
      </c>
      <c r="X1464" s="1" t="n">
        <v>2.9</v>
      </c>
      <c r="Y1464" s="1" t="s">
        <v>40</v>
      </c>
      <c r="Z1464" s="1" t="n">
        <v>1</v>
      </c>
    </row>
    <row r="1465" customFormat="false" ht="15" hidden="false" customHeight="true" outlineLevel="0" collapsed="false">
      <c r="A1465" s="1" t="s">
        <v>2266</v>
      </c>
      <c r="B1465" s="1" t="s">
        <v>2267</v>
      </c>
      <c r="C1465" s="1" t="s">
        <v>119</v>
      </c>
      <c r="D1465" s="1" t="s">
        <v>53</v>
      </c>
      <c r="E1465" s="1" t="s">
        <v>216</v>
      </c>
      <c r="F1465" s="1" t="s">
        <v>244</v>
      </c>
      <c r="G1465" s="1" t="s">
        <v>97</v>
      </c>
      <c r="H1465" s="1" t="s">
        <v>57</v>
      </c>
      <c r="I1465" s="1" t="s">
        <v>58</v>
      </c>
      <c r="J1465" s="1" t="s">
        <v>131</v>
      </c>
      <c r="K1465" s="1" t="s">
        <v>104</v>
      </c>
      <c r="L1465" s="1" t="s">
        <v>85</v>
      </c>
      <c r="M1465" s="1" t="s">
        <v>50</v>
      </c>
      <c r="N1465" s="1" t="n">
        <v>7499</v>
      </c>
      <c r="O1465" s="1" t="n">
        <v>0</v>
      </c>
      <c r="P1465" s="1" t="n">
        <v>0</v>
      </c>
      <c r="Q1465" s="1" t="n">
        <v>7499</v>
      </c>
      <c r="R1465" s="1" t="n">
        <v>1349.82</v>
      </c>
      <c r="S1465" s="1" t="n">
        <v>6149.18</v>
      </c>
      <c r="T1465" s="1" t="n">
        <v>2697.7</v>
      </c>
      <c r="U1465" s="1" t="n">
        <v>3451.48</v>
      </c>
      <c r="V1465" s="1" t="n">
        <v>56.13</v>
      </c>
      <c r="W1465" s="1" t="s">
        <v>39</v>
      </c>
      <c r="X1465" s="1" t="n">
        <v>4.6</v>
      </c>
      <c r="Y1465" s="1" t="s">
        <v>40</v>
      </c>
      <c r="Z1465" s="1" t="n">
        <v>0</v>
      </c>
    </row>
    <row r="1466" customFormat="false" ht="15" hidden="false" customHeight="true" outlineLevel="0" collapsed="false">
      <c r="A1466" s="1" t="s">
        <v>2268</v>
      </c>
      <c r="B1466" s="1" t="s">
        <v>428</v>
      </c>
      <c r="C1466" s="1" t="s">
        <v>204</v>
      </c>
      <c r="D1466" s="1" t="s">
        <v>94</v>
      </c>
      <c r="E1466" s="1" t="s">
        <v>101</v>
      </c>
      <c r="F1466" s="1" t="s">
        <v>125</v>
      </c>
      <c r="G1466" s="1" t="s">
        <v>108</v>
      </c>
      <c r="H1466" s="1" t="s">
        <v>69</v>
      </c>
      <c r="I1466" s="1" t="s">
        <v>34</v>
      </c>
      <c r="J1466" s="1" t="s">
        <v>70</v>
      </c>
      <c r="K1466" s="1" t="s">
        <v>60</v>
      </c>
      <c r="L1466" s="1" t="s">
        <v>37</v>
      </c>
      <c r="M1466" s="1" t="s">
        <v>62</v>
      </c>
      <c r="N1466" s="1" t="n">
        <v>14999</v>
      </c>
      <c r="O1466" s="1" t="n">
        <v>30</v>
      </c>
      <c r="P1466" s="1" t="n">
        <v>4499.7</v>
      </c>
      <c r="Q1466" s="1" t="n">
        <v>10499.3</v>
      </c>
      <c r="R1466" s="1" t="n">
        <v>1889.87</v>
      </c>
      <c r="S1466" s="1" t="n">
        <v>8609.43</v>
      </c>
      <c r="T1466" s="1" t="n">
        <v>3006.95</v>
      </c>
      <c r="U1466" s="1" t="n">
        <v>5602.48</v>
      </c>
      <c r="V1466" s="1" t="n">
        <v>65.07</v>
      </c>
      <c r="W1466" s="1" t="s">
        <v>40</v>
      </c>
      <c r="Y1466" s="1" t="s">
        <v>40</v>
      </c>
      <c r="Z1466" s="1" t="n">
        <v>1</v>
      </c>
    </row>
    <row r="1467" customFormat="false" ht="15" hidden="false" customHeight="true" outlineLevel="0" collapsed="false">
      <c r="A1467" s="1" t="s">
        <v>2269</v>
      </c>
      <c r="B1467" s="1" t="s">
        <v>776</v>
      </c>
      <c r="C1467" s="1" t="s">
        <v>43</v>
      </c>
      <c r="D1467" s="1" t="s">
        <v>168</v>
      </c>
      <c r="E1467" s="1" t="s">
        <v>328</v>
      </c>
      <c r="F1467" s="1" t="s">
        <v>184</v>
      </c>
      <c r="G1467" s="1" t="s">
        <v>56</v>
      </c>
      <c r="H1467" s="1" t="s">
        <v>57</v>
      </c>
      <c r="I1467" s="1" t="s">
        <v>83</v>
      </c>
      <c r="J1467" s="1" t="s">
        <v>70</v>
      </c>
      <c r="K1467" s="1" t="s">
        <v>112</v>
      </c>
      <c r="L1467" s="1" t="s">
        <v>49</v>
      </c>
      <c r="M1467" s="1" t="s">
        <v>62</v>
      </c>
      <c r="N1467" s="1" t="n">
        <v>8999</v>
      </c>
      <c r="O1467" s="1" t="n">
        <v>30</v>
      </c>
      <c r="P1467" s="1" t="n">
        <v>2699.7</v>
      </c>
      <c r="Q1467" s="1" t="n">
        <v>6299.3</v>
      </c>
      <c r="R1467" s="1" t="n">
        <v>1133.87</v>
      </c>
      <c r="S1467" s="1" t="n">
        <v>5165.43</v>
      </c>
      <c r="T1467" s="1" t="n">
        <v>2280.84</v>
      </c>
      <c r="U1467" s="1" t="n">
        <v>2884.59</v>
      </c>
      <c r="V1467" s="1" t="n">
        <v>55.84</v>
      </c>
      <c r="W1467" s="1" t="s">
        <v>40</v>
      </c>
      <c r="Y1467" s="1" t="s">
        <v>40</v>
      </c>
      <c r="Z1467" s="1" t="n">
        <v>0</v>
      </c>
    </row>
    <row r="1468" customFormat="false" ht="15" hidden="false" customHeight="true" outlineLevel="0" collapsed="false">
      <c r="A1468" s="1" t="s">
        <v>2270</v>
      </c>
      <c r="B1468" s="1" t="s">
        <v>1081</v>
      </c>
      <c r="C1468" s="1" t="s">
        <v>28</v>
      </c>
      <c r="D1468" s="1" t="s">
        <v>143</v>
      </c>
      <c r="E1468" s="1" t="s">
        <v>144</v>
      </c>
      <c r="F1468" s="1" t="s">
        <v>269</v>
      </c>
      <c r="G1468" s="1" t="s">
        <v>108</v>
      </c>
      <c r="H1468" s="1" t="s">
        <v>57</v>
      </c>
      <c r="I1468" s="1" t="s">
        <v>83</v>
      </c>
      <c r="J1468" s="1" t="s">
        <v>77</v>
      </c>
      <c r="K1468" s="1" t="s">
        <v>60</v>
      </c>
      <c r="L1468" s="1" t="s">
        <v>61</v>
      </c>
      <c r="M1468" s="1" t="s">
        <v>62</v>
      </c>
      <c r="N1468" s="1" t="n">
        <v>12999</v>
      </c>
      <c r="O1468" s="1" t="n">
        <v>15</v>
      </c>
      <c r="P1468" s="1" t="n">
        <v>1949.85</v>
      </c>
      <c r="Q1468" s="1" t="n">
        <v>11049.15</v>
      </c>
      <c r="R1468" s="1" t="n">
        <v>1988.85</v>
      </c>
      <c r="S1468" s="1" t="n">
        <v>9060.3</v>
      </c>
      <c r="T1468" s="1" t="n">
        <v>4256.06</v>
      </c>
      <c r="U1468" s="1" t="n">
        <v>4804.24</v>
      </c>
      <c r="V1468" s="1" t="n">
        <v>53.03</v>
      </c>
      <c r="W1468" s="1" t="s">
        <v>40</v>
      </c>
      <c r="Y1468" s="1" t="s">
        <v>40</v>
      </c>
      <c r="Z1468" s="1" t="n">
        <v>1</v>
      </c>
    </row>
    <row r="1469" customFormat="false" ht="15" hidden="false" customHeight="true" outlineLevel="0" collapsed="false">
      <c r="A1469" s="1" t="s">
        <v>2271</v>
      </c>
      <c r="B1469" s="1" t="s">
        <v>945</v>
      </c>
      <c r="C1469" s="1" t="s">
        <v>119</v>
      </c>
      <c r="D1469" s="1" t="s">
        <v>53</v>
      </c>
      <c r="E1469" s="1" t="s">
        <v>54</v>
      </c>
      <c r="F1469" s="1" t="s">
        <v>244</v>
      </c>
      <c r="G1469" s="1" t="s">
        <v>97</v>
      </c>
      <c r="H1469" s="1" t="s">
        <v>57</v>
      </c>
      <c r="I1469" s="1" t="s">
        <v>34</v>
      </c>
      <c r="J1469" s="1" t="s">
        <v>70</v>
      </c>
      <c r="K1469" s="1" t="s">
        <v>90</v>
      </c>
      <c r="L1469" s="1" t="s">
        <v>49</v>
      </c>
      <c r="M1469" s="1" t="s">
        <v>62</v>
      </c>
      <c r="N1469" s="1" t="n">
        <v>11999</v>
      </c>
      <c r="O1469" s="1" t="n">
        <v>0</v>
      </c>
      <c r="P1469" s="1" t="n">
        <v>0</v>
      </c>
      <c r="Q1469" s="1" t="n">
        <v>11999</v>
      </c>
      <c r="R1469" s="1" t="n">
        <v>2159.82</v>
      </c>
      <c r="S1469" s="1" t="n">
        <v>9839.18</v>
      </c>
      <c r="T1469" s="1" t="n">
        <v>4835.35</v>
      </c>
      <c r="U1469" s="1" t="n">
        <v>5003.83</v>
      </c>
      <c r="V1469" s="1" t="n">
        <v>50.86</v>
      </c>
      <c r="W1469" s="1" t="s">
        <v>40</v>
      </c>
      <c r="Y1469" s="1" t="s">
        <v>39</v>
      </c>
      <c r="Z1469" s="1" t="n">
        <v>0</v>
      </c>
    </row>
    <row r="1470" customFormat="false" ht="15" hidden="false" customHeight="true" outlineLevel="0" collapsed="false">
      <c r="A1470" s="1" t="s">
        <v>2272</v>
      </c>
      <c r="B1470" s="1" t="s">
        <v>1036</v>
      </c>
      <c r="C1470" s="1" t="s">
        <v>139</v>
      </c>
      <c r="D1470" s="1" t="s">
        <v>123</v>
      </c>
      <c r="E1470" s="1" t="s">
        <v>147</v>
      </c>
      <c r="F1470" s="1" t="s">
        <v>187</v>
      </c>
      <c r="G1470" s="1" t="s">
        <v>97</v>
      </c>
      <c r="H1470" s="1" t="s">
        <v>69</v>
      </c>
      <c r="I1470" s="1" t="s">
        <v>34</v>
      </c>
      <c r="J1470" s="1" t="s">
        <v>35</v>
      </c>
      <c r="K1470" s="1" t="s">
        <v>48</v>
      </c>
      <c r="L1470" s="1" t="s">
        <v>136</v>
      </c>
      <c r="M1470" s="1" t="s">
        <v>62</v>
      </c>
      <c r="N1470" s="1" t="n">
        <v>6999</v>
      </c>
      <c r="O1470" s="1" t="n">
        <v>15</v>
      </c>
      <c r="P1470" s="1" t="n">
        <v>1049.85</v>
      </c>
      <c r="Q1470" s="1" t="n">
        <v>5949.15</v>
      </c>
      <c r="R1470" s="1" t="n">
        <v>1070.85</v>
      </c>
      <c r="S1470" s="1" t="n">
        <v>4878.3</v>
      </c>
      <c r="T1470" s="1" t="n">
        <v>1327.3</v>
      </c>
      <c r="U1470" s="1" t="n">
        <v>3551</v>
      </c>
      <c r="V1470" s="1" t="n">
        <v>72.79</v>
      </c>
      <c r="W1470" s="1" t="s">
        <v>39</v>
      </c>
      <c r="X1470" s="1" t="n">
        <v>3.2</v>
      </c>
      <c r="Y1470" s="1" t="s">
        <v>40</v>
      </c>
      <c r="Z1470" s="1" t="n">
        <v>0</v>
      </c>
    </row>
    <row r="1471" customFormat="false" ht="15" hidden="false" customHeight="true" outlineLevel="0" collapsed="false">
      <c r="A1471" s="1" t="s">
        <v>2273</v>
      </c>
      <c r="B1471" s="1" t="s">
        <v>1961</v>
      </c>
      <c r="C1471" s="1" t="s">
        <v>167</v>
      </c>
      <c r="D1471" s="1" t="s">
        <v>53</v>
      </c>
      <c r="E1471" s="1" t="s">
        <v>116</v>
      </c>
      <c r="F1471" s="1" t="s">
        <v>75</v>
      </c>
      <c r="G1471" s="1" t="s">
        <v>76</v>
      </c>
      <c r="H1471" s="1" t="s">
        <v>69</v>
      </c>
      <c r="I1471" s="1" t="s">
        <v>34</v>
      </c>
      <c r="J1471" s="1" t="s">
        <v>131</v>
      </c>
      <c r="K1471" s="1" t="s">
        <v>60</v>
      </c>
      <c r="L1471" s="1" t="s">
        <v>37</v>
      </c>
      <c r="M1471" s="1" t="s">
        <v>50</v>
      </c>
      <c r="N1471" s="1" t="n">
        <v>9999</v>
      </c>
      <c r="O1471" s="1" t="n">
        <v>0</v>
      </c>
      <c r="P1471" s="1" t="n">
        <v>0</v>
      </c>
      <c r="Q1471" s="1" t="n">
        <v>9999</v>
      </c>
      <c r="R1471" s="1" t="n">
        <v>1799.82</v>
      </c>
      <c r="S1471" s="1" t="n">
        <v>8199.18</v>
      </c>
      <c r="T1471" s="1" t="n">
        <v>3627.79</v>
      </c>
      <c r="U1471" s="1" t="n">
        <v>4571.39</v>
      </c>
      <c r="V1471" s="1" t="n">
        <v>55.75</v>
      </c>
      <c r="W1471" s="1" t="s">
        <v>39</v>
      </c>
      <c r="X1471" s="1" t="n">
        <v>4</v>
      </c>
      <c r="Y1471" s="1" t="s">
        <v>40</v>
      </c>
      <c r="Z1471" s="1" t="n">
        <v>0</v>
      </c>
    </row>
    <row r="1472" customFormat="false" ht="15" hidden="false" customHeight="true" outlineLevel="0" collapsed="false">
      <c r="A1472" s="1" t="s">
        <v>2274</v>
      </c>
      <c r="B1472" s="1" t="s">
        <v>417</v>
      </c>
      <c r="C1472" s="1" t="s">
        <v>100</v>
      </c>
      <c r="D1472" s="1" t="s">
        <v>168</v>
      </c>
      <c r="E1472" s="1" t="s">
        <v>197</v>
      </c>
      <c r="F1472" s="1" t="s">
        <v>55</v>
      </c>
      <c r="G1472" s="1" t="s">
        <v>56</v>
      </c>
      <c r="H1472" s="1" t="s">
        <v>57</v>
      </c>
      <c r="I1472" s="1" t="s">
        <v>34</v>
      </c>
      <c r="J1472" s="1" t="s">
        <v>70</v>
      </c>
      <c r="K1472" s="1" t="s">
        <v>90</v>
      </c>
      <c r="L1472" s="1" t="s">
        <v>113</v>
      </c>
      <c r="M1472" s="1" t="s">
        <v>50</v>
      </c>
      <c r="N1472" s="1" t="n">
        <v>8499</v>
      </c>
      <c r="O1472" s="1" t="n">
        <v>40</v>
      </c>
      <c r="P1472" s="1" t="n">
        <v>3399.6</v>
      </c>
      <c r="Q1472" s="1" t="n">
        <v>5099.4</v>
      </c>
      <c r="R1472" s="1" t="n">
        <v>917.89</v>
      </c>
      <c r="S1472" s="1" t="n">
        <v>4181.51</v>
      </c>
      <c r="T1472" s="1" t="n">
        <v>1973.36</v>
      </c>
      <c r="U1472" s="1" t="n">
        <v>2208.15</v>
      </c>
      <c r="V1472" s="1" t="n">
        <v>52.81</v>
      </c>
      <c r="W1472" s="1" t="s">
        <v>39</v>
      </c>
      <c r="X1472" s="1" t="n">
        <v>3.5</v>
      </c>
      <c r="Y1472" s="1" t="s">
        <v>39</v>
      </c>
      <c r="Z1472" s="1" t="n">
        <v>0</v>
      </c>
    </row>
    <row r="1473" customFormat="false" ht="15" hidden="false" customHeight="true" outlineLevel="0" collapsed="false">
      <c r="A1473" s="1" t="s">
        <v>2275</v>
      </c>
      <c r="B1473" s="1" t="s">
        <v>1203</v>
      </c>
      <c r="C1473" s="1" t="s">
        <v>119</v>
      </c>
      <c r="D1473" s="1" t="s">
        <v>143</v>
      </c>
      <c r="E1473" s="1" t="s">
        <v>159</v>
      </c>
      <c r="F1473" s="1" t="s">
        <v>269</v>
      </c>
      <c r="G1473" s="1" t="s">
        <v>108</v>
      </c>
      <c r="H1473" s="1" t="s">
        <v>57</v>
      </c>
      <c r="I1473" s="1" t="s">
        <v>34</v>
      </c>
      <c r="J1473" s="1" t="s">
        <v>35</v>
      </c>
      <c r="K1473" s="1" t="s">
        <v>112</v>
      </c>
      <c r="L1473" s="1" t="s">
        <v>85</v>
      </c>
      <c r="M1473" s="1" t="s">
        <v>50</v>
      </c>
      <c r="N1473" s="1" t="n">
        <v>24999</v>
      </c>
      <c r="O1473" s="1" t="n">
        <v>40</v>
      </c>
      <c r="P1473" s="1" t="n">
        <v>9999.6</v>
      </c>
      <c r="Q1473" s="1" t="n">
        <v>14999.4</v>
      </c>
      <c r="R1473" s="1" t="n">
        <v>2699.89</v>
      </c>
      <c r="S1473" s="1" t="n">
        <v>12299.51</v>
      </c>
      <c r="T1473" s="1" t="n">
        <v>6116.74</v>
      </c>
      <c r="U1473" s="1" t="n">
        <v>6182.77</v>
      </c>
      <c r="V1473" s="1" t="n">
        <v>50.27</v>
      </c>
      <c r="W1473" s="1" t="s">
        <v>39</v>
      </c>
      <c r="Y1473" s="1" t="s">
        <v>40</v>
      </c>
      <c r="Z1473" s="1" t="n">
        <v>1</v>
      </c>
    </row>
    <row r="1474" customFormat="false" ht="15" hidden="false" customHeight="true" outlineLevel="0" collapsed="false">
      <c r="A1474" s="1" t="s">
        <v>2276</v>
      </c>
      <c r="B1474" s="1" t="s">
        <v>2277</v>
      </c>
      <c r="C1474" s="1" t="s">
        <v>43</v>
      </c>
      <c r="D1474" s="1" t="s">
        <v>44</v>
      </c>
      <c r="E1474" s="1" t="s">
        <v>221</v>
      </c>
      <c r="F1474" s="1" t="s">
        <v>120</v>
      </c>
      <c r="G1474" s="1" t="s">
        <v>47</v>
      </c>
      <c r="H1474" s="1" t="s">
        <v>57</v>
      </c>
      <c r="I1474" s="1" t="s">
        <v>83</v>
      </c>
      <c r="J1474" s="1" t="s">
        <v>59</v>
      </c>
      <c r="K1474" s="1" t="s">
        <v>60</v>
      </c>
      <c r="L1474" s="1" t="s">
        <v>113</v>
      </c>
      <c r="M1474" s="1" t="s">
        <v>50</v>
      </c>
      <c r="N1474" s="1" t="n">
        <v>16999</v>
      </c>
      <c r="O1474" s="1" t="n">
        <v>40</v>
      </c>
      <c r="P1474" s="1" t="n">
        <v>6799.6</v>
      </c>
      <c r="Q1474" s="1" t="n">
        <v>10199.4</v>
      </c>
      <c r="R1474" s="1" t="n">
        <v>1835.89</v>
      </c>
      <c r="S1474" s="1" t="n">
        <v>8363.51</v>
      </c>
      <c r="T1474" s="1" t="n">
        <v>4724.74</v>
      </c>
      <c r="U1474" s="1" t="n">
        <v>3638.77</v>
      </c>
      <c r="V1474" s="1" t="n">
        <v>43.51</v>
      </c>
      <c r="W1474" s="1" t="s">
        <v>39</v>
      </c>
      <c r="Y1474" s="1" t="s">
        <v>40</v>
      </c>
      <c r="Z1474" s="1" t="n">
        <v>1</v>
      </c>
    </row>
    <row r="1475" customFormat="false" ht="15" hidden="false" customHeight="true" outlineLevel="0" collapsed="false">
      <c r="A1475" s="1" t="s">
        <v>2278</v>
      </c>
      <c r="B1475" s="1" t="s">
        <v>1594</v>
      </c>
      <c r="C1475" s="1" t="s">
        <v>74</v>
      </c>
      <c r="D1475" s="1" t="s">
        <v>29</v>
      </c>
      <c r="E1475" s="1" t="s">
        <v>30</v>
      </c>
      <c r="F1475" s="1" t="s">
        <v>244</v>
      </c>
      <c r="G1475" s="1" t="s">
        <v>97</v>
      </c>
      <c r="H1475" s="1" t="s">
        <v>57</v>
      </c>
      <c r="I1475" s="1" t="s">
        <v>58</v>
      </c>
      <c r="J1475" s="1" t="s">
        <v>70</v>
      </c>
      <c r="K1475" s="1" t="s">
        <v>60</v>
      </c>
      <c r="L1475" s="1" t="s">
        <v>49</v>
      </c>
      <c r="M1475" s="1" t="s">
        <v>62</v>
      </c>
      <c r="N1475" s="1" t="n">
        <v>7999</v>
      </c>
      <c r="O1475" s="1" t="n">
        <v>40</v>
      </c>
      <c r="P1475" s="1" t="n">
        <v>3199.6</v>
      </c>
      <c r="Q1475" s="1" t="n">
        <v>4799.4</v>
      </c>
      <c r="R1475" s="1" t="n">
        <v>863.89</v>
      </c>
      <c r="S1475" s="1" t="n">
        <v>3935.51</v>
      </c>
      <c r="T1475" s="1" t="n">
        <v>2229.35</v>
      </c>
      <c r="U1475" s="1" t="n">
        <v>1706.16</v>
      </c>
      <c r="V1475" s="1" t="n">
        <v>43.35</v>
      </c>
      <c r="W1475" s="1" t="s">
        <v>39</v>
      </c>
      <c r="X1475" s="1" t="n">
        <v>3.4</v>
      </c>
      <c r="Y1475" s="1" t="s">
        <v>40</v>
      </c>
      <c r="Z1475" s="1" t="n">
        <v>0</v>
      </c>
    </row>
    <row r="1476" customFormat="false" ht="15" hidden="false" customHeight="true" outlineLevel="0" collapsed="false">
      <c r="A1476" s="1" t="s">
        <v>2279</v>
      </c>
      <c r="B1476" s="1" t="s">
        <v>404</v>
      </c>
      <c r="C1476" s="1" t="s">
        <v>119</v>
      </c>
      <c r="D1476" s="1" t="s">
        <v>168</v>
      </c>
      <c r="E1476" s="1" t="s">
        <v>169</v>
      </c>
      <c r="F1476" s="1" t="s">
        <v>269</v>
      </c>
      <c r="G1476" s="1" t="s">
        <v>108</v>
      </c>
      <c r="H1476" s="1" t="s">
        <v>57</v>
      </c>
      <c r="I1476" s="1" t="s">
        <v>58</v>
      </c>
      <c r="J1476" s="1" t="s">
        <v>59</v>
      </c>
      <c r="K1476" s="1" t="s">
        <v>36</v>
      </c>
      <c r="L1476" s="1" t="s">
        <v>61</v>
      </c>
      <c r="M1476" s="1" t="s">
        <v>38</v>
      </c>
      <c r="N1476" s="1" t="n">
        <v>4999</v>
      </c>
      <c r="O1476" s="1" t="n">
        <v>40</v>
      </c>
      <c r="P1476" s="1" t="n">
        <v>1999.6</v>
      </c>
      <c r="Q1476" s="1" t="n">
        <v>2999.4</v>
      </c>
      <c r="R1476" s="1" t="n">
        <v>539.89</v>
      </c>
      <c r="S1476" s="1" t="n">
        <v>2459.51</v>
      </c>
      <c r="T1476" s="1" t="n">
        <v>1350.34</v>
      </c>
      <c r="U1476" s="1" t="n">
        <v>1109.17</v>
      </c>
      <c r="V1476" s="1" t="n">
        <v>45.1</v>
      </c>
      <c r="W1476" s="1" t="s">
        <v>40</v>
      </c>
      <c r="Y1476" s="1" t="s">
        <v>40</v>
      </c>
      <c r="Z1476" s="1" t="n">
        <v>2</v>
      </c>
    </row>
    <row r="1477" customFormat="false" ht="15" hidden="false" customHeight="true" outlineLevel="0" collapsed="false">
      <c r="A1477" s="1" t="s">
        <v>2280</v>
      </c>
      <c r="B1477" s="1" t="s">
        <v>2281</v>
      </c>
      <c r="C1477" s="1" t="s">
        <v>43</v>
      </c>
      <c r="D1477" s="1" t="s">
        <v>143</v>
      </c>
      <c r="E1477" s="1" t="s">
        <v>210</v>
      </c>
      <c r="F1477" s="1" t="s">
        <v>125</v>
      </c>
      <c r="G1477" s="1" t="s">
        <v>108</v>
      </c>
      <c r="H1477" s="1" t="s">
        <v>69</v>
      </c>
      <c r="I1477" s="1" t="s">
        <v>83</v>
      </c>
      <c r="J1477" s="1" t="s">
        <v>70</v>
      </c>
      <c r="K1477" s="1" t="s">
        <v>84</v>
      </c>
      <c r="L1477" s="1" t="s">
        <v>37</v>
      </c>
      <c r="M1477" s="1" t="s">
        <v>50</v>
      </c>
      <c r="N1477" s="1" t="n">
        <v>18999</v>
      </c>
      <c r="O1477" s="1" t="n">
        <v>15</v>
      </c>
      <c r="P1477" s="1" t="n">
        <v>2849.85</v>
      </c>
      <c r="Q1477" s="1" t="n">
        <v>16149.15</v>
      </c>
      <c r="R1477" s="1" t="n">
        <v>2906.85</v>
      </c>
      <c r="S1477" s="1" t="n">
        <v>13242.3</v>
      </c>
      <c r="T1477" s="1" t="n">
        <v>5594.35</v>
      </c>
      <c r="U1477" s="1" t="n">
        <v>7647.95</v>
      </c>
      <c r="V1477" s="1" t="n">
        <v>57.75</v>
      </c>
      <c r="W1477" s="1" t="s">
        <v>40</v>
      </c>
      <c r="Y1477" s="1" t="s">
        <v>40</v>
      </c>
      <c r="Z1477" s="1" t="n">
        <v>0</v>
      </c>
    </row>
    <row r="1478" customFormat="false" ht="15" hidden="false" customHeight="true" outlineLevel="0" collapsed="false">
      <c r="A1478" s="1" t="s">
        <v>2282</v>
      </c>
      <c r="B1478" s="1" t="s">
        <v>1207</v>
      </c>
      <c r="C1478" s="1" t="s">
        <v>249</v>
      </c>
      <c r="D1478" s="1" t="s">
        <v>143</v>
      </c>
      <c r="E1478" s="1" t="s">
        <v>159</v>
      </c>
      <c r="F1478" s="1" t="s">
        <v>1389</v>
      </c>
      <c r="G1478" s="1" t="s">
        <v>32</v>
      </c>
      <c r="H1478" s="1" t="s">
        <v>57</v>
      </c>
      <c r="I1478" s="1" t="s">
        <v>58</v>
      </c>
      <c r="J1478" s="1" t="s">
        <v>131</v>
      </c>
      <c r="K1478" s="1" t="s">
        <v>36</v>
      </c>
      <c r="L1478" s="1" t="s">
        <v>136</v>
      </c>
      <c r="M1478" s="1" t="s">
        <v>38</v>
      </c>
      <c r="N1478" s="1" t="n">
        <v>24999</v>
      </c>
      <c r="O1478" s="1" t="n">
        <v>0</v>
      </c>
      <c r="P1478" s="1" t="n">
        <v>0</v>
      </c>
      <c r="Q1478" s="1" t="n">
        <v>24999</v>
      </c>
      <c r="R1478" s="1" t="n">
        <v>4499.82</v>
      </c>
      <c r="S1478" s="1" t="n">
        <v>20499.18</v>
      </c>
      <c r="T1478" s="1" t="n">
        <v>9171.82</v>
      </c>
      <c r="U1478" s="1" t="n">
        <v>11327.36</v>
      </c>
      <c r="V1478" s="1" t="n">
        <v>55.26</v>
      </c>
      <c r="W1478" s="1" t="s">
        <v>39</v>
      </c>
      <c r="Y1478" s="1" t="s">
        <v>40</v>
      </c>
      <c r="Z1478" s="1" t="n">
        <v>1</v>
      </c>
    </row>
    <row r="1479" customFormat="false" ht="15" hidden="false" customHeight="true" outlineLevel="0" collapsed="false">
      <c r="A1479" s="1" t="s">
        <v>2283</v>
      </c>
      <c r="B1479" s="1" t="s">
        <v>683</v>
      </c>
      <c r="C1479" s="1" t="s">
        <v>178</v>
      </c>
      <c r="D1479" s="1" t="s">
        <v>143</v>
      </c>
      <c r="E1479" s="1" t="s">
        <v>243</v>
      </c>
      <c r="F1479" s="1" t="s">
        <v>107</v>
      </c>
      <c r="G1479" s="1" t="s">
        <v>108</v>
      </c>
      <c r="H1479" s="1" t="s">
        <v>33</v>
      </c>
      <c r="I1479" s="1" t="s">
        <v>34</v>
      </c>
      <c r="J1479" s="1" t="s">
        <v>59</v>
      </c>
      <c r="K1479" s="1" t="s">
        <v>112</v>
      </c>
      <c r="L1479" s="1" t="s">
        <v>49</v>
      </c>
      <c r="M1479" s="1" t="s">
        <v>62</v>
      </c>
      <c r="N1479" s="1" t="n">
        <v>22999</v>
      </c>
      <c r="O1479" s="1" t="n">
        <v>10</v>
      </c>
      <c r="P1479" s="1" t="n">
        <v>2299.9</v>
      </c>
      <c r="Q1479" s="1" t="n">
        <v>20699.1</v>
      </c>
      <c r="R1479" s="1" t="n">
        <v>3725.84</v>
      </c>
      <c r="S1479" s="1" t="n">
        <v>16973.26</v>
      </c>
      <c r="T1479" s="1" t="n">
        <v>8492.83</v>
      </c>
      <c r="U1479" s="1" t="n">
        <v>8480.43</v>
      </c>
      <c r="V1479" s="1" t="n">
        <v>49.96</v>
      </c>
      <c r="W1479" s="1" t="s">
        <v>40</v>
      </c>
      <c r="Y1479" s="1" t="s">
        <v>39</v>
      </c>
      <c r="Z1479" s="1" t="n">
        <v>1</v>
      </c>
    </row>
    <row r="1480" customFormat="false" ht="15" hidden="false" customHeight="true" outlineLevel="0" collapsed="false">
      <c r="A1480" s="1" t="s">
        <v>2284</v>
      </c>
      <c r="B1480" s="1" t="s">
        <v>2285</v>
      </c>
      <c r="C1480" s="1" t="s">
        <v>93</v>
      </c>
      <c r="D1480" s="1" t="s">
        <v>53</v>
      </c>
      <c r="E1480" s="1" t="s">
        <v>54</v>
      </c>
      <c r="F1480" s="1" t="s">
        <v>140</v>
      </c>
      <c r="G1480" s="1" t="s">
        <v>97</v>
      </c>
      <c r="H1480" s="1" t="s">
        <v>57</v>
      </c>
      <c r="I1480" s="1" t="s">
        <v>58</v>
      </c>
      <c r="J1480" s="1" t="s">
        <v>35</v>
      </c>
      <c r="K1480" s="1" t="s">
        <v>104</v>
      </c>
      <c r="L1480" s="1" t="s">
        <v>61</v>
      </c>
      <c r="M1480" s="1" t="s">
        <v>38</v>
      </c>
      <c r="N1480" s="1" t="n">
        <v>11999</v>
      </c>
      <c r="O1480" s="1" t="n">
        <v>20</v>
      </c>
      <c r="P1480" s="1" t="n">
        <v>2399.8</v>
      </c>
      <c r="Q1480" s="1" t="n">
        <v>9599.2</v>
      </c>
      <c r="R1480" s="1" t="n">
        <v>1727.86</v>
      </c>
      <c r="S1480" s="1" t="n">
        <v>7871.34</v>
      </c>
      <c r="T1480" s="1" t="n">
        <v>3191.73</v>
      </c>
      <c r="U1480" s="1" t="n">
        <v>4679.61</v>
      </c>
      <c r="V1480" s="1" t="n">
        <v>59.45</v>
      </c>
      <c r="W1480" s="1" t="s">
        <v>40</v>
      </c>
      <c r="Y1480" s="1" t="s">
        <v>40</v>
      </c>
      <c r="Z1480" s="1" t="n">
        <v>2</v>
      </c>
    </row>
    <row r="1481" customFormat="false" ht="15" hidden="false" customHeight="true" outlineLevel="0" collapsed="false">
      <c r="A1481" s="1" t="s">
        <v>2286</v>
      </c>
      <c r="B1481" s="1" t="s">
        <v>268</v>
      </c>
      <c r="C1481" s="1" t="s">
        <v>167</v>
      </c>
      <c r="D1481" s="1" t="s">
        <v>80</v>
      </c>
      <c r="E1481" s="1" t="s">
        <v>175</v>
      </c>
      <c r="F1481" s="1" t="s">
        <v>205</v>
      </c>
      <c r="G1481" s="1" t="s">
        <v>56</v>
      </c>
      <c r="H1481" s="1" t="s">
        <v>69</v>
      </c>
      <c r="I1481" s="1" t="s">
        <v>58</v>
      </c>
      <c r="J1481" s="1" t="s">
        <v>131</v>
      </c>
      <c r="K1481" s="1" t="s">
        <v>60</v>
      </c>
      <c r="L1481" s="1" t="s">
        <v>85</v>
      </c>
      <c r="M1481" s="1" t="s">
        <v>50</v>
      </c>
      <c r="N1481" s="1" t="n">
        <v>19999</v>
      </c>
      <c r="O1481" s="1" t="n">
        <v>10</v>
      </c>
      <c r="P1481" s="1" t="n">
        <v>1999.9</v>
      </c>
      <c r="Q1481" s="1" t="n">
        <v>17999.1</v>
      </c>
      <c r="R1481" s="1" t="n">
        <v>3239.84</v>
      </c>
      <c r="S1481" s="1" t="n">
        <v>14759.26</v>
      </c>
      <c r="T1481" s="1" t="n">
        <v>5371.83</v>
      </c>
      <c r="U1481" s="1" t="n">
        <v>9387.43</v>
      </c>
      <c r="V1481" s="1" t="n">
        <v>63.6</v>
      </c>
      <c r="W1481" s="1" t="s">
        <v>39</v>
      </c>
      <c r="X1481" s="1" t="n">
        <v>4</v>
      </c>
      <c r="Y1481" s="1" t="s">
        <v>40</v>
      </c>
      <c r="Z1481" s="1" t="n">
        <v>0</v>
      </c>
    </row>
    <row r="1482" customFormat="false" ht="15" hidden="false" customHeight="true" outlineLevel="0" collapsed="false">
      <c r="A1482" s="1" t="s">
        <v>2287</v>
      </c>
      <c r="B1482" s="1" t="s">
        <v>692</v>
      </c>
      <c r="C1482" s="1" t="s">
        <v>100</v>
      </c>
      <c r="D1482" s="1" t="s">
        <v>143</v>
      </c>
      <c r="E1482" s="1" t="s">
        <v>159</v>
      </c>
      <c r="F1482" s="1" t="s">
        <v>244</v>
      </c>
      <c r="G1482" s="1" t="s">
        <v>97</v>
      </c>
      <c r="H1482" s="1" t="s">
        <v>57</v>
      </c>
      <c r="I1482" s="1" t="s">
        <v>34</v>
      </c>
      <c r="J1482" s="1" t="s">
        <v>70</v>
      </c>
      <c r="K1482" s="1" t="s">
        <v>60</v>
      </c>
      <c r="L1482" s="1" t="s">
        <v>113</v>
      </c>
      <c r="M1482" s="1" t="s">
        <v>50</v>
      </c>
      <c r="N1482" s="1" t="n">
        <v>24999</v>
      </c>
      <c r="O1482" s="1" t="n">
        <v>15</v>
      </c>
      <c r="P1482" s="1" t="n">
        <v>3749.85</v>
      </c>
      <c r="Q1482" s="1" t="n">
        <v>21249.15</v>
      </c>
      <c r="R1482" s="1" t="n">
        <v>3824.85</v>
      </c>
      <c r="S1482" s="1" t="n">
        <v>17424.3</v>
      </c>
      <c r="T1482" s="1" t="n">
        <v>8501.25</v>
      </c>
      <c r="U1482" s="1" t="n">
        <v>8923.05</v>
      </c>
      <c r="V1482" s="1" t="n">
        <v>51.21</v>
      </c>
      <c r="W1482" s="1" t="s">
        <v>39</v>
      </c>
      <c r="X1482" s="1" t="n">
        <v>3.8</v>
      </c>
      <c r="Y1482" s="1" t="s">
        <v>39</v>
      </c>
      <c r="Z1482" s="1" t="n">
        <v>0</v>
      </c>
    </row>
    <row r="1483" customFormat="false" ht="15" hidden="false" customHeight="true" outlineLevel="0" collapsed="false">
      <c r="A1483" s="1" t="s">
        <v>2288</v>
      </c>
      <c r="B1483" s="1" t="s">
        <v>2289</v>
      </c>
      <c r="C1483" s="1" t="s">
        <v>100</v>
      </c>
      <c r="D1483" s="1" t="s">
        <v>29</v>
      </c>
      <c r="E1483" s="1" t="s">
        <v>182</v>
      </c>
      <c r="F1483" s="1" t="s">
        <v>75</v>
      </c>
      <c r="G1483" s="1" t="s">
        <v>76</v>
      </c>
      <c r="H1483" s="1" t="s">
        <v>69</v>
      </c>
      <c r="I1483" s="1" t="s">
        <v>83</v>
      </c>
      <c r="J1483" s="1" t="s">
        <v>131</v>
      </c>
      <c r="K1483" s="1" t="s">
        <v>71</v>
      </c>
      <c r="L1483" s="1" t="s">
        <v>136</v>
      </c>
      <c r="M1483" s="1" t="s">
        <v>38</v>
      </c>
      <c r="N1483" s="1" t="n">
        <v>34999</v>
      </c>
      <c r="O1483" s="1" t="n">
        <v>0</v>
      </c>
      <c r="P1483" s="1" t="n">
        <v>0</v>
      </c>
      <c r="Q1483" s="1" t="n">
        <v>34999</v>
      </c>
      <c r="R1483" s="1" t="n">
        <v>6299.82</v>
      </c>
      <c r="S1483" s="1" t="n">
        <v>28699.18</v>
      </c>
      <c r="T1483" s="1" t="n">
        <v>9967.18</v>
      </c>
      <c r="U1483" s="1" t="n">
        <v>18732</v>
      </c>
      <c r="V1483" s="1" t="n">
        <v>65.27</v>
      </c>
      <c r="W1483" s="1" t="s">
        <v>39</v>
      </c>
      <c r="X1483" s="1" t="n">
        <v>4.1</v>
      </c>
      <c r="Y1483" s="1" t="s">
        <v>40</v>
      </c>
      <c r="Z1483" s="1" t="n">
        <v>0</v>
      </c>
    </row>
    <row r="1484" customFormat="false" ht="15" hidden="false" customHeight="true" outlineLevel="0" collapsed="false">
      <c r="A1484" s="1" t="s">
        <v>2290</v>
      </c>
      <c r="B1484" s="1" t="s">
        <v>1500</v>
      </c>
      <c r="C1484" s="1" t="s">
        <v>167</v>
      </c>
      <c r="D1484" s="1" t="s">
        <v>80</v>
      </c>
      <c r="E1484" s="1" t="s">
        <v>81</v>
      </c>
      <c r="F1484" s="1" t="s">
        <v>130</v>
      </c>
      <c r="G1484" s="1" t="s">
        <v>47</v>
      </c>
      <c r="H1484" s="1" t="s">
        <v>69</v>
      </c>
      <c r="I1484" s="1" t="s">
        <v>83</v>
      </c>
      <c r="J1484" s="1" t="s">
        <v>59</v>
      </c>
      <c r="K1484" s="1" t="s">
        <v>71</v>
      </c>
      <c r="L1484" s="1" t="s">
        <v>49</v>
      </c>
      <c r="M1484" s="1" t="s">
        <v>50</v>
      </c>
      <c r="N1484" s="1" t="n">
        <v>12999</v>
      </c>
      <c r="O1484" s="1" t="n">
        <v>10</v>
      </c>
      <c r="P1484" s="1" t="n">
        <v>1299.9</v>
      </c>
      <c r="Q1484" s="1" t="n">
        <v>11699.1</v>
      </c>
      <c r="R1484" s="1" t="n">
        <v>2105.84</v>
      </c>
      <c r="S1484" s="1" t="n">
        <v>9593.26</v>
      </c>
      <c r="T1484" s="1" t="n">
        <v>3537.75</v>
      </c>
      <c r="U1484" s="1" t="n">
        <v>6055.51</v>
      </c>
      <c r="V1484" s="1" t="n">
        <v>63.12</v>
      </c>
      <c r="W1484" s="1" t="s">
        <v>39</v>
      </c>
      <c r="Y1484" s="1" t="s">
        <v>40</v>
      </c>
      <c r="Z1484" s="1" t="n">
        <v>0</v>
      </c>
    </row>
    <row r="1485" customFormat="false" ht="15" hidden="false" customHeight="true" outlineLevel="0" collapsed="false">
      <c r="A1485" s="1" t="s">
        <v>2291</v>
      </c>
      <c r="B1485" s="1" t="s">
        <v>2011</v>
      </c>
      <c r="C1485" s="1" t="s">
        <v>65</v>
      </c>
      <c r="D1485" s="1" t="s">
        <v>143</v>
      </c>
      <c r="E1485" s="1" t="s">
        <v>162</v>
      </c>
      <c r="F1485" s="1" t="s">
        <v>205</v>
      </c>
      <c r="G1485" s="1" t="s">
        <v>56</v>
      </c>
      <c r="H1485" s="1" t="s">
        <v>69</v>
      </c>
      <c r="I1485" s="1" t="s">
        <v>83</v>
      </c>
      <c r="J1485" s="1" t="s">
        <v>59</v>
      </c>
      <c r="K1485" s="1" t="s">
        <v>36</v>
      </c>
      <c r="L1485" s="1" t="s">
        <v>113</v>
      </c>
      <c r="M1485" s="1" t="s">
        <v>38</v>
      </c>
      <c r="N1485" s="1" t="n">
        <v>14999</v>
      </c>
      <c r="O1485" s="1" t="n">
        <v>10</v>
      </c>
      <c r="P1485" s="1" t="n">
        <v>1499.9</v>
      </c>
      <c r="Q1485" s="1" t="n">
        <v>13499.1</v>
      </c>
      <c r="R1485" s="1" t="n">
        <v>2429.84</v>
      </c>
      <c r="S1485" s="1" t="n">
        <v>11069.26</v>
      </c>
      <c r="T1485" s="1" t="n">
        <v>4402.57</v>
      </c>
      <c r="U1485" s="1" t="n">
        <v>6666.69</v>
      </c>
      <c r="V1485" s="1" t="n">
        <v>60.23</v>
      </c>
      <c r="W1485" s="1" t="s">
        <v>40</v>
      </c>
      <c r="Y1485" s="1" t="s">
        <v>40</v>
      </c>
      <c r="Z1485" s="1" t="n">
        <v>2</v>
      </c>
    </row>
    <row r="1486" customFormat="false" ht="15" hidden="false" customHeight="true" outlineLevel="0" collapsed="false">
      <c r="A1486" s="1" t="s">
        <v>2292</v>
      </c>
      <c r="B1486" s="1" t="s">
        <v>2293</v>
      </c>
      <c r="C1486" s="1" t="s">
        <v>28</v>
      </c>
      <c r="D1486" s="1" t="s">
        <v>29</v>
      </c>
      <c r="E1486" s="1" t="s">
        <v>182</v>
      </c>
      <c r="F1486" s="1" t="s">
        <v>244</v>
      </c>
      <c r="G1486" s="1" t="s">
        <v>97</v>
      </c>
      <c r="H1486" s="1" t="s">
        <v>57</v>
      </c>
      <c r="I1486" s="1" t="s">
        <v>58</v>
      </c>
      <c r="J1486" s="1" t="s">
        <v>77</v>
      </c>
      <c r="K1486" s="1" t="s">
        <v>36</v>
      </c>
      <c r="L1486" s="1" t="s">
        <v>61</v>
      </c>
      <c r="M1486" s="1" t="s">
        <v>38</v>
      </c>
      <c r="N1486" s="1" t="n">
        <v>34999</v>
      </c>
      <c r="O1486" s="1" t="n">
        <v>0</v>
      </c>
      <c r="P1486" s="1" t="n">
        <v>0</v>
      </c>
      <c r="Q1486" s="1" t="n">
        <v>34999</v>
      </c>
      <c r="R1486" s="1" t="n">
        <v>6299.82</v>
      </c>
      <c r="S1486" s="1" t="n">
        <v>28699.18</v>
      </c>
      <c r="T1486" s="1" t="n">
        <v>11829.12</v>
      </c>
      <c r="U1486" s="1" t="n">
        <v>16870.06</v>
      </c>
      <c r="V1486" s="1" t="n">
        <v>58.78</v>
      </c>
      <c r="W1486" s="1" t="s">
        <v>39</v>
      </c>
      <c r="X1486" s="1" t="n">
        <v>3.7</v>
      </c>
      <c r="Y1486" s="1" t="s">
        <v>40</v>
      </c>
      <c r="Z1486" s="1" t="n">
        <v>0</v>
      </c>
    </row>
    <row r="1487" customFormat="false" ht="15" hidden="false" customHeight="true" outlineLevel="0" collapsed="false">
      <c r="A1487" s="1" t="s">
        <v>2294</v>
      </c>
      <c r="B1487" s="1" t="s">
        <v>868</v>
      </c>
      <c r="C1487" s="1" t="s">
        <v>178</v>
      </c>
      <c r="D1487" s="1" t="s">
        <v>44</v>
      </c>
      <c r="E1487" s="1" t="s">
        <v>45</v>
      </c>
      <c r="F1487" s="1" t="s">
        <v>120</v>
      </c>
      <c r="G1487" s="1" t="s">
        <v>47</v>
      </c>
      <c r="H1487" s="1" t="s">
        <v>57</v>
      </c>
      <c r="I1487" s="1" t="s">
        <v>58</v>
      </c>
      <c r="J1487" s="1" t="s">
        <v>35</v>
      </c>
      <c r="K1487" s="1" t="s">
        <v>36</v>
      </c>
      <c r="L1487" s="1" t="s">
        <v>37</v>
      </c>
      <c r="M1487" s="1" t="s">
        <v>62</v>
      </c>
      <c r="N1487" s="1" t="n">
        <v>11999</v>
      </c>
      <c r="O1487" s="1" t="n">
        <v>10</v>
      </c>
      <c r="P1487" s="1" t="n">
        <v>1199.9</v>
      </c>
      <c r="Q1487" s="1" t="n">
        <v>10799.1</v>
      </c>
      <c r="R1487" s="1" t="n">
        <v>1943.84</v>
      </c>
      <c r="S1487" s="1" t="n">
        <v>8855.26</v>
      </c>
      <c r="T1487" s="1" t="n">
        <v>4367.01</v>
      </c>
      <c r="U1487" s="1" t="n">
        <v>4488.25</v>
      </c>
      <c r="V1487" s="1" t="n">
        <v>50.68</v>
      </c>
      <c r="W1487" s="1" t="s">
        <v>39</v>
      </c>
      <c r="X1487" s="1" t="n">
        <v>4.2</v>
      </c>
      <c r="Y1487" s="1" t="s">
        <v>40</v>
      </c>
      <c r="Z1487" s="1" t="n">
        <v>0</v>
      </c>
    </row>
    <row r="1488" customFormat="false" ht="15" hidden="false" customHeight="true" outlineLevel="0" collapsed="false">
      <c r="A1488" s="1" t="s">
        <v>2295</v>
      </c>
      <c r="B1488" s="1" t="s">
        <v>1250</v>
      </c>
      <c r="C1488" s="1" t="s">
        <v>242</v>
      </c>
      <c r="D1488" s="1" t="s">
        <v>53</v>
      </c>
      <c r="E1488" s="1" t="s">
        <v>216</v>
      </c>
      <c r="F1488" s="1" t="s">
        <v>153</v>
      </c>
      <c r="G1488" s="1" t="s">
        <v>76</v>
      </c>
      <c r="H1488" s="1" t="s">
        <v>33</v>
      </c>
      <c r="I1488" s="1" t="s">
        <v>34</v>
      </c>
      <c r="J1488" s="1" t="s">
        <v>77</v>
      </c>
      <c r="K1488" s="1" t="s">
        <v>60</v>
      </c>
      <c r="L1488" s="1" t="s">
        <v>113</v>
      </c>
      <c r="M1488" s="1" t="s">
        <v>38</v>
      </c>
      <c r="N1488" s="1" t="n">
        <v>7499</v>
      </c>
      <c r="O1488" s="1" t="n">
        <v>50</v>
      </c>
      <c r="P1488" s="1" t="n">
        <v>3749.5</v>
      </c>
      <c r="Q1488" s="1" t="n">
        <v>3749.5</v>
      </c>
      <c r="R1488" s="1" t="n">
        <v>674.91</v>
      </c>
      <c r="S1488" s="1" t="n">
        <v>3074.59</v>
      </c>
      <c r="T1488" s="1" t="n">
        <v>1648.47</v>
      </c>
      <c r="U1488" s="1" t="n">
        <v>1426.12</v>
      </c>
      <c r="V1488" s="1" t="n">
        <v>46.38</v>
      </c>
      <c r="W1488" s="1" t="s">
        <v>39</v>
      </c>
      <c r="X1488" s="1" t="n">
        <v>3.8</v>
      </c>
      <c r="Y1488" s="1" t="s">
        <v>40</v>
      </c>
      <c r="Z1488" s="1" t="n">
        <v>2</v>
      </c>
    </row>
    <row r="1489" customFormat="false" ht="15" hidden="false" customHeight="true" outlineLevel="0" collapsed="false">
      <c r="A1489" s="1" t="s">
        <v>2296</v>
      </c>
      <c r="B1489" s="1" t="s">
        <v>1727</v>
      </c>
      <c r="C1489" s="1" t="s">
        <v>65</v>
      </c>
      <c r="D1489" s="1" t="s">
        <v>94</v>
      </c>
      <c r="E1489" s="1" t="s">
        <v>95</v>
      </c>
      <c r="F1489" s="1" t="s">
        <v>82</v>
      </c>
      <c r="G1489" s="1" t="s">
        <v>56</v>
      </c>
      <c r="H1489" s="1" t="s">
        <v>69</v>
      </c>
      <c r="I1489" s="1" t="s">
        <v>34</v>
      </c>
      <c r="J1489" s="1" t="s">
        <v>70</v>
      </c>
      <c r="K1489" s="1" t="s">
        <v>112</v>
      </c>
      <c r="L1489" s="1" t="s">
        <v>49</v>
      </c>
      <c r="M1489" s="1" t="s">
        <v>62</v>
      </c>
      <c r="N1489" s="1" t="n">
        <v>6999</v>
      </c>
      <c r="O1489" s="1" t="n">
        <v>50</v>
      </c>
      <c r="P1489" s="1" t="n">
        <v>3499.5</v>
      </c>
      <c r="Q1489" s="1" t="n">
        <v>3499.5</v>
      </c>
      <c r="R1489" s="1" t="n">
        <v>629.91</v>
      </c>
      <c r="S1489" s="1" t="n">
        <v>2869.59</v>
      </c>
      <c r="T1489" s="1" t="n">
        <v>1648.56</v>
      </c>
      <c r="U1489" s="1" t="n">
        <v>1221.03</v>
      </c>
      <c r="V1489" s="1" t="n">
        <v>42.55</v>
      </c>
      <c r="W1489" s="1" t="s">
        <v>40</v>
      </c>
      <c r="Y1489" s="1" t="s">
        <v>40</v>
      </c>
      <c r="Z1489" s="1" t="n">
        <v>0</v>
      </c>
    </row>
    <row r="1490" customFormat="false" ht="15" hidden="false" customHeight="true" outlineLevel="0" collapsed="false">
      <c r="A1490" s="1" t="s">
        <v>2297</v>
      </c>
      <c r="B1490" s="1" t="s">
        <v>302</v>
      </c>
      <c r="C1490" s="1" t="s">
        <v>178</v>
      </c>
      <c r="D1490" s="1" t="s">
        <v>123</v>
      </c>
      <c r="E1490" s="1" t="s">
        <v>124</v>
      </c>
      <c r="F1490" s="1" t="s">
        <v>153</v>
      </c>
      <c r="G1490" s="1" t="s">
        <v>76</v>
      </c>
      <c r="H1490" s="1" t="s">
        <v>33</v>
      </c>
      <c r="I1490" s="1" t="s">
        <v>34</v>
      </c>
      <c r="J1490" s="1" t="s">
        <v>131</v>
      </c>
      <c r="K1490" s="1" t="s">
        <v>60</v>
      </c>
      <c r="L1490" s="1" t="s">
        <v>37</v>
      </c>
      <c r="M1490" s="1" t="s">
        <v>62</v>
      </c>
      <c r="N1490" s="1" t="n">
        <v>4999</v>
      </c>
      <c r="O1490" s="1" t="n">
        <v>0</v>
      </c>
      <c r="P1490" s="1" t="n">
        <v>0</v>
      </c>
      <c r="Q1490" s="1" t="n">
        <v>4999</v>
      </c>
      <c r="R1490" s="1" t="n">
        <v>899.82</v>
      </c>
      <c r="S1490" s="1" t="n">
        <v>4099.18</v>
      </c>
      <c r="T1490" s="1" t="n">
        <v>1742.4</v>
      </c>
      <c r="U1490" s="1" t="n">
        <v>2356.78</v>
      </c>
      <c r="V1490" s="1" t="n">
        <v>57.49</v>
      </c>
      <c r="W1490" s="1" t="s">
        <v>39</v>
      </c>
      <c r="X1490" s="1" t="n">
        <v>3.4</v>
      </c>
      <c r="Y1490" s="1" t="s">
        <v>40</v>
      </c>
      <c r="Z1490" s="1" t="n">
        <v>1</v>
      </c>
    </row>
    <row r="1491" customFormat="false" ht="15" hidden="false" customHeight="true" outlineLevel="0" collapsed="false">
      <c r="A1491" s="1" t="s">
        <v>2298</v>
      </c>
      <c r="B1491" s="1" t="s">
        <v>118</v>
      </c>
      <c r="C1491" s="1" t="s">
        <v>28</v>
      </c>
      <c r="D1491" s="1" t="s">
        <v>44</v>
      </c>
      <c r="E1491" s="1" t="s">
        <v>45</v>
      </c>
      <c r="F1491" s="1" t="s">
        <v>269</v>
      </c>
      <c r="G1491" s="1" t="s">
        <v>108</v>
      </c>
      <c r="H1491" s="1" t="s">
        <v>57</v>
      </c>
      <c r="I1491" s="1" t="s">
        <v>34</v>
      </c>
      <c r="J1491" s="1" t="s">
        <v>70</v>
      </c>
      <c r="K1491" s="1" t="s">
        <v>104</v>
      </c>
      <c r="L1491" s="1" t="s">
        <v>61</v>
      </c>
      <c r="M1491" s="1" t="s">
        <v>62</v>
      </c>
      <c r="N1491" s="1" t="n">
        <v>11999</v>
      </c>
      <c r="O1491" s="1" t="n">
        <v>0</v>
      </c>
      <c r="P1491" s="1" t="n">
        <v>0</v>
      </c>
      <c r="Q1491" s="1" t="n">
        <v>11999</v>
      </c>
      <c r="R1491" s="1" t="n">
        <v>2159.82</v>
      </c>
      <c r="S1491" s="1" t="n">
        <v>9839.18</v>
      </c>
      <c r="T1491" s="1" t="n">
        <v>4409.64</v>
      </c>
      <c r="U1491" s="1" t="n">
        <v>5429.54</v>
      </c>
      <c r="V1491" s="1" t="n">
        <v>55.18</v>
      </c>
      <c r="W1491" s="1" t="s">
        <v>39</v>
      </c>
      <c r="X1491" s="1" t="n">
        <v>3.7</v>
      </c>
      <c r="Y1491" s="1" t="s">
        <v>40</v>
      </c>
      <c r="Z1491" s="1" t="n">
        <v>1</v>
      </c>
    </row>
    <row r="1492" customFormat="false" ht="15" hidden="false" customHeight="true" outlineLevel="0" collapsed="false">
      <c r="A1492" s="1" t="s">
        <v>2299</v>
      </c>
      <c r="B1492" s="1" t="s">
        <v>899</v>
      </c>
      <c r="C1492" s="1" t="s">
        <v>128</v>
      </c>
      <c r="D1492" s="1" t="s">
        <v>168</v>
      </c>
      <c r="E1492" s="1" t="s">
        <v>169</v>
      </c>
      <c r="F1492" s="1" t="s">
        <v>269</v>
      </c>
      <c r="G1492" s="1" t="s">
        <v>108</v>
      </c>
      <c r="H1492" s="1" t="s">
        <v>57</v>
      </c>
      <c r="I1492" s="1" t="s">
        <v>83</v>
      </c>
      <c r="J1492" s="1" t="s">
        <v>59</v>
      </c>
      <c r="K1492" s="1" t="s">
        <v>112</v>
      </c>
      <c r="L1492" s="1" t="s">
        <v>61</v>
      </c>
      <c r="M1492" s="1" t="s">
        <v>50</v>
      </c>
      <c r="N1492" s="1" t="n">
        <v>4999</v>
      </c>
      <c r="O1492" s="1" t="n">
        <v>15</v>
      </c>
      <c r="P1492" s="1" t="n">
        <v>749.85</v>
      </c>
      <c r="Q1492" s="1" t="n">
        <v>4249.15</v>
      </c>
      <c r="R1492" s="1" t="n">
        <v>764.85</v>
      </c>
      <c r="S1492" s="1" t="n">
        <v>3484.3</v>
      </c>
      <c r="T1492" s="1" t="n">
        <v>1592.63</v>
      </c>
      <c r="U1492" s="1" t="n">
        <v>1891.67</v>
      </c>
      <c r="V1492" s="1" t="n">
        <v>54.29</v>
      </c>
      <c r="W1492" s="1" t="s">
        <v>39</v>
      </c>
      <c r="X1492" s="1" t="n">
        <v>2.7</v>
      </c>
      <c r="Y1492" s="1" t="s">
        <v>40</v>
      </c>
      <c r="Z1492" s="1" t="n">
        <v>0</v>
      </c>
    </row>
    <row r="1493" customFormat="false" ht="15" hidden="false" customHeight="true" outlineLevel="0" collapsed="false">
      <c r="A1493" s="1" t="s">
        <v>2300</v>
      </c>
      <c r="B1493" s="1" t="s">
        <v>2301</v>
      </c>
      <c r="C1493" s="1" t="s">
        <v>43</v>
      </c>
      <c r="D1493" s="1" t="s">
        <v>29</v>
      </c>
      <c r="E1493" s="1" t="s">
        <v>30</v>
      </c>
      <c r="F1493" s="1" t="s">
        <v>150</v>
      </c>
      <c r="G1493" s="1" t="s">
        <v>32</v>
      </c>
      <c r="H1493" s="1" t="s">
        <v>57</v>
      </c>
      <c r="I1493" s="1" t="s">
        <v>83</v>
      </c>
      <c r="J1493" s="1" t="s">
        <v>77</v>
      </c>
      <c r="K1493" s="1" t="s">
        <v>36</v>
      </c>
      <c r="L1493" s="1" t="s">
        <v>136</v>
      </c>
      <c r="M1493" s="1" t="s">
        <v>50</v>
      </c>
      <c r="N1493" s="1" t="n">
        <v>7999</v>
      </c>
      <c r="O1493" s="1" t="n">
        <v>10</v>
      </c>
      <c r="P1493" s="1" t="n">
        <v>799.9</v>
      </c>
      <c r="Q1493" s="1" t="n">
        <v>7199.1</v>
      </c>
      <c r="R1493" s="1" t="n">
        <v>1295.84</v>
      </c>
      <c r="S1493" s="1" t="n">
        <v>5903.26</v>
      </c>
      <c r="T1493" s="1" t="n">
        <v>2031.71</v>
      </c>
      <c r="U1493" s="1" t="n">
        <v>3871.55</v>
      </c>
      <c r="V1493" s="1" t="n">
        <v>65.58</v>
      </c>
      <c r="W1493" s="1" t="s">
        <v>39</v>
      </c>
      <c r="X1493" s="1" t="n">
        <v>4.2</v>
      </c>
      <c r="Y1493" s="1" t="s">
        <v>40</v>
      </c>
      <c r="Z1493" s="1" t="n">
        <v>0</v>
      </c>
    </row>
    <row r="1494" customFormat="false" ht="15" hidden="false" customHeight="true" outlineLevel="0" collapsed="false">
      <c r="A1494" s="1" t="s">
        <v>2302</v>
      </c>
      <c r="B1494" s="1" t="s">
        <v>926</v>
      </c>
      <c r="C1494" s="1" t="s">
        <v>74</v>
      </c>
      <c r="D1494" s="1" t="s">
        <v>29</v>
      </c>
      <c r="E1494" s="1" t="s">
        <v>30</v>
      </c>
      <c r="F1494" s="1" t="s">
        <v>194</v>
      </c>
      <c r="G1494" s="1" t="s">
        <v>103</v>
      </c>
      <c r="H1494" s="1" t="s">
        <v>69</v>
      </c>
      <c r="I1494" s="1" t="s">
        <v>34</v>
      </c>
      <c r="J1494" s="1" t="s">
        <v>59</v>
      </c>
      <c r="K1494" s="1" t="s">
        <v>90</v>
      </c>
      <c r="L1494" s="1" t="s">
        <v>37</v>
      </c>
      <c r="M1494" s="1" t="s">
        <v>62</v>
      </c>
      <c r="N1494" s="1" t="n">
        <v>7999</v>
      </c>
      <c r="O1494" s="1" t="n">
        <v>30</v>
      </c>
      <c r="P1494" s="1" t="n">
        <v>2399.7</v>
      </c>
      <c r="Q1494" s="1" t="n">
        <v>5599.3</v>
      </c>
      <c r="R1494" s="1" t="n">
        <v>1007.87</v>
      </c>
      <c r="S1494" s="1" t="n">
        <v>4591.43</v>
      </c>
      <c r="T1494" s="1" t="n">
        <v>1897.07</v>
      </c>
      <c r="U1494" s="1" t="n">
        <v>2694.36</v>
      </c>
      <c r="V1494" s="1" t="n">
        <v>58.68</v>
      </c>
      <c r="W1494" s="1" t="s">
        <v>39</v>
      </c>
      <c r="X1494" s="1" t="n">
        <v>4.6</v>
      </c>
      <c r="Y1494" s="1" t="s">
        <v>40</v>
      </c>
      <c r="Z1494" s="1" t="n">
        <v>0</v>
      </c>
    </row>
    <row r="1495" customFormat="false" ht="15" hidden="false" customHeight="true" outlineLevel="0" collapsed="false">
      <c r="A1495" s="1" t="s">
        <v>2303</v>
      </c>
      <c r="B1495" s="1" t="s">
        <v>974</v>
      </c>
      <c r="C1495" s="1" t="s">
        <v>88</v>
      </c>
      <c r="D1495" s="1" t="s">
        <v>168</v>
      </c>
      <c r="E1495" s="1" t="s">
        <v>197</v>
      </c>
      <c r="F1495" s="1" t="s">
        <v>150</v>
      </c>
      <c r="G1495" s="1" t="s">
        <v>32</v>
      </c>
      <c r="H1495" s="1" t="s">
        <v>57</v>
      </c>
      <c r="I1495" s="1" t="s">
        <v>58</v>
      </c>
      <c r="J1495" s="1" t="s">
        <v>59</v>
      </c>
      <c r="K1495" s="1" t="s">
        <v>71</v>
      </c>
      <c r="L1495" s="1" t="s">
        <v>85</v>
      </c>
      <c r="M1495" s="1" t="s">
        <v>62</v>
      </c>
      <c r="N1495" s="1" t="n">
        <v>8499</v>
      </c>
      <c r="O1495" s="1" t="n">
        <v>40</v>
      </c>
      <c r="P1495" s="1" t="n">
        <v>3399.6</v>
      </c>
      <c r="Q1495" s="1" t="n">
        <v>5099.4</v>
      </c>
      <c r="R1495" s="1" t="n">
        <v>917.89</v>
      </c>
      <c r="S1495" s="1" t="n">
        <v>4181.51</v>
      </c>
      <c r="T1495" s="1" t="n">
        <v>2191.61</v>
      </c>
      <c r="U1495" s="1" t="n">
        <v>1989.9</v>
      </c>
      <c r="V1495" s="1" t="n">
        <v>47.59</v>
      </c>
      <c r="W1495" s="1" t="s">
        <v>39</v>
      </c>
      <c r="Y1495" s="1" t="s">
        <v>40</v>
      </c>
      <c r="Z1495" s="1" t="n">
        <v>0</v>
      </c>
    </row>
    <row r="1496" customFormat="false" ht="15" hidden="false" customHeight="true" outlineLevel="0" collapsed="false">
      <c r="A1496" s="1" t="s">
        <v>2304</v>
      </c>
      <c r="B1496" s="1" t="s">
        <v>1050</v>
      </c>
      <c r="C1496" s="1" t="s">
        <v>93</v>
      </c>
      <c r="D1496" s="1" t="s">
        <v>80</v>
      </c>
      <c r="E1496" s="1" t="s">
        <v>193</v>
      </c>
      <c r="F1496" s="1" t="s">
        <v>150</v>
      </c>
      <c r="G1496" s="1" t="s">
        <v>32</v>
      </c>
      <c r="H1496" s="1" t="s">
        <v>57</v>
      </c>
      <c r="I1496" s="1" t="s">
        <v>34</v>
      </c>
      <c r="J1496" s="1" t="s">
        <v>59</v>
      </c>
      <c r="K1496" s="1" t="s">
        <v>112</v>
      </c>
      <c r="L1496" s="1" t="s">
        <v>49</v>
      </c>
      <c r="M1496" s="1" t="s">
        <v>50</v>
      </c>
      <c r="N1496" s="1" t="n">
        <v>8999</v>
      </c>
      <c r="O1496" s="1" t="n">
        <v>10</v>
      </c>
      <c r="P1496" s="1" t="n">
        <v>899.9</v>
      </c>
      <c r="Q1496" s="1" t="n">
        <v>8099.1</v>
      </c>
      <c r="R1496" s="1" t="n">
        <v>1457.84</v>
      </c>
      <c r="S1496" s="1" t="n">
        <v>6641.26</v>
      </c>
      <c r="T1496" s="1" t="n">
        <v>2876.37</v>
      </c>
      <c r="U1496" s="1" t="n">
        <v>3764.89</v>
      </c>
      <c r="V1496" s="1" t="n">
        <v>56.69</v>
      </c>
      <c r="W1496" s="1" t="s">
        <v>39</v>
      </c>
      <c r="X1496" s="1" t="n">
        <v>3.9</v>
      </c>
      <c r="Y1496" s="1" t="s">
        <v>40</v>
      </c>
      <c r="Z1496" s="1" t="n">
        <v>0</v>
      </c>
    </row>
    <row r="1497" customFormat="false" ht="15" hidden="false" customHeight="true" outlineLevel="0" collapsed="false">
      <c r="A1497" s="1" t="s">
        <v>2305</v>
      </c>
      <c r="B1497" s="1" t="s">
        <v>809</v>
      </c>
      <c r="C1497" s="1" t="s">
        <v>65</v>
      </c>
      <c r="D1497" s="1" t="s">
        <v>94</v>
      </c>
      <c r="E1497" s="1" t="s">
        <v>135</v>
      </c>
      <c r="F1497" s="1" t="s">
        <v>102</v>
      </c>
      <c r="G1497" s="1" t="s">
        <v>103</v>
      </c>
      <c r="H1497" s="1" t="s">
        <v>33</v>
      </c>
      <c r="I1497" s="1" t="s">
        <v>83</v>
      </c>
      <c r="J1497" s="1" t="s">
        <v>77</v>
      </c>
      <c r="K1497" s="1" t="s">
        <v>104</v>
      </c>
      <c r="L1497" s="1" t="s">
        <v>85</v>
      </c>
      <c r="M1497" s="1" t="s">
        <v>62</v>
      </c>
      <c r="N1497" s="1" t="n">
        <v>9999</v>
      </c>
      <c r="O1497" s="1" t="n">
        <v>25</v>
      </c>
      <c r="P1497" s="1" t="n">
        <v>2499.75</v>
      </c>
      <c r="Q1497" s="1" t="n">
        <v>7499.25</v>
      </c>
      <c r="R1497" s="1" t="n">
        <v>1349.87</v>
      </c>
      <c r="S1497" s="1" t="n">
        <v>6149.38</v>
      </c>
      <c r="T1497" s="1" t="n">
        <v>2738.2</v>
      </c>
      <c r="U1497" s="1" t="n">
        <v>3411.18</v>
      </c>
      <c r="V1497" s="1" t="n">
        <v>55.47</v>
      </c>
      <c r="W1497" s="1" t="s">
        <v>39</v>
      </c>
      <c r="X1497" s="1" t="n">
        <v>4.1</v>
      </c>
      <c r="Y1497" s="1" t="s">
        <v>40</v>
      </c>
      <c r="Z1497" s="1" t="n">
        <v>0</v>
      </c>
    </row>
    <row r="1498" customFormat="false" ht="15" hidden="false" customHeight="true" outlineLevel="0" collapsed="false">
      <c r="A1498" s="1" t="s">
        <v>2306</v>
      </c>
      <c r="B1498" s="1" t="s">
        <v>2307</v>
      </c>
      <c r="C1498" s="1" t="s">
        <v>65</v>
      </c>
      <c r="D1498" s="1" t="s">
        <v>44</v>
      </c>
      <c r="E1498" s="1" t="s">
        <v>221</v>
      </c>
      <c r="F1498" s="1" t="s">
        <v>102</v>
      </c>
      <c r="G1498" s="1" t="s">
        <v>103</v>
      </c>
      <c r="H1498" s="1" t="s">
        <v>33</v>
      </c>
      <c r="I1498" s="1" t="s">
        <v>83</v>
      </c>
      <c r="J1498" s="1" t="s">
        <v>77</v>
      </c>
      <c r="K1498" s="1" t="s">
        <v>112</v>
      </c>
      <c r="L1498" s="1" t="s">
        <v>49</v>
      </c>
      <c r="M1498" s="1" t="s">
        <v>50</v>
      </c>
      <c r="N1498" s="1" t="n">
        <v>16999</v>
      </c>
      <c r="O1498" s="1" t="n">
        <v>10</v>
      </c>
      <c r="P1498" s="1" t="n">
        <v>1699.9</v>
      </c>
      <c r="Q1498" s="1" t="n">
        <v>15299.1</v>
      </c>
      <c r="R1498" s="1" t="n">
        <v>2753.84</v>
      </c>
      <c r="S1498" s="1" t="n">
        <v>12545.26</v>
      </c>
      <c r="T1498" s="1" t="n">
        <v>5657.65</v>
      </c>
      <c r="U1498" s="1" t="n">
        <v>6887.61</v>
      </c>
      <c r="V1498" s="1" t="n">
        <v>54.9</v>
      </c>
      <c r="W1498" s="1" t="s">
        <v>39</v>
      </c>
      <c r="X1498" s="1" t="n">
        <v>4.1</v>
      </c>
      <c r="Y1498" s="1" t="s">
        <v>40</v>
      </c>
      <c r="Z1498" s="1" t="n">
        <v>0</v>
      </c>
    </row>
    <row r="1499" customFormat="false" ht="15" hidden="false" customHeight="true" outlineLevel="0" collapsed="false">
      <c r="A1499" s="1" t="s">
        <v>2308</v>
      </c>
      <c r="B1499" s="1" t="s">
        <v>1367</v>
      </c>
      <c r="C1499" s="1" t="s">
        <v>119</v>
      </c>
      <c r="D1499" s="1" t="s">
        <v>94</v>
      </c>
      <c r="E1499" s="1" t="s">
        <v>95</v>
      </c>
      <c r="F1499" s="1" t="s">
        <v>194</v>
      </c>
      <c r="G1499" s="1" t="s">
        <v>103</v>
      </c>
      <c r="H1499" s="1" t="s">
        <v>69</v>
      </c>
      <c r="I1499" s="1" t="s">
        <v>83</v>
      </c>
      <c r="J1499" s="1" t="s">
        <v>77</v>
      </c>
      <c r="K1499" s="1" t="s">
        <v>104</v>
      </c>
      <c r="L1499" s="1" t="s">
        <v>37</v>
      </c>
      <c r="M1499" s="1" t="s">
        <v>50</v>
      </c>
      <c r="N1499" s="1" t="n">
        <v>6999</v>
      </c>
      <c r="O1499" s="1" t="n">
        <v>10</v>
      </c>
      <c r="P1499" s="1" t="n">
        <v>699.9</v>
      </c>
      <c r="Q1499" s="1" t="n">
        <v>6299.1</v>
      </c>
      <c r="R1499" s="1" t="n">
        <v>1133.84</v>
      </c>
      <c r="S1499" s="1" t="n">
        <v>5165.26</v>
      </c>
      <c r="T1499" s="1" t="n">
        <v>2013.82</v>
      </c>
      <c r="U1499" s="1" t="n">
        <v>3151.44</v>
      </c>
      <c r="V1499" s="1" t="n">
        <v>61.01</v>
      </c>
      <c r="W1499" s="1" t="s">
        <v>40</v>
      </c>
      <c r="Y1499" s="1" t="s">
        <v>40</v>
      </c>
      <c r="Z1499" s="1" t="n">
        <v>2</v>
      </c>
    </row>
    <row r="1500" customFormat="false" ht="15" hidden="false" customHeight="true" outlineLevel="0" collapsed="false">
      <c r="A1500" s="1" t="s">
        <v>2309</v>
      </c>
      <c r="B1500" s="1" t="s">
        <v>155</v>
      </c>
      <c r="C1500" s="1" t="s">
        <v>128</v>
      </c>
      <c r="D1500" s="1" t="s">
        <v>123</v>
      </c>
      <c r="E1500" s="1" t="s">
        <v>124</v>
      </c>
      <c r="F1500" s="1" t="s">
        <v>140</v>
      </c>
      <c r="G1500" s="1" t="s">
        <v>97</v>
      </c>
      <c r="H1500" s="1" t="s">
        <v>57</v>
      </c>
      <c r="I1500" s="1" t="s">
        <v>34</v>
      </c>
      <c r="J1500" s="1" t="s">
        <v>70</v>
      </c>
      <c r="K1500" s="1" t="s">
        <v>90</v>
      </c>
      <c r="L1500" s="1" t="s">
        <v>49</v>
      </c>
      <c r="M1500" s="1" t="s">
        <v>50</v>
      </c>
      <c r="N1500" s="1" t="n">
        <v>4999</v>
      </c>
      <c r="O1500" s="1" t="n">
        <v>5</v>
      </c>
      <c r="P1500" s="1" t="n">
        <v>249.95</v>
      </c>
      <c r="Q1500" s="1" t="n">
        <v>4749.05</v>
      </c>
      <c r="R1500" s="1" t="n">
        <v>854.83</v>
      </c>
      <c r="S1500" s="1" t="n">
        <v>3894.22</v>
      </c>
      <c r="T1500" s="1" t="n">
        <v>1653.25</v>
      </c>
      <c r="U1500" s="1" t="n">
        <v>2240.97</v>
      </c>
      <c r="V1500" s="1" t="n">
        <v>57.55</v>
      </c>
      <c r="W1500" s="1" t="s">
        <v>39</v>
      </c>
      <c r="X1500" s="1" t="n">
        <v>3.1</v>
      </c>
      <c r="Y1500" s="1" t="s">
        <v>40</v>
      </c>
      <c r="Z1500" s="1" t="n">
        <v>0</v>
      </c>
    </row>
    <row r="1501" customFormat="false" ht="15" hidden="false" customHeight="true" outlineLevel="0" collapsed="false">
      <c r="A1501" s="1" t="s">
        <v>2310</v>
      </c>
      <c r="B1501" s="1" t="s">
        <v>2033</v>
      </c>
      <c r="C1501" s="1" t="s">
        <v>93</v>
      </c>
      <c r="D1501" s="1" t="s">
        <v>44</v>
      </c>
      <c r="E1501" s="1" t="s">
        <v>221</v>
      </c>
      <c r="F1501" s="1" t="s">
        <v>269</v>
      </c>
      <c r="G1501" s="1" t="s">
        <v>108</v>
      </c>
      <c r="H1501" s="1" t="s">
        <v>57</v>
      </c>
      <c r="I1501" s="1" t="s">
        <v>34</v>
      </c>
      <c r="J1501" s="1" t="s">
        <v>131</v>
      </c>
      <c r="K1501" s="1" t="s">
        <v>104</v>
      </c>
      <c r="L1501" s="1" t="s">
        <v>85</v>
      </c>
      <c r="M1501" s="1" t="s">
        <v>50</v>
      </c>
      <c r="N1501" s="1" t="n">
        <v>16999</v>
      </c>
      <c r="O1501" s="1" t="n">
        <v>40</v>
      </c>
      <c r="P1501" s="1" t="n">
        <v>6799.6</v>
      </c>
      <c r="Q1501" s="1" t="n">
        <v>10199.4</v>
      </c>
      <c r="R1501" s="1" t="n">
        <v>1835.89</v>
      </c>
      <c r="S1501" s="1" t="n">
        <v>8363.51</v>
      </c>
      <c r="T1501" s="1" t="n">
        <v>4148.3</v>
      </c>
      <c r="U1501" s="1" t="n">
        <v>4215.21</v>
      </c>
      <c r="V1501" s="1" t="n">
        <v>50.4</v>
      </c>
      <c r="W1501" s="1" t="s">
        <v>39</v>
      </c>
      <c r="X1501" s="1" t="n">
        <v>3.9</v>
      </c>
      <c r="Y1501" s="1" t="s">
        <v>40</v>
      </c>
      <c r="Z1501" s="1" t="n">
        <v>0</v>
      </c>
    </row>
    <row r="1502" customFormat="false" ht="15" hidden="false" customHeight="true" outlineLevel="0" collapsed="false">
      <c r="A1502" s="1" t="s">
        <v>2311</v>
      </c>
      <c r="B1502" s="1" t="s">
        <v>1205</v>
      </c>
      <c r="C1502" s="1" t="s">
        <v>134</v>
      </c>
      <c r="D1502" s="1" t="s">
        <v>53</v>
      </c>
      <c r="E1502" s="1" t="s">
        <v>116</v>
      </c>
      <c r="F1502" s="1" t="s">
        <v>102</v>
      </c>
      <c r="G1502" s="1" t="s">
        <v>103</v>
      </c>
      <c r="H1502" s="1" t="s">
        <v>33</v>
      </c>
      <c r="I1502" s="1" t="s">
        <v>34</v>
      </c>
      <c r="J1502" s="1" t="s">
        <v>59</v>
      </c>
      <c r="K1502" s="1" t="s">
        <v>84</v>
      </c>
      <c r="L1502" s="1" t="s">
        <v>113</v>
      </c>
      <c r="M1502" s="1" t="s">
        <v>38</v>
      </c>
      <c r="N1502" s="1" t="n">
        <v>9999</v>
      </c>
      <c r="O1502" s="1" t="n">
        <v>50</v>
      </c>
      <c r="P1502" s="1" t="n">
        <v>4999.5</v>
      </c>
      <c r="Q1502" s="1" t="n">
        <v>4999.5</v>
      </c>
      <c r="R1502" s="1" t="n">
        <v>899.91</v>
      </c>
      <c r="S1502" s="1" t="n">
        <v>4099.59</v>
      </c>
      <c r="T1502" s="1" t="n">
        <v>2150.14</v>
      </c>
      <c r="U1502" s="1" t="n">
        <v>1949.45</v>
      </c>
      <c r="V1502" s="1" t="n">
        <v>47.55</v>
      </c>
      <c r="W1502" s="1" t="s">
        <v>39</v>
      </c>
      <c r="X1502" s="1" t="n">
        <v>3</v>
      </c>
      <c r="Y1502" s="1" t="s">
        <v>40</v>
      </c>
      <c r="Z1502" s="1" t="n">
        <v>1</v>
      </c>
    </row>
    <row r="1503" customFormat="false" ht="15" hidden="false" customHeight="true" outlineLevel="0" collapsed="false">
      <c r="A1503" s="1" t="s">
        <v>2312</v>
      </c>
      <c r="B1503" s="1" t="s">
        <v>1663</v>
      </c>
      <c r="C1503" s="1" t="s">
        <v>74</v>
      </c>
      <c r="D1503" s="1" t="s">
        <v>94</v>
      </c>
      <c r="E1503" s="1" t="s">
        <v>101</v>
      </c>
      <c r="F1503" s="1" t="s">
        <v>269</v>
      </c>
      <c r="G1503" s="1" t="s">
        <v>108</v>
      </c>
      <c r="H1503" s="1" t="s">
        <v>57</v>
      </c>
      <c r="I1503" s="1" t="s">
        <v>83</v>
      </c>
      <c r="J1503" s="1" t="s">
        <v>70</v>
      </c>
      <c r="K1503" s="1" t="s">
        <v>71</v>
      </c>
      <c r="L1503" s="1" t="s">
        <v>85</v>
      </c>
      <c r="M1503" s="1" t="s">
        <v>62</v>
      </c>
      <c r="N1503" s="1" t="n">
        <v>14999</v>
      </c>
      <c r="O1503" s="1" t="n">
        <v>5</v>
      </c>
      <c r="P1503" s="1" t="n">
        <v>749.95</v>
      </c>
      <c r="Q1503" s="1" t="n">
        <v>14249.05</v>
      </c>
      <c r="R1503" s="1" t="n">
        <v>2564.83</v>
      </c>
      <c r="S1503" s="1" t="n">
        <v>11684.22</v>
      </c>
      <c r="T1503" s="1" t="n">
        <v>5258.31</v>
      </c>
      <c r="U1503" s="1" t="n">
        <v>6425.91</v>
      </c>
      <c r="V1503" s="1" t="n">
        <v>55</v>
      </c>
      <c r="W1503" s="1" t="s">
        <v>39</v>
      </c>
      <c r="X1503" s="1" t="n">
        <v>3.4</v>
      </c>
      <c r="Y1503" s="1" t="s">
        <v>40</v>
      </c>
      <c r="Z1503" s="1" t="n">
        <v>1</v>
      </c>
    </row>
    <row r="1504" customFormat="false" ht="15" hidden="false" customHeight="true" outlineLevel="0" collapsed="false">
      <c r="A1504" s="1" t="s">
        <v>2313</v>
      </c>
      <c r="B1504" s="1" t="s">
        <v>1298</v>
      </c>
      <c r="C1504" s="1" t="s">
        <v>65</v>
      </c>
      <c r="D1504" s="1" t="s">
        <v>123</v>
      </c>
      <c r="E1504" s="1" t="s">
        <v>147</v>
      </c>
      <c r="F1504" s="1" t="s">
        <v>75</v>
      </c>
      <c r="G1504" s="1" t="s">
        <v>76</v>
      </c>
      <c r="H1504" s="1" t="s">
        <v>69</v>
      </c>
      <c r="I1504" s="1" t="s">
        <v>58</v>
      </c>
      <c r="J1504" s="1" t="s">
        <v>77</v>
      </c>
      <c r="K1504" s="1" t="s">
        <v>90</v>
      </c>
      <c r="L1504" s="1" t="s">
        <v>113</v>
      </c>
      <c r="M1504" s="1" t="s">
        <v>62</v>
      </c>
      <c r="N1504" s="1" t="n">
        <v>6999</v>
      </c>
      <c r="O1504" s="1" t="n">
        <v>0</v>
      </c>
      <c r="P1504" s="1" t="n">
        <v>0</v>
      </c>
      <c r="Q1504" s="1" t="n">
        <v>6999</v>
      </c>
      <c r="R1504" s="1" t="n">
        <v>1259.82</v>
      </c>
      <c r="S1504" s="1" t="n">
        <v>5739.18</v>
      </c>
      <c r="T1504" s="1" t="n">
        <v>2424.21</v>
      </c>
      <c r="U1504" s="1" t="n">
        <v>3314.97</v>
      </c>
      <c r="V1504" s="1" t="n">
        <v>57.76</v>
      </c>
      <c r="W1504" s="1" t="s">
        <v>40</v>
      </c>
      <c r="Y1504" s="1" t="s">
        <v>40</v>
      </c>
      <c r="Z1504" s="1" t="n">
        <v>1</v>
      </c>
    </row>
    <row r="1505" customFormat="false" ht="15" hidden="false" customHeight="true" outlineLevel="0" collapsed="false">
      <c r="A1505" s="1" t="s">
        <v>2314</v>
      </c>
      <c r="B1505" s="1" t="s">
        <v>87</v>
      </c>
      <c r="C1505" s="1" t="s">
        <v>119</v>
      </c>
      <c r="D1505" s="1" t="s">
        <v>44</v>
      </c>
      <c r="E1505" s="1" t="s">
        <v>221</v>
      </c>
      <c r="F1505" s="1" t="s">
        <v>153</v>
      </c>
      <c r="G1505" s="1" t="s">
        <v>76</v>
      </c>
      <c r="H1505" s="1" t="s">
        <v>33</v>
      </c>
      <c r="I1505" s="1" t="s">
        <v>83</v>
      </c>
      <c r="J1505" s="1" t="s">
        <v>35</v>
      </c>
      <c r="K1505" s="1" t="s">
        <v>48</v>
      </c>
      <c r="L1505" s="1" t="s">
        <v>136</v>
      </c>
      <c r="M1505" s="1" t="s">
        <v>50</v>
      </c>
      <c r="N1505" s="1" t="n">
        <v>16999</v>
      </c>
      <c r="O1505" s="1" t="n">
        <v>30</v>
      </c>
      <c r="P1505" s="1" t="n">
        <v>5099.7</v>
      </c>
      <c r="Q1505" s="1" t="n">
        <v>11899.3</v>
      </c>
      <c r="R1505" s="1" t="n">
        <v>2141.87</v>
      </c>
      <c r="S1505" s="1" t="n">
        <v>9757.43</v>
      </c>
      <c r="T1505" s="1" t="n">
        <v>3841.78</v>
      </c>
      <c r="U1505" s="1" t="n">
        <v>5915.65</v>
      </c>
      <c r="V1505" s="1" t="n">
        <v>60.63</v>
      </c>
      <c r="W1505" s="1" t="s">
        <v>39</v>
      </c>
      <c r="X1505" s="1" t="n">
        <v>3.7</v>
      </c>
      <c r="Y1505" s="1" t="s">
        <v>40</v>
      </c>
      <c r="Z1505" s="1" t="n">
        <v>0</v>
      </c>
    </row>
    <row r="1506" customFormat="false" ht="15" hidden="false" customHeight="true" outlineLevel="0" collapsed="false">
      <c r="A1506" s="1" t="s">
        <v>2315</v>
      </c>
      <c r="B1506" s="1" t="s">
        <v>1128</v>
      </c>
      <c r="C1506" s="1" t="s">
        <v>65</v>
      </c>
      <c r="D1506" s="1" t="s">
        <v>143</v>
      </c>
      <c r="E1506" s="1" t="s">
        <v>162</v>
      </c>
      <c r="F1506" s="1" t="s">
        <v>194</v>
      </c>
      <c r="G1506" s="1" t="s">
        <v>103</v>
      </c>
      <c r="H1506" s="1" t="s">
        <v>69</v>
      </c>
      <c r="I1506" s="1" t="s">
        <v>34</v>
      </c>
      <c r="J1506" s="1" t="s">
        <v>59</v>
      </c>
      <c r="K1506" s="1" t="s">
        <v>48</v>
      </c>
      <c r="L1506" s="1" t="s">
        <v>85</v>
      </c>
      <c r="M1506" s="1" t="s">
        <v>50</v>
      </c>
      <c r="N1506" s="1" t="n">
        <v>14999</v>
      </c>
      <c r="O1506" s="1" t="n">
        <v>0</v>
      </c>
      <c r="P1506" s="1" t="n">
        <v>0</v>
      </c>
      <c r="Q1506" s="1" t="n">
        <v>14999</v>
      </c>
      <c r="R1506" s="1" t="n">
        <v>2699.82</v>
      </c>
      <c r="S1506" s="1" t="n">
        <v>12299.18</v>
      </c>
      <c r="T1506" s="1" t="n">
        <v>5757</v>
      </c>
      <c r="U1506" s="1" t="n">
        <v>6542.18</v>
      </c>
      <c r="V1506" s="1" t="n">
        <v>53.19</v>
      </c>
      <c r="W1506" s="1" t="s">
        <v>39</v>
      </c>
      <c r="X1506" s="1" t="n">
        <v>4</v>
      </c>
      <c r="Y1506" s="1" t="s">
        <v>40</v>
      </c>
      <c r="Z1506" s="1" t="n">
        <v>0</v>
      </c>
    </row>
    <row r="1507" customFormat="false" ht="15" hidden="false" customHeight="true" outlineLevel="0" collapsed="false">
      <c r="A1507" s="1" t="s">
        <v>2316</v>
      </c>
      <c r="B1507" s="1" t="s">
        <v>122</v>
      </c>
      <c r="C1507" s="1" t="s">
        <v>178</v>
      </c>
      <c r="D1507" s="1" t="s">
        <v>94</v>
      </c>
      <c r="E1507" s="1" t="s">
        <v>95</v>
      </c>
      <c r="F1507" s="1" t="s">
        <v>184</v>
      </c>
      <c r="G1507" s="1" t="s">
        <v>56</v>
      </c>
      <c r="H1507" s="1" t="s">
        <v>57</v>
      </c>
      <c r="I1507" s="1" t="s">
        <v>83</v>
      </c>
      <c r="J1507" s="1" t="s">
        <v>59</v>
      </c>
      <c r="K1507" s="1" t="s">
        <v>36</v>
      </c>
      <c r="L1507" s="1" t="s">
        <v>61</v>
      </c>
      <c r="M1507" s="1" t="s">
        <v>38</v>
      </c>
      <c r="N1507" s="1" t="n">
        <v>6999</v>
      </c>
      <c r="O1507" s="1" t="n">
        <v>15</v>
      </c>
      <c r="P1507" s="1" t="n">
        <v>1049.85</v>
      </c>
      <c r="Q1507" s="1" t="n">
        <v>5949.15</v>
      </c>
      <c r="R1507" s="1" t="n">
        <v>1070.85</v>
      </c>
      <c r="S1507" s="1" t="n">
        <v>4878.3</v>
      </c>
      <c r="T1507" s="1" t="n">
        <v>2110.86</v>
      </c>
      <c r="U1507" s="1" t="n">
        <v>2767.44</v>
      </c>
      <c r="V1507" s="1" t="n">
        <v>56.73</v>
      </c>
      <c r="W1507" s="1" t="s">
        <v>39</v>
      </c>
      <c r="X1507" s="1" t="n">
        <v>3.8</v>
      </c>
      <c r="Y1507" s="1" t="s">
        <v>39</v>
      </c>
      <c r="Z1507" s="1" t="n">
        <v>0</v>
      </c>
    </row>
    <row r="1508" customFormat="false" ht="15" hidden="false" customHeight="true" outlineLevel="0" collapsed="false">
      <c r="A1508" s="1" t="s">
        <v>2317</v>
      </c>
      <c r="B1508" s="1" t="s">
        <v>742</v>
      </c>
      <c r="C1508" s="1" t="s">
        <v>88</v>
      </c>
      <c r="D1508" s="1" t="s">
        <v>168</v>
      </c>
      <c r="E1508" s="1" t="s">
        <v>172</v>
      </c>
      <c r="F1508" s="1" t="s">
        <v>125</v>
      </c>
      <c r="G1508" s="1" t="s">
        <v>108</v>
      </c>
      <c r="H1508" s="1" t="s">
        <v>69</v>
      </c>
      <c r="I1508" s="1" t="s">
        <v>83</v>
      </c>
      <c r="J1508" s="1" t="s">
        <v>35</v>
      </c>
      <c r="K1508" s="1" t="s">
        <v>84</v>
      </c>
      <c r="L1508" s="1" t="s">
        <v>49</v>
      </c>
      <c r="M1508" s="1" t="s">
        <v>50</v>
      </c>
      <c r="N1508" s="1" t="n">
        <v>6999</v>
      </c>
      <c r="O1508" s="1" t="n">
        <v>40</v>
      </c>
      <c r="P1508" s="1" t="n">
        <v>2799.6</v>
      </c>
      <c r="Q1508" s="1" t="n">
        <v>4199.4</v>
      </c>
      <c r="R1508" s="1" t="n">
        <v>755.89</v>
      </c>
      <c r="S1508" s="1" t="n">
        <v>3443.51</v>
      </c>
      <c r="T1508" s="1" t="n">
        <v>1469.63</v>
      </c>
      <c r="U1508" s="1" t="n">
        <v>1973.88</v>
      </c>
      <c r="V1508" s="1" t="n">
        <v>57.32</v>
      </c>
      <c r="W1508" s="1" t="s">
        <v>40</v>
      </c>
      <c r="Y1508" s="1" t="s">
        <v>40</v>
      </c>
      <c r="Z1508" s="1" t="n">
        <v>0</v>
      </c>
    </row>
    <row r="1509" customFormat="false" ht="15" hidden="false" customHeight="true" outlineLevel="0" collapsed="false">
      <c r="A1509" s="1" t="s">
        <v>2318</v>
      </c>
      <c r="B1509" s="1" t="s">
        <v>1226</v>
      </c>
      <c r="C1509" s="1" t="s">
        <v>43</v>
      </c>
      <c r="D1509" s="1" t="s">
        <v>94</v>
      </c>
      <c r="E1509" s="1" t="s">
        <v>95</v>
      </c>
      <c r="F1509" s="1" t="s">
        <v>89</v>
      </c>
      <c r="G1509" s="1" t="s">
        <v>68</v>
      </c>
      <c r="H1509" s="1" t="s">
        <v>33</v>
      </c>
      <c r="I1509" s="1" t="s">
        <v>83</v>
      </c>
      <c r="J1509" s="1" t="s">
        <v>70</v>
      </c>
      <c r="K1509" s="1" t="s">
        <v>48</v>
      </c>
      <c r="L1509" s="1" t="s">
        <v>136</v>
      </c>
      <c r="M1509" s="1" t="s">
        <v>62</v>
      </c>
      <c r="N1509" s="1" t="n">
        <v>6999</v>
      </c>
      <c r="O1509" s="1" t="n">
        <v>25</v>
      </c>
      <c r="P1509" s="1" t="n">
        <v>1749.75</v>
      </c>
      <c r="Q1509" s="1" t="n">
        <v>5249.25</v>
      </c>
      <c r="R1509" s="1" t="n">
        <v>944.87</v>
      </c>
      <c r="S1509" s="1" t="n">
        <v>4304.38</v>
      </c>
      <c r="T1509" s="1" t="n">
        <v>1779.22</v>
      </c>
      <c r="U1509" s="1" t="n">
        <v>2525.16</v>
      </c>
      <c r="V1509" s="1" t="n">
        <v>58.66</v>
      </c>
      <c r="W1509" s="1" t="s">
        <v>39</v>
      </c>
      <c r="X1509" s="1" t="n">
        <v>3.5</v>
      </c>
      <c r="Y1509" s="1" t="s">
        <v>40</v>
      </c>
      <c r="Z1509" s="1" t="n">
        <v>0</v>
      </c>
    </row>
    <row r="1510" customFormat="false" ht="15" hidden="false" customHeight="true" outlineLevel="0" collapsed="false">
      <c r="A1510" s="1" t="s">
        <v>2319</v>
      </c>
      <c r="B1510" s="1" t="s">
        <v>261</v>
      </c>
      <c r="C1510" s="1" t="s">
        <v>204</v>
      </c>
      <c r="D1510" s="1" t="s">
        <v>143</v>
      </c>
      <c r="E1510" s="1" t="s">
        <v>162</v>
      </c>
      <c r="F1510" s="1" t="s">
        <v>184</v>
      </c>
      <c r="G1510" s="1" t="s">
        <v>56</v>
      </c>
      <c r="H1510" s="1" t="s">
        <v>57</v>
      </c>
      <c r="I1510" s="1" t="s">
        <v>58</v>
      </c>
      <c r="J1510" s="1" t="s">
        <v>70</v>
      </c>
      <c r="K1510" s="1" t="s">
        <v>48</v>
      </c>
      <c r="L1510" s="1" t="s">
        <v>37</v>
      </c>
      <c r="M1510" s="1" t="s">
        <v>50</v>
      </c>
      <c r="N1510" s="1" t="n">
        <v>14999</v>
      </c>
      <c r="O1510" s="1" t="n">
        <v>25</v>
      </c>
      <c r="P1510" s="1" t="n">
        <v>3749.75</v>
      </c>
      <c r="Q1510" s="1" t="n">
        <v>11249.25</v>
      </c>
      <c r="R1510" s="1" t="n">
        <v>2024.87</v>
      </c>
      <c r="S1510" s="1" t="n">
        <v>9224.38</v>
      </c>
      <c r="T1510" s="1" t="n">
        <v>3777.27</v>
      </c>
      <c r="U1510" s="1" t="n">
        <v>5447.11</v>
      </c>
      <c r="V1510" s="1" t="n">
        <v>59.05</v>
      </c>
      <c r="W1510" s="1" t="s">
        <v>39</v>
      </c>
      <c r="X1510" s="1" t="n">
        <v>3.8</v>
      </c>
      <c r="Y1510" s="1" t="s">
        <v>40</v>
      </c>
      <c r="Z1510" s="1" t="n">
        <v>0</v>
      </c>
    </row>
    <row r="1511" customFormat="false" ht="15" hidden="false" customHeight="true" outlineLevel="0" collapsed="false">
      <c r="A1511" s="1" t="s">
        <v>2320</v>
      </c>
      <c r="B1511" s="1" t="s">
        <v>477</v>
      </c>
      <c r="C1511" s="1" t="s">
        <v>264</v>
      </c>
      <c r="D1511" s="1" t="s">
        <v>94</v>
      </c>
      <c r="E1511" s="1" t="s">
        <v>101</v>
      </c>
      <c r="F1511" s="1" t="s">
        <v>89</v>
      </c>
      <c r="G1511" s="1" t="s">
        <v>68</v>
      </c>
      <c r="H1511" s="1" t="s">
        <v>33</v>
      </c>
      <c r="I1511" s="1" t="s">
        <v>83</v>
      </c>
      <c r="J1511" s="1" t="s">
        <v>131</v>
      </c>
      <c r="K1511" s="1" t="s">
        <v>48</v>
      </c>
      <c r="L1511" s="1" t="s">
        <v>113</v>
      </c>
      <c r="M1511" s="1" t="s">
        <v>38</v>
      </c>
      <c r="N1511" s="1" t="n">
        <v>14999</v>
      </c>
      <c r="O1511" s="1" t="n">
        <v>0</v>
      </c>
      <c r="P1511" s="1" t="n">
        <v>0</v>
      </c>
      <c r="Q1511" s="1" t="n">
        <v>14999</v>
      </c>
      <c r="R1511" s="1" t="n">
        <v>2699.82</v>
      </c>
      <c r="S1511" s="1" t="n">
        <v>12299.18</v>
      </c>
      <c r="T1511" s="1" t="n">
        <v>4291.31</v>
      </c>
      <c r="U1511" s="1" t="n">
        <v>8007.87</v>
      </c>
      <c r="V1511" s="1" t="n">
        <v>65.11</v>
      </c>
      <c r="W1511" s="1" t="s">
        <v>40</v>
      </c>
      <c r="Y1511" s="1" t="s">
        <v>40</v>
      </c>
      <c r="Z1511" s="1" t="n">
        <v>0</v>
      </c>
    </row>
    <row r="1512" customFormat="false" ht="15" hidden="false" customHeight="true" outlineLevel="0" collapsed="false">
      <c r="A1512" s="1" t="s">
        <v>2321</v>
      </c>
      <c r="B1512" s="1" t="s">
        <v>1573</v>
      </c>
      <c r="C1512" s="1" t="s">
        <v>65</v>
      </c>
      <c r="D1512" s="1" t="s">
        <v>53</v>
      </c>
      <c r="E1512" s="1" t="s">
        <v>216</v>
      </c>
      <c r="F1512" s="1" t="s">
        <v>125</v>
      </c>
      <c r="G1512" s="1" t="s">
        <v>108</v>
      </c>
      <c r="H1512" s="1" t="s">
        <v>69</v>
      </c>
      <c r="I1512" s="1" t="s">
        <v>34</v>
      </c>
      <c r="J1512" s="1" t="s">
        <v>35</v>
      </c>
      <c r="K1512" s="1" t="s">
        <v>71</v>
      </c>
      <c r="L1512" s="1" t="s">
        <v>113</v>
      </c>
      <c r="M1512" s="1" t="s">
        <v>50</v>
      </c>
      <c r="N1512" s="1" t="n">
        <v>7499</v>
      </c>
      <c r="O1512" s="1" t="n">
        <v>40</v>
      </c>
      <c r="P1512" s="1" t="n">
        <v>2999.6</v>
      </c>
      <c r="Q1512" s="1" t="n">
        <v>4499.4</v>
      </c>
      <c r="R1512" s="1" t="n">
        <v>809.89</v>
      </c>
      <c r="S1512" s="1" t="n">
        <v>3689.51</v>
      </c>
      <c r="T1512" s="1" t="n">
        <v>1780.82</v>
      </c>
      <c r="U1512" s="1" t="n">
        <v>1908.69</v>
      </c>
      <c r="V1512" s="1" t="n">
        <v>51.73</v>
      </c>
      <c r="W1512" s="1" t="s">
        <v>40</v>
      </c>
      <c r="Y1512" s="1" t="s">
        <v>39</v>
      </c>
      <c r="Z1512" s="1" t="n">
        <v>1</v>
      </c>
    </row>
    <row r="1513" customFormat="false" ht="15" hidden="false" customHeight="true" outlineLevel="0" collapsed="false">
      <c r="A1513" s="1" t="s">
        <v>2322</v>
      </c>
      <c r="B1513" s="1" t="s">
        <v>1795</v>
      </c>
      <c r="C1513" s="1" t="s">
        <v>139</v>
      </c>
      <c r="D1513" s="1" t="s">
        <v>123</v>
      </c>
      <c r="E1513" s="1" t="s">
        <v>233</v>
      </c>
      <c r="F1513" s="1" t="s">
        <v>244</v>
      </c>
      <c r="G1513" s="1" t="s">
        <v>97</v>
      </c>
      <c r="H1513" s="1" t="s">
        <v>57</v>
      </c>
      <c r="I1513" s="1" t="s">
        <v>34</v>
      </c>
      <c r="J1513" s="1" t="s">
        <v>35</v>
      </c>
      <c r="K1513" s="1" t="s">
        <v>71</v>
      </c>
      <c r="L1513" s="1" t="s">
        <v>49</v>
      </c>
      <c r="M1513" s="1" t="s">
        <v>50</v>
      </c>
      <c r="N1513" s="1" t="n">
        <v>8999</v>
      </c>
      <c r="O1513" s="1" t="n">
        <v>30</v>
      </c>
      <c r="P1513" s="1" t="n">
        <v>2699.7</v>
      </c>
      <c r="Q1513" s="1" t="n">
        <v>6299.3</v>
      </c>
      <c r="R1513" s="1" t="n">
        <v>1133.87</v>
      </c>
      <c r="S1513" s="1" t="n">
        <v>5165.43</v>
      </c>
      <c r="T1513" s="1" t="n">
        <v>2458.14</v>
      </c>
      <c r="U1513" s="1" t="n">
        <v>2707.29</v>
      </c>
      <c r="V1513" s="1" t="n">
        <v>52.41</v>
      </c>
      <c r="W1513" s="1" t="s">
        <v>40</v>
      </c>
      <c r="Y1513" s="1" t="s">
        <v>40</v>
      </c>
      <c r="Z1513" s="1" t="n">
        <v>0</v>
      </c>
    </row>
    <row r="1514" customFormat="false" ht="15" hidden="false" customHeight="true" outlineLevel="0" collapsed="false">
      <c r="A1514" s="1" t="s">
        <v>2323</v>
      </c>
      <c r="B1514" s="1" t="s">
        <v>1111</v>
      </c>
      <c r="C1514" s="1" t="s">
        <v>74</v>
      </c>
      <c r="D1514" s="1" t="s">
        <v>29</v>
      </c>
      <c r="E1514" s="1" t="s">
        <v>129</v>
      </c>
      <c r="F1514" s="1" t="s">
        <v>130</v>
      </c>
      <c r="G1514" s="1" t="s">
        <v>47</v>
      </c>
      <c r="H1514" s="1" t="s">
        <v>69</v>
      </c>
      <c r="I1514" s="1" t="s">
        <v>34</v>
      </c>
      <c r="J1514" s="1" t="s">
        <v>35</v>
      </c>
      <c r="K1514" s="1" t="s">
        <v>60</v>
      </c>
      <c r="L1514" s="1" t="s">
        <v>61</v>
      </c>
      <c r="M1514" s="1" t="s">
        <v>38</v>
      </c>
      <c r="N1514" s="1" t="n">
        <v>29999</v>
      </c>
      <c r="O1514" s="1" t="n">
        <v>30</v>
      </c>
      <c r="P1514" s="1" t="n">
        <v>8999.7</v>
      </c>
      <c r="Q1514" s="1" t="n">
        <v>20999.3</v>
      </c>
      <c r="R1514" s="1" t="n">
        <v>3779.87</v>
      </c>
      <c r="S1514" s="1" t="n">
        <v>17219.43</v>
      </c>
      <c r="T1514" s="1" t="n">
        <v>5764.44</v>
      </c>
      <c r="U1514" s="1" t="n">
        <v>11454.99</v>
      </c>
      <c r="V1514" s="1" t="n">
        <v>66.52</v>
      </c>
      <c r="W1514" s="1" t="s">
        <v>39</v>
      </c>
      <c r="X1514" s="1" t="n">
        <v>4.1</v>
      </c>
      <c r="Y1514" s="1" t="s">
        <v>40</v>
      </c>
      <c r="Z1514" s="1" t="n">
        <v>0</v>
      </c>
    </row>
    <row r="1515" customFormat="false" ht="15" hidden="false" customHeight="true" outlineLevel="0" collapsed="false">
      <c r="A1515" s="1" t="s">
        <v>2324</v>
      </c>
      <c r="B1515" s="1" t="s">
        <v>64</v>
      </c>
      <c r="C1515" s="1" t="s">
        <v>119</v>
      </c>
      <c r="D1515" s="1" t="s">
        <v>80</v>
      </c>
      <c r="E1515" s="1" t="s">
        <v>175</v>
      </c>
      <c r="F1515" s="1" t="s">
        <v>140</v>
      </c>
      <c r="G1515" s="1" t="s">
        <v>97</v>
      </c>
      <c r="H1515" s="1" t="s">
        <v>57</v>
      </c>
      <c r="I1515" s="1" t="s">
        <v>83</v>
      </c>
      <c r="J1515" s="1" t="s">
        <v>131</v>
      </c>
      <c r="K1515" s="1" t="s">
        <v>84</v>
      </c>
      <c r="L1515" s="1" t="s">
        <v>37</v>
      </c>
      <c r="M1515" s="1" t="s">
        <v>62</v>
      </c>
      <c r="N1515" s="1" t="n">
        <v>19999</v>
      </c>
      <c r="O1515" s="1" t="n">
        <v>10</v>
      </c>
      <c r="P1515" s="1" t="n">
        <v>1999.9</v>
      </c>
      <c r="Q1515" s="1" t="n">
        <v>17999.1</v>
      </c>
      <c r="R1515" s="1" t="n">
        <v>3239.84</v>
      </c>
      <c r="S1515" s="1" t="n">
        <v>14759.26</v>
      </c>
      <c r="T1515" s="1" t="n">
        <v>6647.06</v>
      </c>
      <c r="U1515" s="1" t="n">
        <v>8112.2</v>
      </c>
      <c r="V1515" s="1" t="n">
        <v>54.96</v>
      </c>
      <c r="W1515" s="1" t="s">
        <v>40</v>
      </c>
      <c r="Y1515" s="1" t="s">
        <v>40</v>
      </c>
      <c r="Z1515" s="1" t="n">
        <v>1</v>
      </c>
    </row>
    <row r="1516" customFormat="false" ht="15" hidden="false" customHeight="true" outlineLevel="0" collapsed="false">
      <c r="A1516" s="1" t="s">
        <v>2325</v>
      </c>
      <c r="B1516" s="1" t="s">
        <v>2326</v>
      </c>
      <c r="C1516" s="1" t="s">
        <v>65</v>
      </c>
      <c r="D1516" s="1" t="s">
        <v>29</v>
      </c>
      <c r="E1516" s="1" t="s">
        <v>182</v>
      </c>
      <c r="F1516" s="1" t="s">
        <v>96</v>
      </c>
      <c r="G1516" s="1" t="s">
        <v>97</v>
      </c>
      <c r="H1516" s="1" t="s">
        <v>69</v>
      </c>
      <c r="I1516" s="1" t="s">
        <v>58</v>
      </c>
      <c r="J1516" s="1" t="s">
        <v>59</v>
      </c>
      <c r="K1516" s="1" t="s">
        <v>71</v>
      </c>
      <c r="L1516" s="1" t="s">
        <v>37</v>
      </c>
      <c r="M1516" s="1" t="s">
        <v>62</v>
      </c>
      <c r="N1516" s="1" t="n">
        <v>34999</v>
      </c>
      <c r="O1516" s="1" t="n">
        <v>25</v>
      </c>
      <c r="P1516" s="1" t="n">
        <v>8749.75</v>
      </c>
      <c r="Q1516" s="1" t="n">
        <v>26249.25</v>
      </c>
      <c r="R1516" s="1" t="n">
        <v>4724.86</v>
      </c>
      <c r="S1516" s="1" t="n">
        <v>21524.39</v>
      </c>
      <c r="T1516" s="1" t="n">
        <v>7190.78</v>
      </c>
      <c r="U1516" s="1" t="n">
        <v>14333.61</v>
      </c>
      <c r="V1516" s="1" t="n">
        <v>66.59</v>
      </c>
      <c r="W1516" s="1" t="s">
        <v>39</v>
      </c>
      <c r="X1516" s="1" t="n">
        <v>3.2</v>
      </c>
      <c r="Y1516" s="1" t="s">
        <v>40</v>
      </c>
      <c r="Z1516" s="1" t="n">
        <v>3</v>
      </c>
    </row>
    <row r="1517" customFormat="false" ht="15" hidden="false" customHeight="true" outlineLevel="0" collapsed="false">
      <c r="A1517" s="1" t="s">
        <v>2327</v>
      </c>
      <c r="B1517" s="1" t="s">
        <v>1948</v>
      </c>
      <c r="C1517" s="1" t="s">
        <v>28</v>
      </c>
      <c r="D1517" s="1" t="s">
        <v>94</v>
      </c>
      <c r="E1517" s="1" t="s">
        <v>135</v>
      </c>
      <c r="F1517" s="1" t="s">
        <v>187</v>
      </c>
      <c r="G1517" s="1" t="s">
        <v>97</v>
      </c>
      <c r="H1517" s="1" t="s">
        <v>69</v>
      </c>
      <c r="I1517" s="1" t="s">
        <v>58</v>
      </c>
      <c r="J1517" s="1" t="s">
        <v>77</v>
      </c>
      <c r="K1517" s="1" t="s">
        <v>84</v>
      </c>
      <c r="L1517" s="1" t="s">
        <v>61</v>
      </c>
      <c r="M1517" s="1" t="s">
        <v>62</v>
      </c>
      <c r="N1517" s="1" t="n">
        <v>9999</v>
      </c>
      <c r="O1517" s="1" t="n">
        <v>25</v>
      </c>
      <c r="P1517" s="1" t="n">
        <v>2499.75</v>
      </c>
      <c r="Q1517" s="1" t="n">
        <v>7499.25</v>
      </c>
      <c r="R1517" s="1" t="n">
        <v>1349.87</v>
      </c>
      <c r="S1517" s="1" t="n">
        <v>6149.38</v>
      </c>
      <c r="T1517" s="1" t="n">
        <v>3148.77</v>
      </c>
      <c r="U1517" s="1" t="n">
        <v>3000.61</v>
      </c>
      <c r="V1517" s="1" t="n">
        <v>48.8</v>
      </c>
      <c r="W1517" s="1" t="s">
        <v>39</v>
      </c>
      <c r="X1517" s="1" t="n">
        <v>4</v>
      </c>
      <c r="Y1517" s="1" t="s">
        <v>40</v>
      </c>
      <c r="Z1517" s="1" t="n">
        <v>0</v>
      </c>
    </row>
    <row r="1518" customFormat="false" ht="15" hidden="false" customHeight="true" outlineLevel="0" collapsed="false">
      <c r="A1518" s="1" t="s">
        <v>2328</v>
      </c>
      <c r="B1518" s="1" t="s">
        <v>255</v>
      </c>
      <c r="C1518" s="1" t="s">
        <v>74</v>
      </c>
      <c r="D1518" s="1" t="s">
        <v>123</v>
      </c>
      <c r="E1518" s="1" t="s">
        <v>147</v>
      </c>
      <c r="F1518" s="1" t="s">
        <v>96</v>
      </c>
      <c r="G1518" s="1" t="s">
        <v>97</v>
      </c>
      <c r="H1518" s="1" t="s">
        <v>69</v>
      </c>
      <c r="I1518" s="1" t="s">
        <v>83</v>
      </c>
      <c r="J1518" s="1" t="s">
        <v>77</v>
      </c>
      <c r="K1518" s="1" t="s">
        <v>112</v>
      </c>
      <c r="L1518" s="1" t="s">
        <v>61</v>
      </c>
      <c r="M1518" s="1" t="s">
        <v>62</v>
      </c>
      <c r="N1518" s="1" t="n">
        <v>6999</v>
      </c>
      <c r="O1518" s="1" t="n">
        <v>5</v>
      </c>
      <c r="P1518" s="1" t="n">
        <v>349.95</v>
      </c>
      <c r="Q1518" s="1" t="n">
        <v>6649.05</v>
      </c>
      <c r="R1518" s="1" t="n">
        <v>1196.83</v>
      </c>
      <c r="S1518" s="1" t="n">
        <v>5452.22</v>
      </c>
      <c r="T1518" s="1" t="n">
        <v>1876.09</v>
      </c>
      <c r="U1518" s="1" t="n">
        <v>3576.13</v>
      </c>
      <c r="V1518" s="1" t="n">
        <v>65.59</v>
      </c>
      <c r="W1518" s="1" t="s">
        <v>39</v>
      </c>
      <c r="X1518" s="1" t="n">
        <v>3.7</v>
      </c>
      <c r="Y1518" s="1" t="s">
        <v>40</v>
      </c>
      <c r="Z1518" s="1" t="n">
        <v>1</v>
      </c>
    </row>
    <row r="1519" customFormat="false" ht="15" hidden="false" customHeight="true" outlineLevel="0" collapsed="false">
      <c r="A1519" s="1" t="s">
        <v>2329</v>
      </c>
      <c r="B1519" s="1" t="s">
        <v>2330</v>
      </c>
      <c r="C1519" s="1" t="s">
        <v>88</v>
      </c>
      <c r="D1519" s="1" t="s">
        <v>168</v>
      </c>
      <c r="E1519" s="1" t="s">
        <v>172</v>
      </c>
      <c r="F1519" s="1" t="s">
        <v>89</v>
      </c>
      <c r="G1519" s="1" t="s">
        <v>68</v>
      </c>
      <c r="H1519" s="1" t="s">
        <v>33</v>
      </c>
      <c r="I1519" s="1" t="s">
        <v>58</v>
      </c>
      <c r="J1519" s="1" t="s">
        <v>35</v>
      </c>
      <c r="K1519" s="1" t="s">
        <v>84</v>
      </c>
      <c r="L1519" s="1" t="s">
        <v>61</v>
      </c>
      <c r="M1519" s="1" t="s">
        <v>62</v>
      </c>
      <c r="N1519" s="1" t="n">
        <v>6999</v>
      </c>
      <c r="O1519" s="1" t="n">
        <v>0</v>
      </c>
      <c r="P1519" s="1" t="n">
        <v>0</v>
      </c>
      <c r="Q1519" s="1" t="n">
        <v>6999</v>
      </c>
      <c r="R1519" s="1" t="n">
        <v>1259.82</v>
      </c>
      <c r="S1519" s="1" t="n">
        <v>5739.18</v>
      </c>
      <c r="T1519" s="1" t="n">
        <v>2389.74</v>
      </c>
      <c r="U1519" s="1" t="n">
        <v>3349.44</v>
      </c>
      <c r="V1519" s="1" t="n">
        <v>58.36</v>
      </c>
      <c r="W1519" s="1" t="s">
        <v>39</v>
      </c>
      <c r="X1519" s="1" t="n">
        <v>4.1</v>
      </c>
      <c r="Y1519" s="1" t="s">
        <v>40</v>
      </c>
      <c r="Z1519" s="1" t="n">
        <v>0</v>
      </c>
    </row>
    <row r="1520" customFormat="false" ht="15" hidden="false" customHeight="true" outlineLevel="0" collapsed="false">
      <c r="A1520" s="1" t="s">
        <v>2331</v>
      </c>
      <c r="B1520" s="1" t="s">
        <v>965</v>
      </c>
      <c r="C1520" s="1" t="s">
        <v>65</v>
      </c>
      <c r="D1520" s="1" t="s">
        <v>80</v>
      </c>
      <c r="E1520" s="1" t="s">
        <v>193</v>
      </c>
      <c r="F1520" s="1" t="s">
        <v>130</v>
      </c>
      <c r="G1520" s="1" t="s">
        <v>47</v>
      </c>
      <c r="H1520" s="1" t="s">
        <v>69</v>
      </c>
      <c r="I1520" s="1" t="s">
        <v>83</v>
      </c>
      <c r="J1520" s="1" t="s">
        <v>77</v>
      </c>
      <c r="K1520" s="1" t="s">
        <v>60</v>
      </c>
      <c r="L1520" s="1" t="s">
        <v>85</v>
      </c>
      <c r="M1520" s="1" t="s">
        <v>38</v>
      </c>
      <c r="N1520" s="1" t="n">
        <v>8999</v>
      </c>
      <c r="O1520" s="1" t="n">
        <v>30</v>
      </c>
      <c r="P1520" s="1" t="n">
        <v>2699.7</v>
      </c>
      <c r="Q1520" s="1" t="n">
        <v>6299.3</v>
      </c>
      <c r="R1520" s="1" t="n">
        <v>1133.87</v>
      </c>
      <c r="S1520" s="1" t="n">
        <v>5165.43</v>
      </c>
      <c r="T1520" s="1" t="n">
        <v>2335.77</v>
      </c>
      <c r="U1520" s="1" t="n">
        <v>2829.66</v>
      </c>
      <c r="V1520" s="1" t="n">
        <v>54.78</v>
      </c>
      <c r="W1520" s="1" t="s">
        <v>39</v>
      </c>
      <c r="Y1520" s="1" t="s">
        <v>40</v>
      </c>
      <c r="Z1520" s="1" t="n">
        <v>0</v>
      </c>
    </row>
    <row r="1521" customFormat="false" ht="15" hidden="false" customHeight="true" outlineLevel="0" collapsed="false">
      <c r="A1521" s="1" t="s">
        <v>2332</v>
      </c>
      <c r="B1521" s="1" t="s">
        <v>344</v>
      </c>
      <c r="C1521" s="1" t="s">
        <v>264</v>
      </c>
      <c r="D1521" s="1" t="s">
        <v>44</v>
      </c>
      <c r="E1521" s="1" t="s">
        <v>45</v>
      </c>
      <c r="F1521" s="1" t="s">
        <v>244</v>
      </c>
      <c r="G1521" s="1" t="s">
        <v>97</v>
      </c>
      <c r="H1521" s="1" t="s">
        <v>57</v>
      </c>
      <c r="I1521" s="1" t="s">
        <v>83</v>
      </c>
      <c r="J1521" s="1" t="s">
        <v>35</v>
      </c>
      <c r="K1521" s="1" t="s">
        <v>90</v>
      </c>
      <c r="L1521" s="1" t="s">
        <v>136</v>
      </c>
      <c r="M1521" s="1" t="s">
        <v>50</v>
      </c>
      <c r="N1521" s="1" t="n">
        <v>11999</v>
      </c>
      <c r="O1521" s="1" t="n">
        <v>10</v>
      </c>
      <c r="P1521" s="1" t="n">
        <v>1199.9</v>
      </c>
      <c r="Q1521" s="1" t="n">
        <v>10799.1</v>
      </c>
      <c r="R1521" s="1" t="n">
        <v>1943.84</v>
      </c>
      <c r="S1521" s="1" t="n">
        <v>8855.26</v>
      </c>
      <c r="T1521" s="1" t="n">
        <v>4483.47</v>
      </c>
      <c r="U1521" s="1" t="n">
        <v>4371.79</v>
      </c>
      <c r="V1521" s="1" t="n">
        <v>49.37</v>
      </c>
      <c r="W1521" s="1" t="s">
        <v>39</v>
      </c>
      <c r="X1521" s="1" t="n">
        <v>2.9</v>
      </c>
      <c r="Y1521" s="1" t="s">
        <v>40</v>
      </c>
      <c r="Z1521" s="1" t="n">
        <v>0</v>
      </c>
    </row>
    <row r="1522" customFormat="false" ht="15" hidden="false" customHeight="true" outlineLevel="0" collapsed="false">
      <c r="A1522" s="1" t="s">
        <v>2333</v>
      </c>
      <c r="B1522" s="1" t="s">
        <v>1492</v>
      </c>
      <c r="C1522" s="1" t="s">
        <v>128</v>
      </c>
      <c r="D1522" s="1" t="s">
        <v>94</v>
      </c>
      <c r="E1522" s="1" t="s">
        <v>95</v>
      </c>
      <c r="F1522" s="1" t="s">
        <v>187</v>
      </c>
      <c r="G1522" s="1" t="s">
        <v>97</v>
      </c>
      <c r="H1522" s="1" t="s">
        <v>69</v>
      </c>
      <c r="I1522" s="1" t="s">
        <v>83</v>
      </c>
      <c r="J1522" s="1" t="s">
        <v>70</v>
      </c>
      <c r="K1522" s="1" t="s">
        <v>60</v>
      </c>
      <c r="L1522" s="1" t="s">
        <v>113</v>
      </c>
      <c r="M1522" s="1" t="s">
        <v>38</v>
      </c>
      <c r="N1522" s="1" t="n">
        <v>6999</v>
      </c>
      <c r="O1522" s="1" t="n">
        <v>40</v>
      </c>
      <c r="P1522" s="1" t="n">
        <v>2799.6</v>
      </c>
      <c r="Q1522" s="1" t="n">
        <v>4199.4</v>
      </c>
      <c r="R1522" s="1" t="n">
        <v>755.89</v>
      </c>
      <c r="S1522" s="1" t="n">
        <v>3443.51</v>
      </c>
      <c r="T1522" s="1" t="n">
        <v>2162.44</v>
      </c>
      <c r="U1522" s="1" t="n">
        <v>1281.07</v>
      </c>
      <c r="V1522" s="1" t="n">
        <v>37.2</v>
      </c>
      <c r="W1522" s="1" t="s">
        <v>40</v>
      </c>
      <c r="Y1522" s="1" t="s">
        <v>40</v>
      </c>
      <c r="Z1522" s="1" t="n">
        <v>0</v>
      </c>
    </row>
    <row r="1523" customFormat="false" ht="15" hidden="false" customHeight="true" outlineLevel="0" collapsed="false">
      <c r="A1523" s="1" t="s">
        <v>2334</v>
      </c>
      <c r="B1523" s="1" t="s">
        <v>1234</v>
      </c>
      <c r="C1523" s="1" t="s">
        <v>119</v>
      </c>
      <c r="D1523" s="1" t="s">
        <v>80</v>
      </c>
      <c r="E1523" s="1" t="s">
        <v>81</v>
      </c>
      <c r="F1523" s="1" t="s">
        <v>205</v>
      </c>
      <c r="G1523" s="1" t="s">
        <v>56</v>
      </c>
      <c r="H1523" s="1" t="s">
        <v>69</v>
      </c>
      <c r="I1523" s="1" t="s">
        <v>83</v>
      </c>
      <c r="J1523" s="1" t="s">
        <v>70</v>
      </c>
      <c r="K1523" s="1" t="s">
        <v>84</v>
      </c>
      <c r="L1523" s="1" t="s">
        <v>85</v>
      </c>
      <c r="M1523" s="1" t="s">
        <v>50</v>
      </c>
      <c r="N1523" s="1" t="n">
        <v>12999</v>
      </c>
      <c r="O1523" s="1" t="n">
        <v>30</v>
      </c>
      <c r="P1523" s="1" t="n">
        <v>3899.7</v>
      </c>
      <c r="Q1523" s="1" t="n">
        <v>9099.3</v>
      </c>
      <c r="R1523" s="1" t="n">
        <v>1637.87</v>
      </c>
      <c r="S1523" s="1" t="n">
        <v>7461.43</v>
      </c>
      <c r="T1523" s="1" t="n">
        <v>3105.62</v>
      </c>
      <c r="U1523" s="1" t="n">
        <v>4355.81</v>
      </c>
      <c r="V1523" s="1" t="n">
        <v>58.38</v>
      </c>
      <c r="W1523" s="1" t="s">
        <v>40</v>
      </c>
      <c r="Y1523" s="1" t="s">
        <v>40</v>
      </c>
      <c r="Z1523" s="1" t="n">
        <v>1</v>
      </c>
    </row>
    <row r="1524" customFormat="false" ht="15" hidden="false" customHeight="true" outlineLevel="0" collapsed="false">
      <c r="A1524" s="1" t="s">
        <v>2335</v>
      </c>
      <c r="B1524" s="1" t="s">
        <v>1318</v>
      </c>
      <c r="C1524" s="1" t="s">
        <v>74</v>
      </c>
      <c r="D1524" s="1" t="s">
        <v>123</v>
      </c>
      <c r="E1524" s="1" t="s">
        <v>124</v>
      </c>
      <c r="F1524" s="1" t="s">
        <v>187</v>
      </c>
      <c r="G1524" s="1" t="s">
        <v>97</v>
      </c>
      <c r="H1524" s="1" t="s">
        <v>69</v>
      </c>
      <c r="I1524" s="1" t="s">
        <v>58</v>
      </c>
      <c r="J1524" s="1" t="s">
        <v>70</v>
      </c>
      <c r="K1524" s="1" t="s">
        <v>104</v>
      </c>
      <c r="L1524" s="1" t="s">
        <v>85</v>
      </c>
      <c r="M1524" s="1" t="s">
        <v>62</v>
      </c>
      <c r="N1524" s="1" t="n">
        <v>4999</v>
      </c>
      <c r="O1524" s="1" t="n">
        <v>50</v>
      </c>
      <c r="P1524" s="1" t="n">
        <v>2499.5</v>
      </c>
      <c r="Q1524" s="1" t="n">
        <v>2499.5</v>
      </c>
      <c r="R1524" s="1" t="n">
        <v>449.91</v>
      </c>
      <c r="S1524" s="1" t="n">
        <v>2049.59</v>
      </c>
      <c r="T1524" s="1" t="n">
        <v>897.54</v>
      </c>
      <c r="U1524" s="1" t="n">
        <v>1152.05</v>
      </c>
      <c r="V1524" s="1" t="n">
        <v>56.21</v>
      </c>
      <c r="W1524" s="1" t="s">
        <v>39</v>
      </c>
      <c r="X1524" s="1" t="n">
        <v>3.9</v>
      </c>
      <c r="Y1524" s="1" t="s">
        <v>40</v>
      </c>
      <c r="Z1524" s="1" t="n">
        <v>0</v>
      </c>
    </row>
    <row r="1525" customFormat="false" ht="15" hidden="false" customHeight="true" outlineLevel="0" collapsed="false">
      <c r="A1525" s="1" t="s">
        <v>2336</v>
      </c>
      <c r="B1525" s="1" t="s">
        <v>1606</v>
      </c>
      <c r="C1525" s="1" t="s">
        <v>139</v>
      </c>
      <c r="D1525" s="1" t="s">
        <v>29</v>
      </c>
      <c r="E1525" s="1" t="s">
        <v>305</v>
      </c>
      <c r="F1525" s="1" t="s">
        <v>153</v>
      </c>
      <c r="G1525" s="1" t="s">
        <v>76</v>
      </c>
      <c r="H1525" s="1" t="s">
        <v>33</v>
      </c>
      <c r="I1525" s="1" t="s">
        <v>83</v>
      </c>
      <c r="J1525" s="1" t="s">
        <v>77</v>
      </c>
      <c r="K1525" s="1" t="s">
        <v>60</v>
      </c>
      <c r="L1525" s="1" t="s">
        <v>85</v>
      </c>
      <c r="M1525" s="1" t="s">
        <v>62</v>
      </c>
      <c r="N1525" s="1" t="n">
        <v>24999</v>
      </c>
      <c r="O1525" s="1" t="n">
        <v>0</v>
      </c>
      <c r="P1525" s="1" t="n">
        <v>0</v>
      </c>
      <c r="Q1525" s="1" t="n">
        <v>24999</v>
      </c>
      <c r="R1525" s="1" t="n">
        <v>4499.82</v>
      </c>
      <c r="S1525" s="1" t="n">
        <v>20499.18</v>
      </c>
      <c r="T1525" s="1" t="n">
        <v>8581.45</v>
      </c>
      <c r="U1525" s="1" t="n">
        <v>11917.73</v>
      </c>
      <c r="V1525" s="1" t="n">
        <v>58.14</v>
      </c>
      <c r="W1525" s="1" t="s">
        <v>40</v>
      </c>
      <c r="Y1525" s="1" t="s">
        <v>40</v>
      </c>
      <c r="Z1525" s="1" t="n">
        <v>0</v>
      </c>
    </row>
    <row r="1526" customFormat="false" ht="15" hidden="false" customHeight="true" outlineLevel="0" collapsed="false">
      <c r="A1526" s="1" t="s">
        <v>2337</v>
      </c>
      <c r="B1526" s="1" t="s">
        <v>522</v>
      </c>
      <c r="C1526" s="1" t="s">
        <v>88</v>
      </c>
      <c r="D1526" s="1" t="s">
        <v>80</v>
      </c>
      <c r="E1526" s="1" t="s">
        <v>190</v>
      </c>
      <c r="F1526" s="1" t="s">
        <v>120</v>
      </c>
      <c r="G1526" s="1" t="s">
        <v>47</v>
      </c>
      <c r="H1526" s="1" t="s">
        <v>57</v>
      </c>
      <c r="I1526" s="1" t="s">
        <v>58</v>
      </c>
      <c r="J1526" s="1" t="s">
        <v>77</v>
      </c>
      <c r="K1526" s="1" t="s">
        <v>104</v>
      </c>
      <c r="L1526" s="1" t="s">
        <v>61</v>
      </c>
      <c r="M1526" s="1" t="s">
        <v>62</v>
      </c>
      <c r="N1526" s="1" t="n">
        <v>15999</v>
      </c>
      <c r="O1526" s="1" t="n">
        <v>10</v>
      </c>
      <c r="P1526" s="1" t="n">
        <v>1599.9</v>
      </c>
      <c r="Q1526" s="1" t="n">
        <v>14399.1</v>
      </c>
      <c r="R1526" s="1" t="n">
        <v>2591.84</v>
      </c>
      <c r="S1526" s="1" t="n">
        <v>11807.26</v>
      </c>
      <c r="T1526" s="1" t="n">
        <v>5057.85</v>
      </c>
      <c r="U1526" s="1" t="n">
        <v>6749.41</v>
      </c>
      <c r="V1526" s="1" t="n">
        <v>57.16</v>
      </c>
      <c r="W1526" s="1" t="s">
        <v>40</v>
      </c>
      <c r="Y1526" s="1" t="s">
        <v>40</v>
      </c>
      <c r="Z1526" s="1" t="n">
        <v>1</v>
      </c>
    </row>
    <row r="1527" customFormat="false" ht="15" hidden="false" customHeight="true" outlineLevel="0" collapsed="false">
      <c r="A1527" s="1" t="s">
        <v>2338</v>
      </c>
      <c r="B1527" s="1" t="s">
        <v>762</v>
      </c>
      <c r="C1527" s="1" t="s">
        <v>93</v>
      </c>
      <c r="D1527" s="1" t="s">
        <v>29</v>
      </c>
      <c r="E1527" s="1" t="s">
        <v>30</v>
      </c>
      <c r="F1527" s="1" t="s">
        <v>31</v>
      </c>
      <c r="G1527" s="1" t="s">
        <v>32</v>
      </c>
      <c r="H1527" s="1" t="s">
        <v>33</v>
      </c>
      <c r="I1527" s="1" t="s">
        <v>34</v>
      </c>
      <c r="J1527" s="1" t="s">
        <v>77</v>
      </c>
      <c r="K1527" s="1" t="s">
        <v>84</v>
      </c>
      <c r="L1527" s="1" t="s">
        <v>49</v>
      </c>
      <c r="M1527" s="1" t="s">
        <v>38</v>
      </c>
      <c r="N1527" s="1" t="n">
        <v>7999</v>
      </c>
      <c r="O1527" s="1" t="n">
        <v>0</v>
      </c>
      <c r="P1527" s="1" t="n">
        <v>0</v>
      </c>
      <c r="Q1527" s="1" t="n">
        <v>7999</v>
      </c>
      <c r="R1527" s="1" t="n">
        <v>1439.82</v>
      </c>
      <c r="S1527" s="1" t="n">
        <v>6559.18</v>
      </c>
      <c r="T1527" s="1" t="n">
        <v>3437.26</v>
      </c>
      <c r="U1527" s="1" t="n">
        <v>3121.92</v>
      </c>
      <c r="V1527" s="1" t="n">
        <v>47.6</v>
      </c>
      <c r="W1527" s="1" t="s">
        <v>40</v>
      </c>
      <c r="Y1527" s="1" t="s">
        <v>39</v>
      </c>
      <c r="Z1527" s="1" t="n">
        <v>0</v>
      </c>
    </row>
    <row r="1528" customFormat="false" ht="15" hidden="false" customHeight="true" outlineLevel="0" collapsed="false">
      <c r="A1528" s="1" t="s">
        <v>2339</v>
      </c>
      <c r="B1528" s="1" t="s">
        <v>171</v>
      </c>
      <c r="C1528" s="1" t="s">
        <v>249</v>
      </c>
      <c r="D1528" s="1" t="s">
        <v>44</v>
      </c>
      <c r="E1528" s="1" t="s">
        <v>221</v>
      </c>
      <c r="F1528" s="1" t="s">
        <v>184</v>
      </c>
      <c r="G1528" s="1" t="s">
        <v>56</v>
      </c>
      <c r="H1528" s="1" t="s">
        <v>57</v>
      </c>
      <c r="I1528" s="1" t="s">
        <v>34</v>
      </c>
      <c r="J1528" s="1" t="s">
        <v>35</v>
      </c>
      <c r="K1528" s="1" t="s">
        <v>60</v>
      </c>
      <c r="L1528" s="1" t="s">
        <v>136</v>
      </c>
      <c r="M1528" s="1" t="s">
        <v>38</v>
      </c>
      <c r="N1528" s="1" t="n">
        <v>16999</v>
      </c>
      <c r="O1528" s="1" t="n">
        <v>10</v>
      </c>
      <c r="P1528" s="1" t="n">
        <v>1699.9</v>
      </c>
      <c r="Q1528" s="1" t="n">
        <v>15299.1</v>
      </c>
      <c r="R1528" s="1" t="n">
        <v>2753.84</v>
      </c>
      <c r="S1528" s="1" t="n">
        <v>12545.26</v>
      </c>
      <c r="T1528" s="1" t="n">
        <v>4788.24</v>
      </c>
      <c r="U1528" s="1" t="n">
        <v>7757.02</v>
      </c>
      <c r="V1528" s="1" t="n">
        <v>61.83</v>
      </c>
      <c r="W1528" s="1" t="s">
        <v>39</v>
      </c>
      <c r="X1528" s="1" t="n">
        <v>3.4</v>
      </c>
      <c r="Y1528" s="1" t="s">
        <v>40</v>
      </c>
      <c r="Z1528" s="1" t="n">
        <v>1</v>
      </c>
    </row>
    <row r="1529" customFormat="false" ht="15" hidden="false" customHeight="true" outlineLevel="0" collapsed="false">
      <c r="A1529" s="1" t="s">
        <v>2340</v>
      </c>
      <c r="B1529" s="1" t="s">
        <v>2341</v>
      </c>
      <c r="C1529" s="1" t="s">
        <v>134</v>
      </c>
      <c r="D1529" s="1" t="s">
        <v>44</v>
      </c>
      <c r="E1529" s="1" t="s">
        <v>45</v>
      </c>
      <c r="F1529" s="1" t="s">
        <v>211</v>
      </c>
      <c r="G1529" s="1" t="s">
        <v>56</v>
      </c>
      <c r="H1529" s="1" t="s">
        <v>69</v>
      </c>
      <c r="I1529" s="1" t="s">
        <v>83</v>
      </c>
      <c r="J1529" s="1" t="s">
        <v>35</v>
      </c>
      <c r="K1529" s="1" t="s">
        <v>71</v>
      </c>
      <c r="L1529" s="1" t="s">
        <v>113</v>
      </c>
      <c r="M1529" s="1" t="s">
        <v>38</v>
      </c>
      <c r="N1529" s="1" t="n">
        <v>11999</v>
      </c>
      <c r="O1529" s="1" t="n">
        <v>15</v>
      </c>
      <c r="P1529" s="1" t="n">
        <v>1799.85</v>
      </c>
      <c r="Q1529" s="1" t="n">
        <v>10199.15</v>
      </c>
      <c r="R1529" s="1" t="n">
        <v>1835.85</v>
      </c>
      <c r="S1529" s="1" t="n">
        <v>8363.3</v>
      </c>
      <c r="T1529" s="1" t="n">
        <v>2883.1</v>
      </c>
      <c r="U1529" s="1" t="n">
        <v>5480.2</v>
      </c>
      <c r="V1529" s="1" t="n">
        <v>65.53</v>
      </c>
      <c r="W1529" s="1" t="s">
        <v>40</v>
      </c>
      <c r="Y1529" s="1" t="s">
        <v>40</v>
      </c>
      <c r="Z1529" s="1" t="n">
        <v>3</v>
      </c>
    </row>
    <row r="1530" customFormat="false" ht="15" hidden="false" customHeight="true" outlineLevel="0" collapsed="false">
      <c r="A1530" s="1" t="s">
        <v>2342</v>
      </c>
      <c r="B1530" s="1" t="s">
        <v>724</v>
      </c>
      <c r="C1530" s="1" t="s">
        <v>264</v>
      </c>
      <c r="D1530" s="1" t="s">
        <v>94</v>
      </c>
      <c r="E1530" s="1" t="s">
        <v>101</v>
      </c>
      <c r="F1530" s="1" t="s">
        <v>211</v>
      </c>
      <c r="G1530" s="1" t="s">
        <v>56</v>
      </c>
      <c r="H1530" s="1" t="s">
        <v>69</v>
      </c>
      <c r="I1530" s="1" t="s">
        <v>58</v>
      </c>
      <c r="J1530" s="1" t="s">
        <v>131</v>
      </c>
      <c r="K1530" s="1" t="s">
        <v>71</v>
      </c>
      <c r="L1530" s="1" t="s">
        <v>61</v>
      </c>
      <c r="M1530" s="1" t="s">
        <v>62</v>
      </c>
      <c r="N1530" s="1" t="n">
        <v>14999</v>
      </c>
      <c r="O1530" s="1" t="n">
        <v>10</v>
      </c>
      <c r="P1530" s="1" t="n">
        <v>1499.9</v>
      </c>
      <c r="Q1530" s="1" t="n">
        <v>13499.1</v>
      </c>
      <c r="R1530" s="1" t="n">
        <v>2429.84</v>
      </c>
      <c r="S1530" s="1" t="n">
        <v>11069.26</v>
      </c>
      <c r="T1530" s="1" t="n">
        <v>4177.49</v>
      </c>
      <c r="U1530" s="1" t="n">
        <v>6891.77</v>
      </c>
      <c r="V1530" s="1" t="n">
        <v>62.26</v>
      </c>
      <c r="W1530" s="1" t="s">
        <v>39</v>
      </c>
      <c r="X1530" s="1" t="n">
        <v>3.3</v>
      </c>
      <c r="Y1530" s="1" t="s">
        <v>40</v>
      </c>
      <c r="Z1530" s="1" t="n">
        <v>0</v>
      </c>
    </row>
    <row r="1531" customFormat="false" ht="15" hidden="false" customHeight="true" outlineLevel="0" collapsed="false">
      <c r="A1531" s="1" t="s">
        <v>2343</v>
      </c>
      <c r="B1531" s="1" t="s">
        <v>1727</v>
      </c>
      <c r="C1531" s="1" t="s">
        <v>167</v>
      </c>
      <c r="D1531" s="1" t="s">
        <v>143</v>
      </c>
      <c r="E1531" s="1" t="s">
        <v>162</v>
      </c>
      <c r="F1531" s="1" t="s">
        <v>46</v>
      </c>
      <c r="G1531" s="1" t="s">
        <v>47</v>
      </c>
      <c r="H1531" s="1" t="s">
        <v>33</v>
      </c>
      <c r="I1531" s="1" t="s">
        <v>83</v>
      </c>
      <c r="J1531" s="1" t="s">
        <v>59</v>
      </c>
      <c r="K1531" s="1" t="s">
        <v>112</v>
      </c>
      <c r="L1531" s="1" t="s">
        <v>49</v>
      </c>
      <c r="M1531" s="1" t="s">
        <v>62</v>
      </c>
      <c r="N1531" s="1" t="n">
        <v>14999</v>
      </c>
      <c r="O1531" s="1" t="n">
        <v>10</v>
      </c>
      <c r="P1531" s="1" t="n">
        <v>1499.9</v>
      </c>
      <c r="Q1531" s="1" t="n">
        <v>13499.1</v>
      </c>
      <c r="R1531" s="1" t="n">
        <v>2429.84</v>
      </c>
      <c r="S1531" s="1" t="n">
        <v>11069.26</v>
      </c>
      <c r="T1531" s="1" t="n">
        <v>5315.26</v>
      </c>
      <c r="U1531" s="1" t="n">
        <v>5754</v>
      </c>
      <c r="V1531" s="1" t="n">
        <v>51.98</v>
      </c>
      <c r="W1531" s="1" t="s">
        <v>40</v>
      </c>
      <c r="Y1531" s="1" t="s">
        <v>40</v>
      </c>
      <c r="Z1531" s="1" t="n">
        <v>0</v>
      </c>
    </row>
    <row r="1532" customFormat="false" ht="15" hidden="false" customHeight="true" outlineLevel="0" collapsed="false">
      <c r="A1532" s="1" t="s">
        <v>2344</v>
      </c>
      <c r="B1532" s="1" t="s">
        <v>776</v>
      </c>
      <c r="C1532" s="1" t="s">
        <v>178</v>
      </c>
      <c r="D1532" s="1" t="s">
        <v>44</v>
      </c>
      <c r="E1532" s="1" t="s">
        <v>66</v>
      </c>
      <c r="F1532" s="1" t="s">
        <v>140</v>
      </c>
      <c r="G1532" s="1" t="s">
        <v>97</v>
      </c>
      <c r="H1532" s="1" t="s">
        <v>57</v>
      </c>
      <c r="I1532" s="1" t="s">
        <v>58</v>
      </c>
      <c r="J1532" s="1" t="s">
        <v>35</v>
      </c>
      <c r="K1532" s="1" t="s">
        <v>104</v>
      </c>
      <c r="L1532" s="1" t="s">
        <v>113</v>
      </c>
      <c r="M1532" s="1" t="s">
        <v>38</v>
      </c>
      <c r="N1532" s="1" t="n">
        <v>12999</v>
      </c>
      <c r="O1532" s="1" t="n">
        <v>0</v>
      </c>
      <c r="P1532" s="1" t="n">
        <v>0</v>
      </c>
      <c r="Q1532" s="1" t="n">
        <v>12999</v>
      </c>
      <c r="R1532" s="1" t="n">
        <v>2339.82</v>
      </c>
      <c r="S1532" s="1" t="n">
        <v>10659.18</v>
      </c>
      <c r="T1532" s="1" t="n">
        <v>4422.83</v>
      </c>
      <c r="U1532" s="1" t="n">
        <v>6236.35</v>
      </c>
      <c r="V1532" s="1" t="n">
        <v>58.51</v>
      </c>
      <c r="W1532" s="1" t="s">
        <v>39</v>
      </c>
      <c r="X1532" s="1" t="n">
        <v>4</v>
      </c>
      <c r="Y1532" s="1" t="s">
        <v>40</v>
      </c>
      <c r="Z1532" s="1" t="n">
        <v>0</v>
      </c>
    </row>
    <row r="1533" customFormat="false" ht="15" hidden="false" customHeight="true" outlineLevel="0" collapsed="false">
      <c r="A1533" s="1" t="s">
        <v>2345</v>
      </c>
      <c r="B1533" s="1" t="s">
        <v>2346</v>
      </c>
      <c r="C1533" s="1" t="s">
        <v>74</v>
      </c>
      <c r="D1533" s="1" t="s">
        <v>168</v>
      </c>
      <c r="E1533" s="1" t="s">
        <v>328</v>
      </c>
      <c r="F1533" s="1" t="s">
        <v>156</v>
      </c>
      <c r="G1533" s="1" t="s">
        <v>68</v>
      </c>
      <c r="H1533" s="1" t="s">
        <v>57</v>
      </c>
      <c r="I1533" s="1" t="s">
        <v>34</v>
      </c>
      <c r="J1533" s="1" t="s">
        <v>35</v>
      </c>
      <c r="K1533" s="1" t="s">
        <v>36</v>
      </c>
      <c r="L1533" s="1" t="s">
        <v>113</v>
      </c>
      <c r="M1533" s="1" t="s">
        <v>38</v>
      </c>
      <c r="N1533" s="1" t="n">
        <v>8999</v>
      </c>
      <c r="O1533" s="1" t="n">
        <v>5</v>
      </c>
      <c r="P1533" s="1" t="n">
        <v>449.95</v>
      </c>
      <c r="Q1533" s="1" t="n">
        <v>8549.05</v>
      </c>
      <c r="R1533" s="1" t="n">
        <v>1538.83</v>
      </c>
      <c r="S1533" s="1" t="n">
        <v>7010.22</v>
      </c>
      <c r="T1533" s="1" t="n">
        <v>3452.39</v>
      </c>
      <c r="U1533" s="1" t="n">
        <v>3557.83</v>
      </c>
      <c r="V1533" s="1" t="n">
        <v>50.75</v>
      </c>
      <c r="W1533" s="1" t="s">
        <v>40</v>
      </c>
      <c r="Y1533" s="1" t="s">
        <v>39</v>
      </c>
      <c r="Z1533" s="1" t="n">
        <v>1</v>
      </c>
    </row>
    <row r="1534" customFormat="false" ht="15" hidden="false" customHeight="true" outlineLevel="0" collapsed="false">
      <c r="A1534" s="1" t="s">
        <v>2347</v>
      </c>
      <c r="B1534" s="1" t="s">
        <v>661</v>
      </c>
      <c r="C1534" s="1" t="s">
        <v>88</v>
      </c>
      <c r="D1534" s="1" t="s">
        <v>53</v>
      </c>
      <c r="E1534" s="1" t="s">
        <v>216</v>
      </c>
      <c r="F1534" s="1" t="s">
        <v>194</v>
      </c>
      <c r="G1534" s="1" t="s">
        <v>103</v>
      </c>
      <c r="H1534" s="1" t="s">
        <v>69</v>
      </c>
      <c r="I1534" s="1" t="s">
        <v>83</v>
      </c>
      <c r="J1534" s="1" t="s">
        <v>35</v>
      </c>
      <c r="K1534" s="1" t="s">
        <v>60</v>
      </c>
      <c r="L1534" s="1" t="s">
        <v>136</v>
      </c>
      <c r="M1534" s="1" t="s">
        <v>62</v>
      </c>
      <c r="N1534" s="1" t="n">
        <v>7499</v>
      </c>
      <c r="O1534" s="1" t="n">
        <v>0</v>
      </c>
      <c r="P1534" s="1" t="n">
        <v>0</v>
      </c>
      <c r="Q1534" s="1" t="n">
        <v>7499</v>
      </c>
      <c r="R1534" s="1" t="n">
        <v>1349.82</v>
      </c>
      <c r="S1534" s="1" t="n">
        <v>6149.18</v>
      </c>
      <c r="T1534" s="1" t="n">
        <v>2705.86</v>
      </c>
      <c r="U1534" s="1" t="n">
        <v>3443.32</v>
      </c>
      <c r="V1534" s="1" t="n">
        <v>56</v>
      </c>
      <c r="W1534" s="1" t="s">
        <v>39</v>
      </c>
      <c r="X1534" s="1" t="n">
        <v>4</v>
      </c>
      <c r="Y1534" s="1" t="s">
        <v>39</v>
      </c>
      <c r="Z1534" s="1" t="n">
        <v>1</v>
      </c>
    </row>
    <row r="1535" customFormat="false" ht="15" hidden="false" customHeight="true" outlineLevel="0" collapsed="false">
      <c r="A1535" s="1" t="s">
        <v>2348</v>
      </c>
      <c r="B1535" s="1" t="s">
        <v>1553</v>
      </c>
      <c r="C1535" s="1" t="s">
        <v>65</v>
      </c>
      <c r="D1535" s="1" t="s">
        <v>94</v>
      </c>
      <c r="E1535" s="1" t="s">
        <v>101</v>
      </c>
      <c r="F1535" s="1" t="s">
        <v>205</v>
      </c>
      <c r="G1535" s="1" t="s">
        <v>56</v>
      </c>
      <c r="H1535" s="1" t="s">
        <v>69</v>
      </c>
      <c r="I1535" s="1" t="s">
        <v>58</v>
      </c>
      <c r="J1535" s="1" t="s">
        <v>59</v>
      </c>
      <c r="K1535" s="1" t="s">
        <v>84</v>
      </c>
      <c r="L1535" s="1" t="s">
        <v>37</v>
      </c>
      <c r="M1535" s="1" t="s">
        <v>38</v>
      </c>
      <c r="N1535" s="1" t="n">
        <v>14999</v>
      </c>
      <c r="O1535" s="1" t="n">
        <v>0</v>
      </c>
      <c r="P1535" s="1" t="n">
        <v>0</v>
      </c>
      <c r="Q1535" s="1" t="n">
        <v>14999</v>
      </c>
      <c r="R1535" s="1" t="n">
        <v>2699.82</v>
      </c>
      <c r="S1535" s="1" t="n">
        <v>12299.18</v>
      </c>
      <c r="T1535" s="1" t="n">
        <v>4446.91</v>
      </c>
      <c r="U1535" s="1" t="n">
        <v>7852.27</v>
      </c>
      <c r="V1535" s="1" t="n">
        <v>63.84</v>
      </c>
      <c r="W1535" s="1" t="s">
        <v>39</v>
      </c>
      <c r="X1535" s="1" t="n">
        <v>3.6</v>
      </c>
      <c r="Y1535" s="1" t="s">
        <v>40</v>
      </c>
      <c r="Z1535" s="1" t="n">
        <v>1</v>
      </c>
    </row>
    <row r="1536" customFormat="false" ht="15" hidden="false" customHeight="true" outlineLevel="0" collapsed="false">
      <c r="A1536" s="1" t="s">
        <v>2349</v>
      </c>
      <c r="B1536" s="1" t="s">
        <v>149</v>
      </c>
      <c r="C1536" s="1" t="s">
        <v>74</v>
      </c>
      <c r="D1536" s="1" t="s">
        <v>168</v>
      </c>
      <c r="E1536" s="1" t="s">
        <v>197</v>
      </c>
      <c r="F1536" s="1" t="s">
        <v>1363</v>
      </c>
      <c r="G1536" s="1" t="s">
        <v>68</v>
      </c>
      <c r="H1536" s="1" t="s">
        <v>33</v>
      </c>
      <c r="I1536" s="1" t="s">
        <v>83</v>
      </c>
      <c r="J1536" s="1" t="s">
        <v>59</v>
      </c>
      <c r="K1536" s="1" t="s">
        <v>71</v>
      </c>
      <c r="L1536" s="1" t="s">
        <v>49</v>
      </c>
      <c r="M1536" s="1" t="s">
        <v>50</v>
      </c>
      <c r="N1536" s="1" t="n">
        <v>8499</v>
      </c>
      <c r="O1536" s="1" t="n">
        <v>0</v>
      </c>
      <c r="P1536" s="1" t="n">
        <v>0</v>
      </c>
      <c r="Q1536" s="1" t="n">
        <v>8499</v>
      </c>
      <c r="R1536" s="1" t="n">
        <v>1529.82</v>
      </c>
      <c r="S1536" s="1" t="n">
        <v>6969.18</v>
      </c>
      <c r="T1536" s="1" t="n">
        <v>2985.49</v>
      </c>
      <c r="U1536" s="1" t="n">
        <v>3983.69</v>
      </c>
      <c r="V1536" s="1" t="n">
        <v>57.16</v>
      </c>
      <c r="W1536" s="1" t="s">
        <v>39</v>
      </c>
      <c r="Y1536" s="1" t="s">
        <v>40</v>
      </c>
      <c r="Z1536" s="1" t="n">
        <v>0</v>
      </c>
    </row>
    <row r="1537" customFormat="false" ht="15" hidden="false" customHeight="true" outlineLevel="0" collapsed="false">
      <c r="A1537" s="1" t="s">
        <v>2350</v>
      </c>
      <c r="B1537" s="1" t="s">
        <v>1488</v>
      </c>
      <c r="C1537" s="1" t="s">
        <v>134</v>
      </c>
      <c r="D1537" s="1" t="s">
        <v>123</v>
      </c>
      <c r="E1537" s="1" t="s">
        <v>124</v>
      </c>
      <c r="F1537" s="1" t="s">
        <v>96</v>
      </c>
      <c r="G1537" s="1" t="s">
        <v>97</v>
      </c>
      <c r="H1537" s="1" t="s">
        <v>69</v>
      </c>
      <c r="I1537" s="1" t="s">
        <v>83</v>
      </c>
      <c r="J1537" s="1" t="s">
        <v>35</v>
      </c>
      <c r="K1537" s="1" t="s">
        <v>112</v>
      </c>
      <c r="L1537" s="1" t="s">
        <v>37</v>
      </c>
      <c r="M1537" s="1" t="s">
        <v>38</v>
      </c>
      <c r="N1537" s="1" t="n">
        <v>4999</v>
      </c>
      <c r="O1537" s="1" t="n">
        <v>20</v>
      </c>
      <c r="P1537" s="1" t="n">
        <v>999.8</v>
      </c>
      <c r="Q1537" s="1" t="n">
        <v>3999.2</v>
      </c>
      <c r="R1537" s="1" t="n">
        <v>719.86</v>
      </c>
      <c r="S1537" s="1" t="n">
        <v>3279.34</v>
      </c>
      <c r="T1537" s="1" t="n">
        <v>1586.11</v>
      </c>
      <c r="U1537" s="1" t="n">
        <v>1693.23</v>
      </c>
      <c r="V1537" s="1" t="n">
        <v>51.63</v>
      </c>
      <c r="W1537" s="1" t="s">
        <v>39</v>
      </c>
      <c r="X1537" s="1" t="n">
        <v>2.9</v>
      </c>
      <c r="Y1537" s="1" t="s">
        <v>40</v>
      </c>
      <c r="Z1537" s="1" t="n">
        <v>0</v>
      </c>
    </row>
    <row r="1538" customFormat="false" ht="15" hidden="false" customHeight="true" outlineLevel="0" collapsed="false">
      <c r="A1538" s="1" t="s">
        <v>2351</v>
      </c>
      <c r="B1538" s="1" t="s">
        <v>2352</v>
      </c>
      <c r="C1538" s="1" t="s">
        <v>100</v>
      </c>
      <c r="D1538" s="1" t="s">
        <v>80</v>
      </c>
      <c r="E1538" s="1" t="s">
        <v>81</v>
      </c>
      <c r="F1538" s="1" t="s">
        <v>75</v>
      </c>
      <c r="G1538" s="1" t="s">
        <v>76</v>
      </c>
      <c r="H1538" s="1" t="s">
        <v>69</v>
      </c>
      <c r="I1538" s="1" t="s">
        <v>83</v>
      </c>
      <c r="J1538" s="1" t="s">
        <v>70</v>
      </c>
      <c r="K1538" s="1" t="s">
        <v>71</v>
      </c>
      <c r="L1538" s="1" t="s">
        <v>49</v>
      </c>
      <c r="M1538" s="1" t="s">
        <v>50</v>
      </c>
      <c r="N1538" s="1" t="n">
        <v>12999</v>
      </c>
      <c r="O1538" s="1" t="n">
        <v>15</v>
      </c>
      <c r="P1538" s="1" t="n">
        <v>1949.85</v>
      </c>
      <c r="Q1538" s="1" t="n">
        <v>11049.15</v>
      </c>
      <c r="R1538" s="1" t="n">
        <v>1988.85</v>
      </c>
      <c r="S1538" s="1" t="n">
        <v>9060.3</v>
      </c>
      <c r="T1538" s="1" t="n">
        <v>3944.41</v>
      </c>
      <c r="U1538" s="1" t="n">
        <v>5115.89</v>
      </c>
      <c r="V1538" s="1" t="n">
        <v>56.46</v>
      </c>
      <c r="W1538" s="1" t="s">
        <v>40</v>
      </c>
      <c r="Y1538" s="1" t="s">
        <v>40</v>
      </c>
      <c r="Z1538" s="1" t="n">
        <v>2</v>
      </c>
    </row>
    <row r="1539" customFormat="false" ht="15" hidden="false" customHeight="true" outlineLevel="0" collapsed="false">
      <c r="A1539" s="1" t="s">
        <v>2353</v>
      </c>
      <c r="B1539" s="1" t="s">
        <v>1640</v>
      </c>
      <c r="C1539" s="1" t="s">
        <v>119</v>
      </c>
      <c r="D1539" s="1" t="s">
        <v>123</v>
      </c>
      <c r="E1539" s="1" t="s">
        <v>233</v>
      </c>
      <c r="F1539" s="1" t="s">
        <v>150</v>
      </c>
      <c r="G1539" s="1" t="s">
        <v>32</v>
      </c>
      <c r="H1539" s="1" t="s">
        <v>57</v>
      </c>
      <c r="I1539" s="1" t="s">
        <v>58</v>
      </c>
      <c r="J1539" s="1" t="s">
        <v>70</v>
      </c>
      <c r="K1539" s="1" t="s">
        <v>60</v>
      </c>
      <c r="L1539" s="1" t="s">
        <v>113</v>
      </c>
      <c r="M1539" s="1" t="s">
        <v>62</v>
      </c>
      <c r="N1539" s="1" t="n">
        <v>8999</v>
      </c>
      <c r="O1539" s="1" t="n">
        <v>25</v>
      </c>
      <c r="P1539" s="1" t="n">
        <v>2249.75</v>
      </c>
      <c r="Q1539" s="1" t="n">
        <v>6749.25</v>
      </c>
      <c r="R1539" s="1" t="n">
        <v>1214.87</v>
      </c>
      <c r="S1539" s="1" t="n">
        <v>5534.38</v>
      </c>
      <c r="T1539" s="1" t="n">
        <v>2281.33</v>
      </c>
      <c r="U1539" s="1" t="n">
        <v>3253.05</v>
      </c>
      <c r="V1539" s="1" t="n">
        <v>58.78</v>
      </c>
      <c r="W1539" s="1" t="s">
        <v>39</v>
      </c>
      <c r="X1539" s="1" t="n">
        <v>3.9</v>
      </c>
      <c r="Y1539" s="1" t="s">
        <v>40</v>
      </c>
      <c r="Z1539" s="1" t="n">
        <v>0</v>
      </c>
    </row>
    <row r="1540" customFormat="false" ht="15" hidden="false" customHeight="true" outlineLevel="0" collapsed="false">
      <c r="A1540" s="1" t="s">
        <v>2354</v>
      </c>
      <c r="B1540" s="1" t="s">
        <v>300</v>
      </c>
      <c r="C1540" s="1" t="s">
        <v>65</v>
      </c>
      <c r="D1540" s="1" t="s">
        <v>80</v>
      </c>
      <c r="E1540" s="1" t="s">
        <v>81</v>
      </c>
      <c r="F1540" s="1" t="s">
        <v>156</v>
      </c>
      <c r="G1540" s="1" t="s">
        <v>68</v>
      </c>
      <c r="H1540" s="1" t="s">
        <v>57</v>
      </c>
      <c r="I1540" s="1" t="s">
        <v>58</v>
      </c>
      <c r="J1540" s="1" t="s">
        <v>77</v>
      </c>
      <c r="K1540" s="1" t="s">
        <v>112</v>
      </c>
      <c r="L1540" s="1" t="s">
        <v>49</v>
      </c>
      <c r="M1540" s="1" t="s">
        <v>62</v>
      </c>
      <c r="N1540" s="1" t="n">
        <v>12999</v>
      </c>
      <c r="O1540" s="1" t="n">
        <v>25</v>
      </c>
      <c r="P1540" s="1" t="n">
        <v>3249.75</v>
      </c>
      <c r="Q1540" s="1" t="n">
        <v>9749.25</v>
      </c>
      <c r="R1540" s="1" t="n">
        <v>1754.87</v>
      </c>
      <c r="S1540" s="1" t="n">
        <v>7994.38</v>
      </c>
      <c r="T1540" s="1" t="n">
        <v>3647.53</v>
      </c>
      <c r="U1540" s="1" t="n">
        <v>4346.85</v>
      </c>
      <c r="V1540" s="1" t="n">
        <v>54.37</v>
      </c>
      <c r="W1540" s="1" t="s">
        <v>40</v>
      </c>
      <c r="Y1540" s="1" t="s">
        <v>40</v>
      </c>
      <c r="Z1540" s="1" t="n">
        <v>3</v>
      </c>
    </row>
    <row r="1541" customFormat="false" ht="15" hidden="false" customHeight="true" outlineLevel="0" collapsed="false">
      <c r="A1541" s="1" t="s">
        <v>2355</v>
      </c>
      <c r="B1541" s="1" t="s">
        <v>779</v>
      </c>
      <c r="C1541" s="1" t="s">
        <v>28</v>
      </c>
      <c r="D1541" s="1" t="s">
        <v>123</v>
      </c>
      <c r="E1541" s="1" t="s">
        <v>124</v>
      </c>
      <c r="F1541" s="1" t="s">
        <v>120</v>
      </c>
      <c r="G1541" s="1" t="s">
        <v>47</v>
      </c>
      <c r="H1541" s="1" t="s">
        <v>57</v>
      </c>
      <c r="I1541" s="1" t="s">
        <v>58</v>
      </c>
      <c r="J1541" s="1" t="s">
        <v>131</v>
      </c>
      <c r="K1541" s="1" t="s">
        <v>71</v>
      </c>
      <c r="L1541" s="1" t="s">
        <v>136</v>
      </c>
      <c r="M1541" s="1" t="s">
        <v>62</v>
      </c>
      <c r="N1541" s="1" t="n">
        <v>4999</v>
      </c>
      <c r="O1541" s="1" t="n">
        <v>10</v>
      </c>
      <c r="P1541" s="1" t="n">
        <v>499.9</v>
      </c>
      <c r="Q1541" s="1" t="n">
        <v>4499.1</v>
      </c>
      <c r="R1541" s="1" t="n">
        <v>809.84</v>
      </c>
      <c r="S1541" s="1" t="n">
        <v>3689.26</v>
      </c>
      <c r="T1541" s="1" t="n">
        <v>1936.58</v>
      </c>
      <c r="U1541" s="1" t="n">
        <v>1752.68</v>
      </c>
      <c r="V1541" s="1" t="n">
        <v>47.51</v>
      </c>
      <c r="W1541" s="1" t="s">
        <v>39</v>
      </c>
      <c r="Y1541" s="1" t="s">
        <v>40</v>
      </c>
      <c r="Z1541" s="1" t="n">
        <v>0</v>
      </c>
    </row>
    <row r="1542" customFormat="false" ht="15" hidden="false" customHeight="true" outlineLevel="0" collapsed="false">
      <c r="A1542" s="1" t="s">
        <v>2356</v>
      </c>
      <c r="B1542" s="1" t="s">
        <v>774</v>
      </c>
      <c r="C1542" s="1" t="s">
        <v>134</v>
      </c>
      <c r="D1542" s="1" t="s">
        <v>94</v>
      </c>
      <c r="E1542" s="1" t="s">
        <v>101</v>
      </c>
      <c r="F1542" s="1" t="s">
        <v>55</v>
      </c>
      <c r="G1542" s="1" t="s">
        <v>56</v>
      </c>
      <c r="H1542" s="1" t="s">
        <v>57</v>
      </c>
      <c r="I1542" s="1" t="s">
        <v>58</v>
      </c>
      <c r="J1542" s="1" t="s">
        <v>59</v>
      </c>
      <c r="K1542" s="1" t="s">
        <v>71</v>
      </c>
      <c r="L1542" s="1" t="s">
        <v>61</v>
      </c>
      <c r="M1542" s="1" t="s">
        <v>62</v>
      </c>
      <c r="N1542" s="1" t="n">
        <v>14999</v>
      </c>
      <c r="O1542" s="1" t="n">
        <v>50</v>
      </c>
      <c r="P1542" s="1" t="n">
        <v>7499.5</v>
      </c>
      <c r="Q1542" s="1" t="n">
        <v>7499.5</v>
      </c>
      <c r="R1542" s="1" t="n">
        <v>1349.91</v>
      </c>
      <c r="S1542" s="1" t="n">
        <v>6149.59</v>
      </c>
      <c r="T1542" s="1" t="n">
        <v>2899.72</v>
      </c>
      <c r="U1542" s="1" t="n">
        <v>3249.87</v>
      </c>
      <c r="V1542" s="1" t="n">
        <v>52.85</v>
      </c>
      <c r="W1542" s="1" t="s">
        <v>39</v>
      </c>
      <c r="Y1542" s="1" t="s">
        <v>40</v>
      </c>
      <c r="Z1542" s="1" t="n">
        <v>1</v>
      </c>
    </row>
    <row r="1543" customFormat="false" ht="15" hidden="false" customHeight="true" outlineLevel="0" collapsed="false">
      <c r="A1543" s="1" t="s">
        <v>2357</v>
      </c>
      <c r="B1543" s="1" t="s">
        <v>795</v>
      </c>
      <c r="C1543" s="1" t="s">
        <v>100</v>
      </c>
      <c r="D1543" s="1" t="s">
        <v>94</v>
      </c>
      <c r="E1543" s="1" t="s">
        <v>95</v>
      </c>
      <c r="F1543" s="1" t="s">
        <v>55</v>
      </c>
      <c r="G1543" s="1" t="s">
        <v>56</v>
      </c>
      <c r="H1543" s="1" t="s">
        <v>57</v>
      </c>
      <c r="I1543" s="1" t="s">
        <v>58</v>
      </c>
      <c r="J1543" s="1" t="s">
        <v>59</v>
      </c>
      <c r="K1543" s="1" t="s">
        <v>71</v>
      </c>
      <c r="L1543" s="1" t="s">
        <v>113</v>
      </c>
      <c r="M1543" s="1" t="s">
        <v>62</v>
      </c>
      <c r="N1543" s="1" t="n">
        <v>6999</v>
      </c>
      <c r="O1543" s="1" t="n">
        <v>15</v>
      </c>
      <c r="P1543" s="1" t="n">
        <v>1049.85</v>
      </c>
      <c r="Q1543" s="1" t="n">
        <v>5949.15</v>
      </c>
      <c r="R1543" s="1" t="n">
        <v>1070.85</v>
      </c>
      <c r="S1543" s="1" t="n">
        <v>4878.3</v>
      </c>
      <c r="T1543" s="1" t="n">
        <v>2249.69</v>
      </c>
      <c r="U1543" s="1" t="n">
        <v>2628.61</v>
      </c>
      <c r="V1543" s="1" t="n">
        <v>53.88</v>
      </c>
      <c r="W1543" s="1" t="s">
        <v>39</v>
      </c>
      <c r="X1543" s="1" t="n">
        <v>4</v>
      </c>
      <c r="Y1543" s="1" t="s">
        <v>40</v>
      </c>
      <c r="Z1543" s="1" t="n">
        <v>0</v>
      </c>
    </row>
    <row r="1544" customFormat="false" ht="15" hidden="false" customHeight="true" outlineLevel="0" collapsed="false">
      <c r="A1544" s="1" t="s">
        <v>2358</v>
      </c>
      <c r="B1544" s="1" t="s">
        <v>559</v>
      </c>
      <c r="C1544" s="1" t="s">
        <v>249</v>
      </c>
      <c r="D1544" s="1" t="s">
        <v>168</v>
      </c>
      <c r="E1544" s="1" t="s">
        <v>172</v>
      </c>
      <c r="F1544" s="1" t="s">
        <v>205</v>
      </c>
      <c r="G1544" s="1" t="s">
        <v>56</v>
      </c>
      <c r="H1544" s="1" t="s">
        <v>69</v>
      </c>
      <c r="I1544" s="1" t="s">
        <v>83</v>
      </c>
      <c r="J1544" s="1" t="s">
        <v>35</v>
      </c>
      <c r="K1544" s="1" t="s">
        <v>48</v>
      </c>
      <c r="L1544" s="1" t="s">
        <v>113</v>
      </c>
      <c r="M1544" s="1" t="s">
        <v>62</v>
      </c>
      <c r="N1544" s="1" t="n">
        <v>6999</v>
      </c>
      <c r="O1544" s="1" t="n">
        <v>15</v>
      </c>
      <c r="P1544" s="1" t="n">
        <v>1049.85</v>
      </c>
      <c r="Q1544" s="1" t="n">
        <v>5949.15</v>
      </c>
      <c r="R1544" s="1" t="n">
        <v>1070.85</v>
      </c>
      <c r="S1544" s="1" t="n">
        <v>4878.3</v>
      </c>
      <c r="T1544" s="1" t="n">
        <v>2117.99</v>
      </c>
      <c r="U1544" s="1" t="n">
        <v>2760.31</v>
      </c>
      <c r="V1544" s="1" t="n">
        <v>56.58</v>
      </c>
      <c r="W1544" s="1" t="s">
        <v>40</v>
      </c>
      <c r="Y1544" s="1" t="s">
        <v>40</v>
      </c>
      <c r="Z1544" s="1" t="n">
        <v>0</v>
      </c>
    </row>
    <row r="1545" customFormat="false" ht="15" hidden="false" customHeight="true" outlineLevel="0" collapsed="false">
      <c r="A1545" s="1" t="s">
        <v>2359</v>
      </c>
      <c r="B1545" s="1" t="s">
        <v>2360</v>
      </c>
      <c r="C1545" s="1" t="s">
        <v>93</v>
      </c>
      <c r="D1545" s="1" t="s">
        <v>143</v>
      </c>
      <c r="E1545" s="1" t="s">
        <v>159</v>
      </c>
      <c r="F1545" s="1" t="s">
        <v>696</v>
      </c>
      <c r="G1545" s="1" t="s">
        <v>56</v>
      </c>
      <c r="H1545" s="1" t="s">
        <v>69</v>
      </c>
      <c r="I1545" s="1" t="s">
        <v>83</v>
      </c>
      <c r="J1545" s="1" t="s">
        <v>131</v>
      </c>
      <c r="K1545" s="1" t="s">
        <v>104</v>
      </c>
      <c r="L1545" s="1" t="s">
        <v>37</v>
      </c>
      <c r="M1545" s="1" t="s">
        <v>50</v>
      </c>
      <c r="N1545" s="1" t="n">
        <v>24999</v>
      </c>
      <c r="O1545" s="1" t="n">
        <v>0</v>
      </c>
      <c r="P1545" s="1" t="n">
        <v>0</v>
      </c>
      <c r="Q1545" s="1" t="n">
        <v>24999</v>
      </c>
      <c r="R1545" s="1" t="n">
        <v>4499.82</v>
      </c>
      <c r="S1545" s="1" t="n">
        <v>20499.18</v>
      </c>
      <c r="T1545" s="1" t="n">
        <v>7250.17</v>
      </c>
      <c r="U1545" s="1" t="n">
        <v>13249.01</v>
      </c>
      <c r="V1545" s="1" t="n">
        <v>64.63</v>
      </c>
      <c r="W1545" s="1" t="s">
        <v>40</v>
      </c>
      <c r="Y1545" s="1" t="s">
        <v>40</v>
      </c>
      <c r="Z1545" s="1" t="n">
        <v>0</v>
      </c>
    </row>
    <row r="1546" customFormat="false" ht="15" hidden="false" customHeight="true" outlineLevel="0" collapsed="false">
      <c r="A1546" s="1" t="s">
        <v>2361</v>
      </c>
      <c r="B1546" s="1" t="s">
        <v>1610</v>
      </c>
      <c r="C1546" s="1" t="s">
        <v>74</v>
      </c>
      <c r="D1546" s="1" t="s">
        <v>94</v>
      </c>
      <c r="E1546" s="1" t="s">
        <v>101</v>
      </c>
      <c r="F1546" s="1" t="s">
        <v>67</v>
      </c>
      <c r="G1546" s="1" t="s">
        <v>68</v>
      </c>
      <c r="H1546" s="1" t="s">
        <v>69</v>
      </c>
      <c r="I1546" s="1" t="s">
        <v>34</v>
      </c>
      <c r="J1546" s="1" t="s">
        <v>59</v>
      </c>
      <c r="K1546" s="1" t="s">
        <v>90</v>
      </c>
      <c r="L1546" s="1" t="s">
        <v>37</v>
      </c>
      <c r="M1546" s="1" t="s">
        <v>38</v>
      </c>
      <c r="N1546" s="1" t="n">
        <v>14999</v>
      </c>
      <c r="O1546" s="1" t="n">
        <v>40</v>
      </c>
      <c r="P1546" s="1" t="n">
        <v>5999.6</v>
      </c>
      <c r="Q1546" s="1" t="n">
        <v>8999.4</v>
      </c>
      <c r="R1546" s="1" t="n">
        <v>1619.89</v>
      </c>
      <c r="S1546" s="1" t="n">
        <v>7379.51</v>
      </c>
      <c r="T1546" s="1" t="n">
        <v>4060.1</v>
      </c>
      <c r="U1546" s="1" t="n">
        <v>3319.41</v>
      </c>
      <c r="V1546" s="1" t="n">
        <v>44.98</v>
      </c>
      <c r="W1546" s="1" t="s">
        <v>39</v>
      </c>
      <c r="Y1546" s="1" t="s">
        <v>40</v>
      </c>
      <c r="Z1546" s="1" t="n">
        <v>0</v>
      </c>
    </row>
    <row r="1547" customFormat="false" ht="15" hidden="false" customHeight="true" outlineLevel="0" collapsed="false">
      <c r="A1547" s="1" t="s">
        <v>2362</v>
      </c>
      <c r="B1547" s="1" t="s">
        <v>2363</v>
      </c>
      <c r="C1547" s="1" t="s">
        <v>65</v>
      </c>
      <c r="D1547" s="1" t="s">
        <v>80</v>
      </c>
      <c r="E1547" s="1" t="s">
        <v>81</v>
      </c>
      <c r="F1547" s="1" t="s">
        <v>150</v>
      </c>
      <c r="G1547" s="1" t="s">
        <v>32</v>
      </c>
      <c r="H1547" s="1" t="s">
        <v>57</v>
      </c>
      <c r="I1547" s="1" t="s">
        <v>58</v>
      </c>
      <c r="J1547" s="1" t="s">
        <v>131</v>
      </c>
      <c r="K1547" s="1" t="s">
        <v>60</v>
      </c>
      <c r="L1547" s="1" t="s">
        <v>136</v>
      </c>
      <c r="M1547" s="1" t="s">
        <v>38</v>
      </c>
      <c r="N1547" s="1" t="n">
        <v>12999</v>
      </c>
      <c r="O1547" s="1" t="n">
        <v>30</v>
      </c>
      <c r="P1547" s="1" t="n">
        <v>3899.7</v>
      </c>
      <c r="Q1547" s="1" t="n">
        <v>9099.3</v>
      </c>
      <c r="R1547" s="1" t="n">
        <v>1637.87</v>
      </c>
      <c r="S1547" s="1" t="n">
        <v>7461.43</v>
      </c>
      <c r="T1547" s="1" t="n">
        <v>3169.68</v>
      </c>
      <c r="U1547" s="1" t="n">
        <v>4291.75</v>
      </c>
      <c r="V1547" s="1" t="n">
        <v>57.52</v>
      </c>
      <c r="W1547" s="1" t="s">
        <v>39</v>
      </c>
      <c r="X1547" s="1" t="n">
        <v>3.2</v>
      </c>
      <c r="Y1547" s="1" t="s">
        <v>40</v>
      </c>
      <c r="Z1547" s="1" t="n">
        <v>0</v>
      </c>
    </row>
    <row r="1548" customFormat="false" ht="15" hidden="false" customHeight="true" outlineLevel="0" collapsed="false">
      <c r="A1548" s="1" t="s">
        <v>2364</v>
      </c>
      <c r="B1548" s="1" t="s">
        <v>1072</v>
      </c>
      <c r="C1548" s="1" t="s">
        <v>780</v>
      </c>
      <c r="D1548" s="1" t="s">
        <v>168</v>
      </c>
      <c r="E1548" s="1" t="s">
        <v>197</v>
      </c>
      <c r="F1548" s="1" t="s">
        <v>89</v>
      </c>
      <c r="G1548" s="1" t="s">
        <v>68</v>
      </c>
      <c r="H1548" s="1" t="s">
        <v>33</v>
      </c>
      <c r="I1548" s="1" t="s">
        <v>83</v>
      </c>
      <c r="J1548" s="1" t="s">
        <v>77</v>
      </c>
      <c r="K1548" s="1" t="s">
        <v>104</v>
      </c>
      <c r="L1548" s="1" t="s">
        <v>37</v>
      </c>
      <c r="M1548" s="1" t="s">
        <v>38</v>
      </c>
      <c r="N1548" s="1" t="n">
        <v>8499</v>
      </c>
      <c r="O1548" s="1" t="n">
        <v>50</v>
      </c>
      <c r="P1548" s="1" t="n">
        <v>4249.5</v>
      </c>
      <c r="Q1548" s="1" t="n">
        <v>4249.5</v>
      </c>
      <c r="R1548" s="1" t="n">
        <v>764.91</v>
      </c>
      <c r="S1548" s="1" t="n">
        <v>3484.59</v>
      </c>
      <c r="T1548" s="1" t="n">
        <v>1816.21</v>
      </c>
      <c r="U1548" s="1" t="n">
        <v>1668.38</v>
      </c>
      <c r="V1548" s="1" t="n">
        <v>47.88</v>
      </c>
      <c r="W1548" s="1" t="s">
        <v>40</v>
      </c>
      <c r="Y1548" s="1" t="s">
        <v>40</v>
      </c>
      <c r="Z1548" s="1" t="n">
        <v>1</v>
      </c>
    </row>
    <row r="1549" customFormat="false" ht="15" hidden="false" customHeight="true" outlineLevel="0" collapsed="false">
      <c r="A1549" s="1" t="s">
        <v>2365</v>
      </c>
      <c r="B1549" s="1" t="s">
        <v>366</v>
      </c>
      <c r="C1549" s="1" t="s">
        <v>249</v>
      </c>
      <c r="D1549" s="1" t="s">
        <v>80</v>
      </c>
      <c r="E1549" s="1" t="s">
        <v>193</v>
      </c>
      <c r="F1549" s="1" t="s">
        <v>82</v>
      </c>
      <c r="G1549" s="1" t="s">
        <v>56</v>
      </c>
      <c r="H1549" s="1" t="s">
        <v>69</v>
      </c>
      <c r="I1549" s="1" t="s">
        <v>58</v>
      </c>
      <c r="J1549" s="1" t="s">
        <v>70</v>
      </c>
      <c r="K1549" s="1" t="s">
        <v>48</v>
      </c>
      <c r="L1549" s="1" t="s">
        <v>85</v>
      </c>
      <c r="M1549" s="1" t="s">
        <v>62</v>
      </c>
      <c r="N1549" s="1" t="n">
        <v>8999</v>
      </c>
      <c r="O1549" s="1" t="n">
        <v>50</v>
      </c>
      <c r="P1549" s="1" t="n">
        <v>4499.5</v>
      </c>
      <c r="Q1549" s="1" t="n">
        <v>4499.5</v>
      </c>
      <c r="R1549" s="1" t="n">
        <v>809.91</v>
      </c>
      <c r="S1549" s="1" t="n">
        <v>3689.59</v>
      </c>
      <c r="T1549" s="1" t="n">
        <v>2005.87</v>
      </c>
      <c r="U1549" s="1" t="n">
        <v>1683.72</v>
      </c>
      <c r="V1549" s="1" t="n">
        <v>45.63</v>
      </c>
      <c r="W1549" s="1" t="s">
        <v>40</v>
      </c>
      <c r="Y1549" s="1" t="s">
        <v>40</v>
      </c>
      <c r="Z1549" s="1" t="n">
        <v>1</v>
      </c>
    </row>
    <row r="1550" customFormat="false" ht="15" hidden="false" customHeight="true" outlineLevel="0" collapsed="false">
      <c r="A1550" s="1" t="s">
        <v>2366</v>
      </c>
      <c r="B1550" s="1" t="s">
        <v>1553</v>
      </c>
      <c r="C1550" s="1" t="s">
        <v>74</v>
      </c>
      <c r="D1550" s="1" t="s">
        <v>94</v>
      </c>
      <c r="E1550" s="1" t="s">
        <v>135</v>
      </c>
      <c r="F1550" s="1" t="s">
        <v>140</v>
      </c>
      <c r="G1550" s="1" t="s">
        <v>97</v>
      </c>
      <c r="H1550" s="1" t="s">
        <v>57</v>
      </c>
      <c r="I1550" s="1" t="s">
        <v>34</v>
      </c>
      <c r="J1550" s="1" t="s">
        <v>131</v>
      </c>
      <c r="K1550" s="1" t="s">
        <v>36</v>
      </c>
      <c r="L1550" s="1" t="s">
        <v>61</v>
      </c>
      <c r="M1550" s="1" t="s">
        <v>62</v>
      </c>
      <c r="N1550" s="1" t="n">
        <v>9999</v>
      </c>
      <c r="O1550" s="1" t="n">
        <v>50</v>
      </c>
      <c r="P1550" s="1" t="n">
        <v>4999.5</v>
      </c>
      <c r="Q1550" s="1" t="n">
        <v>4999.5</v>
      </c>
      <c r="R1550" s="1" t="n">
        <v>899.91</v>
      </c>
      <c r="S1550" s="1" t="n">
        <v>4099.59</v>
      </c>
      <c r="T1550" s="1" t="n">
        <v>2378.01</v>
      </c>
      <c r="U1550" s="1" t="n">
        <v>1721.58</v>
      </c>
      <c r="V1550" s="1" t="n">
        <v>41.99</v>
      </c>
      <c r="W1550" s="1" t="s">
        <v>39</v>
      </c>
      <c r="X1550" s="1" t="n">
        <v>3.6</v>
      </c>
      <c r="Y1550" s="1" t="s">
        <v>40</v>
      </c>
      <c r="Z1550" s="1" t="n">
        <v>0</v>
      </c>
    </row>
    <row r="1551" customFormat="false" ht="15" hidden="false" customHeight="true" outlineLevel="0" collapsed="false">
      <c r="A1551" s="1" t="s">
        <v>2367</v>
      </c>
      <c r="B1551" s="1" t="s">
        <v>464</v>
      </c>
      <c r="C1551" s="1" t="s">
        <v>167</v>
      </c>
      <c r="D1551" s="1" t="s">
        <v>168</v>
      </c>
      <c r="E1551" s="1" t="s">
        <v>197</v>
      </c>
      <c r="F1551" s="1" t="s">
        <v>125</v>
      </c>
      <c r="G1551" s="1" t="s">
        <v>108</v>
      </c>
      <c r="H1551" s="1" t="s">
        <v>69</v>
      </c>
      <c r="I1551" s="1" t="s">
        <v>58</v>
      </c>
      <c r="J1551" s="1" t="s">
        <v>35</v>
      </c>
      <c r="K1551" s="1" t="s">
        <v>36</v>
      </c>
      <c r="L1551" s="1" t="s">
        <v>136</v>
      </c>
      <c r="M1551" s="1" t="s">
        <v>38</v>
      </c>
      <c r="N1551" s="1" t="n">
        <v>8499</v>
      </c>
      <c r="O1551" s="1" t="n">
        <v>0</v>
      </c>
      <c r="P1551" s="1" t="n">
        <v>0</v>
      </c>
      <c r="Q1551" s="1" t="n">
        <v>8499</v>
      </c>
      <c r="R1551" s="1" t="n">
        <v>1529.82</v>
      </c>
      <c r="S1551" s="1" t="n">
        <v>6969.18</v>
      </c>
      <c r="T1551" s="1" t="n">
        <v>2706.24</v>
      </c>
      <c r="U1551" s="1" t="n">
        <v>4262.94</v>
      </c>
      <c r="V1551" s="1" t="n">
        <v>61.17</v>
      </c>
      <c r="W1551" s="1" t="s">
        <v>39</v>
      </c>
      <c r="X1551" s="1" t="n">
        <v>4.5</v>
      </c>
      <c r="Y1551" s="1" t="s">
        <v>40</v>
      </c>
      <c r="Z1551" s="1" t="n">
        <v>0</v>
      </c>
    </row>
    <row r="1552" customFormat="false" ht="15" hidden="false" customHeight="true" outlineLevel="0" collapsed="false">
      <c r="A1552" s="1" t="s">
        <v>2368</v>
      </c>
      <c r="B1552" s="1" t="s">
        <v>1423</v>
      </c>
      <c r="C1552" s="1" t="s">
        <v>128</v>
      </c>
      <c r="D1552" s="1" t="s">
        <v>123</v>
      </c>
      <c r="E1552" s="1" t="s">
        <v>233</v>
      </c>
      <c r="F1552" s="1" t="s">
        <v>153</v>
      </c>
      <c r="G1552" s="1" t="s">
        <v>76</v>
      </c>
      <c r="H1552" s="1" t="s">
        <v>33</v>
      </c>
      <c r="I1552" s="1" t="s">
        <v>34</v>
      </c>
      <c r="J1552" s="1" t="s">
        <v>77</v>
      </c>
      <c r="K1552" s="1" t="s">
        <v>84</v>
      </c>
      <c r="L1552" s="1" t="s">
        <v>136</v>
      </c>
      <c r="M1552" s="1" t="s">
        <v>62</v>
      </c>
      <c r="N1552" s="1" t="n">
        <v>8999</v>
      </c>
      <c r="O1552" s="1" t="n">
        <v>10</v>
      </c>
      <c r="P1552" s="1" t="n">
        <v>899.9</v>
      </c>
      <c r="Q1552" s="1" t="n">
        <v>8099.1</v>
      </c>
      <c r="R1552" s="1" t="n">
        <v>1457.84</v>
      </c>
      <c r="S1552" s="1" t="n">
        <v>6641.26</v>
      </c>
      <c r="T1552" s="1" t="n">
        <v>3412.08</v>
      </c>
      <c r="U1552" s="1" t="n">
        <v>3229.18</v>
      </c>
      <c r="V1552" s="1" t="n">
        <v>48.62</v>
      </c>
      <c r="W1552" s="1" t="s">
        <v>39</v>
      </c>
      <c r="X1552" s="1" t="n">
        <v>4</v>
      </c>
      <c r="Y1552" s="1" t="s">
        <v>40</v>
      </c>
      <c r="Z1552" s="1" t="n">
        <v>0</v>
      </c>
    </row>
    <row r="1553" customFormat="false" ht="15" hidden="false" customHeight="true" outlineLevel="0" collapsed="false">
      <c r="A1553" s="1" t="s">
        <v>2369</v>
      </c>
      <c r="B1553" s="1" t="s">
        <v>1104</v>
      </c>
      <c r="C1553" s="1" t="s">
        <v>178</v>
      </c>
      <c r="D1553" s="1" t="s">
        <v>123</v>
      </c>
      <c r="E1553" s="1" t="s">
        <v>124</v>
      </c>
      <c r="F1553" s="1" t="s">
        <v>55</v>
      </c>
      <c r="G1553" s="1" t="s">
        <v>56</v>
      </c>
      <c r="H1553" s="1" t="s">
        <v>57</v>
      </c>
      <c r="I1553" s="1" t="s">
        <v>34</v>
      </c>
      <c r="J1553" s="1" t="s">
        <v>35</v>
      </c>
      <c r="K1553" s="1" t="s">
        <v>36</v>
      </c>
      <c r="L1553" s="1" t="s">
        <v>49</v>
      </c>
      <c r="M1553" s="1" t="s">
        <v>62</v>
      </c>
      <c r="N1553" s="1" t="n">
        <v>4999</v>
      </c>
      <c r="O1553" s="1" t="n">
        <v>10</v>
      </c>
      <c r="P1553" s="1" t="n">
        <v>499.9</v>
      </c>
      <c r="Q1553" s="1" t="n">
        <v>4499.1</v>
      </c>
      <c r="R1553" s="1" t="n">
        <v>809.84</v>
      </c>
      <c r="S1553" s="1" t="n">
        <v>3689.26</v>
      </c>
      <c r="T1553" s="1" t="n">
        <v>1581.48</v>
      </c>
      <c r="U1553" s="1" t="n">
        <v>2107.78</v>
      </c>
      <c r="V1553" s="1" t="n">
        <v>57.13</v>
      </c>
      <c r="W1553" s="1" t="s">
        <v>39</v>
      </c>
      <c r="X1553" s="1" t="n">
        <v>3.2</v>
      </c>
      <c r="Y1553" s="1" t="s">
        <v>40</v>
      </c>
      <c r="Z1553" s="1" t="n">
        <v>0</v>
      </c>
    </row>
    <row r="1554" customFormat="false" ht="15" hidden="false" customHeight="true" outlineLevel="0" collapsed="false">
      <c r="A1554" s="1" t="s">
        <v>2370</v>
      </c>
      <c r="B1554" s="1" t="s">
        <v>430</v>
      </c>
      <c r="C1554" s="1" t="s">
        <v>249</v>
      </c>
      <c r="D1554" s="1" t="s">
        <v>44</v>
      </c>
      <c r="E1554" s="1" t="s">
        <v>45</v>
      </c>
      <c r="F1554" s="1" t="s">
        <v>46</v>
      </c>
      <c r="G1554" s="1" t="s">
        <v>47</v>
      </c>
      <c r="H1554" s="1" t="s">
        <v>33</v>
      </c>
      <c r="I1554" s="1" t="s">
        <v>34</v>
      </c>
      <c r="J1554" s="1" t="s">
        <v>131</v>
      </c>
      <c r="K1554" s="1" t="s">
        <v>90</v>
      </c>
      <c r="L1554" s="1" t="s">
        <v>61</v>
      </c>
      <c r="M1554" s="1" t="s">
        <v>50</v>
      </c>
      <c r="N1554" s="1" t="n">
        <v>11999</v>
      </c>
      <c r="O1554" s="1" t="n">
        <v>30</v>
      </c>
      <c r="P1554" s="1" t="n">
        <v>3599.7</v>
      </c>
      <c r="Q1554" s="1" t="n">
        <v>8399.3</v>
      </c>
      <c r="R1554" s="1" t="n">
        <v>1511.87</v>
      </c>
      <c r="S1554" s="1" t="n">
        <v>6887.43</v>
      </c>
      <c r="T1554" s="1" t="n">
        <v>2725.22</v>
      </c>
      <c r="U1554" s="1" t="n">
        <v>4162.21</v>
      </c>
      <c r="V1554" s="1" t="n">
        <v>60.43</v>
      </c>
      <c r="W1554" s="1" t="s">
        <v>39</v>
      </c>
      <c r="X1554" s="1" t="n">
        <v>3.3</v>
      </c>
      <c r="Y1554" s="1" t="s">
        <v>40</v>
      </c>
      <c r="Z1554" s="1" t="n">
        <v>0</v>
      </c>
    </row>
    <row r="1555" customFormat="false" ht="15" hidden="false" customHeight="true" outlineLevel="0" collapsed="false">
      <c r="A1555" s="1" t="s">
        <v>2371</v>
      </c>
      <c r="B1555" s="1" t="s">
        <v>1280</v>
      </c>
      <c r="C1555" s="1" t="s">
        <v>43</v>
      </c>
      <c r="D1555" s="1" t="s">
        <v>143</v>
      </c>
      <c r="E1555" s="1" t="s">
        <v>243</v>
      </c>
      <c r="F1555" s="1" t="s">
        <v>205</v>
      </c>
      <c r="G1555" s="1" t="s">
        <v>56</v>
      </c>
      <c r="H1555" s="1" t="s">
        <v>69</v>
      </c>
      <c r="I1555" s="1" t="s">
        <v>58</v>
      </c>
      <c r="J1555" s="1" t="s">
        <v>131</v>
      </c>
      <c r="K1555" s="1" t="s">
        <v>71</v>
      </c>
      <c r="L1555" s="1" t="s">
        <v>136</v>
      </c>
      <c r="M1555" s="1" t="s">
        <v>50</v>
      </c>
      <c r="N1555" s="1" t="n">
        <v>22999</v>
      </c>
      <c r="O1555" s="1" t="n">
        <v>25</v>
      </c>
      <c r="P1555" s="1" t="n">
        <v>5749.75</v>
      </c>
      <c r="Q1555" s="1" t="n">
        <v>17249.25</v>
      </c>
      <c r="R1555" s="1" t="n">
        <v>3104.86</v>
      </c>
      <c r="S1555" s="1" t="n">
        <v>14144.39</v>
      </c>
      <c r="T1555" s="1" t="n">
        <v>5883.82</v>
      </c>
      <c r="U1555" s="1" t="n">
        <v>8260.57</v>
      </c>
      <c r="V1555" s="1" t="n">
        <v>58.4</v>
      </c>
      <c r="W1555" s="1" t="s">
        <v>40</v>
      </c>
      <c r="Y1555" s="1" t="s">
        <v>40</v>
      </c>
      <c r="Z1555" s="1" t="n">
        <v>0</v>
      </c>
    </row>
    <row r="1556" customFormat="false" ht="15" hidden="false" customHeight="true" outlineLevel="0" collapsed="false">
      <c r="A1556" s="1" t="s">
        <v>2372</v>
      </c>
      <c r="B1556" s="1" t="s">
        <v>1113</v>
      </c>
      <c r="C1556" s="1" t="s">
        <v>167</v>
      </c>
      <c r="D1556" s="1" t="s">
        <v>80</v>
      </c>
      <c r="E1556" s="1" t="s">
        <v>175</v>
      </c>
      <c r="F1556" s="1" t="s">
        <v>205</v>
      </c>
      <c r="G1556" s="1" t="s">
        <v>56</v>
      </c>
      <c r="H1556" s="1" t="s">
        <v>69</v>
      </c>
      <c r="I1556" s="1" t="s">
        <v>83</v>
      </c>
      <c r="J1556" s="1" t="s">
        <v>35</v>
      </c>
      <c r="K1556" s="1" t="s">
        <v>36</v>
      </c>
      <c r="L1556" s="1" t="s">
        <v>61</v>
      </c>
      <c r="M1556" s="1" t="s">
        <v>38</v>
      </c>
      <c r="N1556" s="1" t="n">
        <v>19999</v>
      </c>
      <c r="O1556" s="1" t="n">
        <v>50</v>
      </c>
      <c r="P1556" s="1" t="n">
        <v>9999.5</v>
      </c>
      <c r="Q1556" s="1" t="n">
        <v>9999.5</v>
      </c>
      <c r="R1556" s="1" t="n">
        <v>1799.91</v>
      </c>
      <c r="S1556" s="1" t="n">
        <v>8199.59</v>
      </c>
      <c r="T1556" s="1" t="n">
        <v>4153.77</v>
      </c>
      <c r="U1556" s="1" t="n">
        <v>4045.82</v>
      </c>
      <c r="V1556" s="1" t="n">
        <v>49.34</v>
      </c>
      <c r="W1556" s="1" t="s">
        <v>40</v>
      </c>
      <c r="Y1556" s="1" t="s">
        <v>40</v>
      </c>
      <c r="Z1556" s="1" t="n">
        <v>1</v>
      </c>
    </row>
    <row r="1557" customFormat="false" ht="15" hidden="false" customHeight="true" outlineLevel="0" collapsed="false">
      <c r="A1557" s="1" t="s">
        <v>2373</v>
      </c>
      <c r="B1557" s="1" t="s">
        <v>1751</v>
      </c>
      <c r="C1557" s="1" t="s">
        <v>264</v>
      </c>
      <c r="D1557" s="1" t="s">
        <v>29</v>
      </c>
      <c r="E1557" s="1" t="s">
        <v>305</v>
      </c>
      <c r="F1557" s="1" t="s">
        <v>156</v>
      </c>
      <c r="G1557" s="1" t="s">
        <v>68</v>
      </c>
      <c r="H1557" s="1" t="s">
        <v>57</v>
      </c>
      <c r="I1557" s="1" t="s">
        <v>83</v>
      </c>
      <c r="J1557" s="1" t="s">
        <v>77</v>
      </c>
      <c r="K1557" s="1" t="s">
        <v>104</v>
      </c>
      <c r="L1557" s="1" t="s">
        <v>49</v>
      </c>
      <c r="M1557" s="1" t="s">
        <v>50</v>
      </c>
      <c r="N1557" s="1" t="n">
        <v>24999</v>
      </c>
      <c r="O1557" s="1" t="n">
        <v>40</v>
      </c>
      <c r="P1557" s="1" t="n">
        <v>9999.6</v>
      </c>
      <c r="Q1557" s="1" t="n">
        <v>14999.4</v>
      </c>
      <c r="R1557" s="1" t="n">
        <v>2699.89</v>
      </c>
      <c r="S1557" s="1" t="n">
        <v>12299.51</v>
      </c>
      <c r="T1557" s="1" t="n">
        <v>7002.93</v>
      </c>
      <c r="U1557" s="1" t="n">
        <v>5296.58</v>
      </c>
      <c r="V1557" s="1" t="n">
        <v>43.06</v>
      </c>
      <c r="W1557" s="1" t="s">
        <v>39</v>
      </c>
      <c r="X1557" s="1" t="n">
        <v>3.8</v>
      </c>
      <c r="Y1557" s="1" t="s">
        <v>40</v>
      </c>
      <c r="Z1557" s="1" t="n">
        <v>0</v>
      </c>
    </row>
    <row r="1558" customFormat="false" ht="15" hidden="false" customHeight="true" outlineLevel="0" collapsed="false">
      <c r="A1558" s="1" t="s">
        <v>2374</v>
      </c>
      <c r="B1558" s="1" t="s">
        <v>273</v>
      </c>
      <c r="C1558" s="1" t="s">
        <v>264</v>
      </c>
      <c r="D1558" s="1" t="s">
        <v>80</v>
      </c>
      <c r="E1558" s="1" t="s">
        <v>190</v>
      </c>
      <c r="F1558" s="1" t="s">
        <v>269</v>
      </c>
      <c r="G1558" s="1" t="s">
        <v>108</v>
      </c>
      <c r="H1558" s="1" t="s">
        <v>57</v>
      </c>
      <c r="I1558" s="1" t="s">
        <v>34</v>
      </c>
      <c r="J1558" s="1" t="s">
        <v>59</v>
      </c>
      <c r="K1558" s="1" t="s">
        <v>90</v>
      </c>
      <c r="L1558" s="1" t="s">
        <v>85</v>
      </c>
      <c r="M1558" s="1" t="s">
        <v>62</v>
      </c>
      <c r="N1558" s="1" t="n">
        <v>15999</v>
      </c>
      <c r="O1558" s="1" t="n">
        <v>30</v>
      </c>
      <c r="P1558" s="1" t="n">
        <v>4799.7</v>
      </c>
      <c r="Q1558" s="1" t="n">
        <v>11199.3</v>
      </c>
      <c r="R1558" s="1" t="n">
        <v>2015.87</v>
      </c>
      <c r="S1558" s="1" t="n">
        <v>9183.43</v>
      </c>
      <c r="T1558" s="1" t="n">
        <v>3236.2</v>
      </c>
      <c r="U1558" s="1" t="n">
        <v>5947.23</v>
      </c>
      <c r="V1558" s="1" t="n">
        <v>64.76</v>
      </c>
      <c r="W1558" s="1" t="s">
        <v>40</v>
      </c>
      <c r="Y1558" s="1" t="s">
        <v>40</v>
      </c>
      <c r="Z1558" s="1" t="n">
        <v>0</v>
      </c>
    </row>
    <row r="1559" customFormat="false" ht="15" hidden="false" customHeight="true" outlineLevel="0" collapsed="false">
      <c r="A1559" s="1" t="s">
        <v>2375</v>
      </c>
      <c r="B1559" s="1" t="s">
        <v>259</v>
      </c>
      <c r="C1559" s="1" t="s">
        <v>100</v>
      </c>
      <c r="D1559" s="1" t="s">
        <v>80</v>
      </c>
      <c r="E1559" s="1" t="s">
        <v>193</v>
      </c>
      <c r="F1559" s="1" t="s">
        <v>187</v>
      </c>
      <c r="G1559" s="1" t="s">
        <v>97</v>
      </c>
      <c r="H1559" s="1" t="s">
        <v>69</v>
      </c>
      <c r="I1559" s="1" t="s">
        <v>58</v>
      </c>
      <c r="J1559" s="1" t="s">
        <v>131</v>
      </c>
      <c r="K1559" s="1" t="s">
        <v>90</v>
      </c>
      <c r="L1559" s="1" t="s">
        <v>113</v>
      </c>
      <c r="M1559" s="1" t="s">
        <v>62</v>
      </c>
      <c r="N1559" s="1" t="n">
        <v>8999</v>
      </c>
      <c r="O1559" s="1" t="n">
        <v>10</v>
      </c>
      <c r="P1559" s="1" t="n">
        <v>899.9</v>
      </c>
      <c r="Q1559" s="1" t="n">
        <v>8099.1</v>
      </c>
      <c r="R1559" s="1" t="n">
        <v>1457.84</v>
      </c>
      <c r="S1559" s="1" t="n">
        <v>6641.26</v>
      </c>
      <c r="T1559" s="1" t="n">
        <v>3449.81</v>
      </c>
      <c r="U1559" s="1" t="n">
        <v>3191.45</v>
      </c>
      <c r="V1559" s="1" t="n">
        <v>48.05</v>
      </c>
      <c r="W1559" s="1" t="s">
        <v>39</v>
      </c>
      <c r="X1559" s="1" t="n">
        <v>4.7</v>
      </c>
      <c r="Y1559" s="1" t="s">
        <v>40</v>
      </c>
      <c r="Z1559" s="1" t="n">
        <v>1</v>
      </c>
    </row>
    <row r="1560" customFormat="false" ht="15" hidden="false" customHeight="true" outlineLevel="0" collapsed="false">
      <c r="A1560" s="1" t="s">
        <v>2376</v>
      </c>
      <c r="B1560" s="1" t="s">
        <v>827</v>
      </c>
      <c r="C1560" s="1" t="s">
        <v>139</v>
      </c>
      <c r="D1560" s="1" t="s">
        <v>168</v>
      </c>
      <c r="E1560" s="1" t="s">
        <v>172</v>
      </c>
      <c r="F1560" s="1" t="s">
        <v>153</v>
      </c>
      <c r="G1560" s="1" t="s">
        <v>76</v>
      </c>
      <c r="H1560" s="1" t="s">
        <v>33</v>
      </c>
      <c r="I1560" s="1" t="s">
        <v>34</v>
      </c>
      <c r="J1560" s="1" t="s">
        <v>35</v>
      </c>
      <c r="K1560" s="1" t="s">
        <v>71</v>
      </c>
      <c r="L1560" s="1" t="s">
        <v>85</v>
      </c>
      <c r="M1560" s="1" t="s">
        <v>50</v>
      </c>
      <c r="N1560" s="1" t="n">
        <v>6999</v>
      </c>
      <c r="O1560" s="1" t="n">
        <v>0</v>
      </c>
      <c r="P1560" s="1" t="n">
        <v>0</v>
      </c>
      <c r="Q1560" s="1" t="n">
        <v>6999</v>
      </c>
      <c r="R1560" s="1" t="n">
        <v>1259.82</v>
      </c>
      <c r="S1560" s="1" t="n">
        <v>5739.18</v>
      </c>
      <c r="T1560" s="1" t="n">
        <v>2514.93</v>
      </c>
      <c r="U1560" s="1" t="n">
        <v>3224.25</v>
      </c>
      <c r="V1560" s="1" t="n">
        <v>56.18</v>
      </c>
      <c r="W1560" s="1" t="s">
        <v>39</v>
      </c>
      <c r="X1560" s="1" t="n">
        <v>3.4</v>
      </c>
      <c r="Y1560" s="1" t="s">
        <v>40</v>
      </c>
      <c r="Z1560" s="1" t="n">
        <v>0</v>
      </c>
    </row>
    <row r="1561" customFormat="false" ht="15" hidden="false" customHeight="true" outlineLevel="0" collapsed="false">
      <c r="A1561" s="1" t="s">
        <v>2377</v>
      </c>
      <c r="B1561" s="1" t="s">
        <v>1050</v>
      </c>
      <c r="C1561" s="1" t="s">
        <v>65</v>
      </c>
      <c r="D1561" s="1" t="s">
        <v>44</v>
      </c>
      <c r="E1561" s="1" t="s">
        <v>45</v>
      </c>
      <c r="F1561" s="1" t="s">
        <v>194</v>
      </c>
      <c r="G1561" s="1" t="s">
        <v>103</v>
      </c>
      <c r="H1561" s="1" t="s">
        <v>69</v>
      </c>
      <c r="I1561" s="1" t="s">
        <v>34</v>
      </c>
      <c r="J1561" s="1" t="s">
        <v>131</v>
      </c>
      <c r="K1561" s="1" t="s">
        <v>36</v>
      </c>
      <c r="L1561" s="1" t="s">
        <v>37</v>
      </c>
      <c r="M1561" s="1" t="s">
        <v>62</v>
      </c>
      <c r="N1561" s="1" t="n">
        <v>11999</v>
      </c>
      <c r="O1561" s="1" t="n">
        <v>50</v>
      </c>
      <c r="P1561" s="1" t="n">
        <v>5999.5</v>
      </c>
      <c r="Q1561" s="1" t="n">
        <v>5999.5</v>
      </c>
      <c r="R1561" s="1" t="n">
        <v>1079.91</v>
      </c>
      <c r="S1561" s="1" t="n">
        <v>4919.59</v>
      </c>
      <c r="T1561" s="1" t="n">
        <v>2704.7</v>
      </c>
      <c r="U1561" s="1" t="n">
        <v>2214.89</v>
      </c>
      <c r="V1561" s="1" t="n">
        <v>45.02</v>
      </c>
      <c r="W1561" s="1" t="s">
        <v>40</v>
      </c>
      <c r="Y1561" s="1" t="s">
        <v>40</v>
      </c>
      <c r="Z1561" s="1" t="n">
        <v>1</v>
      </c>
    </row>
    <row r="1562" customFormat="false" ht="15" hidden="false" customHeight="true" outlineLevel="0" collapsed="false">
      <c r="A1562" s="1" t="s">
        <v>2378</v>
      </c>
      <c r="B1562" s="1" t="s">
        <v>320</v>
      </c>
      <c r="C1562" s="1" t="s">
        <v>134</v>
      </c>
      <c r="D1562" s="1" t="s">
        <v>29</v>
      </c>
      <c r="E1562" s="1" t="s">
        <v>305</v>
      </c>
      <c r="F1562" s="1" t="s">
        <v>120</v>
      </c>
      <c r="G1562" s="1" t="s">
        <v>47</v>
      </c>
      <c r="H1562" s="1" t="s">
        <v>57</v>
      </c>
      <c r="I1562" s="1" t="s">
        <v>83</v>
      </c>
      <c r="J1562" s="1" t="s">
        <v>35</v>
      </c>
      <c r="K1562" s="1" t="s">
        <v>112</v>
      </c>
      <c r="L1562" s="1" t="s">
        <v>49</v>
      </c>
      <c r="M1562" s="1" t="s">
        <v>62</v>
      </c>
      <c r="N1562" s="1" t="n">
        <v>24999</v>
      </c>
      <c r="O1562" s="1" t="n">
        <v>30</v>
      </c>
      <c r="P1562" s="1" t="n">
        <v>7499.7</v>
      </c>
      <c r="Q1562" s="1" t="n">
        <v>17499.3</v>
      </c>
      <c r="R1562" s="1" t="n">
        <v>3149.87</v>
      </c>
      <c r="S1562" s="1" t="n">
        <v>14349.43</v>
      </c>
      <c r="T1562" s="1" t="n">
        <v>5750.04</v>
      </c>
      <c r="U1562" s="1" t="n">
        <v>8599.39</v>
      </c>
      <c r="V1562" s="1" t="n">
        <v>59.93</v>
      </c>
      <c r="W1562" s="1" t="s">
        <v>39</v>
      </c>
      <c r="X1562" s="1" t="n">
        <v>3</v>
      </c>
      <c r="Y1562" s="1" t="s">
        <v>40</v>
      </c>
      <c r="Z1562" s="1" t="n">
        <v>0</v>
      </c>
    </row>
    <row r="1563" customFormat="false" ht="15" hidden="false" customHeight="true" outlineLevel="0" collapsed="false">
      <c r="A1563" s="1" t="s">
        <v>2379</v>
      </c>
      <c r="B1563" s="1" t="s">
        <v>549</v>
      </c>
      <c r="C1563" s="1" t="s">
        <v>88</v>
      </c>
      <c r="D1563" s="1" t="s">
        <v>53</v>
      </c>
      <c r="E1563" s="1" t="s">
        <v>54</v>
      </c>
      <c r="F1563" s="1" t="s">
        <v>120</v>
      </c>
      <c r="G1563" s="1" t="s">
        <v>47</v>
      </c>
      <c r="H1563" s="1" t="s">
        <v>57</v>
      </c>
      <c r="I1563" s="1" t="s">
        <v>58</v>
      </c>
      <c r="J1563" s="1" t="s">
        <v>131</v>
      </c>
      <c r="K1563" s="1" t="s">
        <v>104</v>
      </c>
      <c r="L1563" s="1" t="s">
        <v>113</v>
      </c>
      <c r="M1563" s="1" t="s">
        <v>50</v>
      </c>
      <c r="N1563" s="1" t="n">
        <v>11999</v>
      </c>
      <c r="O1563" s="1" t="n">
        <v>50</v>
      </c>
      <c r="P1563" s="1" t="n">
        <v>5999.5</v>
      </c>
      <c r="Q1563" s="1" t="n">
        <v>5999.5</v>
      </c>
      <c r="R1563" s="1" t="n">
        <v>1079.91</v>
      </c>
      <c r="S1563" s="1" t="n">
        <v>4919.59</v>
      </c>
      <c r="T1563" s="1" t="n">
        <v>2969.12</v>
      </c>
      <c r="U1563" s="1" t="n">
        <v>1950.47</v>
      </c>
      <c r="V1563" s="1" t="n">
        <v>39.65</v>
      </c>
      <c r="W1563" s="1" t="s">
        <v>39</v>
      </c>
      <c r="X1563" s="1" t="n">
        <v>3.1</v>
      </c>
      <c r="Y1563" s="1" t="s">
        <v>40</v>
      </c>
      <c r="Z1563" s="1" t="n">
        <v>0</v>
      </c>
    </row>
    <row r="1564" customFormat="false" ht="15" hidden="false" customHeight="true" outlineLevel="0" collapsed="false">
      <c r="A1564" s="1" t="s">
        <v>2380</v>
      </c>
      <c r="B1564" s="1" t="s">
        <v>815</v>
      </c>
      <c r="C1564" s="1" t="s">
        <v>74</v>
      </c>
      <c r="D1564" s="1" t="s">
        <v>53</v>
      </c>
      <c r="E1564" s="1" t="s">
        <v>116</v>
      </c>
      <c r="F1564" s="1" t="s">
        <v>156</v>
      </c>
      <c r="G1564" s="1" t="s">
        <v>68</v>
      </c>
      <c r="H1564" s="1" t="s">
        <v>57</v>
      </c>
      <c r="I1564" s="1" t="s">
        <v>58</v>
      </c>
      <c r="J1564" s="1" t="s">
        <v>77</v>
      </c>
      <c r="K1564" s="1" t="s">
        <v>104</v>
      </c>
      <c r="L1564" s="1" t="s">
        <v>61</v>
      </c>
      <c r="M1564" s="1" t="s">
        <v>50</v>
      </c>
      <c r="N1564" s="1" t="n">
        <v>9999</v>
      </c>
      <c r="O1564" s="1" t="n">
        <v>0</v>
      </c>
      <c r="P1564" s="1" t="n">
        <v>0</v>
      </c>
      <c r="Q1564" s="1" t="n">
        <v>9999</v>
      </c>
      <c r="R1564" s="1" t="n">
        <v>1799.82</v>
      </c>
      <c r="S1564" s="1" t="n">
        <v>8199.18</v>
      </c>
      <c r="T1564" s="1" t="n">
        <v>3840.13</v>
      </c>
      <c r="U1564" s="1" t="n">
        <v>4359.05</v>
      </c>
      <c r="V1564" s="1" t="n">
        <v>53.16</v>
      </c>
      <c r="W1564" s="1" t="s">
        <v>40</v>
      </c>
      <c r="Y1564" s="1" t="s">
        <v>40</v>
      </c>
      <c r="Z1564" s="1" t="n">
        <v>0</v>
      </c>
    </row>
    <row r="1565" customFormat="false" ht="15" hidden="false" customHeight="true" outlineLevel="0" collapsed="false">
      <c r="A1565" s="1" t="s">
        <v>2381</v>
      </c>
      <c r="B1565" s="1" t="s">
        <v>2382</v>
      </c>
      <c r="C1565" s="1" t="s">
        <v>65</v>
      </c>
      <c r="D1565" s="1" t="s">
        <v>29</v>
      </c>
      <c r="E1565" s="1" t="s">
        <v>305</v>
      </c>
      <c r="F1565" s="1" t="s">
        <v>728</v>
      </c>
      <c r="G1565" s="1" t="s">
        <v>97</v>
      </c>
      <c r="H1565" s="1" t="s">
        <v>69</v>
      </c>
      <c r="I1565" s="1" t="s">
        <v>83</v>
      </c>
      <c r="J1565" s="1" t="s">
        <v>35</v>
      </c>
      <c r="K1565" s="1" t="s">
        <v>60</v>
      </c>
      <c r="L1565" s="1" t="s">
        <v>113</v>
      </c>
      <c r="M1565" s="1" t="s">
        <v>50</v>
      </c>
      <c r="N1565" s="1" t="n">
        <v>24999</v>
      </c>
      <c r="O1565" s="1" t="n">
        <v>30</v>
      </c>
      <c r="P1565" s="1" t="n">
        <v>7499.7</v>
      </c>
      <c r="Q1565" s="1" t="n">
        <v>17499.3</v>
      </c>
      <c r="R1565" s="1" t="n">
        <v>3149.87</v>
      </c>
      <c r="S1565" s="1" t="n">
        <v>14349.43</v>
      </c>
      <c r="T1565" s="1" t="n">
        <v>4164.47</v>
      </c>
      <c r="U1565" s="1" t="n">
        <v>10184.96</v>
      </c>
      <c r="V1565" s="1" t="n">
        <v>70.98</v>
      </c>
      <c r="W1565" s="1" t="s">
        <v>40</v>
      </c>
      <c r="Y1565" s="1" t="s">
        <v>40</v>
      </c>
      <c r="Z1565" s="1" t="n">
        <v>0</v>
      </c>
    </row>
    <row r="1566" customFormat="false" ht="15" hidden="false" customHeight="true" outlineLevel="0" collapsed="false">
      <c r="A1566" s="1" t="s">
        <v>2383</v>
      </c>
      <c r="B1566" s="1" t="s">
        <v>1402</v>
      </c>
      <c r="C1566" s="1" t="s">
        <v>119</v>
      </c>
      <c r="D1566" s="1" t="s">
        <v>53</v>
      </c>
      <c r="E1566" s="1" t="s">
        <v>216</v>
      </c>
      <c r="F1566" s="1" t="s">
        <v>205</v>
      </c>
      <c r="G1566" s="1" t="s">
        <v>56</v>
      </c>
      <c r="H1566" s="1" t="s">
        <v>69</v>
      </c>
      <c r="I1566" s="1" t="s">
        <v>83</v>
      </c>
      <c r="J1566" s="1" t="s">
        <v>35</v>
      </c>
      <c r="K1566" s="1" t="s">
        <v>112</v>
      </c>
      <c r="L1566" s="1" t="s">
        <v>85</v>
      </c>
      <c r="M1566" s="1" t="s">
        <v>50</v>
      </c>
      <c r="N1566" s="1" t="n">
        <v>7499</v>
      </c>
      <c r="O1566" s="1" t="n">
        <v>25</v>
      </c>
      <c r="P1566" s="1" t="n">
        <v>1874.75</v>
      </c>
      <c r="Q1566" s="1" t="n">
        <v>5624.25</v>
      </c>
      <c r="R1566" s="1" t="n">
        <v>1012.37</v>
      </c>
      <c r="S1566" s="1" t="n">
        <v>4611.88</v>
      </c>
      <c r="T1566" s="1" t="n">
        <v>2035.32</v>
      </c>
      <c r="U1566" s="1" t="n">
        <v>2576.56</v>
      </c>
      <c r="V1566" s="1" t="n">
        <v>55.87</v>
      </c>
      <c r="W1566" s="1" t="s">
        <v>40</v>
      </c>
      <c r="Y1566" s="1" t="s">
        <v>40</v>
      </c>
      <c r="Z1566" s="1" t="n">
        <v>0</v>
      </c>
    </row>
    <row r="1567" customFormat="false" ht="15" hidden="false" customHeight="true" outlineLevel="0" collapsed="false">
      <c r="A1567" s="1" t="s">
        <v>2384</v>
      </c>
      <c r="B1567" s="1" t="s">
        <v>2385</v>
      </c>
      <c r="C1567" s="1" t="s">
        <v>119</v>
      </c>
      <c r="D1567" s="1" t="s">
        <v>80</v>
      </c>
      <c r="E1567" s="1" t="s">
        <v>193</v>
      </c>
      <c r="F1567" s="1" t="s">
        <v>125</v>
      </c>
      <c r="G1567" s="1" t="s">
        <v>108</v>
      </c>
      <c r="H1567" s="1" t="s">
        <v>69</v>
      </c>
      <c r="I1567" s="1" t="s">
        <v>58</v>
      </c>
      <c r="J1567" s="1" t="s">
        <v>59</v>
      </c>
      <c r="K1567" s="1" t="s">
        <v>104</v>
      </c>
      <c r="L1567" s="1" t="s">
        <v>37</v>
      </c>
      <c r="M1567" s="1" t="s">
        <v>50</v>
      </c>
      <c r="N1567" s="1" t="n">
        <v>8999</v>
      </c>
      <c r="O1567" s="1" t="n">
        <v>5</v>
      </c>
      <c r="P1567" s="1" t="n">
        <v>449.95</v>
      </c>
      <c r="Q1567" s="1" t="n">
        <v>8549.05</v>
      </c>
      <c r="R1567" s="1" t="n">
        <v>1538.83</v>
      </c>
      <c r="S1567" s="1" t="n">
        <v>7010.22</v>
      </c>
      <c r="T1567" s="1" t="n">
        <v>3514.83</v>
      </c>
      <c r="U1567" s="1" t="n">
        <v>3495.39</v>
      </c>
      <c r="V1567" s="1" t="n">
        <v>49.86</v>
      </c>
      <c r="W1567" s="1" t="s">
        <v>39</v>
      </c>
      <c r="Y1567" s="1" t="s">
        <v>40</v>
      </c>
      <c r="Z1567" s="1" t="n">
        <v>1</v>
      </c>
    </row>
    <row r="1568" customFormat="false" ht="15" hidden="false" customHeight="true" outlineLevel="0" collapsed="false">
      <c r="A1568" s="1" t="s">
        <v>2386</v>
      </c>
      <c r="B1568" s="1" t="s">
        <v>2387</v>
      </c>
      <c r="C1568" s="1" t="s">
        <v>134</v>
      </c>
      <c r="D1568" s="1" t="s">
        <v>143</v>
      </c>
      <c r="E1568" s="1" t="s">
        <v>162</v>
      </c>
      <c r="F1568" s="1" t="s">
        <v>120</v>
      </c>
      <c r="G1568" s="1" t="s">
        <v>47</v>
      </c>
      <c r="H1568" s="1" t="s">
        <v>57</v>
      </c>
      <c r="I1568" s="1" t="s">
        <v>83</v>
      </c>
      <c r="J1568" s="1" t="s">
        <v>70</v>
      </c>
      <c r="K1568" s="1" t="s">
        <v>90</v>
      </c>
      <c r="L1568" s="1" t="s">
        <v>85</v>
      </c>
      <c r="M1568" s="1" t="s">
        <v>38</v>
      </c>
      <c r="N1568" s="1" t="n">
        <v>14999</v>
      </c>
      <c r="O1568" s="1" t="n">
        <v>10</v>
      </c>
      <c r="P1568" s="1" t="n">
        <v>1499.9</v>
      </c>
      <c r="Q1568" s="1" t="n">
        <v>13499.1</v>
      </c>
      <c r="R1568" s="1" t="n">
        <v>2429.84</v>
      </c>
      <c r="S1568" s="1" t="n">
        <v>11069.26</v>
      </c>
      <c r="T1568" s="1" t="n">
        <v>5265.89</v>
      </c>
      <c r="U1568" s="1" t="n">
        <v>5803.37</v>
      </c>
      <c r="V1568" s="1" t="n">
        <v>52.43</v>
      </c>
      <c r="W1568" s="1" t="s">
        <v>40</v>
      </c>
      <c r="Y1568" s="1" t="s">
        <v>40</v>
      </c>
      <c r="Z1568" s="1" t="n">
        <v>0</v>
      </c>
    </row>
    <row r="1569" customFormat="false" ht="15" hidden="false" customHeight="true" outlineLevel="0" collapsed="false">
      <c r="A1569" s="1" t="s">
        <v>2388</v>
      </c>
      <c r="B1569" s="1" t="s">
        <v>466</v>
      </c>
      <c r="C1569" s="1" t="s">
        <v>139</v>
      </c>
      <c r="D1569" s="1" t="s">
        <v>44</v>
      </c>
      <c r="E1569" s="1" t="s">
        <v>45</v>
      </c>
      <c r="F1569" s="1" t="s">
        <v>120</v>
      </c>
      <c r="G1569" s="1" t="s">
        <v>47</v>
      </c>
      <c r="H1569" s="1" t="s">
        <v>57</v>
      </c>
      <c r="I1569" s="1" t="s">
        <v>83</v>
      </c>
      <c r="J1569" s="1" t="s">
        <v>35</v>
      </c>
      <c r="K1569" s="1" t="s">
        <v>112</v>
      </c>
      <c r="L1569" s="1" t="s">
        <v>61</v>
      </c>
      <c r="M1569" s="1" t="s">
        <v>50</v>
      </c>
      <c r="N1569" s="1" t="n">
        <v>11999</v>
      </c>
      <c r="O1569" s="1" t="n">
        <v>15</v>
      </c>
      <c r="P1569" s="1" t="n">
        <v>1799.85</v>
      </c>
      <c r="Q1569" s="1" t="n">
        <v>10199.15</v>
      </c>
      <c r="R1569" s="1" t="n">
        <v>1835.85</v>
      </c>
      <c r="S1569" s="1" t="n">
        <v>8363.3</v>
      </c>
      <c r="T1569" s="1" t="n">
        <v>3740.28</v>
      </c>
      <c r="U1569" s="1" t="n">
        <v>4623.02</v>
      </c>
      <c r="V1569" s="1" t="n">
        <v>55.28</v>
      </c>
      <c r="W1569" s="1" t="s">
        <v>39</v>
      </c>
      <c r="Y1569" s="1" t="s">
        <v>40</v>
      </c>
      <c r="Z1569" s="1" t="n">
        <v>2</v>
      </c>
    </row>
    <row r="1570" customFormat="false" ht="15" hidden="false" customHeight="true" outlineLevel="0" collapsed="false">
      <c r="A1570" s="1" t="s">
        <v>2389</v>
      </c>
      <c r="B1570" s="1" t="s">
        <v>2267</v>
      </c>
      <c r="C1570" s="1" t="s">
        <v>28</v>
      </c>
      <c r="D1570" s="1" t="s">
        <v>168</v>
      </c>
      <c r="E1570" s="1" t="s">
        <v>197</v>
      </c>
      <c r="F1570" s="1" t="s">
        <v>46</v>
      </c>
      <c r="G1570" s="1" t="s">
        <v>47</v>
      </c>
      <c r="H1570" s="1" t="s">
        <v>33</v>
      </c>
      <c r="I1570" s="1" t="s">
        <v>58</v>
      </c>
      <c r="J1570" s="1" t="s">
        <v>70</v>
      </c>
      <c r="K1570" s="1" t="s">
        <v>36</v>
      </c>
      <c r="L1570" s="1" t="s">
        <v>136</v>
      </c>
      <c r="M1570" s="1" t="s">
        <v>38</v>
      </c>
      <c r="N1570" s="1" t="n">
        <v>8499</v>
      </c>
      <c r="O1570" s="1" t="n">
        <v>0</v>
      </c>
      <c r="P1570" s="1" t="n">
        <v>0</v>
      </c>
      <c r="Q1570" s="1" t="n">
        <v>8499</v>
      </c>
      <c r="R1570" s="1" t="n">
        <v>1529.82</v>
      </c>
      <c r="S1570" s="1" t="n">
        <v>6969.18</v>
      </c>
      <c r="T1570" s="1" t="n">
        <v>3483.5</v>
      </c>
      <c r="U1570" s="1" t="n">
        <v>3485.68</v>
      </c>
      <c r="V1570" s="1" t="n">
        <v>50.02</v>
      </c>
      <c r="W1570" s="1" t="s">
        <v>40</v>
      </c>
      <c r="Y1570" s="1" t="s">
        <v>40</v>
      </c>
      <c r="Z1570" s="1" t="n">
        <v>2</v>
      </c>
    </row>
    <row r="1571" customFormat="false" ht="15" hidden="false" customHeight="true" outlineLevel="0" collapsed="false">
      <c r="A1571" s="1" t="s">
        <v>2390</v>
      </c>
      <c r="B1571" s="1" t="s">
        <v>823</v>
      </c>
      <c r="C1571" s="1" t="s">
        <v>264</v>
      </c>
      <c r="D1571" s="1" t="s">
        <v>123</v>
      </c>
      <c r="E1571" s="1" t="s">
        <v>124</v>
      </c>
      <c r="F1571" s="1" t="s">
        <v>82</v>
      </c>
      <c r="G1571" s="1" t="s">
        <v>56</v>
      </c>
      <c r="H1571" s="1" t="s">
        <v>69</v>
      </c>
      <c r="I1571" s="1" t="s">
        <v>58</v>
      </c>
      <c r="J1571" s="1" t="s">
        <v>131</v>
      </c>
      <c r="K1571" s="1" t="s">
        <v>36</v>
      </c>
      <c r="L1571" s="1" t="s">
        <v>113</v>
      </c>
      <c r="M1571" s="1" t="s">
        <v>38</v>
      </c>
      <c r="N1571" s="1" t="n">
        <v>4999</v>
      </c>
      <c r="O1571" s="1" t="n">
        <v>20</v>
      </c>
      <c r="P1571" s="1" t="n">
        <v>999.8</v>
      </c>
      <c r="Q1571" s="1" t="n">
        <v>3999.2</v>
      </c>
      <c r="R1571" s="1" t="n">
        <v>719.86</v>
      </c>
      <c r="S1571" s="1" t="n">
        <v>3279.34</v>
      </c>
      <c r="T1571" s="1" t="n">
        <v>1591.3</v>
      </c>
      <c r="U1571" s="1" t="n">
        <v>1688.04</v>
      </c>
      <c r="V1571" s="1" t="n">
        <v>51.47</v>
      </c>
      <c r="W1571" s="1" t="s">
        <v>40</v>
      </c>
      <c r="Y1571" s="1" t="s">
        <v>40</v>
      </c>
      <c r="Z1571" s="1" t="n">
        <v>1</v>
      </c>
    </row>
    <row r="1572" customFormat="false" ht="15" hidden="false" customHeight="true" outlineLevel="0" collapsed="false">
      <c r="A1572" s="1" t="s">
        <v>2391</v>
      </c>
      <c r="B1572" s="1" t="s">
        <v>1959</v>
      </c>
      <c r="C1572" s="1" t="s">
        <v>119</v>
      </c>
      <c r="D1572" s="1" t="s">
        <v>168</v>
      </c>
      <c r="E1572" s="1" t="s">
        <v>197</v>
      </c>
      <c r="F1572" s="1" t="s">
        <v>31</v>
      </c>
      <c r="G1572" s="1" t="s">
        <v>32</v>
      </c>
      <c r="H1572" s="1" t="s">
        <v>33</v>
      </c>
      <c r="I1572" s="1" t="s">
        <v>83</v>
      </c>
      <c r="J1572" s="1" t="s">
        <v>131</v>
      </c>
      <c r="K1572" s="1" t="s">
        <v>48</v>
      </c>
      <c r="L1572" s="1" t="s">
        <v>85</v>
      </c>
      <c r="M1572" s="1" t="s">
        <v>38</v>
      </c>
      <c r="N1572" s="1" t="n">
        <v>8499</v>
      </c>
      <c r="O1572" s="1" t="n">
        <v>25</v>
      </c>
      <c r="P1572" s="1" t="n">
        <v>2124.75</v>
      </c>
      <c r="Q1572" s="1" t="n">
        <v>6374.25</v>
      </c>
      <c r="R1572" s="1" t="n">
        <v>1147.37</v>
      </c>
      <c r="S1572" s="1" t="n">
        <v>5226.88</v>
      </c>
      <c r="T1572" s="1" t="n">
        <v>2884.51</v>
      </c>
      <c r="U1572" s="1" t="n">
        <v>2342.37</v>
      </c>
      <c r="V1572" s="1" t="n">
        <v>44.81</v>
      </c>
      <c r="W1572" s="1" t="s">
        <v>39</v>
      </c>
      <c r="X1572" s="1" t="n">
        <v>4</v>
      </c>
      <c r="Y1572" s="1" t="s">
        <v>40</v>
      </c>
      <c r="Z1572" s="1" t="n">
        <v>0</v>
      </c>
    </row>
    <row r="1573" customFormat="false" ht="15" hidden="false" customHeight="true" outlineLevel="0" collapsed="false">
      <c r="A1573" s="1" t="s">
        <v>2392</v>
      </c>
      <c r="B1573" s="1" t="s">
        <v>1858</v>
      </c>
      <c r="C1573" s="1" t="s">
        <v>178</v>
      </c>
      <c r="D1573" s="1" t="s">
        <v>94</v>
      </c>
      <c r="E1573" s="1" t="s">
        <v>135</v>
      </c>
      <c r="F1573" s="1" t="s">
        <v>130</v>
      </c>
      <c r="G1573" s="1" t="s">
        <v>47</v>
      </c>
      <c r="H1573" s="1" t="s">
        <v>69</v>
      </c>
      <c r="I1573" s="1" t="s">
        <v>58</v>
      </c>
      <c r="J1573" s="1" t="s">
        <v>77</v>
      </c>
      <c r="K1573" s="1" t="s">
        <v>84</v>
      </c>
      <c r="L1573" s="1" t="s">
        <v>136</v>
      </c>
      <c r="M1573" s="1" t="s">
        <v>50</v>
      </c>
      <c r="N1573" s="1" t="n">
        <v>9999</v>
      </c>
      <c r="O1573" s="1" t="n">
        <v>10</v>
      </c>
      <c r="P1573" s="1" t="n">
        <v>999.9</v>
      </c>
      <c r="Q1573" s="1" t="n">
        <v>8999.1</v>
      </c>
      <c r="R1573" s="1" t="n">
        <v>1619.84</v>
      </c>
      <c r="S1573" s="1" t="n">
        <v>7379.26</v>
      </c>
      <c r="T1573" s="1" t="n">
        <v>2443.41</v>
      </c>
      <c r="U1573" s="1" t="n">
        <v>4935.85</v>
      </c>
      <c r="V1573" s="1" t="n">
        <v>66.89</v>
      </c>
      <c r="W1573" s="1" t="s">
        <v>39</v>
      </c>
      <c r="X1573" s="1" t="n">
        <v>4.2</v>
      </c>
      <c r="Y1573" s="1" t="s">
        <v>40</v>
      </c>
      <c r="Z1573" s="1" t="n">
        <v>0</v>
      </c>
    </row>
    <row r="1574" customFormat="false" ht="15" hidden="false" customHeight="true" outlineLevel="0" collapsed="false">
      <c r="A1574" s="1" t="s">
        <v>2393</v>
      </c>
      <c r="B1574" s="1" t="s">
        <v>2394</v>
      </c>
      <c r="C1574" s="1" t="s">
        <v>88</v>
      </c>
      <c r="D1574" s="1" t="s">
        <v>123</v>
      </c>
      <c r="E1574" s="1" t="s">
        <v>124</v>
      </c>
      <c r="F1574" s="1" t="s">
        <v>125</v>
      </c>
      <c r="G1574" s="1" t="s">
        <v>108</v>
      </c>
      <c r="H1574" s="1" t="s">
        <v>69</v>
      </c>
      <c r="I1574" s="1" t="s">
        <v>83</v>
      </c>
      <c r="J1574" s="1" t="s">
        <v>131</v>
      </c>
      <c r="K1574" s="1" t="s">
        <v>112</v>
      </c>
      <c r="L1574" s="1" t="s">
        <v>85</v>
      </c>
      <c r="M1574" s="1" t="s">
        <v>50</v>
      </c>
      <c r="N1574" s="1" t="n">
        <v>4999</v>
      </c>
      <c r="O1574" s="1" t="n">
        <v>50</v>
      </c>
      <c r="P1574" s="1" t="n">
        <v>2499.5</v>
      </c>
      <c r="Q1574" s="1" t="n">
        <v>2499.5</v>
      </c>
      <c r="R1574" s="1" t="n">
        <v>449.91</v>
      </c>
      <c r="S1574" s="1" t="n">
        <v>2049.59</v>
      </c>
      <c r="T1574" s="1" t="n">
        <v>977.11</v>
      </c>
      <c r="U1574" s="1" t="n">
        <v>1072.48</v>
      </c>
      <c r="V1574" s="1" t="n">
        <v>52.33</v>
      </c>
      <c r="W1574" s="1" t="s">
        <v>40</v>
      </c>
      <c r="Y1574" s="1" t="s">
        <v>40</v>
      </c>
      <c r="Z1574" s="1" t="n">
        <v>1</v>
      </c>
    </row>
    <row r="1575" customFormat="false" ht="15" hidden="false" customHeight="true" outlineLevel="0" collapsed="false">
      <c r="A1575" s="1" t="s">
        <v>2395</v>
      </c>
      <c r="B1575" s="1" t="s">
        <v>2235</v>
      </c>
      <c r="C1575" s="1" t="s">
        <v>167</v>
      </c>
      <c r="D1575" s="1" t="s">
        <v>80</v>
      </c>
      <c r="E1575" s="1" t="s">
        <v>190</v>
      </c>
      <c r="F1575" s="1" t="s">
        <v>244</v>
      </c>
      <c r="G1575" s="1" t="s">
        <v>97</v>
      </c>
      <c r="H1575" s="1" t="s">
        <v>57</v>
      </c>
      <c r="I1575" s="1" t="s">
        <v>58</v>
      </c>
      <c r="J1575" s="1" t="s">
        <v>131</v>
      </c>
      <c r="K1575" s="1" t="s">
        <v>104</v>
      </c>
      <c r="L1575" s="1" t="s">
        <v>136</v>
      </c>
      <c r="M1575" s="1" t="s">
        <v>38</v>
      </c>
      <c r="N1575" s="1" t="n">
        <v>15999</v>
      </c>
      <c r="O1575" s="1" t="n">
        <v>20</v>
      </c>
      <c r="P1575" s="1" t="n">
        <v>3199.8</v>
      </c>
      <c r="Q1575" s="1" t="n">
        <v>12799.2</v>
      </c>
      <c r="R1575" s="1" t="n">
        <v>2303.86</v>
      </c>
      <c r="S1575" s="1" t="n">
        <v>10495.34</v>
      </c>
      <c r="T1575" s="1" t="n">
        <v>4491.74</v>
      </c>
      <c r="U1575" s="1" t="n">
        <v>6003.6</v>
      </c>
      <c r="V1575" s="1" t="n">
        <v>57.2</v>
      </c>
      <c r="W1575" s="1" t="s">
        <v>40</v>
      </c>
      <c r="Y1575" s="1" t="s">
        <v>40</v>
      </c>
      <c r="Z1575" s="1" t="n">
        <v>0</v>
      </c>
    </row>
    <row r="1576" customFormat="false" ht="15" hidden="false" customHeight="true" outlineLevel="0" collapsed="false">
      <c r="A1576" s="1" t="s">
        <v>2396</v>
      </c>
      <c r="B1576" s="1" t="s">
        <v>510</v>
      </c>
      <c r="C1576" s="1" t="s">
        <v>28</v>
      </c>
      <c r="D1576" s="1" t="s">
        <v>168</v>
      </c>
      <c r="E1576" s="1" t="s">
        <v>197</v>
      </c>
      <c r="F1576" s="1" t="s">
        <v>46</v>
      </c>
      <c r="G1576" s="1" t="s">
        <v>47</v>
      </c>
      <c r="H1576" s="1" t="s">
        <v>33</v>
      </c>
      <c r="I1576" s="1" t="s">
        <v>83</v>
      </c>
      <c r="J1576" s="1" t="s">
        <v>70</v>
      </c>
      <c r="K1576" s="1" t="s">
        <v>60</v>
      </c>
      <c r="L1576" s="1" t="s">
        <v>85</v>
      </c>
      <c r="M1576" s="1" t="s">
        <v>62</v>
      </c>
      <c r="N1576" s="1" t="n">
        <v>8499</v>
      </c>
      <c r="O1576" s="1" t="n">
        <v>25</v>
      </c>
      <c r="P1576" s="1" t="n">
        <v>2124.75</v>
      </c>
      <c r="Q1576" s="1" t="n">
        <v>6374.25</v>
      </c>
      <c r="R1576" s="1" t="n">
        <v>1147.37</v>
      </c>
      <c r="S1576" s="1" t="n">
        <v>5226.88</v>
      </c>
      <c r="T1576" s="1" t="n">
        <v>2672.28</v>
      </c>
      <c r="U1576" s="1" t="n">
        <v>2554.6</v>
      </c>
      <c r="V1576" s="1" t="n">
        <v>48.87</v>
      </c>
      <c r="W1576" s="1" t="s">
        <v>39</v>
      </c>
      <c r="Y1576" s="1" t="s">
        <v>40</v>
      </c>
      <c r="Z1576" s="1" t="n">
        <v>0</v>
      </c>
    </row>
    <row r="1577" customFormat="false" ht="15" hidden="false" customHeight="true" outlineLevel="0" collapsed="false">
      <c r="A1577" s="1" t="s">
        <v>2397</v>
      </c>
      <c r="B1577" s="1" t="s">
        <v>450</v>
      </c>
      <c r="C1577" s="1" t="s">
        <v>139</v>
      </c>
      <c r="D1577" s="1" t="s">
        <v>168</v>
      </c>
      <c r="E1577" s="1" t="s">
        <v>328</v>
      </c>
      <c r="F1577" s="1" t="s">
        <v>156</v>
      </c>
      <c r="G1577" s="1" t="s">
        <v>68</v>
      </c>
      <c r="H1577" s="1" t="s">
        <v>57</v>
      </c>
      <c r="I1577" s="1" t="s">
        <v>34</v>
      </c>
      <c r="J1577" s="1" t="s">
        <v>70</v>
      </c>
      <c r="K1577" s="1" t="s">
        <v>112</v>
      </c>
      <c r="L1577" s="1" t="s">
        <v>37</v>
      </c>
      <c r="M1577" s="1" t="s">
        <v>62</v>
      </c>
      <c r="N1577" s="1" t="n">
        <v>8999</v>
      </c>
      <c r="O1577" s="1" t="n">
        <v>15</v>
      </c>
      <c r="P1577" s="1" t="n">
        <v>1349.85</v>
      </c>
      <c r="Q1577" s="1" t="n">
        <v>7649.15</v>
      </c>
      <c r="R1577" s="1" t="n">
        <v>1376.85</v>
      </c>
      <c r="S1577" s="1" t="n">
        <v>6272.3</v>
      </c>
      <c r="T1577" s="1" t="n">
        <v>2929.65</v>
      </c>
      <c r="U1577" s="1" t="n">
        <v>3342.65</v>
      </c>
      <c r="V1577" s="1" t="n">
        <v>53.29</v>
      </c>
      <c r="W1577" s="1" t="s">
        <v>40</v>
      </c>
      <c r="Y1577" s="1" t="s">
        <v>40</v>
      </c>
      <c r="Z1577" s="1" t="n">
        <v>0</v>
      </c>
    </row>
    <row r="1578" customFormat="false" ht="15" hidden="false" customHeight="true" outlineLevel="0" collapsed="false">
      <c r="A1578" s="1" t="s">
        <v>2398</v>
      </c>
      <c r="B1578" s="1" t="s">
        <v>764</v>
      </c>
      <c r="C1578" s="1" t="s">
        <v>93</v>
      </c>
      <c r="D1578" s="1" t="s">
        <v>143</v>
      </c>
      <c r="E1578" s="1" t="s">
        <v>162</v>
      </c>
      <c r="F1578" s="1" t="s">
        <v>140</v>
      </c>
      <c r="G1578" s="1" t="s">
        <v>97</v>
      </c>
      <c r="H1578" s="1" t="s">
        <v>57</v>
      </c>
      <c r="I1578" s="1" t="s">
        <v>83</v>
      </c>
      <c r="J1578" s="1" t="s">
        <v>59</v>
      </c>
      <c r="K1578" s="1" t="s">
        <v>71</v>
      </c>
      <c r="L1578" s="1" t="s">
        <v>136</v>
      </c>
      <c r="M1578" s="1" t="s">
        <v>38</v>
      </c>
      <c r="N1578" s="1" t="n">
        <v>14999</v>
      </c>
      <c r="O1578" s="1" t="n">
        <v>50</v>
      </c>
      <c r="P1578" s="1" t="n">
        <v>7499.5</v>
      </c>
      <c r="Q1578" s="1" t="n">
        <v>7499.5</v>
      </c>
      <c r="R1578" s="1" t="n">
        <v>1349.91</v>
      </c>
      <c r="S1578" s="1" t="n">
        <v>6149.59</v>
      </c>
      <c r="T1578" s="1" t="n">
        <v>3398.07</v>
      </c>
      <c r="U1578" s="1" t="n">
        <v>2751.52</v>
      </c>
      <c r="V1578" s="1" t="n">
        <v>44.74</v>
      </c>
      <c r="W1578" s="1" t="s">
        <v>40</v>
      </c>
      <c r="Y1578" s="1" t="s">
        <v>40</v>
      </c>
      <c r="Z1578" s="1" t="n">
        <v>1</v>
      </c>
    </row>
    <row r="1579" customFormat="false" ht="15" hidden="false" customHeight="true" outlineLevel="0" collapsed="false">
      <c r="A1579" s="1" t="s">
        <v>2399</v>
      </c>
      <c r="B1579" s="1" t="s">
        <v>889</v>
      </c>
      <c r="C1579" s="1" t="s">
        <v>119</v>
      </c>
      <c r="D1579" s="1" t="s">
        <v>53</v>
      </c>
      <c r="E1579" s="1" t="s">
        <v>216</v>
      </c>
      <c r="F1579" s="1" t="s">
        <v>156</v>
      </c>
      <c r="G1579" s="1" t="s">
        <v>68</v>
      </c>
      <c r="H1579" s="1" t="s">
        <v>57</v>
      </c>
      <c r="I1579" s="1" t="s">
        <v>58</v>
      </c>
      <c r="J1579" s="1" t="s">
        <v>131</v>
      </c>
      <c r="K1579" s="1" t="s">
        <v>104</v>
      </c>
      <c r="L1579" s="1" t="s">
        <v>85</v>
      </c>
      <c r="M1579" s="1" t="s">
        <v>50</v>
      </c>
      <c r="N1579" s="1" t="n">
        <v>7499</v>
      </c>
      <c r="O1579" s="1" t="n">
        <v>5</v>
      </c>
      <c r="P1579" s="1" t="n">
        <v>374.95</v>
      </c>
      <c r="Q1579" s="1" t="n">
        <v>7124.05</v>
      </c>
      <c r="R1579" s="1" t="n">
        <v>1282.33</v>
      </c>
      <c r="S1579" s="1" t="n">
        <v>5841.72</v>
      </c>
      <c r="T1579" s="1" t="n">
        <v>2283.57</v>
      </c>
      <c r="U1579" s="1" t="n">
        <v>3558.15</v>
      </c>
      <c r="V1579" s="1" t="n">
        <v>60.91</v>
      </c>
      <c r="W1579" s="1" t="s">
        <v>39</v>
      </c>
      <c r="X1579" s="1" t="n">
        <v>4.7</v>
      </c>
      <c r="Y1579" s="1" t="s">
        <v>40</v>
      </c>
      <c r="Z1579" s="1" t="n">
        <v>1</v>
      </c>
    </row>
    <row r="1580" customFormat="false" ht="15" hidden="false" customHeight="true" outlineLevel="0" collapsed="false">
      <c r="A1580" s="1" t="s">
        <v>2400</v>
      </c>
      <c r="B1580" s="1" t="s">
        <v>483</v>
      </c>
      <c r="C1580" s="1" t="s">
        <v>65</v>
      </c>
      <c r="D1580" s="1" t="s">
        <v>94</v>
      </c>
      <c r="E1580" s="1" t="s">
        <v>135</v>
      </c>
      <c r="F1580" s="1" t="s">
        <v>150</v>
      </c>
      <c r="G1580" s="1" t="s">
        <v>32</v>
      </c>
      <c r="H1580" s="1" t="s">
        <v>57</v>
      </c>
      <c r="I1580" s="1" t="s">
        <v>34</v>
      </c>
      <c r="J1580" s="1" t="s">
        <v>59</v>
      </c>
      <c r="K1580" s="1" t="s">
        <v>104</v>
      </c>
      <c r="L1580" s="1" t="s">
        <v>136</v>
      </c>
      <c r="M1580" s="1" t="s">
        <v>38</v>
      </c>
      <c r="N1580" s="1" t="n">
        <v>9999</v>
      </c>
      <c r="O1580" s="1" t="n">
        <v>30</v>
      </c>
      <c r="P1580" s="1" t="n">
        <v>2999.7</v>
      </c>
      <c r="Q1580" s="1" t="n">
        <v>6999.3</v>
      </c>
      <c r="R1580" s="1" t="n">
        <v>1259.87</v>
      </c>
      <c r="S1580" s="1" t="n">
        <v>5739.43</v>
      </c>
      <c r="T1580" s="1" t="n">
        <v>2881.25</v>
      </c>
      <c r="U1580" s="1" t="n">
        <v>2858.18</v>
      </c>
      <c r="V1580" s="1" t="n">
        <v>49.8</v>
      </c>
      <c r="W1580" s="1" t="s">
        <v>40</v>
      </c>
      <c r="Y1580" s="1" t="s">
        <v>40</v>
      </c>
      <c r="Z1580" s="1" t="n">
        <v>2</v>
      </c>
    </row>
    <row r="1581" customFormat="false" ht="15" hidden="false" customHeight="true" outlineLevel="0" collapsed="false">
      <c r="A1581" s="1" t="s">
        <v>2401</v>
      </c>
      <c r="B1581" s="1" t="s">
        <v>378</v>
      </c>
      <c r="C1581" s="1" t="s">
        <v>93</v>
      </c>
      <c r="D1581" s="1" t="s">
        <v>168</v>
      </c>
      <c r="E1581" s="1" t="s">
        <v>172</v>
      </c>
      <c r="F1581" s="1" t="s">
        <v>102</v>
      </c>
      <c r="G1581" s="1" t="s">
        <v>103</v>
      </c>
      <c r="H1581" s="1" t="s">
        <v>33</v>
      </c>
      <c r="I1581" s="1" t="s">
        <v>34</v>
      </c>
      <c r="J1581" s="1" t="s">
        <v>35</v>
      </c>
      <c r="K1581" s="1" t="s">
        <v>36</v>
      </c>
      <c r="L1581" s="1" t="s">
        <v>136</v>
      </c>
      <c r="M1581" s="1" t="s">
        <v>38</v>
      </c>
      <c r="N1581" s="1" t="n">
        <v>6999</v>
      </c>
      <c r="O1581" s="1" t="n">
        <v>0</v>
      </c>
      <c r="P1581" s="1" t="n">
        <v>0</v>
      </c>
      <c r="Q1581" s="1" t="n">
        <v>6999</v>
      </c>
      <c r="R1581" s="1" t="n">
        <v>1259.82</v>
      </c>
      <c r="S1581" s="1" t="n">
        <v>5739.18</v>
      </c>
      <c r="T1581" s="1" t="n">
        <v>2479.41</v>
      </c>
      <c r="U1581" s="1" t="n">
        <v>3259.77</v>
      </c>
      <c r="V1581" s="1" t="n">
        <v>56.8</v>
      </c>
      <c r="W1581" s="1" t="s">
        <v>39</v>
      </c>
      <c r="X1581" s="1" t="n">
        <v>3.4</v>
      </c>
      <c r="Y1581" s="1" t="s">
        <v>39</v>
      </c>
      <c r="Z1581" s="1" t="n">
        <v>0</v>
      </c>
    </row>
    <row r="1582" customFormat="false" ht="15" hidden="false" customHeight="true" outlineLevel="0" collapsed="false">
      <c r="A1582" s="1" t="s">
        <v>2402</v>
      </c>
      <c r="B1582" s="1" t="s">
        <v>742</v>
      </c>
      <c r="C1582" s="1" t="s">
        <v>264</v>
      </c>
      <c r="D1582" s="1" t="s">
        <v>123</v>
      </c>
      <c r="E1582" s="1" t="s">
        <v>124</v>
      </c>
      <c r="F1582" s="1" t="s">
        <v>150</v>
      </c>
      <c r="G1582" s="1" t="s">
        <v>32</v>
      </c>
      <c r="H1582" s="1" t="s">
        <v>57</v>
      </c>
      <c r="I1582" s="1" t="s">
        <v>58</v>
      </c>
      <c r="J1582" s="1" t="s">
        <v>131</v>
      </c>
      <c r="K1582" s="1" t="s">
        <v>36</v>
      </c>
      <c r="L1582" s="1" t="s">
        <v>37</v>
      </c>
      <c r="M1582" s="1" t="s">
        <v>50</v>
      </c>
      <c r="N1582" s="1" t="n">
        <v>4999</v>
      </c>
      <c r="O1582" s="1" t="n">
        <v>25</v>
      </c>
      <c r="P1582" s="1" t="n">
        <v>1249.75</v>
      </c>
      <c r="Q1582" s="1" t="n">
        <v>3749.25</v>
      </c>
      <c r="R1582" s="1" t="n">
        <v>674.87</v>
      </c>
      <c r="S1582" s="1" t="n">
        <v>3074.38</v>
      </c>
      <c r="T1582" s="1" t="n">
        <v>1367.43</v>
      </c>
      <c r="U1582" s="1" t="n">
        <v>1706.95</v>
      </c>
      <c r="V1582" s="1" t="n">
        <v>55.52</v>
      </c>
      <c r="W1582" s="1" t="s">
        <v>39</v>
      </c>
      <c r="X1582" s="1" t="n">
        <v>3.3</v>
      </c>
      <c r="Y1582" s="1" t="s">
        <v>40</v>
      </c>
      <c r="Z1582" s="1" t="n">
        <v>0</v>
      </c>
    </row>
    <row r="1583" customFormat="false" ht="15" hidden="false" customHeight="true" outlineLevel="0" collapsed="false">
      <c r="A1583" s="1" t="s">
        <v>2403</v>
      </c>
      <c r="B1583" s="1" t="s">
        <v>903</v>
      </c>
      <c r="C1583" s="1" t="s">
        <v>93</v>
      </c>
      <c r="D1583" s="1" t="s">
        <v>168</v>
      </c>
      <c r="E1583" s="1" t="s">
        <v>169</v>
      </c>
      <c r="F1583" s="1" t="s">
        <v>75</v>
      </c>
      <c r="G1583" s="1" t="s">
        <v>76</v>
      </c>
      <c r="H1583" s="1" t="s">
        <v>69</v>
      </c>
      <c r="I1583" s="1" t="s">
        <v>83</v>
      </c>
      <c r="J1583" s="1" t="s">
        <v>70</v>
      </c>
      <c r="K1583" s="1" t="s">
        <v>84</v>
      </c>
      <c r="L1583" s="1" t="s">
        <v>61</v>
      </c>
      <c r="M1583" s="1" t="s">
        <v>62</v>
      </c>
      <c r="N1583" s="1" t="n">
        <v>4999</v>
      </c>
      <c r="O1583" s="1" t="n">
        <v>25</v>
      </c>
      <c r="P1583" s="1" t="n">
        <v>1249.75</v>
      </c>
      <c r="Q1583" s="1" t="n">
        <v>3749.25</v>
      </c>
      <c r="R1583" s="1" t="n">
        <v>674.87</v>
      </c>
      <c r="S1583" s="1" t="n">
        <v>3074.38</v>
      </c>
      <c r="T1583" s="1" t="n">
        <v>1063.57</v>
      </c>
      <c r="U1583" s="1" t="n">
        <v>2010.81</v>
      </c>
      <c r="V1583" s="1" t="n">
        <v>65.41</v>
      </c>
      <c r="W1583" s="1" t="s">
        <v>40</v>
      </c>
      <c r="Y1583" s="1" t="s">
        <v>40</v>
      </c>
      <c r="Z1583" s="1" t="n">
        <v>3</v>
      </c>
    </row>
    <row r="1584" customFormat="false" ht="15" hidden="false" customHeight="true" outlineLevel="0" collapsed="false">
      <c r="A1584" s="1" t="s">
        <v>2404</v>
      </c>
      <c r="B1584" s="1" t="s">
        <v>225</v>
      </c>
      <c r="C1584" s="1" t="s">
        <v>74</v>
      </c>
      <c r="D1584" s="1" t="s">
        <v>44</v>
      </c>
      <c r="E1584" s="1" t="s">
        <v>66</v>
      </c>
      <c r="F1584" s="1" t="s">
        <v>120</v>
      </c>
      <c r="G1584" s="1" t="s">
        <v>47</v>
      </c>
      <c r="H1584" s="1" t="s">
        <v>57</v>
      </c>
      <c r="I1584" s="1" t="s">
        <v>58</v>
      </c>
      <c r="J1584" s="1" t="s">
        <v>35</v>
      </c>
      <c r="K1584" s="1" t="s">
        <v>36</v>
      </c>
      <c r="L1584" s="1" t="s">
        <v>85</v>
      </c>
      <c r="M1584" s="1" t="s">
        <v>62</v>
      </c>
      <c r="N1584" s="1" t="n">
        <v>12999</v>
      </c>
      <c r="O1584" s="1" t="n">
        <v>10</v>
      </c>
      <c r="P1584" s="1" t="n">
        <v>1299.9</v>
      </c>
      <c r="Q1584" s="1" t="n">
        <v>11699.1</v>
      </c>
      <c r="R1584" s="1" t="n">
        <v>2105.84</v>
      </c>
      <c r="S1584" s="1" t="n">
        <v>9593.26</v>
      </c>
      <c r="T1584" s="1" t="n">
        <v>4629.42</v>
      </c>
      <c r="U1584" s="1" t="n">
        <v>4963.84</v>
      </c>
      <c r="V1584" s="1" t="n">
        <v>51.74</v>
      </c>
      <c r="W1584" s="1" t="s">
        <v>40</v>
      </c>
      <c r="Y1584" s="1" t="s">
        <v>40</v>
      </c>
      <c r="Z1584" s="1" t="n">
        <v>1</v>
      </c>
    </row>
    <row r="1585" customFormat="false" ht="15" hidden="false" customHeight="true" outlineLevel="0" collapsed="false">
      <c r="A1585" s="1" t="s">
        <v>2405</v>
      </c>
      <c r="B1585" s="1" t="s">
        <v>364</v>
      </c>
      <c r="C1585" s="1" t="s">
        <v>74</v>
      </c>
      <c r="D1585" s="1" t="s">
        <v>29</v>
      </c>
      <c r="E1585" s="1" t="s">
        <v>305</v>
      </c>
      <c r="F1585" s="1" t="s">
        <v>184</v>
      </c>
      <c r="G1585" s="1" t="s">
        <v>56</v>
      </c>
      <c r="H1585" s="1" t="s">
        <v>57</v>
      </c>
      <c r="I1585" s="1" t="s">
        <v>83</v>
      </c>
      <c r="J1585" s="1" t="s">
        <v>131</v>
      </c>
      <c r="K1585" s="1" t="s">
        <v>90</v>
      </c>
      <c r="L1585" s="1" t="s">
        <v>85</v>
      </c>
      <c r="M1585" s="1" t="s">
        <v>62</v>
      </c>
      <c r="N1585" s="1" t="n">
        <v>24999</v>
      </c>
      <c r="O1585" s="1" t="n">
        <v>0</v>
      </c>
      <c r="P1585" s="1" t="n">
        <v>0</v>
      </c>
      <c r="Q1585" s="1" t="n">
        <v>24999</v>
      </c>
      <c r="R1585" s="1" t="n">
        <v>4499.82</v>
      </c>
      <c r="S1585" s="1" t="n">
        <v>20499.18</v>
      </c>
      <c r="T1585" s="1" t="n">
        <v>8361.87</v>
      </c>
      <c r="U1585" s="1" t="n">
        <v>12137.31</v>
      </c>
      <c r="V1585" s="1" t="n">
        <v>59.21</v>
      </c>
      <c r="W1585" s="1" t="s">
        <v>39</v>
      </c>
      <c r="X1585" s="1" t="n">
        <v>3.7</v>
      </c>
      <c r="Y1585" s="1" t="s">
        <v>40</v>
      </c>
      <c r="Z1585" s="1" t="n">
        <v>0</v>
      </c>
    </row>
    <row r="1586" customFormat="false" ht="15" hidden="false" customHeight="true" outlineLevel="0" collapsed="false">
      <c r="A1586" s="1" t="s">
        <v>2406</v>
      </c>
      <c r="B1586" s="1" t="s">
        <v>268</v>
      </c>
      <c r="C1586" s="1" t="s">
        <v>264</v>
      </c>
      <c r="D1586" s="1" t="s">
        <v>29</v>
      </c>
      <c r="E1586" s="1" t="s">
        <v>305</v>
      </c>
      <c r="F1586" s="1" t="s">
        <v>67</v>
      </c>
      <c r="G1586" s="1" t="s">
        <v>68</v>
      </c>
      <c r="H1586" s="1" t="s">
        <v>69</v>
      </c>
      <c r="I1586" s="1" t="s">
        <v>83</v>
      </c>
      <c r="J1586" s="1" t="s">
        <v>77</v>
      </c>
      <c r="K1586" s="1" t="s">
        <v>84</v>
      </c>
      <c r="L1586" s="1" t="s">
        <v>49</v>
      </c>
      <c r="M1586" s="1" t="s">
        <v>62</v>
      </c>
      <c r="N1586" s="1" t="n">
        <v>24999</v>
      </c>
      <c r="O1586" s="1" t="n">
        <v>40</v>
      </c>
      <c r="P1586" s="1" t="n">
        <v>9999.6</v>
      </c>
      <c r="Q1586" s="1" t="n">
        <v>14999.4</v>
      </c>
      <c r="R1586" s="1" t="n">
        <v>2699.89</v>
      </c>
      <c r="S1586" s="1" t="n">
        <v>12299.51</v>
      </c>
      <c r="T1586" s="1" t="n">
        <v>6907.07</v>
      </c>
      <c r="U1586" s="1" t="n">
        <v>5392.44</v>
      </c>
      <c r="V1586" s="1" t="n">
        <v>43.84</v>
      </c>
      <c r="W1586" s="1" t="s">
        <v>40</v>
      </c>
      <c r="Y1586" s="1" t="s">
        <v>39</v>
      </c>
      <c r="Z1586" s="1" t="n">
        <v>2</v>
      </c>
    </row>
    <row r="1587" customFormat="false" ht="15" hidden="false" customHeight="true" outlineLevel="0" collapsed="false">
      <c r="A1587" s="1" t="s">
        <v>2407</v>
      </c>
      <c r="B1587" s="1" t="s">
        <v>415</v>
      </c>
      <c r="C1587" s="1" t="s">
        <v>249</v>
      </c>
      <c r="D1587" s="1" t="s">
        <v>123</v>
      </c>
      <c r="E1587" s="1" t="s">
        <v>233</v>
      </c>
      <c r="F1587" s="1" t="s">
        <v>75</v>
      </c>
      <c r="G1587" s="1" t="s">
        <v>76</v>
      </c>
      <c r="H1587" s="1" t="s">
        <v>69</v>
      </c>
      <c r="I1587" s="1" t="s">
        <v>83</v>
      </c>
      <c r="J1587" s="1" t="s">
        <v>131</v>
      </c>
      <c r="K1587" s="1" t="s">
        <v>48</v>
      </c>
      <c r="L1587" s="1" t="s">
        <v>113</v>
      </c>
      <c r="M1587" s="1" t="s">
        <v>50</v>
      </c>
      <c r="N1587" s="1" t="n">
        <v>8999</v>
      </c>
      <c r="O1587" s="1" t="n">
        <v>0</v>
      </c>
      <c r="P1587" s="1" t="n">
        <v>0</v>
      </c>
      <c r="Q1587" s="1" t="n">
        <v>8999</v>
      </c>
      <c r="R1587" s="1" t="n">
        <v>1619.82</v>
      </c>
      <c r="S1587" s="1" t="n">
        <v>7379.18</v>
      </c>
      <c r="T1587" s="1" t="n">
        <v>3035.79</v>
      </c>
      <c r="U1587" s="1" t="n">
        <v>4343.39</v>
      </c>
      <c r="V1587" s="1" t="n">
        <v>58.86</v>
      </c>
      <c r="W1587" s="1" t="s">
        <v>39</v>
      </c>
      <c r="Y1587" s="1" t="s">
        <v>40</v>
      </c>
      <c r="Z1587" s="1" t="n">
        <v>0</v>
      </c>
    </row>
    <row r="1588" customFormat="false" ht="15" hidden="false" customHeight="true" outlineLevel="0" collapsed="false">
      <c r="A1588" s="1" t="s">
        <v>2408</v>
      </c>
      <c r="B1588" s="1" t="s">
        <v>1556</v>
      </c>
      <c r="C1588" s="1" t="s">
        <v>178</v>
      </c>
      <c r="D1588" s="1" t="s">
        <v>143</v>
      </c>
      <c r="E1588" s="1" t="s">
        <v>162</v>
      </c>
      <c r="F1588" s="1" t="s">
        <v>67</v>
      </c>
      <c r="G1588" s="1" t="s">
        <v>68</v>
      </c>
      <c r="H1588" s="1" t="s">
        <v>69</v>
      </c>
      <c r="I1588" s="1" t="s">
        <v>58</v>
      </c>
      <c r="J1588" s="1" t="s">
        <v>70</v>
      </c>
      <c r="K1588" s="1" t="s">
        <v>48</v>
      </c>
      <c r="L1588" s="1" t="s">
        <v>136</v>
      </c>
      <c r="M1588" s="1" t="s">
        <v>50</v>
      </c>
      <c r="N1588" s="1" t="n">
        <v>14999</v>
      </c>
      <c r="O1588" s="1" t="n">
        <v>0</v>
      </c>
      <c r="P1588" s="1" t="n">
        <v>0</v>
      </c>
      <c r="Q1588" s="1" t="n">
        <v>14999</v>
      </c>
      <c r="R1588" s="1" t="n">
        <v>2699.82</v>
      </c>
      <c r="S1588" s="1" t="n">
        <v>12299.18</v>
      </c>
      <c r="T1588" s="1" t="n">
        <v>5404.22</v>
      </c>
      <c r="U1588" s="1" t="n">
        <v>6894.96</v>
      </c>
      <c r="V1588" s="1" t="n">
        <v>56.06</v>
      </c>
      <c r="W1588" s="1" t="s">
        <v>39</v>
      </c>
      <c r="Y1588" s="1" t="s">
        <v>40</v>
      </c>
      <c r="Z1588" s="1" t="n">
        <v>0</v>
      </c>
    </row>
    <row r="1589" customFormat="false" ht="15" hidden="false" customHeight="true" outlineLevel="0" collapsed="false">
      <c r="A1589" s="1" t="s">
        <v>2409</v>
      </c>
      <c r="B1589" s="1" t="s">
        <v>382</v>
      </c>
      <c r="C1589" s="1" t="s">
        <v>93</v>
      </c>
      <c r="D1589" s="1" t="s">
        <v>143</v>
      </c>
      <c r="E1589" s="1" t="s">
        <v>162</v>
      </c>
      <c r="F1589" s="1" t="s">
        <v>102</v>
      </c>
      <c r="G1589" s="1" t="s">
        <v>103</v>
      </c>
      <c r="H1589" s="1" t="s">
        <v>33</v>
      </c>
      <c r="I1589" s="1" t="s">
        <v>58</v>
      </c>
      <c r="J1589" s="1" t="s">
        <v>77</v>
      </c>
      <c r="K1589" s="1" t="s">
        <v>104</v>
      </c>
      <c r="L1589" s="1" t="s">
        <v>49</v>
      </c>
      <c r="M1589" s="1" t="s">
        <v>50</v>
      </c>
      <c r="N1589" s="1" t="n">
        <v>14999</v>
      </c>
      <c r="O1589" s="1" t="n">
        <v>5</v>
      </c>
      <c r="P1589" s="1" t="n">
        <v>749.95</v>
      </c>
      <c r="Q1589" s="1" t="n">
        <v>14249.05</v>
      </c>
      <c r="R1589" s="1" t="n">
        <v>2564.83</v>
      </c>
      <c r="S1589" s="1" t="n">
        <v>11684.22</v>
      </c>
      <c r="T1589" s="1" t="n">
        <v>4458.39</v>
      </c>
      <c r="U1589" s="1" t="n">
        <v>7225.83</v>
      </c>
      <c r="V1589" s="1" t="n">
        <v>61.84</v>
      </c>
      <c r="W1589" s="1" t="s">
        <v>39</v>
      </c>
      <c r="X1589" s="1" t="n">
        <v>4</v>
      </c>
      <c r="Y1589" s="1" t="s">
        <v>39</v>
      </c>
      <c r="Z1589" s="1" t="n">
        <v>0</v>
      </c>
    </row>
    <row r="1590" customFormat="false" ht="15" hidden="false" customHeight="true" outlineLevel="0" collapsed="false">
      <c r="A1590" s="1" t="s">
        <v>2410</v>
      </c>
      <c r="B1590" s="1" t="s">
        <v>1895</v>
      </c>
      <c r="C1590" s="1" t="s">
        <v>178</v>
      </c>
      <c r="D1590" s="1" t="s">
        <v>123</v>
      </c>
      <c r="E1590" s="1" t="s">
        <v>124</v>
      </c>
      <c r="F1590" s="1" t="s">
        <v>211</v>
      </c>
      <c r="G1590" s="1" t="s">
        <v>56</v>
      </c>
      <c r="H1590" s="1" t="s">
        <v>69</v>
      </c>
      <c r="I1590" s="1" t="s">
        <v>58</v>
      </c>
      <c r="J1590" s="1" t="s">
        <v>59</v>
      </c>
      <c r="K1590" s="1" t="s">
        <v>84</v>
      </c>
      <c r="L1590" s="1" t="s">
        <v>136</v>
      </c>
      <c r="M1590" s="1" t="s">
        <v>50</v>
      </c>
      <c r="N1590" s="1" t="n">
        <v>4999</v>
      </c>
      <c r="O1590" s="1" t="n">
        <v>40</v>
      </c>
      <c r="P1590" s="1" t="n">
        <v>1999.6</v>
      </c>
      <c r="Q1590" s="1" t="n">
        <v>2999.4</v>
      </c>
      <c r="R1590" s="1" t="n">
        <v>539.89</v>
      </c>
      <c r="S1590" s="1" t="n">
        <v>2459.51</v>
      </c>
      <c r="T1590" s="1" t="n">
        <v>1251.78</v>
      </c>
      <c r="U1590" s="1" t="n">
        <v>1207.73</v>
      </c>
      <c r="V1590" s="1" t="n">
        <v>49.1</v>
      </c>
      <c r="W1590" s="1" t="s">
        <v>39</v>
      </c>
      <c r="Y1590" s="1" t="s">
        <v>40</v>
      </c>
      <c r="Z1590" s="1" t="n">
        <v>0</v>
      </c>
    </row>
    <row r="1591" customFormat="false" ht="15" hidden="false" customHeight="true" outlineLevel="0" collapsed="false">
      <c r="A1591" s="1" t="s">
        <v>2411</v>
      </c>
      <c r="B1591" s="1" t="s">
        <v>526</v>
      </c>
      <c r="C1591" s="1" t="s">
        <v>65</v>
      </c>
      <c r="D1591" s="1" t="s">
        <v>80</v>
      </c>
      <c r="E1591" s="1" t="s">
        <v>193</v>
      </c>
      <c r="F1591" s="1" t="s">
        <v>31</v>
      </c>
      <c r="G1591" s="1" t="s">
        <v>32</v>
      </c>
      <c r="H1591" s="1" t="s">
        <v>33</v>
      </c>
      <c r="I1591" s="1" t="s">
        <v>34</v>
      </c>
      <c r="J1591" s="1" t="s">
        <v>35</v>
      </c>
      <c r="K1591" s="1" t="s">
        <v>90</v>
      </c>
      <c r="L1591" s="1" t="s">
        <v>136</v>
      </c>
      <c r="M1591" s="1" t="s">
        <v>38</v>
      </c>
      <c r="N1591" s="1" t="n">
        <v>8999</v>
      </c>
      <c r="O1591" s="1" t="n">
        <v>15</v>
      </c>
      <c r="P1591" s="1" t="n">
        <v>1349.85</v>
      </c>
      <c r="Q1591" s="1" t="n">
        <v>7649.15</v>
      </c>
      <c r="R1591" s="1" t="n">
        <v>1376.85</v>
      </c>
      <c r="S1591" s="1" t="n">
        <v>6272.3</v>
      </c>
      <c r="T1591" s="1" t="n">
        <v>2313.29</v>
      </c>
      <c r="U1591" s="1" t="n">
        <v>3959.01</v>
      </c>
      <c r="V1591" s="1" t="n">
        <v>63.12</v>
      </c>
      <c r="W1591" s="1" t="s">
        <v>39</v>
      </c>
      <c r="X1591" s="1" t="n">
        <v>4</v>
      </c>
      <c r="Y1591" s="1" t="s">
        <v>40</v>
      </c>
      <c r="Z1591" s="1" t="n">
        <v>0</v>
      </c>
    </row>
    <row r="1592" customFormat="false" ht="15" hidden="false" customHeight="true" outlineLevel="0" collapsed="false">
      <c r="A1592" s="1" t="s">
        <v>2412</v>
      </c>
      <c r="B1592" s="1" t="s">
        <v>470</v>
      </c>
      <c r="C1592" s="1" t="s">
        <v>249</v>
      </c>
      <c r="D1592" s="1" t="s">
        <v>53</v>
      </c>
      <c r="E1592" s="1" t="s">
        <v>116</v>
      </c>
      <c r="F1592" s="1" t="s">
        <v>194</v>
      </c>
      <c r="G1592" s="1" t="s">
        <v>103</v>
      </c>
      <c r="H1592" s="1" t="s">
        <v>69</v>
      </c>
      <c r="I1592" s="1" t="s">
        <v>58</v>
      </c>
      <c r="J1592" s="1" t="s">
        <v>70</v>
      </c>
      <c r="K1592" s="1" t="s">
        <v>104</v>
      </c>
      <c r="L1592" s="1" t="s">
        <v>37</v>
      </c>
      <c r="M1592" s="1" t="s">
        <v>50</v>
      </c>
      <c r="N1592" s="1" t="n">
        <v>9999</v>
      </c>
      <c r="O1592" s="1" t="n">
        <v>20</v>
      </c>
      <c r="P1592" s="1" t="n">
        <v>1999.8</v>
      </c>
      <c r="Q1592" s="1" t="n">
        <v>7999.2</v>
      </c>
      <c r="R1592" s="1" t="n">
        <v>1439.86</v>
      </c>
      <c r="S1592" s="1" t="n">
        <v>6559.34</v>
      </c>
      <c r="T1592" s="1" t="n">
        <v>2620.84</v>
      </c>
      <c r="U1592" s="1" t="n">
        <v>3938.5</v>
      </c>
      <c r="V1592" s="1" t="n">
        <v>60.04</v>
      </c>
      <c r="W1592" s="1" t="s">
        <v>40</v>
      </c>
      <c r="Y1592" s="1" t="s">
        <v>40</v>
      </c>
      <c r="Z1592" s="1" t="n">
        <v>0</v>
      </c>
    </row>
    <row r="1593" customFormat="false" ht="15" hidden="false" customHeight="true" outlineLevel="0" collapsed="false">
      <c r="A1593" s="1" t="s">
        <v>2413</v>
      </c>
      <c r="B1593" s="1" t="s">
        <v>304</v>
      </c>
      <c r="C1593" s="1" t="s">
        <v>100</v>
      </c>
      <c r="D1593" s="1" t="s">
        <v>143</v>
      </c>
      <c r="E1593" s="1" t="s">
        <v>144</v>
      </c>
      <c r="F1593" s="1" t="s">
        <v>102</v>
      </c>
      <c r="G1593" s="1" t="s">
        <v>103</v>
      </c>
      <c r="H1593" s="1" t="s">
        <v>33</v>
      </c>
      <c r="I1593" s="1" t="s">
        <v>34</v>
      </c>
      <c r="J1593" s="1" t="s">
        <v>77</v>
      </c>
      <c r="K1593" s="1" t="s">
        <v>90</v>
      </c>
      <c r="L1593" s="1" t="s">
        <v>136</v>
      </c>
      <c r="M1593" s="1" t="s">
        <v>62</v>
      </c>
      <c r="N1593" s="1" t="n">
        <v>12999</v>
      </c>
      <c r="O1593" s="1" t="n">
        <v>15</v>
      </c>
      <c r="P1593" s="1" t="n">
        <v>1949.85</v>
      </c>
      <c r="Q1593" s="1" t="n">
        <v>11049.15</v>
      </c>
      <c r="R1593" s="1" t="n">
        <v>1988.85</v>
      </c>
      <c r="S1593" s="1" t="n">
        <v>9060.3</v>
      </c>
      <c r="T1593" s="1" t="n">
        <v>4173.16</v>
      </c>
      <c r="U1593" s="1" t="n">
        <v>4887.14</v>
      </c>
      <c r="V1593" s="1" t="n">
        <v>53.94</v>
      </c>
      <c r="W1593" s="1" t="s">
        <v>40</v>
      </c>
      <c r="Y1593" s="1" t="s">
        <v>40</v>
      </c>
      <c r="Z1593" s="1" t="n">
        <v>0</v>
      </c>
    </row>
    <row r="1594" customFormat="false" ht="15" hidden="false" customHeight="true" outlineLevel="0" collapsed="false">
      <c r="A1594" s="1" t="s">
        <v>2414</v>
      </c>
      <c r="B1594" s="1" t="s">
        <v>391</v>
      </c>
      <c r="C1594" s="1" t="s">
        <v>167</v>
      </c>
      <c r="D1594" s="1" t="s">
        <v>94</v>
      </c>
      <c r="E1594" s="1" t="s">
        <v>101</v>
      </c>
      <c r="F1594" s="1" t="s">
        <v>184</v>
      </c>
      <c r="G1594" s="1" t="s">
        <v>56</v>
      </c>
      <c r="H1594" s="1" t="s">
        <v>57</v>
      </c>
      <c r="I1594" s="1" t="s">
        <v>58</v>
      </c>
      <c r="J1594" s="1" t="s">
        <v>70</v>
      </c>
      <c r="K1594" s="1" t="s">
        <v>112</v>
      </c>
      <c r="L1594" s="1" t="s">
        <v>85</v>
      </c>
      <c r="M1594" s="1" t="s">
        <v>38</v>
      </c>
      <c r="N1594" s="1" t="n">
        <v>14999</v>
      </c>
      <c r="O1594" s="1" t="n">
        <v>50</v>
      </c>
      <c r="P1594" s="1" t="n">
        <v>7499.5</v>
      </c>
      <c r="Q1594" s="1" t="n">
        <v>7499.5</v>
      </c>
      <c r="R1594" s="1" t="n">
        <v>1349.91</v>
      </c>
      <c r="S1594" s="1" t="n">
        <v>6149.59</v>
      </c>
      <c r="T1594" s="1" t="n">
        <v>3303.51</v>
      </c>
      <c r="U1594" s="1" t="n">
        <v>2846.08</v>
      </c>
      <c r="V1594" s="1" t="n">
        <v>46.28</v>
      </c>
      <c r="W1594" s="1" t="s">
        <v>39</v>
      </c>
      <c r="X1594" s="1" t="n">
        <v>3.3</v>
      </c>
      <c r="Y1594" s="1" t="s">
        <v>39</v>
      </c>
      <c r="Z1594" s="1" t="n">
        <v>0</v>
      </c>
    </row>
    <row r="1595" customFormat="false" ht="15" hidden="false" customHeight="true" outlineLevel="0" collapsed="false">
      <c r="A1595" s="1" t="s">
        <v>2415</v>
      </c>
      <c r="B1595" s="1" t="s">
        <v>376</v>
      </c>
      <c r="C1595" s="1" t="s">
        <v>74</v>
      </c>
      <c r="D1595" s="1" t="s">
        <v>80</v>
      </c>
      <c r="E1595" s="1" t="s">
        <v>81</v>
      </c>
      <c r="F1595" s="1" t="s">
        <v>130</v>
      </c>
      <c r="G1595" s="1" t="s">
        <v>47</v>
      </c>
      <c r="H1595" s="1" t="s">
        <v>69</v>
      </c>
      <c r="I1595" s="1" t="s">
        <v>83</v>
      </c>
      <c r="J1595" s="1" t="s">
        <v>131</v>
      </c>
      <c r="K1595" s="1" t="s">
        <v>104</v>
      </c>
      <c r="L1595" s="1" t="s">
        <v>49</v>
      </c>
      <c r="M1595" s="1" t="s">
        <v>62</v>
      </c>
      <c r="N1595" s="1" t="n">
        <v>12999</v>
      </c>
      <c r="O1595" s="1" t="n">
        <v>15</v>
      </c>
      <c r="P1595" s="1" t="n">
        <v>1949.85</v>
      </c>
      <c r="Q1595" s="1" t="n">
        <v>11049.15</v>
      </c>
      <c r="R1595" s="1" t="n">
        <v>1988.85</v>
      </c>
      <c r="S1595" s="1" t="n">
        <v>9060.3</v>
      </c>
      <c r="T1595" s="1" t="n">
        <v>3501.73</v>
      </c>
      <c r="U1595" s="1" t="n">
        <v>5558.57</v>
      </c>
      <c r="V1595" s="1" t="n">
        <v>61.35</v>
      </c>
      <c r="W1595" s="1" t="s">
        <v>39</v>
      </c>
      <c r="X1595" s="1" t="n">
        <v>3.4</v>
      </c>
      <c r="Y1595" s="1" t="s">
        <v>40</v>
      </c>
      <c r="Z1595" s="1" t="n">
        <v>0</v>
      </c>
    </row>
    <row r="1596" customFormat="false" ht="15" hidden="false" customHeight="true" outlineLevel="0" collapsed="false">
      <c r="A1596" s="1" t="s">
        <v>2416</v>
      </c>
      <c r="B1596" s="1" t="s">
        <v>115</v>
      </c>
      <c r="C1596" s="1" t="s">
        <v>178</v>
      </c>
      <c r="D1596" s="1" t="s">
        <v>29</v>
      </c>
      <c r="E1596" s="1" t="s">
        <v>182</v>
      </c>
      <c r="F1596" s="1" t="s">
        <v>82</v>
      </c>
      <c r="G1596" s="1" t="s">
        <v>56</v>
      </c>
      <c r="H1596" s="1" t="s">
        <v>69</v>
      </c>
      <c r="I1596" s="1" t="s">
        <v>34</v>
      </c>
      <c r="J1596" s="1" t="s">
        <v>59</v>
      </c>
      <c r="K1596" s="1" t="s">
        <v>104</v>
      </c>
      <c r="L1596" s="1" t="s">
        <v>61</v>
      </c>
      <c r="M1596" s="1" t="s">
        <v>62</v>
      </c>
      <c r="N1596" s="1" t="n">
        <v>34999</v>
      </c>
      <c r="O1596" s="1" t="n">
        <v>0</v>
      </c>
      <c r="P1596" s="1" t="n">
        <v>0</v>
      </c>
      <c r="Q1596" s="1" t="n">
        <v>34999</v>
      </c>
      <c r="R1596" s="1" t="n">
        <v>6299.82</v>
      </c>
      <c r="S1596" s="1" t="n">
        <v>28699.18</v>
      </c>
      <c r="T1596" s="1" t="n">
        <v>12102.27</v>
      </c>
      <c r="U1596" s="1" t="n">
        <v>16596.91</v>
      </c>
      <c r="V1596" s="1" t="n">
        <v>57.83</v>
      </c>
      <c r="W1596" s="1" t="s">
        <v>40</v>
      </c>
      <c r="Y1596" s="1" t="s">
        <v>40</v>
      </c>
      <c r="Z1596" s="1" t="n">
        <v>3</v>
      </c>
    </row>
    <row r="1597" customFormat="false" ht="15" hidden="false" customHeight="true" outlineLevel="0" collapsed="false">
      <c r="A1597" s="1" t="s">
        <v>2417</v>
      </c>
      <c r="B1597" s="1" t="s">
        <v>152</v>
      </c>
      <c r="C1597" s="1" t="s">
        <v>74</v>
      </c>
      <c r="D1597" s="1" t="s">
        <v>94</v>
      </c>
      <c r="E1597" s="1" t="s">
        <v>95</v>
      </c>
      <c r="F1597" s="1" t="s">
        <v>194</v>
      </c>
      <c r="G1597" s="1" t="s">
        <v>103</v>
      </c>
      <c r="H1597" s="1" t="s">
        <v>69</v>
      </c>
      <c r="I1597" s="1" t="s">
        <v>83</v>
      </c>
      <c r="J1597" s="1" t="s">
        <v>70</v>
      </c>
      <c r="K1597" s="1" t="s">
        <v>104</v>
      </c>
      <c r="L1597" s="1" t="s">
        <v>37</v>
      </c>
      <c r="M1597" s="1" t="s">
        <v>62</v>
      </c>
      <c r="N1597" s="1" t="n">
        <v>6999</v>
      </c>
      <c r="O1597" s="1" t="n">
        <v>30</v>
      </c>
      <c r="P1597" s="1" t="n">
        <v>2099.7</v>
      </c>
      <c r="Q1597" s="1" t="n">
        <v>4899.3</v>
      </c>
      <c r="R1597" s="1" t="n">
        <v>881.87</v>
      </c>
      <c r="S1597" s="1" t="n">
        <v>4017.43</v>
      </c>
      <c r="T1597" s="1" t="n">
        <v>1698.59</v>
      </c>
      <c r="U1597" s="1" t="n">
        <v>2318.84</v>
      </c>
      <c r="V1597" s="1" t="n">
        <v>57.72</v>
      </c>
      <c r="W1597" s="1" t="s">
        <v>39</v>
      </c>
      <c r="X1597" s="1" t="n">
        <v>4</v>
      </c>
      <c r="Y1597" s="1" t="s">
        <v>40</v>
      </c>
      <c r="Z1597" s="1" t="n">
        <v>1</v>
      </c>
    </row>
    <row r="1598" customFormat="false" ht="15" hidden="false" customHeight="true" outlineLevel="0" collapsed="false">
      <c r="A1598" s="1" t="s">
        <v>2418</v>
      </c>
      <c r="B1598" s="1" t="s">
        <v>535</v>
      </c>
      <c r="C1598" s="1" t="s">
        <v>65</v>
      </c>
      <c r="D1598" s="1" t="s">
        <v>80</v>
      </c>
      <c r="E1598" s="1" t="s">
        <v>193</v>
      </c>
      <c r="F1598" s="1" t="s">
        <v>140</v>
      </c>
      <c r="G1598" s="1" t="s">
        <v>97</v>
      </c>
      <c r="H1598" s="1" t="s">
        <v>57</v>
      </c>
      <c r="I1598" s="1" t="s">
        <v>58</v>
      </c>
      <c r="J1598" s="1" t="s">
        <v>35</v>
      </c>
      <c r="K1598" s="1" t="s">
        <v>48</v>
      </c>
      <c r="L1598" s="1" t="s">
        <v>136</v>
      </c>
      <c r="M1598" s="1" t="s">
        <v>62</v>
      </c>
      <c r="N1598" s="1" t="n">
        <v>8999</v>
      </c>
      <c r="O1598" s="1" t="n">
        <v>40</v>
      </c>
      <c r="P1598" s="1" t="n">
        <v>3599.6</v>
      </c>
      <c r="Q1598" s="1" t="n">
        <v>5399.4</v>
      </c>
      <c r="R1598" s="1" t="n">
        <v>971.89</v>
      </c>
      <c r="S1598" s="1" t="n">
        <v>4427.51</v>
      </c>
      <c r="T1598" s="1" t="n">
        <v>2492.66</v>
      </c>
      <c r="U1598" s="1" t="n">
        <v>1934.85</v>
      </c>
      <c r="V1598" s="1" t="n">
        <v>43.7</v>
      </c>
      <c r="W1598" s="1" t="s">
        <v>39</v>
      </c>
      <c r="X1598" s="1" t="n">
        <v>4.3</v>
      </c>
      <c r="Y1598" s="1" t="s">
        <v>40</v>
      </c>
      <c r="Z1598" s="1" t="n">
        <v>0</v>
      </c>
    </row>
    <row r="1599" customFormat="false" ht="15" hidden="false" customHeight="true" outlineLevel="0" collapsed="false">
      <c r="A1599" s="1" t="s">
        <v>2419</v>
      </c>
      <c r="B1599" s="1" t="s">
        <v>1048</v>
      </c>
      <c r="C1599" s="1" t="s">
        <v>139</v>
      </c>
      <c r="D1599" s="1" t="s">
        <v>53</v>
      </c>
      <c r="E1599" s="1" t="s">
        <v>216</v>
      </c>
      <c r="F1599" s="1" t="s">
        <v>244</v>
      </c>
      <c r="G1599" s="1" t="s">
        <v>97</v>
      </c>
      <c r="H1599" s="1" t="s">
        <v>57</v>
      </c>
      <c r="I1599" s="1" t="s">
        <v>83</v>
      </c>
      <c r="J1599" s="1" t="s">
        <v>35</v>
      </c>
      <c r="K1599" s="1" t="s">
        <v>48</v>
      </c>
      <c r="L1599" s="1" t="s">
        <v>61</v>
      </c>
      <c r="M1599" s="1" t="s">
        <v>50</v>
      </c>
      <c r="N1599" s="1" t="n">
        <v>7499</v>
      </c>
      <c r="O1599" s="1" t="n">
        <v>20</v>
      </c>
      <c r="P1599" s="1" t="n">
        <v>1499.8</v>
      </c>
      <c r="Q1599" s="1" t="n">
        <v>5999.2</v>
      </c>
      <c r="R1599" s="1" t="n">
        <v>1079.86</v>
      </c>
      <c r="S1599" s="1" t="n">
        <v>4919.34</v>
      </c>
      <c r="T1599" s="1" t="n">
        <v>2129.55</v>
      </c>
      <c r="U1599" s="1" t="n">
        <v>2789.79</v>
      </c>
      <c r="V1599" s="1" t="n">
        <v>56.71</v>
      </c>
      <c r="W1599" s="1" t="s">
        <v>39</v>
      </c>
      <c r="X1599" s="1" t="n">
        <v>3.8</v>
      </c>
      <c r="Y1599" s="1" t="s">
        <v>40</v>
      </c>
      <c r="Z1599" s="1" t="n">
        <v>0</v>
      </c>
    </row>
    <row r="1600" customFormat="false" ht="15" hidden="false" customHeight="true" outlineLevel="0" collapsed="false">
      <c r="A1600" s="1" t="s">
        <v>2420</v>
      </c>
      <c r="B1600" s="1" t="s">
        <v>809</v>
      </c>
      <c r="C1600" s="1" t="s">
        <v>264</v>
      </c>
      <c r="D1600" s="1" t="s">
        <v>44</v>
      </c>
      <c r="E1600" s="1" t="s">
        <v>221</v>
      </c>
      <c r="F1600" s="1" t="s">
        <v>75</v>
      </c>
      <c r="G1600" s="1" t="s">
        <v>76</v>
      </c>
      <c r="H1600" s="1" t="s">
        <v>69</v>
      </c>
      <c r="I1600" s="1" t="s">
        <v>58</v>
      </c>
      <c r="J1600" s="1" t="s">
        <v>35</v>
      </c>
      <c r="K1600" s="1" t="s">
        <v>84</v>
      </c>
      <c r="L1600" s="1" t="s">
        <v>61</v>
      </c>
      <c r="M1600" s="1" t="s">
        <v>50</v>
      </c>
      <c r="N1600" s="1" t="n">
        <v>16999</v>
      </c>
      <c r="O1600" s="1" t="n">
        <v>0</v>
      </c>
      <c r="P1600" s="1" t="n">
        <v>0</v>
      </c>
      <c r="Q1600" s="1" t="n">
        <v>16999</v>
      </c>
      <c r="R1600" s="1" t="n">
        <v>3059.82</v>
      </c>
      <c r="S1600" s="1" t="n">
        <v>13939.18</v>
      </c>
      <c r="T1600" s="1" t="n">
        <v>4112.04</v>
      </c>
      <c r="U1600" s="1" t="n">
        <v>9827.14</v>
      </c>
      <c r="V1600" s="1" t="n">
        <v>70.5</v>
      </c>
      <c r="W1600" s="1" t="s">
        <v>39</v>
      </c>
      <c r="X1600" s="1" t="n">
        <v>4</v>
      </c>
      <c r="Y1600" s="1" t="s">
        <v>40</v>
      </c>
      <c r="Z1600" s="1" t="n">
        <v>0</v>
      </c>
    </row>
    <row r="1601" customFormat="false" ht="15" hidden="false" customHeight="true" outlineLevel="0" collapsed="false">
      <c r="A1601" s="1" t="s">
        <v>2421</v>
      </c>
      <c r="B1601" s="1" t="s">
        <v>2422</v>
      </c>
      <c r="C1601" s="1" t="s">
        <v>28</v>
      </c>
      <c r="D1601" s="1" t="s">
        <v>94</v>
      </c>
      <c r="E1601" s="1" t="s">
        <v>101</v>
      </c>
      <c r="F1601" s="1" t="s">
        <v>130</v>
      </c>
      <c r="G1601" s="1" t="s">
        <v>47</v>
      </c>
      <c r="H1601" s="1" t="s">
        <v>69</v>
      </c>
      <c r="I1601" s="1" t="s">
        <v>58</v>
      </c>
      <c r="J1601" s="1" t="s">
        <v>77</v>
      </c>
      <c r="K1601" s="1" t="s">
        <v>84</v>
      </c>
      <c r="L1601" s="1" t="s">
        <v>113</v>
      </c>
      <c r="M1601" s="1" t="s">
        <v>62</v>
      </c>
      <c r="N1601" s="1" t="n">
        <v>14999</v>
      </c>
      <c r="O1601" s="1" t="n">
        <v>0</v>
      </c>
      <c r="P1601" s="1" t="n">
        <v>0</v>
      </c>
      <c r="Q1601" s="1" t="n">
        <v>14999</v>
      </c>
      <c r="R1601" s="1" t="n">
        <v>2699.82</v>
      </c>
      <c r="S1601" s="1" t="n">
        <v>12299.18</v>
      </c>
      <c r="T1601" s="1" t="n">
        <v>5138.25</v>
      </c>
      <c r="U1601" s="1" t="n">
        <v>7160.93</v>
      </c>
      <c r="V1601" s="1" t="n">
        <v>58.22</v>
      </c>
      <c r="W1601" s="1" t="s">
        <v>39</v>
      </c>
      <c r="X1601" s="1" t="n">
        <v>4.2</v>
      </c>
      <c r="Y1601" s="1" t="s">
        <v>40</v>
      </c>
      <c r="Z1601" s="1" t="n">
        <v>0</v>
      </c>
    </row>
    <row r="1602" customFormat="false" ht="15" hidden="false" customHeight="true" outlineLevel="0" collapsed="false">
      <c r="A1602" s="1" t="s">
        <v>2423</v>
      </c>
      <c r="B1602" s="1" t="s">
        <v>1212</v>
      </c>
      <c r="C1602" s="1" t="s">
        <v>74</v>
      </c>
      <c r="D1602" s="1" t="s">
        <v>168</v>
      </c>
      <c r="E1602" s="1" t="s">
        <v>197</v>
      </c>
      <c r="F1602" s="1" t="s">
        <v>89</v>
      </c>
      <c r="G1602" s="1" t="s">
        <v>68</v>
      </c>
      <c r="H1602" s="1" t="s">
        <v>33</v>
      </c>
      <c r="I1602" s="1" t="s">
        <v>58</v>
      </c>
      <c r="J1602" s="1" t="s">
        <v>131</v>
      </c>
      <c r="K1602" s="1" t="s">
        <v>36</v>
      </c>
      <c r="L1602" s="1" t="s">
        <v>113</v>
      </c>
      <c r="M1602" s="1" t="s">
        <v>62</v>
      </c>
      <c r="N1602" s="1" t="n">
        <v>8499</v>
      </c>
      <c r="O1602" s="1" t="n">
        <v>15</v>
      </c>
      <c r="P1602" s="1" t="n">
        <v>1274.85</v>
      </c>
      <c r="Q1602" s="1" t="n">
        <v>7224.15</v>
      </c>
      <c r="R1602" s="1" t="n">
        <v>1300.35</v>
      </c>
      <c r="S1602" s="1" t="n">
        <v>5923.8</v>
      </c>
      <c r="T1602" s="1" t="n">
        <v>2368.18</v>
      </c>
      <c r="U1602" s="1" t="n">
        <v>3555.62</v>
      </c>
      <c r="V1602" s="1" t="n">
        <v>60.02</v>
      </c>
      <c r="W1602" s="1" t="s">
        <v>39</v>
      </c>
      <c r="X1602" s="1" t="n">
        <v>4.1</v>
      </c>
      <c r="Y1602" s="1" t="s">
        <v>39</v>
      </c>
      <c r="Z1602" s="1" t="n">
        <v>0</v>
      </c>
    </row>
    <row r="1603" customFormat="false" ht="15" hidden="false" customHeight="true" outlineLevel="0" collapsed="false">
      <c r="A1603" s="1" t="s">
        <v>2424</v>
      </c>
      <c r="B1603" s="1" t="s">
        <v>891</v>
      </c>
      <c r="C1603" s="1" t="s">
        <v>249</v>
      </c>
      <c r="D1603" s="1" t="s">
        <v>168</v>
      </c>
      <c r="E1603" s="1" t="s">
        <v>172</v>
      </c>
      <c r="F1603" s="1" t="s">
        <v>31</v>
      </c>
      <c r="G1603" s="1" t="s">
        <v>32</v>
      </c>
      <c r="H1603" s="1" t="s">
        <v>33</v>
      </c>
      <c r="I1603" s="1" t="s">
        <v>58</v>
      </c>
      <c r="J1603" s="1" t="s">
        <v>35</v>
      </c>
      <c r="K1603" s="1" t="s">
        <v>71</v>
      </c>
      <c r="L1603" s="1" t="s">
        <v>113</v>
      </c>
      <c r="M1603" s="1" t="s">
        <v>62</v>
      </c>
      <c r="N1603" s="1" t="n">
        <v>6999</v>
      </c>
      <c r="O1603" s="1" t="n">
        <v>10</v>
      </c>
      <c r="P1603" s="1" t="n">
        <v>699.9</v>
      </c>
      <c r="Q1603" s="1" t="n">
        <v>6299.1</v>
      </c>
      <c r="R1603" s="1" t="n">
        <v>1133.84</v>
      </c>
      <c r="S1603" s="1" t="n">
        <v>5165.26</v>
      </c>
      <c r="T1603" s="1" t="n">
        <v>1790.18</v>
      </c>
      <c r="U1603" s="1" t="n">
        <v>3375.08</v>
      </c>
      <c r="V1603" s="1" t="n">
        <v>65.34</v>
      </c>
      <c r="W1603" s="1" t="s">
        <v>39</v>
      </c>
      <c r="X1603" s="1" t="n">
        <v>3.5</v>
      </c>
      <c r="Y1603" s="1" t="s">
        <v>40</v>
      </c>
      <c r="Z1603" s="1" t="n">
        <v>0</v>
      </c>
    </row>
    <row r="1604" customFormat="false" ht="15" hidden="false" customHeight="true" outlineLevel="0" collapsed="false">
      <c r="A1604" s="1" t="s">
        <v>2425</v>
      </c>
      <c r="B1604" s="1" t="s">
        <v>2330</v>
      </c>
      <c r="C1604" s="1" t="s">
        <v>74</v>
      </c>
      <c r="D1604" s="1" t="s">
        <v>143</v>
      </c>
      <c r="E1604" s="1" t="s">
        <v>210</v>
      </c>
      <c r="F1604" s="1" t="s">
        <v>205</v>
      </c>
      <c r="G1604" s="1" t="s">
        <v>56</v>
      </c>
      <c r="H1604" s="1" t="s">
        <v>69</v>
      </c>
      <c r="I1604" s="1" t="s">
        <v>34</v>
      </c>
      <c r="J1604" s="1" t="s">
        <v>59</v>
      </c>
      <c r="K1604" s="1" t="s">
        <v>48</v>
      </c>
      <c r="L1604" s="1" t="s">
        <v>61</v>
      </c>
      <c r="M1604" s="1" t="s">
        <v>62</v>
      </c>
      <c r="N1604" s="1" t="n">
        <v>18999</v>
      </c>
      <c r="O1604" s="1" t="n">
        <v>10</v>
      </c>
      <c r="P1604" s="1" t="n">
        <v>1899.9</v>
      </c>
      <c r="Q1604" s="1" t="n">
        <v>17099.1</v>
      </c>
      <c r="R1604" s="1" t="n">
        <v>3077.84</v>
      </c>
      <c r="S1604" s="1" t="n">
        <v>14021.26</v>
      </c>
      <c r="T1604" s="1" t="n">
        <v>6413.64</v>
      </c>
      <c r="U1604" s="1" t="n">
        <v>7607.62</v>
      </c>
      <c r="V1604" s="1" t="n">
        <v>54.26</v>
      </c>
      <c r="W1604" s="1" t="s">
        <v>39</v>
      </c>
      <c r="Y1604" s="1" t="s">
        <v>40</v>
      </c>
      <c r="Z1604" s="1" t="n">
        <v>1</v>
      </c>
    </row>
    <row r="1605" customFormat="false" ht="15" hidden="false" customHeight="true" outlineLevel="0" collapsed="false">
      <c r="A1605" s="1" t="s">
        <v>2426</v>
      </c>
      <c r="B1605" s="1" t="s">
        <v>787</v>
      </c>
      <c r="C1605" s="1" t="s">
        <v>74</v>
      </c>
      <c r="D1605" s="1" t="s">
        <v>123</v>
      </c>
      <c r="E1605" s="1" t="s">
        <v>147</v>
      </c>
      <c r="F1605" s="1" t="s">
        <v>140</v>
      </c>
      <c r="G1605" s="1" t="s">
        <v>97</v>
      </c>
      <c r="H1605" s="1" t="s">
        <v>57</v>
      </c>
      <c r="I1605" s="1" t="s">
        <v>83</v>
      </c>
      <c r="J1605" s="1" t="s">
        <v>77</v>
      </c>
      <c r="K1605" s="1" t="s">
        <v>84</v>
      </c>
      <c r="L1605" s="1" t="s">
        <v>136</v>
      </c>
      <c r="M1605" s="1" t="s">
        <v>50</v>
      </c>
      <c r="N1605" s="1" t="n">
        <v>6999</v>
      </c>
      <c r="O1605" s="1" t="n">
        <v>30</v>
      </c>
      <c r="P1605" s="1" t="n">
        <v>2099.7</v>
      </c>
      <c r="Q1605" s="1" t="n">
        <v>4899.3</v>
      </c>
      <c r="R1605" s="1" t="n">
        <v>881.87</v>
      </c>
      <c r="S1605" s="1" t="n">
        <v>4017.43</v>
      </c>
      <c r="T1605" s="1" t="n">
        <v>1682.06</v>
      </c>
      <c r="U1605" s="1" t="n">
        <v>2335.37</v>
      </c>
      <c r="V1605" s="1" t="n">
        <v>58.13</v>
      </c>
      <c r="W1605" s="1" t="s">
        <v>39</v>
      </c>
      <c r="X1605" s="1" t="n">
        <v>4.2</v>
      </c>
      <c r="Y1605" s="1" t="s">
        <v>40</v>
      </c>
      <c r="Z1605" s="1" t="n">
        <v>0</v>
      </c>
    </row>
    <row r="1606" customFormat="false" ht="15" hidden="false" customHeight="true" outlineLevel="0" collapsed="false">
      <c r="A1606" s="1" t="s">
        <v>2427</v>
      </c>
      <c r="B1606" s="1" t="s">
        <v>311</v>
      </c>
      <c r="C1606" s="1" t="s">
        <v>128</v>
      </c>
      <c r="D1606" s="1" t="s">
        <v>44</v>
      </c>
      <c r="E1606" s="1" t="s">
        <v>221</v>
      </c>
      <c r="F1606" s="1" t="s">
        <v>150</v>
      </c>
      <c r="G1606" s="1" t="s">
        <v>32</v>
      </c>
      <c r="H1606" s="1" t="s">
        <v>57</v>
      </c>
      <c r="I1606" s="1" t="s">
        <v>34</v>
      </c>
      <c r="J1606" s="1" t="s">
        <v>70</v>
      </c>
      <c r="K1606" s="1" t="s">
        <v>60</v>
      </c>
      <c r="L1606" s="1" t="s">
        <v>136</v>
      </c>
      <c r="M1606" s="1" t="s">
        <v>38</v>
      </c>
      <c r="N1606" s="1" t="n">
        <v>16999</v>
      </c>
      <c r="O1606" s="1" t="n">
        <v>0</v>
      </c>
      <c r="P1606" s="1" t="n">
        <v>0</v>
      </c>
      <c r="Q1606" s="1" t="n">
        <v>16999</v>
      </c>
      <c r="R1606" s="1" t="n">
        <v>3059.82</v>
      </c>
      <c r="S1606" s="1" t="n">
        <v>13939.18</v>
      </c>
      <c r="T1606" s="1" t="n">
        <v>6505.23</v>
      </c>
      <c r="U1606" s="1" t="n">
        <v>7433.95</v>
      </c>
      <c r="V1606" s="1" t="n">
        <v>53.33</v>
      </c>
      <c r="W1606" s="1" t="s">
        <v>39</v>
      </c>
      <c r="X1606" s="1" t="n">
        <v>3.7</v>
      </c>
      <c r="Y1606" s="1" t="s">
        <v>40</v>
      </c>
      <c r="Z1606" s="1" t="n">
        <v>0</v>
      </c>
    </row>
    <row r="1607" customFormat="false" ht="15" hidden="false" customHeight="true" outlineLevel="0" collapsed="false">
      <c r="A1607" s="1" t="s">
        <v>2428</v>
      </c>
      <c r="B1607" s="1" t="s">
        <v>1160</v>
      </c>
      <c r="C1607" s="1" t="s">
        <v>28</v>
      </c>
      <c r="D1607" s="1" t="s">
        <v>143</v>
      </c>
      <c r="E1607" s="1" t="s">
        <v>144</v>
      </c>
      <c r="F1607" s="1" t="s">
        <v>184</v>
      </c>
      <c r="G1607" s="1" t="s">
        <v>56</v>
      </c>
      <c r="H1607" s="1" t="s">
        <v>57</v>
      </c>
      <c r="I1607" s="1" t="s">
        <v>83</v>
      </c>
      <c r="J1607" s="1" t="s">
        <v>35</v>
      </c>
      <c r="K1607" s="1" t="s">
        <v>90</v>
      </c>
      <c r="L1607" s="1" t="s">
        <v>61</v>
      </c>
      <c r="M1607" s="1" t="s">
        <v>50</v>
      </c>
      <c r="N1607" s="1" t="n">
        <v>12999</v>
      </c>
      <c r="O1607" s="1" t="n">
        <v>10</v>
      </c>
      <c r="P1607" s="1" t="n">
        <v>1299.9</v>
      </c>
      <c r="Q1607" s="1" t="n">
        <v>11699.1</v>
      </c>
      <c r="R1607" s="1" t="n">
        <v>2105.84</v>
      </c>
      <c r="S1607" s="1" t="n">
        <v>9593.26</v>
      </c>
      <c r="T1607" s="1" t="n">
        <v>4891.2</v>
      </c>
      <c r="U1607" s="1" t="n">
        <v>4702.06</v>
      </c>
      <c r="V1607" s="1" t="n">
        <v>49.01</v>
      </c>
      <c r="W1607" s="1" t="s">
        <v>39</v>
      </c>
      <c r="X1607" s="1" t="n">
        <v>3.3</v>
      </c>
      <c r="Y1607" s="1" t="s">
        <v>40</v>
      </c>
      <c r="Z1607" s="1" t="n">
        <v>0</v>
      </c>
    </row>
    <row r="1608" customFormat="false" ht="15" hidden="false" customHeight="true" outlineLevel="0" collapsed="false">
      <c r="A1608" s="1" t="s">
        <v>2429</v>
      </c>
      <c r="B1608" s="1" t="s">
        <v>915</v>
      </c>
      <c r="C1608" s="1" t="s">
        <v>128</v>
      </c>
      <c r="D1608" s="1" t="s">
        <v>53</v>
      </c>
      <c r="E1608" s="1" t="s">
        <v>54</v>
      </c>
      <c r="F1608" s="1" t="s">
        <v>31</v>
      </c>
      <c r="G1608" s="1" t="s">
        <v>32</v>
      </c>
      <c r="H1608" s="1" t="s">
        <v>33</v>
      </c>
      <c r="I1608" s="1" t="s">
        <v>58</v>
      </c>
      <c r="J1608" s="1" t="s">
        <v>59</v>
      </c>
      <c r="K1608" s="1" t="s">
        <v>36</v>
      </c>
      <c r="L1608" s="1" t="s">
        <v>85</v>
      </c>
      <c r="M1608" s="1" t="s">
        <v>38</v>
      </c>
      <c r="N1608" s="1" t="n">
        <v>11999</v>
      </c>
      <c r="O1608" s="1" t="n">
        <v>0</v>
      </c>
      <c r="P1608" s="1" t="n">
        <v>0</v>
      </c>
      <c r="Q1608" s="1" t="n">
        <v>11999</v>
      </c>
      <c r="R1608" s="1" t="n">
        <v>2159.82</v>
      </c>
      <c r="S1608" s="1" t="n">
        <v>9839.18</v>
      </c>
      <c r="T1608" s="1" t="n">
        <v>4395.98</v>
      </c>
      <c r="U1608" s="1" t="n">
        <v>5443.2</v>
      </c>
      <c r="V1608" s="1" t="n">
        <v>55.32</v>
      </c>
      <c r="W1608" s="1" t="s">
        <v>39</v>
      </c>
      <c r="X1608" s="1" t="n">
        <v>4.2</v>
      </c>
      <c r="Y1608" s="1" t="s">
        <v>40</v>
      </c>
      <c r="Z1608" s="1" t="n">
        <v>1</v>
      </c>
    </row>
    <row r="1609" customFormat="false" ht="15" hidden="false" customHeight="true" outlineLevel="0" collapsed="false">
      <c r="A1609" s="1" t="s">
        <v>2430</v>
      </c>
      <c r="B1609" s="1" t="s">
        <v>1931</v>
      </c>
      <c r="C1609" s="1" t="s">
        <v>88</v>
      </c>
      <c r="D1609" s="1" t="s">
        <v>44</v>
      </c>
      <c r="E1609" s="1" t="s">
        <v>45</v>
      </c>
      <c r="F1609" s="1" t="s">
        <v>96</v>
      </c>
      <c r="G1609" s="1" t="s">
        <v>97</v>
      </c>
      <c r="H1609" s="1" t="s">
        <v>69</v>
      </c>
      <c r="I1609" s="1" t="s">
        <v>34</v>
      </c>
      <c r="J1609" s="1" t="s">
        <v>70</v>
      </c>
      <c r="K1609" s="1" t="s">
        <v>84</v>
      </c>
      <c r="L1609" s="1" t="s">
        <v>61</v>
      </c>
      <c r="M1609" s="1" t="s">
        <v>50</v>
      </c>
      <c r="N1609" s="1" t="n">
        <v>11999</v>
      </c>
      <c r="O1609" s="1" t="n">
        <v>10</v>
      </c>
      <c r="P1609" s="1" t="n">
        <v>1199.9</v>
      </c>
      <c r="Q1609" s="1" t="n">
        <v>10799.1</v>
      </c>
      <c r="R1609" s="1" t="n">
        <v>1943.84</v>
      </c>
      <c r="S1609" s="1" t="n">
        <v>8855.26</v>
      </c>
      <c r="T1609" s="1" t="n">
        <v>3019.21</v>
      </c>
      <c r="U1609" s="1" t="n">
        <v>5836.05</v>
      </c>
      <c r="V1609" s="1" t="n">
        <v>65.9</v>
      </c>
      <c r="W1609" s="1" t="s">
        <v>40</v>
      </c>
      <c r="Y1609" s="1" t="s">
        <v>40</v>
      </c>
      <c r="Z1609" s="1" t="n">
        <v>0</v>
      </c>
    </row>
    <row r="1610" customFormat="false" ht="15" hidden="false" customHeight="true" outlineLevel="0" collapsed="false">
      <c r="A1610" s="1" t="s">
        <v>2431</v>
      </c>
      <c r="B1610" s="1" t="s">
        <v>847</v>
      </c>
      <c r="C1610" s="1" t="s">
        <v>100</v>
      </c>
      <c r="D1610" s="1" t="s">
        <v>123</v>
      </c>
      <c r="E1610" s="1" t="s">
        <v>147</v>
      </c>
      <c r="F1610" s="1" t="s">
        <v>120</v>
      </c>
      <c r="G1610" s="1" t="s">
        <v>47</v>
      </c>
      <c r="H1610" s="1" t="s">
        <v>57</v>
      </c>
      <c r="I1610" s="1" t="s">
        <v>58</v>
      </c>
      <c r="J1610" s="1" t="s">
        <v>77</v>
      </c>
      <c r="K1610" s="1" t="s">
        <v>90</v>
      </c>
      <c r="L1610" s="1" t="s">
        <v>136</v>
      </c>
      <c r="M1610" s="1" t="s">
        <v>38</v>
      </c>
      <c r="N1610" s="1" t="n">
        <v>6999</v>
      </c>
      <c r="O1610" s="1" t="n">
        <v>40</v>
      </c>
      <c r="P1610" s="1" t="n">
        <v>2799.6</v>
      </c>
      <c r="Q1610" s="1" t="n">
        <v>4199.4</v>
      </c>
      <c r="R1610" s="1" t="n">
        <v>755.89</v>
      </c>
      <c r="S1610" s="1" t="n">
        <v>3443.51</v>
      </c>
      <c r="T1610" s="1" t="n">
        <v>1907.7</v>
      </c>
      <c r="U1610" s="1" t="n">
        <v>1535.81</v>
      </c>
      <c r="V1610" s="1" t="n">
        <v>44.6</v>
      </c>
      <c r="W1610" s="1" t="s">
        <v>39</v>
      </c>
      <c r="Y1610" s="1" t="s">
        <v>40</v>
      </c>
      <c r="Z1610" s="1" t="n">
        <v>0</v>
      </c>
    </row>
    <row r="1611" customFormat="false" ht="15" hidden="false" customHeight="true" outlineLevel="0" collapsed="false">
      <c r="A1611" s="1" t="s">
        <v>2432</v>
      </c>
      <c r="B1611" s="1" t="s">
        <v>177</v>
      </c>
      <c r="C1611" s="1" t="s">
        <v>93</v>
      </c>
      <c r="D1611" s="1" t="s">
        <v>143</v>
      </c>
      <c r="E1611" s="1" t="s">
        <v>162</v>
      </c>
      <c r="F1611" s="1" t="s">
        <v>187</v>
      </c>
      <c r="G1611" s="1" t="s">
        <v>97</v>
      </c>
      <c r="H1611" s="1" t="s">
        <v>69</v>
      </c>
      <c r="I1611" s="1" t="s">
        <v>58</v>
      </c>
      <c r="J1611" s="1" t="s">
        <v>59</v>
      </c>
      <c r="K1611" s="1" t="s">
        <v>60</v>
      </c>
      <c r="L1611" s="1" t="s">
        <v>85</v>
      </c>
      <c r="M1611" s="1" t="s">
        <v>38</v>
      </c>
      <c r="N1611" s="1" t="n">
        <v>14999</v>
      </c>
      <c r="O1611" s="1" t="n">
        <v>40</v>
      </c>
      <c r="P1611" s="1" t="n">
        <v>5999.6</v>
      </c>
      <c r="Q1611" s="1" t="n">
        <v>8999.4</v>
      </c>
      <c r="R1611" s="1" t="n">
        <v>1619.89</v>
      </c>
      <c r="S1611" s="1" t="n">
        <v>7379.51</v>
      </c>
      <c r="T1611" s="1" t="n">
        <v>3177.02</v>
      </c>
      <c r="U1611" s="1" t="n">
        <v>4202.49</v>
      </c>
      <c r="V1611" s="1" t="n">
        <v>56.95</v>
      </c>
      <c r="W1611" s="1" t="s">
        <v>40</v>
      </c>
      <c r="Y1611" s="1" t="s">
        <v>40</v>
      </c>
      <c r="Z1611" s="1" t="n">
        <v>1</v>
      </c>
    </row>
    <row r="1612" customFormat="false" ht="15" hidden="false" customHeight="true" outlineLevel="0" collapsed="false">
      <c r="A1612" s="1" t="s">
        <v>2433</v>
      </c>
      <c r="B1612" s="1" t="s">
        <v>209</v>
      </c>
      <c r="C1612" s="1" t="s">
        <v>139</v>
      </c>
      <c r="D1612" s="1" t="s">
        <v>123</v>
      </c>
      <c r="E1612" s="1" t="s">
        <v>124</v>
      </c>
      <c r="F1612" s="1" t="s">
        <v>244</v>
      </c>
      <c r="G1612" s="1" t="s">
        <v>97</v>
      </c>
      <c r="H1612" s="1" t="s">
        <v>57</v>
      </c>
      <c r="I1612" s="1" t="s">
        <v>83</v>
      </c>
      <c r="J1612" s="1" t="s">
        <v>77</v>
      </c>
      <c r="K1612" s="1" t="s">
        <v>48</v>
      </c>
      <c r="L1612" s="1" t="s">
        <v>61</v>
      </c>
      <c r="M1612" s="1" t="s">
        <v>62</v>
      </c>
      <c r="N1612" s="1" t="n">
        <v>4999</v>
      </c>
      <c r="O1612" s="1" t="n">
        <v>20</v>
      </c>
      <c r="P1612" s="1" t="n">
        <v>999.8</v>
      </c>
      <c r="Q1612" s="1" t="n">
        <v>3999.2</v>
      </c>
      <c r="R1612" s="1" t="n">
        <v>719.86</v>
      </c>
      <c r="S1612" s="1" t="n">
        <v>3279.34</v>
      </c>
      <c r="T1612" s="1" t="n">
        <v>1348.38</v>
      </c>
      <c r="U1612" s="1" t="n">
        <v>1930.96</v>
      </c>
      <c r="V1612" s="1" t="n">
        <v>58.88</v>
      </c>
      <c r="W1612" s="1" t="s">
        <v>39</v>
      </c>
      <c r="X1612" s="1" t="n">
        <v>3.2</v>
      </c>
      <c r="Y1612" s="1" t="s">
        <v>40</v>
      </c>
      <c r="Z1612" s="1" t="n">
        <v>1</v>
      </c>
    </row>
    <row r="1613" customFormat="false" ht="15" hidden="false" customHeight="true" outlineLevel="0" collapsed="false">
      <c r="A1613" s="1" t="s">
        <v>2434</v>
      </c>
      <c r="B1613" s="1" t="s">
        <v>2435</v>
      </c>
      <c r="C1613" s="1" t="s">
        <v>249</v>
      </c>
      <c r="D1613" s="1" t="s">
        <v>143</v>
      </c>
      <c r="E1613" s="1" t="s">
        <v>162</v>
      </c>
      <c r="F1613" s="1" t="s">
        <v>96</v>
      </c>
      <c r="G1613" s="1" t="s">
        <v>97</v>
      </c>
      <c r="H1613" s="1" t="s">
        <v>69</v>
      </c>
      <c r="I1613" s="1" t="s">
        <v>58</v>
      </c>
      <c r="J1613" s="1" t="s">
        <v>59</v>
      </c>
      <c r="K1613" s="1" t="s">
        <v>60</v>
      </c>
      <c r="L1613" s="1" t="s">
        <v>37</v>
      </c>
      <c r="M1613" s="1" t="s">
        <v>38</v>
      </c>
      <c r="N1613" s="1" t="n">
        <v>14999</v>
      </c>
      <c r="O1613" s="1" t="n">
        <v>25</v>
      </c>
      <c r="P1613" s="1" t="n">
        <v>3749.75</v>
      </c>
      <c r="Q1613" s="1" t="n">
        <v>11249.25</v>
      </c>
      <c r="R1613" s="1" t="n">
        <v>2024.87</v>
      </c>
      <c r="S1613" s="1" t="n">
        <v>9224.38</v>
      </c>
      <c r="T1613" s="1" t="n">
        <v>3316.35</v>
      </c>
      <c r="U1613" s="1" t="n">
        <v>5908.03</v>
      </c>
      <c r="V1613" s="1" t="n">
        <v>64.05</v>
      </c>
      <c r="W1613" s="1" t="s">
        <v>39</v>
      </c>
      <c r="X1613" s="1" t="n">
        <v>3.5</v>
      </c>
      <c r="Y1613" s="1" t="s">
        <v>40</v>
      </c>
      <c r="Z1613" s="1" t="n">
        <v>0</v>
      </c>
    </row>
    <row r="1614" customFormat="false" ht="15" hidden="false" customHeight="true" outlineLevel="0" collapsed="false">
      <c r="A1614" s="1" t="s">
        <v>2436</v>
      </c>
      <c r="B1614" s="1" t="s">
        <v>1625</v>
      </c>
      <c r="C1614" s="1" t="s">
        <v>119</v>
      </c>
      <c r="D1614" s="1" t="s">
        <v>168</v>
      </c>
      <c r="E1614" s="1" t="s">
        <v>172</v>
      </c>
      <c r="F1614" s="1" t="s">
        <v>120</v>
      </c>
      <c r="G1614" s="1" t="s">
        <v>47</v>
      </c>
      <c r="H1614" s="1" t="s">
        <v>57</v>
      </c>
      <c r="I1614" s="1" t="s">
        <v>58</v>
      </c>
      <c r="J1614" s="1" t="s">
        <v>131</v>
      </c>
      <c r="K1614" s="1" t="s">
        <v>90</v>
      </c>
      <c r="L1614" s="1" t="s">
        <v>61</v>
      </c>
      <c r="M1614" s="1" t="s">
        <v>38</v>
      </c>
      <c r="N1614" s="1" t="n">
        <v>6999</v>
      </c>
      <c r="O1614" s="1" t="n">
        <v>20</v>
      </c>
      <c r="P1614" s="1" t="n">
        <v>1399.8</v>
      </c>
      <c r="Q1614" s="1" t="n">
        <v>5599.2</v>
      </c>
      <c r="R1614" s="1" t="n">
        <v>1007.86</v>
      </c>
      <c r="S1614" s="1" t="n">
        <v>4591.34</v>
      </c>
      <c r="T1614" s="1" t="n">
        <v>1999.19</v>
      </c>
      <c r="U1614" s="1" t="n">
        <v>2592.15</v>
      </c>
      <c r="V1614" s="1" t="n">
        <v>56.46</v>
      </c>
      <c r="W1614" s="1" t="s">
        <v>39</v>
      </c>
      <c r="X1614" s="1" t="n">
        <v>3.4</v>
      </c>
      <c r="Y1614" s="1" t="s">
        <v>39</v>
      </c>
      <c r="Z1614" s="1" t="n">
        <v>0</v>
      </c>
    </row>
    <row r="1615" customFormat="false" ht="15" hidden="false" customHeight="true" outlineLevel="0" collapsed="false">
      <c r="A1615" s="1" t="s">
        <v>2437</v>
      </c>
      <c r="B1615" s="1" t="s">
        <v>92</v>
      </c>
      <c r="C1615" s="1" t="s">
        <v>119</v>
      </c>
      <c r="D1615" s="1" t="s">
        <v>44</v>
      </c>
      <c r="E1615" s="1" t="s">
        <v>221</v>
      </c>
      <c r="F1615" s="1" t="s">
        <v>67</v>
      </c>
      <c r="G1615" s="1" t="s">
        <v>68</v>
      </c>
      <c r="H1615" s="1" t="s">
        <v>69</v>
      </c>
      <c r="I1615" s="1" t="s">
        <v>34</v>
      </c>
      <c r="J1615" s="1" t="s">
        <v>131</v>
      </c>
      <c r="K1615" s="1" t="s">
        <v>48</v>
      </c>
      <c r="L1615" s="1" t="s">
        <v>136</v>
      </c>
      <c r="M1615" s="1" t="s">
        <v>38</v>
      </c>
      <c r="N1615" s="1" t="n">
        <v>16999</v>
      </c>
      <c r="O1615" s="1" t="n">
        <v>15</v>
      </c>
      <c r="P1615" s="1" t="n">
        <v>2549.85</v>
      </c>
      <c r="Q1615" s="1" t="n">
        <v>14449.15</v>
      </c>
      <c r="R1615" s="1" t="n">
        <v>2600.85</v>
      </c>
      <c r="S1615" s="1" t="n">
        <v>11848.3</v>
      </c>
      <c r="T1615" s="1" t="n">
        <v>4127.97</v>
      </c>
      <c r="U1615" s="1" t="n">
        <v>7720.33</v>
      </c>
      <c r="V1615" s="1" t="n">
        <v>65.16</v>
      </c>
      <c r="W1615" s="1" t="s">
        <v>39</v>
      </c>
      <c r="X1615" s="1" t="n">
        <v>3.4</v>
      </c>
      <c r="Y1615" s="1" t="s">
        <v>40</v>
      </c>
      <c r="Z1615" s="1" t="n">
        <v>0</v>
      </c>
    </row>
    <row r="1616" customFormat="false" ht="15" hidden="false" customHeight="true" outlineLevel="0" collapsed="false">
      <c r="A1616" s="1" t="s">
        <v>2438</v>
      </c>
      <c r="B1616" s="1" t="s">
        <v>296</v>
      </c>
      <c r="C1616" s="1" t="s">
        <v>28</v>
      </c>
      <c r="D1616" s="1" t="s">
        <v>143</v>
      </c>
      <c r="E1616" s="1" t="s">
        <v>162</v>
      </c>
      <c r="F1616" s="1" t="s">
        <v>107</v>
      </c>
      <c r="G1616" s="1" t="s">
        <v>108</v>
      </c>
      <c r="H1616" s="1" t="s">
        <v>33</v>
      </c>
      <c r="I1616" s="1" t="s">
        <v>58</v>
      </c>
      <c r="J1616" s="1" t="s">
        <v>59</v>
      </c>
      <c r="K1616" s="1" t="s">
        <v>104</v>
      </c>
      <c r="L1616" s="1" t="s">
        <v>49</v>
      </c>
      <c r="M1616" s="1" t="s">
        <v>62</v>
      </c>
      <c r="N1616" s="1" t="n">
        <v>14999</v>
      </c>
      <c r="O1616" s="1" t="n">
        <v>30</v>
      </c>
      <c r="P1616" s="1" t="n">
        <v>4499.7</v>
      </c>
      <c r="Q1616" s="1" t="n">
        <v>10499.3</v>
      </c>
      <c r="R1616" s="1" t="n">
        <v>1889.87</v>
      </c>
      <c r="S1616" s="1" t="n">
        <v>8609.43</v>
      </c>
      <c r="T1616" s="1" t="n">
        <v>3963.56</v>
      </c>
      <c r="U1616" s="1" t="n">
        <v>4645.87</v>
      </c>
      <c r="V1616" s="1" t="n">
        <v>53.96</v>
      </c>
      <c r="W1616" s="1" t="s">
        <v>39</v>
      </c>
      <c r="Y1616" s="1" t="s">
        <v>40</v>
      </c>
      <c r="Z1616" s="1" t="n">
        <v>0</v>
      </c>
    </row>
    <row r="1617" customFormat="false" ht="15" hidden="false" customHeight="true" outlineLevel="0" collapsed="false">
      <c r="A1617" s="1" t="s">
        <v>2439</v>
      </c>
      <c r="B1617" s="1" t="s">
        <v>2440</v>
      </c>
      <c r="C1617" s="1" t="s">
        <v>178</v>
      </c>
      <c r="D1617" s="1" t="s">
        <v>143</v>
      </c>
      <c r="E1617" s="1" t="s">
        <v>162</v>
      </c>
      <c r="F1617" s="1" t="s">
        <v>75</v>
      </c>
      <c r="G1617" s="1" t="s">
        <v>76</v>
      </c>
      <c r="H1617" s="1" t="s">
        <v>69</v>
      </c>
      <c r="I1617" s="1" t="s">
        <v>83</v>
      </c>
      <c r="J1617" s="1" t="s">
        <v>131</v>
      </c>
      <c r="K1617" s="1" t="s">
        <v>90</v>
      </c>
      <c r="L1617" s="1" t="s">
        <v>49</v>
      </c>
      <c r="M1617" s="1" t="s">
        <v>38</v>
      </c>
      <c r="N1617" s="1" t="n">
        <v>14999</v>
      </c>
      <c r="O1617" s="1" t="n">
        <v>5</v>
      </c>
      <c r="P1617" s="1" t="n">
        <v>749.95</v>
      </c>
      <c r="Q1617" s="1" t="n">
        <v>14249.05</v>
      </c>
      <c r="R1617" s="1" t="n">
        <v>2564.83</v>
      </c>
      <c r="S1617" s="1" t="n">
        <v>11684.22</v>
      </c>
      <c r="T1617" s="1" t="n">
        <v>4121.55</v>
      </c>
      <c r="U1617" s="1" t="n">
        <v>7562.67</v>
      </c>
      <c r="V1617" s="1" t="n">
        <v>64.73</v>
      </c>
      <c r="W1617" s="1" t="s">
        <v>40</v>
      </c>
      <c r="Y1617" s="1" t="s">
        <v>40</v>
      </c>
      <c r="Z1617" s="1" t="n">
        <v>0</v>
      </c>
    </row>
    <row r="1618" customFormat="false" ht="15" hidden="false" customHeight="true" outlineLevel="0" collapsed="false">
      <c r="A1618" s="1" t="s">
        <v>2441</v>
      </c>
      <c r="B1618" s="1" t="s">
        <v>1721</v>
      </c>
      <c r="C1618" s="1" t="s">
        <v>167</v>
      </c>
      <c r="D1618" s="1" t="s">
        <v>123</v>
      </c>
      <c r="E1618" s="1" t="s">
        <v>147</v>
      </c>
      <c r="F1618" s="1" t="s">
        <v>244</v>
      </c>
      <c r="G1618" s="1" t="s">
        <v>97</v>
      </c>
      <c r="H1618" s="1" t="s">
        <v>57</v>
      </c>
      <c r="I1618" s="1" t="s">
        <v>34</v>
      </c>
      <c r="J1618" s="1" t="s">
        <v>131</v>
      </c>
      <c r="K1618" s="1" t="s">
        <v>48</v>
      </c>
      <c r="L1618" s="1" t="s">
        <v>136</v>
      </c>
      <c r="M1618" s="1" t="s">
        <v>38</v>
      </c>
      <c r="N1618" s="1" t="n">
        <v>6999</v>
      </c>
      <c r="O1618" s="1" t="n">
        <v>50</v>
      </c>
      <c r="P1618" s="1" t="n">
        <v>3499.5</v>
      </c>
      <c r="Q1618" s="1" t="n">
        <v>3499.5</v>
      </c>
      <c r="R1618" s="1" t="n">
        <v>629.91</v>
      </c>
      <c r="S1618" s="1" t="n">
        <v>2869.59</v>
      </c>
      <c r="T1618" s="1" t="n">
        <v>1561.39</v>
      </c>
      <c r="U1618" s="1" t="n">
        <v>1308.2</v>
      </c>
      <c r="V1618" s="1" t="n">
        <v>45.59</v>
      </c>
      <c r="W1618" s="1" t="s">
        <v>40</v>
      </c>
      <c r="Y1618" s="1" t="s">
        <v>40</v>
      </c>
      <c r="Z1618" s="1" t="n">
        <v>2</v>
      </c>
    </row>
    <row r="1619" customFormat="false" ht="15" hidden="false" customHeight="true" outlineLevel="0" collapsed="false">
      <c r="A1619" s="1" t="s">
        <v>2442</v>
      </c>
      <c r="B1619" s="1" t="s">
        <v>913</v>
      </c>
      <c r="C1619" s="1" t="s">
        <v>119</v>
      </c>
      <c r="D1619" s="1" t="s">
        <v>123</v>
      </c>
      <c r="E1619" s="1" t="s">
        <v>147</v>
      </c>
      <c r="F1619" s="1" t="s">
        <v>156</v>
      </c>
      <c r="G1619" s="1" t="s">
        <v>68</v>
      </c>
      <c r="H1619" s="1" t="s">
        <v>57</v>
      </c>
      <c r="I1619" s="1" t="s">
        <v>83</v>
      </c>
      <c r="J1619" s="1" t="s">
        <v>59</v>
      </c>
      <c r="K1619" s="1" t="s">
        <v>84</v>
      </c>
      <c r="L1619" s="1" t="s">
        <v>85</v>
      </c>
      <c r="M1619" s="1" t="s">
        <v>38</v>
      </c>
      <c r="N1619" s="1" t="n">
        <v>6999</v>
      </c>
      <c r="O1619" s="1" t="n">
        <v>0</v>
      </c>
      <c r="P1619" s="1" t="n">
        <v>0</v>
      </c>
      <c r="Q1619" s="1" t="n">
        <v>6999</v>
      </c>
      <c r="R1619" s="1" t="n">
        <v>1259.82</v>
      </c>
      <c r="S1619" s="1" t="n">
        <v>5739.18</v>
      </c>
      <c r="T1619" s="1" t="n">
        <v>2921.88</v>
      </c>
      <c r="U1619" s="1" t="n">
        <v>2817.3</v>
      </c>
      <c r="V1619" s="1" t="n">
        <v>49.09</v>
      </c>
      <c r="W1619" s="1" t="s">
        <v>40</v>
      </c>
      <c r="Y1619" s="1" t="s">
        <v>40</v>
      </c>
      <c r="Z1619" s="1" t="n">
        <v>1</v>
      </c>
    </row>
    <row r="1620" customFormat="false" ht="15" hidden="false" customHeight="true" outlineLevel="0" collapsed="false">
      <c r="A1620" s="1" t="s">
        <v>2443</v>
      </c>
      <c r="B1620" s="1" t="s">
        <v>809</v>
      </c>
      <c r="C1620" s="1" t="s">
        <v>178</v>
      </c>
      <c r="D1620" s="1" t="s">
        <v>94</v>
      </c>
      <c r="E1620" s="1" t="s">
        <v>101</v>
      </c>
      <c r="F1620" s="1" t="s">
        <v>244</v>
      </c>
      <c r="G1620" s="1" t="s">
        <v>97</v>
      </c>
      <c r="H1620" s="1" t="s">
        <v>57</v>
      </c>
      <c r="I1620" s="1" t="s">
        <v>34</v>
      </c>
      <c r="J1620" s="1" t="s">
        <v>131</v>
      </c>
      <c r="K1620" s="1" t="s">
        <v>104</v>
      </c>
      <c r="L1620" s="1" t="s">
        <v>49</v>
      </c>
      <c r="M1620" s="1" t="s">
        <v>50</v>
      </c>
      <c r="N1620" s="1" t="n">
        <v>14999</v>
      </c>
      <c r="O1620" s="1" t="n">
        <v>50</v>
      </c>
      <c r="P1620" s="1" t="n">
        <v>7499.5</v>
      </c>
      <c r="Q1620" s="1" t="n">
        <v>7499.5</v>
      </c>
      <c r="R1620" s="1" t="n">
        <v>1349.91</v>
      </c>
      <c r="S1620" s="1" t="n">
        <v>6149.59</v>
      </c>
      <c r="T1620" s="1" t="n">
        <v>3473.78</v>
      </c>
      <c r="U1620" s="1" t="n">
        <v>2675.81</v>
      </c>
      <c r="V1620" s="1" t="n">
        <v>43.51</v>
      </c>
      <c r="W1620" s="1" t="s">
        <v>39</v>
      </c>
      <c r="X1620" s="1" t="n">
        <v>3.5</v>
      </c>
      <c r="Y1620" s="1" t="s">
        <v>40</v>
      </c>
      <c r="Z1620" s="1" t="n">
        <v>0</v>
      </c>
    </row>
    <row r="1621" customFormat="false" ht="15" hidden="false" customHeight="true" outlineLevel="0" collapsed="false">
      <c r="A1621" s="1" t="s">
        <v>2444</v>
      </c>
      <c r="B1621" s="1" t="s">
        <v>92</v>
      </c>
      <c r="C1621" s="1" t="s">
        <v>264</v>
      </c>
      <c r="D1621" s="1" t="s">
        <v>80</v>
      </c>
      <c r="E1621" s="1" t="s">
        <v>175</v>
      </c>
      <c r="F1621" s="1" t="s">
        <v>184</v>
      </c>
      <c r="G1621" s="1" t="s">
        <v>56</v>
      </c>
      <c r="H1621" s="1" t="s">
        <v>57</v>
      </c>
      <c r="I1621" s="1" t="s">
        <v>83</v>
      </c>
      <c r="J1621" s="1" t="s">
        <v>59</v>
      </c>
      <c r="K1621" s="1" t="s">
        <v>104</v>
      </c>
      <c r="L1621" s="1" t="s">
        <v>136</v>
      </c>
      <c r="M1621" s="1" t="s">
        <v>62</v>
      </c>
      <c r="N1621" s="1" t="n">
        <v>19999</v>
      </c>
      <c r="O1621" s="1" t="n">
        <v>0</v>
      </c>
      <c r="P1621" s="1" t="n">
        <v>0</v>
      </c>
      <c r="Q1621" s="1" t="n">
        <v>19999</v>
      </c>
      <c r="R1621" s="1" t="n">
        <v>3599.82</v>
      </c>
      <c r="S1621" s="1" t="n">
        <v>16399.18</v>
      </c>
      <c r="T1621" s="1" t="n">
        <v>6970.51</v>
      </c>
      <c r="U1621" s="1" t="n">
        <v>9428.67</v>
      </c>
      <c r="V1621" s="1" t="n">
        <v>57.49</v>
      </c>
      <c r="W1621" s="1" t="s">
        <v>39</v>
      </c>
      <c r="X1621" s="1" t="n">
        <v>3.1</v>
      </c>
      <c r="Y1621" s="1" t="s">
        <v>40</v>
      </c>
      <c r="Z1621" s="1" t="n">
        <v>0</v>
      </c>
    </row>
    <row r="1622" customFormat="false" ht="15" hidden="false" customHeight="true" outlineLevel="0" collapsed="false">
      <c r="A1622" s="1" t="s">
        <v>2445</v>
      </c>
      <c r="B1622" s="1" t="s">
        <v>1727</v>
      </c>
      <c r="C1622" s="1" t="s">
        <v>436</v>
      </c>
      <c r="D1622" s="1" t="s">
        <v>53</v>
      </c>
      <c r="E1622" s="1" t="s">
        <v>116</v>
      </c>
      <c r="F1622" s="1" t="s">
        <v>153</v>
      </c>
      <c r="G1622" s="1" t="s">
        <v>76</v>
      </c>
      <c r="H1622" s="1" t="s">
        <v>33</v>
      </c>
      <c r="I1622" s="1" t="s">
        <v>58</v>
      </c>
      <c r="J1622" s="1" t="s">
        <v>35</v>
      </c>
      <c r="K1622" s="1" t="s">
        <v>84</v>
      </c>
      <c r="L1622" s="1" t="s">
        <v>136</v>
      </c>
      <c r="M1622" s="1" t="s">
        <v>38</v>
      </c>
      <c r="N1622" s="1" t="n">
        <v>9999</v>
      </c>
      <c r="O1622" s="1" t="n">
        <v>10</v>
      </c>
      <c r="P1622" s="1" t="n">
        <v>999.9</v>
      </c>
      <c r="Q1622" s="1" t="n">
        <v>8999.1</v>
      </c>
      <c r="R1622" s="1" t="n">
        <v>1619.84</v>
      </c>
      <c r="S1622" s="1" t="n">
        <v>7379.26</v>
      </c>
      <c r="T1622" s="1" t="n">
        <v>3053.61</v>
      </c>
      <c r="U1622" s="1" t="n">
        <v>4325.65</v>
      </c>
      <c r="V1622" s="1" t="n">
        <v>58.62</v>
      </c>
      <c r="W1622" s="1" t="s">
        <v>40</v>
      </c>
      <c r="Y1622" s="1" t="s">
        <v>40</v>
      </c>
      <c r="Z1622" s="1" t="n">
        <v>1</v>
      </c>
    </row>
    <row r="1623" customFormat="false" ht="15" hidden="false" customHeight="true" outlineLevel="0" collapsed="false">
      <c r="A1623" s="1" t="s">
        <v>2446</v>
      </c>
      <c r="B1623" s="1" t="s">
        <v>2422</v>
      </c>
      <c r="C1623" s="1" t="s">
        <v>134</v>
      </c>
      <c r="D1623" s="1" t="s">
        <v>53</v>
      </c>
      <c r="E1623" s="1" t="s">
        <v>216</v>
      </c>
      <c r="F1623" s="1" t="s">
        <v>46</v>
      </c>
      <c r="G1623" s="1" t="s">
        <v>47</v>
      </c>
      <c r="H1623" s="1" t="s">
        <v>33</v>
      </c>
      <c r="I1623" s="1" t="s">
        <v>34</v>
      </c>
      <c r="J1623" s="1" t="s">
        <v>35</v>
      </c>
      <c r="K1623" s="1" t="s">
        <v>112</v>
      </c>
      <c r="L1623" s="1" t="s">
        <v>136</v>
      </c>
      <c r="M1623" s="1" t="s">
        <v>50</v>
      </c>
      <c r="N1623" s="1" t="n">
        <v>7499</v>
      </c>
      <c r="O1623" s="1" t="n">
        <v>25</v>
      </c>
      <c r="P1623" s="1" t="n">
        <v>1874.75</v>
      </c>
      <c r="Q1623" s="1" t="n">
        <v>5624.25</v>
      </c>
      <c r="R1623" s="1" t="n">
        <v>1012.37</v>
      </c>
      <c r="S1623" s="1" t="n">
        <v>4611.88</v>
      </c>
      <c r="T1623" s="1" t="n">
        <v>1830.36</v>
      </c>
      <c r="U1623" s="1" t="n">
        <v>2781.52</v>
      </c>
      <c r="V1623" s="1" t="n">
        <v>60.31</v>
      </c>
      <c r="W1623" s="1" t="s">
        <v>40</v>
      </c>
      <c r="Y1623" s="1" t="s">
        <v>39</v>
      </c>
      <c r="Z1623" s="1" t="n">
        <v>1</v>
      </c>
    </row>
    <row r="1624" customFormat="false" ht="15" hidden="false" customHeight="true" outlineLevel="0" collapsed="false">
      <c r="A1624" s="1" t="s">
        <v>2447</v>
      </c>
      <c r="B1624" s="1" t="s">
        <v>843</v>
      </c>
      <c r="C1624" s="1" t="s">
        <v>28</v>
      </c>
      <c r="D1624" s="1" t="s">
        <v>143</v>
      </c>
      <c r="E1624" s="1" t="s">
        <v>162</v>
      </c>
      <c r="F1624" s="1" t="s">
        <v>335</v>
      </c>
      <c r="G1624" s="1" t="s">
        <v>103</v>
      </c>
      <c r="H1624" s="1" t="s">
        <v>69</v>
      </c>
      <c r="I1624" s="1" t="s">
        <v>34</v>
      </c>
      <c r="J1624" s="1" t="s">
        <v>59</v>
      </c>
      <c r="K1624" s="1" t="s">
        <v>36</v>
      </c>
      <c r="L1624" s="1" t="s">
        <v>37</v>
      </c>
      <c r="M1624" s="1" t="s">
        <v>38</v>
      </c>
      <c r="N1624" s="1" t="n">
        <v>14999</v>
      </c>
      <c r="O1624" s="1" t="n">
        <v>30</v>
      </c>
      <c r="P1624" s="1" t="n">
        <v>4499.7</v>
      </c>
      <c r="Q1624" s="1" t="n">
        <v>10499.3</v>
      </c>
      <c r="R1624" s="1" t="n">
        <v>1889.87</v>
      </c>
      <c r="S1624" s="1" t="n">
        <v>8609.43</v>
      </c>
      <c r="T1624" s="1" t="n">
        <v>3750.01</v>
      </c>
      <c r="U1624" s="1" t="n">
        <v>4859.42</v>
      </c>
      <c r="V1624" s="1" t="n">
        <v>56.44</v>
      </c>
      <c r="W1624" s="1" t="s">
        <v>39</v>
      </c>
      <c r="X1624" s="1" t="n">
        <v>4.1</v>
      </c>
      <c r="Y1624" s="1" t="s">
        <v>40</v>
      </c>
      <c r="Z1624" s="1" t="n">
        <v>0</v>
      </c>
    </row>
    <row r="1625" customFormat="false" ht="15" hidden="false" customHeight="true" outlineLevel="0" collapsed="false">
      <c r="A1625" s="1" t="s">
        <v>2448</v>
      </c>
      <c r="B1625" s="1" t="s">
        <v>2449</v>
      </c>
      <c r="C1625" s="1" t="s">
        <v>128</v>
      </c>
      <c r="D1625" s="1" t="s">
        <v>94</v>
      </c>
      <c r="E1625" s="1" t="s">
        <v>135</v>
      </c>
      <c r="F1625" s="1" t="s">
        <v>205</v>
      </c>
      <c r="G1625" s="1" t="s">
        <v>56</v>
      </c>
      <c r="H1625" s="1" t="s">
        <v>69</v>
      </c>
      <c r="I1625" s="1" t="s">
        <v>34</v>
      </c>
      <c r="J1625" s="1" t="s">
        <v>59</v>
      </c>
      <c r="K1625" s="1" t="s">
        <v>60</v>
      </c>
      <c r="L1625" s="1" t="s">
        <v>85</v>
      </c>
      <c r="M1625" s="1" t="s">
        <v>50</v>
      </c>
      <c r="N1625" s="1" t="n">
        <v>9999</v>
      </c>
      <c r="O1625" s="1" t="n">
        <v>0</v>
      </c>
      <c r="P1625" s="1" t="n">
        <v>0</v>
      </c>
      <c r="Q1625" s="1" t="n">
        <v>9999</v>
      </c>
      <c r="R1625" s="1" t="n">
        <v>1799.82</v>
      </c>
      <c r="S1625" s="1" t="n">
        <v>8199.18</v>
      </c>
      <c r="T1625" s="1" t="n">
        <v>2939.85</v>
      </c>
      <c r="U1625" s="1" t="n">
        <v>5259.33</v>
      </c>
      <c r="V1625" s="1" t="n">
        <v>64.14</v>
      </c>
      <c r="W1625" s="1" t="s">
        <v>39</v>
      </c>
      <c r="Y1625" s="1" t="s">
        <v>40</v>
      </c>
      <c r="Z1625" s="1" t="n">
        <v>0</v>
      </c>
    </row>
    <row r="1626" customFormat="false" ht="15" hidden="false" customHeight="true" outlineLevel="0" collapsed="false">
      <c r="A1626" s="1" t="s">
        <v>2450</v>
      </c>
      <c r="B1626" s="1" t="s">
        <v>947</v>
      </c>
      <c r="C1626" s="1" t="s">
        <v>100</v>
      </c>
      <c r="D1626" s="1" t="s">
        <v>53</v>
      </c>
      <c r="E1626" s="1" t="s">
        <v>216</v>
      </c>
      <c r="F1626" s="1" t="s">
        <v>153</v>
      </c>
      <c r="G1626" s="1" t="s">
        <v>76</v>
      </c>
      <c r="H1626" s="1" t="s">
        <v>33</v>
      </c>
      <c r="I1626" s="1" t="s">
        <v>58</v>
      </c>
      <c r="J1626" s="1" t="s">
        <v>59</v>
      </c>
      <c r="K1626" s="1" t="s">
        <v>71</v>
      </c>
      <c r="L1626" s="1" t="s">
        <v>61</v>
      </c>
      <c r="M1626" s="1" t="s">
        <v>62</v>
      </c>
      <c r="N1626" s="1" t="n">
        <v>7499</v>
      </c>
      <c r="O1626" s="1" t="n">
        <v>25</v>
      </c>
      <c r="P1626" s="1" t="n">
        <v>1874.75</v>
      </c>
      <c r="Q1626" s="1" t="n">
        <v>5624.25</v>
      </c>
      <c r="R1626" s="1" t="n">
        <v>1012.37</v>
      </c>
      <c r="S1626" s="1" t="n">
        <v>4611.88</v>
      </c>
      <c r="T1626" s="1" t="n">
        <v>1791.12</v>
      </c>
      <c r="U1626" s="1" t="n">
        <v>2820.76</v>
      </c>
      <c r="V1626" s="1" t="n">
        <v>61.16</v>
      </c>
      <c r="W1626" s="1" t="s">
        <v>40</v>
      </c>
      <c r="Y1626" s="1" t="s">
        <v>40</v>
      </c>
      <c r="Z1626" s="1" t="n">
        <v>1</v>
      </c>
    </row>
    <row r="1627" customFormat="false" ht="15" hidden="false" customHeight="true" outlineLevel="0" collapsed="false">
      <c r="A1627" s="1" t="s">
        <v>2451</v>
      </c>
      <c r="B1627" s="1" t="s">
        <v>462</v>
      </c>
      <c r="C1627" s="1" t="s">
        <v>74</v>
      </c>
      <c r="D1627" s="1" t="s">
        <v>53</v>
      </c>
      <c r="E1627" s="1" t="s">
        <v>54</v>
      </c>
      <c r="F1627" s="1" t="s">
        <v>89</v>
      </c>
      <c r="G1627" s="1" t="s">
        <v>68</v>
      </c>
      <c r="H1627" s="1" t="s">
        <v>33</v>
      </c>
      <c r="I1627" s="1" t="s">
        <v>83</v>
      </c>
      <c r="J1627" s="1" t="s">
        <v>77</v>
      </c>
      <c r="K1627" s="1" t="s">
        <v>84</v>
      </c>
      <c r="L1627" s="1" t="s">
        <v>113</v>
      </c>
      <c r="M1627" s="1" t="s">
        <v>62</v>
      </c>
      <c r="N1627" s="1" t="n">
        <v>11999</v>
      </c>
      <c r="O1627" s="1" t="n">
        <v>0</v>
      </c>
      <c r="P1627" s="1" t="n">
        <v>0</v>
      </c>
      <c r="Q1627" s="1" t="n">
        <v>11999</v>
      </c>
      <c r="R1627" s="1" t="n">
        <v>2159.82</v>
      </c>
      <c r="S1627" s="1" t="n">
        <v>9839.18</v>
      </c>
      <c r="T1627" s="1" t="n">
        <v>3717.46</v>
      </c>
      <c r="U1627" s="1" t="n">
        <v>6121.72</v>
      </c>
      <c r="V1627" s="1" t="n">
        <v>62.22</v>
      </c>
      <c r="W1627" s="1" t="s">
        <v>39</v>
      </c>
      <c r="X1627" s="1" t="n">
        <v>3.9</v>
      </c>
      <c r="Y1627" s="1" t="s">
        <v>40</v>
      </c>
      <c r="Z1627" s="1" t="n">
        <v>0</v>
      </c>
    </row>
    <row r="1628" customFormat="false" ht="15" hidden="false" customHeight="true" outlineLevel="0" collapsed="false">
      <c r="A1628" s="1" t="s">
        <v>2452</v>
      </c>
      <c r="B1628" s="1" t="s">
        <v>553</v>
      </c>
      <c r="C1628" s="1" t="s">
        <v>167</v>
      </c>
      <c r="D1628" s="1" t="s">
        <v>123</v>
      </c>
      <c r="E1628" s="1" t="s">
        <v>124</v>
      </c>
      <c r="F1628" s="1" t="s">
        <v>120</v>
      </c>
      <c r="G1628" s="1" t="s">
        <v>47</v>
      </c>
      <c r="H1628" s="1" t="s">
        <v>57</v>
      </c>
      <c r="I1628" s="1" t="s">
        <v>58</v>
      </c>
      <c r="J1628" s="1" t="s">
        <v>59</v>
      </c>
      <c r="K1628" s="1" t="s">
        <v>84</v>
      </c>
      <c r="L1628" s="1" t="s">
        <v>49</v>
      </c>
      <c r="M1628" s="1" t="s">
        <v>62</v>
      </c>
      <c r="N1628" s="1" t="n">
        <v>4999</v>
      </c>
      <c r="O1628" s="1" t="n">
        <v>15</v>
      </c>
      <c r="P1628" s="1" t="n">
        <v>749.85</v>
      </c>
      <c r="Q1628" s="1" t="n">
        <v>4249.15</v>
      </c>
      <c r="R1628" s="1" t="n">
        <v>764.85</v>
      </c>
      <c r="S1628" s="1" t="n">
        <v>3484.3</v>
      </c>
      <c r="T1628" s="1" t="n">
        <v>1350.27</v>
      </c>
      <c r="U1628" s="1" t="n">
        <v>2134.03</v>
      </c>
      <c r="V1628" s="1" t="n">
        <v>61.25</v>
      </c>
      <c r="W1628" s="1" t="s">
        <v>40</v>
      </c>
      <c r="Y1628" s="1" t="s">
        <v>39</v>
      </c>
      <c r="Z1628" s="1" t="n">
        <v>1</v>
      </c>
    </row>
    <row r="1629" customFormat="false" ht="15" hidden="false" customHeight="true" outlineLevel="0" collapsed="false">
      <c r="A1629" s="1" t="s">
        <v>2453</v>
      </c>
      <c r="B1629" s="1" t="s">
        <v>692</v>
      </c>
      <c r="C1629" s="1" t="s">
        <v>93</v>
      </c>
      <c r="D1629" s="1" t="s">
        <v>53</v>
      </c>
      <c r="E1629" s="1" t="s">
        <v>116</v>
      </c>
      <c r="F1629" s="1" t="s">
        <v>102</v>
      </c>
      <c r="G1629" s="1" t="s">
        <v>103</v>
      </c>
      <c r="H1629" s="1" t="s">
        <v>33</v>
      </c>
      <c r="I1629" s="1" t="s">
        <v>83</v>
      </c>
      <c r="J1629" s="1" t="s">
        <v>77</v>
      </c>
      <c r="K1629" s="1" t="s">
        <v>48</v>
      </c>
      <c r="L1629" s="1" t="s">
        <v>49</v>
      </c>
      <c r="M1629" s="1" t="s">
        <v>38</v>
      </c>
      <c r="N1629" s="1" t="n">
        <v>9999</v>
      </c>
      <c r="O1629" s="1" t="n">
        <v>30</v>
      </c>
      <c r="P1629" s="1" t="n">
        <v>2999.7</v>
      </c>
      <c r="Q1629" s="1" t="n">
        <v>6999.3</v>
      </c>
      <c r="R1629" s="1" t="n">
        <v>1259.87</v>
      </c>
      <c r="S1629" s="1" t="n">
        <v>5739.43</v>
      </c>
      <c r="T1629" s="1" t="n">
        <v>2503.53</v>
      </c>
      <c r="U1629" s="1" t="n">
        <v>3235.9</v>
      </c>
      <c r="V1629" s="1" t="n">
        <v>56.38</v>
      </c>
      <c r="W1629" s="1" t="s">
        <v>39</v>
      </c>
      <c r="X1629" s="1" t="n">
        <v>3.2</v>
      </c>
      <c r="Y1629" s="1" t="s">
        <v>40</v>
      </c>
      <c r="Z1629" s="1" t="n">
        <v>0</v>
      </c>
    </row>
    <row r="1630" customFormat="false" ht="15" hidden="false" customHeight="true" outlineLevel="0" collapsed="false">
      <c r="A1630" s="1" t="s">
        <v>2454</v>
      </c>
      <c r="B1630" s="1" t="s">
        <v>735</v>
      </c>
      <c r="C1630" s="1" t="s">
        <v>100</v>
      </c>
      <c r="D1630" s="1" t="s">
        <v>29</v>
      </c>
      <c r="E1630" s="1" t="s">
        <v>129</v>
      </c>
      <c r="F1630" s="1" t="s">
        <v>150</v>
      </c>
      <c r="G1630" s="1" t="s">
        <v>32</v>
      </c>
      <c r="H1630" s="1" t="s">
        <v>57</v>
      </c>
      <c r="I1630" s="1" t="s">
        <v>58</v>
      </c>
      <c r="J1630" s="1" t="s">
        <v>59</v>
      </c>
      <c r="K1630" s="1" t="s">
        <v>36</v>
      </c>
      <c r="L1630" s="1" t="s">
        <v>113</v>
      </c>
      <c r="M1630" s="1" t="s">
        <v>62</v>
      </c>
      <c r="N1630" s="1" t="n">
        <v>29999</v>
      </c>
      <c r="O1630" s="1" t="n">
        <v>10</v>
      </c>
      <c r="P1630" s="1" t="n">
        <v>2999.9</v>
      </c>
      <c r="Q1630" s="1" t="n">
        <v>26999.1</v>
      </c>
      <c r="R1630" s="1" t="n">
        <v>4859.84</v>
      </c>
      <c r="S1630" s="1" t="n">
        <v>22139.26</v>
      </c>
      <c r="T1630" s="1" t="n">
        <v>8637.66</v>
      </c>
      <c r="U1630" s="1" t="n">
        <v>13501.6</v>
      </c>
      <c r="V1630" s="1" t="n">
        <v>60.98</v>
      </c>
      <c r="W1630" s="1" t="s">
        <v>39</v>
      </c>
      <c r="X1630" s="1" t="n">
        <v>3.8</v>
      </c>
      <c r="Y1630" s="1" t="s">
        <v>40</v>
      </c>
      <c r="Z1630" s="1" t="n">
        <v>1</v>
      </c>
    </row>
    <row r="1631" customFormat="false" ht="15" hidden="false" customHeight="true" outlineLevel="0" collapsed="false">
      <c r="A1631" s="1" t="s">
        <v>2455</v>
      </c>
      <c r="B1631" s="1" t="s">
        <v>1064</v>
      </c>
      <c r="C1631" s="1" t="s">
        <v>100</v>
      </c>
      <c r="D1631" s="1" t="s">
        <v>123</v>
      </c>
      <c r="E1631" s="1" t="s">
        <v>233</v>
      </c>
      <c r="F1631" s="1" t="s">
        <v>125</v>
      </c>
      <c r="G1631" s="1" t="s">
        <v>108</v>
      </c>
      <c r="H1631" s="1" t="s">
        <v>69</v>
      </c>
      <c r="I1631" s="1" t="s">
        <v>83</v>
      </c>
      <c r="J1631" s="1" t="s">
        <v>70</v>
      </c>
      <c r="K1631" s="1" t="s">
        <v>71</v>
      </c>
      <c r="L1631" s="1" t="s">
        <v>136</v>
      </c>
      <c r="M1631" s="1" t="s">
        <v>50</v>
      </c>
      <c r="N1631" s="1" t="n">
        <v>8999</v>
      </c>
      <c r="O1631" s="1" t="n">
        <v>0</v>
      </c>
      <c r="P1631" s="1" t="n">
        <v>0</v>
      </c>
      <c r="Q1631" s="1" t="n">
        <v>8999</v>
      </c>
      <c r="R1631" s="1" t="n">
        <v>1619.82</v>
      </c>
      <c r="S1631" s="1" t="n">
        <v>7379.18</v>
      </c>
      <c r="T1631" s="1" t="n">
        <v>2860.21</v>
      </c>
      <c r="U1631" s="1" t="n">
        <v>4518.97</v>
      </c>
      <c r="V1631" s="1" t="n">
        <v>61.24</v>
      </c>
      <c r="W1631" s="1" t="s">
        <v>39</v>
      </c>
      <c r="Y1631" s="1" t="s">
        <v>40</v>
      </c>
      <c r="Z1631" s="1" t="n">
        <v>0</v>
      </c>
    </row>
    <row r="1632" customFormat="false" ht="15" hidden="false" customHeight="true" outlineLevel="0" collapsed="false">
      <c r="A1632" s="1" t="s">
        <v>2456</v>
      </c>
      <c r="B1632" s="1" t="s">
        <v>849</v>
      </c>
      <c r="C1632" s="1" t="s">
        <v>93</v>
      </c>
      <c r="D1632" s="1" t="s">
        <v>80</v>
      </c>
      <c r="E1632" s="1" t="s">
        <v>190</v>
      </c>
      <c r="F1632" s="1" t="s">
        <v>184</v>
      </c>
      <c r="G1632" s="1" t="s">
        <v>56</v>
      </c>
      <c r="H1632" s="1" t="s">
        <v>57</v>
      </c>
      <c r="I1632" s="1" t="s">
        <v>58</v>
      </c>
      <c r="J1632" s="1" t="s">
        <v>131</v>
      </c>
      <c r="K1632" s="1" t="s">
        <v>112</v>
      </c>
      <c r="L1632" s="1" t="s">
        <v>113</v>
      </c>
      <c r="M1632" s="1" t="s">
        <v>62</v>
      </c>
      <c r="N1632" s="1" t="n">
        <v>15999</v>
      </c>
      <c r="O1632" s="1" t="n">
        <v>25</v>
      </c>
      <c r="P1632" s="1" t="n">
        <v>3999.75</v>
      </c>
      <c r="Q1632" s="1" t="n">
        <v>11999.25</v>
      </c>
      <c r="R1632" s="1" t="n">
        <v>2159.86</v>
      </c>
      <c r="S1632" s="1" t="n">
        <v>9839.39</v>
      </c>
      <c r="T1632" s="1" t="n">
        <v>4755.32</v>
      </c>
      <c r="U1632" s="1" t="n">
        <v>5084.07</v>
      </c>
      <c r="V1632" s="1" t="n">
        <v>51.67</v>
      </c>
      <c r="W1632" s="1" t="s">
        <v>39</v>
      </c>
      <c r="X1632" s="1" t="n">
        <v>4.4</v>
      </c>
      <c r="Y1632" s="1" t="s">
        <v>40</v>
      </c>
      <c r="Z1632" s="1" t="n">
        <v>1</v>
      </c>
    </row>
    <row r="1633" customFormat="false" ht="15" hidden="false" customHeight="true" outlineLevel="0" collapsed="false">
      <c r="A1633" s="1" t="s">
        <v>2457</v>
      </c>
      <c r="B1633" s="1" t="s">
        <v>253</v>
      </c>
      <c r="C1633" s="1" t="s">
        <v>100</v>
      </c>
      <c r="D1633" s="1" t="s">
        <v>94</v>
      </c>
      <c r="E1633" s="1" t="s">
        <v>101</v>
      </c>
      <c r="F1633" s="1" t="s">
        <v>130</v>
      </c>
      <c r="G1633" s="1" t="s">
        <v>47</v>
      </c>
      <c r="H1633" s="1" t="s">
        <v>69</v>
      </c>
      <c r="I1633" s="1" t="s">
        <v>83</v>
      </c>
      <c r="J1633" s="1" t="s">
        <v>70</v>
      </c>
      <c r="K1633" s="1" t="s">
        <v>90</v>
      </c>
      <c r="L1633" s="1" t="s">
        <v>37</v>
      </c>
      <c r="M1633" s="1" t="s">
        <v>62</v>
      </c>
      <c r="N1633" s="1" t="n">
        <v>14999</v>
      </c>
      <c r="O1633" s="1" t="n">
        <v>50</v>
      </c>
      <c r="P1633" s="1" t="n">
        <v>7499.5</v>
      </c>
      <c r="Q1633" s="1" t="n">
        <v>7499.5</v>
      </c>
      <c r="R1633" s="1" t="n">
        <v>1349.91</v>
      </c>
      <c r="S1633" s="1" t="n">
        <v>6149.59</v>
      </c>
      <c r="T1633" s="1" t="n">
        <v>3329.05</v>
      </c>
      <c r="U1633" s="1" t="n">
        <v>2820.54</v>
      </c>
      <c r="V1633" s="1" t="n">
        <v>45.87</v>
      </c>
      <c r="W1633" s="1" t="s">
        <v>39</v>
      </c>
      <c r="Y1633" s="1" t="s">
        <v>40</v>
      </c>
      <c r="Z1633" s="1" t="n">
        <v>0</v>
      </c>
    </row>
    <row r="1634" customFormat="false" ht="15" hidden="false" customHeight="true" outlineLevel="0" collapsed="false">
      <c r="A1634" s="1" t="s">
        <v>2458</v>
      </c>
      <c r="B1634" s="1" t="s">
        <v>601</v>
      </c>
      <c r="C1634" s="1" t="s">
        <v>178</v>
      </c>
      <c r="D1634" s="1" t="s">
        <v>143</v>
      </c>
      <c r="E1634" s="1" t="s">
        <v>159</v>
      </c>
      <c r="F1634" s="1" t="s">
        <v>153</v>
      </c>
      <c r="G1634" s="1" t="s">
        <v>76</v>
      </c>
      <c r="H1634" s="1" t="s">
        <v>33</v>
      </c>
      <c r="I1634" s="1" t="s">
        <v>58</v>
      </c>
      <c r="J1634" s="1" t="s">
        <v>35</v>
      </c>
      <c r="K1634" s="1" t="s">
        <v>84</v>
      </c>
      <c r="L1634" s="1" t="s">
        <v>37</v>
      </c>
      <c r="M1634" s="1" t="s">
        <v>38</v>
      </c>
      <c r="N1634" s="1" t="n">
        <v>24999</v>
      </c>
      <c r="O1634" s="1" t="n">
        <v>30</v>
      </c>
      <c r="P1634" s="1" t="n">
        <v>7499.7</v>
      </c>
      <c r="Q1634" s="1" t="n">
        <v>17499.3</v>
      </c>
      <c r="R1634" s="1" t="n">
        <v>3149.87</v>
      </c>
      <c r="S1634" s="1" t="n">
        <v>14349.43</v>
      </c>
      <c r="T1634" s="1" t="n">
        <v>6578.99</v>
      </c>
      <c r="U1634" s="1" t="n">
        <v>7770.44</v>
      </c>
      <c r="V1634" s="1" t="n">
        <v>54.15</v>
      </c>
      <c r="W1634" s="1" t="s">
        <v>40</v>
      </c>
      <c r="Y1634" s="1" t="s">
        <v>40</v>
      </c>
      <c r="Z1634" s="1" t="n">
        <v>1</v>
      </c>
    </row>
    <row r="1635" customFormat="false" ht="15" hidden="false" customHeight="true" outlineLevel="0" collapsed="false">
      <c r="A1635" s="1" t="s">
        <v>2459</v>
      </c>
      <c r="B1635" s="1" t="s">
        <v>2460</v>
      </c>
      <c r="C1635" s="1" t="s">
        <v>139</v>
      </c>
      <c r="D1635" s="1" t="s">
        <v>143</v>
      </c>
      <c r="E1635" s="1" t="s">
        <v>210</v>
      </c>
      <c r="F1635" s="1" t="s">
        <v>96</v>
      </c>
      <c r="G1635" s="1" t="s">
        <v>97</v>
      </c>
      <c r="H1635" s="1" t="s">
        <v>69</v>
      </c>
      <c r="I1635" s="1" t="s">
        <v>58</v>
      </c>
      <c r="J1635" s="1" t="s">
        <v>59</v>
      </c>
      <c r="K1635" s="1" t="s">
        <v>71</v>
      </c>
      <c r="L1635" s="1" t="s">
        <v>49</v>
      </c>
      <c r="M1635" s="1" t="s">
        <v>38</v>
      </c>
      <c r="N1635" s="1" t="n">
        <v>18999</v>
      </c>
      <c r="O1635" s="1" t="n">
        <v>30</v>
      </c>
      <c r="P1635" s="1" t="n">
        <v>5699.7</v>
      </c>
      <c r="Q1635" s="1" t="n">
        <v>13299.3</v>
      </c>
      <c r="R1635" s="1" t="n">
        <v>2393.87</v>
      </c>
      <c r="S1635" s="1" t="n">
        <v>10905.43</v>
      </c>
      <c r="T1635" s="1" t="n">
        <v>5823.78</v>
      </c>
      <c r="U1635" s="1" t="n">
        <v>5081.65</v>
      </c>
      <c r="V1635" s="1" t="n">
        <v>46.6</v>
      </c>
      <c r="W1635" s="1" t="s">
        <v>40</v>
      </c>
      <c r="Y1635" s="1" t="s">
        <v>40</v>
      </c>
      <c r="Z1635" s="1" t="n">
        <v>1</v>
      </c>
    </row>
    <row r="1636" customFormat="false" ht="15" hidden="false" customHeight="true" outlineLevel="0" collapsed="false">
      <c r="A1636" s="1" t="s">
        <v>2461</v>
      </c>
      <c r="B1636" s="1" t="s">
        <v>2449</v>
      </c>
      <c r="C1636" s="1" t="s">
        <v>128</v>
      </c>
      <c r="D1636" s="1" t="s">
        <v>168</v>
      </c>
      <c r="E1636" s="1" t="s">
        <v>328</v>
      </c>
      <c r="F1636" s="1" t="s">
        <v>89</v>
      </c>
      <c r="G1636" s="1" t="s">
        <v>68</v>
      </c>
      <c r="H1636" s="1" t="s">
        <v>33</v>
      </c>
      <c r="I1636" s="1" t="s">
        <v>58</v>
      </c>
      <c r="J1636" s="1" t="s">
        <v>77</v>
      </c>
      <c r="K1636" s="1" t="s">
        <v>84</v>
      </c>
      <c r="L1636" s="1" t="s">
        <v>113</v>
      </c>
      <c r="M1636" s="1" t="s">
        <v>38</v>
      </c>
      <c r="N1636" s="1" t="n">
        <v>8999</v>
      </c>
      <c r="O1636" s="1" t="n">
        <v>30</v>
      </c>
      <c r="P1636" s="1" t="n">
        <v>2699.7</v>
      </c>
      <c r="Q1636" s="1" t="n">
        <v>6299.3</v>
      </c>
      <c r="R1636" s="1" t="n">
        <v>1133.87</v>
      </c>
      <c r="S1636" s="1" t="n">
        <v>5165.43</v>
      </c>
      <c r="T1636" s="1" t="n">
        <v>2471.96</v>
      </c>
      <c r="U1636" s="1" t="n">
        <v>2693.47</v>
      </c>
      <c r="V1636" s="1" t="n">
        <v>52.14</v>
      </c>
      <c r="W1636" s="1" t="s">
        <v>40</v>
      </c>
      <c r="Y1636" s="1" t="s">
        <v>40</v>
      </c>
      <c r="Z1636" s="1" t="n">
        <v>0</v>
      </c>
    </row>
    <row r="1637" customFormat="false" ht="15" hidden="false" customHeight="true" outlineLevel="0" collapsed="false">
      <c r="A1637" s="1" t="s">
        <v>2462</v>
      </c>
      <c r="B1637" s="1" t="s">
        <v>1899</v>
      </c>
      <c r="C1637" s="1" t="s">
        <v>93</v>
      </c>
      <c r="D1637" s="1" t="s">
        <v>80</v>
      </c>
      <c r="E1637" s="1" t="s">
        <v>175</v>
      </c>
      <c r="F1637" s="1" t="s">
        <v>96</v>
      </c>
      <c r="G1637" s="1" t="s">
        <v>97</v>
      </c>
      <c r="H1637" s="1" t="s">
        <v>69</v>
      </c>
      <c r="I1637" s="1" t="s">
        <v>34</v>
      </c>
      <c r="J1637" s="1" t="s">
        <v>59</v>
      </c>
      <c r="K1637" s="1" t="s">
        <v>84</v>
      </c>
      <c r="L1637" s="1" t="s">
        <v>85</v>
      </c>
      <c r="M1637" s="1" t="s">
        <v>50</v>
      </c>
      <c r="N1637" s="1" t="n">
        <v>19999</v>
      </c>
      <c r="O1637" s="1" t="n">
        <v>15</v>
      </c>
      <c r="P1637" s="1" t="n">
        <v>2999.85</v>
      </c>
      <c r="Q1637" s="1" t="n">
        <v>16999.15</v>
      </c>
      <c r="R1637" s="1" t="n">
        <v>3059.85</v>
      </c>
      <c r="S1637" s="1" t="n">
        <v>13939.3</v>
      </c>
      <c r="T1637" s="1" t="n">
        <v>4595.13</v>
      </c>
      <c r="U1637" s="1" t="n">
        <v>9344.17</v>
      </c>
      <c r="V1637" s="1" t="n">
        <v>67.03</v>
      </c>
      <c r="W1637" s="1" t="s">
        <v>39</v>
      </c>
      <c r="X1637" s="1" t="n">
        <v>3.4</v>
      </c>
      <c r="Y1637" s="1" t="s">
        <v>40</v>
      </c>
      <c r="Z1637" s="1" t="n">
        <v>0</v>
      </c>
    </row>
    <row r="1638" customFormat="false" ht="15" hidden="false" customHeight="true" outlineLevel="0" collapsed="false">
      <c r="A1638" s="1" t="s">
        <v>2463</v>
      </c>
      <c r="B1638" s="1" t="s">
        <v>839</v>
      </c>
      <c r="C1638" s="1" t="s">
        <v>167</v>
      </c>
      <c r="D1638" s="1" t="s">
        <v>168</v>
      </c>
      <c r="E1638" s="1" t="s">
        <v>328</v>
      </c>
      <c r="F1638" s="1" t="s">
        <v>96</v>
      </c>
      <c r="G1638" s="1" t="s">
        <v>97</v>
      </c>
      <c r="H1638" s="1" t="s">
        <v>69</v>
      </c>
      <c r="I1638" s="1" t="s">
        <v>83</v>
      </c>
      <c r="J1638" s="1" t="s">
        <v>131</v>
      </c>
      <c r="K1638" s="1" t="s">
        <v>48</v>
      </c>
      <c r="L1638" s="1" t="s">
        <v>61</v>
      </c>
      <c r="M1638" s="1" t="s">
        <v>38</v>
      </c>
      <c r="N1638" s="1" t="n">
        <v>8999</v>
      </c>
      <c r="O1638" s="1" t="n">
        <v>20</v>
      </c>
      <c r="P1638" s="1" t="n">
        <v>1799.8</v>
      </c>
      <c r="Q1638" s="1" t="n">
        <v>7199.2</v>
      </c>
      <c r="R1638" s="1" t="n">
        <v>1295.86</v>
      </c>
      <c r="S1638" s="1" t="n">
        <v>5903.34</v>
      </c>
      <c r="T1638" s="1" t="n">
        <v>1998.97</v>
      </c>
      <c r="U1638" s="1" t="n">
        <v>3904.37</v>
      </c>
      <c r="V1638" s="1" t="n">
        <v>66.14</v>
      </c>
      <c r="W1638" s="1" t="s">
        <v>40</v>
      </c>
      <c r="Y1638" s="1" t="s">
        <v>40</v>
      </c>
      <c r="Z1638" s="1" t="n">
        <v>2</v>
      </c>
    </row>
    <row r="1639" customFormat="false" ht="15" hidden="false" customHeight="true" outlineLevel="0" collapsed="false">
      <c r="A1639" s="1" t="s">
        <v>2464</v>
      </c>
      <c r="B1639" s="1" t="s">
        <v>406</v>
      </c>
      <c r="C1639" s="1" t="s">
        <v>139</v>
      </c>
      <c r="D1639" s="1" t="s">
        <v>168</v>
      </c>
      <c r="E1639" s="1" t="s">
        <v>169</v>
      </c>
      <c r="F1639" s="1" t="s">
        <v>184</v>
      </c>
      <c r="G1639" s="1" t="s">
        <v>56</v>
      </c>
      <c r="H1639" s="1" t="s">
        <v>57</v>
      </c>
      <c r="I1639" s="1" t="s">
        <v>83</v>
      </c>
      <c r="J1639" s="1" t="s">
        <v>77</v>
      </c>
      <c r="K1639" s="1" t="s">
        <v>90</v>
      </c>
      <c r="L1639" s="1" t="s">
        <v>49</v>
      </c>
      <c r="M1639" s="1" t="s">
        <v>62</v>
      </c>
      <c r="N1639" s="1" t="n">
        <v>4999</v>
      </c>
      <c r="O1639" s="1" t="n">
        <v>0</v>
      </c>
      <c r="P1639" s="1" t="n">
        <v>0</v>
      </c>
      <c r="Q1639" s="1" t="n">
        <v>4999</v>
      </c>
      <c r="R1639" s="1" t="n">
        <v>899.82</v>
      </c>
      <c r="S1639" s="1" t="n">
        <v>4099.18</v>
      </c>
      <c r="T1639" s="1" t="n">
        <v>1620.75</v>
      </c>
      <c r="U1639" s="1" t="n">
        <v>2478.43</v>
      </c>
      <c r="V1639" s="1" t="n">
        <v>60.46</v>
      </c>
      <c r="W1639" s="1" t="s">
        <v>40</v>
      </c>
      <c r="Y1639" s="1" t="s">
        <v>40</v>
      </c>
      <c r="Z1639" s="1" t="n">
        <v>3</v>
      </c>
    </row>
    <row r="1640" customFormat="false" ht="15" hidden="false" customHeight="true" outlineLevel="0" collapsed="false">
      <c r="A1640" s="1" t="s">
        <v>2465</v>
      </c>
      <c r="B1640" s="1" t="s">
        <v>776</v>
      </c>
      <c r="C1640" s="1" t="s">
        <v>28</v>
      </c>
      <c r="D1640" s="1" t="s">
        <v>29</v>
      </c>
      <c r="E1640" s="1" t="s">
        <v>182</v>
      </c>
      <c r="F1640" s="1" t="s">
        <v>244</v>
      </c>
      <c r="G1640" s="1" t="s">
        <v>97</v>
      </c>
      <c r="H1640" s="1" t="s">
        <v>57</v>
      </c>
      <c r="I1640" s="1" t="s">
        <v>83</v>
      </c>
      <c r="J1640" s="1" t="s">
        <v>35</v>
      </c>
      <c r="K1640" s="1" t="s">
        <v>90</v>
      </c>
      <c r="L1640" s="1" t="s">
        <v>49</v>
      </c>
      <c r="M1640" s="1" t="s">
        <v>50</v>
      </c>
      <c r="N1640" s="1" t="n">
        <v>34999</v>
      </c>
      <c r="O1640" s="1" t="n">
        <v>30</v>
      </c>
      <c r="P1640" s="1" t="n">
        <v>10499.7</v>
      </c>
      <c r="Q1640" s="1" t="n">
        <v>24499.3</v>
      </c>
      <c r="R1640" s="1" t="n">
        <v>4409.87</v>
      </c>
      <c r="S1640" s="1" t="n">
        <v>20089.43</v>
      </c>
      <c r="T1640" s="1" t="n">
        <v>6830.13</v>
      </c>
      <c r="U1640" s="1" t="n">
        <v>13259.3</v>
      </c>
      <c r="V1640" s="1" t="n">
        <v>66</v>
      </c>
      <c r="W1640" s="1" t="s">
        <v>39</v>
      </c>
      <c r="Y1640" s="1" t="s">
        <v>40</v>
      </c>
      <c r="Z1640" s="1" t="n">
        <v>0</v>
      </c>
    </row>
    <row r="1641" customFormat="false" ht="15" hidden="false" customHeight="true" outlineLevel="0" collapsed="false">
      <c r="A1641" s="1" t="s">
        <v>2466</v>
      </c>
      <c r="B1641" s="1" t="s">
        <v>1042</v>
      </c>
      <c r="C1641" s="1" t="s">
        <v>249</v>
      </c>
      <c r="D1641" s="1" t="s">
        <v>53</v>
      </c>
      <c r="E1641" s="1" t="s">
        <v>54</v>
      </c>
      <c r="F1641" s="1" t="s">
        <v>125</v>
      </c>
      <c r="G1641" s="1" t="s">
        <v>108</v>
      </c>
      <c r="H1641" s="1" t="s">
        <v>69</v>
      </c>
      <c r="I1641" s="1" t="s">
        <v>58</v>
      </c>
      <c r="J1641" s="1" t="s">
        <v>59</v>
      </c>
      <c r="K1641" s="1" t="s">
        <v>104</v>
      </c>
      <c r="L1641" s="1" t="s">
        <v>61</v>
      </c>
      <c r="M1641" s="1" t="s">
        <v>62</v>
      </c>
      <c r="N1641" s="1" t="n">
        <v>11999</v>
      </c>
      <c r="O1641" s="1" t="n">
        <v>0</v>
      </c>
      <c r="P1641" s="1" t="n">
        <v>0</v>
      </c>
      <c r="Q1641" s="1" t="n">
        <v>11999</v>
      </c>
      <c r="R1641" s="1" t="n">
        <v>2159.82</v>
      </c>
      <c r="S1641" s="1" t="n">
        <v>9839.18</v>
      </c>
      <c r="T1641" s="1" t="n">
        <v>4712.04</v>
      </c>
      <c r="U1641" s="1" t="n">
        <v>5127.14</v>
      </c>
      <c r="V1641" s="1" t="n">
        <v>52.11</v>
      </c>
      <c r="W1641" s="1" t="s">
        <v>39</v>
      </c>
      <c r="X1641" s="1" t="n">
        <v>3.1</v>
      </c>
      <c r="Y1641" s="1" t="s">
        <v>40</v>
      </c>
      <c r="Z1641" s="1" t="n">
        <v>1</v>
      </c>
    </row>
    <row r="1642" customFormat="false" ht="15" hidden="false" customHeight="true" outlineLevel="0" collapsed="false">
      <c r="A1642" s="1" t="s">
        <v>2467</v>
      </c>
      <c r="B1642" s="1" t="s">
        <v>1002</v>
      </c>
      <c r="C1642" s="1" t="s">
        <v>264</v>
      </c>
      <c r="D1642" s="1" t="s">
        <v>94</v>
      </c>
      <c r="E1642" s="1" t="s">
        <v>101</v>
      </c>
      <c r="F1642" s="1" t="s">
        <v>96</v>
      </c>
      <c r="G1642" s="1" t="s">
        <v>97</v>
      </c>
      <c r="H1642" s="1" t="s">
        <v>69</v>
      </c>
      <c r="I1642" s="1" t="s">
        <v>34</v>
      </c>
      <c r="J1642" s="1" t="s">
        <v>35</v>
      </c>
      <c r="K1642" s="1" t="s">
        <v>60</v>
      </c>
      <c r="L1642" s="1" t="s">
        <v>37</v>
      </c>
      <c r="M1642" s="1" t="s">
        <v>62</v>
      </c>
      <c r="N1642" s="1" t="n">
        <v>14999</v>
      </c>
      <c r="O1642" s="1" t="n">
        <v>5</v>
      </c>
      <c r="P1642" s="1" t="n">
        <v>749.95</v>
      </c>
      <c r="Q1642" s="1" t="n">
        <v>14249.05</v>
      </c>
      <c r="R1642" s="1" t="n">
        <v>2564.83</v>
      </c>
      <c r="S1642" s="1" t="n">
        <v>11684.22</v>
      </c>
      <c r="T1642" s="1" t="n">
        <v>4906.47</v>
      </c>
      <c r="U1642" s="1" t="n">
        <v>6777.75</v>
      </c>
      <c r="V1642" s="1" t="n">
        <v>58.01</v>
      </c>
      <c r="W1642" s="1" t="s">
        <v>39</v>
      </c>
      <c r="X1642" s="1" t="n">
        <v>4.1</v>
      </c>
      <c r="Y1642" s="1" t="s">
        <v>40</v>
      </c>
      <c r="Z1642" s="1" t="n">
        <v>0</v>
      </c>
    </row>
    <row r="1643" customFormat="false" ht="15" hidden="false" customHeight="true" outlineLevel="0" collapsed="false">
      <c r="A1643" s="1" t="s">
        <v>2468</v>
      </c>
      <c r="B1643" s="1" t="s">
        <v>1588</v>
      </c>
      <c r="C1643" s="1" t="s">
        <v>88</v>
      </c>
      <c r="D1643" s="1" t="s">
        <v>80</v>
      </c>
      <c r="E1643" s="1" t="s">
        <v>193</v>
      </c>
      <c r="F1643" s="1" t="s">
        <v>194</v>
      </c>
      <c r="G1643" s="1" t="s">
        <v>103</v>
      </c>
      <c r="H1643" s="1" t="s">
        <v>69</v>
      </c>
      <c r="I1643" s="1" t="s">
        <v>58</v>
      </c>
      <c r="J1643" s="1" t="s">
        <v>35</v>
      </c>
      <c r="K1643" s="1" t="s">
        <v>36</v>
      </c>
      <c r="L1643" s="1" t="s">
        <v>49</v>
      </c>
      <c r="M1643" s="1" t="s">
        <v>38</v>
      </c>
      <c r="N1643" s="1" t="n">
        <v>8999</v>
      </c>
      <c r="O1643" s="1" t="n">
        <v>30</v>
      </c>
      <c r="P1643" s="1" t="n">
        <v>2699.7</v>
      </c>
      <c r="Q1643" s="1" t="n">
        <v>6299.3</v>
      </c>
      <c r="R1643" s="1" t="n">
        <v>1133.87</v>
      </c>
      <c r="S1643" s="1" t="n">
        <v>5165.43</v>
      </c>
      <c r="T1643" s="1" t="n">
        <v>1954.26</v>
      </c>
      <c r="U1643" s="1" t="n">
        <v>3211.17</v>
      </c>
      <c r="V1643" s="1" t="n">
        <v>62.17</v>
      </c>
      <c r="W1643" s="1" t="s">
        <v>39</v>
      </c>
      <c r="X1643" s="1" t="n">
        <v>4.3</v>
      </c>
      <c r="Y1643" s="1" t="s">
        <v>40</v>
      </c>
      <c r="Z1643" s="1" t="n">
        <v>0</v>
      </c>
    </row>
    <row r="1644" customFormat="false" ht="15" hidden="false" customHeight="true" outlineLevel="0" collapsed="false">
      <c r="A1644" s="1" t="s">
        <v>2469</v>
      </c>
      <c r="B1644" s="1" t="s">
        <v>2470</v>
      </c>
      <c r="C1644" s="1" t="s">
        <v>100</v>
      </c>
      <c r="D1644" s="1" t="s">
        <v>94</v>
      </c>
      <c r="E1644" s="1" t="s">
        <v>135</v>
      </c>
      <c r="F1644" s="1" t="s">
        <v>150</v>
      </c>
      <c r="G1644" s="1" t="s">
        <v>32</v>
      </c>
      <c r="H1644" s="1" t="s">
        <v>57</v>
      </c>
      <c r="I1644" s="1" t="s">
        <v>34</v>
      </c>
      <c r="J1644" s="1" t="s">
        <v>59</v>
      </c>
      <c r="K1644" s="1" t="s">
        <v>84</v>
      </c>
      <c r="L1644" s="1" t="s">
        <v>85</v>
      </c>
      <c r="M1644" s="1" t="s">
        <v>62</v>
      </c>
      <c r="N1644" s="1" t="n">
        <v>9999</v>
      </c>
      <c r="O1644" s="1" t="n">
        <v>10</v>
      </c>
      <c r="P1644" s="1" t="n">
        <v>999.9</v>
      </c>
      <c r="Q1644" s="1" t="n">
        <v>8999.1</v>
      </c>
      <c r="R1644" s="1" t="n">
        <v>1619.84</v>
      </c>
      <c r="S1644" s="1" t="n">
        <v>7379.26</v>
      </c>
      <c r="T1644" s="1" t="n">
        <v>3774.49</v>
      </c>
      <c r="U1644" s="1" t="n">
        <v>3604.77</v>
      </c>
      <c r="V1644" s="1" t="n">
        <v>48.85</v>
      </c>
      <c r="W1644" s="1" t="s">
        <v>40</v>
      </c>
      <c r="Y1644" s="1" t="s">
        <v>40</v>
      </c>
      <c r="Z1644" s="1" t="n">
        <v>1</v>
      </c>
    </row>
    <row r="1645" customFormat="false" ht="15" hidden="false" customHeight="true" outlineLevel="0" collapsed="false">
      <c r="A1645" s="1" t="s">
        <v>2471</v>
      </c>
      <c r="B1645" s="1" t="s">
        <v>489</v>
      </c>
      <c r="C1645" s="1" t="s">
        <v>802</v>
      </c>
      <c r="D1645" s="1" t="s">
        <v>53</v>
      </c>
      <c r="E1645" s="1" t="s">
        <v>116</v>
      </c>
      <c r="F1645" s="1" t="s">
        <v>211</v>
      </c>
      <c r="G1645" s="1" t="s">
        <v>56</v>
      </c>
      <c r="H1645" s="1" t="s">
        <v>69</v>
      </c>
      <c r="I1645" s="1" t="s">
        <v>58</v>
      </c>
      <c r="J1645" s="1" t="s">
        <v>35</v>
      </c>
      <c r="K1645" s="1" t="s">
        <v>90</v>
      </c>
      <c r="L1645" s="1" t="s">
        <v>61</v>
      </c>
      <c r="M1645" s="1" t="s">
        <v>38</v>
      </c>
      <c r="N1645" s="1" t="n">
        <v>9999</v>
      </c>
      <c r="O1645" s="1" t="n">
        <v>0</v>
      </c>
      <c r="P1645" s="1" t="n">
        <v>0</v>
      </c>
      <c r="Q1645" s="1" t="n">
        <v>9999</v>
      </c>
      <c r="R1645" s="1" t="n">
        <v>1799.82</v>
      </c>
      <c r="S1645" s="1" t="n">
        <v>8199.18</v>
      </c>
      <c r="T1645" s="1" t="n">
        <v>3346.57</v>
      </c>
      <c r="U1645" s="1" t="n">
        <v>4852.61</v>
      </c>
      <c r="V1645" s="1" t="n">
        <v>59.18</v>
      </c>
      <c r="W1645" s="1" t="s">
        <v>40</v>
      </c>
      <c r="Y1645" s="1" t="s">
        <v>40</v>
      </c>
      <c r="Z1645" s="1" t="n">
        <v>0</v>
      </c>
    </row>
    <row r="1646" customFormat="false" ht="15" hidden="false" customHeight="true" outlineLevel="0" collapsed="false">
      <c r="A1646" s="1" t="s">
        <v>2472</v>
      </c>
      <c r="B1646" s="1" t="s">
        <v>1118</v>
      </c>
      <c r="C1646" s="1" t="s">
        <v>93</v>
      </c>
      <c r="D1646" s="1" t="s">
        <v>94</v>
      </c>
      <c r="E1646" s="1" t="s">
        <v>135</v>
      </c>
      <c r="F1646" s="1" t="s">
        <v>194</v>
      </c>
      <c r="G1646" s="1" t="s">
        <v>103</v>
      </c>
      <c r="H1646" s="1" t="s">
        <v>69</v>
      </c>
      <c r="I1646" s="1" t="s">
        <v>83</v>
      </c>
      <c r="J1646" s="1" t="s">
        <v>35</v>
      </c>
      <c r="K1646" s="1" t="s">
        <v>84</v>
      </c>
      <c r="L1646" s="1" t="s">
        <v>136</v>
      </c>
      <c r="M1646" s="1" t="s">
        <v>50</v>
      </c>
      <c r="N1646" s="1" t="n">
        <v>9999</v>
      </c>
      <c r="O1646" s="1" t="n">
        <v>50</v>
      </c>
      <c r="P1646" s="1" t="n">
        <v>4999.5</v>
      </c>
      <c r="Q1646" s="1" t="n">
        <v>4999.5</v>
      </c>
      <c r="R1646" s="1" t="n">
        <v>899.91</v>
      </c>
      <c r="S1646" s="1" t="n">
        <v>4099.59</v>
      </c>
      <c r="T1646" s="1" t="n">
        <v>2049.4</v>
      </c>
      <c r="U1646" s="1" t="n">
        <v>2050.19</v>
      </c>
      <c r="V1646" s="1" t="n">
        <v>50.01</v>
      </c>
      <c r="W1646" s="1" t="s">
        <v>40</v>
      </c>
      <c r="Y1646" s="1" t="s">
        <v>40</v>
      </c>
      <c r="Z1646" s="1" t="n">
        <v>1</v>
      </c>
    </row>
    <row r="1647" customFormat="false" ht="15" hidden="false" customHeight="true" outlineLevel="0" collapsed="false">
      <c r="A1647" s="1" t="s">
        <v>2473</v>
      </c>
      <c r="B1647" s="1" t="s">
        <v>1614</v>
      </c>
      <c r="C1647" s="1" t="s">
        <v>93</v>
      </c>
      <c r="D1647" s="1" t="s">
        <v>94</v>
      </c>
      <c r="E1647" s="1" t="s">
        <v>135</v>
      </c>
      <c r="F1647" s="1" t="s">
        <v>269</v>
      </c>
      <c r="G1647" s="1" t="s">
        <v>108</v>
      </c>
      <c r="H1647" s="1" t="s">
        <v>57</v>
      </c>
      <c r="I1647" s="1" t="s">
        <v>83</v>
      </c>
      <c r="J1647" s="1" t="s">
        <v>59</v>
      </c>
      <c r="K1647" s="1" t="s">
        <v>90</v>
      </c>
      <c r="L1647" s="1" t="s">
        <v>61</v>
      </c>
      <c r="M1647" s="1" t="s">
        <v>62</v>
      </c>
      <c r="N1647" s="1" t="n">
        <v>9999</v>
      </c>
      <c r="O1647" s="1" t="n">
        <v>0</v>
      </c>
      <c r="P1647" s="1" t="n">
        <v>0</v>
      </c>
      <c r="Q1647" s="1" t="n">
        <v>9999</v>
      </c>
      <c r="R1647" s="1" t="n">
        <v>1799.82</v>
      </c>
      <c r="S1647" s="1" t="n">
        <v>8199.18</v>
      </c>
      <c r="T1647" s="1" t="n">
        <v>3676.37</v>
      </c>
      <c r="U1647" s="1" t="n">
        <v>4522.81</v>
      </c>
      <c r="V1647" s="1" t="n">
        <v>55.16</v>
      </c>
      <c r="W1647" s="1" t="s">
        <v>39</v>
      </c>
      <c r="X1647" s="1" t="n">
        <v>3.5</v>
      </c>
      <c r="Y1647" s="1" t="s">
        <v>40</v>
      </c>
      <c r="Z1647" s="1" t="n">
        <v>1</v>
      </c>
    </row>
    <row r="1648" customFormat="false" ht="15" hidden="false" customHeight="true" outlineLevel="0" collapsed="false">
      <c r="A1648" s="1" t="s">
        <v>2474</v>
      </c>
      <c r="B1648" s="1" t="s">
        <v>171</v>
      </c>
      <c r="C1648" s="1" t="s">
        <v>88</v>
      </c>
      <c r="D1648" s="1" t="s">
        <v>53</v>
      </c>
      <c r="E1648" s="1" t="s">
        <v>54</v>
      </c>
      <c r="F1648" s="1" t="s">
        <v>31</v>
      </c>
      <c r="G1648" s="1" t="s">
        <v>32</v>
      </c>
      <c r="H1648" s="1" t="s">
        <v>33</v>
      </c>
      <c r="I1648" s="1" t="s">
        <v>58</v>
      </c>
      <c r="J1648" s="1" t="s">
        <v>35</v>
      </c>
      <c r="K1648" s="1" t="s">
        <v>60</v>
      </c>
      <c r="L1648" s="1" t="s">
        <v>49</v>
      </c>
      <c r="M1648" s="1" t="s">
        <v>62</v>
      </c>
      <c r="N1648" s="1" t="n">
        <v>11999</v>
      </c>
      <c r="O1648" s="1" t="n">
        <v>30</v>
      </c>
      <c r="P1648" s="1" t="n">
        <v>3599.7</v>
      </c>
      <c r="Q1648" s="1" t="n">
        <v>8399.3</v>
      </c>
      <c r="R1648" s="1" t="n">
        <v>1511.87</v>
      </c>
      <c r="S1648" s="1" t="n">
        <v>6887.43</v>
      </c>
      <c r="T1648" s="1" t="n">
        <v>2647.64</v>
      </c>
      <c r="U1648" s="1" t="n">
        <v>4239.79</v>
      </c>
      <c r="V1648" s="1" t="n">
        <v>61.56</v>
      </c>
      <c r="W1648" s="1" t="s">
        <v>40</v>
      </c>
      <c r="Y1648" s="1" t="s">
        <v>40</v>
      </c>
      <c r="Z1648" s="1" t="n">
        <v>0</v>
      </c>
    </row>
    <row r="1649" customFormat="false" ht="15" hidden="false" customHeight="true" outlineLevel="0" collapsed="false">
      <c r="A1649" s="1" t="s">
        <v>2475</v>
      </c>
      <c r="B1649" s="1" t="s">
        <v>1116</v>
      </c>
      <c r="C1649" s="1" t="s">
        <v>139</v>
      </c>
      <c r="D1649" s="1" t="s">
        <v>94</v>
      </c>
      <c r="E1649" s="1" t="s">
        <v>135</v>
      </c>
      <c r="F1649" s="1" t="s">
        <v>82</v>
      </c>
      <c r="G1649" s="1" t="s">
        <v>56</v>
      </c>
      <c r="H1649" s="1" t="s">
        <v>69</v>
      </c>
      <c r="I1649" s="1" t="s">
        <v>83</v>
      </c>
      <c r="J1649" s="1" t="s">
        <v>35</v>
      </c>
      <c r="K1649" s="1" t="s">
        <v>90</v>
      </c>
      <c r="L1649" s="1" t="s">
        <v>61</v>
      </c>
      <c r="M1649" s="1" t="s">
        <v>38</v>
      </c>
      <c r="N1649" s="1" t="n">
        <v>9999</v>
      </c>
      <c r="O1649" s="1" t="n">
        <v>25</v>
      </c>
      <c r="P1649" s="1" t="n">
        <v>2499.75</v>
      </c>
      <c r="Q1649" s="1" t="n">
        <v>7499.25</v>
      </c>
      <c r="R1649" s="1" t="n">
        <v>1349.87</v>
      </c>
      <c r="S1649" s="1" t="n">
        <v>6149.38</v>
      </c>
      <c r="T1649" s="1" t="n">
        <v>2348.56</v>
      </c>
      <c r="U1649" s="1" t="n">
        <v>3800.82</v>
      </c>
      <c r="V1649" s="1" t="n">
        <v>61.81</v>
      </c>
      <c r="W1649" s="1" t="s">
        <v>39</v>
      </c>
      <c r="X1649" s="1" t="n">
        <v>3.7</v>
      </c>
      <c r="Y1649" s="1" t="s">
        <v>40</v>
      </c>
      <c r="Z1649" s="1" t="n">
        <v>0</v>
      </c>
    </row>
    <row r="1650" customFormat="false" ht="15" hidden="false" customHeight="true" outlineLevel="0" collapsed="false">
      <c r="A1650" s="1" t="s">
        <v>2476</v>
      </c>
      <c r="B1650" s="1" t="s">
        <v>1056</v>
      </c>
      <c r="C1650" s="1" t="s">
        <v>139</v>
      </c>
      <c r="D1650" s="1" t="s">
        <v>123</v>
      </c>
      <c r="E1650" s="1" t="s">
        <v>124</v>
      </c>
      <c r="F1650" s="1" t="s">
        <v>55</v>
      </c>
      <c r="G1650" s="1" t="s">
        <v>56</v>
      </c>
      <c r="H1650" s="1" t="s">
        <v>57</v>
      </c>
      <c r="I1650" s="1" t="s">
        <v>83</v>
      </c>
      <c r="J1650" s="1" t="s">
        <v>35</v>
      </c>
      <c r="K1650" s="1" t="s">
        <v>104</v>
      </c>
      <c r="L1650" s="1" t="s">
        <v>113</v>
      </c>
      <c r="M1650" s="1" t="s">
        <v>62</v>
      </c>
      <c r="N1650" s="1" t="n">
        <v>4999</v>
      </c>
      <c r="O1650" s="1" t="n">
        <v>0</v>
      </c>
      <c r="P1650" s="1" t="n">
        <v>0</v>
      </c>
      <c r="Q1650" s="1" t="n">
        <v>4999</v>
      </c>
      <c r="R1650" s="1" t="n">
        <v>899.82</v>
      </c>
      <c r="S1650" s="1" t="n">
        <v>4099.18</v>
      </c>
      <c r="T1650" s="1" t="n">
        <v>1794.56</v>
      </c>
      <c r="U1650" s="1" t="n">
        <v>2304.62</v>
      </c>
      <c r="V1650" s="1" t="n">
        <v>56.22</v>
      </c>
      <c r="W1650" s="1" t="s">
        <v>39</v>
      </c>
      <c r="X1650" s="1" t="n">
        <v>3.4</v>
      </c>
      <c r="Y1650" s="1" t="s">
        <v>40</v>
      </c>
      <c r="Z1650" s="1" t="n">
        <v>0</v>
      </c>
    </row>
    <row r="1651" customFormat="false" ht="15" hidden="false" customHeight="true" outlineLevel="0" collapsed="false">
      <c r="A1651" s="1" t="s">
        <v>2477</v>
      </c>
      <c r="B1651" s="1" t="s">
        <v>477</v>
      </c>
      <c r="C1651" s="1" t="s">
        <v>100</v>
      </c>
      <c r="D1651" s="1" t="s">
        <v>44</v>
      </c>
      <c r="E1651" s="1" t="s">
        <v>66</v>
      </c>
      <c r="F1651" s="1" t="s">
        <v>194</v>
      </c>
      <c r="G1651" s="1" t="s">
        <v>103</v>
      </c>
      <c r="H1651" s="1" t="s">
        <v>69</v>
      </c>
      <c r="I1651" s="1" t="s">
        <v>83</v>
      </c>
      <c r="J1651" s="1" t="s">
        <v>35</v>
      </c>
      <c r="K1651" s="1" t="s">
        <v>36</v>
      </c>
      <c r="L1651" s="1" t="s">
        <v>61</v>
      </c>
      <c r="M1651" s="1" t="s">
        <v>50</v>
      </c>
      <c r="N1651" s="1" t="n">
        <v>12999</v>
      </c>
      <c r="O1651" s="1" t="n">
        <v>5</v>
      </c>
      <c r="P1651" s="1" t="n">
        <v>649.95</v>
      </c>
      <c r="Q1651" s="1" t="n">
        <v>12349.05</v>
      </c>
      <c r="R1651" s="1" t="n">
        <v>2222.83</v>
      </c>
      <c r="S1651" s="1" t="n">
        <v>10126.22</v>
      </c>
      <c r="T1651" s="1" t="n">
        <v>3648.2</v>
      </c>
      <c r="U1651" s="1" t="n">
        <v>6478.02</v>
      </c>
      <c r="V1651" s="1" t="n">
        <v>63.97</v>
      </c>
      <c r="W1651" s="1" t="s">
        <v>40</v>
      </c>
      <c r="Y1651" s="1" t="s">
        <v>40</v>
      </c>
      <c r="Z1651" s="1" t="n">
        <v>2</v>
      </c>
    </row>
    <row r="1652" customFormat="false" ht="15" hidden="false" customHeight="true" outlineLevel="0" collapsed="false">
      <c r="A1652" s="1" t="s">
        <v>2478</v>
      </c>
      <c r="B1652" s="1" t="s">
        <v>1899</v>
      </c>
      <c r="C1652" s="1" t="s">
        <v>100</v>
      </c>
      <c r="D1652" s="1" t="s">
        <v>80</v>
      </c>
      <c r="E1652" s="1" t="s">
        <v>193</v>
      </c>
      <c r="F1652" s="1" t="s">
        <v>194</v>
      </c>
      <c r="G1652" s="1" t="s">
        <v>103</v>
      </c>
      <c r="H1652" s="1" t="s">
        <v>69</v>
      </c>
      <c r="I1652" s="1" t="s">
        <v>83</v>
      </c>
      <c r="J1652" s="1" t="s">
        <v>35</v>
      </c>
      <c r="K1652" s="1" t="s">
        <v>90</v>
      </c>
      <c r="L1652" s="1" t="s">
        <v>136</v>
      </c>
      <c r="M1652" s="1" t="s">
        <v>38</v>
      </c>
      <c r="N1652" s="1" t="n">
        <v>8999</v>
      </c>
      <c r="O1652" s="1" t="n">
        <v>0</v>
      </c>
      <c r="P1652" s="1" t="n">
        <v>0</v>
      </c>
      <c r="Q1652" s="1" t="n">
        <v>8999</v>
      </c>
      <c r="R1652" s="1" t="n">
        <v>1619.82</v>
      </c>
      <c r="S1652" s="1" t="n">
        <v>7379.18</v>
      </c>
      <c r="T1652" s="1" t="n">
        <v>2716.72</v>
      </c>
      <c r="U1652" s="1" t="n">
        <v>4662.46</v>
      </c>
      <c r="V1652" s="1" t="n">
        <v>63.18</v>
      </c>
      <c r="W1652" s="1" t="s">
        <v>39</v>
      </c>
      <c r="X1652" s="1" t="n">
        <v>4.6</v>
      </c>
      <c r="Y1652" s="1" t="s">
        <v>40</v>
      </c>
      <c r="Z1652" s="1" t="n">
        <v>0</v>
      </c>
    </row>
    <row r="1653" customFormat="false" ht="15" hidden="false" customHeight="true" outlineLevel="0" collapsed="false">
      <c r="A1653" s="1" t="s">
        <v>2479</v>
      </c>
      <c r="B1653" s="1" t="s">
        <v>87</v>
      </c>
      <c r="C1653" s="1" t="s">
        <v>28</v>
      </c>
      <c r="D1653" s="1" t="s">
        <v>143</v>
      </c>
      <c r="E1653" s="1" t="s">
        <v>210</v>
      </c>
      <c r="F1653" s="1" t="s">
        <v>194</v>
      </c>
      <c r="G1653" s="1" t="s">
        <v>103</v>
      </c>
      <c r="H1653" s="1" t="s">
        <v>69</v>
      </c>
      <c r="I1653" s="1" t="s">
        <v>83</v>
      </c>
      <c r="J1653" s="1" t="s">
        <v>131</v>
      </c>
      <c r="K1653" s="1" t="s">
        <v>60</v>
      </c>
      <c r="L1653" s="1" t="s">
        <v>136</v>
      </c>
      <c r="M1653" s="1" t="s">
        <v>62</v>
      </c>
      <c r="N1653" s="1" t="n">
        <v>18999</v>
      </c>
      <c r="O1653" s="1" t="n">
        <v>10</v>
      </c>
      <c r="P1653" s="1" t="n">
        <v>1899.9</v>
      </c>
      <c r="Q1653" s="1" t="n">
        <v>17099.1</v>
      </c>
      <c r="R1653" s="1" t="n">
        <v>3077.84</v>
      </c>
      <c r="S1653" s="1" t="n">
        <v>14021.26</v>
      </c>
      <c r="T1653" s="1" t="n">
        <v>4821.41</v>
      </c>
      <c r="U1653" s="1" t="n">
        <v>9199.85</v>
      </c>
      <c r="V1653" s="1" t="n">
        <v>65.61</v>
      </c>
      <c r="W1653" s="1" t="s">
        <v>40</v>
      </c>
      <c r="Y1653" s="1" t="s">
        <v>40</v>
      </c>
      <c r="Z1653" s="1" t="n">
        <v>1</v>
      </c>
    </row>
    <row r="1654" customFormat="false" ht="15" hidden="false" customHeight="true" outlineLevel="0" collapsed="false">
      <c r="A1654" s="1" t="s">
        <v>2480</v>
      </c>
      <c r="B1654" s="1" t="s">
        <v>1619</v>
      </c>
      <c r="C1654" s="1" t="s">
        <v>43</v>
      </c>
      <c r="D1654" s="1" t="s">
        <v>29</v>
      </c>
      <c r="E1654" s="1" t="s">
        <v>129</v>
      </c>
      <c r="F1654" s="1" t="s">
        <v>55</v>
      </c>
      <c r="G1654" s="1" t="s">
        <v>56</v>
      </c>
      <c r="H1654" s="1" t="s">
        <v>57</v>
      </c>
      <c r="I1654" s="1" t="s">
        <v>34</v>
      </c>
      <c r="J1654" s="1" t="s">
        <v>35</v>
      </c>
      <c r="K1654" s="1" t="s">
        <v>60</v>
      </c>
      <c r="L1654" s="1" t="s">
        <v>49</v>
      </c>
      <c r="M1654" s="1" t="s">
        <v>38</v>
      </c>
      <c r="N1654" s="1" t="n">
        <v>29999</v>
      </c>
      <c r="O1654" s="1" t="n">
        <v>40</v>
      </c>
      <c r="P1654" s="1" t="n">
        <v>11999.6</v>
      </c>
      <c r="Q1654" s="1" t="n">
        <v>17999.4</v>
      </c>
      <c r="R1654" s="1" t="n">
        <v>3239.89</v>
      </c>
      <c r="S1654" s="1" t="n">
        <v>14759.51</v>
      </c>
      <c r="T1654" s="1" t="n">
        <v>7457.28</v>
      </c>
      <c r="U1654" s="1" t="n">
        <v>7302.23</v>
      </c>
      <c r="V1654" s="1" t="n">
        <v>49.47</v>
      </c>
      <c r="W1654" s="1" t="s">
        <v>40</v>
      </c>
      <c r="Y1654" s="1" t="s">
        <v>40</v>
      </c>
      <c r="Z1654" s="1" t="n">
        <v>1</v>
      </c>
    </row>
    <row r="1655" customFormat="false" ht="15" hidden="false" customHeight="true" outlineLevel="0" collapsed="false">
      <c r="A1655" s="1" t="s">
        <v>2481</v>
      </c>
      <c r="B1655" s="1" t="s">
        <v>1077</v>
      </c>
      <c r="C1655" s="1" t="s">
        <v>128</v>
      </c>
      <c r="D1655" s="1" t="s">
        <v>80</v>
      </c>
      <c r="E1655" s="1" t="s">
        <v>190</v>
      </c>
      <c r="F1655" s="1" t="s">
        <v>153</v>
      </c>
      <c r="G1655" s="1" t="s">
        <v>76</v>
      </c>
      <c r="H1655" s="1" t="s">
        <v>33</v>
      </c>
      <c r="I1655" s="1" t="s">
        <v>34</v>
      </c>
      <c r="J1655" s="1" t="s">
        <v>70</v>
      </c>
      <c r="K1655" s="1" t="s">
        <v>104</v>
      </c>
      <c r="L1655" s="1" t="s">
        <v>49</v>
      </c>
      <c r="M1655" s="1" t="s">
        <v>38</v>
      </c>
      <c r="N1655" s="1" t="n">
        <v>15999</v>
      </c>
      <c r="O1655" s="1" t="n">
        <v>15</v>
      </c>
      <c r="P1655" s="1" t="n">
        <v>2399.85</v>
      </c>
      <c r="Q1655" s="1" t="n">
        <v>13599.15</v>
      </c>
      <c r="R1655" s="1" t="n">
        <v>2447.85</v>
      </c>
      <c r="S1655" s="1" t="n">
        <v>11151.3</v>
      </c>
      <c r="T1655" s="1" t="n">
        <v>5125.3</v>
      </c>
      <c r="U1655" s="1" t="n">
        <v>6026</v>
      </c>
      <c r="V1655" s="1" t="n">
        <v>54.04</v>
      </c>
      <c r="W1655" s="1" t="s">
        <v>40</v>
      </c>
      <c r="Y1655" s="1" t="s">
        <v>40</v>
      </c>
      <c r="Z1655" s="1" t="n">
        <v>2</v>
      </c>
    </row>
    <row r="1656" customFormat="false" ht="15" hidden="false" customHeight="true" outlineLevel="0" collapsed="false">
      <c r="A1656" s="1" t="s">
        <v>2482</v>
      </c>
      <c r="B1656" s="1" t="s">
        <v>504</v>
      </c>
      <c r="C1656" s="1" t="s">
        <v>178</v>
      </c>
      <c r="D1656" s="1" t="s">
        <v>44</v>
      </c>
      <c r="E1656" s="1" t="s">
        <v>66</v>
      </c>
      <c r="F1656" s="1" t="s">
        <v>82</v>
      </c>
      <c r="G1656" s="1" t="s">
        <v>56</v>
      </c>
      <c r="H1656" s="1" t="s">
        <v>69</v>
      </c>
      <c r="I1656" s="1" t="s">
        <v>34</v>
      </c>
      <c r="J1656" s="1" t="s">
        <v>35</v>
      </c>
      <c r="K1656" s="1" t="s">
        <v>90</v>
      </c>
      <c r="L1656" s="1" t="s">
        <v>136</v>
      </c>
      <c r="M1656" s="1" t="s">
        <v>50</v>
      </c>
      <c r="N1656" s="1" t="n">
        <v>12999</v>
      </c>
      <c r="O1656" s="1" t="n">
        <v>0</v>
      </c>
      <c r="P1656" s="1" t="n">
        <v>0</v>
      </c>
      <c r="Q1656" s="1" t="n">
        <v>12999</v>
      </c>
      <c r="R1656" s="1" t="n">
        <v>2339.82</v>
      </c>
      <c r="S1656" s="1" t="n">
        <v>10659.18</v>
      </c>
      <c r="T1656" s="1" t="n">
        <v>4149.98</v>
      </c>
      <c r="U1656" s="1" t="n">
        <v>6509.2</v>
      </c>
      <c r="V1656" s="1" t="n">
        <v>61.07</v>
      </c>
      <c r="W1656" s="1" t="s">
        <v>39</v>
      </c>
      <c r="X1656" s="1" t="n">
        <v>4.5</v>
      </c>
      <c r="Y1656" s="1" t="s">
        <v>40</v>
      </c>
      <c r="Z1656" s="1" t="n">
        <v>0</v>
      </c>
    </row>
    <row r="1657" customFormat="false" ht="15" hidden="false" customHeight="true" outlineLevel="0" collapsed="false">
      <c r="A1657" s="1" t="s">
        <v>2483</v>
      </c>
      <c r="B1657" s="1" t="s">
        <v>764</v>
      </c>
      <c r="C1657" s="1" t="s">
        <v>134</v>
      </c>
      <c r="D1657" s="1" t="s">
        <v>168</v>
      </c>
      <c r="E1657" s="1" t="s">
        <v>169</v>
      </c>
      <c r="F1657" s="1" t="s">
        <v>205</v>
      </c>
      <c r="G1657" s="1" t="s">
        <v>56</v>
      </c>
      <c r="H1657" s="1" t="s">
        <v>69</v>
      </c>
      <c r="I1657" s="1" t="s">
        <v>83</v>
      </c>
      <c r="J1657" s="1" t="s">
        <v>131</v>
      </c>
      <c r="K1657" s="1" t="s">
        <v>84</v>
      </c>
      <c r="L1657" s="1" t="s">
        <v>37</v>
      </c>
      <c r="M1657" s="1" t="s">
        <v>50</v>
      </c>
      <c r="N1657" s="1" t="n">
        <v>4999</v>
      </c>
      <c r="O1657" s="1" t="n">
        <v>50</v>
      </c>
      <c r="P1657" s="1" t="n">
        <v>2499.5</v>
      </c>
      <c r="Q1657" s="1" t="n">
        <v>2499.5</v>
      </c>
      <c r="R1657" s="1" t="n">
        <v>449.91</v>
      </c>
      <c r="S1657" s="1" t="n">
        <v>2049.59</v>
      </c>
      <c r="T1657" s="1" t="n">
        <v>921.91</v>
      </c>
      <c r="U1657" s="1" t="n">
        <v>1127.68</v>
      </c>
      <c r="V1657" s="1" t="n">
        <v>55.02</v>
      </c>
      <c r="W1657" s="1" t="s">
        <v>40</v>
      </c>
      <c r="Y1657" s="1" t="s">
        <v>40</v>
      </c>
      <c r="Z1657" s="1" t="n">
        <v>0</v>
      </c>
    </row>
    <row r="1658" customFormat="false" ht="15" hidden="false" customHeight="true" outlineLevel="0" collapsed="false">
      <c r="A1658" s="1" t="s">
        <v>2484</v>
      </c>
      <c r="B1658" s="1" t="s">
        <v>1408</v>
      </c>
      <c r="C1658" s="1" t="s">
        <v>134</v>
      </c>
      <c r="D1658" s="1" t="s">
        <v>143</v>
      </c>
      <c r="E1658" s="1" t="s">
        <v>162</v>
      </c>
      <c r="F1658" s="1" t="s">
        <v>89</v>
      </c>
      <c r="G1658" s="1" t="s">
        <v>68</v>
      </c>
      <c r="H1658" s="1" t="s">
        <v>33</v>
      </c>
      <c r="I1658" s="1" t="s">
        <v>58</v>
      </c>
      <c r="J1658" s="1" t="s">
        <v>70</v>
      </c>
      <c r="K1658" s="1" t="s">
        <v>84</v>
      </c>
      <c r="L1658" s="1" t="s">
        <v>49</v>
      </c>
      <c r="M1658" s="1" t="s">
        <v>50</v>
      </c>
      <c r="N1658" s="1" t="n">
        <v>14999</v>
      </c>
      <c r="O1658" s="1" t="n">
        <v>0</v>
      </c>
      <c r="P1658" s="1" t="n">
        <v>0</v>
      </c>
      <c r="Q1658" s="1" t="n">
        <v>14999</v>
      </c>
      <c r="R1658" s="1" t="n">
        <v>2699.82</v>
      </c>
      <c r="S1658" s="1" t="n">
        <v>12299.18</v>
      </c>
      <c r="T1658" s="1" t="n">
        <v>4531.46</v>
      </c>
      <c r="U1658" s="1" t="n">
        <v>7767.72</v>
      </c>
      <c r="V1658" s="1" t="n">
        <v>63.16</v>
      </c>
      <c r="W1658" s="1" t="s">
        <v>39</v>
      </c>
      <c r="X1658" s="1" t="n">
        <v>3.1</v>
      </c>
      <c r="Y1658" s="1" t="s">
        <v>40</v>
      </c>
      <c r="Z1658" s="1" t="n">
        <v>1</v>
      </c>
    </row>
    <row r="1659" customFormat="false" ht="15" hidden="false" customHeight="true" outlineLevel="0" collapsed="false">
      <c r="A1659" s="1" t="s">
        <v>2485</v>
      </c>
      <c r="B1659" s="1" t="s">
        <v>1625</v>
      </c>
      <c r="C1659" s="1" t="s">
        <v>100</v>
      </c>
      <c r="D1659" s="1" t="s">
        <v>80</v>
      </c>
      <c r="E1659" s="1" t="s">
        <v>190</v>
      </c>
      <c r="F1659" s="1" t="s">
        <v>125</v>
      </c>
      <c r="G1659" s="1" t="s">
        <v>108</v>
      </c>
      <c r="H1659" s="1" t="s">
        <v>69</v>
      </c>
      <c r="I1659" s="1" t="s">
        <v>34</v>
      </c>
      <c r="J1659" s="1" t="s">
        <v>131</v>
      </c>
      <c r="K1659" s="1" t="s">
        <v>90</v>
      </c>
      <c r="L1659" s="1" t="s">
        <v>113</v>
      </c>
      <c r="M1659" s="1" t="s">
        <v>50</v>
      </c>
      <c r="N1659" s="1" t="n">
        <v>15999</v>
      </c>
      <c r="O1659" s="1" t="n">
        <v>40</v>
      </c>
      <c r="P1659" s="1" t="n">
        <v>6399.6</v>
      </c>
      <c r="Q1659" s="1" t="n">
        <v>9599.4</v>
      </c>
      <c r="R1659" s="1" t="n">
        <v>1727.89</v>
      </c>
      <c r="S1659" s="1" t="n">
        <v>7871.51</v>
      </c>
      <c r="T1659" s="1" t="n">
        <v>3603.81</v>
      </c>
      <c r="U1659" s="1" t="n">
        <v>4267.7</v>
      </c>
      <c r="V1659" s="1" t="n">
        <v>54.22</v>
      </c>
      <c r="W1659" s="1" t="s">
        <v>39</v>
      </c>
      <c r="X1659" s="1" t="n">
        <v>4</v>
      </c>
      <c r="Y1659" s="1" t="s">
        <v>40</v>
      </c>
      <c r="Z1659" s="1" t="n">
        <v>0</v>
      </c>
    </row>
    <row r="1660" customFormat="false" ht="15" hidden="false" customHeight="true" outlineLevel="0" collapsed="false">
      <c r="A1660" s="1" t="s">
        <v>2486</v>
      </c>
      <c r="B1660" s="1" t="s">
        <v>263</v>
      </c>
      <c r="C1660" s="1" t="s">
        <v>119</v>
      </c>
      <c r="D1660" s="1" t="s">
        <v>123</v>
      </c>
      <c r="E1660" s="1" t="s">
        <v>147</v>
      </c>
      <c r="F1660" s="1" t="s">
        <v>55</v>
      </c>
      <c r="G1660" s="1" t="s">
        <v>56</v>
      </c>
      <c r="H1660" s="1" t="s">
        <v>57</v>
      </c>
      <c r="I1660" s="1" t="s">
        <v>83</v>
      </c>
      <c r="J1660" s="1" t="s">
        <v>35</v>
      </c>
      <c r="K1660" s="1" t="s">
        <v>71</v>
      </c>
      <c r="L1660" s="1" t="s">
        <v>49</v>
      </c>
      <c r="M1660" s="1" t="s">
        <v>38</v>
      </c>
      <c r="N1660" s="1" t="n">
        <v>6999</v>
      </c>
      <c r="O1660" s="1" t="n">
        <v>0</v>
      </c>
      <c r="P1660" s="1" t="n">
        <v>0</v>
      </c>
      <c r="Q1660" s="1" t="n">
        <v>6999</v>
      </c>
      <c r="R1660" s="1" t="n">
        <v>1259.82</v>
      </c>
      <c r="S1660" s="1" t="n">
        <v>5739.18</v>
      </c>
      <c r="T1660" s="1" t="n">
        <v>2755.89</v>
      </c>
      <c r="U1660" s="1" t="n">
        <v>2983.29</v>
      </c>
      <c r="V1660" s="1" t="n">
        <v>51.98</v>
      </c>
      <c r="W1660" s="1" t="s">
        <v>40</v>
      </c>
      <c r="Y1660" s="1" t="s">
        <v>40</v>
      </c>
      <c r="Z1660" s="1" t="n">
        <v>0</v>
      </c>
    </row>
    <row r="1661" customFormat="false" ht="15" hidden="false" customHeight="true" outlineLevel="0" collapsed="false">
      <c r="A1661" s="1" t="s">
        <v>2487</v>
      </c>
      <c r="B1661" s="1" t="s">
        <v>1152</v>
      </c>
      <c r="C1661" s="1" t="s">
        <v>167</v>
      </c>
      <c r="D1661" s="1" t="s">
        <v>80</v>
      </c>
      <c r="E1661" s="1" t="s">
        <v>175</v>
      </c>
      <c r="F1661" s="1" t="s">
        <v>187</v>
      </c>
      <c r="G1661" s="1" t="s">
        <v>97</v>
      </c>
      <c r="H1661" s="1" t="s">
        <v>69</v>
      </c>
      <c r="I1661" s="1" t="s">
        <v>58</v>
      </c>
      <c r="J1661" s="1" t="s">
        <v>70</v>
      </c>
      <c r="K1661" s="1" t="s">
        <v>36</v>
      </c>
      <c r="L1661" s="1" t="s">
        <v>136</v>
      </c>
      <c r="M1661" s="1" t="s">
        <v>62</v>
      </c>
      <c r="N1661" s="1" t="n">
        <v>19999</v>
      </c>
      <c r="O1661" s="1" t="n">
        <v>30</v>
      </c>
      <c r="P1661" s="1" t="n">
        <v>5999.7</v>
      </c>
      <c r="Q1661" s="1" t="n">
        <v>13999.3</v>
      </c>
      <c r="R1661" s="1" t="n">
        <v>2519.87</v>
      </c>
      <c r="S1661" s="1" t="n">
        <v>11479.43</v>
      </c>
      <c r="T1661" s="1" t="n">
        <v>3523.93</v>
      </c>
      <c r="U1661" s="1" t="n">
        <v>7955.5</v>
      </c>
      <c r="V1661" s="1" t="n">
        <v>69.3</v>
      </c>
      <c r="W1661" s="1" t="s">
        <v>39</v>
      </c>
      <c r="X1661" s="1" t="n">
        <v>3.7</v>
      </c>
      <c r="Y1661" s="1" t="s">
        <v>40</v>
      </c>
      <c r="Z1661" s="1" t="n">
        <v>1</v>
      </c>
    </row>
    <row r="1662" customFormat="false" ht="15" hidden="false" customHeight="true" outlineLevel="0" collapsed="false">
      <c r="A1662" s="1" t="s">
        <v>2488</v>
      </c>
      <c r="B1662" s="1" t="s">
        <v>1797</v>
      </c>
      <c r="C1662" s="1" t="s">
        <v>100</v>
      </c>
      <c r="D1662" s="1" t="s">
        <v>94</v>
      </c>
      <c r="E1662" s="1" t="s">
        <v>135</v>
      </c>
      <c r="F1662" s="1" t="s">
        <v>205</v>
      </c>
      <c r="G1662" s="1" t="s">
        <v>56</v>
      </c>
      <c r="H1662" s="1" t="s">
        <v>69</v>
      </c>
      <c r="I1662" s="1" t="s">
        <v>83</v>
      </c>
      <c r="J1662" s="1" t="s">
        <v>59</v>
      </c>
      <c r="K1662" s="1" t="s">
        <v>60</v>
      </c>
      <c r="L1662" s="1" t="s">
        <v>85</v>
      </c>
      <c r="M1662" s="1" t="s">
        <v>50</v>
      </c>
      <c r="N1662" s="1" t="n">
        <v>9999</v>
      </c>
      <c r="O1662" s="1" t="n">
        <v>0</v>
      </c>
      <c r="P1662" s="1" t="n">
        <v>0</v>
      </c>
      <c r="Q1662" s="1" t="n">
        <v>9999</v>
      </c>
      <c r="R1662" s="1" t="n">
        <v>1799.82</v>
      </c>
      <c r="S1662" s="1" t="n">
        <v>8199.18</v>
      </c>
      <c r="T1662" s="1" t="n">
        <v>3027.4</v>
      </c>
      <c r="U1662" s="1" t="n">
        <v>5171.78</v>
      </c>
      <c r="V1662" s="1" t="n">
        <v>63.08</v>
      </c>
      <c r="W1662" s="1" t="s">
        <v>40</v>
      </c>
      <c r="Y1662" s="1" t="s">
        <v>40</v>
      </c>
      <c r="Z1662" s="1" t="n">
        <v>2</v>
      </c>
    </row>
    <row r="1663" customFormat="false" ht="15" hidden="false" customHeight="true" outlineLevel="0" collapsed="false">
      <c r="A1663" s="1" t="s">
        <v>2489</v>
      </c>
      <c r="B1663" s="1" t="s">
        <v>576</v>
      </c>
      <c r="C1663" s="1" t="s">
        <v>43</v>
      </c>
      <c r="D1663" s="1" t="s">
        <v>53</v>
      </c>
      <c r="E1663" s="1" t="s">
        <v>54</v>
      </c>
      <c r="F1663" s="1" t="s">
        <v>244</v>
      </c>
      <c r="G1663" s="1" t="s">
        <v>97</v>
      </c>
      <c r="H1663" s="1" t="s">
        <v>57</v>
      </c>
      <c r="I1663" s="1" t="s">
        <v>58</v>
      </c>
      <c r="J1663" s="1" t="s">
        <v>77</v>
      </c>
      <c r="K1663" s="1" t="s">
        <v>71</v>
      </c>
      <c r="L1663" s="1" t="s">
        <v>49</v>
      </c>
      <c r="M1663" s="1" t="s">
        <v>50</v>
      </c>
      <c r="N1663" s="1" t="n">
        <v>11999</v>
      </c>
      <c r="O1663" s="1" t="n">
        <v>15</v>
      </c>
      <c r="P1663" s="1" t="n">
        <v>1799.85</v>
      </c>
      <c r="Q1663" s="1" t="n">
        <v>10199.15</v>
      </c>
      <c r="R1663" s="1" t="n">
        <v>1835.85</v>
      </c>
      <c r="S1663" s="1" t="n">
        <v>8363.3</v>
      </c>
      <c r="T1663" s="1" t="n">
        <v>3354.71</v>
      </c>
      <c r="U1663" s="1" t="n">
        <v>5008.59</v>
      </c>
      <c r="V1663" s="1" t="n">
        <v>59.89</v>
      </c>
      <c r="W1663" s="1" t="s">
        <v>39</v>
      </c>
      <c r="X1663" s="1" t="n">
        <v>3.3</v>
      </c>
      <c r="Y1663" s="1" t="s">
        <v>40</v>
      </c>
      <c r="Z1663" s="1" t="n">
        <v>0</v>
      </c>
    </row>
    <row r="1664" customFormat="false" ht="15" hidden="false" customHeight="true" outlineLevel="0" collapsed="false">
      <c r="A1664" s="1" t="s">
        <v>2490</v>
      </c>
      <c r="B1664" s="1" t="s">
        <v>936</v>
      </c>
      <c r="C1664" s="1" t="s">
        <v>100</v>
      </c>
      <c r="D1664" s="1" t="s">
        <v>80</v>
      </c>
      <c r="E1664" s="1" t="s">
        <v>190</v>
      </c>
      <c r="F1664" s="1" t="s">
        <v>107</v>
      </c>
      <c r="G1664" s="1" t="s">
        <v>108</v>
      </c>
      <c r="H1664" s="1" t="s">
        <v>33</v>
      </c>
      <c r="I1664" s="1" t="s">
        <v>58</v>
      </c>
      <c r="J1664" s="1" t="s">
        <v>77</v>
      </c>
      <c r="K1664" s="1" t="s">
        <v>90</v>
      </c>
      <c r="L1664" s="1" t="s">
        <v>85</v>
      </c>
      <c r="M1664" s="1" t="s">
        <v>62</v>
      </c>
      <c r="N1664" s="1" t="n">
        <v>15999</v>
      </c>
      <c r="O1664" s="1" t="n">
        <v>0</v>
      </c>
      <c r="P1664" s="1" t="n">
        <v>0</v>
      </c>
      <c r="Q1664" s="1" t="n">
        <v>15999</v>
      </c>
      <c r="R1664" s="1" t="n">
        <v>2879.82</v>
      </c>
      <c r="S1664" s="1" t="n">
        <v>13119.18</v>
      </c>
      <c r="T1664" s="1" t="n">
        <v>6024.25</v>
      </c>
      <c r="U1664" s="1" t="n">
        <v>7094.93</v>
      </c>
      <c r="V1664" s="1" t="n">
        <v>54.08</v>
      </c>
      <c r="W1664" s="1" t="s">
        <v>39</v>
      </c>
      <c r="X1664" s="1" t="n">
        <v>4</v>
      </c>
      <c r="Y1664" s="1" t="s">
        <v>40</v>
      </c>
      <c r="Z1664" s="1" t="n">
        <v>0</v>
      </c>
    </row>
    <row r="1665" customFormat="false" ht="15" hidden="false" customHeight="true" outlineLevel="0" collapsed="false">
      <c r="A1665" s="1" t="s">
        <v>2491</v>
      </c>
      <c r="B1665" s="1" t="s">
        <v>2440</v>
      </c>
      <c r="C1665" s="1" t="s">
        <v>139</v>
      </c>
      <c r="D1665" s="1" t="s">
        <v>53</v>
      </c>
      <c r="E1665" s="1" t="s">
        <v>54</v>
      </c>
      <c r="F1665" s="1" t="s">
        <v>194</v>
      </c>
      <c r="G1665" s="1" t="s">
        <v>103</v>
      </c>
      <c r="H1665" s="1" t="s">
        <v>69</v>
      </c>
      <c r="I1665" s="1" t="s">
        <v>58</v>
      </c>
      <c r="J1665" s="1" t="s">
        <v>70</v>
      </c>
      <c r="K1665" s="1" t="s">
        <v>36</v>
      </c>
      <c r="L1665" s="1" t="s">
        <v>113</v>
      </c>
      <c r="M1665" s="1" t="s">
        <v>50</v>
      </c>
      <c r="N1665" s="1" t="n">
        <v>11999</v>
      </c>
      <c r="O1665" s="1" t="n">
        <v>0</v>
      </c>
      <c r="P1665" s="1" t="n">
        <v>0</v>
      </c>
      <c r="Q1665" s="1" t="n">
        <v>11999</v>
      </c>
      <c r="R1665" s="1" t="n">
        <v>2159.82</v>
      </c>
      <c r="S1665" s="1" t="n">
        <v>9839.18</v>
      </c>
      <c r="T1665" s="1" t="n">
        <v>4575.68</v>
      </c>
      <c r="U1665" s="1" t="n">
        <v>5263.5</v>
      </c>
      <c r="V1665" s="1" t="n">
        <v>53.5</v>
      </c>
      <c r="W1665" s="1" t="s">
        <v>39</v>
      </c>
      <c r="X1665" s="1" t="n">
        <v>3.8</v>
      </c>
      <c r="Y1665" s="1" t="s">
        <v>40</v>
      </c>
      <c r="Z1665" s="1" t="n">
        <v>0</v>
      </c>
    </row>
    <row r="1666" customFormat="false" ht="15" hidden="false" customHeight="true" outlineLevel="0" collapsed="false">
      <c r="A1666" s="1" t="s">
        <v>2492</v>
      </c>
      <c r="B1666" s="1" t="s">
        <v>1275</v>
      </c>
      <c r="C1666" s="1" t="s">
        <v>28</v>
      </c>
      <c r="D1666" s="1" t="s">
        <v>123</v>
      </c>
      <c r="E1666" s="1" t="s">
        <v>124</v>
      </c>
      <c r="F1666" s="1" t="s">
        <v>156</v>
      </c>
      <c r="G1666" s="1" t="s">
        <v>68</v>
      </c>
      <c r="H1666" s="1" t="s">
        <v>57</v>
      </c>
      <c r="I1666" s="1" t="s">
        <v>83</v>
      </c>
      <c r="J1666" s="1" t="s">
        <v>131</v>
      </c>
      <c r="K1666" s="1" t="s">
        <v>90</v>
      </c>
      <c r="L1666" s="1" t="s">
        <v>85</v>
      </c>
      <c r="M1666" s="1" t="s">
        <v>50</v>
      </c>
      <c r="N1666" s="1" t="n">
        <v>4999</v>
      </c>
      <c r="O1666" s="1" t="n">
        <v>40</v>
      </c>
      <c r="P1666" s="1" t="n">
        <v>1999.6</v>
      </c>
      <c r="Q1666" s="1" t="n">
        <v>2999.4</v>
      </c>
      <c r="R1666" s="1" t="n">
        <v>539.89</v>
      </c>
      <c r="S1666" s="1" t="n">
        <v>2459.51</v>
      </c>
      <c r="T1666" s="1" t="n">
        <v>1415.45</v>
      </c>
      <c r="U1666" s="1" t="n">
        <v>1044.06</v>
      </c>
      <c r="V1666" s="1" t="n">
        <v>42.45</v>
      </c>
      <c r="W1666" s="1" t="s">
        <v>40</v>
      </c>
      <c r="Y1666" s="1" t="s">
        <v>39</v>
      </c>
      <c r="Z1666" s="1" t="n">
        <v>0</v>
      </c>
    </row>
    <row r="1667" customFormat="false" ht="15" hidden="false" customHeight="true" outlineLevel="0" collapsed="false">
      <c r="A1667" s="1" t="s">
        <v>2493</v>
      </c>
      <c r="B1667" s="1" t="s">
        <v>2285</v>
      </c>
      <c r="C1667" s="1" t="s">
        <v>88</v>
      </c>
      <c r="D1667" s="1" t="s">
        <v>80</v>
      </c>
      <c r="E1667" s="1" t="s">
        <v>81</v>
      </c>
      <c r="F1667" s="1" t="s">
        <v>205</v>
      </c>
      <c r="G1667" s="1" t="s">
        <v>56</v>
      </c>
      <c r="H1667" s="1" t="s">
        <v>69</v>
      </c>
      <c r="I1667" s="1" t="s">
        <v>58</v>
      </c>
      <c r="J1667" s="1" t="s">
        <v>131</v>
      </c>
      <c r="K1667" s="1" t="s">
        <v>84</v>
      </c>
      <c r="L1667" s="1" t="s">
        <v>61</v>
      </c>
      <c r="M1667" s="1" t="s">
        <v>38</v>
      </c>
      <c r="N1667" s="1" t="n">
        <v>12999</v>
      </c>
      <c r="O1667" s="1" t="n">
        <v>25</v>
      </c>
      <c r="P1667" s="1" t="n">
        <v>3249.75</v>
      </c>
      <c r="Q1667" s="1" t="n">
        <v>9749.25</v>
      </c>
      <c r="R1667" s="1" t="n">
        <v>1754.87</v>
      </c>
      <c r="S1667" s="1" t="n">
        <v>7994.38</v>
      </c>
      <c r="T1667" s="1" t="n">
        <v>3806.54</v>
      </c>
      <c r="U1667" s="1" t="n">
        <v>4187.84</v>
      </c>
      <c r="V1667" s="1" t="n">
        <v>52.38</v>
      </c>
      <c r="W1667" s="1" t="s">
        <v>39</v>
      </c>
      <c r="X1667" s="1" t="n">
        <v>4.5</v>
      </c>
      <c r="Y1667" s="1" t="s">
        <v>40</v>
      </c>
      <c r="Z1667" s="1" t="n">
        <v>0</v>
      </c>
    </row>
    <row r="1668" customFormat="false" ht="15" hidden="false" customHeight="true" outlineLevel="0" collapsed="false">
      <c r="A1668" s="1" t="s">
        <v>2494</v>
      </c>
      <c r="B1668" s="1" t="s">
        <v>830</v>
      </c>
      <c r="C1668" s="1" t="s">
        <v>134</v>
      </c>
      <c r="D1668" s="1" t="s">
        <v>44</v>
      </c>
      <c r="E1668" s="1" t="s">
        <v>221</v>
      </c>
      <c r="F1668" s="1" t="s">
        <v>153</v>
      </c>
      <c r="G1668" s="1" t="s">
        <v>76</v>
      </c>
      <c r="H1668" s="1" t="s">
        <v>33</v>
      </c>
      <c r="I1668" s="1" t="s">
        <v>83</v>
      </c>
      <c r="J1668" s="1" t="s">
        <v>59</v>
      </c>
      <c r="K1668" s="1" t="s">
        <v>48</v>
      </c>
      <c r="L1668" s="1" t="s">
        <v>37</v>
      </c>
      <c r="M1668" s="1" t="s">
        <v>62</v>
      </c>
      <c r="N1668" s="1" t="n">
        <v>16999</v>
      </c>
      <c r="O1668" s="1" t="n">
        <v>40</v>
      </c>
      <c r="P1668" s="1" t="n">
        <v>6799.6</v>
      </c>
      <c r="Q1668" s="1" t="n">
        <v>10199.4</v>
      </c>
      <c r="R1668" s="1" t="n">
        <v>1835.89</v>
      </c>
      <c r="S1668" s="1" t="n">
        <v>8363.51</v>
      </c>
      <c r="T1668" s="1" t="n">
        <v>5523.44</v>
      </c>
      <c r="U1668" s="1" t="n">
        <v>2840.07</v>
      </c>
      <c r="V1668" s="1" t="n">
        <v>33.96</v>
      </c>
      <c r="W1668" s="1" t="s">
        <v>39</v>
      </c>
      <c r="X1668" s="1" t="n">
        <v>3</v>
      </c>
      <c r="Y1668" s="1" t="s">
        <v>39</v>
      </c>
      <c r="Z1668" s="1" t="n">
        <v>0</v>
      </c>
    </row>
    <row r="1669" customFormat="false" ht="15" hidden="false" customHeight="true" outlineLevel="0" collapsed="false">
      <c r="A1669" s="1" t="s">
        <v>2495</v>
      </c>
      <c r="B1669" s="1" t="s">
        <v>827</v>
      </c>
      <c r="C1669" s="1" t="s">
        <v>167</v>
      </c>
      <c r="D1669" s="1" t="s">
        <v>123</v>
      </c>
      <c r="E1669" s="1" t="s">
        <v>233</v>
      </c>
      <c r="F1669" s="1" t="s">
        <v>140</v>
      </c>
      <c r="G1669" s="1" t="s">
        <v>97</v>
      </c>
      <c r="H1669" s="1" t="s">
        <v>57</v>
      </c>
      <c r="I1669" s="1" t="s">
        <v>83</v>
      </c>
      <c r="J1669" s="1" t="s">
        <v>131</v>
      </c>
      <c r="K1669" s="1" t="s">
        <v>60</v>
      </c>
      <c r="L1669" s="1" t="s">
        <v>85</v>
      </c>
      <c r="M1669" s="1" t="s">
        <v>50</v>
      </c>
      <c r="N1669" s="1" t="n">
        <v>8999</v>
      </c>
      <c r="O1669" s="1" t="n">
        <v>10</v>
      </c>
      <c r="P1669" s="1" t="n">
        <v>899.9</v>
      </c>
      <c r="Q1669" s="1" t="n">
        <v>8099.1</v>
      </c>
      <c r="R1669" s="1" t="n">
        <v>1457.84</v>
      </c>
      <c r="S1669" s="1" t="n">
        <v>6641.26</v>
      </c>
      <c r="T1669" s="1" t="n">
        <v>2714.29</v>
      </c>
      <c r="U1669" s="1" t="n">
        <v>3926.97</v>
      </c>
      <c r="V1669" s="1" t="n">
        <v>59.13</v>
      </c>
      <c r="W1669" s="1" t="s">
        <v>39</v>
      </c>
      <c r="X1669" s="1" t="n">
        <v>2.8</v>
      </c>
      <c r="Y1669" s="1" t="s">
        <v>40</v>
      </c>
      <c r="Z1669" s="1" t="n">
        <v>0</v>
      </c>
    </row>
    <row r="1670" customFormat="false" ht="15" hidden="false" customHeight="true" outlineLevel="0" collapsed="false">
      <c r="A1670" s="1" t="s">
        <v>2496</v>
      </c>
      <c r="B1670" s="1" t="s">
        <v>296</v>
      </c>
      <c r="C1670" s="1" t="s">
        <v>134</v>
      </c>
      <c r="D1670" s="1" t="s">
        <v>29</v>
      </c>
      <c r="E1670" s="1" t="s">
        <v>30</v>
      </c>
      <c r="F1670" s="1" t="s">
        <v>130</v>
      </c>
      <c r="G1670" s="1" t="s">
        <v>47</v>
      </c>
      <c r="H1670" s="1" t="s">
        <v>69</v>
      </c>
      <c r="I1670" s="1" t="s">
        <v>34</v>
      </c>
      <c r="J1670" s="1" t="s">
        <v>70</v>
      </c>
      <c r="K1670" s="1" t="s">
        <v>71</v>
      </c>
      <c r="L1670" s="1" t="s">
        <v>85</v>
      </c>
      <c r="M1670" s="1" t="s">
        <v>62</v>
      </c>
      <c r="N1670" s="1" t="n">
        <v>7999</v>
      </c>
      <c r="O1670" s="1" t="n">
        <v>20</v>
      </c>
      <c r="P1670" s="1" t="n">
        <v>1599.8</v>
      </c>
      <c r="Q1670" s="1" t="n">
        <v>6399.2</v>
      </c>
      <c r="R1670" s="1" t="n">
        <v>1151.86</v>
      </c>
      <c r="S1670" s="1" t="n">
        <v>5247.34</v>
      </c>
      <c r="T1670" s="1" t="n">
        <v>2030.38</v>
      </c>
      <c r="U1670" s="1" t="n">
        <v>3216.96</v>
      </c>
      <c r="V1670" s="1" t="n">
        <v>61.31</v>
      </c>
      <c r="W1670" s="1" t="s">
        <v>39</v>
      </c>
      <c r="X1670" s="1" t="n">
        <v>4.4</v>
      </c>
      <c r="Y1670" s="1" t="s">
        <v>40</v>
      </c>
      <c r="Z1670" s="1" t="n">
        <v>0</v>
      </c>
    </row>
    <row r="1671" customFormat="false" ht="15" hidden="false" customHeight="true" outlineLevel="0" collapsed="false">
      <c r="A1671" s="1" t="s">
        <v>2497</v>
      </c>
      <c r="B1671" s="1" t="s">
        <v>2460</v>
      </c>
      <c r="C1671" s="1" t="s">
        <v>74</v>
      </c>
      <c r="D1671" s="1" t="s">
        <v>94</v>
      </c>
      <c r="E1671" s="1" t="s">
        <v>95</v>
      </c>
      <c r="F1671" s="1" t="s">
        <v>96</v>
      </c>
      <c r="G1671" s="1" t="s">
        <v>97</v>
      </c>
      <c r="H1671" s="1" t="s">
        <v>69</v>
      </c>
      <c r="I1671" s="1" t="s">
        <v>34</v>
      </c>
      <c r="J1671" s="1" t="s">
        <v>131</v>
      </c>
      <c r="K1671" s="1" t="s">
        <v>90</v>
      </c>
      <c r="L1671" s="1" t="s">
        <v>136</v>
      </c>
      <c r="M1671" s="1" t="s">
        <v>62</v>
      </c>
      <c r="N1671" s="1" t="n">
        <v>6999</v>
      </c>
      <c r="O1671" s="1" t="n">
        <v>10</v>
      </c>
      <c r="P1671" s="1" t="n">
        <v>699.9</v>
      </c>
      <c r="Q1671" s="1" t="n">
        <v>6299.1</v>
      </c>
      <c r="R1671" s="1" t="n">
        <v>1133.84</v>
      </c>
      <c r="S1671" s="1" t="n">
        <v>5165.26</v>
      </c>
      <c r="T1671" s="1" t="n">
        <v>2047.29</v>
      </c>
      <c r="U1671" s="1" t="n">
        <v>3117.97</v>
      </c>
      <c r="V1671" s="1" t="n">
        <v>60.36</v>
      </c>
      <c r="W1671" s="1" t="s">
        <v>39</v>
      </c>
      <c r="X1671" s="1" t="n">
        <v>3.8</v>
      </c>
      <c r="Y1671" s="1" t="s">
        <v>40</v>
      </c>
      <c r="Z1671" s="1" t="n">
        <v>0</v>
      </c>
    </row>
    <row r="1672" customFormat="false" ht="15" hidden="false" customHeight="true" outlineLevel="0" collapsed="false">
      <c r="A1672" s="1" t="s">
        <v>2498</v>
      </c>
      <c r="B1672" s="1" t="s">
        <v>2499</v>
      </c>
      <c r="C1672" s="1" t="s">
        <v>88</v>
      </c>
      <c r="D1672" s="1" t="s">
        <v>29</v>
      </c>
      <c r="E1672" s="1" t="s">
        <v>30</v>
      </c>
      <c r="F1672" s="1" t="s">
        <v>184</v>
      </c>
      <c r="G1672" s="1" t="s">
        <v>56</v>
      </c>
      <c r="H1672" s="1" t="s">
        <v>57</v>
      </c>
      <c r="I1672" s="1" t="s">
        <v>34</v>
      </c>
      <c r="J1672" s="1" t="s">
        <v>35</v>
      </c>
      <c r="K1672" s="1" t="s">
        <v>36</v>
      </c>
      <c r="L1672" s="1" t="s">
        <v>85</v>
      </c>
      <c r="M1672" s="1" t="s">
        <v>50</v>
      </c>
      <c r="N1672" s="1" t="n">
        <v>7999</v>
      </c>
      <c r="O1672" s="1" t="n">
        <v>25</v>
      </c>
      <c r="P1672" s="1" t="n">
        <v>1999.75</v>
      </c>
      <c r="Q1672" s="1" t="n">
        <v>5999.25</v>
      </c>
      <c r="R1672" s="1" t="n">
        <v>1079.87</v>
      </c>
      <c r="S1672" s="1" t="n">
        <v>4919.38</v>
      </c>
      <c r="T1672" s="1" t="n">
        <v>1707.86</v>
      </c>
      <c r="U1672" s="1" t="n">
        <v>3211.52</v>
      </c>
      <c r="V1672" s="1" t="n">
        <v>65.28</v>
      </c>
      <c r="W1672" s="1" t="s">
        <v>39</v>
      </c>
      <c r="X1672" s="1" t="n">
        <v>3.2</v>
      </c>
      <c r="Y1672" s="1" t="s">
        <v>40</v>
      </c>
      <c r="Z1672" s="1" t="n">
        <v>1</v>
      </c>
    </row>
    <row r="1673" customFormat="false" ht="15" hidden="false" customHeight="true" outlineLevel="0" collapsed="false">
      <c r="A1673" s="1" t="s">
        <v>2500</v>
      </c>
      <c r="B1673" s="1" t="s">
        <v>1453</v>
      </c>
      <c r="C1673" s="1" t="s">
        <v>167</v>
      </c>
      <c r="D1673" s="1" t="s">
        <v>123</v>
      </c>
      <c r="E1673" s="1" t="s">
        <v>124</v>
      </c>
      <c r="F1673" s="1" t="s">
        <v>153</v>
      </c>
      <c r="G1673" s="1" t="s">
        <v>76</v>
      </c>
      <c r="H1673" s="1" t="s">
        <v>33</v>
      </c>
      <c r="I1673" s="1" t="s">
        <v>58</v>
      </c>
      <c r="J1673" s="1" t="s">
        <v>70</v>
      </c>
      <c r="K1673" s="1" t="s">
        <v>112</v>
      </c>
      <c r="L1673" s="1" t="s">
        <v>85</v>
      </c>
      <c r="M1673" s="1" t="s">
        <v>50</v>
      </c>
      <c r="N1673" s="1" t="n">
        <v>4999</v>
      </c>
      <c r="O1673" s="1" t="n">
        <v>15</v>
      </c>
      <c r="P1673" s="1" t="n">
        <v>749.85</v>
      </c>
      <c r="Q1673" s="1" t="n">
        <v>4249.15</v>
      </c>
      <c r="R1673" s="1" t="n">
        <v>764.85</v>
      </c>
      <c r="S1673" s="1" t="n">
        <v>3484.3</v>
      </c>
      <c r="T1673" s="1" t="n">
        <v>1268.98</v>
      </c>
      <c r="U1673" s="1" t="n">
        <v>2215.32</v>
      </c>
      <c r="V1673" s="1" t="n">
        <v>63.58</v>
      </c>
      <c r="W1673" s="1" t="s">
        <v>39</v>
      </c>
      <c r="X1673" s="1" t="n">
        <v>3</v>
      </c>
      <c r="Y1673" s="1" t="s">
        <v>40</v>
      </c>
      <c r="Z1673" s="1" t="n">
        <v>0</v>
      </c>
    </row>
    <row r="1674" customFormat="false" ht="15" hidden="false" customHeight="true" outlineLevel="0" collapsed="false">
      <c r="A1674" s="1" t="s">
        <v>2501</v>
      </c>
      <c r="B1674" s="1" t="s">
        <v>692</v>
      </c>
      <c r="C1674" s="1" t="s">
        <v>65</v>
      </c>
      <c r="D1674" s="1" t="s">
        <v>53</v>
      </c>
      <c r="E1674" s="1" t="s">
        <v>216</v>
      </c>
      <c r="F1674" s="1" t="s">
        <v>140</v>
      </c>
      <c r="G1674" s="1" t="s">
        <v>97</v>
      </c>
      <c r="H1674" s="1" t="s">
        <v>57</v>
      </c>
      <c r="I1674" s="1" t="s">
        <v>34</v>
      </c>
      <c r="J1674" s="1" t="s">
        <v>35</v>
      </c>
      <c r="K1674" s="1" t="s">
        <v>90</v>
      </c>
      <c r="L1674" s="1" t="s">
        <v>61</v>
      </c>
      <c r="M1674" s="1" t="s">
        <v>50</v>
      </c>
      <c r="N1674" s="1" t="n">
        <v>7499</v>
      </c>
      <c r="O1674" s="1" t="n">
        <v>15</v>
      </c>
      <c r="P1674" s="1" t="n">
        <v>1124.85</v>
      </c>
      <c r="Q1674" s="1" t="n">
        <v>6374.15</v>
      </c>
      <c r="R1674" s="1" t="n">
        <v>1147.35</v>
      </c>
      <c r="S1674" s="1" t="n">
        <v>5226.8</v>
      </c>
      <c r="T1674" s="1" t="n">
        <v>2212.1</v>
      </c>
      <c r="U1674" s="1" t="n">
        <v>3014.7</v>
      </c>
      <c r="V1674" s="1" t="n">
        <v>57.68</v>
      </c>
      <c r="W1674" s="1" t="s">
        <v>39</v>
      </c>
      <c r="X1674" s="1" t="n">
        <v>3.1</v>
      </c>
      <c r="Y1674" s="1" t="s">
        <v>40</v>
      </c>
      <c r="Z1674" s="1" t="n">
        <v>0</v>
      </c>
    </row>
    <row r="1675" customFormat="false" ht="15" hidden="false" customHeight="true" outlineLevel="0" collapsed="false">
      <c r="A1675" s="1" t="s">
        <v>2502</v>
      </c>
      <c r="B1675" s="1" t="s">
        <v>261</v>
      </c>
      <c r="C1675" s="1" t="s">
        <v>119</v>
      </c>
      <c r="D1675" s="1" t="s">
        <v>123</v>
      </c>
      <c r="E1675" s="1" t="s">
        <v>124</v>
      </c>
      <c r="F1675" s="1" t="s">
        <v>156</v>
      </c>
      <c r="G1675" s="1" t="s">
        <v>68</v>
      </c>
      <c r="H1675" s="1" t="s">
        <v>57</v>
      </c>
      <c r="I1675" s="1" t="s">
        <v>83</v>
      </c>
      <c r="J1675" s="1" t="s">
        <v>59</v>
      </c>
      <c r="K1675" s="1" t="s">
        <v>71</v>
      </c>
      <c r="L1675" s="1" t="s">
        <v>113</v>
      </c>
      <c r="M1675" s="1" t="s">
        <v>62</v>
      </c>
      <c r="N1675" s="1" t="n">
        <v>4999</v>
      </c>
      <c r="O1675" s="1" t="n">
        <v>0</v>
      </c>
      <c r="P1675" s="1" t="n">
        <v>0</v>
      </c>
      <c r="Q1675" s="1" t="n">
        <v>4999</v>
      </c>
      <c r="R1675" s="1" t="n">
        <v>899.82</v>
      </c>
      <c r="S1675" s="1" t="n">
        <v>4099.18</v>
      </c>
      <c r="T1675" s="1" t="n">
        <v>1867.04</v>
      </c>
      <c r="U1675" s="1" t="n">
        <v>2232.14</v>
      </c>
      <c r="V1675" s="1" t="n">
        <v>54.45</v>
      </c>
      <c r="W1675" s="1" t="s">
        <v>39</v>
      </c>
      <c r="X1675" s="1" t="n">
        <v>3.3</v>
      </c>
      <c r="Y1675" s="1" t="s">
        <v>40</v>
      </c>
      <c r="Z1675" s="1" t="n">
        <v>0</v>
      </c>
    </row>
    <row r="1676" customFormat="false" ht="15" hidden="false" customHeight="true" outlineLevel="0" collapsed="false">
      <c r="A1676" s="1" t="s">
        <v>2503</v>
      </c>
      <c r="B1676" s="1" t="s">
        <v>945</v>
      </c>
      <c r="C1676" s="1" t="s">
        <v>134</v>
      </c>
      <c r="D1676" s="1" t="s">
        <v>143</v>
      </c>
      <c r="E1676" s="1" t="s">
        <v>210</v>
      </c>
      <c r="F1676" s="1" t="s">
        <v>102</v>
      </c>
      <c r="G1676" s="1" t="s">
        <v>103</v>
      </c>
      <c r="H1676" s="1" t="s">
        <v>33</v>
      </c>
      <c r="I1676" s="1" t="s">
        <v>83</v>
      </c>
      <c r="J1676" s="1" t="s">
        <v>131</v>
      </c>
      <c r="K1676" s="1" t="s">
        <v>104</v>
      </c>
      <c r="L1676" s="1" t="s">
        <v>136</v>
      </c>
      <c r="M1676" s="1" t="s">
        <v>38</v>
      </c>
      <c r="N1676" s="1" t="n">
        <v>18999</v>
      </c>
      <c r="O1676" s="1" t="n">
        <v>25</v>
      </c>
      <c r="P1676" s="1" t="n">
        <v>4749.75</v>
      </c>
      <c r="Q1676" s="1" t="n">
        <v>14249.25</v>
      </c>
      <c r="R1676" s="1" t="n">
        <v>2564.86</v>
      </c>
      <c r="S1676" s="1" t="n">
        <v>11684.39</v>
      </c>
      <c r="T1676" s="1" t="n">
        <v>5452.74</v>
      </c>
      <c r="U1676" s="1" t="n">
        <v>6231.65</v>
      </c>
      <c r="V1676" s="1" t="n">
        <v>53.33</v>
      </c>
      <c r="W1676" s="1" t="s">
        <v>39</v>
      </c>
      <c r="X1676" s="1" t="n">
        <v>3.5</v>
      </c>
      <c r="Y1676" s="1" t="s">
        <v>40</v>
      </c>
      <c r="Z1676" s="1" t="n">
        <v>0</v>
      </c>
    </row>
    <row r="1677" customFormat="false" ht="15" hidden="false" customHeight="true" outlineLevel="0" collapsed="false">
      <c r="A1677" s="1" t="s">
        <v>2504</v>
      </c>
      <c r="B1677" s="1" t="s">
        <v>1671</v>
      </c>
      <c r="C1677" s="1" t="s">
        <v>128</v>
      </c>
      <c r="D1677" s="1" t="s">
        <v>94</v>
      </c>
      <c r="E1677" s="1" t="s">
        <v>101</v>
      </c>
      <c r="F1677" s="1" t="s">
        <v>125</v>
      </c>
      <c r="G1677" s="1" t="s">
        <v>108</v>
      </c>
      <c r="H1677" s="1" t="s">
        <v>69</v>
      </c>
      <c r="I1677" s="1" t="s">
        <v>34</v>
      </c>
      <c r="J1677" s="1" t="s">
        <v>70</v>
      </c>
      <c r="K1677" s="1" t="s">
        <v>104</v>
      </c>
      <c r="L1677" s="1" t="s">
        <v>136</v>
      </c>
      <c r="M1677" s="1" t="s">
        <v>38</v>
      </c>
      <c r="N1677" s="1" t="n">
        <v>14999</v>
      </c>
      <c r="O1677" s="1" t="n">
        <v>20</v>
      </c>
      <c r="P1677" s="1" t="n">
        <v>2999.8</v>
      </c>
      <c r="Q1677" s="1" t="n">
        <v>11999.2</v>
      </c>
      <c r="R1677" s="1" t="n">
        <v>2159.86</v>
      </c>
      <c r="S1677" s="1" t="n">
        <v>9839.34</v>
      </c>
      <c r="T1677" s="1" t="n">
        <v>3702.3</v>
      </c>
      <c r="U1677" s="1" t="n">
        <v>6137.04</v>
      </c>
      <c r="V1677" s="1" t="n">
        <v>62.37</v>
      </c>
      <c r="W1677" s="1" t="s">
        <v>39</v>
      </c>
      <c r="X1677" s="1" t="n">
        <v>4.4</v>
      </c>
      <c r="Y1677" s="1" t="s">
        <v>40</v>
      </c>
      <c r="Z1677" s="1" t="n">
        <v>2</v>
      </c>
    </row>
    <row r="1678" customFormat="false" ht="15" hidden="false" customHeight="true" outlineLevel="0" collapsed="false">
      <c r="A1678" s="1" t="s">
        <v>2505</v>
      </c>
      <c r="B1678" s="1" t="s">
        <v>246</v>
      </c>
      <c r="C1678" s="1" t="s">
        <v>28</v>
      </c>
      <c r="D1678" s="1" t="s">
        <v>80</v>
      </c>
      <c r="E1678" s="1" t="s">
        <v>190</v>
      </c>
      <c r="F1678" s="1" t="s">
        <v>194</v>
      </c>
      <c r="G1678" s="1" t="s">
        <v>103</v>
      </c>
      <c r="H1678" s="1" t="s">
        <v>69</v>
      </c>
      <c r="I1678" s="1" t="s">
        <v>34</v>
      </c>
      <c r="J1678" s="1" t="s">
        <v>35</v>
      </c>
      <c r="K1678" s="1" t="s">
        <v>112</v>
      </c>
      <c r="L1678" s="1" t="s">
        <v>49</v>
      </c>
      <c r="M1678" s="1" t="s">
        <v>62</v>
      </c>
      <c r="N1678" s="1" t="n">
        <v>15999</v>
      </c>
      <c r="O1678" s="1" t="n">
        <v>40</v>
      </c>
      <c r="P1678" s="1" t="n">
        <v>6399.6</v>
      </c>
      <c r="Q1678" s="1" t="n">
        <v>9599.4</v>
      </c>
      <c r="R1678" s="1" t="n">
        <v>1727.89</v>
      </c>
      <c r="S1678" s="1" t="n">
        <v>7871.51</v>
      </c>
      <c r="T1678" s="1" t="n">
        <v>4033.97</v>
      </c>
      <c r="U1678" s="1" t="n">
        <v>3837.54</v>
      </c>
      <c r="V1678" s="1" t="n">
        <v>48.75</v>
      </c>
      <c r="W1678" s="1" t="s">
        <v>39</v>
      </c>
      <c r="X1678" s="1" t="n">
        <v>3.3</v>
      </c>
      <c r="Y1678" s="1" t="s">
        <v>40</v>
      </c>
      <c r="Z1678" s="1" t="n">
        <v>0</v>
      </c>
    </row>
    <row r="1679" customFormat="false" ht="15" hidden="false" customHeight="true" outlineLevel="0" collapsed="false">
      <c r="A1679" s="1" t="s">
        <v>2506</v>
      </c>
      <c r="B1679" s="1" t="s">
        <v>371</v>
      </c>
      <c r="C1679" s="1" t="s">
        <v>249</v>
      </c>
      <c r="D1679" s="1" t="s">
        <v>53</v>
      </c>
      <c r="E1679" s="1" t="s">
        <v>216</v>
      </c>
      <c r="F1679" s="1" t="s">
        <v>67</v>
      </c>
      <c r="G1679" s="1" t="s">
        <v>68</v>
      </c>
      <c r="H1679" s="1" t="s">
        <v>69</v>
      </c>
      <c r="I1679" s="1" t="s">
        <v>34</v>
      </c>
      <c r="J1679" s="1" t="s">
        <v>77</v>
      </c>
      <c r="K1679" s="1" t="s">
        <v>48</v>
      </c>
      <c r="L1679" s="1" t="s">
        <v>113</v>
      </c>
      <c r="M1679" s="1" t="s">
        <v>38</v>
      </c>
      <c r="N1679" s="1" t="n">
        <v>7499</v>
      </c>
      <c r="O1679" s="1" t="n">
        <v>50</v>
      </c>
      <c r="P1679" s="1" t="n">
        <v>3749.5</v>
      </c>
      <c r="Q1679" s="1" t="n">
        <v>3749.5</v>
      </c>
      <c r="R1679" s="1" t="n">
        <v>674.91</v>
      </c>
      <c r="S1679" s="1" t="n">
        <v>3074.59</v>
      </c>
      <c r="T1679" s="1" t="n">
        <v>1583.36</v>
      </c>
      <c r="U1679" s="1" t="n">
        <v>1491.23</v>
      </c>
      <c r="V1679" s="1" t="n">
        <v>48.5</v>
      </c>
      <c r="W1679" s="1" t="s">
        <v>39</v>
      </c>
      <c r="X1679" s="1" t="n">
        <v>4.3</v>
      </c>
      <c r="Y1679" s="1" t="s">
        <v>40</v>
      </c>
      <c r="Z1679" s="1" t="n">
        <v>0</v>
      </c>
    </row>
    <row r="1680" customFormat="false" ht="15" hidden="false" customHeight="true" outlineLevel="0" collapsed="false">
      <c r="A1680" s="1" t="s">
        <v>2507</v>
      </c>
      <c r="B1680" s="1" t="s">
        <v>625</v>
      </c>
      <c r="C1680" s="1" t="s">
        <v>178</v>
      </c>
      <c r="D1680" s="1" t="s">
        <v>123</v>
      </c>
      <c r="E1680" s="1" t="s">
        <v>147</v>
      </c>
      <c r="F1680" s="1" t="s">
        <v>269</v>
      </c>
      <c r="G1680" s="1" t="s">
        <v>108</v>
      </c>
      <c r="H1680" s="1" t="s">
        <v>57</v>
      </c>
      <c r="I1680" s="1" t="s">
        <v>58</v>
      </c>
      <c r="J1680" s="1" t="s">
        <v>59</v>
      </c>
      <c r="K1680" s="1" t="s">
        <v>104</v>
      </c>
      <c r="L1680" s="1" t="s">
        <v>49</v>
      </c>
      <c r="M1680" s="1" t="s">
        <v>62</v>
      </c>
      <c r="N1680" s="1" t="n">
        <v>6999</v>
      </c>
      <c r="O1680" s="1" t="n">
        <v>50</v>
      </c>
      <c r="P1680" s="1" t="n">
        <v>3499.5</v>
      </c>
      <c r="Q1680" s="1" t="n">
        <v>3499.5</v>
      </c>
      <c r="R1680" s="1" t="n">
        <v>629.91</v>
      </c>
      <c r="S1680" s="1" t="n">
        <v>2869.59</v>
      </c>
      <c r="T1680" s="1" t="n">
        <v>1357.81</v>
      </c>
      <c r="U1680" s="1" t="n">
        <v>1511.78</v>
      </c>
      <c r="V1680" s="1" t="n">
        <v>52.68</v>
      </c>
      <c r="W1680" s="1" t="s">
        <v>39</v>
      </c>
      <c r="X1680" s="1" t="n">
        <v>3.9</v>
      </c>
      <c r="Y1680" s="1" t="s">
        <v>40</v>
      </c>
      <c r="Z1680" s="1" t="n">
        <v>0</v>
      </c>
    </row>
    <row r="1681" customFormat="false" ht="15" hidden="false" customHeight="true" outlineLevel="0" collapsed="false">
      <c r="A1681" s="1" t="s">
        <v>2508</v>
      </c>
      <c r="B1681" s="1" t="s">
        <v>2509</v>
      </c>
      <c r="C1681" s="1" t="s">
        <v>119</v>
      </c>
      <c r="D1681" s="1" t="s">
        <v>29</v>
      </c>
      <c r="E1681" s="1" t="s">
        <v>129</v>
      </c>
      <c r="F1681" s="1" t="s">
        <v>55</v>
      </c>
      <c r="G1681" s="1" t="s">
        <v>56</v>
      </c>
      <c r="H1681" s="1" t="s">
        <v>57</v>
      </c>
      <c r="I1681" s="1" t="s">
        <v>83</v>
      </c>
      <c r="J1681" s="1" t="s">
        <v>70</v>
      </c>
      <c r="K1681" s="1" t="s">
        <v>112</v>
      </c>
      <c r="L1681" s="1" t="s">
        <v>85</v>
      </c>
      <c r="M1681" s="1" t="s">
        <v>62</v>
      </c>
      <c r="N1681" s="1" t="n">
        <v>29999</v>
      </c>
      <c r="O1681" s="1" t="n">
        <v>20</v>
      </c>
      <c r="P1681" s="1" t="n">
        <v>5999.8</v>
      </c>
      <c r="Q1681" s="1" t="n">
        <v>23999.2</v>
      </c>
      <c r="R1681" s="1" t="n">
        <v>4319.86</v>
      </c>
      <c r="S1681" s="1" t="n">
        <v>19679.34</v>
      </c>
      <c r="T1681" s="1" t="n">
        <v>8284.36</v>
      </c>
      <c r="U1681" s="1" t="n">
        <v>11394.98</v>
      </c>
      <c r="V1681" s="1" t="n">
        <v>57.9</v>
      </c>
      <c r="W1681" s="1" t="s">
        <v>39</v>
      </c>
      <c r="X1681" s="1" t="n">
        <v>4.2</v>
      </c>
      <c r="Y1681" s="1" t="s">
        <v>40</v>
      </c>
      <c r="Z1681" s="1" t="n">
        <v>1</v>
      </c>
    </row>
    <row r="1682" customFormat="false" ht="15" hidden="false" customHeight="true" outlineLevel="0" collapsed="false">
      <c r="A1682" s="1" t="s">
        <v>2510</v>
      </c>
      <c r="B1682" s="1" t="s">
        <v>553</v>
      </c>
      <c r="C1682" s="1" t="s">
        <v>65</v>
      </c>
      <c r="D1682" s="1" t="s">
        <v>44</v>
      </c>
      <c r="E1682" s="1" t="s">
        <v>66</v>
      </c>
      <c r="F1682" s="1" t="s">
        <v>55</v>
      </c>
      <c r="G1682" s="1" t="s">
        <v>56</v>
      </c>
      <c r="H1682" s="1" t="s">
        <v>57</v>
      </c>
      <c r="I1682" s="1" t="s">
        <v>83</v>
      </c>
      <c r="J1682" s="1" t="s">
        <v>35</v>
      </c>
      <c r="K1682" s="1" t="s">
        <v>36</v>
      </c>
      <c r="L1682" s="1" t="s">
        <v>113</v>
      </c>
      <c r="M1682" s="1" t="s">
        <v>62</v>
      </c>
      <c r="N1682" s="1" t="n">
        <v>12999</v>
      </c>
      <c r="O1682" s="1" t="n">
        <v>25</v>
      </c>
      <c r="P1682" s="1" t="n">
        <v>3249.75</v>
      </c>
      <c r="Q1682" s="1" t="n">
        <v>9749.25</v>
      </c>
      <c r="R1682" s="1" t="n">
        <v>1754.87</v>
      </c>
      <c r="S1682" s="1" t="n">
        <v>7994.38</v>
      </c>
      <c r="T1682" s="1" t="n">
        <v>3167.22</v>
      </c>
      <c r="U1682" s="1" t="n">
        <v>4827.16</v>
      </c>
      <c r="V1682" s="1" t="n">
        <v>60.38</v>
      </c>
      <c r="W1682" s="1" t="s">
        <v>39</v>
      </c>
      <c r="X1682" s="1" t="n">
        <v>3.6</v>
      </c>
      <c r="Y1682" s="1" t="s">
        <v>40</v>
      </c>
      <c r="Z1682" s="1" t="n">
        <v>0</v>
      </c>
    </row>
    <row r="1683" customFormat="false" ht="15" hidden="false" customHeight="true" outlineLevel="0" collapsed="false">
      <c r="A1683" s="1" t="s">
        <v>2511</v>
      </c>
      <c r="B1683" s="1" t="s">
        <v>177</v>
      </c>
      <c r="C1683" s="1" t="s">
        <v>264</v>
      </c>
      <c r="D1683" s="1" t="s">
        <v>123</v>
      </c>
      <c r="E1683" s="1" t="s">
        <v>233</v>
      </c>
      <c r="F1683" s="1" t="s">
        <v>150</v>
      </c>
      <c r="G1683" s="1" t="s">
        <v>32</v>
      </c>
      <c r="H1683" s="1" t="s">
        <v>57</v>
      </c>
      <c r="I1683" s="1" t="s">
        <v>58</v>
      </c>
      <c r="J1683" s="1" t="s">
        <v>59</v>
      </c>
      <c r="K1683" s="1" t="s">
        <v>36</v>
      </c>
      <c r="L1683" s="1" t="s">
        <v>113</v>
      </c>
      <c r="M1683" s="1" t="s">
        <v>38</v>
      </c>
      <c r="N1683" s="1" t="n">
        <v>8999</v>
      </c>
      <c r="O1683" s="1" t="n">
        <v>50</v>
      </c>
      <c r="P1683" s="1" t="n">
        <v>4499.5</v>
      </c>
      <c r="Q1683" s="1" t="n">
        <v>4499.5</v>
      </c>
      <c r="R1683" s="1" t="n">
        <v>809.91</v>
      </c>
      <c r="S1683" s="1" t="n">
        <v>3689.59</v>
      </c>
      <c r="T1683" s="1" t="n">
        <v>1589.31</v>
      </c>
      <c r="U1683" s="1" t="n">
        <v>2100.28</v>
      </c>
      <c r="V1683" s="1" t="n">
        <v>56.92</v>
      </c>
      <c r="W1683" s="1" t="s">
        <v>39</v>
      </c>
      <c r="X1683" s="1" t="n">
        <v>3.9</v>
      </c>
      <c r="Y1683" s="1" t="s">
        <v>40</v>
      </c>
      <c r="Z1683" s="1" t="n">
        <v>0</v>
      </c>
    </row>
    <row r="1684" customFormat="false" ht="15" hidden="false" customHeight="true" outlineLevel="0" collapsed="false">
      <c r="A1684" s="1" t="s">
        <v>2512</v>
      </c>
      <c r="B1684" s="1" t="s">
        <v>1671</v>
      </c>
      <c r="C1684" s="1" t="s">
        <v>178</v>
      </c>
      <c r="D1684" s="1" t="s">
        <v>94</v>
      </c>
      <c r="E1684" s="1" t="s">
        <v>135</v>
      </c>
      <c r="F1684" s="1" t="s">
        <v>140</v>
      </c>
      <c r="G1684" s="1" t="s">
        <v>97</v>
      </c>
      <c r="H1684" s="1" t="s">
        <v>57</v>
      </c>
      <c r="I1684" s="1" t="s">
        <v>83</v>
      </c>
      <c r="J1684" s="1" t="s">
        <v>77</v>
      </c>
      <c r="K1684" s="1" t="s">
        <v>48</v>
      </c>
      <c r="L1684" s="1" t="s">
        <v>113</v>
      </c>
      <c r="M1684" s="1" t="s">
        <v>50</v>
      </c>
      <c r="N1684" s="1" t="n">
        <v>9999</v>
      </c>
      <c r="O1684" s="1" t="n">
        <v>15</v>
      </c>
      <c r="P1684" s="1" t="n">
        <v>1499.85</v>
      </c>
      <c r="Q1684" s="1" t="n">
        <v>8499.15</v>
      </c>
      <c r="R1684" s="1" t="n">
        <v>1529.85</v>
      </c>
      <c r="S1684" s="1" t="n">
        <v>6969.3</v>
      </c>
      <c r="T1684" s="1" t="n">
        <v>2746.92</v>
      </c>
      <c r="U1684" s="1" t="n">
        <v>4222.38</v>
      </c>
      <c r="V1684" s="1" t="n">
        <v>60.59</v>
      </c>
      <c r="W1684" s="1" t="s">
        <v>39</v>
      </c>
      <c r="X1684" s="1" t="n">
        <v>4.3</v>
      </c>
      <c r="Y1684" s="1" t="s">
        <v>40</v>
      </c>
      <c r="Z1684" s="1" t="n">
        <v>0</v>
      </c>
    </row>
    <row r="1685" customFormat="false" ht="15" hidden="false" customHeight="true" outlineLevel="0" collapsed="false">
      <c r="A1685" s="1" t="s">
        <v>2513</v>
      </c>
      <c r="B1685" s="1" t="s">
        <v>747</v>
      </c>
      <c r="C1685" s="1" t="s">
        <v>128</v>
      </c>
      <c r="D1685" s="1" t="s">
        <v>80</v>
      </c>
      <c r="E1685" s="1" t="s">
        <v>81</v>
      </c>
      <c r="F1685" s="1" t="s">
        <v>89</v>
      </c>
      <c r="G1685" s="1" t="s">
        <v>68</v>
      </c>
      <c r="H1685" s="1" t="s">
        <v>33</v>
      </c>
      <c r="I1685" s="1" t="s">
        <v>83</v>
      </c>
      <c r="J1685" s="1" t="s">
        <v>59</v>
      </c>
      <c r="K1685" s="1" t="s">
        <v>104</v>
      </c>
      <c r="L1685" s="1" t="s">
        <v>136</v>
      </c>
      <c r="M1685" s="1" t="s">
        <v>62</v>
      </c>
      <c r="N1685" s="1" t="n">
        <v>12999</v>
      </c>
      <c r="O1685" s="1" t="n">
        <v>50</v>
      </c>
      <c r="P1685" s="1" t="n">
        <v>6499.5</v>
      </c>
      <c r="Q1685" s="1" t="n">
        <v>6499.5</v>
      </c>
      <c r="R1685" s="1" t="n">
        <v>1169.91</v>
      </c>
      <c r="S1685" s="1" t="n">
        <v>5329.59</v>
      </c>
      <c r="T1685" s="1" t="n">
        <v>3245.64</v>
      </c>
      <c r="U1685" s="1" t="n">
        <v>2083.95</v>
      </c>
      <c r="V1685" s="1" t="n">
        <v>39.1</v>
      </c>
      <c r="W1685" s="1" t="s">
        <v>40</v>
      </c>
      <c r="Y1685" s="1" t="s">
        <v>40</v>
      </c>
      <c r="Z1685" s="1" t="n">
        <v>2</v>
      </c>
    </row>
    <row r="1686" customFormat="false" ht="15" hidden="false" customHeight="true" outlineLevel="0" collapsed="false">
      <c r="A1686" s="1" t="s">
        <v>2514</v>
      </c>
      <c r="B1686" s="1" t="s">
        <v>350</v>
      </c>
      <c r="C1686" s="1" t="s">
        <v>139</v>
      </c>
      <c r="D1686" s="1" t="s">
        <v>53</v>
      </c>
      <c r="E1686" s="1" t="s">
        <v>216</v>
      </c>
      <c r="F1686" s="1" t="s">
        <v>120</v>
      </c>
      <c r="G1686" s="1" t="s">
        <v>47</v>
      </c>
      <c r="H1686" s="1" t="s">
        <v>57</v>
      </c>
      <c r="I1686" s="1" t="s">
        <v>83</v>
      </c>
      <c r="J1686" s="1" t="s">
        <v>131</v>
      </c>
      <c r="K1686" s="1" t="s">
        <v>84</v>
      </c>
      <c r="L1686" s="1" t="s">
        <v>136</v>
      </c>
      <c r="M1686" s="1" t="s">
        <v>38</v>
      </c>
      <c r="N1686" s="1" t="n">
        <v>7499</v>
      </c>
      <c r="O1686" s="1" t="n">
        <v>0</v>
      </c>
      <c r="P1686" s="1" t="n">
        <v>0</v>
      </c>
      <c r="Q1686" s="1" t="n">
        <v>7499</v>
      </c>
      <c r="R1686" s="1" t="n">
        <v>1349.82</v>
      </c>
      <c r="S1686" s="1" t="n">
        <v>6149.18</v>
      </c>
      <c r="T1686" s="1" t="n">
        <v>3239.86</v>
      </c>
      <c r="U1686" s="1" t="n">
        <v>2909.32</v>
      </c>
      <c r="V1686" s="1" t="n">
        <v>47.31</v>
      </c>
      <c r="W1686" s="1" t="s">
        <v>40</v>
      </c>
      <c r="Y1686" s="1" t="s">
        <v>40</v>
      </c>
      <c r="Z1686" s="1" t="n">
        <v>1</v>
      </c>
    </row>
    <row r="1687" customFormat="false" ht="15" hidden="false" customHeight="true" outlineLevel="0" collapsed="false">
      <c r="A1687" s="1" t="s">
        <v>2515</v>
      </c>
      <c r="B1687" s="1" t="s">
        <v>448</v>
      </c>
      <c r="C1687" s="1" t="s">
        <v>100</v>
      </c>
      <c r="D1687" s="1" t="s">
        <v>143</v>
      </c>
      <c r="E1687" s="1" t="s">
        <v>144</v>
      </c>
      <c r="F1687" s="1" t="s">
        <v>153</v>
      </c>
      <c r="G1687" s="1" t="s">
        <v>76</v>
      </c>
      <c r="H1687" s="1" t="s">
        <v>33</v>
      </c>
      <c r="I1687" s="1" t="s">
        <v>58</v>
      </c>
      <c r="J1687" s="1" t="s">
        <v>77</v>
      </c>
      <c r="K1687" s="1" t="s">
        <v>90</v>
      </c>
      <c r="L1687" s="1" t="s">
        <v>85</v>
      </c>
      <c r="M1687" s="1" t="s">
        <v>62</v>
      </c>
      <c r="N1687" s="1" t="n">
        <v>12999</v>
      </c>
      <c r="O1687" s="1" t="n">
        <v>5</v>
      </c>
      <c r="P1687" s="1" t="n">
        <v>649.95</v>
      </c>
      <c r="Q1687" s="1" t="n">
        <v>12349.05</v>
      </c>
      <c r="R1687" s="1" t="n">
        <v>2222.83</v>
      </c>
      <c r="S1687" s="1" t="n">
        <v>10126.22</v>
      </c>
      <c r="T1687" s="1" t="n">
        <v>4056.63</v>
      </c>
      <c r="U1687" s="1" t="n">
        <v>6069.59</v>
      </c>
      <c r="V1687" s="1" t="n">
        <v>59.94</v>
      </c>
      <c r="W1687" s="1" t="s">
        <v>40</v>
      </c>
      <c r="Y1687" s="1" t="s">
        <v>40</v>
      </c>
      <c r="Z1687" s="1" t="n">
        <v>0</v>
      </c>
    </row>
    <row r="1688" customFormat="false" ht="15" hidden="false" customHeight="true" outlineLevel="0" collapsed="false">
      <c r="A1688" s="1" t="s">
        <v>2516</v>
      </c>
      <c r="B1688" s="1" t="s">
        <v>241</v>
      </c>
      <c r="C1688" s="1" t="s">
        <v>264</v>
      </c>
      <c r="D1688" s="1" t="s">
        <v>80</v>
      </c>
      <c r="E1688" s="1" t="s">
        <v>193</v>
      </c>
      <c r="F1688" s="1" t="s">
        <v>184</v>
      </c>
      <c r="G1688" s="1" t="s">
        <v>56</v>
      </c>
      <c r="H1688" s="1" t="s">
        <v>57</v>
      </c>
      <c r="I1688" s="1" t="s">
        <v>34</v>
      </c>
      <c r="J1688" s="1" t="s">
        <v>77</v>
      </c>
      <c r="K1688" s="1" t="s">
        <v>36</v>
      </c>
      <c r="L1688" s="1" t="s">
        <v>49</v>
      </c>
      <c r="M1688" s="1" t="s">
        <v>50</v>
      </c>
      <c r="N1688" s="1" t="n">
        <v>8999</v>
      </c>
      <c r="O1688" s="1" t="n">
        <v>40</v>
      </c>
      <c r="P1688" s="1" t="n">
        <v>3599.6</v>
      </c>
      <c r="Q1688" s="1" t="n">
        <v>5399.4</v>
      </c>
      <c r="R1688" s="1" t="n">
        <v>971.89</v>
      </c>
      <c r="S1688" s="1" t="n">
        <v>4427.51</v>
      </c>
      <c r="T1688" s="1" t="n">
        <v>2495.69</v>
      </c>
      <c r="U1688" s="1" t="n">
        <v>1931.82</v>
      </c>
      <c r="V1688" s="1" t="n">
        <v>43.63</v>
      </c>
      <c r="W1688" s="1" t="s">
        <v>40</v>
      </c>
      <c r="Y1688" s="1" t="s">
        <v>40</v>
      </c>
      <c r="Z1688" s="1" t="n">
        <v>2</v>
      </c>
    </row>
    <row r="1689" customFormat="false" ht="15" hidden="false" customHeight="true" outlineLevel="0" collapsed="false">
      <c r="A1689" s="1" t="s">
        <v>2517</v>
      </c>
      <c r="B1689" s="1" t="s">
        <v>2518</v>
      </c>
      <c r="C1689" s="1" t="s">
        <v>128</v>
      </c>
      <c r="D1689" s="1" t="s">
        <v>123</v>
      </c>
      <c r="E1689" s="1" t="s">
        <v>233</v>
      </c>
      <c r="F1689" s="1" t="s">
        <v>150</v>
      </c>
      <c r="G1689" s="1" t="s">
        <v>32</v>
      </c>
      <c r="H1689" s="1" t="s">
        <v>57</v>
      </c>
      <c r="I1689" s="1" t="s">
        <v>58</v>
      </c>
      <c r="J1689" s="1" t="s">
        <v>35</v>
      </c>
      <c r="K1689" s="1" t="s">
        <v>84</v>
      </c>
      <c r="L1689" s="1" t="s">
        <v>37</v>
      </c>
      <c r="M1689" s="1" t="s">
        <v>62</v>
      </c>
      <c r="N1689" s="1" t="n">
        <v>8999</v>
      </c>
      <c r="O1689" s="1" t="n">
        <v>5</v>
      </c>
      <c r="P1689" s="1" t="n">
        <v>449.95</v>
      </c>
      <c r="Q1689" s="1" t="n">
        <v>8549.05</v>
      </c>
      <c r="R1689" s="1" t="n">
        <v>1538.83</v>
      </c>
      <c r="S1689" s="1" t="n">
        <v>7010.22</v>
      </c>
      <c r="T1689" s="1" t="n">
        <v>2779.09</v>
      </c>
      <c r="U1689" s="1" t="n">
        <v>4231.13</v>
      </c>
      <c r="V1689" s="1" t="n">
        <v>60.36</v>
      </c>
      <c r="W1689" s="1" t="s">
        <v>39</v>
      </c>
      <c r="X1689" s="1" t="n">
        <v>3.6</v>
      </c>
      <c r="Y1689" s="1" t="s">
        <v>40</v>
      </c>
      <c r="Z1689" s="1" t="n">
        <v>2</v>
      </c>
    </row>
    <row r="1690" customFormat="false" ht="15" hidden="false" customHeight="true" outlineLevel="0" collapsed="false">
      <c r="A1690" s="1" t="s">
        <v>2519</v>
      </c>
      <c r="B1690" s="1" t="s">
        <v>344</v>
      </c>
      <c r="C1690" s="1" t="s">
        <v>167</v>
      </c>
      <c r="D1690" s="1" t="s">
        <v>80</v>
      </c>
      <c r="E1690" s="1" t="s">
        <v>190</v>
      </c>
      <c r="F1690" s="1" t="s">
        <v>75</v>
      </c>
      <c r="G1690" s="1" t="s">
        <v>76</v>
      </c>
      <c r="H1690" s="1" t="s">
        <v>69</v>
      </c>
      <c r="I1690" s="1" t="s">
        <v>83</v>
      </c>
      <c r="J1690" s="1" t="s">
        <v>131</v>
      </c>
      <c r="K1690" s="1" t="s">
        <v>84</v>
      </c>
      <c r="L1690" s="1" t="s">
        <v>61</v>
      </c>
      <c r="M1690" s="1" t="s">
        <v>38</v>
      </c>
      <c r="N1690" s="1" t="n">
        <v>15999</v>
      </c>
      <c r="O1690" s="1" t="n">
        <v>50</v>
      </c>
      <c r="P1690" s="1" t="n">
        <v>7999.5</v>
      </c>
      <c r="Q1690" s="1" t="n">
        <v>7999.5</v>
      </c>
      <c r="R1690" s="1" t="n">
        <v>1439.91</v>
      </c>
      <c r="S1690" s="1" t="n">
        <v>6559.59</v>
      </c>
      <c r="T1690" s="1" t="n">
        <v>3027.38</v>
      </c>
      <c r="U1690" s="1" t="n">
        <v>3532.21</v>
      </c>
      <c r="V1690" s="1" t="n">
        <v>53.85</v>
      </c>
      <c r="W1690" s="1" t="s">
        <v>39</v>
      </c>
      <c r="X1690" s="1" t="n">
        <v>4</v>
      </c>
      <c r="Y1690" s="1" t="s">
        <v>40</v>
      </c>
      <c r="Z1690" s="1" t="n">
        <v>2</v>
      </c>
    </row>
    <row r="1691" customFormat="false" ht="15" hidden="false" customHeight="true" outlineLevel="0" collapsed="false">
      <c r="A1691" s="1" t="s">
        <v>2520</v>
      </c>
      <c r="B1691" s="1" t="s">
        <v>866</v>
      </c>
      <c r="C1691" s="1" t="s">
        <v>264</v>
      </c>
      <c r="D1691" s="1" t="s">
        <v>123</v>
      </c>
      <c r="E1691" s="1" t="s">
        <v>147</v>
      </c>
      <c r="F1691" s="1" t="s">
        <v>269</v>
      </c>
      <c r="G1691" s="1" t="s">
        <v>108</v>
      </c>
      <c r="H1691" s="1" t="s">
        <v>57</v>
      </c>
      <c r="I1691" s="1" t="s">
        <v>58</v>
      </c>
      <c r="J1691" s="1" t="s">
        <v>59</v>
      </c>
      <c r="K1691" s="1" t="s">
        <v>90</v>
      </c>
      <c r="L1691" s="1" t="s">
        <v>61</v>
      </c>
      <c r="M1691" s="1" t="s">
        <v>62</v>
      </c>
      <c r="N1691" s="1" t="n">
        <v>6999</v>
      </c>
      <c r="O1691" s="1" t="n">
        <v>10</v>
      </c>
      <c r="P1691" s="1" t="n">
        <v>699.9</v>
      </c>
      <c r="Q1691" s="1" t="n">
        <v>6299.1</v>
      </c>
      <c r="R1691" s="1" t="n">
        <v>1133.84</v>
      </c>
      <c r="S1691" s="1" t="n">
        <v>5165.26</v>
      </c>
      <c r="T1691" s="1" t="n">
        <v>2474.68</v>
      </c>
      <c r="U1691" s="1" t="n">
        <v>2690.58</v>
      </c>
      <c r="V1691" s="1" t="n">
        <v>52.09</v>
      </c>
      <c r="W1691" s="1" t="s">
        <v>39</v>
      </c>
      <c r="X1691" s="1" t="n">
        <v>4.4</v>
      </c>
      <c r="Y1691" s="1" t="s">
        <v>40</v>
      </c>
      <c r="Z1691" s="1" t="n">
        <v>0</v>
      </c>
    </row>
    <row r="1692" customFormat="false" ht="15" hidden="false" customHeight="true" outlineLevel="0" collapsed="false">
      <c r="A1692" s="1" t="s">
        <v>2521</v>
      </c>
      <c r="B1692" s="1" t="s">
        <v>2341</v>
      </c>
      <c r="C1692" s="1" t="s">
        <v>88</v>
      </c>
      <c r="D1692" s="1" t="s">
        <v>44</v>
      </c>
      <c r="E1692" s="1" t="s">
        <v>221</v>
      </c>
      <c r="F1692" s="1" t="s">
        <v>153</v>
      </c>
      <c r="G1692" s="1" t="s">
        <v>76</v>
      </c>
      <c r="H1692" s="1" t="s">
        <v>33</v>
      </c>
      <c r="I1692" s="1" t="s">
        <v>58</v>
      </c>
      <c r="J1692" s="1" t="s">
        <v>35</v>
      </c>
      <c r="K1692" s="1" t="s">
        <v>90</v>
      </c>
      <c r="L1692" s="1" t="s">
        <v>37</v>
      </c>
      <c r="M1692" s="1" t="s">
        <v>38</v>
      </c>
      <c r="N1692" s="1" t="n">
        <v>16999</v>
      </c>
      <c r="O1692" s="1" t="n">
        <v>10</v>
      </c>
      <c r="P1692" s="1" t="n">
        <v>1699.9</v>
      </c>
      <c r="Q1692" s="1" t="n">
        <v>15299.1</v>
      </c>
      <c r="R1692" s="1" t="n">
        <v>2753.84</v>
      </c>
      <c r="S1692" s="1" t="n">
        <v>12545.26</v>
      </c>
      <c r="T1692" s="1" t="n">
        <v>6333.66</v>
      </c>
      <c r="U1692" s="1" t="n">
        <v>6211.6</v>
      </c>
      <c r="V1692" s="1" t="n">
        <v>49.51</v>
      </c>
      <c r="W1692" s="1" t="s">
        <v>39</v>
      </c>
      <c r="X1692" s="1" t="n">
        <v>2.2</v>
      </c>
      <c r="Y1692" s="1" t="s">
        <v>40</v>
      </c>
      <c r="Z1692" s="1" t="n">
        <v>0</v>
      </c>
    </row>
    <row r="1693" customFormat="false" ht="15" hidden="false" customHeight="true" outlineLevel="0" collapsed="false">
      <c r="A1693" s="1" t="s">
        <v>2522</v>
      </c>
      <c r="B1693" s="1" t="s">
        <v>1205</v>
      </c>
      <c r="C1693" s="1" t="s">
        <v>119</v>
      </c>
      <c r="D1693" s="1" t="s">
        <v>80</v>
      </c>
      <c r="E1693" s="1" t="s">
        <v>190</v>
      </c>
      <c r="F1693" s="1" t="s">
        <v>89</v>
      </c>
      <c r="G1693" s="1" t="s">
        <v>68</v>
      </c>
      <c r="H1693" s="1" t="s">
        <v>33</v>
      </c>
      <c r="I1693" s="1" t="s">
        <v>34</v>
      </c>
      <c r="J1693" s="1" t="s">
        <v>70</v>
      </c>
      <c r="K1693" s="1" t="s">
        <v>60</v>
      </c>
      <c r="L1693" s="1" t="s">
        <v>136</v>
      </c>
      <c r="M1693" s="1" t="s">
        <v>62</v>
      </c>
      <c r="N1693" s="1" t="n">
        <v>15999</v>
      </c>
      <c r="O1693" s="1" t="n">
        <v>0</v>
      </c>
      <c r="P1693" s="1" t="n">
        <v>0</v>
      </c>
      <c r="Q1693" s="1" t="n">
        <v>15999</v>
      </c>
      <c r="R1693" s="1" t="n">
        <v>2879.82</v>
      </c>
      <c r="S1693" s="1" t="n">
        <v>13119.18</v>
      </c>
      <c r="T1693" s="1" t="n">
        <v>5935.99</v>
      </c>
      <c r="U1693" s="1" t="n">
        <v>7183.19</v>
      </c>
      <c r="V1693" s="1" t="n">
        <v>54.75</v>
      </c>
      <c r="W1693" s="1" t="s">
        <v>39</v>
      </c>
      <c r="X1693" s="1" t="n">
        <v>4.3</v>
      </c>
      <c r="Y1693" s="1" t="s">
        <v>40</v>
      </c>
      <c r="Z1693" s="1" t="n">
        <v>0</v>
      </c>
    </row>
    <row r="1694" customFormat="false" ht="15" hidden="false" customHeight="true" outlineLevel="0" collapsed="false">
      <c r="A1694" s="1" t="s">
        <v>2523</v>
      </c>
      <c r="B1694" s="1" t="s">
        <v>787</v>
      </c>
      <c r="C1694" s="1" t="s">
        <v>74</v>
      </c>
      <c r="D1694" s="1" t="s">
        <v>123</v>
      </c>
      <c r="E1694" s="1" t="s">
        <v>147</v>
      </c>
      <c r="F1694" s="1" t="s">
        <v>125</v>
      </c>
      <c r="G1694" s="1" t="s">
        <v>108</v>
      </c>
      <c r="H1694" s="1" t="s">
        <v>69</v>
      </c>
      <c r="I1694" s="1" t="s">
        <v>34</v>
      </c>
      <c r="J1694" s="1" t="s">
        <v>77</v>
      </c>
      <c r="K1694" s="1" t="s">
        <v>36</v>
      </c>
      <c r="L1694" s="1" t="s">
        <v>49</v>
      </c>
      <c r="M1694" s="1" t="s">
        <v>62</v>
      </c>
      <c r="N1694" s="1" t="n">
        <v>6999</v>
      </c>
      <c r="O1694" s="1" t="n">
        <v>10</v>
      </c>
      <c r="P1694" s="1" t="n">
        <v>699.9</v>
      </c>
      <c r="Q1694" s="1" t="n">
        <v>6299.1</v>
      </c>
      <c r="R1694" s="1" t="n">
        <v>1133.84</v>
      </c>
      <c r="S1694" s="1" t="n">
        <v>5165.26</v>
      </c>
      <c r="T1694" s="1" t="n">
        <v>2121.48</v>
      </c>
      <c r="U1694" s="1" t="n">
        <v>3043.78</v>
      </c>
      <c r="V1694" s="1" t="n">
        <v>58.93</v>
      </c>
      <c r="W1694" s="1" t="s">
        <v>39</v>
      </c>
      <c r="X1694" s="1" t="n">
        <v>4.6</v>
      </c>
      <c r="Y1694" s="1" t="s">
        <v>40</v>
      </c>
      <c r="Z1694" s="1" t="n">
        <v>0</v>
      </c>
    </row>
    <row r="1695" customFormat="false" ht="15" hidden="false" customHeight="true" outlineLevel="0" collapsed="false">
      <c r="A1695" s="1" t="s">
        <v>2524</v>
      </c>
      <c r="B1695" s="1" t="s">
        <v>740</v>
      </c>
      <c r="C1695" s="1" t="s">
        <v>178</v>
      </c>
      <c r="D1695" s="1" t="s">
        <v>80</v>
      </c>
      <c r="E1695" s="1" t="s">
        <v>193</v>
      </c>
      <c r="F1695" s="1" t="s">
        <v>244</v>
      </c>
      <c r="G1695" s="1" t="s">
        <v>97</v>
      </c>
      <c r="H1695" s="1" t="s">
        <v>57</v>
      </c>
      <c r="I1695" s="1" t="s">
        <v>83</v>
      </c>
      <c r="J1695" s="1" t="s">
        <v>77</v>
      </c>
      <c r="K1695" s="1" t="s">
        <v>84</v>
      </c>
      <c r="L1695" s="1" t="s">
        <v>113</v>
      </c>
      <c r="M1695" s="1" t="s">
        <v>50</v>
      </c>
      <c r="N1695" s="1" t="n">
        <v>8999</v>
      </c>
      <c r="O1695" s="1" t="n">
        <v>25</v>
      </c>
      <c r="P1695" s="1" t="n">
        <v>2249.75</v>
      </c>
      <c r="Q1695" s="1" t="n">
        <v>6749.25</v>
      </c>
      <c r="R1695" s="1" t="n">
        <v>1214.87</v>
      </c>
      <c r="S1695" s="1" t="n">
        <v>5534.38</v>
      </c>
      <c r="T1695" s="1" t="n">
        <v>2302.93</v>
      </c>
      <c r="U1695" s="1" t="n">
        <v>3231.45</v>
      </c>
      <c r="V1695" s="1" t="n">
        <v>58.39</v>
      </c>
      <c r="W1695" s="1" t="s">
        <v>40</v>
      </c>
      <c r="Y1695" s="1" t="s">
        <v>40</v>
      </c>
      <c r="Z1695" s="1" t="n">
        <v>4</v>
      </c>
    </row>
    <row r="1696" customFormat="false" ht="15" hidden="false" customHeight="true" outlineLevel="0" collapsed="false">
      <c r="A1696" s="1" t="s">
        <v>2525</v>
      </c>
      <c r="B1696" s="1" t="s">
        <v>2267</v>
      </c>
      <c r="C1696" s="1" t="s">
        <v>88</v>
      </c>
      <c r="D1696" s="1" t="s">
        <v>123</v>
      </c>
      <c r="E1696" s="1" t="s">
        <v>124</v>
      </c>
      <c r="F1696" s="1" t="s">
        <v>269</v>
      </c>
      <c r="G1696" s="1" t="s">
        <v>108</v>
      </c>
      <c r="H1696" s="1" t="s">
        <v>57</v>
      </c>
      <c r="I1696" s="1" t="s">
        <v>34</v>
      </c>
      <c r="J1696" s="1" t="s">
        <v>70</v>
      </c>
      <c r="K1696" s="1" t="s">
        <v>90</v>
      </c>
      <c r="L1696" s="1" t="s">
        <v>37</v>
      </c>
      <c r="M1696" s="1" t="s">
        <v>62</v>
      </c>
      <c r="N1696" s="1" t="n">
        <v>4999</v>
      </c>
      <c r="O1696" s="1" t="n">
        <v>20</v>
      </c>
      <c r="P1696" s="1" t="n">
        <v>999.8</v>
      </c>
      <c r="Q1696" s="1" t="n">
        <v>3999.2</v>
      </c>
      <c r="R1696" s="1" t="n">
        <v>719.86</v>
      </c>
      <c r="S1696" s="1" t="n">
        <v>3279.34</v>
      </c>
      <c r="T1696" s="1" t="n">
        <v>1560.09</v>
      </c>
      <c r="U1696" s="1" t="n">
        <v>1719.25</v>
      </c>
      <c r="V1696" s="1" t="n">
        <v>52.43</v>
      </c>
      <c r="W1696" s="1" t="s">
        <v>39</v>
      </c>
      <c r="X1696" s="1" t="n">
        <v>4.3</v>
      </c>
      <c r="Y1696" s="1" t="s">
        <v>40</v>
      </c>
      <c r="Z1696" s="1" t="n">
        <v>0</v>
      </c>
    </row>
    <row r="1697" customFormat="false" ht="15" hidden="false" customHeight="true" outlineLevel="0" collapsed="false">
      <c r="A1697" s="1" t="s">
        <v>2526</v>
      </c>
      <c r="B1697" s="1" t="s">
        <v>1550</v>
      </c>
      <c r="C1697" s="1" t="s">
        <v>264</v>
      </c>
      <c r="D1697" s="1" t="s">
        <v>94</v>
      </c>
      <c r="E1697" s="1" t="s">
        <v>135</v>
      </c>
      <c r="F1697" s="1" t="s">
        <v>140</v>
      </c>
      <c r="G1697" s="1" t="s">
        <v>97</v>
      </c>
      <c r="H1697" s="1" t="s">
        <v>57</v>
      </c>
      <c r="I1697" s="1" t="s">
        <v>58</v>
      </c>
      <c r="J1697" s="1" t="s">
        <v>59</v>
      </c>
      <c r="K1697" s="1" t="s">
        <v>112</v>
      </c>
      <c r="L1697" s="1" t="s">
        <v>136</v>
      </c>
      <c r="M1697" s="1" t="s">
        <v>62</v>
      </c>
      <c r="N1697" s="1" t="n">
        <v>9999</v>
      </c>
      <c r="O1697" s="1" t="n">
        <v>25</v>
      </c>
      <c r="P1697" s="1" t="n">
        <v>2499.75</v>
      </c>
      <c r="Q1697" s="1" t="n">
        <v>7499.25</v>
      </c>
      <c r="R1697" s="1" t="n">
        <v>1349.87</v>
      </c>
      <c r="S1697" s="1" t="n">
        <v>6149.38</v>
      </c>
      <c r="T1697" s="1" t="n">
        <v>2770.03</v>
      </c>
      <c r="U1697" s="1" t="n">
        <v>3379.35</v>
      </c>
      <c r="V1697" s="1" t="n">
        <v>54.95</v>
      </c>
      <c r="W1697" s="1" t="s">
        <v>40</v>
      </c>
      <c r="Y1697" s="1" t="s">
        <v>40</v>
      </c>
      <c r="Z1697" s="1" t="n">
        <v>0</v>
      </c>
    </row>
    <row r="1698" customFormat="false" ht="15" hidden="false" customHeight="true" outlineLevel="0" collapsed="false">
      <c r="A1698" s="1" t="s">
        <v>2527</v>
      </c>
      <c r="B1698" s="1" t="s">
        <v>1553</v>
      </c>
      <c r="C1698" s="1" t="s">
        <v>43</v>
      </c>
      <c r="D1698" s="1" t="s">
        <v>168</v>
      </c>
      <c r="E1698" s="1" t="s">
        <v>328</v>
      </c>
      <c r="F1698" s="1" t="s">
        <v>130</v>
      </c>
      <c r="G1698" s="1" t="s">
        <v>47</v>
      </c>
      <c r="H1698" s="1" t="s">
        <v>69</v>
      </c>
      <c r="I1698" s="1" t="s">
        <v>83</v>
      </c>
      <c r="J1698" s="1" t="s">
        <v>77</v>
      </c>
      <c r="K1698" s="1" t="s">
        <v>36</v>
      </c>
      <c r="L1698" s="1" t="s">
        <v>37</v>
      </c>
      <c r="M1698" s="1" t="s">
        <v>38</v>
      </c>
      <c r="N1698" s="1" t="n">
        <v>8999</v>
      </c>
      <c r="O1698" s="1" t="n">
        <v>25</v>
      </c>
      <c r="P1698" s="1" t="n">
        <v>2249.75</v>
      </c>
      <c r="Q1698" s="1" t="n">
        <v>6749.25</v>
      </c>
      <c r="R1698" s="1" t="n">
        <v>1214.87</v>
      </c>
      <c r="S1698" s="1" t="n">
        <v>5534.38</v>
      </c>
      <c r="T1698" s="1" t="n">
        <v>2136.41</v>
      </c>
      <c r="U1698" s="1" t="n">
        <v>3397.97</v>
      </c>
      <c r="V1698" s="1" t="n">
        <v>61.4</v>
      </c>
      <c r="W1698" s="1" t="s">
        <v>40</v>
      </c>
      <c r="Y1698" s="1" t="s">
        <v>40</v>
      </c>
      <c r="Z1698" s="1" t="n">
        <v>0</v>
      </c>
    </row>
    <row r="1699" customFormat="false" ht="15" hidden="false" customHeight="true" outlineLevel="0" collapsed="false">
      <c r="A1699" s="1" t="s">
        <v>2528</v>
      </c>
      <c r="B1699" s="1" t="s">
        <v>983</v>
      </c>
      <c r="C1699" s="1" t="s">
        <v>249</v>
      </c>
      <c r="D1699" s="1" t="s">
        <v>94</v>
      </c>
      <c r="E1699" s="1" t="s">
        <v>135</v>
      </c>
      <c r="F1699" s="1" t="s">
        <v>187</v>
      </c>
      <c r="G1699" s="1" t="s">
        <v>97</v>
      </c>
      <c r="H1699" s="1" t="s">
        <v>69</v>
      </c>
      <c r="I1699" s="1" t="s">
        <v>34</v>
      </c>
      <c r="J1699" s="1" t="s">
        <v>70</v>
      </c>
      <c r="K1699" s="1" t="s">
        <v>71</v>
      </c>
      <c r="L1699" s="1" t="s">
        <v>113</v>
      </c>
      <c r="M1699" s="1" t="s">
        <v>38</v>
      </c>
      <c r="N1699" s="1" t="n">
        <v>9999</v>
      </c>
      <c r="O1699" s="1" t="n">
        <v>5</v>
      </c>
      <c r="P1699" s="1" t="n">
        <v>499.95</v>
      </c>
      <c r="Q1699" s="1" t="n">
        <v>9499.05</v>
      </c>
      <c r="R1699" s="1" t="n">
        <v>1709.83</v>
      </c>
      <c r="S1699" s="1" t="n">
        <v>7789.22</v>
      </c>
      <c r="T1699" s="1" t="n">
        <v>2838.66</v>
      </c>
      <c r="U1699" s="1" t="n">
        <v>4950.56</v>
      </c>
      <c r="V1699" s="1" t="n">
        <v>63.56</v>
      </c>
      <c r="W1699" s="1" t="s">
        <v>39</v>
      </c>
      <c r="X1699" s="1" t="n">
        <v>3.3</v>
      </c>
      <c r="Y1699" s="1" t="s">
        <v>40</v>
      </c>
      <c r="Z1699" s="1" t="n">
        <v>0</v>
      </c>
    </row>
    <row r="1700" customFormat="false" ht="15" hidden="false" customHeight="true" outlineLevel="0" collapsed="false">
      <c r="A1700" s="1" t="s">
        <v>2529</v>
      </c>
      <c r="B1700" s="1" t="s">
        <v>954</v>
      </c>
      <c r="C1700" s="1" t="s">
        <v>128</v>
      </c>
      <c r="D1700" s="1" t="s">
        <v>29</v>
      </c>
      <c r="E1700" s="1" t="s">
        <v>182</v>
      </c>
      <c r="F1700" s="1" t="s">
        <v>963</v>
      </c>
      <c r="G1700" s="1" t="s">
        <v>68</v>
      </c>
      <c r="H1700" s="1" t="s">
        <v>57</v>
      </c>
      <c r="I1700" s="1" t="s">
        <v>58</v>
      </c>
      <c r="J1700" s="1" t="s">
        <v>131</v>
      </c>
      <c r="K1700" s="1" t="s">
        <v>60</v>
      </c>
      <c r="L1700" s="1" t="s">
        <v>37</v>
      </c>
      <c r="M1700" s="1" t="s">
        <v>50</v>
      </c>
      <c r="N1700" s="1" t="n">
        <v>34999</v>
      </c>
      <c r="O1700" s="1" t="n">
        <v>15</v>
      </c>
      <c r="P1700" s="1" t="n">
        <v>5249.85</v>
      </c>
      <c r="Q1700" s="1" t="n">
        <v>29749.15</v>
      </c>
      <c r="R1700" s="1" t="n">
        <v>5354.85</v>
      </c>
      <c r="S1700" s="1" t="n">
        <v>24394.3</v>
      </c>
      <c r="T1700" s="1" t="n">
        <v>9389.38</v>
      </c>
      <c r="U1700" s="1" t="n">
        <v>15004.92</v>
      </c>
      <c r="V1700" s="1" t="n">
        <v>61.51</v>
      </c>
      <c r="W1700" s="1" t="s">
        <v>39</v>
      </c>
      <c r="X1700" s="1" t="n">
        <v>3.3</v>
      </c>
      <c r="Y1700" s="1" t="s">
        <v>40</v>
      </c>
      <c r="Z1700" s="1" t="n">
        <v>2</v>
      </c>
    </row>
    <row r="1701" customFormat="false" ht="15" hidden="false" customHeight="true" outlineLevel="0" collapsed="false">
      <c r="A1701" s="1" t="s">
        <v>2530</v>
      </c>
      <c r="B1701" s="1" t="s">
        <v>1327</v>
      </c>
      <c r="C1701" s="1" t="s">
        <v>139</v>
      </c>
      <c r="D1701" s="1" t="s">
        <v>123</v>
      </c>
      <c r="E1701" s="1" t="s">
        <v>124</v>
      </c>
      <c r="F1701" s="1" t="s">
        <v>184</v>
      </c>
      <c r="G1701" s="1" t="s">
        <v>56</v>
      </c>
      <c r="H1701" s="1" t="s">
        <v>57</v>
      </c>
      <c r="I1701" s="1" t="s">
        <v>83</v>
      </c>
      <c r="J1701" s="1" t="s">
        <v>59</v>
      </c>
      <c r="K1701" s="1" t="s">
        <v>104</v>
      </c>
      <c r="L1701" s="1" t="s">
        <v>136</v>
      </c>
      <c r="M1701" s="1" t="s">
        <v>50</v>
      </c>
      <c r="N1701" s="1" t="n">
        <v>4999</v>
      </c>
      <c r="O1701" s="1" t="n">
        <v>0</v>
      </c>
      <c r="P1701" s="1" t="n">
        <v>0</v>
      </c>
      <c r="Q1701" s="1" t="n">
        <v>4999</v>
      </c>
      <c r="R1701" s="1" t="n">
        <v>899.82</v>
      </c>
      <c r="S1701" s="1" t="n">
        <v>4099.18</v>
      </c>
      <c r="T1701" s="1" t="n">
        <v>1759.89</v>
      </c>
      <c r="U1701" s="1" t="n">
        <v>2339.29</v>
      </c>
      <c r="V1701" s="1" t="n">
        <v>57.07</v>
      </c>
      <c r="W1701" s="1" t="s">
        <v>39</v>
      </c>
      <c r="X1701" s="1" t="n">
        <v>3.3</v>
      </c>
      <c r="Y1701" s="1" t="s">
        <v>40</v>
      </c>
      <c r="Z1701" s="1" t="n">
        <v>0</v>
      </c>
    </row>
    <row r="1702" customFormat="false" ht="15" hidden="false" customHeight="true" outlineLevel="0" collapsed="false">
      <c r="A1702" s="1" t="s">
        <v>2531</v>
      </c>
      <c r="B1702" s="1" t="s">
        <v>485</v>
      </c>
      <c r="C1702" s="1" t="s">
        <v>65</v>
      </c>
      <c r="D1702" s="1" t="s">
        <v>53</v>
      </c>
      <c r="E1702" s="1" t="s">
        <v>54</v>
      </c>
      <c r="F1702" s="1" t="s">
        <v>244</v>
      </c>
      <c r="G1702" s="1" t="s">
        <v>97</v>
      </c>
      <c r="H1702" s="1" t="s">
        <v>57</v>
      </c>
      <c r="I1702" s="1" t="s">
        <v>58</v>
      </c>
      <c r="J1702" s="1" t="s">
        <v>59</v>
      </c>
      <c r="K1702" s="1" t="s">
        <v>60</v>
      </c>
      <c r="L1702" s="1" t="s">
        <v>136</v>
      </c>
      <c r="M1702" s="1" t="s">
        <v>62</v>
      </c>
      <c r="N1702" s="1" t="n">
        <v>11999</v>
      </c>
      <c r="O1702" s="1" t="n">
        <v>0</v>
      </c>
      <c r="P1702" s="1" t="n">
        <v>0</v>
      </c>
      <c r="Q1702" s="1" t="n">
        <v>11999</v>
      </c>
      <c r="R1702" s="1" t="n">
        <v>2159.82</v>
      </c>
      <c r="S1702" s="1" t="n">
        <v>9839.18</v>
      </c>
      <c r="T1702" s="1" t="n">
        <v>4616.09</v>
      </c>
      <c r="U1702" s="1" t="n">
        <v>5223.09</v>
      </c>
      <c r="V1702" s="1" t="n">
        <v>53.08</v>
      </c>
      <c r="W1702" s="1" t="s">
        <v>40</v>
      </c>
      <c r="Y1702" s="1" t="s">
        <v>40</v>
      </c>
      <c r="Z1702" s="1" t="n">
        <v>3</v>
      </c>
    </row>
    <row r="1703" customFormat="false" ht="15" hidden="false" customHeight="true" outlineLevel="0" collapsed="false">
      <c r="A1703" s="1" t="s">
        <v>2532</v>
      </c>
      <c r="B1703" s="1" t="s">
        <v>632</v>
      </c>
      <c r="C1703" s="1" t="s">
        <v>178</v>
      </c>
      <c r="D1703" s="1" t="s">
        <v>53</v>
      </c>
      <c r="E1703" s="1" t="s">
        <v>54</v>
      </c>
      <c r="F1703" s="1" t="s">
        <v>46</v>
      </c>
      <c r="G1703" s="1" t="s">
        <v>47</v>
      </c>
      <c r="H1703" s="1" t="s">
        <v>33</v>
      </c>
      <c r="I1703" s="1" t="s">
        <v>34</v>
      </c>
      <c r="J1703" s="1" t="s">
        <v>131</v>
      </c>
      <c r="K1703" s="1" t="s">
        <v>36</v>
      </c>
      <c r="L1703" s="1" t="s">
        <v>136</v>
      </c>
      <c r="M1703" s="1" t="s">
        <v>50</v>
      </c>
      <c r="N1703" s="1" t="n">
        <v>11999</v>
      </c>
      <c r="O1703" s="1" t="n">
        <v>5</v>
      </c>
      <c r="P1703" s="1" t="n">
        <v>599.95</v>
      </c>
      <c r="Q1703" s="1" t="n">
        <v>11399.05</v>
      </c>
      <c r="R1703" s="1" t="n">
        <v>2051.83</v>
      </c>
      <c r="S1703" s="1" t="n">
        <v>9347.22</v>
      </c>
      <c r="T1703" s="1" t="n">
        <v>3911.14</v>
      </c>
      <c r="U1703" s="1" t="n">
        <v>5436.08</v>
      </c>
      <c r="V1703" s="1" t="n">
        <v>58.16</v>
      </c>
      <c r="W1703" s="1" t="s">
        <v>39</v>
      </c>
      <c r="X1703" s="1" t="n">
        <v>2.8</v>
      </c>
      <c r="Y1703" s="1" t="s">
        <v>40</v>
      </c>
      <c r="Z1703" s="1" t="n">
        <v>0</v>
      </c>
    </row>
    <row r="1704" customFormat="false" ht="15" hidden="false" customHeight="true" outlineLevel="0" collapsed="false">
      <c r="A1704" s="1" t="s">
        <v>2533</v>
      </c>
      <c r="B1704" s="1" t="s">
        <v>2293</v>
      </c>
      <c r="C1704" s="1" t="s">
        <v>249</v>
      </c>
      <c r="D1704" s="1" t="s">
        <v>53</v>
      </c>
      <c r="E1704" s="1" t="s">
        <v>54</v>
      </c>
      <c r="F1704" s="1" t="s">
        <v>67</v>
      </c>
      <c r="G1704" s="1" t="s">
        <v>68</v>
      </c>
      <c r="H1704" s="1" t="s">
        <v>69</v>
      </c>
      <c r="I1704" s="1" t="s">
        <v>83</v>
      </c>
      <c r="J1704" s="1" t="s">
        <v>59</v>
      </c>
      <c r="K1704" s="1" t="s">
        <v>60</v>
      </c>
      <c r="L1704" s="1" t="s">
        <v>85</v>
      </c>
      <c r="M1704" s="1" t="s">
        <v>50</v>
      </c>
      <c r="N1704" s="1" t="n">
        <v>11999</v>
      </c>
      <c r="O1704" s="1" t="n">
        <v>15</v>
      </c>
      <c r="P1704" s="1" t="n">
        <v>1799.85</v>
      </c>
      <c r="Q1704" s="1" t="n">
        <v>10199.15</v>
      </c>
      <c r="R1704" s="1" t="n">
        <v>1835.85</v>
      </c>
      <c r="S1704" s="1" t="n">
        <v>8363.3</v>
      </c>
      <c r="T1704" s="1" t="n">
        <v>3115.98</v>
      </c>
      <c r="U1704" s="1" t="n">
        <v>5247.32</v>
      </c>
      <c r="V1704" s="1" t="n">
        <v>62.74</v>
      </c>
      <c r="W1704" s="1" t="s">
        <v>40</v>
      </c>
      <c r="Y1704" s="1" t="s">
        <v>40</v>
      </c>
      <c r="Z1704" s="1" t="n">
        <v>0</v>
      </c>
    </row>
    <row r="1705" customFormat="false" ht="15" hidden="false" customHeight="true" outlineLevel="0" collapsed="false">
      <c r="A1705" s="1" t="s">
        <v>2534</v>
      </c>
      <c r="B1705" s="1" t="s">
        <v>2277</v>
      </c>
      <c r="C1705" s="1" t="s">
        <v>88</v>
      </c>
      <c r="D1705" s="1" t="s">
        <v>44</v>
      </c>
      <c r="E1705" s="1" t="s">
        <v>45</v>
      </c>
      <c r="F1705" s="1" t="s">
        <v>187</v>
      </c>
      <c r="G1705" s="1" t="s">
        <v>97</v>
      </c>
      <c r="H1705" s="1" t="s">
        <v>69</v>
      </c>
      <c r="I1705" s="1" t="s">
        <v>58</v>
      </c>
      <c r="J1705" s="1" t="s">
        <v>35</v>
      </c>
      <c r="K1705" s="1" t="s">
        <v>104</v>
      </c>
      <c r="L1705" s="1" t="s">
        <v>37</v>
      </c>
      <c r="M1705" s="1" t="s">
        <v>62</v>
      </c>
      <c r="N1705" s="1" t="n">
        <v>11999</v>
      </c>
      <c r="O1705" s="1" t="n">
        <v>30</v>
      </c>
      <c r="P1705" s="1" t="n">
        <v>3599.7</v>
      </c>
      <c r="Q1705" s="1" t="n">
        <v>8399.3</v>
      </c>
      <c r="R1705" s="1" t="n">
        <v>1511.87</v>
      </c>
      <c r="S1705" s="1" t="n">
        <v>6887.43</v>
      </c>
      <c r="T1705" s="1" t="n">
        <v>3031.78</v>
      </c>
      <c r="U1705" s="1" t="n">
        <v>3855.65</v>
      </c>
      <c r="V1705" s="1" t="n">
        <v>55.98</v>
      </c>
      <c r="W1705" s="1" t="s">
        <v>39</v>
      </c>
      <c r="X1705" s="1" t="n">
        <v>3.4</v>
      </c>
      <c r="Y1705" s="1" t="s">
        <v>40</v>
      </c>
      <c r="Z1705" s="1" t="n">
        <v>0</v>
      </c>
    </row>
    <row r="1706" customFormat="false" ht="15" hidden="false" customHeight="true" outlineLevel="0" collapsed="false">
      <c r="A1706" s="1" t="s">
        <v>2535</v>
      </c>
      <c r="B1706" s="1" t="s">
        <v>2117</v>
      </c>
      <c r="C1706" s="1" t="s">
        <v>134</v>
      </c>
      <c r="D1706" s="1" t="s">
        <v>44</v>
      </c>
      <c r="E1706" s="1" t="s">
        <v>221</v>
      </c>
      <c r="F1706" s="1" t="s">
        <v>120</v>
      </c>
      <c r="G1706" s="1" t="s">
        <v>47</v>
      </c>
      <c r="H1706" s="1" t="s">
        <v>57</v>
      </c>
      <c r="I1706" s="1" t="s">
        <v>83</v>
      </c>
      <c r="J1706" s="1" t="s">
        <v>131</v>
      </c>
      <c r="K1706" s="1" t="s">
        <v>71</v>
      </c>
      <c r="L1706" s="1" t="s">
        <v>49</v>
      </c>
      <c r="M1706" s="1" t="s">
        <v>38</v>
      </c>
      <c r="N1706" s="1" t="n">
        <v>16999</v>
      </c>
      <c r="O1706" s="1" t="n">
        <v>0</v>
      </c>
      <c r="P1706" s="1" t="n">
        <v>0</v>
      </c>
      <c r="Q1706" s="1" t="n">
        <v>16999</v>
      </c>
      <c r="R1706" s="1" t="n">
        <v>3059.82</v>
      </c>
      <c r="S1706" s="1" t="n">
        <v>13939.18</v>
      </c>
      <c r="T1706" s="1" t="n">
        <v>5758.3</v>
      </c>
      <c r="U1706" s="1" t="n">
        <v>8180.88</v>
      </c>
      <c r="V1706" s="1" t="n">
        <v>58.69</v>
      </c>
      <c r="W1706" s="1" t="s">
        <v>39</v>
      </c>
      <c r="X1706" s="1" t="n">
        <v>3.5</v>
      </c>
      <c r="Y1706" s="1" t="s">
        <v>40</v>
      </c>
      <c r="Z1706" s="1" t="n">
        <v>0</v>
      </c>
    </row>
    <row r="1707" customFormat="false" ht="15" hidden="false" customHeight="true" outlineLevel="0" collapsed="false">
      <c r="A1707" s="1" t="s">
        <v>2536</v>
      </c>
      <c r="B1707" s="1" t="s">
        <v>472</v>
      </c>
      <c r="C1707" s="1" t="s">
        <v>178</v>
      </c>
      <c r="D1707" s="1" t="s">
        <v>123</v>
      </c>
      <c r="E1707" s="1" t="s">
        <v>233</v>
      </c>
      <c r="F1707" s="1" t="s">
        <v>187</v>
      </c>
      <c r="G1707" s="1" t="s">
        <v>97</v>
      </c>
      <c r="H1707" s="1" t="s">
        <v>69</v>
      </c>
      <c r="I1707" s="1" t="s">
        <v>34</v>
      </c>
      <c r="J1707" s="1" t="s">
        <v>70</v>
      </c>
      <c r="K1707" s="1" t="s">
        <v>71</v>
      </c>
      <c r="L1707" s="1" t="s">
        <v>85</v>
      </c>
      <c r="M1707" s="1" t="s">
        <v>38</v>
      </c>
      <c r="N1707" s="1" t="n">
        <v>8999</v>
      </c>
      <c r="O1707" s="1" t="n">
        <v>15</v>
      </c>
      <c r="P1707" s="1" t="n">
        <v>1349.85</v>
      </c>
      <c r="Q1707" s="1" t="n">
        <v>7649.15</v>
      </c>
      <c r="R1707" s="1" t="n">
        <v>1376.85</v>
      </c>
      <c r="S1707" s="1" t="n">
        <v>6272.3</v>
      </c>
      <c r="T1707" s="1" t="n">
        <v>3424.1</v>
      </c>
      <c r="U1707" s="1" t="n">
        <v>2848.2</v>
      </c>
      <c r="V1707" s="1" t="n">
        <v>45.41</v>
      </c>
      <c r="W1707" s="1" t="s">
        <v>40</v>
      </c>
      <c r="Y1707" s="1" t="s">
        <v>39</v>
      </c>
      <c r="Z1707" s="1" t="n">
        <v>1</v>
      </c>
    </row>
    <row r="1708" customFormat="false" ht="15" hidden="false" customHeight="true" outlineLevel="0" collapsed="false">
      <c r="A1708" s="1" t="s">
        <v>2537</v>
      </c>
      <c r="B1708" s="1" t="s">
        <v>1553</v>
      </c>
      <c r="C1708" s="1" t="s">
        <v>100</v>
      </c>
      <c r="D1708" s="1" t="s">
        <v>44</v>
      </c>
      <c r="E1708" s="1" t="s">
        <v>45</v>
      </c>
      <c r="F1708" s="1" t="s">
        <v>75</v>
      </c>
      <c r="G1708" s="1" t="s">
        <v>76</v>
      </c>
      <c r="H1708" s="1" t="s">
        <v>69</v>
      </c>
      <c r="I1708" s="1" t="s">
        <v>58</v>
      </c>
      <c r="J1708" s="1" t="s">
        <v>70</v>
      </c>
      <c r="K1708" s="1" t="s">
        <v>36</v>
      </c>
      <c r="L1708" s="1" t="s">
        <v>61</v>
      </c>
      <c r="M1708" s="1" t="s">
        <v>38</v>
      </c>
      <c r="N1708" s="1" t="n">
        <v>11999</v>
      </c>
      <c r="O1708" s="1" t="n">
        <v>5</v>
      </c>
      <c r="P1708" s="1" t="n">
        <v>599.95</v>
      </c>
      <c r="Q1708" s="1" t="n">
        <v>11399.05</v>
      </c>
      <c r="R1708" s="1" t="n">
        <v>2051.83</v>
      </c>
      <c r="S1708" s="1" t="n">
        <v>9347.22</v>
      </c>
      <c r="T1708" s="1" t="n">
        <v>4248.21</v>
      </c>
      <c r="U1708" s="1" t="n">
        <v>5099.01</v>
      </c>
      <c r="V1708" s="1" t="n">
        <v>54.55</v>
      </c>
      <c r="W1708" s="1" t="s">
        <v>39</v>
      </c>
      <c r="X1708" s="1" t="n">
        <v>3.7</v>
      </c>
      <c r="Y1708" s="1" t="s">
        <v>40</v>
      </c>
      <c r="Z1708" s="1" t="n">
        <v>1</v>
      </c>
    </row>
    <row r="1709" customFormat="false" ht="15" hidden="false" customHeight="true" outlineLevel="0" collapsed="false">
      <c r="A1709" s="1" t="s">
        <v>2538</v>
      </c>
      <c r="B1709" s="1" t="s">
        <v>712</v>
      </c>
      <c r="C1709" s="1" t="s">
        <v>134</v>
      </c>
      <c r="D1709" s="1" t="s">
        <v>168</v>
      </c>
      <c r="E1709" s="1" t="s">
        <v>172</v>
      </c>
      <c r="F1709" s="1" t="s">
        <v>604</v>
      </c>
      <c r="G1709" s="1" t="s">
        <v>56</v>
      </c>
      <c r="H1709" s="1" t="s">
        <v>57</v>
      </c>
      <c r="I1709" s="1" t="s">
        <v>34</v>
      </c>
      <c r="J1709" s="1" t="s">
        <v>70</v>
      </c>
      <c r="K1709" s="1" t="s">
        <v>48</v>
      </c>
      <c r="L1709" s="1" t="s">
        <v>49</v>
      </c>
      <c r="M1709" s="1" t="s">
        <v>38</v>
      </c>
      <c r="N1709" s="1" t="n">
        <v>6999</v>
      </c>
      <c r="O1709" s="1" t="n">
        <v>40</v>
      </c>
      <c r="P1709" s="1" t="n">
        <v>2799.6</v>
      </c>
      <c r="Q1709" s="1" t="n">
        <v>4199.4</v>
      </c>
      <c r="R1709" s="1" t="n">
        <v>755.89</v>
      </c>
      <c r="S1709" s="1" t="n">
        <v>3443.51</v>
      </c>
      <c r="T1709" s="1" t="n">
        <v>1865.67</v>
      </c>
      <c r="U1709" s="1" t="n">
        <v>1577.84</v>
      </c>
      <c r="V1709" s="1" t="n">
        <v>45.82</v>
      </c>
      <c r="W1709" s="1" t="s">
        <v>40</v>
      </c>
      <c r="Y1709" s="1" t="s">
        <v>40</v>
      </c>
      <c r="Z1709" s="1" t="n">
        <v>0</v>
      </c>
    </row>
    <row r="1710" customFormat="false" ht="15" hidden="false" customHeight="true" outlineLevel="0" collapsed="false">
      <c r="A1710" s="1" t="s">
        <v>2539</v>
      </c>
      <c r="B1710" s="1" t="s">
        <v>974</v>
      </c>
      <c r="C1710" s="1" t="s">
        <v>264</v>
      </c>
      <c r="D1710" s="1" t="s">
        <v>123</v>
      </c>
      <c r="E1710" s="1" t="s">
        <v>124</v>
      </c>
      <c r="F1710" s="1" t="s">
        <v>150</v>
      </c>
      <c r="G1710" s="1" t="s">
        <v>32</v>
      </c>
      <c r="H1710" s="1" t="s">
        <v>57</v>
      </c>
      <c r="I1710" s="1" t="s">
        <v>58</v>
      </c>
      <c r="J1710" s="1" t="s">
        <v>59</v>
      </c>
      <c r="K1710" s="1" t="s">
        <v>48</v>
      </c>
      <c r="L1710" s="1" t="s">
        <v>85</v>
      </c>
      <c r="M1710" s="1" t="s">
        <v>38</v>
      </c>
      <c r="N1710" s="1" t="n">
        <v>4999</v>
      </c>
      <c r="O1710" s="1" t="n">
        <v>20</v>
      </c>
      <c r="P1710" s="1" t="n">
        <v>999.8</v>
      </c>
      <c r="Q1710" s="1" t="n">
        <v>3999.2</v>
      </c>
      <c r="R1710" s="1" t="n">
        <v>719.86</v>
      </c>
      <c r="S1710" s="1" t="n">
        <v>3279.34</v>
      </c>
      <c r="T1710" s="1" t="n">
        <v>1593.28</v>
      </c>
      <c r="U1710" s="1" t="n">
        <v>1686.06</v>
      </c>
      <c r="V1710" s="1" t="n">
        <v>51.41</v>
      </c>
      <c r="W1710" s="1" t="s">
        <v>39</v>
      </c>
      <c r="X1710" s="1" t="n">
        <v>3.7</v>
      </c>
      <c r="Y1710" s="1" t="s">
        <v>40</v>
      </c>
      <c r="Z1710" s="1" t="n">
        <v>0</v>
      </c>
    </row>
    <row r="1711" customFormat="false" ht="15" hidden="false" customHeight="true" outlineLevel="0" collapsed="false">
      <c r="A1711" s="1" t="s">
        <v>2540</v>
      </c>
      <c r="B1711" s="1" t="s">
        <v>643</v>
      </c>
      <c r="C1711" s="1" t="s">
        <v>178</v>
      </c>
      <c r="D1711" s="1" t="s">
        <v>53</v>
      </c>
      <c r="E1711" s="1" t="s">
        <v>216</v>
      </c>
      <c r="F1711" s="1" t="s">
        <v>82</v>
      </c>
      <c r="G1711" s="1" t="s">
        <v>56</v>
      </c>
      <c r="H1711" s="1" t="s">
        <v>69</v>
      </c>
      <c r="I1711" s="1" t="s">
        <v>34</v>
      </c>
      <c r="J1711" s="1" t="s">
        <v>131</v>
      </c>
      <c r="K1711" s="1" t="s">
        <v>71</v>
      </c>
      <c r="L1711" s="1" t="s">
        <v>85</v>
      </c>
      <c r="M1711" s="1" t="s">
        <v>38</v>
      </c>
      <c r="N1711" s="1" t="n">
        <v>7499</v>
      </c>
      <c r="O1711" s="1" t="n">
        <v>20</v>
      </c>
      <c r="P1711" s="1" t="n">
        <v>1499.8</v>
      </c>
      <c r="Q1711" s="1" t="n">
        <v>5999.2</v>
      </c>
      <c r="R1711" s="1" t="n">
        <v>1079.86</v>
      </c>
      <c r="S1711" s="1" t="n">
        <v>4919.34</v>
      </c>
      <c r="T1711" s="1" t="n">
        <v>2182</v>
      </c>
      <c r="U1711" s="1" t="n">
        <v>2737.34</v>
      </c>
      <c r="V1711" s="1" t="n">
        <v>55.64</v>
      </c>
      <c r="W1711" s="1" t="s">
        <v>40</v>
      </c>
      <c r="Y1711" s="1" t="s">
        <v>40</v>
      </c>
      <c r="Z1711" s="1" t="n">
        <v>0</v>
      </c>
    </row>
    <row r="1712" customFormat="false" ht="15" hidden="false" customHeight="true" outlineLevel="0" collapsed="false">
      <c r="A1712" s="1" t="s">
        <v>2541</v>
      </c>
      <c r="B1712" s="1" t="s">
        <v>261</v>
      </c>
      <c r="C1712" s="1" t="s">
        <v>119</v>
      </c>
      <c r="D1712" s="1" t="s">
        <v>29</v>
      </c>
      <c r="E1712" s="1" t="s">
        <v>305</v>
      </c>
      <c r="F1712" s="1" t="s">
        <v>75</v>
      </c>
      <c r="G1712" s="1" t="s">
        <v>76</v>
      </c>
      <c r="H1712" s="1" t="s">
        <v>69</v>
      </c>
      <c r="I1712" s="1" t="s">
        <v>58</v>
      </c>
      <c r="J1712" s="1" t="s">
        <v>77</v>
      </c>
      <c r="K1712" s="1" t="s">
        <v>48</v>
      </c>
      <c r="L1712" s="1" t="s">
        <v>136</v>
      </c>
      <c r="M1712" s="1" t="s">
        <v>62</v>
      </c>
      <c r="N1712" s="1" t="n">
        <v>24999</v>
      </c>
      <c r="O1712" s="1" t="n">
        <v>0</v>
      </c>
      <c r="P1712" s="1" t="n">
        <v>0</v>
      </c>
      <c r="Q1712" s="1" t="n">
        <v>24999</v>
      </c>
      <c r="R1712" s="1" t="n">
        <v>4499.82</v>
      </c>
      <c r="S1712" s="1" t="n">
        <v>20499.18</v>
      </c>
      <c r="T1712" s="1" t="n">
        <v>6929.79</v>
      </c>
      <c r="U1712" s="1" t="n">
        <v>13569.39</v>
      </c>
      <c r="V1712" s="1" t="n">
        <v>66.19</v>
      </c>
      <c r="W1712" s="1" t="s">
        <v>40</v>
      </c>
      <c r="Y1712" s="1" t="s">
        <v>40</v>
      </c>
      <c r="Z1712" s="1" t="n">
        <v>0</v>
      </c>
    </row>
    <row r="1713" customFormat="false" ht="15" hidden="false" customHeight="true" outlineLevel="0" collapsed="false">
      <c r="A1713" s="1" t="s">
        <v>2542</v>
      </c>
      <c r="B1713" s="1" t="s">
        <v>819</v>
      </c>
      <c r="C1713" s="1" t="s">
        <v>264</v>
      </c>
      <c r="D1713" s="1" t="s">
        <v>94</v>
      </c>
      <c r="E1713" s="1" t="s">
        <v>95</v>
      </c>
      <c r="F1713" s="1" t="s">
        <v>31</v>
      </c>
      <c r="G1713" s="1" t="s">
        <v>32</v>
      </c>
      <c r="H1713" s="1" t="s">
        <v>33</v>
      </c>
      <c r="I1713" s="1" t="s">
        <v>83</v>
      </c>
      <c r="J1713" s="1" t="s">
        <v>35</v>
      </c>
      <c r="K1713" s="1" t="s">
        <v>104</v>
      </c>
      <c r="L1713" s="1" t="s">
        <v>113</v>
      </c>
      <c r="M1713" s="1" t="s">
        <v>62</v>
      </c>
      <c r="N1713" s="1" t="n">
        <v>6999</v>
      </c>
      <c r="O1713" s="1" t="n">
        <v>15</v>
      </c>
      <c r="P1713" s="1" t="n">
        <v>1049.85</v>
      </c>
      <c r="Q1713" s="1" t="n">
        <v>5949.15</v>
      </c>
      <c r="R1713" s="1" t="n">
        <v>1070.85</v>
      </c>
      <c r="S1713" s="1" t="n">
        <v>4878.3</v>
      </c>
      <c r="T1713" s="1" t="n">
        <v>2362.28</v>
      </c>
      <c r="U1713" s="1" t="n">
        <v>2516.02</v>
      </c>
      <c r="V1713" s="1" t="n">
        <v>51.58</v>
      </c>
      <c r="W1713" s="1" t="s">
        <v>39</v>
      </c>
      <c r="X1713" s="1" t="n">
        <v>4.3</v>
      </c>
      <c r="Y1713" s="1" t="s">
        <v>40</v>
      </c>
      <c r="Z1713" s="1" t="n">
        <v>0</v>
      </c>
    </row>
    <row r="1714" customFormat="false" ht="15" hidden="false" customHeight="true" outlineLevel="0" collapsed="false">
      <c r="A1714" s="1" t="s">
        <v>2543</v>
      </c>
      <c r="B1714" s="1" t="s">
        <v>1298</v>
      </c>
      <c r="C1714" s="1" t="s">
        <v>139</v>
      </c>
      <c r="D1714" s="1" t="s">
        <v>53</v>
      </c>
      <c r="E1714" s="1" t="s">
        <v>54</v>
      </c>
      <c r="F1714" s="1" t="s">
        <v>130</v>
      </c>
      <c r="G1714" s="1" t="s">
        <v>47</v>
      </c>
      <c r="H1714" s="1" t="s">
        <v>69</v>
      </c>
      <c r="I1714" s="1" t="s">
        <v>34</v>
      </c>
      <c r="J1714" s="1" t="s">
        <v>59</v>
      </c>
      <c r="K1714" s="1" t="s">
        <v>112</v>
      </c>
      <c r="L1714" s="1" t="s">
        <v>113</v>
      </c>
      <c r="M1714" s="1" t="s">
        <v>50</v>
      </c>
      <c r="N1714" s="1" t="n">
        <v>11999</v>
      </c>
      <c r="O1714" s="1" t="n">
        <v>0</v>
      </c>
      <c r="P1714" s="1" t="n">
        <v>0</v>
      </c>
      <c r="Q1714" s="1" t="n">
        <v>11999</v>
      </c>
      <c r="R1714" s="1" t="n">
        <v>2159.82</v>
      </c>
      <c r="S1714" s="1" t="n">
        <v>9839.18</v>
      </c>
      <c r="T1714" s="1" t="n">
        <v>4160.13</v>
      </c>
      <c r="U1714" s="1" t="n">
        <v>5679.05</v>
      </c>
      <c r="V1714" s="1" t="n">
        <v>57.72</v>
      </c>
      <c r="W1714" s="1" t="s">
        <v>39</v>
      </c>
      <c r="X1714" s="1" t="n">
        <v>4.2</v>
      </c>
      <c r="Y1714" s="1" t="s">
        <v>40</v>
      </c>
      <c r="Z1714" s="1" t="n">
        <v>1</v>
      </c>
    </row>
    <row r="1715" customFormat="false" ht="15" hidden="false" customHeight="true" outlineLevel="0" collapsed="false">
      <c r="A1715" s="1" t="s">
        <v>2544</v>
      </c>
      <c r="B1715" s="1" t="s">
        <v>795</v>
      </c>
      <c r="C1715" s="1" t="s">
        <v>119</v>
      </c>
      <c r="D1715" s="1" t="s">
        <v>143</v>
      </c>
      <c r="E1715" s="1" t="s">
        <v>159</v>
      </c>
      <c r="F1715" s="1" t="s">
        <v>205</v>
      </c>
      <c r="G1715" s="1" t="s">
        <v>56</v>
      </c>
      <c r="H1715" s="1" t="s">
        <v>69</v>
      </c>
      <c r="I1715" s="1" t="s">
        <v>58</v>
      </c>
      <c r="J1715" s="1" t="s">
        <v>77</v>
      </c>
      <c r="K1715" s="1" t="s">
        <v>112</v>
      </c>
      <c r="L1715" s="1" t="s">
        <v>37</v>
      </c>
      <c r="M1715" s="1" t="s">
        <v>50</v>
      </c>
      <c r="N1715" s="1" t="n">
        <v>24999</v>
      </c>
      <c r="O1715" s="1" t="n">
        <v>0</v>
      </c>
      <c r="P1715" s="1" t="n">
        <v>0</v>
      </c>
      <c r="Q1715" s="1" t="n">
        <v>24999</v>
      </c>
      <c r="R1715" s="1" t="n">
        <v>4499.82</v>
      </c>
      <c r="S1715" s="1" t="n">
        <v>20499.18</v>
      </c>
      <c r="T1715" s="1" t="n">
        <v>7606.09</v>
      </c>
      <c r="U1715" s="1" t="n">
        <v>12893.09</v>
      </c>
      <c r="V1715" s="1" t="n">
        <v>62.9</v>
      </c>
      <c r="W1715" s="1" t="s">
        <v>39</v>
      </c>
      <c r="X1715" s="1" t="n">
        <v>3.7</v>
      </c>
      <c r="Y1715" s="1" t="s">
        <v>40</v>
      </c>
      <c r="Z1715" s="1" t="n">
        <v>0</v>
      </c>
    </row>
    <row r="1716" customFormat="false" ht="15" hidden="false" customHeight="true" outlineLevel="0" collapsed="false">
      <c r="A1716" s="1" t="s">
        <v>2545</v>
      </c>
      <c r="B1716" s="1" t="s">
        <v>385</v>
      </c>
      <c r="C1716" s="1" t="s">
        <v>128</v>
      </c>
      <c r="D1716" s="1" t="s">
        <v>94</v>
      </c>
      <c r="E1716" s="1" t="s">
        <v>135</v>
      </c>
      <c r="F1716" s="1" t="s">
        <v>89</v>
      </c>
      <c r="G1716" s="1" t="s">
        <v>68</v>
      </c>
      <c r="H1716" s="1" t="s">
        <v>33</v>
      </c>
      <c r="I1716" s="1" t="s">
        <v>58</v>
      </c>
      <c r="J1716" s="1" t="s">
        <v>70</v>
      </c>
      <c r="K1716" s="1" t="s">
        <v>112</v>
      </c>
      <c r="L1716" s="1" t="s">
        <v>136</v>
      </c>
      <c r="M1716" s="1" t="s">
        <v>50</v>
      </c>
      <c r="N1716" s="1" t="n">
        <v>9999</v>
      </c>
      <c r="O1716" s="1" t="n">
        <v>0</v>
      </c>
      <c r="P1716" s="1" t="n">
        <v>0</v>
      </c>
      <c r="Q1716" s="1" t="n">
        <v>9999</v>
      </c>
      <c r="R1716" s="1" t="n">
        <v>1799.82</v>
      </c>
      <c r="S1716" s="1" t="n">
        <v>8199.18</v>
      </c>
      <c r="T1716" s="1" t="n">
        <v>3697.11</v>
      </c>
      <c r="U1716" s="1" t="n">
        <v>4502.07</v>
      </c>
      <c r="V1716" s="1" t="n">
        <v>54.91</v>
      </c>
      <c r="W1716" s="1" t="s">
        <v>39</v>
      </c>
      <c r="X1716" s="1" t="n">
        <v>3.9</v>
      </c>
      <c r="Y1716" s="1" t="s">
        <v>40</v>
      </c>
      <c r="Z1716" s="1" t="n">
        <v>0</v>
      </c>
    </row>
    <row r="1717" customFormat="false" ht="15" hidden="false" customHeight="true" outlineLevel="0" collapsed="false">
      <c r="A1717" s="1" t="s">
        <v>2546</v>
      </c>
      <c r="B1717" s="1" t="s">
        <v>968</v>
      </c>
      <c r="C1717" s="1" t="s">
        <v>128</v>
      </c>
      <c r="D1717" s="1" t="s">
        <v>123</v>
      </c>
      <c r="E1717" s="1" t="s">
        <v>124</v>
      </c>
      <c r="F1717" s="1" t="s">
        <v>205</v>
      </c>
      <c r="G1717" s="1" t="s">
        <v>56</v>
      </c>
      <c r="H1717" s="1" t="s">
        <v>69</v>
      </c>
      <c r="I1717" s="1" t="s">
        <v>83</v>
      </c>
      <c r="J1717" s="1" t="s">
        <v>131</v>
      </c>
      <c r="K1717" s="1" t="s">
        <v>48</v>
      </c>
      <c r="L1717" s="1" t="s">
        <v>85</v>
      </c>
      <c r="M1717" s="1" t="s">
        <v>62</v>
      </c>
      <c r="N1717" s="1" t="n">
        <v>4999</v>
      </c>
      <c r="O1717" s="1" t="n">
        <v>0</v>
      </c>
      <c r="P1717" s="1" t="n">
        <v>0</v>
      </c>
      <c r="Q1717" s="1" t="n">
        <v>4999</v>
      </c>
      <c r="R1717" s="1" t="n">
        <v>899.82</v>
      </c>
      <c r="S1717" s="1" t="n">
        <v>4099.18</v>
      </c>
      <c r="T1717" s="1" t="n">
        <v>1888.59</v>
      </c>
      <c r="U1717" s="1" t="n">
        <v>2210.59</v>
      </c>
      <c r="V1717" s="1" t="n">
        <v>53.93</v>
      </c>
      <c r="W1717" s="1" t="s">
        <v>39</v>
      </c>
      <c r="X1717" s="1" t="n">
        <v>3.8</v>
      </c>
      <c r="Y1717" s="1" t="s">
        <v>40</v>
      </c>
      <c r="Z1717" s="1" t="n">
        <v>0</v>
      </c>
    </row>
    <row r="1718" customFormat="false" ht="15" hidden="false" customHeight="true" outlineLevel="0" collapsed="false">
      <c r="A1718" s="1" t="s">
        <v>2547</v>
      </c>
      <c r="B1718" s="1" t="s">
        <v>825</v>
      </c>
      <c r="C1718" s="1" t="s">
        <v>28</v>
      </c>
      <c r="D1718" s="1" t="s">
        <v>53</v>
      </c>
      <c r="E1718" s="1" t="s">
        <v>216</v>
      </c>
      <c r="F1718" s="1" t="s">
        <v>67</v>
      </c>
      <c r="G1718" s="1" t="s">
        <v>68</v>
      </c>
      <c r="H1718" s="1" t="s">
        <v>69</v>
      </c>
      <c r="I1718" s="1" t="s">
        <v>58</v>
      </c>
      <c r="J1718" s="1" t="s">
        <v>35</v>
      </c>
      <c r="K1718" s="1" t="s">
        <v>90</v>
      </c>
      <c r="L1718" s="1" t="s">
        <v>49</v>
      </c>
      <c r="M1718" s="1" t="s">
        <v>50</v>
      </c>
      <c r="N1718" s="1" t="n">
        <v>7499</v>
      </c>
      <c r="O1718" s="1" t="n">
        <v>10</v>
      </c>
      <c r="P1718" s="1" t="n">
        <v>749.9</v>
      </c>
      <c r="Q1718" s="1" t="n">
        <v>6749.1</v>
      </c>
      <c r="R1718" s="1" t="n">
        <v>1214.84</v>
      </c>
      <c r="S1718" s="1" t="n">
        <v>5534.26</v>
      </c>
      <c r="T1718" s="1" t="n">
        <v>2415.92</v>
      </c>
      <c r="U1718" s="1" t="n">
        <v>3118.34</v>
      </c>
      <c r="V1718" s="1" t="n">
        <v>56.35</v>
      </c>
      <c r="W1718" s="1" t="s">
        <v>40</v>
      </c>
      <c r="Y1718" s="1" t="s">
        <v>40</v>
      </c>
      <c r="Z1718" s="1" t="n">
        <v>0</v>
      </c>
    </row>
    <row r="1719" customFormat="false" ht="15" hidden="false" customHeight="true" outlineLevel="0" collapsed="false">
      <c r="A1719" s="1" t="s">
        <v>2548</v>
      </c>
      <c r="B1719" s="1" t="s">
        <v>1402</v>
      </c>
      <c r="C1719" s="1" t="s">
        <v>178</v>
      </c>
      <c r="D1719" s="1" t="s">
        <v>80</v>
      </c>
      <c r="E1719" s="1" t="s">
        <v>193</v>
      </c>
      <c r="F1719" s="1" t="s">
        <v>211</v>
      </c>
      <c r="G1719" s="1" t="s">
        <v>56</v>
      </c>
      <c r="H1719" s="1" t="s">
        <v>69</v>
      </c>
      <c r="I1719" s="1" t="s">
        <v>83</v>
      </c>
      <c r="J1719" s="1" t="s">
        <v>131</v>
      </c>
      <c r="K1719" s="1" t="s">
        <v>36</v>
      </c>
      <c r="L1719" s="1" t="s">
        <v>113</v>
      </c>
      <c r="M1719" s="1" t="s">
        <v>50</v>
      </c>
      <c r="N1719" s="1" t="n">
        <v>8999</v>
      </c>
      <c r="O1719" s="1" t="n">
        <v>25</v>
      </c>
      <c r="P1719" s="1" t="n">
        <v>2249.75</v>
      </c>
      <c r="Q1719" s="1" t="n">
        <v>6749.25</v>
      </c>
      <c r="R1719" s="1" t="n">
        <v>1214.87</v>
      </c>
      <c r="S1719" s="1" t="n">
        <v>5534.38</v>
      </c>
      <c r="T1719" s="1" t="n">
        <v>1931.79</v>
      </c>
      <c r="U1719" s="1" t="n">
        <v>3602.59</v>
      </c>
      <c r="V1719" s="1" t="n">
        <v>65.09</v>
      </c>
      <c r="W1719" s="1" t="s">
        <v>39</v>
      </c>
      <c r="X1719" s="1" t="n">
        <v>3.6</v>
      </c>
      <c r="Y1719" s="1" t="s">
        <v>40</v>
      </c>
      <c r="Z1719" s="1" t="n">
        <v>0</v>
      </c>
    </row>
    <row r="1720" customFormat="false" ht="15" hidden="false" customHeight="true" outlineLevel="0" collapsed="false">
      <c r="A1720" s="1" t="s">
        <v>2549</v>
      </c>
      <c r="B1720" s="1" t="s">
        <v>653</v>
      </c>
      <c r="C1720" s="1" t="s">
        <v>119</v>
      </c>
      <c r="D1720" s="1" t="s">
        <v>80</v>
      </c>
      <c r="E1720" s="1" t="s">
        <v>81</v>
      </c>
      <c r="F1720" s="1" t="s">
        <v>602</v>
      </c>
      <c r="G1720" s="1" t="s">
        <v>32</v>
      </c>
      <c r="H1720" s="1" t="s">
        <v>33</v>
      </c>
      <c r="I1720" s="1" t="s">
        <v>83</v>
      </c>
      <c r="J1720" s="1" t="s">
        <v>77</v>
      </c>
      <c r="K1720" s="1" t="s">
        <v>36</v>
      </c>
      <c r="L1720" s="1" t="s">
        <v>113</v>
      </c>
      <c r="M1720" s="1" t="s">
        <v>38</v>
      </c>
      <c r="N1720" s="1" t="n">
        <v>12999</v>
      </c>
      <c r="O1720" s="1" t="n">
        <v>20</v>
      </c>
      <c r="P1720" s="1" t="n">
        <v>2599.8</v>
      </c>
      <c r="Q1720" s="1" t="n">
        <v>10399.2</v>
      </c>
      <c r="R1720" s="1" t="n">
        <v>1871.86</v>
      </c>
      <c r="S1720" s="1" t="n">
        <v>8527.34</v>
      </c>
      <c r="T1720" s="1" t="n">
        <v>3944</v>
      </c>
      <c r="U1720" s="1" t="n">
        <v>4583.34</v>
      </c>
      <c r="V1720" s="1" t="n">
        <v>53.75</v>
      </c>
      <c r="W1720" s="1" t="s">
        <v>40</v>
      </c>
      <c r="Y1720" s="1" t="s">
        <v>40</v>
      </c>
      <c r="Z1720" s="1" t="n">
        <v>1</v>
      </c>
    </row>
    <row r="1721" customFormat="false" ht="15" hidden="false" customHeight="true" outlineLevel="0" collapsed="false">
      <c r="A1721" s="1" t="s">
        <v>2550</v>
      </c>
      <c r="B1721" s="1" t="s">
        <v>1050</v>
      </c>
      <c r="C1721" s="1" t="s">
        <v>74</v>
      </c>
      <c r="D1721" s="1" t="s">
        <v>44</v>
      </c>
      <c r="E1721" s="1" t="s">
        <v>66</v>
      </c>
      <c r="F1721" s="1" t="s">
        <v>150</v>
      </c>
      <c r="G1721" s="1" t="s">
        <v>32</v>
      </c>
      <c r="H1721" s="1" t="s">
        <v>57</v>
      </c>
      <c r="I1721" s="1" t="s">
        <v>58</v>
      </c>
      <c r="J1721" s="1" t="s">
        <v>59</v>
      </c>
      <c r="K1721" s="1" t="s">
        <v>84</v>
      </c>
      <c r="L1721" s="1" t="s">
        <v>61</v>
      </c>
      <c r="M1721" s="1" t="s">
        <v>38</v>
      </c>
      <c r="N1721" s="1" t="n">
        <v>12999</v>
      </c>
      <c r="O1721" s="1" t="n">
        <v>25</v>
      </c>
      <c r="P1721" s="1" t="n">
        <v>3249.75</v>
      </c>
      <c r="Q1721" s="1" t="n">
        <v>9749.25</v>
      </c>
      <c r="R1721" s="1" t="n">
        <v>1754.87</v>
      </c>
      <c r="S1721" s="1" t="n">
        <v>7994.38</v>
      </c>
      <c r="T1721" s="1" t="n">
        <v>4018.63</v>
      </c>
      <c r="U1721" s="1" t="n">
        <v>3975.75</v>
      </c>
      <c r="V1721" s="1" t="n">
        <v>49.73</v>
      </c>
      <c r="W1721" s="1" t="s">
        <v>39</v>
      </c>
      <c r="X1721" s="1" t="n">
        <v>3.5</v>
      </c>
      <c r="Y1721" s="1" t="s">
        <v>40</v>
      </c>
      <c r="Z1721" s="1" t="n">
        <v>1</v>
      </c>
    </row>
    <row r="1722" customFormat="false" ht="15" hidden="false" customHeight="true" outlineLevel="0" collapsed="false">
      <c r="A1722" s="1" t="s">
        <v>2551</v>
      </c>
      <c r="B1722" s="1" t="s">
        <v>318</v>
      </c>
      <c r="C1722" s="1" t="s">
        <v>100</v>
      </c>
      <c r="D1722" s="1" t="s">
        <v>80</v>
      </c>
      <c r="E1722" s="1" t="s">
        <v>81</v>
      </c>
      <c r="F1722" s="1" t="s">
        <v>130</v>
      </c>
      <c r="G1722" s="1" t="s">
        <v>47</v>
      </c>
      <c r="H1722" s="1" t="s">
        <v>69</v>
      </c>
      <c r="I1722" s="1" t="s">
        <v>58</v>
      </c>
      <c r="J1722" s="1" t="s">
        <v>59</v>
      </c>
      <c r="K1722" s="1" t="s">
        <v>71</v>
      </c>
      <c r="L1722" s="1" t="s">
        <v>136</v>
      </c>
      <c r="M1722" s="1" t="s">
        <v>38</v>
      </c>
      <c r="N1722" s="1" t="n">
        <v>12999</v>
      </c>
      <c r="O1722" s="1" t="n">
        <v>0</v>
      </c>
      <c r="P1722" s="1" t="n">
        <v>0</v>
      </c>
      <c r="Q1722" s="1" t="n">
        <v>12999</v>
      </c>
      <c r="R1722" s="1" t="n">
        <v>2339.82</v>
      </c>
      <c r="S1722" s="1" t="n">
        <v>10659.18</v>
      </c>
      <c r="T1722" s="1" t="n">
        <v>4534.96</v>
      </c>
      <c r="U1722" s="1" t="n">
        <v>6124.22</v>
      </c>
      <c r="V1722" s="1" t="n">
        <v>57.45</v>
      </c>
      <c r="W1722" s="1" t="s">
        <v>39</v>
      </c>
      <c r="X1722" s="1" t="n">
        <v>3.6</v>
      </c>
      <c r="Y1722" s="1" t="s">
        <v>40</v>
      </c>
      <c r="Z1722" s="1" t="n">
        <v>0</v>
      </c>
    </row>
    <row r="1723" customFormat="false" ht="15" hidden="false" customHeight="true" outlineLevel="0" collapsed="false">
      <c r="A1723" s="1" t="s">
        <v>2552</v>
      </c>
      <c r="B1723" s="1" t="s">
        <v>472</v>
      </c>
      <c r="C1723" s="1" t="s">
        <v>65</v>
      </c>
      <c r="D1723" s="1" t="s">
        <v>168</v>
      </c>
      <c r="E1723" s="1" t="s">
        <v>197</v>
      </c>
      <c r="F1723" s="1" t="s">
        <v>269</v>
      </c>
      <c r="G1723" s="1" t="s">
        <v>108</v>
      </c>
      <c r="H1723" s="1" t="s">
        <v>57</v>
      </c>
      <c r="I1723" s="1" t="s">
        <v>58</v>
      </c>
      <c r="J1723" s="1" t="s">
        <v>131</v>
      </c>
      <c r="K1723" s="1" t="s">
        <v>48</v>
      </c>
      <c r="L1723" s="1" t="s">
        <v>61</v>
      </c>
      <c r="M1723" s="1" t="s">
        <v>38</v>
      </c>
      <c r="N1723" s="1" t="n">
        <v>8499</v>
      </c>
      <c r="O1723" s="1" t="n">
        <v>0</v>
      </c>
      <c r="P1723" s="1" t="n">
        <v>0</v>
      </c>
      <c r="Q1723" s="1" t="n">
        <v>8499</v>
      </c>
      <c r="R1723" s="1" t="n">
        <v>1529.82</v>
      </c>
      <c r="S1723" s="1" t="n">
        <v>6969.18</v>
      </c>
      <c r="T1723" s="1" t="n">
        <v>3831.08</v>
      </c>
      <c r="U1723" s="1" t="n">
        <v>3138.1</v>
      </c>
      <c r="V1723" s="1" t="n">
        <v>45.03</v>
      </c>
      <c r="W1723" s="1" t="s">
        <v>39</v>
      </c>
      <c r="X1723" s="1" t="n">
        <v>3.5</v>
      </c>
      <c r="Y1723" s="1" t="s">
        <v>40</v>
      </c>
      <c r="Z1723" s="1" t="n">
        <v>1</v>
      </c>
    </row>
    <row r="1724" customFormat="false" ht="15" hidden="false" customHeight="true" outlineLevel="0" collapsed="false">
      <c r="A1724" s="1" t="s">
        <v>2553</v>
      </c>
      <c r="B1724" s="1" t="s">
        <v>290</v>
      </c>
      <c r="C1724" s="1" t="s">
        <v>436</v>
      </c>
      <c r="D1724" s="1" t="s">
        <v>44</v>
      </c>
      <c r="E1724" s="1" t="s">
        <v>221</v>
      </c>
      <c r="F1724" s="1" t="s">
        <v>205</v>
      </c>
      <c r="G1724" s="1" t="s">
        <v>56</v>
      </c>
      <c r="H1724" s="1" t="s">
        <v>69</v>
      </c>
      <c r="I1724" s="1" t="s">
        <v>34</v>
      </c>
      <c r="J1724" s="1" t="s">
        <v>59</v>
      </c>
      <c r="K1724" s="1" t="s">
        <v>104</v>
      </c>
      <c r="L1724" s="1" t="s">
        <v>37</v>
      </c>
      <c r="M1724" s="1" t="s">
        <v>62</v>
      </c>
      <c r="N1724" s="1" t="n">
        <v>16999</v>
      </c>
      <c r="O1724" s="1" t="n">
        <v>50</v>
      </c>
      <c r="P1724" s="1" t="n">
        <v>8499.5</v>
      </c>
      <c r="Q1724" s="1" t="n">
        <v>8499.5</v>
      </c>
      <c r="R1724" s="1" t="n">
        <v>1529.91</v>
      </c>
      <c r="S1724" s="1" t="n">
        <v>6969.59</v>
      </c>
      <c r="T1724" s="1" t="n">
        <v>3843.43</v>
      </c>
      <c r="U1724" s="1" t="n">
        <v>3126.16</v>
      </c>
      <c r="V1724" s="1" t="n">
        <v>44.85</v>
      </c>
      <c r="W1724" s="1" t="s">
        <v>40</v>
      </c>
      <c r="Y1724" s="1" t="s">
        <v>40</v>
      </c>
      <c r="Z1724" s="1" t="n">
        <v>0</v>
      </c>
    </row>
    <row r="1725" customFormat="false" ht="15" hidden="false" customHeight="true" outlineLevel="0" collapsed="false">
      <c r="A1725" s="1" t="s">
        <v>2554</v>
      </c>
      <c r="B1725" s="1" t="s">
        <v>382</v>
      </c>
      <c r="C1725" s="1" t="s">
        <v>28</v>
      </c>
      <c r="D1725" s="1" t="s">
        <v>80</v>
      </c>
      <c r="E1725" s="1" t="s">
        <v>81</v>
      </c>
      <c r="F1725" s="1" t="s">
        <v>156</v>
      </c>
      <c r="G1725" s="1" t="s">
        <v>68</v>
      </c>
      <c r="H1725" s="1" t="s">
        <v>57</v>
      </c>
      <c r="I1725" s="1" t="s">
        <v>58</v>
      </c>
      <c r="J1725" s="1" t="s">
        <v>70</v>
      </c>
      <c r="K1725" s="1" t="s">
        <v>90</v>
      </c>
      <c r="L1725" s="1" t="s">
        <v>61</v>
      </c>
      <c r="M1725" s="1" t="s">
        <v>38</v>
      </c>
      <c r="N1725" s="1" t="n">
        <v>12999</v>
      </c>
      <c r="O1725" s="1" t="n">
        <v>10</v>
      </c>
      <c r="P1725" s="1" t="n">
        <v>1299.9</v>
      </c>
      <c r="Q1725" s="1" t="n">
        <v>11699.1</v>
      </c>
      <c r="R1725" s="1" t="n">
        <v>2105.84</v>
      </c>
      <c r="S1725" s="1" t="n">
        <v>9593.26</v>
      </c>
      <c r="T1725" s="1" t="n">
        <v>3779.93</v>
      </c>
      <c r="U1725" s="1" t="n">
        <v>5813.33</v>
      </c>
      <c r="V1725" s="1" t="n">
        <v>60.6</v>
      </c>
      <c r="W1725" s="1" t="s">
        <v>39</v>
      </c>
      <c r="X1725" s="1" t="n">
        <v>4.4</v>
      </c>
      <c r="Y1725" s="1" t="s">
        <v>40</v>
      </c>
      <c r="Z1725" s="1" t="n">
        <v>0</v>
      </c>
    </row>
    <row r="1726" customFormat="false" ht="15" hidden="false" customHeight="true" outlineLevel="0" collapsed="false">
      <c r="A1726" s="1" t="s">
        <v>2555</v>
      </c>
      <c r="B1726" s="1" t="s">
        <v>1739</v>
      </c>
      <c r="C1726" s="1" t="s">
        <v>249</v>
      </c>
      <c r="D1726" s="1" t="s">
        <v>80</v>
      </c>
      <c r="E1726" s="1" t="s">
        <v>190</v>
      </c>
      <c r="F1726" s="1" t="s">
        <v>75</v>
      </c>
      <c r="G1726" s="1" t="s">
        <v>76</v>
      </c>
      <c r="H1726" s="1" t="s">
        <v>69</v>
      </c>
      <c r="I1726" s="1" t="s">
        <v>83</v>
      </c>
      <c r="J1726" s="1" t="s">
        <v>131</v>
      </c>
      <c r="K1726" s="1" t="s">
        <v>112</v>
      </c>
      <c r="L1726" s="1" t="s">
        <v>85</v>
      </c>
      <c r="M1726" s="1" t="s">
        <v>50</v>
      </c>
      <c r="N1726" s="1" t="n">
        <v>15999</v>
      </c>
      <c r="O1726" s="1" t="n">
        <v>10</v>
      </c>
      <c r="P1726" s="1" t="n">
        <v>1599.9</v>
      </c>
      <c r="Q1726" s="1" t="n">
        <v>14399.1</v>
      </c>
      <c r="R1726" s="1" t="n">
        <v>2591.84</v>
      </c>
      <c r="S1726" s="1" t="n">
        <v>11807.26</v>
      </c>
      <c r="T1726" s="1" t="n">
        <v>5574.97</v>
      </c>
      <c r="U1726" s="1" t="n">
        <v>6232.29</v>
      </c>
      <c r="V1726" s="1" t="n">
        <v>52.78</v>
      </c>
      <c r="W1726" s="1" t="s">
        <v>39</v>
      </c>
      <c r="X1726" s="1" t="n">
        <v>4.8</v>
      </c>
      <c r="Y1726" s="1" t="s">
        <v>40</v>
      </c>
      <c r="Z1726" s="1" t="n">
        <v>0</v>
      </c>
    </row>
    <row r="1727" customFormat="false" ht="15" hidden="false" customHeight="true" outlineLevel="0" collapsed="false">
      <c r="A1727" s="1" t="s">
        <v>2556</v>
      </c>
      <c r="B1727" s="1" t="s">
        <v>758</v>
      </c>
      <c r="C1727" s="1" t="s">
        <v>249</v>
      </c>
      <c r="D1727" s="1" t="s">
        <v>53</v>
      </c>
      <c r="E1727" s="1" t="s">
        <v>116</v>
      </c>
      <c r="F1727" s="1" t="s">
        <v>89</v>
      </c>
      <c r="G1727" s="1" t="s">
        <v>68</v>
      </c>
      <c r="H1727" s="1" t="s">
        <v>33</v>
      </c>
      <c r="I1727" s="1" t="s">
        <v>34</v>
      </c>
      <c r="J1727" s="1" t="s">
        <v>77</v>
      </c>
      <c r="K1727" s="1" t="s">
        <v>48</v>
      </c>
      <c r="L1727" s="1" t="s">
        <v>49</v>
      </c>
      <c r="M1727" s="1" t="s">
        <v>62</v>
      </c>
      <c r="N1727" s="1" t="n">
        <v>9999</v>
      </c>
      <c r="O1727" s="1" t="n">
        <v>15</v>
      </c>
      <c r="P1727" s="1" t="n">
        <v>1499.85</v>
      </c>
      <c r="Q1727" s="1" t="n">
        <v>8499.15</v>
      </c>
      <c r="R1727" s="1" t="n">
        <v>1529.85</v>
      </c>
      <c r="S1727" s="1" t="n">
        <v>6969.3</v>
      </c>
      <c r="T1727" s="1" t="n">
        <v>3064.2</v>
      </c>
      <c r="U1727" s="1" t="n">
        <v>3905.1</v>
      </c>
      <c r="V1727" s="1" t="n">
        <v>56.03</v>
      </c>
      <c r="W1727" s="1" t="s">
        <v>40</v>
      </c>
      <c r="Y1727" s="1" t="s">
        <v>40</v>
      </c>
      <c r="Z1727" s="1" t="n">
        <v>1</v>
      </c>
    </row>
    <row r="1728" customFormat="false" ht="15" hidden="false" customHeight="true" outlineLevel="0" collapsed="false">
      <c r="A1728" s="1" t="s">
        <v>2557</v>
      </c>
      <c r="B1728" s="1" t="s">
        <v>878</v>
      </c>
      <c r="C1728" s="1" t="s">
        <v>128</v>
      </c>
      <c r="D1728" s="1" t="s">
        <v>44</v>
      </c>
      <c r="E1728" s="1" t="s">
        <v>45</v>
      </c>
      <c r="F1728" s="1" t="s">
        <v>89</v>
      </c>
      <c r="G1728" s="1" t="s">
        <v>68</v>
      </c>
      <c r="H1728" s="1" t="s">
        <v>33</v>
      </c>
      <c r="I1728" s="1" t="s">
        <v>34</v>
      </c>
      <c r="J1728" s="1" t="s">
        <v>131</v>
      </c>
      <c r="K1728" s="1" t="s">
        <v>90</v>
      </c>
      <c r="L1728" s="1" t="s">
        <v>85</v>
      </c>
      <c r="M1728" s="1" t="s">
        <v>50</v>
      </c>
      <c r="N1728" s="1" t="n">
        <v>11999</v>
      </c>
      <c r="O1728" s="1" t="n">
        <v>20</v>
      </c>
      <c r="P1728" s="1" t="n">
        <v>2399.8</v>
      </c>
      <c r="Q1728" s="1" t="n">
        <v>9599.2</v>
      </c>
      <c r="R1728" s="1" t="n">
        <v>1727.86</v>
      </c>
      <c r="S1728" s="1" t="n">
        <v>7871.34</v>
      </c>
      <c r="T1728" s="1" t="n">
        <v>3716.04</v>
      </c>
      <c r="U1728" s="1" t="n">
        <v>4155.3</v>
      </c>
      <c r="V1728" s="1" t="n">
        <v>52.79</v>
      </c>
      <c r="W1728" s="1" t="s">
        <v>39</v>
      </c>
      <c r="X1728" s="1" t="n">
        <v>2.8</v>
      </c>
      <c r="Y1728" s="1" t="s">
        <v>40</v>
      </c>
      <c r="Z1728" s="1" t="n">
        <v>0</v>
      </c>
    </row>
    <row r="1729" customFormat="false" ht="15" hidden="false" customHeight="true" outlineLevel="0" collapsed="false">
      <c r="A1729" s="1" t="s">
        <v>2558</v>
      </c>
      <c r="B1729" s="1" t="s">
        <v>373</v>
      </c>
      <c r="C1729" s="1" t="s">
        <v>28</v>
      </c>
      <c r="D1729" s="1" t="s">
        <v>94</v>
      </c>
      <c r="E1729" s="1" t="s">
        <v>135</v>
      </c>
      <c r="F1729" s="1" t="s">
        <v>187</v>
      </c>
      <c r="G1729" s="1" t="s">
        <v>97</v>
      </c>
      <c r="H1729" s="1" t="s">
        <v>69</v>
      </c>
      <c r="I1729" s="1" t="s">
        <v>83</v>
      </c>
      <c r="J1729" s="1" t="s">
        <v>77</v>
      </c>
      <c r="K1729" s="1" t="s">
        <v>112</v>
      </c>
      <c r="L1729" s="1" t="s">
        <v>61</v>
      </c>
      <c r="M1729" s="1" t="s">
        <v>62</v>
      </c>
      <c r="N1729" s="1" t="n">
        <v>9999</v>
      </c>
      <c r="O1729" s="1" t="n">
        <v>10</v>
      </c>
      <c r="P1729" s="1" t="n">
        <v>999.9</v>
      </c>
      <c r="Q1729" s="1" t="n">
        <v>8999.1</v>
      </c>
      <c r="R1729" s="1" t="n">
        <v>1619.84</v>
      </c>
      <c r="S1729" s="1" t="n">
        <v>7379.26</v>
      </c>
      <c r="T1729" s="1" t="n">
        <v>3092.02</v>
      </c>
      <c r="U1729" s="1" t="n">
        <v>4287.24</v>
      </c>
      <c r="V1729" s="1" t="n">
        <v>58.1</v>
      </c>
      <c r="W1729" s="1" t="s">
        <v>40</v>
      </c>
      <c r="Y1729" s="1" t="s">
        <v>40</v>
      </c>
      <c r="Z1729" s="1" t="n">
        <v>0</v>
      </c>
    </row>
    <row r="1730" customFormat="false" ht="15" hidden="false" customHeight="true" outlineLevel="0" collapsed="false">
      <c r="A1730" s="1" t="s">
        <v>2559</v>
      </c>
      <c r="B1730" s="1" t="s">
        <v>2560</v>
      </c>
      <c r="C1730" s="1" t="s">
        <v>167</v>
      </c>
      <c r="D1730" s="1" t="s">
        <v>143</v>
      </c>
      <c r="E1730" s="1" t="s">
        <v>243</v>
      </c>
      <c r="F1730" s="1" t="s">
        <v>187</v>
      </c>
      <c r="G1730" s="1" t="s">
        <v>97</v>
      </c>
      <c r="H1730" s="1" t="s">
        <v>69</v>
      </c>
      <c r="I1730" s="1" t="s">
        <v>58</v>
      </c>
      <c r="J1730" s="1" t="s">
        <v>59</v>
      </c>
      <c r="K1730" s="1" t="s">
        <v>90</v>
      </c>
      <c r="L1730" s="1" t="s">
        <v>85</v>
      </c>
      <c r="M1730" s="1" t="s">
        <v>38</v>
      </c>
      <c r="N1730" s="1" t="n">
        <v>22999</v>
      </c>
      <c r="O1730" s="1" t="n">
        <v>0</v>
      </c>
      <c r="P1730" s="1" t="n">
        <v>0</v>
      </c>
      <c r="Q1730" s="1" t="n">
        <v>22999</v>
      </c>
      <c r="R1730" s="1" t="n">
        <v>4139.82</v>
      </c>
      <c r="S1730" s="1" t="n">
        <v>18859.18</v>
      </c>
      <c r="T1730" s="1" t="n">
        <v>8382.47</v>
      </c>
      <c r="U1730" s="1" t="n">
        <v>10476.71</v>
      </c>
      <c r="V1730" s="1" t="n">
        <v>55.55</v>
      </c>
      <c r="W1730" s="1" t="s">
        <v>39</v>
      </c>
      <c r="X1730" s="1" t="n">
        <v>3.8</v>
      </c>
      <c r="Y1730" s="1" t="s">
        <v>40</v>
      </c>
      <c r="Z1730" s="1" t="n">
        <v>1</v>
      </c>
    </row>
    <row r="1731" customFormat="false" ht="15" hidden="false" customHeight="true" outlineLevel="0" collapsed="false">
      <c r="A1731" s="1" t="s">
        <v>2561</v>
      </c>
      <c r="B1731" s="1" t="s">
        <v>122</v>
      </c>
      <c r="C1731" s="1" t="s">
        <v>134</v>
      </c>
      <c r="D1731" s="1" t="s">
        <v>80</v>
      </c>
      <c r="E1731" s="1" t="s">
        <v>190</v>
      </c>
      <c r="F1731" s="1" t="s">
        <v>150</v>
      </c>
      <c r="G1731" s="1" t="s">
        <v>32</v>
      </c>
      <c r="H1731" s="1" t="s">
        <v>57</v>
      </c>
      <c r="I1731" s="1" t="s">
        <v>34</v>
      </c>
      <c r="J1731" s="1" t="s">
        <v>131</v>
      </c>
      <c r="K1731" s="1" t="s">
        <v>90</v>
      </c>
      <c r="L1731" s="1" t="s">
        <v>61</v>
      </c>
      <c r="M1731" s="1" t="s">
        <v>50</v>
      </c>
      <c r="N1731" s="1" t="n">
        <v>15999</v>
      </c>
      <c r="O1731" s="1" t="n">
        <v>10</v>
      </c>
      <c r="P1731" s="1" t="n">
        <v>1599.9</v>
      </c>
      <c r="Q1731" s="1" t="n">
        <v>14399.1</v>
      </c>
      <c r="R1731" s="1" t="n">
        <v>2591.84</v>
      </c>
      <c r="S1731" s="1" t="n">
        <v>11807.26</v>
      </c>
      <c r="T1731" s="1" t="n">
        <v>4997.87</v>
      </c>
      <c r="U1731" s="1" t="n">
        <v>6809.39</v>
      </c>
      <c r="V1731" s="1" t="n">
        <v>57.67</v>
      </c>
      <c r="W1731" s="1" t="s">
        <v>39</v>
      </c>
      <c r="X1731" s="1" t="n">
        <v>4</v>
      </c>
      <c r="Y1731" s="1" t="s">
        <v>40</v>
      </c>
      <c r="Z1731" s="1" t="n">
        <v>0</v>
      </c>
    </row>
    <row r="1732" customFormat="false" ht="15" hidden="false" customHeight="true" outlineLevel="0" collapsed="false">
      <c r="A1732" s="1" t="s">
        <v>2562</v>
      </c>
      <c r="B1732" s="1" t="s">
        <v>1633</v>
      </c>
      <c r="C1732" s="1" t="s">
        <v>249</v>
      </c>
      <c r="D1732" s="1" t="s">
        <v>123</v>
      </c>
      <c r="E1732" s="1" t="s">
        <v>233</v>
      </c>
      <c r="F1732" s="1" t="s">
        <v>120</v>
      </c>
      <c r="G1732" s="1" t="s">
        <v>47</v>
      </c>
      <c r="H1732" s="1" t="s">
        <v>57</v>
      </c>
      <c r="I1732" s="1" t="s">
        <v>83</v>
      </c>
      <c r="J1732" s="1" t="s">
        <v>131</v>
      </c>
      <c r="K1732" s="1" t="s">
        <v>60</v>
      </c>
      <c r="L1732" s="1" t="s">
        <v>61</v>
      </c>
      <c r="M1732" s="1" t="s">
        <v>50</v>
      </c>
      <c r="N1732" s="1" t="n">
        <v>8999</v>
      </c>
      <c r="O1732" s="1" t="n">
        <v>0</v>
      </c>
      <c r="P1732" s="1" t="n">
        <v>0</v>
      </c>
      <c r="Q1732" s="1" t="n">
        <v>8999</v>
      </c>
      <c r="R1732" s="1" t="n">
        <v>1619.82</v>
      </c>
      <c r="S1732" s="1" t="n">
        <v>7379.18</v>
      </c>
      <c r="T1732" s="1" t="n">
        <v>3393.15</v>
      </c>
      <c r="U1732" s="1" t="n">
        <v>3986.03</v>
      </c>
      <c r="V1732" s="1" t="n">
        <v>54.02</v>
      </c>
      <c r="W1732" s="1" t="s">
        <v>39</v>
      </c>
      <c r="X1732" s="1" t="n">
        <v>3.4</v>
      </c>
      <c r="Y1732" s="1" t="s">
        <v>40</v>
      </c>
      <c r="Z1732" s="1" t="n">
        <v>0</v>
      </c>
    </row>
    <row r="1733" customFormat="false" ht="15" hidden="false" customHeight="true" outlineLevel="0" collapsed="false">
      <c r="A1733" s="1" t="s">
        <v>2563</v>
      </c>
      <c r="B1733" s="1" t="s">
        <v>2564</v>
      </c>
      <c r="C1733" s="1" t="s">
        <v>167</v>
      </c>
      <c r="D1733" s="1" t="s">
        <v>53</v>
      </c>
      <c r="E1733" s="1" t="s">
        <v>54</v>
      </c>
      <c r="F1733" s="1" t="s">
        <v>130</v>
      </c>
      <c r="G1733" s="1" t="s">
        <v>47</v>
      </c>
      <c r="H1733" s="1" t="s">
        <v>69</v>
      </c>
      <c r="I1733" s="1" t="s">
        <v>83</v>
      </c>
      <c r="J1733" s="1" t="s">
        <v>59</v>
      </c>
      <c r="K1733" s="1" t="s">
        <v>84</v>
      </c>
      <c r="L1733" s="1" t="s">
        <v>85</v>
      </c>
      <c r="M1733" s="1" t="s">
        <v>38</v>
      </c>
      <c r="N1733" s="1" t="n">
        <v>11999</v>
      </c>
      <c r="O1733" s="1" t="n">
        <v>25</v>
      </c>
      <c r="P1733" s="1" t="n">
        <v>2999.75</v>
      </c>
      <c r="Q1733" s="1" t="n">
        <v>8999.25</v>
      </c>
      <c r="R1733" s="1" t="n">
        <v>1619.87</v>
      </c>
      <c r="S1733" s="1" t="n">
        <v>7379.38</v>
      </c>
      <c r="T1733" s="1" t="n">
        <v>2824.61</v>
      </c>
      <c r="U1733" s="1" t="n">
        <v>4554.77</v>
      </c>
      <c r="V1733" s="1" t="n">
        <v>61.72</v>
      </c>
      <c r="W1733" s="1" t="s">
        <v>40</v>
      </c>
      <c r="Y1733" s="1" t="s">
        <v>40</v>
      </c>
      <c r="Z1733" s="1" t="n">
        <v>0</v>
      </c>
    </row>
    <row r="1734" customFormat="false" ht="15" hidden="false" customHeight="true" outlineLevel="0" collapsed="false">
      <c r="A1734" s="1" t="s">
        <v>2565</v>
      </c>
      <c r="B1734" s="1" t="s">
        <v>1089</v>
      </c>
      <c r="C1734" s="1" t="s">
        <v>74</v>
      </c>
      <c r="D1734" s="1" t="s">
        <v>168</v>
      </c>
      <c r="E1734" s="1" t="s">
        <v>328</v>
      </c>
      <c r="F1734" s="1" t="s">
        <v>150</v>
      </c>
      <c r="G1734" s="1" t="s">
        <v>32</v>
      </c>
      <c r="H1734" s="1" t="s">
        <v>57</v>
      </c>
      <c r="I1734" s="1" t="s">
        <v>58</v>
      </c>
      <c r="J1734" s="1" t="s">
        <v>131</v>
      </c>
      <c r="K1734" s="1" t="s">
        <v>104</v>
      </c>
      <c r="L1734" s="1" t="s">
        <v>61</v>
      </c>
      <c r="M1734" s="1" t="s">
        <v>38</v>
      </c>
      <c r="N1734" s="1" t="n">
        <v>8999</v>
      </c>
      <c r="O1734" s="1" t="n">
        <v>20</v>
      </c>
      <c r="P1734" s="1" t="n">
        <v>1799.8</v>
      </c>
      <c r="Q1734" s="1" t="n">
        <v>7199.2</v>
      </c>
      <c r="R1734" s="1" t="n">
        <v>1295.86</v>
      </c>
      <c r="S1734" s="1" t="n">
        <v>5903.34</v>
      </c>
      <c r="T1734" s="1" t="n">
        <v>2504.83</v>
      </c>
      <c r="U1734" s="1" t="n">
        <v>3398.51</v>
      </c>
      <c r="V1734" s="1" t="n">
        <v>57.57</v>
      </c>
      <c r="W1734" s="1" t="s">
        <v>40</v>
      </c>
      <c r="Y1734" s="1" t="s">
        <v>40</v>
      </c>
      <c r="Z1734" s="1" t="n">
        <v>2</v>
      </c>
    </row>
    <row r="1735" customFormat="false" ht="15" hidden="false" customHeight="true" outlineLevel="0" collapsed="false">
      <c r="A1735" s="1" t="s">
        <v>2566</v>
      </c>
      <c r="B1735" s="1" t="s">
        <v>2567</v>
      </c>
      <c r="C1735" s="1" t="s">
        <v>43</v>
      </c>
      <c r="D1735" s="1" t="s">
        <v>168</v>
      </c>
      <c r="E1735" s="1" t="s">
        <v>197</v>
      </c>
      <c r="F1735" s="1" t="s">
        <v>55</v>
      </c>
      <c r="G1735" s="1" t="s">
        <v>56</v>
      </c>
      <c r="H1735" s="1" t="s">
        <v>57</v>
      </c>
      <c r="I1735" s="1" t="s">
        <v>83</v>
      </c>
      <c r="J1735" s="1" t="s">
        <v>131</v>
      </c>
      <c r="K1735" s="1" t="s">
        <v>104</v>
      </c>
      <c r="L1735" s="1" t="s">
        <v>49</v>
      </c>
      <c r="M1735" s="1" t="s">
        <v>62</v>
      </c>
      <c r="N1735" s="1" t="n">
        <v>8499</v>
      </c>
      <c r="O1735" s="1" t="n">
        <v>10</v>
      </c>
      <c r="P1735" s="1" t="n">
        <v>849.9</v>
      </c>
      <c r="Q1735" s="1" t="n">
        <v>7649.1</v>
      </c>
      <c r="R1735" s="1" t="n">
        <v>1376.84</v>
      </c>
      <c r="S1735" s="1" t="n">
        <v>6272.26</v>
      </c>
      <c r="T1735" s="1" t="n">
        <v>2446.23</v>
      </c>
      <c r="U1735" s="1" t="n">
        <v>3826.03</v>
      </c>
      <c r="V1735" s="1" t="n">
        <v>61</v>
      </c>
      <c r="W1735" s="1" t="s">
        <v>39</v>
      </c>
      <c r="Y1735" s="1" t="s">
        <v>40</v>
      </c>
      <c r="Z1735" s="1" t="n">
        <v>0</v>
      </c>
    </row>
    <row r="1736" customFormat="false" ht="15" hidden="false" customHeight="true" outlineLevel="0" collapsed="false">
      <c r="A1736" s="1" t="s">
        <v>2568</v>
      </c>
      <c r="B1736" s="1" t="s">
        <v>680</v>
      </c>
      <c r="C1736" s="1" t="s">
        <v>100</v>
      </c>
      <c r="D1736" s="1" t="s">
        <v>94</v>
      </c>
      <c r="E1736" s="1" t="s">
        <v>95</v>
      </c>
      <c r="F1736" s="1" t="s">
        <v>89</v>
      </c>
      <c r="G1736" s="1" t="s">
        <v>68</v>
      </c>
      <c r="H1736" s="1" t="s">
        <v>33</v>
      </c>
      <c r="I1736" s="1" t="s">
        <v>83</v>
      </c>
      <c r="J1736" s="1" t="s">
        <v>59</v>
      </c>
      <c r="K1736" s="1" t="s">
        <v>71</v>
      </c>
      <c r="L1736" s="1" t="s">
        <v>49</v>
      </c>
      <c r="M1736" s="1" t="s">
        <v>38</v>
      </c>
      <c r="N1736" s="1" t="n">
        <v>6999</v>
      </c>
      <c r="O1736" s="1" t="n">
        <v>50</v>
      </c>
      <c r="P1736" s="1" t="n">
        <v>3499.5</v>
      </c>
      <c r="Q1736" s="1" t="n">
        <v>3499.5</v>
      </c>
      <c r="R1736" s="1" t="n">
        <v>629.91</v>
      </c>
      <c r="S1736" s="1" t="n">
        <v>2869.59</v>
      </c>
      <c r="T1736" s="1" t="n">
        <v>1908.34</v>
      </c>
      <c r="U1736" s="1" t="n">
        <v>961.25</v>
      </c>
      <c r="V1736" s="1" t="n">
        <v>33.5</v>
      </c>
      <c r="W1736" s="1" t="s">
        <v>39</v>
      </c>
      <c r="X1736" s="1" t="n">
        <v>2.8</v>
      </c>
      <c r="Y1736" s="1" t="s">
        <v>40</v>
      </c>
      <c r="Z1736" s="1" t="n">
        <v>0</v>
      </c>
    </row>
    <row r="1737" customFormat="false" ht="15" hidden="false" customHeight="true" outlineLevel="0" collapsed="false">
      <c r="A1737" s="1" t="s">
        <v>2569</v>
      </c>
      <c r="B1737" s="1" t="s">
        <v>2570</v>
      </c>
      <c r="C1737" s="1" t="s">
        <v>100</v>
      </c>
      <c r="D1737" s="1" t="s">
        <v>44</v>
      </c>
      <c r="E1737" s="1" t="s">
        <v>45</v>
      </c>
      <c r="F1737" s="1" t="s">
        <v>153</v>
      </c>
      <c r="G1737" s="1" t="s">
        <v>76</v>
      </c>
      <c r="H1737" s="1" t="s">
        <v>33</v>
      </c>
      <c r="I1737" s="1" t="s">
        <v>34</v>
      </c>
      <c r="J1737" s="1" t="s">
        <v>77</v>
      </c>
      <c r="K1737" s="1" t="s">
        <v>60</v>
      </c>
      <c r="L1737" s="1" t="s">
        <v>85</v>
      </c>
      <c r="M1737" s="1" t="s">
        <v>38</v>
      </c>
      <c r="N1737" s="1" t="n">
        <v>11999</v>
      </c>
      <c r="O1737" s="1" t="n">
        <v>5</v>
      </c>
      <c r="P1737" s="1" t="n">
        <v>599.95</v>
      </c>
      <c r="Q1737" s="1" t="n">
        <v>11399.05</v>
      </c>
      <c r="R1737" s="1" t="n">
        <v>2051.83</v>
      </c>
      <c r="S1737" s="1" t="n">
        <v>9347.22</v>
      </c>
      <c r="T1737" s="1" t="n">
        <v>3768.56</v>
      </c>
      <c r="U1737" s="1" t="n">
        <v>5578.66</v>
      </c>
      <c r="V1737" s="1" t="n">
        <v>59.68</v>
      </c>
      <c r="W1737" s="1" t="s">
        <v>39</v>
      </c>
      <c r="X1737" s="1" t="n">
        <v>3.8</v>
      </c>
      <c r="Y1737" s="1" t="s">
        <v>40</v>
      </c>
      <c r="Z1737" s="1" t="n">
        <v>0</v>
      </c>
    </row>
    <row r="1738" customFormat="false" ht="15" hidden="false" customHeight="true" outlineLevel="0" collapsed="false">
      <c r="A1738" s="1" t="s">
        <v>2571</v>
      </c>
      <c r="B1738" s="1" t="s">
        <v>2572</v>
      </c>
      <c r="C1738" s="1" t="s">
        <v>178</v>
      </c>
      <c r="D1738" s="1" t="s">
        <v>123</v>
      </c>
      <c r="E1738" s="1" t="s">
        <v>233</v>
      </c>
      <c r="F1738" s="1" t="s">
        <v>55</v>
      </c>
      <c r="G1738" s="1" t="s">
        <v>56</v>
      </c>
      <c r="H1738" s="1" t="s">
        <v>57</v>
      </c>
      <c r="I1738" s="1" t="s">
        <v>34</v>
      </c>
      <c r="J1738" s="1" t="s">
        <v>131</v>
      </c>
      <c r="K1738" s="1" t="s">
        <v>71</v>
      </c>
      <c r="L1738" s="1" t="s">
        <v>136</v>
      </c>
      <c r="M1738" s="1" t="s">
        <v>62</v>
      </c>
      <c r="N1738" s="1" t="n">
        <v>8999</v>
      </c>
      <c r="O1738" s="1" t="n">
        <v>0</v>
      </c>
      <c r="P1738" s="1" t="n">
        <v>0</v>
      </c>
      <c r="Q1738" s="1" t="n">
        <v>8999</v>
      </c>
      <c r="R1738" s="1" t="n">
        <v>1619.82</v>
      </c>
      <c r="S1738" s="1" t="n">
        <v>7379.18</v>
      </c>
      <c r="T1738" s="1" t="n">
        <v>2882.72</v>
      </c>
      <c r="U1738" s="1" t="n">
        <v>4496.46</v>
      </c>
      <c r="V1738" s="1" t="n">
        <v>60.93</v>
      </c>
      <c r="W1738" s="1" t="s">
        <v>40</v>
      </c>
      <c r="Y1738" s="1" t="s">
        <v>40</v>
      </c>
      <c r="Z1738" s="1" t="n">
        <v>2</v>
      </c>
    </row>
    <row r="1739" customFormat="false" ht="15" hidden="false" customHeight="true" outlineLevel="0" collapsed="false">
      <c r="A1739" s="1" t="s">
        <v>2573</v>
      </c>
      <c r="B1739" s="1" t="s">
        <v>371</v>
      </c>
      <c r="C1739" s="1" t="s">
        <v>134</v>
      </c>
      <c r="D1739" s="1" t="s">
        <v>123</v>
      </c>
      <c r="E1739" s="1" t="s">
        <v>147</v>
      </c>
      <c r="F1739" s="1" t="s">
        <v>82</v>
      </c>
      <c r="G1739" s="1" t="s">
        <v>56</v>
      </c>
      <c r="H1739" s="1" t="s">
        <v>69</v>
      </c>
      <c r="I1739" s="1" t="s">
        <v>83</v>
      </c>
      <c r="J1739" s="1" t="s">
        <v>131</v>
      </c>
      <c r="K1739" s="1" t="s">
        <v>104</v>
      </c>
      <c r="L1739" s="1" t="s">
        <v>61</v>
      </c>
      <c r="M1739" s="1" t="s">
        <v>50</v>
      </c>
      <c r="N1739" s="1" t="n">
        <v>6999</v>
      </c>
      <c r="O1739" s="1" t="n">
        <v>20</v>
      </c>
      <c r="P1739" s="1" t="n">
        <v>1399.8</v>
      </c>
      <c r="Q1739" s="1" t="n">
        <v>5599.2</v>
      </c>
      <c r="R1739" s="1" t="n">
        <v>1007.86</v>
      </c>
      <c r="S1739" s="1" t="n">
        <v>4591.34</v>
      </c>
      <c r="T1739" s="1" t="n">
        <v>1165.89</v>
      </c>
      <c r="U1739" s="1" t="n">
        <v>3425.45</v>
      </c>
      <c r="V1739" s="1" t="n">
        <v>74.61</v>
      </c>
      <c r="W1739" s="1" t="s">
        <v>39</v>
      </c>
      <c r="X1739" s="1" t="n">
        <v>4.7</v>
      </c>
      <c r="Y1739" s="1" t="s">
        <v>40</v>
      </c>
      <c r="Z1739" s="1" t="n">
        <v>0</v>
      </c>
    </row>
    <row r="1740" customFormat="false" ht="15" hidden="false" customHeight="true" outlineLevel="0" collapsed="false">
      <c r="A1740" s="1" t="s">
        <v>2574</v>
      </c>
      <c r="B1740" s="1" t="s">
        <v>1131</v>
      </c>
      <c r="C1740" s="1" t="s">
        <v>100</v>
      </c>
      <c r="D1740" s="1" t="s">
        <v>44</v>
      </c>
      <c r="E1740" s="1" t="s">
        <v>45</v>
      </c>
      <c r="F1740" s="1" t="s">
        <v>140</v>
      </c>
      <c r="G1740" s="1" t="s">
        <v>97</v>
      </c>
      <c r="H1740" s="1" t="s">
        <v>57</v>
      </c>
      <c r="I1740" s="1" t="s">
        <v>58</v>
      </c>
      <c r="J1740" s="1" t="s">
        <v>70</v>
      </c>
      <c r="K1740" s="1" t="s">
        <v>36</v>
      </c>
      <c r="L1740" s="1" t="s">
        <v>85</v>
      </c>
      <c r="M1740" s="1" t="s">
        <v>50</v>
      </c>
      <c r="N1740" s="1" t="n">
        <v>11999</v>
      </c>
      <c r="O1740" s="1" t="n">
        <v>40</v>
      </c>
      <c r="P1740" s="1" t="n">
        <v>4799.6</v>
      </c>
      <c r="Q1740" s="1" t="n">
        <v>7199.4</v>
      </c>
      <c r="R1740" s="1" t="n">
        <v>1295.89</v>
      </c>
      <c r="S1740" s="1" t="n">
        <v>5903.51</v>
      </c>
      <c r="T1740" s="1" t="n">
        <v>3409.58</v>
      </c>
      <c r="U1740" s="1" t="n">
        <v>2493.93</v>
      </c>
      <c r="V1740" s="1" t="n">
        <v>42.24</v>
      </c>
      <c r="W1740" s="1" t="s">
        <v>40</v>
      </c>
      <c r="Y1740" s="1" t="s">
        <v>40</v>
      </c>
      <c r="Z1740" s="1" t="n">
        <v>1</v>
      </c>
    </row>
    <row r="1741" customFormat="false" ht="15" hidden="false" customHeight="true" outlineLevel="0" collapsed="false">
      <c r="A1741" s="1" t="s">
        <v>2575</v>
      </c>
      <c r="B1741" s="1" t="s">
        <v>1604</v>
      </c>
      <c r="C1741" s="1" t="s">
        <v>134</v>
      </c>
      <c r="D1741" s="1" t="s">
        <v>143</v>
      </c>
      <c r="E1741" s="1" t="s">
        <v>210</v>
      </c>
      <c r="F1741" s="1" t="s">
        <v>107</v>
      </c>
      <c r="G1741" s="1" t="s">
        <v>108</v>
      </c>
      <c r="H1741" s="1" t="s">
        <v>33</v>
      </c>
      <c r="I1741" s="1" t="s">
        <v>58</v>
      </c>
      <c r="J1741" s="1" t="s">
        <v>35</v>
      </c>
      <c r="K1741" s="1" t="s">
        <v>60</v>
      </c>
      <c r="L1741" s="1" t="s">
        <v>85</v>
      </c>
      <c r="M1741" s="1" t="s">
        <v>50</v>
      </c>
      <c r="N1741" s="1" t="n">
        <v>18999</v>
      </c>
      <c r="O1741" s="1" t="n">
        <v>0</v>
      </c>
      <c r="P1741" s="1" t="n">
        <v>0</v>
      </c>
      <c r="Q1741" s="1" t="n">
        <v>18999</v>
      </c>
      <c r="R1741" s="1" t="n">
        <v>3419.82</v>
      </c>
      <c r="S1741" s="1" t="n">
        <v>15579.18</v>
      </c>
      <c r="T1741" s="1" t="n">
        <v>7345.07</v>
      </c>
      <c r="U1741" s="1" t="n">
        <v>8234.11</v>
      </c>
      <c r="V1741" s="1" t="n">
        <v>52.85</v>
      </c>
      <c r="W1741" s="1" t="s">
        <v>39</v>
      </c>
      <c r="X1741" s="1" t="n">
        <v>3.4</v>
      </c>
      <c r="Y1741" s="1" t="s">
        <v>40</v>
      </c>
      <c r="Z1741" s="1" t="n">
        <v>0</v>
      </c>
    </row>
    <row r="1742" customFormat="false" ht="15" hidden="false" customHeight="true" outlineLevel="0" collapsed="false">
      <c r="A1742" s="1" t="s">
        <v>2576</v>
      </c>
      <c r="B1742" s="1" t="s">
        <v>2027</v>
      </c>
      <c r="C1742" s="1" t="s">
        <v>134</v>
      </c>
      <c r="D1742" s="1" t="s">
        <v>94</v>
      </c>
      <c r="E1742" s="1" t="s">
        <v>135</v>
      </c>
      <c r="F1742" s="1" t="s">
        <v>205</v>
      </c>
      <c r="G1742" s="1" t="s">
        <v>56</v>
      </c>
      <c r="H1742" s="1" t="s">
        <v>69</v>
      </c>
      <c r="I1742" s="1" t="s">
        <v>34</v>
      </c>
      <c r="J1742" s="1" t="s">
        <v>70</v>
      </c>
      <c r="K1742" s="1" t="s">
        <v>71</v>
      </c>
      <c r="L1742" s="1" t="s">
        <v>49</v>
      </c>
      <c r="M1742" s="1" t="s">
        <v>50</v>
      </c>
      <c r="N1742" s="1" t="n">
        <v>9999</v>
      </c>
      <c r="O1742" s="1" t="n">
        <v>10</v>
      </c>
      <c r="P1742" s="1" t="n">
        <v>999.9</v>
      </c>
      <c r="Q1742" s="1" t="n">
        <v>8999.1</v>
      </c>
      <c r="R1742" s="1" t="n">
        <v>1619.84</v>
      </c>
      <c r="S1742" s="1" t="n">
        <v>7379.26</v>
      </c>
      <c r="T1742" s="1" t="n">
        <v>2630.92</v>
      </c>
      <c r="U1742" s="1" t="n">
        <v>4748.34</v>
      </c>
      <c r="V1742" s="1" t="n">
        <v>64.35</v>
      </c>
      <c r="W1742" s="1" t="s">
        <v>39</v>
      </c>
      <c r="X1742" s="1" t="n">
        <v>3.6</v>
      </c>
      <c r="Y1742" s="1" t="s">
        <v>40</v>
      </c>
      <c r="Z1742" s="1" t="n">
        <v>0</v>
      </c>
    </row>
    <row r="1743" customFormat="false" ht="15" hidden="false" customHeight="true" outlineLevel="0" collapsed="false">
      <c r="A1743" s="1" t="s">
        <v>2577</v>
      </c>
      <c r="B1743" s="1" t="s">
        <v>292</v>
      </c>
      <c r="C1743" s="1" t="s">
        <v>100</v>
      </c>
      <c r="D1743" s="1" t="s">
        <v>80</v>
      </c>
      <c r="E1743" s="1" t="s">
        <v>190</v>
      </c>
      <c r="F1743" s="1" t="s">
        <v>963</v>
      </c>
      <c r="G1743" s="1" t="s">
        <v>68</v>
      </c>
      <c r="H1743" s="1" t="s">
        <v>57</v>
      </c>
      <c r="I1743" s="1" t="s">
        <v>83</v>
      </c>
      <c r="J1743" s="1" t="s">
        <v>59</v>
      </c>
      <c r="K1743" s="1" t="s">
        <v>84</v>
      </c>
      <c r="L1743" s="1" t="s">
        <v>136</v>
      </c>
      <c r="M1743" s="1" t="s">
        <v>50</v>
      </c>
      <c r="N1743" s="1" t="n">
        <v>15999</v>
      </c>
      <c r="O1743" s="1" t="n">
        <v>0</v>
      </c>
      <c r="P1743" s="1" t="n">
        <v>0</v>
      </c>
      <c r="Q1743" s="1" t="n">
        <v>15999</v>
      </c>
      <c r="R1743" s="1" t="n">
        <v>2879.82</v>
      </c>
      <c r="S1743" s="1" t="n">
        <v>13119.18</v>
      </c>
      <c r="T1743" s="1" t="n">
        <v>6227.79</v>
      </c>
      <c r="U1743" s="1" t="n">
        <v>6891.39</v>
      </c>
      <c r="V1743" s="1" t="n">
        <v>52.53</v>
      </c>
      <c r="W1743" s="1" t="s">
        <v>40</v>
      </c>
      <c r="Y1743" s="1" t="s">
        <v>40</v>
      </c>
      <c r="Z1743" s="1" t="n">
        <v>0</v>
      </c>
    </row>
    <row r="1744" customFormat="false" ht="15" hidden="false" customHeight="true" outlineLevel="0" collapsed="false">
      <c r="A1744" s="1" t="s">
        <v>2578</v>
      </c>
      <c r="B1744" s="1" t="s">
        <v>1430</v>
      </c>
      <c r="C1744" s="1" t="s">
        <v>249</v>
      </c>
      <c r="D1744" s="1" t="s">
        <v>44</v>
      </c>
      <c r="E1744" s="1" t="s">
        <v>45</v>
      </c>
      <c r="F1744" s="1" t="s">
        <v>205</v>
      </c>
      <c r="G1744" s="1" t="s">
        <v>56</v>
      </c>
      <c r="H1744" s="1" t="s">
        <v>69</v>
      </c>
      <c r="I1744" s="1" t="s">
        <v>34</v>
      </c>
      <c r="J1744" s="1" t="s">
        <v>77</v>
      </c>
      <c r="K1744" s="1" t="s">
        <v>71</v>
      </c>
      <c r="L1744" s="1" t="s">
        <v>49</v>
      </c>
      <c r="M1744" s="1" t="s">
        <v>38</v>
      </c>
      <c r="N1744" s="1" t="n">
        <v>11999</v>
      </c>
      <c r="O1744" s="1" t="n">
        <v>20</v>
      </c>
      <c r="P1744" s="1" t="n">
        <v>2399.8</v>
      </c>
      <c r="Q1744" s="1" t="n">
        <v>9599.2</v>
      </c>
      <c r="R1744" s="1" t="n">
        <v>1727.86</v>
      </c>
      <c r="S1744" s="1" t="n">
        <v>7871.34</v>
      </c>
      <c r="T1744" s="1" t="n">
        <v>2800.43</v>
      </c>
      <c r="U1744" s="1" t="n">
        <v>5070.91</v>
      </c>
      <c r="V1744" s="1" t="n">
        <v>64.42</v>
      </c>
      <c r="W1744" s="1" t="s">
        <v>39</v>
      </c>
      <c r="X1744" s="1" t="n">
        <v>3.6</v>
      </c>
      <c r="Y1744" s="1" t="s">
        <v>40</v>
      </c>
      <c r="Z1744" s="1" t="n">
        <v>0</v>
      </c>
    </row>
    <row r="1745" customFormat="false" ht="15" hidden="false" customHeight="true" outlineLevel="0" collapsed="false">
      <c r="A1745" s="1" t="s">
        <v>2579</v>
      </c>
      <c r="B1745" s="1" t="s">
        <v>572</v>
      </c>
      <c r="C1745" s="1" t="s">
        <v>128</v>
      </c>
      <c r="D1745" s="1" t="s">
        <v>44</v>
      </c>
      <c r="E1745" s="1" t="s">
        <v>66</v>
      </c>
      <c r="F1745" s="1" t="s">
        <v>130</v>
      </c>
      <c r="G1745" s="1" t="s">
        <v>47</v>
      </c>
      <c r="H1745" s="1" t="s">
        <v>69</v>
      </c>
      <c r="I1745" s="1" t="s">
        <v>58</v>
      </c>
      <c r="J1745" s="1" t="s">
        <v>70</v>
      </c>
      <c r="K1745" s="1" t="s">
        <v>84</v>
      </c>
      <c r="L1745" s="1" t="s">
        <v>113</v>
      </c>
      <c r="M1745" s="1" t="s">
        <v>62</v>
      </c>
      <c r="N1745" s="1" t="n">
        <v>12999</v>
      </c>
      <c r="O1745" s="1" t="n">
        <v>0</v>
      </c>
      <c r="P1745" s="1" t="n">
        <v>0</v>
      </c>
      <c r="Q1745" s="1" t="n">
        <v>12999</v>
      </c>
      <c r="R1745" s="1" t="n">
        <v>2339.82</v>
      </c>
      <c r="S1745" s="1" t="n">
        <v>10659.18</v>
      </c>
      <c r="T1745" s="1" t="n">
        <v>4208.66</v>
      </c>
      <c r="U1745" s="1" t="n">
        <v>6450.52</v>
      </c>
      <c r="V1745" s="1" t="n">
        <v>60.52</v>
      </c>
      <c r="W1745" s="1" t="s">
        <v>39</v>
      </c>
      <c r="X1745" s="1" t="n">
        <v>4.7</v>
      </c>
      <c r="Y1745" s="1" t="s">
        <v>40</v>
      </c>
      <c r="Z1745" s="1" t="n">
        <v>0</v>
      </c>
    </row>
    <row r="1746" customFormat="false" ht="15" hidden="false" customHeight="true" outlineLevel="0" collapsed="false">
      <c r="A1746" s="1" t="s">
        <v>2580</v>
      </c>
      <c r="B1746" s="1" t="s">
        <v>1331</v>
      </c>
      <c r="C1746" s="1" t="s">
        <v>264</v>
      </c>
      <c r="D1746" s="1" t="s">
        <v>53</v>
      </c>
      <c r="E1746" s="1" t="s">
        <v>216</v>
      </c>
      <c r="F1746" s="1" t="s">
        <v>75</v>
      </c>
      <c r="G1746" s="1" t="s">
        <v>76</v>
      </c>
      <c r="H1746" s="1" t="s">
        <v>69</v>
      </c>
      <c r="I1746" s="1" t="s">
        <v>58</v>
      </c>
      <c r="J1746" s="1" t="s">
        <v>70</v>
      </c>
      <c r="K1746" s="1" t="s">
        <v>36</v>
      </c>
      <c r="L1746" s="1" t="s">
        <v>85</v>
      </c>
      <c r="M1746" s="1" t="s">
        <v>50</v>
      </c>
      <c r="N1746" s="1" t="n">
        <v>7499</v>
      </c>
      <c r="O1746" s="1" t="n">
        <v>50</v>
      </c>
      <c r="P1746" s="1" t="n">
        <v>3749.5</v>
      </c>
      <c r="Q1746" s="1" t="n">
        <v>3749.5</v>
      </c>
      <c r="R1746" s="1" t="n">
        <v>674.91</v>
      </c>
      <c r="S1746" s="1" t="n">
        <v>3074.59</v>
      </c>
      <c r="T1746" s="1" t="n">
        <v>1458.09</v>
      </c>
      <c r="U1746" s="1" t="n">
        <v>1616.5</v>
      </c>
      <c r="V1746" s="1" t="n">
        <v>52.58</v>
      </c>
      <c r="W1746" s="1" t="s">
        <v>39</v>
      </c>
      <c r="X1746" s="1" t="n">
        <v>4</v>
      </c>
      <c r="Y1746" s="1" t="s">
        <v>40</v>
      </c>
      <c r="Z1746" s="1" t="n">
        <v>0</v>
      </c>
    </row>
    <row r="1747" customFormat="false" ht="15" hidden="false" customHeight="true" outlineLevel="0" collapsed="false">
      <c r="A1747" s="1" t="s">
        <v>2581</v>
      </c>
      <c r="B1747" s="1" t="s">
        <v>1465</v>
      </c>
      <c r="C1747" s="1" t="s">
        <v>43</v>
      </c>
      <c r="D1747" s="1" t="s">
        <v>94</v>
      </c>
      <c r="E1747" s="1" t="s">
        <v>95</v>
      </c>
      <c r="F1747" s="1" t="s">
        <v>46</v>
      </c>
      <c r="G1747" s="1" t="s">
        <v>47</v>
      </c>
      <c r="H1747" s="1" t="s">
        <v>33</v>
      </c>
      <c r="I1747" s="1" t="s">
        <v>34</v>
      </c>
      <c r="J1747" s="1" t="s">
        <v>70</v>
      </c>
      <c r="K1747" s="1" t="s">
        <v>60</v>
      </c>
      <c r="L1747" s="1" t="s">
        <v>113</v>
      </c>
      <c r="M1747" s="1" t="s">
        <v>62</v>
      </c>
      <c r="N1747" s="1" t="n">
        <v>6999</v>
      </c>
      <c r="O1747" s="1" t="n">
        <v>0</v>
      </c>
      <c r="P1747" s="1" t="n">
        <v>0</v>
      </c>
      <c r="Q1747" s="1" t="n">
        <v>6999</v>
      </c>
      <c r="R1747" s="1" t="n">
        <v>1259.82</v>
      </c>
      <c r="S1747" s="1" t="n">
        <v>5739.18</v>
      </c>
      <c r="T1747" s="1" t="n">
        <v>2796.08</v>
      </c>
      <c r="U1747" s="1" t="n">
        <v>2943.1</v>
      </c>
      <c r="V1747" s="1" t="n">
        <v>51.28</v>
      </c>
      <c r="W1747" s="1" t="s">
        <v>39</v>
      </c>
      <c r="X1747" s="1" t="n">
        <v>4.2</v>
      </c>
      <c r="Y1747" s="1" t="s">
        <v>39</v>
      </c>
      <c r="Z1747" s="1" t="n">
        <v>0</v>
      </c>
    </row>
    <row r="1748" customFormat="false" ht="15" hidden="false" customHeight="true" outlineLevel="0" collapsed="false">
      <c r="A1748" s="1" t="s">
        <v>2582</v>
      </c>
      <c r="B1748" s="1" t="s">
        <v>251</v>
      </c>
      <c r="C1748" s="1" t="s">
        <v>167</v>
      </c>
      <c r="D1748" s="1" t="s">
        <v>168</v>
      </c>
      <c r="E1748" s="1" t="s">
        <v>169</v>
      </c>
      <c r="F1748" s="1" t="s">
        <v>184</v>
      </c>
      <c r="G1748" s="1" t="s">
        <v>56</v>
      </c>
      <c r="H1748" s="1" t="s">
        <v>57</v>
      </c>
      <c r="I1748" s="1" t="s">
        <v>58</v>
      </c>
      <c r="J1748" s="1" t="s">
        <v>35</v>
      </c>
      <c r="K1748" s="1" t="s">
        <v>60</v>
      </c>
      <c r="L1748" s="1" t="s">
        <v>37</v>
      </c>
      <c r="M1748" s="1" t="s">
        <v>38</v>
      </c>
      <c r="N1748" s="1" t="n">
        <v>4999</v>
      </c>
      <c r="O1748" s="1" t="n">
        <v>50</v>
      </c>
      <c r="P1748" s="1" t="n">
        <v>2499.5</v>
      </c>
      <c r="Q1748" s="1" t="n">
        <v>2499.5</v>
      </c>
      <c r="R1748" s="1" t="n">
        <v>449.91</v>
      </c>
      <c r="S1748" s="1" t="n">
        <v>2049.59</v>
      </c>
      <c r="T1748" s="1" t="n">
        <v>991.99</v>
      </c>
      <c r="U1748" s="1" t="n">
        <v>1057.6</v>
      </c>
      <c r="V1748" s="1" t="n">
        <v>51.6</v>
      </c>
      <c r="W1748" s="1" t="s">
        <v>40</v>
      </c>
      <c r="Y1748" s="1" t="s">
        <v>40</v>
      </c>
      <c r="Z1748" s="1" t="n">
        <v>1</v>
      </c>
    </row>
    <row r="1749" customFormat="false" ht="15" hidden="false" customHeight="true" outlineLevel="0" collapsed="false">
      <c r="A1749" s="1" t="s">
        <v>2583</v>
      </c>
      <c r="B1749" s="1" t="s">
        <v>487</v>
      </c>
      <c r="C1749" s="1" t="s">
        <v>119</v>
      </c>
      <c r="D1749" s="1" t="s">
        <v>80</v>
      </c>
      <c r="E1749" s="1" t="s">
        <v>193</v>
      </c>
      <c r="F1749" s="1" t="s">
        <v>153</v>
      </c>
      <c r="G1749" s="1" t="s">
        <v>76</v>
      </c>
      <c r="H1749" s="1" t="s">
        <v>33</v>
      </c>
      <c r="I1749" s="1" t="s">
        <v>83</v>
      </c>
      <c r="J1749" s="1" t="s">
        <v>77</v>
      </c>
      <c r="K1749" s="1" t="s">
        <v>112</v>
      </c>
      <c r="L1749" s="1" t="s">
        <v>113</v>
      </c>
      <c r="M1749" s="1" t="s">
        <v>62</v>
      </c>
      <c r="N1749" s="1" t="n">
        <v>8999</v>
      </c>
      <c r="O1749" s="1" t="n">
        <v>25</v>
      </c>
      <c r="P1749" s="1" t="n">
        <v>2249.75</v>
      </c>
      <c r="Q1749" s="1" t="n">
        <v>6749.25</v>
      </c>
      <c r="R1749" s="1" t="n">
        <v>1214.87</v>
      </c>
      <c r="S1749" s="1" t="n">
        <v>5534.38</v>
      </c>
      <c r="T1749" s="1" t="n">
        <v>2680.56</v>
      </c>
      <c r="U1749" s="1" t="n">
        <v>2853.82</v>
      </c>
      <c r="V1749" s="1" t="n">
        <v>51.57</v>
      </c>
      <c r="W1749" s="1" t="s">
        <v>39</v>
      </c>
      <c r="X1749" s="1" t="n">
        <v>4.8</v>
      </c>
      <c r="Y1749" s="1" t="s">
        <v>39</v>
      </c>
      <c r="Z1749" s="1" t="n">
        <v>0</v>
      </c>
    </row>
    <row r="1750" customFormat="false" ht="15" hidden="false" customHeight="true" outlineLevel="0" collapsed="false">
      <c r="A1750" s="1" t="s">
        <v>2584</v>
      </c>
      <c r="B1750" s="1" t="s">
        <v>2585</v>
      </c>
      <c r="C1750" s="1" t="s">
        <v>28</v>
      </c>
      <c r="D1750" s="1" t="s">
        <v>44</v>
      </c>
      <c r="E1750" s="1" t="s">
        <v>45</v>
      </c>
      <c r="F1750" s="1" t="s">
        <v>46</v>
      </c>
      <c r="G1750" s="1" t="s">
        <v>47</v>
      </c>
      <c r="H1750" s="1" t="s">
        <v>33</v>
      </c>
      <c r="I1750" s="1" t="s">
        <v>34</v>
      </c>
      <c r="J1750" s="1" t="s">
        <v>35</v>
      </c>
      <c r="K1750" s="1" t="s">
        <v>60</v>
      </c>
      <c r="L1750" s="1" t="s">
        <v>85</v>
      </c>
      <c r="M1750" s="1" t="s">
        <v>38</v>
      </c>
      <c r="N1750" s="1" t="n">
        <v>11999</v>
      </c>
      <c r="O1750" s="1" t="n">
        <v>40</v>
      </c>
      <c r="P1750" s="1" t="n">
        <v>4799.6</v>
      </c>
      <c r="Q1750" s="1" t="n">
        <v>7199.4</v>
      </c>
      <c r="R1750" s="1" t="n">
        <v>1295.89</v>
      </c>
      <c r="S1750" s="1" t="n">
        <v>5903.51</v>
      </c>
      <c r="T1750" s="1" t="n">
        <v>3009.32</v>
      </c>
      <c r="U1750" s="1" t="n">
        <v>2894.19</v>
      </c>
      <c r="V1750" s="1" t="n">
        <v>49.02</v>
      </c>
      <c r="W1750" s="1" t="s">
        <v>40</v>
      </c>
      <c r="Y1750" s="1" t="s">
        <v>40</v>
      </c>
      <c r="Z1750" s="1" t="n">
        <v>0</v>
      </c>
    </row>
    <row r="1751" customFormat="false" ht="15" hidden="false" customHeight="true" outlineLevel="0" collapsed="false">
      <c r="A1751" s="1" t="s">
        <v>2586</v>
      </c>
      <c r="B1751" s="1" t="s">
        <v>1021</v>
      </c>
      <c r="C1751" s="1" t="s">
        <v>74</v>
      </c>
      <c r="D1751" s="1" t="s">
        <v>53</v>
      </c>
      <c r="E1751" s="1" t="s">
        <v>116</v>
      </c>
      <c r="F1751" s="1" t="s">
        <v>89</v>
      </c>
      <c r="G1751" s="1" t="s">
        <v>68</v>
      </c>
      <c r="H1751" s="1" t="s">
        <v>33</v>
      </c>
      <c r="I1751" s="1" t="s">
        <v>58</v>
      </c>
      <c r="J1751" s="1" t="s">
        <v>70</v>
      </c>
      <c r="K1751" s="1" t="s">
        <v>104</v>
      </c>
      <c r="L1751" s="1" t="s">
        <v>136</v>
      </c>
      <c r="M1751" s="1" t="s">
        <v>38</v>
      </c>
      <c r="N1751" s="1" t="n">
        <v>9999</v>
      </c>
      <c r="O1751" s="1" t="n">
        <v>10</v>
      </c>
      <c r="P1751" s="1" t="n">
        <v>999.9</v>
      </c>
      <c r="Q1751" s="1" t="n">
        <v>8999.1</v>
      </c>
      <c r="R1751" s="1" t="n">
        <v>1619.84</v>
      </c>
      <c r="S1751" s="1" t="n">
        <v>7379.26</v>
      </c>
      <c r="T1751" s="1" t="n">
        <v>2951.74</v>
      </c>
      <c r="U1751" s="1" t="n">
        <v>4427.52</v>
      </c>
      <c r="V1751" s="1" t="n">
        <v>60</v>
      </c>
      <c r="W1751" s="1" t="s">
        <v>39</v>
      </c>
      <c r="X1751" s="1" t="n">
        <v>2.9</v>
      </c>
      <c r="Y1751" s="1" t="s">
        <v>40</v>
      </c>
      <c r="Z1751" s="1" t="n">
        <v>1</v>
      </c>
    </row>
    <row r="1752" customFormat="false" ht="15" hidden="false" customHeight="true" outlineLevel="0" collapsed="false">
      <c r="A1752" s="1" t="s">
        <v>2587</v>
      </c>
      <c r="B1752" s="1" t="s">
        <v>1196</v>
      </c>
      <c r="C1752" s="1" t="s">
        <v>100</v>
      </c>
      <c r="D1752" s="1" t="s">
        <v>143</v>
      </c>
      <c r="E1752" s="1" t="s">
        <v>210</v>
      </c>
      <c r="F1752" s="1" t="s">
        <v>31</v>
      </c>
      <c r="G1752" s="1" t="s">
        <v>32</v>
      </c>
      <c r="H1752" s="1" t="s">
        <v>33</v>
      </c>
      <c r="I1752" s="1" t="s">
        <v>83</v>
      </c>
      <c r="J1752" s="1" t="s">
        <v>77</v>
      </c>
      <c r="K1752" s="1" t="s">
        <v>48</v>
      </c>
      <c r="L1752" s="1" t="s">
        <v>61</v>
      </c>
      <c r="M1752" s="1" t="s">
        <v>50</v>
      </c>
      <c r="N1752" s="1" t="n">
        <v>18999</v>
      </c>
      <c r="O1752" s="1" t="n">
        <v>25</v>
      </c>
      <c r="P1752" s="1" t="n">
        <v>4749.75</v>
      </c>
      <c r="Q1752" s="1" t="n">
        <v>14249.25</v>
      </c>
      <c r="R1752" s="1" t="n">
        <v>2564.86</v>
      </c>
      <c r="S1752" s="1" t="n">
        <v>11684.39</v>
      </c>
      <c r="T1752" s="1" t="n">
        <v>5497.37</v>
      </c>
      <c r="U1752" s="1" t="n">
        <v>6187.02</v>
      </c>
      <c r="V1752" s="1" t="n">
        <v>52.95</v>
      </c>
      <c r="W1752" s="1" t="s">
        <v>40</v>
      </c>
      <c r="Y1752" s="1" t="s">
        <v>40</v>
      </c>
      <c r="Z1752" s="1" t="n">
        <v>2</v>
      </c>
    </row>
    <row r="1753" customFormat="false" ht="15" hidden="false" customHeight="true" outlineLevel="0" collapsed="false">
      <c r="A1753" s="1" t="s">
        <v>2588</v>
      </c>
      <c r="B1753" s="1" t="s">
        <v>277</v>
      </c>
      <c r="C1753" s="1" t="s">
        <v>139</v>
      </c>
      <c r="D1753" s="1" t="s">
        <v>168</v>
      </c>
      <c r="E1753" s="1" t="s">
        <v>197</v>
      </c>
      <c r="F1753" s="1" t="s">
        <v>96</v>
      </c>
      <c r="G1753" s="1" t="s">
        <v>97</v>
      </c>
      <c r="H1753" s="1" t="s">
        <v>69</v>
      </c>
      <c r="I1753" s="1" t="s">
        <v>34</v>
      </c>
      <c r="J1753" s="1" t="s">
        <v>59</v>
      </c>
      <c r="K1753" s="1" t="s">
        <v>104</v>
      </c>
      <c r="L1753" s="1" t="s">
        <v>113</v>
      </c>
      <c r="M1753" s="1" t="s">
        <v>38</v>
      </c>
      <c r="N1753" s="1" t="n">
        <v>8499</v>
      </c>
      <c r="O1753" s="1" t="n">
        <v>0</v>
      </c>
      <c r="P1753" s="1" t="n">
        <v>0</v>
      </c>
      <c r="Q1753" s="1" t="n">
        <v>8499</v>
      </c>
      <c r="R1753" s="1" t="n">
        <v>1529.82</v>
      </c>
      <c r="S1753" s="1" t="n">
        <v>6969.18</v>
      </c>
      <c r="T1753" s="1" t="n">
        <v>1929.77</v>
      </c>
      <c r="U1753" s="1" t="n">
        <v>5039.41</v>
      </c>
      <c r="V1753" s="1" t="n">
        <v>72.31</v>
      </c>
      <c r="W1753" s="1" t="s">
        <v>40</v>
      </c>
      <c r="Y1753" s="1" t="s">
        <v>40</v>
      </c>
      <c r="Z1753" s="1" t="n">
        <v>1</v>
      </c>
    </row>
    <row r="1754" customFormat="false" ht="15" hidden="false" customHeight="true" outlineLevel="0" collapsed="false">
      <c r="A1754" s="1" t="s">
        <v>2589</v>
      </c>
      <c r="B1754" s="1" t="s">
        <v>2560</v>
      </c>
      <c r="C1754" s="1" t="s">
        <v>74</v>
      </c>
      <c r="D1754" s="1" t="s">
        <v>168</v>
      </c>
      <c r="E1754" s="1" t="s">
        <v>169</v>
      </c>
      <c r="F1754" s="1" t="s">
        <v>120</v>
      </c>
      <c r="G1754" s="1" t="s">
        <v>47</v>
      </c>
      <c r="H1754" s="1" t="s">
        <v>57</v>
      </c>
      <c r="I1754" s="1" t="s">
        <v>83</v>
      </c>
      <c r="J1754" s="1" t="s">
        <v>70</v>
      </c>
      <c r="K1754" s="1" t="s">
        <v>60</v>
      </c>
      <c r="L1754" s="1" t="s">
        <v>113</v>
      </c>
      <c r="M1754" s="1" t="s">
        <v>62</v>
      </c>
      <c r="N1754" s="1" t="n">
        <v>4999</v>
      </c>
      <c r="O1754" s="1" t="n">
        <v>10</v>
      </c>
      <c r="P1754" s="1" t="n">
        <v>499.9</v>
      </c>
      <c r="Q1754" s="1" t="n">
        <v>4499.1</v>
      </c>
      <c r="R1754" s="1" t="n">
        <v>809.84</v>
      </c>
      <c r="S1754" s="1" t="n">
        <v>3689.26</v>
      </c>
      <c r="T1754" s="1" t="n">
        <v>1598.41</v>
      </c>
      <c r="U1754" s="1" t="n">
        <v>2090.85</v>
      </c>
      <c r="V1754" s="1" t="n">
        <v>56.67</v>
      </c>
      <c r="W1754" s="1" t="s">
        <v>39</v>
      </c>
      <c r="X1754" s="1" t="n">
        <v>3.2</v>
      </c>
      <c r="Y1754" s="1" t="s">
        <v>40</v>
      </c>
      <c r="Z1754" s="1" t="n">
        <v>0</v>
      </c>
    </row>
    <row r="1755" customFormat="false" ht="15" hidden="false" customHeight="true" outlineLevel="0" collapsed="false">
      <c r="A1755" s="1" t="s">
        <v>2590</v>
      </c>
      <c r="B1755" s="1" t="s">
        <v>1412</v>
      </c>
      <c r="C1755" s="1" t="s">
        <v>88</v>
      </c>
      <c r="D1755" s="1" t="s">
        <v>168</v>
      </c>
      <c r="E1755" s="1" t="s">
        <v>328</v>
      </c>
      <c r="F1755" s="1" t="s">
        <v>107</v>
      </c>
      <c r="G1755" s="1" t="s">
        <v>108</v>
      </c>
      <c r="H1755" s="1" t="s">
        <v>33</v>
      </c>
      <c r="I1755" s="1" t="s">
        <v>83</v>
      </c>
      <c r="J1755" s="1" t="s">
        <v>131</v>
      </c>
      <c r="K1755" s="1" t="s">
        <v>71</v>
      </c>
      <c r="L1755" s="1" t="s">
        <v>37</v>
      </c>
      <c r="M1755" s="1" t="s">
        <v>50</v>
      </c>
      <c r="N1755" s="1" t="n">
        <v>8999</v>
      </c>
      <c r="O1755" s="1" t="n">
        <v>20</v>
      </c>
      <c r="P1755" s="1" t="n">
        <v>1799.8</v>
      </c>
      <c r="Q1755" s="1" t="n">
        <v>7199.2</v>
      </c>
      <c r="R1755" s="1" t="n">
        <v>1295.86</v>
      </c>
      <c r="S1755" s="1" t="n">
        <v>5903.34</v>
      </c>
      <c r="T1755" s="1" t="n">
        <v>2131.48</v>
      </c>
      <c r="U1755" s="1" t="n">
        <v>3771.86</v>
      </c>
      <c r="V1755" s="1" t="n">
        <v>63.89</v>
      </c>
      <c r="W1755" s="1" t="s">
        <v>39</v>
      </c>
      <c r="Y1755" s="1" t="s">
        <v>40</v>
      </c>
      <c r="Z1755" s="1" t="n">
        <v>0</v>
      </c>
    </row>
    <row r="1756" customFormat="false" ht="15" hidden="false" customHeight="true" outlineLevel="0" collapsed="false">
      <c r="A1756" s="1" t="s">
        <v>2591</v>
      </c>
      <c r="B1756" s="1" t="s">
        <v>1510</v>
      </c>
      <c r="C1756" s="1" t="s">
        <v>74</v>
      </c>
      <c r="D1756" s="1" t="s">
        <v>44</v>
      </c>
      <c r="E1756" s="1" t="s">
        <v>221</v>
      </c>
      <c r="F1756" s="1" t="s">
        <v>82</v>
      </c>
      <c r="G1756" s="1" t="s">
        <v>56</v>
      </c>
      <c r="H1756" s="1" t="s">
        <v>69</v>
      </c>
      <c r="I1756" s="1" t="s">
        <v>34</v>
      </c>
      <c r="J1756" s="1" t="s">
        <v>35</v>
      </c>
      <c r="K1756" s="1" t="s">
        <v>90</v>
      </c>
      <c r="L1756" s="1" t="s">
        <v>113</v>
      </c>
      <c r="M1756" s="1" t="s">
        <v>50</v>
      </c>
      <c r="N1756" s="1" t="n">
        <v>16999</v>
      </c>
      <c r="O1756" s="1" t="n">
        <v>10</v>
      </c>
      <c r="P1756" s="1" t="n">
        <v>1699.9</v>
      </c>
      <c r="Q1756" s="1" t="n">
        <v>15299.1</v>
      </c>
      <c r="R1756" s="1" t="n">
        <v>2753.84</v>
      </c>
      <c r="S1756" s="1" t="n">
        <v>12545.26</v>
      </c>
      <c r="T1756" s="1" t="n">
        <v>4777.98</v>
      </c>
      <c r="U1756" s="1" t="n">
        <v>7767.28</v>
      </c>
      <c r="V1756" s="1" t="n">
        <v>61.91</v>
      </c>
      <c r="W1756" s="1" t="s">
        <v>39</v>
      </c>
      <c r="X1756" s="1" t="n">
        <v>3.5</v>
      </c>
      <c r="Y1756" s="1" t="s">
        <v>40</v>
      </c>
      <c r="Z1756" s="1" t="n">
        <v>1</v>
      </c>
    </row>
    <row r="1757" customFormat="false" ht="15" hidden="false" customHeight="true" outlineLevel="0" collapsed="false">
      <c r="A1757" s="1" t="s">
        <v>2592</v>
      </c>
      <c r="B1757" s="1" t="s">
        <v>2081</v>
      </c>
      <c r="C1757" s="1" t="s">
        <v>28</v>
      </c>
      <c r="D1757" s="1" t="s">
        <v>143</v>
      </c>
      <c r="E1757" s="1" t="s">
        <v>210</v>
      </c>
      <c r="F1757" s="1" t="s">
        <v>187</v>
      </c>
      <c r="G1757" s="1" t="s">
        <v>97</v>
      </c>
      <c r="H1757" s="1" t="s">
        <v>69</v>
      </c>
      <c r="I1757" s="1" t="s">
        <v>34</v>
      </c>
      <c r="J1757" s="1" t="s">
        <v>35</v>
      </c>
      <c r="K1757" s="1" t="s">
        <v>90</v>
      </c>
      <c r="L1757" s="1" t="s">
        <v>85</v>
      </c>
      <c r="M1757" s="1" t="s">
        <v>50</v>
      </c>
      <c r="N1757" s="1" t="n">
        <v>18999</v>
      </c>
      <c r="O1757" s="1" t="n">
        <v>10</v>
      </c>
      <c r="P1757" s="1" t="n">
        <v>1899.9</v>
      </c>
      <c r="Q1757" s="1" t="n">
        <v>17099.1</v>
      </c>
      <c r="R1757" s="1" t="n">
        <v>3077.84</v>
      </c>
      <c r="S1757" s="1" t="n">
        <v>14021.26</v>
      </c>
      <c r="T1757" s="1" t="n">
        <v>6157</v>
      </c>
      <c r="U1757" s="1" t="n">
        <v>7864.26</v>
      </c>
      <c r="V1757" s="1" t="n">
        <v>56.09</v>
      </c>
      <c r="W1757" s="1" t="s">
        <v>40</v>
      </c>
      <c r="Y1757" s="1" t="s">
        <v>40</v>
      </c>
      <c r="Z1757" s="1" t="n">
        <v>1</v>
      </c>
    </row>
    <row r="1758" customFormat="false" ht="15" hidden="false" customHeight="true" outlineLevel="0" collapsed="false">
      <c r="A1758" s="1" t="s">
        <v>2593</v>
      </c>
      <c r="B1758" s="1" t="s">
        <v>1402</v>
      </c>
      <c r="C1758" s="1" t="s">
        <v>119</v>
      </c>
      <c r="D1758" s="1" t="s">
        <v>143</v>
      </c>
      <c r="E1758" s="1" t="s">
        <v>144</v>
      </c>
      <c r="F1758" s="1" t="s">
        <v>107</v>
      </c>
      <c r="G1758" s="1" t="s">
        <v>108</v>
      </c>
      <c r="H1758" s="1" t="s">
        <v>33</v>
      </c>
      <c r="I1758" s="1" t="s">
        <v>58</v>
      </c>
      <c r="J1758" s="1" t="s">
        <v>131</v>
      </c>
      <c r="K1758" s="1" t="s">
        <v>90</v>
      </c>
      <c r="L1758" s="1" t="s">
        <v>113</v>
      </c>
      <c r="M1758" s="1" t="s">
        <v>38</v>
      </c>
      <c r="N1758" s="1" t="n">
        <v>12999</v>
      </c>
      <c r="O1758" s="1" t="n">
        <v>25</v>
      </c>
      <c r="P1758" s="1" t="n">
        <v>3249.75</v>
      </c>
      <c r="Q1758" s="1" t="n">
        <v>9749.25</v>
      </c>
      <c r="R1758" s="1" t="n">
        <v>1754.87</v>
      </c>
      <c r="S1758" s="1" t="n">
        <v>7994.38</v>
      </c>
      <c r="T1758" s="1" t="n">
        <v>3801.44</v>
      </c>
      <c r="U1758" s="1" t="n">
        <v>4192.94</v>
      </c>
      <c r="V1758" s="1" t="n">
        <v>52.45</v>
      </c>
      <c r="W1758" s="1" t="s">
        <v>39</v>
      </c>
      <c r="X1758" s="1" t="n">
        <v>3.9</v>
      </c>
      <c r="Y1758" s="1" t="s">
        <v>40</v>
      </c>
      <c r="Z1758" s="1" t="n">
        <v>0</v>
      </c>
    </row>
    <row r="1759" customFormat="false" ht="15" hidden="false" customHeight="true" outlineLevel="0" collapsed="false">
      <c r="A1759" s="1" t="s">
        <v>2594</v>
      </c>
      <c r="B1759" s="1" t="s">
        <v>983</v>
      </c>
      <c r="C1759" s="1" t="s">
        <v>88</v>
      </c>
      <c r="D1759" s="1" t="s">
        <v>53</v>
      </c>
      <c r="E1759" s="1" t="s">
        <v>216</v>
      </c>
      <c r="F1759" s="1" t="s">
        <v>153</v>
      </c>
      <c r="G1759" s="1" t="s">
        <v>76</v>
      </c>
      <c r="H1759" s="1" t="s">
        <v>33</v>
      </c>
      <c r="I1759" s="1" t="s">
        <v>34</v>
      </c>
      <c r="J1759" s="1" t="s">
        <v>131</v>
      </c>
      <c r="K1759" s="1" t="s">
        <v>104</v>
      </c>
      <c r="L1759" s="1" t="s">
        <v>113</v>
      </c>
      <c r="M1759" s="1" t="s">
        <v>50</v>
      </c>
      <c r="N1759" s="1" t="n">
        <v>7499</v>
      </c>
      <c r="O1759" s="1" t="n">
        <v>10</v>
      </c>
      <c r="P1759" s="1" t="n">
        <v>749.9</v>
      </c>
      <c r="Q1759" s="1" t="n">
        <v>6749.1</v>
      </c>
      <c r="R1759" s="1" t="n">
        <v>1214.84</v>
      </c>
      <c r="S1759" s="1" t="n">
        <v>5534.26</v>
      </c>
      <c r="T1759" s="1" t="n">
        <v>2145.9</v>
      </c>
      <c r="U1759" s="1" t="n">
        <v>3388.36</v>
      </c>
      <c r="V1759" s="1" t="n">
        <v>61.23</v>
      </c>
      <c r="W1759" s="1" t="s">
        <v>40</v>
      </c>
      <c r="Y1759" s="1" t="s">
        <v>40</v>
      </c>
      <c r="Z1759" s="1" t="n">
        <v>0</v>
      </c>
    </row>
    <row r="1760" customFormat="false" ht="15" hidden="false" customHeight="true" outlineLevel="0" collapsed="false">
      <c r="A1760" s="1" t="s">
        <v>2595</v>
      </c>
      <c r="B1760" s="1" t="s">
        <v>710</v>
      </c>
      <c r="C1760" s="1" t="s">
        <v>134</v>
      </c>
      <c r="D1760" s="1" t="s">
        <v>123</v>
      </c>
      <c r="E1760" s="1" t="s">
        <v>147</v>
      </c>
      <c r="F1760" s="1" t="s">
        <v>75</v>
      </c>
      <c r="G1760" s="1" t="s">
        <v>76</v>
      </c>
      <c r="H1760" s="1" t="s">
        <v>69</v>
      </c>
      <c r="I1760" s="1" t="s">
        <v>83</v>
      </c>
      <c r="J1760" s="1" t="s">
        <v>70</v>
      </c>
      <c r="K1760" s="1" t="s">
        <v>104</v>
      </c>
      <c r="L1760" s="1" t="s">
        <v>37</v>
      </c>
      <c r="M1760" s="1" t="s">
        <v>62</v>
      </c>
      <c r="N1760" s="1" t="n">
        <v>6999</v>
      </c>
      <c r="O1760" s="1" t="n">
        <v>10</v>
      </c>
      <c r="P1760" s="1" t="n">
        <v>699.9</v>
      </c>
      <c r="Q1760" s="1" t="n">
        <v>6299.1</v>
      </c>
      <c r="R1760" s="1" t="n">
        <v>1133.84</v>
      </c>
      <c r="S1760" s="1" t="n">
        <v>5165.26</v>
      </c>
      <c r="T1760" s="1" t="n">
        <v>1979.62</v>
      </c>
      <c r="U1760" s="1" t="n">
        <v>3185.64</v>
      </c>
      <c r="V1760" s="1" t="n">
        <v>61.67</v>
      </c>
      <c r="W1760" s="1" t="s">
        <v>39</v>
      </c>
      <c r="X1760" s="1" t="n">
        <v>3.5</v>
      </c>
      <c r="Y1760" s="1" t="s">
        <v>40</v>
      </c>
      <c r="Z1760" s="1" t="n">
        <v>1</v>
      </c>
    </row>
    <row r="1761" customFormat="false" ht="15" hidden="false" customHeight="true" outlineLevel="0" collapsed="false">
      <c r="A1761" s="1" t="s">
        <v>2596</v>
      </c>
      <c r="B1761" s="1" t="s">
        <v>2281</v>
      </c>
      <c r="C1761" s="1" t="s">
        <v>43</v>
      </c>
      <c r="D1761" s="1" t="s">
        <v>44</v>
      </c>
      <c r="E1761" s="1" t="s">
        <v>45</v>
      </c>
      <c r="F1761" s="1" t="s">
        <v>187</v>
      </c>
      <c r="G1761" s="1" t="s">
        <v>97</v>
      </c>
      <c r="H1761" s="1" t="s">
        <v>69</v>
      </c>
      <c r="I1761" s="1" t="s">
        <v>58</v>
      </c>
      <c r="J1761" s="1" t="s">
        <v>59</v>
      </c>
      <c r="K1761" s="1" t="s">
        <v>36</v>
      </c>
      <c r="L1761" s="1" t="s">
        <v>136</v>
      </c>
      <c r="M1761" s="1" t="s">
        <v>62</v>
      </c>
      <c r="N1761" s="1" t="n">
        <v>11999</v>
      </c>
      <c r="O1761" s="1" t="n">
        <v>0</v>
      </c>
      <c r="P1761" s="1" t="n">
        <v>0</v>
      </c>
      <c r="Q1761" s="1" t="n">
        <v>11999</v>
      </c>
      <c r="R1761" s="1" t="n">
        <v>2159.82</v>
      </c>
      <c r="S1761" s="1" t="n">
        <v>9839.18</v>
      </c>
      <c r="T1761" s="1" t="n">
        <v>4890.07</v>
      </c>
      <c r="U1761" s="1" t="n">
        <v>4949.11</v>
      </c>
      <c r="V1761" s="1" t="n">
        <v>50.3</v>
      </c>
      <c r="W1761" s="1" t="s">
        <v>39</v>
      </c>
      <c r="X1761" s="1" t="n">
        <v>3.9</v>
      </c>
      <c r="Y1761" s="1" t="s">
        <v>40</v>
      </c>
      <c r="Z1761" s="1" t="n">
        <v>1</v>
      </c>
    </row>
    <row r="1762" customFormat="false" ht="15" hidden="false" customHeight="true" outlineLevel="0" collapsed="false">
      <c r="A1762" s="1" t="s">
        <v>2597</v>
      </c>
      <c r="B1762" s="1" t="s">
        <v>657</v>
      </c>
      <c r="C1762" s="1" t="s">
        <v>2598</v>
      </c>
      <c r="D1762" s="1" t="s">
        <v>29</v>
      </c>
      <c r="E1762" s="1" t="s">
        <v>30</v>
      </c>
      <c r="F1762" s="1" t="s">
        <v>46</v>
      </c>
      <c r="G1762" s="1" t="s">
        <v>47</v>
      </c>
      <c r="H1762" s="1" t="s">
        <v>33</v>
      </c>
      <c r="I1762" s="1" t="s">
        <v>34</v>
      </c>
      <c r="J1762" s="1" t="s">
        <v>35</v>
      </c>
      <c r="K1762" s="1" t="s">
        <v>112</v>
      </c>
      <c r="L1762" s="1" t="s">
        <v>49</v>
      </c>
      <c r="M1762" s="1" t="s">
        <v>38</v>
      </c>
      <c r="N1762" s="1" t="n">
        <v>7999</v>
      </c>
      <c r="O1762" s="1" t="n">
        <v>0</v>
      </c>
      <c r="P1762" s="1" t="n">
        <v>0</v>
      </c>
      <c r="Q1762" s="1" t="n">
        <v>7999</v>
      </c>
      <c r="R1762" s="1" t="n">
        <v>1439.82</v>
      </c>
      <c r="S1762" s="1" t="n">
        <v>6559.18</v>
      </c>
      <c r="T1762" s="1" t="n">
        <v>2982.85</v>
      </c>
      <c r="U1762" s="1" t="n">
        <v>3576.33</v>
      </c>
      <c r="V1762" s="1" t="n">
        <v>54.52</v>
      </c>
      <c r="W1762" s="1" t="s">
        <v>39</v>
      </c>
      <c r="Y1762" s="1" t="s">
        <v>40</v>
      </c>
      <c r="Z1762" s="1" t="n">
        <v>0</v>
      </c>
    </row>
    <row r="1763" customFormat="false" ht="15" hidden="false" customHeight="true" outlineLevel="0" collapsed="false">
      <c r="A1763" s="1" t="s">
        <v>2599</v>
      </c>
      <c r="B1763" s="1" t="s">
        <v>606</v>
      </c>
      <c r="C1763" s="1" t="s">
        <v>128</v>
      </c>
      <c r="D1763" s="1" t="s">
        <v>94</v>
      </c>
      <c r="E1763" s="1" t="s">
        <v>101</v>
      </c>
      <c r="F1763" s="1" t="s">
        <v>205</v>
      </c>
      <c r="G1763" s="1" t="s">
        <v>56</v>
      </c>
      <c r="H1763" s="1" t="s">
        <v>69</v>
      </c>
      <c r="I1763" s="1" t="s">
        <v>58</v>
      </c>
      <c r="J1763" s="1" t="s">
        <v>59</v>
      </c>
      <c r="K1763" s="1" t="s">
        <v>112</v>
      </c>
      <c r="L1763" s="1" t="s">
        <v>61</v>
      </c>
      <c r="M1763" s="1" t="s">
        <v>50</v>
      </c>
      <c r="N1763" s="1" t="n">
        <v>14999</v>
      </c>
      <c r="O1763" s="1" t="n">
        <v>5</v>
      </c>
      <c r="P1763" s="1" t="n">
        <v>749.95</v>
      </c>
      <c r="Q1763" s="1" t="n">
        <v>14249.05</v>
      </c>
      <c r="R1763" s="1" t="n">
        <v>2564.83</v>
      </c>
      <c r="S1763" s="1" t="n">
        <v>11684.22</v>
      </c>
      <c r="T1763" s="1" t="n">
        <v>5071.15</v>
      </c>
      <c r="U1763" s="1" t="n">
        <v>6613.07</v>
      </c>
      <c r="V1763" s="1" t="n">
        <v>56.6</v>
      </c>
      <c r="W1763" s="1" t="s">
        <v>39</v>
      </c>
      <c r="X1763" s="1" t="n">
        <v>3.6</v>
      </c>
      <c r="Y1763" s="1" t="s">
        <v>40</v>
      </c>
      <c r="Z1763" s="1" t="n">
        <v>1</v>
      </c>
    </row>
    <row r="1764" customFormat="false" ht="15" hidden="false" customHeight="true" outlineLevel="0" collapsed="false">
      <c r="A1764" s="1" t="s">
        <v>2600</v>
      </c>
      <c r="B1764" s="1" t="s">
        <v>1275</v>
      </c>
      <c r="C1764" s="1" t="s">
        <v>178</v>
      </c>
      <c r="D1764" s="1" t="s">
        <v>143</v>
      </c>
      <c r="E1764" s="1" t="s">
        <v>159</v>
      </c>
      <c r="F1764" s="1" t="s">
        <v>55</v>
      </c>
      <c r="G1764" s="1" t="s">
        <v>56</v>
      </c>
      <c r="H1764" s="1" t="s">
        <v>57</v>
      </c>
      <c r="I1764" s="1" t="s">
        <v>34</v>
      </c>
      <c r="J1764" s="1" t="s">
        <v>35</v>
      </c>
      <c r="K1764" s="1" t="s">
        <v>104</v>
      </c>
      <c r="L1764" s="1" t="s">
        <v>113</v>
      </c>
      <c r="M1764" s="1" t="s">
        <v>50</v>
      </c>
      <c r="N1764" s="1" t="n">
        <v>24999</v>
      </c>
      <c r="O1764" s="1" t="n">
        <v>25</v>
      </c>
      <c r="P1764" s="1" t="n">
        <v>6249.75</v>
      </c>
      <c r="Q1764" s="1" t="n">
        <v>18749.25</v>
      </c>
      <c r="R1764" s="1" t="n">
        <v>3374.86</v>
      </c>
      <c r="S1764" s="1" t="n">
        <v>15374.39</v>
      </c>
      <c r="T1764" s="1" t="n">
        <v>5312.2</v>
      </c>
      <c r="U1764" s="1" t="n">
        <v>10062.19</v>
      </c>
      <c r="V1764" s="1" t="n">
        <v>65.45</v>
      </c>
      <c r="W1764" s="1" t="s">
        <v>39</v>
      </c>
      <c r="Y1764" s="1" t="s">
        <v>40</v>
      </c>
      <c r="Z1764" s="1" t="n">
        <v>0</v>
      </c>
    </row>
    <row r="1765" customFormat="false" ht="15" hidden="false" customHeight="true" outlineLevel="0" collapsed="false">
      <c r="A1765" s="1" t="s">
        <v>2601</v>
      </c>
      <c r="B1765" s="1" t="s">
        <v>791</v>
      </c>
      <c r="C1765" s="1" t="s">
        <v>264</v>
      </c>
      <c r="D1765" s="1" t="s">
        <v>143</v>
      </c>
      <c r="E1765" s="1" t="s">
        <v>210</v>
      </c>
      <c r="F1765" s="1" t="s">
        <v>67</v>
      </c>
      <c r="G1765" s="1" t="s">
        <v>68</v>
      </c>
      <c r="H1765" s="1" t="s">
        <v>69</v>
      </c>
      <c r="I1765" s="1" t="s">
        <v>83</v>
      </c>
      <c r="J1765" s="1" t="s">
        <v>77</v>
      </c>
      <c r="K1765" s="1" t="s">
        <v>90</v>
      </c>
      <c r="L1765" s="1" t="s">
        <v>61</v>
      </c>
      <c r="M1765" s="1" t="s">
        <v>50</v>
      </c>
      <c r="N1765" s="1" t="n">
        <v>18999</v>
      </c>
      <c r="O1765" s="1" t="n">
        <v>20</v>
      </c>
      <c r="P1765" s="1" t="n">
        <v>3799.8</v>
      </c>
      <c r="Q1765" s="1" t="n">
        <v>15199.2</v>
      </c>
      <c r="R1765" s="1" t="n">
        <v>2735.86</v>
      </c>
      <c r="S1765" s="1" t="n">
        <v>12463.34</v>
      </c>
      <c r="T1765" s="1" t="n">
        <v>4772.02</v>
      </c>
      <c r="U1765" s="1" t="n">
        <v>7691.32</v>
      </c>
      <c r="V1765" s="1" t="n">
        <v>61.71</v>
      </c>
      <c r="W1765" s="1" t="s">
        <v>39</v>
      </c>
      <c r="X1765" s="1" t="n">
        <v>2.8</v>
      </c>
      <c r="Y1765" s="1" t="s">
        <v>40</v>
      </c>
      <c r="Z1765" s="1" t="n">
        <v>0</v>
      </c>
    </row>
    <row r="1766" customFormat="false" ht="15" hidden="false" customHeight="true" outlineLevel="0" collapsed="false">
      <c r="A1766" s="1" t="s">
        <v>2602</v>
      </c>
      <c r="B1766" s="1" t="s">
        <v>1198</v>
      </c>
      <c r="C1766" s="1" t="s">
        <v>249</v>
      </c>
      <c r="D1766" s="1" t="s">
        <v>53</v>
      </c>
      <c r="E1766" s="1" t="s">
        <v>216</v>
      </c>
      <c r="F1766" s="1" t="s">
        <v>125</v>
      </c>
      <c r="G1766" s="1" t="s">
        <v>108</v>
      </c>
      <c r="H1766" s="1" t="s">
        <v>69</v>
      </c>
      <c r="I1766" s="1" t="s">
        <v>83</v>
      </c>
      <c r="J1766" s="1" t="s">
        <v>77</v>
      </c>
      <c r="K1766" s="1" t="s">
        <v>60</v>
      </c>
      <c r="L1766" s="1" t="s">
        <v>85</v>
      </c>
      <c r="M1766" s="1" t="s">
        <v>62</v>
      </c>
      <c r="N1766" s="1" t="n">
        <v>7499</v>
      </c>
      <c r="O1766" s="1" t="n">
        <v>10</v>
      </c>
      <c r="P1766" s="1" t="n">
        <v>749.9</v>
      </c>
      <c r="Q1766" s="1" t="n">
        <v>6749.1</v>
      </c>
      <c r="R1766" s="1" t="n">
        <v>1214.84</v>
      </c>
      <c r="S1766" s="1" t="n">
        <v>5534.26</v>
      </c>
      <c r="T1766" s="1" t="n">
        <v>2442.25</v>
      </c>
      <c r="U1766" s="1" t="n">
        <v>3092.01</v>
      </c>
      <c r="V1766" s="1" t="n">
        <v>55.87</v>
      </c>
      <c r="W1766" s="1" t="s">
        <v>39</v>
      </c>
      <c r="Y1766" s="1" t="s">
        <v>40</v>
      </c>
      <c r="Z1766" s="1" t="n">
        <v>0</v>
      </c>
    </row>
    <row r="1767" customFormat="false" ht="15" hidden="false" customHeight="true" outlineLevel="0" collapsed="false">
      <c r="A1767" s="1" t="s">
        <v>2603</v>
      </c>
      <c r="B1767" s="1" t="s">
        <v>2604</v>
      </c>
      <c r="C1767" s="1" t="s">
        <v>178</v>
      </c>
      <c r="D1767" s="1" t="s">
        <v>94</v>
      </c>
      <c r="E1767" s="1" t="s">
        <v>95</v>
      </c>
      <c r="F1767" s="1" t="s">
        <v>96</v>
      </c>
      <c r="G1767" s="1" t="s">
        <v>97</v>
      </c>
      <c r="H1767" s="1" t="s">
        <v>69</v>
      </c>
      <c r="I1767" s="1" t="s">
        <v>34</v>
      </c>
      <c r="J1767" s="1" t="s">
        <v>35</v>
      </c>
      <c r="K1767" s="1" t="s">
        <v>60</v>
      </c>
      <c r="L1767" s="1" t="s">
        <v>61</v>
      </c>
      <c r="M1767" s="1" t="s">
        <v>38</v>
      </c>
      <c r="N1767" s="1" t="n">
        <v>6999</v>
      </c>
      <c r="O1767" s="1" t="n">
        <v>10</v>
      </c>
      <c r="P1767" s="1" t="n">
        <v>699.9</v>
      </c>
      <c r="Q1767" s="1" t="n">
        <v>6299.1</v>
      </c>
      <c r="R1767" s="1" t="n">
        <v>1133.84</v>
      </c>
      <c r="S1767" s="1" t="n">
        <v>5165.26</v>
      </c>
      <c r="T1767" s="1" t="n">
        <v>2102.77</v>
      </c>
      <c r="U1767" s="1" t="n">
        <v>3062.49</v>
      </c>
      <c r="V1767" s="1" t="n">
        <v>59.29</v>
      </c>
      <c r="W1767" s="1" t="s">
        <v>39</v>
      </c>
      <c r="X1767" s="1" t="n">
        <v>3</v>
      </c>
      <c r="Y1767" s="1" t="s">
        <v>40</v>
      </c>
      <c r="Z1767" s="1" t="n">
        <v>1</v>
      </c>
    </row>
    <row r="1768" customFormat="false" ht="15" hidden="false" customHeight="true" outlineLevel="0" collapsed="false">
      <c r="A1768" s="1" t="s">
        <v>2605</v>
      </c>
      <c r="B1768" s="1" t="s">
        <v>1423</v>
      </c>
      <c r="C1768" s="1" t="s">
        <v>93</v>
      </c>
      <c r="D1768" s="1" t="s">
        <v>44</v>
      </c>
      <c r="E1768" s="1" t="s">
        <v>45</v>
      </c>
      <c r="F1768" s="1" t="s">
        <v>211</v>
      </c>
      <c r="G1768" s="1" t="s">
        <v>56</v>
      </c>
      <c r="H1768" s="1" t="s">
        <v>69</v>
      </c>
      <c r="I1768" s="1" t="s">
        <v>58</v>
      </c>
      <c r="J1768" s="1" t="s">
        <v>77</v>
      </c>
      <c r="K1768" s="1" t="s">
        <v>36</v>
      </c>
      <c r="L1768" s="1" t="s">
        <v>85</v>
      </c>
      <c r="M1768" s="1" t="s">
        <v>38</v>
      </c>
      <c r="N1768" s="1" t="n">
        <v>11999</v>
      </c>
      <c r="O1768" s="1" t="n">
        <v>0</v>
      </c>
      <c r="P1768" s="1" t="n">
        <v>0</v>
      </c>
      <c r="Q1768" s="1" t="n">
        <v>11999</v>
      </c>
      <c r="R1768" s="1" t="n">
        <v>2159.82</v>
      </c>
      <c r="S1768" s="1" t="n">
        <v>9839.18</v>
      </c>
      <c r="T1768" s="1" t="n">
        <v>2915.11</v>
      </c>
      <c r="U1768" s="1" t="n">
        <v>6924.07</v>
      </c>
      <c r="V1768" s="1" t="n">
        <v>70.37</v>
      </c>
      <c r="W1768" s="1" t="s">
        <v>40</v>
      </c>
      <c r="Y1768" s="1" t="s">
        <v>40</v>
      </c>
      <c r="Z1768" s="1" t="n">
        <v>0</v>
      </c>
    </row>
    <row r="1769" customFormat="false" ht="15" hidden="false" customHeight="true" outlineLevel="0" collapsed="false">
      <c r="A1769" s="1" t="s">
        <v>2606</v>
      </c>
      <c r="B1769" s="1" t="s">
        <v>257</v>
      </c>
      <c r="C1769" s="1" t="s">
        <v>249</v>
      </c>
      <c r="D1769" s="1" t="s">
        <v>53</v>
      </c>
      <c r="E1769" s="1" t="s">
        <v>116</v>
      </c>
      <c r="F1769" s="1" t="s">
        <v>82</v>
      </c>
      <c r="G1769" s="1" t="s">
        <v>56</v>
      </c>
      <c r="H1769" s="1" t="s">
        <v>69</v>
      </c>
      <c r="I1769" s="1" t="s">
        <v>34</v>
      </c>
      <c r="J1769" s="1" t="s">
        <v>77</v>
      </c>
      <c r="K1769" s="1" t="s">
        <v>84</v>
      </c>
      <c r="L1769" s="1" t="s">
        <v>49</v>
      </c>
      <c r="M1769" s="1" t="s">
        <v>62</v>
      </c>
      <c r="N1769" s="1" t="n">
        <v>9999</v>
      </c>
      <c r="O1769" s="1" t="n">
        <v>0</v>
      </c>
      <c r="P1769" s="1" t="n">
        <v>0</v>
      </c>
      <c r="Q1769" s="1" t="n">
        <v>9999</v>
      </c>
      <c r="R1769" s="1" t="n">
        <v>1799.82</v>
      </c>
      <c r="S1769" s="1" t="n">
        <v>8199.18</v>
      </c>
      <c r="T1769" s="1" t="n">
        <v>3168.83</v>
      </c>
      <c r="U1769" s="1" t="n">
        <v>5030.35</v>
      </c>
      <c r="V1769" s="1" t="n">
        <v>61.35</v>
      </c>
      <c r="W1769" s="1" t="s">
        <v>39</v>
      </c>
      <c r="X1769" s="1" t="n">
        <v>4.7</v>
      </c>
      <c r="Y1769" s="1" t="s">
        <v>40</v>
      </c>
      <c r="Z1769" s="1" t="n">
        <v>0</v>
      </c>
    </row>
    <row r="1770" customFormat="false" ht="15" hidden="false" customHeight="true" outlineLevel="0" collapsed="false">
      <c r="A1770" s="1" t="s">
        <v>2607</v>
      </c>
      <c r="B1770" s="1" t="s">
        <v>798</v>
      </c>
      <c r="C1770" s="1" t="s">
        <v>100</v>
      </c>
      <c r="D1770" s="1" t="s">
        <v>53</v>
      </c>
      <c r="E1770" s="1" t="s">
        <v>54</v>
      </c>
      <c r="F1770" s="1" t="s">
        <v>46</v>
      </c>
      <c r="G1770" s="1" t="s">
        <v>47</v>
      </c>
      <c r="H1770" s="1" t="s">
        <v>33</v>
      </c>
      <c r="I1770" s="1" t="s">
        <v>58</v>
      </c>
      <c r="J1770" s="1" t="s">
        <v>70</v>
      </c>
      <c r="K1770" s="1" t="s">
        <v>112</v>
      </c>
      <c r="L1770" s="1" t="s">
        <v>113</v>
      </c>
      <c r="M1770" s="1" t="s">
        <v>38</v>
      </c>
      <c r="N1770" s="1" t="n">
        <v>11999</v>
      </c>
      <c r="O1770" s="1" t="n">
        <v>10</v>
      </c>
      <c r="P1770" s="1" t="n">
        <v>1199.9</v>
      </c>
      <c r="Q1770" s="1" t="n">
        <v>10799.1</v>
      </c>
      <c r="R1770" s="1" t="n">
        <v>1943.84</v>
      </c>
      <c r="S1770" s="1" t="n">
        <v>8855.26</v>
      </c>
      <c r="T1770" s="1" t="n">
        <v>4040.1</v>
      </c>
      <c r="U1770" s="1" t="n">
        <v>4815.16</v>
      </c>
      <c r="V1770" s="1" t="n">
        <v>54.38</v>
      </c>
      <c r="W1770" s="1" t="s">
        <v>40</v>
      </c>
      <c r="Y1770" s="1" t="s">
        <v>39</v>
      </c>
      <c r="Z1770" s="1" t="n">
        <v>0</v>
      </c>
    </row>
    <row r="1771" customFormat="false" ht="15" hidden="false" customHeight="true" outlineLevel="0" collapsed="false">
      <c r="A1771" s="1" t="s">
        <v>2608</v>
      </c>
      <c r="B1771" s="1" t="s">
        <v>1961</v>
      </c>
      <c r="C1771" s="1" t="s">
        <v>88</v>
      </c>
      <c r="D1771" s="1" t="s">
        <v>168</v>
      </c>
      <c r="E1771" s="1" t="s">
        <v>197</v>
      </c>
      <c r="F1771" s="1" t="s">
        <v>194</v>
      </c>
      <c r="G1771" s="1" t="s">
        <v>103</v>
      </c>
      <c r="H1771" s="1" t="s">
        <v>69</v>
      </c>
      <c r="I1771" s="1" t="s">
        <v>58</v>
      </c>
      <c r="J1771" s="1" t="s">
        <v>70</v>
      </c>
      <c r="K1771" s="1" t="s">
        <v>104</v>
      </c>
      <c r="L1771" s="1" t="s">
        <v>61</v>
      </c>
      <c r="M1771" s="1" t="s">
        <v>38</v>
      </c>
      <c r="N1771" s="1" t="n">
        <v>8499</v>
      </c>
      <c r="O1771" s="1" t="n">
        <v>0</v>
      </c>
      <c r="P1771" s="1" t="n">
        <v>0</v>
      </c>
      <c r="Q1771" s="1" t="n">
        <v>8499</v>
      </c>
      <c r="R1771" s="1" t="n">
        <v>1529.82</v>
      </c>
      <c r="S1771" s="1" t="n">
        <v>6969.18</v>
      </c>
      <c r="T1771" s="1" t="n">
        <v>3285.57</v>
      </c>
      <c r="U1771" s="1" t="n">
        <v>3683.61</v>
      </c>
      <c r="V1771" s="1" t="n">
        <v>52.86</v>
      </c>
      <c r="W1771" s="1" t="s">
        <v>40</v>
      </c>
      <c r="Y1771" s="1" t="s">
        <v>40</v>
      </c>
      <c r="Z1771" s="1" t="n">
        <v>1</v>
      </c>
    </row>
    <row r="1772" customFormat="false" ht="15" hidden="false" customHeight="true" outlineLevel="0" collapsed="false">
      <c r="A1772" s="1" t="s">
        <v>2609</v>
      </c>
      <c r="B1772" s="1" t="s">
        <v>618</v>
      </c>
      <c r="C1772" s="1" t="s">
        <v>2610</v>
      </c>
      <c r="D1772" s="1" t="s">
        <v>80</v>
      </c>
      <c r="E1772" s="1" t="s">
        <v>175</v>
      </c>
      <c r="F1772" s="1" t="s">
        <v>120</v>
      </c>
      <c r="G1772" s="1" t="s">
        <v>47</v>
      </c>
      <c r="H1772" s="1" t="s">
        <v>57</v>
      </c>
      <c r="I1772" s="1" t="s">
        <v>83</v>
      </c>
      <c r="J1772" s="1" t="s">
        <v>70</v>
      </c>
      <c r="K1772" s="1" t="s">
        <v>48</v>
      </c>
      <c r="L1772" s="1" t="s">
        <v>136</v>
      </c>
      <c r="M1772" s="1" t="s">
        <v>62</v>
      </c>
      <c r="N1772" s="1" t="n">
        <v>19999</v>
      </c>
      <c r="O1772" s="1" t="n">
        <v>20</v>
      </c>
      <c r="P1772" s="1" t="n">
        <v>3999.8</v>
      </c>
      <c r="Q1772" s="1" t="n">
        <v>15999.2</v>
      </c>
      <c r="R1772" s="1" t="n">
        <v>2879.86</v>
      </c>
      <c r="S1772" s="1" t="n">
        <v>13119.34</v>
      </c>
      <c r="T1772" s="1" t="n">
        <v>5270.26</v>
      </c>
      <c r="U1772" s="1" t="n">
        <v>7849.08</v>
      </c>
      <c r="V1772" s="1" t="n">
        <v>59.83</v>
      </c>
      <c r="W1772" s="1" t="s">
        <v>39</v>
      </c>
      <c r="X1772" s="1" t="n">
        <v>3.7</v>
      </c>
      <c r="Y1772" s="1" t="s">
        <v>40</v>
      </c>
      <c r="Z1772" s="1" t="n">
        <v>0</v>
      </c>
    </row>
    <row r="1773" customFormat="false" ht="15" hidden="false" customHeight="true" outlineLevel="0" collapsed="false">
      <c r="A1773" s="1" t="s">
        <v>2611</v>
      </c>
      <c r="B1773" s="1" t="s">
        <v>974</v>
      </c>
      <c r="C1773" s="1" t="s">
        <v>264</v>
      </c>
      <c r="D1773" s="1" t="s">
        <v>53</v>
      </c>
      <c r="E1773" s="1" t="s">
        <v>116</v>
      </c>
      <c r="F1773" s="1" t="s">
        <v>184</v>
      </c>
      <c r="G1773" s="1" t="s">
        <v>56</v>
      </c>
      <c r="H1773" s="1" t="s">
        <v>57</v>
      </c>
      <c r="I1773" s="1" t="s">
        <v>58</v>
      </c>
      <c r="J1773" s="1" t="s">
        <v>131</v>
      </c>
      <c r="K1773" s="1" t="s">
        <v>84</v>
      </c>
      <c r="L1773" s="1" t="s">
        <v>136</v>
      </c>
      <c r="M1773" s="1" t="s">
        <v>38</v>
      </c>
      <c r="N1773" s="1" t="n">
        <v>9999</v>
      </c>
      <c r="O1773" s="1" t="n">
        <v>0</v>
      </c>
      <c r="P1773" s="1" t="n">
        <v>0</v>
      </c>
      <c r="Q1773" s="1" t="n">
        <v>9999</v>
      </c>
      <c r="R1773" s="1" t="n">
        <v>1799.82</v>
      </c>
      <c r="S1773" s="1" t="n">
        <v>8199.18</v>
      </c>
      <c r="T1773" s="1" t="n">
        <v>3370.64</v>
      </c>
      <c r="U1773" s="1" t="n">
        <v>4828.54</v>
      </c>
      <c r="V1773" s="1" t="n">
        <v>58.89</v>
      </c>
      <c r="W1773" s="1" t="s">
        <v>40</v>
      </c>
      <c r="Y1773" s="1" t="s">
        <v>39</v>
      </c>
      <c r="Z1773" s="1" t="n">
        <v>0</v>
      </c>
    </row>
    <row r="1774" customFormat="false" ht="15" hidden="false" customHeight="true" outlineLevel="0" collapsed="false">
      <c r="A1774" s="1" t="s">
        <v>2612</v>
      </c>
      <c r="B1774" s="1" t="s">
        <v>450</v>
      </c>
      <c r="C1774" s="1" t="s">
        <v>139</v>
      </c>
      <c r="D1774" s="1" t="s">
        <v>168</v>
      </c>
      <c r="E1774" s="1" t="s">
        <v>172</v>
      </c>
      <c r="F1774" s="1" t="s">
        <v>1842</v>
      </c>
      <c r="G1774" s="1" t="s">
        <v>76</v>
      </c>
      <c r="H1774" s="1" t="s">
        <v>33</v>
      </c>
      <c r="I1774" s="1" t="s">
        <v>34</v>
      </c>
      <c r="J1774" s="1" t="s">
        <v>59</v>
      </c>
      <c r="K1774" s="1" t="s">
        <v>104</v>
      </c>
      <c r="L1774" s="1" t="s">
        <v>113</v>
      </c>
      <c r="M1774" s="1" t="s">
        <v>38</v>
      </c>
      <c r="N1774" s="1" t="n">
        <v>6999</v>
      </c>
      <c r="O1774" s="1" t="n">
        <v>0</v>
      </c>
      <c r="P1774" s="1" t="n">
        <v>0</v>
      </c>
      <c r="Q1774" s="1" t="n">
        <v>6999</v>
      </c>
      <c r="R1774" s="1" t="n">
        <v>1259.82</v>
      </c>
      <c r="S1774" s="1" t="n">
        <v>5739.18</v>
      </c>
      <c r="T1774" s="1" t="n">
        <v>2540.34</v>
      </c>
      <c r="U1774" s="1" t="n">
        <v>3198.84</v>
      </c>
      <c r="V1774" s="1" t="n">
        <v>55.74</v>
      </c>
      <c r="W1774" s="1" t="s">
        <v>39</v>
      </c>
      <c r="X1774" s="1" t="n">
        <v>5</v>
      </c>
      <c r="Y1774" s="1" t="s">
        <v>40</v>
      </c>
      <c r="Z1774" s="1" t="n">
        <v>1</v>
      </c>
    </row>
    <row r="1775" customFormat="false" ht="15" hidden="false" customHeight="true" outlineLevel="0" collapsed="false">
      <c r="A1775" s="1" t="s">
        <v>2613</v>
      </c>
      <c r="B1775" s="1" t="s">
        <v>1152</v>
      </c>
      <c r="C1775" s="1" t="s">
        <v>167</v>
      </c>
      <c r="D1775" s="1" t="s">
        <v>143</v>
      </c>
      <c r="E1775" s="1" t="s">
        <v>159</v>
      </c>
      <c r="F1775" s="1" t="s">
        <v>140</v>
      </c>
      <c r="G1775" s="1" t="s">
        <v>97</v>
      </c>
      <c r="H1775" s="1" t="s">
        <v>57</v>
      </c>
      <c r="I1775" s="1" t="s">
        <v>83</v>
      </c>
      <c r="J1775" s="1" t="s">
        <v>35</v>
      </c>
      <c r="K1775" s="1" t="s">
        <v>104</v>
      </c>
      <c r="L1775" s="1" t="s">
        <v>113</v>
      </c>
      <c r="M1775" s="1" t="s">
        <v>50</v>
      </c>
      <c r="N1775" s="1" t="n">
        <v>24999</v>
      </c>
      <c r="O1775" s="1" t="n">
        <v>0</v>
      </c>
      <c r="P1775" s="1" t="n">
        <v>0</v>
      </c>
      <c r="Q1775" s="1" t="n">
        <v>24999</v>
      </c>
      <c r="R1775" s="1" t="n">
        <v>4499.82</v>
      </c>
      <c r="S1775" s="1" t="n">
        <v>20499.18</v>
      </c>
      <c r="T1775" s="1" t="n">
        <v>8795.65</v>
      </c>
      <c r="U1775" s="1" t="n">
        <v>11703.53</v>
      </c>
      <c r="V1775" s="1" t="n">
        <v>57.09</v>
      </c>
      <c r="W1775" s="1" t="s">
        <v>40</v>
      </c>
      <c r="Y1775" s="1" t="s">
        <v>40</v>
      </c>
      <c r="Z1775" s="1" t="n">
        <v>1</v>
      </c>
    </row>
    <row r="1776" customFormat="false" ht="15" hidden="false" customHeight="true" outlineLevel="0" collapsed="false">
      <c r="A1776" s="1" t="s">
        <v>2614</v>
      </c>
      <c r="B1776" s="1" t="s">
        <v>747</v>
      </c>
      <c r="C1776" s="1" t="s">
        <v>88</v>
      </c>
      <c r="D1776" s="1" t="s">
        <v>123</v>
      </c>
      <c r="E1776" s="1" t="s">
        <v>124</v>
      </c>
      <c r="F1776" s="1" t="s">
        <v>55</v>
      </c>
      <c r="G1776" s="1" t="s">
        <v>56</v>
      </c>
      <c r="H1776" s="1" t="s">
        <v>57</v>
      </c>
      <c r="I1776" s="1" t="s">
        <v>83</v>
      </c>
      <c r="J1776" s="1" t="s">
        <v>77</v>
      </c>
      <c r="K1776" s="1" t="s">
        <v>104</v>
      </c>
      <c r="L1776" s="1" t="s">
        <v>49</v>
      </c>
      <c r="M1776" s="1" t="s">
        <v>38</v>
      </c>
      <c r="N1776" s="1" t="n">
        <v>4999</v>
      </c>
      <c r="O1776" s="1" t="n">
        <v>0</v>
      </c>
      <c r="P1776" s="1" t="n">
        <v>0</v>
      </c>
      <c r="Q1776" s="1" t="n">
        <v>4999</v>
      </c>
      <c r="R1776" s="1" t="n">
        <v>899.82</v>
      </c>
      <c r="S1776" s="1" t="n">
        <v>4099.18</v>
      </c>
      <c r="T1776" s="1" t="n">
        <v>1953.67</v>
      </c>
      <c r="U1776" s="1" t="n">
        <v>2145.51</v>
      </c>
      <c r="V1776" s="1" t="n">
        <v>52.34</v>
      </c>
      <c r="W1776" s="1" t="s">
        <v>40</v>
      </c>
      <c r="Y1776" s="1" t="s">
        <v>40</v>
      </c>
      <c r="Z1776" s="1" t="n">
        <v>1</v>
      </c>
    </row>
    <row r="1777" customFormat="false" ht="15" hidden="false" customHeight="true" outlineLevel="0" collapsed="false">
      <c r="A1777" s="1" t="s">
        <v>2615</v>
      </c>
      <c r="B1777" s="1" t="s">
        <v>1367</v>
      </c>
      <c r="C1777" s="1" t="s">
        <v>442</v>
      </c>
      <c r="D1777" s="1" t="s">
        <v>94</v>
      </c>
      <c r="E1777" s="1" t="s">
        <v>101</v>
      </c>
      <c r="F1777" s="1" t="s">
        <v>187</v>
      </c>
      <c r="G1777" s="1" t="s">
        <v>97</v>
      </c>
      <c r="H1777" s="1" t="s">
        <v>69</v>
      </c>
      <c r="I1777" s="1" t="s">
        <v>58</v>
      </c>
      <c r="J1777" s="1" t="s">
        <v>131</v>
      </c>
      <c r="K1777" s="1" t="s">
        <v>84</v>
      </c>
      <c r="L1777" s="1" t="s">
        <v>37</v>
      </c>
      <c r="M1777" s="1" t="s">
        <v>38</v>
      </c>
      <c r="N1777" s="1" t="n">
        <v>14999</v>
      </c>
      <c r="O1777" s="1" t="n">
        <v>15</v>
      </c>
      <c r="P1777" s="1" t="n">
        <v>2249.85</v>
      </c>
      <c r="Q1777" s="1" t="n">
        <v>12749.15</v>
      </c>
      <c r="R1777" s="1" t="n">
        <v>2294.85</v>
      </c>
      <c r="S1777" s="1" t="n">
        <v>10454.3</v>
      </c>
      <c r="T1777" s="1" t="n">
        <v>3524.13</v>
      </c>
      <c r="U1777" s="1" t="n">
        <v>6930.17</v>
      </c>
      <c r="V1777" s="1" t="n">
        <v>66.29</v>
      </c>
      <c r="W1777" s="1" t="s">
        <v>40</v>
      </c>
      <c r="Y1777" s="1" t="s">
        <v>40</v>
      </c>
      <c r="Z1777" s="1" t="n">
        <v>1</v>
      </c>
    </row>
    <row r="1778" customFormat="false" ht="15" hidden="false" customHeight="true" outlineLevel="0" collapsed="false">
      <c r="A1778" s="1" t="s">
        <v>2616</v>
      </c>
      <c r="B1778" s="1" t="s">
        <v>683</v>
      </c>
      <c r="C1778" s="1" t="s">
        <v>139</v>
      </c>
      <c r="D1778" s="1" t="s">
        <v>29</v>
      </c>
      <c r="E1778" s="1" t="s">
        <v>129</v>
      </c>
      <c r="F1778" s="1" t="s">
        <v>140</v>
      </c>
      <c r="G1778" s="1" t="s">
        <v>97</v>
      </c>
      <c r="H1778" s="1" t="s">
        <v>57</v>
      </c>
      <c r="I1778" s="1" t="s">
        <v>34</v>
      </c>
      <c r="J1778" s="1" t="s">
        <v>131</v>
      </c>
      <c r="K1778" s="1" t="s">
        <v>60</v>
      </c>
      <c r="L1778" s="1" t="s">
        <v>37</v>
      </c>
      <c r="M1778" s="1" t="s">
        <v>38</v>
      </c>
      <c r="N1778" s="1" t="n">
        <v>29999</v>
      </c>
      <c r="O1778" s="1" t="n">
        <v>10</v>
      </c>
      <c r="P1778" s="1" t="n">
        <v>2999.9</v>
      </c>
      <c r="Q1778" s="1" t="n">
        <v>26999.1</v>
      </c>
      <c r="R1778" s="1" t="n">
        <v>4859.84</v>
      </c>
      <c r="S1778" s="1" t="n">
        <v>22139.26</v>
      </c>
      <c r="T1778" s="1" t="n">
        <v>9838.44</v>
      </c>
      <c r="U1778" s="1" t="n">
        <v>12300.82</v>
      </c>
      <c r="V1778" s="1" t="n">
        <v>55.56</v>
      </c>
      <c r="W1778" s="1" t="s">
        <v>40</v>
      </c>
      <c r="Y1778" s="1" t="s">
        <v>40</v>
      </c>
      <c r="Z1778" s="1" t="n">
        <v>2</v>
      </c>
    </row>
    <row r="1779" customFormat="false" ht="15" hidden="false" customHeight="true" outlineLevel="0" collapsed="false">
      <c r="A1779" s="1" t="s">
        <v>2617</v>
      </c>
      <c r="B1779" s="1" t="s">
        <v>248</v>
      </c>
      <c r="C1779" s="1" t="s">
        <v>128</v>
      </c>
      <c r="D1779" s="1" t="s">
        <v>168</v>
      </c>
      <c r="E1779" s="1" t="s">
        <v>328</v>
      </c>
      <c r="F1779" s="1" t="s">
        <v>211</v>
      </c>
      <c r="G1779" s="1" t="s">
        <v>56</v>
      </c>
      <c r="H1779" s="1" t="s">
        <v>69</v>
      </c>
      <c r="I1779" s="1" t="s">
        <v>34</v>
      </c>
      <c r="J1779" s="1" t="s">
        <v>70</v>
      </c>
      <c r="K1779" s="1" t="s">
        <v>84</v>
      </c>
      <c r="L1779" s="1" t="s">
        <v>113</v>
      </c>
      <c r="M1779" s="1" t="s">
        <v>62</v>
      </c>
      <c r="N1779" s="1" t="n">
        <v>8999</v>
      </c>
      <c r="O1779" s="1" t="n">
        <v>0</v>
      </c>
      <c r="P1779" s="1" t="n">
        <v>0</v>
      </c>
      <c r="Q1779" s="1" t="n">
        <v>8999</v>
      </c>
      <c r="R1779" s="1" t="n">
        <v>1619.82</v>
      </c>
      <c r="S1779" s="1" t="n">
        <v>7379.18</v>
      </c>
      <c r="T1779" s="1" t="n">
        <v>2798.78</v>
      </c>
      <c r="U1779" s="1" t="n">
        <v>4580.4</v>
      </c>
      <c r="V1779" s="1" t="n">
        <v>62.07</v>
      </c>
      <c r="W1779" s="1" t="s">
        <v>39</v>
      </c>
      <c r="X1779" s="1" t="n">
        <v>3.7</v>
      </c>
      <c r="Y1779" s="1" t="s">
        <v>40</v>
      </c>
      <c r="Z1779" s="1" t="n">
        <v>0</v>
      </c>
    </row>
    <row r="1780" customFormat="false" ht="15" hidden="false" customHeight="true" outlineLevel="0" collapsed="false">
      <c r="A1780" s="1" t="s">
        <v>2618</v>
      </c>
      <c r="B1780" s="1" t="s">
        <v>2619</v>
      </c>
      <c r="C1780" s="1" t="s">
        <v>119</v>
      </c>
      <c r="D1780" s="1" t="s">
        <v>168</v>
      </c>
      <c r="E1780" s="1" t="s">
        <v>197</v>
      </c>
      <c r="F1780" s="1" t="s">
        <v>156</v>
      </c>
      <c r="G1780" s="1" t="s">
        <v>68</v>
      </c>
      <c r="H1780" s="1" t="s">
        <v>57</v>
      </c>
      <c r="I1780" s="1" t="s">
        <v>58</v>
      </c>
      <c r="J1780" s="1" t="s">
        <v>77</v>
      </c>
      <c r="K1780" s="1" t="s">
        <v>36</v>
      </c>
      <c r="L1780" s="1" t="s">
        <v>37</v>
      </c>
      <c r="M1780" s="1" t="s">
        <v>50</v>
      </c>
      <c r="N1780" s="1" t="n">
        <v>8499</v>
      </c>
      <c r="O1780" s="1" t="n">
        <v>30</v>
      </c>
      <c r="P1780" s="1" t="n">
        <v>2549.7</v>
      </c>
      <c r="Q1780" s="1" t="n">
        <v>5949.3</v>
      </c>
      <c r="R1780" s="1" t="n">
        <v>1070.87</v>
      </c>
      <c r="S1780" s="1" t="n">
        <v>4878.43</v>
      </c>
      <c r="T1780" s="1" t="n">
        <v>2464.03</v>
      </c>
      <c r="U1780" s="1" t="n">
        <v>2414.4</v>
      </c>
      <c r="V1780" s="1" t="n">
        <v>49.49</v>
      </c>
      <c r="W1780" s="1" t="s">
        <v>39</v>
      </c>
      <c r="X1780" s="1" t="n">
        <v>2.9</v>
      </c>
      <c r="Y1780" s="1" t="s">
        <v>40</v>
      </c>
      <c r="Z1780" s="1" t="n">
        <v>0</v>
      </c>
    </row>
    <row r="1781" customFormat="false" ht="15" hidden="false" customHeight="true" outlineLevel="0" collapsed="false">
      <c r="A1781" s="1" t="s">
        <v>2620</v>
      </c>
      <c r="B1781" s="1" t="s">
        <v>1305</v>
      </c>
      <c r="C1781" s="1" t="s">
        <v>93</v>
      </c>
      <c r="D1781" s="1" t="s">
        <v>29</v>
      </c>
      <c r="E1781" s="1" t="s">
        <v>129</v>
      </c>
      <c r="F1781" s="1" t="s">
        <v>205</v>
      </c>
      <c r="G1781" s="1" t="s">
        <v>56</v>
      </c>
      <c r="H1781" s="1" t="s">
        <v>69</v>
      </c>
      <c r="I1781" s="1" t="s">
        <v>58</v>
      </c>
      <c r="J1781" s="1" t="s">
        <v>131</v>
      </c>
      <c r="K1781" s="1" t="s">
        <v>48</v>
      </c>
      <c r="L1781" s="1" t="s">
        <v>113</v>
      </c>
      <c r="M1781" s="1" t="s">
        <v>38</v>
      </c>
      <c r="N1781" s="1" t="n">
        <v>29999</v>
      </c>
      <c r="O1781" s="1" t="n">
        <v>10</v>
      </c>
      <c r="P1781" s="1" t="n">
        <v>2999.9</v>
      </c>
      <c r="Q1781" s="1" t="n">
        <v>26999.1</v>
      </c>
      <c r="R1781" s="1" t="n">
        <v>4859.84</v>
      </c>
      <c r="S1781" s="1" t="n">
        <v>22139.26</v>
      </c>
      <c r="T1781" s="1" t="n">
        <v>9047.47</v>
      </c>
      <c r="U1781" s="1" t="n">
        <v>13091.79</v>
      </c>
      <c r="V1781" s="1" t="n">
        <v>59.13</v>
      </c>
      <c r="W1781" s="1" t="s">
        <v>40</v>
      </c>
      <c r="Y1781" s="1" t="s">
        <v>39</v>
      </c>
      <c r="Z1781" s="1" t="n">
        <v>2</v>
      </c>
    </row>
    <row r="1782" customFormat="false" ht="15" hidden="false" customHeight="true" outlineLevel="0" collapsed="false">
      <c r="A1782" s="1" t="s">
        <v>2621</v>
      </c>
      <c r="B1782" s="1" t="s">
        <v>1040</v>
      </c>
      <c r="C1782" s="1" t="s">
        <v>93</v>
      </c>
      <c r="D1782" s="1" t="s">
        <v>53</v>
      </c>
      <c r="E1782" s="1" t="s">
        <v>54</v>
      </c>
      <c r="F1782" s="1" t="s">
        <v>140</v>
      </c>
      <c r="G1782" s="1" t="s">
        <v>97</v>
      </c>
      <c r="H1782" s="1" t="s">
        <v>57</v>
      </c>
      <c r="I1782" s="1" t="s">
        <v>83</v>
      </c>
      <c r="J1782" s="1" t="s">
        <v>59</v>
      </c>
      <c r="K1782" s="1" t="s">
        <v>60</v>
      </c>
      <c r="L1782" s="1" t="s">
        <v>113</v>
      </c>
      <c r="M1782" s="1" t="s">
        <v>50</v>
      </c>
      <c r="N1782" s="1" t="n">
        <v>11999</v>
      </c>
      <c r="O1782" s="1" t="n">
        <v>20</v>
      </c>
      <c r="P1782" s="1" t="n">
        <v>2399.8</v>
      </c>
      <c r="Q1782" s="1" t="n">
        <v>9599.2</v>
      </c>
      <c r="R1782" s="1" t="n">
        <v>1727.86</v>
      </c>
      <c r="S1782" s="1" t="n">
        <v>7871.34</v>
      </c>
      <c r="T1782" s="1" t="n">
        <v>3833.21</v>
      </c>
      <c r="U1782" s="1" t="n">
        <v>4038.13</v>
      </c>
      <c r="V1782" s="1" t="n">
        <v>51.3</v>
      </c>
      <c r="W1782" s="1" t="s">
        <v>39</v>
      </c>
      <c r="X1782" s="1" t="n">
        <v>3.4</v>
      </c>
      <c r="Y1782" s="1" t="s">
        <v>40</v>
      </c>
      <c r="Z1782" s="1" t="n">
        <v>0</v>
      </c>
    </row>
    <row r="1783" customFormat="false" ht="15" hidden="false" customHeight="true" outlineLevel="0" collapsed="false">
      <c r="A1783" s="1" t="s">
        <v>2622</v>
      </c>
      <c r="B1783" s="1" t="s">
        <v>779</v>
      </c>
      <c r="C1783" s="1" t="s">
        <v>119</v>
      </c>
      <c r="D1783" s="1" t="s">
        <v>143</v>
      </c>
      <c r="E1783" s="1" t="s">
        <v>210</v>
      </c>
      <c r="F1783" s="1" t="s">
        <v>156</v>
      </c>
      <c r="G1783" s="1" t="s">
        <v>68</v>
      </c>
      <c r="H1783" s="1" t="s">
        <v>57</v>
      </c>
      <c r="I1783" s="1" t="s">
        <v>58</v>
      </c>
      <c r="J1783" s="1" t="s">
        <v>77</v>
      </c>
      <c r="K1783" s="1" t="s">
        <v>90</v>
      </c>
      <c r="L1783" s="1" t="s">
        <v>136</v>
      </c>
      <c r="M1783" s="1" t="s">
        <v>62</v>
      </c>
      <c r="N1783" s="1" t="n">
        <v>18999</v>
      </c>
      <c r="O1783" s="1" t="n">
        <v>25</v>
      </c>
      <c r="P1783" s="1" t="n">
        <v>4749.75</v>
      </c>
      <c r="Q1783" s="1" t="n">
        <v>14249.25</v>
      </c>
      <c r="R1783" s="1" t="n">
        <v>2564.86</v>
      </c>
      <c r="S1783" s="1" t="n">
        <v>11684.39</v>
      </c>
      <c r="T1783" s="1" t="n">
        <v>4899.61</v>
      </c>
      <c r="U1783" s="1" t="n">
        <v>6784.78</v>
      </c>
      <c r="V1783" s="1" t="n">
        <v>58.07</v>
      </c>
      <c r="W1783" s="1" t="s">
        <v>39</v>
      </c>
      <c r="X1783" s="1" t="n">
        <v>3.5</v>
      </c>
      <c r="Y1783" s="1" t="s">
        <v>40</v>
      </c>
      <c r="Z1783" s="1" t="n">
        <v>0</v>
      </c>
    </row>
    <row r="1784" customFormat="false" ht="15" hidden="false" customHeight="true" outlineLevel="0" collapsed="false">
      <c r="A1784" s="1" t="s">
        <v>2623</v>
      </c>
      <c r="B1784" s="1" t="s">
        <v>415</v>
      </c>
      <c r="C1784" s="1" t="s">
        <v>43</v>
      </c>
      <c r="D1784" s="1" t="s">
        <v>53</v>
      </c>
      <c r="E1784" s="1" t="s">
        <v>54</v>
      </c>
      <c r="F1784" s="1" t="s">
        <v>125</v>
      </c>
      <c r="G1784" s="1" t="s">
        <v>108</v>
      </c>
      <c r="H1784" s="1" t="s">
        <v>69</v>
      </c>
      <c r="I1784" s="1" t="s">
        <v>34</v>
      </c>
      <c r="J1784" s="1" t="s">
        <v>59</v>
      </c>
      <c r="K1784" s="1" t="s">
        <v>71</v>
      </c>
      <c r="L1784" s="1" t="s">
        <v>136</v>
      </c>
      <c r="M1784" s="1" t="s">
        <v>62</v>
      </c>
      <c r="N1784" s="1" t="n">
        <v>11999</v>
      </c>
      <c r="O1784" s="1" t="n">
        <v>50</v>
      </c>
      <c r="P1784" s="1" t="n">
        <v>5999.5</v>
      </c>
      <c r="Q1784" s="1" t="n">
        <v>5999.5</v>
      </c>
      <c r="R1784" s="1" t="n">
        <v>1079.91</v>
      </c>
      <c r="S1784" s="1" t="n">
        <v>4919.59</v>
      </c>
      <c r="T1784" s="1" t="n">
        <v>2382.05</v>
      </c>
      <c r="U1784" s="1" t="n">
        <v>2537.54</v>
      </c>
      <c r="V1784" s="1" t="n">
        <v>51.58</v>
      </c>
      <c r="W1784" s="1" t="s">
        <v>39</v>
      </c>
      <c r="Y1784" s="1" t="s">
        <v>40</v>
      </c>
      <c r="Z1784" s="1" t="n">
        <v>0</v>
      </c>
    </row>
    <row r="1785" customFormat="false" ht="15" hidden="false" customHeight="true" outlineLevel="0" collapsed="false">
      <c r="A1785" s="1" t="s">
        <v>2624</v>
      </c>
      <c r="B1785" s="1" t="s">
        <v>707</v>
      </c>
      <c r="C1785" s="1" t="s">
        <v>134</v>
      </c>
      <c r="D1785" s="1" t="s">
        <v>143</v>
      </c>
      <c r="E1785" s="1" t="s">
        <v>243</v>
      </c>
      <c r="F1785" s="1" t="s">
        <v>269</v>
      </c>
      <c r="G1785" s="1" t="s">
        <v>108</v>
      </c>
      <c r="H1785" s="1" t="s">
        <v>57</v>
      </c>
      <c r="I1785" s="1" t="s">
        <v>34</v>
      </c>
      <c r="J1785" s="1" t="s">
        <v>59</v>
      </c>
      <c r="K1785" s="1" t="s">
        <v>60</v>
      </c>
      <c r="L1785" s="1" t="s">
        <v>85</v>
      </c>
      <c r="M1785" s="1" t="s">
        <v>38</v>
      </c>
      <c r="N1785" s="1" t="n">
        <v>22999</v>
      </c>
      <c r="O1785" s="1" t="n">
        <v>0</v>
      </c>
      <c r="P1785" s="1" t="n">
        <v>0</v>
      </c>
      <c r="Q1785" s="1" t="n">
        <v>22999</v>
      </c>
      <c r="R1785" s="1" t="n">
        <v>4139.82</v>
      </c>
      <c r="S1785" s="1" t="n">
        <v>18859.18</v>
      </c>
      <c r="T1785" s="1" t="n">
        <v>7562.6</v>
      </c>
      <c r="U1785" s="1" t="n">
        <v>11296.58</v>
      </c>
      <c r="V1785" s="1" t="n">
        <v>59.9</v>
      </c>
      <c r="W1785" s="1" t="s">
        <v>40</v>
      </c>
      <c r="Y1785" s="1" t="s">
        <v>40</v>
      </c>
      <c r="Z1785" s="1" t="n">
        <v>1</v>
      </c>
    </row>
    <row r="1786" customFormat="false" ht="15" hidden="false" customHeight="true" outlineLevel="0" collapsed="false">
      <c r="A1786" s="1" t="s">
        <v>2625</v>
      </c>
      <c r="B1786" s="1" t="s">
        <v>322</v>
      </c>
      <c r="C1786" s="1" t="s">
        <v>249</v>
      </c>
      <c r="D1786" s="1" t="s">
        <v>143</v>
      </c>
      <c r="E1786" s="1" t="s">
        <v>162</v>
      </c>
      <c r="F1786" s="1" t="s">
        <v>89</v>
      </c>
      <c r="G1786" s="1" t="s">
        <v>68</v>
      </c>
      <c r="H1786" s="1" t="s">
        <v>33</v>
      </c>
      <c r="I1786" s="1" t="s">
        <v>58</v>
      </c>
      <c r="J1786" s="1" t="s">
        <v>70</v>
      </c>
      <c r="K1786" s="1" t="s">
        <v>60</v>
      </c>
      <c r="L1786" s="1" t="s">
        <v>85</v>
      </c>
      <c r="M1786" s="1" t="s">
        <v>62</v>
      </c>
      <c r="N1786" s="1" t="n">
        <v>14999</v>
      </c>
      <c r="O1786" s="1" t="n">
        <v>0</v>
      </c>
      <c r="P1786" s="1" t="n">
        <v>0</v>
      </c>
      <c r="Q1786" s="1" t="n">
        <v>14999</v>
      </c>
      <c r="R1786" s="1" t="n">
        <v>2699.82</v>
      </c>
      <c r="S1786" s="1" t="n">
        <v>12299.18</v>
      </c>
      <c r="T1786" s="1" t="n">
        <v>5623.04</v>
      </c>
      <c r="U1786" s="1" t="n">
        <v>6676.14</v>
      </c>
      <c r="V1786" s="1" t="n">
        <v>54.28</v>
      </c>
      <c r="W1786" s="1" t="s">
        <v>40</v>
      </c>
      <c r="Y1786" s="1" t="s">
        <v>40</v>
      </c>
      <c r="Z1786" s="1" t="n">
        <v>3</v>
      </c>
    </row>
    <row r="1787" customFormat="false" ht="15" hidden="false" customHeight="true" outlineLevel="0" collapsed="false">
      <c r="A1787" s="1" t="s">
        <v>2626</v>
      </c>
      <c r="B1787" s="1" t="s">
        <v>2341</v>
      </c>
      <c r="C1787" s="1" t="s">
        <v>74</v>
      </c>
      <c r="D1787" s="1" t="s">
        <v>168</v>
      </c>
      <c r="E1787" s="1" t="s">
        <v>197</v>
      </c>
      <c r="F1787" s="1" t="s">
        <v>156</v>
      </c>
      <c r="G1787" s="1" t="s">
        <v>68</v>
      </c>
      <c r="H1787" s="1" t="s">
        <v>57</v>
      </c>
      <c r="I1787" s="1" t="s">
        <v>58</v>
      </c>
      <c r="J1787" s="1" t="s">
        <v>35</v>
      </c>
      <c r="K1787" s="1" t="s">
        <v>112</v>
      </c>
      <c r="L1787" s="1" t="s">
        <v>37</v>
      </c>
      <c r="M1787" s="1" t="s">
        <v>62</v>
      </c>
      <c r="N1787" s="1" t="n">
        <v>8499</v>
      </c>
      <c r="O1787" s="1" t="n">
        <v>15</v>
      </c>
      <c r="P1787" s="1" t="n">
        <v>1274.85</v>
      </c>
      <c r="Q1787" s="1" t="n">
        <v>7224.15</v>
      </c>
      <c r="R1787" s="1" t="n">
        <v>1300.35</v>
      </c>
      <c r="S1787" s="1" t="n">
        <v>5923.8</v>
      </c>
      <c r="T1787" s="1" t="n">
        <v>2520.01</v>
      </c>
      <c r="U1787" s="1" t="n">
        <v>3403.79</v>
      </c>
      <c r="V1787" s="1" t="n">
        <v>57.46</v>
      </c>
      <c r="W1787" s="1" t="s">
        <v>39</v>
      </c>
      <c r="X1787" s="1" t="n">
        <v>3.4</v>
      </c>
      <c r="Y1787" s="1" t="s">
        <v>40</v>
      </c>
      <c r="Z1787" s="1" t="n">
        <v>0</v>
      </c>
    </row>
    <row r="1788" customFormat="false" ht="15" hidden="false" customHeight="true" outlineLevel="0" collapsed="false">
      <c r="A1788" s="1" t="s">
        <v>2627</v>
      </c>
      <c r="B1788" s="1" t="s">
        <v>1322</v>
      </c>
      <c r="C1788" s="1" t="s">
        <v>249</v>
      </c>
      <c r="D1788" s="1" t="s">
        <v>123</v>
      </c>
      <c r="E1788" s="1" t="s">
        <v>124</v>
      </c>
      <c r="F1788" s="1" t="s">
        <v>125</v>
      </c>
      <c r="G1788" s="1" t="s">
        <v>108</v>
      </c>
      <c r="H1788" s="1" t="s">
        <v>69</v>
      </c>
      <c r="I1788" s="1" t="s">
        <v>58</v>
      </c>
      <c r="J1788" s="1" t="s">
        <v>70</v>
      </c>
      <c r="K1788" s="1" t="s">
        <v>90</v>
      </c>
      <c r="L1788" s="1" t="s">
        <v>85</v>
      </c>
      <c r="M1788" s="1" t="s">
        <v>50</v>
      </c>
      <c r="N1788" s="1" t="n">
        <v>4999</v>
      </c>
      <c r="O1788" s="1" t="n">
        <v>40</v>
      </c>
      <c r="P1788" s="1" t="n">
        <v>1999.6</v>
      </c>
      <c r="Q1788" s="1" t="n">
        <v>2999.4</v>
      </c>
      <c r="R1788" s="1" t="n">
        <v>539.89</v>
      </c>
      <c r="S1788" s="1" t="n">
        <v>2459.51</v>
      </c>
      <c r="T1788" s="1" t="n">
        <v>1327.7</v>
      </c>
      <c r="U1788" s="1" t="n">
        <v>1131.81</v>
      </c>
      <c r="V1788" s="1" t="n">
        <v>46.02</v>
      </c>
      <c r="W1788" s="1" t="s">
        <v>39</v>
      </c>
      <c r="X1788" s="1" t="n">
        <v>3.5</v>
      </c>
      <c r="Y1788" s="1" t="s">
        <v>40</v>
      </c>
      <c r="Z1788" s="1" t="n">
        <v>0</v>
      </c>
    </row>
    <row r="1789" customFormat="false" ht="15" hidden="false" customHeight="true" outlineLevel="0" collapsed="false">
      <c r="A1789" s="1" t="s">
        <v>2628</v>
      </c>
      <c r="B1789" s="1" t="s">
        <v>1573</v>
      </c>
      <c r="C1789" s="1" t="s">
        <v>178</v>
      </c>
      <c r="D1789" s="1" t="s">
        <v>94</v>
      </c>
      <c r="E1789" s="1" t="s">
        <v>135</v>
      </c>
      <c r="F1789" s="1" t="s">
        <v>82</v>
      </c>
      <c r="G1789" s="1" t="s">
        <v>56</v>
      </c>
      <c r="H1789" s="1" t="s">
        <v>69</v>
      </c>
      <c r="I1789" s="1" t="s">
        <v>34</v>
      </c>
      <c r="J1789" s="1" t="s">
        <v>70</v>
      </c>
      <c r="K1789" s="1" t="s">
        <v>84</v>
      </c>
      <c r="L1789" s="1" t="s">
        <v>49</v>
      </c>
      <c r="M1789" s="1" t="s">
        <v>62</v>
      </c>
      <c r="N1789" s="1" t="n">
        <v>9999</v>
      </c>
      <c r="O1789" s="1" t="n">
        <v>40</v>
      </c>
      <c r="P1789" s="1" t="n">
        <v>3999.6</v>
      </c>
      <c r="Q1789" s="1" t="n">
        <v>5999.4</v>
      </c>
      <c r="R1789" s="1" t="n">
        <v>1079.89</v>
      </c>
      <c r="S1789" s="1" t="n">
        <v>4919.51</v>
      </c>
      <c r="T1789" s="1" t="n">
        <v>2905.81</v>
      </c>
      <c r="U1789" s="1" t="n">
        <v>2013.7</v>
      </c>
      <c r="V1789" s="1" t="n">
        <v>40.93</v>
      </c>
      <c r="W1789" s="1" t="s">
        <v>39</v>
      </c>
      <c r="X1789" s="1" t="n">
        <v>3.8</v>
      </c>
      <c r="Y1789" s="1" t="s">
        <v>39</v>
      </c>
      <c r="Z1789" s="1" t="n">
        <v>0</v>
      </c>
    </row>
    <row r="1790" customFormat="false" ht="15" hidden="false" customHeight="true" outlineLevel="0" collapsed="false">
      <c r="A1790" s="1" t="s">
        <v>2629</v>
      </c>
      <c r="B1790" s="1" t="s">
        <v>685</v>
      </c>
      <c r="C1790" s="1" t="s">
        <v>43</v>
      </c>
      <c r="D1790" s="1" t="s">
        <v>44</v>
      </c>
      <c r="E1790" s="1" t="s">
        <v>221</v>
      </c>
      <c r="F1790" s="1" t="s">
        <v>120</v>
      </c>
      <c r="G1790" s="1" t="s">
        <v>47</v>
      </c>
      <c r="H1790" s="1" t="s">
        <v>57</v>
      </c>
      <c r="I1790" s="1" t="s">
        <v>58</v>
      </c>
      <c r="J1790" s="1" t="s">
        <v>59</v>
      </c>
      <c r="K1790" s="1" t="s">
        <v>104</v>
      </c>
      <c r="L1790" s="1" t="s">
        <v>113</v>
      </c>
      <c r="M1790" s="1" t="s">
        <v>62</v>
      </c>
      <c r="N1790" s="1" t="n">
        <v>16999</v>
      </c>
      <c r="O1790" s="1" t="n">
        <v>15</v>
      </c>
      <c r="P1790" s="1" t="n">
        <v>2549.85</v>
      </c>
      <c r="Q1790" s="1" t="n">
        <v>14449.15</v>
      </c>
      <c r="R1790" s="1" t="n">
        <v>2600.85</v>
      </c>
      <c r="S1790" s="1" t="n">
        <v>11848.3</v>
      </c>
      <c r="T1790" s="1" t="n">
        <v>4981.28</v>
      </c>
      <c r="U1790" s="1" t="n">
        <v>6867.02</v>
      </c>
      <c r="V1790" s="1" t="n">
        <v>57.96</v>
      </c>
      <c r="W1790" s="1" t="s">
        <v>39</v>
      </c>
      <c r="X1790" s="1" t="n">
        <v>3.5</v>
      </c>
      <c r="Y1790" s="1" t="s">
        <v>40</v>
      </c>
      <c r="Z1790" s="1" t="n">
        <v>1</v>
      </c>
    </row>
    <row r="1791" customFormat="false" ht="15" hidden="false" customHeight="true" outlineLevel="0" collapsed="false">
      <c r="A1791" s="1" t="s">
        <v>2630</v>
      </c>
      <c r="B1791" s="1" t="s">
        <v>2631</v>
      </c>
      <c r="C1791" s="1" t="s">
        <v>93</v>
      </c>
      <c r="D1791" s="1" t="s">
        <v>123</v>
      </c>
      <c r="E1791" s="1" t="s">
        <v>147</v>
      </c>
      <c r="F1791" s="1" t="s">
        <v>184</v>
      </c>
      <c r="G1791" s="1" t="s">
        <v>56</v>
      </c>
      <c r="H1791" s="1" t="s">
        <v>57</v>
      </c>
      <c r="I1791" s="1" t="s">
        <v>34</v>
      </c>
      <c r="J1791" s="1" t="s">
        <v>59</v>
      </c>
      <c r="K1791" s="1" t="s">
        <v>90</v>
      </c>
      <c r="L1791" s="1" t="s">
        <v>85</v>
      </c>
      <c r="M1791" s="1" t="s">
        <v>62</v>
      </c>
      <c r="N1791" s="1" t="n">
        <v>6999</v>
      </c>
      <c r="O1791" s="1" t="n">
        <v>15</v>
      </c>
      <c r="P1791" s="1" t="n">
        <v>1049.85</v>
      </c>
      <c r="Q1791" s="1" t="n">
        <v>5949.15</v>
      </c>
      <c r="R1791" s="1" t="n">
        <v>1070.85</v>
      </c>
      <c r="S1791" s="1" t="n">
        <v>4878.3</v>
      </c>
      <c r="T1791" s="1" t="n">
        <v>2123.53</v>
      </c>
      <c r="U1791" s="1" t="n">
        <v>2754.77</v>
      </c>
      <c r="V1791" s="1" t="n">
        <v>56.47</v>
      </c>
      <c r="W1791" s="1" t="s">
        <v>39</v>
      </c>
      <c r="X1791" s="1" t="n">
        <v>2.9</v>
      </c>
      <c r="Y1791" s="1" t="s">
        <v>40</v>
      </c>
      <c r="Z1791" s="1" t="n">
        <v>0</v>
      </c>
    </row>
    <row r="1792" customFormat="false" ht="15" hidden="false" customHeight="true" outlineLevel="0" collapsed="false">
      <c r="A1792" s="1" t="s">
        <v>2632</v>
      </c>
      <c r="B1792" s="1" t="s">
        <v>2633</v>
      </c>
      <c r="C1792" s="1" t="s">
        <v>134</v>
      </c>
      <c r="D1792" s="1" t="s">
        <v>143</v>
      </c>
      <c r="E1792" s="1" t="s">
        <v>162</v>
      </c>
      <c r="F1792" s="1" t="s">
        <v>150</v>
      </c>
      <c r="G1792" s="1" t="s">
        <v>32</v>
      </c>
      <c r="H1792" s="1" t="s">
        <v>57</v>
      </c>
      <c r="I1792" s="1" t="s">
        <v>58</v>
      </c>
      <c r="J1792" s="1" t="s">
        <v>70</v>
      </c>
      <c r="K1792" s="1" t="s">
        <v>84</v>
      </c>
      <c r="L1792" s="1" t="s">
        <v>49</v>
      </c>
      <c r="M1792" s="1" t="s">
        <v>38</v>
      </c>
      <c r="N1792" s="1" t="n">
        <v>14999</v>
      </c>
      <c r="O1792" s="1" t="n">
        <v>50</v>
      </c>
      <c r="P1792" s="1" t="n">
        <v>7499.5</v>
      </c>
      <c r="Q1792" s="1" t="n">
        <v>7499.5</v>
      </c>
      <c r="R1792" s="1" t="n">
        <v>1349.91</v>
      </c>
      <c r="S1792" s="1" t="n">
        <v>6149.59</v>
      </c>
      <c r="T1792" s="1" t="n">
        <v>2914.07</v>
      </c>
      <c r="U1792" s="1" t="n">
        <v>3235.52</v>
      </c>
      <c r="V1792" s="1" t="n">
        <v>52.61</v>
      </c>
      <c r="W1792" s="1" t="s">
        <v>40</v>
      </c>
      <c r="Y1792" s="1" t="s">
        <v>40</v>
      </c>
      <c r="Z1792" s="1" t="n">
        <v>1</v>
      </c>
    </row>
    <row r="1793" customFormat="false" ht="15" hidden="false" customHeight="true" outlineLevel="0" collapsed="false">
      <c r="A1793" s="1" t="s">
        <v>2634</v>
      </c>
      <c r="B1793" s="1" t="s">
        <v>774</v>
      </c>
      <c r="C1793" s="1" t="s">
        <v>88</v>
      </c>
      <c r="D1793" s="1" t="s">
        <v>94</v>
      </c>
      <c r="E1793" s="1" t="s">
        <v>135</v>
      </c>
      <c r="F1793" s="1" t="s">
        <v>194</v>
      </c>
      <c r="G1793" s="1" t="s">
        <v>103</v>
      </c>
      <c r="H1793" s="1" t="s">
        <v>69</v>
      </c>
      <c r="I1793" s="1" t="s">
        <v>34</v>
      </c>
      <c r="J1793" s="1" t="s">
        <v>35</v>
      </c>
      <c r="K1793" s="1" t="s">
        <v>48</v>
      </c>
      <c r="L1793" s="1" t="s">
        <v>37</v>
      </c>
      <c r="M1793" s="1" t="s">
        <v>50</v>
      </c>
      <c r="N1793" s="1" t="n">
        <v>9999</v>
      </c>
      <c r="O1793" s="1" t="n">
        <v>30</v>
      </c>
      <c r="P1793" s="1" t="n">
        <v>2999.7</v>
      </c>
      <c r="Q1793" s="1" t="n">
        <v>6999.3</v>
      </c>
      <c r="R1793" s="1" t="n">
        <v>1259.87</v>
      </c>
      <c r="S1793" s="1" t="n">
        <v>5739.43</v>
      </c>
      <c r="T1793" s="1" t="n">
        <v>2348.91</v>
      </c>
      <c r="U1793" s="1" t="n">
        <v>3390.52</v>
      </c>
      <c r="V1793" s="1" t="n">
        <v>59.07</v>
      </c>
      <c r="W1793" s="1" t="s">
        <v>39</v>
      </c>
      <c r="X1793" s="1" t="n">
        <v>3.8</v>
      </c>
      <c r="Y1793" s="1" t="s">
        <v>40</v>
      </c>
      <c r="Z1793" s="1" t="n">
        <v>1</v>
      </c>
    </row>
    <row r="1794" customFormat="false" ht="15" hidden="false" customHeight="true" outlineLevel="0" collapsed="false">
      <c r="A1794" s="1" t="s">
        <v>2635</v>
      </c>
      <c r="B1794" s="1" t="s">
        <v>499</v>
      </c>
      <c r="C1794" s="1" t="s">
        <v>100</v>
      </c>
      <c r="D1794" s="1" t="s">
        <v>53</v>
      </c>
      <c r="E1794" s="1" t="s">
        <v>216</v>
      </c>
      <c r="F1794" s="1" t="s">
        <v>269</v>
      </c>
      <c r="G1794" s="1" t="s">
        <v>108</v>
      </c>
      <c r="H1794" s="1" t="s">
        <v>57</v>
      </c>
      <c r="I1794" s="1" t="s">
        <v>58</v>
      </c>
      <c r="J1794" s="1" t="s">
        <v>59</v>
      </c>
      <c r="K1794" s="1" t="s">
        <v>48</v>
      </c>
      <c r="L1794" s="1" t="s">
        <v>136</v>
      </c>
      <c r="M1794" s="1" t="s">
        <v>50</v>
      </c>
      <c r="N1794" s="1" t="n">
        <v>7499</v>
      </c>
      <c r="O1794" s="1" t="n">
        <v>50</v>
      </c>
      <c r="P1794" s="1" t="n">
        <v>3749.5</v>
      </c>
      <c r="Q1794" s="1" t="n">
        <v>3749.5</v>
      </c>
      <c r="R1794" s="1" t="n">
        <v>674.91</v>
      </c>
      <c r="S1794" s="1" t="n">
        <v>3074.59</v>
      </c>
      <c r="T1794" s="1" t="n">
        <v>1268.65</v>
      </c>
      <c r="U1794" s="1" t="n">
        <v>1805.94</v>
      </c>
      <c r="V1794" s="1" t="n">
        <v>58.74</v>
      </c>
      <c r="W1794" s="1" t="s">
        <v>39</v>
      </c>
      <c r="X1794" s="1" t="n">
        <v>3.4</v>
      </c>
      <c r="Y1794" s="1" t="s">
        <v>40</v>
      </c>
      <c r="Z1794" s="1" t="n">
        <v>1</v>
      </c>
    </row>
    <row r="1795" customFormat="false" ht="15" hidden="false" customHeight="true" outlineLevel="0" collapsed="false">
      <c r="A1795" s="1" t="s">
        <v>2636</v>
      </c>
      <c r="B1795" s="1" t="s">
        <v>118</v>
      </c>
      <c r="C1795" s="1" t="s">
        <v>249</v>
      </c>
      <c r="D1795" s="1" t="s">
        <v>168</v>
      </c>
      <c r="E1795" s="1" t="s">
        <v>172</v>
      </c>
      <c r="F1795" s="1" t="s">
        <v>102</v>
      </c>
      <c r="G1795" s="1" t="s">
        <v>103</v>
      </c>
      <c r="H1795" s="1" t="s">
        <v>33</v>
      </c>
      <c r="I1795" s="1" t="s">
        <v>34</v>
      </c>
      <c r="J1795" s="1" t="s">
        <v>35</v>
      </c>
      <c r="K1795" s="1" t="s">
        <v>90</v>
      </c>
      <c r="L1795" s="1" t="s">
        <v>136</v>
      </c>
      <c r="M1795" s="1" t="s">
        <v>38</v>
      </c>
      <c r="N1795" s="1" t="n">
        <v>6999</v>
      </c>
      <c r="O1795" s="1" t="n">
        <v>10</v>
      </c>
      <c r="P1795" s="1" t="n">
        <v>699.9</v>
      </c>
      <c r="Q1795" s="1" t="n">
        <v>6299.1</v>
      </c>
      <c r="R1795" s="1" t="n">
        <v>1133.84</v>
      </c>
      <c r="S1795" s="1" t="n">
        <v>5165.26</v>
      </c>
      <c r="T1795" s="1" t="n">
        <v>2334.08</v>
      </c>
      <c r="U1795" s="1" t="n">
        <v>2831.18</v>
      </c>
      <c r="V1795" s="1" t="n">
        <v>54.81</v>
      </c>
      <c r="W1795" s="1" t="s">
        <v>40</v>
      </c>
      <c r="Y1795" s="1" t="s">
        <v>39</v>
      </c>
      <c r="Z1795" s="1" t="n">
        <v>3</v>
      </c>
    </row>
    <row r="1796" customFormat="false" ht="15" hidden="false" customHeight="true" outlineLevel="0" collapsed="false">
      <c r="A1796" s="1" t="s">
        <v>2637</v>
      </c>
      <c r="B1796" s="1" t="s">
        <v>1031</v>
      </c>
      <c r="C1796" s="1" t="s">
        <v>128</v>
      </c>
      <c r="D1796" s="1" t="s">
        <v>29</v>
      </c>
      <c r="E1796" s="1" t="s">
        <v>30</v>
      </c>
      <c r="F1796" s="1" t="s">
        <v>211</v>
      </c>
      <c r="G1796" s="1" t="s">
        <v>56</v>
      </c>
      <c r="H1796" s="1" t="s">
        <v>69</v>
      </c>
      <c r="I1796" s="1" t="s">
        <v>34</v>
      </c>
      <c r="J1796" s="1" t="s">
        <v>70</v>
      </c>
      <c r="K1796" s="1" t="s">
        <v>60</v>
      </c>
      <c r="L1796" s="1" t="s">
        <v>61</v>
      </c>
      <c r="M1796" s="1" t="s">
        <v>38</v>
      </c>
      <c r="N1796" s="1" t="n">
        <v>7999</v>
      </c>
      <c r="O1796" s="1" t="n">
        <v>0</v>
      </c>
      <c r="P1796" s="1" t="n">
        <v>0</v>
      </c>
      <c r="Q1796" s="1" t="n">
        <v>7999</v>
      </c>
      <c r="R1796" s="1" t="n">
        <v>1439.82</v>
      </c>
      <c r="S1796" s="1" t="n">
        <v>6559.18</v>
      </c>
      <c r="T1796" s="1" t="n">
        <v>2016.94</v>
      </c>
      <c r="U1796" s="1" t="n">
        <v>4542.24</v>
      </c>
      <c r="V1796" s="1" t="n">
        <v>69.25</v>
      </c>
      <c r="W1796" s="1" t="s">
        <v>39</v>
      </c>
      <c r="X1796" s="1" t="n">
        <v>3.4</v>
      </c>
      <c r="Y1796" s="1" t="s">
        <v>40</v>
      </c>
      <c r="Z1796" s="1" t="n">
        <v>0</v>
      </c>
    </row>
    <row r="1797" customFormat="false" ht="15" hidden="false" customHeight="true" outlineLevel="0" collapsed="false">
      <c r="A1797" s="1" t="s">
        <v>2638</v>
      </c>
      <c r="B1797" s="1" t="s">
        <v>915</v>
      </c>
      <c r="C1797" s="1" t="s">
        <v>139</v>
      </c>
      <c r="D1797" s="1" t="s">
        <v>29</v>
      </c>
      <c r="E1797" s="1" t="s">
        <v>129</v>
      </c>
      <c r="F1797" s="1" t="s">
        <v>156</v>
      </c>
      <c r="G1797" s="1" t="s">
        <v>68</v>
      </c>
      <c r="H1797" s="1" t="s">
        <v>57</v>
      </c>
      <c r="I1797" s="1" t="s">
        <v>83</v>
      </c>
      <c r="J1797" s="1" t="s">
        <v>70</v>
      </c>
      <c r="K1797" s="1" t="s">
        <v>84</v>
      </c>
      <c r="L1797" s="1" t="s">
        <v>49</v>
      </c>
      <c r="M1797" s="1" t="s">
        <v>38</v>
      </c>
      <c r="N1797" s="1" t="n">
        <v>29999</v>
      </c>
      <c r="O1797" s="1" t="n">
        <v>15</v>
      </c>
      <c r="P1797" s="1" t="n">
        <v>4499.85</v>
      </c>
      <c r="Q1797" s="1" t="n">
        <v>25499.15</v>
      </c>
      <c r="R1797" s="1" t="n">
        <v>4589.85</v>
      </c>
      <c r="S1797" s="1" t="n">
        <v>20909.3</v>
      </c>
      <c r="T1797" s="1" t="n">
        <v>7608.73</v>
      </c>
      <c r="U1797" s="1" t="n">
        <v>13300.57</v>
      </c>
      <c r="V1797" s="1" t="n">
        <v>63.61</v>
      </c>
      <c r="W1797" s="1" t="s">
        <v>39</v>
      </c>
      <c r="X1797" s="1" t="n">
        <v>3.9</v>
      </c>
      <c r="Y1797" s="1" t="s">
        <v>40</v>
      </c>
      <c r="Z1797" s="1" t="n">
        <v>1</v>
      </c>
    </row>
    <row r="1798" customFormat="false" ht="15" hidden="false" customHeight="true" outlineLevel="0" collapsed="false">
      <c r="A1798" s="1" t="s">
        <v>2639</v>
      </c>
      <c r="B1798" s="1" t="s">
        <v>878</v>
      </c>
      <c r="C1798" s="1" t="s">
        <v>119</v>
      </c>
      <c r="D1798" s="1" t="s">
        <v>94</v>
      </c>
      <c r="E1798" s="1" t="s">
        <v>135</v>
      </c>
      <c r="F1798" s="1" t="s">
        <v>150</v>
      </c>
      <c r="G1798" s="1" t="s">
        <v>32</v>
      </c>
      <c r="H1798" s="1" t="s">
        <v>57</v>
      </c>
      <c r="I1798" s="1" t="s">
        <v>34</v>
      </c>
      <c r="J1798" s="1" t="s">
        <v>70</v>
      </c>
      <c r="K1798" s="1" t="s">
        <v>112</v>
      </c>
      <c r="L1798" s="1" t="s">
        <v>85</v>
      </c>
      <c r="M1798" s="1" t="s">
        <v>38</v>
      </c>
      <c r="N1798" s="1" t="n">
        <v>9999</v>
      </c>
      <c r="O1798" s="1" t="n">
        <v>30</v>
      </c>
      <c r="P1798" s="1" t="n">
        <v>2999.7</v>
      </c>
      <c r="Q1798" s="1" t="n">
        <v>6999.3</v>
      </c>
      <c r="R1798" s="1" t="n">
        <v>1259.87</v>
      </c>
      <c r="S1798" s="1" t="n">
        <v>5739.43</v>
      </c>
      <c r="T1798" s="1" t="n">
        <v>2890.85</v>
      </c>
      <c r="U1798" s="1" t="n">
        <v>2848.58</v>
      </c>
      <c r="V1798" s="1" t="n">
        <v>49.63</v>
      </c>
      <c r="W1798" s="1" t="s">
        <v>39</v>
      </c>
      <c r="X1798" s="1" t="n">
        <v>3.8</v>
      </c>
      <c r="Y1798" s="1" t="s">
        <v>40</v>
      </c>
      <c r="Z1798" s="1" t="n">
        <v>0</v>
      </c>
    </row>
    <row r="1799" customFormat="false" ht="15" hidden="false" customHeight="true" outlineLevel="0" collapsed="false">
      <c r="A1799" s="1" t="s">
        <v>2640</v>
      </c>
      <c r="B1799" s="1" t="s">
        <v>404</v>
      </c>
      <c r="C1799" s="1" t="s">
        <v>1582</v>
      </c>
      <c r="D1799" s="1" t="s">
        <v>80</v>
      </c>
      <c r="E1799" s="1" t="s">
        <v>175</v>
      </c>
      <c r="F1799" s="1" t="s">
        <v>153</v>
      </c>
      <c r="G1799" s="1" t="s">
        <v>76</v>
      </c>
      <c r="H1799" s="1" t="s">
        <v>33</v>
      </c>
      <c r="I1799" s="1" t="s">
        <v>83</v>
      </c>
      <c r="J1799" s="1" t="s">
        <v>131</v>
      </c>
      <c r="K1799" s="1" t="s">
        <v>36</v>
      </c>
      <c r="L1799" s="1" t="s">
        <v>113</v>
      </c>
      <c r="M1799" s="1" t="s">
        <v>38</v>
      </c>
      <c r="N1799" s="1" t="n">
        <v>19999</v>
      </c>
      <c r="O1799" s="1" t="n">
        <v>40</v>
      </c>
      <c r="P1799" s="1" t="n">
        <v>7999.6</v>
      </c>
      <c r="Q1799" s="1" t="n">
        <v>11999.4</v>
      </c>
      <c r="R1799" s="1" t="n">
        <v>2159.89</v>
      </c>
      <c r="S1799" s="1" t="n">
        <v>9839.51</v>
      </c>
      <c r="T1799" s="1" t="n">
        <v>5415.53</v>
      </c>
      <c r="U1799" s="1" t="n">
        <v>4423.98</v>
      </c>
      <c r="V1799" s="1" t="n">
        <v>44.96</v>
      </c>
      <c r="W1799" s="1" t="s">
        <v>40</v>
      </c>
      <c r="Y1799" s="1" t="s">
        <v>40</v>
      </c>
      <c r="Z1799" s="1" t="n">
        <v>1</v>
      </c>
    </row>
    <row r="1800" customFormat="false" ht="15" hidden="false" customHeight="true" outlineLevel="0" collapsed="false">
      <c r="A1800" s="1" t="s">
        <v>2641</v>
      </c>
      <c r="B1800" s="1" t="s">
        <v>2604</v>
      </c>
      <c r="C1800" s="1" t="s">
        <v>43</v>
      </c>
      <c r="D1800" s="1" t="s">
        <v>94</v>
      </c>
      <c r="E1800" s="1" t="s">
        <v>101</v>
      </c>
      <c r="F1800" s="1" t="s">
        <v>120</v>
      </c>
      <c r="G1800" s="1" t="s">
        <v>47</v>
      </c>
      <c r="H1800" s="1" t="s">
        <v>57</v>
      </c>
      <c r="I1800" s="1" t="s">
        <v>58</v>
      </c>
      <c r="J1800" s="1" t="s">
        <v>131</v>
      </c>
      <c r="K1800" s="1" t="s">
        <v>90</v>
      </c>
      <c r="L1800" s="1" t="s">
        <v>113</v>
      </c>
      <c r="M1800" s="1" t="s">
        <v>62</v>
      </c>
      <c r="N1800" s="1" t="n">
        <v>14999</v>
      </c>
      <c r="O1800" s="1" t="n">
        <v>5</v>
      </c>
      <c r="P1800" s="1" t="n">
        <v>749.95</v>
      </c>
      <c r="Q1800" s="1" t="n">
        <v>14249.05</v>
      </c>
      <c r="R1800" s="1" t="n">
        <v>2564.83</v>
      </c>
      <c r="S1800" s="1" t="n">
        <v>11684.22</v>
      </c>
      <c r="T1800" s="1" t="n">
        <v>4800.01</v>
      </c>
      <c r="U1800" s="1" t="n">
        <v>6884.21</v>
      </c>
      <c r="V1800" s="1" t="n">
        <v>58.92</v>
      </c>
      <c r="W1800" s="1" t="s">
        <v>40</v>
      </c>
      <c r="Y1800" s="1" t="s">
        <v>40</v>
      </c>
      <c r="Z1800" s="1" t="n">
        <v>0</v>
      </c>
    </row>
    <row r="1801" customFormat="false" ht="15" hidden="false" customHeight="true" outlineLevel="0" collapsed="false">
      <c r="A1801" s="1" t="s">
        <v>2037</v>
      </c>
      <c r="B1801" s="1" t="s">
        <v>419</v>
      </c>
      <c r="C1801" s="1" t="s">
        <v>139</v>
      </c>
      <c r="D1801" s="1" t="s">
        <v>44</v>
      </c>
      <c r="E1801" s="1" t="s">
        <v>66</v>
      </c>
      <c r="F1801" s="1" t="s">
        <v>244</v>
      </c>
      <c r="G1801" s="1" t="s">
        <v>97</v>
      </c>
      <c r="H1801" s="1" t="s">
        <v>57</v>
      </c>
      <c r="I1801" s="1" t="s">
        <v>34</v>
      </c>
      <c r="J1801" s="1" t="s">
        <v>77</v>
      </c>
      <c r="K1801" s="1" t="s">
        <v>36</v>
      </c>
      <c r="L1801" s="1" t="s">
        <v>37</v>
      </c>
      <c r="M1801" s="1" t="s">
        <v>38</v>
      </c>
      <c r="N1801" s="1" t="n">
        <v>12999</v>
      </c>
      <c r="O1801" s="1" t="n">
        <v>25</v>
      </c>
      <c r="P1801" s="1" t="n">
        <v>3249.75</v>
      </c>
      <c r="Q1801" s="1" t="n">
        <v>9749.25</v>
      </c>
      <c r="R1801" s="1" t="n">
        <v>1754.87</v>
      </c>
      <c r="S1801" s="1" t="n">
        <v>7994.38</v>
      </c>
      <c r="T1801" s="1" t="n">
        <v>3844.45</v>
      </c>
      <c r="U1801" s="1" t="n">
        <v>4149.93</v>
      </c>
      <c r="V1801" s="1" t="n">
        <v>51.91</v>
      </c>
      <c r="W1801" s="1" t="s">
        <v>40</v>
      </c>
      <c r="Y1801" s="1" t="s">
        <v>40</v>
      </c>
      <c r="Z1801" s="1" t="n">
        <v>0</v>
      </c>
    </row>
    <row r="1802" customFormat="false" ht="15" hidden="false" customHeight="true" outlineLevel="0" collapsed="false">
      <c r="A1802" s="1" t="s">
        <v>2642</v>
      </c>
      <c r="B1802" s="1" t="s">
        <v>587</v>
      </c>
      <c r="C1802" s="1" t="s">
        <v>74</v>
      </c>
      <c r="D1802" s="1" t="s">
        <v>80</v>
      </c>
      <c r="E1802" s="1" t="s">
        <v>81</v>
      </c>
      <c r="F1802" s="1" t="s">
        <v>102</v>
      </c>
      <c r="G1802" s="1" t="s">
        <v>103</v>
      </c>
      <c r="H1802" s="1" t="s">
        <v>33</v>
      </c>
      <c r="I1802" s="1" t="s">
        <v>83</v>
      </c>
      <c r="J1802" s="1" t="s">
        <v>77</v>
      </c>
      <c r="K1802" s="1" t="s">
        <v>48</v>
      </c>
      <c r="L1802" s="1" t="s">
        <v>37</v>
      </c>
      <c r="M1802" s="1" t="s">
        <v>38</v>
      </c>
      <c r="N1802" s="1" t="n">
        <v>12999</v>
      </c>
      <c r="O1802" s="1" t="n">
        <v>30</v>
      </c>
      <c r="P1802" s="1" t="n">
        <v>3899.7</v>
      </c>
      <c r="Q1802" s="1" t="n">
        <v>9099.3</v>
      </c>
      <c r="R1802" s="1" t="n">
        <v>1637.87</v>
      </c>
      <c r="S1802" s="1" t="n">
        <v>7461.43</v>
      </c>
      <c r="T1802" s="1" t="n">
        <v>3368.21</v>
      </c>
      <c r="U1802" s="1" t="n">
        <v>4093.22</v>
      </c>
      <c r="V1802" s="1" t="n">
        <v>54.86</v>
      </c>
      <c r="W1802" s="1" t="s">
        <v>39</v>
      </c>
      <c r="X1802" s="1" t="n">
        <v>4.5</v>
      </c>
      <c r="Y1802" s="1" t="s">
        <v>40</v>
      </c>
      <c r="Z1802" s="1" t="n">
        <v>0</v>
      </c>
    </row>
    <row r="1803" customFormat="false" ht="15" hidden="false" customHeight="true" outlineLevel="0" collapsed="false">
      <c r="A1803" s="1" t="s">
        <v>2643</v>
      </c>
      <c r="B1803" s="1" t="s">
        <v>2644</v>
      </c>
      <c r="C1803" s="1" t="s">
        <v>119</v>
      </c>
      <c r="D1803" s="1" t="s">
        <v>29</v>
      </c>
      <c r="E1803" s="1" t="s">
        <v>129</v>
      </c>
      <c r="F1803" s="1" t="s">
        <v>75</v>
      </c>
      <c r="G1803" s="1" t="s">
        <v>76</v>
      </c>
      <c r="H1803" s="1" t="s">
        <v>69</v>
      </c>
      <c r="I1803" s="1" t="s">
        <v>34</v>
      </c>
      <c r="J1803" s="1" t="s">
        <v>70</v>
      </c>
      <c r="K1803" s="1" t="s">
        <v>90</v>
      </c>
      <c r="L1803" s="1" t="s">
        <v>85</v>
      </c>
      <c r="M1803" s="1" t="s">
        <v>38</v>
      </c>
      <c r="N1803" s="1" t="n">
        <v>29999</v>
      </c>
      <c r="O1803" s="1" t="n">
        <v>50</v>
      </c>
      <c r="P1803" s="1" t="n">
        <v>14999.5</v>
      </c>
      <c r="Q1803" s="1" t="n">
        <v>14999.5</v>
      </c>
      <c r="R1803" s="1" t="n">
        <v>2699.91</v>
      </c>
      <c r="S1803" s="1" t="n">
        <v>12299.59</v>
      </c>
      <c r="T1803" s="1" t="n">
        <v>4833.94</v>
      </c>
      <c r="U1803" s="1" t="n">
        <v>7465.65</v>
      </c>
      <c r="V1803" s="1" t="n">
        <v>60.7</v>
      </c>
      <c r="W1803" s="1" t="s">
        <v>40</v>
      </c>
      <c r="Y1803" s="1" t="s">
        <v>40</v>
      </c>
      <c r="Z1803" s="1" t="n">
        <v>0</v>
      </c>
    </row>
    <row r="1804" customFormat="false" ht="15" hidden="false" customHeight="true" outlineLevel="0" collapsed="false">
      <c r="A1804" s="1" t="s">
        <v>2645</v>
      </c>
      <c r="B1804" s="1" t="s">
        <v>487</v>
      </c>
      <c r="C1804" s="1" t="s">
        <v>2646</v>
      </c>
      <c r="D1804" s="1" t="s">
        <v>53</v>
      </c>
      <c r="E1804" s="1" t="s">
        <v>116</v>
      </c>
      <c r="F1804" s="1" t="s">
        <v>96</v>
      </c>
      <c r="G1804" s="1" t="s">
        <v>97</v>
      </c>
      <c r="H1804" s="1" t="s">
        <v>69</v>
      </c>
      <c r="I1804" s="1" t="s">
        <v>34</v>
      </c>
      <c r="J1804" s="1" t="s">
        <v>59</v>
      </c>
      <c r="K1804" s="1" t="s">
        <v>48</v>
      </c>
      <c r="L1804" s="1" t="s">
        <v>136</v>
      </c>
      <c r="M1804" s="1" t="s">
        <v>50</v>
      </c>
      <c r="N1804" s="1" t="n">
        <v>9999</v>
      </c>
      <c r="O1804" s="1" t="n">
        <v>0</v>
      </c>
      <c r="P1804" s="1" t="n">
        <v>0</v>
      </c>
      <c r="Q1804" s="1" t="n">
        <v>9999</v>
      </c>
      <c r="R1804" s="1" t="n">
        <v>1799.82</v>
      </c>
      <c r="S1804" s="1" t="n">
        <v>8199.18</v>
      </c>
      <c r="T1804" s="1" t="n">
        <v>3614.2</v>
      </c>
      <c r="U1804" s="1" t="n">
        <v>4584.98</v>
      </c>
      <c r="V1804" s="1" t="n">
        <v>55.92</v>
      </c>
      <c r="W1804" s="1" t="s">
        <v>39</v>
      </c>
      <c r="X1804" s="1" t="n">
        <v>4.6</v>
      </c>
      <c r="Y1804" s="1" t="s">
        <v>40</v>
      </c>
      <c r="Z1804" s="1" t="n">
        <v>0</v>
      </c>
    </row>
    <row r="1805" customFormat="false" ht="15" hidden="false" customHeight="true" outlineLevel="0" collapsed="false">
      <c r="A1805" s="1" t="s">
        <v>2647</v>
      </c>
      <c r="B1805" s="1" t="s">
        <v>489</v>
      </c>
      <c r="C1805" s="1" t="s">
        <v>74</v>
      </c>
      <c r="D1805" s="1" t="s">
        <v>94</v>
      </c>
      <c r="E1805" s="1" t="s">
        <v>101</v>
      </c>
      <c r="F1805" s="1" t="s">
        <v>125</v>
      </c>
      <c r="G1805" s="1" t="s">
        <v>108</v>
      </c>
      <c r="H1805" s="1" t="s">
        <v>69</v>
      </c>
      <c r="I1805" s="1" t="s">
        <v>58</v>
      </c>
      <c r="J1805" s="1" t="s">
        <v>77</v>
      </c>
      <c r="K1805" s="1" t="s">
        <v>60</v>
      </c>
      <c r="L1805" s="1" t="s">
        <v>61</v>
      </c>
      <c r="M1805" s="1" t="s">
        <v>50</v>
      </c>
      <c r="N1805" s="1" t="n">
        <v>14999</v>
      </c>
      <c r="O1805" s="1" t="n">
        <v>10</v>
      </c>
      <c r="P1805" s="1" t="n">
        <v>1499.9</v>
      </c>
      <c r="Q1805" s="1" t="n">
        <v>13499.1</v>
      </c>
      <c r="R1805" s="1" t="n">
        <v>2429.84</v>
      </c>
      <c r="S1805" s="1" t="n">
        <v>11069.26</v>
      </c>
      <c r="T1805" s="1" t="n">
        <v>3735.7</v>
      </c>
      <c r="U1805" s="1" t="n">
        <v>7333.56</v>
      </c>
      <c r="V1805" s="1" t="n">
        <v>66.25</v>
      </c>
      <c r="W1805" s="1" t="s">
        <v>40</v>
      </c>
      <c r="Y1805" s="1" t="s">
        <v>40</v>
      </c>
      <c r="Z1805" s="1" t="n">
        <v>0</v>
      </c>
    </row>
    <row r="1806" customFormat="false" ht="15" hidden="false" customHeight="true" outlineLevel="0" collapsed="false">
      <c r="A1806" s="1" t="s">
        <v>2648</v>
      </c>
      <c r="B1806" s="1" t="s">
        <v>685</v>
      </c>
      <c r="C1806" s="1" t="s">
        <v>249</v>
      </c>
      <c r="D1806" s="1" t="s">
        <v>53</v>
      </c>
      <c r="E1806" s="1" t="s">
        <v>54</v>
      </c>
      <c r="F1806" s="1" t="s">
        <v>244</v>
      </c>
      <c r="G1806" s="1" t="s">
        <v>97</v>
      </c>
      <c r="H1806" s="1" t="s">
        <v>57</v>
      </c>
      <c r="I1806" s="1" t="s">
        <v>34</v>
      </c>
      <c r="J1806" s="1" t="s">
        <v>59</v>
      </c>
      <c r="K1806" s="1" t="s">
        <v>104</v>
      </c>
      <c r="L1806" s="1" t="s">
        <v>136</v>
      </c>
      <c r="M1806" s="1" t="s">
        <v>50</v>
      </c>
      <c r="N1806" s="1" t="n">
        <v>11999</v>
      </c>
      <c r="O1806" s="1" t="n">
        <v>40</v>
      </c>
      <c r="P1806" s="1" t="n">
        <v>4799.6</v>
      </c>
      <c r="Q1806" s="1" t="n">
        <v>7199.4</v>
      </c>
      <c r="R1806" s="1" t="n">
        <v>1295.89</v>
      </c>
      <c r="S1806" s="1" t="n">
        <v>5903.51</v>
      </c>
      <c r="T1806" s="1" t="n">
        <v>3656.73</v>
      </c>
      <c r="U1806" s="1" t="n">
        <v>2246.78</v>
      </c>
      <c r="V1806" s="1" t="n">
        <v>38.06</v>
      </c>
      <c r="W1806" s="1" t="s">
        <v>40</v>
      </c>
      <c r="Y1806" s="1" t="s">
        <v>40</v>
      </c>
      <c r="Z1806" s="1" t="n">
        <v>2</v>
      </c>
    </row>
    <row r="1807" customFormat="false" ht="15" hidden="false" customHeight="true" outlineLevel="0" collapsed="false">
      <c r="A1807" s="1" t="s">
        <v>2649</v>
      </c>
      <c r="B1807" s="1" t="s">
        <v>795</v>
      </c>
      <c r="C1807" s="1" t="s">
        <v>178</v>
      </c>
      <c r="D1807" s="1" t="s">
        <v>53</v>
      </c>
      <c r="E1807" s="1" t="s">
        <v>54</v>
      </c>
      <c r="F1807" s="1" t="s">
        <v>150</v>
      </c>
      <c r="G1807" s="1" t="s">
        <v>32</v>
      </c>
      <c r="H1807" s="1" t="s">
        <v>57</v>
      </c>
      <c r="I1807" s="1" t="s">
        <v>58</v>
      </c>
      <c r="J1807" s="1" t="s">
        <v>131</v>
      </c>
      <c r="K1807" s="1" t="s">
        <v>112</v>
      </c>
      <c r="L1807" s="1" t="s">
        <v>49</v>
      </c>
      <c r="M1807" s="1" t="s">
        <v>62</v>
      </c>
      <c r="N1807" s="1" t="n">
        <v>11999</v>
      </c>
      <c r="O1807" s="1" t="n">
        <v>0</v>
      </c>
      <c r="P1807" s="1" t="n">
        <v>0</v>
      </c>
      <c r="Q1807" s="1" t="n">
        <v>11999</v>
      </c>
      <c r="R1807" s="1" t="n">
        <v>2159.82</v>
      </c>
      <c r="S1807" s="1" t="n">
        <v>9839.18</v>
      </c>
      <c r="T1807" s="1" t="n">
        <v>4527.83</v>
      </c>
      <c r="U1807" s="1" t="n">
        <v>5311.35</v>
      </c>
      <c r="V1807" s="1" t="n">
        <v>53.98</v>
      </c>
      <c r="W1807" s="1" t="s">
        <v>39</v>
      </c>
      <c r="X1807" s="1" t="n">
        <v>3.9</v>
      </c>
      <c r="Y1807" s="1" t="s">
        <v>40</v>
      </c>
      <c r="Z1807" s="1" t="n">
        <v>1</v>
      </c>
    </row>
    <row r="1808" customFormat="false" ht="15" hidden="false" customHeight="true" outlineLevel="0" collapsed="false">
      <c r="A1808" s="1" t="s">
        <v>2650</v>
      </c>
      <c r="B1808" s="1" t="s">
        <v>885</v>
      </c>
      <c r="C1808" s="1" t="s">
        <v>100</v>
      </c>
      <c r="D1808" s="1" t="s">
        <v>80</v>
      </c>
      <c r="E1808" s="1" t="s">
        <v>193</v>
      </c>
      <c r="F1808" s="1" t="s">
        <v>120</v>
      </c>
      <c r="G1808" s="1" t="s">
        <v>47</v>
      </c>
      <c r="H1808" s="1" t="s">
        <v>57</v>
      </c>
      <c r="I1808" s="1" t="s">
        <v>83</v>
      </c>
      <c r="J1808" s="1" t="s">
        <v>35</v>
      </c>
      <c r="K1808" s="1" t="s">
        <v>84</v>
      </c>
      <c r="L1808" s="1" t="s">
        <v>136</v>
      </c>
      <c r="M1808" s="1" t="s">
        <v>38</v>
      </c>
      <c r="N1808" s="1" t="n">
        <v>8999</v>
      </c>
      <c r="O1808" s="1" t="n">
        <v>0</v>
      </c>
      <c r="P1808" s="1" t="n">
        <v>0</v>
      </c>
      <c r="Q1808" s="1" t="n">
        <v>8999</v>
      </c>
      <c r="R1808" s="1" t="n">
        <v>1619.82</v>
      </c>
      <c r="S1808" s="1" t="n">
        <v>7379.18</v>
      </c>
      <c r="T1808" s="1" t="n">
        <v>2390.01</v>
      </c>
      <c r="U1808" s="1" t="n">
        <v>4989.17</v>
      </c>
      <c r="V1808" s="1" t="n">
        <v>67.61</v>
      </c>
      <c r="W1808" s="1" t="s">
        <v>40</v>
      </c>
      <c r="Y1808" s="1" t="s">
        <v>40</v>
      </c>
      <c r="Z1808" s="1" t="n">
        <v>0</v>
      </c>
    </row>
    <row r="1809" customFormat="false" ht="15" hidden="false" customHeight="true" outlineLevel="0" collapsed="false">
      <c r="A1809" s="1" t="s">
        <v>2651</v>
      </c>
      <c r="B1809" s="1" t="s">
        <v>290</v>
      </c>
      <c r="C1809" s="1" t="s">
        <v>65</v>
      </c>
      <c r="D1809" s="1" t="s">
        <v>123</v>
      </c>
      <c r="E1809" s="1" t="s">
        <v>124</v>
      </c>
      <c r="F1809" s="1" t="s">
        <v>130</v>
      </c>
      <c r="G1809" s="1" t="s">
        <v>47</v>
      </c>
      <c r="H1809" s="1" t="s">
        <v>69</v>
      </c>
      <c r="I1809" s="1" t="s">
        <v>34</v>
      </c>
      <c r="J1809" s="1" t="s">
        <v>131</v>
      </c>
      <c r="K1809" s="1" t="s">
        <v>104</v>
      </c>
      <c r="L1809" s="1" t="s">
        <v>113</v>
      </c>
      <c r="M1809" s="1" t="s">
        <v>62</v>
      </c>
      <c r="N1809" s="1" t="n">
        <v>4999</v>
      </c>
      <c r="O1809" s="1" t="n">
        <v>10</v>
      </c>
      <c r="P1809" s="1" t="n">
        <v>499.9</v>
      </c>
      <c r="Q1809" s="1" t="n">
        <v>4499.1</v>
      </c>
      <c r="R1809" s="1" t="n">
        <v>809.84</v>
      </c>
      <c r="S1809" s="1" t="n">
        <v>3689.26</v>
      </c>
      <c r="T1809" s="1" t="n">
        <v>1536.38</v>
      </c>
      <c r="U1809" s="1" t="n">
        <v>2152.88</v>
      </c>
      <c r="V1809" s="1" t="n">
        <v>58.36</v>
      </c>
      <c r="W1809" s="1" t="s">
        <v>39</v>
      </c>
      <c r="X1809" s="1" t="n">
        <v>3.8</v>
      </c>
      <c r="Y1809" s="1" t="s">
        <v>40</v>
      </c>
      <c r="Z1809" s="1" t="n">
        <v>0</v>
      </c>
    </row>
    <row r="1810" customFormat="false" ht="15" hidden="false" customHeight="true" outlineLevel="0" collapsed="false">
      <c r="A1810" s="1" t="s">
        <v>2652</v>
      </c>
      <c r="B1810" s="1" t="s">
        <v>766</v>
      </c>
      <c r="C1810" s="1" t="s">
        <v>128</v>
      </c>
      <c r="D1810" s="1" t="s">
        <v>123</v>
      </c>
      <c r="E1810" s="1" t="s">
        <v>233</v>
      </c>
      <c r="F1810" s="1" t="s">
        <v>184</v>
      </c>
      <c r="G1810" s="1" t="s">
        <v>56</v>
      </c>
      <c r="H1810" s="1" t="s">
        <v>57</v>
      </c>
      <c r="I1810" s="1" t="s">
        <v>34</v>
      </c>
      <c r="J1810" s="1" t="s">
        <v>131</v>
      </c>
      <c r="K1810" s="1" t="s">
        <v>36</v>
      </c>
      <c r="L1810" s="1" t="s">
        <v>61</v>
      </c>
      <c r="M1810" s="1" t="s">
        <v>50</v>
      </c>
      <c r="N1810" s="1" t="n">
        <v>8999</v>
      </c>
      <c r="O1810" s="1" t="n">
        <v>50</v>
      </c>
      <c r="P1810" s="1" t="n">
        <v>4499.5</v>
      </c>
      <c r="Q1810" s="1" t="n">
        <v>4499.5</v>
      </c>
      <c r="R1810" s="1" t="n">
        <v>809.91</v>
      </c>
      <c r="S1810" s="1" t="n">
        <v>3689.59</v>
      </c>
      <c r="T1810" s="1" t="n">
        <v>2249.93</v>
      </c>
      <c r="U1810" s="1" t="n">
        <v>1439.66</v>
      </c>
      <c r="V1810" s="1" t="n">
        <v>39.02</v>
      </c>
      <c r="W1810" s="1" t="s">
        <v>40</v>
      </c>
      <c r="Y1810" s="1" t="s">
        <v>40</v>
      </c>
      <c r="Z1810" s="1" t="n">
        <v>0</v>
      </c>
    </row>
    <row r="1811" customFormat="false" ht="15" hidden="false" customHeight="true" outlineLevel="0" collapsed="false">
      <c r="A1811" s="1" t="s">
        <v>2653</v>
      </c>
      <c r="B1811" s="1" t="s">
        <v>413</v>
      </c>
      <c r="C1811" s="1" t="s">
        <v>88</v>
      </c>
      <c r="D1811" s="1" t="s">
        <v>44</v>
      </c>
      <c r="E1811" s="1" t="s">
        <v>45</v>
      </c>
      <c r="F1811" s="1" t="s">
        <v>89</v>
      </c>
      <c r="G1811" s="1" t="s">
        <v>68</v>
      </c>
      <c r="H1811" s="1" t="s">
        <v>33</v>
      </c>
      <c r="I1811" s="1" t="s">
        <v>83</v>
      </c>
      <c r="J1811" s="1" t="s">
        <v>131</v>
      </c>
      <c r="K1811" s="1" t="s">
        <v>36</v>
      </c>
      <c r="L1811" s="1" t="s">
        <v>61</v>
      </c>
      <c r="M1811" s="1" t="s">
        <v>50</v>
      </c>
      <c r="N1811" s="1" t="n">
        <v>11999</v>
      </c>
      <c r="O1811" s="1" t="n">
        <v>10</v>
      </c>
      <c r="P1811" s="1" t="n">
        <v>1199.9</v>
      </c>
      <c r="Q1811" s="1" t="n">
        <v>10799.1</v>
      </c>
      <c r="R1811" s="1" t="n">
        <v>1943.84</v>
      </c>
      <c r="S1811" s="1" t="n">
        <v>8855.26</v>
      </c>
      <c r="T1811" s="1" t="n">
        <v>4114.83</v>
      </c>
      <c r="U1811" s="1" t="n">
        <v>4740.43</v>
      </c>
      <c r="V1811" s="1" t="n">
        <v>53.53</v>
      </c>
      <c r="W1811" s="1" t="s">
        <v>39</v>
      </c>
      <c r="X1811" s="1" t="n">
        <v>3.5</v>
      </c>
      <c r="Y1811" s="1" t="s">
        <v>40</v>
      </c>
      <c r="Z1811" s="1" t="n">
        <v>0</v>
      </c>
    </row>
    <row r="1812" customFormat="false" ht="15" hidden="false" customHeight="true" outlineLevel="0" collapsed="false">
      <c r="A1812" s="1" t="s">
        <v>2654</v>
      </c>
      <c r="B1812" s="1" t="s">
        <v>1148</v>
      </c>
      <c r="C1812" s="1" t="s">
        <v>88</v>
      </c>
      <c r="D1812" s="1" t="s">
        <v>80</v>
      </c>
      <c r="E1812" s="1" t="s">
        <v>175</v>
      </c>
      <c r="F1812" s="1" t="s">
        <v>89</v>
      </c>
      <c r="G1812" s="1" t="s">
        <v>68</v>
      </c>
      <c r="H1812" s="1" t="s">
        <v>33</v>
      </c>
      <c r="I1812" s="1" t="s">
        <v>83</v>
      </c>
      <c r="J1812" s="1" t="s">
        <v>131</v>
      </c>
      <c r="K1812" s="1" t="s">
        <v>48</v>
      </c>
      <c r="L1812" s="1" t="s">
        <v>37</v>
      </c>
      <c r="M1812" s="1" t="s">
        <v>62</v>
      </c>
      <c r="N1812" s="1" t="n">
        <v>19999</v>
      </c>
      <c r="O1812" s="1" t="n">
        <v>0</v>
      </c>
      <c r="P1812" s="1" t="n">
        <v>0</v>
      </c>
      <c r="Q1812" s="1" t="n">
        <v>19999</v>
      </c>
      <c r="R1812" s="1" t="n">
        <v>3599.82</v>
      </c>
      <c r="S1812" s="1" t="n">
        <v>16399.18</v>
      </c>
      <c r="T1812" s="1" t="n">
        <v>7787.05</v>
      </c>
      <c r="U1812" s="1" t="n">
        <v>8612.13</v>
      </c>
      <c r="V1812" s="1" t="n">
        <v>52.52</v>
      </c>
      <c r="W1812" s="1" t="s">
        <v>40</v>
      </c>
      <c r="Y1812" s="1" t="s">
        <v>40</v>
      </c>
      <c r="Z1812" s="1" t="n">
        <v>0</v>
      </c>
    </row>
    <row r="1813" customFormat="false" ht="15" hidden="false" customHeight="true" outlineLevel="0" collapsed="false">
      <c r="A1813" s="1" t="s">
        <v>2655</v>
      </c>
      <c r="B1813" s="1" t="s">
        <v>1845</v>
      </c>
      <c r="C1813" s="1" t="s">
        <v>204</v>
      </c>
      <c r="D1813" s="1" t="s">
        <v>29</v>
      </c>
      <c r="E1813" s="1" t="s">
        <v>30</v>
      </c>
      <c r="F1813" s="1" t="s">
        <v>205</v>
      </c>
      <c r="G1813" s="1" t="s">
        <v>56</v>
      </c>
      <c r="H1813" s="1" t="s">
        <v>69</v>
      </c>
      <c r="I1813" s="1" t="s">
        <v>58</v>
      </c>
      <c r="J1813" s="1" t="s">
        <v>35</v>
      </c>
      <c r="K1813" s="1" t="s">
        <v>71</v>
      </c>
      <c r="L1813" s="1" t="s">
        <v>136</v>
      </c>
      <c r="M1813" s="1" t="s">
        <v>50</v>
      </c>
      <c r="N1813" s="1" t="n">
        <v>7999</v>
      </c>
      <c r="O1813" s="1" t="n">
        <v>40</v>
      </c>
      <c r="P1813" s="1" t="n">
        <v>3199.6</v>
      </c>
      <c r="Q1813" s="1" t="n">
        <v>4799.4</v>
      </c>
      <c r="R1813" s="1" t="n">
        <v>863.89</v>
      </c>
      <c r="S1813" s="1" t="n">
        <v>3935.51</v>
      </c>
      <c r="T1813" s="1" t="n">
        <v>1994.46</v>
      </c>
      <c r="U1813" s="1" t="n">
        <v>1941.05</v>
      </c>
      <c r="V1813" s="1" t="n">
        <v>49.32</v>
      </c>
      <c r="W1813" s="1" t="s">
        <v>40</v>
      </c>
      <c r="Y1813" s="1" t="s">
        <v>40</v>
      </c>
      <c r="Z1813" s="1" t="n">
        <v>0</v>
      </c>
    </row>
    <row r="1814" customFormat="false" ht="15" hidden="false" customHeight="true" outlineLevel="0" collapsed="false">
      <c r="A1814" s="1" t="s">
        <v>2656</v>
      </c>
      <c r="B1814" s="1" t="s">
        <v>2657</v>
      </c>
      <c r="C1814" s="1" t="s">
        <v>88</v>
      </c>
      <c r="D1814" s="1" t="s">
        <v>29</v>
      </c>
      <c r="E1814" s="1" t="s">
        <v>182</v>
      </c>
      <c r="F1814" s="1" t="s">
        <v>67</v>
      </c>
      <c r="G1814" s="1" t="s">
        <v>68</v>
      </c>
      <c r="H1814" s="1" t="s">
        <v>69</v>
      </c>
      <c r="I1814" s="1" t="s">
        <v>34</v>
      </c>
      <c r="J1814" s="1" t="s">
        <v>131</v>
      </c>
      <c r="K1814" s="1" t="s">
        <v>48</v>
      </c>
      <c r="L1814" s="1" t="s">
        <v>85</v>
      </c>
      <c r="M1814" s="1" t="s">
        <v>38</v>
      </c>
      <c r="N1814" s="1" t="n">
        <v>34999</v>
      </c>
      <c r="O1814" s="1" t="n">
        <v>15</v>
      </c>
      <c r="P1814" s="1" t="n">
        <v>5249.85</v>
      </c>
      <c r="Q1814" s="1" t="n">
        <v>29749.15</v>
      </c>
      <c r="R1814" s="1" t="n">
        <v>5354.85</v>
      </c>
      <c r="S1814" s="1" t="n">
        <v>24394.3</v>
      </c>
      <c r="T1814" s="1" t="n">
        <v>8692.88</v>
      </c>
      <c r="U1814" s="1" t="n">
        <v>15701.42</v>
      </c>
      <c r="V1814" s="1" t="n">
        <v>64.37</v>
      </c>
      <c r="W1814" s="1" t="s">
        <v>39</v>
      </c>
      <c r="X1814" s="1" t="n">
        <v>4.5</v>
      </c>
      <c r="Y1814" s="1" t="s">
        <v>40</v>
      </c>
      <c r="Z1814" s="1" t="n">
        <v>0</v>
      </c>
    </row>
    <row r="1815" customFormat="false" ht="15" hidden="false" customHeight="true" outlineLevel="0" collapsed="false">
      <c r="A1815" s="1" t="s">
        <v>2658</v>
      </c>
      <c r="B1815" s="1" t="s">
        <v>717</v>
      </c>
      <c r="C1815" s="1" t="s">
        <v>167</v>
      </c>
      <c r="D1815" s="1" t="s">
        <v>168</v>
      </c>
      <c r="E1815" s="1" t="s">
        <v>197</v>
      </c>
      <c r="F1815" s="1" t="s">
        <v>67</v>
      </c>
      <c r="G1815" s="1" t="s">
        <v>68</v>
      </c>
      <c r="H1815" s="1" t="s">
        <v>69</v>
      </c>
      <c r="I1815" s="1" t="s">
        <v>83</v>
      </c>
      <c r="J1815" s="1" t="s">
        <v>131</v>
      </c>
      <c r="K1815" s="1" t="s">
        <v>104</v>
      </c>
      <c r="L1815" s="1" t="s">
        <v>49</v>
      </c>
      <c r="M1815" s="1" t="s">
        <v>62</v>
      </c>
      <c r="N1815" s="1" t="n">
        <v>8499</v>
      </c>
      <c r="O1815" s="1" t="n">
        <v>40</v>
      </c>
      <c r="P1815" s="1" t="n">
        <v>3399.6</v>
      </c>
      <c r="Q1815" s="1" t="n">
        <v>5099.4</v>
      </c>
      <c r="R1815" s="1" t="n">
        <v>917.89</v>
      </c>
      <c r="S1815" s="1" t="n">
        <v>4181.51</v>
      </c>
      <c r="T1815" s="1" t="n">
        <v>2124.48</v>
      </c>
      <c r="U1815" s="1" t="n">
        <v>2057.03</v>
      </c>
      <c r="V1815" s="1" t="n">
        <v>49.19</v>
      </c>
      <c r="W1815" s="1" t="s">
        <v>40</v>
      </c>
      <c r="Y1815" s="1" t="s">
        <v>40</v>
      </c>
      <c r="Z1815" s="1" t="n">
        <v>1</v>
      </c>
    </row>
    <row r="1816" customFormat="false" ht="15" hidden="false" customHeight="true" outlineLevel="0" collapsed="false">
      <c r="A1816" s="1" t="s">
        <v>2659</v>
      </c>
      <c r="B1816" s="1" t="s">
        <v>1196</v>
      </c>
      <c r="C1816" s="1" t="s">
        <v>128</v>
      </c>
      <c r="D1816" s="1" t="s">
        <v>123</v>
      </c>
      <c r="E1816" s="1" t="s">
        <v>233</v>
      </c>
      <c r="F1816" s="1" t="s">
        <v>55</v>
      </c>
      <c r="G1816" s="1" t="s">
        <v>56</v>
      </c>
      <c r="H1816" s="1" t="s">
        <v>57</v>
      </c>
      <c r="I1816" s="1" t="s">
        <v>83</v>
      </c>
      <c r="J1816" s="1" t="s">
        <v>77</v>
      </c>
      <c r="K1816" s="1" t="s">
        <v>48</v>
      </c>
      <c r="L1816" s="1" t="s">
        <v>136</v>
      </c>
      <c r="M1816" s="1" t="s">
        <v>38</v>
      </c>
      <c r="N1816" s="1" t="n">
        <v>8999</v>
      </c>
      <c r="O1816" s="1" t="n">
        <v>10</v>
      </c>
      <c r="P1816" s="1" t="n">
        <v>899.9</v>
      </c>
      <c r="Q1816" s="1" t="n">
        <v>8099.1</v>
      </c>
      <c r="R1816" s="1" t="n">
        <v>1457.84</v>
      </c>
      <c r="S1816" s="1" t="n">
        <v>6641.26</v>
      </c>
      <c r="T1816" s="1" t="n">
        <v>3392.81</v>
      </c>
      <c r="U1816" s="1" t="n">
        <v>3248.45</v>
      </c>
      <c r="V1816" s="1" t="n">
        <v>48.91</v>
      </c>
      <c r="W1816" s="1" t="s">
        <v>39</v>
      </c>
      <c r="X1816" s="1" t="n">
        <v>3.6</v>
      </c>
      <c r="Y1816" s="1" t="s">
        <v>39</v>
      </c>
      <c r="Z1816" s="1" t="n">
        <v>0</v>
      </c>
    </row>
    <row r="1817" customFormat="false" ht="15" hidden="false" customHeight="true" outlineLevel="0" collapsed="false">
      <c r="A1817" s="1" t="s">
        <v>2660</v>
      </c>
      <c r="B1817" s="1" t="s">
        <v>849</v>
      </c>
      <c r="C1817" s="1" t="s">
        <v>43</v>
      </c>
      <c r="D1817" s="1" t="s">
        <v>29</v>
      </c>
      <c r="E1817" s="1" t="s">
        <v>305</v>
      </c>
      <c r="F1817" s="1" t="s">
        <v>67</v>
      </c>
      <c r="G1817" s="1" t="s">
        <v>68</v>
      </c>
      <c r="H1817" s="1" t="s">
        <v>69</v>
      </c>
      <c r="I1817" s="1" t="s">
        <v>83</v>
      </c>
      <c r="J1817" s="1" t="s">
        <v>59</v>
      </c>
      <c r="K1817" s="1" t="s">
        <v>48</v>
      </c>
      <c r="L1817" s="1" t="s">
        <v>136</v>
      </c>
      <c r="M1817" s="1" t="s">
        <v>50</v>
      </c>
      <c r="N1817" s="1" t="n">
        <v>24999</v>
      </c>
      <c r="O1817" s="1" t="n">
        <v>5</v>
      </c>
      <c r="P1817" s="1" t="n">
        <v>1249.95</v>
      </c>
      <c r="Q1817" s="1" t="n">
        <v>23749.05</v>
      </c>
      <c r="R1817" s="1" t="n">
        <v>4274.83</v>
      </c>
      <c r="S1817" s="1" t="n">
        <v>19474.22</v>
      </c>
      <c r="T1817" s="1" t="n">
        <v>8309.28</v>
      </c>
      <c r="U1817" s="1" t="n">
        <v>11164.94</v>
      </c>
      <c r="V1817" s="1" t="n">
        <v>57.33</v>
      </c>
      <c r="W1817" s="1" t="s">
        <v>39</v>
      </c>
      <c r="X1817" s="1" t="n">
        <v>3.5</v>
      </c>
      <c r="Y1817" s="1" t="s">
        <v>40</v>
      </c>
      <c r="Z1817" s="1" t="n">
        <v>1</v>
      </c>
    </row>
    <row r="1818" customFormat="false" ht="15" hidden="false" customHeight="true" outlineLevel="0" collapsed="false">
      <c r="A1818" s="1" t="s">
        <v>2661</v>
      </c>
      <c r="B1818" s="1" t="s">
        <v>1719</v>
      </c>
      <c r="C1818" s="1" t="s">
        <v>100</v>
      </c>
      <c r="D1818" s="1" t="s">
        <v>123</v>
      </c>
      <c r="E1818" s="1" t="s">
        <v>147</v>
      </c>
      <c r="F1818" s="1" t="s">
        <v>55</v>
      </c>
      <c r="G1818" s="1" t="s">
        <v>56</v>
      </c>
      <c r="H1818" s="1" t="s">
        <v>57</v>
      </c>
      <c r="I1818" s="1" t="s">
        <v>58</v>
      </c>
      <c r="J1818" s="1" t="s">
        <v>77</v>
      </c>
      <c r="K1818" s="1" t="s">
        <v>84</v>
      </c>
      <c r="L1818" s="1" t="s">
        <v>113</v>
      </c>
      <c r="M1818" s="1" t="s">
        <v>38</v>
      </c>
      <c r="N1818" s="1" t="n">
        <v>6999</v>
      </c>
      <c r="O1818" s="1" t="n">
        <v>0</v>
      </c>
      <c r="P1818" s="1" t="n">
        <v>0</v>
      </c>
      <c r="Q1818" s="1" t="n">
        <v>6999</v>
      </c>
      <c r="R1818" s="1" t="n">
        <v>1259.82</v>
      </c>
      <c r="S1818" s="1" t="n">
        <v>5739.18</v>
      </c>
      <c r="T1818" s="1" t="n">
        <v>2285.99</v>
      </c>
      <c r="U1818" s="1" t="n">
        <v>3453.19</v>
      </c>
      <c r="V1818" s="1" t="n">
        <v>60.17</v>
      </c>
      <c r="W1818" s="1" t="s">
        <v>40</v>
      </c>
      <c r="Y1818" s="1" t="s">
        <v>40</v>
      </c>
      <c r="Z1818" s="1" t="n">
        <v>1</v>
      </c>
    </row>
    <row r="1819" customFormat="false" ht="15" hidden="false" customHeight="true" outlineLevel="0" collapsed="false">
      <c r="A1819" s="1" t="s">
        <v>2662</v>
      </c>
      <c r="B1819" s="1" t="s">
        <v>2033</v>
      </c>
      <c r="C1819" s="1" t="s">
        <v>28</v>
      </c>
      <c r="D1819" s="1" t="s">
        <v>143</v>
      </c>
      <c r="E1819" s="1" t="s">
        <v>243</v>
      </c>
      <c r="F1819" s="1" t="s">
        <v>31</v>
      </c>
      <c r="G1819" s="1" t="s">
        <v>32</v>
      </c>
      <c r="H1819" s="1" t="s">
        <v>33</v>
      </c>
      <c r="I1819" s="1" t="s">
        <v>58</v>
      </c>
      <c r="J1819" s="1" t="s">
        <v>77</v>
      </c>
      <c r="K1819" s="1" t="s">
        <v>84</v>
      </c>
      <c r="L1819" s="1" t="s">
        <v>37</v>
      </c>
      <c r="M1819" s="1" t="s">
        <v>38</v>
      </c>
      <c r="N1819" s="1" t="n">
        <v>22999</v>
      </c>
      <c r="O1819" s="1" t="n">
        <v>0</v>
      </c>
      <c r="P1819" s="1" t="n">
        <v>0</v>
      </c>
      <c r="Q1819" s="1" t="n">
        <v>22999</v>
      </c>
      <c r="R1819" s="1" t="n">
        <v>4139.82</v>
      </c>
      <c r="S1819" s="1" t="n">
        <v>18859.18</v>
      </c>
      <c r="T1819" s="1" t="n">
        <v>8787.93</v>
      </c>
      <c r="U1819" s="1" t="n">
        <v>10071.25</v>
      </c>
      <c r="V1819" s="1" t="n">
        <v>53.4</v>
      </c>
      <c r="W1819" s="1" t="s">
        <v>39</v>
      </c>
      <c r="X1819" s="1" t="n">
        <v>3.8</v>
      </c>
      <c r="Y1819" s="1" t="s">
        <v>40</v>
      </c>
      <c r="Z1819" s="1" t="n">
        <v>0</v>
      </c>
    </row>
    <row r="1820" customFormat="false" ht="15" hidden="false" customHeight="true" outlineLevel="0" collapsed="false">
      <c r="A1820" s="1" t="s">
        <v>2663</v>
      </c>
      <c r="B1820" s="1" t="s">
        <v>232</v>
      </c>
      <c r="C1820" s="1" t="s">
        <v>128</v>
      </c>
      <c r="D1820" s="1" t="s">
        <v>94</v>
      </c>
      <c r="E1820" s="1" t="s">
        <v>135</v>
      </c>
      <c r="F1820" s="1" t="s">
        <v>244</v>
      </c>
      <c r="G1820" s="1" t="s">
        <v>97</v>
      </c>
      <c r="H1820" s="1" t="s">
        <v>57</v>
      </c>
      <c r="I1820" s="1" t="s">
        <v>58</v>
      </c>
      <c r="J1820" s="1" t="s">
        <v>59</v>
      </c>
      <c r="K1820" s="1" t="s">
        <v>84</v>
      </c>
      <c r="L1820" s="1" t="s">
        <v>49</v>
      </c>
      <c r="M1820" s="1" t="s">
        <v>50</v>
      </c>
      <c r="N1820" s="1" t="n">
        <v>9999</v>
      </c>
      <c r="O1820" s="1" t="n">
        <v>30</v>
      </c>
      <c r="P1820" s="1" t="n">
        <v>2999.7</v>
      </c>
      <c r="Q1820" s="1" t="n">
        <v>6999.3</v>
      </c>
      <c r="R1820" s="1" t="n">
        <v>1259.87</v>
      </c>
      <c r="S1820" s="1" t="n">
        <v>5739.43</v>
      </c>
      <c r="T1820" s="1" t="n">
        <v>2985.92</v>
      </c>
      <c r="U1820" s="1" t="n">
        <v>2753.51</v>
      </c>
      <c r="V1820" s="1" t="n">
        <v>47.98</v>
      </c>
      <c r="W1820" s="1" t="s">
        <v>40</v>
      </c>
      <c r="Y1820" s="1" t="s">
        <v>40</v>
      </c>
      <c r="Z1820" s="1" t="n">
        <v>0</v>
      </c>
    </row>
    <row r="1821" customFormat="false" ht="15" hidden="false" customHeight="true" outlineLevel="0" collapsed="false">
      <c r="A1821" s="1" t="s">
        <v>2664</v>
      </c>
      <c r="B1821" s="1" t="s">
        <v>1721</v>
      </c>
      <c r="C1821" s="1" t="s">
        <v>93</v>
      </c>
      <c r="D1821" s="1" t="s">
        <v>53</v>
      </c>
      <c r="E1821" s="1" t="s">
        <v>116</v>
      </c>
      <c r="F1821" s="1" t="s">
        <v>125</v>
      </c>
      <c r="G1821" s="1" t="s">
        <v>108</v>
      </c>
      <c r="H1821" s="1" t="s">
        <v>69</v>
      </c>
      <c r="I1821" s="1" t="s">
        <v>34</v>
      </c>
      <c r="J1821" s="1" t="s">
        <v>59</v>
      </c>
      <c r="K1821" s="1" t="s">
        <v>48</v>
      </c>
      <c r="L1821" s="1" t="s">
        <v>136</v>
      </c>
      <c r="M1821" s="1" t="s">
        <v>62</v>
      </c>
      <c r="N1821" s="1" t="n">
        <v>9999</v>
      </c>
      <c r="O1821" s="1" t="n">
        <v>25</v>
      </c>
      <c r="P1821" s="1" t="n">
        <v>2499.75</v>
      </c>
      <c r="Q1821" s="1" t="n">
        <v>7499.25</v>
      </c>
      <c r="R1821" s="1" t="n">
        <v>1349.87</v>
      </c>
      <c r="S1821" s="1" t="n">
        <v>6149.38</v>
      </c>
      <c r="T1821" s="1" t="n">
        <v>2693.13</v>
      </c>
      <c r="U1821" s="1" t="n">
        <v>3456.25</v>
      </c>
      <c r="V1821" s="1" t="n">
        <v>56.2</v>
      </c>
      <c r="W1821" s="1" t="s">
        <v>39</v>
      </c>
      <c r="X1821" s="1" t="n">
        <v>4.2</v>
      </c>
      <c r="Y1821" s="1" t="s">
        <v>40</v>
      </c>
      <c r="Z1821" s="1" t="n">
        <v>0</v>
      </c>
    </row>
    <row r="1822" customFormat="false" ht="15" hidden="false" customHeight="true" outlineLevel="0" collapsed="false">
      <c r="A1822" s="1" t="s">
        <v>2665</v>
      </c>
      <c r="B1822" s="1" t="s">
        <v>2179</v>
      </c>
      <c r="C1822" s="1" t="s">
        <v>178</v>
      </c>
      <c r="D1822" s="1" t="s">
        <v>53</v>
      </c>
      <c r="E1822" s="1" t="s">
        <v>116</v>
      </c>
      <c r="F1822" s="1" t="s">
        <v>156</v>
      </c>
      <c r="G1822" s="1" t="s">
        <v>68</v>
      </c>
      <c r="H1822" s="1" t="s">
        <v>57</v>
      </c>
      <c r="I1822" s="1" t="s">
        <v>34</v>
      </c>
      <c r="J1822" s="1" t="s">
        <v>59</v>
      </c>
      <c r="K1822" s="1" t="s">
        <v>36</v>
      </c>
      <c r="L1822" s="1" t="s">
        <v>85</v>
      </c>
      <c r="M1822" s="1" t="s">
        <v>50</v>
      </c>
      <c r="N1822" s="1" t="n">
        <v>9999</v>
      </c>
      <c r="O1822" s="1" t="n">
        <v>25</v>
      </c>
      <c r="P1822" s="1" t="n">
        <v>2499.75</v>
      </c>
      <c r="Q1822" s="1" t="n">
        <v>7499.25</v>
      </c>
      <c r="R1822" s="1" t="n">
        <v>1349.87</v>
      </c>
      <c r="S1822" s="1" t="n">
        <v>6149.38</v>
      </c>
      <c r="T1822" s="1" t="n">
        <v>2313.25</v>
      </c>
      <c r="U1822" s="1" t="n">
        <v>3836.13</v>
      </c>
      <c r="V1822" s="1" t="n">
        <v>62.38</v>
      </c>
      <c r="W1822" s="1" t="s">
        <v>39</v>
      </c>
      <c r="X1822" s="1" t="n">
        <v>4.1</v>
      </c>
      <c r="Y1822" s="1" t="s">
        <v>40</v>
      </c>
      <c r="Z1822" s="1" t="n">
        <v>0</v>
      </c>
    </row>
    <row r="1823" customFormat="false" ht="15" hidden="false" customHeight="true" outlineLevel="0" collapsed="false">
      <c r="A1823" s="1" t="s">
        <v>2666</v>
      </c>
      <c r="B1823" s="1" t="s">
        <v>508</v>
      </c>
      <c r="C1823" s="1" t="s">
        <v>167</v>
      </c>
      <c r="D1823" s="1" t="s">
        <v>168</v>
      </c>
      <c r="E1823" s="1" t="s">
        <v>169</v>
      </c>
      <c r="F1823" s="1" t="s">
        <v>89</v>
      </c>
      <c r="G1823" s="1" t="s">
        <v>68</v>
      </c>
      <c r="H1823" s="1" t="s">
        <v>33</v>
      </c>
      <c r="I1823" s="1" t="s">
        <v>34</v>
      </c>
      <c r="J1823" s="1" t="s">
        <v>70</v>
      </c>
      <c r="K1823" s="1" t="s">
        <v>60</v>
      </c>
      <c r="L1823" s="1" t="s">
        <v>61</v>
      </c>
      <c r="M1823" s="1" t="s">
        <v>62</v>
      </c>
      <c r="N1823" s="1" t="n">
        <v>4999</v>
      </c>
      <c r="O1823" s="1" t="n">
        <v>40</v>
      </c>
      <c r="P1823" s="1" t="n">
        <v>1999.6</v>
      </c>
      <c r="Q1823" s="1" t="n">
        <v>2999.4</v>
      </c>
      <c r="R1823" s="1" t="n">
        <v>539.89</v>
      </c>
      <c r="S1823" s="1" t="n">
        <v>2459.51</v>
      </c>
      <c r="T1823" s="1" t="n">
        <v>1244.28</v>
      </c>
      <c r="U1823" s="1" t="n">
        <v>1215.23</v>
      </c>
      <c r="V1823" s="1" t="n">
        <v>49.41</v>
      </c>
      <c r="W1823" s="1" t="s">
        <v>40</v>
      </c>
      <c r="Y1823" s="1" t="s">
        <v>40</v>
      </c>
      <c r="Z1823" s="1" t="n">
        <v>2</v>
      </c>
    </row>
    <row r="1824" customFormat="false" ht="15" hidden="false" customHeight="true" outlineLevel="0" collapsed="false">
      <c r="A1824" s="1" t="s">
        <v>2667</v>
      </c>
      <c r="B1824" s="1" t="s">
        <v>2509</v>
      </c>
      <c r="C1824" s="1" t="s">
        <v>167</v>
      </c>
      <c r="D1824" s="1" t="s">
        <v>80</v>
      </c>
      <c r="E1824" s="1" t="s">
        <v>193</v>
      </c>
      <c r="F1824" s="1" t="s">
        <v>187</v>
      </c>
      <c r="G1824" s="1" t="s">
        <v>97</v>
      </c>
      <c r="H1824" s="1" t="s">
        <v>69</v>
      </c>
      <c r="I1824" s="1" t="s">
        <v>83</v>
      </c>
      <c r="J1824" s="1" t="s">
        <v>77</v>
      </c>
      <c r="K1824" s="1" t="s">
        <v>48</v>
      </c>
      <c r="L1824" s="1" t="s">
        <v>85</v>
      </c>
      <c r="M1824" s="1" t="s">
        <v>38</v>
      </c>
      <c r="N1824" s="1" t="n">
        <v>8999</v>
      </c>
      <c r="O1824" s="1" t="n">
        <v>40</v>
      </c>
      <c r="P1824" s="1" t="n">
        <v>3599.6</v>
      </c>
      <c r="Q1824" s="1" t="n">
        <v>5399.4</v>
      </c>
      <c r="R1824" s="1" t="n">
        <v>971.89</v>
      </c>
      <c r="S1824" s="1" t="n">
        <v>4427.51</v>
      </c>
      <c r="T1824" s="1" t="n">
        <v>2110.43</v>
      </c>
      <c r="U1824" s="1" t="n">
        <v>2317.08</v>
      </c>
      <c r="V1824" s="1" t="n">
        <v>52.33</v>
      </c>
      <c r="W1824" s="1" t="s">
        <v>39</v>
      </c>
      <c r="X1824" s="1" t="n">
        <v>3.6</v>
      </c>
      <c r="Y1824" s="1" t="s">
        <v>40</v>
      </c>
      <c r="Z1824" s="1" t="n">
        <v>0</v>
      </c>
    </row>
    <row r="1825" customFormat="false" ht="15" hidden="false" customHeight="true" outlineLevel="0" collapsed="false">
      <c r="A1825" s="1" t="s">
        <v>2668</v>
      </c>
      <c r="B1825" s="1" t="s">
        <v>450</v>
      </c>
      <c r="C1825" s="1" t="s">
        <v>167</v>
      </c>
      <c r="D1825" s="1" t="s">
        <v>94</v>
      </c>
      <c r="E1825" s="1" t="s">
        <v>135</v>
      </c>
      <c r="F1825" s="1" t="s">
        <v>125</v>
      </c>
      <c r="G1825" s="1" t="s">
        <v>108</v>
      </c>
      <c r="H1825" s="1" t="s">
        <v>69</v>
      </c>
      <c r="I1825" s="1" t="s">
        <v>34</v>
      </c>
      <c r="J1825" s="1" t="s">
        <v>59</v>
      </c>
      <c r="K1825" s="1" t="s">
        <v>104</v>
      </c>
      <c r="L1825" s="1" t="s">
        <v>61</v>
      </c>
      <c r="M1825" s="1" t="s">
        <v>50</v>
      </c>
      <c r="N1825" s="1" t="n">
        <v>9999</v>
      </c>
      <c r="O1825" s="1" t="n">
        <v>30</v>
      </c>
      <c r="P1825" s="1" t="n">
        <v>2999.7</v>
      </c>
      <c r="Q1825" s="1" t="n">
        <v>6999.3</v>
      </c>
      <c r="R1825" s="1" t="n">
        <v>1259.87</v>
      </c>
      <c r="S1825" s="1" t="n">
        <v>5739.43</v>
      </c>
      <c r="T1825" s="1" t="n">
        <v>2773.22</v>
      </c>
      <c r="U1825" s="1" t="n">
        <v>2966.21</v>
      </c>
      <c r="V1825" s="1" t="n">
        <v>51.68</v>
      </c>
      <c r="W1825" s="1" t="s">
        <v>39</v>
      </c>
      <c r="X1825" s="1" t="n">
        <v>4</v>
      </c>
      <c r="Y1825" s="1" t="s">
        <v>40</v>
      </c>
      <c r="Z1825" s="1" t="n">
        <v>0</v>
      </c>
    </row>
    <row r="1826" customFormat="false" ht="15" hidden="false" customHeight="true" outlineLevel="0" collapsed="false">
      <c r="A1826" s="1" t="s">
        <v>2669</v>
      </c>
      <c r="B1826" s="1" t="s">
        <v>2670</v>
      </c>
      <c r="C1826" s="1" t="s">
        <v>119</v>
      </c>
      <c r="D1826" s="1" t="s">
        <v>94</v>
      </c>
      <c r="E1826" s="1" t="s">
        <v>101</v>
      </c>
      <c r="F1826" s="1" t="s">
        <v>383</v>
      </c>
      <c r="G1826" s="1" t="s">
        <v>56</v>
      </c>
      <c r="H1826" s="1" t="s">
        <v>57</v>
      </c>
      <c r="I1826" s="1" t="s">
        <v>58</v>
      </c>
      <c r="J1826" s="1" t="s">
        <v>131</v>
      </c>
      <c r="K1826" s="1" t="s">
        <v>60</v>
      </c>
      <c r="L1826" s="1" t="s">
        <v>136</v>
      </c>
      <c r="M1826" s="1" t="s">
        <v>62</v>
      </c>
      <c r="N1826" s="1" t="n">
        <v>14999</v>
      </c>
      <c r="O1826" s="1" t="n">
        <v>0</v>
      </c>
      <c r="P1826" s="1" t="n">
        <v>0</v>
      </c>
      <c r="Q1826" s="1" t="n">
        <v>14999</v>
      </c>
      <c r="R1826" s="1" t="n">
        <v>2699.82</v>
      </c>
      <c r="S1826" s="1" t="n">
        <v>12299.18</v>
      </c>
      <c r="T1826" s="1" t="n">
        <v>5376.84</v>
      </c>
      <c r="U1826" s="1" t="n">
        <v>6922.34</v>
      </c>
      <c r="V1826" s="1" t="n">
        <v>56.28</v>
      </c>
      <c r="W1826" s="1" t="s">
        <v>39</v>
      </c>
      <c r="X1826" s="1" t="n">
        <v>3.9</v>
      </c>
      <c r="Y1826" s="1" t="s">
        <v>40</v>
      </c>
      <c r="Z1826" s="1" t="n">
        <v>0</v>
      </c>
    </row>
    <row r="1827" customFormat="false" ht="15" hidden="false" customHeight="true" outlineLevel="0" collapsed="false">
      <c r="A1827" s="1" t="s">
        <v>2671</v>
      </c>
      <c r="B1827" s="1" t="s">
        <v>401</v>
      </c>
      <c r="C1827" s="1" t="s">
        <v>167</v>
      </c>
      <c r="D1827" s="1" t="s">
        <v>53</v>
      </c>
      <c r="E1827" s="1" t="s">
        <v>116</v>
      </c>
      <c r="F1827" s="1" t="s">
        <v>96</v>
      </c>
      <c r="G1827" s="1" t="s">
        <v>97</v>
      </c>
      <c r="H1827" s="1" t="s">
        <v>69</v>
      </c>
      <c r="I1827" s="1" t="s">
        <v>34</v>
      </c>
      <c r="J1827" s="1" t="s">
        <v>131</v>
      </c>
      <c r="K1827" s="1" t="s">
        <v>48</v>
      </c>
      <c r="L1827" s="1" t="s">
        <v>49</v>
      </c>
      <c r="M1827" s="1" t="s">
        <v>50</v>
      </c>
      <c r="N1827" s="1" t="n">
        <v>9999</v>
      </c>
      <c r="O1827" s="1" t="n">
        <v>30</v>
      </c>
      <c r="P1827" s="1" t="n">
        <v>2999.7</v>
      </c>
      <c r="Q1827" s="1" t="n">
        <v>6999.3</v>
      </c>
      <c r="R1827" s="1" t="n">
        <v>1259.87</v>
      </c>
      <c r="S1827" s="1" t="n">
        <v>5739.43</v>
      </c>
      <c r="T1827" s="1" t="n">
        <v>3012.46</v>
      </c>
      <c r="U1827" s="1" t="n">
        <v>2726.97</v>
      </c>
      <c r="V1827" s="1" t="n">
        <v>47.51</v>
      </c>
      <c r="W1827" s="1" t="s">
        <v>39</v>
      </c>
      <c r="X1827" s="1" t="n">
        <v>3.4</v>
      </c>
      <c r="Y1827" s="1" t="s">
        <v>40</v>
      </c>
      <c r="Z1827" s="1" t="n">
        <v>0</v>
      </c>
    </row>
    <row r="1828" customFormat="false" ht="15" hidden="false" customHeight="true" outlineLevel="0" collapsed="false">
      <c r="A1828" s="1" t="s">
        <v>2672</v>
      </c>
      <c r="B1828" s="1" t="s">
        <v>373</v>
      </c>
      <c r="C1828" s="1" t="s">
        <v>178</v>
      </c>
      <c r="D1828" s="1" t="s">
        <v>29</v>
      </c>
      <c r="E1828" s="1" t="s">
        <v>30</v>
      </c>
      <c r="F1828" s="1" t="s">
        <v>2673</v>
      </c>
      <c r="G1828" s="1" t="s">
        <v>97</v>
      </c>
      <c r="H1828" s="1" t="s">
        <v>57</v>
      </c>
      <c r="I1828" s="1" t="s">
        <v>58</v>
      </c>
      <c r="J1828" s="1" t="s">
        <v>70</v>
      </c>
      <c r="K1828" s="1" t="s">
        <v>71</v>
      </c>
      <c r="L1828" s="1" t="s">
        <v>49</v>
      </c>
      <c r="M1828" s="1" t="s">
        <v>38</v>
      </c>
      <c r="N1828" s="1" t="n">
        <v>7999</v>
      </c>
      <c r="O1828" s="1" t="n">
        <v>10</v>
      </c>
      <c r="P1828" s="1" t="n">
        <v>799.9</v>
      </c>
      <c r="Q1828" s="1" t="n">
        <v>7199.1</v>
      </c>
      <c r="R1828" s="1" t="n">
        <v>1295.84</v>
      </c>
      <c r="S1828" s="1" t="n">
        <v>5903.26</v>
      </c>
      <c r="T1828" s="1" t="n">
        <v>2617.05</v>
      </c>
      <c r="U1828" s="1" t="n">
        <v>3286.21</v>
      </c>
      <c r="V1828" s="1" t="n">
        <v>55.67</v>
      </c>
      <c r="W1828" s="1" t="s">
        <v>39</v>
      </c>
      <c r="X1828" s="1" t="n">
        <v>4</v>
      </c>
      <c r="Y1828" s="1" t="s">
        <v>40</v>
      </c>
      <c r="Z1828" s="1" t="n">
        <v>0</v>
      </c>
    </row>
    <row r="1829" customFormat="false" ht="15" hidden="false" customHeight="true" outlineLevel="0" collapsed="false">
      <c r="A1829" s="1" t="s">
        <v>2674</v>
      </c>
      <c r="B1829" s="1" t="s">
        <v>1210</v>
      </c>
      <c r="C1829" s="1" t="s">
        <v>28</v>
      </c>
      <c r="D1829" s="1" t="s">
        <v>94</v>
      </c>
      <c r="E1829" s="1" t="s">
        <v>95</v>
      </c>
      <c r="F1829" s="1" t="s">
        <v>120</v>
      </c>
      <c r="G1829" s="1" t="s">
        <v>47</v>
      </c>
      <c r="H1829" s="1" t="s">
        <v>57</v>
      </c>
      <c r="I1829" s="1" t="s">
        <v>34</v>
      </c>
      <c r="J1829" s="1" t="s">
        <v>70</v>
      </c>
      <c r="K1829" s="1" t="s">
        <v>71</v>
      </c>
      <c r="L1829" s="1" t="s">
        <v>61</v>
      </c>
      <c r="M1829" s="1" t="s">
        <v>38</v>
      </c>
      <c r="N1829" s="1" t="n">
        <v>6999</v>
      </c>
      <c r="O1829" s="1" t="n">
        <v>30</v>
      </c>
      <c r="P1829" s="1" t="n">
        <v>2099.7</v>
      </c>
      <c r="Q1829" s="1" t="n">
        <v>4899.3</v>
      </c>
      <c r="R1829" s="1" t="n">
        <v>881.87</v>
      </c>
      <c r="S1829" s="1" t="n">
        <v>4017.43</v>
      </c>
      <c r="T1829" s="1" t="n">
        <v>1683.95</v>
      </c>
      <c r="U1829" s="1" t="n">
        <v>2333.48</v>
      </c>
      <c r="V1829" s="1" t="n">
        <v>58.08</v>
      </c>
      <c r="W1829" s="1" t="s">
        <v>40</v>
      </c>
      <c r="Y1829" s="1" t="s">
        <v>39</v>
      </c>
      <c r="Z1829" s="1" t="n">
        <v>1</v>
      </c>
    </row>
    <row r="1830" customFormat="false" ht="15" hidden="false" customHeight="true" outlineLevel="0" collapsed="false">
      <c r="A1830" s="1" t="s">
        <v>2675</v>
      </c>
      <c r="B1830" s="1" t="s">
        <v>2239</v>
      </c>
      <c r="C1830" s="1" t="s">
        <v>88</v>
      </c>
      <c r="D1830" s="1" t="s">
        <v>168</v>
      </c>
      <c r="E1830" s="1" t="s">
        <v>169</v>
      </c>
      <c r="F1830" s="1" t="s">
        <v>55</v>
      </c>
      <c r="G1830" s="1" t="s">
        <v>56</v>
      </c>
      <c r="H1830" s="1" t="s">
        <v>57</v>
      </c>
      <c r="I1830" s="1" t="s">
        <v>83</v>
      </c>
      <c r="J1830" s="1" t="s">
        <v>70</v>
      </c>
      <c r="K1830" s="1" t="s">
        <v>90</v>
      </c>
      <c r="L1830" s="1" t="s">
        <v>113</v>
      </c>
      <c r="M1830" s="1" t="s">
        <v>62</v>
      </c>
      <c r="N1830" s="1" t="n">
        <v>4999</v>
      </c>
      <c r="O1830" s="1" t="n">
        <v>5</v>
      </c>
      <c r="P1830" s="1" t="n">
        <v>249.95</v>
      </c>
      <c r="Q1830" s="1" t="n">
        <v>4749.05</v>
      </c>
      <c r="R1830" s="1" t="n">
        <v>854.83</v>
      </c>
      <c r="S1830" s="1" t="n">
        <v>3894.22</v>
      </c>
      <c r="T1830" s="1" t="n">
        <v>1815.45</v>
      </c>
      <c r="U1830" s="1" t="n">
        <v>2078.77</v>
      </c>
      <c r="V1830" s="1" t="n">
        <v>53.38</v>
      </c>
      <c r="W1830" s="1" t="s">
        <v>39</v>
      </c>
      <c r="X1830" s="1" t="n">
        <v>2.9</v>
      </c>
      <c r="Y1830" s="1" t="s">
        <v>40</v>
      </c>
      <c r="Z1830" s="1" t="n">
        <v>1</v>
      </c>
    </row>
    <row r="1831" customFormat="false" ht="15" hidden="false" customHeight="true" outlineLevel="0" collapsed="false">
      <c r="A1831" s="1" t="s">
        <v>2676</v>
      </c>
      <c r="B1831" s="1" t="s">
        <v>841</v>
      </c>
      <c r="C1831" s="1" t="s">
        <v>167</v>
      </c>
      <c r="D1831" s="1" t="s">
        <v>29</v>
      </c>
      <c r="E1831" s="1" t="s">
        <v>30</v>
      </c>
      <c r="F1831" s="1" t="s">
        <v>102</v>
      </c>
      <c r="G1831" s="1" t="s">
        <v>103</v>
      </c>
      <c r="H1831" s="1" t="s">
        <v>33</v>
      </c>
      <c r="I1831" s="1" t="s">
        <v>83</v>
      </c>
      <c r="J1831" s="1" t="s">
        <v>35</v>
      </c>
      <c r="K1831" s="1" t="s">
        <v>36</v>
      </c>
      <c r="L1831" s="1" t="s">
        <v>113</v>
      </c>
      <c r="M1831" s="1" t="s">
        <v>50</v>
      </c>
      <c r="N1831" s="1" t="n">
        <v>7999</v>
      </c>
      <c r="O1831" s="1" t="n">
        <v>25</v>
      </c>
      <c r="P1831" s="1" t="n">
        <v>1999.75</v>
      </c>
      <c r="Q1831" s="1" t="n">
        <v>5999.25</v>
      </c>
      <c r="R1831" s="1" t="n">
        <v>1079.87</v>
      </c>
      <c r="S1831" s="1" t="n">
        <v>4919.38</v>
      </c>
      <c r="T1831" s="1" t="n">
        <v>2388.65</v>
      </c>
      <c r="U1831" s="1" t="n">
        <v>2530.73</v>
      </c>
      <c r="V1831" s="1" t="n">
        <v>51.44</v>
      </c>
      <c r="W1831" s="1" t="s">
        <v>40</v>
      </c>
      <c r="Y1831" s="1" t="s">
        <v>40</v>
      </c>
      <c r="Z1831" s="1" t="n">
        <v>1</v>
      </c>
    </row>
    <row r="1832" customFormat="false" ht="15" hidden="false" customHeight="true" outlineLevel="0" collapsed="false">
      <c r="A1832" s="1" t="s">
        <v>2677</v>
      </c>
      <c r="B1832" s="1" t="s">
        <v>1337</v>
      </c>
      <c r="C1832" s="1" t="s">
        <v>74</v>
      </c>
      <c r="D1832" s="1" t="s">
        <v>29</v>
      </c>
      <c r="E1832" s="1" t="s">
        <v>305</v>
      </c>
      <c r="F1832" s="1" t="s">
        <v>55</v>
      </c>
      <c r="G1832" s="1" t="s">
        <v>56</v>
      </c>
      <c r="H1832" s="1" t="s">
        <v>57</v>
      </c>
      <c r="I1832" s="1" t="s">
        <v>34</v>
      </c>
      <c r="J1832" s="1" t="s">
        <v>35</v>
      </c>
      <c r="K1832" s="1" t="s">
        <v>112</v>
      </c>
      <c r="L1832" s="1" t="s">
        <v>49</v>
      </c>
      <c r="M1832" s="1" t="s">
        <v>38</v>
      </c>
      <c r="N1832" s="1" t="n">
        <v>24999</v>
      </c>
      <c r="O1832" s="1" t="n">
        <v>0</v>
      </c>
      <c r="P1832" s="1" t="n">
        <v>0</v>
      </c>
      <c r="Q1832" s="1" t="n">
        <v>24999</v>
      </c>
      <c r="R1832" s="1" t="n">
        <v>4499.82</v>
      </c>
      <c r="S1832" s="1" t="n">
        <v>20499.18</v>
      </c>
      <c r="T1832" s="1" t="n">
        <v>8249.62</v>
      </c>
      <c r="U1832" s="1" t="n">
        <v>12249.56</v>
      </c>
      <c r="V1832" s="1" t="n">
        <v>59.76</v>
      </c>
      <c r="W1832" s="1" t="s">
        <v>39</v>
      </c>
      <c r="X1832" s="1" t="n">
        <v>4.2</v>
      </c>
      <c r="Y1832" s="1" t="s">
        <v>40</v>
      </c>
      <c r="Z1832" s="1" t="n">
        <v>0</v>
      </c>
    </row>
    <row r="1833" customFormat="false" ht="15" hidden="false" customHeight="true" outlineLevel="0" collapsed="false">
      <c r="A1833" s="1" t="s">
        <v>2678</v>
      </c>
      <c r="B1833" s="1" t="s">
        <v>1166</v>
      </c>
      <c r="C1833" s="1" t="s">
        <v>28</v>
      </c>
      <c r="D1833" s="1" t="s">
        <v>143</v>
      </c>
      <c r="E1833" s="1" t="s">
        <v>243</v>
      </c>
      <c r="F1833" s="1" t="s">
        <v>67</v>
      </c>
      <c r="G1833" s="1" t="s">
        <v>68</v>
      </c>
      <c r="H1833" s="1" t="s">
        <v>69</v>
      </c>
      <c r="I1833" s="1" t="s">
        <v>58</v>
      </c>
      <c r="J1833" s="1" t="s">
        <v>131</v>
      </c>
      <c r="K1833" s="1" t="s">
        <v>71</v>
      </c>
      <c r="L1833" s="1" t="s">
        <v>113</v>
      </c>
      <c r="M1833" s="1" t="s">
        <v>50</v>
      </c>
      <c r="N1833" s="1" t="n">
        <v>22999</v>
      </c>
      <c r="O1833" s="1" t="n">
        <v>40</v>
      </c>
      <c r="P1833" s="1" t="n">
        <v>9199.6</v>
      </c>
      <c r="Q1833" s="1" t="n">
        <v>13799.4</v>
      </c>
      <c r="R1833" s="1" t="n">
        <v>2483.89</v>
      </c>
      <c r="S1833" s="1" t="n">
        <v>11315.51</v>
      </c>
      <c r="T1833" s="1" t="n">
        <v>5546.7</v>
      </c>
      <c r="U1833" s="1" t="n">
        <v>5768.81</v>
      </c>
      <c r="V1833" s="1" t="n">
        <v>50.98</v>
      </c>
      <c r="W1833" s="1" t="s">
        <v>39</v>
      </c>
      <c r="Y1833" s="1" t="s">
        <v>40</v>
      </c>
      <c r="Z1833" s="1" t="n">
        <v>1</v>
      </c>
    </row>
    <row r="1834" customFormat="false" ht="15" hidden="false" customHeight="true" outlineLevel="0" collapsed="false">
      <c r="A1834" s="1" t="s">
        <v>2679</v>
      </c>
      <c r="B1834" s="1" t="s">
        <v>1002</v>
      </c>
      <c r="C1834" s="1" t="s">
        <v>249</v>
      </c>
      <c r="D1834" s="1" t="s">
        <v>94</v>
      </c>
      <c r="E1834" s="1" t="s">
        <v>135</v>
      </c>
      <c r="F1834" s="1" t="s">
        <v>187</v>
      </c>
      <c r="G1834" s="1" t="s">
        <v>97</v>
      </c>
      <c r="H1834" s="1" t="s">
        <v>69</v>
      </c>
      <c r="I1834" s="1" t="s">
        <v>83</v>
      </c>
      <c r="J1834" s="1" t="s">
        <v>59</v>
      </c>
      <c r="K1834" s="1" t="s">
        <v>112</v>
      </c>
      <c r="L1834" s="1" t="s">
        <v>85</v>
      </c>
      <c r="M1834" s="1" t="s">
        <v>38</v>
      </c>
      <c r="N1834" s="1" t="n">
        <v>9999</v>
      </c>
      <c r="O1834" s="1" t="n">
        <v>40</v>
      </c>
      <c r="P1834" s="1" t="n">
        <v>3999.6</v>
      </c>
      <c r="Q1834" s="1" t="n">
        <v>5999.4</v>
      </c>
      <c r="R1834" s="1" t="n">
        <v>1079.89</v>
      </c>
      <c r="S1834" s="1" t="n">
        <v>4919.51</v>
      </c>
      <c r="T1834" s="1" t="n">
        <v>2321.81</v>
      </c>
      <c r="U1834" s="1" t="n">
        <v>2597.7</v>
      </c>
      <c r="V1834" s="1" t="n">
        <v>52.8</v>
      </c>
      <c r="W1834" s="1" t="s">
        <v>40</v>
      </c>
      <c r="Y1834" s="1" t="s">
        <v>40</v>
      </c>
      <c r="Z1834" s="1" t="n">
        <v>0</v>
      </c>
    </row>
    <row r="1835" customFormat="false" ht="15" hidden="false" customHeight="true" outlineLevel="0" collapsed="false">
      <c r="A1835" s="1" t="s">
        <v>2680</v>
      </c>
      <c r="B1835" s="1" t="s">
        <v>667</v>
      </c>
      <c r="C1835" s="1" t="s">
        <v>43</v>
      </c>
      <c r="D1835" s="1" t="s">
        <v>44</v>
      </c>
      <c r="E1835" s="1" t="s">
        <v>45</v>
      </c>
      <c r="F1835" s="1" t="s">
        <v>205</v>
      </c>
      <c r="G1835" s="1" t="s">
        <v>56</v>
      </c>
      <c r="H1835" s="1" t="s">
        <v>69</v>
      </c>
      <c r="I1835" s="1" t="s">
        <v>58</v>
      </c>
      <c r="J1835" s="1" t="s">
        <v>131</v>
      </c>
      <c r="K1835" s="1" t="s">
        <v>84</v>
      </c>
      <c r="L1835" s="1" t="s">
        <v>85</v>
      </c>
      <c r="M1835" s="1" t="s">
        <v>50</v>
      </c>
      <c r="N1835" s="1" t="n">
        <v>11999</v>
      </c>
      <c r="O1835" s="1" t="n">
        <v>30</v>
      </c>
      <c r="P1835" s="1" t="n">
        <v>3599.7</v>
      </c>
      <c r="Q1835" s="1" t="n">
        <v>8399.3</v>
      </c>
      <c r="R1835" s="1" t="n">
        <v>1511.87</v>
      </c>
      <c r="S1835" s="1" t="n">
        <v>6887.43</v>
      </c>
      <c r="T1835" s="1" t="n">
        <v>3330.05</v>
      </c>
      <c r="U1835" s="1" t="n">
        <v>3557.38</v>
      </c>
      <c r="V1835" s="1" t="n">
        <v>51.65</v>
      </c>
      <c r="W1835" s="1" t="s">
        <v>40</v>
      </c>
      <c r="Y1835" s="1" t="s">
        <v>40</v>
      </c>
      <c r="Z1835" s="1" t="n">
        <v>0</v>
      </c>
    </row>
    <row r="1836" customFormat="false" ht="15" hidden="false" customHeight="true" outlineLevel="0" collapsed="false">
      <c r="A1836" s="1" t="s">
        <v>2681</v>
      </c>
      <c r="B1836" s="1" t="s">
        <v>742</v>
      </c>
      <c r="C1836" s="1" t="s">
        <v>65</v>
      </c>
      <c r="D1836" s="1" t="s">
        <v>123</v>
      </c>
      <c r="E1836" s="1" t="s">
        <v>147</v>
      </c>
      <c r="F1836" s="1" t="s">
        <v>102</v>
      </c>
      <c r="G1836" s="1" t="s">
        <v>103</v>
      </c>
      <c r="H1836" s="1" t="s">
        <v>33</v>
      </c>
      <c r="I1836" s="1" t="s">
        <v>34</v>
      </c>
      <c r="J1836" s="1" t="s">
        <v>59</v>
      </c>
      <c r="K1836" s="1" t="s">
        <v>36</v>
      </c>
      <c r="L1836" s="1" t="s">
        <v>113</v>
      </c>
      <c r="M1836" s="1" t="s">
        <v>62</v>
      </c>
      <c r="N1836" s="1" t="n">
        <v>6999</v>
      </c>
      <c r="O1836" s="1" t="n">
        <v>20</v>
      </c>
      <c r="P1836" s="1" t="n">
        <v>1399.8</v>
      </c>
      <c r="Q1836" s="1" t="n">
        <v>5599.2</v>
      </c>
      <c r="R1836" s="1" t="n">
        <v>1007.86</v>
      </c>
      <c r="S1836" s="1" t="n">
        <v>4591.34</v>
      </c>
      <c r="T1836" s="1" t="n">
        <v>2132.37</v>
      </c>
      <c r="U1836" s="1" t="n">
        <v>2458.97</v>
      </c>
      <c r="V1836" s="1" t="n">
        <v>53.56</v>
      </c>
      <c r="W1836" s="1" t="s">
        <v>40</v>
      </c>
      <c r="Y1836" s="1" t="s">
        <v>40</v>
      </c>
      <c r="Z1836" s="1" t="n">
        <v>1</v>
      </c>
    </row>
    <row r="1837" customFormat="false" ht="15" hidden="false" customHeight="true" outlineLevel="0" collapsed="false">
      <c r="A1837" s="1" t="s">
        <v>2682</v>
      </c>
      <c r="B1837" s="1" t="s">
        <v>596</v>
      </c>
      <c r="C1837" s="1" t="s">
        <v>74</v>
      </c>
      <c r="D1837" s="1" t="s">
        <v>123</v>
      </c>
      <c r="E1837" s="1" t="s">
        <v>233</v>
      </c>
      <c r="F1837" s="1" t="s">
        <v>244</v>
      </c>
      <c r="G1837" s="1" t="s">
        <v>97</v>
      </c>
      <c r="H1837" s="1" t="s">
        <v>57</v>
      </c>
      <c r="I1837" s="1" t="s">
        <v>83</v>
      </c>
      <c r="J1837" s="1" t="s">
        <v>59</v>
      </c>
      <c r="K1837" s="1" t="s">
        <v>36</v>
      </c>
      <c r="L1837" s="1" t="s">
        <v>49</v>
      </c>
      <c r="M1837" s="1" t="s">
        <v>38</v>
      </c>
      <c r="N1837" s="1" t="n">
        <v>8999</v>
      </c>
      <c r="O1837" s="1" t="n">
        <v>0</v>
      </c>
      <c r="P1837" s="1" t="n">
        <v>0</v>
      </c>
      <c r="Q1837" s="1" t="n">
        <v>8999</v>
      </c>
      <c r="R1837" s="1" t="n">
        <v>1619.82</v>
      </c>
      <c r="S1837" s="1" t="n">
        <v>7379.18</v>
      </c>
      <c r="T1837" s="1" t="n">
        <v>3813.9</v>
      </c>
      <c r="U1837" s="1" t="n">
        <v>3565.28</v>
      </c>
      <c r="V1837" s="1" t="n">
        <v>48.32</v>
      </c>
      <c r="W1837" s="1" t="s">
        <v>39</v>
      </c>
      <c r="X1837" s="1" t="n">
        <v>3.6</v>
      </c>
      <c r="Y1837" s="1" t="s">
        <v>40</v>
      </c>
      <c r="Z1837" s="1" t="n">
        <v>0</v>
      </c>
    </row>
    <row r="1838" customFormat="false" ht="15" hidden="false" customHeight="true" outlineLevel="0" collapsed="false">
      <c r="A1838" s="1" t="s">
        <v>2683</v>
      </c>
      <c r="B1838" s="1" t="s">
        <v>839</v>
      </c>
      <c r="C1838" s="1" t="s">
        <v>93</v>
      </c>
      <c r="D1838" s="1" t="s">
        <v>123</v>
      </c>
      <c r="E1838" s="1" t="s">
        <v>147</v>
      </c>
      <c r="F1838" s="1" t="s">
        <v>67</v>
      </c>
      <c r="G1838" s="1" t="s">
        <v>68</v>
      </c>
      <c r="H1838" s="1" t="s">
        <v>69</v>
      </c>
      <c r="I1838" s="1" t="s">
        <v>34</v>
      </c>
      <c r="J1838" s="1" t="s">
        <v>35</v>
      </c>
      <c r="K1838" s="1" t="s">
        <v>84</v>
      </c>
      <c r="L1838" s="1" t="s">
        <v>136</v>
      </c>
      <c r="M1838" s="1" t="s">
        <v>50</v>
      </c>
      <c r="N1838" s="1" t="n">
        <v>6999</v>
      </c>
      <c r="O1838" s="1" t="n">
        <v>40</v>
      </c>
      <c r="P1838" s="1" t="n">
        <v>2799.6</v>
      </c>
      <c r="Q1838" s="1" t="n">
        <v>4199.4</v>
      </c>
      <c r="R1838" s="1" t="n">
        <v>755.89</v>
      </c>
      <c r="S1838" s="1" t="n">
        <v>3443.51</v>
      </c>
      <c r="T1838" s="1" t="n">
        <v>1621.27</v>
      </c>
      <c r="U1838" s="1" t="n">
        <v>1822.24</v>
      </c>
      <c r="V1838" s="1" t="n">
        <v>52.92</v>
      </c>
      <c r="W1838" s="1" t="s">
        <v>40</v>
      </c>
      <c r="Y1838" s="1" t="s">
        <v>40</v>
      </c>
      <c r="Z1838" s="1" t="n">
        <v>0</v>
      </c>
    </row>
    <row r="1839" customFormat="false" ht="15" hidden="false" customHeight="true" outlineLevel="0" collapsed="false">
      <c r="A1839" s="1" t="s">
        <v>2684</v>
      </c>
      <c r="B1839" s="1" t="s">
        <v>1163</v>
      </c>
      <c r="C1839" s="1" t="s">
        <v>88</v>
      </c>
      <c r="D1839" s="1" t="s">
        <v>44</v>
      </c>
      <c r="E1839" s="1" t="s">
        <v>66</v>
      </c>
      <c r="F1839" s="1" t="s">
        <v>205</v>
      </c>
      <c r="G1839" s="1" t="s">
        <v>56</v>
      </c>
      <c r="H1839" s="1" t="s">
        <v>69</v>
      </c>
      <c r="I1839" s="1" t="s">
        <v>83</v>
      </c>
      <c r="J1839" s="1" t="s">
        <v>35</v>
      </c>
      <c r="K1839" s="1" t="s">
        <v>112</v>
      </c>
      <c r="L1839" s="1" t="s">
        <v>85</v>
      </c>
      <c r="M1839" s="1" t="s">
        <v>50</v>
      </c>
      <c r="N1839" s="1" t="n">
        <v>12999</v>
      </c>
      <c r="O1839" s="1" t="n">
        <v>0</v>
      </c>
      <c r="P1839" s="1" t="n">
        <v>0</v>
      </c>
      <c r="Q1839" s="1" t="n">
        <v>12999</v>
      </c>
      <c r="R1839" s="1" t="n">
        <v>2339.82</v>
      </c>
      <c r="S1839" s="1" t="n">
        <v>10659.18</v>
      </c>
      <c r="T1839" s="1" t="n">
        <v>4459.52</v>
      </c>
      <c r="U1839" s="1" t="n">
        <v>6199.66</v>
      </c>
      <c r="V1839" s="1" t="n">
        <v>58.16</v>
      </c>
      <c r="W1839" s="1" t="s">
        <v>40</v>
      </c>
      <c r="Y1839" s="1" t="s">
        <v>39</v>
      </c>
      <c r="Z1839" s="1" t="n">
        <v>3</v>
      </c>
    </row>
    <row r="1840" customFormat="false" ht="15" hidden="false" customHeight="true" outlineLevel="0" collapsed="false">
      <c r="A1840" s="1" t="s">
        <v>2685</v>
      </c>
      <c r="B1840" s="1" t="s">
        <v>724</v>
      </c>
      <c r="C1840" s="1" t="s">
        <v>65</v>
      </c>
      <c r="D1840" s="1" t="s">
        <v>44</v>
      </c>
      <c r="E1840" s="1" t="s">
        <v>66</v>
      </c>
      <c r="F1840" s="1" t="s">
        <v>89</v>
      </c>
      <c r="G1840" s="1" t="s">
        <v>68</v>
      </c>
      <c r="H1840" s="1" t="s">
        <v>33</v>
      </c>
      <c r="I1840" s="1" t="s">
        <v>83</v>
      </c>
      <c r="J1840" s="1" t="s">
        <v>131</v>
      </c>
      <c r="K1840" s="1" t="s">
        <v>84</v>
      </c>
      <c r="L1840" s="1" t="s">
        <v>49</v>
      </c>
      <c r="M1840" s="1" t="s">
        <v>50</v>
      </c>
      <c r="N1840" s="1" t="n">
        <v>12999</v>
      </c>
      <c r="O1840" s="1" t="n">
        <v>25</v>
      </c>
      <c r="P1840" s="1" t="n">
        <v>3249.75</v>
      </c>
      <c r="Q1840" s="1" t="n">
        <v>9749.25</v>
      </c>
      <c r="R1840" s="1" t="n">
        <v>1754.87</v>
      </c>
      <c r="S1840" s="1" t="n">
        <v>7994.38</v>
      </c>
      <c r="T1840" s="1" t="n">
        <v>3889.07</v>
      </c>
      <c r="U1840" s="1" t="n">
        <v>4105.31</v>
      </c>
      <c r="V1840" s="1" t="n">
        <v>51.35</v>
      </c>
      <c r="W1840" s="1" t="s">
        <v>39</v>
      </c>
      <c r="X1840" s="1" t="n">
        <v>3.9</v>
      </c>
      <c r="Y1840" s="1" t="s">
        <v>40</v>
      </c>
      <c r="Z1840" s="1" t="n">
        <v>1</v>
      </c>
    </row>
    <row r="1841" customFormat="false" ht="15" hidden="false" customHeight="true" outlineLevel="0" collapsed="false">
      <c r="A1841" s="1" t="s">
        <v>2686</v>
      </c>
      <c r="B1841" s="1" t="s">
        <v>1375</v>
      </c>
      <c r="C1841" s="1" t="s">
        <v>128</v>
      </c>
      <c r="D1841" s="1" t="s">
        <v>123</v>
      </c>
      <c r="E1841" s="1" t="s">
        <v>124</v>
      </c>
      <c r="F1841" s="1" t="s">
        <v>153</v>
      </c>
      <c r="G1841" s="1" t="s">
        <v>76</v>
      </c>
      <c r="H1841" s="1" t="s">
        <v>33</v>
      </c>
      <c r="I1841" s="1" t="s">
        <v>83</v>
      </c>
      <c r="J1841" s="1" t="s">
        <v>131</v>
      </c>
      <c r="K1841" s="1" t="s">
        <v>84</v>
      </c>
      <c r="L1841" s="1" t="s">
        <v>113</v>
      </c>
      <c r="M1841" s="1" t="s">
        <v>62</v>
      </c>
      <c r="N1841" s="1" t="n">
        <v>4999</v>
      </c>
      <c r="O1841" s="1" t="n">
        <v>10</v>
      </c>
      <c r="P1841" s="1" t="n">
        <v>499.9</v>
      </c>
      <c r="Q1841" s="1" t="n">
        <v>4499.1</v>
      </c>
      <c r="R1841" s="1" t="n">
        <v>809.84</v>
      </c>
      <c r="S1841" s="1" t="n">
        <v>3689.26</v>
      </c>
      <c r="T1841" s="1" t="n">
        <v>1733.61</v>
      </c>
      <c r="U1841" s="1" t="n">
        <v>1955.65</v>
      </c>
      <c r="V1841" s="1" t="n">
        <v>53.01</v>
      </c>
      <c r="W1841" s="1" t="s">
        <v>40</v>
      </c>
      <c r="Y1841" s="1" t="s">
        <v>40</v>
      </c>
      <c r="Z1841" s="1" t="n">
        <v>1</v>
      </c>
    </row>
    <row r="1842" customFormat="false" ht="15" hidden="false" customHeight="true" outlineLevel="0" collapsed="false">
      <c r="A1842" s="1" t="s">
        <v>2687</v>
      </c>
      <c r="B1842" s="1" t="s">
        <v>1763</v>
      </c>
      <c r="C1842" s="1" t="s">
        <v>100</v>
      </c>
      <c r="D1842" s="1" t="s">
        <v>143</v>
      </c>
      <c r="E1842" s="1" t="s">
        <v>162</v>
      </c>
      <c r="F1842" s="1" t="s">
        <v>150</v>
      </c>
      <c r="G1842" s="1" t="s">
        <v>32</v>
      </c>
      <c r="H1842" s="1" t="s">
        <v>57</v>
      </c>
      <c r="I1842" s="1" t="s">
        <v>83</v>
      </c>
      <c r="J1842" s="1" t="s">
        <v>35</v>
      </c>
      <c r="K1842" s="1" t="s">
        <v>104</v>
      </c>
      <c r="L1842" s="1" t="s">
        <v>37</v>
      </c>
      <c r="M1842" s="1" t="s">
        <v>62</v>
      </c>
      <c r="N1842" s="1" t="n">
        <v>14999</v>
      </c>
      <c r="O1842" s="1" t="n">
        <v>10</v>
      </c>
      <c r="P1842" s="1" t="n">
        <v>1499.9</v>
      </c>
      <c r="Q1842" s="1" t="n">
        <v>13499.1</v>
      </c>
      <c r="R1842" s="1" t="n">
        <v>2429.84</v>
      </c>
      <c r="S1842" s="1" t="n">
        <v>11069.26</v>
      </c>
      <c r="T1842" s="1" t="n">
        <v>4818.29</v>
      </c>
      <c r="U1842" s="1" t="n">
        <v>6250.97</v>
      </c>
      <c r="V1842" s="1" t="n">
        <v>56.47</v>
      </c>
      <c r="W1842" s="1" t="s">
        <v>39</v>
      </c>
      <c r="X1842" s="1" t="n">
        <v>3.5</v>
      </c>
      <c r="Y1842" s="1" t="s">
        <v>40</v>
      </c>
      <c r="Z1842" s="1" t="n">
        <v>0</v>
      </c>
    </row>
    <row r="1843" customFormat="false" ht="15" hidden="false" customHeight="true" outlineLevel="0" collapsed="false">
      <c r="A1843" s="1" t="s">
        <v>2688</v>
      </c>
      <c r="B1843" s="1" t="s">
        <v>541</v>
      </c>
      <c r="C1843" s="1" t="s">
        <v>249</v>
      </c>
      <c r="D1843" s="1" t="s">
        <v>29</v>
      </c>
      <c r="E1843" s="1" t="s">
        <v>129</v>
      </c>
      <c r="F1843" s="1" t="s">
        <v>102</v>
      </c>
      <c r="G1843" s="1" t="s">
        <v>103</v>
      </c>
      <c r="H1843" s="1" t="s">
        <v>33</v>
      </c>
      <c r="I1843" s="1" t="s">
        <v>34</v>
      </c>
      <c r="J1843" s="1" t="s">
        <v>131</v>
      </c>
      <c r="K1843" s="1" t="s">
        <v>84</v>
      </c>
      <c r="L1843" s="1" t="s">
        <v>61</v>
      </c>
      <c r="M1843" s="1" t="s">
        <v>50</v>
      </c>
      <c r="N1843" s="1" t="n">
        <v>29999</v>
      </c>
      <c r="O1843" s="1" t="n">
        <v>20</v>
      </c>
      <c r="P1843" s="1" t="n">
        <v>5999.8</v>
      </c>
      <c r="Q1843" s="1" t="n">
        <v>23999.2</v>
      </c>
      <c r="R1843" s="1" t="n">
        <v>4319.86</v>
      </c>
      <c r="S1843" s="1" t="n">
        <v>19679.34</v>
      </c>
      <c r="T1843" s="1" t="n">
        <v>9017.54</v>
      </c>
      <c r="U1843" s="1" t="n">
        <v>10661.8</v>
      </c>
      <c r="V1843" s="1" t="n">
        <v>54.18</v>
      </c>
      <c r="W1843" s="1" t="s">
        <v>39</v>
      </c>
      <c r="X1843" s="1" t="n">
        <v>4.1</v>
      </c>
      <c r="Y1843" s="1" t="s">
        <v>40</v>
      </c>
      <c r="Z1843" s="1" t="n">
        <v>0</v>
      </c>
    </row>
    <row r="1844" customFormat="false" ht="15" hidden="false" customHeight="true" outlineLevel="0" collapsed="false">
      <c r="A1844" s="1" t="s">
        <v>2689</v>
      </c>
      <c r="B1844" s="1" t="s">
        <v>2033</v>
      </c>
      <c r="C1844" s="1" t="s">
        <v>2598</v>
      </c>
      <c r="D1844" s="1" t="s">
        <v>80</v>
      </c>
      <c r="E1844" s="1" t="s">
        <v>175</v>
      </c>
      <c r="F1844" s="1" t="s">
        <v>244</v>
      </c>
      <c r="G1844" s="1" t="s">
        <v>97</v>
      </c>
      <c r="H1844" s="1" t="s">
        <v>57</v>
      </c>
      <c r="I1844" s="1" t="s">
        <v>83</v>
      </c>
      <c r="J1844" s="1" t="s">
        <v>131</v>
      </c>
      <c r="K1844" s="1" t="s">
        <v>48</v>
      </c>
      <c r="L1844" s="1" t="s">
        <v>85</v>
      </c>
      <c r="M1844" s="1" t="s">
        <v>38</v>
      </c>
      <c r="N1844" s="1" t="n">
        <v>19999</v>
      </c>
      <c r="O1844" s="1" t="n">
        <v>30</v>
      </c>
      <c r="P1844" s="1" t="n">
        <v>5999.7</v>
      </c>
      <c r="Q1844" s="1" t="n">
        <v>13999.3</v>
      </c>
      <c r="R1844" s="1" t="n">
        <v>2519.87</v>
      </c>
      <c r="S1844" s="1" t="n">
        <v>11479.43</v>
      </c>
      <c r="T1844" s="1" t="n">
        <v>5556.64</v>
      </c>
      <c r="U1844" s="1" t="n">
        <v>5922.79</v>
      </c>
      <c r="V1844" s="1" t="n">
        <v>51.59</v>
      </c>
      <c r="W1844" s="1" t="s">
        <v>40</v>
      </c>
      <c r="Y1844" s="1" t="s">
        <v>40</v>
      </c>
      <c r="Z1844" s="1" t="n">
        <v>2</v>
      </c>
    </row>
    <row r="1845" customFormat="false" ht="15" hidden="false" customHeight="true" outlineLevel="0" collapsed="false">
      <c r="A1845" s="1" t="s">
        <v>2690</v>
      </c>
      <c r="B1845" s="1" t="s">
        <v>248</v>
      </c>
      <c r="C1845" s="1" t="s">
        <v>242</v>
      </c>
      <c r="D1845" s="1" t="s">
        <v>80</v>
      </c>
      <c r="E1845" s="1" t="s">
        <v>81</v>
      </c>
      <c r="F1845" s="1" t="s">
        <v>82</v>
      </c>
      <c r="G1845" s="1" t="s">
        <v>56</v>
      </c>
      <c r="H1845" s="1" t="s">
        <v>69</v>
      </c>
      <c r="I1845" s="1" t="s">
        <v>83</v>
      </c>
      <c r="J1845" s="1" t="s">
        <v>59</v>
      </c>
      <c r="K1845" s="1" t="s">
        <v>71</v>
      </c>
      <c r="L1845" s="1" t="s">
        <v>136</v>
      </c>
      <c r="M1845" s="1" t="s">
        <v>50</v>
      </c>
      <c r="N1845" s="1" t="n">
        <v>12999</v>
      </c>
      <c r="O1845" s="1" t="n">
        <v>30</v>
      </c>
      <c r="P1845" s="1" t="n">
        <v>3899.7</v>
      </c>
      <c r="Q1845" s="1" t="n">
        <v>9099.3</v>
      </c>
      <c r="R1845" s="1" t="n">
        <v>1637.87</v>
      </c>
      <c r="S1845" s="1" t="n">
        <v>7461.43</v>
      </c>
      <c r="T1845" s="1" t="n">
        <v>3015.45</v>
      </c>
      <c r="U1845" s="1" t="n">
        <v>4445.98</v>
      </c>
      <c r="V1845" s="1" t="n">
        <v>59.59</v>
      </c>
      <c r="W1845" s="1" t="s">
        <v>39</v>
      </c>
      <c r="X1845" s="1" t="n">
        <v>2.8</v>
      </c>
      <c r="Y1845" s="1" t="s">
        <v>40</v>
      </c>
      <c r="Z1845" s="1" t="n">
        <v>1</v>
      </c>
    </row>
    <row r="1846" customFormat="false" ht="15" hidden="false" customHeight="true" outlineLevel="0" collapsed="false">
      <c r="A1846" s="1" t="s">
        <v>2691</v>
      </c>
      <c r="B1846" s="1" t="s">
        <v>819</v>
      </c>
      <c r="C1846" s="1" t="s">
        <v>74</v>
      </c>
      <c r="D1846" s="1" t="s">
        <v>123</v>
      </c>
      <c r="E1846" s="1" t="s">
        <v>233</v>
      </c>
      <c r="F1846" s="1" t="s">
        <v>82</v>
      </c>
      <c r="G1846" s="1" t="s">
        <v>56</v>
      </c>
      <c r="H1846" s="1" t="s">
        <v>69</v>
      </c>
      <c r="I1846" s="1" t="s">
        <v>34</v>
      </c>
      <c r="J1846" s="1" t="s">
        <v>131</v>
      </c>
      <c r="K1846" s="1" t="s">
        <v>60</v>
      </c>
      <c r="L1846" s="1" t="s">
        <v>37</v>
      </c>
      <c r="M1846" s="1" t="s">
        <v>38</v>
      </c>
      <c r="N1846" s="1" t="n">
        <v>8999</v>
      </c>
      <c r="O1846" s="1" t="n">
        <v>10</v>
      </c>
      <c r="P1846" s="1" t="n">
        <v>899.9</v>
      </c>
      <c r="Q1846" s="1" t="n">
        <v>8099.1</v>
      </c>
      <c r="R1846" s="1" t="n">
        <v>1457.84</v>
      </c>
      <c r="S1846" s="1" t="n">
        <v>6641.26</v>
      </c>
      <c r="T1846" s="1" t="n">
        <v>3583.69</v>
      </c>
      <c r="U1846" s="1" t="n">
        <v>3057.57</v>
      </c>
      <c r="V1846" s="1" t="n">
        <v>46.04</v>
      </c>
      <c r="W1846" s="1" t="s">
        <v>39</v>
      </c>
      <c r="X1846" s="1" t="n">
        <v>3.6</v>
      </c>
      <c r="Y1846" s="1" t="s">
        <v>40</v>
      </c>
      <c r="Z1846" s="1" t="n">
        <v>1</v>
      </c>
    </row>
    <row r="1847" customFormat="false" ht="15" hidden="false" customHeight="true" outlineLevel="0" collapsed="false">
      <c r="A1847" s="1" t="s">
        <v>2692</v>
      </c>
      <c r="B1847" s="1" t="s">
        <v>320</v>
      </c>
      <c r="C1847" s="1" t="s">
        <v>100</v>
      </c>
      <c r="D1847" s="1" t="s">
        <v>143</v>
      </c>
      <c r="E1847" s="1" t="s">
        <v>243</v>
      </c>
      <c r="F1847" s="1" t="s">
        <v>269</v>
      </c>
      <c r="G1847" s="1" t="s">
        <v>108</v>
      </c>
      <c r="H1847" s="1" t="s">
        <v>57</v>
      </c>
      <c r="I1847" s="1" t="s">
        <v>83</v>
      </c>
      <c r="J1847" s="1" t="s">
        <v>35</v>
      </c>
      <c r="K1847" s="1" t="s">
        <v>71</v>
      </c>
      <c r="L1847" s="1" t="s">
        <v>37</v>
      </c>
      <c r="M1847" s="1" t="s">
        <v>62</v>
      </c>
      <c r="N1847" s="1" t="n">
        <v>22999</v>
      </c>
      <c r="O1847" s="1" t="n">
        <v>25</v>
      </c>
      <c r="P1847" s="1" t="n">
        <v>5749.75</v>
      </c>
      <c r="Q1847" s="1" t="n">
        <v>17249.25</v>
      </c>
      <c r="R1847" s="1" t="n">
        <v>3104.86</v>
      </c>
      <c r="S1847" s="1" t="n">
        <v>14144.39</v>
      </c>
      <c r="T1847" s="1" t="n">
        <v>7564.22</v>
      </c>
      <c r="U1847" s="1" t="n">
        <v>6580.17</v>
      </c>
      <c r="V1847" s="1" t="n">
        <v>46.52</v>
      </c>
      <c r="W1847" s="1" t="s">
        <v>39</v>
      </c>
      <c r="X1847" s="1" t="n">
        <v>3.8</v>
      </c>
      <c r="Y1847" s="1" t="s">
        <v>40</v>
      </c>
      <c r="Z1847" s="1" t="n">
        <v>1</v>
      </c>
    </row>
    <row r="1848" customFormat="false" ht="15" hidden="false" customHeight="true" outlineLevel="0" collapsed="false">
      <c r="A1848" s="1" t="s">
        <v>2693</v>
      </c>
      <c r="B1848" s="1" t="s">
        <v>766</v>
      </c>
      <c r="C1848" s="1" t="s">
        <v>88</v>
      </c>
      <c r="D1848" s="1" t="s">
        <v>143</v>
      </c>
      <c r="E1848" s="1" t="s">
        <v>243</v>
      </c>
      <c r="F1848" s="1" t="s">
        <v>102</v>
      </c>
      <c r="G1848" s="1" t="s">
        <v>103</v>
      </c>
      <c r="H1848" s="1" t="s">
        <v>33</v>
      </c>
      <c r="I1848" s="1" t="s">
        <v>58</v>
      </c>
      <c r="J1848" s="1" t="s">
        <v>131</v>
      </c>
      <c r="K1848" s="1" t="s">
        <v>112</v>
      </c>
      <c r="L1848" s="1" t="s">
        <v>136</v>
      </c>
      <c r="M1848" s="1" t="s">
        <v>50</v>
      </c>
      <c r="N1848" s="1" t="n">
        <v>22999</v>
      </c>
      <c r="O1848" s="1" t="n">
        <v>50</v>
      </c>
      <c r="P1848" s="1" t="n">
        <v>11499.5</v>
      </c>
      <c r="Q1848" s="1" t="n">
        <v>11499.5</v>
      </c>
      <c r="R1848" s="1" t="n">
        <v>2069.91</v>
      </c>
      <c r="S1848" s="1" t="n">
        <v>9429.59</v>
      </c>
      <c r="T1848" s="1" t="n">
        <v>4305.89</v>
      </c>
      <c r="U1848" s="1" t="n">
        <v>5123.7</v>
      </c>
      <c r="V1848" s="1" t="n">
        <v>54.34</v>
      </c>
      <c r="W1848" s="1" t="s">
        <v>39</v>
      </c>
      <c r="X1848" s="1" t="n">
        <v>4.1</v>
      </c>
      <c r="Y1848" s="1" t="s">
        <v>39</v>
      </c>
      <c r="Z1848" s="1" t="n">
        <v>0</v>
      </c>
    </row>
    <row r="1849" customFormat="false" ht="15" hidden="false" customHeight="true" outlineLevel="0" collapsed="false">
      <c r="A1849" s="1" t="s">
        <v>2694</v>
      </c>
      <c r="B1849" s="1" t="s">
        <v>2695</v>
      </c>
      <c r="C1849" s="1" t="s">
        <v>139</v>
      </c>
      <c r="D1849" s="1" t="s">
        <v>80</v>
      </c>
      <c r="E1849" s="1" t="s">
        <v>190</v>
      </c>
      <c r="F1849" s="1" t="s">
        <v>184</v>
      </c>
      <c r="G1849" s="1" t="s">
        <v>56</v>
      </c>
      <c r="H1849" s="1" t="s">
        <v>57</v>
      </c>
      <c r="I1849" s="1" t="s">
        <v>83</v>
      </c>
      <c r="J1849" s="1" t="s">
        <v>131</v>
      </c>
      <c r="K1849" s="1" t="s">
        <v>90</v>
      </c>
      <c r="L1849" s="1" t="s">
        <v>61</v>
      </c>
      <c r="M1849" s="1" t="s">
        <v>62</v>
      </c>
      <c r="N1849" s="1" t="n">
        <v>15999</v>
      </c>
      <c r="O1849" s="1" t="n">
        <v>25</v>
      </c>
      <c r="P1849" s="1" t="n">
        <v>3999.75</v>
      </c>
      <c r="Q1849" s="1" t="n">
        <v>11999.25</v>
      </c>
      <c r="R1849" s="1" t="n">
        <v>2159.86</v>
      </c>
      <c r="S1849" s="1" t="n">
        <v>9839.39</v>
      </c>
      <c r="T1849" s="1" t="n">
        <v>4137.83</v>
      </c>
      <c r="U1849" s="1" t="n">
        <v>5701.56</v>
      </c>
      <c r="V1849" s="1" t="n">
        <v>57.95</v>
      </c>
      <c r="W1849" s="1" t="s">
        <v>40</v>
      </c>
      <c r="Y1849" s="1" t="s">
        <v>40</v>
      </c>
      <c r="Z1849" s="1" t="n">
        <v>0</v>
      </c>
    </row>
    <row r="1850" customFormat="false" ht="15" hidden="false" customHeight="true" outlineLevel="0" collapsed="false">
      <c r="A1850" s="1" t="s">
        <v>2696</v>
      </c>
      <c r="B1850" s="1" t="s">
        <v>2435</v>
      </c>
      <c r="C1850" s="1" t="s">
        <v>28</v>
      </c>
      <c r="D1850" s="1" t="s">
        <v>168</v>
      </c>
      <c r="E1850" s="1" t="s">
        <v>328</v>
      </c>
      <c r="F1850" s="1" t="s">
        <v>120</v>
      </c>
      <c r="G1850" s="1" t="s">
        <v>47</v>
      </c>
      <c r="H1850" s="1" t="s">
        <v>57</v>
      </c>
      <c r="I1850" s="1" t="s">
        <v>58</v>
      </c>
      <c r="J1850" s="1" t="s">
        <v>131</v>
      </c>
      <c r="K1850" s="1" t="s">
        <v>90</v>
      </c>
      <c r="L1850" s="1" t="s">
        <v>85</v>
      </c>
      <c r="M1850" s="1" t="s">
        <v>38</v>
      </c>
      <c r="N1850" s="1" t="n">
        <v>8999</v>
      </c>
      <c r="O1850" s="1" t="n">
        <v>40</v>
      </c>
      <c r="P1850" s="1" t="n">
        <v>3599.6</v>
      </c>
      <c r="Q1850" s="1" t="n">
        <v>5399.4</v>
      </c>
      <c r="R1850" s="1" t="n">
        <v>971.89</v>
      </c>
      <c r="S1850" s="1" t="n">
        <v>4427.51</v>
      </c>
      <c r="T1850" s="1" t="n">
        <v>2432.44</v>
      </c>
      <c r="U1850" s="1" t="n">
        <v>1995.07</v>
      </c>
      <c r="V1850" s="1" t="n">
        <v>45.06</v>
      </c>
      <c r="W1850" s="1" t="s">
        <v>40</v>
      </c>
      <c r="Y1850" s="1" t="s">
        <v>40</v>
      </c>
      <c r="Z1850" s="1" t="n">
        <v>0</v>
      </c>
    </row>
    <row r="1851" customFormat="false" ht="15" hidden="false" customHeight="true" outlineLevel="0" collapsed="false">
      <c r="A1851" s="1" t="s">
        <v>2697</v>
      </c>
      <c r="B1851" s="1" t="s">
        <v>669</v>
      </c>
      <c r="C1851" s="1" t="s">
        <v>134</v>
      </c>
      <c r="D1851" s="1" t="s">
        <v>80</v>
      </c>
      <c r="E1851" s="1" t="s">
        <v>175</v>
      </c>
      <c r="F1851" s="1" t="s">
        <v>67</v>
      </c>
      <c r="G1851" s="1" t="s">
        <v>68</v>
      </c>
      <c r="H1851" s="1" t="s">
        <v>69</v>
      </c>
      <c r="I1851" s="1" t="s">
        <v>83</v>
      </c>
      <c r="J1851" s="1" t="s">
        <v>59</v>
      </c>
      <c r="K1851" s="1" t="s">
        <v>104</v>
      </c>
      <c r="L1851" s="1" t="s">
        <v>136</v>
      </c>
      <c r="M1851" s="1" t="s">
        <v>38</v>
      </c>
      <c r="N1851" s="1" t="n">
        <v>19999</v>
      </c>
      <c r="O1851" s="1" t="n">
        <v>10</v>
      </c>
      <c r="P1851" s="1" t="n">
        <v>1999.9</v>
      </c>
      <c r="Q1851" s="1" t="n">
        <v>17999.1</v>
      </c>
      <c r="R1851" s="1" t="n">
        <v>3239.84</v>
      </c>
      <c r="S1851" s="1" t="n">
        <v>14759.26</v>
      </c>
      <c r="T1851" s="1" t="n">
        <v>5364.35</v>
      </c>
      <c r="U1851" s="1" t="n">
        <v>9394.91</v>
      </c>
      <c r="V1851" s="1" t="n">
        <v>63.65</v>
      </c>
      <c r="W1851" s="1" t="s">
        <v>39</v>
      </c>
      <c r="X1851" s="1" t="n">
        <v>4</v>
      </c>
      <c r="Y1851" s="1" t="s">
        <v>40</v>
      </c>
      <c r="Z1851" s="1" t="n">
        <v>0</v>
      </c>
    </row>
    <row r="1852" customFormat="false" ht="15" hidden="false" customHeight="true" outlineLevel="0" collapsed="false">
      <c r="A1852" s="1" t="s">
        <v>2698</v>
      </c>
      <c r="B1852" s="1" t="s">
        <v>2301</v>
      </c>
      <c r="C1852" s="1" t="s">
        <v>93</v>
      </c>
      <c r="D1852" s="1" t="s">
        <v>53</v>
      </c>
      <c r="E1852" s="1" t="s">
        <v>54</v>
      </c>
      <c r="F1852" s="1" t="s">
        <v>150</v>
      </c>
      <c r="G1852" s="1" t="s">
        <v>32</v>
      </c>
      <c r="H1852" s="1" t="s">
        <v>57</v>
      </c>
      <c r="I1852" s="1" t="s">
        <v>58</v>
      </c>
      <c r="J1852" s="1" t="s">
        <v>70</v>
      </c>
      <c r="K1852" s="1" t="s">
        <v>84</v>
      </c>
      <c r="L1852" s="1" t="s">
        <v>49</v>
      </c>
      <c r="M1852" s="1" t="s">
        <v>38</v>
      </c>
      <c r="N1852" s="1" t="n">
        <v>11999</v>
      </c>
      <c r="O1852" s="1" t="n">
        <v>40</v>
      </c>
      <c r="P1852" s="1" t="n">
        <v>4799.6</v>
      </c>
      <c r="Q1852" s="1" t="n">
        <v>7199.4</v>
      </c>
      <c r="R1852" s="1" t="n">
        <v>1295.89</v>
      </c>
      <c r="S1852" s="1" t="n">
        <v>5903.51</v>
      </c>
      <c r="T1852" s="1" t="n">
        <v>3298.1</v>
      </c>
      <c r="U1852" s="1" t="n">
        <v>2605.41</v>
      </c>
      <c r="V1852" s="1" t="n">
        <v>44.13</v>
      </c>
      <c r="W1852" s="1" t="s">
        <v>39</v>
      </c>
      <c r="X1852" s="1" t="n">
        <v>3.6</v>
      </c>
      <c r="Y1852" s="1" t="s">
        <v>40</v>
      </c>
      <c r="Z1852" s="1" t="n">
        <v>0</v>
      </c>
    </row>
    <row r="1853" customFormat="false" ht="15" hidden="false" customHeight="true" outlineLevel="0" collapsed="false">
      <c r="A1853" s="1" t="s">
        <v>2699</v>
      </c>
      <c r="B1853" s="1" t="s">
        <v>945</v>
      </c>
      <c r="C1853" s="1" t="s">
        <v>93</v>
      </c>
      <c r="D1853" s="1" t="s">
        <v>29</v>
      </c>
      <c r="E1853" s="1" t="s">
        <v>129</v>
      </c>
      <c r="F1853" s="1" t="s">
        <v>67</v>
      </c>
      <c r="G1853" s="1" t="s">
        <v>68</v>
      </c>
      <c r="H1853" s="1" t="s">
        <v>69</v>
      </c>
      <c r="I1853" s="1" t="s">
        <v>34</v>
      </c>
      <c r="J1853" s="1" t="s">
        <v>131</v>
      </c>
      <c r="K1853" s="1" t="s">
        <v>36</v>
      </c>
      <c r="L1853" s="1" t="s">
        <v>49</v>
      </c>
      <c r="M1853" s="1" t="s">
        <v>50</v>
      </c>
      <c r="N1853" s="1" t="n">
        <v>29999</v>
      </c>
      <c r="O1853" s="1" t="n">
        <v>15</v>
      </c>
      <c r="P1853" s="1" t="n">
        <v>4499.85</v>
      </c>
      <c r="Q1853" s="1" t="n">
        <v>25499.15</v>
      </c>
      <c r="R1853" s="1" t="n">
        <v>4589.85</v>
      </c>
      <c r="S1853" s="1" t="n">
        <v>20909.3</v>
      </c>
      <c r="T1853" s="1" t="n">
        <v>7119.64</v>
      </c>
      <c r="U1853" s="1" t="n">
        <v>13789.66</v>
      </c>
      <c r="V1853" s="1" t="n">
        <v>65.95</v>
      </c>
      <c r="W1853" s="1" t="s">
        <v>39</v>
      </c>
      <c r="X1853" s="1" t="n">
        <v>4.3</v>
      </c>
      <c r="Y1853" s="1" t="s">
        <v>40</v>
      </c>
      <c r="Z1853" s="1" t="n">
        <v>0</v>
      </c>
    </row>
    <row r="1854" customFormat="false" ht="15" hidden="false" customHeight="true" outlineLevel="0" collapsed="false">
      <c r="A1854" s="1" t="s">
        <v>2700</v>
      </c>
      <c r="B1854" s="1" t="s">
        <v>625</v>
      </c>
      <c r="C1854" s="1" t="s">
        <v>178</v>
      </c>
      <c r="D1854" s="1" t="s">
        <v>29</v>
      </c>
      <c r="E1854" s="1" t="s">
        <v>182</v>
      </c>
      <c r="F1854" s="1" t="s">
        <v>184</v>
      </c>
      <c r="G1854" s="1" t="s">
        <v>56</v>
      </c>
      <c r="H1854" s="1" t="s">
        <v>57</v>
      </c>
      <c r="I1854" s="1" t="s">
        <v>34</v>
      </c>
      <c r="J1854" s="1" t="s">
        <v>77</v>
      </c>
      <c r="K1854" s="1" t="s">
        <v>48</v>
      </c>
      <c r="L1854" s="1" t="s">
        <v>61</v>
      </c>
      <c r="M1854" s="1" t="s">
        <v>62</v>
      </c>
      <c r="N1854" s="1" t="n">
        <v>34999</v>
      </c>
      <c r="O1854" s="1" t="n">
        <v>0</v>
      </c>
      <c r="P1854" s="1" t="n">
        <v>0</v>
      </c>
      <c r="Q1854" s="1" t="n">
        <v>34999</v>
      </c>
      <c r="R1854" s="1" t="n">
        <v>6299.82</v>
      </c>
      <c r="S1854" s="1" t="n">
        <v>28699.18</v>
      </c>
      <c r="T1854" s="1" t="n">
        <v>9795.56</v>
      </c>
      <c r="U1854" s="1" t="n">
        <v>18903.62</v>
      </c>
      <c r="V1854" s="1" t="n">
        <v>65.87</v>
      </c>
      <c r="W1854" s="1" t="s">
        <v>39</v>
      </c>
      <c r="X1854" s="1" t="n">
        <v>4.2</v>
      </c>
      <c r="Y1854" s="1" t="s">
        <v>40</v>
      </c>
      <c r="Z1854" s="1" t="n">
        <v>0</v>
      </c>
    </row>
    <row r="1855" customFormat="false" ht="15" hidden="false" customHeight="true" outlineLevel="0" collapsed="false">
      <c r="A1855" s="1" t="s">
        <v>2701</v>
      </c>
      <c r="B1855" s="1" t="s">
        <v>1275</v>
      </c>
      <c r="C1855" s="1" t="s">
        <v>249</v>
      </c>
      <c r="D1855" s="1" t="s">
        <v>44</v>
      </c>
      <c r="E1855" s="1" t="s">
        <v>221</v>
      </c>
      <c r="F1855" s="1" t="s">
        <v>120</v>
      </c>
      <c r="G1855" s="1" t="s">
        <v>47</v>
      </c>
      <c r="H1855" s="1" t="s">
        <v>57</v>
      </c>
      <c r="I1855" s="1" t="s">
        <v>34</v>
      </c>
      <c r="J1855" s="1" t="s">
        <v>70</v>
      </c>
      <c r="K1855" s="1" t="s">
        <v>36</v>
      </c>
      <c r="L1855" s="1" t="s">
        <v>61</v>
      </c>
      <c r="M1855" s="1" t="s">
        <v>50</v>
      </c>
      <c r="N1855" s="1" t="n">
        <v>16999</v>
      </c>
      <c r="O1855" s="1" t="n">
        <v>30</v>
      </c>
      <c r="P1855" s="1" t="n">
        <v>5099.7</v>
      </c>
      <c r="Q1855" s="1" t="n">
        <v>11899.3</v>
      </c>
      <c r="R1855" s="1" t="n">
        <v>2141.87</v>
      </c>
      <c r="S1855" s="1" t="n">
        <v>9757.43</v>
      </c>
      <c r="T1855" s="1" t="n">
        <v>3975.9</v>
      </c>
      <c r="U1855" s="1" t="n">
        <v>5781.53</v>
      </c>
      <c r="V1855" s="1" t="n">
        <v>59.25</v>
      </c>
      <c r="W1855" s="1" t="s">
        <v>39</v>
      </c>
      <c r="X1855" s="1" t="n">
        <v>3.9</v>
      </c>
      <c r="Y1855" s="1" t="s">
        <v>40</v>
      </c>
      <c r="Z1855" s="1" t="n">
        <v>0</v>
      </c>
    </row>
    <row r="1856" customFormat="false" ht="15" hidden="false" customHeight="true" outlineLevel="0" collapsed="false">
      <c r="A1856" s="1" t="s">
        <v>2702</v>
      </c>
      <c r="B1856" s="1" t="s">
        <v>876</v>
      </c>
      <c r="C1856" s="1" t="s">
        <v>178</v>
      </c>
      <c r="D1856" s="1" t="s">
        <v>143</v>
      </c>
      <c r="E1856" s="1" t="s">
        <v>243</v>
      </c>
      <c r="F1856" s="1" t="s">
        <v>211</v>
      </c>
      <c r="G1856" s="1" t="s">
        <v>56</v>
      </c>
      <c r="H1856" s="1" t="s">
        <v>69</v>
      </c>
      <c r="I1856" s="1" t="s">
        <v>34</v>
      </c>
      <c r="J1856" s="1" t="s">
        <v>131</v>
      </c>
      <c r="K1856" s="1" t="s">
        <v>36</v>
      </c>
      <c r="L1856" s="1" t="s">
        <v>85</v>
      </c>
      <c r="M1856" s="1" t="s">
        <v>62</v>
      </c>
      <c r="N1856" s="1" t="n">
        <v>22999</v>
      </c>
      <c r="O1856" s="1" t="n">
        <v>15</v>
      </c>
      <c r="P1856" s="1" t="n">
        <v>3449.85</v>
      </c>
      <c r="Q1856" s="1" t="n">
        <v>19549.15</v>
      </c>
      <c r="R1856" s="1" t="n">
        <v>3518.85</v>
      </c>
      <c r="S1856" s="1" t="n">
        <v>16030.3</v>
      </c>
      <c r="T1856" s="1" t="n">
        <v>7340.42</v>
      </c>
      <c r="U1856" s="1" t="n">
        <v>8689.88</v>
      </c>
      <c r="V1856" s="1" t="n">
        <v>54.21</v>
      </c>
      <c r="W1856" s="1" t="s">
        <v>39</v>
      </c>
      <c r="X1856" s="1" t="n">
        <v>3.8</v>
      </c>
      <c r="Y1856" s="1" t="s">
        <v>40</v>
      </c>
      <c r="Z1856" s="1" t="n">
        <v>1</v>
      </c>
    </row>
    <row r="1857" customFormat="false" ht="15" hidden="false" customHeight="true" outlineLevel="0" collapsed="false">
      <c r="A1857" s="1" t="s">
        <v>2703</v>
      </c>
      <c r="B1857" s="1" t="s">
        <v>213</v>
      </c>
      <c r="C1857" s="1" t="s">
        <v>167</v>
      </c>
      <c r="D1857" s="1" t="s">
        <v>29</v>
      </c>
      <c r="E1857" s="1" t="s">
        <v>182</v>
      </c>
      <c r="F1857" s="1" t="s">
        <v>269</v>
      </c>
      <c r="G1857" s="1" t="s">
        <v>108</v>
      </c>
      <c r="H1857" s="1" t="s">
        <v>57</v>
      </c>
      <c r="I1857" s="1" t="s">
        <v>83</v>
      </c>
      <c r="J1857" s="1" t="s">
        <v>70</v>
      </c>
      <c r="K1857" s="1" t="s">
        <v>60</v>
      </c>
      <c r="L1857" s="1" t="s">
        <v>136</v>
      </c>
      <c r="M1857" s="1" t="s">
        <v>50</v>
      </c>
      <c r="N1857" s="1" t="n">
        <v>34999</v>
      </c>
      <c r="O1857" s="1" t="n">
        <v>15</v>
      </c>
      <c r="P1857" s="1" t="n">
        <v>5249.85</v>
      </c>
      <c r="Q1857" s="1" t="n">
        <v>29749.15</v>
      </c>
      <c r="R1857" s="1" t="n">
        <v>5354.85</v>
      </c>
      <c r="S1857" s="1" t="n">
        <v>24394.3</v>
      </c>
      <c r="T1857" s="1" t="n">
        <v>8982.03</v>
      </c>
      <c r="U1857" s="1" t="n">
        <v>15412.27</v>
      </c>
      <c r="V1857" s="1" t="n">
        <v>63.18</v>
      </c>
      <c r="W1857" s="1" t="s">
        <v>40</v>
      </c>
      <c r="Y1857" s="1" t="s">
        <v>40</v>
      </c>
      <c r="Z1857" s="1" t="n">
        <v>0</v>
      </c>
    </row>
    <row r="1858" customFormat="false" ht="15" hidden="false" customHeight="true" outlineLevel="0" collapsed="false">
      <c r="A1858" s="1" t="s">
        <v>2704</v>
      </c>
      <c r="B1858" s="1" t="s">
        <v>630</v>
      </c>
      <c r="C1858" s="1" t="s">
        <v>128</v>
      </c>
      <c r="D1858" s="1" t="s">
        <v>53</v>
      </c>
      <c r="E1858" s="1" t="s">
        <v>54</v>
      </c>
      <c r="F1858" s="1" t="s">
        <v>107</v>
      </c>
      <c r="G1858" s="1" t="s">
        <v>108</v>
      </c>
      <c r="H1858" s="1" t="s">
        <v>33</v>
      </c>
      <c r="I1858" s="1" t="s">
        <v>83</v>
      </c>
      <c r="J1858" s="1" t="s">
        <v>131</v>
      </c>
      <c r="K1858" s="1" t="s">
        <v>36</v>
      </c>
      <c r="L1858" s="1" t="s">
        <v>49</v>
      </c>
      <c r="M1858" s="1" t="s">
        <v>50</v>
      </c>
      <c r="N1858" s="1" t="n">
        <v>11999</v>
      </c>
      <c r="O1858" s="1" t="n">
        <v>10</v>
      </c>
      <c r="P1858" s="1" t="n">
        <v>1199.9</v>
      </c>
      <c r="Q1858" s="1" t="n">
        <v>10799.1</v>
      </c>
      <c r="R1858" s="1" t="n">
        <v>1943.84</v>
      </c>
      <c r="S1858" s="1" t="n">
        <v>8855.26</v>
      </c>
      <c r="T1858" s="1" t="n">
        <v>3710.19</v>
      </c>
      <c r="U1858" s="1" t="n">
        <v>5145.07</v>
      </c>
      <c r="V1858" s="1" t="n">
        <v>58.1</v>
      </c>
      <c r="W1858" s="1" t="s">
        <v>40</v>
      </c>
      <c r="Y1858" s="1" t="s">
        <v>40</v>
      </c>
      <c r="Z1858" s="1" t="n">
        <v>1</v>
      </c>
    </row>
    <row r="1859" customFormat="false" ht="15" hidden="false" customHeight="true" outlineLevel="0" collapsed="false">
      <c r="A1859" s="1" t="s">
        <v>2705</v>
      </c>
      <c r="B1859" s="1" t="s">
        <v>483</v>
      </c>
      <c r="C1859" s="1" t="s">
        <v>264</v>
      </c>
      <c r="D1859" s="1" t="s">
        <v>29</v>
      </c>
      <c r="E1859" s="1" t="s">
        <v>129</v>
      </c>
      <c r="F1859" s="1" t="s">
        <v>156</v>
      </c>
      <c r="G1859" s="1" t="s">
        <v>68</v>
      </c>
      <c r="H1859" s="1" t="s">
        <v>57</v>
      </c>
      <c r="I1859" s="1" t="s">
        <v>83</v>
      </c>
      <c r="J1859" s="1" t="s">
        <v>59</v>
      </c>
      <c r="K1859" s="1" t="s">
        <v>90</v>
      </c>
      <c r="L1859" s="1" t="s">
        <v>85</v>
      </c>
      <c r="M1859" s="1" t="s">
        <v>38</v>
      </c>
      <c r="N1859" s="1" t="n">
        <v>29999</v>
      </c>
      <c r="O1859" s="1" t="n">
        <v>5</v>
      </c>
      <c r="P1859" s="1" t="n">
        <v>1499.95</v>
      </c>
      <c r="Q1859" s="1" t="n">
        <v>28499.05</v>
      </c>
      <c r="R1859" s="1" t="n">
        <v>5129.83</v>
      </c>
      <c r="S1859" s="1" t="n">
        <v>23369.22</v>
      </c>
      <c r="T1859" s="1" t="n">
        <v>10265.48</v>
      </c>
      <c r="U1859" s="1" t="n">
        <v>13103.74</v>
      </c>
      <c r="V1859" s="1" t="n">
        <v>56.07</v>
      </c>
      <c r="W1859" s="1" t="s">
        <v>40</v>
      </c>
      <c r="Y1859" s="1" t="s">
        <v>40</v>
      </c>
      <c r="Z1859" s="1" t="n">
        <v>0</v>
      </c>
    </row>
    <row r="1860" customFormat="false" ht="15" hidden="false" customHeight="true" outlineLevel="0" collapsed="false">
      <c r="A1860" s="1" t="s">
        <v>2706</v>
      </c>
      <c r="B1860" s="1" t="s">
        <v>499</v>
      </c>
      <c r="C1860" s="1" t="s">
        <v>139</v>
      </c>
      <c r="D1860" s="1" t="s">
        <v>94</v>
      </c>
      <c r="E1860" s="1" t="s">
        <v>101</v>
      </c>
      <c r="F1860" s="1" t="s">
        <v>184</v>
      </c>
      <c r="G1860" s="1" t="s">
        <v>56</v>
      </c>
      <c r="H1860" s="1" t="s">
        <v>57</v>
      </c>
      <c r="I1860" s="1" t="s">
        <v>34</v>
      </c>
      <c r="J1860" s="1" t="s">
        <v>59</v>
      </c>
      <c r="K1860" s="1" t="s">
        <v>36</v>
      </c>
      <c r="L1860" s="1" t="s">
        <v>61</v>
      </c>
      <c r="M1860" s="1" t="s">
        <v>50</v>
      </c>
      <c r="N1860" s="1" t="n">
        <v>14999</v>
      </c>
      <c r="O1860" s="1" t="n">
        <v>0</v>
      </c>
      <c r="P1860" s="1" t="n">
        <v>0</v>
      </c>
      <c r="Q1860" s="1" t="n">
        <v>14999</v>
      </c>
      <c r="R1860" s="1" t="n">
        <v>2699.82</v>
      </c>
      <c r="S1860" s="1" t="n">
        <v>12299.18</v>
      </c>
      <c r="T1860" s="1" t="n">
        <v>5883.63</v>
      </c>
      <c r="U1860" s="1" t="n">
        <v>6415.55</v>
      </c>
      <c r="V1860" s="1" t="n">
        <v>52.16</v>
      </c>
      <c r="W1860" s="1" t="s">
        <v>39</v>
      </c>
      <c r="X1860" s="1" t="n">
        <v>4.4</v>
      </c>
      <c r="Y1860" s="1" t="s">
        <v>40</v>
      </c>
      <c r="Z1860" s="1" t="n">
        <v>0</v>
      </c>
    </row>
    <row r="1861" customFormat="false" ht="15" hidden="false" customHeight="true" outlineLevel="0" collapsed="false">
      <c r="A1861" s="1" t="s">
        <v>2707</v>
      </c>
      <c r="B1861" s="1" t="s">
        <v>687</v>
      </c>
      <c r="C1861" s="1" t="s">
        <v>93</v>
      </c>
      <c r="D1861" s="1" t="s">
        <v>143</v>
      </c>
      <c r="E1861" s="1" t="s">
        <v>210</v>
      </c>
      <c r="F1861" s="1" t="s">
        <v>125</v>
      </c>
      <c r="G1861" s="1" t="s">
        <v>108</v>
      </c>
      <c r="H1861" s="1" t="s">
        <v>69</v>
      </c>
      <c r="I1861" s="1" t="s">
        <v>34</v>
      </c>
      <c r="J1861" s="1" t="s">
        <v>35</v>
      </c>
      <c r="K1861" s="1" t="s">
        <v>84</v>
      </c>
      <c r="L1861" s="1" t="s">
        <v>136</v>
      </c>
      <c r="M1861" s="1" t="s">
        <v>38</v>
      </c>
      <c r="N1861" s="1" t="n">
        <v>18999</v>
      </c>
      <c r="O1861" s="1" t="n">
        <v>30</v>
      </c>
      <c r="P1861" s="1" t="n">
        <v>5699.7</v>
      </c>
      <c r="Q1861" s="1" t="n">
        <v>13299.3</v>
      </c>
      <c r="R1861" s="1" t="n">
        <v>2393.87</v>
      </c>
      <c r="S1861" s="1" t="n">
        <v>10905.43</v>
      </c>
      <c r="T1861" s="1" t="n">
        <v>4487.21</v>
      </c>
      <c r="U1861" s="1" t="n">
        <v>6418.22</v>
      </c>
      <c r="V1861" s="1" t="n">
        <v>58.85</v>
      </c>
      <c r="W1861" s="1" t="s">
        <v>39</v>
      </c>
      <c r="X1861" s="1" t="n">
        <v>3.7</v>
      </c>
      <c r="Y1861" s="1" t="s">
        <v>40</v>
      </c>
      <c r="Z1861" s="1" t="n">
        <v>0</v>
      </c>
    </row>
    <row r="1862" customFormat="false" ht="15" hidden="false" customHeight="true" outlineLevel="0" collapsed="false">
      <c r="A1862" s="1" t="s">
        <v>2708</v>
      </c>
      <c r="B1862" s="1" t="s">
        <v>1948</v>
      </c>
      <c r="C1862" s="1" t="s">
        <v>28</v>
      </c>
      <c r="D1862" s="1" t="s">
        <v>53</v>
      </c>
      <c r="E1862" s="1" t="s">
        <v>116</v>
      </c>
      <c r="F1862" s="1" t="s">
        <v>102</v>
      </c>
      <c r="G1862" s="1" t="s">
        <v>103</v>
      </c>
      <c r="H1862" s="1" t="s">
        <v>33</v>
      </c>
      <c r="I1862" s="1" t="s">
        <v>34</v>
      </c>
      <c r="J1862" s="1" t="s">
        <v>35</v>
      </c>
      <c r="K1862" s="1" t="s">
        <v>71</v>
      </c>
      <c r="L1862" s="1" t="s">
        <v>61</v>
      </c>
      <c r="M1862" s="1" t="s">
        <v>50</v>
      </c>
      <c r="N1862" s="1" t="n">
        <v>9999</v>
      </c>
      <c r="O1862" s="1" t="n">
        <v>30</v>
      </c>
      <c r="P1862" s="1" t="n">
        <v>2999.7</v>
      </c>
      <c r="Q1862" s="1" t="n">
        <v>6999.3</v>
      </c>
      <c r="R1862" s="1" t="n">
        <v>1259.87</v>
      </c>
      <c r="S1862" s="1" t="n">
        <v>5739.43</v>
      </c>
      <c r="T1862" s="1" t="n">
        <v>2633.75</v>
      </c>
      <c r="U1862" s="1" t="n">
        <v>3105.68</v>
      </c>
      <c r="V1862" s="1" t="n">
        <v>54.11</v>
      </c>
      <c r="W1862" s="1" t="s">
        <v>39</v>
      </c>
      <c r="X1862" s="1" t="n">
        <v>3.4</v>
      </c>
      <c r="Y1862" s="1" t="s">
        <v>40</v>
      </c>
      <c r="Z1862" s="1" t="n">
        <v>0</v>
      </c>
    </row>
    <row r="1863" customFormat="false" ht="15" hidden="false" customHeight="true" outlineLevel="0" collapsed="false">
      <c r="A1863" s="1" t="s">
        <v>2709</v>
      </c>
      <c r="B1863" s="1" t="s">
        <v>628</v>
      </c>
      <c r="C1863" s="1" t="s">
        <v>249</v>
      </c>
      <c r="D1863" s="1" t="s">
        <v>44</v>
      </c>
      <c r="E1863" s="1" t="s">
        <v>66</v>
      </c>
      <c r="F1863" s="1" t="s">
        <v>89</v>
      </c>
      <c r="G1863" s="1" t="s">
        <v>68</v>
      </c>
      <c r="H1863" s="1" t="s">
        <v>33</v>
      </c>
      <c r="I1863" s="1" t="s">
        <v>83</v>
      </c>
      <c r="J1863" s="1" t="s">
        <v>59</v>
      </c>
      <c r="K1863" s="1" t="s">
        <v>112</v>
      </c>
      <c r="L1863" s="1" t="s">
        <v>61</v>
      </c>
      <c r="M1863" s="1" t="s">
        <v>62</v>
      </c>
      <c r="N1863" s="1" t="n">
        <v>12999</v>
      </c>
      <c r="O1863" s="1" t="n">
        <v>15</v>
      </c>
      <c r="P1863" s="1" t="n">
        <v>1949.85</v>
      </c>
      <c r="Q1863" s="1" t="n">
        <v>11049.15</v>
      </c>
      <c r="R1863" s="1" t="n">
        <v>1988.85</v>
      </c>
      <c r="S1863" s="1" t="n">
        <v>9060.3</v>
      </c>
      <c r="T1863" s="1" t="n">
        <v>4260.98</v>
      </c>
      <c r="U1863" s="1" t="n">
        <v>4799.32</v>
      </c>
      <c r="V1863" s="1" t="n">
        <v>52.97</v>
      </c>
      <c r="W1863" s="1" t="s">
        <v>40</v>
      </c>
      <c r="Y1863" s="1" t="s">
        <v>40</v>
      </c>
      <c r="Z1863" s="1" t="n">
        <v>1</v>
      </c>
    </row>
    <row r="1864" customFormat="false" ht="15" hidden="false" customHeight="true" outlineLevel="0" collapsed="false">
      <c r="A1864" s="1" t="s">
        <v>2710</v>
      </c>
      <c r="B1864" s="1" t="s">
        <v>1996</v>
      </c>
      <c r="C1864" s="1" t="s">
        <v>249</v>
      </c>
      <c r="D1864" s="1" t="s">
        <v>94</v>
      </c>
      <c r="E1864" s="1" t="s">
        <v>135</v>
      </c>
      <c r="F1864" s="1" t="s">
        <v>67</v>
      </c>
      <c r="G1864" s="1" t="s">
        <v>68</v>
      </c>
      <c r="H1864" s="1" t="s">
        <v>69</v>
      </c>
      <c r="I1864" s="1" t="s">
        <v>83</v>
      </c>
      <c r="J1864" s="1" t="s">
        <v>70</v>
      </c>
      <c r="K1864" s="1" t="s">
        <v>90</v>
      </c>
      <c r="L1864" s="1" t="s">
        <v>85</v>
      </c>
      <c r="M1864" s="1" t="s">
        <v>50</v>
      </c>
      <c r="N1864" s="1" t="n">
        <v>9999</v>
      </c>
      <c r="O1864" s="1" t="n">
        <v>30</v>
      </c>
      <c r="P1864" s="1" t="n">
        <v>2999.7</v>
      </c>
      <c r="Q1864" s="1" t="n">
        <v>6999.3</v>
      </c>
      <c r="R1864" s="1" t="n">
        <v>1259.87</v>
      </c>
      <c r="S1864" s="1" t="n">
        <v>5739.43</v>
      </c>
      <c r="T1864" s="1" t="n">
        <v>1718.12</v>
      </c>
      <c r="U1864" s="1" t="n">
        <v>4021.31</v>
      </c>
      <c r="V1864" s="1" t="n">
        <v>70.06</v>
      </c>
      <c r="W1864" s="1" t="s">
        <v>40</v>
      </c>
      <c r="Y1864" s="1" t="s">
        <v>40</v>
      </c>
      <c r="Z1864" s="1" t="n">
        <v>0</v>
      </c>
    </row>
    <row r="1865" customFormat="false" ht="15" hidden="false" customHeight="true" outlineLevel="0" collapsed="false">
      <c r="A1865" s="1" t="s">
        <v>2711</v>
      </c>
      <c r="B1865" s="1" t="s">
        <v>821</v>
      </c>
      <c r="C1865" s="1" t="s">
        <v>28</v>
      </c>
      <c r="D1865" s="1" t="s">
        <v>123</v>
      </c>
      <c r="E1865" s="1" t="s">
        <v>233</v>
      </c>
      <c r="F1865" s="1" t="s">
        <v>153</v>
      </c>
      <c r="G1865" s="1" t="s">
        <v>76</v>
      </c>
      <c r="H1865" s="1" t="s">
        <v>33</v>
      </c>
      <c r="I1865" s="1" t="s">
        <v>58</v>
      </c>
      <c r="J1865" s="1" t="s">
        <v>77</v>
      </c>
      <c r="K1865" s="1" t="s">
        <v>60</v>
      </c>
      <c r="L1865" s="1" t="s">
        <v>37</v>
      </c>
      <c r="M1865" s="1" t="s">
        <v>38</v>
      </c>
      <c r="N1865" s="1" t="n">
        <v>8999</v>
      </c>
      <c r="O1865" s="1" t="n">
        <v>15</v>
      </c>
      <c r="P1865" s="1" t="n">
        <v>1349.85</v>
      </c>
      <c r="Q1865" s="1" t="n">
        <v>7649.15</v>
      </c>
      <c r="R1865" s="1" t="n">
        <v>1376.85</v>
      </c>
      <c r="S1865" s="1" t="n">
        <v>6272.3</v>
      </c>
      <c r="T1865" s="1" t="n">
        <v>3226.74</v>
      </c>
      <c r="U1865" s="1" t="n">
        <v>3045.56</v>
      </c>
      <c r="V1865" s="1" t="n">
        <v>48.56</v>
      </c>
      <c r="W1865" s="1" t="s">
        <v>39</v>
      </c>
      <c r="X1865" s="1" t="n">
        <v>3.7</v>
      </c>
      <c r="Y1865" s="1" t="s">
        <v>40</v>
      </c>
      <c r="Z1865" s="1" t="n">
        <v>1</v>
      </c>
    </row>
    <row r="1866" customFormat="false" ht="15" hidden="false" customHeight="true" outlineLevel="0" collapsed="false">
      <c r="A1866" s="1" t="s">
        <v>2712</v>
      </c>
      <c r="B1866" s="1" t="s">
        <v>1946</v>
      </c>
      <c r="C1866" s="1" t="s">
        <v>139</v>
      </c>
      <c r="D1866" s="1" t="s">
        <v>168</v>
      </c>
      <c r="E1866" s="1" t="s">
        <v>328</v>
      </c>
      <c r="F1866" s="1" t="s">
        <v>67</v>
      </c>
      <c r="G1866" s="1" t="s">
        <v>68</v>
      </c>
      <c r="H1866" s="1" t="s">
        <v>69</v>
      </c>
      <c r="I1866" s="1" t="s">
        <v>83</v>
      </c>
      <c r="J1866" s="1" t="s">
        <v>59</v>
      </c>
      <c r="K1866" s="1" t="s">
        <v>60</v>
      </c>
      <c r="L1866" s="1" t="s">
        <v>61</v>
      </c>
      <c r="M1866" s="1" t="s">
        <v>38</v>
      </c>
      <c r="N1866" s="1" t="n">
        <v>8999</v>
      </c>
      <c r="O1866" s="1" t="n">
        <v>25</v>
      </c>
      <c r="P1866" s="1" t="n">
        <v>2249.75</v>
      </c>
      <c r="Q1866" s="1" t="n">
        <v>6749.25</v>
      </c>
      <c r="R1866" s="1" t="n">
        <v>1214.87</v>
      </c>
      <c r="S1866" s="1" t="n">
        <v>5534.38</v>
      </c>
      <c r="T1866" s="1" t="n">
        <v>2235.55</v>
      </c>
      <c r="U1866" s="1" t="n">
        <v>3298.83</v>
      </c>
      <c r="V1866" s="1" t="n">
        <v>59.61</v>
      </c>
      <c r="W1866" s="1" t="s">
        <v>39</v>
      </c>
      <c r="X1866" s="1" t="n">
        <v>3.2</v>
      </c>
      <c r="Y1866" s="1" t="s">
        <v>40</v>
      </c>
      <c r="Z1866" s="1" t="n">
        <v>0</v>
      </c>
    </row>
    <row r="1867" customFormat="false" ht="15" hidden="false" customHeight="true" outlineLevel="0" collapsed="false">
      <c r="A1867" s="1" t="s">
        <v>2713</v>
      </c>
      <c r="B1867" s="1" t="s">
        <v>385</v>
      </c>
      <c r="C1867" s="1" t="s">
        <v>249</v>
      </c>
      <c r="D1867" s="1" t="s">
        <v>123</v>
      </c>
      <c r="E1867" s="1" t="s">
        <v>147</v>
      </c>
      <c r="F1867" s="1" t="s">
        <v>187</v>
      </c>
      <c r="G1867" s="1" t="s">
        <v>97</v>
      </c>
      <c r="H1867" s="1" t="s">
        <v>69</v>
      </c>
      <c r="I1867" s="1" t="s">
        <v>83</v>
      </c>
      <c r="J1867" s="1" t="s">
        <v>131</v>
      </c>
      <c r="K1867" s="1" t="s">
        <v>90</v>
      </c>
      <c r="L1867" s="1" t="s">
        <v>136</v>
      </c>
      <c r="M1867" s="1" t="s">
        <v>62</v>
      </c>
      <c r="N1867" s="1" t="n">
        <v>6999</v>
      </c>
      <c r="O1867" s="1" t="n">
        <v>20</v>
      </c>
      <c r="P1867" s="1" t="n">
        <v>1399.8</v>
      </c>
      <c r="Q1867" s="1" t="n">
        <v>5599.2</v>
      </c>
      <c r="R1867" s="1" t="n">
        <v>1007.86</v>
      </c>
      <c r="S1867" s="1" t="n">
        <v>4591.34</v>
      </c>
      <c r="T1867" s="1" t="n">
        <v>1514.04</v>
      </c>
      <c r="U1867" s="1" t="n">
        <v>3077.3</v>
      </c>
      <c r="V1867" s="1" t="n">
        <v>67.02</v>
      </c>
      <c r="W1867" s="1" t="s">
        <v>39</v>
      </c>
      <c r="X1867" s="1" t="n">
        <v>4.7</v>
      </c>
      <c r="Y1867" s="1" t="s">
        <v>40</v>
      </c>
      <c r="Z1867" s="1" t="n">
        <v>1</v>
      </c>
    </row>
    <row r="1868" customFormat="false" ht="15" hidden="false" customHeight="true" outlineLevel="0" collapsed="false">
      <c r="A1868" s="1" t="s">
        <v>2714</v>
      </c>
      <c r="B1868" s="1" t="s">
        <v>263</v>
      </c>
      <c r="C1868" s="1" t="s">
        <v>93</v>
      </c>
      <c r="D1868" s="1" t="s">
        <v>80</v>
      </c>
      <c r="E1868" s="1" t="s">
        <v>190</v>
      </c>
      <c r="F1868" s="1" t="s">
        <v>67</v>
      </c>
      <c r="G1868" s="1" t="s">
        <v>68</v>
      </c>
      <c r="H1868" s="1" t="s">
        <v>69</v>
      </c>
      <c r="I1868" s="1" t="s">
        <v>83</v>
      </c>
      <c r="J1868" s="1" t="s">
        <v>77</v>
      </c>
      <c r="K1868" s="1" t="s">
        <v>84</v>
      </c>
      <c r="L1868" s="1" t="s">
        <v>136</v>
      </c>
      <c r="M1868" s="1" t="s">
        <v>38</v>
      </c>
      <c r="N1868" s="1" t="n">
        <v>15999</v>
      </c>
      <c r="O1868" s="1" t="n">
        <v>0</v>
      </c>
      <c r="P1868" s="1" t="n">
        <v>0</v>
      </c>
      <c r="Q1868" s="1" t="n">
        <v>15999</v>
      </c>
      <c r="R1868" s="1" t="n">
        <v>2879.82</v>
      </c>
      <c r="S1868" s="1" t="n">
        <v>13119.18</v>
      </c>
      <c r="T1868" s="1" t="n">
        <v>5437.07</v>
      </c>
      <c r="U1868" s="1" t="n">
        <v>7682.11</v>
      </c>
      <c r="V1868" s="1" t="n">
        <v>58.56</v>
      </c>
      <c r="W1868" s="1" t="s">
        <v>40</v>
      </c>
      <c r="Y1868" s="1" t="s">
        <v>40</v>
      </c>
      <c r="Z1868" s="1" t="n">
        <v>0</v>
      </c>
    </row>
    <row r="1869" customFormat="false" ht="15" hidden="false" customHeight="true" outlineLevel="0" collapsed="false">
      <c r="A1869" s="1" t="s">
        <v>2715</v>
      </c>
      <c r="B1869" s="1" t="s">
        <v>2716</v>
      </c>
      <c r="C1869" s="1" t="s">
        <v>167</v>
      </c>
      <c r="D1869" s="1" t="s">
        <v>168</v>
      </c>
      <c r="E1869" s="1" t="s">
        <v>197</v>
      </c>
      <c r="F1869" s="1" t="s">
        <v>31</v>
      </c>
      <c r="G1869" s="1" t="s">
        <v>32</v>
      </c>
      <c r="H1869" s="1" t="s">
        <v>33</v>
      </c>
      <c r="I1869" s="1" t="s">
        <v>58</v>
      </c>
      <c r="J1869" s="1" t="s">
        <v>70</v>
      </c>
      <c r="K1869" s="1" t="s">
        <v>36</v>
      </c>
      <c r="L1869" s="1" t="s">
        <v>61</v>
      </c>
      <c r="M1869" s="1" t="s">
        <v>62</v>
      </c>
      <c r="N1869" s="1" t="n">
        <v>8499</v>
      </c>
      <c r="O1869" s="1" t="n">
        <v>5</v>
      </c>
      <c r="P1869" s="1" t="n">
        <v>424.95</v>
      </c>
      <c r="Q1869" s="1" t="n">
        <v>8074.05</v>
      </c>
      <c r="R1869" s="1" t="n">
        <v>1453.33</v>
      </c>
      <c r="S1869" s="1" t="n">
        <v>6620.72</v>
      </c>
      <c r="T1869" s="1" t="n">
        <v>3224.4</v>
      </c>
      <c r="U1869" s="1" t="n">
        <v>3396.32</v>
      </c>
      <c r="V1869" s="1" t="n">
        <v>51.3</v>
      </c>
      <c r="W1869" s="1" t="s">
        <v>39</v>
      </c>
      <c r="X1869" s="1" t="n">
        <v>3.5</v>
      </c>
      <c r="Y1869" s="1" t="s">
        <v>40</v>
      </c>
      <c r="Z1869" s="1" t="n">
        <v>0</v>
      </c>
    </row>
    <row r="1870" customFormat="false" ht="15" hidden="false" customHeight="true" outlineLevel="0" collapsed="false">
      <c r="A1870" s="1" t="s">
        <v>2717</v>
      </c>
      <c r="B1870" s="1" t="s">
        <v>872</v>
      </c>
      <c r="C1870" s="1" t="s">
        <v>119</v>
      </c>
      <c r="D1870" s="1" t="s">
        <v>44</v>
      </c>
      <c r="E1870" s="1" t="s">
        <v>45</v>
      </c>
      <c r="F1870" s="1" t="s">
        <v>269</v>
      </c>
      <c r="G1870" s="1" t="s">
        <v>108</v>
      </c>
      <c r="H1870" s="1" t="s">
        <v>57</v>
      </c>
      <c r="I1870" s="1" t="s">
        <v>58</v>
      </c>
      <c r="J1870" s="1" t="s">
        <v>77</v>
      </c>
      <c r="K1870" s="1" t="s">
        <v>48</v>
      </c>
      <c r="L1870" s="1" t="s">
        <v>136</v>
      </c>
      <c r="M1870" s="1" t="s">
        <v>62</v>
      </c>
      <c r="N1870" s="1" t="n">
        <v>11999</v>
      </c>
      <c r="O1870" s="1" t="n">
        <v>15</v>
      </c>
      <c r="P1870" s="1" t="n">
        <v>1799.85</v>
      </c>
      <c r="Q1870" s="1" t="n">
        <v>10199.15</v>
      </c>
      <c r="R1870" s="1" t="n">
        <v>1835.85</v>
      </c>
      <c r="S1870" s="1" t="n">
        <v>8363.3</v>
      </c>
      <c r="T1870" s="1" t="n">
        <v>3986.48</v>
      </c>
      <c r="U1870" s="1" t="n">
        <v>4376.82</v>
      </c>
      <c r="V1870" s="1" t="n">
        <v>52.33</v>
      </c>
      <c r="W1870" s="1" t="s">
        <v>39</v>
      </c>
      <c r="X1870" s="1" t="n">
        <v>3.4</v>
      </c>
      <c r="Y1870" s="1" t="s">
        <v>40</v>
      </c>
      <c r="Z1870" s="1" t="n">
        <v>0</v>
      </c>
    </row>
    <row r="1871" customFormat="false" ht="15" hidden="false" customHeight="true" outlineLevel="0" collapsed="false">
      <c r="A1871" s="1" t="s">
        <v>2718</v>
      </c>
      <c r="B1871" s="1" t="s">
        <v>1118</v>
      </c>
      <c r="C1871" s="1" t="s">
        <v>139</v>
      </c>
      <c r="D1871" s="1" t="s">
        <v>53</v>
      </c>
      <c r="E1871" s="1" t="s">
        <v>54</v>
      </c>
      <c r="F1871" s="1" t="s">
        <v>89</v>
      </c>
      <c r="G1871" s="1" t="s">
        <v>68</v>
      </c>
      <c r="H1871" s="1" t="s">
        <v>33</v>
      </c>
      <c r="I1871" s="1" t="s">
        <v>83</v>
      </c>
      <c r="J1871" s="1" t="s">
        <v>131</v>
      </c>
      <c r="K1871" s="1" t="s">
        <v>112</v>
      </c>
      <c r="L1871" s="1" t="s">
        <v>85</v>
      </c>
      <c r="M1871" s="1" t="s">
        <v>62</v>
      </c>
      <c r="N1871" s="1" t="n">
        <v>11999</v>
      </c>
      <c r="O1871" s="1" t="n">
        <v>15</v>
      </c>
      <c r="P1871" s="1" t="n">
        <v>1799.85</v>
      </c>
      <c r="Q1871" s="1" t="n">
        <v>10199.15</v>
      </c>
      <c r="R1871" s="1" t="n">
        <v>1835.85</v>
      </c>
      <c r="S1871" s="1" t="n">
        <v>8363.3</v>
      </c>
      <c r="T1871" s="1" t="n">
        <v>4105.99</v>
      </c>
      <c r="U1871" s="1" t="n">
        <v>4257.31</v>
      </c>
      <c r="V1871" s="1" t="n">
        <v>50.9</v>
      </c>
      <c r="W1871" s="1" t="s">
        <v>39</v>
      </c>
      <c r="X1871" s="1" t="n">
        <v>4.2</v>
      </c>
      <c r="Y1871" s="1" t="s">
        <v>40</v>
      </c>
      <c r="Z1871" s="1" t="n">
        <v>0</v>
      </c>
    </row>
    <row r="1872" customFormat="false" ht="15" hidden="false" customHeight="true" outlineLevel="0" collapsed="false">
      <c r="A1872" s="1" t="s">
        <v>2719</v>
      </c>
      <c r="B1872" s="1" t="s">
        <v>2720</v>
      </c>
      <c r="C1872" s="1" t="s">
        <v>134</v>
      </c>
      <c r="D1872" s="1" t="s">
        <v>168</v>
      </c>
      <c r="E1872" s="1" t="s">
        <v>169</v>
      </c>
      <c r="F1872" s="1" t="s">
        <v>120</v>
      </c>
      <c r="G1872" s="1" t="s">
        <v>47</v>
      </c>
      <c r="H1872" s="1" t="s">
        <v>57</v>
      </c>
      <c r="I1872" s="1" t="s">
        <v>58</v>
      </c>
      <c r="J1872" s="1" t="s">
        <v>70</v>
      </c>
      <c r="K1872" s="1" t="s">
        <v>90</v>
      </c>
      <c r="L1872" s="1" t="s">
        <v>85</v>
      </c>
      <c r="M1872" s="1" t="s">
        <v>50</v>
      </c>
      <c r="N1872" s="1" t="n">
        <v>4999</v>
      </c>
      <c r="O1872" s="1" t="n">
        <v>20</v>
      </c>
      <c r="P1872" s="1" t="n">
        <v>999.8</v>
      </c>
      <c r="Q1872" s="1" t="n">
        <v>3999.2</v>
      </c>
      <c r="R1872" s="1" t="n">
        <v>719.86</v>
      </c>
      <c r="S1872" s="1" t="n">
        <v>3279.34</v>
      </c>
      <c r="T1872" s="1" t="n">
        <v>1496.89</v>
      </c>
      <c r="U1872" s="1" t="n">
        <v>1782.45</v>
      </c>
      <c r="V1872" s="1" t="n">
        <v>54.35</v>
      </c>
      <c r="W1872" s="1" t="s">
        <v>39</v>
      </c>
      <c r="X1872" s="1" t="n">
        <v>2.8</v>
      </c>
      <c r="Y1872" s="1" t="s">
        <v>40</v>
      </c>
      <c r="Z1872" s="1" t="n">
        <v>1</v>
      </c>
    </row>
    <row r="1873" customFormat="false" ht="15" hidden="false" customHeight="true" outlineLevel="0" collapsed="false">
      <c r="A1873" s="1" t="s">
        <v>2721</v>
      </c>
      <c r="B1873" s="1" t="s">
        <v>460</v>
      </c>
      <c r="C1873" s="1" t="s">
        <v>139</v>
      </c>
      <c r="D1873" s="1" t="s">
        <v>143</v>
      </c>
      <c r="E1873" s="1" t="s">
        <v>210</v>
      </c>
      <c r="F1873" s="1" t="s">
        <v>150</v>
      </c>
      <c r="G1873" s="1" t="s">
        <v>32</v>
      </c>
      <c r="H1873" s="1" t="s">
        <v>57</v>
      </c>
      <c r="I1873" s="1" t="s">
        <v>58</v>
      </c>
      <c r="J1873" s="1" t="s">
        <v>59</v>
      </c>
      <c r="K1873" s="1" t="s">
        <v>84</v>
      </c>
      <c r="L1873" s="1" t="s">
        <v>113</v>
      </c>
      <c r="M1873" s="1" t="s">
        <v>62</v>
      </c>
      <c r="N1873" s="1" t="n">
        <v>18999</v>
      </c>
      <c r="O1873" s="1" t="n">
        <v>0</v>
      </c>
      <c r="P1873" s="1" t="n">
        <v>0</v>
      </c>
      <c r="Q1873" s="1" t="n">
        <v>18999</v>
      </c>
      <c r="R1873" s="1" t="n">
        <v>3419.82</v>
      </c>
      <c r="S1873" s="1" t="n">
        <v>15579.18</v>
      </c>
      <c r="T1873" s="1" t="n">
        <v>5921.2</v>
      </c>
      <c r="U1873" s="1" t="n">
        <v>9657.98</v>
      </c>
      <c r="V1873" s="1" t="n">
        <v>61.99</v>
      </c>
      <c r="W1873" s="1" t="s">
        <v>40</v>
      </c>
      <c r="Y1873" s="1" t="s">
        <v>40</v>
      </c>
      <c r="Z1873" s="1" t="n">
        <v>0</v>
      </c>
    </row>
    <row r="1874" customFormat="false" ht="15" hidden="false" customHeight="true" outlineLevel="0" collapsed="false">
      <c r="A1874" s="1" t="s">
        <v>2722</v>
      </c>
      <c r="B1874" s="1" t="s">
        <v>1107</v>
      </c>
      <c r="C1874" s="1" t="s">
        <v>128</v>
      </c>
      <c r="D1874" s="1" t="s">
        <v>123</v>
      </c>
      <c r="E1874" s="1" t="s">
        <v>233</v>
      </c>
      <c r="F1874" s="1" t="s">
        <v>187</v>
      </c>
      <c r="G1874" s="1" t="s">
        <v>97</v>
      </c>
      <c r="H1874" s="1" t="s">
        <v>69</v>
      </c>
      <c r="I1874" s="1" t="s">
        <v>34</v>
      </c>
      <c r="J1874" s="1" t="s">
        <v>35</v>
      </c>
      <c r="K1874" s="1" t="s">
        <v>71</v>
      </c>
      <c r="L1874" s="1" t="s">
        <v>37</v>
      </c>
      <c r="M1874" s="1" t="s">
        <v>62</v>
      </c>
      <c r="N1874" s="1" t="n">
        <v>8999</v>
      </c>
      <c r="O1874" s="1" t="n">
        <v>5</v>
      </c>
      <c r="P1874" s="1" t="n">
        <v>449.95</v>
      </c>
      <c r="Q1874" s="1" t="n">
        <v>8549.05</v>
      </c>
      <c r="R1874" s="1" t="n">
        <v>1538.83</v>
      </c>
      <c r="S1874" s="1" t="n">
        <v>7010.22</v>
      </c>
      <c r="T1874" s="1" t="n">
        <v>2802.14</v>
      </c>
      <c r="U1874" s="1" t="n">
        <v>4208.08</v>
      </c>
      <c r="V1874" s="1" t="n">
        <v>60.03</v>
      </c>
      <c r="W1874" s="1" t="s">
        <v>39</v>
      </c>
      <c r="X1874" s="1" t="n">
        <v>3</v>
      </c>
      <c r="Y1874" s="1" t="s">
        <v>40</v>
      </c>
      <c r="Z1874" s="1" t="n">
        <v>0</v>
      </c>
    </row>
    <row r="1875" customFormat="false" ht="15" hidden="false" customHeight="true" outlineLevel="0" collapsed="false">
      <c r="A1875" s="1" t="s">
        <v>2723</v>
      </c>
      <c r="B1875" s="1" t="s">
        <v>1959</v>
      </c>
      <c r="C1875" s="1" t="s">
        <v>139</v>
      </c>
      <c r="D1875" s="1" t="s">
        <v>44</v>
      </c>
      <c r="E1875" s="1" t="s">
        <v>221</v>
      </c>
      <c r="F1875" s="1" t="s">
        <v>205</v>
      </c>
      <c r="G1875" s="1" t="s">
        <v>56</v>
      </c>
      <c r="H1875" s="1" t="s">
        <v>69</v>
      </c>
      <c r="I1875" s="1" t="s">
        <v>34</v>
      </c>
      <c r="J1875" s="1" t="s">
        <v>77</v>
      </c>
      <c r="K1875" s="1" t="s">
        <v>90</v>
      </c>
      <c r="L1875" s="1" t="s">
        <v>85</v>
      </c>
      <c r="M1875" s="1" t="s">
        <v>38</v>
      </c>
      <c r="N1875" s="1" t="n">
        <v>16999</v>
      </c>
      <c r="O1875" s="1" t="n">
        <v>10</v>
      </c>
      <c r="P1875" s="1" t="n">
        <v>1699.9</v>
      </c>
      <c r="Q1875" s="1" t="n">
        <v>15299.1</v>
      </c>
      <c r="R1875" s="1" t="n">
        <v>2753.84</v>
      </c>
      <c r="S1875" s="1" t="n">
        <v>12545.26</v>
      </c>
      <c r="T1875" s="1" t="n">
        <v>4643.27</v>
      </c>
      <c r="U1875" s="1" t="n">
        <v>7901.99</v>
      </c>
      <c r="V1875" s="1" t="n">
        <v>62.99</v>
      </c>
      <c r="W1875" s="1" t="s">
        <v>39</v>
      </c>
      <c r="X1875" s="1" t="n">
        <v>3</v>
      </c>
      <c r="Y1875" s="1" t="s">
        <v>40</v>
      </c>
      <c r="Z1875" s="1" t="n">
        <v>0</v>
      </c>
    </row>
    <row r="1876" customFormat="false" ht="15" hidden="false" customHeight="true" outlineLevel="0" collapsed="false">
      <c r="A1876" s="1" t="s">
        <v>2724</v>
      </c>
      <c r="B1876" s="1" t="s">
        <v>290</v>
      </c>
      <c r="C1876" s="1" t="s">
        <v>28</v>
      </c>
      <c r="D1876" s="1" t="s">
        <v>29</v>
      </c>
      <c r="E1876" s="1" t="s">
        <v>30</v>
      </c>
      <c r="F1876" s="1" t="s">
        <v>67</v>
      </c>
      <c r="G1876" s="1" t="s">
        <v>68</v>
      </c>
      <c r="H1876" s="1" t="s">
        <v>69</v>
      </c>
      <c r="I1876" s="1" t="s">
        <v>34</v>
      </c>
      <c r="J1876" s="1" t="s">
        <v>131</v>
      </c>
      <c r="K1876" s="1" t="s">
        <v>104</v>
      </c>
      <c r="L1876" s="1" t="s">
        <v>61</v>
      </c>
      <c r="M1876" s="1" t="s">
        <v>62</v>
      </c>
      <c r="N1876" s="1" t="n">
        <v>7999</v>
      </c>
      <c r="O1876" s="1" t="n">
        <v>20</v>
      </c>
      <c r="P1876" s="1" t="n">
        <v>1599.8</v>
      </c>
      <c r="Q1876" s="1" t="n">
        <v>6399.2</v>
      </c>
      <c r="R1876" s="1" t="n">
        <v>1151.86</v>
      </c>
      <c r="S1876" s="1" t="n">
        <v>5247.34</v>
      </c>
      <c r="T1876" s="1" t="n">
        <v>1882.52</v>
      </c>
      <c r="U1876" s="1" t="n">
        <v>3364.82</v>
      </c>
      <c r="V1876" s="1" t="n">
        <v>64.12</v>
      </c>
      <c r="W1876" s="1" t="s">
        <v>39</v>
      </c>
      <c r="X1876" s="1" t="n">
        <v>4.1</v>
      </c>
      <c r="Y1876" s="1" t="s">
        <v>40</v>
      </c>
      <c r="Z1876" s="1" t="n">
        <v>0</v>
      </c>
    </row>
    <row r="1877" customFormat="false" ht="15" hidden="false" customHeight="true" outlineLevel="0" collapsed="false">
      <c r="A1877" s="1" t="s">
        <v>2725</v>
      </c>
      <c r="B1877" s="1" t="s">
        <v>115</v>
      </c>
      <c r="C1877" s="1" t="s">
        <v>167</v>
      </c>
      <c r="D1877" s="1" t="s">
        <v>94</v>
      </c>
      <c r="E1877" s="1" t="s">
        <v>135</v>
      </c>
      <c r="F1877" s="1" t="s">
        <v>140</v>
      </c>
      <c r="G1877" s="1" t="s">
        <v>97</v>
      </c>
      <c r="H1877" s="1" t="s">
        <v>57</v>
      </c>
      <c r="I1877" s="1" t="s">
        <v>34</v>
      </c>
      <c r="J1877" s="1" t="s">
        <v>59</v>
      </c>
      <c r="K1877" s="1" t="s">
        <v>48</v>
      </c>
      <c r="L1877" s="1" t="s">
        <v>85</v>
      </c>
      <c r="M1877" s="1" t="s">
        <v>38</v>
      </c>
      <c r="N1877" s="1" t="n">
        <v>9999</v>
      </c>
      <c r="O1877" s="1" t="n">
        <v>25</v>
      </c>
      <c r="P1877" s="1" t="n">
        <v>2499.75</v>
      </c>
      <c r="Q1877" s="1" t="n">
        <v>7499.25</v>
      </c>
      <c r="R1877" s="1" t="n">
        <v>1349.87</v>
      </c>
      <c r="S1877" s="1" t="n">
        <v>6149.38</v>
      </c>
      <c r="T1877" s="1" t="n">
        <v>2395.43</v>
      </c>
      <c r="U1877" s="1" t="n">
        <v>3753.95</v>
      </c>
      <c r="V1877" s="1" t="n">
        <v>61.05</v>
      </c>
      <c r="W1877" s="1" t="s">
        <v>40</v>
      </c>
      <c r="Y1877" s="1" t="s">
        <v>39</v>
      </c>
      <c r="Z1877" s="1" t="n">
        <v>0</v>
      </c>
    </row>
    <row r="1878" customFormat="false" ht="15" hidden="false" customHeight="true" outlineLevel="0" collapsed="false">
      <c r="A1878" s="1" t="s">
        <v>2726</v>
      </c>
      <c r="B1878" s="1" t="s">
        <v>161</v>
      </c>
      <c r="C1878" s="1" t="s">
        <v>65</v>
      </c>
      <c r="D1878" s="1" t="s">
        <v>80</v>
      </c>
      <c r="E1878" s="1" t="s">
        <v>81</v>
      </c>
      <c r="F1878" s="1" t="s">
        <v>269</v>
      </c>
      <c r="G1878" s="1" t="s">
        <v>108</v>
      </c>
      <c r="H1878" s="1" t="s">
        <v>57</v>
      </c>
      <c r="I1878" s="1" t="s">
        <v>83</v>
      </c>
      <c r="J1878" s="1" t="s">
        <v>70</v>
      </c>
      <c r="K1878" s="1" t="s">
        <v>84</v>
      </c>
      <c r="L1878" s="1" t="s">
        <v>113</v>
      </c>
      <c r="M1878" s="1" t="s">
        <v>38</v>
      </c>
      <c r="N1878" s="1" t="n">
        <v>12999</v>
      </c>
      <c r="O1878" s="1" t="n">
        <v>10</v>
      </c>
      <c r="P1878" s="1" t="n">
        <v>1299.9</v>
      </c>
      <c r="Q1878" s="1" t="n">
        <v>11699.1</v>
      </c>
      <c r="R1878" s="1" t="n">
        <v>2105.84</v>
      </c>
      <c r="S1878" s="1" t="n">
        <v>9593.26</v>
      </c>
      <c r="T1878" s="1" t="n">
        <v>4278.26</v>
      </c>
      <c r="U1878" s="1" t="n">
        <v>5315</v>
      </c>
      <c r="V1878" s="1" t="n">
        <v>55.4</v>
      </c>
      <c r="W1878" s="1" t="s">
        <v>39</v>
      </c>
      <c r="X1878" s="1" t="n">
        <v>4.1</v>
      </c>
      <c r="Y1878" s="1" t="s">
        <v>40</v>
      </c>
      <c r="Z1878" s="1" t="n">
        <v>0</v>
      </c>
    </row>
    <row r="1879" customFormat="false" ht="15" hidden="false" customHeight="true" outlineLevel="0" collapsed="false">
      <c r="A1879" s="1" t="s">
        <v>2727</v>
      </c>
      <c r="B1879" s="1" t="s">
        <v>483</v>
      </c>
      <c r="C1879" s="1" t="s">
        <v>100</v>
      </c>
      <c r="D1879" s="1" t="s">
        <v>44</v>
      </c>
      <c r="E1879" s="1" t="s">
        <v>221</v>
      </c>
      <c r="F1879" s="1" t="s">
        <v>96</v>
      </c>
      <c r="G1879" s="1" t="s">
        <v>97</v>
      </c>
      <c r="H1879" s="1" t="s">
        <v>69</v>
      </c>
      <c r="I1879" s="1" t="s">
        <v>58</v>
      </c>
      <c r="J1879" s="1" t="s">
        <v>59</v>
      </c>
      <c r="K1879" s="1" t="s">
        <v>36</v>
      </c>
      <c r="L1879" s="1" t="s">
        <v>37</v>
      </c>
      <c r="M1879" s="1" t="s">
        <v>62</v>
      </c>
      <c r="N1879" s="1" t="n">
        <v>16999</v>
      </c>
      <c r="O1879" s="1" t="n">
        <v>50</v>
      </c>
      <c r="P1879" s="1" t="n">
        <v>8499.5</v>
      </c>
      <c r="Q1879" s="1" t="n">
        <v>8499.5</v>
      </c>
      <c r="R1879" s="1" t="n">
        <v>1529.91</v>
      </c>
      <c r="S1879" s="1" t="n">
        <v>6969.59</v>
      </c>
      <c r="T1879" s="1" t="n">
        <v>3193.43</v>
      </c>
      <c r="U1879" s="1" t="n">
        <v>3776.16</v>
      </c>
      <c r="V1879" s="1" t="n">
        <v>54.18</v>
      </c>
      <c r="W1879" s="1" t="s">
        <v>39</v>
      </c>
      <c r="X1879" s="1" t="n">
        <v>3.9</v>
      </c>
      <c r="Y1879" s="1" t="s">
        <v>40</v>
      </c>
      <c r="Z1879" s="1" t="n">
        <v>2</v>
      </c>
    </row>
    <row r="1880" customFormat="false" ht="15" hidden="false" customHeight="true" outlineLevel="0" collapsed="false">
      <c r="A1880" s="1" t="s">
        <v>2728</v>
      </c>
      <c r="B1880" s="1" t="s">
        <v>1698</v>
      </c>
      <c r="C1880" s="1" t="s">
        <v>93</v>
      </c>
      <c r="D1880" s="1" t="s">
        <v>168</v>
      </c>
      <c r="E1880" s="1" t="s">
        <v>328</v>
      </c>
      <c r="F1880" s="1" t="s">
        <v>120</v>
      </c>
      <c r="G1880" s="1" t="s">
        <v>47</v>
      </c>
      <c r="H1880" s="1" t="s">
        <v>57</v>
      </c>
      <c r="I1880" s="1" t="s">
        <v>58</v>
      </c>
      <c r="J1880" s="1" t="s">
        <v>131</v>
      </c>
      <c r="K1880" s="1" t="s">
        <v>84</v>
      </c>
      <c r="L1880" s="1" t="s">
        <v>37</v>
      </c>
      <c r="M1880" s="1" t="s">
        <v>62</v>
      </c>
      <c r="N1880" s="1" t="n">
        <v>8999</v>
      </c>
      <c r="O1880" s="1" t="n">
        <v>50</v>
      </c>
      <c r="P1880" s="1" t="n">
        <v>4499.5</v>
      </c>
      <c r="Q1880" s="1" t="n">
        <v>4499.5</v>
      </c>
      <c r="R1880" s="1" t="n">
        <v>809.91</v>
      </c>
      <c r="S1880" s="1" t="n">
        <v>3689.59</v>
      </c>
      <c r="T1880" s="1" t="n">
        <v>1828.6</v>
      </c>
      <c r="U1880" s="1" t="n">
        <v>1860.99</v>
      </c>
      <c r="V1880" s="1" t="n">
        <v>50.44</v>
      </c>
      <c r="W1880" s="1" t="s">
        <v>39</v>
      </c>
      <c r="X1880" s="1" t="n">
        <v>2.8</v>
      </c>
      <c r="Y1880" s="1" t="s">
        <v>40</v>
      </c>
      <c r="Z1880" s="1" t="n">
        <v>0</v>
      </c>
    </row>
    <row r="1881" customFormat="false" ht="15" hidden="false" customHeight="true" outlineLevel="0" collapsed="false">
      <c r="A1881" s="1" t="s">
        <v>2729</v>
      </c>
      <c r="B1881" s="1" t="s">
        <v>2730</v>
      </c>
      <c r="C1881" s="1" t="s">
        <v>74</v>
      </c>
      <c r="D1881" s="1" t="s">
        <v>80</v>
      </c>
      <c r="E1881" s="1" t="s">
        <v>81</v>
      </c>
      <c r="F1881" s="1" t="s">
        <v>89</v>
      </c>
      <c r="G1881" s="1" t="s">
        <v>68</v>
      </c>
      <c r="H1881" s="1" t="s">
        <v>33</v>
      </c>
      <c r="I1881" s="1" t="s">
        <v>83</v>
      </c>
      <c r="J1881" s="1" t="s">
        <v>70</v>
      </c>
      <c r="K1881" s="1" t="s">
        <v>104</v>
      </c>
      <c r="L1881" s="1" t="s">
        <v>61</v>
      </c>
      <c r="M1881" s="1" t="s">
        <v>62</v>
      </c>
      <c r="N1881" s="1" t="n">
        <v>12999</v>
      </c>
      <c r="O1881" s="1" t="n">
        <v>10</v>
      </c>
      <c r="P1881" s="1" t="n">
        <v>1299.9</v>
      </c>
      <c r="Q1881" s="1" t="n">
        <v>11699.1</v>
      </c>
      <c r="R1881" s="1" t="n">
        <v>2105.84</v>
      </c>
      <c r="S1881" s="1" t="n">
        <v>9593.26</v>
      </c>
      <c r="T1881" s="1" t="n">
        <v>4037.32</v>
      </c>
      <c r="U1881" s="1" t="n">
        <v>5555.94</v>
      </c>
      <c r="V1881" s="1" t="n">
        <v>57.92</v>
      </c>
      <c r="W1881" s="1" t="s">
        <v>39</v>
      </c>
      <c r="X1881" s="1" t="n">
        <v>3</v>
      </c>
      <c r="Y1881" s="1" t="s">
        <v>40</v>
      </c>
      <c r="Z1881" s="1" t="n">
        <v>0</v>
      </c>
    </row>
    <row r="1882" customFormat="false" ht="15" hidden="false" customHeight="true" outlineLevel="0" collapsed="false">
      <c r="A1882" s="1" t="s">
        <v>2731</v>
      </c>
      <c r="B1882" s="1" t="s">
        <v>2422</v>
      </c>
      <c r="C1882" s="1" t="s">
        <v>43</v>
      </c>
      <c r="D1882" s="1" t="s">
        <v>143</v>
      </c>
      <c r="E1882" s="1" t="s">
        <v>243</v>
      </c>
      <c r="F1882" s="1" t="s">
        <v>67</v>
      </c>
      <c r="G1882" s="1" t="s">
        <v>68</v>
      </c>
      <c r="H1882" s="1" t="s">
        <v>69</v>
      </c>
      <c r="I1882" s="1" t="s">
        <v>34</v>
      </c>
      <c r="J1882" s="1" t="s">
        <v>59</v>
      </c>
      <c r="K1882" s="1" t="s">
        <v>71</v>
      </c>
      <c r="L1882" s="1" t="s">
        <v>85</v>
      </c>
      <c r="M1882" s="1" t="s">
        <v>62</v>
      </c>
      <c r="N1882" s="1" t="n">
        <v>22999</v>
      </c>
      <c r="O1882" s="1" t="n">
        <v>40</v>
      </c>
      <c r="P1882" s="1" t="n">
        <v>9199.6</v>
      </c>
      <c r="Q1882" s="1" t="n">
        <v>13799.4</v>
      </c>
      <c r="R1882" s="1" t="n">
        <v>2483.89</v>
      </c>
      <c r="S1882" s="1" t="n">
        <v>11315.51</v>
      </c>
      <c r="T1882" s="1" t="n">
        <v>4944.38</v>
      </c>
      <c r="U1882" s="1" t="n">
        <v>6371.13</v>
      </c>
      <c r="V1882" s="1" t="n">
        <v>56.3</v>
      </c>
      <c r="W1882" s="1" t="s">
        <v>39</v>
      </c>
      <c r="X1882" s="1" t="n">
        <v>4.8</v>
      </c>
      <c r="Y1882" s="1" t="s">
        <v>40</v>
      </c>
      <c r="Z1882" s="1" t="n">
        <v>0</v>
      </c>
    </row>
    <row r="1883" customFormat="false" ht="15" hidden="false" customHeight="true" outlineLevel="0" collapsed="false">
      <c r="A1883" s="1" t="s">
        <v>2732</v>
      </c>
      <c r="B1883" s="1" t="s">
        <v>1148</v>
      </c>
      <c r="C1883" s="1" t="s">
        <v>88</v>
      </c>
      <c r="D1883" s="1" t="s">
        <v>94</v>
      </c>
      <c r="E1883" s="1" t="s">
        <v>135</v>
      </c>
      <c r="F1883" s="1" t="s">
        <v>150</v>
      </c>
      <c r="G1883" s="1" t="s">
        <v>32</v>
      </c>
      <c r="H1883" s="1" t="s">
        <v>57</v>
      </c>
      <c r="I1883" s="1" t="s">
        <v>58</v>
      </c>
      <c r="J1883" s="1" t="s">
        <v>70</v>
      </c>
      <c r="K1883" s="1" t="s">
        <v>71</v>
      </c>
      <c r="L1883" s="1" t="s">
        <v>85</v>
      </c>
      <c r="M1883" s="1" t="s">
        <v>38</v>
      </c>
      <c r="N1883" s="1" t="n">
        <v>9999</v>
      </c>
      <c r="O1883" s="1" t="n">
        <v>20</v>
      </c>
      <c r="P1883" s="1" t="n">
        <v>1999.8</v>
      </c>
      <c r="Q1883" s="1" t="n">
        <v>7999.2</v>
      </c>
      <c r="R1883" s="1" t="n">
        <v>1439.86</v>
      </c>
      <c r="S1883" s="1" t="n">
        <v>6559.34</v>
      </c>
      <c r="T1883" s="1" t="n">
        <v>3013.85</v>
      </c>
      <c r="U1883" s="1" t="n">
        <v>3545.49</v>
      </c>
      <c r="V1883" s="1" t="n">
        <v>54.05</v>
      </c>
      <c r="W1883" s="1" t="s">
        <v>39</v>
      </c>
      <c r="X1883" s="1" t="n">
        <v>3.7</v>
      </c>
      <c r="Y1883" s="1" t="s">
        <v>40</v>
      </c>
      <c r="Z1883" s="1" t="n">
        <v>0</v>
      </c>
    </row>
    <row r="1884" customFormat="false" ht="15" hidden="false" customHeight="true" outlineLevel="0" collapsed="false">
      <c r="A1884" s="1" t="s">
        <v>2733</v>
      </c>
      <c r="B1884" s="1" t="s">
        <v>1398</v>
      </c>
      <c r="C1884" s="1" t="s">
        <v>65</v>
      </c>
      <c r="D1884" s="1" t="s">
        <v>53</v>
      </c>
      <c r="E1884" s="1" t="s">
        <v>54</v>
      </c>
      <c r="F1884" s="1" t="s">
        <v>75</v>
      </c>
      <c r="G1884" s="1" t="s">
        <v>76</v>
      </c>
      <c r="H1884" s="1" t="s">
        <v>69</v>
      </c>
      <c r="I1884" s="1" t="s">
        <v>34</v>
      </c>
      <c r="J1884" s="1" t="s">
        <v>131</v>
      </c>
      <c r="K1884" s="1" t="s">
        <v>104</v>
      </c>
      <c r="L1884" s="1" t="s">
        <v>61</v>
      </c>
      <c r="M1884" s="1" t="s">
        <v>50</v>
      </c>
      <c r="N1884" s="1" t="n">
        <v>11999</v>
      </c>
      <c r="O1884" s="1" t="n">
        <v>5</v>
      </c>
      <c r="P1884" s="1" t="n">
        <v>599.95</v>
      </c>
      <c r="Q1884" s="1" t="n">
        <v>11399.05</v>
      </c>
      <c r="R1884" s="1" t="n">
        <v>2051.83</v>
      </c>
      <c r="S1884" s="1" t="n">
        <v>9347.22</v>
      </c>
      <c r="T1884" s="1" t="n">
        <v>4166.71</v>
      </c>
      <c r="U1884" s="1" t="n">
        <v>5180.51</v>
      </c>
      <c r="V1884" s="1" t="n">
        <v>55.42</v>
      </c>
      <c r="W1884" s="1" t="s">
        <v>39</v>
      </c>
      <c r="X1884" s="1" t="n">
        <v>3.6</v>
      </c>
      <c r="Y1884" s="1" t="s">
        <v>40</v>
      </c>
      <c r="Z1884" s="1" t="n">
        <v>0</v>
      </c>
    </row>
    <row r="1885" customFormat="false" ht="15" hidden="false" customHeight="true" outlineLevel="0" collapsed="false">
      <c r="A1885" s="1" t="s">
        <v>2734</v>
      </c>
      <c r="B1885" s="1" t="s">
        <v>1565</v>
      </c>
      <c r="C1885" s="1" t="s">
        <v>119</v>
      </c>
      <c r="D1885" s="1" t="s">
        <v>80</v>
      </c>
      <c r="E1885" s="1" t="s">
        <v>193</v>
      </c>
      <c r="F1885" s="1" t="s">
        <v>107</v>
      </c>
      <c r="G1885" s="1" t="s">
        <v>108</v>
      </c>
      <c r="H1885" s="1" t="s">
        <v>33</v>
      </c>
      <c r="I1885" s="1" t="s">
        <v>58</v>
      </c>
      <c r="J1885" s="1" t="s">
        <v>35</v>
      </c>
      <c r="K1885" s="1" t="s">
        <v>104</v>
      </c>
      <c r="L1885" s="1" t="s">
        <v>49</v>
      </c>
      <c r="M1885" s="1" t="s">
        <v>62</v>
      </c>
      <c r="N1885" s="1" t="n">
        <v>8999</v>
      </c>
      <c r="O1885" s="1" t="n">
        <v>50</v>
      </c>
      <c r="P1885" s="1" t="n">
        <v>4499.5</v>
      </c>
      <c r="Q1885" s="1" t="n">
        <v>4499.5</v>
      </c>
      <c r="R1885" s="1" t="n">
        <v>809.91</v>
      </c>
      <c r="S1885" s="1" t="n">
        <v>3689.59</v>
      </c>
      <c r="T1885" s="1" t="n">
        <v>2345.07</v>
      </c>
      <c r="U1885" s="1" t="n">
        <v>1344.52</v>
      </c>
      <c r="V1885" s="1" t="n">
        <v>36.44</v>
      </c>
      <c r="W1885" s="1" t="s">
        <v>40</v>
      </c>
      <c r="Y1885" s="1" t="s">
        <v>40</v>
      </c>
      <c r="Z1885" s="1" t="n">
        <v>1</v>
      </c>
    </row>
    <row r="1886" customFormat="false" ht="15" hidden="false" customHeight="true" outlineLevel="0" collapsed="false">
      <c r="A1886" s="1" t="s">
        <v>2735</v>
      </c>
      <c r="B1886" s="1" t="s">
        <v>830</v>
      </c>
      <c r="C1886" s="1" t="s">
        <v>139</v>
      </c>
      <c r="D1886" s="1" t="s">
        <v>53</v>
      </c>
      <c r="E1886" s="1" t="s">
        <v>116</v>
      </c>
      <c r="F1886" s="1" t="s">
        <v>130</v>
      </c>
      <c r="G1886" s="1" t="s">
        <v>47</v>
      </c>
      <c r="H1886" s="1" t="s">
        <v>69</v>
      </c>
      <c r="I1886" s="1" t="s">
        <v>83</v>
      </c>
      <c r="J1886" s="1" t="s">
        <v>35</v>
      </c>
      <c r="K1886" s="1" t="s">
        <v>84</v>
      </c>
      <c r="L1886" s="1" t="s">
        <v>136</v>
      </c>
      <c r="M1886" s="1" t="s">
        <v>62</v>
      </c>
      <c r="N1886" s="1" t="n">
        <v>9999</v>
      </c>
      <c r="O1886" s="1" t="n">
        <v>25</v>
      </c>
      <c r="P1886" s="1" t="n">
        <v>2499.75</v>
      </c>
      <c r="Q1886" s="1" t="n">
        <v>7499.25</v>
      </c>
      <c r="R1886" s="1" t="n">
        <v>1349.87</v>
      </c>
      <c r="S1886" s="1" t="n">
        <v>6149.38</v>
      </c>
      <c r="T1886" s="1" t="n">
        <v>2529.01</v>
      </c>
      <c r="U1886" s="1" t="n">
        <v>3620.37</v>
      </c>
      <c r="V1886" s="1" t="n">
        <v>58.87</v>
      </c>
      <c r="W1886" s="1" t="s">
        <v>39</v>
      </c>
      <c r="X1886" s="1" t="n">
        <v>3.1</v>
      </c>
      <c r="Y1886" s="1" t="s">
        <v>40</v>
      </c>
      <c r="Z1886" s="1" t="n">
        <v>1</v>
      </c>
    </row>
    <row r="1887" customFormat="false" ht="15" hidden="false" customHeight="true" outlineLevel="0" collapsed="false">
      <c r="A1887" s="1" t="s">
        <v>2736</v>
      </c>
      <c r="B1887" s="1" t="s">
        <v>2422</v>
      </c>
      <c r="C1887" s="1" t="s">
        <v>43</v>
      </c>
      <c r="D1887" s="1" t="s">
        <v>44</v>
      </c>
      <c r="E1887" s="1" t="s">
        <v>66</v>
      </c>
      <c r="F1887" s="1" t="s">
        <v>184</v>
      </c>
      <c r="G1887" s="1" t="s">
        <v>56</v>
      </c>
      <c r="H1887" s="1" t="s">
        <v>57</v>
      </c>
      <c r="I1887" s="1" t="s">
        <v>83</v>
      </c>
      <c r="J1887" s="1" t="s">
        <v>70</v>
      </c>
      <c r="K1887" s="1" t="s">
        <v>48</v>
      </c>
      <c r="L1887" s="1" t="s">
        <v>37</v>
      </c>
      <c r="M1887" s="1" t="s">
        <v>62</v>
      </c>
      <c r="N1887" s="1" t="n">
        <v>12999</v>
      </c>
      <c r="O1887" s="1" t="n">
        <v>0</v>
      </c>
      <c r="P1887" s="1" t="n">
        <v>0</v>
      </c>
      <c r="Q1887" s="1" t="n">
        <v>12999</v>
      </c>
      <c r="R1887" s="1" t="n">
        <v>2339.82</v>
      </c>
      <c r="S1887" s="1" t="n">
        <v>10659.18</v>
      </c>
      <c r="T1887" s="1" t="n">
        <v>4653.19</v>
      </c>
      <c r="U1887" s="1" t="n">
        <v>6005.99</v>
      </c>
      <c r="V1887" s="1" t="n">
        <v>56.35</v>
      </c>
      <c r="W1887" s="1" t="s">
        <v>39</v>
      </c>
      <c r="X1887" s="1" t="n">
        <v>3.5</v>
      </c>
      <c r="Y1887" s="1" t="s">
        <v>40</v>
      </c>
      <c r="Z1887" s="1" t="n">
        <v>0</v>
      </c>
    </row>
    <row r="1888" customFormat="false" ht="15" hidden="false" customHeight="true" outlineLevel="0" collapsed="false">
      <c r="A1888" s="1" t="s">
        <v>2737</v>
      </c>
      <c r="B1888" s="1" t="s">
        <v>462</v>
      </c>
      <c r="C1888" s="1" t="s">
        <v>74</v>
      </c>
      <c r="D1888" s="1" t="s">
        <v>168</v>
      </c>
      <c r="E1888" s="1" t="s">
        <v>197</v>
      </c>
      <c r="F1888" s="1" t="s">
        <v>82</v>
      </c>
      <c r="G1888" s="1" t="s">
        <v>56</v>
      </c>
      <c r="H1888" s="1" t="s">
        <v>69</v>
      </c>
      <c r="I1888" s="1" t="s">
        <v>58</v>
      </c>
      <c r="J1888" s="1" t="s">
        <v>59</v>
      </c>
      <c r="K1888" s="1" t="s">
        <v>36</v>
      </c>
      <c r="L1888" s="1" t="s">
        <v>85</v>
      </c>
      <c r="M1888" s="1" t="s">
        <v>38</v>
      </c>
      <c r="N1888" s="1" t="n">
        <v>8499</v>
      </c>
      <c r="O1888" s="1" t="n">
        <v>50</v>
      </c>
      <c r="P1888" s="1" t="n">
        <v>4249.5</v>
      </c>
      <c r="Q1888" s="1" t="n">
        <v>4249.5</v>
      </c>
      <c r="R1888" s="1" t="n">
        <v>764.91</v>
      </c>
      <c r="S1888" s="1" t="n">
        <v>3484.59</v>
      </c>
      <c r="T1888" s="1" t="n">
        <v>2135.01</v>
      </c>
      <c r="U1888" s="1" t="n">
        <v>1349.58</v>
      </c>
      <c r="V1888" s="1" t="n">
        <v>38.73</v>
      </c>
      <c r="W1888" s="1" t="s">
        <v>39</v>
      </c>
      <c r="Y1888" s="1" t="s">
        <v>40</v>
      </c>
      <c r="Z1888" s="1" t="n">
        <v>0</v>
      </c>
    </row>
    <row r="1889" customFormat="false" ht="15" hidden="false" customHeight="true" outlineLevel="0" collapsed="false">
      <c r="A1889" s="1" t="s">
        <v>2738</v>
      </c>
      <c r="B1889" s="1" t="s">
        <v>366</v>
      </c>
      <c r="C1889" s="1" t="s">
        <v>264</v>
      </c>
      <c r="D1889" s="1" t="s">
        <v>94</v>
      </c>
      <c r="E1889" s="1" t="s">
        <v>135</v>
      </c>
      <c r="F1889" s="1" t="s">
        <v>211</v>
      </c>
      <c r="G1889" s="1" t="s">
        <v>56</v>
      </c>
      <c r="H1889" s="1" t="s">
        <v>69</v>
      </c>
      <c r="I1889" s="1" t="s">
        <v>58</v>
      </c>
      <c r="J1889" s="1" t="s">
        <v>131</v>
      </c>
      <c r="K1889" s="1" t="s">
        <v>48</v>
      </c>
      <c r="L1889" s="1" t="s">
        <v>85</v>
      </c>
      <c r="M1889" s="1" t="s">
        <v>38</v>
      </c>
      <c r="N1889" s="1" t="n">
        <v>9999</v>
      </c>
      <c r="O1889" s="1" t="n">
        <v>40</v>
      </c>
      <c r="P1889" s="1" t="n">
        <v>3999.6</v>
      </c>
      <c r="Q1889" s="1" t="n">
        <v>5999.4</v>
      </c>
      <c r="R1889" s="1" t="n">
        <v>1079.89</v>
      </c>
      <c r="S1889" s="1" t="n">
        <v>4919.51</v>
      </c>
      <c r="T1889" s="1" t="n">
        <v>2711.52</v>
      </c>
      <c r="U1889" s="1" t="n">
        <v>2207.99</v>
      </c>
      <c r="V1889" s="1" t="n">
        <v>44.88</v>
      </c>
      <c r="W1889" s="1" t="s">
        <v>40</v>
      </c>
      <c r="Y1889" s="1" t="s">
        <v>39</v>
      </c>
      <c r="Z1889" s="1" t="n">
        <v>1</v>
      </c>
    </row>
    <row r="1890" customFormat="false" ht="15" hidden="false" customHeight="true" outlineLevel="0" collapsed="false">
      <c r="A1890" s="1" t="s">
        <v>2739</v>
      </c>
      <c r="B1890" s="1" t="s">
        <v>922</v>
      </c>
      <c r="C1890" s="1" t="s">
        <v>74</v>
      </c>
      <c r="D1890" s="1" t="s">
        <v>123</v>
      </c>
      <c r="E1890" s="1" t="s">
        <v>147</v>
      </c>
      <c r="F1890" s="1" t="s">
        <v>205</v>
      </c>
      <c r="G1890" s="1" t="s">
        <v>56</v>
      </c>
      <c r="H1890" s="1" t="s">
        <v>69</v>
      </c>
      <c r="I1890" s="1" t="s">
        <v>83</v>
      </c>
      <c r="J1890" s="1" t="s">
        <v>59</v>
      </c>
      <c r="K1890" s="1" t="s">
        <v>48</v>
      </c>
      <c r="L1890" s="1" t="s">
        <v>136</v>
      </c>
      <c r="M1890" s="1" t="s">
        <v>62</v>
      </c>
      <c r="N1890" s="1" t="n">
        <v>6999</v>
      </c>
      <c r="O1890" s="1" t="n">
        <v>40</v>
      </c>
      <c r="P1890" s="1" t="n">
        <v>2799.6</v>
      </c>
      <c r="Q1890" s="1" t="n">
        <v>4199.4</v>
      </c>
      <c r="R1890" s="1" t="n">
        <v>755.89</v>
      </c>
      <c r="S1890" s="1" t="n">
        <v>3443.51</v>
      </c>
      <c r="T1890" s="1" t="n">
        <v>1918.52</v>
      </c>
      <c r="U1890" s="1" t="n">
        <v>1524.99</v>
      </c>
      <c r="V1890" s="1" t="n">
        <v>44.29</v>
      </c>
      <c r="W1890" s="1" t="s">
        <v>40</v>
      </c>
      <c r="Y1890" s="1" t="s">
        <v>40</v>
      </c>
      <c r="Z1890" s="1" t="n">
        <v>0</v>
      </c>
    </row>
    <row r="1891" customFormat="false" ht="15" hidden="false" customHeight="true" outlineLevel="0" collapsed="false">
      <c r="A1891" s="1" t="s">
        <v>2740</v>
      </c>
      <c r="B1891" s="1" t="s">
        <v>2041</v>
      </c>
      <c r="C1891" s="1" t="s">
        <v>167</v>
      </c>
      <c r="D1891" s="1" t="s">
        <v>44</v>
      </c>
      <c r="E1891" s="1" t="s">
        <v>221</v>
      </c>
      <c r="F1891" s="1" t="s">
        <v>82</v>
      </c>
      <c r="G1891" s="1" t="s">
        <v>56</v>
      </c>
      <c r="H1891" s="1" t="s">
        <v>69</v>
      </c>
      <c r="I1891" s="1" t="s">
        <v>34</v>
      </c>
      <c r="J1891" s="1" t="s">
        <v>77</v>
      </c>
      <c r="K1891" s="1" t="s">
        <v>36</v>
      </c>
      <c r="L1891" s="1" t="s">
        <v>113</v>
      </c>
      <c r="M1891" s="1" t="s">
        <v>62</v>
      </c>
      <c r="N1891" s="1" t="n">
        <v>16999</v>
      </c>
      <c r="O1891" s="1" t="n">
        <v>0</v>
      </c>
      <c r="P1891" s="1" t="n">
        <v>0</v>
      </c>
      <c r="Q1891" s="1" t="n">
        <v>16999</v>
      </c>
      <c r="R1891" s="1" t="n">
        <v>3059.82</v>
      </c>
      <c r="S1891" s="1" t="n">
        <v>13939.18</v>
      </c>
      <c r="T1891" s="1" t="n">
        <v>5491.58</v>
      </c>
      <c r="U1891" s="1" t="n">
        <v>8447.6</v>
      </c>
      <c r="V1891" s="1" t="n">
        <v>60.6</v>
      </c>
      <c r="W1891" s="1" t="s">
        <v>39</v>
      </c>
      <c r="X1891" s="1" t="n">
        <v>3.3</v>
      </c>
      <c r="Y1891" s="1" t="s">
        <v>40</v>
      </c>
      <c r="Z1891" s="1" t="n">
        <v>0</v>
      </c>
    </row>
    <row r="1892" customFormat="false" ht="15" hidden="false" customHeight="true" outlineLevel="0" collapsed="false">
      <c r="A1892" s="1" t="s">
        <v>2741</v>
      </c>
      <c r="B1892" s="1" t="s">
        <v>962</v>
      </c>
      <c r="C1892" s="1" t="s">
        <v>1811</v>
      </c>
      <c r="D1892" s="1" t="s">
        <v>53</v>
      </c>
      <c r="E1892" s="1" t="s">
        <v>116</v>
      </c>
      <c r="F1892" s="1" t="s">
        <v>107</v>
      </c>
      <c r="G1892" s="1" t="s">
        <v>108</v>
      </c>
      <c r="H1892" s="1" t="s">
        <v>33</v>
      </c>
      <c r="I1892" s="1" t="s">
        <v>58</v>
      </c>
      <c r="J1892" s="1" t="s">
        <v>131</v>
      </c>
      <c r="K1892" s="1" t="s">
        <v>84</v>
      </c>
      <c r="L1892" s="1" t="s">
        <v>113</v>
      </c>
      <c r="M1892" s="1" t="s">
        <v>62</v>
      </c>
      <c r="N1892" s="1" t="n">
        <v>9999</v>
      </c>
      <c r="O1892" s="1" t="n">
        <v>40</v>
      </c>
      <c r="P1892" s="1" t="n">
        <v>3999.6</v>
      </c>
      <c r="Q1892" s="1" t="n">
        <v>5999.4</v>
      </c>
      <c r="R1892" s="1" t="n">
        <v>1079.89</v>
      </c>
      <c r="S1892" s="1" t="n">
        <v>4919.51</v>
      </c>
      <c r="T1892" s="1" t="n">
        <v>2432.6</v>
      </c>
      <c r="U1892" s="1" t="n">
        <v>2486.91</v>
      </c>
      <c r="V1892" s="1" t="n">
        <v>50.55</v>
      </c>
      <c r="W1892" s="1" t="s">
        <v>40</v>
      </c>
      <c r="Y1892" s="1" t="s">
        <v>40</v>
      </c>
      <c r="Z1892" s="1" t="n">
        <v>1</v>
      </c>
    </row>
    <row r="1893" customFormat="false" ht="15" hidden="false" customHeight="true" outlineLevel="0" collapsed="false">
      <c r="A1893" s="1" t="s">
        <v>2742</v>
      </c>
      <c r="B1893" s="1" t="s">
        <v>2743</v>
      </c>
      <c r="C1893" s="1" t="s">
        <v>249</v>
      </c>
      <c r="D1893" s="1" t="s">
        <v>143</v>
      </c>
      <c r="E1893" s="1" t="s">
        <v>243</v>
      </c>
      <c r="F1893" s="1" t="s">
        <v>211</v>
      </c>
      <c r="G1893" s="1" t="s">
        <v>56</v>
      </c>
      <c r="H1893" s="1" t="s">
        <v>69</v>
      </c>
      <c r="I1893" s="1" t="s">
        <v>58</v>
      </c>
      <c r="J1893" s="1" t="s">
        <v>59</v>
      </c>
      <c r="K1893" s="1" t="s">
        <v>112</v>
      </c>
      <c r="L1893" s="1" t="s">
        <v>136</v>
      </c>
      <c r="M1893" s="1" t="s">
        <v>62</v>
      </c>
      <c r="N1893" s="1" t="n">
        <v>22999</v>
      </c>
      <c r="O1893" s="1" t="n">
        <v>5</v>
      </c>
      <c r="P1893" s="1" t="n">
        <v>1149.95</v>
      </c>
      <c r="Q1893" s="1" t="n">
        <v>21849.05</v>
      </c>
      <c r="R1893" s="1" t="n">
        <v>3932.83</v>
      </c>
      <c r="S1893" s="1" t="n">
        <v>17916.22</v>
      </c>
      <c r="T1893" s="1" t="n">
        <v>5659.14</v>
      </c>
      <c r="U1893" s="1" t="n">
        <v>12257.08</v>
      </c>
      <c r="V1893" s="1" t="n">
        <v>68.41</v>
      </c>
      <c r="W1893" s="1" t="s">
        <v>40</v>
      </c>
      <c r="Y1893" s="1" t="s">
        <v>40</v>
      </c>
      <c r="Z1893" s="1" t="n">
        <v>0</v>
      </c>
    </row>
    <row r="1894" customFormat="false" ht="15" hidden="false" customHeight="true" outlineLevel="0" collapsed="false">
      <c r="A1894" s="1" t="s">
        <v>2744</v>
      </c>
      <c r="B1894" s="1" t="s">
        <v>657</v>
      </c>
      <c r="C1894" s="1" t="s">
        <v>43</v>
      </c>
      <c r="D1894" s="1" t="s">
        <v>94</v>
      </c>
      <c r="E1894" s="1" t="s">
        <v>95</v>
      </c>
      <c r="F1894" s="1" t="s">
        <v>194</v>
      </c>
      <c r="G1894" s="1" t="s">
        <v>103</v>
      </c>
      <c r="H1894" s="1" t="s">
        <v>69</v>
      </c>
      <c r="I1894" s="1" t="s">
        <v>34</v>
      </c>
      <c r="J1894" s="1" t="s">
        <v>59</v>
      </c>
      <c r="K1894" s="1" t="s">
        <v>90</v>
      </c>
      <c r="L1894" s="1" t="s">
        <v>85</v>
      </c>
      <c r="M1894" s="1" t="s">
        <v>62</v>
      </c>
      <c r="N1894" s="1" t="n">
        <v>6999</v>
      </c>
      <c r="O1894" s="1" t="n">
        <v>50</v>
      </c>
      <c r="P1894" s="1" t="n">
        <v>3499.5</v>
      </c>
      <c r="Q1894" s="1" t="n">
        <v>3499.5</v>
      </c>
      <c r="R1894" s="1" t="n">
        <v>629.91</v>
      </c>
      <c r="S1894" s="1" t="n">
        <v>2869.59</v>
      </c>
      <c r="T1894" s="1" t="n">
        <v>1208.82</v>
      </c>
      <c r="U1894" s="1" t="n">
        <v>1660.77</v>
      </c>
      <c r="V1894" s="1" t="n">
        <v>57.87</v>
      </c>
      <c r="W1894" s="1" t="s">
        <v>39</v>
      </c>
      <c r="X1894" s="1" t="n">
        <v>4</v>
      </c>
      <c r="Y1894" s="1" t="s">
        <v>40</v>
      </c>
      <c r="Z1894" s="1" t="n">
        <v>2</v>
      </c>
    </row>
    <row r="1895" customFormat="false" ht="15" hidden="false" customHeight="true" outlineLevel="0" collapsed="false">
      <c r="A1895" s="1" t="s">
        <v>2745</v>
      </c>
      <c r="B1895" s="1" t="s">
        <v>830</v>
      </c>
      <c r="C1895" s="1" t="s">
        <v>167</v>
      </c>
      <c r="D1895" s="1" t="s">
        <v>123</v>
      </c>
      <c r="E1895" s="1" t="s">
        <v>124</v>
      </c>
      <c r="F1895" s="1" t="s">
        <v>130</v>
      </c>
      <c r="G1895" s="1" t="s">
        <v>47</v>
      </c>
      <c r="H1895" s="1" t="s">
        <v>69</v>
      </c>
      <c r="I1895" s="1" t="s">
        <v>83</v>
      </c>
      <c r="J1895" s="1" t="s">
        <v>77</v>
      </c>
      <c r="K1895" s="1" t="s">
        <v>112</v>
      </c>
      <c r="L1895" s="1" t="s">
        <v>85</v>
      </c>
      <c r="M1895" s="1" t="s">
        <v>38</v>
      </c>
      <c r="N1895" s="1" t="n">
        <v>4999</v>
      </c>
      <c r="O1895" s="1" t="n">
        <v>0</v>
      </c>
      <c r="P1895" s="1" t="n">
        <v>0</v>
      </c>
      <c r="Q1895" s="1" t="n">
        <v>4999</v>
      </c>
      <c r="R1895" s="1" t="n">
        <v>899.82</v>
      </c>
      <c r="S1895" s="1" t="n">
        <v>4099.18</v>
      </c>
      <c r="T1895" s="1" t="n">
        <v>1576.86</v>
      </c>
      <c r="U1895" s="1" t="n">
        <v>2522.32</v>
      </c>
      <c r="V1895" s="1" t="n">
        <v>61.53</v>
      </c>
      <c r="W1895" s="1" t="s">
        <v>39</v>
      </c>
      <c r="X1895" s="1" t="n">
        <v>3</v>
      </c>
      <c r="Y1895" s="1" t="s">
        <v>40</v>
      </c>
      <c r="Z1895" s="1" t="n">
        <v>1</v>
      </c>
    </row>
    <row r="1896" customFormat="false" ht="15" hidden="false" customHeight="true" outlineLevel="0" collapsed="false">
      <c r="A1896" s="1" t="s">
        <v>2746</v>
      </c>
      <c r="B1896" s="1" t="s">
        <v>566</v>
      </c>
      <c r="C1896" s="1" t="s">
        <v>88</v>
      </c>
      <c r="D1896" s="1" t="s">
        <v>29</v>
      </c>
      <c r="E1896" s="1" t="s">
        <v>182</v>
      </c>
      <c r="F1896" s="1" t="s">
        <v>31</v>
      </c>
      <c r="G1896" s="1" t="s">
        <v>32</v>
      </c>
      <c r="H1896" s="1" t="s">
        <v>33</v>
      </c>
      <c r="I1896" s="1" t="s">
        <v>34</v>
      </c>
      <c r="J1896" s="1" t="s">
        <v>35</v>
      </c>
      <c r="K1896" s="1" t="s">
        <v>71</v>
      </c>
      <c r="L1896" s="1" t="s">
        <v>85</v>
      </c>
      <c r="M1896" s="1" t="s">
        <v>62</v>
      </c>
      <c r="N1896" s="1" t="n">
        <v>34999</v>
      </c>
      <c r="O1896" s="1" t="n">
        <v>0</v>
      </c>
      <c r="P1896" s="1" t="n">
        <v>0</v>
      </c>
      <c r="Q1896" s="1" t="n">
        <v>34999</v>
      </c>
      <c r="R1896" s="1" t="n">
        <v>6299.82</v>
      </c>
      <c r="S1896" s="1" t="n">
        <v>28699.18</v>
      </c>
      <c r="T1896" s="1" t="n">
        <v>16040.42</v>
      </c>
      <c r="U1896" s="1" t="n">
        <v>12658.76</v>
      </c>
      <c r="V1896" s="1" t="n">
        <v>44.11</v>
      </c>
      <c r="W1896" s="1" t="s">
        <v>39</v>
      </c>
      <c r="X1896" s="1" t="n">
        <v>4.1</v>
      </c>
      <c r="Y1896" s="1" t="s">
        <v>40</v>
      </c>
      <c r="Z1896" s="1" t="n">
        <v>1</v>
      </c>
    </row>
    <row r="1897" customFormat="false" ht="15" hidden="false" customHeight="true" outlineLevel="0" collapsed="false">
      <c r="A1897" s="1" t="s">
        <v>2747</v>
      </c>
      <c r="B1897" s="1" t="s">
        <v>410</v>
      </c>
      <c r="C1897" s="1" t="s">
        <v>88</v>
      </c>
      <c r="D1897" s="1" t="s">
        <v>168</v>
      </c>
      <c r="E1897" s="1" t="s">
        <v>328</v>
      </c>
      <c r="F1897" s="1" t="s">
        <v>194</v>
      </c>
      <c r="G1897" s="1" t="s">
        <v>103</v>
      </c>
      <c r="H1897" s="1" t="s">
        <v>69</v>
      </c>
      <c r="I1897" s="1" t="s">
        <v>34</v>
      </c>
      <c r="J1897" s="1" t="s">
        <v>59</v>
      </c>
      <c r="K1897" s="1" t="s">
        <v>48</v>
      </c>
      <c r="L1897" s="1" t="s">
        <v>85</v>
      </c>
      <c r="M1897" s="1" t="s">
        <v>38</v>
      </c>
      <c r="N1897" s="1" t="n">
        <v>8999</v>
      </c>
      <c r="O1897" s="1" t="n">
        <v>0</v>
      </c>
      <c r="P1897" s="1" t="n">
        <v>0</v>
      </c>
      <c r="Q1897" s="1" t="n">
        <v>8999</v>
      </c>
      <c r="R1897" s="1" t="n">
        <v>1619.82</v>
      </c>
      <c r="S1897" s="1" t="n">
        <v>7379.18</v>
      </c>
      <c r="T1897" s="1" t="n">
        <v>2666.9</v>
      </c>
      <c r="U1897" s="1" t="n">
        <v>4712.28</v>
      </c>
      <c r="V1897" s="1" t="n">
        <v>63.86</v>
      </c>
      <c r="W1897" s="1" t="s">
        <v>40</v>
      </c>
      <c r="Y1897" s="1" t="s">
        <v>40</v>
      </c>
      <c r="Z1897" s="1" t="n">
        <v>0</v>
      </c>
    </row>
    <row r="1898" customFormat="false" ht="15" hidden="false" customHeight="true" outlineLevel="0" collapsed="false">
      <c r="A1898" s="1" t="s">
        <v>2748</v>
      </c>
      <c r="B1898" s="1" t="s">
        <v>177</v>
      </c>
      <c r="C1898" s="1" t="s">
        <v>65</v>
      </c>
      <c r="D1898" s="1" t="s">
        <v>53</v>
      </c>
      <c r="E1898" s="1" t="s">
        <v>54</v>
      </c>
      <c r="F1898" s="1" t="s">
        <v>150</v>
      </c>
      <c r="G1898" s="1" t="s">
        <v>32</v>
      </c>
      <c r="H1898" s="1" t="s">
        <v>57</v>
      </c>
      <c r="I1898" s="1" t="s">
        <v>34</v>
      </c>
      <c r="J1898" s="1" t="s">
        <v>131</v>
      </c>
      <c r="K1898" s="1" t="s">
        <v>71</v>
      </c>
      <c r="L1898" s="1" t="s">
        <v>136</v>
      </c>
      <c r="M1898" s="1" t="s">
        <v>50</v>
      </c>
      <c r="N1898" s="1" t="n">
        <v>11999</v>
      </c>
      <c r="O1898" s="1" t="n">
        <v>10</v>
      </c>
      <c r="P1898" s="1" t="n">
        <v>1199.9</v>
      </c>
      <c r="Q1898" s="1" t="n">
        <v>10799.1</v>
      </c>
      <c r="R1898" s="1" t="n">
        <v>1943.84</v>
      </c>
      <c r="S1898" s="1" t="n">
        <v>8855.26</v>
      </c>
      <c r="T1898" s="1" t="n">
        <v>3088.87</v>
      </c>
      <c r="U1898" s="1" t="n">
        <v>5766.39</v>
      </c>
      <c r="V1898" s="1" t="n">
        <v>65.12</v>
      </c>
      <c r="W1898" s="1" t="s">
        <v>39</v>
      </c>
      <c r="X1898" s="1" t="n">
        <v>4.4</v>
      </c>
      <c r="Y1898" s="1" t="s">
        <v>40</v>
      </c>
      <c r="Z1898" s="1" t="n">
        <v>0</v>
      </c>
    </row>
    <row r="1899" customFormat="false" ht="15" hidden="false" customHeight="true" outlineLevel="0" collapsed="false">
      <c r="A1899" s="1" t="s">
        <v>2749</v>
      </c>
      <c r="B1899" s="1" t="s">
        <v>1350</v>
      </c>
      <c r="C1899" s="1" t="s">
        <v>139</v>
      </c>
      <c r="D1899" s="1" t="s">
        <v>80</v>
      </c>
      <c r="E1899" s="1" t="s">
        <v>81</v>
      </c>
      <c r="F1899" s="1" t="s">
        <v>194</v>
      </c>
      <c r="G1899" s="1" t="s">
        <v>103</v>
      </c>
      <c r="H1899" s="1" t="s">
        <v>69</v>
      </c>
      <c r="I1899" s="1" t="s">
        <v>34</v>
      </c>
      <c r="J1899" s="1" t="s">
        <v>131</v>
      </c>
      <c r="K1899" s="1" t="s">
        <v>104</v>
      </c>
      <c r="L1899" s="1" t="s">
        <v>113</v>
      </c>
      <c r="M1899" s="1" t="s">
        <v>38</v>
      </c>
      <c r="N1899" s="1" t="n">
        <v>12999</v>
      </c>
      <c r="O1899" s="1" t="n">
        <v>5</v>
      </c>
      <c r="P1899" s="1" t="n">
        <v>649.95</v>
      </c>
      <c r="Q1899" s="1" t="n">
        <v>12349.05</v>
      </c>
      <c r="R1899" s="1" t="n">
        <v>2222.83</v>
      </c>
      <c r="S1899" s="1" t="n">
        <v>10126.22</v>
      </c>
      <c r="T1899" s="1" t="n">
        <v>3253.6</v>
      </c>
      <c r="U1899" s="1" t="n">
        <v>6872.62</v>
      </c>
      <c r="V1899" s="1" t="n">
        <v>67.87</v>
      </c>
      <c r="W1899" s="1" t="s">
        <v>39</v>
      </c>
      <c r="Y1899" s="1" t="s">
        <v>40</v>
      </c>
      <c r="Z1899" s="1" t="n">
        <v>0</v>
      </c>
    </row>
    <row r="1900" customFormat="false" ht="15" hidden="false" customHeight="true" outlineLevel="0" collapsed="false">
      <c r="A1900" s="1" t="s">
        <v>2750</v>
      </c>
      <c r="B1900" s="1" t="s">
        <v>2585</v>
      </c>
      <c r="C1900" s="1" t="s">
        <v>249</v>
      </c>
      <c r="D1900" s="1" t="s">
        <v>53</v>
      </c>
      <c r="E1900" s="1" t="s">
        <v>116</v>
      </c>
      <c r="F1900" s="1" t="s">
        <v>125</v>
      </c>
      <c r="G1900" s="1" t="s">
        <v>108</v>
      </c>
      <c r="H1900" s="1" t="s">
        <v>69</v>
      </c>
      <c r="I1900" s="1" t="s">
        <v>58</v>
      </c>
      <c r="J1900" s="1" t="s">
        <v>35</v>
      </c>
      <c r="K1900" s="1" t="s">
        <v>104</v>
      </c>
      <c r="L1900" s="1" t="s">
        <v>49</v>
      </c>
      <c r="M1900" s="1" t="s">
        <v>50</v>
      </c>
      <c r="N1900" s="1" t="n">
        <v>9999</v>
      </c>
      <c r="O1900" s="1" t="n">
        <v>15</v>
      </c>
      <c r="P1900" s="1" t="n">
        <v>1499.85</v>
      </c>
      <c r="Q1900" s="1" t="n">
        <v>8499.15</v>
      </c>
      <c r="R1900" s="1" t="n">
        <v>1529.85</v>
      </c>
      <c r="S1900" s="1" t="n">
        <v>6969.3</v>
      </c>
      <c r="T1900" s="1" t="n">
        <v>3036.93</v>
      </c>
      <c r="U1900" s="1" t="n">
        <v>3932.37</v>
      </c>
      <c r="V1900" s="1" t="n">
        <v>56.42</v>
      </c>
      <c r="W1900" s="1" t="s">
        <v>40</v>
      </c>
      <c r="Y1900" s="1" t="s">
        <v>40</v>
      </c>
      <c r="Z1900" s="1" t="n">
        <v>2</v>
      </c>
    </row>
    <row r="1901" customFormat="false" ht="15" hidden="false" customHeight="true" outlineLevel="0" collapsed="false">
      <c r="A1901" s="1" t="s">
        <v>2751</v>
      </c>
      <c r="B1901" s="1" t="s">
        <v>506</v>
      </c>
      <c r="C1901" s="1" t="s">
        <v>139</v>
      </c>
      <c r="D1901" s="1" t="s">
        <v>44</v>
      </c>
      <c r="E1901" s="1" t="s">
        <v>45</v>
      </c>
      <c r="F1901" s="1" t="s">
        <v>269</v>
      </c>
      <c r="G1901" s="1" t="s">
        <v>108</v>
      </c>
      <c r="H1901" s="1" t="s">
        <v>57</v>
      </c>
      <c r="I1901" s="1" t="s">
        <v>34</v>
      </c>
      <c r="J1901" s="1" t="s">
        <v>131</v>
      </c>
      <c r="K1901" s="1" t="s">
        <v>71</v>
      </c>
      <c r="L1901" s="1" t="s">
        <v>113</v>
      </c>
      <c r="M1901" s="1" t="s">
        <v>38</v>
      </c>
      <c r="N1901" s="1" t="n">
        <v>11999</v>
      </c>
      <c r="O1901" s="1" t="n">
        <v>5</v>
      </c>
      <c r="P1901" s="1" t="n">
        <v>599.95</v>
      </c>
      <c r="Q1901" s="1" t="n">
        <v>11399.05</v>
      </c>
      <c r="R1901" s="1" t="n">
        <v>2051.83</v>
      </c>
      <c r="S1901" s="1" t="n">
        <v>9347.22</v>
      </c>
      <c r="T1901" s="1" t="n">
        <v>4603.32</v>
      </c>
      <c r="U1901" s="1" t="n">
        <v>4743.9</v>
      </c>
      <c r="V1901" s="1" t="n">
        <v>50.75</v>
      </c>
      <c r="W1901" s="1" t="s">
        <v>39</v>
      </c>
      <c r="X1901" s="1" t="n">
        <v>4.4</v>
      </c>
      <c r="Y1901" s="1" t="s">
        <v>40</v>
      </c>
      <c r="Z1901" s="1" t="n">
        <v>1</v>
      </c>
    </row>
    <row r="1902" customFormat="false" ht="15" hidden="false" customHeight="true" outlineLevel="0" collapsed="false">
      <c r="A1902" s="1" t="s">
        <v>2752</v>
      </c>
      <c r="B1902" s="1" t="s">
        <v>207</v>
      </c>
      <c r="C1902" s="1" t="s">
        <v>167</v>
      </c>
      <c r="D1902" s="1" t="s">
        <v>80</v>
      </c>
      <c r="E1902" s="1" t="s">
        <v>175</v>
      </c>
      <c r="F1902" s="1" t="s">
        <v>46</v>
      </c>
      <c r="G1902" s="1" t="s">
        <v>47</v>
      </c>
      <c r="H1902" s="1" t="s">
        <v>33</v>
      </c>
      <c r="I1902" s="1" t="s">
        <v>34</v>
      </c>
      <c r="J1902" s="1" t="s">
        <v>35</v>
      </c>
      <c r="K1902" s="1" t="s">
        <v>90</v>
      </c>
      <c r="L1902" s="1" t="s">
        <v>85</v>
      </c>
      <c r="M1902" s="1" t="s">
        <v>50</v>
      </c>
      <c r="N1902" s="1" t="n">
        <v>19999</v>
      </c>
      <c r="O1902" s="1" t="n">
        <v>40</v>
      </c>
      <c r="P1902" s="1" t="n">
        <v>7999.6</v>
      </c>
      <c r="Q1902" s="1" t="n">
        <v>11999.4</v>
      </c>
      <c r="R1902" s="1" t="n">
        <v>2159.89</v>
      </c>
      <c r="S1902" s="1" t="n">
        <v>9839.51</v>
      </c>
      <c r="T1902" s="1" t="n">
        <v>4508.63</v>
      </c>
      <c r="U1902" s="1" t="n">
        <v>5330.88</v>
      </c>
      <c r="V1902" s="1" t="n">
        <v>54.18</v>
      </c>
      <c r="W1902" s="1" t="s">
        <v>39</v>
      </c>
      <c r="X1902" s="1" t="n">
        <v>4.8</v>
      </c>
      <c r="Y1902" s="1" t="s">
        <v>40</v>
      </c>
      <c r="Z1902" s="1" t="n">
        <v>0</v>
      </c>
    </row>
    <row r="1903" customFormat="false" ht="15" hidden="false" customHeight="true" outlineLevel="0" collapsed="false">
      <c r="A1903" s="1" t="s">
        <v>2753</v>
      </c>
      <c r="B1903" s="1" t="s">
        <v>196</v>
      </c>
      <c r="C1903" s="1" t="s">
        <v>88</v>
      </c>
      <c r="D1903" s="1" t="s">
        <v>143</v>
      </c>
      <c r="E1903" s="1" t="s">
        <v>159</v>
      </c>
      <c r="F1903" s="1" t="s">
        <v>269</v>
      </c>
      <c r="G1903" s="1" t="s">
        <v>108</v>
      </c>
      <c r="H1903" s="1" t="s">
        <v>57</v>
      </c>
      <c r="I1903" s="1" t="s">
        <v>83</v>
      </c>
      <c r="J1903" s="1" t="s">
        <v>70</v>
      </c>
      <c r="K1903" s="1" t="s">
        <v>112</v>
      </c>
      <c r="L1903" s="1" t="s">
        <v>49</v>
      </c>
      <c r="M1903" s="1" t="s">
        <v>50</v>
      </c>
      <c r="N1903" s="1" t="n">
        <v>24999</v>
      </c>
      <c r="O1903" s="1" t="n">
        <v>15</v>
      </c>
      <c r="P1903" s="1" t="n">
        <v>3749.85</v>
      </c>
      <c r="Q1903" s="1" t="n">
        <v>21249.15</v>
      </c>
      <c r="R1903" s="1" t="n">
        <v>3824.85</v>
      </c>
      <c r="S1903" s="1" t="n">
        <v>17424.3</v>
      </c>
      <c r="T1903" s="1" t="n">
        <v>7972.38</v>
      </c>
      <c r="U1903" s="1" t="n">
        <v>9451.92</v>
      </c>
      <c r="V1903" s="1" t="n">
        <v>54.25</v>
      </c>
      <c r="W1903" s="1" t="s">
        <v>40</v>
      </c>
      <c r="Y1903" s="1" t="s">
        <v>40</v>
      </c>
      <c r="Z1903" s="1" t="n">
        <v>3</v>
      </c>
    </row>
    <row r="1904" customFormat="false" ht="15" hidden="false" customHeight="true" outlineLevel="0" collapsed="false">
      <c r="A1904" s="1" t="s">
        <v>2754</v>
      </c>
      <c r="B1904" s="1" t="s">
        <v>2572</v>
      </c>
      <c r="C1904" s="1" t="s">
        <v>28</v>
      </c>
      <c r="D1904" s="1" t="s">
        <v>44</v>
      </c>
      <c r="E1904" s="1" t="s">
        <v>66</v>
      </c>
      <c r="F1904" s="1" t="s">
        <v>187</v>
      </c>
      <c r="G1904" s="1" t="s">
        <v>97</v>
      </c>
      <c r="H1904" s="1" t="s">
        <v>69</v>
      </c>
      <c r="I1904" s="1" t="s">
        <v>34</v>
      </c>
      <c r="J1904" s="1" t="s">
        <v>70</v>
      </c>
      <c r="K1904" s="1" t="s">
        <v>36</v>
      </c>
      <c r="L1904" s="1" t="s">
        <v>136</v>
      </c>
      <c r="M1904" s="1" t="s">
        <v>50</v>
      </c>
      <c r="N1904" s="1" t="n">
        <v>12999</v>
      </c>
      <c r="O1904" s="1" t="n">
        <v>0</v>
      </c>
      <c r="P1904" s="1" t="n">
        <v>0</v>
      </c>
      <c r="Q1904" s="1" t="n">
        <v>12999</v>
      </c>
      <c r="R1904" s="1" t="n">
        <v>2339.82</v>
      </c>
      <c r="S1904" s="1" t="n">
        <v>10659.18</v>
      </c>
      <c r="T1904" s="1" t="n">
        <v>3748.31</v>
      </c>
      <c r="U1904" s="1" t="n">
        <v>6910.87</v>
      </c>
      <c r="V1904" s="1" t="n">
        <v>64.83</v>
      </c>
      <c r="W1904" s="1" t="s">
        <v>39</v>
      </c>
      <c r="Y1904" s="1" t="s">
        <v>39</v>
      </c>
      <c r="Z1904" s="1" t="n">
        <v>0</v>
      </c>
    </row>
    <row r="1905" customFormat="false" ht="15" hidden="false" customHeight="true" outlineLevel="0" collapsed="false">
      <c r="A1905" s="1" t="s">
        <v>2755</v>
      </c>
      <c r="B1905" s="1" t="s">
        <v>2567</v>
      </c>
      <c r="C1905" s="1" t="s">
        <v>100</v>
      </c>
      <c r="D1905" s="1" t="s">
        <v>168</v>
      </c>
      <c r="E1905" s="1" t="s">
        <v>169</v>
      </c>
      <c r="F1905" s="1" t="s">
        <v>2756</v>
      </c>
      <c r="G1905" s="1" t="s">
        <v>97</v>
      </c>
      <c r="H1905" s="1" t="s">
        <v>57</v>
      </c>
      <c r="I1905" s="1" t="s">
        <v>58</v>
      </c>
      <c r="J1905" s="1" t="s">
        <v>59</v>
      </c>
      <c r="K1905" s="1" t="s">
        <v>48</v>
      </c>
      <c r="L1905" s="1" t="s">
        <v>49</v>
      </c>
      <c r="M1905" s="1" t="s">
        <v>62</v>
      </c>
      <c r="N1905" s="1" t="n">
        <v>4999</v>
      </c>
      <c r="O1905" s="1" t="n">
        <v>30</v>
      </c>
      <c r="P1905" s="1" t="n">
        <v>1499.7</v>
      </c>
      <c r="Q1905" s="1" t="n">
        <v>3499.3</v>
      </c>
      <c r="R1905" s="1" t="n">
        <v>629.87</v>
      </c>
      <c r="S1905" s="1" t="n">
        <v>2869.43</v>
      </c>
      <c r="T1905" s="1" t="n">
        <v>1168.62</v>
      </c>
      <c r="U1905" s="1" t="n">
        <v>1700.81</v>
      </c>
      <c r="V1905" s="1" t="n">
        <v>59.27</v>
      </c>
      <c r="W1905" s="1" t="s">
        <v>39</v>
      </c>
      <c r="X1905" s="1" t="n">
        <v>3.7</v>
      </c>
      <c r="Y1905" s="1" t="s">
        <v>40</v>
      </c>
      <c r="Z1905" s="1" t="n">
        <v>0</v>
      </c>
    </row>
    <row r="1906" customFormat="false" ht="15" hidden="false" customHeight="true" outlineLevel="0" collapsed="false">
      <c r="A1906" s="1" t="s">
        <v>2757</v>
      </c>
      <c r="B1906" s="1" t="s">
        <v>515</v>
      </c>
      <c r="C1906" s="1" t="s">
        <v>28</v>
      </c>
      <c r="D1906" s="1" t="s">
        <v>80</v>
      </c>
      <c r="E1906" s="1" t="s">
        <v>193</v>
      </c>
      <c r="F1906" s="1" t="s">
        <v>67</v>
      </c>
      <c r="G1906" s="1" t="s">
        <v>68</v>
      </c>
      <c r="H1906" s="1" t="s">
        <v>69</v>
      </c>
      <c r="I1906" s="1" t="s">
        <v>58</v>
      </c>
      <c r="J1906" s="1" t="s">
        <v>77</v>
      </c>
      <c r="K1906" s="1" t="s">
        <v>90</v>
      </c>
      <c r="L1906" s="1" t="s">
        <v>85</v>
      </c>
      <c r="M1906" s="1" t="s">
        <v>50</v>
      </c>
      <c r="N1906" s="1" t="n">
        <v>8999</v>
      </c>
      <c r="O1906" s="1" t="n">
        <v>20</v>
      </c>
      <c r="P1906" s="1" t="n">
        <v>1799.8</v>
      </c>
      <c r="Q1906" s="1" t="n">
        <v>7199.2</v>
      </c>
      <c r="R1906" s="1" t="n">
        <v>1295.86</v>
      </c>
      <c r="S1906" s="1" t="n">
        <v>5903.34</v>
      </c>
      <c r="T1906" s="1" t="n">
        <v>2221.15</v>
      </c>
      <c r="U1906" s="1" t="n">
        <v>3682.19</v>
      </c>
      <c r="V1906" s="1" t="n">
        <v>62.37</v>
      </c>
      <c r="W1906" s="1" t="s">
        <v>40</v>
      </c>
      <c r="Y1906" s="1" t="s">
        <v>40</v>
      </c>
      <c r="Z1906" s="1" t="n">
        <v>1</v>
      </c>
    </row>
    <row r="1907" customFormat="false" ht="15" hidden="false" customHeight="true" outlineLevel="0" collapsed="false">
      <c r="A1907" s="1" t="s">
        <v>2758</v>
      </c>
      <c r="B1907" s="1" t="s">
        <v>2604</v>
      </c>
      <c r="C1907" s="1" t="s">
        <v>167</v>
      </c>
      <c r="D1907" s="1" t="s">
        <v>123</v>
      </c>
      <c r="E1907" s="1" t="s">
        <v>147</v>
      </c>
      <c r="F1907" s="1" t="s">
        <v>205</v>
      </c>
      <c r="G1907" s="1" t="s">
        <v>56</v>
      </c>
      <c r="H1907" s="1" t="s">
        <v>69</v>
      </c>
      <c r="I1907" s="1" t="s">
        <v>34</v>
      </c>
      <c r="J1907" s="1" t="s">
        <v>59</v>
      </c>
      <c r="K1907" s="1" t="s">
        <v>71</v>
      </c>
      <c r="L1907" s="1" t="s">
        <v>37</v>
      </c>
      <c r="M1907" s="1" t="s">
        <v>50</v>
      </c>
      <c r="N1907" s="1" t="n">
        <v>6999</v>
      </c>
      <c r="O1907" s="1" t="n">
        <v>10</v>
      </c>
      <c r="P1907" s="1" t="n">
        <v>699.9</v>
      </c>
      <c r="Q1907" s="1" t="n">
        <v>6299.1</v>
      </c>
      <c r="R1907" s="1" t="n">
        <v>1133.84</v>
      </c>
      <c r="S1907" s="1" t="n">
        <v>5165.26</v>
      </c>
      <c r="T1907" s="1" t="n">
        <v>2129.87</v>
      </c>
      <c r="U1907" s="1" t="n">
        <v>3035.39</v>
      </c>
      <c r="V1907" s="1" t="n">
        <v>58.77</v>
      </c>
      <c r="W1907" s="1" t="s">
        <v>40</v>
      </c>
      <c r="Y1907" s="1" t="s">
        <v>40</v>
      </c>
      <c r="Z1907" s="1" t="n">
        <v>1</v>
      </c>
    </row>
    <row r="1908" customFormat="false" ht="15" hidden="false" customHeight="true" outlineLevel="0" collapsed="false">
      <c r="A1908" s="1" t="s">
        <v>2759</v>
      </c>
      <c r="B1908" s="1" t="s">
        <v>266</v>
      </c>
      <c r="C1908" s="1" t="s">
        <v>167</v>
      </c>
      <c r="D1908" s="1" t="s">
        <v>94</v>
      </c>
      <c r="E1908" s="1" t="s">
        <v>95</v>
      </c>
      <c r="F1908" s="1" t="s">
        <v>82</v>
      </c>
      <c r="G1908" s="1" t="s">
        <v>56</v>
      </c>
      <c r="H1908" s="1" t="s">
        <v>69</v>
      </c>
      <c r="I1908" s="1" t="s">
        <v>58</v>
      </c>
      <c r="J1908" s="1" t="s">
        <v>35</v>
      </c>
      <c r="K1908" s="1" t="s">
        <v>60</v>
      </c>
      <c r="L1908" s="1" t="s">
        <v>136</v>
      </c>
      <c r="M1908" s="1" t="s">
        <v>38</v>
      </c>
      <c r="N1908" s="1" t="n">
        <v>6999</v>
      </c>
      <c r="O1908" s="1" t="n">
        <v>0</v>
      </c>
      <c r="P1908" s="1" t="n">
        <v>0</v>
      </c>
      <c r="Q1908" s="1" t="n">
        <v>6999</v>
      </c>
      <c r="R1908" s="1" t="n">
        <v>1259.82</v>
      </c>
      <c r="S1908" s="1" t="n">
        <v>5739.18</v>
      </c>
      <c r="T1908" s="1" t="n">
        <v>2246.67</v>
      </c>
      <c r="U1908" s="1" t="n">
        <v>3492.51</v>
      </c>
      <c r="V1908" s="1" t="n">
        <v>60.85</v>
      </c>
      <c r="W1908" s="1" t="s">
        <v>39</v>
      </c>
      <c r="X1908" s="1" t="n">
        <v>3</v>
      </c>
      <c r="Y1908" s="1" t="s">
        <v>40</v>
      </c>
      <c r="Z1908" s="1" t="n">
        <v>0</v>
      </c>
    </row>
    <row r="1909" customFormat="false" ht="15" hidden="false" customHeight="true" outlineLevel="0" collapsed="false">
      <c r="A1909" s="1" t="s">
        <v>2760</v>
      </c>
      <c r="B1909" s="1" t="s">
        <v>1222</v>
      </c>
      <c r="C1909" s="1" t="s">
        <v>65</v>
      </c>
      <c r="D1909" s="1" t="s">
        <v>94</v>
      </c>
      <c r="E1909" s="1" t="s">
        <v>101</v>
      </c>
      <c r="F1909" s="1" t="s">
        <v>211</v>
      </c>
      <c r="G1909" s="1" t="s">
        <v>56</v>
      </c>
      <c r="H1909" s="1" t="s">
        <v>69</v>
      </c>
      <c r="I1909" s="1" t="s">
        <v>34</v>
      </c>
      <c r="J1909" s="1" t="s">
        <v>35</v>
      </c>
      <c r="K1909" s="1" t="s">
        <v>71</v>
      </c>
      <c r="L1909" s="1" t="s">
        <v>37</v>
      </c>
      <c r="M1909" s="1" t="s">
        <v>38</v>
      </c>
      <c r="N1909" s="1" t="n">
        <v>14999</v>
      </c>
      <c r="O1909" s="1" t="n">
        <v>0</v>
      </c>
      <c r="P1909" s="1" t="n">
        <v>0</v>
      </c>
      <c r="Q1909" s="1" t="n">
        <v>14999</v>
      </c>
      <c r="R1909" s="1" t="n">
        <v>2699.82</v>
      </c>
      <c r="S1909" s="1" t="n">
        <v>12299.18</v>
      </c>
      <c r="T1909" s="1" t="n">
        <v>5193.39</v>
      </c>
      <c r="U1909" s="1" t="n">
        <v>7105.79</v>
      </c>
      <c r="V1909" s="1" t="n">
        <v>57.77</v>
      </c>
      <c r="W1909" s="1" t="s">
        <v>39</v>
      </c>
      <c r="X1909" s="1" t="n">
        <v>4.3</v>
      </c>
      <c r="Y1909" s="1" t="s">
        <v>40</v>
      </c>
      <c r="Z1909" s="1" t="n">
        <v>1</v>
      </c>
    </row>
    <row r="1910" customFormat="false" ht="15" hidden="false" customHeight="true" outlineLevel="0" collapsed="false">
      <c r="A1910" s="1" t="s">
        <v>2761</v>
      </c>
      <c r="B1910" s="1" t="s">
        <v>1412</v>
      </c>
      <c r="C1910" s="1" t="s">
        <v>88</v>
      </c>
      <c r="D1910" s="1" t="s">
        <v>168</v>
      </c>
      <c r="E1910" s="1" t="s">
        <v>172</v>
      </c>
      <c r="F1910" s="1" t="s">
        <v>2673</v>
      </c>
      <c r="G1910" s="1" t="s">
        <v>97</v>
      </c>
      <c r="H1910" s="1" t="s">
        <v>57</v>
      </c>
      <c r="I1910" s="1" t="s">
        <v>34</v>
      </c>
      <c r="J1910" s="1" t="s">
        <v>35</v>
      </c>
      <c r="K1910" s="1" t="s">
        <v>36</v>
      </c>
      <c r="L1910" s="1" t="s">
        <v>136</v>
      </c>
      <c r="M1910" s="1" t="s">
        <v>62</v>
      </c>
      <c r="N1910" s="1" t="n">
        <v>6999</v>
      </c>
      <c r="O1910" s="1" t="n">
        <v>30</v>
      </c>
      <c r="P1910" s="1" t="n">
        <v>2099.7</v>
      </c>
      <c r="Q1910" s="1" t="n">
        <v>4899.3</v>
      </c>
      <c r="R1910" s="1" t="n">
        <v>881.87</v>
      </c>
      <c r="S1910" s="1" t="n">
        <v>4017.43</v>
      </c>
      <c r="T1910" s="1" t="n">
        <v>1578.25</v>
      </c>
      <c r="U1910" s="1" t="n">
        <v>2439.18</v>
      </c>
      <c r="V1910" s="1" t="n">
        <v>60.71</v>
      </c>
      <c r="W1910" s="1" t="s">
        <v>39</v>
      </c>
      <c r="X1910" s="1" t="n">
        <v>3.8</v>
      </c>
      <c r="Y1910" s="1" t="s">
        <v>40</v>
      </c>
      <c r="Z1910" s="1" t="n">
        <v>0</v>
      </c>
    </row>
    <row r="1911" customFormat="false" ht="15" hidden="false" customHeight="true" outlineLevel="0" collapsed="false">
      <c r="A1911" s="1" t="s">
        <v>2762</v>
      </c>
      <c r="B1911" s="1" t="s">
        <v>227</v>
      </c>
      <c r="C1911" s="1" t="s">
        <v>167</v>
      </c>
      <c r="D1911" s="1" t="s">
        <v>80</v>
      </c>
      <c r="E1911" s="1" t="s">
        <v>81</v>
      </c>
      <c r="F1911" s="1" t="s">
        <v>55</v>
      </c>
      <c r="G1911" s="1" t="s">
        <v>56</v>
      </c>
      <c r="H1911" s="1" t="s">
        <v>57</v>
      </c>
      <c r="I1911" s="1" t="s">
        <v>58</v>
      </c>
      <c r="J1911" s="1" t="s">
        <v>131</v>
      </c>
      <c r="K1911" s="1" t="s">
        <v>48</v>
      </c>
      <c r="L1911" s="1" t="s">
        <v>136</v>
      </c>
      <c r="M1911" s="1" t="s">
        <v>38</v>
      </c>
      <c r="N1911" s="1" t="n">
        <v>12999</v>
      </c>
      <c r="O1911" s="1" t="n">
        <v>25</v>
      </c>
      <c r="P1911" s="1" t="n">
        <v>3249.75</v>
      </c>
      <c r="Q1911" s="1" t="n">
        <v>9749.25</v>
      </c>
      <c r="R1911" s="1" t="n">
        <v>1754.87</v>
      </c>
      <c r="S1911" s="1" t="n">
        <v>7994.38</v>
      </c>
      <c r="T1911" s="1" t="n">
        <v>4387.49</v>
      </c>
      <c r="U1911" s="1" t="n">
        <v>3606.89</v>
      </c>
      <c r="V1911" s="1" t="n">
        <v>45.12</v>
      </c>
      <c r="W1911" s="1" t="s">
        <v>40</v>
      </c>
      <c r="Y1911" s="1" t="s">
        <v>40</v>
      </c>
      <c r="Z1911" s="1" t="n">
        <v>1</v>
      </c>
    </row>
    <row r="1912" customFormat="false" ht="15" hidden="false" customHeight="true" outlineLevel="0" collapsed="false">
      <c r="A1912" s="1" t="s">
        <v>2763</v>
      </c>
      <c r="B1912" s="1" t="s">
        <v>753</v>
      </c>
      <c r="C1912" s="1" t="s">
        <v>100</v>
      </c>
      <c r="D1912" s="1" t="s">
        <v>143</v>
      </c>
      <c r="E1912" s="1" t="s">
        <v>210</v>
      </c>
      <c r="F1912" s="1" t="s">
        <v>269</v>
      </c>
      <c r="G1912" s="1" t="s">
        <v>108</v>
      </c>
      <c r="H1912" s="1" t="s">
        <v>57</v>
      </c>
      <c r="I1912" s="1" t="s">
        <v>83</v>
      </c>
      <c r="J1912" s="1" t="s">
        <v>35</v>
      </c>
      <c r="K1912" s="1" t="s">
        <v>84</v>
      </c>
      <c r="L1912" s="1" t="s">
        <v>61</v>
      </c>
      <c r="M1912" s="1" t="s">
        <v>38</v>
      </c>
      <c r="N1912" s="1" t="n">
        <v>18999</v>
      </c>
      <c r="O1912" s="1" t="n">
        <v>10</v>
      </c>
      <c r="P1912" s="1" t="n">
        <v>1899.9</v>
      </c>
      <c r="Q1912" s="1" t="n">
        <v>17099.1</v>
      </c>
      <c r="R1912" s="1" t="n">
        <v>3077.84</v>
      </c>
      <c r="S1912" s="1" t="n">
        <v>14021.26</v>
      </c>
      <c r="T1912" s="1" t="n">
        <v>5706.01</v>
      </c>
      <c r="U1912" s="1" t="n">
        <v>8315.25</v>
      </c>
      <c r="V1912" s="1" t="n">
        <v>59.3</v>
      </c>
      <c r="W1912" s="1" t="s">
        <v>39</v>
      </c>
      <c r="Y1912" s="1" t="s">
        <v>40</v>
      </c>
      <c r="Z1912" s="1" t="n">
        <v>0</v>
      </c>
    </row>
    <row r="1913" customFormat="false" ht="15" hidden="false" customHeight="true" outlineLevel="0" collapsed="false">
      <c r="A1913" s="1" t="s">
        <v>2764</v>
      </c>
      <c r="B1913" s="1" t="s">
        <v>692</v>
      </c>
      <c r="C1913" s="1" t="s">
        <v>65</v>
      </c>
      <c r="D1913" s="1" t="s">
        <v>80</v>
      </c>
      <c r="E1913" s="1" t="s">
        <v>81</v>
      </c>
      <c r="F1913" s="1" t="s">
        <v>194</v>
      </c>
      <c r="G1913" s="1" t="s">
        <v>103</v>
      </c>
      <c r="H1913" s="1" t="s">
        <v>69</v>
      </c>
      <c r="I1913" s="1" t="s">
        <v>58</v>
      </c>
      <c r="J1913" s="1" t="s">
        <v>131</v>
      </c>
      <c r="K1913" s="1" t="s">
        <v>104</v>
      </c>
      <c r="L1913" s="1" t="s">
        <v>49</v>
      </c>
      <c r="M1913" s="1" t="s">
        <v>38</v>
      </c>
      <c r="N1913" s="1" t="n">
        <v>12999</v>
      </c>
      <c r="O1913" s="1" t="n">
        <v>15</v>
      </c>
      <c r="P1913" s="1" t="n">
        <v>1949.85</v>
      </c>
      <c r="Q1913" s="1" t="n">
        <v>11049.15</v>
      </c>
      <c r="R1913" s="1" t="n">
        <v>1988.85</v>
      </c>
      <c r="S1913" s="1" t="n">
        <v>9060.3</v>
      </c>
      <c r="T1913" s="1" t="n">
        <v>3411.91</v>
      </c>
      <c r="U1913" s="1" t="n">
        <v>5648.39</v>
      </c>
      <c r="V1913" s="1" t="n">
        <v>62.34</v>
      </c>
      <c r="W1913" s="1" t="s">
        <v>39</v>
      </c>
      <c r="X1913" s="1" t="n">
        <v>3.5</v>
      </c>
      <c r="Y1913" s="1" t="s">
        <v>39</v>
      </c>
      <c r="Z1913" s="1" t="n">
        <v>1</v>
      </c>
    </row>
    <row r="1914" customFormat="false" ht="15" hidden="false" customHeight="true" outlineLevel="0" collapsed="false">
      <c r="A1914" s="1" t="s">
        <v>2765</v>
      </c>
      <c r="B1914" s="1" t="s">
        <v>845</v>
      </c>
      <c r="C1914" s="1" t="s">
        <v>74</v>
      </c>
      <c r="D1914" s="1" t="s">
        <v>168</v>
      </c>
      <c r="E1914" s="1" t="s">
        <v>169</v>
      </c>
      <c r="F1914" s="1" t="s">
        <v>194</v>
      </c>
      <c r="G1914" s="1" t="s">
        <v>103</v>
      </c>
      <c r="H1914" s="1" t="s">
        <v>69</v>
      </c>
      <c r="I1914" s="1" t="s">
        <v>58</v>
      </c>
      <c r="J1914" s="1" t="s">
        <v>70</v>
      </c>
      <c r="K1914" s="1" t="s">
        <v>36</v>
      </c>
      <c r="L1914" s="1" t="s">
        <v>136</v>
      </c>
      <c r="M1914" s="1" t="s">
        <v>62</v>
      </c>
      <c r="N1914" s="1" t="n">
        <v>4999</v>
      </c>
      <c r="O1914" s="1" t="n">
        <v>0</v>
      </c>
      <c r="P1914" s="1" t="n">
        <v>0</v>
      </c>
      <c r="Q1914" s="1" t="n">
        <v>4999</v>
      </c>
      <c r="R1914" s="1" t="n">
        <v>899.82</v>
      </c>
      <c r="S1914" s="1" t="n">
        <v>4099.18</v>
      </c>
      <c r="T1914" s="1" t="n">
        <v>1291.11</v>
      </c>
      <c r="U1914" s="1" t="n">
        <v>2808.07</v>
      </c>
      <c r="V1914" s="1" t="n">
        <v>68.5</v>
      </c>
      <c r="W1914" s="1" t="s">
        <v>39</v>
      </c>
      <c r="X1914" s="1" t="n">
        <v>3.6</v>
      </c>
      <c r="Y1914" s="1" t="s">
        <v>40</v>
      </c>
      <c r="Z1914" s="1" t="n">
        <v>1</v>
      </c>
    </row>
    <row r="1915" customFormat="false" ht="15" hidden="false" customHeight="true" outlineLevel="0" collapsed="false">
      <c r="A1915" s="1" t="s">
        <v>2766</v>
      </c>
      <c r="B1915" s="1" t="s">
        <v>1847</v>
      </c>
      <c r="C1915" s="1" t="s">
        <v>249</v>
      </c>
      <c r="D1915" s="1" t="s">
        <v>168</v>
      </c>
      <c r="E1915" s="1" t="s">
        <v>172</v>
      </c>
      <c r="F1915" s="1" t="s">
        <v>184</v>
      </c>
      <c r="G1915" s="1" t="s">
        <v>56</v>
      </c>
      <c r="H1915" s="1" t="s">
        <v>57</v>
      </c>
      <c r="I1915" s="1" t="s">
        <v>34</v>
      </c>
      <c r="J1915" s="1" t="s">
        <v>77</v>
      </c>
      <c r="K1915" s="1" t="s">
        <v>90</v>
      </c>
      <c r="L1915" s="1" t="s">
        <v>37</v>
      </c>
      <c r="M1915" s="1" t="s">
        <v>62</v>
      </c>
      <c r="N1915" s="1" t="n">
        <v>6999</v>
      </c>
      <c r="O1915" s="1" t="n">
        <v>0</v>
      </c>
      <c r="P1915" s="1" t="n">
        <v>0</v>
      </c>
      <c r="Q1915" s="1" t="n">
        <v>6999</v>
      </c>
      <c r="R1915" s="1" t="n">
        <v>1259.82</v>
      </c>
      <c r="S1915" s="1" t="n">
        <v>5739.18</v>
      </c>
      <c r="T1915" s="1" t="n">
        <v>2757.44</v>
      </c>
      <c r="U1915" s="1" t="n">
        <v>2981.74</v>
      </c>
      <c r="V1915" s="1" t="n">
        <v>51.95</v>
      </c>
      <c r="W1915" s="1" t="s">
        <v>39</v>
      </c>
      <c r="X1915" s="1" t="n">
        <v>3.4</v>
      </c>
      <c r="Y1915" s="1" t="s">
        <v>40</v>
      </c>
      <c r="Z1915" s="1" t="n">
        <v>1</v>
      </c>
    </row>
    <row r="1916" customFormat="false" ht="15" hidden="false" customHeight="true" outlineLevel="0" collapsed="false">
      <c r="A1916" s="1" t="s">
        <v>2767</v>
      </c>
      <c r="B1916" s="1" t="s">
        <v>2518</v>
      </c>
      <c r="C1916" s="1" t="s">
        <v>167</v>
      </c>
      <c r="D1916" s="1" t="s">
        <v>94</v>
      </c>
      <c r="E1916" s="1" t="s">
        <v>135</v>
      </c>
      <c r="F1916" s="1" t="s">
        <v>150</v>
      </c>
      <c r="G1916" s="1" t="s">
        <v>32</v>
      </c>
      <c r="H1916" s="1" t="s">
        <v>57</v>
      </c>
      <c r="I1916" s="1" t="s">
        <v>83</v>
      </c>
      <c r="J1916" s="1" t="s">
        <v>35</v>
      </c>
      <c r="K1916" s="1" t="s">
        <v>112</v>
      </c>
      <c r="L1916" s="1" t="s">
        <v>37</v>
      </c>
      <c r="M1916" s="1" t="s">
        <v>38</v>
      </c>
      <c r="N1916" s="1" t="n">
        <v>9999</v>
      </c>
      <c r="O1916" s="1" t="n">
        <v>0</v>
      </c>
      <c r="P1916" s="1" t="n">
        <v>0</v>
      </c>
      <c r="Q1916" s="1" t="n">
        <v>9999</v>
      </c>
      <c r="R1916" s="1" t="n">
        <v>1799.82</v>
      </c>
      <c r="S1916" s="1" t="n">
        <v>8199.18</v>
      </c>
      <c r="T1916" s="1" t="n">
        <v>3488.54</v>
      </c>
      <c r="U1916" s="1" t="n">
        <v>4710.64</v>
      </c>
      <c r="V1916" s="1" t="n">
        <v>57.45</v>
      </c>
      <c r="W1916" s="1" t="s">
        <v>40</v>
      </c>
      <c r="Y1916" s="1" t="s">
        <v>40</v>
      </c>
      <c r="Z1916" s="1" t="n">
        <v>1</v>
      </c>
    </row>
    <row r="1917" customFormat="false" ht="15" hidden="false" customHeight="true" outlineLevel="0" collapsed="false">
      <c r="A1917" s="1" t="s">
        <v>2768</v>
      </c>
      <c r="B1917" s="1" t="s">
        <v>292</v>
      </c>
      <c r="C1917" s="1" t="s">
        <v>264</v>
      </c>
      <c r="D1917" s="1" t="s">
        <v>53</v>
      </c>
      <c r="E1917" s="1" t="s">
        <v>116</v>
      </c>
      <c r="F1917" s="1" t="s">
        <v>46</v>
      </c>
      <c r="G1917" s="1" t="s">
        <v>47</v>
      </c>
      <c r="H1917" s="1" t="s">
        <v>33</v>
      </c>
      <c r="I1917" s="1" t="s">
        <v>34</v>
      </c>
      <c r="J1917" s="1" t="s">
        <v>77</v>
      </c>
      <c r="K1917" s="1" t="s">
        <v>112</v>
      </c>
      <c r="L1917" s="1" t="s">
        <v>61</v>
      </c>
      <c r="M1917" s="1" t="s">
        <v>62</v>
      </c>
      <c r="N1917" s="1" t="n">
        <v>9999</v>
      </c>
      <c r="O1917" s="1" t="n">
        <v>5</v>
      </c>
      <c r="P1917" s="1" t="n">
        <v>499.95</v>
      </c>
      <c r="Q1917" s="1" t="n">
        <v>9499.05</v>
      </c>
      <c r="R1917" s="1" t="n">
        <v>1709.83</v>
      </c>
      <c r="S1917" s="1" t="n">
        <v>7789.22</v>
      </c>
      <c r="T1917" s="1" t="n">
        <v>3424.97</v>
      </c>
      <c r="U1917" s="1" t="n">
        <v>4364.25</v>
      </c>
      <c r="V1917" s="1" t="n">
        <v>56.03</v>
      </c>
      <c r="W1917" s="1" t="s">
        <v>39</v>
      </c>
      <c r="X1917" s="1" t="n">
        <v>3.6</v>
      </c>
      <c r="Y1917" s="1" t="s">
        <v>40</v>
      </c>
      <c r="Z1917" s="1" t="n">
        <v>0</v>
      </c>
    </row>
    <row r="1918" customFormat="false" ht="15" hidden="false" customHeight="true" outlineLevel="0" collapsed="false">
      <c r="A1918" s="1" t="s">
        <v>2769</v>
      </c>
      <c r="B1918" s="1" t="s">
        <v>760</v>
      </c>
      <c r="C1918" s="1" t="s">
        <v>128</v>
      </c>
      <c r="D1918" s="1" t="s">
        <v>94</v>
      </c>
      <c r="E1918" s="1" t="s">
        <v>101</v>
      </c>
      <c r="F1918" s="1" t="s">
        <v>67</v>
      </c>
      <c r="G1918" s="1" t="s">
        <v>68</v>
      </c>
      <c r="H1918" s="1" t="s">
        <v>69</v>
      </c>
      <c r="I1918" s="1" t="s">
        <v>83</v>
      </c>
      <c r="J1918" s="1" t="s">
        <v>35</v>
      </c>
      <c r="K1918" s="1" t="s">
        <v>90</v>
      </c>
      <c r="L1918" s="1" t="s">
        <v>37</v>
      </c>
      <c r="M1918" s="1" t="s">
        <v>62</v>
      </c>
      <c r="N1918" s="1" t="n">
        <v>14999</v>
      </c>
      <c r="O1918" s="1" t="n">
        <v>0</v>
      </c>
      <c r="P1918" s="1" t="n">
        <v>0</v>
      </c>
      <c r="Q1918" s="1" t="n">
        <v>14999</v>
      </c>
      <c r="R1918" s="1" t="n">
        <v>2699.82</v>
      </c>
      <c r="S1918" s="1" t="n">
        <v>12299.18</v>
      </c>
      <c r="T1918" s="1" t="n">
        <v>5456.42</v>
      </c>
      <c r="U1918" s="1" t="n">
        <v>6842.76</v>
      </c>
      <c r="V1918" s="1" t="n">
        <v>55.64</v>
      </c>
      <c r="W1918" s="1" t="s">
        <v>40</v>
      </c>
      <c r="Y1918" s="1" t="s">
        <v>40</v>
      </c>
      <c r="Z1918" s="1" t="n">
        <v>0</v>
      </c>
    </row>
    <row r="1919" customFormat="false" ht="15" hidden="false" customHeight="true" outlineLevel="0" collapsed="false">
      <c r="A1919" s="1" t="s">
        <v>2770</v>
      </c>
      <c r="B1919" s="1" t="s">
        <v>885</v>
      </c>
      <c r="C1919" s="1" t="s">
        <v>28</v>
      </c>
      <c r="D1919" s="1" t="s">
        <v>53</v>
      </c>
      <c r="E1919" s="1" t="s">
        <v>54</v>
      </c>
      <c r="F1919" s="1" t="s">
        <v>125</v>
      </c>
      <c r="G1919" s="1" t="s">
        <v>108</v>
      </c>
      <c r="H1919" s="1" t="s">
        <v>69</v>
      </c>
      <c r="I1919" s="1" t="s">
        <v>58</v>
      </c>
      <c r="J1919" s="1" t="s">
        <v>131</v>
      </c>
      <c r="K1919" s="1" t="s">
        <v>104</v>
      </c>
      <c r="L1919" s="1" t="s">
        <v>61</v>
      </c>
      <c r="M1919" s="1" t="s">
        <v>50</v>
      </c>
      <c r="N1919" s="1" t="n">
        <v>11999</v>
      </c>
      <c r="O1919" s="1" t="n">
        <v>0</v>
      </c>
      <c r="P1919" s="1" t="n">
        <v>0</v>
      </c>
      <c r="Q1919" s="1" t="n">
        <v>11999</v>
      </c>
      <c r="R1919" s="1" t="n">
        <v>2159.82</v>
      </c>
      <c r="S1919" s="1" t="n">
        <v>9839.18</v>
      </c>
      <c r="T1919" s="1" t="n">
        <v>4412.66</v>
      </c>
      <c r="U1919" s="1" t="n">
        <v>5426.52</v>
      </c>
      <c r="V1919" s="1" t="n">
        <v>55.15</v>
      </c>
      <c r="W1919" s="1" t="s">
        <v>39</v>
      </c>
      <c r="X1919" s="1" t="n">
        <v>3.8</v>
      </c>
      <c r="Y1919" s="1" t="s">
        <v>40</v>
      </c>
      <c r="Z1919" s="1" t="n">
        <v>0</v>
      </c>
    </row>
    <row r="1920" customFormat="false" ht="15" hidden="false" customHeight="true" outlineLevel="0" collapsed="false">
      <c r="A1920" s="1" t="s">
        <v>2771</v>
      </c>
      <c r="B1920" s="1" t="s">
        <v>1331</v>
      </c>
      <c r="C1920" s="1" t="s">
        <v>28</v>
      </c>
      <c r="D1920" s="1" t="s">
        <v>123</v>
      </c>
      <c r="E1920" s="1" t="s">
        <v>147</v>
      </c>
      <c r="F1920" s="1" t="s">
        <v>184</v>
      </c>
      <c r="G1920" s="1" t="s">
        <v>56</v>
      </c>
      <c r="H1920" s="1" t="s">
        <v>57</v>
      </c>
      <c r="I1920" s="1" t="s">
        <v>58</v>
      </c>
      <c r="J1920" s="1" t="s">
        <v>59</v>
      </c>
      <c r="K1920" s="1" t="s">
        <v>84</v>
      </c>
      <c r="L1920" s="1" t="s">
        <v>61</v>
      </c>
      <c r="M1920" s="1" t="s">
        <v>62</v>
      </c>
      <c r="N1920" s="1" t="n">
        <v>6999</v>
      </c>
      <c r="O1920" s="1" t="n">
        <v>30</v>
      </c>
      <c r="P1920" s="1" t="n">
        <v>2099.7</v>
      </c>
      <c r="Q1920" s="1" t="n">
        <v>4899.3</v>
      </c>
      <c r="R1920" s="1" t="n">
        <v>881.87</v>
      </c>
      <c r="S1920" s="1" t="n">
        <v>4017.43</v>
      </c>
      <c r="T1920" s="1" t="n">
        <v>2111.88</v>
      </c>
      <c r="U1920" s="1" t="n">
        <v>1905.55</v>
      </c>
      <c r="V1920" s="1" t="n">
        <v>47.43</v>
      </c>
      <c r="W1920" s="1" t="s">
        <v>40</v>
      </c>
      <c r="Y1920" s="1" t="s">
        <v>40</v>
      </c>
      <c r="Z1920" s="1" t="n">
        <v>1</v>
      </c>
    </row>
    <row r="1921" customFormat="false" ht="15" hidden="false" customHeight="true" outlineLevel="0" collapsed="false">
      <c r="A1921" s="1" t="s">
        <v>2772</v>
      </c>
      <c r="B1921" s="1" t="s">
        <v>180</v>
      </c>
      <c r="C1921" s="1" t="s">
        <v>178</v>
      </c>
      <c r="D1921" s="1" t="s">
        <v>29</v>
      </c>
      <c r="E1921" s="1" t="s">
        <v>305</v>
      </c>
      <c r="F1921" s="1" t="s">
        <v>31</v>
      </c>
      <c r="G1921" s="1" t="s">
        <v>32</v>
      </c>
      <c r="H1921" s="1" t="s">
        <v>33</v>
      </c>
      <c r="I1921" s="1" t="s">
        <v>58</v>
      </c>
      <c r="J1921" s="1" t="s">
        <v>70</v>
      </c>
      <c r="K1921" s="1" t="s">
        <v>104</v>
      </c>
      <c r="L1921" s="1" t="s">
        <v>136</v>
      </c>
      <c r="M1921" s="1" t="s">
        <v>38</v>
      </c>
      <c r="N1921" s="1" t="n">
        <v>24999</v>
      </c>
      <c r="O1921" s="1" t="n">
        <v>0</v>
      </c>
      <c r="P1921" s="1" t="n">
        <v>0</v>
      </c>
      <c r="Q1921" s="1" t="n">
        <v>24999</v>
      </c>
      <c r="R1921" s="1" t="n">
        <v>4499.82</v>
      </c>
      <c r="S1921" s="1" t="n">
        <v>20499.18</v>
      </c>
      <c r="T1921" s="1" t="n">
        <v>7744.25</v>
      </c>
      <c r="U1921" s="1" t="n">
        <v>12754.93</v>
      </c>
      <c r="V1921" s="1" t="n">
        <v>62.22</v>
      </c>
      <c r="W1921" s="1" t="s">
        <v>39</v>
      </c>
      <c r="X1921" s="1" t="n">
        <v>4</v>
      </c>
      <c r="Y1921" s="1" t="s">
        <v>39</v>
      </c>
      <c r="Z1921" s="1" t="n">
        <v>0</v>
      </c>
    </row>
    <row r="1922" customFormat="false" ht="15" hidden="false" customHeight="true" outlineLevel="0" collapsed="false">
      <c r="A1922" s="1" t="s">
        <v>2773</v>
      </c>
      <c r="B1922" s="1" t="s">
        <v>1458</v>
      </c>
      <c r="C1922" s="1" t="s">
        <v>134</v>
      </c>
      <c r="D1922" s="1" t="s">
        <v>123</v>
      </c>
      <c r="E1922" s="1" t="s">
        <v>147</v>
      </c>
      <c r="F1922" s="1" t="s">
        <v>150</v>
      </c>
      <c r="G1922" s="1" t="s">
        <v>32</v>
      </c>
      <c r="H1922" s="1" t="s">
        <v>57</v>
      </c>
      <c r="I1922" s="1" t="s">
        <v>34</v>
      </c>
      <c r="J1922" s="1" t="s">
        <v>35</v>
      </c>
      <c r="K1922" s="1" t="s">
        <v>90</v>
      </c>
      <c r="L1922" s="1" t="s">
        <v>113</v>
      </c>
      <c r="M1922" s="1" t="s">
        <v>50</v>
      </c>
      <c r="N1922" s="1" t="n">
        <v>6999</v>
      </c>
      <c r="O1922" s="1" t="n">
        <v>0</v>
      </c>
      <c r="P1922" s="1" t="n">
        <v>0</v>
      </c>
      <c r="Q1922" s="1" t="n">
        <v>6999</v>
      </c>
      <c r="R1922" s="1" t="n">
        <v>1259.82</v>
      </c>
      <c r="S1922" s="1" t="n">
        <v>5739.18</v>
      </c>
      <c r="T1922" s="1" t="n">
        <v>2698.39</v>
      </c>
      <c r="U1922" s="1" t="n">
        <v>3040.79</v>
      </c>
      <c r="V1922" s="1" t="n">
        <v>52.98</v>
      </c>
      <c r="W1922" s="1" t="s">
        <v>39</v>
      </c>
      <c r="X1922" s="1" t="n">
        <v>3.2</v>
      </c>
      <c r="Y1922" s="1" t="s">
        <v>40</v>
      </c>
      <c r="Z1922" s="1" t="n">
        <v>0</v>
      </c>
    </row>
    <row r="1923" customFormat="false" ht="15" hidden="false" customHeight="true" outlineLevel="0" collapsed="false">
      <c r="A1923" s="1" t="s">
        <v>2774</v>
      </c>
      <c r="B1923" s="1" t="s">
        <v>87</v>
      </c>
      <c r="C1923" s="1" t="s">
        <v>178</v>
      </c>
      <c r="D1923" s="1" t="s">
        <v>168</v>
      </c>
      <c r="E1923" s="1" t="s">
        <v>169</v>
      </c>
      <c r="F1923" s="1" t="s">
        <v>120</v>
      </c>
      <c r="G1923" s="1" t="s">
        <v>47</v>
      </c>
      <c r="H1923" s="1" t="s">
        <v>57</v>
      </c>
      <c r="I1923" s="1" t="s">
        <v>83</v>
      </c>
      <c r="J1923" s="1" t="s">
        <v>131</v>
      </c>
      <c r="K1923" s="1" t="s">
        <v>84</v>
      </c>
      <c r="L1923" s="1" t="s">
        <v>136</v>
      </c>
      <c r="M1923" s="1" t="s">
        <v>62</v>
      </c>
      <c r="N1923" s="1" t="n">
        <v>4999</v>
      </c>
      <c r="O1923" s="1" t="n">
        <v>0</v>
      </c>
      <c r="P1923" s="1" t="n">
        <v>0</v>
      </c>
      <c r="Q1923" s="1" t="n">
        <v>4999</v>
      </c>
      <c r="R1923" s="1" t="n">
        <v>899.82</v>
      </c>
      <c r="S1923" s="1" t="n">
        <v>4099.18</v>
      </c>
      <c r="T1923" s="1" t="n">
        <v>1640.48</v>
      </c>
      <c r="U1923" s="1" t="n">
        <v>2458.7</v>
      </c>
      <c r="V1923" s="1" t="n">
        <v>59.98</v>
      </c>
      <c r="W1923" s="1" t="s">
        <v>39</v>
      </c>
      <c r="X1923" s="1" t="n">
        <v>3.3</v>
      </c>
      <c r="Y1923" s="1" t="s">
        <v>40</v>
      </c>
      <c r="Z1923" s="1" t="n">
        <v>1</v>
      </c>
    </row>
    <row r="1924" customFormat="false" ht="15" hidden="false" customHeight="true" outlineLevel="0" collapsed="false">
      <c r="A1924" s="1" t="s">
        <v>2775</v>
      </c>
      <c r="B1924" s="1" t="s">
        <v>2137</v>
      </c>
      <c r="C1924" s="1" t="s">
        <v>139</v>
      </c>
      <c r="D1924" s="1" t="s">
        <v>29</v>
      </c>
      <c r="E1924" s="1" t="s">
        <v>129</v>
      </c>
      <c r="F1924" s="1" t="s">
        <v>150</v>
      </c>
      <c r="G1924" s="1" t="s">
        <v>32</v>
      </c>
      <c r="H1924" s="1" t="s">
        <v>57</v>
      </c>
      <c r="I1924" s="1" t="s">
        <v>58</v>
      </c>
      <c r="J1924" s="1" t="s">
        <v>70</v>
      </c>
      <c r="K1924" s="1" t="s">
        <v>84</v>
      </c>
      <c r="L1924" s="1" t="s">
        <v>136</v>
      </c>
      <c r="M1924" s="1" t="s">
        <v>38</v>
      </c>
      <c r="N1924" s="1" t="n">
        <v>29999</v>
      </c>
      <c r="O1924" s="1" t="n">
        <v>40</v>
      </c>
      <c r="P1924" s="1" t="n">
        <v>11999.6</v>
      </c>
      <c r="Q1924" s="1" t="n">
        <v>17999.4</v>
      </c>
      <c r="R1924" s="1" t="n">
        <v>3239.89</v>
      </c>
      <c r="S1924" s="1" t="n">
        <v>14759.51</v>
      </c>
      <c r="T1924" s="1" t="n">
        <v>7498.13</v>
      </c>
      <c r="U1924" s="1" t="n">
        <v>7261.38</v>
      </c>
      <c r="V1924" s="1" t="n">
        <v>49.2</v>
      </c>
      <c r="W1924" s="1" t="s">
        <v>40</v>
      </c>
      <c r="Y1924" s="1" t="s">
        <v>40</v>
      </c>
      <c r="Z1924" s="1" t="n">
        <v>0</v>
      </c>
    </row>
    <row r="1925" customFormat="false" ht="15" hidden="false" customHeight="true" outlineLevel="0" collapsed="false">
      <c r="A1925" s="1" t="s">
        <v>2776</v>
      </c>
      <c r="B1925" s="1" t="s">
        <v>1097</v>
      </c>
      <c r="C1925" s="1" t="s">
        <v>134</v>
      </c>
      <c r="D1925" s="1" t="s">
        <v>94</v>
      </c>
      <c r="E1925" s="1" t="s">
        <v>101</v>
      </c>
      <c r="F1925" s="1" t="s">
        <v>125</v>
      </c>
      <c r="G1925" s="1" t="s">
        <v>108</v>
      </c>
      <c r="H1925" s="1" t="s">
        <v>69</v>
      </c>
      <c r="I1925" s="1" t="s">
        <v>58</v>
      </c>
      <c r="J1925" s="1" t="s">
        <v>59</v>
      </c>
      <c r="K1925" s="1" t="s">
        <v>90</v>
      </c>
      <c r="L1925" s="1" t="s">
        <v>85</v>
      </c>
      <c r="M1925" s="1" t="s">
        <v>62</v>
      </c>
      <c r="N1925" s="1" t="n">
        <v>14999</v>
      </c>
      <c r="O1925" s="1" t="n">
        <v>25</v>
      </c>
      <c r="P1925" s="1" t="n">
        <v>3749.75</v>
      </c>
      <c r="Q1925" s="1" t="n">
        <v>11249.25</v>
      </c>
      <c r="R1925" s="1" t="n">
        <v>2024.87</v>
      </c>
      <c r="S1925" s="1" t="n">
        <v>9224.38</v>
      </c>
      <c r="T1925" s="1" t="n">
        <v>3641.37</v>
      </c>
      <c r="U1925" s="1" t="n">
        <v>5583.01</v>
      </c>
      <c r="V1925" s="1" t="n">
        <v>60.52</v>
      </c>
      <c r="W1925" s="1" t="s">
        <v>39</v>
      </c>
      <c r="X1925" s="1" t="n">
        <v>3.2</v>
      </c>
      <c r="Y1925" s="1" t="s">
        <v>40</v>
      </c>
      <c r="Z1925" s="1" t="n">
        <v>1</v>
      </c>
    </row>
    <row r="1926" customFormat="false" ht="15" hidden="false" customHeight="true" outlineLevel="0" collapsed="false">
      <c r="A1926" s="1" t="s">
        <v>2777</v>
      </c>
      <c r="B1926" s="1" t="s">
        <v>913</v>
      </c>
      <c r="C1926" s="1" t="s">
        <v>128</v>
      </c>
      <c r="D1926" s="1" t="s">
        <v>143</v>
      </c>
      <c r="E1926" s="1" t="s">
        <v>243</v>
      </c>
      <c r="F1926" s="1" t="s">
        <v>96</v>
      </c>
      <c r="G1926" s="1" t="s">
        <v>97</v>
      </c>
      <c r="H1926" s="1" t="s">
        <v>69</v>
      </c>
      <c r="I1926" s="1" t="s">
        <v>34</v>
      </c>
      <c r="J1926" s="1" t="s">
        <v>70</v>
      </c>
      <c r="K1926" s="1" t="s">
        <v>112</v>
      </c>
      <c r="L1926" s="1" t="s">
        <v>113</v>
      </c>
      <c r="M1926" s="1" t="s">
        <v>38</v>
      </c>
      <c r="N1926" s="1" t="n">
        <v>22999</v>
      </c>
      <c r="O1926" s="1" t="n">
        <v>30</v>
      </c>
      <c r="P1926" s="1" t="n">
        <v>6899.7</v>
      </c>
      <c r="Q1926" s="1" t="n">
        <v>16099.3</v>
      </c>
      <c r="R1926" s="1" t="n">
        <v>2897.87</v>
      </c>
      <c r="S1926" s="1" t="n">
        <v>13201.43</v>
      </c>
      <c r="T1926" s="1" t="n">
        <v>6233.56</v>
      </c>
      <c r="U1926" s="1" t="n">
        <v>6967.87</v>
      </c>
      <c r="V1926" s="1" t="n">
        <v>52.78</v>
      </c>
      <c r="W1926" s="1" t="s">
        <v>39</v>
      </c>
      <c r="X1926" s="1" t="n">
        <v>3.9</v>
      </c>
      <c r="Y1926" s="1" t="s">
        <v>40</v>
      </c>
      <c r="Z1926" s="1" t="n">
        <v>1</v>
      </c>
    </row>
    <row r="1927" customFormat="false" ht="15" hidden="false" customHeight="true" outlineLevel="0" collapsed="false">
      <c r="A1927" s="1" t="s">
        <v>2778</v>
      </c>
      <c r="B1927" s="1" t="s">
        <v>1895</v>
      </c>
      <c r="C1927" s="1" t="s">
        <v>134</v>
      </c>
      <c r="D1927" s="1" t="s">
        <v>44</v>
      </c>
      <c r="E1927" s="1" t="s">
        <v>221</v>
      </c>
      <c r="F1927" s="1" t="s">
        <v>31</v>
      </c>
      <c r="G1927" s="1" t="s">
        <v>32</v>
      </c>
      <c r="H1927" s="1" t="s">
        <v>33</v>
      </c>
      <c r="I1927" s="1" t="s">
        <v>58</v>
      </c>
      <c r="J1927" s="1" t="s">
        <v>77</v>
      </c>
      <c r="K1927" s="1" t="s">
        <v>48</v>
      </c>
      <c r="L1927" s="1" t="s">
        <v>49</v>
      </c>
      <c r="M1927" s="1" t="s">
        <v>50</v>
      </c>
      <c r="N1927" s="1" t="n">
        <v>16999</v>
      </c>
      <c r="O1927" s="1" t="n">
        <v>40</v>
      </c>
      <c r="P1927" s="1" t="n">
        <v>6799.6</v>
      </c>
      <c r="Q1927" s="1" t="n">
        <v>10199.4</v>
      </c>
      <c r="R1927" s="1" t="n">
        <v>1835.89</v>
      </c>
      <c r="S1927" s="1" t="n">
        <v>8363.51</v>
      </c>
      <c r="T1927" s="1" t="n">
        <v>4715.98</v>
      </c>
      <c r="U1927" s="1" t="n">
        <v>3647.53</v>
      </c>
      <c r="V1927" s="1" t="n">
        <v>43.61</v>
      </c>
      <c r="W1927" s="1" t="s">
        <v>39</v>
      </c>
      <c r="X1927" s="1" t="n">
        <v>3.6</v>
      </c>
      <c r="Y1927" s="1" t="s">
        <v>40</v>
      </c>
      <c r="Z1927" s="1" t="n">
        <v>0</v>
      </c>
    </row>
    <row r="1928" customFormat="false" ht="15" hidden="false" customHeight="true" outlineLevel="0" collapsed="false">
      <c r="A1928" s="1" t="s">
        <v>2779</v>
      </c>
      <c r="B1928" s="1" t="s">
        <v>313</v>
      </c>
      <c r="C1928" s="1" t="s">
        <v>65</v>
      </c>
      <c r="D1928" s="1" t="s">
        <v>143</v>
      </c>
      <c r="E1928" s="1" t="s">
        <v>243</v>
      </c>
      <c r="F1928" s="1" t="s">
        <v>107</v>
      </c>
      <c r="G1928" s="1" t="s">
        <v>108</v>
      </c>
      <c r="H1928" s="1" t="s">
        <v>33</v>
      </c>
      <c r="I1928" s="1" t="s">
        <v>34</v>
      </c>
      <c r="J1928" s="1" t="s">
        <v>70</v>
      </c>
      <c r="K1928" s="1" t="s">
        <v>71</v>
      </c>
      <c r="L1928" s="1" t="s">
        <v>37</v>
      </c>
      <c r="M1928" s="1" t="s">
        <v>62</v>
      </c>
      <c r="N1928" s="1" t="n">
        <v>22999</v>
      </c>
      <c r="O1928" s="1" t="n">
        <v>20</v>
      </c>
      <c r="P1928" s="1" t="n">
        <v>4599.8</v>
      </c>
      <c r="Q1928" s="1" t="n">
        <v>18399.2</v>
      </c>
      <c r="R1928" s="1" t="n">
        <v>3311.86</v>
      </c>
      <c r="S1928" s="1" t="n">
        <v>15087.34</v>
      </c>
      <c r="T1928" s="1" t="n">
        <v>6501.52</v>
      </c>
      <c r="U1928" s="1" t="n">
        <v>8585.82</v>
      </c>
      <c r="V1928" s="1" t="n">
        <v>56.91</v>
      </c>
      <c r="W1928" s="1" t="s">
        <v>39</v>
      </c>
      <c r="X1928" s="1" t="n">
        <v>3.9</v>
      </c>
      <c r="Y1928" s="1" t="s">
        <v>40</v>
      </c>
      <c r="Z1928" s="1" t="n">
        <v>0</v>
      </c>
    </row>
    <row r="1929" customFormat="false" ht="15" hidden="false" customHeight="true" outlineLevel="0" collapsed="false">
      <c r="A1929" s="1" t="s">
        <v>2780</v>
      </c>
      <c r="B1929" s="1" t="s">
        <v>1285</v>
      </c>
      <c r="C1929" s="1" t="s">
        <v>65</v>
      </c>
      <c r="D1929" s="1" t="s">
        <v>44</v>
      </c>
      <c r="E1929" s="1" t="s">
        <v>45</v>
      </c>
      <c r="F1929" s="1" t="s">
        <v>96</v>
      </c>
      <c r="G1929" s="1" t="s">
        <v>97</v>
      </c>
      <c r="H1929" s="1" t="s">
        <v>69</v>
      </c>
      <c r="I1929" s="1" t="s">
        <v>34</v>
      </c>
      <c r="J1929" s="1" t="s">
        <v>77</v>
      </c>
      <c r="K1929" s="1" t="s">
        <v>90</v>
      </c>
      <c r="L1929" s="1" t="s">
        <v>85</v>
      </c>
      <c r="M1929" s="1" t="s">
        <v>62</v>
      </c>
      <c r="N1929" s="1" t="n">
        <v>11999</v>
      </c>
      <c r="O1929" s="1" t="n">
        <v>10</v>
      </c>
      <c r="P1929" s="1" t="n">
        <v>1199.9</v>
      </c>
      <c r="Q1929" s="1" t="n">
        <v>10799.1</v>
      </c>
      <c r="R1929" s="1" t="n">
        <v>1943.84</v>
      </c>
      <c r="S1929" s="1" t="n">
        <v>8855.26</v>
      </c>
      <c r="T1929" s="1" t="n">
        <v>3515.25</v>
      </c>
      <c r="U1929" s="1" t="n">
        <v>5340.01</v>
      </c>
      <c r="V1929" s="1" t="n">
        <v>60.3</v>
      </c>
      <c r="W1929" s="1" t="s">
        <v>40</v>
      </c>
      <c r="Y1929" s="1" t="s">
        <v>40</v>
      </c>
      <c r="Z1929" s="1" t="n">
        <v>0</v>
      </c>
    </row>
    <row r="1930" customFormat="false" ht="15" hidden="false" customHeight="true" outlineLevel="0" collapsed="false">
      <c r="A1930" s="1" t="s">
        <v>2781</v>
      </c>
      <c r="B1930" s="1" t="s">
        <v>2235</v>
      </c>
      <c r="C1930" s="1" t="s">
        <v>28</v>
      </c>
      <c r="D1930" s="1" t="s">
        <v>168</v>
      </c>
      <c r="E1930" s="1" t="s">
        <v>328</v>
      </c>
      <c r="F1930" s="1" t="s">
        <v>153</v>
      </c>
      <c r="G1930" s="1" t="s">
        <v>76</v>
      </c>
      <c r="H1930" s="1" t="s">
        <v>33</v>
      </c>
      <c r="I1930" s="1" t="s">
        <v>83</v>
      </c>
      <c r="J1930" s="1" t="s">
        <v>59</v>
      </c>
      <c r="K1930" s="1" t="s">
        <v>84</v>
      </c>
      <c r="L1930" s="1" t="s">
        <v>61</v>
      </c>
      <c r="M1930" s="1" t="s">
        <v>38</v>
      </c>
      <c r="N1930" s="1" t="n">
        <v>8999</v>
      </c>
      <c r="O1930" s="1" t="n">
        <v>10</v>
      </c>
      <c r="P1930" s="1" t="n">
        <v>899.9</v>
      </c>
      <c r="Q1930" s="1" t="n">
        <v>8099.1</v>
      </c>
      <c r="R1930" s="1" t="n">
        <v>1457.84</v>
      </c>
      <c r="S1930" s="1" t="n">
        <v>6641.26</v>
      </c>
      <c r="T1930" s="1" t="n">
        <v>2773.44</v>
      </c>
      <c r="U1930" s="1" t="n">
        <v>3867.82</v>
      </c>
      <c r="V1930" s="1" t="n">
        <v>58.24</v>
      </c>
      <c r="W1930" s="1" t="s">
        <v>40</v>
      </c>
      <c r="Y1930" s="1" t="s">
        <v>40</v>
      </c>
      <c r="Z1930" s="1" t="n">
        <v>0</v>
      </c>
    </row>
    <row r="1931" customFormat="false" ht="15" hidden="false" customHeight="true" outlineLevel="0" collapsed="false">
      <c r="A1931" s="1" t="s">
        <v>2782</v>
      </c>
      <c r="B1931" s="1" t="s">
        <v>415</v>
      </c>
      <c r="C1931" s="1" t="s">
        <v>43</v>
      </c>
      <c r="D1931" s="1" t="s">
        <v>123</v>
      </c>
      <c r="E1931" s="1" t="s">
        <v>233</v>
      </c>
      <c r="F1931" s="1" t="s">
        <v>150</v>
      </c>
      <c r="G1931" s="1" t="s">
        <v>32</v>
      </c>
      <c r="H1931" s="1" t="s">
        <v>57</v>
      </c>
      <c r="I1931" s="1" t="s">
        <v>58</v>
      </c>
      <c r="J1931" s="1" t="s">
        <v>77</v>
      </c>
      <c r="K1931" s="1" t="s">
        <v>36</v>
      </c>
      <c r="L1931" s="1" t="s">
        <v>113</v>
      </c>
      <c r="M1931" s="1" t="s">
        <v>62</v>
      </c>
      <c r="N1931" s="1" t="n">
        <v>8999</v>
      </c>
      <c r="O1931" s="1" t="n">
        <v>25</v>
      </c>
      <c r="P1931" s="1" t="n">
        <v>2249.75</v>
      </c>
      <c r="Q1931" s="1" t="n">
        <v>6749.25</v>
      </c>
      <c r="R1931" s="1" t="n">
        <v>1214.87</v>
      </c>
      <c r="S1931" s="1" t="n">
        <v>5534.38</v>
      </c>
      <c r="T1931" s="1" t="n">
        <v>2571.33</v>
      </c>
      <c r="U1931" s="1" t="n">
        <v>2963.05</v>
      </c>
      <c r="V1931" s="1" t="n">
        <v>53.54</v>
      </c>
      <c r="W1931" s="1" t="s">
        <v>39</v>
      </c>
      <c r="X1931" s="1" t="n">
        <v>3.3</v>
      </c>
      <c r="Y1931" s="1" t="s">
        <v>40</v>
      </c>
      <c r="Z1931" s="1" t="n">
        <v>0</v>
      </c>
    </row>
    <row r="1932" customFormat="false" ht="15" hidden="false" customHeight="true" outlineLevel="0" collapsed="false">
      <c r="A1932" s="1" t="s">
        <v>2783</v>
      </c>
      <c r="B1932" s="1" t="s">
        <v>1056</v>
      </c>
      <c r="C1932" s="1" t="s">
        <v>139</v>
      </c>
      <c r="D1932" s="1" t="s">
        <v>143</v>
      </c>
      <c r="E1932" s="1" t="s">
        <v>144</v>
      </c>
      <c r="F1932" s="1" t="s">
        <v>140</v>
      </c>
      <c r="G1932" s="1" t="s">
        <v>97</v>
      </c>
      <c r="H1932" s="1" t="s">
        <v>57</v>
      </c>
      <c r="I1932" s="1" t="s">
        <v>34</v>
      </c>
      <c r="J1932" s="1" t="s">
        <v>59</v>
      </c>
      <c r="K1932" s="1" t="s">
        <v>104</v>
      </c>
      <c r="L1932" s="1" t="s">
        <v>37</v>
      </c>
      <c r="M1932" s="1" t="s">
        <v>62</v>
      </c>
      <c r="N1932" s="1" t="n">
        <v>12999</v>
      </c>
      <c r="O1932" s="1" t="n">
        <v>10</v>
      </c>
      <c r="P1932" s="1" t="n">
        <v>1299.9</v>
      </c>
      <c r="Q1932" s="1" t="n">
        <v>11699.1</v>
      </c>
      <c r="R1932" s="1" t="n">
        <v>2105.84</v>
      </c>
      <c r="S1932" s="1" t="n">
        <v>9593.26</v>
      </c>
      <c r="T1932" s="1" t="n">
        <v>3902.6</v>
      </c>
      <c r="U1932" s="1" t="n">
        <v>5690.66</v>
      </c>
      <c r="V1932" s="1" t="n">
        <v>59.32</v>
      </c>
      <c r="W1932" s="1" t="s">
        <v>39</v>
      </c>
      <c r="X1932" s="1" t="n">
        <v>3.8</v>
      </c>
      <c r="Y1932" s="1" t="s">
        <v>40</v>
      </c>
      <c r="Z1932" s="1" t="n">
        <v>0</v>
      </c>
    </row>
    <row r="1933" customFormat="false" ht="15" hidden="false" customHeight="true" outlineLevel="0" collapsed="false">
      <c r="A1933" s="1" t="s">
        <v>2784</v>
      </c>
      <c r="B1933" s="1" t="s">
        <v>342</v>
      </c>
      <c r="C1933" s="1" t="s">
        <v>28</v>
      </c>
      <c r="D1933" s="1" t="s">
        <v>123</v>
      </c>
      <c r="E1933" s="1" t="s">
        <v>233</v>
      </c>
      <c r="F1933" s="1" t="s">
        <v>102</v>
      </c>
      <c r="G1933" s="1" t="s">
        <v>103</v>
      </c>
      <c r="H1933" s="1" t="s">
        <v>33</v>
      </c>
      <c r="I1933" s="1" t="s">
        <v>58</v>
      </c>
      <c r="J1933" s="1" t="s">
        <v>59</v>
      </c>
      <c r="K1933" s="1" t="s">
        <v>112</v>
      </c>
      <c r="L1933" s="1" t="s">
        <v>49</v>
      </c>
      <c r="M1933" s="1" t="s">
        <v>38</v>
      </c>
      <c r="N1933" s="1" t="n">
        <v>8999</v>
      </c>
      <c r="O1933" s="1" t="n">
        <v>25</v>
      </c>
      <c r="P1933" s="1" t="n">
        <v>2249.75</v>
      </c>
      <c r="Q1933" s="1" t="n">
        <v>6749.25</v>
      </c>
      <c r="R1933" s="1" t="n">
        <v>1214.87</v>
      </c>
      <c r="S1933" s="1" t="n">
        <v>5534.38</v>
      </c>
      <c r="T1933" s="1" t="n">
        <v>2249.55</v>
      </c>
      <c r="U1933" s="1" t="n">
        <v>3284.83</v>
      </c>
      <c r="V1933" s="1" t="n">
        <v>59.35</v>
      </c>
      <c r="W1933" s="1" t="s">
        <v>39</v>
      </c>
      <c r="Y1933" s="1" t="s">
        <v>40</v>
      </c>
      <c r="Z1933" s="1" t="n">
        <v>0</v>
      </c>
    </row>
    <row r="1934" customFormat="false" ht="15" hidden="false" customHeight="true" outlineLevel="0" collapsed="false">
      <c r="A1934" s="1" t="s">
        <v>2785</v>
      </c>
      <c r="B1934" s="1" t="s">
        <v>2267</v>
      </c>
      <c r="C1934" s="1" t="s">
        <v>178</v>
      </c>
      <c r="D1934" s="1" t="s">
        <v>123</v>
      </c>
      <c r="E1934" s="1" t="s">
        <v>124</v>
      </c>
      <c r="F1934" s="1" t="s">
        <v>205</v>
      </c>
      <c r="G1934" s="1" t="s">
        <v>56</v>
      </c>
      <c r="H1934" s="1" t="s">
        <v>69</v>
      </c>
      <c r="I1934" s="1" t="s">
        <v>58</v>
      </c>
      <c r="J1934" s="1" t="s">
        <v>35</v>
      </c>
      <c r="K1934" s="1" t="s">
        <v>90</v>
      </c>
      <c r="L1934" s="1" t="s">
        <v>136</v>
      </c>
      <c r="M1934" s="1" t="s">
        <v>50</v>
      </c>
      <c r="N1934" s="1" t="n">
        <v>4999</v>
      </c>
      <c r="O1934" s="1" t="n">
        <v>25</v>
      </c>
      <c r="P1934" s="1" t="n">
        <v>1249.75</v>
      </c>
      <c r="Q1934" s="1" t="n">
        <v>3749.25</v>
      </c>
      <c r="R1934" s="1" t="n">
        <v>674.87</v>
      </c>
      <c r="S1934" s="1" t="n">
        <v>3074.38</v>
      </c>
      <c r="T1934" s="1" t="n">
        <v>1187.21</v>
      </c>
      <c r="U1934" s="1" t="n">
        <v>1887.17</v>
      </c>
      <c r="V1934" s="1" t="n">
        <v>61.38</v>
      </c>
      <c r="W1934" s="1" t="s">
        <v>40</v>
      </c>
      <c r="Y1934" s="1" t="s">
        <v>40</v>
      </c>
      <c r="Z1934" s="1" t="n">
        <v>0</v>
      </c>
    </row>
    <row r="1935" customFormat="false" ht="15" hidden="false" customHeight="true" outlineLevel="0" collapsed="false">
      <c r="A1935" s="1" t="s">
        <v>2786</v>
      </c>
      <c r="B1935" s="1" t="s">
        <v>279</v>
      </c>
      <c r="C1935" s="1" t="s">
        <v>178</v>
      </c>
      <c r="D1935" s="1" t="s">
        <v>94</v>
      </c>
      <c r="E1935" s="1" t="s">
        <v>101</v>
      </c>
      <c r="F1935" s="1" t="s">
        <v>75</v>
      </c>
      <c r="G1935" s="1" t="s">
        <v>76</v>
      </c>
      <c r="H1935" s="1" t="s">
        <v>69</v>
      </c>
      <c r="I1935" s="1" t="s">
        <v>34</v>
      </c>
      <c r="J1935" s="1" t="s">
        <v>77</v>
      </c>
      <c r="K1935" s="1" t="s">
        <v>84</v>
      </c>
      <c r="L1935" s="1" t="s">
        <v>49</v>
      </c>
      <c r="M1935" s="1" t="s">
        <v>62</v>
      </c>
      <c r="N1935" s="1" t="n">
        <v>14999</v>
      </c>
      <c r="O1935" s="1" t="n">
        <v>40</v>
      </c>
      <c r="P1935" s="1" t="n">
        <v>5999.6</v>
      </c>
      <c r="Q1935" s="1" t="n">
        <v>8999.4</v>
      </c>
      <c r="R1935" s="1" t="n">
        <v>1619.89</v>
      </c>
      <c r="S1935" s="1" t="n">
        <v>7379.51</v>
      </c>
      <c r="T1935" s="1" t="n">
        <v>4392.44</v>
      </c>
      <c r="U1935" s="1" t="n">
        <v>2987.07</v>
      </c>
      <c r="V1935" s="1" t="n">
        <v>40.48</v>
      </c>
      <c r="W1935" s="1" t="s">
        <v>40</v>
      </c>
      <c r="Y1935" s="1" t="s">
        <v>40</v>
      </c>
      <c r="Z1935" s="1" t="n">
        <v>1</v>
      </c>
    </row>
    <row r="1936" customFormat="false" ht="15" hidden="false" customHeight="true" outlineLevel="0" collapsed="false">
      <c r="A1936" s="1" t="s">
        <v>2787</v>
      </c>
      <c r="B1936" s="1" t="s">
        <v>2788</v>
      </c>
      <c r="C1936" s="1" t="s">
        <v>119</v>
      </c>
      <c r="D1936" s="1" t="s">
        <v>94</v>
      </c>
      <c r="E1936" s="1" t="s">
        <v>95</v>
      </c>
      <c r="F1936" s="1" t="s">
        <v>1137</v>
      </c>
      <c r="G1936" s="1" t="s">
        <v>56</v>
      </c>
      <c r="H1936" s="1" t="s">
        <v>69</v>
      </c>
      <c r="I1936" s="1" t="s">
        <v>34</v>
      </c>
      <c r="J1936" s="1" t="s">
        <v>59</v>
      </c>
      <c r="K1936" s="1" t="s">
        <v>112</v>
      </c>
      <c r="L1936" s="1" t="s">
        <v>49</v>
      </c>
      <c r="M1936" s="1" t="s">
        <v>62</v>
      </c>
      <c r="N1936" s="1" t="n">
        <v>6999</v>
      </c>
      <c r="O1936" s="1" t="n">
        <v>5</v>
      </c>
      <c r="P1936" s="1" t="n">
        <v>349.95</v>
      </c>
      <c r="Q1936" s="1" t="n">
        <v>6649.05</v>
      </c>
      <c r="R1936" s="1" t="n">
        <v>1196.83</v>
      </c>
      <c r="S1936" s="1" t="n">
        <v>5452.22</v>
      </c>
      <c r="T1936" s="1" t="n">
        <v>2226.7</v>
      </c>
      <c r="U1936" s="1" t="n">
        <v>3225.52</v>
      </c>
      <c r="V1936" s="1" t="n">
        <v>59.16</v>
      </c>
      <c r="W1936" s="1" t="s">
        <v>39</v>
      </c>
      <c r="X1936" s="1" t="n">
        <v>3.2</v>
      </c>
      <c r="Y1936" s="1" t="s">
        <v>40</v>
      </c>
      <c r="Z1936" s="1" t="n">
        <v>0</v>
      </c>
    </row>
    <row r="1937" customFormat="false" ht="15" hidden="false" customHeight="true" outlineLevel="0" collapsed="false">
      <c r="A1937" s="1" t="s">
        <v>2789</v>
      </c>
      <c r="B1937" s="1" t="s">
        <v>506</v>
      </c>
      <c r="C1937" s="1" t="s">
        <v>134</v>
      </c>
      <c r="D1937" s="1" t="s">
        <v>123</v>
      </c>
      <c r="E1937" s="1" t="s">
        <v>147</v>
      </c>
      <c r="F1937" s="1" t="s">
        <v>244</v>
      </c>
      <c r="G1937" s="1" t="s">
        <v>97</v>
      </c>
      <c r="H1937" s="1" t="s">
        <v>57</v>
      </c>
      <c r="I1937" s="1" t="s">
        <v>34</v>
      </c>
      <c r="J1937" s="1" t="s">
        <v>59</v>
      </c>
      <c r="K1937" s="1" t="s">
        <v>36</v>
      </c>
      <c r="L1937" s="1" t="s">
        <v>85</v>
      </c>
      <c r="M1937" s="1" t="s">
        <v>38</v>
      </c>
      <c r="N1937" s="1" t="n">
        <v>6999</v>
      </c>
      <c r="O1937" s="1" t="n">
        <v>5</v>
      </c>
      <c r="P1937" s="1" t="n">
        <v>349.95</v>
      </c>
      <c r="Q1937" s="1" t="n">
        <v>6649.05</v>
      </c>
      <c r="R1937" s="1" t="n">
        <v>1196.83</v>
      </c>
      <c r="S1937" s="1" t="n">
        <v>5452.22</v>
      </c>
      <c r="T1937" s="1" t="n">
        <v>2935.69</v>
      </c>
      <c r="U1937" s="1" t="n">
        <v>2516.53</v>
      </c>
      <c r="V1937" s="1" t="n">
        <v>46.16</v>
      </c>
      <c r="W1937" s="1" t="s">
        <v>39</v>
      </c>
      <c r="X1937" s="1" t="n">
        <v>3</v>
      </c>
      <c r="Y1937" s="1" t="s">
        <v>40</v>
      </c>
      <c r="Z1937" s="1" t="n">
        <v>0</v>
      </c>
    </row>
    <row r="1938" customFormat="false" ht="15" hidden="false" customHeight="true" outlineLevel="0" collapsed="false">
      <c r="A1938" s="1" t="s">
        <v>2790</v>
      </c>
      <c r="B1938" s="1" t="s">
        <v>1543</v>
      </c>
      <c r="C1938" s="1" t="s">
        <v>43</v>
      </c>
      <c r="D1938" s="1" t="s">
        <v>29</v>
      </c>
      <c r="E1938" s="1" t="s">
        <v>182</v>
      </c>
      <c r="F1938" s="1" t="s">
        <v>184</v>
      </c>
      <c r="G1938" s="1" t="s">
        <v>56</v>
      </c>
      <c r="H1938" s="1" t="s">
        <v>57</v>
      </c>
      <c r="I1938" s="1" t="s">
        <v>34</v>
      </c>
      <c r="J1938" s="1" t="s">
        <v>131</v>
      </c>
      <c r="K1938" s="1" t="s">
        <v>36</v>
      </c>
      <c r="L1938" s="1" t="s">
        <v>113</v>
      </c>
      <c r="M1938" s="1" t="s">
        <v>50</v>
      </c>
      <c r="N1938" s="1" t="n">
        <v>34999</v>
      </c>
      <c r="O1938" s="1" t="n">
        <v>25</v>
      </c>
      <c r="P1938" s="1" t="n">
        <v>8749.75</v>
      </c>
      <c r="Q1938" s="1" t="n">
        <v>26249.25</v>
      </c>
      <c r="R1938" s="1" t="n">
        <v>4724.86</v>
      </c>
      <c r="S1938" s="1" t="n">
        <v>21524.39</v>
      </c>
      <c r="T1938" s="1" t="n">
        <v>6931.51</v>
      </c>
      <c r="U1938" s="1" t="n">
        <v>14592.88</v>
      </c>
      <c r="V1938" s="1" t="n">
        <v>67.8</v>
      </c>
      <c r="W1938" s="1" t="s">
        <v>39</v>
      </c>
      <c r="X1938" s="1" t="n">
        <v>4.4</v>
      </c>
      <c r="Y1938" s="1" t="s">
        <v>40</v>
      </c>
      <c r="Z1938" s="1" t="n">
        <v>1</v>
      </c>
    </row>
    <row r="1939" customFormat="false" ht="15" hidden="false" customHeight="true" outlineLevel="0" collapsed="false">
      <c r="A1939" s="1" t="s">
        <v>2791</v>
      </c>
      <c r="B1939" s="1" t="s">
        <v>460</v>
      </c>
      <c r="C1939" s="1" t="s">
        <v>119</v>
      </c>
      <c r="D1939" s="1" t="s">
        <v>80</v>
      </c>
      <c r="E1939" s="1" t="s">
        <v>175</v>
      </c>
      <c r="F1939" s="1" t="s">
        <v>244</v>
      </c>
      <c r="G1939" s="1" t="s">
        <v>97</v>
      </c>
      <c r="H1939" s="1" t="s">
        <v>57</v>
      </c>
      <c r="I1939" s="1" t="s">
        <v>34</v>
      </c>
      <c r="J1939" s="1" t="s">
        <v>77</v>
      </c>
      <c r="K1939" s="1" t="s">
        <v>90</v>
      </c>
      <c r="L1939" s="1" t="s">
        <v>136</v>
      </c>
      <c r="M1939" s="1" t="s">
        <v>62</v>
      </c>
      <c r="N1939" s="1" t="n">
        <v>19999</v>
      </c>
      <c r="O1939" s="1" t="n">
        <v>0</v>
      </c>
      <c r="P1939" s="1" t="n">
        <v>0</v>
      </c>
      <c r="Q1939" s="1" t="n">
        <v>19999</v>
      </c>
      <c r="R1939" s="1" t="n">
        <v>3599.82</v>
      </c>
      <c r="S1939" s="1" t="n">
        <v>16399.18</v>
      </c>
      <c r="T1939" s="1" t="n">
        <v>5958.75</v>
      </c>
      <c r="U1939" s="1" t="n">
        <v>10440.43</v>
      </c>
      <c r="V1939" s="1" t="n">
        <v>63.66</v>
      </c>
      <c r="W1939" s="1" t="s">
        <v>39</v>
      </c>
      <c r="X1939" s="1" t="n">
        <v>4.8</v>
      </c>
      <c r="Y1939" s="1" t="s">
        <v>40</v>
      </c>
      <c r="Z1939" s="1" t="n">
        <v>0</v>
      </c>
    </row>
    <row r="1940" customFormat="false" ht="15" hidden="false" customHeight="true" outlineLevel="0" collapsed="false">
      <c r="A1940" s="1" t="s">
        <v>2792</v>
      </c>
      <c r="B1940" s="1" t="s">
        <v>239</v>
      </c>
      <c r="C1940" s="1" t="s">
        <v>119</v>
      </c>
      <c r="D1940" s="1" t="s">
        <v>53</v>
      </c>
      <c r="E1940" s="1" t="s">
        <v>54</v>
      </c>
      <c r="F1940" s="1" t="s">
        <v>96</v>
      </c>
      <c r="G1940" s="1" t="s">
        <v>97</v>
      </c>
      <c r="H1940" s="1" t="s">
        <v>69</v>
      </c>
      <c r="I1940" s="1" t="s">
        <v>58</v>
      </c>
      <c r="J1940" s="1" t="s">
        <v>35</v>
      </c>
      <c r="K1940" s="1" t="s">
        <v>48</v>
      </c>
      <c r="L1940" s="1" t="s">
        <v>136</v>
      </c>
      <c r="M1940" s="1" t="s">
        <v>62</v>
      </c>
      <c r="N1940" s="1" t="n">
        <v>11999</v>
      </c>
      <c r="O1940" s="1" t="n">
        <v>20</v>
      </c>
      <c r="P1940" s="1" t="n">
        <v>2399.8</v>
      </c>
      <c r="Q1940" s="1" t="n">
        <v>9599.2</v>
      </c>
      <c r="R1940" s="1" t="n">
        <v>1727.86</v>
      </c>
      <c r="S1940" s="1" t="n">
        <v>7871.34</v>
      </c>
      <c r="T1940" s="1" t="n">
        <v>2899.3</v>
      </c>
      <c r="U1940" s="1" t="n">
        <v>4972.04</v>
      </c>
      <c r="V1940" s="1" t="n">
        <v>63.17</v>
      </c>
      <c r="W1940" s="1" t="s">
        <v>40</v>
      </c>
      <c r="Y1940" s="1" t="s">
        <v>40</v>
      </c>
      <c r="Z1940" s="1" t="n">
        <v>1</v>
      </c>
    </row>
    <row r="1941" customFormat="false" ht="15" hidden="false" customHeight="true" outlineLevel="0" collapsed="false">
      <c r="A1941" s="1" t="s">
        <v>2793</v>
      </c>
      <c r="B1941" s="1" t="s">
        <v>133</v>
      </c>
      <c r="C1941" s="1" t="s">
        <v>100</v>
      </c>
      <c r="D1941" s="1" t="s">
        <v>123</v>
      </c>
      <c r="E1941" s="1" t="s">
        <v>147</v>
      </c>
      <c r="F1941" s="1" t="s">
        <v>125</v>
      </c>
      <c r="G1941" s="1" t="s">
        <v>108</v>
      </c>
      <c r="H1941" s="1" t="s">
        <v>69</v>
      </c>
      <c r="I1941" s="1" t="s">
        <v>34</v>
      </c>
      <c r="J1941" s="1" t="s">
        <v>77</v>
      </c>
      <c r="K1941" s="1" t="s">
        <v>48</v>
      </c>
      <c r="L1941" s="1" t="s">
        <v>136</v>
      </c>
      <c r="M1941" s="1" t="s">
        <v>62</v>
      </c>
      <c r="N1941" s="1" t="n">
        <v>6999</v>
      </c>
      <c r="O1941" s="1" t="n">
        <v>25</v>
      </c>
      <c r="P1941" s="1" t="n">
        <v>1749.75</v>
      </c>
      <c r="Q1941" s="1" t="n">
        <v>5249.25</v>
      </c>
      <c r="R1941" s="1" t="n">
        <v>944.87</v>
      </c>
      <c r="S1941" s="1" t="n">
        <v>4304.38</v>
      </c>
      <c r="T1941" s="1" t="n">
        <v>1326.71</v>
      </c>
      <c r="U1941" s="1" t="n">
        <v>2977.67</v>
      </c>
      <c r="V1941" s="1" t="n">
        <v>69.18</v>
      </c>
      <c r="W1941" s="1" t="s">
        <v>39</v>
      </c>
      <c r="X1941" s="1" t="n">
        <v>4.1</v>
      </c>
      <c r="Y1941" s="1" t="s">
        <v>40</v>
      </c>
      <c r="Z1941" s="1" t="n">
        <v>0</v>
      </c>
    </row>
    <row r="1942" customFormat="false" ht="15" hidden="false" customHeight="true" outlineLevel="0" collapsed="false">
      <c r="A1942" s="1" t="s">
        <v>2794</v>
      </c>
      <c r="B1942" s="1" t="s">
        <v>1337</v>
      </c>
      <c r="C1942" s="1" t="s">
        <v>128</v>
      </c>
      <c r="D1942" s="1" t="s">
        <v>29</v>
      </c>
      <c r="E1942" s="1" t="s">
        <v>129</v>
      </c>
      <c r="F1942" s="1" t="s">
        <v>120</v>
      </c>
      <c r="G1942" s="1" t="s">
        <v>47</v>
      </c>
      <c r="H1942" s="1" t="s">
        <v>57</v>
      </c>
      <c r="I1942" s="1" t="s">
        <v>58</v>
      </c>
      <c r="J1942" s="1" t="s">
        <v>70</v>
      </c>
      <c r="K1942" s="1" t="s">
        <v>71</v>
      </c>
      <c r="L1942" s="1" t="s">
        <v>113</v>
      </c>
      <c r="M1942" s="1" t="s">
        <v>62</v>
      </c>
      <c r="N1942" s="1" t="n">
        <v>29999</v>
      </c>
      <c r="O1942" s="1" t="n">
        <v>0</v>
      </c>
      <c r="P1942" s="1" t="n">
        <v>0</v>
      </c>
      <c r="Q1942" s="1" t="n">
        <v>29999</v>
      </c>
      <c r="R1942" s="1" t="n">
        <v>5399.82</v>
      </c>
      <c r="S1942" s="1" t="n">
        <v>24599.18</v>
      </c>
      <c r="T1942" s="1" t="n">
        <v>11619.54</v>
      </c>
      <c r="U1942" s="1" t="n">
        <v>12979.64</v>
      </c>
      <c r="V1942" s="1" t="n">
        <v>52.76</v>
      </c>
      <c r="W1942" s="1" t="s">
        <v>40</v>
      </c>
      <c r="Y1942" s="1" t="s">
        <v>39</v>
      </c>
      <c r="Z1942" s="1" t="n">
        <v>2</v>
      </c>
    </row>
    <row r="1943" customFormat="false" ht="15" hidden="false" customHeight="true" outlineLevel="0" collapsed="false">
      <c r="A1943" s="1" t="s">
        <v>2795</v>
      </c>
      <c r="B1943" s="1" t="s">
        <v>1553</v>
      </c>
      <c r="C1943" s="1" t="s">
        <v>119</v>
      </c>
      <c r="D1943" s="1" t="s">
        <v>44</v>
      </c>
      <c r="E1943" s="1" t="s">
        <v>66</v>
      </c>
      <c r="F1943" s="1" t="s">
        <v>211</v>
      </c>
      <c r="G1943" s="1" t="s">
        <v>56</v>
      </c>
      <c r="H1943" s="1" t="s">
        <v>69</v>
      </c>
      <c r="I1943" s="1" t="s">
        <v>83</v>
      </c>
      <c r="J1943" s="1" t="s">
        <v>35</v>
      </c>
      <c r="K1943" s="1" t="s">
        <v>71</v>
      </c>
      <c r="L1943" s="1" t="s">
        <v>136</v>
      </c>
      <c r="M1943" s="1" t="s">
        <v>50</v>
      </c>
      <c r="N1943" s="1" t="n">
        <v>12999</v>
      </c>
      <c r="O1943" s="1" t="n">
        <v>25</v>
      </c>
      <c r="P1943" s="1" t="n">
        <v>3249.75</v>
      </c>
      <c r="Q1943" s="1" t="n">
        <v>9749.25</v>
      </c>
      <c r="R1943" s="1" t="n">
        <v>1754.87</v>
      </c>
      <c r="S1943" s="1" t="n">
        <v>7994.38</v>
      </c>
      <c r="T1943" s="1" t="n">
        <v>3404.54</v>
      </c>
      <c r="U1943" s="1" t="n">
        <v>4589.84</v>
      </c>
      <c r="V1943" s="1" t="n">
        <v>57.41</v>
      </c>
      <c r="W1943" s="1" t="s">
        <v>39</v>
      </c>
      <c r="X1943" s="1" t="n">
        <v>3.7</v>
      </c>
      <c r="Y1943" s="1" t="s">
        <v>40</v>
      </c>
      <c r="Z1943" s="1" t="n">
        <v>0</v>
      </c>
    </row>
    <row r="1944" customFormat="false" ht="15" hidden="false" customHeight="true" outlineLevel="0" collapsed="false">
      <c r="A1944" s="1" t="s">
        <v>2796</v>
      </c>
      <c r="B1944" s="1" t="s">
        <v>1663</v>
      </c>
      <c r="C1944" s="1" t="s">
        <v>119</v>
      </c>
      <c r="D1944" s="1" t="s">
        <v>44</v>
      </c>
      <c r="E1944" s="1" t="s">
        <v>66</v>
      </c>
      <c r="F1944" s="1" t="s">
        <v>96</v>
      </c>
      <c r="G1944" s="1" t="s">
        <v>97</v>
      </c>
      <c r="H1944" s="1" t="s">
        <v>69</v>
      </c>
      <c r="I1944" s="1" t="s">
        <v>34</v>
      </c>
      <c r="J1944" s="1" t="s">
        <v>70</v>
      </c>
      <c r="K1944" s="1" t="s">
        <v>84</v>
      </c>
      <c r="L1944" s="1" t="s">
        <v>37</v>
      </c>
      <c r="M1944" s="1" t="s">
        <v>62</v>
      </c>
      <c r="N1944" s="1" t="n">
        <v>12999</v>
      </c>
      <c r="O1944" s="1" t="n">
        <v>0</v>
      </c>
      <c r="P1944" s="1" t="n">
        <v>0</v>
      </c>
      <c r="Q1944" s="1" t="n">
        <v>12999</v>
      </c>
      <c r="R1944" s="1" t="n">
        <v>2339.82</v>
      </c>
      <c r="S1944" s="1" t="n">
        <v>10659.18</v>
      </c>
      <c r="T1944" s="1" t="n">
        <v>3863.73</v>
      </c>
      <c r="U1944" s="1" t="n">
        <v>6795.45</v>
      </c>
      <c r="V1944" s="1" t="n">
        <v>63.75</v>
      </c>
      <c r="W1944" s="1" t="s">
        <v>40</v>
      </c>
      <c r="Y1944" s="1" t="s">
        <v>40</v>
      </c>
      <c r="Z1944" s="1" t="n">
        <v>0</v>
      </c>
    </row>
    <row r="1945" customFormat="false" ht="15" hidden="false" customHeight="true" outlineLevel="0" collapsed="false">
      <c r="A1945" s="1" t="s">
        <v>2797</v>
      </c>
      <c r="B1945" s="1" t="s">
        <v>1492</v>
      </c>
      <c r="C1945" s="1" t="s">
        <v>139</v>
      </c>
      <c r="D1945" s="1" t="s">
        <v>123</v>
      </c>
      <c r="E1945" s="1" t="s">
        <v>124</v>
      </c>
      <c r="F1945" s="1" t="s">
        <v>107</v>
      </c>
      <c r="G1945" s="1" t="s">
        <v>108</v>
      </c>
      <c r="H1945" s="1" t="s">
        <v>33</v>
      </c>
      <c r="I1945" s="1" t="s">
        <v>58</v>
      </c>
      <c r="J1945" s="1" t="s">
        <v>59</v>
      </c>
      <c r="K1945" s="1" t="s">
        <v>60</v>
      </c>
      <c r="L1945" s="1" t="s">
        <v>49</v>
      </c>
      <c r="M1945" s="1" t="s">
        <v>50</v>
      </c>
      <c r="N1945" s="1" t="n">
        <v>4999</v>
      </c>
      <c r="O1945" s="1" t="n">
        <v>30</v>
      </c>
      <c r="P1945" s="1" t="n">
        <v>1499.7</v>
      </c>
      <c r="Q1945" s="1" t="n">
        <v>3499.3</v>
      </c>
      <c r="R1945" s="1" t="n">
        <v>629.87</v>
      </c>
      <c r="S1945" s="1" t="n">
        <v>2869.43</v>
      </c>
      <c r="T1945" s="1" t="n">
        <v>1381.59</v>
      </c>
      <c r="U1945" s="1" t="n">
        <v>1487.84</v>
      </c>
      <c r="V1945" s="1" t="n">
        <v>51.85</v>
      </c>
      <c r="W1945" s="1" t="s">
        <v>39</v>
      </c>
      <c r="X1945" s="1" t="n">
        <v>2.6</v>
      </c>
      <c r="Y1945" s="1" t="s">
        <v>40</v>
      </c>
      <c r="Z1945" s="1" t="n">
        <v>0</v>
      </c>
    </row>
    <row r="1946" customFormat="false" ht="15" hidden="false" customHeight="true" outlineLevel="0" collapsed="false">
      <c r="A1946" s="1" t="s">
        <v>2798</v>
      </c>
      <c r="B1946" s="1" t="s">
        <v>2197</v>
      </c>
      <c r="C1946" s="1" t="s">
        <v>74</v>
      </c>
      <c r="D1946" s="1" t="s">
        <v>80</v>
      </c>
      <c r="E1946" s="1" t="s">
        <v>81</v>
      </c>
      <c r="F1946" s="1" t="s">
        <v>187</v>
      </c>
      <c r="G1946" s="1" t="s">
        <v>97</v>
      </c>
      <c r="H1946" s="1" t="s">
        <v>69</v>
      </c>
      <c r="I1946" s="1" t="s">
        <v>83</v>
      </c>
      <c r="J1946" s="1" t="s">
        <v>77</v>
      </c>
      <c r="K1946" s="1" t="s">
        <v>90</v>
      </c>
      <c r="L1946" s="1" t="s">
        <v>37</v>
      </c>
      <c r="M1946" s="1" t="s">
        <v>50</v>
      </c>
      <c r="N1946" s="1" t="n">
        <v>12999</v>
      </c>
      <c r="O1946" s="1" t="n">
        <v>25</v>
      </c>
      <c r="P1946" s="1" t="n">
        <v>3249.75</v>
      </c>
      <c r="Q1946" s="1" t="n">
        <v>9749.25</v>
      </c>
      <c r="R1946" s="1" t="n">
        <v>1754.87</v>
      </c>
      <c r="S1946" s="1" t="n">
        <v>7994.38</v>
      </c>
      <c r="T1946" s="1" t="n">
        <v>3438.82</v>
      </c>
      <c r="U1946" s="1" t="n">
        <v>4555.56</v>
      </c>
      <c r="V1946" s="1" t="n">
        <v>56.98</v>
      </c>
      <c r="W1946" s="1" t="s">
        <v>40</v>
      </c>
      <c r="Y1946" s="1" t="s">
        <v>40</v>
      </c>
      <c r="Z1946" s="1" t="n">
        <v>1</v>
      </c>
    </row>
    <row r="1947" customFormat="false" ht="15" hidden="false" customHeight="true" outlineLevel="0" collapsed="false">
      <c r="A1947" s="1" t="s">
        <v>2799</v>
      </c>
      <c r="B1947" s="1" t="s">
        <v>1145</v>
      </c>
      <c r="C1947" s="1" t="s">
        <v>88</v>
      </c>
      <c r="D1947" s="1" t="s">
        <v>80</v>
      </c>
      <c r="E1947" s="1" t="s">
        <v>175</v>
      </c>
      <c r="F1947" s="1" t="s">
        <v>184</v>
      </c>
      <c r="G1947" s="1" t="s">
        <v>56</v>
      </c>
      <c r="H1947" s="1" t="s">
        <v>57</v>
      </c>
      <c r="I1947" s="1" t="s">
        <v>34</v>
      </c>
      <c r="J1947" s="1" t="s">
        <v>59</v>
      </c>
      <c r="K1947" s="1" t="s">
        <v>90</v>
      </c>
      <c r="L1947" s="1" t="s">
        <v>113</v>
      </c>
      <c r="M1947" s="1" t="s">
        <v>50</v>
      </c>
      <c r="N1947" s="1" t="n">
        <v>19999</v>
      </c>
      <c r="O1947" s="1" t="n">
        <v>10</v>
      </c>
      <c r="P1947" s="1" t="n">
        <v>1999.9</v>
      </c>
      <c r="Q1947" s="1" t="n">
        <v>17999.1</v>
      </c>
      <c r="R1947" s="1" t="n">
        <v>3239.84</v>
      </c>
      <c r="S1947" s="1" t="n">
        <v>14759.26</v>
      </c>
      <c r="T1947" s="1" t="n">
        <v>6657.86</v>
      </c>
      <c r="U1947" s="1" t="n">
        <v>8101.4</v>
      </c>
      <c r="V1947" s="1" t="n">
        <v>54.89</v>
      </c>
      <c r="W1947" s="1" t="s">
        <v>39</v>
      </c>
      <c r="X1947" s="1" t="n">
        <v>3.2</v>
      </c>
      <c r="Y1947" s="1" t="s">
        <v>40</v>
      </c>
      <c r="Z1947" s="1" t="n">
        <v>0</v>
      </c>
    </row>
    <row r="1948" customFormat="false" ht="15" hidden="false" customHeight="true" outlineLevel="0" collapsed="false">
      <c r="A1948" s="1" t="s">
        <v>2800</v>
      </c>
      <c r="B1948" s="1" t="s">
        <v>410</v>
      </c>
      <c r="C1948" s="1" t="s">
        <v>119</v>
      </c>
      <c r="D1948" s="1" t="s">
        <v>168</v>
      </c>
      <c r="E1948" s="1" t="s">
        <v>172</v>
      </c>
      <c r="F1948" s="1" t="s">
        <v>82</v>
      </c>
      <c r="G1948" s="1" t="s">
        <v>56</v>
      </c>
      <c r="H1948" s="1" t="s">
        <v>69</v>
      </c>
      <c r="I1948" s="1" t="s">
        <v>83</v>
      </c>
      <c r="J1948" s="1" t="s">
        <v>70</v>
      </c>
      <c r="K1948" s="1" t="s">
        <v>112</v>
      </c>
      <c r="L1948" s="1" t="s">
        <v>113</v>
      </c>
      <c r="M1948" s="1" t="s">
        <v>62</v>
      </c>
      <c r="N1948" s="1" t="n">
        <v>6999</v>
      </c>
      <c r="O1948" s="1" t="n">
        <v>5</v>
      </c>
      <c r="P1948" s="1" t="n">
        <v>349.95</v>
      </c>
      <c r="Q1948" s="1" t="n">
        <v>6649.05</v>
      </c>
      <c r="R1948" s="1" t="n">
        <v>1196.83</v>
      </c>
      <c r="S1948" s="1" t="n">
        <v>5452.22</v>
      </c>
      <c r="T1948" s="1" t="n">
        <v>1939.36</v>
      </c>
      <c r="U1948" s="1" t="n">
        <v>3512.86</v>
      </c>
      <c r="V1948" s="1" t="n">
        <v>64.43</v>
      </c>
      <c r="W1948" s="1" t="s">
        <v>39</v>
      </c>
      <c r="X1948" s="1" t="n">
        <v>2.3</v>
      </c>
      <c r="Y1948" s="1" t="s">
        <v>40</v>
      </c>
      <c r="Z1948" s="1" t="n">
        <v>0</v>
      </c>
    </row>
    <row r="1949" customFormat="false" ht="15" hidden="false" customHeight="true" outlineLevel="0" collapsed="false">
      <c r="A1949" s="1" t="s">
        <v>2801</v>
      </c>
      <c r="B1949" s="1" t="s">
        <v>2633</v>
      </c>
      <c r="C1949" s="1" t="s">
        <v>178</v>
      </c>
      <c r="D1949" s="1" t="s">
        <v>143</v>
      </c>
      <c r="E1949" s="1" t="s">
        <v>162</v>
      </c>
      <c r="F1949" s="1" t="s">
        <v>89</v>
      </c>
      <c r="G1949" s="1" t="s">
        <v>68</v>
      </c>
      <c r="H1949" s="1" t="s">
        <v>33</v>
      </c>
      <c r="I1949" s="1" t="s">
        <v>83</v>
      </c>
      <c r="J1949" s="1" t="s">
        <v>70</v>
      </c>
      <c r="K1949" s="1" t="s">
        <v>104</v>
      </c>
      <c r="L1949" s="1" t="s">
        <v>61</v>
      </c>
      <c r="M1949" s="1" t="s">
        <v>62</v>
      </c>
      <c r="N1949" s="1" t="n">
        <v>14999</v>
      </c>
      <c r="O1949" s="1" t="n">
        <v>30</v>
      </c>
      <c r="P1949" s="1" t="n">
        <v>4499.7</v>
      </c>
      <c r="Q1949" s="1" t="n">
        <v>10499.3</v>
      </c>
      <c r="R1949" s="1" t="n">
        <v>1889.87</v>
      </c>
      <c r="S1949" s="1" t="n">
        <v>8609.43</v>
      </c>
      <c r="T1949" s="1" t="n">
        <v>4226.14</v>
      </c>
      <c r="U1949" s="1" t="n">
        <v>4383.29</v>
      </c>
      <c r="V1949" s="1" t="n">
        <v>50.91</v>
      </c>
      <c r="W1949" s="1" t="s">
        <v>39</v>
      </c>
      <c r="Y1949" s="1" t="s">
        <v>40</v>
      </c>
      <c r="Z1949" s="1" t="n">
        <v>0</v>
      </c>
    </row>
    <row r="1950" customFormat="false" ht="15" hidden="false" customHeight="true" outlineLevel="0" collapsed="false">
      <c r="A1950" s="1" t="s">
        <v>2802</v>
      </c>
      <c r="B1950" s="1" t="s">
        <v>903</v>
      </c>
      <c r="C1950" s="1" t="s">
        <v>93</v>
      </c>
      <c r="D1950" s="1" t="s">
        <v>168</v>
      </c>
      <c r="E1950" s="1" t="s">
        <v>197</v>
      </c>
      <c r="F1950" s="1" t="s">
        <v>125</v>
      </c>
      <c r="G1950" s="1" t="s">
        <v>108</v>
      </c>
      <c r="H1950" s="1" t="s">
        <v>69</v>
      </c>
      <c r="I1950" s="1" t="s">
        <v>34</v>
      </c>
      <c r="J1950" s="1" t="s">
        <v>131</v>
      </c>
      <c r="K1950" s="1" t="s">
        <v>48</v>
      </c>
      <c r="L1950" s="1" t="s">
        <v>37</v>
      </c>
      <c r="M1950" s="1" t="s">
        <v>38</v>
      </c>
      <c r="N1950" s="1" t="n">
        <v>8499</v>
      </c>
      <c r="O1950" s="1" t="n">
        <v>20</v>
      </c>
      <c r="P1950" s="1" t="n">
        <v>1699.8</v>
      </c>
      <c r="Q1950" s="1" t="n">
        <v>6799.2</v>
      </c>
      <c r="R1950" s="1" t="n">
        <v>1223.86</v>
      </c>
      <c r="S1950" s="1" t="n">
        <v>5575.34</v>
      </c>
      <c r="T1950" s="1" t="n">
        <v>2013.98</v>
      </c>
      <c r="U1950" s="1" t="n">
        <v>3561.36</v>
      </c>
      <c r="V1950" s="1" t="n">
        <v>63.88</v>
      </c>
      <c r="W1950" s="1" t="s">
        <v>39</v>
      </c>
      <c r="X1950" s="1" t="n">
        <v>4</v>
      </c>
      <c r="Y1950" s="1" t="s">
        <v>40</v>
      </c>
      <c r="Z1950" s="1" t="n">
        <v>0</v>
      </c>
    </row>
    <row r="1951" customFormat="false" ht="15" hidden="false" customHeight="true" outlineLevel="0" collapsed="false">
      <c r="A1951" s="1" t="s">
        <v>2803</v>
      </c>
      <c r="B1951" s="1" t="s">
        <v>675</v>
      </c>
      <c r="C1951" s="1" t="s">
        <v>65</v>
      </c>
      <c r="D1951" s="1" t="s">
        <v>44</v>
      </c>
      <c r="E1951" s="1" t="s">
        <v>221</v>
      </c>
      <c r="F1951" s="1" t="s">
        <v>244</v>
      </c>
      <c r="G1951" s="1" t="s">
        <v>97</v>
      </c>
      <c r="H1951" s="1" t="s">
        <v>57</v>
      </c>
      <c r="I1951" s="1" t="s">
        <v>34</v>
      </c>
      <c r="J1951" s="1" t="s">
        <v>77</v>
      </c>
      <c r="K1951" s="1" t="s">
        <v>112</v>
      </c>
      <c r="L1951" s="1" t="s">
        <v>37</v>
      </c>
      <c r="M1951" s="1" t="s">
        <v>38</v>
      </c>
      <c r="N1951" s="1" t="n">
        <v>16999</v>
      </c>
      <c r="O1951" s="1" t="n">
        <v>10</v>
      </c>
      <c r="P1951" s="1" t="n">
        <v>1699.9</v>
      </c>
      <c r="Q1951" s="1" t="n">
        <v>15299.1</v>
      </c>
      <c r="R1951" s="1" t="n">
        <v>2753.84</v>
      </c>
      <c r="S1951" s="1" t="n">
        <v>12545.26</v>
      </c>
      <c r="T1951" s="1" t="n">
        <v>5582.54</v>
      </c>
      <c r="U1951" s="1" t="n">
        <v>6962.72</v>
      </c>
      <c r="V1951" s="1" t="n">
        <v>55.5</v>
      </c>
      <c r="W1951" s="1" t="s">
        <v>39</v>
      </c>
      <c r="X1951" s="1" t="n">
        <v>3.3</v>
      </c>
      <c r="Y1951" s="1" t="s">
        <v>40</v>
      </c>
      <c r="Z1951" s="1" t="n">
        <v>1</v>
      </c>
    </row>
    <row r="1952" customFormat="false" ht="15" hidden="false" customHeight="true" outlineLevel="0" collapsed="false">
      <c r="A1952" s="1" t="s">
        <v>2804</v>
      </c>
      <c r="B1952" s="1" t="s">
        <v>630</v>
      </c>
      <c r="C1952" s="1" t="s">
        <v>128</v>
      </c>
      <c r="D1952" s="1" t="s">
        <v>53</v>
      </c>
      <c r="E1952" s="1" t="s">
        <v>54</v>
      </c>
      <c r="F1952" s="1" t="s">
        <v>125</v>
      </c>
      <c r="G1952" s="1" t="s">
        <v>108</v>
      </c>
      <c r="H1952" s="1" t="s">
        <v>69</v>
      </c>
      <c r="I1952" s="1" t="s">
        <v>58</v>
      </c>
      <c r="J1952" s="1" t="s">
        <v>77</v>
      </c>
      <c r="K1952" s="1" t="s">
        <v>84</v>
      </c>
      <c r="L1952" s="1" t="s">
        <v>61</v>
      </c>
      <c r="M1952" s="1" t="s">
        <v>50</v>
      </c>
      <c r="N1952" s="1" t="n">
        <v>11999</v>
      </c>
      <c r="O1952" s="1" t="n">
        <v>0</v>
      </c>
      <c r="P1952" s="1" t="n">
        <v>0</v>
      </c>
      <c r="Q1952" s="1" t="n">
        <v>11999</v>
      </c>
      <c r="R1952" s="1" t="n">
        <v>2159.82</v>
      </c>
      <c r="S1952" s="1" t="n">
        <v>9839.18</v>
      </c>
      <c r="T1952" s="1" t="n">
        <v>3517.03</v>
      </c>
      <c r="U1952" s="1" t="n">
        <v>6322.15</v>
      </c>
      <c r="V1952" s="1" t="n">
        <v>64.25</v>
      </c>
      <c r="W1952" s="1" t="s">
        <v>39</v>
      </c>
      <c r="X1952" s="1" t="n">
        <v>3.5</v>
      </c>
      <c r="Y1952" s="1" t="s">
        <v>40</v>
      </c>
      <c r="Z1952" s="1" t="n">
        <v>0</v>
      </c>
    </row>
    <row r="1953" customFormat="false" ht="15" hidden="false" customHeight="true" outlineLevel="0" collapsed="false">
      <c r="A1953" s="1" t="s">
        <v>2805</v>
      </c>
      <c r="B1953" s="1" t="s">
        <v>376</v>
      </c>
      <c r="C1953" s="1" t="s">
        <v>178</v>
      </c>
      <c r="D1953" s="1" t="s">
        <v>29</v>
      </c>
      <c r="E1953" s="1" t="s">
        <v>305</v>
      </c>
      <c r="F1953" s="1" t="s">
        <v>31</v>
      </c>
      <c r="G1953" s="1" t="s">
        <v>32</v>
      </c>
      <c r="H1953" s="1" t="s">
        <v>33</v>
      </c>
      <c r="I1953" s="1" t="s">
        <v>83</v>
      </c>
      <c r="J1953" s="1" t="s">
        <v>77</v>
      </c>
      <c r="K1953" s="1" t="s">
        <v>90</v>
      </c>
      <c r="L1953" s="1" t="s">
        <v>85</v>
      </c>
      <c r="M1953" s="1" t="s">
        <v>38</v>
      </c>
      <c r="N1953" s="1" t="n">
        <v>24999</v>
      </c>
      <c r="O1953" s="1" t="n">
        <v>0</v>
      </c>
      <c r="P1953" s="1" t="n">
        <v>0</v>
      </c>
      <c r="Q1953" s="1" t="n">
        <v>24999</v>
      </c>
      <c r="R1953" s="1" t="n">
        <v>4499.82</v>
      </c>
      <c r="S1953" s="1" t="n">
        <v>20499.18</v>
      </c>
      <c r="T1953" s="1" t="n">
        <v>9194.38</v>
      </c>
      <c r="U1953" s="1" t="n">
        <v>11304.8</v>
      </c>
      <c r="V1953" s="1" t="n">
        <v>55.15</v>
      </c>
      <c r="W1953" s="1" t="s">
        <v>40</v>
      </c>
      <c r="Y1953" s="1" t="s">
        <v>40</v>
      </c>
      <c r="Z1953" s="1" t="n">
        <v>1</v>
      </c>
    </row>
    <row r="1954" customFormat="false" ht="15" hidden="false" customHeight="true" outlineLevel="0" collapsed="false">
      <c r="A1954" s="1" t="s">
        <v>2806</v>
      </c>
      <c r="B1954" s="1" t="s">
        <v>1773</v>
      </c>
      <c r="C1954" s="1" t="s">
        <v>119</v>
      </c>
      <c r="D1954" s="1" t="s">
        <v>94</v>
      </c>
      <c r="E1954" s="1" t="s">
        <v>135</v>
      </c>
      <c r="F1954" s="1" t="s">
        <v>184</v>
      </c>
      <c r="G1954" s="1" t="s">
        <v>56</v>
      </c>
      <c r="H1954" s="1" t="s">
        <v>57</v>
      </c>
      <c r="I1954" s="1" t="s">
        <v>34</v>
      </c>
      <c r="J1954" s="1" t="s">
        <v>59</v>
      </c>
      <c r="K1954" s="1" t="s">
        <v>84</v>
      </c>
      <c r="L1954" s="1" t="s">
        <v>37</v>
      </c>
      <c r="M1954" s="1" t="s">
        <v>38</v>
      </c>
      <c r="N1954" s="1" t="n">
        <v>9999</v>
      </c>
      <c r="O1954" s="1" t="n">
        <v>25</v>
      </c>
      <c r="P1954" s="1" t="n">
        <v>2499.75</v>
      </c>
      <c r="Q1954" s="1" t="n">
        <v>7499.25</v>
      </c>
      <c r="R1954" s="1" t="n">
        <v>1349.87</v>
      </c>
      <c r="S1954" s="1" t="n">
        <v>6149.38</v>
      </c>
      <c r="T1954" s="1" t="n">
        <v>2574.68</v>
      </c>
      <c r="U1954" s="1" t="n">
        <v>3574.7</v>
      </c>
      <c r="V1954" s="1" t="n">
        <v>58.13</v>
      </c>
      <c r="W1954" s="1" t="s">
        <v>39</v>
      </c>
      <c r="X1954" s="1" t="n">
        <v>4.3</v>
      </c>
      <c r="Y1954" s="1" t="s">
        <v>40</v>
      </c>
      <c r="Z1954" s="1" t="n">
        <v>0</v>
      </c>
    </row>
    <row r="1955" customFormat="false" ht="15" hidden="false" customHeight="true" outlineLevel="0" collapsed="false">
      <c r="A1955" s="1" t="s">
        <v>2807</v>
      </c>
      <c r="B1955" s="1" t="s">
        <v>986</v>
      </c>
      <c r="C1955" s="1" t="s">
        <v>264</v>
      </c>
      <c r="D1955" s="1" t="s">
        <v>94</v>
      </c>
      <c r="E1955" s="1" t="s">
        <v>101</v>
      </c>
      <c r="F1955" s="1" t="s">
        <v>102</v>
      </c>
      <c r="G1955" s="1" t="s">
        <v>103</v>
      </c>
      <c r="H1955" s="1" t="s">
        <v>33</v>
      </c>
      <c r="I1955" s="1" t="s">
        <v>58</v>
      </c>
      <c r="J1955" s="1" t="s">
        <v>77</v>
      </c>
      <c r="K1955" s="1" t="s">
        <v>104</v>
      </c>
      <c r="L1955" s="1" t="s">
        <v>113</v>
      </c>
      <c r="M1955" s="1" t="s">
        <v>38</v>
      </c>
      <c r="N1955" s="1" t="n">
        <v>14999</v>
      </c>
      <c r="O1955" s="1" t="n">
        <v>10</v>
      </c>
      <c r="P1955" s="1" t="n">
        <v>1499.9</v>
      </c>
      <c r="Q1955" s="1" t="n">
        <v>13499.1</v>
      </c>
      <c r="R1955" s="1" t="n">
        <v>2429.84</v>
      </c>
      <c r="S1955" s="1" t="n">
        <v>11069.26</v>
      </c>
      <c r="T1955" s="1" t="n">
        <v>4500.6</v>
      </c>
      <c r="U1955" s="1" t="n">
        <v>6568.66</v>
      </c>
      <c r="V1955" s="1" t="n">
        <v>59.34</v>
      </c>
      <c r="W1955" s="1" t="s">
        <v>39</v>
      </c>
      <c r="X1955" s="1" t="n">
        <v>2.4</v>
      </c>
      <c r="Y1955" s="1" t="s">
        <v>40</v>
      </c>
      <c r="Z1955" s="1" t="n">
        <v>1</v>
      </c>
    </row>
    <row r="1956" customFormat="false" ht="15" hidden="false" customHeight="true" outlineLevel="0" collapsed="false">
      <c r="A1956" s="1" t="s">
        <v>2808</v>
      </c>
      <c r="B1956" s="1" t="s">
        <v>395</v>
      </c>
      <c r="C1956" s="1" t="s">
        <v>139</v>
      </c>
      <c r="D1956" s="1" t="s">
        <v>80</v>
      </c>
      <c r="E1956" s="1" t="s">
        <v>193</v>
      </c>
      <c r="F1956" s="1" t="s">
        <v>244</v>
      </c>
      <c r="G1956" s="1" t="s">
        <v>97</v>
      </c>
      <c r="H1956" s="1" t="s">
        <v>57</v>
      </c>
      <c r="I1956" s="1" t="s">
        <v>58</v>
      </c>
      <c r="J1956" s="1" t="s">
        <v>70</v>
      </c>
      <c r="K1956" s="1" t="s">
        <v>84</v>
      </c>
      <c r="L1956" s="1" t="s">
        <v>61</v>
      </c>
      <c r="M1956" s="1" t="s">
        <v>50</v>
      </c>
      <c r="N1956" s="1" t="n">
        <v>8999</v>
      </c>
      <c r="O1956" s="1" t="n">
        <v>30</v>
      </c>
      <c r="P1956" s="1" t="n">
        <v>2699.7</v>
      </c>
      <c r="Q1956" s="1" t="n">
        <v>6299.3</v>
      </c>
      <c r="R1956" s="1" t="n">
        <v>1133.87</v>
      </c>
      <c r="S1956" s="1" t="n">
        <v>5165.43</v>
      </c>
      <c r="T1956" s="1" t="n">
        <v>1912.27</v>
      </c>
      <c r="U1956" s="1" t="n">
        <v>3253.16</v>
      </c>
      <c r="V1956" s="1" t="n">
        <v>62.98</v>
      </c>
      <c r="W1956" s="1" t="s">
        <v>39</v>
      </c>
      <c r="X1956" s="1" t="n">
        <v>3.8</v>
      </c>
      <c r="Y1956" s="1" t="s">
        <v>39</v>
      </c>
      <c r="Z1956" s="1" t="n">
        <v>0</v>
      </c>
    </row>
    <row r="1957" customFormat="false" ht="15" hidden="false" customHeight="true" outlineLevel="0" collapsed="false">
      <c r="A1957" s="1" t="s">
        <v>2809</v>
      </c>
      <c r="B1957" s="1" t="s">
        <v>435</v>
      </c>
      <c r="C1957" s="1" t="s">
        <v>134</v>
      </c>
      <c r="D1957" s="1" t="s">
        <v>29</v>
      </c>
      <c r="E1957" s="1" t="s">
        <v>129</v>
      </c>
      <c r="F1957" s="1" t="s">
        <v>120</v>
      </c>
      <c r="G1957" s="1" t="s">
        <v>47</v>
      </c>
      <c r="H1957" s="1" t="s">
        <v>57</v>
      </c>
      <c r="I1957" s="1" t="s">
        <v>58</v>
      </c>
      <c r="J1957" s="1" t="s">
        <v>77</v>
      </c>
      <c r="K1957" s="1" t="s">
        <v>48</v>
      </c>
      <c r="L1957" s="1" t="s">
        <v>37</v>
      </c>
      <c r="M1957" s="1" t="s">
        <v>38</v>
      </c>
      <c r="N1957" s="1" t="n">
        <v>29999</v>
      </c>
      <c r="O1957" s="1" t="n">
        <v>0</v>
      </c>
      <c r="P1957" s="1" t="n">
        <v>0</v>
      </c>
      <c r="Q1957" s="1" t="n">
        <v>29999</v>
      </c>
      <c r="R1957" s="1" t="n">
        <v>5399.82</v>
      </c>
      <c r="S1957" s="1" t="n">
        <v>24599.18</v>
      </c>
      <c r="T1957" s="1" t="n">
        <v>10024.02</v>
      </c>
      <c r="U1957" s="1" t="n">
        <v>14575.16</v>
      </c>
      <c r="V1957" s="1" t="n">
        <v>59.25</v>
      </c>
      <c r="W1957" s="1" t="s">
        <v>39</v>
      </c>
      <c r="X1957" s="1" t="n">
        <v>3.7</v>
      </c>
      <c r="Y1957" s="1" t="s">
        <v>40</v>
      </c>
      <c r="Z1957" s="1" t="n">
        <v>0</v>
      </c>
    </row>
    <row r="1958" customFormat="false" ht="15" hidden="false" customHeight="true" outlineLevel="0" collapsed="false">
      <c r="A1958" s="1" t="s">
        <v>2810</v>
      </c>
      <c r="B1958" s="1" t="s">
        <v>1163</v>
      </c>
      <c r="C1958" s="1" t="s">
        <v>249</v>
      </c>
      <c r="D1958" s="1" t="s">
        <v>123</v>
      </c>
      <c r="E1958" s="1" t="s">
        <v>147</v>
      </c>
      <c r="F1958" s="1" t="s">
        <v>194</v>
      </c>
      <c r="G1958" s="1" t="s">
        <v>103</v>
      </c>
      <c r="H1958" s="1" t="s">
        <v>69</v>
      </c>
      <c r="I1958" s="1" t="s">
        <v>83</v>
      </c>
      <c r="J1958" s="1" t="s">
        <v>59</v>
      </c>
      <c r="K1958" s="1" t="s">
        <v>90</v>
      </c>
      <c r="L1958" s="1" t="s">
        <v>113</v>
      </c>
      <c r="M1958" s="1" t="s">
        <v>38</v>
      </c>
      <c r="N1958" s="1" t="n">
        <v>6999</v>
      </c>
      <c r="O1958" s="1" t="n">
        <v>0</v>
      </c>
      <c r="P1958" s="1" t="n">
        <v>0</v>
      </c>
      <c r="Q1958" s="1" t="n">
        <v>6999</v>
      </c>
      <c r="R1958" s="1" t="n">
        <v>1259.82</v>
      </c>
      <c r="S1958" s="1" t="n">
        <v>5739.18</v>
      </c>
      <c r="T1958" s="1" t="n">
        <v>2355.01</v>
      </c>
      <c r="U1958" s="1" t="n">
        <v>3384.17</v>
      </c>
      <c r="V1958" s="1" t="n">
        <v>58.97</v>
      </c>
      <c r="W1958" s="1" t="s">
        <v>39</v>
      </c>
      <c r="Y1958" s="1" t="s">
        <v>40</v>
      </c>
      <c r="Z1958" s="1" t="n">
        <v>0</v>
      </c>
    </row>
    <row r="1959" customFormat="false" ht="15" hidden="false" customHeight="true" outlineLevel="0" collapsed="false">
      <c r="A1959" s="1" t="s">
        <v>2811</v>
      </c>
      <c r="B1959" s="1" t="s">
        <v>1972</v>
      </c>
      <c r="C1959" s="1" t="s">
        <v>139</v>
      </c>
      <c r="D1959" s="1" t="s">
        <v>53</v>
      </c>
      <c r="E1959" s="1" t="s">
        <v>116</v>
      </c>
      <c r="F1959" s="1" t="s">
        <v>89</v>
      </c>
      <c r="G1959" s="1" t="s">
        <v>68</v>
      </c>
      <c r="H1959" s="1" t="s">
        <v>33</v>
      </c>
      <c r="I1959" s="1" t="s">
        <v>34</v>
      </c>
      <c r="J1959" s="1" t="s">
        <v>70</v>
      </c>
      <c r="K1959" s="1" t="s">
        <v>90</v>
      </c>
      <c r="L1959" s="1" t="s">
        <v>37</v>
      </c>
      <c r="M1959" s="1" t="s">
        <v>62</v>
      </c>
      <c r="N1959" s="1" t="n">
        <v>9999</v>
      </c>
      <c r="O1959" s="1" t="n">
        <v>5</v>
      </c>
      <c r="P1959" s="1" t="n">
        <v>499.95</v>
      </c>
      <c r="Q1959" s="1" t="n">
        <v>9499.05</v>
      </c>
      <c r="R1959" s="1" t="n">
        <v>1709.83</v>
      </c>
      <c r="S1959" s="1" t="n">
        <v>7789.22</v>
      </c>
      <c r="T1959" s="1" t="n">
        <v>3392.78</v>
      </c>
      <c r="U1959" s="1" t="n">
        <v>4396.44</v>
      </c>
      <c r="V1959" s="1" t="n">
        <v>56.44</v>
      </c>
      <c r="W1959" s="1" t="s">
        <v>39</v>
      </c>
      <c r="X1959" s="1" t="n">
        <v>4.3</v>
      </c>
      <c r="Y1959" s="1" t="s">
        <v>40</v>
      </c>
      <c r="Z1959" s="1" t="n">
        <v>0</v>
      </c>
    </row>
    <row r="1960" customFormat="false" ht="15" hidden="false" customHeight="true" outlineLevel="0" collapsed="false">
      <c r="A1960" s="1" t="s">
        <v>2812</v>
      </c>
      <c r="B1960" s="1" t="s">
        <v>2570</v>
      </c>
      <c r="C1960" s="1" t="s">
        <v>65</v>
      </c>
      <c r="D1960" s="1" t="s">
        <v>53</v>
      </c>
      <c r="E1960" s="1" t="s">
        <v>54</v>
      </c>
      <c r="F1960" s="1" t="s">
        <v>107</v>
      </c>
      <c r="G1960" s="1" t="s">
        <v>108</v>
      </c>
      <c r="H1960" s="1" t="s">
        <v>33</v>
      </c>
      <c r="I1960" s="1" t="s">
        <v>83</v>
      </c>
      <c r="J1960" s="1" t="s">
        <v>59</v>
      </c>
      <c r="K1960" s="1" t="s">
        <v>104</v>
      </c>
      <c r="L1960" s="1" t="s">
        <v>49</v>
      </c>
      <c r="M1960" s="1" t="s">
        <v>50</v>
      </c>
      <c r="N1960" s="1" t="n">
        <v>11999</v>
      </c>
      <c r="O1960" s="1" t="n">
        <v>15</v>
      </c>
      <c r="P1960" s="1" t="n">
        <v>1799.85</v>
      </c>
      <c r="Q1960" s="1" t="n">
        <v>10199.15</v>
      </c>
      <c r="R1960" s="1" t="n">
        <v>1835.85</v>
      </c>
      <c r="S1960" s="1" t="n">
        <v>8363.3</v>
      </c>
      <c r="T1960" s="1" t="n">
        <v>4234.48</v>
      </c>
      <c r="U1960" s="1" t="n">
        <v>4128.82</v>
      </c>
      <c r="V1960" s="1" t="n">
        <v>49.37</v>
      </c>
      <c r="W1960" s="1" t="s">
        <v>39</v>
      </c>
      <c r="Y1960" s="1" t="s">
        <v>40</v>
      </c>
      <c r="Z1960" s="1" t="n">
        <v>1</v>
      </c>
    </row>
    <row r="1961" customFormat="false" ht="15" hidden="false" customHeight="true" outlineLevel="0" collapsed="false">
      <c r="A1961" s="1" t="s">
        <v>2813</v>
      </c>
      <c r="B1961" s="1" t="s">
        <v>1461</v>
      </c>
      <c r="C1961" s="1" t="s">
        <v>74</v>
      </c>
      <c r="D1961" s="1" t="s">
        <v>94</v>
      </c>
      <c r="E1961" s="1" t="s">
        <v>95</v>
      </c>
      <c r="F1961" s="1" t="s">
        <v>211</v>
      </c>
      <c r="G1961" s="1" t="s">
        <v>56</v>
      </c>
      <c r="H1961" s="1" t="s">
        <v>69</v>
      </c>
      <c r="I1961" s="1" t="s">
        <v>34</v>
      </c>
      <c r="J1961" s="1" t="s">
        <v>70</v>
      </c>
      <c r="K1961" s="1" t="s">
        <v>112</v>
      </c>
      <c r="L1961" s="1" t="s">
        <v>85</v>
      </c>
      <c r="M1961" s="1" t="s">
        <v>62</v>
      </c>
      <c r="N1961" s="1" t="n">
        <v>6999</v>
      </c>
      <c r="O1961" s="1" t="n">
        <v>25</v>
      </c>
      <c r="P1961" s="1" t="n">
        <v>1749.75</v>
      </c>
      <c r="Q1961" s="1" t="n">
        <v>5249.25</v>
      </c>
      <c r="R1961" s="1" t="n">
        <v>944.87</v>
      </c>
      <c r="S1961" s="1" t="n">
        <v>4304.38</v>
      </c>
      <c r="T1961" s="1" t="n">
        <v>1343.27</v>
      </c>
      <c r="U1961" s="1" t="n">
        <v>2961.11</v>
      </c>
      <c r="V1961" s="1" t="n">
        <v>68.79</v>
      </c>
      <c r="W1961" s="1" t="s">
        <v>39</v>
      </c>
      <c r="Y1961" s="1" t="s">
        <v>40</v>
      </c>
      <c r="Z1961" s="1" t="n">
        <v>0</v>
      </c>
    </row>
    <row r="1962" customFormat="false" ht="15" hidden="false" customHeight="true" outlineLevel="0" collapsed="false">
      <c r="A1962" s="1" t="s">
        <v>2814</v>
      </c>
      <c r="B1962" s="1" t="s">
        <v>524</v>
      </c>
      <c r="C1962" s="1" t="s">
        <v>264</v>
      </c>
      <c r="D1962" s="1" t="s">
        <v>80</v>
      </c>
      <c r="E1962" s="1" t="s">
        <v>190</v>
      </c>
      <c r="F1962" s="1" t="s">
        <v>153</v>
      </c>
      <c r="G1962" s="1" t="s">
        <v>76</v>
      </c>
      <c r="H1962" s="1" t="s">
        <v>33</v>
      </c>
      <c r="I1962" s="1" t="s">
        <v>34</v>
      </c>
      <c r="J1962" s="1" t="s">
        <v>77</v>
      </c>
      <c r="K1962" s="1" t="s">
        <v>104</v>
      </c>
      <c r="L1962" s="1" t="s">
        <v>85</v>
      </c>
      <c r="M1962" s="1" t="s">
        <v>50</v>
      </c>
      <c r="N1962" s="1" t="n">
        <v>15999</v>
      </c>
      <c r="O1962" s="1" t="n">
        <v>0</v>
      </c>
      <c r="P1962" s="1" t="n">
        <v>0</v>
      </c>
      <c r="Q1962" s="1" t="n">
        <v>15999</v>
      </c>
      <c r="R1962" s="1" t="n">
        <v>2879.82</v>
      </c>
      <c r="S1962" s="1" t="n">
        <v>13119.18</v>
      </c>
      <c r="T1962" s="1" t="n">
        <v>5934.09</v>
      </c>
      <c r="U1962" s="1" t="n">
        <v>7185.09</v>
      </c>
      <c r="V1962" s="1" t="n">
        <v>54.77</v>
      </c>
      <c r="W1962" s="1" t="s">
        <v>39</v>
      </c>
      <c r="X1962" s="1" t="n">
        <v>5</v>
      </c>
      <c r="Y1962" s="1" t="s">
        <v>40</v>
      </c>
      <c r="Z1962" s="1" t="n">
        <v>1</v>
      </c>
    </row>
    <row r="1963" customFormat="false" ht="15" hidden="false" customHeight="true" outlineLevel="0" collapsed="false">
      <c r="A1963" s="1" t="s">
        <v>2815</v>
      </c>
      <c r="B1963" s="1" t="s">
        <v>1633</v>
      </c>
      <c r="C1963" s="1" t="s">
        <v>100</v>
      </c>
      <c r="D1963" s="1" t="s">
        <v>29</v>
      </c>
      <c r="E1963" s="1" t="s">
        <v>182</v>
      </c>
      <c r="F1963" s="1" t="s">
        <v>96</v>
      </c>
      <c r="G1963" s="1" t="s">
        <v>97</v>
      </c>
      <c r="H1963" s="1" t="s">
        <v>69</v>
      </c>
      <c r="I1963" s="1" t="s">
        <v>83</v>
      </c>
      <c r="J1963" s="1" t="s">
        <v>35</v>
      </c>
      <c r="K1963" s="1" t="s">
        <v>60</v>
      </c>
      <c r="L1963" s="1" t="s">
        <v>61</v>
      </c>
      <c r="M1963" s="1" t="s">
        <v>50</v>
      </c>
      <c r="N1963" s="1" t="n">
        <v>34999</v>
      </c>
      <c r="O1963" s="1" t="n">
        <v>10</v>
      </c>
      <c r="P1963" s="1" t="n">
        <v>3499.9</v>
      </c>
      <c r="Q1963" s="1" t="n">
        <v>31499.1</v>
      </c>
      <c r="R1963" s="1" t="n">
        <v>5669.84</v>
      </c>
      <c r="S1963" s="1" t="n">
        <v>25829.26</v>
      </c>
      <c r="T1963" s="1" t="n">
        <v>7333.99</v>
      </c>
      <c r="U1963" s="1" t="n">
        <v>18495.27</v>
      </c>
      <c r="V1963" s="1" t="n">
        <v>71.61</v>
      </c>
      <c r="W1963" s="1" t="s">
        <v>39</v>
      </c>
      <c r="X1963" s="1" t="n">
        <v>4.5</v>
      </c>
      <c r="Y1963" s="1" t="s">
        <v>40</v>
      </c>
      <c r="Z1963" s="1" t="n">
        <v>0</v>
      </c>
    </row>
    <row r="1964" customFormat="false" ht="15" hidden="false" customHeight="true" outlineLevel="0" collapsed="false">
      <c r="A1964" s="1" t="s">
        <v>2816</v>
      </c>
      <c r="B1964" s="1" t="s">
        <v>263</v>
      </c>
      <c r="C1964" s="1" t="s">
        <v>139</v>
      </c>
      <c r="D1964" s="1" t="s">
        <v>143</v>
      </c>
      <c r="E1964" s="1" t="s">
        <v>159</v>
      </c>
      <c r="F1964" s="1" t="s">
        <v>205</v>
      </c>
      <c r="G1964" s="1" t="s">
        <v>56</v>
      </c>
      <c r="H1964" s="1" t="s">
        <v>69</v>
      </c>
      <c r="I1964" s="1" t="s">
        <v>58</v>
      </c>
      <c r="J1964" s="1" t="s">
        <v>35</v>
      </c>
      <c r="K1964" s="1" t="s">
        <v>60</v>
      </c>
      <c r="L1964" s="1" t="s">
        <v>37</v>
      </c>
      <c r="M1964" s="1" t="s">
        <v>62</v>
      </c>
      <c r="N1964" s="1" t="n">
        <v>24999</v>
      </c>
      <c r="O1964" s="1" t="n">
        <v>10</v>
      </c>
      <c r="P1964" s="1" t="n">
        <v>2499.9</v>
      </c>
      <c r="Q1964" s="1" t="n">
        <v>22499.1</v>
      </c>
      <c r="R1964" s="1" t="n">
        <v>4049.84</v>
      </c>
      <c r="S1964" s="1" t="n">
        <v>18449.26</v>
      </c>
      <c r="T1964" s="1" t="n">
        <v>6264.58</v>
      </c>
      <c r="U1964" s="1" t="n">
        <v>12184.68</v>
      </c>
      <c r="V1964" s="1" t="n">
        <v>66.04</v>
      </c>
      <c r="W1964" s="1" t="s">
        <v>39</v>
      </c>
      <c r="Y1964" s="1" t="s">
        <v>40</v>
      </c>
      <c r="Z1964" s="1" t="n">
        <v>0</v>
      </c>
    </row>
    <row r="1965" customFormat="false" ht="15" hidden="false" customHeight="true" outlineLevel="0" collapsed="false">
      <c r="A1965" s="1" t="s">
        <v>2817</v>
      </c>
      <c r="B1965" s="1" t="s">
        <v>275</v>
      </c>
      <c r="C1965" s="1" t="s">
        <v>139</v>
      </c>
      <c r="D1965" s="1" t="s">
        <v>29</v>
      </c>
      <c r="E1965" s="1" t="s">
        <v>30</v>
      </c>
      <c r="F1965" s="1" t="s">
        <v>89</v>
      </c>
      <c r="G1965" s="1" t="s">
        <v>68</v>
      </c>
      <c r="H1965" s="1" t="s">
        <v>33</v>
      </c>
      <c r="I1965" s="1" t="s">
        <v>58</v>
      </c>
      <c r="J1965" s="1" t="s">
        <v>77</v>
      </c>
      <c r="K1965" s="1" t="s">
        <v>71</v>
      </c>
      <c r="L1965" s="1" t="s">
        <v>113</v>
      </c>
      <c r="M1965" s="1" t="s">
        <v>50</v>
      </c>
      <c r="N1965" s="1" t="n">
        <v>7999</v>
      </c>
      <c r="O1965" s="1" t="n">
        <v>5</v>
      </c>
      <c r="P1965" s="1" t="n">
        <v>399.95</v>
      </c>
      <c r="Q1965" s="1" t="n">
        <v>7599.05</v>
      </c>
      <c r="R1965" s="1" t="n">
        <v>1367.83</v>
      </c>
      <c r="S1965" s="1" t="n">
        <v>6231.22</v>
      </c>
      <c r="T1965" s="1" t="n">
        <v>2631.09</v>
      </c>
      <c r="U1965" s="1" t="n">
        <v>3600.13</v>
      </c>
      <c r="V1965" s="1" t="n">
        <v>57.78</v>
      </c>
      <c r="W1965" s="1" t="s">
        <v>39</v>
      </c>
      <c r="X1965" s="1" t="n">
        <v>4.1</v>
      </c>
      <c r="Y1965" s="1" t="s">
        <v>40</v>
      </c>
      <c r="Z1965" s="1" t="n">
        <v>0</v>
      </c>
    </row>
    <row r="1966" customFormat="false" ht="15" hidden="false" customHeight="true" outlineLevel="0" collapsed="false">
      <c r="A1966" s="1" t="s">
        <v>2818</v>
      </c>
      <c r="B1966" s="1" t="s">
        <v>1610</v>
      </c>
      <c r="C1966" s="1" t="s">
        <v>139</v>
      </c>
      <c r="D1966" s="1" t="s">
        <v>44</v>
      </c>
      <c r="E1966" s="1" t="s">
        <v>66</v>
      </c>
      <c r="F1966" s="1" t="s">
        <v>75</v>
      </c>
      <c r="G1966" s="1" t="s">
        <v>76</v>
      </c>
      <c r="H1966" s="1" t="s">
        <v>69</v>
      </c>
      <c r="I1966" s="1" t="s">
        <v>83</v>
      </c>
      <c r="J1966" s="1" t="s">
        <v>70</v>
      </c>
      <c r="K1966" s="1" t="s">
        <v>48</v>
      </c>
      <c r="L1966" s="1" t="s">
        <v>61</v>
      </c>
      <c r="M1966" s="1" t="s">
        <v>62</v>
      </c>
      <c r="N1966" s="1" t="n">
        <v>12999</v>
      </c>
      <c r="O1966" s="1" t="n">
        <v>0</v>
      </c>
      <c r="P1966" s="1" t="n">
        <v>0</v>
      </c>
      <c r="Q1966" s="1" t="n">
        <v>12999</v>
      </c>
      <c r="R1966" s="1" t="n">
        <v>2339.82</v>
      </c>
      <c r="S1966" s="1" t="n">
        <v>10659.18</v>
      </c>
      <c r="T1966" s="1" t="n">
        <v>3901.67</v>
      </c>
      <c r="U1966" s="1" t="n">
        <v>6757.51</v>
      </c>
      <c r="V1966" s="1" t="n">
        <v>63.4</v>
      </c>
      <c r="W1966" s="1" t="s">
        <v>40</v>
      </c>
      <c r="Y1966" s="1" t="s">
        <v>39</v>
      </c>
      <c r="Z1966" s="1" t="n">
        <v>0</v>
      </c>
    </row>
    <row r="1967" customFormat="false" ht="15" hidden="false" customHeight="true" outlineLevel="0" collapsed="false">
      <c r="A1967" s="1" t="s">
        <v>2819</v>
      </c>
      <c r="B1967" s="1" t="s">
        <v>406</v>
      </c>
      <c r="C1967" s="1" t="s">
        <v>134</v>
      </c>
      <c r="D1967" s="1" t="s">
        <v>80</v>
      </c>
      <c r="E1967" s="1" t="s">
        <v>81</v>
      </c>
      <c r="F1967" s="1" t="s">
        <v>194</v>
      </c>
      <c r="G1967" s="1" t="s">
        <v>103</v>
      </c>
      <c r="H1967" s="1" t="s">
        <v>69</v>
      </c>
      <c r="I1967" s="1" t="s">
        <v>58</v>
      </c>
      <c r="J1967" s="1" t="s">
        <v>70</v>
      </c>
      <c r="K1967" s="1" t="s">
        <v>48</v>
      </c>
      <c r="L1967" s="1" t="s">
        <v>136</v>
      </c>
      <c r="M1967" s="1" t="s">
        <v>50</v>
      </c>
      <c r="N1967" s="1" t="n">
        <v>12999</v>
      </c>
      <c r="O1967" s="1" t="n">
        <v>5</v>
      </c>
      <c r="P1967" s="1" t="n">
        <v>649.95</v>
      </c>
      <c r="Q1967" s="1" t="n">
        <v>12349.05</v>
      </c>
      <c r="R1967" s="1" t="n">
        <v>2222.83</v>
      </c>
      <c r="S1967" s="1" t="n">
        <v>10126.22</v>
      </c>
      <c r="T1967" s="1" t="n">
        <v>3553.14</v>
      </c>
      <c r="U1967" s="1" t="n">
        <v>6573.08</v>
      </c>
      <c r="V1967" s="1" t="n">
        <v>64.91</v>
      </c>
      <c r="W1967" s="1" t="s">
        <v>39</v>
      </c>
      <c r="X1967" s="1" t="n">
        <v>3.6</v>
      </c>
      <c r="Y1967" s="1" t="s">
        <v>40</v>
      </c>
      <c r="Z1967" s="1" t="n">
        <v>0</v>
      </c>
    </row>
    <row r="1968" customFormat="false" ht="15" hidden="false" customHeight="true" outlineLevel="0" collapsed="false">
      <c r="A1968" s="1" t="s">
        <v>2820</v>
      </c>
      <c r="B1968" s="1" t="s">
        <v>1614</v>
      </c>
      <c r="C1968" s="1" t="s">
        <v>88</v>
      </c>
      <c r="D1968" s="1" t="s">
        <v>53</v>
      </c>
      <c r="E1968" s="1" t="s">
        <v>216</v>
      </c>
      <c r="F1968" s="1" t="s">
        <v>125</v>
      </c>
      <c r="G1968" s="1" t="s">
        <v>108</v>
      </c>
      <c r="H1968" s="1" t="s">
        <v>69</v>
      </c>
      <c r="I1968" s="1" t="s">
        <v>83</v>
      </c>
      <c r="J1968" s="1" t="s">
        <v>131</v>
      </c>
      <c r="K1968" s="1" t="s">
        <v>71</v>
      </c>
      <c r="L1968" s="1" t="s">
        <v>49</v>
      </c>
      <c r="M1968" s="1" t="s">
        <v>62</v>
      </c>
      <c r="N1968" s="1" t="n">
        <v>7499</v>
      </c>
      <c r="O1968" s="1" t="n">
        <v>10</v>
      </c>
      <c r="P1968" s="1" t="n">
        <v>749.9</v>
      </c>
      <c r="Q1968" s="1" t="n">
        <v>6749.1</v>
      </c>
      <c r="R1968" s="1" t="n">
        <v>1214.84</v>
      </c>
      <c r="S1968" s="1" t="n">
        <v>5534.26</v>
      </c>
      <c r="T1968" s="1" t="n">
        <v>2309.88</v>
      </c>
      <c r="U1968" s="1" t="n">
        <v>3224.38</v>
      </c>
      <c r="V1968" s="1" t="n">
        <v>58.26</v>
      </c>
      <c r="W1968" s="1" t="s">
        <v>39</v>
      </c>
      <c r="X1968" s="1" t="n">
        <v>4</v>
      </c>
      <c r="Y1968" s="1" t="s">
        <v>40</v>
      </c>
      <c r="Z1968" s="1" t="n">
        <v>0</v>
      </c>
    </row>
    <row r="1969" customFormat="false" ht="15" hidden="false" customHeight="true" outlineLevel="0" collapsed="false">
      <c r="A1969" s="1" t="s">
        <v>2821</v>
      </c>
      <c r="B1969" s="1" t="s">
        <v>622</v>
      </c>
      <c r="C1969" s="1" t="s">
        <v>134</v>
      </c>
      <c r="D1969" s="1" t="s">
        <v>44</v>
      </c>
      <c r="E1969" s="1" t="s">
        <v>66</v>
      </c>
      <c r="F1969" s="1" t="s">
        <v>153</v>
      </c>
      <c r="G1969" s="1" t="s">
        <v>76</v>
      </c>
      <c r="H1969" s="1" t="s">
        <v>33</v>
      </c>
      <c r="I1969" s="1" t="s">
        <v>58</v>
      </c>
      <c r="J1969" s="1" t="s">
        <v>70</v>
      </c>
      <c r="K1969" s="1" t="s">
        <v>90</v>
      </c>
      <c r="L1969" s="1" t="s">
        <v>49</v>
      </c>
      <c r="M1969" s="1" t="s">
        <v>62</v>
      </c>
      <c r="N1969" s="1" t="n">
        <v>12999</v>
      </c>
      <c r="O1969" s="1" t="n">
        <v>0</v>
      </c>
      <c r="P1969" s="1" t="n">
        <v>0</v>
      </c>
      <c r="Q1969" s="1" t="n">
        <v>12999</v>
      </c>
      <c r="R1969" s="1" t="n">
        <v>2339.82</v>
      </c>
      <c r="S1969" s="1" t="n">
        <v>10659.18</v>
      </c>
      <c r="T1969" s="1" t="n">
        <v>5640.55</v>
      </c>
      <c r="U1969" s="1" t="n">
        <v>5018.63</v>
      </c>
      <c r="V1969" s="1" t="n">
        <v>47.08</v>
      </c>
      <c r="W1969" s="1" t="s">
        <v>40</v>
      </c>
      <c r="Y1969" s="1" t="s">
        <v>39</v>
      </c>
      <c r="Z1969" s="1" t="n">
        <v>0</v>
      </c>
    </row>
    <row r="1970" customFormat="false" ht="15" hidden="false" customHeight="true" outlineLevel="0" collapsed="false">
      <c r="A1970" s="1" t="s">
        <v>2822</v>
      </c>
      <c r="B1970" s="1" t="s">
        <v>419</v>
      </c>
      <c r="C1970" s="1" t="s">
        <v>28</v>
      </c>
      <c r="D1970" s="1" t="s">
        <v>94</v>
      </c>
      <c r="E1970" s="1" t="s">
        <v>135</v>
      </c>
      <c r="F1970" s="1" t="s">
        <v>96</v>
      </c>
      <c r="G1970" s="1" t="s">
        <v>97</v>
      </c>
      <c r="H1970" s="1" t="s">
        <v>69</v>
      </c>
      <c r="I1970" s="1" t="s">
        <v>83</v>
      </c>
      <c r="J1970" s="1" t="s">
        <v>35</v>
      </c>
      <c r="K1970" s="1" t="s">
        <v>48</v>
      </c>
      <c r="L1970" s="1" t="s">
        <v>136</v>
      </c>
      <c r="M1970" s="1" t="s">
        <v>38</v>
      </c>
      <c r="N1970" s="1" t="n">
        <v>9999</v>
      </c>
      <c r="O1970" s="1" t="n">
        <v>0</v>
      </c>
      <c r="P1970" s="1" t="n">
        <v>0</v>
      </c>
      <c r="Q1970" s="1" t="n">
        <v>9999</v>
      </c>
      <c r="R1970" s="1" t="n">
        <v>1799.82</v>
      </c>
      <c r="S1970" s="1" t="n">
        <v>8199.18</v>
      </c>
      <c r="T1970" s="1" t="n">
        <v>2806.51</v>
      </c>
      <c r="U1970" s="1" t="n">
        <v>5392.67</v>
      </c>
      <c r="V1970" s="1" t="n">
        <v>65.77</v>
      </c>
      <c r="W1970" s="1" t="s">
        <v>40</v>
      </c>
      <c r="Y1970" s="1" t="s">
        <v>40</v>
      </c>
      <c r="Z1970" s="1" t="n">
        <v>1</v>
      </c>
    </row>
    <row r="1971" customFormat="false" ht="15" hidden="false" customHeight="true" outlineLevel="0" collapsed="false">
      <c r="A1971" s="1" t="s">
        <v>2823</v>
      </c>
      <c r="B1971" s="1" t="s">
        <v>825</v>
      </c>
      <c r="C1971" s="1" t="s">
        <v>178</v>
      </c>
      <c r="D1971" s="1" t="s">
        <v>143</v>
      </c>
      <c r="E1971" s="1" t="s">
        <v>210</v>
      </c>
      <c r="F1971" s="1" t="s">
        <v>125</v>
      </c>
      <c r="G1971" s="1" t="s">
        <v>108</v>
      </c>
      <c r="H1971" s="1" t="s">
        <v>69</v>
      </c>
      <c r="I1971" s="1" t="s">
        <v>83</v>
      </c>
      <c r="J1971" s="1" t="s">
        <v>77</v>
      </c>
      <c r="K1971" s="1" t="s">
        <v>84</v>
      </c>
      <c r="L1971" s="1" t="s">
        <v>49</v>
      </c>
      <c r="M1971" s="1" t="s">
        <v>62</v>
      </c>
      <c r="N1971" s="1" t="n">
        <v>18999</v>
      </c>
      <c r="O1971" s="1" t="n">
        <v>0</v>
      </c>
      <c r="P1971" s="1" t="n">
        <v>0</v>
      </c>
      <c r="Q1971" s="1" t="n">
        <v>18999</v>
      </c>
      <c r="R1971" s="1" t="n">
        <v>3419.82</v>
      </c>
      <c r="S1971" s="1" t="n">
        <v>15579.18</v>
      </c>
      <c r="T1971" s="1" t="n">
        <v>6741.4</v>
      </c>
      <c r="U1971" s="1" t="n">
        <v>8837.78</v>
      </c>
      <c r="V1971" s="1" t="n">
        <v>56.73</v>
      </c>
      <c r="W1971" s="1" t="s">
        <v>39</v>
      </c>
      <c r="X1971" s="1" t="n">
        <v>3.5</v>
      </c>
      <c r="Y1971" s="1" t="s">
        <v>40</v>
      </c>
      <c r="Z1971" s="1" t="n">
        <v>1</v>
      </c>
    </row>
    <row r="1972" customFormat="false" ht="15" hidden="false" customHeight="true" outlineLevel="0" collapsed="false">
      <c r="A1972" s="1" t="s">
        <v>2824</v>
      </c>
      <c r="B1972" s="1" t="s">
        <v>1339</v>
      </c>
      <c r="C1972" s="1" t="s">
        <v>139</v>
      </c>
      <c r="D1972" s="1" t="s">
        <v>80</v>
      </c>
      <c r="E1972" s="1" t="s">
        <v>190</v>
      </c>
      <c r="F1972" s="1" t="s">
        <v>187</v>
      </c>
      <c r="G1972" s="1" t="s">
        <v>97</v>
      </c>
      <c r="H1972" s="1" t="s">
        <v>69</v>
      </c>
      <c r="I1972" s="1" t="s">
        <v>58</v>
      </c>
      <c r="J1972" s="1" t="s">
        <v>70</v>
      </c>
      <c r="K1972" s="1" t="s">
        <v>84</v>
      </c>
      <c r="L1972" s="1" t="s">
        <v>61</v>
      </c>
      <c r="M1972" s="1" t="s">
        <v>50</v>
      </c>
      <c r="N1972" s="1" t="n">
        <v>15999</v>
      </c>
      <c r="O1972" s="1" t="n">
        <v>30</v>
      </c>
      <c r="P1972" s="1" t="n">
        <v>4799.7</v>
      </c>
      <c r="Q1972" s="1" t="n">
        <v>11199.3</v>
      </c>
      <c r="R1972" s="1" t="n">
        <v>2015.87</v>
      </c>
      <c r="S1972" s="1" t="n">
        <v>9183.43</v>
      </c>
      <c r="T1972" s="1" t="n">
        <v>4502.87</v>
      </c>
      <c r="U1972" s="1" t="n">
        <v>4680.56</v>
      </c>
      <c r="V1972" s="1" t="n">
        <v>50.97</v>
      </c>
      <c r="W1972" s="1" t="s">
        <v>39</v>
      </c>
      <c r="Y1972" s="1" t="s">
        <v>40</v>
      </c>
      <c r="Z1972" s="1" t="n">
        <v>0</v>
      </c>
    </row>
    <row r="1973" customFormat="false" ht="15" hidden="false" customHeight="true" outlineLevel="0" collapsed="false">
      <c r="A1973" s="1" t="s">
        <v>2825</v>
      </c>
      <c r="B1973" s="1" t="s">
        <v>2826</v>
      </c>
      <c r="C1973" s="1" t="s">
        <v>65</v>
      </c>
      <c r="D1973" s="1" t="s">
        <v>168</v>
      </c>
      <c r="E1973" s="1" t="s">
        <v>328</v>
      </c>
      <c r="F1973" s="1" t="s">
        <v>194</v>
      </c>
      <c r="G1973" s="1" t="s">
        <v>103</v>
      </c>
      <c r="H1973" s="1" t="s">
        <v>69</v>
      </c>
      <c r="I1973" s="1" t="s">
        <v>34</v>
      </c>
      <c r="J1973" s="1" t="s">
        <v>59</v>
      </c>
      <c r="K1973" s="1" t="s">
        <v>60</v>
      </c>
      <c r="L1973" s="1" t="s">
        <v>85</v>
      </c>
      <c r="M1973" s="1" t="s">
        <v>38</v>
      </c>
      <c r="N1973" s="1" t="n">
        <v>8999</v>
      </c>
      <c r="O1973" s="1" t="n">
        <v>20</v>
      </c>
      <c r="P1973" s="1" t="n">
        <v>1799.8</v>
      </c>
      <c r="Q1973" s="1" t="n">
        <v>7199.2</v>
      </c>
      <c r="R1973" s="1" t="n">
        <v>1295.86</v>
      </c>
      <c r="S1973" s="1" t="n">
        <v>5903.34</v>
      </c>
      <c r="T1973" s="1" t="n">
        <v>2185.94</v>
      </c>
      <c r="U1973" s="1" t="n">
        <v>3717.4</v>
      </c>
      <c r="V1973" s="1" t="n">
        <v>62.97</v>
      </c>
      <c r="W1973" s="1" t="s">
        <v>39</v>
      </c>
      <c r="X1973" s="1" t="n">
        <v>3.2</v>
      </c>
      <c r="Y1973" s="1" t="s">
        <v>40</v>
      </c>
      <c r="Z1973" s="1" t="n">
        <v>0</v>
      </c>
    </row>
    <row r="1974" customFormat="false" ht="15" hidden="false" customHeight="true" outlineLevel="0" collapsed="false">
      <c r="A1974" s="1" t="s">
        <v>2827</v>
      </c>
      <c r="B1974" s="1" t="s">
        <v>1461</v>
      </c>
      <c r="C1974" s="1" t="s">
        <v>65</v>
      </c>
      <c r="D1974" s="1" t="s">
        <v>168</v>
      </c>
      <c r="E1974" s="1" t="s">
        <v>172</v>
      </c>
      <c r="F1974" s="1" t="s">
        <v>194</v>
      </c>
      <c r="G1974" s="1" t="s">
        <v>103</v>
      </c>
      <c r="H1974" s="1" t="s">
        <v>69</v>
      </c>
      <c r="I1974" s="1" t="s">
        <v>34</v>
      </c>
      <c r="J1974" s="1" t="s">
        <v>77</v>
      </c>
      <c r="K1974" s="1" t="s">
        <v>104</v>
      </c>
      <c r="L1974" s="1" t="s">
        <v>136</v>
      </c>
      <c r="M1974" s="1" t="s">
        <v>62</v>
      </c>
      <c r="N1974" s="1" t="n">
        <v>6999</v>
      </c>
      <c r="O1974" s="1" t="n">
        <v>20</v>
      </c>
      <c r="P1974" s="1" t="n">
        <v>1399.8</v>
      </c>
      <c r="Q1974" s="1" t="n">
        <v>5599.2</v>
      </c>
      <c r="R1974" s="1" t="n">
        <v>1007.86</v>
      </c>
      <c r="S1974" s="1" t="n">
        <v>4591.34</v>
      </c>
      <c r="T1974" s="1" t="n">
        <v>1676.52</v>
      </c>
      <c r="U1974" s="1" t="n">
        <v>2914.82</v>
      </c>
      <c r="V1974" s="1" t="n">
        <v>63.49</v>
      </c>
      <c r="W1974" s="1" t="s">
        <v>40</v>
      </c>
      <c r="Y1974" s="1" t="s">
        <v>40</v>
      </c>
      <c r="Z1974" s="1" t="n">
        <v>1</v>
      </c>
    </row>
    <row r="1975" customFormat="false" ht="15" hidden="false" customHeight="true" outlineLevel="0" collapsed="false">
      <c r="A1975" s="1" t="s">
        <v>2828</v>
      </c>
      <c r="B1975" s="1" t="s">
        <v>158</v>
      </c>
      <c r="C1975" s="1" t="s">
        <v>249</v>
      </c>
      <c r="D1975" s="1" t="s">
        <v>80</v>
      </c>
      <c r="E1975" s="1" t="s">
        <v>190</v>
      </c>
      <c r="F1975" s="1" t="s">
        <v>211</v>
      </c>
      <c r="G1975" s="1" t="s">
        <v>56</v>
      </c>
      <c r="H1975" s="1" t="s">
        <v>69</v>
      </c>
      <c r="I1975" s="1" t="s">
        <v>34</v>
      </c>
      <c r="J1975" s="1" t="s">
        <v>70</v>
      </c>
      <c r="K1975" s="1" t="s">
        <v>48</v>
      </c>
      <c r="L1975" s="1" t="s">
        <v>37</v>
      </c>
      <c r="M1975" s="1" t="s">
        <v>38</v>
      </c>
      <c r="N1975" s="1" t="n">
        <v>15999</v>
      </c>
      <c r="O1975" s="1" t="n">
        <v>0</v>
      </c>
      <c r="P1975" s="1" t="n">
        <v>0</v>
      </c>
      <c r="Q1975" s="1" t="n">
        <v>15999</v>
      </c>
      <c r="R1975" s="1" t="n">
        <v>2879.82</v>
      </c>
      <c r="S1975" s="1" t="n">
        <v>13119.18</v>
      </c>
      <c r="T1975" s="1" t="n">
        <v>5616.88</v>
      </c>
      <c r="U1975" s="1" t="n">
        <v>7502.3</v>
      </c>
      <c r="V1975" s="1" t="n">
        <v>57.19</v>
      </c>
      <c r="W1975" s="1" t="s">
        <v>40</v>
      </c>
      <c r="Y1975" s="1" t="s">
        <v>40</v>
      </c>
      <c r="Z1975" s="1" t="n">
        <v>0</v>
      </c>
    </row>
    <row r="1976" customFormat="false" ht="15" hidden="false" customHeight="true" outlineLevel="0" collapsed="false">
      <c r="A1976" s="1" t="s">
        <v>2829</v>
      </c>
      <c r="B1976" s="1" t="s">
        <v>2110</v>
      </c>
      <c r="C1976" s="1" t="s">
        <v>28</v>
      </c>
      <c r="D1976" s="1" t="s">
        <v>94</v>
      </c>
      <c r="E1976" s="1" t="s">
        <v>95</v>
      </c>
      <c r="F1976" s="1" t="s">
        <v>150</v>
      </c>
      <c r="G1976" s="1" t="s">
        <v>32</v>
      </c>
      <c r="H1976" s="1" t="s">
        <v>57</v>
      </c>
      <c r="I1976" s="1" t="s">
        <v>83</v>
      </c>
      <c r="J1976" s="1" t="s">
        <v>35</v>
      </c>
      <c r="K1976" s="1" t="s">
        <v>48</v>
      </c>
      <c r="L1976" s="1" t="s">
        <v>61</v>
      </c>
      <c r="M1976" s="1" t="s">
        <v>62</v>
      </c>
      <c r="N1976" s="1" t="n">
        <v>6999</v>
      </c>
      <c r="O1976" s="1" t="n">
        <v>10</v>
      </c>
      <c r="P1976" s="1" t="n">
        <v>699.9</v>
      </c>
      <c r="Q1976" s="1" t="n">
        <v>6299.1</v>
      </c>
      <c r="R1976" s="1" t="n">
        <v>1133.84</v>
      </c>
      <c r="S1976" s="1" t="n">
        <v>5165.26</v>
      </c>
      <c r="T1976" s="1" t="n">
        <v>2309.5</v>
      </c>
      <c r="U1976" s="1" t="n">
        <v>2855.76</v>
      </c>
      <c r="V1976" s="1" t="n">
        <v>55.29</v>
      </c>
      <c r="W1976" s="1" t="s">
        <v>40</v>
      </c>
      <c r="Y1976" s="1" t="s">
        <v>40</v>
      </c>
      <c r="Z1976" s="1" t="n">
        <v>3</v>
      </c>
    </row>
    <row r="1977" customFormat="false" ht="15" hidden="false" customHeight="true" outlineLevel="0" collapsed="false">
      <c r="A1977" s="1" t="s">
        <v>2830</v>
      </c>
      <c r="B1977" s="1" t="s">
        <v>1644</v>
      </c>
      <c r="C1977" s="1" t="s">
        <v>93</v>
      </c>
      <c r="D1977" s="1" t="s">
        <v>44</v>
      </c>
      <c r="E1977" s="1" t="s">
        <v>221</v>
      </c>
      <c r="F1977" s="1" t="s">
        <v>55</v>
      </c>
      <c r="G1977" s="1" t="s">
        <v>56</v>
      </c>
      <c r="H1977" s="1" t="s">
        <v>57</v>
      </c>
      <c r="I1977" s="1" t="s">
        <v>34</v>
      </c>
      <c r="J1977" s="1" t="s">
        <v>77</v>
      </c>
      <c r="K1977" s="1" t="s">
        <v>90</v>
      </c>
      <c r="L1977" s="1" t="s">
        <v>136</v>
      </c>
      <c r="M1977" s="1" t="s">
        <v>38</v>
      </c>
      <c r="N1977" s="1" t="n">
        <v>16999</v>
      </c>
      <c r="O1977" s="1" t="n">
        <v>50</v>
      </c>
      <c r="P1977" s="1" t="n">
        <v>8499.5</v>
      </c>
      <c r="Q1977" s="1" t="n">
        <v>8499.5</v>
      </c>
      <c r="R1977" s="1" t="n">
        <v>1529.91</v>
      </c>
      <c r="S1977" s="1" t="n">
        <v>6969.59</v>
      </c>
      <c r="T1977" s="1" t="n">
        <v>4269.79</v>
      </c>
      <c r="U1977" s="1" t="n">
        <v>2699.8</v>
      </c>
      <c r="V1977" s="1" t="n">
        <v>38.74</v>
      </c>
      <c r="W1977" s="1" t="s">
        <v>40</v>
      </c>
      <c r="Y1977" s="1" t="s">
        <v>40</v>
      </c>
      <c r="Z1977" s="1" t="n">
        <v>4</v>
      </c>
    </row>
    <row r="1978" customFormat="false" ht="15" hidden="false" customHeight="true" outlineLevel="0" collapsed="false">
      <c r="A1978" s="1" t="s">
        <v>2831</v>
      </c>
      <c r="B1978" s="1" t="s">
        <v>1337</v>
      </c>
      <c r="C1978" s="1" t="s">
        <v>74</v>
      </c>
      <c r="D1978" s="1" t="s">
        <v>29</v>
      </c>
      <c r="E1978" s="1" t="s">
        <v>129</v>
      </c>
      <c r="F1978" s="1" t="s">
        <v>102</v>
      </c>
      <c r="G1978" s="1" t="s">
        <v>103</v>
      </c>
      <c r="H1978" s="1" t="s">
        <v>33</v>
      </c>
      <c r="I1978" s="1" t="s">
        <v>83</v>
      </c>
      <c r="J1978" s="1" t="s">
        <v>35</v>
      </c>
      <c r="K1978" s="1" t="s">
        <v>90</v>
      </c>
      <c r="L1978" s="1" t="s">
        <v>136</v>
      </c>
      <c r="M1978" s="1" t="s">
        <v>50</v>
      </c>
      <c r="N1978" s="1" t="n">
        <v>29999</v>
      </c>
      <c r="O1978" s="1" t="n">
        <v>5</v>
      </c>
      <c r="P1978" s="1" t="n">
        <v>1499.95</v>
      </c>
      <c r="Q1978" s="1" t="n">
        <v>28499.05</v>
      </c>
      <c r="R1978" s="1" t="n">
        <v>5129.83</v>
      </c>
      <c r="S1978" s="1" t="n">
        <v>23369.22</v>
      </c>
      <c r="T1978" s="1" t="n">
        <v>9006.09</v>
      </c>
      <c r="U1978" s="1" t="n">
        <v>14363.13</v>
      </c>
      <c r="V1978" s="1" t="n">
        <v>61.46</v>
      </c>
      <c r="W1978" s="1" t="s">
        <v>40</v>
      </c>
      <c r="Y1978" s="1" t="s">
        <v>40</v>
      </c>
      <c r="Z1978" s="1" t="n">
        <v>1</v>
      </c>
    </row>
    <row r="1979" customFormat="false" ht="15" hidden="false" customHeight="true" outlineLevel="0" collapsed="false">
      <c r="A1979" s="1" t="s">
        <v>2832</v>
      </c>
      <c r="B1979" s="1" t="s">
        <v>692</v>
      </c>
      <c r="C1979" s="1" t="s">
        <v>93</v>
      </c>
      <c r="D1979" s="1" t="s">
        <v>94</v>
      </c>
      <c r="E1979" s="1" t="s">
        <v>95</v>
      </c>
      <c r="F1979" s="1" t="s">
        <v>194</v>
      </c>
      <c r="G1979" s="1" t="s">
        <v>103</v>
      </c>
      <c r="H1979" s="1" t="s">
        <v>69</v>
      </c>
      <c r="I1979" s="1" t="s">
        <v>58</v>
      </c>
      <c r="J1979" s="1" t="s">
        <v>131</v>
      </c>
      <c r="K1979" s="1" t="s">
        <v>48</v>
      </c>
      <c r="L1979" s="1" t="s">
        <v>136</v>
      </c>
      <c r="M1979" s="1" t="s">
        <v>62</v>
      </c>
      <c r="N1979" s="1" t="n">
        <v>6999</v>
      </c>
      <c r="O1979" s="1" t="n">
        <v>50</v>
      </c>
      <c r="P1979" s="1" t="n">
        <v>3499.5</v>
      </c>
      <c r="Q1979" s="1" t="n">
        <v>3499.5</v>
      </c>
      <c r="R1979" s="1" t="n">
        <v>629.91</v>
      </c>
      <c r="S1979" s="1" t="n">
        <v>2869.59</v>
      </c>
      <c r="T1979" s="1" t="n">
        <v>1452.42</v>
      </c>
      <c r="U1979" s="1" t="n">
        <v>1417.17</v>
      </c>
      <c r="V1979" s="1" t="n">
        <v>49.39</v>
      </c>
      <c r="W1979" s="1" t="s">
        <v>39</v>
      </c>
      <c r="X1979" s="1" t="n">
        <v>3.6</v>
      </c>
      <c r="Y1979" s="1" t="s">
        <v>40</v>
      </c>
      <c r="Z1979" s="1" t="n">
        <v>0</v>
      </c>
    </row>
    <row r="1980" customFormat="false" ht="15" hidden="false" customHeight="true" outlineLevel="0" collapsed="false">
      <c r="A1980" s="1" t="s">
        <v>2833</v>
      </c>
      <c r="B1980" s="1" t="s">
        <v>1688</v>
      </c>
      <c r="C1980" s="1" t="s">
        <v>249</v>
      </c>
      <c r="D1980" s="1" t="s">
        <v>94</v>
      </c>
      <c r="E1980" s="1" t="s">
        <v>135</v>
      </c>
      <c r="F1980" s="1" t="s">
        <v>31</v>
      </c>
      <c r="G1980" s="1" t="s">
        <v>32</v>
      </c>
      <c r="H1980" s="1" t="s">
        <v>33</v>
      </c>
      <c r="I1980" s="1" t="s">
        <v>83</v>
      </c>
      <c r="J1980" s="1" t="s">
        <v>77</v>
      </c>
      <c r="K1980" s="1" t="s">
        <v>112</v>
      </c>
      <c r="L1980" s="1" t="s">
        <v>113</v>
      </c>
      <c r="M1980" s="1" t="s">
        <v>50</v>
      </c>
      <c r="N1980" s="1" t="n">
        <v>9999</v>
      </c>
      <c r="O1980" s="1" t="n">
        <v>30</v>
      </c>
      <c r="P1980" s="1" t="n">
        <v>2999.7</v>
      </c>
      <c r="Q1980" s="1" t="n">
        <v>6999.3</v>
      </c>
      <c r="R1980" s="1" t="n">
        <v>1259.87</v>
      </c>
      <c r="S1980" s="1" t="n">
        <v>5739.43</v>
      </c>
      <c r="T1980" s="1" t="n">
        <v>2223.91</v>
      </c>
      <c r="U1980" s="1" t="n">
        <v>3515.52</v>
      </c>
      <c r="V1980" s="1" t="n">
        <v>61.25</v>
      </c>
      <c r="W1980" s="1" t="s">
        <v>39</v>
      </c>
      <c r="Y1980" s="1" t="s">
        <v>40</v>
      </c>
      <c r="Z1980" s="1" t="n">
        <v>0</v>
      </c>
    </row>
    <row r="1981" customFormat="false" ht="15" hidden="false" customHeight="true" outlineLevel="0" collapsed="false">
      <c r="A1981" s="1" t="s">
        <v>2834</v>
      </c>
      <c r="B1981" s="1" t="s">
        <v>441</v>
      </c>
      <c r="C1981" s="1" t="s">
        <v>242</v>
      </c>
      <c r="D1981" s="1" t="s">
        <v>29</v>
      </c>
      <c r="E1981" s="1" t="s">
        <v>305</v>
      </c>
      <c r="F1981" s="1" t="s">
        <v>75</v>
      </c>
      <c r="G1981" s="1" t="s">
        <v>76</v>
      </c>
      <c r="H1981" s="1" t="s">
        <v>69</v>
      </c>
      <c r="I1981" s="1" t="s">
        <v>58</v>
      </c>
      <c r="J1981" s="1" t="s">
        <v>70</v>
      </c>
      <c r="K1981" s="1" t="s">
        <v>84</v>
      </c>
      <c r="L1981" s="1" t="s">
        <v>85</v>
      </c>
      <c r="M1981" s="1" t="s">
        <v>62</v>
      </c>
      <c r="N1981" s="1" t="n">
        <v>24999</v>
      </c>
      <c r="O1981" s="1" t="n">
        <v>0</v>
      </c>
      <c r="P1981" s="1" t="n">
        <v>0</v>
      </c>
      <c r="Q1981" s="1" t="n">
        <v>24999</v>
      </c>
      <c r="R1981" s="1" t="n">
        <v>4499.82</v>
      </c>
      <c r="S1981" s="1" t="n">
        <v>20499.18</v>
      </c>
      <c r="T1981" s="1" t="n">
        <v>5651.97</v>
      </c>
      <c r="U1981" s="1" t="n">
        <v>14847.21</v>
      </c>
      <c r="V1981" s="1" t="n">
        <v>72.43</v>
      </c>
      <c r="W1981" s="1" t="s">
        <v>39</v>
      </c>
      <c r="Y1981" s="1" t="s">
        <v>40</v>
      </c>
      <c r="Z1981" s="1" t="n">
        <v>1</v>
      </c>
    </row>
    <row r="1982" customFormat="false" ht="15" hidden="false" customHeight="true" outlineLevel="0" collapsed="false">
      <c r="A1982" s="1" t="s">
        <v>2835</v>
      </c>
      <c r="B1982" s="1" t="s">
        <v>1543</v>
      </c>
      <c r="C1982" s="1" t="s">
        <v>74</v>
      </c>
      <c r="D1982" s="1" t="s">
        <v>80</v>
      </c>
      <c r="E1982" s="1" t="s">
        <v>190</v>
      </c>
      <c r="F1982" s="1" t="s">
        <v>55</v>
      </c>
      <c r="G1982" s="1" t="s">
        <v>56</v>
      </c>
      <c r="H1982" s="1" t="s">
        <v>57</v>
      </c>
      <c r="I1982" s="1" t="s">
        <v>34</v>
      </c>
      <c r="J1982" s="1" t="s">
        <v>77</v>
      </c>
      <c r="K1982" s="1" t="s">
        <v>84</v>
      </c>
      <c r="L1982" s="1" t="s">
        <v>85</v>
      </c>
      <c r="M1982" s="1" t="s">
        <v>62</v>
      </c>
      <c r="N1982" s="1" t="n">
        <v>15999</v>
      </c>
      <c r="O1982" s="1" t="n">
        <v>30</v>
      </c>
      <c r="P1982" s="1" t="n">
        <v>4799.7</v>
      </c>
      <c r="Q1982" s="1" t="n">
        <v>11199.3</v>
      </c>
      <c r="R1982" s="1" t="n">
        <v>2015.87</v>
      </c>
      <c r="S1982" s="1" t="n">
        <v>9183.43</v>
      </c>
      <c r="T1982" s="1" t="n">
        <v>4413.68</v>
      </c>
      <c r="U1982" s="1" t="n">
        <v>4769.75</v>
      </c>
      <c r="V1982" s="1" t="n">
        <v>51.94</v>
      </c>
      <c r="W1982" s="1" t="s">
        <v>40</v>
      </c>
      <c r="Y1982" s="1" t="s">
        <v>39</v>
      </c>
      <c r="Z1982" s="1" t="n">
        <v>1</v>
      </c>
    </row>
    <row r="1983" customFormat="false" ht="15" hidden="false" customHeight="true" outlineLevel="0" collapsed="false">
      <c r="A1983" s="1" t="s">
        <v>2836</v>
      </c>
      <c r="B1983" s="1" t="s">
        <v>1118</v>
      </c>
      <c r="C1983" s="1" t="s">
        <v>139</v>
      </c>
      <c r="D1983" s="1" t="s">
        <v>168</v>
      </c>
      <c r="E1983" s="1" t="s">
        <v>172</v>
      </c>
      <c r="F1983" s="1" t="s">
        <v>211</v>
      </c>
      <c r="G1983" s="1" t="s">
        <v>56</v>
      </c>
      <c r="H1983" s="1" t="s">
        <v>69</v>
      </c>
      <c r="I1983" s="1" t="s">
        <v>34</v>
      </c>
      <c r="J1983" s="1" t="s">
        <v>59</v>
      </c>
      <c r="K1983" s="1" t="s">
        <v>112</v>
      </c>
      <c r="L1983" s="1" t="s">
        <v>136</v>
      </c>
      <c r="M1983" s="1" t="s">
        <v>38</v>
      </c>
      <c r="N1983" s="1" t="n">
        <v>6999</v>
      </c>
      <c r="O1983" s="1" t="n">
        <v>15</v>
      </c>
      <c r="P1983" s="1" t="n">
        <v>1049.85</v>
      </c>
      <c r="Q1983" s="1" t="n">
        <v>5949.15</v>
      </c>
      <c r="R1983" s="1" t="n">
        <v>1070.85</v>
      </c>
      <c r="S1983" s="1" t="n">
        <v>4878.3</v>
      </c>
      <c r="T1983" s="1" t="n">
        <v>2171.24</v>
      </c>
      <c r="U1983" s="1" t="n">
        <v>2707.06</v>
      </c>
      <c r="V1983" s="1" t="n">
        <v>55.49</v>
      </c>
      <c r="W1983" s="1" t="s">
        <v>39</v>
      </c>
      <c r="X1983" s="1" t="n">
        <v>4.5</v>
      </c>
      <c r="Y1983" s="1" t="s">
        <v>40</v>
      </c>
      <c r="Z1983" s="1" t="n">
        <v>0</v>
      </c>
    </row>
    <row r="1984" customFormat="false" ht="15" hidden="false" customHeight="true" outlineLevel="0" collapsed="false">
      <c r="A1984" s="1" t="s">
        <v>2837</v>
      </c>
      <c r="B1984" s="1" t="s">
        <v>1036</v>
      </c>
      <c r="C1984" s="1" t="s">
        <v>100</v>
      </c>
      <c r="D1984" s="1" t="s">
        <v>29</v>
      </c>
      <c r="E1984" s="1" t="s">
        <v>305</v>
      </c>
      <c r="F1984" s="1" t="s">
        <v>187</v>
      </c>
      <c r="G1984" s="1" t="s">
        <v>97</v>
      </c>
      <c r="H1984" s="1" t="s">
        <v>69</v>
      </c>
      <c r="I1984" s="1" t="s">
        <v>83</v>
      </c>
      <c r="J1984" s="1" t="s">
        <v>131</v>
      </c>
      <c r="K1984" s="1" t="s">
        <v>112</v>
      </c>
      <c r="L1984" s="1" t="s">
        <v>49</v>
      </c>
      <c r="M1984" s="1" t="s">
        <v>62</v>
      </c>
      <c r="N1984" s="1" t="n">
        <v>24999</v>
      </c>
      <c r="O1984" s="1" t="n">
        <v>15</v>
      </c>
      <c r="P1984" s="1" t="n">
        <v>3749.85</v>
      </c>
      <c r="Q1984" s="1" t="n">
        <v>21249.15</v>
      </c>
      <c r="R1984" s="1" t="n">
        <v>3824.85</v>
      </c>
      <c r="S1984" s="1" t="n">
        <v>17424.3</v>
      </c>
      <c r="T1984" s="1" t="n">
        <v>5481.46</v>
      </c>
      <c r="U1984" s="1" t="n">
        <v>11942.84</v>
      </c>
      <c r="V1984" s="1" t="n">
        <v>68.54</v>
      </c>
      <c r="W1984" s="1" t="s">
        <v>39</v>
      </c>
      <c r="X1984" s="1" t="n">
        <v>3.6</v>
      </c>
      <c r="Y1984" s="1" t="s">
        <v>40</v>
      </c>
      <c r="Z1984" s="1" t="n">
        <v>0</v>
      </c>
    </row>
    <row r="1985" customFormat="false" ht="15" hidden="false" customHeight="true" outlineLevel="0" collapsed="false">
      <c r="A1985" s="1" t="s">
        <v>2838</v>
      </c>
      <c r="B1985" s="1" t="s">
        <v>959</v>
      </c>
      <c r="C1985" s="1" t="s">
        <v>264</v>
      </c>
      <c r="D1985" s="1" t="s">
        <v>53</v>
      </c>
      <c r="E1985" s="1" t="s">
        <v>216</v>
      </c>
      <c r="F1985" s="1" t="s">
        <v>211</v>
      </c>
      <c r="G1985" s="1" t="s">
        <v>56</v>
      </c>
      <c r="H1985" s="1" t="s">
        <v>69</v>
      </c>
      <c r="I1985" s="1" t="s">
        <v>83</v>
      </c>
      <c r="J1985" s="1" t="s">
        <v>77</v>
      </c>
      <c r="K1985" s="1" t="s">
        <v>60</v>
      </c>
      <c r="L1985" s="1" t="s">
        <v>49</v>
      </c>
      <c r="M1985" s="1" t="s">
        <v>62</v>
      </c>
      <c r="N1985" s="1" t="n">
        <v>7499</v>
      </c>
      <c r="O1985" s="1" t="n">
        <v>10</v>
      </c>
      <c r="P1985" s="1" t="n">
        <v>749.9</v>
      </c>
      <c r="Q1985" s="1" t="n">
        <v>6749.1</v>
      </c>
      <c r="R1985" s="1" t="n">
        <v>1214.84</v>
      </c>
      <c r="S1985" s="1" t="n">
        <v>5534.26</v>
      </c>
      <c r="T1985" s="1" t="n">
        <v>2254.24</v>
      </c>
      <c r="U1985" s="1" t="n">
        <v>3280.02</v>
      </c>
      <c r="V1985" s="1" t="n">
        <v>59.27</v>
      </c>
      <c r="W1985" s="1" t="s">
        <v>39</v>
      </c>
      <c r="X1985" s="1" t="n">
        <v>4.1</v>
      </c>
      <c r="Y1985" s="1" t="s">
        <v>40</v>
      </c>
      <c r="Z1985" s="1" t="n">
        <v>0</v>
      </c>
    </row>
    <row r="1986" customFormat="false" ht="15" hidden="false" customHeight="true" outlineLevel="0" collapsed="false">
      <c r="A1986" s="1" t="s">
        <v>2839</v>
      </c>
      <c r="B1986" s="1" t="s">
        <v>164</v>
      </c>
      <c r="C1986" s="1" t="s">
        <v>65</v>
      </c>
      <c r="D1986" s="1" t="s">
        <v>80</v>
      </c>
      <c r="E1986" s="1" t="s">
        <v>81</v>
      </c>
      <c r="F1986" s="1" t="s">
        <v>107</v>
      </c>
      <c r="G1986" s="1" t="s">
        <v>108</v>
      </c>
      <c r="H1986" s="1" t="s">
        <v>33</v>
      </c>
      <c r="I1986" s="1" t="s">
        <v>34</v>
      </c>
      <c r="J1986" s="1" t="s">
        <v>59</v>
      </c>
      <c r="K1986" s="1" t="s">
        <v>84</v>
      </c>
      <c r="L1986" s="1" t="s">
        <v>49</v>
      </c>
      <c r="M1986" s="1" t="s">
        <v>38</v>
      </c>
      <c r="N1986" s="1" t="n">
        <v>12999</v>
      </c>
      <c r="O1986" s="1" t="n">
        <v>30</v>
      </c>
      <c r="P1986" s="1" t="n">
        <v>3899.7</v>
      </c>
      <c r="Q1986" s="1" t="n">
        <v>9099.3</v>
      </c>
      <c r="R1986" s="1" t="n">
        <v>1637.87</v>
      </c>
      <c r="S1986" s="1" t="n">
        <v>7461.43</v>
      </c>
      <c r="T1986" s="1" t="n">
        <v>3149.66</v>
      </c>
      <c r="U1986" s="1" t="n">
        <v>4311.77</v>
      </c>
      <c r="V1986" s="1" t="n">
        <v>57.79</v>
      </c>
      <c r="W1986" s="1" t="s">
        <v>40</v>
      </c>
      <c r="Y1986" s="1" t="s">
        <v>40</v>
      </c>
      <c r="Z1986" s="1" t="n">
        <v>1</v>
      </c>
    </row>
    <row r="1987" customFormat="false" ht="15" hidden="false" customHeight="true" outlineLevel="0" collapsed="false">
      <c r="A1987" s="1" t="s">
        <v>2840</v>
      </c>
      <c r="B1987" s="1" t="s">
        <v>2086</v>
      </c>
      <c r="C1987" s="1" t="s">
        <v>100</v>
      </c>
      <c r="D1987" s="1" t="s">
        <v>143</v>
      </c>
      <c r="E1987" s="1" t="s">
        <v>144</v>
      </c>
      <c r="F1987" s="1" t="s">
        <v>140</v>
      </c>
      <c r="G1987" s="1" t="s">
        <v>97</v>
      </c>
      <c r="H1987" s="1" t="s">
        <v>57</v>
      </c>
      <c r="I1987" s="1" t="s">
        <v>83</v>
      </c>
      <c r="J1987" s="1" t="s">
        <v>131</v>
      </c>
      <c r="K1987" s="1" t="s">
        <v>112</v>
      </c>
      <c r="L1987" s="1" t="s">
        <v>61</v>
      </c>
      <c r="M1987" s="1" t="s">
        <v>62</v>
      </c>
      <c r="N1987" s="1" t="n">
        <v>12999</v>
      </c>
      <c r="O1987" s="1" t="n">
        <v>50</v>
      </c>
      <c r="P1987" s="1" t="n">
        <v>6499.5</v>
      </c>
      <c r="Q1987" s="1" t="n">
        <v>6499.5</v>
      </c>
      <c r="R1987" s="1" t="n">
        <v>1169.91</v>
      </c>
      <c r="S1987" s="1" t="n">
        <v>5329.59</v>
      </c>
      <c r="T1987" s="1" t="n">
        <v>3275.93</v>
      </c>
      <c r="U1987" s="1" t="n">
        <v>2053.66</v>
      </c>
      <c r="V1987" s="1" t="n">
        <v>38.53</v>
      </c>
      <c r="W1987" s="1" t="s">
        <v>39</v>
      </c>
      <c r="X1987" s="1" t="n">
        <v>3.8</v>
      </c>
      <c r="Y1987" s="1" t="s">
        <v>40</v>
      </c>
      <c r="Z1987" s="1" t="n">
        <v>0</v>
      </c>
    </row>
    <row r="1988" customFormat="false" ht="15" hidden="false" customHeight="true" outlineLevel="0" collapsed="false">
      <c r="A1988" s="1" t="s">
        <v>2841</v>
      </c>
      <c r="B1988" s="1" t="s">
        <v>1318</v>
      </c>
      <c r="C1988" s="1" t="s">
        <v>74</v>
      </c>
      <c r="D1988" s="1" t="s">
        <v>94</v>
      </c>
      <c r="E1988" s="1" t="s">
        <v>135</v>
      </c>
      <c r="F1988" s="1" t="s">
        <v>156</v>
      </c>
      <c r="G1988" s="1" t="s">
        <v>68</v>
      </c>
      <c r="H1988" s="1" t="s">
        <v>57</v>
      </c>
      <c r="I1988" s="1" t="s">
        <v>34</v>
      </c>
      <c r="J1988" s="1" t="s">
        <v>77</v>
      </c>
      <c r="K1988" s="1" t="s">
        <v>90</v>
      </c>
      <c r="L1988" s="1" t="s">
        <v>49</v>
      </c>
      <c r="M1988" s="1" t="s">
        <v>38</v>
      </c>
      <c r="N1988" s="1" t="n">
        <v>9999</v>
      </c>
      <c r="O1988" s="1" t="n">
        <v>0</v>
      </c>
      <c r="P1988" s="1" t="n">
        <v>0</v>
      </c>
      <c r="Q1988" s="1" t="n">
        <v>9999</v>
      </c>
      <c r="R1988" s="1" t="n">
        <v>1799.82</v>
      </c>
      <c r="S1988" s="1" t="n">
        <v>8199.18</v>
      </c>
      <c r="T1988" s="1" t="n">
        <v>4142.85</v>
      </c>
      <c r="U1988" s="1" t="n">
        <v>4056.33</v>
      </c>
      <c r="V1988" s="1" t="n">
        <v>49.47</v>
      </c>
      <c r="W1988" s="1" t="s">
        <v>39</v>
      </c>
      <c r="X1988" s="1" t="n">
        <v>4</v>
      </c>
      <c r="Y1988" s="1" t="s">
        <v>40</v>
      </c>
      <c r="Z1988" s="1" t="n">
        <v>0</v>
      </c>
    </row>
    <row r="1989" customFormat="false" ht="15" hidden="false" customHeight="true" outlineLevel="0" collapsed="false">
      <c r="A1989" s="1" t="s">
        <v>2842</v>
      </c>
      <c r="B1989" s="1" t="s">
        <v>583</v>
      </c>
      <c r="C1989" s="1" t="s">
        <v>178</v>
      </c>
      <c r="D1989" s="1" t="s">
        <v>123</v>
      </c>
      <c r="E1989" s="1" t="s">
        <v>124</v>
      </c>
      <c r="F1989" s="1" t="s">
        <v>269</v>
      </c>
      <c r="G1989" s="1" t="s">
        <v>108</v>
      </c>
      <c r="H1989" s="1" t="s">
        <v>57</v>
      </c>
      <c r="I1989" s="1" t="s">
        <v>58</v>
      </c>
      <c r="J1989" s="1" t="s">
        <v>35</v>
      </c>
      <c r="K1989" s="1" t="s">
        <v>84</v>
      </c>
      <c r="L1989" s="1" t="s">
        <v>136</v>
      </c>
      <c r="M1989" s="1" t="s">
        <v>50</v>
      </c>
      <c r="N1989" s="1" t="n">
        <v>4999</v>
      </c>
      <c r="O1989" s="1" t="n">
        <v>10</v>
      </c>
      <c r="P1989" s="1" t="n">
        <v>499.9</v>
      </c>
      <c r="Q1989" s="1" t="n">
        <v>4499.1</v>
      </c>
      <c r="R1989" s="1" t="n">
        <v>809.84</v>
      </c>
      <c r="S1989" s="1" t="n">
        <v>3689.26</v>
      </c>
      <c r="T1989" s="1" t="n">
        <v>1780.71</v>
      </c>
      <c r="U1989" s="1" t="n">
        <v>1908.55</v>
      </c>
      <c r="V1989" s="1" t="n">
        <v>51.73</v>
      </c>
      <c r="W1989" s="1" t="s">
        <v>39</v>
      </c>
      <c r="X1989" s="1" t="n">
        <v>4.3</v>
      </c>
      <c r="Y1989" s="1" t="s">
        <v>40</v>
      </c>
      <c r="Z1989" s="1" t="n">
        <v>0</v>
      </c>
    </row>
    <row r="1990" customFormat="false" ht="15" hidden="false" customHeight="true" outlineLevel="0" collapsed="false">
      <c r="A1990" s="1" t="s">
        <v>2843</v>
      </c>
      <c r="B1990" s="1" t="s">
        <v>1170</v>
      </c>
      <c r="C1990" s="1" t="s">
        <v>134</v>
      </c>
      <c r="D1990" s="1" t="s">
        <v>123</v>
      </c>
      <c r="E1990" s="1" t="s">
        <v>233</v>
      </c>
      <c r="F1990" s="1" t="s">
        <v>107</v>
      </c>
      <c r="G1990" s="1" t="s">
        <v>108</v>
      </c>
      <c r="H1990" s="1" t="s">
        <v>33</v>
      </c>
      <c r="I1990" s="1" t="s">
        <v>83</v>
      </c>
      <c r="J1990" s="1" t="s">
        <v>77</v>
      </c>
      <c r="K1990" s="1" t="s">
        <v>104</v>
      </c>
      <c r="L1990" s="1" t="s">
        <v>113</v>
      </c>
      <c r="M1990" s="1" t="s">
        <v>38</v>
      </c>
      <c r="N1990" s="1" t="n">
        <v>8999</v>
      </c>
      <c r="O1990" s="1" t="n">
        <v>5</v>
      </c>
      <c r="P1990" s="1" t="n">
        <v>449.95</v>
      </c>
      <c r="Q1990" s="1" t="n">
        <v>8549.05</v>
      </c>
      <c r="R1990" s="1" t="n">
        <v>1538.83</v>
      </c>
      <c r="S1990" s="1" t="n">
        <v>7010.22</v>
      </c>
      <c r="T1990" s="1" t="n">
        <v>4053.89</v>
      </c>
      <c r="U1990" s="1" t="n">
        <v>2956.33</v>
      </c>
      <c r="V1990" s="1" t="n">
        <v>42.17</v>
      </c>
      <c r="W1990" s="1" t="s">
        <v>40</v>
      </c>
      <c r="Y1990" s="1" t="s">
        <v>40</v>
      </c>
      <c r="Z1990" s="1" t="n">
        <v>0</v>
      </c>
    </row>
    <row r="1991" customFormat="false" ht="15" hidden="false" customHeight="true" outlineLevel="0" collapsed="false">
      <c r="A1991" s="1" t="s">
        <v>2844</v>
      </c>
      <c r="B1991" s="1" t="s">
        <v>1339</v>
      </c>
      <c r="C1991" s="1" t="s">
        <v>100</v>
      </c>
      <c r="D1991" s="1" t="s">
        <v>94</v>
      </c>
      <c r="E1991" s="1" t="s">
        <v>95</v>
      </c>
      <c r="F1991" s="1" t="s">
        <v>46</v>
      </c>
      <c r="G1991" s="1" t="s">
        <v>47</v>
      </c>
      <c r="H1991" s="1" t="s">
        <v>33</v>
      </c>
      <c r="I1991" s="1" t="s">
        <v>83</v>
      </c>
      <c r="J1991" s="1" t="s">
        <v>70</v>
      </c>
      <c r="K1991" s="1" t="s">
        <v>90</v>
      </c>
      <c r="L1991" s="1" t="s">
        <v>49</v>
      </c>
      <c r="M1991" s="1" t="s">
        <v>50</v>
      </c>
      <c r="N1991" s="1" t="n">
        <v>6999</v>
      </c>
      <c r="O1991" s="1" t="n">
        <v>5</v>
      </c>
      <c r="P1991" s="1" t="n">
        <v>349.95</v>
      </c>
      <c r="Q1991" s="1" t="n">
        <v>6649.05</v>
      </c>
      <c r="R1991" s="1" t="n">
        <v>1196.83</v>
      </c>
      <c r="S1991" s="1" t="n">
        <v>5452.22</v>
      </c>
      <c r="T1991" s="1" t="n">
        <v>2432.45</v>
      </c>
      <c r="U1991" s="1" t="n">
        <v>3019.77</v>
      </c>
      <c r="V1991" s="1" t="n">
        <v>55.39</v>
      </c>
      <c r="W1991" s="1" t="s">
        <v>39</v>
      </c>
      <c r="X1991" s="1" t="n">
        <v>3.6</v>
      </c>
      <c r="Y1991" s="1" t="s">
        <v>40</v>
      </c>
      <c r="Z1991" s="1" t="n">
        <v>1</v>
      </c>
    </row>
    <row r="1992" customFormat="false" ht="15" hidden="false" customHeight="true" outlineLevel="0" collapsed="false">
      <c r="A1992" s="1" t="s">
        <v>2845</v>
      </c>
      <c r="B1992" s="1" t="s">
        <v>2846</v>
      </c>
      <c r="C1992" s="1" t="s">
        <v>74</v>
      </c>
      <c r="D1992" s="1" t="s">
        <v>29</v>
      </c>
      <c r="E1992" s="1" t="s">
        <v>129</v>
      </c>
      <c r="F1992" s="1" t="s">
        <v>89</v>
      </c>
      <c r="G1992" s="1" t="s">
        <v>68</v>
      </c>
      <c r="H1992" s="1" t="s">
        <v>33</v>
      </c>
      <c r="I1992" s="1" t="s">
        <v>34</v>
      </c>
      <c r="J1992" s="1" t="s">
        <v>70</v>
      </c>
      <c r="K1992" s="1" t="s">
        <v>48</v>
      </c>
      <c r="L1992" s="1" t="s">
        <v>113</v>
      </c>
      <c r="M1992" s="1" t="s">
        <v>50</v>
      </c>
      <c r="N1992" s="1" t="n">
        <v>29999</v>
      </c>
      <c r="O1992" s="1" t="n">
        <v>30</v>
      </c>
      <c r="P1992" s="1" t="n">
        <v>8999.7</v>
      </c>
      <c r="Q1992" s="1" t="n">
        <v>20999.3</v>
      </c>
      <c r="R1992" s="1" t="n">
        <v>3779.87</v>
      </c>
      <c r="S1992" s="1" t="n">
        <v>17219.43</v>
      </c>
      <c r="T1992" s="1" t="n">
        <v>7126.51</v>
      </c>
      <c r="U1992" s="1" t="n">
        <v>10092.92</v>
      </c>
      <c r="V1992" s="1" t="n">
        <v>58.61</v>
      </c>
      <c r="W1992" s="1" t="s">
        <v>39</v>
      </c>
      <c r="X1992" s="1" t="n">
        <v>3.4</v>
      </c>
      <c r="Y1992" s="1" t="s">
        <v>40</v>
      </c>
      <c r="Z1992" s="1" t="n">
        <v>0</v>
      </c>
    </row>
    <row r="1993" customFormat="false" ht="15" hidden="false" customHeight="true" outlineLevel="0" collapsed="false">
      <c r="A1993" s="1" t="s">
        <v>2847</v>
      </c>
      <c r="B1993" s="1" t="s">
        <v>965</v>
      </c>
      <c r="C1993" s="1" t="s">
        <v>74</v>
      </c>
      <c r="D1993" s="1" t="s">
        <v>80</v>
      </c>
      <c r="E1993" s="1" t="s">
        <v>81</v>
      </c>
      <c r="F1993" s="1" t="s">
        <v>89</v>
      </c>
      <c r="G1993" s="1" t="s">
        <v>68</v>
      </c>
      <c r="H1993" s="1" t="s">
        <v>33</v>
      </c>
      <c r="I1993" s="1" t="s">
        <v>34</v>
      </c>
      <c r="J1993" s="1" t="s">
        <v>77</v>
      </c>
      <c r="K1993" s="1" t="s">
        <v>48</v>
      </c>
      <c r="L1993" s="1" t="s">
        <v>49</v>
      </c>
      <c r="M1993" s="1" t="s">
        <v>62</v>
      </c>
      <c r="N1993" s="1" t="n">
        <v>12999</v>
      </c>
      <c r="O1993" s="1" t="n">
        <v>10</v>
      </c>
      <c r="P1993" s="1" t="n">
        <v>1299.9</v>
      </c>
      <c r="Q1993" s="1" t="n">
        <v>11699.1</v>
      </c>
      <c r="R1993" s="1" t="n">
        <v>2105.84</v>
      </c>
      <c r="S1993" s="1" t="n">
        <v>9593.26</v>
      </c>
      <c r="T1993" s="1" t="n">
        <v>4080.42</v>
      </c>
      <c r="U1993" s="1" t="n">
        <v>5512.84</v>
      </c>
      <c r="V1993" s="1" t="n">
        <v>57.47</v>
      </c>
      <c r="W1993" s="1" t="s">
        <v>39</v>
      </c>
      <c r="X1993" s="1" t="n">
        <v>4.1</v>
      </c>
      <c r="Y1993" s="1" t="s">
        <v>40</v>
      </c>
      <c r="Z1993" s="1" t="n">
        <v>1</v>
      </c>
    </row>
    <row r="1994" customFormat="false" ht="15" hidden="false" customHeight="true" outlineLevel="0" collapsed="false">
      <c r="A1994" s="1" t="s">
        <v>2848</v>
      </c>
      <c r="B1994" s="1" t="s">
        <v>732</v>
      </c>
      <c r="C1994" s="1" t="s">
        <v>134</v>
      </c>
      <c r="D1994" s="1" t="s">
        <v>29</v>
      </c>
      <c r="E1994" s="1" t="s">
        <v>182</v>
      </c>
      <c r="F1994" s="1" t="s">
        <v>46</v>
      </c>
      <c r="G1994" s="1" t="s">
        <v>47</v>
      </c>
      <c r="H1994" s="1" t="s">
        <v>33</v>
      </c>
      <c r="I1994" s="1" t="s">
        <v>58</v>
      </c>
      <c r="J1994" s="1" t="s">
        <v>131</v>
      </c>
      <c r="K1994" s="1" t="s">
        <v>104</v>
      </c>
      <c r="L1994" s="1" t="s">
        <v>49</v>
      </c>
      <c r="M1994" s="1" t="s">
        <v>38</v>
      </c>
      <c r="N1994" s="1" t="n">
        <v>34999</v>
      </c>
      <c r="O1994" s="1" t="n">
        <v>50</v>
      </c>
      <c r="P1994" s="1" t="n">
        <v>17499.5</v>
      </c>
      <c r="Q1994" s="1" t="n">
        <v>17499.5</v>
      </c>
      <c r="R1994" s="1" t="n">
        <v>3149.91</v>
      </c>
      <c r="S1994" s="1" t="n">
        <v>14349.59</v>
      </c>
      <c r="T1994" s="1" t="n">
        <v>7529.32</v>
      </c>
      <c r="U1994" s="1" t="n">
        <v>6820.27</v>
      </c>
      <c r="V1994" s="1" t="n">
        <v>47.53</v>
      </c>
      <c r="W1994" s="1" t="s">
        <v>39</v>
      </c>
      <c r="X1994" s="1" t="n">
        <v>3.8</v>
      </c>
      <c r="Y1994" s="1" t="s">
        <v>40</v>
      </c>
      <c r="Z1994" s="1" t="n">
        <v>0</v>
      </c>
    </row>
    <row r="1995" customFormat="false" ht="15" hidden="false" customHeight="true" outlineLevel="0" collapsed="false">
      <c r="A1995" s="1" t="s">
        <v>2849</v>
      </c>
      <c r="B1995" s="1" t="s">
        <v>1897</v>
      </c>
      <c r="C1995" s="1" t="s">
        <v>128</v>
      </c>
      <c r="D1995" s="1" t="s">
        <v>53</v>
      </c>
      <c r="E1995" s="1" t="s">
        <v>116</v>
      </c>
      <c r="F1995" s="1" t="s">
        <v>156</v>
      </c>
      <c r="G1995" s="1" t="s">
        <v>68</v>
      </c>
      <c r="H1995" s="1" t="s">
        <v>57</v>
      </c>
      <c r="I1995" s="1" t="s">
        <v>83</v>
      </c>
      <c r="J1995" s="1" t="s">
        <v>131</v>
      </c>
      <c r="K1995" s="1" t="s">
        <v>36</v>
      </c>
      <c r="L1995" s="1" t="s">
        <v>49</v>
      </c>
      <c r="M1995" s="1" t="s">
        <v>50</v>
      </c>
      <c r="N1995" s="1" t="n">
        <v>9999</v>
      </c>
      <c r="O1995" s="1" t="n">
        <v>0</v>
      </c>
      <c r="P1995" s="1" t="n">
        <v>0</v>
      </c>
      <c r="Q1995" s="1" t="n">
        <v>9999</v>
      </c>
      <c r="R1995" s="1" t="n">
        <v>1799.82</v>
      </c>
      <c r="S1995" s="1" t="n">
        <v>8199.18</v>
      </c>
      <c r="T1995" s="1" t="n">
        <v>3635.51</v>
      </c>
      <c r="U1995" s="1" t="n">
        <v>4563.67</v>
      </c>
      <c r="V1995" s="1" t="n">
        <v>55.66</v>
      </c>
      <c r="W1995" s="1" t="s">
        <v>39</v>
      </c>
      <c r="X1995" s="1" t="n">
        <v>2.7</v>
      </c>
      <c r="Y1995" s="1" t="s">
        <v>40</v>
      </c>
      <c r="Z1995" s="1" t="n">
        <v>0</v>
      </c>
    </row>
    <row r="1996" customFormat="false" ht="15" hidden="false" customHeight="true" outlineLevel="0" collapsed="false">
      <c r="A1996" s="1" t="s">
        <v>2850</v>
      </c>
      <c r="B1996" s="1" t="s">
        <v>1107</v>
      </c>
      <c r="C1996" s="1" t="s">
        <v>43</v>
      </c>
      <c r="D1996" s="1" t="s">
        <v>94</v>
      </c>
      <c r="E1996" s="1" t="s">
        <v>95</v>
      </c>
      <c r="F1996" s="1" t="s">
        <v>205</v>
      </c>
      <c r="G1996" s="1" t="s">
        <v>56</v>
      </c>
      <c r="H1996" s="1" t="s">
        <v>69</v>
      </c>
      <c r="I1996" s="1" t="s">
        <v>83</v>
      </c>
      <c r="J1996" s="1" t="s">
        <v>77</v>
      </c>
      <c r="K1996" s="1" t="s">
        <v>90</v>
      </c>
      <c r="L1996" s="1" t="s">
        <v>85</v>
      </c>
      <c r="M1996" s="1" t="s">
        <v>50</v>
      </c>
      <c r="N1996" s="1" t="n">
        <v>6999</v>
      </c>
      <c r="O1996" s="1" t="n">
        <v>50</v>
      </c>
      <c r="P1996" s="1" t="n">
        <v>3499.5</v>
      </c>
      <c r="Q1996" s="1" t="n">
        <v>3499.5</v>
      </c>
      <c r="R1996" s="1" t="n">
        <v>629.91</v>
      </c>
      <c r="S1996" s="1" t="n">
        <v>2869.59</v>
      </c>
      <c r="T1996" s="1" t="n">
        <v>1605.16</v>
      </c>
      <c r="U1996" s="1" t="n">
        <v>1264.43</v>
      </c>
      <c r="V1996" s="1" t="n">
        <v>44.06</v>
      </c>
      <c r="W1996" s="1" t="s">
        <v>39</v>
      </c>
      <c r="X1996" s="1" t="n">
        <v>4</v>
      </c>
      <c r="Y1996" s="1" t="s">
        <v>40</v>
      </c>
      <c r="Z1996" s="1" t="n">
        <v>0</v>
      </c>
    </row>
    <row r="1997" customFormat="false" ht="15" hidden="false" customHeight="true" outlineLevel="0" collapsed="false">
      <c r="A1997" s="1" t="s">
        <v>2851</v>
      </c>
      <c r="B1997" s="1" t="s">
        <v>508</v>
      </c>
      <c r="C1997" s="1" t="s">
        <v>100</v>
      </c>
      <c r="D1997" s="1" t="s">
        <v>143</v>
      </c>
      <c r="E1997" s="1" t="s">
        <v>243</v>
      </c>
      <c r="F1997" s="1" t="s">
        <v>55</v>
      </c>
      <c r="G1997" s="1" t="s">
        <v>56</v>
      </c>
      <c r="H1997" s="1" t="s">
        <v>57</v>
      </c>
      <c r="I1997" s="1" t="s">
        <v>58</v>
      </c>
      <c r="J1997" s="1" t="s">
        <v>70</v>
      </c>
      <c r="K1997" s="1" t="s">
        <v>71</v>
      </c>
      <c r="L1997" s="1" t="s">
        <v>49</v>
      </c>
      <c r="M1997" s="1" t="s">
        <v>38</v>
      </c>
      <c r="N1997" s="1" t="n">
        <v>22999</v>
      </c>
      <c r="O1997" s="1" t="n">
        <v>10</v>
      </c>
      <c r="P1997" s="1" t="n">
        <v>2299.9</v>
      </c>
      <c r="Q1997" s="1" t="n">
        <v>20699.1</v>
      </c>
      <c r="R1997" s="1" t="n">
        <v>3725.84</v>
      </c>
      <c r="S1997" s="1" t="n">
        <v>16973.26</v>
      </c>
      <c r="T1997" s="1" t="n">
        <v>6840.33</v>
      </c>
      <c r="U1997" s="1" t="n">
        <v>10132.93</v>
      </c>
      <c r="V1997" s="1" t="n">
        <v>59.7</v>
      </c>
      <c r="W1997" s="1" t="s">
        <v>39</v>
      </c>
      <c r="X1997" s="1" t="n">
        <v>3.6</v>
      </c>
      <c r="Y1997" s="1" t="s">
        <v>40</v>
      </c>
      <c r="Z1997" s="1" t="n">
        <v>0</v>
      </c>
    </row>
    <row r="1998" customFormat="false" ht="15" hidden="false" customHeight="true" outlineLevel="0" collapsed="false">
      <c r="A1998" s="1" t="s">
        <v>2852</v>
      </c>
      <c r="B1998" s="1" t="s">
        <v>1234</v>
      </c>
      <c r="C1998" s="1" t="s">
        <v>264</v>
      </c>
      <c r="D1998" s="1" t="s">
        <v>143</v>
      </c>
      <c r="E1998" s="1" t="s">
        <v>210</v>
      </c>
      <c r="F1998" s="1" t="s">
        <v>194</v>
      </c>
      <c r="G1998" s="1" t="s">
        <v>103</v>
      </c>
      <c r="H1998" s="1" t="s">
        <v>69</v>
      </c>
      <c r="I1998" s="1" t="s">
        <v>58</v>
      </c>
      <c r="J1998" s="1" t="s">
        <v>59</v>
      </c>
      <c r="K1998" s="1" t="s">
        <v>36</v>
      </c>
      <c r="L1998" s="1" t="s">
        <v>113</v>
      </c>
      <c r="M1998" s="1" t="s">
        <v>38</v>
      </c>
      <c r="N1998" s="1" t="n">
        <v>18999</v>
      </c>
      <c r="O1998" s="1" t="n">
        <v>0</v>
      </c>
      <c r="P1998" s="1" t="n">
        <v>0</v>
      </c>
      <c r="Q1998" s="1" t="n">
        <v>18999</v>
      </c>
      <c r="R1998" s="1" t="n">
        <v>3419.82</v>
      </c>
      <c r="S1998" s="1" t="n">
        <v>15579.18</v>
      </c>
      <c r="T1998" s="1" t="n">
        <v>5646.89</v>
      </c>
      <c r="U1998" s="1" t="n">
        <v>9932.29</v>
      </c>
      <c r="V1998" s="1" t="n">
        <v>63.75</v>
      </c>
      <c r="W1998" s="1" t="s">
        <v>39</v>
      </c>
      <c r="Y1998" s="1" t="s">
        <v>40</v>
      </c>
      <c r="Z1998" s="1" t="n">
        <v>0</v>
      </c>
    </row>
    <row r="1999" customFormat="false" ht="15" hidden="false" customHeight="true" outlineLevel="0" collapsed="false">
      <c r="A1999" s="1" t="s">
        <v>2853</v>
      </c>
      <c r="B1999" s="1" t="s">
        <v>1580</v>
      </c>
      <c r="C1999" s="1" t="s">
        <v>178</v>
      </c>
      <c r="D1999" s="1" t="s">
        <v>53</v>
      </c>
      <c r="E1999" s="1" t="s">
        <v>216</v>
      </c>
      <c r="F1999" s="1" t="s">
        <v>125</v>
      </c>
      <c r="G1999" s="1" t="s">
        <v>108</v>
      </c>
      <c r="H1999" s="1" t="s">
        <v>69</v>
      </c>
      <c r="I1999" s="1" t="s">
        <v>58</v>
      </c>
      <c r="J1999" s="1" t="s">
        <v>59</v>
      </c>
      <c r="K1999" s="1" t="s">
        <v>60</v>
      </c>
      <c r="L1999" s="1" t="s">
        <v>37</v>
      </c>
      <c r="M1999" s="1" t="s">
        <v>50</v>
      </c>
      <c r="N1999" s="1" t="n">
        <v>7499</v>
      </c>
      <c r="O1999" s="1" t="n">
        <v>50</v>
      </c>
      <c r="P1999" s="1" t="n">
        <v>3749.5</v>
      </c>
      <c r="Q1999" s="1" t="n">
        <v>3749.5</v>
      </c>
      <c r="R1999" s="1" t="n">
        <v>674.91</v>
      </c>
      <c r="S1999" s="1" t="n">
        <v>3074.59</v>
      </c>
      <c r="T1999" s="1" t="n">
        <v>1220.28</v>
      </c>
      <c r="U1999" s="1" t="n">
        <v>1854.31</v>
      </c>
      <c r="V1999" s="1" t="n">
        <v>60.31</v>
      </c>
      <c r="W1999" s="1" t="s">
        <v>40</v>
      </c>
      <c r="Y1999" s="1" t="s">
        <v>40</v>
      </c>
      <c r="Z1999" s="1" t="n">
        <v>0</v>
      </c>
    </row>
    <row r="2000" customFormat="false" ht="15" hidden="false" customHeight="true" outlineLevel="0" collapsed="false">
      <c r="A2000" s="1" t="s">
        <v>2854</v>
      </c>
      <c r="B2000" s="1" t="s">
        <v>220</v>
      </c>
      <c r="C2000" s="1" t="s">
        <v>264</v>
      </c>
      <c r="D2000" s="1" t="s">
        <v>143</v>
      </c>
      <c r="E2000" s="1" t="s">
        <v>162</v>
      </c>
      <c r="F2000" s="1" t="s">
        <v>205</v>
      </c>
      <c r="G2000" s="1" t="s">
        <v>56</v>
      </c>
      <c r="H2000" s="1" t="s">
        <v>69</v>
      </c>
      <c r="I2000" s="1" t="s">
        <v>83</v>
      </c>
      <c r="J2000" s="1" t="s">
        <v>59</v>
      </c>
      <c r="K2000" s="1" t="s">
        <v>60</v>
      </c>
      <c r="L2000" s="1" t="s">
        <v>49</v>
      </c>
      <c r="M2000" s="1" t="s">
        <v>50</v>
      </c>
      <c r="N2000" s="1" t="n">
        <v>14999</v>
      </c>
      <c r="O2000" s="1" t="n">
        <v>20</v>
      </c>
      <c r="P2000" s="1" t="n">
        <v>2999.8</v>
      </c>
      <c r="Q2000" s="1" t="n">
        <v>11999.2</v>
      </c>
      <c r="R2000" s="1" t="n">
        <v>2159.86</v>
      </c>
      <c r="S2000" s="1" t="n">
        <v>9839.34</v>
      </c>
      <c r="T2000" s="1" t="n">
        <v>3989.14</v>
      </c>
      <c r="U2000" s="1" t="n">
        <v>5850.2</v>
      </c>
      <c r="V2000" s="1" t="n">
        <v>59.46</v>
      </c>
      <c r="W2000" s="1" t="s">
        <v>39</v>
      </c>
      <c r="X2000" s="1" t="n">
        <v>3.9</v>
      </c>
      <c r="Y2000" s="1" t="s">
        <v>40</v>
      </c>
      <c r="Z2000" s="1" t="n">
        <v>0</v>
      </c>
    </row>
    <row r="2001" customFormat="false" ht="15" hidden="false" customHeight="true" outlineLevel="0" collapsed="false">
      <c r="A2001" s="1" t="s">
        <v>2855</v>
      </c>
      <c r="B2001" s="1" t="s">
        <v>539</v>
      </c>
      <c r="C2001" s="1" t="s">
        <v>93</v>
      </c>
      <c r="D2001" s="1" t="s">
        <v>29</v>
      </c>
      <c r="E2001" s="1" t="s">
        <v>30</v>
      </c>
      <c r="F2001" s="1" t="s">
        <v>125</v>
      </c>
      <c r="G2001" s="1" t="s">
        <v>108</v>
      </c>
      <c r="H2001" s="1" t="s">
        <v>69</v>
      </c>
      <c r="I2001" s="1" t="s">
        <v>58</v>
      </c>
      <c r="J2001" s="1" t="s">
        <v>35</v>
      </c>
      <c r="K2001" s="1" t="s">
        <v>112</v>
      </c>
      <c r="L2001" s="1" t="s">
        <v>85</v>
      </c>
      <c r="M2001" s="1" t="s">
        <v>62</v>
      </c>
      <c r="N2001" s="1" t="n">
        <v>7999</v>
      </c>
      <c r="O2001" s="1" t="n">
        <v>0</v>
      </c>
      <c r="P2001" s="1" t="n">
        <v>0</v>
      </c>
      <c r="Q2001" s="1" t="n">
        <v>7999</v>
      </c>
      <c r="R2001" s="1" t="n">
        <v>1439.82</v>
      </c>
      <c r="S2001" s="1" t="n">
        <v>6559.18</v>
      </c>
      <c r="T2001" s="1" t="n">
        <v>2390.4</v>
      </c>
      <c r="U2001" s="1" t="n">
        <v>4168.78</v>
      </c>
      <c r="V2001" s="1" t="n">
        <v>63.56</v>
      </c>
      <c r="W2001" s="1" t="s">
        <v>40</v>
      </c>
      <c r="Y2001" s="1" t="s">
        <v>40</v>
      </c>
      <c r="Z2001" s="1" t="n">
        <v>2</v>
      </c>
    </row>
    <row r="2002" customFormat="false" ht="15" hidden="false" customHeight="true" outlineLevel="0" collapsed="false">
      <c r="A2002" s="1" t="s">
        <v>2856</v>
      </c>
      <c r="B2002" s="1" t="s">
        <v>766</v>
      </c>
      <c r="C2002" s="1" t="s">
        <v>88</v>
      </c>
      <c r="D2002" s="1" t="s">
        <v>29</v>
      </c>
      <c r="E2002" s="1" t="s">
        <v>182</v>
      </c>
      <c r="F2002" s="1" t="s">
        <v>194</v>
      </c>
      <c r="G2002" s="1" t="s">
        <v>103</v>
      </c>
      <c r="H2002" s="1" t="s">
        <v>69</v>
      </c>
      <c r="I2002" s="1" t="s">
        <v>58</v>
      </c>
      <c r="J2002" s="1" t="s">
        <v>35</v>
      </c>
      <c r="K2002" s="1" t="s">
        <v>71</v>
      </c>
      <c r="L2002" s="1" t="s">
        <v>113</v>
      </c>
      <c r="M2002" s="1" t="s">
        <v>38</v>
      </c>
      <c r="N2002" s="1" t="n">
        <v>34999</v>
      </c>
      <c r="O2002" s="1" t="n">
        <v>30</v>
      </c>
      <c r="P2002" s="1" t="n">
        <v>10499.7</v>
      </c>
      <c r="Q2002" s="1" t="n">
        <v>24499.3</v>
      </c>
      <c r="R2002" s="1" t="n">
        <v>4409.87</v>
      </c>
      <c r="S2002" s="1" t="n">
        <v>20089.43</v>
      </c>
      <c r="T2002" s="1" t="n">
        <v>6153.81</v>
      </c>
      <c r="U2002" s="1" t="n">
        <v>13935.62</v>
      </c>
      <c r="V2002" s="1" t="n">
        <v>69.37</v>
      </c>
      <c r="W2002" s="1" t="s">
        <v>40</v>
      </c>
      <c r="Y2002" s="1" t="s">
        <v>39</v>
      </c>
      <c r="Z2002" s="1" t="n">
        <v>1</v>
      </c>
    </row>
    <row r="2003" customFormat="false" ht="15" hidden="false" customHeight="true" outlineLevel="0" collapsed="false">
      <c r="A2003" s="1" t="s">
        <v>2857</v>
      </c>
      <c r="B2003" s="1" t="s">
        <v>348</v>
      </c>
      <c r="C2003" s="1" t="s">
        <v>178</v>
      </c>
      <c r="D2003" s="1" t="s">
        <v>29</v>
      </c>
      <c r="E2003" s="1" t="s">
        <v>305</v>
      </c>
      <c r="F2003" s="1" t="s">
        <v>67</v>
      </c>
      <c r="G2003" s="1" t="s">
        <v>68</v>
      </c>
      <c r="H2003" s="1" t="s">
        <v>69</v>
      </c>
      <c r="I2003" s="1" t="s">
        <v>83</v>
      </c>
      <c r="J2003" s="1" t="s">
        <v>70</v>
      </c>
      <c r="K2003" s="1" t="s">
        <v>36</v>
      </c>
      <c r="L2003" s="1" t="s">
        <v>49</v>
      </c>
      <c r="M2003" s="1" t="s">
        <v>62</v>
      </c>
      <c r="N2003" s="1" t="n">
        <v>24999</v>
      </c>
      <c r="O2003" s="1" t="n">
        <v>40</v>
      </c>
      <c r="P2003" s="1" t="n">
        <v>9999.6</v>
      </c>
      <c r="Q2003" s="1" t="n">
        <v>14999.4</v>
      </c>
      <c r="R2003" s="1" t="n">
        <v>2699.89</v>
      </c>
      <c r="S2003" s="1" t="n">
        <v>12299.51</v>
      </c>
      <c r="T2003" s="1" t="n">
        <v>3722.11</v>
      </c>
      <c r="U2003" s="1" t="n">
        <v>8577.4</v>
      </c>
      <c r="V2003" s="1" t="n">
        <v>69.74</v>
      </c>
      <c r="W2003" s="1" t="s">
        <v>40</v>
      </c>
      <c r="Y2003" s="1" t="s">
        <v>40</v>
      </c>
      <c r="Z2003" s="1" t="n">
        <v>0</v>
      </c>
    </row>
    <row r="2004" customFormat="false" ht="15" hidden="false" customHeight="true" outlineLevel="0" collapsed="false">
      <c r="A2004" s="1" t="s">
        <v>2858</v>
      </c>
      <c r="B2004" s="1" t="s">
        <v>304</v>
      </c>
      <c r="C2004" s="1" t="s">
        <v>100</v>
      </c>
      <c r="D2004" s="1" t="s">
        <v>143</v>
      </c>
      <c r="E2004" s="1" t="s">
        <v>210</v>
      </c>
      <c r="F2004" s="1" t="s">
        <v>184</v>
      </c>
      <c r="G2004" s="1" t="s">
        <v>56</v>
      </c>
      <c r="H2004" s="1" t="s">
        <v>57</v>
      </c>
      <c r="I2004" s="1" t="s">
        <v>58</v>
      </c>
      <c r="J2004" s="1" t="s">
        <v>77</v>
      </c>
      <c r="K2004" s="1" t="s">
        <v>48</v>
      </c>
      <c r="L2004" s="1" t="s">
        <v>61</v>
      </c>
      <c r="M2004" s="1" t="s">
        <v>38</v>
      </c>
      <c r="N2004" s="1" t="n">
        <v>18999</v>
      </c>
      <c r="O2004" s="1" t="n">
        <v>15</v>
      </c>
      <c r="P2004" s="1" t="n">
        <v>2849.85</v>
      </c>
      <c r="Q2004" s="1" t="n">
        <v>16149.15</v>
      </c>
      <c r="R2004" s="1" t="n">
        <v>2906.85</v>
      </c>
      <c r="S2004" s="1" t="n">
        <v>13242.3</v>
      </c>
      <c r="T2004" s="1" t="n">
        <v>6322.09</v>
      </c>
      <c r="U2004" s="1" t="n">
        <v>6920.21</v>
      </c>
      <c r="V2004" s="1" t="n">
        <v>52.26</v>
      </c>
      <c r="W2004" s="1" t="s">
        <v>40</v>
      </c>
      <c r="Y2004" s="1" t="s">
        <v>40</v>
      </c>
      <c r="Z2004" s="1" t="n">
        <v>0</v>
      </c>
    </row>
    <row r="2005" customFormat="false" ht="15" hidden="false" customHeight="true" outlineLevel="0" collapsed="false">
      <c r="A2005" s="1" t="s">
        <v>2859</v>
      </c>
      <c r="B2005" s="1" t="s">
        <v>1507</v>
      </c>
      <c r="C2005" s="1" t="s">
        <v>119</v>
      </c>
      <c r="D2005" s="1" t="s">
        <v>94</v>
      </c>
      <c r="E2005" s="1" t="s">
        <v>95</v>
      </c>
      <c r="F2005" s="1" t="s">
        <v>150</v>
      </c>
      <c r="G2005" s="1" t="s">
        <v>32</v>
      </c>
      <c r="H2005" s="1" t="s">
        <v>57</v>
      </c>
      <c r="I2005" s="1" t="s">
        <v>83</v>
      </c>
      <c r="J2005" s="1" t="s">
        <v>77</v>
      </c>
      <c r="K2005" s="1" t="s">
        <v>104</v>
      </c>
      <c r="L2005" s="1" t="s">
        <v>136</v>
      </c>
      <c r="M2005" s="1" t="s">
        <v>62</v>
      </c>
      <c r="N2005" s="1" t="n">
        <v>6999</v>
      </c>
      <c r="O2005" s="1" t="n">
        <v>20</v>
      </c>
      <c r="P2005" s="1" t="n">
        <v>1399.8</v>
      </c>
      <c r="Q2005" s="1" t="n">
        <v>5599.2</v>
      </c>
      <c r="R2005" s="1" t="n">
        <v>1007.86</v>
      </c>
      <c r="S2005" s="1" t="n">
        <v>4591.34</v>
      </c>
      <c r="T2005" s="1" t="n">
        <v>2077.67</v>
      </c>
      <c r="U2005" s="1" t="n">
        <v>2513.67</v>
      </c>
      <c r="V2005" s="1" t="n">
        <v>54.75</v>
      </c>
      <c r="W2005" s="1" t="s">
        <v>39</v>
      </c>
      <c r="X2005" s="1" t="n">
        <v>4.2</v>
      </c>
      <c r="Y2005" s="1" t="s">
        <v>40</v>
      </c>
      <c r="Z2005" s="1" t="n">
        <v>0</v>
      </c>
    </row>
    <row r="2006" customFormat="false" ht="15" hidden="false" customHeight="true" outlineLevel="0" collapsed="false">
      <c r="A2006" s="1" t="s">
        <v>2860</v>
      </c>
      <c r="B2006" s="1" t="s">
        <v>1640</v>
      </c>
      <c r="C2006" s="1" t="s">
        <v>178</v>
      </c>
      <c r="D2006" s="1" t="s">
        <v>80</v>
      </c>
      <c r="E2006" s="1" t="s">
        <v>81</v>
      </c>
      <c r="F2006" s="1" t="s">
        <v>75</v>
      </c>
      <c r="G2006" s="1" t="s">
        <v>76</v>
      </c>
      <c r="H2006" s="1" t="s">
        <v>69</v>
      </c>
      <c r="I2006" s="1" t="s">
        <v>83</v>
      </c>
      <c r="J2006" s="1" t="s">
        <v>131</v>
      </c>
      <c r="K2006" s="1" t="s">
        <v>60</v>
      </c>
      <c r="L2006" s="1" t="s">
        <v>49</v>
      </c>
      <c r="M2006" s="1" t="s">
        <v>38</v>
      </c>
      <c r="N2006" s="1" t="n">
        <v>12999</v>
      </c>
      <c r="O2006" s="1" t="n">
        <v>0</v>
      </c>
      <c r="P2006" s="1" t="n">
        <v>0</v>
      </c>
      <c r="Q2006" s="1" t="n">
        <v>12999</v>
      </c>
      <c r="R2006" s="1" t="n">
        <v>2339.82</v>
      </c>
      <c r="S2006" s="1" t="n">
        <v>10659.18</v>
      </c>
      <c r="T2006" s="1" t="n">
        <v>3914.9</v>
      </c>
      <c r="U2006" s="1" t="n">
        <v>6744.28</v>
      </c>
      <c r="V2006" s="1" t="n">
        <v>63.27</v>
      </c>
      <c r="W2006" s="1" t="s">
        <v>39</v>
      </c>
      <c r="X2006" s="1" t="n">
        <v>3.9</v>
      </c>
      <c r="Y2006" s="1" t="s">
        <v>40</v>
      </c>
      <c r="Z2006" s="1" t="n">
        <v>0</v>
      </c>
    </row>
    <row r="2007" customFormat="false" ht="15" hidden="false" customHeight="true" outlineLevel="0" collapsed="false">
      <c r="A2007" s="1" t="s">
        <v>2861</v>
      </c>
      <c r="B2007" s="1" t="s">
        <v>2862</v>
      </c>
      <c r="C2007" s="1" t="s">
        <v>134</v>
      </c>
      <c r="D2007" s="1" t="s">
        <v>29</v>
      </c>
      <c r="E2007" s="1" t="s">
        <v>30</v>
      </c>
      <c r="F2007" s="1" t="s">
        <v>75</v>
      </c>
      <c r="G2007" s="1" t="s">
        <v>76</v>
      </c>
      <c r="H2007" s="1" t="s">
        <v>69</v>
      </c>
      <c r="I2007" s="1" t="s">
        <v>58</v>
      </c>
      <c r="J2007" s="1" t="s">
        <v>35</v>
      </c>
      <c r="K2007" s="1" t="s">
        <v>71</v>
      </c>
      <c r="L2007" s="1" t="s">
        <v>85</v>
      </c>
      <c r="M2007" s="1" t="s">
        <v>50</v>
      </c>
      <c r="N2007" s="1" t="n">
        <v>7999</v>
      </c>
      <c r="O2007" s="1" t="n">
        <v>5</v>
      </c>
      <c r="P2007" s="1" t="n">
        <v>399.95</v>
      </c>
      <c r="Q2007" s="1" t="n">
        <v>7599.05</v>
      </c>
      <c r="R2007" s="1" t="n">
        <v>1367.83</v>
      </c>
      <c r="S2007" s="1" t="n">
        <v>6231.22</v>
      </c>
      <c r="T2007" s="1" t="n">
        <v>2463.25</v>
      </c>
      <c r="U2007" s="1" t="n">
        <v>3767.97</v>
      </c>
      <c r="V2007" s="1" t="n">
        <v>60.47</v>
      </c>
      <c r="W2007" s="1" t="s">
        <v>40</v>
      </c>
      <c r="Y2007" s="1" t="s">
        <v>40</v>
      </c>
      <c r="Z2007" s="1" t="n">
        <v>1</v>
      </c>
    </row>
    <row r="2008" customFormat="false" ht="15" hidden="false" customHeight="true" outlineLevel="0" collapsed="false">
      <c r="A2008" s="1" t="s">
        <v>2863</v>
      </c>
      <c r="B2008" s="1" t="s">
        <v>518</v>
      </c>
      <c r="C2008" s="1" t="s">
        <v>88</v>
      </c>
      <c r="D2008" s="1" t="s">
        <v>80</v>
      </c>
      <c r="E2008" s="1" t="s">
        <v>175</v>
      </c>
      <c r="F2008" s="1" t="s">
        <v>269</v>
      </c>
      <c r="G2008" s="1" t="s">
        <v>108</v>
      </c>
      <c r="H2008" s="1" t="s">
        <v>57</v>
      </c>
      <c r="I2008" s="1" t="s">
        <v>34</v>
      </c>
      <c r="J2008" s="1" t="s">
        <v>77</v>
      </c>
      <c r="K2008" s="1" t="s">
        <v>90</v>
      </c>
      <c r="L2008" s="1" t="s">
        <v>85</v>
      </c>
      <c r="M2008" s="1" t="s">
        <v>50</v>
      </c>
      <c r="N2008" s="1" t="n">
        <v>19999</v>
      </c>
      <c r="O2008" s="1" t="n">
        <v>20</v>
      </c>
      <c r="P2008" s="1" t="n">
        <v>3999.8</v>
      </c>
      <c r="Q2008" s="1" t="n">
        <v>15999.2</v>
      </c>
      <c r="R2008" s="1" t="n">
        <v>2879.86</v>
      </c>
      <c r="S2008" s="1" t="n">
        <v>13119.34</v>
      </c>
      <c r="T2008" s="1" t="n">
        <v>5598.99</v>
      </c>
      <c r="U2008" s="1" t="n">
        <v>7520.35</v>
      </c>
      <c r="V2008" s="1" t="n">
        <v>57.32</v>
      </c>
      <c r="W2008" s="1" t="s">
        <v>40</v>
      </c>
      <c r="Y2008" s="1" t="s">
        <v>40</v>
      </c>
      <c r="Z2008" s="1" t="n">
        <v>0</v>
      </c>
    </row>
    <row r="2009" customFormat="false" ht="15" hidden="false" customHeight="true" outlineLevel="0" collapsed="false">
      <c r="A2009" s="1" t="s">
        <v>2864</v>
      </c>
      <c r="B2009" s="1" t="s">
        <v>1064</v>
      </c>
      <c r="C2009" s="1" t="s">
        <v>167</v>
      </c>
      <c r="D2009" s="1" t="s">
        <v>94</v>
      </c>
      <c r="E2009" s="1" t="s">
        <v>95</v>
      </c>
      <c r="F2009" s="1" t="s">
        <v>244</v>
      </c>
      <c r="G2009" s="1" t="s">
        <v>97</v>
      </c>
      <c r="H2009" s="1" t="s">
        <v>57</v>
      </c>
      <c r="I2009" s="1" t="s">
        <v>58</v>
      </c>
      <c r="J2009" s="1" t="s">
        <v>35</v>
      </c>
      <c r="K2009" s="1" t="s">
        <v>48</v>
      </c>
      <c r="L2009" s="1" t="s">
        <v>85</v>
      </c>
      <c r="M2009" s="1" t="s">
        <v>62</v>
      </c>
      <c r="N2009" s="1" t="n">
        <v>6999</v>
      </c>
      <c r="O2009" s="1" t="n">
        <v>15</v>
      </c>
      <c r="P2009" s="1" t="n">
        <v>1049.85</v>
      </c>
      <c r="Q2009" s="1" t="n">
        <v>5949.15</v>
      </c>
      <c r="R2009" s="1" t="n">
        <v>1070.85</v>
      </c>
      <c r="S2009" s="1" t="n">
        <v>4878.3</v>
      </c>
      <c r="T2009" s="1" t="n">
        <v>2606.13</v>
      </c>
      <c r="U2009" s="1" t="n">
        <v>2272.17</v>
      </c>
      <c r="V2009" s="1" t="n">
        <v>46.58</v>
      </c>
      <c r="W2009" s="1" t="s">
        <v>39</v>
      </c>
      <c r="X2009" s="1" t="n">
        <v>3.1</v>
      </c>
      <c r="Y2009" s="1" t="s">
        <v>40</v>
      </c>
      <c r="Z2009" s="1" t="n">
        <v>0</v>
      </c>
    </row>
    <row r="2010" customFormat="false" ht="15" hidden="false" customHeight="true" outlineLevel="0" collapsed="false">
      <c r="A2010" s="1" t="s">
        <v>2865</v>
      </c>
      <c r="B2010" s="1" t="s">
        <v>549</v>
      </c>
      <c r="C2010" s="1" t="s">
        <v>28</v>
      </c>
      <c r="D2010" s="1" t="s">
        <v>143</v>
      </c>
      <c r="E2010" s="1" t="s">
        <v>159</v>
      </c>
      <c r="F2010" s="1" t="s">
        <v>211</v>
      </c>
      <c r="G2010" s="1" t="s">
        <v>56</v>
      </c>
      <c r="H2010" s="1" t="s">
        <v>69</v>
      </c>
      <c r="I2010" s="1" t="s">
        <v>34</v>
      </c>
      <c r="J2010" s="1" t="s">
        <v>77</v>
      </c>
      <c r="K2010" s="1" t="s">
        <v>48</v>
      </c>
      <c r="L2010" s="1" t="s">
        <v>49</v>
      </c>
      <c r="M2010" s="1" t="s">
        <v>38</v>
      </c>
      <c r="N2010" s="1" t="n">
        <v>24999</v>
      </c>
      <c r="O2010" s="1" t="n">
        <v>40</v>
      </c>
      <c r="P2010" s="1" t="n">
        <v>9999.6</v>
      </c>
      <c r="Q2010" s="1" t="n">
        <v>14999.4</v>
      </c>
      <c r="R2010" s="1" t="n">
        <v>2699.89</v>
      </c>
      <c r="S2010" s="1" t="n">
        <v>12299.51</v>
      </c>
      <c r="T2010" s="1" t="n">
        <v>7339.93</v>
      </c>
      <c r="U2010" s="1" t="n">
        <v>4959.58</v>
      </c>
      <c r="V2010" s="1" t="n">
        <v>40.32</v>
      </c>
      <c r="W2010" s="1" t="s">
        <v>39</v>
      </c>
      <c r="X2010" s="1" t="n">
        <v>3.4</v>
      </c>
      <c r="Y2010" s="1" t="s">
        <v>40</v>
      </c>
      <c r="Z2010" s="1" t="n">
        <v>1</v>
      </c>
    </row>
    <row r="2011" customFormat="false" ht="15" hidden="false" customHeight="true" outlineLevel="0" collapsed="false">
      <c r="A2011" s="1" t="s">
        <v>2866</v>
      </c>
      <c r="B2011" s="1" t="s">
        <v>441</v>
      </c>
      <c r="C2011" s="1" t="s">
        <v>249</v>
      </c>
      <c r="D2011" s="1" t="s">
        <v>168</v>
      </c>
      <c r="E2011" s="1" t="s">
        <v>172</v>
      </c>
      <c r="F2011" s="1" t="s">
        <v>67</v>
      </c>
      <c r="G2011" s="1" t="s">
        <v>68</v>
      </c>
      <c r="H2011" s="1" t="s">
        <v>69</v>
      </c>
      <c r="I2011" s="1" t="s">
        <v>83</v>
      </c>
      <c r="J2011" s="1" t="s">
        <v>59</v>
      </c>
      <c r="K2011" s="1" t="s">
        <v>36</v>
      </c>
      <c r="L2011" s="1" t="s">
        <v>61</v>
      </c>
      <c r="M2011" s="1" t="s">
        <v>50</v>
      </c>
      <c r="N2011" s="1" t="n">
        <v>6999</v>
      </c>
      <c r="O2011" s="1" t="n">
        <v>30</v>
      </c>
      <c r="P2011" s="1" t="n">
        <v>2099.7</v>
      </c>
      <c r="Q2011" s="1" t="n">
        <v>4899.3</v>
      </c>
      <c r="R2011" s="1" t="n">
        <v>881.87</v>
      </c>
      <c r="S2011" s="1" t="n">
        <v>4017.43</v>
      </c>
      <c r="T2011" s="1" t="n">
        <v>1577.78</v>
      </c>
      <c r="U2011" s="1" t="n">
        <v>2439.65</v>
      </c>
      <c r="V2011" s="1" t="n">
        <v>60.73</v>
      </c>
      <c r="W2011" s="1" t="s">
        <v>39</v>
      </c>
      <c r="X2011" s="1" t="n">
        <v>3.2</v>
      </c>
      <c r="Y2011" s="1" t="s">
        <v>40</v>
      </c>
      <c r="Z2011" s="1" t="n">
        <v>1</v>
      </c>
    </row>
    <row r="2012" customFormat="false" ht="15" hidden="false" customHeight="true" outlineLevel="0" collapsed="false">
      <c r="A2012" s="1" t="s">
        <v>2867</v>
      </c>
      <c r="B2012" s="1" t="s">
        <v>235</v>
      </c>
      <c r="C2012" s="1" t="s">
        <v>88</v>
      </c>
      <c r="D2012" s="1" t="s">
        <v>53</v>
      </c>
      <c r="E2012" s="1" t="s">
        <v>216</v>
      </c>
      <c r="F2012" s="1" t="s">
        <v>96</v>
      </c>
      <c r="G2012" s="1" t="s">
        <v>97</v>
      </c>
      <c r="H2012" s="1" t="s">
        <v>69</v>
      </c>
      <c r="I2012" s="1" t="s">
        <v>58</v>
      </c>
      <c r="J2012" s="1" t="s">
        <v>77</v>
      </c>
      <c r="K2012" s="1" t="s">
        <v>48</v>
      </c>
      <c r="L2012" s="1" t="s">
        <v>37</v>
      </c>
      <c r="M2012" s="1" t="s">
        <v>50</v>
      </c>
      <c r="N2012" s="1" t="n">
        <v>7499</v>
      </c>
      <c r="O2012" s="1" t="n">
        <v>30</v>
      </c>
      <c r="P2012" s="1" t="n">
        <v>2249.7</v>
      </c>
      <c r="Q2012" s="1" t="n">
        <v>5249.3</v>
      </c>
      <c r="R2012" s="1" t="n">
        <v>944.87</v>
      </c>
      <c r="S2012" s="1" t="n">
        <v>4304.43</v>
      </c>
      <c r="T2012" s="1" t="n">
        <v>1876.51</v>
      </c>
      <c r="U2012" s="1" t="n">
        <v>2427.92</v>
      </c>
      <c r="V2012" s="1" t="n">
        <v>56.41</v>
      </c>
      <c r="W2012" s="1" t="s">
        <v>40</v>
      </c>
      <c r="Y2012" s="1" t="s">
        <v>40</v>
      </c>
      <c r="Z2012" s="1" t="n">
        <v>0</v>
      </c>
    </row>
    <row r="2013" customFormat="false" ht="15" hidden="false" customHeight="true" outlineLevel="0" collapsed="false">
      <c r="A2013" s="1" t="s">
        <v>2868</v>
      </c>
      <c r="B2013" s="1" t="s">
        <v>2869</v>
      </c>
      <c r="C2013" s="1" t="s">
        <v>100</v>
      </c>
      <c r="D2013" s="1" t="s">
        <v>44</v>
      </c>
      <c r="E2013" s="1" t="s">
        <v>66</v>
      </c>
      <c r="F2013" s="1" t="s">
        <v>55</v>
      </c>
      <c r="G2013" s="1" t="s">
        <v>56</v>
      </c>
      <c r="H2013" s="1" t="s">
        <v>57</v>
      </c>
      <c r="I2013" s="1" t="s">
        <v>83</v>
      </c>
      <c r="J2013" s="1" t="s">
        <v>131</v>
      </c>
      <c r="K2013" s="1" t="s">
        <v>48</v>
      </c>
      <c r="L2013" s="1" t="s">
        <v>85</v>
      </c>
      <c r="M2013" s="1" t="s">
        <v>62</v>
      </c>
      <c r="N2013" s="1" t="n">
        <v>12999</v>
      </c>
      <c r="O2013" s="1" t="n">
        <v>15</v>
      </c>
      <c r="P2013" s="1" t="n">
        <v>1949.85</v>
      </c>
      <c r="Q2013" s="1" t="n">
        <v>11049.15</v>
      </c>
      <c r="R2013" s="1" t="n">
        <v>1988.85</v>
      </c>
      <c r="S2013" s="1" t="n">
        <v>9060.3</v>
      </c>
      <c r="T2013" s="1" t="n">
        <v>4695.08</v>
      </c>
      <c r="U2013" s="1" t="n">
        <v>4365.22</v>
      </c>
      <c r="V2013" s="1" t="n">
        <v>48.18</v>
      </c>
      <c r="W2013" s="1" t="s">
        <v>39</v>
      </c>
      <c r="X2013" s="1" t="n">
        <v>3.6</v>
      </c>
      <c r="Y2013" s="1" t="s">
        <v>40</v>
      </c>
      <c r="Z2013" s="1" t="n">
        <v>0</v>
      </c>
    </row>
    <row r="2014" customFormat="false" ht="15" hidden="false" customHeight="true" outlineLevel="0" collapsed="false">
      <c r="A2014" s="1" t="s">
        <v>2870</v>
      </c>
      <c r="B2014" s="1" t="s">
        <v>1170</v>
      </c>
      <c r="C2014" s="1" t="s">
        <v>100</v>
      </c>
      <c r="D2014" s="1" t="s">
        <v>44</v>
      </c>
      <c r="E2014" s="1" t="s">
        <v>45</v>
      </c>
      <c r="F2014" s="1" t="s">
        <v>244</v>
      </c>
      <c r="G2014" s="1" t="s">
        <v>97</v>
      </c>
      <c r="H2014" s="1" t="s">
        <v>57</v>
      </c>
      <c r="I2014" s="1" t="s">
        <v>34</v>
      </c>
      <c r="J2014" s="1" t="s">
        <v>70</v>
      </c>
      <c r="K2014" s="1" t="s">
        <v>60</v>
      </c>
      <c r="L2014" s="1" t="s">
        <v>136</v>
      </c>
      <c r="M2014" s="1" t="s">
        <v>38</v>
      </c>
      <c r="N2014" s="1" t="n">
        <v>11999</v>
      </c>
      <c r="O2014" s="1" t="n">
        <v>10</v>
      </c>
      <c r="P2014" s="1" t="n">
        <v>1199.9</v>
      </c>
      <c r="Q2014" s="1" t="n">
        <v>10799.1</v>
      </c>
      <c r="R2014" s="1" t="n">
        <v>1943.84</v>
      </c>
      <c r="S2014" s="1" t="n">
        <v>8855.26</v>
      </c>
      <c r="T2014" s="1" t="n">
        <v>3629.85</v>
      </c>
      <c r="U2014" s="1" t="n">
        <v>5225.41</v>
      </c>
      <c r="V2014" s="1" t="n">
        <v>59.01</v>
      </c>
      <c r="W2014" s="1" t="s">
        <v>40</v>
      </c>
      <c r="Y2014" s="1" t="s">
        <v>40</v>
      </c>
      <c r="Z2014" s="1" t="n">
        <v>1</v>
      </c>
    </row>
    <row r="2015" customFormat="false" ht="15" hidden="false" customHeight="true" outlineLevel="0" collapsed="false">
      <c r="A2015" s="1" t="s">
        <v>2871</v>
      </c>
      <c r="B2015" s="1" t="s">
        <v>1154</v>
      </c>
      <c r="C2015" s="1" t="s">
        <v>128</v>
      </c>
      <c r="D2015" s="1" t="s">
        <v>53</v>
      </c>
      <c r="E2015" s="1" t="s">
        <v>216</v>
      </c>
      <c r="F2015" s="1" t="s">
        <v>55</v>
      </c>
      <c r="G2015" s="1" t="s">
        <v>56</v>
      </c>
      <c r="H2015" s="1" t="s">
        <v>57</v>
      </c>
      <c r="I2015" s="1" t="s">
        <v>83</v>
      </c>
      <c r="J2015" s="1" t="s">
        <v>77</v>
      </c>
      <c r="K2015" s="1" t="s">
        <v>90</v>
      </c>
      <c r="L2015" s="1" t="s">
        <v>113</v>
      </c>
      <c r="M2015" s="1" t="s">
        <v>38</v>
      </c>
      <c r="N2015" s="1" t="n">
        <v>7499</v>
      </c>
      <c r="O2015" s="1" t="n">
        <v>10</v>
      </c>
      <c r="P2015" s="1" t="n">
        <v>749.9</v>
      </c>
      <c r="Q2015" s="1" t="n">
        <v>6749.1</v>
      </c>
      <c r="R2015" s="1" t="n">
        <v>1214.84</v>
      </c>
      <c r="S2015" s="1" t="n">
        <v>5534.26</v>
      </c>
      <c r="T2015" s="1" t="n">
        <v>2503.4</v>
      </c>
      <c r="U2015" s="1" t="n">
        <v>3030.86</v>
      </c>
      <c r="V2015" s="1" t="n">
        <v>54.77</v>
      </c>
      <c r="W2015" s="1" t="s">
        <v>39</v>
      </c>
      <c r="X2015" s="1" t="n">
        <v>4.1</v>
      </c>
      <c r="Y2015" s="1" t="s">
        <v>40</v>
      </c>
      <c r="Z2015" s="1" t="n">
        <v>0</v>
      </c>
    </row>
    <row r="2016" customFormat="false" ht="15" hidden="false" customHeight="true" outlineLevel="0" collapsed="false">
      <c r="A2016" s="1" t="s">
        <v>2872</v>
      </c>
      <c r="B2016" s="1" t="s">
        <v>845</v>
      </c>
      <c r="C2016" s="1" t="s">
        <v>264</v>
      </c>
      <c r="D2016" s="1" t="s">
        <v>53</v>
      </c>
      <c r="E2016" s="1" t="s">
        <v>54</v>
      </c>
      <c r="F2016" s="1" t="s">
        <v>120</v>
      </c>
      <c r="G2016" s="1" t="s">
        <v>47</v>
      </c>
      <c r="H2016" s="1" t="s">
        <v>57</v>
      </c>
      <c r="I2016" s="1" t="s">
        <v>34</v>
      </c>
      <c r="J2016" s="1" t="s">
        <v>131</v>
      </c>
      <c r="K2016" s="1" t="s">
        <v>112</v>
      </c>
      <c r="L2016" s="1" t="s">
        <v>136</v>
      </c>
      <c r="M2016" s="1" t="s">
        <v>50</v>
      </c>
      <c r="N2016" s="1" t="n">
        <v>11999</v>
      </c>
      <c r="O2016" s="1" t="n">
        <v>0</v>
      </c>
      <c r="P2016" s="1" t="n">
        <v>0</v>
      </c>
      <c r="Q2016" s="1" t="n">
        <v>11999</v>
      </c>
      <c r="R2016" s="1" t="n">
        <v>2159.82</v>
      </c>
      <c r="S2016" s="1" t="n">
        <v>9839.18</v>
      </c>
      <c r="T2016" s="1" t="n">
        <v>4919.3</v>
      </c>
      <c r="U2016" s="1" t="n">
        <v>4919.88</v>
      </c>
      <c r="V2016" s="1" t="n">
        <v>50</v>
      </c>
      <c r="W2016" s="1" t="s">
        <v>39</v>
      </c>
      <c r="X2016" s="1" t="n">
        <v>4.3</v>
      </c>
      <c r="Y2016" s="1" t="s">
        <v>40</v>
      </c>
      <c r="Z2016" s="1" t="n">
        <v>2</v>
      </c>
    </row>
    <row r="2017" customFormat="false" ht="15" hidden="false" customHeight="true" outlineLevel="0" collapsed="false">
      <c r="A2017" s="1" t="s">
        <v>2873</v>
      </c>
      <c r="B2017" s="1" t="s">
        <v>304</v>
      </c>
      <c r="C2017" s="1" t="s">
        <v>249</v>
      </c>
      <c r="D2017" s="1" t="s">
        <v>29</v>
      </c>
      <c r="E2017" s="1" t="s">
        <v>129</v>
      </c>
      <c r="F2017" s="1" t="s">
        <v>194</v>
      </c>
      <c r="G2017" s="1" t="s">
        <v>103</v>
      </c>
      <c r="H2017" s="1" t="s">
        <v>69</v>
      </c>
      <c r="I2017" s="1" t="s">
        <v>83</v>
      </c>
      <c r="J2017" s="1" t="s">
        <v>70</v>
      </c>
      <c r="K2017" s="1" t="s">
        <v>104</v>
      </c>
      <c r="L2017" s="1" t="s">
        <v>113</v>
      </c>
      <c r="M2017" s="1" t="s">
        <v>62</v>
      </c>
      <c r="N2017" s="1" t="n">
        <v>29999</v>
      </c>
      <c r="O2017" s="1" t="n">
        <v>30</v>
      </c>
      <c r="P2017" s="1" t="n">
        <v>8999.7</v>
      </c>
      <c r="Q2017" s="1" t="n">
        <v>20999.3</v>
      </c>
      <c r="R2017" s="1" t="n">
        <v>3779.87</v>
      </c>
      <c r="S2017" s="1" t="n">
        <v>17219.43</v>
      </c>
      <c r="T2017" s="1" t="n">
        <v>6511.31</v>
      </c>
      <c r="U2017" s="1" t="n">
        <v>10708.12</v>
      </c>
      <c r="V2017" s="1" t="n">
        <v>62.19</v>
      </c>
      <c r="W2017" s="1" t="s">
        <v>40</v>
      </c>
      <c r="Y2017" s="1" t="s">
        <v>40</v>
      </c>
      <c r="Z2017" s="1" t="n">
        <v>0</v>
      </c>
    </row>
    <row r="2018" customFormat="false" ht="15" hidden="false" customHeight="true" outlineLevel="0" collapsed="false">
      <c r="A2018" s="1" t="s">
        <v>2874</v>
      </c>
      <c r="B2018" s="1" t="s">
        <v>1420</v>
      </c>
      <c r="C2018" s="1" t="s">
        <v>128</v>
      </c>
      <c r="D2018" s="1" t="s">
        <v>53</v>
      </c>
      <c r="E2018" s="1" t="s">
        <v>116</v>
      </c>
      <c r="F2018" s="1" t="s">
        <v>244</v>
      </c>
      <c r="G2018" s="1" t="s">
        <v>97</v>
      </c>
      <c r="H2018" s="1" t="s">
        <v>57</v>
      </c>
      <c r="I2018" s="1" t="s">
        <v>83</v>
      </c>
      <c r="J2018" s="1" t="s">
        <v>59</v>
      </c>
      <c r="K2018" s="1" t="s">
        <v>60</v>
      </c>
      <c r="L2018" s="1" t="s">
        <v>49</v>
      </c>
      <c r="M2018" s="1" t="s">
        <v>62</v>
      </c>
      <c r="N2018" s="1" t="n">
        <v>9999</v>
      </c>
      <c r="O2018" s="1" t="n">
        <v>10</v>
      </c>
      <c r="P2018" s="1" t="n">
        <v>999.9</v>
      </c>
      <c r="Q2018" s="1" t="n">
        <v>8999.1</v>
      </c>
      <c r="R2018" s="1" t="n">
        <v>1619.84</v>
      </c>
      <c r="S2018" s="1" t="n">
        <v>7379.26</v>
      </c>
      <c r="T2018" s="1" t="n">
        <v>3446.89</v>
      </c>
      <c r="U2018" s="1" t="n">
        <v>3932.37</v>
      </c>
      <c r="V2018" s="1" t="n">
        <v>53.29</v>
      </c>
      <c r="W2018" s="1" t="s">
        <v>39</v>
      </c>
      <c r="Y2018" s="1" t="s">
        <v>40</v>
      </c>
      <c r="Z2018" s="1" t="n">
        <v>0</v>
      </c>
    </row>
    <row r="2019" customFormat="false" ht="15" hidden="false" customHeight="true" outlineLevel="0" collapsed="false">
      <c r="A2019" s="1" t="s">
        <v>2405</v>
      </c>
      <c r="B2019" s="1" t="s">
        <v>364</v>
      </c>
      <c r="C2019" s="1" t="s">
        <v>74</v>
      </c>
      <c r="D2019" s="1" t="s">
        <v>29</v>
      </c>
      <c r="E2019" s="1" t="s">
        <v>305</v>
      </c>
      <c r="F2019" s="1" t="s">
        <v>184</v>
      </c>
      <c r="G2019" s="1" t="s">
        <v>56</v>
      </c>
      <c r="H2019" s="1" t="s">
        <v>57</v>
      </c>
      <c r="I2019" s="1" t="s">
        <v>83</v>
      </c>
      <c r="J2019" s="1" t="s">
        <v>131</v>
      </c>
      <c r="K2019" s="1" t="s">
        <v>90</v>
      </c>
      <c r="L2019" s="1" t="s">
        <v>85</v>
      </c>
      <c r="M2019" s="1" t="s">
        <v>62</v>
      </c>
      <c r="N2019" s="1" t="n">
        <v>24999</v>
      </c>
      <c r="O2019" s="1" t="n">
        <v>0</v>
      </c>
      <c r="P2019" s="1" t="n">
        <v>0</v>
      </c>
      <c r="Q2019" s="1" t="n">
        <v>24999</v>
      </c>
      <c r="R2019" s="1" t="n">
        <v>4499.82</v>
      </c>
      <c r="S2019" s="1" t="n">
        <v>20499.18</v>
      </c>
      <c r="T2019" s="1" t="n">
        <v>8361.87</v>
      </c>
      <c r="U2019" s="1" t="n">
        <v>12137.31</v>
      </c>
      <c r="V2019" s="1" t="n">
        <v>59.21</v>
      </c>
      <c r="W2019" s="1" t="s">
        <v>39</v>
      </c>
      <c r="X2019" s="1" t="n">
        <v>3.7</v>
      </c>
      <c r="Y2019" s="1" t="s">
        <v>40</v>
      </c>
      <c r="Z2019" s="1" t="n">
        <v>0</v>
      </c>
    </row>
    <row r="2020" customFormat="false" ht="15" hidden="false" customHeight="true" outlineLevel="0" collapsed="false">
      <c r="A2020" s="1" t="s">
        <v>2875</v>
      </c>
      <c r="B2020" s="1" t="s">
        <v>520</v>
      </c>
      <c r="C2020" s="1" t="s">
        <v>100</v>
      </c>
      <c r="D2020" s="1" t="s">
        <v>44</v>
      </c>
      <c r="E2020" s="1" t="s">
        <v>221</v>
      </c>
      <c r="F2020" s="1" t="s">
        <v>102</v>
      </c>
      <c r="G2020" s="1" t="s">
        <v>103</v>
      </c>
      <c r="H2020" s="1" t="s">
        <v>33</v>
      </c>
      <c r="I2020" s="1" t="s">
        <v>34</v>
      </c>
      <c r="J2020" s="1" t="s">
        <v>59</v>
      </c>
      <c r="K2020" s="1" t="s">
        <v>104</v>
      </c>
      <c r="L2020" s="1" t="s">
        <v>136</v>
      </c>
      <c r="M2020" s="1" t="s">
        <v>62</v>
      </c>
      <c r="N2020" s="1" t="n">
        <v>16999</v>
      </c>
      <c r="O2020" s="1" t="n">
        <v>40</v>
      </c>
      <c r="P2020" s="1" t="n">
        <v>6799.6</v>
      </c>
      <c r="Q2020" s="1" t="n">
        <v>10199.4</v>
      </c>
      <c r="R2020" s="1" t="n">
        <v>1835.89</v>
      </c>
      <c r="S2020" s="1" t="n">
        <v>8363.51</v>
      </c>
      <c r="T2020" s="1" t="n">
        <v>5269.95</v>
      </c>
      <c r="U2020" s="1" t="n">
        <v>3093.56</v>
      </c>
      <c r="V2020" s="1" t="n">
        <v>36.99</v>
      </c>
      <c r="W2020" s="1" t="s">
        <v>39</v>
      </c>
      <c r="Y2020" s="1" t="s">
        <v>40</v>
      </c>
      <c r="Z2020" s="1" t="n">
        <v>0</v>
      </c>
    </row>
    <row r="2021" customFormat="false" ht="15" hidden="false" customHeight="true" outlineLevel="0" collapsed="false">
      <c r="A2021" s="1" t="s">
        <v>2876</v>
      </c>
      <c r="B2021" s="1" t="s">
        <v>2572</v>
      </c>
      <c r="C2021" s="1" t="s">
        <v>128</v>
      </c>
      <c r="D2021" s="1" t="s">
        <v>80</v>
      </c>
      <c r="E2021" s="1" t="s">
        <v>81</v>
      </c>
      <c r="F2021" s="1" t="s">
        <v>96</v>
      </c>
      <c r="G2021" s="1" t="s">
        <v>97</v>
      </c>
      <c r="H2021" s="1" t="s">
        <v>69</v>
      </c>
      <c r="I2021" s="1" t="s">
        <v>34</v>
      </c>
      <c r="J2021" s="1" t="s">
        <v>59</v>
      </c>
      <c r="K2021" s="1" t="s">
        <v>60</v>
      </c>
      <c r="L2021" s="1" t="s">
        <v>85</v>
      </c>
      <c r="M2021" s="1" t="s">
        <v>38</v>
      </c>
      <c r="N2021" s="1" t="n">
        <v>12999</v>
      </c>
      <c r="O2021" s="1" t="n">
        <v>50</v>
      </c>
      <c r="P2021" s="1" t="n">
        <v>6499.5</v>
      </c>
      <c r="Q2021" s="1" t="n">
        <v>6499.5</v>
      </c>
      <c r="R2021" s="1" t="n">
        <v>1169.91</v>
      </c>
      <c r="S2021" s="1" t="n">
        <v>5329.59</v>
      </c>
      <c r="T2021" s="1" t="n">
        <v>2940.06</v>
      </c>
      <c r="U2021" s="1" t="n">
        <v>2389.53</v>
      </c>
      <c r="V2021" s="1" t="n">
        <v>44.84</v>
      </c>
      <c r="W2021" s="1" t="s">
        <v>39</v>
      </c>
      <c r="X2021" s="1" t="n">
        <v>3.8</v>
      </c>
      <c r="Y2021" s="1" t="s">
        <v>40</v>
      </c>
      <c r="Z2021" s="1" t="n">
        <v>1</v>
      </c>
    </row>
    <row r="2022" customFormat="false" ht="15" hidden="false" customHeight="true" outlineLevel="0" collapsed="false">
      <c r="A2022" s="1" t="s">
        <v>2877</v>
      </c>
      <c r="B2022" s="1" t="s">
        <v>587</v>
      </c>
      <c r="C2022" s="1" t="s">
        <v>88</v>
      </c>
      <c r="D2022" s="1" t="s">
        <v>94</v>
      </c>
      <c r="E2022" s="1" t="s">
        <v>101</v>
      </c>
      <c r="F2022" s="1" t="s">
        <v>82</v>
      </c>
      <c r="G2022" s="1" t="s">
        <v>56</v>
      </c>
      <c r="H2022" s="1" t="s">
        <v>69</v>
      </c>
      <c r="I2022" s="1" t="s">
        <v>34</v>
      </c>
      <c r="J2022" s="1" t="s">
        <v>59</v>
      </c>
      <c r="K2022" s="1" t="s">
        <v>84</v>
      </c>
      <c r="L2022" s="1" t="s">
        <v>37</v>
      </c>
      <c r="M2022" s="1" t="s">
        <v>50</v>
      </c>
      <c r="N2022" s="1" t="n">
        <v>14999</v>
      </c>
      <c r="O2022" s="1" t="n">
        <v>0</v>
      </c>
      <c r="P2022" s="1" t="n">
        <v>0</v>
      </c>
      <c r="Q2022" s="1" t="n">
        <v>14999</v>
      </c>
      <c r="R2022" s="1" t="n">
        <v>2699.82</v>
      </c>
      <c r="S2022" s="1" t="n">
        <v>12299.18</v>
      </c>
      <c r="T2022" s="1" t="n">
        <v>5179.36</v>
      </c>
      <c r="U2022" s="1" t="n">
        <v>7119.82</v>
      </c>
      <c r="V2022" s="1" t="n">
        <v>57.89</v>
      </c>
      <c r="W2022" s="1" t="s">
        <v>39</v>
      </c>
      <c r="X2022" s="1" t="n">
        <v>3.5</v>
      </c>
      <c r="Y2022" s="1" t="s">
        <v>40</v>
      </c>
      <c r="Z2022" s="1" t="n">
        <v>0</v>
      </c>
    </row>
    <row r="2023" customFormat="false" ht="15" hidden="false" customHeight="true" outlineLevel="0" collapsed="false">
      <c r="A2023" s="1" t="s">
        <v>2878</v>
      </c>
      <c r="B2023" s="1" t="s">
        <v>2879</v>
      </c>
      <c r="C2023" s="1" t="s">
        <v>264</v>
      </c>
      <c r="D2023" s="1" t="s">
        <v>29</v>
      </c>
      <c r="E2023" s="1" t="s">
        <v>305</v>
      </c>
      <c r="F2023" s="1" t="s">
        <v>269</v>
      </c>
      <c r="G2023" s="1" t="s">
        <v>108</v>
      </c>
      <c r="H2023" s="1" t="s">
        <v>57</v>
      </c>
      <c r="I2023" s="1" t="s">
        <v>34</v>
      </c>
      <c r="J2023" s="1" t="s">
        <v>59</v>
      </c>
      <c r="K2023" s="1" t="s">
        <v>112</v>
      </c>
      <c r="L2023" s="1" t="s">
        <v>113</v>
      </c>
      <c r="M2023" s="1" t="s">
        <v>38</v>
      </c>
      <c r="N2023" s="1" t="n">
        <v>24999</v>
      </c>
      <c r="O2023" s="1" t="n">
        <v>25</v>
      </c>
      <c r="P2023" s="1" t="n">
        <v>6249.75</v>
      </c>
      <c r="Q2023" s="1" t="n">
        <v>18749.25</v>
      </c>
      <c r="R2023" s="1" t="n">
        <v>3374.86</v>
      </c>
      <c r="S2023" s="1" t="n">
        <v>15374.39</v>
      </c>
      <c r="T2023" s="1" t="n">
        <v>6682.44</v>
      </c>
      <c r="U2023" s="1" t="n">
        <v>8691.95</v>
      </c>
      <c r="V2023" s="1" t="n">
        <v>56.54</v>
      </c>
      <c r="W2023" s="1" t="s">
        <v>39</v>
      </c>
      <c r="Y2023" s="1" t="s">
        <v>40</v>
      </c>
      <c r="Z2023" s="1" t="n">
        <v>0</v>
      </c>
    </row>
    <row r="2024" customFormat="false" ht="15" hidden="false" customHeight="true" outlineLevel="0" collapsed="false">
      <c r="A2024" s="1" t="s">
        <v>2880</v>
      </c>
      <c r="B2024" s="1" t="s">
        <v>2881</v>
      </c>
      <c r="C2024" s="1" t="s">
        <v>139</v>
      </c>
      <c r="D2024" s="1" t="s">
        <v>44</v>
      </c>
      <c r="E2024" s="1" t="s">
        <v>45</v>
      </c>
      <c r="F2024" s="1" t="s">
        <v>31</v>
      </c>
      <c r="G2024" s="1" t="s">
        <v>32</v>
      </c>
      <c r="H2024" s="1" t="s">
        <v>33</v>
      </c>
      <c r="I2024" s="1" t="s">
        <v>83</v>
      </c>
      <c r="J2024" s="1" t="s">
        <v>77</v>
      </c>
      <c r="K2024" s="1" t="s">
        <v>112</v>
      </c>
      <c r="L2024" s="1" t="s">
        <v>113</v>
      </c>
      <c r="M2024" s="1" t="s">
        <v>50</v>
      </c>
      <c r="N2024" s="1" t="n">
        <v>11999</v>
      </c>
      <c r="O2024" s="1" t="n">
        <v>0</v>
      </c>
      <c r="P2024" s="1" t="n">
        <v>0</v>
      </c>
      <c r="Q2024" s="1" t="n">
        <v>11999</v>
      </c>
      <c r="R2024" s="1" t="n">
        <v>2159.82</v>
      </c>
      <c r="S2024" s="1" t="n">
        <v>9839.18</v>
      </c>
      <c r="T2024" s="1" t="n">
        <v>5233.64</v>
      </c>
      <c r="U2024" s="1" t="n">
        <v>4605.54</v>
      </c>
      <c r="V2024" s="1" t="n">
        <v>46.81</v>
      </c>
      <c r="W2024" s="1" t="s">
        <v>39</v>
      </c>
      <c r="X2024" s="1" t="n">
        <v>2.4</v>
      </c>
      <c r="Y2024" s="1" t="s">
        <v>40</v>
      </c>
      <c r="Z2024" s="1" t="n">
        <v>0</v>
      </c>
    </row>
    <row r="2025" customFormat="false" ht="15" hidden="false" customHeight="true" outlineLevel="0" collapsed="false">
      <c r="A2025" s="1" t="s">
        <v>2882</v>
      </c>
      <c r="B2025" s="1" t="s">
        <v>999</v>
      </c>
      <c r="C2025" s="1" t="s">
        <v>119</v>
      </c>
      <c r="D2025" s="1" t="s">
        <v>168</v>
      </c>
      <c r="E2025" s="1" t="s">
        <v>169</v>
      </c>
      <c r="F2025" s="1" t="s">
        <v>194</v>
      </c>
      <c r="G2025" s="1" t="s">
        <v>103</v>
      </c>
      <c r="H2025" s="1" t="s">
        <v>69</v>
      </c>
      <c r="I2025" s="1" t="s">
        <v>34</v>
      </c>
      <c r="J2025" s="1" t="s">
        <v>70</v>
      </c>
      <c r="K2025" s="1" t="s">
        <v>90</v>
      </c>
      <c r="L2025" s="1" t="s">
        <v>37</v>
      </c>
      <c r="M2025" s="1" t="s">
        <v>50</v>
      </c>
      <c r="N2025" s="1" t="n">
        <v>4999</v>
      </c>
      <c r="O2025" s="1" t="n">
        <v>0</v>
      </c>
      <c r="P2025" s="1" t="n">
        <v>0</v>
      </c>
      <c r="Q2025" s="1" t="n">
        <v>4999</v>
      </c>
      <c r="R2025" s="1" t="n">
        <v>899.82</v>
      </c>
      <c r="S2025" s="1" t="n">
        <v>4099.18</v>
      </c>
      <c r="T2025" s="1" t="n">
        <v>1620.32</v>
      </c>
      <c r="U2025" s="1" t="n">
        <v>2478.86</v>
      </c>
      <c r="V2025" s="1" t="n">
        <v>60.47</v>
      </c>
      <c r="W2025" s="1" t="s">
        <v>39</v>
      </c>
      <c r="X2025" s="1" t="n">
        <v>4.1</v>
      </c>
      <c r="Y2025" s="1" t="s">
        <v>40</v>
      </c>
      <c r="Z2025" s="1" t="n">
        <v>1</v>
      </c>
    </row>
    <row r="2026" customFormat="false" ht="15" hidden="false" customHeight="true" outlineLevel="0" collapsed="false">
      <c r="A2026" s="1" t="s">
        <v>2883</v>
      </c>
      <c r="B2026" s="1" t="s">
        <v>218</v>
      </c>
      <c r="C2026" s="1" t="s">
        <v>119</v>
      </c>
      <c r="D2026" s="1" t="s">
        <v>123</v>
      </c>
      <c r="E2026" s="1" t="s">
        <v>147</v>
      </c>
      <c r="F2026" s="1" t="s">
        <v>107</v>
      </c>
      <c r="G2026" s="1" t="s">
        <v>108</v>
      </c>
      <c r="H2026" s="1" t="s">
        <v>33</v>
      </c>
      <c r="I2026" s="1" t="s">
        <v>83</v>
      </c>
      <c r="J2026" s="1" t="s">
        <v>70</v>
      </c>
      <c r="K2026" s="1" t="s">
        <v>36</v>
      </c>
      <c r="L2026" s="1" t="s">
        <v>49</v>
      </c>
      <c r="M2026" s="1" t="s">
        <v>62</v>
      </c>
      <c r="N2026" s="1" t="n">
        <v>6999</v>
      </c>
      <c r="O2026" s="1" t="n">
        <v>0</v>
      </c>
      <c r="P2026" s="1" t="n">
        <v>0</v>
      </c>
      <c r="Q2026" s="1" t="n">
        <v>6999</v>
      </c>
      <c r="R2026" s="1" t="n">
        <v>1259.82</v>
      </c>
      <c r="S2026" s="1" t="n">
        <v>5739.18</v>
      </c>
      <c r="T2026" s="1" t="n">
        <v>2813.32</v>
      </c>
      <c r="U2026" s="1" t="n">
        <v>2925.86</v>
      </c>
      <c r="V2026" s="1" t="n">
        <v>50.98</v>
      </c>
      <c r="W2026" s="1" t="s">
        <v>40</v>
      </c>
      <c r="Y2026" s="1" t="s">
        <v>40</v>
      </c>
      <c r="Z2026" s="1" t="n">
        <v>0</v>
      </c>
    </row>
    <row r="2027" customFormat="false" ht="15" hidden="false" customHeight="true" outlineLevel="0" collapsed="false">
      <c r="A2027" s="1" t="s">
        <v>2884</v>
      </c>
      <c r="B2027" s="1" t="s">
        <v>1734</v>
      </c>
      <c r="C2027" s="1" t="s">
        <v>88</v>
      </c>
      <c r="D2027" s="1" t="s">
        <v>44</v>
      </c>
      <c r="E2027" s="1" t="s">
        <v>45</v>
      </c>
      <c r="F2027" s="1" t="s">
        <v>125</v>
      </c>
      <c r="G2027" s="1" t="s">
        <v>108</v>
      </c>
      <c r="H2027" s="1" t="s">
        <v>69</v>
      </c>
      <c r="I2027" s="1" t="s">
        <v>58</v>
      </c>
      <c r="J2027" s="1" t="s">
        <v>131</v>
      </c>
      <c r="K2027" s="1" t="s">
        <v>90</v>
      </c>
      <c r="L2027" s="1" t="s">
        <v>61</v>
      </c>
      <c r="M2027" s="1" t="s">
        <v>50</v>
      </c>
      <c r="N2027" s="1" t="n">
        <v>11999</v>
      </c>
      <c r="O2027" s="1" t="n">
        <v>20</v>
      </c>
      <c r="P2027" s="1" t="n">
        <v>2399.8</v>
      </c>
      <c r="Q2027" s="1" t="n">
        <v>9599.2</v>
      </c>
      <c r="R2027" s="1" t="n">
        <v>1727.86</v>
      </c>
      <c r="S2027" s="1" t="n">
        <v>7871.34</v>
      </c>
      <c r="T2027" s="1" t="n">
        <v>3720.24</v>
      </c>
      <c r="U2027" s="1" t="n">
        <v>4151.1</v>
      </c>
      <c r="V2027" s="1" t="n">
        <v>52.74</v>
      </c>
      <c r="W2027" s="1" t="s">
        <v>39</v>
      </c>
      <c r="X2027" s="1" t="n">
        <v>3.3</v>
      </c>
      <c r="Y2027" s="1" t="s">
        <v>40</v>
      </c>
      <c r="Z2027" s="1" t="n">
        <v>0</v>
      </c>
    </row>
    <row r="2028" customFormat="false" ht="15" hidden="false" customHeight="true" outlineLevel="0" collapsed="false">
      <c r="A2028" s="1" t="s">
        <v>2885</v>
      </c>
      <c r="B2028" s="1" t="s">
        <v>253</v>
      </c>
      <c r="C2028" s="1" t="s">
        <v>28</v>
      </c>
      <c r="D2028" s="1" t="s">
        <v>53</v>
      </c>
      <c r="E2028" s="1" t="s">
        <v>116</v>
      </c>
      <c r="F2028" s="1" t="s">
        <v>130</v>
      </c>
      <c r="G2028" s="1" t="s">
        <v>47</v>
      </c>
      <c r="H2028" s="1" t="s">
        <v>69</v>
      </c>
      <c r="I2028" s="1" t="s">
        <v>58</v>
      </c>
      <c r="J2028" s="1" t="s">
        <v>70</v>
      </c>
      <c r="K2028" s="1" t="s">
        <v>84</v>
      </c>
      <c r="L2028" s="1" t="s">
        <v>113</v>
      </c>
      <c r="M2028" s="1" t="s">
        <v>50</v>
      </c>
      <c r="N2028" s="1" t="n">
        <v>9999</v>
      </c>
      <c r="O2028" s="1" t="n">
        <v>0</v>
      </c>
      <c r="P2028" s="1" t="n">
        <v>0</v>
      </c>
      <c r="Q2028" s="1" t="n">
        <v>9999</v>
      </c>
      <c r="R2028" s="1" t="n">
        <v>1799.82</v>
      </c>
      <c r="S2028" s="1" t="n">
        <v>8199.18</v>
      </c>
      <c r="T2028" s="1" t="n">
        <v>3386.74</v>
      </c>
      <c r="U2028" s="1" t="n">
        <v>4812.44</v>
      </c>
      <c r="V2028" s="1" t="n">
        <v>58.69</v>
      </c>
      <c r="W2028" s="1" t="s">
        <v>39</v>
      </c>
      <c r="X2028" s="1" t="n">
        <v>3.6</v>
      </c>
      <c r="Y2028" s="1" t="s">
        <v>40</v>
      </c>
      <c r="Z2028" s="1" t="n">
        <v>0</v>
      </c>
    </row>
    <row r="2029" customFormat="false" ht="15" hidden="false" customHeight="true" outlineLevel="0" collapsed="false">
      <c r="A2029" s="1" t="s">
        <v>2886</v>
      </c>
      <c r="B2029" s="1" t="s">
        <v>805</v>
      </c>
      <c r="C2029" s="1" t="s">
        <v>65</v>
      </c>
      <c r="D2029" s="1" t="s">
        <v>168</v>
      </c>
      <c r="E2029" s="1" t="s">
        <v>169</v>
      </c>
      <c r="F2029" s="1" t="s">
        <v>82</v>
      </c>
      <c r="G2029" s="1" t="s">
        <v>56</v>
      </c>
      <c r="H2029" s="1" t="s">
        <v>69</v>
      </c>
      <c r="I2029" s="1" t="s">
        <v>83</v>
      </c>
      <c r="J2029" s="1" t="s">
        <v>131</v>
      </c>
      <c r="K2029" s="1" t="s">
        <v>90</v>
      </c>
      <c r="L2029" s="1" t="s">
        <v>136</v>
      </c>
      <c r="M2029" s="1" t="s">
        <v>38</v>
      </c>
      <c r="N2029" s="1" t="n">
        <v>4999</v>
      </c>
      <c r="O2029" s="1" t="n">
        <v>0</v>
      </c>
      <c r="P2029" s="1" t="n">
        <v>0</v>
      </c>
      <c r="Q2029" s="1" t="n">
        <v>4999</v>
      </c>
      <c r="R2029" s="1" t="n">
        <v>899.82</v>
      </c>
      <c r="S2029" s="1" t="n">
        <v>4099.18</v>
      </c>
      <c r="T2029" s="1" t="n">
        <v>1850.5</v>
      </c>
      <c r="U2029" s="1" t="n">
        <v>2248.68</v>
      </c>
      <c r="V2029" s="1" t="n">
        <v>54.86</v>
      </c>
      <c r="W2029" s="1" t="s">
        <v>39</v>
      </c>
      <c r="X2029" s="1" t="n">
        <v>3.5</v>
      </c>
      <c r="Y2029" s="1" t="s">
        <v>40</v>
      </c>
      <c r="Z2029" s="1" t="n">
        <v>0</v>
      </c>
    </row>
    <row r="2030" customFormat="false" ht="15" hidden="false" customHeight="true" outlineLevel="0" collapsed="false">
      <c r="A2030" s="1" t="s">
        <v>2887</v>
      </c>
      <c r="B2030" s="1" t="s">
        <v>259</v>
      </c>
      <c r="C2030" s="1" t="s">
        <v>178</v>
      </c>
      <c r="D2030" s="1" t="s">
        <v>143</v>
      </c>
      <c r="E2030" s="1" t="s">
        <v>162</v>
      </c>
      <c r="F2030" s="1" t="s">
        <v>67</v>
      </c>
      <c r="G2030" s="1" t="s">
        <v>68</v>
      </c>
      <c r="H2030" s="1" t="s">
        <v>69</v>
      </c>
      <c r="I2030" s="1" t="s">
        <v>34</v>
      </c>
      <c r="J2030" s="1" t="s">
        <v>131</v>
      </c>
      <c r="K2030" s="1" t="s">
        <v>71</v>
      </c>
      <c r="L2030" s="1" t="s">
        <v>61</v>
      </c>
      <c r="M2030" s="1" t="s">
        <v>62</v>
      </c>
      <c r="N2030" s="1" t="n">
        <v>14999</v>
      </c>
      <c r="O2030" s="1" t="n">
        <v>0</v>
      </c>
      <c r="P2030" s="1" t="n">
        <v>0</v>
      </c>
      <c r="Q2030" s="1" t="n">
        <v>14999</v>
      </c>
      <c r="R2030" s="1" t="n">
        <v>2699.82</v>
      </c>
      <c r="S2030" s="1" t="n">
        <v>12299.18</v>
      </c>
      <c r="T2030" s="1" t="n">
        <v>4761.84</v>
      </c>
      <c r="U2030" s="1" t="n">
        <v>7537.34</v>
      </c>
      <c r="V2030" s="1" t="n">
        <v>61.28</v>
      </c>
      <c r="W2030" s="1" t="s">
        <v>39</v>
      </c>
      <c r="Y2030" s="1" t="s">
        <v>40</v>
      </c>
      <c r="Z2030" s="1" t="n">
        <v>0</v>
      </c>
    </row>
    <row r="2031" customFormat="false" ht="15" hidden="false" customHeight="true" outlineLevel="0" collapsed="false">
      <c r="A2031" s="1" t="s">
        <v>2888</v>
      </c>
      <c r="B2031" s="1" t="s">
        <v>1946</v>
      </c>
      <c r="C2031" s="1" t="s">
        <v>139</v>
      </c>
      <c r="D2031" s="1" t="s">
        <v>143</v>
      </c>
      <c r="E2031" s="1" t="s">
        <v>243</v>
      </c>
      <c r="F2031" s="1" t="s">
        <v>120</v>
      </c>
      <c r="G2031" s="1" t="s">
        <v>47</v>
      </c>
      <c r="H2031" s="1" t="s">
        <v>57</v>
      </c>
      <c r="I2031" s="1" t="s">
        <v>34</v>
      </c>
      <c r="J2031" s="1" t="s">
        <v>77</v>
      </c>
      <c r="K2031" s="1" t="s">
        <v>84</v>
      </c>
      <c r="L2031" s="1" t="s">
        <v>49</v>
      </c>
      <c r="M2031" s="1" t="s">
        <v>38</v>
      </c>
      <c r="N2031" s="1" t="n">
        <v>22999</v>
      </c>
      <c r="O2031" s="1" t="n">
        <v>40</v>
      </c>
      <c r="P2031" s="1" t="n">
        <v>9199.6</v>
      </c>
      <c r="Q2031" s="1" t="n">
        <v>13799.4</v>
      </c>
      <c r="R2031" s="1" t="n">
        <v>2483.89</v>
      </c>
      <c r="S2031" s="1" t="n">
        <v>11315.51</v>
      </c>
      <c r="T2031" s="1" t="n">
        <v>6216.74</v>
      </c>
      <c r="U2031" s="1" t="n">
        <v>5098.77</v>
      </c>
      <c r="V2031" s="1" t="n">
        <v>45.06</v>
      </c>
      <c r="W2031" s="1" t="s">
        <v>39</v>
      </c>
      <c r="X2031" s="1" t="n">
        <v>3</v>
      </c>
      <c r="Y2031" s="1" t="s">
        <v>40</v>
      </c>
      <c r="Z2031" s="1" t="n">
        <v>0</v>
      </c>
    </row>
    <row r="2032" customFormat="false" ht="15" hidden="false" customHeight="true" outlineLevel="0" collapsed="false">
      <c r="A2032" s="1" t="s">
        <v>2889</v>
      </c>
      <c r="B2032" s="1" t="s">
        <v>805</v>
      </c>
      <c r="C2032" s="1" t="s">
        <v>128</v>
      </c>
      <c r="D2032" s="1" t="s">
        <v>29</v>
      </c>
      <c r="E2032" s="1" t="s">
        <v>182</v>
      </c>
      <c r="F2032" s="1" t="s">
        <v>102</v>
      </c>
      <c r="G2032" s="1" t="s">
        <v>103</v>
      </c>
      <c r="H2032" s="1" t="s">
        <v>33</v>
      </c>
      <c r="I2032" s="1" t="s">
        <v>34</v>
      </c>
      <c r="J2032" s="1" t="s">
        <v>59</v>
      </c>
      <c r="K2032" s="1" t="s">
        <v>60</v>
      </c>
      <c r="L2032" s="1" t="s">
        <v>113</v>
      </c>
      <c r="M2032" s="1" t="s">
        <v>50</v>
      </c>
      <c r="N2032" s="1" t="n">
        <v>34999</v>
      </c>
      <c r="O2032" s="1" t="n">
        <v>5</v>
      </c>
      <c r="P2032" s="1" t="n">
        <v>1749.95</v>
      </c>
      <c r="Q2032" s="1" t="n">
        <v>33249.05</v>
      </c>
      <c r="R2032" s="1" t="n">
        <v>5984.83</v>
      </c>
      <c r="S2032" s="1" t="n">
        <v>27264.22</v>
      </c>
      <c r="T2032" s="1" t="n">
        <v>11215.41</v>
      </c>
      <c r="U2032" s="1" t="n">
        <v>16048.81</v>
      </c>
      <c r="V2032" s="1" t="n">
        <v>58.86</v>
      </c>
      <c r="W2032" s="1" t="s">
        <v>39</v>
      </c>
      <c r="X2032" s="1" t="n">
        <v>4.2</v>
      </c>
      <c r="Y2032" s="1" t="s">
        <v>40</v>
      </c>
      <c r="Z2032" s="1" t="n">
        <v>0</v>
      </c>
    </row>
    <row r="2033" customFormat="false" ht="15" hidden="false" customHeight="true" outlineLevel="0" collapsed="false">
      <c r="A2033" s="1" t="s">
        <v>2890</v>
      </c>
      <c r="B2033" s="1" t="s">
        <v>1691</v>
      </c>
      <c r="C2033" s="1" t="s">
        <v>249</v>
      </c>
      <c r="D2033" s="1" t="s">
        <v>168</v>
      </c>
      <c r="E2033" s="1" t="s">
        <v>328</v>
      </c>
      <c r="F2033" s="1" t="s">
        <v>125</v>
      </c>
      <c r="G2033" s="1" t="s">
        <v>108</v>
      </c>
      <c r="H2033" s="1" t="s">
        <v>69</v>
      </c>
      <c r="I2033" s="1" t="s">
        <v>34</v>
      </c>
      <c r="J2033" s="1" t="s">
        <v>59</v>
      </c>
      <c r="K2033" s="1" t="s">
        <v>60</v>
      </c>
      <c r="L2033" s="1" t="s">
        <v>61</v>
      </c>
      <c r="M2033" s="1" t="s">
        <v>62</v>
      </c>
      <c r="N2033" s="1" t="n">
        <v>8999</v>
      </c>
      <c r="O2033" s="1" t="n">
        <v>0</v>
      </c>
      <c r="P2033" s="1" t="n">
        <v>0</v>
      </c>
      <c r="Q2033" s="1" t="n">
        <v>8999</v>
      </c>
      <c r="R2033" s="1" t="n">
        <v>1619.82</v>
      </c>
      <c r="S2033" s="1" t="n">
        <v>7379.18</v>
      </c>
      <c r="T2033" s="1" t="n">
        <v>2998</v>
      </c>
      <c r="U2033" s="1" t="n">
        <v>4381.18</v>
      </c>
      <c r="V2033" s="1" t="n">
        <v>59.37</v>
      </c>
      <c r="W2033" s="1" t="s">
        <v>40</v>
      </c>
      <c r="Y2033" s="1" t="s">
        <v>40</v>
      </c>
      <c r="Z2033" s="1" t="n">
        <v>0</v>
      </c>
    </row>
    <row r="2034" customFormat="false" ht="15" hidden="false" customHeight="true" outlineLevel="0" collapsed="false">
      <c r="A2034" s="1" t="s">
        <v>2891</v>
      </c>
      <c r="B2034" s="1" t="s">
        <v>495</v>
      </c>
      <c r="C2034" s="1" t="s">
        <v>43</v>
      </c>
      <c r="D2034" s="1" t="s">
        <v>80</v>
      </c>
      <c r="E2034" s="1" t="s">
        <v>190</v>
      </c>
      <c r="F2034" s="1" t="s">
        <v>130</v>
      </c>
      <c r="G2034" s="1" t="s">
        <v>47</v>
      </c>
      <c r="H2034" s="1" t="s">
        <v>69</v>
      </c>
      <c r="I2034" s="1" t="s">
        <v>83</v>
      </c>
      <c r="J2034" s="1" t="s">
        <v>131</v>
      </c>
      <c r="K2034" s="1" t="s">
        <v>48</v>
      </c>
      <c r="L2034" s="1" t="s">
        <v>136</v>
      </c>
      <c r="M2034" s="1" t="s">
        <v>50</v>
      </c>
      <c r="N2034" s="1" t="n">
        <v>15999</v>
      </c>
      <c r="O2034" s="1" t="n">
        <v>50</v>
      </c>
      <c r="P2034" s="1" t="n">
        <v>7999.5</v>
      </c>
      <c r="Q2034" s="1" t="n">
        <v>7999.5</v>
      </c>
      <c r="R2034" s="1" t="n">
        <v>1439.91</v>
      </c>
      <c r="S2034" s="1" t="n">
        <v>6559.59</v>
      </c>
      <c r="T2034" s="1" t="n">
        <v>3268.27</v>
      </c>
      <c r="U2034" s="1" t="n">
        <v>3291.32</v>
      </c>
      <c r="V2034" s="1" t="n">
        <v>50.18</v>
      </c>
      <c r="W2034" s="1" t="s">
        <v>39</v>
      </c>
      <c r="X2034" s="1" t="n">
        <v>4.5</v>
      </c>
      <c r="Y2034" s="1" t="s">
        <v>40</v>
      </c>
      <c r="Z2034" s="1" t="n">
        <v>0</v>
      </c>
    </row>
    <row r="2035" customFormat="false" ht="15" hidden="false" customHeight="true" outlineLevel="0" collapsed="false">
      <c r="A2035" s="1" t="s">
        <v>2892</v>
      </c>
      <c r="B2035" s="1" t="s">
        <v>947</v>
      </c>
      <c r="C2035" s="1" t="s">
        <v>119</v>
      </c>
      <c r="D2035" s="1" t="s">
        <v>143</v>
      </c>
      <c r="E2035" s="1" t="s">
        <v>144</v>
      </c>
      <c r="F2035" s="1" t="s">
        <v>75</v>
      </c>
      <c r="G2035" s="1" t="s">
        <v>76</v>
      </c>
      <c r="H2035" s="1" t="s">
        <v>69</v>
      </c>
      <c r="I2035" s="1" t="s">
        <v>83</v>
      </c>
      <c r="J2035" s="1" t="s">
        <v>70</v>
      </c>
      <c r="K2035" s="1" t="s">
        <v>71</v>
      </c>
      <c r="L2035" s="1" t="s">
        <v>113</v>
      </c>
      <c r="M2035" s="1" t="s">
        <v>38</v>
      </c>
      <c r="N2035" s="1" t="n">
        <v>12999</v>
      </c>
      <c r="O2035" s="1" t="n">
        <v>15</v>
      </c>
      <c r="P2035" s="1" t="n">
        <v>1949.85</v>
      </c>
      <c r="Q2035" s="1" t="n">
        <v>11049.15</v>
      </c>
      <c r="R2035" s="1" t="n">
        <v>1988.85</v>
      </c>
      <c r="S2035" s="1" t="n">
        <v>9060.3</v>
      </c>
      <c r="T2035" s="1" t="n">
        <v>3338.58</v>
      </c>
      <c r="U2035" s="1" t="n">
        <v>5721.72</v>
      </c>
      <c r="V2035" s="1" t="n">
        <v>63.15</v>
      </c>
      <c r="W2035" s="1" t="s">
        <v>39</v>
      </c>
      <c r="X2035" s="1" t="n">
        <v>3.3</v>
      </c>
      <c r="Y2035" s="1" t="s">
        <v>40</v>
      </c>
      <c r="Z2035" s="1" t="n">
        <v>0</v>
      </c>
    </row>
    <row r="2036" customFormat="false" ht="15" hidden="false" customHeight="true" outlineLevel="0" collapsed="false">
      <c r="A2036" s="1" t="s">
        <v>2893</v>
      </c>
      <c r="B2036" s="1" t="s">
        <v>122</v>
      </c>
      <c r="C2036" s="1" t="s">
        <v>167</v>
      </c>
      <c r="D2036" s="1" t="s">
        <v>53</v>
      </c>
      <c r="E2036" s="1" t="s">
        <v>54</v>
      </c>
      <c r="F2036" s="1" t="s">
        <v>46</v>
      </c>
      <c r="G2036" s="1" t="s">
        <v>47</v>
      </c>
      <c r="H2036" s="1" t="s">
        <v>33</v>
      </c>
      <c r="I2036" s="1" t="s">
        <v>58</v>
      </c>
      <c r="J2036" s="1" t="s">
        <v>35</v>
      </c>
      <c r="K2036" s="1" t="s">
        <v>104</v>
      </c>
      <c r="L2036" s="1" t="s">
        <v>61</v>
      </c>
      <c r="M2036" s="1" t="s">
        <v>50</v>
      </c>
      <c r="N2036" s="1" t="n">
        <v>11999</v>
      </c>
      <c r="O2036" s="1" t="n">
        <v>40</v>
      </c>
      <c r="P2036" s="1" t="n">
        <v>4799.6</v>
      </c>
      <c r="Q2036" s="1" t="n">
        <v>7199.4</v>
      </c>
      <c r="R2036" s="1" t="n">
        <v>1295.89</v>
      </c>
      <c r="S2036" s="1" t="n">
        <v>5903.51</v>
      </c>
      <c r="T2036" s="1" t="n">
        <v>3361.75</v>
      </c>
      <c r="U2036" s="1" t="n">
        <v>2541.76</v>
      </c>
      <c r="V2036" s="1" t="n">
        <v>43.06</v>
      </c>
      <c r="W2036" s="1" t="s">
        <v>39</v>
      </c>
      <c r="X2036" s="1" t="n">
        <v>3.6</v>
      </c>
      <c r="Y2036" s="1" t="s">
        <v>40</v>
      </c>
      <c r="Z2036" s="1" t="n">
        <v>0</v>
      </c>
    </row>
    <row r="2037" customFormat="false" ht="15" hidden="false" customHeight="true" outlineLevel="0" collapsed="false">
      <c r="A2037" s="1" t="s">
        <v>2894</v>
      </c>
      <c r="B2037" s="1" t="s">
        <v>851</v>
      </c>
      <c r="C2037" s="1" t="s">
        <v>74</v>
      </c>
      <c r="D2037" s="1" t="s">
        <v>123</v>
      </c>
      <c r="E2037" s="1" t="s">
        <v>233</v>
      </c>
      <c r="F2037" s="1" t="s">
        <v>150</v>
      </c>
      <c r="G2037" s="1" t="s">
        <v>32</v>
      </c>
      <c r="H2037" s="1" t="s">
        <v>57</v>
      </c>
      <c r="I2037" s="1" t="s">
        <v>58</v>
      </c>
      <c r="J2037" s="1" t="s">
        <v>70</v>
      </c>
      <c r="K2037" s="1" t="s">
        <v>48</v>
      </c>
      <c r="L2037" s="1" t="s">
        <v>61</v>
      </c>
      <c r="M2037" s="1" t="s">
        <v>50</v>
      </c>
      <c r="N2037" s="1" t="n">
        <v>8999</v>
      </c>
      <c r="O2037" s="1" t="n">
        <v>0</v>
      </c>
      <c r="P2037" s="1" t="n">
        <v>0</v>
      </c>
      <c r="Q2037" s="1" t="n">
        <v>8999</v>
      </c>
      <c r="R2037" s="1" t="n">
        <v>1619.82</v>
      </c>
      <c r="S2037" s="1" t="n">
        <v>7379.18</v>
      </c>
      <c r="T2037" s="1" t="n">
        <v>3387.51</v>
      </c>
      <c r="U2037" s="1" t="n">
        <v>3991.67</v>
      </c>
      <c r="V2037" s="1" t="n">
        <v>54.09</v>
      </c>
      <c r="W2037" s="1" t="s">
        <v>40</v>
      </c>
      <c r="Y2037" s="1" t="s">
        <v>40</v>
      </c>
      <c r="Z2037" s="1" t="n">
        <v>0</v>
      </c>
    </row>
    <row r="2038" customFormat="false" ht="15" hidden="false" customHeight="true" outlineLevel="0" collapsed="false">
      <c r="A2038" s="1" t="s">
        <v>2895</v>
      </c>
      <c r="B2038" s="1" t="s">
        <v>740</v>
      </c>
      <c r="C2038" s="1" t="s">
        <v>100</v>
      </c>
      <c r="D2038" s="1" t="s">
        <v>123</v>
      </c>
      <c r="E2038" s="1" t="s">
        <v>233</v>
      </c>
      <c r="F2038" s="1" t="s">
        <v>153</v>
      </c>
      <c r="G2038" s="1" t="s">
        <v>76</v>
      </c>
      <c r="H2038" s="1" t="s">
        <v>33</v>
      </c>
      <c r="I2038" s="1" t="s">
        <v>58</v>
      </c>
      <c r="J2038" s="1" t="s">
        <v>70</v>
      </c>
      <c r="K2038" s="1" t="s">
        <v>60</v>
      </c>
      <c r="L2038" s="1" t="s">
        <v>49</v>
      </c>
      <c r="M2038" s="1" t="s">
        <v>50</v>
      </c>
      <c r="N2038" s="1" t="n">
        <v>8999</v>
      </c>
      <c r="O2038" s="1" t="n">
        <v>5</v>
      </c>
      <c r="P2038" s="1" t="n">
        <v>449.95</v>
      </c>
      <c r="Q2038" s="1" t="n">
        <v>8549.05</v>
      </c>
      <c r="R2038" s="1" t="n">
        <v>1538.83</v>
      </c>
      <c r="S2038" s="1" t="n">
        <v>7010.22</v>
      </c>
      <c r="T2038" s="1" t="n">
        <v>2338.1</v>
      </c>
      <c r="U2038" s="1" t="n">
        <v>4672.12</v>
      </c>
      <c r="V2038" s="1" t="n">
        <v>66.65</v>
      </c>
      <c r="W2038" s="1" t="s">
        <v>39</v>
      </c>
      <c r="X2038" s="1" t="n">
        <v>3.2</v>
      </c>
      <c r="Y2038" s="1" t="s">
        <v>40</v>
      </c>
      <c r="Z2038" s="1" t="n">
        <v>0</v>
      </c>
    </row>
    <row r="2039" customFormat="false" ht="15" hidden="false" customHeight="true" outlineLevel="0" collapsed="false">
      <c r="A2039" s="1" t="s">
        <v>2896</v>
      </c>
      <c r="B2039" s="1" t="s">
        <v>2018</v>
      </c>
      <c r="C2039" s="1" t="s">
        <v>167</v>
      </c>
      <c r="D2039" s="1" t="s">
        <v>94</v>
      </c>
      <c r="E2039" s="1" t="s">
        <v>95</v>
      </c>
      <c r="F2039" s="1" t="s">
        <v>102</v>
      </c>
      <c r="G2039" s="1" t="s">
        <v>103</v>
      </c>
      <c r="H2039" s="1" t="s">
        <v>33</v>
      </c>
      <c r="I2039" s="1" t="s">
        <v>34</v>
      </c>
      <c r="J2039" s="1" t="s">
        <v>77</v>
      </c>
      <c r="K2039" s="1" t="s">
        <v>60</v>
      </c>
      <c r="L2039" s="1" t="s">
        <v>136</v>
      </c>
      <c r="M2039" s="1" t="s">
        <v>38</v>
      </c>
      <c r="N2039" s="1" t="n">
        <v>6999</v>
      </c>
      <c r="O2039" s="1" t="n">
        <v>30</v>
      </c>
      <c r="P2039" s="1" t="n">
        <v>2099.7</v>
      </c>
      <c r="Q2039" s="1" t="n">
        <v>4899.3</v>
      </c>
      <c r="R2039" s="1" t="n">
        <v>881.87</v>
      </c>
      <c r="S2039" s="1" t="n">
        <v>4017.43</v>
      </c>
      <c r="T2039" s="1" t="n">
        <v>1959.48</v>
      </c>
      <c r="U2039" s="1" t="n">
        <v>2057.95</v>
      </c>
      <c r="V2039" s="1" t="n">
        <v>51.23</v>
      </c>
      <c r="W2039" s="1" t="s">
        <v>40</v>
      </c>
      <c r="Y2039" s="1" t="s">
        <v>40</v>
      </c>
      <c r="Z2039" s="1" t="n">
        <v>0</v>
      </c>
    </row>
    <row r="2040" customFormat="false" ht="15" hidden="false" customHeight="true" outlineLevel="0" collapsed="false">
      <c r="A2040" s="1" t="s">
        <v>2897</v>
      </c>
      <c r="B2040" s="1" t="s">
        <v>1895</v>
      </c>
      <c r="C2040" s="1" t="s">
        <v>28</v>
      </c>
      <c r="D2040" s="1" t="s">
        <v>94</v>
      </c>
      <c r="E2040" s="1" t="s">
        <v>95</v>
      </c>
      <c r="F2040" s="1" t="s">
        <v>194</v>
      </c>
      <c r="G2040" s="1" t="s">
        <v>103</v>
      </c>
      <c r="H2040" s="1" t="s">
        <v>69</v>
      </c>
      <c r="I2040" s="1" t="s">
        <v>83</v>
      </c>
      <c r="J2040" s="1" t="s">
        <v>77</v>
      </c>
      <c r="K2040" s="1" t="s">
        <v>36</v>
      </c>
      <c r="L2040" s="1" t="s">
        <v>49</v>
      </c>
      <c r="M2040" s="1" t="s">
        <v>62</v>
      </c>
      <c r="N2040" s="1" t="n">
        <v>6999</v>
      </c>
      <c r="O2040" s="1" t="n">
        <v>10</v>
      </c>
      <c r="P2040" s="1" t="n">
        <v>699.9</v>
      </c>
      <c r="Q2040" s="1" t="n">
        <v>6299.1</v>
      </c>
      <c r="R2040" s="1" t="n">
        <v>1133.84</v>
      </c>
      <c r="S2040" s="1" t="n">
        <v>5165.26</v>
      </c>
      <c r="T2040" s="1" t="n">
        <v>2020.26</v>
      </c>
      <c r="U2040" s="1" t="n">
        <v>3145</v>
      </c>
      <c r="V2040" s="1" t="n">
        <v>60.89</v>
      </c>
      <c r="W2040" s="1" t="s">
        <v>40</v>
      </c>
      <c r="Y2040" s="1" t="s">
        <v>40</v>
      </c>
      <c r="Z2040" s="1" t="n">
        <v>0</v>
      </c>
    </row>
    <row r="2041" customFormat="false" ht="15" hidden="false" customHeight="true" outlineLevel="0" collapsed="false">
      <c r="A2041" s="1" t="s">
        <v>2898</v>
      </c>
      <c r="B2041" s="1" t="s">
        <v>545</v>
      </c>
      <c r="C2041" s="1" t="s">
        <v>43</v>
      </c>
      <c r="D2041" s="1" t="s">
        <v>143</v>
      </c>
      <c r="E2041" s="1" t="s">
        <v>162</v>
      </c>
      <c r="F2041" s="1" t="s">
        <v>96</v>
      </c>
      <c r="G2041" s="1" t="s">
        <v>97</v>
      </c>
      <c r="H2041" s="1" t="s">
        <v>69</v>
      </c>
      <c r="I2041" s="1" t="s">
        <v>34</v>
      </c>
      <c r="J2041" s="1" t="s">
        <v>59</v>
      </c>
      <c r="K2041" s="1" t="s">
        <v>104</v>
      </c>
      <c r="L2041" s="1" t="s">
        <v>61</v>
      </c>
      <c r="M2041" s="1" t="s">
        <v>38</v>
      </c>
      <c r="N2041" s="1" t="n">
        <v>14999</v>
      </c>
      <c r="O2041" s="1" t="n">
        <v>10</v>
      </c>
      <c r="P2041" s="1" t="n">
        <v>1499.9</v>
      </c>
      <c r="Q2041" s="1" t="n">
        <v>13499.1</v>
      </c>
      <c r="R2041" s="1" t="n">
        <v>2429.84</v>
      </c>
      <c r="S2041" s="1" t="n">
        <v>11069.26</v>
      </c>
      <c r="T2041" s="1" t="n">
        <v>4976.54</v>
      </c>
      <c r="U2041" s="1" t="n">
        <v>6092.72</v>
      </c>
      <c r="V2041" s="1" t="n">
        <v>55.04</v>
      </c>
      <c r="W2041" s="1" t="s">
        <v>39</v>
      </c>
      <c r="X2041" s="1" t="n">
        <v>3.4</v>
      </c>
      <c r="Y2041" s="1" t="s">
        <v>40</v>
      </c>
      <c r="Z2041" s="1" t="n">
        <v>0</v>
      </c>
    </row>
    <row r="2042" customFormat="false" ht="15" hidden="false" customHeight="true" outlineLevel="0" collapsed="false">
      <c r="A2042" s="1" t="s">
        <v>2899</v>
      </c>
      <c r="B2042" s="1" t="s">
        <v>1746</v>
      </c>
      <c r="C2042" s="1" t="s">
        <v>100</v>
      </c>
      <c r="D2042" s="1" t="s">
        <v>29</v>
      </c>
      <c r="E2042" s="1" t="s">
        <v>30</v>
      </c>
      <c r="F2042" s="1" t="s">
        <v>184</v>
      </c>
      <c r="G2042" s="1" t="s">
        <v>56</v>
      </c>
      <c r="H2042" s="1" t="s">
        <v>57</v>
      </c>
      <c r="I2042" s="1" t="s">
        <v>83</v>
      </c>
      <c r="J2042" s="1" t="s">
        <v>77</v>
      </c>
      <c r="K2042" s="1" t="s">
        <v>71</v>
      </c>
      <c r="L2042" s="1" t="s">
        <v>85</v>
      </c>
      <c r="M2042" s="1" t="s">
        <v>38</v>
      </c>
      <c r="N2042" s="1" t="n">
        <v>7999</v>
      </c>
      <c r="O2042" s="1" t="n">
        <v>0</v>
      </c>
      <c r="P2042" s="1" t="n">
        <v>0</v>
      </c>
      <c r="Q2042" s="1" t="n">
        <v>7999</v>
      </c>
      <c r="R2042" s="1" t="n">
        <v>1439.82</v>
      </c>
      <c r="S2042" s="1" t="n">
        <v>6559.18</v>
      </c>
      <c r="T2042" s="1" t="n">
        <v>2912.46</v>
      </c>
      <c r="U2042" s="1" t="n">
        <v>3646.72</v>
      </c>
      <c r="V2042" s="1" t="n">
        <v>55.6</v>
      </c>
      <c r="W2042" s="1" t="s">
        <v>39</v>
      </c>
      <c r="X2042" s="1" t="n">
        <v>4.1</v>
      </c>
      <c r="Y2042" s="1" t="s">
        <v>40</v>
      </c>
      <c r="Z2042" s="1" t="n">
        <v>0</v>
      </c>
    </row>
    <row r="2043" customFormat="false" ht="15" hidden="false" customHeight="true" outlineLevel="0" collapsed="false">
      <c r="A2043" s="1" t="s">
        <v>2900</v>
      </c>
      <c r="B2043" s="1" t="s">
        <v>1614</v>
      </c>
      <c r="C2043" s="1" t="s">
        <v>28</v>
      </c>
      <c r="D2043" s="1" t="s">
        <v>80</v>
      </c>
      <c r="E2043" s="1" t="s">
        <v>193</v>
      </c>
      <c r="F2043" s="1" t="s">
        <v>31</v>
      </c>
      <c r="G2043" s="1" t="s">
        <v>32</v>
      </c>
      <c r="H2043" s="1" t="s">
        <v>33</v>
      </c>
      <c r="I2043" s="1" t="s">
        <v>58</v>
      </c>
      <c r="J2043" s="1" t="s">
        <v>35</v>
      </c>
      <c r="K2043" s="1" t="s">
        <v>112</v>
      </c>
      <c r="L2043" s="1" t="s">
        <v>113</v>
      </c>
      <c r="M2043" s="1" t="s">
        <v>62</v>
      </c>
      <c r="N2043" s="1" t="n">
        <v>8999</v>
      </c>
      <c r="O2043" s="1" t="n">
        <v>25</v>
      </c>
      <c r="P2043" s="1" t="n">
        <v>2249.75</v>
      </c>
      <c r="Q2043" s="1" t="n">
        <v>6749.25</v>
      </c>
      <c r="R2043" s="1" t="n">
        <v>1214.87</v>
      </c>
      <c r="S2043" s="1" t="n">
        <v>5534.38</v>
      </c>
      <c r="T2043" s="1" t="n">
        <v>2447.68</v>
      </c>
      <c r="U2043" s="1" t="n">
        <v>3086.7</v>
      </c>
      <c r="V2043" s="1" t="n">
        <v>55.77</v>
      </c>
      <c r="W2043" s="1" t="s">
        <v>40</v>
      </c>
      <c r="Y2043" s="1" t="s">
        <v>40</v>
      </c>
      <c r="Z2043" s="1" t="n">
        <v>0</v>
      </c>
    </row>
    <row r="2044" customFormat="false" ht="15" hidden="false" customHeight="true" outlineLevel="0" collapsed="false">
      <c r="A2044" s="1" t="s">
        <v>2901</v>
      </c>
      <c r="B2044" s="1" t="s">
        <v>2902</v>
      </c>
      <c r="C2044" s="1" t="s">
        <v>178</v>
      </c>
      <c r="D2044" s="1" t="s">
        <v>143</v>
      </c>
      <c r="E2044" s="1" t="s">
        <v>210</v>
      </c>
      <c r="F2044" s="1" t="s">
        <v>184</v>
      </c>
      <c r="G2044" s="1" t="s">
        <v>56</v>
      </c>
      <c r="H2044" s="1" t="s">
        <v>57</v>
      </c>
      <c r="I2044" s="1" t="s">
        <v>83</v>
      </c>
      <c r="J2044" s="1" t="s">
        <v>77</v>
      </c>
      <c r="K2044" s="1" t="s">
        <v>104</v>
      </c>
      <c r="L2044" s="1" t="s">
        <v>49</v>
      </c>
      <c r="M2044" s="1" t="s">
        <v>62</v>
      </c>
      <c r="N2044" s="1" t="n">
        <v>18999</v>
      </c>
      <c r="O2044" s="1" t="n">
        <v>5</v>
      </c>
      <c r="P2044" s="1" t="n">
        <v>949.95</v>
      </c>
      <c r="Q2044" s="1" t="n">
        <v>18049.05</v>
      </c>
      <c r="R2044" s="1" t="n">
        <v>3248.83</v>
      </c>
      <c r="S2044" s="1" t="n">
        <v>14800.22</v>
      </c>
      <c r="T2044" s="1" t="n">
        <v>7272.05</v>
      </c>
      <c r="U2044" s="1" t="n">
        <v>7528.17</v>
      </c>
      <c r="V2044" s="1" t="n">
        <v>50.87</v>
      </c>
      <c r="W2044" s="1" t="s">
        <v>40</v>
      </c>
      <c r="Y2044" s="1" t="s">
        <v>39</v>
      </c>
      <c r="Z2044" s="1" t="n">
        <v>3</v>
      </c>
    </row>
    <row r="2045" customFormat="false" ht="15" hidden="false" customHeight="true" outlineLevel="0" collapsed="false">
      <c r="A2045" s="1" t="s">
        <v>2903</v>
      </c>
      <c r="B2045" s="1" t="s">
        <v>2021</v>
      </c>
      <c r="C2045" s="1" t="s">
        <v>134</v>
      </c>
      <c r="D2045" s="1" t="s">
        <v>94</v>
      </c>
      <c r="E2045" s="1" t="s">
        <v>95</v>
      </c>
      <c r="F2045" s="1" t="s">
        <v>641</v>
      </c>
      <c r="G2045" s="1" t="s">
        <v>103</v>
      </c>
      <c r="H2045" s="1" t="s">
        <v>33</v>
      </c>
      <c r="I2045" s="1" t="s">
        <v>58</v>
      </c>
      <c r="J2045" s="1" t="s">
        <v>70</v>
      </c>
      <c r="K2045" s="1" t="s">
        <v>84</v>
      </c>
      <c r="L2045" s="1" t="s">
        <v>113</v>
      </c>
      <c r="M2045" s="1" t="s">
        <v>38</v>
      </c>
      <c r="N2045" s="1" t="n">
        <v>6999</v>
      </c>
      <c r="O2045" s="1" t="n">
        <v>15</v>
      </c>
      <c r="P2045" s="1" t="n">
        <v>1049.85</v>
      </c>
      <c r="Q2045" s="1" t="n">
        <v>5949.15</v>
      </c>
      <c r="R2045" s="1" t="n">
        <v>1070.85</v>
      </c>
      <c r="S2045" s="1" t="n">
        <v>4878.3</v>
      </c>
      <c r="T2045" s="1" t="n">
        <v>2509.61</v>
      </c>
      <c r="U2045" s="1" t="n">
        <v>2368.69</v>
      </c>
      <c r="V2045" s="1" t="n">
        <v>48.56</v>
      </c>
      <c r="W2045" s="1" t="s">
        <v>39</v>
      </c>
      <c r="X2045" s="1" t="n">
        <v>4.4</v>
      </c>
      <c r="Y2045" s="1" t="s">
        <v>40</v>
      </c>
      <c r="Z2045" s="1" t="n">
        <v>3</v>
      </c>
    </row>
    <row r="2046" customFormat="false" ht="15" hidden="false" customHeight="true" outlineLevel="0" collapsed="false">
      <c r="A2046" s="1" t="s">
        <v>2904</v>
      </c>
      <c r="B2046" s="1" t="s">
        <v>1372</v>
      </c>
      <c r="C2046" s="1" t="s">
        <v>74</v>
      </c>
      <c r="D2046" s="1" t="s">
        <v>143</v>
      </c>
      <c r="E2046" s="1" t="s">
        <v>243</v>
      </c>
      <c r="F2046" s="1" t="s">
        <v>184</v>
      </c>
      <c r="G2046" s="1" t="s">
        <v>56</v>
      </c>
      <c r="H2046" s="1" t="s">
        <v>57</v>
      </c>
      <c r="I2046" s="1" t="s">
        <v>83</v>
      </c>
      <c r="J2046" s="1" t="s">
        <v>35</v>
      </c>
      <c r="K2046" s="1" t="s">
        <v>84</v>
      </c>
      <c r="L2046" s="1" t="s">
        <v>61</v>
      </c>
      <c r="M2046" s="1" t="s">
        <v>38</v>
      </c>
      <c r="N2046" s="1" t="n">
        <v>22999</v>
      </c>
      <c r="O2046" s="1" t="n">
        <v>50</v>
      </c>
      <c r="P2046" s="1" t="n">
        <v>11499.5</v>
      </c>
      <c r="Q2046" s="1" t="n">
        <v>11499.5</v>
      </c>
      <c r="R2046" s="1" t="n">
        <v>2069.91</v>
      </c>
      <c r="S2046" s="1" t="n">
        <v>9429.59</v>
      </c>
      <c r="T2046" s="1" t="n">
        <v>4501.45</v>
      </c>
      <c r="U2046" s="1" t="n">
        <v>4928.14</v>
      </c>
      <c r="V2046" s="1" t="n">
        <v>52.26</v>
      </c>
      <c r="W2046" s="1" t="s">
        <v>40</v>
      </c>
      <c r="Y2046" s="1" t="s">
        <v>40</v>
      </c>
      <c r="Z2046" s="1" t="n">
        <v>2</v>
      </c>
    </row>
    <row r="2047" customFormat="false" ht="15" hidden="false" customHeight="true" outlineLevel="0" collapsed="false">
      <c r="A2047" s="1" t="s">
        <v>2905</v>
      </c>
      <c r="B2047" s="1" t="s">
        <v>616</v>
      </c>
      <c r="C2047" s="1" t="s">
        <v>119</v>
      </c>
      <c r="D2047" s="1" t="s">
        <v>94</v>
      </c>
      <c r="E2047" s="1" t="s">
        <v>95</v>
      </c>
      <c r="F2047" s="1" t="s">
        <v>140</v>
      </c>
      <c r="G2047" s="1" t="s">
        <v>97</v>
      </c>
      <c r="H2047" s="1" t="s">
        <v>57</v>
      </c>
      <c r="I2047" s="1" t="s">
        <v>58</v>
      </c>
      <c r="J2047" s="1" t="s">
        <v>59</v>
      </c>
      <c r="K2047" s="1" t="s">
        <v>112</v>
      </c>
      <c r="L2047" s="1" t="s">
        <v>85</v>
      </c>
      <c r="M2047" s="1" t="s">
        <v>38</v>
      </c>
      <c r="N2047" s="1" t="n">
        <v>6999</v>
      </c>
      <c r="O2047" s="1" t="n">
        <v>30</v>
      </c>
      <c r="P2047" s="1" t="n">
        <v>2099.7</v>
      </c>
      <c r="Q2047" s="1" t="n">
        <v>4899.3</v>
      </c>
      <c r="R2047" s="1" t="n">
        <v>881.87</v>
      </c>
      <c r="S2047" s="1" t="n">
        <v>4017.43</v>
      </c>
      <c r="T2047" s="1" t="n">
        <v>1960.41</v>
      </c>
      <c r="U2047" s="1" t="n">
        <v>2057.02</v>
      </c>
      <c r="V2047" s="1" t="n">
        <v>51.2</v>
      </c>
      <c r="W2047" s="1" t="s">
        <v>40</v>
      </c>
      <c r="Y2047" s="1" t="s">
        <v>40</v>
      </c>
      <c r="Z2047" s="1" t="n">
        <v>1</v>
      </c>
    </row>
    <row r="2048" customFormat="false" ht="15" hidden="false" customHeight="true" outlineLevel="0" collapsed="false">
      <c r="A2048" s="1" t="s">
        <v>2906</v>
      </c>
      <c r="B2048" s="1" t="s">
        <v>1135</v>
      </c>
      <c r="C2048" s="1" t="s">
        <v>139</v>
      </c>
      <c r="D2048" s="1" t="s">
        <v>168</v>
      </c>
      <c r="E2048" s="1" t="s">
        <v>172</v>
      </c>
      <c r="F2048" s="1" t="s">
        <v>125</v>
      </c>
      <c r="G2048" s="1" t="s">
        <v>108</v>
      </c>
      <c r="H2048" s="1" t="s">
        <v>69</v>
      </c>
      <c r="I2048" s="1" t="s">
        <v>34</v>
      </c>
      <c r="J2048" s="1" t="s">
        <v>77</v>
      </c>
      <c r="K2048" s="1" t="s">
        <v>112</v>
      </c>
      <c r="L2048" s="1" t="s">
        <v>61</v>
      </c>
      <c r="M2048" s="1" t="s">
        <v>62</v>
      </c>
      <c r="N2048" s="1" t="n">
        <v>6999</v>
      </c>
      <c r="O2048" s="1" t="n">
        <v>10</v>
      </c>
      <c r="P2048" s="1" t="n">
        <v>699.9</v>
      </c>
      <c r="Q2048" s="1" t="n">
        <v>6299.1</v>
      </c>
      <c r="R2048" s="1" t="n">
        <v>1133.84</v>
      </c>
      <c r="S2048" s="1" t="n">
        <v>5165.26</v>
      </c>
      <c r="T2048" s="1" t="n">
        <v>1981.38</v>
      </c>
      <c r="U2048" s="1" t="n">
        <v>3183.88</v>
      </c>
      <c r="V2048" s="1" t="n">
        <v>61.64</v>
      </c>
      <c r="W2048" s="1" t="s">
        <v>39</v>
      </c>
      <c r="Y2048" s="1" t="s">
        <v>40</v>
      </c>
      <c r="Z2048" s="1" t="n">
        <v>1</v>
      </c>
    </row>
    <row r="2049" customFormat="false" ht="15" hidden="false" customHeight="true" outlineLevel="0" collapsed="false">
      <c r="A2049" s="1" t="s">
        <v>2907</v>
      </c>
      <c r="B2049" s="1" t="s">
        <v>1131</v>
      </c>
      <c r="C2049" s="1" t="s">
        <v>43</v>
      </c>
      <c r="D2049" s="1" t="s">
        <v>143</v>
      </c>
      <c r="E2049" s="1" t="s">
        <v>159</v>
      </c>
      <c r="F2049" s="1" t="s">
        <v>125</v>
      </c>
      <c r="G2049" s="1" t="s">
        <v>108</v>
      </c>
      <c r="H2049" s="1" t="s">
        <v>69</v>
      </c>
      <c r="I2049" s="1" t="s">
        <v>58</v>
      </c>
      <c r="J2049" s="1" t="s">
        <v>70</v>
      </c>
      <c r="K2049" s="1" t="s">
        <v>112</v>
      </c>
      <c r="L2049" s="1" t="s">
        <v>136</v>
      </c>
      <c r="M2049" s="1" t="s">
        <v>62</v>
      </c>
      <c r="N2049" s="1" t="n">
        <v>24999</v>
      </c>
      <c r="O2049" s="1" t="n">
        <v>10</v>
      </c>
      <c r="P2049" s="1" t="n">
        <v>2499.9</v>
      </c>
      <c r="Q2049" s="1" t="n">
        <v>22499.1</v>
      </c>
      <c r="R2049" s="1" t="n">
        <v>4049.84</v>
      </c>
      <c r="S2049" s="1" t="n">
        <v>18449.26</v>
      </c>
      <c r="T2049" s="1" t="n">
        <v>7757.23</v>
      </c>
      <c r="U2049" s="1" t="n">
        <v>10692.03</v>
      </c>
      <c r="V2049" s="1" t="n">
        <v>57.95</v>
      </c>
      <c r="W2049" s="1" t="s">
        <v>40</v>
      </c>
      <c r="Y2049" s="1" t="s">
        <v>40</v>
      </c>
      <c r="Z2049" s="1" t="n">
        <v>0</v>
      </c>
    </row>
    <row r="2050" customFormat="false" ht="15" hidden="false" customHeight="true" outlineLevel="0" collapsed="false">
      <c r="A2050" s="1" t="s">
        <v>2908</v>
      </c>
      <c r="B2050" s="1" t="s">
        <v>1054</v>
      </c>
      <c r="C2050" s="1" t="s">
        <v>93</v>
      </c>
      <c r="D2050" s="1" t="s">
        <v>44</v>
      </c>
      <c r="E2050" s="1" t="s">
        <v>66</v>
      </c>
      <c r="F2050" s="1" t="s">
        <v>67</v>
      </c>
      <c r="G2050" s="1" t="s">
        <v>68</v>
      </c>
      <c r="H2050" s="1" t="s">
        <v>69</v>
      </c>
      <c r="I2050" s="1" t="s">
        <v>58</v>
      </c>
      <c r="J2050" s="1" t="s">
        <v>35</v>
      </c>
      <c r="K2050" s="1" t="s">
        <v>90</v>
      </c>
      <c r="L2050" s="1" t="s">
        <v>136</v>
      </c>
      <c r="M2050" s="1" t="s">
        <v>50</v>
      </c>
      <c r="N2050" s="1" t="n">
        <v>12999</v>
      </c>
      <c r="O2050" s="1" t="n">
        <v>20</v>
      </c>
      <c r="P2050" s="1" t="n">
        <v>2599.8</v>
      </c>
      <c r="Q2050" s="1" t="n">
        <v>10399.2</v>
      </c>
      <c r="R2050" s="1" t="n">
        <v>1871.86</v>
      </c>
      <c r="S2050" s="1" t="n">
        <v>8527.34</v>
      </c>
      <c r="T2050" s="1" t="n">
        <v>2564.4</v>
      </c>
      <c r="U2050" s="1" t="n">
        <v>5962.94</v>
      </c>
      <c r="V2050" s="1" t="n">
        <v>69.93</v>
      </c>
      <c r="W2050" s="1" t="s">
        <v>40</v>
      </c>
      <c r="Y2050" s="1" t="s">
        <v>40</v>
      </c>
      <c r="Z2050" s="1" t="n">
        <v>1</v>
      </c>
    </row>
    <row r="2051" customFormat="false" ht="15" hidden="false" customHeight="true" outlineLevel="0" collapsed="false">
      <c r="A2051" s="1" t="s">
        <v>2909</v>
      </c>
      <c r="B2051" s="1" t="s">
        <v>657</v>
      </c>
      <c r="C2051" s="1" t="s">
        <v>28</v>
      </c>
      <c r="D2051" s="1" t="s">
        <v>123</v>
      </c>
      <c r="E2051" s="1" t="s">
        <v>124</v>
      </c>
      <c r="F2051" s="1" t="s">
        <v>211</v>
      </c>
      <c r="G2051" s="1" t="s">
        <v>56</v>
      </c>
      <c r="H2051" s="1" t="s">
        <v>69</v>
      </c>
      <c r="I2051" s="1" t="s">
        <v>58</v>
      </c>
      <c r="J2051" s="1" t="s">
        <v>35</v>
      </c>
      <c r="K2051" s="1" t="s">
        <v>84</v>
      </c>
      <c r="L2051" s="1" t="s">
        <v>49</v>
      </c>
      <c r="M2051" s="1" t="s">
        <v>50</v>
      </c>
      <c r="N2051" s="1" t="n">
        <v>4999</v>
      </c>
      <c r="O2051" s="1" t="n">
        <v>30</v>
      </c>
      <c r="P2051" s="1" t="n">
        <v>1499.7</v>
      </c>
      <c r="Q2051" s="1" t="n">
        <v>3499.3</v>
      </c>
      <c r="R2051" s="1" t="n">
        <v>629.87</v>
      </c>
      <c r="S2051" s="1" t="n">
        <v>2869.43</v>
      </c>
      <c r="T2051" s="1" t="n">
        <v>1179.94</v>
      </c>
      <c r="U2051" s="1" t="n">
        <v>1689.49</v>
      </c>
      <c r="V2051" s="1" t="n">
        <v>58.88</v>
      </c>
      <c r="W2051" s="1" t="s">
        <v>40</v>
      </c>
      <c r="Y2051" s="1" t="s">
        <v>40</v>
      </c>
      <c r="Z2051" s="1" t="n">
        <v>2</v>
      </c>
    </row>
    <row r="2052" customFormat="false" ht="15" hidden="false" customHeight="true" outlineLevel="0" collapsed="false">
      <c r="A2052" s="1" t="s">
        <v>2910</v>
      </c>
      <c r="B2052" s="1" t="s">
        <v>1430</v>
      </c>
      <c r="C2052" s="1" t="s">
        <v>178</v>
      </c>
      <c r="D2052" s="1" t="s">
        <v>94</v>
      </c>
      <c r="E2052" s="1" t="s">
        <v>95</v>
      </c>
      <c r="F2052" s="1" t="s">
        <v>140</v>
      </c>
      <c r="G2052" s="1" t="s">
        <v>97</v>
      </c>
      <c r="H2052" s="1" t="s">
        <v>57</v>
      </c>
      <c r="I2052" s="1" t="s">
        <v>83</v>
      </c>
      <c r="J2052" s="1" t="s">
        <v>77</v>
      </c>
      <c r="K2052" s="1" t="s">
        <v>36</v>
      </c>
      <c r="L2052" s="1" t="s">
        <v>136</v>
      </c>
      <c r="M2052" s="1" t="s">
        <v>38</v>
      </c>
      <c r="N2052" s="1" t="n">
        <v>6999</v>
      </c>
      <c r="O2052" s="1" t="n">
        <v>0</v>
      </c>
      <c r="P2052" s="1" t="n">
        <v>0</v>
      </c>
      <c r="Q2052" s="1" t="n">
        <v>6999</v>
      </c>
      <c r="R2052" s="1" t="n">
        <v>1259.82</v>
      </c>
      <c r="S2052" s="1" t="n">
        <v>5739.18</v>
      </c>
      <c r="T2052" s="1" t="n">
        <v>2488.88</v>
      </c>
      <c r="U2052" s="1" t="n">
        <v>3250.3</v>
      </c>
      <c r="V2052" s="1" t="n">
        <v>56.63</v>
      </c>
      <c r="W2052" s="1" t="s">
        <v>39</v>
      </c>
      <c r="Y2052" s="1" t="s">
        <v>40</v>
      </c>
      <c r="Z2052" s="1" t="n">
        <v>1</v>
      </c>
    </row>
    <row r="2053" customFormat="false" ht="15" hidden="false" customHeight="true" outlineLevel="0" collapsed="false">
      <c r="A2053" s="1" t="s">
        <v>2911</v>
      </c>
      <c r="B2053" s="1" t="s">
        <v>530</v>
      </c>
      <c r="C2053" s="1" t="s">
        <v>859</v>
      </c>
      <c r="D2053" s="1" t="s">
        <v>29</v>
      </c>
      <c r="E2053" s="1" t="s">
        <v>305</v>
      </c>
      <c r="F2053" s="1" t="s">
        <v>46</v>
      </c>
      <c r="G2053" s="1" t="s">
        <v>47</v>
      </c>
      <c r="H2053" s="1" t="s">
        <v>33</v>
      </c>
      <c r="I2053" s="1" t="s">
        <v>83</v>
      </c>
      <c r="J2053" s="1" t="s">
        <v>77</v>
      </c>
      <c r="K2053" s="1" t="s">
        <v>48</v>
      </c>
      <c r="L2053" s="1" t="s">
        <v>136</v>
      </c>
      <c r="M2053" s="1" t="s">
        <v>50</v>
      </c>
      <c r="N2053" s="1" t="n">
        <v>24999</v>
      </c>
      <c r="O2053" s="1" t="n">
        <v>10</v>
      </c>
      <c r="P2053" s="1" t="n">
        <v>2499.9</v>
      </c>
      <c r="Q2053" s="1" t="n">
        <v>22499.1</v>
      </c>
      <c r="R2053" s="1" t="n">
        <v>4049.84</v>
      </c>
      <c r="S2053" s="1" t="n">
        <v>18449.26</v>
      </c>
      <c r="T2053" s="1" t="n">
        <v>7180.12</v>
      </c>
      <c r="U2053" s="1" t="n">
        <v>11269.14</v>
      </c>
      <c r="V2053" s="1" t="n">
        <v>61.08</v>
      </c>
      <c r="W2053" s="1" t="s">
        <v>39</v>
      </c>
      <c r="X2053" s="1" t="n">
        <v>3.5</v>
      </c>
      <c r="Y2053" s="1" t="s">
        <v>40</v>
      </c>
      <c r="Z2053" s="1" t="n">
        <v>1</v>
      </c>
    </row>
    <row r="2054" customFormat="false" ht="15" hidden="false" customHeight="true" outlineLevel="0" collapsed="false">
      <c r="A2054" s="1" t="s">
        <v>2912</v>
      </c>
      <c r="B2054" s="1" t="s">
        <v>223</v>
      </c>
      <c r="C2054" s="1" t="s">
        <v>249</v>
      </c>
      <c r="D2054" s="1" t="s">
        <v>168</v>
      </c>
      <c r="E2054" s="1" t="s">
        <v>172</v>
      </c>
      <c r="F2054" s="1" t="s">
        <v>55</v>
      </c>
      <c r="G2054" s="1" t="s">
        <v>56</v>
      </c>
      <c r="H2054" s="1" t="s">
        <v>57</v>
      </c>
      <c r="I2054" s="1" t="s">
        <v>58</v>
      </c>
      <c r="J2054" s="1" t="s">
        <v>131</v>
      </c>
      <c r="K2054" s="1" t="s">
        <v>84</v>
      </c>
      <c r="L2054" s="1" t="s">
        <v>61</v>
      </c>
      <c r="M2054" s="1" t="s">
        <v>38</v>
      </c>
      <c r="N2054" s="1" t="n">
        <v>6999</v>
      </c>
      <c r="O2054" s="1" t="n">
        <v>25</v>
      </c>
      <c r="P2054" s="1" t="n">
        <v>1749.75</v>
      </c>
      <c r="Q2054" s="1" t="n">
        <v>5249.25</v>
      </c>
      <c r="R2054" s="1" t="n">
        <v>944.87</v>
      </c>
      <c r="S2054" s="1" t="n">
        <v>4304.38</v>
      </c>
      <c r="T2054" s="1" t="n">
        <v>2250.07</v>
      </c>
      <c r="U2054" s="1" t="n">
        <v>2054.31</v>
      </c>
      <c r="V2054" s="1" t="n">
        <v>47.73</v>
      </c>
      <c r="W2054" s="1" t="s">
        <v>39</v>
      </c>
      <c r="X2054" s="1" t="n">
        <v>4</v>
      </c>
      <c r="Y2054" s="1" t="s">
        <v>40</v>
      </c>
      <c r="Z2054" s="1" t="n">
        <v>1</v>
      </c>
    </row>
    <row r="2055" customFormat="false" ht="15" hidden="false" customHeight="true" outlineLevel="0" collapsed="false">
      <c r="A2055" s="1" t="s">
        <v>2913</v>
      </c>
      <c r="B2055" s="1" t="s">
        <v>2267</v>
      </c>
      <c r="C2055" s="1" t="s">
        <v>119</v>
      </c>
      <c r="D2055" s="1" t="s">
        <v>80</v>
      </c>
      <c r="E2055" s="1" t="s">
        <v>193</v>
      </c>
      <c r="F2055" s="1" t="s">
        <v>211</v>
      </c>
      <c r="G2055" s="1" t="s">
        <v>56</v>
      </c>
      <c r="H2055" s="1" t="s">
        <v>69</v>
      </c>
      <c r="I2055" s="1" t="s">
        <v>58</v>
      </c>
      <c r="J2055" s="1" t="s">
        <v>70</v>
      </c>
      <c r="K2055" s="1" t="s">
        <v>112</v>
      </c>
      <c r="L2055" s="1" t="s">
        <v>61</v>
      </c>
      <c r="M2055" s="1" t="s">
        <v>50</v>
      </c>
      <c r="N2055" s="1" t="n">
        <v>8999</v>
      </c>
      <c r="O2055" s="1" t="n">
        <v>50</v>
      </c>
      <c r="P2055" s="1" t="n">
        <v>4499.5</v>
      </c>
      <c r="Q2055" s="1" t="n">
        <v>4499.5</v>
      </c>
      <c r="R2055" s="1" t="n">
        <v>809.91</v>
      </c>
      <c r="S2055" s="1" t="n">
        <v>3689.59</v>
      </c>
      <c r="T2055" s="1" t="n">
        <v>1926.33</v>
      </c>
      <c r="U2055" s="1" t="n">
        <v>1763.26</v>
      </c>
      <c r="V2055" s="1" t="n">
        <v>47.79</v>
      </c>
      <c r="W2055" s="1" t="s">
        <v>39</v>
      </c>
      <c r="X2055" s="1" t="n">
        <v>4.2</v>
      </c>
      <c r="Y2055" s="1" t="s">
        <v>40</v>
      </c>
      <c r="Z2055" s="1" t="n">
        <v>1</v>
      </c>
    </row>
    <row r="2056" customFormat="false" ht="15" hidden="false" customHeight="true" outlineLevel="0" collapsed="false">
      <c r="A2056" s="1" t="s">
        <v>2914</v>
      </c>
      <c r="B2056" s="1" t="s">
        <v>1394</v>
      </c>
      <c r="C2056" s="1" t="s">
        <v>88</v>
      </c>
      <c r="D2056" s="1" t="s">
        <v>143</v>
      </c>
      <c r="E2056" s="1" t="s">
        <v>243</v>
      </c>
      <c r="F2056" s="1" t="s">
        <v>187</v>
      </c>
      <c r="G2056" s="1" t="s">
        <v>97</v>
      </c>
      <c r="H2056" s="1" t="s">
        <v>69</v>
      </c>
      <c r="I2056" s="1" t="s">
        <v>34</v>
      </c>
      <c r="J2056" s="1" t="s">
        <v>77</v>
      </c>
      <c r="K2056" s="1" t="s">
        <v>36</v>
      </c>
      <c r="L2056" s="1" t="s">
        <v>49</v>
      </c>
      <c r="M2056" s="1" t="s">
        <v>50</v>
      </c>
      <c r="N2056" s="1" t="n">
        <v>22999</v>
      </c>
      <c r="O2056" s="1" t="n">
        <v>15</v>
      </c>
      <c r="P2056" s="1" t="n">
        <v>3449.85</v>
      </c>
      <c r="Q2056" s="1" t="n">
        <v>19549.15</v>
      </c>
      <c r="R2056" s="1" t="n">
        <v>3518.85</v>
      </c>
      <c r="S2056" s="1" t="n">
        <v>16030.3</v>
      </c>
      <c r="T2056" s="1" t="n">
        <v>5238.14</v>
      </c>
      <c r="U2056" s="1" t="n">
        <v>10792.16</v>
      </c>
      <c r="V2056" s="1" t="n">
        <v>67.32</v>
      </c>
      <c r="W2056" s="1" t="s">
        <v>39</v>
      </c>
      <c r="X2056" s="1" t="n">
        <v>3.7</v>
      </c>
      <c r="Y2056" s="1" t="s">
        <v>40</v>
      </c>
      <c r="Z2056" s="1" t="n">
        <v>0</v>
      </c>
    </row>
    <row r="2057" customFormat="false" ht="15" hidden="false" customHeight="true" outlineLevel="0" collapsed="false">
      <c r="A2057" s="1" t="s">
        <v>2915</v>
      </c>
      <c r="B2057" s="1" t="s">
        <v>348</v>
      </c>
      <c r="C2057" s="1" t="s">
        <v>119</v>
      </c>
      <c r="D2057" s="1" t="s">
        <v>123</v>
      </c>
      <c r="E2057" s="1" t="s">
        <v>147</v>
      </c>
      <c r="F2057" s="1" t="s">
        <v>604</v>
      </c>
      <c r="G2057" s="1" t="s">
        <v>56</v>
      </c>
      <c r="H2057" s="1" t="s">
        <v>57</v>
      </c>
      <c r="I2057" s="1" t="s">
        <v>83</v>
      </c>
      <c r="J2057" s="1" t="s">
        <v>131</v>
      </c>
      <c r="K2057" s="1" t="s">
        <v>48</v>
      </c>
      <c r="L2057" s="1" t="s">
        <v>49</v>
      </c>
      <c r="M2057" s="1" t="s">
        <v>62</v>
      </c>
      <c r="N2057" s="1" t="n">
        <v>6999</v>
      </c>
      <c r="O2057" s="1" t="n">
        <v>30</v>
      </c>
      <c r="P2057" s="1" t="n">
        <v>2099.7</v>
      </c>
      <c r="Q2057" s="1" t="n">
        <v>4899.3</v>
      </c>
      <c r="R2057" s="1" t="n">
        <v>881.87</v>
      </c>
      <c r="S2057" s="1" t="n">
        <v>4017.43</v>
      </c>
      <c r="T2057" s="1" t="n">
        <v>2010.43</v>
      </c>
      <c r="U2057" s="1" t="n">
        <v>2007</v>
      </c>
      <c r="V2057" s="1" t="n">
        <v>49.96</v>
      </c>
      <c r="W2057" s="1" t="s">
        <v>39</v>
      </c>
      <c r="X2057" s="1" t="n">
        <v>3.4</v>
      </c>
      <c r="Y2057" s="1" t="s">
        <v>40</v>
      </c>
      <c r="Z2057" s="1" t="n">
        <v>2</v>
      </c>
    </row>
    <row r="2058" customFormat="false" ht="15" hidden="false" customHeight="true" outlineLevel="0" collapsed="false">
      <c r="A2058" s="1" t="s">
        <v>2916</v>
      </c>
      <c r="B2058" s="1" t="s">
        <v>1623</v>
      </c>
      <c r="C2058" s="1" t="s">
        <v>88</v>
      </c>
      <c r="D2058" s="1" t="s">
        <v>123</v>
      </c>
      <c r="E2058" s="1" t="s">
        <v>233</v>
      </c>
      <c r="F2058" s="1" t="s">
        <v>211</v>
      </c>
      <c r="G2058" s="1" t="s">
        <v>56</v>
      </c>
      <c r="H2058" s="1" t="s">
        <v>69</v>
      </c>
      <c r="I2058" s="1" t="s">
        <v>83</v>
      </c>
      <c r="J2058" s="1" t="s">
        <v>70</v>
      </c>
      <c r="K2058" s="1" t="s">
        <v>48</v>
      </c>
      <c r="L2058" s="1" t="s">
        <v>85</v>
      </c>
      <c r="M2058" s="1" t="s">
        <v>50</v>
      </c>
      <c r="N2058" s="1" t="n">
        <v>8999</v>
      </c>
      <c r="O2058" s="1" t="n">
        <v>15</v>
      </c>
      <c r="P2058" s="1" t="n">
        <v>1349.85</v>
      </c>
      <c r="Q2058" s="1" t="n">
        <v>7649.15</v>
      </c>
      <c r="R2058" s="1" t="n">
        <v>1376.85</v>
      </c>
      <c r="S2058" s="1" t="n">
        <v>6272.3</v>
      </c>
      <c r="T2058" s="1" t="n">
        <v>2005.66</v>
      </c>
      <c r="U2058" s="1" t="n">
        <v>4266.64</v>
      </c>
      <c r="V2058" s="1" t="n">
        <v>68.02</v>
      </c>
      <c r="W2058" s="1" t="s">
        <v>39</v>
      </c>
      <c r="X2058" s="1" t="n">
        <v>3.2</v>
      </c>
      <c r="Y2058" s="1" t="s">
        <v>40</v>
      </c>
      <c r="Z2058" s="1" t="n">
        <v>0</v>
      </c>
    </row>
    <row r="2059" customFormat="false" ht="15" hidden="false" customHeight="true" outlineLevel="0" collapsed="false">
      <c r="A2059" s="1" t="s">
        <v>2917</v>
      </c>
      <c r="B2059" s="1" t="s">
        <v>1588</v>
      </c>
      <c r="C2059" s="1" t="s">
        <v>28</v>
      </c>
      <c r="D2059" s="1" t="s">
        <v>53</v>
      </c>
      <c r="E2059" s="1" t="s">
        <v>54</v>
      </c>
      <c r="F2059" s="1" t="s">
        <v>31</v>
      </c>
      <c r="G2059" s="1" t="s">
        <v>32</v>
      </c>
      <c r="H2059" s="1" t="s">
        <v>33</v>
      </c>
      <c r="I2059" s="1" t="s">
        <v>83</v>
      </c>
      <c r="J2059" s="1" t="s">
        <v>131</v>
      </c>
      <c r="K2059" s="1" t="s">
        <v>71</v>
      </c>
      <c r="L2059" s="1" t="s">
        <v>61</v>
      </c>
      <c r="M2059" s="1" t="s">
        <v>62</v>
      </c>
      <c r="N2059" s="1" t="n">
        <v>11999</v>
      </c>
      <c r="O2059" s="1" t="n">
        <v>25</v>
      </c>
      <c r="P2059" s="1" t="n">
        <v>2999.75</v>
      </c>
      <c r="Q2059" s="1" t="n">
        <v>8999.25</v>
      </c>
      <c r="R2059" s="1" t="n">
        <v>1619.87</v>
      </c>
      <c r="S2059" s="1" t="n">
        <v>7379.38</v>
      </c>
      <c r="T2059" s="1" t="n">
        <v>3651.63</v>
      </c>
      <c r="U2059" s="1" t="n">
        <v>3727.75</v>
      </c>
      <c r="V2059" s="1" t="n">
        <v>50.52</v>
      </c>
      <c r="W2059" s="1" t="s">
        <v>39</v>
      </c>
      <c r="Y2059" s="1" t="s">
        <v>40</v>
      </c>
      <c r="Z2059" s="1" t="n">
        <v>0</v>
      </c>
    </row>
    <row r="2060" customFormat="false" ht="15" hidden="false" customHeight="true" outlineLevel="0" collapsed="false">
      <c r="A2060" s="1" t="s">
        <v>2918</v>
      </c>
      <c r="B2060" s="1" t="s">
        <v>513</v>
      </c>
      <c r="C2060" s="1" t="s">
        <v>128</v>
      </c>
      <c r="D2060" s="1" t="s">
        <v>123</v>
      </c>
      <c r="E2060" s="1" t="s">
        <v>124</v>
      </c>
      <c r="F2060" s="1" t="s">
        <v>244</v>
      </c>
      <c r="G2060" s="1" t="s">
        <v>97</v>
      </c>
      <c r="H2060" s="1" t="s">
        <v>57</v>
      </c>
      <c r="I2060" s="1" t="s">
        <v>58</v>
      </c>
      <c r="J2060" s="1" t="s">
        <v>77</v>
      </c>
      <c r="K2060" s="1" t="s">
        <v>84</v>
      </c>
      <c r="L2060" s="1" t="s">
        <v>49</v>
      </c>
      <c r="M2060" s="1" t="s">
        <v>62</v>
      </c>
      <c r="N2060" s="1" t="n">
        <v>4999</v>
      </c>
      <c r="O2060" s="1" t="n">
        <v>0</v>
      </c>
      <c r="P2060" s="1" t="n">
        <v>0</v>
      </c>
      <c r="Q2060" s="1" t="n">
        <v>4999</v>
      </c>
      <c r="R2060" s="1" t="n">
        <v>899.82</v>
      </c>
      <c r="S2060" s="1" t="n">
        <v>4099.18</v>
      </c>
      <c r="T2060" s="1" t="n">
        <v>1555.86</v>
      </c>
      <c r="U2060" s="1" t="n">
        <v>2543.32</v>
      </c>
      <c r="V2060" s="1" t="n">
        <v>62.04</v>
      </c>
      <c r="W2060" s="1" t="s">
        <v>39</v>
      </c>
      <c r="Y2060" s="1" t="s">
        <v>40</v>
      </c>
      <c r="Z2060" s="1" t="n">
        <v>0</v>
      </c>
    </row>
    <row r="2061" customFormat="false" ht="15" hidden="false" customHeight="true" outlineLevel="0" collapsed="false">
      <c r="A2061" s="1" t="s">
        <v>2919</v>
      </c>
      <c r="B2061" s="1" t="s">
        <v>2920</v>
      </c>
      <c r="C2061" s="1" t="s">
        <v>28</v>
      </c>
      <c r="D2061" s="1" t="s">
        <v>123</v>
      </c>
      <c r="E2061" s="1" t="s">
        <v>124</v>
      </c>
      <c r="F2061" s="1" t="s">
        <v>211</v>
      </c>
      <c r="G2061" s="1" t="s">
        <v>56</v>
      </c>
      <c r="H2061" s="1" t="s">
        <v>69</v>
      </c>
      <c r="I2061" s="1" t="s">
        <v>34</v>
      </c>
      <c r="J2061" s="1" t="s">
        <v>59</v>
      </c>
      <c r="K2061" s="1" t="s">
        <v>84</v>
      </c>
      <c r="L2061" s="1" t="s">
        <v>49</v>
      </c>
      <c r="M2061" s="1" t="s">
        <v>62</v>
      </c>
      <c r="N2061" s="1" t="n">
        <v>4999</v>
      </c>
      <c r="O2061" s="1" t="n">
        <v>5</v>
      </c>
      <c r="P2061" s="1" t="n">
        <v>249.95</v>
      </c>
      <c r="Q2061" s="1" t="n">
        <v>4749.05</v>
      </c>
      <c r="R2061" s="1" t="n">
        <v>854.83</v>
      </c>
      <c r="S2061" s="1" t="n">
        <v>3894.22</v>
      </c>
      <c r="T2061" s="1" t="n">
        <v>1986.87</v>
      </c>
      <c r="U2061" s="1" t="n">
        <v>1907.35</v>
      </c>
      <c r="V2061" s="1" t="n">
        <v>48.98</v>
      </c>
      <c r="W2061" s="1" t="s">
        <v>40</v>
      </c>
      <c r="Y2061" s="1" t="s">
        <v>40</v>
      </c>
      <c r="Z2061" s="1" t="n">
        <v>0</v>
      </c>
    </row>
    <row r="2062" customFormat="false" ht="15" hidden="false" customHeight="true" outlineLevel="0" collapsed="false">
      <c r="A2062" s="1" t="s">
        <v>2921</v>
      </c>
      <c r="B2062" s="1" t="s">
        <v>1250</v>
      </c>
      <c r="C2062" s="1" t="s">
        <v>100</v>
      </c>
      <c r="D2062" s="1" t="s">
        <v>123</v>
      </c>
      <c r="E2062" s="1" t="s">
        <v>233</v>
      </c>
      <c r="F2062" s="1" t="s">
        <v>67</v>
      </c>
      <c r="G2062" s="1" t="s">
        <v>68</v>
      </c>
      <c r="H2062" s="1" t="s">
        <v>69</v>
      </c>
      <c r="I2062" s="1" t="s">
        <v>34</v>
      </c>
      <c r="J2062" s="1" t="s">
        <v>35</v>
      </c>
      <c r="K2062" s="1" t="s">
        <v>90</v>
      </c>
      <c r="L2062" s="1" t="s">
        <v>61</v>
      </c>
      <c r="M2062" s="1" t="s">
        <v>62</v>
      </c>
      <c r="N2062" s="1" t="n">
        <v>8999</v>
      </c>
      <c r="O2062" s="1" t="n">
        <v>0</v>
      </c>
      <c r="P2062" s="1" t="n">
        <v>0</v>
      </c>
      <c r="Q2062" s="1" t="n">
        <v>8999</v>
      </c>
      <c r="R2062" s="1" t="n">
        <v>1619.82</v>
      </c>
      <c r="S2062" s="1" t="n">
        <v>7379.18</v>
      </c>
      <c r="T2062" s="1" t="n">
        <v>3219.73</v>
      </c>
      <c r="U2062" s="1" t="n">
        <v>4159.45</v>
      </c>
      <c r="V2062" s="1" t="n">
        <v>56.37</v>
      </c>
      <c r="W2062" s="1" t="s">
        <v>40</v>
      </c>
      <c r="Y2062" s="1" t="s">
        <v>40</v>
      </c>
      <c r="Z2062" s="1" t="n">
        <v>0</v>
      </c>
    </row>
    <row r="2063" customFormat="false" ht="15" hidden="false" customHeight="true" outlineLevel="0" collapsed="false">
      <c r="A2063" s="1" t="s">
        <v>2922</v>
      </c>
      <c r="B2063" s="1" t="s">
        <v>2923</v>
      </c>
      <c r="C2063" s="1" t="s">
        <v>139</v>
      </c>
      <c r="D2063" s="1" t="s">
        <v>143</v>
      </c>
      <c r="E2063" s="1" t="s">
        <v>159</v>
      </c>
      <c r="F2063" s="1" t="s">
        <v>82</v>
      </c>
      <c r="G2063" s="1" t="s">
        <v>56</v>
      </c>
      <c r="H2063" s="1" t="s">
        <v>69</v>
      </c>
      <c r="I2063" s="1" t="s">
        <v>34</v>
      </c>
      <c r="J2063" s="1" t="s">
        <v>131</v>
      </c>
      <c r="K2063" s="1" t="s">
        <v>71</v>
      </c>
      <c r="L2063" s="1" t="s">
        <v>136</v>
      </c>
      <c r="M2063" s="1" t="s">
        <v>50</v>
      </c>
      <c r="N2063" s="1" t="n">
        <v>24999</v>
      </c>
      <c r="O2063" s="1" t="n">
        <v>20</v>
      </c>
      <c r="P2063" s="1" t="n">
        <v>4999.8</v>
      </c>
      <c r="Q2063" s="1" t="n">
        <v>19999.2</v>
      </c>
      <c r="R2063" s="1" t="n">
        <v>3599.86</v>
      </c>
      <c r="S2063" s="1" t="n">
        <v>16399.34</v>
      </c>
      <c r="T2063" s="1" t="n">
        <v>6451.7</v>
      </c>
      <c r="U2063" s="1" t="n">
        <v>9947.64</v>
      </c>
      <c r="V2063" s="1" t="n">
        <v>60.66</v>
      </c>
      <c r="W2063" s="1" t="s">
        <v>39</v>
      </c>
      <c r="X2063" s="1" t="n">
        <v>3.2</v>
      </c>
      <c r="Y2063" s="1" t="s">
        <v>40</v>
      </c>
      <c r="Z2063" s="1" t="n">
        <v>1</v>
      </c>
    </row>
    <row r="2064" customFormat="false" ht="15" hidden="false" customHeight="true" outlineLevel="0" collapsed="false">
      <c r="A2064" s="1" t="s">
        <v>2924</v>
      </c>
      <c r="B2064" s="1" t="s">
        <v>1182</v>
      </c>
      <c r="C2064" s="1" t="s">
        <v>28</v>
      </c>
      <c r="D2064" s="1" t="s">
        <v>44</v>
      </c>
      <c r="E2064" s="1" t="s">
        <v>221</v>
      </c>
      <c r="F2064" s="1" t="s">
        <v>153</v>
      </c>
      <c r="G2064" s="1" t="s">
        <v>76</v>
      </c>
      <c r="H2064" s="1" t="s">
        <v>33</v>
      </c>
      <c r="I2064" s="1" t="s">
        <v>83</v>
      </c>
      <c r="J2064" s="1" t="s">
        <v>35</v>
      </c>
      <c r="K2064" s="1" t="s">
        <v>71</v>
      </c>
      <c r="L2064" s="1" t="s">
        <v>136</v>
      </c>
      <c r="M2064" s="1" t="s">
        <v>62</v>
      </c>
      <c r="N2064" s="1" t="n">
        <v>16999</v>
      </c>
      <c r="O2064" s="1" t="n">
        <v>30</v>
      </c>
      <c r="P2064" s="1" t="n">
        <v>5099.7</v>
      </c>
      <c r="Q2064" s="1" t="n">
        <v>11899.3</v>
      </c>
      <c r="R2064" s="1" t="n">
        <v>2141.87</v>
      </c>
      <c r="S2064" s="1" t="n">
        <v>9757.43</v>
      </c>
      <c r="T2064" s="1" t="n">
        <v>3909.94</v>
      </c>
      <c r="U2064" s="1" t="n">
        <v>5847.49</v>
      </c>
      <c r="V2064" s="1" t="n">
        <v>59.93</v>
      </c>
      <c r="W2064" s="1" t="s">
        <v>39</v>
      </c>
      <c r="X2064" s="1" t="n">
        <v>3.4</v>
      </c>
      <c r="Y2064" s="1" t="s">
        <v>40</v>
      </c>
      <c r="Z2064" s="1" t="n">
        <v>0</v>
      </c>
    </row>
    <row r="2065" customFormat="false" ht="15" hidden="false" customHeight="true" outlineLevel="0" collapsed="false">
      <c r="A2065" s="1" t="s">
        <v>2925</v>
      </c>
      <c r="B2065" s="1" t="s">
        <v>547</v>
      </c>
      <c r="C2065" s="1" t="s">
        <v>119</v>
      </c>
      <c r="D2065" s="1" t="s">
        <v>123</v>
      </c>
      <c r="E2065" s="1" t="s">
        <v>124</v>
      </c>
      <c r="F2065" s="1" t="s">
        <v>46</v>
      </c>
      <c r="G2065" s="1" t="s">
        <v>47</v>
      </c>
      <c r="H2065" s="1" t="s">
        <v>33</v>
      </c>
      <c r="I2065" s="1" t="s">
        <v>83</v>
      </c>
      <c r="J2065" s="1" t="s">
        <v>131</v>
      </c>
      <c r="K2065" s="1" t="s">
        <v>36</v>
      </c>
      <c r="L2065" s="1" t="s">
        <v>85</v>
      </c>
      <c r="M2065" s="1" t="s">
        <v>38</v>
      </c>
      <c r="N2065" s="1" t="n">
        <v>4999</v>
      </c>
      <c r="O2065" s="1" t="n">
        <v>15</v>
      </c>
      <c r="P2065" s="1" t="n">
        <v>749.85</v>
      </c>
      <c r="Q2065" s="1" t="n">
        <v>4249.15</v>
      </c>
      <c r="R2065" s="1" t="n">
        <v>764.85</v>
      </c>
      <c r="S2065" s="1" t="n">
        <v>3484.3</v>
      </c>
      <c r="T2065" s="1" t="n">
        <v>1803.27</v>
      </c>
      <c r="U2065" s="1" t="n">
        <v>1681.03</v>
      </c>
      <c r="V2065" s="1" t="n">
        <v>48.25</v>
      </c>
      <c r="W2065" s="1" t="s">
        <v>39</v>
      </c>
      <c r="X2065" s="1" t="n">
        <v>3.3</v>
      </c>
      <c r="Y2065" s="1" t="s">
        <v>40</v>
      </c>
      <c r="Z2065" s="1" t="n">
        <v>0</v>
      </c>
    </row>
    <row r="2066" customFormat="false" ht="15" hidden="false" customHeight="true" outlineLevel="0" collapsed="false">
      <c r="A2066" s="1" t="s">
        <v>2926</v>
      </c>
      <c r="B2066" s="1" t="s">
        <v>460</v>
      </c>
      <c r="C2066" s="1" t="s">
        <v>100</v>
      </c>
      <c r="D2066" s="1" t="s">
        <v>168</v>
      </c>
      <c r="E2066" s="1" t="s">
        <v>169</v>
      </c>
      <c r="F2066" s="1" t="s">
        <v>205</v>
      </c>
      <c r="G2066" s="1" t="s">
        <v>56</v>
      </c>
      <c r="H2066" s="1" t="s">
        <v>69</v>
      </c>
      <c r="I2066" s="1" t="s">
        <v>58</v>
      </c>
      <c r="J2066" s="1" t="s">
        <v>77</v>
      </c>
      <c r="K2066" s="1" t="s">
        <v>60</v>
      </c>
      <c r="L2066" s="1" t="s">
        <v>61</v>
      </c>
      <c r="M2066" s="1" t="s">
        <v>62</v>
      </c>
      <c r="N2066" s="1" t="n">
        <v>4999</v>
      </c>
      <c r="O2066" s="1" t="n">
        <v>0</v>
      </c>
      <c r="P2066" s="1" t="n">
        <v>0</v>
      </c>
      <c r="Q2066" s="1" t="n">
        <v>4999</v>
      </c>
      <c r="R2066" s="1" t="n">
        <v>899.82</v>
      </c>
      <c r="S2066" s="1" t="n">
        <v>4099.18</v>
      </c>
      <c r="T2066" s="1" t="n">
        <v>1886.58</v>
      </c>
      <c r="U2066" s="1" t="n">
        <v>2212.6</v>
      </c>
      <c r="V2066" s="1" t="n">
        <v>53.98</v>
      </c>
      <c r="W2066" s="1" t="s">
        <v>39</v>
      </c>
      <c r="Y2066" s="1" t="s">
        <v>40</v>
      </c>
      <c r="Z2066" s="1" t="n">
        <v>0</v>
      </c>
    </row>
    <row r="2067" customFormat="false" ht="15" hidden="false" customHeight="true" outlineLevel="0" collapsed="false">
      <c r="A2067" s="1" t="s">
        <v>2927</v>
      </c>
      <c r="B2067" s="1" t="s">
        <v>2363</v>
      </c>
      <c r="C2067" s="1" t="s">
        <v>178</v>
      </c>
      <c r="D2067" s="1" t="s">
        <v>29</v>
      </c>
      <c r="E2067" s="1" t="s">
        <v>182</v>
      </c>
      <c r="F2067" s="1" t="s">
        <v>120</v>
      </c>
      <c r="G2067" s="1" t="s">
        <v>47</v>
      </c>
      <c r="H2067" s="1" t="s">
        <v>57</v>
      </c>
      <c r="I2067" s="1" t="s">
        <v>34</v>
      </c>
      <c r="J2067" s="1" t="s">
        <v>131</v>
      </c>
      <c r="K2067" s="1" t="s">
        <v>71</v>
      </c>
      <c r="L2067" s="1" t="s">
        <v>113</v>
      </c>
      <c r="M2067" s="1" t="s">
        <v>50</v>
      </c>
      <c r="N2067" s="1" t="n">
        <v>34999</v>
      </c>
      <c r="O2067" s="1" t="n">
        <v>40</v>
      </c>
      <c r="P2067" s="1" t="n">
        <v>13999.6</v>
      </c>
      <c r="Q2067" s="1" t="n">
        <v>20999.4</v>
      </c>
      <c r="R2067" s="1" t="n">
        <v>3779.89</v>
      </c>
      <c r="S2067" s="1" t="n">
        <v>17219.51</v>
      </c>
      <c r="T2067" s="1" t="n">
        <v>9072.87</v>
      </c>
      <c r="U2067" s="1" t="n">
        <v>8146.64</v>
      </c>
      <c r="V2067" s="1" t="n">
        <v>47.31</v>
      </c>
      <c r="W2067" s="1" t="s">
        <v>39</v>
      </c>
      <c r="Y2067" s="1" t="s">
        <v>40</v>
      </c>
      <c r="Z2067" s="1" t="n">
        <v>0</v>
      </c>
    </row>
    <row r="2068" customFormat="false" ht="15" hidden="false" customHeight="true" outlineLevel="0" collapsed="false">
      <c r="A2068" s="1" t="s">
        <v>2928</v>
      </c>
      <c r="B2068" s="1" t="s">
        <v>606</v>
      </c>
      <c r="C2068" s="1" t="s">
        <v>119</v>
      </c>
      <c r="D2068" s="1" t="s">
        <v>80</v>
      </c>
      <c r="E2068" s="1" t="s">
        <v>193</v>
      </c>
      <c r="F2068" s="1" t="s">
        <v>130</v>
      </c>
      <c r="G2068" s="1" t="s">
        <v>47</v>
      </c>
      <c r="H2068" s="1" t="s">
        <v>69</v>
      </c>
      <c r="I2068" s="1" t="s">
        <v>83</v>
      </c>
      <c r="J2068" s="1" t="s">
        <v>35</v>
      </c>
      <c r="K2068" s="1" t="s">
        <v>104</v>
      </c>
      <c r="L2068" s="1" t="s">
        <v>85</v>
      </c>
      <c r="M2068" s="1" t="s">
        <v>62</v>
      </c>
      <c r="N2068" s="1" t="n">
        <v>8999</v>
      </c>
      <c r="O2068" s="1" t="n">
        <v>10</v>
      </c>
      <c r="P2068" s="1" t="n">
        <v>899.9</v>
      </c>
      <c r="Q2068" s="1" t="n">
        <v>8099.1</v>
      </c>
      <c r="R2068" s="1" t="n">
        <v>1457.84</v>
      </c>
      <c r="S2068" s="1" t="n">
        <v>6641.26</v>
      </c>
      <c r="T2068" s="1" t="n">
        <v>3471.82</v>
      </c>
      <c r="U2068" s="1" t="n">
        <v>3169.44</v>
      </c>
      <c r="V2068" s="1" t="n">
        <v>47.72</v>
      </c>
      <c r="W2068" s="1" t="s">
        <v>39</v>
      </c>
      <c r="X2068" s="1" t="n">
        <v>3.7</v>
      </c>
      <c r="Y2068" s="1" t="s">
        <v>40</v>
      </c>
      <c r="Z2068" s="1" t="n">
        <v>0</v>
      </c>
    </row>
    <row r="2069" customFormat="false" ht="15" hidden="false" customHeight="true" outlineLevel="0" collapsed="false">
      <c r="A2069" s="1" t="s">
        <v>2929</v>
      </c>
      <c r="B2069" s="1" t="s">
        <v>1633</v>
      </c>
      <c r="C2069" s="1" t="s">
        <v>100</v>
      </c>
      <c r="D2069" s="1" t="s">
        <v>168</v>
      </c>
      <c r="E2069" s="1" t="s">
        <v>169</v>
      </c>
      <c r="F2069" s="1" t="s">
        <v>205</v>
      </c>
      <c r="G2069" s="1" t="s">
        <v>56</v>
      </c>
      <c r="H2069" s="1" t="s">
        <v>69</v>
      </c>
      <c r="I2069" s="1" t="s">
        <v>34</v>
      </c>
      <c r="J2069" s="1" t="s">
        <v>131</v>
      </c>
      <c r="K2069" s="1" t="s">
        <v>48</v>
      </c>
      <c r="L2069" s="1" t="s">
        <v>113</v>
      </c>
      <c r="M2069" s="1" t="s">
        <v>62</v>
      </c>
      <c r="N2069" s="1" t="n">
        <v>4999</v>
      </c>
      <c r="O2069" s="1" t="n">
        <v>10</v>
      </c>
      <c r="P2069" s="1" t="n">
        <v>499.9</v>
      </c>
      <c r="Q2069" s="1" t="n">
        <v>4499.1</v>
      </c>
      <c r="R2069" s="1" t="n">
        <v>809.84</v>
      </c>
      <c r="S2069" s="1" t="n">
        <v>3689.26</v>
      </c>
      <c r="T2069" s="1" t="n">
        <v>1239.71</v>
      </c>
      <c r="U2069" s="1" t="n">
        <v>2449.55</v>
      </c>
      <c r="V2069" s="1" t="n">
        <v>66.4</v>
      </c>
      <c r="W2069" s="1" t="s">
        <v>39</v>
      </c>
      <c r="Y2069" s="1" t="s">
        <v>40</v>
      </c>
      <c r="Z2069" s="1" t="n">
        <v>0</v>
      </c>
    </row>
    <row r="2070" customFormat="false" ht="15" hidden="false" customHeight="true" outlineLevel="0" collapsed="false">
      <c r="A2070" s="1" t="s">
        <v>2930</v>
      </c>
      <c r="B2070" s="1" t="s">
        <v>596</v>
      </c>
      <c r="C2070" s="1" t="s">
        <v>139</v>
      </c>
      <c r="D2070" s="1" t="s">
        <v>29</v>
      </c>
      <c r="E2070" s="1" t="s">
        <v>30</v>
      </c>
      <c r="F2070" s="1" t="s">
        <v>211</v>
      </c>
      <c r="G2070" s="1" t="s">
        <v>56</v>
      </c>
      <c r="H2070" s="1" t="s">
        <v>69</v>
      </c>
      <c r="I2070" s="1" t="s">
        <v>34</v>
      </c>
      <c r="J2070" s="1" t="s">
        <v>77</v>
      </c>
      <c r="K2070" s="1" t="s">
        <v>84</v>
      </c>
      <c r="L2070" s="1" t="s">
        <v>85</v>
      </c>
      <c r="M2070" s="1" t="s">
        <v>50</v>
      </c>
      <c r="N2070" s="1" t="n">
        <v>7999</v>
      </c>
      <c r="O2070" s="1" t="n">
        <v>10</v>
      </c>
      <c r="P2070" s="1" t="n">
        <v>799.9</v>
      </c>
      <c r="Q2070" s="1" t="n">
        <v>7199.1</v>
      </c>
      <c r="R2070" s="1" t="n">
        <v>1295.84</v>
      </c>
      <c r="S2070" s="1" t="n">
        <v>5903.26</v>
      </c>
      <c r="T2070" s="1" t="n">
        <v>2078.82</v>
      </c>
      <c r="U2070" s="1" t="n">
        <v>3824.44</v>
      </c>
      <c r="V2070" s="1" t="n">
        <v>64.79</v>
      </c>
      <c r="W2070" s="1" t="s">
        <v>39</v>
      </c>
      <c r="X2070" s="1" t="n">
        <v>4.7</v>
      </c>
      <c r="Y2070" s="1" t="s">
        <v>40</v>
      </c>
      <c r="Z2070" s="1" t="n">
        <v>1</v>
      </c>
    </row>
    <row r="2071" customFormat="false" ht="15" hidden="false" customHeight="true" outlineLevel="0" collapsed="false">
      <c r="A2071" s="1" t="s">
        <v>2931</v>
      </c>
      <c r="B2071" s="1" t="s">
        <v>2932</v>
      </c>
      <c r="C2071" s="1" t="s">
        <v>74</v>
      </c>
      <c r="D2071" s="1" t="s">
        <v>80</v>
      </c>
      <c r="E2071" s="1" t="s">
        <v>175</v>
      </c>
      <c r="F2071" s="1" t="s">
        <v>150</v>
      </c>
      <c r="G2071" s="1" t="s">
        <v>32</v>
      </c>
      <c r="H2071" s="1" t="s">
        <v>57</v>
      </c>
      <c r="I2071" s="1" t="s">
        <v>34</v>
      </c>
      <c r="J2071" s="1" t="s">
        <v>77</v>
      </c>
      <c r="K2071" s="1" t="s">
        <v>60</v>
      </c>
      <c r="L2071" s="1" t="s">
        <v>61</v>
      </c>
      <c r="M2071" s="1" t="s">
        <v>62</v>
      </c>
      <c r="N2071" s="1" t="n">
        <v>19999</v>
      </c>
      <c r="O2071" s="1" t="n">
        <v>0</v>
      </c>
      <c r="P2071" s="1" t="n">
        <v>0</v>
      </c>
      <c r="Q2071" s="1" t="n">
        <v>19999</v>
      </c>
      <c r="R2071" s="1" t="n">
        <v>3599.82</v>
      </c>
      <c r="S2071" s="1" t="n">
        <v>16399.18</v>
      </c>
      <c r="T2071" s="1" t="n">
        <v>6925.31</v>
      </c>
      <c r="U2071" s="1" t="n">
        <v>9473.87</v>
      </c>
      <c r="V2071" s="1" t="n">
        <v>57.77</v>
      </c>
      <c r="W2071" s="1" t="s">
        <v>39</v>
      </c>
      <c r="X2071" s="1" t="n">
        <v>5</v>
      </c>
      <c r="Y2071" s="1" t="s">
        <v>40</v>
      </c>
      <c r="Z2071" s="1" t="n">
        <v>0</v>
      </c>
    </row>
    <row r="2072" customFormat="false" ht="15" hidden="false" customHeight="true" outlineLevel="0" collapsed="false">
      <c r="A2072" s="1" t="s">
        <v>2933</v>
      </c>
      <c r="B2072" s="1" t="s">
        <v>2226</v>
      </c>
      <c r="C2072" s="1" t="s">
        <v>100</v>
      </c>
      <c r="D2072" s="1" t="s">
        <v>143</v>
      </c>
      <c r="E2072" s="1" t="s">
        <v>159</v>
      </c>
      <c r="F2072" s="1" t="s">
        <v>187</v>
      </c>
      <c r="G2072" s="1" t="s">
        <v>97</v>
      </c>
      <c r="H2072" s="1" t="s">
        <v>69</v>
      </c>
      <c r="I2072" s="1" t="s">
        <v>58</v>
      </c>
      <c r="J2072" s="1" t="s">
        <v>131</v>
      </c>
      <c r="K2072" s="1" t="s">
        <v>112</v>
      </c>
      <c r="L2072" s="1" t="s">
        <v>49</v>
      </c>
      <c r="M2072" s="1" t="s">
        <v>62</v>
      </c>
      <c r="N2072" s="1" t="n">
        <v>24999</v>
      </c>
      <c r="O2072" s="1" t="n">
        <v>0</v>
      </c>
      <c r="P2072" s="1" t="n">
        <v>0</v>
      </c>
      <c r="Q2072" s="1" t="n">
        <v>24999</v>
      </c>
      <c r="R2072" s="1" t="n">
        <v>4499.82</v>
      </c>
      <c r="S2072" s="1" t="n">
        <v>20499.18</v>
      </c>
      <c r="T2072" s="1" t="n">
        <v>8054.52</v>
      </c>
      <c r="U2072" s="1" t="n">
        <v>12444.66</v>
      </c>
      <c r="V2072" s="1" t="n">
        <v>60.71</v>
      </c>
      <c r="W2072" s="1" t="s">
        <v>40</v>
      </c>
      <c r="Y2072" s="1" t="s">
        <v>40</v>
      </c>
      <c r="Z2072" s="1" t="n">
        <v>0</v>
      </c>
    </row>
    <row r="2073" customFormat="false" ht="15" hidden="false" customHeight="true" outlineLevel="0" collapsed="false">
      <c r="A2073" s="1" t="s">
        <v>2934</v>
      </c>
      <c r="B2073" s="1" t="s">
        <v>515</v>
      </c>
      <c r="C2073" s="1" t="s">
        <v>43</v>
      </c>
      <c r="D2073" s="1" t="s">
        <v>143</v>
      </c>
      <c r="E2073" s="1" t="s">
        <v>243</v>
      </c>
      <c r="F2073" s="1" t="s">
        <v>67</v>
      </c>
      <c r="G2073" s="1" t="s">
        <v>68</v>
      </c>
      <c r="H2073" s="1" t="s">
        <v>69</v>
      </c>
      <c r="I2073" s="1" t="s">
        <v>83</v>
      </c>
      <c r="J2073" s="1" t="s">
        <v>131</v>
      </c>
      <c r="K2073" s="1" t="s">
        <v>84</v>
      </c>
      <c r="L2073" s="1" t="s">
        <v>136</v>
      </c>
      <c r="M2073" s="1" t="s">
        <v>50</v>
      </c>
      <c r="N2073" s="1" t="n">
        <v>22999</v>
      </c>
      <c r="O2073" s="1" t="n">
        <v>10</v>
      </c>
      <c r="P2073" s="1" t="n">
        <v>2299.9</v>
      </c>
      <c r="Q2073" s="1" t="n">
        <v>20699.1</v>
      </c>
      <c r="R2073" s="1" t="n">
        <v>3725.84</v>
      </c>
      <c r="S2073" s="1" t="n">
        <v>16973.26</v>
      </c>
      <c r="T2073" s="1" t="n">
        <v>6985.31</v>
      </c>
      <c r="U2073" s="1" t="n">
        <v>9987.95</v>
      </c>
      <c r="V2073" s="1" t="n">
        <v>58.85</v>
      </c>
      <c r="W2073" s="1" t="s">
        <v>39</v>
      </c>
      <c r="X2073" s="1" t="n">
        <v>4.2</v>
      </c>
      <c r="Y2073" s="1" t="s">
        <v>39</v>
      </c>
      <c r="Z2073" s="1" t="n">
        <v>0</v>
      </c>
    </row>
    <row r="2074" customFormat="false" ht="15" hidden="false" customHeight="true" outlineLevel="0" collapsed="false">
      <c r="A2074" s="1" t="s">
        <v>2935</v>
      </c>
      <c r="B2074" s="1" t="s">
        <v>1959</v>
      </c>
      <c r="C2074" s="1" t="s">
        <v>249</v>
      </c>
      <c r="D2074" s="1" t="s">
        <v>123</v>
      </c>
      <c r="E2074" s="1" t="s">
        <v>147</v>
      </c>
      <c r="F2074" s="1" t="s">
        <v>184</v>
      </c>
      <c r="G2074" s="1" t="s">
        <v>56</v>
      </c>
      <c r="H2074" s="1" t="s">
        <v>57</v>
      </c>
      <c r="I2074" s="1" t="s">
        <v>83</v>
      </c>
      <c r="J2074" s="1" t="s">
        <v>35</v>
      </c>
      <c r="K2074" s="1" t="s">
        <v>90</v>
      </c>
      <c r="L2074" s="1" t="s">
        <v>113</v>
      </c>
      <c r="M2074" s="1" t="s">
        <v>38</v>
      </c>
      <c r="N2074" s="1" t="n">
        <v>6999</v>
      </c>
      <c r="O2074" s="1" t="n">
        <v>30</v>
      </c>
      <c r="P2074" s="1" t="n">
        <v>2099.7</v>
      </c>
      <c r="Q2074" s="1" t="n">
        <v>4899.3</v>
      </c>
      <c r="R2074" s="1" t="n">
        <v>881.87</v>
      </c>
      <c r="S2074" s="1" t="n">
        <v>4017.43</v>
      </c>
      <c r="T2074" s="1" t="n">
        <v>1983.19</v>
      </c>
      <c r="U2074" s="1" t="n">
        <v>2034.24</v>
      </c>
      <c r="V2074" s="1" t="n">
        <v>50.64</v>
      </c>
      <c r="W2074" s="1" t="s">
        <v>40</v>
      </c>
      <c r="Y2074" s="1" t="s">
        <v>40</v>
      </c>
      <c r="Z2074" s="1" t="n">
        <v>1</v>
      </c>
    </row>
    <row r="2075" customFormat="false" ht="15" hidden="false" customHeight="true" outlineLevel="0" collapsed="false">
      <c r="A2075" s="1" t="s">
        <v>2936</v>
      </c>
      <c r="B2075" s="1" t="s">
        <v>680</v>
      </c>
      <c r="C2075" s="1" t="s">
        <v>43</v>
      </c>
      <c r="D2075" s="1" t="s">
        <v>80</v>
      </c>
      <c r="E2075" s="1" t="s">
        <v>193</v>
      </c>
      <c r="F2075" s="1" t="s">
        <v>184</v>
      </c>
      <c r="G2075" s="1" t="s">
        <v>56</v>
      </c>
      <c r="H2075" s="1" t="s">
        <v>57</v>
      </c>
      <c r="I2075" s="1" t="s">
        <v>34</v>
      </c>
      <c r="J2075" s="1" t="s">
        <v>35</v>
      </c>
      <c r="K2075" s="1" t="s">
        <v>48</v>
      </c>
      <c r="L2075" s="1" t="s">
        <v>49</v>
      </c>
      <c r="M2075" s="1" t="s">
        <v>50</v>
      </c>
      <c r="N2075" s="1" t="n">
        <v>8999</v>
      </c>
      <c r="O2075" s="1" t="n">
        <v>0</v>
      </c>
      <c r="P2075" s="1" t="n">
        <v>0</v>
      </c>
      <c r="Q2075" s="1" t="n">
        <v>8999</v>
      </c>
      <c r="R2075" s="1" t="n">
        <v>1619.82</v>
      </c>
      <c r="S2075" s="1" t="n">
        <v>7379.18</v>
      </c>
      <c r="T2075" s="1" t="n">
        <v>3048.44</v>
      </c>
      <c r="U2075" s="1" t="n">
        <v>4330.74</v>
      </c>
      <c r="V2075" s="1" t="n">
        <v>58.69</v>
      </c>
      <c r="W2075" s="1" t="s">
        <v>40</v>
      </c>
      <c r="Y2075" s="1" t="s">
        <v>40</v>
      </c>
      <c r="Z2075" s="1" t="n">
        <v>1</v>
      </c>
    </row>
    <row r="2076" customFormat="false" ht="15" hidden="false" customHeight="true" outlineLevel="0" collapsed="false">
      <c r="A2076" s="1" t="s">
        <v>2937</v>
      </c>
      <c r="B2076" s="1" t="s">
        <v>1984</v>
      </c>
      <c r="C2076" s="1" t="s">
        <v>178</v>
      </c>
      <c r="D2076" s="1" t="s">
        <v>53</v>
      </c>
      <c r="E2076" s="1" t="s">
        <v>54</v>
      </c>
      <c r="F2076" s="1" t="s">
        <v>75</v>
      </c>
      <c r="G2076" s="1" t="s">
        <v>76</v>
      </c>
      <c r="H2076" s="1" t="s">
        <v>69</v>
      </c>
      <c r="I2076" s="1" t="s">
        <v>34</v>
      </c>
      <c r="J2076" s="1" t="s">
        <v>35</v>
      </c>
      <c r="K2076" s="1" t="s">
        <v>36</v>
      </c>
      <c r="L2076" s="1" t="s">
        <v>49</v>
      </c>
      <c r="M2076" s="1" t="s">
        <v>62</v>
      </c>
      <c r="N2076" s="1" t="n">
        <v>11999</v>
      </c>
      <c r="O2076" s="1" t="n">
        <v>20</v>
      </c>
      <c r="P2076" s="1" t="n">
        <v>2399.8</v>
      </c>
      <c r="Q2076" s="1" t="n">
        <v>9599.2</v>
      </c>
      <c r="R2076" s="1" t="n">
        <v>1727.86</v>
      </c>
      <c r="S2076" s="1" t="n">
        <v>7871.34</v>
      </c>
      <c r="T2076" s="1" t="n">
        <v>2671.27</v>
      </c>
      <c r="U2076" s="1" t="n">
        <v>5200.07</v>
      </c>
      <c r="V2076" s="1" t="n">
        <v>66.06</v>
      </c>
      <c r="W2076" s="1" t="s">
        <v>39</v>
      </c>
      <c r="X2076" s="1" t="n">
        <v>3.7</v>
      </c>
      <c r="Y2076" s="1" t="s">
        <v>40</v>
      </c>
      <c r="Z2076" s="1" t="n">
        <v>0</v>
      </c>
    </row>
    <row r="2077" customFormat="false" ht="15" hidden="false" customHeight="true" outlineLevel="0" collapsed="false">
      <c r="A2077" s="1" t="s">
        <v>2938</v>
      </c>
      <c r="B2077" s="1" t="s">
        <v>772</v>
      </c>
      <c r="C2077" s="1" t="s">
        <v>249</v>
      </c>
      <c r="D2077" s="1" t="s">
        <v>123</v>
      </c>
      <c r="E2077" s="1" t="s">
        <v>147</v>
      </c>
      <c r="F2077" s="1" t="s">
        <v>46</v>
      </c>
      <c r="G2077" s="1" t="s">
        <v>47</v>
      </c>
      <c r="H2077" s="1" t="s">
        <v>33</v>
      </c>
      <c r="I2077" s="1" t="s">
        <v>34</v>
      </c>
      <c r="J2077" s="1" t="s">
        <v>70</v>
      </c>
      <c r="K2077" s="1" t="s">
        <v>84</v>
      </c>
      <c r="L2077" s="1" t="s">
        <v>61</v>
      </c>
      <c r="M2077" s="1" t="s">
        <v>38</v>
      </c>
      <c r="N2077" s="1" t="n">
        <v>6999</v>
      </c>
      <c r="O2077" s="1" t="n">
        <v>0</v>
      </c>
      <c r="P2077" s="1" t="n">
        <v>0</v>
      </c>
      <c r="Q2077" s="1" t="n">
        <v>6999</v>
      </c>
      <c r="R2077" s="1" t="n">
        <v>1259.82</v>
      </c>
      <c r="S2077" s="1" t="n">
        <v>5739.18</v>
      </c>
      <c r="T2077" s="1" t="n">
        <v>2855.69</v>
      </c>
      <c r="U2077" s="1" t="n">
        <v>2883.49</v>
      </c>
      <c r="V2077" s="1" t="n">
        <v>50.24</v>
      </c>
      <c r="W2077" s="1" t="s">
        <v>40</v>
      </c>
      <c r="Y2077" s="1" t="s">
        <v>40</v>
      </c>
      <c r="Z2077" s="1" t="n">
        <v>0</v>
      </c>
    </row>
    <row r="2078" customFormat="false" ht="15" hidden="false" customHeight="true" outlineLevel="0" collapsed="false">
      <c r="A2078" s="1" t="s">
        <v>2939</v>
      </c>
      <c r="B2078" s="1" t="s">
        <v>315</v>
      </c>
      <c r="C2078" s="1" t="s">
        <v>74</v>
      </c>
      <c r="D2078" s="1" t="s">
        <v>53</v>
      </c>
      <c r="E2078" s="1" t="s">
        <v>54</v>
      </c>
      <c r="F2078" s="1" t="s">
        <v>130</v>
      </c>
      <c r="G2078" s="1" t="s">
        <v>47</v>
      </c>
      <c r="H2078" s="1" t="s">
        <v>69</v>
      </c>
      <c r="I2078" s="1" t="s">
        <v>58</v>
      </c>
      <c r="J2078" s="1" t="s">
        <v>35</v>
      </c>
      <c r="K2078" s="1" t="s">
        <v>48</v>
      </c>
      <c r="L2078" s="1" t="s">
        <v>37</v>
      </c>
      <c r="M2078" s="1" t="s">
        <v>62</v>
      </c>
      <c r="N2078" s="1" t="n">
        <v>11999</v>
      </c>
      <c r="O2078" s="1" t="n">
        <v>50</v>
      </c>
      <c r="P2078" s="1" t="n">
        <v>5999.5</v>
      </c>
      <c r="Q2078" s="1" t="n">
        <v>5999.5</v>
      </c>
      <c r="R2078" s="1" t="n">
        <v>1079.91</v>
      </c>
      <c r="S2078" s="1" t="n">
        <v>4919.59</v>
      </c>
      <c r="T2078" s="1" t="n">
        <v>2831.17</v>
      </c>
      <c r="U2078" s="1" t="n">
        <v>2088.42</v>
      </c>
      <c r="V2078" s="1" t="n">
        <v>42.45</v>
      </c>
      <c r="W2078" s="1" t="s">
        <v>39</v>
      </c>
      <c r="X2078" s="1" t="n">
        <v>3.5</v>
      </c>
      <c r="Y2078" s="1" t="s">
        <v>40</v>
      </c>
      <c r="Z2078" s="1" t="n">
        <v>1</v>
      </c>
    </row>
    <row r="2079" customFormat="false" ht="15" hidden="false" customHeight="true" outlineLevel="0" collapsed="false">
      <c r="A2079" s="1" t="s">
        <v>2940</v>
      </c>
      <c r="B2079" s="1" t="s">
        <v>1052</v>
      </c>
      <c r="C2079" s="1" t="s">
        <v>134</v>
      </c>
      <c r="D2079" s="1" t="s">
        <v>29</v>
      </c>
      <c r="E2079" s="1" t="s">
        <v>305</v>
      </c>
      <c r="F2079" s="1" t="s">
        <v>96</v>
      </c>
      <c r="G2079" s="1" t="s">
        <v>97</v>
      </c>
      <c r="H2079" s="1" t="s">
        <v>69</v>
      </c>
      <c r="I2079" s="1" t="s">
        <v>83</v>
      </c>
      <c r="J2079" s="1" t="s">
        <v>59</v>
      </c>
      <c r="K2079" s="1" t="s">
        <v>104</v>
      </c>
      <c r="L2079" s="1" t="s">
        <v>136</v>
      </c>
      <c r="M2079" s="1" t="s">
        <v>62</v>
      </c>
      <c r="N2079" s="1" t="n">
        <v>24999</v>
      </c>
      <c r="O2079" s="1" t="n">
        <v>0</v>
      </c>
      <c r="P2079" s="1" t="n">
        <v>0</v>
      </c>
      <c r="Q2079" s="1" t="n">
        <v>24999</v>
      </c>
      <c r="R2079" s="1" t="n">
        <v>4499.82</v>
      </c>
      <c r="S2079" s="1" t="n">
        <v>20499.18</v>
      </c>
      <c r="T2079" s="1" t="n">
        <v>8017.56</v>
      </c>
      <c r="U2079" s="1" t="n">
        <v>12481.62</v>
      </c>
      <c r="V2079" s="1" t="n">
        <v>60.89</v>
      </c>
      <c r="W2079" s="1" t="s">
        <v>39</v>
      </c>
      <c r="Y2079" s="1" t="s">
        <v>40</v>
      </c>
      <c r="Z2079" s="1" t="n">
        <v>1</v>
      </c>
    </row>
    <row r="2080" customFormat="false" ht="15" hidden="false" customHeight="true" outlineLevel="0" collapsed="false">
      <c r="A2080" s="1" t="s">
        <v>2941</v>
      </c>
      <c r="B2080" s="1" t="s">
        <v>1018</v>
      </c>
      <c r="C2080" s="1" t="s">
        <v>28</v>
      </c>
      <c r="D2080" s="1" t="s">
        <v>168</v>
      </c>
      <c r="E2080" s="1" t="s">
        <v>169</v>
      </c>
      <c r="F2080" s="1" t="s">
        <v>89</v>
      </c>
      <c r="G2080" s="1" t="s">
        <v>68</v>
      </c>
      <c r="H2080" s="1" t="s">
        <v>33</v>
      </c>
      <c r="I2080" s="1" t="s">
        <v>34</v>
      </c>
      <c r="J2080" s="1" t="s">
        <v>70</v>
      </c>
      <c r="K2080" s="1" t="s">
        <v>71</v>
      </c>
      <c r="L2080" s="1" t="s">
        <v>136</v>
      </c>
      <c r="M2080" s="1" t="s">
        <v>38</v>
      </c>
      <c r="N2080" s="1" t="n">
        <v>4999</v>
      </c>
      <c r="O2080" s="1" t="n">
        <v>0</v>
      </c>
      <c r="P2080" s="1" t="n">
        <v>0</v>
      </c>
      <c r="Q2080" s="1" t="n">
        <v>4999</v>
      </c>
      <c r="R2080" s="1" t="n">
        <v>899.82</v>
      </c>
      <c r="S2080" s="1" t="n">
        <v>4099.18</v>
      </c>
      <c r="T2080" s="1" t="n">
        <v>1799.05</v>
      </c>
      <c r="U2080" s="1" t="n">
        <v>2300.13</v>
      </c>
      <c r="V2080" s="1" t="n">
        <v>56.11</v>
      </c>
      <c r="W2080" s="1" t="s">
        <v>40</v>
      </c>
      <c r="Y2080" s="1" t="s">
        <v>40</v>
      </c>
      <c r="Z2080" s="1" t="n">
        <v>1</v>
      </c>
    </row>
    <row r="2081" customFormat="false" ht="15" hidden="false" customHeight="true" outlineLevel="0" collapsed="false">
      <c r="A2081" s="1" t="s">
        <v>2942</v>
      </c>
      <c r="B2081" s="1" t="s">
        <v>491</v>
      </c>
      <c r="C2081" s="1" t="s">
        <v>74</v>
      </c>
      <c r="D2081" s="1" t="s">
        <v>168</v>
      </c>
      <c r="E2081" s="1" t="s">
        <v>172</v>
      </c>
      <c r="F2081" s="1" t="s">
        <v>31</v>
      </c>
      <c r="G2081" s="1" t="s">
        <v>32</v>
      </c>
      <c r="H2081" s="1" t="s">
        <v>33</v>
      </c>
      <c r="I2081" s="1" t="s">
        <v>58</v>
      </c>
      <c r="J2081" s="1" t="s">
        <v>59</v>
      </c>
      <c r="K2081" s="1" t="s">
        <v>60</v>
      </c>
      <c r="L2081" s="1" t="s">
        <v>85</v>
      </c>
      <c r="M2081" s="1" t="s">
        <v>38</v>
      </c>
      <c r="N2081" s="1" t="n">
        <v>6999</v>
      </c>
      <c r="O2081" s="1" t="n">
        <v>25</v>
      </c>
      <c r="P2081" s="1" t="n">
        <v>1749.75</v>
      </c>
      <c r="Q2081" s="1" t="n">
        <v>5249.25</v>
      </c>
      <c r="R2081" s="1" t="n">
        <v>944.87</v>
      </c>
      <c r="S2081" s="1" t="n">
        <v>4304.38</v>
      </c>
      <c r="T2081" s="1" t="n">
        <v>1958.08</v>
      </c>
      <c r="U2081" s="1" t="n">
        <v>2346.3</v>
      </c>
      <c r="V2081" s="1" t="n">
        <v>54.51</v>
      </c>
      <c r="W2081" s="1" t="s">
        <v>39</v>
      </c>
      <c r="X2081" s="1" t="n">
        <v>3.3</v>
      </c>
      <c r="Y2081" s="1" t="s">
        <v>40</v>
      </c>
      <c r="Z2081" s="1" t="n">
        <v>0</v>
      </c>
    </row>
    <row r="2082" customFormat="false" ht="15" hidden="false" customHeight="true" outlineLevel="0" collapsed="false">
      <c r="A2082" s="1" t="s">
        <v>2943</v>
      </c>
      <c r="B2082" s="1" t="s">
        <v>2360</v>
      </c>
      <c r="C2082" s="1" t="s">
        <v>167</v>
      </c>
      <c r="D2082" s="1" t="s">
        <v>94</v>
      </c>
      <c r="E2082" s="1" t="s">
        <v>135</v>
      </c>
      <c r="F2082" s="1" t="s">
        <v>75</v>
      </c>
      <c r="G2082" s="1" t="s">
        <v>76</v>
      </c>
      <c r="H2082" s="1" t="s">
        <v>69</v>
      </c>
      <c r="I2082" s="1" t="s">
        <v>83</v>
      </c>
      <c r="J2082" s="1" t="s">
        <v>59</v>
      </c>
      <c r="K2082" s="1" t="s">
        <v>48</v>
      </c>
      <c r="L2082" s="1" t="s">
        <v>85</v>
      </c>
      <c r="M2082" s="1" t="s">
        <v>62</v>
      </c>
      <c r="N2082" s="1" t="n">
        <v>9999</v>
      </c>
      <c r="O2082" s="1" t="n">
        <v>10</v>
      </c>
      <c r="P2082" s="1" t="n">
        <v>999.9</v>
      </c>
      <c r="Q2082" s="1" t="n">
        <v>8999.1</v>
      </c>
      <c r="R2082" s="1" t="n">
        <v>1619.84</v>
      </c>
      <c r="S2082" s="1" t="n">
        <v>7379.26</v>
      </c>
      <c r="T2082" s="1" t="n">
        <v>3435</v>
      </c>
      <c r="U2082" s="1" t="n">
        <v>3944.26</v>
      </c>
      <c r="V2082" s="1" t="n">
        <v>53.45</v>
      </c>
      <c r="W2082" s="1" t="s">
        <v>40</v>
      </c>
      <c r="Y2082" s="1" t="s">
        <v>40</v>
      </c>
      <c r="Z2082" s="1" t="n">
        <v>2</v>
      </c>
    </row>
    <row r="2083" customFormat="false" ht="15" hidden="false" customHeight="true" outlineLevel="0" collapsed="false">
      <c r="A2083" s="1" t="s">
        <v>2944</v>
      </c>
      <c r="B2083" s="1" t="s">
        <v>1453</v>
      </c>
      <c r="C2083" s="1" t="s">
        <v>178</v>
      </c>
      <c r="D2083" s="1" t="s">
        <v>94</v>
      </c>
      <c r="E2083" s="1" t="s">
        <v>95</v>
      </c>
      <c r="F2083" s="1" t="s">
        <v>153</v>
      </c>
      <c r="G2083" s="1" t="s">
        <v>76</v>
      </c>
      <c r="H2083" s="1" t="s">
        <v>33</v>
      </c>
      <c r="I2083" s="1" t="s">
        <v>34</v>
      </c>
      <c r="J2083" s="1" t="s">
        <v>131</v>
      </c>
      <c r="K2083" s="1" t="s">
        <v>112</v>
      </c>
      <c r="L2083" s="1" t="s">
        <v>85</v>
      </c>
      <c r="M2083" s="1" t="s">
        <v>38</v>
      </c>
      <c r="N2083" s="1" t="n">
        <v>6999</v>
      </c>
      <c r="O2083" s="1" t="n">
        <v>0</v>
      </c>
      <c r="P2083" s="1" t="n">
        <v>0</v>
      </c>
      <c r="Q2083" s="1" t="n">
        <v>6999</v>
      </c>
      <c r="R2083" s="1" t="n">
        <v>1259.82</v>
      </c>
      <c r="S2083" s="1" t="n">
        <v>5739.18</v>
      </c>
      <c r="T2083" s="1" t="n">
        <v>2954.89</v>
      </c>
      <c r="U2083" s="1" t="n">
        <v>2784.29</v>
      </c>
      <c r="V2083" s="1" t="n">
        <v>48.51</v>
      </c>
      <c r="W2083" s="1" t="s">
        <v>40</v>
      </c>
      <c r="Y2083" s="1" t="s">
        <v>40</v>
      </c>
      <c r="Z2083" s="1" t="n">
        <v>2</v>
      </c>
    </row>
    <row r="2084" customFormat="false" ht="15" hidden="false" customHeight="true" outlineLevel="0" collapsed="false">
      <c r="A2084" s="1" t="s">
        <v>2945</v>
      </c>
      <c r="B2084" s="1" t="s">
        <v>2946</v>
      </c>
      <c r="C2084" s="1" t="s">
        <v>28</v>
      </c>
      <c r="D2084" s="1" t="s">
        <v>94</v>
      </c>
      <c r="E2084" s="1" t="s">
        <v>135</v>
      </c>
      <c r="F2084" s="1" t="s">
        <v>125</v>
      </c>
      <c r="G2084" s="1" t="s">
        <v>108</v>
      </c>
      <c r="H2084" s="1" t="s">
        <v>69</v>
      </c>
      <c r="I2084" s="1" t="s">
        <v>58</v>
      </c>
      <c r="J2084" s="1" t="s">
        <v>59</v>
      </c>
      <c r="K2084" s="1" t="s">
        <v>104</v>
      </c>
      <c r="L2084" s="1" t="s">
        <v>37</v>
      </c>
      <c r="M2084" s="1" t="s">
        <v>62</v>
      </c>
      <c r="N2084" s="1" t="n">
        <v>9999</v>
      </c>
      <c r="O2084" s="1" t="n">
        <v>15</v>
      </c>
      <c r="P2084" s="1" t="n">
        <v>1499.85</v>
      </c>
      <c r="Q2084" s="1" t="n">
        <v>8499.15</v>
      </c>
      <c r="R2084" s="1" t="n">
        <v>1529.85</v>
      </c>
      <c r="S2084" s="1" t="n">
        <v>6969.3</v>
      </c>
      <c r="T2084" s="1" t="n">
        <v>2824.54</v>
      </c>
      <c r="U2084" s="1" t="n">
        <v>4144.76</v>
      </c>
      <c r="V2084" s="1" t="n">
        <v>59.47</v>
      </c>
      <c r="W2084" s="1" t="s">
        <v>39</v>
      </c>
      <c r="X2084" s="1" t="n">
        <v>4.3</v>
      </c>
      <c r="Y2084" s="1" t="s">
        <v>40</v>
      </c>
      <c r="Z2084" s="1" t="n">
        <v>0</v>
      </c>
    </row>
    <row r="2085" customFormat="false" ht="15" hidden="false" customHeight="true" outlineLevel="0" collapsed="false">
      <c r="A2085" s="1" t="s">
        <v>2947</v>
      </c>
      <c r="B2085" s="1" t="s">
        <v>1311</v>
      </c>
      <c r="C2085" s="1" t="s">
        <v>100</v>
      </c>
      <c r="D2085" s="1" t="s">
        <v>53</v>
      </c>
      <c r="E2085" s="1" t="s">
        <v>116</v>
      </c>
      <c r="F2085" s="1" t="s">
        <v>31</v>
      </c>
      <c r="G2085" s="1" t="s">
        <v>32</v>
      </c>
      <c r="H2085" s="1" t="s">
        <v>33</v>
      </c>
      <c r="I2085" s="1" t="s">
        <v>34</v>
      </c>
      <c r="J2085" s="1" t="s">
        <v>77</v>
      </c>
      <c r="K2085" s="1" t="s">
        <v>84</v>
      </c>
      <c r="L2085" s="1" t="s">
        <v>113</v>
      </c>
      <c r="M2085" s="1" t="s">
        <v>50</v>
      </c>
      <c r="N2085" s="1" t="n">
        <v>9999</v>
      </c>
      <c r="O2085" s="1" t="n">
        <v>5</v>
      </c>
      <c r="P2085" s="1" t="n">
        <v>499.95</v>
      </c>
      <c r="Q2085" s="1" t="n">
        <v>9499.05</v>
      </c>
      <c r="R2085" s="1" t="n">
        <v>1709.83</v>
      </c>
      <c r="S2085" s="1" t="n">
        <v>7789.22</v>
      </c>
      <c r="T2085" s="1" t="n">
        <v>3836.54</v>
      </c>
      <c r="U2085" s="1" t="n">
        <v>3952.68</v>
      </c>
      <c r="V2085" s="1" t="n">
        <v>50.75</v>
      </c>
      <c r="W2085" s="1" t="s">
        <v>39</v>
      </c>
      <c r="X2085" s="1" t="n">
        <v>3.9</v>
      </c>
      <c r="Y2085" s="1" t="s">
        <v>40</v>
      </c>
      <c r="Z2085" s="1" t="n">
        <v>0</v>
      </c>
    </row>
    <row r="2086" customFormat="false" ht="15" hidden="false" customHeight="true" outlineLevel="0" collapsed="false">
      <c r="A2086" s="1" t="s">
        <v>2948</v>
      </c>
      <c r="B2086" s="1" t="s">
        <v>371</v>
      </c>
      <c r="C2086" s="1" t="s">
        <v>249</v>
      </c>
      <c r="D2086" s="1" t="s">
        <v>123</v>
      </c>
      <c r="E2086" s="1" t="s">
        <v>147</v>
      </c>
      <c r="F2086" s="1" t="s">
        <v>187</v>
      </c>
      <c r="G2086" s="1" t="s">
        <v>97</v>
      </c>
      <c r="H2086" s="1" t="s">
        <v>69</v>
      </c>
      <c r="I2086" s="1" t="s">
        <v>83</v>
      </c>
      <c r="J2086" s="1" t="s">
        <v>70</v>
      </c>
      <c r="K2086" s="1" t="s">
        <v>71</v>
      </c>
      <c r="L2086" s="1" t="s">
        <v>85</v>
      </c>
      <c r="M2086" s="1" t="s">
        <v>50</v>
      </c>
      <c r="N2086" s="1" t="n">
        <v>6999</v>
      </c>
      <c r="O2086" s="1" t="n">
        <v>10</v>
      </c>
      <c r="P2086" s="1" t="n">
        <v>699.9</v>
      </c>
      <c r="Q2086" s="1" t="n">
        <v>6299.1</v>
      </c>
      <c r="R2086" s="1" t="n">
        <v>1133.84</v>
      </c>
      <c r="S2086" s="1" t="n">
        <v>5165.26</v>
      </c>
      <c r="T2086" s="1" t="n">
        <v>2223.7</v>
      </c>
      <c r="U2086" s="1" t="n">
        <v>2941.56</v>
      </c>
      <c r="V2086" s="1" t="n">
        <v>56.95</v>
      </c>
      <c r="W2086" s="1" t="s">
        <v>39</v>
      </c>
      <c r="X2086" s="1" t="n">
        <v>3.4</v>
      </c>
      <c r="Y2086" s="1" t="s">
        <v>40</v>
      </c>
      <c r="Z2086" s="1" t="n">
        <v>0</v>
      </c>
    </row>
    <row r="2087" customFormat="false" ht="15" hidden="false" customHeight="true" outlineLevel="0" collapsed="false">
      <c r="A2087" s="1" t="s">
        <v>2949</v>
      </c>
      <c r="B2087" s="1" t="s">
        <v>2168</v>
      </c>
      <c r="C2087" s="1" t="s">
        <v>264</v>
      </c>
      <c r="D2087" s="1" t="s">
        <v>94</v>
      </c>
      <c r="E2087" s="1" t="s">
        <v>135</v>
      </c>
      <c r="F2087" s="1" t="s">
        <v>125</v>
      </c>
      <c r="G2087" s="1" t="s">
        <v>108</v>
      </c>
      <c r="H2087" s="1" t="s">
        <v>69</v>
      </c>
      <c r="I2087" s="1" t="s">
        <v>83</v>
      </c>
      <c r="J2087" s="1" t="s">
        <v>70</v>
      </c>
      <c r="K2087" s="1" t="s">
        <v>84</v>
      </c>
      <c r="L2087" s="1" t="s">
        <v>61</v>
      </c>
      <c r="M2087" s="1" t="s">
        <v>50</v>
      </c>
      <c r="N2087" s="1" t="n">
        <v>9999</v>
      </c>
      <c r="O2087" s="1" t="n">
        <v>30</v>
      </c>
      <c r="P2087" s="1" t="n">
        <v>2999.7</v>
      </c>
      <c r="Q2087" s="1" t="n">
        <v>6999.3</v>
      </c>
      <c r="R2087" s="1" t="n">
        <v>1259.87</v>
      </c>
      <c r="S2087" s="1" t="n">
        <v>5739.43</v>
      </c>
      <c r="T2087" s="1" t="n">
        <v>2031.28</v>
      </c>
      <c r="U2087" s="1" t="n">
        <v>3708.15</v>
      </c>
      <c r="V2087" s="1" t="n">
        <v>64.61</v>
      </c>
      <c r="W2087" s="1" t="s">
        <v>40</v>
      </c>
      <c r="Y2087" s="1" t="s">
        <v>40</v>
      </c>
      <c r="Z2087" s="1" t="n">
        <v>3</v>
      </c>
    </row>
    <row r="2088" customFormat="false" ht="15" hidden="false" customHeight="true" outlineLevel="0" collapsed="false">
      <c r="A2088" s="1" t="s">
        <v>2950</v>
      </c>
      <c r="B2088" s="1" t="s">
        <v>851</v>
      </c>
      <c r="C2088" s="1" t="s">
        <v>93</v>
      </c>
      <c r="D2088" s="1" t="s">
        <v>44</v>
      </c>
      <c r="E2088" s="1" t="s">
        <v>221</v>
      </c>
      <c r="F2088" s="1" t="s">
        <v>75</v>
      </c>
      <c r="G2088" s="1" t="s">
        <v>76</v>
      </c>
      <c r="H2088" s="1" t="s">
        <v>69</v>
      </c>
      <c r="I2088" s="1" t="s">
        <v>34</v>
      </c>
      <c r="J2088" s="1" t="s">
        <v>35</v>
      </c>
      <c r="K2088" s="1" t="s">
        <v>104</v>
      </c>
      <c r="L2088" s="1" t="s">
        <v>49</v>
      </c>
      <c r="M2088" s="1" t="s">
        <v>38</v>
      </c>
      <c r="N2088" s="1" t="n">
        <v>16999</v>
      </c>
      <c r="O2088" s="1" t="n">
        <v>5</v>
      </c>
      <c r="P2088" s="1" t="n">
        <v>849.95</v>
      </c>
      <c r="Q2088" s="1" t="n">
        <v>16149.05</v>
      </c>
      <c r="R2088" s="1" t="n">
        <v>2906.83</v>
      </c>
      <c r="S2088" s="1" t="n">
        <v>13242.22</v>
      </c>
      <c r="T2088" s="1" t="n">
        <v>4858.05</v>
      </c>
      <c r="U2088" s="1" t="n">
        <v>8384.17</v>
      </c>
      <c r="V2088" s="1" t="n">
        <v>63.31</v>
      </c>
      <c r="W2088" s="1" t="s">
        <v>40</v>
      </c>
      <c r="Y2088" s="1" t="s">
        <v>40</v>
      </c>
      <c r="Z2088" s="1" t="n">
        <v>2</v>
      </c>
    </row>
    <row r="2089" customFormat="false" ht="15" hidden="false" customHeight="true" outlineLevel="0" collapsed="false">
      <c r="A2089" s="1" t="s">
        <v>2951</v>
      </c>
      <c r="B2089" s="1" t="s">
        <v>580</v>
      </c>
      <c r="C2089" s="1" t="s">
        <v>119</v>
      </c>
      <c r="D2089" s="1" t="s">
        <v>80</v>
      </c>
      <c r="E2089" s="1" t="s">
        <v>175</v>
      </c>
      <c r="F2089" s="1" t="s">
        <v>55</v>
      </c>
      <c r="G2089" s="1" t="s">
        <v>56</v>
      </c>
      <c r="H2089" s="1" t="s">
        <v>57</v>
      </c>
      <c r="I2089" s="1" t="s">
        <v>83</v>
      </c>
      <c r="J2089" s="1" t="s">
        <v>131</v>
      </c>
      <c r="K2089" s="1" t="s">
        <v>71</v>
      </c>
      <c r="L2089" s="1" t="s">
        <v>49</v>
      </c>
      <c r="M2089" s="1" t="s">
        <v>50</v>
      </c>
      <c r="N2089" s="1" t="n">
        <v>19999</v>
      </c>
      <c r="O2089" s="1" t="n">
        <v>25</v>
      </c>
      <c r="P2089" s="1" t="n">
        <v>4999.75</v>
      </c>
      <c r="Q2089" s="1" t="n">
        <v>14999.25</v>
      </c>
      <c r="R2089" s="1" t="n">
        <v>2699.86</v>
      </c>
      <c r="S2089" s="1" t="n">
        <v>12299.39</v>
      </c>
      <c r="T2089" s="1" t="n">
        <v>5256.98</v>
      </c>
      <c r="U2089" s="1" t="n">
        <v>7042.41</v>
      </c>
      <c r="V2089" s="1" t="n">
        <v>57.26</v>
      </c>
      <c r="W2089" s="1" t="s">
        <v>39</v>
      </c>
      <c r="X2089" s="1" t="n">
        <v>3.8</v>
      </c>
      <c r="Y2089" s="1" t="s">
        <v>40</v>
      </c>
      <c r="Z2089" s="1" t="n">
        <v>0</v>
      </c>
    </row>
    <row r="2090" customFormat="false" ht="15" hidden="false" customHeight="true" outlineLevel="0" collapsed="false">
      <c r="A2090" s="1" t="s">
        <v>2952</v>
      </c>
      <c r="B2090" s="1" t="s">
        <v>1698</v>
      </c>
      <c r="C2090" s="1" t="s">
        <v>93</v>
      </c>
      <c r="D2090" s="1" t="s">
        <v>44</v>
      </c>
      <c r="E2090" s="1" t="s">
        <v>66</v>
      </c>
      <c r="F2090" s="1" t="s">
        <v>107</v>
      </c>
      <c r="G2090" s="1" t="s">
        <v>108</v>
      </c>
      <c r="H2090" s="1" t="s">
        <v>33</v>
      </c>
      <c r="I2090" s="1" t="s">
        <v>83</v>
      </c>
      <c r="J2090" s="1" t="s">
        <v>35</v>
      </c>
      <c r="K2090" s="1" t="s">
        <v>36</v>
      </c>
      <c r="L2090" s="1" t="s">
        <v>49</v>
      </c>
      <c r="M2090" s="1" t="s">
        <v>38</v>
      </c>
      <c r="N2090" s="1" t="n">
        <v>12999</v>
      </c>
      <c r="O2090" s="1" t="n">
        <v>30</v>
      </c>
      <c r="P2090" s="1" t="n">
        <v>3899.7</v>
      </c>
      <c r="Q2090" s="1" t="n">
        <v>9099.3</v>
      </c>
      <c r="R2090" s="1" t="n">
        <v>1637.87</v>
      </c>
      <c r="S2090" s="1" t="n">
        <v>7461.43</v>
      </c>
      <c r="T2090" s="1" t="n">
        <v>3255.79</v>
      </c>
      <c r="U2090" s="1" t="n">
        <v>4205.64</v>
      </c>
      <c r="V2090" s="1" t="n">
        <v>56.37</v>
      </c>
      <c r="W2090" s="1" t="s">
        <v>40</v>
      </c>
      <c r="Y2090" s="1" t="s">
        <v>39</v>
      </c>
      <c r="Z2090" s="1" t="n">
        <v>1</v>
      </c>
    </row>
    <row r="2091" customFormat="false" ht="15" hidden="false" customHeight="true" outlineLevel="0" collapsed="false">
      <c r="A2091" s="1" t="s">
        <v>2953</v>
      </c>
      <c r="B2091" s="1" t="s">
        <v>1797</v>
      </c>
      <c r="C2091" s="1" t="s">
        <v>167</v>
      </c>
      <c r="D2091" s="1" t="s">
        <v>29</v>
      </c>
      <c r="E2091" s="1" t="s">
        <v>182</v>
      </c>
      <c r="F2091" s="1" t="s">
        <v>46</v>
      </c>
      <c r="G2091" s="1" t="s">
        <v>47</v>
      </c>
      <c r="H2091" s="1" t="s">
        <v>33</v>
      </c>
      <c r="I2091" s="1" t="s">
        <v>34</v>
      </c>
      <c r="J2091" s="1" t="s">
        <v>35</v>
      </c>
      <c r="K2091" s="1" t="s">
        <v>112</v>
      </c>
      <c r="L2091" s="1" t="s">
        <v>61</v>
      </c>
      <c r="M2091" s="1" t="s">
        <v>62</v>
      </c>
      <c r="N2091" s="1" t="n">
        <v>34999</v>
      </c>
      <c r="O2091" s="1" t="n">
        <v>40</v>
      </c>
      <c r="P2091" s="1" t="n">
        <v>13999.6</v>
      </c>
      <c r="Q2091" s="1" t="n">
        <v>20999.4</v>
      </c>
      <c r="R2091" s="1" t="n">
        <v>3779.89</v>
      </c>
      <c r="S2091" s="1" t="n">
        <v>17219.51</v>
      </c>
      <c r="T2091" s="1" t="n">
        <v>9142.41</v>
      </c>
      <c r="U2091" s="1" t="n">
        <v>8077.1</v>
      </c>
      <c r="V2091" s="1" t="n">
        <v>46.91</v>
      </c>
      <c r="W2091" s="1" t="s">
        <v>40</v>
      </c>
      <c r="Y2091" s="1" t="s">
        <v>40</v>
      </c>
      <c r="Z2091" s="1" t="n">
        <v>1</v>
      </c>
    </row>
    <row r="2092" customFormat="false" ht="15" hidden="false" customHeight="true" outlineLevel="0" collapsed="false">
      <c r="A2092" s="1" t="s">
        <v>2954</v>
      </c>
      <c r="B2092" s="1" t="s">
        <v>1979</v>
      </c>
      <c r="C2092" s="1" t="s">
        <v>43</v>
      </c>
      <c r="D2092" s="1" t="s">
        <v>53</v>
      </c>
      <c r="E2092" s="1" t="s">
        <v>54</v>
      </c>
      <c r="F2092" s="1" t="s">
        <v>153</v>
      </c>
      <c r="G2092" s="1" t="s">
        <v>76</v>
      </c>
      <c r="H2092" s="1" t="s">
        <v>33</v>
      </c>
      <c r="I2092" s="1" t="s">
        <v>34</v>
      </c>
      <c r="J2092" s="1" t="s">
        <v>35</v>
      </c>
      <c r="K2092" s="1" t="s">
        <v>84</v>
      </c>
      <c r="L2092" s="1" t="s">
        <v>61</v>
      </c>
      <c r="M2092" s="1" t="s">
        <v>62</v>
      </c>
      <c r="N2092" s="1" t="n">
        <v>11999</v>
      </c>
      <c r="O2092" s="1" t="n">
        <v>0</v>
      </c>
      <c r="P2092" s="1" t="n">
        <v>0</v>
      </c>
      <c r="Q2092" s="1" t="n">
        <v>11999</v>
      </c>
      <c r="R2092" s="1" t="n">
        <v>2159.82</v>
      </c>
      <c r="S2092" s="1" t="n">
        <v>9839.18</v>
      </c>
      <c r="T2092" s="1" t="n">
        <v>4070.1</v>
      </c>
      <c r="U2092" s="1" t="n">
        <v>5769.08</v>
      </c>
      <c r="V2092" s="1" t="n">
        <v>58.63</v>
      </c>
      <c r="W2092" s="1" t="s">
        <v>39</v>
      </c>
      <c r="X2092" s="1" t="n">
        <v>3.9</v>
      </c>
      <c r="Y2092" s="1" t="s">
        <v>40</v>
      </c>
      <c r="Z2092" s="1" t="n">
        <v>0</v>
      </c>
    </row>
    <row r="2093" customFormat="false" ht="15" hidden="false" customHeight="true" outlineLevel="0" collapsed="false">
      <c r="A2093" s="1" t="s">
        <v>2955</v>
      </c>
      <c r="B2093" s="1" t="s">
        <v>354</v>
      </c>
      <c r="C2093" s="1" t="s">
        <v>93</v>
      </c>
      <c r="D2093" s="1" t="s">
        <v>80</v>
      </c>
      <c r="E2093" s="1" t="s">
        <v>175</v>
      </c>
      <c r="F2093" s="1" t="s">
        <v>184</v>
      </c>
      <c r="G2093" s="1" t="s">
        <v>56</v>
      </c>
      <c r="H2093" s="1" t="s">
        <v>57</v>
      </c>
      <c r="I2093" s="1" t="s">
        <v>34</v>
      </c>
      <c r="J2093" s="1" t="s">
        <v>35</v>
      </c>
      <c r="K2093" s="1" t="s">
        <v>84</v>
      </c>
      <c r="L2093" s="1" t="s">
        <v>49</v>
      </c>
      <c r="M2093" s="1" t="s">
        <v>62</v>
      </c>
      <c r="N2093" s="1" t="n">
        <v>19999</v>
      </c>
      <c r="O2093" s="1" t="n">
        <v>40</v>
      </c>
      <c r="P2093" s="1" t="n">
        <v>7999.6</v>
      </c>
      <c r="Q2093" s="1" t="n">
        <v>11999.4</v>
      </c>
      <c r="R2093" s="1" t="n">
        <v>2159.89</v>
      </c>
      <c r="S2093" s="1" t="n">
        <v>9839.51</v>
      </c>
      <c r="T2093" s="1" t="n">
        <v>6117.14</v>
      </c>
      <c r="U2093" s="1" t="n">
        <v>3722.37</v>
      </c>
      <c r="V2093" s="1" t="n">
        <v>37.83</v>
      </c>
      <c r="W2093" s="1" t="s">
        <v>40</v>
      </c>
      <c r="Y2093" s="1" t="s">
        <v>40</v>
      </c>
      <c r="Z2093" s="1" t="n">
        <v>0</v>
      </c>
    </row>
    <row r="2094" customFormat="false" ht="15" hidden="false" customHeight="true" outlineLevel="0" collapsed="false">
      <c r="A2094" s="1" t="s">
        <v>2956</v>
      </c>
      <c r="B2094" s="1" t="s">
        <v>364</v>
      </c>
      <c r="C2094" s="1" t="s">
        <v>119</v>
      </c>
      <c r="D2094" s="1" t="s">
        <v>168</v>
      </c>
      <c r="E2094" s="1" t="s">
        <v>328</v>
      </c>
      <c r="F2094" s="1" t="s">
        <v>156</v>
      </c>
      <c r="G2094" s="1" t="s">
        <v>68</v>
      </c>
      <c r="H2094" s="1" t="s">
        <v>57</v>
      </c>
      <c r="I2094" s="1" t="s">
        <v>34</v>
      </c>
      <c r="J2094" s="1" t="s">
        <v>59</v>
      </c>
      <c r="K2094" s="1" t="s">
        <v>112</v>
      </c>
      <c r="L2094" s="1" t="s">
        <v>37</v>
      </c>
      <c r="M2094" s="1" t="s">
        <v>62</v>
      </c>
      <c r="N2094" s="1" t="n">
        <v>8999</v>
      </c>
      <c r="O2094" s="1" t="n">
        <v>15</v>
      </c>
      <c r="P2094" s="1" t="n">
        <v>1349.85</v>
      </c>
      <c r="Q2094" s="1" t="n">
        <v>7649.15</v>
      </c>
      <c r="R2094" s="1" t="n">
        <v>1376.85</v>
      </c>
      <c r="S2094" s="1" t="n">
        <v>6272.3</v>
      </c>
      <c r="T2094" s="1" t="n">
        <v>2701.05</v>
      </c>
      <c r="U2094" s="1" t="n">
        <v>3571.25</v>
      </c>
      <c r="V2094" s="1" t="n">
        <v>56.94</v>
      </c>
      <c r="W2094" s="1" t="s">
        <v>39</v>
      </c>
      <c r="X2094" s="1" t="n">
        <v>3.9</v>
      </c>
      <c r="Y2094" s="1" t="s">
        <v>40</v>
      </c>
      <c r="Z2094" s="1" t="n">
        <v>0</v>
      </c>
    </row>
    <row r="2095" customFormat="false" ht="15" hidden="false" customHeight="true" outlineLevel="0" collapsed="false">
      <c r="A2095" s="1" t="s">
        <v>2957</v>
      </c>
      <c r="B2095" s="1" t="s">
        <v>340</v>
      </c>
      <c r="C2095" s="1" t="s">
        <v>74</v>
      </c>
      <c r="D2095" s="1" t="s">
        <v>53</v>
      </c>
      <c r="E2095" s="1" t="s">
        <v>116</v>
      </c>
      <c r="F2095" s="1" t="s">
        <v>75</v>
      </c>
      <c r="G2095" s="1" t="s">
        <v>76</v>
      </c>
      <c r="H2095" s="1" t="s">
        <v>69</v>
      </c>
      <c r="I2095" s="1" t="s">
        <v>34</v>
      </c>
      <c r="J2095" s="1" t="s">
        <v>77</v>
      </c>
      <c r="K2095" s="1" t="s">
        <v>112</v>
      </c>
      <c r="L2095" s="1" t="s">
        <v>136</v>
      </c>
      <c r="M2095" s="1" t="s">
        <v>62</v>
      </c>
      <c r="N2095" s="1" t="n">
        <v>9999</v>
      </c>
      <c r="O2095" s="1" t="n">
        <v>20</v>
      </c>
      <c r="P2095" s="1" t="n">
        <v>1999.8</v>
      </c>
      <c r="Q2095" s="1" t="n">
        <v>7999.2</v>
      </c>
      <c r="R2095" s="1" t="n">
        <v>1439.86</v>
      </c>
      <c r="S2095" s="1" t="n">
        <v>6559.34</v>
      </c>
      <c r="T2095" s="1" t="n">
        <v>2374.02</v>
      </c>
      <c r="U2095" s="1" t="n">
        <v>4185.32</v>
      </c>
      <c r="V2095" s="1" t="n">
        <v>63.81</v>
      </c>
      <c r="W2095" s="1" t="s">
        <v>39</v>
      </c>
      <c r="X2095" s="1" t="n">
        <v>4</v>
      </c>
      <c r="Y2095" s="1" t="s">
        <v>40</v>
      </c>
      <c r="Z2095" s="1" t="n">
        <v>0</v>
      </c>
    </row>
    <row r="2096" customFormat="false" ht="15" hidden="false" customHeight="true" outlineLevel="0" collapsed="false">
      <c r="A2096" s="1" t="s">
        <v>2958</v>
      </c>
      <c r="B2096" s="1" t="s">
        <v>1244</v>
      </c>
      <c r="C2096" s="1" t="s">
        <v>43</v>
      </c>
      <c r="D2096" s="1" t="s">
        <v>123</v>
      </c>
      <c r="E2096" s="1" t="s">
        <v>233</v>
      </c>
      <c r="F2096" s="1" t="s">
        <v>120</v>
      </c>
      <c r="G2096" s="1" t="s">
        <v>47</v>
      </c>
      <c r="H2096" s="1" t="s">
        <v>57</v>
      </c>
      <c r="I2096" s="1" t="s">
        <v>83</v>
      </c>
      <c r="J2096" s="1" t="s">
        <v>59</v>
      </c>
      <c r="K2096" s="1" t="s">
        <v>112</v>
      </c>
      <c r="L2096" s="1" t="s">
        <v>61</v>
      </c>
      <c r="M2096" s="1" t="s">
        <v>50</v>
      </c>
      <c r="N2096" s="1" t="n">
        <v>8999</v>
      </c>
      <c r="O2096" s="1" t="n">
        <v>10</v>
      </c>
      <c r="P2096" s="1" t="n">
        <v>899.9</v>
      </c>
      <c r="Q2096" s="1" t="n">
        <v>8099.1</v>
      </c>
      <c r="R2096" s="1" t="n">
        <v>1457.84</v>
      </c>
      <c r="S2096" s="1" t="n">
        <v>6641.26</v>
      </c>
      <c r="T2096" s="1" t="n">
        <v>2690.11</v>
      </c>
      <c r="U2096" s="1" t="n">
        <v>3951.15</v>
      </c>
      <c r="V2096" s="1" t="n">
        <v>59.49</v>
      </c>
      <c r="W2096" s="1" t="s">
        <v>39</v>
      </c>
      <c r="X2096" s="1" t="n">
        <v>4.1</v>
      </c>
      <c r="Y2096" s="1" t="s">
        <v>40</v>
      </c>
      <c r="Z2096" s="1" t="n">
        <v>0</v>
      </c>
    </row>
    <row r="2097" customFormat="false" ht="15" hidden="false" customHeight="true" outlineLevel="0" collapsed="false">
      <c r="A2097" s="1" t="s">
        <v>2959</v>
      </c>
      <c r="B2097" s="1" t="s">
        <v>1580</v>
      </c>
      <c r="C2097" s="1" t="s">
        <v>43</v>
      </c>
      <c r="D2097" s="1" t="s">
        <v>168</v>
      </c>
      <c r="E2097" s="1" t="s">
        <v>172</v>
      </c>
      <c r="F2097" s="1" t="s">
        <v>244</v>
      </c>
      <c r="G2097" s="1" t="s">
        <v>97</v>
      </c>
      <c r="H2097" s="1" t="s">
        <v>57</v>
      </c>
      <c r="I2097" s="1" t="s">
        <v>58</v>
      </c>
      <c r="J2097" s="1" t="s">
        <v>59</v>
      </c>
      <c r="K2097" s="1" t="s">
        <v>71</v>
      </c>
      <c r="L2097" s="1" t="s">
        <v>113</v>
      </c>
      <c r="M2097" s="1" t="s">
        <v>38</v>
      </c>
      <c r="N2097" s="1" t="n">
        <v>6999</v>
      </c>
      <c r="O2097" s="1" t="n">
        <v>0</v>
      </c>
      <c r="P2097" s="1" t="n">
        <v>0</v>
      </c>
      <c r="Q2097" s="1" t="n">
        <v>6999</v>
      </c>
      <c r="R2097" s="1" t="n">
        <v>1259.82</v>
      </c>
      <c r="S2097" s="1" t="n">
        <v>5739.18</v>
      </c>
      <c r="T2097" s="1" t="n">
        <v>2533.29</v>
      </c>
      <c r="U2097" s="1" t="n">
        <v>3205.89</v>
      </c>
      <c r="V2097" s="1" t="n">
        <v>55.86</v>
      </c>
      <c r="W2097" s="1" t="s">
        <v>40</v>
      </c>
      <c r="Y2097" s="1" t="s">
        <v>40</v>
      </c>
      <c r="Z2097" s="1" t="n">
        <v>0</v>
      </c>
    </row>
    <row r="2098" customFormat="false" ht="15" hidden="false" customHeight="true" outlineLevel="0" collapsed="false">
      <c r="A2098" s="1" t="s">
        <v>688</v>
      </c>
      <c r="B2098" s="1" t="s">
        <v>689</v>
      </c>
      <c r="C2098" s="1" t="s">
        <v>119</v>
      </c>
      <c r="D2098" s="1" t="s">
        <v>29</v>
      </c>
      <c r="E2098" s="1" t="s">
        <v>30</v>
      </c>
      <c r="F2098" s="1" t="s">
        <v>187</v>
      </c>
      <c r="G2098" s="1" t="s">
        <v>97</v>
      </c>
      <c r="H2098" s="1" t="s">
        <v>69</v>
      </c>
      <c r="I2098" s="1" t="s">
        <v>83</v>
      </c>
      <c r="J2098" s="1" t="s">
        <v>70</v>
      </c>
      <c r="K2098" s="1" t="s">
        <v>112</v>
      </c>
      <c r="L2098" s="1" t="s">
        <v>37</v>
      </c>
      <c r="M2098" s="1" t="s">
        <v>62</v>
      </c>
      <c r="N2098" s="1" t="n">
        <v>7999</v>
      </c>
      <c r="O2098" s="1" t="n">
        <v>40</v>
      </c>
      <c r="P2098" s="1" t="n">
        <v>3199.6</v>
      </c>
      <c r="Q2098" s="1" t="n">
        <v>4799.4</v>
      </c>
      <c r="R2098" s="1" t="n">
        <v>863.89</v>
      </c>
      <c r="S2098" s="1" t="n">
        <v>3935.51</v>
      </c>
      <c r="T2098" s="1" t="n">
        <v>1858.25</v>
      </c>
      <c r="U2098" s="1" t="n">
        <v>2077.26</v>
      </c>
      <c r="V2098" s="1" t="n">
        <v>52.78</v>
      </c>
      <c r="W2098" s="1" t="s">
        <v>40</v>
      </c>
      <c r="Y2098" s="1" t="s">
        <v>39</v>
      </c>
      <c r="Z2098" s="1" t="n">
        <v>1</v>
      </c>
    </row>
    <row r="2099" customFormat="false" ht="15" hidden="false" customHeight="true" outlineLevel="0" collapsed="false">
      <c r="A2099" s="1" t="s">
        <v>2960</v>
      </c>
      <c r="B2099" s="1" t="s">
        <v>1396</v>
      </c>
      <c r="C2099" s="1" t="s">
        <v>264</v>
      </c>
      <c r="D2099" s="1" t="s">
        <v>53</v>
      </c>
      <c r="E2099" s="1" t="s">
        <v>216</v>
      </c>
      <c r="F2099" s="1" t="s">
        <v>205</v>
      </c>
      <c r="G2099" s="1" t="s">
        <v>56</v>
      </c>
      <c r="H2099" s="1" t="s">
        <v>69</v>
      </c>
      <c r="I2099" s="1" t="s">
        <v>83</v>
      </c>
      <c r="J2099" s="1" t="s">
        <v>59</v>
      </c>
      <c r="K2099" s="1" t="s">
        <v>90</v>
      </c>
      <c r="L2099" s="1" t="s">
        <v>113</v>
      </c>
      <c r="M2099" s="1" t="s">
        <v>62</v>
      </c>
      <c r="N2099" s="1" t="n">
        <v>7499</v>
      </c>
      <c r="O2099" s="1" t="n">
        <v>50</v>
      </c>
      <c r="P2099" s="1" t="n">
        <v>3749.5</v>
      </c>
      <c r="Q2099" s="1" t="n">
        <v>3749.5</v>
      </c>
      <c r="R2099" s="1" t="n">
        <v>674.91</v>
      </c>
      <c r="S2099" s="1" t="n">
        <v>3074.59</v>
      </c>
      <c r="T2099" s="1" t="n">
        <v>1528.59</v>
      </c>
      <c r="U2099" s="1" t="n">
        <v>1546</v>
      </c>
      <c r="V2099" s="1" t="n">
        <v>50.28</v>
      </c>
      <c r="W2099" s="1" t="s">
        <v>40</v>
      </c>
      <c r="Y2099" s="1" t="s">
        <v>40</v>
      </c>
      <c r="Z2099" s="1" t="n">
        <v>2</v>
      </c>
    </row>
    <row r="2100" customFormat="false" ht="15" hidden="false" customHeight="true" outlineLevel="0" collapsed="false">
      <c r="A2100" s="1" t="s">
        <v>2961</v>
      </c>
      <c r="B2100" s="1" t="s">
        <v>504</v>
      </c>
      <c r="C2100" s="1" t="s">
        <v>119</v>
      </c>
      <c r="D2100" s="1" t="s">
        <v>94</v>
      </c>
      <c r="E2100" s="1" t="s">
        <v>101</v>
      </c>
      <c r="F2100" s="1" t="s">
        <v>184</v>
      </c>
      <c r="G2100" s="1" t="s">
        <v>56</v>
      </c>
      <c r="H2100" s="1" t="s">
        <v>57</v>
      </c>
      <c r="I2100" s="1" t="s">
        <v>83</v>
      </c>
      <c r="J2100" s="1" t="s">
        <v>77</v>
      </c>
      <c r="K2100" s="1" t="s">
        <v>48</v>
      </c>
      <c r="L2100" s="1" t="s">
        <v>49</v>
      </c>
      <c r="M2100" s="1" t="s">
        <v>38</v>
      </c>
      <c r="N2100" s="1" t="n">
        <v>14999</v>
      </c>
      <c r="O2100" s="1" t="n">
        <v>20</v>
      </c>
      <c r="P2100" s="1" t="n">
        <v>2999.8</v>
      </c>
      <c r="Q2100" s="1" t="n">
        <v>11999.2</v>
      </c>
      <c r="R2100" s="1" t="n">
        <v>2159.86</v>
      </c>
      <c r="S2100" s="1" t="n">
        <v>9839.34</v>
      </c>
      <c r="T2100" s="1" t="n">
        <v>4089.95</v>
      </c>
      <c r="U2100" s="1" t="n">
        <v>5749.39</v>
      </c>
      <c r="V2100" s="1" t="n">
        <v>58.43</v>
      </c>
      <c r="W2100" s="1" t="s">
        <v>39</v>
      </c>
      <c r="X2100" s="1" t="n">
        <v>4.2</v>
      </c>
      <c r="Y2100" s="1" t="s">
        <v>40</v>
      </c>
      <c r="Z2100" s="1" t="n">
        <v>0</v>
      </c>
    </row>
    <row r="2101" customFormat="false" ht="15" hidden="false" customHeight="true" outlineLevel="0" collapsed="false">
      <c r="A2101" s="1" t="s">
        <v>2962</v>
      </c>
      <c r="B2101" s="1" t="s">
        <v>2963</v>
      </c>
      <c r="C2101" s="1" t="s">
        <v>93</v>
      </c>
      <c r="D2101" s="1" t="s">
        <v>123</v>
      </c>
      <c r="E2101" s="1" t="s">
        <v>124</v>
      </c>
      <c r="F2101" s="1" t="s">
        <v>125</v>
      </c>
      <c r="G2101" s="1" t="s">
        <v>108</v>
      </c>
      <c r="H2101" s="1" t="s">
        <v>69</v>
      </c>
      <c r="I2101" s="1" t="s">
        <v>83</v>
      </c>
      <c r="J2101" s="1" t="s">
        <v>70</v>
      </c>
      <c r="K2101" s="1" t="s">
        <v>104</v>
      </c>
      <c r="L2101" s="1" t="s">
        <v>61</v>
      </c>
      <c r="M2101" s="1" t="s">
        <v>50</v>
      </c>
      <c r="N2101" s="1" t="n">
        <v>4999</v>
      </c>
      <c r="O2101" s="1" t="n">
        <v>10</v>
      </c>
      <c r="P2101" s="1" t="n">
        <v>499.9</v>
      </c>
      <c r="Q2101" s="1" t="n">
        <v>4499.1</v>
      </c>
      <c r="R2101" s="1" t="n">
        <v>809.84</v>
      </c>
      <c r="S2101" s="1" t="n">
        <v>3689.26</v>
      </c>
      <c r="T2101" s="1" t="n">
        <v>1262.53</v>
      </c>
      <c r="U2101" s="1" t="n">
        <v>2426.73</v>
      </c>
      <c r="V2101" s="1" t="n">
        <v>65.78</v>
      </c>
      <c r="W2101" s="1" t="s">
        <v>40</v>
      </c>
      <c r="Y2101" s="1" t="s">
        <v>40</v>
      </c>
      <c r="Z2101" s="1" t="n">
        <v>1</v>
      </c>
    </row>
    <row r="2102" customFormat="false" ht="15" hidden="false" customHeight="true" outlineLevel="0" collapsed="false">
      <c r="A2102" s="1" t="s">
        <v>2964</v>
      </c>
      <c r="B2102" s="1" t="s">
        <v>1486</v>
      </c>
      <c r="C2102" s="1" t="s">
        <v>128</v>
      </c>
      <c r="D2102" s="1" t="s">
        <v>94</v>
      </c>
      <c r="E2102" s="1" t="s">
        <v>95</v>
      </c>
      <c r="F2102" s="1" t="s">
        <v>46</v>
      </c>
      <c r="G2102" s="1" t="s">
        <v>47</v>
      </c>
      <c r="H2102" s="1" t="s">
        <v>33</v>
      </c>
      <c r="I2102" s="1" t="s">
        <v>58</v>
      </c>
      <c r="J2102" s="1" t="s">
        <v>70</v>
      </c>
      <c r="K2102" s="1" t="s">
        <v>36</v>
      </c>
      <c r="L2102" s="1" t="s">
        <v>49</v>
      </c>
      <c r="M2102" s="1" t="s">
        <v>38</v>
      </c>
      <c r="N2102" s="1" t="n">
        <v>6999</v>
      </c>
      <c r="O2102" s="1" t="n">
        <v>15</v>
      </c>
      <c r="P2102" s="1" t="n">
        <v>1049.85</v>
      </c>
      <c r="Q2102" s="1" t="n">
        <v>5949.15</v>
      </c>
      <c r="R2102" s="1" t="n">
        <v>1070.85</v>
      </c>
      <c r="S2102" s="1" t="n">
        <v>4878.3</v>
      </c>
      <c r="T2102" s="1" t="n">
        <v>2042.28</v>
      </c>
      <c r="U2102" s="1" t="n">
        <v>2836.02</v>
      </c>
      <c r="V2102" s="1" t="n">
        <v>58.14</v>
      </c>
      <c r="W2102" s="1" t="s">
        <v>39</v>
      </c>
      <c r="X2102" s="1" t="n">
        <v>3.6</v>
      </c>
      <c r="Y2102" s="1" t="s">
        <v>40</v>
      </c>
      <c r="Z2102" s="1" t="n">
        <v>0</v>
      </c>
    </row>
    <row r="2103" customFormat="false" ht="15" hidden="false" customHeight="true" outlineLevel="0" collapsed="false">
      <c r="A2103" s="1" t="s">
        <v>2965</v>
      </c>
      <c r="B2103" s="1" t="s">
        <v>2265</v>
      </c>
      <c r="C2103" s="1" t="s">
        <v>134</v>
      </c>
      <c r="D2103" s="1" t="s">
        <v>123</v>
      </c>
      <c r="E2103" s="1" t="s">
        <v>124</v>
      </c>
      <c r="F2103" s="1" t="s">
        <v>107</v>
      </c>
      <c r="G2103" s="1" t="s">
        <v>108</v>
      </c>
      <c r="H2103" s="1" t="s">
        <v>33</v>
      </c>
      <c r="I2103" s="1" t="s">
        <v>34</v>
      </c>
      <c r="J2103" s="1" t="s">
        <v>77</v>
      </c>
      <c r="K2103" s="1" t="s">
        <v>36</v>
      </c>
      <c r="L2103" s="1" t="s">
        <v>113</v>
      </c>
      <c r="M2103" s="1" t="s">
        <v>50</v>
      </c>
      <c r="N2103" s="1" t="n">
        <v>4999</v>
      </c>
      <c r="O2103" s="1" t="n">
        <v>25</v>
      </c>
      <c r="P2103" s="1" t="n">
        <v>1249.75</v>
      </c>
      <c r="Q2103" s="1" t="n">
        <v>3749.25</v>
      </c>
      <c r="R2103" s="1" t="n">
        <v>674.87</v>
      </c>
      <c r="S2103" s="1" t="n">
        <v>3074.38</v>
      </c>
      <c r="T2103" s="1" t="n">
        <v>1312.86</v>
      </c>
      <c r="U2103" s="1" t="n">
        <v>1761.52</v>
      </c>
      <c r="V2103" s="1" t="n">
        <v>57.3</v>
      </c>
      <c r="W2103" s="1" t="s">
        <v>40</v>
      </c>
      <c r="Y2103" s="1" t="s">
        <v>40</v>
      </c>
      <c r="Z2103" s="1" t="n">
        <v>0</v>
      </c>
    </row>
    <row r="2104" customFormat="false" ht="15" hidden="false" customHeight="true" outlineLevel="0" collapsed="false">
      <c r="A2104" s="1" t="s">
        <v>2966</v>
      </c>
      <c r="B2104" s="1" t="s">
        <v>520</v>
      </c>
      <c r="C2104" s="1" t="s">
        <v>134</v>
      </c>
      <c r="D2104" s="1" t="s">
        <v>94</v>
      </c>
      <c r="E2104" s="1" t="s">
        <v>101</v>
      </c>
      <c r="F2104" s="1" t="s">
        <v>102</v>
      </c>
      <c r="G2104" s="1" t="s">
        <v>103</v>
      </c>
      <c r="H2104" s="1" t="s">
        <v>33</v>
      </c>
      <c r="I2104" s="1" t="s">
        <v>34</v>
      </c>
      <c r="J2104" s="1" t="s">
        <v>77</v>
      </c>
      <c r="K2104" s="1" t="s">
        <v>36</v>
      </c>
      <c r="L2104" s="1" t="s">
        <v>136</v>
      </c>
      <c r="M2104" s="1" t="s">
        <v>38</v>
      </c>
      <c r="N2104" s="1" t="n">
        <v>14999</v>
      </c>
      <c r="O2104" s="1" t="n">
        <v>0</v>
      </c>
      <c r="P2104" s="1" t="n">
        <v>0</v>
      </c>
      <c r="Q2104" s="1" t="n">
        <v>14999</v>
      </c>
      <c r="R2104" s="1" t="n">
        <v>2699.82</v>
      </c>
      <c r="S2104" s="1" t="n">
        <v>12299.18</v>
      </c>
      <c r="T2104" s="1" t="n">
        <v>5422.46</v>
      </c>
      <c r="U2104" s="1" t="n">
        <v>6876.72</v>
      </c>
      <c r="V2104" s="1" t="n">
        <v>55.91</v>
      </c>
      <c r="W2104" s="1" t="s">
        <v>39</v>
      </c>
      <c r="X2104" s="1" t="n">
        <v>3.5</v>
      </c>
      <c r="Y2104" s="1" t="s">
        <v>40</v>
      </c>
      <c r="Z2104" s="1" t="n">
        <v>2</v>
      </c>
    </row>
    <row r="2105" customFormat="false" ht="15" hidden="false" customHeight="true" outlineLevel="0" collapsed="false">
      <c r="A2105" s="1" t="s">
        <v>2967</v>
      </c>
      <c r="B2105" s="1" t="s">
        <v>284</v>
      </c>
      <c r="C2105" s="1" t="s">
        <v>28</v>
      </c>
      <c r="D2105" s="1" t="s">
        <v>53</v>
      </c>
      <c r="E2105" s="1" t="s">
        <v>216</v>
      </c>
      <c r="F2105" s="1" t="s">
        <v>205</v>
      </c>
      <c r="G2105" s="1" t="s">
        <v>56</v>
      </c>
      <c r="H2105" s="1" t="s">
        <v>69</v>
      </c>
      <c r="I2105" s="1" t="s">
        <v>34</v>
      </c>
      <c r="J2105" s="1" t="s">
        <v>35</v>
      </c>
      <c r="K2105" s="1" t="s">
        <v>36</v>
      </c>
      <c r="L2105" s="1" t="s">
        <v>113</v>
      </c>
      <c r="M2105" s="1" t="s">
        <v>50</v>
      </c>
      <c r="N2105" s="1" t="n">
        <v>7499</v>
      </c>
      <c r="O2105" s="1" t="n">
        <v>5</v>
      </c>
      <c r="P2105" s="1" t="n">
        <v>374.95</v>
      </c>
      <c r="Q2105" s="1" t="n">
        <v>7124.05</v>
      </c>
      <c r="R2105" s="1" t="n">
        <v>1282.33</v>
      </c>
      <c r="S2105" s="1" t="n">
        <v>5841.72</v>
      </c>
      <c r="T2105" s="1" t="n">
        <v>2350.07</v>
      </c>
      <c r="U2105" s="1" t="n">
        <v>3491.65</v>
      </c>
      <c r="V2105" s="1" t="n">
        <v>59.77</v>
      </c>
      <c r="W2105" s="1" t="s">
        <v>39</v>
      </c>
      <c r="Y2105" s="1" t="s">
        <v>40</v>
      </c>
      <c r="Z2105" s="1" t="n">
        <v>0</v>
      </c>
    </row>
    <row r="2106" customFormat="false" ht="15" hidden="false" customHeight="true" outlineLevel="0" collapsed="false">
      <c r="A2106" s="1" t="s">
        <v>2968</v>
      </c>
      <c r="B2106" s="1" t="s">
        <v>2041</v>
      </c>
      <c r="C2106" s="1" t="s">
        <v>74</v>
      </c>
      <c r="D2106" s="1" t="s">
        <v>123</v>
      </c>
      <c r="E2106" s="1" t="s">
        <v>233</v>
      </c>
      <c r="F2106" s="1" t="s">
        <v>107</v>
      </c>
      <c r="G2106" s="1" t="s">
        <v>108</v>
      </c>
      <c r="H2106" s="1" t="s">
        <v>33</v>
      </c>
      <c r="I2106" s="1" t="s">
        <v>58</v>
      </c>
      <c r="J2106" s="1" t="s">
        <v>59</v>
      </c>
      <c r="K2106" s="1" t="s">
        <v>112</v>
      </c>
      <c r="L2106" s="1" t="s">
        <v>49</v>
      </c>
      <c r="M2106" s="1" t="s">
        <v>62</v>
      </c>
      <c r="N2106" s="1" t="n">
        <v>8999</v>
      </c>
      <c r="O2106" s="1" t="n">
        <v>0</v>
      </c>
      <c r="P2106" s="1" t="n">
        <v>0</v>
      </c>
      <c r="Q2106" s="1" t="n">
        <v>8999</v>
      </c>
      <c r="R2106" s="1" t="n">
        <v>1619.82</v>
      </c>
      <c r="S2106" s="1" t="n">
        <v>7379.18</v>
      </c>
      <c r="T2106" s="1" t="n">
        <v>3336.8</v>
      </c>
      <c r="U2106" s="1" t="n">
        <v>4042.38</v>
      </c>
      <c r="V2106" s="1" t="n">
        <v>54.78</v>
      </c>
      <c r="W2106" s="1" t="s">
        <v>40</v>
      </c>
      <c r="Y2106" s="1" t="s">
        <v>40</v>
      </c>
      <c r="Z2106" s="1" t="n">
        <v>1</v>
      </c>
    </row>
    <row r="2107" customFormat="false" ht="15" hidden="false" customHeight="true" outlineLevel="0" collapsed="false">
      <c r="A2107" s="1" t="s">
        <v>2969</v>
      </c>
      <c r="B2107" s="1" t="s">
        <v>1480</v>
      </c>
      <c r="C2107" s="1" t="s">
        <v>65</v>
      </c>
      <c r="D2107" s="1" t="s">
        <v>44</v>
      </c>
      <c r="E2107" s="1" t="s">
        <v>66</v>
      </c>
      <c r="F2107" s="1" t="s">
        <v>140</v>
      </c>
      <c r="G2107" s="1" t="s">
        <v>97</v>
      </c>
      <c r="H2107" s="1" t="s">
        <v>57</v>
      </c>
      <c r="I2107" s="1" t="s">
        <v>34</v>
      </c>
      <c r="J2107" s="1" t="s">
        <v>70</v>
      </c>
      <c r="K2107" s="1" t="s">
        <v>84</v>
      </c>
      <c r="L2107" s="1" t="s">
        <v>37</v>
      </c>
      <c r="M2107" s="1" t="s">
        <v>50</v>
      </c>
      <c r="N2107" s="1" t="n">
        <v>12999</v>
      </c>
      <c r="O2107" s="1" t="n">
        <v>0</v>
      </c>
      <c r="P2107" s="1" t="n">
        <v>0</v>
      </c>
      <c r="Q2107" s="1" t="n">
        <v>12999</v>
      </c>
      <c r="R2107" s="1" t="n">
        <v>2339.82</v>
      </c>
      <c r="S2107" s="1" t="n">
        <v>10659.18</v>
      </c>
      <c r="T2107" s="1" t="n">
        <v>5550.58</v>
      </c>
      <c r="U2107" s="1" t="n">
        <v>5108.6</v>
      </c>
      <c r="V2107" s="1" t="n">
        <v>47.93</v>
      </c>
      <c r="W2107" s="1" t="s">
        <v>39</v>
      </c>
      <c r="X2107" s="1" t="n">
        <v>4.2</v>
      </c>
      <c r="Y2107" s="1" t="s">
        <v>40</v>
      </c>
      <c r="Z2107" s="1" t="n">
        <v>0</v>
      </c>
    </row>
    <row r="2108" customFormat="false" ht="15" hidden="false" customHeight="true" outlineLevel="0" collapsed="false">
      <c r="A2108" s="1" t="s">
        <v>2970</v>
      </c>
      <c r="B2108" s="1" t="s">
        <v>1525</v>
      </c>
      <c r="C2108" s="1" t="s">
        <v>134</v>
      </c>
      <c r="D2108" s="1" t="s">
        <v>123</v>
      </c>
      <c r="E2108" s="1" t="s">
        <v>147</v>
      </c>
      <c r="F2108" s="1" t="s">
        <v>1363</v>
      </c>
      <c r="G2108" s="1" t="s">
        <v>68</v>
      </c>
      <c r="H2108" s="1" t="s">
        <v>33</v>
      </c>
      <c r="I2108" s="1" t="s">
        <v>34</v>
      </c>
      <c r="J2108" s="1" t="s">
        <v>35</v>
      </c>
      <c r="K2108" s="1" t="s">
        <v>36</v>
      </c>
      <c r="L2108" s="1" t="s">
        <v>85</v>
      </c>
      <c r="M2108" s="1" t="s">
        <v>50</v>
      </c>
      <c r="N2108" s="1" t="n">
        <v>6999</v>
      </c>
      <c r="O2108" s="1" t="n">
        <v>25</v>
      </c>
      <c r="P2108" s="1" t="n">
        <v>1749.75</v>
      </c>
      <c r="Q2108" s="1" t="n">
        <v>5249.25</v>
      </c>
      <c r="R2108" s="1" t="n">
        <v>944.87</v>
      </c>
      <c r="S2108" s="1" t="n">
        <v>4304.38</v>
      </c>
      <c r="T2108" s="1" t="n">
        <v>2128.03</v>
      </c>
      <c r="U2108" s="1" t="n">
        <v>2176.35</v>
      </c>
      <c r="V2108" s="1" t="n">
        <v>50.56</v>
      </c>
      <c r="W2108" s="1" t="s">
        <v>39</v>
      </c>
      <c r="Y2108" s="1" t="s">
        <v>40</v>
      </c>
      <c r="Z2108" s="1" t="n">
        <v>1</v>
      </c>
    </row>
    <row r="2109" customFormat="false" ht="15" hidden="false" customHeight="true" outlineLevel="0" collapsed="false">
      <c r="A2109" s="1" t="s">
        <v>2971</v>
      </c>
      <c r="B2109" s="1" t="s">
        <v>435</v>
      </c>
      <c r="C2109" s="1" t="s">
        <v>43</v>
      </c>
      <c r="D2109" s="1" t="s">
        <v>94</v>
      </c>
      <c r="E2109" s="1" t="s">
        <v>135</v>
      </c>
      <c r="F2109" s="1" t="s">
        <v>75</v>
      </c>
      <c r="G2109" s="1" t="s">
        <v>76</v>
      </c>
      <c r="H2109" s="1" t="s">
        <v>69</v>
      </c>
      <c r="I2109" s="1" t="s">
        <v>34</v>
      </c>
      <c r="J2109" s="1" t="s">
        <v>59</v>
      </c>
      <c r="K2109" s="1" t="s">
        <v>60</v>
      </c>
      <c r="L2109" s="1" t="s">
        <v>85</v>
      </c>
      <c r="M2109" s="1" t="s">
        <v>50</v>
      </c>
      <c r="N2109" s="1" t="n">
        <v>9999</v>
      </c>
      <c r="O2109" s="1" t="n">
        <v>20</v>
      </c>
      <c r="P2109" s="1" t="n">
        <v>1999.8</v>
      </c>
      <c r="Q2109" s="1" t="n">
        <v>7999.2</v>
      </c>
      <c r="R2109" s="1" t="n">
        <v>1439.86</v>
      </c>
      <c r="S2109" s="1" t="n">
        <v>6559.34</v>
      </c>
      <c r="T2109" s="1" t="n">
        <v>2892.58</v>
      </c>
      <c r="U2109" s="1" t="n">
        <v>3666.76</v>
      </c>
      <c r="V2109" s="1" t="n">
        <v>55.9</v>
      </c>
      <c r="W2109" s="1" t="s">
        <v>40</v>
      </c>
      <c r="Y2109" s="1" t="s">
        <v>40</v>
      </c>
      <c r="Z2109" s="1" t="n">
        <v>1</v>
      </c>
    </row>
    <row r="2110" customFormat="false" ht="15" hidden="false" customHeight="true" outlineLevel="0" collapsed="false">
      <c r="A2110" s="1" t="s">
        <v>2972</v>
      </c>
      <c r="B2110" s="1" t="s">
        <v>332</v>
      </c>
      <c r="C2110" s="1" t="s">
        <v>134</v>
      </c>
      <c r="D2110" s="1" t="s">
        <v>80</v>
      </c>
      <c r="E2110" s="1" t="s">
        <v>175</v>
      </c>
      <c r="F2110" s="1" t="s">
        <v>194</v>
      </c>
      <c r="G2110" s="1" t="s">
        <v>103</v>
      </c>
      <c r="H2110" s="1" t="s">
        <v>69</v>
      </c>
      <c r="I2110" s="1" t="s">
        <v>83</v>
      </c>
      <c r="J2110" s="1" t="s">
        <v>77</v>
      </c>
      <c r="K2110" s="1" t="s">
        <v>71</v>
      </c>
      <c r="L2110" s="1" t="s">
        <v>37</v>
      </c>
      <c r="M2110" s="1" t="s">
        <v>50</v>
      </c>
      <c r="N2110" s="1" t="n">
        <v>19999</v>
      </c>
      <c r="O2110" s="1" t="n">
        <v>0</v>
      </c>
      <c r="P2110" s="1" t="n">
        <v>0</v>
      </c>
      <c r="Q2110" s="1" t="n">
        <v>19999</v>
      </c>
      <c r="R2110" s="1" t="n">
        <v>3599.82</v>
      </c>
      <c r="S2110" s="1" t="n">
        <v>16399.18</v>
      </c>
      <c r="T2110" s="1" t="n">
        <v>4918.33</v>
      </c>
      <c r="U2110" s="1" t="n">
        <v>11480.85</v>
      </c>
      <c r="V2110" s="1" t="n">
        <v>70.01</v>
      </c>
      <c r="W2110" s="1" t="s">
        <v>39</v>
      </c>
      <c r="X2110" s="1" t="n">
        <v>3.7</v>
      </c>
      <c r="Y2110" s="1" t="s">
        <v>40</v>
      </c>
      <c r="Z2110" s="1" t="n">
        <v>1</v>
      </c>
    </row>
    <row r="2111" customFormat="false" ht="15" hidden="false" customHeight="true" outlineLevel="0" collapsed="false">
      <c r="A2111" s="1" t="s">
        <v>2973</v>
      </c>
      <c r="B2111" s="1" t="s">
        <v>397</v>
      </c>
      <c r="C2111" s="1" t="s">
        <v>28</v>
      </c>
      <c r="D2111" s="1" t="s">
        <v>29</v>
      </c>
      <c r="E2111" s="1" t="s">
        <v>182</v>
      </c>
      <c r="F2111" s="1" t="s">
        <v>194</v>
      </c>
      <c r="G2111" s="1" t="s">
        <v>103</v>
      </c>
      <c r="H2111" s="1" t="s">
        <v>69</v>
      </c>
      <c r="I2111" s="1" t="s">
        <v>83</v>
      </c>
      <c r="J2111" s="1" t="s">
        <v>131</v>
      </c>
      <c r="K2111" s="1" t="s">
        <v>84</v>
      </c>
      <c r="L2111" s="1" t="s">
        <v>37</v>
      </c>
      <c r="M2111" s="1" t="s">
        <v>50</v>
      </c>
      <c r="N2111" s="1" t="n">
        <v>34999</v>
      </c>
      <c r="O2111" s="1" t="n">
        <v>30</v>
      </c>
      <c r="P2111" s="1" t="n">
        <v>10499.7</v>
      </c>
      <c r="Q2111" s="1" t="n">
        <v>24499.3</v>
      </c>
      <c r="R2111" s="1" t="n">
        <v>4409.87</v>
      </c>
      <c r="S2111" s="1" t="n">
        <v>20089.43</v>
      </c>
      <c r="T2111" s="1" t="n">
        <v>8386.48</v>
      </c>
      <c r="U2111" s="1" t="n">
        <v>11702.95</v>
      </c>
      <c r="V2111" s="1" t="n">
        <v>58.25</v>
      </c>
      <c r="W2111" s="1" t="s">
        <v>40</v>
      </c>
      <c r="Y2111" s="1" t="s">
        <v>40</v>
      </c>
      <c r="Z2111" s="1" t="n">
        <v>3</v>
      </c>
    </row>
    <row r="2112" customFormat="false" ht="15" hidden="false" customHeight="true" outlineLevel="0" collapsed="false">
      <c r="A2112" s="1" t="s">
        <v>2974</v>
      </c>
      <c r="B2112" s="1" t="s">
        <v>366</v>
      </c>
      <c r="C2112" s="1" t="s">
        <v>119</v>
      </c>
      <c r="D2112" s="1" t="s">
        <v>168</v>
      </c>
      <c r="E2112" s="1" t="s">
        <v>169</v>
      </c>
      <c r="F2112" s="1" t="s">
        <v>205</v>
      </c>
      <c r="G2112" s="1" t="s">
        <v>56</v>
      </c>
      <c r="H2112" s="1" t="s">
        <v>69</v>
      </c>
      <c r="I2112" s="1" t="s">
        <v>34</v>
      </c>
      <c r="J2112" s="1" t="s">
        <v>77</v>
      </c>
      <c r="K2112" s="1" t="s">
        <v>84</v>
      </c>
      <c r="L2112" s="1" t="s">
        <v>113</v>
      </c>
      <c r="M2112" s="1" t="s">
        <v>38</v>
      </c>
      <c r="N2112" s="1" t="n">
        <v>4999</v>
      </c>
      <c r="O2112" s="1" t="n">
        <v>10</v>
      </c>
      <c r="P2112" s="1" t="n">
        <v>499.9</v>
      </c>
      <c r="Q2112" s="1" t="n">
        <v>4499.1</v>
      </c>
      <c r="R2112" s="1" t="n">
        <v>809.84</v>
      </c>
      <c r="S2112" s="1" t="n">
        <v>3689.26</v>
      </c>
      <c r="T2112" s="1" t="n">
        <v>1482.44</v>
      </c>
      <c r="U2112" s="1" t="n">
        <v>2206.82</v>
      </c>
      <c r="V2112" s="1" t="n">
        <v>59.82</v>
      </c>
      <c r="W2112" s="1" t="s">
        <v>40</v>
      </c>
      <c r="Y2112" s="1" t="s">
        <v>40</v>
      </c>
      <c r="Z2112" s="1" t="n">
        <v>1</v>
      </c>
    </row>
    <row r="2113" customFormat="false" ht="15" hidden="false" customHeight="true" outlineLevel="0" collapsed="false">
      <c r="A2113" s="1" t="s">
        <v>2975</v>
      </c>
      <c r="B2113" s="1" t="s">
        <v>2086</v>
      </c>
      <c r="C2113" s="1" t="s">
        <v>119</v>
      </c>
      <c r="D2113" s="1" t="s">
        <v>143</v>
      </c>
      <c r="E2113" s="1" t="s">
        <v>144</v>
      </c>
      <c r="F2113" s="1" t="s">
        <v>89</v>
      </c>
      <c r="G2113" s="1" t="s">
        <v>68</v>
      </c>
      <c r="H2113" s="1" t="s">
        <v>33</v>
      </c>
      <c r="I2113" s="1" t="s">
        <v>83</v>
      </c>
      <c r="J2113" s="1" t="s">
        <v>131</v>
      </c>
      <c r="K2113" s="1" t="s">
        <v>104</v>
      </c>
      <c r="L2113" s="1" t="s">
        <v>136</v>
      </c>
      <c r="M2113" s="1" t="s">
        <v>62</v>
      </c>
      <c r="N2113" s="1" t="n">
        <v>12999</v>
      </c>
      <c r="O2113" s="1" t="n">
        <v>0</v>
      </c>
      <c r="P2113" s="1" t="n">
        <v>0</v>
      </c>
      <c r="Q2113" s="1" t="n">
        <v>12999</v>
      </c>
      <c r="R2113" s="1" t="n">
        <v>2339.82</v>
      </c>
      <c r="S2113" s="1" t="n">
        <v>10659.18</v>
      </c>
      <c r="T2113" s="1" t="n">
        <v>4232.11</v>
      </c>
      <c r="U2113" s="1" t="n">
        <v>6427.07</v>
      </c>
      <c r="V2113" s="1" t="n">
        <v>60.3</v>
      </c>
      <c r="W2113" s="1" t="s">
        <v>40</v>
      </c>
      <c r="Y2113" s="1" t="s">
        <v>40</v>
      </c>
      <c r="Z2113" s="1" t="n">
        <v>1</v>
      </c>
    </row>
    <row r="2114" customFormat="false" ht="15" hidden="false" customHeight="true" outlineLevel="0" collapsed="false">
      <c r="A2114" s="1" t="s">
        <v>2976</v>
      </c>
      <c r="B2114" s="1" t="s">
        <v>2977</v>
      </c>
      <c r="C2114" s="1" t="s">
        <v>43</v>
      </c>
      <c r="D2114" s="1" t="s">
        <v>143</v>
      </c>
      <c r="E2114" s="1" t="s">
        <v>159</v>
      </c>
      <c r="F2114" s="1" t="s">
        <v>75</v>
      </c>
      <c r="G2114" s="1" t="s">
        <v>76</v>
      </c>
      <c r="H2114" s="1" t="s">
        <v>69</v>
      </c>
      <c r="I2114" s="1" t="s">
        <v>34</v>
      </c>
      <c r="J2114" s="1" t="s">
        <v>59</v>
      </c>
      <c r="K2114" s="1" t="s">
        <v>48</v>
      </c>
      <c r="L2114" s="1" t="s">
        <v>37</v>
      </c>
      <c r="M2114" s="1" t="s">
        <v>62</v>
      </c>
      <c r="N2114" s="1" t="n">
        <v>24999</v>
      </c>
      <c r="O2114" s="1" t="n">
        <v>0</v>
      </c>
      <c r="P2114" s="1" t="n">
        <v>0</v>
      </c>
      <c r="Q2114" s="1" t="n">
        <v>24999</v>
      </c>
      <c r="R2114" s="1" t="n">
        <v>4499.82</v>
      </c>
      <c r="S2114" s="1" t="n">
        <v>20499.18</v>
      </c>
      <c r="T2114" s="1" t="n">
        <v>8870.44</v>
      </c>
      <c r="U2114" s="1" t="n">
        <v>11628.74</v>
      </c>
      <c r="V2114" s="1" t="n">
        <v>56.73</v>
      </c>
      <c r="W2114" s="1" t="s">
        <v>40</v>
      </c>
      <c r="Y2114" s="1" t="s">
        <v>40</v>
      </c>
      <c r="Z2114" s="1" t="n">
        <v>0</v>
      </c>
    </row>
    <row r="2115" customFormat="false" ht="15" hidden="false" customHeight="true" outlineLevel="0" collapsed="false">
      <c r="A2115" s="1" t="s">
        <v>2978</v>
      </c>
      <c r="B2115" s="1" t="s">
        <v>2145</v>
      </c>
      <c r="C2115" s="1" t="s">
        <v>134</v>
      </c>
      <c r="D2115" s="1" t="s">
        <v>44</v>
      </c>
      <c r="E2115" s="1" t="s">
        <v>66</v>
      </c>
      <c r="F2115" s="1" t="s">
        <v>46</v>
      </c>
      <c r="G2115" s="1" t="s">
        <v>47</v>
      </c>
      <c r="H2115" s="1" t="s">
        <v>33</v>
      </c>
      <c r="I2115" s="1" t="s">
        <v>34</v>
      </c>
      <c r="J2115" s="1" t="s">
        <v>131</v>
      </c>
      <c r="K2115" s="1" t="s">
        <v>90</v>
      </c>
      <c r="L2115" s="1" t="s">
        <v>49</v>
      </c>
      <c r="M2115" s="1" t="s">
        <v>50</v>
      </c>
      <c r="N2115" s="1" t="n">
        <v>12999</v>
      </c>
      <c r="O2115" s="1" t="n">
        <v>0</v>
      </c>
      <c r="P2115" s="1" t="n">
        <v>0</v>
      </c>
      <c r="Q2115" s="1" t="n">
        <v>12999</v>
      </c>
      <c r="R2115" s="1" t="n">
        <v>2339.82</v>
      </c>
      <c r="S2115" s="1" t="n">
        <v>10659.18</v>
      </c>
      <c r="T2115" s="1" t="n">
        <v>4610.17</v>
      </c>
      <c r="U2115" s="1" t="n">
        <v>6049.01</v>
      </c>
      <c r="V2115" s="1" t="n">
        <v>56.75</v>
      </c>
      <c r="W2115" s="1" t="s">
        <v>39</v>
      </c>
      <c r="X2115" s="1" t="n">
        <v>3.6</v>
      </c>
      <c r="Y2115" s="1" t="s">
        <v>40</v>
      </c>
      <c r="Z2115" s="1" t="n">
        <v>0</v>
      </c>
    </row>
    <row r="2116" customFormat="false" ht="15" hidden="false" customHeight="true" outlineLevel="0" collapsed="false">
      <c r="A2116" s="1" t="s">
        <v>2979</v>
      </c>
      <c r="B2116" s="1" t="s">
        <v>1944</v>
      </c>
      <c r="C2116" s="1" t="s">
        <v>93</v>
      </c>
      <c r="D2116" s="1" t="s">
        <v>53</v>
      </c>
      <c r="E2116" s="1" t="s">
        <v>216</v>
      </c>
      <c r="F2116" s="1" t="s">
        <v>67</v>
      </c>
      <c r="G2116" s="1" t="s">
        <v>68</v>
      </c>
      <c r="H2116" s="1" t="s">
        <v>69</v>
      </c>
      <c r="I2116" s="1" t="s">
        <v>34</v>
      </c>
      <c r="J2116" s="1" t="s">
        <v>35</v>
      </c>
      <c r="K2116" s="1" t="s">
        <v>84</v>
      </c>
      <c r="L2116" s="1" t="s">
        <v>85</v>
      </c>
      <c r="M2116" s="1" t="s">
        <v>62</v>
      </c>
      <c r="N2116" s="1" t="n">
        <v>7499</v>
      </c>
      <c r="O2116" s="1" t="n">
        <v>25</v>
      </c>
      <c r="P2116" s="1" t="n">
        <v>1874.75</v>
      </c>
      <c r="Q2116" s="1" t="n">
        <v>5624.25</v>
      </c>
      <c r="R2116" s="1" t="n">
        <v>1012.37</v>
      </c>
      <c r="S2116" s="1" t="n">
        <v>4611.88</v>
      </c>
      <c r="T2116" s="1" t="n">
        <v>2031.54</v>
      </c>
      <c r="U2116" s="1" t="n">
        <v>2580.34</v>
      </c>
      <c r="V2116" s="1" t="n">
        <v>55.95</v>
      </c>
      <c r="W2116" s="1" t="s">
        <v>40</v>
      </c>
      <c r="Y2116" s="1" t="s">
        <v>40</v>
      </c>
      <c r="Z2116" s="1" t="n">
        <v>2</v>
      </c>
    </row>
    <row r="2117" customFormat="false" ht="15" hidden="false" customHeight="true" outlineLevel="0" collapsed="false">
      <c r="A2117" s="1" t="s">
        <v>2980</v>
      </c>
      <c r="B2117" s="1" t="s">
        <v>1023</v>
      </c>
      <c r="C2117" s="1" t="s">
        <v>119</v>
      </c>
      <c r="D2117" s="1" t="s">
        <v>94</v>
      </c>
      <c r="E2117" s="1" t="s">
        <v>101</v>
      </c>
      <c r="F2117" s="1" t="s">
        <v>125</v>
      </c>
      <c r="G2117" s="1" t="s">
        <v>108</v>
      </c>
      <c r="H2117" s="1" t="s">
        <v>69</v>
      </c>
      <c r="I2117" s="1" t="s">
        <v>83</v>
      </c>
      <c r="J2117" s="1" t="s">
        <v>70</v>
      </c>
      <c r="K2117" s="1" t="s">
        <v>60</v>
      </c>
      <c r="L2117" s="1" t="s">
        <v>136</v>
      </c>
      <c r="M2117" s="1" t="s">
        <v>50</v>
      </c>
      <c r="N2117" s="1" t="n">
        <v>14999</v>
      </c>
      <c r="O2117" s="1" t="n">
        <v>30</v>
      </c>
      <c r="P2117" s="1" t="n">
        <v>4499.7</v>
      </c>
      <c r="Q2117" s="1" t="n">
        <v>10499.3</v>
      </c>
      <c r="R2117" s="1" t="n">
        <v>1889.87</v>
      </c>
      <c r="S2117" s="1" t="n">
        <v>8609.43</v>
      </c>
      <c r="T2117" s="1" t="n">
        <v>3399.82</v>
      </c>
      <c r="U2117" s="1" t="n">
        <v>5209.61</v>
      </c>
      <c r="V2117" s="1" t="n">
        <v>60.51</v>
      </c>
      <c r="W2117" s="1" t="s">
        <v>39</v>
      </c>
      <c r="X2117" s="1" t="n">
        <v>3.9</v>
      </c>
      <c r="Y2117" s="1" t="s">
        <v>40</v>
      </c>
      <c r="Z2117" s="1" t="n">
        <v>0</v>
      </c>
    </row>
    <row r="2118" customFormat="false" ht="15" hidden="false" customHeight="true" outlineLevel="0" collapsed="false">
      <c r="A2118" s="1" t="s">
        <v>2981</v>
      </c>
      <c r="B2118" s="1" t="s">
        <v>874</v>
      </c>
      <c r="C2118" s="1" t="s">
        <v>178</v>
      </c>
      <c r="D2118" s="1" t="s">
        <v>53</v>
      </c>
      <c r="E2118" s="1" t="s">
        <v>216</v>
      </c>
      <c r="F2118" s="1" t="s">
        <v>125</v>
      </c>
      <c r="G2118" s="1" t="s">
        <v>108</v>
      </c>
      <c r="H2118" s="1" t="s">
        <v>69</v>
      </c>
      <c r="I2118" s="1" t="s">
        <v>34</v>
      </c>
      <c r="J2118" s="1" t="s">
        <v>70</v>
      </c>
      <c r="K2118" s="1" t="s">
        <v>71</v>
      </c>
      <c r="L2118" s="1" t="s">
        <v>37</v>
      </c>
      <c r="M2118" s="1" t="s">
        <v>50</v>
      </c>
      <c r="N2118" s="1" t="n">
        <v>7499</v>
      </c>
      <c r="O2118" s="1" t="n">
        <v>0</v>
      </c>
      <c r="P2118" s="1" t="n">
        <v>0</v>
      </c>
      <c r="Q2118" s="1" t="n">
        <v>7499</v>
      </c>
      <c r="R2118" s="1" t="n">
        <v>1349.82</v>
      </c>
      <c r="S2118" s="1" t="n">
        <v>6149.18</v>
      </c>
      <c r="T2118" s="1" t="n">
        <v>2806.56</v>
      </c>
      <c r="U2118" s="1" t="n">
        <v>3342.62</v>
      </c>
      <c r="V2118" s="1" t="n">
        <v>54.36</v>
      </c>
      <c r="W2118" s="1" t="s">
        <v>39</v>
      </c>
      <c r="Y2118" s="1" t="s">
        <v>40</v>
      </c>
      <c r="Z2118" s="1" t="n">
        <v>1</v>
      </c>
    </row>
    <row r="2119" customFormat="false" ht="15" hidden="false" customHeight="true" outlineLevel="0" collapsed="false">
      <c r="A2119" s="1" t="s">
        <v>2982</v>
      </c>
      <c r="B2119" s="1" t="s">
        <v>1077</v>
      </c>
      <c r="C2119" s="1" t="s">
        <v>28</v>
      </c>
      <c r="D2119" s="1" t="s">
        <v>29</v>
      </c>
      <c r="E2119" s="1" t="s">
        <v>129</v>
      </c>
      <c r="F2119" s="1" t="s">
        <v>55</v>
      </c>
      <c r="G2119" s="1" t="s">
        <v>56</v>
      </c>
      <c r="H2119" s="1" t="s">
        <v>57</v>
      </c>
      <c r="I2119" s="1" t="s">
        <v>83</v>
      </c>
      <c r="J2119" s="1" t="s">
        <v>59</v>
      </c>
      <c r="K2119" s="1" t="s">
        <v>90</v>
      </c>
      <c r="L2119" s="1" t="s">
        <v>113</v>
      </c>
      <c r="M2119" s="1" t="s">
        <v>38</v>
      </c>
      <c r="N2119" s="1" t="n">
        <v>29999</v>
      </c>
      <c r="O2119" s="1" t="n">
        <v>20</v>
      </c>
      <c r="P2119" s="1" t="n">
        <v>5999.8</v>
      </c>
      <c r="Q2119" s="1" t="n">
        <v>23999.2</v>
      </c>
      <c r="R2119" s="1" t="n">
        <v>4319.86</v>
      </c>
      <c r="S2119" s="1" t="n">
        <v>19679.34</v>
      </c>
      <c r="T2119" s="1" t="n">
        <v>7895.85</v>
      </c>
      <c r="U2119" s="1" t="n">
        <v>11783.49</v>
      </c>
      <c r="V2119" s="1" t="n">
        <v>59.88</v>
      </c>
      <c r="W2119" s="1" t="s">
        <v>39</v>
      </c>
      <c r="X2119" s="1" t="n">
        <v>4.2</v>
      </c>
      <c r="Y2119" s="1" t="s">
        <v>40</v>
      </c>
      <c r="Z2119" s="1" t="n">
        <v>0</v>
      </c>
    </row>
    <row r="2120" customFormat="false" ht="15" hidden="false" customHeight="true" outlineLevel="0" collapsed="false">
      <c r="A2120" s="1" t="s">
        <v>2983</v>
      </c>
      <c r="B2120" s="1" t="s">
        <v>477</v>
      </c>
      <c r="C2120" s="1" t="s">
        <v>65</v>
      </c>
      <c r="D2120" s="1" t="s">
        <v>29</v>
      </c>
      <c r="E2120" s="1" t="s">
        <v>305</v>
      </c>
      <c r="F2120" s="1" t="s">
        <v>150</v>
      </c>
      <c r="G2120" s="1" t="s">
        <v>32</v>
      </c>
      <c r="H2120" s="1" t="s">
        <v>57</v>
      </c>
      <c r="I2120" s="1" t="s">
        <v>58</v>
      </c>
      <c r="J2120" s="1" t="s">
        <v>59</v>
      </c>
      <c r="K2120" s="1" t="s">
        <v>60</v>
      </c>
      <c r="L2120" s="1" t="s">
        <v>113</v>
      </c>
      <c r="M2120" s="1" t="s">
        <v>38</v>
      </c>
      <c r="N2120" s="1" t="n">
        <v>24999</v>
      </c>
      <c r="O2120" s="1" t="n">
        <v>50</v>
      </c>
      <c r="P2120" s="1" t="n">
        <v>12499.5</v>
      </c>
      <c r="Q2120" s="1" t="n">
        <v>12499.5</v>
      </c>
      <c r="R2120" s="1" t="n">
        <v>2249.91</v>
      </c>
      <c r="S2120" s="1" t="n">
        <v>10249.59</v>
      </c>
      <c r="T2120" s="1" t="n">
        <v>5073.63</v>
      </c>
      <c r="U2120" s="1" t="n">
        <v>5175.96</v>
      </c>
      <c r="V2120" s="1" t="n">
        <v>50.5</v>
      </c>
      <c r="W2120" s="1" t="s">
        <v>40</v>
      </c>
      <c r="Y2120" s="1" t="s">
        <v>40</v>
      </c>
      <c r="Z2120" s="1" t="n">
        <v>0</v>
      </c>
    </row>
    <row r="2121" customFormat="false" ht="15" hidden="false" customHeight="true" outlineLevel="0" collapsed="false">
      <c r="A2121" s="1" t="s">
        <v>2984</v>
      </c>
      <c r="B2121" s="1" t="s">
        <v>118</v>
      </c>
      <c r="C2121" s="1" t="s">
        <v>43</v>
      </c>
      <c r="D2121" s="1" t="s">
        <v>29</v>
      </c>
      <c r="E2121" s="1" t="s">
        <v>182</v>
      </c>
      <c r="F2121" s="1" t="s">
        <v>31</v>
      </c>
      <c r="G2121" s="1" t="s">
        <v>32</v>
      </c>
      <c r="H2121" s="1" t="s">
        <v>33</v>
      </c>
      <c r="I2121" s="1" t="s">
        <v>83</v>
      </c>
      <c r="J2121" s="1" t="s">
        <v>35</v>
      </c>
      <c r="K2121" s="1" t="s">
        <v>48</v>
      </c>
      <c r="L2121" s="1" t="s">
        <v>113</v>
      </c>
      <c r="M2121" s="1" t="s">
        <v>62</v>
      </c>
      <c r="N2121" s="1" t="n">
        <v>34999</v>
      </c>
      <c r="O2121" s="1" t="n">
        <v>40</v>
      </c>
      <c r="P2121" s="1" t="n">
        <v>13999.6</v>
      </c>
      <c r="Q2121" s="1" t="n">
        <v>20999.4</v>
      </c>
      <c r="R2121" s="1" t="n">
        <v>3779.89</v>
      </c>
      <c r="S2121" s="1" t="n">
        <v>17219.51</v>
      </c>
      <c r="T2121" s="1" t="n">
        <v>9430.6</v>
      </c>
      <c r="U2121" s="1" t="n">
        <v>7788.91</v>
      </c>
      <c r="V2121" s="1" t="n">
        <v>45.23</v>
      </c>
      <c r="W2121" s="1" t="s">
        <v>39</v>
      </c>
      <c r="X2121" s="1" t="n">
        <v>4</v>
      </c>
      <c r="Y2121" s="1" t="s">
        <v>40</v>
      </c>
      <c r="Z2121" s="1" t="n">
        <v>0</v>
      </c>
    </row>
    <row r="2122" customFormat="false" ht="15" hidden="false" customHeight="true" outlineLevel="0" collapsed="false">
      <c r="A2122" s="1" t="s">
        <v>2985</v>
      </c>
      <c r="B2122" s="1" t="s">
        <v>959</v>
      </c>
      <c r="C2122" s="1" t="s">
        <v>74</v>
      </c>
      <c r="D2122" s="1" t="s">
        <v>44</v>
      </c>
      <c r="E2122" s="1" t="s">
        <v>66</v>
      </c>
      <c r="F2122" s="1" t="s">
        <v>31</v>
      </c>
      <c r="G2122" s="1" t="s">
        <v>32</v>
      </c>
      <c r="H2122" s="1" t="s">
        <v>33</v>
      </c>
      <c r="I2122" s="1" t="s">
        <v>58</v>
      </c>
      <c r="J2122" s="1" t="s">
        <v>131</v>
      </c>
      <c r="K2122" s="1" t="s">
        <v>112</v>
      </c>
      <c r="L2122" s="1" t="s">
        <v>136</v>
      </c>
      <c r="M2122" s="1" t="s">
        <v>38</v>
      </c>
      <c r="N2122" s="1" t="n">
        <v>12999</v>
      </c>
      <c r="O2122" s="1" t="n">
        <v>0</v>
      </c>
      <c r="P2122" s="1" t="n">
        <v>0</v>
      </c>
      <c r="Q2122" s="1" t="n">
        <v>12999</v>
      </c>
      <c r="R2122" s="1" t="n">
        <v>2339.82</v>
      </c>
      <c r="S2122" s="1" t="n">
        <v>10659.18</v>
      </c>
      <c r="T2122" s="1" t="n">
        <v>4516.25</v>
      </c>
      <c r="U2122" s="1" t="n">
        <v>6142.93</v>
      </c>
      <c r="V2122" s="1" t="n">
        <v>57.63</v>
      </c>
      <c r="W2122" s="1" t="s">
        <v>39</v>
      </c>
      <c r="X2122" s="1" t="n">
        <v>3.8</v>
      </c>
      <c r="Y2122" s="1" t="s">
        <v>40</v>
      </c>
      <c r="Z2122" s="1" t="n">
        <v>0</v>
      </c>
    </row>
    <row r="2123" customFormat="false" ht="15" hidden="false" customHeight="true" outlineLevel="0" collapsed="false">
      <c r="A2123" s="1" t="s">
        <v>2986</v>
      </c>
      <c r="B2123" s="1" t="s">
        <v>2987</v>
      </c>
      <c r="C2123" s="1" t="s">
        <v>100</v>
      </c>
      <c r="D2123" s="1" t="s">
        <v>168</v>
      </c>
      <c r="E2123" s="1" t="s">
        <v>197</v>
      </c>
      <c r="F2123" s="1" t="s">
        <v>205</v>
      </c>
      <c r="G2123" s="1" t="s">
        <v>56</v>
      </c>
      <c r="H2123" s="1" t="s">
        <v>69</v>
      </c>
      <c r="I2123" s="1" t="s">
        <v>34</v>
      </c>
      <c r="J2123" s="1" t="s">
        <v>131</v>
      </c>
      <c r="K2123" s="1" t="s">
        <v>112</v>
      </c>
      <c r="L2123" s="1" t="s">
        <v>49</v>
      </c>
      <c r="M2123" s="1" t="s">
        <v>62</v>
      </c>
      <c r="N2123" s="1" t="n">
        <v>8499</v>
      </c>
      <c r="O2123" s="1" t="n">
        <v>50</v>
      </c>
      <c r="P2123" s="1" t="n">
        <v>4249.5</v>
      </c>
      <c r="Q2123" s="1" t="n">
        <v>4249.5</v>
      </c>
      <c r="R2123" s="1" t="n">
        <v>764.91</v>
      </c>
      <c r="S2123" s="1" t="n">
        <v>3484.59</v>
      </c>
      <c r="T2123" s="1" t="n">
        <v>2060.44</v>
      </c>
      <c r="U2123" s="1" t="n">
        <v>1424.15</v>
      </c>
      <c r="V2123" s="1" t="n">
        <v>40.87</v>
      </c>
      <c r="W2123" s="1" t="s">
        <v>39</v>
      </c>
      <c r="X2123" s="1" t="n">
        <v>3.1</v>
      </c>
      <c r="Y2123" s="1" t="s">
        <v>40</v>
      </c>
      <c r="Z2123" s="1" t="n">
        <v>0</v>
      </c>
    </row>
    <row r="2124" customFormat="false" ht="15" hidden="false" customHeight="true" outlineLevel="0" collapsed="false">
      <c r="A2124" s="1" t="s">
        <v>2988</v>
      </c>
      <c r="B2124" s="1" t="s">
        <v>307</v>
      </c>
      <c r="C2124" s="1" t="s">
        <v>93</v>
      </c>
      <c r="D2124" s="1" t="s">
        <v>44</v>
      </c>
      <c r="E2124" s="1" t="s">
        <v>221</v>
      </c>
      <c r="F2124" s="1" t="s">
        <v>211</v>
      </c>
      <c r="G2124" s="1" t="s">
        <v>56</v>
      </c>
      <c r="H2124" s="1" t="s">
        <v>69</v>
      </c>
      <c r="I2124" s="1" t="s">
        <v>58</v>
      </c>
      <c r="J2124" s="1" t="s">
        <v>70</v>
      </c>
      <c r="K2124" s="1" t="s">
        <v>71</v>
      </c>
      <c r="L2124" s="1" t="s">
        <v>113</v>
      </c>
      <c r="M2124" s="1" t="s">
        <v>38</v>
      </c>
      <c r="N2124" s="1" t="n">
        <v>16999</v>
      </c>
      <c r="O2124" s="1" t="n">
        <v>10</v>
      </c>
      <c r="P2124" s="1" t="n">
        <v>1699.9</v>
      </c>
      <c r="Q2124" s="1" t="n">
        <v>15299.1</v>
      </c>
      <c r="R2124" s="1" t="n">
        <v>2753.84</v>
      </c>
      <c r="S2124" s="1" t="n">
        <v>12545.26</v>
      </c>
      <c r="T2124" s="1" t="n">
        <v>4649.22</v>
      </c>
      <c r="U2124" s="1" t="n">
        <v>7896.04</v>
      </c>
      <c r="V2124" s="1" t="n">
        <v>62.94</v>
      </c>
      <c r="W2124" s="1" t="s">
        <v>40</v>
      </c>
      <c r="Y2124" s="1" t="s">
        <v>40</v>
      </c>
      <c r="Z2124" s="1" t="n">
        <v>0</v>
      </c>
    </row>
    <row r="2125" customFormat="false" ht="15" hidden="false" customHeight="true" outlineLevel="0" collapsed="false">
      <c r="A2125" s="1" t="s">
        <v>2989</v>
      </c>
      <c r="B2125" s="1" t="s">
        <v>866</v>
      </c>
      <c r="C2125" s="1" t="s">
        <v>249</v>
      </c>
      <c r="D2125" s="1" t="s">
        <v>168</v>
      </c>
      <c r="E2125" s="1" t="s">
        <v>197</v>
      </c>
      <c r="F2125" s="1" t="s">
        <v>604</v>
      </c>
      <c r="G2125" s="1" t="s">
        <v>56</v>
      </c>
      <c r="H2125" s="1" t="s">
        <v>57</v>
      </c>
      <c r="I2125" s="1" t="s">
        <v>58</v>
      </c>
      <c r="J2125" s="1" t="s">
        <v>70</v>
      </c>
      <c r="K2125" s="1" t="s">
        <v>71</v>
      </c>
      <c r="L2125" s="1" t="s">
        <v>85</v>
      </c>
      <c r="M2125" s="1" t="s">
        <v>50</v>
      </c>
      <c r="N2125" s="1" t="n">
        <v>8499</v>
      </c>
      <c r="O2125" s="1" t="n">
        <v>50</v>
      </c>
      <c r="P2125" s="1" t="n">
        <v>4249.5</v>
      </c>
      <c r="Q2125" s="1" t="n">
        <v>4249.5</v>
      </c>
      <c r="R2125" s="1" t="n">
        <v>764.91</v>
      </c>
      <c r="S2125" s="1" t="n">
        <v>3484.59</v>
      </c>
      <c r="T2125" s="1" t="n">
        <v>1888.69</v>
      </c>
      <c r="U2125" s="1" t="n">
        <v>1595.9</v>
      </c>
      <c r="V2125" s="1" t="n">
        <v>45.8</v>
      </c>
      <c r="W2125" s="1" t="s">
        <v>39</v>
      </c>
      <c r="X2125" s="1" t="n">
        <v>3.7</v>
      </c>
      <c r="Y2125" s="1" t="s">
        <v>40</v>
      </c>
      <c r="Z2125" s="1" t="n">
        <v>0</v>
      </c>
    </row>
    <row r="2126" customFormat="false" ht="15" hidden="false" customHeight="true" outlineLevel="0" collapsed="false">
      <c r="A2126" s="1" t="s">
        <v>2990</v>
      </c>
      <c r="B2126" s="1" t="s">
        <v>1621</v>
      </c>
      <c r="C2126" s="1" t="s">
        <v>264</v>
      </c>
      <c r="D2126" s="1" t="s">
        <v>44</v>
      </c>
      <c r="E2126" s="1" t="s">
        <v>221</v>
      </c>
      <c r="F2126" s="1" t="s">
        <v>140</v>
      </c>
      <c r="G2126" s="1" t="s">
        <v>97</v>
      </c>
      <c r="H2126" s="1" t="s">
        <v>57</v>
      </c>
      <c r="I2126" s="1" t="s">
        <v>83</v>
      </c>
      <c r="J2126" s="1" t="s">
        <v>35</v>
      </c>
      <c r="K2126" s="1" t="s">
        <v>48</v>
      </c>
      <c r="L2126" s="1" t="s">
        <v>136</v>
      </c>
      <c r="M2126" s="1" t="s">
        <v>62</v>
      </c>
      <c r="N2126" s="1" t="n">
        <v>16999</v>
      </c>
      <c r="O2126" s="1" t="n">
        <v>0</v>
      </c>
      <c r="P2126" s="1" t="n">
        <v>0</v>
      </c>
      <c r="Q2126" s="1" t="n">
        <v>16999</v>
      </c>
      <c r="R2126" s="1" t="n">
        <v>3059.82</v>
      </c>
      <c r="S2126" s="1" t="n">
        <v>13939.18</v>
      </c>
      <c r="T2126" s="1" t="n">
        <v>7540.55</v>
      </c>
      <c r="U2126" s="1" t="n">
        <v>6398.63</v>
      </c>
      <c r="V2126" s="1" t="n">
        <v>45.9</v>
      </c>
      <c r="W2126" s="1" t="s">
        <v>40</v>
      </c>
      <c r="Y2126" s="1" t="s">
        <v>40</v>
      </c>
      <c r="Z2126" s="1" t="n">
        <v>1</v>
      </c>
    </row>
    <row r="2127" customFormat="false" ht="15" hidden="false" customHeight="true" outlineLevel="0" collapsed="false">
      <c r="A2127" s="1" t="s">
        <v>2991</v>
      </c>
      <c r="B2127" s="1" t="s">
        <v>2499</v>
      </c>
      <c r="C2127" s="1" t="s">
        <v>43</v>
      </c>
      <c r="D2127" s="1" t="s">
        <v>29</v>
      </c>
      <c r="E2127" s="1" t="s">
        <v>30</v>
      </c>
      <c r="F2127" s="1" t="s">
        <v>102</v>
      </c>
      <c r="G2127" s="1" t="s">
        <v>103</v>
      </c>
      <c r="H2127" s="1" t="s">
        <v>33</v>
      </c>
      <c r="I2127" s="1" t="s">
        <v>58</v>
      </c>
      <c r="J2127" s="1" t="s">
        <v>131</v>
      </c>
      <c r="K2127" s="1" t="s">
        <v>84</v>
      </c>
      <c r="L2127" s="1" t="s">
        <v>37</v>
      </c>
      <c r="M2127" s="1" t="s">
        <v>38</v>
      </c>
      <c r="N2127" s="1" t="n">
        <v>7999</v>
      </c>
      <c r="O2127" s="1" t="n">
        <v>5</v>
      </c>
      <c r="P2127" s="1" t="n">
        <v>399.95</v>
      </c>
      <c r="Q2127" s="1" t="n">
        <v>7599.05</v>
      </c>
      <c r="R2127" s="1" t="n">
        <v>1367.83</v>
      </c>
      <c r="S2127" s="1" t="n">
        <v>6231.22</v>
      </c>
      <c r="T2127" s="1" t="n">
        <v>2927.46</v>
      </c>
      <c r="U2127" s="1" t="n">
        <v>3303.76</v>
      </c>
      <c r="V2127" s="1" t="n">
        <v>53.02</v>
      </c>
      <c r="W2127" s="1" t="s">
        <v>39</v>
      </c>
      <c r="Y2127" s="1" t="s">
        <v>40</v>
      </c>
      <c r="Z2127" s="1" t="n">
        <v>1</v>
      </c>
    </row>
    <row r="2128" customFormat="false" ht="15" hidden="false" customHeight="true" outlineLevel="0" collapsed="false">
      <c r="A2128" s="1" t="s">
        <v>2992</v>
      </c>
      <c r="B2128" s="1" t="s">
        <v>232</v>
      </c>
      <c r="C2128" s="1" t="s">
        <v>128</v>
      </c>
      <c r="D2128" s="1" t="s">
        <v>143</v>
      </c>
      <c r="E2128" s="1" t="s">
        <v>243</v>
      </c>
      <c r="F2128" s="1" t="s">
        <v>125</v>
      </c>
      <c r="G2128" s="1" t="s">
        <v>108</v>
      </c>
      <c r="H2128" s="1" t="s">
        <v>69</v>
      </c>
      <c r="I2128" s="1" t="s">
        <v>58</v>
      </c>
      <c r="J2128" s="1" t="s">
        <v>35</v>
      </c>
      <c r="K2128" s="1" t="s">
        <v>90</v>
      </c>
      <c r="L2128" s="1" t="s">
        <v>136</v>
      </c>
      <c r="M2128" s="1" t="s">
        <v>50</v>
      </c>
      <c r="N2128" s="1" t="n">
        <v>22999</v>
      </c>
      <c r="O2128" s="1" t="n">
        <v>15</v>
      </c>
      <c r="P2128" s="1" t="n">
        <v>3449.85</v>
      </c>
      <c r="Q2128" s="1" t="n">
        <v>19549.15</v>
      </c>
      <c r="R2128" s="1" t="n">
        <v>3518.85</v>
      </c>
      <c r="S2128" s="1" t="n">
        <v>16030.3</v>
      </c>
      <c r="T2128" s="1" t="n">
        <v>5794.61</v>
      </c>
      <c r="U2128" s="1" t="n">
        <v>10235.69</v>
      </c>
      <c r="V2128" s="1" t="n">
        <v>63.85</v>
      </c>
      <c r="W2128" s="1" t="s">
        <v>39</v>
      </c>
      <c r="X2128" s="1" t="n">
        <v>5</v>
      </c>
      <c r="Y2128" s="1" t="s">
        <v>40</v>
      </c>
      <c r="Z2128" s="1" t="n">
        <v>0</v>
      </c>
    </row>
    <row r="2129" customFormat="false" ht="15" hidden="false" customHeight="true" outlineLevel="0" collapsed="false">
      <c r="A2129" s="1" t="s">
        <v>2993</v>
      </c>
      <c r="B2129" s="1" t="s">
        <v>158</v>
      </c>
      <c r="C2129" s="1" t="s">
        <v>74</v>
      </c>
      <c r="D2129" s="1" t="s">
        <v>53</v>
      </c>
      <c r="E2129" s="1" t="s">
        <v>216</v>
      </c>
      <c r="F2129" s="1" t="s">
        <v>211</v>
      </c>
      <c r="G2129" s="1" t="s">
        <v>56</v>
      </c>
      <c r="H2129" s="1" t="s">
        <v>69</v>
      </c>
      <c r="I2129" s="1" t="s">
        <v>34</v>
      </c>
      <c r="J2129" s="1" t="s">
        <v>59</v>
      </c>
      <c r="K2129" s="1" t="s">
        <v>112</v>
      </c>
      <c r="L2129" s="1" t="s">
        <v>37</v>
      </c>
      <c r="M2129" s="1" t="s">
        <v>50</v>
      </c>
      <c r="N2129" s="1" t="n">
        <v>7499</v>
      </c>
      <c r="O2129" s="1" t="n">
        <v>10</v>
      </c>
      <c r="P2129" s="1" t="n">
        <v>749.9</v>
      </c>
      <c r="Q2129" s="1" t="n">
        <v>6749.1</v>
      </c>
      <c r="R2129" s="1" t="n">
        <v>1214.84</v>
      </c>
      <c r="S2129" s="1" t="n">
        <v>5534.26</v>
      </c>
      <c r="T2129" s="1" t="n">
        <v>2327.06</v>
      </c>
      <c r="U2129" s="1" t="n">
        <v>3207.2</v>
      </c>
      <c r="V2129" s="1" t="n">
        <v>57.95</v>
      </c>
      <c r="W2129" s="1" t="s">
        <v>40</v>
      </c>
      <c r="Y2129" s="1" t="s">
        <v>40</v>
      </c>
      <c r="Z2129" s="1" t="n">
        <v>0</v>
      </c>
    </row>
    <row r="2130" customFormat="false" ht="15" hidden="false" customHeight="true" outlineLevel="0" collapsed="false">
      <c r="A2130" s="1" t="s">
        <v>2994</v>
      </c>
      <c r="B2130" s="1" t="s">
        <v>636</v>
      </c>
      <c r="C2130" s="1" t="s">
        <v>100</v>
      </c>
      <c r="D2130" s="1" t="s">
        <v>143</v>
      </c>
      <c r="E2130" s="1" t="s">
        <v>210</v>
      </c>
      <c r="F2130" s="1" t="s">
        <v>120</v>
      </c>
      <c r="G2130" s="1" t="s">
        <v>47</v>
      </c>
      <c r="H2130" s="1" t="s">
        <v>57</v>
      </c>
      <c r="I2130" s="1" t="s">
        <v>34</v>
      </c>
      <c r="J2130" s="1" t="s">
        <v>77</v>
      </c>
      <c r="K2130" s="1" t="s">
        <v>60</v>
      </c>
      <c r="L2130" s="1" t="s">
        <v>113</v>
      </c>
      <c r="M2130" s="1" t="s">
        <v>38</v>
      </c>
      <c r="N2130" s="1" t="n">
        <v>18999</v>
      </c>
      <c r="O2130" s="1" t="n">
        <v>5</v>
      </c>
      <c r="P2130" s="1" t="n">
        <v>949.95</v>
      </c>
      <c r="Q2130" s="1" t="n">
        <v>18049.05</v>
      </c>
      <c r="R2130" s="1" t="n">
        <v>3248.83</v>
      </c>
      <c r="S2130" s="1" t="n">
        <v>14800.22</v>
      </c>
      <c r="T2130" s="1" t="n">
        <v>5369.63</v>
      </c>
      <c r="U2130" s="1" t="n">
        <v>9430.59</v>
      </c>
      <c r="V2130" s="1" t="n">
        <v>63.72</v>
      </c>
      <c r="W2130" s="1" t="s">
        <v>39</v>
      </c>
      <c r="X2130" s="1" t="n">
        <v>2.9</v>
      </c>
      <c r="Y2130" s="1" t="s">
        <v>40</v>
      </c>
      <c r="Z2130" s="1" t="n">
        <v>0</v>
      </c>
    </row>
    <row r="2131" customFormat="false" ht="15" hidden="false" customHeight="true" outlineLevel="0" collapsed="false">
      <c r="A2131" s="1" t="s">
        <v>2995</v>
      </c>
      <c r="B2131" s="1" t="s">
        <v>385</v>
      </c>
      <c r="C2131" s="1" t="s">
        <v>780</v>
      </c>
      <c r="D2131" s="1" t="s">
        <v>80</v>
      </c>
      <c r="E2131" s="1" t="s">
        <v>190</v>
      </c>
      <c r="F2131" s="1" t="s">
        <v>125</v>
      </c>
      <c r="G2131" s="1" t="s">
        <v>108</v>
      </c>
      <c r="H2131" s="1" t="s">
        <v>69</v>
      </c>
      <c r="I2131" s="1" t="s">
        <v>34</v>
      </c>
      <c r="J2131" s="1" t="s">
        <v>131</v>
      </c>
      <c r="K2131" s="1" t="s">
        <v>90</v>
      </c>
      <c r="L2131" s="1" t="s">
        <v>136</v>
      </c>
      <c r="M2131" s="1" t="s">
        <v>50</v>
      </c>
      <c r="N2131" s="1" t="n">
        <v>15999</v>
      </c>
      <c r="O2131" s="1" t="n">
        <v>15</v>
      </c>
      <c r="P2131" s="1" t="n">
        <v>2399.85</v>
      </c>
      <c r="Q2131" s="1" t="n">
        <v>13599.15</v>
      </c>
      <c r="R2131" s="1" t="n">
        <v>2447.85</v>
      </c>
      <c r="S2131" s="1" t="n">
        <v>11151.3</v>
      </c>
      <c r="T2131" s="1" t="n">
        <v>4692.06</v>
      </c>
      <c r="U2131" s="1" t="n">
        <v>6459.24</v>
      </c>
      <c r="V2131" s="1" t="n">
        <v>57.92</v>
      </c>
      <c r="W2131" s="1" t="s">
        <v>39</v>
      </c>
      <c r="X2131" s="1" t="n">
        <v>3.8</v>
      </c>
      <c r="Y2131" s="1" t="s">
        <v>40</v>
      </c>
      <c r="Z2131" s="1" t="n">
        <v>0</v>
      </c>
    </row>
    <row r="2132" customFormat="false" ht="15" hidden="false" customHeight="true" outlineLevel="0" collapsed="false">
      <c r="A2132" s="1" t="s">
        <v>2996</v>
      </c>
      <c r="B2132" s="1" t="s">
        <v>870</v>
      </c>
      <c r="C2132" s="1" t="s">
        <v>88</v>
      </c>
      <c r="D2132" s="1" t="s">
        <v>29</v>
      </c>
      <c r="E2132" s="1" t="s">
        <v>305</v>
      </c>
      <c r="F2132" s="1" t="s">
        <v>82</v>
      </c>
      <c r="G2132" s="1" t="s">
        <v>56</v>
      </c>
      <c r="H2132" s="1" t="s">
        <v>69</v>
      </c>
      <c r="I2132" s="1" t="s">
        <v>58</v>
      </c>
      <c r="J2132" s="1" t="s">
        <v>35</v>
      </c>
      <c r="K2132" s="1" t="s">
        <v>90</v>
      </c>
      <c r="L2132" s="1" t="s">
        <v>61</v>
      </c>
      <c r="M2132" s="1" t="s">
        <v>62</v>
      </c>
      <c r="N2132" s="1" t="n">
        <v>24999</v>
      </c>
      <c r="O2132" s="1" t="n">
        <v>0</v>
      </c>
      <c r="P2132" s="1" t="n">
        <v>0</v>
      </c>
      <c r="Q2132" s="1" t="n">
        <v>24999</v>
      </c>
      <c r="R2132" s="1" t="n">
        <v>4499.82</v>
      </c>
      <c r="S2132" s="1" t="n">
        <v>20499.18</v>
      </c>
      <c r="T2132" s="1" t="n">
        <v>7776.83</v>
      </c>
      <c r="U2132" s="1" t="n">
        <v>12722.35</v>
      </c>
      <c r="V2132" s="1" t="n">
        <v>62.06</v>
      </c>
      <c r="W2132" s="1" t="s">
        <v>39</v>
      </c>
      <c r="X2132" s="1" t="n">
        <v>4.8</v>
      </c>
      <c r="Y2132" s="1" t="s">
        <v>40</v>
      </c>
      <c r="Z2132" s="1" t="n">
        <v>1</v>
      </c>
    </row>
    <row r="2133" customFormat="false" ht="15" hidden="false" customHeight="true" outlineLevel="0" collapsed="false">
      <c r="A2133" s="1" t="s">
        <v>2997</v>
      </c>
      <c r="B2133" s="1" t="s">
        <v>290</v>
      </c>
      <c r="C2133" s="1" t="s">
        <v>2610</v>
      </c>
      <c r="D2133" s="1" t="s">
        <v>29</v>
      </c>
      <c r="E2133" s="1" t="s">
        <v>182</v>
      </c>
      <c r="F2133" s="1" t="s">
        <v>125</v>
      </c>
      <c r="G2133" s="1" t="s">
        <v>108</v>
      </c>
      <c r="H2133" s="1" t="s">
        <v>69</v>
      </c>
      <c r="I2133" s="1" t="s">
        <v>58</v>
      </c>
      <c r="J2133" s="1" t="s">
        <v>59</v>
      </c>
      <c r="K2133" s="1" t="s">
        <v>84</v>
      </c>
      <c r="L2133" s="1" t="s">
        <v>37</v>
      </c>
      <c r="M2133" s="1" t="s">
        <v>38</v>
      </c>
      <c r="N2133" s="1" t="n">
        <v>34999</v>
      </c>
      <c r="O2133" s="1" t="n">
        <v>30</v>
      </c>
      <c r="P2133" s="1" t="n">
        <v>10499.7</v>
      </c>
      <c r="Q2133" s="1" t="n">
        <v>24499.3</v>
      </c>
      <c r="R2133" s="1" t="n">
        <v>4409.87</v>
      </c>
      <c r="S2133" s="1" t="n">
        <v>20089.43</v>
      </c>
      <c r="T2133" s="1" t="n">
        <v>9104.85</v>
      </c>
      <c r="U2133" s="1" t="n">
        <v>10984.58</v>
      </c>
      <c r="V2133" s="1" t="n">
        <v>54.68</v>
      </c>
      <c r="W2133" s="1" t="s">
        <v>39</v>
      </c>
      <c r="X2133" s="1" t="n">
        <v>3.6</v>
      </c>
      <c r="Y2133" s="1" t="s">
        <v>40</v>
      </c>
      <c r="Z2133" s="1" t="n">
        <v>0</v>
      </c>
    </row>
    <row r="2134" customFormat="false" ht="15" hidden="false" customHeight="true" outlineLevel="0" collapsed="false">
      <c r="A2134" s="1" t="s">
        <v>2998</v>
      </c>
      <c r="B2134" s="1" t="s">
        <v>452</v>
      </c>
      <c r="C2134" s="1" t="s">
        <v>139</v>
      </c>
      <c r="D2134" s="1" t="s">
        <v>123</v>
      </c>
      <c r="E2134" s="1" t="s">
        <v>147</v>
      </c>
      <c r="F2134" s="1" t="s">
        <v>205</v>
      </c>
      <c r="G2134" s="1" t="s">
        <v>56</v>
      </c>
      <c r="H2134" s="1" t="s">
        <v>69</v>
      </c>
      <c r="I2134" s="1" t="s">
        <v>58</v>
      </c>
      <c r="J2134" s="1" t="s">
        <v>131</v>
      </c>
      <c r="K2134" s="1" t="s">
        <v>60</v>
      </c>
      <c r="L2134" s="1" t="s">
        <v>136</v>
      </c>
      <c r="M2134" s="1" t="s">
        <v>38</v>
      </c>
      <c r="N2134" s="1" t="n">
        <v>6999</v>
      </c>
      <c r="O2134" s="1" t="n">
        <v>40</v>
      </c>
      <c r="P2134" s="1" t="n">
        <v>2799.6</v>
      </c>
      <c r="Q2134" s="1" t="n">
        <v>4199.4</v>
      </c>
      <c r="R2134" s="1" t="n">
        <v>755.89</v>
      </c>
      <c r="S2134" s="1" t="n">
        <v>3443.51</v>
      </c>
      <c r="T2134" s="1" t="n">
        <v>1996.98</v>
      </c>
      <c r="U2134" s="1" t="n">
        <v>1446.53</v>
      </c>
      <c r="V2134" s="1" t="n">
        <v>42.01</v>
      </c>
      <c r="W2134" s="1" t="s">
        <v>39</v>
      </c>
      <c r="X2134" s="1" t="n">
        <v>4.1</v>
      </c>
      <c r="Y2134" s="1" t="s">
        <v>40</v>
      </c>
      <c r="Z2134" s="1" t="n">
        <v>0</v>
      </c>
    </row>
    <row r="2135" customFormat="false" ht="15" hidden="false" customHeight="true" outlineLevel="0" collapsed="false">
      <c r="A2135" s="1" t="s">
        <v>2999</v>
      </c>
      <c r="B2135" s="1" t="s">
        <v>3000</v>
      </c>
      <c r="C2135" s="1" t="s">
        <v>249</v>
      </c>
      <c r="D2135" s="1" t="s">
        <v>168</v>
      </c>
      <c r="E2135" s="1" t="s">
        <v>169</v>
      </c>
      <c r="F2135" s="1" t="s">
        <v>184</v>
      </c>
      <c r="G2135" s="1" t="s">
        <v>56</v>
      </c>
      <c r="H2135" s="1" t="s">
        <v>57</v>
      </c>
      <c r="I2135" s="1" t="s">
        <v>83</v>
      </c>
      <c r="J2135" s="1" t="s">
        <v>131</v>
      </c>
      <c r="K2135" s="1" t="s">
        <v>112</v>
      </c>
      <c r="L2135" s="1" t="s">
        <v>61</v>
      </c>
      <c r="M2135" s="1" t="s">
        <v>62</v>
      </c>
      <c r="N2135" s="1" t="n">
        <v>4999</v>
      </c>
      <c r="O2135" s="1" t="n">
        <v>25</v>
      </c>
      <c r="P2135" s="1" t="n">
        <v>1249.75</v>
      </c>
      <c r="Q2135" s="1" t="n">
        <v>3749.25</v>
      </c>
      <c r="R2135" s="1" t="n">
        <v>674.87</v>
      </c>
      <c r="S2135" s="1" t="n">
        <v>3074.38</v>
      </c>
      <c r="T2135" s="1" t="n">
        <v>1308.06</v>
      </c>
      <c r="U2135" s="1" t="n">
        <v>1766.32</v>
      </c>
      <c r="V2135" s="1" t="n">
        <v>57.45</v>
      </c>
      <c r="W2135" s="1" t="s">
        <v>40</v>
      </c>
      <c r="Y2135" s="1" t="s">
        <v>40</v>
      </c>
      <c r="Z2135" s="1" t="n">
        <v>1</v>
      </c>
    </row>
    <row r="2136" customFormat="false" ht="15" hidden="false" customHeight="true" outlineLevel="0" collapsed="false">
      <c r="A2136" s="1" t="s">
        <v>3001</v>
      </c>
      <c r="B2136" s="1" t="s">
        <v>983</v>
      </c>
      <c r="C2136" s="1" t="s">
        <v>88</v>
      </c>
      <c r="D2136" s="1" t="s">
        <v>123</v>
      </c>
      <c r="E2136" s="1" t="s">
        <v>124</v>
      </c>
      <c r="F2136" s="1" t="s">
        <v>31</v>
      </c>
      <c r="G2136" s="1" t="s">
        <v>32</v>
      </c>
      <c r="H2136" s="1" t="s">
        <v>33</v>
      </c>
      <c r="I2136" s="1" t="s">
        <v>34</v>
      </c>
      <c r="J2136" s="1" t="s">
        <v>35</v>
      </c>
      <c r="K2136" s="1" t="s">
        <v>36</v>
      </c>
      <c r="L2136" s="1" t="s">
        <v>85</v>
      </c>
      <c r="M2136" s="1" t="s">
        <v>50</v>
      </c>
      <c r="N2136" s="1" t="n">
        <v>4999</v>
      </c>
      <c r="O2136" s="1" t="n">
        <v>10</v>
      </c>
      <c r="P2136" s="1" t="n">
        <v>499.9</v>
      </c>
      <c r="Q2136" s="1" t="n">
        <v>4499.1</v>
      </c>
      <c r="R2136" s="1" t="n">
        <v>809.84</v>
      </c>
      <c r="S2136" s="1" t="n">
        <v>3689.26</v>
      </c>
      <c r="T2136" s="1" t="n">
        <v>1462.92</v>
      </c>
      <c r="U2136" s="1" t="n">
        <v>2226.34</v>
      </c>
      <c r="V2136" s="1" t="n">
        <v>60.35</v>
      </c>
      <c r="W2136" s="1" t="s">
        <v>40</v>
      </c>
      <c r="Y2136" s="1" t="s">
        <v>40</v>
      </c>
      <c r="Z2136" s="1" t="n">
        <v>1</v>
      </c>
    </row>
    <row r="2137" customFormat="false" ht="15" hidden="false" customHeight="true" outlineLevel="0" collapsed="false">
      <c r="A2137" s="1" t="s">
        <v>3002</v>
      </c>
      <c r="B2137" s="1" t="s">
        <v>261</v>
      </c>
      <c r="C2137" s="1" t="s">
        <v>93</v>
      </c>
      <c r="D2137" s="1" t="s">
        <v>123</v>
      </c>
      <c r="E2137" s="1" t="s">
        <v>124</v>
      </c>
      <c r="F2137" s="1" t="s">
        <v>211</v>
      </c>
      <c r="G2137" s="1" t="s">
        <v>56</v>
      </c>
      <c r="H2137" s="1" t="s">
        <v>69</v>
      </c>
      <c r="I2137" s="1" t="s">
        <v>58</v>
      </c>
      <c r="J2137" s="1" t="s">
        <v>131</v>
      </c>
      <c r="K2137" s="1" t="s">
        <v>36</v>
      </c>
      <c r="L2137" s="1" t="s">
        <v>136</v>
      </c>
      <c r="M2137" s="1" t="s">
        <v>38</v>
      </c>
      <c r="N2137" s="1" t="n">
        <v>4999</v>
      </c>
      <c r="O2137" s="1" t="n">
        <v>0</v>
      </c>
      <c r="P2137" s="1" t="n">
        <v>0</v>
      </c>
      <c r="Q2137" s="1" t="n">
        <v>4999</v>
      </c>
      <c r="R2137" s="1" t="n">
        <v>899.82</v>
      </c>
      <c r="S2137" s="1" t="n">
        <v>4099.18</v>
      </c>
      <c r="T2137" s="1" t="n">
        <v>1796.94</v>
      </c>
      <c r="U2137" s="1" t="n">
        <v>2302.24</v>
      </c>
      <c r="V2137" s="1" t="n">
        <v>56.16</v>
      </c>
      <c r="W2137" s="1" t="s">
        <v>39</v>
      </c>
      <c r="X2137" s="1" t="n">
        <v>4</v>
      </c>
      <c r="Y2137" s="1" t="s">
        <v>40</v>
      </c>
      <c r="Z2137" s="1" t="n">
        <v>0</v>
      </c>
    </row>
    <row r="2138" customFormat="false" ht="15" hidden="false" customHeight="true" outlineLevel="0" collapsed="false">
      <c r="A2138" s="1" t="s">
        <v>3003</v>
      </c>
      <c r="B2138" s="1" t="s">
        <v>952</v>
      </c>
      <c r="C2138" s="1" t="s">
        <v>43</v>
      </c>
      <c r="D2138" s="1" t="s">
        <v>44</v>
      </c>
      <c r="E2138" s="1" t="s">
        <v>45</v>
      </c>
      <c r="F2138" s="1" t="s">
        <v>1389</v>
      </c>
      <c r="G2138" s="1" t="s">
        <v>32</v>
      </c>
      <c r="H2138" s="1" t="s">
        <v>57</v>
      </c>
      <c r="I2138" s="1" t="s">
        <v>58</v>
      </c>
      <c r="J2138" s="1" t="s">
        <v>35</v>
      </c>
      <c r="K2138" s="1" t="s">
        <v>90</v>
      </c>
      <c r="L2138" s="1" t="s">
        <v>113</v>
      </c>
      <c r="M2138" s="1" t="s">
        <v>50</v>
      </c>
      <c r="N2138" s="1" t="n">
        <v>11999</v>
      </c>
      <c r="O2138" s="1" t="n">
        <v>20</v>
      </c>
      <c r="P2138" s="1" t="n">
        <v>2399.8</v>
      </c>
      <c r="Q2138" s="1" t="n">
        <v>9599.2</v>
      </c>
      <c r="R2138" s="1" t="n">
        <v>1727.86</v>
      </c>
      <c r="S2138" s="1" t="n">
        <v>7871.34</v>
      </c>
      <c r="T2138" s="1" t="n">
        <v>3441.75</v>
      </c>
      <c r="U2138" s="1" t="n">
        <v>4429.59</v>
      </c>
      <c r="V2138" s="1" t="n">
        <v>56.27</v>
      </c>
      <c r="W2138" s="1" t="s">
        <v>39</v>
      </c>
      <c r="X2138" s="1" t="n">
        <v>2.4</v>
      </c>
      <c r="Y2138" s="1" t="s">
        <v>40</v>
      </c>
      <c r="Z2138" s="1" t="n">
        <v>0</v>
      </c>
    </row>
    <row r="2139" customFormat="false" ht="15" hidden="false" customHeight="true" outlineLevel="0" collapsed="false">
      <c r="A2139" s="1" t="s">
        <v>3004</v>
      </c>
      <c r="B2139" s="1" t="s">
        <v>1215</v>
      </c>
      <c r="C2139" s="1" t="s">
        <v>134</v>
      </c>
      <c r="D2139" s="1" t="s">
        <v>94</v>
      </c>
      <c r="E2139" s="1" t="s">
        <v>95</v>
      </c>
      <c r="F2139" s="1" t="s">
        <v>140</v>
      </c>
      <c r="G2139" s="1" t="s">
        <v>97</v>
      </c>
      <c r="H2139" s="1" t="s">
        <v>57</v>
      </c>
      <c r="I2139" s="1" t="s">
        <v>34</v>
      </c>
      <c r="J2139" s="1" t="s">
        <v>77</v>
      </c>
      <c r="K2139" s="1" t="s">
        <v>90</v>
      </c>
      <c r="L2139" s="1" t="s">
        <v>49</v>
      </c>
      <c r="M2139" s="1" t="s">
        <v>38</v>
      </c>
      <c r="N2139" s="1" t="n">
        <v>6999</v>
      </c>
      <c r="O2139" s="1" t="n">
        <v>20</v>
      </c>
      <c r="P2139" s="1" t="n">
        <v>1399.8</v>
      </c>
      <c r="Q2139" s="1" t="n">
        <v>5599.2</v>
      </c>
      <c r="R2139" s="1" t="n">
        <v>1007.86</v>
      </c>
      <c r="S2139" s="1" t="n">
        <v>4591.34</v>
      </c>
      <c r="T2139" s="1" t="n">
        <v>2425.5</v>
      </c>
      <c r="U2139" s="1" t="n">
        <v>2165.84</v>
      </c>
      <c r="V2139" s="1" t="n">
        <v>47.17</v>
      </c>
      <c r="W2139" s="1" t="s">
        <v>39</v>
      </c>
      <c r="Y2139" s="1" t="s">
        <v>40</v>
      </c>
      <c r="Z2139" s="1" t="n">
        <v>0</v>
      </c>
    </row>
    <row r="2140" customFormat="false" ht="15" hidden="false" customHeight="true" outlineLevel="0" collapsed="false">
      <c r="A2140" s="1" t="s">
        <v>3005</v>
      </c>
      <c r="B2140" s="1" t="s">
        <v>719</v>
      </c>
      <c r="C2140" s="1" t="s">
        <v>167</v>
      </c>
      <c r="D2140" s="1" t="s">
        <v>168</v>
      </c>
      <c r="E2140" s="1" t="s">
        <v>172</v>
      </c>
      <c r="F2140" s="1" t="s">
        <v>120</v>
      </c>
      <c r="G2140" s="1" t="s">
        <v>47</v>
      </c>
      <c r="H2140" s="1" t="s">
        <v>57</v>
      </c>
      <c r="I2140" s="1" t="s">
        <v>34</v>
      </c>
      <c r="J2140" s="1" t="s">
        <v>70</v>
      </c>
      <c r="K2140" s="1" t="s">
        <v>60</v>
      </c>
      <c r="L2140" s="1" t="s">
        <v>37</v>
      </c>
      <c r="M2140" s="1" t="s">
        <v>38</v>
      </c>
      <c r="N2140" s="1" t="n">
        <v>6999</v>
      </c>
      <c r="O2140" s="1" t="n">
        <v>0</v>
      </c>
      <c r="P2140" s="1" t="n">
        <v>0</v>
      </c>
      <c r="Q2140" s="1" t="n">
        <v>6999</v>
      </c>
      <c r="R2140" s="1" t="n">
        <v>1259.82</v>
      </c>
      <c r="S2140" s="1" t="n">
        <v>5739.18</v>
      </c>
      <c r="T2140" s="1" t="n">
        <v>2250.25</v>
      </c>
      <c r="U2140" s="1" t="n">
        <v>3488.93</v>
      </c>
      <c r="V2140" s="1" t="n">
        <v>60.79</v>
      </c>
      <c r="W2140" s="1" t="s">
        <v>40</v>
      </c>
      <c r="Y2140" s="1" t="s">
        <v>39</v>
      </c>
      <c r="Z2140" s="1" t="n">
        <v>0</v>
      </c>
    </row>
    <row r="2141" customFormat="false" ht="15" hidden="false" customHeight="true" outlineLevel="0" collapsed="false">
      <c r="A2141" s="1" t="s">
        <v>3006</v>
      </c>
      <c r="B2141" s="1" t="s">
        <v>2987</v>
      </c>
      <c r="C2141" s="1" t="s">
        <v>119</v>
      </c>
      <c r="D2141" s="1" t="s">
        <v>168</v>
      </c>
      <c r="E2141" s="1" t="s">
        <v>172</v>
      </c>
      <c r="F2141" s="1" t="s">
        <v>120</v>
      </c>
      <c r="G2141" s="1" t="s">
        <v>47</v>
      </c>
      <c r="H2141" s="1" t="s">
        <v>57</v>
      </c>
      <c r="I2141" s="1" t="s">
        <v>83</v>
      </c>
      <c r="J2141" s="1" t="s">
        <v>35</v>
      </c>
      <c r="K2141" s="1" t="s">
        <v>104</v>
      </c>
      <c r="L2141" s="1" t="s">
        <v>85</v>
      </c>
      <c r="M2141" s="1" t="s">
        <v>38</v>
      </c>
      <c r="N2141" s="1" t="n">
        <v>6999</v>
      </c>
      <c r="O2141" s="1" t="n">
        <v>20</v>
      </c>
      <c r="P2141" s="1" t="n">
        <v>1399.8</v>
      </c>
      <c r="Q2141" s="1" t="n">
        <v>5599.2</v>
      </c>
      <c r="R2141" s="1" t="n">
        <v>1007.86</v>
      </c>
      <c r="S2141" s="1" t="n">
        <v>4591.34</v>
      </c>
      <c r="T2141" s="1" t="n">
        <v>2061.2</v>
      </c>
      <c r="U2141" s="1" t="n">
        <v>2530.14</v>
      </c>
      <c r="V2141" s="1" t="n">
        <v>55.11</v>
      </c>
      <c r="W2141" s="1" t="s">
        <v>40</v>
      </c>
      <c r="Y2141" s="1" t="s">
        <v>40</v>
      </c>
      <c r="Z2141" s="1" t="n">
        <v>0</v>
      </c>
    </row>
    <row r="2142" customFormat="false" ht="15" hidden="false" customHeight="true" outlineLevel="0" collapsed="false">
      <c r="A2142" s="1" t="s">
        <v>3007</v>
      </c>
      <c r="B2142" s="1" t="s">
        <v>774</v>
      </c>
      <c r="C2142" s="1" t="s">
        <v>264</v>
      </c>
      <c r="D2142" s="1" t="s">
        <v>53</v>
      </c>
      <c r="E2142" s="1" t="s">
        <v>216</v>
      </c>
      <c r="F2142" s="1" t="s">
        <v>184</v>
      </c>
      <c r="G2142" s="1" t="s">
        <v>56</v>
      </c>
      <c r="H2142" s="1" t="s">
        <v>57</v>
      </c>
      <c r="I2142" s="1" t="s">
        <v>34</v>
      </c>
      <c r="J2142" s="1" t="s">
        <v>35</v>
      </c>
      <c r="K2142" s="1" t="s">
        <v>48</v>
      </c>
      <c r="L2142" s="1" t="s">
        <v>85</v>
      </c>
      <c r="M2142" s="1" t="s">
        <v>50</v>
      </c>
      <c r="N2142" s="1" t="n">
        <v>7499</v>
      </c>
      <c r="O2142" s="1" t="n">
        <v>5</v>
      </c>
      <c r="P2142" s="1" t="n">
        <v>374.95</v>
      </c>
      <c r="Q2142" s="1" t="n">
        <v>7124.05</v>
      </c>
      <c r="R2142" s="1" t="n">
        <v>1282.33</v>
      </c>
      <c r="S2142" s="1" t="n">
        <v>5841.72</v>
      </c>
      <c r="T2142" s="1" t="n">
        <v>2777.6</v>
      </c>
      <c r="U2142" s="1" t="n">
        <v>3064.12</v>
      </c>
      <c r="V2142" s="1" t="n">
        <v>52.45</v>
      </c>
      <c r="W2142" s="1" t="s">
        <v>40</v>
      </c>
      <c r="Y2142" s="1" t="s">
        <v>40</v>
      </c>
      <c r="Z2142" s="1" t="n">
        <v>0</v>
      </c>
    </row>
    <row r="2143" customFormat="false" ht="15" hidden="false" customHeight="true" outlineLevel="0" collapsed="false">
      <c r="A2143" s="1" t="s">
        <v>3008</v>
      </c>
      <c r="B2143" s="1" t="s">
        <v>1066</v>
      </c>
      <c r="C2143" s="1" t="s">
        <v>74</v>
      </c>
      <c r="D2143" s="1" t="s">
        <v>44</v>
      </c>
      <c r="E2143" s="1" t="s">
        <v>221</v>
      </c>
      <c r="F2143" s="1" t="s">
        <v>120</v>
      </c>
      <c r="G2143" s="1" t="s">
        <v>47</v>
      </c>
      <c r="H2143" s="1" t="s">
        <v>57</v>
      </c>
      <c r="I2143" s="1" t="s">
        <v>83</v>
      </c>
      <c r="J2143" s="1" t="s">
        <v>70</v>
      </c>
      <c r="K2143" s="1" t="s">
        <v>84</v>
      </c>
      <c r="L2143" s="1" t="s">
        <v>113</v>
      </c>
      <c r="M2143" s="1" t="s">
        <v>38</v>
      </c>
      <c r="N2143" s="1" t="n">
        <v>16999</v>
      </c>
      <c r="O2143" s="1" t="n">
        <v>20</v>
      </c>
      <c r="P2143" s="1" t="n">
        <v>3399.8</v>
      </c>
      <c r="Q2143" s="1" t="n">
        <v>13599.2</v>
      </c>
      <c r="R2143" s="1" t="n">
        <v>2447.86</v>
      </c>
      <c r="S2143" s="1" t="n">
        <v>11151.34</v>
      </c>
      <c r="T2143" s="1" t="n">
        <v>4031.07</v>
      </c>
      <c r="U2143" s="1" t="n">
        <v>7120.27</v>
      </c>
      <c r="V2143" s="1" t="n">
        <v>63.85</v>
      </c>
      <c r="W2143" s="1" t="s">
        <v>39</v>
      </c>
      <c r="X2143" s="1" t="n">
        <v>3.8</v>
      </c>
      <c r="Y2143" s="1" t="s">
        <v>40</v>
      </c>
      <c r="Z2143" s="1" t="n">
        <v>0</v>
      </c>
    </row>
    <row r="2144" customFormat="false" ht="15" hidden="false" customHeight="true" outlineLevel="0" collapsed="false">
      <c r="A2144" s="1" t="s">
        <v>3009</v>
      </c>
      <c r="B2144" s="1" t="s">
        <v>889</v>
      </c>
      <c r="C2144" s="1" t="s">
        <v>167</v>
      </c>
      <c r="D2144" s="1" t="s">
        <v>29</v>
      </c>
      <c r="E2144" s="1" t="s">
        <v>182</v>
      </c>
      <c r="F2144" s="1" t="s">
        <v>187</v>
      </c>
      <c r="G2144" s="1" t="s">
        <v>97</v>
      </c>
      <c r="H2144" s="1" t="s">
        <v>69</v>
      </c>
      <c r="I2144" s="1" t="s">
        <v>83</v>
      </c>
      <c r="J2144" s="1" t="s">
        <v>77</v>
      </c>
      <c r="K2144" s="1" t="s">
        <v>84</v>
      </c>
      <c r="L2144" s="1" t="s">
        <v>61</v>
      </c>
      <c r="M2144" s="1" t="s">
        <v>50</v>
      </c>
      <c r="N2144" s="1" t="n">
        <v>34999</v>
      </c>
      <c r="O2144" s="1" t="n">
        <v>0</v>
      </c>
      <c r="P2144" s="1" t="n">
        <v>0</v>
      </c>
      <c r="Q2144" s="1" t="n">
        <v>34999</v>
      </c>
      <c r="R2144" s="1" t="n">
        <v>6299.82</v>
      </c>
      <c r="S2144" s="1" t="n">
        <v>28699.18</v>
      </c>
      <c r="T2144" s="1" t="n">
        <v>10746.97</v>
      </c>
      <c r="U2144" s="1" t="n">
        <v>17952.21</v>
      </c>
      <c r="V2144" s="1" t="n">
        <v>62.55</v>
      </c>
      <c r="W2144" s="1" t="s">
        <v>39</v>
      </c>
      <c r="X2144" s="1" t="n">
        <v>3.9</v>
      </c>
      <c r="Y2144" s="1" t="s">
        <v>40</v>
      </c>
      <c r="Z2144" s="1" t="n">
        <v>0</v>
      </c>
    </row>
    <row r="2145" customFormat="false" ht="15" hidden="false" customHeight="true" outlineLevel="0" collapsed="false">
      <c r="A2145" s="1" t="s">
        <v>3010</v>
      </c>
      <c r="B2145" s="1" t="s">
        <v>1054</v>
      </c>
      <c r="C2145" s="1" t="s">
        <v>28</v>
      </c>
      <c r="D2145" s="1" t="s">
        <v>53</v>
      </c>
      <c r="E2145" s="1" t="s">
        <v>216</v>
      </c>
      <c r="F2145" s="1" t="s">
        <v>31</v>
      </c>
      <c r="G2145" s="1" t="s">
        <v>32</v>
      </c>
      <c r="H2145" s="1" t="s">
        <v>33</v>
      </c>
      <c r="I2145" s="1" t="s">
        <v>83</v>
      </c>
      <c r="J2145" s="1" t="s">
        <v>77</v>
      </c>
      <c r="K2145" s="1" t="s">
        <v>36</v>
      </c>
      <c r="L2145" s="1" t="s">
        <v>85</v>
      </c>
      <c r="M2145" s="1" t="s">
        <v>38</v>
      </c>
      <c r="N2145" s="1" t="n">
        <v>7499</v>
      </c>
      <c r="O2145" s="1" t="n">
        <v>0</v>
      </c>
      <c r="P2145" s="1" t="n">
        <v>0</v>
      </c>
      <c r="Q2145" s="1" t="n">
        <v>7499</v>
      </c>
      <c r="R2145" s="1" t="n">
        <v>1349.82</v>
      </c>
      <c r="S2145" s="1" t="n">
        <v>6149.18</v>
      </c>
      <c r="T2145" s="1" t="n">
        <v>2334.39</v>
      </c>
      <c r="U2145" s="1" t="n">
        <v>3814.79</v>
      </c>
      <c r="V2145" s="1" t="n">
        <v>62.04</v>
      </c>
      <c r="W2145" s="1" t="s">
        <v>40</v>
      </c>
      <c r="Y2145" s="1" t="s">
        <v>40</v>
      </c>
      <c r="Z2145" s="1" t="n">
        <v>1</v>
      </c>
    </row>
    <row r="2146" customFormat="false" ht="15" hidden="false" customHeight="true" outlineLevel="0" collapsed="false">
      <c r="A2146" s="1" t="s">
        <v>3011</v>
      </c>
      <c r="B2146" s="1" t="s">
        <v>1253</v>
      </c>
      <c r="C2146" s="1" t="s">
        <v>65</v>
      </c>
      <c r="D2146" s="1" t="s">
        <v>123</v>
      </c>
      <c r="E2146" s="1" t="s">
        <v>233</v>
      </c>
      <c r="F2146" s="1" t="s">
        <v>75</v>
      </c>
      <c r="G2146" s="1" t="s">
        <v>76</v>
      </c>
      <c r="H2146" s="1" t="s">
        <v>69</v>
      </c>
      <c r="I2146" s="1" t="s">
        <v>58</v>
      </c>
      <c r="J2146" s="1" t="s">
        <v>131</v>
      </c>
      <c r="K2146" s="1" t="s">
        <v>90</v>
      </c>
      <c r="L2146" s="1" t="s">
        <v>61</v>
      </c>
      <c r="M2146" s="1" t="s">
        <v>38</v>
      </c>
      <c r="N2146" s="1" t="n">
        <v>8999</v>
      </c>
      <c r="O2146" s="1" t="n">
        <v>0</v>
      </c>
      <c r="P2146" s="1" t="n">
        <v>0</v>
      </c>
      <c r="Q2146" s="1" t="n">
        <v>8999</v>
      </c>
      <c r="R2146" s="1" t="n">
        <v>1619.82</v>
      </c>
      <c r="S2146" s="1" t="n">
        <v>7379.18</v>
      </c>
      <c r="T2146" s="1" t="n">
        <v>3192.06</v>
      </c>
      <c r="U2146" s="1" t="n">
        <v>4187.12</v>
      </c>
      <c r="V2146" s="1" t="n">
        <v>56.74</v>
      </c>
      <c r="W2146" s="1" t="s">
        <v>39</v>
      </c>
      <c r="Y2146" s="1" t="s">
        <v>40</v>
      </c>
      <c r="Z2146" s="1" t="n">
        <v>1</v>
      </c>
    </row>
    <row r="2147" customFormat="false" ht="15" hidden="false" customHeight="true" outlineLevel="0" collapsed="false">
      <c r="A2147" s="1" t="s">
        <v>3012</v>
      </c>
      <c r="B2147" s="1" t="s">
        <v>322</v>
      </c>
      <c r="C2147" s="1" t="s">
        <v>43</v>
      </c>
      <c r="D2147" s="1" t="s">
        <v>80</v>
      </c>
      <c r="E2147" s="1" t="s">
        <v>190</v>
      </c>
      <c r="F2147" s="1" t="s">
        <v>46</v>
      </c>
      <c r="G2147" s="1" t="s">
        <v>47</v>
      </c>
      <c r="H2147" s="1" t="s">
        <v>33</v>
      </c>
      <c r="I2147" s="1" t="s">
        <v>58</v>
      </c>
      <c r="J2147" s="1" t="s">
        <v>70</v>
      </c>
      <c r="K2147" s="1" t="s">
        <v>36</v>
      </c>
      <c r="L2147" s="1" t="s">
        <v>61</v>
      </c>
      <c r="M2147" s="1" t="s">
        <v>38</v>
      </c>
      <c r="N2147" s="1" t="n">
        <v>15999</v>
      </c>
      <c r="O2147" s="1" t="n">
        <v>10</v>
      </c>
      <c r="P2147" s="1" t="n">
        <v>1599.9</v>
      </c>
      <c r="Q2147" s="1" t="n">
        <v>14399.1</v>
      </c>
      <c r="R2147" s="1" t="n">
        <v>2591.84</v>
      </c>
      <c r="S2147" s="1" t="n">
        <v>11807.26</v>
      </c>
      <c r="T2147" s="1" t="n">
        <v>4313.81</v>
      </c>
      <c r="U2147" s="1" t="n">
        <v>7493.45</v>
      </c>
      <c r="V2147" s="1" t="n">
        <v>63.46</v>
      </c>
      <c r="W2147" s="1" t="s">
        <v>40</v>
      </c>
      <c r="Y2147" s="1" t="s">
        <v>40</v>
      </c>
      <c r="Z2147" s="1" t="n">
        <v>0</v>
      </c>
    </row>
    <row r="2148" customFormat="false" ht="15" hidden="false" customHeight="true" outlineLevel="0" collapsed="false">
      <c r="A2148" s="1" t="s">
        <v>3013</v>
      </c>
      <c r="B2148" s="1" t="s">
        <v>2382</v>
      </c>
      <c r="C2148" s="1" t="s">
        <v>167</v>
      </c>
      <c r="D2148" s="1" t="s">
        <v>143</v>
      </c>
      <c r="E2148" s="1" t="s">
        <v>162</v>
      </c>
      <c r="F2148" s="1" t="s">
        <v>140</v>
      </c>
      <c r="G2148" s="1" t="s">
        <v>97</v>
      </c>
      <c r="H2148" s="1" t="s">
        <v>57</v>
      </c>
      <c r="I2148" s="1" t="s">
        <v>58</v>
      </c>
      <c r="J2148" s="1" t="s">
        <v>77</v>
      </c>
      <c r="K2148" s="1" t="s">
        <v>112</v>
      </c>
      <c r="L2148" s="1" t="s">
        <v>113</v>
      </c>
      <c r="M2148" s="1" t="s">
        <v>50</v>
      </c>
      <c r="N2148" s="1" t="n">
        <v>14999</v>
      </c>
      <c r="O2148" s="1" t="n">
        <v>10</v>
      </c>
      <c r="P2148" s="1" t="n">
        <v>1499.9</v>
      </c>
      <c r="Q2148" s="1" t="n">
        <v>13499.1</v>
      </c>
      <c r="R2148" s="1" t="n">
        <v>2429.84</v>
      </c>
      <c r="S2148" s="1" t="n">
        <v>11069.26</v>
      </c>
      <c r="T2148" s="1" t="n">
        <v>4920.97</v>
      </c>
      <c r="U2148" s="1" t="n">
        <v>6148.29</v>
      </c>
      <c r="V2148" s="1" t="n">
        <v>55.54</v>
      </c>
      <c r="W2148" s="1" t="s">
        <v>40</v>
      </c>
      <c r="Y2148" s="1" t="s">
        <v>40</v>
      </c>
      <c r="Z2148" s="1" t="n">
        <v>0</v>
      </c>
    </row>
    <row r="2149" customFormat="false" ht="15" hidden="false" customHeight="true" outlineLevel="0" collapsed="false">
      <c r="A2149" s="1" t="s">
        <v>3014</v>
      </c>
      <c r="B2149" s="1" t="s">
        <v>52</v>
      </c>
      <c r="C2149" s="1" t="s">
        <v>74</v>
      </c>
      <c r="D2149" s="1" t="s">
        <v>29</v>
      </c>
      <c r="E2149" s="1" t="s">
        <v>305</v>
      </c>
      <c r="F2149" s="1" t="s">
        <v>46</v>
      </c>
      <c r="G2149" s="1" t="s">
        <v>47</v>
      </c>
      <c r="H2149" s="1" t="s">
        <v>33</v>
      </c>
      <c r="I2149" s="1" t="s">
        <v>58</v>
      </c>
      <c r="J2149" s="1" t="s">
        <v>35</v>
      </c>
      <c r="K2149" s="1" t="s">
        <v>60</v>
      </c>
      <c r="L2149" s="1" t="s">
        <v>37</v>
      </c>
      <c r="M2149" s="1" t="s">
        <v>62</v>
      </c>
      <c r="N2149" s="1" t="n">
        <v>24999</v>
      </c>
      <c r="O2149" s="1" t="n">
        <v>10</v>
      </c>
      <c r="P2149" s="1" t="n">
        <v>2499.9</v>
      </c>
      <c r="Q2149" s="1" t="n">
        <v>22499.1</v>
      </c>
      <c r="R2149" s="1" t="n">
        <v>4049.84</v>
      </c>
      <c r="S2149" s="1" t="n">
        <v>18449.26</v>
      </c>
      <c r="T2149" s="1" t="n">
        <v>7203.23</v>
      </c>
      <c r="U2149" s="1" t="n">
        <v>11246.03</v>
      </c>
      <c r="V2149" s="1" t="n">
        <v>60.96</v>
      </c>
      <c r="W2149" s="1" t="s">
        <v>40</v>
      </c>
      <c r="Y2149" s="1" t="s">
        <v>40</v>
      </c>
      <c r="Z2149" s="1" t="n">
        <v>1</v>
      </c>
    </row>
    <row r="2150" customFormat="false" ht="15" hidden="false" customHeight="true" outlineLevel="0" collapsed="false">
      <c r="A2150" s="1" t="s">
        <v>3015</v>
      </c>
      <c r="B2150" s="1" t="s">
        <v>653</v>
      </c>
      <c r="C2150" s="1" t="s">
        <v>43</v>
      </c>
      <c r="D2150" s="1" t="s">
        <v>143</v>
      </c>
      <c r="E2150" s="1" t="s">
        <v>210</v>
      </c>
      <c r="F2150" s="1" t="s">
        <v>269</v>
      </c>
      <c r="G2150" s="1" t="s">
        <v>108</v>
      </c>
      <c r="H2150" s="1" t="s">
        <v>57</v>
      </c>
      <c r="I2150" s="1" t="s">
        <v>83</v>
      </c>
      <c r="J2150" s="1" t="s">
        <v>70</v>
      </c>
      <c r="K2150" s="1" t="s">
        <v>112</v>
      </c>
      <c r="L2150" s="1" t="s">
        <v>61</v>
      </c>
      <c r="M2150" s="1" t="s">
        <v>50</v>
      </c>
      <c r="N2150" s="1" t="n">
        <v>18999</v>
      </c>
      <c r="O2150" s="1" t="n">
        <v>30</v>
      </c>
      <c r="P2150" s="1" t="n">
        <v>5699.7</v>
      </c>
      <c r="Q2150" s="1" t="n">
        <v>13299.3</v>
      </c>
      <c r="R2150" s="1" t="n">
        <v>2393.87</v>
      </c>
      <c r="S2150" s="1" t="n">
        <v>10905.43</v>
      </c>
      <c r="T2150" s="1" t="n">
        <v>5987.91</v>
      </c>
      <c r="U2150" s="1" t="n">
        <v>4917.52</v>
      </c>
      <c r="V2150" s="1" t="n">
        <v>45.09</v>
      </c>
      <c r="W2150" s="1" t="s">
        <v>40</v>
      </c>
      <c r="Y2150" s="1" t="s">
        <v>40</v>
      </c>
      <c r="Z2150" s="1" t="n">
        <v>2</v>
      </c>
    </row>
    <row r="2151" customFormat="false" ht="15" hidden="false" customHeight="true" outlineLevel="0" collapsed="false">
      <c r="A2151" s="1" t="s">
        <v>3016</v>
      </c>
      <c r="B2151" s="1" t="s">
        <v>918</v>
      </c>
      <c r="C2151" s="1" t="s">
        <v>249</v>
      </c>
      <c r="D2151" s="1" t="s">
        <v>168</v>
      </c>
      <c r="E2151" s="1" t="s">
        <v>197</v>
      </c>
      <c r="F2151" s="1" t="s">
        <v>82</v>
      </c>
      <c r="G2151" s="1" t="s">
        <v>56</v>
      </c>
      <c r="H2151" s="1" t="s">
        <v>69</v>
      </c>
      <c r="I2151" s="1" t="s">
        <v>83</v>
      </c>
      <c r="J2151" s="1" t="s">
        <v>35</v>
      </c>
      <c r="K2151" s="1" t="s">
        <v>90</v>
      </c>
      <c r="L2151" s="1" t="s">
        <v>37</v>
      </c>
      <c r="M2151" s="1" t="s">
        <v>38</v>
      </c>
      <c r="N2151" s="1" t="n">
        <v>8499</v>
      </c>
      <c r="O2151" s="1" t="n">
        <v>40</v>
      </c>
      <c r="P2151" s="1" t="n">
        <v>3399.6</v>
      </c>
      <c r="Q2151" s="1" t="n">
        <v>5099.4</v>
      </c>
      <c r="R2151" s="1" t="n">
        <v>917.89</v>
      </c>
      <c r="S2151" s="1" t="n">
        <v>4181.51</v>
      </c>
      <c r="T2151" s="1" t="n">
        <v>2403.83</v>
      </c>
      <c r="U2151" s="1" t="n">
        <v>1777.68</v>
      </c>
      <c r="V2151" s="1" t="n">
        <v>42.51</v>
      </c>
      <c r="W2151" s="1" t="s">
        <v>39</v>
      </c>
      <c r="X2151" s="1" t="n">
        <v>3.6</v>
      </c>
      <c r="Y2151" s="1" t="s">
        <v>40</v>
      </c>
      <c r="Z2151" s="1" t="n">
        <v>0</v>
      </c>
    </row>
    <row r="2152" customFormat="false" ht="15" hidden="false" customHeight="true" outlineLevel="0" collapsed="false">
      <c r="A2152" s="1" t="s">
        <v>3017</v>
      </c>
      <c r="B2152" s="1" t="s">
        <v>1242</v>
      </c>
      <c r="C2152" s="1" t="s">
        <v>88</v>
      </c>
      <c r="D2152" s="1" t="s">
        <v>53</v>
      </c>
      <c r="E2152" s="1" t="s">
        <v>216</v>
      </c>
      <c r="F2152" s="1" t="s">
        <v>82</v>
      </c>
      <c r="G2152" s="1" t="s">
        <v>56</v>
      </c>
      <c r="H2152" s="1" t="s">
        <v>69</v>
      </c>
      <c r="I2152" s="1" t="s">
        <v>34</v>
      </c>
      <c r="J2152" s="1" t="s">
        <v>70</v>
      </c>
      <c r="K2152" s="1" t="s">
        <v>71</v>
      </c>
      <c r="L2152" s="1" t="s">
        <v>61</v>
      </c>
      <c r="M2152" s="1" t="s">
        <v>62</v>
      </c>
      <c r="N2152" s="1" t="n">
        <v>7499</v>
      </c>
      <c r="O2152" s="1" t="n">
        <v>5</v>
      </c>
      <c r="P2152" s="1" t="n">
        <v>374.95</v>
      </c>
      <c r="Q2152" s="1" t="n">
        <v>7124.05</v>
      </c>
      <c r="R2152" s="1" t="n">
        <v>1282.33</v>
      </c>
      <c r="S2152" s="1" t="n">
        <v>5841.72</v>
      </c>
      <c r="T2152" s="1" t="n">
        <v>2168.86</v>
      </c>
      <c r="U2152" s="1" t="n">
        <v>3672.86</v>
      </c>
      <c r="V2152" s="1" t="n">
        <v>62.87</v>
      </c>
      <c r="W2152" s="1" t="s">
        <v>39</v>
      </c>
      <c r="X2152" s="1" t="n">
        <v>3.5</v>
      </c>
      <c r="Y2152" s="1" t="s">
        <v>40</v>
      </c>
      <c r="Z2152" s="1" t="n">
        <v>1</v>
      </c>
    </row>
    <row r="2153" customFormat="false" ht="15" hidden="false" customHeight="true" outlineLevel="0" collapsed="false">
      <c r="A2153" s="1" t="s">
        <v>3018</v>
      </c>
      <c r="B2153" s="1" t="s">
        <v>1145</v>
      </c>
      <c r="C2153" s="1" t="s">
        <v>249</v>
      </c>
      <c r="D2153" s="1" t="s">
        <v>53</v>
      </c>
      <c r="E2153" s="1" t="s">
        <v>116</v>
      </c>
      <c r="F2153" s="1" t="s">
        <v>67</v>
      </c>
      <c r="G2153" s="1" t="s">
        <v>68</v>
      </c>
      <c r="H2153" s="1" t="s">
        <v>69</v>
      </c>
      <c r="I2153" s="1" t="s">
        <v>58</v>
      </c>
      <c r="J2153" s="1" t="s">
        <v>35</v>
      </c>
      <c r="K2153" s="1" t="s">
        <v>112</v>
      </c>
      <c r="L2153" s="1" t="s">
        <v>136</v>
      </c>
      <c r="M2153" s="1" t="s">
        <v>50</v>
      </c>
      <c r="N2153" s="1" t="n">
        <v>9999</v>
      </c>
      <c r="O2153" s="1" t="n">
        <v>50</v>
      </c>
      <c r="P2153" s="1" t="n">
        <v>4999.5</v>
      </c>
      <c r="Q2153" s="1" t="n">
        <v>4999.5</v>
      </c>
      <c r="R2153" s="1" t="n">
        <v>899.91</v>
      </c>
      <c r="S2153" s="1" t="n">
        <v>4099.59</v>
      </c>
      <c r="T2153" s="1" t="n">
        <v>1810.47</v>
      </c>
      <c r="U2153" s="1" t="n">
        <v>2289.12</v>
      </c>
      <c r="V2153" s="1" t="n">
        <v>55.84</v>
      </c>
      <c r="W2153" s="1" t="s">
        <v>40</v>
      </c>
      <c r="Y2153" s="1" t="s">
        <v>40</v>
      </c>
      <c r="Z2153" s="1" t="n">
        <v>0</v>
      </c>
    </row>
    <row r="2154" customFormat="false" ht="15" hidden="false" customHeight="true" outlineLevel="0" collapsed="false">
      <c r="A2154" s="1" t="s">
        <v>3019</v>
      </c>
      <c r="B2154" s="1" t="s">
        <v>311</v>
      </c>
      <c r="C2154" s="1" t="s">
        <v>74</v>
      </c>
      <c r="D2154" s="1" t="s">
        <v>94</v>
      </c>
      <c r="E2154" s="1" t="s">
        <v>101</v>
      </c>
      <c r="F2154" s="1" t="s">
        <v>46</v>
      </c>
      <c r="G2154" s="1" t="s">
        <v>47</v>
      </c>
      <c r="H2154" s="1" t="s">
        <v>33</v>
      </c>
      <c r="I2154" s="1" t="s">
        <v>34</v>
      </c>
      <c r="J2154" s="1" t="s">
        <v>131</v>
      </c>
      <c r="K2154" s="1" t="s">
        <v>48</v>
      </c>
      <c r="L2154" s="1" t="s">
        <v>49</v>
      </c>
      <c r="M2154" s="1" t="s">
        <v>38</v>
      </c>
      <c r="N2154" s="1" t="n">
        <v>14999</v>
      </c>
      <c r="O2154" s="1" t="n">
        <v>15</v>
      </c>
      <c r="P2154" s="1" t="n">
        <v>2249.85</v>
      </c>
      <c r="Q2154" s="1" t="n">
        <v>12749.15</v>
      </c>
      <c r="R2154" s="1" t="n">
        <v>2294.85</v>
      </c>
      <c r="S2154" s="1" t="n">
        <v>10454.3</v>
      </c>
      <c r="T2154" s="1" t="n">
        <v>4839.07</v>
      </c>
      <c r="U2154" s="1" t="n">
        <v>5615.23</v>
      </c>
      <c r="V2154" s="1" t="n">
        <v>53.71</v>
      </c>
      <c r="W2154" s="1" t="s">
        <v>40</v>
      </c>
      <c r="Y2154" s="1" t="s">
        <v>40</v>
      </c>
      <c r="Z2154" s="1" t="n">
        <v>0</v>
      </c>
    </row>
    <row r="2155" customFormat="false" ht="15" hidden="false" customHeight="true" outlineLevel="0" collapsed="false">
      <c r="A2155" s="1" t="s">
        <v>3020</v>
      </c>
      <c r="B2155" s="1" t="s">
        <v>133</v>
      </c>
      <c r="C2155" s="1" t="s">
        <v>128</v>
      </c>
      <c r="D2155" s="1" t="s">
        <v>44</v>
      </c>
      <c r="E2155" s="1" t="s">
        <v>45</v>
      </c>
      <c r="F2155" s="1" t="s">
        <v>107</v>
      </c>
      <c r="G2155" s="1" t="s">
        <v>108</v>
      </c>
      <c r="H2155" s="1" t="s">
        <v>33</v>
      </c>
      <c r="I2155" s="1" t="s">
        <v>83</v>
      </c>
      <c r="J2155" s="1" t="s">
        <v>131</v>
      </c>
      <c r="K2155" s="1" t="s">
        <v>104</v>
      </c>
      <c r="L2155" s="1" t="s">
        <v>49</v>
      </c>
      <c r="M2155" s="1" t="s">
        <v>62</v>
      </c>
      <c r="N2155" s="1" t="n">
        <v>11999</v>
      </c>
      <c r="O2155" s="1" t="n">
        <v>25</v>
      </c>
      <c r="P2155" s="1" t="n">
        <v>2999.75</v>
      </c>
      <c r="Q2155" s="1" t="n">
        <v>8999.25</v>
      </c>
      <c r="R2155" s="1" t="n">
        <v>1619.87</v>
      </c>
      <c r="S2155" s="1" t="n">
        <v>7379.38</v>
      </c>
      <c r="T2155" s="1" t="n">
        <v>4362.81</v>
      </c>
      <c r="U2155" s="1" t="n">
        <v>3016.57</v>
      </c>
      <c r="V2155" s="1" t="n">
        <v>40.88</v>
      </c>
      <c r="W2155" s="1" t="s">
        <v>39</v>
      </c>
      <c r="X2155" s="1" t="n">
        <v>3.5</v>
      </c>
      <c r="Y2155" s="1" t="s">
        <v>40</v>
      </c>
      <c r="Z2155" s="1" t="n">
        <v>0</v>
      </c>
    </row>
    <row r="2156" customFormat="false" ht="15" hidden="false" customHeight="true" outlineLevel="0" collapsed="false">
      <c r="A2156" s="1" t="s">
        <v>3021</v>
      </c>
      <c r="B2156" s="1" t="s">
        <v>557</v>
      </c>
      <c r="C2156" s="1" t="s">
        <v>139</v>
      </c>
      <c r="D2156" s="1" t="s">
        <v>80</v>
      </c>
      <c r="E2156" s="1" t="s">
        <v>190</v>
      </c>
      <c r="F2156" s="1" t="s">
        <v>187</v>
      </c>
      <c r="G2156" s="1" t="s">
        <v>97</v>
      </c>
      <c r="H2156" s="1" t="s">
        <v>69</v>
      </c>
      <c r="I2156" s="1" t="s">
        <v>58</v>
      </c>
      <c r="J2156" s="1" t="s">
        <v>131</v>
      </c>
      <c r="K2156" s="1" t="s">
        <v>36</v>
      </c>
      <c r="L2156" s="1" t="s">
        <v>136</v>
      </c>
      <c r="M2156" s="1" t="s">
        <v>50</v>
      </c>
      <c r="N2156" s="1" t="n">
        <v>15999</v>
      </c>
      <c r="O2156" s="1" t="n">
        <v>0</v>
      </c>
      <c r="P2156" s="1" t="n">
        <v>0</v>
      </c>
      <c r="Q2156" s="1" t="n">
        <v>15999</v>
      </c>
      <c r="R2156" s="1" t="n">
        <v>2879.82</v>
      </c>
      <c r="S2156" s="1" t="n">
        <v>13119.18</v>
      </c>
      <c r="T2156" s="1" t="n">
        <v>5205.97</v>
      </c>
      <c r="U2156" s="1" t="n">
        <v>7913.21</v>
      </c>
      <c r="V2156" s="1" t="n">
        <v>60.32</v>
      </c>
      <c r="W2156" s="1" t="s">
        <v>40</v>
      </c>
      <c r="Y2156" s="1" t="s">
        <v>40</v>
      </c>
      <c r="Z2156" s="1" t="n">
        <v>2</v>
      </c>
    </row>
    <row r="2157" customFormat="false" ht="15" hidden="false" customHeight="true" outlineLevel="0" collapsed="false">
      <c r="A2157" s="1" t="s">
        <v>3022</v>
      </c>
      <c r="B2157" s="1" t="s">
        <v>866</v>
      </c>
      <c r="C2157" s="1" t="s">
        <v>28</v>
      </c>
      <c r="D2157" s="1" t="s">
        <v>29</v>
      </c>
      <c r="E2157" s="1" t="s">
        <v>182</v>
      </c>
      <c r="F2157" s="1" t="s">
        <v>140</v>
      </c>
      <c r="G2157" s="1" t="s">
        <v>97</v>
      </c>
      <c r="H2157" s="1" t="s">
        <v>57</v>
      </c>
      <c r="I2157" s="1" t="s">
        <v>34</v>
      </c>
      <c r="J2157" s="1" t="s">
        <v>131</v>
      </c>
      <c r="K2157" s="1" t="s">
        <v>36</v>
      </c>
      <c r="L2157" s="1" t="s">
        <v>61</v>
      </c>
      <c r="M2157" s="1" t="s">
        <v>62</v>
      </c>
      <c r="N2157" s="1" t="n">
        <v>34999</v>
      </c>
      <c r="O2157" s="1" t="n">
        <v>20</v>
      </c>
      <c r="P2157" s="1" t="n">
        <v>6999.8</v>
      </c>
      <c r="Q2157" s="1" t="n">
        <v>27999.2</v>
      </c>
      <c r="R2157" s="1" t="n">
        <v>5039.86</v>
      </c>
      <c r="S2157" s="1" t="n">
        <v>22959.34</v>
      </c>
      <c r="T2157" s="1" t="n">
        <v>9755.05</v>
      </c>
      <c r="U2157" s="1" t="n">
        <v>13204.29</v>
      </c>
      <c r="V2157" s="1" t="n">
        <v>57.51</v>
      </c>
      <c r="W2157" s="1" t="s">
        <v>39</v>
      </c>
      <c r="X2157" s="1" t="n">
        <v>4</v>
      </c>
      <c r="Y2157" s="1" t="s">
        <v>40</v>
      </c>
      <c r="Z2157" s="1" t="n">
        <v>0</v>
      </c>
    </row>
    <row r="2158" customFormat="false" ht="15" hidden="false" customHeight="true" outlineLevel="0" collapsed="false">
      <c r="A2158" s="1" t="s">
        <v>3023</v>
      </c>
      <c r="B2158" s="1" t="s">
        <v>596</v>
      </c>
      <c r="C2158" s="1" t="s">
        <v>134</v>
      </c>
      <c r="D2158" s="1" t="s">
        <v>29</v>
      </c>
      <c r="E2158" s="1" t="s">
        <v>129</v>
      </c>
      <c r="F2158" s="1" t="s">
        <v>125</v>
      </c>
      <c r="G2158" s="1" t="s">
        <v>108</v>
      </c>
      <c r="H2158" s="1" t="s">
        <v>69</v>
      </c>
      <c r="I2158" s="1" t="s">
        <v>58</v>
      </c>
      <c r="J2158" s="1" t="s">
        <v>77</v>
      </c>
      <c r="K2158" s="1" t="s">
        <v>71</v>
      </c>
      <c r="L2158" s="1" t="s">
        <v>136</v>
      </c>
      <c r="M2158" s="1" t="s">
        <v>62</v>
      </c>
      <c r="N2158" s="1" t="n">
        <v>29999</v>
      </c>
      <c r="O2158" s="1" t="n">
        <v>20</v>
      </c>
      <c r="P2158" s="1" t="n">
        <v>5999.8</v>
      </c>
      <c r="Q2158" s="1" t="n">
        <v>23999.2</v>
      </c>
      <c r="R2158" s="1" t="n">
        <v>4319.86</v>
      </c>
      <c r="S2158" s="1" t="n">
        <v>19679.34</v>
      </c>
      <c r="T2158" s="1" t="n">
        <v>8427.71</v>
      </c>
      <c r="U2158" s="1" t="n">
        <v>11251.63</v>
      </c>
      <c r="V2158" s="1" t="n">
        <v>57.17</v>
      </c>
      <c r="W2158" s="1" t="s">
        <v>39</v>
      </c>
      <c r="X2158" s="1" t="n">
        <v>3</v>
      </c>
      <c r="Y2158" s="1" t="s">
        <v>40</v>
      </c>
      <c r="Z2158" s="1" t="n">
        <v>0</v>
      </c>
    </row>
    <row r="2159" customFormat="false" ht="15" hidden="false" customHeight="true" outlineLevel="0" collapsed="false">
      <c r="A2159" s="1" t="s">
        <v>3024</v>
      </c>
      <c r="B2159" s="1" t="s">
        <v>787</v>
      </c>
      <c r="C2159" s="1" t="s">
        <v>264</v>
      </c>
      <c r="D2159" s="1" t="s">
        <v>80</v>
      </c>
      <c r="E2159" s="1" t="s">
        <v>190</v>
      </c>
      <c r="F2159" s="1" t="s">
        <v>205</v>
      </c>
      <c r="G2159" s="1" t="s">
        <v>56</v>
      </c>
      <c r="H2159" s="1" t="s">
        <v>69</v>
      </c>
      <c r="I2159" s="1" t="s">
        <v>58</v>
      </c>
      <c r="J2159" s="1" t="s">
        <v>35</v>
      </c>
      <c r="K2159" s="1" t="s">
        <v>104</v>
      </c>
      <c r="L2159" s="1" t="s">
        <v>49</v>
      </c>
      <c r="M2159" s="1" t="s">
        <v>50</v>
      </c>
      <c r="N2159" s="1" t="n">
        <v>15999</v>
      </c>
      <c r="O2159" s="1" t="n">
        <v>15</v>
      </c>
      <c r="P2159" s="1" t="n">
        <v>2399.85</v>
      </c>
      <c r="Q2159" s="1" t="n">
        <v>13599.15</v>
      </c>
      <c r="R2159" s="1" t="n">
        <v>2447.85</v>
      </c>
      <c r="S2159" s="1" t="n">
        <v>11151.3</v>
      </c>
      <c r="T2159" s="1" t="n">
        <v>4085.57</v>
      </c>
      <c r="U2159" s="1" t="n">
        <v>7065.73</v>
      </c>
      <c r="V2159" s="1" t="n">
        <v>63.36</v>
      </c>
      <c r="W2159" s="1" t="s">
        <v>39</v>
      </c>
      <c r="X2159" s="1" t="n">
        <v>3.1</v>
      </c>
      <c r="Y2159" s="1" t="s">
        <v>40</v>
      </c>
      <c r="Z2159" s="1" t="n">
        <v>0</v>
      </c>
    </row>
    <row r="2160" customFormat="false" ht="15" hidden="false" customHeight="true" outlineLevel="0" collapsed="false">
      <c r="A2160" s="1" t="s">
        <v>3025</v>
      </c>
      <c r="B2160" s="1" t="s">
        <v>2027</v>
      </c>
      <c r="C2160" s="1" t="s">
        <v>249</v>
      </c>
      <c r="D2160" s="1" t="s">
        <v>123</v>
      </c>
      <c r="E2160" s="1" t="s">
        <v>233</v>
      </c>
      <c r="F2160" s="1" t="s">
        <v>153</v>
      </c>
      <c r="G2160" s="1" t="s">
        <v>76</v>
      </c>
      <c r="H2160" s="1" t="s">
        <v>33</v>
      </c>
      <c r="I2160" s="1" t="s">
        <v>34</v>
      </c>
      <c r="J2160" s="1" t="s">
        <v>35</v>
      </c>
      <c r="K2160" s="1" t="s">
        <v>71</v>
      </c>
      <c r="L2160" s="1" t="s">
        <v>113</v>
      </c>
      <c r="M2160" s="1" t="s">
        <v>62</v>
      </c>
      <c r="N2160" s="1" t="n">
        <v>8999</v>
      </c>
      <c r="O2160" s="1" t="n">
        <v>30</v>
      </c>
      <c r="P2160" s="1" t="n">
        <v>2699.7</v>
      </c>
      <c r="Q2160" s="1" t="n">
        <v>6299.3</v>
      </c>
      <c r="R2160" s="1" t="n">
        <v>1133.87</v>
      </c>
      <c r="S2160" s="1" t="n">
        <v>5165.43</v>
      </c>
      <c r="T2160" s="1" t="n">
        <v>2183.42</v>
      </c>
      <c r="U2160" s="1" t="n">
        <v>2982.01</v>
      </c>
      <c r="V2160" s="1" t="n">
        <v>57.73</v>
      </c>
      <c r="W2160" s="1" t="s">
        <v>39</v>
      </c>
      <c r="X2160" s="1" t="n">
        <v>3.3</v>
      </c>
      <c r="Y2160" s="1" t="s">
        <v>40</v>
      </c>
      <c r="Z2160" s="1" t="n">
        <v>1</v>
      </c>
    </row>
    <row r="2161" customFormat="false" ht="15" hidden="false" customHeight="true" outlineLevel="0" collapsed="false">
      <c r="A2161" s="1" t="s">
        <v>3026</v>
      </c>
      <c r="B2161" s="1" t="s">
        <v>2570</v>
      </c>
      <c r="C2161" s="1" t="s">
        <v>139</v>
      </c>
      <c r="D2161" s="1" t="s">
        <v>44</v>
      </c>
      <c r="E2161" s="1" t="s">
        <v>221</v>
      </c>
      <c r="F2161" s="1" t="s">
        <v>153</v>
      </c>
      <c r="G2161" s="1" t="s">
        <v>76</v>
      </c>
      <c r="H2161" s="1" t="s">
        <v>33</v>
      </c>
      <c r="I2161" s="1" t="s">
        <v>83</v>
      </c>
      <c r="J2161" s="1" t="s">
        <v>59</v>
      </c>
      <c r="K2161" s="1" t="s">
        <v>84</v>
      </c>
      <c r="L2161" s="1" t="s">
        <v>61</v>
      </c>
      <c r="M2161" s="1" t="s">
        <v>62</v>
      </c>
      <c r="N2161" s="1" t="n">
        <v>16999</v>
      </c>
      <c r="O2161" s="1" t="n">
        <v>0</v>
      </c>
      <c r="P2161" s="1" t="n">
        <v>0</v>
      </c>
      <c r="Q2161" s="1" t="n">
        <v>16999</v>
      </c>
      <c r="R2161" s="1" t="n">
        <v>3059.82</v>
      </c>
      <c r="S2161" s="1" t="n">
        <v>13939.18</v>
      </c>
      <c r="T2161" s="1" t="n">
        <v>6504.88</v>
      </c>
      <c r="U2161" s="1" t="n">
        <v>7434.3</v>
      </c>
      <c r="V2161" s="1" t="n">
        <v>53.33</v>
      </c>
      <c r="W2161" s="1" t="s">
        <v>39</v>
      </c>
      <c r="X2161" s="1" t="n">
        <v>4.3</v>
      </c>
      <c r="Y2161" s="1" t="s">
        <v>40</v>
      </c>
      <c r="Z2161" s="1" t="n">
        <v>0</v>
      </c>
    </row>
    <row r="2162" customFormat="false" ht="15" hidden="false" customHeight="true" outlineLevel="0" collapsed="false">
      <c r="A2162" s="1" t="s">
        <v>3027</v>
      </c>
      <c r="B2162" s="1" t="s">
        <v>1355</v>
      </c>
      <c r="C2162" s="1" t="s">
        <v>119</v>
      </c>
      <c r="D2162" s="1" t="s">
        <v>29</v>
      </c>
      <c r="E2162" s="1" t="s">
        <v>129</v>
      </c>
      <c r="F2162" s="1" t="s">
        <v>46</v>
      </c>
      <c r="G2162" s="1" t="s">
        <v>47</v>
      </c>
      <c r="H2162" s="1" t="s">
        <v>33</v>
      </c>
      <c r="I2162" s="1" t="s">
        <v>83</v>
      </c>
      <c r="J2162" s="1" t="s">
        <v>131</v>
      </c>
      <c r="K2162" s="1" t="s">
        <v>36</v>
      </c>
      <c r="L2162" s="1" t="s">
        <v>37</v>
      </c>
      <c r="M2162" s="1" t="s">
        <v>62</v>
      </c>
      <c r="N2162" s="1" t="n">
        <v>29999</v>
      </c>
      <c r="O2162" s="1" t="n">
        <v>30</v>
      </c>
      <c r="P2162" s="1" t="n">
        <v>8999.7</v>
      </c>
      <c r="Q2162" s="1" t="n">
        <v>20999.3</v>
      </c>
      <c r="R2162" s="1" t="n">
        <v>3779.87</v>
      </c>
      <c r="S2162" s="1" t="n">
        <v>17219.43</v>
      </c>
      <c r="T2162" s="1" t="n">
        <v>8835.12</v>
      </c>
      <c r="U2162" s="1" t="n">
        <v>8384.31</v>
      </c>
      <c r="V2162" s="1" t="n">
        <v>48.69</v>
      </c>
      <c r="W2162" s="1" t="s">
        <v>40</v>
      </c>
      <c r="Y2162" s="1" t="s">
        <v>40</v>
      </c>
      <c r="Z2162" s="1" t="n">
        <v>1</v>
      </c>
    </row>
    <row r="2163" customFormat="false" ht="15" hidden="false" customHeight="true" outlineLevel="0" collapsed="false">
      <c r="A2163" s="1" t="s">
        <v>3028</v>
      </c>
      <c r="B2163" s="1" t="s">
        <v>3029</v>
      </c>
      <c r="C2163" s="1" t="s">
        <v>93</v>
      </c>
      <c r="D2163" s="1" t="s">
        <v>94</v>
      </c>
      <c r="E2163" s="1" t="s">
        <v>135</v>
      </c>
      <c r="F2163" s="1" t="s">
        <v>269</v>
      </c>
      <c r="G2163" s="1" t="s">
        <v>108</v>
      </c>
      <c r="H2163" s="1" t="s">
        <v>57</v>
      </c>
      <c r="I2163" s="1" t="s">
        <v>58</v>
      </c>
      <c r="J2163" s="1" t="s">
        <v>131</v>
      </c>
      <c r="K2163" s="1" t="s">
        <v>48</v>
      </c>
      <c r="L2163" s="1" t="s">
        <v>85</v>
      </c>
      <c r="M2163" s="1" t="s">
        <v>50</v>
      </c>
      <c r="N2163" s="1" t="n">
        <v>9999</v>
      </c>
      <c r="O2163" s="1" t="n">
        <v>40</v>
      </c>
      <c r="P2163" s="1" t="n">
        <v>3999.6</v>
      </c>
      <c r="Q2163" s="1" t="n">
        <v>5999.4</v>
      </c>
      <c r="R2163" s="1" t="n">
        <v>1079.89</v>
      </c>
      <c r="S2163" s="1" t="n">
        <v>4919.51</v>
      </c>
      <c r="T2163" s="1" t="n">
        <v>2843.07</v>
      </c>
      <c r="U2163" s="1" t="n">
        <v>2076.44</v>
      </c>
      <c r="V2163" s="1" t="n">
        <v>42.21</v>
      </c>
      <c r="W2163" s="1" t="s">
        <v>39</v>
      </c>
      <c r="X2163" s="1" t="n">
        <v>2.9</v>
      </c>
      <c r="Y2163" s="1" t="s">
        <v>40</v>
      </c>
      <c r="Z2163" s="1" t="n">
        <v>0</v>
      </c>
    </row>
    <row r="2164" customFormat="false" ht="15" hidden="false" customHeight="true" outlineLevel="0" collapsed="false">
      <c r="A2164" s="1" t="s">
        <v>3030</v>
      </c>
      <c r="B2164" s="1" t="s">
        <v>127</v>
      </c>
      <c r="C2164" s="1" t="s">
        <v>128</v>
      </c>
      <c r="D2164" s="1" t="s">
        <v>53</v>
      </c>
      <c r="E2164" s="1" t="s">
        <v>216</v>
      </c>
      <c r="F2164" s="1" t="s">
        <v>184</v>
      </c>
      <c r="G2164" s="1" t="s">
        <v>56</v>
      </c>
      <c r="H2164" s="1" t="s">
        <v>57</v>
      </c>
      <c r="I2164" s="1" t="s">
        <v>34</v>
      </c>
      <c r="J2164" s="1" t="s">
        <v>35</v>
      </c>
      <c r="K2164" s="1" t="s">
        <v>112</v>
      </c>
      <c r="L2164" s="1" t="s">
        <v>37</v>
      </c>
      <c r="M2164" s="1" t="s">
        <v>38</v>
      </c>
      <c r="N2164" s="1" t="n">
        <v>7499</v>
      </c>
      <c r="O2164" s="1" t="n">
        <v>10</v>
      </c>
      <c r="P2164" s="1" t="n">
        <v>749.9</v>
      </c>
      <c r="Q2164" s="1" t="n">
        <v>6749.1</v>
      </c>
      <c r="R2164" s="1" t="n">
        <v>1214.84</v>
      </c>
      <c r="S2164" s="1" t="n">
        <v>5534.26</v>
      </c>
      <c r="T2164" s="1" t="n">
        <v>2366.79</v>
      </c>
      <c r="U2164" s="1" t="n">
        <v>3167.47</v>
      </c>
      <c r="V2164" s="1" t="n">
        <v>57.23</v>
      </c>
      <c r="W2164" s="1" t="s">
        <v>40</v>
      </c>
      <c r="Y2164" s="1" t="s">
        <v>39</v>
      </c>
      <c r="Z2164" s="1" t="n">
        <v>2</v>
      </c>
    </row>
    <row r="2165" customFormat="false" ht="15" hidden="false" customHeight="true" outlineLevel="0" collapsed="false">
      <c r="A2165" s="1" t="s">
        <v>3031</v>
      </c>
      <c r="B2165" s="1" t="s">
        <v>491</v>
      </c>
      <c r="C2165" s="1" t="s">
        <v>249</v>
      </c>
      <c r="D2165" s="1" t="s">
        <v>168</v>
      </c>
      <c r="E2165" s="1" t="s">
        <v>172</v>
      </c>
      <c r="F2165" s="1" t="s">
        <v>194</v>
      </c>
      <c r="G2165" s="1" t="s">
        <v>103</v>
      </c>
      <c r="H2165" s="1" t="s">
        <v>69</v>
      </c>
      <c r="I2165" s="1" t="s">
        <v>34</v>
      </c>
      <c r="J2165" s="1" t="s">
        <v>35</v>
      </c>
      <c r="K2165" s="1" t="s">
        <v>36</v>
      </c>
      <c r="L2165" s="1" t="s">
        <v>136</v>
      </c>
      <c r="M2165" s="1" t="s">
        <v>50</v>
      </c>
      <c r="N2165" s="1" t="n">
        <v>6999</v>
      </c>
      <c r="O2165" s="1" t="n">
        <v>10</v>
      </c>
      <c r="P2165" s="1" t="n">
        <v>699.9</v>
      </c>
      <c r="Q2165" s="1" t="n">
        <v>6299.1</v>
      </c>
      <c r="R2165" s="1" t="n">
        <v>1133.84</v>
      </c>
      <c r="S2165" s="1" t="n">
        <v>5165.26</v>
      </c>
      <c r="T2165" s="1" t="n">
        <v>2160.57</v>
      </c>
      <c r="U2165" s="1" t="n">
        <v>3004.69</v>
      </c>
      <c r="V2165" s="1" t="n">
        <v>58.17</v>
      </c>
      <c r="W2165" s="1" t="s">
        <v>39</v>
      </c>
      <c r="X2165" s="1" t="n">
        <v>4.2</v>
      </c>
      <c r="Y2165" s="1" t="s">
        <v>40</v>
      </c>
      <c r="Z2165" s="1" t="n">
        <v>0</v>
      </c>
    </row>
    <row r="2166" customFormat="false" ht="15" hidden="false" customHeight="true" outlineLevel="0" collapsed="false">
      <c r="A2166" s="1" t="s">
        <v>3032</v>
      </c>
      <c r="B2166" s="1" t="s">
        <v>1665</v>
      </c>
      <c r="C2166" s="1" t="s">
        <v>264</v>
      </c>
      <c r="D2166" s="1" t="s">
        <v>80</v>
      </c>
      <c r="E2166" s="1" t="s">
        <v>190</v>
      </c>
      <c r="F2166" s="1" t="s">
        <v>82</v>
      </c>
      <c r="G2166" s="1" t="s">
        <v>56</v>
      </c>
      <c r="H2166" s="1" t="s">
        <v>69</v>
      </c>
      <c r="I2166" s="1" t="s">
        <v>83</v>
      </c>
      <c r="J2166" s="1" t="s">
        <v>35</v>
      </c>
      <c r="K2166" s="1" t="s">
        <v>48</v>
      </c>
      <c r="L2166" s="1" t="s">
        <v>113</v>
      </c>
      <c r="M2166" s="1" t="s">
        <v>38</v>
      </c>
      <c r="N2166" s="1" t="n">
        <v>15999</v>
      </c>
      <c r="O2166" s="1" t="n">
        <v>5</v>
      </c>
      <c r="P2166" s="1" t="n">
        <v>799.95</v>
      </c>
      <c r="Q2166" s="1" t="n">
        <v>15199.05</v>
      </c>
      <c r="R2166" s="1" t="n">
        <v>2735.83</v>
      </c>
      <c r="S2166" s="1" t="n">
        <v>12463.22</v>
      </c>
      <c r="T2166" s="1" t="n">
        <v>5921.5</v>
      </c>
      <c r="U2166" s="1" t="n">
        <v>6541.72</v>
      </c>
      <c r="V2166" s="1" t="n">
        <v>52.49</v>
      </c>
      <c r="W2166" s="1" t="s">
        <v>40</v>
      </c>
      <c r="Y2166" s="1" t="s">
        <v>40</v>
      </c>
      <c r="Z2166" s="1" t="n">
        <v>0</v>
      </c>
    </row>
    <row r="2167" customFormat="false" ht="15" hidden="false" customHeight="true" outlineLevel="0" collapsed="false">
      <c r="A2167" s="1" t="s">
        <v>3033</v>
      </c>
      <c r="B2167" s="1" t="s">
        <v>1113</v>
      </c>
      <c r="C2167" s="1" t="s">
        <v>74</v>
      </c>
      <c r="D2167" s="1" t="s">
        <v>123</v>
      </c>
      <c r="E2167" s="1" t="s">
        <v>233</v>
      </c>
      <c r="F2167" s="1" t="s">
        <v>184</v>
      </c>
      <c r="G2167" s="1" t="s">
        <v>56</v>
      </c>
      <c r="H2167" s="1" t="s">
        <v>57</v>
      </c>
      <c r="I2167" s="1" t="s">
        <v>34</v>
      </c>
      <c r="J2167" s="1" t="s">
        <v>131</v>
      </c>
      <c r="K2167" s="1" t="s">
        <v>90</v>
      </c>
      <c r="L2167" s="1" t="s">
        <v>49</v>
      </c>
      <c r="M2167" s="1" t="s">
        <v>50</v>
      </c>
      <c r="N2167" s="1" t="n">
        <v>8999</v>
      </c>
      <c r="O2167" s="1" t="n">
        <v>0</v>
      </c>
      <c r="P2167" s="1" t="n">
        <v>0</v>
      </c>
      <c r="Q2167" s="1" t="n">
        <v>8999</v>
      </c>
      <c r="R2167" s="1" t="n">
        <v>1619.82</v>
      </c>
      <c r="S2167" s="1" t="n">
        <v>7379.18</v>
      </c>
      <c r="T2167" s="1" t="n">
        <v>2909.34</v>
      </c>
      <c r="U2167" s="1" t="n">
        <v>4469.84</v>
      </c>
      <c r="V2167" s="1" t="n">
        <v>60.57</v>
      </c>
      <c r="W2167" s="1" t="s">
        <v>39</v>
      </c>
      <c r="X2167" s="1" t="n">
        <v>3.1</v>
      </c>
      <c r="Y2167" s="1" t="s">
        <v>40</v>
      </c>
      <c r="Z2167" s="1" t="n">
        <v>1</v>
      </c>
    </row>
    <row r="2168" customFormat="false" ht="15" hidden="false" customHeight="true" outlineLevel="0" collapsed="false">
      <c r="A2168" s="1" t="s">
        <v>3034</v>
      </c>
      <c r="B2168" s="1" t="s">
        <v>1565</v>
      </c>
      <c r="C2168" s="1" t="s">
        <v>65</v>
      </c>
      <c r="D2168" s="1" t="s">
        <v>94</v>
      </c>
      <c r="E2168" s="1" t="s">
        <v>101</v>
      </c>
      <c r="F2168" s="1" t="s">
        <v>244</v>
      </c>
      <c r="G2168" s="1" t="s">
        <v>97</v>
      </c>
      <c r="H2168" s="1" t="s">
        <v>57</v>
      </c>
      <c r="I2168" s="1" t="s">
        <v>83</v>
      </c>
      <c r="J2168" s="1" t="s">
        <v>59</v>
      </c>
      <c r="K2168" s="1" t="s">
        <v>90</v>
      </c>
      <c r="L2168" s="1" t="s">
        <v>136</v>
      </c>
      <c r="M2168" s="1" t="s">
        <v>38</v>
      </c>
      <c r="N2168" s="1" t="n">
        <v>14999</v>
      </c>
      <c r="O2168" s="1" t="n">
        <v>50</v>
      </c>
      <c r="P2168" s="1" t="n">
        <v>7499.5</v>
      </c>
      <c r="Q2168" s="1" t="n">
        <v>7499.5</v>
      </c>
      <c r="R2168" s="1" t="n">
        <v>1349.91</v>
      </c>
      <c r="S2168" s="1" t="n">
        <v>6149.59</v>
      </c>
      <c r="T2168" s="1" t="n">
        <v>3881.39</v>
      </c>
      <c r="U2168" s="1" t="n">
        <v>2268.2</v>
      </c>
      <c r="V2168" s="1" t="n">
        <v>36.88</v>
      </c>
      <c r="W2168" s="1" t="s">
        <v>39</v>
      </c>
      <c r="X2168" s="1" t="n">
        <v>3.2</v>
      </c>
      <c r="Y2168" s="1" t="s">
        <v>40</v>
      </c>
      <c r="Z2168" s="1" t="n">
        <v>0</v>
      </c>
    </row>
    <row r="2169" customFormat="false" ht="15" hidden="false" customHeight="true" outlineLevel="0" collapsed="false">
      <c r="A2169" s="1" t="s">
        <v>3035</v>
      </c>
      <c r="B2169" s="1" t="s">
        <v>841</v>
      </c>
      <c r="C2169" s="1" t="s">
        <v>134</v>
      </c>
      <c r="D2169" s="1" t="s">
        <v>29</v>
      </c>
      <c r="E2169" s="1" t="s">
        <v>30</v>
      </c>
      <c r="F2169" s="1" t="s">
        <v>150</v>
      </c>
      <c r="G2169" s="1" t="s">
        <v>32</v>
      </c>
      <c r="H2169" s="1" t="s">
        <v>57</v>
      </c>
      <c r="I2169" s="1" t="s">
        <v>34</v>
      </c>
      <c r="J2169" s="1" t="s">
        <v>35</v>
      </c>
      <c r="K2169" s="1" t="s">
        <v>71</v>
      </c>
      <c r="L2169" s="1" t="s">
        <v>113</v>
      </c>
      <c r="M2169" s="1" t="s">
        <v>38</v>
      </c>
      <c r="N2169" s="1" t="n">
        <v>7999</v>
      </c>
      <c r="O2169" s="1" t="n">
        <v>10</v>
      </c>
      <c r="P2169" s="1" t="n">
        <v>799.9</v>
      </c>
      <c r="Q2169" s="1" t="n">
        <v>7199.1</v>
      </c>
      <c r="R2169" s="1" t="n">
        <v>1295.84</v>
      </c>
      <c r="S2169" s="1" t="n">
        <v>5903.26</v>
      </c>
      <c r="T2169" s="1" t="n">
        <v>2670.01</v>
      </c>
      <c r="U2169" s="1" t="n">
        <v>3233.25</v>
      </c>
      <c r="V2169" s="1" t="n">
        <v>54.77</v>
      </c>
      <c r="W2169" s="1" t="s">
        <v>39</v>
      </c>
      <c r="X2169" s="1" t="n">
        <v>4.6</v>
      </c>
      <c r="Y2169" s="1" t="s">
        <v>40</v>
      </c>
      <c r="Z2169" s="1" t="n">
        <v>0</v>
      </c>
    </row>
    <row r="2170" customFormat="false" ht="15" hidden="false" customHeight="true" outlineLevel="0" collapsed="false">
      <c r="A2170" s="1" t="s">
        <v>3036</v>
      </c>
      <c r="B2170" s="1" t="s">
        <v>218</v>
      </c>
      <c r="C2170" s="1" t="s">
        <v>167</v>
      </c>
      <c r="D2170" s="1" t="s">
        <v>80</v>
      </c>
      <c r="E2170" s="1" t="s">
        <v>193</v>
      </c>
      <c r="F2170" s="1" t="s">
        <v>120</v>
      </c>
      <c r="G2170" s="1" t="s">
        <v>47</v>
      </c>
      <c r="H2170" s="1" t="s">
        <v>57</v>
      </c>
      <c r="I2170" s="1" t="s">
        <v>83</v>
      </c>
      <c r="J2170" s="1" t="s">
        <v>131</v>
      </c>
      <c r="K2170" s="1" t="s">
        <v>36</v>
      </c>
      <c r="L2170" s="1" t="s">
        <v>136</v>
      </c>
      <c r="M2170" s="1" t="s">
        <v>50</v>
      </c>
      <c r="N2170" s="1" t="n">
        <v>8999</v>
      </c>
      <c r="O2170" s="1" t="n">
        <v>50</v>
      </c>
      <c r="P2170" s="1" t="n">
        <v>4499.5</v>
      </c>
      <c r="Q2170" s="1" t="n">
        <v>4499.5</v>
      </c>
      <c r="R2170" s="1" t="n">
        <v>809.91</v>
      </c>
      <c r="S2170" s="1" t="n">
        <v>3689.59</v>
      </c>
      <c r="T2170" s="1" t="n">
        <v>2095.64</v>
      </c>
      <c r="U2170" s="1" t="n">
        <v>1593.95</v>
      </c>
      <c r="V2170" s="1" t="n">
        <v>43.2</v>
      </c>
      <c r="W2170" s="1" t="s">
        <v>39</v>
      </c>
      <c r="X2170" s="1" t="n">
        <v>3.5</v>
      </c>
      <c r="Y2170" s="1" t="s">
        <v>40</v>
      </c>
      <c r="Z2170" s="1" t="n">
        <v>0</v>
      </c>
    </row>
    <row r="2171" customFormat="false" ht="15" hidden="false" customHeight="true" outlineLevel="0" collapsed="false">
      <c r="A2171" s="1" t="s">
        <v>3037</v>
      </c>
      <c r="B2171" s="1" t="s">
        <v>791</v>
      </c>
      <c r="C2171" s="1" t="s">
        <v>28</v>
      </c>
      <c r="D2171" s="1" t="s">
        <v>168</v>
      </c>
      <c r="E2171" s="1" t="s">
        <v>169</v>
      </c>
      <c r="F2171" s="1" t="s">
        <v>269</v>
      </c>
      <c r="G2171" s="1" t="s">
        <v>108</v>
      </c>
      <c r="H2171" s="1" t="s">
        <v>57</v>
      </c>
      <c r="I2171" s="1" t="s">
        <v>58</v>
      </c>
      <c r="J2171" s="1" t="s">
        <v>59</v>
      </c>
      <c r="K2171" s="1" t="s">
        <v>112</v>
      </c>
      <c r="L2171" s="1" t="s">
        <v>49</v>
      </c>
      <c r="M2171" s="1" t="s">
        <v>50</v>
      </c>
      <c r="N2171" s="1" t="n">
        <v>4999</v>
      </c>
      <c r="O2171" s="1" t="n">
        <v>10</v>
      </c>
      <c r="P2171" s="1" t="n">
        <v>499.9</v>
      </c>
      <c r="Q2171" s="1" t="n">
        <v>4499.1</v>
      </c>
      <c r="R2171" s="1" t="n">
        <v>809.84</v>
      </c>
      <c r="S2171" s="1" t="n">
        <v>3689.26</v>
      </c>
      <c r="T2171" s="1" t="n">
        <v>1465.33</v>
      </c>
      <c r="U2171" s="1" t="n">
        <v>2223.93</v>
      </c>
      <c r="V2171" s="1" t="n">
        <v>60.28</v>
      </c>
      <c r="W2171" s="1" t="s">
        <v>39</v>
      </c>
      <c r="X2171" s="1" t="n">
        <v>2.6</v>
      </c>
      <c r="Y2171" s="1" t="s">
        <v>40</v>
      </c>
      <c r="Z2171" s="1" t="n">
        <v>0</v>
      </c>
    </row>
    <row r="2172" customFormat="false" ht="15" hidden="false" customHeight="true" outlineLevel="0" collapsed="false">
      <c r="A2172" s="1" t="s">
        <v>3038</v>
      </c>
      <c r="B2172" s="1" t="s">
        <v>3039</v>
      </c>
      <c r="C2172" s="1" t="s">
        <v>65</v>
      </c>
      <c r="D2172" s="1" t="s">
        <v>94</v>
      </c>
      <c r="E2172" s="1" t="s">
        <v>135</v>
      </c>
      <c r="F2172" s="1" t="s">
        <v>46</v>
      </c>
      <c r="G2172" s="1" t="s">
        <v>47</v>
      </c>
      <c r="H2172" s="1" t="s">
        <v>33</v>
      </c>
      <c r="I2172" s="1" t="s">
        <v>34</v>
      </c>
      <c r="J2172" s="1" t="s">
        <v>35</v>
      </c>
      <c r="K2172" s="1" t="s">
        <v>104</v>
      </c>
      <c r="L2172" s="1" t="s">
        <v>136</v>
      </c>
      <c r="M2172" s="1" t="s">
        <v>62</v>
      </c>
      <c r="N2172" s="1" t="n">
        <v>9999</v>
      </c>
      <c r="O2172" s="1" t="n">
        <v>5</v>
      </c>
      <c r="P2172" s="1" t="n">
        <v>499.95</v>
      </c>
      <c r="Q2172" s="1" t="n">
        <v>9499.05</v>
      </c>
      <c r="R2172" s="1" t="n">
        <v>1709.83</v>
      </c>
      <c r="S2172" s="1" t="n">
        <v>7789.22</v>
      </c>
      <c r="T2172" s="1" t="n">
        <v>3983.33</v>
      </c>
      <c r="U2172" s="1" t="n">
        <v>3805.89</v>
      </c>
      <c r="V2172" s="1" t="n">
        <v>48.86</v>
      </c>
      <c r="W2172" s="1" t="s">
        <v>39</v>
      </c>
      <c r="X2172" s="1" t="n">
        <v>3.1</v>
      </c>
      <c r="Y2172" s="1" t="s">
        <v>40</v>
      </c>
      <c r="Z2172" s="1" t="n">
        <v>0</v>
      </c>
    </row>
    <row r="2173" customFormat="false" ht="15" hidden="false" customHeight="true" outlineLevel="0" collapsed="false">
      <c r="A2173" s="1" t="s">
        <v>3040</v>
      </c>
      <c r="B2173" s="1" t="s">
        <v>225</v>
      </c>
      <c r="C2173" s="1" t="s">
        <v>178</v>
      </c>
      <c r="D2173" s="1" t="s">
        <v>80</v>
      </c>
      <c r="E2173" s="1" t="s">
        <v>81</v>
      </c>
      <c r="F2173" s="1" t="s">
        <v>67</v>
      </c>
      <c r="G2173" s="1" t="s">
        <v>68</v>
      </c>
      <c r="H2173" s="1" t="s">
        <v>69</v>
      </c>
      <c r="I2173" s="1" t="s">
        <v>34</v>
      </c>
      <c r="J2173" s="1" t="s">
        <v>35</v>
      </c>
      <c r="K2173" s="1" t="s">
        <v>60</v>
      </c>
      <c r="L2173" s="1" t="s">
        <v>136</v>
      </c>
      <c r="M2173" s="1" t="s">
        <v>38</v>
      </c>
      <c r="N2173" s="1" t="n">
        <v>12999</v>
      </c>
      <c r="O2173" s="1" t="n">
        <v>10</v>
      </c>
      <c r="P2173" s="1" t="n">
        <v>1299.9</v>
      </c>
      <c r="Q2173" s="1" t="n">
        <v>11699.1</v>
      </c>
      <c r="R2173" s="1" t="n">
        <v>2105.84</v>
      </c>
      <c r="S2173" s="1" t="n">
        <v>9593.26</v>
      </c>
      <c r="T2173" s="1" t="n">
        <v>4071.67</v>
      </c>
      <c r="U2173" s="1" t="n">
        <v>5521.59</v>
      </c>
      <c r="V2173" s="1" t="n">
        <v>57.56</v>
      </c>
      <c r="W2173" s="1" t="s">
        <v>39</v>
      </c>
      <c r="X2173" s="1" t="n">
        <v>3.7</v>
      </c>
      <c r="Y2173" s="1" t="s">
        <v>39</v>
      </c>
      <c r="Z2173" s="1" t="n">
        <v>0</v>
      </c>
    </row>
    <row r="2174" customFormat="false" ht="15" hidden="false" customHeight="true" outlineLevel="0" collapsed="false">
      <c r="A2174" s="1" t="s">
        <v>3041</v>
      </c>
      <c r="B2174" s="1" t="s">
        <v>1052</v>
      </c>
      <c r="C2174" s="1" t="s">
        <v>88</v>
      </c>
      <c r="D2174" s="1" t="s">
        <v>143</v>
      </c>
      <c r="E2174" s="1" t="s">
        <v>144</v>
      </c>
      <c r="F2174" s="1" t="s">
        <v>244</v>
      </c>
      <c r="G2174" s="1" t="s">
        <v>97</v>
      </c>
      <c r="H2174" s="1" t="s">
        <v>57</v>
      </c>
      <c r="I2174" s="1" t="s">
        <v>58</v>
      </c>
      <c r="J2174" s="1" t="s">
        <v>35</v>
      </c>
      <c r="K2174" s="1" t="s">
        <v>104</v>
      </c>
      <c r="L2174" s="1" t="s">
        <v>113</v>
      </c>
      <c r="M2174" s="1" t="s">
        <v>62</v>
      </c>
      <c r="N2174" s="1" t="n">
        <v>12999</v>
      </c>
      <c r="O2174" s="1" t="n">
        <v>40</v>
      </c>
      <c r="P2174" s="1" t="n">
        <v>5199.6</v>
      </c>
      <c r="Q2174" s="1" t="n">
        <v>7799.4</v>
      </c>
      <c r="R2174" s="1" t="n">
        <v>1403.89</v>
      </c>
      <c r="S2174" s="1" t="n">
        <v>6395.51</v>
      </c>
      <c r="T2174" s="1" t="n">
        <v>3092.77</v>
      </c>
      <c r="U2174" s="1" t="n">
        <v>3302.74</v>
      </c>
      <c r="V2174" s="1" t="n">
        <v>51.64</v>
      </c>
      <c r="W2174" s="1" t="s">
        <v>40</v>
      </c>
      <c r="Y2174" s="1" t="s">
        <v>40</v>
      </c>
      <c r="Z2174" s="1" t="n">
        <v>1</v>
      </c>
    </row>
    <row r="2175" customFormat="false" ht="15" hidden="false" customHeight="true" outlineLevel="0" collapsed="false">
      <c r="A2175" s="1" t="s">
        <v>3042</v>
      </c>
      <c r="B2175" s="1" t="s">
        <v>277</v>
      </c>
      <c r="C2175" s="1" t="s">
        <v>1602</v>
      </c>
      <c r="D2175" s="1" t="s">
        <v>143</v>
      </c>
      <c r="E2175" s="1" t="s">
        <v>162</v>
      </c>
      <c r="F2175" s="1" t="s">
        <v>194</v>
      </c>
      <c r="G2175" s="1" t="s">
        <v>103</v>
      </c>
      <c r="H2175" s="1" t="s">
        <v>69</v>
      </c>
      <c r="I2175" s="1" t="s">
        <v>34</v>
      </c>
      <c r="J2175" s="1" t="s">
        <v>59</v>
      </c>
      <c r="K2175" s="1" t="s">
        <v>90</v>
      </c>
      <c r="L2175" s="1" t="s">
        <v>37</v>
      </c>
      <c r="M2175" s="1" t="s">
        <v>50</v>
      </c>
      <c r="N2175" s="1" t="n">
        <v>14999</v>
      </c>
      <c r="O2175" s="1" t="n">
        <v>30</v>
      </c>
      <c r="P2175" s="1" t="n">
        <v>4499.7</v>
      </c>
      <c r="Q2175" s="1" t="n">
        <v>10499.3</v>
      </c>
      <c r="R2175" s="1" t="n">
        <v>1889.87</v>
      </c>
      <c r="S2175" s="1" t="n">
        <v>8609.43</v>
      </c>
      <c r="T2175" s="1" t="n">
        <v>3020.93</v>
      </c>
      <c r="U2175" s="1" t="n">
        <v>5588.5</v>
      </c>
      <c r="V2175" s="1" t="n">
        <v>64.91</v>
      </c>
      <c r="W2175" s="1" t="s">
        <v>40</v>
      </c>
      <c r="Y2175" s="1" t="s">
        <v>40</v>
      </c>
      <c r="Z2175" s="1" t="n">
        <v>1</v>
      </c>
    </row>
    <row r="2176" customFormat="false" ht="15" hidden="false" customHeight="true" outlineLevel="0" collapsed="false">
      <c r="A2176" s="1" t="s">
        <v>3043</v>
      </c>
      <c r="B2176" s="1" t="s">
        <v>1375</v>
      </c>
      <c r="C2176" s="1" t="s">
        <v>28</v>
      </c>
      <c r="D2176" s="1" t="s">
        <v>168</v>
      </c>
      <c r="E2176" s="1" t="s">
        <v>328</v>
      </c>
      <c r="F2176" s="1" t="s">
        <v>31</v>
      </c>
      <c r="G2176" s="1" t="s">
        <v>32</v>
      </c>
      <c r="H2176" s="1" t="s">
        <v>33</v>
      </c>
      <c r="I2176" s="1" t="s">
        <v>58</v>
      </c>
      <c r="J2176" s="1" t="s">
        <v>70</v>
      </c>
      <c r="K2176" s="1" t="s">
        <v>104</v>
      </c>
      <c r="L2176" s="1" t="s">
        <v>61</v>
      </c>
      <c r="M2176" s="1" t="s">
        <v>50</v>
      </c>
      <c r="N2176" s="1" t="n">
        <v>8999</v>
      </c>
      <c r="O2176" s="1" t="n">
        <v>10</v>
      </c>
      <c r="P2176" s="1" t="n">
        <v>899.9</v>
      </c>
      <c r="Q2176" s="1" t="n">
        <v>8099.1</v>
      </c>
      <c r="R2176" s="1" t="n">
        <v>1457.84</v>
      </c>
      <c r="S2176" s="1" t="n">
        <v>6641.26</v>
      </c>
      <c r="T2176" s="1" t="n">
        <v>3006.9</v>
      </c>
      <c r="U2176" s="1" t="n">
        <v>3634.36</v>
      </c>
      <c r="V2176" s="1" t="n">
        <v>54.72</v>
      </c>
      <c r="W2176" s="1" t="s">
        <v>40</v>
      </c>
      <c r="Y2176" s="1" t="s">
        <v>40</v>
      </c>
      <c r="Z2176" s="1" t="n">
        <v>0</v>
      </c>
    </row>
    <row r="2177" customFormat="false" ht="15" hidden="false" customHeight="true" outlineLevel="0" collapsed="false">
      <c r="A2177" s="1" t="s">
        <v>3044</v>
      </c>
      <c r="B2177" s="1" t="s">
        <v>689</v>
      </c>
      <c r="C2177" s="1" t="s">
        <v>178</v>
      </c>
      <c r="D2177" s="1" t="s">
        <v>143</v>
      </c>
      <c r="E2177" s="1" t="s">
        <v>210</v>
      </c>
      <c r="F2177" s="1" t="s">
        <v>269</v>
      </c>
      <c r="G2177" s="1" t="s">
        <v>108</v>
      </c>
      <c r="H2177" s="1" t="s">
        <v>57</v>
      </c>
      <c r="I2177" s="1" t="s">
        <v>34</v>
      </c>
      <c r="J2177" s="1" t="s">
        <v>77</v>
      </c>
      <c r="K2177" s="1" t="s">
        <v>84</v>
      </c>
      <c r="L2177" s="1" t="s">
        <v>136</v>
      </c>
      <c r="M2177" s="1" t="s">
        <v>62</v>
      </c>
      <c r="N2177" s="1" t="n">
        <v>18999</v>
      </c>
      <c r="O2177" s="1" t="n">
        <v>5</v>
      </c>
      <c r="P2177" s="1" t="n">
        <v>949.95</v>
      </c>
      <c r="Q2177" s="1" t="n">
        <v>18049.05</v>
      </c>
      <c r="R2177" s="1" t="n">
        <v>3248.83</v>
      </c>
      <c r="S2177" s="1" t="n">
        <v>14800.22</v>
      </c>
      <c r="T2177" s="1" t="n">
        <v>6857.55</v>
      </c>
      <c r="U2177" s="1" t="n">
        <v>7942.67</v>
      </c>
      <c r="V2177" s="1" t="n">
        <v>53.67</v>
      </c>
      <c r="W2177" s="1" t="s">
        <v>39</v>
      </c>
      <c r="X2177" s="1" t="n">
        <v>3.9</v>
      </c>
      <c r="Y2177" s="1" t="s">
        <v>40</v>
      </c>
      <c r="Z2177" s="1" t="n">
        <v>0</v>
      </c>
    </row>
    <row r="2178" customFormat="false" ht="15" hidden="false" customHeight="true" outlineLevel="0" collapsed="false">
      <c r="A2178" s="1" t="s">
        <v>3045</v>
      </c>
      <c r="B2178" s="1" t="s">
        <v>1205</v>
      </c>
      <c r="C2178" s="1" t="s">
        <v>264</v>
      </c>
      <c r="D2178" s="1" t="s">
        <v>143</v>
      </c>
      <c r="E2178" s="1" t="s">
        <v>210</v>
      </c>
      <c r="F2178" s="1" t="s">
        <v>205</v>
      </c>
      <c r="G2178" s="1" t="s">
        <v>56</v>
      </c>
      <c r="H2178" s="1" t="s">
        <v>69</v>
      </c>
      <c r="I2178" s="1" t="s">
        <v>83</v>
      </c>
      <c r="J2178" s="1" t="s">
        <v>35</v>
      </c>
      <c r="K2178" s="1" t="s">
        <v>48</v>
      </c>
      <c r="L2178" s="1" t="s">
        <v>136</v>
      </c>
      <c r="M2178" s="1" t="s">
        <v>50</v>
      </c>
      <c r="N2178" s="1" t="n">
        <v>18999</v>
      </c>
      <c r="O2178" s="1" t="n">
        <v>30</v>
      </c>
      <c r="P2178" s="1" t="n">
        <v>5699.7</v>
      </c>
      <c r="Q2178" s="1" t="n">
        <v>13299.3</v>
      </c>
      <c r="R2178" s="1" t="n">
        <v>2393.87</v>
      </c>
      <c r="S2178" s="1" t="n">
        <v>10905.43</v>
      </c>
      <c r="T2178" s="1" t="n">
        <v>3639.12</v>
      </c>
      <c r="U2178" s="1" t="n">
        <v>7266.31</v>
      </c>
      <c r="V2178" s="1" t="n">
        <v>66.63</v>
      </c>
      <c r="W2178" s="1" t="s">
        <v>39</v>
      </c>
      <c r="Y2178" s="1" t="s">
        <v>40</v>
      </c>
      <c r="Z2178" s="1" t="n">
        <v>0</v>
      </c>
    </row>
    <row r="2179" customFormat="false" ht="15" hidden="false" customHeight="true" outlineLevel="0" collapsed="false">
      <c r="A2179" s="1" t="s">
        <v>3046</v>
      </c>
      <c r="B2179" s="1" t="s">
        <v>2869</v>
      </c>
      <c r="C2179" s="1" t="s">
        <v>100</v>
      </c>
      <c r="D2179" s="1" t="s">
        <v>44</v>
      </c>
      <c r="E2179" s="1" t="s">
        <v>66</v>
      </c>
      <c r="F2179" s="1" t="s">
        <v>120</v>
      </c>
      <c r="G2179" s="1" t="s">
        <v>47</v>
      </c>
      <c r="H2179" s="1" t="s">
        <v>57</v>
      </c>
      <c r="I2179" s="1" t="s">
        <v>58</v>
      </c>
      <c r="J2179" s="1" t="s">
        <v>35</v>
      </c>
      <c r="K2179" s="1" t="s">
        <v>84</v>
      </c>
      <c r="L2179" s="1" t="s">
        <v>85</v>
      </c>
      <c r="M2179" s="1" t="s">
        <v>38</v>
      </c>
      <c r="N2179" s="1" t="n">
        <v>12999</v>
      </c>
      <c r="O2179" s="1" t="n">
        <v>10</v>
      </c>
      <c r="P2179" s="1" t="n">
        <v>1299.9</v>
      </c>
      <c r="Q2179" s="1" t="n">
        <v>11699.1</v>
      </c>
      <c r="R2179" s="1" t="n">
        <v>2105.84</v>
      </c>
      <c r="S2179" s="1" t="n">
        <v>9593.26</v>
      </c>
      <c r="T2179" s="1" t="n">
        <v>4144.63</v>
      </c>
      <c r="U2179" s="1" t="n">
        <v>5448.63</v>
      </c>
      <c r="V2179" s="1" t="n">
        <v>56.8</v>
      </c>
      <c r="W2179" s="1" t="s">
        <v>39</v>
      </c>
      <c r="Y2179" s="1" t="s">
        <v>40</v>
      </c>
      <c r="Z2179" s="1" t="n">
        <v>0</v>
      </c>
    </row>
    <row r="2180" customFormat="false" ht="15" hidden="false" customHeight="true" outlineLevel="0" collapsed="false">
      <c r="A2180" s="1" t="s">
        <v>3047</v>
      </c>
      <c r="B2180" s="1" t="s">
        <v>1665</v>
      </c>
      <c r="C2180" s="1" t="s">
        <v>93</v>
      </c>
      <c r="D2180" s="1" t="s">
        <v>29</v>
      </c>
      <c r="E2180" s="1" t="s">
        <v>30</v>
      </c>
      <c r="F2180" s="1" t="s">
        <v>55</v>
      </c>
      <c r="G2180" s="1" t="s">
        <v>56</v>
      </c>
      <c r="H2180" s="1" t="s">
        <v>57</v>
      </c>
      <c r="I2180" s="1" t="s">
        <v>58</v>
      </c>
      <c r="J2180" s="1" t="s">
        <v>131</v>
      </c>
      <c r="K2180" s="1" t="s">
        <v>36</v>
      </c>
      <c r="L2180" s="1" t="s">
        <v>85</v>
      </c>
      <c r="M2180" s="1" t="s">
        <v>50</v>
      </c>
      <c r="N2180" s="1" t="n">
        <v>7999</v>
      </c>
      <c r="O2180" s="1" t="n">
        <v>20</v>
      </c>
      <c r="P2180" s="1" t="n">
        <v>1599.8</v>
      </c>
      <c r="Q2180" s="1" t="n">
        <v>6399.2</v>
      </c>
      <c r="R2180" s="1" t="n">
        <v>1151.86</v>
      </c>
      <c r="S2180" s="1" t="n">
        <v>5247.34</v>
      </c>
      <c r="T2180" s="1" t="n">
        <v>2076.89</v>
      </c>
      <c r="U2180" s="1" t="n">
        <v>3170.45</v>
      </c>
      <c r="V2180" s="1" t="n">
        <v>60.42</v>
      </c>
      <c r="W2180" s="1" t="s">
        <v>40</v>
      </c>
      <c r="Y2180" s="1" t="s">
        <v>40</v>
      </c>
      <c r="Z2180" s="1" t="n">
        <v>1</v>
      </c>
    </row>
    <row r="2181" customFormat="false" ht="15" hidden="false" customHeight="true" outlineLevel="0" collapsed="false">
      <c r="A2181" s="1" t="s">
        <v>3048</v>
      </c>
      <c r="B2181" s="1" t="s">
        <v>227</v>
      </c>
      <c r="C2181" s="1" t="s">
        <v>74</v>
      </c>
      <c r="D2181" s="1" t="s">
        <v>168</v>
      </c>
      <c r="E2181" s="1" t="s">
        <v>169</v>
      </c>
      <c r="F2181" s="1" t="s">
        <v>184</v>
      </c>
      <c r="G2181" s="1" t="s">
        <v>56</v>
      </c>
      <c r="H2181" s="1" t="s">
        <v>57</v>
      </c>
      <c r="I2181" s="1" t="s">
        <v>34</v>
      </c>
      <c r="J2181" s="1" t="s">
        <v>70</v>
      </c>
      <c r="K2181" s="1" t="s">
        <v>48</v>
      </c>
      <c r="L2181" s="1" t="s">
        <v>49</v>
      </c>
      <c r="M2181" s="1" t="s">
        <v>38</v>
      </c>
      <c r="N2181" s="1" t="n">
        <v>4999</v>
      </c>
      <c r="O2181" s="1" t="n">
        <v>50</v>
      </c>
      <c r="P2181" s="1" t="n">
        <v>2499.5</v>
      </c>
      <c r="Q2181" s="1" t="n">
        <v>2499.5</v>
      </c>
      <c r="R2181" s="1" t="n">
        <v>449.91</v>
      </c>
      <c r="S2181" s="1" t="n">
        <v>2049.59</v>
      </c>
      <c r="T2181" s="1" t="n">
        <v>1122.61</v>
      </c>
      <c r="U2181" s="1" t="n">
        <v>926.98</v>
      </c>
      <c r="V2181" s="1" t="n">
        <v>45.23</v>
      </c>
      <c r="W2181" s="1" t="s">
        <v>39</v>
      </c>
      <c r="X2181" s="1" t="n">
        <v>3.5</v>
      </c>
      <c r="Y2181" s="1" t="s">
        <v>40</v>
      </c>
      <c r="Z2181" s="1" t="n">
        <v>0</v>
      </c>
    </row>
    <row r="2182" customFormat="false" ht="15" hidden="false" customHeight="true" outlineLevel="0" collapsed="false">
      <c r="A2182" s="1" t="s">
        <v>3049</v>
      </c>
      <c r="B2182" s="1" t="s">
        <v>1686</v>
      </c>
      <c r="C2182" s="1" t="s">
        <v>128</v>
      </c>
      <c r="D2182" s="1" t="s">
        <v>168</v>
      </c>
      <c r="E2182" s="1" t="s">
        <v>172</v>
      </c>
      <c r="F2182" s="1" t="s">
        <v>150</v>
      </c>
      <c r="G2182" s="1" t="s">
        <v>32</v>
      </c>
      <c r="H2182" s="1" t="s">
        <v>57</v>
      </c>
      <c r="I2182" s="1" t="s">
        <v>34</v>
      </c>
      <c r="J2182" s="1" t="s">
        <v>77</v>
      </c>
      <c r="K2182" s="1" t="s">
        <v>104</v>
      </c>
      <c r="L2182" s="1" t="s">
        <v>61</v>
      </c>
      <c r="M2182" s="1" t="s">
        <v>62</v>
      </c>
      <c r="N2182" s="1" t="n">
        <v>6999</v>
      </c>
      <c r="O2182" s="1" t="n">
        <v>0</v>
      </c>
      <c r="P2182" s="1" t="n">
        <v>0</v>
      </c>
      <c r="Q2182" s="1" t="n">
        <v>6999</v>
      </c>
      <c r="R2182" s="1" t="n">
        <v>1259.82</v>
      </c>
      <c r="S2182" s="1" t="n">
        <v>5739.18</v>
      </c>
      <c r="T2182" s="1" t="n">
        <v>2589.04</v>
      </c>
      <c r="U2182" s="1" t="n">
        <v>3150.14</v>
      </c>
      <c r="V2182" s="1" t="n">
        <v>54.89</v>
      </c>
      <c r="W2182" s="1" t="s">
        <v>39</v>
      </c>
      <c r="X2182" s="1" t="n">
        <v>4</v>
      </c>
      <c r="Y2182" s="1" t="s">
        <v>40</v>
      </c>
      <c r="Z2182" s="1" t="n">
        <v>1</v>
      </c>
    </row>
    <row r="2183" customFormat="false" ht="15" hidden="false" customHeight="true" outlineLevel="0" collapsed="false">
      <c r="A2183" s="1" t="s">
        <v>3050</v>
      </c>
      <c r="B2183" s="1" t="s">
        <v>2670</v>
      </c>
      <c r="C2183" s="1" t="s">
        <v>93</v>
      </c>
      <c r="D2183" s="1" t="s">
        <v>168</v>
      </c>
      <c r="E2183" s="1" t="s">
        <v>172</v>
      </c>
      <c r="F2183" s="1" t="s">
        <v>140</v>
      </c>
      <c r="G2183" s="1" t="s">
        <v>97</v>
      </c>
      <c r="H2183" s="1" t="s">
        <v>57</v>
      </c>
      <c r="I2183" s="1" t="s">
        <v>34</v>
      </c>
      <c r="J2183" s="1" t="s">
        <v>59</v>
      </c>
      <c r="K2183" s="1" t="s">
        <v>112</v>
      </c>
      <c r="L2183" s="1" t="s">
        <v>136</v>
      </c>
      <c r="M2183" s="1" t="s">
        <v>38</v>
      </c>
      <c r="N2183" s="1" t="n">
        <v>6999</v>
      </c>
      <c r="O2183" s="1" t="n">
        <v>0</v>
      </c>
      <c r="P2183" s="1" t="n">
        <v>0</v>
      </c>
      <c r="Q2183" s="1" t="n">
        <v>6999</v>
      </c>
      <c r="R2183" s="1" t="n">
        <v>1259.82</v>
      </c>
      <c r="S2183" s="1" t="n">
        <v>5739.18</v>
      </c>
      <c r="T2183" s="1" t="n">
        <v>2637.9</v>
      </c>
      <c r="U2183" s="1" t="n">
        <v>3101.28</v>
      </c>
      <c r="V2183" s="1" t="n">
        <v>54.04</v>
      </c>
      <c r="W2183" s="1" t="s">
        <v>40</v>
      </c>
      <c r="Y2183" s="1" t="s">
        <v>40</v>
      </c>
      <c r="Z2183" s="1" t="n">
        <v>1</v>
      </c>
    </row>
    <row r="2184" customFormat="false" ht="15" hidden="false" customHeight="true" outlineLevel="0" collapsed="false">
      <c r="A2184" s="1" t="s">
        <v>3051</v>
      </c>
      <c r="B2184" s="1" t="s">
        <v>1649</v>
      </c>
      <c r="C2184" s="1" t="s">
        <v>100</v>
      </c>
      <c r="D2184" s="1" t="s">
        <v>44</v>
      </c>
      <c r="E2184" s="1" t="s">
        <v>45</v>
      </c>
      <c r="F2184" s="1" t="s">
        <v>187</v>
      </c>
      <c r="G2184" s="1" t="s">
        <v>97</v>
      </c>
      <c r="H2184" s="1" t="s">
        <v>69</v>
      </c>
      <c r="I2184" s="1" t="s">
        <v>83</v>
      </c>
      <c r="J2184" s="1" t="s">
        <v>131</v>
      </c>
      <c r="K2184" s="1" t="s">
        <v>48</v>
      </c>
      <c r="L2184" s="1" t="s">
        <v>49</v>
      </c>
      <c r="M2184" s="1" t="s">
        <v>38</v>
      </c>
      <c r="N2184" s="1" t="n">
        <v>11999</v>
      </c>
      <c r="O2184" s="1" t="n">
        <v>0</v>
      </c>
      <c r="P2184" s="1" t="n">
        <v>0</v>
      </c>
      <c r="Q2184" s="1" t="n">
        <v>11999</v>
      </c>
      <c r="R2184" s="1" t="n">
        <v>2159.82</v>
      </c>
      <c r="S2184" s="1" t="n">
        <v>9839.18</v>
      </c>
      <c r="T2184" s="1" t="n">
        <v>3950.15</v>
      </c>
      <c r="U2184" s="1" t="n">
        <v>5889.03</v>
      </c>
      <c r="V2184" s="1" t="n">
        <v>59.85</v>
      </c>
      <c r="W2184" s="1" t="s">
        <v>39</v>
      </c>
      <c r="X2184" s="1" t="n">
        <v>3.2</v>
      </c>
      <c r="Y2184" s="1" t="s">
        <v>40</v>
      </c>
      <c r="Z2184" s="1" t="n">
        <v>0</v>
      </c>
    </row>
    <row r="2185" customFormat="false" ht="15" hidden="false" customHeight="true" outlineLevel="0" collapsed="false">
      <c r="A2185" s="1" t="s">
        <v>3052</v>
      </c>
      <c r="B2185" s="1" t="s">
        <v>903</v>
      </c>
      <c r="C2185" s="1" t="s">
        <v>134</v>
      </c>
      <c r="D2185" s="1" t="s">
        <v>123</v>
      </c>
      <c r="E2185" s="1" t="s">
        <v>147</v>
      </c>
      <c r="F2185" s="1" t="s">
        <v>102</v>
      </c>
      <c r="G2185" s="1" t="s">
        <v>103</v>
      </c>
      <c r="H2185" s="1" t="s">
        <v>33</v>
      </c>
      <c r="I2185" s="1" t="s">
        <v>83</v>
      </c>
      <c r="J2185" s="1" t="s">
        <v>70</v>
      </c>
      <c r="K2185" s="1" t="s">
        <v>60</v>
      </c>
      <c r="L2185" s="1" t="s">
        <v>113</v>
      </c>
      <c r="M2185" s="1" t="s">
        <v>50</v>
      </c>
      <c r="N2185" s="1" t="n">
        <v>6999</v>
      </c>
      <c r="O2185" s="1" t="n">
        <v>15</v>
      </c>
      <c r="P2185" s="1" t="n">
        <v>1049.85</v>
      </c>
      <c r="Q2185" s="1" t="n">
        <v>5949.15</v>
      </c>
      <c r="R2185" s="1" t="n">
        <v>1070.85</v>
      </c>
      <c r="S2185" s="1" t="n">
        <v>4878.3</v>
      </c>
      <c r="T2185" s="1" t="n">
        <v>2204.39</v>
      </c>
      <c r="U2185" s="1" t="n">
        <v>2673.91</v>
      </c>
      <c r="V2185" s="1" t="n">
        <v>54.81</v>
      </c>
      <c r="W2185" s="1" t="s">
        <v>39</v>
      </c>
      <c r="Y2185" s="1" t="s">
        <v>40</v>
      </c>
      <c r="Z2185" s="1" t="n">
        <v>0</v>
      </c>
    </row>
    <row r="2186" customFormat="false" ht="15" hidden="false" customHeight="true" outlineLevel="0" collapsed="false">
      <c r="A2186" s="1" t="s">
        <v>3053</v>
      </c>
      <c r="B2186" s="1" t="s">
        <v>192</v>
      </c>
      <c r="C2186" s="1" t="s">
        <v>93</v>
      </c>
      <c r="D2186" s="1" t="s">
        <v>29</v>
      </c>
      <c r="E2186" s="1" t="s">
        <v>305</v>
      </c>
      <c r="F2186" s="1" t="s">
        <v>153</v>
      </c>
      <c r="G2186" s="1" t="s">
        <v>76</v>
      </c>
      <c r="H2186" s="1" t="s">
        <v>33</v>
      </c>
      <c r="I2186" s="1" t="s">
        <v>58</v>
      </c>
      <c r="J2186" s="1" t="s">
        <v>70</v>
      </c>
      <c r="K2186" s="1" t="s">
        <v>36</v>
      </c>
      <c r="L2186" s="1" t="s">
        <v>61</v>
      </c>
      <c r="M2186" s="1" t="s">
        <v>50</v>
      </c>
      <c r="N2186" s="1" t="n">
        <v>24999</v>
      </c>
      <c r="O2186" s="1" t="n">
        <v>0</v>
      </c>
      <c r="P2186" s="1" t="n">
        <v>0</v>
      </c>
      <c r="Q2186" s="1" t="n">
        <v>24999</v>
      </c>
      <c r="R2186" s="1" t="n">
        <v>4499.82</v>
      </c>
      <c r="S2186" s="1" t="n">
        <v>20499.18</v>
      </c>
      <c r="T2186" s="1" t="n">
        <v>7439.94</v>
      </c>
      <c r="U2186" s="1" t="n">
        <v>13059.24</v>
      </c>
      <c r="V2186" s="1" t="n">
        <v>63.71</v>
      </c>
      <c r="W2186" s="1" t="s">
        <v>39</v>
      </c>
      <c r="X2186" s="1" t="n">
        <v>4.2</v>
      </c>
      <c r="Y2186" s="1" t="s">
        <v>40</v>
      </c>
      <c r="Z2186" s="1" t="n">
        <v>0</v>
      </c>
    </row>
    <row r="2187" customFormat="false" ht="15" hidden="false" customHeight="true" outlineLevel="0" collapsed="false">
      <c r="A2187" s="1" t="s">
        <v>3054</v>
      </c>
      <c r="B2187" s="1" t="s">
        <v>373</v>
      </c>
      <c r="C2187" s="1" t="s">
        <v>264</v>
      </c>
      <c r="D2187" s="1" t="s">
        <v>168</v>
      </c>
      <c r="E2187" s="1" t="s">
        <v>169</v>
      </c>
      <c r="F2187" s="1" t="s">
        <v>125</v>
      </c>
      <c r="G2187" s="1" t="s">
        <v>108</v>
      </c>
      <c r="H2187" s="1" t="s">
        <v>69</v>
      </c>
      <c r="I2187" s="1" t="s">
        <v>83</v>
      </c>
      <c r="J2187" s="1" t="s">
        <v>77</v>
      </c>
      <c r="K2187" s="1" t="s">
        <v>104</v>
      </c>
      <c r="L2187" s="1" t="s">
        <v>85</v>
      </c>
      <c r="M2187" s="1" t="s">
        <v>62</v>
      </c>
      <c r="N2187" s="1" t="n">
        <v>4999</v>
      </c>
      <c r="O2187" s="1" t="n">
        <v>0</v>
      </c>
      <c r="P2187" s="1" t="n">
        <v>0</v>
      </c>
      <c r="Q2187" s="1" t="n">
        <v>4999</v>
      </c>
      <c r="R2187" s="1" t="n">
        <v>899.82</v>
      </c>
      <c r="S2187" s="1" t="n">
        <v>4099.18</v>
      </c>
      <c r="T2187" s="1" t="n">
        <v>1849.88</v>
      </c>
      <c r="U2187" s="1" t="n">
        <v>2249.3</v>
      </c>
      <c r="V2187" s="1" t="n">
        <v>54.87</v>
      </c>
      <c r="W2187" s="1" t="s">
        <v>39</v>
      </c>
      <c r="X2187" s="1" t="n">
        <v>3.9</v>
      </c>
      <c r="Y2187" s="1" t="s">
        <v>40</v>
      </c>
      <c r="Z2187" s="1" t="n">
        <v>1</v>
      </c>
    </row>
    <row r="2188" customFormat="false" ht="15" hidden="false" customHeight="true" outlineLevel="0" collapsed="false">
      <c r="A2188" s="1" t="s">
        <v>3055</v>
      </c>
      <c r="B2188" s="1" t="s">
        <v>1893</v>
      </c>
      <c r="C2188" s="1" t="s">
        <v>167</v>
      </c>
      <c r="D2188" s="1" t="s">
        <v>168</v>
      </c>
      <c r="E2188" s="1" t="s">
        <v>169</v>
      </c>
      <c r="F2188" s="1" t="s">
        <v>75</v>
      </c>
      <c r="G2188" s="1" t="s">
        <v>76</v>
      </c>
      <c r="H2188" s="1" t="s">
        <v>69</v>
      </c>
      <c r="I2188" s="1" t="s">
        <v>58</v>
      </c>
      <c r="J2188" s="1" t="s">
        <v>131</v>
      </c>
      <c r="K2188" s="1" t="s">
        <v>60</v>
      </c>
      <c r="L2188" s="1" t="s">
        <v>49</v>
      </c>
      <c r="M2188" s="1" t="s">
        <v>50</v>
      </c>
      <c r="N2188" s="1" t="n">
        <v>4999</v>
      </c>
      <c r="O2188" s="1" t="n">
        <v>30</v>
      </c>
      <c r="P2188" s="1" t="n">
        <v>1499.7</v>
      </c>
      <c r="Q2188" s="1" t="n">
        <v>3499.3</v>
      </c>
      <c r="R2188" s="1" t="n">
        <v>629.87</v>
      </c>
      <c r="S2188" s="1" t="n">
        <v>2869.43</v>
      </c>
      <c r="T2188" s="1" t="n">
        <v>1113.86</v>
      </c>
      <c r="U2188" s="1" t="n">
        <v>1755.57</v>
      </c>
      <c r="V2188" s="1" t="n">
        <v>61.18</v>
      </c>
      <c r="W2188" s="1" t="s">
        <v>40</v>
      </c>
      <c r="Y2188" s="1" t="s">
        <v>40</v>
      </c>
      <c r="Z2188" s="1" t="n">
        <v>0</v>
      </c>
    </row>
    <row r="2189" customFormat="false" ht="15" hidden="false" customHeight="true" outlineLevel="0" collapsed="false">
      <c r="A2189" s="1" t="s">
        <v>3056</v>
      </c>
      <c r="B2189" s="1" t="s">
        <v>616</v>
      </c>
      <c r="C2189" s="1" t="s">
        <v>65</v>
      </c>
      <c r="D2189" s="1" t="s">
        <v>123</v>
      </c>
      <c r="E2189" s="1" t="s">
        <v>147</v>
      </c>
      <c r="F2189" s="1" t="s">
        <v>184</v>
      </c>
      <c r="G2189" s="1" t="s">
        <v>56</v>
      </c>
      <c r="H2189" s="1" t="s">
        <v>57</v>
      </c>
      <c r="I2189" s="1" t="s">
        <v>34</v>
      </c>
      <c r="J2189" s="1" t="s">
        <v>77</v>
      </c>
      <c r="K2189" s="1" t="s">
        <v>36</v>
      </c>
      <c r="L2189" s="1" t="s">
        <v>37</v>
      </c>
      <c r="M2189" s="1" t="s">
        <v>38</v>
      </c>
      <c r="N2189" s="1" t="n">
        <v>6999</v>
      </c>
      <c r="O2189" s="1" t="n">
        <v>0</v>
      </c>
      <c r="P2189" s="1" t="n">
        <v>0</v>
      </c>
      <c r="Q2189" s="1" t="n">
        <v>6999</v>
      </c>
      <c r="R2189" s="1" t="n">
        <v>1259.82</v>
      </c>
      <c r="S2189" s="1" t="n">
        <v>5739.18</v>
      </c>
      <c r="T2189" s="1" t="n">
        <v>2997.53</v>
      </c>
      <c r="U2189" s="1" t="n">
        <v>2741.65</v>
      </c>
      <c r="V2189" s="1" t="n">
        <v>47.77</v>
      </c>
      <c r="W2189" s="1" t="s">
        <v>39</v>
      </c>
      <c r="X2189" s="1" t="n">
        <v>4.1</v>
      </c>
      <c r="Y2189" s="1" t="s">
        <v>39</v>
      </c>
      <c r="Z2189" s="1" t="n">
        <v>0</v>
      </c>
    </row>
    <row r="2190" customFormat="false" ht="15" hidden="false" customHeight="true" outlineLevel="0" collapsed="false">
      <c r="A2190" s="1" t="s">
        <v>3057</v>
      </c>
      <c r="B2190" s="1" t="s">
        <v>332</v>
      </c>
      <c r="C2190" s="1" t="s">
        <v>128</v>
      </c>
      <c r="D2190" s="1" t="s">
        <v>44</v>
      </c>
      <c r="E2190" s="1" t="s">
        <v>45</v>
      </c>
      <c r="F2190" s="1" t="s">
        <v>82</v>
      </c>
      <c r="G2190" s="1" t="s">
        <v>56</v>
      </c>
      <c r="H2190" s="1" t="s">
        <v>69</v>
      </c>
      <c r="I2190" s="1" t="s">
        <v>83</v>
      </c>
      <c r="J2190" s="1" t="s">
        <v>70</v>
      </c>
      <c r="K2190" s="1" t="s">
        <v>60</v>
      </c>
      <c r="L2190" s="1" t="s">
        <v>136</v>
      </c>
      <c r="M2190" s="1" t="s">
        <v>62</v>
      </c>
      <c r="N2190" s="1" t="n">
        <v>11999</v>
      </c>
      <c r="O2190" s="1" t="n">
        <v>5</v>
      </c>
      <c r="P2190" s="1" t="n">
        <v>599.95</v>
      </c>
      <c r="Q2190" s="1" t="n">
        <v>11399.05</v>
      </c>
      <c r="R2190" s="1" t="n">
        <v>2051.83</v>
      </c>
      <c r="S2190" s="1" t="n">
        <v>9347.22</v>
      </c>
      <c r="T2190" s="1" t="n">
        <v>4063.15</v>
      </c>
      <c r="U2190" s="1" t="n">
        <v>5284.07</v>
      </c>
      <c r="V2190" s="1" t="n">
        <v>56.53</v>
      </c>
      <c r="W2190" s="1" t="s">
        <v>39</v>
      </c>
      <c r="Y2190" s="1" t="s">
        <v>40</v>
      </c>
      <c r="Z2190" s="1" t="n">
        <v>0</v>
      </c>
    </row>
    <row r="2191" customFormat="false" ht="15" hidden="false" customHeight="true" outlineLevel="0" collapsed="false">
      <c r="A2191" s="1" t="s">
        <v>3058</v>
      </c>
      <c r="B2191" s="1" t="s">
        <v>959</v>
      </c>
      <c r="C2191" s="1" t="s">
        <v>28</v>
      </c>
      <c r="D2191" s="1" t="s">
        <v>143</v>
      </c>
      <c r="E2191" s="1" t="s">
        <v>243</v>
      </c>
      <c r="F2191" s="1" t="s">
        <v>140</v>
      </c>
      <c r="G2191" s="1" t="s">
        <v>97</v>
      </c>
      <c r="H2191" s="1" t="s">
        <v>57</v>
      </c>
      <c r="I2191" s="1" t="s">
        <v>34</v>
      </c>
      <c r="J2191" s="1" t="s">
        <v>77</v>
      </c>
      <c r="K2191" s="1" t="s">
        <v>60</v>
      </c>
      <c r="L2191" s="1" t="s">
        <v>37</v>
      </c>
      <c r="M2191" s="1" t="s">
        <v>62</v>
      </c>
      <c r="N2191" s="1" t="n">
        <v>22999</v>
      </c>
      <c r="O2191" s="1" t="n">
        <v>10</v>
      </c>
      <c r="P2191" s="1" t="n">
        <v>2299.9</v>
      </c>
      <c r="Q2191" s="1" t="n">
        <v>20699.1</v>
      </c>
      <c r="R2191" s="1" t="n">
        <v>3725.84</v>
      </c>
      <c r="S2191" s="1" t="n">
        <v>16973.26</v>
      </c>
      <c r="T2191" s="1" t="n">
        <v>7173.91</v>
      </c>
      <c r="U2191" s="1" t="n">
        <v>9799.35</v>
      </c>
      <c r="V2191" s="1" t="n">
        <v>57.73</v>
      </c>
      <c r="W2191" s="1" t="s">
        <v>39</v>
      </c>
      <c r="Y2191" s="1" t="s">
        <v>40</v>
      </c>
      <c r="Z2191" s="1" t="n">
        <v>0</v>
      </c>
    </row>
    <row r="2192" customFormat="false" ht="15" hidden="false" customHeight="true" outlineLevel="0" collapsed="false">
      <c r="A2192" s="1" t="s">
        <v>3059</v>
      </c>
      <c r="B2192" s="1" t="s">
        <v>52</v>
      </c>
      <c r="C2192" s="1" t="s">
        <v>167</v>
      </c>
      <c r="D2192" s="1" t="s">
        <v>123</v>
      </c>
      <c r="E2192" s="1" t="s">
        <v>147</v>
      </c>
      <c r="F2192" s="1" t="s">
        <v>75</v>
      </c>
      <c r="G2192" s="1" t="s">
        <v>76</v>
      </c>
      <c r="H2192" s="1" t="s">
        <v>69</v>
      </c>
      <c r="I2192" s="1" t="s">
        <v>83</v>
      </c>
      <c r="J2192" s="1" t="s">
        <v>70</v>
      </c>
      <c r="K2192" s="1" t="s">
        <v>60</v>
      </c>
      <c r="L2192" s="1" t="s">
        <v>61</v>
      </c>
      <c r="M2192" s="1" t="s">
        <v>50</v>
      </c>
      <c r="N2192" s="1" t="n">
        <v>6999</v>
      </c>
      <c r="O2192" s="1" t="n">
        <v>50</v>
      </c>
      <c r="P2192" s="1" t="n">
        <v>3499.5</v>
      </c>
      <c r="Q2192" s="1" t="n">
        <v>3499.5</v>
      </c>
      <c r="R2192" s="1" t="n">
        <v>629.91</v>
      </c>
      <c r="S2192" s="1" t="n">
        <v>2869.59</v>
      </c>
      <c r="T2192" s="1" t="n">
        <v>1416.96</v>
      </c>
      <c r="U2192" s="1" t="n">
        <v>1452.63</v>
      </c>
      <c r="V2192" s="1" t="n">
        <v>50.62</v>
      </c>
      <c r="W2192" s="1" t="s">
        <v>39</v>
      </c>
      <c r="X2192" s="1" t="n">
        <v>4.1</v>
      </c>
      <c r="Y2192" s="1" t="s">
        <v>40</v>
      </c>
      <c r="Z2192" s="1" t="n">
        <v>0</v>
      </c>
    </row>
    <row r="2193" customFormat="false" ht="15" hidden="false" customHeight="true" outlineLevel="0" collapsed="false">
      <c r="A2193" s="1" t="s">
        <v>3060</v>
      </c>
      <c r="B2193" s="1" t="s">
        <v>425</v>
      </c>
      <c r="C2193" s="1" t="s">
        <v>119</v>
      </c>
      <c r="D2193" s="1" t="s">
        <v>94</v>
      </c>
      <c r="E2193" s="1" t="s">
        <v>101</v>
      </c>
      <c r="F2193" s="1" t="s">
        <v>107</v>
      </c>
      <c r="G2193" s="1" t="s">
        <v>108</v>
      </c>
      <c r="H2193" s="1" t="s">
        <v>33</v>
      </c>
      <c r="I2193" s="1" t="s">
        <v>58</v>
      </c>
      <c r="J2193" s="1" t="s">
        <v>59</v>
      </c>
      <c r="K2193" s="1" t="s">
        <v>48</v>
      </c>
      <c r="L2193" s="1" t="s">
        <v>113</v>
      </c>
      <c r="M2193" s="1" t="s">
        <v>62</v>
      </c>
      <c r="N2193" s="1" t="n">
        <v>14999</v>
      </c>
      <c r="O2193" s="1" t="n">
        <v>50</v>
      </c>
      <c r="P2193" s="1" t="n">
        <v>7499.5</v>
      </c>
      <c r="Q2193" s="1" t="n">
        <v>7499.5</v>
      </c>
      <c r="R2193" s="1" t="n">
        <v>1349.91</v>
      </c>
      <c r="S2193" s="1" t="n">
        <v>6149.59</v>
      </c>
      <c r="T2193" s="1" t="n">
        <v>3786.55</v>
      </c>
      <c r="U2193" s="1" t="n">
        <v>2363.04</v>
      </c>
      <c r="V2193" s="1" t="n">
        <v>38.43</v>
      </c>
      <c r="W2193" s="1" t="s">
        <v>40</v>
      </c>
      <c r="Y2193" s="1" t="s">
        <v>39</v>
      </c>
      <c r="Z2193" s="1" t="n">
        <v>1</v>
      </c>
    </row>
    <row r="2194" customFormat="false" ht="15" hidden="false" customHeight="true" outlineLevel="0" collapsed="false">
      <c r="A2194" s="1" t="s">
        <v>3061</v>
      </c>
      <c r="B2194" s="1" t="s">
        <v>1160</v>
      </c>
      <c r="C2194" s="1" t="s">
        <v>128</v>
      </c>
      <c r="D2194" s="1" t="s">
        <v>123</v>
      </c>
      <c r="E2194" s="1" t="s">
        <v>124</v>
      </c>
      <c r="F2194" s="1" t="s">
        <v>184</v>
      </c>
      <c r="G2194" s="1" t="s">
        <v>56</v>
      </c>
      <c r="H2194" s="1" t="s">
        <v>57</v>
      </c>
      <c r="I2194" s="1" t="s">
        <v>83</v>
      </c>
      <c r="J2194" s="1" t="s">
        <v>35</v>
      </c>
      <c r="K2194" s="1" t="s">
        <v>60</v>
      </c>
      <c r="L2194" s="1" t="s">
        <v>113</v>
      </c>
      <c r="M2194" s="1" t="s">
        <v>50</v>
      </c>
      <c r="N2194" s="1" t="n">
        <v>4999</v>
      </c>
      <c r="O2194" s="1" t="n">
        <v>20</v>
      </c>
      <c r="P2194" s="1" t="n">
        <v>999.8</v>
      </c>
      <c r="Q2194" s="1" t="n">
        <v>3999.2</v>
      </c>
      <c r="R2194" s="1" t="n">
        <v>719.86</v>
      </c>
      <c r="S2194" s="1" t="n">
        <v>3279.34</v>
      </c>
      <c r="T2194" s="1" t="n">
        <v>1378.58</v>
      </c>
      <c r="U2194" s="1" t="n">
        <v>1900.76</v>
      </c>
      <c r="V2194" s="1" t="n">
        <v>57.96</v>
      </c>
      <c r="W2194" s="1" t="s">
        <v>39</v>
      </c>
      <c r="X2194" s="1" t="n">
        <v>4.7</v>
      </c>
      <c r="Y2194" s="1" t="s">
        <v>40</v>
      </c>
      <c r="Z2194" s="1" t="n">
        <v>0</v>
      </c>
    </row>
    <row r="2195" customFormat="false" ht="15" hidden="false" customHeight="true" outlineLevel="0" collapsed="false">
      <c r="A2195" s="1" t="s">
        <v>3062</v>
      </c>
      <c r="B2195" s="1" t="s">
        <v>587</v>
      </c>
      <c r="C2195" s="1" t="s">
        <v>100</v>
      </c>
      <c r="D2195" s="1" t="s">
        <v>53</v>
      </c>
      <c r="E2195" s="1" t="s">
        <v>54</v>
      </c>
      <c r="F2195" s="1" t="s">
        <v>194</v>
      </c>
      <c r="G2195" s="1" t="s">
        <v>103</v>
      </c>
      <c r="H2195" s="1" t="s">
        <v>69</v>
      </c>
      <c r="I2195" s="1" t="s">
        <v>83</v>
      </c>
      <c r="J2195" s="1" t="s">
        <v>59</v>
      </c>
      <c r="K2195" s="1" t="s">
        <v>104</v>
      </c>
      <c r="L2195" s="1" t="s">
        <v>113</v>
      </c>
      <c r="M2195" s="1" t="s">
        <v>62</v>
      </c>
      <c r="N2195" s="1" t="n">
        <v>11999</v>
      </c>
      <c r="O2195" s="1" t="n">
        <v>30</v>
      </c>
      <c r="P2195" s="1" t="n">
        <v>3599.7</v>
      </c>
      <c r="Q2195" s="1" t="n">
        <v>8399.3</v>
      </c>
      <c r="R2195" s="1" t="n">
        <v>1511.87</v>
      </c>
      <c r="S2195" s="1" t="n">
        <v>6887.43</v>
      </c>
      <c r="T2195" s="1" t="n">
        <v>2836.32</v>
      </c>
      <c r="U2195" s="1" t="n">
        <v>4051.11</v>
      </c>
      <c r="V2195" s="1" t="n">
        <v>58.82</v>
      </c>
      <c r="W2195" s="1" t="s">
        <v>40</v>
      </c>
      <c r="Y2195" s="1" t="s">
        <v>39</v>
      </c>
      <c r="Z2195" s="1" t="n">
        <v>0</v>
      </c>
    </row>
    <row r="2196" customFormat="false" ht="15" hidden="false" customHeight="true" outlineLevel="0" collapsed="false">
      <c r="A2196" s="1" t="s">
        <v>3063</v>
      </c>
      <c r="B2196" s="1" t="s">
        <v>2149</v>
      </c>
      <c r="C2196" s="1" t="s">
        <v>65</v>
      </c>
      <c r="D2196" s="1" t="s">
        <v>168</v>
      </c>
      <c r="E2196" s="1" t="s">
        <v>328</v>
      </c>
      <c r="F2196" s="1" t="s">
        <v>125</v>
      </c>
      <c r="G2196" s="1" t="s">
        <v>108</v>
      </c>
      <c r="H2196" s="1" t="s">
        <v>69</v>
      </c>
      <c r="I2196" s="1" t="s">
        <v>34</v>
      </c>
      <c r="J2196" s="1" t="s">
        <v>77</v>
      </c>
      <c r="K2196" s="1" t="s">
        <v>36</v>
      </c>
      <c r="L2196" s="1" t="s">
        <v>136</v>
      </c>
      <c r="M2196" s="1" t="s">
        <v>62</v>
      </c>
      <c r="N2196" s="1" t="n">
        <v>8999</v>
      </c>
      <c r="O2196" s="1" t="n">
        <v>0</v>
      </c>
      <c r="P2196" s="1" t="n">
        <v>0</v>
      </c>
      <c r="Q2196" s="1" t="n">
        <v>8999</v>
      </c>
      <c r="R2196" s="1" t="n">
        <v>1619.82</v>
      </c>
      <c r="S2196" s="1" t="n">
        <v>7379.18</v>
      </c>
      <c r="T2196" s="1" t="n">
        <v>3438.97</v>
      </c>
      <c r="U2196" s="1" t="n">
        <v>3940.21</v>
      </c>
      <c r="V2196" s="1" t="n">
        <v>53.4</v>
      </c>
      <c r="W2196" s="1" t="s">
        <v>39</v>
      </c>
      <c r="X2196" s="1" t="n">
        <v>3.9</v>
      </c>
      <c r="Y2196" s="1" t="s">
        <v>40</v>
      </c>
      <c r="Z2196" s="1" t="n">
        <v>0</v>
      </c>
    </row>
    <row r="2197" customFormat="false" ht="15" hidden="false" customHeight="true" outlineLevel="0" collapsed="false">
      <c r="A2197" s="1" t="s">
        <v>3064</v>
      </c>
      <c r="B2197" s="1" t="s">
        <v>520</v>
      </c>
      <c r="C2197" s="1" t="s">
        <v>28</v>
      </c>
      <c r="D2197" s="1" t="s">
        <v>143</v>
      </c>
      <c r="E2197" s="1" t="s">
        <v>162</v>
      </c>
      <c r="F2197" s="1" t="s">
        <v>244</v>
      </c>
      <c r="G2197" s="1" t="s">
        <v>97</v>
      </c>
      <c r="H2197" s="1" t="s">
        <v>57</v>
      </c>
      <c r="I2197" s="1" t="s">
        <v>83</v>
      </c>
      <c r="J2197" s="1" t="s">
        <v>70</v>
      </c>
      <c r="K2197" s="1" t="s">
        <v>36</v>
      </c>
      <c r="L2197" s="1" t="s">
        <v>85</v>
      </c>
      <c r="M2197" s="1" t="s">
        <v>62</v>
      </c>
      <c r="N2197" s="1" t="n">
        <v>14999</v>
      </c>
      <c r="O2197" s="1" t="n">
        <v>10</v>
      </c>
      <c r="P2197" s="1" t="n">
        <v>1499.9</v>
      </c>
      <c r="Q2197" s="1" t="n">
        <v>13499.1</v>
      </c>
      <c r="R2197" s="1" t="n">
        <v>2429.84</v>
      </c>
      <c r="S2197" s="1" t="n">
        <v>11069.26</v>
      </c>
      <c r="T2197" s="1" t="n">
        <v>4578.24</v>
      </c>
      <c r="U2197" s="1" t="n">
        <v>6491.02</v>
      </c>
      <c r="V2197" s="1" t="n">
        <v>58.64</v>
      </c>
      <c r="W2197" s="1" t="s">
        <v>39</v>
      </c>
      <c r="X2197" s="1" t="n">
        <v>3.3</v>
      </c>
      <c r="Y2197" s="1" t="s">
        <v>40</v>
      </c>
      <c r="Z2197" s="1" t="n">
        <v>0</v>
      </c>
    </row>
    <row r="2198" customFormat="false" ht="15" hidden="false" customHeight="true" outlineLevel="0" collapsed="false">
      <c r="A2198" s="1" t="s">
        <v>3065</v>
      </c>
      <c r="B2198" s="1" t="s">
        <v>913</v>
      </c>
      <c r="C2198" s="1" t="s">
        <v>93</v>
      </c>
      <c r="D2198" s="1" t="s">
        <v>44</v>
      </c>
      <c r="E2198" s="1" t="s">
        <v>221</v>
      </c>
      <c r="F2198" s="1" t="s">
        <v>82</v>
      </c>
      <c r="G2198" s="1" t="s">
        <v>56</v>
      </c>
      <c r="H2198" s="1" t="s">
        <v>69</v>
      </c>
      <c r="I2198" s="1" t="s">
        <v>83</v>
      </c>
      <c r="J2198" s="1" t="s">
        <v>77</v>
      </c>
      <c r="K2198" s="1" t="s">
        <v>112</v>
      </c>
      <c r="L2198" s="1" t="s">
        <v>85</v>
      </c>
      <c r="M2198" s="1" t="s">
        <v>38</v>
      </c>
      <c r="N2198" s="1" t="n">
        <v>16999</v>
      </c>
      <c r="O2198" s="1" t="n">
        <v>15</v>
      </c>
      <c r="P2198" s="1" t="n">
        <v>2549.85</v>
      </c>
      <c r="Q2198" s="1" t="n">
        <v>14449.15</v>
      </c>
      <c r="R2198" s="1" t="n">
        <v>2600.85</v>
      </c>
      <c r="S2198" s="1" t="n">
        <v>11848.3</v>
      </c>
      <c r="T2198" s="1" t="n">
        <v>4903.16</v>
      </c>
      <c r="U2198" s="1" t="n">
        <v>6945.14</v>
      </c>
      <c r="V2198" s="1" t="n">
        <v>58.62</v>
      </c>
      <c r="W2198" s="1" t="s">
        <v>40</v>
      </c>
      <c r="Y2198" s="1" t="s">
        <v>40</v>
      </c>
      <c r="Z2198" s="1" t="n">
        <v>0</v>
      </c>
    </row>
    <row r="2199" customFormat="false" ht="15" hidden="false" customHeight="true" outlineLevel="0" collapsed="false">
      <c r="A2199" s="1" t="s">
        <v>3066</v>
      </c>
      <c r="B2199" s="1" t="s">
        <v>1480</v>
      </c>
      <c r="C2199" s="1" t="s">
        <v>249</v>
      </c>
      <c r="D2199" s="1" t="s">
        <v>80</v>
      </c>
      <c r="E2199" s="1" t="s">
        <v>190</v>
      </c>
      <c r="F2199" s="1" t="s">
        <v>211</v>
      </c>
      <c r="G2199" s="1" t="s">
        <v>56</v>
      </c>
      <c r="H2199" s="1" t="s">
        <v>69</v>
      </c>
      <c r="I2199" s="1" t="s">
        <v>34</v>
      </c>
      <c r="J2199" s="1" t="s">
        <v>59</v>
      </c>
      <c r="K2199" s="1" t="s">
        <v>90</v>
      </c>
      <c r="L2199" s="1" t="s">
        <v>113</v>
      </c>
      <c r="M2199" s="1" t="s">
        <v>38</v>
      </c>
      <c r="N2199" s="1" t="n">
        <v>15999</v>
      </c>
      <c r="O2199" s="1" t="n">
        <v>40</v>
      </c>
      <c r="P2199" s="1" t="n">
        <v>6399.6</v>
      </c>
      <c r="Q2199" s="1" t="n">
        <v>9599.4</v>
      </c>
      <c r="R2199" s="1" t="n">
        <v>1727.89</v>
      </c>
      <c r="S2199" s="1" t="n">
        <v>7871.51</v>
      </c>
      <c r="T2199" s="1" t="n">
        <v>3686.67</v>
      </c>
      <c r="U2199" s="1" t="n">
        <v>4184.84</v>
      </c>
      <c r="V2199" s="1" t="n">
        <v>53.16</v>
      </c>
      <c r="W2199" s="1" t="s">
        <v>40</v>
      </c>
      <c r="Y2199" s="1" t="s">
        <v>40</v>
      </c>
      <c r="Z2199" s="1" t="n">
        <v>1</v>
      </c>
    </row>
    <row r="2200" customFormat="false" ht="15" hidden="false" customHeight="true" outlineLevel="0" collapsed="false">
      <c r="A2200" s="1" t="s">
        <v>3067</v>
      </c>
      <c r="B2200" s="1" t="s">
        <v>740</v>
      </c>
      <c r="C2200" s="1" t="s">
        <v>178</v>
      </c>
      <c r="D2200" s="1" t="s">
        <v>94</v>
      </c>
      <c r="E2200" s="1" t="s">
        <v>135</v>
      </c>
      <c r="F2200" s="1" t="s">
        <v>150</v>
      </c>
      <c r="G2200" s="1" t="s">
        <v>32</v>
      </c>
      <c r="H2200" s="1" t="s">
        <v>57</v>
      </c>
      <c r="I2200" s="1" t="s">
        <v>58</v>
      </c>
      <c r="J2200" s="1" t="s">
        <v>77</v>
      </c>
      <c r="K2200" s="1" t="s">
        <v>112</v>
      </c>
      <c r="L2200" s="1" t="s">
        <v>85</v>
      </c>
      <c r="M2200" s="1" t="s">
        <v>50</v>
      </c>
      <c r="N2200" s="1" t="n">
        <v>9999</v>
      </c>
      <c r="O2200" s="1" t="n">
        <v>15</v>
      </c>
      <c r="P2200" s="1" t="n">
        <v>1499.85</v>
      </c>
      <c r="Q2200" s="1" t="n">
        <v>8499.15</v>
      </c>
      <c r="R2200" s="1" t="n">
        <v>1529.85</v>
      </c>
      <c r="S2200" s="1" t="n">
        <v>6969.3</v>
      </c>
      <c r="T2200" s="1" t="n">
        <v>3044.43</v>
      </c>
      <c r="U2200" s="1" t="n">
        <v>3924.87</v>
      </c>
      <c r="V2200" s="1" t="n">
        <v>56.32</v>
      </c>
      <c r="W2200" s="1" t="s">
        <v>39</v>
      </c>
      <c r="X2200" s="1" t="n">
        <v>3.2</v>
      </c>
      <c r="Y2200" s="1" t="s">
        <v>40</v>
      </c>
      <c r="Z2200" s="1" t="n">
        <v>0</v>
      </c>
    </row>
    <row r="2201" customFormat="false" ht="15" hidden="false" customHeight="true" outlineLevel="0" collapsed="false">
      <c r="A2201" s="1" t="s">
        <v>3068</v>
      </c>
      <c r="B2201" s="1" t="s">
        <v>1830</v>
      </c>
      <c r="C2201" s="1" t="s">
        <v>249</v>
      </c>
      <c r="D2201" s="1" t="s">
        <v>123</v>
      </c>
      <c r="E2201" s="1" t="s">
        <v>147</v>
      </c>
      <c r="F2201" s="1" t="s">
        <v>31</v>
      </c>
      <c r="G2201" s="1" t="s">
        <v>32</v>
      </c>
      <c r="H2201" s="1" t="s">
        <v>33</v>
      </c>
      <c r="I2201" s="1" t="s">
        <v>83</v>
      </c>
      <c r="J2201" s="1" t="s">
        <v>35</v>
      </c>
      <c r="K2201" s="1" t="s">
        <v>104</v>
      </c>
      <c r="L2201" s="1" t="s">
        <v>49</v>
      </c>
      <c r="M2201" s="1" t="s">
        <v>62</v>
      </c>
      <c r="N2201" s="1" t="n">
        <v>6999</v>
      </c>
      <c r="O2201" s="1" t="n">
        <v>15</v>
      </c>
      <c r="P2201" s="1" t="n">
        <v>1049.85</v>
      </c>
      <c r="Q2201" s="1" t="n">
        <v>5949.15</v>
      </c>
      <c r="R2201" s="1" t="n">
        <v>1070.85</v>
      </c>
      <c r="S2201" s="1" t="n">
        <v>4878.3</v>
      </c>
      <c r="T2201" s="1" t="n">
        <v>1936.37</v>
      </c>
      <c r="U2201" s="1" t="n">
        <v>2941.93</v>
      </c>
      <c r="V2201" s="1" t="n">
        <v>60.31</v>
      </c>
      <c r="W2201" s="1" t="s">
        <v>40</v>
      </c>
      <c r="Y2201" s="1" t="s">
        <v>40</v>
      </c>
      <c r="Z2201" s="1" t="n">
        <v>0</v>
      </c>
    </row>
    <row r="2202" customFormat="false" ht="15" hidden="false" customHeight="true" outlineLevel="0" collapsed="false">
      <c r="A2202" s="1" t="s">
        <v>3069</v>
      </c>
      <c r="B2202" s="1" t="s">
        <v>625</v>
      </c>
      <c r="C2202" s="1" t="s">
        <v>74</v>
      </c>
      <c r="D2202" s="1" t="s">
        <v>29</v>
      </c>
      <c r="E2202" s="1" t="s">
        <v>305</v>
      </c>
      <c r="F2202" s="1" t="s">
        <v>184</v>
      </c>
      <c r="G2202" s="1" t="s">
        <v>56</v>
      </c>
      <c r="H2202" s="1" t="s">
        <v>57</v>
      </c>
      <c r="I2202" s="1" t="s">
        <v>83</v>
      </c>
      <c r="J2202" s="1" t="s">
        <v>131</v>
      </c>
      <c r="K2202" s="1" t="s">
        <v>104</v>
      </c>
      <c r="L2202" s="1" t="s">
        <v>37</v>
      </c>
      <c r="M2202" s="1" t="s">
        <v>50</v>
      </c>
      <c r="N2202" s="1" t="n">
        <v>24999</v>
      </c>
      <c r="O2202" s="1" t="n">
        <v>15</v>
      </c>
      <c r="P2202" s="1" t="n">
        <v>3749.85</v>
      </c>
      <c r="Q2202" s="1" t="n">
        <v>21249.15</v>
      </c>
      <c r="R2202" s="1" t="n">
        <v>3824.85</v>
      </c>
      <c r="S2202" s="1" t="n">
        <v>17424.3</v>
      </c>
      <c r="T2202" s="1" t="n">
        <v>7146.64</v>
      </c>
      <c r="U2202" s="1" t="n">
        <v>10277.66</v>
      </c>
      <c r="V2202" s="1" t="n">
        <v>58.98</v>
      </c>
      <c r="W2202" s="1" t="s">
        <v>39</v>
      </c>
      <c r="X2202" s="1" t="n">
        <v>3.5</v>
      </c>
      <c r="Y2202" s="1" t="s">
        <v>39</v>
      </c>
      <c r="Z2202" s="1" t="n">
        <v>0</v>
      </c>
    </row>
    <row r="2203" customFormat="false" ht="15" hidden="false" customHeight="true" outlineLevel="0" collapsed="false">
      <c r="A2203" s="1" t="s">
        <v>3070</v>
      </c>
      <c r="B2203" s="1" t="s">
        <v>378</v>
      </c>
      <c r="C2203" s="1" t="s">
        <v>28</v>
      </c>
      <c r="D2203" s="1" t="s">
        <v>80</v>
      </c>
      <c r="E2203" s="1" t="s">
        <v>190</v>
      </c>
      <c r="F2203" s="1" t="s">
        <v>194</v>
      </c>
      <c r="G2203" s="1" t="s">
        <v>103</v>
      </c>
      <c r="H2203" s="1" t="s">
        <v>69</v>
      </c>
      <c r="I2203" s="1" t="s">
        <v>83</v>
      </c>
      <c r="J2203" s="1" t="s">
        <v>59</v>
      </c>
      <c r="K2203" s="1" t="s">
        <v>60</v>
      </c>
      <c r="L2203" s="1" t="s">
        <v>61</v>
      </c>
      <c r="M2203" s="1" t="s">
        <v>62</v>
      </c>
      <c r="N2203" s="1" t="n">
        <v>15999</v>
      </c>
      <c r="O2203" s="1" t="n">
        <v>0</v>
      </c>
      <c r="P2203" s="1" t="n">
        <v>0</v>
      </c>
      <c r="Q2203" s="1" t="n">
        <v>15999</v>
      </c>
      <c r="R2203" s="1" t="n">
        <v>2879.82</v>
      </c>
      <c r="S2203" s="1" t="n">
        <v>13119.18</v>
      </c>
      <c r="T2203" s="1" t="n">
        <v>3889.06</v>
      </c>
      <c r="U2203" s="1" t="n">
        <v>9230.12</v>
      </c>
      <c r="V2203" s="1" t="n">
        <v>70.36</v>
      </c>
      <c r="W2203" s="1" t="s">
        <v>39</v>
      </c>
      <c r="X2203" s="1" t="n">
        <v>5</v>
      </c>
      <c r="Y2203" s="1" t="s">
        <v>40</v>
      </c>
      <c r="Z2203" s="1" t="n">
        <v>0</v>
      </c>
    </row>
    <row r="2204" customFormat="false" ht="15" hidden="false" customHeight="true" outlineLevel="0" collapsed="false">
      <c r="A2204" s="1" t="s">
        <v>3071</v>
      </c>
      <c r="B2204" s="1" t="s">
        <v>798</v>
      </c>
      <c r="C2204" s="1" t="s">
        <v>264</v>
      </c>
      <c r="D2204" s="1" t="s">
        <v>80</v>
      </c>
      <c r="E2204" s="1" t="s">
        <v>175</v>
      </c>
      <c r="F2204" s="1" t="s">
        <v>89</v>
      </c>
      <c r="G2204" s="1" t="s">
        <v>68</v>
      </c>
      <c r="H2204" s="1" t="s">
        <v>33</v>
      </c>
      <c r="I2204" s="1" t="s">
        <v>58</v>
      </c>
      <c r="J2204" s="1" t="s">
        <v>35</v>
      </c>
      <c r="K2204" s="1" t="s">
        <v>60</v>
      </c>
      <c r="L2204" s="1" t="s">
        <v>113</v>
      </c>
      <c r="M2204" s="1" t="s">
        <v>50</v>
      </c>
      <c r="N2204" s="1" t="n">
        <v>19999</v>
      </c>
      <c r="O2204" s="1" t="n">
        <v>5</v>
      </c>
      <c r="P2204" s="1" t="n">
        <v>999.95</v>
      </c>
      <c r="Q2204" s="1" t="n">
        <v>18999.05</v>
      </c>
      <c r="R2204" s="1" t="n">
        <v>3419.83</v>
      </c>
      <c r="S2204" s="1" t="n">
        <v>15579.22</v>
      </c>
      <c r="T2204" s="1" t="n">
        <v>6427.04</v>
      </c>
      <c r="U2204" s="1" t="n">
        <v>9152.18</v>
      </c>
      <c r="V2204" s="1" t="n">
        <v>58.75</v>
      </c>
      <c r="W2204" s="1" t="s">
        <v>39</v>
      </c>
      <c r="X2204" s="1" t="n">
        <v>4.7</v>
      </c>
      <c r="Y2204" s="1" t="s">
        <v>40</v>
      </c>
      <c r="Z2204" s="1" t="n">
        <v>0</v>
      </c>
    </row>
    <row r="2205" customFormat="false" ht="15" hidden="false" customHeight="true" outlineLevel="0" collapsed="false">
      <c r="A2205" s="1" t="s">
        <v>3072</v>
      </c>
      <c r="B2205" s="1" t="s">
        <v>1585</v>
      </c>
      <c r="C2205" s="1" t="s">
        <v>128</v>
      </c>
      <c r="D2205" s="1" t="s">
        <v>53</v>
      </c>
      <c r="E2205" s="1" t="s">
        <v>54</v>
      </c>
      <c r="F2205" s="1" t="s">
        <v>75</v>
      </c>
      <c r="G2205" s="1" t="s">
        <v>76</v>
      </c>
      <c r="H2205" s="1" t="s">
        <v>69</v>
      </c>
      <c r="I2205" s="1" t="s">
        <v>83</v>
      </c>
      <c r="J2205" s="1" t="s">
        <v>59</v>
      </c>
      <c r="K2205" s="1" t="s">
        <v>48</v>
      </c>
      <c r="L2205" s="1" t="s">
        <v>113</v>
      </c>
      <c r="M2205" s="1" t="s">
        <v>62</v>
      </c>
      <c r="N2205" s="1" t="n">
        <v>11999</v>
      </c>
      <c r="O2205" s="1" t="n">
        <v>15</v>
      </c>
      <c r="P2205" s="1" t="n">
        <v>1799.85</v>
      </c>
      <c r="Q2205" s="1" t="n">
        <v>10199.15</v>
      </c>
      <c r="R2205" s="1" t="n">
        <v>1835.85</v>
      </c>
      <c r="S2205" s="1" t="n">
        <v>8363.3</v>
      </c>
      <c r="T2205" s="1" t="n">
        <v>3811.76</v>
      </c>
      <c r="U2205" s="1" t="n">
        <v>4551.54</v>
      </c>
      <c r="V2205" s="1" t="n">
        <v>54.42</v>
      </c>
      <c r="W2205" s="1" t="s">
        <v>39</v>
      </c>
      <c r="X2205" s="1" t="n">
        <v>3.4</v>
      </c>
      <c r="Y2205" s="1" t="s">
        <v>40</v>
      </c>
      <c r="Z2205" s="1" t="n">
        <v>0</v>
      </c>
    </row>
    <row r="2206" customFormat="false" ht="15" hidden="false" customHeight="true" outlineLevel="0" collapsed="false">
      <c r="A2206" s="1" t="s">
        <v>3073</v>
      </c>
      <c r="B2206" s="1" t="s">
        <v>2086</v>
      </c>
      <c r="C2206" s="1" t="s">
        <v>74</v>
      </c>
      <c r="D2206" s="1" t="s">
        <v>94</v>
      </c>
      <c r="E2206" s="1" t="s">
        <v>101</v>
      </c>
      <c r="F2206" s="1" t="s">
        <v>31</v>
      </c>
      <c r="G2206" s="1" t="s">
        <v>32</v>
      </c>
      <c r="H2206" s="1" t="s">
        <v>33</v>
      </c>
      <c r="I2206" s="1" t="s">
        <v>34</v>
      </c>
      <c r="J2206" s="1" t="s">
        <v>59</v>
      </c>
      <c r="K2206" s="1" t="s">
        <v>48</v>
      </c>
      <c r="L2206" s="1" t="s">
        <v>85</v>
      </c>
      <c r="M2206" s="1" t="s">
        <v>50</v>
      </c>
      <c r="N2206" s="1" t="n">
        <v>14999</v>
      </c>
      <c r="O2206" s="1" t="n">
        <v>40</v>
      </c>
      <c r="P2206" s="1" t="n">
        <v>5999.6</v>
      </c>
      <c r="Q2206" s="1" t="n">
        <v>8999.4</v>
      </c>
      <c r="R2206" s="1" t="n">
        <v>1619.89</v>
      </c>
      <c r="S2206" s="1" t="n">
        <v>7379.51</v>
      </c>
      <c r="T2206" s="1" t="n">
        <v>3785.38</v>
      </c>
      <c r="U2206" s="1" t="n">
        <v>3594.13</v>
      </c>
      <c r="V2206" s="1" t="n">
        <v>48.7</v>
      </c>
      <c r="W2206" s="1" t="s">
        <v>39</v>
      </c>
      <c r="Y2206" s="1" t="s">
        <v>40</v>
      </c>
      <c r="Z2206" s="1" t="n">
        <v>1</v>
      </c>
    </row>
    <row r="2207" customFormat="false" ht="15" hidden="false" customHeight="true" outlineLevel="0" collapsed="false">
      <c r="A2207" s="1" t="s">
        <v>3074</v>
      </c>
      <c r="B2207" s="1" t="s">
        <v>2564</v>
      </c>
      <c r="C2207" s="1" t="s">
        <v>100</v>
      </c>
      <c r="D2207" s="1" t="s">
        <v>143</v>
      </c>
      <c r="E2207" s="1" t="s">
        <v>243</v>
      </c>
      <c r="F2207" s="1" t="s">
        <v>107</v>
      </c>
      <c r="G2207" s="1" t="s">
        <v>108</v>
      </c>
      <c r="H2207" s="1" t="s">
        <v>33</v>
      </c>
      <c r="I2207" s="1" t="s">
        <v>34</v>
      </c>
      <c r="J2207" s="1" t="s">
        <v>35</v>
      </c>
      <c r="K2207" s="1" t="s">
        <v>84</v>
      </c>
      <c r="L2207" s="1" t="s">
        <v>113</v>
      </c>
      <c r="M2207" s="1" t="s">
        <v>38</v>
      </c>
      <c r="N2207" s="1" t="n">
        <v>22999</v>
      </c>
      <c r="O2207" s="1" t="n">
        <v>10</v>
      </c>
      <c r="P2207" s="1" t="n">
        <v>2299.9</v>
      </c>
      <c r="Q2207" s="1" t="n">
        <v>20699.1</v>
      </c>
      <c r="R2207" s="1" t="n">
        <v>3725.84</v>
      </c>
      <c r="S2207" s="1" t="n">
        <v>16973.26</v>
      </c>
      <c r="T2207" s="1" t="n">
        <v>7703.11</v>
      </c>
      <c r="U2207" s="1" t="n">
        <v>9270.15</v>
      </c>
      <c r="V2207" s="1" t="n">
        <v>54.62</v>
      </c>
      <c r="W2207" s="1" t="s">
        <v>39</v>
      </c>
      <c r="X2207" s="1" t="n">
        <v>3.8</v>
      </c>
      <c r="Y2207" s="1" t="s">
        <v>40</v>
      </c>
      <c r="Z2207" s="1" t="n">
        <v>0</v>
      </c>
    </row>
    <row r="2208" customFormat="false" ht="15" hidden="false" customHeight="true" outlineLevel="0" collapsed="false">
      <c r="A2208" s="1" t="s">
        <v>3075</v>
      </c>
      <c r="B2208" s="1" t="s">
        <v>127</v>
      </c>
      <c r="C2208" s="1" t="s">
        <v>139</v>
      </c>
      <c r="D2208" s="1" t="s">
        <v>53</v>
      </c>
      <c r="E2208" s="1" t="s">
        <v>54</v>
      </c>
      <c r="F2208" s="1" t="s">
        <v>67</v>
      </c>
      <c r="G2208" s="1" t="s">
        <v>68</v>
      </c>
      <c r="H2208" s="1" t="s">
        <v>69</v>
      </c>
      <c r="I2208" s="1" t="s">
        <v>83</v>
      </c>
      <c r="J2208" s="1" t="s">
        <v>131</v>
      </c>
      <c r="K2208" s="1" t="s">
        <v>104</v>
      </c>
      <c r="L2208" s="1" t="s">
        <v>49</v>
      </c>
      <c r="M2208" s="1" t="s">
        <v>62</v>
      </c>
      <c r="N2208" s="1" t="n">
        <v>11999</v>
      </c>
      <c r="O2208" s="1" t="n">
        <v>0</v>
      </c>
      <c r="P2208" s="1" t="n">
        <v>0</v>
      </c>
      <c r="Q2208" s="1" t="n">
        <v>11999</v>
      </c>
      <c r="R2208" s="1" t="n">
        <v>2159.82</v>
      </c>
      <c r="S2208" s="1" t="n">
        <v>9839.18</v>
      </c>
      <c r="T2208" s="1" t="n">
        <v>3741.33</v>
      </c>
      <c r="U2208" s="1" t="n">
        <v>6097.85</v>
      </c>
      <c r="V2208" s="1" t="n">
        <v>61.98</v>
      </c>
      <c r="W2208" s="1" t="s">
        <v>39</v>
      </c>
      <c r="X2208" s="1" t="n">
        <v>4.4</v>
      </c>
      <c r="Y2208" s="1" t="s">
        <v>40</v>
      </c>
      <c r="Z2208" s="1" t="n">
        <v>1</v>
      </c>
    </row>
    <row r="2209" customFormat="false" ht="15" hidden="false" customHeight="true" outlineLevel="0" collapsed="false">
      <c r="A2209" s="1" t="s">
        <v>3076</v>
      </c>
      <c r="B2209" s="1" t="s">
        <v>622</v>
      </c>
      <c r="C2209" s="1" t="s">
        <v>74</v>
      </c>
      <c r="D2209" s="1" t="s">
        <v>29</v>
      </c>
      <c r="E2209" s="1" t="s">
        <v>182</v>
      </c>
      <c r="F2209" s="1" t="s">
        <v>130</v>
      </c>
      <c r="G2209" s="1" t="s">
        <v>47</v>
      </c>
      <c r="H2209" s="1" t="s">
        <v>69</v>
      </c>
      <c r="I2209" s="1" t="s">
        <v>58</v>
      </c>
      <c r="J2209" s="1" t="s">
        <v>70</v>
      </c>
      <c r="K2209" s="1" t="s">
        <v>104</v>
      </c>
      <c r="L2209" s="1" t="s">
        <v>37</v>
      </c>
      <c r="M2209" s="1" t="s">
        <v>38</v>
      </c>
      <c r="N2209" s="1" t="n">
        <v>34999</v>
      </c>
      <c r="O2209" s="1" t="n">
        <v>0</v>
      </c>
      <c r="P2209" s="1" t="n">
        <v>0</v>
      </c>
      <c r="Q2209" s="1" t="n">
        <v>34999</v>
      </c>
      <c r="R2209" s="1" t="n">
        <v>6299.82</v>
      </c>
      <c r="S2209" s="1" t="n">
        <v>28699.18</v>
      </c>
      <c r="T2209" s="1" t="n">
        <v>10605.52</v>
      </c>
      <c r="U2209" s="1" t="n">
        <v>18093.66</v>
      </c>
      <c r="V2209" s="1" t="n">
        <v>63.05</v>
      </c>
      <c r="W2209" s="1" t="s">
        <v>39</v>
      </c>
      <c r="Y2209" s="1" t="s">
        <v>39</v>
      </c>
      <c r="Z2209" s="1" t="n">
        <v>0</v>
      </c>
    </row>
    <row r="2210" customFormat="false" ht="15" hidden="false" customHeight="true" outlineLevel="0" collapsed="false">
      <c r="A2210" s="1" t="s">
        <v>3077</v>
      </c>
      <c r="B2210" s="1" t="s">
        <v>983</v>
      </c>
      <c r="C2210" s="1" t="s">
        <v>134</v>
      </c>
      <c r="D2210" s="1" t="s">
        <v>143</v>
      </c>
      <c r="E2210" s="1" t="s">
        <v>162</v>
      </c>
      <c r="F2210" s="1" t="s">
        <v>120</v>
      </c>
      <c r="G2210" s="1" t="s">
        <v>47</v>
      </c>
      <c r="H2210" s="1" t="s">
        <v>57</v>
      </c>
      <c r="I2210" s="1" t="s">
        <v>34</v>
      </c>
      <c r="J2210" s="1" t="s">
        <v>59</v>
      </c>
      <c r="K2210" s="1" t="s">
        <v>104</v>
      </c>
      <c r="L2210" s="1" t="s">
        <v>61</v>
      </c>
      <c r="M2210" s="1" t="s">
        <v>38</v>
      </c>
      <c r="N2210" s="1" t="n">
        <v>14999</v>
      </c>
      <c r="O2210" s="1" t="n">
        <v>15</v>
      </c>
      <c r="P2210" s="1" t="n">
        <v>2249.85</v>
      </c>
      <c r="Q2210" s="1" t="n">
        <v>12749.15</v>
      </c>
      <c r="R2210" s="1" t="n">
        <v>2294.85</v>
      </c>
      <c r="S2210" s="1" t="n">
        <v>10454.3</v>
      </c>
      <c r="T2210" s="1" t="n">
        <v>5120.69</v>
      </c>
      <c r="U2210" s="1" t="n">
        <v>5333.61</v>
      </c>
      <c r="V2210" s="1" t="n">
        <v>51.02</v>
      </c>
      <c r="W2210" s="1" t="s">
        <v>39</v>
      </c>
      <c r="X2210" s="1" t="n">
        <v>3.7</v>
      </c>
      <c r="Y2210" s="1" t="s">
        <v>40</v>
      </c>
      <c r="Z2210" s="1" t="n">
        <v>1</v>
      </c>
    </row>
    <row r="2211" customFormat="false" ht="15" hidden="false" customHeight="true" outlineLevel="0" collapsed="false">
      <c r="A2211" s="1" t="s">
        <v>3078</v>
      </c>
      <c r="B2211" s="1" t="s">
        <v>404</v>
      </c>
      <c r="C2211" s="1" t="s">
        <v>119</v>
      </c>
      <c r="D2211" s="1" t="s">
        <v>44</v>
      </c>
      <c r="E2211" s="1" t="s">
        <v>45</v>
      </c>
      <c r="F2211" s="1" t="s">
        <v>211</v>
      </c>
      <c r="G2211" s="1" t="s">
        <v>56</v>
      </c>
      <c r="H2211" s="1" t="s">
        <v>69</v>
      </c>
      <c r="I2211" s="1" t="s">
        <v>34</v>
      </c>
      <c r="J2211" s="1" t="s">
        <v>70</v>
      </c>
      <c r="K2211" s="1" t="s">
        <v>90</v>
      </c>
      <c r="L2211" s="1" t="s">
        <v>49</v>
      </c>
      <c r="M2211" s="1" t="s">
        <v>50</v>
      </c>
      <c r="N2211" s="1" t="n">
        <v>11999</v>
      </c>
      <c r="O2211" s="1" t="n">
        <v>30</v>
      </c>
      <c r="P2211" s="1" t="n">
        <v>3599.7</v>
      </c>
      <c r="Q2211" s="1" t="n">
        <v>8399.3</v>
      </c>
      <c r="R2211" s="1" t="n">
        <v>1511.87</v>
      </c>
      <c r="S2211" s="1" t="n">
        <v>6887.43</v>
      </c>
      <c r="T2211" s="1" t="n">
        <v>3118.66</v>
      </c>
      <c r="U2211" s="1" t="n">
        <v>3768.77</v>
      </c>
      <c r="V2211" s="1" t="n">
        <v>54.72</v>
      </c>
      <c r="W2211" s="1" t="s">
        <v>40</v>
      </c>
      <c r="Y2211" s="1" t="s">
        <v>39</v>
      </c>
      <c r="Z2211" s="1" t="n">
        <v>2</v>
      </c>
    </row>
    <row r="2212" customFormat="false" ht="15" hidden="false" customHeight="true" outlineLevel="0" collapsed="false">
      <c r="A2212" s="1" t="s">
        <v>3079</v>
      </c>
      <c r="B2212" s="1" t="s">
        <v>2560</v>
      </c>
      <c r="C2212" s="1" t="s">
        <v>93</v>
      </c>
      <c r="D2212" s="1" t="s">
        <v>123</v>
      </c>
      <c r="E2212" s="1" t="s">
        <v>147</v>
      </c>
      <c r="F2212" s="1" t="s">
        <v>153</v>
      </c>
      <c r="G2212" s="1" t="s">
        <v>76</v>
      </c>
      <c r="H2212" s="1" t="s">
        <v>33</v>
      </c>
      <c r="I2212" s="1" t="s">
        <v>34</v>
      </c>
      <c r="J2212" s="1" t="s">
        <v>77</v>
      </c>
      <c r="K2212" s="1" t="s">
        <v>90</v>
      </c>
      <c r="L2212" s="1" t="s">
        <v>85</v>
      </c>
      <c r="M2212" s="1" t="s">
        <v>38</v>
      </c>
      <c r="N2212" s="1" t="n">
        <v>6999</v>
      </c>
      <c r="O2212" s="1" t="n">
        <v>30</v>
      </c>
      <c r="P2212" s="1" t="n">
        <v>2099.7</v>
      </c>
      <c r="Q2212" s="1" t="n">
        <v>4899.3</v>
      </c>
      <c r="R2212" s="1" t="n">
        <v>881.87</v>
      </c>
      <c r="S2212" s="1" t="n">
        <v>4017.43</v>
      </c>
      <c r="T2212" s="1" t="n">
        <v>1771.2</v>
      </c>
      <c r="U2212" s="1" t="n">
        <v>2246.23</v>
      </c>
      <c r="V2212" s="1" t="n">
        <v>55.91</v>
      </c>
      <c r="W2212" s="1" t="s">
        <v>40</v>
      </c>
      <c r="Y2212" s="1" t="s">
        <v>40</v>
      </c>
      <c r="Z2212" s="1" t="n">
        <v>0</v>
      </c>
    </row>
    <row r="2213" customFormat="false" ht="15" hidden="false" customHeight="true" outlineLevel="0" collapsed="false">
      <c r="A2213" s="1" t="s">
        <v>3080</v>
      </c>
      <c r="B2213" s="1" t="s">
        <v>203</v>
      </c>
      <c r="C2213" s="1" t="s">
        <v>178</v>
      </c>
      <c r="D2213" s="1" t="s">
        <v>123</v>
      </c>
      <c r="E2213" s="1" t="s">
        <v>233</v>
      </c>
      <c r="F2213" s="1" t="s">
        <v>153</v>
      </c>
      <c r="G2213" s="1" t="s">
        <v>76</v>
      </c>
      <c r="H2213" s="1" t="s">
        <v>33</v>
      </c>
      <c r="I2213" s="1" t="s">
        <v>34</v>
      </c>
      <c r="J2213" s="1" t="s">
        <v>59</v>
      </c>
      <c r="K2213" s="1" t="s">
        <v>60</v>
      </c>
      <c r="L2213" s="1" t="s">
        <v>113</v>
      </c>
      <c r="M2213" s="1" t="s">
        <v>50</v>
      </c>
      <c r="N2213" s="1" t="n">
        <v>8999</v>
      </c>
      <c r="O2213" s="1" t="n">
        <v>30</v>
      </c>
      <c r="P2213" s="1" t="n">
        <v>2699.7</v>
      </c>
      <c r="Q2213" s="1" t="n">
        <v>6299.3</v>
      </c>
      <c r="R2213" s="1" t="n">
        <v>1133.87</v>
      </c>
      <c r="S2213" s="1" t="n">
        <v>5165.43</v>
      </c>
      <c r="T2213" s="1" t="n">
        <v>2433.97</v>
      </c>
      <c r="U2213" s="1" t="n">
        <v>2731.46</v>
      </c>
      <c r="V2213" s="1" t="n">
        <v>52.88</v>
      </c>
      <c r="W2213" s="1" t="s">
        <v>40</v>
      </c>
      <c r="Y2213" s="1" t="s">
        <v>39</v>
      </c>
      <c r="Z2213" s="1" t="n">
        <v>0</v>
      </c>
    </row>
    <row r="2214" customFormat="false" ht="15" hidden="false" customHeight="true" outlineLevel="0" collapsed="false">
      <c r="A2214" s="1" t="s">
        <v>3081</v>
      </c>
      <c r="B2214" s="1" t="s">
        <v>1610</v>
      </c>
      <c r="C2214" s="1" t="s">
        <v>249</v>
      </c>
      <c r="D2214" s="1" t="s">
        <v>80</v>
      </c>
      <c r="E2214" s="1" t="s">
        <v>190</v>
      </c>
      <c r="F2214" s="1" t="s">
        <v>194</v>
      </c>
      <c r="G2214" s="1" t="s">
        <v>103</v>
      </c>
      <c r="H2214" s="1" t="s">
        <v>69</v>
      </c>
      <c r="I2214" s="1" t="s">
        <v>58</v>
      </c>
      <c r="J2214" s="1" t="s">
        <v>35</v>
      </c>
      <c r="K2214" s="1" t="s">
        <v>71</v>
      </c>
      <c r="L2214" s="1" t="s">
        <v>113</v>
      </c>
      <c r="M2214" s="1" t="s">
        <v>38</v>
      </c>
      <c r="N2214" s="1" t="n">
        <v>15999</v>
      </c>
      <c r="O2214" s="1" t="n">
        <v>20</v>
      </c>
      <c r="P2214" s="1" t="n">
        <v>3199.8</v>
      </c>
      <c r="Q2214" s="1" t="n">
        <v>12799.2</v>
      </c>
      <c r="R2214" s="1" t="n">
        <v>2303.86</v>
      </c>
      <c r="S2214" s="1" t="n">
        <v>10495.34</v>
      </c>
      <c r="T2214" s="1" t="n">
        <v>3550.39</v>
      </c>
      <c r="U2214" s="1" t="n">
        <v>6944.95</v>
      </c>
      <c r="V2214" s="1" t="n">
        <v>66.17</v>
      </c>
      <c r="W2214" s="1" t="s">
        <v>40</v>
      </c>
      <c r="Y2214" s="1" t="s">
        <v>40</v>
      </c>
      <c r="Z2214" s="1" t="n">
        <v>1</v>
      </c>
    </row>
    <row r="2215" customFormat="false" ht="15" hidden="false" customHeight="true" outlineLevel="0" collapsed="false">
      <c r="A2215" s="1" t="s">
        <v>3082</v>
      </c>
      <c r="B2215" s="1" t="s">
        <v>99</v>
      </c>
      <c r="C2215" s="1" t="s">
        <v>264</v>
      </c>
      <c r="D2215" s="1" t="s">
        <v>80</v>
      </c>
      <c r="E2215" s="1" t="s">
        <v>190</v>
      </c>
      <c r="F2215" s="1" t="s">
        <v>107</v>
      </c>
      <c r="G2215" s="1" t="s">
        <v>108</v>
      </c>
      <c r="H2215" s="1" t="s">
        <v>33</v>
      </c>
      <c r="I2215" s="1" t="s">
        <v>34</v>
      </c>
      <c r="J2215" s="1" t="s">
        <v>77</v>
      </c>
      <c r="K2215" s="1" t="s">
        <v>112</v>
      </c>
      <c r="L2215" s="1" t="s">
        <v>49</v>
      </c>
      <c r="M2215" s="1" t="s">
        <v>62</v>
      </c>
      <c r="N2215" s="1" t="n">
        <v>15999</v>
      </c>
      <c r="O2215" s="1" t="n">
        <v>30</v>
      </c>
      <c r="P2215" s="1" t="n">
        <v>4799.7</v>
      </c>
      <c r="Q2215" s="1" t="n">
        <v>11199.3</v>
      </c>
      <c r="R2215" s="1" t="n">
        <v>2015.87</v>
      </c>
      <c r="S2215" s="1" t="n">
        <v>9183.43</v>
      </c>
      <c r="T2215" s="1" t="n">
        <v>3424.13</v>
      </c>
      <c r="U2215" s="1" t="n">
        <v>5759.3</v>
      </c>
      <c r="V2215" s="1" t="n">
        <v>62.71</v>
      </c>
      <c r="W2215" s="1" t="s">
        <v>39</v>
      </c>
      <c r="Y2215" s="1" t="s">
        <v>40</v>
      </c>
      <c r="Z2215" s="1" t="n">
        <v>1</v>
      </c>
    </row>
    <row r="2216" customFormat="false" ht="15" hidden="false" customHeight="true" outlineLevel="0" collapsed="false">
      <c r="A2216" s="1" t="s">
        <v>3083</v>
      </c>
      <c r="B2216" s="1" t="s">
        <v>1250</v>
      </c>
      <c r="C2216" s="1" t="s">
        <v>88</v>
      </c>
      <c r="D2216" s="1" t="s">
        <v>123</v>
      </c>
      <c r="E2216" s="1" t="s">
        <v>233</v>
      </c>
      <c r="F2216" s="1" t="s">
        <v>82</v>
      </c>
      <c r="G2216" s="1" t="s">
        <v>56</v>
      </c>
      <c r="H2216" s="1" t="s">
        <v>69</v>
      </c>
      <c r="I2216" s="1" t="s">
        <v>83</v>
      </c>
      <c r="J2216" s="1" t="s">
        <v>59</v>
      </c>
      <c r="K2216" s="1" t="s">
        <v>36</v>
      </c>
      <c r="L2216" s="1" t="s">
        <v>113</v>
      </c>
      <c r="M2216" s="1" t="s">
        <v>62</v>
      </c>
      <c r="N2216" s="1" t="n">
        <v>8999</v>
      </c>
      <c r="O2216" s="1" t="n">
        <v>15</v>
      </c>
      <c r="P2216" s="1" t="n">
        <v>1349.85</v>
      </c>
      <c r="Q2216" s="1" t="n">
        <v>7649.15</v>
      </c>
      <c r="R2216" s="1" t="n">
        <v>1376.85</v>
      </c>
      <c r="S2216" s="1" t="n">
        <v>6272.3</v>
      </c>
      <c r="T2216" s="1" t="n">
        <v>2491.17</v>
      </c>
      <c r="U2216" s="1" t="n">
        <v>3781.13</v>
      </c>
      <c r="V2216" s="1" t="n">
        <v>60.28</v>
      </c>
      <c r="W2216" s="1" t="s">
        <v>40</v>
      </c>
      <c r="Y2216" s="1" t="s">
        <v>40</v>
      </c>
      <c r="Z2216" s="1" t="n">
        <v>1</v>
      </c>
    </row>
    <row r="2217" customFormat="false" ht="15" hidden="false" customHeight="true" outlineLevel="0" collapsed="false">
      <c r="A2217" s="1" t="s">
        <v>3084</v>
      </c>
      <c r="B2217" s="1" t="s">
        <v>1746</v>
      </c>
      <c r="C2217" s="1" t="s">
        <v>93</v>
      </c>
      <c r="D2217" s="1" t="s">
        <v>143</v>
      </c>
      <c r="E2217" s="1" t="s">
        <v>144</v>
      </c>
      <c r="F2217" s="1" t="s">
        <v>184</v>
      </c>
      <c r="G2217" s="1" t="s">
        <v>56</v>
      </c>
      <c r="H2217" s="1" t="s">
        <v>57</v>
      </c>
      <c r="I2217" s="1" t="s">
        <v>83</v>
      </c>
      <c r="J2217" s="1" t="s">
        <v>70</v>
      </c>
      <c r="K2217" s="1" t="s">
        <v>36</v>
      </c>
      <c r="L2217" s="1" t="s">
        <v>37</v>
      </c>
      <c r="M2217" s="1" t="s">
        <v>62</v>
      </c>
      <c r="N2217" s="1" t="n">
        <v>12999</v>
      </c>
      <c r="O2217" s="1" t="n">
        <v>10</v>
      </c>
      <c r="P2217" s="1" t="n">
        <v>1299.9</v>
      </c>
      <c r="Q2217" s="1" t="n">
        <v>11699.1</v>
      </c>
      <c r="R2217" s="1" t="n">
        <v>2105.84</v>
      </c>
      <c r="S2217" s="1" t="n">
        <v>9593.26</v>
      </c>
      <c r="T2217" s="1" t="n">
        <v>4406.66</v>
      </c>
      <c r="U2217" s="1" t="n">
        <v>5186.6</v>
      </c>
      <c r="V2217" s="1" t="n">
        <v>54.07</v>
      </c>
      <c r="W2217" s="1" t="s">
        <v>39</v>
      </c>
      <c r="X2217" s="1" t="n">
        <v>3.3</v>
      </c>
      <c r="Y2217" s="1" t="s">
        <v>40</v>
      </c>
      <c r="Z2217" s="1" t="n">
        <v>0</v>
      </c>
    </row>
    <row r="2218" customFormat="false" ht="15" hidden="false" customHeight="true" outlineLevel="0" collapsed="false">
      <c r="A2218" s="1" t="s">
        <v>3085</v>
      </c>
      <c r="B2218" s="1" t="s">
        <v>1621</v>
      </c>
      <c r="C2218" s="1" t="s">
        <v>119</v>
      </c>
      <c r="D2218" s="1" t="s">
        <v>168</v>
      </c>
      <c r="E2218" s="1" t="s">
        <v>169</v>
      </c>
      <c r="F2218" s="1" t="s">
        <v>194</v>
      </c>
      <c r="G2218" s="1" t="s">
        <v>103</v>
      </c>
      <c r="H2218" s="1" t="s">
        <v>69</v>
      </c>
      <c r="I2218" s="1" t="s">
        <v>83</v>
      </c>
      <c r="J2218" s="1" t="s">
        <v>59</v>
      </c>
      <c r="K2218" s="1" t="s">
        <v>90</v>
      </c>
      <c r="L2218" s="1" t="s">
        <v>37</v>
      </c>
      <c r="M2218" s="1" t="s">
        <v>38</v>
      </c>
      <c r="N2218" s="1" t="n">
        <v>4999</v>
      </c>
      <c r="O2218" s="1" t="n">
        <v>20</v>
      </c>
      <c r="P2218" s="1" t="n">
        <v>999.8</v>
      </c>
      <c r="Q2218" s="1" t="n">
        <v>3999.2</v>
      </c>
      <c r="R2218" s="1" t="n">
        <v>719.86</v>
      </c>
      <c r="S2218" s="1" t="n">
        <v>3279.34</v>
      </c>
      <c r="T2218" s="1" t="n">
        <v>1413.88</v>
      </c>
      <c r="U2218" s="1" t="n">
        <v>1865.46</v>
      </c>
      <c r="V2218" s="1" t="n">
        <v>56.89</v>
      </c>
      <c r="W2218" s="1" t="s">
        <v>40</v>
      </c>
      <c r="Y2218" s="1" t="s">
        <v>40</v>
      </c>
      <c r="Z2218" s="1" t="n">
        <v>0</v>
      </c>
    </row>
    <row r="2219" customFormat="false" ht="15" hidden="false" customHeight="true" outlineLevel="0" collapsed="false">
      <c r="A2219" s="1" t="s">
        <v>3086</v>
      </c>
      <c r="B2219" s="1" t="s">
        <v>913</v>
      </c>
      <c r="C2219" s="1" t="s">
        <v>93</v>
      </c>
      <c r="D2219" s="1" t="s">
        <v>44</v>
      </c>
      <c r="E2219" s="1" t="s">
        <v>45</v>
      </c>
      <c r="F2219" s="1" t="s">
        <v>55</v>
      </c>
      <c r="G2219" s="1" t="s">
        <v>56</v>
      </c>
      <c r="H2219" s="1" t="s">
        <v>57</v>
      </c>
      <c r="I2219" s="1" t="s">
        <v>83</v>
      </c>
      <c r="J2219" s="1" t="s">
        <v>77</v>
      </c>
      <c r="K2219" s="1" t="s">
        <v>84</v>
      </c>
      <c r="L2219" s="1" t="s">
        <v>37</v>
      </c>
      <c r="M2219" s="1" t="s">
        <v>50</v>
      </c>
      <c r="N2219" s="1" t="n">
        <v>11999</v>
      </c>
      <c r="O2219" s="1" t="n">
        <v>10</v>
      </c>
      <c r="P2219" s="1" t="n">
        <v>1199.9</v>
      </c>
      <c r="Q2219" s="1" t="n">
        <v>10799.1</v>
      </c>
      <c r="R2219" s="1" t="n">
        <v>1943.84</v>
      </c>
      <c r="S2219" s="1" t="n">
        <v>8855.26</v>
      </c>
      <c r="T2219" s="1" t="n">
        <v>4678.46</v>
      </c>
      <c r="U2219" s="1" t="n">
        <v>4176.8</v>
      </c>
      <c r="V2219" s="1" t="n">
        <v>47.17</v>
      </c>
      <c r="W2219" s="1" t="s">
        <v>39</v>
      </c>
      <c r="X2219" s="1" t="n">
        <v>4</v>
      </c>
      <c r="Y2219" s="1" t="s">
        <v>40</v>
      </c>
      <c r="Z2219" s="1" t="n">
        <v>1</v>
      </c>
    </row>
    <row r="2220" customFormat="false" ht="15" hidden="false" customHeight="true" outlineLevel="0" collapsed="false">
      <c r="A2220" s="1" t="s">
        <v>3087</v>
      </c>
      <c r="B2220" s="1" t="s">
        <v>489</v>
      </c>
      <c r="C2220" s="1" t="s">
        <v>43</v>
      </c>
      <c r="D2220" s="1" t="s">
        <v>168</v>
      </c>
      <c r="E2220" s="1" t="s">
        <v>328</v>
      </c>
      <c r="F2220" s="1" t="s">
        <v>55</v>
      </c>
      <c r="G2220" s="1" t="s">
        <v>56</v>
      </c>
      <c r="H2220" s="1" t="s">
        <v>57</v>
      </c>
      <c r="I2220" s="1" t="s">
        <v>58</v>
      </c>
      <c r="J2220" s="1" t="s">
        <v>77</v>
      </c>
      <c r="K2220" s="1" t="s">
        <v>71</v>
      </c>
      <c r="L2220" s="1" t="s">
        <v>85</v>
      </c>
      <c r="M2220" s="1" t="s">
        <v>38</v>
      </c>
      <c r="N2220" s="1" t="n">
        <v>8999</v>
      </c>
      <c r="O2220" s="1" t="n">
        <v>0</v>
      </c>
      <c r="P2220" s="1" t="n">
        <v>0</v>
      </c>
      <c r="Q2220" s="1" t="n">
        <v>8999</v>
      </c>
      <c r="R2220" s="1" t="n">
        <v>1619.82</v>
      </c>
      <c r="S2220" s="1" t="n">
        <v>7379.18</v>
      </c>
      <c r="T2220" s="1" t="n">
        <v>3126.02</v>
      </c>
      <c r="U2220" s="1" t="n">
        <v>4253.16</v>
      </c>
      <c r="V2220" s="1" t="n">
        <v>57.64</v>
      </c>
      <c r="W2220" s="1" t="s">
        <v>39</v>
      </c>
      <c r="X2220" s="1" t="n">
        <v>4</v>
      </c>
      <c r="Y2220" s="1" t="s">
        <v>40</v>
      </c>
      <c r="Z2220" s="1" t="n">
        <v>0</v>
      </c>
    </row>
    <row r="2221" customFormat="false" ht="15" hidden="false" customHeight="true" outlineLevel="0" collapsed="false">
      <c r="A2221" s="1" t="s">
        <v>3088</v>
      </c>
      <c r="B2221" s="1" t="s">
        <v>2499</v>
      </c>
      <c r="C2221" s="1" t="s">
        <v>249</v>
      </c>
      <c r="D2221" s="1" t="s">
        <v>143</v>
      </c>
      <c r="E2221" s="1" t="s">
        <v>159</v>
      </c>
      <c r="F2221" s="1" t="s">
        <v>140</v>
      </c>
      <c r="G2221" s="1" t="s">
        <v>97</v>
      </c>
      <c r="H2221" s="1" t="s">
        <v>57</v>
      </c>
      <c r="I2221" s="1" t="s">
        <v>34</v>
      </c>
      <c r="J2221" s="1" t="s">
        <v>35</v>
      </c>
      <c r="K2221" s="1" t="s">
        <v>60</v>
      </c>
      <c r="L2221" s="1" t="s">
        <v>37</v>
      </c>
      <c r="M2221" s="1" t="s">
        <v>38</v>
      </c>
      <c r="N2221" s="1" t="n">
        <v>24999</v>
      </c>
      <c r="O2221" s="1" t="n">
        <v>40</v>
      </c>
      <c r="P2221" s="1" t="n">
        <v>9999.6</v>
      </c>
      <c r="Q2221" s="1" t="n">
        <v>14999.4</v>
      </c>
      <c r="R2221" s="1" t="n">
        <v>2699.89</v>
      </c>
      <c r="S2221" s="1" t="n">
        <v>12299.51</v>
      </c>
      <c r="T2221" s="1" t="n">
        <v>7596.19</v>
      </c>
      <c r="U2221" s="1" t="n">
        <v>4703.32</v>
      </c>
      <c r="V2221" s="1" t="n">
        <v>38.24</v>
      </c>
      <c r="W2221" s="1" t="s">
        <v>39</v>
      </c>
      <c r="X2221" s="1" t="n">
        <v>3.8</v>
      </c>
      <c r="Y2221" s="1" t="s">
        <v>40</v>
      </c>
      <c r="Z2221" s="1" t="n">
        <v>0</v>
      </c>
    </row>
    <row r="2222" customFormat="false" ht="15" hidden="false" customHeight="true" outlineLevel="0" collapsed="false">
      <c r="A2222" s="1" t="s">
        <v>3089</v>
      </c>
      <c r="B2222" s="1" t="s">
        <v>2360</v>
      </c>
      <c r="C2222" s="1" t="s">
        <v>93</v>
      </c>
      <c r="D2222" s="1" t="s">
        <v>143</v>
      </c>
      <c r="E2222" s="1" t="s">
        <v>162</v>
      </c>
      <c r="F2222" s="1" t="s">
        <v>82</v>
      </c>
      <c r="G2222" s="1" t="s">
        <v>56</v>
      </c>
      <c r="H2222" s="1" t="s">
        <v>69</v>
      </c>
      <c r="I2222" s="1" t="s">
        <v>83</v>
      </c>
      <c r="J2222" s="1" t="s">
        <v>70</v>
      </c>
      <c r="K2222" s="1" t="s">
        <v>36</v>
      </c>
      <c r="L2222" s="1" t="s">
        <v>61</v>
      </c>
      <c r="M2222" s="1" t="s">
        <v>50</v>
      </c>
      <c r="N2222" s="1" t="n">
        <v>14999</v>
      </c>
      <c r="O2222" s="1" t="n">
        <v>20</v>
      </c>
      <c r="P2222" s="1" t="n">
        <v>2999.8</v>
      </c>
      <c r="Q2222" s="1" t="n">
        <v>11999.2</v>
      </c>
      <c r="R2222" s="1" t="n">
        <v>2159.86</v>
      </c>
      <c r="S2222" s="1" t="n">
        <v>9839.34</v>
      </c>
      <c r="T2222" s="1" t="n">
        <v>3899.23</v>
      </c>
      <c r="U2222" s="1" t="n">
        <v>5940.11</v>
      </c>
      <c r="V2222" s="1" t="n">
        <v>60.37</v>
      </c>
      <c r="W2222" s="1" t="s">
        <v>39</v>
      </c>
      <c r="Y2222" s="1" t="s">
        <v>40</v>
      </c>
      <c r="Z2222" s="1" t="n">
        <v>0</v>
      </c>
    </row>
    <row r="2223" customFormat="false" ht="15" hidden="false" customHeight="true" outlineLevel="0" collapsed="false">
      <c r="A2223" s="1" t="s">
        <v>3090</v>
      </c>
      <c r="B2223" s="1" t="s">
        <v>415</v>
      </c>
      <c r="C2223" s="1" t="s">
        <v>28</v>
      </c>
      <c r="D2223" s="1" t="s">
        <v>123</v>
      </c>
      <c r="E2223" s="1" t="s">
        <v>147</v>
      </c>
      <c r="F2223" s="1" t="s">
        <v>211</v>
      </c>
      <c r="G2223" s="1" t="s">
        <v>56</v>
      </c>
      <c r="H2223" s="1" t="s">
        <v>69</v>
      </c>
      <c r="I2223" s="1" t="s">
        <v>34</v>
      </c>
      <c r="J2223" s="1" t="s">
        <v>70</v>
      </c>
      <c r="K2223" s="1" t="s">
        <v>84</v>
      </c>
      <c r="L2223" s="1" t="s">
        <v>136</v>
      </c>
      <c r="M2223" s="1" t="s">
        <v>38</v>
      </c>
      <c r="N2223" s="1" t="n">
        <v>6999</v>
      </c>
      <c r="O2223" s="1" t="n">
        <v>10</v>
      </c>
      <c r="P2223" s="1" t="n">
        <v>699.9</v>
      </c>
      <c r="Q2223" s="1" t="n">
        <v>6299.1</v>
      </c>
      <c r="R2223" s="1" t="n">
        <v>1133.84</v>
      </c>
      <c r="S2223" s="1" t="n">
        <v>5165.26</v>
      </c>
      <c r="T2223" s="1" t="n">
        <v>1832.97</v>
      </c>
      <c r="U2223" s="1" t="n">
        <v>3332.29</v>
      </c>
      <c r="V2223" s="1" t="n">
        <v>64.51</v>
      </c>
      <c r="W2223" s="1" t="s">
        <v>39</v>
      </c>
      <c r="X2223" s="1" t="n">
        <v>3</v>
      </c>
      <c r="Y2223" s="1" t="s">
        <v>40</v>
      </c>
      <c r="Z2223" s="1" t="n">
        <v>1</v>
      </c>
    </row>
    <row r="2224" customFormat="false" ht="15" hidden="false" customHeight="true" outlineLevel="0" collapsed="false">
      <c r="A2224" s="1" t="s">
        <v>3091</v>
      </c>
      <c r="B2224" s="1" t="s">
        <v>1802</v>
      </c>
      <c r="C2224" s="1" t="s">
        <v>249</v>
      </c>
      <c r="D2224" s="1" t="s">
        <v>123</v>
      </c>
      <c r="E2224" s="1" t="s">
        <v>147</v>
      </c>
      <c r="F2224" s="1" t="s">
        <v>205</v>
      </c>
      <c r="G2224" s="1" t="s">
        <v>56</v>
      </c>
      <c r="H2224" s="1" t="s">
        <v>69</v>
      </c>
      <c r="I2224" s="1" t="s">
        <v>34</v>
      </c>
      <c r="J2224" s="1" t="s">
        <v>70</v>
      </c>
      <c r="K2224" s="1" t="s">
        <v>71</v>
      </c>
      <c r="L2224" s="1" t="s">
        <v>136</v>
      </c>
      <c r="M2224" s="1" t="s">
        <v>50</v>
      </c>
      <c r="N2224" s="1" t="n">
        <v>6999</v>
      </c>
      <c r="O2224" s="1" t="n">
        <v>40</v>
      </c>
      <c r="P2224" s="1" t="n">
        <v>2799.6</v>
      </c>
      <c r="Q2224" s="1" t="n">
        <v>4199.4</v>
      </c>
      <c r="R2224" s="1" t="n">
        <v>755.89</v>
      </c>
      <c r="S2224" s="1" t="n">
        <v>3443.51</v>
      </c>
      <c r="T2224" s="1" t="n">
        <v>1888.8</v>
      </c>
      <c r="U2224" s="1" t="n">
        <v>1554.71</v>
      </c>
      <c r="V2224" s="1" t="n">
        <v>45.15</v>
      </c>
      <c r="W2224" s="1" t="s">
        <v>40</v>
      </c>
      <c r="Y2224" s="1" t="s">
        <v>40</v>
      </c>
      <c r="Z2224" s="1" t="n">
        <v>0</v>
      </c>
    </row>
    <row r="2225" customFormat="false" ht="15" hidden="false" customHeight="true" outlineLevel="0" collapsed="false">
      <c r="A2225" s="1" t="s">
        <v>3092</v>
      </c>
      <c r="B2225" s="1" t="s">
        <v>428</v>
      </c>
      <c r="C2225" s="1" t="s">
        <v>134</v>
      </c>
      <c r="D2225" s="1" t="s">
        <v>123</v>
      </c>
      <c r="E2225" s="1" t="s">
        <v>147</v>
      </c>
      <c r="F2225" s="1" t="s">
        <v>383</v>
      </c>
      <c r="G2225" s="1" t="s">
        <v>56</v>
      </c>
      <c r="H2225" s="1" t="s">
        <v>57</v>
      </c>
      <c r="I2225" s="1" t="s">
        <v>83</v>
      </c>
      <c r="J2225" s="1" t="s">
        <v>70</v>
      </c>
      <c r="K2225" s="1" t="s">
        <v>60</v>
      </c>
      <c r="L2225" s="1" t="s">
        <v>61</v>
      </c>
      <c r="M2225" s="1" t="s">
        <v>62</v>
      </c>
      <c r="N2225" s="1" t="n">
        <v>6999</v>
      </c>
      <c r="O2225" s="1" t="n">
        <v>0</v>
      </c>
      <c r="P2225" s="1" t="n">
        <v>0</v>
      </c>
      <c r="Q2225" s="1" t="n">
        <v>6999</v>
      </c>
      <c r="R2225" s="1" t="n">
        <v>1259.82</v>
      </c>
      <c r="S2225" s="1" t="n">
        <v>5739.18</v>
      </c>
      <c r="T2225" s="1" t="n">
        <v>2574.43</v>
      </c>
      <c r="U2225" s="1" t="n">
        <v>3164.75</v>
      </c>
      <c r="V2225" s="1" t="n">
        <v>55.14</v>
      </c>
      <c r="W2225" s="1" t="s">
        <v>40</v>
      </c>
      <c r="Y2225" s="1" t="s">
        <v>40</v>
      </c>
      <c r="Z2225" s="1" t="n">
        <v>0</v>
      </c>
    </row>
    <row r="2226" customFormat="false" ht="15" hidden="false" customHeight="true" outlineLevel="0" collapsed="false">
      <c r="A2226" s="1" t="s">
        <v>3093</v>
      </c>
      <c r="B2226" s="1" t="s">
        <v>1659</v>
      </c>
      <c r="C2226" s="1" t="s">
        <v>28</v>
      </c>
      <c r="D2226" s="1" t="s">
        <v>94</v>
      </c>
      <c r="E2226" s="1" t="s">
        <v>95</v>
      </c>
      <c r="F2226" s="1" t="s">
        <v>31</v>
      </c>
      <c r="G2226" s="1" t="s">
        <v>32</v>
      </c>
      <c r="H2226" s="1" t="s">
        <v>33</v>
      </c>
      <c r="I2226" s="1" t="s">
        <v>34</v>
      </c>
      <c r="J2226" s="1" t="s">
        <v>70</v>
      </c>
      <c r="K2226" s="1" t="s">
        <v>48</v>
      </c>
      <c r="L2226" s="1" t="s">
        <v>113</v>
      </c>
      <c r="M2226" s="1" t="s">
        <v>38</v>
      </c>
      <c r="N2226" s="1" t="n">
        <v>6999</v>
      </c>
      <c r="O2226" s="1" t="n">
        <v>40</v>
      </c>
      <c r="P2226" s="1" t="n">
        <v>2799.6</v>
      </c>
      <c r="Q2226" s="1" t="n">
        <v>4199.4</v>
      </c>
      <c r="R2226" s="1" t="n">
        <v>755.89</v>
      </c>
      <c r="S2226" s="1" t="n">
        <v>3443.51</v>
      </c>
      <c r="T2226" s="1" t="n">
        <v>1856.28</v>
      </c>
      <c r="U2226" s="1" t="n">
        <v>1587.23</v>
      </c>
      <c r="V2226" s="1" t="n">
        <v>46.09</v>
      </c>
      <c r="W2226" s="1" t="s">
        <v>39</v>
      </c>
      <c r="X2226" s="1" t="n">
        <v>3.8</v>
      </c>
      <c r="Y2226" s="1" t="s">
        <v>40</v>
      </c>
      <c r="Z2226" s="1" t="n">
        <v>0</v>
      </c>
    </row>
    <row r="2227" customFormat="false" ht="15" hidden="false" customHeight="true" outlineLevel="0" collapsed="false">
      <c r="A2227" s="1" t="s">
        <v>3094</v>
      </c>
      <c r="B2227" s="1" t="s">
        <v>939</v>
      </c>
      <c r="C2227" s="1" t="s">
        <v>139</v>
      </c>
      <c r="D2227" s="1" t="s">
        <v>53</v>
      </c>
      <c r="E2227" s="1" t="s">
        <v>116</v>
      </c>
      <c r="F2227" s="1" t="s">
        <v>205</v>
      </c>
      <c r="G2227" s="1" t="s">
        <v>56</v>
      </c>
      <c r="H2227" s="1" t="s">
        <v>69</v>
      </c>
      <c r="I2227" s="1" t="s">
        <v>34</v>
      </c>
      <c r="J2227" s="1" t="s">
        <v>131</v>
      </c>
      <c r="K2227" s="1" t="s">
        <v>84</v>
      </c>
      <c r="L2227" s="1" t="s">
        <v>49</v>
      </c>
      <c r="M2227" s="1" t="s">
        <v>62</v>
      </c>
      <c r="N2227" s="1" t="n">
        <v>9999</v>
      </c>
      <c r="O2227" s="1" t="n">
        <v>40</v>
      </c>
      <c r="P2227" s="1" t="n">
        <v>3999.6</v>
      </c>
      <c r="Q2227" s="1" t="n">
        <v>5999.4</v>
      </c>
      <c r="R2227" s="1" t="n">
        <v>1079.89</v>
      </c>
      <c r="S2227" s="1" t="n">
        <v>4919.51</v>
      </c>
      <c r="T2227" s="1" t="n">
        <v>2095.28</v>
      </c>
      <c r="U2227" s="1" t="n">
        <v>2824.23</v>
      </c>
      <c r="V2227" s="1" t="n">
        <v>57.41</v>
      </c>
      <c r="W2227" s="1" t="s">
        <v>40</v>
      </c>
      <c r="Y2227" s="1" t="s">
        <v>39</v>
      </c>
      <c r="Z2227" s="1" t="n">
        <v>1</v>
      </c>
    </row>
    <row r="2228" customFormat="false" ht="15" hidden="false" customHeight="true" outlineLevel="0" collapsed="false">
      <c r="A2228" s="1" t="s">
        <v>3095</v>
      </c>
      <c r="B2228" s="1" t="s">
        <v>1944</v>
      </c>
      <c r="C2228" s="1" t="s">
        <v>264</v>
      </c>
      <c r="D2228" s="1" t="s">
        <v>29</v>
      </c>
      <c r="E2228" s="1" t="s">
        <v>305</v>
      </c>
      <c r="F2228" s="1" t="s">
        <v>153</v>
      </c>
      <c r="G2228" s="1" t="s">
        <v>76</v>
      </c>
      <c r="H2228" s="1" t="s">
        <v>33</v>
      </c>
      <c r="I2228" s="1" t="s">
        <v>58</v>
      </c>
      <c r="J2228" s="1" t="s">
        <v>35</v>
      </c>
      <c r="K2228" s="1" t="s">
        <v>48</v>
      </c>
      <c r="L2228" s="1" t="s">
        <v>49</v>
      </c>
      <c r="M2228" s="1" t="s">
        <v>62</v>
      </c>
      <c r="N2228" s="1" t="n">
        <v>24999</v>
      </c>
      <c r="O2228" s="1" t="n">
        <v>0</v>
      </c>
      <c r="P2228" s="1" t="n">
        <v>0</v>
      </c>
      <c r="Q2228" s="1" t="n">
        <v>24999</v>
      </c>
      <c r="R2228" s="1" t="n">
        <v>4499.82</v>
      </c>
      <c r="S2228" s="1" t="n">
        <v>20499.18</v>
      </c>
      <c r="T2228" s="1" t="n">
        <v>8578.1</v>
      </c>
      <c r="U2228" s="1" t="n">
        <v>11921.08</v>
      </c>
      <c r="V2228" s="1" t="n">
        <v>58.15</v>
      </c>
      <c r="W2228" s="1" t="s">
        <v>39</v>
      </c>
      <c r="X2228" s="1" t="n">
        <v>4</v>
      </c>
      <c r="Y2228" s="1" t="s">
        <v>40</v>
      </c>
      <c r="Z2228" s="1" t="n">
        <v>1</v>
      </c>
    </row>
    <row r="2229" customFormat="false" ht="15" hidden="false" customHeight="true" outlineLevel="0" collapsed="false">
      <c r="A2229" s="1" t="s">
        <v>3096</v>
      </c>
      <c r="B2229" s="1" t="s">
        <v>3097</v>
      </c>
      <c r="C2229" s="1" t="s">
        <v>167</v>
      </c>
      <c r="D2229" s="1" t="s">
        <v>123</v>
      </c>
      <c r="E2229" s="1" t="s">
        <v>233</v>
      </c>
      <c r="F2229" s="1" t="s">
        <v>140</v>
      </c>
      <c r="G2229" s="1" t="s">
        <v>97</v>
      </c>
      <c r="H2229" s="1" t="s">
        <v>57</v>
      </c>
      <c r="I2229" s="1" t="s">
        <v>83</v>
      </c>
      <c r="J2229" s="1" t="s">
        <v>70</v>
      </c>
      <c r="K2229" s="1" t="s">
        <v>60</v>
      </c>
      <c r="L2229" s="1" t="s">
        <v>85</v>
      </c>
      <c r="M2229" s="1" t="s">
        <v>50</v>
      </c>
      <c r="N2229" s="1" t="n">
        <v>8999</v>
      </c>
      <c r="O2229" s="1" t="n">
        <v>30</v>
      </c>
      <c r="P2229" s="1" t="n">
        <v>2699.7</v>
      </c>
      <c r="Q2229" s="1" t="n">
        <v>6299.3</v>
      </c>
      <c r="R2229" s="1" t="n">
        <v>1133.87</v>
      </c>
      <c r="S2229" s="1" t="n">
        <v>5165.43</v>
      </c>
      <c r="T2229" s="1" t="n">
        <v>2503.98</v>
      </c>
      <c r="U2229" s="1" t="n">
        <v>2661.45</v>
      </c>
      <c r="V2229" s="1" t="n">
        <v>51.52</v>
      </c>
      <c r="W2229" s="1" t="s">
        <v>40</v>
      </c>
      <c r="Y2229" s="1" t="s">
        <v>40</v>
      </c>
      <c r="Z2229" s="1" t="n">
        <v>1</v>
      </c>
    </row>
    <row r="2230" customFormat="false" ht="15" hidden="false" customHeight="true" outlineLevel="0" collapsed="false">
      <c r="A2230" s="1" t="s">
        <v>3098</v>
      </c>
      <c r="B2230" s="1" t="s">
        <v>2644</v>
      </c>
      <c r="C2230" s="1" t="s">
        <v>28</v>
      </c>
      <c r="D2230" s="1" t="s">
        <v>143</v>
      </c>
      <c r="E2230" s="1" t="s">
        <v>144</v>
      </c>
      <c r="F2230" s="1" t="s">
        <v>205</v>
      </c>
      <c r="G2230" s="1" t="s">
        <v>56</v>
      </c>
      <c r="H2230" s="1" t="s">
        <v>69</v>
      </c>
      <c r="I2230" s="1" t="s">
        <v>58</v>
      </c>
      <c r="J2230" s="1" t="s">
        <v>77</v>
      </c>
      <c r="K2230" s="1" t="s">
        <v>71</v>
      </c>
      <c r="L2230" s="1" t="s">
        <v>37</v>
      </c>
      <c r="M2230" s="1" t="s">
        <v>38</v>
      </c>
      <c r="N2230" s="1" t="n">
        <v>12999</v>
      </c>
      <c r="O2230" s="1" t="n">
        <v>0</v>
      </c>
      <c r="P2230" s="1" t="n">
        <v>0</v>
      </c>
      <c r="Q2230" s="1" t="n">
        <v>12999</v>
      </c>
      <c r="R2230" s="1" t="n">
        <v>2339.82</v>
      </c>
      <c r="S2230" s="1" t="n">
        <v>10659.18</v>
      </c>
      <c r="T2230" s="1" t="n">
        <v>3536.37</v>
      </c>
      <c r="U2230" s="1" t="n">
        <v>7122.81</v>
      </c>
      <c r="V2230" s="1" t="n">
        <v>66.82</v>
      </c>
      <c r="W2230" s="1" t="s">
        <v>39</v>
      </c>
      <c r="X2230" s="1" t="n">
        <v>4</v>
      </c>
      <c r="Y2230" s="1" t="s">
        <v>40</v>
      </c>
      <c r="Z2230" s="1" t="n">
        <v>0</v>
      </c>
    </row>
    <row r="2231" customFormat="false" ht="15" hidden="false" customHeight="true" outlineLevel="0" collapsed="false">
      <c r="A2231" s="1" t="s">
        <v>3099</v>
      </c>
      <c r="B2231" s="1" t="s">
        <v>1264</v>
      </c>
      <c r="C2231" s="1" t="s">
        <v>178</v>
      </c>
      <c r="D2231" s="1" t="s">
        <v>94</v>
      </c>
      <c r="E2231" s="1" t="s">
        <v>135</v>
      </c>
      <c r="F2231" s="1" t="s">
        <v>130</v>
      </c>
      <c r="G2231" s="1" t="s">
        <v>47</v>
      </c>
      <c r="H2231" s="1" t="s">
        <v>69</v>
      </c>
      <c r="I2231" s="1" t="s">
        <v>83</v>
      </c>
      <c r="J2231" s="1" t="s">
        <v>77</v>
      </c>
      <c r="K2231" s="1" t="s">
        <v>84</v>
      </c>
      <c r="L2231" s="1" t="s">
        <v>113</v>
      </c>
      <c r="M2231" s="1" t="s">
        <v>50</v>
      </c>
      <c r="N2231" s="1" t="n">
        <v>9999</v>
      </c>
      <c r="O2231" s="1" t="n">
        <v>0</v>
      </c>
      <c r="P2231" s="1" t="n">
        <v>0</v>
      </c>
      <c r="Q2231" s="1" t="n">
        <v>9999</v>
      </c>
      <c r="R2231" s="1" t="n">
        <v>1799.82</v>
      </c>
      <c r="S2231" s="1" t="n">
        <v>8199.18</v>
      </c>
      <c r="T2231" s="1" t="n">
        <v>3249.36</v>
      </c>
      <c r="U2231" s="1" t="n">
        <v>4949.82</v>
      </c>
      <c r="V2231" s="1" t="n">
        <v>60.37</v>
      </c>
      <c r="W2231" s="1" t="s">
        <v>40</v>
      </c>
      <c r="Y2231" s="1" t="s">
        <v>40</v>
      </c>
      <c r="Z2231" s="1" t="n">
        <v>0</v>
      </c>
    </row>
    <row r="2232" customFormat="false" ht="15" hidden="false" customHeight="true" outlineLevel="0" collapsed="false">
      <c r="A2232" s="1" t="s">
        <v>3100</v>
      </c>
      <c r="B2232" s="1" t="s">
        <v>309</v>
      </c>
      <c r="C2232" s="1" t="s">
        <v>100</v>
      </c>
      <c r="D2232" s="1" t="s">
        <v>44</v>
      </c>
      <c r="E2232" s="1" t="s">
        <v>221</v>
      </c>
      <c r="F2232" s="1" t="s">
        <v>211</v>
      </c>
      <c r="G2232" s="1" t="s">
        <v>56</v>
      </c>
      <c r="H2232" s="1" t="s">
        <v>69</v>
      </c>
      <c r="I2232" s="1" t="s">
        <v>83</v>
      </c>
      <c r="J2232" s="1" t="s">
        <v>131</v>
      </c>
      <c r="K2232" s="1" t="s">
        <v>90</v>
      </c>
      <c r="L2232" s="1" t="s">
        <v>113</v>
      </c>
      <c r="M2232" s="1" t="s">
        <v>38</v>
      </c>
      <c r="N2232" s="1" t="n">
        <v>16999</v>
      </c>
      <c r="O2232" s="1" t="n">
        <v>20</v>
      </c>
      <c r="P2232" s="1" t="n">
        <v>3399.8</v>
      </c>
      <c r="Q2232" s="1" t="n">
        <v>13599.2</v>
      </c>
      <c r="R2232" s="1" t="n">
        <v>2447.86</v>
      </c>
      <c r="S2232" s="1" t="n">
        <v>11151.34</v>
      </c>
      <c r="T2232" s="1" t="n">
        <v>3868.12</v>
      </c>
      <c r="U2232" s="1" t="n">
        <v>7283.22</v>
      </c>
      <c r="V2232" s="1" t="n">
        <v>65.31</v>
      </c>
      <c r="W2232" s="1" t="s">
        <v>39</v>
      </c>
      <c r="X2232" s="1" t="n">
        <v>2.9</v>
      </c>
      <c r="Y2232" s="1" t="s">
        <v>40</v>
      </c>
      <c r="Z2232" s="1" t="n">
        <v>3</v>
      </c>
    </row>
    <row r="2233" customFormat="false" ht="15" hidden="false" customHeight="true" outlineLevel="0" collapsed="false">
      <c r="A2233" s="1" t="s">
        <v>3101</v>
      </c>
      <c r="B2233" s="1" t="s">
        <v>1441</v>
      </c>
      <c r="C2233" s="1" t="s">
        <v>119</v>
      </c>
      <c r="D2233" s="1" t="s">
        <v>168</v>
      </c>
      <c r="E2233" s="1" t="s">
        <v>328</v>
      </c>
      <c r="F2233" s="1" t="s">
        <v>269</v>
      </c>
      <c r="G2233" s="1" t="s">
        <v>108</v>
      </c>
      <c r="H2233" s="1" t="s">
        <v>57</v>
      </c>
      <c r="I2233" s="1" t="s">
        <v>34</v>
      </c>
      <c r="J2233" s="1" t="s">
        <v>70</v>
      </c>
      <c r="K2233" s="1" t="s">
        <v>36</v>
      </c>
      <c r="L2233" s="1" t="s">
        <v>85</v>
      </c>
      <c r="M2233" s="1" t="s">
        <v>50</v>
      </c>
      <c r="N2233" s="1" t="n">
        <v>8999</v>
      </c>
      <c r="O2233" s="1" t="n">
        <v>10</v>
      </c>
      <c r="P2233" s="1" t="n">
        <v>899.9</v>
      </c>
      <c r="Q2233" s="1" t="n">
        <v>8099.1</v>
      </c>
      <c r="R2233" s="1" t="n">
        <v>1457.84</v>
      </c>
      <c r="S2233" s="1" t="n">
        <v>6641.26</v>
      </c>
      <c r="T2233" s="1" t="n">
        <v>3129.23</v>
      </c>
      <c r="U2233" s="1" t="n">
        <v>3512.03</v>
      </c>
      <c r="V2233" s="1" t="n">
        <v>52.88</v>
      </c>
      <c r="W2233" s="1" t="s">
        <v>40</v>
      </c>
      <c r="Y2233" s="1" t="s">
        <v>40</v>
      </c>
      <c r="Z2233" s="1" t="n">
        <v>2</v>
      </c>
    </row>
    <row r="2234" customFormat="false" ht="15" hidden="false" customHeight="true" outlineLevel="0" collapsed="false">
      <c r="A2234" s="1" t="s">
        <v>3102</v>
      </c>
      <c r="B2234" s="1" t="s">
        <v>441</v>
      </c>
      <c r="C2234" s="1" t="s">
        <v>134</v>
      </c>
      <c r="D2234" s="1" t="s">
        <v>168</v>
      </c>
      <c r="E2234" s="1" t="s">
        <v>172</v>
      </c>
      <c r="F2234" s="1" t="s">
        <v>194</v>
      </c>
      <c r="G2234" s="1" t="s">
        <v>103</v>
      </c>
      <c r="H2234" s="1" t="s">
        <v>69</v>
      </c>
      <c r="I2234" s="1" t="s">
        <v>83</v>
      </c>
      <c r="J2234" s="1" t="s">
        <v>77</v>
      </c>
      <c r="K2234" s="1" t="s">
        <v>84</v>
      </c>
      <c r="L2234" s="1" t="s">
        <v>85</v>
      </c>
      <c r="M2234" s="1" t="s">
        <v>62</v>
      </c>
      <c r="N2234" s="1" t="n">
        <v>6999</v>
      </c>
      <c r="O2234" s="1" t="n">
        <v>0</v>
      </c>
      <c r="P2234" s="1" t="n">
        <v>0</v>
      </c>
      <c r="Q2234" s="1" t="n">
        <v>6999</v>
      </c>
      <c r="R2234" s="1" t="n">
        <v>1259.82</v>
      </c>
      <c r="S2234" s="1" t="n">
        <v>5739.18</v>
      </c>
      <c r="T2234" s="1" t="n">
        <v>2573.89</v>
      </c>
      <c r="U2234" s="1" t="n">
        <v>3165.29</v>
      </c>
      <c r="V2234" s="1" t="n">
        <v>55.15</v>
      </c>
      <c r="W2234" s="1" t="s">
        <v>39</v>
      </c>
      <c r="X2234" s="1" t="n">
        <v>3.5</v>
      </c>
      <c r="Y2234" s="1" t="s">
        <v>40</v>
      </c>
      <c r="Z2234" s="1" t="n">
        <v>1</v>
      </c>
    </row>
    <row r="2235" customFormat="false" ht="15" hidden="false" customHeight="true" outlineLevel="0" collapsed="false">
      <c r="A2235" s="1" t="s">
        <v>3103</v>
      </c>
      <c r="B2235" s="1" t="s">
        <v>448</v>
      </c>
      <c r="C2235" s="1" t="s">
        <v>93</v>
      </c>
      <c r="D2235" s="1" t="s">
        <v>53</v>
      </c>
      <c r="E2235" s="1" t="s">
        <v>116</v>
      </c>
      <c r="F2235" s="1" t="s">
        <v>153</v>
      </c>
      <c r="G2235" s="1" t="s">
        <v>76</v>
      </c>
      <c r="H2235" s="1" t="s">
        <v>33</v>
      </c>
      <c r="I2235" s="1" t="s">
        <v>83</v>
      </c>
      <c r="J2235" s="1" t="s">
        <v>77</v>
      </c>
      <c r="K2235" s="1" t="s">
        <v>48</v>
      </c>
      <c r="L2235" s="1" t="s">
        <v>85</v>
      </c>
      <c r="M2235" s="1" t="s">
        <v>50</v>
      </c>
      <c r="N2235" s="1" t="n">
        <v>9999</v>
      </c>
      <c r="O2235" s="1" t="n">
        <v>25</v>
      </c>
      <c r="P2235" s="1" t="n">
        <v>2499.75</v>
      </c>
      <c r="Q2235" s="1" t="n">
        <v>7499.25</v>
      </c>
      <c r="R2235" s="1" t="n">
        <v>1349.87</v>
      </c>
      <c r="S2235" s="1" t="n">
        <v>6149.38</v>
      </c>
      <c r="T2235" s="1" t="n">
        <v>3285.64</v>
      </c>
      <c r="U2235" s="1" t="n">
        <v>2863.74</v>
      </c>
      <c r="V2235" s="1" t="n">
        <v>46.57</v>
      </c>
      <c r="W2235" s="1" t="s">
        <v>40</v>
      </c>
      <c r="Y2235" s="1" t="s">
        <v>40</v>
      </c>
      <c r="Z2235" s="1" t="n">
        <v>0</v>
      </c>
    </row>
    <row r="2236" customFormat="false" ht="15" hidden="false" customHeight="true" outlineLevel="0" collapsed="false">
      <c r="A2236" s="1" t="s">
        <v>3104</v>
      </c>
      <c r="B2236" s="1" t="s">
        <v>366</v>
      </c>
      <c r="C2236" s="1" t="s">
        <v>134</v>
      </c>
      <c r="D2236" s="1" t="s">
        <v>123</v>
      </c>
      <c r="E2236" s="1" t="s">
        <v>124</v>
      </c>
      <c r="F2236" s="1" t="s">
        <v>125</v>
      </c>
      <c r="G2236" s="1" t="s">
        <v>108</v>
      </c>
      <c r="H2236" s="1" t="s">
        <v>69</v>
      </c>
      <c r="I2236" s="1" t="s">
        <v>83</v>
      </c>
      <c r="J2236" s="1" t="s">
        <v>59</v>
      </c>
      <c r="K2236" s="1" t="s">
        <v>90</v>
      </c>
      <c r="L2236" s="1" t="s">
        <v>61</v>
      </c>
      <c r="M2236" s="1" t="s">
        <v>50</v>
      </c>
      <c r="N2236" s="1" t="n">
        <v>4999</v>
      </c>
      <c r="O2236" s="1" t="n">
        <v>25</v>
      </c>
      <c r="P2236" s="1" t="n">
        <v>1249.75</v>
      </c>
      <c r="Q2236" s="1" t="n">
        <v>3749.25</v>
      </c>
      <c r="R2236" s="1" t="n">
        <v>674.87</v>
      </c>
      <c r="S2236" s="1" t="n">
        <v>3074.38</v>
      </c>
      <c r="T2236" s="1" t="n">
        <v>1279.43</v>
      </c>
      <c r="U2236" s="1" t="n">
        <v>1794.95</v>
      </c>
      <c r="V2236" s="1" t="n">
        <v>58.38</v>
      </c>
      <c r="W2236" s="1" t="s">
        <v>40</v>
      </c>
      <c r="Y2236" s="1" t="s">
        <v>40</v>
      </c>
      <c r="Z2236" s="1" t="n">
        <v>0</v>
      </c>
    </row>
    <row r="2237" customFormat="false" ht="15" hidden="false" customHeight="true" outlineLevel="0" collapsed="false">
      <c r="A2237" s="1" t="s">
        <v>3105</v>
      </c>
      <c r="B2237" s="1" t="s">
        <v>3106</v>
      </c>
      <c r="C2237" s="1" t="s">
        <v>264</v>
      </c>
      <c r="D2237" s="1" t="s">
        <v>53</v>
      </c>
      <c r="E2237" s="1" t="s">
        <v>216</v>
      </c>
      <c r="F2237" s="1" t="s">
        <v>140</v>
      </c>
      <c r="G2237" s="1" t="s">
        <v>97</v>
      </c>
      <c r="H2237" s="1" t="s">
        <v>57</v>
      </c>
      <c r="I2237" s="1" t="s">
        <v>83</v>
      </c>
      <c r="J2237" s="1" t="s">
        <v>70</v>
      </c>
      <c r="K2237" s="1" t="s">
        <v>112</v>
      </c>
      <c r="L2237" s="1" t="s">
        <v>49</v>
      </c>
      <c r="M2237" s="1" t="s">
        <v>62</v>
      </c>
      <c r="N2237" s="1" t="n">
        <v>7499</v>
      </c>
      <c r="O2237" s="1" t="n">
        <v>0</v>
      </c>
      <c r="P2237" s="1" t="n">
        <v>0</v>
      </c>
      <c r="Q2237" s="1" t="n">
        <v>7499</v>
      </c>
      <c r="R2237" s="1" t="n">
        <v>1349.82</v>
      </c>
      <c r="S2237" s="1" t="n">
        <v>6149.18</v>
      </c>
      <c r="T2237" s="1" t="n">
        <v>2911.65</v>
      </c>
      <c r="U2237" s="1" t="n">
        <v>3237.53</v>
      </c>
      <c r="V2237" s="1" t="n">
        <v>52.65</v>
      </c>
      <c r="W2237" s="1" t="s">
        <v>39</v>
      </c>
      <c r="X2237" s="1" t="n">
        <v>3.4</v>
      </c>
      <c r="Y2237" s="1" t="s">
        <v>40</v>
      </c>
      <c r="Z2237" s="1" t="n">
        <v>1</v>
      </c>
    </row>
    <row r="2238" customFormat="false" ht="15" hidden="false" customHeight="true" outlineLevel="0" collapsed="false">
      <c r="A2238" s="1" t="s">
        <v>3107</v>
      </c>
      <c r="B2238" s="1" t="s">
        <v>965</v>
      </c>
      <c r="C2238" s="1" t="s">
        <v>28</v>
      </c>
      <c r="D2238" s="1" t="s">
        <v>94</v>
      </c>
      <c r="E2238" s="1" t="s">
        <v>135</v>
      </c>
      <c r="F2238" s="1" t="s">
        <v>82</v>
      </c>
      <c r="G2238" s="1" t="s">
        <v>56</v>
      </c>
      <c r="H2238" s="1" t="s">
        <v>69</v>
      </c>
      <c r="I2238" s="1" t="s">
        <v>83</v>
      </c>
      <c r="J2238" s="1" t="s">
        <v>77</v>
      </c>
      <c r="K2238" s="1" t="s">
        <v>104</v>
      </c>
      <c r="L2238" s="1" t="s">
        <v>61</v>
      </c>
      <c r="M2238" s="1" t="s">
        <v>38</v>
      </c>
      <c r="N2238" s="1" t="n">
        <v>9999</v>
      </c>
      <c r="O2238" s="1" t="n">
        <v>30</v>
      </c>
      <c r="P2238" s="1" t="n">
        <v>2999.7</v>
      </c>
      <c r="Q2238" s="1" t="n">
        <v>6999.3</v>
      </c>
      <c r="R2238" s="1" t="n">
        <v>1259.87</v>
      </c>
      <c r="S2238" s="1" t="n">
        <v>5739.43</v>
      </c>
      <c r="T2238" s="1" t="n">
        <v>2778.31</v>
      </c>
      <c r="U2238" s="1" t="n">
        <v>2961.12</v>
      </c>
      <c r="V2238" s="1" t="n">
        <v>51.59</v>
      </c>
      <c r="W2238" s="1" t="s">
        <v>40</v>
      </c>
      <c r="Y2238" s="1" t="s">
        <v>40</v>
      </c>
      <c r="Z2238" s="1" t="n">
        <v>0</v>
      </c>
    </row>
    <row r="2239" customFormat="false" ht="15" hidden="false" customHeight="true" outlineLevel="0" collapsed="false">
      <c r="A2239" s="1" t="s">
        <v>3108</v>
      </c>
      <c r="B2239" s="1" t="s">
        <v>667</v>
      </c>
      <c r="C2239" s="1" t="s">
        <v>264</v>
      </c>
      <c r="D2239" s="1" t="s">
        <v>53</v>
      </c>
      <c r="E2239" s="1" t="s">
        <v>216</v>
      </c>
      <c r="F2239" s="1" t="s">
        <v>107</v>
      </c>
      <c r="G2239" s="1" t="s">
        <v>108</v>
      </c>
      <c r="H2239" s="1" t="s">
        <v>33</v>
      </c>
      <c r="I2239" s="1" t="s">
        <v>83</v>
      </c>
      <c r="J2239" s="1" t="s">
        <v>77</v>
      </c>
      <c r="K2239" s="1" t="s">
        <v>36</v>
      </c>
      <c r="L2239" s="1" t="s">
        <v>37</v>
      </c>
      <c r="M2239" s="1" t="s">
        <v>62</v>
      </c>
      <c r="N2239" s="1" t="n">
        <v>7499</v>
      </c>
      <c r="O2239" s="1" t="n">
        <v>30</v>
      </c>
      <c r="P2239" s="1" t="n">
        <v>2249.7</v>
      </c>
      <c r="Q2239" s="1" t="n">
        <v>5249.3</v>
      </c>
      <c r="R2239" s="1" t="n">
        <v>944.87</v>
      </c>
      <c r="S2239" s="1" t="n">
        <v>4304.43</v>
      </c>
      <c r="T2239" s="1" t="n">
        <v>2025.38</v>
      </c>
      <c r="U2239" s="1" t="n">
        <v>2279.05</v>
      </c>
      <c r="V2239" s="1" t="n">
        <v>52.95</v>
      </c>
      <c r="W2239" s="1" t="s">
        <v>39</v>
      </c>
      <c r="Y2239" s="1" t="s">
        <v>40</v>
      </c>
      <c r="Z2239" s="1" t="n">
        <v>0</v>
      </c>
    </row>
    <row r="2240" customFormat="false" ht="15" hidden="false" customHeight="true" outlineLevel="0" collapsed="false">
      <c r="A2240" s="1" t="s">
        <v>3109</v>
      </c>
      <c r="B2240" s="1" t="s">
        <v>622</v>
      </c>
      <c r="C2240" s="1" t="s">
        <v>167</v>
      </c>
      <c r="D2240" s="1" t="s">
        <v>168</v>
      </c>
      <c r="E2240" s="1" t="s">
        <v>169</v>
      </c>
      <c r="F2240" s="1" t="s">
        <v>1137</v>
      </c>
      <c r="G2240" s="1" t="s">
        <v>56</v>
      </c>
      <c r="H2240" s="1" t="s">
        <v>69</v>
      </c>
      <c r="I2240" s="1" t="s">
        <v>58</v>
      </c>
      <c r="J2240" s="1" t="s">
        <v>77</v>
      </c>
      <c r="K2240" s="1" t="s">
        <v>60</v>
      </c>
      <c r="L2240" s="1" t="s">
        <v>113</v>
      </c>
      <c r="M2240" s="1" t="s">
        <v>38</v>
      </c>
      <c r="N2240" s="1" t="n">
        <v>4999</v>
      </c>
      <c r="O2240" s="1" t="n">
        <v>25</v>
      </c>
      <c r="P2240" s="1" t="n">
        <v>1249.75</v>
      </c>
      <c r="Q2240" s="1" t="n">
        <v>3749.25</v>
      </c>
      <c r="R2240" s="1" t="n">
        <v>674.87</v>
      </c>
      <c r="S2240" s="1" t="n">
        <v>3074.38</v>
      </c>
      <c r="T2240" s="1" t="n">
        <v>860.26</v>
      </c>
      <c r="U2240" s="1" t="n">
        <v>2214.12</v>
      </c>
      <c r="V2240" s="1" t="n">
        <v>72.02</v>
      </c>
      <c r="W2240" s="1" t="s">
        <v>39</v>
      </c>
      <c r="X2240" s="1" t="n">
        <v>4</v>
      </c>
      <c r="Y2240" s="1" t="s">
        <v>40</v>
      </c>
      <c r="Z2240" s="1" t="n">
        <v>2</v>
      </c>
    </row>
    <row r="2241" customFormat="false" ht="15" hidden="false" customHeight="true" outlineLevel="0" collapsed="false">
      <c r="A2241" s="1" t="s">
        <v>3110</v>
      </c>
      <c r="B2241" s="1" t="s">
        <v>2716</v>
      </c>
      <c r="C2241" s="1" t="s">
        <v>249</v>
      </c>
      <c r="D2241" s="1" t="s">
        <v>168</v>
      </c>
      <c r="E2241" s="1" t="s">
        <v>328</v>
      </c>
      <c r="F2241" s="1" t="s">
        <v>194</v>
      </c>
      <c r="G2241" s="1" t="s">
        <v>103</v>
      </c>
      <c r="H2241" s="1" t="s">
        <v>69</v>
      </c>
      <c r="I2241" s="1" t="s">
        <v>58</v>
      </c>
      <c r="J2241" s="1" t="s">
        <v>70</v>
      </c>
      <c r="K2241" s="1" t="s">
        <v>90</v>
      </c>
      <c r="L2241" s="1" t="s">
        <v>113</v>
      </c>
      <c r="M2241" s="1" t="s">
        <v>38</v>
      </c>
      <c r="N2241" s="1" t="n">
        <v>8999</v>
      </c>
      <c r="O2241" s="1" t="n">
        <v>50</v>
      </c>
      <c r="P2241" s="1" t="n">
        <v>4499.5</v>
      </c>
      <c r="Q2241" s="1" t="n">
        <v>4499.5</v>
      </c>
      <c r="R2241" s="1" t="n">
        <v>809.91</v>
      </c>
      <c r="S2241" s="1" t="n">
        <v>3689.59</v>
      </c>
      <c r="T2241" s="1" t="n">
        <v>2072.84</v>
      </c>
      <c r="U2241" s="1" t="n">
        <v>1616.75</v>
      </c>
      <c r="V2241" s="1" t="n">
        <v>43.82</v>
      </c>
      <c r="W2241" s="1" t="s">
        <v>40</v>
      </c>
      <c r="Y2241" s="1" t="s">
        <v>39</v>
      </c>
      <c r="Z2241" s="1" t="n">
        <v>0</v>
      </c>
    </row>
    <row r="2242" customFormat="false" ht="15" hidden="false" customHeight="true" outlineLevel="0" collapsed="false">
      <c r="A2242" s="1" t="s">
        <v>3111</v>
      </c>
      <c r="B2242" s="1" t="s">
        <v>428</v>
      </c>
      <c r="C2242" s="1" t="s">
        <v>249</v>
      </c>
      <c r="D2242" s="1" t="s">
        <v>44</v>
      </c>
      <c r="E2242" s="1" t="s">
        <v>45</v>
      </c>
      <c r="F2242" s="1" t="s">
        <v>96</v>
      </c>
      <c r="G2242" s="1" t="s">
        <v>97</v>
      </c>
      <c r="H2242" s="1" t="s">
        <v>69</v>
      </c>
      <c r="I2242" s="1" t="s">
        <v>83</v>
      </c>
      <c r="J2242" s="1" t="s">
        <v>131</v>
      </c>
      <c r="K2242" s="1" t="s">
        <v>36</v>
      </c>
      <c r="L2242" s="1" t="s">
        <v>61</v>
      </c>
      <c r="M2242" s="1" t="s">
        <v>38</v>
      </c>
      <c r="N2242" s="1" t="n">
        <v>11999</v>
      </c>
      <c r="O2242" s="1" t="n">
        <v>0</v>
      </c>
      <c r="P2242" s="1" t="n">
        <v>0</v>
      </c>
      <c r="Q2242" s="1" t="n">
        <v>11999</v>
      </c>
      <c r="R2242" s="1" t="n">
        <v>2159.82</v>
      </c>
      <c r="S2242" s="1" t="n">
        <v>9839.18</v>
      </c>
      <c r="T2242" s="1" t="n">
        <v>3807.26</v>
      </c>
      <c r="U2242" s="1" t="n">
        <v>6031.92</v>
      </c>
      <c r="V2242" s="1" t="n">
        <v>61.31</v>
      </c>
      <c r="W2242" s="1" t="s">
        <v>40</v>
      </c>
      <c r="Y2242" s="1" t="s">
        <v>40</v>
      </c>
      <c r="Z2242" s="1" t="n">
        <v>0</v>
      </c>
    </row>
    <row r="2243" customFormat="false" ht="15" hidden="false" customHeight="true" outlineLevel="0" collapsed="false">
      <c r="A2243" s="1" t="s">
        <v>3112</v>
      </c>
      <c r="B2243" s="1" t="s">
        <v>373</v>
      </c>
      <c r="C2243" s="1" t="s">
        <v>88</v>
      </c>
      <c r="D2243" s="1" t="s">
        <v>168</v>
      </c>
      <c r="E2243" s="1" t="s">
        <v>328</v>
      </c>
      <c r="F2243" s="1" t="s">
        <v>153</v>
      </c>
      <c r="G2243" s="1" t="s">
        <v>76</v>
      </c>
      <c r="H2243" s="1" t="s">
        <v>33</v>
      </c>
      <c r="I2243" s="1" t="s">
        <v>58</v>
      </c>
      <c r="J2243" s="1" t="s">
        <v>59</v>
      </c>
      <c r="K2243" s="1" t="s">
        <v>84</v>
      </c>
      <c r="L2243" s="1" t="s">
        <v>61</v>
      </c>
      <c r="M2243" s="1" t="s">
        <v>38</v>
      </c>
      <c r="N2243" s="1" t="n">
        <v>8999</v>
      </c>
      <c r="O2243" s="1" t="n">
        <v>50</v>
      </c>
      <c r="P2243" s="1" t="n">
        <v>4499.5</v>
      </c>
      <c r="Q2243" s="1" t="n">
        <v>4499.5</v>
      </c>
      <c r="R2243" s="1" t="n">
        <v>809.91</v>
      </c>
      <c r="S2243" s="1" t="n">
        <v>3689.59</v>
      </c>
      <c r="T2243" s="1" t="n">
        <v>2107.83</v>
      </c>
      <c r="U2243" s="1" t="n">
        <v>1581.76</v>
      </c>
      <c r="V2243" s="1" t="n">
        <v>42.87</v>
      </c>
      <c r="W2243" s="1" t="s">
        <v>40</v>
      </c>
      <c r="Y2243" s="1" t="s">
        <v>40</v>
      </c>
      <c r="Z2243" s="1" t="n">
        <v>1</v>
      </c>
    </row>
    <row r="2244" customFormat="false" ht="15" hidden="false" customHeight="true" outlineLevel="0" collapsed="false">
      <c r="A2244" s="1" t="s">
        <v>3113</v>
      </c>
      <c r="B2244" s="1" t="s">
        <v>1396</v>
      </c>
      <c r="C2244" s="1" t="s">
        <v>74</v>
      </c>
      <c r="D2244" s="1" t="s">
        <v>143</v>
      </c>
      <c r="E2244" s="1" t="s">
        <v>210</v>
      </c>
      <c r="F2244" s="1" t="s">
        <v>82</v>
      </c>
      <c r="G2244" s="1" t="s">
        <v>56</v>
      </c>
      <c r="H2244" s="1" t="s">
        <v>69</v>
      </c>
      <c r="I2244" s="1" t="s">
        <v>58</v>
      </c>
      <c r="J2244" s="1" t="s">
        <v>131</v>
      </c>
      <c r="K2244" s="1" t="s">
        <v>84</v>
      </c>
      <c r="L2244" s="1" t="s">
        <v>49</v>
      </c>
      <c r="M2244" s="1" t="s">
        <v>38</v>
      </c>
      <c r="N2244" s="1" t="n">
        <v>18999</v>
      </c>
      <c r="O2244" s="1" t="n">
        <v>0</v>
      </c>
      <c r="P2244" s="1" t="n">
        <v>0</v>
      </c>
      <c r="Q2244" s="1" t="n">
        <v>18999</v>
      </c>
      <c r="R2244" s="1" t="n">
        <v>3419.82</v>
      </c>
      <c r="S2244" s="1" t="n">
        <v>15579.18</v>
      </c>
      <c r="T2244" s="1" t="n">
        <v>5360.85</v>
      </c>
      <c r="U2244" s="1" t="n">
        <v>10218.33</v>
      </c>
      <c r="V2244" s="1" t="n">
        <v>65.59</v>
      </c>
      <c r="W2244" s="1" t="s">
        <v>39</v>
      </c>
      <c r="X2244" s="1" t="n">
        <v>3.2</v>
      </c>
      <c r="Y2244" s="1" t="s">
        <v>40</v>
      </c>
      <c r="Z2244" s="1" t="n">
        <v>0</v>
      </c>
    </row>
    <row r="2245" customFormat="false" ht="15" hidden="false" customHeight="true" outlineLevel="0" collapsed="false">
      <c r="A2245" s="1" t="s">
        <v>3114</v>
      </c>
      <c r="B2245" s="1" t="s">
        <v>1739</v>
      </c>
      <c r="C2245" s="1" t="s">
        <v>139</v>
      </c>
      <c r="D2245" s="1" t="s">
        <v>80</v>
      </c>
      <c r="E2245" s="1" t="s">
        <v>190</v>
      </c>
      <c r="F2245" s="1" t="s">
        <v>55</v>
      </c>
      <c r="G2245" s="1" t="s">
        <v>56</v>
      </c>
      <c r="H2245" s="1" t="s">
        <v>57</v>
      </c>
      <c r="I2245" s="1" t="s">
        <v>83</v>
      </c>
      <c r="J2245" s="1" t="s">
        <v>35</v>
      </c>
      <c r="K2245" s="1" t="s">
        <v>104</v>
      </c>
      <c r="L2245" s="1" t="s">
        <v>113</v>
      </c>
      <c r="M2245" s="1" t="s">
        <v>50</v>
      </c>
      <c r="N2245" s="1" t="n">
        <v>15999</v>
      </c>
      <c r="O2245" s="1" t="n">
        <v>5</v>
      </c>
      <c r="P2245" s="1" t="n">
        <v>799.95</v>
      </c>
      <c r="Q2245" s="1" t="n">
        <v>15199.05</v>
      </c>
      <c r="R2245" s="1" t="n">
        <v>2735.83</v>
      </c>
      <c r="S2245" s="1" t="n">
        <v>12463.22</v>
      </c>
      <c r="T2245" s="1" t="n">
        <v>5806.39</v>
      </c>
      <c r="U2245" s="1" t="n">
        <v>6656.83</v>
      </c>
      <c r="V2245" s="1" t="n">
        <v>53.41</v>
      </c>
      <c r="W2245" s="1" t="s">
        <v>39</v>
      </c>
      <c r="X2245" s="1" t="n">
        <v>3.8</v>
      </c>
      <c r="Y2245" s="1" t="s">
        <v>40</v>
      </c>
      <c r="Z2245" s="1" t="n">
        <v>0</v>
      </c>
    </row>
    <row r="2246" customFormat="false" ht="15" hidden="false" customHeight="true" outlineLevel="0" collapsed="false">
      <c r="A2246" s="1" t="s">
        <v>2400</v>
      </c>
      <c r="B2246" s="1" t="s">
        <v>483</v>
      </c>
      <c r="C2246" s="1" t="s">
        <v>65</v>
      </c>
      <c r="D2246" s="1" t="s">
        <v>94</v>
      </c>
      <c r="E2246" s="1" t="s">
        <v>135</v>
      </c>
      <c r="F2246" s="1" t="s">
        <v>150</v>
      </c>
      <c r="G2246" s="1" t="s">
        <v>32</v>
      </c>
      <c r="H2246" s="1" t="s">
        <v>57</v>
      </c>
      <c r="I2246" s="1" t="s">
        <v>34</v>
      </c>
      <c r="J2246" s="1" t="s">
        <v>59</v>
      </c>
      <c r="K2246" s="1" t="s">
        <v>104</v>
      </c>
      <c r="L2246" s="1" t="s">
        <v>136</v>
      </c>
      <c r="M2246" s="1" t="s">
        <v>38</v>
      </c>
      <c r="N2246" s="1" t="n">
        <v>9999</v>
      </c>
      <c r="O2246" s="1" t="n">
        <v>30</v>
      </c>
      <c r="P2246" s="1" t="n">
        <v>2999.7</v>
      </c>
      <c r="Q2246" s="1" t="n">
        <v>6999.3</v>
      </c>
      <c r="R2246" s="1" t="n">
        <v>1259.87</v>
      </c>
      <c r="S2246" s="1" t="n">
        <v>5739.43</v>
      </c>
      <c r="T2246" s="1" t="n">
        <v>2881.25</v>
      </c>
      <c r="U2246" s="1" t="n">
        <v>2858.18</v>
      </c>
      <c r="V2246" s="1" t="n">
        <v>49.8</v>
      </c>
      <c r="W2246" s="1" t="s">
        <v>40</v>
      </c>
      <c r="Y2246" s="1" t="s">
        <v>40</v>
      </c>
      <c r="Z2246" s="1" t="n">
        <v>2</v>
      </c>
    </row>
    <row r="2247" customFormat="false" ht="15" hidden="false" customHeight="true" outlineLevel="0" collapsed="false">
      <c r="A2247" s="1" t="s">
        <v>3115</v>
      </c>
      <c r="B2247" s="1" t="s">
        <v>2987</v>
      </c>
      <c r="C2247" s="1" t="s">
        <v>119</v>
      </c>
      <c r="D2247" s="1" t="s">
        <v>143</v>
      </c>
      <c r="E2247" s="1" t="s">
        <v>144</v>
      </c>
      <c r="F2247" s="1" t="s">
        <v>130</v>
      </c>
      <c r="G2247" s="1" t="s">
        <v>47</v>
      </c>
      <c r="H2247" s="1" t="s">
        <v>69</v>
      </c>
      <c r="I2247" s="1" t="s">
        <v>34</v>
      </c>
      <c r="J2247" s="1" t="s">
        <v>35</v>
      </c>
      <c r="K2247" s="1" t="s">
        <v>112</v>
      </c>
      <c r="L2247" s="1" t="s">
        <v>49</v>
      </c>
      <c r="M2247" s="1" t="s">
        <v>50</v>
      </c>
      <c r="N2247" s="1" t="n">
        <v>12999</v>
      </c>
      <c r="O2247" s="1" t="n">
        <v>10</v>
      </c>
      <c r="P2247" s="1" t="n">
        <v>1299.9</v>
      </c>
      <c r="Q2247" s="1" t="n">
        <v>11699.1</v>
      </c>
      <c r="R2247" s="1" t="n">
        <v>2105.84</v>
      </c>
      <c r="S2247" s="1" t="n">
        <v>9593.26</v>
      </c>
      <c r="T2247" s="1" t="n">
        <v>3027.39</v>
      </c>
      <c r="U2247" s="1" t="n">
        <v>6565.87</v>
      </c>
      <c r="V2247" s="1" t="n">
        <v>68.44</v>
      </c>
      <c r="W2247" s="1" t="s">
        <v>39</v>
      </c>
      <c r="X2247" s="1" t="n">
        <v>4</v>
      </c>
      <c r="Y2247" s="1" t="s">
        <v>40</v>
      </c>
      <c r="Z2247" s="1" t="n">
        <v>0</v>
      </c>
    </row>
    <row r="2248" customFormat="false" ht="15" hidden="false" customHeight="true" outlineLevel="0" collapsed="false">
      <c r="A2248" s="1" t="s">
        <v>3116</v>
      </c>
      <c r="B2248" s="1" t="s">
        <v>325</v>
      </c>
      <c r="C2248" s="1" t="s">
        <v>139</v>
      </c>
      <c r="D2248" s="1" t="s">
        <v>80</v>
      </c>
      <c r="E2248" s="1" t="s">
        <v>81</v>
      </c>
      <c r="F2248" s="1" t="s">
        <v>130</v>
      </c>
      <c r="G2248" s="1" t="s">
        <v>47</v>
      </c>
      <c r="H2248" s="1" t="s">
        <v>69</v>
      </c>
      <c r="I2248" s="1" t="s">
        <v>83</v>
      </c>
      <c r="J2248" s="1" t="s">
        <v>59</v>
      </c>
      <c r="K2248" s="1" t="s">
        <v>84</v>
      </c>
      <c r="L2248" s="1" t="s">
        <v>113</v>
      </c>
      <c r="M2248" s="1" t="s">
        <v>50</v>
      </c>
      <c r="N2248" s="1" t="n">
        <v>12999</v>
      </c>
      <c r="O2248" s="1" t="n">
        <v>30</v>
      </c>
      <c r="P2248" s="1" t="n">
        <v>3899.7</v>
      </c>
      <c r="Q2248" s="1" t="n">
        <v>9099.3</v>
      </c>
      <c r="R2248" s="1" t="n">
        <v>1637.87</v>
      </c>
      <c r="S2248" s="1" t="n">
        <v>7461.43</v>
      </c>
      <c r="T2248" s="1" t="n">
        <v>3167.83</v>
      </c>
      <c r="U2248" s="1" t="n">
        <v>4293.6</v>
      </c>
      <c r="V2248" s="1" t="n">
        <v>57.54</v>
      </c>
      <c r="W2248" s="1" t="s">
        <v>39</v>
      </c>
      <c r="Y2248" s="1" t="s">
        <v>40</v>
      </c>
      <c r="Z2248" s="1" t="n">
        <v>0</v>
      </c>
    </row>
    <row r="2249" customFormat="false" ht="15" hidden="false" customHeight="true" outlineLevel="0" collapsed="false">
      <c r="A2249" s="1" t="s">
        <v>3117</v>
      </c>
      <c r="B2249" s="1" t="s">
        <v>2387</v>
      </c>
      <c r="C2249" s="1" t="s">
        <v>28</v>
      </c>
      <c r="D2249" s="1" t="s">
        <v>29</v>
      </c>
      <c r="E2249" s="1" t="s">
        <v>182</v>
      </c>
      <c r="F2249" s="1" t="s">
        <v>55</v>
      </c>
      <c r="G2249" s="1" t="s">
        <v>56</v>
      </c>
      <c r="H2249" s="1" t="s">
        <v>57</v>
      </c>
      <c r="I2249" s="1" t="s">
        <v>58</v>
      </c>
      <c r="J2249" s="1" t="s">
        <v>59</v>
      </c>
      <c r="K2249" s="1" t="s">
        <v>60</v>
      </c>
      <c r="L2249" s="1" t="s">
        <v>85</v>
      </c>
      <c r="M2249" s="1" t="s">
        <v>50</v>
      </c>
      <c r="N2249" s="1" t="n">
        <v>34999</v>
      </c>
      <c r="O2249" s="1" t="n">
        <v>20</v>
      </c>
      <c r="P2249" s="1" t="n">
        <v>6999.8</v>
      </c>
      <c r="Q2249" s="1" t="n">
        <v>27999.2</v>
      </c>
      <c r="R2249" s="1" t="n">
        <v>5039.86</v>
      </c>
      <c r="S2249" s="1" t="n">
        <v>22959.34</v>
      </c>
      <c r="T2249" s="1" t="n">
        <v>10638.43</v>
      </c>
      <c r="U2249" s="1" t="n">
        <v>12320.91</v>
      </c>
      <c r="V2249" s="1" t="n">
        <v>53.66</v>
      </c>
      <c r="W2249" s="1" t="s">
        <v>40</v>
      </c>
      <c r="Y2249" s="1" t="s">
        <v>40</v>
      </c>
      <c r="Z2249" s="1" t="n">
        <v>0</v>
      </c>
    </row>
    <row r="2250" customFormat="false" ht="15" hidden="false" customHeight="true" outlineLevel="0" collapsed="false">
      <c r="A2250" s="1" t="s">
        <v>3118</v>
      </c>
      <c r="B2250" s="1" t="s">
        <v>1131</v>
      </c>
      <c r="C2250" s="1" t="s">
        <v>28</v>
      </c>
      <c r="D2250" s="1" t="s">
        <v>44</v>
      </c>
      <c r="E2250" s="1" t="s">
        <v>66</v>
      </c>
      <c r="F2250" s="1" t="s">
        <v>107</v>
      </c>
      <c r="G2250" s="1" t="s">
        <v>108</v>
      </c>
      <c r="H2250" s="1" t="s">
        <v>33</v>
      </c>
      <c r="I2250" s="1" t="s">
        <v>83</v>
      </c>
      <c r="J2250" s="1" t="s">
        <v>70</v>
      </c>
      <c r="K2250" s="1" t="s">
        <v>48</v>
      </c>
      <c r="L2250" s="1" t="s">
        <v>136</v>
      </c>
      <c r="M2250" s="1" t="s">
        <v>38</v>
      </c>
      <c r="N2250" s="1" t="n">
        <v>12999</v>
      </c>
      <c r="O2250" s="1" t="n">
        <v>20</v>
      </c>
      <c r="P2250" s="1" t="n">
        <v>2599.8</v>
      </c>
      <c r="Q2250" s="1" t="n">
        <v>10399.2</v>
      </c>
      <c r="R2250" s="1" t="n">
        <v>1871.86</v>
      </c>
      <c r="S2250" s="1" t="n">
        <v>8527.34</v>
      </c>
      <c r="T2250" s="1" t="n">
        <v>4079.67</v>
      </c>
      <c r="U2250" s="1" t="n">
        <v>4447.67</v>
      </c>
      <c r="V2250" s="1" t="n">
        <v>52.16</v>
      </c>
      <c r="W2250" s="1" t="s">
        <v>39</v>
      </c>
      <c r="X2250" s="1" t="n">
        <v>3.4</v>
      </c>
      <c r="Y2250" s="1" t="s">
        <v>40</v>
      </c>
      <c r="Z2250" s="1" t="n">
        <v>0</v>
      </c>
    </row>
    <row r="2251" customFormat="false" ht="15" hidden="false" customHeight="true" outlineLevel="0" collapsed="false">
      <c r="A2251" s="1" t="s">
        <v>3119</v>
      </c>
      <c r="B2251" s="1" t="s">
        <v>259</v>
      </c>
      <c r="C2251" s="1" t="s">
        <v>65</v>
      </c>
      <c r="D2251" s="1" t="s">
        <v>29</v>
      </c>
      <c r="E2251" s="1" t="s">
        <v>305</v>
      </c>
      <c r="F2251" s="1" t="s">
        <v>184</v>
      </c>
      <c r="G2251" s="1" t="s">
        <v>56</v>
      </c>
      <c r="H2251" s="1" t="s">
        <v>57</v>
      </c>
      <c r="I2251" s="1" t="s">
        <v>34</v>
      </c>
      <c r="J2251" s="1" t="s">
        <v>59</v>
      </c>
      <c r="K2251" s="1" t="s">
        <v>90</v>
      </c>
      <c r="L2251" s="1" t="s">
        <v>37</v>
      </c>
      <c r="M2251" s="1" t="s">
        <v>62</v>
      </c>
      <c r="N2251" s="1" t="n">
        <v>24999</v>
      </c>
      <c r="O2251" s="1" t="n">
        <v>0</v>
      </c>
      <c r="P2251" s="1" t="n">
        <v>0</v>
      </c>
      <c r="Q2251" s="1" t="n">
        <v>24999</v>
      </c>
      <c r="R2251" s="1" t="n">
        <v>4499.82</v>
      </c>
      <c r="S2251" s="1" t="n">
        <v>20499.18</v>
      </c>
      <c r="T2251" s="1" t="n">
        <v>7609.04</v>
      </c>
      <c r="U2251" s="1" t="n">
        <v>12890.14</v>
      </c>
      <c r="V2251" s="1" t="n">
        <v>62.88</v>
      </c>
      <c r="W2251" s="1" t="s">
        <v>39</v>
      </c>
      <c r="X2251" s="1" t="n">
        <v>3.6</v>
      </c>
      <c r="Y2251" s="1" t="s">
        <v>40</v>
      </c>
      <c r="Z2251" s="1" t="n">
        <v>1</v>
      </c>
    </row>
    <row r="2252" customFormat="false" ht="15" hidden="false" customHeight="true" outlineLevel="0" collapsed="false">
      <c r="A2252" s="1" t="s">
        <v>3120</v>
      </c>
      <c r="B2252" s="1" t="s">
        <v>563</v>
      </c>
      <c r="C2252" s="1" t="s">
        <v>134</v>
      </c>
      <c r="D2252" s="1" t="s">
        <v>143</v>
      </c>
      <c r="E2252" s="1" t="s">
        <v>159</v>
      </c>
      <c r="F2252" s="1" t="s">
        <v>211</v>
      </c>
      <c r="G2252" s="1" t="s">
        <v>56</v>
      </c>
      <c r="H2252" s="1" t="s">
        <v>69</v>
      </c>
      <c r="I2252" s="1" t="s">
        <v>34</v>
      </c>
      <c r="J2252" s="1" t="s">
        <v>131</v>
      </c>
      <c r="K2252" s="1" t="s">
        <v>112</v>
      </c>
      <c r="L2252" s="1" t="s">
        <v>61</v>
      </c>
      <c r="M2252" s="1" t="s">
        <v>50</v>
      </c>
      <c r="N2252" s="1" t="n">
        <v>24999</v>
      </c>
      <c r="O2252" s="1" t="n">
        <v>0</v>
      </c>
      <c r="P2252" s="1" t="n">
        <v>0</v>
      </c>
      <c r="Q2252" s="1" t="n">
        <v>24999</v>
      </c>
      <c r="R2252" s="1" t="n">
        <v>4499.82</v>
      </c>
      <c r="S2252" s="1" t="n">
        <v>20499.18</v>
      </c>
      <c r="T2252" s="1" t="n">
        <v>8990.73</v>
      </c>
      <c r="U2252" s="1" t="n">
        <v>11508.45</v>
      </c>
      <c r="V2252" s="1" t="n">
        <v>56.14</v>
      </c>
      <c r="W2252" s="1" t="s">
        <v>40</v>
      </c>
      <c r="Y2252" s="1" t="s">
        <v>40</v>
      </c>
      <c r="Z2252" s="1" t="n">
        <v>2</v>
      </c>
    </row>
    <row r="2253" customFormat="false" ht="15" hidden="false" customHeight="true" outlineLevel="0" collapsed="false">
      <c r="A2253" s="1" t="s">
        <v>3121</v>
      </c>
      <c r="B2253" s="1" t="s">
        <v>2902</v>
      </c>
      <c r="C2253" s="1" t="s">
        <v>249</v>
      </c>
      <c r="D2253" s="1" t="s">
        <v>44</v>
      </c>
      <c r="E2253" s="1" t="s">
        <v>45</v>
      </c>
      <c r="F2253" s="1" t="s">
        <v>107</v>
      </c>
      <c r="G2253" s="1" t="s">
        <v>108</v>
      </c>
      <c r="H2253" s="1" t="s">
        <v>33</v>
      </c>
      <c r="I2253" s="1" t="s">
        <v>58</v>
      </c>
      <c r="J2253" s="1" t="s">
        <v>59</v>
      </c>
      <c r="K2253" s="1" t="s">
        <v>112</v>
      </c>
      <c r="L2253" s="1" t="s">
        <v>49</v>
      </c>
      <c r="M2253" s="1" t="s">
        <v>50</v>
      </c>
      <c r="N2253" s="1" t="n">
        <v>11999</v>
      </c>
      <c r="O2253" s="1" t="n">
        <v>0</v>
      </c>
      <c r="P2253" s="1" t="n">
        <v>0</v>
      </c>
      <c r="Q2253" s="1" t="n">
        <v>11999</v>
      </c>
      <c r="R2253" s="1" t="n">
        <v>2159.82</v>
      </c>
      <c r="S2253" s="1" t="n">
        <v>9839.18</v>
      </c>
      <c r="T2253" s="1" t="n">
        <v>4856.72</v>
      </c>
      <c r="U2253" s="1" t="n">
        <v>4982.46</v>
      </c>
      <c r="V2253" s="1" t="n">
        <v>50.64</v>
      </c>
      <c r="W2253" s="1" t="s">
        <v>40</v>
      </c>
      <c r="Y2253" s="1" t="s">
        <v>40</v>
      </c>
      <c r="Z2253" s="1" t="n">
        <v>1</v>
      </c>
    </row>
    <row r="2254" customFormat="false" ht="15" hidden="false" customHeight="true" outlineLevel="0" collapsed="false">
      <c r="A2254" s="1" t="s">
        <v>3122</v>
      </c>
      <c r="B2254" s="1" t="s">
        <v>1594</v>
      </c>
      <c r="C2254" s="1" t="s">
        <v>178</v>
      </c>
      <c r="D2254" s="1" t="s">
        <v>53</v>
      </c>
      <c r="E2254" s="1" t="s">
        <v>54</v>
      </c>
      <c r="F2254" s="1" t="s">
        <v>125</v>
      </c>
      <c r="G2254" s="1" t="s">
        <v>108</v>
      </c>
      <c r="H2254" s="1" t="s">
        <v>69</v>
      </c>
      <c r="I2254" s="1" t="s">
        <v>58</v>
      </c>
      <c r="J2254" s="1" t="s">
        <v>77</v>
      </c>
      <c r="K2254" s="1" t="s">
        <v>60</v>
      </c>
      <c r="L2254" s="1" t="s">
        <v>61</v>
      </c>
      <c r="M2254" s="1" t="s">
        <v>38</v>
      </c>
      <c r="N2254" s="1" t="n">
        <v>11999</v>
      </c>
      <c r="O2254" s="1" t="n">
        <v>50</v>
      </c>
      <c r="P2254" s="1" t="n">
        <v>5999.5</v>
      </c>
      <c r="Q2254" s="1" t="n">
        <v>5999.5</v>
      </c>
      <c r="R2254" s="1" t="n">
        <v>1079.91</v>
      </c>
      <c r="S2254" s="1" t="n">
        <v>4919.59</v>
      </c>
      <c r="T2254" s="1" t="n">
        <v>2276.81</v>
      </c>
      <c r="U2254" s="1" t="n">
        <v>2642.78</v>
      </c>
      <c r="V2254" s="1" t="n">
        <v>53.72</v>
      </c>
      <c r="W2254" s="1" t="s">
        <v>40</v>
      </c>
      <c r="Y2254" s="1" t="s">
        <v>40</v>
      </c>
      <c r="Z2254" s="1" t="n">
        <v>0</v>
      </c>
    </row>
    <row r="2255" customFormat="false" ht="15" hidden="false" customHeight="true" outlineLevel="0" collapsed="false">
      <c r="A2255" s="1" t="s">
        <v>3123</v>
      </c>
      <c r="B2255" s="1" t="s">
        <v>776</v>
      </c>
      <c r="C2255" s="1" t="s">
        <v>178</v>
      </c>
      <c r="D2255" s="1" t="s">
        <v>168</v>
      </c>
      <c r="E2255" s="1" t="s">
        <v>328</v>
      </c>
      <c r="F2255" s="1" t="s">
        <v>96</v>
      </c>
      <c r="G2255" s="1" t="s">
        <v>97</v>
      </c>
      <c r="H2255" s="1" t="s">
        <v>69</v>
      </c>
      <c r="I2255" s="1" t="s">
        <v>58</v>
      </c>
      <c r="J2255" s="1" t="s">
        <v>131</v>
      </c>
      <c r="K2255" s="1" t="s">
        <v>71</v>
      </c>
      <c r="L2255" s="1" t="s">
        <v>113</v>
      </c>
      <c r="M2255" s="1" t="s">
        <v>38</v>
      </c>
      <c r="N2255" s="1" t="n">
        <v>8999</v>
      </c>
      <c r="O2255" s="1" t="n">
        <v>20</v>
      </c>
      <c r="P2255" s="1" t="n">
        <v>1799.8</v>
      </c>
      <c r="Q2255" s="1" t="n">
        <v>7199.2</v>
      </c>
      <c r="R2255" s="1" t="n">
        <v>1295.86</v>
      </c>
      <c r="S2255" s="1" t="n">
        <v>5903.34</v>
      </c>
      <c r="T2255" s="1" t="n">
        <v>2181.41</v>
      </c>
      <c r="U2255" s="1" t="n">
        <v>3721.93</v>
      </c>
      <c r="V2255" s="1" t="n">
        <v>63.05</v>
      </c>
      <c r="W2255" s="1" t="s">
        <v>40</v>
      </c>
      <c r="Y2255" s="1" t="s">
        <v>39</v>
      </c>
      <c r="Z2255" s="1" t="n">
        <v>2</v>
      </c>
    </row>
    <row r="2256" customFormat="false" ht="15" hidden="false" customHeight="true" outlineLevel="0" collapsed="false">
      <c r="A2256" s="1" t="s">
        <v>3124</v>
      </c>
      <c r="B2256" s="1" t="s">
        <v>1011</v>
      </c>
      <c r="C2256" s="1" t="s">
        <v>74</v>
      </c>
      <c r="D2256" s="1" t="s">
        <v>53</v>
      </c>
      <c r="E2256" s="1" t="s">
        <v>116</v>
      </c>
      <c r="F2256" s="1" t="s">
        <v>102</v>
      </c>
      <c r="G2256" s="1" t="s">
        <v>103</v>
      </c>
      <c r="H2256" s="1" t="s">
        <v>33</v>
      </c>
      <c r="I2256" s="1" t="s">
        <v>83</v>
      </c>
      <c r="J2256" s="1" t="s">
        <v>70</v>
      </c>
      <c r="K2256" s="1" t="s">
        <v>112</v>
      </c>
      <c r="L2256" s="1" t="s">
        <v>49</v>
      </c>
      <c r="M2256" s="1" t="s">
        <v>50</v>
      </c>
      <c r="N2256" s="1" t="n">
        <v>9999</v>
      </c>
      <c r="O2256" s="1" t="n">
        <v>20</v>
      </c>
      <c r="P2256" s="1" t="n">
        <v>1999.8</v>
      </c>
      <c r="Q2256" s="1" t="n">
        <v>7999.2</v>
      </c>
      <c r="R2256" s="1" t="n">
        <v>1439.86</v>
      </c>
      <c r="S2256" s="1" t="n">
        <v>6559.34</v>
      </c>
      <c r="T2256" s="1" t="n">
        <v>2677.81</v>
      </c>
      <c r="U2256" s="1" t="n">
        <v>3881.53</v>
      </c>
      <c r="V2256" s="1" t="n">
        <v>59.18</v>
      </c>
      <c r="W2256" s="1" t="s">
        <v>39</v>
      </c>
      <c r="X2256" s="1" t="n">
        <v>3.7</v>
      </c>
      <c r="Y2256" s="1" t="s">
        <v>40</v>
      </c>
      <c r="Z2256" s="1" t="n">
        <v>0</v>
      </c>
    </row>
    <row r="2257" customFormat="false" ht="15" hidden="false" customHeight="true" outlineLevel="0" collapsed="false">
      <c r="A2257" s="1" t="s">
        <v>3125</v>
      </c>
      <c r="B2257" s="1" t="s">
        <v>747</v>
      </c>
      <c r="C2257" s="1" t="s">
        <v>28</v>
      </c>
      <c r="D2257" s="1" t="s">
        <v>44</v>
      </c>
      <c r="E2257" s="1" t="s">
        <v>66</v>
      </c>
      <c r="F2257" s="1" t="s">
        <v>55</v>
      </c>
      <c r="G2257" s="1" t="s">
        <v>56</v>
      </c>
      <c r="H2257" s="1" t="s">
        <v>57</v>
      </c>
      <c r="I2257" s="1" t="s">
        <v>58</v>
      </c>
      <c r="J2257" s="1" t="s">
        <v>59</v>
      </c>
      <c r="K2257" s="1" t="s">
        <v>36</v>
      </c>
      <c r="L2257" s="1" t="s">
        <v>113</v>
      </c>
      <c r="M2257" s="1" t="s">
        <v>50</v>
      </c>
      <c r="N2257" s="1" t="n">
        <v>12999</v>
      </c>
      <c r="O2257" s="1" t="n">
        <v>0</v>
      </c>
      <c r="P2257" s="1" t="n">
        <v>0</v>
      </c>
      <c r="Q2257" s="1" t="n">
        <v>12999</v>
      </c>
      <c r="R2257" s="1" t="n">
        <v>2339.82</v>
      </c>
      <c r="S2257" s="1" t="n">
        <v>10659.18</v>
      </c>
      <c r="T2257" s="1" t="n">
        <v>3950.04</v>
      </c>
      <c r="U2257" s="1" t="n">
        <v>6709.14</v>
      </c>
      <c r="V2257" s="1" t="n">
        <v>62.94</v>
      </c>
      <c r="W2257" s="1" t="s">
        <v>39</v>
      </c>
      <c r="X2257" s="1" t="n">
        <v>4.2</v>
      </c>
      <c r="Y2257" s="1" t="s">
        <v>40</v>
      </c>
      <c r="Z2257" s="1" t="n">
        <v>0</v>
      </c>
    </row>
    <row r="2258" customFormat="false" ht="15" hidden="false" customHeight="true" outlineLevel="0" collapsed="false">
      <c r="A2258" s="1" t="s">
        <v>3126</v>
      </c>
      <c r="B2258" s="1" t="s">
        <v>1727</v>
      </c>
      <c r="C2258" s="1" t="s">
        <v>128</v>
      </c>
      <c r="D2258" s="1" t="s">
        <v>94</v>
      </c>
      <c r="E2258" s="1" t="s">
        <v>135</v>
      </c>
      <c r="F2258" s="1" t="s">
        <v>130</v>
      </c>
      <c r="G2258" s="1" t="s">
        <v>47</v>
      </c>
      <c r="H2258" s="1" t="s">
        <v>69</v>
      </c>
      <c r="I2258" s="1" t="s">
        <v>58</v>
      </c>
      <c r="J2258" s="1" t="s">
        <v>59</v>
      </c>
      <c r="K2258" s="1" t="s">
        <v>84</v>
      </c>
      <c r="L2258" s="1" t="s">
        <v>136</v>
      </c>
      <c r="M2258" s="1" t="s">
        <v>62</v>
      </c>
      <c r="N2258" s="1" t="n">
        <v>9999</v>
      </c>
      <c r="O2258" s="1" t="n">
        <v>50</v>
      </c>
      <c r="P2258" s="1" t="n">
        <v>4999.5</v>
      </c>
      <c r="Q2258" s="1" t="n">
        <v>4999.5</v>
      </c>
      <c r="R2258" s="1" t="n">
        <v>899.91</v>
      </c>
      <c r="S2258" s="1" t="n">
        <v>4099.59</v>
      </c>
      <c r="T2258" s="1" t="n">
        <v>1547.13</v>
      </c>
      <c r="U2258" s="1" t="n">
        <v>2552.46</v>
      </c>
      <c r="V2258" s="1" t="n">
        <v>62.26</v>
      </c>
      <c r="W2258" s="1" t="s">
        <v>39</v>
      </c>
      <c r="X2258" s="1" t="n">
        <v>3.6</v>
      </c>
      <c r="Y2258" s="1" t="s">
        <v>40</v>
      </c>
      <c r="Z2258" s="1" t="n">
        <v>1</v>
      </c>
    </row>
    <row r="2259" customFormat="false" ht="15" hidden="false" customHeight="true" outlineLevel="0" collapsed="false">
      <c r="A2259" s="1" t="s">
        <v>3127</v>
      </c>
      <c r="B2259" s="1" t="s">
        <v>974</v>
      </c>
      <c r="C2259" s="1" t="s">
        <v>128</v>
      </c>
      <c r="D2259" s="1" t="s">
        <v>29</v>
      </c>
      <c r="E2259" s="1" t="s">
        <v>182</v>
      </c>
      <c r="F2259" s="1" t="s">
        <v>55</v>
      </c>
      <c r="G2259" s="1" t="s">
        <v>56</v>
      </c>
      <c r="H2259" s="1" t="s">
        <v>57</v>
      </c>
      <c r="I2259" s="1" t="s">
        <v>58</v>
      </c>
      <c r="J2259" s="1" t="s">
        <v>35</v>
      </c>
      <c r="K2259" s="1" t="s">
        <v>112</v>
      </c>
      <c r="L2259" s="1" t="s">
        <v>136</v>
      </c>
      <c r="M2259" s="1" t="s">
        <v>62</v>
      </c>
      <c r="N2259" s="1" t="n">
        <v>34999</v>
      </c>
      <c r="O2259" s="1" t="n">
        <v>15</v>
      </c>
      <c r="P2259" s="1" t="n">
        <v>5249.85</v>
      </c>
      <c r="Q2259" s="1" t="n">
        <v>29749.15</v>
      </c>
      <c r="R2259" s="1" t="n">
        <v>5354.85</v>
      </c>
      <c r="S2259" s="1" t="n">
        <v>24394.3</v>
      </c>
      <c r="T2259" s="1" t="n">
        <v>10019.91</v>
      </c>
      <c r="U2259" s="1" t="n">
        <v>14374.39</v>
      </c>
      <c r="V2259" s="1" t="n">
        <v>58.93</v>
      </c>
      <c r="W2259" s="1" t="s">
        <v>39</v>
      </c>
      <c r="Y2259" s="1" t="s">
        <v>40</v>
      </c>
      <c r="Z2259" s="1" t="n">
        <v>0</v>
      </c>
    </row>
    <row r="2260" customFormat="false" ht="15" hidden="false" customHeight="true" outlineLevel="0" collapsed="false">
      <c r="A2260" s="1" t="s">
        <v>3128</v>
      </c>
      <c r="B2260" s="1" t="s">
        <v>2695</v>
      </c>
      <c r="C2260" s="1" t="s">
        <v>43</v>
      </c>
      <c r="D2260" s="1" t="s">
        <v>143</v>
      </c>
      <c r="E2260" s="1" t="s">
        <v>210</v>
      </c>
      <c r="F2260" s="1" t="s">
        <v>55</v>
      </c>
      <c r="G2260" s="1" t="s">
        <v>56</v>
      </c>
      <c r="H2260" s="1" t="s">
        <v>57</v>
      </c>
      <c r="I2260" s="1" t="s">
        <v>58</v>
      </c>
      <c r="J2260" s="1" t="s">
        <v>35</v>
      </c>
      <c r="K2260" s="1" t="s">
        <v>104</v>
      </c>
      <c r="L2260" s="1" t="s">
        <v>49</v>
      </c>
      <c r="M2260" s="1" t="s">
        <v>62</v>
      </c>
      <c r="N2260" s="1" t="n">
        <v>18999</v>
      </c>
      <c r="O2260" s="1" t="n">
        <v>10</v>
      </c>
      <c r="P2260" s="1" t="n">
        <v>1899.9</v>
      </c>
      <c r="Q2260" s="1" t="n">
        <v>17099.1</v>
      </c>
      <c r="R2260" s="1" t="n">
        <v>3077.84</v>
      </c>
      <c r="S2260" s="1" t="n">
        <v>14021.26</v>
      </c>
      <c r="T2260" s="1" t="n">
        <v>6173.77</v>
      </c>
      <c r="U2260" s="1" t="n">
        <v>7847.49</v>
      </c>
      <c r="V2260" s="1" t="n">
        <v>55.97</v>
      </c>
      <c r="W2260" s="1" t="s">
        <v>40</v>
      </c>
      <c r="Y2260" s="1" t="s">
        <v>40</v>
      </c>
      <c r="Z2260" s="1" t="n">
        <v>0</v>
      </c>
    </row>
    <row r="2261" customFormat="false" ht="15" hidden="false" customHeight="true" outlineLevel="0" collapsed="false">
      <c r="A2261" s="1" t="s">
        <v>3129</v>
      </c>
      <c r="B2261" s="1" t="s">
        <v>2932</v>
      </c>
      <c r="C2261" s="1" t="s">
        <v>65</v>
      </c>
      <c r="D2261" s="1" t="s">
        <v>123</v>
      </c>
      <c r="E2261" s="1" t="s">
        <v>233</v>
      </c>
      <c r="F2261" s="1" t="s">
        <v>102</v>
      </c>
      <c r="G2261" s="1" t="s">
        <v>103</v>
      </c>
      <c r="H2261" s="1" t="s">
        <v>33</v>
      </c>
      <c r="I2261" s="1" t="s">
        <v>83</v>
      </c>
      <c r="J2261" s="1" t="s">
        <v>35</v>
      </c>
      <c r="K2261" s="1" t="s">
        <v>48</v>
      </c>
      <c r="L2261" s="1" t="s">
        <v>61</v>
      </c>
      <c r="M2261" s="1" t="s">
        <v>38</v>
      </c>
      <c r="N2261" s="1" t="n">
        <v>8999</v>
      </c>
      <c r="O2261" s="1" t="n">
        <v>25</v>
      </c>
      <c r="P2261" s="1" t="n">
        <v>2249.75</v>
      </c>
      <c r="Q2261" s="1" t="n">
        <v>6749.25</v>
      </c>
      <c r="R2261" s="1" t="n">
        <v>1214.87</v>
      </c>
      <c r="S2261" s="1" t="n">
        <v>5534.38</v>
      </c>
      <c r="T2261" s="1" t="n">
        <v>2853.06</v>
      </c>
      <c r="U2261" s="1" t="n">
        <v>2681.32</v>
      </c>
      <c r="V2261" s="1" t="n">
        <v>48.45</v>
      </c>
      <c r="W2261" s="1" t="s">
        <v>39</v>
      </c>
      <c r="X2261" s="1" t="n">
        <v>3.4</v>
      </c>
      <c r="Y2261" s="1" t="s">
        <v>40</v>
      </c>
      <c r="Z2261" s="1" t="n">
        <v>0</v>
      </c>
    </row>
    <row r="2262" customFormat="false" ht="15" hidden="false" customHeight="true" outlineLevel="0" collapsed="false">
      <c r="A2262" s="1" t="s">
        <v>3130</v>
      </c>
      <c r="B2262" s="1" t="s">
        <v>1751</v>
      </c>
      <c r="C2262" s="1" t="s">
        <v>139</v>
      </c>
      <c r="D2262" s="1" t="s">
        <v>44</v>
      </c>
      <c r="E2262" s="1" t="s">
        <v>45</v>
      </c>
      <c r="F2262" s="1" t="s">
        <v>55</v>
      </c>
      <c r="G2262" s="1" t="s">
        <v>56</v>
      </c>
      <c r="H2262" s="1" t="s">
        <v>57</v>
      </c>
      <c r="I2262" s="1" t="s">
        <v>34</v>
      </c>
      <c r="J2262" s="1" t="s">
        <v>77</v>
      </c>
      <c r="K2262" s="1" t="s">
        <v>84</v>
      </c>
      <c r="L2262" s="1" t="s">
        <v>136</v>
      </c>
      <c r="M2262" s="1" t="s">
        <v>38</v>
      </c>
      <c r="N2262" s="1" t="n">
        <v>11999</v>
      </c>
      <c r="O2262" s="1" t="n">
        <v>0</v>
      </c>
      <c r="P2262" s="1" t="n">
        <v>0</v>
      </c>
      <c r="Q2262" s="1" t="n">
        <v>11999</v>
      </c>
      <c r="R2262" s="1" t="n">
        <v>2159.82</v>
      </c>
      <c r="S2262" s="1" t="n">
        <v>9839.18</v>
      </c>
      <c r="T2262" s="1" t="n">
        <v>4161.42</v>
      </c>
      <c r="U2262" s="1" t="n">
        <v>5677.76</v>
      </c>
      <c r="V2262" s="1" t="n">
        <v>57.71</v>
      </c>
      <c r="W2262" s="1" t="s">
        <v>40</v>
      </c>
      <c r="Y2262" s="1" t="s">
        <v>40</v>
      </c>
      <c r="Z2262" s="1" t="n">
        <v>0</v>
      </c>
    </row>
    <row r="2263" customFormat="false" ht="15" hidden="false" customHeight="true" outlineLevel="0" collapsed="false">
      <c r="A2263" s="1" t="s">
        <v>3131</v>
      </c>
      <c r="B2263" s="1" t="s">
        <v>438</v>
      </c>
      <c r="C2263" s="1" t="s">
        <v>249</v>
      </c>
      <c r="D2263" s="1" t="s">
        <v>29</v>
      </c>
      <c r="E2263" s="1" t="s">
        <v>182</v>
      </c>
      <c r="F2263" s="1" t="s">
        <v>211</v>
      </c>
      <c r="G2263" s="1" t="s">
        <v>56</v>
      </c>
      <c r="H2263" s="1" t="s">
        <v>69</v>
      </c>
      <c r="I2263" s="1" t="s">
        <v>58</v>
      </c>
      <c r="J2263" s="1" t="s">
        <v>35</v>
      </c>
      <c r="K2263" s="1" t="s">
        <v>90</v>
      </c>
      <c r="L2263" s="1" t="s">
        <v>61</v>
      </c>
      <c r="M2263" s="1" t="s">
        <v>38</v>
      </c>
      <c r="N2263" s="1" t="n">
        <v>34999</v>
      </c>
      <c r="O2263" s="1" t="n">
        <v>50</v>
      </c>
      <c r="P2263" s="1" t="n">
        <v>17499.5</v>
      </c>
      <c r="Q2263" s="1" t="n">
        <v>17499.5</v>
      </c>
      <c r="R2263" s="1" t="n">
        <v>3149.91</v>
      </c>
      <c r="S2263" s="1" t="n">
        <v>14349.59</v>
      </c>
      <c r="T2263" s="1" t="n">
        <v>7870.77</v>
      </c>
      <c r="U2263" s="1" t="n">
        <v>6478.82</v>
      </c>
      <c r="V2263" s="1" t="n">
        <v>45.15</v>
      </c>
      <c r="W2263" s="1" t="s">
        <v>39</v>
      </c>
      <c r="Y2263" s="1" t="s">
        <v>40</v>
      </c>
      <c r="Z2263" s="1" t="n">
        <v>0</v>
      </c>
    </row>
    <row r="2264" customFormat="false" ht="15" hidden="false" customHeight="true" outlineLevel="0" collapsed="false">
      <c r="A2264" s="1" t="s">
        <v>3132</v>
      </c>
      <c r="B2264" s="1" t="s">
        <v>42</v>
      </c>
      <c r="C2264" s="1" t="s">
        <v>43</v>
      </c>
      <c r="D2264" s="1" t="s">
        <v>29</v>
      </c>
      <c r="E2264" s="1" t="s">
        <v>182</v>
      </c>
      <c r="F2264" s="1" t="s">
        <v>107</v>
      </c>
      <c r="G2264" s="1" t="s">
        <v>108</v>
      </c>
      <c r="H2264" s="1" t="s">
        <v>33</v>
      </c>
      <c r="I2264" s="1" t="s">
        <v>58</v>
      </c>
      <c r="J2264" s="1" t="s">
        <v>35</v>
      </c>
      <c r="K2264" s="1" t="s">
        <v>36</v>
      </c>
      <c r="L2264" s="1" t="s">
        <v>61</v>
      </c>
      <c r="M2264" s="1" t="s">
        <v>38</v>
      </c>
      <c r="N2264" s="1" t="n">
        <v>34999</v>
      </c>
      <c r="O2264" s="1" t="n">
        <v>30</v>
      </c>
      <c r="P2264" s="1" t="n">
        <v>10499.7</v>
      </c>
      <c r="Q2264" s="1" t="n">
        <v>24499.3</v>
      </c>
      <c r="R2264" s="1" t="n">
        <v>4409.87</v>
      </c>
      <c r="S2264" s="1" t="n">
        <v>20089.43</v>
      </c>
      <c r="T2264" s="1" t="n">
        <v>8911.11</v>
      </c>
      <c r="U2264" s="1" t="n">
        <v>11178.32</v>
      </c>
      <c r="V2264" s="1" t="n">
        <v>55.64</v>
      </c>
      <c r="W2264" s="1" t="s">
        <v>39</v>
      </c>
      <c r="X2264" s="1" t="n">
        <v>4.1</v>
      </c>
      <c r="Y2264" s="1" t="s">
        <v>40</v>
      </c>
      <c r="Z2264" s="1" t="n">
        <v>0</v>
      </c>
    </row>
    <row r="2265" customFormat="false" ht="15" hidden="false" customHeight="true" outlineLevel="0" collapsed="false">
      <c r="A2265" s="1" t="s">
        <v>3133</v>
      </c>
      <c r="B2265" s="1" t="s">
        <v>901</v>
      </c>
      <c r="C2265" s="1" t="s">
        <v>43</v>
      </c>
      <c r="D2265" s="1" t="s">
        <v>53</v>
      </c>
      <c r="E2265" s="1" t="s">
        <v>54</v>
      </c>
      <c r="F2265" s="1" t="s">
        <v>31</v>
      </c>
      <c r="G2265" s="1" t="s">
        <v>32</v>
      </c>
      <c r="H2265" s="1" t="s">
        <v>33</v>
      </c>
      <c r="I2265" s="1" t="s">
        <v>34</v>
      </c>
      <c r="J2265" s="1" t="s">
        <v>59</v>
      </c>
      <c r="K2265" s="1" t="s">
        <v>90</v>
      </c>
      <c r="L2265" s="1" t="s">
        <v>61</v>
      </c>
      <c r="M2265" s="1" t="s">
        <v>50</v>
      </c>
      <c r="N2265" s="1" t="n">
        <v>11999</v>
      </c>
      <c r="O2265" s="1" t="n">
        <v>40</v>
      </c>
      <c r="P2265" s="1" t="n">
        <v>4799.6</v>
      </c>
      <c r="Q2265" s="1" t="n">
        <v>7199.4</v>
      </c>
      <c r="R2265" s="1" t="n">
        <v>1295.89</v>
      </c>
      <c r="S2265" s="1" t="n">
        <v>5903.51</v>
      </c>
      <c r="T2265" s="1" t="n">
        <v>2852.36</v>
      </c>
      <c r="U2265" s="1" t="n">
        <v>3051.15</v>
      </c>
      <c r="V2265" s="1" t="n">
        <v>51.68</v>
      </c>
      <c r="W2265" s="1" t="s">
        <v>40</v>
      </c>
      <c r="Y2265" s="1" t="s">
        <v>40</v>
      </c>
      <c r="Z2265" s="1" t="n">
        <v>0</v>
      </c>
    </row>
    <row r="2266" customFormat="false" ht="15" hidden="false" customHeight="true" outlineLevel="0" collapsed="false">
      <c r="A2266" s="1" t="s">
        <v>3134</v>
      </c>
      <c r="B2266" s="1" t="s">
        <v>785</v>
      </c>
      <c r="C2266" s="1" t="s">
        <v>249</v>
      </c>
      <c r="D2266" s="1" t="s">
        <v>143</v>
      </c>
      <c r="E2266" s="1" t="s">
        <v>210</v>
      </c>
      <c r="F2266" s="1" t="s">
        <v>120</v>
      </c>
      <c r="G2266" s="1" t="s">
        <v>47</v>
      </c>
      <c r="H2266" s="1" t="s">
        <v>57</v>
      </c>
      <c r="I2266" s="1" t="s">
        <v>34</v>
      </c>
      <c r="J2266" s="1" t="s">
        <v>59</v>
      </c>
      <c r="K2266" s="1" t="s">
        <v>90</v>
      </c>
      <c r="L2266" s="1" t="s">
        <v>85</v>
      </c>
      <c r="M2266" s="1" t="s">
        <v>38</v>
      </c>
      <c r="N2266" s="1" t="n">
        <v>18999</v>
      </c>
      <c r="O2266" s="1" t="n">
        <v>5</v>
      </c>
      <c r="P2266" s="1" t="n">
        <v>949.95</v>
      </c>
      <c r="Q2266" s="1" t="n">
        <v>18049.05</v>
      </c>
      <c r="R2266" s="1" t="n">
        <v>3248.83</v>
      </c>
      <c r="S2266" s="1" t="n">
        <v>14800.22</v>
      </c>
      <c r="T2266" s="1" t="n">
        <v>5662.43</v>
      </c>
      <c r="U2266" s="1" t="n">
        <v>9137.79</v>
      </c>
      <c r="V2266" s="1" t="n">
        <v>61.74</v>
      </c>
      <c r="W2266" s="1" t="s">
        <v>40</v>
      </c>
      <c r="Y2266" s="1" t="s">
        <v>40</v>
      </c>
      <c r="Z2266" s="1" t="n">
        <v>1</v>
      </c>
    </row>
    <row r="2267" customFormat="false" ht="15" hidden="false" customHeight="true" outlineLevel="0" collapsed="false">
      <c r="A2267" s="1" t="s">
        <v>3135</v>
      </c>
      <c r="B2267" s="1" t="s">
        <v>3136</v>
      </c>
      <c r="C2267" s="1" t="s">
        <v>93</v>
      </c>
      <c r="D2267" s="1" t="s">
        <v>80</v>
      </c>
      <c r="E2267" s="1" t="s">
        <v>190</v>
      </c>
      <c r="F2267" s="1" t="s">
        <v>205</v>
      </c>
      <c r="G2267" s="1" t="s">
        <v>56</v>
      </c>
      <c r="H2267" s="1" t="s">
        <v>69</v>
      </c>
      <c r="I2267" s="1" t="s">
        <v>34</v>
      </c>
      <c r="J2267" s="1" t="s">
        <v>131</v>
      </c>
      <c r="K2267" s="1" t="s">
        <v>84</v>
      </c>
      <c r="L2267" s="1" t="s">
        <v>37</v>
      </c>
      <c r="M2267" s="1" t="s">
        <v>50</v>
      </c>
      <c r="N2267" s="1" t="n">
        <v>15999</v>
      </c>
      <c r="O2267" s="1" t="n">
        <v>10</v>
      </c>
      <c r="P2267" s="1" t="n">
        <v>1599.9</v>
      </c>
      <c r="Q2267" s="1" t="n">
        <v>14399.1</v>
      </c>
      <c r="R2267" s="1" t="n">
        <v>2591.84</v>
      </c>
      <c r="S2267" s="1" t="n">
        <v>11807.26</v>
      </c>
      <c r="T2267" s="1" t="n">
        <v>4300.66</v>
      </c>
      <c r="U2267" s="1" t="n">
        <v>7506.6</v>
      </c>
      <c r="V2267" s="1" t="n">
        <v>63.58</v>
      </c>
      <c r="W2267" s="1" t="s">
        <v>40</v>
      </c>
      <c r="Y2267" s="1" t="s">
        <v>40</v>
      </c>
      <c r="Z2267" s="1" t="n">
        <v>1</v>
      </c>
    </row>
    <row r="2268" customFormat="false" ht="15" hidden="false" customHeight="true" outlineLevel="0" collapsed="false">
      <c r="A2268" s="1" t="s">
        <v>3137</v>
      </c>
      <c r="B2268" s="1" t="s">
        <v>740</v>
      </c>
      <c r="C2268" s="1" t="s">
        <v>134</v>
      </c>
      <c r="D2268" s="1" t="s">
        <v>94</v>
      </c>
      <c r="E2268" s="1" t="s">
        <v>135</v>
      </c>
      <c r="F2268" s="1" t="s">
        <v>150</v>
      </c>
      <c r="G2268" s="1" t="s">
        <v>32</v>
      </c>
      <c r="H2268" s="1" t="s">
        <v>57</v>
      </c>
      <c r="I2268" s="1" t="s">
        <v>83</v>
      </c>
      <c r="J2268" s="1" t="s">
        <v>131</v>
      </c>
      <c r="K2268" s="1" t="s">
        <v>104</v>
      </c>
      <c r="L2268" s="1" t="s">
        <v>136</v>
      </c>
      <c r="M2268" s="1" t="s">
        <v>62</v>
      </c>
      <c r="N2268" s="1" t="n">
        <v>9999</v>
      </c>
      <c r="O2268" s="1" t="n">
        <v>15</v>
      </c>
      <c r="P2268" s="1" t="n">
        <v>1499.85</v>
      </c>
      <c r="Q2268" s="1" t="n">
        <v>8499.15</v>
      </c>
      <c r="R2268" s="1" t="n">
        <v>1529.85</v>
      </c>
      <c r="S2268" s="1" t="n">
        <v>6969.3</v>
      </c>
      <c r="T2268" s="1" t="n">
        <v>3280.72</v>
      </c>
      <c r="U2268" s="1" t="n">
        <v>3688.58</v>
      </c>
      <c r="V2268" s="1" t="n">
        <v>52.93</v>
      </c>
      <c r="W2268" s="1" t="s">
        <v>40</v>
      </c>
      <c r="Y2268" s="1" t="s">
        <v>40</v>
      </c>
      <c r="Z2268" s="1" t="n">
        <v>0</v>
      </c>
    </row>
    <row r="2269" customFormat="false" ht="15" hidden="false" customHeight="true" outlineLevel="0" collapsed="false">
      <c r="A2269" s="1" t="s">
        <v>3138</v>
      </c>
      <c r="B2269" s="1" t="s">
        <v>2281</v>
      </c>
      <c r="C2269" s="1" t="s">
        <v>100</v>
      </c>
      <c r="D2269" s="1" t="s">
        <v>94</v>
      </c>
      <c r="E2269" s="1" t="s">
        <v>101</v>
      </c>
      <c r="F2269" s="1" t="s">
        <v>55</v>
      </c>
      <c r="G2269" s="1" t="s">
        <v>56</v>
      </c>
      <c r="H2269" s="1" t="s">
        <v>57</v>
      </c>
      <c r="I2269" s="1" t="s">
        <v>83</v>
      </c>
      <c r="J2269" s="1" t="s">
        <v>77</v>
      </c>
      <c r="K2269" s="1" t="s">
        <v>104</v>
      </c>
      <c r="L2269" s="1" t="s">
        <v>136</v>
      </c>
      <c r="M2269" s="1" t="s">
        <v>62</v>
      </c>
      <c r="N2269" s="1" t="n">
        <v>14999</v>
      </c>
      <c r="O2269" s="1" t="n">
        <v>25</v>
      </c>
      <c r="P2269" s="1" t="n">
        <v>3749.75</v>
      </c>
      <c r="Q2269" s="1" t="n">
        <v>11249.25</v>
      </c>
      <c r="R2269" s="1" t="n">
        <v>2024.87</v>
      </c>
      <c r="S2269" s="1" t="n">
        <v>9224.38</v>
      </c>
      <c r="T2269" s="1" t="n">
        <v>4335.65</v>
      </c>
      <c r="U2269" s="1" t="n">
        <v>4888.73</v>
      </c>
      <c r="V2269" s="1" t="n">
        <v>53</v>
      </c>
      <c r="W2269" s="1" t="s">
        <v>40</v>
      </c>
      <c r="Y2269" s="1" t="s">
        <v>40</v>
      </c>
      <c r="Z2269" s="1" t="n">
        <v>1</v>
      </c>
    </row>
    <row r="2270" customFormat="false" ht="15" hidden="false" customHeight="true" outlineLevel="0" collapsed="false">
      <c r="A2270" s="1" t="s">
        <v>3139</v>
      </c>
      <c r="B2270" s="1" t="s">
        <v>913</v>
      </c>
      <c r="C2270" s="1" t="s">
        <v>139</v>
      </c>
      <c r="D2270" s="1" t="s">
        <v>80</v>
      </c>
      <c r="E2270" s="1" t="s">
        <v>193</v>
      </c>
      <c r="F2270" s="1" t="s">
        <v>194</v>
      </c>
      <c r="G2270" s="1" t="s">
        <v>103</v>
      </c>
      <c r="H2270" s="1" t="s">
        <v>69</v>
      </c>
      <c r="I2270" s="1" t="s">
        <v>58</v>
      </c>
      <c r="J2270" s="1" t="s">
        <v>35</v>
      </c>
      <c r="K2270" s="1" t="s">
        <v>60</v>
      </c>
      <c r="L2270" s="1" t="s">
        <v>85</v>
      </c>
      <c r="M2270" s="1" t="s">
        <v>50</v>
      </c>
      <c r="N2270" s="1" t="n">
        <v>8999</v>
      </c>
      <c r="O2270" s="1" t="n">
        <v>0</v>
      </c>
      <c r="P2270" s="1" t="n">
        <v>0</v>
      </c>
      <c r="Q2270" s="1" t="n">
        <v>8999</v>
      </c>
      <c r="R2270" s="1" t="n">
        <v>1619.82</v>
      </c>
      <c r="S2270" s="1" t="n">
        <v>7379.18</v>
      </c>
      <c r="T2270" s="1" t="n">
        <v>3191.31</v>
      </c>
      <c r="U2270" s="1" t="n">
        <v>4187.87</v>
      </c>
      <c r="V2270" s="1" t="n">
        <v>56.75</v>
      </c>
      <c r="W2270" s="1" t="s">
        <v>39</v>
      </c>
      <c r="X2270" s="1" t="n">
        <v>3.9</v>
      </c>
      <c r="Y2270" s="1" t="s">
        <v>39</v>
      </c>
      <c r="Z2270" s="1" t="n">
        <v>0</v>
      </c>
    </row>
    <row r="2271" customFormat="false" ht="15" hidden="false" customHeight="true" outlineLevel="0" collapsed="false">
      <c r="A2271" s="1" t="s">
        <v>3140</v>
      </c>
      <c r="B2271" s="1" t="s">
        <v>177</v>
      </c>
      <c r="C2271" s="1" t="s">
        <v>134</v>
      </c>
      <c r="D2271" s="1" t="s">
        <v>94</v>
      </c>
      <c r="E2271" s="1" t="s">
        <v>101</v>
      </c>
      <c r="F2271" s="1" t="s">
        <v>696</v>
      </c>
      <c r="G2271" s="1" t="s">
        <v>56</v>
      </c>
      <c r="H2271" s="1" t="s">
        <v>69</v>
      </c>
      <c r="I2271" s="1" t="s">
        <v>34</v>
      </c>
      <c r="J2271" s="1" t="s">
        <v>35</v>
      </c>
      <c r="K2271" s="1" t="s">
        <v>112</v>
      </c>
      <c r="L2271" s="1" t="s">
        <v>85</v>
      </c>
      <c r="M2271" s="1" t="s">
        <v>50</v>
      </c>
      <c r="N2271" s="1" t="n">
        <v>14999</v>
      </c>
      <c r="O2271" s="1" t="n">
        <v>10</v>
      </c>
      <c r="P2271" s="1" t="n">
        <v>1499.9</v>
      </c>
      <c r="Q2271" s="1" t="n">
        <v>13499.1</v>
      </c>
      <c r="R2271" s="1" t="n">
        <v>2429.84</v>
      </c>
      <c r="S2271" s="1" t="n">
        <v>11069.26</v>
      </c>
      <c r="T2271" s="1" t="n">
        <v>4508.13</v>
      </c>
      <c r="U2271" s="1" t="n">
        <v>6561.13</v>
      </c>
      <c r="V2271" s="1" t="n">
        <v>59.27</v>
      </c>
      <c r="W2271" s="1" t="s">
        <v>39</v>
      </c>
      <c r="X2271" s="1" t="n">
        <v>4</v>
      </c>
      <c r="Y2271" s="1" t="s">
        <v>40</v>
      </c>
      <c r="Z2271" s="1" t="n">
        <v>0</v>
      </c>
    </row>
    <row r="2272" customFormat="false" ht="15" hidden="false" customHeight="true" outlineLevel="0" collapsed="false">
      <c r="A2272" s="1" t="s">
        <v>3141</v>
      </c>
      <c r="B2272" s="1" t="s">
        <v>1948</v>
      </c>
      <c r="C2272" s="1" t="s">
        <v>100</v>
      </c>
      <c r="D2272" s="1" t="s">
        <v>94</v>
      </c>
      <c r="E2272" s="1" t="s">
        <v>95</v>
      </c>
      <c r="F2272" s="1" t="s">
        <v>140</v>
      </c>
      <c r="G2272" s="1" t="s">
        <v>97</v>
      </c>
      <c r="H2272" s="1" t="s">
        <v>57</v>
      </c>
      <c r="I2272" s="1" t="s">
        <v>58</v>
      </c>
      <c r="J2272" s="1" t="s">
        <v>35</v>
      </c>
      <c r="K2272" s="1" t="s">
        <v>104</v>
      </c>
      <c r="L2272" s="1" t="s">
        <v>61</v>
      </c>
      <c r="M2272" s="1" t="s">
        <v>62</v>
      </c>
      <c r="N2272" s="1" t="n">
        <v>6999</v>
      </c>
      <c r="O2272" s="1" t="n">
        <v>15</v>
      </c>
      <c r="P2272" s="1" t="n">
        <v>1049.85</v>
      </c>
      <c r="Q2272" s="1" t="n">
        <v>5949.15</v>
      </c>
      <c r="R2272" s="1" t="n">
        <v>1070.85</v>
      </c>
      <c r="S2272" s="1" t="n">
        <v>4878.3</v>
      </c>
      <c r="T2272" s="1" t="n">
        <v>2018.37</v>
      </c>
      <c r="U2272" s="1" t="n">
        <v>2859.93</v>
      </c>
      <c r="V2272" s="1" t="n">
        <v>58.63</v>
      </c>
      <c r="W2272" s="1" t="s">
        <v>39</v>
      </c>
      <c r="X2272" s="1" t="n">
        <v>3</v>
      </c>
      <c r="Y2272" s="1" t="s">
        <v>40</v>
      </c>
      <c r="Z2272" s="1" t="n">
        <v>0</v>
      </c>
    </row>
    <row r="2273" customFormat="false" ht="15" hidden="false" customHeight="true" outlineLevel="0" collapsed="false">
      <c r="A2273" s="1" t="s">
        <v>3142</v>
      </c>
      <c r="B2273" s="1" t="s">
        <v>841</v>
      </c>
      <c r="C2273" s="1" t="s">
        <v>65</v>
      </c>
      <c r="D2273" s="1" t="s">
        <v>123</v>
      </c>
      <c r="E2273" s="1" t="s">
        <v>147</v>
      </c>
      <c r="F2273" s="1" t="s">
        <v>187</v>
      </c>
      <c r="G2273" s="1" t="s">
        <v>97</v>
      </c>
      <c r="H2273" s="1" t="s">
        <v>69</v>
      </c>
      <c r="I2273" s="1" t="s">
        <v>58</v>
      </c>
      <c r="J2273" s="1" t="s">
        <v>131</v>
      </c>
      <c r="K2273" s="1" t="s">
        <v>60</v>
      </c>
      <c r="L2273" s="1" t="s">
        <v>136</v>
      </c>
      <c r="M2273" s="1" t="s">
        <v>38</v>
      </c>
      <c r="N2273" s="1" t="n">
        <v>6999</v>
      </c>
      <c r="O2273" s="1" t="n">
        <v>0</v>
      </c>
      <c r="P2273" s="1" t="n">
        <v>0</v>
      </c>
      <c r="Q2273" s="1" t="n">
        <v>6999</v>
      </c>
      <c r="R2273" s="1" t="n">
        <v>1259.82</v>
      </c>
      <c r="S2273" s="1" t="n">
        <v>5739.18</v>
      </c>
      <c r="T2273" s="1" t="n">
        <v>2537.38</v>
      </c>
      <c r="U2273" s="1" t="n">
        <v>3201.8</v>
      </c>
      <c r="V2273" s="1" t="n">
        <v>55.79</v>
      </c>
      <c r="W2273" s="1" t="s">
        <v>40</v>
      </c>
      <c r="Y2273" s="1" t="s">
        <v>40</v>
      </c>
      <c r="Z2273" s="1" t="n">
        <v>1</v>
      </c>
    </row>
    <row r="2274" customFormat="false" ht="15" hidden="false" customHeight="true" outlineLevel="0" collapsed="false">
      <c r="A2274" s="1" t="s">
        <v>3143</v>
      </c>
      <c r="B2274" s="1" t="s">
        <v>209</v>
      </c>
      <c r="C2274" s="1" t="s">
        <v>249</v>
      </c>
      <c r="D2274" s="1" t="s">
        <v>143</v>
      </c>
      <c r="E2274" s="1" t="s">
        <v>210</v>
      </c>
      <c r="F2274" s="1" t="s">
        <v>55</v>
      </c>
      <c r="G2274" s="1" t="s">
        <v>56</v>
      </c>
      <c r="H2274" s="1" t="s">
        <v>57</v>
      </c>
      <c r="I2274" s="1" t="s">
        <v>34</v>
      </c>
      <c r="J2274" s="1" t="s">
        <v>131</v>
      </c>
      <c r="K2274" s="1" t="s">
        <v>60</v>
      </c>
      <c r="L2274" s="1" t="s">
        <v>85</v>
      </c>
      <c r="M2274" s="1" t="s">
        <v>38</v>
      </c>
      <c r="N2274" s="1" t="n">
        <v>18999</v>
      </c>
      <c r="O2274" s="1" t="n">
        <v>40</v>
      </c>
      <c r="P2274" s="1" t="n">
        <v>7599.6</v>
      </c>
      <c r="Q2274" s="1" t="n">
        <v>11399.4</v>
      </c>
      <c r="R2274" s="1" t="n">
        <v>2051.89</v>
      </c>
      <c r="S2274" s="1" t="n">
        <v>9347.51</v>
      </c>
      <c r="T2274" s="1" t="n">
        <v>5066.13</v>
      </c>
      <c r="U2274" s="1" t="n">
        <v>4281.38</v>
      </c>
      <c r="V2274" s="1" t="n">
        <v>45.8</v>
      </c>
      <c r="W2274" s="1" t="s">
        <v>39</v>
      </c>
      <c r="Y2274" s="1" t="s">
        <v>40</v>
      </c>
      <c r="Z2274" s="1" t="n">
        <v>1</v>
      </c>
    </row>
    <row r="2275" customFormat="false" ht="15" hidden="false" customHeight="true" outlineLevel="0" collapsed="false">
      <c r="A2275" s="1" t="s">
        <v>3144</v>
      </c>
      <c r="B2275" s="1" t="s">
        <v>3145</v>
      </c>
      <c r="C2275" s="1" t="s">
        <v>43</v>
      </c>
      <c r="D2275" s="1" t="s">
        <v>123</v>
      </c>
      <c r="E2275" s="1" t="s">
        <v>124</v>
      </c>
      <c r="F2275" s="1" t="s">
        <v>153</v>
      </c>
      <c r="G2275" s="1" t="s">
        <v>76</v>
      </c>
      <c r="H2275" s="1" t="s">
        <v>33</v>
      </c>
      <c r="I2275" s="1" t="s">
        <v>83</v>
      </c>
      <c r="J2275" s="1" t="s">
        <v>59</v>
      </c>
      <c r="K2275" s="1" t="s">
        <v>112</v>
      </c>
      <c r="L2275" s="1" t="s">
        <v>37</v>
      </c>
      <c r="M2275" s="1" t="s">
        <v>62</v>
      </c>
      <c r="N2275" s="1" t="n">
        <v>4999</v>
      </c>
      <c r="O2275" s="1" t="n">
        <v>0</v>
      </c>
      <c r="P2275" s="1" t="n">
        <v>0</v>
      </c>
      <c r="Q2275" s="1" t="n">
        <v>4999</v>
      </c>
      <c r="R2275" s="1" t="n">
        <v>899.82</v>
      </c>
      <c r="S2275" s="1" t="n">
        <v>4099.18</v>
      </c>
      <c r="T2275" s="1" t="n">
        <v>1987.86</v>
      </c>
      <c r="U2275" s="1" t="n">
        <v>2111.32</v>
      </c>
      <c r="V2275" s="1" t="n">
        <v>51.51</v>
      </c>
      <c r="W2275" s="1" t="s">
        <v>39</v>
      </c>
      <c r="X2275" s="1" t="n">
        <v>4</v>
      </c>
      <c r="Y2275" s="1" t="s">
        <v>40</v>
      </c>
      <c r="Z2275" s="1" t="n">
        <v>0</v>
      </c>
    </row>
    <row r="2276" customFormat="false" ht="15" hidden="false" customHeight="true" outlineLevel="0" collapsed="false">
      <c r="A2276" s="1" t="s">
        <v>3146</v>
      </c>
      <c r="B2276" s="1" t="s">
        <v>2631</v>
      </c>
      <c r="C2276" s="1" t="s">
        <v>128</v>
      </c>
      <c r="D2276" s="1" t="s">
        <v>123</v>
      </c>
      <c r="E2276" s="1" t="s">
        <v>124</v>
      </c>
      <c r="F2276" s="1" t="s">
        <v>140</v>
      </c>
      <c r="G2276" s="1" t="s">
        <v>97</v>
      </c>
      <c r="H2276" s="1" t="s">
        <v>57</v>
      </c>
      <c r="I2276" s="1" t="s">
        <v>58</v>
      </c>
      <c r="J2276" s="1" t="s">
        <v>70</v>
      </c>
      <c r="K2276" s="1" t="s">
        <v>71</v>
      </c>
      <c r="L2276" s="1" t="s">
        <v>85</v>
      </c>
      <c r="M2276" s="1" t="s">
        <v>50</v>
      </c>
      <c r="N2276" s="1" t="n">
        <v>4999</v>
      </c>
      <c r="O2276" s="1" t="n">
        <v>10</v>
      </c>
      <c r="P2276" s="1" t="n">
        <v>499.9</v>
      </c>
      <c r="Q2276" s="1" t="n">
        <v>4499.1</v>
      </c>
      <c r="R2276" s="1" t="n">
        <v>809.84</v>
      </c>
      <c r="S2276" s="1" t="n">
        <v>3689.26</v>
      </c>
      <c r="T2276" s="1" t="n">
        <v>1718.13</v>
      </c>
      <c r="U2276" s="1" t="n">
        <v>1971.13</v>
      </c>
      <c r="V2276" s="1" t="n">
        <v>53.43</v>
      </c>
      <c r="W2276" s="1" t="s">
        <v>39</v>
      </c>
      <c r="X2276" s="1" t="n">
        <v>2.6</v>
      </c>
      <c r="Y2276" s="1" t="s">
        <v>40</v>
      </c>
      <c r="Z2276" s="1" t="n">
        <v>1</v>
      </c>
    </row>
    <row r="2277" customFormat="false" ht="15" hidden="false" customHeight="true" outlineLevel="0" collapsed="false">
      <c r="A2277" s="1" t="s">
        <v>3147</v>
      </c>
      <c r="B2277" s="1" t="s">
        <v>227</v>
      </c>
      <c r="C2277" s="1" t="s">
        <v>139</v>
      </c>
      <c r="D2277" s="1" t="s">
        <v>80</v>
      </c>
      <c r="E2277" s="1" t="s">
        <v>193</v>
      </c>
      <c r="F2277" s="1" t="s">
        <v>269</v>
      </c>
      <c r="G2277" s="1" t="s">
        <v>108</v>
      </c>
      <c r="H2277" s="1" t="s">
        <v>57</v>
      </c>
      <c r="I2277" s="1" t="s">
        <v>58</v>
      </c>
      <c r="J2277" s="1" t="s">
        <v>131</v>
      </c>
      <c r="K2277" s="1" t="s">
        <v>71</v>
      </c>
      <c r="L2277" s="1" t="s">
        <v>85</v>
      </c>
      <c r="M2277" s="1" t="s">
        <v>38</v>
      </c>
      <c r="N2277" s="1" t="n">
        <v>8999</v>
      </c>
      <c r="O2277" s="1" t="n">
        <v>10</v>
      </c>
      <c r="P2277" s="1" t="n">
        <v>899.9</v>
      </c>
      <c r="Q2277" s="1" t="n">
        <v>8099.1</v>
      </c>
      <c r="R2277" s="1" t="n">
        <v>1457.84</v>
      </c>
      <c r="S2277" s="1" t="n">
        <v>6641.26</v>
      </c>
      <c r="T2277" s="1" t="n">
        <v>2929.55</v>
      </c>
      <c r="U2277" s="1" t="n">
        <v>3711.71</v>
      </c>
      <c r="V2277" s="1" t="n">
        <v>55.89</v>
      </c>
      <c r="W2277" s="1" t="s">
        <v>39</v>
      </c>
      <c r="X2277" s="1" t="n">
        <v>3.7</v>
      </c>
      <c r="Y2277" s="1" t="s">
        <v>40</v>
      </c>
      <c r="Z2277" s="1" t="n">
        <v>0</v>
      </c>
    </row>
    <row r="2278" customFormat="false" ht="15" hidden="false" customHeight="true" outlineLevel="0" collapsed="false">
      <c r="A2278" s="1" t="s">
        <v>3148</v>
      </c>
      <c r="B2278" s="1" t="s">
        <v>1756</v>
      </c>
      <c r="C2278" s="1" t="s">
        <v>100</v>
      </c>
      <c r="D2278" s="1" t="s">
        <v>80</v>
      </c>
      <c r="E2278" s="1" t="s">
        <v>81</v>
      </c>
      <c r="F2278" s="1" t="s">
        <v>184</v>
      </c>
      <c r="G2278" s="1" t="s">
        <v>56</v>
      </c>
      <c r="H2278" s="1" t="s">
        <v>57</v>
      </c>
      <c r="I2278" s="1" t="s">
        <v>83</v>
      </c>
      <c r="J2278" s="1" t="s">
        <v>77</v>
      </c>
      <c r="K2278" s="1" t="s">
        <v>60</v>
      </c>
      <c r="L2278" s="1" t="s">
        <v>113</v>
      </c>
      <c r="M2278" s="1" t="s">
        <v>38</v>
      </c>
      <c r="N2278" s="1" t="n">
        <v>12999</v>
      </c>
      <c r="O2278" s="1" t="n">
        <v>25</v>
      </c>
      <c r="P2278" s="1" t="n">
        <v>3249.75</v>
      </c>
      <c r="Q2278" s="1" t="n">
        <v>9749.25</v>
      </c>
      <c r="R2278" s="1" t="n">
        <v>1754.87</v>
      </c>
      <c r="S2278" s="1" t="n">
        <v>7994.38</v>
      </c>
      <c r="T2278" s="1" t="n">
        <v>4212.25</v>
      </c>
      <c r="U2278" s="1" t="n">
        <v>3782.13</v>
      </c>
      <c r="V2278" s="1" t="n">
        <v>47.31</v>
      </c>
      <c r="W2278" s="1" t="s">
        <v>39</v>
      </c>
      <c r="X2278" s="1" t="n">
        <v>4.4</v>
      </c>
      <c r="Y2278" s="1" t="s">
        <v>40</v>
      </c>
      <c r="Z2278" s="1" t="n">
        <v>0</v>
      </c>
    </row>
    <row r="2279" customFormat="false" ht="15" hidden="false" customHeight="true" outlineLevel="0" collapsed="false">
      <c r="A2279" s="1" t="s">
        <v>3149</v>
      </c>
      <c r="B2279" s="1" t="s">
        <v>1313</v>
      </c>
      <c r="C2279" s="1" t="s">
        <v>93</v>
      </c>
      <c r="D2279" s="1" t="s">
        <v>53</v>
      </c>
      <c r="E2279" s="1" t="s">
        <v>216</v>
      </c>
      <c r="F2279" s="1" t="s">
        <v>140</v>
      </c>
      <c r="G2279" s="1" t="s">
        <v>97</v>
      </c>
      <c r="H2279" s="1" t="s">
        <v>57</v>
      </c>
      <c r="I2279" s="1" t="s">
        <v>83</v>
      </c>
      <c r="J2279" s="1" t="s">
        <v>131</v>
      </c>
      <c r="K2279" s="1" t="s">
        <v>90</v>
      </c>
      <c r="L2279" s="1" t="s">
        <v>49</v>
      </c>
      <c r="M2279" s="1" t="s">
        <v>62</v>
      </c>
      <c r="N2279" s="1" t="n">
        <v>7499</v>
      </c>
      <c r="O2279" s="1" t="n">
        <v>0</v>
      </c>
      <c r="P2279" s="1" t="n">
        <v>0</v>
      </c>
      <c r="Q2279" s="1" t="n">
        <v>7499</v>
      </c>
      <c r="R2279" s="1" t="n">
        <v>1349.82</v>
      </c>
      <c r="S2279" s="1" t="n">
        <v>6149.18</v>
      </c>
      <c r="T2279" s="1" t="n">
        <v>3050.24</v>
      </c>
      <c r="U2279" s="1" t="n">
        <v>3098.94</v>
      </c>
      <c r="V2279" s="1" t="n">
        <v>50.4</v>
      </c>
      <c r="W2279" s="1" t="s">
        <v>39</v>
      </c>
      <c r="X2279" s="1" t="n">
        <v>3.8</v>
      </c>
      <c r="Y2279" s="1" t="s">
        <v>40</v>
      </c>
      <c r="Z2279" s="1" t="n">
        <v>0</v>
      </c>
    </row>
    <row r="2280" customFormat="false" ht="15" hidden="false" customHeight="true" outlineLevel="0" collapsed="false">
      <c r="A2280" s="1" t="s">
        <v>3150</v>
      </c>
      <c r="B2280" s="1" t="s">
        <v>1558</v>
      </c>
      <c r="C2280" s="1" t="s">
        <v>93</v>
      </c>
      <c r="D2280" s="1" t="s">
        <v>123</v>
      </c>
      <c r="E2280" s="1" t="s">
        <v>124</v>
      </c>
      <c r="F2280" s="1" t="s">
        <v>107</v>
      </c>
      <c r="G2280" s="1" t="s">
        <v>108</v>
      </c>
      <c r="H2280" s="1" t="s">
        <v>33</v>
      </c>
      <c r="I2280" s="1" t="s">
        <v>83</v>
      </c>
      <c r="J2280" s="1" t="s">
        <v>35</v>
      </c>
      <c r="K2280" s="1" t="s">
        <v>60</v>
      </c>
      <c r="L2280" s="1" t="s">
        <v>85</v>
      </c>
      <c r="M2280" s="1" t="s">
        <v>38</v>
      </c>
      <c r="N2280" s="1" t="n">
        <v>4999</v>
      </c>
      <c r="O2280" s="1" t="n">
        <v>20</v>
      </c>
      <c r="P2280" s="1" t="n">
        <v>999.8</v>
      </c>
      <c r="Q2280" s="1" t="n">
        <v>3999.2</v>
      </c>
      <c r="R2280" s="1" t="n">
        <v>719.86</v>
      </c>
      <c r="S2280" s="1" t="n">
        <v>3279.34</v>
      </c>
      <c r="T2280" s="1" t="n">
        <v>1333.87</v>
      </c>
      <c r="U2280" s="1" t="n">
        <v>1945.47</v>
      </c>
      <c r="V2280" s="1" t="n">
        <v>59.33</v>
      </c>
      <c r="W2280" s="1" t="s">
        <v>40</v>
      </c>
      <c r="Y2280" s="1" t="s">
        <v>40</v>
      </c>
      <c r="Z2280" s="1" t="n">
        <v>0</v>
      </c>
    </row>
    <row r="2281" customFormat="false" ht="15" hidden="false" customHeight="true" outlineLevel="0" collapsed="false">
      <c r="A2281" s="1" t="s">
        <v>3151</v>
      </c>
      <c r="B2281" s="1" t="s">
        <v>1453</v>
      </c>
      <c r="C2281" s="1" t="s">
        <v>93</v>
      </c>
      <c r="D2281" s="1" t="s">
        <v>29</v>
      </c>
      <c r="E2281" s="1" t="s">
        <v>129</v>
      </c>
      <c r="F2281" s="1" t="s">
        <v>269</v>
      </c>
      <c r="G2281" s="1" t="s">
        <v>108</v>
      </c>
      <c r="H2281" s="1" t="s">
        <v>57</v>
      </c>
      <c r="I2281" s="1" t="s">
        <v>58</v>
      </c>
      <c r="J2281" s="1" t="s">
        <v>35</v>
      </c>
      <c r="K2281" s="1" t="s">
        <v>84</v>
      </c>
      <c r="L2281" s="1" t="s">
        <v>136</v>
      </c>
      <c r="M2281" s="1" t="s">
        <v>38</v>
      </c>
      <c r="N2281" s="1" t="n">
        <v>29999</v>
      </c>
      <c r="O2281" s="1" t="n">
        <v>0</v>
      </c>
      <c r="P2281" s="1" t="n">
        <v>0</v>
      </c>
      <c r="Q2281" s="1" t="n">
        <v>29999</v>
      </c>
      <c r="R2281" s="1" t="n">
        <v>5399.82</v>
      </c>
      <c r="S2281" s="1" t="n">
        <v>24599.18</v>
      </c>
      <c r="T2281" s="1" t="n">
        <v>9797.81</v>
      </c>
      <c r="U2281" s="1" t="n">
        <v>14801.37</v>
      </c>
      <c r="V2281" s="1" t="n">
        <v>60.17</v>
      </c>
      <c r="W2281" s="1" t="s">
        <v>39</v>
      </c>
      <c r="X2281" s="1" t="n">
        <v>3.8</v>
      </c>
      <c r="Y2281" s="1" t="s">
        <v>40</v>
      </c>
      <c r="Z2281" s="1" t="n">
        <v>0</v>
      </c>
    </row>
    <row r="2282" customFormat="false" ht="15" hidden="false" customHeight="true" outlineLevel="0" collapsed="false">
      <c r="A2282" s="1" t="s">
        <v>3152</v>
      </c>
      <c r="B2282" s="1" t="s">
        <v>1663</v>
      </c>
      <c r="C2282" s="1" t="s">
        <v>264</v>
      </c>
      <c r="D2282" s="1" t="s">
        <v>53</v>
      </c>
      <c r="E2282" s="1" t="s">
        <v>216</v>
      </c>
      <c r="F2282" s="1" t="s">
        <v>184</v>
      </c>
      <c r="G2282" s="1" t="s">
        <v>56</v>
      </c>
      <c r="H2282" s="1" t="s">
        <v>57</v>
      </c>
      <c r="I2282" s="1" t="s">
        <v>83</v>
      </c>
      <c r="J2282" s="1" t="s">
        <v>70</v>
      </c>
      <c r="K2282" s="1" t="s">
        <v>48</v>
      </c>
      <c r="L2282" s="1" t="s">
        <v>113</v>
      </c>
      <c r="M2282" s="1" t="s">
        <v>50</v>
      </c>
      <c r="N2282" s="1" t="n">
        <v>7499</v>
      </c>
      <c r="O2282" s="1" t="n">
        <v>5</v>
      </c>
      <c r="P2282" s="1" t="n">
        <v>374.95</v>
      </c>
      <c r="Q2282" s="1" t="n">
        <v>7124.05</v>
      </c>
      <c r="R2282" s="1" t="n">
        <v>1282.33</v>
      </c>
      <c r="S2282" s="1" t="n">
        <v>5841.72</v>
      </c>
      <c r="T2282" s="1" t="n">
        <v>2533.02</v>
      </c>
      <c r="U2282" s="1" t="n">
        <v>3308.7</v>
      </c>
      <c r="V2282" s="1" t="n">
        <v>56.64</v>
      </c>
      <c r="W2282" s="1" t="s">
        <v>40</v>
      </c>
      <c r="Y2282" s="1" t="s">
        <v>39</v>
      </c>
      <c r="Z2282" s="1" t="n">
        <v>0</v>
      </c>
    </row>
    <row r="2283" customFormat="false" ht="15" hidden="false" customHeight="true" outlineLevel="0" collapsed="false">
      <c r="A2283" s="1" t="s">
        <v>3153</v>
      </c>
      <c r="B2283" s="1" t="s">
        <v>209</v>
      </c>
      <c r="C2283" s="1" t="s">
        <v>178</v>
      </c>
      <c r="D2283" s="1" t="s">
        <v>123</v>
      </c>
      <c r="E2283" s="1" t="s">
        <v>233</v>
      </c>
      <c r="F2283" s="1" t="s">
        <v>150</v>
      </c>
      <c r="G2283" s="1" t="s">
        <v>32</v>
      </c>
      <c r="H2283" s="1" t="s">
        <v>57</v>
      </c>
      <c r="I2283" s="1" t="s">
        <v>83</v>
      </c>
      <c r="J2283" s="1" t="s">
        <v>70</v>
      </c>
      <c r="K2283" s="1" t="s">
        <v>104</v>
      </c>
      <c r="L2283" s="1" t="s">
        <v>37</v>
      </c>
      <c r="M2283" s="1" t="s">
        <v>50</v>
      </c>
      <c r="N2283" s="1" t="n">
        <v>8999</v>
      </c>
      <c r="O2283" s="1" t="n">
        <v>20</v>
      </c>
      <c r="P2283" s="1" t="n">
        <v>1799.8</v>
      </c>
      <c r="Q2283" s="1" t="n">
        <v>7199.2</v>
      </c>
      <c r="R2283" s="1" t="n">
        <v>1295.86</v>
      </c>
      <c r="S2283" s="1" t="n">
        <v>5903.34</v>
      </c>
      <c r="T2283" s="1" t="n">
        <v>2575.22</v>
      </c>
      <c r="U2283" s="1" t="n">
        <v>3328.12</v>
      </c>
      <c r="V2283" s="1" t="n">
        <v>56.38</v>
      </c>
      <c r="W2283" s="1" t="s">
        <v>40</v>
      </c>
      <c r="Y2283" s="1" t="s">
        <v>40</v>
      </c>
      <c r="Z2283" s="1" t="n">
        <v>0</v>
      </c>
    </row>
    <row r="2284" customFormat="false" ht="15" hidden="false" customHeight="true" outlineLevel="0" collapsed="false">
      <c r="A2284" s="1" t="s">
        <v>3154</v>
      </c>
      <c r="B2284" s="1" t="s">
        <v>288</v>
      </c>
      <c r="C2284" s="1" t="s">
        <v>43</v>
      </c>
      <c r="D2284" s="1" t="s">
        <v>168</v>
      </c>
      <c r="E2284" s="1" t="s">
        <v>172</v>
      </c>
      <c r="F2284" s="1" t="s">
        <v>107</v>
      </c>
      <c r="G2284" s="1" t="s">
        <v>108</v>
      </c>
      <c r="H2284" s="1" t="s">
        <v>33</v>
      </c>
      <c r="I2284" s="1" t="s">
        <v>83</v>
      </c>
      <c r="J2284" s="1" t="s">
        <v>77</v>
      </c>
      <c r="K2284" s="1" t="s">
        <v>104</v>
      </c>
      <c r="L2284" s="1" t="s">
        <v>136</v>
      </c>
      <c r="M2284" s="1" t="s">
        <v>62</v>
      </c>
      <c r="N2284" s="1" t="n">
        <v>6999</v>
      </c>
      <c r="O2284" s="1" t="n">
        <v>30</v>
      </c>
      <c r="P2284" s="1" t="n">
        <v>2099.7</v>
      </c>
      <c r="Q2284" s="1" t="n">
        <v>4899.3</v>
      </c>
      <c r="R2284" s="1" t="n">
        <v>881.87</v>
      </c>
      <c r="S2284" s="1" t="n">
        <v>4017.43</v>
      </c>
      <c r="T2284" s="1" t="n">
        <v>1996.66</v>
      </c>
      <c r="U2284" s="1" t="n">
        <v>2020.77</v>
      </c>
      <c r="V2284" s="1" t="n">
        <v>50.3</v>
      </c>
      <c r="W2284" s="1" t="s">
        <v>39</v>
      </c>
      <c r="X2284" s="1" t="n">
        <v>3.1</v>
      </c>
      <c r="Y2284" s="1" t="s">
        <v>40</v>
      </c>
      <c r="Z2284" s="1" t="n">
        <v>0</v>
      </c>
    </row>
    <row r="2285" customFormat="false" ht="15" hidden="false" customHeight="true" outlineLevel="0" collapsed="false">
      <c r="A2285" s="1" t="s">
        <v>3155</v>
      </c>
      <c r="B2285" s="1" t="s">
        <v>1621</v>
      </c>
      <c r="C2285" s="1" t="s">
        <v>28</v>
      </c>
      <c r="D2285" s="1" t="s">
        <v>80</v>
      </c>
      <c r="E2285" s="1" t="s">
        <v>175</v>
      </c>
      <c r="F2285" s="1" t="s">
        <v>184</v>
      </c>
      <c r="G2285" s="1" t="s">
        <v>56</v>
      </c>
      <c r="H2285" s="1" t="s">
        <v>57</v>
      </c>
      <c r="I2285" s="1" t="s">
        <v>83</v>
      </c>
      <c r="J2285" s="1" t="s">
        <v>131</v>
      </c>
      <c r="K2285" s="1" t="s">
        <v>36</v>
      </c>
      <c r="L2285" s="1" t="s">
        <v>113</v>
      </c>
      <c r="M2285" s="1" t="s">
        <v>38</v>
      </c>
      <c r="N2285" s="1" t="n">
        <v>19999</v>
      </c>
      <c r="O2285" s="1" t="n">
        <v>20</v>
      </c>
      <c r="P2285" s="1" t="n">
        <v>3999.8</v>
      </c>
      <c r="Q2285" s="1" t="n">
        <v>15999.2</v>
      </c>
      <c r="R2285" s="1" t="n">
        <v>2879.86</v>
      </c>
      <c r="S2285" s="1" t="n">
        <v>13119.34</v>
      </c>
      <c r="T2285" s="1" t="n">
        <v>6908.89</v>
      </c>
      <c r="U2285" s="1" t="n">
        <v>6210.45</v>
      </c>
      <c r="V2285" s="1" t="n">
        <v>47.34</v>
      </c>
      <c r="W2285" s="1" t="s">
        <v>39</v>
      </c>
      <c r="Y2285" s="1" t="s">
        <v>40</v>
      </c>
      <c r="Z2285" s="1" t="n">
        <v>1</v>
      </c>
    </row>
    <row r="2286" customFormat="false" ht="15" hidden="false" customHeight="true" outlineLevel="0" collapsed="false">
      <c r="A2286" s="1" t="s">
        <v>3156</v>
      </c>
      <c r="B2286" s="1" t="s">
        <v>2570</v>
      </c>
      <c r="C2286" s="1" t="s">
        <v>167</v>
      </c>
      <c r="D2286" s="1" t="s">
        <v>80</v>
      </c>
      <c r="E2286" s="1" t="s">
        <v>81</v>
      </c>
      <c r="F2286" s="1" t="s">
        <v>211</v>
      </c>
      <c r="G2286" s="1" t="s">
        <v>56</v>
      </c>
      <c r="H2286" s="1" t="s">
        <v>69</v>
      </c>
      <c r="I2286" s="1" t="s">
        <v>58</v>
      </c>
      <c r="J2286" s="1" t="s">
        <v>70</v>
      </c>
      <c r="K2286" s="1" t="s">
        <v>90</v>
      </c>
      <c r="L2286" s="1" t="s">
        <v>49</v>
      </c>
      <c r="M2286" s="1" t="s">
        <v>38</v>
      </c>
      <c r="N2286" s="1" t="n">
        <v>12999</v>
      </c>
      <c r="O2286" s="1" t="n">
        <v>25</v>
      </c>
      <c r="P2286" s="1" t="n">
        <v>3249.75</v>
      </c>
      <c r="Q2286" s="1" t="n">
        <v>9749.25</v>
      </c>
      <c r="R2286" s="1" t="n">
        <v>1754.87</v>
      </c>
      <c r="S2286" s="1" t="n">
        <v>7994.38</v>
      </c>
      <c r="T2286" s="1" t="n">
        <v>3281.05</v>
      </c>
      <c r="U2286" s="1" t="n">
        <v>4713.33</v>
      </c>
      <c r="V2286" s="1" t="n">
        <v>58.96</v>
      </c>
      <c r="W2286" s="1" t="s">
        <v>39</v>
      </c>
      <c r="Y2286" s="1" t="s">
        <v>40</v>
      </c>
      <c r="Z2286" s="1" t="n">
        <v>0</v>
      </c>
    </row>
    <row r="2287" customFormat="false" ht="15" hidden="false" customHeight="true" outlineLevel="0" collapsed="false">
      <c r="A2287" s="1" t="s">
        <v>3157</v>
      </c>
      <c r="B2287" s="1" t="s">
        <v>836</v>
      </c>
      <c r="C2287" s="1" t="s">
        <v>242</v>
      </c>
      <c r="D2287" s="1" t="s">
        <v>53</v>
      </c>
      <c r="E2287" s="1" t="s">
        <v>54</v>
      </c>
      <c r="F2287" s="1" t="s">
        <v>211</v>
      </c>
      <c r="G2287" s="1" t="s">
        <v>56</v>
      </c>
      <c r="H2287" s="1" t="s">
        <v>69</v>
      </c>
      <c r="I2287" s="1" t="s">
        <v>83</v>
      </c>
      <c r="J2287" s="1" t="s">
        <v>131</v>
      </c>
      <c r="K2287" s="1" t="s">
        <v>48</v>
      </c>
      <c r="L2287" s="1" t="s">
        <v>37</v>
      </c>
      <c r="M2287" s="1" t="s">
        <v>50</v>
      </c>
      <c r="N2287" s="1" t="n">
        <v>11999</v>
      </c>
      <c r="O2287" s="1" t="n">
        <v>30</v>
      </c>
      <c r="P2287" s="1" t="n">
        <v>3599.7</v>
      </c>
      <c r="Q2287" s="1" t="n">
        <v>8399.3</v>
      </c>
      <c r="R2287" s="1" t="n">
        <v>1511.87</v>
      </c>
      <c r="S2287" s="1" t="n">
        <v>6887.43</v>
      </c>
      <c r="T2287" s="1" t="n">
        <v>2758</v>
      </c>
      <c r="U2287" s="1" t="n">
        <v>4129.43</v>
      </c>
      <c r="V2287" s="1" t="n">
        <v>59.96</v>
      </c>
      <c r="W2287" s="1" t="s">
        <v>39</v>
      </c>
      <c r="X2287" s="1" t="n">
        <v>4.1</v>
      </c>
      <c r="Y2287" s="1" t="s">
        <v>40</v>
      </c>
      <c r="Z2287" s="1" t="n">
        <v>1</v>
      </c>
    </row>
    <row r="2288" customFormat="false" ht="15" hidden="false" customHeight="true" outlineLevel="0" collapsed="false">
      <c r="A2288" s="1" t="s">
        <v>3158</v>
      </c>
      <c r="B2288" s="1" t="s">
        <v>382</v>
      </c>
      <c r="C2288" s="1" t="s">
        <v>74</v>
      </c>
      <c r="D2288" s="1" t="s">
        <v>80</v>
      </c>
      <c r="E2288" s="1" t="s">
        <v>193</v>
      </c>
      <c r="F2288" s="1" t="s">
        <v>184</v>
      </c>
      <c r="G2288" s="1" t="s">
        <v>56</v>
      </c>
      <c r="H2288" s="1" t="s">
        <v>57</v>
      </c>
      <c r="I2288" s="1" t="s">
        <v>58</v>
      </c>
      <c r="J2288" s="1" t="s">
        <v>35</v>
      </c>
      <c r="K2288" s="1" t="s">
        <v>60</v>
      </c>
      <c r="L2288" s="1" t="s">
        <v>61</v>
      </c>
      <c r="M2288" s="1" t="s">
        <v>62</v>
      </c>
      <c r="N2288" s="1" t="n">
        <v>8999</v>
      </c>
      <c r="O2288" s="1" t="n">
        <v>10</v>
      </c>
      <c r="P2288" s="1" t="n">
        <v>899.9</v>
      </c>
      <c r="Q2288" s="1" t="n">
        <v>8099.1</v>
      </c>
      <c r="R2288" s="1" t="n">
        <v>1457.84</v>
      </c>
      <c r="S2288" s="1" t="n">
        <v>6641.26</v>
      </c>
      <c r="T2288" s="1" t="n">
        <v>3072.81</v>
      </c>
      <c r="U2288" s="1" t="n">
        <v>3568.45</v>
      </c>
      <c r="V2288" s="1" t="n">
        <v>53.73</v>
      </c>
      <c r="W2288" s="1" t="s">
        <v>40</v>
      </c>
      <c r="Y2288" s="1" t="s">
        <v>40</v>
      </c>
      <c r="Z2288" s="1" t="n">
        <v>1</v>
      </c>
    </row>
    <row r="2289" customFormat="false" ht="15" hidden="false" customHeight="true" outlineLevel="0" collapsed="false">
      <c r="A2289" s="1" t="s">
        <v>3159</v>
      </c>
      <c r="B2289" s="1" t="s">
        <v>1305</v>
      </c>
      <c r="C2289" s="1" t="s">
        <v>43</v>
      </c>
      <c r="D2289" s="1" t="s">
        <v>80</v>
      </c>
      <c r="E2289" s="1" t="s">
        <v>175</v>
      </c>
      <c r="F2289" s="1" t="s">
        <v>211</v>
      </c>
      <c r="G2289" s="1" t="s">
        <v>56</v>
      </c>
      <c r="H2289" s="1" t="s">
        <v>69</v>
      </c>
      <c r="I2289" s="1" t="s">
        <v>58</v>
      </c>
      <c r="J2289" s="1" t="s">
        <v>77</v>
      </c>
      <c r="K2289" s="1" t="s">
        <v>71</v>
      </c>
      <c r="L2289" s="1" t="s">
        <v>136</v>
      </c>
      <c r="M2289" s="1" t="s">
        <v>62</v>
      </c>
      <c r="N2289" s="1" t="n">
        <v>19999</v>
      </c>
      <c r="O2289" s="1" t="n">
        <v>10</v>
      </c>
      <c r="P2289" s="1" t="n">
        <v>1999.9</v>
      </c>
      <c r="Q2289" s="1" t="n">
        <v>17999.1</v>
      </c>
      <c r="R2289" s="1" t="n">
        <v>3239.84</v>
      </c>
      <c r="S2289" s="1" t="n">
        <v>14759.26</v>
      </c>
      <c r="T2289" s="1" t="n">
        <v>5153.04</v>
      </c>
      <c r="U2289" s="1" t="n">
        <v>9606.22</v>
      </c>
      <c r="V2289" s="1" t="n">
        <v>65.09</v>
      </c>
      <c r="W2289" s="1" t="s">
        <v>39</v>
      </c>
      <c r="Y2289" s="1" t="s">
        <v>40</v>
      </c>
      <c r="Z2289" s="1" t="n">
        <v>0</v>
      </c>
    </row>
    <row r="2290" customFormat="false" ht="15" hidden="false" customHeight="true" outlineLevel="0" collapsed="false">
      <c r="A2290" s="1" t="s">
        <v>3160</v>
      </c>
      <c r="B2290" s="1" t="s">
        <v>722</v>
      </c>
      <c r="C2290" s="1" t="s">
        <v>65</v>
      </c>
      <c r="D2290" s="1" t="s">
        <v>168</v>
      </c>
      <c r="E2290" s="1" t="s">
        <v>197</v>
      </c>
      <c r="F2290" s="1" t="s">
        <v>120</v>
      </c>
      <c r="G2290" s="1" t="s">
        <v>47</v>
      </c>
      <c r="H2290" s="1" t="s">
        <v>57</v>
      </c>
      <c r="I2290" s="1" t="s">
        <v>58</v>
      </c>
      <c r="J2290" s="1" t="s">
        <v>70</v>
      </c>
      <c r="K2290" s="1" t="s">
        <v>104</v>
      </c>
      <c r="L2290" s="1" t="s">
        <v>37</v>
      </c>
      <c r="M2290" s="1" t="s">
        <v>62</v>
      </c>
      <c r="N2290" s="1" t="n">
        <v>8499</v>
      </c>
      <c r="O2290" s="1" t="n">
        <v>40</v>
      </c>
      <c r="P2290" s="1" t="n">
        <v>3399.6</v>
      </c>
      <c r="Q2290" s="1" t="n">
        <v>5099.4</v>
      </c>
      <c r="R2290" s="1" t="n">
        <v>917.89</v>
      </c>
      <c r="S2290" s="1" t="n">
        <v>4181.51</v>
      </c>
      <c r="T2290" s="1" t="n">
        <v>2040.26</v>
      </c>
      <c r="U2290" s="1" t="n">
        <v>2141.25</v>
      </c>
      <c r="V2290" s="1" t="n">
        <v>51.21</v>
      </c>
      <c r="W2290" s="1" t="s">
        <v>39</v>
      </c>
      <c r="X2290" s="1" t="n">
        <v>4.4</v>
      </c>
      <c r="Y2290" s="1" t="s">
        <v>40</v>
      </c>
      <c r="Z2290" s="1" t="n">
        <v>0</v>
      </c>
    </row>
    <row r="2291" customFormat="false" ht="15" hidden="false" customHeight="true" outlineLevel="0" collapsed="false">
      <c r="A2291" s="1" t="s">
        <v>3161</v>
      </c>
      <c r="B2291" s="1" t="s">
        <v>2631</v>
      </c>
      <c r="C2291" s="1" t="s">
        <v>119</v>
      </c>
      <c r="D2291" s="1" t="s">
        <v>80</v>
      </c>
      <c r="E2291" s="1" t="s">
        <v>175</v>
      </c>
      <c r="F2291" s="1" t="s">
        <v>244</v>
      </c>
      <c r="G2291" s="1" t="s">
        <v>97</v>
      </c>
      <c r="H2291" s="1" t="s">
        <v>57</v>
      </c>
      <c r="I2291" s="1" t="s">
        <v>34</v>
      </c>
      <c r="J2291" s="1" t="s">
        <v>59</v>
      </c>
      <c r="K2291" s="1" t="s">
        <v>112</v>
      </c>
      <c r="L2291" s="1" t="s">
        <v>37</v>
      </c>
      <c r="M2291" s="1" t="s">
        <v>62</v>
      </c>
      <c r="N2291" s="1" t="n">
        <v>19999</v>
      </c>
      <c r="O2291" s="1" t="n">
        <v>50</v>
      </c>
      <c r="P2291" s="1" t="n">
        <v>9999.5</v>
      </c>
      <c r="Q2291" s="1" t="n">
        <v>9999.5</v>
      </c>
      <c r="R2291" s="1" t="n">
        <v>1799.91</v>
      </c>
      <c r="S2291" s="1" t="n">
        <v>8199.59</v>
      </c>
      <c r="T2291" s="1" t="n">
        <v>4706.56</v>
      </c>
      <c r="U2291" s="1" t="n">
        <v>3493.03</v>
      </c>
      <c r="V2291" s="1" t="n">
        <v>42.6</v>
      </c>
      <c r="W2291" s="1" t="s">
        <v>39</v>
      </c>
      <c r="X2291" s="1" t="n">
        <v>4.7</v>
      </c>
      <c r="Y2291" s="1" t="s">
        <v>40</v>
      </c>
      <c r="Z2291" s="1" t="n">
        <v>1</v>
      </c>
    </row>
    <row r="2292" customFormat="false" ht="15" hidden="false" customHeight="true" outlineLevel="0" collapsed="false">
      <c r="A2292" s="1" t="s">
        <v>3162</v>
      </c>
      <c r="B2292" s="1" t="s">
        <v>1381</v>
      </c>
      <c r="C2292" s="1" t="s">
        <v>249</v>
      </c>
      <c r="D2292" s="1" t="s">
        <v>123</v>
      </c>
      <c r="E2292" s="1" t="s">
        <v>147</v>
      </c>
      <c r="F2292" s="1" t="s">
        <v>125</v>
      </c>
      <c r="G2292" s="1" t="s">
        <v>108</v>
      </c>
      <c r="H2292" s="1" t="s">
        <v>69</v>
      </c>
      <c r="I2292" s="1" t="s">
        <v>34</v>
      </c>
      <c r="J2292" s="1" t="s">
        <v>35</v>
      </c>
      <c r="K2292" s="1" t="s">
        <v>36</v>
      </c>
      <c r="L2292" s="1" t="s">
        <v>136</v>
      </c>
      <c r="M2292" s="1" t="s">
        <v>50</v>
      </c>
      <c r="N2292" s="1" t="n">
        <v>6999</v>
      </c>
      <c r="O2292" s="1" t="n">
        <v>0</v>
      </c>
      <c r="P2292" s="1" t="n">
        <v>0</v>
      </c>
      <c r="Q2292" s="1" t="n">
        <v>6999</v>
      </c>
      <c r="R2292" s="1" t="n">
        <v>1259.82</v>
      </c>
      <c r="S2292" s="1" t="n">
        <v>5739.18</v>
      </c>
      <c r="T2292" s="1" t="n">
        <v>2929.62</v>
      </c>
      <c r="U2292" s="1" t="n">
        <v>2809.56</v>
      </c>
      <c r="V2292" s="1" t="n">
        <v>48.95</v>
      </c>
      <c r="W2292" s="1" t="s">
        <v>39</v>
      </c>
      <c r="X2292" s="1" t="n">
        <v>3.3</v>
      </c>
      <c r="Y2292" s="1" t="s">
        <v>40</v>
      </c>
      <c r="Z2292" s="1" t="n">
        <v>0</v>
      </c>
    </row>
    <row r="2293" customFormat="false" ht="15" hidden="false" customHeight="true" outlineLevel="0" collapsed="false">
      <c r="A2293" s="1" t="s">
        <v>3163</v>
      </c>
      <c r="B2293" s="1" t="s">
        <v>1927</v>
      </c>
      <c r="C2293" s="1" t="s">
        <v>93</v>
      </c>
      <c r="D2293" s="1" t="s">
        <v>123</v>
      </c>
      <c r="E2293" s="1" t="s">
        <v>147</v>
      </c>
      <c r="F2293" s="1" t="s">
        <v>96</v>
      </c>
      <c r="G2293" s="1" t="s">
        <v>97</v>
      </c>
      <c r="H2293" s="1" t="s">
        <v>69</v>
      </c>
      <c r="I2293" s="1" t="s">
        <v>34</v>
      </c>
      <c r="J2293" s="1" t="s">
        <v>70</v>
      </c>
      <c r="K2293" s="1" t="s">
        <v>71</v>
      </c>
      <c r="L2293" s="1" t="s">
        <v>85</v>
      </c>
      <c r="M2293" s="1" t="s">
        <v>50</v>
      </c>
      <c r="N2293" s="1" t="n">
        <v>6999</v>
      </c>
      <c r="O2293" s="1" t="n">
        <v>50</v>
      </c>
      <c r="P2293" s="1" t="n">
        <v>3499.5</v>
      </c>
      <c r="Q2293" s="1" t="n">
        <v>3499.5</v>
      </c>
      <c r="R2293" s="1" t="n">
        <v>629.91</v>
      </c>
      <c r="S2293" s="1" t="n">
        <v>2869.59</v>
      </c>
      <c r="T2293" s="1" t="n">
        <v>1272.44</v>
      </c>
      <c r="U2293" s="1" t="n">
        <v>1597.15</v>
      </c>
      <c r="V2293" s="1" t="n">
        <v>55.66</v>
      </c>
      <c r="W2293" s="1" t="s">
        <v>39</v>
      </c>
      <c r="X2293" s="1" t="n">
        <v>3.5</v>
      </c>
      <c r="Y2293" s="1" t="s">
        <v>40</v>
      </c>
      <c r="Z2293" s="1" t="n">
        <v>0</v>
      </c>
    </row>
    <row r="2294" customFormat="false" ht="15" hidden="false" customHeight="true" outlineLevel="0" collapsed="false">
      <c r="A2294" s="1" t="s">
        <v>3164</v>
      </c>
      <c r="B2294" s="1" t="s">
        <v>489</v>
      </c>
      <c r="C2294" s="1" t="s">
        <v>128</v>
      </c>
      <c r="D2294" s="1" t="s">
        <v>143</v>
      </c>
      <c r="E2294" s="1" t="s">
        <v>243</v>
      </c>
      <c r="F2294" s="1" t="s">
        <v>153</v>
      </c>
      <c r="G2294" s="1" t="s">
        <v>76</v>
      </c>
      <c r="H2294" s="1" t="s">
        <v>33</v>
      </c>
      <c r="I2294" s="1" t="s">
        <v>83</v>
      </c>
      <c r="J2294" s="1" t="s">
        <v>77</v>
      </c>
      <c r="K2294" s="1" t="s">
        <v>48</v>
      </c>
      <c r="L2294" s="1" t="s">
        <v>85</v>
      </c>
      <c r="M2294" s="1" t="s">
        <v>50</v>
      </c>
      <c r="N2294" s="1" t="n">
        <v>22999</v>
      </c>
      <c r="O2294" s="1" t="n">
        <v>50</v>
      </c>
      <c r="P2294" s="1" t="n">
        <v>11499.5</v>
      </c>
      <c r="Q2294" s="1" t="n">
        <v>11499.5</v>
      </c>
      <c r="R2294" s="1" t="n">
        <v>2069.91</v>
      </c>
      <c r="S2294" s="1" t="n">
        <v>9429.59</v>
      </c>
      <c r="T2294" s="1" t="n">
        <v>5072.45</v>
      </c>
      <c r="U2294" s="1" t="n">
        <v>4357.14</v>
      </c>
      <c r="V2294" s="1" t="n">
        <v>46.21</v>
      </c>
      <c r="W2294" s="1" t="s">
        <v>40</v>
      </c>
      <c r="Y2294" s="1" t="s">
        <v>40</v>
      </c>
      <c r="Z2294" s="1" t="n">
        <v>1</v>
      </c>
    </row>
    <row r="2295" customFormat="false" ht="15" hidden="false" customHeight="true" outlineLevel="0" collapsed="false">
      <c r="A2295" s="1" t="s">
        <v>3165</v>
      </c>
      <c r="B2295" s="1" t="s">
        <v>146</v>
      </c>
      <c r="C2295" s="1" t="s">
        <v>139</v>
      </c>
      <c r="D2295" s="1" t="s">
        <v>168</v>
      </c>
      <c r="E2295" s="1" t="s">
        <v>169</v>
      </c>
      <c r="F2295" s="1" t="s">
        <v>46</v>
      </c>
      <c r="G2295" s="1" t="s">
        <v>47</v>
      </c>
      <c r="H2295" s="1" t="s">
        <v>33</v>
      </c>
      <c r="I2295" s="1" t="s">
        <v>34</v>
      </c>
      <c r="J2295" s="1" t="s">
        <v>131</v>
      </c>
      <c r="K2295" s="1" t="s">
        <v>48</v>
      </c>
      <c r="L2295" s="1" t="s">
        <v>113</v>
      </c>
      <c r="M2295" s="1" t="s">
        <v>50</v>
      </c>
      <c r="N2295" s="1" t="n">
        <v>4999</v>
      </c>
      <c r="O2295" s="1" t="n">
        <v>0</v>
      </c>
      <c r="P2295" s="1" t="n">
        <v>0</v>
      </c>
      <c r="Q2295" s="1" t="n">
        <v>4999</v>
      </c>
      <c r="R2295" s="1" t="n">
        <v>899.82</v>
      </c>
      <c r="S2295" s="1" t="n">
        <v>4099.18</v>
      </c>
      <c r="T2295" s="1" t="n">
        <v>1622.28</v>
      </c>
      <c r="U2295" s="1" t="n">
        <v>2476.9</v>
      </c>
      <c r="V2295" s="1" t="n">
        <v>60.42</v>
      </c>
      <c r="W2295" s="1" t="s">
        <v>39</v>
      </c>
      <c r="X2295" s="1" t="n">
        <v>3.4</v>
      </c>
      <c r="Y2295" s="1" t="s">
        <v>40</v>
      </c>
      <c r="Z2295" s="1" t="n">
        <v>0</v>
      </c>
    </row>
    <row r="2296" customFormat="false" ht="15" hidden="false" customHeight="true" outlineLevel="0" collapsed="false">
      <c r="A2296" s="1" t="s">
        <v>3166</v>
      </c>
      <c r="B2296" s="1" t="s">
        <v>2049</v>
      </c>
      <c r="C2296" s="1" t="s">
        <v>43</v>
      </c>
      <c r="D2296" s="1" t="s">
        <v>53</v>
      </c>
      <c r="E2296" s="1" t="s">
        <v>116</v>
      </c>
      <c r="F2296" s="1" t="s">
        <v>89</v>
      </c>
      <c r="G2296" s="1" t="s">
        <v>68</v>
      </c>
      <c r="H2296" s="1" t="s">
        <v>33</v>
      </c>
      <c r="I2296" s="1" t="s">
        <v>83</v>
      </c>
      <c r="J2296" s="1" t="s">
        <v>59</v>
      </c>
      <c r="K2296" s="1" t="s">
        <v>112</v>
      </c>
      <c r="L2296" s="1" t="s">
        <v>37</v>
      </c>
      <c r="M2296" s="1" t="s">
        <v>50</v>
      </c>
      <c r="N2296" s="1" t="n">
        <v>9999</v>
      </c>
      <c r="O2296" s="1" t="n">
        <v>40</v>
      </c>
      <c r="P2296" s="1" t="n">
        <v>3999.6</v>
      </c>
      <c r="Q2296" s="1" t="n">
        <v>5999.4</v>
      </c>
      <c r="R2296" s="1" t="n">
        <v>1079.89</v>
      </c>
      <c r="S2296" s="1" t="n">
        <v>4919.51</v>
      </c>
      <c r="T2296" s="1" t="n">
        <v>2595.94</v>
      </c>
      <c r="U2296" s="1" t="n">
        <v>2323.57</v>
      </c>
      <c r="V2296" s="1" t="n">
        <v>47.23</v>
      </c>
      <c r="W2296" s="1" t="s">
        <v>39</v>
      </c>
      <c r="X2296" s="1" t="n">
        <v>4</v>
      </c>
      <c r="Y2296" s="1" t="s">
        <v>40</v>
      </c>
      <c r="Z2296" s="1" t="n">
        <v>0</v>
      </c>
    </row>
    <row r="2297" customFormat="false" ht="15" hidden="false" customHeight="true" outlineLevel="0" collapsed="false">
      <c r="A2297" s="1" t="s">
        <v>3167</v>
      </c>
      <c r="B2297" s="1" t="s">
        <v>435</v>
      </c>
      <c r="C2297" s="1" t="s">
        <v>100</v>
      </c>
      <c r="D2297" s="1" t="s">
        <v>29</v>
      </c>
      <c r="E2297" s="1" t="s">
        <v>129</v>
      </c>
      <c r="F2297" s="1" t="s">
        <v>96</v>
      </c>
      <c r="G2297" s="1" t="s">
        <v>97</v>
      </c>
      <c r="H2297" s="1" t="s">
        <v>69</v>
      </c>
      <c r="I2297" s="1" t="s">
        <v>58</v>
      </c>
      <c r="J2297" s="1" t="s">
        <v>131</v>
      </c>
      <c r="K2297" s="1" t="s">
        <v>84</v>
      </c>
      <c r="L2297" s="1" t="s">
        <v>49</v>
      </c>
      <c r="M2297" s="1" t="s">
        <v>62</v>
      </c>
      <c r="N2297" s="1" t="n">
        <v>29999</v>
      </c>
      <c r="O2297" s="1" t="n">
        <v>20</v>
      </c>
      <c r="P2297" s="1" t="n">
        <v>5999.8</v>
      </c>
      <c r="Q2297" s="1" t="n">
        <v>23999.2</v>
      </c>
      <c r="R2297" s="1" t="n">
        <v>4319.86</v>
      </c>
      <c r="S2297" s="1" t="n">
        <v>19679.34</v>
      </c>
      <c r="T2297" s="1" t="n">
        <v>6005.31</v>
      </c>
      <c r="U2297" s="1" t="n">
        <v>13674.03</v>
      </c>
      <c r="V2297" s="1" t="n">
        <v>69.48</v>
      </c>
      <c r="W2297" s="1" t="s">
        <v>39</v>
      </c>
      <c r="X2297" s="1" t="n">
        <v>3.6</v>
      </c>
      <c r="Y2297" s="1" t="s">
        <v>40</v>
      </c>
      <c r="Z2297" s="1" t="n">
        <v>1</v>
      </c>
    </row>
    <row r="2298" customFormat="false" ht="15" hidden="false" customHeight="true" outlineLevel="0" collapsed="false">
      <c r="A2298" s="1" t="s">
        <v>3168</v>
      </c>
      <c r="B2298" s="1" t="s">
        <v>2265</v>
      </c>
      <c r="C2298" s="1" t="s">
        <v>167</v>
      </c>
      <c r="D2298" s="1" t="s">
        <v>94</v>
      </c>
      <c r="E2298" s="1" t="s">
        <v>95</v>
      </c>
      <c r="F2298" s="1" t="s">
        <v>89</v>
      </c>
      <c r="G2298" s="1" t="s">
        <v>68</v>
      </c>
      <c r="H2298" s="1" t="s">
        <v>33</v>
      </c>
      <c r="I2298" s="1" t="s">
        <v>83</v>
      </c>
      <c r="J2298" s="1" t="s">
        <v>35</v>
      </c>
      <c r="K2298" s="1" t="s">
        <v>112</v>
      </c>
      <c r="L2298" s="1" t="s">
        <v>37</v>
      </c>
      <c r="M2298" s="1" t="s">
        <v>38</v>
      </c>
      <c r="N2298" s="1" t="n">
        <v>6999</v>
      </c>
      <c r="O2298" s="1" t="n">
        <v>10</v>
      </c>
      <c r="P2298" s="1" t="n">
        <v>699.9</v>
      </c>
      <c r="Q2298" s="1" t="n">
        <v>6299.1</v>
      </c>
      <c r="R2298" s="1" t="n">
        <v>1133.84</v>
      </c>
      <c r="S2298" s="1" t="n">
        <v>5165.26</v>
      </c>
      <c r="T2298" s="1" t="n">
        <v>2190.72</v>
      </c>
      <c r="U2298" s="1" t="n">
        <v>2974.54</v>
      </c>
      <c r="V2298" s="1" t="n">
        <v>57.59</v>
      </c>
      <c r="W2298" s="1" t="s">
        <v>39</v>
      </c>
      <c r="X2298" s="1" t="n">
        <v>4.1</v>
      </c>
      <c r="Y2298" s="1" t="s">
        <v>40</v>
      </c>
      <c r="Z2298" s="1" t="n">
        <v>0</v>
      </c>
    </row>
    <row r="2299" customFormat="false" ht="15" hidden="false" customHeight="true" outlineLevel="0" collapsed="false">
      <c r="A2299" s="1" t="s">
        <v>3169</v>
      </c>
      <c r="B2299" s="1" t="s">
        <v>610</v>
      </c>
      <c r="C2299" s="1" t="s">
        <v>134</v>
      </c>
      <c r="D2299" s="1" t="s">
        <v>143</v>
      </c>
      <c r="E2299" s="1" t="s">
        <v>162</v>
      </c>
      <c r="F2299" s="1" t="s">
        <v>55</v>
      </c>
      <c r="G2299" s="1" t="s">
        <v>56</v>
      </c>
      <c r="H2299" s="1" t="s">
        <v>57</v>
      </c>
      <c r="I2299" s="1" t="s">
        <v>58</v>
      </c>
      <c r="J2299" s="1" t="s">
        <v>77</v>
      </c>
      <c r="K2299" s="1" t="s">
        <v>84</v>
      </c>
      <c r="L2299" s="1" t="s">
        <v>61</v>
      </c>
      <c r="M2299" s="1" t="s">
        <v>62</v>
      </c>
      <c r="N2299" s="1" t="n">
        <v>14999</v>
      </c>
      <c r="O2299" s="1" t="n">
        <v>10</v>
      </c>
      <c r="P2299" s="1" t="n">
        <v>1499.9</v>
      </c>
      <c r="Q2299" s="1" t="n">
        <v>13499.1</v>
      </c>
      <c r="R2299" s="1" t="n">
        <v>2429.84</v>
      </c>
      <c r="S2299" s="1" t="n">
        <v>11069.26</v>
      </c>
      <c r="T2299" s="1" t="n">
        <v>5333.67</v>
      </c>
      <c r="U2299" s="1" t="n">
        <v>5735.59</v>
      </c>
      <c r="V2299" s="1" t="n">
        <v>51.82</v>
      </c>
      <c r="W2299" s="1" t="s">
        <v>40</v>
      </c>
      <c r="Y2299" s="1" t="s">
        <v>40</v>
      </c>
      <c r="Z2299" s="1" t="n">
        <v>1</v>
      </c>
    </row>
    <row r="2300" customFormat="false" ht="15" hidden="false" customHeight="true" outlineLevel="0" collapsed="false">
      <c r="A2300" s="1" t="s">
        <v>3170</v>
      </c>
      <c r="B2300" s="1" t="s">
        <v>1196</v>
      </c>
      <c r="C2300" s="1" t="s">
        <v>28</v>
      </c>
      <c r="D2300" s="1" t="s">
        <v>44</v>
      </c>
      <c r="E2300" s="1" t="s">
        <v>66</v>
      </c>
      <c r="F2300" s="1" t="s">
        <v>194</v>
      </c>
      <c r="G2300" s="1" t="s">
        <v>103</v>
      </c>
      <c r="H2300" s="1" t="s">
        <v>69</v>
      </c>
      <c r="I2300" s="1" t="s">
        <v>83</v>
      </c>
      <c r="J2300" s="1" t="s">
        <v>131</v>
      </c>
      <c r="K2300" s="1" t="s">
        <v>112</v>
      </c>
      <c r="L2300" s="1" t="s">
        <v>85</v>
      </c>
      <c r="M2300" s="1" t="s">
        <v>50</v>
      </c>
      <c r="N2300" s="1" t="n">
        <v>12999</v>
      </c>
      <c r="O2300" s="1" t="n">
        <v>10</v>
      </c>
      <c r="P2300" s="1" t="n">
        <v>1299.9</v>
      </c>
      <c r="Q2300" s="1" t="n">
        <v>11699.1</v>
      </c>
      <c r="R2300" s="1" t="n">
        <v>2105.84</v>
      </c>
      <c r="S2300" s="1" t="n">
        <v>9593.26</v>
      </c>
      <c r="T2300" s="1" t="n">
        <v>4356.27</v>
      </c>
      <c r="U2300" s="1" t="n">
        <v>5236.99</v>
      </c>
      <c r="V2300" s="1" t="n">
        <v>54.59</v>
      </c>
      <c r="W2300" s="1" t="s">
        <v>39</v>
      </c>
      <c r="Y2300" s="1" t="s">
        <v>40</v>
      </c>
      <c r="Z2300" s="1" t="n">
        <v>0</v>
      </c>
    </row>
    <row r="2301" customFormat="false" ht="15" hidden="false" customHeight="true" outlineLevel="0" collapsed="false">
      <c r="A2301" s="1" t="s">
        <v>3171</v>
      </c>
      <c r="B2301" s="1" t="s">
        <v>1018</v>
      </c>
      <c r="C2301" s="1" t="s">
        <v>28</v>
      </c>
      <c r="D2301" s="1" t="s">
        <v>80</v>
      </c>
      <c r="E2301" s="1" t="s">
        <v>193</v>
      </c>
      <c r="F2301" s="1" t="s">
        <v>107</v>
      </c>
      <c r="G2301" s="1" t="s">
        <v>108</v>
      </c>
      <c r="H2301" s="1" t="s">
        <v>33</v>
      </c>
      <c r="I2301" s="1" t="s">
        <v>58</v>
      </c>
      <c r="J2301" s="1" t="s">
        <v>77</v>
      </c>
      <c r="K2301" s="1" t="s">
        <v>112</v>
      </c>
      <c r="L2301" s="1" t="s">
        <v>113</v>
      </c>
      <c r="M2301" s="1" t="s">
        <v>38</v>
      </c>
      <c r="N2301" s="1" t="n">
        <v>8999</v>
      </c>
      <c r="O2301" s="1" t="n">
        <v>10</v>
      </c>
      <c r="P2301" s="1" t="n">
        <v>899.9</v>
      </c>
      <c r="Q2301" s="1" t="n">
        <v>8099.1</v>
      </c>
      <c r="R2301" s="1" t="n">
        <v>1457.84</v>
      </c>
      <c r="S2301" s="1" t="n">
        <v>6641.26</v>
      </c>
      <c r="T2301" s="1" t="n">
        <v>2745.85</v>
      </c>
      <c r="U2301" s="1" t="n">
        <v>3895.41</v>
      </c>
      <c r="V2301" s="1" t="n">
        <v>58.65</v>
      </c>
      <c r="W2301" s="1" t="s">
        <v>39</v>
      </c>
      <c r="X2301" s="1" t="n">
        <v>4</v>
      </c>
      <c r="Y2301" s="1" t="s">
        <v>40</v>
      </c>
      <c r="Z2301" s="1" t="n">
        <v>0</v>
      </c>
    </row>
    <row r="2302" customFormat="false" ht="15" hidden="false" customHeight="true" outlineLevel="0" collapsed="false">
      <c r="A2302" s="1" t="s">
        <v>3172</v>
      </c>
      <c r="B2302" s="1" t="s">
        <v>956</v>
      </c>
      <c r="C2302" s="1" t="s">
        <v>65</v>
      </c>
      <c r="D2302" s="1" t="s">
        <v>143</v>
      </c>
      <c r="E2302" s="1" t="s">
        <v>159</v>
      </c>
      <c r="F2302" s="1" t="s">
        <v>184</v>
      </c>
      <c r="G2302" s="1" t="s">
        <v>56</v>
      </c>
      <c r="H2302" s="1" t="s">
        <v>57</v>
      </c>
      <c r="I2302" s="1" t="s">
        <v>83</v>
      </c>
      <c r="J2302" s="1" t="s">
        <v>131</v>
      </c>
      <c r="K2302" s="1" t="s">
        <v>60</v>
      </c>
      <c r="L2302" s="1" t="s">
        <v>37</v>
      </c>
      <c r="M2302" s="1" t="s">
        <v>50</v>
      </c>
      <c r="N2302" s="1" t="n">
        <v>24999</v>
      </c>
      <c r="O2302" s="1" t="n">
        <v>20</v>
      </c>
      <c r="P2302" s="1" t="n">
        <v>4999.8</v>
      </c>
      <c r="Q2302" s="1" t="n">
        <v>19999.2</v>
      </c>
      <c r="R2302" s="1" t="n">
        <v>3599.86</v>
      </c>
      <c r="S2302" s="1" t="n">
        <v>16399.34</v>
      </c>
      <c r="T2302" s="1" t="n">
        <v>8795.65</v>
      </c>
      <c r="U2302" s="1" t="n">
        <v>7603.69</v>
      </c>
      <c r="V2302" s="1" t="n">
        <v>46.37</v>
      </c>
      <c r="W2302" s="1" t="s">
        <v>39</v>
      </c>
      <c r="Y2302" s="1" t="s">
        <v>40</v>
      </c>
      <c r="Z2302" s="1" t="n">
        <v>0</v>
      </c>
    </row>
    <row r="2303" customFormat="false" ht="15" hidden="false" customHeight="true" outlineLevel="0" collapsed="false">
      <c r="A2303" s="1" t="s">
        <v>3173</v>
      </c>
      <c r="B2303" s="1" t="s">
        <v>1244</v>
      </c>
      <c r="C2303" s="1" t="s">
        <v>43</v>
      </c>
      <c r="D2303" s="1" t="s">
        <v>168</v>
      </c>
      <c r="E2303" s="1" t="s">
        <v>197</v>
      </c>
      <c r="F2303" s="1" t="s">
        <v>102</v>
      </c>
      <c r="G2303" s="1" t="s">
        <v>103</v>
      </c>
      <c r="H2303" s="1" t="s">
        <v>33</v>
      </c>
      <c r="I2303" s="1" t="s">
        <v>58</v>
      </c>
      <c r="J2303" s="1" t="s">
        <v>59</v>
      </c>
      <c r="K2303" s="1" t="s">
        <v>104</v>
      </c>
      <c r="L2303" s="1" t="s">
        <v>136</v>
      </c>
      <c r="M2303" s="1" t="s">
        <v>62</v>
      </c>
      <c r="N2303" s="1" t="n">
        <v>8499</v>
      </c>
      <c r="O2303" s="1" t="n">
        <v>40</v>
      </c>
      <c r="P2303" s="1" t="n">
        <v>3399.6</v>
      </c>
      <c r="Q2303" s="1" t="n">
        <v>5099.4</v>
      </c>
      <c r="R2303" s="1" t="n">
        <v>917.89</v>
      </c>
      <c r="S2303" s="1" t="n">
        <v>4181.51</v>
      </c>
      <c r="T2303" s="1" t="n">
        <v>2669.51</v>
      </c>
      <c r="U2303" s="1" t="n">
        <v>1512</v>
      </c>
      <c r="V2303" s="1" t="n">
        <v>36.16</v>
      </c>
      <c r="W2303" s="1" t="s">
        <v>40</v>
      </c>
      <c r="Y2303" s="1" t="s">
        <v>40</v>
      </c>
      <c r="Z2303" s="1" t="n">
        <v>1</v>
      </c>
    </row>
    <row r="2304" customFormat="false" ht="15" hidden="false" customHeight="true" outlineLevel="0" collapsed="false">
      <c r="A2304" s="1" t="s">
        <v>3174</v>
      </c>
      <c r="B2304" s="1" t="s">
        <v>470</v>
      </c>
      <c r="C2304" s="1" t="s">
        <v>28</v>
      </c>
      <c r="D2304" s="1" t="s">
        <v>44</v>
      </c>
      <c r="E2304" s="1" t="s">
        <v>221</v>
      </c>
      <c r="F2304" s="1" t="s">
        <v>184</v>
      </c>
      <c r="G2304" s="1" t="s">
        <v>56</v>
      </c>
      <c r="H2304" s="1" t="s">
        <v>57</v>
      </c>
      <c r="I2304" s="1" t="s">
        <v>58</v>
      </c>
      <c r="J2304" s="1" t="s">
        <v>131</v>
      </c>
      <c r="K2304" s="1" t="s">
        <v>84</v>
      </c>
      <c r="L2304" s="1" t="s">
        <v>113</v>
      </c>
      <c r="M2304" s="1" t="s">
        <v>50</v>
      </c>
      <c r="N2304" s="1" t="n">
        <v>16999</v>
      </c>
      <c r="O2304" s="1" t="n">
        <v>0</v>
      </c>
      <c r="P2304" s="1" t="n">
        <v>0</v>
      </c>
      <c r="Q2304" s="1" t="n">
        <v>16999</v>
      </c>
      <c r="R2304" s="1" t="n">
        <v>3059.82</v>
      </c>
      <c r="S2304" s="1" t="n">
        <v>13939.18</v>
      </c>
      <c r="T2304" s="1" t="n">
        <v>6046.19</v>
      </c>
      <c r="U2304" s="1" t="n">
        <v>7892.99</v>
      </c>
      <c r="V2304" s="1" t="n">
        <v>56.62</v>
      </c>
      <c r="W2304" s="1" t="s">
        <v>39</v>
      </c>
      <c r="X2304" s="1" t="n">
        <v>3.9</v>
      </c>
      <c r="Y2304" s="1" t="s">
        <v>40</v>
      </c>
      <c r="Z2304" s="1" t="n">
        <v>2</v>
      </c>
    </row>
    <row r="2305" customFormat="false" ht="15" hidden="false" customHeight="true" outlineLevel="0" collapsed="false">
      <c r="A2305" s="1" t="s">
        <v>3175</v>
      </c>
      <c r="B2305" s="1" t="s">
        <v>1691</v>
      </c>
      <c r="C2305" s="1" t="s">
        <v>249</v>
      </c>
      <c r="D2305" s="1" t="s">
        <v>29</v>
      </c>
      <c r="E2305" s="1" t="s">
        <v>305</v>
      </c>
      <c r="F2305" s="1" t="s">
        <v>120</v>
      </c>
      <c r="G2305" s="1" t="s">
        <v>47</v>
      </c>
      <c r="H2305" s="1" t="s">
        <v>57</v>
      </c>
      <c r="I2305" s="1" t="s">
        <v>83</v>
      </c>
      <c r="J2305" s="1" t="s">
        <v>70</v>
      </c>
      <c r="K2305" s="1" t="s">
        <v>84</v>
      </c>
      <c r="L2305" s="1" t="s">
        <v>113</v>
      </c>
      <c r="M2305" s="1" t="s">
        <v>62</v>
      </c>
      <c r="N2305" s="1" t="n">
        <v>24999</v>
      </c>
      <c r="O2305" s="1" t="n">
        <v>15</v>
      </c>
      <c r="P2305" s="1" t="n">
        <v>3749.85</v>
      </c>
      <c r="Q2305" s="1" t="n">
        <v>21249.15</v>
      </c>
      <c r="R2305" s="1" t="n">
        <v>3824.85</v>
      </c>
      <c r="S2305" s="1" t="n">
        <v>17424.3</v>
      </c>
      <c r="T2305" s="1" t="n">
        <v>7185.07</v>
      </c>
      <c r="U2305" s="1" t="n">
        <v>10239.23</v>
      </c>
      <c r="V2305" s="1" t="n">
        <v>58.76</v>
      </c>
      <c r="W2305" s="1" t="s">
        <v>39</v>
      </c>
      <c r="X2305" s="1" t="n">
        <v>3.7</v>
      </c>
      <c r="Y2305" s="1" t="s">
        <v>40</v>
      </c>
      <c r="Z2305" s="1" t="n">
        <v>0</v>
      </c>
    </row>
    <row r="2306" customFormat="false" ht="15" hidden="false" customHeight="true" outlineLevel="0" collapsed="false">
      <c r="A2306" s="1" t="s">
        <v>3176</v>
      </c>
      <c r="B2306" s="1" t="s">
        <v>142</v>
      </c>
      <c r="C2306" s="1" t="s">
        <v>134</v>
      </c>
      <c r="D2306" s="1" t="s">
        <v>143</v>
      </c>
      <c r="E2306" s="1" t="s">
        <v>210</v>
      </c>
      <c r="F2306" s="1" t="s">
        <v>46</v>
      </c>
      <c r="G2306" s="1" t="s">
        <v>47</v>
      </c>
      <c r="H2306" s="1" t="s">
        <v>33</v>
      </c>
      <c r="I2306" s="1" t="s">
        <v>83</v>
      </c>
      <c r="J2306" s="1" t="s">
        <v>77</v>
      </c>
      <c r="K2306" s="1" t="s">
        <v>104</v>
      </c>
      <c r="L2306" s="1" t="s">
        <v>37</v>
      </c>
      <c r="M2306" s="1" t="s">
        <v>38</v>
      </c>
      <c r="N2306" s="1" t="n">
        <v>18999</v>
      </c>
      <c r="O2306" s="1" t="n">
        <v>25</v>
      </c>
      <c r="P2306" s="1" t="n">
        <v>4749.75</v>
      </c>
      <c r="Q2306" s="1" t="n">
        <v>14249.25</v>
      </c>
      <c r="R2306" s="1" t="n">
        <v>2564.86</v>
      </c>
      <c r="S2306" s="1" t="n">
        <v>11684.39</v>
      </c>
      <c r="T2306" s="1" t="n">
        <v>4918.68</v>
      </c>
      <c r="U2306" s="1" t="n">
        <v>6765.71</v>
      </c>
      <c r="V2306" s="1" t="n">
        <v>57.9</v>
      </c>
      <c r="W2306" s="1" t="s">
        <v>39</v>
      </c>
      <c r="X2306" s="1" t="n">
        <v>3.6</v>
      </c>
      <c r="Y2306" s="1" t="s">
        <v>40</v>
      </c>
      <c r="Z2306" s="1" t="n">
        <v>0</v>
      </c>
    </row>
    <row r="2307" customFormat="false" ht="15" hidden="false" customHeight="true" outlineLevel="0" collapsed="false">
      <c r="A2307" s="1" t="s">
        <v>3177</v>
      </c>
      <c r="B2307" s="1" t="s">
        <v>1396</v>
      </c>
      <c r="C2307" s="1" t="s">
        <v>128</v>
      </c>
      <c r="D2307" s="1" t="s">
        <v>29</v>
      </c>
      <c r="E2307" s="1" t="s">
        <v>182</v>
      </c>
      <c r="F2307" s="1" t="s">
        <v>140</v>
      </c>
      <c r="G2307" s="1" t="s">
        <v>97</v>
      </c>
      <c r="H2307" s="1" t="s">
        <v>57</v>
      </c>
      <c r="I2307" s="1" t="s">
        <v>58</v>
      </c>
      <c r="J2307" s="1" t="s">
        <v>35</v>
      </c>
      <c r="K2307" s="1" t="s">
        <v>104</v>
      </c>
      <c r="L2307" s="1" t="s">
        <v>37</v>
      </c>
      <c r="M2307" s="1" t="s">
        <v>38</v>
      </c>
      <c r="N2307" s="1" t="n">
        <v>34999</v>
      </c>
      <c r="O2307" s="1" t="n">
        <v>0</v>
      </c>
      <c r="P2307" s="1" t="n">
        <v>0</v>
      </c>
      <c r="Q2307" s="1" t="n">
        <v>34999</v>
      </c>
      <c r="R2307" s="1" t="n">
        <v>6299.82</v>
      </c>
      <c r="S2307" s="1" t="n">
        <v>28699.18</v>
      </c>
      <c r="T2307" s="1" t="n">
        <v>14253.35</v>
      </c>
      <c r="U2307" s="1" t="n">
        <v>14445.83</v>
      </c>
      <c r="V2307" s="1" t="n">
        <v>50.34</v>
      </c>
      <c r="W2307" s="1" t="s">
        <v>39</v>
      </c>
      <c r="X2307" s="1" t="n">
        <v>4.1</v>
      </c>
      <c r="Y2307" s="1" t="s">
        <v>40</v>
      </c>
      <c r="Z2307" s="1" t="n">
        <v>0</v>
      </c>
    </row>
    <row r="2308" customFormat="false" ht="15" hidden="false" customHeight="true" outlineLevel="0" collapsed="false">
      <c r="A2308" s="1" t="s">
        <v>3178</v>
      </c>
      <c r="B2308" s="1" t="s">
        <v>1094</v>
      </c>
      <c r="C2308" s="1" t="s">
        <v>74</v>
      </c>
      <c r="D2308" s="1" t="s">
        <v>168</v>
      </c>
      <c r="E2308" s="1" t="s">
        <v>172</v>
      </c>
      <c r="F2308" s="1" t="s">
        <v>31</v>
      </c>
      <c r="G2308" s="1" t="s">
        <v>32</v>
      </c>
      <c r="H2308" s="1" t="s">
        <v>33</v>
      </c>
      <c r="I2308" s="1" t="s">
        <v>83</v>
      </c>
      <c r="J2308" s="1" t="s">
        <v>59</v>
      </c>
      <c r="K2308" s="1" t="s">
        <v>36</v>
      </c>
      <c r="L2308" s="1" t="s">
        <v>37</v>
      </c>
      <c r="M2308" s="1" t="s">
        <v>62</v>
      </c>
      <c r="N2308" s="1" t="n">
        <v>6999</v>
      </c>
      <c r="O2308" s="1" t="n">
        <v>30</v>
      </c>
      <c r="P2308" s="1" t="n">
        <v>2099.7</v>
      </c>
      <c r="Q2308" s="1" t="n">
        <v>4899.3</v>
      </c>
      <c r="R2308" s="1" t="n">
        <v>881.87</v>
      </c>
      <c r="S2308" s="1" t="n">
        <v>4017.43</v>
      </c>
      <c r="T2308" s="1" t="n">
        <v>2041.56</v>
      </c>
      <c r="U2308" s="1" t="n">
        <v>1975.87</v>
      </c>
      <c r="V2308" s="1" t="n">
        <v>49.18</v>
      </c>
      <c r="W2308" s="1" t="s">
        <v>40</v>
      </c>
      <c r="Y2308" s="1" t="s">
        <v>40</v>
      </c>
      <c r="Z2308" s="1" t="n">
        <v>2</v>
      </c>
    </row>
    <row r="2309" customFormat="false" ht="15" hidden="false" customHeight="true" outlineLevel="0" collapsed="false">
      <c r="A2309" s="1" t="s">
        <v>3179</v>
      </c>
      <c r="B2309" s="1" t="s">
        <v>1264</v>
      </c>
      <c r="C2309" s="1" t="s">
        <v>139</v>
      </c>
      <c r="D2309" s="1" t="s">
        <v>143</v>
      </c>
      <c r="E2309" s="1" t="s">
        <v>210</v>
      </c>
      <c r="F2309" s="1" t="s">
        <v>140</v>
      </c>
      <c r="G2309" s="1" t="s">
        <v>97</v>
      </c>
      <c r="H2309" s="1" t="s">
        <v>57</v>
      </c>
      <c r="I2309" s="1" t="s">
        <v>83</v>
      </c>
      <c r="J2309" s="1" t="s">
        <v>35</v>
      </c>
      <c r="K2309" s="1" t="s">
        <v>36</v>
      </c>
      <c r="L2309" s="1" t="s">
        <v>113</v>
      </c>
      <c r="M2309" s="1" t="s">
        <v>50</v>
      </c>
      <c r="N2309" s="1" t="n">
        <v>18999</v>
      </c>
      <c r="O2309" s="1" t="n">
        <v>30</v>
      </c>
      <c r="P2309" s="1" t="n">
        <v>5699.7</v>
      </c>
      <c r="Q2309" s="1" t="n">
        <v>13299.3</v>
      </c>
      <c r="R2309" s="1" t="n">
        <v>2393.87</v>
      </c>
      <c r="S2309" s="1" t="n">
        <v>10905.43</v>
      </c>
      <c r="T2309" s="1" t="n">
        <v>4572</v>
      </c>
      <c r="U2309" s="1" t="n">
        <v>6333.43</v>
      </c>
      <c r="V2309" s="1" t="n">
        <v>58.08</v>
      </c>
      <c r="W2309" s="1" t="s">
        <v>39</v>
      </c>
      <c r="X2309" s="1" t="n">
        <v>3.9</v>
      </c>
      <c r="Y2309" s="1" t="s">
        <v>40</v>
      </c>
      <c r="Z2309" s="1" t="n">
        <v>0</v>
      </c>
    </row>
    <row r="2310" customFormat="false" ht="15" hidden="false" customHeight="true" outlineLevel="0" collapsed="false">
      <c r="A2310" s="1" t="s">
        <v>3180</v>
      </c>
      <c r="B2310" s="1" t="s">
        <v>1188</v>
      </c>
      <c r="C2310" s="1" t="s">
        <v>181</v>
      </c>
      <c r="D2310" s="1" t="s">
        <v>168</v>
      </c>
      <c r="E2310" s="1" t="s">
        <v>197</v>
      </c>
      <c r="F2310" s="1" t="s">
        <v>55</v>
      </c>
      <c r="G2310" s="1" t="s">
        <v>56</v>
      </c>
      <c r="H2310" s="1" t="s">
        <v>57</v>
      </c>
      <c r="I2310" s="1" t="s">
        <v>58</v>
      </c>
      <c r="J2310" s="1" t="s">
        <v>70</v>
      </c>
      <c r="K2310" s="1" t="s">
        <v>60</v>
      </c>
      <c r="L2310" s="1" t="s">
        <v>49</v>
      </c>
      <c r="M2310" s="1" t="s">
        <v>62</v>
      </c>
      <c r="N2310" s="1" t="n">
        <v>8499</v>
      </c>
      <c r="O2310" s="1" t="n">
        <v>50</v>
      </c>
      <c r="P2310" s="1" t="n">
        <v>4249.5</v>
      </c>
      <c r="Q2310" s="1" t="n">
        <v>4249.5</v>
      </c>
      <c r="R2310" s="1" t="n">
        <v>764.91</v>
      </c>
      <c r="S2310" s="1" t="n">
        <v>3484.59</v>
      </c>
      <c r="T2310" s="1" t="n">
        <v>1725.32</v>
      </c>
      <c r="U2310" s="1" t="n">
        <v>1759.27</v>
      </c>
      <c r="V2310" s="1" t="n">
        <v>50.49</v>
      </c>
      <c r="W2310" s="1" t="s">
        <v>40</v>
      </c>
      <c r="Y2310" s="1" t="s">
        <v>40</v>
      </c>
      <c r="Z2310" s="1" t="n">
        <v>1</v>
      </c>
    </row>
    <row r="2311" customFormat="false" ht="15" hidden="false" customHeight="true" outlineLevel="0" collapsed="false">
      <c r="A2311" s="1" t="s">
        <v>3181</v>
      </c>
      <c r="B2311" s="1" t="s">
        <v>428</v>
      </c>
      <c r="C2311" s="1" t="s">
        <v>93</v>
      </c>
      <c r="D2311" s="1" t="s">
        <v>44</v>
      </c>
      <c r="E2311" s="1" t="s">
        <v>66</v>
      </c>
      <c r="F2311" s="1" t="s">
        <v>211</v>
      </c>
      <c r="G2311" s="1" t="s">
        <v>56</v>
      </c>
      <c r="H2311" s="1" t="s">
        <v>69</v>
      </c>
      <c r="I2311" s="1" t="s">
        <v>34</v>
      </c>
      <c r="J2311" s="1" t="s">
        <v>77</v>
      </c>
      <c r="K2311" s="1" t="s">
        <v>60</v>
      </c>
      <c r="L2311" s="1" t="s">
        <v>61</v>
      </c>
      <c r="M2311" s="1" t="s">
        <v>38</v>
      </c>
      <c r="N2311" s="1" t="n">
        <v>12999</v>
      </c>
      <c r="O2311" s="1" t="n">
        <v>30</v>
      </c>
      <c r="P2311" s="1" t="n">
        <v>3899.7</v>
      </c>
      <c r="Q2311" s="1" t="n">
        <v>9099.3</v>
      </c>
      <c r="R2311" s="1" t="n">
        <v>1637.87</v>
      </c>
      <c r="S2311" s="1" t="n">
        <v>7461.43</v>
      </c>
      <c r="T2311" s="1" t="n">
        <v>3065.27</v>
      </c>
      <c r="U2311" s="1" t="n">
        <v>4396.16</v>
      </c>
      <c r="V2311" s="1" t="n">
        <v>58.92</v>
      </c>
      <c r="W2311" s="1" t="s">
        <v>39</v>
      </c>
      <c r="X2311" s="1" t="n">
        <v>4.1</v>
      </c>
      <c r="Y2311" s="1" t="s">
        <v>40</v>
      </c>
      <c r="Z2311" s="1" t="n">
        <v>0</v>
      </c>
    </row>
    <row r="2312" customFormat="false" ht="15" hidden="false" customHeight="true" outlineLevel="0" collapsed="false">
      <c r="A2312" s="1" t="s">
        <v>3182</v>
      </c>
      <c r="B2312" s="1" t="s">
        <v>64</v>
      </c>
      <c r="C2312" s="1" t="s">
        <v>74</v>
      </c>
      <c r="D2312" s="1" t="s">
        <v>94</v>
      </c>
      <c r="E2312" s="1" t="s">
        <v>95</v>
      </c>
      <c r="F2312" s="1" t="s">
        <v>187</v>
      </c>
      <c r="G2312" s="1" t="s">
        <v>97</v>
      </c>
      <c r="H2312" s="1" t="s">
        <v>69</v>
      </c>
      <c r="I2312" s="1" t="s">
        <v>58</v>
      </c>
      <c r="J2312" s="1" t="s">
        <v>70</v>
      </c>
      <c r="K2312" s="1" t="s">
        <v>60</v>
      </c>
      <c r="L2312" s="1" t="s">
        <v>136</v>
      </c>
      <c r="M2312" s="1" t="s">
        <v>50</v>
      </c>
      <c r="N2312" s="1" t="n">
        <v>6999</v>
      </c>
      <c r="O2312" s="1" t="n">
        <v>15</v>
      </c>
      <c r="P2312" s="1" t="n">
        <v>1049.85</v>
      </c>
      <c r="Q2312" s="1" t="n">
        <v>5949.15</v>
      </c>
      <c r="R2312" s="1" t="n">
        <v>1070.85</v>
      </c>
      <c r="S2312" s="1" t="n">
        <v>4878.3</v>
      </c>
      <c r="T2312" s="1" t="n">
        <v>1739.87</v>
      </c>
      <c r="U2312" s="1" t="n">
        <v>3138.43</v>
      </c>
      <c r="V2312" s="1" t="n">
        <v>64.33</v>
      </c>
      <c r="W2312" s="1" t="s">
        <v>39</v>
      </c>
      <c r="X2312" s="1" t="n">
        <v>3.9</v>
      </c>
      <c r="Y2312" s="1" t="s">
        <v>40</v>
      </c>
      <c r="Z2312" s="1" t="n">
        <v>1</v>
      </c>
    </row>
    <row r="2313" customFormat="false" ht="15" hidden="false" customHeight="true" outlineLevel="0" collapsed="false">
      <c r="A2313" s="1" t="s">
        <v>3183</v>
      </c>
      <c r="B2313" s="1" t="s">
        <v>3145</v>
      </c>
      <c r="C2313" s="1" t="s">
        <v>134</v>
      </c>
      <c r="D2313" s="1" t="s">
        <v>80</v>
      </c>
      <c r="E2313" s="1" t="s">
        <v>81</v>
      </c>
      <c r="F2313" s="1" t="s">
        <v>46</v>
      </c>
      <c r="G2313" s="1" t="s">
        <v>47</v>
      </c>
      <c r="H2313" s="1" t="s">
        <v>33</v>
      </c>
      <c r="I2313" s="1" t="s">
        <v>34</v>
      </c>
      <c r="J2313" s="1" t="s">
        <v>35</v>
      </c>
      <c r="K2313" s="1" t="s">
        <v>112</v>
      </c>
      <c r="L2313" s="1" t="s">
        <v>113</v>
      </c>
      <c r="M2313" s="1" t="s">
        <v>62</v>
      </c>
      <c r="N2313" s="1" t="n">
        <v>12999</v>
      </c>
      <c r="O2313" s="1" t="n">
        <v>0</v>
      </c>
      <c r="P2313" s="1" t="n">
        <v>0</v>
      </c>
      <c r="Q2313" s="1" t="n">
        <v>12999</v>
      </c>
      <c r="R2313" s="1" t="n">
        <v>2339.82</v>
      </c>
      <c r="S2313" s="1" t="n">
        <v>10659.18</v>
      </c>
      <c r="T2313" s="1" t="n">
        <v>4132.7</v>
      </c>
      <c r="U2313" s="1" t="n">
        <v>6526.48</v>
      </c>
      <c r="V2313" s="1" t="n">
        <v>61.23</v>
      </c>
      <c r="W2313" s="1" t="s">
        <v>40</v>
      </c>
      <c r="Y2313" s="1" t="s">
        <v>39</v>
      </c>
      <c r="Z2313" s="1" t="n">
        <v>1</v>
      </c>
    </row>
    <row r="2314" customFormat="false" ht="15" hidden="false" customHeight="true" outlineLevel="0" collapsed="false">
      <c r="A2314" s="1" t="s">
        <v>3184</v>
      </c>
      <c r="B2314" s="1" t="s">
        <v>196</v>
      </c>
      <c r="C2314" s="1" t="s">
        <v>65</v>
      </c>
      <c r="D2314" s="1" t="s">
        <v>53</v>
      </c>
      <c r="E2314" s="1" t="s">
        <v>116</v>
      </c>
      <c r="F2314" s="1" t="s">
        <v>31</v>
      </c>
      <c r="G2314" s="1" t="s">
        <v>32</v>
      </c>
      <c r="H2314" s="1" t="s">
        <v>33</v>
      </c>
      <c r="I2314" s="1" t="s">
        <v>34</v>
      </c>
      <c r="J2314" s="1" t="s">
        <v>131</v>
      </c>
      <c r="K2314" s="1" t="s">
        <v>112</v>
      </c>
      <c r="L2314" s="1" t="s">
        <v>49</v>
      </c>
      <c r="M2314" s="1" t="s">
        <v>50</v>
      </c>
      <c r="N2314" s="1" t="n">
        <v>9999</v>
      </c>
      <c r="O2314" s="1" t="n">
        <v>0</v>
      </c>
      <c r="P2314" s="1" t="n">
        <v>0</v>
      </c>
      <c r="Q2314" s="1" t="n">
        <v>9999</v>
      </c>
      <c r="R2314" s="1" t="n">
        <v>1799.82</v>
      </c>
      <c r="S2314" s="1" t="n">
        <v>8199.18</v>
      </c>
      <c r="T2314" s="1" t="n">
        <v>3444.71</v>
      </c>
      <c r="U2314" s="1" t="n">
        <v>4754.47</v>
      </c>
      <c r="V2314" s="1" t="n">
        <v>57.99</v>
      </c>
      <c r="W2314" s="1" t="s">
        <v>39</v>
      </c>
      <c r="Y2314" s="1" t="s">
        <v>40</v>
      </c>
      <c r="Z2314" s="1" t="n">
        <v>0</v>
      </c>
    </row>
    <row r="2315" customFormat="false" ht="15" hidden="false" customHeight="true" outlineLevel="0" collapsed="false">
      <c r="A2315" s="1" t="s">
        <v>3185</v>
      </c>
      <c r="B2315" s="1" t="s">
        <v>2657</v>
      </c>
      <c r="C2315" s="1" t="s">
        <v>93</v>
      </c>
      <c r="D2315" s="1" t="s">
        <v>44</v>
      </c>
      <c r="E2315" s="1" t="s">
        <v>45</v>
      </c>
      <c r="F2315" s="1" t="s">
        <v>211</v>
      </c>
      <c r="G2315" s="1" t="s">
        <v>56</v>
      </c>
      <c r="H2315" s="1" t="s">
        <v>69</v>
      </c>
      <c r="I2315" s="1" t="s">
        <v>34</v>
      </c>
      <c r="J2315" s="1" t="s">
        <v>77</v>
      </c>
      <c r="K2315" s="1" t="s">
        <v>60</v>
      </c>
      <c r="L2315" s="1" t="s">
        <v>49</v>
      </c>
      <c r="M2315" s="1" t="s">
        <v>62</v>
      </c>
      <c r="N2315" s="1" t="n">
        <v>11999</v>
      </c>
      <c r="O2315" s="1" t="n">
        <v>5</v>
      </c>
      <c r="P2315" s="1" t="n">
        <v>599.95</v>
      </c>
      <c r="Q2315" s="1" t="n">
        <v>11399.05</v>
      </c>
      <c r="R2315" s="1" t="n">
        <v>2051.83</v>
      </c>
      <c r="S2315" s="1" t="n">
        <v>9347.22</v>
      </c>
      <c r="T2315" s="1" t="n">
        <v>3941.47</v>
      </c>
      <c r="U2315" s="1" t="n">
        <v>5405.75</v>
      </c>
      <c r="V2315" s="1" t="n">
        <v>57.83</v>
      </c>
      <c r="W2315" s="1" t="s">
        <v>40</v>
      </c>
      <c r="Y2315" s="1" t="s">
        <v>40</v>
      </c>
      <c r="Z2315" s="1" t="n">
        <v>2</v>
      </c>
    </row>
    <row r="2316" customFormat="false" ht="15" hidden="false" customHeight="true" outlineLevel="0" collapsed="false">
      <c r="A2316" s="1" t="s">
        <v>3186</v>
      </c>
      <c r="B2316" s="1" t="s">
        <v>1079</v>
      </c>
      <c r="C2316" s="1" t="s">
        <v>134</v>
      </c>
      <c r="D2316" s="1" t="s">
        <v>80</v>
      </c>
      <c r="E2316" s="1" t="s">
        <v>175</v>
      </c>
      <c r="F2316" s="1" t="s">
        <v>140</v>
      </c>
      <c r="G2316" s="1" t="s">
        <v>97</v>
      </c>
      <c r="H2316" s="1" t="s">
        <v>57</v>
      </c>
      <c r="I2316" s="1" t="s">
        <v>34</v>
      </c>
      <c r="J2316" s="1" t="s">
        <v>70</v>
      </c>
      <c r="K2316" s="1" t="s">
        <v>84</v>
      </c>
      <c r="L2316" s="1" t="s">
        <v>49</v>
      </c>
      <c r="M2316" s="1" t="s">
        <v>38</v>
      </c>
      <c r="N2316" s="1" t="n">
        <v>19999</v>
      </c>
      <c r="O2316" s="1" t="n">
        <v>10</v>
      </c>
      <c r="P2316" s="1" t="n">
        <v>1999.9</v>
      </c>
      <c r="Q2316" s="1" t="n">
        <v>17999.1</v>
      </c>
      <c r="R2316" s="1" t="n">
        <v>3239.84</v>
      </c>
      <c r="S2316" s="1" t="n">
        <v>14759.26</v>
      </c>
      <c r="T2316" s="1" t="n">
        <v>7063.07</v>
      </c>
      <c r="U2316" s="1" t="n">
        <v>7696.19</v>
      </c>
      <c r="V2316" s="1" t="n">
        <v>52.14</v>
      </c>
      <c r="W2316" s="1" t="s">
        <v>40</v>
      </c>
      <c r="Y2316" s="1" t="s">
        <v>40</v>
      </c>
      <c r="Z2316" s="1" t="n">
        <v>0</v>
      </c>
    </row>
    <row r="2317" customFormat="false" ht="15" hidden="false" customHeight="true" outlineLevel="0" collapsed="false">
      <c r="A2317" s="1" t="s">
        <v>3187</v>
      </c>
      <c r="B2317" s="1" t="s">
        <v>821</v>
      </c>
      <c r="C2317" s="1" t="s">
        <v>43</v>
      </c>
      <c r="D2317" s="1" t="s">
        <v>29</v>
      </c>
      <c r="E2317" s="1" t="s">
        <v>182</v>
      </c>
      <c r="F2317" s="1" t="s">
        <v>187</v>
      </c>
      <c r="G2317" s="1" t="s">
        <v>97</v>
      </c>
      <c r="H2317" s="1" t="s">
        <v>69</v>
      </c>
      <c r="I2317" s="1" t="s">
        <v>83</v>
      </c>
      <c r="J2317" s="1" t="s">
        <v>77</v>
      </c>
      <c r="K2317" s="1" t="s">
        <v>36</v>
      </c>
      <c r="L2317" s="1" t="s">
        <v>37</v>
      </c>
      <c r="M2317" s="1" t="s">
        <v>62</v>
      </c>
      <c r="N2317" s="1" t="n">
        <v>34999</v>
      </c>
      <c r="O2317" s="1" t="n">
        <v>0</v>
      </c>
      <c r="P2317" s="1" t="n">
        <v>0</v>
      </c>
      <c r="Q2317" s="1" t="n">
        <v>34999</v>
      </c>
      <c r="R2317" s="1" t="n">
        <v>6299.82</v>
      </c>
      <c r="S2317" s="1" t="n">
        <v>28699.18</v>
      </c>
      <c r="T2317" s="1" t="n">
        <v>9624.54</v>
      </c>
      <c r="U2317" s="1" t="n">
        <v>19074.64</v>
      </c>
      <c r="V2317" s="1" t="n">
        <v>66.46</v>
      </c>
      <c r="W2317" s="1" t="s">
        <v>39</v>
      </c>
      <c r="X2317" s="1" t="n">
        <v>4</v>
      </c>
      <c r="Y2317" s="1" t="s">
        <v>40</v>
      </c>
      <c r="Z2317" s="1" t="n">
        <v>0</v>
      </c>
    </row>
    <row r="2318" customFormat="false" ht="15" hidden="false" customHeight="true" outlineLevel="0" collapsed="false">
      <c r="A2318" s="1" t="s">
        <v>3188</v>
      </c>
      <c r="B2318" s="1" t="s">
        <v>142</v>
      </c>
      <c r="C2318" s="1" t="s">
        <v>249</v>
      </c>
      <c r="D2318" s="1" t="s">
        <v>44</v>
      </c>
      <c r="E2318" s="1" t="s">
        <v>221</v>
      </c>
      <c r="F2318" s="1" t="s">
        <v>150</v>
      </c>
      <c r="G2318" s="1" t="s">
        <v>32</v>
      </c>
      <c r="H2318" s="1" t="s">
        <v>57</v>
      </c>
      <c r="I2318" s="1" t="s">
        <v>58</v>
      </c>
      <c r="J2318" s="1" t="s">
        <v>70</v>
      </c>
      <c r="K2318" s="1" t="s">
        <v>84</v>
      </c>
      <c r="L2318" s="1" t="s">
        <v>136</v>
      </c>
      <c r="M2318" s="1" t="s">
        <v>50</v>
      </c>
      <c r="N2318" s="1" t="n">
        <v>16999</v>
      </c>
      <c r="O2318" s="1" t="n">
        <v>0</v>
      </c>
      <c r="P2318" s="1" t="n">
        <v>0</v>
      </c>
      <c r="Q2318" s="1" t="n">
        <v>16999</v>
      </c>
      <c r="R2318" s="1" t="n">
        <v>3059.82</v>
      </c>
      <c r="S2318" s="1" t="n">
        <v>13939.18</v>
      </c>
      <c r="T2318" s="1" t="n">
        <v>6751.24</v>
      </c>
      <c r="U2318" s="1" t="n">
        <v>7187.94</v>
      </c>
      <c r="V2318" s="1" t="n">
        <v>51.57</v>
      </c>
      <c r="W2318" s="1" t="s">
        <v>39</v>
      </c>
      <c r="X2318" s="1" t="n">
        <v>3.8</v>
      </c>
      <c r="Y2318" s="1" t="s">
        <v>40</v>
      </c>
      <c r="Z2318" s="1" t="n">
        <v>0</v>
      </c>
    </row>
    <row r="2319" customFormat="false" ht="15" hidden="false" customHeight="true" outlineLevel="0" collapsed="false">
      <c r="A2319" s="1" t="s">
        <v>3189</v>
      </c>
      <c r="B2319" s="1" t="s">
        <v>1570</v>
      </c>
      <c r="C2319" s="1" t="s">
        <v>100</v>
      </c>
      <c r="D2319" s="1" t="s">
        <v>80</v>
      </c>
      <c r="E2319" s="1" t="s">
        <v>193</v>
      </c>
      <c r="F2319" s="1" t="s">
        <v>89</v>
      </c>
      <c r="G2319" s="1" t="s">
        <v>68</v>
      </c>
      <c r="H2319" s="1" t="s">
        <v>33</v>
      </c>
      <c r="I2319" s="1" t="s">
        <v>34</v>
      </c>
      <c r="J2319" s="1" t="s">
        <v>70</v>
      </c>
      <c r="K2319" s="1" t="s">
        <v>48</v>
      </c>
      <c r="L2319" s="1" t="s">
        <v>113</v>
      </c>
      <c r="M2319" s="1" t="s">
        <v>62</v>
      </c>
      <c r="N2319" s="1" t="n">
        <v>8999</v>
      </c>
      <c r="O2319" s="1" t="n">
        <v>30</v>
      </c>
      <c r="P2319" s="1" t="n">
        <v>2699.7</v>
      </c>
      <c r="Q2319" s="1" t="n">
        <v>6299.3</v>
      </c>
      <c r="R2319" s="1" t="n">
        <v>1133.87</v>
      </c>
      <c r="S2319" s="1" t="n">
        <v>5165.43</v>
      </c>
      <c r="T2319" s="1" t="n">
        <v>2266.84</v>
      </c>
      <c r="U2319" s="1" t="n">
        <v>2898.59</v>
      </c>
      <c r="V2319" s="1" t="n">
        <v>56.12</v>
      </c>
      <c r="W2319" s="1" t="s">
        <v>40</v>
      </c>
      <c r="Y2319" s="1" t="s">
        <v>40</v>
      </c>
      <c r="Z2319" s="1" t="n">
        <v>1</v>
      </c>
    </row>
    <row r="2320" customFormat="false" ht="15" hidden="false" customHeight="true" outlineLevel="0" collapsed="false">
      <c r="A2320" s="1" t="s">
        <v>3190</v>
      </c>
      <c r="B2320" s="1" t="s">
        <v>3145</v>
      </c>
      <c r="C2320" s="1" t="s">
        <v>43</v>
      </c>
      <c r="D2320" s="1" t="s">
        <v>29</v>
      </c>
      <c r="E2320" s="1" t="s">
        <v>305</v>
      </c>
      <c r="F2320" s="1" t="s">
        <v>67</v>
      </c>
      <c r="G2320" s="1" t="s">
        <v>68</v>
      </c>
      <c r="H2320" s="1" t="s">
        <v>69</v>
      </c>
      <c r="I2320" s="1" t="s">
        <v>83</v>
      </c>
      <c r="J2320" s="1" t="s">
        <v>35</v>
      </c>
      <c r="K2320" s="1" t="s">
        <v>104</v>
      </c>
      <c r="L2320" s="1" t="s">
        <v>136</v>
      </c>
      <c r="M2320" s="1" t="s">
        <v>62</v>
      </c>
      <c r="N2320" s="1" t="n">
        <v>24999</v>
      </c>
      <c r="O2320" s="1" t="n">
        <v>0</v>
      </c>
      <c r="P2320" s="1" t="n">
        <v>0</v>
      </c>
      <c r="Q2320" s="1" t="n">
        <v>24999</v>
      </c>
      <c r="R2320" s="1" t="n">
        <v>4499.82</v>
      </c>
      <c r="S2320" s="1" t="n">
        <v>20499.18</v>
      </c>
      <c r="T2320" s="1" t="n">
        <v>6628.83</v>
      </c>
      <c r="U2320" s="1" t="n">
        <v>13870.35</v>
      </c>
      <c r="V2320" s="1" t="n">
        <v>67.66</v>
      </c>
      <c r="W2320" s="1" t="s">
        <v>39</v>
      </c>
      <c r="X2320" s="1" t="n">
        <v>3.4</v>
      </c>
      <c r="Y2320" s="1" t="s">
        <v>40</v>
      </c>
      <c r="Z2320" s="1" t="n">
        <v>0</v>
      </c>
    </row>
    <row r="2321" customFormat="false" ht="15" hidden="false" customHeight="true" outlineLevel="0" collapsed="false">
      <c r="A2321" s="1" t="s">
        <v>3191</v>
      </c>
      <c r="B2321" s="1" t="s">
        <v>3192</v>
      </c>
      <c r="C2321" s="1" t="s">
        <v>249</v>
      </c>
      <c r="D2321" s="1" t="s">
        <v>94</v>
      </c>
      <c r="E2321" s="1" t="s">
        <v>101</v>
      </c>
      <c r="F2321" s="1" t="s">
        <v>187</v>
      </c>
      <c r="G2321" s="1" t="s">
        <v>97</v>
      </c>
      <c r="H2321" s="1" t="s">
        <v>69</v>
      </c>
      <c r="I2321" s="1" t="s">
        <v>58</v>
      </c>
      <c r="J2321" s="1" t="s">
        <v>77</v>
      </c>
      <c r="K2321" s="1" t="s">
        <v>71</v>
      </c>
      <c r="L2321" s="1" t="s">
        <v>113</v>
      </c>
      <c r="M2321" s="1" t="s">
        <v>62</v>
      </c>
      <c r="N2321" s="1" t="n">
        <v>14999</v>
      </c>
      <c r="O2321" s="1" t="n">
        <v>0</v>
      </c>
      <c r="P2321" s="1" t="n">
        <v>0</v>
      </c>
      <c r="Q2321" s="1" t="n">
        <v>14999</v>
      </c>
      <c r="R2321" s="1" t="n">
        <v>2699.82</v>
      </c>
      <c r="S2321" s="1" t="n">
        <v>12299.18</v>
      </c>
      <c r="T2321" s="1" t="n">
        <v>4590</v>
      </c>
      <c r="U2321" s="1" t="n">
        <v>7709.18</v>
      </c>
      <c r="V2321" s="1" t="n">
        <v>62.68</v>
      </c>
      <c r="W2321" s="1" t="s">
        <v>39</v>
      </c>
      <c r="X2321" s="1" t="n">
        <v>3.9</v>
      </c>
      <c r="Y2321" s="1" t="s">
        <v>40</v>
      </c>
      <c r="Z2321" s="1" t="n">
        <v>0</v>
      </c>
    </row>
    <row r="2322" customFormat="false" ht="15" hidden="false" customHeight="true" outlineLevel="0" collapsed="false">
      <c r="A2322" s="1" t="s">
        <v>3193</v>
      </c>
      <c r="B2322" s="1" t="s">
        <v>1152</v>
      </c>
      <c r="C2322" s="1" t="s">
        <v>128</v>
      </c>
      <c r="D2322" s="1" t="s">
        <v>29</v>
      </c>
      <c r="E2322" s="1" t="s">
        <v>30</v>
      </c>
      <c r="F2322" s="1" t="s">
        <v>153</v>
      </c>
      <c r="G2322" s="1" t="s">
        <v>76</v>
      </c>
      <c r="H2322" s="1" t="s">
        <v>33</v>
      </c>
      <c r="I2322" s="1" t="s">
        <v>58</v>
      </c>
      <c r="J2322" s="1" t="s">
        <v>77</v>
      </c>
      <c r="K2322" s="1" t="s">
        <v>90</v>
      </c>
      <c r="L2322" s="1" t="s">
        <v>85</v>
      </c>
      <c r="M2322" s="1" t="s">
        <v>62</v>
      </c>
      <c r="N2322" s="1" t="n">
        <v>7999</v>
      </c>
      <c r="O2322" s="1" t="n">
        <v>30</v>
      </c>
      <c r="P2322" s="1" t="n">
        <v>2399.7</v>
      </c>
      <c r="Q2322" s="1" t="n">
        <v>5599.3</v>
      </c>
      <c r="R2322" s="1" t="n">
        <v>1007.87</v>
      </c>
      <c r="S2322" s="1" t="n">
        <v>4591.43</v>
      </c>
      <c r="T2322" s="1" t="n">
        <v>1766.12</v>
      </c>
      <c r="U2322" s="1" t="n">
        <v>2825.31</v>
      </c>
      <c r="V2322" s="1" t="n">
        <v>61.53</v>
      </c>
      <c r="W2322" s="1" t="s">
        <v>39</v>
      </c>
      <c r="X2322" s="1" t="n">
        <v>4.8</v>
      </c>
      <c r="Y2322" s="1" t="s">
        <v>40</v>
      </c>
      <c r="Z2322" s="1" t="n">
        <v>0</v>
      </c>
    </row>
    <row r="2323" customFormat="false" ht="15" hidden="false" customHeight="true" outlineLevel="0" collapsed="false">
      <c r="A2323" s="1" t="s">
        <v>3194</v>
      </c>
      <c r="B2323" s="1" t="s">
        <v>1739</v>
      </c>
      <c r="C2323" s="1" t="s">
        <v>139</v>
      </c>
      <c r="D2323" s="1" t="s">
        <v>80</v>
      </c>
      <c r="E2323" s="1" t="s">
        <v>81</v>
      </c>
      <c r="F2323" s="1" t="s">
        <v>130</v>
      </c>
      <c r="G2323" s="1" t="s">
        <v>47</v>
      </c>
      <c r="H2323" s="1" t="s">
        <v>69</v>
      </c>
      <c r="I2323" s="1" t="s">
        <v>58</v>
      </c>
      <c r="J2323" s="1" t="s">
        <v>70</v>
      </c>
      <c r="K2323" s="1" t="s">
        <v>112</v>
      </c>
      <c r="L2323" s="1" t="s">
        <v>136</v>
      </c>
      <c r="M2323" s="1" t="s">
        <v>62</v>
      </c>
      <c r="N2323" s="1" t="n">
        <v>12999</v>
      </c>
      <c r="O2323" s="1" t="n">
        <v>10</v>
      </c>
      <c r="P2323" s="1" t="n">
        <v>1299.9</v>
      </c>
      <c r="Q2323" s="1" t="n">
        <v>11699.1</v>
      </c>
      <c r="R2323" s="1" t="n">
        <v>2105.84</v>
      </c>
      <c r="S2323" s="1" t="n">
        <v>9593.26</v>
      </c>
      <c r="T2323" s="1" t="n">
        <v>4260.25</v>
      </c>
      <c r="U2323" s="1" t="n">
        <v>5333.01</v>
      </c>
      <c r="V2323" s="1" t="n">
        <v>55.59</v>
      </c>
      <c r="W2323" s="1" t="s">
        <v>40</v>
      </c>
      <c r="Y2323" s="1" t="s">
        <v>40</v>
      </c>
      <c r="Z2323" s="1" t="n">
        <v>0</v>
      </c>
    </row>
    <row r="2324" customFormat="false" ht="15" hidden="false" customHeight="true" outlineLevel="0" collapsed="false">
      <c r="A2324" s="1" t="s">
        <v>3195</v>
      </c>
      <c r="B2324" s="1" t="s">
        <v>487</v>
      </c>
      <c r="C2324" s="1" t="s">
        <v>28</v>
      </c>
      <c r="D2324" s="1" t="s">
        <v>53</v>
      </c>
      <c r="E2324" s="1" t="s">
        <v>216</v>
      </c>
      <c r="F2324" s="1" t="s">
        <v>125</v>
      </c>
      <c r="G2324" s="1" t="s">
        <v>108</v>
      </c>
      <c r="H2324" s="1" t="s">
        <v>69</v>
      </c>
      <c r="I2324" s="1" t="s">
        <v>34</v>
      </c>
      <c r="J2324" s="1" t="s">
        <v>131</v>
      </c>
      <c r="K2324" s="1" t="s">
        <v>71</v>
      </c>
      <c r="L2324" s="1" t="s">
        <v>85</v>
      </c>
      <c r="M2324" s="1" t="s">
        <v>50</v>
      </c>
      <c r="N2324" s="1" t="n">
        <v>7499</v>
      </c>
      <c r="O2324" s="1" t="n">
        <v>40</v>
      </c>
      <c r="P2324" s="1" t="n">
        <v>2999.6</v>
      </c>
      <c r="Q2324" s="1" t="n">
        <v>4499.4</v>
      </c>
      <c r="R2324" s="1" t="n">
        <v>809.89</v>
      </c>
      <c r="S2324" s="1" t="n">
        <v>3689.51</v>
      </c>
      <c r="T2324" s="1" t="n">
        <v>1665.99</v>
      </c>
      <c r="U2324" s="1" t="n">
        <v>2023.52</v>
      </c>
      <c r="V2324" s="1" t="n">
        <v>54.85</v>
      </c>
      <c r="W2324" s="1" t="s">
        <v>40</v>
      </c>
      <c r="Y2324" s="1" t="s">
        <v>39</v>
      </c>
      <c r="Z2324" s="1" t="n">
        <v>0</v>
      </c>
    </row>
    <row r="2325" customFormat="false" ht="15" hidden="false" customHeight="true" outlineLevel="0" collapsed="false">
      <c r="A2325" s="1" t="s">
        <v>3196</v>
      </c>
      <c r="B2325" s="1" t="s">
        <v>344</v>
      </c>
      <c r="C2325" s="1" t="s">
        <v>249</v>
      </c>
      <c r="D2325" s="1" t="s">
        <v>168</v>
      </c>
      <c r="E2325" s="1" t="s">
        <v>197</v>
      </c>
      <c r="F2325" s="1" t="s">
        <v>120</v>
      </c>
      <c r="G2325" s="1" t="s">
        <v>47</v>
      </c>
      <c r="H2325" s="1" t="s">
        <v>57</v>
      </c>
      <c r="I2325" s="1" t="s">
        <v>34</v>
      </c>
      <c r="J2325" s="1" t="s">
        <v>35</v>
      </c>
      <c r="K2325" s="1" t="s">
        <v>71</v>
      </c>
      <c r="L2325" s="1" t="s">
        <v>113</v>
      </c>
      <c r="M2325" s="1" t="s">
        <v>38</v>
      </c>
      <c r="N2325" s="1" t="n">
        <v>8499</v>
      </c>
      <c r="O2325" s="1" t="n">
        <v>0</v>
      </c>
      <c r="P2325" s="1" t="n">
        <v>0</v>
      </c>
      <c r="Q2325" s="1" t="n">
        <v>8499</v>
      </c>
      <c r="R2325" s="1" t="n">
        <v>1529.82</v>
      </c>
      <c r="S2325" s="1" t="n">
        <v>6969.18</v>
      </c>
      <c r="T2325" s="1" t="n">
        <v>3106.05</v>
      </c>
      <c r="U2325" s="1" t="n">
        <v>3863.13</v>
      </c>
      <c r="V2325" s="1" t="n">
        <v>55.43</v>
      </c>
      <c r="W2325" s="1" t="s">
        <v>39</v>
      </c>
      <c r="X2325" s="1" t="n">
        <v>3.3</v>
      </c>
      <c r="Y2325" s="1" t="s">
        <v>40</v>
      </c>
      <c r="Z2325" s="1" t="n">
        <v>0</v>
      </c>
    </row>
    <row r="2326" customFormat="false" ht="15" hidden="false" customHeight="true" outlineLevel="0" collapsed="false">
      <c r="A2326" s="1" t="s">
        <v>3197</v>
      </c>
      <c r="B2326" s="1" t="s">
        <v>537</v>
      </c>
      <c r="C2326" s="1" t="s">
        <v>43</v>
      </c>
      <c r="D2326" s="1" t="s">
        <v>29</v>
      </c>
      <c r="E2326" s="1" t="s">
        <v>182</v>
      </c>
      <c r="F2326" s="1" t="s">
        <v>883</v>
      </c>
      <c r="G2326" s="1" t="s">
        <v>68</v>
      </c>
      <c r="H2326" s="1" t="s">
        <v>69</v>
      </c>
      <c r="I2326" s="1" t="s">
        <v>34</v>
      </c>
      <c r="J2326" s="1" t="s">
        <v>131</v>
      </c>
      <c r="K2326" s="1" t="s">
        <v>112</v>
      </c>
      <c r="L2326" s="1" t="s">
        <v>37</v>
      </c>
      <c r="M2326" s="1" t="s">
        <v>50</v>
      </c>
      <c r="N2326" s="1" t="n">
        <v>34999</v>
      </c>
      <c r="O2326" s="1" t="n">
        <v>30</v>
      </c>
      <c r="P2326" s="1" t="n">
        <v>10499.7</v>
      </c>
      <c r="Q2326" s="1" t="n">
        <v>24499.3</v>
      </c>
      <c r="R2326" s="1" t="n">
        <v>4409.87</v>
      </c>
      <c r="S2326" s="1" t="n">
        <v>20089.43</v>
      </c>
      <c r="T2326" s="1" t="n">
        <v>6115.04</v>
      </c>
      <c r="U2326" s="1" t="n">
        <v>13974.39</v>
      </c>
      <c r="V2326" s="1" t="n">
        <v>69.56</v>
      </c>
      <c r="W2326" s="1" t="s">
        <v>39</v>
      </c>
      <c r="X2326" s="1" t="n">
        <v>4</v>
      </c>
      <c r="Y2326" s="1" t="s">
        <v>40</v>
      </c>
      <c r="Z2326" s="1" t="n">
        <v>0</v>
      </c>
    </row>
    <row r="2327" customFormat="false" ht="15" hidden="false" customHeight="true" outlineLevel="0" collapsed="false">
      <c r="A2327" s="1" t="s">
        <v>3198</v>
      </c>
      <c r="B2327" s="1" t="s">
        <v>3199</v>
      </c>
      <c r="C2327" s="1" t="s">
        <v>167</v>
      </c>
      <c r="D2327" s="1" t="s">
        <v>94</v>
      </c>
      <c r="E2327" s="1" t="s">
        <v>101</v>
      </c>
      <c r="F2327" s="1" t="s">
        <v>107</v>
      </c>
      <c r="G2327" s="1" t="s">
        <v>108</v>
      </c>
      <c r="H2327" s="1" t="s">
        <v>33</v>
      </c>
      <c r="I2327" s="1" t="s">
        <v>34</v>
      </c>
      <c r="J2327" s="1" t="s">
        <v>59</v>
      </c>
      <c r="K2327" s="1" t="s">
        <v>60</v>
      </c>
      <c r="L2327" s="1" t="s">
        <v>113</v>
      </c>
      <c r="M2327" s="1" t="s">
        <v>62</v>
      </c>
      <c r="N2327" s="1" t="n">
        <v>14999</v>
      </c>
      <c r="O2327" s="1" t="n">
        <v>50</v>
      </c>
      <c r="P2327" s="1" t="n">
        <v>7499.5</v>
      </c>
      <c r="Q2327" s="1" t="n">
        <v>7499.5</v>
      </c>
      <c r="R2327" s="1" t="n">
        <v>1349.91</v>
      </c>
      <c r="S2327" s="1" t="n">
        <v>6149.59</v>
      </c>
      <c r="T2327" s="1" t="n">
        <v>3265.81</v>
      </c>
      <c r="U2327" s="1" t="n">
        <v>2883.78</v>
      </c>
      <c r="V2327" s="1" t="n">
        <v>46.89</v>
      </c>
      <c r="W2327" s="1" t="s">
        <v>40</v>
      </c>
      <c r="Y2327" s="1" t="s">
        <v>40</v>
      </c>
      <c r="Z2327" s="1" t="n">
        <v>0</v>
      </c>
    </row>
    <row r="2328" customFormat="false" ht="15" hidden="false" customHeight="true" outlineLevel="0" collapsed="false">
      <c r="A2328" s="1" t="s">
        <v>3200</v>
      </c>
      <c r="B2328" s="1" t="s">
        <v>1226</v>
      </c>
      <c r="C2328" s="1" t="s">
        <v>128</v>
      </c>
      <c r="D2328" s="1" t="s">
        <v>80</v>
      </c>
      <c r="E2328" s="1" t="s">
        <v>81</v>
      </c>
      <c r="F2328" s="1" t="s">
        <v>31</v>
      </c>
      <c r="G2328" s="1" t="s">
        <v>32</v>
      </c>
      <c r="H2328" s="1" t="s">
        <v>33</v>
      </c>
      <c r="I2328" s="1" t="s">
        <v>83</v>
      </c>
      <c r="J2328" s="1" t="s">
        <v>59</v>
      </c>
      <c r="K2328" s="1" t="s">
        <v>48</v>
      </c>
      <c r="L2328" s="1" t="s">
        <v>85</v>
      </c>
      <c r="M2328" s="1" t="s">
        <v>50</v>
      </c>
      <c r="N2328" s="1" t="n">
        <v>12999</v>
      </c>
      <c r="O2328" s="1" t="n">
        <v>25</v>
      </c>
      <c r="P2328" s="1" t="n">
        <v>3249.75</v>
      </c>
      <c r="Q2328" s="1" t="n">
        <v>9749.25</v>
      </c>
      <c r="R2328" s="1" t="n">
        <v>1754.87</v>
      </c>
      <c r="S2328" s="1" t="n">
        <v>7994.38</v>
      </c>
      <c r="T2328" s="1" t="n">
        <v>3034.86</v>
      </c>
      <c r="U2328" s="1" t="n">
        <v>4959.52</v>
      </c>
      <c r="V2328" s="1" t="n">
        <v>62.04</v>
      </c>
      <c r="W2328" s="1" t="s">
        <v>39</v>
      </c>
      <c r="X2328" s="1" t="n">
        <v>3.4</v>
      </c>
      <c r="Y2328" s="1" t="s">
        <v>40</v>
      </c>
      <c r="Z2328" s="1" t="n">
        <v>0</v>
      </c>
    </row>
    <row r="2329" customFormat="false" ht="15" hidden="false" customHeight="true" outlineLevel="0" collapsed="false">
      <c r="A2329" s="1" t="s">
        <v>3201</v>
      </c>
      <c r="B2329" s="1" t="s">
        <v>1346</v>
      </c>
      <c r="C2329" s="1" t="s">
        <v>65</v>
      </c>
      <c r="D2329" s="1" t="s">
        <v>53</v>
      </c>
      <c r="E2329" s="1" t="s">
        <v>54</v>
      </c>
      <c r="F2329" s="1" t="s">
        <v>102</v>
      </c>
      <c r="G2329" s="1" t="s">
        <v>103</v>
      </c>
      <c r="H2329" s="1" t="s">
        <v>33</v>
      </c>
      <c r="I2329" s="1" t="s">
        <v>34</v>
      </c>
      <c r="J2329" s="1" t="s">
        <v>70</v>
      </c>
      <c r="K2329" s="1" t="s">
        <v>90</v>
      </c>
      <c r="L2329" s="1" t="s">
        <v>49</v>
      </c>
      <c r="M2329" s="1" t="s">
        <v>38</v>
      </c>
      <c r="N2329" s="1" t="n">
        <v>11999</v>
      </c>
      <c r="O2329" s="1" t="n">
        <v>20</v>
      </c>
      <c r="P2329" s="1" t="n">
        <v>2399.8</v>
      </c>
      <c r="Q2329" s="1" t="n">
        <v>9599.2</v>
      </c>
      <c r="R2329" s="1" t="n">
        <v>1727.86</v>
      </c>
      <c r="S2329" s="1" t="n">
        <v>7871.34</v>
      </c>
      <c r="T2329" s="1" t="n">
        <v>3191.48</v>
      </c>
      <c r="U2329" s="1" t="n">
        <v>4679.86</v>
      </c>
      <c r="V2329" s="1" t="n">
        <v>59.45</v>
      </c>
      <c r="W2329" s="1" t="s">
        <v>40</v>
      </c>
      <c r="Y2329" s="1" t="s">
        <v>40</v>
      </c>
      <c r="Z2329" s="1" t="n">
        <v>1</v>
      </c>
    </row>
    <row r="2330" customFormat="false" ht="15" hidden="false" customHeight="true" outlineLevel="0" collapsed="false">
      <c r="A2330" s="1" t="s">
        <v>3202</v>
      </c>
      <c r="B2330" s="1" t="s">
        <v>868</v>
      </c>
      <c r="C2330" s="1" t="s">
        <v>249</v>
      </c>
      <c r="D2330" s="1" t="s">
        <v>53</v>
      </c>
      <c r="E2330" s="1" t="s">
        <v>116</v>
      </c>
      <c r="F2330" s="1" t="s">
        <v>89</v>
      </c>
      <c r="G2330" s="1" t="s">
        <v>68</v>
      </c>
      <c r="H2330" s="1" t="s">
        <v>33</v>
      </c>
      <c r="I2330" s="1" t="s">
        <v>34</v>
      </c>
      <c r="J2330" s="1" t="s">
        <v>77</v>
      </c>
      <c r="K2330" s="1" t="s">
        <v>104</v>
      </c>
      <c r="L2330" s="1" t="s">
        <v>61</v>
      </c>
      <c r="M2330" s="1" t="s">
        <v>38</v>
      </c>
      <c r="N2330" s="1" t="n">
        <v>9999</v>
      </c>
      <c r="O2330" s="1" t="n">
        <v>30</v>
      </c>
      <c r="P2330" s="1" t="n">
        <v>2999.7</v>
      </c>
      <c r="Q2330" s="1" t="n">
        <v>6999.3</v>
      </c>
      <c r="R2330" s="1" t="n">
        <v>1259.87</v>
      </c>
      <c r="S2330" s="1" t="n">
        <v>5739.43</v>
      </c>
      <c r="T2330" s="1" t="n">
        <v>1671.12</v>
      </c>
      <c r="U2330" s="1" t="n">
        <v>4068.31</v>
      </c>
      <c r="V2330" s="1" t="n">
        <v>70.88</v>
      </c>
      <c r="W2330" s="1" t="s">
        <v>40</v>
      </c>
      <c r="Y2330" s="1" t="s">
        <v>40</v>
      </c>
      <c r="Z2330" s="1" t="n">
        <v>1</v>
      </c>
    </row>
    <row r="2331" customFormat="false" ht="15" hidden="false" customHeight="true" outlineLevel="0" collapsed="false">
      <c r="A2331" s="1" t="s">
        <v>3203</v>
      </c>
      <c r="B2331" s="1" t="s">
        <v>3039</v>
      </c>
      <c r="C2331" s="1" t="s">
        <v>264</v>
      </c>
      <c r="D2331" s="1" t="s">
        <v>80</v>
      </c>
      <c r="E2331" s="1" t="s">
        <v>193</v>
      </c>
      <c r="F2331" s="1" t="s">
        <v>55</v>
      </c>
      <c r="G2331" s="1" t="s">
        <v>56</v>
      </c>
      <c r="H2331" s="1" t="s">
        <v>57</v>
      </c>
      <c r="I2331" s="1" t="s">
        <v>83</v>
      </c>
      <c r="J2331" s="1" t="s">
        <v>70</v>
      </c>
      <c r="K2331" s="1" t="s">
        <v>48</v>
      </c>
      <c r="L2331" s="1" t="s">
        <v>85</v>
      </c>
      <c r="M2331" s="1" t="s">
        <v>38</v>
      </c>
      <c r="N2331" s="1" t="n">
        <v>8999</v>
      </c>
      <c r="O2331" s="1" t="n">
        <v>0</v>
      </c>
      <c r="P2331" s="1" t="n">
        <v>0</v>
      </c>
      <c r="Q2331" s="1" t="n">
        <v>8999</v>
      </c>
      <c r="R2331" s="1" t="n">
        <v>1619.82</v>
      </c>
      <c r="S2331" s="1" t="n">
        <v>7379.18</v>
      </c>
      <c r="T2331" s="1" t="n">
        <v>3372.16</v>
      </c>
      <c r="U2331" s="1" t="n">
        <v>4007.02</v>
      </c>
      <c r="V2331" s="1" t="n">
        <v>54.3</v>
      </c>
      <c r="W2331" s="1" t="s">
        <v>39</v>
      </c>
      <c r="X2331" s="1" t="n">
        <v>4.1</v>
      </c>
      <c r="Y2331" s="1" t="s">
        <v>40</v>
      </c>
      <c r="Z2331" s="1" t="n">
        <v>0</v>
      </c>
    </row>
    <row r="2332" customFormat="false" ht="15" hidden="false" customHeight="true" outlineLevel="0" collapsed="false">
      <c r="A2332" s="1" t="s">
        <v>3204</v>
      </c>
      <c r="B2332" s="1" t="s">
        <v>3205</v>
      </c>
      <c r="C2332" s="1" t="s">
        <v>100</v>
      </c>
      <c r="D2332" s="1" t="s">
        <v>168</v>
      </c>
      <c r="E2332" s="1" t="s">
        <v>172</v>
      </c>
      <c r="F2332" s="1" t="s">
        <v>31</v>
      </c>
      <c r="G2332" s="1" t="s">
        <v>32</v>
      </c>
      <c r="H2332" s="1" t="s">
        <v>33</v>
      </c>
      <c r="I2332" s="1" t="s">
        <v>34</v>
      </c>
      <c r="J2332" s="1" t="s">
        <v>131</v>
      </c>
      <c r="K2332" s="1" t="s">
        <v>84</v>
      </c>
      <c r="L2332" s="1" t="s">
        <v>37</v>
      </c>
      <c r="M2332" s="1" t="s">
        <v>50</v>
      </c>
      <c r="N2332" s="1" t="n">
        <v>6999</v>
      </c>
      <c r="O2332" s="1" t="n">
        <v>0</v>
      </c>
      <c r="P2332" s="1" t="n">
        <v>0</v>
      </c>
      <c r="Q2332" s="1" t="n">
        <v>6999</v>
      </c>
      <c r="R2332" s="1" t="n">
        <v>1259.82</v>
      </c>
      <c r="S2332" s="1" t="n">
        <v>5739.18</v>
      </c>
      <c r="T2332" s="1" t="n">
        <v>2433.8</v>
      </c>
      <c r="U2332" s="1" t="n">
        <v>3305.38</v>
      </c>
      <c r="V2332" s="1" t="n">
        <v>57.59</v>
      </c>
      <c r="W2332" s="1" t="s">
        <v>39</v>
      </c>
      <c r="Y2332" s="1" t="s">
        <v>40</v>
      </c>
      <c r="Z2332" s="1" t="n">
        <v>0</v>
      </c>
    </row>
    <row r="2333" customFormat="false" ht="15" hidden="false" customHeight="true" outlineLevel="0" collapsed="false">
      <c r="A2333" s="1" t="s">
        <v>2847</v>
      </c>
      <c r="B2333" s="1" t="s">
        <v>965</v>
      </c>
      <c r="C2333" s="1" t="s">
        <v>74</v>
      </c>
      <c r="D2333" s="1" t="s">
        <v>80</v>
      </c>
      <c r="E2333" s="1" t="s">
        <v>81</v>
      </c>
      <c r="F2333" s="1" t="s">
        <v>89</v>
      </c>
      <c r="G2333" s="1" t="s">
        <v>68</v>
      </c>
      <c r="H2333" s="1" t="s">
        <v>33</v>
      </c>
      <c r="I2333" s="1" t="s">
        <v>34</v>
      </c>
      <c r="J2333" s="1" t="s">
        <v>77</v>
      </c>
      <c r="K2333" s="1" t="s">
        <v>48</v>
      </c>
      <c r="L2333" s="1" t="s">
        <v>49</v>
      </c>
      <c r="M2333" s="1" t="s">
        <v>62</v>
      </c>
      <c r="N2333" s="1" t="n">
        <v>12999</v>
      </c>
      <c r="O2333" s="1" t="n">
        <v>10</v>
      </c>
      <c r="P2333" s="1" t="n">
        <v>1299.9</v>
      </c>
      <c r="Q2333" s="1" t="n">
        <v>11699.1</v>
      </c>
      <c r="R2333" s="1" t="n">
        <v>2105.84</v>
      </c>
      <c r="S2333" s="1" t="n">
        <v>9593.26</v>
      </c>
      <c r="T2333" s="1" t="n">
        <v>4080.42</v>
      </c>
      <c r="U2333" s="1" t="n">
        <v>5512.84</v>
      </c>
      <c r="V2333" s="1" t="n">
        <v>57.47</v>
      </c>
      <c r="W2333" s="1" t="s">
        <v>39</v>
      </c>
      <c r="X2333" s="1" t="n">
        <v>4.1</v>
      </c>
      <c r="Y2333" s="1" t="s">
        <v>40</v>
      </c>
      <c r="Z2333" s="1" t="n">
        <v>1</v>
      </c>
    </row>
    <row r="2334" customFormat="false" ht="15" hidden="false" customHeight="true" outlineLevel="0" collapsed="false">
      <c r="A2334" s="1" t="s">
        <v>3206</v>
      </c>
      <c r="B2334" s="1" t="s">
        <v>1751</v>
      </c>
      <c r="C2334" s="1" t="s">
        <v>28</v>
      </c>
      <c r="D2334" s="1" t="s">
        <v>94</v>
      </c>
      <c r="E2334" s="1" t="s">
        <v>101</v>
      </c>
      <c r="F2334" s="1" t="s">
        <v>120</v>
      </c>
      <c r="G2334" s="1" t="s">
        <v>47</v>
      </c>
      <c r="H2334" s="1" t="s">
        <v>57</v>
      </c>
      <c r="I2334" s="1" t="s">
        <v>58</v>
      </c>
      <c r="J2334" s="1" t="s">
        <v>35</v>
      </c>
      <c r="K2334" s="1" t="s">
        <v>48</v>
      </c>
      <c r="L2334" s="1" t="s">
        <v>85</v>
      </c>
      <c r="M2334" s="1" t="s">
        <v>38</v>
      </c>
      <c r="N2334" s="1" t="n">
        <v>14999</v>
      </c>
      <c r="O2334" s="1" t="n">
        <v>15</v>
      </c>
      <c r="P2334" s="1" t="n">
        <v>2249.85</v>
      </c>
      <c r="Q2334" s="1" t="n">
        <v>12749.15</v>
      </c>
      <c r="R2334" s="1" t="n">
        <v>2294.85</v>
      </c>
      <c r="S2334" s="1" t="n">
        <v>10454.3</v>
      </c>
      <c r="T2334" s="1" t="n">
        <v>5439.22</v>
      </c>
      <c r="U2334" s="1" t="n">
        <v>5015.08</v>
      </c>
      <c r="V2334" s="1" t="n">
        <v>47.97</v>
      </c>
      <c r="W2334" s="1" t="s">
        <v>39</v>
      </c>
      <c r="X2334" s="1" t="n">
        <v>3.5</v>
      </c>
      <c r="Y2334" s="1" t="s">
        <v>40</v>
      </c>
      <c r="Z2334" s="1" t="n">
        <v>1</v>
      </c>
    </row>
    <row r="2335" customFormat="false" ht="15" hidden="false" customHeight="true" outlineLevel="0" collapsed="false">
      <c r="A2335" s="1" t="s">
        <v>3207</v>
      </c>
      <c r="B2335" s="1" t="s">
        <v>1002</v>
      </c>
      <c r="C2335" s="1" t="s">
        <v>65</v>
      </c>
      <c r="D2335" s="1" t="s">
        <v>53</v>
      </c>
      <c r="E2335" s="1" t="s">
        <v>216</v>
      </c>
      <c r="F2335" s="1" t="s">
        <v>75</v>
      </c>
      <c r="G2335" s="1" t="s">
        <v>76</v>
      </c>
      <c r="H2335" s="1" t="s">
        <v>69</v>
      </c>
      <c r="I2335" s="1" t="s">
        <v>58</v>
      </c>
      <c r="J2335" s="1" t="s">
        <v>59</v>
      </c>
      <c r="K2335" s="1" t="s">
        <v>71</v>
      </c>
      <c r="L2335" s="1" t="s">
        <v>61</v>
      </c>
      <c r="M2335" s="1" t="s">
        <v>50</v>
      </c>
      <c r="N2335" s="1" t="n">
        <v>7499</v>
      </c>
      <c r="O2335" s="1" t="n">
        <v>10</v>
      </c>
      <c r="P2335" s="1" t="n">
        <v>749.9</v>
      </c>
      <c r="Q2335" s="1" t="n">
        <v>6749.1</v>
      </c>
      <c r="R2335" s="1" t="n">
        <v>1214.84</v>
      </c>
      <c r="S2335" s="1" t="n">
        <v>5534.26</v>
      </c>
      <c r="T2335" s="1" t="n">
        <v>2443.14</v>
      </c>
      <c r="U2335" s="1" t="n">
        <v>3091.12</v>
      </c>
      <c r="V2335" s="1" t="n">
        <v>55.85</v>
      </c>
      <c r="W2335" s="1" t="s">
        <v>39</v>
      </c>
      <c r="X2335" s="1" t="n">
        <v>3.5</v>
      </c>
      <c r="Y2335" s="1" t="s">
        <v>40</v>
      </c>
      <c r="Z2335" s="1" t="n">
        <v>0</v>
      </c>
    </row>
    <row r="2336" customFormat="false" ht="15" hidden="false" customHeight="true" outlineLevel="0" collapsed="false">
      <c r="A2336" s="1" t="s">
        <v>3208</v>
      </c>
      <c r="B2336" s="1" t="s">
        <v>999</v>
      </c>
      <c r="C2336" s="1" t="s">
        <v>516</v>
      </c>
      <c r="D2336" s="1" t="s">
        <v>80</v>
      </c>
      <c r="E2336" s="1" t="s">
        <v>175</v>
      </c>
      <c r="F2336" s="1" t="s">
        <v>120</v>
      </c>
      <c r="G2336" s="1" t="s">
        <v>47</v>
      </c>
      <c r="H2336" s="1" t="s">
        <v>57</v>
      </c>
      <c r="I2336" s="1" t="s">
        <v>83</v>
      </c>
      <c r="J2336" s="1" t="s">
        <v>35</v>
      </c>
      <c r="K2336" s="1" t="s">
        <v>36</v>
      </c>
      <c r="L2336" s="1" t="s">
        <v>136</v>
      </c>
      <c r="M2336" s="1" t="s">
        <v>50</v>
      </c>
      <c r="N2336" s="1" t="n">
        <v>19999</v>
      </c>
      <c r="O2336" s="1" t="n">
        <v>0</v>
      </c>
      <c r="P2336" s="1" t="n">
        <v>0</v>
      </c>
      <c r="Q2336" s="1" t="n">
        <v>19999</v>
      </c>
      <c r="R2336" s="1" t="n">
        <v>3599.82</v>
      </c>
      <c r="S2336" s="1" t="n">
        <v>16399.18</v>
      </c>
      <c r="T2336" s="1" t="n">
        <v>6875.73</v>
      </c>
      <c r="U2336" s="1" t="n">
        <v>9523.45</v>
      </c>
      <c r="V2336" s="1" t="n">
        <v>58.07</v>
      </c>
      <c r="W2336" s="1" t="s">
        <v>40</v>
      </c>
      <c r="Y2336" s="1" t="s">
        <v>40</v>
      </c>
      <c r="Z2336" s="1" t="n">
        <v>1</v>
      </c>
    </row>
    <row r="2337" customFormat="false" ht="15" hidden="false" customHeight="true" outlineLevel="0" collapsed="false">
      <c r="A2337" s="1" t="s">
        <v>3209</v>
      </c>
      <c r="B2337" s="1" t="s">
        <v>2041</v>
      </c>
      <c r="C2337" s="1" t="s">
        <v>128</v>
      </c>
      <c r="D2337" s="1" t="s">
        <v>80</v>
      </c>
      <c r="E2337" s="1" t="s">
        <v>190</v>
      </c>
      <c r="F2337" s="1" t="s">
        <v>107</v>
      </c>
      <c r="G2337" s="1" t="s">
        <v>108</v>
      </c>
      <c r="H2337" s="1" t="s">
        <v>33</v>
      </c>
      <c r="I2337" s="1" t="s">
        <v>34</v>
      </c>
      <c r="J2337" s="1" t="s">
        <v>59</v>
      </c>
      <c r="K2337" s="1" t="s">
        <v>71</v>
      </c>
      <c r="L2337" s="1" t="s">
        <v>61</v>
      </c>
      <c r="M2337" s="1" t="s">
        <v>38</v>
      </c>
      <c r="N2337" s="1" t="n">
        <v>15999</v>
      </c>
      <c r="O2337" s="1" t="n">
        <v>10</v>
      </c>
      <c r="P2337" s="1" t="n">
        <v>1599.9</v>
      </c>
      <c r="Q2337" s="1" t="n">
        <v>14399.1</v>
      </c>
      <c r="R2337" s="1" t="n">
        <v>2591.84</v>
      </c>
      <c r="S2337" s="1" t="n">
        <v>11807.26</v>
      </c>
      <c r="T2337" s="1" t="n">
        <v>4834.16</v>
      </c>
      <c r="U2337" s="1" t="n">
        <v>6973.1</v>
      </c>
      <c r="V2337" s="1" t="n">
        <v>59.06</v>
      </c>
      <c r="W2337" s="1" t="s">
        <v>40</v>
      </c>
      <c r="Y2337" s="1" t="s">
        <v>40</v>
      </c>
      <c r="Z2337" s="1" t="n">
        <v>0</v>
      </c>
    </row>
    <row r="2338" customFormat="false" ht="15" hidden="false" customHeight="true" outlineLevel="0" collapsed="false">
      <c r="A2338" s="1" t="s">
        <v>3210</v>
      </c>
      <c r="B2338" s="1" t="s">
        <v>616</v>
      </c>
      <c r="C2338" s="1" t="s">
        <v>119</v>
      </c>
      <c r="D2338" s="1" t="s">
        <v>80</v>
      </c>
      <c r="E2338" s="1" t="s">
        <v>81</v>
      </c>
      <c r="F2338" s="1" t="s">
        <v>89</v>
      </c>
      <c r="G2338" s="1" t="s">
        <v>68</v>
      </c>
      <c r="H2338" s="1" t="s">
        <v>33</v>
      </c>
      <c r="I2338" s="1" t="s">
        <v>34</v>
      </c>
      <c r="J2338" s="1" t="s">
        <v>70</v>
      </c>
      <c r="K2338" s="1" t="s">
        <v>60</v>
      </c>
      <c r="L2338" s="1" t="s">
        <v>85</v>
      </c>
      <c r="M2338" s="1" t="s">
        <v>62</v>
      </c>
      <c r="N2338" s="1" t="n">
        <v>12999</v>
      </c>
      <c r="O2338" s="1" t="n">
        <v>40</v>
      </c>
      <c r="P2338" s="1" t="n">
        <v>5199.6</v>
      </c>
      <c r="Q2338" s="1" t="n">
        <v>7799.4</v>
      </c>
      <c r="R2338" s="1" t="n">
        <v>1403.89</v>
      </c>
      <c r="S2338" s="1" t="n">
        <v>6395.51</v>
      </c>
      <c r="T2338" s="1" t="n">
        <v>3874.62</v>
      </c>
      <c r="U2338" s="1" t="n">
        <v>2520.89</v>
      </c>
      <c r="V2338" s="1" t="n">
        <v>39.42</v>
      </c>
      <c r="W2338" s="1" t="s">
        <v>39</v>
      </c>
      <c r="X2338" s="1" t="n">
        <v>4.2</v>
      </c>
      <c r="Y2338" s="1" t="s">
        <v>40</v>
      </c>
      <c r="Z2338" s="1" t="n">
        <v>0</v>
      </c>
    </row>
    <row r="2339" customFormat="false" ht="15" hidden="false" customHeight="true" outlineLevel="0" collapsed="false">
      <c r="A2339" s="1" t="s">
        <v>3211</v>
      </c>
      <c r="B2339" s="1" t="s">
        <v>209</v>
      </c>
      <c r="C2339" s="1" t="s">
        <v>128</v>
      </c>
      <c r="D2339" s="1" t="s">
        <v>53</v>
      </c>
      <c r="E2339" s="1" t="s">
        <v>216</v>
      </c>
      <c r="F2339" s="1" t="s">
        <v>120</v>
      </c>
      <c r="G2339" s="1" t="s">
        <v>47</v>
      </c>
      <c r="H2339" s="1" t="s">
        <v>57</v>
      </c>
      <c r="I2339" s="1" t="s">
        <v>34</v>
      </c>
      <c r="J2339" s="1" t="s">
        <v>131</v>
      </c>
      <c r="K2339" s="1" t="s">
        <v>71</v>
      </c>
      <c r="L2339" s="1" t="s">
        <v>37</v>
      </c>
      <c r="M2339" s="1" t="s">
        <v>62</v>
      </c>
      <c r="N2339" s="1" t="n">
        <v>7499</v>
      </c>
      <c r="O2339" s="1" t="n">
        <v>10</v>
      </c>
      <c r="P2339" s="1" t="n">
        <v>749.9</v>
      </c>
      <c r="Q2339" s="1" t="n">
        <v>6749.1</v>
      </c>
      <c r="R2339" s="1" t="n">
        <v>1214.84</v>
      </c>
      <c r="S2339" s="1" t="n">
        <v>5534.26</v>
      </c>
      <c r="T2339" s="1" t="n">
        <v>2546.24</v>
      </c>
      <c r="U2339" s="1" t="n">
        <v>2988.02</v>
      </c>
      <c r="V2339" s="1" t="n">
        <v>53.99</v>
      </c>
      <c r="W2339" s="1" t="s">
        <v>39</v>
      </c>
      <c r="X2339" s="1" t="n">
        <v>3.8</v>
      </c>
      <c r="Y2339" s="1" t="s">
        <v>40</v>
      </c>
      <c r="Z2339" s="1" t="n">
        <v>0</v>
      </c>
    </row>
    <row r="2340" customFormat="false" ht="15" hidden="false" customHeight="true" outlineLevel="0" collapsed="false">
      <c r="A2340" s="1" t="s">
        <v>3212</v>
      </c>
      <c r="B2340" s="1" t="s">
        <v>1170</v>
      </c>
      <c r="C2340" s="1" t="s">
        <v>249</v>
      </c>
      <c r="D2340" s="1" t="s">
        <v>94</v>
      </c>
      <c r="E2340" s="1" t="s">
        <v>101</v>
      </c>
      <c r="F2340" s="1" t="s">
        <v>89</v>
      </c>
      <c r="G2340" s="1" t="s">
        <v>68</v>
      </c>
      <c r="H2340" s="1" t="s">
        <v>33</v>
      </c>
      <c r="I2340" s="1" t="s">
        <v>34</v>
      </c>
      <c r="J2340" s="1" t="s">
        <v>77</v>
      </c>
      <c r="K2340" s="1" t="s">
        <v>60</v>
      </c>
      <c r="L2340" s="1" t="s">
        <v>37</v>
      </c>
      <c r="M2340" s="1" t="s">
        <v>50</v>
      </c>
      <c r="N2340" s="1" t="n">
        <v>14999</v>
      </c>
      <c r="O2340" s="1" t="n">
        <v>10</v>
      </c>
      <c r="P2340" s="1" t="n">
        <v>1499.9</v>
      </c>
      <c r="Q2340" s="1" t="n">
        <v>13499.1</v>
      </c>
      <c r="R2340" s="1" t="n">
        <v>2429.84</v>
      </c>
      <c r="S2340" s="1" t="n">
        <v>11069.26</v>
      </c>
      <c r="T2340" s="1" t="n">
        <v>5519.38</v>
      </c>
      <c r="U2340" s="1" t="n">
        <v>5549.88</v>
      </c>
      <c r="V2340" s="1" t="n">
        <v>50.14</v>
      </c>
      <c r="W2340" s="1" t="s">
        <v>39</v>
      </c>
      <c r="X2340" s="1" t="n">
        <v>3.9</v>
      </c>
      <c r="Y2340" s="1" t="s">
        <v>40</v>
      </c>
      <c r="Z2340" s="1" t="n">
        <v>0</v>
      </c>
    </row>
    <row r="2341" customFormat="false" ht="15" hidden="false" customHeight="true" outlineLevel="0" collapsed="false">
      <c r="A2341" s="1" t="s">
        <v>3213</v>
      </c>
      <c r="B2341" s="1" t="s">
        <v>1266</v>
      </c>
      <c r="C2341" s="1" t="s">
        <v>93</v>
      </c>
      <c r="D2341" s="1" t="s">
        <v>53</v>
      </c>
      <c r="E2341" s="1" t="s">
        <v>54</v>
      </c>
      <c r="F2341" s="1" t="s">
        <v>46</v>
      </c>
      <c r="G2341" s="1" t="s">
        <v>47</v>
      </c>
      <c r="H2341" s="1" t="s">
        <v>33</v>
      </c>
      <c r="I2341" s="1" t="s">
        <v>83</v>
      </c>
      <c r="J2341" s="1" t="s">
        <v>131</v>
      </c>
      <c r="K2341" s="1" t="s">
        <v>48</v>
      </c>
      <c r="L2341" s="1" t="s">
        <v>37</v>
      </c>
      <c r="M2341" s="1" t="s">
        <v>62</v>
      </c>
      <c r="N2341" s="1" t="n">
        <v>11999</v>
      </c>
      <c r="O2341" s="1" t="n">
        <v>0</v>
      </c>
      <c r="P2341" s="1" t="n">
        <v>0</v>
      </c>
      <c r="Q2341" s="1" t="n">
        <v>11999</v>
      </c>
      <c r="R2341" s="1" t="n">
        <v>2159.82</v>
      </c>
      <c r="S2341" s="1" t="n">
        <v>9839.18</v>
      </c>
      <c r="T2341" s="1" t="n">
        <v>5090.12</v>
      </c>
      <c r="U2341" s="1" t="n">
        <v>4749.06</v>
      </c>
      <c r="V2341" s="1" t="n">
        <v>48.27</v>
      </c>
      <c r="W2341" s="1" t="s">
        <v>40</v>
      </c>
      <c r="Y2341" s="1" t="s">
        <v>40</v>
      </c>
      <c r="Z2341" s="1" t="n">
        <v>1</v>
      </c>
    </row>
    <row r="2342" customFormat="false" ht="15" hidden="false" customHeight="true" outlineLevel="0" collapsed="false">
      <c r="A2342" s="1" t="s">
        <v>3214</v>
      </c>
      <c r="B2342" s="1" t="s">
        <v>406</v>
      </c>
      <c r="C2342" s="1" t="s">
        <v>100</v>
      </c>
      <c r="D2342" s="1" t="s">
        <v>44</v>
      </c>
      <c r="E2342" s="1" t="s">
        <v>221</v>
      </c>
      <c r="F2342" s="1" t="s">
        <v>150</v>
      </c>
      <c r="G2342" s="1" t="s">
        <v>32</v>
      </c>
      <c r="H2342" s="1" t="s">
        <v>57</v>
      </c>
      <c r="I2342" s="1" t="s">
        <v>58</v>
      </c>
      <c r="J2342" s="1" t="s">
        <v>70</v>
      </c>
      <c r="K2342" s="1" t="s">
        <v>112</v>
      </c>
      <c r="L2342" s="1" t="s">
        <v>49</v>
      </c>
      <c r="M2342" s="1" t="s">
        <v>38</v>
      </c>
      <c r="N2342" s="1" t="n">
        <v>16999</v>
      </c>
      <c r="O2342" s="1" t="n">
        <v>15</v>
      </c>
      <c r="P2342" s="1" t="n">
        <v>2549.85</v>
      </c>
      <c r="Q2342" s="1" t="n">
        <v>14449.15</v>
      </c>
      <c r="R2342" s="1" t="n">
        <v>2600.85</v>
      </c>
      <c r="S2342" s="1" t="n">
        <v>11848.3</v>
      </c>
      <c r="T2342" s="1" t="n">
        <v>6032.75</v>
      </c>
      <c r="U2342" s="1" t="n">
        <v>5815.55</v>
      </c>
      <c r="V2342" s="1" t="n">
        <v>49.08</v>
      </c>
      <c r="W2342" s="1" t="s">
        <v>39</v>
      </c>
      <c r="Y2342" s="1" t="s">
        <v>40</v>
      </c>
      <c r="Z2342" s="1" t="n">
        <v>1</v>
      </c>
    </row>
    <row r="2343" customFormat="false" ht="15" hidden="false" customHeight="true" outlineLevel="0" collapsed="false">
      <c r="A2343" s="1" t="s">
        <v>3215</v>
      </c>
      <c r="B2343" s="1" t="s">
        <v>868</v>
      </c>
      <c r="C2343" s="1" t="s">
        <v>100</v>
      </c>
      <c r="D2343" s="1" t="s">
        <v>53</v>
      </c>
      <c r="E2343" s="1" t="s">
        <v>216</v>
      </c>
      <c r="F2343" s="1" t="s">
        <v>153</v>
      </c>
      <c r="G2343" s="1" t="s">
        <v>76</v>
      </c>
      <c r="H2343" s="1" t="s">
        <v>33</v>
      </c>
      <c r="I2343" s="1" t="s">
        <v>83</v>
      </c>
      <c r="J2343" s="1" t="s">
        <v>131</v>
      </c>
      <c r="K2343" s="1" t="s">
        <v>36</v>
      </c>
      <c r="L2343" s="1" t="s">
        <v>136</v>
      </c>
      <c r="M2343" s="1" t="s">
        <v>50</v>
      </c>
      <c r="N2343" s="1" t="n">
        <v>7499</v>
      </c>
      <c r="O2343" s="1" t="n">
        <v>0</v>
      </c>
      <c r="P2343" s="1" t="n">
        <v>0</v>
      </c>
      <c r="Q2343" s="1" t="n">
        <v>7499</v>
      </c>
      <c r="R2343" s="1" t="n">
        <v>1349.82</v>
      </c>
      <c r="S2343" s="1" t="n">
        <v>6149.18</v>
      </c>
      <c r="T2343" s="1" t="n">
        <v>2694.05</v>
      </c>
      <c r="U2343" s="1" t="n">
        <v>3455.13</v>
      </c>
      <c r="V2343" s="1" t="n">
        <v>56.19</v>
      </c>
      <c r="W2343" s="1" t="s">
        <v>39</v>
      </c>
      <c r="X2343" s="1" t="n">
        <v>4.2</v>
      </c>
      <c r="Y2343" s="1" t="s">
        <v>40</v>
      </c>
      <c r="Z2343" s="1" t="n">
        <v>0</v>
      </c>
    </row>
    <row r="2344" customFormat="false" ht="15" hidden="false" customHeight="true" outlineLevel="0" collapsed="false">
      <c r="A2344" s="1" t="s">
        <v>3216</v>
      </c>
      <c r="B2344" s="1" t="s">
        <v>774</v>
      </c>
      <c r="C2344" s="1" t="s">
        <v>249</v>
      </c>
      <c r="D2344" s="1" t="s">
        <v>168</v>
      </c>
      <c r="E2344" s="1" t="s">
        <v>172</v>
      </c>
      <c r="F2344" s="1" t="s">
        <v>153</v>
      </c>
      <c r="G2344" s="1" t="s">
        <v>76</v>
      </c>
      <c r="H2344" s="1" t="s">
        <v>33</v>
      </c>
      <c r="I2344" s="1" t="s">
        <v>83</v>
      </c>
      <c r="J2344" s="1" t="s">
        <v>70</v>
      </c>
      <c r="K2344" s="1" t="s">
        <v>71</v>
      </c>
      <c r="L2344" s="1" t="s">
        <v>37</v>
      </c>
      <c r="M2344" s="1" t="s">
        <v>62</v>
      </c>
      <c r="N2344" s="1" t="n">
        <v>6999</v>
      </c>
      <c r="O2344" s="1" t="n">
        <v>0</v>
      </c>
      <c r="P2344" s="1" t="n">
        <v>0</v>
      </c>
      <c r="Q2344" s="1" t="n">
        <v>6999</v>
      </c>
      <c r="R2344" s="1" t="n">
        <v>1259.82</v>
      </c>
      <c r="S2344" s="1" t="n">
        <v>5739.18</v>
      </c>
      <c r="T2344" s="1" t="n">
        <v>2403.7</v>
      </c>
      <c r="U2344" s="1" t="n">
        <v>3335.48</v>
      </c>
      <c r="V2344" s="1" t="n">
        <v>58.12</v>
      </c>
      <c r="W2344" s="1" t="s">
        <v>40</v>
      </c>
      <c r="Y2344" s="1" t="s">
        <v>40</v>
      </c>
      <c r="Z2344" s="1" t="n">
        <v>0</v>
      </c>
    </row>
    <row r="2345" customFormat="false" ht="15" hidden="false" customHeight="true" outlineLevel="0" collapsed="false">
      <c r="A2345" s="1" t="s">
        <v>3217</v>
      </c>
      <c r="B2345" s="1" t="s">
        <v>2923</v>
      </c>
      <c r="C2345" s="1" t="s">
        <v>88</v>
      </c>
      <c r="D2345" s="1" t="s">
        <v>53</v>
      </c>
      <c r="E2345" s="1" t="s">
        <v>54</v>
      </c>
      <c r="F2345" s="1" t="s">
        <v>184</v>
      </c>
      <c r="G2345" s="1" t="s">
        <v>56</v>
      </c>
      <c r="H2345" s="1" t="s">
        <v>57</v>
      </c>
      <c r="I2345" s="1" t="s">
        <v>83</v>
      </c>
      <c r="J2345" s="1" t="s">
        <v>35</v>
      </c>
      <c r="K2345" s="1" t="s">
        <v>60</v>
      </c>
      <c r="L2345" s="1" t="s">
        <v>136</v>
      </c>
      <c r="M2345" s="1" t="s">
        <v>62</v>
      </c>
      <c r="N2345" s="1" t="n">
        <v>11999</v>
      </c>
      <c r="O2345" s="1" t="n">
        <v>10</v>
      </c>
      <c r="P2345" s="1" t="n">
        <v>1199.9</v>
      </c>
      <c r="Q2345" s="1" t="n">
        <v>10799.1</v>
      </c>
      <c r="R2345" s="1" t="n">
        <v>1943.84</v>
      </c>
      <c r="S2345" s="1" t="n">
        <v>8855.26</v>
      </c>
      <c r="T2345" s="1" t="n">
        <v>4417.81</v>
      </c>
      <c r="U2345" s="1" t="n">
        <v>4437.45</v>
      </c>
      <c r="V2345" s="1" t="n">
        <v>50.11</v>
      </c>
      <c r="W2345" s="1" t="s">
        <v>40</v>
      </c>
      <c r="Y2345" s="1" t="s">
        <v>39</v>
      </c>
      <c r="Z2345" s="1" t="n">
        <v>0</v>
      </c>
    </row>
    <row r="2346" customFormat="false" ht="15" hidden="false" customHeight="true" outlineLevel="0" collapsed="false">
      <c r="A2346" s="1" t="s">
        <v>3218</v>
      </c>
      <c r="B2346" s="1" t="s">
        <v>1486</v>
      </c>
      <c r="C2346" s="1" t="s">
        <v>88</v>
      </c>
      <c r="D2346" s="1" t="s">
        <v>29</v>
      </c>
      <c r="E2346" s="1" t="s">
        <v>30</v>
      </c>
      <c r="F2346" s="1" t="s">
        <v>205</v>
      </c>
      <c r="G2346" s="1" t="s">
        <v>56</v>
      </c>
      <c r="H2346" s="1" t="s">
        <v>69</v>
      </c>
      <c r="I2346" s="1" t="s">
        <v>34</v>
      </c>
      <c r="J2346" s="1" t="s">
        <v>77</v>
      </c>
      <c r="K2346" s="1" t="s">
        <v>60</v>
      </c>
      <c r="L2346" s="1" t="s">
        <v>61</v>
      </c>
      <c r="M2346" s="1" t="s">
        <v>50</v>
      </c>
      <c r="N2346" s="1" t="n">
        <v>7999</v>
      </c>
      <c r="O2346" s="1" t="n">
        <v>10</v>
      </c>
      <c r="P2346" s="1" t="n">
        <v>799.9</v>
      </c>
      <c r="Q2346" s="1" t="n">
        <v>7199.1</v>
      </c>
      <c r="R2346" s="1" t="n">
        <v>1295.84</v>
      </c>
      <c r="S2346" s="1" t="n">
        <v>5903.26</v>
      </c>
      <c r="T2346" s="1" t="n">
        <v>2218.39</v>
      </c>
      <c r="U2346" s="1" t="n">
        <v>3684.87</v>
      </c>
      <c r="V2346" s="1" t="n">
        <v>62.42</v>
      </c>
      <c r="W2346" s="1" t="s">
        <v>40</v>
      </c>
      <c r="Y2346" s="1" t="s">
        <v>39</v>
      </c>
      <c r="Z2346" s="1" t="n">
        <v>0</v>
      </c>
    </row>
    <row r="2347" customFormat="false" ht="15" hidden="false" customHeight="true" outlineLevel="0" collapsed="false">
      <c r="A2347" s="1" t="s">
        <v>3219</v>
      </c>
      <c r="B2347" s="1" t="s">
        <v>598</v>
      </c>
      <c r="C2347" s="1" t="s">
        <v>178</v>
      </c>
      <c r="D2347" s="1" t="s">
        <v>53</v>
      </c>
      <c r="E2347" s="1" t="s">
        <v>116</v>
      </c>
      <c r="F2347" s="1" t="s">
        <v>153</v>
      </c>
      <c r="G2347" s="1" t="s">
        <v>76</v>
      </c>
      <c r="H2347" s="1" t="s">
        <v>33</v>
      </c>
      <c r="I2347" s="1" t="s">
        <v>83</v>
      </c>
      <c r="J2347" s="1" t="s">
        <v>131</v>
      </c>
      <c r="K2347" s="1" t="s">
        <v>84</v>
      </c>
      <c r="L2347" s="1" t="s">
        <v>61</v>
      </c>
      <c r="M2347" s="1" t="s">
        <v>62</v>
      </c>
      <c r="N2347" s="1" t="n">
        <v>9999</v>
      </c>
      <c r="O2347" s="1" t="n">
        <v>15</v>
      </c>
      <c r="P2347" s="1" t="n">
        <v>1499.85</v>
      </c>
      <c r="Q2347" s="1" t="n">
        <v>8499.15</v>
      </c>
      <c r="R2347" s="1" t="n">
        <v>1529.85</v>
      </c>
      <c r="S2347" s="1" t="n">
        <v>6969.3</v>
      </c>
      <c r="T2347" s="1" t="n">
        <v>3610.82</v>
      </c>
      <c r="U2347" s="1" t="n">
        <v>3358.48</v>
      </c>
      <c r="V2347" s="1" t="n">
        <v>48.19</v>
      </c>
      <c r="W2347" s="1" t="s">
        <v>39</v>
      </c>
      <c r="X2347" s="1" t="n">
        <v>4.8</v>
      </c>
      <c r="Y2347" s="1" t="s">
        <v>40</v>
      </c>
      <c r="Z2347" s="1" t="n">
        <v>1</v>
      </c>
    </row>
    <row r="2348" customFormat="false" ht="15" hidden="false" customHeight="true" outlineLevel="0" collapsed="false">
      <c r="A2348" s="1" t="s">
        <v>3220</v>
      </c>
      <c r="B2348" s="1" t="s">
        <v>279</v>
      </c>
      <c r="C2348" s="1" t="s">
        <v>249</v>
      </c>
      <c r="D2348" s="1" t="s">
        <v>80</v>
      </c>
      <c r="E2348" s="1" t="s">
        <v>81</v>
      </c>
      <c r="F2348" s="1" t="s">
        <v>31</v>
      </c>
      <c r="G2348" s="1" t="s">
        <v>32</v>
      </c>
      <c r="H2348" s="1" t="s">
        <v>33</v>
      </c>
      <c r="I2348" s="1" t="s">
        <v>58</v>
      </c>
      <c r="J2348" s="1" t="s">
        <v>35</v>
      </c>
      <c r="K2348" s="1" t="s">
        <v>36</v>
      </c>
      <c r="L2348" s="1" t="s">
        <v>37</v>
      </c>
      <c r="M2348" s="1" t="s">
        <v>62</v>
      </c>
      <c r="N2348" s="1" t="n">
        <v>12999</v>
      </c>
      <c r="O2348" s="1" t="n">
        <v>0</v>
      </c>
      <c r="P2348" s="1" t="n">
        <v>0</v>
      </c>
      <c r="Q2348" s="1" t="n">
        <v>12999</v>
      </c>
      <c r="R2348" s="1" t="n">
        <v>2339.82</v>
      </c>
      <c r="S2348" s="1" t="n">
        <v>10659.18</v>
      </c>
      <c r="T2348" s="1" t="n">
        <v>4195.55</v>
      </c>
      <c r="U2348" s="1" t="n">
        <v>6463.63</v>
      </c>
      <c r="V2348" s="1" t="n">
        <v>60.64</v>
      </c>
      <c r="W2348" s="1" t="s">
        <v>40</v>
      </c>
      <c r="Y2348" s="1" t="s">
        <v>39</v>
      </c>
      <c r="Z2348" s="1" t="n">
        <v>1</v>
      </c>
    </row>
    <row r="2349" customFormat="false" ht="15" hidden="false" customHeight="true" outlineLevel="0" collapsed="false">
      <c r="A2349" s="1" t="s">
        <v>3221</v>
      </c>
      <c r="B2349" s="1" t="s">
        <v>1500</v>
      </c>
      <c r="C2349" s="1" t="s">
        <v>139</v>
      </c>
      <c r="D2349" s="1" t="s">
        <v>123</v>
      </c>
      <c r="E2349" s="1" t="s">
        <v>233</v>
      </c>
      <c r="F2349" s="1" t="s">
        <v>156</v>
      </c>
      <c r="G2349" s="1" t="s">
        <v>68</v>
      </c>
      <c r="H2349" s="1" t="s">
        <v>57</v>
      </c>
      <c r="I2349" s="1" t="s">
        <v>34</v>
      </c>
      <c r="J2349" s="1" t="s">
        <v>131</v>
      </c>
      <c r="K2349" s="1" t="s">
        <v>71</v>
      </c>
      <c r="L2349" s="1" t="s">
        <v>61</v>
      </c>
      <c r="M2349" s="1" t="s">
        <v>62</v>
      </c>
      <c r="N2349" s="1" t="n">
        <v>8999</v>
      </c>
      <c r="O2349" s="1" t="n">
        <v>10</v>
      </c>
      <c r="P2349" s="1" t="n">
        <v>899.9</v>
      </c>
      <c r="Q2349" s="1" t="n">
        <v>8099.1</v>
      </c>
      <c r="R2349" s="1" t="n">
        <v>1457.84</v>
      </c>
      <c r="S2349" s="1" t="n">
        <v>6641.26</v>
      </c>
      <c r="T2349" s="1" t="n">
        <v>3295.35</v>
      </c>
      <c r="U2349" s="1" t="n">
        <v>3345.91</v>
      </c>
      <c r="V2349" s="1" t="n">
        <v>50.38</v>
      </c>
      <c r="W2349" s="1" t="s">
        <v>39</v>
      </c>
      <c r="Y2349" s="1" t="s">
        <v>40</v>
      </c>
      <c r="Z2349" s="1" t="n">
        <v>0</v>
      </c>
    </row>
    <row r="2350" customFormat="false" ht="15" hidden="false" customHeight="true" outlineLevel="0" collapsed="false">
      <c r="A2350" s="1" t="s">
        <v>3222</v>
      </c>
      <c r="B2350" s="1" t="s">
        <v>1488</v>
      </c>
      <c r="C2350" s="1" t="s">
        <v>264</v>
      </c>
      <c r="D2350" s="1" t="s">
        <v>168</v>
      </c>
      <c r="E2350" s="1" t="s">
        <v>328</v>
      </c>
      <c r="F2350" s="1" t="s">
        <v>205</v>
      </c>
      <c r="G2350" s="1" t="s">
        <v>56</v>
      </c>
      <c r="H2350" s="1" t="s">
        <v>69</v>
      </c>
      <c r="I2350" s="1" t="s">
        <v>34</v>
      </c>
      <c r="J2350" s="1" t="s">
        <v>59</v>
      </c>
      <c r="K2350" s="1" t="s">
        <v>36</v>
      </c>
      <c r="L2350" s="1" t="s">
        <v>85</v>
      </c>
      <c r="M2350" s="1" t="s">
        <v>50</v>
      </c>
      <c r="N2350" s="1" t="n">
        <v>8999</v>
      </c>
      <c r="O2350" s="1" t="n">
        <v>0</v>
      </c>
      <c r="P2350" s="1" t="n">
        <v>0</v>
      </c>
      <c r="Q2350" s="1" t="n">
        <v>8999</v>
      </c>
      <c r="R2350" s="1" t="n">
        <v>1619.82</v>
      </c>
      <c r="S2350" s="1" t="n">
        <v>7379.18</v>
      </c>
      <c r="T2350" s="1" t="n">
        <v>2737.87</v>
      </c>
      <c r="U2350" s="1" t="n">
        <v>4641.31</v>
      </c>
      <c r="V2350" s="1" t="n">
        <v>62.9</v>
      </c>
      <c r="W2350" s="1" t="s">
        <v>39</v>
      </c>
      <c r="X2350" s="1" t="n">
        <v>3.8</v>
      </c>
      <c r="Y2350" s="1" t="s">
        <v>40</v>
      </c>
      <c r="Z2350" s="1" t="n">
        <v>1</v>
      </c>
    </row>
    <row r="2351" customFormat="false" ht="15" hidden="false" customHeight="true" outlineLevel="0" collapsed="false">
      <c r="A2351" s="1" t="s">
        <v>3223</v>
      </c>
      <c r="B2351" s="1" t="s">
        <v>315</v>
      </c>
      <c r="C2351" s="1" t="s">
        <v>139</v>
      </c>
      <c r="D2351" s="1" t="s">
        <v>123</v>
      </c>
      <c r="E2351" s="1" t="s">
        <v>124</v>
      </c>
      <c r="F2351" s="1" t="s">
        <v>96</v>
      </c>
      <c r="G2351" s="1" t="s">
        <v>97</v>
      </c>
      <c r="H2351" s="1" t="s">
        <v>69</v>
      </c>
      <c r="I2351" s="1" t="s">
        <v>34</v>
      </c>
      <c r="J2351" s="1" t="s">
        <v>59</v>
      </c>
      <c r="K2351" s="1" t="s">
        <v>90</v>
      </c>
      <c r="L2351" s="1" t="s">
        <v>37</v>
      </c>
      <c r="M2351" s="1" t="s">
        <v>38</v>
      </c>
      <c r="N2351" s="1" t="n">
        <v>4999</v>
      </c>
      <c r="O2351" s="1" t="n">
        <v>5</v>
      </c>
      <c r="P2351" s="1" t="n">
        <v>249.95</v>
      </c>
      <c r="Q2351" s="1" t="n">
        <v>4749.05</v>
      </c>
      <c r="R2351" s="1" t="n">
        <v>854.83</v>
      </c>
      <c r="S2351" s="1" t="n">
        <v>3894.22</v>
      </c>
      <c r="T2351" s="1" t="n">
        <v>1377.67</v>
      </c>
      <c r="U2351" s="1" t="n">
        <v>2516.55</v>
      </c>
      <c r="V2351" s="1" t="n">
        <v>64.62</v>
      </c>
      <c r="W2351" s="1" t="s">
        <v>39</v>
      </c>
      <c r="X2351" s="1" t="n">
        <v>3.5</v>
      </c>
      <c r="Y2351" s="1" t="s">
        <v>40</v>
      </c>
      <c r="Z2351" s="1" t="n">
        <v>0</v>
      </c>
    </row>
    <row r="2352" customFormat="false" ht="15" hidden="false" customHeight="true" outlineLevel="0" collapsed="false">
      <c r="A2352" s="1" t="s">
        <v>3224</v>
      </c>
      <c r="B2352" s="1" t="s">
        <v>845</v>
      </c>
      <c r="C2352" s="1" t="s">
        <v>65</v>
      </c>
      <c r="D2352" s="1" t="s">
        <v>53</v>
      </c>
      <c r="E2352" s="1" t="s">
        <v>54</v>
      </c>
      <c r="F2352" s="1" t="s">
        <v>125</v>
      </c>
      <c r="G2352" s="1" t="s">
        <v>108</v>
      </c>
      <c r="H2352" s="1" t="s">
        <v>69</v>
      </c>
      <c r="I2352" s="1" t="s">
        <v>83</v>
      </c>
      <c r="J2352" s="1" t="s">
        <v>70</v>
      </c>
      <c r="K2352" s="1" t="s">
        <v>71</v>
      </c>
      <c r="L2352" s="1" t="s">
        <v>136</v>
      </c>
      <c r="M2352" s="1" t="s">
        <v>62</v>
      </c>
      <c r="N2352" s="1" t="n">
        <v>11999</v>
      </c>
      <c r="O2352" s="1" t="n">
        <v>20</v>
      </c>
      <c r="P2352" s="1" t="n">
        <v>2399.8</v>
      </c>
      <c r="Q2352" s="1" t="n">
        <v>9599.2</v>
      </c>
      <c r="R2352" s="1" t="n">
        <v>1727.86</v>
      </c>
      <c r="S2352" s="1" t="n">
        <v>7871.34</v>
      </c>
      <c r="T2352" s="1" t="n">
        <v>2527.08</v>
      </c>
      <c r="U2352" s="1" t="n">
        <v>5344.26</v>
      </c>
      <c r="V2352" s="1" t="n">
        <v>67.9</v>
      </c>
      <c r="W2352" s="1" t="s">
        <v>40</v>
      </c>
      <c r="Y2352" s="1" t="s">
        <v>40</v>
      </c>
      <c r="Z2352" s="1" t="n">
        <v>1</v>
      </c>
    </row>
    <row r="2353" customFormat="false" ht="15" hidden="false" customHeight="true" outlineLevel="0" collapsed="false">
      <c r="A2353" s="1" t="s">
        <v>3225</v>
      </c>
      <c r="B2353" s="1" t="s">
        <v>2902</v>
      </c>
      <c r="C2353" s="1" t="s">
        <v>2598</v>
      </c>
      <c r="D2353" s="1" t="s">
        <v>29</v>
      </c>
      <c r="E2353" s="1" t="s">
        <v>305</v>
      </c>
      <c r="F2353" s="1" t="s">
        <v>156</v>
      </c>
      <c r="G2353" s="1" t="s">
        <v>68</v>
      </c>
      <c r="H2353" s="1" t="s">
        <v>57</v>
      </c>
      <c r="I2353" s="1" t="s">
        <v>83</v>
      </c>
      <c r="J2353" s="1" t="s">
        <v>131</v>
      </c>
      <c r="K2353" s="1" t="s">
        <v>90</v>
      </c>
      <c r="L2353" s="1" t="s">
        <v>85</v>
      </c>
      <c r="M2353" s="1" t="s">
        <v>50</v>
      </c>
      <c r="N2353" s="1" t="n">
        <v>24999</v>
      </c>
      <c r="O2353" s="1" t="n">
        <v>50</v>
      </c>
      <c r="P2353" s="1" t="n">
        <v>12499.5</v>
      </c>
      <c r="Q2353" s="1" t="n">
        <v>12499.5</v>
      </c>
      <c r="R2353" s="1" t="n">
        <v>2249.91</v>
      </c>
      <c r="S2353" s="1" t="n">
        <v>10249.59</v>
      </c>
      <c r="T2353" s="1" t="n">
        <v>5225.19</v>
      </c>
      <c r="U2353" s="1" t="n">
        <v>5024.4</v>
      </c>
      <c r="V2353" s="1" t="n">
        <v>49.02</v>
      </c>
      <c r="W2353" s="1" t="s">
        <v>40</v>
      </c>
      <c r="Y2353" s="1" t="s">
        <v>40</v>
      </c>
      <c r="Z2353" s="1" t="n">
        <v>1</v>
      </c>
    </row>
    <row r="2354" customFormat="false" ht="15" hidden="false" customHeight="true" outlineLevel="0" collapsed="false">
      <c r="A2354" s="1" t="s">
        <v>3226</v>
      </c>
      <c r="B2354" s="1" t="s">
        <v>366</v>
      </c>
      <c r="C2354" s="1" t="s">
        <v>264</v>
      </c>
      <c r="D2354" s="1" t="s">
        <v>53</v>
      </c>
      <c r="E2354" s="1" t="s">
        <v>116</v>
      </c>
      <c r="F2354" s="1" t="s">
        <v>205</v>
      </c>
      <c r="G2354" s="1" t="s">
        <v>56</v>
      </c>
      <c r="H2354" s="1" t="s">
        <v>69</v>
      </c>
      <c r="I2354" s="1" t="s">
        <v>34</v>
      </c>
      <c r="J2354" s="1" t="s">
        <v>77</v>
      </c>
      <c r="K2354" s="1" t="s">
        <v>71</v>
      </c>
      <c r="L2354" s="1" t="s">
        <v>136</v>
      </c>
      <c r="M2354" s="1" t="s">
        <v>50</v>
      </c>
      <c r="N2354" s="1" t="n">
        <v>9999</v>
      </c>
      <c r="O2354" s="1" t="n">
        <v>40</v>
      </c>
      <c r="P2354" s="1" t="n">
        <v>3999.6</v>
      </c>
      <c r="Q2354" s="1" t="n">
        <v>5999.4</v>
      </c>
      <c r="R2354" s="1" t="n">
        <v>1079.89</v>
      </c>
      <c r="S2354" s="1" t="n">
        <v>4919.51</v>
      </c>
      <c r="T2354" s="1" t="n">
        <v>2290</v>
      </c>
      <c r="U2354" s="1" t="n">
        <v>2629.51</v>
      </c>
      <c r="V2354" s="1" t="n">
        <v>53.45</v>
      </c>
      <c r="W2354" s="1" t="s">
        <v>39</v>
      </c>
      <c r="Y2354" s="1" t="s">
        <v>40</v>
      </c>
      <c r="Z2354" s="1" t="n">
        <v>1</v>
      </c>
    </row>
    <row r="2355" customFormat="false" ht="15" hidden="false" customHeight="true" outlineLevel="0" collapsed="false">
      <c r="A2355" s="1" t="s">
        <v>3227</v>
      </c>
      <c r="B2355" s="1" t="s">
        <v>284</v>
      </c>
      <c r="C2355" s="1" t="s">
        <v>178</v>
      </c>
      <c r="D2355" s="1" t="s">
        <v>53</v>
      </c>
      <c r="E2355" s="1" t="s">
        <v>216</v>
      </c>
      <c r="F2355" s="1" t="s">
        <v>82</v>
      </c>
      <c r="G2355" s="1" t="s">
        <v>56</v>
      </c>
      <c r="H2355" s="1" t="s">
        <v>69</v>
      </c>
      <c r="I2355" s="1" t="s">
        <v>58</v>
      </c>
      <c r="J2355" s="1" t="s">
        <v>77</v>
      </c>
      <c r="K2355" s="1" t="s">
        <v>90</v>
      </c>
      <c r="L2355" s="1" t="s">
        <v>85</v>
      </c>
      <c r="M2355" s="1" t="s">
        <v>50</v>
      </c>
      <c r="N2355" s="1" t="n">
        <v>7499</v>
      </c>
      <c r="O2355" s="1" t="n">
        <v>0</v>
      </c>
      <c r="P2355" s="1" t="n">
        <v>0</v>
      </c>
      <c r="Q2355" s="1" t="n">
        <v>7499</v>
      </c>
      <c r="R2355" s="1" t="n">
        <v>1349.82</v>
      </c>
      <c r="S2355" s="1" t="n">
        <v>6149.18</v>
      </c>
      <c r="T2355" s="1" t="n">
        <v>2676.76</v>
      </c>
      <c r="U2355" s="1" t="n">
        <v>3472.42</v>
      </c>
      <c r="V2355" s="1" t="n">
        <v>56.47</v>
      </c>
      <c r="W2355" s="1" t="s">
        <v>39</v>
      </c>
      <c r="X2355" s="1" t="n">
        <v>3.2</v>
      </c>
      <c r="Y2355" s="1" t="s">
        <v>40</v>
      </c>
      <c r="Z2355" s="1" t="n">
        <v>0</v>
      </c>
    </row>
    <row r="2356" customFormat="false" ht="15" hidden="false" customHeight="true" outlineLevel="0" collapsed="false">
      <c r="A2356" s="1" t="s">
        <v>3228</v>
      </c>
      <c r="B2356" s="1" t="s">
        <v>1048</v>
      </c>
      <c r="C2356" s="1" t="s">
        <v>128</v>
      </c>
      <c r="D2356" s="1" t="s">
        <v>53</v>
      </c>
      <c r="E2356" s="1" t="s">
        <v>54</v>
      </c>
      <c r="F2356" s="1" t="s">
        <v>130</v>
      </c>
      <c r="G2356" s="1" t="s">
        <v>47</v>
      </c>
      <c r="H2356" s="1" t="s">
        <v>69</v>
      </c>
      <c r="I2356" s="1" t="s">
        <v>34</v>
      </c>
      <c r="J2356" s="1" t="s">
        <v>35</v>
      </c>
      <c r="K2356" s="1" t="s">
        <v>112</v>
      </c>
      <c r="L2356" s="1" t="s">
        <v>113</v>
      </c>
      <c r="M2356" s="1" t="s">
        <v>62</v>
      </c>
      <c r="N2356" s="1" t="n">
        <v>11999</v>
      </c>
      <c r="O2356" s="1" t="n">
        <v>15</v>
      </c>
      <c r="P2356" s="1" t="n">
        <v>1799.85</v>
      </c>
      <c r="Q2356" s="1" t="n">
        <v>10199.15</v>
      </c>
      <c r="R2356" s="1" t="n">
        <v>1835.85</v>
      </c>
      <c r="S2356" s="1" t="n">
        <v>8363.3</v>
      </c>
      <c r="T2356" s="1" t="n">
        <v>3608.61</v>
      </c>
      <c r="U2356" s="1" t="n">
        <v>4754.69</v>
      </c>
      <c r="V2356" s="1" t="n">
        <v>56.85</v>
      </c>
      <c r="W2356" s="1" t="s">
        <v>39</v>
      </c>
      <c r="X2356" s="1" t="n">
        <v>3.4</v>
      </c>
      <c r="Y2356" s="1" t="s">
        <v>40</v>
      </c>
      <c r="Z2356" s="1" t="n">
        <v>0</v>
      </c>
    </row>
    <row r="2357" customFormat="false" ht="15" hidden="false" customHeight="true" outlineLevel="0" collapsed="false">
      <c r="A2357" s="1" t="s">
        <v>3229</v>
      </c>
      <c r="B2357" s="1" t="s">
        <v>2449</v>
      </c>
      <c r="C2357" s="1" t="s">
        <v>139</v>
      </c>
      <c r="D2357" s="1" t="s">
        <v>168</v>
      </c>
      <c r="E2357" s="1" t="s">
        <v>328</v>
      </c>
      <c r="F2357" s="1" t="s">
        <v>107</v>
      </c>
      <c r="G2357" s="1" t="s">
        <v>108</v>
      </c>
      <c r="H2357" s="1" t="s">
        <v>33</v>
      </c>
      <c r="I2357" s="1" t="s">
        <v>34</v>
      </c>
      <c r="J2357" s="1" t="s">
        <v>131</v>
      </c>
      <c r="K2357" s="1" t="s">
        <v>84</v>
      </c>
      <c r="L2357" s="1" t="s">
        <v>85</v>
      </c>
      <c r="M2357" s="1" t="s">
        <v>50</v>
      </c>
      <c r="N2357" s="1" t="n">
        <v>8999</v>
      </c>
      <c r="O2357" s="1" t="n">
        <v>25</v>
      </c>
      <c r="P2357" s="1" t="n">
        <v>2249.75</v>
      </c>
      <c r="Q2357" s="1" t="n">
        <v>6749.25</v>
      </c>
      <c r="R2357" s="1" t="n">
        <v>1214.87</v>
      </c>
      <c r="S2357" s="1" t="n">
        <v>5534.38</v>
      </c>
      <c r="T2357" s="1" t="n">
        <v>2788.22</v>
      </c>
      <c r="U2357" s="1" t="n">
        <v>2746.16</v>
      </c>
      <c r="V2357" s="1" t="n">
        <v>49.62</v>
      </c>
      <c r="W2357" s="1" t="s">
        <v>39</v>
      </c>
      <c r="X2357" s="1" t="n">
        <v>4.7</v>
      </c>
      <c r="Y2357" s="1" t="s">
        <v>40</v>
      </c>
      <c r="Z2357" s="1" t="n">
        <v>1</v>
      </c>
    </row>
    <row r="2358" customFormat="false" ht="15" hidden="false" customHeight="true" outlineLevel="0" collapsed="false">
      <c r="A2358" s="1" t="s">
        <v>3230</v>
      </c>
      <c r="B2358" s="1" t="s">
        <v>2422</v>
      </c>
      <c r="C2358" s="1" t="s">
        <v>139</v>
      </c>
      <c r="D2358" s="1" t="s">
        <v>29</v>
      </c>
      <c r="E2358" s="1" t="s">
        <v>305</v>
      </c>
      <c r="F2358" s="1" t="s">
        <v>125</v>
      </c>
      <c r="G2358" s="1" t="s">
        <v>108</v>
      </c>
      <c r="H2358" s="1" t="s">
        <v>69</v>
      </c>
      <c r="I2358" s="1" t="s">
        <v>58</v>
      </c>
      <c r="J2358" s="1" t="s">
        <v>131</v>
      </c>
      <c r="K2358" s="1" t="s">
        <v>60</v>
      </c>
      <c r="L2358" s="1" t="s">
        <v>49</v>
      </c>
      <c r="M2358" s="1" t="s">
        <v>38</v>
      </c>
      <c r="N2358" s="1" t="n">
        <v>24999</v>
      </c>
      <c r="O2358" s="1" t="n">
        <v>0</v>
      </c>
      <c r="P2358" s="1" t="n">
        <v>0</v>
      </c>
      <c r="Q2358" s="1" t="n">
        <v>24999</v>
      </c>
      <c r="R2358" s="1" t="n">
        <v>4499.82</v>
      </c>
      <c r="S2358" s="1" t="n">
        <v>20499.18</v>
      </c>
      <c r="T2358" s="1" t="n">
        <v>8434.72</v>
      </c>
      <c r="U2358" s="1" t="n">
        <v>12064.46</v>
      </c>
      <c r="V2358" s="1" t="n">
        <v>58.85</v>
      </c>
      <c r="W2358" s="1" t="s">
        <v>40</v>
      </c>
      <c r="Y2358" s="1" t="s">
        <v>40</v>
      </c>
      <c r="Z2358" s="1" t="n">
        <v>0</v>
      </c>
    </row>
    <row r="2359" customFormat="false" ht="15" hidden="false" customHeight="true" outlineLevel="0" collapsed="false">
      <c r="A2359" s="1" t="s">
        <v>3231</v>
      </c>
      <c r="B2359" s="1" t="s">
        <v>497</v>
      </c>
      <c r="C2359" s="1" t="s">
        <v>780</v>
      </c>
      <c r="D2359" s="1" t="s">
        <v>44</v>
      </c>
      <c r="E2359" s="1" t="s">
        <v>45</v>
      </c>
      <c r="F2359" s="1" t="s">
        <v>211</v>
      </c>
      <c r="G2359" s="1" t="s">
        <v>56</v>
      </c>
      <c r="H2359" s="1" t="s">
        <v>69</v>
      </c>
      <c r="I2359" s="1" t="s">
        <v>34</v>
      </c>
      <c r="J2359" s="1" t="s">
        <v>77</v>
      </c>
      <c r="K2359" s="1" t="s">
        <v>48</v>
      </c>
      <c r="L2359" s="1" t="s">
        <v>136</v>
      </c>
      <c r="M2359" s="1" t="s">
        <v>62</v>
      </c>
      <c r="N2359" s="1" t="n">
        <v>11999</v>
      </c>
      <c r="O2359" s="1" t="n">
        <v>40</v>
      </c>
      <c r="P2359" s="1" t="n">
        <v>4799.6</v>
      </c>
      <c r="Q2359" s="1" t="n">
        <v>7199.4</v>
      </c>
      <c r="R2359" s="1" t="n">
        <v>1295.89</v>
      </c>
      <c r="S2359" s="1" t="n">
        <v>5903.51</v>
      </c>
      <c r="T2359" s="1" t="n">
        <v>3197.69</v>
      </c>
      <c r="U2359" s="1" t="n">
        <v>2705.82</v>
      </c>
      <c r="V2359" s="1" t="n">
        <v>45.83</v>
      </c>
      <c r="W2359" s="1" t="s">
        <v>40</v>
      </c>
      <c r="Y2359" s="1" t="s">
        <v>40</v>
      </c>
      <c r="Z2359" s="1" t="n">
        <v>0</v>
      </c>
    </row>
    <row r="2360" customFormat="false" ht="15" hidden="false" customHeight="true" outlineLevel="0" collapsed="false">
      <c r="A2360" s="1" t="s">
        <v>3232</v>
      </c>
      <c r="B2360" s="1" t="s">
        <v>779</v>
      </c>
      <c r="C2360" s="1" t="s">
        <v>43</v>
      </c>
      <c r="D2360" s="1" t="s">
        <v>80</v>
      </c>
      <c r="E2360" s="1" t="s">
        <v>175</v>
      </c>
      <c r="F2360" s="1" t="s">
        <v>55</v>
      </c>
      <c r="G2360" s="1" t="s">
        <v>56</v>
      </c>
      <c r="H2360" s="1" t="s">
        <v>57</v>
      </c>
      <c r="I2360" s="1" t="s">
        <v>83</v>
      </c>
      <c r="J2360" s="1" t="s">
        <v>70</v>
      </c>
      <c r="K2360" s="1" t="s">
        <v>60</v>
      </c>
      <c r="L2360" s="1" t="s">
        <v>136</v>
      </c>
      <c r="M2360" s="1" t="s">
        <v>38</v>
      </c>
      <c r="N2360" s="1" t="n">
        <v>19999</v>
      </c>
      <c r="O2360" s="1" t="n">
        <v>15</v>
      </c>
      <c r="P2360" s="1" t="n">
        <v>2999.85</v>
      </c>
      <c r="Q2360" s="1" t="n">
        <v>16999.15</v>
      </c>
      <c r="R2360" s="1" t="n">
        <v>3059.85</v>
      </c>
      <c r="S2360" s="1" t="n">
        <v>13939.3</v>
      </c>
      <c r="T2360" s="1" t="n">
        <v>5667.97</v>
      </c>
      <c r="U2360" s="1" t="n">
        <v>8271.33</v>
      </c>
      <c r="V2360" s="1" t="n">
        <v>59.34</v>
      </c>
      <c r="W2360" s="1" t="s">
        <v>39</v>
      </c>
      <c r="X2360" s="1" t="n">
        <v>3.3</v>
      </c>
      <c r="Y2360" s="1" t="s">
        <v>40</v>
      </c>
      <c r="Z2360" s="1" t="n">
        <v>0</v>
      </c>
    </row>
    <row r="2361" customFormat="false" ht="15" hidden="false" customHeight="true" outlineLevel="0" collapsed="false">
      <c r="A2361" s="1" t="s">
        <v>3233</v>
      </c>
      <c r="B2361" s="1" t="s">
        <v>722</v>
      </c>
      <c r="C2361" s="1" t="s">
        <v>100</v>
      </c>
      <c r="D2361" s="1" t="s">
        <v>53</v>
      </c>
      <c r="E2361" s="1" t="s">
        <v>116</v>
      </c>
      <c r="F2361" s="1" t="s">
        <v>107</v>
      </c>
      <c r="G2361" s="1" t="s">
        <v>108</v>
      </c>
      <c r="H2361" s="1" t="s">
        <v>33</v>
      </c>
      <c r="I2361" s="1" t="s">
        <v>58</v>
      </c>
      <c r="J2361" s="1" t="s">
        <v>77</v>
      </c>
      <c r="K2361" s="1" t="s">
        <v>60</v>
      </c>
      <c r="L2361" s="1" t="s">
        <v>61</v>
      </c>
      <c r="M2361" s="1" t="s">
        <v>38</v>
      </c>
      <c r="N2361" s="1" t="n">
        <v>9999</v>
      </c>
      <c r="O2361" s="1" t="n">
        <v>0</v>
      </c>
      <c r="P2361" s="1" t="n">
        <v>0</v>
      </c>
      <c r="Q2361" s="1" t="n">
        <v>9999</v>
      </c>
      <c r="R2361" s="1" t="n">
        <v>1799.82</v>
      </c>
      <c r="S2361" s="1" t="n">
        <v>8199.18</v>
      </c>
      <c r="T2361" s="1" t="n">
        <v>4773.39</v>
      </c>
      <c r="U2361" s="1" t="n">
        <v>3425.79</v>
      </c>
      <c r="V2361" s="1" t="n">
        <v>41.78</v>
      </c>
      <c r="W2361" s="1" t="s">
        <v>39</v>
      </c>
      <c r="Y2361" s="1" t="s">
        <v>40</v>
      </c>
      <c r="Z2361" s="1" t="n">
        <v>1</v>
      </c>
    </row>
    <row r="2362" customFormat="false" ht="15" hidden="false" customHeight="true" outlineLevel="0" collapsed="false">
      <c r="A2362" s="1" t="s">
        <v>3234</v>
      </c>
      <c r="B2362" s="1" t="s">
        <v>430</v>
      </c>
      <c r="C2362" s="1" t="s">
        <v>74</v>
      </c>
      <c r="D2362" s="1" t="s">
        <v>94</v>
      </c>
      <c r="E2362" s="1" t="s">
        <v>101</v>
      </c>
      <c r="F2362" s="1" t="s">
        <v>55</v>
      </c>
      <c r="G2362" s="1" t="s">
        <v>56</v>
      </c>
      <c r="H2362" s="1" t="s">
        <v>57</v>
      </c>
      <c r="I2362" s="1" t="s">
        <v>58</v>
      </c>
      <c r="J2362" s="1" t="s">
        <v>131</v>
      </c>
      <c r="K2362" s="1" t="s">
        <v>112</v>
      </c>
      <c r="L2362" s="1" t="s">
        <v>61</v>
      </c>
      <c r="M2362" s="1" t="s">
        <v>50</v>
      </c>
      <c r="N2362" s="1" t="n">
        <v>14999</v>
      </c>
      <c r="O2362" s="1" t="n">
        <v>20</v>
      </c>
      <c r="P2362" s="1" t="n">
        <v>2999.8</v>
      </c>
      <c r="Q2362" s="1" t="n">
        <v>11999.2</v>
      </c>
      <c r="R2362" s="1" t="n">
        <v>2159.86</v>
      </c>
      <c r="S2362" s="1" t="n">
        <v>9839.34</v>
      </c>
      <c r="T2362" s="1" t="n">
        <v>3918.54</v>
      </c>
      <c r="U2362" s="1" t="n">
        <v>5920.8</v>
      </c>
      <c r="V2362" s="1" t="n">
        <v>60.17</v>
      </c>
      <c r="W2362" s="1" t="s">
        <v>40</v>
      </c>
      <c r="Y2362" s="1" t="s">
        <v>40</v>
      </c>
      <c r="Z2362" s="1" t="n">
        <v>0</v>
      </c>
    </row>
    <row r="2363" customFormat="false" ht="15" hidden="false" customHeight="true" outlineLevel="0" collapsed="false">
      <c r="A2363" s="1" t="s">
        <v>3235</v>
      </c>
      <c r="B2363" s="1" t="s">
        <v>166</v>
      </c>
      <c r="C2363" s="1" t="s">
        <v>88</v>
      </c>
      <c r="D2363" s="1" t="s">
        <v>123</v>
      </c>
      <c r="E2363" s="1" t="s">
        <v>147</v>
      </c>
      <c r="F2363" s="1" t="s">
        <v>107</v>
      </c>
      <c r="G2363" s="1" t="s">
        <v>108</v>
      </c>
      <c r="H2363" s="1" t="s">
        <v>33</v>
      </c>
      <c r="I2363" s="1" t="s">
        <v>58</v>
      </c>
      <c r="J2363" s="1" t="s">
        <v>59</v>
      </c>
      <c r="K2363" s="1" t="s">
        <v>104</v>
      </c>
      <c r="L2363" s="1" t="s">
        <v>49</v>
      </c>
      <c r="M2363" s="1" t="s">
        <v>50</v>
      </c>
      <c r="N2363" s="1" t="n">
        <v>6999</v>
      </c>
      <c r="O2363" s="1" t="n">
        <v>10</v>
      </c>
      <c r="P2363" s="1" t="n">
        <v>699.9</v>
      </c>
      <c r="Q2363" s="1" t="n">
        <v>6299.1</v>
      </c>
      <c r="R2363" s="1" t="n">
        <v>1133.84</v>
      </c>
      <c r="S2363" s="1" t="n">
        <v>5165.26</v>
      </c>
      <c r="T2363" s="1" t="n">
        <v>2637.04</v>
      </c>
      <c r="U2363" s="1" t="n">
        <v>2528.22</v>
      </c>
      <c r="V2363" s="1" t="n">
        <v>48.95</v>
      </c>
      <c r="W2363" s="1" t="s">
        <v>40</v>
      </c>
      <c r="Y2363" s="1" t="s">
        <v>40</v>
      </c>
      <c r="Z2363" s="1" t="n">
        <v>0</v>
      </c>
    </row>
    <row r="2364" customFormat="false" ht="15" hidden="false" customHeight="true" outlineLevel="0" collapsed="false">
      <c r="A2364" s="1" t="s">
        <v>3236</v>
      </c>
      <c r="B2364" s="1" t="s">
        <v>1212</v>
      </c>
      <c r="C2364" s="1" t="s">
        <v>167</v>
      </c>
      <c r="D2364" s="1" t="s">
        <v>168</v>
      </c>
      <c r="E2364" s="1" t="s">
        <v>197</v>
      </c>
      <c r="F2364" s="1" t="s">
        <v>96</v>
      </c>
      <c r="G2364" s="1" t="s">
        <v>97</v>
      </c>
      <c r="H2364" s="1" t="s">
        <v>69</v>
      </c>
      <c r="I2364" s="1" t="s">
        <v>34</v>
      </c>
      <c r="J2364" s="1" t="s">
        <v>131</v>
      </c>
      <c r="K2364" s="1" t="s">
        <v>90</v>
      </c>
      <c r="L2364" s="1" t="s">
        <v>113</v>
      </c>
      <c r="M2364" s="1" t="s">
        <v>62</v>
      </c>
      <c r="N2364" s="1" t="n">
        <v>8499</v>
      </c>
      <c r="O2364" s="1" t="n">
        <v>10</v>
      </c>
      <c r="P2364" s="1" t="n">
        <v>849.9</v>
      </c>
      <c r="Q2364" s="1" t="n">
        <v>7649.1</v>
      </c>
      <c r="R2364" s="1" t="n">
        <v>1376.84</v>
      </c>
      <c r="S2364" s="1" t="n">
        <v>6272.26</v>
      </c>
      <c r="T2364" s="1" t="n">
        <v>2649.36</v>
      </c>
      <c r="U2364" s="1" t="n">
        <v>3622.9</v>
      </c>
      <c r="V2364" s="1" t="n">
        <v>57.76</v>
      </c>
      <c r="W2364" s="1" t="s">
        <v>39</v>
      </c>
      <c r="X2364" s="1" t="n">
        <v>3.7</v>
      </c>
      <c r="Y2364" s="1" t="s">
        <v>40</v>
      </c>
      <c r="Z2364" s="1" t="n">
        <v>0</v>
      </c>
    </row>
    <row r="2365" customFormat="false" ht="15" hidden="false" customHeight="true" outlineLevel="0" collapsed="false">
      <c r="A2365" s="1" t="s">
        <v>3237</v>
      </c>
      <c r="B2365" s="1" t="s">
        <v>2440</v>
      </c>
      <c r="C2365" s="1" t="s">
        <v>264</v>
      </c>
      <c r="D2365" s="1" t="s">
        <v>53</v>
      </c>
      <c r="E2365" s="1" t="s">
        <v>54</v>
      </c>
      <c r="F2365" s="1" t="s">
        <v>130</v>
      </c>
      <c r="G2365" s="1" t="s">
        <v>47</v>
      </c>
      <c r="H2365" s="1" t="s">
        <v>69</v>
      </c>
      <c r="I2365" s="1" t="s">
        <v>58</v>
      </c>
      <c r="J2365" s="1" t="s">
        <v>59</v>
      </c>
      <c r="K2365" s="1" t="s">
        <v>60</v>
      </c>
      <c r="L2365" s="1" t="s">
        <v>85</v>
      </c>
      <c r="M2365" s="1" t="s">
        <v>62</v>
      </c>
      <c r="N2365" s="1" t="n">
        <v>11999</v>
      </c>
      <c r="O2365" s="1" t="n">
        <v>0</v>
      </c>
      <c r="P2365" s="1" t="n">
        <v>0</v>
      </c>
      <c r="Q2365" s="1" t="n">
        <v>11999</v>
      </c>
      <c r="R2365" s="1" t="n">
        <v>2159.82</v>
      </c>
      <c r="S2365" s="1" t="n">
        <v>9839.18</v>
      </c>
      <c r="T2365" s="1" t="n">
        <v>3574.99</v>
      </c>
      <c r="U2365" s="1" t="n">
        <v>6264.19</v>
      </c>
      <c r="V2365" s="1" t="n">
        <v>63.67</v>
      </c>
      <c r="W2365" s="1" t="s">
        <v>39</v>
      </c>
      <c r="X2365" s="1" t="n">
        <v>3.8</v>
      </c>
      <c r="Y2365" s="1" t="s">
        <v>40</v>
      </c>
      <c r="Z2365" s="1" t="n">
        <v>1</v>
      </c>
    </row>
    <row r="2366" customFormat="false" ht="15" hidden="false" customHeight="true" outlineLevel="0" collapsed="false">
      <c r="A2366" s="1" t="s">
        <v>3238</v>
      </c>
      <c r="B2366" s="1" t="s">
        <v>1640</v>
      </c>
      <c r="C2366" s="1" t="s">
        <v>93</v>
      </c>
      <c r="D2366" s="1" t="s">
        <v>143</v>
      </c>
      <c r="E2366" s="1" t="s">
        <v>162</v>
      </c>
      <c r="F2366" s="1" t="s">
        <v>205</v>
      </c>
      <c r="G2366" s="1" t="s">
        <v>56</v>
      </c>
      <c r="H2366" s="1" t="s">
        <v>69</v>
      </c>
      <c r="I2366" s="1" t="s">
        <v>83</v>
      </c>
      <c r="J2366" s="1" t="s">
        <v>35</v>
      </c>
      <c r="K2366" s="1" t="s">
        <v>104</v>
      </c>
      <c r="L2366" s="1" t="s">
        <v>61</v>
      </c>
      <c r="M2366" s="1" t="s">
        <v>62</v>
      </c>
      <c r="N2366" s="1" t="n">
        <v>14999</v>
      </c>
      <c r="O2366" s="1" t="n">
        <v>40</v>
      </c>
      <c r="P2366" s="1" t="n">
        <v>5999.6</v>
      </c>
      <c r="Q2366" s="1" t="n">
        <v>8999.4</v>
      </c>
      <c r="R2366" s="1" t="n">
        <v>1619.89</v>
      </c>
      <c r="S2366" s="1" t="n">
        <v>7379.51</v>
      </c>
      <c r="T2366" s="1" t="n">
        <v>3278.89</v>
      </c>
      <c r="U2366" s="1" t="n">
        <v>4100.62</v>
      </c>
      <c r="V2366" s="1" t="n">
        <v>55.57</v>
      </c>
      <c r="W2366" s="1" t="s">
        <v>39</v>
      </c>
      <c r="X2366" s="1" t="n">
        <v>2.4</v>
      </c>
      <c r="Y2366" s="1" t="s">
        <v>40</v>
      </c>
      <c r="Z2366" s="1" t="n">
        <v>0</v>
      </c>
    </row>
    <row r="2367" customFormat="false" ht="15" hidden="false" customHeight="true" outlineLevel="0" collapsed="false">
      <c r="A2367" s="1" t="s">
        <v>3239</v>
      </c>
      <c r="B2367" s="1" t="s">
        <v>325</v>
      </c>
      <c r="C2367" s="1" t="s">
        <v>28</v>
      </c>
      <c r="D2367" s="1" t="s">
        <v>94</v>
      </c>
      <c r="E2367" s="1" t="s">
        <v>95</v>
      </c>
      <c r="F2367" s="1" t="s">
        <v>31</v>
      </c>
      <c r="G2367" s="1" t="s">
        <v>32</v>
      </c>
      <c r="H2367" s="1" t="s">
        <v>33</v>
      </c>
      <c r="I2367" s="1" t="s">
        <v>83</v>
      </c>
      <c r="J2367" s="1" t="s">
        <v>59</v>
      </c>
      <c r="K2367" s="1" t="s">
        <v>84</v>
      </c>
      <c r="L2367" s="1" t="s">
        <v>37</v>
      </c>
      <c r="M2367" s="1" t="s">
        <v>62</v>
      </c>
      <c r="N2367" s="1" t="n">
        <v>6999</v>
      </c>
      <c r="O2367" s="1" t="n">
        <v>0</v>
      </c>
      <c r="P2367" s="1" t="n">
        <v>0</v>
      </c>
      <c r="Q2367" s="1" t="n">
        <v>6999</v>
      </c>
      <c r="R2367" s="1" t="n">
        <v>1259.82</v>
      </c>
      <c r="S2367" s="1" t="n">
        <v>5739.18</v>
      </c>
      <c r="T2367" s="1" t="n">
        <v>2488.58</v>
      </c>
      <c r="U2367" s="1" t="n">
        <v>3250.6</v>
      </c>
      <c r="V2367" s="1" t="n">
        <v>56.64</v>
      </c>
      <c r="W2367" s="1" t="s">
        <v>40</v>
      </c>
      <c r="Y2367" s="1" t="s">
        <v>40</v>
      </c>
      <c r="Z2367" s="1" t="n">
        <v>2</v>
      </c>
    </row>
    <row r="2368" customFormat="false" ht="15" hidden="false" customHeight="true" outlineLevel="0" collapsed="false">
      <c r="A2368" s="1" t="s">
        <v>3240</v>
      </c>
      <c r="B2368" s="1" t="s">
        <v>1486</v>
      </c>
      <c r="C2368" s="1" t="s">
        <v>264</v>
      </c>
      <c r="D2368" s="1" t="s">
        <v>80</v>
      </c>
      <c r="E2368" s="1" t="s">
        <v>81</v>
      </c>
      <c r="F2368" s="1" t="s">
        <v>75</v>
      </c>
      <c r="G2368" s="1" t="s">
        <v>76</v>
      </c>
      <c r="H2368" s="1" t="s">
        <v>69</v>
      </c>
      <c r="I2368" s="1" t="s">
        <v>34</v>
      </c>
      <c r="J2368" s="1" t="s">
        <v>59</v>
      </c>
      <c r="K2368" s="1" t="s">
        <v>60</v>
      </c>
      <c r="L2368" s="1" t="s">
        <v>49</v>
      </c>
      <c r="M2368" s="1" t="s">
        <v>50</v>
      </c>
      <c r="N2368" s="1" t="n">
        <v>12999</v>
      </c>
      <c r="O2368" s="1" t="n">
        <v>0</v>
      </c>
      <c r="P2368" s="1" t="n">
        <v>0</v>
      </c>
      <c r="Q2368" s="1" t="n">
        <v>12999</v>
      </c>
      <c r="R2368" s="1" t="n">
        <v>2339.82</v>
      </c>
      <c r="S2368" s="1" t="n">
        <v>10659.18</v>
      </c>
      <c r="T2368" s="1" t="n">
        <v>3976.52</v>
      </c>
      <c r="U2368" s="1" t="n">
        <v>6682.66</v>
      </c>
      <c r="V2368" s="1" t="n">
        <v>62.69</v>
      </c>
      <c r="W2368" s="1" t="s">
        <v>39</v>
      </c>
      <c r="X2368" s="1" t="n">
        <v>3.7</v>
      </c>
      <c r="Y2368" s="1" t="s">
        <v>40</v>
      </c>
      <c r="Z2368" s="1" t="n">
        <v>0</v>
      </c>
    </row>
    <row r="2369" customFormat="false" ht="15" hidden="false" customHeight="true" outlineLevel="0" collapsed="false">
      <c r="A2369" s="1" t="s">
        <v>3241</v>
      </c>
      <c r="B2369" s="1" t="s">
        <v>1606</v>
      </c>
      <c r="C2369" s="1" t="s">
        <v>28</v>
      </c>
      <c r="D2369" s="1" t="s">
        <v>94</v>
      </c>
      <c r="E2369" s="1" t="s">
        <v>101</v>
      </c>
      <c r="F2369" s="1" t="s">
        <v>89</v>
      </c>
      <c r="G2369" s="1" t="s">
        <v>68</v>
      </c>
      <c r="H2369" s="1" t="s">
        <v>33</v>
      </c>
      <c r="I2369" s="1" t="s">
        <v>83</v>
      </c>
      <c r="J2369" s="1" t="s">
        <v>77</v>
      </c>
      <c r="K2369" s="1" t="s">
        <v>60</v>
      </c>
      <c r="L2369" s="1" t="s">
        <v>37</v>
      </c>
      <c r="M2369" s="1" t="s">
        <v>38</v>
      </c>
      <c r="N2369" s="1" t="n">
        <v>14999</v>
      </c>
      <c r="O2369" s="1" t="n">
        <v>10</v>
      </c>
      <c r="P2369" s="1" t="n">
        <v>1499.9</v>
      </c>
      <c r="Q2369" s="1" t="n">
        <v>13499.1</v>
      </c>
      <c r="R2369" s="1" t="n">
        <v>2429.84</v>
      </c>
      <c r="S2369" s="1" t="n">
        <v>11069.26</v>
      </c>
      <c r="T2369" s="1" t="n">
        <v>5988.95</v>
      </c>
      <c r="U2369" s="1" t="n">
        <v>5080.31</v>
      </c>
      <c r="V2369" s="1" t="n">
        <v>45.9</v>
      </c>
      <c r="W2369" s="1" t="s">
        <v>39</v>
      </c>
      <c r="X2369" s="1" t="n">
        <v>4</v>
      </c>
      <c r="Y2369" s="1" t="s">
        <v>40</v>
      </c>
      <c r="Z2369" s="1" t="n">
        <v>0</v>
      </c>
    </row>
    <row r="2370" customFormat="false" ht="15" hidden="false" customHeight="true" outlineLevel="0" collapsed="false">
      <c r="A2370" s="1" t="s">
        <v>3242</v>
      </c>
      <c r="B2370" s="1" t="s">
        <v>1102</v>
      </c>
      <c r="C2370" s="1" t="s">
        <v>65</v>
      </c>
      <c r="D2370" s="1" t="s">
        <v>168</v>
      </c>
      <c r="E2370" s="1" t="s">
        <v>172</v>
      </c>
      <c r="F2370" s="1" t="s">
        <v>96</v>
      </c>
      <c r="G2370" s="1" t="s">
        <v>97</v>
      </c>
      <c r="H2370" s="1" t="s">
        <v>69</v>
      </c>
      <c r="I2370" s="1" t="s">
        <v>58</v>
      </c>
      <c r="J2370" s="1" t="s">
        <v>77</v>
      </c>
      <c r="K2370" s="1" t="s">
        <v>104</v>
      </c>
      <c r="L2370" s="1" t="s">
        <v>61</v>
      </c>
      <c r="M2370" s="1" t="s">
        <v>38</v>
      </c>
      <c r="N2370" s="1" t="n">
        <v>6999</v>
      </c>
      <c r="O2370" s="1" t="n">
        <v>40</v>
      </c>
      <c r="P2370" s="1" t="n">
        <v>2799.6</v>
      </c>
      <c r="Q2370" s="1" t="n">
        <v>4199.4</v>
      </c>
      <c r="R2370" s="1" t="n">
        <v>755.89</v>
      </c>
      <c r="S2370" s="1" t="n">
        <v>3443.51</v>
      </c>
      <c r="T2370" s="1" t="n">
        <v>1885.87</v>
      </c>
      <c r="U2370" s="1" t="n">
        <v>1557.64</v>
      </c>
      <c r="V2370" s="1" t="n">
        <v>45.23</v>
      </c>
      <c r="W2370" s="1" t="s">
        <v>39</v>
      </c>
      <c r="X2370" s="1" t="n">
        <v>3.4</v>
      </c>
      <c r="Y2370" s="1" t="s">
        <v>40</v>
      </c>
      <c r="Z2370" s="1" t="n">
        <v>0</v>
      </c>
    </row>
    <row r="2371" customFormat="false" ht="15" hidden="false" customHeight="true" outlineLevel="0" collapsed="false">
      <c r="A2371" s="1" t="s">
        <v>3243</v>
      </c>
      <c r="B2371" s="1" t="s">
        <v>1113</v>
      </c>
      <c r="C2371" s="1" t="s">
        <v>28</v>
      </c>
      <c r="D2371" s="1" t="s">
        <v>168</v>
      </c>
      <c r="E2371" s="1" t="s">
        <v>172</v>
      </c>
      <c r="F2371" s="1" t="s">
        <v>89</v>
      </c>
      <c r="G2371" s="1" t="s">
        <v>68</v>
      </c>
      <c r="H2371" s="1" t="s">
        <v>33</v>
      </c>
      <c r="I2371" s="1" t="s">
        <v>58</v>
      </c>
      <c r="J2371" s="1" t="s">
        <v>131</v>
      </c>
      <c r="K2371" s="1" t="s">
        <v>104</v>
      </c>
      <c r="L2371" s="1" t="s">
        <v>49</v>
      </c>
      <c r="M2371" s="1" t="s">
        <v>50</v>
      </c>
      <c r="N2371" s="1" t="n">
        <v>6999</v>
      </c>
      <c r="O2371" s="1" t="n">
        <v>10</v>
      </c>
      <c r="P2371" s="1" t="n">
        <v>699.9</v>
      </c>
      <c r="Q2371" s="1" t="n">
        <v>6299.1</v>
      </c>
      <c r="R2371" s="1" t="n">
        <v>1133.84</v>
      </c>
      <c r="S2371" s="1" t="n">
        <v>5165.26</v>
      </c>
      <c r="T2371" s="1" t="n">
        <v>2466.76</v>
      </c>
      <c r="U2371" s="1" t="n">
        <v>2698.5</v>
      </c>
      <c r="V2371" s="1" t="n">
        <v>52.24</v>
      </c>
      <c r="W2371" s="1" t="s">
        <v>40</v>
      </c>
      <c r="Y2371" s="1" t="s">
        <v>40</v>
      </c>
      <c r="Z2371" s="1" t="n">
        <v>0</v>
      </c>
    </row>
    <row r="2372" customFormat="false" ht="15" hidden="false" customHeight="true" outlineLevel="0" collapsed="false">
      <c r="A2372" s="1" t="s">
        <v>3244</v>
      </c>
      <c r="B2372" s="1" t="s">
        <v>589</v>
      </c>
      <c r="C2372" s="1" t="s">
        <v>74</v>
      </c>
      <c r="D2372" s="1" t="s">
        <v>143</v>
      </c>
      <c r="E2372" s="1" t="s">
        <v>243</v>
      </c>
      <c r="F2372" s="1" t="s">
        <v>156</v>
      </c>
      <c r="G2372" s="1" t="s">
        <v>68</v>
      </c>
      <c r="H2372" s="1" t="s">
        <v>57</v>
      </c>
      <c r="I2372" s="1" t="s">
        <v>83</v>
      </c>
      <c r="J2372" s="1" t="s">
        <v>131</v>
      </c>
      <c r="K2372" s="1" t="s">
        <v>60</v>
      </c>
      <c r="L2372" s="1" t="s">
        <v>136</v>
      </c>
      <c r="M2372" s="1" t="s">
        <v>62</v>
      </c>
      <c r="N2372" s="1" t="n">
        <v>22999</v>
      </c>
      <c r="O2372" s="1" t="n">
        <v>5</v>
      </c>
      <c r="P2372" s="1" t="n">
        <v>1149.95</v>
      </c>
      <c r="Q2372" s="1" t="n">
        <v>21849.05</v>
      </c>
      <c r="R2372" s="1" t="n">
        <v>3932.83</v>
      </c>
      <c r="S2372" s="1" t="n">
        <v>17916.22</v>
      </c>
      <c r="T2372" s="1" t="n">
        <v>7263.94</v>
      </c>
      <c r="U2372" s="1" t="n">
        <v>10652.28</v>
      </c>
      <c r="V2372" s="1" t="n">
        <v>59.46</v>
      </c>
      <c r="W2372" s="1" t="s">
        <v>40</v>
      </c>
      <c r="Y2372" s="1" t="s">
        <v>40</v>
      </c>
      <c r="Z2372" s="1" t="n">
        <v>1</v>
      </c>
    </row>
    <row r="2373" customFormat="false" ht="15" hidden="false" customHeight="true" outlineLevel="0" collapsed="false">
      <c r="A2373" s="1" t="s">
        <v>3245</v>
      </c>
      <c r="B2373" s="1" t="s">
        <v>622</v>
      </c>
      <c r="C2373" s="1" t="s">
        <v>65</v>
      </c>
      <c r="D2373" s="1" t="s">
        <v>53</v>
      </c>
      <c r="E2373" s="1" t="s">
        <v>116</v>
      </c>
      <c r="F2373" s="1" t="s">
        <v>153</v>
      </c>
      <c r="G2373" s="1" t="s">
        <v>76</v>
      </c>
      <c r="H2373" s="1" t="s">
        <v>33</v>
      </c>
      <c r="I2373" s="1" t="s">
        <v>83</v>
      </c>
      <c r="J2373" s="1" t="s">
        <v>59</v>
      </c>
      <c r="K2373" s="1" t="s">
        <v>84</v>
      </c>
      <c r="L2373" s="1" t="s">
        <v>85</v>
      </c>
      <c r="M2373" s="1" t="s">
        <v>38</v>
      </c>
      <c r="N2373" s="1" t="n">
        <v>9999</v>
      </c>
      <c r="O2373" s="1" t="n">
        <v>50</v>
      </c>
      <c r="P2373" s="1" t="n">
        <v>4999.5</v>
      </c>
      <c r="Q2373" s="1" t="n">
        <v>4999.5</v>
      </c>
      <c r="R2373" s="1" t="n">
        <v>899.91</v>
      </c>
      <c r="S2373" s="1" t="n">
        <v>4099.59</v>
      </c>
      <c r="T2373" s="1" t="n">
        <v>2212.71</v>
      </c>
      <c r="U2373" s="1" t="n">
        <v>1886.88</v>
      </c>
      <c r="V2373" s="1" t="n">
        <v>46.03</v>
      </c>
      <c r="W2373" s="1" t="s">
        <v>40</v>
      </c>
      <c r="Y2373" s="1" t="s">
        <v>40</v>
      </c>
      <c r="Z2373" s="1" t="n">
        <v>1</v>
      </c>
    </row>
    <row r="2374" customFormat="false" ht="15" hidden="false" customHeight="true" outlineLevel="0" collapsed="false">
      <c r="A2374" s="1" t="s">
        <v>3246</v>
      </c>
      <c r="B2374" s="1" t="s">
        <v>843</v>
      </c>
      <c r="C2374" s="1" t="s">
        <v>43</v>
      </c>
      <c r="D2374" s="1" t="s">
        <v>168</v>
      </c>
      <c r="E2374" s="1" t="s">
        <v>169</v>
      </c>
      <c r="F2374" s="1" t="s">
        <v>89</v>
      </c>
      <c r="G2374" s="1" t="s">
        <v>68</v>
      </c>
      <c r="H2374" s="1" t="s">
        <v>33</v>
      </c>
      <c r="I2374" s="1" t="s">
        <v>58</v>
      </c>
      <c r="J2374" s="1" t="s">
        <v>131</v>
      </c>
      <c r="K2374" s="1" t="s">
        <v>71</v>
      </c>
      <c r="L2374" s="1" t="s">
        <v>49</v>
      </c>
      <c r="M2374" s="1" t="s">
        <v>38</v>
      </c>
      <c r="N2374" s="1" t="n">
        <v>4999</v>
      </c>
      <c r="O2374" s="1" t="n">
        <v>5</v>
      </c>
      <c r="P2374" s="1" t="n">
        <v>249.95</v>
      </c>
      <c r="Q2374" s="1" t="n">
        <v>4749.05</v>
      </c>
      <c r="R2374" s="1" t="n">
        <v>854.83</v>
      </c>
      <c r="S2374" s="1" t="n">
        <v>3894.22</v>
      </c>
      <c r="T2374" s="1" t="n">
        <v>1934.94</v>
      </c>
      <c r="U2374" s="1" t="n">
        <v>1959.28</v>
      </c>
      <c r="V2374" s="1" t="n">
        <v>50.31</v>
      </c>
      <c r="W2374" s="1" t="s">
        <v>40</v>
      </c>
      <c r="Y2374" s="1" t="s">
        <v>40</v>
      </c>
      <c r="Z2374" s="1" t="n">
        <v>0</v>
      </c>
    </row>
    <row r="2375" customFormat="false" ht="15" hidden="false" customHeight="true" outlineLevel="0" collapsed="false">
      <c r="A2375" s="1" t="s">
        <v>3247</v>
      </c>
      <c r="B2375" s="1" t="s">
        <v>1488</v>
      </c>
      <c r="C2375" s="1" t="s">
        <v>1811</v>
      </c>
      <c r="D2375" s="1" t="s">
        <v>168</v>
      </c>
      <c r="E2375" s="1" t="s">
        <v>197</v>
      </c>
      <c r="F2375" s="1" t="s">
        <v>153</v>
      </c>
      <c r="G2375" s="1" t="s">
        <v>76</v>
      </c>
      <c r="H2375" s="1" t="s">
        <v>33</v>
      </c>
      <c r="I2375" s="1" t="s">
        <v>34</v>
      </c>
      <c r="J2375" s="1" t="s">
        <v>35</v>
      </c>
      <c r="K2375" s="1" t="s">
        <v>60</v>
      </c>
      <c r="L2375" s="1" t="s">
        <v>113</v>
      </c>
      <c r="M2375" s="1" t="s">
        <v>38</v>
      </c>
      <c r="N2375" s="1" t="n">
        <v>8499</v>
      </c>
      <c r="O2375" s="1" t="n">
        <v>10</v>
      </c>
      <c r="P2375" s="1" t="n">
        <v>849.9</v>
      </c>
      <c r="Q2375" s="1" t="n">
        <v>7649.1</v>
      </c>
      <c r="R2375" s="1" t="n">
        <v>1376.84</v>
      </c>
      <c r="S2375" s="1" t="n">
        <v>6272.26</v>
      </c>
      <c r="T2375" s="1" t="n">
        <v>2843.94</v>
      </c>
      <c r="U2375" s="1" t="n">
        <v>3428.32</v>
      </c>
      <c r="V2375" s="1" t="n">
        <v>54.66</v>
      </c>
      <c r="W2375" s="1" t="s">
        <v>40</v>
      </c>
      <c r="Y2375" s="1" t="s">
        <v>39</v>
      </c>
      <c r="Z2375" s="1" t="n">
        <v>1</v>
      </c>
    </row>
    <row r="2376" customFormat="false" ht="15" hidden="false" customHeight="true" outlineLevel="0" collapsed="false">
      <c r="A2376" s="1" t="s">
        <v>3248</v>
      </c>
      <c r="B2376" s="1" t="s">
        <v>2137</v>
      </c>
      <c r="C2376" s="1" t="s">
        <v>28</v>
      </c>
      <c r="D2376" s="1" t="s">
        <v>53</v>
      </c>
      <c r="E2376" s="1" t="s">
        <v>216</v>
      </c>
      <c r="F2376" s="1" t="s">
        <v>46</v>
      </c>
      <c r="G2376" s="1" t="s">
        <v>47</v>
      </c>
      <c r="H2376" s="1" t="s">
        <v>33</v>
      </c>
      <c r="I2376" s="1" t="s">
        <v>34</v>
      </c>
      <c r="J2376" s="1" t="s">
        <v>59</v>
      </c>
      <c r="K2376" s="1" t="s">
        <v>48</v>
      </c>
      <c r="L2376" s="1" t="s">
        <v>136</v>
      </c>
      <c r="M2376" s="1" t="s">
        <v>50</v>
      </c>
      <c r="N2376" s="1" t="n">
        <v>7499</v>
      </c>
      <c r="O2376" s="1" t="n">
        <v>50</v>
      </c>
      <c r="P2376" s="1" t="n">
        <v>3749.5</v>
      </c>
      <c r="Q2376" s="1" t="n">
        <v>3749.5</v>
      </c>
      <c r="R2376" s="1" t="n">
        <v>674.91</v>
      </c>
      <c r="S2376" s="1" t="n">
        <v>3074.59</v>
      </c>
      <c r="T2376" s="1" t="n">
        <v>1646.91</v>
      </c>
      <c r="U2376" s="1" t="n">
        <v>1427.68</v>
      </c>
      <c r="V2376" s="1" t="n">
        <v>46.43</v>
      </c>
      <c r="W2376" s="1" t="s">
        <v>39</v>
      </c>
      <c r="X2376" s="1" t="n">
        <v>3.6</v>
      </c>
      <c r="Y2376" s="1" t="s">
        <v>40</v>
      </c>
      <c r="Z2376" s="1" t="n">
        <v>0</v>
      </c>
    </row>
    <row r="2377" customFormat="false" ht="15" hidden="false" customHeight="true" outlineLevel="0" collapsed="false">
      <c r="A2377" s="1" t="s">
        <v>3249</v>
      </c>
      <c r="B2377" s="1" t="s">
        <v>956</v>
      </c>
      <c r="C2377" s="1" t="s">
        <v>249</v>
      </c>
      <c r="D2377" s="1" t="s">
        <v>53</v>
      </c>
      <c r="E2377" s="1" t="s">
        <v>116</v>
      </c>
      <c r="F2377" s="1" t="s">
        <v>89</v>
      </c>
      <c r="G2377" s="1" t="s">
        <v>68</v>
      </c>
      <c r="H2377" s="1" t="s">
        <v>33</v>
      </c>
      <c r="I2377" s="1" t="s">
        <v>83</v>
      </c>
      <c r="J2377" s="1" t="s">
        <v>59</v>
      </c>
      <c r="K2377" s="1" t="s">
        <v>84</v>
      </c>
      <c r="L2377" s="1" t="s">
        <v>136</v>
      </c>
      <c r="M2377" s="1" t="s">
        <v>50</v>
      </c>
      <c r="N2377" s="1" t="n">
        <v>9999</v>
      </c>
      <c r="O2377" s="1" t="n">
        <v>20</v>
      </c>
      <c r="P2377" s="1" t="n">
        <v>1999.8</v>
      </c>
      <c r="Q2377" s="1" t="n">
        <v>7999.2</v>
      </c>
      <c r="R2377" s="1" t="n">
        <v>1439.86</v>
      </c>
      <c r="S2377" s="1" t="n">
        <v>6559.34</v>
      </c>
      <c r="T2377" s="1" t="n">
        <v>2541.22</v>
      </c>
      <c r="U2377" s="1" t="n">
        <v>4018.12</v>
      </c>
      <c r="V2377" s="1" t="n">
        <v>61.26</v>
      </c>
      <c r="W2377" s="1" t="s">
        <v>39</v>
      </c>
      <c r="X2377" s="1" t="n">
        <v>4.6</v>
      </c>
      <c r="Y2377" s="1" t="s">
        <v>39</v>
      </c>
      <c r="Z2377" s="1" t="n">
        <v>1</v>
      </c>
    </row>
    <row r="2378" customFormat="false" ht="15" hidden="false" customHeight="true" outlineLevel="0" collapsed="false">
      <c r="A2378" s="1" t="s">
        <v>3250</v>
      </c>
      <c r="B2378" s="1" t="s">
        <v>2149</v>
      </c>
      <c r="C2378" s="1" t="s">
        <v>134</v>
      </c>
      <c r="D2378" s="1" t="s">
        <v>168</v>
      </c>
      <c r="E2378" s="1" t="s">
        <v>172</v>
      </c>
      <c r="F2378" s="1" t="s">
        <v>130</v>
      </c>
      <c r="G2378" s="1" t="s">
        <v>47</v>
      </c>
      <c r="H2378" s="1" t="s">
        <v>69</v>
      </c>
      <c r="I2378" s="1" t="s">
        <v>83</v>
      </c>
      <c r="J2378" s="1" t="s">
        <v>131</v>
      </c>
      <c r="K2378" s="1" t="s">
        <v>60</v>
      </c>
      <c r="L2378" s="1" t="s">
        <v>49</v>
      </c>
      <c r="M2378" s="1" t="s">
        <v>62</v>
      </c>
      <c r="N2378" s="1" t="n">
        <v>6999</v>
      </c>
      <c r="O2378" s="1" t="n">
        <v>15</v>
      </c>
      <c r="P2378" s="1" t="n">
        <v>1049.85</v>
      </c>
      <c r="Q2378" s="1" t="n">
        <v>5949.15</v>
      </c>
      <c r="R2378" s="1" t="n">
        <v>1070.85</v>
      </c>
      <c r="S2378" s="1" t="n">
        <v>4878.3</v>
      </c>
      <c r="T2378" s="1" t="n">
        <v>1825.66</v>
      </c>
      <c r="U2378" s="1" t="n">
        <v>3052.64</v>
      </c>
      <c r="V2378" s="1" t="n">
        <v>62.58</v>
      </c>
      <c r="W2378" s="1" t="s">
        <v>39</v>
      </c>
      <c r="X2378" s="1" t="n">
        <v>3.9</v>
      </c>
      <c r="Y2378" s="1" t="s">
        <v>40</v>
      </c>
      <c r="Z2378" s="1" t="n">
        <v>0</v>
      </c>
    </row>
    <row r="2379" customFormat="false" ht="15" hidden="false" customHeight="true" outlineLevel="0" collapsed="false">
      <c r="A2379" s="1" t="s">
        <v>3251</v>
      </c>
      <c r="B2379" s="1" t="s">
        <v>959</v>
      </c>
      <c r="C2379" s="1" t="s">
        <v>167</v>
      </c>
      <c r="D2379" s="1" t="s">
        <v>94</v>
      </c>
      <c r="E2379" s="1" t="s">
        <v>101</v>
      </c>
      <c r="F2379" s="1" t="s">
        <v>244</v>
      </c>
      <c r="G2379" s="1" t="s">
        <v>97</v>
      </c>
      <c r="H2379" s="1" t="s">
        <v>57</v>
      </c>
      <c r="I2379" s="1" t="s">
        <v>34</v>
      </c>
      <c r="J2379" s="1" t="s">
        <v>131</v>
      </c>
      <c r="K2379" s="1" t="s">
        <v>84</v>
      </c>
      <c r="L2379" s="1" t="s">
        <v>85</v>
      </c>
      <c r="M2379" s="1" t="s">
        <v>50</v>
      </c>
      <c r="N2379" s="1" t="n">
        <v>14999</v>
      </c>
      <c r="O2379" s="1" t="n">
        <v>40</v>
      </c>
      <c r="P2379" s="1" t="n">
        <v>5999.6</v>
      </c>
      <c r="Q2379" s="1" t="n">
        <v>8999.4</v>
      </c>
      <c r="R2379" s="1" t="n">
        <v>1619.89</v>
      </c>
      <c r="S2379" s="1" t="n">
        <v>7379.51</v>
      </c>
      <c r="T2379" s="1" t="n">
        <v>4350.83</v>
      </c>
      <c r="U2379" s="1" t="n">
        <v>3028.68</v>
      </c>
      <c r="V2379" s="1" t="n">
        <v>41.04</v>
      </c>
      <c r="W2379" s="1" t="s">
        <v>40</v>
      </c>
      <c r="Y2379" s="1" t="s">
        <v>39</v>
      </c>
      <c r="Z2379" s="1" t="n">
        <v>1</v>
      </c>
    </row>
    <row r="2380" customFormat="false" ht="15" hidden="false" customHeight="true" outlineLevel="0" collapsed="false">
      <c r="A2380" s="1" t="s">
        <v>3252</v>
      </c>
      <c r="B2380" s="1" t="s">
        <v>680</v>
      </c>
      <c r="C2380" s="1" t="s">
        <v>119</v>
      </c>
      <c r="D2380" s="1" t="s">
        <v>53</v>
      </c>
      <c r="E2380" s="1" t="s">
        <v>216</v>
      </c>
      <c r="F2380" s="1" t="s">
        <v>1709</v>
      </c>
      <c r="G2380" s="1" t="s">
        <v>97</v>
      </c>
      <c r="H2380" s="1" t="s">
        <v>69</v>
      </c>
      <c r="I2380" s="1" t="s">
        <v>83</v>
      </c>
      <c r="J2380" s="1" t="s">
        <v>77</v>
      </c>
      <c r="K2380" s="1" t="s">
        <v>90</v>
      </c>
      <c r="L2380" s="1" t="s">
        <v>136</v>
      </c>
      <c r="M2380" s="1" t="s">
        <v>50</v>
      </c>
      <c r="N2380" s="1" t="n">
        <v>7499</v>
      </c>
      <c r="O2380" s="1" t="n">
        <v>0</v>
      </c>
      <c r="P2380" s="1" t="n">
        <v>0</v>
      </c>
      <c r="Q2380" s="1" t="n">
        <v>7499</v>
      </c>
      <c r="R2380" s="1" t="n">
        <v>1349.82</v>
      </c>
      <c r="S2380" s="1" t="n">
        <v>6149.18</v>
      </c>
      <c r="T2380" s="1" t="n">
        <v>2271.58</v>
      </c>
      <c r="U2380" s="1" t="n">
        <v>3877.6</v>
      </c>
      <c r="V2380" s="1" t="n">
        <v>63.06</v>
      </c>
      <c r="W2380" s="1" t="s">
        <v>40</v>
      </c>
      <c r="Y2380" s="1" t="s">
        <v>40</v>
      </c>
      <c r="Z2380" s="1" t="n">
        <v>0</v>
      </c>
    </row>
    <row r="2381" customFormat="false" ht="15" hidden="false" customHeight="true" outlineLevel="0" collapsed="false">
      <c r="A2381" s="1" t="s">
        <v>3253</v>
      </c>
      <c r="B2381" s="1" t="s">
        <v>897</v>
      </c>
      <c r="C2381" s="1" t="s">
        <v>100</v>
      </c>
      <c r="D2381" s="1" t="s">
        <v>44</v>
      </c>
      <c r="E2381" s="1" t="s">
        <v>66</v>
      </c>
      <c r="F2381" s="1" t="s">
        <v>269</v>
      </c>
      <c r="G2381" s="1" t="s">
        <v>108</v>
      </c>
      <c r="H2381" s="1" t="s">
        <v>57</v>
      </c>
      <c r="I2381" s="1" t="s">
        <v>83</v>
      </c>
      <c r="J2381" s="1" t="s">
        <v>59</v>
      </c>
      <c r="K2381" s="1" t="s">
        <v>36</v>
      </c>
      <c r="L2381" s="1" t="s">
        <v>113</v>
      </c>
      <c r="M2381" s="1" t="s">
        <v>62</v>
      </c>
      <c r="N2381" s="1" t="n">
        <v>12999</v>
      </c>
      <c r="O2381" s="1" t="n">
        <v>0</v>
      </c>
      <c r="P2381" s="1" t="n">
        <v>0</v>
      </c>
      <c r="Q2381" s="1" t="n">
        <v>12999</v>
      </c>
      <c r="R2381" s="1" t="n">
        <v>2339.82</v>
      </c>
      <c r="S2381" s="1" t="n">
        <v>10659.18</v>
      </c>
      <c r="T2381" s="1" t="n">
        <v>4889.34</v>
      </c>
      <c r="U2381" s="1" t="n">
        <v>5769.84</v>
      </c>
      <c r="V2381" s="1" t="n">
        <v>54.13</v>
      </c>
      <c r="W2381" s="1" t="s">
        <v>39</v>
      </c>
      <c r="X2381" s="1" t="n">
        <v>2.9</v>
      </c>
      <c r="Y2381" s="1" t="s">
        <v>40</v>
      </c>
      <c r="Z2381" s="1" t="n">
        <v>1</v>
      </c>
    </row>
    <row r="2382" customFormat="false" ht="15" hidden="false" customHeight="true" outlineLevel="0" collapsed="false">
      <c r="A2382" s="1" t="s">
        <v>3254</v>
      </c>
      <c r="B2382" s="1" t="s">
        <v>513</v>
      </c>
      <c r="C2382" s="1" t="s">
        <v>88</v>
      </c>
      <c r="D2382" s="1" t="s">
        <v>80</v>
      </c>
      <c r="E2382" s="1" t="s">
        <v>193</v>
      </c>
      <c r="F2382" s="1" t="s">
        <v>187</v>
      </c>
      <c r="G2382" s="1" t="s">
        <v>97</v>
      </c>
      <c r="H2382" s="1" t="s">
        <v>69</v>
      </c>
      <c r="I2382" s="1" t="s">
        <v>83</v>
      </c>
      <c r="J2382" s="1" t="s">
        <v>59</v>
      </c>
      <c r="K2382" s="1" t="s">
        <v>104</v>
      </c>
      <c r="L2382" s="1" t="s">
        <v>136</v>
      </c>
      <c r="M2382" s="1" t="s">
        <v>38</v>
      </c>
      <c r="N2382" s="1" t="n">
        <v>8999</v>
      </c>
      <c r="O2382" s="1" t="n">
        <v>30</v>
      </c>
      <c r="P2382" s="1" t="n">
        <v>2699.7</v>
      </c>
      <c r="Q2382" s="1" t="n">
        <v>6299.3</v>
      </c>
      <c r="R2382" s="1" t="n">
        <v>1133.87</v>
      </c>
      <c r="S2382" s="1" t="n">
        <v>5165.43</v>
      </c>
      <c r="T2382" s="1" t="n">
        <v>1901.54</v>
      </c>
      <c r="U2382" s="1" t="n">
        <v>3263.89</v>
      </c>
      <c r="V2382" s="1" t="n">
        <v>63.19</v>
      </c>
      <c r="W2382" s="1" t="s">
        <v>40</v>
      </c>
      <c r="Y2382" s="1" t="s">
        <v>40</v>
      </c>
      <c r="Z2382" s="1" t="n">
        <v>1</v>
      </c>
    </row>
    <row r="2383" customFormat="false" ht="15" hidden="false" customHeight="true" outlineLevel="0" collapsed="false">
      <c r="A2383" s="1" t="s">
        <v>3255</v>
      </c>
      <c r="B2383" s="1" t="s">
        <v>1678</v>
      </c>
      <c r="C2383" s="1" t="s">
        <v>128</v>
      </c>
      <c r="D2383" s="1" t="s">
        <v>94</v>
      </c>
      <c r="E2383" s="1" t="s">
        <v>95</v>
      </c>
      <c r="F2383" s="1" t="s">
        <v>96</v>
      </c>
      <c r="G2383" s="1" t="s">
        <v>97</v>
      </c>
      <c r="H2383" s="1" t="s">
        <v>69</v>
      </c>
      <c r="I2383" s="1" t="s">
        <v>58</v>
      </c>
      <c r="J2383" s="1" t="s">
        <v>70</v>
      </c>
      <c r="K2383" s="1" t="s">
        <v>48</v>
      </c>
      <c r="L2383" s="1" t="s">
        <v>85</v>
      </c>
      <c r="M2383" s="1" t="s">
        <v>62</v>
      </c>
      <c r="N2383" s="1" t="n">
        <v>6999</v>
      </c>
      <c r="O2383" s="1" t="n">
        <v>0</v>
      </c>
      <c r="P2383" s="1" t="n">
        <v>0</v>
      </c>
      <c r="Q2383" s="1" t="n">
        <v>6999</v>
      </c>
      <c r="R2383" s="1" t="n">
        <v>1259.82</v>
      </c>
      <c r="S2383" s="1" t="n">
        <v>5739.18</v>
      </c>
      <c r="T2383" s="1" t="n">
        <v>2491.35</v>
      </c>
      <c r="U2383" s="1" t="n">
        <v>3247.83</v>
      </c>
      <c r="V2383" s="1" t="n">
        <v>56.59</v>
      </c>
      <c r="W2383" s="1" t="s">
        <v>39</v>
      </c>
      <c r="Y2383" s="1" t="s">
        <v>40</v>
      </c>
      <c r="Z2383" s="1" t="n">
        <v>1</v>
      </c>
    </row>
    <row r="2384" customFormat="false" ht="15" hidden="false" customHeight="true" outlineLevel="0" collapsed="false">
      <c r="A2384" s="1" t="s">
        <v>3256</v>
      </c>
      <c r="B2384" s="1" t="s">
        <v>371</v>
      </c>
      <c r="C2384" s="1" t="s">
        <v>43</v>
      </c>
      <c r="D2384" s="1" t="s">
        <v>143</v>
      </c>
      <c r="E2384" s="1" t="s">
        <v>159</v>
      </c>
      <c r="F2384" s="1" t="s">
        <v>153</v>
      </c>
      <c r="G2384" s="1" t="s">
        <v>76</v>
      </c>
      <c r="H2384" s="1" t="s">
        <v>33</v>
      </c>
      <c r="I2384" s="1" t="s">
        <v>58</v>
      </c>
      <c r="J2384" s="1" t="s">
        <v>35</v>
      </c>
      <c r="K2384" s="1" t="s">
        <v>84</v>
      </c>
      <c r="L2384" s="1" t="s">
        <v>113</v>
      </c>
      <c r="M2384" s="1" t="s">
        <v>62</v>
      </c>
      <c r="N2384" s="1" t="n">
        <v>24999</v>
      </c>
      <c r="O2384" s="1" t="n">
        <v>0</v>
      </c>
      <c r="P2384" s="1" t="n">
        <v>0</v>
      </c>
      <c r="Q2384" s="1" t="n">
        <v>24999</v>
      </c>
      <c r="R2384" s="1" t="n">
        <v>4499.82</v>
      </c>
      <c r="S2384" s="1" t="n">
        <v>20499.18</v>
      </c>
      <c r="T2384" s="1" t="n">
        <v>10092.61</v>
      </c>
      <c r="U2384" s="1" t="n">
        <v>10406.57</v>
      </c>
      <c r="V2384" s="1" t="n">
        <v>50.77</v>
      </c>
      <c r="W2384" s="1" t="s">
        <v>39</v>
      </c>
      <c r="X2384" s="1" t="n">
        <v>3.9</v>
      </c>
      <c r="Y2384" s="1" t="s">
        <v>40</v>
      </c>
      <c r="Z2384" s="1" t="n">
        <v>0</v>
      </c>
    </row>
    <row r="2385" customFormat="false" ht="15" hidden="false" customHeight="true" outlineLevel="0" collapsed="false">
      <c r="A2385" s="1" t="s">
        <v>3257</v>
      </c>
      <c r="B2385" s="1" t="s">
        <v>601</v>
      </c>
      <c r="C2385" s="1" t="s">
        <v>249</v>
      </c>
      <c r="D2385" s="1" t="s">
        <v>44</v>
      </c>
      <c r="E2385" s="1" t="s">
        <v>45</v>
      </c>
      <c r="F2385" s="1" t="s">
        <v>244</v>
      </c>
      <c r="G2385" s="1" t="s">
        <v>97</v>
      </c>
      <c r="H2385" s="1" t="s">
        <v>57</v>
      </c>
      <c r="I2385" s="1" t="s">
        <v>58</v>
      </c>
      <c r="J2385" s="1" t="s">
        <v>35</v>
      </c>
      <c r="K2385" s="1" t="s">
        <v>84</v>
      </c>
      <c r="L2385" s="1" t="s">
        <v>61</v>
      </c>
      <c r="M2385" s="1" t="s">
        <v>62</v>
      </c>
      <c r="N2385" s="1" t="n">
        <v>11999</v>
      </c>
      <c r="O2385" s="1" t="n">
        <v>20</v>
      </c>
      <c r="P2385" s="1" t="n">
        <v>2399.8</v>
      </c>
      <c r="Q2385" s="1" t="n">
        <v>9599.2</v>
      </c>
      <c r="R2385" s="1" t="n">
        <v>1727.86</v>
      </c>
      <c r="S2385" s="1" t="n">
        <v>7871.34</v>
      </c>
      <c r="T2385" s="1" t="n">
        <v>3369.05</v>
      </c>
      <c r="U2385" s="1" t="n">
        <v>4502.29</v>
      </c>
      <c r="V2385" s="1" t="n">
        <v>57.2</v>
      </c>
      <c r="W2385" s="1" t="s">
        <v>39</v>
      </c>
      <c r="X2385" s="1" t="n">
        <v>3.7</v>
      </c>
      <c r="Y2385" s="1" t="s">
        <v>40</v>
      </c>
      <c r="Z2385" s="1" t="n">
        <v>0</v>
      </c>
    </row>
    <row r="2386" customFormat="false" ht="15" hidden="false" customHeight="true" outlineLevel="0" collapsed="false">
      <c r="A2386" s="1" t="s">
        <v>3258</v>
      </c>
      <c r="B2386" s="1" t="s">
        <v>876</v>
      </c>
      <c r="C2386" s="1" t="s">
        <v>43</v>
      </c>
      <c r="D2386" s="1" t="s">
        <v>123</v>
      </c>
      <c r="E2386" s="1" t="s">
        <v>147</v>
      </c>
      <c r="F2386" s="1" t="s">
        <v>205</v>
      </c>
      <c r="G2386" s="1" t="s">
        <v>56</v>
      </c>
      <c r="H2386" s="1" t="s">
        <v>69</v>
      </c>
      <c r="I2386" s="1" t="s">
        <v>58</v>
      </c>
      <c r="J2386" s="1" t="s">
        <v>77</v>
      </c>
      <c r="K2386" s="1" t="s">
        <v>84</v>
      </c>
      <c r="L2386" s="1" t="s">
        <v>85</v>
      </c>
      <c r="M2386" s="1" t="s">
        <v>38</v>
      </c>
      <c r="N2386" s="1" t="n">
        <v>6999</v>
      </c>
      <c r="O2386" s="1" t="n">
        <v>30</v>
      </c>
      <c r="P2386" s="1" t="n">
        <v>2099.7</v>
      </c>
      <c r="Q2386" s="1" t="n">
        <v>4899.3</v>
      </c>
      <c r="R2386" s="1" t="n">
        <v>881.87</v>
      </c>
      <c r="S2386" s="1" t="n">
        <v>4017.43</v>
      </c>
      <c r="T2386" s="1" t="n">
        <v>1404.68</v>
      </c>
      <c r="U2386" s="1" t="n">
        <v>2612.75</v>
      </c>
      <c r="V2386" s="1" t="n">
        <v>65.04</v>
      </c>
      <c r="W2386" s="1" t="s">
        <v>40</v>
      </c>
      <c r="Y2386" s="1" t="s">
        <v>40</v>
      </c>
      <c r="Z2386" s="1" t="n">
        <v>0</v>
      </c>
    </row>
    <row r="2387" customFormat="false" ht="15" hidden="false" customHeight="true" outlineLevel="0" collapsed="false">
      <c r="A2387" s="1" t="s">
        <v>3259</v>
      </c>
      <c r="B2387" s="1" t="s">
        <v>598</v>
      </c>
      <c r="C2387" s="1" t="s">
        <v>178</v>
      </c>
      <c r="D2387" s="1" t="s">
        <v>44</v>
      </c>
      <c r="E2387" s="1" t="s">
        <v>45</v>
      </c>
      <c r="F2387" s="1" t="s">
        <v>150</v>
      </c>
      <c r="G2387" s="1" t="s">
        <v>32</v>
      </c>
      <c r="H2387" s="1" t="s">
        <v>57</v>
      </c>
      <c r="I2387" s="1" t="s">
        <v>58</v>
      </c>
      <c r="J2387" s="1" t="s">
        <v>59</v>
      </c>
      <c r="K2387" s="1" t="s">
        <v>90</v>
      </c>
      <c r="L2387" s="1" t="s">
        <v>49</v>
      </c>
      <c r="M2387" s="1" t="s">
        <v>50</v>
      </c>
      <c r="N2387" s="1" t="n">
        <v>11999</v>
      </c>
      <c r="O2387" s="1" t="n">
        <v>0</v>
      </c>
      <c r="P2387" s="1" t="n">
        <v>0</v>
      </c>
      <c r="Q2387" s="1" t="n">
        <v>11999</v>
      </c>
      <c r="R2387" s="1" t="n">
        <v>2159.82</v>
      </c>
      <c r="S2387" s="1" t="n">
        <v>9839.18</v>
      </c>
      <c r="T2387" s="1" t="n">
        <v>4880.24</v>
      </c>
      <c r="U2387" s="1" t="n">
        <v>4958.94</v>
      </c>
      <c r="V2387" s="1" t="n">
        <v>50.4</v>
      </c>
      <c r="W2387" s="1" t="s">
        <v>39</v>
      </c>
      <c r="X2387" s="1" t="n">
        <v>3.7</v>
      </c>
      <c r="Y2387" s="1" t="s">
        <v>40</v>
      </c>
      <c r="Z2387" s="1" t="n">
        <v>0</v>
      </c>
    </row>
    <row r="2388" customFormat="false" ht="15" hidden="false" customHeight="true" outlineLevel="0" collapsed="false">
      <c r="A2388" s="1" t="s">
        <v>3260</v>
      </c>
      <c r="B2388" s="1" t="s">
        <v>387</v>
      </c>
      <c r="C2388" s="1" t="s">
        <v>43</v>
      </c>
      <c r="D2388" s="1" t="s">
        <v>168</v>
      </c>
      <c r="E2388" s="1" t="s">
        <v>328</v>
      </c>
      <c r="F2388" s="1" t="s">
        <v>75</v>
      </c>
      <c r="G2388" s="1" t="s">
        <v>76</v>
      </c>
      <c r="H2388" s="1" t="s">
        <v>69</v>
      </c>
      <c r="I2388" s="1" t="s">
        <v>34</v>
      </c>
      <c r="J2388" s="1" t="s">
        <v>131</v>
      </c>
      <c r="K2388" s="1" t="s">
        <v>48</v>
      </c>
      <c r="L2388" s="1" t="s">
        <v>61</v>
      </c>
      <c r="M2388" s="1" t="s">
        <v>62</v>
      </c>
      <c r="N2388" s="1" t="n">
        <v>8999</v>
      </c>
      <c r="O2388" s="1" t="n">
        <v>10</v>
      </c>
      <c r="P2388" s="1" t="n">
        <v>899.9</v>
      </c>
      <c r="Q2388" s="1" t="n">
        <v>8099.1</v>
      </c>
      <c r="R2388" s="1" t="n">
        <v>1457.84</v>
      </c>
      <c r="S2388" s="1" t="n">
        <v>6641.26</v>
      </c>
      <c r="T2388" s="1" t="n">
        <v>2263.33</v>
      </c>
      <c r="U2388" s="1" t="n">
        <v>4377.93</v>
      </c>
      <c r="V2388" s="1" t="n">
        <v>65.92</v>
      </c>
      <c r="W2388" s="1" t="s">
        <v>39</v>
      </c>
      <c r="Y2388" s="1" t="s">
        <v>40</v>
      </c>
      <c r="Z2388" s="1" t="n">
        <v>1</v>
      </c>
    </row>
    <row r="2389" customFormat="false" ht="15" hidden="false" customHeight="true" outlineLevel="0" collapsed="false">
      <c r="A2389" s="1" t="s">
        <v>3261</v>
      </c>
      <c r="B2389" s="1" t="s">
        <v>2360</v>
      </c>
      <c r="C2389" s="1" t="s">
        <v>264</v>
      </c>
      <c r="D2389" s="1" t="s">
        <v>143</v>
      </c>
      <c r="E2389" s="1" t="s">
        <v>162</v>
      </c>
      <c r="F2389" s="1" t="s">
        <v>602</v>
      </c>
      <c r="G2389" s="1" t="s">
        <v>32</v>
      </c>
      <c r="H2389" s="1" t="s">
        <v>33</v>
      </c>
      <c r="I2389" s="1" t="s">
        <v>83</v>
      </c>
      <c r="J2389" s="1" t="s">
        <v>35</v>
      </c>
      <c r="K2389" s="1" t="s">
        <v>36</v>
      </c>
      <c r="L2389" s="1" t="s">
        <v>136</v>
      </c>
      <c r="M2389" s="1" t="s">
        <v>62</v>
      </c>
      <c r="N2389" s="1" t="n">
        <v>14999</v>
      </c>
      <c r="O2389" s="1" t="n">
        <v>5</v>
      </c>
      <c r="P2389" s="1" t="n">
        <v>749.95</v>
      </c>
      <c r="Q2389" s="1" t="n">
        <v>14249.05</v>
      </c>
      <c r="R2389" s="1" t="n">
        <v>2564.83</v>
      </c>
      <c r="S2389" s="1" t="n">
        <v>11684.22</v>
      </c>
      <c r="T2389" s="1" t="n">
        <v>5939.74</v>
      </c>
      <c r="U2389" s="1" t="n">
        <v>5744.48</v>
      </c>
      <c r="V2389" s="1" t="n">
        <v>49.16</v>
      </c>
      <c r="W2389" s="1" t="s">
        <v>40</v>
      </c>
      <c r="Y2389" s="1" t="s">
        <v>40</v>
      </c>
      <c r="Z2389" s="1" t="n">
        <v>1</v>
      </c>
    </row>
    <row r="2390" customFormat="false" ht="15" hidden="false" customHeight="true" outlineLevel="0" collapsed="false">
      <c r="A2390" s="1" t="s">
        <v>590</v>
      </c>
      <c r="B2390" s="1" t="s">
        <v>591</v>
      </c>
      <c r="C2390" s="1" t="s">
        <v>88</v>
      </c>
      <c r="D2390" s="1" t="s">
        <v>44</v>
      </c>
      <c r="E2390" s="1" t="s">
        <v>45</v>
      </c>
      <c r="F2390" s="1" t="s">
        <v>184</v>
      </c>
      <c r="G2390" s="1" t="s">
        <v>56</v>
      </c>
      <c r="H2390" s="1" t="s">
        <v>57</v>
      </c>
      <c r="I2390" s="1" t="s">
        <v>83</v>
      </c>
      <c r="J2390" s="1" t="s">
        <v>35</v>
      </c>
      <c r="K2390" s="1" t="s">
        <v>112</v>
      </c>
      <c r="L2390" s="1" t="s">
        <v>49</v>
      </c>
      <c r="M2390" s="1" t="s">
        <v>50</v>
      </c>
      <c r="N2390" s="1" t="n">
        <v>11999</v>
      </c>
      <c r="O2390" s="1" t="n">
        <v>30</v>
      </c>
      <c r="P2390" s="1" t="n">
        <v>3599.7</v>
      </c>
      <c r="Q2390" s="1" t="n">
        <v>8399.3</v>
      </c>
      <c r="R2390" s="1" t="n">
        <v>1511.87</v>
      </c>
      <c r="S2390" s="1" t="n">
        <v>6887.43</v>
      </c>
      <c r="T2390" s="1" t="n">
        <v>3300</v>
      </c>
      <c r="U2390" s="1" t="n">
        <v>3587.43</v>
      </c>
      <c r="V2390" s="1" t="n">
        <v>52.09</v>
      </c>
      <c r="W2390" s="1" t="s">
        <v>40</v>
      </c>
      <c r="Y2390" s="1" t="s">
        <v>40</v>
      </c>
      <c r="Z2390" s="1" t="n">
        <v>2</v>
      </c>
    </row>
    <row r="2391" customFormat="false" ht="15" hidden="false" customHeight="true" outlineLevel="0" collapsed="false">
      <c r="A2391" s="1" t="s">
        <v>3262</v>
      </c>
      <c r="B2391" s="1" t="s">
        <v>994</v>
      </c>
      <c r="C2391" s="1" t="s">
        <v>264</v>
      </c>
      <c r="D2391" s="1" t="s">
        <v>143</v>
      </c>
      <c r="E2391" s="1" t="s">
        <v>243</v>
      </c>
      <c r="F2391" s="1" t="s">
        <v>31</v>
      </c>
      <c r="G2391" s="1" t="s">
        <v>32</v>
      </c>
      <c r="H2391" s="1" t="s">
        <v>33</v>
      </c>
      <c r="I2391" s="1" t="s">
        <v>58</v>
      </c>
      <c r="J2391" s="1" t="s">
        <v>77</v>
      </c>
      <c r="K2391" s="1" t="s">
        <v>60</v>
      </c>
      <c r="L2391" s="1" t="s">
        <v>37</v>
      </c>
      <c r="M2391" s="1" t="s">
        <v>38</v>
      </c>
      <c r="N2391" s="1" t="n">
        <v>22999</v>
      </c>
      <c r="O2391" s="1" t="n">
        <v>10</v>
      </c>
      <c r="P2391" s="1" t="n">
        <v>2299.9</v>
      </c>
      <c r="Q2391" s="1" t="n">
        <v>20699.1</v>
      </c>
      <c r="R2391" s="1" t="n">
        <v>3725.84</v>
      </c>
      <c r="S2391" s="1" t="n">
        <v>16973.26</v>
      </c>
      <c r="T2391" s="1" t="n">
        <v>7090.85</v>
      </c>
      <c r="U2391" s="1" t="n">
        <v>9882.41</v>
      </c>
      <c r="V2391" s="1" t="n">
        <v>58.22</v>
      </c>
      <c r="W2391" s="1" t="s">
        <v>40</v>
      </c>
      <c r="Y2391" s="1" t="s">
        <v>39</v>
      </c>
      <c r="Z2391" s="1" t="n">
        <v>1</v>
      </c>
    </row>
    <row r="2392" customFormat="false" ht="15" hidden="false" customHeight="true" outlineLevel="0" collapsed="false">
      <c r="A2392" s="1" t="s">
        <v>3263</v>
      </c>
      <c r="B2392" s="1" t="s">
        <v>1625</v>
      </c>
      <c r="C2392" s="1" t="s">
        <v>119</v>
      </c>
      <c r="D2392" s="1" t="s">
        <v>80</v>
      </c>
      <c r="E2392" s="1" t="s">
        <v>193</v>
      </c>
      <c r="F2392" s="1" t="s">
        <v>125</v>
      </c>
      <c r="G2392" s="1" t="s">
        <v>108</v>
      </c>
      <c r="H2392" s="1" t="s">
        <v>69</v>
      </c>
      <c r="I2392" s="1" t="s">
        <v>83</v>
      </c>
      <c r="J2392" s="1" t="s">
        <v>77</v>
      </c>
      <c r="K2392" s="1" t="s">
        <v>90</v>
      </c>
      <c r="L2392" s="1" t="s">
        <v>113</v>
      </c>
      <c r="M2392" s="1" t="s">
        <v>38</v>
      </c>
      <c r="N2392" s="1" t="n">
        <v>8999</v>
      </c>
      <c r="O2392" s="1" t="n">
        <v>10</v>
      </c>
      <c r="P2392" s="1" t="n">
        <v>899.9</v>
      </c>
      <c r="Q2392" s="1" t="n">
        <v>8099.1</v>
      </c>
      <c r="R2392" s="1" t="n">
        <v>1457.84</v>
      </c>
      <c r="S2392" s="1" t="n">
        <v>6641.26</v>
      </c>
      <c r="T2392" s="1" t="n">
        <v>2670.44</v>
      </c>
      <c r="U2392" s="1" t="n">
        <v>3970.82</v>
      </c>
      <c r="V2392" s="1" t="n">
        <v>59.79</v>
      </c>
      <c r="W2392" s="1" t="s">
        <v>39</v>
      </c>
      <c r="X2392" s="1" t="n">
        <v>3.9</v>
      </c>
      <c r="Y2392" s="1" t="s">
        <v>40</v>
      </c>
      <c r="Z2392" s="1" t="n">
        <v>3</v>
      </c>
    </row>
    <row r="2393" customFormat="false" ht="15" hidden="false" customHeight="true" outlineLevel="0" collapsed="false">
      <c r="A2393" s="1" t="s">
        <v>3264</v>
      </c>
      <c r="B2393" s="1" t="s">
        <v>1855</v>
      </c>
      <c r="C2393" s="1" t="s">
        <v>65</v>
      </c>
      <c r="D2393" s="1" t="s">
        <v>53</v>
      </c>
      <c r="E2393" s="1" t="s">
        <v>116</v>
      </c>
      <c r="F2393" s="1" t="s">
        <v>67</v>
      </c>
      <c r="G2393" s="1" t="s">
        <v>68</v>
      </c>
      <c r="H2393" s="1" t="s">
        <v>69</v>
      </c>
      <c r="I2393" s="1" t="s">
        <v>83</v>
      </c>
      <c r="J2393" s="1" t="s">
        <v>77</v>
      </c>
      <c r="K2393" s="1" t="s">
        <v>36</v>
      </c>
      <c r="L2393" s="1" t="s">
        <v>37</v>
      </c>
      <c r="M2393" s="1" t="s">
        <v>50</v>
      </c>
      <c r="N2393" s="1" t="n">
        <v>9999</v>
      </c>
      <c r="O2393" s="1" t="n">
        <v>25</v>
      </c>
      <c r="P2393" s="1" t="n">
        <v>2499.75</v>
      </c>
      <c r="Q2393" s="1" t="n">
        <v>7499.25</v>
      </c>
      <c r="R2393" s="1" t="n">
        <v>1349.87</v>
      </c>
      <c r="S2393" s="1" t="n">
        <v>6149.38</v>
      </c>
      <c r="T2393" s="1" t="n">
        <v>2541.01</v>
      </c>
      <c r="U2393" s="1" t="n">
        <v>3608.37</v>
      </c>
      <c r="V2393" s="1" t="n">
        <v>58.68</v>
      </c>
      <c r="W2393" s="1" t="s">
        <v>40</v>
      </c>
      <c r="Y2393" s="1" t="s">
        <v>40</v>
      </c>
      <c r="Z2393" s="1" t="n">
        <v>0</v>
      </c>
    </row>
    <row r="2394" customFormat="false" ht="15" hidden="false" customHeight="true" outlineLevel="0" collapsed="false">
      <c r="A2394" s="1" t="s">
        <v>3265</v>
      </c>
      <c r="B2394" s="1" t="s">
        <v>882</v>
      </c>
      <c r="C2394" s="1" t="s">
        <v>249</v>
      </c>
      <c r="D2394" s="1" t="s">
        <v>168</v>
      </c>
      <c r="E2394" s="1" t="s">
        <v>169</v>
      </c>
      <c r="F2394" s="1" t="s">
        <v>46</v>
      </c>
      <c r="G2394" s="1" t="s">
        <v>47</v>
      </c>
      <c r="H2394" s="1" t="s">
        <v>33</v>
      </c>
      <c r="I2394" s="1" t="s">
        <v>34</v>
      </c>
      <c r="J2394" s="1" t="s">
        <v>77</v>
      </c>
      <c r="K2394" s="1" t="s">
        <v>48</v>
      </c>
      <c r="L2394" s="1" t="s">
        <v>37</v>
      </c>
      <c r="M2394" s="1" t="s">
        <v>38</v>
      </c>
      <c r="N2394" s="1" t="n">
        <v>4999</v>
      </c>
      <c r="O2394" s="1" t="n">
        <v>10</v>
      </c>
      <c r="P2394" s="1" t="n">
        <v>499.9</v>
      </c>
      <c r="Q2394" s="1" t="n">
        <v>4499.1</v>
      </c>
      <c r="R2394" s="1" t="n">
        <v>809.84</v>
      </c>
      <c r="S2394" s="1" t="n">
        <v>3689.26</v>
      </c>
      <c r="T2394" s="1" t="n">
        <v>1541.08</v>
      </c>
      <c r="U2394" s="1" t="n">
        <v>2148.18</v>
      </c>
      <c r="V2394" s="1" t="n">
        <v>58.23</v>
      </c>
      <c r="W2394" s="1" t="s">
        <v>39</v>
      </c>
      <c r="X2394" s="1" t="n">
        <v>3.7</v>
      </c>
      <c r="Y2394" s="1" t="s">
        <v>40</v>
      </c>
      <c r="Z2394" s="1" t="n">
        <v>0</v>
      </c>
    </row>
    <row r="2395" customFormat="false" ht="15" hidden="false" customHeight="true" outlineLevel="0" collapsed="false">
      <c r="A2395" s="1" t="s">
        <v>3266</v>
      </c>
      <c r="B2395" s="1" t="s">
        <v>732</v>
      </c>
      <c r="C2395" s="1" t="s">
        <v>88</v>
      </c>
      <c r="D2395" s="1" t="s">
        <v>80</v>
      </c>
      <c r="E2395" s="1" t="s">
        <v>175</v>
      </c>
      <c r="F2395" s="1" t="s">
        <v>46</v>
      </c>
      <c r="G2395" s="1" t="s">
        <v>47</v>
      </c>
      <c r="H2395" s="1" t="s">
        <v>33</v>
      </c>
      <c r="I2395" s="1" t="s">
        <v>83</v>
      </c>
      <c r="J2395" s="1" t="s">
        <v>77</v>
      </c>
      <c r="K2395" s="1" t="s">
        <v>112</v>
      </c>
      <c r="L2395" s="1" t="s">
        <v>85</v>
      </c>
      <c r="M2395" s="1" t="s">
        <v>62</v>
      </c>
      <c r="N2395" s="1" t="n">
        <v>19999</v>
      </c>
      <c r="O2395" s="1" t="n">
        <v>0</v>
      </c>
      <c r="P2395" s="1" t="n">
        <v>0</v>
      </c>
      <c r="Q2395" s="1" t="n">
        <v>19999</v>
      </c>
      <c r="R2395" s="1" t="n">
        <v>3599.82</v>
      </c>
      <c r="S2395" s="1" t="n">
        <v>16399.18</v>
      </c>
      <c r="T2395" s="1" t="n">
        <v>7538.13</v>
      </c>
      <c r="U2395" s="1" t="n">
        <v>8861.05</v>
      </c>
      <c r="V2395" s="1" t="n">
        <v>54.03</v>
      </c>
      <c r="W2395" s="1" t="s">
        <v>39</v>
      </c>
      <c r="X2395" s="1" t="n">
        <v>3.9</v>
      </c>
      <c r="Y2395" s="1" t="s">
        <v>40</v>
      </c>
      <c r="Z2395" s="1" t="n">
        <v>0</v>
      </c>
    </row>
    <row r="2396" customFormat="false" ht="15" hidden="false" customHeight="true" outlineLevel="0" collapsed="false">
      <c r="A2396" s="1" t="s">
        <v>3267</v>
      </c>
      <c r="B2396" s="1" t="s">
        <v>2360</v>
      </c>
      <c r="C2396" s="1" t="s">
        <v>134</v>
      </c>
      <c r="D2396" s="1" t="s">
        <v>94</v>
      </c>
      <c r="E2396" s="1" t="s">
        <v>135</v>
      </c>
      <c r="F2396" s="1" t="s">
        <v>130</v>
      </c>
      <c r="G2396" s="1" t="s">
        <v>47</v>
      </c>
      <c r="H2396" s="1" t="s">
        <v>69</v>
      </c>
      <c r="I2396" s="1" t="s">
        <v>34</v>
      </c>
      <c r="J2396" s="1" t="s">
        <v>70</v>
      </c>
      <c r="K2396" s="1" t="s">
        <v>90</v>
      </c>
      <c r="L2396" s="1" t="s">
        <v>136</v>
      </c>
      <c r="M2396" s="1" t="s">
        <v>38</v>
      </c>
      <c r="N2396" s="1" t="n">
        <v>9999</v>
      </c>
      <c r="O2396" s="1" t="n">
        <v>0</v>
      </c>
      <c r="P2396" s="1" t="n">
        <v>0</v>
      </c>
      <c r="Q2396" s="1" t="n">
        <v>9999</v>
      </c>
      <c r="R2396" s="1" t="n">
        <v>1799.82</v>
      </c>
      <c r="S2396" s="1" t="n">
        <v>8199.18</v>
      </c>
      <c r="T2396" s="1" t="n">
        <v>2467.44</v>
      </c>
      <c r="U2396" s="1" t="n">
        <v>5731.74</v>
      </c>
      <c r="V2396" s="1" t="n">
        <v>69.91</v>
      </c>
      <c r="W2396" s="1" t="s">
        <v>39</v>
      </c>
      <c r="X2396" s="1" t="n">
        <v>4.9</v>
      </c>
      <c r="Y2396" s="1" t="s">
        <v>40</v>
      </c>
      <c r="Z2396" s="1" t="n">
        <v>3</v>
      </c>
    </row>
    <row r="2397" customFormat="false" ht="15" hidden="false" customHeight="true" outlineLevel="0" collapsed="false">
      <c r="A2397" s="1" t="s">
        <v>3268</v>
      </c>
      <c r="B2397" s="1" t="s">
        <v>1056</v>
      </c>
      <c r="C2397" s="1" t="s">
        <v>88</v>
      </c>
      <c r="D2397" s="1" t="s">
        <v>143</v>
      </c>
      <c r="E2397" s="1" t="s">
        <v>159</v>
      </c>
      <c r="F2397" s="1" t="s">
        <v>211</v>
      </c>
      <c r="G2397" s="1" t="s">
        <v>56</v>
      </c>
      <c r="H2397" s="1" t="s">
        <v>69</v>
      </c>
      <c r="I2397" s="1" t="s">
        <v>34</v>
      </c>
      <c r="J2397" s="1" t="s">
        <v>131</v>
      </c>
      <c r="K2397" s="1" t="s">
        <v>36</v>
      </c>
      <c r="L2397" s="1" t="s">
        <v>85</v>
      </c>
      <c r="M2397" s="1" t="s">
        <v>50</v>
      </c>
      <c r="N2397" s="1" t="n">
        <v>24999</v>
      </c>
      <c r="O2397" s="1" t="n">
        <v>15</v>
      </c>
      <c r="P2397" s="1" t="n">
        <v>3749.85</v>
      </c>
      <c r="Q2397" s="1" t="n">
        <v>21249.15</v>
      </c>
      <c r="R2397" s="1" t="n">
        <v>3824.85</v>
      </c>
      <c r="S2397" s="1" t="n">
        <v>17424.3</v>
      </c>
      <c r="T2397" s="1" t="n">
        <v>6039.59</v>
      </c>
      <c r="U2397" s="1" t="n">
        <v>11384.71</v>
      </c>
      <c r="V2397" s="1" t="n">
        <v>65.34</v>
      </c>
      <c r="W2397" s="1" t="s">
        <v>39</v>
      </c>
      <c r="X2397" s="1" t="n">
        <v>3.8</v>
      </c>
      <c r="Y2397" s="1" t="s">
        <v>40</v>
      </c>
      <c r="Z2397" s="1" t="n">
        <v>0</v>
      </c>
    </row>
    <row r="2398" customFormat="false" ht="15" hidden="false" customHeight="true" outlineLevel="0" collapsed="false">
      <c r="A2398" s="1" t="s">
        <v>3269</v>
      </c>
      <c r="B2398" s="1" t="s">
        <v>515</v>
      </c>
      <c r="C2398" s="1" t="s">
        <v>88</v>
      </c>
      <c r="D2398" s="1" t="s">
        <v>168</v>
      </c>
      <c r="E2398" s="1" t="s">
        <v>328</v>
      </c>
      <c r="F2398" s="1" t="s">
        <v>150</v>
      </c>
      <c r="G2398" s="1" t="s">
        <v>32</v>
      </c>
      <c r="H2398" s="1" t="s">
        <v>57</v>
      </c>
      <c r="I2398" s="1" t="s">
        <v>34</v>
      </c>
      <c r="J2398" s="1" t="s">
        <v>77</v>
      </c>
      <c r="K2398" s="1" t="s">
        <v>36</v>
      </c>
      <c r="L2398" s="1" t="s">
        <v>37</v>
      </c>
      <c r="M2398" s="1" t="s">
        <v>50</v>
      </c>
      <c r="N2398" s="1" t="n">
        <v>8999</v>
      </c>
      <c r="O2398" s="1" t="n">
        <v>40</v>
      </c>
      <c r="P2398" s="1" t="n">
        <v>3599.6</v>
      </c>
      <c r="Q2398" s="1" t="n">
        <v>5399.4</v>
      </c>
      <c r="R2398" s="1" t="n">
        <v>971.89</v>
      </c>
      <c r="S2398" s="1" t="n">
        <v>4427.51</v>
      </c>
      <c r="T2398" s="1" t="n">
        <v>2098.98</v>
      </c>
      <c r="U2398" s="1" t="n">
        <v>2328.53</v>
      </c>
      <c r="V2398" s="1" t="n">
        <v>52.59</v>
      </c>
      <c r="W2398" s="1" t="s">
        <v>39</v>
      </c>
      <c r="X2398" s="1" t="n">
        <v>3.6</v>
      </c>
      <c r="Y2398" s="1" t="s">
        <v>40</v>
      </c>
      <c r="Z2398" s="1" t="n">
        <v>1</v>
      </c>
    </row>
    <row r="2399" customFormat="false" ht="15" hidden="false" customHeight="true" outlineLevel="0" collapsed="false">
      <c r="A2399" s="1" t="s">
        <v>3270</v>
      </c>
      <c r="B2399" s="1" t="s">
        <v>1298</v>
      </c>
      <c r="C2399" s="1" t="s">
        <v>43</v>
      </c>
      <c r="D2399" s="1" t="s">
        <v>168</v>
      </c>
      <c r="E2399" s="1" t="s">
        <v>197</v>
      </c>
      <c r="F2399" s="1" t="s">
        <v>89</v>
      </c>
      <c r="G2399" s="1" t="s">
        <v>68</v>
      </c>
      <c r="H2399" s="1" t="s">
        <v>33</v>
      </c>
      <c r="I2399" s="1" t="s">
        <v>83</v>
      </c>
      <c r="J2399" s="1" t="s">
        <v>131</v>
      </c>
      <c r="K2399" s="1" t="s">
        <v>60</v>
      </c>
      <c r="L2399" s="1" t="s">
        <v>61</v>
      </c>
      <c r="M2399" s="1" t="s">
        <v>62</v>
      </c>
      <c r="N2399" s="1" t="n">
        <v>8499</v>
      </c>
      <c r="O2399" s="1" t="n">
        <v>25</v>
      </c>
      <c r="P2399" s="1" t="n">
        <v>2124.75</v>
      </c>
      <c r="Q2399" s="1" t="n">
        <v>6374.25</v>
      </c>
      <c r="R2399" s="1" t="n">
        <v>1147.37</v>
      </c>
      <c r="S2399" s="1" t="n">
        <v>5226.88</v>
      </c>
      <c r="T2399" s="1" t="n">
        <v>2598.56</v>
      </c>
      <c r="U2399" s="1" t="n">
        <v>2628.32</v>
      </c>
      <c r="V2399" s="1" t="n">
        <v>50.28</v>
      </c>
      <c r="W2399" s="1" t="s">
        <v>40</v>
      </c>
      <c r="Y2399" s="1" t="s">
        <v>40</v>
      </c>
      <c r="Z2399" s="1" t="n">
        <v>0</v>
      </c>
    </row>
    <row r="2400" customFormat="false" ht="15" hidden="false" customHeight="true" outlineLevel="0" collapsed="false">
      <c r="A2400" s="1" t="s">
        <v>3271</v>
      </c>
      <c r="B2400" s="1" t="s">
        <v>138</v>
      </c>
      <c r="C2400" s="1" t="s">
        <v>128</v>
      </c>
      <c r="D2400" s="1" t="s">
        <v>53</v>
      </c>
      <c r="E2400" s="1" t="s">
        <v>216</v>
      </c>
      <c r="F2400" s="1" t="s">
        <v>31</v>
      </c>
      <c r="G2400" s="1" t="s">
        <v>32</v>
      </c>
      <c r="H2400" s="1" t="s">
        <v>33</v>
      </c>
      <c r="I2400" s="1" t="s">
        <v>34</v>
      </c>
      <c r="J2400" s="1" t="s">
        <v>59</v>
      </c>
      <c r="K2400" s="1" t="s">
        <v>36</v>
      </c>
      <c r="L2400" s="1" t="s">
        <v>61</v>
      </c>
      <c r="M2400" s="1" t="s">
        <v>62</v>
      </c>
      <c r="N2400" s="1" t="n">
        <v>7499</v>
      </c>
      <c r="O2400" s="1" t="n">
        <v>40</v>
      </c>
      <c r="P2400" s="1" t="n">
        <v>2999.6</v>
      </c>
      <c r="Q2400" s="1" t="n">
        <v>4499.4</v>
      </c>
      <c r="R2400" s="1" t="n">
        <v>809.89</v>
      </c>
      <c r="S2400" s="1" t="n">
        <v>3689.51</v>
      </c>
      <c r="T2400" s="1" t="n">
        <v>2170.62</v>
      </c>
      <c r="U2400" s="1" t="n">
        <v>1518.89</v>
      </c>
      <c r="V2400" s="1" t="n">
        <v>41.17</v>
      </c>
      <c r="W2400" s="1" t="s">
        <v>40</v>
      </c>
      <c r="Y2400" s="1" t="s">
        <v>40</v>
      </c>
      <c r="Z2400" s="1" t="n">
        <v>3</v>
      </c>
    </row>
    <row r="2401" customFormat="false" ht="15" hidden="false" customHeight="true" outlineLevel="0" collapsed="false">
      <c r="A2401" s="1" t="s">
        <v>3272</v>
      </c>
      <c r="B2401" s="1" t="s">
        <v>315</v>
      </c>
      <c r="C2401" s="1" t="s">
        <v>28</v>
      </c>
      <c r="D2401" s="1" t="s">
        <v>80</v>
      </c>
      <c r="E2401" s="1" t="s">
        <v>175</v>
      </c>
      <c r="F2401" s="1" t="s">
        <v>67</v>
      </c>
      <c r="G2401" s="1" t="s">
        <v>68</v>
      </c>
      <c r="H2401" s="1" t="s">
        <v>69</v>
      </c>
      <c r="I2401" s="1" t="s">
        <v>58</v>
      </c>
      <c r="J2401" s="1" t="s">
        <v>70</v>
      </c>
      <c r="K2401" s="1" t="s">
        <v>60</v>
      </c>
      <c r="L2401" s="1" t="s">
        <v>61</v>
      </c>
      <c r="M2401" s="1" t="s">
        <v>62</v>
      </c>
      <c r="N2401" s="1" t="n">
        <v>19999</v>
      </c>
      <c r="O2401" s="1" t="n">
        <v>0</v>
      </c>
      <c r="P2401" s="1" t="n">
        <v>0</v>
      </c>
      <c r="Q2401" s="1" t="n">
        <v>19999</v>
      </c>
      <c r="R2401" s="1" t="n">
        <v>3599.82</v>
      </c>
      <c r="S2401" s="1" t="n">
        <v>16399.18</v>
      </c>
      <c r="T2401" s="1" t="n">
        <v>5980.68</v>
      </c>
      <c r="U2401" s="1" t="n">
        <v>10418.5</v>
      </c>
      <c r="V2401" s="1" t="n">
        <v>63.53</v>
      </c>
      <c r="W2401" s="1" t="s">
        <v>39</v>
      </c>
      <c r="X2401" s="1" t="n">
        <v>3.9</v>
      </c>
      <c r="Y2401" s="1" t="s">
        <v>40</v>
      </c>
      <c r="Z2401" s="1" t="n">
        <v>0</v>
      </c>
    </row>
    <row r="2402" customFormat="false" ht="15" hidden="false" customHeight="true" outlineLevel="0" collapsed="false">
      <c r="A2402" s="1" t="s">
        <v>3273</v>
      </c>
      <c r="B2402" s="1" t="s">
        <v>393</v>
      </c>
      <c r="C2402" s="1" t="s">
        <v>65</v>
      </c>
      <c r="D2402" s="1" t="s">
        <v>94</v>
      </c>
      <c r="E2402" s="1" t="s">
        <v>95</v>
      </c>
      <c r="F2402" s="1" t="s">
        <v>67</v>
      </c>
      <c r="G2402" s="1" t="s">
        <v>68</v>
      </c>
      <c r="H2402" s="1" t="s">
        <v>69</v>
      </c>
      <c r="I2402" s="1" t="s">
        <v>34</v>
      </c>
      <c r="J2402" s="1" t="s">
        <v>77</v>
      </c>
      <c r="K2402" s="1" t="s">
        <v>60</v>
      </c>
      <c r="L2402" s="1" t="s">
        <v>113</v>
      </c>
      <c r="M2402" s="1" t="s">
        <v>50</v>
      </c>
      <c r="N2402" s="1" t="n">
        <v>6999</v>
      </c>
      <c r="O2402" s="1" t="n">
        <v>0</v>
      </c>
      <c r="P2402" s="1" t="n">
        <v>0</v>
      </c>
      <c r="Q2402" s="1" t="n">
        <v>6999</v>
      </c>
      <c r="R2402" s="1" t="n">
        <v>1259.82</v>
      </c>
      <c r="S2402" s="1" t="n">
        <v>5739.18</v>
      </c>
      <c r="T2402" s="1" t="n">
        <v>2162.86</v>
      </c>
      <c r="U2402" s="1" t="n">
        <v>3576.32</v>
      </c>
      <c r="V2402" s="1" t="n">
        <v>62.31</v>
      </c>
      <c r="W2402" s="1" t="s">
        <v>39</v>
      </c>
      <c r="X2402" s="1" t="n">
        <v>3.3</v>
      </c>
      <c r="Y2402" s="1" t="s">
        <v>40</v>
      </c>
      <c r="Z2402" s="1" t="n">
        <v>0</v>
      </c>
    </row>
    <row r="2403" customFormat="false" ht="15" hidden="false" customHeight="true" outlineLevel="0" collapsed="false">
      <c r="A2403" s="1" t="s">
        <v>3274</v>
      </c>
      <c r="B2403" s="1" t="s">
        <v>847</v>
      </c>
      <c r="C2403" s="1" t="s">
        <v>100</v>
      </c>
      <c r="D2403" s="1" t="s">
        <v>53</v>
      </c>
      <c r="E2403" s="1" t="s">
        <v>216</v>
      </c>
      <c r="F2403" s="1" t="s">
        <v>55</v>
      </c>
      <c r="G2403" s="1" t="s">
        <v>56</v>
      </c>
      <c r="H2403" s="1" t="s">
        <v>57</v>
      </c>
      <c r="I2403" s="1" t="s">
        <v>83</v>
      </c>
      <c r="J2403" s="1" t="s">
        <v>70</v>
      </c>
      <c r="K2403" s="1" t="s">
        <v>90</v>
      </c>
      <c r="L2403" s="1" t="s">
        <v>136</v>
      </c>
      <c r="M2403" s="1" t="s">
        <v>38</v>
      </c>
      <c r="N2403" s="1" t="n">
        <v>7499</v>
      </c>
      <c r="O2403" s="1" t="n">
        <v>0</v>
      </c>
      <c r="P2403" s="1" t="n">
        <v>0</v>
      </c>
      <c r="Q2403" s="1" t="n">
        <v>7499</v>
      </c>
      <c r="R2403" s="1" t="n">
        <v>1349.82</v>
      </c>
      <c r="S2403" s="1" t="n">
        <v>6149.18</v>
      </c>
      <c r="T2403" s="1" t="n">
        <v>2727.05</v>
      </c>
      <c r="U2403" s="1" t="n">
        <v>3422.13</v>
      </c>
      <c r="V2403" s="1" t="n">
        <v>55.65</v>
      </c>
      <c r="W2403" s="1" t="s">
        <v>39</v>
      </c>
      <c r="X2403" s="1" t="n">
        <v>3.4</v>
      </c>
      <c r="Y2403" s="1" t="s">
        <v>40</v>
      </c>
      <c r="Z2403" s="1" t="n">
        <v>0</v>
      </c>
    </row>
    <row r="2404" customFormat="false" ht="15" hidden="false" customHeight="true" outlineLevel="0" collapsed="false">
      <c r="A2404" s="1" t="s">
        <v>3275</v>
      </c>
      <c r="B2404" s="1" t="s">
        <v>1683</v>
      </c>
      <c r="C2404" s="1" t="s">
        <v>100</v>
      </c>
      <c r="D2404" s="1" t="s">
        <v>143</v>
      </c>
      <c r="E2404" s="1" t="s">
        <v>210</v>
      </c>
      <c r="F2404" s="1" t="s">
        <v>89</v>
      </c>
      <c r="G2404" s="1" t="s">
        <v>68</v>
      </c>
      <c r="H2404" s="1" t="s">
        <v>33</v>
      </c>
      <c r="I2404" s="1" t="s">
        <v>83</v>
      </c>
      <c r="J2404" s="1" t="s">
        <v>131</v>
      </c>
      <c r="K2404" s="1" t="s">
        <v>71</v>
      </c>
      <c r="L2404" s="1" t="s">
        <v>37</v>
      </c>
      <c r="M2404" s="1" t="s">
        <v>38</v>
      </c>
      <c r="N2404" s="1" t="n">
        <v>18999</v>
      </c>
      <c r="O2404" s="1" t="n">
        <v>15</v>
      </c>
      <c r="P2404" s="1" t="n">
        <v>2849.85</v>
      </c>
      <c r="Q2404" s="1" t="n">
        <v>16149.15</v>
      </c>
      <c r="R2404" s="1" t="n">
        <v>2906.85</v>
      </c>
      <c r="S2404" s="1" t="n">
        <v>13242.3</v>
      </c>
      <c r="T2404" s="1" t="n">
        <v>5088.06</v>
      </c>
      <c r="U2404" s="1" t="n">
        <v>8154.24</v>
      </c>
      <c r="V2404" s="1" t="n">
        <v>61.58</v>
      </c>
      <c r="W2404" s="1" t="s">
        <v>40</v>
      </c>
      <c r="Y2404" s="1" t="s">
        <v>40</v>
      </c>
      <c r="Z2404" s="1" t="n">
        <v>1</v>
      </c>
    </row>
    <row r="2405" customFormat="false" ht="15" hidden="false" customHeight="true" outlineLevel="0" collapsed="false">
      <c r="A2405" s="1" t="s">
        <v>3276</v>
      </c>
      <c r="B2405" s="1" t="s">
        <v>572</v>
      </c>
      <c r="C2405" s="1" t="s">
        <v>167</v>
      </c>
      <c r="D2405" s="1" t="s">
        <v>143</v>
      </c>
      <c r="E2405" s="1" t="s">
        <v>243</v>
      </c>
      <c r="F2405" s="1" t="s">
        <v>696</v>
      </c>
      <c r="G2405" s="1" t="s">
        <v>56</v>
      </c>
      <c r="H2405" s="1" t="s">
        <v>69</v>
      </c>
      <c r="I2405" s="1" t="s">
        <v>34</v>
      </c>
      <c r="J2405" s="1" t="s">
        <v>35</v>
      </c>
      <c r="K2405" s="1" t="s">
        <v>90</v>
      </c>
      <c r="L2405" s="1" t="s">
        <v>136</v>
      </c>
      <c r="M2405" s="1" t="s">
        <v>50</v>
      </c>
      <c r="N2405" s="1" t="n">
        <v>22999</v>
      </c>
      <c r="O2405" s="1" t="n">
        <v>0</v>
      </c>
      <c r="P2405" s="1" t="n">
        <v>0</v>
      </c>
      <c r="Q2405" s="1" t="n">
        <v>22999</v>
      </c>
      <c r="R2405" s="1" t="n">
        <v>4139.82</v>
      </c>
      <c r="S2405" s="1" t="n">
        <v>18859.18</v>
      </c>
      <c r="T2405" s="1" t="n">
        <v>8184.22</v>
      </c>
      <c r="U2405" s="1" t="n">
        <v>10674.96</v>
      </c>
      <c r="V2405" s="1" t="n">
        <v>56.6</v>
      </c>
      <c r="W2405" s="1" t="s">
        <v>40</v>
      </c>
      <c r="Y2405" s="1" t="s">
        <v>40</v>
      </c>
      <c r="Z2405" s="1" t="n">
        <v>0</v>
      </c>
    </row>
    <row r="2406" customFormat="false" ht="15" hidden="false" customHeight="true" outlineLevel="0" collapsed="false">
      <c r="A2406" s="1" t="s">
        <v>3277</v>
      </c>
      <c r="B2406" s="1" t="s">
        <v>189</v>
      </c>
      <c r="C2406" s="1" t="s">
        <v>264</v>
      </c>
      <c r="D2406" s="1" t="s">
        <v>123</v>
      </c>
      <c r="E2406" s="1" t="s">
        <v>233</v>
      </c>
      <c r="F2406" s="1" t="s">
        <v>75</v>
      </c>
      <c r="G2406" s="1" t="s">
        <v>76</v>
      </c>
      <c r="H2406" s="1" t="s">
        <v>69</v>
      </c>
      <c r="I2406" s="1" t="s">
        <v>83</v>
      </c>
      <c r="J2406" s="1" t="s">
        <v>35</v>
      </c>
      <c r="K2406" s="1" t="s">
        <v>36</v>
      </c>
      <c r="L2406" s="1" t="s">
        <v>37</v>
      </c>
      <c r="M2406" s="1" t="s">
        <v>62</v>
      </c>
      <c r="N2406" s="1" t="n">
        <v>8999</v>
      </c>
      <c r="O2406" s="1" t="n">
        <v>25</v>
      </c>
      <c r="P2406" s="1" t="n">
        <v>2249.75</v>
      </c>
      <c r="Q2406" s="1" t="n">
        <v>6749.25</v>
      </c>
      <c r="R2406" s="1" t="n">
        <v>1214.87</v>
      </c>
      <c r="S2406" s="1" t="n">
        <v>5534.38</v>
      </c>
      <c r="T2406" s="1" t="n">
        <v>2895.38</v>
      </c>
      <c r="U2406" s="1" t="n">
        <v>2639</v>
      </c>
      <c r="V2406" s="1" t="n">
        <v>47.68</v>
      </c>
      <c r="W2406" s="1" t="s">
        <v>39</v>
      </c>
      <c r="Y2406" s="1" t="s">
        <v>40</v>
      </c>
      <c r="Z2406" s="1" t="n">
        <v>0</v>
      </c>
    </row>
    <row r="2407" customFormat="false" ht="15" hidden="false" customHeight="true" outlineLevel="0" collapsed="false">
      <c r="A2407" s="1" t="s">
        <v>3278</v>
      </c>
      <c r="B2407" s="1" t="s">
        <v>764</v>
      </c>
      <c r="C2407" s="1" t="s">
        <v>139</v>
      </c>
      <c r="D2407" s="1" t="s">
        <v>168</v>
      </c>
      <c r="E2407" s="1" t="s">
        <v>172</v>
      </c>
      <c r="F2407" s="1" t="s">
        <v>31</v>
      </c>
      <c r="G2407" s="1" t="s">
        <v>32</v>
      </c>
      <c r="H2407" s="1" t="s">
        <v>33</v>
      </c>
      <c r="I2407" s="1" t="s">
        <v>58</v>
      </c>
      <c r="J2407" s="1" t="s">
        <v>131</v>
      </c>
      <c r="K2407" s="1" t="s">
        <v>60</v>
      </c>
      <c r="L2407" s="1" t="s">
        <v>49</v>
      </c>
      <c r="M2407" s="1" t="s">
        <v>62</v>
      </c>
      <c r="N2407" s="1" t="n">
        <v>6999</v>
      </c>
      <c r="O2407" s="1" t="n">
        <v>10</v>
      </c>
      <c r="P2407" s="1" t="n">
        <v>699.9</v>
      </c>
      <c r="Q2407" s="1" t="n">
        <v>6299.1</v>
      </c>
      <c r="R2407" s="1" t="n">
        <v>1133.84</v>
      </c>
      <c r="S2407" s="1" t="n">
        <v>5165.26</v>
      </c>
      <c r="T2407" s="1" t="n">
        <v>1983.68</v>
      </c>
      <c r="U2407" s="1" t="n">
        <v>3181.58</v>
      </c>
      <c r="V2407" s="1" t="n">
        <v>61.6</v>
      </c>
      <c r="W2407" s="1" t="s">
        <v>40</v>
      </c>
      <c r="Y2407" s="1" t="s">
        <v>40</v>
      </c>
      <c r="Z2407" s="1" t="n">
        <v>1</v>
      </c>
    </row>
    <row r="2408" customFormat="false" ht="15" hidden="false" customHeight="true" outlineLevel="0" collapsed="false">
      <c r="A2408" s="1" t="s">
        <v>3279</v>
      </c>
      <c r="B2408" s="1" t="s">
        <v>1420</v>
      </c>
      <c r="C2408" s="1" t="s">
        <v>119</v>
      </c>
      <c r="D2408" s="1" t="s">
        <v>94</v>
      </c>
      <c r="E2408" s="1" t="s">
        <v>135</v>
      </c>
      <c r="F2408" s="1" t="s">
        <v>153</v>
      </c>
      <c r="G2408" s="1" t="s">
        <v>76</v>
      </c>
      <c r="H2408" s="1" t="s">
        <v>33</v>
      </c>
      <c r="I2408" s="1" t="s">
        <v>34</v>
      </c>
      <c r="J2408" s="1" t="s">
        <v>35</v>
      </c>
      <c r="K2408" s="1" t="s">
        <v>112</v>
      </c>
      <c r="L2408" s="1" t="s">
        <v>37</v>
      </c>
      <c r="M2408" s="1" t="s">
        <v>38</v>
      </c>
      <c r="N2408" s="1" t="n">
        <v>9999</v>
      </c>
      <c r="O2408" s="1" t="n">
        <v>40</v>
      </c>
      <c r="P2408" s="1" t="n">
        <v>3999.6</v>
      </c>
      <c r="Q2408" s="1" t="n">
        <v>5999.4</v>
      </c>
      <c r="R2408" s="1" t="n">
        <v>1079.89</v>
      </c>
      <c r="S2408" s="1" t="n">
        <v>4919.51</v>
      </c>
      <c r="T2408" s="1" t="n">
        <v>2540.9</v>
      </c>
      <c r="U2408" s="1" t="n">
        <v>2378.61</v>
      </c>
      <c r="V2408" s="1" t="n">
        <v>48.35</v>
      </c>
      <c r="W2408" s="1" t="s">
        <v>39</v>
      </c>
      <c r="X2408" s="1" t="n">
        <v>3.1</v>
      </c>
      <c r="Y2408" s="1" t="s">
        <v>40</v>
      </c>
      <c r="Z2408" s="1" t="n">
        <v>0</v>
      </c>
    </row>
    <row r="2409" customFormat="false" ht="15" hidden="false" customHeight="true" outlineLevel="0" collapsed="false">
      <c r="A2409" s="1" t="s">
        <v>3280</v>
      </c>
      <c r="B2409" s="1" t="s">
        <v>485</v>
      </c>
      <c r="C2409" s="1" t="s">
        <v>28</v>
      </c>
      <c r="D2409" s="1" t="s">
        <v>44</v>
      </c>
      <c r="E2409" s="1" t="s">
        <v>45</v>
      </c>
      <c r="F2409" s="1" t="s">
        <v>963</v>
      </c>
      <c r="G2409" s="1" t="s">
        <v>68</v>
      </c>
      <c r="H2409" s="1" t="s">
        <v>57</v>
      </c>
      <c r="I2409" s="1" t="s">
        <v>58</v>
      </c>
      <c r="J2409" s="1" t="s">
        <v>70</v>
      </c>
      <c r="K2409" s="1" t="s">
        <v>36</v>
      </c>
      <c r="L2409" s="1" t="s">
        <v>136</v>
      </c>
      <c r="M2409" s="1" t="s">
        <v>50</v>
      </c>
      <c r="N2409" s="1" t="n">
        <v>11999</v>
      </c>
      <c r="O2409" s="1" t="n">
        <v>20</v>
      </c>
      <c r="P2409" s="1" t="n">
        <v>2399.8</v>
      </c>
      <c r="Q2409" s="1" t="n">
        <v>9599.2</v>
      </c>
      <c r="R2409" s="1" t="n">
        <v>1727.86</v>
      </c>
      <c r="S2409" s="1" t="n">
        <v>7871.34</v>
      </c>
      <c r="T2409" s="1" t="n">
        <v>3274.88</v>
      </c>
      <c r="U2409" s="1" t="n">
        <v>4596.46</v>
      </c>
      <c r="V2409" s="1" t="n">
        <v>58.39</v>
      </c>
      <c r="W2409" s="1" t="s">
        <v>39</v>
      </c>
      <c r="X2409" s="1" t="n">
        <v>3.2</v>
      </c>
      <c r="Y2409" s="1" t="s">
        <v>40</v>
      </c>
      <c r="Z2409" s="1" t="n">
        <v>0</v>
      </c>
    </row>
    <row r="2410" customFormat="false" ht="15" hidden="false" customHeight="true" outlineLevel="0" collapsed="false">
      <c r="A2410" s="1" t="s">
        <v>3281</v>
      </c>
      <c r="B2410" s="1" t="s">
        <v>572</v>
      </c>
      <c r="C2410" s="1" t="s">
        <v>93</v>
      </c>
      <c r="D2410" s="1" t="s">
        <v>123</v>
      </c>
      <c r="E2410" s="1" t="s">
        <v>233</v>
      </c>
      <c r="F2410" s="1" t="s">
        <v>89</v>
      </c>
      <c r="G2410" s="1" t="s">
        <v>68</v>
      </c>
      <c r="H2410" s="1" t="s">
        <v>33</v>
      </c>
      <c r="I2410" s="1" t="s">
        <v>34</v>
      </c>
      <c r="J2410" s="1" t="s">
        <v>131</v>
      </c>
      <c r="K2410" s="1" t="s">
        <v>104</v>
      </c>
      <c r="L2410" s="1" t="s">
        <v>61</v>
      </c>
      <c r="M2410" s="1" t="s">
        <v>62</v>
      </c>
      <c r="N2410" s="1" t="n">
        <v>8999</v>
      </c>
      <c r="O2410" s="1" t="n">
        <v>15</v>
      </c>
      <c r="P2410" s="1" t="n">
        <v>1349.85</v>
      </c>
      <c r="Q2410" s="1" t="n">
        <v>7649.15</v>
      </c>
      <c r="R2410" s="1" t="n">
        <v>1376.85</v>
      </c>
      <c r="S2410" s="1" t="n">
        <v>6272.3</v>
      </c>
      <c r="T2410" s="1" t="n">
        <v>2533</v>
      </c>
      <c r="U2410" s="1" t="n">
        <v>3739.3</v>
      </c>
      <c r="V2410" s="1" t="n">
        <v>59.62</v>
      </c>
      <c r="W2410" s="1" t="s">
        <v>39</v>
      </c>
      <c r="Y2410" s="1" t="s">
        <v>40</v>
      </c>
      <c r="Z2410" s="1" t="n">
        <v>0</v>
      </c>
    </row>
    <row r="2411" customFormat="false" ht="15" hidden="false" customHeight="true" outlineLevel="0" collapsed="false">
      <c r="A2411" s="1" t="s">
        <v>3282</v>
      </c>
      <c r="B2411" s="1" t="s">
        <v>389</v>
      </c>
      <c r="C2411" s="1" t="s">
        <v>93</v>
      </c>
      <c r="D2411" s="1" t="s">
        <v>53</v>
      </c>
      <c r="E2411" s="1" t="s">
        <v>216</v>
      </c>
      <c r="F2411" s="1" t="s">
        <v>120</v>
      </c>
      <c r="G2411" s="1" t="s">
        <v>47</v>
      </c>
      <c r="H2411" s="1" t="s">
        <v>57</v>
      </c>
      <c r="I2411" s="1" t="s">
        <v>83</v>
      </c>
      <c r="J2411" s="1" t="s">
        <v>35</v>
      </c>
      <c r="K2411" s="1" t="s">
        <v>36</v>
      </c>
      <c r="L2411" s="1" t="s">
        <v>37</v>
      </c>
      <c r="M2411" s="1" t="s">
        <v>38</v>
      </c>
      <c r="N2411" s="1" t="n">
        <v>7499</v>
      </c>
      <c r="O2411" s="1" t="n">
        <v>30</v>
      </c>
      <c r="P2411" s="1" t="n">
        <v>2249.7</v>
      </c>
      <c r="Q2411" s="1" t="n">
        <v>5249.3</v>
      </c>
      <c r="R2411" s="1" t="n">
        <v>944.87</v>
      </c>
      <c r="S2411" s="1" t="n">
        <v>4304.43</v>
      </c>
      <c r="T2411" s="1" t="n">
        <v>1891.96</v>
      </c>
      <c r="U2411" s="1" t="n">
        <v>2412.47</v>
      </c>
      <c r="V2411" s="1" t="n">
        <v>56.05</v>
      </c>
      <c r="W2411" s="1" t="s">
        <v>39</v>
      </c>
      <c r="X2411" s="1" t="n">
        <v>3.1</v>
      </c>
      <c r="Y2411" s="1" t="s">
        <v>40</v>
      </c>
      <c r="Z2411" s="1" t="n">
        <v>0</v>
      </c>
    </row>
    <row r="2412" customFormat="false" ht="15" hidden="false" customHeight="true" outlineLevel="0" collapsed="false">
      <c r="A2412" s="1" t="s">
        <v>3283</v>
      </c>
      <c r="B2412" s="1" t="s">
        <v>1042</v>
      </c>
      <c r="C2412" s="1" t="s">
        <v>178</v>
      </c>
      <c r="D2412" s="1" t="s">
        <v>53</v>
      </c>
      <c r="E2412" s="1" t="s">
        <v>54</v>
      </c>
      <c r="F2412" s="1" t="s">
        <v>89</v>
      </c>
      <c r="G2412" s="1" t="s">
        <v>68</v>
      </c>
      <c r="H2412" s="1" t="s">
        <v>33</v>
      </c>
      <c r="I2412" s="1" t="s">
        <v>83</v>
      </c>
      <c r="J2412" s="1" t="s">
        <v>59</v>
      </c>
      <c r="K2412" s="1" t="s">
        <v>60</v>
      </c>
      <c r="L2412" s="1" t="s">
        <v>136</v>
      </c>
      <c r="M2412" s="1" t="s">
        <v>62</v>
      </c>
      <c r="N2412" s="1" t="n">
        <v>11999</v>
      </c>
      <c r="O2412" s="1" t="n">
        <v>0</v>
      </c>
      <c r="P2412" s="1" t="n">
        <v>0</v>
      </c>
      <c r="Q2412" s="1" t="n">
        <v>11999</v>
      </c>
      <c r="R2412" s="1" t="n">
        <v>2159.82</v>
      </c>
      <c r="S2412" s="1" t="n">
        <v>9839.18</v>
      </c>
      <c r="T2412" s="1" t="n">
        <v>5187.43</v>
      </c>
      <c r="U2412" s="1" t="n">
        <v>4651.75</v>
      </c>
      <c r="V2412" s="1" t="n">
        <v>47.28</v>
      </c>
      <c r="W2412" s="1" t="s">
        <v>39</v>
      </c>
      <c r="X2412" s="1" t="n">
        <v>2.8</v>
      </c>
      <c r="Y2412" s="1" t="s">
        <v>40</v>
      </c>
      <c r="Z2412" s="1" t="n">
        <v>1</v>
      </c>
    </row>
    <row r="2413" customFormat="false" ht="15" hidden="false" customHeight="true" outlineLevel="0" collapsed="false">
      <c r="A2413" s="1" t="s">
        <v>3284</v>
      </c>
      <c r="B2413" s="1" t="s">
        <v>1893</v>
      </c>
      <c r="C2413" s="1" t="s">
        <v>65</v>
      </c>
      <c r="D2413" s="1" t="s">
        <v>53</v>
      </c>
      <c r="E2413" s="1" t="s">
        <v>216</v>
      </c>
      <c r="F2413" s="1" t="s">
        <v>194</v>
      </c>
      <c r="G2413" s="1" t="s">
        <v>103</v>
      </c>
      <c r="H2413" s="1" t="s">
        <v>69</v>
      </c>
      <c r="I2413" s="1" t="s">
        <v>83</v>
      </c>
      <c r="J2413" s="1" t="s">
        <v>70</v>
      </c>
      <c r="K2413" s="1" t="s">
        <v>104</v>
      </c>
      <c r="L2413" s="1" t="s">
        <v>37</v>
      </c>
      <c r="M2413" s="1" t="s">
        <v>50</v>
      </c>
      <c r="N2413" s="1" t="n">
        <v>7499</v>
      </c>
      <c r="O2413" s="1" t="n">
        <v>20</v>
      </c>
      <c r="P2413" s="1" t="n">
        <v>1499.8</v>
      </c>
      <c r="Q2413" s="1" t="n">
        <v>5999.2</v>
      </c>
      <c r="R2413" s="1" t="n">
        <v>1079.86</v>
      </c>
      <c r="S2413" s="1" t="n">
        <v>4919.34</v>
      </c>
      <c r="T2413" s="1" t="n">
        <v>1628.04</v>
      </c>
      <c r="U2413" s="1" t="n">
        <v>3291.3</v>
      </c>
      <c r="V2413" s="1" t="n">
        <v>66.91</v>
      </c>
      <c r="W2413" s="1" t="s">
        <v>39</v>
      </c>
      <c r="X2413" s="1" t="n">
        <v>4</v>
      </c>
      <c r="Y2413" s="1" t="s">
        <v>40</v>
      </c>
      <c r="Z2413" s="1" t="n">
        <v>0</v>
      </c>
    </row>
    <row r="2414" customFormat="false" ht="15" hidden="false" customHeight="true" outlineLevel="0" collapsed="false">
      <c r="A2414" s="1" t="s">
        <v>3285</v>
      </c>
      <c r="B2414" s="1" t="s">
        <v>155</v>
      </c>
      <c r="C2414" s="1" t="s">
        <v>88</v>
      </c>
      <c r="D2414" s="1" t="s">
        <v>29</v>
      </c>
      <c r="E2414" s="1" t="s">
        <v>129</v>
      </c>
      <c r="F2414" s="1" t="s">
        <v>803</v>
      </c>
      <c r="G2414" s="1" t="s">
        <v>108</v>
      </c>
      <c r="H2414" s="1" t="s">
        <v>33</v>
      </c>
      <c r="I2414" s="1" t="s">
        <v>34</v>
      </c>
      <c r="J2414" s="1" t="s">
        <v>59</v>
      </c>
      <c r="K2414" s="1" t="s">
        <v>71</v>
      </c>
      <c r="L2414" s="1" t="s">
        <v>61</v>
      </c>
      <c r="M2414" s="1" t="s">
        <v>38</v>
      </c>
      <c r="N2414" s="1" t="n">
        <v>29999</v>
      </c>
      <c r="O2414" s="1" t="n">
        <v>10</v>
      </c>
      <c r="P2414" s="1" t="n">
        <v>2999.9</v>
      </c>
      <c r="Q2414" s="1" t="n">
        <v>26999.1</v>
      </c>
      <c r="R2414" s="1" t="n">
        <v>4859.84</v>
      </c>
      <c r="S2414" s="1" t="n">
        <v>22139.26</v>
      </c>
      <c r="T2414" s="1" t="n">
        <v>10169.76</v>
      </c>
      <c r="U2414" s="1" t="n">
        <v>11969.5</v>
      </c>
      <c r="V2414" s="1" t="n">
        <v>54.06</v>
      </c>
      <c r="W2414" s="1" t="s">
        <v>39</v>
      </c>
      <c r="X2414" s="1" t="n">
        <v>4.6</v>
      </c>
      <c r="Y2414" s="1" t="s">
        <v>40</v>
      </c>
      <c r="Z2414" s="1" t="n">
        <v>1</v>
      </c>
    </row>
    <row r="2415" customFormat="false" ht="15" hidden="false" customHeight="true" outlineLevel="0" collapsed="false">
      <c r="A2415" s="1" t="s">
        <v>3286</v>
      </c>
      <c r="B2415" s="1" t="s">
        <v>1913</v>
      </c>
      <c r="C2415" s="1" t="s">
        <v>128</v>
      </c>
      <c r="D2415" s="1" t="s">
        <v>44</v>
      </c>
      <c r="E2415" s="1" t="s">
        <v>45</v>
      </c>
      <c r="F2415" s="1" t="s">
        <v>120</v>
      </c>
      <c r="G2415" s="1" t="s">
        <v>47</v>
      </c>
      <c r="H2415" s="1" t="s">
        <v>57</v>
      </c>
      <c r="I2415" s="1" t="s">
        <v>34</v>
      </c>
      <c r="J2415" s="1" t="s">
        <v>131</v>
      </c>
      <c r="K2415" s="1" t="s">
        <v>112</v>
      </c>
      <c r="L2415" s="1" t="s">
        <v>37</v>
      </c>
      <c r="M2415" s="1" t="s">
        <v>38</v>
      </c>
      <c r="N2415" s="1" t="n">
        <v>11999</v>
      </c>
      <c r="O2415" s="1" t="n">
        <v>30</v>
      </c>
      <c r="P2415" s="1" t="n">
        <v>3599.7</v>
      </c>
      <c r="Q2415" s="1" t="n">
        <v>8399.3</v>
      </c>
      <c r="R2415" s="1" t="n">
        <v>1511.87</v>
      </c>
      <c r="S2415" s="1" t="n">
        <v>6887.43</v>
      </c>
      <c r="T2415" s="1" t="n">
        <v>3320.32</v>
      </c>
      <c r="U2415" s="1" t="n">
        <v>3567.11</v>
      </c>
      <c r="V2415" s="1" t="n">
        <v>51.79</v>
      </c>
      <c r="W2415" s="1" t="s">
        <v>39</v>
      </c>
      <c r="X2415" s="1" t="n">
        <v>3.4</v>
      </c>
      <c r="Y2415" s="1" t="s">
        <v>40</v>
      </c>
      <c r="Z2415" s="1" t="n">
        <v>2</v>
      </c>
    </row>
    <row r="2416" customFormat="false" ht="15" hidden="false" customHeight="true" outlineLevel="0" collapsed="false">
      <c r="A2416" s="1" t="s">
        <v>3287</v>
      </c>
      <c r="B2416" s="1" t="s">
        <v>959</v>
      </c>
      <c r="C2416" s="1" t="s">
        <v>43</v>
      </c>
      <c r="D2416" s="1" t="s">
        <v>143</v>
      </c>
      <c r="E2416" s="1" t="s">
        <v>159</v>
      </c>
      <c r="F2416" s="1" t="s">
        <v>205</v>
      </c>
      <c r="G2416" s="1" t="s">
        <v>56</v>
      </c>
      <c r="H2416" s="1" t="s">
        <v>69</v>
      </c>
      <c r="I2416" s="1" t="s">
        <v>34</v>
      </c>
      <c r="J2416" s="1" t="s">
        <v>77</v>
      </c>
      <c r="K2416" s="1" t="s">
        <v>36</v>
      </c>
      <c r="L2416" s="1" t="s">
        <v>136</v>
      </c>
      <c r="M2416" s="1" t="s">
        <v>62</v>
      </c>
      <c r="N2416" s="1" t="n">
        <v>24999</v>
      </c>
      <c r="O2416" s="1" t="n">
        <v>10</v>
      </c>
      <c r="P2416" s="1" t="n">
        <v>2499.9</v>
      </c>
      <c r="Q2416" s="1" t="n">
        <v>22499.1</v>
      </c>
      <c r="R2416" s="1" t="n">
        <v>4049.84</v>
      </c>
      <c r="S2416" s="1" t="n">
        <v>18449.26</v>
      </c>
      <c r="T2416" s="1" t="n">
        <v>6820.05</v>
      </c>
      <c r="U2416" s="1" t="n">
        <v>11629.21</v>
      </c>
      <c r="V2416" s="1" t="n">
        <v>63.03</v>
      </c>
      <c r="W2416" s="1" t="s">
        <v>39</v>
      </c>
      <c r="X2416" s="1" t="n">
        <v>4.3</v>
      </c>
      <c r="Y2416" s="1" t="s">
        <v>40</v>
      </c>
      <c r="Z2416" s="1" t="n">
        <v>0</v>
      </c>
    </row>
    <row r="2417" customFormat="false" ht="15" hidden="false" customHeight="true" outlineLevel="0" collapsed="false">
      <c r="A2417" s="1" t="s">
        <v>3288</v>
      </c>
      <c r="B2417" s="1" t="s">
        <v>1633</v>
      </c>
      <c r="C2417" s="1" t="s">
        <v>167</v>
      </c>
      <c r="D2417" s="1" t="s">
        <v>80</v>
      </c>
      <c r="E2417" s="1" t="s">
        <v>81</v>
      </c>
      <c r="F2417" s="1" t="s">
        <v>211</v>
      </c>
      <c r="G2417" s="1" t="s">
        <v>56</v>
      </c>
      <c r="H2417" s="1" t="s">
        <v>69</v>
      </c>
      <c r="I2417" s="1" t="s">
        <v>83</v>
      </c>
      <c r="J2417" s="1" t="s">
        <v>131</v>
      </c>
      <c r="K2417" s="1" t="s">
        <v>60</v>
      </c>
      <c r="L2417" s="1" t="s">
        <v>49</v>
      </c>
      <c r="M2417" s="1" t="s">
        <v>62</v>
      </c>
      <c r="N2417" s="1" t="n">
        <v>12999</v>
      </c>
      <c r="O2417" s="1" t="n">
        <v>10</v>
      </c>
      <c r="P2417" s="1" t="n">
        <v>1299.9</v>
      </c>
      <c r="Q2417" s="1" t="n">
        <v>11699.1</v>
      </c>
      <c r="R2417" s="1" t="n">
        <v>2105.84</v>
      </c>
      <c r="S2417" s="1" t="n">
        <v>9593.26</v>
      </c>
      <c r="T2417" s="1" t="n">
        <v>3847.32</v>
      </c>
      <c r="U2417" s="1" t="n">
        <v>5745.94</v>
      </c>
      <c r="V2417" s="1" t="n">
        <v>59.9</v>
      </c>
      <c r="W2417" s="1" t="s">
        <v>39</v>
      </c>
      <c r="X2417" s="1" t="n">
        <v>3.4</v>
      </c>
      <c r="Y2417" s="1" t="s">
        <v>40</v>
      </c>
      <c r="Z2417" s="1" t="n">
        <v>0</v>
      </c>
    </row>
    <row r="2418" customFormat="false" ht="15" hidden="false" customHeight="true" outlineLevel="0" collapsed="false">
      <c r="A2418" s="1" t="s">
        <v>3289</v>
      </c>
      <c r="B2418" s="1" t="s">
        <v>638</v>
      </c>
      <c r="C2418" s="1" t="s">
        <v>128</v>
      </c>
      <c r="D2418" s="1" t="s">
        <v>168</v>
      </c>
      <c r="E2418" s="1" t="s">
        <v>197</v>
      </c>
      <c r="F2418" s="1" t="s">
        <v>107</v>
      </c>
      <c r="G2418" s="1" t="s">
        <v>108</v>
      </c>
      <c r="H2418" s="1" t="s">
        <v>33</v>
      </c>
      <c r="I2418" s="1" t="s">
        <v>58</v>
      </c>
      <c r="J2418" s="1" t="s">
        <v>131</v>
      </c>
      <c r="K2418" s="1" t="s">
        <v>90</v>
      </c>
      <c r="L2418" s="1" t="s">
        <v>85</v>
      </c>
      <c r="M2418" s="1" t="s">
        <v>38</v>
      </c>
      <c r="N2418" s="1" t="n">
        <v>8499</v>
      </c>
      <c r="O2418" s="1" t="n">
        <v>5</v>
      </c>
      <c r="P2418" s="1" t="n">
        <v>424.95</v>
      </c>
      <c r="Q2418" s="1" t="n">
        <v>8074.05</v>
      </c>
      <c r="R2418" s="1" t="n">
        <v>1453.33</v>
      </c>
      <c r="S2418" s="1" t="n">
        <v>6620.72</v>
      </c>
      <c r="T2418" s="1" t="n">
        <v>3363.95</v>
      </c>
      <c r="U2418" s="1" t="n">
        <v>3256.77</v>
      </c>
      <c r="V2418" s="1" t="n">
        <v>49.19</v>
      </c>
      <c r="W2418" s="1" t="s">
        <v>40</v>
      </c>
      <c r="Y2418" s="1" t="s">
        <v>40</v>
      </c>
      <c r="Z2418" s="1" t="n">
        <v>0</v>
      </c>
    </row>
    <row r="2419" customFormat="false" ht="15" hidden="false" customHeight="true" outlineLevel="0" collapsed="false">
      <c r="A2419" s="1" t="s">
        <v>3290</v>
      </c>
      <c r="B2419" s="1" t="s">
        <v>259</v>
      </c>
      <c r="C2419" s="1" t="s">
        <v>88</v>
      </c>
      <c r="D2419" s="1" t="s">
        <v>44</v>
      </c>
      <c r="E2419" s="1" t="s">
        <v>66</v>
      </c>
      <c r="F2419" s="1" t="s">
        <v>102</v>
      </c>
      <c r="G2419" s="1" t="s">
        <v>103</v>
      </c>
      <c r="H2419" s="1" t="s">
        <v>33</v>
      </c>
      <c r="I2419" s="1" t="s">
        <v>58</v>
      </c>
      <c r="J2419" s="1" t="s">
        <v>77</v>
      </c>
      <c r="K2419" s="1" t="s">
        <v>90</v>
      </c>
      <c r="L2419" s="1" t="s">
        <v>136</v>
      </c>
      <c r="M2419" s="1" t="s">
        <v>38</v>
      </c>
      <c r="N2419" s="1" t="n">
        <v>12999</v>
      </c>
      <c r="O2419" s="1" t="n">
        <v>0</v>
      </c>
      <c r="P2419" s="1" t="n">
        <v>0</v>
      </c>
      <c r="Q2419" s="1" t="n">
        <v>12999</v>
      </c>
      <c r="R2419" s="1" t="n">
        <v>2339.82</v>
      </c>
      <c r="S2419" s="1" t="n">
        <v>10659.18</v>
      </c>
      <c r="T2419" s="1" t="n">
        <v>5844.92</v>
      </c>
      <c r="U2419" s="1" t="n">
        <v>4814.26</v>
      </c>
      <c r="V2419" s="1" t="n">
        <v>45.17</v>
      </c>
      <c r="W2419" s="1" t="s">
        <v>40</v>
      </c>
      <c r="Y2419" s="1" t="s">
        <v>40</v>
      </c>
      <c r="Z2419" s="1" t="n">
        <v>0</v>
      </c>
    </row>
    <row r="2420" customFormat="false" ht="15" hidden="false" customHeight="true" outlineLevel="0" collapsed="false">
      <c r="A2420" s="1" t="s">
        <v>3291</v>
      </c>
      <c r="B2420" s="1" t="s">
        <v>352</v>
      </c>
      <c r="C2420" s="1" t="s">
        <v>74</v>
      </c>
      <c r="D2420" s="1" t="s">
        <v>168</v>
      </c>
      <c r="E2420" s="1" t="s">
        <v>197</v>
      </c>
      <c r="F2420" s="1" t="s">
        <v>107</v>
      </c>
      <c r="G2420" s="1" t="s">
        <v>108</v>
      </c>
      <c r="H2420" s="1" t="s">
        <v>33</v>
      </c>
      <c r="I2420" s="1" t="s">
        <v>34</v>
      </c>
      <c r="J2420" s="1" t="s">
        <v>35</v>
      </c>
      <c r="K2420" s="1" t="s">
        <v>112</v>
      </c>
      <c r="L2420" s="1" t="s">
        <v>85</v>
      </c>
      <c r="M2420" s="1" t="s">
        <v>50</v>
      </c>
      <c r="N2420" s="1" t="n">
        <v>8499</v>
      </c>
      <c r="O2420" s="1" t="n">
        <v>20</v>
      </c>
      <c r="P2420" s="1" t="n">
        <v>1699.8</v>
      </c>
      <c r="Q2420" s="1" t="n">
        <v>6799.2</v>
      </c>
      <c r="R2420" s="1" t="n">
        <v>1223.86</v>
      </c>
      <c r="S2420" s="1" t="n">
        <v>5575.34</v>
      </c>
      <c r="T2420" s="1" t="n">
        <v>1812.53</v>
      </c>
      <c r="U2420" s="1" t="n">
        <v>3762.81</v>
      </c>
      <c r="V2420" s="1" t="n">
        <v>67.49</v>
      </c>
      <c r="W2420" s="1" t="s">
        <v>39</v>
      </c>
      <c r="X2420" s="1" t="n">
        <v>3.7</v>
      </c>
      <c r="Y2420" s="1" t="s">
        <v>40</v>
      </c>
      <c r="Z2420" s="1" t="n">
        <v>1</v>
      </c>
    </row>
    <row r="2421" customFormat="false" ht="15" hidden="false" customHeight="true" outlineLevel="0" collapsed="false">
      <c r="A2421" s="1" t="s">
        <v>3292</v>
      </c>
      <c r="B2421" s="1" t="s">
        <v>257</v>
      </c>
      <c r="C2421" s="1" t="s">
        <v>88</v>
      </c>
      <c r="D2421" s="1" t="s">
        <v>29</v>
      </c>
      <c r="E2421" s="1" t="s">
        <v>182</v>
      </c>
      <c r="F2421" s="1" t="s">
        <v>89</v>
      </c>
      <c r="G2421" s="1" t="s">
        <v>68</v>
      </c>
      <c r="H2421" s="1" t="s">
        <v>33</v>
      </c>
      <c r="I2421" s="1" t="s">
        <v>58</v>
      </c>
      <c r="J2421" s="1" t="s">
        <v>35</v>
      </c>
      <c r="K2421" s="1" t="s">
        <v>60</v>
      </c>
      <c r="L2421" s="1" t="s">
        <v>61</v>
      </c>
      <c r="M2421" s="1" t="s">
        <v>62</v>
      </c>
      <c r="N2421" s="1" t="n">
        <v>34999</v>
      </c>
      <c r="O2421" s="1" t="n">
        <v>0</v>
      </c>
      <c r="P2421" s="1" t="n">
        <v>0</v>
      </c>
      <c r="Q2421" s="1" t="n">
        <v>34999</v>
      </c>
      <c r="R2421" s="1" t="n">
        <v>6299.82</v>
      </c>
      <c r="S2421" s="1" t="n">
        <v>28699.18</v>
      </c>
      <c r="T2421" s="1" t="n">
        <v>15697.25</v>
      </c>
      <c r="U2421" s="1" t="n">
        <v>13001.93</v>
      </c>
      <c r="V2421" s="1" t="n">
        <v>45.3</v>
      </c>
      <c r="W2421" s="1" t="s">
        <v>40</v>
      </c>
      <c r="Y2421" s="1" t="s">
        <v>40</v>
      </c>
      <c r="Z2421" s="1" t="n">
        <v>0</v>
      </c>
    </row>
    <row r="2422" customFormat="false" ht="15" hidden="false" customHeight="true" outlineLevel="0" collapsed="false">
      <c r="A2422" s="1" t="s">
        <v>3293</v>
      </c>
      <c r="B2422" s="1" t="s">
        <v>1640</v>
      </c>
      <c r="C2422" s="1" t="s">
        <v>134</v>
      </c>
      <c r="D2422" s="1" t="s">
        <v>29</v>
      </c>
      <c r="E2422" s="1" t="s">
        <v>129</v>
      </c>
      <c r="F2422" s="1" t="s">
        <v>107</v>
      </c>
      <c r="G2422" s="1" t="s">
        <v>108</v>
      </c>
      <c r="H2422" s="1" t="s">
        <v>33</v>
      </c>
      <c r="I2422" s="1" t="s">
        <v>58</v>
      </c>
      <c r="J2422" s="1" t="s">
        <v>59</v>
      </c>
      <c r="K2422" s="1" t="s">
        <v>48</v>
      </c>
      <c r="L2422" s="1" t="s">
        <v>85</v>
      </c>
      <c r="M2422" s="1" t="s">
        <v>62</v>
      </c>
      <c r="N2422" s="1" t="n">
        <v>29999</v>
      </c>
      <c r="O2422" s="1" t="n">
        <v>5</v>
      </c>
      <c r="P2422" s="1" t="n">
        <v>1499.95</v>
      </c>
      <c r="Q2422" s="1" t="n">
        <v>28499.05</v>
      </c>
      <c r="R2422" s="1" t="n">
        <v>5129.83</v>
      </c>
      <c r="S2422" s="1" t="n">
        <v>23369.22</v>
      </c>
      <c r="T2422" s="1" t="n">
        <v>9158.65</v>
      </c>
      <c r="U2422" s="1" t="n">
        <v>14210.57</v>
      </c>
      <c r="V2422" s="1" t="n">
        <v>60.81</v>
      </c>
      <c r="W2422" s="1" t="s">
        <v>39</v>
      </c>
      <c r="Y2422" s="1" t="s">
        <v>40</v>
      </c>
      <c r="Z2422" s="1" t="n">
        <v>0</v>
      </c>
    </row>
    <row r="2423" customFormat="false" ht="15" hidden="false" customHeight="true" outlineLevel="0" collapsed="false">
      <c r="A2423" s="1" t="s">
        <v>3294</v>
      </c>
      <c r="B2423" s="1" t="s">
        <v>3295</v>
      </c>
      <c r="C2423" s="1" t="s">
        <v>139</v>
      </c>
      <c r="D2423" s="1" t="s">
        <v>53</v>
      </c>
      <c r="E2423" s="1" t="s">
        <v>116</v>
      </c>
      <c r="F2423" s="1" t="s">
        <v>150</v>
      </c>
      <c r="G2423" s="1" t="s">
        <v>32</v>
      </c>
      <c r="H2423" s="1" t="s">
        <v>57</v>
      </c>
      <c r="I2423" s="1" t="s">
        <v>34</v>
      </c>
      <c r="J2423" s="1" t="s">
        <v>59</v>
      </c>
      <c r="K2423" s="1" t="s">
        <v>48</v>
      </c>
      <c r="L2423" s="1" t="s">
        <v>37</v>
      </c>
      <c r="M2423" s="1" t="s">
        <v>50</v>
      </c>
      <c r="N2423" s="1" t="n">
        <v>9999</v>
      </c>
      <c r="O2423" s="1" t="n">
        <v>40</v>
      </c>
      <c r="P2423" s="1" t="n">
        <v>3999.6</v>
      </c>
      <c r="Q2423" s="1" t="n">
        <v>5999.4</v>
      </c>
      <c r="R2423" s="1" t="n">
        <v>1079.89</v>
      </c>
      <c r="S2423" s="1" t="n">
        <v>4919.51</v>
      </c>
      <c r="T2423" s="1" t="n">
        <v>2951.94</v>
      </c>
      <c r="U2423" s="1" t="n">
        <v>1967.57</v>
      </c>
      <c r="V2423" s="1" t="n">
        <v>40</v>
      </c>
      <c r="W2423" s="1" t="s">
        <v>39</v>
      </c>
      <c r="X2423" s="1" t="n">
        <v>4</v>
      </c>
      <c r="Y2423" s="1" t="s">
        <v>40</v>
      </c>
      <c r="Z2423" s="1" t="n">
        <v>0</v>
      </c>
    </row>
    <row r="2424" customFormat="false" ht="15" hidden="false" customHeight="true" outlineLevel="0" collapsed="false">
      <c r="A2424" s="1" t="s">
        <v>3296</v>
      </c>
      <c r="B2424" s="1" t="s">
        <v>526</v>
      </c>
      <c r="C2424" s="1" t="s">
        <v>167</v>
      </c>
      <c r="D2424" s="1" t="s">
        <v>44</v>
      </c>
      <c r="E2424" s="1" t="s">
        <v>66</v>
      </c>
      <c r="F2424" s="1" t="s">
        <v>1075</v>
      </c>
      <c r="G2424" s="1" t="s">
        <v>76</v>
      </c>
      <c r="H2424" s="1" t="s">
        <v>69</v>
      </c>
      <c r="I2424" s="1" t="s">
        <v>34</v>
      </c>
      <c r="J2424" s="1" t="s">
        <v>59</v>
      </c>
      <c r="K2424" s="1" t="s">
        <v>84</v>
      </c>
      <c r="L2424" s="1" t="s">
        <v>136</v>
      </c>
      <c r="M2424" s="1" t="s">
        <v>38</v>
      </c>
      <c r="N2424" s="1" t="n">
        <v>12999</v>
      </c>
      <c r="O2424" s="1" t="n">
        <v>50</v>
      </c>
      <c r="P2424" s="1" t="n">
        <v>6499.5</v>
      </c>
      <c r="Q2424" s="1" t="n">
        <v>6499.5</v>
      </c>
      <c r="R2424" s="1" t="n">
        <v>1169.91</v>
      </c>
      <c r="S2424" s="1" t="n">
        <v>5329.59</v>
      </c>
      <c r="T2424" s="1" t="n">
        <v>2708.35</v>
      </c>
      <c r="U2424" s="1" t="n">
        <v>2621.24</v>
      </c>
      <c r="V2424" s="1" t="n">
        <v>49.18</v>
      </c>
      <c r="W2424" s="1" t="s">
        <v>40</v>
      </c>
      <c r="Y2424" s="1" t="s">
        <v>39</v>
      </c>
      <c r="Z2424" s="1" t="n">
        <v>0</v>
      </c>
    </row>
    <row r="2425" customFormat="false" ht="15" hidden="false" customHeight="true" outlineLevel="0" collapsed="false">
      <c r="A2425" s="1" t="s">
        <v>3297</v>
      </c>
      <c r="B2425" s="1" t="s">
        <v>1528</v>
      </c>
      <c r="C2425" s="1" t="s">
        <v>100</v>
      </c>
      <c r="D2425" s="1" t="s">
        <v>168</v>
      </c>
      <c r="E2425" s="1" t="s">
        <v>197</v>
      </c>
      <c r="F2425" s="1" t="s">
        <v>194</v>
      </c>
      <c r="G2425" s="1" t="s">
        <v>103</v>
      </c>
      <c r="H2425" s="1" t="s">
        <v>69</v>
      </c>
      <c r="I2425" s="1" t="s">
        <v>34</v>
      </c>
      <c r="J2425" s="1" t="s">
        <v>35</v>
      </c>
      <c r="K2425" s="1" t="s">
        <v>71</v>
      </c>
      <c r="L2425" s="1" t="s">
        <v>113</v>
      </c>
      <c r="M2425" s="1" t="s">
        <v>38</v>
      </c>
      <c r="N2425" s="1" t="n">
        <v>8499</v>
      </c>
      <c r="O2425" s="1" t="n">
        <v>25</v>
      </c>
      <c r="P2425" s="1" t="n">
        <v>2124.75</v>
      </c>
      <c r="Q2425" s="1" t="n">
        <v>6374.25</v>
      </c>
      <c r="R2425" s="1" t="n">
        <v>1147.37</v>
      </c>
      <c r="S2425" s="1" t="n">
        <v>5226.88</v>
      </c>
      <c r="T2425" s="1" t="n">
        <v>1968.92</v>
      </c>
      <c r="U2425" s="1" t="n">
        <v>3257.96</v>
      </c>
      <c r="V2425" s="1" t="n">
        <v>62.33</v>
      </c>
      <c r="W2425" s="1" t="s">
        <v>39</v>
      </c>
      <c r="X2425" s="1" t="n">
        <v>3.5</v>
      </c>
      <c r="Y2425" s="1" t="s">
        <v>40</v>
      </c>
      <c r="Z2425" s="1" t="n">
        <v>0</v>
      </c>
    </row>
    <row r="2426" customFormat="false" ht="15" hidden="false" customHeight="true" outlineLevel="0" collapsed="false">
      <c r="A2426" s="1" t="s">
        <v>3298</v>
      </c>
      <c r="B2426" s="1" t="s">
        <v>248</v>
      </c>
      <c r="C2426" s="1" t="s">
        <v>139</v>
      </c>
      <c r="D2426" s="1" t="s">
        <v>80</v>
      </c>
      <c r="E2426" s="1" t="s">
        <v>175</v>
      </c>
      <c r="F2426" s="1" t="s">
        <v>107</v>
      </c>
      <c r="G2426" s="1" t="s">
        <v>108</v>
      </c>
      <c r="H2426" s="1" t="s">
        <v>33</v>
      </c>
      <c r="I2426" s="1" t="s">
        <v>34</v>
      </c>
      <c r="J2426" s="1" t="s">
        <v>70</v>
      </c>
      <c r="K2426" s="1" t="s">
        <v>104</v>
      </c>
      <c r="L2426" s="1" t="s">
        <v>61</v>
      </c>
      <c r="M2426" s="1" t="s">
        <v>50</v>
      </c>
      <c r="N2426" s="1" t="n">
        <v>19999</v>
      </c>
      <c r="O2426" s="1" t="n">
        <v>25</v>
      </c>
      <c r="P2426" s="1" t="n">
        <v>4999.75</v>
      </c>
      <c r="Q2426" s="1" t="n">
        <v>14999.25</v>
      </c>
      <c r="R2426" s="1" t="n">
        <v>2699.86</v>
      </c>
      <c r="S2426" s="1" t="n">
        <v>12299.39</v>
      </c>
      <c r="T2426" s="1" t="n">
        <v>6405.45</v>
      </c>
      <c r="U2426" s="1" t="n">
        <v>5893.94</v>
      </c>
      <c r="V2426" s="1" t="n">
        <v>47.92</v>
      </c>
      <c r="W2426" s="1" t="s">
        <v>40</v>
      </c>
      <c r="Y2426" s="1" t="s">
        <v>40</v>
      </c>
      <c r="Z2426" s="1" t="n">
        <v>0</v>
      </c>
    </row>
    <row r="2427" customFormat="false" ht="15" hidden="false" customHeight="true" outlineLevel="0" collapsed="false">
      <c r="A2427" s="1" t="s">
        <v>3299</v>
      </c>
      <c r="B2427" s="1" t="s">
        <v>661</v>
      </c>
      <c r="C2427" s="1" t="s">
        <v>167</v>
      </c>
      <c r="D2427" s="1" t="s">
        <v>123</v>
      </c>
      <c r="E2427" s="1" t="s">
        <v>147</v>
      </c>
      <c r="F2427" s="1" t="s">
        <v>82</v>
      </c>
      <c r="G2427" s="1" t="s">
        <v>56</v>
      </c>
      <c r="H2427" s="1" t="s">
        <v>69</v>
      </c>
      <c r="I2427" s="1" t="s">
        <v>34</v>
      </c>
      <c r="J2427" s="1" t="s">
        <v>35</v>
      </c>
      <c r="K2427" s="1" t="s">
        <v>71</v>
      </c>
      <c r="L2427" s="1" t="s">
        <v>113</v>
      </c>
      <c r="M2427" s="1" t="s">
        <v>50</v>
      </c>
      <c r="N2427" s="1" t="n">
        <v>6999</v>
      </c>
      <c r="O2427" s="1" t="n">
        <v>5</v>
      </c>
      <c r="P2427" s="1" t="n">
        <v>349.95</v>
      </c>
      <c r="Q2427" s="1" t="n">
        <v>6649.05</v>
      </c>
      <c r="R2427" s="1" t="n">
        <v>1196.83</v>
      </c>
      <c r="S2427" s="1" t="n">
        <v>5452.22</v>
      </c>
      <c r="T2427" s="1" t="n">
        <v>2263.65</v>
      </c>
      <c r="U2427" s="1" t="n">
        <v>3188.57</v>
      </c>
      <c r="V2427" s="1" t="n">
        <v>58.48</v>
      </c>
      <c r="W2427" s="1" t="s">
        <v>39</v>
      </c>
      <c r="Y2427" s="1" t="s">
        <v>40</v>
      </c>
      <c r="Z2427" s="1" t="n">
        <v>0</v>
      </c>
    </row>
    <row r="2428" customFormat="false" ht="15" hidden="false" customHeight="true" outlineLevel="0" collapsed="false">
      <c r="A2428" s="1" t="s">
        <v>3300</v>
      </c>
      <c r="B2428" s="1" t="s">
        <v>1588</v>
      </c>
      <c r="C2428" s="1" t="s">
        <v>43</v>
      </c>
      <c r="D2428" s="1" t="s">
        <v>29</v>
      </c>
      <c r="E2428" s="1" t="s">
        <v>30</v>
      </c>
      <c r="F2428" s="1" t="s">
        <v>211</v>
      </c>
      <c r="G2428" s="1" t="s">
        <v>56</v>
      </c>
      <c r="H2428" s="1" t="s">
        <v>69</v>
      </c>
      <c r="I2428" s="1" t="s">
        <v>83</v>
      </c>
      <c r="J2428" s="1" t="s">
        <v>70</v>
      </c>
      <c r="K2428" s="1" t="s">
        <v>60</v>
      </c>
      <c r="L2428" s="1" t="s">
        <v>136</v>
      </c>
      <c r="M2428" s="1" t="s">
        <v>50</v>
      </c>
      <c r="N2428" s="1" t="n">
        <v>7999</v>
      </c>
      <c r="O2428" s="1" t="n">
        <v>0</v>
      </c>
      <c r="P2428" s="1" t="n">
        <v>0</v>
      </c>
      <c r="Q2428" s="1" t="n">
        <v>7999</v>
      </c>
      <c r="R2428" s="1" t="n">
        <v>1439.82</v>
      </c>
      <c r="S2428" s="1" t="n">
        <v>6559.18</v>
      </c>
      <c r="T2428" s="1" t="n">
        <v>2098.73</v>
      </c>
      <c r="U2428" s="1" t="n">
        <v>4460.45</v>
      </c>
      <c r="V2428" s="1" t="n">
        <v>68</v>
      </c>
      <c r="W2428" s="1" t="s">
        <v>39</v>
      </c>
      <c r="X2428" s="1" t="n">
        <v>3.4</v>
      </c>
      <c r="Y2428" s="1" t="s">
        <v>40</v>
      </c>
      <c r="Z2428" s="1" t="n">
        <v>0</v>
      </c>
    </row>
    <row r="2429" customFormat="false" ht="15" hidden="false" customHeight="true" outlineLevel="0" collapsed="false">
      <c r="A2429" s="1" t="s">
        <v>3301</v>
      </c>
      <c r="B2429" s="1" t="s">
        <v>2604</v>
      </c>
      <c r="C2429" s="1" t="s">
        <v>119</v>
      </c>
      <c r="D2429" s="1" t="s">
        <v>168</v>
      </c>
      <c r="E2429" s="1" t="s">
        <v>172</v>
      </c>
      <c r="F2429" s="1" t="s">
        <v>102</v>
      </c>
      <c r="G2429" s="1" t="s">
        <v>103</v>
      </c>
      <c r="H2429" s="1" t="s">
        <v>33</v>
      </c>
      <c r="I2429" s="1" t="s">
        <v>34</v>
      </c>
      <c r="J2429" s="1" t="s">
        <v>35</v>
      </c>
      <c r="K2429" s="1" t="s">
        <v>60</v>
      </c>
      <c r="L2429" s="1" t="s">
        <v>85</v>
      </c>
      <c r="M2429" s="1" t="s">
        <v>62</v>
      </c>
      <c r="N2429" s="1" t="n">
        <v>6999</v>
      </c>
      <c r="O2429" s="1" t="n">
        <v>20</v>
      </c>
      <c r="P2429" s="1" t="n">
        <v>1399.8</v>
      </c>
      <c r="Q2429" s="1" t="n">
        <v>5599.2</v>
      </c>
      <c r="R2429" s="1" t="n">
        <v>1007.86</v>
      </c>
      <c r="S2429" s="1" t="n">
        <v>4591.34</v>
      </c>
      <c r="T2429" s="1" t="n">
        <v>1801.1</v>
      </c>
      <c r="U2429" s="1" t="n">
        <v>2790.24</v>
      </c>
      <c r="V2429" s="1" t="n">
        <v>60.77</v>
      </c>
      <c r="W2429" s="1" t="s">
        <v>39</v>
      </c>
      <c r="Y2429" s="1" t="s">
        <v>40</v>
      </c>
      <c r="Z2429" s="1" t="n">
        <v>0</v>
      </c>
    </row>
    <row r="2430" customFormat="false" ht="15" hidden="false" customHeight="true" outlineLevel="0" collapsed="false">
      <c r="A2430" s="1" t="s">
        <v>3302</v>
      </c>
      <c r="B2430" s="1" t="s">
        <v>1913</v>
      </c>
      <c r="C2430" s="1" t="s">
        <v>100</v>
      </c>
      <c r="D2430" s="1" t="s">
        <v>94</v>
      </c>
      <c r="E2430" s="1" t="s">
        <v>135</v>
      </c>
      <c r="F2430" s="1" t="s">
        <v>55</v>
      </c>
      <c r="G2430" s="1" t="s">
        <v>56</v>
      </c>
      <c r="H2430" s="1" t="s">
        <v>57</v>
      </c>
      <c r="I2430" s="1" t="s">
        <v>58</v>
      </c>
      <c r="J2430" s="1" t="s">
        <v>70</v>
      </c>
      <c r="K2430" s="1" t="s">
        <v>84</v>
      </c>
      <c r="L2430" s="1" t="s">
        <v>85</v>
      </c>
      <c r="M2430" s="1" t="s">
        <v>50</v>
      </c>
      <c r="N2430" s="1" t="n">
        <v>9999</v>
      </c>
      <c r="O2430" s="1" t="n">
        <v>0</v>
      </c>
      <c r="P2430" s="1" t="n">
        <v>0</v>
      </c>
      <c r="Q2430" s="1" t="n">
        <v>9999</v>
      </c>
      <c r="R2430" s="1" t="n">
        <v>1799.82</v>
      </c>
      <c r="S2430" s="1" t="n">
        <v>8199.18</v>
      </c>
      <c r="T2430" s="1" t="n">
        <v>3595.45</v>
      </c>
      <c r="U2430" s="1" t="n">
        <v>4603.73</v>
      </c>
      <c r="V2430" s="1" t="n">
        <v>56.15</v>
      </c>
      <c r="W2430" s="1" t="s">
        <v>40</v>
      </c>
      <c r="Y2430" s="1" t="s">
        <v>39</v>
      </c>
      <c r="Z2430" s="1" t="n">
        <v>0</v>
      </c>
    </row>
    <row r="2431" customFormat="false" ht="15" hidden="false" customHeight="true" outlineLevel="0" collapsed="false">
      <c r="A2431" s="1" t="s">
        <v>3303</v>
      </c>
      <c r="B2431" s="1" t="s">
        <v>1507</v>
      </c>
      <c r="C2431" s="1" t="s">
        <v>119</v>
      </c>
      <c r="D2431" s="1" t="s">
        <v>80</v>
      </c>
      <c r="E2431" s="1" t="s">
        <v>193</v>
      </c>
      <c r="F2431" s="1" t="s">
        <v>46</v>
      </c>
      <c r="G2431" s="1" t="s">
        <v>47</v>
      </c>
      <c r="H2431" s="1" t="s">
        <v>33</v>
      </c>
      <c r="I2431" s="1" t="s">
        <v>58</v>
      </c>
      <c r="J2431" s="1" t="s">
        <v>77</v>
      </c>
      <c r="K2431" s="1" t="s">
        <v>112</v>
      </c>
      <c r="L2431" s="1" t="s">
        <v>37</v>
      </c>
      <c r="M2431" s="1" t="s">
        <v>50</v>
      </c>
      <c r="N2431" s="1" t="n">
        <v>8999</v>
      </c>
      <c r="O2431" s="1" t="n">
        <v>10</v>
      </c>
      <c r="P2431" s="1" t="n">
        <v>899.9</v>
      </c>
      <c r="Q2431" s="1" t="n">
        <v>8099.1</v>
      </c>
      <c r="R2431" s="1" t="n">
        <v>1457.84</v>
      </c>
      <c r="S2431" s="1" t="n">
        <v>6641.26</v>
      </c>
      <c r="T2431" s="1" t="n">
        <v>2923.67</v>
      </c>
      <c r="U2431" s="1" t="n">
        <v>3717.59</v>
      </c>
      <c r="V2431" s="1" t="n">
        <v>55.98</v>
      </c>
      <c r="W2431" s="1" t="s">
        <v>39</v>
      </c>
      <c r="X2431" s="1" t="n">
        <v>4</v>
      </c>
      <c r="Y2431" s="1" t="s">
        <v>40</v>
      </c>
      <c r="Z2431" s="1" t="n">
        <v>1</v>
      </c>
    </row>
    <row r="2432" customFormat="false" ht="15" hidden="false" customHeight="true" outlineLevel="0" collapsed="false">
      <c r="A2432" s="1" t="s">
        <v>3304</v>
      </c>
      <c r="B2432" s="1" t="s">
        <v>1313</v>
      </c>
      <c r="C2432" s="1" t="s">
        <v>93</v>
      </c>
      <c r="D2432" s="1" t="s">
        <v>53</v>
      </c>
      <c r="E2432" s="1" t="s">
        <v>216</v>
      </c>
      <c r="F2432" s="1" t="s">
        <v>102</v>
      </c>
      <c r="G2432" s="1" t="s">
        <v>103</v>
      </c>
      <c r="H2432" s="1" t="s">
        <v>33</v>
      </c>
      <c r="I2432" s="1" t="s">
        <v>34</v>
      </c>
      <c r="J2432" s="1" t="s">
        <v>70</v>
      </c>
      <c r="K2432" s="1" t="s">
        <v>60</v>
      </c>
      <c r="L2432" s="1" t="s">
        <v>113</v>
      </c>
      <c r="M2432" s="1" t="s">
        <v>38</v>
      </c>
      <c r="N2432" s="1" t="n">
        <v>7499</v>
      </c>
      <c r="O2432" s="1" t="n">
        <v>30</v>
      </c>
      <c r="P2432" s="1" t="n">
        <v>2249.7</v>
      </c>
      <c r="Q2432" s="1" t="n">
        <v>5249.3</v>
      </c>
      <c r="R2432" s="1" t="n">
        <v>944.87</v>
      </c>
      <c r="S2432" s="1" t="n">
        <v>4304.43</v>
      </c>
      <c r="T2432" s="1" t="n">
        <v>1923.52</v>
      </c>
      <c r="U2432" s="1" t="n">
        <v>2380.91</v>
      </c>
      <c r="V2432" s="1" t="n">
        <v>55.31</v>
      </c>
      <c r="W2432" s="1" t="s">
        <v>39</v>
      </c>
      <c r="X2432" s="1" t="n">
        <v>4</v>
      </c>
      <c r="Y2432" s="1" t="s">
        <v>40</v>
      </c>
      <c r="Z2432" s="1" t="n">
        <v>0</v>
      </c>
    </row>
    <row r="2433" customFormat="false" ht="15" hidden="false" customHeight="true" outlineLevel="0" collapsed="false">
      <c r="A2433" s="1" t="s">
        <v>3305</v>
      </c>
      <c r="B2433" s="1" t="s">
        <v>1285</v>
      </c>
      <c r="C2433" s="1" t="s">
        <v>65</v>
      </c>
      <c r="D2433" s="1" t="s">
        <v>29</v>
      </c>
      <c r="E2433" s="1" t="s">
        <v>129</v>
      </c>
      <c r="F2433" s="1" t="s">
        <v>89</v>
      </c>
      <c r="G2433" s="1" t="s">
        <v>68</v>
      </c>
      <c r="H2433" s="1" t="s">
        <v>33</v>
      </c>
      <c r="I2433" s="1" t="s">
        <v>58</v>
      </c>
      <c r="J2433" s="1" t="s">
        <v>131</v>
      </c>
      <c r="K2433" s="1" t="s">
        <v>60</v>
      </c>
      <c r="L2433" s="1" t="s">
        <v>113</v>
      </c>
      <c r="M2433" s="1" t="s">
        <v>38</v>
      </c>
      <c r="N2433" s="1" t="n">
        <v>29999</v>
      </c>
      <c r="O2433" s="1" t="n">
        <v>0</v>
      </c>
      <c r="P2433" s="1" t="n">
        <v>0</v>
      </c>
      <c r="Q2433" s="1" t="n">
        <v>29999</v>
      </c>
      <c r="R2433" s="1" t="n">
        <v>5399.82</v>
      </c>
      <c r="S2433" s="1" t="n">
        <v>24599.18</v>
      </c>
      <c r="T2433" s="1" t="n">
        <v>10939.29</v>
      </c>
      <c r="U2433" s="1" t="n">
        <v>13659.89</v>
      </c>
      <c r="V2433" s="1" t="n">
        <v>55.53</v>
      </c>
      <c r="W2433" s="1" t="s">
        <v>40</v>
      </c>
      <c r="Y2433" s="1" t="s">
        <v>40</v>
      </c>
      <c r="Z2433" s="1" t="n">
        <v>0</v>
      </c>
    </row>
    <row r="2434" customFormat="false" ht="15" hidden="false" customHeight="true" outlineLevel="0" collapsed="false">
      <c r="A2434" s="1" t="s">
        <v>3306</v>
      </c>
      <c r="B2434" s="1" t="s">
        <v>667</v>
      </c>
      <c r="C2434" s="1" t="s">
        <v>249</v>
      </c>
      <c r="D2434" s="1" t="s">
        <v>94</v>
      </c>
      <c r="E2434" s="1" t="s">
        <v>101</v>
      </c>
      <c r="F2434" s="1" t="s">
        <v>125</v>
      </c>
      <c r="G2434" s="1" t="s">
        <v>108</v>
      </c>
      <c r="H2434" s="1" t="s">
        <v>69</v>
      </c>
      <c r="I2434" s="1" t="s">
        <v>58</v>
      </c>
      <c r="J2434" s="1" t="s">
        <v>131</v>
      </c>
      <c r="K2434" s="1" t="s">
        <v>60</v>
      </c>
      <c r="L2434" s="1" t="s">
        <v>113</v>
      </c>
      <c r="M2434" s="1" t="s">
        <v>38</v>
      </c>
      <c r="N2434" s="1" t="n">
        <v>14999</v>
      </c>
      <c r="O2434" s="1" t="n">
        <v>5</v>
      </c>
      <c r="P2434" s="1" t="n">
        <v>749.95</v>
      </c>
      <c r="Q2434" s="1" t="n">
        <v>14249.05</v>
      </c>
      <c r="R2434" s="1" t="n">
        <v>2564.83</v>
      </c>
      <c r="S2434" s="1" t="n">
        <v>11684.22</v>
      </c>
      <c r="T2434" s="1" t="n">
        <v>4974.12</v>
      </c>
      <c r="U2434" s="1" t="n">
        <v>6710.1</v>
      </c>
      <c r="V2434" s="1" t="n">
        <v>57.43</v>
      </c>
      <c r="W2434" s="1" t="s">
        <v>39</v>
      </c>
      <c r="X2434" s="1" t="n">
        <v>3.5</v>
      </c>
      <c r="Y2434" s="1" t="s">
        <v>39</v>
      </c>
      <c r="Z2434" s="1" t="n">
        <v>0</v>
      </c>
    </row>
    <row r="2435" customFormat="false" ht="15" hidden="false" customHeight="true" outlineLevel="0" collapsed="false">
      <c r="A2435" s="1" t="s">
        <v>3307</v>
      </c>
      <c r="B2435" s="1" t="s">
        <v>1640</v>
      </c>
      <c r="C2435" s="1" t="s">
        <v>43</v>
      </c>
      <c r="D2435" s="1" t="s">
        <v>29</v>
      </c>
      <c r="E2435" s="1" t="s">
        <v>129</v>
      </c>
      <c r="F2435" s="1" t="s">
        <v>269</v>
      </c>
      <c r="G2435" s="1" t="s">
        <v>108</v>
      </c>
      <c r="H2435" s="1" t="s">
        <v>57</v>
      </c>
      <c r="I2435" s="1" t="s">
        <v>58</v>
      </c>
      <c r="J2435" s="1" t="s">
        <v>59</v>
      </c>
      <c r="K2435" s="1" t="s">
        <v>104</v>
      </c>
      <c r="L2435" s="1" t="s">
        <v>136</v>
      </c>
      <c r="M2435" s="1" t="s">
        <v>38</v>
      </c>
      <c r="N2435" s="1" t="n">
        <v>29999</v>
      </c>
      <c r="O2435" s="1" t="n">
        <v>10</v>
      </c>
      <c r="P2435" s="1" t="n">
        <v>2999.9</v>
      </c>
      <c r="Q2435" s="1" t="n">
        <v>26999.1</v>
      </c>
      <c r="R2435" s="1" t="n">
        <v>4859.84</v>
      </c>
      <c r="S2435" s="1" t="n">
        <v>22139.26</v>
      </c>
      <c r="T2435" s="1" t="n">
        <v>8148.51</v>
      </c>
      <c r="U2435" s="1" t="n">
        <v>13990.75</v>
      </c>
      <c r="V2435" s="1" t="n">
        <v>63.19</v>
      </c>
      <c r="W2435" s="1" t="s">
        <v>40</v>
      </c>
      <c r="Y2435" s="1" t="s">
        <v>40</v>
      </c>
      <c r="Z2435" s="1" t="n">
        <v>0</v>
      </c>
    </row>
    <row r="2436" customFormat="false" ht="15" hidden="false" customHeight="true" outlineLevel="0" collapsed="false">
      <c r="A2436" s="1" t="s">
        <v>3308</v>
      </c>
      <c r="B2436" s="1" t="s">
        <v>448</v>
      </c>
      <c r="C2436" s="1" t="s">
        <v>65</v>
      </c>
      <c r="D2436" s="1" t="s">
        <v>80</v>
      </c>
      <c r="E2436" s="1" t="s">
        <v>193</v>
      </c>
      <c r="F2436" s="1" t="s">
        <v>187</v>
      </c>
      <c r="G2436" s="1" t="s">
        <v>97</v>
      </c>
      <c r="H2436" s="1" t="s">
        <v>69</v>
      </c>
      <c r="I2436" s="1" t="s">
        <v>34</v>
      </c>
      <c r="J2436" s="1" t="s">
        <v>35</v>
      </c>
      <c r="K2436" s="1" t="s">
        <v>104</v>
      </c>
      <c r="L2436" s="1" t="s">
        <v>136</v>
      </c>
      <c r="M2436" s="1" t="s">
        <v>50</v>
      </c>
      <c r="N2436" s="1" t="n">
        <v>8999</v>
      </c>
      <c r="O2436" s="1" t="n">
        <v>5</v>
      </c>
      <c r="P2436" s="1" t="n">
        <v>449.95</v>
      </c>
      <c r="Q2436" s="1" t="n">
        <v>8549.05</v>
      </c>
      <c r="R2436" s="1" t="n">
        <v>1538.83</v>
      </c>
      <c r="S2436" s="1" t="n">
        <v>7010.22</v>
      </c>
      <c r="T2436" s="1" t="n">
        <v>2205.64</v>
      </c>
      <c r="U2436" s="1" t="n">
        <v>4804.58</v>
      </c>
      <c r="V2436" s="1" t="n">
        <v>68.54</v>
      </c>
      <c r="W2436" s="1" t="s">
        <v>39</v>
      </c>
      <c r="X2436" s="1" t="n">
        <v>3.7</v>
      </c>
      <c r="Y2436" s="1" t="s">
        <v>40</v>
      </c>
      <c r="Z2436" s="1" t="n">
        <v>1</v>
      </c>
    </row>
    <row r="2437" customFormat="false" ht="15" hidden="false" customHeight="true" outlineLevel="0" collapsed="false">
      <c r="A2437" s="1" t="s">
        <v>3309</v>
      </c>
      <c r="B2437" s="1" t="s">
        <v>304</v>
      </c>
      <c r="C2437" s="1" t="s">
        <v>167</v>
      </c>
      <c r="D2437" s="1" t="s">
        <v>143</v>
      </c>
      <c r="E2437" s="1" t="s">
        <v>162</v>
      </c>
      <c r="F2437" s="1" t="s">
        <v>187</v>
      </c>
      <c r="G2437" s="1" t="s">
        <v>97</v>
      </c>
      <c r="H2437" s="1" t="s">
        <v>69</v>
      </c>
      <c r="I2437" s="1" t="s">
        <v>58</v>
      </c>
      <c r="J2437" s="1" t="s">
        <v>77</v>
      </c>
      <c r="K2437" s="1" t="s">
        <v>48</v>
      </c>
      <c r="L2437" s="1" t="s">
        <v>113</v>
      </c>
      <c r="M2437" s="1" t="s">
        <v>62</v>
      </c>
      <c r="N2437" s="1" t="n">
        <v>14999</v>
      </c>
      <c r="O2437" s="1" t="n">
        <v>10</v>
      </c>
      <c r="P2437" s="1" t="n">
        <v>1499.9</v>
      </c>
      <c r="Q2437" s="1" t="n">
        <v>13499.1</v>
      </c>
      <c r="R2437" s="1" t="n">
        <v>2429.84</v>
      </c>
      <c r="S2437" s="1" t="n">
        <v>11069.26</v>
      </c>
      <c r="T2437" s="1" t="n">
        <v>4393.82</v>
      </c>
      <c r="U2437" s="1" t="n">
        <v>6675.44</v>
      </c>
      <c r="V2437" s="1" t="n">
        <v>60.31</v>
      </c>
      <c r="W2437" s="1" t="s">
        <v>39</v>
      </c>
      <c r="X2437" s="1" t="n">
        <v>4.2</v>
      </c>
      <c r="Y2437" s="1" t="s">
        <v>40</v>
      </c>
      <c r="Z2437" s="1" t="n">
        <v>0</v>
      </c>
    </row>
    <row r="2438" customFormat="false" ht="15" hidden="false" customHeight="true" outlineLevel="0" collapsed="false">
      <c r="A2438" s="1" t="s">
        <v>3310</v>
      </c>
      <c r="B2438" s="1" t="s">
        <v>889</v>
      </c>
      <c r="C2438" s="1" t="s">
        <v>264</v>
      </c>
      <c r="D2438" s="1" t="s">
        <v>80</v>
      </c>
      <c r="E2438" s="1" t="s">
        <v>81</v>
      </c>
      <c r="F2438" s="1" t="s">
        <v>184</v>
      </c>
      <c r="G2438" s="1" t="s">
        <v>56</v>
      </c>
      <c r="H2438" s="1" t="s">
        <v>57</v>
      </c>
      <c r="I2438" s="1" t="s">
        <v>58</v>
      </c>
      <c r="J2438" s="1" t="s">
        <v>131</v>
      </c>
      <c r="K2438" s="1" t="s">
        <v>112</v>
      </c>
      <c r="L2438" s="1" t="s">
        <v>37</v>
      </c>
      <c r="M2438" s="1" t="s">
        <v>50</v>
      </c>
      <c r="N2438" s="1" t="n">
        <v>12999</v>
      </c>
      <c r="O2438" s="1" t="n">
        <v>50</v>
      </c>
      <c r="P2438" s="1" t="n">
        <v>6499.5</v>
      </c>
      <c r="Q2438" s="1" t="n">
        <v>6499.5</v>
      </c>
      <c r="R2438" s="1" t="n">
        <v>1169.91</v>
      </c>
      <c r="S2438" s="1" t="n">
        <v>5329.59</v>
      </c>
      <c r="T2438" s="1" t="n">
        <v>2920.88</v>
      </c>
      <c r="U2438" s="1" t="n">
        <v>2408.71</v>
      </c>
      <c r="V2438" s="1" t="n">
        <v>45.2</v>
      </c>
      <c r="W2438" s="1" t="s">
        <v>39</v>
      </c>
      <c r="X2438" s="1" t="n">
        <v>4</v>
      </c>
      <c r="Y2438" s="1" t="s">
        <v>40</v>
      </c>
      <c r="Z2438" s="1" t="n">
        <v>0</v>
      </c>
    </row>
    <row r="2439" customFormat="false" ht="15" hidden="false" customHeight="true" outlineLevel="0" collapsed="false">
      <c r="A2439" s="1" t="s">
        <v>3311</v>
      </c>
      <c r="B2439" s="1" t="s">
        <v>296</v>
      </c>
      <c r="C2439" s="1" t="s">
        <v>134</v>
      </c>
      <c r="D2439" s="1" t="s">
        <v>29</v>
      </c>
      <c r="E2439" s="1" t="s">
        <v>182</v>
      </c>
      <c r="F2439" s="1" t="s">
        <v>269</v>
      </c>
      <c r="G2439" s="1" t="s">
        <v>108</v>
      </c>
      <c r="H2439" s="1" t="s">
        <v>57</v>
      </c>
      <c r="I2439" s="1" t="s">
        <v>83</v>
      </c>
      <c r="J2439" s="1" t="s">
        <v>77</v>
      </c>
      <c r="K2439" s="1" t="s">
        <v>60</v>
      </c>
      <c r="L2439" s="1" t="s">
        <v>136</v>
      </c>
      <c r="M2439" s="1" t="s">
        <v>50</v>
      </c>
      <c r="N2439" s="1" t="n">
        <v>34999</v>
      </c>
      <c r="O2439" s="1" t="n">
        <v>25</v>
      </c>
      <c r="P2439" s="1" t="n">
        <v>8749.75</v>
      </c>
      <c r="Q2439" s="1" t="n">
        <v>26249.25</v>
      </c>
      <c r="R2439" s="1" t="n">
        <v>4724.86</v>
      </c>
      <c r="S2439" s="1" t="n">
        <v>21524.39</v>
      </c>
      <c r="T2439" s="1" t="n">
        <v>7513.77</v>
      </c>
      <c r="U2439" s="1" t="n">
        <v>14010.62</v>
      </c>
      <c r="V2439" s="1" t="n">
        <v>65.09</v>
      </c>
      <c r="W2439" s="1" t="s">
        <v>39</v>
      </c>
      <c r="X2439" s="1" t="n">
        <v>3.2</v>
      </c>
      <c r="Y2439" s="1" t="s">
        <v>40</v>
      </c>
      <c r="Z2439" s="1" t="n">
        <v>1</v>
      </c>
    </row>
    <row r="2440" customFormat="false" ht="15" hidden="false" customHeight="true" outlineLevel="0" collapsed="false">
      <c r="A2440" s="1" t="s">
        <v>3312</v>
      </c>
      <c r="B2440" s="1" t="s">
        <v>1655</v>
      </c>
      <c r="C2440" s="1" t="s">
        <v>100</v>
      </c>
      <c r="D2440" s="1" t="s">
        <v>29</v>
      </c>
      <c r="E2440" s="1" t="s">
        <v>305</v>
      </c>
      <c r="F2440" s="1" t="s">
        <v>244</v>
      </c>
      <c r="G2440" s="1" t="s">
        <v>97</v>
      </c>
      <c r="H2440" s="1" t="s">
        <v>57</v>
      </c>
      <c r="I2440" s="1" t="s">
        <v>34</v>
      </c>
      <c r="J2440" s="1" t="s">
        <v>59</v>
      </c>
      <c r="K2440" s="1" t="s">
        <v>112</v>
      </c>
      <c r="L2440" s="1" t="s">
        <v>113</v>
      </c>
      <c r="M2440" s="1" t="s">
        <v>38</v>
      </c>
      <c r="N2440" s="1" t="n">
        <v>24999</v>
      </c>
      <c r="O2440" s="1" t="n">
        <v>40</v>
      </c>
      <c r="P2440" s="1" t="n">
        <v>9999.6</v>
      </c>
      <c r="Q2440" s="1" t="n">
        <v>14999.4</v>
      </c>
      <c r="R2440" s="1" t="n">
        <v>2699.89</v>
      </c>
      <c r="S2440" s="1" t="n">
        <v>12299.51</v>
      </c>
      <c r="T2440" s="1" t="n">
        <v>6227.85</v>
      </c>
      <c r="U2440" s="1" t="n">
        <v>6071.66</v>
      </c>
      <c r="V2440" s="1" t="n">
        <v>49.37</v>
      </c>
      <c r="W2440" s="1" t="s">
        <v>39</v>
      </c>
      <c r="X2440" s="1" t="n">
        <v>4.1</v>
      </c>
      <c r="Y2440" s="1" t="s">
        <v>40</v>
      </c>
      <c r="Z2440" s="1" t="n">
        <v>0</v>
      </c>
    </row>
    <row r="2441" customFormat="false" ht="15" hidden="false" customHeight="true" outlineLevel="0" collapsed="false">
      <c r="A2441" s="1" t="s">
        <v>3313</v>
      </c>
      <c r="B2441" s="1" t="s">
        <v>646</v>
      </c>
      <c r="C2441" s="1" t="s">
        <v>74</v>
      </c>
      <c r="D2441" s="1" t="s">
        <v>53</v>
      </c>
      <c r="E2441" s="1" t="s">
        <v>116</v>
      </c>
      <c r="F2441" s="1" t="s">
        <v>153</v>
      </c>
      <c r="G2441" s="1" t="s">
        <v>76</v>
      </c>
      <c r="H2441" s="1" t="s">
        <v>33</v>
      </c>
      <c r="I2441" s="1" t="s">
        <v>83</v>
      </c>
      <c r="J2441" s="1" t="s">
        <v>131</v>
      </c>
      <c r="K2441" s="1" t="s">
        <v>84</v>
      </c>
      <c r="L2441" s="1" t="s">
        <v>136</v>
      </c>
      <c r="M2441" s="1" t="s">
        <v>50</v>
      </c>
      <c r="N2441" s="1" t="n">
        <v>9999</v>
      </c>
      <c r="O2441" s="1" t="n">
        <v>15</v>
      </c>
      <c r="P2441" s="1" t="n">
        <v>1499.85</v>
      </c>
      <c r="Q2441" s="1" t="n">
        <v>8499.15</v>
      </c>
      <c r="R2441" s="1" t="n">
        <v>1529.85</v>
      </c>
      <c r="S2441" s="1" t="n">
        <v>6969.3</v>
      </c>
      <c r="T2441" s="1" t="n">
        <v>3234.9</v>
      </c>
      <c r="U2441" s="1" t="n">
        <v>3734.4</v>
      </c>
      <c r="V2441" s="1" t="n">
        <v>53.58</v>
      </c>
      <c r="W2441" s="1" t="s">
        <v>40</v>
      </c>
      <c r="Y2441" s="1" t="s">
        <v>40</v>
      </c>
      <c r="Z2441" s="1" t="n">
        <v>0</v>
      </c>
    </row>
    <row r="2442" customFormat="false" ht="15" hidden="false" customHeight="true" outlineLevel="0" collapsed="false">
      <c r="A2442" s="1" t="s">
        <v>3314</v>
      </c>
      <c r="B2442" s="1" t="s">
        <v>2385</v>
      </c>
      <c r="C2442" s="1" t="s">
        <v>88</v>
      </c>
      <c r="D2442" s="1" t="s">
        <v>94</v>
      </c>
      <c r="E2442" s="1" t="s">
        <v>135</v>
      </c>
      <c r="F2442" s="1" t="s">
        <v>130</v>
      </c>
      <c r="G2442" s="1" t="s">
        <v>47</v>
      </c>
      <c r="H2442" s="1" t="s">
        <v>69</v>
      </c>
      <c r="I2442" s="1" t="s">
        <v>34</v>
      </c>
      <c r="J2442" s="1" t="s">
        <v>77</v>
      </c>
      <c r="K2442" s="1" t="s">
        <v>104</v>
      </c>
      <c r="L2442" s="1" t="s">
        <v>49</v>
      </c>
      <c r="M2442" s="1" t="s">
        <v>62</v>
      </c>
      <c r="N2442" s="1" t="n">
        <v>9999</v>
      </c>
      <c r="O2442" s="1" t="n">
        <v>10</v>
      </c>
      <c r="P2442" s="1" t="n">
        <v>999.9</v>
      </c>
      <c r="Q2442" s="1" t="n">
        <v>8999.1</v>
      </c>
      <c r="R2442" s="1" t="n">
        <v>1619.84</v>
      </c>
      <c r="S2442" s="1" t="n">
        <v>7379.26</v>
      </c>
      <c r="T2442" s="1" t="n">
        <v>2429.09</v>
      </c>
      <c r="U2442" s="1" t="n">
        <v>4950.17</v>
      </c>
      <c r="V2442" s="1" t="n">
        <v>67.08</v>
      </c>
      <c r="W2442" s="1" t="s">
        <v>39</v>
      </c>
      <c r="X2442" s="1" t="n">
        <v>2.8</v>
      </c>
      <c r="Y2442" s="1" t="s">
        <v>39</v>
      </c>
      <c r="Z2442" s="1" t="n">
        <v>1</v>
      </c>
    </row>
    <row r="2443" customFormat="false" ht="15" hidden="false" customHeight="true" outlineLevel="0" collapsed="false">
      <c r="A2443" s="1" t="s">
        <v>3315</v>
      </c>
      <c r="B2443" s="1" t="s">
        <v>506</v>
      </c>
      <c r="C2443" s="1" t="s">
        <v>128</v>
      </c>
      <c r="D2443" s="1" t="s">
        <v>168</v>
      </c>
      <c r="E2443" s="1" t="s">
        <v>172</v>
      </c>
      <c r="F2443" s="1" t="s">
        <v>269</v>
      </c>
      <c r="G2443" s="1" t="s">
        <v>108</v>
      </c>
      <c r="H2443" s="1" t="s">
        <v>57</v>
      </c>
      <c r="I2443" s="1" t="s">
        <v>58</v>
      </c>
      <c r="J2443" s="1" t="s">
        <v>59</v>
      </c>
      <c r="K2443" s="1" t="s">
        <v>104</v>
      </c>
      <c r="L2443" s="1" t="s">
        <v>61</v>
      </c>
      <c r="M2443" s="1" t="s">
        <v>50</v>
      </c>
      <c r="N2443" s="1" t="n">
        <v>6999</v>
      </c>
      <c r="O2443" s="1" t="n">
        <v>10</v>
      </c>
      <c r="P2443" s="1" t="n">
        <v>699.9</v>
      </c>
      <c r="Q2443" s="1" t="n">
        <v>6299.1</v>
      </c>
      <c r="R2443" s="1" t="n">
        <v>1133.84</v>
      </c>
      <c r="S2443" s="1" t="n">
        <v>5165.26</v>
      </c>
      <c r="T2443" s="1" t="n">
        <v>2412.47</v>
      </c>
      <c r="U2443" s="1" t="n">
        <v>2752.79</v>
      </c>
      <c r="V2443" s="1" t="n">
        <v>53.29</v>
      </c>
      <c r="W2443" s="1" t="s">
        <v>39</v>
      </c>
      <c r="X2443" s="1" t="n">
        <v>3.7</v>
      </c>
      <c r="Y2443" s="1" t="s">
        <v>40</v>
      </c>
      <c r="Z2443" s="1" t="n">
        <v>0</v>
      </c>
    </row>
    <row r="2444" customFormat="false" ht="15" hidden="false" customHeight="true" outlineLevel="0" collapsed="false">
      <c r="A2444" s="1" t="s">
        <v>3316</v>
      </c>
      <c r="B2444" s="1" t="s">
        <v>2226</v>
      </c>
      <c r="C2444" s="1" t="s">
        <v>43</v>
      </c>
      <c r="D2444" s="1" t="s">
        <v>80</v>
      </c>
      <c r="E2444" s="1" t="s">
        <v>175</v>
      </c>
      <c r="F2444" s="1" t="s">
        <v>153</v>
      </c>
      <c r="G2444" s="1" t="s">
        <v>76</v>
      </c>
      <c r="H2444" s="1" t="s">
        <v>33</v>
      </c>
      <c r="I2444" s="1" t="s">
        <v>83</v>
      </c>
      <c r="J2444" s="1" t="s">
        <v>70</v>
      </c>
      <c r="K2444" s="1" t="s">
        <v>71</v>
      </c>
      <c r="L2444" s="1" t="s">
        <v>85</v>
      </c>
      <c r="M2444" s="1" t="s">
        <v>62</v>
      </c>
      <c r="N2444" s="1" t="n">
        <v>19999</v>
      </c>
      <c r="O2444" s="1" t="n">
        <v>0</v>
      </c>
      <c r="P2444" s="1" t="n">
        <v>0</v>
      </c>
      <c r="Q2444" s="1" t="n">
        <v>19999</v>
      </c>
      <c r="R2444" s="1" t="n">
        <v>3599.82</v>
      </c>
      <c r="S2444" s="1" t="n">
        <v>16399.18</v>
      </c>
      <c r="T2444" s="1" t="n">
        <v>8238.54</v>
      </c>
      <c r="U2444" s="1" t="n">
        <v>8160.64</v>
      </c>
      <c r="V2444" s="1" t="n">
        <v>49.76</v>
      </c>
      <c r="W2444" s="1" t="s">
        <v>40</v>
      </c>
      <c r="Y2444" s="1" t="s">
        <v>40</v>
      </c>
      <c r="Z2444" s="1" t="n">
        <v>0</v>
      </c>
    </row>
    <row r="2445" customFormat="false" ht="15" hidden="false" customHeight="true" outlineLevel="0" collapsed="false">
      <c r="A2445" s="1" t="s">
        <v>3317</v>
      </c>
      <c r="B2445" s="1" t="s">
        <v>1525</v>
      </c>
      <c r="C2445" s="1" t="s">
        <v>74</v>
      </c>
      <c r="D2445" s="1" t="s">
        <v>44</v>
      </c>
      <c r="E2445" s="1" t="s">
        <v>45</v>
      </c>
      <c r="F2445" s="1" t="s">
        <v>1213</v>
      </c>
      <c r="G2445" s="1" t="s">
        <v>47</v>
      </c>
      <c r="H2445" s="1" t="s">
        <v>57</v>
      </c>
      <c r="I2445" s="1" t="s">
        <v>58</v>
      </c>
      <c r="J2445" s="1" t="s">
        <v>70</v>
      </c>
      <c r="K2445" s="1" t="s">
        <v>90</v>
      </c>
      <c r="L2445" s="1" t="s">
        <v>85</v>
      </c>
      <c r="M2445" s="1" t="s">
        <v>50</v>
      </c>
      <c r="N2445" s="1" t="n">
        <v>11999</v>
      </c>
      <c r="O2445" s="1" t="n">
        <v>0</v>
      </c>
      <c r="P2445" s="1" t="n">
        <v>0</v>
      </c>
      <c r="Q2445" s="1" t="n">
        <v>11999</v>
      </c>
      <c r="R2445" s="1" t="n">
        <v>2159.82</v>
      </c>
      <c r="S2445" s="1" t="n">
        <v>9839.18</v>
      </c>
      <c r="T2445" s="1" t="n">
        <v>5306.64</v>
      </c>
      <c r="U2445" s="1" t="n">
        <v>4532.54</v>
      </c>
      <c r="V2445" s="1" t="n">
        <v>46.07</v>
      </c>
      <c r="W2445" s="1" t="s">
        <v>40</v>
      </c>
      <c r="Y2445" s="1" t="s">
        <v>40</v>
      </c>
      <c r="Z2445" s="1" t="n">
        <v>1</v>
      </c>
    </row>
    <row r="2446" customFormat="false" ht="15" hidden="false" customHeight="true" outlineLevel="0" collapsed="false">
      <c r="A2446" s="1" t="s">
        <v>3318</v>
      </c>
      <c r="B2446" s="1" t="s">
        <v>625</v>
      </c>
      <c r="C2446" s="1" t="s">
        <v>119</v>
      </c>
      <c r="D2446" s="1" t="s">
        <v>94</v>
      </c>
      <c r="E2446" s="1" t="s">
        <v>135</v>
      </c>
      <c r="F2446" s="1" t="s">
        <v>211</v>
      </c>
      <c r="G2446" s="1" t="s">
        <v>56</v>
      </c>
      <c r="H2446" s="1" t="s">
        <v>69</v>
      </c>
      <c r="I2446" s="1" t="s">
        <v>34</v>
      </c>
      <c r="J2446" s="1" t="s">
        <v>131</v>
      </c>
      <c r="K2446" s="1" t="s">
        <v>36</v>
      </c>
      <c r="L2446" s="1" t="s">
        <v>85</v>
      </c>
      <c r="M2446" s="1" t="s">
        <v>38</v>
      </c>
      <c r="N2446" s="1" t="n">
        <v>9999</v>
      </c>
      <c r="O2446" s="1" t="n">
        <v>5</v>
      </c>
      <c r="P2446" s="1" t="n">
        <v>499.95</v>
      </c>
      <c r="Q2446" s="1" t="n">
        <v>9499.05</v>
      </c>
      <c r="R2446" s="1" t="n">
        <v>1709.83</v>
      </c>
      <c r="S2446" s="1" t="n">
        <v>7789.22</v>
      </c>
      <c r="T2446" s="1" t="n">
        <v>3136.14</v>
      </c>
      <c r="U2446" s="1" t="n">
        <v>4653.08</v>
      </c>
      <c r="V2446" s="1" t="n">
        <v>59.74</v>
      </c>
      <c r="W2446" s="1" t="s">
        <v>39</v>
      </c>
      <c r="X2446" s="1" t="n">
        <v>3.1</v>
      </c>
      <c r="Y2446" s="1" t="s">
        <v>40</v>
      </c>
      <c r="Z2446" s="1" t="n">
        <v>0</v>
      </c>
    </row>
    <row r="2447" customFormat="false" ht="15" hidden="false" customHeight="true" outlineLevel="0" collapsed="false">
      <c r="A2447" s="1" t="s">
        <v>3319</v>
      </c>
      <c r="B2447" s="1" t="s">
        <v>1375</v>
      </c>
      <c r="C2447" s="1" t="s">
        <v>28</v>
      </c>
      <c r="D2447" s="1" t="s">
        <v>94</v>
      </c>
      <c r="E2447" s="1" t="s">
        <v>101</v>
      </c>
      <c r="F2447" s="1" t="s">
        <v>150</v>
      </c>
      <c r="G2447" s="1" t="s">
        <v>32</v>
      </c>
      <c r="H2447" s="1" t="s">
        <v>57</v>
      </c>
      <c r="I2447" s="1" t="s">
        <v>83</v>
      </c>
      <c r="J2447" s="1" t="s">
        <v>70</v>
      </c>
      <c r="K2447" s="1" t="s">
        <v>104</v>
      </c>
      <c r="L2447" s="1" t="s">
        <v>136</v>
      </c>
      <c r="M2447" s="1" t="s">
        <v>62</v>
      </c>
      <c r="N2447" s="1" t="n">
        <v>14999</v>
      </c>
      <c r="O2447" s="1" t="n">
        <v>10</v>
      </c>
      <c r="P2447" s="1" t="n">
        <v>1499.9</v>
      </c>
      <c r="Q2447" s="1" t="n">
        <v>13499.1</v>
      </c>
      <c r="R2447" s="1" t="n">
        <v>2429.84</v>
      </c>
      <c r="S2447" s="1" t="n">
        <v>11069.26</v>
      </c>
      <c r="T2447" s="1" t="n">
        <v>3966.28</v>
      </c>
      <c r="U2447" s="1" t="n">
        <v>7102.98</v>
      </c>
      <c r="V2447" s="1" t="n">
        <v>64.17</v>
      </c>
      <c r="W2447" s="1" t="s">
        <v>39</v>
      </c>
      <c r="X2447" s="1" t="n">
        <v>3</v>
      </c>
      <c r="Y2447" s="1" t="s">
        <v>40</v>
      </c>
      <c r="Z2447" s="1" t="n">
        <v>0</v>
      </c>
    </row>
    <row r="2448" customFormat="false" ht="15" hidden="false" customHeight="true" outlineLevel="0" collapsed="false">
      <c r="A2448" s="1" t="s">
        <v>3320</v>
      </c>
      <c r="B2448" s="1" t="s">
        <v>1298</v>
      </c>
      <c r="C2448" s="1" t="s">
        <v>88</v>
      </c>
      <c r="D2448" s="1" t="s">
        <v>143</v>
      </c>
      <c r="E2448" s="1" t="s">
        <v>144</v>
      </c>
      <c r="F2448" s="1" t="s">
        <v>102</v>
      </c>
      <c r="G2448" s="1" t="s">
        <v>103</v>
      </c>
      <c r="H2448" s="1" t="s">
        <v>33</v>
      </c>
      <c r="I2448" s="1" t="s">
        <v>58</v>
      </c>
      <c r="J2448" s="1" t="s">
        <v>35</v>
      </c>
      <c r="K2448" s="1" t="s">
        <v>90</v>
      </c>
      <c r="L2448" s="1" t="s">
        <v>49</v>
      </c>
      <c r="M2448" s="1" t="s">
        <v>38</v>
      </c>
      <c r="N2448" s="1" t="n">
        <v>12999</v>
      </c>
      <c r="O2448" s="1" t="n">
        <v>10</v>
      </c>
      <c r="P2448" s="1" t="n">
        <v>1299.9</v>
      </c>
      <c r="Q2448" s="1" t="n">
        <v>11699.1</v>
      </c>
      <c r="R2448" s="1" t="n">
        <v>2105.84</v>
      </c>
      <c r="S2448" s="1" t="n">
        <v>9593.26</v>
      </c>
      <c r="T2448" s="1" t="n">
        <v>4867.34</v>
      </c>
      <c r="U2448" s="1" t="n">
        <v>4725.92</v>
      </c>
      <c r="V2448" s="1" t="n">
        <v>49.26</v>
      </c>
      <c r="W2448" s="1" t="s">
        <v>39</v>
      </c>
      <c r="X2448" s="1" t="n">
        <v>4.3</v>
      </c>
      <c r="Y2448" s="1" t="s">
        <v>40</v>
      </c>
      <c r="Z2448" s="1" t="n">
        <v>0</v>
      </c>
    </row>
    <row r="2449" customFormat="false" ht="15" hidden="false" customHeight="true" outlineLevel="0" collapsed="false">
      <c r="A2449" s="1" t="s">
        <v>3321</v>
      </c>
      <c r="B2449" s="1" t="s">
        <v>622</v>
      </c>
      <c r="C2449" s="1" t="s">
        <v>139</v>
      </c>
      <c r="D2449" s="1" t="s">
        <v>123</v>
      </c>
      <c r="E2449" s="1" t="s">
        <v>124</v>
      </c>
      <c r="F2449" s="1" t="s">
        <v>67</v>
      </c>
      <c r="G2449" s="1" t="s">
        <v>68</v>
      </c>
      <c r="H2449" s="1" t="s">
        <v>69</v>
      </c>
      <c r="I2449" s="1" t="s">
        <v>34</v>
      </c>
      <c r="J2449" s="1" t="s">
        <v>70</v>
      </c>
      <c r="K2449" s="1" t="s">
        <v>84</v>
      </c>
      <c r="L2449" s="1" t="s">
        <v>85</v>
      </c>
      <c r="M2449" s="1" t="s">
        <v>38</v>
      </c>
      <c r="N2449" s="1" t="n">
        <v>4999</v>
      </c>
      <c r="O2449" s="1" t="n">
        <v>5</v>
      </c>
      <c r="P2449" s="1" t="n">
        <v>249.95</v>
      </c>
      <c r="Q2449" s="1" t="n">
        <v>4749.05</v>
      </c>
      <c r="R2449" s="1" t="n">
        <v>854.83</v>
      </c>
      <c r="S2449" s="1" t="n">
        <v>3894.22</v>
      </c>
      <c r="T2449" s="1" t="n">
        <v>1933.86</v>
      </c>
      <c r="U2449" s="1" t="n">
        <v>1960.36</v>
      </c>
      <c r="V2449" s="1" t="n">
        <v>50.34</v>
      </c>
      <c r="W2449" s="1" t="s">
        <v>39</v>
      </c>
      <c r="X2449" s="1" t="n">
        <v>4</v>
      </c>
      <c r="Y2449" s="1" t="s">
        <v>40</v>
      </c>
      <c r="Z2449" s="1" t="n">
        <v>0</v>
      </c>
    </row>
    <row r="2450" customFormat="false" ht="15" hidden="false" customHeight="true" outlineLevel="0" collapsed="false">
      <c r="A2450" s="1" t="s">
        <v>3322</v>
      </c>
      <c r="B2450" s="1" t="s">
        <v>939</v>
      </c>
      <c r="C2450" s="1" t="s">
        <v>74</v>
      </c>
      <c r="D2450" s="1" t="s">
        <v>143</v>
      </c>
      <c r="E2450" s="1" t="s">
        <v>159</v>
      </c>
      <c r="F2450" s="1" t="s">
        <v>187</v>
      </c>
      <c r="G2450" s="1" t="s">
        <v>97</v>
      </c>
      <c r="H2450" s="1" t="s">
        <v>69</v>
      </c>
      <c r="I2450" s="1" t="s">
        <v>34</v>
      </c>
      <c r="J2450" s="1" t="s">
        <v>70</v>
      </c>
      <c r="K2450" s="1" t="s">
        <v>104</v>
      </c>
      <c r="L2450" s="1" t="s">
        <v>136</v>
      </c>
      <c r="M2450" s="1" t="s">
        <v>38</v>
      </c>
      <c r="N2450" s="1" t="n">
        <v>24999</v>
      </c>
      <c r="O2450" s="1" t="n">
        <v>10</v>
      </c>
      <c r="P2450" s="1" t="n">
        <v>2499.9</v>
      </c>
      <c r="Q2450" s="1" t="n">
        <v>22499.1</v>
      </c>
      <c r="R2450" s="1" t="n">
        <v>4049.84</v>
      </c>
      <c r="S2450" s="1" t="n">
        <v>18449.26</v>
      </c>
      <c r="T2450" s="1" t="n">
        <v>8187.94</v>
      </c>
      <c r="U2450" s="1" t="n">
        <v>10261.32</v>
      </c>
      <c r="V2450" s="1" t="n">
        <v>55.62</v>
      </c>
      <c r="W2450" s="1" t="s">
        <v>40</v>
      </c>
      <c r="Y2450" s="1" t="s">
        <v>39</v>
      </c>
      <c r="Z2450" s="1" t="n">
        <v>2</v>
      </c>
    </row>
    <row r="2451" customFormat="false" ht="15" hidden="false" customHeight="true" outlineLevel="0" collapsed="false">
      <c r="A2451" s="1" t="s">
        <v>3323</v>
      </c>
      <c r="B2451" s="1" t="s">
        <v>535</v>
      </c>
      <c r="C2451" s="1" t="s">
        <v>28</v>
      </c>
      <c r="D2451" s="1" t="s">
        <v>53</v>
      </c>
      <c r="E2451" s="1" t="s">
        <v>116</v>
      </c>
      <c r="F2451" s="1" t="s">
        <v>67</v>
      </c>
      <c r="G2451" s="1" t="s">
        <v>68</v>
      </c>
      <c r="H2451" s="1" t="s">
        <v>69</v>
      </c>
      <c r="I2451" s="1" t="s">
        <v>34</v>
      </c>
      <c r="J2451" s="1" t="s">
        <v>77</v>
      </c>
      <c r="K2451" s="1" t="s">
        <v>90</v>
      </c>
      <c r="L2451" s="1" t="s">
        <v>85</v>
      </c>
      <c r="M2451" s="1" t="s">
        <v>62</v>
      </c>
      <c r="N2451" s="1" t="n">
        <v>9999</v>
      </c>
      <c r="O2451" s="1" t="n">
        <v>0</v>
      </c>
      <c r="P2451" s="1" t="n">
        <v>0</v>
      </c>
      <c r="Q2451" s="1" t="n">
        <v>9999</v>
      </c>
      <c r="R2451" s="1" t="n">
        <v>1799.82</v>
      </c>
      <c r="S2451" s="1" t="n">
        <v>8199.18</v>
      </c>
      <c r="T2451" s="1" t="n">
        <v>3589.46</v>
      </c>
      <c r="U2451" s="1" t="n">
        <v>4609.72</v>
      </c>
      <c r="V2451" s="1" t="n">
        <v>56.22</v>
      </c>
      <c r="W2451" s="1" t="s">
        <v>39</v>
      </c>
      <c r="X2451" s="1" t="n">
        <v>3</v>
      </c>
      <c r="Y2451" s="1" t="s">
        <v>40</v>
      </c>
      <c r="Z2451" s="1" t="n">
        <v>1</v>
      </c>
    </row>
    <row r="2452" customFormat="false" ht="15" hidden="false" customHeight="true" outlineLevel="0" collapsed="false">
      <c r="A2452" s="1" t="s">
        <v>3324</v>
      </c>
      <c r="B2452" s="1" t="s">
        <v>1168</v>
      </c>
      <c r="C2452" s="1" t="s">
        <v>43</v>
      </c>
      <c r="D2452" s="1" t="s">
        <v>123</v>
      </c>
      <c r="E2452" s="1" t="s">
        <v>147</v>
      </c>
      <c r="F2452" s="1" t="s">
        <v>102</v>
      </c>
      <c r="G2452" s="1" t="s">
        <v>103</v>
      </c>
      <c r="H2452" s="1" t="s">
        <v>33</v>
      </c>
      <c r="I2452" s="1" t="s">
        <v>34</v>
      </c>
      <c r="J2452" s="1" t="s">
        <v>70</v>
      </c>
      <c r="K2452" s="1" t="s">
        <v>84</v>
      </c>
      <c r="L2452" s="1" t="s">
        <v>37</v>
      </c>
      <c r="M2452" s="1" t="s">
        <v>50</v>
      </c>
      <c r="N2452" s="1" t="n">
        <v>6999</v>
      </c>
      <c r="O2452" s="1" t="n">
        <v>15</v>
      </c>
      <c r="P2452" s="1" t="n">
        <v>1049.85</v>
      </c>
      <c r="Q2452" s="1" t="n">
        <v>5949.15</v>
      </c>
      <c r="R2452" s="1" t="n">
        <v>1070.85</v>
      </c>
      <c r="S2452" s="1" t="n">
        <v>4878.3</v>
      </c>
      <c r="T2452" s="1" t="n">
        <v>2288.95</v>
      </c>
      <c r="U2452" s="1" t="n">
        <v>2589.35</v>
      </c>
      <c r="V2452" s="1" t="n">
        <v>53.08</v>
      </c>
      <c r="W2452" s="1" t="s">
        <v>40</v>
      </c>
      <c r="Y2452" s="1" t="s">
        <v>40</v>
      </c>
      <c r="Z2452" s="1" t="n">
        <v>4</v>
      </c>
    </row>
    <row r="2453" customFormat="false" ht="15" hidden="false" customHeight="true" outlineLevel="0" collapsed="false">
      <c r="A2453" s="1" t="s">
        <v>3325</v>
      </c>
      <c r="B2453" s="1" t="s">
        <v>3326</v>
      </c>
      <c r="C2453" s="1" t="s">
        <v>128</v>
      </c>
      <c r="D2453" s="1" t="s">
        <v>94</v>
      </c>
      <c r="E2453" s="1" t="s">
        <v>135</v>
      </c>
      <c r="F2453" s="1" t="s">
        <v>82</v>
      </c>
      <c r="G2453" s="1" t="s">
        <v>56</v>
      </c>
      <c r="H2453" s="1" t="s">
        <v>69</v>
      </c>
      <c r="I2453" s="1" t="s">
        <v>58</v>
      </c>
      <c r="J2453" s="1" t="s">
        <v>35</v>
      </c>
      <c r="K2453" s="1" t="s">
        <v>36</v>
      </c>
      <c r="L2453" s="1" t="s">
        <v>113</v>
      </c>
      <c r="M2453" s="1" t="s">
        <v>50</v>
      </c>
      <c r="N2453" s="1" t="n">
        <v>9999</v>
      </c>
      <c r="O2453" s="1" t="n">
        <v>15</v>
      </c>
      <c r="P2453" s="1" t="n">
        <v>1499.85</v>
      </c>
      <c r="Q2453" s="1" t="n">
        <v>8499.15</v>
      </c>
      <c r="R2453" s="1" t="n">
        <v>1529.85</v>
      </c>
      <c r="S2453" s="1" t="n">
        <v>6969.3</v>
      </c>
      <c r="T2453" s="1" t="n">
        <v>3246.26</v>
      </c>
      <c r="U2453" s="1" t="n">
        <v>3723.04</v>
      </c>
      <c r="V2453" s="1" t="n">
        <v>53.42</v>
      </c>
      <c r="W2453" s="1" t="s">
        <v>39</v>
      </c>
      <c r="Y2453" s="1" t="s">
        <v>40</v>
      </c>
      <c r="Z2453" s="1" t="n">
        <v>0</v>
      </c>
    </row>
    <row r="2454" customFormat="false" ht="15" hidden="false" customHeight="true" outlineLevel="0" collapsed="false">
      <c r="A2454" s="1" t="s">
        <v>3327</v>
      </c>
      <c r="B2454" s="1" t="s">
        <v>415</v>
      </c>
      <c r="C2454" s="1" t="s">
        <v>119</v>
      </c>
      <c r="D2454" s="1" t="s">
        <v>53</v>
      </c>
      <c r="E2454" s="1" t="s">
        <v>116</v>
      </c>
      <c r="F2454" s="1" t="s">
        <v>184</v>
      </c>
      <c r="G2454" s="1" t="s">
        <v>56</v>
      </c>
      <c r="H2454" s="1" t="s">
        <v>57</v>
      </c>
      <c r="I2454" s="1" t="s">
        <v>83</v>
      </c>
      <c r="J2454" s="1" t="s">
        <v>70</v>
      </c>
      <c r="K2454" s="1" t="s">
        <v>36</v>
      </c>
      <c r="L2454" s="1" t="s">
        <v>136</v>
      </c>
      <c r="M2454" s="1" t="s">
        <v>62</v>
      </c>
      <c r="N2454" s="1" t="n">
        <v>9999</v>
      </c>
      <c r="O2454" s="1" t="n">
        <v>5</v>
      </c>
      <c r="P2454" s="1" t="n">
        <v>499.95</v>
      </c>
      <c r="Q2454" s="1" t="n">
        <v>9499.05</v>
      </c>
      <c r="R2454" s="1" t="n">
        <v>1709.83</v>
      </c>
      <c r="S2454" s="1" t="n">
        <v>7789.22</v>
      </c>
      <c r="T2454" s="1" t="n">
        <v>3861.9</v>
      </c>
      <c r="U2454" s="1" t="n">
        <v>3927.32</v>
      </c>
      <c r="V2454" s="1" t="n">
        <v>50.42</v>
      </c>
      <c r="W2454" s="1" t="s">
        <v>40</v>
      </c>
      <c r="Y2454" s="1" t="s">
        <v>40</v>
      </c>
      <c r="Z2454" s="1" t="n">
        <v>0</v>
      </c>
    </row>
    <row r="2455" customFormat="false" ht="15" hidden="false" customHeight="true" outlineLevel="0" collapsed="false">
      <c r="A2455" s="1" t="s">
        <v>3328</v>
      </c>
      <c r="B2455" s="1" t="s">
        <v>589</v>
      </c>
      <c r="C2455" s="1" t="s">
        <v>139</v>
      </c>
      <c r="D2455" s="1" t="s">
        <v>44</v>
      </c>
      <c r="E2455" s="1" t="s">
        <v>66</v>
      </c>
      <c r="F2455" s="1" t="s">
        <v>55</v>
      </c>
      <c r="G2455" s="1" t="s">
        <v>56</v>
      </c>
      <c r="H2455" s="1" t="s">
        <v>57</v>
      </c>
      <c r="I2455" s="1" t="s">
        <v>58</v>
      </c>
      <c r="J2455" s="1" t="s">
        <v>77</v>
      </c>
      <c r="K2455" s="1" t="s">
        <v>48</v>
      </c>
      <c r="L2455" s="1" t="s">
        <v>113</v>
      </c>
      <c r="M2455" s="1" t="s">
        <v>38</v>
      </c>
      <c r="N2455" s="1" t="n">
        <v>12999</v>
      </c>
      <c r="O2455" s="1" t="n">
        <v>20</v>
      </c>
      <c r="P2455" s="1" t="n">
        <v>2599.8</v>
      </c>
      <c r="Q2455" s="1" t="n">
        <v>10399.2</v>
      </c>
      <c r="R2455" s="1" t="n">
        <v>1871.86</v>
      </c>
      <c r="S2455" s="1" t="n">
        <v>8527.34</v>
      </c>
      <c r="T2455" s="1" t="n">
        <v>3822.34</v>
      </c>
      <c r="U2455" s="1" t="n">
        <v>4705</v>
      </c>
      <c r="V2455" s="1" t="n">
        <v>55.18</v>
      </c>
      <c r="W2455" s="1" t="s">
        <v>39</v>
      </c>
      <c r="X2455" s="1" t="n">
        <v>4.3</v>
      </c>
      <c r="Y2455" s="1" t="s">
        <v>40</v>
      </c>
      <c r="Z2455" s="1" t="n">
        <v>0</v>
      </c>
    </row>
    <row r="2456" customFormat="false" ht="15" hidden="false" customHeight="true" outlineLevel="0" collapsed="false">
      <c r="A2456" s="1" t="s">
        <v>3329</v>
      </c>
      <c r="B2456" s="1" t="s">
        <v>1355</v>
      </c>
      <c r="C2456" s="1" t="s">
        <v>88</v>
      </c>
      <c r="D2456" s="1" t="s">
        <v>168</v>
      </c>
      <c r="E2456" s="1" t="s">
        <v>328</v>
      </c>
      <c r="F2456" s="1" t="s">
        <v>269</v>
      </c>
      <c r="G2456" s="1" t="s">
        <v>108</v>
      </c>
      <c r="H2456" s="1" t="s">
        <v>57</v>
      </c>
      <c r="I2456" s="1" t="s">
        <v>58</v>
      </c>
      <c r="J2456" s="1" t="s">
        <v>77</v>
      </c>
      <c r="K2456" s="1" t="s">
        <v>36</v>
      </c>
      <c r="L2456" s="1" t="s">
        <v>37</v>
      </c>
      <c r="M2456" s="1" t="s">
        <v>62</v>
      </c>
      <c r="N2456" s="1" t="n">
        <v>8999</v>
      </c>
      <c r="O2456" s="1" t="n">
        <v>5</v>
      </c>
      <c r="P2456" s="1" t="n">
        <v>449.95</v>
      </c>
      <c r="Q2456" s="1" t="n">
        <v>8549.05</v>
      </c>
      <c r="R2456" s="1" t="n">
        <v>1538.83</v>
      </c>
      <c r="S2456" s="1" t="n">
        <v>7010.22</v>
      </c>
      <c r="T2456" s="1" t="n">
        <v>2638.63</v>
      </c>
      <c r="U2456" s="1" t="n">
        <v>4371.59</v>
      </c>
      <c r="V2456" s="1" t="n">
        <v>62.36</v>
      </c>
      <c r="W2456" s="1" t="s">
        <v>39</v>
      </c>
      <c r="X2456" s="1" t="n">
        <v>4.4</v>
      </c>
      <c r="Y2456" s="1" t="s">
        <v>40</v>
      </c>
      <c r="Z2456" s="1" t="n">
        <v>0</v>
      </c>
    </row>
    <row r="2457" customFormat="false" ht="15" hidden="false" customHeight="true" outlineLevel="0" collapsed="false">
      <c r="A2457" s="1" t="s">
        <v>3330</v>
      </c>
      <c r="B2457" s="1" t="s">
        <v>747</v>
      </c>
      <c r="C2457" s="1" t="s">
        <v>28</v>
      </c>
      <c r="D2457" s="1" t="s">
        <v>29</v>
      </c>
      <c r="E2457" s="1" t="s">
        <v>182</v>
      </c>
      <c r="F2457" s="1" t="s">
        <v>211</v>
      </c>
      <c r="G2457" s="1" t="s">
        <v>56</v>
      </c>
      <c r="H2457" s="1" t="s">
        <v>69</v>
      </c>
      <c r="I2457" s="1" t="s">
        <v>58</v>
      </c>
      <c r="J2457" s="1" t="s">
        <v>35</v>
      </c>
      <c r="K2457" s="1" t="s">
        <v>36</v>
      </c>
      <c r="L2457" s="1" t="s">
        <v>113</v>
      </c>
      <c r="M2457" s="1" t="s">
        <v>38</v>
      </c>
      <c r="N2457" s="1" t="n">
        <v>34999</v>
      </c>
      <c r="O2457" s="1" t="n">
        <v>40</v>
      </c>
      <c r="P2457" s="1" t="n">
        <v>13999.6</v>
      </c>
      <c r="Q2457" s="1" t="n">
        <v>20999.4</v>
      </c>
      <c r="R2457" s="1" t="n">
        <v>3779.89</v>
      </c>
      <c r="S2457" s="1" t="n">
        <v>17219.51</v>
      </c>
      <c r="T2457" s="1" t="n">
        <v>7334.96</v>
      </c>
      <c r="U2457" s="1" t="n">
        <v>9884.55</v>
      </c>
      <c r="V2457" s="1" t="n">
        <v>57.4</v>
      </c>
      <c r="W2457" s="1" t="s">
        <v>39</v>
      </c>
      <c r="X2457" s="1" t="n">
        <v>3.8</v>
      </c>
      <c r="Y2457" s="1" t="s">
        <v>40</v>
      </c>
      <c r="Z2457" s="1" t="n">
        <v>0</v>
      </c>
    </row>
    <row r="2458" customFormat="false" ht="15" hidden="false" customHeight="true" outlineLevel="0" collapsed="false">
      <c r="A2458" s="1" t="s">
        <v>3331</v>
      </c>
      <c r="B2458" s="1" t="s">
        <v>425</v>
      </c>
      <c r="C2458" s="1" t="s">
        <v>139</v>
      </c>
      <c r="D2458" s="1" t="s">
        <v>123</v>
      </c>
      <c r="E2458" s="1" t="s">
        <v>124</v>
      </c>
      <c r="F2458" s="1" t="s">
        <v>46</v>
      </c>
      <c r="G2458" s="1" t="s">
        <v>47</v>
      </c>
      <c r="H2458" s="1" t="s">
        <v>33</v>
      </c>
      <c r="I2458" s="1" t="s">
        <v>58</v>
      </c>
      <c r="J2458" s="1" t="s">
        <v>59</v>
      </c>
      <c r="K2458" s="1" t="s">
        <v>36</v>
      </c>
      <c r="L2458" s="1" t="s">
        <v>85</v>
      </c>
      <c r="M2458" s="1" t="s">
        <v>62</v>
      </c>
      <c r="N2458" s="1" t="n">
        <v>4999</v>
      </c>
      <c r="O2458" s="1" t="n">
        <v>0</v>
      </c>
      <c r="P2458" s="1" t="n">
        <v>0</v>
      </c>
      <c r="Q2458" s="1" t="n">
        <v>4999</v>
      </c>
      <c r="R2458" s="1" t="n">
        <v>899.82</v>
      </c>
      <c r="S2458" s="1" t="n">
        <v>4099.18</v>
      </c>
      <c r="T2458" s="1" t="n">
        <v>1830.64</v>
      </c>
      <c r="U2458" s="1" t="n">
        <v>2268.54</v>
      </c>
      <c r="V2458" s="1" t="n">
        <v>55.34</v>
      </c>
      <c r="W2458" s="1" t="s">
        <v>39</v>
      </c>
      <c r="X2458" s="1" t="n">
        <v>4.3</v>
      </c>
      <c r="Y2458" s="1" t="s">
        <v>40</v>
      </c>
      <c r="Z2458" s="1" t="n">
        <v>0</v>
      </c>
    </row>
    <row r="2459" customFormat="false" ht="15" hidden="false" customHeight="true" outlineLevel="0" collapsed="false">
      <c r="A2459" s="1" t="s">
        <v>3332</v>
      </c>
      <c r="B2459" s="1" t="s">
        <v>809</v>
      </c>
      <c r="C2459" s="1" t="s">
        <v>74</v>
      </c>
      <c r="D2459" s="1" t="s">
        <v>168</v>
      </c>
      <c r="E2459" s="1" t="s">
        <v>328</v>
      </c>
      <c r="F2459" s="1" t="s">
        <v>125</v>
      </c>
      <c r="G2459" s="1" t="s">
        <v>108</v>
      </c>
      <c r="H2459" s="1" t="s">
        <v>69</v>
      </c>
      <c r="I2459" s="1" t="s">
        <v>83</v>
      </c>
      <c r="J2459" s="1" t="s">
        <v>70</v>
      </c>
      <c r="K2459" s="1" t="s">
        <v>36</v>
      </c>
      <c r="L2459" s="1" t="s">
        <v>136</v>
      </c>
      <c r="M2459" s="1" t="s">
        <v>38</v>
      </c>
      <c r="N2459" s="1" t="n">
        <v>8999</v>
      </c>
      <c r="O2459" s="1" t="n">
        <v>25</v>
      </c>
      <c r="P2459" s="1" t="n">
        <v>2249.75</v>
      </c>
      <c r="Q2459" s="1" t="n">
        <v>6749.25</v>
      </c>
      <c r="R2459" s="1" t="n">
        <v>1214.87</v>
      </c>
      <c r="S2459" s="1" t="n">
        <v>5534.38</v>
      </c>
      <c r="T2459" s="1" t="n">
        <v>2312.32</v>
      </c>
      <c r="U2459" s="1" t="n">
        <v>3222.06</v>
      </c>
      <c r="V2459" s="1" t="n">
        <v>58.22</v>
      </c>
      <c r="W2459" s="1" t="s">
        <v>40</v>
      </c>
      <c r="Y2459" s="1" t="s">
        <v>39</v>
      </c>
      <c r="Z2459" s="1" t="n">
        <v>0</v>
      </c>
    </row>
    <row r="2460" customFormat="false" ht="15" hidden="false" customHeight="true" outlineLevel="0" collapsed="false">
      <c r="A2460" s="1" t="s">
        <v>3333</v>
      </c>
      <c r="B2460" s="1" t="s">
        <v>1250</v>
      </c>
      <c r="C2460" s="1" t="s">
        <v>264</v>
      </c>
      <c r="D2460" s="1" t="s">
        <v>94</v>
      </c>
      <c r="E2460" s="1" t="s">
        <v>95</v>
      </c>
      <c r="F2460" s="1" t="s">
        <v>150</v>
      </c>
      <c r="G2460" s="1" t="s">
        <v>32</v>
      </c>
      <c r="H2460" s="1" t="s">
        <v>57</v>
      </c>
      <c r="I2460" s="1" t="s">
        <v>83</v>
      </c>
      <c r="J2460" s="1" t="s">
        <v>59</v>
      </c>
      <c r="K2460" s="1" t="s">
        <v>48</v>
      </c>
      <c r="L2460" s="1" t="s">
        <v>61</v>
      </c>
      <c r="M2460" s="1" t="s">
        <v>62</v>
      </c>
      <c r="N2460" s="1" t="n">
        <v>6999</v>
      </c>
      <c r="O2460" s="1" t="n">
        <v>10</v>
      </c>
      <c r="P2460" s="1" t="n">
        <v>699.9</v>
      </c>
      <c r="Q2460" s="1" t="n">
        <v>6299.1</v>
      </c>
      <c r="R2460" s="1" t="n">
        <v>1133.84</v>
      </c>
      <c r="S2460" s="1" t="n">
        <v>5165.26</v>
      </c>
      <c r="T2460" s="1" t="n">
        <v>2269.84</v>
      </c>
      <c r="U2460" s="1" t="n">
        <v>2895.42</v>
      </c>
      <c r="V2460" s="1" t="n">
        <v>56.06</v>
      </c>
      <c r="W2460" s="1" t="s">
        <v>40</v>
      </c>
      <c r="Y2460" s="1" t="s">
        <v>40</v>
      </c>
      <c r="Z2460" s="1" t="n">
        <v>1</v>
      </c>
    </row>
    <row r="2461" customFormat="false" ht="15" hidden="false" customHeight="true" outlineLevel="0" collapsed="false">
      <c r="A2461" s="1" t="s">
        <v>3334</v>
      </c>
      <c r="B2461" s="1" t="s">
        <v>413</v>
      </c>
      <c r="C2461" s="1" t="s">
        <v>28</v>
      </c>
      <c r="D2461" s="1" t="s">
        <v>143</v>
      </c>
      <c r="E2461" s="1" t="s">
        <v>243</v>
      </c>
      <c r="F2461" s="1" t="s">
        <v>55</v>
      </c>
      <c r="G2461" s="1" t="s">
        <v>56</v>
      </c>
      <c r="H2461" s="1" t="s">
        <v>57</v>
      </c>
      <c r="I2461" s="1" t="s">
        <v>58</v>
      </c>
      <c r="J2461" s="1" t="s">
        <v>59</v>
      </c>
      <c r="K2461" s="1" t="s">
        <v>48</v>
      </c>
      <c r="L2461" s="1" t="s">
        <v>113</v>
      </c>
      <c r="M2461" s="1" t="s">
        <v>62</v>
      </c>
      <c r="N2461" s="1" t="n">
        <v>22999</v>
      </c>
      <c r="O2461" s="1" t="n">
        <v>0</v>
      </c>
      <c r="P2461" s="1" t="n">
        <v>0</v>
      </c>
      <c r="Q2461" s="1" t="n">
        <v>22999</v>
      </c>
      <c r="R2461" s="1" t="n">
        <v>4139.82</v>
      </c>
      <c r="S2461" s="1" t="n">
        <v>18859.18</v>
      </c>
      <c r="T2461" s="1" t="n">
        <v>7740.86</v>
      </c>
      <c r="U2461" s="1" t="n">
        <v>11118.32</v>
      </c>
      <c r="V2461" s="1" t="n">
        <v>58.95</v>
      </c>
      <c r="W2461" s="1" t="s">
        <v>39</v>
      </c>
      <c r="Y2461" s="1" t="s">
        <v>40</v>
      </c>
      <c r="Z2461" s="1" t="n">
        <v>1</v>
      </c>
    </row>
    <row r="2462" customFormat="false" ht="15" hidden="false" customHeight="true" outlineLevel="0" collapsed="false">
      <c r="A2462" s="1" t="s">
        <v>3335</v>
      </c>
      <c r="B2462" s="1" t="s">
        <v>2422</v>
      </c>
      <c r="C2462" s="1" t="s">
        <v>264</v>
      </c>
      <c r="D2462" s="1" t="s">
        <v>80</v>
      </c>
      <c r="E2462" s="1" t="s">
        <v>193</v>
      </c>
      <c r="F2462" s="1" t="s">
        <v>96</v>
      </c>
      <c r="G2462" s="1" t="s">
        <v>97</v>
      </c>
      <c r="H2462" s="1" t="s">
        <v>69</v>
      </c>
      <c r="I2462" s="1" t="s">
        <v>34</v>
      </c>
      <c r="J2462" s="1" t="s">
        <v>131</v>
      </c>
      <c r="K2462" s="1" t="s">
        <v>112</v>
      </c>
      <c r="L2462" s="1" t="s">
        <v>37</v>
      </c>
      <c r="M2462" s="1" t="s">
        <v>50</v>
      </c>
      <c r="N2462" s="1" t="n">
        <v>8999</v>
      </c>
      <c r="O2462" s="1" t="n">
        <v>15</v>
      </c>
      <c r="P2462" s="1" t="n">
        <v>1349.85</v>
      </c>
      <c r="Q2462" s="1" t="n">
        <v>7649.15</v>
      </c>
      <c r="R2462" s="1" t="n">
        <v>1376.85</v>
      </c>
      <c r="S2462" s="1" t="n">
        <v>6272.3</v>
      </c>
      <c r="T2462" s="1" t="n">
        <v>2224.09</v>
      </c>
      <c r="U2462" s="1" t="n">
        <v>4048.21</v>
      </c>
      <c r="V2462" s="1" t="n">
        <v>64.54</v>
      </c>
      <c r="W2462" s="1" t="s">
        <v>39</v>
      </c>
      <c r="Y2462" s="1" t="s">
        <v>40</v>
      </c>
      <c r="Z2462" s="1" t="n">
        <v>0</v>
      </c>
    </row>
    <row r="2463" customFormat="false" ht="15" hidden="false" customHeight="true" outlineLevel="0" collapsed="false">
      <c r="A2463" s="1" t="s">
        <v>3336</v>
      </c>
      <c r="B2463" s="1" t="s">
        <v>1107</v>
      </c>
      <c r="C2463" s="1" t="s">
        <v>88</v>
      </c>
      <c r="D2463" s="1" t="s">
        <v>143</v>
      </c>
      <c r="E2463" s="1" t="s">
        <v>162</v>
      </c>
      <c r="F2463" s="1" t="s">
        <v>205</v>
      </c>
      <c r="G2463" s="1" t="s">
        <v>56</v>
      </c>
      <c r="H2463" s="1" t="s">
        <v>69</v>
      </c>
      <c r="I2463" s="1" t="s">
        <v>83</v>
      </c>
      <c r="J2463" s="1" t="s">
        <v>70</v>
      </c>
      <c r="K2463" s="1" t="s">
        <v>104</v>
      </c>
      <c r="L2463" s="1" t="s">
        <v>37</v>
      </c>
      <c r="M2463" s="1" t="s">
        <v>50</v>
      </c>
      <c r="N2463" s="1" t="n">
        <v>14999</v>
      </c>
      <c r="O2463" s="1" t="n">
        <v>50</v>
      </c>
      <c r="P2463" s="1" t="n">
        <v>7499.5</v>
      </c>
      <c r="Q2463" s="1" t="n">
        <v>7499.5</v>
      </c>
      <c r="R2463" s="1" t="n">
        <v>1349.91</v>
      </c>
      <c r="S2463" s="1" t="n">
        <v>6149.59</v>
      </c>
      <c r="T2463" s="1" t="n">
        <v>3513.56</v>
      </c>
      <c r="U2463" s="1" t="n">
        <v>2636.03</v>
      </c>
      <c r="V2463" s="1" t="n">
        <v>42.87</v>
      </c>
      <c r="W2463" s="1" t="s">
        <v>40</v>
      </c>
      <c r="Y2463" s="1" t="s">
        <v>40</v>
      </c>
      <c r="Z2463" s="1" t="n">
        <v>2</v>
      </c>
    </row>
    <row r="2464" customFormat="false" ht="15" hidden="false" customHeight="true" outlineLevel="0" collapsed="false">
      <c r="A2464" s="1" t="s">
        <v>3337</v>
      </c>
      <c r="B2464" s="1" t="s">
        <v>1044</v>
      </c>
      <c r="C2464" s="1" t="s">
        <v>93</v>
      </c>
      <c r="D2464" s="1" t="s">
        <v>123</v>
      </c>
      <c r="E2464" s="1" t="s">
        <v>233</v>
      </c>
      <c r="F2464" s="1" t="s">
        <v>211</v>
      </c>
      <c r="G2464" s="1" t="s">
        <v>56</v>
      </c>
      <c r="H2464" s="1" t="s">
        <v>69</v>
      </c>
      <c r="I2464" s="1" t="s">
        <v>58</v>
      </c>
      <c r="J2464" s="1" t="s">
        <v>59</v>
      </c>
      <c r="K2464" s="1" t="s">
        <v>36</v>
      </c>
      <c r="L2464" s="1" t="s">
        <v>61</v>
      </c>
      <c r="M2464" s="1" t="s">
        <v>62</v>
      </c>
      <c r="N2464" s="1" t="n">
        <v>8999</v>
      </c>
      <c r="O2464" s="1" t="n">
        <v>30</v>
      </c>
      <c r="P2464" s="1" t="n">
        <v>2699.7</v>
      </c>
      <c r="Q2464" s="1" t="n">
        <v>6299.3</v>
      </c>
      <c r="R2464" s="1" t="n">
        <v>1133.87</v>
      </c>
      <c r="S2464" s="1" t="n">
        <v>5165.43</v>
      </c>
      <c r="T2464" s="1" t="n">
        <v>1879.97</v>
      </c>
      <c r="U2464" s="1" t="n">
        <v>3285.46</v>
      </c>
      <c r="V2464" s="1" t="n">
        <v>63.6</v>
      </c>
      <c r="W2464" s="1" t="s">
        <v>39</v>
      </c>
      <c r="Y2464" s="1" t="s">
        <v>40</v>
      </c>
      <c r="Z2464" s="1" t="n">
        <v>0</v>
      </c>
    </row>
    <row r="2465" customFormat="false" ht="15" hidden="false" customHeight="true" outlineLevel="0" collapsed="false">
      <c r="A2465" s="1" t="s">
        <v>3338</v>
      </c>
      <c r="B2465" s="1" t="s">
        <v>1398</v>
      </c>
      <c r="C2465" s="1" t="s">
        <v>88</v>
      </c>
      <c r="D2465" s="1" t="s">
        <v>143</v>
      </c>
      <c r="E2465" s="1" t="s">
        <v>243</v>
      </c>
      <c r="F2465" s="1" t="s">
        <v>150</v>
      </c>
      <c r="G2465" s="1" t="s">
        <v>32</v>
      </c>
      <c r="H2465" s="1" t="s">
        <v>57</v>
      </c>
      <c r="I2465" s="1" t="s">
        <v>34</v>
      </c>
      <c r="J2465" s="1" t="s">
        <v>59</v>
      </c>
      <c r="K2465" s="1" t="s">
        <v>84</v>
      </c>
      <c r="L2465" s="1" t="s">
        <v>49</v>
      </c>
      <c r="M2465" s="1" t="s">
        <v>50</v>
      </c>
      <c r="N2465" s="1" t="n">
        <v>22999</v>
      </c>
      <c r="O2465" s="1" t="n">
        <v>0</v>
      </c>
      <c r="P2465" s="1" t="n">
        <v>0</v>
      </c>
      <c r="Q2465" s="1" t="n">
        <v>22999</v>
      </c>
      <c r="R2465" s="1" t="n">
        <v>4139.82</v>
      </c>
      <c r="S2465" s="1" t="n">
        <v>18859.18</v>
      </c>
      <c r="T2465" s="1" t="n">
        <v>8764.78</v>
      </c>
      <c r="U2465" s="1" t="n">
        <v>10094.4</v>
      </c>
      <c r="V2465" s="1" t="n">
        <v>53.53</v>
      </c>
      <c r="W2465" s="1" t="s">
        <v>40</v>
      </c>
      <c r="Y2465" s="1" t="s">
        <v>40</v>
      </c>
      <c r="Z2465" s="1" t="n">
        <v>0</v>
      </c>
    </row>
    <row r="2466" customFormat="false" ht="15" hidden="false" customHeight="true" outlineLevel="0" collapsed="false">
      <c r="A2466" s="1" t="s">
        <v>3339</v>
      </c>
      <c r="B2466" s="1" t="s">
        <v>2987</v>
      </c>
      <c r="C2466" s="1" t="s">
        <v>28</v>
      </c>
      <c r="D2466" s="1" t="s">
        <v>143</v>
      </c>
      <c r="E2466" s="1" t="s">
        <v>162</v>
      </c>
      <c r="F2466" s="1" t="s">
        <v>156</v>
      </c>
      <c r="G2466" s="1" t="s">
        <v>68</v>
      </c>
      <c r="H2466" s="1" t="s">
        <v>57</v>
      </c>
      <c r="I2466" s="1" t="s">
        <v>34</v>
      </c>
      <c r="J2466" s="1" t="s">
        <v>70</v>
      </c>
      <c r="K2466" s="1" t="s">
        <v>84</v>
      </c>
      <c r="L2466" s="1" t="s">
        <v>61</v>
      </c>
      <c r="M2466" s="1" t="s">
        <v>62</v>
      </c>
      <c r="N2466" s="1" t="n">
        <v>14999</v>
      </c>
      <c r="O2466" s="1" t="n">
        <v>50</v>
      </c>
      <c r="P2466" s="1" t="n">
        <v>7499.5</v>
      </c>
      <c r="Q2466" s="1" t="n">
        <v>7499.5</v>
      </c>
      <c r="R2466" s="1" t="n">
        <v>1349.91</v>
      </c>
      <c r="S2466" s="1" t="n">
        <v>6149.59</v>
      </c>
      <c r="T2466" s="1" t="n">
        <v>3217.67</v>
      </c>
      <c r="U2466" s="1" t="n">
        <v>2931.92</v>
      </c>
      <c r="V2466" s="1" t="n">
        <v>47.68</v>
      </c>
      <c r="W2466" s="1" t="s">
        <v>39</v>
      </c>
      <c r="Y2466" s="1" t="s">
        <v>40</v>
      </c>
      <c r="Z2466" s="1" t="n">
        <v>0</v>
      </c>
    </row>
    <row r="2467" customFormat="false" ht="15" hidden="false" customHeight="true" outlineLevel="0" collapsed="false">
      <c r="A2467" s="1" t="s">
        <v>3340</v>
      </c>
      <c r="B2467" s="1" t="s">
        <v>2394</v>
      </c>
      <c r="C2467" s="1" t="s">
        <v>43</v>
      </c>
      <c r="D2467" s="1" t="s">
        <v>123</v>
      </c>
      <c r="E2467" s="1" t="s">
        <v>124</v>
      </c>
      <c r="F2467" s="1" t="s">
        <v>130</v>
      </c>
      <c r="G2467" s="1" t="s">
        <v>47</v>
      </c>
      <c r="H2467" s="1" t="s">
        <v>69</v>
      </c>
      <c r="I2467" s="1" t="s">
        <v>34</v>
      </c>
      <c r="J2467" s="1" t="s">
        <v>77</v>
      </c>
      <c r="K2467" s="1" t="s">
        <v>112</v>
      </c>
      <c r="L2467" s="1" t="s">
        <v>113</v>
      </c>
      <c r="M2467" s="1" t="s">
        <v>38</v>
      </c>
      <c r="N2467" s="1" t="n">
        <v>4999</v>
      </c>
      <c r="O2467" s="1" t="n">
        <v>20</v>
      </c>
      <c r="P2467" s="1" t="n">
        <v>999.8</v>
      </c>
      <c r="Q2467" s="1" t="n">
        <v>3999.2</v>
      </c>
      <c r="R2467" s="1" t="n">
        <v>719.86</v>
      </c>
      <c r="S2467" s="1" t="n">
        <v>3279.34</v>
      </c>
      <c r="T2467" s="1" t="n">
        <v>1364.65</v>
      </c>
      <c r="U2467" s="1" t="n">
        <v>1914.69</v>
      </c>
      <c r="V2467" s="1" t="n">
        <v>58.39</v>
      </c>
      <c r="W2467" s="1" t="s">
        <v>40</v>
      </c>
      <c r="Y2467" s="1" t="s">
        <v>39</v>
      </c>
      <c r="Z2467" s="1" t="n">
        <v>1</v>
      </c>
    </row>
    <row r="2468" customFormat="false" ht="15" hidden="false" customHeight="true" outlineLevel="0" collapsed="false">
      <c r="A2468" s="1" t="s">
        <v>3341</v>
      </c>
      <c r="B2468" s="1" t="s">
        <v>760</v>
      </c>
      <c r="C2468" s="1" t="s">
        <v>100</v>
      </c>
      <c r="D2468" s="1" t="s">
        <v>44</v>
      </c>
      <c r="E2468" s="1" t="s">
        <v>66</v>
      </c>
      <c r="F2468" s="1" t="s">
        <v>194</v>
      </c>
      <c r="G2468" s="1" t="s">
        <v>103</v>
      </c>
      <c r="H2468" s="1" t="s">
        <v>69</v>
      </c>
      <c r="I2468" s="1" t="s">
        <v>58</v>
      </c>
      <c r="J2468" s="1" t="s">
        <v>77</v>
      </c>
      <c r="K2468" s="1" t="s">
        <v>84</v>
      </c>
      <c r="L2468" s="1" t="s">
        <v>85</v>
      </c>
      <c r="M2468" s="1" t="s">
        <v>50</v>
      </c>
      <c r="N2468" s="1" t="n">
        <v>12999</v>
      </c>
      <c r="O2468" s="1" t="n">
        <v>30</v>
      </c>
      <c r="P2468" s="1" t="n">
        <v>3899.7</v>
      </c>
      <c r="Q2468" s="1" t="n">
        <v>9099.3</v>
      </c>
      <c r="R2468" s="1" t="n">
        <v>1637.87</v>
      </c>
      <c r="S2468" s="1" t="n">
        <v>7461.43</v>
      </c>
      <c r="T2468" s="1" t="n">
        <v>3141.52</v>
      </c>
      <c r="U2468" s="1" t="n">
        <v>4319.91</v>
      </c>
      <c r="V2468" s="1" t="n">
        <v>57.9</v>
      </c>
      <c r="W2468" s="1" t="s">
        <v>39</v>
      </c>
      <c r="X2468" s="1" t="n">
        <v>4.1</v>
      </c>
      <c r="Y2468" s="1" t="s">
        <v>40</v>
      </c>
      <c r="Z2468" s="1" t="n">
        <v>0</v>
      </c>
    </row>
    <row r="2469" customFormat="false" ht="15" hidden="false" customHeight="true" outlineLevel="0" collapsed="false">
      <c r="A2469" s="1" t="s">
        <v>3342</v>
      </c>
      <c r="B2469" s="1" t="s">
        <v>3343</v>
      </c>
      <c r="C2469" s="1" t="s">
        <v>139</v>
      </c>
      <c r="D2469" s="1" t="s">
        <v>168</v>
      </c>
      <c r="E2469" s="1" t="s">
        <v>328</v>
      </c>
      <c r="F2469" s="1" t="s">
        <v>269</v>
      </c>
      <c r="G2469" s="1" t="s">
        <v>108</v>
      </c>
      <c r="H2469" s="1" t="s">
        <v>57</v>
      </c>
      <c r="I2469" s="1" t="s">
        <v>34</v>
      </c>
      <c r="J2469" s="1" t="s">
        <v>70</v>
      </c>
      <c r="K2469" s="1" t="s">
        <v>104</v>
      </c>
      <c r="L2469" s="1" t="s">
        <v>49</v>
      </c>
      <c r="M2469" s="1" t="s">
        <v>62</v>
      </c>
      <c r="N2469" s="1" t="n">
        <v>8999</v>
      </c>
      <c r="O2469" s="1" t="n">
        <v>20</v>
      </c>
      <c r="P2469" s="1" t="n">
        <v>1799.8</v>
      </c>
      <c r="Q2469" s="1" t="n">
        <v>7199.2</v>
      </c>
      <c r="R2469" s="1" t="n">
        <v>1295.86</v>
      </c>
      <c r="S2469" s="1" t="n">
        <v>5903.34</v>
      </c>
      <c r="T2469" s="1" t="n">
        <v>2666.55</v>
      </c>
      <c r="U2469" s="1" t="n">
        <v>3236.79</v>
      </c>
      <c r="V2469" s="1" t="n">
        <v>54.83</v>
      </c>
      <c r="W2469" s="1" t="s">
        <v>39</v>
      </c>
      <c r="X2469" s="1" t="n">
        <v>3.9</v>
      </c>
      <c r="Y2469" s="1" t="s">
        <v>40</v>
      </c>
      <c r="Z2469" s="1" t="n">
        <v>0</v>
      </c>
    </row>
    <row r="2470" customFormat="false" ht="15" hidden="false" customHeight="true" outlineLevel="0" collapsed="false">
      <c r="A2470" s="1" t="s">
        <v>3344</v>
      </c>
      <c r="B2470" s="1" t="s">
        <v>273</v>
      </c>
      <c r="C2470" s="1" t="s">
        <v>28</v>
      </c>
      <c r="D2470" s="1" t="s">
        <v>123</v>
      </c>
      <c r="E2470" s="1" t="s">
        <v>233</v>
      </c>
      <c r="F2470" s="1" t="s">
        <v>75</v>
      </c>
      <c r="G2470" s="1" t="s">
        <v>76</v>
      </c>
      <c r="H2470" s="1" t="s">
        <v>69</v>
      </c>
      <c r="I2470" s="1" t="s">
        <v>34</v>
      </c>
      <c r="J2470" s="1" t="s">
        <v>70</v>
      </c>
      <c r="K2470" s="1" t="s">
        <v>112</v>
      </c>
      <c r="L2470" s="1" t="s">
        <v>61</v>
      </c>
      <c r="M2470" s="1" t="s">
        <v>38</v>
      </c>
      <c r="N2470" s="1" t="n">
        <v>8999</v>
      </c>
      <c r="O2470" s="1" t="n">
        <v>0</v>
      </c>
      <c r="P2470" s="1" t="n">
        <v>0</v>
      </c>
      <c r="Q2470" s="1" t="n">
        <v>8999</v>
      </c>
      <c r="R2470" s="1" t="n">
        <v>1619.82</v>
      </c>
      <c r="S2470" s="1" t="n">
        <v>7379.18</v>
      </c>
      <c r="T2470" s="1" t="n">
        <v>3001.82</v>
      </c>
      <c r="U2470" s="1" t="n">
        <v>4377.36</v>
      </c>
      <c r="V2470" s="1" t="n">
        <v>59.32</v>
      </c>
      <c r="W2470" s="1" t="s">
        <v>39</v>
      </c>
      <c r="X2470" s="1" t="n">
        <v>3.8</v>
      </c>
      <c r="Y2470" s="1" t="s">
        <v>40</v>
      </c>
      <c r="Z2470" s="1" t="n">
        <v>0</v>
      </c>
    </row>
    <row r="2471" customFormat="false" ht="15" hidden="false" customHeight="true" outlineLevel="0" collapsed="false">
      <c r="A2471" s="1" t="s">
        <v>3345</v>
      </c>
      <c r="B2471" s="1" t="s">
        <v>3346</v>
      </c>
      <c r="C2471" s="1" t="s">
        <v>93</v>
      </c>
      <c r="D2471" s="1" t="s">
        <v>123</v>
      </c>
      <c r="E2471" s="1" t="s">
        <v>233</v>
      </c>
      <c r="F2471" s="1" t="s">
        <v>55</v>
      </c>
      <c r="G2471" s="1" t="s">
        <v>56</v>
      </c>
      <c r="H2471" s="1" t="s">
        <v>57</v>
      </c>
      <c r="I2471" s="1" t="s">
        <v>34</v>
      </c>
      <c r="J2471" s="1" t="s">
        <v>131</v>
      </c>
      <c r="K2471" s="1" t="s">
        <v>84</v>
      </c>
      <c r="L2471" s="1" t="s">
        <v>85</v>
      </c>
      <c r="M2471" s="1" t="s">
        <v>38</v>
      </c>
      <c r="N2471" s="1" t="n">
        <v>8999</v>
      </c>
      <c r="O2471" s="1" t="n">
        <v>40</v>
      </c>
      <c r="P2471" s="1" t="n">
        <v>3599.6</v>
      </c>
      <c r="Q2471" s="1" t="n">
        <v>5399.4</v>
      </c>
      <c r="R2471" s="1" t="n">
        <v>971.89</v>
      </c>
      <c r="S2471" s="1" t="n">
        <v>4427.51</v>
      </c>
      <c r="T2471" s="1" t="n">
        <v>2509.81</v>
      </c>
      <c r="U2471" s="1" t="n">
        <v>1917.7</v>
      </c>
      <c r="V2471" s="1" t="n">
        <v>43.31</v>
      </c>
      <c r="W2471" s="1" t="s">
        <v>39</v>
      </c>
      <c r="X2471" s="1" t="n">
        <v>3.7</v>
      </c>
      <c r="Y2471" s="1" t="s">
        <v>40</v>
      </c>
      <c r="Z2471" s="1" t="n">
        <v>0</v>
      </c>
    </row>
    <row r="2472" customFormat="false" ht="15" hidden="false" customHeight="true" outlineLevel="0" collapsed="false">
      <c r="A2472" s="1" t="s">
        <v>3347</v>
      </c>
      <c r="B2472" s="1" t="s">
        <v>878</v>
      </c>
      <c r="C2472" s="1" t="s">
        <v>88</v>
      </c>
      <c r="D2472" s="1" t="s">
        <v>44</v>
      </c>
      <c r="E2472" s="1" t="s">
        <v>221</v>
      </c>
      <c r="F2472" s="1" t="s">
        <v>244</v>
      </c>
      <c r="G2472" s="1" t="s">
        <v>97</v>
      </c>
      <c r="H2472" s="1" t="s">
        <v>57</v>
      </c>
      <c r="I2472" s="1" t="s">
        <v>83</v>
      </c>
      <c r="J2472" s="1" t="s">
        <v>131</v>
      </c>
      <c r="K2472" s="1" t="s">
        <v>36</v>
      </c>
      <c r="L2472" s="1" t="s">
        <v>61</v>
      </c>
      <c r="M2472" s="1" t="s">
        <v>50</v>
      </c>
      <c r="N2472" s="1" t="n">
        <v>16999</v>
      </c>
      <c r="O2472" s="1" t="n">
        <v>0</v>
      </c>
      <c r="P2472" s="1" t="n">
        <v>0</v>
      </c>
      <c r="Q2472" s="1" t="n">
        <v>16999</v>
      </c>
      <c r="R2472" s="1" t="n">
        <v>3059.82</v>
      </c>
      <c r="S2472" s="1" t="n">
        <v>13939.18</v>
      </c>
      <c r="T2472" s="1" t="n">
        <v>7079.18</v>
      </c>
      <c r="U2472" s="1" t="n">
        <v>6860</v>
      </c>
      <c r="V2472" s="1" t="n">
        <v>49.21</v>
      </c>
      <c r="W2472" s="1" t="s">
        <v>40</v>
      </c>
      <c r="Y2472" s="1" t="s">
        <v>40</v>
      </c>
      <c r="Z2472" s="1" t="n">
        <v>1</v>
      </c>
    </row>
    <row r="2473" customFormat="false" ht="15" hidden="false" customHeight="true" outlineLevel="0" collapsed="false">
      <c r="A2473" s="1" t="s">
        <v>3348</v>
      </c>
      <c r="B2473" s="1" t="s">
        <v>196</v>
      </c>
      <c r="C2473" s="1" t="s">
        <v>74</v>
      </c>
      <c r="D2473" s="1" t="s">
        <v>143</v>
      </c>
      <c r="E2473" s="1" t="s">
        <v>243</v>
      </c>
      <c r="F2473" s="1" t="s">
        <v>211</v>
      </c>
      <c r="G2473" s="1" t="s">
        <v>56</v>
      </c>
      <c r="H2473" s="1" t="s">
        <v>69</v>
      </c>
      <c r="I2473" s="1" t="s">
        <v>58</v>
      </c>
      <c r="J2473" s="1" t="s">
        <v>77</v>
      </c>
      <c r="K2473" s="1" t="s">
        <v>112</v>
      </c>
      <c r="L2473" s="1" t="s">
        <v>61</v>
      </c>
      <c r="M2473" s="1" t="s">
        <v>38</v>
      </c>
      <c r="N2473" s="1" t="n">
        <v>22999</v>
      </c>
      <c r="O2473" s="1" t="n">
        <v>0</v>
      </c>
      <c r="P2473" s="1" t="n">
        <v>0</v>
      </c>
      <c r="Q2473" s="1" t="n">
        <v>22999</v>
      </c>
      <c r="R2473" s="1" t="n">
        <v>4139.82</v>
      </c>
      <c r="S2473" s="1" t="n">
        <v>18859.18</v>
      </c>
      <c r="T2473" s="1" t="n">
        <v>8261.9</v>
      </c>
      <c r="U2473" s="1" t="n">
        <v>10597.28</v>
      </c>
      <c r="V2473" s="1" t="n">
        <v>56.19</v>
      </c>
      <c r="W2473" s="1" t="s">
        <v>39</v>
      </c>
      <c r="X2473" s="1" t="n">
        <v>3.1</v>
      </c>
      <c r="Y2473" s="1" t="s">
        <v>40</v>
      </c>
      <c r="Z2473" s="1" t="n">
        <v>1</v>
      </c>
    </row>
    <row r="2474" customFormat="false" ht="15" hidden="false" customHeight="true" outlineLevel="0" collapsed="false">
      <c r="A2474" s="1" t="s">
        <v>3349</v>
      </c>
      <c r="B2474" s="1" t="s">
        <v>352</v>
      </c>
      <c r="C2474" s="1" t="s">
        <v>74</v>
      </c>
      <c r="D2474" s="1" t="s">
        <v>29</v>
      </c>
      <c r="E2474" s="1" t="s">
        <v>30</v>
      </c>
      <c r="F2474" s="1" t="s">
        <v>153</v>
      </c>
      <c r="G2474" s="1" t="s">
        <v>76</v>
      </c>
      <c r="H2474" s="1" t="s">
        <v>33</v>
      </c>
      <c r="I2474" s="1" t="s">
        <v>83</v>
      </c>
      <c r="J2474" s="1" t="s">
        <v>59</v>
      </c>
      <c r="K2474" s="1" t="s">
        <v>112</v>
      </c>
      <c r="L2474" s="1" t="s">
        <v>61</v>
      </c>
      <c r="M2474" s="1" t="s">
        <v>50</v>
      </c>
      <c r="N2474" s="1" t="n">
        <v>7999</v>
      </c>
      <c r="O2474" s="1" t="n">
        <v>30</v>
      </c>
      <c r="P2474" s="1" t="n">
        <v>2399.7</v>
      </c>
      <c r="Q2474" s="1" t="n">
        <v>5599.3</v>
      </c>
      <c r="R2474" s="1" t="n">
        <v>1007.87</v>
      </c>
      <c r="S2474" s="1" t="n">
        <v>4591.43</v>
      </c>
      <c r="T2474" s="1" t="n">
        <v>1823.82</v>
      </c>
      <c r="U2474" s="1" t="n">
        <v>2767.61</v>
      </c>
      <c r="V2474" s="1" t="n">
        <v>60.28</v>
      </c>
      <c r="W2474" s="1" t="s">
        <v>39</v>
      </c>
      <c r="Y2474" s="1" t="s">
        <v>40</v>
      </c>
      <c r="Z2474" s="1" t="n">
        <v>1</v>
      </c>
    </row>
    <row r="2475" customFormat="false" ht="15" hidden="false" customHeight="true" outlineLevel="0" collapsed="false">
      <c r="A2475" s="1" t="s">
        <v>3350</v>
      </c>
      <c r="B2475" s="1" t="s">
        <v>522</v>
      </c>
      <c r="C2475" s="1" t="s">
        <v>264</v>
      </c>
      <c r="D2475" s="1" t="s">
        <v>53</v>
      </c>
      <c r="E2475" s="1" t="s">
        <v>116</v>
      </c>
      <c r="F2475" s="1" t="s">
        <v>55</v>
      </c>
      <c r="G2475" s="1" t="s">
        <v>56</v>
      </c>
      <c r="H2475" s="1" t="s">
        <v>57</v>
      </c>
      <c r="I2475" s="1" t="s">
        <v>34</v>
      </c>
      <c r="J2475" s="1" t="s">
        <v>59</v>
      </c>
      <c r="K2475" s="1" t="s">
        <v>84</v>
      </c>
      <c r="L2475" s="1" t="s">
        <v>113</v>
      </c>
      <c r="M2475" s="1" t="s">
        <v>62</v>
      </c>
      <c r="N2475" s="1" t="n">
        <v>9999</v>
      </c>
      <c r="O2475" s="1" t="n">
        <v>25</v>
      </c>
      <c r="P2475" s="1" t="n">
        <v>2499.75</v>
      </c>
      <c r="Q2475" s="1" t="n">
        <v>7499.25</v>
      </c>
      <c r="R2475" s="1" t="n">
        <v>1349.87</v>
      </c>
      <c r="S2475" s="1" t="n">
        <v>6149.38</v>
      </c>
      <c r="T2475" s="1" t="n">
        <v>3004.2</v>
      </c>
      <c r="U2475" s="1" t="n">
        <v>3145.18</v>
      </c>
      <c r="V2475" s="1" t="n">
        <v>51.15</v>
      </c>
      <c r="W2475" s="1" t="s">
        <v>40</v>
      </c>
      <c r="Y2475" s="1" t="s">
        <v>40</v>
      </c>
      <c r="Z2475" s="1" t="n">
        <v>1</v>
      </c>
    </row>
    <row r="2476" customFormat="false" ht="15" hidden="false" customHeight="true" outlineLevel="0" collapsed="false">
      <c r="A2476" s="1" t="s">
        <v>3351</v>
      </c>
      <c r="B2476" s="1" t="s">
        <v>673</v>
      </c>
      <c r="C2476" s="1" t="s">
        <v>74</v>
      </c>
      <c r="D2476" s="1" t="s">
        <v>44</v>
      </c>
      <c r="E2476" s="1" t="s">
        <v>66</v>
      </c>
      <c r="F2476" s="1" t="s">
        <v>125</v>
      </c>
      <c r="G2476" s="1" t="s">
        <v>108</v>
      </c>
      <c r="H2476" s="1" t="s">
        <v>69</v>
      </c>
      <c r="I2476" s="1" t="s">
        <v>34</v>
      </c>
      <c r="J2476" s="1" t="s">
        <v>77</v>
      </c>
      <c r="K2476" s="1" t="s">
        <v>84</v>
      </c>
      <c r="L2476" s="1" t="s">
        <v>136</v>
      </c>
      <c r="M2476" s="1" t="s">
        <v>38</v>
      </c>
      <c r="N2476" s="1" t="n">
        <v>12999</v>
      </c>
      <c r="O2476" s="1" t="n">
        <v>25</v>
      </c>
      <c r="P2476" s="1" t="n">
        <v>3249.75</v>
      </c>
      <c r="Q2476" s="1" t="n">
        <v>9749.25</v>
      </c>
      <c r="R2476" s="1" t="n">
        <v>1754.87</v>
      </c>
      <c r="S2476" s="1" t="n">
        <v>7994.38</v>
      </c>
      <c r="T2476" s="1" t="n">
        <v>3777.38</v>
      </c>
      <c r="U2476" s="1" t="n">
        <v>4217</v>
      </c>
      <c r="V2476" s="1" t="n">
        <v>52.75</v>
      </c>
      <c r="W2476" s="1" t="s">
        <v>39</v>
      </c>
      <c r="X2476" s="1" t="n">
        <v>3.3</v>
      </c>
      <c r="Y2476" s="1" t="s">
        <v>40</v>
      </c>
      <c r="Z2476" s="1" t="n">
        <v>1</v>
      </c>
    </row>
    <row r="2477" customFormat="false" ht="15" hidden="false" customHeight="true" outlineLevel="0" collapsed="false">
      <c r="A2477" s="1" t="s">
        <v>3352</v>
      </c>
      <c r="B2477" s="1" t="s">
        <v>906</v>
      </c>
      <c r="C2477" s="1" t="s">
        <v>134</v>
      </c>
      <c r="D2477" s="1" t="s">
        <v>29</v>
      </c>
      <c r="E2477" s="1" t="s">
        <v>129</v>
      </c>
      <c r="F2477" s="1" t="s">
        <v>102</v>
      </c>
      <c r="G2477" s="1" t="s">
        <v>103</v>
      </c>
      <c r="H2477" s="1" t="s">
        <v>33</v>
      </c>
      <c r="I2477" s="1" t="s">
        <v>34</v>
      </c>
      <c r="J2477" s="1" t="s">
        <v>77</v>
      </c>
      <c r="K2477" s="1" t="s">
        <v>60</v>
      </c>
      <c r="L2477" s="1" t="s">
        <v>37</v>
      </c>
      <c r="M2477" s="1" t="s">
        <v>50</v>
      </c>
      <c r="N2477" s="1" t="n">
        <v>29999</v>
      </c>
      <c r="O2477" s="1" t="n">
        <v>50</v>
      </c>
      <c r="P2477" s="1" t="n">
        <v>14999.5</v>
      </c>
      <c r="Q2477" s="1" t="n">
        <v>14999.5</v>
      </c>
      <c r="R2477" s="1" t="n">
        <v>2699.91</v>
      </c>
      <c r="S2477" s="1" t="n">
        <v>12299.59</v>
      </c>
      <c r="T2477" s="1" t="n">
        <v>5365.34</v>
      </c>
      <c r="U2477" s="1" t="n">
        <v>6934.25</v>
      </c>
      <c r="V2477" s="1" t="n">
        <v>56.38</v>
      </c>
      <c r="W2477" s="1" t="s">
        <v>39</v>
      </c>
      <c r="X2477" s="1" t="n">
        <v>4.8</v>
      </c>
      <c r="Y2477" s="1" t="s">
        <v>40</v>
      </c>
      <c r="Z2477" s="1" t="n">
        <v>0</v>
      </c>
    </row>
    <row r="2478" customFormat="false" ht="15" hidden="false" customHeight="true" outlineLevel="0" collapsed="false">
      <c r="A2478" s="1" t="s">
        <v>3353</v>
      </c>
      <c r="B2478" s="1" t="s">
        <v>410</v>
      </c>
      <c r="C2478" s="1" t="s">
        <v>264</v>
      </c>
      <c r="D2478" s="1" t="s">
        <v>29</v>
      </c>
      <c r="E2478" s="1" t="s">
        <v>305</v>
      </c>
      <c r="F2478" s="1" t="s">
        <v>89</v>
      </c>
      <c r="G2478" s="1" t="s">
        <v>68</v>
      </c>
      <c r="H2478" s="1" t="s">
        <v>33</v>
      </c>
      <c r="I2478" s="1" t="s">
        <v>58</v>
      </c>
      <c r="J2478" s="1" t="s">
        <v>35</v>
      </c>
      <c r="K2478" s="1" t="s">
        <v>84</v>
      </c>
      <c r="L2478" s="1" t="s">
        <v>113</v>
      </c>
      <c r="M2478" s="1" t="s">
        <v>38</v>
      </c>
      <c r="N2478" s="1" t="n">
        <v>24999</v>
      </c>
      <c r="O2478" s="1" t="n">
        <v>5</v>
      </c>
      <c r="P2478" s="1" t="n">
        <v>1249.95</v>
      </c>
      <c r="Q2478" s="1" t="n">
        <v>23749.05</v>
      </c>
      <c r="R2478" s="1" t="n">
        <v>4274.83</v>
      </c>
      <c r="S2478" s="1" t="n">
        <v>19474.22</v>
      </c>
      <c r="T2478" s="1" t="n">
        <v>7501.45</v>
      </c>
      <c r="U2478" s="1" t="n">
        <v>11972.77</v>
      </c>
      <c r="V2478" s="1" t="n">
        <v>61.48</v>
      </c>
      <c r="W2478" s="1" t="s">
        <v>39</v>
      </c>
      <c r="X2478" s="1" t="n">
        <v>4.7</v>
      </c>
      <c r="Y2478" s="1" t="s">
        <v>40</v>
      </c>
      <c r="Z2478" s="1" t="n">
        <v>0</v>
      </c>
    </row>
    <row r="2479" customFormat="false" ht="15" hidden="false" customHeight="true" outlineLevel="0" collapsed="false">
      <c r="A2479" s="1" t="s">
        <v>3354</v>
      </c>
      <c r="B2479" s="1" t="s">
        <v>2657</v>
      </c>
      <c r="C2479" s="1" t="s">
        <v>178</v>
      </c>
      <c r="D2479" s="1" t="s">
        <v>143</v>
      </c>
      <c r="E2479" s="1" t="s">
        <v>144</v>
      </c>
      <c r="F2479" s="1" t="s">
        <v>156</v>
      </c>
      <c r="G2479" s="1" t="s">
        <v>68</v>
      </c>
      <c r="H2479" s="1" t="s">
        <v>57</v>
      </c>
      <c r="I2479" s="1" t="s">
        <v>34</v>
      </c>
      <c r="J2479" s="1" t="s">
        <v>77</v>
      </c>
      <c r="K2479" s="1" t="s">
        <v>84</v>
      </c>
      <c r="L2479" s="1" t="s">
        <v>37</v>
      </c>
      <c r="M2479" s="1" t="s">
        <v>50</v>
      </c>
      <c r="N2479" s="1" t="n">
        <v>12999</v>
      </c>
      <c r="O2479" s="1" t="n">
        <v>0</v>
      </c>
      <c r="P2479" s="1" t="n">
        <v>0</v>
      </c>
      <c r="Q2479" s="1" t="n">
        <v>12999</v>
      </c>
      <c r="R2479" s="1" t="n">
        <v>2339.82</v>
      </c>
      <c r="S2479" s="1" t="n">
        <v>10659.18</v>
      </c>
      <c r="T2479" s="1" t="n">
        <v>5215.43</v>
      </c>
      <c r="U2479" s="1" t="n">
        <v>5443.75</v>
      </c>
      <c r="V2479" s="1" t="n">
        <v>51.07</v>
      </c>
      <c r="W2479" s="1" t="s">
        <v>40</v>
      </c>
      <c r="Y2479" s="1" t="s">
        <v>40</v>
      </c>
      <c r="Z2479" s="1" t="n">
        <v>1</v>
      </c>
    </row>
    <row r="2480" customFormat="false" ht="15" hidden="false" customHeight="true" outlineLevel="0" collapsed="false">
      <c r="A2480" s="1" t="s">
        <v>3355</v>
      </c>
      <c r="B2480" s="1" t="s">
        <v>2352</v>
      </c>
      <c r="C2480" s="1" t="s">
        <v>128</v>
      </c>
      <c r="D2480" s="1" t="s">
        <v>168</v>
      </c>
      <c r="E2480" s="1" t="s">
        <v>197</v>
      </c>
      <c r="F2480" s="1" t="s">
        <v>46</v>
      </c>
      <c r="G2480" s="1" t="s">
        <v>47</v>
      </c>
      <c r="H2480" s="1" t="s">
        <v>33</v>
      </c>
      <c r="I2480" s="1" t="s">
        <v>58</v>
      </c>
      <c r="J2480" s="1" t="s">
        <v>131</v>
      </c>
      <c r="K2480" s="1" t="s">
        <v>104</v>
      </c>
      <c r="L2480" s="1" t="s">
        <v>113</v>
      </c>
      <c r="M2480" s="1" t="s">
        <v>38</v>
      </c>
      <c r="N2480" s="1" t="n">
        <v>8499</v>
      </c>
      <c r="O2480" s="1" t="n">
        <v>10</v>
      </c>
      <c r="P2480" s="1" t="n">
        <v>849.9</v>
      </c>
      <c r="Q2480" s="1" t="n">
        <v>7649.1</v>
      </c>
      <c r="R2480" s="1" t="n">
        <v>1376.84</v>
      </c>
      <c r="S2480" s="1" t="n">
        <v>6272.26</v>
      </c>
      <c r="T2480" s="1" t="n">
        <v>2822.73</v>
      </c>
      <c r="U2480" s="1" t="n">
        <v>3449.53</v>
      </c>
      <c r="V2480" s="1" t="n">
        <v>55</v>
      </c>
      <c r="W2480" s="1" t="s">
        <v>40</v>
      </c>
      <c r="Y2480" s="1" t="s">
        <v>40</v>
      </c>
      <c r="Z2480" s="1" t="n">
        <v>0</v>
      </c>
    </row>
    <row r="2481" customFormat="false" ht="15" hidden="false" customHeight="true" outlineLevel="0" collapsed="false">
      <c r="A2481" s="1" t="s">
        <v>3356</v>
      </c>
      <c r="B2481" s="1" t="s">
        <v>444</v>
      </c>
      <c r="C2481" s="1" t="s">
        <v>93</v>
      </c>
      <c r="D2481" s="1" t="s">
        <v>94</v>
      </c>
      <c r="E2481" s="1" t="s">
        <v>135</v>
      </c>
      <c r="F2481" s="1" t="s">
        <v>82</v>
      </c>
      <c r="G2481" s="1" t="s">
        <v>56</v>
      </c>
      <c r="H2481" s="1" t="s">
        <v>69</v>
      </c>
      <c r="I2481" s="1" t="s">
        <v>58</v>
      </c>
      <c r="J2481" s="1" t="s">
        <v>59</v>
      </c>
      <c r="K2481" s="1" t="s">
        <v>112</v>
      </c>
      <c r="L2481" s="1" t="s">
        <v>49</v>
      </c>
      <c r="M2481" s="1" t="s">
        <v>50</v>
      </c>
      <c r="N2481" s="1" t="n">
        <v>9999</v>
      </c>
      <c r="O2481" s="1" t="n">
        <v>10</v>
      </c>
      <c r="P2481" s="1" t="n">
        <v>999.9</v>
      </c>
      <c r="Q2481" s="1" t="n">
        <v>8999.1</v>
      </c>
      <c r="R2481" s="1" t="n">
        <v>1619.84</v>
      </c>
      <c r="S2481" s="1" t="n">
        <v>7379.26</v>
      </c>
      <c r="T2481" s="1" t="n">
        <v>3186.85</v>
      </c>
      <c r="U2481" s="1" t="n">
        <v>4192.41</v>
      </c>
      <c r="V2481" s="1" t="n">
        <v>56.81</v>
      </c>
      <c r="W2481" s="1" t="s">
        <v>39</v>
      </c>
      <c r="X2481" s="1" t="n">
        <v>3</v>
      </c>
      <c r="Y2481" s="1" t="s">
        <v>40</v>
      </c>
      <c r="Z2481" s="1" t="n">
        <v>0</v>
      </c>
    </row>
    <row r="2482" customFormat="false" ht="15" hidden="false" customHeight="true" outlineLevel="0" collapsed="false">
      <c r="A2482" s="1" t="s">
        <v>3357</v>
      </c>
      <c r="B2482" s="1" t="s">
        <v>839</v>
      </c>
      <c r="C2482" s="1" t="s">
        <v>249</v>
      </c>
      <c r="D2482" s="1" t="s">
        <v>53</v>
      </c>
      <c r="E2482" s="1" t="s">
        <v>54</v>
      </c>
      <c r="F2482" s="1" t="s">
        <v>120</v>
      </c>
      <c r="G2482" s="1" t="s">
        <v>47</v>
      </c>
      <c r="H2482" s="1" t="s">
        <v>57</v>
      </c>
      <c r="I2482" s="1" t="s">
        <v>58</v>
      </c>
      <c r="J2482" s="1" t="s">
        <v>77</v>
      </c>
      <c r="K2482" s="1" t="s">
        <v>48</v>
      </c>
      <c r="L2482" s="1" t="s">
        <v>49</v>
      </c>
      <c r="M2482" s="1" t="s">
        <v>38</v>
      </c>
      <c r="N2482" s="1" t="n">
        <v>11999</v>
      </c>
      <c r="O2482" s="1" t="n">
        <v>10</v>
      </c>
      <c r="P2482" s="1" t="n">
        <v>1199.9</v>
      </c>
      <c r="Q2482" s="1" t="n">
        <v>10799.1</v>
      </c>
      <c r="R2482" s="1" t="n">
        <v>1943.84</v>
      </c>
      <c r="S2482" s="1" t="n">
        <v>8855.26</v>
      </c>
      <c r="T2482" s="1" t="n">
        <v>3384.07</v>
      </c>
      <c r="U2482" s="1" t="n">
        <v>5471.19</v>
      </c>
      <c r="V2482" s="1" t="n">
        <v>61.78</v>
      </c>
      <c r="W2482" s="1" t="s">
        <v>40</v>
      </c>
      <c r="Y2482" s="1" t="s">
        <v>40</v>
      </c>
      <c r="Z2482" s="1" t="n">
        <v>0</v>
      </c>
    </row>
    <row r="2483" customFormat="false" ht="15" hidden="false" customHeight="true" outlineLevel="0" collapsed="false">
      <c r="A2483" s="1" t="s">
        <v>3358</v>
      </c>
      <c r="B2483" s="1" t="s">
        <v>3359</v>
      </c>
      <c r="C2483" s="1" t="s">
        <v>88</v>
      </c>
      <c r="D2483" s="1" t="s">
        <v>123</v>
      </c>
      <c r="E2483" s="1" t="s">
        <v>147</v>
      </c>
      <c r="F2483" s="1" t="s">
        <v>194</v>
      </c>
      <c r="G2483" s="1" t="s">
        <v>103</v>
      </c>
      <c r="H2483" s="1" t="s">
        <v>69</v>
      </c>
      <c r="I2483" s="1" t="s">
        <v>58</v>
      </c>
      <c r="J2483" s="1" t="s">
        <v>131</v>
      </c>
      <c r="K2483" s="1" t="s">
        <v>84</v>
      </c>
      <c r="L2483" s="1" t="s">
        <v>61</v>
      </c>
      <c r="M2483" s="1" t="s">
        <v>38</v>
      </c>
      <c r="N2483" s="1" t="n">
        <v>6999</v>
      </c>
      <c r="O2483" s="1" t="n">
        <v>15</v>
      </c>
      <c r="P2483" s="1" t="n">
        <v>1049.85</v>
      </c>
      <c r="Q2483" s="1" t="n">
        <v>5949.15</v>
      </c>
      <c r="R2483" s="1" t="n">
        <v>1070.85</v>
      </c>
      <c r="S2483" s="1" t="n">
        <v>4878.3</v>
      </c>
      <c r="T2483" s="1" t="n">
        <v>2176.69</v>
      </c>
      <c r="U2483" s="1" t="n">
        <v>2701.61</v>
      </c>
      <c r="V2483" s="1" t="n">
        <v>55.38</v>
      </c>
      <c r="W2483" s="1" t="s">
        <v>39</v>
      </c>
      <c r="X2483" s="1" t="n">
        <v>3.2</v>
      </c>
      <c r="Y2483" s="1" t="s">
        <v>40</v>
      </c>
      <c r="Z2483" s="1" t="n">
        <v>0</v>
      </c>
    </row>
    <row r="2484" customFormat="false" ht="15" hidden="false" customHeight="true" outlineLevel="0" collapsed="false">
      <c r="A2484" s="1" t="s">
        <v>3360</v>
      </c>
      <c r="B2484" s="1" t="s">
        <v>735</v>
      </c>
      <c r="C2484" s="1" t="s">
        <v>167</v>
      </c>
      <c r="D2484" s="1" t="s">
        <v>168</v>
      </c>
      <c r="E2484" s="1" t="s">
        <v>169</v>
      </c>
      <c r="F2484" s="1" t="s">
        <v>130</v>
      </c>
      <c r="G2484" s="1" t="s">
        <v>47</v>
      </c>
      <c r="H2484" s="1" t="s">
        <v>69</v>
      </c>
      <c r="I2484" s="1" t="s">
        <v>34</v>
      </c>
      <c r="J2484" s="1" t="s">
        <v>77</v>
      </c>
      <c r="K2484" s="1" t="s">
        <v>60</v>
      </c>
      <c r="L2484" s="1" t="s">
        <v>49</v>
      </c>
      <c r="M2484" s="1" t="s">
        <v>38</v>
      </c>
      <c r="N2484" s="1" t="n">
        <v>4999</v>
      </c>
      <c r="O2484" s="1" t="n">
        <v>15</v>
      </c>
      <c r="P2484" s="1" t="n">
        <v>749.85</v>
      </c>
      <c r="Q2484" s="1" t="n">
        <v>4249.15</v>
      </c>
      <c r="R2484" s="1" t="n">
        <v>764.85</v>
      </c>
      <c r="S2484" s="1" t="n">
        <v>3484.3</v>
      </c>
      <c r="T2484" s="1" t="n">
        <v>1692.66</v>
      </c>
      <c r="U2484" s="1" t="n">
        <v>1791.64</v>
      </c>
      <c r="V2484" s="1" t="n">
        <v>51.42</v>
      </c>
      <c r="W2484" s="1" t="s">
        <v>39</v>
      </c>
      <c r="X2484" s="1" t="n">
        <v>3.9</v>
      </c>
      <c r="Y2484" s="1" t="s">
        <v>40</v>
      </c>
      <c r="Z2484" s="1" t="n">
        <v>0</v>
      </c>
    </row>
    <row r="2485" customFormat="false" ht="15" hidden="false" customHeight="true" outlineLevel="0" collapsed="false">
      <c r="A2485" s="1" t="s">
        <v>3361</v>
      </c>
      <c r="B2485" s="1" t="s">
        <v>965</v>
      </c>
      <c r="C2485" s="1" t="s">
        <v>178</v>
      </c>
      <c r="D2485" s="1" t="s">
        <v>94</v>
      </c>
      <c r="E2485" s="1" t="s">
        <v>101</v>
      </c>
      <c r="F2485" s="1" t="s">
        <v>269</v>
      </c>
      <c r="G2485" s="1" t="s">
        <v>108</v>
      </c>
      <c r="H2485" s="1" t="s">
        <v>57</v>
      </c>
      <c r="I2485" s="1" t="s">
        <v>34</v>
      </c>
      <c r="J2485" s="1" t="s">
        <v>131</v>
      </c>
      <c r="K2485" s="1" t="s">
        <v>84</v>
      </c>
      <c r="L2485" s="1" t="s">
        <v>113</v>
      </c>
      <c r="M2485" s="1" t="s">
        <v>38</v>
      </c>
      <c r="N2485" s="1" t="n">
        <v>14999</v>
      </c>
      <c r="O2485" s="1" t="n">
        <v>40</v>
      </c>
      <c r="P2485" s="1" t="n">
        <v>5999.6</v>
      </c>
      <c r="Q2485" s="1" t="n">
        <v>8999.4</v>
      </c>
      <c r="R2485" s="1" t="n">
        <v>1619.89</v>
      </c>
      <c r="S2485" s="1" t="n">
        <v>7379.51</v>
      </c>
      <c r="T2485" s="1" t="n">
        <v>4505.76</v>
      </c>
      <c r="U2485" s="1" t="n">
        <v>2873.75</v>
      </c>
      <c r="V2485" s="1" t="n">
        <v>38.94</v>
      </c>
      <c r="W2485" s="1" t="s">
        <v>39</v>
      </c>
      <c r="X2485" s="1" t="n">
        <v>3.4</v>
      </c>
      <c r="Y2485" s="1" t="s">
        <v>40</v>
      </c>
      <c r="Z2485" s="1" t="n">
        <v>0</v>
      </c>
    </row>
    <row r="2486" customFormat="false" ht="15" hidden="false" customHeight="true" outlineLevel="0" collapsed="false">
      <c r="A2486" s="1" t="s">
        <v>3362</v>
      </c>
      <c r="B2486" s="1" t="s">
        <v>1285</v>
      </c>
      <c r="C2486" s="1" t="s">
        <v>139</v>
      </c>
      <c r="D2486" s="1" t="s">
        <v>80</v>
      </c>
      <c r="E2486" s="1" t="s">
        <v>81</v>
      </c>
      <c r="F2486" s="1" t="s">
        <v>187</v>
      </c>
      <c r="G2486" s="1" t="s">
        <v>97</v>
      </c>
      <c r="H2486" s="1" t="s">
        <v>69</v>
      </c>
      <c r="I2486" s="1" t="s">
        <v>58</v>
      </c>
      <c r="J2486" s="1" t="s">
        <v>77</v>
      </c>
      <c r="K2486" s="1" t="s">
        <v>36</v>
      </c>
      <c r="L2486" s="1" t="s">
        <v>49</v>
      </c>
      <c r="M2486" s="1" t="s">
        <v>62</v>
      </c>
      <c r="N2486" s="1" t="n">
        <v>12999</v>
      </c>
      <c r="O2486" s="1" t="n">
        <v>40</v>
      </c>
      <c r="P2486" s="1" t="n">
        <v>5199.6</v>
      </c>
      <c r="Q2486" s="1" t="n">
        <v>7799.4</v>
      </c>
      <c r="R2486" s="1" t="n">
        <v>1403.89</v>
      </c>
      <c r="S2486" s="1" t="n">
        <v>6395.51</v>
      </c>
      <c r="T2486" s="1" t="n">
        <v>3324.65</v>
      </c>
      <c r="U2486" s="1" t="n">
        <v>3070.86</v>
      </c>
      <c r="V2486" s="1" t="n">
        <v>48.02</v>
      </c>
      <c r="W2486" s="1" t="s">
        <v>39</v>
      </c>
      <c r="X2486" s="1" t="n">
        <v>4.5</v>
      </c>
      <c r="Y2486" s="1" t="s">
        <v>40</v>
      </c>
      <c r="Z2486" s="1" t="n">
        <v>0</v>
      </c>
    </row>
    <row r="2487" customFormat="false" ht="15" hidden="false" customHeight="true" outlineLevel="0" collapsed="false">
      <c r="A2487" s="1" t="s">
        <v>3363</v>
      </c>
      <c r="B2487" s="1" t="s">
        <v>667</v>
      </c>
      <c r="C2487" s="1" t="s">
        <v>119</v>
      </c>
      <c r="D2487" s="1" t="s">
        <v>80</v>
      </c>
      <c r="E2487" s="1" t="s">
        <v>175</v>
      </c>
      <c r="F2487" s="1" t="s">
        <v>67</v>
      </c>
      <c r="G2487" s="1" t="s">
        <v>68</v>
      </c>
      <c r="H2487" s="1" t="s">
        <v>69</v>
      </c>
      <c r="I2487" s="1" t="s">
        <v>34</v>
      </c>
      <c r="J2487" s="1" t="s">
        <v>35</v>
      </c>
      <c r="K2487" s="1" t="s">
        <v>112</v>
      </c>
      <c r="L2487" s="1" t="s">
        <v>61</v>
      </c>
      <c r="M2487" s="1" t="s">
        <v>50</v>
      </c>
      <c r="N2487" s="1" t="n">
        <v>19999</v>
      </c>
      <c r="O2487" s="1" t="n">
        <v>20</v>
      </c>
      <c r="P2487" s="1" t="n">
        <v>3999.8</v>
      </c>
      <c r="Q2487" s="1" t="n">
        <v>15999.2</v>
      </c>
      <c r="R2487" s="1" t="n">
        <v>2879.86</v>
      </c>
      <c r="S2487" s="1" t="n">
        <v>13119.34</v>
      </c>
      <c r="T2487" s="1" t="n">
        <v>3869.6</v>
      </c>
      <c r="U2487" s="1" t="n">
        <v>9249.74</v>
      </c>
      <c r="V2487" s="1" t="n">
        <v>70.5</v>
      </c>
      <c r="W2487" s="1" t="s">
        <v>39</v>
      </c>
      <c r="X2487" s="1" t="n">
        <v>3.6</v>
      </c>
      <c r="Y2487" s="1" t="s">
        <v>40</v>
      </c>
      <c r="Z2487" s="1" t="n">
        <v>0</v>
      </c>
    </row>
    <row r="2488" customFormat="false" ht="15" hidden="false" customHeight="true" outlineLevel="0" collapsed="false">
      <c r="A2488" s="1" t="s">
        <v>3364</v>
      </c>
      <c r="B2488" s="1" t="s">
        <v>1939</v>
      </c>
      <c r="C2488" s="1" t="s">
        <v>88</v>
      </c>
      <c r="D2488" s="1" t="s">
        <v>29</v>
      </c>
      <c r="E2488" s="1" t="s">
        <v>182</v>
      </c>
      <c r="F2488" s="1" t="s">
        <v>244</v>
      </c>
      <c r="G2488" s="1" t="s">
        <v>97</v>
      </c>
      <c r="H2488" s="1" t="s">
        <v>57</v>
      </c>
      <c r="I2488" s="1" t="s">
        <v>83</v>
      </c>
      <c r="J2488" s="1" t="s">
        <v>131</v>
      </c>
      <c r="K2488" s="1" t="s">
        <v>104</v>
      </c>
      <c r="L2488" s="1" t="s">
        <v>113</v>
      </c>
      <c r="M2488" s="1" t="s">
        <v>50</v>
      </c>
      <c r="N2488" s="1" t="n">
        <v>34999</v>
      </c>
      <c r="O2488" s="1" t="n">
        <v>0</v>
      </c>
      <c r="P2488" s="1" t="n">
        <v>0</v>
      </c>
      <c r="Q2488" s="1" t="n">
        <v>34999</v>
      </c>
      <c r="R2488" s="1" t="n">
        <v>6299.82</v>
      </c>
      <c r="S2488" s="1" t="n">
        <v>28699.18</v>
      </c>
      <c r="T2488" s="1" t="n">
        <v>14318.19</v>
      </c>
      <c r="U2488" s="1" t="n">
        <v>14380.99</v>
      </c>
      <c r="V2488" s="1" t="n">
        <v>50.11</v>
      </c>
      <c r="W2488" s="1" t="s">
        <v>39</v>
      </c>
      <c r="Y2488" s="1" t="s">
        <v>40</v>
      </c>
      <c r="Z2488" s="1" t="n">
        <v>2</v>
      </c>
    </row>
    <row r="2489" customFormat="false" ht="15" hidden="false" customHeight="true" outlineLevel="0" collapsed="false">
      <c r="A2489" s="1" t="s">
        <v>3365</v>
      </c>
      <c r="B2489" s="1" t="s">
        <v>1610</v>
      </c>
      <c r="C2489" s="1" t="s">
        <v>134</v>
      </c>
      <c r="D2489" s="1" t="s">
        <v>143</v>
      </c>
      <c r="E2489" s="1" t="s">
        <v>243</v>
      </c>
      <c r="F2489" s="1" t="s">
        <v>125</v>
      </c>
      <c r="G2489" s="1" t="s">
        <v>108</v>
      </c>
      <c r="H2489" s="1" t="s">
        <v>69</v>
      </c>
      <c r="I2489" s="1" t="s">
        <v>34</v>
      </c>
      <c r="J2489" s="1" t="s">
        <v>35</v>
      </c>
      <c r="K2489" s="1" t="s">
        <v>84</v>
      </c>
      <c r="L2489" s="1" t="s">
        <v>61</v>
      </c>
      <c r="M2489" s="1" t="s">
        <v>38</v>
      </c>
      <c r="N2489" s="1" t="n">
        <v>22999</v>
      </c>
      <c r="O2489" s="1" t="n">
        <v>0</v>
      </c>
      <c r="P2489" s="1" t="n">
        <v>0</v>
      </c>
      <c r="Q2489" s="1" t="n">
        <v>22999</v>
      </c>
      <c r="R2489" s="1" t="n">
        <v>4139.82</v>
      </c>
      <c r="S2489" s="1" t="n">
        <v>18859.18</v>
      </c>
      <c r="T2489" s="1" t="n">
        <v>7251.78</v>
      </c>
      <c r="U2489" s="1" t="n">
        <v>11607.4</v>
      </c>
      <c r="V2489" s="1" t="n">
        <v>61.55</v>
      </c>
      <c r="W2489" s="1" t="s">
        <v>39</v>
      </c>
      <c r="X2489" s="1" t="n">
        <v>4.6</v>
      </c>
      <c r="Y2489" s="1" t="s">
        <v>40</v>
      </c>
      <c r="Z2489" s="1" t="n">
        <v>1</v>
      </c>
    </row>
    <row r="2490" customFormat="false" ht="15" hidden="false" customHeight="true" outlineLevel="0" collapsed="false">
      <c r="A2490" s="1" t="s">
        <v>3366</v>
      </c>
      <c r="B2490" s="1" t="s">
        <v>2021</v>
      </c>
      <c r="C2490" s="1" t="s">
        <v>264</v>
      </c>
      <c r="D2490" s="1" t="s">
        <v>143</v>
      </c>
      <c r="E2490" s="1" t="s">
        <v>144</v>
      </c>
      <c r="F2490" s="1" t="s">
        <v>125</v>
      </c>
      <c r="G2490" s="1" t="s">
        <v>108</v>
      </c>
      <c r="H2490" s="1" t="s">
        <v>69</v>
      </c>
      <c r="I2490" s="1" t="s">
        <v>34</v>
      </c>
      <c r="J2490" s="1" t="s">
        <v>59</v>
      </c>
      <c r="K2490" s="1" t="s">
        <v>112</v>
      </c>
      <c r="L2490" s="1" t="s">
        <v>85</v>
      </c>
      <c r="M2490" s="1" t="s">
        <v>50</v>
      </c>
      <c r="N2490" s="1" t="n">
        <v>12999</v>
      </c>
      <c r="O2490" s="1" t="n">
        <v>40</v>
      </c>
      <c r="P2490" s="1" t="n">
        <v>5199.6</v>
      </c>
      <c r="Q2490" s="1" t="n">
        <v>7799.4</v>
      </c>
      <c r="R2490" s="1" t="n">
        <v>1403.89</v>
      </c>
      <c r="S2490" s="1" t="n">
        <v>6395.51</v>
      </c>
      <c r="T2490" s="1" t="n">
        <v>3198.18</v>
      </c>
      <c r="U2490" s="1" t="n">
        <v>3197.33</v>
      </c>
      <c r="V2490" s="1" t="n">
        <v>49.99</v>
      </c>
      <c r="W2490" s="1" t="s">
        <v>40</v>
      </c>
      <c r="Y2490" s="1" t="s">
        <v>40</v>
      </c>
      <c r="Z2490" s="1" t="n">
        <v>0</v>
      </c>
    </row>
    <row r="2491" customFormat="false" ht="15" hidden="false" customHeight="true" outlineLevel="0" collapsed="false">
      <c r="A2491" s="1" t="s">
        <v>3367</v>
      </c>
      <c r="B2491" s="1" t="s">
        <v>1271</v>
      </c>
      <c r="C2491" s="1" t="s">
        <v>128</v>
      </c>
      <c r="D2491" s="1" t="s">
        <v>94</v>
      </c>
      <c r="E2491" s="1" t="s">
        <v>101</v>
      </c>
      <c r="F2491" s="1" t="s">
        <v>46</v>
      </c>
      <c r="G2491" s="1" t="s">
        <v>47</v>
      </c>
      <c r="H2491" s="1" t="s">
        <v>33</v>
      </c>
      <c r="I2491" s="1" t="s">
        <v>58</v>
      </c>
      <c r="J2491" s="1" t="s">
        <v>131</v>
      </c>
      <c r="K2491" s="1" t="s">
        <v>104</v>
      </c>
      <c r="L2491" s="1" t="s">
        <v>113</v>
      </c>
      <c r="M2491" s="1" t="s">
        <v>38</v>
      </c>
      <c r="N2491" s="1" t="n">
        <v>14999</v>
      </c>
      <c r="O2491" s="1" t="n">
        <v>15</v>
      </c>
      <c r="P2491" s="1" t="n">
        <v>2249.85</v>
      </c>
      <c r="Q2491" s="1" t="n">
        <v>12749.15</v>
      </c>
      <c r="R2491" s="1" t="n">
        <v>2294.85</v>
      </c>
      <c r="S2491" s="1" t="n">
        <v>10454.3</v>
      </c>
      <c r="T2491" s="1" t="n">
        <v>4143.2</v>
      </c>
      <c r="U2491" s="1" t="n">
        <v>6311.1</v>
      </c>
      <c r="V2491" s="1" t="n">
        <v>60.37</v>
      </c>
      <c r="W2491" s="1" t="s">
        <v>39</v>
      </c>
      <c r="X2491" s="1" t="n">
        <v>3.5</v>
      </c>
      <c r="Y2491" s="1" t="s">
        <v>40</v>
      </c>
      <c r="Z2491" s="1" t="n">
        <v>0</v>
      </c>
    </row>
    <row r="2492" customFormat="false" ht="15" hidden="false" customHeight="true" outlineLevel="0" collapsed="false">
      <c r="A2492" s="1" t="s">
        <v>3368</v>
      </c>
      <c r="B2492" s="1" t="s">
        <v>618</v>
      </c>
      <c r="C2492" s="1" t="s">
        <v>65</v>
      </c>
      <c r="D2492" s="1" t="s">
        <v>44</v>
      </c>
      <c r="E2492" s="1" t="s">
        <v>66</v>
      </c>
      <c r="F2492" s="1" t="s">
        <v>125</v>
      </c>
      <c r="G2492" s="1" t="s">
        <v>108</v>
      </c>
      <c r="H2492" s="1" t="s">
        <v>69</v>
      </c>
      <c r="I2492" s="1" t="s">
        <v>83</v>
      </c>
      <c r="J2492" s="1" t="s">
        <v>70</v>
      </c>
      <c r="K2492" s="1" t="s">
        <v>48</v>
      </c>
      <c r="L2492" s="1" t="s">
        <v>85</v>
      </c>
      <c r="M2492" s="1" t="s">
        <v>62</v>
      </c>
      <c r="N2492" s="1" t="n">
        <v>12999</v>
      </c>
      <c r="O2492" s="1" t="n">
        <v>20</v>
      </c>
      <c r="P2492" s="1" t="n">
        <v>2599.8</v>
      </c>
      <c r="Q2492" s="1" t="n">
        <v>10399.2</v>
      </c>
      <c r="R2492" s="1" t="n">
        <v>1871.86</v>
      </c>
      <c r="S2492" s="1" t="n">
        <v>8527.34</v>
      </c>
      <c r="T2492" s="1" t="n">
        <v>3382.18</v>
      </c>
      <c r="U2492" s="1" t="n">
        <v>5145.16</v>
      </c>
      <c r="V2492" s="1" t="n">
        <v>60.34</v>
      </c>
      <c r="W2492" s="1" t="s">
        <v>40</v>
      </c>
      <c r="Y2492" s="1" t="s">
        <v>40</v>
      </c>
      <c r="Z2492" s="1" t="n">
        <v>1</v>
      </c>
    </row>
    <row r="2493" customFormat="false" ht="15" hidden="false" customHeight="true" outlineLevel="0" collapsed="false">
      <c r="A2493" s="1" t="s">
        <v>3369</v>
      </c>
      <c r="B2493" s="1" t="s">
        <v>1244</v>
      </c>
      <c r="C2493" s="1" t="s">
        <v>128</v>
      </c>
      <c r="D2493" s="1" t="s">
        <v>80</v>
      </c>
      <c r="E2493" s="1" t="s">
        <v>193</v>
      </c>
      <c r="F2493" s="1" t="s">
        <v>31</v>
      </c>
      <c r="G2493" s="1" t="s">
        <v>32</v>
      </c>
      <c r="H2493" s="1" t="s">
        <v>33</v>
      </c>
      <c r="I2493" s="1" t="s">
        <v>34</v>
      </c>
      <c r="J2493" s="1" t="s">
        <v>70</v>
      </c>
      <c r="K2493" s="1" t="s">
        <v>84</v>
      </c>
      <c r="L2493" s="1" t="s">
        <v>61</v>
      </c>
      <c r="M2493" s="1" t="s">
        <v>62</v>
      </c>
      <c r="N2493" s="1" t="n">
        <v>8999</v>
      </c>
      <c r="O2493" s="1" t="n">
        <v>25</v>
      </c>
      <c r="P2493" s="1" t="n">
        <v>2249.75</v>
      </c>
      <c r="Q2493" s="1" t="n">
        <v>6749.25</v>
      </c>
      <c r="R2493" s="1" t="n">
        <v>1214.87</v>
      </c>
      <c r="S2493" s="1" t="n">
        <v>5534.38</v>
      </c>
      <c r="T2493" s="1" t="n">
        <v>2657.77</v>
      </c>
      <c r="U2493" s="1" t="n">
        <v>2876.61</v>
      </c>
      <c r="V2493" s="1" t="n">
        <v>51.98</v>
      </c>
      <c r="W2493" s="1" t="s">
        <v>39</v>
      </c>
      <c r="X2493" s="1" t="n">
        <v>3.7</v>
      </c>
      <c r="Y2493" s="1" t="s">
        <v>40</v>
      </c>
      <c r="Z2493" s="1" t="n">
        <v>0</v>
      </c>
    </row>
    <row r="2494" customFormat="false" ht="15" hidden="false" customHeight="true" outlineLevel="0" collapsed="false">
      <c r="A2494" s="1" t="s">
        <v>3370</v>
      </c>
      <c r="B2494" s="1" t="s">
        <v>620</v>
      </c>
      <c r="C2494" s="1" t="s">
        <v>178</v>
      </c>
      <c r="D2494" s="1" t="s">
        <v>143</v>
      </c>
      <c r="E2494" s="1" t="s">
        <v>162</v>
      </c>
      <c r="F2494" s="1" t="s">
        <v>46</v>
      </c>
      <c r="G2494" s="1" t="s">
        <v>47</v>
      </c>
      <c r="H2494" s="1" t="s">
        <v>33</v>
      </c>
      <c r="I2494" s="1" t="s">
        <v>34</v>
      </c>
      <c r="J2494" s="1" t="s">
        <v>35</v>
      </c>
      <c r="K2494" s="1" t="s">
        <v>84</v>
      </c>
      <c r="L2494" s="1" t="s">
        <v>37</v>
      </c>
      <c r="M2494" s="1" t="s">
        <v>62</v>
      </c>
      <c r="N2494" s="1" t="n">
        <v>14999</v>
      </c>
      <c r="O2494" s="1" t="n">
        <v>0</v>
      </c>
      <c r="P2494" s="1" t="n">
        <v>0</v>
      </c>
      <c r="Q2494" s="1" t="n">
        <v>14999</v>
      </c>
      <c r="R2494" s="1" t="n">
        <v>2699.82</v>
      </c>
      <c r="S2494" s="1" t="n">
        <v>12299.18</v>
      </c>
      <c r="T2494" s="1" t="n">
        <v>4988.86</v>
      </c>
      <c r="U2494" s="1" t="n">
        <v>7310.32</v>
      </c>
      <c r="V2494" s="1" t="n">
        <v>59.44</v>
      </c>
      <c r="W2494" s="1" t="s">
        <v>39</v>
      </c>
      <c r="X2494" s="1" t="n">
        <v>4.1</v>
      </c>
      <c r="Y2494" s="1" t="s">
        <v>40</v>
      </c>
      <c r="Z2494" s="1" t="n">
        <v>1</v>
      </c>
    </row>
    <row r="2495" customFormat="false" ht="15" hidden="false" customHeight="true" outlineLevel="0" collapsed="false">
      <c r="A2495" s="1" t="s">
        <v>3371</v>
      </c>
      <c r="B2495" s="1" t="s">
        <v>1456</v>
      </c>
      <c r="C2495" s="1" t="s">
        <v>74</v>
      </c>
      <c r="D2495" s="1" t="s">
        <v>143</v>
      </c>
      <c r="E2495" s="1" t="s">
        <v>243</v>
      </c>
      <c r="F2495" s="1" t="s">
        <v>75</v>
      </c>
      <c r="G2495" s="1" t="s">
        <v>76</v>
      </c>
      <c r="H2495" s="1" t="s">
        <v>69</v>
      </c>
      <c r="I2495" s="1" t="s">
        <v>83</v>
      </c>
      <c r="J2495" s="1" t="s">
        <v>131</v>
      </c>
      <c r="K2495" s="1" t="s">
        <v>112</v>
      </c>
      <c r="L2495" s="1" t="s">
        <v>61</v>
      </c>
      <c r="M2495" s="1" t="s">
        <v>38</v>
      </c>
      <c r="N2495" s="1" t="n">
        <v>22999</v>
      </c>
      <c r="O2495" s="1" t="n">
        <v>0</v>
      </c>
      <c r="P2495" s="1" t="n">
        <v>0</v>
      </c>
      <c r="Q2495" s="1" t="n">
        <v>22999</v>
      </c>
      <c r="R2495" s="1" t="n">
        <v>4139.82</v>
      </c>
      <c r="S2495" s="1" t="n">
        <v>18859.18</v>
      </c>
      <c r="T2495" s="1" t="n">
        <v>7924.55</v>
      </c>
      <c r="U2495" s="1" t="n">
        <v>10934.63</v>
      </c>
      <c r="V2495" s="1" t="n">
        <v>57.98</v>
      </c>
      <c r="W2495" s="1" t="s">
        <v>39</v>
      </c>
      <c r="X2495" s="1" t="n">
        <v>3.9</v>
      </c>
      <c r="Y2495" s="1" t="s">
        <v>40</v>
      </c>
      <c r="Z2495" s="1" t="n">
        <v>0</v>
      </c>
    </row>
    <row r="2496" customFormat="false" ht="15" hidden="false" customHeight="true" outlineLevel="0" collapsed="false">
      <c r="A2496" s="1" t="s">
        <v>3372</v>
      </c>
      <c r="B2496" s="1" t="s">
        <v>791</v>
      </c>
      <c r="C2496" s="1" t="s">
        <v>178</v>
      </c>
      <c r="D2496" s="1" t="s">
        <v>53</v>
      </c>
      <c r="E2496" s="1" t="s">
        <v>116</v>
      </c>
      <c r="F2496" s="1" t="s">
        <v>96</v>
      </c>
      <c r="G2496" s="1" t="s">
        <v>97</v>
      </c>
      <c r="H2496" s="1" t="s">
        <v>69</v>
      </c>
      <c r="I2496" s="1" t="s">
        <v>83</v>
      </c>
      <c r="J2496" s="1" t="s">
        <v>70</v>
      </c>
      <c r="K2496" s="1" t="s">
        <v>48</v>
      </c>
      <c r="L2496" s="1" t="s">
        <v>37</v>
      </c>
      <c r="M2496" s="1" t="s">
        <v>62</v>
      </c>
      <c r="N2496" s="1" t="n">
        <v>9999</v>
      </c>
      <c r="O2496" s="1" t="n">
        <v>5</v>
      </c>
      <c r="P2496" s="1" t="n">
        <v>499.95</v>
      </c>
      <c r="Q2496" s="1" t="n">
        <v>9499.05</v>
      </c>
      <c r="R2496" s="1" t="n">
        <v>1709.83</v>
      </c>
      <c r="S2496" s="1" t="n">
        <v>7789.22</v>
      </c>
      <c r="T2496" s="1" t="n">
        <v>3060.48</v>
      </c>
      <c r="U2496" s="1" t="n">
        <v>4728.74</v>
      </c>
      <c r="V2496" s="1" t="n">
        <v>60.71</v>
      </c>
      <c r="W2496" s="1" t="s">
        <v>39</v>
      </c>
      <c r="X2496" s="1" t="n">
        <v>3.8</v>
      </c>
      <c r="Y2496" s="1" t="s">
        <v>40</v>
      </c>
      <c r="Z2496" s="1" t="n">
        <v>0</v>
      </c>
    </row>
    <row r="2497" customFormat="false" ht="15" hidden="false" customHeight="true" outlineLevel="0" collapsed="false">
      <c r="A2497" s="1" t="s">
        <v>3373</v>
      </c>
      <c r="B2497" s="1" t="s">
        <v>2137</v>
      </c>
      <c r="C2497" s="1" t="s">
        <v>65</v>
      </c>
      <c r="D2497" s="1" t="s">
        <v>80</v>
      </c>
      <c r="E2497" s="1" t="s">
        <v>175</v>
      </c>
      <c r="F2497" s="1" t="s">
        <v>140</v>
      </c>
      <c r="G2497" s="1" t="s">
        <v>97</v>
      </c>
      <c r="H2497" s="1" t="s">
        <v>57</v>
      </c>
      <c r="I2497" s="1" t="s">
        <v>83</v>
      </c>
      <c r="J2497" s="1" t="s">
        <v>35</v>
      </c>
      <c r="K2497" s="1" t="s">
        <v>71</v>
      </c>
      <c r="L2497" s="1" t="s">
        <v>37</v>
      </c>
      <c r="M2497" s="1" t="s">
        <v>50</v>
      </c>
      <c r="N2497" s="1" t="n">
        <v>19999</v>
      </c>
      <c r="O2497" s="1" t="n">
        <v>10</v>
      </c>
      <c r="P2497" s="1" t="n">
        <v>1999.9</v>
      </c>
      <c r="Q2497" s="1" t="n">
        <v>17999.1</v>
      </c>
      <c r="R2497" s="1" t="n">
        <v>3239.84</v>
      </c>
      <c r="S2497" s="1" t="n">
        <v>14759.26</v>
      </c>
      <c r="T2497" s="1" t="n">
        <v>6281.78</v>
      </c>
      <c r="U2497" s="1" t="n">
        <v>8477.48</v>
      </c>
      <c r="V2497" s="1" t="n">
        <v>57.44</v>
      </c>
      <c r="W2497" s="1" t="s">
        <v>39</v>
      </c>
      <c r="X2497" s="1" t="n">
        <v>4.2</v>
      </c>
      <c r="Y2497" s="1" t="s">
        <v>40</v>
      </c>
      <c r="Z2497" s="1" t="n">
        <v>1</v>
      </c>
    </row>
    <row r="2498" customFormat="false" ht="15" hidden="false" customHeight="true" outlineLevel="0" collapsed="false">
      <c r="A2498" s="1" t="s">
        <v>3374</v>
      </c>
      <c r="B2498" s="1" t="s">
        <v>1847</v>
      </c>
      <c r="C2498" s="1" t="s">
        <v>134</v>
      </c>
      <c r="D2498" s="1" t="s">
        <v>53</v>
      </c>
      <c r="E2498" s="1" t="s">
        <v>216</v>
      </c>
      <c r="F2498" s="1" t="s">
        <v>130</v>
      </c>
      <c r="G2498" s="1" t="s">
        <v>47</v>
      </c>
      <c r="H2498" s="1" t="s">
        <v>69</v>
      </c>
      <c r="I2498" s="1" t="s">
        <v>58</v>
      </c>
      <c r="J2498" s="1" t="s">
        <v>77</v>
      </c>
      <c r="K2498" s="1" t="s">
        <v>84</v>
      </c>
      <c r="L2498" s="1" t="s">
        <v>113</v>
      </c>
      <c r="M2498" s="1" t="s">
        <v>50</v>
      </c>
      <c r="N2498" s="1" t="n">
        <v>7499</v>
      </c>
      <c r="O2498" s="1" t="n">
        <v>25</v>
      </c>
      <c r="P2498" s="1" t="n">
        <v>1874.75</v>
      </c>
      <c r="Q2498" s="1" t="n">
        <v>5624.25</v>
      </c>
      <c r="R2498" s="1" t="n">
        <v>1012.37</v>
      </c>
      <c r="S2498" s="1" t="n">
        <v>4611.88</v>
      </c>
      <c r="T2498" s="1" t="n">
        <v>2472.41</v>
      </c>
      <c r="U2498" s="1" t="n">
        <v>2139.47</v>
      </c>
      <c r="V2498" s="1" t="n">
        <v>46.39</v>
      </c>
      <c r="W2498" s="1" t="s">
        <v>40</v>
      </c>
      <c r="Y2498" s="1" t="s">
        <v>40</v>
      </c>
      <c r="Z2498" s="1" t="n">
        <v>1</v>
      </c>
    </row>
    <row r="2499" customFormat="false" ht="15" hidden="false" customHeight="true" outlineLevel="0" collapsed="false">
      <c r="A2499" s="1" t="s">
        <v>3375</v>
      </c>
      <c r="B2499" s="1" t="s">
        <v>692</v>
      </c>
      <c r="C2499" s="1" t="s">
        <v>139</v>
      </c>
      <c r="D2499" s="1" t="s">
        <v>123</v>
      </c>
      <c r="E2499" s="1" t="s">
        <v>147</v>
      </c>
      <c r="F2499" s="1" t="s">
        <v>102</v>
      </c>
      <c r="G2499" s="1" t="s">
        <v>103</v>
      </c>
      <c r="H2499" s="1" t="s">
        <v>33</v>
      </c>
      <c r="I2499" s="1" t="s">
        <v>34</v>
      </c>
      <c r="J2499" s="1" t="s">
        <v>131</v>
      </c>
      <c r="K2499" s="1" t="s">
        <v>84</v>
      </c>
      <c r="L2499" s="1" t="s">
        <v>61</v>
      </c>
      <c r="M2499" s="1" t="s">
        <v>50</v>
      </c>
      <c r="N2499" s="1" t="n">
        <v>6999</v>
      </c>
      <c r="O2499" s="1" t="n">
        <v>0</v>
      </c>
      <c r="P2499" s="1" t="n">
        <v>0</v>
      </c>
      <c r="Q2499" s="1" t="n">
        <v>6999</v>
      </c>
      <c r="R2499" s="1" t="n">
        <v>1259.82</v>
      </c>
      <c r="S2499" s="1" t="n">
        <v>5739.18</v>
      </c>
      <c r="T2499" s="1" t="n">
        <v>1900.69</v>
      </c>
      <c r="U2499" s="1" t="n">
        <v>3838.49</v>
      </c>
      <c r="V2499" s="1" t="n">
        <v>66.88</v>
      </c>
      <c r="W2499" s="1" t="s">
        <v>40</v>
      </c>
      <c r="Y2499" s="1" t="s">
        <v>40</v>
      </c>
      <c r="Z2499" s="1" t="n">
        <v>1</v>
      </c>
    </row>
    <row r="2500" customFormat="false" ht="15" hidden="false" customHeight="true" outlineLevel="0" collapsed="false">
      <c r="A2500" s="1" t="s">
        <v>3376</v>
      </c>
      <c r="B2500" s="1" t="s">
        <v>665</v>
      </c>
      <c r="C2500" s="1" t="s">
        <v>93</v>
      </c>
      <c r="D2500" s="1" t="s">
        <v>44</v>
      </c>
      <c r="E2500" s="1" t="s">
        <v>221</v>
      </c>
      <c r="F2500" s="1" t="s">
        <v>269</v>
      </c>
      <c r="G2500" s="1" t="s">
        <v>108</v>
      </c>
      <c r="H2500" s="1" t="s">
        <v>57</v>
      </c>
      <c r="I2500" s="1" t="s">
        <v>58</v>
      </c>
      <c r="J2500" s="1" t="s">
        <v>70</v>
      </c>
      <c r="K2500" s="1" t="s">
        <v>36</v>
      </c>
      <c r="L2500" s="1" t="s">
        <v>49</v>
      </c>
      <c r="M2500" s="1" t="s">
        <v>50</v>
      </c>
      <c r="N2500" s="1" t="n">
        <v>16999</v>
      </c>
      <c r="O2500" s="1" t="n">
        <v>15</v>
      </c>
      <c r="P2500" s="1" t="n">
        <v>2549.85</v>
      </c>
      <c r="Q2500" s="1" t="n">
        <v>14449.15</v>
      </c>
      <c r="R2500" s="1" t="n">
        <v>2600.85</v>
      </c>
      <c r="S2500" s="1" t="n">
        <v>11848.3</v>
      </c>
      <c r="T2500" s="1" t="n">
        <v>5604.23</v>
      </c>
      <c r="U2500" s="1" t="n">
        <v>6244.07</v>
      </c>
      <c r="V2500" s="1" t="n">
        <v>52.7</v>
      </c>
      <c r="W2500" s="1" t="s">
        <v>39</v>
      </c>
      <c r="X2500" s="1" t="n">
        <v>4.7</v>
      </c>
      <c r="Y2500" s="1" t="s">
        <v>39</v>
      </c>
      <c r="Z2500" s="1" t="n">
        <v>0</v>
      </c>
    </row>
    <row r="2501" customFormat="false" ht="15" hidden="false" customHeight="true" outlineLevel="0" collapsed="false">
      <c r="A2501" s="1" t="s">
        <v>3377</v>
      </c>
      <c r="B2501" s="1" t="s">
        <v>1402</v>
      </c>
      <c r="C2501" s="1" t="s">
        <v>28</v>
      </c>
      <c r="D2501" s="1" t="s">
        <v>80</v>
      </c>
      <c r="E2501" s="1" t="s">
        <v>175</v>
      </c>
      <c r="F2501" s="1" t="s">
        <v>184</v>
      </c>
      <c r="G2501" s="1" t="s">
        <v>56</v>
      </c>
      <c r="H2501" s="1" t="s">
        <v>57</v>
      </c>
      <c r="I2501" s="1" t="s">
        <v>83</v>
      </c>
      <c r="J2501" s="1" t="s">
        <v>131</v>
      </c>
      <c r="K2501" s="1" t="s">
        <v>112</v>
      </c>
      <c r="L2501" s="1" t="s">
        <v>49</v>
      </c>
      <c r="M2501" s="1" t="s">
        <v>62</v>
      </c>
      <c r="N2501" s="1" t="n">
        <v>19999</v>
      </c>
      <c r="O2501" s="1" t="n">
        <v>10</v>
      </c>
      <c r="P2501" s="1" t="n">
        <v>1999.9</v>
      </c>
      <c r="Q2501" s="1" t="n">
        <v>17999.1</v>
      </c>
      <c r="R2501" s="1" t="n">
        <v>3239.84</v>
      </c>
      <c r="S2501" s="1" t="n">
        <v>14759.26</v>
      </c>
      <c r="T2501" s="1" t="n">
        <v>8460.66</v>
      </c>
      <c r="U2501" s="1" t="n">
        <v>6298.6</v>
      </c>
      <c r="V2501" s="1" t="n">
        <v>42.68</v>
      </c>
      <c r="W2501" s="1" t="s">
        <v>39</v>
      </c>
      <c r="X2501" s="1" t="n">
        <v>3.7</v>
      </c>
      <c r="Y2501" s="1" t="s">
        <v>40</v>
      </c>
      <c r="Z2501" s="1" t="n">
        <v>0</v>
      </c>
    </row>
    <row r="2502" customFormat="false" ht="15" hidden="false" customHeight="true" outlineLevel="0" collapsed="false">
      <c r="A2502" s="1" t="s">
        <v>3378</v>
      </c>
      <c r="B2502" s="1" t="s">
        <v>630</v>
      </c>
      <c r="C2502" s="1" t="s">
        <v>134</v>
      </c>
      <c r="D2502" s="1" t="s">
        <v>123</v>
      </c>
      <c r="E2502" s="1" t="s">
        <v>233</v>
      </c>
      <c r="F2502" s="1" t="s">
        <v>269</v>
      </c>
      <c r="G2502" s="1" t="s">
        <v>108</v>
      </c>
      <c r="H2502" s="1" t="s">
        <v>57</v>
      </c>
      <c r="I2502" s="1" t="s">
        <v>34</v>
      </c>
      <c r="J2502" s="1" t="s">
        <v>35</v>
      </c>
      <c r="K2502" s="1" t="s">
        <v>84</v>
      </c>
      <c r="L2502" s="1" t="s">
        <v>113</v>
      </c>
      <c r="M2502" s="1" t="s">
        <v>38</v>
      </c>
      <c r="N2502" s="1" t="n">
        <v>8999</v>
      </c>
      <c r="O2502" s="1" t="n">
        <v>50</v>
      </c>
      <c r="P2502" s="1" t="n">
        <v>4499.5</v>
      </c>
      <c r="Q2502" s="1" t="n">
        <v>4499.5</v>
      </c>
      <c r="R2502" s="1" t="n">
        <v>809.91</v>
      </c>
      <c r="S2502" s="1" t="n">
        <v>3689.59</v>
      </c>
      <c r="T2502" s="1" t="n">
        <v>1968.25</v>
      </c>
      <c r="U2502" s="1" t="n">
        <v>1721.34</v>
      </c>
      <c r="V2502" s="1" t="n">
        <v>46.65</v>
      </c>
      <c r="W2502" s="1" t="s">
        <v>39</v>
      </c>
      <c r="X2502" s="1" t="n">
        <v>3.8</v>
      </c>
      <c r="Y2502" s="1" t="s">
        <v>40</v>
      </c>
      <c r="Z2502" s="1" t="n">
        <v>0</v>
      </c>
    </row>
    <row r="2503" customFormat="false" ht="15" hidden="false" customHeight="true" outlineLevel="0" collapsed="false">
      <c r="A2503" s="1" t="s">
        <v>3379</v>
      </c>
      <c r="B2503" s="1" t="s">
        <v>397</v>
      </c>
      <c r="C2503" s="1" t="s">
        <v>264</v>
      </c>
      <c r="D2503" s="1" t="s">
        <v>29</v>
      </c>
      <c r="E2503" s="1" t="s">
        <v>182</v>
      </c>
      <c r="F2503" s="1" t="s">
        <v>107</v>
      </c>
      <c r="G2503" s="1" t="s">
        <v>108</v>
      </c>
      <c r="H2503" s="1" t="s">
        <v>33</v>
      </c>
      <c r="I2503" s="1" t="s">
        <v>58</v>
      </c>
      <c r="J2503" s="1" t="s">
        <v>35</v>
      </c>
      <c r="K2503" s="1" t="s">
        <v>90</v>
      </c>
      <c r="L2503" s="1" t="s">
        <v>37</v>
      </c>
      <c r="M2503" s="1" t="s">
        <v>38</v>
      </c>
      <c r="N2503" s="1" t="n">
        <v>34999</v>
      </c>
      <c r="O2503" s="1" t="n">
        <v>10</v>
      </c>
      <c r="P2503" s="1" t="n">
        <v>3499.9</v>
      </c>
      <c r="Q2503" s="1" t="n">
        <v>31499.1</v>
      </c>
      <c r="R2503" s="1" t="n">
        <v>5669.84</v>
      </c>
      <c r="S2503" s="1" t="n">
        <v>25829.26</v>
      </c>
      <c r="T2503" s="1" t="n">
        <v>12093.46</v>
      </c>
      <c r="U2503" s="1" t="n">
        <v>13735.8</v>
      </c>
      <c r="V2503" s="1" t="n">
        <v>53.18</v>
      </c>
      <c r="W2503" s="1" t="s">
        <v>40</v>
      </c>
      <c r="Y2503" s="1" t="s">
        <v>39</v>
      </c>
      <c r="Z2503" s="1" t="n">
        <v>1</v>
      </c>
    </row>
    <row r="2504" customFormat="false" ht="15" hidden="false" customHeight="true" outlineLevel="0" collapsed="false">
      <c r="A2504" s="1" t="s">
        <v>3380</v>
      </c>
      <c r="B2504" s="1" t="s">
        <v>2920</v>
      </c>
      <c r="C2504" s="1" t="s">
        <v>28</v>
      </c>
      <c r="D2504" s="1" t="s">
        <v>123</v>
      </c>
      <c r="E2504" s="1" t="s">
        <v>147</v>
      </c>
      <c r="F2504" s="1" t="s">
        <v>187</v>
      </c>
      <c r="G2504" s="1" t="s">
        <v>97</v>
      </c>
      <c r="H2504" s="1" t="s">
        <v>69</v>
      </c>
      <c r="I2504" s="1" t="s">
        <v>58</v>
      </c>
      <c r="J2504" s="1" t="s">
        <v>35</v>
      </c>
      <c r="K2504" s="1" t="s">
        <v>112</v>
      </c>
      <c r="L2504" s="1" t="s">
        <v>61</v>
      </c>
      <c r="M2504" s="1" t="s">
        <v>38</v>
      </c>
      <c r="N2504" s="1" t="n">
        <v>6999</v>
      </c>
      <c r="O2504" s="1" t="n">
        <v>0</v>
      </c>
      <c r="P2504" s="1" t="n">
        <v>0</v>
      </c>
      <c r="Q2504" s="1" t="n">
        <v>6999</v>
      </c>
      <c r="R2504" s="1" t="n">
        <v>1259.82</v>
      </c>
      <c r="S2504" s="1" t="n">
        <v>5739.18</v>
      </c>
      <c r="T2504" s="1" t="n">
        <v>2604.99</v>
      </c>
      <c r="U2504" s="1" t="n">
        <v>3134.19</v>
      </c>
      <c r="V2504" s="1" t="n">
        <v>54.61</v>
      </c>
      <c r="W2504" s="1" t="s">
        <v>39</v>
      </c>
      <c r="X2504" s="1" t="n">
        <v>2.8</v>
      </c>
      <c r="Y2504" s="1" t="s">
        <v>40</v>
      </c>
      <c r="Z2504" s="1" t="n">
        <v>1</v>
      </c>
    </row>
    <row r="2505" customFormat="false" ht="15" hidden="false" customHeight="true" outlineLevel="0" collapsed="false">
      <c r="A2505" s="1" t="s">
        <v>3381</v>
      </c>
      <c r="B2505" s="1" t="s">
        <v>1614</v>
      </c>
      <c r="C2505" s="1" t="s">
        <v>128</v>
      </c>
      <c r="D2505" s="1" t="s">
        <v>168</v>
      </c>
      <c r="E2505" s="1" t="s">
        <v>169</v>
      </c>
      <c r="F2505" s="1" t="s">
        <v>75</v>
      </c>
      <c r="G2505" s="1" t="s">
        <v>76</v>
      </c>
      <c r="H2505" s="1" t="s">
        <v>69</v>
      </c>
      <c r="I2505" s="1" t="s">
        <v>83</v>
      </c>
      <c r="J2505" s="1" t="s">
        <v>35</v>
      </c>
      <c r="K2505" s="1" t="s">
        <v>48</v>
      </c>
      <c r="L2505" s="1" t="s">
        <v>85</v>
      </c>
      <c r="M2505" s="1" t="s">
        <v>62</v>
      </c>
      <c r="N2505" s="1" t="n">
        <v>4999</v>
      </c>
      <c r="O2505" s="1" t="n">
        <v>50</v>
      </c>
      <c r="P2505" s="1" t="n">
        <v>2499.5</v>
      </c>
      <c r="Q2505" s="1" t="n">
        <v>2499.5</v>
      </c>
      <c r="R2505" s="1" t="n">
        <v>449.91</v>
      </c>
      <c r="S2505" s="1" t="n">
        <v>2049.59</v>
      </c>
      <c r="T2505" s="1" t="n">
        <v>1076.14</v>
      </c>
      <c r="U2505" s="1" t="n">
        <v>973.45</v>
      </c>
      <c r="V2505" s="1" t="n">
        <v>47.49</v>
      </c>
      <c r="W2505" s="1" t="s">
        <v>39</v>
      </c>
      <c r="X2505" s="1" t="n">
        <v>3.5</v>
      </c>
      <c r="Y2505" s="1" t="s">
        <v>40</v>
      </c>
      <c r="Z2505" s="1" t="n">
        <v>0</v>
      </c>
    </row>
    <row r="2506" customFormat="false" ht="15" hidden="false" customHeight="true" outlineLevel="0" collapsed="false">
      <c r="A2506" s="1" t="s">
        <v>3382</v>
      </c>
      <c r="B2506" s="1" t="s">
        <v>1291</v>
      </c>
      <c r="C2506" s="1" t="s">
        <v>74</v>
      </c>
      <c r="D2506" s="1" t="s">
        <v>44</v>
      </c>
      <c r="E2506" s="1" t="s">
        <v>45</v>
      </c>
      <c r="F2506" s="1" t="s">
        <v>130</v>
      </c>
      <c r="G2506" s="1" t="s">
        <v>47</v>
      </c>
      <c r="H2506" s="1" t="s">
        <v>69</v>
      </c>
      <c r="I2506" s="1" t="s">
        <v>83</v>
      </c>
      <c r="J2506" s="1" t="s">
        <v>59</v>
      </c>
      <c r="K2506" s="1" t="s">
        <v>112</v>
      </c>
      <c r="L2506" s="1" t="s">
        <v>85</v>
      </c>
      <c r="M2506" s="1" t="s">
        <v>62</v>
      </c>
      <c r="N2506" s="1" t="n">
        <v>11999</v>
      </c>
      <c r="O2506" s="1" t="n">
        <v>20</v>
      </c>
      <c r="P2506" s="1" t="n">
        <v>2399.8</v>
      </c>
      <c r="Q2506" s="1" t="n">
        <v>9599.2</v>
      </c>
      <c r="R2506" s="1" t="n">
        <v>1727.86</v>
      </c>
      <c r="S2506" s="1" t="n">
        <v>7871.34</v>
      </c>
      <c r="T2506" s="1" t="n">
        <v>3443.98</v>
      </c>
      <c r="U2506" s="1" t="n">
        <v>4427.36</v>
      </c>
      <c r="V2506" s="1" t="n">
        <v>56.25</v>
      </c>
      <c r="W2506" s="1" t="s">
        <v>40</v>
      </c>
      <c r="Y2506" s="1" t="s">
        <v>40</v>
      </c>
      <c r="Z2506" s="1" t="n">
        <v>0</v>
      </c>
    </row>
    <row r="2507" customFormat="false" ht="15" hidden="false" customHeight="true" outlineLevel="0" collapsed="false">
      <c r="A2507" s="1" t="s">
        <v>3383</v>
      </c>
      <c r="B2507" s="1" t="s">
        <v>460</v>
      </c>
      <c r="C2507" s="1" t="s">
        <v>88</v>
      </c>
      <c r="D2507" s="1" t="s">
        <v>143</v>
      </c>
      <c r="E2507" s="1" t="s">
        <v>144</v>
      </c>
      <c r="F2507" s="1" t="s">
        <v>1137</v>
      </c>
      <c r="G2507" s="1" t="s">
        <v>56</v>
      </c>
      <c r="H2507" s="1" t="s">
        <v>69</v>
      </c>
      <c r="I2507" s="1" t="s">
        <v>83</v>
      </c>
      <c r="J2507" s="1" t="s">
        <v>59</v>
      </c>
      <c r="K2507" s="1" t="s">
        <v>36</v>
      </c>
      <c r="L2507" s="1" t="s">
        <v>113</v>
      </c>
      <c r="M2507" s="1" t="s">
        <v>50</v>
      </c>
      <c r="N2507" s="1" t="n">
        <v>12999</v>
      </c>
      <c r="O2507" s="1" t="n">
        <v>50</v>
      </c>
      <c r="P2507" s="1" t="n">
        <v>6499.5</v>
      </c>
      <c r="Q2507" s="1" t="n">
        <v>6499.5</v>
      </c>
      <c r="R2507" s="1" t="n">
        <v>1169.91</v>
      </c>
      <c r="S2507" s="1" t="n">
        <v>5329.59</v>
      </c>
      <c r="T2507" s="1" t="n">
        <v>2412.31</v>
      </c>
      <c r="U2507" s="1" t="n">
        <v>2917.28</v>
      </c>
      <c r="V2507" s="1" t="n">
        <v>54.74</v>
      </c>
      <c r="W2507" s="1" t="s">
        <v>39</v>
      </c>
      <c r="Y2507" s="1" t="s">
        <v>40</v>
      </c>
      <c r="Z2507" s="1" t="n">
        <v>0</v>
      </c>
    </row>
    <row r="2508" customFormat="false" ht="15" hidden="false" customHeight="true" outlineLevel="0" collapsed="false">
      <c r="A2508" s="1" t="s">
        <v>3384</v>
      </c>
      <c r="B2508" s="1" t="s">
        <v>2826</v>
      </c>
      <c r="C2508" s="1" t="s">
        <v>139</v>
      </c>
      <c r="D2508" s="1" t="s">
        <v>44</v>
      </c>
      <c r="E2508" s="1" t="s">
        <v>66</v>
      </c>
      <c r="F2508" s="1" t="s">
        <v>205</v>
      </c>
      <c r="G2508" s="1" t="s">
        <v>56</v>
      </c>
      <c r="H2508" s="1" t="s">
        <v>69</v>
      </c>
      <c r="I2508" s="1" t="s">
        <v>34</v>
      </c>
      <c r="J2508" s="1" t="s">
        <v>59</v>
      </c>
      <c r="K2508" s="1" t="s">
        <v>112</v>
      </c>
      <c r="L2508" s="1" t="s">
        <v>113</v>
      </c>
      <c r="M2508" s="1" t="s">
        <v>62</v>
      </c>
      <c r="N2508" s="1" t="n">
        <v>12999</v>
      </c>
      <c r="O2508" s="1" t="n">
        <v>5</v>
      </c>
      <c r="P2508" s="1" t="n">
        <v>649.95</v>
      </c>
      <c r="Q2508" s="1" t="n">
        <v>12349.05</v>
      </c>
      <c r="R2508" s="1" t="n">
        <v>2222.83</v>
      </c>
      <c r="S2508" s="1" t="n">
        <v>10126.22</v>
      </c>
      <c r="T2508" s="1" t="n">
        <v>4032.99</v>
      </c>
      <c r="U2508" s="1" t="n">
        <v>6093.23</v>
      </c>
      <c r="V2508" s="1" t="n">
        <v>60.17</v>
      </c>
      <c r="W2508" s="1" t="s">
        <v>39</v>
      </c>
      <c r="X2508" s="1" t="n">
        <v>3.6</v>
      </c>
      <c r="Y2508" s="1" t="s">
        <v>40</v>
      </c>
      <c r="Z2508" s="1" t="n">
        <v>0</v>
      </c>
    </row>
    <row r="2509" customFormat="false" ht="15" hidden="false" customHeight="true" outlineLevel="0" collapsed="false">
      <c r="A2509" s="1" t="s">
        <v>3385</v>
      </c>
      <c r="B2509" s="1" t="s">
        <v>827</v>
      </c>
      <c r="C2509" s="1" t="s">
        <v>93</v>
      </c>
      <c r="D2509" s="1" t="s">
        <v>94</v>
      </c>
      <c r="E2509" s="1" t="s">
        <v>95</v>
      </c>
      <c r="F2509" s="1" t="s">
        <v>75</v>
      </c>
      <c r="G2509" s="1" t="s">
        <v>76</v>
      </c>
      <c r="H2509" s="1" t="s">
        <v>69</v>
      </c>
      <c r="I2509" s="1" t="s">
        <v>58</v>
      </c>
      <c r="J2509" s="1" t="s">
        <v>70</v>
      </c>
      <c r="K2509" s="1" t="s">
        <v>112</v>
      </c>
      <c r="L2509" s="1" t="s">
        <v>136</v>
      </c>
      <c r="M2509" s="1" t="s">
        <v>50</v>
      </c>
      <c r="N2509" s="1" t="n">
        <v>6999</v>
      </c>
      <c r="O2509" s="1" t="n">
        <v>0</v>
      </c>
      <c r="P2509" s="1" t="n">
        <v>0</v>
      </c>
      <c r="Q2509" s="1" t="n">
        <v>6999</v>
      </c>
      <c r="R2509" s="1" t="n">
        <v>1259.82</v>
      </c>
      <c r="S2509" s="1" t="n">
        <v>5739.18</v>
      </c>
      <c r="T2509" s="1" t="n">
        <v>2608.89</v>
      </c>
      <c r="U2509" s="1" t="n">
        <v>3130.29</v>
      </c>
      <c r="V2509" s="1" t="n">
        <v>54.54</v>
      </c>
      <c r="W2509" s="1" t="s">
        <v>39</v>
      </c>
      <c r="X2509" s="1" t="n">
        <v>3.8</v>
      </c>
      <c r="Y2509" s="1" t="s">
        <v>40</v>
      </c>
      <c r="Z2509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3386</v>
      </c>
      <c r="AB1" s="2" t="s">
        <v>3387</v>
      </c>
      <c r="AC1" s="2" t="s">
        <v>3388</v>
      </c>
      <c r="AD1" s="2" t="s">
        <v>3389</v>
      </c>
      <c r="AE1" s="2" t="s">
        <v>3390</v>
      </c>
      <c r="AF1" s="2" t="s">
        <v>3391</v>
      </c>
      <c r="AG1" s="2" t="s">
        <v>3392</v>
      </c>
    </row>
    <row r="2" customFormat="false" ht="15" hidden="false" customHeight="true" outlineLevel="0" collapsed="false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n">
        <v>7999</v>
      </c>
      <c r="O2" s="1" t="n">
        <v>40</v>
      </c>
      <c r="P2" s="1" t="n">
        <v>3199.6</v>
      </c>
      <c r="Q2" s="1" t="n">
        <v>4799.4</v>
      </c>
      <c r="R2" s="1" t="n">
        <v>863.89</v>
      </c>
      <c r="S2" s="1" t="n">
        <v>3935.51</v>
      </c>
      <c r="T2" s="1" t="n">
        <v>2203.97</v>
      </c>
      <c r="U2" s="1" t="n">
        <v>1731.54</v>
      </c>
      <c r="V2" s="1" t="n">
        <v>44</v>
      </c>
      <c r="W2" s="1" t="s">
        <v>39</v>
      </c>
      <c r="X2" s="1" t="n">
        <v>4.6</v>
      </c>
      <c r="Y2" s="1" t="s">
        <v>40</v>
      </c>
      <c r="Z2" s="1" t="n">
        <v>1</v>
      </c>
      <c r="AA2" s="1" t="str">
        <f aca="false">TRIM(PROPER(F2))</f>
        <v>Jodhpur</v>
      </c>
      <c r="AB2" s="1" t="str">
        <f aca="false">TRIM(PROPER(C2))</f>
        <v>Embibe</v>
      </c>
      <c r="AC2" s="1" t="str">
        <f aca="false">IF(O2=0,"No Discount",IF(O2&lt;=15,"Low (1-15%)",IF(O2&lt;=30,"Medium (16-30%)","High (&gt;30%)")))</f>
        <v>High (&gt;30%)</v>
      </c>
      <c r="AD2" s="1" t="str">
        <f aca="false">IF(V2&lt;0,"Loss Making",IF(V2&lt;20,"Low Margin","Healthy Margin"))</f>
        <v>Healthy Margin</v>
      </c>
      <c r="AE2" s="1" t="str">
        <f aca="false">TEXT(DATE(VALUE(RIGHT(B2,4)),VALUE(MID(B2,4,2)),VALUE(LEFT(B2,2))),"MMM-YYYY")</f>
        <v>Nov-2023</v>
      </c>
      <c r="AF2" s="1" t="n">
        <f aca="false">VALUE(RIGHT(B2,4))</f>
        <v>2023</v>
      </c>
      <c r="AG2" s="1" t="str">
        <f aca="false">CHOOSE(ROUNDUP(VALUE(MID(B2,4,2))/3,0),"Q1","Q2","Q3","Q4")</f>
        <v>Q4</v>
      </c>
    </row>
    <row r="3" customFormat="false" ht="15" hidden="false" customHeight="true" outlineLevel="0" collapsed="false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33</v>
      </c>
      <c r="I3" s="1" t="s">
        <v>34</v>
      </c>
      <c r="J3" s="1" t="s">
        <v>35</v>
      </c>
      <c r="K3" s="1" t="s">
        <v>48</v>
      </c>
      <c r="L3" s="1" t="s">
        <v>49</v>
      </c>
      <c r="M3" s="1" t="s">
        <v>50</v>
      </c>
      <c r="N3" s="1" t="n">
        <v>11999</v>
      </c>
      <c r="O3" s="1" t="n">
        <v>10</v>
      </c>
      <c r="P3" s="1" t="n">
        <v>1199.9</v>
      </c>
      <c r="Q3" s="1" t="n">
        <v>10799.1</v>
      </c>
      <c r="R3" s="1" t="n">
        <v>1943.84</v>
      </c>
      <c r="S3" s="1" t="n">
        <v>8855.26</v>
      </c>
      <c r="T3" s="1" t="n">
        <v>3836.62</v>
      </c>
      <c r="U3" s="1" t="n">
        <v>5018.64</v>
      </c>
      <c r="V3" s="1" t="n">
        <v>56.67</v>
      </c>
      <c r="W3" s="1" t="s">
        <v>39</v>
      </c>
      <c r="X3" s="1" t="n">
        <v>4</v>
      </c>
      <c r="Y3" s="1" t="s">
        <v>40</v>
      </c>
      <c r="Z3" s="1" t="n">
        <v>0</v>
      </c>
      <c r="AA3" s="1" t="str">
        <f aca="false">TRIM(PROPER(F3))</f>
        <v>Mangaluru</v>
      </c>
      <c r="AB3" s="1" t="str">
        <f aca="false">TRIM(PROPER(C3))</f>
        <v>Meritnation</v>
      </c>
      <c r="AC3" s="1" t="str">
        <f aca="false">IF(O3=0,"No Discount",IF(O3&lt;=15,"Low (1-15%)",IF(O3&lt;=30,"Medium (16-30%)","High (&gt;30%)")))</f>
        <v>Low (1-15%)</v>
      </c>
      <c r="AD3" s="1" t="str">
        <f aca="false">IF(V3&lt;0,"Loss Making",IF(V3&lt;20,"Low Margin","Healthy Margin"))</f>
        <v>Healthy Margin</v>
      </c>
      <c r="AE3" s="1" t="str">
        <f aca="false">TEXT(DATE(VALUE(RIGHT(B3,4)),VALUE(MID(B3,4,2)),VALUE(LEFT(B3,2))),"MMM-YYYY")</f>
        <v>Dec-2023</v>
      </c>
      <c r="AF3" s="1" t="n">
        <f aca="false">VALUE(RIGHT(B3,4))</f>
        <v>2023</v>
      </c>
      <c r="AG3" s="1" t="str">
        <f aca="false">CHOOSE(ROUNDUP(VALUE(MID(B3,4,2))/3,0),"Q1","Q2","Q3","Q4")</f>
        <v>Q4</v>
      </c>
    </row>
    <row r="4" customFormat="false" ht="15" hidden="false" customHeight="true" outlineLevel="0" collapsed="false">
      <c r="A4" s="1" t="s">
        <v>51</v>
      </c>
      <c r="B4" s="1" t="s">
        <v>52</v>
      </c>
      <c r="C4" s="1" t="s">
        <v>28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n">
        <v>11999</v>
      </c>
      <c r="O4" s="1" t="n">
        <v>25</v>
      </c>
      <c r="P4" s="1" t="n">
        <v>2999.75</v>
      </c>
      <c r="Q4" s="1" t="n">
        <v>8999.25</v>
      </c>
      <c r="R4" s="1" t="n">
        <v>1619.87</v>
      </c>
      <c r="S4" s="1" t="n">
        <v>7379.38</v>
      </c>
      <c r="T4" s="1" t="n">
        <v>3191.83</v>
      </c>
      <c r="U4" s="1" t="n">
        <v>4187.55</v>
      </c>
      <c r="V4" s="1" t="n">
        <v>56.75</v>
      </c>
      <c r="W4" s="1" t="s">
        <v>39</v>
      </c>
      <c r="X4" s="1" t="n">
        <v>3.6</v>
      </c>
      <c r="Y4" s="1" t="s">
        <v>40</v>
      </c>
      <c r="Z4" s="1" t="n">
        <v>0</v>
      </c>
      <c r="AA4" s="1" t="str">
        <f aca="false">TRIM(PROPER(F4))</f>
        <v>Ghaziabad</v>
      </c>
      <c r="AB4" s="1" t="str">
        <f aca="false">TRIM(PROPER(C4))</f>
        <v>Embibe</v>
      </c>
      <c r="AC4" s="1" t="str">
        <f aca="false">IF(O4=0,"No Discount",IF(O4&lt;=15,"Low (1-15%)",IF(O4&lt;=30,"Medium (16-30%)","High (&gt;30%)")))</f>
        <v>Medium (16-30%)</v>
      </c>
      <c r="AD4" s="1" t="str">
        <f aca="false">IF(V4&lt;0,"Loss Making",IF(V4&lt;20,"Low Margin","Healthy Margin"))</f>
        <v>Healthy Margin</v>
      </c>
      <c r="AE4" s="1" t="str">
        <f aca="false">TEXT(DATE(VALUE(RIGHT(B4,4)),VALUE(MID(B4,4,2)),VALUE(LEFT(B4,2))),"MMM-YYYY")</f>
        <v>Dec-2024</v>
      </c>
      <c r="AF4" s="1" t="n">
        <f aca="false">VALUE(RIGHT(B4,4))</f>
        <v>2024</v>
      </c>
      <c r="AG4" s="1" t="str">
        <f aca="false">CHOOSE(ROUNDUP(VALUE(MID(B4,4,2))/3,0),"Q1","Q2","Q3","Q4")</f>
        <v>Q4</v>
      </c>
    </row>
    <row r="5" customFormat="false" ht="15" hidden="false" customHeight="true" outlineLevel="0" collapsed="false">
      <c r="A5" s="1" t="s">
        <v>63</v>
      </c>
      <c r="B5" s="1" t="s">
        <v>64</v>
      </c>
      <c r="C5" s="1" t="s">
        <v>65</v>
      </c>
      <c r="D5" s="1" t="s">
        <v>44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34</v>
      </c>
      <c r="J5" s="1" t="s">
        <v>70</v>
      </c>
      <c r="K5" s="1" t="s">
        <v>71</v>
      </c>
      <c r="L5" s="1" t="s">
        <v>61</v>
      </c>
      <c r="M5" s="1" t="s">
        <v>62</v>
      </c>
      <c r="N5" s="1" t="n">
        <v>12999</v>
      </c>
      <c r="O5" s="1" t="n">
        <v>0</v>
      </c>
      <c r="P5" s="1" t="n">
        <v>0</v>
      </c>
      <c r="Q5" s="1" t="n">
        <v>12999</v>
      </c>
      <c r="R5" s="1" t="n">
        <v>2339.82</v>
      </c>
      <c r="S5" s="1" t="n">
        <v>10659.18</v>
      </c>
      <c r="T5" s="1" t="n">
        <v>3738.71</v>
      </c>
      <c r="U5" s="1" t="n">
        <v>6920.47</v>
      </c>
      <c r="V5" s="1" t="n">
        <v>64.92</v>
      </c>
      <c r="W5" s="1" t="s">
        <v>39</v>
      </c>
      <c r="X5" s="1" t="n">
        <v>3.7</v>
      </c>
      <c r="Y5" s="1" t="s">
        <v>40</v>
      </c>
      <c r="Z5" s="1" t="n">
        <v>1</v>
      </c>
      <c r="AA5" s="1" t="str">
        <f aca="false">TRIM(PROPER(F5))</f>
        <v>Ahmedabad</v>
      </c>
      <c r="AB5" s="1" t="str">
        <f aca="false">TRIM(PROPER(C5))</f>
        <v>Toppr</v>
      </c>
      <c r="AC5" s="1" t="str">
        <f aca="false">IF(O5=0,"No Discount",IF(O5&lt;=15,"Low (1-15%)",IF(O5&lt;=30,"Medium (16-30%)","High (&gt;30%)")))</f>
        <v>No Discount</v>
      </c>
      <c r="AD5" s="1" t="str">
        <f aca="false">IF(V5&lt;0,"Loss Making",IF(V5&lt;20,"Low Margin","Healthy Margin"))</f>
        <v>Healthy Margin</v>
      </c>
      <c r="AE5" s="1" t="str">
        <f aca="false">TEXT(DATE(VALUE(RIGHT(B5,4)),VALUE(MID(B5,4,2)),VALUE(LEFT(B5,2))),"MMM-YYYY")</f>
        <v>Aug-2024</v>
      </c>
      <c r="AF5" s="1" t="n">
        <f aca="false">VALUE(RIGHT(B5,4))</f>
        <v>2024</v>
      </c>
      <c r="AG5" s="1" t="str">
        <f aca="false">CHOOSE(ROUNDUP(VALUE(MID(B5,4,2))/3,0),"Q1","Q2","Q3","Q4")</f>
        <v>Q3</v>
      </c>
    </row>
    <row r="6" customFormat="false" ht="15" hidden="false" customHeight="true" outlineLevel="0" collapsed="false">
      <c r="A6" s="1" t="s">
        <v>72</v>
      </c>
      <c r="B6" s="1" t="s">
        <v>73</v>
      </c>
      <c r="C6" s="1" t="s">
        <v>74</v>
      </c>
      <c r="D6" s="1" t="s">
        <v>44</v>
      </c>
      <c r="E6" s="1" t="s">
        <v>66</v>
      </c>
      <c r="F6" s="1" t="s">
        <v>75</v>
      </c>
      <c r="G6" s="1" t="s">
        <v>76</v>
      </c>
      <c r="H6" s="1" t="s">
        <v>69</v>
      </c>
      <c r="I6" s="1" t="s">
        <v>58</v>
      </c>
      <c r="J6" s="1" t="s">
        <v>77</v>
      </c>
      <c r="K6" s="1" t="s">
        <v>36</v>
      </c>
      <c r="L6" s="1" t="s">
        <v>37</v>
      </c>
      <c r="M6" s="1" t="s">
        <v>38</v>
      </c>
      <c r="N6" s="1" t="n">
        <v>12999</v>
      </c>
      <c r="O6" s="1" t="n">
        <v>40</v>
      </c>
      <c r="P6" s="1" t="n">
        <v>5199.6</v>
      </c>
      <c r="Q6" s="1" t="n">
        <v>7799.4</v>
      </c>
      <c r="R6" s="1" t="n">
        <v>1403.89</v>
      </c>
      <c r="S6" s="1" t="n">
        <v>6395.51</v>
      </c>
      <c r="T6" s="1" t="n">
        <v>3376.69</v>
      </c>
      <c r="U6" s="1" t="n">
        <v>3018.82</v>
      </c>
      <c r="V6" s="1" t="n">
        <v>47.2</v>
      </c>
      <c r="W6" s="1" t="s">
        <v>39</v>
      </c>
      <c r="X6" s="1" t="n">
        <v>3.6</v>
      </c>
      <c r="Y6" s="1" t="s">
        <v>40</v>
      </c>
      <c r="Z6" s="1" t="n">
        <v>0</v>
      </c>
      <c r="AA6" s="1" t="str">
        <f aca="false">TRIM(PROPER(F6))</f>
        <v>Kolkata</v>
      </c>
      <c r="AB6" s="1" t="str">
        <f aca="false">TRIM(PROPER(C6))</f>
        <v>Vedantu</v>
      </c>
      <c r="AC6" s="1" t="str">
        <f aca="false">IF(O6=0,"No Discount",IF(O6&lt;=15,"Low (1-15%)",IF(O6&lt;=30,"Medium (16-30%)","High (&gt;30%)")))</f>
        <v>High (&gt;30%)</v>
      </c>
      <c r="AD6" s="1" t="str">
        <f aca="false">IF(V6&lt;0,"Loss Making",IF(V6&lt;20,"Low Margin","Healthy Margin"))</f>
        <v>Healthy Margin</v>
      </c>
      <c r="AE6" s="1" t="str">
        <f aca="false">TEXT(DATE(VALUE(RIGHT(B6,4)),VALUE(MID(B6,4,2)),VALUE(LEFT(B6,2))),"MMM-YYYY")</f>
        <v>Feb-2023</v>
      </c>
      <c r="AF6" s="1" t="n">
        <f aca="false">VALUE(RIGHT(B6,4))</f>
        <v>2023</v>
      </c>
      <c r="AG6" s="1" t="str">
        <f aca="false">CHOOSE(ROUNDUP(VALUE(MID(B6,4,2))/3,0),"Q1","Q2","Q3","Q4")</f>
        <v>Q1</v>
      </c>
    </row>
    <row r="7" customFormat="false" ht="15" hidden="false" customHeight="true" outlineLevel="0" collapsed="false">
      <c r="A7" s="1" t="s">
        <v>78</v>
      </c>
      <c r="B7" s="1" t="s">
        <v>79</v>
      </c>
      <c r="C7" s="1" t="s">
        <v>65</v>
      </c>
      <c r="D7" s="1" t="s">
        <v>80</v>
      </c>
      <c r="E7" s="1" t="s">
        <v>81</v>
      </c>
      <c r="F7" s="1" t="s">
        <v>82</v>
      </c>
      <c r="G7" s="1" t="s">
        <v>56</v>
      </c>
      <c r="H7" s="1" t="s">
        <v>69</v>
      </c>
      <c r="I7" s="1" t="s">
        <v>83</v>
      </c>
      <c r="J7" s="1" t="s">
        <v>35</v>
      </c>
      <c r="K7" s="1" t="s">
        <v>84</v>
      </c>
      <c r="L7" s="1" t="s">
        <v>85</v>
      </c>
      <c r="M7" s="1" t="s">
        <v>62</v>
      </c>
      <c r="N7" s="1" t="n">
        <v>12999</v>
      </c>
      <c r="O7" s="1" t="n">
        <v>0</v>
      </c>
      <c r="P7" s="1" t="n">
        <v>0</v>
      </c>
      <c r="Q7" s="1" t="n">
        <v>12999</v>
      </c>
      <c r="R7" s="1" t="n">
        <v>2339.82</v>
      </c>
      <c r="S7" s="1" t="n">
        <v>10659.18</v>
      </c>
      <c r="T7" s="1" t="n">
        <v>3264.37</v>
      </c>
      <c r="U7" s="1" t="n">
        <v>7394.81</v>
      </c>
      <c r="V7" s="1" t="n">
        <v>69.38</v>
      </c>
      <c r="W7" s="1" t="s">
        <v>39</v>
      </c>
      <c r="X7" s="1" t="n">
        <v>4.5</v>
      </c>
      <c r="Y7" s="1" t="s">
        <v>40</v>
      </c>
      <c r="Z7" s="1" t="n">
        <v>1</v>
      </c>
      <c r="AA7" s="1" t="str">
        <f aca="false">TRIM(PROPER(F7))</f>
        <v>Gurugram</v>
      </c>
      <c r="AB7" s="1" t="str">
        <f aca="false">TRIM(PROPER(C7))</f>
        <v>Toppr</v>
      </c>
      <c r="AC7" s="1" t="str">
        <f aca="false">IF(O7=0,"No Discount",IF(O7&lt;=15,"Low (1-15%)",IF(O7&lt;=30,"Medium (16-30%)","High (&gt;30%)")))</f>
        <v>No Discount</v>
      </c>
      <c r="AD7" s="1" t="str">
        <f aca="false">IF(V7&lt;0,"Loss Making",IF(V7&lt;20,"Low Margin","Healthy Margin"))</f>
        <v>Healthy Margin</v>
      </c>
      <c r="AE7" s="1" t="str">
        <f aca="false">TEXT(DATE(VALUE(RIGHT(B7,4)),VALUE(MID(B7,4,2)),VALUE(LEFT(B7,2))),"MMM-YYYY")</f>
        <v>Jan-2023</v>
      </c>
      <c r="AF7" s="1" t="n">
        <f aca="false">VALUE(RIGHT(B7,4))</f>
        <v>2023</v>
      </c>
      <c r="AG7" s="1" t="str">
        <f aca="false">CHOOSE(ROUNDUP(VALUE(MID(B7,4,2))/3,0),"Q1","Q2","Q3","Q4")</f>
        <v>Q1</v>
      </c>
    </row>
    <row r="8" customFormat="false" ht="15" hidden="false" customHeight="true" outlineLevel="0" collapsed="false">
      <c r="A8" s="1" t="s">
        <v>86</v>
      </c>
      <c r="B8" s="1" t="s">
        <v>87</v>
      </c>
      <c r="C8" s="1" t="s">
        <v>88</v>
      </c>
      <c r="D8" s="1" t="s">
        <v>53</v>
      </c>
      <c r="E8" s="1" t="s">
        <v>54</v>
      </c>
      <c r="F8" s="1" t="s">
        <v>89</v>
      </c>
      <c r="G8" s="1" t="s">
        <v>68</v>
      </c>
      <c r="H8" s="1" t="s">
        <v>33</v>
      </c>
      <c r="I8" s="1" t="s">
        <v>34</v>
      </c>
      <c r="J8" s="1" t="s">
        <v>35</v>
      </c>
      <c r="K8" s="1" t="s">
        <v>90</v>
      </c>
      <c r="L8" s="1" t="s">
        <v>85</v>
      </c>
      <c r="M8" s="1" t="s">
        <v>62</v>
      </c>
      <c r="N8" s="1" t="n">
        <v>11999</v>
      </c>
      <c r="O8" s="1" t="n">
        <v>0</v>
      </c>
      <c r="P8" s="1" t="n">
        <v>0</v>
      </c>
      <c r="Q8" s="1" t="n">
        <v>11999</v>
      </c>
      <c r="R8" s="1" t="n">
        <v>2159.82</v>
      </c>
      <c r="S8" s="1" t="n">
        <v>9839.18</v>
      </c>
      <c r="T8" s="1" t="n">
        <v>4348.29</v>
      </c>
      <c r="U8" s="1" t="n">
        <v>5490.89</v>
      </c>
      <c r="V8" s="1" t="n">
        <v>55.81</v>
      </c>
      <c r="W8" s="1" t="s">
        <v>40</v>
      </c>
      <c r="Y8" s="1" t="s">
        <v>40</v>
      </c>
      <c r="Z8" s="1" t="n">
        <v>1</v>
      </c>
      <c r="AA8" s="1" t="str">
        <f aca="false">TRIM(PROPER(F8))</f>
        <v>Vadodara</v>
      </c>
      <c r="AB8" s="1" t="str">
        <f aca="false">TRIM(PROPER(C8))</f>
        <v>Byju'S</v>
      </c>
      <c r="AC8" s="1" t="str">
        <f aca="false">IF(O8=0,"No Discount",IF(O8&lt;=15,"Low (1-15%)",IF(O8&lt;=30,"Medium (16-30%)","High (&gt;30%)")))</f>
        <v>No Discount</v>
      </c>
      <c r="AD8" s="1" t="str">
        <f aca="false">IF(V8&lt;0,"Loss Making",IF(V8&lt;20,"Low Margin","Healthy Margin"))</f>
        <v>Healthy Margin</v>
      </c>
      <c r="AE8" s="1" t="str">
        <f aca="false">TEXT(DATE(VALUE(RIGHT(B8,4)),VALUE(MID(B8,4,2)),VALUE(LEFT(B8,2))),"MMM-YYYY")</f>
        <v>Nov-2023</v>
      </c>
      <c r="AF8" s="1" t="n">
        <f aca="false">VALUE(RIGHT(B8,4))</f>
        <v>2023</v>
      </c>
      <c r="AG8" s="1" t="str">
        <f aca="false">CHOOSE(ROUNDUP(VALUE(MID(B8,4,2))/3,0),"Q1","Q2","Q3","Q4")</f>
        <v>Q4</v>
      </c>
    </row>
    <row r="9" customFormat="false" ht="15" hidden="false" customHeight="true" outlineLevel="0" collapsed="false">
      <c r="A9" s="1" t="s">
        <v>91</v>
      </c>
      <c r="B9" s="1" t="s">
        <v>92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97</v>
      </c>
      <c r="H9" s="1" t="s">
        <v>69</v>
      </c>
      <c r="I9" s="1" t="s">
        <v>83</v>
      </c>
      <c r="J9" s="1" t="s">
        <v>77</v>
      </c>
      <c r="K9" s="1" t="s">
        <v>60</v>
      </c>
      <c r="L9" s="1" t="s">
        <v>37</v>
      </c>
      <c r="M9" s="1" t="s">
        <v>62</v>
      </c>
      <c r="N9" s="1" t="n">
        <v>6999</v>
      </c>
      <c r="O9" s="1" t="n">
        <v>5</v>
      </c>
      <c r="P9" s="1" t="n">
        <v>349.95</v>
      </c>
      <c r="Q9" s="1" t="n">
        <v>6649.05</v>
      </c>
      <c r="R9" s="1" t="n">
        <v>1196.83</v>
      </c>
      <c r="S9" s="1" t="n">
        <v>5452.22</v>
      </c>
      <c r="T9" s="1" t="n">
        <v>2206.78</v>
      </c>
      <c r="U9" s="1" t="n">
        <v>3245.44</v>
      </c>
      <c r="V9" s="1" t="n">
        <v>59.53</v>
      </c>
      <c r="W9" s="1" t="s">
        <v>39</v>
      </c>
      <c r="X9" s="1" t="n">
        <v>2.9</v>
      </c>
      <c r="Y9" s="1" t="s">
        <v>40</v>
      </c>
      <c r="Z9" s="1" t="n">
        <v>2</v>
      </c>
      <c r="AA9" s="1" t="str">
        <f aca="false">TRIM(PROPER(F9))</f>
        <v>Pune</v>
      </c>
      <c r="AB9" s="1" t="str">
        <f aca="false">TRIM(PROPER(C9))</f>
        <v>Upgrad</v>
      </c>
      <c r="AC9" s="1" t="str">
        <f aca="false">IF(O9=0,"No Discount",IF(O9&lt;=15,"Low (1-15%)",IF(O9&lt;=30,"Medium (16-30%)","High (&gt;30%)")))</f>
        <v>Low (1-15%)</v>
      </c>
      <c r="AD9" s="1" t="str">
        <f aca="false">IF(V9&lt;0,"Loss Making",IF(V9&lt;20,"Low Margin","Healthy Margin"))</f>
        <v>Healthy Margin</v>
      </c>
      <c r="AE9" s="1" t="str">
        <f aca="false">TEXT(DATE(VALUE(RIGHT(B9,4)),VALUE(MID(B9,4,2)),VALUE(LEFT(B9,2))),"MMM-YYYY")</f>
        <v>Jan-2024</v>
      </c>
      <c r="AF9" s="1" t="n">
        <f aca="false">VALUE(RIGHT(B9,4))</f>
        <v>2024</v>
      </c>
      <c r="AG9" s="1" t="str">
        <f aca="false">CHOOSE(ROUNDUP(VALUE(MID(B9,4,2))/3,0),"Q1","Q2","Q3","Q4")</f>
        <v>Q1</v>
      </c>
    </row>
    <row r="10" customFormat="false" ht="15" hidden="false" customHeight="true" outlineLevel="0" collapsed="false">
      <c r="A10" s="1" t="s">
        <v>98</v>
      </c>
      <c r="B10" s="1" t="s">
        <v>99</v>
      </c>
      <c r="C10" s="1" t="s">
        <v>100</v>
      </c>
      <c r="D10" s="1" t="s">
        <v>94</v>
      </c>
      <c r="E10" s="1" t="s">
        <v>101</v>
      </c>
      <c r="F10" s="1" t="s">
        <v>102</v>
      </c>
      <c r="G10" s="1" t="s">
        <v>103</v>
      </c>
      <c r="H10" s="1" t="s">
        <v>33</v>
      </c>
      <c r="I10" s="1" t="s">
        <v>34</v>
      </c>
      <c r="J10" s="1" t="s">
        <v>77</v>
      </c>
      <c r="K10" s="1" t="s">
        <v>104</v>
      </c>
      <c r="L10" s="1" t="s">
        <v>85</v>
      </c>
      <c r="M10" s="1" t="s">
        <v>62</v>
      </c>
      <c r="N10" s="1" t="n">
        <v>14999</v>
      </c>
      <c r="O10" s="1" t="n">
        <v>25</v>
      </c>
      <c r="P10" s="1" t="n">
        <v>3749.75</v>
      </c>
      <c r="Q10" s="1" t="n">
        <v>11249.25</v>
      </c>
      <c r="R10" s="1" t="n">
        <v>2024.87</v>
      </c>
      <c r="S10" s="1" t="n">
        <v>9224.38</v>
      </c>
      <c r="T10" s="1" t="n">
        <v>4357.82</v>
      </c>
      <c r="U10" s="1" t="n">
        <v>4866.56</v>
      </c>
      <c r="V10" s="1" t="n">
        <v>52.76</v>
      </c>
      <c r="W10" s="1" t="s">
        <v>40</v>
      </c>
      <c r="Y10" s="1" t="s">
        <v>40</v>
      </c>
      <c r="Z10" s="1" t="n">
        <v>1</v>
      </c>
      <c r="AA10" s="1" t="str">
        <f aca="false">TRIM(PROPER(F10))</f>
        <v>Warangal</v>
      </c>
      <c r="AB10" s="1" t="str">
        <f aca="false">TRIM(PROPER(C10))</f>
        <v>Physics Wallah</v>
      </c>
      <c r="AC10" s="1" t="str">
        <f aca="false">IF(O10=0,"No Discount",IF(O10&lt;=15,"Low (1-15%)",IF(O10&lt;=30,"Medium (16-30%)","High (&gt;30%)")))</f>
        <v>Medium (16-30%)</v>
      </c>
      <c r="AD10" s="1" t="str">
        <f aca="false">IF(V10&lt;0,"Loss Making",IF(V10&lt;20,"Low Margin","Healthy Margin"))</f>
        <v>Healthy Margin</v>
      </c>
      <c r="AE10" s="1" t="str">
        <f aca="false">TEXT(DATE(VALUE(RIGHT(B10,4)),VALUE(MID(B10,4,2)),VALUE(LEFT(B10,2))),"MMM-YYYY")</f>
        <v>Jan-2023</v>
      </c>
      <c r="AF10" s="1" t="n">
        <f aca="false">VALUE(RIGHT(B10,4))</f>
        <v>2023</v>
      </c>
      <c r="AG10" s="1" t="str">
        <f aca="false">CHOOSE(ROUNDUP(VALUE(MID(B10,4,2))/3,0),"Q1","Q2","Q3","Q4")</f>
        <v>Q1</v>
      </c>
    </row>
    <row r="11" customFormat="false" ht="15" hidden="false" customHeight="true" outlineLevel="0" collapsed="false">
      <c r="A11" s="1" t="s">
        <v>105</v>
      </c>
      <c r="B11" s="1" t="s">
        <v>106</v>
      </c>
      <c r="C11" s="1" t="s">
        <v>74</v>
      </c>
      <c r="D11" s="1" t="s">
        <v>53</v>
      </c>
      <c r="E11" s="1" t="s">
        <v>54</v>
      </c>
      <c r="F11" s="1" t="s">
        <v>107</v>
      </c>
      <c r="G11" s="1" t="s">
        <v>108</v>
      </c>
      <c r="H11" s="1" t="s">
        <v>33</v>
      </c>
      <c r="I11" s="1" t="s">
        <v>58</v>
      </c>
      <c r="J11" s="1" t="s">
        <v>59</v>
      </c>
      <c r="K11" s="1" t="s">
        <v>48</v>
      </c>
      <c r="L11" s="1" t="s">
        <v>61</v>
      </c>
      <c r="M11" s="1" t="s">
        <v>38</v>
      </c>
      <c r="N11" s="1" t="n">
        <v>11999</v>
      </c>
      <c r="O11" s="1" t="n">
        <v>50</v>
      </c>
      <c r="P11" s="1" t="n">
        <v>5999.5</v>
      </c>
      <c r="Q11" s="1" t="n">
        <v>5999.5</v>
      </c>
      <c r="R11" s="1" t="n">
        <v>1079.91</v>
      </c>
      <c r="S11" s="1" t="n">
        <v>4919.59</v>
      </c>
      <c r="T11" s="1" t="n">
        <v>2534.61</v>
      </c>
      <c r="U11" s="1" t="n">
        <v>2384.98</v>
      </c>
      <c r="V11" s="1" t="n">
        <v>48.48</v>
      </c>
      <c r="W11" s="1" t="s">
        <v>40</v>
      </c>
      <c r="Y11" s="1" t="s">
        <v>40</v>
      </c>
      <c r="Z11" s="1" t="n">
        <v>0</v>
      </c>
      <c r="AA11" s="1" t="str">
        <f aca="false">TRIM(PROPER(F11))</f>
        <v>Madurai</v>
      </c>
      <c r="AB11" s="1" t="str">
        <f aca="false">TRIM(PROPER(C11))</f>
        <v>Vedantu</v>
      </c>
      <c r="AC11" s="1" t="str">
        <f aca="false">IF(O11=0,"No Discount",IF(O11&lt;=15,"Low (1-15%)",IF(O11&lt;=30,"Medium (16-30%)","High (&gt;30%)")))</f>
        <v>High (&gt;30%)</v>
      </c>
      <c r="AD11" s="1" t="str">
        <f aca="false">IF(V11&lt;0,"Loss Making",IF(V11&lt;20,"Low Margin","Healthy Margin"))</f>
        <v>Healthy Margin</v>
      </c>
      <c r="AE11" s="1" t="str">
        <f aca="false">TEXT(DATE(VALUE(RIGHT(B11,4)),VALUE(MID(B11,4,2)),VALUE(LEFT(B11,2))),"MMM-YYYY")</f>
        <v>Nov-2024</v>
      </c>
      <c r="AF11" s="1" t="n">
        <f aca="false">VALUE(RIGHT(B11,4))</f>
        <v>2024</v>
      </c>
      <c r="AG11" s="1" t="str">
        <f aca="false">CHOOSE(ROUNDUP(VALUE(MID(B11,4,2))/3,0),"Q1","Q2","Q3","Q4")</f>
        <v>Q4</v>
      </c>
    </row>
    <row r="12" customFormat="false" ht="15" hidden="false" customHeight="true" outlineLevel="0" collapsed="false">
      <c r="A12" s="1" t="s">
        <v>109</v>
      </c>
      <c r="B12" s="1" t="s">
        <v>110</v>
      </c>
      <c r="C12" s="1" t="s">
        <v>65</v>
      </c>
      <c r="D12" s="1" t="s">
        <v>44</v>
      </c>
      <c r="E12" s="1" t="s">
        <v>66</v>
      </c>
      <c r="F12" s="1" t="s">
        <v>111</v>
      </c>
      <c r="G12" s="1" t="s">
        <v>56</v>
      </c>
      <c r="H12" s="1" t="s">
        <v>69</v>
      </c>
      <c r="I12" s="1" t="s">
        <v>34</v>
      </c>
      <c r="J12" s="1" t="s">
        <v>59</v>
      </c>
      <c r="K12" s="1" t="s">
        <v>112</v>
      </c>
      <c r="L12" s="1" t="s">
        <v>113</v>
      </c>
      <c r="M12" s="1" t="s">
        <v>62</v>
      </c>
      <c r="N12" s="1" t="n">
        <v>12999</v>
      </c>
      <c r="O12" s="1" t="n">
        <v>40</v>
      </c>
      <c r="P12" s="1" t="n">
        <v>5199.6</v>
      </c>
      <c r="Q12" s="1" t="n">
        <v>7799.4</v>
      </c>
      <c r="R12" s="1" t="n">
        <v>1403.89</v>
      </c>
      <c r="S12" s="1" t="n">
        <v>6395.51</v>
      </c>
      <c r="T12" s="1" t="n">
        <v>2933.31</v>
      </c>
      <c r="U12" s="1" t="n">
        <v>3462.2</v>
      </c>
      <c r="V12" s="1" t="n">
        <v>54.13</v>
      </c>
      <c r="W12" s="1" t="s">
        <v>40</v>
      </c>
      <c r="Y12" s="1" t="s">
        <v>39</v>
      </c>
      <c r="Z12" s="1" t="n">
        <v>1</v>
      </c>
      <c r="AA12" s="1" t="str">
        <f aca="false">TRIM(PROPER(F12))</f>
        <v>Noida</v>
      </c>
      <c r="AB12" s="1" t="str">
        <f aca="false">TRIM(PROPER(C12))</f>
        <v>Toppr</v>
      </c>
      <c r="AC12" s="1" t="str">
        <f aca="false">IF(O12=0,"No Discount",IF(O12&lt;=15,"Low (1-15%)",IF(O12&lt;=30,"Medium (16-30%)","High (&gt;30%)")))</f>
        <v>High (&gt;30%)</v>
      </c>
      <c r="AD12" s="1" t="str">
        <f aca="false">IF(V12&lt;0,"Loss Making",IF(V12&lt;20,"Low Margin","Healthy Margin"))</f>
        <v>Healthy Margin</v>
      </c>
      <c r="AE12" s="1" t="str">
        <f aca="false">TEXT(DATE(VALUE(RIGHT(B12,4)),VALUE(MID(B12,4,2)),VALUE(LEFT(B12,2))),"MMM-YYYY")</f>
        <v>Nov-2023</v>
      </c>
      <c r="AF12" s="1" t="n">
        <f aca="false">VALUE(RIGHT(B12,4))</f>
        <v>2023</v>
      </c>
      <c r="AG12" s="1" t="str">
        <f aca="false">CHOOSE(ROUNDUP(VALUE(MID(B12,4,2))/3,0),"Q1","Q2","Q3","Q4")</f>
        <v>Q4</v>
      </c>
    </row>
    <row r="13" customFormat="false" ht="15" hidden="false" customHeight="true" outlineLevel="0" collapsed="false">
      <c r="A13" s="1" t="s">
        <v>114</v>
      </c>
      <c r="B13" s="1" t="s">
        <v>115</v>
      </c>
      <c r="C13" s="1" t="s">
        <v>28</v>
      </c>
      <c r="D13" s="1" t="s">
        <v>53</v>
      </c>
      <c r="E13" s="1" t="s">
        <v>116</v>
      </c>
      <c r="F13" s="1" t="s">
        <v>102</v>
      </c>
      <c r="G13" s="1" t="s">
        <v>103</v>
      </c>
      <c r="H13" s="1" t="s">
        <v>33</v>
      </c>
      <c r="I13" s="1" t="s">
        <v>34</v>
      </c>
      <c r="J13" s="1" t="s">
        <v>70</v>
      </c>
      <c r="K13" s="1" t="s">
        <v>71</v>
      </c>
      <c r="L13" s="1" t="s">
        <v>61</v>
      </c>
      <c r="M13" s="1" t="s">
        <v>62</v>
      </c>
      <c r="N13" s="1" t="n">
        <v>9999</v>
      </c>
      <c r="O13" s="1" t="n">
        <v>10</v>
      </c>
      <c r="P13" s="1" t="n">
        <v>999.9</v>
      </c>
      <c r="Q13" s="1" t="n">
        <v>8999.1</v>
      </c>
      <c r="R13" s="1" t="n">
        <v>1619.84</v>
      </c>
      <c r="S13" s="1" t="n">
        <v>7379.26</v>
      </c>
      <c r="T13" s="1" t="n">
        <v>3528.47</v>
      </c>
      <c r="U13" s="1" t="n">
        <v>3850.79</v>
      </c>
      <c r="V13" s="1" t="n">
        <v>52.18</v>
      </c>
      <c r="W13" s="1" t="s">
        <v>40</v>
      </c>
      <c r="Y13" s="1" t="s">
        <v>40</v>
      </c>
      <c r="Z13" s="1" t="n">
        <v>1</v>
      </c>
      <c r="AA13" s="1" t="str">
        <f aca="false">TRIM(PROPER(F13))</f>
        <v>Warangal</v>
      </c>
      <c r="AB13" s="1" t="str">
        <f aca="false">TRIM(PROPER(C13))</f>
        <v>Embibe</v>
      </c>
      <c r="AC13" s="1" t="str">
        <f aca="false">IF(O13=0,"No Discount",IF(O13&lt;=15,"Low (1-15%)",IF(O13&lt;=30,"Medium (16-30%)","High (&gt;30%)")))</f>
        <v>Low (1-15%)</v>
      </c>
      <c r="AD13" s="1" t="str">
        <f aca="false">IF(V13&lt;0,"Loss Making",IF(V13&lt;20,"Low Margin","Healthy Margin"))</f>
        <v>Healthy Margin</v>
      </c>
      <c r="AE13" s="1" t="str">
        <f aca="false">TEXT(DATE(VALUE(RIGHT(B13,4)),VALUE(MID(B13,4,2)),VALUE(LEFT(B13,2))),"MMM-YYYY")</f>
        <v>Feb-2024</v>
      </c>
      <c r="AF13" s="1" t="n">
        <f aca="false">VALUE(RIGHT(B13,4))</f>
        <v>2024</v>
      </c>
      <c r="AG13" s="1" t="str">
        <f aca="false">CHOOSE(ROUNDUP(VALUE(MID(B13,4,2))/3,0),"Q1","Q2","Q3","Q4")</f>
        <v>Q1</v>
      </c>
    </row>
    <row r="14" customFormat="false" ht="15" hidden="false" customHeight="true" outlineLevel="0" collapsed="false">
      <c r="A14" s="1" t="s">
        <v>117</v>
      </c>
      <c r="B14" s="1" t="s">
        <v>118</v>
      </c>
      <c r="C14" s="1" t="s">
        <v>119</v>
      </c>
      <c r="D14" s="1" t="s">
        <v>80</v>
      </c>
      <c r="E14" s="1" t="s">
        <v>81</v>
      </c>
      <c r="F14" s="1" t="s">
        <v>120</v>
      </c>
      <c r="G14" s="1" t="s">
        <v>47</v>
      </c>
      <c r="H14" s="1" t="s">
        <v>57</v>
      </c>
      <c r="I14" s="1" t="s">
        <v>83</v>
      </c>
      <c r="J14" s="1" t="s">
        <v>35</v>
      </c>
      <c r="K14" s="1" t="s">
        <v>84</v>
      </c>
      <c r="L14" s="1" t="s">
        <v>85</v>
      </c>
      <c r="M14" s="1" t="s">
        <v>38</v>
      </c>
      <c r="N14" s="1" t="n">
        <v>12999</v>
      </c>
      <c r="O14" s="1" t="n">
        <v>20</v>
      </c>
      <c r="P14" s="1" t="n">
        <v>2599.8</v>
      </c>
      <c r="Q14" s="1" t="n">
        <v>10399.2</v>
      </c>
      <c r="R14" s="1" t="n">
        <v>1871.86</v>
      </c>
      <c r="S14" s="1" t="n">
        <v>8527.34</v>
      </c>
      <c r="T14" s="1" t="n">
        <v>3512.35</v>
      </c>
      <c r="U14" s="1" t="n">
        <v>5014.99</v>
      </c>
      <c r="V14" s="1" t="n">
        <v>58.81</v>
      </c>
      <c r="W14" s="1" t="s">
        <v>40</v>
      </c>
      <c r="Y14" s="1" t="s">
        <v>40</v>
      </c>
      <c r="Z14" s="1" t="n">
        <v>1</v>
      </c>
      <c r="AA14" s="1" t="str">
        <f aca="false">TRIM(PROPER(F14))</f>
        <v>Mysuru</v>
      </c>
      <c r="AB14" s="1" t="str">
        <f aca="false">TRIM(PROPER(C14))</f>
        <v>Simplilearn</v>
      </c>
      <c r="AC14" s="1" t="str">
        <f aca="false">IF(O14=0,"No Discount",IF(O14&lt;=15,"Low (1-15%)",IF(O14&lt;=30,"Medium (16-30%)","High (&gt;30%)")))</f>
        <v>Medium (16-30%)</v>
      </c>
      <c r="AD14" s="1" t="str">
        <f aca="false">IF(V14&lt;0,"Loss Making",IF(V14&lt;20,"Low Margin","Healthy Margin"))</f>
        <v>Healthy Margin</v>
      </c>
      <c r="AE14" s="1" t="str">
        <f aca="false">TEXT(DATE(VALUE(RIGHT(B14,4)),VALUE(MID(B14,4,2)),VALUE(LEFT(B14,2))),"MMM-YYYY")</f>
        <v>Oct-2023</v>
      </c>
      <c r="AF14" s="1" t="n">
        <f aca="false">VALUE(RIGHT(B14,4))</f>
        <v>2023</v>
      </c>
      <c r="AG14" s="1" t="str">
        <f aca="false">CHOOSE(ROUNDUP(VALUE(MID(B14,4,2))/3,0),"Q1","Q2","Q3","Q4")</f>
        <v>Q4</v>
      </c>
    </row>
    <row r="15" customFormat="false" ht="15" hidden="false" customHeight="true" outlineLevel="0" collapsed="false">
      <c r="A15" s="1" t="s">
        <v>121</v>
      </c>
      <c r="B15" s="1" t="s">
        <v>122</v>
      </c>
      <c r="C15" s="1" t="s">
        <v>88</v>
      </c>
      <c r="D15" s="1" t="s">
        <v>123</v>
      </c>
      <c r="E15" s="1" t="s">
        <v>124</v>
      </c>
      <c r="F15" s="1" t="s">
        <v>125</v>
      </c>
      <c r="G15" s="1" t="s">
        <v>108</v>
      </c>
      <c r="H15" s="1" t="s">
        <v>69</v>
      </c>
      <c r="I15" s="1" t="s">
        <v>34</v>
      </c>
      <c r="J15" s="1" t="s">
        <v>70</v>
      </c>
      <c r="K15" s="1" t="s">
        <v>60</v>
      </c>
      <c r="L15" s="1" t="s">
        <v>61</v>
      </c>
      <c r="M15" s="1" t="s">
        <v>50</v>
      </c>
      <c r="N15" s="1" t="n">
        <v>4999</v>
      </c>
      <c r="O15" s="1" t="n">
        <v>15</v>
      </c>
      <c r="P15" s="1" t="n">
        <v>749.85</v>
      </c>
      <c r="Q15" s="1" t="n">
        <v>4249.15</v>
      </c>
      <c r="R15" s="1" t="n">
        <v>764.85</v>
      </c>
      <c r="S15" s="1" t="n">
        <v>3484.3</v>
      </c>
      <c r="T15" s="1" t="n">
        <v>1347.82</v>
      </c>
      <c r="U15" s="1" t="n">
        <v>2136.48</v>
      </c>
      <c r="V15" s="1" t="n">
        <v>61.32</v>
      </c>
      <c r="W15" s="1" t="s">
        <v>40</v>
      </c>
      <c r="Y15" s="1" t="s">
        <v>40</v>
      </c>
      <c r="Z15" s="1" t="n">
        <v>3</v>
      </c>
      <c r="AA15" s="1" t="str">
        <f aca="false">TRIM(PROPER(F15))</f>
        <v>Chennai</v>
      </c>
      <c r="AB15" s="1" t="str">
        <f aca="false">TRIM(PROPER(C15))</f>
        <v>Byju'S</v>
      </c>
      <c r="AC15" s="1" t="str">
        <f aca="false">IF(O15=0,"No Discount",IF(O15&lt;=15,"Low (1-15%)",IF(O15&lt;=30,"Medium (16-30%)","High (&gt;30%)")))</f>
        <v>Low (1-15%)</v>
      </c>
      <c r="AD15" s="1" t="str">
        <f aca="false">IF(V15&lt;0,"Loss Making",IF(V15&lt;20,"Low Margin","Healthy Margin"))</f>
        <v>Healthy Margin</v>
      </c>
      <c r="AE15" s="1" t="str">
        <f aca="false">TEXT(DATE(VALUE(RIGHT(B15,4)),VALUE(MID(B15,4,2)),VALUE(LEFT(B15,2))),"MMM-YYYY")</f>
        <v>Nov-2023</v>
      </c>
      <c r="AF15" s="1" t="n">
        <f aca="false">VALUE(RIGHT(B15,4))</f>
        <v>2023</v>
      </c>
      <c r="AG15" s="1" t="str">
        <f aca="false">CHOOSE(ROUNDUP(VALUE(MID(B15,4,2))/3,0),"Q1","Q2","Q3","Q4")</f>
        <v>Q4</v>
      </c>
    </row>
    <row r="16" customFormat="false" ht="15" hidden="false" customHeight="true" outlineLevel="0" collapsed="false">
      <c r="A16" s="1" t="s">
        <v>126</v>
      </c>
      <c r="B16" s="1" t="s">
        <v>127</v>
      </c>
      <c r="C16" s="1" t="s">
        <v>128</v>
      </c>
      <c r="D16" s="1" t="s">
        <v>29</v>
      </c>
      <c r="E16" s="1" t="s">
        <v>129</v>
      </c>
      <c r="F16" s="1" t="s">
        <v>130</v>
      </c>
      <c r="G16" s="1" t="s">
        <v>47</v>
      </c>
      <c r="H16" s="1" t="s">
        <v>69</v>
      </c>
      <c r="I16" s="1" t="s">
        <v>83</v>
      </c>
      <c r="J16" s="1" t="s">
        <v>131</v>
      </c>
      <c r="K16" s="1" t="s">
        <v>104</v>
      </c>
      <c r="L16" s="1" t="s">
        <v>113</v>
      </c>
      <c r="M16" s="1" t="s">
        <v>50</v>
      </c>
      <c r="N16" s="1" t="n">
        <v>29999</v>
      </c>
      <c r="O16" s="1" t="n">
        <v>40</v>
      </c>
      <c r="P16" s="1" t="n">
        <v>11999.6</v>
      </c>
      <c r="Q16" s="1" t="n">
        <v>17999.4</v>
      </c>
      <c r="R16" s="1" t="n">
        <v>3239.89</v>
      </c>
      <c r="S16" s="1" t="n">
        <v>14759.51</v>
      </c>
      <c r="T16" s="1" t="n">
        <v>6414.9</v>
      </c>
      <c r="U16" s="1" t="n">
        <v>8344.61</v>
      </c>
      <c r="V16" s="1" t="n">
        <v>56.54</v>
      </c>
      <c r="W16" s="1" t="s">
        <v>39</v>
      </c>
      <c r="X16" s="1" t="n">
        <v>4.2</v>
      </c>
      <c r="Y16" s="1" t="s">
        <v>40</v>
      </c>
      <c r="Z16" s="1" t="n">
        <v>0</v>
      </c>
      <c r="AA16" s="1" t="str">
        <f aca="false">TRIM(PROPER(F16))</f>
        <v>Bengaluru</v>
      </c>
      <c r="AB16" s="1" t="str">
        <f aca="false">TRIM(PROPER(C16))</f>
        <v>Great Learning</v>
      </c>
      <c r="AC16" s="1" t="str">
        <f aca="false">IF(O16=0,"No Discount",IF(O16&lt;=15,"Low (1-15%)",IF(O16&lt;=30,"Medium (16-30%)","High (&gt;30%)")))</f>
        <v>High (&gt;30%)</v>
      </c>
      <c r="AD16" s="1" t="str">
        <f aca="false">IF(V16&lt;0,"Loss Making",IF(V16&lt;20,"Low Margin","Healthy Margin"))</f>
        <v>Healthy Margin</v>
      </c>
      <c r="AE16" s="1" t="str">
        <f aca="false">TEXT(DATE(VALUE(RIGHT(B16,4)),VALUE(MID(B16,4,2)),VALUE(LEFT(B16,2))),"MMM-YYYY")</f>
        <v>Dec-2024</v>
      </c>
      <c r="AF16" s="1" t="n">
        <f aca="false">VALUE(RIGHT(B16,4))</f>
        <v>2024</v>
      </c>
      <c r="AG16" s="1" t="str">
        <f aca="false">CHOOSE(ROUNDUP(VALUE(MID(B16,4,2))/3,0),"Q1","Q2","Q3","Q4")</f>
        <v>Q4</v>
      </c>
    </row>
    <row r="17" customFormat="false" ht="15" hidden="false" customHeight="true" outlineLevel="0" collapsed="false">
      <c r="A17" s="1" t="s">
        <v>132</v>
      </c>
      <c r="B17" s="1" t="s">
        <v>133</v>
      </c>
      <c r="C17" s="1" t="s">
        <v>134</v>
      </c>
      <c r="D17" s="1" t="s">
        <v>94</v>
      </c>
      <c r="E17" s="1" t="s">
        <v>135</v>
      </c>
      <c r="F17" s="1" t="s">
        <v>89</v>
      </c>
      <c r="G17" s="1" t="s">
        <v>68</v>
      </c>
      <c r="H17" s="1" t="s">
        <v>33</v>
      </c>
      <c r="I17" s="1" t="s">
        <v>34</v>
      </c>
      <c r="J17" s="1" t="s">
        <v>59</v>
      </c>
      <c r="K17" s="1" t="s">
        <v>104</v>
      </c>
      <c r="L17" s="1" t="s">
        <v>136</v>
      </c>
      <c r="M17" s="1" t="s">
        <v>62</v>
      </c>
      <c r="N17" s="1" t="n">
        <v>9999</v>
      </c>
      <c r="O17" s="1" t="n">
        <v>25</v>
      </c>
      <c r="P17" s="1" t="n">
        <v>2499.75</v>
      </c>
      <c r="Q17" s="1" t="n">
        <v>7499.25</v>
      </c>
      <c r="R17" s="1" t="n">
        <v>1349.87</v>
      </c>
      <c r="S17" s="1" t="n">
        <v>6149.38</v>
      </c>
      <c r="T17" s="1" t="n">
        <v>2274.96</v>
      </c>
      <c r="U17" s="1" t="n">
        <v>3874.42</v>
      </c>
      <c r="V17" s="1" t="n">
        <v>63.01</v>
      </c>
      <c r="W17" s="1" t="s">
        <v>40</v>
      </c>
      <c r="Y17" s="1" t="s">
        <v>40</v>
      </c>
      <c r="Z17" s="1" t="n">
        <v>3</v>
      </c>
      <c r="AA17" s="1" t="str">
        <f aca="false">TRIM(PROPER(F17))</f>
        <v>Vadodara</v>
      </c>
      <c r="AB17" s="1" t="str">
        <f aca="false">TRIM(PROPER(C17))</f>
        <v>Doubtnut</v>
      </c>
      <c r="AC17" s="1" t="str">
        <f aca="false">IF(O17=0,"No Discount",IF(O17&lt;=15,"Low (1-15%)",IF(O17&lt;=30,"Medium (16-30%)","High (&gt;30%)")))</f>
        <v>Medium (16-30%)</v>
      </c>
      <c r="AD17" s="1" t="str">
        <f aca="false">IF(V17&lt;0,"Loss Making",IF(V17&lt;20,"Low Margin","Healthy Margin"))</f>
        <v>Healthy Margin</v>
      </c>
      <c r="AE17" s="1" t="str">
        <f aca="false">TEXT(DATE(VALUE(RIGHT(B17,4)),VALUE(MID(B17,4,2)),VALUE(LEFT(B17,2))),"MMM-YYYY")</f>
        <v>Nov-2024</v>
      </c>
      <c r="AF17" s="1" t="n">
        <f aca="false">VALUE(RIGHT(B17,4))</f>
        <v>2024</v>
      </c>
      <c r="AG17" s="1" t="str">
        <f aca="false">CHOOSE(ROUNDUP(VALUE(MID(B17,4,2))/3,0),"Q1","Q2","Q3","Q4")</f>
        <v>Q4</v>
      </c>
    </row>
    <row r="18" customFormat="false" ht="15" hidden="false" customHeight="true" outlineLevel="0" collapsed="false">
      <c r="A18" s="1" t="s">
        <v>137</v>
      </c>
      <c r="B18" s="1" t="s">
        <v>138</v>
      </c>
      <c r="C18" s="1" t="s">
        <v>139</v>
      </c>
      <c r="D18" s="1" t="s">
        <v>44</v>
      </c>
      <c r="E18" s="1" t="s">
        <v>66</v>
      </c>
      <c r="F18" s="1" t="s">
        <v>140</v>
      </c>
      <c r="G18" s="1" t="s">
        <v>97</v>
      </c>
      <c r="H18" s="1" t="s">
        <v>57</v>
      </c>
      <c r="I18" s="1" t="s">
        <v>83</v>
      </c>
      <c r="J18" s="1" t="s">
        <v>77</v>
      </c>
      <c r="K18" s="1" t="s">
        <v>112</v>
      </c>
      <c r="L18" s="1" t="s">
        <v>49</v>
      </c>
      <c r="M18" s="1" t="s">
        <v>38</v>
      </c>
      <c r="N18" s="1" t="n">
        <v>12999</v>
      </c>
      <c r="O18" s="1" t="n">
        <v>40</v>
      </c>
      <c r="P18" s="1" t="n">
        <v>5199.6</v>
      </c>
      <c r="Q18" s="1" t="n">
        <v>7799.4</v>
      </c>
      <c r="R18" s="1" t="n">
        <v>1403.89</v>
      </c>
      <c r="S18" s="1" t="n">
        <v>6395.51</v>
      </c>
      <c r="T18" s="1" t="n">
        <v>3570.77</v>
      </c>
      <c r="U18" s="1" t="n">
        <v>2824.74</v>
      </c>
      <c r="V18" s="1" t="n">
        <v>44.17</v>
      </c>
      <c r="W18" s="1" t="s">
        <v>40</v>
      </c>
      <c r="Y18" s="1" t="s">
        <v>40</v>
      </c>
      <c r="Z18" s="1" t="n">
        <v>0</v>
      </c>
      <c r="AA18" s="1" t="str">
        <f aca="false">TRIM(PROPER(F18))</f>
        <v>Nashik</v>
      </c>
      <c r="AB18" s="1" t="str">
        <f aca="false">TRIM(PROPER(C18))</f>
        <v>Extramarks</v>
      </c>
      <c r="AC18" s="1" t="str">
        <f aca="false">IF(O18=0,"No Discount",IF(O18&lt;=15,"Low (1-15%)",IF(O18&lt;=30,"Medium (16-30%)","High (&gt;30%)")))</f>
        <v>High (&gt;30%)</v>
      </c>
      <c r="AD18" s="1" t="str">
        <f aca="false">IF(V18&lt;0,"Loss Making",IF(V18&lt;20,"Low Margin","Healthy Margin"))</f>
        <v>Healthy Margin</v>
      </c>
      <c r="AE18" s="1" t="str">
        <f aca="false">TEXT(DATE(VALUE(RIGHT(B18,4)),VALUE(MID(B18,4,2)),VALUE(LEFT(B18,2))),"MMM-YYYY")</f>
        <v>Nov-2023</v>
      </c>
      <c r="AF18" s="1" t="n">
        <f aca="false">VALUE(RIGHT(B18,4))</f>
        <v>2023</v>
      </c>
      <c r="AG18" s="1" t="str">
        <f aca="false">CHOOSE(ROUNDUP(VALUE(MID(B18,4,2))/3,0),"Q1","Q2","Q3","Q4")</f>
        <v>Q4</v>
      </c>
    </row>
    <row r="19" customFormat="false" ht="15" hidden="false" customHeight="true" outlineLevel="0" collapsed="false">
      <c r="A19" s="1" t="s">
        <v>141</v>
      </c>
      <c r="B19" s="1" t="s">
        <v>142</v>
      </c>
      <c r="C19" s="1" t="s">
        <v>119</v>
      </c>
      <c r="D19" s="1" t="s">
        <v>143</v>
      </c>
      <c r="E19" s="1" t="s">
        <v>144</v>
      </c>
      <c r="F19" s="1" t="s">
        <v>89</v>
      </c>
      <c r="G19" s="1" t="s">
        <v>68</v>
      </c>
      <c r="H19" s="1" t="s">
        <v>33</v>
      </c>
      <c r="I19" s="1" t="s">
        <v>34</v>
      </c>
      <c r="J19" s="1" t="s">
        <v>59</v>
      </c>
      <c r="K19" s="1" t="s">
        <v>112</v>
      </c>
      <c r="L19" s="1" t="s">
        <v>85</v>
      </c>
      <c r="M19" s="1" t="s">
        <v>62</v>
      </c>
      <c r="N19" s="1" t="n">
        <v>12999</v>
      </c>
      <c r="O19" s="1" t="n">
        <v>25</v>
      </c>
      <c r="P19" s="1" t="n">
        <v>3249.75</v>
      </c>
      <c r="Q19" s="1" t="n">
        <v>9749.25</v>
      </c>
      <c r="R19" s="1" t="n">
        <v>1754.87</v>
      </c>
      <c r="S19" s="1" t="n">
        <v>7994.38</v>
      </c>
      <c r="T19" s="1" t="n">
        <v>3501.87</v>
      </c>
      <c r="U19" s="1" t="n">
        <v>4492.51</v>
      </c>
      <c r="V19" s="1" t="n">
        <v>56.2</v>
      </c>
      <c r="W19" s="1" t="s">
        <v>39</v>
      </c>
      <c r="Y19" s="1" t="s">
        <v>40</v>
      </c>
      <c r="Z19" s="1" t="n">
        <v>0</v>
      </c>
      <c r="AA19" s="1" t="str">
        <f aca="false">TRIM(PROPER(F19))</f>
        <v>Vadodara</v>
      </c>
      <c r="AB19" s="1" t="str">
        <f aca="false">TRIM(PROPER(C19))</f>
        <v>Simplilearn</v>
      </c>
      <c r="AC19" s="1" t="str">
        <f aca="false">IF(O19=0,"No Discount",IF(O19&lt;=15,"Low (1-15%)",IF(O19&lt;=30,"Medium (16-30%)","High (&gt;30%)")))</f>
        <v>Medium (16-30%)</v>
      </c>
      <c r="AD19" s="1" t="str">
        <f aca="false">IF(V19&lt;0,"Loss Making",IF(V19&lt;20,"Low Margin","Healthy Margin"))</f>
        <v>Healthy Margin</v>
      </c>
      <c r="AE19" s="1" t="str">
        <f aca="false">TEXT(DATE(VALUE(RIGHT(B19,4)),VALUE(MID(B19,4,2)),VALUE(LEFT(B19,2))),"MMM-YYYY")</f>
        <v>Nov-2023</v>
      </c>
      <c r="AF19" s="1" t="n">
        <f aca="false">VALUE(RIGHT(B19,4))</f>
        <v>2023</v>
      </c>
      <c r="AG19" s="1" t="str">
        <f aca="false">CHOOSE(ROUNDUP(VALUE(MID(B19,4,2))/3,0),"Q1","Q2","Q3","Q4")</f>
        <v>Q4</v>
      </c>
    </row>
    <row r="20" customFormat="false" ht="15" hidden="false" customHeight="true" outlineLevel="0" collapsed="false">
      <c r="A20" s="1" t="s">
        <v>145</v>
      </c>
      <c r="B20" s="1" t="s">
        <v>146</v>
      </c>
      <c r="C20" s="1" t="s">
        <v>88</v>
      </c>
      <c r="D20" s="1" t="s">
        <v>123</v>
      </c>
      <c r="E20" s="1" t="s">
        <v>147</v>
      </c>
      <c r="F20" s="1" t="s">
        <v>140</v>
      </c>
      <c r="G20" s="1" t="s">
        <v>97</v>
      </c>
      <c r="H20" s="1" t="s">
        <v>57</v>
      </c>
      <c r="I20" s="1" t="s">
        <v>34</v>
      </c>
      <c r="J20" s="1" t="s">
        <v>59</v>
      </c>
      <c r="K20" s="1" t="s">
        <v>104</v>
      </c>
      <c r="L20" s="1" t="s">
        <v>113</v>
      </c>
      <c r="M20" s="1" t="s">
        <v>62</v>
      </c>
      <c r="N20" s="1" t="n">
        <v>6999</v>
      </c>
      <c r="O20" s="1" t="n">
        <v>40</v>
      </c>
      <c r="P20" s="1" t="n">
        <v>2799.6</v>
      </c>
      <c r="Q20" s="1" t="n">
        <v>4199.4</v>
      </c>
      <c r="R20" s="1" t="n">
        <v>755.89</v>
      </c>
      <c r="S20" s="1" t="n">
        <v>3443.51</v>
      </c>
      <c r="T20" s="1" t="n">
        <v>1857.34</v>
      </c>
      <c r="U20" s="1" t="n">
        <v>1586.17</v>
      </c>
      <c r="V20" s="1" t="n">
        <v>46.06</v>
      </c>
      <c r="W20" s="1" t="s">
        <v>39</v>
      </c>
      <c r="X20" s="1" t="n">
        <v>4</v>
      </c>
      <c r="Y20" s="1" t="s">
        <v>40</v>
      </c>
      <c r="Z20" s="1" t="n">
        <v>0</v>
      </c>
      <c r="AA20" s="1" t="str">
        <f aca="false">TRIM(PROPER(F20))</f>
        <v>Nashik</v>
      </c>
      <c r="AB20" s="1" t="str">
        <f aca="false">TRIM(PROPER(C20))</f>
        <v>Byju'S</v>
      </c>
      <c r="AC20" s="1" t="str">
        <f aca="false">IF(O20=0,"No Discount",IF(O20&lt;=15,"Low (1-15%)",IF(O20&lt;=30,"Medium (16-30%)","High (&gt;30%)")))</f>
        <v>High (&gt;30%)</v>
      </c>
      <c r="AD20" s="1" t="str">
        <f aca="false">IF(V20&lt;0,"Loss Making",IF(V20&lt;20,"Low Margin","Healthy Margin"))</f>
        <v>Healthy Margin</v>
      </c>
      <c r="AE20" s="1" t="str">
        <f aca="false">TEXT(DATE(VALUE(RIGHT(B20,4)),VALUE(MID(B20,4,2)),VALUE(LEFT(B20,2))),"MMM-YYYY")</f>
        <v>Jun-2024</v>
      </c>
      <c r="AF20" s="1" t="n">
        <f aca="false">VALUE(RIGHT(B20,4))</f>
        <v>2024</v>
      </c>
      <c r="AG20" s="1" t="str">
        <f aca="false">CHOOSE(ROUNDUP(VALUE(MID(B20,4,2))/3,0),"Q1","Q2","Q3","Q4")</f>
        <v>Q2</v>
      </c>
    </row>
    <row r="21" customFormat="false" ht="15" hidden="false" customHeight="true" outlineLevel="0" collapsed="false">
      <c r="A21" s="1" t="s">
        <v>148</v>
      </c>
      <c r="B21" s="1" t="s">
        <v>149</v>
      </c>
      <c r="C21" s="1" t="s">
        <v>88</v>
      </c>
      <c r="D21" s="1" t="s">
        <v>29</v>
      </c>
      <c r="E21" s="1" t="s">
        <v>30</v>
      </c>
      <c r="F21" s="1" t="s">
        <v>150</v>
      </c>
      <c r="G21" s="1" t="s">
        <v>32</v>
      </c>
      <c r="H21" s="1" t="s">
        <v>57</v>
      </c>
      <c r="I21" s="1" t="s">
        <v>34</v>
      </c>
      <c r="J21" s="1" t="s">
        <v>59</v>
      </c>
      <c r="K21" s="1" t="s">
        <v>48</v>
      </c>
      <c r="L21" s="1" t="s">
        <v>37</v>
      </c>
      <c r="M21" s="1" t="s">
        <v>62</v>
      </c>
      <c r="N21" s="1" t="n">
        <v>7999</v>
      </c>
      <c r="O21" s="1" t="n">
        <v>0</v>
      </c>
      <c r="P21" s="1" t="n">
        <v>0</v>
      </c>
      <c r="Q21" s="1" t="n">
        <v>7999</v>
      </c>
      <c r="R21" s="1" t="n">
        <v>1439.82</v>
      </c>
      <c r="S21" s="1" t="n">
        <v>6559.18</v>
      </c>
      <c r="T21" s="1" t="n">
        <v>2831.55</v>
      </c>
      <c r="U21" s="1" t="n">
        <v>3727.63</v>
      </c>
      <c r="V21" s="1" t="n">
        <v>56.83</v>
      </c>
      <c r="W21" s="1" t="s">
        <v>39</v>
      </c>
      <c r="X21" s="1" t="n">
        <v>4.3</v>
      </c>
      <c r="Y21" s="1" t="s">
        <v>40</v>
      </c>
      <c r="Z21" s="1" t="n">
        <v>0</v>
      </c>
      <c r="AA21" s="1" t="str">
        <f aca="false">TRIM(PROPER(F21))</f>
        <v>Jaipur</v>
      </c>
      <c r="AB21" s="1" t="str">
        <f aca="false">TRIM(PROPER(C21))</f>
        <v>Byju'S</v>
      </c>
      <c r="AC21" s="1" t="str">
        <f aca="false">IF(O21=0,"No Discount",IF(O21&lt;=15,"Low (1-15%)",IF(O21&lt;=30,"Medium (16-30%)","High (&gt;30%)")))</f>
        <v>No Discount</v>
      </c>
      <c r="AD21" s="1" t="str">
        <f aca="false">IF(V21&lt;0,"Loss Making",IF(V21&lt;20,"Low Margin","Healthy Margin"))</f>
        <v>Healthy Margin</v>
      </c>
      <c r="AE21" s="1" t="str">
        <f aca="false">TEXT(DATE(VALUE(RIGHT(B21,4)),VALUE(MID(B21,4,2)),VALUE(LEFT(B21,2))),"MMM-YYYY")</f>
        <v>May-2023</v>
      </c>
      <c r="AF21" s="1" t="n">
        <f aca="false">VALUE(RIGHT(B21,4))</f>
        <v>2023</v>
      </c>
      <c r="AG21" s="1" t="str">
        <f aca="false">CHOOSE(ROUNDUP(VALUE(MID(B21,4,2))/3,0),"Q1","Q2","Q3","Q4")</f>
        <v>Q2</v>
      </c>
    </row>
    <row r="22" customFormat="false" ht="15" hidden="false" customHeight="true" outlineLevel="0" collapsed="false">
      <c r="A22" s="1" t="s">
        <v>151</v>
      </c>
      <c r="B22" s="1" t="s">
        <v>152</v>
      </c>
      <c r="C22" s="1" t="s">
        <v>88</v>
      </c>
      <c r="D22" s="1" t="s">
        <v>29</v>
      </c>
      <c r="E22" s="1" t="s">
        <v>129</v>
      </c>
      <c r="F22" s="1" t="s">
        <v>153</v>
      </c>
      <c r="G22" s="1" t="s">
        <v>76</v>
      </c>
      <c r="H22" s="1" t="s">
        <v>33</v>
      </c>
      <c r="I22" s="1" t="s">
        <v>83</v>
      </c>
      <c r="J22" s="1" t="s">
        <v>35</v>
      </c>
      <c r="K22" s="1" t="s">
        <v>36</v>
      </c>
      <c r="L22" s="1" t="s">
        <v>49</v>
      </c>
      <c r="M22" s="1" t="s">
        <v>62</v>
      </c>
      <c r="N22" s="1" t="n">
        <v>29999</v>
      </c>
      <c r="O22" s="1" t="n">
        <v>40</v>
      </c>
      <c r="P22" s="1" t="n">
        <v>11999.6</v>
      </c>
      <c r="Q22" s="1" t="n">
        <v>17999.4</v>
      </c>
      <c r="R22" s="1" t="n">
        <v>3239.89</v>
      </c>
      <c r="S22" s="1" t="n">
        <v>14759.51</v>
      </c>
      <c r="T22" s="1" t="n">
        <v>7295.56</v>
      </c>
      <c r="U22" s="1" t="n">
        <v>7463.95</v>
      </c>
      <c r="V22" s="1" t="n">
        <v>50.57</v>
      </c>
      <c r="W22" s="1" t="s">
        <v>39</v>
      </c>
      <c r="Y22" s="1" t="s">
        <v>40</v>
      </c>
      <c r="Z22" s="1" t="n">
        <v>0</v>
      </c>
      <c r="AA22" s="1" t="str">
        <f aca="false">TRIM(PROPER(F22))</f>
        <v>Howrah</v>
      </c>
      <c r="AB22" s="1" t="str">
        <f aca="false">TRIM(PROPER(C22))</f>
        <v>Byju'S</v>
      </c>
      <c r="AC22" s="1" t="str">
        <f aca="false">IF(O22=0,"No Discount",IF(O22&lt;=15,"Low (1-15%)",IF(O22&lt;=30,"Medium (16-30%)","High (&gt;30%)")))</f>
        <v>High (&gt;30%)</v>
      </c>
      <c r="AD22" s="1" t="str">
        <f aca="false">IF(V22&lt;0,"Loss Making",IF(V22&lt;20,"Low Margin","Healthy Margin"))</f>
        <v>Healthy Margin</v>
      </c>
      <c r="AE22" s="1" t="str">
        <f aca="false">TEXT(DATE(VALUE(RIGHT(B22,4)),VALUE(MID(B22,4,2)),VALUE(LEFT(B22,2))),"MMM-YYYY")</f>
        <v>Jul-2024</v>
      </c>
      <c r="AF22" s="1" t="n">
        <f aca="false">VALUE(RIGHT(B22,4))</f>
        <v>2024</v>
      </c>
      <c r="AG22" s="1" t="str">
        <f aca="false">CHOOSE(ROUNDUP(VALUE(MID(B22,4,2))/3,0),"Q1","Q2","Q3","Q4")</f>
        <v>Q3</v>
      </c>
    </row>
    <row r="23" customFormat="false" ht="15" hidden="false" customHeight="true" outlineLevel="0" collapsed="false">
      <c r="A23" s="1" t="s">
        <v>154</v>
      </c>
      <c r="B23" s="1" t="s">
        <v>155</v>
      </c>
      <c r="C23" s="1" t="s">
        <v>134</v>
      </c>
      <c r="D23" s="1" t="s">
        <v>44</v>
      </c>
      <c r="E23" s="1" t="s">
        <v>45</v>
      </c>
      <c r="F23" s="1" t="s">
        <v>156</v>
      </c>
      <c r="G23" s="1" t="s">
        <v>68</v>
      </c>
      <c r="H23" s="1" t="s">
        <v>57</v>
      </c>
      <c r="I23" s="1" t="s">
        <v>83</v>
      </c>
      <c r="J23" s="1" t="s">
        <v>131</v>
      </c>
      <c r="K23" s="1" t="s">
        <v>60</v>
      </c>
      <c r="L23" s="1" t="s">
        <v>113</v>
      </c>
      <c r="M23" s="1" t="s">
        <v>50</v>
      </c>
      <c r="N23" s="1" t="n">
        <v>11999</v>
      </c>
      <c r="O23" s="1" t="n">
        <v>0</v>
      </c>
      <c r="P23" s="1" t="n">
        <v>0</v>
      </c>
      <c r="Q23" s="1" t="n">
        <v>11999</v>
      </c>
      <c r="R23" s="1" t="n">
        <v>2159.82</v>
      </c>
      <c r="S23" s="1" t="n">
        <v>9839.18</v>
      </c>
      <c r="T23" s="1" t="n">
        <v>4634.06</v>
      </c>
      <c r="U23" s="1" t="n">
        <v>5205.12</v>
      </c>
      <c r="V23" s="1" t="n">
        <v>52.9</v>
      </c>
      <c r="W23" s="1" t="s">
        <v>39</v>
      </c>
      <c r="X23" s="1" t="n">
        <v>3.1</v>
      </c>
      <c r="Y23" s="1" t="s">
        <v>40</v>
      </c>
      <c r="Z23" s="1" t="n">
        <v>2</v>
      </c>
      <c r="AA23" s="1" t="str">
        <f aca="false">TRIM(PROPER(F23))</f>
        <v>Surat</v>
      </c>
      <c r="AB23" s="1" t="str">
        <f aca="false">TRIM(PROPER(C23))</f>
        <v>Doubtnut</v>
      </c>
      <c r="AC23" s="1" t="str">
        <f aca="false">IF(O23=0,"No Discount",IF(O23&lt;=15,"Low (1-15%)",IF(O23&lt;=30,"Medium (16-30%)","High (&gt;30%)")))</f>
        <v>No Discount</v>
      </c>
      <c r="AD23" s="1" t="str">
        <f aca="false">IF(V23&lt;0,"Loss Making",IF(V23&lt;20,"Low Margin","Healthy Margin"))</f>
        <v>Healthy Margin</v>
      </c>
      <c r="AE23" s="1" t="str">
        <f aca="false">TEXT(DATE(VALUE(RIGHT(B23,4)),VALUE(MID(B23,4,2)),VALUE(LEFT(B23,2))),"MMM-YYYY")</f>
        <v>Oct-2023</v>
      </c>
      <c r="AF23" s="1" t="n">
        <f aca="false">VALUE(RIGHT(B23,4))</f>
        <v>2023</v>
      </c>
      <c r="AG23" s="1" t="str">
        <f aca="false">CHOOSE(ROUNDUP(VALUE(MID(B23,4,2))/3,0),"Q1","Q2","Q3","Q4")</f>
        <v>Q4</v>
      </c>
    </row>
    <row r="24" customFormat="false" ht="15" hidden="false" customHeight="true" outlineLevel="0" collapsed="false">
      <c r="A24" s="1" t="s">
        <v>157</v>
      </c>
      <c r="B24" s="1" t="s">
        <v>158</v>
      </c>
      <c r="C24" s="1" t="s">
        <v>128</v>
      </c>
      <c r="D24" s="1" t="s">
        <v>143</v>
      </c>
      <c r="E24" s="1" t="s">
        <v>159</v>
      </c>
      <c r="F24" s="1" t="s">
        <v>153</v>
      </c>
      <c r="G24" s="1" t="s">
        <v>76</v>
      </c>
      <c r="H24" s="1" t="s">
        <v>33</v>
      </c>
      <c r="I24" s="1" t="s">
        <v>83</v>
      </c>
      <c r="J24" s="1" t="s">
        <v>59</v>
      </c>
      <c r="K24" s="1" t="s">
        <v>112</v>
      </c>
      <c r="L24" s="1" t="s">
        <v>49</v>
      </c>
      <c r="M24" s="1" t="s">
        <v>38</v>
      </c>
      <c r="N24" s="1" t="n">
        <v>24999</v>
      </c>
      <c r="O24" s="1" t="n">
        <v>20</v>
      </c>
      <c r="P24" s="1" t="n">
        <v>4999.8</v>
      </c>
      <c r="Q24" s="1" t="n">
        <v>19999.2</v>
      </c>
      <c r="R24" s="1" t="n">
        <v>3599.86</v>
      </c>
      <c r="S24" s="1" t="n">
        <v>16399.34</v>
      </c>
      <c r="T24" s="1" t="n">
        <v>6763.99</v>
      </c>
      <c r="U24" s="1" t="n">
        <v>9635.35</v>
      </c>
      <c r="V24" s="1" t="n">
        <v>58.75</v>
      </c>
      <c r="W24" s="1" t="s">
        <v>39</v>
      </c>
      <c r="X24" s="1" t="n">
        <v>3.7</v>
      </c>
      <c r="Y24" s="1" t="s">
        <v>40</v>
      </c>
      <c r="Z24" s="1" t="n">
        <v>0</v>
      </c>
      <c r="AA24" s="1" t="str">
        <f aca="false">TRIM(PROPER(F24))</f>
        <v>Howrah</v>
      </c>
      <c r="AB24" s="1" t="str">
        <f aca="false">TRIM(PROPER(C24))</f>
        <v>Great Learning</v>
      </c>
      <c r="AC24" s="1" t="str">
        <f aca="false">IF(O24=0,"No Discount",IF(O24&lt;=15,"Low (1-15%)",IF(O24&lt;=30,"Medium (16-30%)","High (&gt;30%)")))</f>
        <v>Medium (16-30%)</v>
      </c>
      <c r="AD24" s="1" t="str">
        <f aca="false">IF(V24&lt;0,"Loss Making",IF(V24&lt;20,"Low Margin","Healthy Margin"))</f>
        <v>Healthy Margin</v>
      </c>
      <c r="AE24" s="1" t="str">
        <f aca="false">TEXT(DATE(VALUE(RIGHT(B24,4)),VALUE(MID(B24,4,2)),VALUE(LEFT(B24,2))),"MMM-YYYY")</f>
        <v>Jan-2024</v>
      </c>
      <c r="AF24" s="1" t="n">
        <f aca="false">VALUE(RIGHT(B24,4))</f>
        <v>2024</v>
      </c>
      <c r="AG24" s="1" t="str">
        <f aca="false">CHOOSE(ROUNDUP(VALUE(MID(B24,4,2))/3,0),"Q1","Q2","Q3","Q4")</f>
        <v>Q1</v>
      </c>
    </row>
    <row r="25" customFormat="false" ht="15" hidden="false" customHeight="true" outlineLevel="0" collapsed="false">
      <c r="A25" s="1" t="s">
        <v>160</v>
      </c>
      <c r="B25" s="1" t="s">
        <v>161</v>
      </c>
      <c r="C25" s="1" t="s">
        <v>134</v>
      </c>
      <c r="D25" s="1" t="s">
        <v>143</v>
      </c>
      <c r="E25" s="1" t="s">
        <v>162</v>
      </c>
      <c r="F25" s="1" t="s">
        <v>125</v>
      </c>
      <c r="G25" s="1" t="s">
        <v>108</v>
      </c>
      <c r="H25" s="1" t="s">
        <v>69</v>
      </c>
      <c r="I25" s="1" t="s">
        <v>58</v>
      </c>
      <c r="J25" s="1" t="s">
        <v>77</v>
      </c>
      <c r="K25" s="1" t="s">
        <v>36</v>
      </c>
      <c r="L25" s="1" t="s">
        <v>61</v>
      </c>
      <c r="M25" s="1" t="s">
        <v>38</v>
      </c>
      <c r="N25" s="1" t="n">
        <v>14999</v>
      </c>
      <c r="O25" s="1" t="n">
        <v>0</v>
      </c>
      <c r="P25" s="1" t="n">
        <v>0</v>
      </c>
      <c r="Q25" s="1" t="n">
        <v>14999</v>
      </c>
      <c r="R25" s="1" t="n">
        <v>2699.82</v>
      </c>
      <c r="S25" s="1" t="n">
        <v>12299.18</v>
      </c>
      <c r="T25" s="1" t="n">
        <v>4245.97</v>
      </c>
      <c r="U25" s="1" t="n">
        <v>8053.21</v>
      </c>
      <c r="V25" s="1" t="n">
        <v>65.48</v>
      </c>
      <c r="W25" s="1" t="s">
        <v>39</v>
      </c>
      <c r="X25" s="1" t="n">
        <v>3.4</v>
      </c>
      <c r="Y25" s="1" t="s">
        <v>40</v>
      </c>
      <c r="Z25" s="1" t="n">
        <v>0</v>
      </c>
      <c r="AA25" s="1" t="str">
        <f aca="false">TRIM(PROPER(F25))</f>
        <v>Chennai</v>
      </c>
      <c r="AB25" s="1" t="str">
        <f aca="false">TRIM(PROPER(C25))</f>
        <v>Doubtnut</v>
      </c>
      <c r="AC25" s="1" t="str">
        <f aca="false">IF(O25=0,"No Discount",IF(O25&lt;=15,"Low (1-15%)",IF(O25&lt;=30,"Medium (16-30%)","High (&gt;30%)")))</f>
        <v>No Discount</v>
      </c>
      <c r="AD25" s="1" t="str">
        <f aca="false">IF(V25&lt;0,"Loss Making",IF(V25&lt;20,"Low Margin","Healthy Margin"))</f>
        <v>Healthy Margin</v>
      </c>
      <c r="AE25" s="1" t="str">
        <f aca="false">TEXT(DATE(VALUE(RIGHT(B25,4)),VALUE(MID(B25,4,2)),VALUE(LEFT(B25,2))),"MMM-YYYY")</f>
        <v>Jun-2023</v>
      </c>
      <c r="AF25" s="1" t="n">
        <f aca="false">VALUE(RIGHT(B25,4))</f>
        <v>2023</v>
      </c>
      <c r="AG25" s="1" t="str">
        <f aca="false">CHOOSE(ROUNDUP(VALUE(MID(B25,4,2))/3,0),"Q1","Q2","Q3","Q4")</f>
        <v>Q2</v>
      </c>
    </row>
    <row r="26" customFormat="false" ht="15" hidden="false" customHeight="true" outlineLevel="0" collapsed="false">
      <c r="A26" s="1" t="s">
        <v>163</v>
      </c>
      <c r="B26" s="1" t="s">
        <v>164</v>
      </c>
      <c r="C26" s="1" t="s">
        <v>43</v>
      </c>
      <c r="D26" s="1" t="s">
        <v>80</v>
      </c>
      <c r="E26" s="1" t="s">
        <v>81</v>
      </c>
      <c r="F26" s="1" t="s">
        <v>156</v>
      </c>
      <c r="G26" s="1" t="s">
        <v>68</v>
      </c>
      <c r="H26" s="1" t="s">
        <v>57</v>
      </c>
      <c r="I26" s="1" t="s">
        <v>34</v>
      </c>
      <c r="J26" s="1" t="s">
        <v>77</v>
      </c>
      <c r="K26" s="1" t="s">
        <v>90</v>
      </c>
      <c r="L26" s="1" t="s">
        <v>61</v>
      </c>
      <c r="M26" s="1" t="s">
        <v>62</v>
      </c>
      <c r="N26" s="1" t="n">
        <v>12999</v>
      </c>
      <c r="O26" s="1" t="n">
        <v>50</v>
      </c>
      <c r="P26" s="1" t="n">
        <v>6499.5</v>
      </c>
      <c r="Q26" s="1" t="n">
        <v>6499.5</v>
      </c>
      <c r="R26" s="1" t="n">
        <v>1169.91</v>
      </c>
      <c r="S26" s="1" t="n">
        <v>5329.59</v>
      </c>
      <c r="T26" s="1" t="n">
        <v>2783.75</v>
      </c>
      <c r="U26" s="1" t="n">
        <v>2545.84</v>
      </c>
      <c r="V26" s="1" t="n">
        <v>47.77</v>
      </c>
      <c r="W26" s="1" t="s">
        <v>40</v>
      </c>
      <c r="Y26" s="1" t="s">
        <v>40</v>
      </c>
      <c r="Z26" s="1" t="n">
        <v>1</v>
      </c>
      <c r="AA26" s="1" t="str">
        <f aca="false">TRIM(PROPER(F26))</f>
        <v>Surat</v>
      </c>
      <c r="AB26" s="1" t="str">
        <f aca="false">TRIM(PROPER(C26))</f>
        <v>Meritnation</v>
      </c>
      <c r="AC26" s="1" t="str">
        <f aca="false">IF(O26=0,"No Discount",IF(O26&lt;=15,"Low (1-15%)",IF(O26&lt;=30,"Medium (16-30%)","High (&gt;30%)")))</f>
        <v>High (&gt;30%)</v>
      </c>
      <c r="AD26" s="1" t="str">
        <f aca="false">IF(V26&lt;0,"Loss Making",IF(V26&lt;20,"Low Margin","Healthy Margin"))</f>
        <v>Healthy Margin</v>
      </c>
      <c r="AE26" s="1" t="str">
        <f aca="false">TEXT(DATE(VALUE(RIGHT(B26,4)),VALUE(MID(B26,4,2)),VALUE(LEFT(B26,2))),"MMM-YYYY")</f>
        <v>Jan-2023</v>
      </c>
      <c r="AF26" s="1" t="n">
        <f aca="false">VALUE(RIGHT(B26,4))</f>
        <v>2023</v>
      </c>
      <c r="AG26" s="1" t="str">
        <f aca="false">CHOOSE(ROUNDUP(VALUE(MID(B26,4,2))/3,0),"Q1","Q2","Q3","Q4")</f>
        <v>Q1</v>
      </c>
    </row>
    <row r="27" customFormat="false" ht="15" hidden="false" customHeight="true" outlineLevel="0" collapsed="false">
      <c r="A27" s="1" t="s">
        <v>165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107</v>
      </c>
      <c r="G27" s="1" t="s">
        <v>108</v>
      </c>
      <c r="H27" s="1" t="s">
        <v>33</v>
      </c>
      <c r="I27" s="1" t="s">
        <v>83</v>
      </c>
      <c r="J27" s="1" t="s">
        <v>77</v>
      </c>
      <c r="K27" s="1" t="s">
        <v>71</v>
      </c>
      <c r="L27" s="1" t="s">
        <v>113</v>
      </c>
      <c r="M27" s="1" t="s">
        <v>38</v>
      </c>
      <c r="N27" s="1" t="n">
        <v>4999</v>
      </c>
      <c r="O27" s="1" t="n">
        <v>5</v>
      </c>
      <c r="P27" s="1" t="n">
        <v>249.95</v>
      </c>
      <c r="Q27" s="1" t="n">
        <v>4749.05</v>
      </c>
      <c r="R27" s="1" t="n">
        <v>854.83</v>
      </c>
      <c r="S27" s="1" t="n">
        <v>3894.22</v>
      </c>
      <c r="T27" s="1" t="n">
        <v>2019.87</v>
      </c>
      <c r="U27" s="1" t="n">
        <v>1874.35</v>
      </c>
      <c r="V27" s="1" t="n">
        <v>48.13</v>
      </c>
      <c r="W27" s="1" t="s">
        <v>40</v>
      </c>
      <c r="Y27" s="1" t="s">
        <v>40</v>
      </c>
      <c r="Z27" s="1" t="n">
        <v>1</v>
      </c>
      <c r="AA27" s="1" t="str">
        <f aca="false">TRIM(PROPER(F27))</f>
        <v>Madurai</v>
      </c>
      <c r="AB27" s="1" t="str">
        <f aca="false">TRIM(PROPER(C27))</f>
        <v>Scaler</v>
      </c>
      <c r="AC27" s="1" t="str">
        <f aca="false">IF(O27=0,"No Discount",IF(O27&lt;=15,"Low (1-15%)",IF(O27&lt;=30,"Medium (16-30%)","High (&gt;30%)")))</f>
        <v>Low (1-15%)</v>
      </c>
      <c r="AD27" s="1" t="str">
        <f aca="false">IF(V27&lt;0,"Loss Making",IF(V27&lt;20,"Low Margin","Healthy Margin"))</f>
        <v>Healthy Margin</v>
      </c>
      <c r="AE27" s="1" t="str">
        <f aca="false">TEXT(DATE(VALUE(RIGHT(B27,4)),VALUE(MID(B27,4,2)),VALUE(LEFT(B27,2))),"MMM-YYYY")</f>
        <v>May-2024</v>
      </c>
      <c r="AF27" s="1" t="n">
        <f aca="false">VALUE(RIGHT(B27,4))</f>
        <v>2024</v>
      </c>
      <c r="AG27" s="1" t="str">
        <f aca="false">CHOOSE(ROUNDUP(VALUE(MID(B27,4,2))/3,0),"Q1","Q2","Q3","Q4")</f>
        <v>Q2</v>
      </c>
    </row>
    <row r="28" customFormat="false" ht="15" hidden="false" customHeight="true" outlineLevel="0" collapsed="false">
      <c r="A28" s="1" t="s">
        <v>170</v>
      </c>
      <c r="B28" s="1" t="s">
        <v>171</v>
      </c>
      <c r="C28" s="1" t="s">
        <v>43</v>
      </c>
      <c r="D28" s="1" t="s">
        <v>168</v>
      </c>
      <c r="E28" s="1" t="s">
        <v>172</v>
      </c>
      <c r="F28" s="1" t="s">
        <v>130</v>
      </c>
      <c r="G28" s="1" t="s">
        <v>47</v>
      </c>
      <c r="H28" s="1" t="s">
        <v>69</v>
      </c>
      <c r="I28" s="1" t="s">
        <v>83</v>
      </c>
      <c r="J28" s="1" t="s">
        <v>77</v>
      </c>
      <c r="K28" s="1" t="s">
        <v>84</v>
      </c>
      <c r="L28" s="1" t="s">
        <v>49</v>
      </c>
      <c r="M28" s="1" t="s">
        <v>50</v>
      </c>
      <c r="N28" s="1" t="n">
        <v>6999</v>
      </c>
      <c r="O28" s="1" t="n">
        <v>40</v>
      </c>
      <c r="P28" s="1" t="n">
        <v>2799.6</v>
      </c>
      <c r="Q28" s="1" t="n">
        <v>4199.4</v>
      </c>
      <c r="R28" s="1" t="n">
        <v>755.89</v>
      </c>
      <c r="S28" s="1" t="n">
        <v>3443.51</v>
      </c>
      <c r="T28" s="1" t="n">
        <v>1688.9</v>
      </c>
      <c r="U28" s="1" t="n">
        <v>1754.61</v>
      </c>
      <c r="V28" s="1" t="n">
        <v>50.95</v>
      </c>
      <c r="W28" s="1" t="s">
        <v>40</v>
      </c>
      <c r="Y28" s="1" t="s">
        <v>40</v>
      </c>
      <c r="Z28" s="1" t="n">
        <v>1</v>
      </c>
      <c r="AA28" s="1" t="str">
        <f aca="false">TRIM(PROPER(F28))</f>
        <v>Bengaluru</v>
      </c>
      <c r="AB28" s="1" t="str">
        <f aca="false">TRIM(PROPER(C28))</f>
        <v>Meritnation</v>
      </c>
      <c r="AC28" s="1" t="str">
        <f aca="false">IF(O28=0,"No Discount",IF(O28&lt;=15,"Low (1-15%)",IF(O28&lt;=30,"Medium (16-30%)","High (&gt;30%)")))</f>
        <v>High (&gt;30%)</v>
      </c>
      <c r="AD28" s="1" t="str">
        <f aca="false">IF(V28&lt;0,"Loss Making",IF(V28&lt;20,"Low Margin","Healthy Margin"))</f>
        <v>Healthy Margin</v>
      </c>
      <c r="AE28" s="1" t="str">
        <f aca="false">TEXT(DATE(VALUE(RIGHT(B28,4)),VALUE(MID(B28,4,2)),VALUE(LEFT(B28,2))),"MMM-YYYY")</f>
        <v>May-2023</v>
      </c>
      <c r="AF28" s="1" t="n">
        <f aca="false">VALUE(RIGHT(B28,4))</f>
        <v>2023</v>
      </c>
      <c r="AG28" s="1" t="str">
        <f aca="false">CHOOSE(ROUNDUP(VALUE(MID(B28,4,2))/3,0),"Q1","Q2","Q3","Q4")</f>
        <v>Q2</v>
      </c>
    </row>
    <row r="29" customFormat="false" ht="15" hidden="false" customHeight="true" outlineLevel="0" collapsed="false">
      <c r="A29" s="1" t="s">
        <v>173</v>
      </c>
      <c r="B29" s="1" t="s">
        <v>174</v>
      </c>
      <c r="C29" s="1" t="s">
        <v>28</v>
      </c>
      <c r="D29" s="1" t="s">
        <v>80</v>
      </c>
      <c r="E29" s="1" t="s">
        <v>175</v>
      </c>
      <c r="F29" s="1" t="s">
        <v>82</v>
      </c>
      <c r="G29" s="1" t="s">
        <v>56</v>
      </c>
      <c r="H29" s="1" t="s">
        <v>69</v>
      </c>
      <c r="I29" s="1" t="s">
        <v>58</v>
      </c>
      <c r="J29" s="1" t="s">
        <v>77</v>
      </c>
      <c r="K29" s="1" t="s">
        <v>60</v>
      </c>
      <c r="L29" s="1" t="s">
        <v>136</v>
      </c>
      <c r="M29" s="1" t="s">
        <v>62</v>
      </c>
      <c r="N29" s="1" t="n">
        <v>19999</v>
      </c>
      <c r="O29" s="1" t="n">
        <v>40</v>
      </c>
      <c r="P29" s="1" t="n">
        <v>7999.6</v>
      </c>
      <c r="Q29" s="1" t="n">
        <v>11999.4</v>
      </c>
      <c r="R29" s="1" t="n">
        <v>2159.89</v>
      </c>
      <c r="S29" s="1" t="n">
        <v>9839.51</v>
      </c>
      <c r="T29" s="1" t="n">
        <v>4786.15</v>
      </c>
      <c r="U29" s="1" t="n">
        <v>5053.36</v>
      </c>
      <c r="V29" s="1" t="n">
        <v>51.36</v>
      </c>
      <c r="W29" s="1" t="s">
        <v>39</v>
      </c>
      <c r="X29" s="1" t="n">
        <v>3.4</v>
      </c>
      <c r="Y29" s="1" t="s">
        <v>40</v>
      </c>
      <c r="Z29" s="1" t="n">
        <v>0</v>
      </c>
      <c r="AA29" s="1" t="str">
        <f aca="false">TRIM(PROPER(F29))</f>
        <v>Gurugram</v>
      </c>
      <c r="AB29" s="1" t="str">
        <f aca="false">TRIM(PROPER(C29))</f>
        <v>Embibe</v>
      </c>
      <c r="AC29" s="1" t="str">
        <f aca="false">IF(O29=0,"No Discount",IF(O29&lt;=15,"Low (1-15%)",IF(O29&lt;=30,"Medium (16-30%)","High (&gt;30%)")))</f>
        <v>High (&gt;30%)</v>
      </c>
      <c r="AD29" s="1" t="str">
        <f aca="false">IF(V29&lt;0,"Loss Making",IF(V29&lt;20,"Low Margin","Healthy Margin"))</f>
        <v>Healthy Margin</v>
      </c>
      <c r="AE29" s="1" t="str">
        <f aca="false">TEXT(DATE(VALUE(RIGHT(B29,4)),VALUE(MID(B29,4,2)),VALUE(LEFT(B29,2))),"MMM-YYYY")</f>
        <v>Jun-2023</v>
      </c>
      <c r="AF29" s="1" t="n">
        <f aca="false">VALUE(RIGHT(B29,4))</f>
        <v>2023</v>
      </c>
      <c r="AG29" s="1" t="str">
        <f aca="false">CHOOSE(ROUNDUP(VALUE(MID(B29,4,2))/3,0),"Q1","Q2","Q3","Q4")</f>
        <v>Q2</v>
      </c>
    </row>
    <row r="30" customFormat="false" ht="15" hidden="false" customHeight="true" outlineLevel="0" collapsed="false">
      <c r="A30" s="1" t="s">
        <v>176</v>
      </c>
      <c r="B30" s="1" t="s">
        <v>177</v>
      </c>
      <c r="C30" s="1" t="s">
        <v>178</v>
      </c>
      <c r="D30" s="1" t="s">
        <v>168</v>
      </c>
      <c r="E30" s="1" t="s">
        <v>169</v>
      </c>
      <c r="F30" s="1" t="s">
        <v>153</v>
      </c>
      <c r="G30" s="1" t="s">
        <v>76</v>
      </c>
      <c r="H30" s="1" t="s">
        <v>33</v>
      </c>
      <c r="I30" s="1" t="s">
        <v>34</v>
      </c>
      <c r="J30" s="1" t="s">
        <v>59</v>
      </c>
      <c r="K30" s="1" t="s">
        <v>90</v>
      </c>
      <c r="L30" s="1" t="s">
        <v>136</v>
      </c>
      <c r="M30" s="1" t="s">
        <v>62</v>
      </c>
      <c r="N30" s="1" t="n">
        <v>4999</v>
      </c>
      <c r="O30" s="1" t="n">
        <v>0</v>
      </c>
      <c r="P30" s="1" t="n">
        <v>0</v>
      </c>
      <c r="Q30" s="1" t="n">
        <v>4999</v>
      </c>
      <c r="R30" s="1" t="n">
        <v>899.82</v>
      </c>
      <c r="S30" s="1" t="n">
        <v>4099.18</v>
      </c>
      <c r="T30" s="1" t="n">
        <v>2251.19</v>
      </c>
      <c r="U30" s="1" t="n">
        <v>1847.99</v>
      </c>
      <c r="V30" s="1" t="n">
        <v>45.08</v>
      </c>
      <c r="W30" s="1" t="s">
        <v>40</v>
      </c>
      <c r="Y30" s="1" t="s">
        <v>39</v>
      </c>
      <c r="Z30" s="1" t="n">
        <v>2</v>
      </c>
      <c r="AA30" s="1" t="str">
        <f aca="false">TRIM(PROPER(F30))</f>
        <v>Howrah</v>
      </c>
      <c r="AB30" s="1" t="str">
        <f aca="false">TRIM(PROPER(C30))</f>
        <v>Leverage Edu</v>
      </c>
      <c r="AC30" s="1" t="str">
        <f aca="false">IF(O30=0,"No Discount",IF(O30&lt;=15,"Low (1-15%)",IF(O30&lt;=30,"Medium (16-30%)","High (&gt;30%)")))</f>
        <v>No Discount</v>
      </c>
      <c r="AD30" s="1" t="str">
        <f aca="false">IF(V30&lt;0,"Loss Making",IF(V30&lt;20,"Low Margin","Healthy Margin"))</f>
        <v>Healthy Margin</v>
      </c>
      <c r="AE30" s="1" t="str">
        <f aca="false">TEXT(DATE(VALUE(RIGHT(B30,4)),VALUE(MID(B30,4,2)),VALUE(LEFT(B30,2))),"MMM-YYYY")</f>
        <v>Jul-2024</v>
      </c>
      <c r="AF30" s="1" t="n">
        <f aca="false">VALUE(RIGHT(B30,4))</f>
        <v>2024</v>
      </c>
      <c r="AG30" s="1" t="str">
        <f aca="false">CHOOSE(ROUNDUP(VALUE(MID(B30,4,2))/3,0),"Q1","Q2","Q3","Q4")</f>
        <v>Q3</v>
      </c>
    </row>
    <row r="31" customFormat="false" ht="15" hidden="false" customHeight="true" outlineLevel="0" collapsed="false">
      <c r="A31" s="1" t="s">
        <v>179</v>
      </c>
      <c r="B31" s="1" t="s">
        <v>180</v>
      </c>
      <c r="C31" s="1" t="s">
        <v>181</v>
      </c>
      <c r="D31" s="1" t="s">
        <v>29</v>
      </c>
      <c r="E31" s="1" t="s">
        <v>182</v>
      </c>
      <c r="F31" s="1" t="s">
        <v>89</v>
      </c>
      <c r="G31" s="1" t="s">
        <v>68</v>
      </c>
      <c r="H31" s="1" t="s">
        <v>33</v>
      </c>
      <c r="I31" s="1" t="s">
        <v>58</v>
      </c>
      <c r="J31" s="1" t="s">
        <v>35</v>
      </c>
      <c r="K31" s="1" t="s">
        <v>48</v>
      </c>
      <c r="L31" s="1" t="s">
        <v>136</v>
      </c>
      <c r="M31" s="1" t="s">
        <v>50</v>
      </c>
      <c r="N31" s="1" t="n">
        <v>34999</v>
      </c>
      <c r="O31" s="1" t="n">
        <v>0</v>
      </c>
      <c r="P31" s="1" t="n">
        <v>0</v>
      </c>
      <c r="Q31" s="1" t="n">
        <v>34999</v>
      </c>
      <c r="R31" s="1" t="n">
        <v>6299.82</v>
      </c>
      <c r="S31" s="1" t="n">
        <v>28699.18</v>
      </c>
      <c r="T31" s="1" t="n">
        <v>15004.71</v>
      </c>
      <c r="U31" s="1" t="n">
        <v>13694.47</v>
      </c>
      <c r="V31" s="1" t="n">
        <v>47.72</v>
      </c>
      <c r="W31" s="1" t="s">
        <v>39</v>
      </c>
      <c r="X31" s="1" t="n">
        <v>4.2</v>
      </c>
      <c r="Y31" s="1" t="s">
        <v>40</v>
      </c>
      <c r="Z31" s="1" t="n">
        <v>0</v>
      </c>
      <c r="AA31" s="1" t="str">
        <f aca="false">TRIM(PROPER(F31))</f>
        <v>Vadodara</v>
      </c>
      <c r="AB31" s="1" t="str">
        <f aca="false">TRIM(PROPER(C31))</f>
        <v>Great Learning</v>
      </c>
      <c r="AC31" s="1" t="str">
        <f aca="false">IF(O31=0,"No Discount",IF(O31&lt;=15,"Low (1-15%)",IF(O31&lt;=30,"Medium (16-30%)","High (&gt;30%)")))</f>
        <v>No Discount</v>
      </c>
      <c r="AD31" s="1" t="str">
        <f aca="false">IF(V31&lt;0,"Loss Making",IF(V31&lt;20,"Low Margin","Healthy Margin"))</f>
        <v>Healthy Margin</v>
      </c>
      <c r="AE31" s="1" t="str">
        <f aca="false">TEXT(DATE(VALUE(RIGHT(B31,4)),VALUE(MID(B31,4,2)),VALUE(LEFT(B31,2))),"MMM-YYYY")</f>
        <v>Apr-2024</v>
      </c>
      <c r="AF31" s="1" t="n">
        <f aca="false">VALUE(RIGHT(B31,4))</f>
        <v>2024</v>
      </c>
      <c r="AG31" s="1" t="str">
        <f aca="false">CHOOSE(ROUNDUP(VALUE(MID(B31,4,2))/3,0),"Q1","Q2","Q3","Q4")</f>
        <v>Q2</v>
      </c>
    </row>
    <row r="32" customFormat="false" ht="15" hidden="false" customHeight="true" outlineLevel="0" collapsed="false">
      <c r="A32" s="1" t="s">
        <v>183</v>
      </c>
      <c r="B32" s="1" t="s">
        <v>174</v>
      </c>
      <c r="C32" s="1" t="s">
        <v>139</v>
      </c>
      <c r="D32" s="1" t="s">
        <v>44</v>
      </c>
      <c r="E32" s="1" t="s">
        <v>66</v>
      </c>
      <c r="F32" s="1" t="s">
        <v>184</v>
      </c>
      <c r="G32" s="1" t="s">
        <v>56</v>
      </c>
      <c r="H32" s="1" t="s">
        <v>57</v>
      </c>
      <c r="I32" s="1" t="s">
        <v>58</v>
      </c>
      <c r="J32" s="1" t="s">
        <v>35</v>
      </c>
      <c r="K32" s="1" t="s">
        <v>60</v>
      </c>
      <c r="L32" s="1" t="s">
        <v>37</v>
      </c>
      <c r="M32" s="1" t="s">
        <v>50</v>
      </c>
      <c r="N32" s="1" t="n">
        <v>12999</v>
      </c>
      <c r="O32" s="1" t="n">
        <v>20</v>
      </c>
      <c r="P32" s="1" t="n">
        <v>2599.8</v>
      </c>
      <c r="Q32" s="1" t="n">
        <v>10399.2</v>
      </c>
      <c r="R32" s="1" t="n">
        <v>1871.86</v>
      </c>
      <c r="S32" s="1" t="n">
        <v>8527.34</v>
      </c>
      <c r="T32" s="1" t="n">
        <v>4283.93</v>
      </c>
      <c r="U32" s="1" t="n">
        <v>4243.41</v>
      </c>
      <c r="V32" s="1" t="n">
        <v>49.76</v>
      </c>
      <c r="W32" s="1" t="s">
        <v>39</v>
      </c>
      <c r="X32" s="1" t="n">
        <v>3.5</v>
      </c>
      <c r="Y32" s="1" t="s">
        <v>40</v>
      </c>
      <c r="Z32" s="1" t="n">
        <v>1</v>
      </c>
      <c r="AA32" s="1" t="str">
        <f aca="false">TRIM(PROPER(F32))</f>
        <v>Faridabad</v>
      </c>
      <c r="AB32" s="1" t="str">
        <f aca="false">TRIM(PROPER(C32))</f>
        <v>Extramarks</v>
      </c>
      <c r="AC32" s="1" t="str">
        <f aca="false">IF(O32=0,"No Discount",IF(O32&lt;=15,"Low (1-15%)",IF(O32&lt;=30,"Medium (16-30%)","High (&gt;30%)")))</f>
        <v>Medium (16-30%)</v>
      </c>
      <c r="AD32" s="1" t="str">
        <f aca="false">IF(V32&lt;0,"Loss Making",IF(V32&lt;20,"Low Margin","Healthy Margin"))</f>
        <v>Healthy Margin</v>
      </c>
      <c r="AE32" s="1" t="str">
        <f aca="false">TEXT(DATE(VALUE(RIGHT(B32,4)),VALUE(MID(B32,4,2)),VALUE(LEFT(B32,2))),"MMM-YYYY")</f>
        <v>Jun-2023</v>
      </c>
      <c r="AF32" s="1" t="n">
        <f aca="false">VALUE(RIGHT(B32,4))</f>
        <v>2023</v>
      </c>
      <c r="AG32" s="1" t="str">
        <f aca="false">CHOOSE(ROUNDUP(VALUE(MID(B32,4,2))/3,0),"Q1","Q2","Q3","Q4")</f>
        <v>Q2</v>
      </c>
    </row>
    <row r="33" customFormat="false" ht="15" hidden="false" customHeight="true" outlineLevel="0" collapsed="false">
      <c r="A33" s="1" t="s">
        <v>185</v>
      </c>
      <c r="B33" s="1" t="s">
        <v>186</v>
      </c>
      <c r="C33" s="1" t="s">
        <v>74</v>
      </c>
      <c r="D33" s="1" t="s">
        <v>94</v>
      </c>
      <c r="E33" s="1" t="s">
        <v>101</v>
      </c>
      <c r="F33" s="1" t="s">
        <v>187</v>
      </c>
      <c r="G33" s="1" t="s">
        <v>97</v>
      </c>
      <c r="H33" s="1" t="s">
        <v>69</v>
      </c>
      <c r="I33" s="1" t="s">
        <v>58</v>
      </c>
      <c r="J33" s="1" t="s">
        <v>35</v>
      </c>
      <c r="K33" s="1" t="s">
        <v>48</v>
      </c>
      <c r="L33" s="1" t="s">
        <v>136</v>
      </c>
      <c r="M33" s="1" t="s">
        <v>50</v>
      </c>
      <c r="N33" s="1" t="n">
        <v>14999</v>
      </c>
      <c r="O33" s="1" t="n">
        <v>50</v>
      </c>
      <c r="P33" s="1" t="n">
        <v>7499.5</v>
      </c>
      <c r="Q33" s="1" t="n">
        <v>7499.5</v>
      </c>
      <c r="R33" s="1" t="n">
        <v>1349.91</v>
      </c>
      <c r="S33" s="1" t="n">
        <v>6149.59</v>
      </c>
      <c r="T33" s="1" t="n">
        <v>3376.6</v>
      </c>
      <c r="U33" s="1" t="n">
        <v>2772.99</v>
      </c>
      <c r="V33" s="1" t="n">
        <v>45.09</v>
      </c>
      <c r="W33" s="1" t="s">
        <v>39</v>
      </c>
      <c r="X33" s="1" t="n">
        <v>3.7</v>
      </c>
      <c r="Y33" s="1" t="s">
        <v>40</v>
      </c>
      <c r="Z33" s="1" t="n">
        <v>0</v>
      </c>
      <c r="AA33" s="1" t="str">
        <f aca="false">TRIM(PROPER(F33))</f>
        <v>Mumbai</v>
      </c>
      <c r="AB33" s="1" t="str">
        <f aca="false">TRIM(PROPER(C33))</f>
        <v>Vedantu</v>
      </c>
      <c r="AC33" s="1" t="str">
        <f aca="false">IF(O33=0,"No Discount",IF(O33&lt;=15,"Low (1-15%)",IF(O33&lt;=30,"Medium (16-30%)","High (&gt;30%)")))</f>
        <v>High (&gt;30%)</v>
      </c>
      <c r="AD33" s="1" t="str">
        <f aca="false">IF(V33&lt;0,"Loss Making",IF(V33&lt;20,"Low Margin","Healthy Margin"))</f>
        <v>Healthy Margin</v>
      </c>
      <c r="AE33" s="1" t="str">
        <f aca="false">TEXT(DATE(VALUE(RIGHT(B33,4)),VALUE(MID(B33,4,2)),VALUE(LEFT(B33,2))),"MMM-YYYY")</f>
        <v>Mar-2024</v>
      </c>
      <c r="AF33" s="1" t="n">
        <f aca="false">VALUE(RIGHT(B33,4))</f>
        <v>2024</v>
      </c>
      <c r="AG33" s="1" t="str">
        <f aca="false">CHOOSE(ROUNDUP(VALUE(MID(B33,4,2))/3,0),"Q1","Q2","Q3","Q4")</f>
        <v>Q1</v>
      </c>
    </row>
    <row r="34" customFormat="false" ht="15" hidden="false" customHeight="true" outlineLevel="0" collapsed="false">
      <c r="A34" s="1" t="s">
        <v>188</v>
      </c>
      <c r="B34" s="1" t="s">
        <v>189</v>
      </c>
      <c r="C34" s="1" t="s">
        <v>167</v>
      </c>
      <c r="D34" s="1" t="s">
        <v>80</v>
      </c>
      <c r="E34" s="1" t="s">
        <v>190</v>
      </c>
      <c r="F34" s="1" t="s">
        <v>140</v>
      </c>
      <c r="G34" s="1" t="s">
        <v>97</v>
      </c>
      <c r="H34" s="1" t="s">
        <v>57</v>
      </c>
      <c r="I34" s="1" t="s">
        <v>34</v>
      </c>
      <c r="J34" s="1" t="s">
        <v>131</v>
      </c>
      <c r="K34" s="1" t="s">
        <v>84</v>
      </c>
      <c r="L34" s="1" t="s">
        <v>49</v>
      </c>
      <c r="M34" s="1" t="s">
        <v>62</v>
      </c>
      <c r="N34" s="1" t="n">
        <v>15999</v>
      </c>
      <c r="O34" s="1" t="n">
        <v>10</v>
      </c>
      <c r="P34" s="1" t="n">
        <v>1599.9</v>
      </c>
      <c r="Q34" s="1" t="n">
        <v>14399.1</v>
      </c>
      <c r="R34" s="1" t="n">
        <v>2591.84</v>
      </c>
      <c r="S34" s="1" t="n">
        <v>11807.26</v>
      </c>
      <c r="T34" s="1" t="n">
        <v>5560.38</v>
      </c>
      <c r="U34" s="1" t="n">
        <v>6246.88</v>
      </c>
      <c r="V34" s="1" t="n">
        <v>52.91</v>
      </c>
      <c r="W34" s="1" t="s">
        <v>39</v>
      </c>
      <c r="X34" s="1" t="n">
        <v>2.7</v>
      </c>
      <c r="Y34" s="1" t="s">
        <v>40</v>
      </c>
      <c r="Z34" s="1" t="n">
        <v>1</v>
      </c>
      <c r="AA34" s="1" t="str">
        <f aca="false">TRIM(PROPER(F34))</f>
        <v>Nashik</v>
      </c>
      <c r="AB34" s="1" t="str">
        <f aca="false">TRIM(PROPER(C34))</f>
        <v>Scaler</v>
      </c>
      <c r="AC34" s="1" t="str">
        <f aca="false">IF(O34=0,"No Discount",IF(O34&lt;=15,"Low (1-15%)",IF(O34&lt;=30,"Medium (16-30%)","High (&gt;30%)")))</f>
        <v>Low (1-15%)</v>
      </c>
      <c r="AD34" s="1" t="str">
        <f aca="false">IF(V34&lt;0,"Loss Making",IF(V34&lt;20,"Low Margin","Healthy Margin"))</f>
        <v>Healthy Margin</v>
      </c>
      <c r="AE34" s="1" t="str">
        <f aca="false">TEXT(DATE(VALUE(RIGHT(B34,4)),VALUE(MID(B34,4,2)),VALUE(LEFT(B34,2))),"MMM-YYYY")</f>
        <v>Jun-2023</v>
      </c>
      <c r="AF34" s="1" t="n">
        <f aca="false">VALUE(RIGHT(B34,4))</f>
        <v>2023</v>
      </c>
      <c r="AG34" s="1" t="str">
        <f aca="false">CHOOSE(ROUNDUP(VALUE(MID(B34,4,2))/3,0),"Q1","Q2","Q3","Q4")</f>
        <v>Q2</v>
      </c>
    </row>
    <row r="35" customFormat="false" ht="15" hidden="false" customHeight="true" outlineLevel="0" collapsed="false">
      <c r="A35" s="1" t="s">
        <v>191</v>
      </c>
      <c r="B35" s="1" t="s">
        <v>192</v>
      </c>
      <c r="C35" s="1" t="s">
        <v>134</v>
      </c>
      <c r="D35" s="1" t="s">
        <v>80</v>
      </c>
      <c r="E35" s="1" t="s">
        <v>193</v>
      </c>
      <c r="F35" s="1" t="s">
        <v>194</v>
      </c>
      <c r="G35" s="1" t="s">
        <v>103</v>
      </c>
      <c r="H35" s="1" t="s">
        <v>69</v>
      </c>
      <c r="I35" s="1" t="s">
        <v>34</v>
      </c>
      <c r="J35" s="1" t="s">
        <v>35</v>
      </c>
      <c r="K35" s="1" t="s">
        <v>48</v>
      </c>
      <c r="L35" s="1" t="s">
        <v>61</v>
      </c>
      <c r="M35" s="1" t="s">
        <v>62</v>
      </c>
      <c r="N35" s="1" t="n">
        <v>8999</v>
      </c>
      <c r="O35" s="1" t="n">
        <v>0</v>
      </c>
      <c r="P35" s="1" t="n">
        <v>0</v>
      </c>
      <c r="Q35" s="1" t="n">
        <v>8999</v>
      </c>
      <c r="R35" s="1" t="n">
        <v>1619.82</v>
      </c>
      <c r="S35" s="1" t="n">
        <v>7379.18</v>
      </c>
      <c r="T35" s="1" t="n">
        <v>2355.9</v>
      </c>
      <c r="U35" s="1" t="n">
        <v>5023.28</v>
      </c>
      <c r="V35" s="1" t="n">
        <v>68.07</v>
      </c>
      <c r="W35" s="1" t="s">
        <v>40</v>
      </c>
      <c r="Y35" s="1" t="s">
        <v>39</v>
      </c>
      <c r="Z35" s="1" t="n">
        <v>0</v>
      </c>
      <c r="AA35" s="1" t="str">
        <f aca="false">TRIM(PROPER(F35))</f>
        <v>Hyderabad</v>
      </c>
      <c r="AB35" s="1" t="str">
        <f aca="false">TRIM(PROPER(C35))</f>
        <v>Doubtnut</v>
      </c>
      <c r="AC35" s="1" t="str">
        <f aca="false">IF(O35=0,"No Discount",IF(O35&lt;=15,"Low (1-15%)",IF(O35&lt;=30,"Medium (16-30%)","High (&gt;30%)")))</f>
        <v>No Discount</v>
      </c>
      <c r="AD35" s="1" t="str">
        <f aca="false">IF(V35&lt;0,"Loss Making",IF(V35&lt;20,"Low Margin","Healthy Margin"))</f>
        <v>Healthy Margin</v>
      </c>
      <c r="AE35" s="1" t="str">
        <f aca="false">TEXT(DATE(VALUE(RIGHT(B35,4)),VALUE(MID(B35,4,2)),VALUE(LEFT(B35,2))),"MMM-YYYY")</f>
        <v>Oct-2023</v>
      </c>
      <c r="AF35" s="1" t="n">
        <f aca="false">VALUE(RIGHT(B35,4))</f>
        <v>2023</v>
      </c>
      <c r="AG35" s="1" t="str">
        <f aca="false">CHOOSE(ROUNDUP(VALUE(MID(B35,4,2))/3,0),"Q1","Q2","Q3","Q4")</f>
        <v>Q4</v>
      </c>
    </row>
    <row r="36" customFormat="false" ht="15" hidden="false" customHeight="true" outlineLevel="0" collapsed="false">
      <c r="A36" s="1" t="s">
        <v>195</v>
      </c>
      <c r="B36" s="1" t="s">
        <v>196</v>
      </c>
      <c r="C36" s="1" t="s">
        <v>65</v>
      </c>
      <c r="D36" s="1" t="s">
        <v>168</v>
      </c>
      <c r="E36" s="1" t="s">
        <v>197</v>
      </c>
      <c r="F36" s="1" t="s">
        <v>125</v>
      </c>
      <c r="G36" s="1" t="s">
        <v>108</v>
      </c>
      <c r="H36" s="1" t="s">
        <v>69</v>
      </c>
      <c r="I36" s="1" t="s">
        <v>34</v>
      </c>
      <c r="J36" s="1" t="s">
        <v>35</v>
      </c>
      <c r="K36" s="1" t="s">
        <v>104</v>
      </c>
      <c r="L36" s="1" t="s">
        <v>136</v>
      </c>
      <c r="M36" s="1" t="s">
        <v>62</v>
      </c>
      <c r="N36" s="1" t="n">
        <v>8499</v>
      </c>
      <c r="O36" s="1" t="n">
        <v>20</v>
      </c>
      <c r="P36" s="1" t="n">
        <v>1699.8</v>
      </c>
      <c r="Q36" s="1" t="n">
        <v>6799.2</v>
      </c>
      <c r="R36" s="1" t="n">
        <v>1223.86</v>
      </c>
      <c r="S36" s="1" t="n">
        <v>5575.34</v>
      </c>
      <c r="T36" s="1" t="n">
        <v>2362.25</v>
      </c>
      <c r="U36" s="1" t="n">
        <v>3213.09</v>
      </c>
      <c r="V36" s="1" t="n">
        <v>57.63</v>
      </c>
      <c r="W36" s="1" t="s">
        <v>40</v>
      </c>
      <c r="Y36" s="1" t="s">
        <v>40</v>
      </c>
      <c r="Z36" s="1" t="n">
        <v>1</v>
      </c>
      <c r="AA36" s="1" t="str">
        <f aca="false">TRIM(PROPER(F36))</f>
        <v>Chennai</v>
      </c>
      <c r="AB36" s="1" t="str">
        <f aca="false">TRIM(PROPER(C36))</f>
        <v>Toppr</v>
      </c>
      <c r="AC36" s="1" t="str">
        <f aca="false">IF(O36=0,"No Discount",IF(O36&lt;=15,"Low (1-15%)",IF(O36&lt;=30,"Medium (16-30%)","High (&gt;30%)")))</f>
        <v>Medium (16-30%)</v>
      </c>
      <c r="AD36" s="1" t="str">
        <f aca="false">IF(V36&lt;0,"Loss Making",IF(V36&lt;20,"Low Margin","Healthy Margin"))</f>
        <v>Healthy Margin</v>
      </c>
      <c r="AE36" s="1" t="str">
        <f aca="false">TEXT(DATE(VALUE(RIGHT(B36,4)),VALUE(MID(B36,4,2)),VALUE(LEFT(B36,2))),"MMM-YYYY")</f>
        <v>Mar-2024</v>
      </c>
      <c r="AF36" s="1" t="n">
        <f aca="false">VALUE(RIGHT(B36,4))</f>
        <v>2024</v>
      </c>
      <c r="AG36" s="1" t="str">
        <f aca="false">CHOOSE(ROUNDUP(VALUE(MID(B36,4,2))/3,0),"Q1","Q2","Q3","Q4")</f>
        <v>Q1</v>
      </c>
    </row>
    <row r="37" customFormat="false" ht="15" hidden="false" customHeight="true" outlineLevel="0" collapsed="false">
      <c r="A37" s="1" t="s">
        <v>198</v>
      </c>
      <c r="B37" s="1" t="s">
        <v>199</v>
      </c>
      <c r="C37" s="1" t="s">
        <v>167</v>
      </c>
      <c r="D37" s="1" t="s">
        <v>53</v>
      </c>
      <c r="E37" s="1" t="s">
        <v>116</v>
      </c>
      <c r="F37" s="1" t="s">
        <v>102</v>
      </c>
      <c r="G37" s="1" t="s">
        <v>103</v>
      </c>
      <c r="H37" s="1" t="s">
        <v>33</v>
      </c>
      <c r="I37" s="1" t="s">
        <v>83</v>
      </c>
      <c r="J37" s="1" t="s">
        <v>35</v>
      </c>
      <c r="K37" s="1" t="s">
        <v>60</v>
      </c>
      <c r="L37" s="1" t="s">
        <v>61</v>
      </c>
      <c r="M37" s="1" t="s">
        <v>38</v>
      </c>
      <c r="N37" s="1" t="n">
        <v>9999</v>
      </c>
      <c r="O37" s="1" t="n">
        <v>0</v>
      </c>
      <c r="P37" s="1" t="n">
        <v>0</v>
      </c>
      <c r="Q37" s="1" t="n">
        <v>9999</v>
      </c>
      <c r="R37" s="1" t="n">
        <v>1799.82</v>
      </c>
      <c r="S37" s="1" t="n">
        <v>8199.18</v>
      </c>
      <c r="T37" s="1" t="n">
        <v>3293.48</v>
      </c>
      <c r="U37" s="1" t="n">
        <v>4905.7</v>
      </c>
      <c r="V37" s="1" t="n">
        <v>59.83</v>
      </c>
      <c r="W37" s="1" t="s">
        <v>39</v>
      </c>
      <c r="X37" s="1" t="n">
        <v>2.8</v>
      </c>
      <c r="Y37" s="1" t="s">
        <v>40</v>
      </c>
      <c r="Z37" s="1" t="n">
        <v>1</v>
      </c>
      <c r="AA37" s="1" t="str">
        <f aca="false">TRIM(PROPER(F37))</f>
        <v>Warangal</v>
      </c>
      <c r="AB37" s="1" t="str">
        <f aca="false">TRIM(PROPER(C37))</f>
        <v>Scaler</v>
      </c>
      <c r="AC37" s="1" t="str">
        <f aca="false">IF(O37=0,"No Discount",IF(O37&lt;=15,"Low (1-15%)",IF(O37&lt;=30,"Medium (16-30%)","High (&gt;30%)")))</f>
        <v>No Discount</v>
      </c>
      <c r="AD37" s="1" t="str">
        <f aca="false">IF(V37&lt;0,"Loss Making",IF(V37&lt;20,"Low Margin","Healthy Margin"))</f>
        <v>Healthy Margin</v>
      </c>
      <c r="AE37" s="1" t="str">
        <f aca="false">TEXT(DATE(VALUE(RIGHT(B37,4)),VALUE(MID(B37,4,2)),VALUE(LEFT(B37,2))),"MMM-YYYY")</f>
        <v>Jul-2024</v>
      </c>
      <c r="AF37" s="1" t="n">
        <f aca="false">VALUE(RIGHT(B37,4))</f>
        <v>2024</v>
      </c>
      <c r="AG37" s="1" t="str">
        <f aca="false">CHOOSE(ROUNDUP(VALUE(MID(B37,4,2))/3,0),"Q1","Q2","Q3","Q4")</f>
        <v>Q3</v>
      </c>
    </row>
    <row r="38" customFormat="false" ht="15" hidden="false" customHeight="true" outlineLevel="0" collapsed="false">
      <c r="A38" s="1" t="s">
        <v>200</v>
      </c>
      <c r="B38" s="1" t="s">
        <v>201</v>
      </c>
      <c r="C38" s="1" t="s">
        <v>178</v>
      </c>
      <c r="D38" s="1" t="s">
        <v>80</v>
      </c>
      <c r="E38" s="1" t="s">
        <v>81</v>
      </c>
      <c r="F38" s="1" t="s">
        <v>184</v>
      </c>
      <c r="G38" s="1" t="s">
        <v>56</v>
      </c>
      <c r="H38" s="1" t="s">
        <v>57</v>
      </c>
      <c r="I38" s="1" t="s">
        <v>58</v>
      </c>
      <c r="J38" s="1" t="s">
        <v>70</v>
      </c>
      <c r="K38" s="1" t="s">
        <v>84</v>
      </c>
      <c r="L38" s="1" t="s">
        <v>49</v>
      </c>
      <c r="M38" s="1" t="s">
        <v>50</v>
      </c>
      <c r="N38" s="1" t="n">
        <v>12999</v>
      </c>
      <c r="O38" s="1" t="n">
        <v>0</v>
      </c>
      <c r="P38" s="1" t="n">
        <v>0</v>
      </c>
      <c r="Q38" s="1" t="n">
        <v>12999</v>
      </c>
      <c r="R38" s="1" t="n">
        <v>2339.82</v>
      </c>
      <c r="S38" s="1" t="n">
        <v>10659.18</v>
      </c>
      <c r="T38" s="1" t="n">
        <v>5160.76</v>
      </c>
      <c r="U38" s="1" t="n">
        <v>5498.42</v>
      </c>
      <c r="V38" s="1" t="n">
        <v>51.58</v>
      </c>
      <c r="W38" s="1" t="s">
        <v>40</v>
      </c>
      <c r="Y38" s="1" t="s">
        <v>40</v>
      </c>
      <c r="Z38" s="1" t="n">
        <v>0</v>
      </c>
      <c r="AA38" s="1" t="str">
        <f aca="false">TRIM(PROPER(F38))</f>
        <v>Faridabad</v>
      </c>
      <c r="AB38" s="1" t="str">
        <f aca="false">TRIM(PROPER(C38))</f>
        <v>Leverage Edu</v>
      </c>
      <c r="AC38" s="1" t="str">
        <f aca="false">IF(O38=0,"No Discount",IF(O38&lt;=15,"Low (1-15%)",IF(O38&lt;=30,"Medium (16-30%)","High (&gt;30%)")))</f>
        <v>No Discount</v>
      </c>
      <c r="AD38" s="1" t="str">
        <f aca="false">IF(V38&lt;0,"Loss Making",IF(V38&lt;20,"Low Margin","Healthy Margin"))</f>
        <v>Healthy Margin</v>
      </c>
      <c r="AE38" s="1" t="str">
        <f aca="false">TEXT(DATE(VALUE(RIGHT(B38,4)),VALUE(MID(B38,4,2)),VALUE(LEFT(B38,2))),"MMM-YYYY")</f>
        <v>Aug-2024</v>
      </c>
      <c r="AF38" s="1" t="n">
        <f aca="false">VALUE(RIGHT(B38,4))</f>
        <v>2024</v>
      </c>
      <c r="AG38" s="1" t="str">
        <f aca="false">CHOOSE(ROUNDUP(VALUE(MID(B38,4,2))/3,0),"Q1","Q2","Q3","Q4")</f>
        <v>Q3</v>
      </c>
    </row>
    <row r="39" customFormat="false" ht="15" hidden="false" customHeight="true" outlineLevel="0" collapsed="false">
      <c r="A39" s="1" t="s">
        <v>202</v>
      </c>
      <c r="B39" s="1" t="s">
        <v>203</v>
      </c>
      <c r="C39" s="1" t="s">
        <v>204</v>
      </c>
      <c r="D39" s="1" t="s">
        <v>123</v>
      </c>
      <c r="E39" s="1" t="s">
        <v>147</v>
      </c>
      <c r="F39" s="1" t="s">
        <v>205</v>
      </c>
      <c r="G39" s="1" t="s">
        <v>56</v>
      </c>
      <c r="H39" s="1" t="s">
        <v>69</v>
      </c>
      <c r="I39" s="1" t="s">
        <v>34</v>
      </c>
      <c r="J39" s="1" t="s">
        <v>59</v>
      </c>
      <c r="K39" s="1" t="s">
        <v>60</v>
      </c>
      <c r="L39" s="1" t="s">
        <v>37</v>
      </c>
      <c r="M39" s="1" t="s">
        <v>38</v>
      </c>
      <c r="N39" s="1" t="n">
        <v>6999</v>
      </c>
      <c r="O39" s="1" t="n">
        <v>15</v>
      </c>
      <c r="P39" s="1" t="n">
        <v>1049.85</v>
      </c>
      <c r="Q39" s="1" t="n">
        <v>5949.15</v>
      </c>
      <c r="R39" s="1" t="n">
        <v>1070.85</v>
      </c>
      <c r="S39" s="1" t="n">
        <v>4878.3</v>
      </c>
      <c r="T39" s="1" t="n">
        <v>2141.47</v>
      </c>
      <c r="U39" s="1" t="n">
        <v>2736.83</v>
      </c>
      <c r="V39" s="1" t="n">
        <v>56.1</v>
      </c>
      <c r="W39" s="1" t="s">
        <v>40</v>
      </c>
      <c r="Y39" s="1" t="s">
        <v>40</v>
      </c>
      <c r="Z39" s="1" t="n">
        <v>0</v>
      </c>
      <c r="AA39" s="1" t="str">
        <f aca="false">TRIM(PROPER(F39))</f>
        <v>New Delhi</v>
      </c>
      <c r="AB39" s="1" t="str">
        <f aca="false">TRIM(PROPER(C39))</f>
        <v>Byju'S</v>
      </c>
      <c r="AC39" s="1" t="str">
        <f aca="false">IF(O39=0,"No Discount",IF(O39&lt;=15,"Low (1-15%)",IF(O39&lt;=30,"Medium (16-30%)","High (&gt;30%)")))</f>
        <v>Low (1-15%)</v>
      </c>
      <c r="AD39" s="1" t="str">
        <f aca="false">IF(V39&lt;0,"Loss Making",IF(V39&lt;20,"Low Margin","Healthy Margin"))</f>
        <v>Healthy Margin</v>
      </c>
      <c r="AE39" s="1" t="str">
        <f aca="false">TEXT(DATE(VALUE(RIGHT(B39,4)),VALUE(MID(B39,4,2)),VALUE(LEFT(B39,2))),"MMM-YYYY")</f>
        <v>Nov-2023</v>
      </c>
      <c r="AF39" s="1" t="n">
        <f aca="false">VALUE(RIGHT(B39,4))</f>
        <v>2023</v>
      </c>
      <c r="AG39" s="1" t="str">
        <f aca="false">CHOOSE(ROUNDUP(VALUE(MID(B39,4,2))/3,0),"Q1","Q2","Q3","Q4")</f>
        <v>Q4</v>
      </c>
    </row>
    <row r="40" customFormat="false" ht="15" hidden="false" customHeight="true" outlineLevel="0" collapsed="false">
      <c r="A40" s="1" t="s">
        <v>206</v>
      </c>
      <c r="B40" s="1" t="s">
        <v>207</v>
      </c>
      <c r="C40" s="1" t="s">
        <v>134</v>
      </c>
      <c r="D40" s="1" t="s">
        <v>29</v>
      </c>
      <c r="E40" s="1" t="s">
        <v>182</v>
      </c>
      <c r="F40" s="1" t="s">
        <v>96</v>
      </c>
      <c r="G40" s="1" t="s">
        <v>97</v>
      </c>
      <c r="H40" s="1" t="s">
        <v>69</v>
      </c>
      <c r="I40" s="1" t="s">
        <v>34</v>
      </c>
      <c r="J40" s="1" t="s">
        <v>77</v>
      </c>
      <c r="K40" s="1" t="s">
        <v>84</v>
      </c>
      <c r="L40" s="1" t="s">
        <v>136</v>
      </c>
      <c r="M40" s="1" t="s">
        <v>38</v>
      </c>
      <c r="N40" s="1" t="n">
        <v>34999</v>
      </c>
      <c r="O40" s="1" t="n">
        <v>30</v>
      </c>
      <c r="P40" s="1" t="n">
        <v>10499.7</v>
      </c>
      <c r="Q40" s="1" t="n">
        <v>24499.3</v>
      </c>
      <c r="R40" s="1" t="n">
        <v>4409.87</v>
      </c>
      <c r="S40" s="1" t="n">
        <v>20089.43</v>
      </c>
      <c r="T40" s="1" t="n">
        <v>5458.37</v>
      </c>
      <c r="U40" s="1" t="n">
        <v>14631.06</v>
      </c>
      <c r="V40" s="1" t="n">
        <v>72.83</v>
      </c>
      <c r="W40" s="1" t="s">
        <v>40</v>
      </c>
      <c r="Y40" s="1" t="s">
        <v>39</v>
      </c>
      <c r="Z40" s="1" t="n">
        <v>0</v>
      </c>
      <c r="AA40" s="1" t="str">
        <f aca="false">TRIM(PROPER(F40))</f>
        <v>Pune</v>
      </c>
      <c r="AB40" s="1" t="str">
        <f aca="false">TRIM(PROPER(C40))</f>
        <v>Doubtnut</v>
      </c>
      <c r="AC40" s="1" t="str">
        <f aca="false">IF(O40=0,"No Discount",IF(O40&lt;=15,"Low (1-15%)",IF(O40&lt;=30,"Medium (16-30%)","High (&gt;30%)")))</f>
        <v>Medium (16-30%)</v>
      </c>
      <c r="AD40" s="1" t="str">
        <f aca="false">IF(V40&lt;0,"Loss Making",IF(V40&lt;20,"Low Margin","Healthy Margin"))</f>
        <v>Healthy Margin</v>
      </c>
      <c r="AE40" s="1" t="str">
        <f aca="false">TEXT(DATE(VALUE(RIGHT(B40,4)),VALUE(MID(B40,4,2)),VALUE(LEFT(B40,2))),"MMM-YYYY")</f>
        <v>Dec-2023</v>
      </c>
      <c r="AF40" s="1" t="n">
        <f aca="false">VALUE(RIGHT(B40,4))</f>
        <v>2023</v>
      </c>
      <c r="AG40" s="1" t="str">
        <f aca="false">CHOOSE(ROUNDUP(VALUE(MID(B40,4,2))/3,0),"Q1","Q2","Q3","Q4")</f>
        <v>Q4</v>
      </c>
    </row>
    <row r="41" customFormat="false" ht="15" hidden="false" customHeight="true" outlineLevel="0" collapsed="false">
      <c r="A41" s="1" t="s">
        <v>208</v>
      </c>
      <c r="B41" s="1" t="s">
        <v>209</v>
      </c>
      <c r="C41" s="1" t="s">
        <v>88</v>
      </c>
      <c r="D41" s="1" t="s">
        <v>143</v>
      </c>
      <c r="E41" s="1" t="s">
        <v>210</v>
      </c>
      <c r="F41" s="1" t="s">
        <v>211</v>
      </c>
      <c r="G41" s="1" t="s">
        <v>56</v>
      </c>
      <c r="H41" s="1" t="s">
        <v>69</v>
      </c>
      <c r="I41" s="1" t="s">
        <v>34</v>
      </c>
      <c r="J41" s="1" t="s">
        <v>59</v>
      </c>
      <c r="K41" s="1" t="s">
        <v>48</v>
      </c>
      <c r="L41" s="1" t="s">
        <v>113</v>
      </c>
      <c r="M41" s="1" t="s">
        <v>62</v>
      </c>
      <c r="N41" s="1" t="n">
        <v>18999</v>
      </c>
      <c r="O41" s="1" t="n">
        <v>40</v>
      </c>
      <c r="P41" s="1" t="n">
        <v>7599.6</v>
      </c>
      <c r="Q41" s="1" t="n">
        <v>11399.4</v>
      </c>
      <c r="R41" s="1" t="n">
        <v>2051.89</v>
      </c>
      <c r="S41" s="1" t="n">
        <v>9347.51</v>
      </c>
      <c r="T41" s="1" t="n">
        <v>4563.59</v>
      </c>
      <c r="U41" s="1" t="n">
        <v>4783.92</v>
      </c>
      <c r="V41" s="1" t="n">
        <v>51.18</v>
      </c>
      <c r="W41" s="1" t="s">
        <v>39</v>
      </c>
      <c r="X41" s="1" t="n">
        <v>4.4</v>
      </c>
      <c r="Y41" s="1" t="s">
        <v>40</v>
      </c>
      <c r="Z41" s="1" t="n">
        <v>0</v>
      </c>
      <c r="AA41" s="1" t="str">
        <f aca="false">TRIM(PROPER(F41))</f>
        <v>Noida</v>
      </c>
      <c r="AB41" s="1" t="str">
        <f aca="false">TRIM(PROPER(C41))</f>
        <v>Byju'S</v>
      </c>
      <c r="AC41" s="1" t="str">
        <f aca="false">IF(O41=0,"No Discount",IF(O41&lt;=15,"Low (1-15%)",IF(O41&lt;=30,"Medium (16-30%)","High (&gt;30%)")))</f>
        <v>High (&gt;30%)</v>
      </c>
      <c r="AD41" s="1" t="str">
        <f aca="false">IF(V41&lt;0,"Loss Making",IF(V41&lt;20,"Low Margin","Healthy Margin"))</f>
        <v>Healthy Margin</v>
      </c>
      <c r="AE41" s="1" t="str">
        <f aca="false">TEXT(DATE(VALUE(RIGHT(B41,4)),VALUE(MID(B41,4,2)),VALUE(LEFT(B41,2))),"MMM-YYYY")</f>
        <v>Mar-2024</v>
      </c>
      <c r="AF41" s="1" t="n">
        <f aca="false">VALUE(RIGHT(B41,4))</f>
        <v>2024</v>
      </c>
      <c r="AG41" s="1" t="str">
        <f aca="false">CHOOSE(ROUNDUP(VALUE(MID(B41,4,2))/3,0),"Q1","Q2","Q3","Q4")</f>
        <v>Q1</v>
      </c>
    </row>
    <row r="42" customFormat="false" ht="15" hidden="false" customHeight="true" outlineLevel="0" collapsed="false">
      <c r="A42" s="1" t="s">
        <v>212</v>
      </c>
      <c r="B42" s="1" t="s">
        <v>213</v>
      </c>
      <c r="C42" s="1" t="s">
        <v>128</v>
      </c>
      <c r="D42" s="1" t="s">
        <v>80</v>
      </c>
      <c r="E42" s="1" t="s">
        <v>81</v>
      </c>
      <c r="F42" s="1" t="s">
        <v>211</v>
      </c>
      <c r="G42" s="1" t="s">
        <v>56</v>
      </c>
      <c r="H42" s="1" t="s">
        <v>69</v>
      </c>
      <c r="I42" s="1" t="s">
        <v>83</v>
      </c>
      <c r="J42" s="1" t="s">
        <v>77</v>
      </c>
      <c r="K42" s="1" t="s">
        <v>60</v>
      </c>
      <c r="L42" s="1" t="s">
        <v>37</v>
      </c>
      <c r="M42" s="1" t="s">
        <v>62</v>
      </c>
      <c r="N42" s="1" t="n">
        <v>12999</v>
      </c>
      <c r="O42" s="1" t="n">
        <v>25</v>
      </c>
      <c r="P42" s="1" t="n">
        <v>3249.75</v>
      </c>
      <c r="Q42" s="1" t="n">
        <v>9749.25</v>
      </c>
      <c r="R42" s="1" t="n">
        <v>1754.87</v>
      </c>
      <c r="S42" s="1" t="n">
        <v>7994.38</v>
      </c>
      <c r="T42" s="1" t="n">
        <v>3183.21</v>
      </c>
      <c r="U42" s="1" t="n">
        <v>4811.17</v>
      </c>
      <c r="V42" s="1" t="n">
        <v>60.18</v>
      </c>
      <c r="W42" s="1" t="s">
        <v>39</v>
      </c>
      <c r="X42" s="1" t="n">
        <v>3.8</v>
      </c>
      <c r="Y42" s="1" t="s">
        <v>40</v>
      </c>
      <c r="Z42" s="1" t="n">
        <v>1</v>
      </c>
      <c r="AA42" s="1" t="str">
        <f aca="false">TRIM(PROPER(F42))</f>
        <v>Noida</v>
      </c>
      <c r="AB42" s="1" t="str">
        <f aca="false">TRIM(PROPER(C42))</f>
        <v>Great Learning</v>
      </c>
      <c r="AC42" s="1" t="str">
        <f aca="false">IF(O42=0,"No Discount",IF(O42&lt;=15,"Low (1-15%)",IF(O42&lt;=30,"Medium (16-30%)","High (&gt;30%)")))</f>
        <v>Medium (16-30%)</v>
      </c>
      <c r="AD42" s="1" t="str">
        <f aca="false">IF(V42&lt;0,"Loss Making",IF(V42&lt;20,"Low Margin","Healthy Margin"))</f>
        <v>Healthy Margin</v>
      </c>
      <c r="AE42" s="1" t="str">
        <f aca="false">TEXT(DATE(VALUE(RIGHT(B42,4)),VALUE(MID(B42,4,2)),VALUE(LEFT(B42,2))),"MMM-YYYY")</f>
        <v>Jan-2024</v>
      </c>
      <c r="AF42" s="1" t="n">
        <f aca="false">VALUE(RIGHT(B42,4))</f>
        <v>2024</v>
      </c>
      <c r="AG42" s="1" t="str">
        <f aca="false">CHOOSE(ROUNDUP(VALUE(MID(B42,4,2))/3,0),"Q1","Q2","Q3","Q4")</f>
        <v>Q1</v>
      </c>
    </row>
    <row r="43" customFormat="false" ht="15" hidden="false" customHeight="true" outlineLevel="0" collapsed="false">
      <c r="A43" s="1" t="s">
        <v>214</v>
      </c>
      <c r="B43" s="1" t="s">
        <v>215</v>
      </c>
      <c r="C43" s="1" t="s">
        <v>119</v>
      </c>
      <c r="D43" s="1" t="s">
        <v>53</v>
      </c>
      <c r="E43" s="1" t="s">
        <v>216</v>
      </c>
      <c r="F43" s="1" t="s">
        <v>211</v>
      </c>
      <c r="G43" s="1" t="s">
        <v>56</v>
      </c>
      <c r="H43" s="1" t="s">
        <v>69</v>
      </c>
      <c r="I43" s="1" t="s">
        <v>34</v>
      </c>
      <c r="J43" s="1" t="s">
        <v>131</v>
      </c>
      <c r="K43" s="1" t="s">
        <v>84</v>
      </c>
      <c r="L43" s="1" t="s">
        <v>136</v>
      </c>
      <c r="M43" s="1" t="s">
        <v>62</v>
      </c>
      <c r="N43" s="1" t="n">
        <v>7499</v>
      </c>
      <c r="O43" s="1" t="n">
        <v>15</v>
      </c>
      <c r="P43" s="1" t="n">
        <v>1124.85</v>
      </c>
      <c r="Q43" s="1" t="n">
        <v>6374.15</v>
      </c>
      <c r="R43" s="1" t="n">
        <v>1147.35</v>
      </c>
      <c r="S43" s="1" t="n">
        <v>5226.8</v>
      </c>
      <c r="T43" s="1" t="n">
        <v>1637.16</v>
      </c>
      <c r="U43" s="1" t="n">
        <v>3589.64</v>
      </c>
      <c r="V43" s="1" t="n">
        <v>68.68</v>
      </c>
      <c r="W43" s="1" t="s">
        <v>39</v>
      </c>
      <c r="Y43" s="1" t="s">
        <v>40</v>
      </c>
      <c r="Z43" s="1" t="n">
        <v>0</v>
      </c>
      <c r="AA43" s="1" t="str">
        <f aca="false">TRIM(PROPER(F43))</f>
        <v>Noida</v>
      </c>
      <c r="AB43" s="1" t="str">
        <f aca="false">TRIM(PROPER(C43))</f>
        <v>Simplilearn</v>
      </c>
      <c r="AC43" s="1" t="str">
        <f aca="false">IF(O43=0,"No Discount",IF(O43&lt;=15,"Low (1-15%)",IF(O43&lt;=30,"Medium (16-30%)","High (&gt;30%)")))</f>
        <v>Low (1-15%)</v>
      </c>
      <c r="AD43" s="1" t="str">
        <f aca="false">IF(V43&lt;0,"Loss Making",IF(V43&lt;20,"Low Margin","Healthy Margin"))</f>
        <v>Healthy Margin</v>
      </c>
      <c r="AE43" s="1" t="str">
        <f aca="false">TEXT(DATE(VALUE(RIGHT(B43,4)),VALUE(MID(B43,4,2)),VALUE(LEFT(B43,2))),"MMM-YYYY")</f>
        <v>Aug-2023</v>
      </c>
      <c r="AF43" s="1" t="n">
        <f aca="false">VALUE(RIGHT(B43,4))</f>
        <v>2023</v>
      </c>
      <c r="AG43" s="1" t="str">
        <f aca="false">CHOOSE(ROUNDUP(VALUE(MID(B43,4,2))/3,0),"Q1","Q2","Q3","Q4")</f>
        <v>Q3</v>
      </c>
    </row>
    <row r="44" customFormat="false" ht="15" hidden="false" customHeight="true" outlineLevel="0" collapsed="false">
      <c r="A44" s="1" t="s">
        <v>217</v>
      </c>
      <c r="B44" s="1" t="s">
        <v>218</v>
      </c>
      <c r="C44" s="1" t="s">
        <v>65</v>
      </c>
      <c r="D44" s="1" t="s">
        <v>53</v>
      </c>
      <c r="E44" s="1" t="s">
        <v>116</v>
      </c>
      <c r="F44" s="1" t="s">
        <v>96</v>
      </c>
      <c r="G44" s="1" t="s">
        <v>97</v>
      </c>
      <c r="H44" s="1" t="s">
        <v>69</v>
      </c>
      <c r="I44" s="1" t="s">
        <v>34</v>
      </c>
      <c r="J44" s="1" t="s">
        <v>59</v>
      </c>
      <c r="K44" s="1" t="s">
        <v>48</v>
      </c>
      <c r="L44" s="1" t="s">
        <v>61</v>
      </c>
      <c r="M44" s="1" t="s">
        <v>62</v>
      </c>
      <c r="N44" s="1" t="n">
        <v>9999</v>
      </c>
      <c r="O44" s="1" t="n">
        <v>30</v>
      </c>
      <c r="P44" s="1" t="n">
        <v>2999.7</v>
      </c>
      <c r="Q44" s="1" t="n">
        <v>6999.3</v>
      </c>
      <c r="R44" s="1" t="n">
        <v>1259.87</v>
      </c>
      <c r="S44" s="1" t="n">
        <v>5739.43</v>
      </c>
      <c r="T44" s="1" t="n">
        <v>2404.81</v>
      </c>
      <c r="U44" s="1" t="n">
        <v>3334.62</v>
      </c>
      <c r="V44" s="1" t="n">
        <v>58.1</v>
      </c>
      <c r="W44" s="1" t="s">
        <v>39</v>
      </c>
      <c r="X44" s="1" t="n">
        <v>4.2</v>
      </c>
      <c r="Y44" s="1" t="s">
        <v>40</v>
      </c>
      <c r="Z44" s="1" t="n">
        <v>0</v>
      </c>
      <c r="AA44" s="1" t="str">
        <f aca="false">TRIM(PROPER(F44))</f>
        <v>Pune</v>
      </c>
      <c r="AB44" s="1" t="str">
        <f aca="false">TRIM(PROPER(C44))</f>
        <v>Toppr</v>
      </c>
      <c r="AC44" s="1" t="str">
        <f aca="false">IF(O44=0,"No Discount",IF(O44&lt;=15,"Low (1-15%)",IF(O44&lt;=30,"Medium (16-30%)","High (&gt;30%)")))</f>
        <v>Medium (16-30%)</v>
      </c>
      <c r="AD44" s="1" t="str">
        <f aca="false">IF(V44&lt;0,"Loss Making",IF(V44&lt;20,"Low Margin","Healthy Margin"))</f>
        <v>Healthy Margin</v>
      </c>
      <c r="AE44" s="1" t="str">
        <f aca="false">TEXT(DATE(VALUE(RIGHT(B44,4)),VALUE(MID(B44,4,2)),VALUE(LEFT(B44,2))),"MMM-YYYY")</f>
        <v>May-2023</v>
      </c>
      <c r="AF44" s="1" t="n">
        <f aca="false">VALUE(RIGHT(B44,4))</f>
        <v>2023</v>
      </c>
      <c r="AG44" s="1" t="str">
        <f aca="false">CHOOSE(ROUNDUP(VALUE(MID(B44,4,2))/3,0),"Q1","Q2","Q3","Q4")</f>
        <v>Q2</v>
      </c>
    </row>
    <row r="45" customFormat="false" ht="15" hidden="false" customHeight="true" outlineLevel="0" collapsed="false">
      <c r="A45" s="1" t="s">
        <v>219</v>
      </c>
      <c r="B45" s="1" t="s">
        <v>220</v>
      </c>
      <c r="C45" s="1" t="s">
        <v>167</v>
      </c>
      <c r="D45" s="1" t="s">
        <v>44</v>
      </c>
      <c r="E45" s="1" t="s">
        <v>221</v>
      </c>
      <c r="F45" s="1" t="s">
        <v>89</v>
      </c>
      <c r="G45" s="1" t="s">
        <v>68</v>
      </c>
      <c r="H45" s="1" t="s">
        <v>33</v>
      </c>
      <c r="I45" s="1" t="s">
        <v>34</v>
      </c>
      <c r="J45" s="1" t="s">
        <v>70</v>
      </c>
      <c r="K45" s="1" t="s">
        <v>71</v>
      </c>
      <c r="L45" s="1" t="s">
        <v>136</v>
      </c>
      <c r="M45" s="1" t="s">
        <v>50</v>
      </c>
      <c r="N45" s="1" t="n">
        <v>16999</v>
      </c>
      <c r="O45" s="1" t="n">
        <v>25</v>
      </c>
      <c r="P45" s="1" t="n">
        <v>4249.75</v>
      </c>
      <c r="Q45" s="1" t="n">
        <v>12749.25</v>
      </c>
      <c r="R45" s="1" t="n">
        <v>2294.86</v>
      </c>
      <c r="S45" s="1" t="n">
        <v>10454.39</v>
      </c>
      <c r="T45" s="1" t="n">
        <v>5448.17</v>
      </c>
      <c r="U45" s="1" t="n">
        <v>5006.22</v>
      </c>
      <c r="V45" s="1" t="n">
        <v>47.89</v>
      </c>
      <c r="W45" s="1" t="s">
        <v>39</v>
      </c>
      <c r="X45" s="1" t="n">
        <v>4.2</v>
      </c>
      <c r="Y45" s="1" t="s">
        <v>40</v>
      </c>
      <c r="Z45" s="1" t="n">
        <v>1</v>
      </c>
      <c r="AA45" s="1" t="str">
        <f aca="false">TRIM(PROPER(F45))</f>
        <v>Vadodara</v>
      </c>
      <c r="AB45" s="1" t="str">
        <f aca="false">TRIM(PROPER(C45))</f>
        <v>Scaler</v>
      </c>
      <c r="AC45" s="1" t="str">
        <f aca="false">IF(O45=0,"No Discount",IF(O45&lt;=15,"Low (1-15%)",IF(O45&lt;=30,"Medium (16-30%)","High (&gt;30%)")))</f>
        <v>Medium (16-30%)</v>
      </c>
      <c r="AD45" s="1" t="str">
        <f aca="false">IF(V45&lt;0,"Loss Making",IF(V45&lt;20,"Low Margin","Healthy Margin"))</f>
        <v>Healthy Margin</v>
      </c>
      <c r="AE45" s="1" t="str">
        <f aca="false">TEXT(DATE(VALUE(RIGHT(B45,4)),VALUE(MID(B45,4,2)),VALUE(LEFT(B45,2))),"MMM-YYYY")</f>
        <v>Oct-2024</v>
      </c>
      <c r="AF45" s="1" t="n">
        <f aca="false">VALUE(RIGHT(B45,4))</f>
        <v>2024</v>
      </c>
      <c r="AG45" s="1" t="str">
        <f aca="false">CHOOSE(ROUNDUP(VALUE(MID(B45,4,2))/3,0),"Q1","Q2","Q3","Q4")</f>
        <v>Q4</v>
      </c>
    </row>
    <row r="46" customFormat="false" ht="15" hidden="false" customHeight="true" outlineLevel="0" collapsed="false">
      <c r="A46" s="1" t="s">
        <v>222</v>
      </c>
      <c r="B46" s="1" t="s">
        <v>223</v>
      </c>
      <c r="C46" s="1" t="s">
        <v>43</v>
      </c>
      <c r="D46" s="1" t="s">
        <v>80</v>
      </c>
      <c r="E46" s="1" t="s">
        <v>193</v>
      </c>
      <c r="F46" s="1" t="s">
        <v>184</v>
      </c>
      <c r="G46" s="1" t="s">
        <v>56</v>
      </c>
      <c r="H46" s="1" t="s">
        <v>57</v>
      </c>
      <c r="I46" s="1" t="s">
        <v>58</v>
      </c>
      <c r="J46" s="1" t="s">
        <v>77</v>
      </c>
      <c r="K46" s="1" t="s">
        <v>112</v>
      </c>
      <c r="L46" s="1" t="s">
        <v>85</v>
      </c>
      <c r="M46" s="1" t="s">
        <v>50</v>
      </c>
      <c r="N46" s="1" t="n">
        <v>8999</v>
      </c>
      <c r="O46" s="1" t="n">
        <v>50</v>
      </c>
      <c r="P46" s="1" t="n">
        <v>4499.5</v>
      </c>
      <c r="Q46" s="1" t="n">
        <v>4499.5</v>
      </c>
      <c r="R46" s="1" t="n">
        <v>809.91</v>
      </c>
      <c r="S46" s="1" t="n">
        <v>3689.59</v>
      </c>
      <c r="T46" s="1" t="n">
        <v>2052.6</v>
      </c>
      <c r="U46" s="1" t="n">
        <v>1636.99</v>
      </c>
      <c r="V46" s="1" t="n">
        <v>44.37</v>
      </c>
      <c r="W46" s="1" t="s">
        <v>40</v>
      </c>
      <c r="Y46" s="1" t="s">
        <v>39</v>
      </c>
      <c r="Z46" s="1" t="n">
        <v>1</v>
      </c>
      <c r="AA46" s="1" t="str">
        <f aca="false">TRIM(PROPER(F46))</f>
        <v>Faridabad</v>
      </c>
      <c r="AB46" s="1" t="str">
        <f aca="false">TRIM(PROPER(C46))</f>
        <v>Meritnation</v>
      </c>
      <c r="AC46" s="1" t="str">
        <f aca="false">IF(O46=0,"No Discount",IF(O46&lt;=15,"Low (1-15%)",IF(O46&lt;=30,"Medium (16-30%)","High (&gt;30%)")))</f>
        <v>High (&gt;30%)</v>
      </c>
      <c r="AD46" s="1" t="str">
        <f aca="false">IF(V46&lt;0,"Loss Making",IF(V46&lt;20,"Low Margin","Healthy Margin"))</f>
        <v>Healthy Margin</v>
      </c>
      <c r="AE46" s="1" t="str">
        <f aca="false">TEXT(DATE(VALUE(RIGHT(B46,4)),VALUE(MID(B46,4,2)),VALUE(LEFT(B46,2))),"MMM-YYYY")</f>
        <v>Nov-2024</v>
      </c>
      <c r="AF46" s="1" t="n">
        <f aca="false">VALUE(RIGHT(B46,4))</f>
        <v>2024</v>
      </c>
      <c r="AG46" s="1" t="str">
        <f aca="false">CHOOSE(ROUNDUP(VALUE(MID(B46,4,2))/3,0),"Q1","Q2","Q3","Q4")</f>
        <v>Q4</v>
      </c>
    </row>
    <row r="47" customFormat="false" ht="15" hidden="false" customHeight="true" outlineLevel="0" collapsed="false">
      <c r="A47" s="1" t="s">
        <v>224</v>
      </c>
      <c r="B47" s="1" t="s">
        <v>225</v>
      </c>
      <c r="C47" s="1" t="s">
        <v>74</v>
      </c>
      <c r="D47" s="1" t="s">
        <v>94</v>
      </c>
      <c r="E47" s="1" t="s">
        <v>135</v>
      </c>
      <c r="F47" s="1" t="s">
        <v>125</v>
      </c>
      <c r="G47" s="1" t="s">
        <v>108</v>
      </c>
      <c r="H47" s="1" t="s">
        <v>69</v>
      </c>
      <c r="I47" s="1" t="s">
        <v>58</v>
      </c>
      <c r="J47" s="1" t="s">
        <v>59</v>
      </c>
      <c r="K47" s="1" t="s">
        <v>84</v>
      </c>
      <c r="L47" s="1" t="s">
        <v>61</v>
      </c>
      <c r="M47" s="1" t="s">
        <v>38</v>
      </c>
      <c r="N47" s="1" t="n">
        <v>9999</v>
      </c>
      <c r="O47" s="1" t="n">
        <v>30</v>
      </c>
      <c r="P47" s="1" t="n">
        <v>2999.7</v>
      </c>
      <c r="Q47" s="1" t="n">
        <v>6999.3</v>
      </c>
      <c r="R47" s="1" t="n">
        <v>1259.87</v>
      </c>
      <c r="S47" s="1" t="n">
        <v>5739.43</v>
      </c>
      <c r="T47" s="1" t="n">
        <v>2797.85</v>
      </c>
      <c r="U47" s="1" t="n">
        <v>2941.58</v>
      </c>
      <c r="V47" s="1" t="n">
        <v>51.25</v>
      </c>
      <c r="W47" s="1" t="s">
        <v>39</v>
      </c>
      <c r="X47" s="1" t="n">
        <v>3.1</v>
      </c>
      <c r="Y47" s="1" t="s">
        <v>40</v>
      </c>
      <c r="Z47" s="1" t="n">
        <v>0</v>
      </c>
      <c r="AA47" s="1" t="str">
        <f aca="false">TRIM(PROPER(F47))</f>
        <v>Chennai</v>
      </c>
      <c r="AB47" s="1" t="str">
        <f aca="false">TRIM(PROPER(C47))</f>
        <v>Vedantu</v>
      </c>
      <c r="AC47" s="1" t="str">
        <f aca="false">IF(O47=0,"No Discount",IF(O47&lt;=15,"Low (1-15%)",IF(O47&lt;=30,"Medium (16-30%)","High (&gt;30%)")))</f>
        <v>Medium (16-30%)</v>
      </c>
      <c r="AD47" s="1" t="str">
        <f aca="false">IF(V47&lt;0,"Loss Making",IF(V47&lt;20,"Low Margin","Healthy Margin"))</f>
        <v>Healthy Margin</v>
      </c>
      <c r="AE47" s="1" t="str">
        <f aca="false">TEXT(DATE(VALUE(RIGHT(B47,4)),VALUE(MID(B47,4,2)),VALUE(LEFT(B47,2))),"MMM-YYYY")</f>
        <v>May-2024</v>
      </c>
      <c r="AF47" s="1" t="n">
        <f aca="false">VALUE(RIGHT(B47,4))</f>
        <v>2024</v>
      </c>
      <c r="AG47" s="1" t="str">
        <f aca="false">CHOOSE(ROUNDUP(VALUE(MID(B47,4,2))/3,0),"Q1","Q2","Q3","Q4")</f>
        <v>Q2</v>
      </c>
    </row>
    <row r="48" customFormat="false" ht="15" hidden="false" customHeight="true" outlineLevel="0" collapsed="false">
      <c r="A48" s="1" t="s">
        <v>226</v>
      </c>
      <c r="B48" s="1" t="s">
        <v>227</v>
      </c>
      <c r="C48" s="1" t="s">
        <v>134</v>
      </c>
      <c r="D48" s="1" t="s">
        <v>123</v>
      </c>
      <c r="E48" s="1" t="s">
        <v>124</v>
      </c>
      <c r="F48" s="1" t="s">
        <v>187</v>
      </c>
      <c r="G48" s="1" t="s">
        <v>97</v>
      </c>
      <c r="H48" s="1" t="s">
        <v>69</v>
      </c>
      <c r="I48" s="1" t="s">
        <v>83</v>
      </c>
      <c r="J48" s="1" t="s">
        <v>35</v>
      </c>
      <c r="K48" s="1" t="s">
        <v>71</v>
      </c>
      <c r="L48" s="1" t="s">
        <v>136</v>
      </c>
      <c r="M48" s="1" t="s">
        <v>62</v>
      </c>
      <c r="N48" s="1" t="n">
        <v>4999</v>
      </c>
      <c r="O48" s="1" t="n">
        <v>0</v>
      </c>
      <c r="P48" s="1" t="n">
        <v>0</v>
      </c>
      <c r="Q48" s="1" t="n">
        <v>4999</v>
      </c>
      <c r="R48" s="1" t="n">
        <v>899.82</v>
      </c>
      <c r="S48" s="1" t="n">
        <v>4099.18</v>
      </c>
      <c r="T48" s="1" t="n">
        <v>1743.29</v>
      </c>
      <c r="U48" s="1" t="n">
        <v>2355.89</v>
      </c>
      <c r="V48" s="1" t="n">
        <v>57.47</v>
      </c>
      <c r="W48" s="1" t="s">
        <v>39</v>
      </c>
      <c r="X48" s="1" t="n">
        <v>3.1</v>
      </c>
      <c r="Y48" s="1" t="s">
        <v>40</v>
      </c>
      <c r="Z48" s="1" t="n">
        <v>0</v>
      </c>
      <c r="AA48" s="1" t="str">
        <f aca="false">TRIM(PROPER(F48))</f>
        <v>Mumbai</v>
      </c>
      <c r="AB48" s="1" t="str">
        <f aca="false">TRIM(PROPER(C48))</f>
        <v>Doubtnut</v>
      </c>
      <c r="AC48" s="1" t="str">
        <f aca="false">IF(O48=0,"No Discount",IF(O48&lt;=15,"Low (1-15%)",IF(O48&lt;=30,"Medium (16-30%)","High (&gt;30%)")))</f>
        <v>No Discount</v>
      </c>
      <c r="AD48" s="1" t="str">
        <f aca="false">IF(V48&lt;0,"Loss Making",IF(V48&lt;20,"Low Margin","Healthy Margin"))</f>
        <v>Healthy Margin</v>
      </c>
      <c r="AE48" s="1" t="str">
        <f aca="false">TEXT(DATE(VALUE(RIGHT(B48,4)),VALUE(MID(B48,4,2)),VALUE(LEFT(B48,2))),"MMM-YYYY")</f>
        <v>Aug-2023</v>
      </c>
      <c r="AF48" s="1" t="n">
        <f aca="false">VALUE(RIGHT(B48,4))</f>
        <v>2023</v>
      </c>
      <c r="AG48" s="1" t="str">
        <f aca="false">CHOOSE(ROUNDUP(VALUE(MID(B48,4,2))/3,0),"Q1","Q2","Q3","Q4")</f>
        <v>Q3</v>
      </c>
    </row>
    <row r="49" customFormat="false" ht="15" hidden="false" customHeight="true" outlineLevel="0" collapsed="false">
      <c r="A49" s="1" t="s">
        <v>228</v>
      </c>
      <c r="B49" s="1" t="s">
        <v>229</v>
      </c>
      <c r="C49" s="1" t="s">
        <v>139</v>
      </c>
      <c r="D49" s="1" t="s">
        <v>44</v>
      </c>
      <c r="E49" s="1" t="s">
        <v>45</v>
      </c>
      <c r="F49" s="1" t="s">
        <v>67</v>
      </c>
      <c r="G49" s="1" t="s">
        <v>68</v>
      </c>
      <c r="H49" s="1" t="s">
        <v>69</v>
      </c>
      <c r="I49" s="1" t="s">
        <v>58</v>
      </c>
      <c r="J49" s="1" t="s">
        <v>70</v>
      </c>
      <c r="K49" s="1" t="s">
        <v>60</v>
      </c>
      <c r="L49" s="1" t="s">
        <v>136</v>
      </c>
      <c r="M49" s="1" t="s">
        <v>38</v>
      </c>
      <c r="N49" s="1" t="n">
        <v>11999</v>
      </c>
      <c r="O49" s="1" t="n">
        <v>10</v>
      </c>
      <c r="P49" s="1" t="n">
        <v>1199.9</v>
      </c>
      <c r="Q49" s="1" t="n">
        <v>10799.1</v>
      </c>
      <c r="R49" s="1" t="n">
        <v>1943.84</v>
      </c>
      <c r="S49" s="1" t="n">
        <v>8855.26</v>
      </c>
      <c r="T49" s="1" t="n">
        <v>4140.28</v>
      </c>
      <c r="U49" s="1" t="n">
        <v>4714.98</v>
      </c>
      <c r="V49" s="1" t="n">
        <v>53.24</v>
      </c>
      <c r="W49" s="1" t="s">
        <v>39</v>
      </c>
      <c r="Y49" s="1" t="s">
        <v>40</v>
      </c>
      <c r="Z49" s="1" t="n">
        <v>0</v>
      </c>
      <c r="AA49" s="1" t="str">
        <f aca="false">TRIM(PROPER(F49))</f>
        <v>Ahmedabad</v>
      </c>
      <c r="AB49" s="1" t="str">
        <f aca="false">TRIM(PROPER(C49))</f>
        <v>Extramarks</v>
      </c>
      <c r="AC49" s="1" t="str">
        <f aca="false">IF(O49=0,"No Discount",IF(O49&lt;=15,"Low (1-15%)",IF(O49&lt;=30,"Medium (16-30%)","High (&gt;30%)")))</f>
        <v>Low (1-15%)</v>
      </c>
      <c r="AD49" s="1" t="str">
        <f aca="false">IF(V49&lt;0,"Loss Making",IF(V49&lt;20,"Low Margin","Healthy Margin"))</f>
        <v>Healthy Margin</v>
      </c>
      <c r="AE49" s="1" t="str">
        <f aca="false">TEXT(DATE(VALUE(RIGHT(B49,4)),VALUE(MID(B49,4,2)),VALUE(LEFT(B49,2))),"MMM-YYYY")</f>
        <v>Jun-2023</v>
      </c>
      <c r="AF49" s="1" t="n">
        <f aca="false">VALUE(RIGHT(B49,4))</f>
        <v>2023</v>
      </c>
      <c r="AG49" s="1" t="str">
        <f aca="false">CHOOSE(ROUNDUP(VALUE(MID(B49,4,2))/3,0),"Q1","Q2","Q3","Q4")</f>
        <v>Q2</v>
      </c>
    </row>
    <row r="50" customFormat="false" ht="15" hidden="false" customHeight="true" outlineLevel="0" collapsed="false">
      <c r="A50" s="1" t="s">
        <v>230</v>
      </c>
      <c r="B50" s="1" t="s">
        <v>127</v>
      </c>
      <c r="C50" s="1" t="s">
        <v>43</v>
      </c>
      <c r="D50" s="1" t="s">
        <v>80</v>
      </c>
      <c r="E50" s="1" t="s">
        <v>193</v>
      </c>
      <c r="F50" s="1" t="s">
        <v>187</v>
      </c>
      <c r="G50" s="1" t="s">
        <v>97</v>
      </c>
      <c r="H50" s="1" t="s">
        <v>69</v>
      </c>
      <c r="I50" s="1" t="s">
        <v>34</v>
      </c>
      <c r="J50" s="1" t="s">
        <v>131</v>
      </c>
      <c r="K50" s="1" t="s">
        <v>90</v>
      </c>
      <c r="L50" s="1" t="s">
        <v>37</v>
      </c>
      <c r="M50" s="1" t="s">
        <v>38</v>
      </c>
      <c r="N50" s="1" t="n">
        <v>8999</v>
      </c>
      <c r="O50" s="1" t="n">
        <v>0</v>
      </c>
      <c r="P50" s="1" t="n">
        <v>0</v>
      </c>
      <c r="Q50" s="1" t="n">
        <v>8999</v>
      </c>
      <c r="R50" s="1" t="n">
        <v>1619.82</v>
      </c>
      <c r="S50" s="1" t="n">
        <v>7379.18</v>
      </c>
      <c r="T50" s="1" t="n">
        <v>3259.12</v>
      </c>
      <c r="U50" s="1" t="n">
        <v>4120.06</v>
      </c>
      <c r="V50" s="1" t="n">
        <v>55.83</v>
      </c>
      <c r="W50" s="1" t="s">
        <v>39</v>
      </c>
      <c r="X50" s="1" t="n">
        <v>4.5</v>
      </c>
      <c r="Y50" s="1" t="s">
        <v>40</v>
      </c>
      <c r="Z50" s="1" t="n">
        <v>0</v>
      </c>
      <c r="AA50" s="1" t="str">
        <f aca="false">TRIM(PROPER(F50))</f>
        <v>Mumbai</v>
      </c>
      <c r="AB50" s="1" t="str">
        <f aca="false">TRIM(PROPER(C50))</f>
        <v>Meritnation</v>
      </c>
      <c r="AC50" s="1" t="str">
        <f aca="false">IF(O50=0,"No Discount",IF(O50&lt;=15,"Low (1-15%)",IF(O50&lt;=30,"Medium (16-30%)","High (&gt;30%)")))</f>
        <v>No Discount</v>
      </c>
      <c r="AD50" s="1" t="str">
        <f aca="false">IF(V50&lt;0,"Loss Making",IF(V50&lt;20,"Low Margin","Healthy Margin"))</f>
        <v>Healthy Margin</v>
      </c>
      <c r="AE50" s="1" t="str">
        <f aca="false">TEXT(DATE(VALUE(RIGHT(B50,4)),VALUE(MID(B50,4,2)),VALUE(LEFT(B50,2))),"MMM-YYYY")</f>
        <v>Dec-2024</v>
      </c>
      <c r="AF50" s="1" t="n">
        <f aca="false">VALUE(RIGHT(B50,4))</f>
        <v>2024</v>
      </c>
      <c r="AG50" s="1" t="str">
        <f aca="false">CHOOSE(ROUNDUP(VALUE(MID(B50,4,2))/3,0),"Q1","Q2","Q3","Q4")</f>
        <v>Q4</v>
      </c>
    </row>
    <row r="51" customFormat="false" ht="15" hidden="false" customHeight="true" outlineLevel="0" collapsed="false">
      <c r="A51" s="1" t="s">
        <v>231</v>
      </c>
      <c r="B51" s="1" t="s">
        <v>232</v>
      </c>
      <c r="C51" s="1" t="s">
        <v>167</v>
      </c>
      <c r="D51" s="1" t="s">
        <v>123</v>
      </c>
      <c r="E51" s="1" t="s">
        <v>233</v>
      </c>
      <c r="F51" s="1" t="s">
        <v>111</v>
      </c>
      <c r="G51" s="1" t="s">
        <v>56</v>
      </c>
      <c r="H51" s="1" t="s">
        <v>69</v>
      </c>
      <c r="I51" s="1" t="s">
        <v>34</v>
      </c>
      <c r="J51" s="1" t="s">
        <v>70</v>
      </c>
      <c r="K51" s="1" t="s">
        <v>112</v>
      </c>
      <c r="L51" s="1" t="s">
        <v>136</v>
      </c>
      <c r="M51" s="1" t="s">
        <v>38</v>
      </c>
      <c r="N51" s="1" t="n">
        <v>8999</v>
      </c>
      <c r="O51" s="1" t="n">
        <v>0</v>
      </c>
      <c r="P51" s="1" t="n">
        <v>0</v>
      </c>
      <c r="Q51" s="1" t="n">
        <v>8999</v>
      </c>
      <c r="R51" s="1" t="n">
        <v>1619.82</v>
      </c>
      <c r="S51" s="1" t="n">
        <v>7379.18</v>
      </c>
      <c r="T51" s="1" t="n">
        <v>2457.09</v>
      </c>
      <c r="U51" s="1" t="n">
        <v>4922.09</v>
      </c>
      <c r="V51" s="1" t="n">
        <v>66.7</v>
      </c>
      <c r="W51" s="1" t="s">
        <v>39</v>
      </c>
      <c r="X51" s="1" t="n">
        <v>3.8</v>
      </c>
      <c r="Y51" s="1" t="s">
        <v>40</v>
      </c>
      <c r="Z51" s="1" t="n">
        <v>0</v>
      </c>
      <c r="AA51" s="1" t="str">
        <f aca="false">TRIM(PROPER(F51))</f>
        <v>Noida</v>
      </c>
      <c r="AB51" s="1" t="str">
        <f aca="false">TRIM(PROPER(C51))</f>
        <v>Scaler</v>
      </c>
      <c r="AC51" s="1" t="str">
        <f aca="false">IF(O51=0,"No Discount",IF(O51&lt;=15,"Low (1-15%)",IF(O51&lt;=30,"Medium (16-30%)","High (&gt;30%)")))</f>
        <v>No Discount</v>
      </c>
      <c r="AD51" s="1" t="str">
        <f aca="false">IF(V51&lt;0,"Loss Making",IF(V51&lt;20,"Low Margin","Healthy Margin"))</f>
        <v>Healthy Margin</v>
      </c>
      <c r="AE51" s="1" t="str">
        <f aca="false">TEXT(DATE(VALUE(RIGHT(B51,4)),VALUE(MID(B51,4,2)),VALUE(LEFT(B51,2))),"MMM-YYYY")</f>
        <v>Sep-2024</v>
      </c>
      <c r="AF51" s="1" t="n">
        <f aca="false">VALUE(RIGHT(B51,4))</f>
        <v>2024</v>
      </c>
      <c r="AG51" s="1" t="str">
        <f aca="false">CHOOSE(ROUNDUP(VALUE(MID(B51,4,2))/3,0),"Q1","Q2","Q3","Q4")</f>
        <v>Q3</v>
      </c>
    </row>
    <row r="52" customFormat="false" ht="15" hidden="false" customHeight="true" outlineLevel="0" collapsed="false">
      <c r="A52" s="1" t="s">
        <v>234</v>
      </c>
      <c r="B52" s="1" t="s">
        <v>235</v>
      </c>
      <c r="C52" s="1" t="s">
        <v>100</v>
      </c>
      <c r="D52" s="1" t="s">
        <v>94</v>
      </c>
      <c r="E52" s="1" t="s">
        <v>101</v>
      </c>
      <c r="F52" s="1" t="s">
        <v>125</v>
      </c>
      <c r="G52" s="1" t="s">
        <v>108</v>
      </c>
      <c r="H52" s="1" t="s">
        <v>69</v>
      </c>
      <c r="I52" s="1" t="s">
        <v>34</v>
      </c>
      <c r="J52" s="1" t="s">
        <v>59</v>
      </c>
      <c r="K52" s="1" t="s">
        <v>36</v>
      </c>
      <c r="L52" s="1" t="s">
        <v>61</v>
      </c>
      <c r="M52" s="1" t="s">
        <v>62</v>
      </c>
      <c r="N52" s="1" t="n">
        <v>14999</v>
      </c>
      <c r="O52" s="1" t="n">
        <v>15</v>
      </c>
      <c r="P52" s="1" t="n">
        <v>2249.85</v>
      </c>
      <c r="Q52" s="1" t="n">
        <v>12749.15</v>
      </c>
      <c r="R52" s="1" t="n">
        <v>2294.85</v>
      </c>
      <c r="S52" s="1" t="n">
        <v>10454.3</v>
      </c>
      <c r="T52" s="1" t="n">
        <v>3767.51</v>
      </c>
      <c r="U52" s="1" t="n">
        <v>6686.79</v>
      </c>
      <c r="V52" s="1" t="n">
        <v>63.96</v>
      </c>
      <c r="W52" s="1" t="s">
        <v>40</v>
      </c>
      <c r="Y52" s="1" t="s">
        <v>40</v>
      </c>
      <c r="Z52" s="1" t="n">
        <v>0</v>
      </c>
      <c r="AA52" s="1" t="str">
        <f aca="false">TRIM(PROPER(F52))</f>
        <v>Chennai</v>
      </c>
      <c r="AB52" s="1" t="str">
        <f aca="false">TRIM(PROPER(C52))</f>
        <v>Physics Wallah</v>
      </c>
      <c r="AC52" s="1" t="str">
        <f aca="false">IF(O52=0,"No Discount",IF(O52&lt;=15,"Low (1-15%)",IF(O52&lt;=30,"Medium (16-30%)","High (&gt;30%)")))</f>
        <v>Low (1-15%)</v>
      </c>
      <c r="AD52" s="1" t="str">
        <f aca="false">IF(V52&lt;0,"Loss Making",IF(V52&lt;20,"Low Margin","Healthy Margin"))</f>
        <v>Healthy Margin</v>
      </c>
      <c r="AE52" s="1" t="str">
        <f aca="false">TEXT(DATE(VALUE(RIGHT(B52,4)),VALUE(MID(B52,4,2)),VALUE(LEFT(B52,2))),"MMM-YYYY")</f>
        <v>Sep-2023</v>
      </c>
      <c r="AF52" s="1" t="n">
        <f aca="false">VALUE(RIGHT(B52,4))</f>
        <v>2023</v>
      </c>
      <c r="AG52" s="1" t="str">
        <f aca="false">CHOOSE(ROUNDUP(VALUE(MID(B52,4,2))/3,0),"Q1","Q2","Q3","Q4")</f>
        <v>Q3</v>
      </c>
    </row>
    <row r="53" customFormat="false" ht="15" hidden="false" customHeight="true" outlineLevel="0" collapsed="false">
      <c r="A53" s="1" t="s">
        <v>236</v>
      </c>
      <c r="B53" s="1" t="s">
        <v>237</v>
      </c>
      <c r="C53" s="1" t="s">
        <v>43</v>
      </c>
      <c r="D53" s="1" t="s">
        <v>143</v>
      </c>
      <c r="E53" s="1" t="s">
        <v>210</v>
      </c>
      <c r="F53" s="1" t="s">
        <v>205</v>
      </c>
      <c r="G53" s="1" t="s">
        <v>56</v>
      </c>
      <c r="H53" s="1" t="s">
        <v>69</v>
      </c>
      <c r="I53" s="1" t="s">
        <v>58</v>
      </c>
      <c r="J53" s="1" t="s">
        <v>131</v>
      </c>
      <c r="K53" s="1" t="s">
        <v>48</v>
      </c>
      <c r="L53" s="1" t="s">
        <v>85</v>
      </c>
      <c r="M53" s="1" t="s">
        <v>38</v>
      </c>
      <c r="N53" s="1" t="n">
        <v>18999</v>
      </c>
      <c r="O53" s="1" t="n">
        <v>30</v>
      </c>
      <c r="P53" s="1" t="n">
        <v>5699.7</v>
      </c>
      <c r="Q53" s="1" t="n">
        <v>13299.3</v>
      </c>
      <c r="R53" s="1" t="n">
        <v>2393.87</v>
      </c>
      <c r="S53" s="1" t="n">
        <v>10905.43</v>
      </c>
      <c r="T53" s="1" t="n">
        <v>3801</v>
      </c>
      <c r="U53" s="1" t="n">
        <v>7104.43</v>
      </c>
      <c r="V53" s="1" t="n">
        <v>65.15</v>
      </c>
      <c r="W53" s="1" t="s">
        <v>40</v>
      </c>
      <c r="Y53" s="1" t="s">
        <v>40</v>
      </c>
      <c r="Z53" s="1" t="n">
        <v>0</v>
      </c>
      <c r="AA53" s="1" t="str">
        <f aca="false">TRIM(PROPER(F53))</f>
        <v>New Delhi</v>
      </c>
      <c r="AB53" s="1" t="str">
        <f aca="false">TRIM(PROPER(C53))</f>
        <v>Meritnation</v>
      </c>
      <c r="AC53" s="1" t="str">
        <f aca="false">IF(O53=0,"No Discount",IF(O53&lt;=15,"Low (1-15%)",IF(O53&lt;=30,"Medium (16-30%)","High (&gt;30%)")))</f>
        <v>Medium (16-30%)</v>
      </c>
      <c r="AD53" s="1" t="str">
        <f aca="false">IF(V53&lt;0,"Loss Making",IF(V53&lt;20,"Low Margin","Healthy Margin"))</f>
        <v>Healthy Margin</v>
      </c>
      <c r="AE53" s="1" t="str">
        <f aca="false">TEXT(DATE(VALUE(RIGHT(B53,4)),VALUE(MID(B53,4,2)),VALUE(LEFT(B53,2))),"MMM-YYYY")</f>
        <v>Apr-2024</v>
      </c>
      <c r="AF53" s="1" t="n">
        <f aca="false">VALUE(RIGHT(B53,4))</f>
        <v>2024</v>
      </c>
      <c r="AG53" s="1" t="str">
        <f aca="false">CHOOSE(ROUNDUP(VALUE(MID(B53,4,2))/3,0),"Q1","Q2","Q3","Q4")</f>
        <v>Q2</v>
      </c>
    </row>
    <row r="54" customFormat="false" ht="15" hidden="false" customHeight="true" outlineLevel="0" collapsed="false">
      <c r="A54" s="1" t="s">
        <v>238</v>
      </c>
      <c r="B54" s="1" t="s">
        <v>239</v>
      </c>
      <c r="C54" s="1" t="s">
        <v>88</v>
      </c>
      <c r="D54" s="1" t="s">
        <v>168</v>
      </c>
      <c r="E54" s="1" t="s">
        <v>197</v>
      </c>
      <c r="F54" s="1" t="s">
        <v>194</v>
      </c>
      <c r="G54" s="1" t="s">
        <v>103</v>
      </c>
      <c r="H54" s="1" t="s">
        <v>69</v>
      </c>
      <c r="I54" s="1" t="s">
        <v>34</v>
      </c>
      <c r="J54" s="1" t="s">
        <v>35</v>
      </c>
      <c r="K54" s="1" t="s">
        <v>104</v>
      </c>
      <c r="L54" s="1" t="s">
        <v>113</v>
      </c>
      <c r="M54" s="1" t="s">
        <v>62</v>
      </c>
      <c r="N54" s="1" t="n">
        <v>8499</v>
      </c>
      <c r="O54" s="1" t="n">
        <v>20</v>
      </c>
      <c r="P54" s="1" t="n">
        <v>1699.8</v>
      </c>
      <c r="Q54" s="1" t="n">
        <v>6799.2</v>
      </c>
      <c r="R54" s="1" t="n">
        <v>1223.86</v>
      </c>
      <c r="S54" s="1" t="n">
        <v>5575.34</v>
      </c>
      <c r="T54" s="1" t="n">
        <v>2054.91</v>
      </c>
      <c r="U54" s="1" t="n">
        <v>3520.43</v>
      </c>
      <c r="V54" s="1" t="n">
        <v>63.14</v>
      </c>
      <c r="W54" s="1" t="s">
        <v>39</v>
      </c>
      <c r="X54" s="1" t="n">
        <v>3.6</v>
      </c>
      <c r="Y54" s="1" t="s">
        <v>40</v>
      </c>
      <c r="Z54" s="1" t="n">
        <v>0</v>
      </c>
      <c r="AA54" s="1" t="str">
        <f aca="false">TRIM(PROPER(F54))</f>
        <v>Hyderabad</v>
      </c>
      <c r="AB54" s="1" t="str">
        <f aca="false">TRIM(PROPER(C54))</f>
        <v>Byju'S</v>
      </c>
      <c r="AC54" s="1" t="str">
        <f aca="false">IF(O54=0,"No Discount",IF(O54&lt;=15,"Low (1-15%)",IF(O54&lt;=30,"Medium (16-30%)","High (&gt;30%)")))</f>
        <v>Medium (16-30%)</v>
      </c>
      <c r="AD54" s="1" t="str">
        <f aca="false">IF(V54&lt;0,"Loss Making",IF(V54&lt;20,"Low Margin","Healthy Margin"))</f>
        <v>Healthy Margin</v>
      </c>
      <c r="AE54" s="1" t="str">
        <f aca="false">TEXT(DATE(VALUE(RIGHT(B54,4)),VALUE(MID(B54,4,2)),VALUE(LEFT(B54,2))),"MMM-YYYY")</f>
        <v>Oct-2024</v>
      </c>
      <c r="AF54" s="1" t="n">
        <f aca="false">VALUE(RIGHT(B54,4))</f>
        <v>2024</v>
      </c>
      <c r="AG54" s="1" t="str">
        <f aca="false">CHOOSE(ROUNDUP(VALUE(MID(B54,4,2))/3,0),"Q1","Q2","Q3","Q4")</f>
        <v>Q4</v>
      </c>
    </row>
    <row r="55" customFormat="false" ht="15" hidden="false" customHeight="true" outlineLevel="0" collapsed="false">
      <c r="A55" s="1" t="s">
        <v>240</v>
      </c>
      <c r="B55" s="1" t="s">
        <v>241</v>
      </c>
      <c r="C55" s="1" t="s">
        <v>242</v>
      </c>
      <c r="D55" s="1" t="s">
        <v>143</v>
      </c>
      <c r="E55" s="1" t="s">
        <v>243</v>
      </c>
      <c r="F55" s="1" t="s">
        <v>244</v>
      </c>
      <c r="G55" s="1" t="s">
        <v>97</v>
      </c>
      <c r="H55" s="1" t="s">
        <v>57</v>
      </c>
      <c r="I55" s="1" t="s">
        <v>34</v>
      </c>
      <c r="J55" s="1" t="s">
        <v>77</v>
      </c>
      <c r="K55" s="1" t="s">
        <v>71</v>
      </c>
      <c r="L55" s="1" t="s">
        <v>113</v>
      </c>
      <c r="M55" s="1" t="s">
        <v>62</v>
      </c>
      <c r="N55" s="1" t="n">
        <v>22999</v>
      </c>
      <c r="O55" s="1" t="n">
        <v>15</v>
      </c>
      <c r="P55" s="1" t="n">
        <v>3449.85</v>
      </c>
      <c r="Q55" s="1" t="n">
        <v>19549.15</v>
      </c>
      <c r="R55" s="1" t="n">
        <v>3518.85</v>
      </c>
      <c r="S55" s="1" t="n">
        <v>16030.3</v>
      </c>
      <c r="T55" s="1" t="n">
        <v>7740.39</v>
      </c>
      <c r="U55" s="1" t="n">
        <v>8289.91</v>
      </c>
      <c r="V55" s="1" t="n">
        <v>51.71</v>
      </c>
      <c r="W55" s="1" t="s">
        <v>39</v>
      </c>
      <c r="X55" s="1" t="n">
        <v>4.5</v>
      </c>
      <c r="Y55" s="1" t="s">
        <v>40</v>
      </c>
      <c r="Z55" s="1" t="n">
        <v>0</v>
      </c>
      <c r="AA55" s="1" t="str">
        <f aca="false">TRIM(PROPER(F55))</f>
        <v>Nagpur</v>
      </c>
      <c r="AB55" s="1" t="str">
        <f aca="false">TRIM(PROPER(C55))</f>
        <v>Leverage Edu</v>
      </c>
      <c r="AC55" s="1" t="str">
        <f aca="false">IF(O55=0,"No Discount",IF(O55&lt;=15,"Low (1-15%)",IF(O55&lt;=30,"Medium (16-30%)","High (&gt;30%)")))</f>
        <v>Low (1-15%)</v>
      </c>
      <c r="AD55" s="1" t="str">
        <f aca="false">IF(V55&lt;0,"Loss Making",IF(V55&lt;20,"Low Margin","Healthy Margin"))</f>
        <v>Healthy Margin</v>
      </c>
      <c r="AE55" s="1" t="str">
        <f aca="false">TEXT(DATE(VALUE(RIGHT(B55,4)),VALUE(MID(B55,4,2)),VALUE(LEFT(B55,2))),"MMM-YYYY")</f>
        <v>Nov-2023</v>
      </c>
      <c r="AF55" s="1" t="n">
        <f aca="false">VALUE(RIGHT(B55,4))</f>
        <v>2023</v>
      </c>
      <c r="AG55" s="1" t="str">
        <f aca="false">CHOOSE(ROUNDUP(VALUE(MID(B55,4,2))/3,0),"Q1","Q2","Q3","Q4")</f>
        <v>Q4</v>
      </c>
    </row>
    <row r="56" customFormat="false" ht="15" hidden="false" customHeight="true" outlineLevel="0" collapsed="false">
      <c r="A56" s="1" t="s">
        <v>245</v>
      </c>
      <c r="B56" s="1" t="s">
        <v>246</v>
      </c>
      <c r="C56" s="1" t="s">
        <v>139</v>
      </c>
      <c r="D56" s="1" t="s">
        <v>123</v>
      </c>
      <c r="E56" s="1" t="s">
        <v>233</v>
      </c>
      <c r="F56" s="1" t="s">
        <v>31</v>
      </c>
      <c r="G56" s="1" t="s">
        <v>32</v>
      </c>
      <c r="H56" s="1" t="s">
        <v>33</v>
      </c>
      <c r="I56" s="1" t="s">
        <v>58</v>
      </c>
      <c r="J56" s="1" t="s">
        <v>77</v>
      </c>
      <c r="K56" s="1" t="s">
        <v>71</v>
      </c>
      <c r="L56" s="1" t="s">
        <v>37</v>
      </c>
      <c r="M56" s="1" t="s">
        <v>38</v>
      </c>
      <c r="N56" s="1" t="n">
        <v>8999</v>
      </c>
      <c r="O56" s="1" t="n">
        <v>0</v>
      </c>
      <c r="P56" s="1" t="n">
        <v>0</v>
      </c>
      <c r="Q56" s="1" t="n">
        <v>8999</v>
      </c>
      <c r="R56" s="1" t="n">
        <v>1619.82</v>
      </c>
      <c r="S56" s="1" t="n">
        <v>7379.18</v>
      </c>
      <c r="T56" s="1" t="n">
        <v>3525.06</v>
      </c>
      <c r="U56" s="1" t="n">
        <v>3854.12</v>
      </c>
      <c r="V56" s="1" t="n">
        <v>52.23</v>
      </c>
      <c r="W56" s="1" t="s">
        <v>39</v>
      </c>
      <c r="X56" s="1" t="n">
        <v>3.3</v>
      </c>
      <c r="Y56" s="1" t="s">
        <v>40</v>
      </c>
      <c r="Z56" s="1" t="n">
        <v>0</v>
      </c>
      <c r="AA56" s="1" t="str">
        <f aca="false">TRIM(PROPER(F56))</f>
        <v>Jodhpur</v>
      </c>
      <c r="AB56" s="1" t="str">
        <f aca="false">TRIM(PROPER(C56))</f>
        <v>Extramarks</v>
      </c>
      <c r="AC56" s="1" t="str">
        <f aca="false">IF(O56=0,"No Discount",IF(O56&lt;=15,"Low (1-15%)",IF(O56&lt;=30,"Medium (16-30%)","High (&gt;30%)")))</f>
        <v>No Discount</v>
      </c>
      <c r="AD56" s="1" t="str">
        <f aca="false">IF(V56&lt;0,"Loss Making",IF(V56&lt;20,"Low Margin","Healthy Margin"))</f>
        <v>Healthy Margin</v>
      </c>
      <c r="AE56" s="1" t="str">
        <f aca="false">TEXT(DATE(VALUE(RIGHT(B56,4)),VALUE(MID(B56,4,2)),VALUE(LEFT(B56,2))),"MMM-YYYY")</f>
        <v>Jul-2024</v>
      </c>
      <c r="AF56" s="1" t="n">
        <f aca="false">VALUE(RIGHT(B56,4))</f>
        <v>2024</v>
      </c>
      <c r="AG56" s="1" t="str">
        <f aca="false">CHOOSE(ROUNDUP(VALUE(MID(B56,4,2))/3,0),"Q1","Q2","Q3","Q4")</f>
        <v>Q3</v>
      </c>
    </row>
    <row r="57" customFormat="false" ht="15" hidden="false" customHeight="true" outlineLevel="0" collapsed="false">
      <c r="A57" s="1" t="s">
        <v>247</v>
      </c>
      <c r="B57" s="1" t="s">
        <v>248</v>
      </c>
      <c r="C57" s="1" t="s">
        <v>249</v>
      </c>
      <c r="D57" s="1" t="s">
        <v>53</v>
      </c>
      <c r="E57" s="1" t="s">
        <v>54</v>
      </c>
      <c r="F57" s="1" t="s">
        <v>107</v>
      </c>
      <c r="G57" s="1" t="s">
        <v>108</v>
      </c>
      <c r="H57" s="1" t="s">
        <v>33</v>
      </c>
      <c r="I57" s="1" t="s">
        <v>58</v>
      </c>
      <c r="J57" s="1" t="s">
        <v>77</v>
      </c>
      <c r="K57" s="1" t="s">
        <v>90</v>
      </c>
      <c r="L57" s="1" t="s">
        <v>37</v>
      </c>
      <c r="M57" s="1" t="s">
        <v>62</v>
      </c>
      <c r="N57" s="1" t="n">
        <v>11999</v>
      </c>
      <c r="O57" s="1" t="n">
        <v>40</v>
      </c>
      <c r="P57" s="1" t="n">
        <v>4799.6</v>
      </c>
      <c r="Q57" s="1" t="n">
        <v>7199.4</v>
      </c>
      <c r="R57" s="1" t="n">
        <v>1295.89</v>
      </c>
      <c r="S57" s="1" t="n">
        <v>5903.51</v>
      </c>
      <c r="T57" s="1" t="n">
        <v>3463.78</v>
      </c>
      <c r="U57" s="1" t="n">
        <v>2439.73</v>
      </c>
      <c r="V57" s="1" t="n">
        <v>41.33</v>
      </c>
      <c r="W57" s="1" t="s">
        <v>39</v>
      </c>
      <c r="X57" s="1" t="n">
        <v>3.3</v>
      </c>
      <c r="Y57" s="1" t="s">
        <v>40</v>
      </c>
      <c r="Z57" s="1" t="n">
        <v>0</v>
      </c>
      <c r="AA57" s="1" t="str">
        <f aca="false">TRIM(PROPER(F57))</f>
        <v>Madurai</v>
      </c>
      <c r="AB57" s="1" t="str">
        <f aca="false">TRIM(PROPER(C57))</f>
        <v>Whitehat Jr</v>
      </c>
      <c r="AC57" s="1" t="str">
        <f aca="false">IF(O57=0,"No Discount",IF(O57&lt;=15,"Low (1-15%)",IF(O57&lt;=30,"Medium (16-30%)","High (&gt;30%)")))</f>
        <v>High (&gt;30%)</v>
      </c>
      <c r="AD57" s="1" t="str">
        <f aca="false">IF(V57&lt;0,"Loss Making",IF(V57&lt;20,"Low Margin","Healthy Margin"))</f>
        <v>Healthy Margin</v>
      </c>
      <c r="AE57" s="1" t="str">
        <f aca="false">TEXT(DATE(VALUE(RIGHT(B57,4)),VALUE(MID(B57,4,2)),VALUE(LEFT(B57,2))),"MMM-YYYY")</f>
        <v>Jul-2024</v>
      </c>
      <c r="AF57" s="1" t="n">
        <f aca="false">VALUE(RIGHT(B57,4))</f>
        <v>2024</v>
      </c>
      <c r="AG57" s="1" t="str">
        <f aca="false">CHOOSE(ROUNDUP(VALUE(MID(B57,4,2))/3,0),"Q1","Q2","Q3","Q4")</f>
        <v>Q3</v>
      </c>
    </row>
    <row r="58" customFormat="false" ht="15" hidden="false" customHeight="true" outlineLevel="0" collapsed="false">
      <c r="A58" s="1" t="s">
        <v>250</v>
      </c>
      <c r="B58" s="1" t="s">
        <v>251</v>
      </c>
      <c r="C58" s="1" t="s">
        <v>167</v>
      </c>
      <c r="D58" s="1" t="s">
        <v>53</v>
      </c>
      <c r="E58" s="1" t="s">
        <v>54</v>
      </c>
      <c r="F58" s="1" t="s">
        <v>107</v>
      </c>
      <c r="G58" s="1" t="s">
        <v>108</v>
      </c>
      <c r="H58" s="1" t="s">
        <v>33</v>
      </c>
      <c r="I58" s="1" t="s">
        <v>83</v>
      </c>
      <c r="J58" s="1" t="s">
        <v>131</v>
      </c>
      <c r="K58" s="1" t="s">
        <v>90</v>
      </c>
      <c r="L58" s="1" t="s">
        <v>136</v>
      </c>
      <c r="M58" s="1" t="s">
        <v>50</v>
      </c>
      <c r="N58" s="1" t="n">
        <v>11999</v>
      </c>
      <c r="O58" s="1" t="n">
        <v>0</v>
      </c>
      <c r="P58" s="1" t="n">
        <v>0</v>
      </c>
      <c r="Q58" s="1" t="n">
        <v>11999</v>
      </c>
      <c r="R58" s="1" t="n">
        <v>2159.82</v>
      </c>
      <c r="S58" s="1" t="n">
        <v>9839.18</v>
      </c>
      <c r="T58" s="1" t="n">
        <v>4296.21</v>
      </c>
      <c r="U58" s="1" t="n">
        <v>5542.97</v>
      </c>
      <c r="V58" s="1" t="n">
        <v>56.34</v>
      </c>
      <c r="W58" s="1" t="s">
        <v>40</v>
      </c>
      <c r="Y58" s="1" t="s">
        <v>40</v>
      </c>
      <c r="Z58" s="1" t="n">
        <v>0</v>
      </c>
      <c r="AA58" s="1" t="str">
        <f aca="false">TRIM(PROPER(F58))</f>
        <v>Madurai</v>
      </c>
      <c r="AB58" s="1" t="str">
        <f aca="false">TRIM(PROPER(C58))</f>
        <v>Scaler</v>
      </c>
      <c r="AC58" s="1" t="str">
        <f aca="false">IF(O58=0,"No Discount",IF(O58&lt;=15,"Low (1-15%)",IF(O58&lt;=30,"Medium (16-30%)","High (&gt;30%)")))</f>
        <v>No Discount</v>
      </c>
      <c r="AD58" s="1" t="str">
        <f aca="false">IF(V58&lt;0,"Loss Making",IF(V58&lt;20,"Low Margin","Healthy Margin"))</f>
        <v>Healthy Margin</v>
      </c>
      <c r="AE58" s="1" t="str">
        <f aca="false">TEXT(DATE(VALUE(RIGHT(B58,4)),VALUE(MID(B58,4,2)),VALUE(LEFT(B58,2))),"MMM-YYYY")</f>
        <v>Apr-2023</v>
      </c>
      <c r="AF58" s="1" t="n">
        <f aca="false">VALUE(RIGHT(B58,4))</f>
        <v>2023</v>
      </c>
      <c r="AG58" s="1" t="str">
        <f aca="false">CHOOSE(ROUNDUP(VALUE(MID(B58,4,2))/3,0),"Q1","Q2","Q3","Q4")</f>
        <v>Q2</v>
      </c>
    </row>
    <row r="59" customFormat="false" ht="15" hidden="false" customHeight="true" outlineLevel="0" collapsed="false">
      <c r="A59" s="1" t="s">
        <v>252</v>
      </c>
      <c r="B59" s="1" t="s">
        <v>253</v>
      </c>
      <c r="C59" s="1" t="s">
        <v>178</v>
      </c>
      <c r="D59" s="1" t="s">
        <v>44</v>
      </c>
      <c r="E59" s="1" t="s">
        <v>66</v>
      </c>
      <c r="F59" s="1" t="s">
        <v>96</v>
      </c>
      <c r="G59" s="1" t="s">
        <v>97</v>
      </c>
      <c r="H59" s="1" t="s">
        <v>69</v>
      </c>
      <c r="I59" s="1" t="s">
        <v>58</v>
      </c>
      <c r="J59" s="1" t="s">
        <v>131</v>
      </c>
      <c r="K59" s="1" t="s">
        <v>60</v>
      </c>
      <c r="L59" s="1" t="s">
        <v>49</v>
      </c>
      <c r="M59" s="1" t="s">
        <v>62</v>
      </c>
      <c r="N59" s="1" t="n">
        <v>12999</v>
      </c>
      <c r="O59" s="1" t="n">
        <v>40</v>
      </c>
      <c r="P59" s="1" t="n">
        <v>5199.6</v>
      </c>
      <c r="Q59" s="1" t="n">
        <v>7799.4</v>
      </c>
      <c r="R59" s="1" t="n">
        <v>1403.89</v>
      </c>
      <c r="S59" s="1" t="n">
        <v>6395.51</v>
      </c>
      <c r="T59" s="1" t="n">
        <v>3096.5</v>
      </c>
      <c r="U59" s="1" t="n">
        <v>3299.01</v>
      </c>
      <c r="V59" s="1" t="n">
        <v>51.58</v>
      </c>
      <c r="W59" s="1" t="s">
        <v>40</v>
      </c>
      <c r="Y59" s="1" t="s">
        <v>40</v>
      </c>
      <c r="Z59" s="1" t="n">
        <v>0</v>
      </c>
      <c r="AA59" s="1" t="str">
        <f aca="false">TRIM(PROPER(F59))</f>
        <v>Pune</v>
      </c>
      <c r="AB59" s="1" t="str">
        <f aca="false">TRIM(PROPER(C59))</f>
        <v>Leverage Edu</v>
      </c>
      <c r="AC59" s="1" t="str">
        <f aca="false">IF(O59=0,"No Discount",IF(O59&lt;=15,"Low (1-15%)",IF(O59&lt;=30,"Medium (16-30%)","High (&gt;30%)")))</f>
        <v>High (&gt;30%)</v>
      </c>
      <c r="AD59" s="1" t="str">
        <f aca="false">IF(V59&lt;0,"Loss Making",IF(V59&lt;20,"Low Margin","Healthy Margin"))</f>
        <v>Healthy Margin</v>
      </c>
      <c r="AE59" s="1" t="str">
        <f aca="false">TEXT(DATE(VALUE(RIGHT(B59,4)),VALUE(MID(B59,4,2)),VALUE(LEFT(B59,2))),"MMM-YYYY")</f>
        <v>Sep-2023</v>
      </c>
      <c r="AF59" s="1" t="n">
        <f aca="false">VALUE(RIGHT(B59,4))</f>
        <v>2023</v>
      </c>
      <c r="AG59" s="1" t="str">
        <f aca="false">CHOOSE(ROUNDUP(VALUE(MID(B59,4,2))/3,0),"Q1","Q2","Q3","Q4")</f>
        <v>Q3</v>
      </c>
    </row>
    <row r="60" customFormat="false" ht="15" hidden="false" customHeight="true" outlineLevel="0" collapsed="false">
      <c r="A60" s="1" t="s">
        <v>254</v>
      </c>
      <c r="B60" s="1" t="s">
        <v>255</v>
      </c>
      <c r="C60" s="1" t="s">
        <v>139</v>
      </c>
      <c r="D60" s="1" t="s">
        <v>29</v>
      </c>
      <c r="E60" s="1" t="s">
        <v>30</v>
      </c>
      <c r="F60" s="1" t="s">
        <v>125</v>
      </c>
      <c r="G60" s="1" t="s">
        <v>108</v>
      </c>
      <c r="H60" s="1" t="s">
        <v>69</v>
      </c>
      <c r="I60" s="1" t="s">
        <v>83</v>
      </c>
      <c r="J60" s="1" t="s">
        <v>70</v>
      </c>
      <c r="K60" s="1" t="s">
        <v>71</v>
      </c>
      <c r="L60" s="1" t="s">
        <v>49</v>
      </c>
      <c r="M60" s="1" t="s">
        <v>38</v>
      </c>
      <c r="N60" s="1" t="n">
        <v>7999</v>
      </c>
      <c r="O60" s="1" t="n">
        <v>5</v>
      </c>
      <c r="P60" s="1" t="n">
        <v>399.95</v>
      </c>
      <c r="Q60" s="1" t="n">
        <v>7599.05</v>
      </c>
      <c r="R60" s="1" t="n">
        <v>1367.83</v>
      </c>
      <c r="S60" s="1" t="n">
        <v>6231.22</v>
      </c>
      <c r="T60" s="1" t="n">
        <v>2645.48</v>
      </c>
      <c r="U60" s="1" t="n">
        <v>3585.74</v>
      </c>
      <c r="V60" s="1" t="n">
        <v>57.54</v>
      </c>
      <c r="W60" s="1" t="s">
        <v>39</v>
      </c>
      <c r="X60" s="1" t="n">
        <v>4.5</v>
      </c>
      <c r="Y60" s="1" t="s">
        <v>40</v>
      </c>
      <c r="Z60" s="1" t="n">
        <v>0</v>
      </c>
      <c r="AA60" s="1" t="str">
        <f aca="false">TRIM(PROPER(F60))</f>
        <v>Chennai</v>
      </c>
      <c r="AB60" s="1" t="str">
        <f aca="false">TRIM(PROPER(C60))</f>
        <v>Extramarks</v>
      </c>
      <c r="AC60" s="1" t="str">
        <f aca="false">IF(O60=0,"No Discount",IF(O60&lt;=15,"Low (1-15%)",IF(O60&lt;=30,"Medium (16-30%)","High (&gt;30%)")))</f>
        <v>Low (1-15%)</v>
      </c>
      <c r="AD60" s="1" t="str">
        <f aca="false">IF(V60&lt;0,"Loss Making",IF(V60&lt;20,"Low Margin","Healthy Margin"))</f>
        <v>Healthy Margin</v>
      </c>
      <c r="AE60" s="1" t="str">
        <f aca="false">TEXT(DATE(VALUE(RIGHT(B60,4)),VALUE(MID(B60,4,2)),VALUE(LEFT(B60,2))),"MMM-YYYY")</f>
        <v>Nov-2024</v>
      </c>
      <c r="AF60" s="1" t="n">
        <f aca="false">VALUE(RIGHT(B60,4))</f>
        <v>2024</v>
      </c>
      <c r="AG60" s="1" t="str">
        <f aca="false">CHOOSE(ROUNDUP(VALUE(MID(B60,4,2))/3,0),"Q1","Q2","Q3","Q4")</f>
        <v>Q4</v>
      </c>
    </row>
    <row r="61" customFormat="false" ht="15" hidden="false" customHeight="true" outlineLevel="0" collapsed="false">
      <c r="A61" s="1" t="s">
        <v>256</v>
      </c>
      <c r="B61" s="1" t="s">
        <v>257</v>
      </c>
      <c r="C61" s="1" t="s">
        <v>167</v>
      </c>
      <c r="D61" s="1" t="s">
        <v>29</v>
      </c>
      <c r="E61" s="1" t="s">
        <v>129</v>
      </c>
      <c r="F61" s="1" t="s">
        <v>67</v>
      </c>
      <c r="G61" s="1" t="s">
        <v>68</v>
      </c>
      <c r="H61" s="1" t="s">
        <v>69</v>
      </c>
      <c r="I61" s="1" t="s">
        <v>34</v>
      </c>
      <c r="J61" s="1" t="s">
        <v>77</v>
      </c>
      <c r="K61" s="1" t="s">
        <v>90</v>
      </c>
      <c r="L61" s="1" t="s">
        <v>49</v>
      </c>
      <c r="M61" s="1" t="s">
        <v>62</v>
      </c>
      <c r="N61" s="1" t="n">
        <v>29999</v>
      </c>
      <c r="O61" s="1" t="n">
        <v>40</v>
      </c>
      <c r="P61" s="1" t="n">
        <v>11999.6</v>
      </c>
      <c r="Q61" s="1" t="n">
        <v>17999.4</v>
      </c>
      <c r="R61" s="1" t="n">
        <v>3239.89</v>
      </c>
      <c r="S61" s="1" t="n">
        <v>14759.51</v>
      </c>
      <c r="T61" s="1" t="n">
        <v>8037.87</v>
      </c>
      <c r="U61" s="1" t="n">
        <v>6721.64</v>
      </c>
      <c r="V61" s="1" t="n">
        <v>45.54</v>
      </c>
      <c r="W61" s="1" t="s">
        <v>39</v>
      </c>
      <c r="X61" s="1" t="n">
        <v>3.6</v>
      </c>
      <c r="Y61" s="1" t="s">
        <v>40</v>
      </c>
      <c r="Z61" s="1" t="n">
        <v>0</v>
      </c>
      <c r="AA61" s="1" t="str">
        <f aca="false">TRIM(PROPER(F61))</f>
        <v>Ahmedabad</v>
      </c>
      <c r="AB61" s="1" t="str">
        <f aca="false">TRIM(PROPER(C61))</f>
        <v>Scaler</v>
      </c>
      <c r="AC61" s="1" t="str">
        <f aca="false">IF(O61=0,"No Discount",IF(O61&lt;=15,"Low (1-15%)",IF(O61&lt;=30,"Medium (16-30%)","High (&gt;30%)")))</f>
        <v>High (&gt;30%)</v>
      </c>
      <c r="AD61" s="1" t="str">
        <f aca="false">IF(V61&lt;0,"Loss Making",IF(V61&lt;20,"Low Margin","Healthy Margin"))</f>
        <v>Healthy Margin</v>
      </c>
      <c r="AE61" s="1" t="str">
        <f aca="false">TEXT(DATE(VALUE(RIGHT(B61,4)),VALUE(MID(B61,4,2)),VALUE(LEFT(B61,2))),"MMM-YYYY")</f>
        <v>Jun-2023</v>
      </c>
      <c r="AF61" s="1" t="n">
        <f aca="false">VALUE(RIGHT(B61,4))</f>
        <v>2023</v>
      </c>
      <c r="AG61" s="1" t="str">
        <f aca="false">CHOOSE(ROUNDUP(VALUE(MID(B61,4,2))/3,0),"Q1","Q2","Q3","Q4")</f>
        <v>Q2</v>
      </c>
    </row>
    <row r="62" customFormat="false" ht="15" hidden="false" customHeight="true" outlineLevel="0" collapsed="false">
      <c r="A62" s="1" t="s">
        <v>258</v>
      </c>
      <c r="B62" s="1" t="s">
        <v>259</v>
      </c>
      <c r="C62" s="1" t="s">
        <v>100</v>
      </c>
      <c r="D62" s="1" t="s">
        <v>123</v>
      </c>
      <c r="E62" s="1" t="s">
        <v>233</v>
      </c>
      <c r="F62" s="1" t="s">
        <v>184</v>
      </c>
      <c r="G62" s="1" t="s">
        <v>56</v>
      </c>
      <c r="H62" s="1" t="s">
        <v>57</v>
      </c>
      <c r="I62" s="1" t="s">
        <v>34</v>
      </c>
      <c r="J62" s="1" t="s">
        <v>35</v>
      </c>
      <c r="K62" s="1" t="s">
        <v>36</v>
      </c>
      <c r="L62" s="1" t="s">
        <v>49</v>
      </c>
      <c r="M62" s="1" t="s">
        <v>62</v>
      </c>
      <c r="N62" s="1" t="n">
        <v>8999</v>
      </c>
      <c r="O62" s="1" t="n">
        <v>50</v>
      </c>
      <c r="P62" s="1" t="n">
        <v>4499.5</v>
      </c>
      <c r="Q62" s="1" t="n">
        <v>4499.5</v>
      </c>
      <c r="R62" s="1" t="n">
        <v>809.91</v>
      </c>
      <c r="S62" s="1" t="n">
        <v>3689.59</v>
      </c>
      <c r="T62" s="1" t="n">
        <v>1907.33</v>
      </c>
      <c r="U62" s="1" t="n">
        <v>1782.26</v>
      </c>
      <c r="V62" s="1" t="n">
        <v>48.31</v>
      </c>
      <c r="W62" s="1" t="s">
        <v>40</v>
      </c>
      <c r="Y62" s="1" t="s">
        <v>40</v>
      </c>
      <c r="Z62" s="1" t="n">
        <v>1</v>
      </c>
      <c r="AA62" s="1" t="str">
        <f aca="false">TRIM(PROPER(F62))</f>
        <v>Faridabad</v>
      </c>
      <c r="AB62" s="1" t="str">
        <f aca="false">TRIM(PROPER(C62))</f>
        <v>Physics Wallah</v>
      </c>
      <c r="AC62" s="1" t="str">
        <f aca="false">IF(O62=0,"No Discount",IF(O62&lt;=15,"Low (1-15%)",IF(O62&lt;=30,"Medium (16-30%)","High (&gt;30%)")))</f>
        <v>High (&gt;30%)</v>
      </c>
      <c r="AD62" s="1" t="str">
        <f aca="false">IF(V62&lt;0,"Loss Making",IF(V62&lt;20,"Low Margin","Healthy Margin"))</f>
        <v>Healthy Margin</v>
      </c>
      <c r="AE62" s="1" t="str">
        <f aca="false">TEXT(DATE(VALUE(RIGHT(B62,4)),VALUE(MID(B62,4,2)),VALUE(LEFT(B62,2))),"MMM-YYYY")</f>
        <v>Dec-2024</v>
      </c>
      <c r="AF62" s="1" t="n">
        <f aca="false">VALUE(RIGHT(B62,4))</f>
        <v>2024</v>
      </c>
      <c r="AG62" s="1" t="str">
        <f aca="false">CHOOSE(ROUNDUP(VALUE(MID(B62,4,2))/3,0),"Q1","Q2","Q3","Q4")</f>
        <v>Q4</v>
      </c>
    </row>
    <row r="63" customFormat="false" ht="15" hidden="false" customHeight="true" outlineLevel="0" collapsed="false">
      <c r="A63" s="1" t="s">
        <v>260</v>
      </c>
      <c r="B63" s="1" t="s">
        <v>261</v>
      </c>
      <c r="C63" s="1" t="s">
        <v>65</v>
      </c>
      <c r="D63" s="1" t="s">
        <v>53</v>
      </c>
      <c r="E63" s="1" t="s">
        <v>216</v>
      </c>
      <c r="F63" s="1" t="s">
        <v>194</v>
      </c>
      <c r="G63" s="1" t="s">
        <v>103</v>
      </c>
      <c r="H63" s="1" t="s">
        <v>69</v>
      </c>
      <c r="I63" s="1" t="s">
        <v>58</v>
      </c>
      <c r="J63" s="1" t="s">
        <v>70</v>
      </c>
      <c r="K63" s="1" t="s">
        <v>104</v>
      </c>
      <c r="L63" s="1" t="s">
        <v>49</v>
      </c>
      <c r="M63" s="1" t="s">
        <v>38</v>
      </c>
      <c r="N63" s="1" t="n">
        <v>7499</v>
      </c>
      <c r="O63" s="1" t="n">
        <v>50</v>
      </c>
      <c r="P63" s="1" t="n">
        <v>3749.5</v>
      </c>
      <c r="Q63" s="1" t="n">
        <v>3749.5</v>
      </c>
      <c r="R63" s="1" t="n">
        <v>674.91</v>
      </c>
      <c r="S63" s="1" t="n">
        <v>3074.59</v>
      </c>
      <c r="T63" s="1" t="n">
        <v>1257.82</v>
      </c>
      <c r="U63" s="1" t="n">
        <v>1816.77</v>
      </c>
      <c r="V63" s="1" t="n">
        <v>59.09</v>
      </c>
      <c r="W63" s="1" t="s">
        <v>39</v>
      </c>
      <c r="X63" s="1" t="n">
        <v>3.7</v>
      </c>
      <c r="Y63" s="1" t="s">
        <v>40</v>
      </c>
      <c r="Z63" s="1" t="n">
        <v>0</v>
      </c>
      <c r="AA63" s="1" t="str">
        <f aca="false">TRIM(PROPER(F63))</f>
        <v>Hyderabad</v>
      </c>
      <c r="AB63" s="1" t="str">
        <f aca="false">TRIM(PROPER(C63))</f>
        <v>Toppr</v>
      </c>
      <c r="AC63" s="1" t="str">
        <f aca="false">IF(O63=0,"No Discount",IF(O63&lt;=15,"Low (1-15%)",IF(O63&lt;=30,"Medium (16-30%)","High (&gt;30%)")))</f>
        <v>High (&gt;30%)</v>
      </c>
      <c r="AD63" s="1" t="str">
        <f aca="false">IF(V63&lt;0,"Loss Making",IF(V63&lt;20,"Low Margin","Healthy Margin"))</f>
        <v>Healthy Margin</v>
      </c>
      <c r="AE63" s="1" t="str">
        <f aca="false">TEXT(DATE(VALUE(RIGHT(B63,4)),VALUE(MID(B63,4,2)),VALUE(LEFT(B63,2))),"MMM-YYYY")</f>
        <v>Feb-2024</v>
      </c>
      <c r="AF63" s="1" t="n">
        <f aca="false">VALUE(RIGHT(B63,4))</f>
        <v>2024</v>
      </c>
      <c r="AG63" s="1" t="str">
        <f aca="false">CHOOSE(ROUNDUP(VALUE(MID(B63,4,2))/3,0),"Q1","Q2","Q3","Q4")</f>
        <v>Q1</v>
      </c>
    </row>
    <row r="64" customFormat="false" ht="15" hidden="false" customHeight="true" outlineLevel="0" collapsed="false">
      <c r="A64" s="1" t="s">
        <v>262</v>
      </c>
      <c r="B64" s="1" t="s">
        <v>263</v>
      </c>
      <c r="C64" s="1" t="s">
        <v>264</v>
      </c>
      <c r="D64" s="1" t="s">
        <v>53</v>
      </c>
      <c r="E64" s="1" t="s">
        <v>116</v>
      </c>
      <c r="F64" s="1" t="s">
        <v>107</v>
      </c>
      <c r="G64" s="1" t="s">
        <v>108</v>
      </c>
      <c r="H64" s="1" t="s">
        <v>33</v>
      </c>
      <c r="I64" s="1" t="s">
        <v>83</v>
      </c>
      <c r="J64" s="1" t="s">
        <v>70</v>
      </c>
      <c r="K64" s="1" t="s">
        <v>48</v>
      </c>
      <c r="L64" s="1" t="s">
        <v>136</v>
      </c>
      <c r="M64" s="1" t="s">
        <v>38</v>
      </c>
      <c r="N64" s="1" t="n">
        <v>9999</v>
      </c>
      <c r="O64" s="1" t="n">
        <v>20</v>
      </c>
      <c r="P64" s="1" t="n">
        <v>1999.8</v>
      </c>
      <c r="Q64" s="1" t="n">
        <v>7999.2</v>
      </c>
      <c r="R64" s="1" t="n">
        <v>1439.86</v>
      </c>
      <c r="S64" s="1" t="n">
        <v>6559.34</v>
      </c>
      <c r="T64" s="1" t="n">
        <v>2560.13</v>
      </c>
      <c r="U64" s="1" t="n">
        <v>3999.21</v>
      </c>
      <c r="V64" s="1" t="n">
        <v>60.97</v>
      </c>
      <c r="W64" s="1" t="s">
        <v>40</v>
      </c>
      <c r="Y64" s="1" t="s">
        <v>39</v>
      </c>
      <c r="Z64" s="1" t="n">
        <v>1</v>
      </c>
      <c r="AA64" s="1" t="str">
        <f aca="false">TRIM(PROPER(F64))</f>
        <v>Madurai</v>
      </c>
      <c r="AB64" s="1" t="str">
        <f aca="false">TRIM(PROPER(C64))</f>
        <v>Unacademy</v>
      </c>
      <c r="AC64" s="1" t="str">
        <f aca="false">IF(O64=0,"No Discount",IF(O64&lt;=15,"Low (1-15%)",IF(O64&lt;=30,"Medium (16-30%)","High (&gt;30%)")))</f>
        <v>Medium (16-30%)</v>
      </c>
      <c r="AD64" s="1" t="str">
        <f aca="false">IF(V64&lt;0,"Loss Making",IF(V64&lt;20,"Low Margin","Healthy Margin"))</f>
        <v>Healthy Margin</v>
      </c>
      <c r="AE64" s="1" t="str">
        <f aca="false">TEXT(DATE(VALUE(RIGHT(B64,4)),VALUE(MID(B64,4,2)),VALUE(LEFT(B64,2))),"MMM-YYYY")</f>
        <v>Jul-2024</v>
      </c>
      <c r="AF64" s="1" t="n">
        <f aca="false">VALUE(RIGHT(B64,4))</f>
        <v>2024</v>
      </c>
      <c r="AG64" s="1" t="str">
        <f aca="false">CHOOSE(ROUNDUP(VALUE(MID(B64,4,2))/3,0),"Q1","Q2","Q3","Q4")</f>
        <v>Q3</v>
      </c>
    </row>
    <row r="65" customFormat="false" ht="15" hidden="false" customHeight="true" outlineLevel="0" collapsed="false">
      <c r="A65" s="1" t="s">
        <v>265</v>
      </c>
      <c r="B65" s="1" t="s">
        <v>266</v>
      </c>
      <c r="C65" s="1" t="s">
        <v>134</v>
      </c>
      <c r="D65" s="1" t="s">
        <v>29</v>
      </c>
      <c r="E65" s="1" t="s">
        <v>182</v>
      </c>
      <c r="F65" s="1" t="s">
        <v>107</v>
      </c>
      <c r="G65" s="1" t="s">
        <v>108</v>
      </c>
      <c r="H65" s="1" t="s">
        <v>33</v>
      </c>
      <c r="I65" s="1" t="s">
        <v>83</v>
      </c>
      <c r="J65" s="1" t="s">
        <v>77</v>
      </c>
      <c r="K65" s="1" t="s">
        <v>104</v>
      </c>
      <c r="L65" s="1" t="s">
        <v>113</v>
      </c>
      <c r="M65" s="1" t="s">
        <v>62</v>
      </c>
      <c r="N65" s="1" t="n">
        <v>34999</v>
      </c>
      <c r="O65" s="1" t="n">
        <v>30</v>
      </c>
      <c r="P65" s="1" t="n">
        <v>10499.7</v>
      </c>
      <c r="Q65" s="1" t="n">
        <v>24499.3</v>
      </c>
      <c r="R65" s="1" t="n">
        <v>4409.87</v>
      </c>
      <c r="S65" s="1" t="n">
        <v>20089.43</v>
      </c>
      <c r="T65" s="1" t="n">
        <v>7641.14</v>
      </c>
      <c r="U65" s="1" t="n">
        <v>12448.29</v>
      </c>
      <c r="V65" s="1" t="n">
        <v>61.96</v>
      </c>
      <c r="W65" s="1" t="s">
        <v>39</v>
      </c>
      <c r="X65" s="1" t="n">
        <v>3.9</v>
      </c>
      <c r="Y65" s="1" t="s">
        <v>40</v>
      </c>
      <c r="Z65" s="1" t="n">
        <v>0</v>
      </c>
      <c r="AA65" s="1" t="str">
        <f aca="false">TRIM(PROPER(F65))</f>
        <v>Madurai</v>
      </c>
      <c r="AB65" s="1" t="str">
        <f aca="false">TRIM(PROPER(C65))</f>
        <v>Doubtnut</v>
      </c>
      <c r="AC65" s="1" t="str">
        <f aca="false">IF(O65=0,"No Discount",IF(O65&lt;=15,"Low (1-15%)",IF(O65&lt;=30,"Medium (16-30%)","High (&gt;30%)")))</f>
        <v>Medium (16-30%)</v>
      </c>
      <c r="AD65" s="1" t="str">
        <f aca="false">IF(V65&lt;0,"Loss Making",IF(V65&lt;20,"Low Margin","Healthy Margin"))</f>
        <v>Healthy Margin</v>
      </c>
      <c r="AE65" s="1" t="str">
        <f aca="false">TEXT(DATE(VALUE(RIGHT(B65,4)),VALUE(MID(B65,4,2)),VALUE(LEFT(B65,2))),"MMM-YYYY")</f>
        <v>Apr-2024</v>
      </c>
      <c r="AF65" s="1" t="n">
        <f aca="false">VALUE(RIGHT(B65,4))</f>
        <v>2024</v>
      </c>
      <c r="AG65" s="1" t="str">
        <f aca="false">CHOOSE(ROUNDUP(VALUE(MID(B65,4,2))/3,0),"Q1","Q2","Q3","Q4")</f>
        <v>Q2</v>
      </c>
    </row>
    <row r="66" customFormat="false" ht="15" hidden="false" customHeight="true" outlineLevel="0" collapsed="false">
      <c r="A66" s="1" t="s">
        <v>267</v>
      </c>
      <c r="B66" s="1" t="s">
        <v>268</v>
      </c>
      <c r="C66" s="1" t="s">
        <v>65</v>
      </c>
      <c r="D66" s="1" t="s">
        <v>29</v>
      </c>
      <c r="E66" s="1" t="s">
        <v>30</v>
      </c>
      <c r="F66" s="1" t="s">
        <v>269</v>
      </c>
      <c r="G66" s="1" t="s">
        <v>108</v>
      </c>
      <c r="H66" s="1" t="s">
        <v>57</v>
      </c>
      <c r="I66" s="1" t="s">
        <v>34</v>
      </c>
      <c r="J66" s="1" t="s">
        <v>77</v>
      </c>
      <c r="K66" s="1" t="s">
        <v>104</v>
      </c>
      <c r="L66" s="1" t="s">
        <v>113</v>
      </c>
      <c r="M66" s="1" t="s">
        <v>38</v>
      </c>
      <c r="N66" s="1" t="n">
        <v>7999</v>
      </c>
      <c r="O66" s="1" t="n">
        <v>25</v>
      </c>
      <c r="P66" s="1" t="n">
        <v>1999.75</v>
      </c>
      <c r="Q66" s="1" t="n">
        <v>5999.25</v>
      </c>
      <c r="R66" s="1" t="n">
        <v>1079.87</v>
      </c>
      <c r="S66" s="1" t="n">
        <v>4919.38</v>
      </c>
      <c r="T66" s="1" t="n">
        <v>1713.33</v>
      </c>
      <c r="U66" s="1" t="n">
        <v>3206.05</v>
      </c>
      <c r="V66" s="1" t="n">
        <v>65.17</v>
      </c>
      <c r="W66" s="1" t="s">
        <v>40</v>
      </c>
      <c r="Y66" s="1" t="s">
        <v>40</v>
      </c>
      <c r="Z66" s="1" t="n">
        <v>0</v>
      </c>
      <c r="AA66" s="1" t="str">
        <f aca="false">TRIM(PROPER(F66))</f>
        <v>Coimbatore</v>
      </c>
      <c r="AB66" s="1" t="str">
        <f aca="false">TRIM(PROPER(C66))</f>
        <v>Toppr</v>
      </c>
      <c r="AC66" s="1" t="str">
        <f aca="false">IF(O66=0,"No Discount",IF(O66&lt;=15,"Low (1-15%)",IF(O66&lt;=30,"Medium (16-30%)","High (&gt;30%)")))</f>
        <v>Medium (16-30%)</v>
      </c>
      <c r="AD66" s="1" t="str">
        <f aca="false">IF(V66&lt;0,"Loss Making",IF(V66&lt;20,"Low Margin","Healthy Margin"))</f>
        <v>Healthy Margin</v>
      </c>
      <c r="AE66" s="1" t="str">
        <f aca="false">TEXT(DATE(VALUE(RIGHT(B66,4)),VALUE(MID(B66,4,2)),VALUE(LEFT(B66,2))),"MMM-YYYY")</f>
        <v>Aug-2023</v>
      </c>
      <c r="AF66" s="1" t="n">
        <f aca="false">VALUE(RIGHT(B66,4))</f>
        <v>2023</v>
      </c>
      <c r="AG66" s="1" t="str">
        <f aca="false">CHOOSE(ROUNDUP(VALUE(MID(B66,4,2))/3,0),"Q1","Q2","Q3","Q4")</f>
        <v>Q3</v>
      </c>
    </row>
    <row r="67" customFormat="false" ht="15" hidden="false" customHeight="true" outlineLevel="0" collapsed="false">
      <c r="A67" s="1" t="s">
        <v>270</v>
      </c>
      <c r="B67" s="1" t="s">
        <v>87</v>
      </c>
      <c r="C67" s="1" t="s">
        <v>167</v>
      </c>
      <c r="D67" s="1" t="s">
        <v>80</v>
      </c>
      <c r="E67" s="1" t="s">
        <v>190</v>
      </c>
      <c r="F67" s="1" t="s">
        <v>75</v>
      </c>
      <c r="G67" s="1" t="s">
        <v>76</v>
      </c>
      <c r="H67" s="1" t="s">
        <v>69</v>
      </c>
      <c r="I67" s="1" t="s">
        <v>58</v>
      </c>
      <c r="J67" s="1" t="s">
        <v>35</v>
      </c>
      <c r="K67" s="1" t="s">
        <v>84</v>
      </c>
      <c r="L67" s="1" t="s">
        <v>61</v>
      </c>
      <c r="M67" s="1" t="s">
        <v>50</v>
      </c>
      <c r="N67" s="1" t="n">
        <v>15999</v>
      </c>
      <c r="O67" s="1" t="n">
        <v>0</v>
      </c>
      <c r="P67" s="1" t="n">
        <v>0</v>
      </c>
      <c r="Q67" s="1" t="n">
        <v>15999</v>
      </c>
      <c r="R67" s="1" t="n">
        <v>2879.82</v>
      </c>
      <c r="S67" s="1" t="n">
        <v>13119.18</v>
      </c>
      <c r="T67" s="1" t="n">
        <v>4948.23</v>
      </c>
      <c r="U67" s="1" t="n">
        <v>8170.95</v>
      </c>
      <c r="V67" s="1" t="n">
        <v>62.28</v>
      </c>
      <c r="W67" s="1" t="s">
        <v>39</v>
      </c>
      <c r="X67" s="1" t="n">
        <v>4.5</v>
      </c>
      <c r="Y67" s="1" t="s">
        <v>40</v>
      </c>
      <c r="Z67" s="1" t="n">
        <v>0</v>
      </c>
      <c r="AA67" s="1" t="str">
        <f aca="false">TRIM(PROPER(F67))</f>
        <v>Kolkata</v>
      </c>
      <c r="AB67" s="1" t="str">
        <f aca="false">TRIM(PROPER(C67))</f>
        <v>Scaler</v>
      </c>
      <c r="AC67" s="1" t="str">
        <f aca="false">IF(O67=0,"No Discount",IF(O67&lt;=15,"Low (1-15%)",IF(O67&lt;=30,"Medium (16-30%)","High (&gt;30%)")))</f>
        <v>No Discount</v>
      </c>
      <c r="AD67" s="1" t="str">
        <f aca="false">IF(V67&lt;0,"Loss Making",IF(V67&lt;20,"Low Margin","Healthy Margin"))</f>
        <v>Healthy Margin</v>
      </c>
      <c r="AE67" s="1" t="str">
        <f aca="false">TEXT(DATE(VALUE(RIGHT(B67,4)),VALUE(MID(B67,4,2)),VALUE(LEFT(B67,2))),"MMM-YYYY")</f>
        <v>Nov-2023</v>
      </c>
      <c r="AF67" s="1" t="n">
        <f aca="false">VALUE(RIGHT(B67,4))</f>
        <v>2023</v>
      </c>
      <c r="AG67" s="1" t="str">
        <f aca="false">CHOOSE(ROUNDUP(VALUE(MID(B67,4,2))/3,0),"Q1","Q2","Q3","Q4")</f>
        <v>Q4</v>
      </c>
    </row>
    <row r="68" customFormat="false" ht="15" hidden="false" customHeight="true" outlineLevel="0" collapsed="false">
      <c r="A68" s="1" t="s">
        <v>271</v>
      </c>
      <c r="B68" s="1" t="s">
        <v>207</v>
      </c>
      <c r="C68" s="1" t="s">
        <v>88</v>
      </c>
      <c r="D68" s="1" t="s">
        <v>143</v>
      </c>
      <c r="E68" s="1" t="s">
        <v>144</v>
      </c>
      <c r="F68" s="1" t="s">
        <v>156</v>
      </c>
      <c r="G68" s="1" t="s">
        <v>68</v>
      </c>
      <c r="H68" s="1" t="s">
        <v>57</v>
      </c>
      <c r="I68" s="1" t="s">
        <v>58</v>
      </c>
      <c r="J68" s="1" t="s">
        <v>59</v>
      </c>
      <c r="K68" s="1" t="s">
        <v>48</v>
      </c>
      <c r="L68" s="1" t="s">
        <v>85</v>
      </c>
      <c r="M68" s="1" t="s">
        <v>38</v>
      </c>
      <c r="N68" s="1" t="n">
        <v>12999</v>
      </c>
      <c r="O68" s="1" t="n">
        <v>0</v>
      </c>
      <c r="P68" s="1" t="n">
        <v>0</v>
      </c>
      <c r="Q68" s="1" t="n">
        <v>12999</v>
      </c>
      <c r="R68" s="1" t="n">
        <v>2339.82</v>
      </c>
      <c r="S68" s="1" t="n">
        <v>10659.18</v>
      </c>
      <c r="T68" s="1" t="n">
        <v>3905.05</v>
      </c>
      <c r="U68" s="1" t="n">
        <v>6754.13</v>
      </c>
      <c r="V68" s="1" t="n">
        <v>63.36</v>
      </c>
      <c r="W68" s="1" t="s">
        <v>40</v>
      </c>
      <c r="Y68" s="1" t="s">
        <v>40</v>
      </c>
      <c r="Z68" s="1" t="n">
        <v>3</v>
      </c>
      <c r="AA68" s="1" t="str">
        <f aca="false">TRIM(PROPER(F68))</f>
        <v>Surat</v>
      </c>
      <c r="AB68" s="1" t="str">
        <f aca="false">TRIM(PROPER(C68))</f>
        <v>Byju'S</v>
      </c>
      <c r="AC68" s="1" t="str">
        <f aca="false">IF(O68=0,"No Discount",IF(O68&lt;=15,"Low (1-15%)",IF(O68&lt;=30,"Medium (16-30%)","High (&gt;30%)")))</f>
        <v>No Discount</v>
      </c>
      <c r="AD68" s="1" t="str">
        <f aca="false">IF(V68&lt;0,"Loss Making",IF(V68&lt;20,"Low Margin","Healthy Margin"))</f>
        <v>Healthy Margin</v>
      </c>
      <c r="AE68" s="1" t="str">
        <f aca="false">TEXT(DATE(VALUE(RIGHT(B68,4)),VALUE(MID(B68,4,2)),VALUE(LEFT(B68,2))),"MMM-YYYY")</f>
        <v>Dec-2023</v>
      </c>
      <c r="AF68" s="1" t="n">
        <f aca="false">VALUE(RIGHT(B68,4))</f>
        <v>2023</v>
      </c>
      <c r="AG68" s="1" t="str">
        <f aca="false">CHOOSE(ROUNDUP(VALUE(MID(B68,4,2))/3,0),"Q1","Q2","Q3","Q4")</f>
        <v>Q4</v>
      </c>
    </row>
    <row r="69" customFormat="false" ht="15" hidden="false" customHeight="true" outlineLevel="0" collapsed="false">
      <c r="A69" s="1" t="s">
        <v>272</v>
      </c>
      <c r="B69" s="1" t="s">
        <v>273</v>
      </c>
      <c r="C69" s="1" t="s">
        <v>128</v>
      </c>
      <c r="D69" s="1" t="s">
        <v>53</v>
      </c>
      <c r="E69" s="1" t="s">
        <v>216</v>
      </c>
      <c r="F69" s="1" t="s">
        <v>244</v>
      </c>
      <c r="G69" s="1" t="s">
        <v>97</v>
      </c>
      <c r="H69" s="1" t="s">
        <v>57</v>
      </c>
      <c r="I69" s="1" t="s">
        <v>58</v>
      </c>
      <c r="J69" s="1" t="s">
        <v>70</v>
      </c>
      <c r="K69" s="1" t="s">
        <v>48</v>
      </c>
      <c r="L69" s="1" t="s">
        <v>136</v>
      </c>
      <c r="M69" s="1" t="s">
        <v>62</v>
      </c>
      <c r="N69" s="1" t="n">
        <v>7499</v>
      </c>
      <c r="O69" s="1" t="n">
        <v>0</v>
      </c>
      <c r="P69" s="1" t="n">
        <v>0</v>
      </c>
      <c r="Q69" s="1" t="n">
        <v>7499</v>
      </c>
      <c r="R69" s="1" t="n">
        <v>1349.82</v>
      </c>
      <c r="S69" s="1" t="n">
        <v>6149.18</v>
      </c>
      <c r="T69" s="1" t="n">
        <v>2922.4</v>
      </c>
      <c r="U69" s="1" t="n">
        <v>3226.78</v>
      </c>
      <c r="V69" s="1" t="n">
        <v>52.47</v>
      </c>
      <c r="W69" s="1" t="s">
        <v>39</v>
      </c>
      <c r="X69" s="1" t="n">
        <v>3.8</v>
      </c>
      <c r="Y69" s="1" t="s">
        <v>40</v>
      </c>
      <c r="Z69" s="1" t="n">
        <v>1</v>
      </c>
      <c r="AA69" s="1" t="str">
        <f aca="false">TRIM(PROPER(F69))</f>
        <v>Nagpur</v>
      </c>
      <c r="AB69" s="1" t="str">
        <f aca="false">TRIM(PROPER(C69))</f>
        <v>Great Learning</v>
      </c>
      <c r="AC69" s="1" t="str">
        <f aca="false">IF(O69=0,"No Discount",IF(O69&lt;=15,"Low (1-15%)",IF(O69&lt;=30,"Medium (16-30%)","High (&gt;30%)")))</f>
        <v>No Discount</v>
      </c>
      <c r="AD69" s="1" t="str">
        <f aca="false">IF(V69&lt;0,"Loss Making",IF(V69&lt;20,"Low Margin","Healthy Margin"))</f>
        <v>Healthy Margin</v>
      </c>
      <c r="AE69" s="1" t="str">
        <f aca="false">TEXT(DATE(VALUE(RIGHT(B69,4)),VALUE(MID(B69,4,2)),VALUE(LEFT(B69,2))),"MMM-YYYY")</f>
        <v>Apr-2024</v>
      </c>
      <c r="AF69" s="1" t="n">
        <f aca="false">VALUE(RIGHT(B69,4))</f>
        <v>2024</v>
      </c>
      <c r="AG69" s="1" t="str">
        <f aca="false">CHOOSE(ROUNDUP(VALUE(MID(B69,4,2))/3,0),"Q1","Q2","Q3","Q4")</f>
        <v>Q2</v>
      </c>
    </row>
    <row r="70" customFormat="false" ht="15" hidden="false" customHeight="true" outlineLevel="0" collapsed="false">
      <c r="A70" s="1" t="s">
        <v>274</v>
      </c>
      <c r="B70" s="1" t="s">
        <v>275</v>
      </c>
      <c r="C70" s="1" t="s">
        <v>139</v>
      </c>
      <c r="D70" s="1" t="s">
        <v>29</v>
      </c>
      <c r="E70" s="1" t="s">
        <v>129</v>
      </c>
      <c r="F70" s="1" t="s">
        <v>205</v>
      </c>
      <c r="G70" s="1" t="s">
        <v>56</v>
      </c>
      <c r="H70" s="1" t="s">
        <v>69</v>
      </c>
      <c r="I70" s="1" t="s">
        <v>58</v>
      </c>
      <c r="J70" s="1" t="s">
        <v>59</v>
      </c>
      <c r="K70" s="1" t="s">
        <v>112</v>
      </c>
      <c r="L70" s="1" t="s">
        <v>61</v>
      </c>
      <c r="M70" s="1" t="s">
        <v>62</v>
      </c>
      <c r="N70" s="1" t="n">
        <v>29999</v>
      </c>
      <c r="O70" s="1" t="n">
        <v>30</v>
      </c>
      <c r="P70" s="1" t="n">
        <v>8999.7</v>
      </c>
      <c r="Q70" s="1" t="n">
        <v>20999.3</v>
      </c>
      <c r="R70" s="1" t="n">
        <v>3779.87</v>
      </c>
      <c r="S70" s="1" t="n">
        <v>17219.43</v>
      </c>
      <c r="T70" s="1" t="n">
        <v>5854.24</v>
      </c>
      <c r="U70" s="1" t="n">
        <v>11365.19</v>
      </c>
      <c r="V70" s="1" t="n">
        <v>66</v>
      </c>
      <c r="W70" s="1" t="s">
        <v>39</v>
      </c>
      <c r="X70" s="1" t="n">
        <v>3.7</v>
      </c>
      <c r="Y70" s="1" t="s">
        <v>40</v>
      </c>
      <c r="Z70" s="1" t="n">
        <v>0</v>
      </c>
      <c r="AA70" s="1" t="str">
        <f aca="false">TRIM(PROPER(F70))</f>
        <v>New Delhi</v>
      </c>
      <c r="AB70" s="1" t="str">
        <f aca="false">TRIM(PROPER(C70))</f>
        <v>Extramarks</v>
      </c>
      <c r="AC70" s="1" t="str">
        <f aca="false">IF(O70=0,"No Discount",IF(O70&lt;=15,"Low (1-15%)",IF(O70&lt;=30,"Medium (16-30%)","High (&gt;30%)")))</f>
        <v>Medium (16-30%)</v>
      </c>
      <c r="AD70" s="1" t="str">
        <f aca="false">IF(V70&lt;0,"Loss Making",IF(V70&lt;20,"Low Margin","Healthy Margin"))</f>
        <v>Healthy Margin</v>
      </c>
      <c r="AE70" s="1" t="str">
        <f aca="false">TEXT(DATE(VALUE(RIGHT(B70,4)),VALUE(MID(B70,4,2)),VALUE(LEFT(B70,2))),"MMM-YYYY")</f>
        <v>Aug-2024</v>
      </c>
      <c r="AF70" s="1" t="n">
        <f aca="false">VALUE(RIGHT(B70,4))</f>
        <v>2024</v>
      </c>
      <c r="AG70" s="1" t="str">
        <f aca="false">CHOOSE(ROUNDUP(VALUE(MID(B70,4,2))/3,0),"Q1","Q2","Q3","Q4")</f>
        <v>Q3</v>
      </c>
    </row>
    <row r="71" customFormat="false" ht="15" hidden="false" customHeight="true" outlineLevel="0" collapsed="false">
      <c r="A71" s="1" t="s">
        <v>276</v>
      </c>
      <c r="B71" s="1" t="s">
        <v>277</v>
      </c>
      <c r="C71" s="1" t="s">
        <v>100</v>
      </c>
      <c r="D71" s="1" t="s">
        <v>94</v>
      </c>
      <c r="E71" s="1" t="s">
        <v>101</v>
      </c>
      <c r="F71" s="1" t="s">
        <v>96</v>
      </c>
      <c r="G71" s="1" t="s">
        <v>97</v>
      </c>
      <c r="H71" s="1" t="s">
        <v>69</v>
      </c>
      <c r="I71" s="1" t="s">
        <v>58</v>
      </c>
      <c r="J71" s="1" t="s">
        <v>59</v>
      </c>
      <c r="K71" s="1" t="s">
        <v>36</v>
      </c>
      <c r="L71" s="1" t="s">
        <v>85</v>
      </c>
      <c r="M71" s="1" t="s">
        <v>50</v>
      </c>
      <c r="N71" s="1" t="n">
        <v>14999</v>
      </c>
      <c r="O71" s="1" t="n">
        <v>10</v>
      </c>
      <c r="P71" s="1" t="n">
        <v>1499.9</v>
      </c>
      <c r="Q71" s="1" t="n">
        <v>13499.1</v>
      </c>
      <c r="R71" s="1" t="n">
        <v>2429.84</v>
      </c>
      <c r="S71" s="1" t="n">
        <v>11069.26</v>
      </c>
      <c r="T71" s="1" t="n">
        <v>3872</v>
      </c>
      <c r="U71" s="1" t="n">
        <v>7197.26</v>
      </c>
      <c r="V71" s="1" t="n">
        <v>65.02</v>
      </c>
      <c r="W71" s="1" t="s">
        <v>39</v>
      </c>
      <c r="Y71" s="1" t="s">
        <v>40</v>
      </c>
      <c r="Z71" s="1" t="n">
        <v>0</v>
      </c>
      <c r="AA71" s="1" t="str">
        <f aca="false">TRIM(PROPER(F71))</f>
        <v>Pune</v>
      </c>
      <c r="AB71" s="1" t="str">
        <f aca="false">TRIM(PROPER(C71))</f>
        <v>Physics Wallah</v>
      </c>
      <c r="AC71" s="1" t="str">
        <f aca="false">IF(O71=0,"No Discount",IF(O71&lt;=15,"Low (1-15%)",IF(O71&lt;=30,"Medium (16-30%)","High (&gt;30%)")))</f>
        <v>Low (1-15%)</v>
      </c>
      <c r="AD71" s="1" t="str">
        <f aca="false">IF(V71&lt;0,"Loss Making",IF(V71&lt;20,"Low Margin","Healthy Margin"))</f>
        <v>Healthy Margin</v>
      </c>
      <c r="AE71" s="1" t="str">
        <f aca="false">TEXT(DATE(VALUE(RIGHT(B71,4)),VALUE(MID(B71,4,2)),VALUE(LEFT(B71,2))),"MMM-YYYY")</f>
        <v>May-2023</v>
      </c>
      <c r="AF71" s="1" t="n">
        <f aca="false">VALUE(RIGHT(B71,4))</f>
        <v>2023</v>
      </c>
      <c r="AG71" s="1" t="str">
        <f aca="false">CHOOSE(ROUNDUP(VALUE(MID(B71,4,2))/3,0),"Q1","Q2","Q3","Q4")</f>
        <v>Q2</v>
      </c>
    </row>
    <row r="72" customFormat="false" ht="15" hidden="false" customHeight="true" outlineLevel="0" collapsed="false">
      <c r="A72" s="1" t="s">
        <v>278</v>
      </c>
      <c r="B72" s="1" t="s">
        <v>279</v>
      </c>
      <c r="C72" s="1" t="s">
        <v>74</v>
      </c>
      <c r="D72" s="1" t="s">
        <v>123</v>
      </c>
      <c r="E72" s="1" t="s">
        <v>147</v>
      </c>
      <c r="F72" s="1" t="s">
        <v>211</v>
      </c>
      <c r="G72" s="1" t="s">
        <v>56</v>
      </c>
      <c r="H72" s="1" t="s">
        <v>69</v>
      </c>
      <c r="I72" s="1" t="s">
        <v>34</v>
      </c>
      <c r="J72" s="1" t="s">
        <v>77</v>
      </c>
      <c r="K72" s="1" t="s">
        <v>90</v>
      </c>
      <c r="L72" s="1" t="s">
        <v>61</v>
      </c>
      <c r="M72" s="1" t="s">
        <v>50</v>
      </c>
      <c r="N72" s="1" t="n">
        <v>6999</v>
      </c>
      <c r="O72" s="1" t="n">
        <v>0</v>
      </c>
      <c r="P72" s="1" t="n">
        <v>0</v>
      </c>
      <c r="Q72" s="1" t="n">
        <v>6999</v>
      </c>
      <c r="R72" s="1" t="n">
        <v>1259.82</v>
      </c>
      <c r="S72" s="1" t="n">
        <v>5739.18</v>
      </c>
      <c r="T72" s="1" t="n">
        <v>2961.7</v>
      </c>
      <c r="U72" s="1" t="n">
        <v>2777.48</v>
      </c>
      <c r="V72" s="1" t="n">
        <v>48.4</v>
      </c>
      <c r="W72" s="1" t="s">
        <v>40</v>
      </c>
      <c r="Y72" s="1" t="s">
        <v>40</v>
      </c>
      <c r="Z72" s="1" t="n">
        <v>1</v>
      </c>
      <c r="AA72" s="1" t="str">
        <f aca="false">TRIM(PROPER(F72))</f>
        <v>Noida</v>
      </c>
      <c r="AB72" s="1" t="str">
        <f aca="false">TRIM(PROPER(C72))</f>
        <v>Vedantu</v>
      </c>
      <c r="AC72" s="1" t="str">
        <f aca="false">IF(O72=0,"No Discount",IF(O72&lt;=15,"Low (1-15%)",IF(O72&lt;=30,"Medium (16-30%)","High (&gt;30%)")))</f>
        <v>No Discount</v>
      </c>
      <c r="AD72" s="1" t="str">
        <f aca="false">IF(V72&lt;0,"Loss Making",IF(V72&lt;20,"Low Margin","Healthy Margin"))</f>
        <v>Healthy Margin</v>
      </c>
      <c r="AE72" s="1" t="str">
        <f aca="false">TEXT(DATE(VALUE(RIGHT(B72,4)),VALUE(MID(B72,4,2)),VALUE(LEFT(B72,2))),"MMM-YYYY")</f>
        <v>Jul-2023</v>
      </c>
      <c r="AF72" s="1" t="n">
        <f aca="false">VALUE(RIGHT(B72,4))</f>
        <v>2023</v>
      </c>
      <c r="AG72" s="1" t="str">
        <f aca="false">CHOOSE(ROUNDUP(VALUE(MID(B72,4,2))/3,0),"Q1","Q2","Q3","Q4")</f>
        <v>Q3</v>
      </c>
    </row>
    <row r="73" customFormat="false" ht="15" hidden="false" customHeight="true" outlineLevel="0" collapsed="false">
      <c r="A73" s="1" t="s">
        <v>280</v>
      </c>
      <c r="B73" s="1" t="s">
        <v>281</v>
      </c>
      <c r="C73" s="1" t="s">
        <v>93</v>
      </c>
      <c r="D73" s="1" t="s">
        <v>168</v>
      </c>
      <c r="E73" s="1" t="s">
        <v>197</v>
      </c>
      <c r="F73" s="1" t="s">
        <v>120</v>
      </c>
      <c r="G73" s="1" t="s">
        <v>47</v>
      </c>
      <c r="H73" s="1" t="s">
        <v>57</v>
      </c>
      <c r="I73" s="1" t="s">
        <v>58</v>
      </c>
      <c r="J73" s="1" t="s">
        <v>131</v>
      </c>
      <c r="K73" s="1" t="s">
        <v>48</v>
      </c>
      <c r="L73" s="1" t="s">
        <v>85</v>
      </c>
      <c r="M73" s="1" t="s">
        <v>62</v>
      </c>
      <c r="N73" s="1" t="n">
        <v>8499</v>
      </c>
      <c r="O73" s="1" t="n">
        <v>20</v>
      </c>
      <c r="P73" s="1" t="n">
        <v>1699.8</v>
      </c>
      <c r="Q73" s="1" t="n">
        <v>6799.2</v>
      </c>
      <c r="R73" s="1" t="n">
        <v>1223.86</v>
      </c>
      <c r="S73" s="1" t="n">
        <v>5575.34</v>
      </c>
      <c r="T73" s="1" t="n">
        <v>2840.94</v>
      </c>
      <c r="U73" s="1" t="n">
        <v>2734.4</v>
      </c>
      <c r="V73" s="1" t="n">
        <v>49.04</v>
      </c>
      <c r="W73" s="1" t="s">
        <v>39</v>
      </c>
      <c r="X73" s="1" t="n">
        <v>4.2</v>
      </c>
      <c r="Y73" s="1" t="s">
        <v>40</v>
      </c>
      <c r="Z73" s="1" t="n">
        <v>0</v>
      </c>
      <c r="AA73" s="1" t="str">
        <f aca="false">TRIM(PROPER(F73))</f>
        <v>Mysuru</v>
      </c>
      <c r="AB73" s="1" t="str">
        <f aca="false">TRIM(PROPER(C73))</f>
        <v>Upgrad</v>
      </c>
      <c r="AC73" s="1" t="str">
        <f aca="false">IF(O73=0,"No Discount",IF(O73&lt;=15,"Low (1-15%)",IF(O73&lt;=30,"Medium (16-30%)","High (&gt;30%)")))</f>
        <v>Medium (16-30%)</v>
      </c>
      <c r="AD73" s="1" t="str">
        <f aca="false">IF(V73&lt;0,"Loss Making",IF(V73&lt;20,"Low Margin","Healthy Margin"))</f>
        <v>Healthy Margin</v>
      </c>
      <c r="AE73" s="1" t="str">
        <f aca="false">TEXT(DATE(VALUE(RIGHT(B73,4)),VALUE(MID(B73,4,2)),VALUE(LEFT(B73,2))),"MMM-YYYY")</f>
        <v>Oct-2024</v>
      </c>
      <c r="AF73" s="1" t="n">
        <f aca="false">VALUE(RIGHT(B73,4))</f>
        <v>2024</v>
      </c>
      <c r="AG73" s="1" t="str">
        <f aca="false">CHOOSE(ROUNDUP(VALUE(MID(B73,4,2))/3,0),"Q1","Q2","Q3","Q4")</f>
        <v>Q4</v>
      </c>
    </row>
    <row r="74" customFormat="false" ht="15" hidden="false" customHeight="true" outlineLevel="0" collapsed="false">
      <c r="A74" s="1" t="s">
        <v>282</v>
      </c>
      <c r="B74" s="1" t="s">
        <v>277</v>
      </c>
      <c r="C74" s="1" t="s">
        <v>119</v>
      </c>
      <c r="D74" s="1" t="s">
        <v>168</v>
      </c>
      <c r="E74" s="1" t="s">
        <v>169</v>
      </c>
      <c r="F74" s="1" t="s">
        <v>89</v>
      </c>
      <c r="G74" s="1" t="s">
        <v>68</v>
      </c>
      <c r="H74" s="1" t="s">
        <v>33</v>
      </c>
      <c r="I74" s="1" t="s">
        <v>83</v>
      </c>
      <c r="J74" s="1" t="s">
        <v>77</v>
      </c>
      <c r="K74" s="1" t="s">
        <v>84</v>
      </c>
      <c r="L74" s="1" t="s">
        <v>61</v>
      </c>
      <c r="M74" s="1" t="s">
        <v>38</v>
      </c>
      <c r="N74" s="1" t="n">
        <v>4999</v>
      </c>
      <c r="O74" s="1" t="n">
        <v>10</v>
      </c>
      <c r="P74" s="1" t="n">
        <v>499.9</v>
      </c>
      <c r="Q74" s="1" t="n">
        <v>4499.1</v>
      </c>
      <c r="R74" s="1" t="n">
        <v>809.84</v>
      </c>
      <c r="S74" s="1" t="n">
        <v>3689.26</v>
      </c>
      <c r="T74" s="1" t="n">
        <v>1459.22</v>
      </c>
      <c r="U74" s="1" t="n">
        <v>2230.04</v>
      </c>
      <c r="V74" s="1" t="n">
        <v>60.45</v>
      </c>
      <c r="W74" s="1" t="s">
        <v>40</v>
      </c>
      <c r="Y74" s="1" t="s">
        <v>39</v>
      </c>
      <c r="Z74" s="1" t="n">
        <v>0</v>
      </c>
      <c r="AA74" s="1" t="str">
        <f aca="false">TRIM(PROPER(F74))</f>
        <v>Vadodara</v>
      </c>
      <c r="AB74" s="1" t="str">
        <f aca="false">TRIM(PROPER(C74))</f>
        <v>Simplilearn</v>
      </c>
      <c r="AC74" s="1" t="str">
        <f aca="false">IF(O74=0,"No Discount",IF(O74&lt;=15,"Low (1-15%)",IF(O74&lt;=30,"Medium (16-30%)","High (&gt;30%)")))</f>
        <v>Low (1-15%)</v>
      </c>
      <c r="AD74" s="1" t="str">
        <f aca="false">IF(V74&lt;0,"Loss Making",IF(V74&lt;20,"Low Margin","Healthy Margin"))</f>
        <v>Healthy Margin</v>
      </c>
      <c r="AE74" s="1" t="str">
        <f aca="false">TEXT(DATE(VALUE(RIGHT(B74,4)),VALUE(MID(B74,4,2)),VALUE(LEFT(B74,2))),"MMM-YYYY")</f>
        <v>May-2023</v>
      </c>
      <c r="AF74" s="1" t="n">
        <f aca="false">VALUE(RIGHT(B74,4))</f>
        <v>2023</v>
      </c>
      <c r="AG74" s="1" t="str">
        <f aca="false">CHOOSE(ROUNDUP(VALUE(MID(B74,4,2))/3,0),"Q1","Q2","Q3","Q4")</f>
        <v>Q2</v>
      </c>
    </row>
    <row r="75" customFormat="false" ht="15" hidden="false" customHeight="true" outlineLevel="0" collapsed="false">
      <c r="A75" s="1" t="s">
        <v>283</v>
      </c>
      <c r="B75" s="1" t="s">
        <v>284</v>
      </c>
      <c r="C75" s="1" t="s">
        <v>100</v>
      </c>
      <c r="D75" s="1" t="s">
        <v>168</v>
      </c>
      <c r="E75" s="1" t="s">
        <v>169</v>
      </c>
      <c r="F75" s="1" t="s">
        <v>285</v>
      </c>
      <c r="G75" s="1" t="s">
        <v>47</v>
      </c>
      <c r="H75" s="1" t="s">
        <v>33</v>
      </c>
      <c r="I75" s="1" t="s">
        <v>58</v>
      </c>
      <c r="J75" s="1" t="s">
        <v>35</v>
      </c>
      <c r="K75" s="1" t="s">
        <v>104</v>
      </c>
      <c r="L75" s="1" t="s">
        <v>61</v>
      </c>
      <c r="M75" s="1" t="s">
        <v>62</v>
      </c>
      <c r="N75" s="1" t="n">
        <v>4999</v>
      </c>
      <c r="O75" s="1" t="n">
        <v>0</v>
      </c>
      <c r="P75" s="1" t="n">
        <v>0</v>
      </c>
      <c r="Q75" s="1" t="n">
        <v>4999</v>
      </c>
      <c r="R75" s="1" t="n">
        <v>899.82</v>
      </c>
      <c r="S75" s="1" t="n">
        <v>4099.18</v>
      </c>
      <c r="T75" s="1" t="n">
        <v>1644.12</v>
      </c>
      <c r="U75" s="1" t="n">
        <v>2455.06</v>
      </c>
      <c r="V75" s="1" t="n">
        <v>59.89</v>
      </c>
      <c r="W75" s="1" t="s">
        <v>40</v>
      </c>
      <c r="Y75" s="1" t="s">
        <v>40</v>
      </c>
      <c r="Z75" s="1" t="n">
        <v>0</v>
      </c>
      <c r="AA75" s="1" t="str">
        <f aca="false">TRIM(PROPER(F75))</f>
        <v>Mangaluru</v>
      </c>
      <c r="AB75" s="1" t="str">
        <f aca="false">TRIM(PROPER(C75))</f>
        <v>Physics Wallah</v>
      </c>
      <c r="AC75" s="1" t="str">
        <f aca="false">IF(O75=0,"No Discount",IF(O75&lt;=15,"Low (1-15%)",IF(O75&lt;=30,"Medium (16-30%)","High (&gt;30%)")))</f>
        <v>No Discount</v>
      </c>
      <c r="AD75" s="1" t="str">
        <f aca="false">IF(V75&lt;0,"Loss Making",IF(V75&lt;20,"Low Margin","Healthy Margin"))</f>
        <v>Healthy Margin</v>
      </c>
      <c r="AE75" s="1" t="str">
        <f aca="false">TEXT(DATE(VALUE(RIGHT(B75,4)),VALUE(MID(B75,4,2)),VALUE(LEFT(B75,2))),"MMM-YYYY")</f>
        <v>Oct-2024</v>
      </c>
      <c r="AF75" s="1" t="n">
        <f aca="false">VALUE(RIGHT(B75,4))</f>
        <v>2024</v>
      </c>
      <c r="AG75" s="1" t="str">
        <f aca="false">CHOOSE(ROUNDUP(VALUE(MID(B75,4,2))/3,0),"Q1","Q2","Q3","Q4")</f>
        <v>Q4</v>
      </c>
    </row>
    <row r="76" customFormat="false" ht="15" hidden="false" customHeight="true" outlineLevel="0" collapsed="false">
      <c r="A76" s="1" t="s">
        <v>286</v>
      </c>
      <c r="B76" s="1" t="s">
        <v>220</v>
      </c>
      <c r="C76" s="1" t="s">
        <v>65</v>
      </c>
      <c r="D76" s="1" t="s">
        <v>168</v>
      </c>
      <c r="E76" s="1" t="s">
        <v>172</v>
      </c>
      <c r="F76" s="1" t="s">
        <v>244</v>
      </c>
      <c r="G76" s="1" t="s">
        <v>97</v>
      </c>
      <c r="H76" s="1" t="s">
        <v>57</v>
      </c>
      <c r="I76" s="1" t="s">
        <v>83</v>
      </c>
      <c r="J76" s="1" t="s">
        <v>70</v>
      </c>
      <c r="K76" s="1" t="s">
        <v>60</v>
      </c>
      <c r="L76" s="1" t="s">
        <v>61</v>
      </c>
      <c r="M76" s="1" t="s">
        <v>50</v>
      </c>
      <c r="N76" s="1" t="n">
        <v>6999</v>
      </c>
      <c r="O76" s="1" t="n">
        <v>10</v>
      </c>
      <c r="P76" s="1" t="n">
        <v>699.9</v>
      </c>
      <c r="Q76" s="1" t="n">
        <v>6299.1</v>
      </c>
      <c r="R76" s="1" t="n">
        <v>1133.84</v>
      </c>
      <c r="S76" s="1" t="n">
        <v>5165.26</v>
      </c>
      <c r="T76" s="1" t="n">
        <v>2396.43</v>
      </c>
      <c r="U76" s="1" t="n">
        <v>2768.83</v>
      </c>
      <c r="V76" s="1" t="n">
        <v>53.6</v>
      </c>
      <c r="W76" s="1" t="s">
        <v>39</v>
      </c>
      <c r="X76" s="1" t="n">
        <v>3.9</v>
      </c>
      <c r="Y76" s="1" t="s">
        <v>40</v>
      </c>
      <c r="Z76" s="1" t="n">
        <v>0</v>
      </c>
      <c r="AA76" s="1" t="str">
        <f aca="false">TRIM(PROPER(F76))</f>
        <v>Nagpur</v>
      </c>
      <c r="AB76" s="1" t="str">
        <f aca="false">TRIM(PROPER(C76))</f>
        <v>Toppr</v>
      </c>
      <c r="AC76" s="1" t="str">
        <f aca="false">IF(O76=0,"No Discount",IF(O76&lt;=15,"Low (1-15%)",IF(O76&lt;=30,"Medium (16-30%)","High (&gt;30%)")))</f>
        <v>Low (1-15%)</v>
      </c>
      <c r="AD76" s="1" t="str">
        <f aca="false">IF(V76&lt;0,"Loss Making",IF(V76&lt;20,"Low Margin","Healthy Margin"))</f>
        <v>Healthy Margin</v>
      </c>
      <c r="AE76" s="1" t="str">
        <f aca="false">TEXT(DATE(VALUE(RIGHT(B76,4)),VALUE(MID(B76,4,2)),VALUE(LEFT(B76,2))),"MMM-YYYY")</f>
        <v>Oct-2024</v>
      </c>
      <c r="AF76" s="1" t="n">
        <f aca="false">VALUE(RIGHT(B76,4))</f>
        <v>2024</v>
      </c>
      <c r="AG76" s="1" t="str">
        <f aca="false">CHOOSE(ROUNDUP(VALUE(MID(B76,4,2))/3,0),"Q1","Q2","Q3","Q4")</f>
        <v>Q4</v>
      </c>
    </row>
    <row r="77" customFormat="false" ht="15" hidden="false" customHeight="true" outlineLevel="0" collapsed="false">
      <c r="A77" s="1" t="s">
        <v>287</v>
      </c>
      <c r="B77" s="1" t="s">
        <v>288</v>
      </c>
      <c r="C77" s="1" t="s">
        <v>249</v>
      </c>
      <c r="D77" s="1" t="s">
        <v>44</v>
      </c>
      <c r="E77" s="1" t="s">
        <v>66</v>
      </c>
      <c r="F77" s="1" t="s">
        <v>96</v>
      </c>
      <c r="G77" s="1" t="s">
        <v>97</v>
      </c>
      <c r="H77" s="1" t="s">
        <v>69</v>
      </c>
      <c r="I77" s="1" t="s">
        <v>83</v>
      </c>
      <c r="J77" s="1" t="s">
        <v>70</v>
      </c>
      <c r="K77" s="1" t="s">
        <v>36</v>
      </c>
      <c r="L77" s="1" t="s">
        <v>136</v>
      </c>
      <c r="M77" s="1" t="s">
        <v>62</v>
      </c>
      <c r="N77" s="1" t="n">
        <v>12999</v>
      </c>
      <c r="O77" s="1" t="n">
        <v>0</v>
      </c>
      <c r="P77" s="1" t="n">
        <v>0</v>
      </c>
      <c r="Q77" s="1" t="n">
        <v>12999</v>
      </c>
      <c r="R77" s="1" t="n">
        <v>2339.82</v>
      </c>
      <c r="S77" s="1" t="n">
        <v>10659.18</v>
      </c>
      <c r="T77" s="1" t="n">
        <v>4236.8</v>
      </c>
      <c r="U77" s="1" t="n">
        <v>6422.38</v>
      </c>
      <c r="V77" s="1" t="n">
        <v>60.25</v>
      </c>
      <c r="W77" s="1" t="s">
        <v>40</v>
      </c>
      <c r="Y77" s="1" t="s">
        <v>40</v>
      </c>
      <c r="Z77" s="1" t="n">
        <v>1</v>
      </c>
      <c r="AA77" s="1" t="str">
        <f aca="false">TRIM(PROPER(F77))</f>
        <v>Pune</v>
      </c>
      <c r="AB77" s="1" t="str">
        <f aca="false">TRIM(PROPER(C77))</f>
        <v>Whitehat Jr</v>
      </c>
      <c r="AC77" s="1" t="str">
        <f aca="false">IF(O77=0,"No Discount",IF(O77&lt;=15,"Low (1-15%)",IF(O77&lt;=30,"Medium (16-30%)","High (&gt;30%)")))</f>
        <v>No Discount</v>
      </c>
      <c r="AD77" s="1" t="str">
        <f aca="false">IF(V77&lt;0,"Loss Making",IF(V77&lt;20,"Low Margin","Healthy Margin"))</f>
        <v>Healthy Margin</v>
      </c>
      <c r="AE77" s="1" t="str">
        <f aca="false">TEXT(DATE(VALUE(RIGHT(B77,4)),VALUE(MID(B77,4,2)),VALUE(LEFT(B77,2))),"MMM-YYYY")</f>
        <v>Mar-2023</v>
      </c>
      <c r="AF77" s="1" t="n">
        <f aca="false">VALUE(RIGHT(B77,4))</f>
        <v>2023</v>
      </c>
      <c r="AG77" s="1" t="str">
        <f aca="false">CHOOSE(ROUNDUP(VALUE(MID(B77,4,2))/3,0),"Q1","Q2","Q3","Q4")</f>
        <v>Q1</v>
      </c>
    </row>
    <row r="78" customFormat="false" ht="15" hidden="false" customHeight="true" outlineLevel="0" collapsed="false">
      <c r="A78" s="1" t="s">
        <v>289</v>
      </c>
      <c r="B78" s="1" t="s">
        <v>290</v>
      </c>
      <c r="C78" s="1" t="s">
        <v>74</v>
      </c>
      <c r="D78" s="1" t="s">
        <v>44</v>
      </c>
      <c r="E78" s="1" t="s">
        <v>221</v>
      </c>
      <c r="F78" s="1" t="s">
        <v>194</v>
      </c>
      <c r="G78" s="1" t="s">
        <v>103</v>
      </c>
      <c r="H78" s="1" t="s">
        <v>69</v>
      </c>
      <c r="I78" s="1" t="s">
        <v>83</v>
      </c>
      <c r="J78" s="1" t="s">
        <v>70</v>
      </c>
      <c r="K78" s="1" t="s">
        <v>84</v>
      </c>
      <c r="L78" s="1" t="s">
        <v>113</v>
      </c>
      <c r="M78" s="1" t="s">
        <v>50</v>
      </c>
      <c r="N78" s="1" t="n">
        <v>16999</v>
      </c>
      <c r="O78" s="1" t="n">
        <v>0</v>
      </c>
      <c r="P78" s="1" t="n">
        <v>0</v>
      </c>
      <c r="Q78" s="1" t="n">
        <v>16999</v>
      </c>
      <c r="R78" s="1" t="n">
        <v>3059.82</v>
      </c>
      <c r="S78" s="1" t="n">
        <v>13939.18</v>
      </c>
      <c r="T78" s="1" t="n">
        <v>5518.11</v>
      </c>
      <c r="U78" s="1" t="n">
        <v>8421.07</v>
      </c>
      <c r="V78" s="1" t="n">
        <v>60.41</v>
      </c>
      <c r="W78" s="1" t="s">
        <v>40</v>
      </c>
      <c r="Y78" s="1" t="s">
        <v>40</v>
      </c>
      <c r="Z78" s="1" t="n">
        <v>1</v>
      </c>
      <c r="AA78" s="1" t="str">
        <f aca="false">TRIM(PROPER(F78))</f>
        <v>Hyderabad</v>
      </c>
      <c r="AB78" s="1" t="str">
        <f aca="false">TRIM(PROPER(C78))</f>
        <v>Vedantu</v>
      </c>
      <c r="AC78" s="1" t="str">
        <f aca="false">IF(O78=0,"No Discount",IF(O78&lt;=15,"Low (1-15%)",IF(O78&lt;=30,"Medium (16-30%)","High (&gt;30%)")))</f>
        <v>No Discount</v>
      </c>
      <c r="AD78" s="1" t="str">
        <f aca="false">IF(V78&lt;0,"Loss Making",IF(V78&lt;20,"Low Margin","Healthy Margin"))</f>
        <v>Healthy Margin</v>
      </c>
      <c r="AE78" s="1" t="str">
        <f aca="false">TEXT(DATE(VALUE(RIGHT(B78,4)),VALUE(MID(B78,4,2)),VALUE(LEFT(B78,2))),"MMM-YYYY")</f>
        <v>Jan-2023</v>
      </c>
      <c r="AF78" s="1" t="n">
        <f aca="false">VALUE(RIGHT(B78,4))</f>
        <v>2023</v>
      </c>
      <c r="AG78" s="1" t="str">
        <f aca="false">CHOOSE(ROUNDUP(VALUE(MID(B78,4,2))/3,0),"Q1","Q2","Q3","Q4")</f>
        <v>Q1</v>
      </c>
    </row>
    <row r="79" customFormat="false" ht="15" hidden="false" customHeight="true" outlineLevel="0" collapsed="false">
      <c r="A79" s="1" t="s">
        <v>291</v>
      </c>
      <c r="B79" s="1" t="s">
        <v>292</v>
      </c>
      <c r="C79" s="1" t="s">
        <v>134</v>
      </c>
      <c r="D79" s="1" t="s">
        <v>168</v>
      </c>
      <c r="E79" s="1" t="s">
        <v>172</v>
      </c>
      <c r="F79" s="1" t="s">
        <v>150</v>
      </c>
      <c r="G79" s="1" t="s">
        <v>32</v>
      </c>
      <c r="H79" s="1" t="s">
        <v>57</v>
      </c>
      <c r="I79" s="1" t="s">
        <v>58</v>
      </c>
      <c r="J79" s="1" t="s">
        <v>59</v>
      </c>
      <c r="K79" s="1" t="s">
        <v>48</v>
      </c>
      <c r="L79" s="1" t="s">
        <v>37</v>
      </c>
      <c r="M79" s="1" t="s">
        <v>38</v>
      </c>
      <c r="N79" s="1" t="n">
        <v>6999</v>
      </c>
      <c r="O79" s="1" t="n">
        <v>0</v>
      </c>
      <c r="P79" s="1" t="n">
        <v>0</v>
      </c>
      <c r="Q79" s="1" t="n">
        <v>6999</v>
      </c>
      <c r="R79" s="1" t="n">
        <v>1259.82</v>
      </c>
      <c r="S79" s="1" t="n">
        <v>5739.18</v>
      </c>
      <c r="T79" s="1" t="n">
        <v>2768.27</v>
      </c>
      <c r="U79" s="1" t="n">
        <v>2970.91</v>
      </c>
      <c r="V79" s="1" t="n">
        <v>51.77</v>
      </c>
      <c r="W79" s="1" t="s">
        <v>39</v>
      </c>
      <c r="X79" s="1" t="n">
        <v>3</v>
      </c>
      <c r="Y79" s="1" t="s">
        <v>40</v>
      </c>
      <c r="Z79" s="1" t="n">
        <v>1</v>
      </c>
      <c r="AA79" s="1" t="str">
        <f aca="false">TRIM(PROPER(F79))</f>
        <v>Jaipur</v>
      </c>
      <c r="AB79" s="1" t="str">
        <f aca="false">TRIM(PROPER(C79))</f>
        <v>Doubtnut</v>
      </c>
      <c r="AC79" s="1" t="str">
        <f aca="false">IF(O79=0,"No Discount",IF(O79&lt;=15,"Low (1-15%)",IF(O79&lt;=30,"Medium (16-30%)","High (&gt;30%)")))</f>
        <v>No Discount</v>
      </c>
      <c r="AD79" s="1" t="str">
        <f aca="false">IF(V79&lt;0,"Loss Making",IF(V79&lt;20,"Low Margin","Healthy Margin"))</f>
        <v>Healthy Margin</v>
      </c>
      <c r="AE79" s="1" t="str">
        <f aca="false">TEXT(DATE(VALUE(RIGHT(B79,4)),VALUE(MID(B79,4,2)),VALUE(LEFT(B79,2))),"MMM-YYYY")</f>
        <v>Oct-2023</v>
      </c>
      <c r="AF79" s="1" t="n">
        <f aca="false">VALUE(RIGHT(B79,4))</f>
        <v>2023</v>
      </c>
      <c r="AG79" s="1" t="str">
        <f aca="false">CHOOSE(ROUNDUP(VALUE(MID(B79,4,2))/3,0),"Q1","Q2","Q3","Q4")</f>
        <v>Q4</v>
      </c>
    </row>
    <row r="80" customFormat="false" ht="15" hidden="false" customHeight="true" outlineLevel="0" collapsed="false">
      <c r="A80" s="1" t="s">
        <v>293</v>
      </c>
      <c r="B80" s="1" t="s">
        <v>294</v>
      </c>
      <c r="C80" s="1" t="s">
        <v>88</v>
      </c>
      <c r="D80" s="1" t="s">
        <v>123</v>
      </c>
      <c r="E80" s="1" t="s">
        <v>124</v>
      </c>
      <c r="F80" s="1" t="s">
        <v>31</v>
      </c>
      <c r="G80" s="1" t="s">
        <v>32</v>
      </c>
      <c r="H80" s="1" t="s">
        <v>33</v>
      </c>
      <c r="I80" s="1" t="s">
        <v>34</v>
      </c>
      <c r="J80" s="1" t="s">
        <v>59</v>
      </c>
      <c r="K80" s="1" t="s">
        <v>36</v>
      </c>
      <c r="L80" s="1" t="s">
        <v>61</v>
      </c>
      <c r="M80" s="1" t="s">
        <v>50</v>
      </c>
      <c r="N80" s="1" t="n">
        <v>4999</v>
      </c>
      <c r="O80" s="1" t="n">
        <v>0</v>
      </c>
      <c r="P80" s="1" t="n">
        <v>0</v>
      </c>
      <c r="Q80" s="1" t="n">
        <v>4999</v>
      </c>
      <c r="R80" s="1" t="n">
        <v>899.82</v>
      </c>
      <c r="S80" s="1" t="n">
        <v>4099.18</v>
      </c>
      <c r="T80" s="1" t="n">
        <v>1718.76</v>
      </c>
      <c r="U80" s="1" t="n">
        <v>2380.42</v>
      </c>
      <c r="V80" s="1" t="n">
        <v>58.07</v>
      </c>
      <c r="W80" s="1" t="s">
        <v>39</v>
      </c>
      <c r="X80" s="1" t="n">
        <v>4.4</v>
      </c>
      <c r="Y80" s="1" t="s">
        <v>40</v>
      </c>
      <c r="Z80" s="1" t="n">
        <v>0</v>
      </c>
      <c r="AA80" s="1" t="str">
        <f aca="false">TRIM(PROPER(F80))</f>
        <v>Jodhpur</v>
      </c>
      <c r="AB80" s="1" t="str">
        <f aca="false">TRIM(PROPER(C80))</f>
        <v>Byju'S</v>
      </c>
      <c r="AC80" s="1" t="str">
        <f aca="false">IF(O80=0,"No Discount",IF(O80&lt;=15,"Low (1-15%)",IF(O80&lt;=30,"Medium (16-30%)","High (&gt;30%)")))</f>
        <v>No Discount</v>
      </c>
      <c r="AD80" s="1" t="str">
        <f aca="false">IF(V80&lt;0,"Loss Making",IF(V80&lt;20,"Low Margin","Healthy Margin"))</f>
        <v>Healthy Margin</v>
      </c>
      <c r="AE80" s="1" t="str">
        <f aca="false">TEXT(DATE(VALUE(RIGHT(B80,4)),VALUE(MID(B80,4,2)),VALUE(LEFT(B80,2))),"MMM-YYYY")</f>
        <v>Sep-2024</v>
      </c>
      <c r="AF80" s="1" t="n">
        <f aca="false">VALUE(RIGHT(B80,4))</f>
        <v>2024</v>
      </c>
      <c r="AG80" s="1" t="str">
        <f aca="false">CHOOSE(ROUNDUP(VALUE(MID(B80,4,2))/3,0),"Q1","Q2","Q3","Q4")</f>
        <v>Q3</v>
      </c>
    </row>
    <row r="81" customFormat="false" ht="15" hidden="false" customHeight="true" outlineLevel="0" collapsed="false">
      <c r="A81" s="1" t="s">
        <v>295</v>
      </c>
      <c r="B81" s="1" t="s">
        <v>296</v>
      </c>
      <c r="C81" s="1" t="s">
        <v>93</v>
      </c>
      <c r="D81" s="1" t="s">
        <v>168</v>
      </c>
      <c r="E81" s="1" t="s">
        <v>169</v>
      </c>
      <c r="F81" s="1" t="s">
        <v>55</v>
      </c>
      <c r="G81" s="1" t="s">
        <v>56</v>
      </c>
      <c r="H81" s="1" t="s">
        <v>57</v>
      </c>
      <c r="I81" s="1" t="s">
        <v>34</v>
      </c>
      <c r="J81" s="1" t="s">
        <v>77</v>
      </c>
      <c r="K81" s="1" t="s">
        <v>84</v>
      </c>
      <c r="L81" s="1" t="s">
        <v>61</v>
      </c>
      <c r="M81" s="1" t="s">
        <v>50</v>
      </c>
      <c r="N81" s="1" t="n">
        <v>4999</v>
      </c>
      <c r="O81" s="1" t="n">
        <v>0</v>
      </c>
      <c r="P81" s="1" t="n">
        <v>0</v>
      </c>
      <c r="Q81" s="1" t="n">
        <v>4999</v>
      </c>
      <c r="R81" s="1" t="n">
        <v>899.82</v>
      </c>
      <c r="S81" s="1" t="n">
        <v>4099.18</v>
      </c>
      <c r="T81" s="1" t="n">
        <v>1761.8</v>
      </c>
      <c r="U81" s="1" t="n">
        <v>2337.38</v>
      </c>
      <c r="V81" s="1" t="n">
        <v>57.02</v>
      </c>
      <c r="W81" s="1" t="s">
        <v>40</v>
      </c>
      <c r="Y81" s="1" t="s">
        <v>40</v>
      </c>
      <c r="Z81" s="1" t="n">
        <v>0</v>
      </c>
      <c r="AA81" s="1" t="str">
        <f aca="false">TRIM(PROPER(F81))</f>
        <v>Ghaziabad</v>
      </c>
      <c r="AB81" s="1" t="str">
        <f aca="false">TRIM(PROPER(C81))</f>
        <v>Upgrad</v>
      </c>
      <c r="AC81" s="1" t="str">
        <f aca="false">IF(O81=0,"No Discount",IF(O81&lt;=15,"Low (1-15%)",IF(O81&lt;=30,"Medium (16-30%)","High (&gt;30%)")))</f>
        <v>No Discount</v>
      </c>
      <c r="AD81" s="1" t="str">
        <f aca="false">IF(V81&lt;0,"Loss Making",IF(V81&lt;20,"Low Margin","Healthy Margin"))</f>
        <v>Healthy Margin</v>
      </c>
      <c r="AE81" s="1" t="str">
        <f aca="false">TEXT(DATE(VALUE(RIGHT(B81,4)),VALUE(MID(B81,4,2)),VALUE(LEFT(B81,2))),"MMM-YYYY")</f>
        <v>Jun-2023</v>
      </c>
      <c r="AF81" s="1" t="n">
        <f aca="false">VALUE(RIGHT(B81,4))</f>
        <v>2023</v>
      </c>
      <c r="AG81" s="1" t="str">
        <f aca="false">CHOOSE(ROUNDUP(VALUE(MID(B81,4,2))/3,0),"Q1","Q2","Q3","Q4")</f>
        <v>Q2</v>
      </c>
    </row>
    <row r="82" customFormat="false" ht="15" hidden="false" customHeight="true" outlineLevel="0" collapsed="false">
      <c r="A82" s="1" t="s">
        <v>297</v>
      </c>
      <c r="B82" s="1" t="s">
        <v>298</v>
      </c>
      <c r="C82" s="1" t="s">
        <v>93</v>
      </c>
      <c r="D82" s="1" t="s">
        <v>53</v>
      </c>
      <c r="E82" s="1" t="s">
        <v>216</v>
      </c>
      <c r="F82" s="1" t="s">
        <v>31</v>
      </c>
      <c r="G82" s="1" t="s">
        <v>32</v>
      </c>
      <c r="H82" s="1" t="s">
        <v>33</v>
      </c>
      <c r="I82" s="1" t="s">
        <v>83</v>
      </c>
      <c r="J82" s="1" t="s">
        <v>59</v>
      </c>
      <c r="K82" s="1" t="s">
        <v>60</v>
      </c>
      <c r="L82" s="1" t="s">
        <v>136</v>
      </c>
      <c r="M82" s="1" t="s">
        <v>62</v>
      </c>
      <c r="N82" s="1" t="n">
        <v>7499</v>
      </c>
      <c r="O82" s="1" t="n">
        <v>15</v>
      </c>
      <c r="P82" s="1" t="n">
        <v>1124.85</v>
      </c>
      <c r="Q82" s="1" t="n">
        <v>6374.15</v>
      </c>
      <c r="R82" s="1" t="n">
        <v>1147.35</v>
      </c>
      <c r="S82" s="1" t="n">
        <v>5226.8</v>
      </c>
      <c r="T82" s="1" t="n">
        <v>2015.98</v>
      </c>
      <c r="U82" s="1" t="n">
        <v>3210.82</v>
      </c>
      <c r="V82" s="1" t="n">
        <v>61.43</v>
      </c>
      <c r="W82" s="1" t="s">
        <v>40</v>
      </c>
      <c r="Y82" s="1" t="s">
        <v>39</v>
      </c>
      <c r="Z82" s="1" t="n">
        <v>1</v>
      </c>
      <c r="AA82" s="1" t="str">
        <f aca="false">TRIM(PROPER(F82))</f>
        <v>Jodhpur</v>
      </c>
      <c r="AB82" s="1" t="str">
        <f aca="false">TRIM(PROPER(C82))</f>
        <v>Upgrad</v>
      </c>
      <c r="AC82" s="1" t="str">
        <f aca="false">IF(O82=0,"No Discount",IF(O82&lt;=15,"Low (1-15%)",IF(O82&lt;=30,"Medium (16-30%)","High (&gt;30%)")))</f>
        <v>Low (1-15%)</v>
      </c>
      <c r="AD82" s="1" t="str">
        <f aca="false">IF(V82&lt;0,"Loss Making",IF(V82&lt;20,"Low Margin","Healthy Margin"))</f>
        <v>Healthy Margin</v>
      </c>
      <c r="AE82" s="1" t="str">
        <f aca="false">TEXT(DATE(VALUE(RIGHT(B82,4)),VALUE(MID(B82,4,2)),VALUE(LEFT(B82,2))),"MMM-YYYY")</f>
        <v>Mar-2024</v>
      </c>
      <c r="AF82" s="1" t="n">
        <f aca="false">VALUE(RIGHT(B82,4))</f>
        <v>2024</v>
      </c>
      <c r="AG82" s="1" t="str">
        <f aca="false">CHOOSE(ROUNDUP(VALUE(MID(B82,4,2))/3,0),"Q1","Q2","Q3","Q4")</f>
        <v>Q1</v>
      </c>
    </row>
    <row r="83" customFormat="false" ht="15" hidden="false" customHeight="true" outlineLevel="0" collapsed="false">
      <c r="A83" s="1" t="s">
        <v>299</v>
      </c>
      <c r="B83" s="1" t="s">
        <v>300</v>
      </c>
      <c r="C83" s="1" t="s">
        <v>74</v>
      </c>
      <c r="D83" s="1" t="s">
        <v>94</v>
      </c>
      <c r="E83" s="1" t="s">
        <v>95</v>
      </c>
      <c r="F83" s="1" t="s">
        <v>156</v>
      </c>
      <c r="G83" s="1" t="s">
        <v>68</v>
      </c>
      <c r="H83" s="1" t="s">
        <v>57</v>
      </c>
      <c r="I83" s="1" t="s">
        <v>83</v>
      </c>
      <c r="J83" s="1" t="s">
        <v>77</v>
      </c>
      <c r="K83" s="1" t="s">
        <v>112</v>
      </c>
      <c r="L83" s="1" t="s">
        <v>37</v>
      </c>
      <c r="M83" s="1" t="s">
        <v>62</v>
      </c>
      <c r="N83" s="1" t="n">
        <v>6999</v>
      </c>
      <c r="O83" s="1" t="n">
        <v>10</v>
      </c>
      <c r="P83" s="1" t="n">
        <v>699.9</v>
      </c>
      <c r="Q83" s="1" t="n">
        <v>6299.1</v>
      </c>
      <c r="R83" s="1" t="n">
        <v>1133.84</v>
      </c>
      <c r="S83" s="1" t="n">
        <v>5165.26</v>
      </c>
      <c r="T83" s="1" t="n">
        <v>2561.92</v>
      </c>
      <c r="U83" s="1" t="n">
        <v>2603.34</v>
      </c>
      <c r="V83" s="1" t="n">
        <v>50.4</v>
      </c>
      <c r="W83" s="1" t="s">
        <v>39</v>
      </c>
      <c r="Y83" s="1" t="s">
        <v>39</v>
      </c>
      <c r="Z83" s="1" t="n">
        <v>0</v>
      </c>
      <c r="AA83" s="1" t="str">
        <f aca="false">TRIM(PROPER(F83))</f>
        <v>Surat</v>
      </c>
      <c r="AB83" s="1" t="str">
        <f aca="false">TRIM(PROPER(C83))</f>
        <v>Vedantu</v>
      </c>
      <c r="AC83" s="1" t="str">
        <f aca="false">IF(O83=0,"No Discount",IF(O83&lt;=15,"Low (1-15%)",IF(O83&lt;=30,"Medium (16-30%)","High (&gt;30%)")))</f>
        <v>Low (1-15%)</v>
      </c>
      <c r="AD83" s="1" t="str">
        <f aca="false">IF(V83&lt;0,"Loss Making",IF(V83&lt;20,"Low Margin","Healthy Margin"))</f>
        <v>Healthy Margin</v>
      </c>
      <c r="AE83" s="1" t="str">
        <f aca="false">TEXT(DATE(VALUE(RIGHT(B83,4)),VALUE(MID(B83,4,2)),VALUE(LEFT(B83,2))),"MMM-YYYY")</f>
        <v>Dec-2024</v>
      </c>
      <c r="AF83" s="1" t="n">
        <f aca="false">VALUE(RIGHT(B83,4))</f>
        <v>2024</v>
      </c>
      <c r="AG83" s="1" t="str">
        <f aca="false">CHOOSE(ROUNDUP(VALUE(MID(B83,4,2))/3,0),"Q1","Q2","Q3","Q4")</f>
        <v>Q4</v>
      </c>
    </row>
    <row r="84" customFormat="false" ht="15" hidden="false" customHeight="true" outlineLevel="0" collapsed="false">
      <c r="A84" s="1" t="s">
        <v>301</v>
      </c>
      <c r="B84" s="1" t="s">
        <v>302</v>
      </c>
      <c r="C84" s="1" t="s">
        <v>28</v>
      </c>
      <c r="D84" s="1" t="s">
        <v>143</v>
      </c>
      <c r="E84" s="1" t="s">
        <v>243</v>
      </c>
      <c r="F84" s="1" t="s">
        <v>89</v>
      </c>
      <c r="G84" s="1" t="s">
        <v>68</v>
      </c>
      <c r="H84" s="1" t="s">
        <v>33</v>
      </c>
      <c r="I84" s="1" t="s">
        <v>34</v>
      </c>
      <c r="J84" s="1" t="s">
        <v>131</v>
      </c>
      <c r="K84" s="1" t="s">
        <v>60</v>
      </c>
      <c r="L84" s="1" t="s">
        <v>61</v>
      </c>
      <c r="M84" s="1" t="s">
        <v>62</v>
      </c>
      <c r="N84" s="1" t="n">
        <v>22999</v>
      </c>
      <c r="O84" s="1" t="n">
        <v>10</v>
      </c>
      <c r="P84" s="1" t="n">
        <v>2299.9</v>
      </c>
      <c r="Q84" s="1" t="n">
        <v>20699.1</v>
      </c>
      <c r="R84" s="1" t="n">
        <v>3725.84</v>
      </c>
      <c r="S84" s="1" t="n">
        <v>16973.26</v>
      </c>
      <c r="T84" s="1" t="n">
        <v>7435.79</v>
      </c>
      <c r="U84" s="1" t="n">
        <v>9537.47</v>
      </c>
      <c r="V84" s="1" t="n">
        <v>56.19</v>
      </c>
      <c r="W84" s="1" t="s">
        <v>39</v>
      </c>
      <c r="X84" s="1" t="n">
        <v>2.6</v>
      </c>
      <c r="Y84" s="1" t="s">
        <v>40</v>
      </c>
      <c r="Z84" s="1" t="n">
        <v>1</v>
      </c>
      <c r="AA84" s="1" t="str">
        <f aca="false">TRIM(PROPER(F84))</f>
        <v>Vadodara</v>
      </c>
      <c r="AB84" s="1" t="str">
        <f aca="false">TRIM(PROPER(C84))</f>
        <v>Embibe</v>
      </c>
      <c r="AC84" s="1" t="str">
        <f aca="false">IF(O84=0,"No Discount",IF(O84&lt;=15,"Low (1-15%)",IF(O84&lt;=30,"Medium (16-30%)","High (&gt;30%)")))</f>
        <v>Low (1-15%)</v>
      </c>
      <c r="AD84" s="1" t="str">
        <f aca="false">IF(V84&lt;0,"Loss Making",IF(V84&lt;20,"Low Margin","Healthy Margin"))</f>
        <v>Healthy Margin</v>
      </c>
      <c r="AE84" s="1" t="str">
        <f aca="false">TEXT(DATE(VALUE(RIGHT(B84,4)),VALUE(MID(B84,4,2)),VALUE(LEFT(B84,2))),"MMM-YYYY")</f>
        <v>Jan-2023</v>
      </c>
      <c r="AF84" s="1" t="n">
        <f aca="false">VALUE(RIGHT(B84,4))</f>
        <v>2023</v>
      </c>
      <c r="AG84" s="1" t="str">
        <f aca="false">CHOOSE(ROUNDUP(VALUE(MID(B84,4,2))/3,0),"Q1","Q2","Q3","Q4")</f>
        <v>Q1</v>
      </c>
    </row>
    <row r="85" customFormat="false" ht="15" hidden="false" customHeight="true" outlineLevel="0" collapsed="false">
      <c r="A85" s="1" t="s">
        <v>303</v>
      </c>
      <c r="B85" s="1" t="s">
        <v>304</v>
      </c>
      <c r="C85" s="1" t="s">
        <v>74</v>
      </c>
      <c r="D85" s="1" t="s">
        <v>29</v>
      </c>
      <c r="E85" s="1" t="s">
        <v>305</v>
      </c>
      <c r="F85" s="1" t="s">
        <v>31</v>
      </c>
      <c r="G85" s="1" t="s">
        <v>32</v>
      </c>
      <c r="H85" s="1" t="s">
        <v>33</v>
      </c>
      <c r="I85" s="1" t="s">
        <v>83</v>
      </c>
      <c r="J85" s="1" t="s">
        <v>59</v>
      </c>
      <c r="K85" s="1" t="s">
        <v>112</v>
      </c>
      <c r="L85" s="1" t="s">
        <v>49</v>
      </c>
      <c r="M85" s="1" t="s">
        <v>50</v>
      </c>
      <c r="N85" s="1" t="n">
        <v>24999</v>
      </c>
      <c r="O85" s="1" t="n">
        <v>10</v>
      </c>
      <c r="P85" s="1" t="n">
        <v>2499.9</v>
      </c>
      <c r="Q85" s="1" t="n">
        <v>22499.1</v>
      </c>
      <c r="R85" s="1" t="n">
        <v>4049.84</v>
      </c>
      <c r="S85" s="1" t="n">
        <v>18449.26</v>
      </c>
      <c r="T85" s="1" t="n">
        <v>6447.62</v>
      </c>
      <c r="U85" s="1" t="n">
        <v>12001.64</v>
      </c>
      <c r="V85" s="1" t="n">
        <v>65.05</v>
      </c>
      <c r="W85" s="1" t="s">
        <v>39</v>
      </c>
      <c r="X85" s="1" t="n">
        <v>3.9</v>
      </c>
      <c r="Y85" s="1" t="s">
        <v>40</v>
      </c>
      <c r="Z85" s="1" t="n">
        <v>0</v>
      </c>
      <c r="AA85" s="1" t="str">
        <f aca="false">TRIM(PROPER(F85))</f>
        <v>Jodhpur</v>
      </c>
      <c r="AB85" s="1" t="str">
        <f aca="false">TRIM(PROPER(C85))</f>
        <v>Vedantu</v>
      </c>
      <c r="AC85" s="1" t="str">
        <f aca="false">IF(O85=0,"No Discount",IF(O85&lt;=15,"Low (1-15%)",IF(O85&lt;=30,"Medium (16-30%)","High (&gt;30%)")))</f>
        <v>Low (1-15%)</v>
      </c>
      <c r="AD85" s="1" t="str">
        <f aca="false">IF(V85&lt;0,"Loss Making",IF(V85&lt;20,"Low Margin","Healthy Margin"))</f>
        <v>Healthy Margin</v>
      </c>
      <c r="AE85" s="1" t="str">
        <f aca="false">TEXT(DATE(VALUE(RIGHT(B85,4)),VALUE(MID(B85,4,2)),VALUE(LEFT(B85,2))),"MMM-YYYY")</f>
        <v>Oct-2023</v>
      </c>
      <c r="AF85" s="1" t="n">
        <f aca="false">VALUE(RIGHT(B85,4))</f>
        <v>2023</v>
      </c>
      <c r="AG85" s="1" t="str">
        <f aca="false">CHOOSE(ROUNDUP(VALUE(MID(B85,4,2))/3,0),"Q1","Q2","Q3","Q4")</f>
        <v>Q4</v>
      </c>
    </row>
    <row r="86" customFormat="false" ht="15" hidden="false" customHeight="true" outlineLevel="0" collapsed="false">
      <c r="A86" s="1" t="s">
        <v>306</v>
      </c>
      <c r="B86" s="1" t="s">
        <v>307</v>
      </c>
      <c r="C86" s="1" t="s">
        <v>139</v>
      </c>
      <c r="D86" s="1" t="s">
        <v>29</v>
      </c>
      <c r="E86" s="1" t="s">
        <v>30</v>
      </c>
      <c r="F86" s="1" t="s">
        <v>75</v>
      </c>
      <c r="G86" s="1" t="s">
        <v>76</v>
      </c>
      <c r="H86" s="1" t="s">
        <v>69</v>
      </c>
      <c r="I86" s="1" t="s">
        <v>34</v>
      </c>
      <c r="J86" s="1" t="s">
        <v>77</v>
      </c>
      <c r="K86" s="1" t="s">
        <v>48</v>
      </c>
      <c r="L86" s="1" t="s">
        <v>113</v>
      </c>
      <c r="M86" s="1" t="s">
        <v>38</v>
      </c>
      <c r="N86" s="1" t="n">
        <v>7999</v>
      </c>
      <c r="O86" s="1" t="n">
        <v>5</v>
      </c>
      <c r="P86" s="1" t="n">
        <v>399.95</v>
      </c>
      <c r="Q86" s="1" t="n">
        <v>7599.05</v>
      </c>
      <c r="R86" s="1" t="n">
        <v>1367.83</v>
      </c>
      <c r="S86" s="1" t="n">
        <v>6231.22</v>
      </c>
      <c r="T86" s="1" t="n">
        <v>2002.62</v>
      </c>
      <c r="U86" s="1" t="n">
        <v>4228.6</v>
      </c>
      <c r="V86" s="1" t="n">
        <v>67.86</v>
      </c>
      <c r="W86" s="1" t="s">
        <v>39</v>
      </c>
      <c r="Y86" s="1" t="s">
        <v>40</v>
      </c>
      <c r="Z86" s="1" t="n">
        <v>0</v>
      </c>
      <c r="AA86" s="1" t="str">
        <f aca="false">TRIM(PROPER(F86))</f>
        <v>Kolkata</v>
      </c>
      <c r="AB86" s="1" t="str">
        <f aca="false">TRIM(PROPER(C86))</f>
        <v>Extramarks</v>
      </c>
      <c r="AC86" s="1" t="str">
        <f aca="false">IF(O86=0,"No Discount",IF(O86&lt;=15,"Low (1-15%)",IF(O86&lt;=30,"Medium (16-30%)","High (&gt;30%)")))</f>
        <v>Low (1-15%)</v>
      </c>
      <c r="AD86" s="1" t="str">
        <f aca="false">IF(V86&lt;0,"Loss Making",IF(V86&lt;20,"Low Margin","Healthy Margin"))</f>
        <v>Healthy Margin</v>
      </c>
      <c r="AE86" s="1" t="str">
        <f aca="false">TEXT(DATE(VALUE(RIGHT(B86,4)),VALUE(MID(B86,4,2)),VALUE(LEFT(B86,2))),"MMM-YYYY")</f>
        <v>Oct-2023</v>
      </c>
      <c r="AF86" s="1" t="n">
        <f aca="false">VALUE(RIGHT(B86,4))</f>
        <v>2023</v>
      </c>
      <c r="AG86" s="1" t="str">
        <f aca="false">CHOOSE(ROUNDUP(VALUE(MID(B86,4,2))/3,0),"Q1","Q2","Q3","Q4")</f>
        <v>Q4</v>
      </c>
    </row>
    <row r="87" customFormat="false" ht="15" hidden="false" customHeight="true" outlineLevel="0" collapsed="false">
      <c r="A87" s="1" t="s">
        <v>308</v>
      </c>
      <c r="B87" s="1" t="s">
        <v>309</v>
      </c>
      <c r="C87" s="1" t="s">
        <v>65</v>
      </c>
      <c r="D87" s="1" t="s">
        <v>123</v>
      </c>
      <c r="E87" s="1" t="s">
        <v>233</v>
      </c>
      <c r="F87" s="1" t="s">
        <v>55</v>
      </c>
      <c r="G87" s="1" t="s">
        <v>56</v>
      </c>
      <c r="H87" s="1" t="s">
        <v>57</v>
      </c>
      <c r="I87" s="1" t="s">
        <v>58</v>
      </c>
      <c r="J87" s="1" t="s">
        <v>70</v>
      </c>
      <c r="K87" s="1" t="s">
        <v>90</v>
      </c>
      <c r="L87" s="1" t="s">
        <v>37</v>
      </c>
      <c r="M87" s="1" t="s">
        <v>38</v>
      </c>
      <c r="N87" s="1" t="n">
        <v>8999</v>
      </c>
      <c r="O87" s="1" t="n">
        <v>30</v>
      </c>
      <c r="P87" s="1" t="n">
        <v>2699.7</v>
      </c>
      <c r="Q87" s="1" t="n">
        <v>6299.3</v>
      </c>
      <c r="R87" s="1" t="n">
        <v>1133.87</v>
      </c>
      <c r="S87" s="1" t="n">
        <v>5165.43</v>
      </c>
      <c r="T87" s="1" t="n">
        <v>2326.66</v>
      </c>
      <c r="U87" s="1" t="n">
        <v>2838.77</v>
      </c>
      <c r="V87" s="1" t="n">
        <v>54.96</v>
      </c>
      <c r="W87" s="1" t="s">
        <v>39</v>
      </c>
      <c r="X87" s="1" t="n">
        <v>4.1</v>
      </c>
      <c r="Y87" s="1" t="s">
        <v>40</v>
      </c>
      <c r="Z87" s="1" t="n">
        <v>0</v>
      </c>
      <c r="AA87" s="1" t="str">
        <f aca="false">TRIM(PROPER(F87))</f>
        <v>Ghaziabad</v>
      </c>
      <c r="AB87" s="1" t="str">
        <f aca="false">TRIM(PROPER(C87))</f>
        <v>Toppr</v>
      </c>
      <c r="AC87" s="1" t="str">
        <f aca="false">IF(O87=0,"No Discount",IF(O87&lt;=15,"Low (1-15%)",IF(O87&lt;=30,"Medium (16-30%)","High (&gt;30%)")))</f>
        <v>Medium (16-30%)</v>
      </c>
      <c r="AD87" s="1" t="str">
        <f aca="false">IF(V87&lt;0,"Loss Making",IF(V87&lt;20,"Low Margin","Healthy Margin"))</f>
        <v>Healthy Margin</v>
      </c>
      <c r="AE87" s="1" t="str">
        <f aca="false">TEXT(DATE(VALUE(RIGHT(B87,4)),VALUE(MID(B87,4,2)),VALUE(LEFT(B87,2))),"MMM-YYYY")</f>
        <v>Oct-2024</v>
      </c>
      <c r="AF87" s="1" t="n">
        <f aca="false">VALUE(RIGHT(B87,4))</f>
        <v>2024</v>
      </c>
      <c r="AG87" s="1" t="str">
        <f aca="false">CHOOSE(ROUNDUP(VALUE(MID(B87,4,2))/3,0),"Q1","Q2","Q3","Q4")</f>
        <v>Q4</v>
      </c>
    </row>
    <row r="88" customFormat="false" ht="15" hidden="false" customHeight="true" outlineLevel="0" collapsed="false">
      <c r="A88" s="1" t="s">
        <v>310</v>
      </c>
      <c r="B88" s="1" t="s">
        <v>311</v>
      </c>
      <c r="C88" s="1" t="s">
        <v>93</v>
      </c>
      <c r="D88" s="1" t="s">
        <v>80</v>
      </c>
      <c r="E88" s="1" t="s">
        <v>193</v>
      </c>
      <c r="F88" s="1" t="s">
        <v>156</v>
      </c>
      <c r="G88" s="1" t="s">
        <v>68</v>
      </c>
      <c r="H88" s="1" t="s">
        <v>57</v>
      </c>
      <c r="I88" s="1" t="s">
        <v>83</v>
      </c>
      <c r="J88" s="1" t="s">
        <v>77</v>
      </c>
      <c r="K88" s="1" t="s">
        <v>48</v>
      </c>
      <c r="L88" s="1" t="s">
        <v>61</v>
      </c>
      <c r="M88" s="1" t="s">
        <v>62</v>
      </c>
      <c r="N88" s="1" t="n">
        <v>8999</v>
      </c>
      <c r="O88" s="1" t="n">
        <v>25</v>
      </c>
      <c r="P88" s="1" t="n">
        <v>2249.75</v>
      </c>
      <c r="Q88" s="1" t="n">
        <v>6749.25</v>
      </c>
      <c r="R88" s="1" t="n">
        <v>1214.87</v>
      </c>
      <c r="S88" s="1" t="n">
        <v>5534.38</v>
      </c>
      <c r="T88" s="1" t="n">
        <v>2300.11</v>
      </c>
      <c r="U88" s="1" t="n">
        <v>3234.27</v>
      </c>
      <c r="V88" s="1" t="n">
        <v>58.44</v>
      </c>
      <c r="W88" s="1" t="s">
        <v>40</v>
      </c>
      <c r="Y88" s="1" t="s">
        <v>39</v>
      </c>
      <c r="Z88" s="1" t="n">
        <v>1</v>
      </c>
      <c r="AA88" s="1" t="str">
        <f aca="false">TRIM(PROPER(F88))</f>
        <v>Surat</v>
      </c>
      <c r="AB88" s="1" t="str">
        <f aca="false">TRIM(PROPER(C88))</f>
        <v>Upgrad</v>
      </c>
      <c r="AC88" s="1" t="str">
        <f aca="false">IF(O88=0,"No Discount",IF(O88&lt;=15,"Low (1-15%)",IF(O88&lt;=30,"Medium (16-30%)","High (&gt;30%)")))</f>
        <v>Medium (16-30%)</v>
      </c>
      <c r="AD88" s="1" t="str">
        <f aca="false">IF(V88&lt;0,"Loss Making",IF(V88&lt;20,"Low Margin","Healthy Margin"))</f>
        <v>Healthy Margin</v>
      </c>
      <c r="AE88" s="1" t="str">
        <f aca="false">TEXT(DATE(VALUE(RIGHT(B88,4)),VALUE(MID(B88,4,2)),VALUE(LEFT(B88,2))),"MMM-YYYY")</f>
        <v>Oct-2023</v>
      </c>
      <c r="AF88" s="1" t="n">
        <f aca="false">VALUE(RIGHT(B88,4))</f>
        <v>2023</v>
      </c>
      <c r="AG88" s="1" t="str">
        <f aca="false">CHOOSE(ROUNDUP(VALUE(MID(B88,4,2))/3,0),"Q1","Q2","Q3","Q4")</f>
        <v>Q4</v>
      </c>
    </row>
    <row r="89" customFormat="false" ht="15" hidden="false" customHeight="true" outlineLevel="0" collapsed="false">
      <c r="A89" s="1" t="s">
        <v>312</v>
      </c>
      <c r="B89" s="1" t="s">
        <v>313</v>
      </c>
      <c r="C89" s="1" t="s">
        <v>167</v>
      </c>
      <c r="D89" s="1" t="s">
        <v>168</v>
      </c>
      <c r="E89" s="1" t="s">
        <v>197</v>
      </c>
      <c r="F89" s="1" t="s">
        <v>205</v>
      </c>
      <c r="G89" s="1" t="s">
        <v>56</v>
      </c>
      <c r="H89" s="1" t="s">
        <v>69</v>
      </c>
      <c r="I89" s="1" t="s">
        <v>83</v>
      </c>
      <c r="J89" s="1" t="s">
        <v>77</v>
      </c>
      <c r="K89" s="1" t="s">
        <v>104</v>
      </c>
      <c r="L89" s="1" t="s">
        <v>113</v>
      </c>
      <c r="M89" s="1" t="s">
        <v>38</v>
      </c>
      <c r="N89" s="1" t="n">
        <v>8499</v>
      </c>
      <c r="O89" s="1" t="n">
        <v>15</v>
      </c>
      <c r="P89" s="1" t="n">
        <v>1274.85</v>
      </c>
      <c r="Q89" s="1" t="n">
        <v>7224.15</v>
      </c>
      <c r="R89" s="1" t="n">
        <v>1300.35</v>
      </c>
      <c r="S89" s="1" t="n">
        <v>5923.8</v>
      </c>
      <c r="T89" s="1" t="n">
        <v>2318.67</v>
      </c>
      <c r="U89" s="1" t="n">
        <v>3605.13</v>
      </c>
      <c r="V89" s="1" t="n">
        <v>60.86</v>
      </c>
      <c r="W89" s="1" t="s">
        <v>39</v>
      </c>
      <c r="X89" s="1" t="n">
        <v>3.9</v>
      </c>
      <c r="Y89" s="1" t="s">
        <v>40</v>
      </c>
      <c r="Z89" s="1" t="n">
        <v>0</v>
      </c>
      <c r="AA89" s="1" t="str">
        <f aca="false">TRIM(PROPER(F89))</f>
        <v>New Delhi</v>
      </c>
      <c r="AB89" s="1" t="str">
        <f aca="false">TRIM(PROPER(C89))</f>
        <v>Scaler</v>
      </c>
      <c r="AC89" s="1" t="str">
        <f aca="false">IF(O89=0,"No Discount",IF(O89&lt;=15,"Low (1-15%)",IF(O89&lt;=30,"Medium (16-30%)","High (&gt;30%)")))</f>
        <v>Low (1-15%)</v>
      </c>
      <c r="AD89" s="1" t="str">
        <f aca="false">IF(V89&lt;0,"Loss Making",IF(V89&lt;20,"Low Margin","Healthy Margin"))</f>
        <v>Healthy Margin</v>
      </c>
      <c r="AE89" s="1" t="str">
        <f aca="false">TEXT(DATE(VALUE(RIGHT(B89,4)),VALUE(MID(B89,4,2)),VALUE(LEFT(B89,2))),"MMM-YYYY")</f>
        <v>May-2024</v>
      </c>
      <c r="AF89" s="1" t="n">
        <f aca="false">VALUE(RIGHT(B89,4))</f>
        <v>2024</v>
      </c>
      <c r="AG89" s="1" t="str">
        <f aca="false">CHOOSE(ROUNDUP(VALUE(MID(B89,4,2))/3,0),"Q1","Q2","Q3","Q4")</f>
        <v>Q2</v>
      </c>
    </row>
    <row r="90" customFormat="false" ht="15" hidden="false" customHeight="true" outlineLevel="0" collapsed="false">
      <c r="A90" s="1" t="s">
        <v>314</v>
      </c>
      <c r="B90" s="1" t="s">
        <v>315</v>
      </c>
      <c r="C90" s="1" t="s">
        <v>43</v>
      </c>
      <c r="D90" s="1" t="s">
        <v>123</v>
      </c>
      <c r="E90" s="1" t="s">
        <v>147</v>
      </c>
      <c r="F90" s="1" t="s">
        <v>107</v>
      </c>
      <c r="G90" s="1" t="s">
        <v>108</v>
      </c>
      <c r="H90" s="1" t="s">
        <v>33</v>
      </c>
      <c r="I90" s="1" t="s">
        <v>58</v>
      </c>
      <c r="J90" s="1" t="s">
        <v>59</v>
      </c>
      <c r="K90" s="1" t="s">
        <v>60</v>
      </c>
      <c r="L90" s="1" t="s">
        <v>49</v>
      </c>
      <c r="M90" s="1" t="s">
        <v>50</v>
      </c>
      <c r="N90" s="1" t="n">
        <v>6999</v>
      </c>
      <c r="O90" s="1" t="n">
        <v>50</v>
      </c>
      <c r="P90" s="1" t="n">
        <v>3499.5</v>
      </c>
      <c r="Q90" s="1" t="n">
        <v>3499.5</v>
      </c>
      <c r="R90" s="1" t="n">
        <v>629.91</v>
      </c>
      <c r="S90" s="1" t="n">
        <v>2869.59</v>
      </c>
      <c r="T90" s="1" t="n">
        <v>1830.05</v>
      </c>
      <c r="U90" s="1" t="n">
        <v>1039.54</v>
      </c>
      <c r="V90" s="1" t="n">
        <v>36.23</v>
      </c>
      <c r="W90" s="1" t="s">
        <v>40</v>
      </c>
      <c r="Y90" s="1" t="s">
        <v>40</v>
      </c>
      <c r="Z90" s="1" t="n">
        <v>1</v>
      </c>
      <c r="AA90" s="1" t="str">
        <f aca="false">TRIM(PROPER(F90))</f>
        <v>Madurai</v>
      </c>
      <c r="AB90" s="1" t="str">
        <f aca="false">TRIM(PROPER(C90))</f>
        <v>Meritnation</v>
      </c>
      <c r="AC90" s="1" t="str">
        <f aca="false">IF(O90=0,"No Discount",IF(O90&lt;=15,"Low (1-15%)",IF(O90&lt;=30,"Medium (16-30%)","High (&gt;30%)")))</f>
        <v>High (&gt;30%)</v>
      </c>
      <c r="AD90" s="1" t="str">
        <f aca="false">IF(V90&lt;0,"Loss Making",IF(V90&lt;20,"Low Margin","Healthy Margin"))</f>
        <v>Healthy Margin</v>
      </c>
      <c r="AE90" s="1" t="str">
        <f aca="false">TEXT(DATE(VALUE(RIGHT(B90,4)),VALUE(MID(B90,4,2)),VALUE(LEFT(B90,2))),"MMM-YYYY")</f>
        <v>Jun-2023</v>
      </c>
      <c r="AF90" s="1" t="n">
        <f aca="false">VALUE(RIGHT(B90,4))</f>
        <v>2023</v>
      </c>
      <c r="AG90" s="1" t="str">
        <f aca="false">CHOOSE(ROUNDUP(VALUE(MID(B90,4,2))/3,0),"Q1","Q2","Q3","Q4")</f>
        <v>Q2</v>
      </c>
    </row>
    <row r="91" customFormat="false" ht="15" hidden="false" customHeight="true" outlineLevel="0" collapsed="false">
      <c r="A91" s="1" t="s">
        <v>316</v>
      </c>
      <c r="B91" s="1" t="s">
        <v>223</v>
      </c>
      <c r="C91" s="1" t="s">
        <v>88</v>
      </c>
      <c r="D91" s="1" t="s">
        <v>44</v>
      </c>
      <c r="E91" s="1" t="s">
        <v>66</v>
      </c>
      <c r="F91" s="1" t="s">
        <v>102</v>
      </c>
      <c r="G91" s="1" t="s">
        <v>103</v>
      </c>
      <c r="H91" s="1" t="s">
        <v>33</v>
      </c>
      <c r="I91" s="1" t="s">
        <v>83</v>
      </c>
      <c r="J91" s="1" t="s">
        <v>77</v>
      </c>
      <c r="K91" s="1" t="s">
        <v>71</v>
      </c>
      <c r="L91" s="1" t="s">
        <v>113</v>
      </c>
      <c r="M91" s="1" t="s">
        <v>62</v>
      </c>
      <c r="N91" s="1" t="n">
        <v>12999</v>
      </c>
      <c r="O91" s="1" t="n">
        <v>10</v>
      </c>
      <c r="P91" s="1" t="n">
        <v>1299.9</v>
      </c>
      <c r="Q91" s="1" t="n">
        <v>11699.1</v>
      </c>
      <c r="R91" s="1" t="n">
        <v>2105.84</v>
      </c>
      <c r="S91" s="1" t="n">
        <v>9593.26</v>
      </c>
      <c r="T91" s="1" t="n">
        <v>4011.27</v>
      </c>
      <c r="U91" s="1" t="n">
        <v>5581.99</v>
      </c>
      <c r="V91" s="1" t="n">
        <v>58.19</v>
      </c>
      <c r="W91" s="1" t="s">
        <v>39</v>
      </c>
      <c r="X91" s="1" t="n">
        <v>2.7</v>
      </c>
      <c r="Y91" s="1" t="s">
        <v>40</v>
      </c>
      <c r="Z91" s="1" t="n">
        <v>0</v>
      </c>
      <c r="AA91" s="1" t="str">
        <f aca="false">TRIM(PROPER(F91))</f>
        <v>Warangal</v>
      </c>
      <c r="AB91" s="1" t="str">
        <f aca="false">TRIM(PROPER(C91))</f>
        <v>Byju'S</v>
      </c>
      <c r="AC91" s="1" t="str">
        <f aca="false">IF(O91=0,"No Discount",IF(O91&lt;=15,"Low (1-15%)",IF(O91&lt;=30,"Medium (16-30%)","High (&gt;30%)")))</f>
        <v>Low (1-15%)</v>
      </c>
      <c r="AD91" s="1" t="str">
        <f aca="false">IF(V91&lt;0,"Loss Making",IF(V91&lt;20,"Low Margin","Healthy Margin"))</f>
        <v>Healthy Margin</v>
      </c>
      <c r="AE91" s="1" t="str">
        <f aca="false">TEXT(DATE(VALUE(RIGHT(B91,4)),VALUE(MID(B91,4,2)),VALUE(LEFT(B91,2))),"MMM-YYYY")</f>
        <v>Nov-2024</v>
      </c>
      <c r="AF91" s="1" t="n">
        <f aca="false">VALUE(RIGHT(B91,4))</f>
        <v>2024</v>
      </c>
      <c r="AG91" s="1" t="str">
        <f aca="false">CHOOSE(ROUNDUP(VALUE(MID(B91,4,2))/3,0),"Q1","Q2","Q3","Q4")</f>
        <v>Q4</v>
      </c>
    </row>
    <row r="92" customFormat="false" ht="15" hidden="false" customHeight="true" outlineLevel="0" collapsed="false">
      <c r="A92" s="1" t="s">
        <v>317</v>
      </c>
      <c r="B92" s="1" t="s">
        <v>318</v>
      </c>
      <c r="C92" s="1" t="s">
        <v>134</v>
      </c>
      <c r="D92" s="1" t="s">
        <v>44</v>
      </c>
      <c r="E92" s="1" t="s">
        <v>66</v>
      </c>
      <c r="F92" s="1" t="s">
        <v>187</v>
      </c>
      <c r="G92" s="1" t="s">
        <v>97</v>
      </c>
      <c r="H92" s="1" t="s">
        <v>69</v>
      </c>
      <c r="I92" s="1" t="s">
        <v>58</v>
      </c>
      <c r="J92" s="1" t="s">
        <v>70</v>
      </c>
      <c r="K92" s="1" t="s">
        <v>104</v>
      </c>
      <c r="L92" s="1" t="s">
        <v>49</v>
      </c>
      <c r="M92" s="1" t="s">
        <v>38</v>
      </c>
      <c r="N92" s="1" t="n">
        <v>12999</v>
      </c>
      <c r="O92" s="1" t="n">
        <v>0</v>
      </c>
      <c r="P92" s="1" t="n">
        <v>0</v>
      </c>
      <c r="Q92" s="1" t="n">
        <v>12999</v>
      </c>
      <c r="R92" s="1" t="n">
        <v>2339.82</v>
      </c>
      <c r="S92" s="1" t="n">
        <v>10659.18</v>
      </c>
      <c r="T92" s="1" t="n">
        <v>3286.58</v>
      </c>
      <c r="U92" s="1" t="n">
        <v>7372.6</v>
      </c>
      <c r="V92" s="1" t="n">
        <v>69.17</v>
      </c>
      <c r="W92" s="1" t="s">
        <v>39</v>
      </c>
      <c r="X92" s="1" t="n">
        <v>3.9</v>
      </c>
      <c r="Y92" s="1" t="s">
        <v>40</v>
      </c>
      <c r="Z92" s="1" t="n">
        <v>0</v>
      </c>
      <c r="AA92" s="1" t="str">
        <f aca="false">TRIM(PROPER(F92))</f>
        <v>Mumbai</v>
      </c>
      <c r="AB92" s="1" t="str">
        <f aca="false">TRIM(PROPER(C92))</f>
        <v>Doubtnut</v>
      </c>
      <c r="AC92" s="1" t="str">
        <f aca="false">IF(O92=0,"No Discount",IF(O92&lt;=15,"Low (1-15%)",IF(O92&lt;=30,"Medium (16-30%)","High (&gt;30%)")))</f>
        <v>No Discount</v>
      </c>
      <c r="AD92" s="1" t="str">
        <f aca="false">IF(V92&lt;0,"Loss Making",IF(V92&lt;20,"Low Margin","Healthy Margin"))</f>
        <v>Healthy Margin</v>
      </c>
      <c r="AE92" s="1" t="str">
        <f aca="false">TEXT(DATE(VALUE(RIGHT(B92,4)),VALUE(MID(B92,4,2)),VALUE(LEFT(B92,2))),"MMM-YYYY")</f>
        <v>Feb-2024</v>
      </c>
      <c r="AF92" s="1" t="n">
        <f aca="false">VALUE(RIGHT(B92,4))</f>
        <v>2024</v>
      </c>
      <c r="AG92" s="1" t="str">
        <f aca="false">CHOOSE(ROUNDUP(VALUE(MID(B92,4,2))/3,0),"Q1","Q2","Q3","Q4")</f>
        <v>Q1</v>
      </c>
    </row>
    <row r="93" customFormat="false" ht="15" hidden="false" customHeight="true" outlineLevel="0" collapsed="false">
      <c r="A93" s="1" t="s">
        <v>319</v>
      </c>
      <c r="B93" s="1" t="s">
        <v>320</v>
      </c>
      <c r="C93" s="1" t="s">
        <v>139</v>
      </c>
      <c r="D93" s="1" t="s">
        <v>143</v>
      </c>
      <c r="E93" s="1" t="s">
        <v>144</v>
      </c>
      <c r="F93" s="1" t="s">
        <v>269</v>
      </c>
      <c r="G93" s="1" t="s">
        <v>108</v>
      </c>
      <c r="H93" s="1" t="s">
        <v>57</v>
      </c>
      <c r="I93" s="1" t="s">
        <v>58</v>
      </c>
      <c r="J93" s="1" t="s">
        <v>35</v>
      </c>
      <c r="K93" s="1" t="s">
        <v>71</v>
      </c>
      <c r="L93" s="1" t="s">
        <v>61</v>
      </c>
      <c r="M93" s="1" t="s">
        <v>38</v>
      </c>
      <c r="N93" s="1" t="n">
        <v>12999</v>
      </c>
      <c r="O93" s="1" t="n">
        <v>50</v>
      </c>
      <c r="P93" s="1" t="n">
        <v>6499.5</v>
      </c>
      <c r="Q93" s="1" t="n">
        <v>6499.5</v>
      </c>
      <c r="R93" s="1" t="n">
        <v>1169.91</v>
      </c>
      <c r="S93" s="1" t="n">
        <v>5329.59</v>
      </c>
      <c r="T93" s="1" t="n">
        <v>3156.68</v>
      </c>
      <c r="U93" s="1" t="n">
        <v>2172.91</v>
      </c>
      <c r="V93" s="1" t="n">
        <v>40.77</v>
      </c>
      <c r="W93" s="1" t="s">
        <v>40</v>
      </c>
      <c r="Y93" s="1" t="s">
        <v>40</v>
      </c>
      <c r="Z93" s="1" t="n">
        <v>0</v>
      </c>
      <c r="AA93" s="1" t="str">
        <f aca="false">TRIM(PROPER(F93))</f>
        <v>Coimbatore</v>
      </c>
      <c r="AB93" s="1" t="str">
        <f aca="false">TRIM(PROPER(C93))</f>
        <v>Extramarks</v>
      </c>
      <c r="AC93" s="1" t="str">
        <f aca="false">IF(O93=0,"No Discount",IF(O93&lt;=15,"Low (1-15%)",IF(O93&lt;=30,"Medium (16-30%)","High (&gt;30%)")))</f>
        <v>High (&gt;30%)</v>
      </c>
      <c r="AD93" s="1" t="str">
        <f aca="false">IF(V93&lt;0,"Loss Making",IF(V93&lt;20,"Low Margin","Healthy Margin"))</f>
        <v>Healthy Margin</v>
      </c>
      <c r="AE93" s="1" t="str">
        <f aca="false">TEXT(DATE(VALUE(RIGHT(B93,4)),VALUE(MID(B93,4,2)),VALUE(LEFT(B93,2))),"MMM-YYYY")</f>
        <v>Jun-2023</v>
      </c>
      <c r="AF93" s="1" t="n">
        <f aca="false">VALUE(RIGHT(B93,4))</f>
        <v>2023</v>
      </c>
      <c r="AG93" s="1" t="str">
        <f aca="false">CHOOSE(ROUNDUP(VALUE(MID(B93,4,2))/3,0),"Q1","Q2","Q3","Q4")</f>
        <v>Q2</v>
      </c>
    </row>
    <row r="94" customFormat="false" ht="15" hidden="false" customHeight="true" outlineLevel="0" collapsed="false">
      <c r="A94" s="1" t="s">
        <v>321</v>
      </c>
      <c r="B94" s="1" t="s">
        <v>322</v>
      </c>
      <c r="C94" s="1" t="s">
        <v>264</v>
      </c>
      <c r="D94" s="1" t="s">
        <v>80</v>
      </c>
      <c r="E94" s="1" t="s">
        <v>175</v>
      </c>
      <c r="F94" s="1" t="s">
        <v>323</v>
      </c>
      <c r="G94" s="1" t="s">
        <v>47</v>
      </c>
      <c r="H94" s="1" t="s">
        <v>69</v>
      </c>
      <c r="I94" s="1" t="s">
        <v>34</v>
      </c>
      <c r="J94" s="1" t="s">
        <v>131</v>
      </c>
      <c r="K94" s="1" t="s">
        <v>90</v>
      </c>
      <c r="L94" s="1" t="s">
        <v>113</v>
      </c>
      <c r="M94" s="1" t="s">
        <v>62</v>
      </c>
      <c r="N94" s="1" t="n">
        <v>19999</v>
      </c>
      <c r="O94" s="1" t="n">
        <v>50</v>
      </c>
      <c r="P94" s="1" t="n">
        <v>9999.5</v>
      </c>
      <c r="Q94" s="1" t="n">
        <v>9999.5</v>
      </c>
      <c r="R94" s="1" t="n">
        <v>1799.91</v>
      </c>
      <c r="S94" s="1" t="n">
        <v>8199.59</v>
      </c>
      <c r="T94" s="1" t="n">
        <v>4033.97</v>
      </c>
      <c r="U94" s="1" t="n">
        <v>4165.62</v>
      </c>
      <c r="V94" s="1" t="n">
        <v>50.8</v>
      </c>
      <c r="W94" s="1" t="s">
        <v>39</v>
      </c>
      <c r="X94" s="1" t="n">
        <v>4.2</v>
      </c>
      <c r="Y94" s="1" t="s">
        <v>40</v>
      </c>
      <c r="Z94" s="1" t="n">
        <v>0</v>
      </c>
      <c r="AA94" s="1" t="str">
        <f aca="false">TRIM(PROPER(F94))</f>
        <v>Bengaluru</v>
      </c>
      <c r="AB94" s="1" t="str">
        <f aca="false">TRIM(PROPER(C94))</f>
        <v>Unacademy</v>
      </c>
      <c r="AC94" s="1" t="str">
        <f aca="false">IF(O94=0,"No Discount",IF(O94&lt;=15,"Low (1-15%)",IF(O94&lt;=30,"Medium (16-30%)","High (&gt;30%)")))</f>
        <v>High (&gt;30%)</v>
      </c>
      <c r="AD94" s="1" t="str">
        <f aca="false">IF(V94&lt;0,"Loss Making",IF(V94&lt;20,"Low Margin","Healthy Margin"))</f>
        <v>Healthy Margin</v>
      </c>
      <c r="AE94" s="1" t="str">
        <f aca="false">TEXT(DATE(VALUE(RIGHT(B94,4)),VALUE(MID(B94,4,2)),VALUE(LEFT(B94,2))),"MMM-YYYY")</f>
        <v>Feb-2023</v>
      </c>
      <c r="AF94" s="1" t="n">
        <f aca="false">VALUE(RIGHT(B94,4))</f>
        <v>2023</v>
      </c>
      <c r="AG94" s="1" t="str">
        <f aca="false">CHOOSE(ROUNDUP(VALUE(MID(B94,4,2))/3,0),"Q1","Q2","Q3","Q4")</f>
        <v>Q1</v>
      </c>
    </row>
    <row r="95" customFormat="false" ht="15" hidden="false" customHeight="true" outlineLevel="0" collapsed="false">
      <c r="A95" s="1" t="s">
        <v>324</v>
      </c>
      <c r="B95" s="1" t="s">
        <v>325</v>
      </c>
      <c r="C95" s="1" t="s">
        <v>93</v>
      </c>
      <c r="D95" s="1" t="s">
        <v>29</v>
      </c>
      <c r="E95" s="1" t="s">
        <v>129</v>
      </c>
      <c r="F95" s="1" t="s">
        <v>194</v>
      </c>
      <c r="G95" s="1" t="s">
        <v>103</v>
      </c>
      <c r="H95" s="1" t="s">
        <v>69</v>
      </c>
      <c r="I95" s="1" t="s">
        <v>34</v>
      </c>
      <c r="J95" s="1" t="s">
        <v>35</v>
      </c>
      <c r="K95" s="1" t="s">
        <v>90</v>
      </c>
      <c r="L95" s="1" t="s">
        <v>61</v>
      </c>
      <c r="M95" s="1" t="s">
        <v>62</v>
      </c>
      <c r="N95" s="1" t="n">
        <v>29999</v>
      </c>
      <c r="O95" s="1" t="n">
        <v>5</v>
      </c>
      <c r="P95" s="1" t="n">
        <v>1499.95</v>
      </c>
      <c r="Q95" s="1" t="n">
        <v>28499.05</v>
      </c>
      <c r="R95" s="1" t="n">
        <v>5129.83</v>
      </c>
      <c r="S95" s="1" t="n">
        <v>23369.22</v>
      </c>
      <c r="T95" s="1" t="n">
        <v>8074.25</v>
      </c>
      <c r="U95" s="1" t="n">
        <v>15294.97</v>
      </c>
      <c r="V95" s="1" t="n">
        <v>65.45</v>
      </c>
      <c r="W95" s="1" t="s">
        <v>39</v>
      </c>
      <c r="Y95" s="1" t="s">
        <v>40</v>
      </c>
      <c r="Z95" s="1" t="n">
        <v>0</v>
      </c>
      <c r="AA95" s="1" t="str">
        <f aca="false">TRIM(PROPER(F95))</f>
        <v>Hyderabad</v>
      </c>
      <c r="AB95" s="1" t="str">
        <f aca="false">TRIM(PROPER(C95))</f>
        <v>Upgrad</v>
      </c>
      <c r="AC95" s="1" t="str">
        <f aca="false">IF(O95=0,"No Discount",IF(O95&lt;=15,"Low (1-15%)",IF(O95&lt;=30,"Medium (16-30%)","High (&gt;30%)")))</f>
        <v>Low (1-15%)</v>
      </c>
      <c r="AD95" s="1" t="str">
        <f aca="false">IF(V95&lt;0,"Loss Making",IF(V95&lt;20,"Low Margin","Healthy Margin"))</f>
        <v>Healthy Margin</v>
      </c>
      <c r="AE95" s="1" t="str">
        <f aca="false">TEXT(DATE(VALUE(RIGHT(B95,4)),VALUE(MID(B95,4,2)),VALUE(LEFT(B95,2))),"MMM-YYYY")</f>
        <v>May-2023</v>
      </c>
      <c r="AF95" s="1" t="n">
        <f aca="false">VALUE(RIGHT(B95,4))</f>
        <v>2023</v>
      </c>
      <c r="AG95" s="1" t="str">
        <f aca="false">CHOOSE(ROUNDUP(VALUE(MID(B95,4,2))/3,0),"Q1","Q2","Q3","Q4")</f>
        <v>Q2</v>
      </c>
    </row>
    <row r="96" customFormat="false" ht="15" hidden="false" customHeight="true" outlineLevel="0" collapsed="false">
      <c r="A96" s="1" t="s">
        <v>326</v>
      </c>
      <c r="B96" s="1" t="s">
        <v>327</v>
      </c>
      <c r="C96" s="1" t="s">
        <v>119</v>
      </c>
      <c r="D96" s="1" t="s">
        <v>168</v>
      </c>
      <c r="E96" s="1" t="s">
        <v>328</v>
      </c>
      <c r="F96" s="1" t="s">
        <v>75</v>
      </c>
      <c r="G96" s="1" t="s">
        <v>76</v>
      </c>
      <c r="H96" s="1" t="s">
        <v>69</v>
      </c>
      <c r="I96" s="1" t="s">
        <v>58</v>
      </c>
      <c r="J96" s="1" t="s">
        <v>35</v>
      </c>
      <c r="K96" s="1" t="s">
        <v>48</v>
      </c>
      <c r="L96" s="1" t="s">
        <v>61</v>
      </c>
      <c r="M96" s="1" t="s">
        <v>38</v>
      </c>
      <c r="N96" s="1" t="n">
        <v>8999</v>
      </c>
      <c r="O96" s="1" t="n">
        <v>10</v>
      </c>
      <c r="P96" s="1" t="n">
        <v>899.9</v>
      </c>
      <c r="Q96" s="1" t="n">
        <v>8099.1</v>
      </c>
      <c r="R96" s="1" t="n">
        <v>1457.84</v>
      </c>
      <c r="S96" s="1" t="n">
        <v>6641.26</v>
      </c>
      <c r="T96" s="1" t="n">
        <v>2188.59</v>
      </c>
      <c r="U96" s="1" t="n">
        <v>4452.67</v>
      </c>
      <c r="V96" s="1" t="n">
        <v>67.05</v>
      </c>
      <c r="W96" s="1" t="s">
        <v>40</v>
      </c>
      <c r="Y96" s="1" t="s">
        <v>40</v>
      </c>
      <c r="Z96" s="1" t="n">
        <v>0</v>
      </c>
      <c r="AA96" s="1" t="str">
        <f aca="false">TRIM(PROPER(F96))</f>
        <v>Kolkata</v>
      </c>
      <c r="AB96" s="1" t="str">
        <f aca="false">TRIM(PROPER(C96))</f>
        <v>Simplilearn</v>
      </c>
      <c r="AC96" s="1" t="str">
        <f aca="false">IF(O96=0,"No Discount",IF(O96&lt;=15,"Low (1-15%)",IF(O96&lt;=30,"Medium (16-30%)","High (&gt;30%)")))</f>
        <v>Low (1-15%)</v>
      </c>
      <c r="AD96" s="1" t="str">
        <f aca="false">IF(V96&lt;0,"Loss Making",IF(V96&lt;20,"Low Margin","Healthy Margin"))</f>
        <v>Healthy Margin</v>
      </c>
      <c r="AE96" s="1" t="str">
        <f aca="false">TEXT(DATE(VALUE(RIGHT(B96,4)),VALUE(MID(B96,4,2)),VALUE(LEFT(B96,2))),"MMM-YYYY")</f>
        <v>Sep-2024</v>
      </c>
      <c r="AF96" s="1" t="n">
        <f aca="false">VALUE(RIGHT(B96,4))</f>
        <v>2024</v>
      </c>
      <c r="AG96" s="1" t="str">
        <f aca="false">CHOOSE(ROUNDUP(VALUE(MID(B96,4,2))/3,0),"Q1","Q2","Q3","Q4")</f>
        <v>Q3</v>
      </c>
    </row>
    <row r="97" customFormat="false" ht="15" hidden="false" customHeight="true" outlineLevel="0" collapsed="false">
      <c r="A97" s="1" t="s">
        <v>329</v>
      </c>
      <c r="B97" s="1" t="s">
        <v>330</v>
      </c>
      <c r="C97" s="1" t="s">
        <v>139</v>
      </c>
      <c r="D97" s="1" t="s">
        <v>29</v>
      </c>
      <c r="E97" s="1" t="s">
        <v>30</v>
      </c>
      <c r="F97" s="1" t="s">
        <v>55</v>
      </c>
      <c r="G97" s="1" t="s">
        <v>56</v>
      </c>
      <c r="H97" s="1" t="s">
        <v>57</v>
      </c>
      <c r="I97" s="1" t="s">
        <v>34</v>
      </c>
      <c r="J97" s="1" t="s">
        <v>131</v>
      </c>
      <c r="K97" s="1" t="s">
        <v>112</v>
      </c>
      <c r="L97" s="1" t="s">
        <v>113</v>
      </c>
      <c r="M97" s="1" t="s">
        <v>38</v>
      </c>
      <c r="N97" s="1" t="n">
        <v>7999</v>
      </c>
      <c r="O97" s="1" t="n">
        <v>10</v>
      </c>
      <c r="P97" s="1" t="n">
        <v>799.9</v>
      </c>
      <c r="Q97" s="1" t="n">
        <v>7199.1</v>
      </c>
      <c r="R97" s="1" t="n">
        <v>1295.84</v>
      </c>
      <c r="S97" s="1" t="n">
        <v>5903.26</v>
      </c>
      <c r="T97" s="1" t="n">
        <v>2230.62</v>
      </c>
      <c r="U97" s="1" t="n">
        <v>3672.64</v>
      </c>
      <c r="V97" s="1" t="n">
        <v>62.21</v>
      </c>
      <c r="W97" s="1" t="s">
        <v>40</v>
      </c>
      <c r="Y97" s="1" t="s">
        <v>40</v>
      </c>
      <c r="Z97" s="1" t="n">
        <v>1</v>
      </c>
      <c r="AA97" s="1" t="str">
        <f aca="false">TRIM(PROPER(F97))</f>
        <v>Ghaziabad</v>
      </c>
      <c r="AB97" s="1" t="str">
        <f aca="false">TRIM(PROPER(C97))</f>
        <v>Extramarks</v>
      </c>
      <c r="AC97" s="1" t="str">
        <f aca="false">IF(O97=0,"No Discount",IF(O97&lt;=15,"Low (1-15%)",IF(O97&lt;=30,"Medium (16-30%)","High (&gt;30%)")))</f>
        <v>Low (1-15%)</v>
      </c>
      <c r="AD97" s="1" t="str">
        <f aca="false">IF(V97&lt;0,"Loss Making",IF(V97&lt;20,"Low Margin","Healthy Margin"))</f>
        <v>Healthy Margin</v>
      </c>
      <c r="AE97" s="1" t="str">
        <f aca="false">TEXT(DATE(VALUE(RIGHT(B97,4)),VALUE(MID(B97,4,2)),VALUE(LEFT(B97,2))),"MMM-YYYY")</f>
        <v>Feb-2024</v>
      </c>
      <c r="AF97" s="1" t="n">
        <f aca="false">VALUE(RIGHT(B97,4))</f>
        <v>2024</v>
      </c>
      <c r="AG97" s="1" t="str">
        <f aca="false">CHOOSE(ROUNDUP(VALUE(MID(B97,4,2))/3,0),"Q1","Q2","Q3","Q4")</f>
        <v>Q1</v>
      </c>
    </row>
    <row r="98" customFormat="false" ht="15" hidden="false" customHeight="true" outlineLevel="0" collapsed="false">
      <c r="A98" s="1" t="s">
        <v>331</v>
      </c>
      <c r="B98" s="1" t="s">
        <v>332</v>
      </c>
      <c r="C98" s="1" t="s">
        <v>128</v>
      </c>
      <c r="D98" s="1" t="s">
        <v>80</v>
      </c>
      <c r="E98" s="1" t="s">
        <v>175</v>
      </c>
      <c r="F98" s="1" t="s">
        <v>194</v>
      </c>
      <c r="G98" s="1" t="s">
        <v>103</v>
      </c>
      <c r="H98" s="1" t="s">
        <v>69</v>
      </c>
      <c r="I98" s="1" t="s">
        <v>34</v>
      </c>
      <c r="J98" s="1" t="s">
        <v>70</v>
      </c>
      <c r="K98" s="1" t="s">
        <v>112</v>
      </c>
      <c r="L98" s="1" t="s">
        <v>37</v>
      </c>
      <c r="M98" s="1" t="s">
        <v>38</v>
      </c>
      <c r="N98" s="1" t="n">
        <v>19999</v>
      </c>
      <c r="O98" s="1" t="n">
        <v>0</v>
      </c>
      <c r="P98" s="1" t="n">
        <v>0</v>
      </c>
      <c r="Q98" s="1" t="n">
        <v>19999</v>
      </c>
      <c r="R98" s="1" t="n">
        <v>3599.82</v>
      </c>
      <c r="S98" s="1" t="n">
        <v>16399.18</v>
      </c>
      <c r="T98" s="1" t="n">
        <v>5756.67</v>
      </c>
      <c r="U98" s="1" t="n">
        <v>10642.51</v>
      </c>
      <c r="V98" s="1" t="n">
        <v>64.9</v>
      </c>
      <c r="W98" s="1" t="s">
        <v>40</v>
      </c>
      <c r="Y98" s="1" t="s">
        <v>40</v>
      </c>
      <c r="Z98" s="1" t="n">
        <v>1</v>
      </c>
      <c r="AA98" s="1" t="str">
        <f aca="false">TRIM(PROPER(F98))</f>
        <v>Hyderabad</v>
      </c>
      <c r="AB98" s="1" t="str">
        <f aca="false">TRIM(PROPER(C98))</f>
        <v>Great Learning</v>
      </c>
      <c r="AC98" s="1" t="str">
        <f aca="false">IF(O98=0,"No Discount",IF(O98&lt;=15,"Low (1-15%)",IF(O98&lt;=30,"Medium (16-30%)","High (&gt;30%)")))</f>
        <v>No Discount</v>
      </c>
      <c r="AD98" s="1" t="str">
        <f aca="false">IF(V98&lt;0,"Loss Making",IF(V98&lt;20,"Low Margin","Healthy Margin"))</f>
        <v>Healthy Margin</v>
      </c>
      <c r="AE98" s="1" t="str">
        <f aca="false">TEXT(DATE(VALUE(RIGHT(B98,4)),VALUE(MID(B98,4,2)),VALUE(LEFT(B98,2))),"MMM-YYYY")</f>
        <v>Jan-2023</v>
      </c>
      <c r="AF98" s="1" t="n">
        <f aca="false">VALUE(RIGHT(B98,4))</f>
        <v>2023</v>
      </c>
      <c r="AG98" s="1" t="str">
        <f aca="false">CHOOSE(ROUNDUP(VALUE(MID(B98,4,2))/3,0),"Q1","Q2","Q3","Q4")</f>
        <v>Q1</v>
      </c>
    </row>
    <row r="99" customFormat="false" ht="15" hidden="false" customHeight="true" outlineLevel="0" collapsed="false">
      <c r="A99" s="1" t="s">
        <v>333</v>
      </c>
      <c r="B99" s="1" t="s">
        <v>334</v>
      </c>
      <c r="C99" s="1" t="s">
        <v>74</v>
      </c>
      <c r="D99" s="1" t="s">
        <v>94</v>
      </c>
      <c r="E99" s="1" t="s">
        <v>135</v>
      </c>
      <c r="F99" s="1" t="s">
        <v>335</v>
      </c>
      <c r="G99" s="1" t="s">
        <v>103</v>
      </c>
      <c r="H99" s="1" t="s">
        <v>69</v>
      </c>
      <c r="I99" s="1" t="s">
        <v>58</v>
      </c>
      <c r="J99" s="1" t="s">
        <v>70</v>
      </c>
      <c r="K99" s="1" t="s">
        <v>60</v>
      </c>
      <c r="L99" s="1" t="s">
        <v>113</v>
      </c>
      <c r="M99" s="1" t="s">
        <v>38</v>
      </c>
      <c r="N99" s="1" t="n">
        <v>9999</v>
      </c>
      <c r="O99" s="1" t="n">
        <v>40</v>
      </c>
      <c r="P99" s="1" t="n">
        <v>3999.6</v>
      </c>
      <c r="Q99" s="1" t="n">
        <v>5999.4</v>
      </c>
      <c r="R99" s="1" t="n">
        <v>1079.89</v>
      </c>
      <c r="S99" s="1" t="n">
        <v>4919.51</v>
      </c>
      <c r="T99" s="1" t="n">
        <v>2631</v>
      </c>
      <c r="U99" s="1" t="n">
        <v>2288.51</v>
      </c>
      <c r="V99" s="1" t="n">
        <v>46.52</v>
      </c>
      <c r="W99" s="1" t="s">
        <v>39</v>
      </c>
      <c r="Y99" s="1" t="s">
        <v>40</v>
      </c>
      <c r="Z99" s="1" t="n">
        <v>0</v>
      </c>
      <c r="AA99" s="1" t="str">
        <f aca="false">TRIM(PROPER(F99))</f>
        <v>Hyderabad</v>
      </c>
      <c r="AB99" s="1" t="str">
        <f aca="false">TRIM(PROPER(C99))</f>
        <v>Vedantu</v>
      </c>
      <c r="AC99" s="1" t="str">
        <f aca="false">IF(O99=0,"No Discount",IF(O99&lt;=15,"Low (1-15%)",IF(O99&lt;=30,"Medium (16-30%)","High (&gt;30%)")))</f>
        <v>High (&gt;30%)</v>
      </c>
      <c r="AD99" s="1" t="str">
        <f aca="false">IF(V99&lt;0,"Loss Making",IF(V99&lt;20,"Low Margin","Healthy Margin"))</f>
        <v>Healthy Margin</v>
      </c>
      <c r="AE99" s="1" t="str">
        <f aca="false">TEXT(DATE(VALUE(RIGHT(B99,4)),VALUE(MID(B99,4,2)),VALUE(LEFT(B99,2))),"MMM-YYYY")</f>
        <v>Aug-2024</v>
      </c>
      <c r="AF99" s="1" t="n">
        <f aca="false">VALUE(RIGHT(B99,4))</f>
        <v>2024</v>
      </c>
      <c r="AG99" s="1" t="str">
        <f aca="false">CHOOSE(ROUNDUP(VALUE(MID(B99,4,2))/3,0),"Q1","Q2","Q3","Q4")</f>
        <v>Q3</v>
      </c>
    </row>
    <row r="100" customFormat="false" ht="15" hidden="false" customHeight="true" outlineLevel="0" collapsed="false">
      <c r="A100" s="1" t="s">
        <v>336</v>
      </c>
      <c r="B100" s="1" t="s">
        <v>186</v>
      </c>
      <c r="C100" s="1" t="s">
        <v>93</v>
      </c>
      <c r="D100" s="1" t="s">
        <v>53</v>
      </c>
      <c r="E100" s="1" t="s">
        <v>116</v>
      </c>
      <c r="F100" s="1" t="s">
        <v>150</v>
      </c>
      <c r="G100" s="1" t="s">
        <v>32</v>
      </c>
      <c r="H100" s="1" t="s">
        <v>57</v>
      </c>
      <c r="I100" s="1" t="s">
        <v>83</v>
      </c>
      <c r="J100" s="1" t="s">
        <v>35</v>
      </c>
      <c r="K100" s="1" t="s">
        <v>60</v>
      </c>
      <c r="L100" s="1" t="s">
        <v>37</v>
      </c>
      <c r="M100" s="1" t="s">
        <v>38</v>
      </c>
      <c r="N100" s="1" t="n">
        <v>9999</v>
      </c>
      <c r="O100" s="1" t="n">
        <v>20</v>
      </c>
      <c r="P100" s="1" t="n">
        <v>1999.8</v>
      </c>
      <c r="Q100" s="1" t="n">
        <v>7999.2</v>
      </c>
      <c r="R100" s="1" t="n">
        <v>1439.86</v>
      </c>
      <c r="S100" s="1" t="n">
        <v>6559.34</v>
      </c>
      <c r="T100" s="1" t="n">
        <v>2882.03</v>
      </c>
      <c r="U100" s="1" t="n">
        <v>3677.31</v>
      </c>
      <c r="V100" s="1" t="n">
        <v>56.06</v>
      </c>
      <c r="W100" s="1" t="s">
        <v>39</v>
      </c>
      <c r="X100" s="1" t="n">
        <v>3.7</v>
      </c>
      <c r="Y100" s="1" t="s">
        <v>40</v>
      </c>
      <c r="Z100" s="1" t="n">
        <v>2</v>
      </c>
      <c r="AA100" s="1" t="str">
        <f aca="false">TRIM(PROPER(F100))</f>
        <v>Jaipur</v>
      </c>
      <c r="AB100" s="1" t="str">
        <f aca="false">TRIM(PROPER(C100))</f>
        <v>Upgrad</v>
      </c>
      <c r="AC100" s="1" t="str">
        <f aca="false">IF(O100=0,"No Discount",IF(O100&lt;=15,"Low (1-15%)",IF(O100&lt;=30,"Medium (16-30%)","High (&gt;30%)")))</f>
        <v>Medium (16-30%)</v>
      </c>
      <c r="AD100" s="1" t="str">
        <f aca="false">IF(V100&lt;0,"Loss Making",IF(V100&lt;20,"Low Margin","Healthy Margin"))</f>
        <v>Healthy Margin</v>
      </c>
      <c r="AE100" s="1" t="str">
        <f aca="false">TEXT(DATE(VALUE(RIGHT(B100,4)),VALUE(MID(B100,4,2)),VALUE(LEFT(B100,2))),"MMM-YYYY")</f>
        <v>Mar-2024</v>
      </c>
      <c r="AF100" s="1" t="n">
        <f aca="false">VALUE(RIGHT(B100,4))</f>
        <v>2024</v>
      </c>
      <c r="AG100" s="1" t="str">
        <f aca="false">CHOOSE(ROUNDUP(VALUE(MID(B100,4,2))/3,0),"Q1","Q2","Q3","Q4")</f>
        <v>Q1</v>
      </c>
    </row>
    <row r="101" customFormat="false" ht="15" hidden="false" customHeight="true" outlineLevel="0" collapsed="false">
      <c r="A101" s="1" t="s">
        <v>337</v>
      </c>
      <c r="B101" s="1" t="s">
        <v>338</v>
      </c>
      <c r="C101" s="1" t="s">
        <v>28</v>
      </c>
      <c r="D101" s="1" t="s">
        <v>80</v>
      </c>
      <c r="E101" s="1" t="s">
        <v>190</v>
      </c>
      <c r="F101" s="1" t="s">
        <v>67</v>
      </c>
      <c r="G101" s="1" t="s">
        <v>68</v>
      </c>
      <c r="H101" s="1" t="s">
        <v>69</v>
      </c>
      <c r="I101" s="1" t="s">
        <v>34</v>
      </c>
      <c r="J101" s="1" t="s">
        <v>35</v>
      </c>
      <c r="K101" s="1" t="s">
        <v>36</v>
      </c>
      <c r="L101" s="1" t="s">
        <v>136</v>
      </c>
      <c r="M101" s="1" t="s">
        <v>38</v>
      </c>
      <c r="N101" s="1" t="n">
        <v>15999</v>
      </c>
      <c r="O101" s="1" t="n">
        <v>0</v>
      </c>
      <c r="P101" s="1" t="n">
        <v>0</v>
      </c>
      <c r="Q101" s="1" t="n">
        <v>15999</v>
      </c>
      <c r="R101" s="1" t="n">
        <v>2879.82</v>
      </c>
      <c r="S101" s="1" t="n">
        <v>13119.18</v>
      </c>
      <c r="T101" s="1" t="n">
        <v>5504.61</v>
      </c>
      <c r="U101" s="1" t="n">
        <v>7614.57</v>
      </c>
      <c r="V101" s="1" t="n">
        <v>58.04</v>
      </c>
      <c r="W101" s="1" t="s">
        <v>39</v>
      </c>
      <c r="X101" s="1" t="n">
        <v>3.9</v>
      </c>
      <c r="Y101" s="1" t="s">
        <v>40</v>
      </c>
      <c r="Z101" s="1" t="n">
        <v>0</v>
      </c>
      <c r="AA101" s="1" t="str">
        <f aca="false">TRIM(PROPER(F101))</f>
        <v>Ahmedabad</v>
      </c>
      <c r="AB101" s="1" t="str">
        <f aca="false">TRIM(PROPER(C101))</f>
        <v>Embibe</v>
      </c>
      <c r="AC101" s="1" t="str">
        <f aca="false">IF(O101=0,"No Discount",IF(O101&lt;=15,"Low (1-15%)",IF(O101&lt;=30,"Medium (16-30%)","High (&gt;30%)")))</f>
        <v>No Discount</v>
      </c>
      <c r="AD101" s="1" t="str">
        <f aca="false">IF(V101&lt;0,"Loss Making",IF(V101&lt;20,"Low Margin","Healthy Margin"))</f>
        <v>Healthy Margin</v>
      </c>
      <c r="AE101" s="1" t="str">
        <f aca="false">TEXT(DATE(VALUE(RIGHT(B101,4)),VALUE(MID(B101,4,2)),VALUE(LEFT(B101,2))),"MMM-YYYY")</f>
        <v>Jan-2023</v>
      </c>
      <c r="AF101" s="1" t="n">
        <f aca="false">VALUE(RIGHT(B101,4))</f>
        <v>2023</v>
      </c>
      <c r="AG101" s="1" t="str">
        <f aca="false">CHOOSE(ROUNDUP(VALUE(MID(B101,4,2))/3,0),"Q1","Q2","Q3","Q4")</f>
        <v>Q1</v>
      </c>
    </row>
    <row r="102" customFormat="false" ht="15" hidden="false" customHeight="true" outlineLevel="0" collapsed="false">
      <c r="A102" s="1" t="s">
        <v>339</v>
      </c>
      <c r="B102" s="1" t="s">
        <v>340</v>
      </c>
      <c r="C102" s="1" t="s">
        <v>43</v>
      </c>
      <c r="D102" s="1" t="s">
        <v>143</v>
      </c>
      <c r="E102" s="1" t="s">
        <v>243</v>
      </c>
      <c r="F102" s="1" t="s">
        <v>153</v>
      </c>
      <c r="G102" s="1" t="s">
        <v>76</v>
      </c>
      <c r="H102" s="1" t="s">
        <v>33</v>
      </c>
      <c r="I102" s="1" t="s">
        <v>34</v>
      </c>
      <c r="J102" s="1" t="s">
        <v>35</v>
      </c>
      <c r="K102" s="1" t="s">
        <v>48</v>
      </c>
      <c r="L102" s="1" t="s">
        <v>113</v>
      </c>
      <c r="M102" s="1" t="s">
        <v>38</v>
      </c>
      <c r="N102" s="1" t="n">
        <v>22999</v>
      </c>
      <c r="O102" s="1" t="n">
        <v>0</v>
      </c>
      <c r="P102" s="1" t="n">
        <v>0</v>
      </c>
      <c r="Q102" s="1" t="n">
        <v>22999</v>
      </c>
      <c r="R102" s="1" t="n">
        <v>4139.82</v>
      </c>
      <c r="S102" s="1" t="n">
        <v>18859.18</v>
      </c>
      <c r="T102" s="1" t="n">
        <v>9819.76</v>
      </c>
      <c r="U102" s="1" t="n">
        <v>9039.42</v>
      </c>
      <c r="V102" s="1" t="n">
        <v>47.93</v>
      </c>
      <c r="W102" s="1" t="s">
        <v>39</v>
      </c>
      <c r="X102" s="1" t="n">
        <v>2.9</v>
      </c>
      <c r="Y102" s="1" t="s">
        <v>40</v>
      </c>
      <c r="Z102" s="1" t="n">
        <v>2</v>
      </c>
      <c r="AA102" s="1" t="str">
        <f aca="false">TRIM(PROPER(F102))</f>
        <v>Howrah</v>
      </c>
      <c r="AB102" s="1" t="str">
        <f aca="false">TRIM(PROPER(C102))</f>
        <v>Meritnation</v>
      </c>
      <c r="AC102" s="1" t="str">
        <f aca="false">IF(O102=0,"No Discount",IF(O102&lt;=15,"Low (1-15%)",IF(O102&lt;=30,"Medium (16-30%)","High (&gt;30%)")))</f>
        <v>No Discount</v>
      </c>
      <c r="AD102" s="1" t="str">
        <f aca="false">IF(V102&lt;0,"Loss Making",IF(V102&lt;20,"Low Margin","Healthy Margin"))</f>
        <v>Healthy Margin</v>
      </c>
      <c r="AE102" s="1" t="str">
        <f aca="false">TEXT(DATE(VALUE(RIGHT(B102,4)),VALUE(MID(B102,4,2)),VALUE(LEFT(B102,2))),"MMM-YYYY")</f>
        <v>Feb-2023</v>
      </c>
      <c r="AF102" s="1" t="n">
        <f aca="false">VALUE(RIGHT(B102,4))</f>
        <v>2023</v>
      </c>
      <c r="AG102" s="1" t="str">
        <f aca="false">CHOOSE(ROUNDUP(VALUE(MID(B102,4,2))/3,0),"Q1","Q2","Q3","Q4")</f>
        <v>Q1</v>
      </c>
    </row>
    <row r="103" customFormat="false" ht="15" hidden="false" customHeight="true" outlineLevel="0" collapsed="false">
      <c r="A103" s="1" t="s">
        <v>341</v>
      </c>
      <c r="B103" s="1" t="s">
        <v>342</v>
      </c>
      <c r="C103" s="1" t="s">
        <v>28</v>
      </c>
      <c r="D103" s="1" t="s">
        <v>53</v>
      </c>
      <c r="E103" s="1" t="s">
        <v>216</v>
      </c>
      <c r="F103" s="1" t="s">
        <v>205</v>
      </c>
      <c r="G103" s="1" t="s">
        <v>56</v>
      </c>
      <c r="H103" s="1" t="s">
        <v>69</v>
      </c>
      <c r="I103" s="1" t="s">
        <v>58</v>
      </c>
      <c r="J103" s="1" t="s">
        <v>131</v>
      </c>
      <c r="K103" s="1" t="s">
        <v>104</v>
      </c>
      <c r="L103" s="1" t="s">
        <v>61</v>
      </c>
      <c r="M103" s="1" t="s">
        <v>62</v>
      </c>
      <c r="N103" s="1" t="n">
        <v>7499</v>
      </c>
      <c r="O103" s="1" t="n">
        <v>0</v>
      </c>
      <c r="P103" s="1" t="n">
        <v>0</v>
      </c>
      <c r="Q103" s="1" t="n">
        <v>7499</v>
      </c>
      <c r="R103" s="1" t="n">
        <v>1349.82</v>
      </c>
      <c r="S103" s="1" t="n">
        <v>6149.18</v>
      </c>
      <c r="T103" s="1" t="n">
        <v>2421.36</v>
      </c>
      <c r="U103" s="1" t="n">
        <v>3727.82</v>
      </c>
      <c r="V103" s="1" t="n">
        <v>60.62</v>
      </c>
      <c r="W103" s="1" t="s">
        <v>39</v>
      </c>
      <c r="X103" s="1" t="n">
        <v>3.7</v>
      </c>
      <c r="Y103" s="1" t="s">
        <v>40</v>
      </c>
      <c r="Z103" s="1" t="n">
        <v>1</v>
      </c>
      <c r="AA103" s="1" t="str">
        <f aca="false">TRIM(PROPER(F103))</f>
        <v>New Delhi</v>
      </c>
      <c r="AB103" s="1" t="str">
        <f aca="false">TRIM(PROPER(C103))</f>
        <v>Embibe</v>
      </c>
      <c r="AC103" s="1" t="str">
        <f aca="false">IF(O103=0,"No Discount",IF(O103&lt;=15,"Low (1-15%)",IF(O103&lt;=30,"Medium (16-30%)","High (&gt;30%)")))</f>
        <v>No Discount</v>
      </c>
      <c r="AD103" s="1" t="str">
        <f aca="false">IF(V103&lt;0,"Loss Making",IF(V103&lt;20,"Low Margin","Healthy Margin"))</f>
        <v>Healthy Margin</v>
      </c>
      <c r="AE103" s="1" t="str">
        <f aca="false">TEXT(DATE(VALUE(RIGHT(B103,4)),VALUE(MID(B103,4,2)),VALUE(LEFT(B103,2))),"MMM-YYYY")</f>
        <v>Oct-2024</v>
      </c>
      <c r="AF103" s="1" t="n">
        <f aca="false">VALUE(RIGHT(B103,4))</f>
        <v>2024</v>
      </c>
      <c r="AG103" s="1" t="str">
        <f aca="false">CHOOSE(ROUNDUP(VALUE(MID(B103,4,2))/3,0),"Q1","Q2","Q3","Q4")</f>
        <v>Q4</v>
      </c>
    </row>
    <row r="104" customFormat="false" ht="15" hidden="false" customHeight="true" outlineLevel="0" collapsed="false">
      <c r="A104" s="1" t="s">
        <v>343</v>
      </c>
      <c r="B104" s="1" t="s">
        <v>344</v>
      </c>
      <c r="C104" s="1" t="s">
        <v>100</v>
      </c>
      <c r="D104" s="1" t="s">
        <v>123</v>
      </c>
      <c r="E104" s="1" t="s">
        <v>147</v>
      </c>
      <c r="F104" s="1" t="s">
        <v>89</v>
      </c>
      <c r="G104" s="1" t="s">
        <v>68</v>
      </c>
      <c r="H104" s="1" t="s">
        <v>33</v>
      </c>
      <c r="I104" s="1" t="s">
        <v>34</v>
      </c>
      <c r="J104" s="1" t="s">
        <v>131</v>
      </c>
      <c r="K104" s="1" t="s">
        <v>90</v>
      </c>
      <c r="L104" s="1" t="s">
        <v>37</v>
      </c>
      <c r="M104" s="1" t="s">
        <v>38</v>
      </c>
      <c r="N104" s="1" t="n">
        <v>6999</v>
      </c>
      <c r="O104" s="1" t="n">
        <v>25</v>
      </c>
      <c r="P104" s="1" t="n">
        <v>1749.75</v>
      </c>
      <c r="Q104" s="1" t="n">
        <v>5249.25</v>
      </c>
      <c r="R104" s="1" t="n">
        <v>944.87</v>
      </c>
      <c r="S104" s="1" t="n">
        <v>4304.38</v>
      </c>
      <c r="T104" s="1" t="n">
        <v>1989.41</v>
      </c>
      <c r="U104" s="1" t="n">
        <v>2314.97</v>
      </c>
      <c r="V104" s="1" t="n">
        <v>53.78</v>
      </c>
      <c r="W104" s="1" t="s">
        <v>40</v>
      </c>
      <c r="Y104" s="1" t="s">
        <v>40</v>
      </c>
      <c r="Z104" s="1" t="n">
        <v>0</v>
      </c>
      <c r="AA104" s="1" t="str">
        <f aca="false">TRIM(PROPER(F104))</f>
        <v>Vadodara</v>
      </c>
      <c r="AB104" s="1" t="str">
        <f aca="false">TRIM(PROPER(C104))</f>
        <v>Physics Wallah</v>
      </c>
      <c r="AC104" s="1" t="str">
        <f aca="false">IF(O104=0,"No Discount",IF(O104&lt;=15,"Low (1-15%)",IF(O104&lt;=30,"Medium (16-30%)","High (&gt;30%)")))</f>
        <v>Medium (16-30%)</v>
      </c>
      <c r="AD104" s="1" t="str">
        <f aca="false">IF(V104&lt;0,"Loss Making",IF(V104&lt;20,"Low Margin","Healthy Margin"))</f>
        <v>Healthy Margin</v>
      </c>
      <c r="AE104" s="1" t="str">
        <f aca="false">TEXT(DATE(VALUE(RIGHT(B104,4)),VALUE(MID(B104,4,2)),VALUE(LEFT(B104,2))),"MMM-YYYY")</f>
        <v>Dec-2024</v>
      </c>
      <c r="AF104" s="1" t="n">
        <f aca="false">VALUE(RIGHT(B104,4))</f>
        <v>2024</v>
      </c>
      <c r="AG104" s="1" t="str">
        <f aca="false">CHOOSE(ROUNDUP(VALUE(MID(B104,4,2))/3,0),"Q1","Q2","Q3","Q4")</f>
        <v>Q4</v>
      </c>
    </row>
    <row r="105" customFormat="false" ht="15" hidden="false" customHeight="true" outlineLevel="0" collapsed="false">
      <c r="A105" s="1" t="s">
        <v>345</v>
      </c>
      <c r="B105" s="1" t="s">
        <v>346</v>
      </c>
      <c r="C105" s="1" t="s">
        <v>74</v>
      </c>
      <c r="D105" s="1" t="s">
        <v>168</v>
      </c>
      <c r="E105" s="1" t="s">
        <v>197</v>
      </c>
      <c r="F105" s="1" t="s">
        <v>153</v>
      </c>
      <c r="G105" s="1" t="s">
        <v>76</v>
      </c>
      <c r="H105" s="1" t="s">
        <v>33</v>
      </c>
      <c r="I105" s="1" t="s">
        <v>83</v>
      </c>
      <c r="J105" s="1" t="s">
        <v>35</v>
      </c>
      <c r="K105" s="1" t="s">
        <v>112</v>
      </c>
      <c r="L105" s="1" t="s">
        <v>61</v>
      </c>
      <c r="M105" s="1" t="s">
        <v>50</v>
      </c>
      <c r="N105" s="1" t="n">
        <v>8499</v>
      </c>
      <c r="O105" s="1" t="n">
        <v>10</v>
      </c>
      <c r="P105" s="1" t="n">
        <v>849.9</v>
      </c>
      <c r="Q105" s="1" t="n">
        <v>7649.1</v>
      </c>
      <c r="R105" s="1" t="n">
        <v>1376.84</v>
      </c>
      <c r="S105" s="1" t="n">
        <v>6272.26</v>
      </c>
      <c r="T105" s="1" t="n">
        <v>2915.73</v>
      </c>
      <c r="U105" s="1" t="n">
        <v>3356.53</v>
      </c>
      <c r="V105" s="1" t="n">
        <v>53.51</v>
      </c>
      <c r="W105" s="1" t="s">
        <v>40</v>
      </c>
      <c r="Y105" s="1" t="s">
        <v>40</v>
      </c>
      <c r="Z105" s="1" t="n">
        <v>0</v>
      </c>
      <c r="AA105" s="1" t="str">
        <f aca="false">TRIM(PROPER(F105))</f>
        <v>Howrah</v>
      </c>
      <c r="AB105" s="1" t="str">
        <f aca="false">TRIM(PROPER(C105))</f>
        <v>Vedantu</v>
      </c>
      <c r="AC105" s="1" t="str">
        <f aca="false">IF(O105=0,"No Discount",IF(O105&lt;=15,"Low (1-15%)",IF(O105&lt;=30,"Medium (16-30%)","High (&gt;30%)")))</f>
        <v>Low (1-15%)</v>
      </c>
      <c r="AD105" s="1" t="str">
        <f aca="false">IF(V105&lt;0,"Loss Making",IF(V105&lt;20,"Low Margin","Healthy Margin"))</f>
        <v>Healthy Margin</v>
      </c>
      <c r="AE105" s="1" t="str">
        <f aca="false">TEXT(DATE(VALUE(RIGHT(B105,4)),VALUE(MID(B105,4,2)),VALUE(LEFT(B105,2))),"MMM-YYYY")</f>
        <v>Oct-2024</v>
      </c>
      <c r="AF105" s="1" t="n">
        <f aca="false">VALUE(RIGHT(B105,4))</f>
        <v>2024</v>
      </c>
      <c r="AG105" s="1" t="str">
        <f aca="false">CHOOSE(ROUNDUP(VALUE(MID(B105,4,2))/3,0),"Q1","Q2","Q3","Q4")</f>
        <v>Q4</v>
      </c>
    </row>
    <row r="106" customFormat="false" ht="15" hidden="false" customHeight="true" outlineLevel="0" collapsed="false">
      <c r="A106" s="1" t="s">
        <v>347</v>
      </c>
      <c r="B106" s="1" t="s">
        <v>348</v>
      </c>
      <c r="C106" s="1" t="s">
        <v>74</v>
      </c>
      <c r="D106" s="1" t="s">
        <v>123</v>
      </c>
      <c r="E106" s="1" t="s">
        <v>124</v>
      </c>
      <c r="F106" s="1" t="s">
        <v>96</v>
      </c>
      <c r="G106" s="1" t="s">
        <v>97</v>
      </c>
      <c r="H106" s="1" t="s">
        <v>69</v>
      </c>
      <c r="I106" s="1" t="s">
        <v>83</v>
      </c>
      <c r="J106" s="1" t="s">
        <v>131</v>
      </c>
      <c r="K106" s="1" t="s">
        <v>112</v>
      </c>
      <c r="L106" s="1" t="s">
        <v>37</v>
      </c>
      <c r="M106" s="1" t="s">
        <v>62</v>
      </c>
      <c r="N106" s="1" t="n">
        <v>4999</v>
      </c>
      <c r="O106" s="1" t="n">
        <v>0</v>
      </c>
      <c r="P106" s="1" t="n">
        <v>0</v>
      </c>
      <c r="Q106" s="1" t="n">
        <v>4999</v>
      </c>
      <c r="R106" s="1" t="n">
        <v>899.82</v>
      </c>
      <c r="S106" s="1" t="n">
        <v>4099.18</v>
      </c>
      <c r="T106" s="1" t="n">
        <v>1729.19</v>
      </c>
      <c r="U106" s="1" t="n">
        <v>2369.99</v>
      </c>
      <c r="V106" s="1" t="n">
        <v>57.82</v>
      </c>
      <c r="W106" s="1" t="s">
        <v>39</v>
      </c>
      <c r="X106" s="1" t="n">
        <v>4.3</v>
      </c>
      <c r="Y106" s="1" t="s">
        <v>40</v>
      </c>
      <c r="Z106" s="1" t="n">
        <v>1</v>
      </c>
      <c r="AA106" s="1" t="str">
        <f aca="false">TRIM(PROPER(F106))</f>
        <v>Pune</v>
      </c>
      <c r="AB106" s="1" t="str">
        <f aca="false">TRIM(PROPER(C106))</f>
        <v>Vedantu</v>
      </c>
      <c r="AC106" s="1" t="str">
        <f aca="false">IF(O106=0,"No Discount",IF(O106&lt;=15,"Low (1-15%)",IF(O106&lt;=30,"Medium (16-30%)","High (&gt;30%)")))</f>
        <v>No Discount</v>
      </c>
      <c r="AD106" s="1" t="str">
        <f aca="false">IF(V106&lt;0,"Loss Making",IF(V106&lt;20,"Low Margin","Healthy Margin"))</f>
        <v>Healthy Margin</v>
      </c>
      <c r="AE106" s="1" t="str">
        <f aca="false">TEXT(DATE(VALUE(RIGHT(B106,4)),VALUE(MID(B106,4,2)),VALUE(LEFT(B106,2))),"MMM-YYYY")</f>
        <v>Aug-2024</v>
      </c>
      <c r="AF106" s="1" t="n">
        <f aca="false">VALUE(RIGHT(B106,4))</f>
        <v>2024</v>
      </c>
      <c r="AG106" s="1" t="str">
        <f aca="false">CHOOSE(ROUNDUP(VALUE(MID(B106,4,2))/3,0),"Q1","Q2","Q3","Q4")</f>
        <v>Q3</v>
      </c>
    </row>
    <row r="107" customFormat="false" ht="15" hidden="false" customHeight="true" outlineLevel="0" collapsed="false">
      <c r="A107" s="1" t="s">
        <v>349</v>
      </c>
      <c r="B107" s="1" t="s">
        <v>350</v>
      </c>
      <c r="C107" s="1" t="s">
        <v>178</v>
      </c>
      <c r="D107" s="1" t="s">
        <v>80</v>
      </c>
      <c r="E107" s="1" t="s">
        <v>81</v>
      </c>
      <c r="F107" s="1" t="s">
        <v>244</v>
      </c>
      <c r="G107" s="1" t="s">
        <v>97</v>
      </c>
      <c r="H107" s="1" t="s">
        <v>57</v>
      </c>
      <c r="I107" s="1" t="s">
        <v>83</v>
      </c>
      <c r="J107" s="1" t="s">
        <v>59</v>
      </c>
      <c r="K107" s="1" t="s">
        <v>104</v>
      </c>
      <c r="L107" s="1" t="s">
        <v>49</v>
      </c>
      <c r="M107" s="1" t="s">
        <v>50</v>
      </c>
      <c r="N107" s="1" t="n">
        <v>12999</v>
      </c>
      <c r="O107" s="1" t="n">
        <v>40</v>
      </c>
      <c r="P107" s="1" t="n">
        <v>5199.6</v>
      </c>
      <c r="Q107" s="1" t="n">
        <v>7799.4</v>
      </c>
      <c r="R107" s="1" t="n">
        <v>1403.89</v>
      </c>
      <c r="S107" s="1" t="n">
        <v>6395.51</v>
      </c>
      <c r="T107" s="1" t="n">
        <v>3120.99</v>
      </c>
      <c r="U107" s="1" t="n">
        <v>3274.52</v>
      </c>
      <c r="V107" s="1" t="n">
        <v>51.2</v>
      </c>
      <c r="W107" s="1" t="s">
        <v>39</v>
      </c>
      <c r="X107" s="1" t="n">
        <v>3.3</v>
      </c>
      <c r="Y107" s="1" t="s">
        <v>40</v>
      </c>
      <c r="Z107" s="1" t="n">
        <v>0</v>
      </c>
      <c r="AA107" s="1" t="str">
        <f aca="false">TRIM(PROPER(F107))</f>
        <v>Nagpur</v>
      </c>
      <c r="AB107" s="1" t="str">
        <f aca="false">TRIM(PROPER(C107))</f>
        <v>Leverage Edu</v>
      </c>
      <c r="AC107" s="1" t="str">
        <f aca="false">IF(O107=0,"No Discount",IF(O107&lt;=15,"Low (1-15%)",IF(O107&lt;=30,"Medium (16-30%)","High (&gt;30%)")))</f>
        <v>High (&gt;30%)</v>
      </c>
      <c r="AD107" s="1" t="str">
        <f aca="false">IF(V107&lt;0,"Loss Making",IF(V107&lt;20,"Low Margin","Healthy Margin"))</f>
        <v>Healthy Margin</v>
      </c>
      <c r="AE107" s="1" t="str">
        <f aca="false">TEXT(DATE(VALUE(RIGHT(B107,4)),VALUE(MID(B107,4,2)),VALUE(LEFT(B107,2))),"MMM-YYYY")</f>
        <v>Sep-2024</v>
      </c>
      <c r="AF107" s="1" t="n">
        <f aca="false">VALUE(RIGHT(B107,4))</f>
        <v>2024</v>
      </c>
      <c r="AG107" s="1" t="str">
        <f aca="false">CHOOSE(ROUNDUP(VALUE(MID(B107,4,2))/3,0),"Q1","Q2","Q3","Q4")</f>
        <v>Q3</v>
      </c>
    </row>
    <row r="108" customFormat="false" ht="15" hidden="false" customHeight="true" outlineLevel="0" collapsed="false">
      <c r="A108" s="1" t="s">
        <v>351</v>
      </c>
      <c r="B108" s="1" t="s">
        <v>352</v>
      </c>
      <c r="C108" s="1" t="s">
        <v>128</v>
      </c>
      <c r="D108" s="1" t="s">
        <v>143</v>
      </c>
      <c r="E108" s="1" t="s">
        <v>162</v>
      </c>
      <c r="F108" s="1" t="s">
        <v>269</v>
      </c>
      <c r="G108" s="1" t="s">
        <v>108</v>
      </c>
      <c r="H108" s="1" t="s">
        <v>57</v>
      </c>
      <c r="I108" s="1" t="s">
        <v>83</v>
      </c>
      <c r="J108" s="1" t="s">
        <v>77</v>
      </c>
      <c r="K108" s="1" t="s">
        <v>71</v>
      </c>
      <c r="L108" s="1" t="s">
        <v>85</v>
      </c>
      <c r="M108" s="1" t="s">
        <v>50</v>
      </c>
      <c r="N108" s="1" t="n">
        <v>14999</v>
      </c>
      <c r="O108" s="1" t="n">
        <v>5</v>
      </c>
      <c r="P108" s="1" t="n">
        <v>749.95</v>
      </c>
      <c r="Q108" s="1" t="n">
        <v>14249.05</v>
      </c>
      <c r="R108" s="1" t="n">
        <v>2564.83</v>
      </c>
      <c r="S108" s="1" t="n">
        <v>11684.22</v>
      </c>
      <c r="T108" s="1" t="n">
        <v>4916.36</v>
      </c>
      <c r="U108" s="1" t="n">
        <v>6767.86</v>
      </c>
      <c r="V108" s="1" t="n">
        <v>57.92</v>
      </c>
      <c r="W108" s="1" t="s">
        <v>39</v>
      </c>
      <c r="X108" s="1" t="n">
        <v>3.7</v>
      </c>
      <c r="Y108" s="1" t="s">
        <v>40</v>
      </c>
      <c r="Z108" s="1" t="n">
        <v>0</v>
      </c>
      <c r="AA108" s="1" t="str">
        <f aca="false">TRIM(PROPER(F108))</f>
        <v>Coimbatore</v>
      </c>
      <c r="AB108" s="1" t="str">
        <f aca="false">TRIM(PROPER(C108))</f>
        <v>Great Learning</v>
      </c>
      <c r="AC108" s="1" t="str">
        <f aca="false">IF(O108=0,"No Discount",IF(O108&lt;=15,"Low (1-15%)",IF(O108&lt;=30,"Medium (16-30%)","High (&gt;30%)")))</f>
        <v>Low (1-15%)</v>
      </c>
      <c r="AD108" s="1" t="str">
        <f aca="false">IF(V108&lt;0,"Loss Making",IF(V108&lt;20,"Low Margin","Healthy Margin"))</f>
        <v>Healthy Margin</v>
      </c>
      <c r="AE108" s="1" t="str">
        <f aca="false">TEXT(DATE(VALUE(RIGHT(B108,4)),VALUE(MID(B108,4,2)),VALUE(LEFT(B108,2))),"MMM-YYYY")</f>
        <v>Jul-2024</v>
      </c>
      <c r="AF108" s="1" t="n">
        <f aca="false">VALUE(RIGHT(B108,4))</f>
        <v>2024</v>
      </c>
      <c r="AG108" s="1" t="str">
        <f aca="false">CHOOSE(ROUNDUP(VALUE(MID(B108,4,2))/3,0),"Q1","Q2","Q3","Q4")</f>
        <v>Q3</v>
      </c>
    </row>
    <row r="109" customFormat="false" ht="15" hidden="false" customHeight="true" outlineLevel="0" collapsed="false">
      <c r="A109" s="1" t="s">
        <v>353</v>
      </c>
      <c r="B109" s="1" t="s">
        <v>354</v>
      </c>
      <c r="C109" s="1" t="s">
        <v>178</v>
      </c>
      <c r="D109" s="1" t="s">
        <v>168</v>
      </c>
      <c r="E109" s="1" t="s">
        <v>169</v>
      </c>
      <c r="F109" s="1" t="s">
        <v>96</v>
      </c>
      <c r="G109" s="1" t="s">
        <v>97</v>
      </c>
      <c r="H109" s="1" t="s">
        <v>69</v>
      </c>
      <c r="I109" s="1" t="s">
        <v>83</v>
      </c>
      <c r="J109" s="1" t="s">
        <v>70</v>
      </c>
      <c r="K109" s="1" t="s">
        <v>60</v>
      </c>
      <c r="L109" s="1" t="s">
        <v>49</v>
      </c>
      <c r="M109" s="1" t="s">
        <v>38</v>
      </c>
      <c r="N109" s="1" t="n">
        <v>4999</v>
      </c>
      <c r="O109" s="1" t="n">
        <v>15</v>
      </c>
      <c r="P109" s="1" t="n">
        <v>749.85</v>
      </c>
      <c r="Q109" s="1" t="n">
        <v>4249.15</v>
      </c>
      <c r="R109" s="1" t="n">
        <v>764.85</v>
      </c>
      <c r="S109" s="1" t="n">
        <v>3484.3</v>
      </c>
      <c r="T109" s="1" t="n">
        <v>1347.44</v>
      </c>
      <c r="U109" s="1" t="n">
        <v>2136.86</v>
      </c>
      <c r="V109" s="1" t="n">
        <v>61.33</v>
      </c>
      <c r="W109" s="1" t="s">
        <v>39</v>
      </c>
      <c r="X109" s="1" t="n">
        <v>3.4</v>
      </c>
      <c r="Y109" s="1" t="s">
        <v>40</v>
      </c>
      <c r="Z109" s="1" t="n">
        <v>0</v>
      </c>
      <c r="AA109" s="1" t="str">
        <f aca="false">TRIM(PROPER(F109))</f>
        <v>Pune</v>
      </c>
      <c r="AB109" s="1" t="str">
        <f aca="false">TRIM(PROPER(C109))</f>
        <v>Leverage Edu</v>
      </c>
      <c r="AC109" s="1" t="str">
        <f aca="false">IF(O109=0,"No Discount",IF(O109&lt;=15,"Low (1-15%)",IF(O109&lt;=30,"Medium (16-30%)","High (&gt;30%)")))</f>
        <v>Low (1-15%)</v>
      </c>
      <c r="AD109" s="1" t="str">
        <f aca="false">IF(V109&lt;0,"Loss Making",IF(V109&lt;20,"Low Margin","Healthy Margin"))</f>
        <v>Healthy Margin</v>
      </c>
      <c r="AE109" s="1" t="str">
        <f aca="false">TEXT(DATE(VALUE(RIGHT(B109,4)),VALUE(MID(B109,4,2)),VALUE(LEFT(B109,2))),"MMM-YYYY")</f>
        <v>May-2024</v>
      </c>
      <c r="AF109" s="1" t="n">
        <f aca="false">VALUE(RIGHT(B109,4))</f>
        <v>2024</v>
      </c>
      <c r="AG109" s="1" t="str">
        <f aca="false">CHOOSE(ROUNDUP(VALUE(MID(B109,4,2))/3,0),"Q1","Q2","Q3","Q4")</f>
        <v>Q2</v>
      </c>
    </row>
    <row r="110" customFormat="false" ht="15" hidden="false" customHeight="true" outlineLevel="0" collapsed="false">
      <c r="A110" s="1" t="s">
        <v>355</v>
      </c>
      <c r="B110" s="1" t="s">
        <v>356</v>
      </c>
      <c r="C110" s="1" t="s">
        <v>65</v>
      </c>
      <c r="D110" s="1" t="s">
        <v>94</v>
      </c>
      <c r="E110" s="1" t="s">
        <v>95</v>
      </c>
      <c r="F110" s="1" t="s">
        <v>46</v>
      </c>
      <c r="G110" s="1" t="s">
        <v>47</v>
      </c>
      <c r="H110" s="1" t="s">
        <v>33</v>
      </c>
      <c r="I110" s="1" t="s">
        <v>83</v>
      </c>
      <c r="J110" s="1" t="s">
        <v>35</v>
      </c>
      <c r="K110" s="1" t="s">
        <v>90</v>
      </c>
      <c r="L110" s="1" t="s">
        <v>113</v>
      </c>
      <c r="M110" s="1" t="s">
        <v>62</v>
      </c>
      <c r="N110" s="1" t="n">
        <v>6999</v>
      </c>
      <c r="O110" s="1" t="n">
        <v>0</v>
      </c>
      <c r="P110" s="1" t="n">
        <v>0</v>
      </c>
      <c r="Q110" s="1" t="n">
        <v>6999</v>
      </c>
      <c r="R110" s="1" t="n">
        <v>1259.82</v>
      </c>
      <c r="S110" s="1" t="n">
        <v>5739.18</v>
      </c>
      <c r="T110" s="1" t="n">
        <v>2817.16</v>
      </c>
      <c r="U110" s="1" t="n">
        <v>2922.02</v>
      </c>
      <c r="V110" s="1" t="n">
        <v>50.91</v>
      </c>
      <c r="W110" s="1" t="s">
        <v>40</v>
      </c>
      <c r="Y110" s="1" t="s">
        <v>40</v>
      </c>
      <c r="Z110" s="1" t="n">
        <v>2</v>
      </c>
      <c r="AA110" s="1" t="str">
        <f aca="false">TRIM(PROPER(F110))</f>
        <v>Mangaluru</v>
      </c>
      <c r="AB110" s="1" t="str">
        <f aca="false">TRIM(PROPER(C110))</f>
        <v>Toppr</v>
      </c>
      <c r="AC110" s="1" t="str">
        <f aca="false">IF(O110=0,"No Discount",IF(O110&lt;=15,"Low (1-15%)",IF(O110&lt;=30,"Medium (16-30%)","High (&gt;30%)")))</f>
        <v>No Discount</v>
      </c>
      <c r="AD110" s="1" t="str">
        <f aca="false">IF(V110&lt;0,"Loss Making",IF(V110&lt;20,"Low Margin","Healthy Margin"))</f>
        <v>Healthy Margin</v>
      </c>
      <c r="AE110" s="1" t="str">
        <f aca="false">TEXT(DATE(VALUE(RIGHT(B110,4)),VALUE(MID(B110,4,2)),VALUE(LEFT(B110,2))),"MMM-YYYY")</f>
        <v>Sep-2023</v>
      </c>
      <c r="AF110" s="1" t="n">
        <f aca="false">VALUE(RIGHT(B110,4))</f>
        <v>2023</v>
      </c>
      <c r="AG110" s="1" t="str">
        <f aca="false">CHOOSE(ROUNDUP(VALUE(MID(B110,4,2))/3,0),"Q1","Q2","Q3","Q4")</f>
        <v>Q3</v>
      </c>
    </row>
    <row r="111" customFormat="false" ht="15" hidden="false" customHeight="true" outlineLevel="0" collapsed="false">
      <c r="A111" s="1" t="s">
        <v>357</v>
      </c>
      <c r="B111" s="1" t="s">
        <v>358</v>
      </c>
      <c r="C111" s="1" t="s">
        <v>43</v>
      </c>
      <c r="D111" s="1" t="s">
        <v>44</v>
      </c>
      <c r="E111" s="1" t="s">
        <v>66</v>
      </c>
      <c r="F111" s="1" t="s">
        <v>96</v>
      </c>
      <c r="G111" s="1" t="s">
        <v>97</v>
      </c>
      <c r="H111" s="1" t="s">
        <v>69</v>
      </c>
      <c r="I111" s="1" t="s">
        <v>34</v>
      </c>
      <c r="J111" s="1" t="s">
        <v>77</v>
      </c>
      <c r="K111" s="1" t="s">
        <v>71</v>
      </c>
      <c r="L111" s="1" t="s">
        <v>136</v>
      </c>
      <c r="M111" s="1" t="s">
        <v>62</v>
      </c>
      <c r="N111" s="1" t="n">
        <v>12999</v>
      </c>
      <c r="O111" s="1" t="n">
        <v>0</v>
      </c>
      <c r="P111" s="1" t="n">
        <v>0</v>
      </c>
      <c r="Q111" s="1" t="n">
        <v>12999</v>
      </c>
      <c r="R111" s="1" t="n">
        <v>2339.82</v>
      </c>
      <c r="S111" s="1" t="n">
        <v>10659.18</v>
      </c>
      <c r="T111" s="1" t="n">
        <v>4202.47</v>
      </c>
      <c r="U111" s="1" t="n">
        <v>6456.71</v>
      </c>
      <c r="V111" s="1" t="n">
        <v>60.57</v>
      </c>
      <c r="W111" s="1" t="s">
        <v>39</v>
      </c>
      <c r="X111" s="1" t="n">
        <v>3.9</v>
      </c>
      <c r="Y111" s="1" t="s">
        <v>40</v>
      </c>
      <c r="Z111" s="1" t="n">
        <v>0</v>
      </c>
      <c r="AA111" s="1" t="str">
        <f aca="false">TRIM(PROPER(F111))</f>
        <v>Pune</v>
      </c>
      <c r="AB111" s="1" t="str">
        <f aca="false">TRIM(PROPER(C111))</f>
        <v>Meritnation</v>
      </c>
      <c r="AC111" s="1" t="str">
        <f aca="false">IF(O111=0,"No Discount",IF(O111&lt;=15,"Low (1-15%)",IF(O111&lt;=30,"Medium (16-30%)","High (&gt;30%)")))</f>
        <v>No Discount</v>
      </c>
      <c r="AD111" s="1" t="str">
        <f aca="false">IF(V111&lt;0,"Loss Making",IF(V111&lt;20,"Low Margin","Healthy Margin"))</f>
        <v>Healthy Margin</v>
      </c>
      <c r="AE111" s="1" t="str">
        <f aca="false">TEXT(DATE(VALUE(RIGHT(B111,4)),VALUE(MID(B111,4,2)),VALUE(LEFT(B111,2))),"MMM-YYYY")</f>
        <v>Nov-2024</v>
      </c>
      <c r="AF111" s="1" t="n">
        <f aca="false">VALUE(RIGHT(B111,4))</f>
        <v>2024</v>
      </c>
      <c r="AG111" s="1" t="str">
        <f aca="false">CHOOSE(ROUNDUP(VALUE(MID(B111,4,2))/3,0),"Q1","Q2","Q3","Q4")</f>
        <v>Q4</v>
      </c>
    </row>
    <row r="112" customFormat="false" ht="15" hidden="false" customHeight="true" outlineLevel="0" collapsed="false">
      <c r="A112" s="1" t="s">
        <v>359</v>
      </c>
      <c r="B112" s="1" t="s">
        <v>360</v>
      </c>
      <c r="C112" s="1" t="s">
        <v>88</v>
      </c>
      <c r="D112" s="1" t="s">
        <v>94</v>
      </c>
      <c r="E112" s="1" t="s">
        <v>95</v>
      </c>
      <c r="F112" s="1" t="s">
        <v>102</v>
      </c>
      <c r="G112" s="1" t="s">
        <v>103</v>
      </c>
      <c r="H112" s="1" t="s">
        <v>33</v>
      </c>
      <c r="I112" s="1" t="s">
        <v>83</v>
      </c>
      <c r="J112" s="1" t="s">
        <v>35</v>
      </c>
      <c r="K112" s="1" t="s">
        <v>90</v>
      </c>
      <c r="L112" s="1" t="s">
        <v>85</v>
      </c>
      <c r="M112" s="1" t="s">
        <v>62</v>
      </c>
      <c r="N112" s="1" t="n">
        <v>6999</v>
      </c>
      <c r="O112" s="1" t="n">
        <v>0</v>
      </c>
      <c r="P112" s="1" t="n">
        <v>0</v>
      </c>
      <c r="Q112" s="1" t="n">
        <v>6999</v>
      </c>
      <c r="R112" s="1" t="n">
        <v>1259.82</v>
      </c>
      <c r="S112" s="1" t="n">
        <v>5739.18</v>
      </c>
      <c r="T112" s="1" t="n">
        <v>1945.78</v>
      </c>
      <c r="U112" s="1" t="n">
        <v>3793.4</v>
      </c>
      <c r="V112" s="1" t="n">
        <v>66.1</v>
      </c>
      <c r="W112" s="1" t="s">
        <v>39</v>
      </c>
      <c r="X112" s="1" t="n">
        <v>2.6</v>
      </c>
      <c r="Y112" s="1" t="s">
        <v>40</v>
      </c>
      <c r="Z112" s="1" t="n">
        <v>0</v>
      </c>
      <c r="AA112" s="1" t="str">
        <f aca="false">TRIM(PROPER(F112))</f>
        <v>Warangal</v>
      </c>
      <c r="AB112" s="1" t="str">
        <f aca="false">TRIM(PROPER(C112))</f>
        <v>Byju'S</v>
      </c>
      <c r="AC112" s="1" t="str">
        <f aca="false">IF(O112=0,"No Discount",IF(O112&lt;=15,"Low (1-15%)",IF(O112&lt;=30,"Medium (16-30%)","High (&gt;30%)")))</f>
        <v>No Discount</v>
      </c>
      <c r="AD112" s="1" t="str">
        <f aca="false">IF(V112&lt;0,"Loss Making",IF(V112&lt;20,"Low Margin","Healthy Margin"))</f>
        <v>Healthy Margin</v>
      </c>
      <c r="AE112" s="1" t="str">
        <f aca="false">TEXT(DATE(VALUE(RIGHT(B112,4)),VALUE(MID(B112,4,2)),VALUE(LEFT(B112,2))),"MMM-YYYY")</f>
        <v>Feb-2023</v>
      </c>
      <c r="AF112" s="1" t="n">
        <f aca="false">VALUE(RIGHT(B112,4))</f>
        <v>2023</v>
      </c>
      <c r="AG112" s="1" t="str">
        <f aca="false">CHOOSE(ROUNDUP(VALUE(MID(B112,4,2))/3,0),"Q1","Q2","Q3","Q4")</f>
        <v>Q1</v>
      </c>
    </row>
    <row r="113" customFormat="false" ht="15" hidden="false" customHeight="true" outlineLevel="0" collapsed="false">
      <c r="A113" s="1" t="s">
        <v>361</v>
      </c>
      <c r="B113" s="1" t="s">
        <v>362</v>
      </c>
      <c r="C113" s="1" t="s">
        <v>264</v>
      </c>
      <c r="D113" s="1" t="s">
        <v>29</v>
      </c>
      <c r="E113" s="1" t="s">
        <v>305</v>
      </c>
      <c r="F113" s="1" t="s">
        <v>120</v>
      </c>
      <c r="G113" s="1" t="s">
        <v>47</v>
      </c>
      <c r="H113" s="1" t="s">
        <v>57</v>
      </c>
      <c r="I113" s="1" t="s">
        <v>83</v>
      </c>
      <c r="J113" s="1" t="s">
        <v>131</v>
      </c>
      <c r="K113" s="1" t="s">
        <v>84</v>
      </c>
      <c r="L113" s="1" t="s">
        <v>85</v>
      </c>
      <c r="M113" s="1" t="s">
        <v>50</v>
      </c>
      <c r="N113" s="1" t="n">
        <v>24999</v>
      </c>
      <c r="O113" s="1" t="n">
        <v>0</v>
      </c>
      <c r="P113" s="1" t="n">
        <v>0</v>
      </c>
      <c r="Q113" s="1" t="n">
        <v>24999</v>
      </c>
      <c r="R113" s="1" t="n">
        <v>4499.82</v>
      </c>
      <c r="S113" s="1" t="n">
        <v>20499.18</v>
      </c>
      <c r="T113" s="1" t="n">
        <v>7889.2</v>
      </c>
      <c r="U113" s="1" t="n">
        <v>12609.98</v>
      </c>
      <c r="V113" s="1" t="n">
        <v>61.51</v>
      </c>
      <c r="W113" s="1" t="s">
        <v>40</v>
      </c>
      <c r="Y113" s="1" t="s">
        <v>39</v>
      </c>
      <c r="Z113" s="1" t="n">
        <v>0</v>
      </c>
      <c r="AA113" s="1" t="str">
        <f aca="false">TRIM(PROPER(F113))</f>
        <v>Mysuru</v>
      </c>
      <c r="AB113" s="1" t="str">
        <f aca="false">TRIM(PROPER(C113))</f>
        <v>Unacademy</v>
      </c>
      <c r="AC113" s="1" t="str">
        <f aca="false">IF(O113=0,"No Discount",IF(O113&lt;=15,"Low (1-15%)",IF(O113&lt;=30,"Medium (16-30%)","High (&gt;30%)")))</f>
        <v>No Discount</v>
      </c>
      <c r="AD113" s="1" t="str">
        <f aca="false">IF(V113&lt;0,"Loss Making",IF(V113&lt;20,"Low Margin","Healthy Margin"))</f>
        <v>Healthy Margin</v>
      </c>
      <c r="AE113" s="1" t="str">
        <f aca="false">TEXT(DATE(VALUE(RIGHT(B113,4)),VALUE(MID(B113,4,2)),VALUE(LEFT(B113,2))),"MMM-YYYY")</f>
        <v>Aug-2024</v>
      </c>
      <c r="AF113" s="1" t="n">
        <f aca="false">VALUE(RIGHT(B113,4))</f>
        <v>2024</v>
      </c>
      <c r="AG113" s="1" t="str">
        <f aca="false">CHOOSE(ROUNDUP(VALUE(MID(B113,4,2))/3,0),"Q1","Q2","Q3","Q4")</f>
        <v>Q3</v>
      </c>
    </row>
    <row r="114" customFormat="false" ht="15" hidden="false" customHeight="true" outlineLevel="0" collapsed="false">
      <c r="A114" s="1" t="s">
        <v>363</v>
      </c>
      <c r="B114" s="1" t="s">
        <v>364</v>
      </c>
      <c r="C114" s="1" t="s">
        <v>28</v>
      </c>
      <c r="D114" s="1" t="s">
        <v>94</v>
      </c>
      <c r="E114" s="1" t="s">
        <v>135</v>
      </c>
      <c r="F114" s="1" t="s">
        <v>156</v>
      </c>
      <c r="G114" s="1" t="s">
        <v>68</v>
      </c>
      <c r="H114" s="1" t="s">
        <v>57</v>
      </c>
      <c r="I114" s="1" t="s">
        <v>34</v>
      </c>
      <c r="J114" s="1" t="s">
        <v>131</v>
      </c>
      <c r="K114" s="1" t="s">
        <v>90</v>
      </c>
      <c r="L114" s="1" t="s">
        <v>113</v>
      </c>
      <c r="M114" s="1" t="s">
        <v>50</v>
      </c>
      <c r="N114" s="1" t="n">
        <v>9999</v>
      </c>
      <c r="O114" s="1" t="n">
        <v>10</v>
      </c>
      <c r="P114" s="1" t="n">
        <v>999.9</v>
      </c>
      <c r="Q114" s="1" t="n">
        <v>8999.1</v>
      </c>
      <c r="R114" s="1" t="n">
        <v>1619.84</v>
      </c>
      <c r="S114" s="1" t="n">
        <v>7379.26</v>
      </c>
      <c r="T114" s="1" t="n">
        <v>2580.68</v>
      </c>
      <c r="U114" s="1" t="n">
        <v>4798.58</v>
      </c>
      <c r="V114" s="1" t="n">
        <v>65.03</v>
      </c>
      <c r="W114" s="1" t="s">
        <v>40</v>
      </c>
      <c r="Y114" s="1" t="s">
        <v>40</v>
      </c>
      <c r="Z114" s="1" t="n">
        <v>1</v>
      </c>
      <c r="AA114" s="1" t="str">
        <f aca="false">TRIM(PROPER(F114))</f>
        <v>Surat</v>
      </c>
      <c r="AB114" s="1" t="str">
        <f aca="false">TRIM(PROPER(C114))</f>
        <v>Embibe</v>
      </c>
      <c r="AC114" s="1" t="str">
        <f aca="false">IF(O114=0,"No Discount",IF(O114&lt;=15,"Low (1-15%)",IF(O114&lt;=30,"Medium (16-30%)","High (&gt;30%)")))</f>
        <v>Low (1-15%)</v>
      </c>
      <c r="AD114" s="1" t="str">
        <f aca="false">IF(V114&lt;0,"Loss Making",IF(V114&lt;20,"Low Margin","Healthy Margin"))</f>
        <v>Healthy Margin</v>
      </c>
      <c r="AE114" s="1" t="str">
        <f aca="false">TEXT(DATE(VALUE(RIGHT(B114,4)),VALUE(MID(B114,4,2)),VALUE(LEFT(B114,2))),"MMM-YYYY")</f>
        <v>Apr-2023</v>
      </c>
      <c r="AF114" s="1" t="n">
        <f aca="false">VALUE(RIGHT(B114,4))</f>
        <v>2023</v>
      </c>
      <c r="AG114" s="1" t="str">
        <f aca="false">CHOOSE(ROUNDUP(VALUE(MID(B114,4,2))/3,0),"Q1","Q2","Q3","Q4")</f>
        <v>Q2</v>
      </c>
    </row>
    <row r="115" customFormat="false" ht="15" hidden="false" customHeight="true" outlineLevel="0" collapsed="false">
      <c r="A115" s="1" t="s">
        <v>365</v>
      </c>
      <c r="B115" s="1" t="s">
        <v>366</v>
      </c>
      <c r="C115" s="1" t="s">
        <v>264</v>
      </c>
      <c r="D115" s="1" t="s">
        <v>80</v>
      </c>
      <c r="E115" s="1" t="s">
        <v>190</v>
      </c>
      <c r="F115" s="1" t="s">
        <v>323</v>
      </c>
      <c r="G115" s="1" t="s">
        <v>47</v>
      </c>
      <c r="H115" s="1" t="s">
        <v>69</v>
      </c>
      <c r="I115" s="1" t="s">
        <v>34</v>
      </c>
      <c r="J115" s="1" t="s">
        <v>131</v>
      </c>
      <c r="K115" s="1" t="s">
        <v>36</v>
      </c>
      <c r="L115" s="1" t="s">
        <v>136</v>
      </c>
      <c r="M115" s="1" t="s">
        <v>38</v>
      </c>
      <c r="N115" s="1" t="n">
        <v>15999</v>
      </c>
      <c r="O115" s="1" t="n">
        <v>10</v>
      </c>
      <c r="P115" s="1" t="n">
        <v>1599.9</v>
      </c>
      <c r="Q115" s="1" t="n">
        <v>14399.1</v>
      </c>
      <c r="R115" s="1" t="n">
        <v>2591.84</v>
      </c>
      <c r="S115" s="1" t="n">
        <v>11807.26</v>
      </c>
      <c r="T115" s="1" t="n">
        <v>4249.32</v>
      </c>
      <c r="U115" s="1" t="n">
        <v>7557.94</v>
      </c>
      <c r="V115" s="1" t="n">
        <v>64.01</v>
      </c>
      <c r="W115" s="1" t="s">
        <v>40</v>
      </c>
      <c r="Y115" s="1" t="s">
        <v>40</v>
      </c>
      <c r="Z115" s="1" t="n">
        <v>0</v>
      </c>
      <c r="AA115" s="1" t="str">
        <f aca="false">TRIM(PROPER(F115))</f>
        <v>Bengaluru</v>
      </c>
      <c r="AB115" s="1" t="str">
        <f aca="false">TRIM(PROPER(C115))</f>
        <v>Unacademy</v>
      </c>
      <c r="AC115" s="1" t="str">
        <f aca="false">IF(O115=0,"No Discount",IF(O115&lt;=15,"Low (1-15%)",IF(O115&lt;=30,"Medium (16-30%)","High (&gt;30%)")))</f>
        <v>Low (1-15%)</v>
      </c>
      <c r="AD115" s="1" t="str">
        <f aca="false">IF(V115&lt;0,"Loss Making",IF(V115&lt;20,"Low Margin","Healthy Margin"))</f>
        <v>Healthy Margin</v>
      </c>
      <c r="AE115" s="1" t="str">
        <f aca="false">TEXT(DATE(VALUE(RIGHT(B115,4)),VALUE(MID(B115,4,2)),VALUE(LEFT(B115,2))),"MMM-YYYY")</f>
        <v>Apr-2023</v>
      </c>
      <c r="AF115" s="1" t="n">
        <f aca="false">VALUE(RIGHT(B115,4))</f>
        <v>2023</v>
      </c>
      <c r="AG115" s="1" t="str">
        <f aca="false">CHOOSE(ROUNDUP(VALUE(MID(B115,4,2))/3,0),"Q1","Q2","Q3","Q4")</f>
        <v>Q2</v>
      </c>
    </row>
    <row r="116" customFormat="false" ht="15" hidden="false" customHeight="true" outlineLevel="0" collapsed="false">
      <c r="A116" s="1" t="s">
        <v>367</v>
      </c>
      <c r="B116" s="1" t="s">
        <v>232</v>
      </c>
      <c r="C116" s="1" t="s">
        <v>264</v>
      </c>
      <c r="D116" s="1" t="s">
        <v>143</v>
      </c>
      <c r="E116" s="1" t="s">
        <v>243</v>
      </c>
      <c r="F116" s="1" t="s">
        <v>67</v>
      </c>
      <c r="G116" s="1" t="s">
        <v>68</v>
      </c>
      <c r="H116" s="1" t="s">
        <v>69</v>
      </c>
      <c r="I116" s="1" t="s">
        <v>83</v>
      </c>
      <c r="J116" s="1" t="s">
        <v>59</v>
      </c>
      <c r="K116" s="1" t="s">
        <v>112</v>
      </c>
      <c r="L116" s="1" t="s">
        <v>37</v>
      </c>
      <c r="M116" s="1" t="s">
        <v>62</v>
      </c>
      <c r="N116" s="1" t="n">
        <v>22999</v>
      </c>
      <c r="O116" s="1" t="n">
        <v>30</v>
      </c>
      <c r="P116" s="1" t="n">
        <v>6899.7</v>
      </c>
      <c r="Q116" s="1" t="n">
        <v>16099.3</v>
      </c>
      <c r="R116" s="1" t="n">
        <v>2897.87</v>
      </c>
      <c r="S116" s="1" t="n">
        <v>13201.43</v>
      </c>
      <c r="T116" s="1" t="n">
        <v>4845.74</v>
      </c>
      <c r="U116" s="1" t="n">
        <v>8355.69</v>
      </c>
      <c r="V116" s="1" t="n">
        <v>63.29</v>
      </c>
      <c r="W116" s="1" t="s">
        <v>40</v>
      </c>
      <c r="Y116" s="1" t="s">
        <v>40</v>
      </c>
      <c r="Z116" s="1" t="n">
        <v>0</v>
      </c>
      <c r="AA116" s="1" t="str">
        <f aca="false">TRIM(PROPER(F116))</f>
        <v>Ahmedabad</v>
      </c>
      <c r="AB116" s="1" t="str">
        <f aca="false">TRIM(PROPER(C116))</f>
        <v>Unacademy</v>
      </c>
      <c r="AC116" s="1" t="str">
        <f aca="false">IF(O116=0,"No Discount",IF(O116&lt;=15,"Low (1-15%)",IF(O116&lt;=30,"Medium (16-30%)","High (&gt;30%)")))</f>
        <v>Medium (16-30%)</v>
      </c>
      <c r="AD116" s="1" t="str">
        <f aca="false">IF(V116&lt;0,"Loss Making",IF(V116&lt;20,"Low Margin","Healthy Margin"))</f>
        <v>Healthy Margin</v>
      </c>
      <c r="AE116" s="1" t="str">
        <f aca="false">TEXT(DATE(VALUE(RIGHT(B116,4)),VALUE(MID(B116,4,2)),VALUE(LEFT(B116,2))),"MMM-YYYY")</f>
        <v>Sep-2024</v>
      </c>
      <c r="AF116" s="1" t="n">
        <f aca="false">VALUE(RIGHT(B116,4))</f>
        <v>2024</v>
      </c>
      <c r="AG116" s="1" t="str">
        <f aca="false">CHOOSE(ROUNDUP(VALUE(MID(B116,4,2))/3,0),"Q1","Q2","Q3","Q4")</f>
        <v>Q3</v>
      </c>
    </row>
    <row r="117" customFormat="false" ht="15" hidden="false" customHeight="true" outlineLevel="0" collapsed="false">
      <c r="A117" s="1" t="s">
        <v>368</v>
      </c>
      <c r="B117" s="1" t="s">
        <v>369</v>
      </c>
      <c r="C117" s="1" t="s">
        <v>28</v>
      </c>
      <c r="D117" s="1" t="s">
        <v>123</v>
      </c>
      <c r="E117" s="1" t="s">
        <v>147</v>
      </c>
      <c r="F117" s="1" t="s">
        <v>67</v>
      </c>
      <c r="G117" s="1" t="s">
        <v>68</v>
      </c>
      <c r="H117" s="1" t="s">
        <v>69</v>
      </c>
      <c r="I117" s="1" t="s">
        <v>34</v>
      </c>
      <c r="J117" s="1" t="s">
        <v>131</v>
      </c>
      <c r="K117" s="1" t="s">
        <v>60</v>
      </c>
      <c r="L117" s="1" t="s">
        <v>85</v>
      </c>
      <c r="M117" s="1" t="s">
        <v>50</v>
      </c>
      <c r="N117" s="1" t="n">
        <v>6999</v>
      </c>
      <c r="O117" s="1" t="n">
        <v>0</v>
      </c>
      <c r="P117" s="1" t="n">
        <v>0</v>
      </c>
      <c r="Q117" s="1" t="n">
        <v>6999</v>
      </c>
      <c r="R117" s="1" t="n">
        <v>1259.82</v>
      </c>
      <c r="S117" s="1" t="n">
        <v>5739.18</v>
      </c>
      <c r="T117" s="1" t="n">
        <v>2006.96</v>
      </c>
      <c r="U117" s="1" t="n">
        <v>3732.22</v>
      </c>
      <c r="V117" s="1" t="n">
        <v>65.03</v>
      </c>
      <c r="W117" s="1" t="s">
        <v>39</v>
      </c>
      <c r="X117" s="1" t="n">
        <v>2.7</v>
      </c>
      <c r="Y117" s="1" t="s">
        <v>40</v>
      </c>
      <c r="Z117" s="1" t="n">
        <v>0</v>
      </c>
      <c r="AA117" s="1" t="str">
        <f aca="false">TRIM(PROPER(F117))</f>
        <v>Ahmedabad</v>
      </c>
      <c r="AB117" s="1" t="str">
        <f aca="false">TRIM(PROPER(C117))</f>
        <v>Embibe</v>
      </c>
      <c r="AC117" s="1" t="str">
        <f aca="false">IF(O117=0,"No Discount",IF(O117&lt;=15,"Low (1-15%)",IF(O117&lt;=30,"Medium (16-30%)","High (&gt;30%)")))</f>
        <v>No Discount</v>
      </c>
      <c r="AD117" s="1" t="str">
        <f aca="false">IF(V117&lt;0,"Loss Making",IF(V117&lt;20,"Low Margin","Healthy Margin"))</f>
        <v>Healthy Margin</v>
      </c>
      <c r="AE117" s="1" t="str">
        <f aca="false">TEXT(DATE(VALUE(RIGHT(B117,4)),VALUE(MID(B117,4,2)),VALUE(LEFT(B117,2))),"MMM-YYYY")</f>
        <v>Sep-2024</v>
      </c>
      <c r="AF117" s="1" t="n">
        <f aca="false">VALUE(RIGHT(B117,4))</f>
        <v>2024</v>
      </c>
      <c r="AG117" s="1" t="str">
        <f aca="false">CHOOSE(ROUNDUP(VALUE(MID(B117,4,2))/3,0),"Q1","Q2","Q3","Q4")</f>
        <v>Q3</v>
      </c>
    </row>
    <row r="118" customFormat="false" ht="15" hidden="false" customHeight="true" outlineLevel="0" collapsed="false">
      <c r="A118" s="1" t="s">
        <v>370</v>
      </c>
      <c r="B118" s="1" t="s">
        <v>371</v>
      </c>
      <c r="C118" s="1" t="s">
        <v>119</v>
      </c>
      <c r="D118" s="1" t="s">
        <v>168</v>
      </c>
      <c r="E118" s="1" t="s">
        <v>172</v>
      </c>
      <c r="F118" s="1" t="s">
        <v>205</v>
      </c>
      <c r="G118" s="1" t="s">
        <v>56</v>
      </c>
      <c r="H118" s="1" t="s">
        <v>69</v>
      </c>
      <c r="I118" s="1" t="s">
        <v>83</v>
      </c>
      <c r="J118" s="1" t="s">
        <v>70</v>
      </c>
      <c r="K118" s="1" t="s">
        <v>84</v>
      </c>
      <c r="L118" s="1" t="s">
        <v>85</v>
      </c>
      <c r="M118" s="1" t="s">
        <v>50</v>
      </c>
      <c r="N118" s="1" t="n">
        <v>6999</v>
      </c>
      <c r="O118" s="1" t="n">
        <v>0</v>
      </c>
      <c r="P118" s="1" t="n">
        <v>0</v>
      </c>
      <c r="Q118" s="1" t="n">
        <v>6999</v>
      </c>
      <c r="R118" s="1" t="n">
        <v>1259.82</v>
      </c>
      <c r="S118" s="1" t="n">
        <v>5739.18</v>
      </c>
      <c r="T118" s="1" t="n">
        <v>2275.11</v>
      </c>
      <c r="U118" s="1" t="n">
        <v>3464.07</v>
      </c>
      <c r="V118" s="1" t="n">
        <v>60.36</v>
      </c>
      <c r="W118" s="1" t="s">
        <v>40</v>
      </c>
      <c r="Y118" s="1" t="s">
        <v>39</v>
      </c>
      <c r="Z118" s="1" t="n">
        <v>1</v>
      </c>
      <c r="AA118" s="1" t="str">
        <f aca="false">TRIM(PROPER(F118))</f>
        <v>New Delhi</v>
      </c>
      <c r="AB118" s="1" t="str">
        <f aca="false">TRIM(PROPER(C118))</f>
        <v>Simplilearn</v>
      </c>
      <c r="AC118" s="1" t="str">
        <f aca="false">IF(O118=0,"No Discount",IF(O118&lt;=15,"Low (1-15%)",IF(O118&lt;=30,"Medium (16-30%)","High (&gt;30%)")))</f>
        <v>No Discount</v>
      </c>
      <c r="AD118" s="1" t="str">
        <f aca="false">IF(V118&lt;0,"Loss Making",IF(V118&lt;20,"Low Margin","Healthy Margin"))</f>
        <v>Healthy Margin</v>
      </c>
      <c r="AE118" s="1" t="str">
        <f aca="false">TEXT(DATE(VALUE(RIGHT(B118,4)),VALUE(MID(B118,4,2)),VALUE(LEFT(B118,2))),"MMM-YYYY")</f>
        <v>Jan-2023</v>
      </c>
      <c r="AF118" s="1" t="n">
        <f aca="false">VALUE(RIGHT(B118,4))</f>
        <v>2023</v>
      </c>
      <c r="AG118" s="1" t="str">
        <f aca="false">CHOOSE(ROUNDUP(VALUE(MID(B118,4,2))/3,0),"Q1","Q2","Q3","Q4")</f>
        <v>Q1</v>
      </c>
    </row>
    <row r="119" customFormat="false" ht="15" hidden="false" customHeight="true" outlineLevel="0" collapsed="false">
      <c r="A119" s="1" t="s">
        <v>372</v>
      </c>
      <c r="B119" s="1" t="s">
        <v>373</v>
      </c>
      <c r="C119" s="1" t="s">
        <v>264</v>
      </c>
      <c r="D119" s="1" t="s">
        <v>29</v>
      </c>
      <c r="E119" s="1" t="s">
        <v>129</v>
      </c>
      <c r="F119" s="1" t="s">
        <v>184</v>
      </c>
      <c r="G119" s="1" t="s">
        <v>56</v>
      </c>
      <c r="H119" s="1" t="s">
        <v>57</v>
      </c>
      <c r="I119" s="1" t="s">
        <v>58</v>
      </c>
      <c r="J119" s="1" t="s">
        <v>131</v>
      </c>
      <c r="K119" s="1" t="s">
        <v>48</v>
      </c>
      <c r="L119" s="1" t="s">
        <v>85</v>
      </c>
      <c r="M119" s="1" t="s">
        <v>38</v>
      </c>
      <c r="N119" s="1" t="n">
        <v>29999</v>
      </c>
      <c r="O119" s="1" t="n">
        <v>5</v>
      </c>
      <c r="P119" s="1" t="n">
        <v>1499.95</v>
      </c>
      <c r="Q119" s="1" t="n">
        <v>28499.05</v>
      </c>
      <c r="R119" s="1" t="n">
        <v>5129.83</v>
      </c>
      <c r="S119" s="1" t="n">
        <v>23369.22</v>
      </c>
      <c r="T119" s="1" t="n">
        <v>10395.46</v>
      </c>
      <c r="U119" s="1" t="n">
        <v>12973.76</v>
      </c>
      <c r="V119" s="1" t="n">
        <v>55.52</v>
      </c>
      <c r="W119" s="1" t="s">
        <v>39</v>
      </c>
      <c r="X119" s="1" t="n">
        <v>4.3</v>
      </c>
      <c r="Y119" s="1" t="s">
        <v>40</v>
      </c>
      <c r="Z119" s="1" t="n">
        <v>0</v>
      </c>
      <c r="AA119" s="1" t="str">
        <f aca="false">TRIM(PROPER(F119))</f>
        <v>Faridabad</v>
      </c>
      <c r="AB119" s="1" t="str">
        <f aca="false">TRIM(PROPER(C119))</f>
        <v>Unacademy</v>
      </c>
      <c r="AC119" s="1" t="str">
        <f aca="false">IF(O119=0,"No Discount",IF(O119&lt;=15,"Low (1-15%)",IF(O119&lt;=30,"Medium (16-30%)","High (&gt;30%)")))</f>
        <v>Low (1-15%)</v>
      </c>
      <c r="AD119" s="1" t="str">
        <f aca="false">IF(V119&lt;0,"Loss Making",IF(V119&lt;20,"Low Margin","Healthy Margin"))</f>
        <v>Healthy Margin</v>
      </c>
      <c r="AE119" s="1" t="str">
        <f aca="false">TEXT(DATE(VALUE(RIGHT(B119,4)),VALUE(MID(B119,4,2)),VALUE(LEFT(B119,2))),"MMM-YYYY")</f>
        <v>Oct-2024</v>
      </c>
      <c r="AF119" s="1" t="n">
        <f aca="false">VALUE(RIGHT(B119,4))</f>
        <v>2024</v>
      </c>
      <c r="AG119" s="1" t="str">
        <f aca="false">CHOOSE(ROUNDUP(VALUE(MID(B119,4,2))/3,0),"Q1","Q2","Q3","Q4")</f>
        <v>Q4</v>
      </c>
    </row>
    <row r="120" customFormat="false" ht="15" hidden="false" customHeight="true" outlineLevel="0" collapsed="false">
      <c r="A120" s="1" t="s">
        <v>374</v>
      </c>
      <c r="B120" s="1" t="s">
        <v>304</v>
      </c>
      <c r="C120" s="1" t="s">
        <v>74</v>
      </c>
      <c r="D120" s="1" t="s">
        <v>80</v>
      </c>
      <c r="E120" s="1" t="s">
        <v>193</v>
      </c>
      <c r="F120" s="1" t="s">
        <v>75</v>
      </c>
      <c r="G120" s="1" t="s">
        <v>76</v>
      </c>
      <c r="H120" s="1" t="s">
        <v>69</v>
      </c>
      <c r="I120" s="1" t="s">
        <v>34</v>
      </c>
      <c r="J120" s="1" t="s">
        <v>131</v>
      </c>
      <c r="K120" s="1" t="s">
        <v>90</v>
      </c>
      <c r="L120" s="1" t="s">
        <v>136</v>
      </c>
      <c r="M120" s="1" t="s">
        <v>50</v>
      </c>
      <c r="N120" s="1" t="n">
        <v>8999</v>
      </c>
      <c r="O120" s="1" t="n">
        <v>40</v>
      </c>
      <c r="P120" s="1" t="n">
        <v>3599.6</v>
      </c>
      <c r="Q120" s="1" t="n">
        <v>5399.4</v>
      </c>
      <c r="R120" s="1" t="n">
        <v>971.89</v>
      </c>
      <c r="S120" s="1" t="n">
        <v>4427.51</v>
      </c>
      <c r="T120" s="1" t="n">
        <v>2040.36</v>
      </c>
      <c r="U120" s="1" t="n">
        <v>2387.15</v>
      </c>
      <c r="V120" s="1" t="n">
        <v>53.92</v>
      </c>
      <c r="W120" s="1" t="s">
        <v>40</v>
      </c>
      <c r="Y120" s="1" t="s">
        <v>40</v>
      </c>
      <c r="Z120" s="1" t="n">
        <v>2</v>
      </c>
      <c r="AA120" s="1" t="str">
        <f aca="false">TRIM(PROPER(F120))</f>
        <v>Kolkata</v>
      </c>
      <c r="AB120" s="1" t="str">
        <f aca="false">TRIM(PROPER(C120))</f>
        <v>Vedantu</v>
      </c>
      <c r="AC120" s="1" t="str">
        <f aca="false">IF(O120=0,"No Discount",IF(O120&lt;=15,"Low (1-15%)",IF(O120&lt;=30,"Medium (16-30%)","High (&gt;30%)")))</f>
        <v>High (&gt;30%)</v>
      </c>
      <c r="AD120" s="1" t="str">
        <f aca="false">IF(V120&lt;0,"Loss Making",IF(V120&lt;20,"Low Margin","Healthy Margin"))</f>
        <v>Healthy Margin</v>
      </c>
      <c r="AE120" s="1" t="str">
        <f aca="false">TEXT(DATE(VALUE(RIGHT(B120,4)),VALUE(MID(B120,4,2)),VALUE(LEFT(B120,2))),"MMM-YYYY")</f>
        <v>Oct-2023</v>
      </c>
      <c r="AF120" s="1" t="n">
        <f aca="false">VALUE(RIGHT(B120,4))</f>
        <v>2023</v>
      </c>
      <c r="AG120" s="1" t="str">
        <f aca="false">CHOOSE(ROUNDUP(VALUE(MID(B120,4,2))/3,0),"Q1","Q2","Q3","Q4")</f>
        <v>Q4</v>
      </c>
    </row>
    <row r="121" customFormat="false" ht="15" hidden="false" customHeight="true" outlineLevel="0" collapsed="false">
      <c r="A121" s="1" t="s">
        <v>375</v>
      </c>
      <c r="B121" s="1" t="s">
        <v>376</v>
      </c>
      <c r="C121" s="1" t="s">
        <v>249</v>
      </c>
      <c r="D121" s="1" t="s">
        <v>94</v>
      </c>
      <c r="E121" s="1" t="s">
        <v>101</v>
      </c>
      <c r="F121" s="1" t="s">
        <v>140</v>
      </c>
      <c r="G121" s="1" t="s">
        <v>97</v>
      </c>
      <c r="H121" s="1" t="s">
        <v>57</v>
      </c>
      <c r="I121" s="1" t="s">
        <v>83</v>
      </c>
      <c r="J121" s="1" t="s">
        <v>77</v>
      </c>
      <c r="K121" s="1" t="s">
        <v>71</v>
      </c>
      <c r="L121" s="1" t="s">
        <v>61</v>
      </c>
      <c r="M121" s="1" t="s">
        <v>62</v>
      </c>
      <c r="N121" s="1" t="n">
        <v>14999</v>
      </c>
      <c r="O121" s="1" t="n">
        <v>50</v>
      </c>
      <c r="P121" s="1" t="n">
        <v>7499.5</v>
      </c>
      <c r="Q121" s="1" t="n">
        <v>7499.5</v>
      </c>
      <c r="R121" s="1" t="n">
        <v>1349.91</v>
      </c>
      <c r="S121" s="1" t="n">
        <v>6149.59</v>
      </c>
      <c r="T121" s="1" t="n">
        <v>3043.5</v>
      </c>
      <c r="U121" s="1" t="n">
        <v>3106.09</v>
      </c>
      <c r="V121" s="1" t="n">
        <v>50.51</v>
      </c>
      <c r="W121" s="1" t="s">
        <v>40</v>
      </c>
      <c r="Y121" s="1" t="s">
        <v>40</v>
      </c>
      <c r="Z121" s="1" t="n">
        <v>1</v>
      </c>
      <c r="AA121" s="1" t="str">
        <f aca="false">TRIM(PROPER(F121))</f>
        <v>Nashik</v>
      </c>
      <c r="AB121" s="1" t="str">
        <f aca="false">TRIM(PROPER(C121))</f>
        <v>Whitehat Jr</v>
      </c>
      <c r="AC121" s="1" t="str">
        <f aca="false">IF(O121=0,"No Discount",IF(O121&lt;=15,"Low (1-15%)",IF(O121&lt;=30,"Medium (16-30%)","High (&gt;30%)")))</f>
        <v>High (&gt;30%)</v>
      </c>
      <c r="AD121" s="1" t="str">
        <f aca="false">IF(V121&lt;0,"Loss Making",IF(V121&lt;20,"Low Margin","Healthy Margin"))</f>
        <v>Healthy Margin</v>
      </c>
      <c r="AE121" s="1" t="str">
        <f aca="false">TEXT(DATE(VALUE(RIGHT(B121,4)),VALUE(MID(B121,4,2)),VALUE(LEFT(B121,2))),"MMM-YYYY")</f>
        <v>Apr-2024</v>
      </c>
      <c r="AF121" s="1" t="n">
        <f aca="false">VALUE(RIGHT(B121,4))</f>
        <v>2024</v>
      </c>
      <c r="AG121" s="1" t="str">
        <f aca="false">CHOOSE(ROUNDUP(VALUE(MID(B121,4,2))/3,0),"Q1","Q2","Q3","Q4")</f>
        <v>Q2</v>
      </c>
    </row>
    <row r="122" customFormat="false" ht="15" hidden="false" customHeight="true" outlineLevel="0" collapsed="false">
      <c r="A122" s="1" t="s">
        <v>377</v>
      </c>
      <c r="B122" s="1" t="s">
        <v>378</v>
      </c>
      <c r="C122" s="1" t="s">
        <v>43</v>
      </c>
      <c r="D122" s="1" t="s">
        <v>123</v>
      </c>
      <c r="E122" s="1" t="s">
        <v>233</v>
      </c>
      <c r="F122" s="1" t="s">
        <v>46</v>
      </c>
      <c r="G122" s="1" t="s">
        <v>47</v>
      </c>
      <c r="H122" s="1" t="s">
        <v>33</v>
      </c>
      <c r="I122" s="1" t="s">
        <v>58</v>
      </c>
      <c r="J122" s="1" t="s">
        <v>59</v>
      </c>
      <c r="K122" s="1" t="s">
        <v>60</v>
      </c>
      <c r="L122" s="1" t="s">
        <v>61</v>
      </c>
      <c r="M122" s="1" t="s">
        <v>38</v>
      </c>
      <c r="N122" s="1" t="n">
        <v>8999</v>
      </c>
      <c r="O122" s="1" t="n">
        <v>10</v>
      </c>
      <c r="P122" s="1" t="n">
        <v>899.9</v>
      </c>
      <c r="Q122" s="1" t="n">
        <v>8099.1</v>
      </c>
      <c r="R122" s="1" t="n">
        <v>1457.84</v>
      </c>
      <c r="S122" s="1" t="n">
        <v>6641.26</v>
      </c>
      <c r="T122" s="1" t="n">
        <v>3396.92</v>
      </c>
      <c r="U122" s="1" t="n">
        <v>3244.34</v>
      </c>
      <c r="V122" s="1" t="n">
        <v>48.85</v>
      </c>
      <c r="W122" s="1" t="s">
        <v>39</v>
      </c>
      <c r="X122" s="1" t="n">
        <v>3.7</v>
      </c>
      <c r="Y122" s="1" t="s">
        <v>40</v>
      </c>
      <c r="Z122" s="1" t="n">
        <v>0</v>
      </c>
      <c r="AA122" s="1" t="str">
        <f aca="false">TRIM(PROPER(F122))</f>
        <v>Mangaluru</v>
      </c>
      <c r="AB122" s="1" t="str">
        <f aca="false">TRIM(PROPER(C122))</f>
        <v>Meritnation</v>
      </c>
      <c r="AC122" s="1" t="str">
        <f aca="false">IF(O122=0,"No Discount",IF(O122&lt;=15,"Low (1-15%)",IF(O122&lt;=30,"Medium (16-30%)","High (&gt;30%)")))</f>
        <v>Low (1-15%)</v>
      </c>
      <c r="AD122" s="1" t="str">
        <f aca="false">IF(V122&lt;0,"Loss Making",IF(V122&lt;20,"Low Margin","Healthy Margin"))</f>
        <v>Healthy Margin</v>
      </c>
      <c r="AE122" s="1" t="str">
        <f aca="false">TEXT(DATE(VALUE(RIGHT(B122,4)),VALUE(MID(B122,4,2)),VALUE(LEFT(B122,2))),"MMM-YYYY")</f>
        <v>Oct-2024</v>
      </c>
      <c r="AF122" s="1" t="n">
        <f aca="false">VALUE(RIGHT(B122,4))</f>
        <v>2024</v>
      </c>
      <c r="AG122" s="1" t="str">
        <f aca="false">CHOOSE(ROUNDUP(VALUE(MID(B122,4,2))/3,0),"Q1","Q2","Q3","Q4")</f>
        <v>Q4</v>
      </c>
    </row>
    <row r="123" customFormat="false" ht="15" hidden="false" customHeight="true" outlineLevel="0" collapsed="false">
      <c r="A123" s="1" t="s">
        <v>379</v>
      </c>
      <c r="B123" s="1" t="s">
        <v>380</v>
      </c>
      <c r="C123" s="1" t="s">
        <v>178</v>
      </c>
      <c r="D123" s="1" t="s">
        <v>94</v>
      </c>
      <c r="E123" s="1" t="s">
        <v>101</v>
      </c>
      <c r="F123" s="1" t="s">
        <v>67</v>
      </c>
      <c r="G123" s="1" t="s">
        <v>68</v>
      </c>
      <c r="H123" s="1" t="s">
        <v>69</v>
      </c>
      <c r="I123" s="1" t="s">
        <v>34</v>
      </c>
      <c r="J123" s="1" t="s">
        <v>70</v>
      </c>
      <c r="K123" s="1" t="s">
        <v>112</v>
      </c>
      <c r="L123" s="1" t="s">
        <v>61</v>
      </c>
      <c r="M123" s="1" t="s">
        <v>62</v>
      </c>
      <c r="N123" s="1" t="n">
        <v>14999</v>
      </c>
      <c r="O123" s="1" t="n">
        <v>5</v>
      </c>
      <c r="P123" s="1" t="n">
        <v>749.95</v>
      </c>
      <c r="Q123" s="1" t="n">
        <v>14249.05</v>
      </c>
      <c r="R123" s="1" t="n">
        <v>2564.83</v>
      </c>
      <c r="S123" s="1" t="n">
        <v>11684.22</v>
      </c>
      <c r="T123" s="1" t="n">
        <v>4813.86</v>
      </c>
      <c r="U123" s="1" t="n">
        <v>6870.36</v>
      </c>
      <c r="V123" s="1" t="n">
        <v>58.8</v>
      </c>
      <c r="W123" s="1" t="s">
        <v>39</v>
      </c>
      <c r="X123" s="1" t="n">
        <v>3.6</v>
      </c>
      <c r="Y123" s="1" t="s">
        <v>40</v>
      </c>
      <c r="Z123" s="1" t="n">
        <v>0</v>
      </c>
      <c r="AA123" s="1" t="str">
        <f aca="false">TRIM(PROPER(F123))</f>
        <v>Ahmedabad</v>
      </c>
      <c r="AB123" s="1" t="str">
        <f aca="false">TRIM(PROPER(C123))</f>
        <v>Leverage Edu</v>
      </c>
      <c r="AC123" s="1" t="str">
        <f aca="false">IF(O123=0,"No Discount",IF(O123&lt;=15,"Low (1-15%)",IF(O123&lt;=30,"Medium (16-30%)","High (&gt;30%)")))</f>
        <v>Low (1-15%)</v>
      </c>
      <c r="AD123" s="1" t="str">
        <f aca="false">IF(V123&lt;0,"Loss Making",IF(V123&lt;20,"Low Margin","Healthy Margin"))</f>
        <v>Healthy Margin</v>
      </c>
      <c r="AE123" s="1" t="str">
        <f aca="false">TEXT(DATE(VALUE(RIGHT(B123,4)),VALUE(MID(B123,4,2)),VALUE(LEFT(B123,2))),"MMM-YYYY")</f>
        <v>Feb-2023</v>
      </c>
      <c r="AF123" s="1" t="n">
        <f aca="false">VALUE(RIGHT(B123,4))</f>
        <v>2023</v>
      </c>
      <c r="AG123" s="1" t="str">
        <f aca="false">CHOOSE(ROUNDUP(VALUE(MID(B123,4,2))/3,0),"Q1","Q2","Q3","Q4")</f>
        <v>Q1</v>
      </c>
    </row>
    <row r="124" customFormat="false" ht="15" hidden="false" customHeight="true" outlineLevel="0" collapsed="false">
      <c r="A124" s="1" t="s">
        <v>381</v>
      </c>
      <c r="B124" s="1" t="s">
        <v>382</v>
      </c>
      <c r="C124" s="1" t="s">
        <v>134</v>
      </c>
      <c r="D124" s="1" t="s">
        <v>53</v>
      </c>
      <c r="E124" s="1" t="s">
        <v>116</v>
      </c>
      <c r="F124" s="1" t="s">
        <v>383</v>
      </c>
      <c r="G124" s="1" t="s">
        <v>56</v>
      </c>
      <c r="H124" s="1" t="s">
        <v>57</v>
      </c>
      <c r="I124" s="1" t="s">
        <v>34</v>
      </c>
      <c r="J124" s="1" t="s">
        <v>77</v>
      </c>
      <c r="K124" s="1" t="s">
        <v>112</v>
      </c>
      <c r="L124" s="1" t="s">
        <v>49</v>
      </c>
      <c r="M124" s="1" t="s">
        <v>62</v>
      </c>
      <c r="N124" s="1" t="n">
        <v>9999</v>
      </c>
      <c r="O124" s="1" t="n">
        <v>25</v>
      </c>
      <c r="P124" s="1" t="n">
        <v>2499.75</v>
      </c>
      <c r="Q124" s="1" t="n">
        <v>7499.25</v>
      </c>
      <c r="R124" s="1" t="n">
        <v>1349.87</v>
      </c>
      <c r="S124" s="1" t="n">
        <v>6149.38</v>
      </c>
      <c r="T124" s="1" t="n">
        <v>2985.22</v>
      </c>
      <c r="U124" s="1" t="n">
        <v>3164.16</v>
      </c>
      <c r="V124" s="1" t="n">
        <v>51.45</v>
      </c>
      <c r="W124" s="1" t="s">
        <v>39</v>
      </c>
      <c r="Y124" s="1" t="s">
        <v>40</v>
      </c>
      <c r="Z124" s="1" t="n">
        <v>0</v>
      </c>
      <c r="AA124" s="1" t="str">
        <f aca="false">TRIM(PROPER(F124))</f>
        <v>Ghaziabad</v>
      </c>
      <c r="AB124" s="1" t="str">
        <f aca="false">TRIM(PROPER(C124))</f>
        <v>Doubtnut</v>
      </c>
      <c r="AC124" s="1" t="str">
        <f aca="false">IF(O124=0,"No Discount",IF(O124&lt;=15,"Low (1-15%)",IF(O124&lt;=30,"Medium (16-30%)","High (&gt;30%)")))</f>
        <v>Medium (16-30%)</v>
      </c>
      <c r="AD124" s="1" t="str">
        <f aca="false">IF(V124&lt;0,"Loss Making",IF(V124&lt;20,"Low Margin","Healthy Margin"))</f>
        <v>Healthy Margin</v>
      </c>
      <c r="AE124" s="1" t="str">
        <f aca="false">TEXT(DATE(VALUE(RIGHT(B124,4)),VALUE(MID(B124,4,2)),VALUE(LEFT(B124,2))),"MMM-YYYY")</f>
        <v>Jan-2024</v>
      </c>
      <c r="AF124" s="1" t="n">
        <f aca="false">VALUE(RIGHT(B124,4))</f>
        <v>2024</v>
      </c>
      <c r="AG124" s="1" t="str">
        <f aca="false">CHOOSE(ROUNDUP(VALUE(MID(B124,4,2))/3,0),"Q1","Q2","Q3","Q4")</f>
        <v>Q1</v>
      </c>
    </row>
    <row r="125" customFormat="false" ht="15" hidden="false" customHeight="true" outlineLevel="0" collapsed="false">
      <c r="A125" s="1" t="s">
        <v>384</v>
      </c>
      <c r="B125" s="1" t="s">
        <v>385</v>
      </c>
      <c r="C125" s="1" t="s">
        <v>134</v>
      </c>
      <c r="D125" s="1" t="s">
        <v>123</v>
      </c>
      <c r="E125" s="1" t="s">
        <v>147</v>
      </c>
      <c r="F125" s="1" t="s">
        <v>75</v>
      </c>
      <c r="G125" s="1" t="s">
        <v>76</v>
      </c>
      <c r="H125" s="1" t="s">
        <v>69</v>
      </c>
      <c r="I125" s="1" t="s">
        <v>83</v>
      </c>
      <c r="J125" s="1" t="s">
        <v>70</v>
      </c>
      <c r="K125" s="1" t="s">
        <v>104</v>
      </c>
      <c r="L125" s="1" t="s">
        <v>49</v>
      </c>
      <c r="M125" s="1" t="s">
        <v>50</v>
      </c>
      <c r="N125" s="1" t="n">
        <v>6999</v>
      </c>
      <c r="O125" s="1" t="n">
        <v>0</v>
      </c>
      <c r="P125" s="1" t="n">
        <v>0</v>
      </c>
      <c r="Q125" s="1" t="n">
        <v>6999</v>
      </c>
      <c r="R125" s="1" t="n">
        <v>1259.82</v>
      </c>
      <c r="S125" s="1" t="n">
        <v>5739.18</v>
      </c>
      <c r="T125" s="1" t="n">
        <v>2521.34</v>
      </c>
      <c r="U125" s="1" t="n">
        <v>3217.84</v>
      </c>
      <c r="V125" s="1" t="n">
        <v>56.07</v>
      </c>
      <c r="W125" s="1" t="s">
        <v>39</v>
      </c>
      <c r="X125" s="1" t="n">
        <v>2.3</v>
      </c>
      <c r="Y125" s="1" t="s">
        <v>40</v>
      </c>
      <c r="Z125" s="1" t="n">
        <v>0</v>
      </c>
      <c r="AA125" s="1" t="str">
        <f aca="false">TRIM(PROPER(F125))</f>
        <v>Kolkata</v>
      </c>
      <c r="AB125" s="1" t="str">
        <f aca="false">TRIM(PROPER(C125))</f>
        <v>Doubtnut</v>
      </c>
      <c r="AC125" s="1" t="str">
        <f aca="false">IF(O125=0,"No Discount",IF(O125&lt;=15,"Low (1-15%)",IF(O125&lt;=30,"Medium (16-30%)","High (&gt;30%)")))</f>
        <v>No Discount</v>
      </c>
      <c r="AD125" s="1" t="str">
        <f aca="false">IF(V125&lt;0,"Loss Making",IF(V125&lt;20,"Low Margin","Healthy Margin"))</f>
        <v>Healthy Margin</v>
      </c>
      <c r="AE125" s="1" t="str">
        <f aca="false">TEXT(DATE(VALUE(RIGHT(B125,4)),VALUE(MID(B125,4,2)),VALUE(LEFT(B125,2))),"MMM-YYYY")</f>
        <v>Jul-2023</v>
      </c>
      <c r="AF125" s="1" t="n">
        <f aca="false">VALUE(RIGHT(B125,4))</f>
        <v>2023</v>
      </c>
      <c r="AG125" s="1" t="str">
        <f aca="false">CHOOSE(ROUNDUP(VALUE(MID(B125,4,2))/3,0),"Q1","Q2","Q3","Q4")</f>
        <v>Q3</v>
      </c>
    </row>
    <row r="126" customFormat="false" ht="15" hidden="false" customHeight="true" outlineLevel="0" collapsed="false">
      <c r="A126" s="1" t="s">
        <v>386</v>
      </c>
      <c r="B126" s="1" t="s">
        <v>387</v>
      </c>
      <c r="C126" s="1" t="s">
        <v>93</v>
      </c>
      <c r="D126" s="1" t="s">
        <v>94</v>
      </c>
      <c r="E126" s="1" t="s">
        <v>101</v>
      </c>
      <c r="F126" s="1" t="s">
        <v>89</v>
      </c>
      <c r="G126" s="1" t="s">
        <v>68</v>
      </c>
      <c r="H126" s="1" t="s">
        <v>33</v>
      </c>
      <c r="I126" s="1" t="s">
        <v>34</v>
      </c>
      <c r="J126" s="1" t="s">
        <v>70</v>
      </c>
      <c r="K126" s="1" t="s">
        <v>90</v>
      </c>
      <c r="L126" s="1" t="s">
        <v>49</v>
      </c>
      <c r="M126" s="1" t="s">
        <v>50</v>
      </c>
      <c r="N126" s="1" t="n">
        <v>14999</v>
      </c>
      <c r="O126" s="1" t="n">
        <v>5</v>
      </c>
      <c r="P126" s="1" t="n">
        <v>749.95</v>
      </c>
      <c r="Q126" s="1" t="n">
        <v>14249.05</v>
      </c>
      <c r="R126" s="1" t="n">
        <v>2564.83</v>
      </c>
      <c r="S126" s="1" t="n">
        <v>11684.22</v>
      </c>
      <c r="T126" s="1" t="n">
        <v>5178.89</v>
      </c>
      <c r="U126" s="1" t="n">
        <v>6505.33</v>
      </c>
      <c r="V126" s="1" t="n">
        <v>55.68</v>
      </c>
      <c r="W126" s="1" t="s">
        <v>39</v>
      </c>
      <c r="X126" s="1" t="n">
        <v>4</v>
      </c>
      <c r="Y126" s="1" t="s">
        <v>40</v>
      </c>
      <c r="Z126" s="1" t="n">
        <v>2</v>
      </c>
      <c r="AA126" s="1" t="str">
        <f aca="false">TRIM(PROPER(F126))</f>
        <v>Vadodara</v>
      </c>
      <c r="AB126" s="1" t="str">
        <f aca="false">TRIM(PROPER(C126))</f>
        <v>Upgrad</v>
      </c>
      <c r="AC126" s="1" t="str">
        <f aca="false">IF(O126=0,"No Discount",IF(O126&lt;=15,"Low (1-15%)",IF(O126&lt;=30,"Medium (16-30%)","High (&gt;30%)")))</f>
        <v>Low (1-15%)</v>
      </c>
      <c r="AD126" s="1" t="str">
        <f aca="false">IF(V126&lt;0,"Loss Making",IF(V126&lt;20,"Low Margin","Healthy Margin"))</f>
        <v>Healthy Margin</v>
      </c>
      <c r="AE126" s="1" t="str">
        <f aca="false">TEXT(DATE(VALUE(RIGHT(B126,4)),VALUE(MID(B126,4,2)),VALUE(LEFT(B126,2))),"MMM-YYYY")</f>
        <v>Dec-2023</v>
      </c>
      <c r="AF126" s="1" t="n">
        <f aca="false">VALUE(RIGHT(B126,4))</f>
        <v>2023</v>
      </c>
      <c r="AG126" s="1" t="str">
        <f aca="false">CHOOSE(ROUNDUP(VALUE(MID(B126,4,2))/3,0),"Q1","Q2","Q3","Q4")</f>
        <v>Q4</v>
      </c>
    </row>
    <row r="127" customFormat="false" ht="15" hidden="false" customHeight="true" outlineLevel="0" collapsed="false">
      <c r="A127" s="1" t="s">
        <v>388</v>
      </c>
      <c r="B127" s="1" t="s">
        <v>389</v>
      </c>
      <c r="C127" s="1" t="s">
        <v>134</v>
      </c>
      <c r="D127" s="1" t="s">
        <v>44</v>
      </c>
      <c r="E127" s="1" t="s">
        <v>45</v>
      </c>
      <c r="F127" s="1" t="s">
        <v>82</v>
      </c>
      <c r="G127" s="1" t="s">
        <v>56</v>
      </c>
      <c r="H127" s="1" t="s">
        <v>69</v>
      </c>
      <c r="I127" s="1" t="s">
        <v>34</v>
      </c>
      <c r="J127" s="1" t="s">
        <v>35</v>
      </c>
      <c r="K127" s="1" t="s">
        <v>60</v>
      </c>
      <c r="L127" s="1" t="s">
        <v>85</v>
      </c>
      <c r="M127" s="1" t="s">
        <v>38</v>
      </c>
      <c r="N127" s="1" t="n">
        <v>11999</v>
      </c>
      <c r="O127" s="1" t="n">
        <v>25</v>
      </c>
      <c r="P127" s="1" t="n">
        <v>2999.75</v>
      </c>
      <c r="Q127" s="1" t="n">
        <v>8999.25</v>
      </c>
      <c r="R127" s="1" t="n">
        <v>1619.87</v>
      </c>
      <c r="S127" s="1" t="n">
        <v>7379.38</v>
      </c>
      <c r="T127" s="1" t="n">
        <v>3181.81</v>
      </c>
      <c r="U127" s="1" t="n">
        <v>4197.57</v>
      </c>
      <c r="V127" s="1" t="n">
        <v>56.88</v>
      </c>
      <c r="W127" s="1" t="s">
        <v>39</v>
      </c>
      <c r="X127" s="1" t="n">
        <v>3.1</v>
      </c>
      <c r="Y127" s="1" t="s">
        <v>40</v>
      </c>
      <c r="Z127" s="1" t="n">
        <v>1</v>
      </c>
      <c r="AA127" s="1" t="str">
        <f aca="false">TRIM(PROPER(F127))</f>
        <v>Gurugram</v>
      </c>
      <c r="AB127" s="1" t="str">
        <f aca="false">TRIM(PROPER(C127))</f>
        <v>Doubtnut</v>
      </c>
      <c r="AC127" s="1" t="str">
        <f aca="false">IF(O127=0,"No Discount",IF(O127&lt;=15,"Low (1-15%)",IF(O127&lt;=30,"Medium (16-30%)","High (&gt;30%)")))</f>
        <v>Medium (16-30%)</v>
      </c>
      <c r="AD127" s="1" t="str">
        <f aca="false">IF(V127&lt;0,"Loss Making",IF(V127&lt;20,"Low Margin","Healthy Margin"))</f>
        <v>Healthy Margin</v>
      </c>
      <c r="AE127" s="1" t="str">
        <f aca="false">TEXT(DATE(VALUE(RIGHT(B127,4)),VALUE(MID(B127,4,2)),VALUE(LEFT(B127,2))),"MMM-YYYY")</f>
        <v>Feb-2023</v>
      </c>
      <c r="AF127" s="1" t="n">
        <f aca="false">VALUE(RIGHT(B127,4))</f>
        <v>2023</v>
      </c>
      <c r="AG127" s="1" t="str">
        <f aca="false">CHOOSE(ROUNDUP(VALUE(MID(B127,4,2))/3,0),"Q1","Q2","Q3","Q4")</f>
        <v>Q1</v>
      </c>
    </row>
    <row r="128" customFormat="false" ht="15" hidden="false" customHeight="true" outlineLevel="0" collapsed="false">
      <c r="A128" s="1" t="s">
        <v>390</v>
      </c>
      <c r="B128" s="1" t="s">
        <v>391</v>
      </c>
      <c r="C128" s="1" t="s">
        <v>93</v>
      </c>
      <c r="D128" s="1" t="s">
        <v>53</v>
      </c>
      <c r="E128" s="1" t="s">
        <v>116</v>
      </c>
      <c r="F128" s="1" t="s">
        <v>150</v>
      </c>
      <c r="G128" s="1" t="s">
        <v>32</v>
      </c>
      <c r="H128" s="1" t="s">
        <v>57</v>
      </c>
      <c r="I128" s="1" t="s">
        <v>83</v>
      </c>
      <c r="J128" s="1" t="s">
        <v>70</v>
      </c>
      <c r="K128" s="1" t="s">
        <v>90</v>
      </c>
      <c r="L128" s="1" t="s">
        <v>85</v>
      </c>
      <c r="M128" s="1" t="s">
        <v>38</v>
      </c>
      <c r="N128" s="1" t="n">
        <v>9999</v>
      </c>
      <c r="O128" s="1" t="n">
        <v>30</v>
      </c>
      <c r="P128" s="1" t="n">
        <v>2999.7</v>
      </c>
      <c r="Q128" s="1" t="n">
        <v>6999.3</v>
      </c>
      <c r="R128" s="1" t="n">
        <v>1259.87</v>
      </c>
      <c r="S128" s="1" t="n">
        <v>5739.43</v>
      </c>
      <c r="T128" s="1" t="n">
        <v>2601.25</v>
      </c>
      <c r="U128" s="1" t="n">
        <v>3138.18</v>
      </c>
      <c r="V128" s="1" t="n">
        <v>54.68</v>
      </c>
      <c r="W128" s="1" t="s">
        <v>39</v>
      </c>
      <c r="X128" s="1" t="n">
        <v>3</v>
      </c>
      <c r="Y128" s="1" t="s">
        <v>40</v>
      </c>
      <c r="Z128" s="1" t="n">
        <v>0</v>
      </c>
      <c r="AA128" s="1" t="str">
        <f aca="false">TRIM(PROPER(F128))</f>
        <v>Jaipur</v>
      </c>
      <c r="AB128" s="1" t="str">
        <f aca="false">TRIM(PROPER(C128))</f>
        <v>Upgrad</v>
      </c>
      <c r="AC128" s="1" t="str">
        <f aca="false">IF(O128=0,"No Discount",IF(O128&lt;=15,"Low (1-15%)",IF(O128&lt;=30,"Medium (16-30%)","High (&gt;30%)")))</f>
        <v>Medium (16-30%)</v>
      </c>
      <c r="AD128" s="1" t="str">
        <f aca="false">IF(V128&lt;0,"Loss Making",IF(V128&lt;20,"Low Margin","Healthy Margin"))</f>
        <v>Healthy Margin</v>
      </c>
      <c r="AE128" s="1" t="str">
        <f aca="false">TEXT(DATE(VALUE(RIGHT(B128,4)),VALUE(MID(B128,4,2)),VALUE(LEFT(B128,2))),"MMM-YYYY")</f>
        <v>Aug-2023</v>
      </c>
      <c r="AF128" s="1" t="n">
        <f aca="false">VALUE(RIGHT(B128,4))</f>
        <v>2023</v>
      </c>
      <c r="AG128" s="1" t="str">
        <f aca="false">CHOOSE(ROUNDUP(VALUE(MID(B128,4,2))/3,0),"Q1","Q2","Q3","Q4")</f>
        <v>Q3</v>
      </c>
    </row>
    <row r="129" customFormat="false" ht="15" hidden="false" customHeight="true" outlineLevel="0" collapsed="false">
      <c r="A129" s="1" t="s">
        <v>392</v>
      </c>
      <c r="B129" s="1" t="s">
        <v>393</v>
      </c>
      <c r="C129" s="1" t="s">
        <v>119</v>
      </c>
      <c r="D129" s="1" t="s">
        <v>143</v>
      </c>
      <c r="E129" s="1" t="s">
        <v>210</v>
      </c>
      <c r="F129" s="1" t="s">
        <v>75</v>
      </c>
      <c r="G129" s="1" t="s">
        <v>76</v>
      </c>
      <c r="H129" s="1" t="s">
        <v>69</v>
      </c>
      <c r="I129" s="1" t="s">
        <v>58</v>
      </c>
      <c r="J129" s="1" t="s">
        <v>70</v>
      </c>
      <c r="K129" s="1" t="s">
        <v>90</v>
      </c>
      <c r="L129" s="1" t="s">
        <v>37</v>
      </c>
      <c r="M129" s="1" t="s">
        <v>62</v>
      </c>
      <c r="N129" s="1" t="n">
        <v>18999</v>
      </c>
      <c r="O129" s="1" t="n">
        <v>0</v>
      </c>
      <c r="P129" s="1" t="n">
        <v>0</v>
      </c>
      <c r="Q129" s="1" t="n">
        <v>18999</v>
      </c>
      <c r="R129" s="1" t="n">
        <v>3419.82</v>
      </c>
      <c r="S129" s="1" t="n">
        <v>15579.18</v>
      </c>
      <c r="T129" s="1" t="n">
        <v>6356.51</v>
      </c>
      <c r="U129" s="1" t="n">
        <v>9222.67</v>
      </c>
      <c r="V129" s="1" t="n">
        <v>59.2</v>
      </c>
      <c r="W129" s="1" t="s">
        <v>40</v>
      </c>
      <c r="Y129" s="1" t="s">
        <v>40</v>
      </c>
      <c r="Z129" s="1" t="n">
        <v>2</v>
      </c>
      <c r="AA129" s="1" t="str">
        <f aca="false">TRIM(PROPER(F129))</f>
        <v>Kolkata</v>
      </c>
      <c r="AB129" s="1" t="str">
        <f aca="false">TRIM(PROPER(C129))</f>
        <v>Simplilearn</v>
      </c>
      <c r="AC129" s="1" t="str">
        <f aca="false">IF(O129=0,"No Discount",IF(O129&lt;=15,"Low (1-15%)",IF(O129&lt;=30,"Medium (16-30%)","High (&gt;30%)")))</f>
        <v>No Discount</v>
      </c>
      <c r="AD129" s="1" t="str">
        <f aca="false">IF(V129&lt;0,"Loss Making",IF(V129&lt;20,"Low Margin","Healthy Margin"))</f>
        <v>Healthy Margin</v>
      </c>
      <c r="AE129" s="1" t="str">
        <f aca="false">TEXT(DATE(VALUE(RIGHT(B129,4)),VALUE(MID(B129,4,2)),VALUE(LEFT(B129,2))),"MMM-YYYY")</f>
        <v>Dec-2023</v>
      </c>
      <c r="AF129" s="1" t="n">
        <f aca="false">VALUE(RIGHT(B129,4))</f>
        <v>2023</v>
      </c>
      <c r="AG129" s="1" t="str">
        <f aca="false">CHOOSE(ROUNDUP(VALUE(MID(B129,4,2))/3,0),"Q1","Q2","Q3","Q4")</f>
        <v>Q4</v>
      </c>
    </row>
    <row r="130" customFormat="false" ht="15" hidden="false" customHeight="true" outlineLevel="0" collapsed="false">
      <c r="A130" s="1" t="s">
        <v>394</v>
      </c>
      <c r="B130" s="1" t="s">
        <v>395</v>
      </c>
      <c r="C130" s="1" t="s">
        <v>100</v>
      </c>
      <c r="D130" s="1" t="s">
        <v>143</v>
      </c>
      <c r="E130" s="1" t="s">
        <v>162</v>
      </c>
      <c r="F130" s="1" t="s">
        <v>156</v>
      </c>
      <c r="G130" s="1" t="s">
        <v>68</v>
      </c>
      <c r="H130" s="1" t="s">
        <v>57</v>
      </c>
      <c r="I130" s="1" t="s">
        <v>58</v>
      </c>
      <c r="J130" s="1" t="s">
        <v>59</v>
      </c>
      <c r="K130" s="1" t="s">
        <v>112</v>
      </c>
      <c r="L130" s="1" t="s">
        <v>113</v>
      </c>
      <c r="M130" s="1" t="s">
        <v>62</v>
      </c>
      <c r="N130" s="1" t="n">
        <v>14999</v>
      </c>
      <c r="O130" s="1" t="n">
        <v>10</v>
      </c>
      <c r="P130" s="1" t="n">
        <v>1499.9</v>
      </c>
      <c r="Q130" s="1" t="n">
        <v>13499.1</v>
      </c>
      <c r="R130" s="1" t="n">
        <v>2429.84</v>
      </c>
      <c r="S130" s="1" t="n">
        <v>11069.26</v>
      </c>
      <c r="T130" s="1" t="n">
        <v>5157.12</v>
      </c>
      <c r="U130" s="1" t="n">
        <v>5912.14</v>
      </c>
      <c r="V130" s="1" t="n">
        <v>53.41</v>
      </c>
      <c r="W130" s="1" t="s">
        <v>39</v>
      </c>
      <c r="X130" s="1" t="n">
        <v>3.9</v>
      </c>
      <c r="Y130" s="1" t="s">
        <v>40</v>
      </c>
      <c r="Z130" s="1" t="n">
        <v>0</v>
      </c>
      <c r="AA130" s="1" t="str">
        <f aca="false">TRIM(PROPER(F130))</f>
        <v>Surat</v>
      </c>
      <c r="AB130" s="1" t="str">
        <f aca="false">TRIM(PROPER(C130))</f>
        <v>Physics Wallah</v>
      </c>
      <c r="AC130" s="1" t="str">
        <f aca="false">IF(O130=0,"No Discount",IF(O130&lt;=15,"Low (1-15%)",IF(O130&lt;=30,"Medium (16-30%)","High (&gt;30%)")))</f>
        <v>Low (1-15%)</v>
      </c>
      <c r="AD130" s="1" t="str">
        <f aca="false">IF(V130&lt;0,"Loss Making",IF(V130&lt;20,"Low Margin","Healthy Margin"))</f>
        <v>Healthy Margin</v>
      </c>
      <c r="AE130" s="1" t="str">
        <f aca="false">TEXT(DATE(VALUE(RIGHT(B130,4)),VALUE(MID(B130,4,2)),VALUE(LEFT(B130,2))),"MMM-YYYY")</f>
        <v>Sep-2024</v>
      </c>
      <c r="AF130" s="1" t="n">
        <f aca="false">VALUE(RIGHT(B130,4))</f>
        <v>2024</v>
      </c>
      <c r="AG130" s="1" t="str">
        <f aca="false">CHOOSE(ROUNDUP(VALUE(MID(B130,4,2))/3,0),"Q1","Q2","Q3","Q4")</f>
        <v>Q3</v>
      </c>
    </row>
    <row r="131" customFormat="false" ht="15" hidden="false" customHeight="true" outlineLevel="0" collapsed="false">
      <c r="A131" s="1" t="s">
        <v>396</v>
      </c>
      <c r="B131" s="1" t="s">
        <v>397</v>
      </c>
      <c r="C131" s="1" t="s">
        <v>119</v>
      </c>
      <c r="D131" s="1" t="s">
        <v>80</v>
      </c>
      <c r="E131" s="1" t="s">
        <v>190</v>
      </c>
      <c r="F131" s="1" t="s">
        <v>194</v>
      </c>
      <c r="G131" s="1" t="s">
        <v>103</v>
      </c>
      <c r="H131" s="1" t="s">
        <v>69</v>
      </c>
      <c r="I131" s="1" t="s">
        <v>58</v>
      </c>
      <c r="J131" s="1" t="s">
        <v>77</v>
      </c>
      <c r="K131" s="1" t="s">
        <v>84</v>
      </c>
      <c r="L131" s="1" t="s">
        <v>61</v>
      </c>
      <c r="M131" s="1" t="s">
        <v>62</v>
      </c>
      <c r="N131" s="1" t="n">
        <v>15999</v>
      </c>
      <c r="O131" s="1" t="n">
        <v>10</v>
      </c>
      <c r="P131" s="1" t="n">
        <v>1599.9</v>
      </c>
      <c r="Q131" s="1" t="n">
        <v>14399.1</v>
      </c>
      <c r="R131" s="1" t="n">
        <v>2591.84</v>
      </c>
      <c r="S131" s="1" t="n">
        <v>11807.26</v>
      </c>
      <c r="T131" s="1" t="n">
        <v>6194.68</v>
      </c>
      <c r="U131" s="1" t="n">
        <v>5612.58</v>
      </c>
      <c r="V131" s="1" t="n">
        <v>47.53</v>
      </c>
      <c r="W131" s="1" t="s">
        <v>39</v>
      </c>
      <c r="X131" s="1" t="n">
        <v>4</v>
      </c>
      <c r="Y131" s="1" t="s">
        <v>40</v>
      </c>
      <c r="Z131" s="1" t="n">
        <v>0</v>
      </c>
      <c r="AA131" s="1" t="str">
        <f aca="false">TRIM(PROPER(F131))</f>
        <v>Hyderabad</v>
      </c>
      <c r="AB131" s="1" t="str">
        <f aca="false">TRIM(PROPER(C131))</f>
        <v>Simplilearn</v>
      </c>
      <c r="AC131" s="1" t="str">
        <f aca="false">IF(O131=0,"No Discount",IF(O131&lt;=15,"Low (1-15%)",IF(O131&lt;=30,"Medium (16-30%)","High (&gt;30%)")))</f>
        <v>Low (1-15%)</v>
      </c>
      <c r="AD131" s="1" t="str">
        <f aca="false">IF(V131&lt;0,"Loss Making",IF(V131&lt;20,"Low Margin","Healthy Margin"))</f>
        <v>Healthy Margin</v>
      </c>
      <c r="AE131" s="1" t="str">
        <f aca="false">TEXT(DATE(VALUE(RIGHT(B131,4)),VALUE(MID(B131,4,2)),VALUE(LEFT(B131,2))),"MMM-YYYY")</f>
        <v>Mar-2023</v>
      </c>
      <c r="AF131" s="1" t="n">
        <f aca="false">VALUE(RIGHT(B131,4))</f>
        <v>2023</v>
      </c>
      <c r="AG131" s="1" t="str">
        <f aca="false">CHOOSE(ROUNDUP(VALUE(MID(B131,4,2))/3,0),"Q1","Q2","Q3","Q4")</f>
        <v>Q1</v>
      </c>
    </row>
    <row r="132" customFormat="false" ht="15" hidden="false" customHeight="true" outlineLevel="0" collapsed="false">
      <c r="A132" s="1" t="s">
        <v>398</v>
      </c>
      <c r="B132" s="1" t="s">
        <v>399</v>
      </c>
      <c r="C132" s="1" t="s">
        <v>128</v>
      </c>
      <c r="D132" s="1" t="s">
        <v>168</v>
      </c>
      <c r="E132" s="1" t="s">
        <v>328</v>
      </c>
      <c r="F132" s="1" t="s">
        <v>82</v>
      </c>
      <c r="G132" s="1" t="s">
        <v>56</v>
      </c>
      <c r="H132" s="1" t="s">
        <v>69</v>
      </c>
      <c r="I132" s="1" t="s">
        <v>58</v>
      </c>
      <c r="J132" s="1" t="s">
        <v>59</v>
      </c>
      <c r="K132" s="1" t="s">
        <v>36</v>
      </c>
      <c r="L132" s="1" t="s">
        <v>61</v>
      </c>
      <c r="M132" s="1" t="s">
        <v>50</v>
      </c>
      <c r="N132" s="1" t="n">
        <v>8999</v>
      </c>
      <c r="O132" s="1" t="n">
        <v>50</v>
      </c>
      <c r="P132" s="1" t="n">
        <v>4499.5</v>
      </c>
      <c r="Q132" s="1" t="n">
        <v>4499.5</v>
      </c>
      <c r="R132" s="1" t="n">
        <v>809.91</v>
      </c>
      <c r="S132" s="1" t="n">
        <v>3689.59</v>
      </c>
      <c r="T132" s="1" t="n">
        <v>1938.93</v>
      </c>
      <c r="U132" s="1" t="n">
        <v>1750.66</v>
      </c>
      <c r="V132" s="1" t="n">
        <v>47.45</v>
      </c>
      <c r="W132" s="1" t="s">
        <v>39</v>
      </c>
      <c r="X132" s="1" t="n">
        <v>2.5</v>
      </c>
      <c r="Y132" s="1" t="s">
        <v>40</v>
      </c>
      <c r="Z132" s="1" t="n">
        <v>0</v>
      </c>
      <c r="AA132" s="1" t="str">
        <f aca="false">TRIM(PROPER(F132))</f>
        <v>Gurugram</v>
      </c>
      <c r="AB132" s="1" t="str">
        <f aca="false">TRIM(PROPER(C132))</f>
        <v>Great Learning</v>
      </c>
      <c r="AC132" s="1" t="str">
        <f aca="false">IF(O132=0,"No Discount",IF(O132&lt;=15,"Low (1-15%)",IF(O132&lt;=30,"Medium (16-30%)","High (&gt;30%)")))</f>
        <v>High (&gt;30%)</v>
      </c>
      <c r="AD132" s="1" t="str">
        <f aca="false">IF(V132&lt;0,"Loss Making",IF(V132&lt;20,"Low Margin","Healthy Margin"))</f>
        <v>Healthy Margin</v>
      </c>
      <c r="AE132" s="1" t="str">
        <f aca="false">TEXT(DATE(VALUE(RIGHT(B132,4)),VALUE(MID(B132,4,2)),VALUE(LEFT(B132,2))),"MMM-YYYY")</f>
        <v>Aug-2024</v>
      </c>
      <c r="AF132" s="1" t="n">
        <f aca="false">VALUE(RIGHT(B132,4))</f>
        <v>2024</v>
      </c>
      <c r="AG132" s="1" t="str">
        <f aca="false">CHOOSE(ROUNDUP(VALUE(MID(B132,4,2))/3,0),"Q1","Q2","Q3","Q4")</f>
        <v>Q3</v>
      </c>
    </row>
    <row r="133" customFormat="false" ht="15" hidden="false" customHeight="true" outlineLevel="0" collapsed="false">
      <c r="A133" s="1" t="s">
        <v>400</v>
      </c>
      <c r="B133" s="1" t="s">
        <v>401</v>
      </c>
      <c r="C133" s="1" t="s">
        <v>249</v>
      </c>
      <c r="D133" s="1" t="s">
        <v>44</v>
      </c>
      <c r="E133" s="1" t="s">
        <v>66</v>
      </c>
      <c r="F133" s="1" t="s">
        <v>205</v>
      </c>
      <c r="G133" s="1" t="s">
        <v>56</v>
      </c>
      <c r="H133" s="1" t="s">
        <v>69</v>
      </c>
      <c r="I133" s="1" t="s">
        <v>83</v>
      </c>
      <c r="J133" s="1" t="s">
        <v>70</v>
      </c>
      <c r="K133" s="1" t="s">
        <v>112</v>
      </c>
      <c r="L133" s="1" t="s">
        <v>85</v>
      </c>
      <c r="M133" s="1" t="s">
        <v>38</v>
      </c>
      <c r="N133" s="1" t="n">
        <v>12999</v>
      </c>
      <c r="O133" s="1" t="n">
        <v>5</v>
      </c>
      <c r="P133" s="1" t="n">
        <v>649.95</v>
      </c>
      <c r="Q133" s="1" t="n">
        <v>12349.05</v>
      </c>
      <c r="R133" s="1" t="n">
        <v>2222.83</v>
      </c>
      <c r="S133" s="1" t="n">
        <v>10126.22</v>
      </c>
      <c r="T133" s="1" t="n">
        <v>5113.44</v>
      </c>
      <c r="U133" s="1" t="n">
        <v>5012.78</v>
      </c>
      <c r="V133" s="1" t="n">
        <v>49.5</v>
      </c>
      <c r="W133" s="1" t="s">
        <v>39</v>
      </c>
      <c r="X133" s="1" t="n">
        <v>3.5</v>
      </c>
      <c r="Y133" s="1" t="s">
        <v>40</v>
      </c>
      <c r="Z133" s="1" t="n">
        <v>0</v>
      </c>
      <c r="AA133" s="1" t="str">
        <f aca="false">TRIM(PROPER(F133))</f>
        <v>New Delhi</v>
      </c>
      <c r="AB133" s="1" t="str">
        <f aca="false">TRIM(PROPER(C133))</f>
        <v>Whitehat Jr</v>
      </c>
      <c r="AC133" s="1" t="str">
        <f aca="false">IF(O133=0,"No Discount",IF(O133&lt;=15,"Low (1-15%)",IF(O133&lt;=30,"Medium (16-30%)","High (&gt;30%)")))</f>
        <v>Low (1-15%)</v>
      </c>
      <c r="AD133" s="1" t="str">
        <f aca="false">IF(V133&lt;0,"Loss Making",IF(V133&lt;20,"Low Margin","Healthy Margin"))</f>
        <v>Healthy Margin</v>
      </c>
      <c r="AE133" s="1" t="str">
        <f aca="false">TEXT(DATE(VALUE(RIGHT(B133,4)),VALUE(MID(B133,4,2)),VALUE(LEFT(B133,2))),"MMM-YYYY")</f>
        <v>May-2024</v>
      </c>
      <c r="AF133" s="1" t="n">
        <f aca="false">VALUE(RIGHT(B133,4))</f>
        <v>2024</v>
      </c>
      <c r="AG133" s="1" t="str">
        <f aca="false">CHOOSE(ROUNDUP(VALUE(MID(B133,4,2))/3,0),"Q1","Q2","Q3","Q4")</f>
        <v>Q2</v>
      </c>
    </row>
    <row r="134" customFormat="false" ht="15" hidden="false" customHeight="true" outlineLevel="0" collapsed="false">
      <c r="A134" s="1" t="s">
        <v>402</v>
      </c>
      <c r="B134" s="1" t="s">
        <v>391</v>
      </c>
      <c r="C134" s="1" t="s">
        <v>264</v>
      </c>
      <c r="D134" s="1" t="s">
        <v>123</v>
      </c>
      <c r="E134" s="1" t="s">
        <v>233</v>
      </c>
      <c r="F134" s="1" t="s">
        <v>194</v>
      </c>
      <c r="G134" s="1" t="s">
        <v>103</v>
      </c>
      <c r="H134" s="1" t="s">
        <v>69</v>
      </c>
      <c r="I134" s="1" t="s">
        <v>83</v>
      </c>
      <c r="J134" s="1" t="s">
        <v>35</v>
      </c>
      <c r="K134" s="1" t="s">
        <v>84</v>
      </c>
      <c r="L134" s="1" t="s">
        <v>113</v>
      </c>
      <c r="M134" s="1" t="s">
        <v>62</v>
      </c>
      <c r="N134" s="1" t="n">
        <v>8999</v>
      </c>
      <c r="O134" s="1" t="n">
        <v>5</v>
      </c>
      <c r="P134" s="1" t="n">
        <v>449.95</v>
      </c>
      <c r="Q134" s="1" t="n">
        <v>8549.05</v>
      </c>
      <c r="R134" s="1" t="n">
        <v>1538.83</v>
      </c>
      <c r="S134" s="1" t="n">
        <v>7010.22</v>
      </c>
      <c r="T134" s="1" t="n">
        <v>2683.79</v>
      </c>
      <c r="U134" s="1" t="n">
        <v>4326.43</v>
      </c>
      <c r="V134" s="1" t="n">
        <v>61.72</v>
      </c>
      <c r="W134" s="1" t="s">
        <v>39</v>
      </c>
      <c r="X134" s="1" t="n">
        <v>3.7</v>
      </c>
      <c r="Y134" s="1" t="s">
        <v>40</v>
      </c>
      <c r="Z134" s="1" t="n">
        <v>1</v>
      </c>
      <c r="AA134" s="1" t="str">
        <f aca="false">TRIM(PROPER(F134))</f>
        <v>Hyderabad</v>
      </c>
      <c r="AB134" s="1" t="str">
        <f aca="false">TRIM(PROPER(C134))</f>
        <v>Unacademy</v>
      </c>
      <c r="AC134" s="1" t="str">
        <f aca="false">IF(O134=0,"No Discount",IF(O134&lt;=15,"Low (1-15%)",IF(O134&lt;=30,"Medium (16-30%)","High (&gt;30%)")))</f>
        <v>Low (1-15%)</v>
      </c>
      <c r="AD134" s="1" t="str">
        <f aca="false">IF(V134&lt;0,"Loss Making",IF(V134&lt;20,"Low Margin","Healthy Margin"))</f>
        <v>Healthy Margin</v>
      </c>
      <c r="AE134" s="1" t="str">
        <f aca="false">TEXT(DATE(VALUE(RIGHT(B134,4)),VALUE(MID(B134,4,2)),VALUE(LEFT(B134,2))),"MMM-YYYY")</f>
        <v>Aug-2023</v>
      </c>
      <c r="AF134" s="1" t="n">
        <f aca="false">VALUE(RIGHT(B134,4))</f>
        <v>2023</v>
      </c>
      <c r="AG134" s="1" t="str">
        <f aca="false">CHOOSE(ROUNDUP(VALUE(MID(B134,4,2))/3,0),"Q1","Q2","Q3","Q4")</f>
        <v>Q3</v>
      </c>
    </row>
    <row r="135" customFormat="false" ht="15" hidden="false" customHeight="true" outlineLevel="0" collapsed="false">
      <c r="A135" s="1" t="s">
        <v>403</v>
      </c>
      <c r="B135" s="1" t="s">
        <v>404</v>
      </c>
      <c r="C135" s="1" t="s">
        <v>139</v>
      </c>
      <c r="D135" s="1" t="s">
        <v>29</v>
      </c>
      <c r="E135" s="1" t="s">
        <v>129</v>
      </c>
      <c r="F135" s="1" t="s">
        <v>31</v>
      </c>
      <c r="G135" s="1" t="s">
        <v>32</v>
      </c>
      <c r="H135" s="1" t="s">
        <v>33</v>
      </c>
      <c r="I135" s="1" t="s">
        <v>34</v>
      </c>
      <c r="J135" s="1" t="s">
        <v>35</v>
      </c>
      <c r="K135" s="1" t="s">
        <v>36</v>
      </c>
      <c r="L135" s="1" t="s">
        <v>37</v>
      </c>
      <c r="M135" s="1" t="s">
        <v>62</v>
      </c>
      <c r="N135" s="1" t="n">
        <v>29999</v>
      </c>
      <c r="O135" s="1" t="n">
        <v>25</v>
      </c>
      <c r="P135" s="1" t="n">
        <v>7499.75</v>
      </c>
      <c r="Q135" s="1" t="n">
        <v>22499.25</v>
      </c>
      <c r="R135" s="1" t="n">
        <v>4049.86</v>
      </c>
      <c r="S135" s="1" t="n">
        <v>18449.39</v>
      </c>
      <c r="T135" s="1" t="n">
        <v>7361.06</v>
      </c>
      <c r="U135" s="1" t="n">
        <v>11088.33</v>
      </c>
      <c r="V135" s="1" t="n">
        <v>60.1</v>
      </c>
      <c r="W135" s="1" t="s">
        <v>39</v>
      </c>
      <c r="X135" s="1" t="n">
        <v>4.2</v>
      </c>
      <c r="Y135" s="1" t="s">
        <v>40</v>
      </c>
      <c r="Z135" s="1" t="n">
        <v>1</v>
      </c>
      <c r="AA135" s="1" t="str">
        <f aca="false">TRIM(PROPER(F135))</f>
        <v>Jodhpur</v>
      </c>
      <c r="AB135" s="1" t="str">
        <f aca="false">TRIM(PROPER(C135))</f>
        <v>Extramarks</v>
      </c>
      <c r="AC135" s="1" t="str">
        <f aca="false">IF(O135=0,"No Discount",IF(O135&lt;=15,"Low (1-15%)",IF(O135&lt;=30,"Medium (16-30%)","High (&gt;30%)")))</f>
        <v>Medium (16-30%)</v>
      </c>
      <c r="AD135" s="1" t="str">
        <f aca="false">IF(V135&lt;0,"Loss Making",IF(V135&lt;20,"Low Margin","Healthy Margin"))</f>
        <v>Healthy Margin</v>
      </c>
      <c r="AE135" s="1" t="str">
        <f aca="false">TEXT(DATE(VALUE(RIGHT(B135,4)),VALUE(MID(B135,4,2)),VALUE(LEFT(B135,2))),"MMM-YYYY")</f>
        <v>Dec-2024</v>
      </c>
      <c r="AF135" s="1" t="n">
        <f aca="false">VALUE(RIGHT(B135,4))</f>
        <v>2024</v>
      </c>
      <c r="AG135" s="1" t="str">
        <f aca="false">CHOOSE(ROUNDUP(VALUE(MID(B135,4,2))/3,0),"Q1","Q2","Q3","Q4")</f>
        <v>Q4</v>
      </c>
    </row>
    <row r="136" customFormat="false" ht="15" hidden="false" customHeight="true" outlineLevel="0" collapsed="false">
      <c r="A136" s="1" t="s">
        <v>405</v>
      </c>
      <c r="B136" s="1" t="s">
        <v>406</v>
      </c>
      <c r="C136" s="1" t="s">
        <v>74</v>
      </c>
      <c r="D136" s="1" t="s">
        <v>143</v>
      </c>
      <c r="E136" s="1" t="s">
        <v>162</v>
      </c>
      <c r="F136" s="1" t="s">
        <v>96</v>
      </c>
      <c r="G136" s="1" t="s">
        <v>97</v>
      </c>
      <c r="H136" s="1" t="s">
        <v>69</v>
      </c>
      <c r="I136" s="1" t="s">
        <v>34</v>
      </c>
      <c r="J136" s="1" t="s">
        <v>70</v>
      </c>
      <c r="K136" s="1" t="s">
        <v>48</v>
      </c>
      <c r="L136" s="1" t="s">
        <v>113</v>
      </c>
      <c r="M136" s="1" t="s">
        <v>62</v>
      </c>
      <c r="N136" s="1" t="n">
        <v>14999</v>
      </c>
      <c r="O136" s="1" t="n">
        <v>15</v>
      </c>
      <c r="P136" s="1" t="n">
        <v>2249.85</v>
      </c>
      <c r="Q136" s="1" t="n">
        <v>12749.15</v>
      </c>
      <c r="R136" s="1" t="n">
        <v>2294.85</v>
      </c>
      <c r="S136" s="1" t="n">
        <v>10454.3</v>
      </c>
      <c r="T136" s="1" t="n">
        <v>4265.66</v>
      </c>
      <c r="U136" s="1" t="n">
        <v>6188.64</v>
      </c>
      <c r="V136" s="1" t="n">
        <v>59.2</v>
      </c>
      <c r="W136" s="1" t="s">
        <v>39</v>
      </c>
      <c r="X136" s="1" t="n">
        <v>3.6</v>
      </c>
      <c r="Y136" s="1" t="s">
        <v>40</v>
      </c>
      <c r="Z136" s="1" t="n">
        <v>0</v>
      </c>
      <c r="AA136" s="1" t="str">
        <f aca="false">TRIM(PROPER(F136))</f>
        <v>Pune</v>
      </c>
      <c r="AB136" s="1" t="str">
        <f aca="false">TRIM(PROPER(C136))</f>
        <v>Vedantu</v>
      </c>
      <c r="AC136" s="1" t="str">
        <f aca="false">IF(O136=0,"No Discount",IF(O136&lt;=15,"Low (1-15%)",IF(O136&lt;=30,"Medium (16-30%)","High (&gt;30%)")))</f>
        <v>Low (1-15%)</v>
      </c>
      <c r="AD136" s="1" t="str">
        <f aca="false">IF(V136&lt;0,"Loss Making",IF(V136&lt;20,"Low Margin","Healthy Margin"))</f>
        <v>Healthy Margin</v>
      </c>
      <c r="AE136" s="1" t="str">
        <f aca="false">TEXT(DATE(VALUE(RIGHT(B136,4)),VALUE(MID(B136,4,2)),VALUE(LEFT(B136,2))),"MMM-YYYY")</f>
        <v>Apr-2023</v>
      </c>
      <c r="AF136" s="1" t="n">
        <f aca="false">VALUE(RIGHT(B136,4))</f>
        <v>2023</v>
      </c>
      <c r="AG136" s="1" t="str">
        <f aca="false">CHOOSE(ROUNDUP(VALUE(MID(B136,4,2))/3,0),"Q1","Q2","Q3","Q4")</f>
        <v>Q2</v>
      </c>
    </row>
    <row r="137" customFormat="false" ht="15" hidden="false" customHeight="true" outlineLevel="0" collapsed="false">
      <c r="A137" s="1" t="s">
        <v>407</v>
      </c>
      <c r="B137" s="1" t="s">
        <v>309</v>
      </c>
      <c r="C137" s="1" t="s">
        <v>74</v>
      </c>
      <c r="D137" s="1" t="s">
        <v>168</v>
      </c>
      <c r="E137" s="1" t="s">
        <v>197</v>
      </c>
      <c r="F137" s="1" t="s">
        <v>96</v>
      </c>
      <c r="G137" s="1" t="s">
        <v>97</v>
      </c>
      <c r="H137" s="1" t="s">
        <v>69</v>
      </c>
      <c r="I137" s="1" t="s">
        <v>83</v>
      </c>
      <c r="J137" s="1" t="s">
        <v>77</v>
      </c>
      <c r="K137" s="1" t="s">
        <v>84</v>
      </c>
      <c r="L137" s="1" t="s">
        <v>85</v>
      </c>
      <c r="M137" s="1" t="s">
        <v>50</v>
      </c>
      <c r="N137" s="1" t="n">
        <v>8499</v>
      </c>
      <c r="O137" s="1" t="n">
        <v>5</v>
      </c>
      <c r="P137" s="1" t="n">
        <v>424.95</v>
      </c>
      <c r="Q137" s="1" t="n">
        <v>8074.05</v>
      </c>
      <c r="R137" s="1" t="n">
        <v>1453.33</v>
      </c>
      <c r="S137" s="1" t="n">
        <v>6620.72</v>
      </c>
      <c r="T137" s="1" t="n">
        <v>2611.7</v>
      </c>
      <c r="U137" s="1" t="n">
        <v>4009.02</v>
      </c>
      <c r="V137" s="1" t="n">
        <v>60.55</v>
      </c>
      <c r="W137" s="1" t="s">
        <v>40</v>
      </c>
      <c r="Y137" s="1" t="s">
        <v>40</v>
      </c>
      <c r="Z137" s="1" t="n">
        <v>3</v>
      </c>
      <c r="AA137" s="1" t="str">
        <f aca="false">TRIM(PROPER(F137))</f>
        <v>Pune</v>
      </c>
      <c r="AB137" s="1" t="str">
        <f aca="false">TRIM(PROPER(C137))</f>
        <v>Vedantu</v>
      </c>
      <c r="AC137" s="1" t="str">
        <f aca="false">IF(O137=0,"No Discount",IF(O137&lt;=15,"Low (1-15%)",IF(O137&lt;=30,"Medium (16-30%)","High (&gt;30%)")))</f>
        <v>Low (1-15%)</v>
      </c>
      <c r="AD137" s="1" t="str">
        <f aca="false">IF(V137&lt;0,"Loss Making",IF(V137&lt;20,"Low Margin","Healthy Margin"))</f>
        <v>Healthy Margin</v>
      </c>
      <c r="AE137" s="1" t="str">
        <f aca="false">TEXT(DATE(VALUE(RIGHT(B137,4)),VALUE(MID(B137,4,2)),VALUE(LEFT(B137,2))),"MMM-YYYY")</f>
        <v>Oct-2024</v>
      </c>
      <c r="AF137" s="1" t="n">
        <f aca="false">VALUE(RIGHT(B137,4))</f>
        <v>2024</v>
      </c>
      <c r="AG137" s="1" t="str">
        <f aca="false">CHOOSE(ROUNDUP(VALUE(MID(B137,4,2))/3,0),"Q1","Q2","Q3","Q4")</f>
        <v>Q4</v>
      </c>
    </row>
    <row r="138" customFormat="false" ht="15" hidden="false" customHeight="true" outlineLevel="0" collapsed="false">
      <c r="A138" s="1" t="s">
        <v>408</v>
      </c>
      <c r="B138" s="1" t="s">
        <v>87</v>
      </c>
      <c r="C138" s="1" t="s">
        <v>93</v>
      </c>
      <c r="D138" s="1" t="s">
        <v>53</v>
      </c>
      <c r="E138" s="1" t="s">
        <v>216</v>
      </c>
      <c r="F138" s="1" t="s">
        <v>89</v>
      </c>
      <c r="G138" s="1" t="s">
        <v>68</v>
      </c>
      <c r="H138" s="1" t="s">
        <v>33</v>
      </c>
      <c r="I138" s="1" t="s">
        <v>83</v>
      </c>
      <c r="J138" s="1" t="s">
        <v>70</v>
      </c>
      <c r="K138" s="1" t="s">
        <v>71</v>
      </c>
      <c r="L138" s="1" t="s">
        <v>37</v>
      </c>
      <c r="M138" s="1" t="s">
        <v>62</v>
      </c>
      <c r="N138" s="1" t="n">
        <v>7499</v>
      </c>
      <c r="O138" s="1" t="n">
        <v>0</v>
      </c>
      <c r="P138" s="1" t="n">
        <v>0</v>
      </c>
      <c r="Q138" s="1" t="n">
        <v>7499</v>
      </c>
      <c r="R138" s="1" t="n">
        <v>1349.82</v>
      </c>
      <c r="S138" s="1" t="n">
        <v>6149.18</v>
      </c>
      <c r="T138" s="1" t="n">
        <v>2954.29</v>
      </c>
      <c r="U138" s="1" t="n">
        <v>3194.89</v>
      </c>
      <c r="V138" s="1" t="n">
        <v>51.96</v>
      </c>
      <c r="W138" s="1" t="s">
        <v>40</v>
      </c>
      <c r="Y138" s="1" t="s">
        <v>40</v>
      </c>
      <c r="Z138" s="1" t="n">
        <v>0</v>
      </c>
      <c r="AA138" s="1" t="str">
        <f aca="false">TRIM(PROPER(F138))</f>
        <v>Vadodara</v>
      </c>
      <c r="AB138" s="1" t="str">
        <f aca="false">TRIM(PROPER(C138))</f>
        <v>Upgrad</v>
      </c>
      <c r="AC138" s="1" t="str">
        <f aca="false">IF(O138=0,"No Discount",IF(O138&lt;=15,"Low (1-15%)",IF(O138&lt;=30,"Medium (16-30%)","High (&gt;30%)")))</f>
        <v>No Discount</v>
      </c>
      <c r="AD138" s="1" t="str">
        <f aca="false">IF(V138&lt;0,"Loss Making",IF(V138&lt;20,"Low Margin","Healthy Margin"))</f>
        <v>Healthy Margin</v>
      </c>
      <c r="AE138" s="1" t="str">
        <f aca="false">TEXT(DATE(VALUE(RIGHT(B138,4)),VALUE(MID(B138,4,2)),VALUE(LEFT(B138,2))),"MMM-YYYY")</f>
        <v>Nov-2023</v>
      </c>
      <c r="AF138" s="1" t="n">
        <f aca="false">VALUE(RIGHT(B138,4))</f>
        <v>2023</v>
      </c>
      <c r="AG138" s="1" t="str">
        <f aca="false">CHOOSE(ROUNDUP(VALUE(MID(B138,4,2))/3,0),"Q1","Q2","Q3","Q4")</f>
        <v>Q4</v>
      </c>
    </row>
    <row r="139" customFormat="false" ht="15" hidden="false" customHeight="true" outlineLevel="0" collapsed="false">
      <c r="A139" s="1" t="s">
        <v>409</v>
      </c>
      <c r="B139" s="1" t="s">
        <v>410</v>
      </c>
      <c r="C139" s="1" t="s">
        <v>178</v>
      </c>
      <c r="D139" s="1" t="s">
        <v>143</v>
      </c>
      <c r="E139" s="1" t="s">
        <v>243</v>
      </c>
      <c r="F139" s="1" t="s">
        <v>150</v>
      </c>
      <c r="G139" s="1" t="s">
        <v>32</v>
      </c>
      <c r="H139" s="1" t="s">
        <v>57</v>
      </c>
      <c r="I139" s="1" t="s">
        <v>34</v>
      </c>
      <c r="J139" s="1" t="s">
        <v>131</v>
      </c>
      <c r="K139" s="1" t="s">
        <v>84</v>
      </c>
      <c r="L139" s="1" t="s">
        <v>113</v>
      </c>
      <c r="M139" s="1" t="s">
        <v>62</v>
      </c>
      <c r="N139" s="1" t="n">
        <v>22999</v>
      </c>
      <c r="O139" s="1" t="n">
        <v>0</v>
      </c>
      <c r="P139" s="1" t="n">
        <v>0</v>
      </c>
      <c r="Q139" s="1" t="n">
        <v>22999</v>
      </c>
      <c r="R139" s="1" t="n">
        <v>4139.82</v>
      </c>
      <c r="S139" s="1" t="n">
        <v>18859.18</v>
      </c>
      <c r="T139" s="1" t="n">
        <v>9827.87</v>
      </c>
      <c r="U139" s="1" t="n">
        <v>9031.31</v>
      </c>
      <c r="V139" s="1" t="n">
        <v>47.89</v>
      </c>
      <c r="W139" s="1" t="s">
        <v>39</v>
      </c>
      <c r="X139" s="1" t="n">
        <v>3.8</v>
      </c>
      <c r="Y139" s="1" t="s">
        <v>40</v>
      </c>
      <c r="Z139" s="1" t="n">
        <v>0</v>
      </c>
      <c r="AA139" s="1" t="str">
        <f aca="false">TRIM(PROPER(F139))</f>
        <v>Jaipur</v>
      </c>
      <c r="AB139" s="1" t="str">
        <f aca="false">TRIM(PROPER(C139))</f>
        <v>Leverage Edu</v>
      </c>
      <c r="AC139" s="1" t="str">
        <f aca="false">IF(O139=0,"No Discount",IF(O139&lt;=15,"Low (1-15%)",IF(O139&lt;=30,"Medium (16-30%)","High (&gt;30%)")))</f>
        <v>No Discount</v>
      </c>
      <c r="AD139" s="1" t="str">
        <f aca="false">IF(V139&lt;0,"Loss Making",IF(V139&lt;20,"Low Margin","Healthy Margin"))</f>
        <v>Healthy Margin</v>
      </c>
      <c r="AE139" s="1" t="str">
        <f aca="false">TEXT(DATE(VALUE(RIGHT(B139,4)),VALUE(MID(B139,4,2)),VALUE(LEFT(B139,2))),"MMM-YYYY")</f>
        <v>Feb-2024</v>
      </c>
      <c r="AF139" s="1" t="n">
        <f aca="false">VALUE(RIGHT(B139,4))</f>
        <v>2024</v>
      </c>
      <c r="AG139" s="1" t="str">
        <f aca="false">CHOOSE(ROUNDUP(VALUE(MID(B139,4,2))/3,0),"Q1","Q2","Q3","Q4")</f>
        <v>Q1</v>
      </c>
    </row>
    <row r="140" customFormat="false" ht="15" hidden="false" customHeight="true" outlineLevel="0" collapsed="false">
      <c r="A140" s="1" t="s">
        <v>411</v>
      </c>
      <c r="B140" s="1" t="s">
        <v>371</v>
      </c>
      <c r="C140" s="1" t="s">
        <v>65</v>
      </c>
      <c r="D140" s="1" t="s">
        <v>80</v>
      </c>
      <c r="E140" s="1" t="s">
        <v>193</v>
      </c>
      <c r="F140" s="1" t="s">
        <v>130</v>
      </c>
      <c r="G140" s="1" t="s">
        <v>47</v>
      </c>
      <c r="H140" s="1" t="s">
        <v>69</v>
      </c>
      <c r="I140" s="1" t="s">
        <v>58</v>
      </c>
      <c r="J140" s="1" t="s">
        <v>35</v>
      </c>
      <c r="K140" s="1" t="s">
        <v>84</v>
      </c>
      <c r="L140" s="1" t="s">
        <v>136</v>
      </c>
      <c r="M140" s="1" t="s">
        <v>38</v>
      </c>
      <c r="N140" s="1" t="n">
        <v>8999</v>
      </c>
      <c r="O140" s="1" t="n">
        <v>0</v>
      </c>
      <c r="P140" s="1" t="n">
        <v>0</v>
      </c>
      <c r="Q140" s="1" t="n">
        <v>8999</v>
      </c>
      <c r="R140" s="1" t="n">
        <v>1619.82</v>
      </c>
      <c r="S140" s="1" t="n">
        <v>7379.18</v>
      </c>
      <c r="T140" s="1" t="n">
        <v>2897.6</v>
      </c>
      <c r="U140" s="1" t="n">
        <v>4481.58</v>
      </c>
      <c r="V140" s="1" t="n">
        <v>60.73</v>
      </c>
      <c r="W140" s="1" t="s">
        <v>39</v>
      </c>
      <c r="X140" s="1" t="n">
        <v>4.2</v>
      </c>
      <c r="Y140" s="1" t="s">
        <v>40</v>
      </c>
      <c r="Z140" s="1" t="n">
        <v>0</v>
      </c>
      <c r="AA140" s="1" t="str">
        <f aca="false">TRIM(PROPER(F140))</f>
        <v>Bengaluru</v>
      </c>
      <c r="AB140" s="1" t="str">
        <f aca="false">TRIM(PROPER(C140))</f>
        <v>Toppr</v>
      </c>
      <c r="AC140" s="1" t="str">
        <f aca="false">IF(O140=0,"No Discount",IF(O140&lt;=15,"Low (1-15%)",IF(O140&lt;=30,"Medium (16-30%)","High (&gt;30%)")))</f>
        <v>No Discount</v>
      </c>
      <c r="AD140" s="1" t="str">
        <f aca="false">IF(V140&lt;0,"Loss Making",IF(V140&lt;20,"Low Margin","Healthy Margin"))</f>
        <v>Healthy Margin</v>
      </c>
      <c r="AE140" s="1" t="str">
        <f aca="false">TEXT(DATE(VALUE(RIGHT(B140,4)),VALUE(MID(B140,4,2)),VALUE(LEFT(B140,2))),"MMM-YYYY")</f>
        <v>Jan-2023</v>
      </c>
      <c r="AF140" s="1" t="n">
        <f aca="false">VALUE(RIGHT(B140,4))</f>
        <v>2023</v>
      </c>
      <c r="AG140" s="1" t="str">
        <f aca="false">CHOOSE(ROUNDUP(VALUE(MID(B140,4,2))/3,0),"Q1","Q2","Q3","Q4")</f>
        <v>Q1</v>
      </c>
    </row>
    <row r="141" customFormat="false" ht="15" hidden="false" customHeight="true" outlineLevel="0" collapsed="false">
      <c r="A141" s="1" t="s">
        <v>412</v>
      </c>
      <c r="B141" s="1" t="s">
        <v>413</v>
      </c>
      <c r="C141" s="1" t="s">
        <v>65</v>
      </c>
      <c r="D141" s="1" t="s">
        <v>44</v>
      </c>
      <c r="E141" s="1" t="s">
        <v>66</v>
      </c>
      <c r="F141" s="1" t="s">
        <v>130</v>
      </c>
      <c r="G141" s="1" t="s">
        <v>47</v>
      </c>
      <c r="H141" s="1" t="s">
        <v>69</v>
      </c>
      <c r="I141" s="1" t="s">
        <v>83</v>
      </c>
      <c r="J141" s="1" t="s">
        <v>77</v>
      </c>
      <c r="K141" s="1" t="s">
        <v>90</v>
      </c>
      <c r="L141" s="1" t="s">
        <v>136</v>
      </c>
      <c r="M141" s="1" t="s">
        <v>62</v>
      </c>
      <c r="N141" s="1" t="n">
        <v>12999</v>
      </c>
      <c r="O141" s="1" t="n">
        <v>0</v>
      </c>
      <c r="P141" s="1" t="n">
        <v>0</v>
      </c>
      <c r="Q141" s="1" t="n">
        <v>12999</v>
      </c>
      <c r="R141" s="1" t="n">
        <v>2339.82</v>
      </c>
      <c r="S141" s="1" t="n">
        <v>10659.18</v>
      </c>
      <c r="T141" s="1" t="n">
        <v>4214.14</v>
      </c>
      <c r="U141" s="1" t="n">
        <v>6445.04</v>
      </c>
      <c r="V141" s="1" t="n">
        <v>60.46</v>
      </c>
      <c r="W141" s="1" t="s">
        <v>39</v>
      </c>
      <c r="X141" s="1" t="n">
        <v>4.3</v>
      </c>
      <c r="Y141" s="1" t="s">
        <v>40</v>
      </c>
      <c r="Z141" s="1" t="n">
        <v>0</v>
      </c>
      <c r="AA141" s="1" t="str">
        <f aca="false">TRIM(PROPER(F141))</f>
        <v>Bengaluru</v>
      </c>
      <c r="AB141" s="1" t="str">
        <f aca="false">TRIM(PROPER(C141))</f>
        <v>Toppr</v>
      </c>
      <c r="AC141" s="1" t="str">
        <f aca="false">IF(O141=0,"No Discount",IF(O141&lt;=15,"Low (1-15%)",IF(O141&lt;=30,"Medium (16-30%)","High (&gt;30%)")))</f>
        <v>No Discount</v>
      </c>
      <c r="AD141" s="1" t="str">
        <f aca="false">IF(V141&lt;0,"Loss Making",IF(V141&lt;20,"Low Margin","Healthy Margin"))</f>
        <v>Healthy Margin</v>
      </c>
      <c r="AE141" s="1" t="str">
        <f aca="false">TEXT(DATE(VALUE(RIGHT(B141,4)),VALUE(MID(B141,4,2)),VALUE(LEFT(B141,2))),"MMM-YYYY")</f>
        <v>Jan-2023</v>
      </c>
      <c r="AF141" s="1" t="n">
        <f aca="false">VALUE(RIGHT(B141,4))</f>
        <v>2023</v>
      </c>
      <c r="AG141" s="1" t="str">
        <f aca="false">CHOOSE(ROUNDUP(VALUE(MID(B141,4,2))/3,0),"Q1","Q2","Q3","Q4")</f>
        <v>Q1</v>
      </c>
    </row>
    <row r="142" customFormat="false" ht="15" hidden="false" customHeight="true" outlineLevel="0" collapsed="false">
      <c r="A142" s="1" t="s">
        <v>414</v>
      </c>
      <c r="B142" s="1" t="s">
        <v>415</v>
      </c>
      <c r="C142" s="1" t="s">
        <v>167</v>
      </c>
      <c r="D142" s="1" t="s">
        <v>143</v>
      </c>
      <c r="E142" s="1" t="s">
        <v>210</v>
      </c>
      <c r="F142" s="1" t="s">
        <v>107</v>
      </c>
      <c r="G142" s="1" t="s">
        <v>108</v>
      </c>
      <c r="H142" s="1" t="s">
        <v>33</v>
      </c>
      <c r="I142" s="1" t="s">
        <v>34</v>
      </c>
      <c r="J142" s="1" t="s">
        <v>131</v>
      </c>
      <c r="K142" s="1" t="s">
        <v>90</v>
      </c>
      <c r="L142" s="1" t="s">
        <v>37</v>
      </c>
      <c r="M142" s="1" t="s">
        <v>50</v>
      </c>
      <c r="N142" s="1" t="n">
        <v>18999</v>
      </c>
      <c r="O142" s="1" t="n">
        <v>30</v>
      </c>
      <c r="P142" s="1" t="n">
        <v>5699.7</v>
      </c>
      <c r="Q142" s="1" t="n">
        <v>13299.3</v>
      </c>
      <c r="R142" s="1" t="n">
        <v>2393.87</v>
      </c>
      <c r="S142" s="1" t="n">
        <v>10905.43</v>
      </c>
      <c r="T142" s="1" t="n">
        <v>4886.55</v>
      </c>
      <c r="U142" s="1" t="n">
        <v>6018.88</v>
      </c>
      <c r="V142" s="1" t="n">
        <v>55.19</v>
      </c>
      <c r="W142" s="1" t="s">
        <v>39</v>
      </c>
      <c r="X142" s="1" t="n">
        <v>4.3</v>
      </c>
      <c r="Y142" s="1" t="s">
        <v>40</v>
      </c>
      <c r="Z142" s="1" t="n">
        <v>0</v>
      </c>
      <c r="AA142" s="1" t="str">
        <f aca="false">TRIM(PROPER(F142))</f>
        <v>Madurai</v>
      </c>
      <c r="AB142" s="1" t="str">
        <f aca="false">TRIM(PROPER(C142))</f>
        <v>Scaler</v>
      </c>
      <c r="AC142" s="1" t="str">
        <f aca="false">IF(O142=0,"No Discount",IF(O142&lt;=15,"Low (1-15%)",IF(O142&lt;=30,"Medium (16-30%)","High (&gt;30%)")))</f>
        <v>Medium (16-30%)</v>
      </c>
      <c r="AD142" s="1" t="str">
        <f aca="false">IF(V142&lt;0,"Loss Making",IF(V142&lt;20,"Low Margin","Healthy Margin"))</f>
        <v>Healthy Margin</v>
      </c>
      <c r="AE142" s="1" t="str">
        <f aca="false">TEXT(DATE(VALUE(RIGHT(B142,4)),VALUE(MID(B142,4,2)),VALUE(LEFT(B142,2))),"MMM-YYYY")</f>
        <v>Aug-2023</v>
      </c>
      <c r="AF142" s="1" t="n">
        <f aca="false">VALUE(RIGHT(B142,4))</f>
        <v>2023</v>
      </c>
      <c r="AG142" s="1" t="str">
        <f aca="false">CHOOSE(ROUNDUP(VALUE(MID(B142,4,2))/3,0),"Q1","Q2","Q3","Q4")</f>
        <v>Q3</v>
      </c>
    </row>
    <row r="143" customFormat="false" ht="15" hidden="false" customHeight="true" outlineLevel="0" collapsed="false">
      <c r="A143" s="1" t="s">
        <v>416</v>
      </c>
      <c r="B143" s="1" t="s">
        <v>417</v>
      </c>
      <c r="C143" s="1" t="s">
        <v>88</v>
      </c>
      <c r="D143" s="1" t="s">
        <v>143</v>
      </c>
      <c r="E143" s="1" t="s">
        <v>144</v>
      </c>
      <c r="F143" s="1" t="s">
        <v>244</v>
      </c>
      <c r="G143" s="1" t="s">
        <v>97</v>
      </c>
      <c r="H143" s="1" t="s">
        <v>57</v>
      </c>
      <c r="I143" s="1" t="s">
        <v>83</v>
      </c>
      <c r="J143" s="1" t="s">
        <v>35</v>
      </c>
      <c r="K143" s="1" t="s">
        <v>48</v>
      </c>
      <c r="L143" s="1" t="s">
        <v>61</v>
      </c>
      <c r="M143" s="1" t="s">
        <v>62</v>
      </c>
      <c r="N143" s="1" t="n">
        <v>12999</v>
      </c>
      <c r="O143" s="1" t="n">
        <v>0</v>
      </c>
      <c r="P143" s="1" t="n">
        <v>0</v>
      </c>
      <c r="Q143" s="1" t="n">
        <v>12999</v>
      </c>
      <c r="R143" s="1" t="n">
        <v>2339.82</v>
      </c>
      <c r="S143" s="1" t="n">
        <v>10659.18</v>
      </c>
      <c r="T143" s="1" t="n">
        <v>4890.2</v>
      </c>
      <c r="U143" s="1" t="n">
        <v>5768.98</v>
      </c>
      <c r="V143" s="1" t="n">
        <v>54.12</v>
      </c>
      <c r="W143" s="1" t="s">
        <v>39</v>
      </c>
      <c r="Y143" s="1" t="s">
        <v>40</v>
      </c>
      <c r="Z143" s="1" t="n">
        <v>1</v>
      </c>
      <c r="AA143" s="1" t="str">
        <f aca="false">TRIM(PROPER(F143))</f>
        <v>Nagpur</v>
      </c>
      <c r="AB143" s="1" t="str">
        <f aca="false">TRIM(PROPER(C143))</f>
        <v>Byju'S</v>
      </c>
      <c r="AC143" s="1" t="str">
        <f aca="false">IF(O143=0,"No Discount",IF(O143&lt;=15,"Low (1-15%)",IF(O143&lt;=30,"Medium (16-30%)","High (&gt;30%)")))</f>
        <v>No Discount</v>
      </c>
      <c r="AD143" s="1" t="str">
        <f aca="false">IF(V143&lt;0,"Loss Making",IF(V143&lt;20,"Low Margin","Healthy Margin"))</f>
        <v>Healthy Margin</v>
      </c>
      <c r="AE143" s="1" t="str">
        <f aca="false">TEXT(DATE(VALUE(RIGHT(B143,4)),VALUE(MID(B143,4,2)),VALUE(LEFT(B143,2))),"MMM-YYYY")</f>
        <v>May-2024</v>
      </c>
      <c r="AF143" s="1" t="n">
        <f aca="false">VALUE(RIGHT(B143,4))</f>
        <v>2024</v>
      </c>
      <c r="AG143" s="1" t="str">
        <f aca="false">CHOOSE(ROUNDUP(VALUE(MID(B143,4,2))/3,0),"Q1","Q2","Q3","Q4")</f>
        <v>Q2</v>
      </c>
    </row>
    <row r="144" customFormat="false" ht="15" hidden="false" customHeight="true" outlineLevel="0" collapsed="false">
      <c r="A144" s="1" t="s">
        <v>418</v>
      </c>
      <c r="B144" s="1" t="s">
        <v>419</v>
      </c>
      <c r="C144" s="1" t="s">
        <v>128</v>
      </c>
      <c r="D144" s="1" t="s">
        <v>94</v>
      </c>
      <c r="E144" s="1" t="s">
        <v>101</v>
      </c>
      <c r="F144" s="1" t="s">
        <v>89</v>
      </c>
      <c r="G144" s="1" t="s">
        <v>68</v>
      </c>
      <c r="H144" s="1" t="s">
        <v>33</v>
      </c>
      <c r="I144" s="1" t="s">
        <v>58</v>
      </c>
      <c r="J144" s="1" t="s">
        <v>77</v>
      </c>
      <c r="K144" s="1" t="s">
        <v>104</v>
      </c>
      <c r="L144" s="1" t="s">
        <v>85</v>
      </c>
      <c r="M144" s="1" t="s">
        <v>62</v>
      </c>
      <c r="N144" s="1" t="n">
        <v>14999</v>
      </c>
      <c r="O144" s="1" t="n">
        <v>10</v>
      </c>
      <c r="P144" s="1" t="n">
        <v>1499.9</v>
      </c>
      <c r="Q144" s="1" t="n">
        <v>13499.1</v>
      </c>
      <c r="R144" s="1" t="n">
        <v>2429.84</v>
      </c>
      <c r="S144" s="1" t="n">
        <v>11069.26</v>
      </c>
      <c r="T144" s="1" t="n">
        <v>5218.7</v>
      </c>
      <c r="U144" s="1" t="n">
        <v>5850.56</v>
      </c>
      <c r="V144" s="1" t="n">
        <v>52.85</v>
      </c>
      <c r="W144" s="1" t="s">
        <v>39</v>
      </c>
      <c r="X144" s="1" t="n">
        <v>3.6</v>
      </c>
      <c r="Y144" s="1" t="s">
        <v>40</v>
      </c>
      <c r="Z144" s="1" t="n">
        <v>1</v>
      </c>
      <c r="AA144" s="1" t="str">
        <f aca="false">TRIM(PROPER(F144))</f>
        <v>Vadodara</v>
      </c>
      <c r="AB144" s="1" t="str">
        <f aca="false">TRIM(PROPER(C144))</f>
        <v>Great Learning</v>
      </c>
      <c r="AC144" s="1" t="str">
        <f aca="false">IF(O144=0,"No Discount",IF(O144&lt;=15,"Low (1-15%)",IF(O144&lt;=30,"Medium (16-30%)","High (&gt;30%)")))</f>
        <v>Low (1-15%)</v>
      </c>
      <c r="AD144" s="1" t="str">
        <f aca="false">IF(V144&lt;0,"Loss Making",IF(V144&lt;20,"Low Margin","Healthy Margin"))</f>
        <v>Healthy Margin</v>
      </c>
      <c r="AE144" s="1" t="str">
        <f aca="false">TEXT(DATE(VALUE(RIGHT(B144,4)),VALUE(MID(B144,4,2)),VALUE(LEFT(B144,2))),"MMM-YYYY")</f>
        <v>Jul-2023</v>
      </c>
      <c r="AF144" s="1" t="n">
        <f aca="false">VALUE(RIGHT(B144,4))</f>
        <v>2023</v>
      </c>
      <c r="AG144" s="1" t="str">
        <f aca="false">CHOOSE(ROUNDUP(VALUE(MID(B144,4,2))/3,0),"Q1","Q2","Q3","Q4")</f>
        <v>Q3</v>
      </c>
    </row>
    <row r="145" customFormat="false" ht="15" hidden="false" customHeight="true" outlineLevel="0" collapsed="false">
      <c r="A145" s="1" t="s">
        <v>420</v>
      </c>
      <c r="B145" s="1" t="s">
        <v>421</v>
      </c>
      <c r="C145" s="1" t="s">
        <v>65</v>
      </c>
      <c r="D145" s="1" t="s">
        <v>123</v>
      </c>
      <c r="E145" s="1" t="s">
        <v>147</v>
      </c>
      <c r="F145" s="1" t="s">
        <v>130</v>
      </c>
      <c r="G145" s="1" t="s">
        <v>47</v>
      </c>
      <c r="H145" s="1" t="s">
        <v>69</v>
      </c>
      <c r="I145" s="1" t="s">
        <v>83</v>
      </c>
      <c r="J145" s="1" t="s">
        <v>59</v>
      </c>
      <c r="K145" s="1" t="s">
        <v>84</v>
      </c>
      <c r="L145" s="1" t="s">
        <v>61</v>
      </c>
      <c r="M145" s="1" t="s">
        <v>38</v>
      </c>
      <c r="N145" s="1" t="n">
        <v>6999</v>
      </c>
      <c r="O145" s="1" t="n">
        <v>20</v>
      </c>
      <c r="P145" s="1" t="n">
        <v>1399.8</v>
      </c>
      <c r="Q145" s="1" t="n">
        <v>5599.2</v>
      </c>
      <c r="R145" s="1" t="n">
        <v>1007.86</v>
      </c>
      <c r="S145" s="1" t="n">
        <v>4591.34</v>
      </c>
      <c r="T145" s="1" t="n">
        <v>2035.52</v>
      </c>
      <c r="U145" s="1" t="n">
        <v>2555.82</v>
      </c>
      <c r="V145" s="1" t="n">
        <v>55.67</v>
      </c>
      <c r="W145" s="1" t="s">
        <v>40</v>
      </c>
      <c r="Y145" s="1" t="s">
        <v>40</v>
      </c>
      <c r="Z145" s="1" t="n">
        <v>2</v>
      </c>
      <c r="AA145" s="1" t="str">
        <f aca="false">TRIM(PROPER(F145))</f>
        <v>Bengaluru</v>
      </c>
      <c r="AB145" s="1" t="str">
        <f aca="false">TRIM(PROPER(C145))</f>
        <v>Toppr</v>
      </c>
      <c r="AC145" s="1" t="str">
        <f aca="false">IF(O145=0,"No Discount",IF(O145&lt;=15,"Low (1-15%)",IF(O145&lt;=30,"Medium (16-30%)","High (&gt;30%)")))</f>
        <v>Medium (16-30%)</v>
      </c>
      <c r="AD145" s="1" t="str">
        <f aca="false">IF(V145&lt;0,"Loss Making",IF(V145&lt;20,"Low Margin","Healthy Margin"))</f>
        <v>Healthy Margin</v>
      </c>
      <c r="AE145" s="1" t="str">
        <f aca="false">TEXT(DATE(VALUE(RIGHT(B145,4)),VALUE(MID(B145,4,2)),VALUE(LEFT(B145,2))),"MMM-YYYY")</f>
        <v>Apr-2024</v>
      </c>
      <c r="AF145" s="1" t="n">
        <f aca="false">VALUE(RIGHT(B145,4))</f>
        <v>2024</v>
      </c>
      <c r="AG145" s="1" t="str">
        <f aca="false">CHOOSE(ROUNDUP(VALUE(MID(B145,4,2))/3,0),"Q1","Q2","Q3","Q4")</f>
        <v>Q2</v>
      </c>
    </row>
    <row r="146" customFormat="false" ht="15" hidden="false" customHeight="true" outlineLevel="0" collapsed="false">
      <c r="A146" s="1" t="s">
        <v>422</v>
      </c>
      <c r="B146" s="1" t="s">
        <v>423</v>
      </c>
      <c r="C146" s="1" t="s">
        <v>65</v>
      </c>
      <c r="D146" s="1" t="s">
        <v>44</v>
      </c>
      <c r="E146" s="1" t="s">
        <v>45</v>
      </c>
      <c r="F146" s="1" t="s">
        <v>211</v>
      </c>
      <c r="G146" s="1" t="s">
        <v>56</v>
      </c>
      <c r="H146" s="1" t="s">
        <v>69</v>
      </c>
      <c r="I146" s="1" t="s">
        <v>83</v>
      </c>
      <c r="J146" s="1" t="s">
        <v>59</v>
      </c>
      <c r="K146" s="1" t="s">
        <v>60</v>
      </c>
      <c r="L146" s="1" t="s">
        <v>113</v>
      </c>
      <c r="M146" s="1" t="s">
        <v>50</v>
      </c>
      <c r="N146" s="1" t="n">
        <v>11999</v>
      </c>
      <c r="O146" s="1" t="n">
        <v>5</v>
      </c>
      <c r="P146" s="1" t="n">
        <v>599.95</v>
      </c>
      <c r="Q146" s="1" t="n">
        <v>11399.05</v>
      </c>
      <c r="R146" s="1" t="n">
        <v>2051.83</v>
      </c>
      <c r="S146" s="1" t="n">
        <v>9347.22</v>
      </c>
      <c r="T146" s="1" t="n">
        <v>3755.31</v>
      </c>
      <c r="U146" s="1" t="n">
        <v>5591.91</v>
      </c>
      <c r="V146" s="1" t="n">
        <v>59.82</v>
      </c>
      <c r="W146" s="1" t="s">
        <v>39</v>
      </c>
      <c r="X146" s="1" t="n">
        <v>3.9</v>
      </c>
      <c r="Y146" s="1" t="s">
        <v>40</v>
      </c>
      <c r="Z146" s="1" t="n">
        <v>0</v>
      </c>
      <c r="AA146" s="1" t="str">
        <f aca="false">TRIM(PROPER(F146))</f>
        <v>Noida</v>
      </c>
      <c r="AB146" s="1" t="str">
        <f aca="false">TRIM(PROPER(C146))</f>
        <v>Toppr</v>
      </c>
      <c r="AC146" s="1" t="str">
        <f aca="false">IF(O146=0,"No Discount",IF(O146&lt;=15,"Low (1-15%)",IF(O146&lt;=30,"Medium (16-30%)","High (&gt;30%)")))</f>
        <v>Low (1-15%)</v>
      </c>
      <c r="AD146" s="1" t="str">
        <f aca="false">IF(V146&lt;0,"Loss Making",IF(V146&lt;20,"Low Margin","Healthy Margin"))</f>
        <v>Healthy Margin</v>
      </c>
      <c r="AE146" s="1" t="str">
        <f aca="false">TEXT(DATE(VALUE(RIGHT(B146,4)),VALUE(MID(B146,4,2)),VALUE(LEFT(B146,2))),"MMM-YYYY")</f>
        <v>Dec-2023</v>
      </c>
      <c r="AF146" s="1" t="n">
        <f aca="false">VALUE(RIGHT(B146,4))</f>
        <v>2023</v>
      </c>
      <c r="AG146" s="1" t="str">
        <f aca="false">CHOOSE(ROUNDUP(VALUE(MID(B146,4,2))/3,0),"Q1","Q2","Q3","Q4")</f>
        <v>Q4</v>
      </c>
    </row>
    <row r="147" customFormat="false" ht="15" hidden="false" customHeight="true" outlineLevel="0" collapsed="false">
      <c r="A147" s="1" t="s">
        <v>424</v>
      </c>
      <c r="B147" s="1" t="s">
        <v>425</v>
      </c>
      <c r="C147" s="1" t="s">
        <v>167</v>
      </c>
      <c r="D147" s="1" t="s">
        <v>94</v>
      </c>
      <c r="E147" s="1" t="s">
        <v>101</v>
      </c>
      <c r="F147" s="1" t="s">
        <v>184</v>
      </c>
      <c r="G147" s="1" t="s">
        <v>56</v>
      </c>
      <c r="H147" s="1" t="s">
        <v>57</v>
      </c>
      <c r="I147" s="1" t="s">
        <v>58</v>
      </c>
      <c r="J147" s="1" t="s">
        <v>77</v>
      </c>
      <c r="K147" s="1" t="s">
        <v>84</v>
      </c>
      <c r="L147" s="1" t="s">
        <v>85</v>
      </c>
      <c r="M147" s="1" t="s">
        <v>50</v>
      </c>
      <c r="N147" s="1" t="n">
        <v>14999</v>
      </c>
      <c r="O147" s="1" t="n">
        <v>40</v>
      </c>
      <c r="P147" s="1" t="n">
        <v>5999.6</v>
      </c>
      <c r="Q147" s="1" t="n">
        <v>8999.4</v>
      </c>
      <c r="R147" s="1" t="n">
        <v>1619.89</v>
      </c>
      <c r="S147" s="1" t="n">
        <v>7379.51</v>
      </c>
      <c r="T147" s="1" t="n">
        <v>4637.97</v>
      </c>
      <c r="U147" s="1" t="n">
        <v>2741.54</v>
      </c>
      <c r="V147" s="1" t="n">
        <v>37.15</v>
      </c>
      <c r="W147" s="1" t="s">
        <v>39</v>
      </c>
      <c r="X147" s="1" t="n">
        <v>3.4</v>
      </c>
      <c r="Y147" s="1" t="s">
        <v>40</v>
      </c>
      <c r="Z147" s="1" t="n">
        <v>0</v>
      </c>
      <c r="AA147" s="1" t="str">
        <f aca="false">TRIM(PROPER(F147))</f>
        <v>Faridabad</v>
      </c>
      <c r="AB147" s="1" t="str">
        <f aca="false">TRIM(PROPER(C147))</f>
        <v>Scaler</v>
      </c>
      <c r="AC147" s="1" t="str">
        <f aca="false">IF(O147=0,"No Discount",IF(O147&lt;=15,"Low (1-15%)",IF(O147&lt;=30,"Medium (16-30%)","High (&gt;30%)")))</f>
        <v>High (&gt;30%)</v>
      </c>
      <c r="AD147" s="1" t="str">
        <f aca="false">IF(V147&lt;0,"Loss Making",IF(V147&lt;20,"Low Margin","Healthy Margin"))</f>
        <v>Healthy Margin</v>
      </c>
      <c r="AE147" s="1" t="str">
        <f aca="false">TEXT(DATE(VALUE(RIGHT(B147,4)),VALUE(MID(B147,4,2)),VALUE(LEFT(B147,2))),"MMM-YYYY")</f>
        <v>Feb-2023</v>
      </c>
      <c r="AF147" s="1" t="n">
        <f aca="false">VALUE(RIGHT(B147,4))</f>
        <v>2023</v>
      </c>
      <c r="AG147" s="1" t="str">
        <f aca="false">CHOOSE(ROUNDUP(VALUE(MID(B147,4,2))/3,0),"Q1","Q2","Q3","Q4")</f>
        <v>Q1</v>
      </c>
    </row>
    <row r="148" customFormat="false" ht="15" hidden="false" customHeight="true" outlineLevel="0" collapsed="false">
      <c r="A148" s="1" t="s">
        <v>426</v>
      </c>
      <c r="B148" s="1" t="s">
        <v>171</v>
      </c>
      <c r="C148" s="1" t="s">
        <v>178</v>
      </c>
      <c r="D148" s="1" t="s">
        <v>143</v>
      </c>
      <c r="E148" s="1" t="s">
        <v>159</v>
      </c>
      <c r="F148" s="1" t="s">
        <v>130</v>
      </c>
      <c r="G148" s="1" t="s">
        <v>47</v>
      </c>
      <c r="H148" s="1" t="s">
        <v>69</v>
      </c>
      <c r="I148" s="1" t="s">
        <v>34</v>
      </c>
      <c r="J148" s="1" t="s">
        <v>70</v>
      </c>
      <c r="K148" s="1" t="s">
        <v>36</v>
      </c>
      <c r="L148" s="1" t="s">
        <v>113</v>
      </c>
      <c r="M148" s="1" t="s">
        <v>62</v>
      </c>
      <c r="N148" s="1" t="n">
        <v>24999</v>
      </c>
      <c r="O148" s="1" t="n">
        <v>50</v>
      </c>
      <c r="P148" s="1" t="n">
        <v>12499.5</v>
      </c>
      <c r="Q148" s="1" t="n">
        <v>12499.5</v>
      </c>
      <c r="R148" s="1" t="n">
        <v>2249.91</v>
      </c>
      <c r="S148" s="1" t="n">
        <v>10249.59</v>
      </c>
      <c r="T148" s="1" t="n">
        <v>5491.75</v>
      </c>
      <c r="U148" s="1" t="n">
        <v>4757.84</v>
      </c>
      <c r="V148" s="1" t="n">
        <v>46.42</v>
      </c>
      <c r="W148" s="1" t="s">
        <v>39</v>
      </c>
      <c r="X148" s="1" t="n">
        <v>4.4</v>
      </c>
      <c r="Y148" s="1" t="s">
        <v>40</v>
      </c>
      <c r="Z148" s="1" t="n">
        <v>0</v>
      </c>
      <c r="AA148" s="1" t="str">
        <f aca="false">TRIM(PROPER(F148))</f>
        <v>Bengaluru</v>
      </c>
      <c r="AB148" s="1" t="str">
        <f aca="false">TRIM(PROPER(C148))</f>
        <v>Leverage Edu</v>
      </c>
      <c r="AC148" s="1" t="str">
        <f aca="false">IF(O148=0,"No Discount",IF(O148&lt;=15,"Low (1-15%)",IF(O148&lt;=30,"Medium (16-30%)","High (&gt;30%)")))</f>
        <v>High (&gt;30%)</v>
      </c>
      <c r="AD148" s="1" t="str">
        <f aca="false">IF(V148&lt;0,"Loss Making",IF(V148&lt;20,"Low Margin","Healthy Margin"))</f>
        <v>Healthy Margin</v>
      </c>
      <c r="AE148" s="1" t="str">
        <f aca="false">TEXT(DATE(VALUE(RIGHT(B148,4)),VALUE(MID(B148,4,2)),VALUE(LEFT(B148,2))),"MMM-YYYY")</f>
        <v>May-2023</v>
      </c>
      <c r="AF148" s="1" t="n">
        <f aca="false">VALUE(RIGHT(B148,4))</f>
        <v>2023</v>
      </c>
      <c r="AG148" s="1" t="str">
        <f aca="false">CHOOSE(ROUNDUP(VALUE(MID(B148,4,2))/3,0),"Q1","Q2","Q3","Q4")</f>
        <v>Q2</v>
      </c>
    </row>
    <row r="149" customFormat="false" ht="15" hidden="false" customHeight="true" outlineLevel="0" collapsed="false">
      <c r="A149" s="1" t="s">
        <v>427</v>
      </c>
      <c r="B149" s="1" t="s">
        <v>428</v>
      </c>
      <c r="C149" s="1" t="s">
        <v>100</v>
      </c>
      <c r="D149" s="1" t="s">
        <v>80</v>
      </c>
      <c r="E149" s="1" t="s">
        <v>190</v>
      </c>
      <c r="F149" s="1" t="s">
        <v>205</v>
      </c>
      <c r="G149" s="1" t="s">
        <v>56</v>
      </c>
      <c r="H149" s="1" t="s">
        <v>69</v>
      </c>
      <c r="I149" s="1" t="s">
        <v>58</v>
      </c>
      <c r="J149" s="1" t="s">
        <v>70</v>
      </c>
      <c r="K149" s="1" t="s">
        <v>84</v>
      </c>
      <c r="L149" s="1" t="s">
        <v>136</v>
      </c>
      <c r="M149" s="1" t="s">
        <v>38</v>
      </c>
      <c r="N149" s="1" t="n">
        <v>15999</v>
      </c>
      <c r="O149" s="1" t="n">
        <v>15</v>
      </c>
      <c r="P149" s="1" t="n">
        <v>2399.85</v>
      </c>
      <c r="Q149" s="1" t="n">
        <v>13599.15</v>
      </c>
      <c r="R149" s="1" t="n">
        <v>2447.85</v>
      </c>
      <c r="S149" s="1" t="n">
        <v>11151.3</v>
      </c>
      <c r="T149" s="1" t="n">
        <v>4271.46</v>
      </c>
      <c r="U149" s="1" t="n">
        <v>6879.84</v>
      </c>
      <c r="V149" s="1" t="n">
        <v>61.7</v>
      </c>
      <c r="W149" s="1" t="s">
        <v>39</v>
      </c>
      <c r="Y149" s="1" t="s">
        <v>40</v>
      </c>
      <c r="Z149" s="1" t="n">
        <v>0</v>
      </c>
      <c r="AA149" s="1" t="str">
        <f aca="false">TRIM(PROPER(F149))</f>
        <v>New Delhi</v>
      </c>
      <c r="AB149" s="1" t="str">
        <f aca="false">TRIM(PROPER(C149))</f>
        <v>Physics Wallah</v>
      </c>
      <c r="AC149" s="1" t="str">
        <f aca="false">IF(O149=0,"No Discount",IF(O149&lt;=15,"Low (1-15%)",IF(O149&lt;=30,"Medium (16-30%)","High (&gt;30%)")))</f>
        <v>Low (1-15%)</v>
      </c>
      <c r="AD149" s="1" t="str">
        <f aca="false">IF(V149&lt;0,"Loss Making",IF(V149&lt;20,"Low Margin","Healthy Margin"))</f>
        <v>Healthy Margin</v>
      </c>
      <c r="AE149" s="1" t="str">
        <f aca="false">TEXT(DATE(VALUE(RIGHT(B149,4)),VALUE(MID(B149,4,2)),VALUE(LEFT(B149,2))),"MMM-YYYY")</f>
        <v>Aug-2023</v>
      </c>
      <c r="AF149" s="1" t="n">
        <f aca="false">VALUE(RIGHT(B149,4))</f>
        <v>2023</v>
      </c>
      <c r="AG149" s="1" t="str">
        <f aca="false">CHOOSE(ROUNDUP(VALUE(MID(B149,4,2))/3,0),"Q1","Q2","Q3","Q4")</f>
        <v>Q3</v>
      </c>
    </row>
    <row r="150" customFormat="false" ht="15" hidden="false" customHeight="true" outlineLevel="0" collapsed="false">
      <c r="A150" s="1" t="s">
        <v>429</v>
      </c>
      <c r="B150" s="1" t="s">
        <v>430</v>
      </c>
      <c r="C150" s="1" t="s">
        <v>264</v>
      </c>
      <c r="D150" s="1" t="s">
        <v>94</v>
      </c>
      <c r="E150" s="1" t="s">
        <v>135</v>
      </c>
      <c r="F150" s="1" t="s">
        <v>244</v>
      </c>
      <c r="G150" s="1" t="s">
        <v>97</v>
      </c>
      <c r="H150" s="1" t="s">
        <v>57</v>
      </c>
      <c r="I150" s="1" t="s">
        <v>58</v>
      </c>
      <c r="J150" s="1" t="s">
        <v>131</v>
      </c>
      <c r="K150" s="1" t="s">
        <v>104</v>
      </c>
      <c r="L150" s="1" t="s">
        <v>37</v>
      </c>
      <c r="M150" s="1" t="s">
        <v>38</v>
      </c>
      <c r="N150" s="1" t="n">
        <v>9999</v>
      </c>
      <c r="O150" s="1" t="n">
        <v>50</v>
      </c>
      <c r="P150" s="1" t="n">
        <v>4999.5</v>
      </c>
      <c r="Q150" s="1" t="n">
        <v>4999.5</v>
      </c>
      <c r="R150" s="1" t="n">
        <v>899.91</v>
      </c>
      <c r="S150" s="1" t="n">
        <v>4099.59</v>
      </c>
      <c r="T150" s="1" t="n">
        <v>2407.52</v>
      </c>
      <c r="U150" s="1" t="n">
        <v>1692.07</v>
      </c>
      <c r="V150" s="1" t="n">
        <v>41.27</v>
      </c>
      <c r="W150" s="1" t="s">
        <v>39</v>
      </c>
      <c r="X150" s="1" t="n">
        <v>3.5</v>
      </c>
      <c r="Y150" s="1" t="s">
        <v>40</v>
      </c>
      <c r="Z150" s="1" t="n">
        <v>1</v>
      </c>
      <c r="AA150" s="1" t="str">
        <f aca="false">TRIM(PROPER(F150))</f>
        <v>Nagpur</v>
      </c>
      <c r="AB150" s="1" t="str">
        <f aca="false">TRIM(PROPER(C150))</f>
        <v>Unacademy</v>
      </c>
      <c r="AC150" s="1" t="str">
        <f aca="false">IF(O150=0,"No Discount",IF(O150&lt;=15,"Low (1-15%)",IF(O150&lt;=30,"Medium (16-30%)","High (&gt;30%)")))</f>
        <v>High (&gt;30%)</v>
      </c>
      <c r="AD150" s="1" t="str">
        <f aca="false">IF(V150&lt;0,"Loss Making",IF(V150&lt;20,"Low Margin","Healthy Margin"))</f>
        <v>Healthy Margin</v>
      </c>
      <c r="AE150" s="1" t="str">
        <f aca="false">TEXT(DATE(VALUE(RIGHT(B150,4)),VALUE(MID(B150,4,2)),VALUE(LEFT(B150,2))),"MMM-YYYY")</f>
        <v>Nov-2023</v>
      </c>
      <c r="AF150" s="1" t="n">
        <f aca="false">VALUE(RIGHT(B150,4))</f>
        <v>2023</v>
      </c>
      <c r="AG150" s="1" t="str">
        <f aca="false">CHOOSE(ROUNDUP(VALUE(MID(B150,4,2))/3,0),"Q1","Q2","Q3","Q4")</f>
        <v>Q4</v>
      </c>
    </row>
    <row r="151" customFormat="false" ht="15" hidden="false" customHeight="true" outlineLevel="0" collapsed="false">
      <c r="A151" s="1" t="s">
        <v>431</v>
      </c>
      <c r="B151" s="1" t="s">
        <v>432</v>
      </c>
      <c r="C151" s="1" t="s">
        <v>28</v>
      </c>
      <c r="D151" s="1" t="s">
        <v>80</v>
      </c>
      <c r="E151" s="1" t="s">
        <v>175</v>
      </c>
      <c r="F151" s="1" t="s">
        <v>89</v>
      </c>
      <c r="G151" s="1" t="s">
        <v>68</v>
      </c>
      <c r="H151" s="1" t="s">
        <v>33</v>
      </c>
      <c r="I151" s="1" t="s">
        <v>58</v>
      </c>
      <c r="J151" s="1" t="s">
        <v>77</v>
      </c>
      <c r="K151" s="1" t="s">
        <v>90</v>
      </c>
      <c r="L151" s="1" t="s">
        <v>61</v>
      </c>
      <c r="M151" s="1" t="s">
        <v>62</v>
      </c>
      <c r="N151" s="1" t="n">
        <v>19999</v>
      </c>
      <c r="O151" s="1" t="n">
        <v>30</v>
      </c>
      <c r="P151" s="1" t="n">
        <v>5999.7</v>
      </c>
      <c r="Q151" s="1" t="n">
        <v>13999.3</v>
      </c>
      <c r="R151" s="1" t="n">
        <v>2519.87</v>
      </c>
      <c r="S151" s="1" t="n">
        <v>11479.43</v>
      </c>
      <c r="T151" s="1" t="n">
        <v>4946.9</v>
      </c>
      <c r="U151" s="1" t="n">
        <v>6532.53</v>
      </c>
      <c r="V151" s="1" t="n">
        <v>56.91</v>
      </c>
      <c r="W151" s="1" t="s">
        <v>39</v>
      </c>
      <c r="Y151" s="1" t="s">
        <v>40</v>
      </c>
      <c r="Z151" s="1" t="n">
        <v>0</v>
      </c>
      <c r="AA151" s="1" t="str">
        <f aca="false">TRIM(PROPER(F151))</f>
        <v>Vadodara</v>
      </c>
      <c r="AB151" s="1" t="str">
        <f aca="false">TRIM(PROPER(C151))</f>
        <v>Embibe</v>
      </c>
      <c r="AC151" s="1" t="str">
        <f aca="false">IF(O151=0,"No Discount",IF(O151&lt;=15,"Low (1-15%)",IF(O151&lt;=30,"Medium (16-30%)","High (&gt;30%)")))</f>
        <v>Medium (16-30%)</v>
      </c>
      <c r="AD151" s="1" t="str">
        <f aca="false">IF(V151&lt;0,"Loss Making",IF(V151&lt;20,"Low Margin","Healthy Margin"))</f>
        <v>Healthy Margin</v>
      </c>
      <c r="AE151" s="1" t="str">
        <f aca="false">TEXT(DATE(VALUE(RIGHT(B151,4)),VALUE(MID(B151,4,2)),VALUE(LEFT(B151,2))),"MMM-YYYY")</f>
        <v>Aug-2023</v>
      </c>
      <c r="AF151" s="1" t="n">
        <f aca="false">VALUE(RIGHT(B151,4))</f>
        <v>2023</v>
      </c>
      <c r="AG151" s="1" t="str">
        <f aca="false">CHOOSE(ROUNDUP(VALUE(MID(B151,4,2))/3,0),"Q1","Q2","Q3","Q4")</f>
        <v>Q3</v>
      </c>
    </row>
    <row r="152" customFormat="false" ht="15" hidden="false" customHeight="true" outlineLevel="0" collapsed="false">
      <c r="A152" s="1" t="s">
        <v>433</v>
      </c>
      <c r="B152" s="1" t="s">
        <v>304</v>
      </c>
      <c r="C152" s="1" t="s">
        <v>134</v>
      </c>
      <c r="D152" s="1" t="s">
        <v>143</v>
      </c>
      <c r="E152" s="1" t="s">
        <v>159</v>
      </c>
      <c r="F152" s="1" t="s">
        <v>244</v>
      </c>
      <c r="G152" s="1" t="s">
        <v>97</v>
      </c>
      <c r="H152" s="1" t="s">
        <v>57</v>
      </c>
      <c r="I152" s="1" t="s">
        <v>83</v>
      </c>
      <c r="J152" s="1" t="s">
        <v>131</v>
      </c>
      <c r="K152" s="1" t="s">
        <v>36</v>
      </c>
      <c r="L152" s="1" t="s">
        <v>136</v>
      </c>
      <c r="M152" s="1" t="s">
        <v>38</v>
      </c>
      <c r="N152" s="1" t="n">
        <v>24999</v>
      </c>
      <c r="O152" s="1" t="n">
        <v>20</v>
      </c>
      <c r="P152" s="1" t="n">
        <v>4999.8</v>
      </c>
      <c r="Q152" s="1" t="n">
        <v>19999.2</v>
      </c>
      <c r="R152" s="1" t="n">
        <v>3599.86</v>
      </c>
      <c r="S152" s="1" t="n">
        <v>16399.34</v>
      </c>
      <c r="T152" s="1" t="n">
        <v>8190.38</v>
      </c>
      <c r="U152" s="1" t="n">
        <v>8208.96</v>
      </c>
      <c r="V152" s="1" t="n">
        <v>50.06</v>
      </c>
      <c r="W152" s="1" t="s">
        <v>40</v>
      </c>
      <c r="Y152" s="1" t="s">
        <v>39</v>
      </c>
      <c r="Z152" s="1" t="n">
        <v>2</v>
      </c>
      <c r="AA152" s="1" t="str">
        <f aca="false">TRIM(PROPER(F152))</f>
        <v>Nagpur</v>
      </c>
      <c r="AB152" s="1" t="str">
        <f aca="false">TRIM(PROPER(C152))</f>
        <v>Doubtnut</v>
      </c>
      <c r="AC152" s="1" t="str">
        <f aca="false">IF(O152=0,"No Discount",IF(O152&lt;=15,"Low (1-15%)",IF(O152&lt;=30,"Medium (16-30%)","High (&gt;30%)")))</f>
        <v>Medium (16-30%)</v>
      </c>
      <c r="AD152" s="1" t="str">
        <f aca="false">IF(V152&lt;0,"Loss Making",IF(V152&lt;20,"Low Margin","Healthy Margin"))</f>
        <v>Healthy Margin</v>
      </c>
      <c r="AE152" s="1" t="str">
        <f aca="false">TEXT(DATE(VALUE(RIGHT(B152,4)),VALUE(MID(B152,4,2)),VALUE(LEFT(B152,2))),"MMM-YYYY")</f>
        <v>Oct-2023</v>
      </c>
      <c r="AF152" s="1" t="n">
        <f aca="false">VALUE(RIGHT(B152,4))</f>
        <v>2023</v>
      </c>
      <c r="AG152" s="1" t="str">
        <f aca="false">CHOOSE(ROUNDUP(VALUE(MID(B152,4,2))/3,0),"Q1","Q2","Q3","Q4")</f>
        <v>Q4</v>
      </c>
    </row>
    <row r="153" customFormat="false" ht="15" hidden="false" customHeight="true" outlineLevel="0" collapsed="false">
      <c r="A153" s="1" t="s">
        <v>434</v>
      </c>
      <c r="B153" s="1" t="s">
        <v>435</v>
      </c>
      <c r="C153" s="1" t="s">
        <v>436</v>
      </c>
      <c r="D153" s="1" t="s">
        <v>29</v>
      </c>
      <c r="E153" s="1" t="s">
        <v>305</v>
      </c>
      <c r="F153" s="1" t="s">
        <v>130</v>
      </c>
      <c r="G153" s="1" t="s">
        <v>47</v>
      </c>
      <c r="H153" s="1" t="s">
        <v>69</v>
      </c>
      <c r="I153" s="1" t="s">
        <v>34</v>
      </c>
      <c r="J153" s="1" t="s">
        <v>131</v>
      </c>
      <c r="K153" s="1" t="s">
        <v>90</v>
      </c>
      <c r="L153" s="1" t="s">
        <v>49</v>
      </c>
      <c r="M153" s="1" t="s">
        <v>62</v>
      </c>
      <c r="N153" s="1" t="n">
        <v>24999</v>
      </c>
      <c r="O153" s="1" t="n">
        <v>20</v>
      </c>
      <c r="P153" s="1" t="n">
        <v>4999.8</v>
      </c>
      <c r="Q153" s="1" t="n">
        <v>19999.2</v>
      </c>
      <c r="R153" s="1" t="n">
        <v>3599.86</v>
      </c>
      <c r="S153" s="1" t="n">
        <v>16399.34</v>
      </c>
      <c r="T153" s="1" t="n">
        <v>6706.66</v>
      </c>
      <c r="U153" s="1" t="n">
        <v>9692.68</v>
      </c>
      <c r="V153" s="1" t="n">
        <v>59.1</v>
      </c>
      <c r="W153" s="1" t="s">
        <v>40</v>
      </c>
      <c r="Y153" s="1" t="s">
        <v>40</v>
      </c>
      <c r="Z153" s="1" t="n">
        <v>0</v>
      </c>
      <c r="AA153" s="1" t="str">
        <f aca="false">TRIM(PROPER(F153))</f>
        <v>Bengaluru</v>
      </c>
      <c r="AB153" s="1" t="str">
        <f aca="false">TRIM(PROPER(C153))</f>
        <v>Toppr</v>
      </c>
      <c r="AC153" s="1" t="str">
        <f aca="false">IF(O153=0,"No Discount",IF(O153&lt;=15,"Low (1-15%)",IF(O153&lt;=30,"Medium (16-30%)","High (&gt;30%)")))</f>
        <v>Medium (16-30%)</v>
      </c>
      <c r="AD153" s="1" t="str">
        <f aca="false">IF(V153&lt;0,"Loss Making",IF(V153&lt;20,"Low Margin","Healthy Margin"))</f>
        <v>Healthy Margin</v>
      </c>
      <c r="AE153" s="1" t="str">
        <f aca="false">TEXT(DATE(VALUE(RIGHT(B153,4)),VALUE(MID(B153,4,2)),VALUE(LEFT(B153,2))),"MMM-YYYY")</f>
        <v>Feb-2024</v>
      </c>
      <c r="AF153" s="1" t="n">
        <f aca="false">VALUE(RIGHT(B153,4))</f>
        <v>2024</v>
      </c>
      <c r="AG153" s="1" t="str">
        <f aca="false">CHOOSE(ROUNDUP(VALUE(MID(B153,4,2))/3,0),"Q1","Q2","Q3","Q4")</f>
        <v>Q1</v>
      </c>
    </row>
    <row r="154" customFormat="false" ht="15" hidden="false" customHeight="true" outlineLevel="0" collapsed="false">
      <c r="A154" s="1" t="s">
        <v>437</v>
      </c>
      <c r="B154" s="1" t="s">
        <v>438</v>
      </c>
      <c r="C154" s="1" t="s">
        <v>65</v>
      </c>
      <c r="D154" s="1" t="s">
        <v>29</v>
      </c>
      <c r="E154" s="1" t="s">
        <v>305</v>
      </c>
      <c r="F154" s="1" t="s">
        <v>67</v>
      </c>
      <c r="G154" s="1" t="s">
        <v>68</v>
      </c>
      <c r="H154" s="1" t="s">
        <v>69</v>
      </c>
      <c r="I154" s="1" t="s">
        <v>58</v>
      </c>
      <c r="J154" s="1" t="s">
        <v>131</v>
      </c>
      <c r="K154" s="1" t="s">
        <v>71</v>
      </c>
      <c r="L154" s="1" t="s">
        <v>136</v>
      </c>
      <c r="M154" s="1" t="s">
        <v>62</v>
      </c>
      <c r="N154" s="1" t="n">
        <v>24999</v>
      </c>
      <c r="O154" s="1" t="n">
        <v>0</v>
      </c>
      <c r="P154" s="1" t="n">
        <v>0</v>
      </c>
      <c r="Q154" s="1" t="n">
        <v>24999</v>
      </c>
      <c r="R154" s="1" t="n">
        <v>4499.82</v>
      </c>
      <c r="S154" s="1" t="n">
        <v>20499.18</v>
      </c>
      <c r="T154" s="1" t="n">
        <v>6634.51</v>
      </c>
      <c r="U154" s="1" t="n">
        <v>13864.67</v>
      </c>
      <c r="V154" s="1" t="n">
        <v>67.64</v>
      </c>
      <c r="W154" s="1" t="s">
        <v>39</v>
      </c>
      <c r="X154" s="1" t="n">
        <v>3.4</v>
      </c>
      <c r="Y154" s="1" t="s">
        <v>40</v>
      </c>
      <c r="Z154" s="1" t="n">
        <v>1</v>
      </c>
      <c r="AA154" s="1" t="str">
        <f aca="false">TRIM(PROPER(F154))</f>
        <v>Ahmedabad</v>
      </c>
      <c r="AB154" s="1" t="str">
        <f aca="false">TRIM(PROPER(C154))</f>
        <v>Toppr</v>
      </c>
      <c r="AC154" s="1" t="str">
        <f aca="false">IF(O154=0,"No Discount",IF(O154&lt;=15,"Low (1-15%)",IF(O154&lt;=30,"Medium (16-30%)","High (&gt;30%)")))</f>
        <v>No Discount</v>
      </c>
      <c r="AD154" s="1" t="str">
        <f aca="false">IF(V154&lt;0,"Loss Making",IF(V154&lt;20,"Low Margin","Healthy Margin"))</f>
        <v>Healthy Margin</v>
      </c>
      <c r="AE154" s="1" t="str">
        <f aca="false">TEXT(DATE(VALUE(RIGHT(B154,4)),VALUE(MID(B154,4,2)),VALUE(LEFT(B154,2))),"MMM-YYYY")</f>
        <v>May-2023</v>
      </c>
      <c r="AF154" s="1" t="n">
        <f aca="false">VALUE(RIGHT(B154,4))</f>
        <v>2023</v>
      </c>
      <c r="AG154" s="1" t="str">
        <f aca="false">CHOOSE(ROUNDUP(VALUE(MID(B154,4,2))/3,0),"Q1","Q2","Q3","Q4")</f>
        <v>Q2</v>
      </c>
    </row>
    <row r="155" customFormat="false" ht="15" hidden="false" customHeight="true" outlineLevel="0" collapsed="false">
      <c r="A155" s="1" t="s">
        <v>439</v>
      </c>
      <c r="B155" s="1" t="s">
        <v>251</v>
      </c>
      <c r="C155" s="1" t="s">
        <v>43</v>
      </c>
      <c r="D155" s="1" t="s">
        <v>143</v>
      </c>
      <c r="E155" s="1" t="s">
        <v>243</v>
      </c>
      <c r="F155" s="1" t="s">
        <v>187</v>
      </c>
      <c r="G155" s="1" t="s">
        <v>97</v>
      </c>
      <c r="H155" s="1" t="s">
        <v>69</v>
      </c>
      <c r="I155" s="1" t="s">
        <v>34</v>
      </c>
      <c r="J155" s="1" t="s">
        <v>70</v>
      </c>
      <c r="K155" s="1" t="s">
        <v>60</v>
      </c>
      <c r="L155" s="1" t="s">
        <v>49</v>
      </c>
      <c r="M155" s="1" t="s">
        <v>38</v>
      </c>
      <c r="N155" s="1" t="n">
        <v>22999</v>
      </c>
      <c r="O155" s="1" t="n">
        <v>10</v>
      </c>
      <c r="P155" s="1" t="n">
        <v>2299.9</v>
      </c>
      <c r="Q155" s="1" t="n">
        <v>20699.1</v>
      </c>
      <c r="R155" s="1" t="n">
        <v>3725.84</v>
      </c>
      <c r="S155" s="1" t="n">
        <v>16973.26</v>
      </c>
      <c r="T155" s="1" t="n">
        <v>7475.97</v>
      </c>
      <c r="U155" s="1" t="n">
        <v>9497.29</v>
      </c>
      <c r="V155" s="1" t="n">
        <v>55.95</v>
      </c>
      <c r="W155" s="1" t="s">
        <v>40</v>
      </c>
      <c r="Y155" s="1" t="s">
        <v>40</v>
      </c>
      <c r="Z155" s="1" t="n">
        <v>3</v>
      </c>
      <c r="AA155" s="1" t="str">
        <f aca="false">TRIM(PROPER(F155))</f>
        <v>Mumbai</v>
      </c>
      <c r="AB155" s="1" t="str">
        <f aca="false">TRIM(PROPER(C155))</f>
        <v>Meritnation</v>
      </c>
      <c r="AC155" s="1" t="str">
        <f aca="false">IF(O155=0,"No Discount",IF(O155&lt;=15,"Low (1-15%)",IF(O155&lt;=30,"Medium (16-30%)","High (&gt;30%)")))</f>
        <v>Low (1-15%)</v>
      </c>
      <c r="AD155" s="1" t="str">
        <f aca="false">IF(V155&lt;0,"Loss Making",IF(V155&lt;20,"Low Margin","Healthy Margin"))</f>
        <v>Healthy Margin</v>
      </c>
      <c r="AE155" s="1" t="str">
        <f aca="false">TEXT(DATE(VALUE(RIGHT(B155,4)),VALUE(MID(B155,4,2)),VALUE(LEFT(B155,2))),"MMM-YYYY")</f>
        <v>Apr-2023</v>
      </c>
      <c r="AF155" s="1" t="n">
        <f aca="false">VALUE(RIGHT(B155,4))</f>
        <v>2023</v>
      </c>
      <c r="AG155" s="1" t="str">
        <f aca="false">CHOOSE(ROUNDUP(VALUE(MID(B155,4,2))/3,0),"Q1","Q2","Q3","Q4")</f>
        <v>Q2</v>
      </c>
    </row>
    <row r="156" customFormat="false" ht="15" hidden="false" customHeight="true" outlineLevel="0" collapsed="false">
      <c r="A156" s="1" t="s">
        <v>440</v>
      </c>
      <c r="B156" s="1" t="s">
        <v>441</v>
      </c>
      <c r="C156" s="1" t="s">
        <v>442</v>
      </c>
      <c r="D156" s="1" t="s">
        <v>168</v>
      </c>
      <c r="E156" s="1" t="s">
        <v>328</v>
      </c>
      <c r="F156" s="1" t="s">
        <v>140</v>
      </c>
      <c r="G156" s="1" t="s">
        <v>97</v>
      </c>
      <c r="H156" s="1" t="s">
        <v>57</v>
      </c>
      <c r="I156" s="1" t="s">
        <v>34</v>
      </c>
      <c r="J156" s="1" t="s">
        <v>35</v>
      </c>
      <c r="K156" s="1" t="s">
        <v>48</v>
      </c>
      <c r="L156" s="1" t="s">
        <v>113</v>
      </c>
      <c r="M156" s="1" t="s">
        <v>38</v>
      </c>
      <c r="N156" s="1" t="n">
        <v>8999</v>
      </c>
      <c r="O156" s="1" t="n">
        <v>50</v>
      </c>
      <c r="P156" s="1" t="n">
        <v>4499.5</v>
      </c>
      <c r="Q156" s="1" t="n">
        <v>4499.5</v>
      </c>
      <c r="R156" s="1" t="n">
        <v>809.91</v>
      </c>
      <c r="S156" s="1" t="n">
        <v>3689.59</v>
      </c>
      <c r="T156" s="1" t="n">
        <v>1942.67</v>
      </c>
      <c r="U156" s="1" t="n">
        <v>1746.92</v>
      </c>
      <c r="V156" s="1" t="n">
        <v>47.35</v>
      </c>
      <c r="W156" s="1" t="s">
        <v>39</v>
      </c>
      <c r="X156" s="1" t="n">
        <v>3.5</v>
      </c>
      <c r="Y156" s="1" t="s">
        <v>40</v>
      </c>
      <c r="Z156" s="1" t="n">
        <v>0</v>
      </c>
      <c r="AA156" s="1" t="str">
        <f aca="false">TRIM(PROPER(F156))</f>
        <v>Nashik</v>
      </c>
      <c r="AB156" s="1" t="str">
        <f aca="false">TRIM(PROPER(C156))</f>
        <v>Embibe</v>
      </c>
      <c r="AC156" s="1" t="str">
        <f aca="false">IF(O156=0,"No Discount",IF(O156&lt;=15,"Low (1-15%)",IF(O156&lt;=30,"Medium (16-30%)","High (&gt;30%)")))</f>
        <v>High (&gt;30%)</v>
      </c>
      <c r="AD156" s="1" t="str">
        <f aca="false">IF(V156&lt;0,"Loss Making",IF(V156&lt;20,"Low Margin","Healthy Margin"))</f>
        <v>Healthy Margin</v>
      </c>
      <c r="AE156" s="1" t="str">
        <f aca="false">TEXT(DATE(VALUE(RIGHT(B156,4)),VALUE(MID(B156,4,2)),VALUE(LEFT(B156,2))),"MMM-YYYY")</f>
        <v>Aug-2024</v>
      </c>
      <c r="AF156" s="1" t="n">
        <f aca="false">VALUE(RIGHT(B156,4))</f>
        <v>2024</v>
      </c>
      <c r="AG156" s="1" t="str">
        <f aca="false">CHOOSE(ROUNDUP(VALUE(MID(B156,4,2))/3,0),"Q1","Q2","Q3","Q4")</f>
        <v>Q3</v>
      </c>
    </row>
    <row r="157" customFormat="false" ht="15" hidden="false" customHeight="true" outlineLevel="0" collapsed="false">
      <c r="A157" s="1" t="s">
        <v>443</v>
      </c>
      <c r="B157" s="1" t="s">
        <v>444</v>
      </c>
      <c r="C157" s="1" t="s">
        <v>128</v>
      </c>
      <c r="D157" s="1" t="s">
        <v>80</v>
      </c>
      <c r="E157" s="1" t="s">
        <v>190</v>
      </c>
      <c r="F157" s="1" t="s">
        <v>244</v>
      </c>
      <c r="G157" s="1" t="s">
        <v>97</v>
      </c>
      <c r="H157" s="1" t="s">
        <v>57</v>
      </c>
      <c r="I157" s="1" t="s">
        <v>83</v>
      </c>
      <c r="J157" s="1" t="s">
        <v>59</v>
      </c>
      <c r="K157" s="1" t="s">
        <v>104</v>
      </c>
      <c r="L157" s="1" t="s">
        <v>61</v>
      </c>
      <c r="M157" s="1" t="s">
        <v>62</v>
      </c>
      <c r="N157" s="1" t="n">
        <v>15999</v>
      </c>
      <c r="O157" s="1" t="n">
        <v>20</v>
      </c>
      <c r="P157" s="1" t="n">
        <v>3199.8</v>
      </c>
      <c r="Q157" s="1" t="n">
        <v>12799.2</v>
      </c>
      <c r="R157" s="1" t="n">
        <v>2303.86</v>
      </c>
      <c r="S157" s="1" t="n">
        <v>10495.34</v>
      </c>
      <c r="T157" s="1" t="n">
        <v>4440.18</v>
      </c>
      <c r="U157" s="1" t="n">
        <v>6055.16</v>
      </c>
      <c r="V157" s="1" t="n">
        <v>57.69</v>
      </c>
      <c r="W157" s="1" t="s">
        <v>40</v>
      </c>
      <c r="Y157" s="1" t="s">
        <v>40</v>
      </c>
      <c r="Z157" s="1" t="n">
        <v>0</v>
      </c>
      <c r="AA157" s="1" t="str">
        <f aca="false">TRIM(PROPER(F157))</f>
        <v>Nagpur</v>
      </c>
      <c r="AB157" s="1" t="str">
        <f aca="false">TRIM(PROPER(C157))</f>
        <v>Great Learning</v>
      </c>
      <c r="AC157" s="1" t="str">
        <f aca="false">IF(O157=0,"No Discount",IF(O157&lt;=15,"Low (1-15%)",IF(O157&lt;=30,"Medium (16-30%)","High (&gt;30%)")))</f>
        <v>Medium (16-30%)</v>
      </c>
      <c r="AD157" s="1" t="str">
        <f aca="false">IF(V157&lt;0,"Loss Making",IF(V157&lt;20,"Low Margin","Healthy Margin"))</f>
        <v>Healthy Margin</v>
      </c>
      <c r="AE157" s="1" t="str">
        <f aca="false">TEXT(DATE(VALUE(RIGHT(B157,4)),VALUE(MID(B157,4,2)),VALUE(LEFT(B157,2))),"MMM-YYYY")</f>
        <v>Oct-2024</v>
      </c>
      <c r="AF157" s="1" t="n">
        <f aca="false">VALUE(RIGHT(B157,4))</f>
        <v>2024</v>
      </c>
      <c r="AG157" s="1" t="str">
        <f aca="false">CHOOSE(ROUNDUP(VALUE(MID(B157,4,2))/3,0),"Q1","Q2","Q3","Q4")</f>
        <v>Q4</v>
      </c>
    </row>
    <row r="158" customFormat="false" ht="15" hidden="false" customHeight="true" outlineLevel="0" collapsed="false">
      <c r="A158" s="1" t="s">
        <v>445</v>
      </c>
      <c r="B158" s="1" t="s">
        <v>268</v>
      </c>
      <c r="C158" s="1" t="s">
        <v>100</v>
      </c>
      <c r="D158" s="1" t="s">
        <v>80</v>
      </c>
      <c r="E158" s="1" t="s">
        <v>190</v>
      </c>
      <c r="F158" s="1" t="s">
        <v>31</v>
      </c>
      <c r="G158" s="1" t="s">
        <v>32</v>
      </c>
      <c r="H158" s="1" t="s">
        <v>33</v>
      </c>
      <c r="I158" s="1" t="s">
        <v>58</v>
      </c>
      <c r="J158" s="1" t="s">
        <v>77</v>
      </c>
      <c r="K158" s="1" t="s">
        <v>48</v>
      </c>
      <c r="L158" s="1" t="s">
        <v>37</v>
      </c>
      <c r="M158" s="1" t="s">
        <v>50</v>
      </c>
      <c r="N158" s="1" t="n">
        <v>15999</v>
      </c>
      <c r="O158" s="1" t="n">
        <v>0</v>
      </c>
      <c r="P158" s="1" t="n">
        <v>0</v>
      </c>
      <c r="Q158" s="1" t="n">
        <v>15999</v>
      </c>
      <c r="R158" s="1" t="n">
        <v>2879.82</v>
      </c>
      <c r="S158" s="1" t="n">
        <v>13119.18</v>
      </c>
      <c r="T158" s="1" t="n">
        <v>5549.68</v>
      </c>
      <c r="U158" s="1" t="n">
        <v>7569.5</v>
      </c>
      <c r="V158" s="1" t="n">
        <v>57.7</v>
      </c>
      <c r="W158" s="1" t="s">
        <v>39</v>
      </c>
      <c r="X158" s="1" t="n">
        <v>3.2</v>
      </c>
      <c r="Y158" s="1" t="s">
        <v>39</v>
      </c>
      <c r="Z158" s="1" t="n">
        <v>0</v>
      </c>
      <c r="AA158" s="1" t="str">
        <f aca="false">TRIM(PROPER(F158))</f>
        <v>Jodhpur</v>
      </c>
      <c r="AB158" s="1" t="str">
        <f aca="false">TRIM(PROPER(C158))</f>
        <v>Physics Wallah</v>
      </c>
      <c r="AC158" s="1" t="str">
        <f aca="false">IF(O158=0,"No Discount",IF(O158&lt;=15,"Low (1-15%)",IF(O158&lt;=30,"Medium (16-30%)","High (&gt;30%)")))</f>
        <v>No Discount</v>
      </c>
      <c r="AD158" s="1" t="str">
        <f aca="false">IF(V158&lt;0,"Loss Making",IF(V158&lt;20,"Low Margin","Healthy Margin"))</f>
        <v>Healthy Margin</v>
      </c>
      <c r="AE158" s="1" t="str">
        <f aca="false">TEXT(DATE(VALUE(RIGHT(B158,4)),VALUE(MID(B158,4,2)),VALUE(LEFT(B158,2))),"MMM-YYYY")</f>
        <v>Aug-2023</v>
      </c>
      <c r="AF158" s="1" t="n">
        <f aca="false">VALUE(RIGHT(B158,4))</f>
        <v>2023</v>
      </c>
      <c r="AG158" s="1" t="str">
        <f aca="false">CHOOSE(ROUNDUP(VALUE(MID(B158,4,2))/3,0),"Q1","Q2","Q3","Q4")</f>
        <v>Q3</v>
      </c>
    </row>
    <row r="159" customFormat="false" ht="15" hidden="false" customHeight="true" outlineLevel="0" collapsed="false">
      <c r="A159" s="1" t="s">
        <v>446</v>
      </c>
      <c r="B159" s="1" t="s">
        <v>171</v>
      </c>
      <c r="C159" s="1" t="s">
        <v>43</v>
      </c>
      <c r="D159" s="1" t="s">
        <v>44</v>
      </c>
      <c r="E159" s="1" t="s">
        <v>221</v>
      </c>
      <c r="F159" s="1" t="s">
        <v>150</v>
      </c>
      <c r="G159" s="1" t="s">
        <v>32</v>
      </c>
      <c r="H159" s="1" t="s">
        <v>57</v>
      </c>
      <c r="I159" s="1" t="s">
        <v>58</v>
      </c>
      <c r="J159" s="1" t="s">
        <v>70</v>
      </c>
      <c r="K159" s="1" t="s">
        <v>36</v>
      </c>
      <c r="L159" s="1" t="s">
        <v>136</v>
      </c>
      <c r="M159" s="1" t="s">
        <v>62</v>
      </c>
      <c r="N159" s="1" t="n">
        <v>16999</v>
      </c>
      <c r="O159" s="1" t="n">
        <v>25</v>
      </c>
      <c r="P159" s="1" t="n">
        <v>4249.75</v>
      </c>
      <c r="Q159" s="1" t="n">
        <v>12749.25</v>
      </c>
      <c r="R159" s="1" t="n">
        <v>2294.86</v>
      </c>
      <c r="S159" s="1" t="n">
        <v>10454.39</v>
      </c>
      <c r="T159" s="1" t="n">
        <v>4244.08</v>
      </c>
      <c r="U159" s="1" t="n">
        <v>6210.31</v>
      </c>
      <c r="V159" s="1" t="n">
        <v>59.4</v>
      </c>
      <c r="W159" s="1" t="s">
        <v>40</v>
      </c>
      <c r="Y159" s="1" t="s">
        <v>40</v>
      </c>
      <c r="Z159" s="1" t="n">
        <v>0</v>
      </c>
      <c r="AA159" s="1" t="str">
        <f aca="false">TRIM(PROPER(F159))</f>
        <v>Jaipur</v>
      </c>
      <c r="AB159" s="1" t="str">
        <f aca="false">TRIM(PROPER(C159))</f>
        <v>Meritnation</v>
      </c>
      <c r="AC159" s="1" t="str">
        <f aca="false">IF(O159=0,"No Discount",IF(O159&lt;=15,"Low (1-15%)",IF(O159&lt;=30,"Medium (16-30%)","High (&gt;30%)")))</f>
        <v>Medium (16-30%)</v>
      </c>
      <c r="AD159" s="1" t="str">
        <f aca="false">IF(V159&lt;0,"Loss Making",IF(V159&lt;20,"Low Margin","Healthy Margin"))</f>
        <v>Healthy Margin</v>
      </c>
      <c r="AE159" s="1" t="str">
        <f aca="false">TEXT(DATE(VALUE(RIGHT(B159,4)),VALUE(MID(B159,4,2)),VALUE(LEFT(B159,2))),"MMM-YYYY")</f>
        <v>May-2023</v>
      </c>
      <c r="AF159" s="1" t="n">
        <f aca="false">VALUE(RIGHT(B159,4))</f>
        <v>2023</v>
      </c>
      <c r="AG159" s="1" t="str">
        <f aca="false">CHOOSE(ROUNDUP(VALUE(MID(B159,4,2))/3,0),"Q1","Q2","Q3","Q4")</f>
        <v>Q2</v>
      </c>
    </row>
    <row r="160" customFormat="false" ht="15" hidden="false" customHeight="true" outlineLevel="0" collapsed="false">
      <c r="A160" s="1" t="s">
        <v>447</v>
      </c>
      <c r="B160" s="1" t="s">
        <v>448</v>
      </c>
      <c r="C160" s="1" t="s">
        <v>249</v>
      </c>
      <c r="D160" s="1" t="s">
        <v>143</v>
      </c>
      <c r="E160" s="1" t="s">
        <v>144</v>
      </c>
      <c r="F160" s="1" t="s">
        <v>82</v>
      </c>
      <c r="G160" s="1" t="s">
        <v>56</v>
      </c>
      <c r="H160" s="1" t="s">
        <v>69</v>
      </c>
      <c r="I160" s="1" t="s">
        <v>34</v>
      </c>
      <c r="J160" s="1" t="s">
        <v>59</v>
      </c>
      <c r="K160" s="1" t="s">
        <v>84</v>
      </c>
      <c r="L160" s="1" t="s">
        <v>61</v>
      </c>
      <c r="M160" s="1" t="s">
        <v>62</v>
      </c>
      <c r="N160" s="1" t="n">
        <v>12999</v>
      </c>
      <c r="O160" s="1" t="n">
        <v>5</v>
      </c>
      <c r="P160" s="1" t="n">
        <v>649.95</v>
      </c>
      <c r="Q160" s="1" t="n">
        <v>12349.05</v>
      </c>
      <c r="R160" s="1" t="n">
        <v>2222.83</v>
      </c>
      <c r="S160" s="1" t="n">
        <v>10126.22</v>
      </c>
      <c r="T160" s="1" t="n">
        <v>4100.48</v>
      </c>
      <c r="U160" s="1" t="n">
        <v>6025.74</v>
      </c>
      <c r="V160" s="1" t="n">
        <v>59.51</v>
      </c>
      <c r="W160" s="1" t="s">
        <v>39</v>
      </c>
      <c r="X160" s="1" t="n">
        <v>4</v>
      </c>
      <c r="Y160" s="1" t="s">
        <v>40</v>
      </c>
      <c r="Z160" s="1" t="n">
        <v>0</v>
      </c>
      <c r="AA160" s="1" t="str">
        <f aca="false">TRIM(PROPER(F160))</f>
        <v>Gurugram</v>
      </c>
      <c r="AB160" s="1" t="str">
        <f aca="false">TRIM(PROPER(C160))</f>
        <v>Whitehat Jr</v>
      </c>
      <c r="AC160" s="1" t="str">
        <f aca="false">IF(O160=0,"No Discount",IF(O160&lt;=15,"Low (1-15%)",IF(O160&lt;=30,"Medium (16-30%)","High (&gt;30%)")))</f>
        <v>Low (1-15%)</v>
      </c>
      <c r="AD160" s="1" t="str">
        <f aca="false">IF(V160&lt;0,"Loss Making",IF(V160&lt;20,"Low Margin","Healthy Margin"))</f>
        <v>Healthy Margin</v>
      </c>
      <c r="AE160" s="1" t="str">
        <f aca="false">TEXT(DATE(VALUE(RIGHT(B160,4)),VALUE(MID(B160,4,2)),VALUE(LEFT(B160,2))),"MMM-YYYY")</f>
        <v>Oct-2024</v>
      </c>
      <c r="AF160" s="1" t="n">
        <f aca="false">VALUE(RIGHT(B160,4))</f>
        <v>2024</v>
      </c>
      <c r="AG160" s="1" t="str">
        <f aca="false">CHOOSE(ROUNDUP(VALUE(MID(B160,4,2))/3,0),"Q1","Q2","Q3","Q4")</f>
        <v>Q4</v>
      </c>
    </row>
    <row r="161" customFormat="false" ht="15" hidden="false" customHeight="true" outlineLevel="0" collapsed="false">
      <c r="A161" s="1" t="s">
        <v>449</v>
      </c>
      <c r="B161" s="1" t="s">
        <v>450</v>
      </c>
      <c r="C161" s="1" t="s">
        <v>128</v>
      </c>
      <c r="D161" s="1" t="s">
        <v>94</v>
      </c>
      <c r="E161" s="1" t="s">
        <v>101</v>
      </c>
      <c r="F161" s="1" t="s">
        <v>125</v>
      </c>
      <c r="G161" s="1" t="s">
        <v>108</v>
      </c>
      <c r="H161" s="1" t="s">
        <v>69</v>
      </c>
      <c r="I161" s="1" t="s">
        <v>58</v>
      </c>
      <c r="J161" s="1" t="s">
        <v>77</v>
      </c>
      <c r="K161" s="1" t="s">
        <v>104</v>
      </c>
      <c r="L161" s="1" t="s">
        <v>85</v>
      </c>
      <c r="M161" s="1" t="s">
        <v>62</v>
      </c>
      <c r="N161" s="1" t="n">
        <v>14999</v>
      </c>
      <c r="O161" s="1" t="n">
        <v>0</v>
      </c>
      <c r="P161" s="1" t="n">
        <v>0</v>
      </c>
      <c r="Q161" s="1" t="n">
        <v>14999</v>
      </c>
      <c r="R161" s="1" t="n">
        <v>2699.82</v>
      </c>
      <c r="S161" s="1" t="n">
        <v>12299.18</v>
      </c>
      <c r="T161" s="1" t="n">
        <v>4540.19</v>
      </c>
      <c r="U161" s="1" t="n">
        <v>7758.99</v>
      </c>
      <c r="V161" s="1" t="n">
        <v>63.09</v>
      </c>
      <c r="W161" s="1" t="s">
        <v>39</v>
      </c>
      <c r="X161" s="1" t="n">
        <v>4</v>
      </c>
      <c r="Y161" s="1" t="s">
        <v>40</v>
      </c>
      <c r="Z161" s="1" t="n">
        <v>1</v>
      </c>
      <c r="AA161" s="1" t="str">
        <f aca="false">TRIM(PROPER(F161))</f>
        <v>Chennai</v>
      </c>
      <c r="AB161" s="1" t="str">
        <f aca="false">TRIM(PROPER(C161))</f>
        <v>Great Learning</v>
      </c>
      <c r="AC161" s="1" t="str">
        <f aca="false">IF(O161=0,"No Discount",IF(O161&lt;=15,"Low (1-15%)",IF(O161&lt;=30,"Medium (16-30%)","High (&gt;30%)")))</f>
        <v>No Discount</v>
      </c>
      <c r="AD161" s="1" t="str">
        <f aca="false">IF(V161&lt;0,"Loss Making",IF(V161&lt;20,"Low Margin","Healthy Margin"))</f>
        <v>Healthy Margin</v>
      </c>
      <c r="AE161" s="1" t="str">
        <f aca="false">TEXT(DATE(VALUE(RIGHT(B161,4)),VALUE(MID(B161,4,2)),VALUE(LEFT(B161,2))),"MMM-YYYY")</f>
        <v>Jul-2024</v>
      </c>
      <c r="AF161" s="1" t="n">
        <f aca="false">VALUE(RIGHT(B161,4))</f>
        <v>2024</v>
      </c>
      <c r="AG161" s="1" t="str">
        <f aca="false">CHOOSE(ROUNDUP(VALUE(MID(B161,4,2))/3,0),"Q1","Q2","Q3","Q4")</f>
        <v>Q3</v>
      </c>
    </row>
    <row r="162" customFormat="false" ht="15" hidden="false" customHeight="true" outlineLevel="0" collapsed="false">
      <c r="A162" s="1" t="s">
        <v>451</v>
      </c>
      <c r="B162" s="1" t="s">
        <v>452</v>
      </c>
      <c r="C162" s="1" t="s">
        <v>65</v>
      </c>
      <c r="D162" s="1" t="s">
        <v>168</v>
      </c>
      <c r="E162" s="1" t="s">
        <v>169</v>
      </c>
      <c r="F162" s="1" t="s">
        <v>153</v>
      </c>
      <c r="G162" s="1" t="s">
        <v>76</v>
      </c>
      <c r="H162" s="1" t="s">
        <v>33</v>
      </c>
      <c r="I162" s="1" t="s">
        <v>83</v>
      </c>
      <c r="J162" s="1" t="s">
        <v>77</v>
      </c>
      <c r="K162" s="1" t="s">
        <v>48</v>
      </c>
      <c r="L162" s="1" t="s">
        <v>136</v>
      </c>
      <c r="M162" s="1" t="s">
        <v>50</v>
      </c>
      <c r="N162" s="1" t="n">
        <v>4999</v>
      </c>
      <c r="O162" s="1" t="n">
        <v>30</v>
      </c>
      <c r="P162" s="1" t="n">
        <v>1499.7</v>
      </c>
      <c r="Q162" s="1" t="n">
        <v>3499.3</v>
      </c>
      <c r="R162" s="1" t="n">
        <v>629.87</v>
      </c>
      <c r="S162" s="1" t="n">
        <v>2869.43</v>
      </c>
      <c r="T162" s="1" t="n">
        <v>1423.69</v>
      </c>
      <c r="U162" s="1" t="n">
        <v>1445.74</v>
      </c>
      <c r="V162" s="1" t="n">
        <v>50.38</v>
      </c>
      <c r="W162" s="1" t="s">
        <v>39</v>
      </c>
      <c r="X162" s="1" t="n">
        <v>3.4</v>
      </c>
      <c r="Y162" s="1" t="s">
        <v>40</v>
      </c>
      <c r="Z162" s="1" t="n">
        <v>0</v>
      </c>
      <c r="AA162" s="1" t="str">
        <f aca="false">TRIM(PROPER(F162))</f>
        <v>Howrah</v>
      </c>
      <c r="AB162" s="1" t="str">
        <f aca="false">TRIM(PROPER(C162))</f>
        <v>Toppr</v>
      </c>
      <c r="AC162" s="1" t="str">
        <f aca="false">IF(O162=0,"No Discount",IF(O162&lt;=15,"Low (1-15%)",IF(O162&lt;=30,"Medium (16-30%)","High (&gt;30%)")))</f>
        <v>Medium (16-30%)</v>
      </c>
      <c r="AD162" s="1" t="str">
        <f aca="false">IF(V162&lt;0,"Loss Making",IF(V162&lt;20,"Low Margin","Healthy Margin"))</f>
        <v>Healthy Margin</v>
      </c>
      <c r="AE162" s="1" t="str">
        <f aca="false">TEXT(DATE(VALUE(RIGHT(B162,4)),VALUE(MID(B162,4,2)),VALUE(LEFT(B162,2))),"MMM-YYYY")</f>
        <v>Jul-2023</v>
      </c>
      <c r="AF162" s="1" t="n">
        <f aca="false">VALUE(RIGHT(B162,4))</f>
        <v>2023</v>
      </c>
      <c r="AG162" s="1" t="str">
        <f aca="false">CHOOSE(ROUNDUP(VALUE(MID(B162,4,2))/3,0),"Q1","Q2","Q3","Q4")</f>
        <v>Q3</v>
      </c>
    </row>
    <row r="163" customFormat="false" ht="15" hidden="false" customHeight="true" outlineLevel="0" collapsed="false">
      <c r="A163" s="1" t="s">
        <v>453</v>
      </c>
      <c r="B163" s="1" t="s">
        <v>454</v>
      </c>
      <c r="C163" s="1" t="s">
        <v>178</v>
      </c>
      <c r="D163" s="1" t="s">
        <v>168</v>
      </c>
      <c r="E163" s="1" t="s">
        <v>197</v>
      </c>
      <c r="F163" s="1" t="s">
        <v>156</v>
      </c>
      <c r="G163" s="1" t="s">
        <v>68</v>
      </c>
      <c r="H163" s="1" t="s">
        <v>57</v>
      </c>
      <c r="I163" s="1" t="s">
        <v>58</v>
      </c>
      <c r="J163" s="1" t="s">
        <v>70</v>
      </c>
      <c r="K163" s="1" t="s">
        <v>71</v>
      </c>
      <c r="L163" s="1" t="s">
        <v>61</v>
      </c>
      <c r="M163" s="1" t="s">
        <v>62</v>
      </c>
      <c r="N163" s="1" t="n">
        <v>8499</v>
      </c>
      <c r="O163" s="1" t="n">
        <v>5</v>
      </c>
      <c r="P163" s="1" t="n">
        <v>424.95</v>
      </c>
      <c r="Q163" s="1" t="n">
        <v>8074.05</v>
      </c>
      <c r="R163" s="1" t="n">
        <v>1453.33</v>
      </c>
      <c r="S163" s="1" t="n">
        <v>6620.72</v>
      </c>
      <c r="T163" s="1" t="n">
        <v>2568.1</v>
      </c>
      <c r="U163" s="1" t="n">
        <v>4052.62</v>
      </c>
      <c r="V163" s="1" t="n">
        <v>61.21</v>
      </c>
      <c r="W163" s="1" t="s">
        <v>39</v>
      </c>
      <c r="X163" s="1" t="n">
        <v>3.2</v>
      </c>
      <c r="Y163" s="1" t="s">
        <v>40</v>
      </c>
      <c r="Z163" s="1" t="n">
        <v>0</v>
      </c>
      <c r="AA163" s="1" t="str">
        <f aca="false">TRIM(PROPER(F163))</f>
        <v>Surat</v>
      </c>
      <c r="AB163" s="1" t="str">
        <f aca="false">TRIM(PROPER(C163))</f>
        <v>Leverage Edu</v>
      </c>
      <c r="AC163" s="1" t="str">
        <f aca="false">IF(O163=0,"No Discount",IF(O163&lt;=15,"Low (1-15%)",IF(O163&lt;=30,"Medium (16-30%)","High (&gt;30%)")))</f>
        <v>Low (1-15%)</v>
      </c>
      <c r="AD163" s="1" t="str">
        <f aca="false">IF(V163&lt;0,"Loss Making",IF(V163&lt;20,"Low Margin","Healthy Margin"))</f>
        <v>Healthy Margin</v>
      </c>
      <c r="AE163" s="1" t="str">
        <f aca="false">TEXT(DATE(VALUE(RIGHT(B163,4)),VALUE(MID(B163,4,2)),VALUE(LEFT(B163,2))),"MMM-YYYY")</f>
        <v>Apr-2023</v>
      </c>
      <c r="AF163" s="1" t="n">
        <f aca="false">VALUE(RIGHT(B163,4))</f>
        <v>2023</v>
      </c>
      <c r="AG163" s="1" t="str">
        <f aca="false">CHOOSE(ROUNDUP(VALUE(MID(B163,4,2))/3,0),"Q1","Q2","Q3","Q4")</f>
        <v>Q2</v>
      </c>
    </row>
    <row r="164" customFormat="false" ht="15" hidden="false" customHeight="true" outlineLevel="0" collapsed="false">
      <c r="A164" s="1" t="s">
        <v>455</v>
      </c>
      <c r="B164" s="1" t="s">
        <v>456</v>
      </c>
      <c r="C164" s="1" t="s">
        <v>43</v>
      </c>
      <c r="D164" s="1" t="s">
        <v>143</v>
      </c>
      <c r="E164" s="1" t="s">
        <v>162</v>
      </c>
      <c r="F164" s="1" t="s">
        <v>156</v>
      </c>
      <c r="G164" s="1" t="s">
        <v>68</v>
      </c>
      <c r="H164" s="1" t="s">
        <v>57</v>
      </c>
      <c r="I164" s="1" t="s">
        <v>83</v>
      </c>
      <c r="J164" s="1" t="s">
        <v>35</v>
      </c>
      <c r="K164" s="1" t="s">
        <v>90</v>
      </c>
      <c r="L164" s="1" t="s">
        <v>49</v>
      </c>
      <c r="M164" s="1" t="s">
        <v>38</v>
      </c>
      <c r="N164" s="1" t="n">
        <v>14999</v>
      </c>
      <c r="O164" s="1" t="n">
        <v>50</v>
      </c>
      <c r="P164" s="1" t="n">
        <v>7499.5</v>
      </c>
      <c r="Q164" s="1" t="n">
        <v>7499.5</v>
      </c>
      <c r="R164" s="1" t="n">
        <v>1349.91</v>
      </c>
      <c r="S164" s="1" t="n">
        <v>6149.59</v>
      </c>
      <c r="T164" s="1" t="n">
        <v>2489.21</v>
      </c>
      <c r="U164" s="1" t="n">
        <v>3660.38</v>
      </c>
      <c r="V164" s="1" t="n">
        <v>59.52</v>
      </c>
      <c r="W164" s="1" t="s">
        <v>39</v>
      </c>
      <c r="X164" s="1" t="n">
        <v>3.7</v>
      </c>
      <c r="Y164" s="1" t="s">
        <v>40</v>
      </c>
      <c r="Z164" s="1" t="n">
        <v>1</v>
      </c>
      <c r="AA164" s="1" t="str">
        <f aca="false">TRIM(PROPER(F164))</f>
        <v>Surat</v>
      </c>
      <c r="AB164" s="1" t="str">
        <f aca="false">TRIM(PROPER(C164))</f>
        <v>Meritnation</v>
      </c>
      <c r="AC164" s="1" t="str">
        <f aca="false">IF(O164=0,"No Discount",IF(O164&lt;=15,"Low (1-15%)",IF(O164&lt;=30,"Medium (16-30%)","High (&gt;30%)")))</f>
        <v>High (&gt;30%)</v>
      </c>
      <c r="AD164" s="1" t="str">
        <f aca="false">IF(V164&lt;0,"Loss Making",IF(V164&lt;20,"Low Margin","Healthy Margin"))</f>
        <v>Healthy Margin</v>
      </c>
      <c r="AE164" s="1" t="str">
        <f aca="false">TEXT(DATE(VALUE(RIGHT(B164,4)),VALUE(MID(B164,4,2)),VALUE(LEFT(B164,2))),"MMM-YYYY")</f>
        <v>Dec-2023</v>
      </c>
      <c r="AF164" s="1" t="n">
        <f aca="false">VALUE(RIGHT(B164,4))</f>
        <v>2023</v>
      </c>
      <c r="AG164" s="1" t="str">
        <f aca="false">CHOOSE(ROUNDUP(VALUE(MID(B164,4,2))/3,0),"Q1","Q2","Q3","Q4")</f>
        <v>Q4</v>
      </c>
    </row>
    <row r="165" customFormat="false" ht="15" hidden="false" customHeight="true" outlineLevel="0" collapsed="false">
      <c r="A165" s="1" t="s">
        <v>457</v>
      </c>
      <c r="B165" s="1" t="s">
        <v>458</v>
      </c>
      <c r="C165" s="1" t="s">
        <v>139</v>
      </c>
      <c r="D165" s="1" t="s">
        <v>168</v>
      </c>
      <c r="E165" s="1" t="s">
        <v>169</v>
      </c>
      <c r="F165" s="1" t="s">
        <v>184</v>
      </c>
      <c r="G165" s="1" t="s">
        <v>56</v>
      </c>
      <c r="H165" s="1" t="s">
        <v>57</v>
      </c>
      <c r="I165" s="1" t="s">
        <v>34</v>
      </c>
      <c r="J165" s="1" t="s">
        <v>131</v>
      </c>
      <c r="K165" s="1" t="s">
        <v>36</v>
      </c>
      <c r="L165" s="1" t="s">
        <v>113</v>
      </c>
      <c r="M165" s="1" t="s">
        <v>62</v>
      </c>
      <c r="N165" s="1" t="n">
        <v>4999</v>
      </c>
      <c r="O165" s="1" t="n">
        <v>0</v>
      </c>
      <c r="P165" s="1" t="n">
        <v>0</v>
      </c>
      <c r="Q165" s="1" t="n">
        <v>4999</v>
      </c>
      <c r="R165" s="1" t="n">
        <v>899.82</v>
      </c>
      <c r="S165" s="1" t="n">
        <v>4099.18</v>
      </c>
      <c r="T165" s="1" t="n">
        <v>2084.47</v>
      </c>
      <c r="U165" s="1" t="n">
        <v>2014.71</v>
      </c>
      <c r="V165" s="1" t="n">
        <v>49.15</v>
      </c>
      <c r="W165" s="1" t="s">
        <v>39</v>
      </c>
      <c r="X165" s="1" t="n">
        <v>3.7</v>
      </c>
      <c r="Y165" s="1" t="s">
        <v>40</v>
      </c>
      <c r="Z165" s="1" t="n">
        <v>0</v>
      </c>
      <c r="AA165" s="1" t="str">
        <f aca="false">TRIM(PROPER(F165))</f>
        <v>Faridabad</v>
      </c>
      <c r="AB165" s="1" t="str">
        <f aca="false">TRIM(PROPER(C165))</f>
        <v>Extramarks</v>
      </c>
      <c r="AC165" s="1" t="str">
        <f aca="false">IF(O165=0,"No Discount",IF(O165&lt;=15,"Low (1-15%)",IF(O165&lt;=30,"Medium (16-30%)","High (&gt;30%)")))</f>
        <v>No Discount</v>
      </c>
      <c r="AD165" s="1" t="str">
        <f aca="false">IF(V165&lt;0,"Loss Making",IF(V165&lt;20,"Low Margin","Healthy Margin"))</f>
        <v>Healthy Margin</v>
      </c>
      <c r="AE165" s="1" t="str">
        <f aca="false">TEXT(DATE(VALUE(RIGHT(B165,4)),VALUE(MID(B165,4,2)),VALUE(LEFT(B165,2))),"MMM-YYYY")</f>
        <v>Jan-2023</v>
      </c>
      <c r="AF165" s="1" t="n">
        <f aca="false">VALUE(RIGHT(B165,4))</f>
        <v>2023</v>
      </c>
      <c r="AG165" s="1" t="str">
        <f aca="false">CHOOSE(ROUNDUP(VALUE(MID(B165,4,2))/3,0),"Q1","Q2","Q3","Q4")</f>
        <v>Q1</v>
      </c>
    </row>
    <row r="166" customFormat="false" ht="15" hidden="false" customHeight="true" outlineLevel="0" collapsed="false">
      <c r="A166" s="1" t="s">
        <v>459</v>
      </c>
      <c r="B166" s="1" t="s">
        <v>460</v>
      </c>
      <c r="C166" s="1" t="s">
        <v>178</v>
      </c>
      <c r="D166" s="1" t="s">
        <v>29</v>
      </c>
      <c r="E166" s="1" t="s">
        <v>305</v>
      </c>
      <c r="F166" s="1" t="s">
        <v>269</v>
      </c>
      <c r="G166" s="1" t="s">
        <v>108</v>
      </c>
      <c r="H166" s="1" t="s">
        <v>57</v>
      </c>
      <c r="I166" s="1" t="s">
        <v>34</v>
      </c>
      <c r="J166" s="1" t="s">
        <v>70</v>
      </c>
      <c r="K166" s="1" t="s">
        <v>60</v>
      </c>
      <c r="L166" s="1" t="s">
        <v>85</v>
      </c>
      <c r="M166" s="1" t="s">
        <v>50</v>
      </c>
      <c r="N166" s="1" t="n">
        <v>24999</v>
      </c>
      <c r="O166" s="1" t="n">
        <v>5</v>
      </c>
      <c r="P166" s="1" t="n">
        <v>1249.95</v>
      </c>
      <c r="Q166" s="1" t="n">
        <v>23749.05</v>
      </c>
      <c r="R166" s="1" t="n">
        <v>4274.83</v>
      </c>
      <c r="S166" s="1" t="n">
        <v>19474.22</v>
      </c>
      <c r="T166" s="1" t="n">
        <v>6981.97</v>
      </c>
      <c r="U166" s="1" t="n">
        <v>12492.25</v>
      </c>
      <c r="V166" s="1" t="n">
        <v>64.15</v>
      </c>
      <c r="W166" s="1" t="s">
        <v>39</v>
      </c>
      <c r="X166" s="1" t="n">
        <v>4.1</v>
      </c>
      <c r="Y166" s="1" t="s">
        <v>40</v>
      </c>
      <c r="Z166" s="1" t="n">
        <v>0</v>
      </c>
      <c r="AA166" s="1" t="str">
        <f aca="false">TRIM(PROPER(F166))</f>
        <v>Coimbatore</v>
      </c>
      <c r="AB166" s="1" t="str">
        <f aca="false">TRIM(PROPER(C166))</f>
        <v>Leverage Edu</v>
      </c>
      <c r="AC166" s="1" t="str">
        <f aca="false">IF(O166=0,"No Discount",IF(O166&lt;=15,"Low (1-15%)",IF(O166&lt;=30,"Medium (16-30%)","High (&gt;30%)")))</f>
        <v>Low (1-15%)</v>
      </c>
      <c r="AD166" s="1" t="str">
        <f aca="false">IF(V166&lt;0,"Loss Making",IF(V166&lt;20,"Low Margin","Healthy Margin"))</f>
        <v>Healthy Margin</v>
      </c>
      <c r="AE166" s="1" t="str">
        <f aca="false">TEXT(DATE(VALUE(RIGHT(B166,4)),VALUE(MID(B166,4,2)),VALUE(LEFT(B166,2))),"MMM-YYYY")</f>
        <v>Apr-2023</v>
      </c>
      <c r="AF166" s="1" t="n">
        <f aca="false">VALUE(RIGHT(B166,4))</f>
        <v>2023</v>
      </c>
      <c r="AG166" s="1" t="str">
        <f aca="false">CHOOSE(ROUNDUP(VALUE(MID(B166,4,2))/3,0),"Q1","Q2","Q3","Q4")</f>
        <v>Q2</v>
      </c>
    </row>
    <row r="167" customFormat="false" ht="15" hidden="false" customHeight="true" outlineLevel="0" collapsed="false">
      <c r="A167" s="1" t="s">
        <v>461</v>
      </c>
      <c r="B167" s="1" t="s">
        <v>462</v>
      </c>
      <c r="C167" s="1" t="s">
        <v>74</v>
      </c>
      <c r="D167" s="1" t="s">
        <v>80</v>
      </c>
      <c r="E167" s="1" t="s">
        <v>190</v>
      </c>
      <c r="F167" s="1" t="s">
        <v>130</v>
      </c>
      <c r="G167" s="1" t="s">
        <v>47</v>
      </c>
      <c r="H167" s="1" t="s">
        <v>69</v>
      </c>
      <c r="I167" s="1" t="s">
        <v>34</v>
      </c>
      <c r="J167" s="1" t="s">
        <v>131</v>
      </c>
      <c r="K167" s="1" t="s">
        <v>48</v>
      </c>
      <c r="L167" s="1" t="s">
        <v>85</v>
      </c>
      <c r="M167" s="1" t="s">
        <v>62</v>
      </c>
      <c r="N167" s="1" t="n">
        <v>15999</v>
      </c>
      <c r="O167" s="1" t="n">
        <v>20</v>
      </c>
      <c r="P167" s="1" t="n">
        <v>3199.8</v>
      </c>
      <c r="Q167" s="1" t="n">
        <v>12799.2</v>
      </c>
      <c r="R167" s="1" t="n">
        <v>2303.86</v>
      </c>
      <c r="S167" s="1" t="n">
        <v>10495.34</v>
      </c>
      <c r="T167" s="1" t="n">
        <v>4415.72</v>
      </c>
      <c r="U167" s="1" t="n">
        <v>6079.62</v>
      </c>
      <c r="V167" s="1" t="n">
        <v>57.93</v>
      </c>
      <c r="W167" s="1" t="s">
        <v>39</v>
      </c>
      <c r="X167" s="1" t="n">
        <v>3.8</v>
      </c>
      <c r="Y167" s="1" t="s">
        <v>40</v>
      </c>
      <c r="Z167" s="1" t="n">
        <v>0</v>
      </c>
      <c r="AA167" s="1" t="str">
        <f aca="false">TRIM(PROPER(F167))</f>
        <v>Bengaluru</v>
      </c>
      <c r="AB167" s="1" t="str">
        <f aca="false">TRIM(PROPER(C167))</f>
        <v>Vedantu</v>
      </c>
      <c r="AC167" s="1" t="str">
        <f aca="false">IF(O167=0,"No Discount",IF(O167&lt;=15,"Low (1-15%)",IF(O167&lt;=30,"Medium (16-30%)","High (&gt;30%)")))</f>
        <v>Medium (16-30%)</v>
      </c>
      <c r="AD167" s="1" t="str">
        <f aca="false">IF(V167&lt;0,"Loss Making",IF(V167&lt;20,"Low Margin","Healthy Margin"))</f>
        <v>Healthy Margin</v>
      </c>
      <c r="AE167" s="1" t="str">
        <f aca="false">TEXT(DATE(VALUE(RIGHT(B167,4)),VALUE(MID(B167,4,2)),VALUE(LEFT(B167,2))),"MMM-YYYY")</f>
        <v>Feb-2024</v>
      </c>
      <c r="AF167" s="1" t="n">
        <f aca="false">VALUE(RIGHT(B167,4))</f>
        <v>2024</v>
      </c>
      <c r="AG167" s="1" t="str">
        <f aca="false">CHOOSE(ROUNDUP(VALUE(MID(B167,4,2))/3,0),"Q1","Q2","Q3","Q4")</f>
        <v>Q1</v>
      </c>
    </row>
    <row r="168" customFormat="false" ht="15" hidden="false" customHeight="true" outlineLevel="0" collapsed="false">
      <c r="A168" s="1" t="s">
        <v>463</v>
      </c>
      <c r="B168" s="1" t="s">
        <v>464</v>
      </c>
      <c r="C168" s="1" t="s">
        <v>43</v>
      </c>
      <c r="D168" s="1" t="s">
        <v>168</v>
      </c>
      <c r="E168" s="1" t="s">
        <v>328</v>
      </c>
      <c r="F168" s="1" t="s">
        <v>31</v>
      </c>
      <c r="G168" s="1" t="s">
        <v>32</v>
      </c>
      <c r="H168" s="1" t="s">
        <v>33</v>
      </c>
      <c r="I168" s="1" t="s">
        <v>34</v>
      </c>
      <c r="J168" s="1" t="s">
        <v>131</v>
      </c>
      <c r="K168" s="1" t="s">
        <v>104</v>
      </c>
      <c r="L168" s="1" t="s">
        <v>113</v>
      </c>
      <c r="M168" s="1" t="s">
        <v>62</v>
      </c>
      <c r="N168" s="1" t="n">
        <v>8999</v>
      </c>
      <c r="O168" s="1" t="n">
        <v>50</v>
      </c>
      <c r="P168" s="1" t="n">
        <v>4499.5</v>
      </c>
      <c r="Q168" s="1" t="n">
        <v>4499.5</v>
      </c>
      <c r="R168" s="1" t="n">
        <v>809.91</v>
      </c>
      <c r="S168" s="1" t="n">
        <v>3689.59</v>
      </c>
      <c r="T168" s="1" t="n">
        <v>2074.13</v>
      </c>
      <c r="U168" s="1" t="n">
        <v>1615.46</v>
      </c>
      <c r="V168" s="1" t="n">
        <v>43.78</v>
      </c>
      <c r="W168" s="1" t="s">
        <v>40</v>
      </c>
      <c r="Y168" s="1" t="s">
        <v>40</v>
      </c>
      <c r="Z168" s="1" t="n">
        <v>0</v>
      </c>
      <c r="AA168" s="1" t="str">
        <f aca="false">TRIM(PROPER(F168))</f>
        <v>Jodhpur</v>
      </c>
      <c r="AB168" s="1" t="str">
        <f aca="false">TRIM(PROPER(C168))</f>
        <v>Meritnation</v>
      </c>
      <c r="AC168" s="1" t="str">
        <f aca="false">IF(O168=0,"No Discount",IF(O168&lt;=15,"Low (1-15%)",IF(O168&lt;=30,"Medium (16-30%)","High (&gt;30%)")))</f>
        <v>High (&gt;30%)</v>
      </c>
      <c r="AD168" s="1" t="str">
        <f aca="false">IF(V168&lt;0,"Loss Making",IF(V168&lt;20,"Low Margin","Healthy Margin"))</f>
        <v>Healthy Margin</v>
      </c>
      <c r="AE168" s="1" t="str">
        <f aca="false">TEXT(DATE(VALUE(RIGHT(B168,4)),VALUE(MID(B168,4,2)),VALUE(LEFT(B168,2))),"MMM-YYYY")</f>
        <v>Mar-2023</v>
      </c>
      <c r="AF168" s="1" t="n">
        <f aca="false">VALUE(RIGHT(B168,4))</f>
        <v>2023</v>
      </c>
      <c r="AG168" s="1" t="str">
        <f aca="false">CHOOSE(ROUNDUP(VALUE(MID(B168,4,2))/3,0),"Q1","Q2","Q3","Q4")</f>
        <v>Q1</v>
      </c>
    </row>
    <row r="169" customFormat="false" ht="15" hidden="false" customHeight="true" outlineLevel="0" collapsed="false">
      <c r="A169" s="1" t="s">
        <v>465</v>
      </c>
      <c r="B169" s="1" t="s">
        <v>466</v>
      </c>
      <c r="C169" s="1" t="s">
        <v>28</v>
      </c>
      <c r="D169" s="1" t="s">
        <v>168</v>
      </c>
      <c r="E169" s="1" t="s">
        <v>169</v>
      </c>
      <c r="F169" s="1" t="s">
        <v>153</v>
      </c>
      <c r="G169" s="1" t="s">
        <v>76</v>
      </c>
      <c r="H169" s="1" t="s">
        <v>33</v>
      </c>
      <c r="I169" s="1" t="s">
        <v>83</v>
      </c>
      <c r="J169" s="1" t="s">
        <v>70</v>
      </c>
      <c r="K169" s="1" t="s">
        <v>36</v>
      </c>
      <c r="L169" s="1" t="s">
        <v>136</v>
      </c>
      <c r="M169" s="1" t="s">
        <v>50</v>
      </c>
      <c r="N169" s="1" t="n">
        <v>4999</v>
      </c>
      <c r="O169" s="1" t="n">
        <v>10</v>
      </c>
      <c r="P169" s="1" t="n">
        <v>499.9</v>
      </c>
      <c r="Q169" s="1" t="n">
        <v>4499.1</v>
      </c>
      <c r="R169" s="1" t="n">
        <v>809.84</v>
      </c>
      <c r="S169" s="1" t="n">
        <v>3689.26</v>
      </c>
      <c r="T169" s="1" t="n">
        <v>1735.39</v>
      </c>
      <c r="U169" s="1" t="n">
        <v>1953.87</v>
      </c>
      <c r="V169" s="1" t="n">
        <v>52.96</v>
      </c>
      <c r="W169" s="1" t="s">
        <v>39</v>
      </c>
      <c r="X169" s="1" t="n">
        <v>3.6</v>
      </c>
      <c r="Y169" s="1" t="s">
        <v>40</v>
      </c>
      <c r="Z169" s="1" t="n">
        <v>0</v>
      </c>
      <c r="AA169" s="1" t="str">
        <f aca="false">TRIM(PROPER(F169))</f>
        <v>Howrah</v>
      </c>
      <c r="AB169" s="1" t="str">
        <f aca="false">TRIM(PROPER(C169))</f>
        <v>Embibe</v>
      </c>
      <c r="AC169" s="1" t="str">
        <f aca="false">IF(O169=0,"No Discount",IF(O169&lt;=15,"Low (1-15%)",IF(O169&lt;=30,"Medium (16-30%)","High (&gt;30%)")))</f>
        <v>Low (1-15%)</v>
      </c>
      <c r="AD169" s="1" t="str">
        <f aca="false">IF(V169&lt;0,"Loss Making",IF(V169&lt;20,"Low Margin","Healthy Margin"))</f>
        <v>Healthy Margin</v>
      </c>
      <c r="AE169" s="1" t="str">
        <f aca="false">TEXT(DATE(VALUE(RIGHT(B169,4)),VALUE(MID(B169,4,2)),VALUE(LEFT(B169,2))),"MMM-YYYY")</f>
        <v>Feb-2024</v>
      </c>
      <c r="AF169" s="1" t="n">
        <f aca="false">VALUE(RIGHT(B169,4))</f>
        <v>2024</v>
      </c>
      <c r="AG169" s="1" t="str">
        <f aca="false">CHOOSE(ROUNDUP(VALUE(MID(B169,4,2))/3,0),"Q1","Q2","Q3","Q4")</f>
        <v>Q1</v>
      </c>
    </row>
    <row r="170" customFormat="false" ht="15" hidden="false" customHeight="true" outlineLevel="0" collapsed="false">
      <c r="A170" s="1" t="s">
        <v>467</v>
      </c>
      <c r="B170" s="1" t="s">
        <v>468</v>
      </c>
      <c r="C170" s="1" t="s">
        <v>128</v>
      </c>
      <c r="D170" s="1" t="s">
        <v>29</v>
      </c>
      <c r="E170" s="1" t="s">
        <v>30</v>
      </c>
      <c r="F170" s="1" t="s">
        <v>46</v>
      </c>
      <c r="G170" s="1" t="s">
        <v>47</v>
      </c>
      <c r="H170" s="1" t="s">
        <v>33</v>
      </c>
      <c r="I170" s="1" t="s">
        <v>34</v>
      </c>
      <c r="J170" s="1" t="s">
        <v>131</v>
      </c>
      <c r="K170" s="1" t="s">
        <v>36</v>
      </c>
      <c r="L170" s="1" t="s">
        <v>113</v>
      </c>
      <c r="M170" s="1" t="s">
        <v>50</v>
      </c>
      <c r="N170" s="1" t="n">
        <v>7999</v>
      </c>
      <c r="O170" s="1" t="n">
        <v>0</v>
      </c>
      <c r="P170" s="1" t="n">
        <v>0</v>
      </c>
      <c r="Q170" s="1" t="n">
        <v>7999</v>
      </c>
      <c r="R170" s="1" t="n">
        <v>1439.82</v>
      </c>
      <c r="S170" s="1" t="n">
        <v>6559.18</v>
      </c>
      <c r="T170" s="1" t="n">
        <v>2914.76</v>
      </c>
      <c r="U170" s="1" t="n">
        <v>3644.42</v>
      </c>
      <c r="V170" s="1" t="n">
        <v>55.56</v>
      </c>
      <c r="W170" s="1" t="s">
        <v>39</v>
      </c>
      <c r="Y170" s="1" t="s">
        <v>40</v>
      </c>
      <c r="Z170" s="1" t="n">
        <v>1</v>
      </c>
      <c r="AA170" s="1" t="str">
        <f aca="false">TRIM(PROPER(F170))</f>
        <v>Mangaluru</v>
      </c>
      <c r="AB170" s="1" t="str">
        <f aca="false">TRIM(PROPER(C170))</f>
        <v>Great Learning</v>
      </c>
      <c r="AC170" s="1" t="str">
        <f aca="false">IF(O170=0,"No Discount",IF(O170&lt;=15,"Low (1-15%)",IF(O170&lt;=30,"Medium (16-30%)","High (&gt;30%)")))</f>
        <v>No Discount</v>
      </c>
      <c r="AD170" s="1" t="str">
        <f aca="false">IF(V170&lt;0,"Loss Making",IF(V170&lt;20,"Low Margin","Healthy Margin"))</f>
        <v>Healthy Margin</v>
      </c>
      <c r="AE170" s="1" t="str">
        <f aca="false">TEXT(DATE(VALUE(RIGHT(B170,4)),VALUE(MID(B170,4,2)),VALUE(LEFT(B170,2))),"MMM-YYYY")</f>
        <v>Oct-2024</v>
      </c>
      <c r="AF170" s="1" t="n">
        <f aca="false">VALUE(RIGHT(B170,4))</f>
        <v>2024</v>
      </c>
      <c r="AG170" s="1" t="str">
        <f aca="false">CHOOSE(ROUNDUP(VALUE(MID(B170,4,2))/3,0),"Q1","Q2","Q3","Q4")</f>
        <v>Q4</v>
      </c>
    </row>
    <row r="171" customFormat="false" ht="15" hidden="false" customHeight="true" outlineLevel="0" collapsed="false">
      <c r="A171" s="1" t="s">
        <v>469</v>
      </c>
      <c r="B171" s="1" t="s">
        <v>470</v>
      </c>
      <c r="C171" s="1" t="s">
        <v>88</v>
      </c>
      <c r="D171" s="1" t="s">
        <v>123</v>
      </c>
      <c r="E171" s="1" t="s">
        <v>233</v>
      </c>
      <c r="F171" s="1" t="s">
        <v>211</v>
      </c>
      <c r="G171" s="1" t="s">
        <v>56</v>
      </c>
      <c r="H171" s="1" t="s">
        <v>69</v>
      </c>
      <c r="I171" s="1" t="s">
        <v>58</v>
      </c>
      <c r="J171" s="1" t="s">
        <v>35</v>
      </c>
      <c r="K171" s="1" t="s">
        <v>112</v>
      </c>
      <c r="L171" s="1" t="s">
        <v>136</v>
      </c>
      <c r="M171" s="1" t="s">
        <v>50</v>
      </c>
      <c r="N171" s="1" t="n">
        <v>8999</v>
      </c>
      <c r="O171" s="1" t="n">
        <v>25</v>
      </c>
      <c r="P171" s="1" t="n">
        <v>2249.75</v>
      </c>
      <c r="Q171" s="1" t="n">
        <v>6749.25</v>
      </c>
      <c r="R171" s="1" t="n">
        <v>1214.87</v>
      </c>
      <c r="S171" s="1" t="n">
        <v>5534.38</v>
      </c>
      <c r="T171" s="1" t="n">
        <v>2190.99</v>
      </c>
      <c r="U171" s="1" t="n">
        <v>3343.39</v>
      </c>
      <c r="V171" s="1" t="n">
        <v>60.41</v>
      </c>
      <c r="W171" s="1" t="s">
        <v>39</v>
      </c>
      <c r="X171" s="1" t="n">
        <v>3.5</v>
      </c>
      <c r="Y171" s="1" t="s">
        <v>39</v>
      </c>
      <c r="Z171" s="1" t="n">
        <v>0</v>
      </c>
      <c r="AA171" s="1" t="str">
        <f aca="false">TRIM(PROPER(F171))</f>
        <v>Noida</v>
      </c>
      <c r="AB171" s="1" t="str">
        <f aca="false">TRIM(PROPER(C171))</f>
        <v>Byju'S</v>
      </c>
      <c r="AC171" s="1" t="str">
        <f aca="false">IF(O171=0,"No Discount",IF(O171&lt;=15,"Low (1-15%)",IF(O171&lt;=30,"Medium (16-30%)","High (&gt;30%)")))</f>
        <v>Medium (16-30%)</v>
      </c>
      <c r="AD171" s="1" t="str">
        <f aca="false">IF(V171&lt;0,"Loss Making",IF(V171&lt;20,"Low Margin","Healthy Margin"))</f>
        <v>Healthy Margin</v>
      </c>
      <c r="AE171" s="1" t="str">
        <f aca="false">TEXT(DATE(VALUE(RIGHT(B171,4)),VALUE(MID(B171,4,2)),VALUE(LEFT(B171,2))),"MMM-YYYY")</f>
        <v>Sep-2023</v>
      </c>
      <c r="AF171" s="1" t="n">
        <f aca="false">VALUE(RIGHT(B171,4))</f>
        <v>2023</v>
      </c>
      <c r="AG171" s="1" t="str">
        <f aca="false">CHOOSE(ROUNDUP(VALUE(MID(B171,4,2))/3,0),"Q1","Q2","Q3","Q4")</f>
        <v>Q3</v>
      </c>
    </row>
    <row r="172" customFormat="false" ht="15" hidden="false" customHeight="true" outlineLevel="0" collapsed="false">
      <c r="A172" s="1" t="s">
        <v>471</v>
      </c>
      <c r="B172" s="1" t="s">
        <v>472</v>
      </c>
      <c r="C172" s="1" t="s">
        <v>167</v>
      </c>
      <c r="D172" s="1" t="s">
        <v>29</v>
      </c>
      <c r="E172" s="1" t="s">
        <v>30</v>
      </c>
      <c r="F172" s="1" t="s">
        <v>55</v>
      </c>
      <c r="G172" s="1" t="s">
        <v>56</v>
      </c>
      <c r="H172" s="1" t="s">
        <v>57</v>
      </c>
      <c r="I172" s="1" t="s">
        <v>58</v>
      </c>
      <c r="J172" s="1" t="s">
        <v>70</v>
      </c>
      <c r="K172" s="1" t="s">
        <v>90</v>
      </c>
      <c r="L172" s="1" t="s">
        <v>37</v>
      </c>
      <c r="M172" s="1" t="s">
        <v>62</v>
      </c>
      <c r="N172" s="1" t="n">
        <v>7999</v>
      </c>
      <c r="O172" s="1" t="n">
        <v>5</v>
      </c>
      <c r="P172" s="1" t="n">
        <v>399.95</v>
      </c>
      <c r="Q172" s="1" t="n">
        <v>7599.05</v>
      </c>
      <c r="R172" s="1" t="n">
        <v>1367.83</v>
      </c>
      <c r="S172" s="1" t="n">
        <v>6231.22</v>
      </c>
      <c r="T172" s="1" t="n">
        <v>2396.93</v>
      </c>
      <c r="U172" s="1" t="n">
        <v>3834.29</v>
      </c>
      <c r="V172" s="1" t="n">
        <v>61.53</v>
      </c>
      <c r="W172" s="1" t="s">
        <v>39</v>
      </c>
      <c r="X172" s="1" t="n">
        <v>3.6</v>
      </c>
      <c r="Y172" s="1" t="s">
        <v>40</v>
      </c>
      <c r="Z172" s="1" t="n">
        <v>0</v>
      </c>
      <c r="AA172" s="1" t="str">
        <f aca="false">TRIM(PROPER(F172))</f>
        <v>Ghaziabad</v>
      </c>
      <c r="AB172" s="1" t="str">
        <f aca="false">TRIM(PROPER(C172))</f>
        <v>Scaler</v>
      </c>
      <c r="AC172" s="1" t="str">
        <f aca="false">IF(O172=0,"No Discount",IF(O172&lt;=15,"Low (1-15%)",IF(O172&lt;=30,"Medium (16-30%)","High (&gt;30%)")))</f>
        <v>Low (1-15%)</v>
      </c>
      <c r="AD172" s="1" t="str">
        <f aca="false">IF(V172&lt;0,"Loss Making",IF(V172&lt;20,"Low Margin","Healthy Margin"))</f>
        <v>Healthy Margin</v>
      </c>
      <c r="AE172" s="1" t="str">
        <f aca="false">TEXT(DATE(VALUE(RIGHT(B172,4)),VALUE(MID(B172,4,2)),VALUE(LEFT(B172,2))),"MMM-YYYY")</f>
        <v>Dec-2023</v>
      </c>
      <c r="AF172" s="1" t="n">
        <f aca="false">VALUE(RIGHT(B172,4))</f>
        <v>2023</v>
      </c>
      <c r="AG172" s="1" t="str">
        <f aca="false">CHOOSE(ROUNDUP(VALUE(MID(B172,4,2))/3,0),"Q1","Q2","Q3","Q4")</f>
        <v>Q4</v>
      </c>
    </row>
    <row r="173" customFormat="false" ht="15" hidden="false" customHeight="true" outlineLevel="0" collapsed="false">
      <c r="A173" s="1" t="s">
        <v>473</v>
      </c>
      <c r="B173" s="1" t="s">
        <v>73</v>
      </c>
      <c r="C173" s="1" t="s">
        <v>93</v>
      </c>
      <c r="D173" s="1" t="s">
        <v>44</v>
      </c>
      <c r="E173" s="1" t="s">
        <v>221</v>
      </c>
      <c r="F173" s="1" t="s">
        <v>474</v>
      </c>
      <c r="G173" s="1" t="s">
        <v>108</v>
      </c>
      <c r="H173" s="1" t="s">
        <v>69</v>
      </c>
      <c r="I173" s="1" t="s">
        <v>58</v>
      </c>
      <c r="J173" s="1" t="s">
        <v>70</v>
      </c>
      <c r="K173" s="1" t="s">
        <v>71</v>
      </c>
      <c r="L173" s="1" t="s">
        <v>37</v>
      </c>
      <c r="M173" s="1" t="s">
        <v>50</v>
      </c>
      <c r="N173" s="1" t="n">
        <v>16999</v>
      </c>
      <c r="O173" s="1" t="n">
        <v>30</v>
      </c>
      <c r="P173" s="1" t="n">
        <v>5099.7</v>
      </c>
      <c r="Q173" s="1" t="n">
        <v>11899.3</v>
      </c>
      <c r="R173" s="1" t="n">
        <v>2141.87</v>
      </c>
      <c r="S173" s="1" t="n">
        <v>9757.43</v>
      </c>
      <c r="T173" s="1" t="n">
        <v>3968.24</v>
      </c>
      <c r="U173" s="1" t="n">
        <v>5789.19</v>
      </c>
      <c r="V173" s="1" t="n">
        <v>59.33</v>
      </c>
      <c r="W173" s="1" t="s">
        <v>40</v>
      </c>
      <c r="Y173" s="1" t="s">
        <v>40</v>
      </c>
      <c r="Z173" s="1" t="n">
        <v>3</v>
      </c>
      <c r="AA173" s="1" t="str">
        <f aca="false">TRIM(PROPER(F173))</f>
        <v>Chennai</v>
      </c>
      <c r="AB173" s="1" t="str">
        <f aca="false">TRIM(PROPER(C173))</f>
        <v>Upgrad</v>
      </c>
      <c r="AC173" s="1" t="str">
        <f aca="false">IF(O173=0,"No Discount",IF(O173&lt;=15,"Low (1-15%)",IF(O173&lt;=30,"Medium (16-30%)","High (&gt;30%)")))</f>
        <v>Medium (16-30%)</v>
      </c>
      <c r="AD173" s="1" t="str">
        <f aca="false">IF(V173&lt;0,"Loss Making",IF(V173&lt;20,"Low Margin","Healthy Margin"))</f>
        <v>Healthy Margin</v>
      </c>
      <c r="AE173" s="1" t="str">
        <f aca="false">TEXT(DATE(VALUE(RIGHT(B173,4)),VALUE(MID(B173,4,2)),VALUE(LEFT(B173,2))),"MMM-YYYY")</f>
        <v>Feb-2023</v>
      </c>
      <c r="AF173" s="1" t="n">
        <f aca="false">VALUE(RIGHT(B173,4))</f>
        <v>2023</v>
      </c>
      <c r="AG173" s="1" t="str">
        <f aca="false">CHOOSE(ROUNDUP(VALUE(MID(B173,4,2))/3,0),"Q1","Q2","Q3","Q4")</f>
        <v>Q1</v>
      </c>
    </row>
    <row r="174" customFormat="false" ht="15" hidden="false" customHeight="true" outlineLevel="0" collapsed="false">
      <c r="A174" s="1" t="s">
        <v>475</v>
      </c>
      <c r="B174" s="1" t="s">
        <v>177</v>
      </c>
      <c r="C174" s="1" t="s">
        <v>128</v>
      </c>
      <c r="D174" s="1" t="s">
        <v>80</v>
      </c>
      <c r="E174" s="1" t="s">
        <v>190</v>
      </c>
      <c r="F174" s="1" t="s">
        <v>102</v>
      </c>
      <c r="G174" s="1" t="s">
        <v>103</v>
      </c>
      <c r="H174" s="1" t="s">
        <v>33</v>
      </c>
      <c r="I174" s="1" t="s">
        <v>83</v>
      </c>
      <c r="J174" s="1" t="s">
        <v>77</v>
      </c>
      <c r="K174" s="1" t="s">
        <v>84</v>
      </c>
      <c r="L174" s="1" t="s">
        <v>136</v>
      </c>
      <c r="M174" s="1" t="s">
        <v>38</v>
      </c>
      <c r="N174" s="1" t="n">
        <v>15999</v>
      </c>
      <c r="O174" s="1" t="n">
        <v>10</v>
      </c>
      <c r="P174" s="1" t="n">
        <v>1599.9</v>
      </c>
      <c r="Q174" s="1" t="n">
        <v>14399.1</v>
      </c>
      <c r="R174" s="1" t="n">
        <v>2591.84</v>
      </c>
      <c r="S174" s="1" t="n">
        <v>11807.26</v>
      </c>
      <c r="T174" s="1" t="n">
        <v>5680.84</v>
      </c>
      <c r="U174" s="1" t="n">
        <v>6126.42</v>
      </c>
      <c r="V174" s="1" t="n">
        <v>51.89</v>
      </c>
      <c r="W174" s="1" t="s">
        <v>39</v>
      </c>
      <c r="X174" s="1" t="n">
        <v>4.5</v>
      </c>
      <c r="Y174" s="1" t="s">
        <v>40</v>
      </c>
      <c r="Z174" s="1" t="n">
        <v>1</v>
      </c>
      <c r="AA174" s="1" t="str">
        <f aca="false">TRIM(PROPER(F174))</f>
        <v>Warangal</v>
      </c>
      <c r="AB174" s="1" t="str">
        <f aca="false">TRIM(PROPER(C174))</f>
        <v>Great Learning</v>
      </c>
      <c r="AC174" s="1" t="str">
        <f aca="false">IF(O174=0,"No Discount",IF(O174&lt;=15,"Low (1-15%)",IF(O174&lt;=30,"Medium (16-30%)","High (&gt;30%)")))</f>
        <v>Low (1-15%)</v>
      </c>
      <c r="AD174" s="1" t="str">
        <f aca="false">IF(V174&lt;0,"Loss Making",IF(V174&lt;20,"Low Margin","Healthy Margin"))</f>
        <v>Healthy Margin</v>
      </c>
      <c r="AE174" s="1" t="str">
        <f aca="false">TEXT(DATE(VALUE(RIGHT(B174,4)),VALUE(MID(B174,4,2)),VALUE(LEFT(B174,2))),"MMM-YYYY")</f>
        <v>Jul-2024</v>
      </c>
      <c r="AF174" s="1" t="n">
        <f aca="false">VALUE(RIGHT(B174,4))</f>
        <v>2024</v>
      </c>
      <c r="AG174" s="1" t="str">
        <f aca="false">CHOOSE(ROUNDUP(VALUE(MID(B174,4,2))/3,0),"Q1","Q2","Q3","Q4")</f>
        <v>Q3</v>
      </c>
    </row>
    <row r="175" customFormat="false" ht="15" hidden="false" customHeight="true" outlineLevel="0" collapsed="false">
      <c r="A175" s="1" t="s">
        <v>476</v>
      </c>
      <c r="B175" s="1" t="s">
        <v>477</v>
      </c>
      <c r="C175" s="1" t="s">
        <v>43</v>
      </c>
      <c r="D175" s="1" t="s">
        <v>80</v>
      </c>
      <c r="E175" s="1" t="s">
        <v>190</v>
      </c>
      <c r="F175" s="1" t="s">
        <v>194</v>
      </c>
      <c r="G175" s="1" t="s">
        <v>103</v>
      </c>
      <c r="H175" s="1" t="s">
        <v>69</v>
      </c>
      <c r="I175" s="1" t="s">
        <v>34</v>
      </c>
      <c r="J175" s="1" t="s">
        <v>131</v>
      </c>
      <c r="K175" s="1" t="s">
        <v>112</v>
      </c>
      <c r="L175" s="1" t="s">
        <v>113</v>
      </c>
      <c r="M175" s="1" t="s">
        <v>38</v>
      </c>
      <c r="N175" s="1" t="n">
        <v>15999</v>
      </c>
      <c r="O175" s="1" t="n">
        <v>5</v>
      </c>
      <c r="P175" s="1" t="n">
        <v>799.95</v>
      </c>
      <c r="Q175" s="1" t="n">
        <v>15199.05</v>
      </c>
      <c r="R175" s="1" t="n">
        <v>2735.83</v>
      </c>
      <c r="S175" s="1" t="n">
        <v>12463.22</v>
      </c>
      <c r="T175" s="1" t="n">
        <v>4417.91</v>
      </c>
      <c r="U175" s="1" t="n">
        <v>8045.31</v>
      </c>
      <c r="V175" s="1" t="n">
        <v>64.55</v>
      </c>
      <c r="W175" s="1" t="s">
        <v>39</v>
      </c>
      <c r="X175" s="1" t="n">
        <v>3</v>
      </c>
      <c r="Y175" s="1" t="s">
        <v>40</v>
      </c>
      <c r="Z175" s="1" t="n">
        <v>0</v>
      </c>
      <c r="AA175" s="1" t="str">
        <f aca="false">TRIM(PROPER(F175))</f>
        <v>Hyderabad</v>
      </c>
      <c r="AB175" s="1" t="str">
        <f aca="false">TRIM(PROPER(C175))</f>
        <v>Meritnation</v>
      </c>
      <c r="AC175" s="1" t="str">
        <f aca="false">IF(O175=0,"No Discount",IF(O175&lt;=15,"Low (1-15%)",IF(O175&lt;=30,"Medium (16-30%)","High (&gt;30%)")))</f>
        <v>Low (1-15%)</v>
      </c>
      <c r="AD175" s="1" t="str">
        <f aca="false">IF(V175&lt;0,"Loss Making",IF(V175&lt;20,"Low Margin","Healthy Margin"))</f>
        <v>Healthy Margin</v>
      </c>
      <c r="AE175" s="1" t="str">
        <f aca="false">TEXT(DATE(VALUE(RIGHT(B175,4)),VALUE(MID(B175,4,2)),VALUE(LEFT(B175,2))),"MMM-YYYY")</f>
        <v>Jan-2024</v>
      </c>
      <c r="AF175" s="1" t="n">
        <f aca="false">VALUE(RIGHT(B175,4))</f>
        <v>2024</v>
      </c>
      <c r="AG175" s="1" t="str">
        <f aca="false">CHOOSE(ROUNDUP(VALUE(MID(B175,4,2))/3,0),"Q1","Q2","Q3","Q4")</f>
        <v>Q1</v>
      </c>
    </row>
    <row r="176" customFormat="false" ht="15" hidden="false" customHeight="true" outlineLevel="0" collapsed="false">
      <c r="A176" s="1" t="s">
        <v>478</v>
      </c>
      <c r="B176" s="1" t="s">
        <v>209</v>
      </c>
      <c r="C176" s="1" t="s">
        <v>100</v>
      </c>
      <c r="D176" s="1" t="s">
        <v>29</v>
      </c>
      <c r="E176" s="1" t="s">
        <v>182</v>
      </c>
      <c r="F176" s="1" t="s">
        <v>156</v>
      </c>
      <c r="G176" s="1" t="s">
        <v>68</v>
      </c>
      <c r="H176" s="1" t="s">
        <v>57</v>
      </c>
      <c r="I176" s="1" t="s">
        <v>83</v>
      </c>
      <c r="J176" s="1" t="s">
        <v>59</v>
      </c>
      <c r="K176" s="1" t="s">
        <v>48</v>
      </c>
      <c r="L176" s="1" t="s">
        <v>61</v>
      </c>
      <c r="M176" s="1" t="s">
        <v>62</v>
      </c>
      <c r="N176" s="1" t="n">
        <v>34999</v>
      </c>
      <c r="O176" s="1" t="n">
        <v>40</v>
      </c>
      <c r="P176" s="1" t="n">
        <v>13999.6</v>
      </c>
      <c r="Q176" s="1" t="n">
        <v>20999.4</v>
      </c>
      <c r="R176" s="1" t="n">
        <v>3779.89</v>
      </c>
      <c r="S176" s="1" t="n">
        <v>17219.51</v>
      </c>
      <c r="T176" s="1" t="n">
        <v>8901.59</v>
      </c>
      <c r="U176" s="1" t="n">
        <v>8317.92</v>
      </c>
      <c r="V176" s="1" t="n">
        <v>48.31</v>
      </c>
      <c r="W176" s="1" t="s">
        <v>40</v>
      </c>
      <c r="Y176" s="1" t="s">
        <v>40</v>
      </c>
      <c r="Z176" s="1" t="n">
        <v>2</v>
      </c>
      <c r="AA176" s="1" t="str">
        <f aca="false">TRIM(PROPER(F176))</f>
        <v>Surat</v>
      </c>
      <c r="AB176" s="1" t="str">
        <f aca="false">TRIM(PROPER(C176))</f>
        <v>Physics Wallah</v>
      </c>
      <c r="AC176" s="1" t="str">
        <f aca="false">IF(O176=0,"No Discount",IF(O176&lt;=15,"Low (1-15%)",IF(O176&lt;=30,"Medium (16-30%)","High (&gt;30%)")))</f>
        <v>High (&gt;30%)</v>
      </c>
      <c r="AD176" s="1" t="str">
        <f aca="false">IF(V176&lt;0,"Loss Making",IF(V176&lt;20,"Low Margin","Healthy Margin"))</f>
        <v>Healthy Margin</v>
      </c>
      <c r="AE176" s="1" t="str">
        <f aca="false">TEXT(DATE(VALUE(RIGHT(B176,4)),VALUE(MID(B176,4,2)),VALUE(LEFT(B176,2))),"MMM-YYYY")</f>
        <v>Mar-2024</v>
      </c>
      <c r="AF176" s="1" t="n">
        <f aca="false">VALUE(RIGHT(B176,4))</f>
        <v>2024</v>
      </c>
      <c r="AG176" s="1" t="str">
        <f aca="false">CHOOSE(ROUNDUP(VALUE(MID(B176,4,2))/3,0),"Q1","Q2","Q3","Q4")</f>
        <v>Q1</v>
      </c>
    </row>
    <row r="177" customFormat="false" ht="15" hidden="false" customHeight="true" outlineLevel="0" collapsed="false">
      <c r="A177" s="1" t="s">
        <v>479</v>
      </c>
      <c r="B177" s="1" t="s">
        <v>346</v>
      </c>
      <c r="C177" s="1" t="s">
        <v>74</v>
      </c>
      <c r="D177" s="1" t="s">
        <v>29</v>
      </c>
      <c r="E177" s="1" t="s">
        <v>182</v>
      </c>
      <c r="F177" s="1" t="s">
        <v>156</v>
      </c>
      <c r="G177" s="1" t="s">
        <v>68</v>
      </c>
      <c r="H177" s="1" t="s">
        <v>57</v>
      </c>
      <c r="I177" s="1" t="s">
        <v>34</v>
      </c>
      <c r="J177" s="1" t="s">
        <v>70</v>
      </c>
      <c r="K177" s="1" t="s">
        <v>71</v>
      </c>
      <c r="L177" s="1" t="s">
        <v>113</v>
      </c>
      <c r="M177" s="1" t="s">
        <v>50</v>
      </c>
      <c r="N177" s="1" t="n">
        <v>34999</v>
      </c>
      <c r="O177" s="1" t="n">
        <v>25</v>
      </c>
      <c r="P177" s="1" t="n">
        <v>8749.75</v>
      </c>
      <c r="Q177" s="1" t="n">
        <v>26249.25</v>
      </c>
      <c r="R177" s="1" t="n">
        <v>4724.86</v>
      </c>
      <c r="S177" s="1" t="n">
        <v>21524.39</v>
      </c>
      <c r="T177" s="1" t="n">
        <v>9481.16</v>
      </c>
      <c r="U177" s="1" t="n">
        <v>12043.23</v>
      </c>
      <c r="V177" s="1" t="n">
        <v>55.95</v>
      </c>
      <c r="W177" s="1" t="s">
        <v>40</v>
      </c>
      <c r="Y177" s="1" t="s">
        <v>40</v>
      </c>
      <c r="Z177" s="1" t="n">
        <v>1</v>
      </c>
      <c r="AA177" s="1" t="str">
        <f aca="false">TRIM(PROPER(F177))</f>
        <v>Surat</v>
      </c>
      <c r="AB177" s="1" t="str">
        <f aca="false">TRIM(PROPER(C177))</f>
        <v>Vedantu</v>
      </c>
      <c r="AC177" s="1" t="str">
        <f aca="false">IF(O177=0,"No Discount",IF(O177&lt;=15,"Low (1-15%)",IF(O177&lt;=30,"Medium (16-30%)","High (&gt;30%)")))</f>
        <v>Medium (16-30%)</v>
      </c>
      <c r="AD177" s="1" t="str">
        <f aca="false">IF(V177&lt;0,"Loss Making",IF(V177&lt;20,"Low Margin","Healthy Margin"))</f>
        <v>Healthy Margin</v>
      </c>
      <c r="AE177" s="1" t="str">
        <f aca="false">TEXT(DATE(VALUE(RIGHT(B177,4)),VALUE(MID(B177,4,2)),VALUE(LEFT(B177,2))),"MMM-YYYY")</f>
        <v>Oct-2024</v>
      </c>
      <c r="AF177" s="1" t="n">
        <f aca="false">VALUE(RIGHT(B177,4))</f>
        <v>2024</v>
      </c>
      <c r="AG177" s="1" t="str">
        <f aca="false">CHOOSE(ROUNDUP(VALUE(MID(B177,4,2))/3,0),"Q1","Q2","Q3","Q4")</f>
        <v>Q4</v>
      </c>
    </row>
    <row r="178" customFormat="false" ht="15" hidden="false" customHeight="true" outlineLevel="0" collapsed="false">
      <c r="A178" s="1" t="s">
        <v>480</v>
      </c>
      <c r="B178" s="1" t="s">
        <v>284</v>
      </c>
      <c r="C178" s="1" t="s">
        <v>167</v>
      </c>
      <c r="D178" s="1" t="s">
        <v>168</v>
      </c>
      <c r="E178" s="1" t="s">
        <v>169</v>
      </c>
      <c r="F178" s="1" t="s">
        <v>82</v>
      </c>
      <c r="G178" s="1" t="s">
        <v>56</v>
      </c>
      <c r="H178" s="1" t="s">
        <v>69</v>
      </c>
      <c r="I178" s="1" t="s">
        <v>34</v>
      </c>
      <c r="J178" s="1" t="s">
        <v>59</v>
      </c>
      <c r="K178" s="1" t="s">
        <v>48</v>
      </c>
      <c r="L178" s="1" t="s">
        <v>49</v>
      </c>
      <c r="M178" s="1" t="s">
        <v>62</v>
      </c>
      <c r="N178" s="1" t="n">
        <v>4999</v>
      </c>
      <c r="O178" s="1" t="n">
        <v>40</v>
      </c>
      <c r="P178" s="1" t="n">
        <v>1999.6</v>
      </c>
      <c r="Q178" s="1" t="n">
        <v>2999.4</v>
      </c>
      <c r="R178" s="1" t="n">
        <v>539.89</v>
      </c>
      <c r="S178" s="1" t="n">
        <v>2459.51</v>
      </c>
      <c r="T178" s="1" t="n">
        <v>1332.31</v>
      </c>
      <c r="U178" s="1" t="n">
        <v>1127.2</v>
      </c>
      <c r="V178" s="1" t="n">
        <v>45.83</v>
      </c>
      <c r="W178" s="1" t="s">
        <v>39</v>
      </c>
      <c r="X178" s="1" t="n">
        <v>3.7</v>
      </c>
      <c r="Y178" s="1" t="s">
        <v>39</v>
      </c>
      <c r="Z178" s="1" t="n">
        <v>0</v>
      </c>
      <c r="AA178" s="1" t="str">
        <f aca="false">TRIM(PROPER(F178))</f>
        <v>Gurugram</v>
      </c>
      <c r="AB178" s="1" t="str">
        <f aca="false">TRIM(PROPER(C178))</f>
        <v>Scaler</v>
      </c>
      <c r="AC178" s="1" t="str">
        <f aca="false">IF(O178=0,"No Discount",IF(O178&lt;=15,"Low (1-15%)",IF(O178&lt;=30,"Medium (16-30%)","High (&gt;30%)")))</f>
        <v>High (&gt;30%)</v>
      </c>
      <c r="AD178" s="1" t="str">
        <f aca="false">IF(V178&lt;0,"Loss Making",IF(V178&lt;20,"Low Margin","Healthy Margin"))</f>
        <v>Healthy Margin</v>
      </c>
      <c r="AE178" s="1" t="str">
        <f aca="false">TEXT(DATE(VALUE(RIGHT(B178,4)),VALUE(MID(B178,4,2)),VALUE(LEFT(B178,2))),"MMM-YYYY")</f>
        <v>Oct-2024</v>
      </c>
      <c r="AF178" s="1" t="n">
        <f aca="false">VALUE(RIGHT(B178,4))</f>
        <v>2024</v>
      </c>
      <c r="AG178" s="1" t="str">
        <f aca="false">CHOOSE(ROUNDUP(VALUE(MID(B178,4,2))/3,0),"Q1","Q2","Q3","Q4")</f>
        <v>Q4</v>
      </c>
    </row>
    <row r="179" customFormat="false" ht="15" hidden="false" customHeight="true" outlineLevel="0" collapsed="false">
      <c r="A179" s="1" t="s">
        <v>481</v>
      </c>
      <c r="B179" s="1" t="s">
        <v>410</v>
      </c>
      <c r="C179" s="1" t="s">
        <v>128</v>
      </c>
      <c r="D179" s="1" t="s">
        <v>143</v>
      </c>
      <c r="E179" s="1" t="s">
        <v>210</v>
      </c>
      <c r="F179" s="1" t="s">
        <v>75</v>
      </c>
      <c r="G179" s="1" t="s">
        <v>76</v>
      </c>
      <c r="H179" s="1" t="s">
        <v>69</v>
      </c>
      <c r="I179" s="1" t="s">
        <v>58</v>
      </c>
      <c r="J179" s="1" t="s">
        <v>131</v>
      </c>
      <c r="K179" s="1" t="s">
        <v>48</v>
      </c>
      <c r="L179" s="1" t="s">
        <v>49</v>
      </c>
      <c r="M179" s="1" t="s">
        <v>62</v>
      </c>
      <c r="N179" s="1" t="n">
        <v>18999</v>
      </c>
      <c r="O179" s="1" t="n">
        <v>40</v>
      </c>
      <c r="P179" s="1" t="n">
        <v>7599.6</v>
      </c>
      <c r="Q179" s="1" t="n">
        <v>11399.4</v>
      </c>
      <c r="R179" s="1" t="n">
        <v>2051.89</v>
      </c>
      <c r="S179" s="1" t="n">
        <v>9347.51</v>
      </c>
      <c r="T179" s="1" t="n">
        <v>4351.91</v>
      </c>
      <c r="U179" s="1" t="n">
        <v>4995.6</v>
      </c>
      <c r="V179" s="1" t="n">
        <v>53.44</v>
      </c>
      <c r="W179" s="1" t="s">
        <v>40</v>
      </c>
      <c r="Y179" s="1" t="s">
        <v>40</v>
      </c>
      <c r="Z179" s="1" t="n">
        <v>0</v>
      </c>
      <c r="AA179" s="1" t="str">
        <f aca="false">TRIM(PROPER(F179))</f>
        <v>Kolkata</v>
      </c>
      <c r="AB179" s="1" t="str">
        <f aca="false">TRIM(PROPER(C179))</f>
        <v>Great Learning</v>
      </c>
      <c r="AC179" s="1" t="str">
        <f aca="false">IF(O179=0,"No Discount",IF(O179&lt;=15,"Low (1-15%)",IF(O179&lt;=30,"Medium (16-30%)","High (&gt;30%)")))</f>
        <v>High (&gt;30%)</v>
      </c>
      <c r="AD179" s="1" t="str">
        <f aca="false">IF(V179&lt;0,"Loss Making",IF(V179&lt;20,"Low Margin","Healthy Margin"))</f>
        <v>Healthy Margin</v>
      </c>
      <c r="AE179" s="1" t="str">
        <f aca="false">TEXT(DATE(VALUE(RIGHT(B179,4)),VALUE(MID(B179,4,2)),VALUE(LEFT(B179,2))),"MMM-YYYY")</f>
        <v>Feb-2024</v>
      </c>
      <c r="AF179" s="1" t="n">
        <f aca="false">VALUE(RIGHT(B179,4))</f>
        <v>2024</v>
      </c>
      <c r="AG179" s="1" t="str">
        <f aca="false">CHOOSE(ROUNDUP(VALUE(MID(B179,4,2))/3,0),"Q1","Q2","Q3","Q4")</f>
        <v>Q1</v>
      </c>
    </row>
    <row r="180" customFormat="false" ht="15" hidden="false" customHeight="true" outlineLevel="0" collapsed="false">
      <c r="A180" s="1" t="s">
        <v>482</v>
      </c>
      <c r="B180" s="1" t="s">
        <v>483</v>
      </c>
      <c r="C180" s="1" t="s">
        <v>139</v>
      </c>
      <c r="D180" s="1" t="s">
        <v>143</v>
      </c>
      <c r="E180" s="1" t="s">
        <v>162</v>
      </c>
      <c r="F180" s="1" t="s">
        <v>150</v>
      </c>
      <c r="G180" s="1" t="s">
        <v>32</v>
      </c>
      <c r="H180" s="1" t="s">
        <v>57</v>
      </c>
      <c r="I180" s="1" t="s">
        <v>83</v>
      </c>
      <c r="J180" s="1" t="s">
        <v>35</v>
      </c>
      <c r="K180" s="1" t="s">
        <v>48</v>
      </c>
      <c r="L180" s="1" t="s">
        <v>85</v>
      </c>
      <c r="M180" s="1" t="s">
        <v>38</v>
      </c>
      <c r="N180" s="1" t="n">
        <v>14999</v>
      </c>
      <c r="O180" s="1" t="n">
        <v>0</v>
      </c>
      <c r="P180" s="1" t="n">
        <v>0</v>
      </c>
      <c r="Q180" s="1" t="n">
        <v>14999</v>
      </c>
      <c r="R180" s="1" t="n">
        <v>2699.82</v>
      </c>
      <c r="S180" s="1" t="n">
        <v>12299.18</v>
      </c>
      <c r="T180" s="1" t="n">
        <v>6319.91</v>
      </c>
      <c r="U180" s="1" t="n">
        <v>5979.27</v>
      </c>
      <c r="V180" s="1" t="n">
        <v>48.62</v>
      </c>
      <c r="W180" s="1" t="s">
        <v>40</v>
      </c>
      <c r="Y180" s="1" t="s">
        <v>40</v>
      </c>
      <c r="Z180" s="1" t="n">
        <v>0</v>
      </c>
      <c r="AA180" s="1" t="str">
        <f aca="false">TRIM(PROPER(F180))</f>
        <v>Jaipur</v>
      </c>
      <c r="AB180" s="1" t="str">
        <f aca="false">TRIM(PROPER(C180))</f>
        <v>Extramarks</v>
      </c>
      <c r="AC180" s="1" t="str">
        <f aca="false">IF(O180=0,"No Discount",IF(O180&lt;=15,"Low (1-15%)",IF(O180&lt;=30,"Medium (16-30%)","High (&gt;30%)")))</f>
        <v>No Discount</v>
      </c>
      <c r="AD180" s="1" t="str">
        <f aca="false">IF(V180&lt;0,"Loss Making",IF(V180&lt;20,"Low Margin","Healthy Margin"))</f>
        <v>Healthy Margin</v>
      </c>
      <c r="AE180" s="1" t="str">
        <f aca="false">TEXT(DATE(VALUE(RIGHT(B180,4)),VALUE(MID(B180,4,2)),VALUE(LEFT(B180,2))),"MMM-YYYY")</f>
        <v>Dec-2024</v>
      </c>
      <c r="AF180" s="1" t="n">
        <f aca="false">VALUE(RIGHT(B180,4))</f>
        <v>2024</v>
      </c>
      <c r="AG180" s="1" t="str">
        <f aca="false">CHOOSE(ROUNDUP(VALUE(MID(B180,4,2))/3,0),"Q1","Q2","Q3","Q4")</f>
        <v>Q4</v>
      </c>
    </row>
    <row r="181" customFormat="false" ht="15" hidden="false" customHeight="true" outlineLevel="0" collapsed="false">
      <c r="A181" s="1" t="s">
        <v>484</v>
      </c>
      <c r="B181" s="1" t="s">
        <v>485</v>
      </c>
      <c r="C181" s="1" t="s">
        <v>128</v>
      </c>
      <c r="D181" s="1" t="s">
        <v>80</v>
      </c>
      <c r="E181" s="1" t="s">
        <v>175</v>
      </c>
      <c r="F181" s="1" t="s">
        <v>269</v>
      </c>
      <c r="G181" s="1" t="s">
        <v>108</v>
      </c>
      <c r="H181" s="1" t="s">
        <v>57</v>
      </c>
      <c r="I181" s="1" t="s">
        <v>34</v>
      </c>
      <c r="J181" s="1" t="s">
        <v>70</v>
      </c>
      <c r="K181" s="1" t="s">
        <v>84</v>
      </c>
      <c r="L181" s="1" t="s">
        <v>113</v>
      </c>
      <c r="M181" s="1" t="s">
        <v>38</v>
      </c>
      <c r="N181" s="1" t="n">
        <v>19999</v>
      </c>
      <c r="O181" s="1" t="n">
        <v>0</v>
      </c>
      <c r="P181" s="1" t="n">
        <v>0</v>
      </c>
      <c r="Q181" s="1" t="n">
        <v>19999</v>
      </c>
      <c r="R181" s="1" t="n">
        <v>3599.82</v>
      </c>
      <c r="S181" s="1" t="n">
        <v>16399.18</v>
      </c>
      <c r="T181" s="1" t="n">
        <v>7228.52</v>
      </c>
      <c r="U181" s="1" t="n">
        <v>9170.66</v>
      </c>
      <c r="V181" s="1" t="n">
        <v>55.92</v>
      </c>
      <c r="W181" s="1" t="s">
        <v>40</v>
      </c>
      <c r="Y181" s="1" t="s">
        <v>40</v>
      </c>
      <c r="Z181" s="1" t="n">
        <v>0</v>
      </c>
      <c r="AA181" s="1" t="str">
        <f aca="false">TRIM(PROPER(F181))</f>
        <v>Coimbatore</v>
      </c>
      <c r="AB181" s="1" t="str">
        <f aca="false">TRIM(PROPER(C181))</f>
        <v>Great Learning</v>
      </c>
      <c r="AC181" s="1" t="str">
        <f aca="false">IF(O181=0,"No Discount",IF(O181&lt;=15,"Low (1-15%)",IF(O181&lt;=30,"Medium (16-30%)","High (&gt;30%)")))</f>
        <v>No Discount</v>
      </c>
      <c r="AD181" s="1" t="str">
        <f aca="false">IF(V181&lt;0,"Loss Making",IF(V181&lt;20,"Low Margin","Healthy Margin"))</f>
        <v>Healthy Margin</v>
      </c>
      <c r="AE181" s="1" t="str">
        <f aca="false">TEXT(DATE(VALUE(RIGHT(B181,4)),VALUE(MID(B181,4,2)),VALUE(LEFT(B181,2))),"MMM-YYYY")</f>
        <v>Mar-2023</v>
      </c>
      <c r="AF181" s="1" t="n">
        <f aca="false">VALUE(RIGHT(B181,4))</f>
        <v>2023</v>
      </c>
      <c r="AG181" s="1" t="str">
        <f aca="false">CHOOSE(ROUNDUP(VALUE(MID(B181,4,2))/3,0),"Q1","Q2","Q3","Q4")</f>
        <v>Q1</v>
      </c>
    </row>
    <row r="182" customFormat="false" ht="15" hidden="false" customHeight="true" outlineLevel="0" collapsed="false">
      <c r="A182" s="1" t="s">
        <v>486</v>
      </c>
      <c r="B182" s="1" t="s">
        <v>487</v>
      </c>
      <c r="C182" s="1" t="s">
        <v>100</v>
      </c>
      <c r="D182" s="1" t="s">
        <v>168</v>
      </c>
      <c r="E182" s="1" t="s">
        <v>172</v>
      </c>
      <c r="F182" s="1" t="s">
        <v>75</v>
      </c>
      <c r="G182" s="1" t="s">
        <v>76</v>
      </c>
      <c r="H182" s="1" t="s">
        <v>69</v>
      </c>
      <c r="I182" s="1" t="s">
        <v>58</v>
      </c>
      <c r="J182" s="1" t="s">
        <v>131</v>
      </c>
      <c r="K182" s="1" t="s">
        <v>112</v>
      </c>
      <c r="L182" s="1" t="s">
        <v>37</v>
      </c>
      <c r="M182" s="1" t="s">
        <v>50</v>
      </c>
      <c r="N182" s="1" t="n">
        <v>6999</v>
      </c>
      <c r="O182" s="1" t="n">
        <v>50</v>
      </c>
      <c r="P182" s="1" t="n">
        <v>3499.5</v>
      </c>
      <c r="Q182" s="1" t="n">
        <v>3499.5</v>
      </c>
      <c r="R182" s="1" t="n">
        <v>629.91</v>
      </c>
      <c r="S182" s="1" t="n">
        <v>2869.59</v>
      </c>
      <c r="T182" s="1" t="n">
        <v>1286.6</v>
      </c>
      <c r="U182" s="1" t="n">
        <v>1582.99</v>
      </c>
      <c r="V182" s="1" t="n">
        <v>55.16</v>
      </c>
      <c r="W182" s="1" t="s">
        <v>40</v>
      </c>
      <c r="Y182" s="1" t="s">
        <v>40</v>
      </c>
      <c r="Z182" s="1" t="n">
        <v>0</v>
      </c>
      <c r="AA182" s="1" t="str">
        <f aca="false">TRIM(PROPER(F182))</f>
        <v>Kolkata</v>
      </c>
      <c r="AB182" s="1" t="str">
        <f aca="false">TRIM(PROPER(C182))</f>
        <v>Physics Wallah</v>
      </c>
      <c r="AC182" s="1" t="str">
        <f aca="false">IF(O182=0,"No Discount",IF(O182&lt;=15,"Low (1-15%)",IF(O182&lt;=30,"Medium (16-30%)","High (&gt;30%)")))</f>
        <v>High (&gt;30%)</v>
      </c>
      <c r="AD182" s="1" t="str">
        <f aca="false">IF(V182&lt;0,"Loss Making",IF(V182&lt;20,"Low Margin","Healthy Margin"))</f>
        <v>Healthy Margin</v>
      </c>
      <c r="AE182" s="1" t="str">
        <f aca="false">TEXT(DATE(VALUE(RIGHT(B182,4)),VALUE(MID(B182,4,2)),VALUE(LEFT(B182,2))),"MMM-YYYY")</f>
        <v>Mar-2023</v>
      </c>
      <c r="AF182" s="1" t="n">
        <f aca="false">VALUE(RIGHT(B182,4))</f>
        <v>2023</v>
      </c>
      <c r="AG182" s="1" t="str">
        <f aca="false">CHOOSE(ROUNDUP(VALUE(MID(B182,4,2))/3,0),"Q1","Q2","Q3","Q4")</f>
        <v>Q1</v>
      </c>
    </row>
    <row r="183" customFormat="false" ht="15" hidden="false" customHeight="true" outlineLevel="0" collapsed="false">
      <c r="A183" s="1" t="s">
        <v>488</v>
      </c>
      <c r="B183" s="1" t="s">
        <v>489</v>
      </c>
      <c r="C183" s="1" t="s">
        <v>88</v>
      </c>
      <c r="D183" s="1" t="s">
        <v>29</v>
      </c>
      <c r="E183" s="1" t="s">
        <v>182</v>
      </c>
      <c r="F183" s="1" t="s">
        <v>153</v>
      </c>
      <c r="G183" s="1" t="s">
        <v>76</v>
      </c>
      <c r="H183" s="1" t="s">
        <v>33</v>
      </c>
      <c r="I183" s="1" t="s">
        <v>58</v>
      </c>
      <c r="J183" s="1" t="s">
        <v>77</v>
      </c>
      <c r="K183" s="1" t="s">
        <v>60</v>
      </c>
      <c r="L183" s="1" t="s">
        <v>136</v>
      </c>
      <c r="M183" s="1" t="s">
        <v>62</v>
      </c>
      <c r="N183" s="1" t="n">
        <v>34999</v>
      </c>
      <c r="O183" s="1" t="n">
        <v>25</v>
      </c>
      <c r="P183" s="1" t="n">
        <v>8749.75</v>
      </c>
      <c r="Q183" s="1" t="n">
        <v>26249.25</v>
      </c>
      <c r="R183" s="1" t="n">
        <v>4724.86</v>
      </c>
      <c r="S183" s="1" t="n">
        <v>21524.39</v>
      </c>
      <c r="T183" s="1" t="n">
        <v>9308.64</v>
      </c>
      <c r="U183" s="1" t="n">
        <v>12215.75</v>
      </c>
      <c r="V183" s="1" t="n">
        <v>56.75</v>
      </c>
      <c r="W183" s="1" t="s">
        <v>39</v>
      </c>
      <c r="Y183" s="1" t="s">
        <v>39</v>
      </c>
      <c r="Z183" s="1" t="n">
        <v>0</v>
      </c>
      <c r="AA183" s="1" t="str">
        <f aca="false">TRIM(PROPER(F183))</f>
        <v>Howrah</v>
      </c>
      <c r="AB183" s="1" t="str">
        <f aca="false">TRIM(PROPER(C183))</f>
        <v>Byju'S</v>
      </c>
      <c r="AC183" s="1" t="str">
        <f aca="false">IF(O183=0,"No Discount",IF(O183&lt;=15,"Low (1-15%)",IF(O183&lt;=30,"Medium (16-30%)","High (&gt;30%)")))</f>
        <v>Medium (16-30%)</v>
      </c>
      <c r="AD183" s="1" t="str">
        <f aca="false">IF(V183&lt;0,"Loss Making",IF(V183&lt;20,"Low Margin","Healthy Margin"))</f>
        <v>Healthy Margin</v>
      </c>
      <c r="AE183" s="1" t="str">
        <f aca="false">TEXT(DATE(VALUE(RIGHT(B183,4)),VALUE(MID(B183,4,2)),VALUE(LEFT(B183,2))),"MMM-YYYY")</f>
        <v>Apr-2023</v>
      </c>
      <c r="AF183" s="1" t="n">
        <f aca="false">VALUE(RIGHT(B183,4))</f>
        <v>2023</v>
      </c>
      <c r="AG183" s="1" t="str">
        <f aca="false">CHOOSE(ROUNDUP(VALUE(MID(B183,4,2))/3,0),"Q1","Q2","Q3","Q4")</f>
        <v>Q2</v>
      </c>
    </row>
    <row r="184" customFormat="false" ht="15" hidden="false" customHeight="true" outlineLevel="0" collapsed="false">
      <c r="A184" s="1" t="s">
        <v>490</v>
      </c>
      <c r="B184" s="1" t="s">
        <v>491</v>
      </c>
      <c r="C184" s="1" t="s">
        <v>28</v>
      </c>
      <c r="D184" s="1" t="s">
        <v>143</v>
      </c>
      <c r="E184" s="1" t="s">
        <v>159</v>
      </c>
      <c r="F184" s="1" t="s">
        <v>55</v>
      </c>
      <c r="G184" s="1" t="s">
        <v>56</v>
      </c>
      <c r="H184" s="1" t="s">
        <v>57</v>
      </c>
      <c r="I184" s="1" t="s">
        <v>83</v>
      </c>
      <c r="J184" s="1" t="s">
        <v>35</v>
      </c>
      <c r="K184" s="1" t="s">
        <v>90</v>
      </c>
      <c r="L184" s="1" t="s">
        <v>49</v>
      </c>
      <c r="M184" s="1" t="s">
        <v>38</v>
      </c>
      <c r="N184" s="1" t="n">
        <v>24999</v>
      </c>
      <c r="O184" s="1" t="n">
        <v>10</v>
      </c>
      <c r="P184" s="1" t="n">
        <v>2499.9</v>
      </c>
      <c r="Q184" s="1" t="n">
        <v>22499.1</v>
      </c>
      <c r="R184" s="1" t="n">
        <v>4049.84</v>
      </c>
      <c r="S184" s="1" t="n">
        <v>18449.26</v>
      </c>
      <c r="T184" s="1" t="n">
        <v>8718.1</v>
      </c>
      <c r="U184" s="1" t="n">
        <v>9731.16</v>
      </c>
      <c r="V184" s="1" t="n">
        <v>52.75</v>
      </c>
      <c r="W184" s="1" t="s">
        <v>40</v>
      </c>
      <c r="Y184" s="1" t="s">
        <v>40</v>
      </c>
      <c r="Z184" s="1" t="n">
        <v>0</v>
      </c>
      <c r="AA184" s="1" t="str">
        <f aca="false">TRIM(PROPER(F184))</f>
        <v>Ghaziabad</v>
      </c>
      <c r="AB184" s="1" t="str">
        <f aca="false">TRIM(PROPER(C184))</f>
        <v>Embibe</v>
      </c>
      <c r="AC184" s="1" t="str">
        <f aca="false">IF(O184=0,"No Discount",IF(O184&lt;=15,"Low (1-15%)",IF(O184&lt;=30,"Medium (16-30%)","High (&gt;30%)")))</f>
        <v>Low (1-15%)</v>
      </c>
      <c r="AD184" s="1" t="str">
        <f aca="false">IF(V184&lt;0,"Loss Making",IF(V184&lt;20,"Low Margin","Healthy Margin"))</f>
        <v>Healthy Margin</v>
      </c>
      <c r="AE184" s="1" t="str">
        <f aca="false">TEXT(DATE(VALUE(RIGHT(B184,4)),VALUE(MID(B184,4,2)),VALUE(LEFT(B184,2))),"MMM-YYYY")</f>
        <v>Jun-2023</v>
      </c>
      <c r="AF184" s="1" t="n">
        <f aca="false">VALUE(RIGHT(B184,4))</f>
        <v>2023</v>
      </c>
      <c r="AG184" s="1" t="str">
        <f aca="false">CHOOSE(ROUNDUP(VALUE(MID(B184,4,2))/3,0),"Q1","Q2","Q3","Q4")</f>
        <v>Q2</v>
      </c>
    </row>
    <row r="185" customFormat="false" ht="15" hidden="false" customHeight="true" outlineLevel="0" collapsed="false">
      <c r="A185" s="1" t="s">
        <v>492</v>
      </c>
      <c r="B185" s="1" t="s">
        <v>419</v>
      </c>
      <c r="C185" s="1" t="s">
        <v>93</v>
      </c>
      <c r="D185" s="1" t="s">
        <v>168</v>
      </c>
      <c r="E185" s="1" t="s">
        <v>169</v>
      </c>
      <c r="F185" s="1" t="s">
        <v>75</v>
      </c>
      <c r="G185" s="1" t="s">
        <v>76</v>
      </c>
      <c r="H185" s="1" t="s">
        <v>69</v>
      </c>
      <c r="I185" s="1" t="s">
        <v>58</v>
      </c>
      <c r="J185" s="1" t="s">
        <v>70</v>
      </c>
      <c r="K185" s="1" t="s">
        <v>104</v>
      </c>
      <c r="L185" s="1" t="s">
        <v>113</v>
      </c>
      <c r="M185" s="1" t="s">
        <v>62</v>
      </c>
      <c r="N185" s="1" t="n">
        <v>4999</v>
      </c>
      <c r="O185" s="1" t="n">
        <v>10</v>
      </c>
      <c r="P185" s="1" t="n">
        <v>499.9</v>
      </c>
      <c r="Q185" s="1" t="n">
        <v>4499.1</v>
      </c>
      <c r="R185" s="1" t="n">
        <v>809.84</v>
      </c>
      <c r="S185" s="1" t="n">
        <v>3689.26</v>
      </c>
      <c r="T185" s="1" t="n">
        <v>1646.38</v>
      </c>
      <c r="U185" s="1" t="n">
        <v>2042.88</v>
      </c>
      <c r="V185" s="1" t="n">
        <v>55.37</v>
      </c>
      <c r="W185" s="1" t="s">
        <v>40</v>
      </c>
      <c r="Y185" s="1" t="s">
        <v>39</v>
      </c>
      <c r="Z185" s="1" t="n">
        <v>1</v>
      </c>
      <c r="AA185" s="1" t="str">
        <f aca="false">TRIM(PROPER(F185))</f>
        <v>Kolkata</v>
      </c>
      <c r="AB185" s="1" t="str">
        <f aca="false">TRIM(PROPER(C185))</f>
        <v>Upgrad</v>
      </c>
      <c r="AC185" s="1" t="str">
        <f aca="false">IF(O185=0,"No Discount",IF(O185&lt;=15,"Low (1-15%)",IF(O185&lt;=30,"Medium (16-30%)","High (&gt;30%)")))</f>
        <v>Low (1-15%)</v>
      </c>
      <c r="AD185" s="1" t="str">
        <f aca="false">IF(V185&lt;0,"Loss Making",IF(V185&lt;20,"Low Margin","Healthy Margin"))</f>
        <v>Healthy Margin</v>
      </c>
      <c r="AE185" s="1" t="str">
        <f aca="false">TEXT(DATE(VALUE(RIGHT(B185,4)),VALUE(MID(B185,4,2)),VALUE(LEFT(B185,2))),"MMM-YYYY")</f>
        <v>Jul-2023</v>
      </c>
      <c r="AF185" s="1" t="n">
        <f aca="false">VALUE(RIGHT(B185,4))</f>
        <v>2023</v>
      </c>
      <c r="AG185" s="1" t="str">
        <f aca="false">CHOOSE(ROUNDUP(VALUE(MID(B185,4,2))/3,0),"Q1","Q2","Q3","Q4")</f>
        <v>Q3</v>
      </c>
    </row>
    <row r="186" customFormat="false" ht="15" hidden="false" customHeight="true" outlineLevel="0" collapsed="false">
      <c r="A186" s="1" t="s">
        <v>493</v>
      </c>
      <c r="B186" s="1" t="s">
        <v>399</v>
      </c>
      <c r="C186" s="1" t="s">
        <v>167</v>
      </c>
      <c r="D186" s="1" t="s">
        <v>94</v>
      </c>
      <c r="E186" s="1" t="s">
        <v>95</v>
      </c>
      <c r="F186" s="1" t="s">
        <v>120</v>
      </c>
      <c r="G186" s="1" t="s">
        <v>47</v>
      </c>
      <c r="H186" s="1" t="s">
        <v>57</v>
      </c>
      <c r="I186" s="1" t="s">
        <v>34</v>
      </c>
      <c r="J186" s="1" t="s">
        <v>35</v>
      </c>
      <c r="K186" s="1" t="s">
        <v>36</v>
      </c>
      <c r="L186" s="1" t="s">
        <v>85</v>
      </c>
      <c r="M186" s="1" t="s">
        <v>50</v>
      </c>
      <c r="N186" s="1" t="n">
        <v>6999</v>
      </c>
      <c r="O186" s="1" t="n">
        <v>15</v>
      </c>
      <c r="P186" s="1" t="n">
        <v>1049.85</v>
      </c>
      <c r="Q186" s="1" t="n">
        <v>5949.15</v>
      </c>
      <c r="R186" s="1" t="n">
        <v>1070.85</v>
      </c>
      <c r="S186" s="1" t="n">
        <v>4878.3</v>
      </c>
      <c r="T186" s="1" t="n">
        <v>2163.58</v>
      </c>
      <c r="U186" s="1" t="n">
        <v>2714.72</v>
      </c>
      <c r="V186" s="1" t="n">
        <v>55.65</v>
      </c>
      <c r="W186" s="1" t="s">
        <v>39</v>
      </c>
      <c r="X186" s="1" t="n">
        <v>3.9</v>
      </c>
      <c r="Y186" s="1" t="s">
        <v>40</v>
      </c>
      <c r="Z186" s="1" t="n">
        <v>0</v>
      </c>
      <c r="AA186" s="1" t="str">
        <f aca="false">TRIM(PROPER(F186))</f>
        <v>Mysuru</v>
      </c>
      <c r="AB186" s="1" t="str">
        <f aca="false">TRIM(PROPER(C186))</f>
        <v>Scaler</v>
      </c>
      <c r="AC186" s="1" t="str">
        <f aca="false">IF(O186=0,"No Discount",IF(O186&lt;=15,"Low (1-15%)",IF(O186&lt;=30,"Medium (16-30%)","High (&gt;30%)")))</f>
        <v>Low (1-15%)</v>
      </c>
      <c r="AD186" s="1" t="str">
        <f aca="false">IF(V186&lt;0,"Loss Making",IF(V186&lt;20,"Low Margin","Healthy Margin"))</f>
        <v>Healthy Margin</v>
      </c>
      <c r="AE186" s="1" t="str">
        <f aca="false">TEXT(DATE(VALUE(RIGHT(B186,4)),VALUE(MID(B186,4,2)),VALUE(LEFT(B186,2))),"MMM-YYYY")</f>
        <v>Aug-2024</v>
      </c>
      <c r="AF186" s="1" t="n">
        <f aca="false">VALUE(RIGHT(B186,4))</f>
        <v>2024</v>
      </c>
      <c r="AG186" s="1" t="str">
        <f aca="false">CHOOSE(ROUNDUP(VALUE(MID(B186,4,2))/3,0),"Q1","Q2","Q3","Q4")</f>
        <v>Q3</v>
      </c>
    </row>
    <row r="187" customFormat="false" ht="15" hidden="false" customHeight="true" outlineLevel="0" collapsed="false">
      <c r="A187" s="1" t="s">
        <v>494</v>
      </c>
      <c r="B187" s="1" t="s">
        <v>495</v>
      </c>
      <c r="C187" s="1" t="s">
        <v>74</v>
      </c>
      <c r="D187" s="1" t="s">
        <v>80</v>
      </c>
      <c r="E187" s="1" t="s">
        <v>81</v>
      </c>
      <c r="F187" s="1" t="s">
        <v>55</v>
      </c>
      <c r="G187" s="1" t="s">
        <v>56</v>
      </c>
      <c r="H187" s="1" t="s">
        <v>57</v>
      </c>
      <c r="I187" s="1" t="s">
        <v>34</v>
      </c>
      <c r="J187" s="1" t="s">
        <v>131</v>
      </c>
      <c r="K187" s="1" t="s">
        <v>36</v>
      </c>
      <c r="L187" s="1" t="s">
        <v>49</v>
      </c>
      <c r="M187" s="1" t="s">
        <v>62</v>
      </c>
      <c r="N187" s="1" t="n">
        <v>12999</v>
      </c>
      <c r="O187" s="1" t="n">
        <v>50</v>
      </c>
      <c r="P187" s="1" t="n">
        <v>6499.5</v>
      </c>
      <c r="Q187" s="1" t="n">
        <v>6499.5</v>
      </c>
      <c r="R187" s="1" t="n">
        <v>1169.91</v>
      </c>
      <c r="S187" s="1" t="n">
        <v>5329.59</v>
      </c>
      <c r="T187" s="1" t="n">
        <v>3257.13</v>
      </c>
      <c r="U187" s="1" t="n">
        <v>2072.46</v>
      </c>
      <c r="V187" s="1" t="n">
        <v>38.89</v>
      </c>
      <c r="W187" s="1" t="s">
        <v>40</v>
      </c>
      <c r="Y187" s="1" t="s">
        <v>39</v>
      </c>
      <c r="Z187" s="1" t="n">
        <v>0</v>
      </c>
      <c r="AA187" s="1" t="str">
        <f aca="false">TRIM(PROPER(F187))</f>
        <v>Ghaziabad</v>
      </c>
      <c r="AB187" s="1" t="str">
        <f aca="false">TRIM(PROPER(C187))</f>
        <v>Vedantu</v>
      </c>
      <c r="AC187" s="1" t="str">
        <f aca="false">IF(O187=0,"No Discount",IF(O187&lt;=15,"Low (1-15%)",IF(O187&lt;=30,"Medium (16-30%)","High (&gt;30%)")))</f>
        <v>High (&gt;30%)</v>
      </c>
      <c r="AD187" s="1" t="str">
        <f aca="false">IF(V187&lt;0,"Loss Making",IF(V187&lt;20,"Low Margin","Healthy Margin"))</f>
        <v>Healthy Margin</v>
      </c>
      <c r="AE187" s="1" t="str">
        <f aca="false">TEXT(DATE(VALUE(RIGHT(B187,4)),VALUE(MID(B187,4,2)),VALUE(LEFT(B187,2))),"MMM-YYYY")</f>
        <v>Sep-2023</v>
      </c>
      <c r="AF187" s="1" t="n">
        <f aca="false">VALUE(RIGHT(B187,4))</f>
        <v>2023</v>
      </c>
      <c r="AG187" s="1" t="str">
        <f aca="false">CHOOSE(ROUNDUP(VALUE(MID(B187,4,2))/3,0),"Q1","Q2","Q3","Q4")</f>
        <v>Q3</v>
      </c>
    </row>
    <row r="188" customFormat="false" ht="15" hidden="false" customHeight="true" outlineLevel="0" collapsed="false">
      <c r="A188" s="1" t="s">
        <v>496</v>
      </c>
      <c r="B188" s="1" t="s">
        <v>497</v>
      </c>
      <c r="C188" s="1" t="s">
        <v>249</v>
      </c>
      <c r="D188" s="1" t="s">
        <v>44</v>
      </c>
      <c r="E188" s="1" t="s">
        <v>45</v>
      </c>
      <c r="F188" s="1" t="s">
        <v>194</v>
      </c>
      <c r="G188" s="1" t="s">
        <v>103</v>
      </c>
      <c r="H188" s="1" t="s">
        <v>69</v>
      </c>
      <c r="I188" s="1" t="s">
        <v>58</v>
      </c>
      <c r="J188" s="1" t="s">
        <v>59</v>
      </c>
      <c r="K188" s="1" t="s">
        <v>48</v>
      </c>
      <c r="L188" s="1" t="s">
        <v>61</v>
      </c>
      <c r="M188" s="1" t="s">
        <v>50</v>
      </c>
      <c r="N188" s="1" t="n">
        <v>11999</v>
      </c>
      <c r="O188" s="1" t="n">
        <v>5</v>
      </c>
      <c r="P188" s="1" t="n">
        <v>599.95</v>
      </c>
      <c r="Q188" s="1" t="n">
        <v>11399.05</v>
      </c>
      <c r="R188" s="1" t="n">
        <v>2051.83</v>
      </c>
      <c r="S188" s="1" t="n">
        <v>9347.22</v>
      </c>
      <c r="T188" s="1" t="n">
        <v>3099.41</v>
      </c>
      <c r="U188" s="1" t="n">
        <v>6247.81</v>
      </c>
      <c r="V188" s="1" t="n">
        <v>66.84</v>
      </c>
      <c r="W188" s="1" t="s">
        <v>40</v>
      </c>
      <c r="Y188" s="1" t="s">
        <v>40</v>
      </c>
      <c r="Z188" s="1" t="n">
        <v>1</v>
      </c>
      <c r="AA188" s="1" t="str">
        <f aca="false">TRIM(PROPER(F188))</f>
        <v>Hyderabad</v>
      </c>
      <c r="AB188" s="1" t="str">
        <f aca="false">TRIM(PROPER(C188))</f>
        <v>Whitehat Jr</v>
      </c>
      <c r="AC188" s="1" t="str">
        <f aca="false">IF(O188=0,"No Discount",IF(O188&lt;=15,"Low (1-15%)",IF(O188&lt;=30,"Medium (16-30%)","High (&gt;30%)")))</f>
        <v>Low (1-15%)</v>
      </c>
      <c r="AD188" s="1" t="str">
        <f aca="false">IF(V188&lt;0,"Loss Making",IF(V188&lt;20,"Low Margin","Healthy Margin"))</f>
        <v>Healthy Margin</v>
      </c>
      <c r="AE188" s="1" t="str">
        <f aca="false">TEXT(DATE(VALUE(RIGHT(B188,4)),VALUE(MID(B188,4,2)),VALUE(LEFT(B188,2))),"MMM-YYYY")</f>
        <v>Apr-2023</v>
      </c>
      <c r="AF188" s="1" t="n">
        <f aca="false">VALUE(RIGHT(B188,4))</f>
        <v>2023</v>
      </c>
      <c r="AG188" s="1" t="str">
        <f aca="false">CHOOSE(ROUNDUP(VALUE(MID(B188,4,2))/3,0),"Q1","Q2","Q3","Q4")</f>
        <v>Q2</v>
      </c>
    </row>
    <row r="189" customFormat="false" ht="15" hidden="false" customHeight="true" outlineLevel="0" collapsed="false">
      <c r="A189" s="1" t="s">
        <v>498</v>
      </c>
      <c r="B189" s="1" t="s">
        <v>499</v>
      </c>
      <c r="C189" s="1" t="s">
        <v>100</v>
      </c>
      <c r="D189" s="1" t="s">
        <v>53</v>
      </c>
      <c r="E189" s="1" t="s">
        <v>54</v>
      </c>
      <c r="F189" s="1" t="s">
        <v>130</v>
      </c>
      <c r="G189" s="1" t="s">
        <v>47</v>
      </c>
      <c r="H189" s="1" t="s">
        <v>69</v>
      </c>
      <c r="I189" s="1" t="s">
        <v>83</v>
      </c>
      <c r="J189" s="1" t="s">
        <v>70</v>
      </c>
      <c r="K189" s="1" t="s">
        <v>104</v>
      </c>
      <c r="L189" s="1" t="s">
        <v>37</v>
      </c>
      <c r="M189" s="1" t="s">
        <v>62</v>
      </c>
      <c r="N189" s="1" t="n">
        <v>11999</v>
      </c>
      <c r="O189" s="1" t="n">
        <v>30</v>
      </c>
      <c r="P189" s="1" t="n">
        <v>3599.7</v>
      </c>
      <c r="Q189" s="1" t="n">
        <v>8399.3</v>
      </c>
      <c r="R189" s="1" t="n">
        <v>1511.87</v>
      </c>
      <c r="S189" s="1" t="n">
        <v>6887.43</v>
      </c>
      <c r="T189" s="1" t="n">
        <v>3328.07</v>
      </c>
      <c r="U189" s="1" t="n">
        <v>3559.36</v>
      </c>
      <c r="V189" s="1" t="n">
        <v>51.68</v>
      </c>
      <c r="W189" s="1" t="s">
        <v>40</v>
      </c>
      <c r="Y189" s="1" t="s">
        <v>40</v>
      </c>
      <c r="Z189" s="1" t="n">
        <v>0</v>
      </c>
      <c r="AA189" s="1" t="str">
        <f aca="false">TRIM(PROPER(F189))</f>
        <v>Bengaluru</v>
      </c>
      <c r="AB189" s="1" t="str">
        <f aca="false">TRIM(PROPER(C189))</f>
        <v>Physics Wallah</v>
      </c>
      <c r="AC189" s="1" t="str">
        <f aca="false">IF(O189=0,"No Discount",IF(O189&lt;=15,"Low (1-15%)",IF(O189&lt;=30,"Medium (16-30%)","High (&gt;30%)")))</f>
        <v>Medium (16-30%)</v>
      </c>
      <c r="AD189" s="1" t="str">
        <f aca="false">IF(V189&lt;0,"Loss Making",IF(V189&lt;20,"Low Margin","Healthy Margin"))</f>
        <v>Healthy Margin</v>
      </c>
      <c r="AE189" s="1" t="str">
        <f aca="false">TEXT(DATE(VALUE(RIGHT(B189,4)),VALUE(MID(B189,4,2)),VALUE(LEFT(B189,2))),"MMM-YYYY")</f>
        <v>Jun-2023</v>
      </c>
      <c r="AF189" s="1" t="n">
        <f aca="false">VALUE(RIGHT(B189,4))</f>
        <v>2023</v>
      </c>
      <c r="AG189" s="1" t="str">
        <f aca="false">CHOOSE(ROUNDUP(VALUE(MID(B189,4,2))/3,0),"Q1","Q2","Q3","Q4")</f>
        <v>Q2</v>
      </c>
    </row>
    <row r="190" customFormat="false" ht="15" hidden="false" customHeight="true" outlineLevel="0" collapsed="false">
      <c r="A190" s="1" t="s">
        <v>500</v>
      </c>
      <c r="B190" s="1" t="s">
        <v>454</v>
      </c>
      <c r="C190" s="1" t="s">
        <v>178</v>
      </c>
      <c r="D190" s="1" t="s">
        <v>94</v>
      </c>
      <c r="E190" s="1" t="s">
        <v>101</v>
      </c>
      <c r="F190" s="1" t="s">
        <v>82</v>
      </c>
      <c r="G190" s="1" t="s">
        <v>56</v>
      </c>
      <c r="H190" s="1" t="s">
        <v>69</v>
      </c>
      <c r="I190" s="1" t="s">
        <v>83</v>
      </c>
      <c r="J190" s="1" t="s">
        <v>77</v>
      </c>
      <c r="K190" s="1" t="s">
        <v>36</v>
      </c>
      <c r="L190" s="1" t="s">
        <v>136</v>
      </c>
      <c r="M190" s="1" t="s">
        <v>50</v>
      </c>
      <c r="N190" s="1" t="n">
        <v>14999</v>
      </c>
      <c r="O190" s="1" t="n">
        <v>25</v>
      </c>
      <c r="P190" s="1" t="n">
        <v>3749.75</v>
      </c>
      <c r="Q190" s="1" t="n">
        <v>11249.25</v>
      </c>
      <c r="R190" s="1" t="n">
        <v>2024.87</v>
      </c>
      <c r="S190" s="1" t="n">
        <v>9224.38</v>
      </c>
      <c r="T190" s="1" t="n">
        <v>2818</v>
      </c>
      <c r="U190" s="1" t="n">
        <v>6406.38</v>
      </c>
      <c r="V190" s="1" t="n">
        <v>69.45</v>
      </c>
      <c r="W190" s="1" t="s">
        <v>39</v>
      </c>
      <c r="X190" s="1" t="n">
        <v>4.4</v>
      </c>
      <c r="Y190" s="1" t="s">
        <v>40</v>
      </c>
      <c r="Z190" s="1" t="n">
        <v>0</v>
      </c>
      <c r="AA190" s="1" t="str">
        <f aca="false">TRIM(PROPER(F190))</f>
        <v>Gurugram</v>
      </c>
      <c r="AB190" s="1" t="str">
        <f aca="false">TRIM(PROPER(C190))</f>
        <v>Leverage Edu</v>
      </c>
      <c r="AC190" s="1" t="str">
        <f aca="false">IF(O190=0,"No Discount",IF(O190&lt;=15,"Low (1-15%)",IF(O190&lt;=30,"Medium (16-30%)","High (&gt;30%)")))</f>
        <v>Medium (16-30%)</v>
      </c>
      <c r="AD190" s="1" t="str">
        <f aca="false">IF(V190&lt;0,"Loss Making",IF(V190&lt;20,"Low Margin","Healthy Margin"))</f>
        <v>Healthy Margin</v>
      </c>
      <c r="AE190" s="1" t="str">
        <f aca="false">TEXT(DATE(VALUE(RIGHT(B190,4)),VALUE(MID(B190,4,2)),VALUE(LEFT(B190,2))),"MMM-YYYY")</f>
        <v>Apr-2023</v>
      </c>
      <c r="AF190" s="1" t="n">
        <f aca="false">VALUE(RIGHT(B190,4))</f>
        <v>2023</v>
      </c>
      <c r="AG190" s="1" t="str">
        <f aca="false">CHOOSE(ROUNDUP(VALUE(MID(B190,4,2))/3,0),"Q1","Q2","Q3","Q4")</f>
        <v>Q2</v>
      </c>
    </row>
    <row r="191" customFormat="false" ht="15" hidden="false" customHeight="true" outlineLevel="0" collapsed="false">
      <c r="A191" s="1" t="s">
        <v>501</v>
      </c>
      <c r="B191" s="1" t="s">
        <v>502</v>
      </c>
      <c r="C191" s="1" t="s">
        <v>264</v>
      </c>
      <c r="D191" s="1" t="s">
        <v>53</v>
      </c>
      <c r="E191" s="1" t="s">
        <v>216</v>
      </c>
      <c r="F191" s="1" t="s">
        <v>187</v>
      </c>
      <c r="G191" s="1" t="s">
        <v>97</v>
      </c>
      <c r="H191" s="1" t="s">
        <v>69</v>
      </c>
      <c r="I191" s="1" t="s">
        <v>34</v>
      </c>
      <c r="J191" s="1" t="s">
        <v>59</v>
      </c>
      <c r="K191" s="1" t="s">
        <v>112</v>
      </c>
      <c r="L191" s="1" t="s">
        <v>37</v>
      </c>
      <c r="M191" s="1" t="s">
        <v>38</v>
      </c>
      <c r="N191" s="1" t="n">
        <v>7499</v>
      </c>
      <c r="O191" s="1" t="n">
        <v>40</v>
      </c>
      <c r="P191" s="1" t="n">
        <v>2999.6</v>
      </c>
      <c r="Q191" s="1" t="n">
        <v>4499.4</v>
      </c>
      <c r="R191" s="1" t="n">
        <v>809.89</v>
      </c>
      <c r="S191" s="1" t="n">
        <v>3689.51</v>
      </c>
      <c r="T191" s="1" t="n">
        <v>1786</v>
      </c>
      <c r="U191" s="1" t="n">
        <v>1903.51</v>
      </c>
      <c r="V191" s="1" t="n">
        <v>51.59</v>
      </c>
      <c r="W191" s="1" t="s">
        <v>40</v>
      </c>
      <c r="Y191" s="1" t="s">
        <v>39</v>
      </c>
      <c r="Z191" s="1" t="n">
        <v>2</v>
      </c>
      <c r="AA191" s="1" t="str">
        <f aca="false">TRIM(PROPER(F191))</f>
        <v>Mumbai</v>
      </c>
      <c r="AB191" s="1" t="str">
        <f aca="false">TRIM(PROPER(C191))</f>
        <v>Unacademy</v>
      </c>
      <c r="AC191" s="1" t="str">
        <f aca="false">IF(O191=0,"No Discount",IF(O191&lt;=15,"Low (1-15%)",IF(O191&lt;=30,"Medium (16-30%)","High (&gt;30%)")))</f>
        <v>High (&gt;30%)</v>
      </c>
      <c r="AD191" s="1" t="str">
        <f aca="false">IF(V191&lt;0,"Loss Making",IF(V191&lt;20,"Low Margin","Healthy Margin"))</f>
        <v>Healthy Margin</v>
      </c>
      <c r="AE191" s="1" t="str">
        <f aca="false">TEXT(DATE(VALUE(RIGHT(B191,4)),VALUE(MID(B191,4,2)),VALUE(LEFT(B191,2))),"MMM-YYYY")</f>
        <v>Nov-2024</v>
      </c>
      <c r="AF191" s="1" t="n">
        <f aca="false">VALUE(RIGHT(B191,4))</f>
        <v>2024</v>
      </c>
      <c r="AG191" s="1" t="str">
        <f aca="false">CHOOSE(ROUNDUP(VALUE(MID(B191,4,2))/3,0),"Q1","Q2","Q3","Q4")</f>
        <v>Q4</v>
      </c>
    </row>
    <row r="192" customFormat="false" ht="15" hidden="false" customHeight="true" outlineLevel="0" collapsed="false">
      <c r="A192" s="1" t="s">
        <v>503</v>
      </c>
      <c r="B192" s="1" t="s">
        <v>504</v>
      </c>
      <c r="C192" s="1" t="s">
        <v>249</v>
      </c>
      <c r="D192" s="1" t="s">
        <v>143</v>
      </c>
      <c r="E192" s="1" t="s">
        <v>210</v>
      </c>
      <c r="F192" s="1" t="s">
        <v>150</v>
      </c>
      <c r="G192" s="1" t="s">
        <v>32</v>
      </c>
      <c r="H192" s="1" t="s">
        <v>57</v>
      </c>
      <c r="I192" s="1" t="s">
        <v>58</v>
      </c>
      <c r="J192" s="1" t="s">
        <v>35</v>
      </c>
      <c r="K192" s="1" t="s">
        <v>48</v>
      </c>
      <c r="L192" s="1" t="s">
        <v>61</v>
      </c>
      <c r="M192" s="1" t="s">
        <v>62</v>
      </c>
      <c r="N192" s="1" t="n">
        <v>18999</v>
      </c>
      <c r="O192" s="1" t="n">
        <v>0</v>
      </c>
      <c r="P192" s="1" t="n">
        <v>0</v>
      </c>
      <c r="Q192" s="1" t="n">
        <v>18999</v>
      </c>
      <c r="R192" s="1" t="n">
        <v>3419.82</v>
      </c>
      <c r="S192" s="1" t="n">
        <v>15579.18</v>
      </c>
      <c r="T192" s="1" t="n">
        <v>6757.24</v>
      </c>
      <c r="U192" s="1" t="n">
        <v>8821.94</v>
      </c>
      <c r="V192" s="1" t="n">
        <v>56.63</v>
      </c>
      <c r="W192" s="1" t="s">
        <v>39</v>
      </c>
      <c r="X192" s="1" t="n">
        <v>3.8</v>
      </c>
      <c r="Y192" s="1" t="s">
        <v>40</v>
      </c>
      <c r="Z192" s="1" t="n">
        <v>0</v>
      </c>
      <c r="AA192" s="1" t="str">
        <f aca="false">TRIM(PROPER(F192))</f>
        <v>Jaipur</v>
      </c>
      <c r="AB192" s="1" t="str">
        <f aca="false">TRIM(PROPER(C192))</f>
        <v>Whitehat Jr</v>
      </c>
      <c r="AC192" s="1" t="str">
        <f aca="false">IF(O192=0,"No Discount",IF(O192&lt;=15,"Low (1-15%)",IF(O192&lt;=30,"Medium (16-30%)","High (&gt;30%)")))</f>
        <v>No Discount</v>
      </c>
      <c r="AD192" s="1" t="str">
        <f aca="false">IF(V192&lt;0,"Loss Making",IF(V192&lt;20,"Low Margin","Healthy Margin"))</f>
        <v>Healthy Margin</v>
      </c>
      <c r="AE192" s="1" t="str">
        <f aca="false">TEXT(DATE(VALUE(RIGHT(B192,4)),VALUE(MID(B192,4,2)),VALUE(LEFT(B192,2))),"MMM-YYYY")</f>
        <v>Aug-2024</v>
      </c>
      <c r="AF192" s="1" t="n">
        <f aca="false">VALUE(RIGHT(B192,4))</f>
        <v>2024</v>
      </c>
      <c r="AG192" s="1" t="str">
        <f aca="false">CHOOSE(ROUNDUP(VALUE(MID(B192,4,2))/3,0),"Q1","Q2","Q3","Q4")</f>
        <v>Q3</v>
      </c>
    </row>
    <row r="193" customFormat="false" ht="15" hidden="false" customHeight="true" outlineLevel="0" collapsed="false">
      <c r="A193" s="1" t="s">
        <v>505</v>
      </c>
      <c r="B193" s="1" t="s">
        <v>506</v>
      </c>
      <c r="C193" s="1" t="s">
        <v>28</v>
      </c>
      <c r="D193" s="1" t="s">
        <v>29</v>
      </c>
      <c r="E193" s="1" t="s">
        <v>182</v>
      </c>
      <c r="F193" s="1" t="s">
        <v>150</v>
      </c>
      <c r="G193" s="1" t="s">
        <v>32</v>
      </c>
      <c r="H193" s="1" t="s">
        <v>57</v>
      </c>
      <c r="I193" s="1" t="s">
        <v>58</v>
      </c>
      <c r="J193" s="1" t="s">
        <v>77</v>
      </c>
      <c r="K193" s="1" t="s">
        <v>48</v>
      </c>
      <c r="L193" s="1" t="s">
        <v>61</v>
      </c>
      <c r="M193" s="1" t="s">
        <v>50</v>
      </c>
      <c r="N193" s="1" t="n">
        <v>34999</v>
      </c>
      <c r="O193" s="1" t="n">
        <v>10</v>
      </c>
      <c r="P193" s="1" t="n">
        <v>3499.9</v>
      </c>
      <c r="Q193" s="1" t="n">
        <v>31499.1</v>
      </c>
      <c r="R193" s="1" t="n">
        <v>5669.84</v>
      </c>
      <c r="S193" s="1" t="n">
        <v>25829.26</v>
      </c>
      <c r="T193" s="1" t="n">
        <v>12337.66</v>
      </c>
      <c r="U193" s="1" t="n">
        <v>13491.6</v>
      </c>
      <c r="V193" s="1" t="n">
        <v>52.23</v>
      </c>
      <c r="W193" s="1" t="s">
        <v>39</v>
      </c>
      <c r="X193" s="1" t="n">
        <v>4.5</v>
      </c>
      <c r="Y193" s="1" t="s">
        <v>40</v>
      </c>
      <c r="Z193" s="1" t="n">
        <v>0</v>
      </c>
      <c r="AA193" s="1" t="str">
        <f aca="false">TRIM(PROPER(F193))</f>
        <v>Jaipur</v>
      </c>
      <c r="AB193" s="1" t="str">
        <f aca="false">TRIM(PROPER(C193))</f>
        <v>Embibe</v>
      </c>
      <c r="AC193" s="1" t="str">
        <f aca="false">IF(O193=0,"No Discount",IF(O193&lt;=15,"Low (1-15%)",IF(O193&lt;=30,"Medium (16-30%)","High (&gt;30%)")))</f>
        <v>Low (1-15%)</v>
      </c>
      <c r="AD193" s="1" t="str">
        <f aca="false">IF(V193&lt;0,"Loss Making",IF(V193&lt;20,"Low Margin","Healthy Margin"))</f>
        <v>Healthy Margin</v>
      </c>
      <c r="AE193" s="1" t="str">
        <f aca="false">TEXT(DATE(VALUE(RIGHT(B193,4)),VALUE(MID(B193,4,2)),VALUE(LEFT(B193,2))),"MMM-YYYY")</f>
        <v>Oct-2023</v>
      </c>
      <c r="AF193" s="1" t="n">
        <f aca="false">VALUE(RIGHT(B193,4))</f>
        <v>2023</v>
      </c>
      <c r="AG193" s="1" t="str">
        <f aca="false">CHOOSE(ROUNDUP(VALUE(MID(B193,4,2))/3,0),"Q1","Q2","Q3","Q4")</f>
        <v>Q4</v>
      </c>
    </row>
    <row r="194" customFormat="false" ht="15" hidden="false" customHeight="true" outlineLevel="0" collapsed="false">
      <c r="A194" s="1" t="s">
        <v>507</v>
      </c>
      <c r="B194" s="1" t="s">
        <v>508</v>
      </c>
      <c r="C194" s="1" t="s">
        <v>134</v>
      </c>
      <c r="D194" s="1" t="s">
        <v>80</v>
      </c>
      <c r="E194" s="1" t="s">
        <v>175</v>
      </c>
      <c r="F194" s="1" t="s">
        <v>107</v>
      </c>
      <c r="G194" s="1" t="s">
        <v>108</v>
      </c>
      <c r="H194" s="1" t="s">
        <v>33</v>
      </c>
      <c r="I194" s="1" t="s">
        <v>34</v>
      </c>
      <c r="J194" s="1" t="s">
        <v>131</v>
      </c>
      <c r="K194" s="1" t="s">
        <v>71</v>
      </c>
      <c r="L194" s="1" t="s">
        <v>61</v>
      </c>
      <c r="M194" s="1" t="s">
        <v>50</v>
      </c>
      <c r="N194" s="1" t="n">
        <v>19999</v>
      </c>
      <c r="O194" s="1" t="n">
        <v>15</v>
      </c>
      <c r="P194" s="1" t="n">
        <v>2999.85</v>
      </c>
      <c r="Q194" s="1" t="n">
        <v>16999.15</v>
      </c>
      <c r="R194" s="1" t="n">
        <v>3059.85</v>
      </c>
      <c r="S194" s="1" t="n">
        <v>13939.3</v>
      </c>
      <c r="T194" s="1" t="n">
        <v>5709.78</v>
      </c>
      <c r="U194" s="1" t="n">
        <v>8229.52</v>
      </c>
      <c r="V194" s="1" t="n">
        <v>59.04</v>
      </c>
      <c r="W194" s="1" t="s">
        <v>39</v>
      </c>
      <c r="X194" s="1" t="n">
        <v>4.8</v>
      </c>
      <c r="Y194" s="1" t="s">
        <v>40</v>
      </c>
      <c r="Z194" s="1" t="n">
        <v>1</v>
      </c>
      <c r="AA194" s="1" t="str">
        <f aca="false">TRIM(PROPER(F194))</f>
        <v>Madurai</v>
      </c>
      <c r="AB194" s="1" t="str">
        <f aca="false">TRIM(PROPER(C194))</f>
        <v>Doubtnut</v>
      </c>
      <c r="AC194" s="1" t="str">
        <f aca="false">IF(O194=0,"No Discount",IF(O194&lt;=15,"Low (1-15%)",IF(O194&lt;=30,"Medium (16-30%)","High (&gt;30%)")))</f>
        <v>Low (1-15%)</v>
      </c>
      <c r="AD194" s="1" t="str">
        <f aca="false">IF(V194&lt;0,"Loss Making",IF(V194&lt;20,"Low Margin","Healthy Margin"))</f>
        <v>Healthy Margin</v>
      </c>
      <c r="AE194" s="1" t="str">
        <f aca="false">TEXT(DATE(VALUE(RIGHT(B194,4)),VALUE(MID(B194,4,2)),VALUE(LEFT(B194,2))),"MMM-YYYY")</f>
        <v>Oct-2024</v>
      </c>
      <c r="AF194" s="1" t="n">
        <f aca="false">VALUE(RIGHT(B194,4))</f>
        <v>2024</v>
      </c>
      <c r="AG194" s="1" t="str">
        <f aca="false">CHOOSE(ROUNDUP(VALUE(MID(B194,4,2))/3,0),"Q1","Q2","Q3","Q4")</f>
        <v>Q4</v>
      </c>
    </row>
    <row r="195" customFormat="false" ht="15" hidden="false" customHeight="true" outlineLevel="0" collapsed="false">
      <c r="A195" s="1" t="s">
        <v>509</v>
      </c>
      <c r="B195" s="1" t="s">
        <v>510</v>
      </c>
      <c r="C195" s="1" t="s">
        <v>88</v>
      </c>
      <c r="D195" s="1" t="s">
        <v>80</v>
      </c>
      <c r="E195" s="1" t="s">
        <v>193</v>
      </c>
      <c r="F195" s="1" t="s">
        <v>194</v>
      </c>
      <c r="G195" s="1" t="s">
        <v>103</v>
      </c>
      <c r="H195" s="1" t="s">
        <v>69</v>
      </c>
      <c r="I195" s="1" t="s">
        <v>83</v>
      </c>
      <c r="J195" s="1" t="s">
        <v>70</v>
      </c>
      <c r="K195" s="1" t="s">
        <v>71</v>
      </c>
      <c r="L195" s="1" t="s">
        <v>49</v>
      </c>
      <c r="M195" s="1" t="s">
        <v>62</v>
      </c>
      <c r="N195" s="1" t="n">
        <v>8999</v>
      </c>
      <c r="O195" s="1" t="n">
        <v>0</v>
      </c>
      <c r="P195" s="1" t="n">
        <v>0</v>
      </c>
      <c r="Q195" s="1" t="n">
        <v>8999</v>
      </c>
      <c r="R195" s="1" t="n">
        <v>1619.82</v>
      </c>
      <c r="S195" s="1" t="n">
        <v>7379.18</v>
      </c>
      <c r="T195" s="1" t="n">
        <v>2731.44</v>
      </c>
      <c r="U195" s="1" t="n">
        <v>4647.74</v>
      </c>
      <c r="V195" s="1" t="n">
        <v>62.98</v>
      </c>
      <c r="W195" s="1" t="s">
        <v>40</v>
      </c>
      <c r="Y195" s="1" t="s">
        <v>39</v>
      </c>
      <c r="Z195" s="1" t="n">
        <v>1</v>
      </c>
      <c r="AA195" s="1" t="str">
        <f aca="false">TRIM(PROPER(F195))</f>
        <v>Hyderabad</v>
      </c>
      <c r="AB195" s="1" t="str">
        <f aca="false">TRIM(PROPER(C195))</f>
        <v>Byju'S</v>
      </c>
      <c r="AC195" s="1" t="str">
        <f aca="false">IF(O195=0,"No Discount",IF(O195&lt;=15,"Low (1-15%)",IF(O195&lt;=30,"Medium (16-30%)","High (&gt;30%)")))</f>
        <v>No Discount</v>
      </c>
      <c r="AD195" s="1" t="str">
        <f aca="false">IF(V195&lt;0,"Loss Making",IF(V195&lt;20,"Low Margin","Healthy Margin"))</f>
        <v>Healthy Margin</v>
      </c>
      <c r="AE195" s="1" t="str">
        <f aca="false">TEXT(DATE(VALUE(RIGHT(B195,4)),VALUE(MID(B195,4,2)),VALUE(LEFT(B195,2))),"MMM-YYYY")</f>
        <v>Mar-2024</v>
      </c>
      <c r="AF195" s="1" t="n">
        <f aca="false">VALUE(RIGHT(B195,4))</f>
        <v>2024</v>
      </c>
      <c r="AG195" s="1" t="str">
        <f aca="false">CHOOSE(ROUNDUP(VALUE(MID(B195,4,2))/3,0),"Q1","Q2","Q3","Q4")</f>
        <v>Q1</v>
      </c>
    </row>
    <row r="196" customFormat="false" ht="15" hidden="false" customHeight="true" outlineLevel="0" collapsed="false">
      <c r="A196" s="1" t="s">
        <v>511</v>
      </c>
      <c r="B196" s="1" t="s">
        <v>281</v>
      </c>
      <c r="C196" s="1" t="s">
        <v>28</v>
      </c>
      <c r="D196" s="1" t="s">
        <v>80</v>
      </c>
      <c r="E196" s="1" t="s">
        <v>190</v>
      </c>
      <c r="F196" s="1" t="s">
        <v>125</v>
      </c>
      <c r="G196" s="1" t="s">
        <v>108</v>
      </c>
      <c r="H196" s="1" t="s">
        <v>69</v>
      </c>
      <c r="I196" s="1" t="s">
        <v>58</v>
      </c>
      <c r="J196" s="1" t="s">
        <v>59</v>
      </c>
      <c r="K196" s="1" t="s">
        <v>90</v>
      </c>
      <c r="L196" s="1" t="s">
        <v>61</v>
      </c>
      <c r="M196" s="1" t="s">
        <v>62</v>
      </c>
      <c r="N196" s="1" t="n">
        <v>15999</v>
      </c>
      <c r="O196" s="1" t="n">
        <v>0</v>
      </c>
      <c r="P196" s="1" t="n">
        <v>0</v>
      </c>
      <c r="Q196" s="1" t="n">
        <v>15999</v>
      </c>
      <c r="R196" s="1" t="n">
        <v>2879.82</v>
      </c>
      <c r="S196" s="1" t="n">
        <v>13119.18</v>
      </c>
      <c r="T196" s="1" t="n">
        <v>3800.91</v>
      </c>
      <c r="U196" s="1" t="n">
        <v>9318.27</v>
      </c>
      <c r="V196" s="1" t="n">
        <v>71.03</v>
      </c>
      <c r="W196" s="1" t="s">
        <v>39</v>
      </c>
      <c r="X196" s="1" t="n">
        <v>4.5</v>
      </c>
      <c r="Y196" s="1" t="s">
        <v>40</v>
      </c>
      <c r="Z196" s="1" t="n">
        <v>0</v>
      </c>
      <c r="AA196" s="1" t="str">
        <f aca="false">TRIM(PROPER(F196))</f>
        <v>Chennai</v>
      </c>
      <c r="AB196" s="1" t="str">
        <f aca="false">TRIM(PROPER(C196))</f>
        <v>Embibe</v>
      </c>
      <c r="AC196" s="1" t="str">
        <f aca="false">IF(O196=0,"No Discount",IF(O196&lt;=15,"Low (1-15%)",IF(O196&lt;=30,"Medium (16-30%)","High (&gt;30%)")))</f>
        <v>No Discount</v>
      </c>
      <c r="AD196" s="1" t="str">
        <f aca="false">IF(V196&lt;0,"Loss Making",IF(V196&lt;20,"Low Margin","Healthy Margin"))</f>
        <v>Healthy Margin</v>
      </c>
      <c r="AE196" s="1" t="str">
        <f aca="false">TEXT(DATE(VALUE(RIGHT(B196,4)),VALUE(MID(B196,4,2)),VALUE(LEFT(B196,2))),"MMM-YYYY")</f>
        <v>Oct-2024</v>
      </c>
      <c r="AF196" s="1" t="n">
        <f aca="false">VALUE(RIGHT(B196,4))</f>
        <v>2024</v>
      </c>
      <c r="AG196" s="1" t="str">
        <f aca="false">CHOOSE(ROUNDUP(VALUE(MID(B196,4,2))/3,0),"Q1","Q2","Q3","Q4")</f>
        <v>Q4</v>
      </c>
    </row>
    <row r="197" customFormat="false" ht="15" hidden="false" customHeight="true" outlineLevel="0" collapsed="false">
      <c r="A197" s="1" t="s">
        <v>512</v>
      </c>
      <c r="B197" s="1" t="s">
        <v>513</v>
      </c>
      <c r="C197" s="1" t="s">
        <v>88</v>
      </c>
      <c r="D197" s="1" t="s">
        <v>143</v>
      </c>
      <c r="E197" s="1" t="s">
        <v>162</v>
      </c>
      <c r="F197" s="1" t="s">
        <v>184</v>
      </c>
      <c r="G197" s="1" t="s">
        <v>56</v>
      </c>
      <c r="H197" s="1" t="s">
        <v>57</v>
      </c>
      <c r="I197" s="1" t="s">
        <v>34</v>
      </c>
      <c r="J197" s="1" t="s">
        <v>77</v>
      </c>
      <c r="K197" s="1" t="s">
        <v>112</v>
      </c>
      <c r="L197" s="1" t="s">
        <v>85</v>
      </c>
      <c r="M197" s="1" t="s">
        <v>38</v>
      </c>
      <c r="N197" s="1" t="n">
        <v>14999</v>
      </c>
      <c r="O197" s="1" t="n">
        <v>30</v>
      </c>
      <c r="P197" s="1" t="n">
        <v>4499.7</v>
      </c>
      <c r="Q197" s="1" t="n">
        <v>10499.3</v>
      </c>
      <c r="R197" s="1" t="n">
        <v>1889.87</v>
      </c>
      <c r="S197" s="1" t="n">
        <v>8609.43</v>
      </c>
      <c r="T197" s="1" t="n">
        <v>4047.19</v>
      </c>
      <c r="U197" s="1" t="n">
        <v>4562.24</v>
      </c>
      <c r="V197" s="1" t="n">
        <v>52.99</v>
      </c>
      <c r="W197" s="1" t="s">
        <v>39</v>
      </c>
      <c r="X197" s="1" t="n">
        <v>3.7</v>
      </c>
      <c r="Y197" s="1" t="s">
        <v>40</v>
      </c>
      <c r="Z197" s="1" t="n">
        <v>0</v>
      </c>
      <c r="AA197" s="1" t="str">
        <f aca="false">TRIM(PROPER(F197))</f>
        <v>Faridabad</v>
      </c>
      <c r="AB197" s="1" t="str">
        <f aca="false">TRIM(PROPER(C197))</f>
        <v>Byju'S</v>
      </c>
      <c r="AC197" s="1" t="str">
        <f aca="false">IF(O197=0,"No Discount",IF(O197&lt;=15,"Low (1-15%)",IF(O197&lt;=30,"Medium (16-30%)","High (&gt;30%)")))</f>
        <v>Medium (16-30%)</v>
      </c>
      <c r="AD197" s="1" t="str">
        <f aca="false">IF(V197&lt;0,"Loss Making",IF(V197&lt;20,"Low Margin","Healthy Margin"))</f>
        <v>Healthy Margin</v>
      </c>
      <c r="AE197" s="1" t="str">
        <f aca="false">TEXT(DATE(VALUE(RIGHT(B197,4)),VALUE(MID(B197,4,2)),VALUE(LEFT(B197,2))),"MMM-YYYY")</f>
        <v>Jun-2023</v>
      </c>
      <c r="AF197" s="1" t="n">
        <f aca="false">VALUE(RIGHT(B197,4))</f>
        <v>2023</v>
      </c>
      <c r="AG197" s="1" t="str">
        <f aca="false">CHOOSE(ROUNDUP(VALUE(MID(B197,4,2))/3,0),"Q1","Q2","Q3","Q4")</f>
        <v>Q2</v>
      </c>
    </row>
    <row r="198" customFormat="false" ht="15" hidden="false" customHeight="true" outlineLevel="0" collapsed="false">
      <c r="A198" s="1" t="s">
        <v>514</v>
      </c>
      <c r="B198" s="1" t="s">
        <v>515</v>
      </c>
      <c r="C198" s="1" t="s">
        <v>516</v>
      </c>
      <c r="D198" s="1" t="s">
        <v>53</v>
      </c>
      <c r="E198" s="1" t="s">
        <v>54</v>
      </c>
      <c r="F198" s="1" t="s">
        <v>244</v>
      </c>
      <c r="G198" s="1" t="s">
        <v>97</v>
      </c>
      <c r="H198" s="1" t="s">
        <v>57</v>
      </c>
      <c r="I198" s="1" t="s">
        <v>83</v>
      </c>
      <c r="J198" s="1" t="s">
        <v>59</v>
      </c>
      <c r="K198" s="1" t="s">
        <v>60</v>
      </c>
      <c r="L198" s="1" t="s">
        <v>85</v>
      </c>
      <c r="M198" s="1" t="s">
        <v>50</v>
      </c>
      <c r="N198" s="1" t="n">
        <v>11999</v>
      </c>
      <c r="O198" s="1" t="n">
        <v>30</v>
      </c>
      <c r="P198" s="1" t="n">
        <v>3599.7</v>
      </c>
      <c r="Q198" s="1" t="n">
        <v>8399.3</v>
      </c>
      <c r="R198" s="1" t="n">
        <v>1511.87</v>
      </c>
      <c r="S198" s="1" t="n">
        <v>6887.43</v>
      </c>
      <c r="T198" s="1" t="n">
        <v>3059.81</v>
      </c>
      <c r="U198" s="1" t="n">
        <v>3827.62</v>
      </c>
      <c r="V198" s="1" t="n">
        <v>55.57</v>
      </c>
      <c r="W198" s="1" t="s">
        <v>40</v>
      </c>
      <c r="Y198" s="1" t="s">
        <v>40</v>
      </c>
      <c r="Z198" s="1" t="n">
        <v>1</v>
      </c>
      <c r="AA198" s="1" t="str">
        <f aca="false">TRIM(PROPER(F198))</f>
        <v>Nagpur</v>
      </c>
      <c r="AB198" s="1" t="str">
        <f aca="false">TRIM(PROPER(C198))</f>
        <v>Meritnation</v>
      </c>
      <c r="AC198" s="1" t="str">
        <f aca="false">IF(O198=0,"No Discount",IF(O198&lt;=15,"Low (1-15%)",IF(O198&lt;=30,"Medium (16-30%)","High (&gt;30%)")))</f>
        <v>Medium (16-30%)</v>
      </c>
      <c r="AD198" s="1" t="str">
        <f aca="false">IF(V198&lt;0,"Loss Making",IF(V198&lt;20,"Low Margin","Healthy Margin"))</f>
        <v>Healthy Margin</v>
      </c>
      <c r="AE198" s="1" t="str">
        <f aca="false">TEXT(DATE(VALUE(RIGHT(B198,4)),VALUE(MID(B198,4,2)),VALUE(LEFT(B198,2))),"MMM-YYYY")</f>
        <v>Sep-2024</v>
      </c>
      <c r="AF198" s="1" t="n">
        <f aca="false">VALUE(RIGHT(B198,4))</f>
        <v>2024</v>
      </c>
      <c r="AG198" s="1" t="str">
        <f aca="false">CHOOSE(ROUNDUP(VALUE(MID(B198,4,2))/3,0),"Q1","Q2","Q3","Q4")</f>
        <v>Q3</v>
      </c>
    </row>
    <row r="199" customFormat="false" ht="15" hidden="false" customHeight="true" outlineLevel="0" collapsed="false">
      <c r="A199" s="1" t="s">
        <v>517</v>
      </c>
      <c r="B199" s="1" t="s">
        <v>518</v>
      </c>
      <c r="C199" s="1" t="s">
        <v>264</v>
      </c>
      <c r="D199" s="1" t="s">
        <v>44</v>
      </c>
      <c r="E199" s="1" t="s">
        <v>66</v>
      </c>
      <c r="F199" s="1" t="s">
        <v>150</v>
      </c>
      <c r="G199" s="1" t="s">
        <v>32</v>
      </c>
      <c r="H199" s="1" t="s">
        <v>57</v>
      </c>
      <c r="I199" s="1" t="s">
        <v>58</v>
      </c>
      <c r="J199" s="1" t="s">
        <v>131</v>
      </c>
      <c r="K199" s="1" t="s">
        <v>104</v>
      </c>
      <c r="L199" s="1" t="s">
        <v>85</v>
      </c>
      <c r="M199" s="1" t="s">
        <v>38</v>
      </c>
      <c r="N199" s="1" t="n">
        <v>12999</v>
      </c>
      <c r="O199" s="1" t="n">
        <v>15</v>
      </c>
      <c r="P199" s="1" t="n">
        <v>1949.85</v>
      </c>
      <c r="Q199" s="1" t="n">
        <v>11049.15</v>
      </c>
      <c r="R199" s="1" t="n">
        <v>1988.85</v>
      </c>
      <c r="S199" s="1" t="n">
        <v>9060.3</v>
      </c>
      <c r="T199" s="1" t="n">
        <v>3839.09</v>
      </c>
      <c r="U199" s="1" t="n">
        <v>5221.21</v>
      </c>
      <c r="V199" s="1" t="n">
        <v>57.63</v>
      </c>
      <c r="W199" s="1" t="s">
        <v>39</v>
      </c>
      <c r="X199" s="1" t="n">
        <v>3.2</v>
      </c>
      <c r="Y199" s="1" t="s">
        <v>40</v>
      </c>
      <c r="Z199" s="1" t="n">
        <v>0</v>
      </c>
      <c r="AA199" s="1" t="str">
        <f aca="false">TRIM(PROPER(F199))</f>
        <v>Jaipur</v>
      </c>
      <c r="AB199" s="1" t="str">
        <f aca="false">TRIM(PROPER(C199))</f>
        <v>Unacademy</v>
      </c>
      <c r="AC199" s="1" t="str">
        <f aca="false">IF(O199=0,"No Discount",IF(O199&lt;=15,"Low (1-15%)",IF(O199&lt;=30,"Medium (16-30%)","High (&gt;30%)")))</f>
        <v>Low (1-15%)</v>
      </c>
      <c r="AD199" s="1" t="str">
        <f aca="false">IF(V199&lt;0,"Loss Making",IF(V199&lt;20,"Low Margin","Healthy Margin"))</f>
        <v>Healthy Margin</v>
      </c>
      <c r="AE199" s="1" t="str">
        <f aca="false">TEXT(DATE(VALUE(RIGHT(B199,4)),VALUE(MID(B199,4,2)),VALUE(LEFT(B199,2))),"MMM-YYYY")</f>
        <v>Jul-2024</v>
      </c>
      <c r="AF199" s="1" t="n">
        <f aca="false">VALUE(RIGHT(B199,4))</f>
        <v>2024</v>
      </c>
      <c r="AG199" s="1" t="str">
        <f aca="false">CHOOSE(ROUNDUP(VALUE(MID(B199,4,2))/3,0),"Q1","Q2","Q3","Q4")</f>
        <v>Q3</v>
      </c>
    </row>
    <row r="200" customFormat="false" ht="15" hidden="false" customHeight="true" outlineLevel="0" collapsed="false">
      <c r="A200" s="1" t="s">
        <v>519</v>
      </c>
      <c r="B200" s="1" t="s">
        <v>520</v>
      </c>
      <c r="C200" s="1" t="s">
        <v>178</v>
      </c>
      <c r="D200" s="1" t="s">
        <v>44</v>
      </c>
      <c r="E200" s="1" t="s">
        <v>221</v>
      </c>
      <c r="F200" s="1" t="s">
        <v>187</v>
      </c>
      <c r="G200" s="1" t="s">
        <v>97</v>
      </c>
      <c r="H200" s="1" t="s">
        <v>69</v>
      </c>
      <c r="I200" s="1" t="s">
        <v>58</v>
      </c>
      <c r="J200" s="1" t="s">
        <v>131</v>
      </c>
      <c r="K200" s="1" t="s">
        <v>90</v>
      </c>
      <c r="L200" s="1" t="s">
        <v>37</v>
      </c>
      <c r="M200" s="1" t="s">
        <v>38</v>
      </c>
      <c r="N200" s="1" t="n">
        <v>16999</v>
      </c>
      <c r="O200" s="1" t="n">
        <v>50</v>
      </c>
      <c r="P200" s="1" t="n">
        <v>8499.5</v>
      </c>
      <c r="Q200" s="1" t="n">
        <v>8499.5</v>
      </c>
      <c r="R200" s="1" t="n">
        <v>1529.91</v>
      </c>
      <c r="S200" s="1" t="n">
        <v>6969.59</v>
      </c>
      <c r="T200" s="1" t="n">
        <v>3700.56</v>
      </c>
      <c r="U200" s="1" t="n">
        <v>3269.03</v>
      </c>
      <c r="V200" s="1" t="n">
        <v>46.9</v>
      </c>
      <c r="W200" s="1" t="s">
        <v>39</v>
      </c>
      <c r="X200" s="1" t="n">
        <v>3.7</v>
      </c>
      <c r="Y200" s="1" t="s">
        <v>40</v>
      </c>
      <c r="Z200" s="1" t="n">
        <v>1</v>
      </c>
      <c r="AA200" s="1" t="str">
        <f aca="false">TRIM(PROPER(F200))</f>
        <v>Mumbai</v>
      </c>
      <c r="AB200" s="1" t="str">
        <f aca="false">TRIM(PROPER(C200))</f>
        <v>Leverage Edu</v>
      </c>
      <c r="AC200" s="1" t="str">
        <f aca="false">IF(O200=0,"No Discount",IF(O200&lt;=15,"Low (1-15%)",IF(O200&lt;=30,"Medium (16-30%)","High (&gt;30%)")))</f>
        <v>High (&gt;30%)</v>
      </c>
      <c r="AD200" s="1" t="str">
        <f aca="false">IF(V200&lt;0,"Loss Making",IF(V200&lt;20,"Low Margin","Healthy Margin"))</f>
        <v>Healthy Margin</v>
      </c>
      <c r="AE200" s="1" t="str">
        <f aca="false">TEXT(DATE(VALUE(RIGHT(B200,4)),VALUE(MID(B200,4,2)),VALUE(LEFT(B200,2))),"MMM-YYYY")</f>
        <v>Jul-2024</v>
      </c>
      <c r="AF200" s="1" t="n">
        <f aca="false">VALUE(RIGHT(B200,4))</f>
        <v>2024</v>
      </c>
      <c r="AG200" s="1" t="str">
        <f aca="false">CHOOSE(ROUNDUP(VALUE(MID(B200,4,2))/3,0),"Q1","Q2","Q3","Q4")</f>
        <v>Q3</v>
      </c>
    </row>
    <row r="201" customFormat="false" ht="15" hidden="false" customHeight="true" outlineLevel="0" collapsed="false">
      <c r="A201" s="1" t="s">
        <v>521</v>
      </c>
      <c r="B201" s="1" t="s">
        <v>522</v>
      </c>
      <c r="C201" s="1" t="s">
        <v>119</v>
      </c>
      <c r="D201" s="1" t="s">
        <v>123</v>
      </c>
      <c r="E201" s="1" t="s">
        <v>233</v>
      </c>
      <c r="F201" s="1" t="s">
        <v>140</v>
      </c>
      <c r="G201" s="1" t="s">
        <v>97</v>
      </c>
      <c r="H201" s="1" t="s">
        <v>57</v>
      </c>
      <c r="I201" s="1" t="s">
        <v>34</v>
      </c>
      <c r="J201" s="1" t="s">
        <v>77</v>
      </c>
      <c r="K201" s="1" t="s">
        <v>48</v>
      </c>
      <c r="L201" s="1" t="s">
        <v>37</v>
      </c>
      <c r="M201" s="1" t="s">
        <v>50</v>
      </c>
      <c r="N201" s="1" t="n">
        <v>8999</v>
      </c>
      <c r="O201" s="1" t="n">
        <v>25</v>
      </c>
      <c r="P201" s="1" t="n">
        <v>2249.75</v>
      </c>
      <c r="Q201" s="1" t="n">
        <v>6749.25</v>
      </c>
      <c r="R201" s="1" t="n">
        <v>1214.87</v>
      </c>
      <c r="S201" s="1" t="n">
        <v>5534.38</v>
      </c>
      <c r="T201" s="1" t="n">
        <v>2412.62</v>
      </c>
      <c r="U201" s="1" t="n">
        <v>3121.76</v>
      </c>
      <c r="V201" s="1" t="n">
        <v>56.41</v>
      </c>
      <c r="W201" s="1" t="s">
        <v>40</v>
      </c>
      <c r="Y201" s="1" t="s">
        <v>40</v>
      </c>
      <c r="Z201" s="1" t="n">
        <v>2</v>
      </c>
      <c r="AA201" s="1" t="str">
        <f aca="false">TRIM(PROPER(F201))</f>
        <v>Nashik</v>
      </c>
      <c r="AB201" s="1" t="str">
        <f aca="false">TRIM(PROPER(C201))</f>
        <v>Simplilearn</v>
      </c>
      <c r="AC201" s="1" t="str">
        <f aca="false">IF(O201=0,"No Discount",IF(O201&lt;=15,"Low (1-15%)",IF(O201&lt;=30,"Medium (16-30%)","High (&gt;30%)")))</f>
        <v>Medium (16-30%)</v>
      </c>
      <c r="AD201" s="1" t="str">
        <f aca="false">IF(V201&lt;0,"Loss Making",IF(V201&lt;20,"Low Margin","Healthy Margin"))</f>
        <v>Healthy Margin</v>
      </c>
      <c r="AE201" s="1" t="str">
        <f aca="false">TEXT(DATE(VALUE(RIGHT(B201,4)),VALUE(MID(B201,4,2)),VALUE(LEFT(B201,2))),"MMM-YYYY")</f>
        <v>Dec-2023</v>
      </c>
      <c r="AF201" s="1" t="n">
        <f aca="false">VALUE(RIGHT(B201,4))</f>
        <v>2023</v>
      </c>
      <c r="AG201" s="1" t="str">
        <f aca="false">CHOOSE(ROUNDUP(VALUE(MID(B201,4,2))/3,0),"Q1","Q2","Q3","Q4")</f>
        <v>Q4</v>
      </c>
    </row>
    <row r="202" customFormat="false" ht="15" hidden="false" customHeight="true" outlineLevel="0" collapsed="false">
      <c r="A202" s="1" t="s">
        <v>523</v>
      </c>
      <c r="B202" s="1" t="s">
        <v>524</v>
      </c>
      <c r="C202" s="1" t="s">
        <v>139</v>
      </c>
      <c r="D202" s="1" t="s">
        <v>29</v>
      </c>
      <c r="E202" s="1" t="s">
        <v>30</v>
      </c>
      <c r="F202" s="1" t="s">
        <v>130</v>
      </c>
      <c r="G202" s="1" t="s">
        <v>47</v>
      </c>
      <c r="H202" s="1" t="s">
        <v>69</v>
      </c>
      <c r="I202" s="1" t="s">
        <v>58</v>
      </c>
      <c r="J202" s="1" t="s">
        <v>77</v>
      </c>
      <c r="K202" s="1" t="s">
        <v>71</v>
      </c>
      <c r="L202" s="1" t="s">
        <v>37</v>
      </c>
      <c r="M202" s="1" t="s">
        <v>62</v>
      </c>
      <c r="N202" s="1" t="n">
        <v>7999</v>
      </c>
      <c r="O202" s="1" t="n">
        <v>5</v>
      </c>
      <c r="P202" s="1" t="n">
        <v>399.95</v>
      </c>
      <c r="Q202" s="1" t="n">
        <v>7599.05</v>
      </c>
      <c r="R202" s="1" t="n">
        <v>1367.83</v>
      </c>
      <c r="S202" s="1" t="n">
        <v>6231.22</v>
      </c>
      <c r="T202" s="1" t="n">
        <v>2252.19</v>
      </c>
      <c r="U202" s="1" t="n">
        <v>3979.03</v>
      </c>
      <c r="V202" s="1" t="n">
        <v>63.86</v>
      </c>
      <c r="W202" s="1" t="s">
        <v>39</v>
      </c>
      <c r="X202" s="1" t="n">
        <v>3.3</v>
      </c>
      <c r="Y202" s="1" t="s">
        <v>40</v>
      </c>
      <c r="Z202" s="1" t="n">
        <v>0</v>
      </c>
      <c r="AA202" s="1" t="str">
        <f aca="false">TRIM(PROPER(F202))</f>
        <v>Bengaluru</v>
      </c>
      <c r="AB202" s="1" t="str">
        <f aca="false">TRIM(PROPER(C202))</f>
        <v>Extramarks</v>
      </c>
      <c r="AC202" s="1" t="str">
        <f aca="false">IF(O202=0,"No Discount",IF(O202&lt;=15,"Low (1-15%)",IF(O202&lt;=30,"Medium (16-30%)","High (&gt;30%)")))</f>
        <v>Low (1-15%)</v>
      </c>
      <c r="AD202" s="1" t="str">
        <f aca="false">IF(V202&lt;0,"Loss Making",IF(V202&lt;20,"Low Margin","Healthy Margin"))</f>
        <v>Healthy Margin</v>
      </c>
      <c r="AE202" s="1" t="str">
        <f aca="false">TEXT(DATE(VALUE(RIGHT(B202,4)),VALUE(MID(B202,4,2)),VALUE(LEFT(B202,2))),"MMM-YYYY")</f>
        <v>Mar-2023</v>
      </c>
      <c r="AF202" s="1" t="n">
        <f aca="false">VALUE(RIGHT(B202,4))</f>
        <v>2023</v>
      </c>
      <c r="AG202" s="1" t="str">
        <f aca="false">CHOOSE(ROUNDUP(VALUE(MID(B202,4,2))/3,0),"Q1","Q2","Q3","Q4")</f>
        <v>Q1</v>
      </c>
    </row>
    <row r="203" customFormat="false" ht="15" hidden="false" customHeight="true" outlineLevel="0" collapsed="false">
      <c r="A203" s="1" t="s">
        <v>525</v>
      </c>
      <c r="B203" s="1" t="s">
        <v>526</v>
      </c>
      <c r="C203" s="1" t="s">
        <v>134</v>
      </c>
      <c r="D203" s="1" t="s">
        <v>168</v>
      </c>
      <c r="E203" s="1" t="s">
        <v>328</v>
      </c>
      <c r="F203" s="1" t="s">
        <v>82</v>
      </c>
      <c r="G203" s="1" t="s">
        <v>56</v>
      </c>
      <c r="H203" s="1" t="s">
        <v>69</v>
      </c>
      <c r="I203" s="1" t="s">
        <v>34</v>
      </c>
      <c r="J203" s="1" t="s">
        <v>59</v>
      </c>
      <c r="K203" s="1" t="s">
        <v>90</v>
      </c>
      <c r="L203" s="1" t="s">
        <v>136</v>
      </c>
      <c r="M203" s="1" t="s">
        <v>62</v>
      </c>
      <c r="N203" s="1" t="n">
        <v>8999</v>
      </c>
      <c r="O203" s="1" t="n">
        <v>0</v>
      </c>
      <c r="P203" s="1" t="n">
        <v>0</v>
      </c>
      <c r="Q203" s="1" t="n">
        <v>8999</v>
      </c>
      <c r="R203" s="1" t="n">
        <v>1619.82</v>
      </c>
      <c r="S203" s="1" t="n">
        <v>7379.18</v>
      </c>
      <c r="T203" s="1" t="n">
        <v>2903.69</v>
      </c>
      <c r="U203" s="1" t="n">
        <v>4475.49</v>
      </c>
      <c r="V203" s="1" t="n">
        <v>60.65</v>
      </c>
      <c r="W203" s="1" t="s">
        <v>40</v>
      </c>
      <c r="Y203" s="1" t="s">
        <v>40</v>
      </c>
      <c r="Z203" s="1" t="n">
        <v>1</v>
      </c>
      <c r="AA203" s="1" t="str">
        <f aca="false">TRIM(PROPER(F203))</f>
        <v>Gurugram</v>
      </c>
      <c r="AB203" s="1" t="str">
        <f aca="false">TRIM(PROPER(C203))</f>
        <v>Doubtnut</v>
      </c>
      <c r="AC203" s="1" t="str">
        <f aca="false">IF(O203=0,"No Discount",IF(O203&lt;=15,"Low (1-15%)",IF(O203&lt;=30,"Medium (16-30%)","High (&gt;30%)")))</f>
        <v>No Discount</v>
      </c>
      <c r="AD203" s="1" t="str">
        <f aca="false">IF(V203&lt;0,"Loss Making",IF(V203&lt;20,"Low Margin","Healthy Margin"))</f>
        <v>Healthy Margin</v>
      </c>
      <c r="AE203" s="1" t="str">
        <f aca="false">TEXT(DATE(VALUE(RIGHT(B203,4)),VALUE(MID(B203,4,2)),VALUE(LEFT(B203,2))),"MMM-YYYY")</f>
        <v>Oct-2024</v>
      </c>
      <c r="AF203" s="1" t="n">
        <f aca="false">VALUE(RIGHT(B203,4))</f>
        <v>2024</v>
      </c>
      <c r="AG203" s="1" t="str">
        <f aca="false">CHOOSE(ROUNDUP(VALUE(MID(B203,4,2))/3,0),"Q1","Q2","Q3","Q4")</f>
        <v>Q4</v>
      </c>
    </row>
    <row r="204" customFormat="false" ht="15" hidden="false" customHeight="true" outlineLevel="0" collapsed="false">
      <c r="A204" s="1" t="s">
        <v>527</v>
      </c>
      <c r="B204" s="1" t="s">
        <v>528</v>
      </c>
      <c r="C204" s="1" t="s">
        <v>28</v>
      </c>
      <c r="D204" s="1" t="s">
        <v>53</v>
      </c>
      <c r="E204" s="1" t="s">
        <v>54</v>
      </c>
      <c r="F204" s="1" t="s">
        <v>82</v>
      </c>
      <c r="G204" s="1" t="s">
        <v>56</v>
      </c>
      <c r="H204" s="1" t="s">
        <v>69</v>
      </c>
      <c r="I204" s="1" t="s">
        <v>34</v>
      </c>
      <c r="J204" s="1" t="s">
        <v>131</v>
      </c>
      <c r="K204" s="1" t="s">
        <v>84</v>
      </c>
      <c r="L204" s="1" t="s">
        <v>49</v>
      </c>
      <c r="M204" s="1" t="s">
        <v>38</v>
      </c>
      <c r="N204" s="1" t="n">
        <v>11999</v>
      </c>
      <c r="O204" s="1" t="n">
        <v>25</v>
      </c>
      <c r="P204" s="1" t="n">
        <v>2999.75</v>
      </c>
      <c r="Q204" s="1" t="n">
        <v>8999.25</v>
      </c>
      <c r="R204" s="1" t="n">
        <v>1619.87</v>
      </c>
      <c r="S204" s="1" t="n">
        <v>7379.38</v>
      </c>
      <c r="T204" s="1" t="n">
        <v>2779.94</v>
      </c>
      <c r="U204" s="1" t="n">
        <v>4599.44</v>
      </c>
      <c r="V204" s="1" t="n">
        <v>62.33</v>
      </c>
      <c r="W204" s="1" t="s">
        <v>39</v>
      </c>
      <c r="Y204" s="1" t="s">
        <v>40</v>
      </c>
      <c r="Z204" s="1" t="n">
        <v>0</v>
      </c>
      <c r="AA204" s="1" t="str">
        <f aca="false">TRIM(PROPER(F204))</f>
        <v>Gurugram</v>
      </c>
      <c r="AB204" s="1" t="str">
        <f aca="false">TRIM(PROPER(C204))</f>
        <v>Embibe</v>
      </c>
      <c r="AC204" s="1" t="str">
        <f aca="false">IF(O204=0,"No Discount",IF(O204&lt;=15,"Low (1-15%)",IF(O204&lt;=30,"Medium (16-30%)","High (&gt;30%)")))</f>
        <v>Medium (16-30%)</v>
      </c>
      <c r="AD204" s="1" t="str">
        <f aca="false">IF(V204&lt;0,"Loss Making",IF(V204&lt;20,"Low Margin","Healthy Margin"))</f>
        <v>Healthy Margin</v>
      </c>
      <c r="AE204" s="1" t="str">
        <f aca="false">TEXT(DATE(VALUE(RIGHT(B204,4)),VALUE(MID(B204,4,2)),VALUE(LEFT(B204,2))),"MMM-YYYY")</f>
        <v>Aug-2024</v>
      </c>
      <c r="AF204" s="1" t="n">
        <f aca="false">VALUE(RIGHT(B204,4))</f>
        <v>2024</v>
      </c>
      <c r="AG204" s="1" t="str">
        <f aca="false">CHOOSE(ROUNDUP(VALUE(MID(B204,4,2))/3,0),"Q1","Q2","Q3","Q4")</f>
        <v>Q3</v>
      </c>
    </row>
    <row r="205" customFormat="false" ht="15" hidden="false" customHeight="true" outlineLevel="0" collapsed="false">
      <c r="A205" s="1" t="s">
        <v>529</v>
      </c>
      <c r="B205" s="1" t="s">
        <v>530</v>
      </c>
      <c r="C205" s="1" t="s">
        <v>28</v>
      </c>
      <c r="D205" s="1" t="s">
        <v>29</v>
      </c>
      <c r="E205" s="1" t="s">
        <v>182</v>
      </c>
      <c r="F205" s="1" t="s">
        <v>194</v>
      </c>
      <c r="G205" s="1" t="s">
        <v>103</v>
      </c>
      <c r="H205" s="1" t="s">
        <v>69</v>
      </c>
      <c r="I205" s="1" t="s">
        <v>58</v>
      </c>
      <c r="J205" s="1" t="s">
        <v>70</v>
      </c>
      <c r="K205" s="1" t="s">
        <v>48</v>
      </c>
      <c r="L205" s="1" t="s">
        <v>113</v>
      </c>
      <c r="M205" s="1" t="s">
        <v>38</v>
      </c>
      <c r="N205" s="1" t="n">
        <v>34999</v>
      </c>
      <c r="O205" s="1" t="n">
        <v>5</v>
      </c>
      <c r="P205" s="1" t="n">
        <v>1749.95</v>
      </c>
      <c r="Q205" s="1" t="n">
        <v>33249.05</v>
      </c>
      <c r="R205" s="1" t="n">
        <v>5984.83</v>
      </c>
      <c r="S205" s="1" t="n">
        <v>27264.22</v>
      </c>
      <c r="T205" s="1" t="n">
        <v>13293.72</v>
      </c>
      <c r="U205" s="1" t="n">
        <v>13970.5</v>
      </c>
      <c r="V205" s="1" t="n">
        <v>51.24</v>
      </c>
      <c r="W205" s="1" t="s">
        <v>39</v>
      </c>
      <c r="X205" s="1" t="n">
        <v>4.2</v>
      </c>
      <c r="Y205" s="1" t="s">
        <v>40</v>
      </c>
      <c r="Z205" s="1" t="n">
        <v>0</v>
      </c>
      <c r="AA205" s="1" t="str">
        <f aca="false">TRIM(PROPER(F205))</f>
        <v>Hyderabad</v>
      </c>
      <c r="AB205" s="1" t="str">
        <f aca="false">TRIM(PROPER(C205))</f>
        <v>Embibe</v>
      </c>
      <c r="AC205" s="1" t="str">
        <f aca="false">IF(O205=0,"No Discount",IF(O205&lt;=15,"Low (1-15%)",IF(O205&lt;=30,"Medium (16-30%)","High (&gt;30%)")))</f>
        <v>Low (1-15%)</v>
      </c>
      <c r="AD205" s="1" t="str">
        <f aca="false">IF(V205&lt;0,"Loss Making",IF(V205&lt;20,"Low Margin","Healthy Margin"))</f>
        <v>Healthy Margin</v>
      </c>
      <c r="AE205" s="1" t="str">
        <f aca="false">TEXT(DATE(VALUE(RIGHT(B205,4)),VALUE(MID(B205,4,2)),VALUE(LEFT(B205,2))),"MMM-YYYY")</f>
        <v>Nov-2023</v>
      </c>
      <c r="AF205" s="1" t="n">
        <f aca="false">VALUE(RIGHT(B205,4))</f>
        <v>2023</v>
      </c>
      <c r="AG205" s="1" t="str">
        <f aca="false">CHOOSE(ROUNDUP(VALUE(MID(B205,4,2))/3,0),"Q1","Q2","Q3","Q4")</f>
        <v>Q4</v>
      </c>
    </row>
    <row r="206" customFormat="false" ht="15" hidden="false" customHeight="true" outlineLevel="0" collapsed="false">
      <c r="A206" s="1" t="s">
        <v>531</v>
      </c>
      <c r="B206" s="1" t="s">
        <v>209</v>
      </c>
      <c r="C206" s="1" t="s">
        <v>88</v>
      </c>
      <c r="D206" s="1" t="s">
        <v>53</v>
      </c>
      <c r="E206" s="1" t="s">
        <v>116</v>
      </c>
      <c r="F206" s="1" t="s">
        <v>205</v>
      </c>
      <c r="G206" s="1" t="s">
        <v>56</v>
      </c>
      <c r="H206" s="1" t="s">
        <v>69</v>
      </c>
      <c r="I206" s="1" t="s">
        <v>83</v>
      </c>
      <c r="J206" s="1" t="s">
        <v>70</v>
      </c>
      <c r="K206" s="1" t="s">
        <v>104</v>
      </c>
      <c r="L206" s="1" t="s">
        <v>85</v>
      </c>
      <c r="M206" s="1" t="s">
        <v>62</v>
      </c>
      <c r="N206" s="1" t="n">
        <v>9999</v>
      </c>
      <c r="O206" s="1" t="n">
        <v>50</v>
      </c>
      <c r="P206" s="1" t="n">
        <v>4999.5</v>
      </c>
      <c r="Q206" s="1" t="n">
        <v>4999.5</v>
      </c>
      <c r="R206" s="1" t="n">
        <v>899.91</v>
      </c>
      <c r="S206" s="1" t="n">
        <v>4099.59</v>
      </c>
      <c r="T206" s="1" t="n">
        <v>2005.31</v>
      </c>
      <c r="U206" s="1" t="n">
        <v>2094.28</v>
      </c>
      <c r="V206" s="1" t="n">
        <v>51.09</v>
      </c>
      <c r="W206" s="1" t="s">
        <v>40</v>
      </c>
      <c r="Y206" s="1" t="s">
        <v>40</v>
      </c>
      <c r="Z206" s="1" t="n">
        <v>1</v>
      </c>
      <c r="AA206" s="1" t="str">
        <f aca="false">TRIM(PROPER(F206))</f>
        <v>New Delhi</v>
      </c>
      <c r="AB206" s="1" t="str">
        <f aca="false">TRIM(PROPER(C206))</f>
        <v>Byju'S</v>
      </c>
      <c r="AC206" s="1" t="str">
        <f aca="false">IF(O206=0,"No Discount",IF(O206&lt;=15,"Low (1-15%)",IF(O206&lt;=30,"Medium (16-30%)","High (&gt;30%)")))</f>
        <v>High (&gt;30%)</v>
      </c>
      <c r="AD206" s="1" t="str">
        <f aca="false">IF(V206&lt;0,"Loss Making",IF(V206&lt;20,"Low Margin","Healthy Margin"))</f>
        <v>Healthy Margin</v>
      </c>
      <c r="AE206" s="1" t="str">
        <f aca="false">TEXT(DATE(VALUE(RIGHT(B206,4)),VALUE(MID(B206,4,2)),VALUE(LEFT(B206,2))),"MMM-YYYY")</f>
        <v>Mar-2024</v>
      </c>
      <c r="AF206" s="1" t="n">
        <f aca="false">VALUE(RIGHT(B206,4))</f>
        <v>2024</v>
      </c>
      <c r="AG206" s="1" t="str">
        <f aca="false">CHOOSE(ROUNDUP(VALUE(MID(B206,4,2))/3,0),"Q1","Q2","Q3","Q4")</f>
        <v>Q1</v>
      </c>
    </row>
    <row r="207" customFormat="false" ht="15" hidden="false" customHeight="true" outlineLevel="0" collapsed="false">
      <c r="A207" s="1" t="s">
        <v>532</v>
      </c>
      <c r="B207" s="1" t="s">
        <v>533</v>
      </c>
      <c r="C207" s="1" t="s">
        <v>74</v>
      </c>
      <c r="D207" s="1" t="s">
        <v>53</v>
      </c>
      <c r="E207" s="1" t="s">
        <v>54</v>
      </c>
      <c r="F207" s="1" t="s">
        <v>75</v>
      </c>
      <c r="G207" s="1" t="s">
        <v>76</v>
      </c>
      <c r="H207" s="1" t="s">
        <v>69</v>
      </c>
      <c r="I207" s="1" t="s">
        <v>83</v>
      </c>
      <c r="J207" s="1" t="s">
        <v>59</v>
      </c>
      <c r="K207" s="1" t="s">
        <v>84</v>
      </c>
      <c r="L207" s="1" t="s">
        <v>136</v>
      </c>
      <c r="M207" s="1" t="s">
        <v>62</v>
      </c>
      <c r="N207" s="1" t="n">
        <v>11999</v>
      </c>
      <c r="O207" s="1" t="n">
        <v>0</v>
      </c>
      <c r="P207" s="1" t="n">
        <v>0</v>
      </c>
      <c r="Q207" s="1" t="n">
        <v>11999</v>
      </c>
      <c r="R207" s="1" t="n">
        <v>2159.82</v>
      </c>
      <c r="S207" s="1" t="n">
        <v>9839.18</v>
      </c>
      <c r="T207" s="1" t="n">
        <v>4791.52</v>
      </c>
      <c r="U207" s="1" t="n">
        <v>5047.66</v>
      </c>
      <c r="V207" s="1" t="n">
        <v>51.3</v>
      </c>
      <c r="W207" s="1" t="s">
        <v>40</v>
      </c>
      <c r="Y207" s="1" t="s">
        <v>39</v>
      </c>
      <c r="Z207" s="1" t="n">
        <v>0</v>
      </c>
      <c r="AA207" s="1" t="str">
        <f aca="false">TRIM(PROPER(F207))</f>
        <v>Kolkata</v>
      </c>
      <c r="AB207" s="1" t="str">
        <f aca="false">TRIM(PROPER(C207))</f>
        <v>Vedantu</v>
      </c>
      <c r="AC207" s="1" t="str">
        <f aca="false">IF(O207=0,"No Discount",IF(O207&lt;=15,"Low (1-15%)",IF(O207&lt;=30,"Medium (16-30%)","High (&gt;30%)")))</f>
        <v>No Discount</v>
      </c>
      <c r="AD207" s="1" t="str">
        <f aca="false">IF(V207&lt;0,"Loss Making",IF(V207&lt;20,"Low Margin","Healthy Margin"))</f>
        <v>Healthy Margin</v>
      </c>
      <c r="AE207" s="1" t="str">
        <f aca="false">TEXT(DATE(VALUE(RIGHT(B207,4)),VALUE(MID(B207,4,2)),VALUE(LEFT(B207,2))),"MMM-YYYY")</f>
        <v>Feb-2024</v>
      </c>
      <c r="AF207" s="1" t="n">
        <f aca="false">VALUE(RIGHT(B207,4))</f>
        <v>2024</v>
      </c>
      <c r="AG207" s="1" t="str">
        <f aca="false">CHOOSE(ROUNDUP(VALUE(MID(B207,4,2))/3,0),"Q1","Q2","Q3","Q4")</f>
        <v>Q1</v>
      </c>
    </row>
    <row r="208" customFormat="false" ht="15" hidden="false" customHeight="true" outlineLevel="0" collapsed="false">
      <c r="A208" s="1" t="s">
        <v>534</v>
      </c>
      <c r="B208" s="1" t="s">
        <v>535</v>
      </c>
      <c r="C208" s="1" t="s">
        <v>139</v>
      </c>
      <c r="D208" s="1" t="s">
        <v>168</v>
      </c>
      <c r="E208" s="1" t="s">
        <v>197</v>
      </c>
      <c r="F208" s="1" t="s">
        <v>130</v>
      </c>
      <c r="G208" s="1" t="s">
        <v>47</v>
      </c>
      <c r="H208" s="1" t="s">
        <v>69</v>
      </c>
      <c r="I208" s="1" t="s">
        <v>34</v>
      </c>
      <c r="J208" s="1" t="s">
        <v>131</v>
      </c>
      <c r="K208" s="1" t="s">
        <v>84</v>
      </c>
      <c r="L208" s="1" t="s">
        <v>37</v>
      </c>
      <c r="M208" s="1" t="s">
        <v>62</v>
      </c>
      <c r="N208" s="1" t="n">
        <v>8499</v>
      </c>
      <c r="O208" s="1" t="n">
        <v>15</v>
      </c>
      <c r="P208" s="1" t="n">
        <v>1274.85</v>
      </c>
      <c r="Q208" s="1" t="n">
        <v>7224.15</v>
      </c>
      <c r="R208" s="1" t="n">
        <v>1300.35</v>
      </c>
      <c r="S208" s="1" t="n">
        <v>5923.8</v>
      </c>
      <c r="T208" s="1" t="n">
        <v>2573.91</v>
      </c>
      <c r="U208" s="1" t="n">
        <v>3349.89</v>
      </c>
      <c r="V208" s="1" t="n">
        <v>56.55</v>
      </c>
      <c r="W208" s="1" t="s">
        <v>40</v>
      </c>
      <c r="Y208" s="1" t="s">
        <v>39</v>
      </c>
      <c r="Z208" s="1" t="n">
        <v>1</v>
      </c>
      <c r="AA208" s="1" t="str">
        <f aca="false">TRIM(PROPER(F208))</f>
        <v>Bengaluru</v>
      </c>
      <c r="AB208" s="1" t="str">
        <f aca="false">TRIM(PROPER(C208))</f>
        <v>Extramarks</v>
      </c>
      <c r="AC208" s="1" t="str">
        <f aca="false">IF(O208=0,"No Discount",IF(O208&lt;=15,"Low (1-15%)",IF(O208&lt;=30,"Medium (16-30%)","High (&gt;30%)")))</f>
        <v>Low (1-15%)</v>
      </c>
      <c r="AD208" s="1" t="str">
        <f aca="false">IF(V208&lt;0,"Loss Making",IF(V208&lt;20,"Low Margin","Healthy Margin"))</f>
        <v>Healthy Margin</v>
      </c>
      <c r="AE208" s="1" t="str">
        <f aca="false">TEXT(DATE(VALUE(RIGHT(B208,4)),VALUE(MID(B208,4,2)),VALUE(LEFT(B208,2))),"MMM-YYYY")</f>
        <v>Jan-2023</v>
      </c>
      <c r="AF208" s="1" t="n">
        <f aca="false">VALUE(RIGHT(B208,4))</f>
        <v>2023</v>
      </c>
      <c r="AG208" s="1" t="str">
        <f aca="false">CHOOSE(ROUNDUP(VALUE(MID(B208,4,2))/3,0),"Q1","Q2","Q3","Q4")</f>
        <v>Q1</v>
      </c>
    </row>
    <row r="209" customFormat="false" ht="15" hidden="false" customHeight="true" outlineLevel="0" collapsed="false">
      <c r="A209" s="1" t="s">
        <v>536</v>
      </c>
      <c r="B209" s="1" t="s">
        <v>537</v>
      </c>
      <c r="C209" s="1" t="s">
        <v>119</v>
      </c>
      <c r="D209" s="1" t="s">
        <v>44</v>
      </c>
      <c r="E209" s="1" t="s">
        <v>221</v>
      </c>
      <c r="F209" s="1" t="s">
        <v>82</v>
      </c>
      <c r="G209" s="1" t="s">
        <v>56</v>
      </c>
      <c r="H209" s="1" t="s">
        <v>69</v>
      </c>
      <c r="I209" s="1" t="s">
        <v>83</v>
      </c>
      <c r="J209" s="1" t="s">
        <v>70</v>
      </c>
      <c r="K209" s="1" t="s">
        <v>60</v>
      </c>
      <c r="L209" s="1" t="s">
        <v>61</v>
      </c>
      <c r="M209" s="1" t="s">
        <v>50</v>
      </c>
      <c r="N209" s="1" t="n">
        <v>16999</v>
      </c>
      <c r="O209" s="1" t="n">
        <v>0</v>
      </c>
      <c r="P209" s="1" t="n">
        <v>0</v>
      </c>
      <c r="Q209" s="1" t="n">
        <v>16999</v>
      </c>
      <c r="R209" s="1" t="n">
        <v>3059.82</v>
      </c>
      <c r="S209" s="1" t="n">
        <v>13939.18</v>
      </c>
      <c r="T209" s="1" t="n">
        <v>5976.5</v>
      </c>
      <c r="U209" s="1" t="n">
        <v>7962.68</v>
      </c>
      <c r="V209" s="1" t="n">
        <v>57.12</v>
      </c>
      <c r="W209" s="1" t="s">
        <v>39</v>
      </c>
      <c r="X209" s="1" t="n">
        <v>3.1</v>
      </c>
      <c r="Y209" s="1" t="s">
        <v>40</v>
      </c>
      <c r="Z209" s="1" t="n">
        <v>0</v>
      </c>
      <c r="AA209" s="1" t="str">
        <f aca="false">TRIM(PROPER(F209))</f>
        <v>Gurugram</v>
      </c>
      <c r="AB209" s="1" t="str">
        <f aca="false">TRIM(PROPER(C209))</f>
        <v>Simplilearn</v>
      </c>
      <c r="AC209" s="1" t="str">
        <f aca="false">IF(O209=0,"No Discount",IF(O209&lt;=15,"Low (1-15%)",IF(O209&lt;=30,"Medium (16-30%)","High (&gt;30%)")))</f>
        <v>No Discount</v>
      </c>
      <c r="AD209" s="1" t="str">
        <f aca="false">IF(V209&lt;0,"Loss Making",IF(V209&lt;20,"Low Margin","Healthy Margin"))</f>
        <v>Healthy Margin</v>
      </c>
      <c r="AE209" s="1" t="str">
        <f aca="false">TEXT(DATE(VALUE(RIGHT(B209,4)),VALUE(MID(B209,4,2)),VALUE(LEFT(B209,2))),"MMM-YYYY")</f>
        <v>Mar-2024</v>
      </c>
      <c r="AF209" s="1" t="n">
        <f aca="false">VALUE(RIGHT(B209,4))</f>
        <v>2024</v>
      </c>
      <c r="AG209" s="1" t="str">
        <f aca="false">CHOOSE(ROUNDUP(VALUE(MID(B209,4,2))/3,0),"Q1","Q2","Q3","Q4")</f>
        <v>Q1</v>
      </c>
    </row>
    <row r="210" customFormat="false" ht="15" hidden="false" customHeight="true" outlineLevel="0" collapsed="false">
      <c r="A210" s="1" t="s">
        <v>538</v>
      </c>
      <c r="B210" s="1" t="s">
        <v>539</v>
      </c>
      <c r="C210" s="1" t="s">
        <v>167</v>
      </c>
      <c r="D210" s="1" t="s">
        <v>80</v>
      </c>
      <c r="E210" s="1" t="s">
        <v>175</v>
      </c>
      <c r="F210" s="1" t="s">
        <v>75</v>
      </c>
      <c r="G210" s="1" t="s">
        <v>76</v>
      </c>
      <c r="H210" s="1" t="s">
        <v>69</v>
      </c>
      <c r="I210" s="1" t="s">
        <v>34</v>
      </c>
      <c r="J210" s="1" t="s">
        <v>35</v>
      </c>
      <c r="K210" s="1" t="s">
        <v>84</v>
      </c>
      <c r="L210" s="1" t="s">
        <v>49</v>
      </c>
      <c r="M210" s="1" t="s">
        <v>38</v>
      </c>
      <c r="N210" s="1" t="n">
        <v>19999</v>
      </c>
      <c r="O210" s="1" t="n">
        <v>20</v>
      </c>
      <c r="P210" s="1" t="n">
        <v>3999.8</v>
      </c>
      <c r="Q210" s="1" t="n">
        <v>15999.2</v>
      </c>
      <c r="R210" s="1" t="n">
        <v>2879.86</v>
      </c>
      <c r="S210" s="1" t="n">
        <v>13119.34</v>
      </c>
      <c r="T210" s="1" t="n">
        <v>3807.15</v>
      </c>
      <c r="U210" s="1" t="n">
        <v>9312.19</v>
      </c>
      <c r="V210" s="1" t="n">
        <v>70.98</v>
      </c>
      <c r="W210" s="1" t="s">
        <v>40</v>
      </c>
      <c r="Y210" s="1" t="s">
        <v>39</v>
      </c>
      <c r="Z210" s="1" t="n">
        <v>2</v>
      </c>
      <c r="AA210" s="1" t="str">
        <f aca="false">TRIM(PROPER(F210))</f>
        <v>Kolkata</v>
      </c>
      <c r="AB210" s="1" t="str">
        <f aca="false">TRIM(PROPER(C210))</f>
        <v>Scaler</v>
      </c>
      <c r="AC210" s="1" t="str">
        <f aca="false">IF(O210=0,"No Discount",IF(O210&lt;=15,"Low (1-15%)",IF(O210&lt;=30,"Medium (16-30%)","High (&gt;30%)")))</f>
        <v>Medium (16-30%)</v>
      </c>
      <c r="AD210" s="1" t="str">
        <f aca="false">IF(V210&lt;0,"Loss Making",IF(V210&lt;20,"Low Margin","Healthy Margin"))</f>
        <v>Healthy Margin</v>
      </c>
      <c r="AE210" s="1" t="str">
        <f aca="false">TEXT(DATE(VALUE(RIGHT(B210,4)),VALUE(MID(B210,4,2)),VALUE(LEFT(B210,2))),"MMM-YYYY")</f>
        <v>Feb-2023</v>
      </c>
      <c r="AF210" s="1" t="n">
        <f aca="false">VALUE(RIGHT(B210,4))</f>
        <v>2023</v>
      </c>
      <c r="AG210" s="1" t="str">
        <f aca="false">CHOOSE(ROUNDUP(VALUE(MID(B210,4,2))/3,0),"Q1","Q2","Q3","Q4")</f>
        <v>Q1</v>
      </c>
    </row>
    <row r="211" customFormat="false" ht="15" hidden="false" customHeight="true" outlineLevel="0" collapsed="false">
      <c r="A211" s="1" t="s">
        <v>540</v>
      </c>
      <c r="B211" s="1" t="s">
        <v>541</v>
      </c>
      <c r="C211" s="1" t="s">
        <v>65</v>
      </c>
      <c r="D211" s="1" t="s">
        <v>29</v>
      </c>
      <c r="E211" s="1" t="s">
        <v>305</v>
      </c>
      <c r="F211" s="1" t="s">
        <v>120</v>
      </c>
      <c r="G211" s="1" t="s">
        <v>47</v>
      </c>
      <c r="H211" s="1" t="s">
        <v>57</v>
      </c>
      <c r="I211" s="1" t="s">
        <v>34</v>
      </c>
      <c r="J211" s="1" t="s">
        <v>131</v>
      </c>
      <c r="K211" s="1" t="s">
        <v>36</v>
      </c>
      <c r="L211" s="1" t="s">
        <v>85</v>
      </c>
      <c r="M211" s="1" t="s">
        <v>50</v>
      </c>
      <c r="N211" s="1" t="n">
        <v>24999</v>
      </c>
      <c r="O211" s="1" t="n">
        <v>50</v>
      </c>
      <c r="P211" s="1" t="n">
        <v>12499.5</v>
      </c>
      <c r="Q211" s="1" t="n">
        <v>12499.5</v>
      </c>
      <c r="R211" s="1" t="n">
        <v>2249.91</v>
      </c>
      <c r="S211" s="1" t="n">
        <v>10249.59</v>
      </c>
      <c r="T211" s="1" t="n">
        <v>5529.92</v>
      </c>
      <c r="U211" s="1" t="n">
        <v>4719.67</v>
      </c>
      <c r="V211" s="1" t="n">
        <v>46.05</v>
      </c>
      <c r="W211" s="1" t="s">
        <v>40</v>
      </c>
      <c r="Y211" s="1" t="s">
        <v>40</v>
      </c>
      <c r="Z211" s="1" t="n">
        <v>0</v>
      </c>
      <c r="AA211" s="1" t="str">
        <f aca="false">TRIM(PROPER(F211))</f>
        <v>Mysuru</v>
      </c>
      <c r="AB211" s="1" t="str">
        <f aca="false">TRIM(PROPER(C211))</f>
        <v>Toppr</v>
      </c>
      <c r="AC211" s="1" t="str">
        <f aca="false">IF(O211=0,"No Discount",IF(O211&lt;=15,"Low (1-15%)",IF(O211&lt;=30,"Medium (16-30%)","High (&gt;30%)")))</f>
        <v>High (&gt;30%)</v>
      </c>
      <c r="AD211" s="1" t="str">
        <f aca="false">IF(V211&lt;0,"Loss Making",IF(V211&lt;20,"Low Margin","Healthy Margin"))</f>
        <v>Healthy Margin</v>
      </c>
      <c r="AE211" s="1" t="str">
        <f aca="false">TEXT(DATE(VALUE(RIGHT(B211,4)),VALUE(MID(B211,4,2)),VALUE(LEFT(B211,2))),"MMM-YYYY")</f>
        <v>Nov-2024</v>
      </c>
      <c r="AF211" s="1" t="n">
        <f aca="false">VALUE(RIGHT(B211,4))</f>
        <v>2024</v>
      </c>
      <c r="AG211" s="1" t="str">
        <f aca="false">CHOOSE(ROUNDUP(VALUE(MID(B211,4,2))/3,0),"Q1","Q2","Q3","Q4")</f>
        <v>Q4</v>
      </c>
    </row>
    <row r="212" customFormat="false" ht="15" hidden="false" customHeight="true" outlineLevel="0" collapsed="false">
      <c r="A212" s="1" t="s">
        <v>542</v>
      </c>
      <c r="B212" s="1" t="s">
        <v>543</v>
      </c>
      <c r="C212" s="1" t="s">
        <v>139</v>
      </c>
      <c r="D212" s="1" t="s">
        <v>44</v>
      </c>
      <c r="E212" s="1" t="s">
        <v>66</v>
      </c>
      <c r="F212" s="1" t="s">
        <v>31</v>
      </c>
      <c r="G212" s="1" t="s">
        <v>32</v>
      </c>
      <c r="H212" s="1" t="s">
        <v>33</v>
      </c>
      <c r="I212" s="1" t="s">
        <v>58</v>
      </c>
      <c r="J212" s="1" t="s">
        <v>70</v>
      </c>
      <c r="K212" s="1" t="s">
        <v>84</v>
      </c>
      <c r="L212" s="1" t="s">
        <v>85</v>
      </c>
      <c r="M212" s="1" t="s">
        <v>50</v>
      </c>
      <c r="N212" s="1" t="n">
        <v>12999</v>
      </c>
      <c r="O212" s="1" t="n">
        <v>0</v>
      </c>
      <c r="P212" s="1" t="n">
        <v>0</v>
      </c>
      <c r="Q212" s="1" t="n">
        <v>12999</v>
      </c>
      <c r="R212" s="1" t="n">
        <v>2339.82</v>
      </c>
      <c r="S212" s="1" t="n">
        <v>10659.18</v>
      </c>
      <c r="T212" s="1" t="n">
        <v>3817.93</v>
      </c>
      <c r="U212" s="1" t="n">
        <v>6841.25</v>
      </c>
      <c r="V212" s="1" t="n">
        <v>64.18</v>
      </c>
      <c r="W212" s="1" t="s">
        <v>39</v>
      </c>
      <c r="X212" s="1" t="n">
        <v>3.6</v>
      </c>
      <c r="Y212" s="1" t="s">
        <v>40</v>
      </c>
      <c r="Z212" s="1" t="n">
        <v>0</v>
      </c>
      <c r="AA212" s="1" t="str">
        <f aca="false">TRIM(PROPER(F212))</f>
        <v>Jodhpur</v>
      </c>
      <c r="AB212" s="1" t="str">
        <f aca="false">TRIM(PROPER(C212))</f>
        <v>Extramarks</v>
      </c>
      <c r="AC212" s="1" t="str">
        <f aca="false">IF(O212=0,"No Discount",IF(O212&lt;=15,"Low (1-15%)",IF(O212&lt;=30,"Medium (16-30%)","High (&gt;30%)")))</f>
        <v>No Discount</v>
      </c>
      <c r="AD212" s="1" t="str">
        <f aca="false">IF(V212&lt;0,"Loss Making",IF(V212&lt;20,"Low Margin","Healthy Margin"))</f>
        <v>Healthy Margin</v>
      </c>
      <c r="AE212" s="1" t="str">
        <f aca="false">TEXT(DATE(VALUE(RIGHT(B212,4)),VALUE(MID(B212,4,2)),VALUE(LEFT(B212,2))),"MMM-YYYY")</f>
        <v>Sep-2023</v>
      </c>
      <c r="AF212" s="1" t="n">
        <f aca="false">VALUE(RIGHT(B212,4))</f>
        <v>2023</v>
      </c>
      <c r="AG212" s="1" t="str">
        <f aca="false">CHOOSE(ROUNDUP(VALUE(MID(B212,4,2))/3,0),"Q1","Q2","Q3","Q4")</f>
        <v>Q3</v>
      </c>
    </row>
    <row r="213" customFormat="false" ht="15" hidden="false" customHeight="true" outlineLevel="0" collapsed="false">
      <c r="A213" s="1" t="s">
        <v>544</v>
      </c>
      <c r="B213" s="1" t="s">
        <v>545</v>
      </c>
      <c r="C213" s="1" t="s">
        <v>264</v>
      </c>
      <c r="D213" s="1" t="s">
        <v>53</v>
      </c>
      <c r="E213" s="1" t="s">
        <v>54</v>
      </c>
      <c r="F213" s="1" t="s">
        <v>150</v>
      </c>
      <c r="G213" s="1" t="s">
        <v>32</v>
      </c>
      <c r="H213" s="1" t="s">
        <v>57</v>
      </c>
      <c r="I213" s="1" t="s">
        <v>58</v>
      </c>
      <c r="J213" s="1" t="s">
        <v>35</v>
      </c>
      <c r="K213" s="1" t="s">
        <v>71</v>
      </c>
      <c r="L213" s="1" t="s">
        <v>37</v>
      </c>
      <c r="M213" s="1" t="s">
        <v>62</v>
      </c>
      <c r="N213" s="1" t="n">
        <v>11999</v>
      </c>
      <c r="O213" s="1" t="n">
        <v>10</v>
      </c>
      <c r="P213" s="1" t="n">
        <v>1199.9</v>
      </c>
      <c r="Q213" s="1" t="n">
        <v>10799.1</v>
      </c>
      <c r="R213" s="1" t="n">
        <v>1943.84</v>
      </c>
      <c r="S213" s="1" t="n">
        <v>8855.26</v>
      </c>
      <c r="T213" s="1" t="n">
        <v>4780.82</v>
      </c>
      <c r="U213" s="1" t="n">
        <v>4074.44</v>
      </c>
      <c r="V213" s="1" t="n">
        <v>46.01</v>
      </c>
      <c r="W213" s="1" t="s">
        <v>39</v>
      </c>
      <c r="X213" s="1" t="n">
        <v>3.4</v>
      </c>
      <c r="Y213" s="1" t="s">
        <v>40</v>
      </c>
      <c r="Z213" s="1" t="n">
        <v>0</v>
      </c>
      <c r="AA213" s="1" t="str">
        <f aca="false">TRIM(PROPER(F213))</f>
        <v>Jaipur</v>
      </c>
      <c r="AB213" s="1" t="str">
        <f aca="false">TRIM(PROPER(C213))</f>
        <v>Unacademy</v>
      </c>
      <c r="AC213" s="1" t="str">
        <f aca="false">IF(O213=0,"No Discount",IF(O213&lt;=15,"Low (1-15%)",IF(O213&lt;=30,"Medium (16-30%)","High (&gt;30%)")))</f>
        <v>Low (1-15%)</v>
      </c>
      <c r="AD213" s="1" t="str">
        <f aca="false">IF(V213&lt;0,"Loss Making",IF(V213&lt;20,"Low Margin","Healthy Margin"))</f>
        <v>Healthy Margin</v>
      </c>
      <c r="AE213" s="1" t="str">
        <f aca="false">TEXT(DATE(VALUE(RIGHT(B213,4)),VALUE(MID(B213,4,2)),VALUE(LEFT(B213,2))),"MMM-YYYY")</f>
        <v>May-2023</v>
      </c>
      <c r="AF213" s="1" t="n">
        <f aca="false">VALUE(RIGHT(B213,4))</f>
        <v>2023</v>
      </c>
      <c r="AG213" s="1" t="str">
        <f aca="false">CHOOSE(ROUNDUP(VALUE(MID(B213,4,2))/3,0),"Q1","Q2","Q3","Q4")</f>
        <v>Q2</v>
      </c>
    </row>
    <row r="214" customFormat="false" ht="15" hidden="false" customHeight="true" outlineLevel="0" collapsed="false">
      <c r="A214" s="1" t="s">
        <v>546</v>
      </c>
      <c r="B214" s="1" t="s">
        <v>547</v>
      </c>
      <c r="C214" s="1" t="s">
        <v>100</v>
      </c>
      <c r="D214" s="1" t="s">
        <v>44</v>
      </c>
      <c r="E214" s="1" t="s">
        <v>45</v>
      </c>
      <c r="F214" s="1" t="s">
        <v>130</v>
      </c>
      <c r="G214" s="1" t="s">
        <v>47</v>
      </c>
      <c r="H214" s="1" t="s">
        <v>69</v>
      </c>
      <c r="I214" s="1" t="s">
        <v>34</v>
      </c>
      <c r="J214" s="1" t="s">
        <v>131</v>
      </c>
      <c r="K214" s="1" t="s">
        <v>60</v>
      </c>
      <c r="L214" s="1" t="s">
        <v>113</v>
      </c>
      <c r="M214" s="1" t="s">
        <v>50</v>
      </c>
      <c r="N214" s="1" t="n">
        <v>11999</v>
      </c>
      <c r="O214" s="1" t="n">
        <v>40</v>
      </c>
      <c r="P214" s="1" t="n">
        <v>4799.6</v>
      </c>
      <c r="Q214" s="1" t="n">
        <v>7199.4</v>
      </c>
      <c r="R214" s="1" t="n">
        <v>1295.89</v>
      </c>
      <c r="S214" s="1" t="n">
        <v>5903.51</v>
      </c>
      <c r="T214" s="1" t="n">
        <v>2961.71</v>
      </c>
      <c r="U214" s="1" t="n">
        <v>2941.8</v>
      </c>
      <c r="V214" s="1" t="n">
        <v>49.83</v>
      </c>
      <c r="W214" s="1" t="s">
        <v>40</v>
      </c>
      <c r="Y214" s="1" t="s">
        <v>40</v>
      </c>
      <c r="Z214" s="1" t="n">
        <v>1</v>
      </c>
      <c r="AA214" s="1" t="str">
        <f aca="false">TRIM(PROPER(F214))</f>
        <v>Bengaluru</v>
      </c>
      <c r="AB214" s="1" t="str">
        <f aca="false">TRIM(PROPER(C214))</f>
        <v>Physics Wallah</v>
      </c>
      <c r="AC214" s="1" t="str">
        <f aca="false">IF(O214=0,"No Discount",IF(O214&lt;=15,"Low (1-15%)",IF(O214&lt;=30,"Medium (16-30%)","High (&gt;30%)")))</f>
        <v>High (&gt;30%)</v>
      </c>
      <c r="AD214" s="1" t="str">
        <f aca="false">IF(V214&lt;0,"Loss Making",IF(V214&lt;20,"Low Margin","Healthy Margin"))</f>
        <v>Healthy Margin</v>
      </c>
      <c r="AE214" s="1" t="str">
        <f aca="false">TEXT(DATE(VALUE(RIGHT(B214,4)),VALUE(MID(B214,4,2)),VALUE(LEFT(B214,2))),"MMM-YYYY")</f>
        <v>Apr-2023</v>
      </c>
      <c r="AF214" s="1" t="n">
        <f aca="false">VALUE(RIGHT(B214,4))</f>
        <v>2023</v>
      </c>
      <c r="AG214" s="1" t="str">
        <f aca="false">CHOOSE(ROUNDUP(VALUE(MID(B214,4,2))/3,0),"Q1","Q2","Q3","Q4")</f>
        <v>Q2</v>
      </c>
    </row>
    <row r="215" customFormat="false" ht="15" hidden="false" customHeight="true" outlineLevel="0" collapsed="false">
      <c r="A215" s="1" t="s">
        <v>548</v>
      </c>
      <c r="B215" s="1" t="s">
        <v>549</v>
      </c>
      <c r="C215" s="1" t="s">
        <v>100</v>
      </c>
      <c r="D215" s="1" t="s">
        <v>168</v>
      </c>
      <c r="E215" s="1" t="s">
        <v>172</v>
      </c>
      <c r="F215" s="1" t="s">
        <v>107</v>
      </c>
      <c r="G215" s="1" t="s">
        <v>108</v>
      </c>
      <c r="H215" s="1" t="s">
        <v>33</v>
      </c>
      <c r="I215" s="1" t="s">
        <v>58</v>
      </c>
      <c r="J215" s="1" t="s">
        <v>70</v>
      </c>
      <c r="K215" s="1" t="s">
        <v>112</v>
      </c>
      <c r="L215" s="1" t="s">
        <v>113</v>
      </c>
      <c r="M215" s="1" t="s">
        <v>50</v>
      </c>
      <c r="N215" s="1" t="n">
        <v>6999</v>
      </c>
      <c r="O215" s="1" t="n">
        <v>15</v>
      </c>
      <c r="P215" s="1" t="n">
        <v>1049.85</v>
      </c>
      <c r="Q215" s="1" t="n">
        <v>5949.15</v>
      </c>
      <c r="R215" s="1" t="n">
        <v>1070.85</v>
      </c>
      <c r="S215" s="1" t="n">
        <v>4878.3</v>
      </c>
      <c r="T215" s="1" t="n">
        <v>1839.42</v>
      </c>
      <c r="U215" s="1" t="n">
        <v>3038.88</v>
      </c>
      <c r="V215" s="1" t="n">
        <v>62.29</v>
      </c>
      <c r="W215" s="1" t="s">
        <v>39</v>
      </c>
      <c r="Y215" s="1" t="s">
        <v>40</v>
      </c>
      <c r="Z215" s="1" t="n">
        <v>0</v>
      </c>
      <c r="AA215" s="1" t="str">
        <f aca="false">TRIM(PROPER(F215))</f>
        <v>Madurai</v>
      </c>
      <c r="AB215" s="1" t="str">
        <f aca="false">TRIM(PROPER(C215))</f>
        <v>Physics Wallah</v>
      </c>
      <c r="AC215" s="1" t="str">
        <f aca="false">IF(O215=0,"No Discount",IF(O215&lt;=15,"Low (1-15%)",IF(O215&lt;=30,"Medium (16-30%)","High (&gt;30%)")))</f>
        <v>Low (1-15%)</v>
      </c>
      <c r="AD215" s="1" t="str">
        <f aca="false">IF(V215&lt;0,"Loss Making",IF(V215&lt;20,"Low Margin","Healthy Margin"))</f>
        <v>Healthy Margin</v>
      </c>
      <c r="AE215" s="1" t="str">
        <f aca="false">TEXT(DATE(VALUE(RIGHT(B215,4)),VALUE(MID(B215,4,2)),VALUE(LEFT(B215,2))),"MMM-YYYY")</f>
        <v>Apr-2023</v>
      </c>
      <c r="AF215" s="1" t="n">
        <f aca="false">VALUE(RIGHT(B215,4))</f>
        <v>2023</v>
      </c>
      <c r="AG215" s="1" t="str">
        <f aca="false">CHOOSE(ROUNDUP(VALUE(MID(B215,4,2))/3,0),"Q1","Q2","Q3","Q4")</f>
        <v>Q2</v>
      </c>
    </row>
    <row r="216" customFormat="false" ht="15" hidden="false" customHeight="true" outlineLevel="0" collapsed="false">
      <c r="A216" s="1" t="s">
        <v>550</v>
      </c>
      <c r="B216" s="1" t="s">
        <v>551</v>
      </c>
      <c r="C216" s="1" t="s">
        <v>28</v>
      </c>
      <c r="D216" s="1" t="s">
        <v>168</v>
      </c>
      <c r="E216" s="1" t="s">
        <v>172</v>
      </c>
      <c r="F216" s="1" t="s">
        <v>31</v>
      </c>
      <c r="G216" s="1" t="s">
        <v>32</v>
      </c>
      <c r="H216" s="1" t="s">
        <v>33</v>
      </c>
      <c r="I216" s="1" t="s">
        <v>83</v>
      </c>
      <c r="J216" s="1" t="s">
        <v>35</v>
      </c>
      <c r="K216" s="1" t="s">
        <v>84</v>
      </c>
      <c r="L216" s="1" t="s">
        <v>136</v>
      </c>
      <c r="M216" s="1" t="s">
        <v>62</v>
      </c>
      <c r="N216" s="1" t="n">
        <v>6999</v>
      </c>
      <c r="O216" s="1" t="n">
        <v>15</v>
      </c>
      <c r="P216" s="1" t="n">
        <v>1049.85</v>
      </c>
      <c r="Q216" s="1" t="n">
        <v>5949.15</v>
      </c>
      <c r="R216" s="1" t="n">
        <v>1070.85</v>
      </c>
      <c r="S216" s="1" t="n">
        <v>4878.3</v>
      </c>
      <c r="T216" s="1" t="n">
        <v>2478.08</v>
      </c>
      <c r="U216" s="1" t="n">
        <v>2400.22</v>
      </c>
      <c r="V216" s="1" t="n">
        <v>49.2</v>
      </c>
      <c r="W216" s="1" t="s">
        <v>40</v>
      </c>
      <c r="Y216" s="1" t="s">
        <v>39</v>
      </c>
      <c r="Z216" s="1" t="n">
        <v>0</v>
      </c>
      <c r="AA216" s="1" t="str">
        <f aca="false">TRIM(PROPER(F216))</f>
        <v>Jodhpur</v>
      </c>
      <c r="AB216" s="1" t="str">
        <f aca="false">TRIM(PROPER(C216))</f>
        <v>Embibe</v>
      </c>
      <c r="AC216" s="1" t="str">
        <f aca="false">IF(O216=0,"No Discount",IF(O216&lt;=15,"Low (1-15%)",IF(O216&lt;=30,"Medium (16-30%)","High (&gt;30%)")))</f>
        <v>Low (1-15%)</v>
      </c>
      <c r="AD216" s="1" t="str">
        <f aca="false">IF(V216&lt;0,"Loss Making",IF(V216&lt;20,"Low Margin","Healthy Margin"))</f>
        <v>Healthy Margin</v>
      </c>
      <c r="AE216" s="1" t="str">
        <f aca="false">TEXT(DATE(VALUE(RIGHT(B216,4)),VALUE(MID(B216,4,2)),VALUE(LEFT(B216,2))),"MMM-YYYY")</f>
        <v>Jul-2023</v>
      </c>
      <c r="AF216" s="1" t="n">
        <f aca="false">VALUE(RIGHT(B216,4))</f>
        <v>2023</v>
      </c>
      <c r="AG216" s="1" t="str">
        <f aca="false">CHOOSE(ROUNDUP(VALUE(MID(B216,4,2))/3,0),"Q1","Q2","Q3","Q4")</f>
        <v>Q3</v>
      </c>
    </row>
    <row r="217" customFormat="false" ht="15" hidden="false" customHeight="true" outlineLevel="0" collapsed="false">
      <c r="A217" s="1" t="s">
        <v>552</v>
      </c>
      <c r="B217" s="1" t="s">
        <v>553</v>
      </c>
      <c r="C217" s="1" t="s">
        <v>178</v>
      </c>
      <c r="D217" s="1" t="s">
        <v>94</v>
      </c>
      <c r="E217" s="1" t="s">
        <v>101</v>
      </c>
      <c r="F217" s="1" t="s">
        <v>205</v>
      </c>
      <c r="G217" s="1" t="s">
        <v>56</v>
      </c>
      <c r="H217" s="1" t="s">
        <v>69</v>
      </c>
      <c r="I217" s="1" t="s">
        <v>58</v>
      </c>
      <c r="J217" s="1" t="s">
        <v>131</v>
      </c>
      <c r="K217" s="1" t="s">
        <v>36</v>
      </c>
      <c r="L217" s="1" t="s">
        <v>85</v>
      </c>
      <c r="M217" s="1" t="s">
        <v>62</v>
      </c>
      <c r="N217" s="1" t="n">
        <v>14999</v>
      </c>
      <c r="O217" s="1" t="n">
        <v>0</v>
      </c>
      <c r="P217" s="1" t="n">
        <v>0</v>
      </c>
      <c r="Q217" s="1" t="n">
        <v>14999</v>
      </c>
      <c r="R217" s="1" t="n">
        <v>2699.82</v>
      </c>
      <c r="S217" s="1" t="n">
        <v>12299.18</v>
      </c>
      <c r="T217" s="1" t="n">
        <v>4967.03</v>
      </c>
      <c r="U217" s="1" t="n">
        <v>7332.15</v>
      </c>
      <c r="V217" s="1" t="n">
        <v>59.61</v>
      </c>
      <c r="W217" s="1" t="s">
        <v>39</v>
      </c>
      <c r="Y217" s="1" t="s">
        <v>40</v>
      </c>
      <c r="Z217" s="1" t="n">
        <v>0</v>
      </c>
      <c r="AA217" s="1" t="str">
        <f aca="false">TRIM(PROPER(F217))</f>
        <v>New Delhi</v>
      </c>
      <c r="AB217" s="1" t="str">
        <f aca="false">TRIM(PROPER(C217))</f>
        <v>Leverage Edu</v>
      </c>
      <c r="AC217" s="1" t="str">
        <f aca="false">IF(O217=0,"No Discount",IF(O217&lt;=15,"Low (1-15%)",IF(O217&lt;=30,"Medium (16-30%)","High (&gt;30%)")))</f>
        <v>No Discount</v>
      </c>
      <c r="AD217" s="1" t="str">
        <f aca="false">IF(V217&lt;0,"Loss Making",IF(V217&lt;20,"Low Margin","Healthy Margin"))</f>
        <v>Healthy Margin</v>
      </c>
      <c r="AE217" s="1" t="str">
        <f aca="false">TEXT(DATE(VALUE(RIGHT(B217,4)),VALUE(MID(B217,4,2)),VALUE(LEFT(B217,2))),"MMM-YYYY")</f>
        <v>Aug-2023</v>
      </c>
      <c r="AF217" s="1" t="n">
        <f aca="false">VALUE(RIGHT(B217,4))</f>
        <v>2023</v>
      </c>
      <c r="AG217" s="1" t="str">
        <f aca="false">CHOOSE(ROUNDUP(VALUE(MID(B217,4,2))/3,0),"Q1","Q2","Q3","Q4")</f>
        <v>Q3</v>
      </c>
    </row>
    <row r="218" customFormat="false" ht="15" hidden="false" customHeight="true" outlineLevel="0" collapsed="false">
      <c r="A218" s="1" t="s">
        <v>554</v>
      </c>
      <c r="B218" s="1" t="s">
        <v>555</v>
      </c>
      <c r="C218" s="1" t="s">
        <v>119</v>
      </c>
      <c r="D218" s="1" t="s">
        <v>80</v>
      </c>
      <c r="E218" s="1" t="s">
        <v>81</v>
      </c>
      <c r="F218" s="1" t="s">
        <v>205</v>
      </c>
      <c r="G218" s="1" t="s">
        <v>56</v>
      </c>
      <c r="H218" s="1" t="s">
        <v>69</v>
      </c>
      <c r="I218" s="1" t="s">
        <v>83</v>
      </c>
      <c r="J218" s="1" t="s">
        <v>59</v>
      </c>
      <c r="K218" s="1" t="s">
        <v>112</v>
      </c>
      <c r="L218" s="1" t="s">
        <v>136</v>
      </c>
      <c r="M218" s="1" t="s">
        <v>38</v>
      </c>
      <c r="N218" s="1" t="n">
        <v>12999</v>
      </c>
      <c r="O218" s="1" t="n">
        <v>50</v>
      </c>
      <c r="P218" s="1" t="n">
        <v>6499.5</v>
      </c>
      <c r="Q218" s="1" t="n">
        <v>6499.5</v>
      </c>
      <c r="R218" s="1" t="n">
        <v>1169.91</v>
      </c>
      <c r="S218" s="1" t="n">
        <v>5329.59</v>
      </c>
      <c r="T218" s="1" t="n">
        <v>2675.08</v>
      </c>
      <c r="U218" s="1" t="n">
        <v>2654.51</v>
      </c>
      <c r="V218" s="1" t="n">
        <v>49.81</v>
      </c>
      <c r="W218" s="1" t="s">
        <v>40</v>
      </c>
      <c r="Y218" s="1" t="s">
        <v>40</v>
      </c>
      <c r="Z218" s="1" t="n">
        <v>1</v>
      </c>
      <c r="AA218" s="1" t="str">
        <f aca="false">TRIM(PROPER(F218))</f>
        <v>New Delhi</v>
      </c>
      <c r="AB218" s="1" t="str">
        <f aca="false">TRIM(PROPER(C218))</f>
        <v>Simplilearn</v>
      </c>
      <c r="AC218" s="1" t="str">
        <f aca="false">IF(O218=0,"No Discount",IF(O218&lt;=15,"Low (1-15%)",IF(O218&lt;=30,"Medium (16-30%)","High (&gt;30%)")))</f>
        <v>High (&gt;30%)</v>
      </c>
      <c r="AD218" s="1" t="str">
        <f aca="false">IF(V218&lt;0,"Loss Making",IF(V218&lt;20,"Low Margin","Healthy Margin"))</f>
        <v>Healthy Margin</v>
      </c>
      <c r="AE218" s="1" t="str">
        <f aca="false">TEXT(DATE(VALUE(RIGHT(B218,4)),VALUE(MID(B218,4,2)),VALUE(LEFT(B218,2))),"MMM-YYYY")</f>
        <v>Jun-2023</v>
      </c>
      <c r="AF218" s="1" t="n">
        <f aca="false">VALUE(RIGHT(B218,4))</f>
        <v>2023</v>
      </c>
      <c r="AG218" s="1" t="str">
        <f aca="false">CHOOSE(ROUNDUP(VALUE(MID(B218,4,2))/3,0),"Q1","Q2","Q3","Q4")</f>
        <v>Q2</v>
      </c>
    </row>
    <row r="219" customFormat="false" ht="15" hidden="false" customHeight="true" outlineLevel="0" collapsed="false">
      <c r="A219" s="1" t="s">
        <v>556</v>
      </c>
      <c r="B219" s="1" t="s">
        <v>557</v>
      </c>
      <c r="C219" s="1" t="s">
        <v>100</v>
      </c>
      <c r="D219" s="1" t="s">
        <v>123</v>
      </c>
      <c r="E219" s="1" t="s">
        <v>124</v>
      </c>
      <c r="F219" s="1" t="s">
        <v>194</v>
      </c>
      <c r="G219" s="1" t="s">
        <v>103</v>
      </c>
      <c r="H219" s="1" t="s">
        <v>69</v>
      </c>
      <c r="I219" s="1" t="s">
        <v>34</v>
      </c>
      <c r="J219" s="1" t="s">
        <v>131</v>
      </c>
      <c r="K219" s="1" t="s">
        <v>104</v>
      </c>
      <c r="L219" s="1" t="s">
        <v>113</v>
      </c>
      <c r="M219" s="1" t="s">
        <v>50</v>
      </c>
      <c r="N219" s="1" t="n">
        <v>4999</v>
      </c>
      <c r="O219" s="1" t="n">
        <v>10</v>
      </c>
      <c r="P219" s="1" t="n">
        <v>499.9</v>
      </c>
      <c r="Q219" s="1" t="n">
        <v>4499.1</v>
      </c>
      <c r="R219" s="1" t="n">
        <v>809.84</v>
      </c>
      <c r="S219" s="1" t="n">
        <v>3689.26</v>
      </c>
      <c r="T219" s="1" t="n">
        <v>1520.22</v>
      </c>
      <c r="U219" s="1" t="n">
        <v>2169.04</v>
      </c>
      <c r="V219" s="1" t="n">
        <v>58.79</v>
      </c>
      <c r="W219" s="1" t="s">
        <v>39</v>
      </c>
      <c r="Y219" s="1" t="s">
        <v>40</v>
      </c>
      <c r="Z219" s="1" t="n">
        <v>0</v>
      </c>
      <c r="AA219" s="1" t="str">
        <f aca="false">TRIM(PROPER(F219))</f>
        <v>Hyderabad</v>
      </c>
      <c r="AB219" s="1" t="str">
        <f aca="false">TRIM(PROPER(C219))</f>
        <v>Physics Wallah</v>
      </c>
      <c r="AC219" s="1" t="str">
        <f aca="false">IF(O219=0,"No Discount",IF(O219&lt;=15,"Low (1-15%)",IF(O219&lt;=30,"Medium (16-30%)","High (&gt;30%)")))</f>
        <v>Low (1-15%)</v>
      </c>
      <c r="AD219" s="1" t="str">
        <f aca="false">IF(V219&lt;0,"Loss Making",IF(V219&lt;20,"Low Margin","Healthy Margin"))</f>
        <v>Healthy Margin</v>
      </c>
      <c r="AE219" s="1" t="str">
        <f aca="false">TEXT(DATE(VALUE(RIGHT(B219,4)),VALUE(MID(B219,4,2)),VALUE(LEFT(B219,2))),"MMM-YYYY")</f>
        <v>Apr-2023</v>
      </c>
      <c r="AF219" s="1" t="n">
        <f aca="false">VALUE(RIGHT(B219,4))</f>
        <v>2023</v>
      </c>
      <c r="AG219" s="1" t="str">
        <f aca="false">CHOOSE(ROUNDUP(VALUE(MID(B219,4,2))/3,0),"Q1","Q2","Q3","Q4")</f>
        <v>Q2</v>
      </c>
    </row>
    <row r="220" customFormat="false" ht="15" hidden="false" customHeight="true" outlineLevel="0" collapsed="false">
      <c r="A220" s="1" t="s">
        <v>558</v>
      </c>
      <c r="B220" s="1" t="s">
        <v>559</v>
      </c>
      <c r="C220" s="1" t="s">
        <v>28</v>
      </c>
      <c r="D220" s="1" t="s">
        <v>53</v>
      </c>
      <c r="E220" s="1" t="s">
        <v>216</v>
      </c>
      <c r="F220" s="1" t="s">
        <v>125</v>
      </c>
      <c r="G220" s="1" t="s">
        <v>108</v>
      </c>
      <c r="H220" s="1" t="s">
        <v>69</v>
      </c>
      <c r="I220" s="1" t="s">
        <v>83</v>
      </c>
      <c r="J220" s="1" t="s">
        <v>70</v>
      </c>
      <c r="K220" s="1" t="s">
        <v>48</v>
      </c>
      <c r="L220" s="1" t="s">
        <v>136</v>
      </c>
      <c r="M220" s="1" t="s">
        <v>62</v>
      </c>
      <c r="N220" s="1" t="n">
        <v>7499</v>
      </c>
      <c r="O220" s="1" t="n">
        <v>50</v>
      </c>
      <c r="P220" s="1" t="n">
        <v>3749.5</v>
      </c>
      <c r="Q220" s="1" t="n">
        <v>3749.5</v>
      </c>
      <c r="R220" s="1" t="n">
        <v>674.91</v>
      </c>
      <c r="S220" s="1" t="n">
        <v>3074.59</v>
      </c>
      <c r="T220" s="1" t="n">
        <v>1670.7</v>
      </c>
      <c r="U220" s="1" t="n">
        <v>1403.89</v>
      </c>
      <c r="V220" s="1" t="n">
        <v>45.66</v>
      </c>
      <c r="W220" s="1" t="s">
        <v>39</v>
      </c>
      <c r="X220" s="1" t="n">
        <v>3</v>
      </c>
      <c r="Y220" s="1" t="s">
        <v>40</v>
      </c>
      <c r="Z220" s="1" t="n">
        <v>0</v>
      </c>
      <c r="AA220" s="1" t="str">
        <f aca="false">TRIM(PROPER(F220))</f>
        <v>Chennai</v>
      </c>
      <c r="AB220" s="1" t="str">
        <f aca="false">TRIM(PROPER(C220))</f>
        <v>Embibe</v>
      </c>
      <c r="AC220" s="1" t="str">
        <f aca="false">IF(O220=0,"No Discount",IF(O220&lt;=15,"Low (1-15%)",IF(O220&lt;=30,"Medium (16-30%)","High (&gt;30%)")))</f>
        <v>High (&gt;30%)</v>
      </c>
      <c r="AD220" s="1" t="str">
        <f aca="false">IF(V220&lt;0,"Loss Making",IF(V220&lt;20,"Low Margin","Healthy Margin"))</f>
        <v>Healthy Margin</v>
      </c>
      <c r="AE220" s="1" t="str">
        <f aca="false">TEXT(DATE(VALUE(RIGHT(B220,4)),VALUE(MID(B220,4,2)),VALUE(LEFT(B220,2))),"MMM-YYYY")</f>
        <v>Dec-2023</v>
      </c>
      <c r="AF220" s="1" t="n">
        <f aca="false">VALUE(RIGHT(B220,4))</f>
        <v>2023</v>
      </c>
      <c r="AG220" s="1" t="str">
        <f aca="false">CHOOSE(ROUNDUP(VALUE(MID(B220,4,2))/3,0),"Q1","Q2","Q3","Q4")</f>
        <v>Q4</v>
      </c>
    </row>
    <row r="221" customFormat="false" ht="15" hidden="false" customHeight="true" outlineLevel="0" collapsed="false">
      <c r="A221" s="1" t="s">
        <v>560</v>
      </c>
      <c r="B221" s="1" t="s">
        <v>561</v>
      </c>
      <c r="C221" s="1" t="s">
        <v>93</v>
      </c>
      <c r="D221" s="1" t="s">
        <v>143</v>
      </c>
      <c r="E221" s="1" t="s">
        <v>243</v>
      </c>
      <c r="F221" s="1" t="s">
        <v>140</v>
      </c>
      <c r="G221" s="1" t="s">
        <v>97</v>
      </c>
      <c r="H221" s="1" t="s">
        <v>57</v>
      </c>
      <c r="I221" s="1" t="s">
        <v>83</v>
      </c>
      <c r="J221" s="1" t="s">
        <v>77</v>
      </c>
      <c r="K221" s="1" t="s">
        <v>71</v>
      </c>
      <c r="L221" s="1" t="s">
        <v>136</v>
      </c>
      <c r="M221" s="1" t="s">
        <v>38</v>
      </c>
      <c r="N221" s="1" t="n">
        <v>22999</v>
      </c>
      <c r="O221" s="1" t="n">
        <v>0</v>
      </c>
      <c r="P221" s="1" t="n">
        <v>0</v>
      </c>
      <c r="Q221" s="1" t="n">
        <v>22999</v>
      </c>
      <c r="R221" s="1" t="n">
        <v>4139.82</v>
      </c>
      <c r="S221" s="1" t="n">
        <v>18859.18</v>
      </c>
      <c r="T221" s="1" t="n">
        <v>8440.65</v>
      </c>
      <c r="U221" s="1" t="n">
        <v>10418.53</v>
      </c>
      <c r="V221" s="1" t="n">
        <v>55.24</v>
      </c>
      <c r="W221" s="1" t="s">
        <v>40</v>
      </c>
      <c r="Y221" s="1" t="s">
        <v>40</v>
      </c>
      <c r="Z221" s="1" t="n">
        <v>0</v>
      </c>
      <c r="AA221" s="1" t="str">
        <f aca="false">TRIM(PROPER(F221))</f>
        <v>Nashik</v>
      </c>
      <c r="AB221" s="1" t="str">
        <f aca="false">TRIM(PROPER(C221))</f>
        <v>Upgrad</v>
      </c>
      <c r="AC221" s="1" t="str">
        <f aca="false">IF(O221=0,"No Discount",IF(O221&lt;=15,"Low (1-15%)",IF(O221&lt;=30,"Medium (16-30%)","High (&gt;30%)")))</f>
        <v>No Discount</v>
      </c>
      <c r="AD221" s="1" t="str">
        <f aca="false">IF(V221&lt;0,"Loss Making",IF(V221&lt;20,"Low Margin","Healthy Margin"))</f>
        <v>Healthy Margin</v>
      </c>
      <c r="AE221" s="1" t="str">
        <f aca="false">TEXT(DATE(VALUE(RIGHT(B221,4)),VALUE(MID(B221,4,2)),VALUE(LEFT(B221,2))),"MMM-YYYY")</f>
        <v>Mar-2024</v>
      </c>
      <c r="AF221" s="1" t="n">
        <f aca="false">VALUE(RIGHT(B221,4))</f>
        <v>2024</v>
      </c>
      <c r="AG221" s="1" t="str">
        <f aca="false">CHOOSE(ROUNDUP(VALUE(MID(B221,4,2))/3,0),"Q1","Q2","Q3","Q4")</f>
        <v>Q1</v>
      </c>
    </row>
    <row r="222" customFormat="false" ht="15" hidden="false" customHeight="true" outlineLevel="0" collapsed="false">
      <c r="A222" s="1" t="s">
        <v>562</v>
      </c>
      <c r="B222" s="1" t="s">
        <v>563</v>
      </c>
      <c r="C222" s="1" t="s">
        <v>100</v>
      </c>
      <c r="D222" s="1" t="s">
        <v>44</v>
      </c>
      <c r="E222" s="1" t="s">
        <v>221</v>
      </c>
      <c r="F222" s="1" t="s">
        <v>150</v>
      </c>
      <c r="G222" s="1" t="s">
        <v>32</v>
      </c>
      <c r="H222" s="1" t="s">
        <v>57</v>
      </c>
      <c r="I222" s="1" t="s">
        <v>83</v>
      </c>
      <c r="J222" s="1" t="s">
        <v>77</v>
      </c>
      <c r="K222" s="1" t="s">
        <v>60</v>
      </c>
      <c r="L222" s="1" t="s">
        <v>136</v>
      </c>
      <c r="M222" s="1" t="s">
        <v>62</v>
      </c>
      <c r="N222" s="1" t="n">
        <v>16999</v>
      </c>
      <c r="O222" s="1" t="n">
        <v>5</v>
      </c>
      <c r="P222" s="1" t="n">
        <v>849.95</v>
      </c>
      <c r="Q222" s="1" t="n">
        <v>16149.05</v>
      </c>
      <c r="R222" s="1" t="n">
        <v>2906.83</v>
      </c>
      <c r="S222" s="1" t="n">
        <v>13242.22</v>
      </c>
      <c r="T222" s="1" t="n">
        <v>5449.18</v>
      </c>
      <c r="U222" s="1" t="n">
        <v>7793.04</v>
      </c>
      <c r="V222" s="1" t="n">
        <v>58.85</v>
      </c>
      <c r="W222" s="1" t="s">
        <v>39</v>
      </c>
      <c r="Y222" s="1" t="s">
        <v>40</v>
      </c>
      <c r="Z222" s="1" t="n">
        <v>0</v>
      </c>
      <c r="AA222" s="1" t="str">
        <f aca="false">TRIM(PROPER(F222))</f>
        <v>Jaipur</v>
      </c>
      <c r="AB222" s="1" t="str">
        <f aca="false">TRIM(PROPER(C222))</f>
        <v>Physics Wallah</v>
      </c>
      <c r="AC222" s="1" t="str">
        <f aca="false">IF(O222=0,"No Discount",IF(O222&lt;=15,"Low (1-15%)",IF(O222&lt;=30,"Medium (16-30%)","High (&gt;30%)")))</f>
        <v>Low (1-15%)</v>
      </c>
      <c r="AD222" s="1" t="str">
        <f aca="false">IF(V222&lt;0,"Loss Making",IF(V222&lt;20,"Low Margin","Healthy Margin"))</f>
        <v>Healthy Margin</v>
      </c>
      <c r="AE222" s="1" t="str">
        <f aca="false">TEXT(DATE(VALUE(RIGHT(B222,4)),VALUE(MID(B222,4,2)),VALUE(LEFT(B222,2))),"MMM-YYYY")</f>
        <v>Aug-2023</v>
      </c>
      <c r="AF222" s="1" t="n">
        <f aca="false">VALUE(RIGHT(B222,4))</f>
        <v>2023</v>
      </c>
      <c r="AG222" s="1" t="str">
        <f aca="false">CHOOSE(ROUNDUP(VALUE(MID(B222,4,2))/3,0),"Q1","Q2","Q3","Q4")</f>
        <v>Q3</v>
      </c>
    </row>
    <row r="223" customFormat="false" ht="15" hidden="false" customHeight="true" outlineLevel="0" collapsed="false">
      <c r="A223" s="1" t="s">
        <v>564</v>
      </c>
      <c r="B223" s="1" t="s">
        <v>127</v>
      </c>
      <c r="C223" s="1" t="s">
        <v>100</v>
      </c>
      <c r="D223" s="1" t="s">
        <v>29</v>
      </c>
      <c r="E223" s="1" t="s">
        <v>305</v>
      </c>
      <c r="F223" s="1" t="s">
        <v>107</v>
      </c>
      <c r="G223" s="1" t="s">
        <v>108</v>
      </c>
      <c r="H223" s="1" t="s">
        <v>33</v>
      </c>
      <c r="I223" s="1" t="s">
        <v>83</v>
      </c>
      <c r="J223" s="1" t="s">
        <v>59</v>
      </c>
      <c r="K223" s="1" t="s">
        <v>104</v>
      </c>
      <c r="L223" s="1" t="s">
        <v>113</v>
      </c>
      <c r="M223" s="1" t="s">
        <v>50</v>
      </c>
      <c r="N223" s="1" t="n">
        <v>24999</v>
      </c>
      <c r="O223" s="1" t="n">
        <v>5</v>
      </c>
      <c r="P223" s="1" t="n">
        <v>1249.95</v>
      </c>
      <c r="Q223" s="1" t="n">
        <v>23749.05</v>
      </c>
      <c r="R223" s="1" t="n">
        <v>4274.83</v>
      </c>
      <c r="S223" s="1" t="n">
        <v>19474.22</v>
      </c>
      <c r="T223" s="1" t="n">
        <v>6007.48</v>
      </c>
      <c r="U223" s="1" t="n">
        <v>13466.74</v>
      </c>
      <c r="V223" s="1" t="n">
        <v>69.15</v>
      </c>
      <c r="W223" s="1" t="s">
        <v>39</v>
      </c>
      <c r="X223" s="1" t="n">
        <v>4.8</v>
      </c>
      <c r="Y223" s="1" t="s">
        <v>40</v>
      </c>
      <c r="Z223" s="1" t="n">
        <v>0</v>
      </c>
      <c r="AA223" s="1" t="str">
        <f aca="false">TRIM(PROPER(F223))</f>
        <v>Madurai</v>
      </c>
      <c r="AB223" s="1" t="str">
        <f aca="false">TRIM(PROPER(C223))</f>
        <v>Physics Wallah</v>
      </c>
      <c r="AC223" s="1" t="str">
        <f aca="false">IF(O223=0,"No Discount",IF(O223&lt;=15,"Low (1-15%)",IF(O223&lt;=30,"Medium (16-30%)","High (&gt;30%)")))</f>
        <v>Low (1-15%)</v>
      </c>
      <c r="AD223" s="1" t="str">
        <f aca="false">IF(V223&lt;0,"Loss Making",IF(V223&lt;20,"Low Margin","Healthy Margin"))</f>
        <v>Healthy Margin</v>
      </c>
      <c r="AE223" s="1" t="str">
        <f aca="false">TEXT(DATE(VALUE(RIGHT(B223,4)),VALUE(MID(B223,4,2)),VALUE(LEFT(B223,2))),"MMM-YYYY")</f>
        <v>Dec-2024</v>
      </c>
      <c r="AF223" s="1" t="n">
        <f aca="false">VALUE(RIGHT(B223,4))</f>
        <v>2024</v>
      </c>
      <c r="AG223" s="1" t="str">
        <f aca="false">CHOOSE(ROUNDUP(VALUE(MID(B223,4,2))/3,0),"Q1","Q2","Q3","Q4")</f>
        <v>Q4</v>
      </c>
    </row>
    <row r="224" customFormat="false" ht="15" hidden="false" customHeight="true" outlineLevel="0" collapsed="false">
      <c r="A224" s="1" t="s">
        <v>565</v>
      </c>
      <c r="B224" s="1" t="s">
        <v>566</v>
      </c>
      <c r="C224" s="1" t="s">
        <v>119</v>
      </c>
      <c r="D224" s="1" t="s">
        <v>80</v>
      </c>
      <c r="E224" s="1" t="s">
        <v>190</v>
      </c>
      <c r="F224" s="1" t="s">
        <v>125</v>
      </c>
      <c r="G224" s="1" t="s">
        <v>108</v>
      </c>
      <c r="H224" s="1" t="s">
        <v>69</v>
      </c>
      <c r="I224" s="1" t="s">
        <v>34</v>
      </c>
      <c r="J224" s="1" t="s">
        <v>35</v>
      </c>
      <c r="K224" s="1" t="s">
        <v>48</v>
      </c>
      <c r="L224" s="1" t="s">
        <v>136</v>
      </c>
      <c r="M224" s="1" t="s">
        <v>50</v>
      </c>
      <c r="N224" s="1" t="n">
        <v>15999</v>
      </c>
      <c r="O224" s="1" t="n">
        <v>0</v>
      </c>
      <c r="P224" s="1" t="n">
        <v>0</v>
      </c>
      <c r="Q224" s="1" t="n">
        <v>15999</v>
      </c>
      <c r="R224" s="1" t="n">
        <v>2879.82</v>
      </c>
      <c r="S224" s="1" t="n">
        <v>13119.18</v>
      </c>
      <c r="T224" s="1" t="n">
        <v>6123.31</v>
      </c>
      <c r="U224" s="1" t="n">
        <v>6995.87</v>
      </c>
      <c r="V224" s="1" t="n">
        <v>53.33</v>
      </c>
      <c r="W224" s="1" t="s">
        <v>39</v>
      </c>
      <c r="X224" s="1" t="n">
        <v>4.5</v>
      </c>
      <c r="Y224" s="1" t="s">
        <v>40</v>
      </c>
      <c r="Z224" s="1" t="n">
        <v>0</v>
      </c>
      <c r="AA224" s="1" t="str">
        <f aca="false">TRIM(PROPER(F224))</f>
        <v>Chennai</v>
      </c>
      <c r="AB224" s="1" t="str">
        <f aca="false">TRIM(PROPER(C224))</f>
        <v>Simplilearn</v>
      </c>
      <c r="AC224" s="1" t="str">
        <f aca="false">IF(O224=0,"No Discount",IF(O224&lt;=15,"Low (1-15%)",IF(O224&lt;=30,"Medium (16-30%)","High (&gt;30%)")))</f>
        <v>No Discount</v>
      </c>
      <c r="AD224" s="1" t="str">
        <f aca="false">IF(V224&lt;0,"Loss Making",IF(V224&lt;20,"Low Margin","Healthy Margin"))</f>
        <v>Healthy Margin</v>
      </c>
      <c r="AE224" s="1" t="str">
        <f aca="false">TEXT(DATE(VALUE(RIGHT(B224,4)),VALUE(MID(B224,4,2)),VALUE(LEFT(B224,2))),"MMM-YYYY")</f>
        <v>Nov-2024</v>
      </c>
      <c r="AF224" s="1" t="n">
        <f aca="false">VALUE(RIGHT(B224,4))</f>
        <v>2024</v>
      </c>
      <c r="AG224" s="1" t="str">
        <f aca="false">CHOOSE(ROUNDUP(VALUE(MID(B224,4,2))/3,0),"Q1","Q2","Q3","Q4")</f>
        <v>Q4</v>
      </c>
    </row>
    <row r="225" customFormat="false" ht="15" hidden="false" customHeight="true" outlineLevel="0" collapsed="false">
      <c r="A225" s="1" t="s">
        <v>567</v>
      </c>
      <c r="B225" s="1" t="s">
        <v>568</v>
      </c>
      <c r="C225" s="1" t="s">
        <v>65</v>
      </c>
      <c r="D225" s="1" t="s">
        <v>44</v>
      </c>
      <c r="E225" s="1" t="s">
        <v>45</v>
      </c>
      <c r="F225" s="1" t="s">
        <v>194</v>
      </c>
      <c r="G225" s="1" t="s">
        <v>103</v>
      </c>
      <c r="H225" s="1" t="s">
        <v>69</v>
      </c>
      <c r="I225" s="1" t="s">
        <v>58</v>
      </c>
      <c r="J225" s="1" t="s">
        <v>70</v>
      </c>
      <c r="K225" s="1" t="s">
        <v>48</v>
      </c>
      <c r="L225" s="1" t="s">
        <v>136</v>
      </c>
      <c r="M225" s="1" t="s">
        <v>50</v>
      </c>
      <c r="N225" s="1" t="n">
        <v>11999</v>
      </c>
      <c r="O225" s="1" t="n">
        <v>10</v>
      </c>
      <c r="P225" s="1" t="n">
        <v>1199.9</v>
      </c>
      <c r="Q225" s="1" t="n">
        <v>10799.1</v>
      </c>
      <c r="R225" s="1" t="n">
        <v>1943.84</v>
      </c>
      <c r="S225" s="1" t="n">
        <v>8855.26</v>
      </c>
      <c r="T225" s="1" t="n">
        <v>3922.72</v>
      </c>
      <c r="U225" s="1" t="n">
        <v>4932.54</v>
      </c>
      <c r="V225" s="1" t="n">
        <v>55.7</v>
      </c>
      <c r="W225" s="1" t="s">
        <v>39</v>
      </c>
      <c r="X225" s="1" t="n">
        <v>4.3</v>
      </c>
      <c r="Y225" s="1" t="s">
        <v>40</v>
      </c>
      <c r="Z225" s="1" t="n">
        <v>0</v>
      </c>
      <c r="AA225" s="1" t="str">
        <f aca="false">TRIM(PROPER(F225))</f>
        <v>Hyderabad</v>
      </c>
      <c r="AB225" s="1" t="str">
        <f aca="false">TRIM(PROPER(C225))</f>
        <v>Toppr</v>
      </c>
      <c r="AC225" s="1" t="str">
        <f aca="false">IF(O225=0,"No Discount",IF(O225&lt;=15,"Low (1-15%)",IF(O225&lt;=30,"Medium (16-30%)","High (&gt;30%)")))</f>
        <v>Low (1-15%)</v>
      </c>
      <c r="AD225" s="1" t="str">
        <f aca="false">IF(V225&lt;0,"Loss Making",IF(V225&lt;20,"Low Margin","Healthy Margin"))</f>
        <v>Healthy Margin</v>
      </c>
      <c r="AE225" s="1" t="str">
        <f aca="false">TEXT(DATE(VALUE(RIGHT(B225,4)),VALUE(MID(B225,4,2)),VALUE(LEFT(B225,2))),"MMM-YYYY")</f>
        <v>Aug-2023</v>
      </c>
      <c r="AF225" s="1" t="n">
        <f aca="false">VALUE(RIGHT(B225,4))</f>
        <v>2023</v>
      </c>
      <c r="AG225" s="1" t="str">
        <f aca="false">CHOOSE(ROUNDUP(VALUE(MID(B225,4,2))/3,0),"Q1","Q2","Q3","Q4")</f>
        <v>Q3</v>
      </c>
    </row>
    <row r="226" customFormat="false" ht="15" hidden="false" customHeight="true" outlineLevel="0" collapsed="false">
      <c r="A226" s="1" t="s">
        <v>569</v>
      </c>
      <c r="B226" s="1" t="s">
        <v>92</v>
      </c>
      <c r="C226" s="1" t="s">
        <v>139</v>
      </c>
      <c r="D226" s="1" t="s">
        <v>168</v>
      </c>
      <c r="E226" s="1" t="s">
        <v>328</v>
      </c>
      <c r="F226" s="1" t="s">
        <v>130</v>
      </c>
      <c r="G226" s="1" t="s">
        <v>47</v>
      </c>
      <c r="H226" s="1" t="s">
        <v>69</v>
      </c>
      <c r="I226" s="1" t="s">
        <v>83</v>
      </c>
      <c r="J226" s="1" t="s">
        <v>35</v>
      </c>
      <c r="K226" s="1" t="s">
        <v>71</v>
      </c>
      <c r="L226" s="1" t="s">
        <v>37</v>
      </c>
      <c r="M226" s="1" t="s">
        <v>62</v>
      </c>
      <c r="N226" s="1" t="n">
        <v>8999</v>
      </c>
      <c r="O226" s="1" t="n">
        <v>15</v>
      </c>
      <c r="P226" s="1" t="n">
        <v>1349.85</v>
      </c>
      <c r="Q226" s="1" t="n">
        <v>7649.15</v>
      </c>
      <c r="R226" s="1" t="n">
        <v>1376.85</v>
      </c>
      <c r="S226" s="1" t="n">
        <v>6272.3</v>
      </c>
      <c r="T226" s="1" t="n">
        <v>2505.09</v>
      </c>
      <c r="U226" s="1" t="n">
        <v>3767.21</v>
      </c>
      <c r="V226" s="1" t="n">
        <v>60.06</v>
      </c>
      <c r="W226" s="1" t="s">
        <v>40</v>
      </c>
      <c r="Y226" s="1" t="s">
        <v>40</v>
      </c>
      <c r="Z226" s="1" t="n">
        <v>0</v>
      </c>
      <c r="AA226" s="1" t="str">
        <f aca="false">TRIM(PROPER(F226))</f>
        <v>Bengaluru</v>
      </c>
      <c r="AB226" s="1" t="str">
        <f aca="false">TRIM(PROPER(C226))</f>
        <v>Extramarks</v>
      </c>
      <c r="AC226" s="1" t="str">
        <f aca="false">IF(O226=0,"No Discount",IF(O226&lt;=15,"Low (1-15%)",IF(O226&lt;=30,"Medium (16-30%)","High (&gt;30%)")))</f>
        <v>Low (1-15%)</v>
      </c>
      <c r="AD226" s="1" t="str">
        <f aca="false">IF(V226&lt;0,"Loss Making",IF(V226&lt;20,"Low Margin","Healthy Margin"))</f>
        <v>Healthy Margin</v>
      </c>
      <c r="AE226" s="1" t="str">
        <f aca="false">TEXT(DATE(VALUE(RIGHT(B226,4)),VALUE(MID(B226,4,2)),VALUE(LEFT(B226,2))),"MMM-YYYY")</f>
        <v>Jan-2024</v>
      </c>
      <c r="AF226" s="1" t="n">
        <f aca="false">VALUE(RIGHT(B226,4))</f>
        <v>2024</v>
      </c>
      <c r="AG226" s="1" t="str">
        <f aca="false">CHOOSE(ROUNDUP(VALUE(MID(B226,4,2))/3,0),"Q1","Q2","Q3","Q4")</f>
        <v>Q1</v>
      </c>
    </row>
    <row r="227" customFormat="false" ht="15" hidden="false" customHeight="true" outlineLevel="0" collapsed="false">
      <c r="A227" s="1" t="s">
        <v>570</v>
      </c>
      <c r="B227" s="1" t="s">
        <v>338</v>
      </c>
      <c r="C227" s="1" t="s">
        <v>119</v>
      </c>
      <c r="D227" s="1" t="s">
        <v>53</v>
      </c>
      <c r="E227" s="1" t="s">
        <v>54</v>
      </c>
      <c r="F227" s="1" t="s">
        <v>31</v>
      </c>
      <c r="G227" s="1" t="s">
        <v>32</v>
      </c>
      <c r="H227" s="1" t="s">
        <v>33</v>
      </c>
      <c r="I227" s="1" t="s">
        <v>83</v>
      </c>
      <c r="J227" s="1" t="s">
        <v>70</v>
      </c>
      <c r="K227" s="1" t="s">
        <v>48</v>
      </c>
      <c r="L227" s="1" t="s">
        <v>37</v>
      </c>
      <c r="M227" s="1" t="s">
        <v>50</v>
      </c>
      <c r="N227" s="1" t="n">
        <v>11999</v>
      </c>
      <c r="O227" s="1" t="n">
        <v>15</v>
      </c>
      <c r="P227" s="1" t="n">
        <v>1799.85</v>
      </c>
      <c r="Q227" s="1" t="n">
        <v>10199.15</v>
      </c>
      <c r="R227" s="1" t="n">
        <v>1835.85</v>
      </c>
      <c r="S227" s="1" t="n">
        <v>8363.3</v>
      </c>
      <c r="T227" s="1" t="n">
        <v>3120.96</v>
      </c>
      <c r="U227" s="1" t="n">
        <v>5242.34</v>
      </c>
      <c r="V227" s="1" t="n">
        <v>62.68</v>
      </c>
      <c r="W227" s="1" t="s">
        <v>39</v>
      </c>
      <c r="X227" s="1" t="n">
        <v>3.5</v>
      </c>
      <c r="Y227" s="1" t="s">
        <v>40</v>
      </c>
      <c r="Z227" s="1" t="n">
        <v>0</v>
      </c>
      <c r="AA227" s="1" t="str">
        <f aca="false">TRIM(PROPER(F227))</f>
        <v>Jodhpur</v>
      </c>
      <c r="AB227" s="1" t="str">
        <f aca="false">TRIM(PROPER(C227))</f>
        <v>Simplilearn</v>
      </c>
      <c r="AC227" s="1" t="str">
        <f aca="false">IF(O227=0,"No Discount",IF(O227&lt;=15,"Low (1-15%)",IF(O227&lt;=30,"Medium (16-30%)","High (&gt;30%)")))</f>
        <v>Low (1-15%)</v>
      </c>
      <c r="AD227" s="1" t="str">
        <f aca="false">IF(V227&lt;0,"Loss Making",IF(V227&lt;20,"Low Margin","Healthy Margin"))</f>
        <v>Healthy Margin</v>
      </c>
      <c r="AE227" s="1" t="str">
        <f aca="false">TEXT(DATE(VALUE(RIGHT(B227,4)),VALUE(MID(B227,4,2)),VALUE(LEFT(B227,2))),"MMM-YYYY")</f>
        <v>Jan-2023</v>
      </c>
      <c r="AF227" s="1" t="n">
        <f aca="false">VALUE(RIGHT(B227,4))</f>
        <v>2023</v>
      </c>
      <c r="AG227" s="1" t="str">
        <f aca="false">CHOOSE(ROUNDUP(VALUE(MID(B227,4,2))/3,0),"Q1","Q2","Q3","Q4")</f>
        <v>Q1</v>
      </c>
    </row>
    <row r="228" customFormat="false" ht="15" hidden="false" customHeight="true" outlineLevel="0" collapsed="false">
      <c r="A228" s="1" t="s">
        <v>571</v>
      </c>
      <c r="B228" s="1" t="s">
        <v>572</v>
      </c>
      <c r="C228" s="1" t="s">
        <v>43</v>
      </c>
      <c r="D228" s="1" t="s">
        <v>94</v>
      </c>
      <c r="E228" s="1" t="s">
        <v>101</v>
      </c>
      <c r="F228" s="1" t="s">
        <v>46</v>
      </c>
      <c r="G228" s="1" t="s">
        <v>47</v>
      </c>
      <c r="H228" s="1" t="s">
        <v>33</v>
      </c>
      <c r="I228" s="1" t="s">
        <v>83</v>
      </c>
      <c r="J228" s="1" t="s">
        <v>77</v>
      </c>
      <c r="K228" s="1" t="s">
        <v>90</v>
      </c>
      <c r="L228" s="1" t="s">
        <v>85</v>
      </c>
      <c r="M228" s="1" t="s">
        <v>62</v>
      </c>
      <c r="N228" s="1" t="n">
        <v>14999</v>
      </c>
      <c r="O228" s="1" t="n">
        <v>30</v>
      </c>
      <c r="P228" s="1" t="n">
        <v>4499.7</v>
      </c>
      <c r="Q228" s="1" t="n">
        <v>10499.3</v>
      </c>
      <c r="R228" s="1" t="n">
        <v>1889.87</v>
      </c>
      <c r="S228" s="1" t="n">
        <v>8609.43</v>
      </c>
      <c r="T228" s="1" t="n">
        <v>3574.05</v>
      </c>
      <c r="U228" s="1" t="n">
        <v>5035.38</v>
      </c>
      <c r="V228" s="1" t="n">
        <v>58.49</v>
      </c>
      <c r="W228" s="1" t="s">
        <v>40</v>
      </c>
      <c r="Y228" s="1" t="s">
        <v>39</v>
      </c>
      <c r="Z228" s="1" t="n">
        <v>1</v>
      </c>
      <c r="AA228" s="1" t="str">
        <f aca="false">TRIM(PROPER(F228))</f>
        <v>Mangaluru</v>
      </c>
      <c r="AB228" s="1" t="str">
        <f aca="false">TRIM(PROPER(C228))</f>
        <v>Meritnation</v>
      </c>
      <c r="AC228" s="1" t="str">
        <f aca="false">IF(O228=0,"No Discount",IF(O228&lt;=15,"Low (1-15%)",IF(O228&lt;=30,"Medium (16-30%)","High (&gt;30%)")))</f>
        <v>Medium (16-30%)</v>
      </c>
      <c r="AD228" s="1" t="str">
        <f aca="false">IF(V228&lt;0,"Loss Making",IF(V228&lt;20,"Low Margin","Healthy Margin"))</f>
        <v>Healthy Margin</v>
      </c>
      <c r="AE228" s="1" t="str">
        <f aca="false">TEXT(DATE(VALUE(RIGHT(B228,4)),VALUE(MID(B228,4,2)),VALUE(LEFT(B228,2))),"MMM-YYYY")</f>
        <v>Oct-2024</v>
      </c>
      <c r="AF228" s="1" t="n">
        <f aca="false">VALUE(RIGHT(B228,4))</f>
        <v>2024</v>
      </c>
      <c r="AG228" s="1" t="str">
        <f aca="false">CHOOSE(ROUNDUP(VALUE(MID(B228,4,2))/3,0),"Q1","Q2","Q3","Q4")</f>
        <v>Q4</v>
      </c>
    </row>
    <row r="229" customFormat="false" ht="15" hidden="false" customHeight="true" outlineLevel="0" collapsed="false">
      <c r="A229" s="1" t="s">
        <v>573</v>
      </c>
      <c r="B229" s="1" t="s">
        <v>574</v>
      </c>
      <c r="C229" s="1" t="s">
        <v>100</v>
      </c>
      <c r="D229" s="1" t="s">
        <v>29</v>
      </c>
      <c r="E229" s="1" t="s">
        <v>182</v>
      </c>
      <c r="F229" s="1" t="s">
        <v>55</v>
      </c>
      <c r="G229" s="1" t="s">
        <v>56</v>
      </c>
      <c r="H229" s="1" t="s">
        <v>57</v>
      </c>
      <c r="I229" s="1" t="s">
        <v>83</v>
      </c>
      <c r="J229" s="1" t="s">
        <v>77</v>
      </c>
      <c r="K229" s="1" t="s">
        <v>112</v>
      </c>
      <c r="L229" s="1" t="s">
        <v>61</v>
      </c>
      <c r="M229" s="1" t="s">
        <v>38</v>
      </c>
      <c r="N229" s="1" t="n">
        <v>34999</v>
      </c>
      <c r="O229" s="1" t="n">
        <v>10</v>
      </c>
      <c r="P229" s="1" t="n">
        <v>3499.9</v>
      </c>
      <c r="Q229" s="1" t="n">
        <v>31499.1</v>
      </c>
      <c r="R229" s="1" t="n">
        <v>5669.84</v>
      </c>
      <c r="S229" s="1" t="n">
        <v>25829.26</v>
      </c>
      <c r="T229" s="1" t="n">
        <v>10483.34</v>
      </c>
      <c r="U229" s="1" t="n">
        <v>15345.92</v>
      </c>
      <c r="V229" s="1" t="n">
        <v>59.41</v>
      </c>
      <c r="W229" s="1" t="s">
        <v>39</v>
      </c>
      <c r="X229" s="1" t="n">
        <v>3.6</v>
      </c>
      <c r="Y229" s="1" t="s">
        <v>40</v>
      </c>
      <c r="Z229" s="1" t="n">
        <v>0</v>
      </c>
      <c r="AA229" s="1" t="str">
        <f aca="false">TRIM(PROPER(F229))</f>
        <v>Ghaziabad</v>
      </c>
      <c r="AB229" s="1" t="str">
        <f aca="false">TRIM(PROPER(C229))</f>
        <v>Physics Wallah</v>
      </c>
      <c r="AC229" s="1" t="str">
        <f aca="false">IF(O229=0,"No Discount",IF(O229&lt;=15,"Low (1-15%)",IF(O229&lt;=30,"Medium (16-30%)","High (&gt;30%)")))</f>
        <v>Low (1-15%)</v>
      </c>
      <c r="AD229" s="1" t="str">
        <f aca="false">IF(V229&lt;0,"Loss Making",IF(V229&lt;20,"Low Margin","Healthy Margin"))</f>
        <v>Healthy Margin</v>
      </c>
      <c r="AE229" s="1" t="str">
        <f aca="false">TEXT(DATE(VALUE(RIGHT(B229,4)),VALUE(MID(B229,4,2)),VALUE(LEFT(B229,2))),"MMM-YYYY")</f>
        <v>Jun-2024</v>
      </c>
      <c r="AF229" s="1" t="n">
        <f aca="false">VALUE(RIGHT(B229,4))</f>
        <v>2024</v>
      </c>
      <c r="AG229" s="1" t="str">
        <f aca="false">CHOOSE(ROUNDUP(VALUE(MID(B229,4,2))/3,0),"Q1","Q2","Q3","Q4")</f>
        <v>Q2</v>
      </c>
    </row>
    <row r="230" customFormat="false" ht="15" hidden="false" customHeight="true" outlineLevel="0" collapsed="false">
      <c r="A230" s="1" t="s">
        <v>575</v>
      </c>
      <c r="B230" s="1" t="s">
        <v>576</v>
      </c>
      <c r="C230" s="1" t="s">
        <v>128</v>
      </c>
      <c r="D230" s="1" t="s">
        <v>44</v>
      </c>
      <c r="E230" s="1" t="s">
        <v>45</v>
      </c>
      <c r="F230" s="1" t="s">
        <v>82</v>
      </c>
      <c r="G230" s="1" t="s">
        <v>56</v>
      </c>
      <c r="H230" s="1" t="s">
        <v>69</v>
      </c>
      <c r="I230" s="1" t="s">
        <v>34</v>
      </c>
      <c r="J230" s="1" t="s">
        <v>70</v>
      </c>
      <c r="K230" s="1" t="s">
        <v>104</v>
      </c>
      <c r="L230" s="1" t="s">
        <v>85</v>
      </c>
      <c r="M230" s="1" t="s">
        <v>50</v>
      </c>
      <c r="N230" s="1" t="n">
        <v>11999</v>
      </c>
      <c r="O230" s="1" t="n">
        <v>30</v>
      </c>
      <c r="P230" s="1" t="n">
        <v>3599.7</v>
      </c>
      <c r="Q230" s="1" t="n">
        <v>8399.3</v>
      </c>
      <c r="R230" s="1" t="n">
        <v>1511.87</v>
      </c>
      <c r="S230" s="1" t="n">
        <v>6887.43</v>
      </c>
      <c r="T230" s="1" t="n">
        <v>2882.46</v>
      </c>
      <c r="U230" s="1" t="n">
        <v>4004.97</v>
      </c>
      <c r="V230" s="1" t="n">
        <v>58.15</v>
      </c>
      <c r="W230" s="1" t="s">
        <v>39</v>
      </c>
      <c r="X230" s="1" t="n">
        <v>3.6</v>
      </c>
      <c r="Y230" s="1" t="s">
        <v>40</v>
      </c>
      <c r="Z230" s="1" t="n">
        <v>0</v>
      </c>
      <c r="AA230" s="1" t="str">
        <f aca="false">TRIM(PROPER(F230))</f>
        <v>Gurugram</v>
      </c>
      <c r="AB230" s="1" t="str">
        <f aca="false">TRIM(PROPER(C230))</f>
        <v>Great Learning</v>
      </c>
      <c r="AC230" s="1" t="str">
        <f aca="false">IF(O230=0,"No Discount",IF(O230&lt;=15,"Low (1-15%)",IF(O230&lt;=30,"Medium (16-30%)","High (&gt;30%)")))</f>
        <v>Medium (16-30%)</v>
      </c>
      <c r="AD230" s="1" t="str">
        <f aca="false">IF(V230&lt;0,"Loss Making",IF(V230&lt;20,"Low Margin","Healthy Margin"))</f>
        <v>Healthy Margin</v>
      </c>
      <c r="AE230" s="1" t="str">
        <f aca="false">TEXT(DATE(VALUE(RIGHT(B230,4)),VALUE(MID(B230,4,2)),VALUE(LEFT(B230,2))),"MMM-YYYY")</f>
        <v>Aug-2024</v>
      </c>
      <c r="AF230" s="1" t="n">
        <f aca="false">VALUE(RIGHT(B230,4))</f>
        <v>2024</v>
      </c>
      <c r="AG230" s="1" t="str">
        <f aca="false">CHOOSE(ROUNDUP(VALUE(MID(B230,4,2))/3,0),"Q1","Q2","Q3","Q4")</f>
        <v>Q3</v>
      </c>
    </row>
    <row r="231" customFormat="false" ht="15" hidden="false" customHeight="true" outlineLevel="0" collapsed="false">
      <c r="A231" s="1" t="s">
        <v>577</v>
      </c>
      <c r="B231" s="1" t="s">
        <v>578</v>
      </c>
      <c r="C231" s="1" t="s">
        <v>100</v>
      </c>
      <c r="D231" s="1" t="s">
        <v>168</v>
      </c>
      <c r="E231" s="1" t="s">
        <v>328</v>
      </c>
      <c r="F231" s="1" t="s">
        <v>205</v>
      </c>
      <c r="G231" s="1" t="s">
        <v>56</v>
      </c>
      <c r="H231" s="1" t="s">
        <v>69</v>
      </c>
      <c r="I231" s="1" t="s">
        <v>83</v>
      </c>
      <c r="J231" s="1" t="s">
        <v>131</v>
      </c>
      <c r="K231" s="1" t="s">
        <v>112</v>
      </c>
      <c r="L231" s="1" t="s">
        <v>49</v>
      </c>
      <c r="M231" s="1" t="s">
        <v>62</v>
      </c>
      <c r="N231" s="1" t="n">
        <v>8999</v>
      </c>
      <c r="O231" s="1" t="n">
        <v>10</v>
      </c>
      <c r="P231" s="1" t="n">
        <v>899.9</v>
      </c>
      <c r="Q231" s="1" t="n">
        <v>8099.1</v>
      </c>
      <c r="R231" s="1" t="n">
        <v>1457.84</v>
      </c>
      <c r="S231" s="1" t="n">
        <v>6641.26</v>
      </c>
      <c r="T231" s="1" t="n">
        <v>2135.63</v>
      </c>
      <c r="U231" s="1" t="n">
        <v>4505.63</v>
      </c>
      <c r="V231" s="1" t="n">
        <v>67.84</v>
      </c>
      <c r="W231" s="1" t="s">
        <v>39</v>
      </c>
      <c r="Y231" s="1" t="s">
        <v>40</v>
      </c>
      <c r="Z231" s="1" t="n">
        <v>1</v>
      </c>
      <c r="AA231" s="1" t="str">
        <f aca="false">TRIM(PROPER(F231))</f>
        <v>New Delhi</v>
      </c>
      <c r="AB231" s="1" t="str">
        <f aca="false">TRIM(PROPER(C231))</f>
        <v>Physics Wallah</v>
      </c>
      <c r="AC231" s="1" t="str">
        <f aca="false">IF(O231=0,"No Discount",IF(O231&lt;=15,"Low (1-15%)",IF(O231&lt;=30,"Medium (16-30%)","High (&gt;30%)")))</f>
        <v>Low (1-15%)</v>
      </c>
      <c r="AD231" s="1" t="str">
        <f aca="false">IF(V231&lt;0,"Loss Making",IF(V231&lt;20,"Low Margin","Healthy Margin"))</f>
        <v>Healthy Margin</v>
      </c>
      <c r="AE231" s="1" t="str">
        <f aca="false">TEXT(DATE(VALUE(RIGHT(B231,4)),VALUE(MID(B231,4,2)),VALUE(LEFT(B231,2))),"MMM-YYYY")</f>
        <v>Sep-2024</v>
      </c>
      <c r="AF231" s="1" t="n">
        <f aca="false">VALUE(RIGHT(B231,4))</f>
        <v>2024</v>
      </c>
      <c r="AG231" s="1" t="str">
        <f aca="false">CHOOSE(ROUNDUP(VALUE(MID(B231,4,2))/3,0),"Q1","Q2","Q3","Q4")</f>
        <v>Q3</v>
      </c>
    </row>
    <row r="232" customFormat="false" ht="15" hidden="false" customHeight="true" outlineLevel="0" collapsed="false">
      <c r="A232" s="1" t="s">
        <v>579</v>
      </c>
      <c r="B232" s="1" t="s">
        <v>580</v>
      </c>
      <c r="C232" s="1" t="s">
        <v>100</v>
      </c>
      <c r="D232" s="1" t="s">
        <v>143</v>
      </c>
      <c r="E232" s="1" t="s">
        <v>144</v>
      </c>
      <c r="F232" s="1" t="s">
        <v>244</v>
      </c>
      <c r="G232" s="1" t="s">
        <v>97</v>
      </c>
      <c r="H232" s="1" t="s">
        <v>57</v>
      </c>
      <c r="I232" s="1" t="s">
        <v>58</v>
      </c>
      <c r="J232" s="1" t="s">
        <v>131</v>
      </c>
      <c r="K232" s="1" t="s">
        <v>36</v>
      </c>
      <c r="L232" s="1" t="s">
        <v>113</v>
      </c>
      <c r="M232" s="1" t="s">
        <v>50</v>
      </c>
      <c r="N232" s="1" t="n">
        <v>12999</v>
      </c>
      <c r="O232" s="1" t="n">
        <v>0</v>
      </c>
      <c r="P232" s="1" t="n">
        <v>0</v>
      </c>
      <c r="Q232" s="1" t="n">
        <v>12999</v>
      </c>
      <c r="R232" s="1" t="n">
        <v>2339.82</v>
      </c>
      <c r="S232" s="1" t="n">
        <v>10659.18</v>
      </c>
      <c r="T232" s="1" t="n">
        <v>4954.58</v>
      </c>
      <c r="U232" s="1" t="n">
        <v>5704.6</v>
      </c>
      <c r="V232" s="1" t="n">
        <v>53.52</v>
      </c>
      <c r="W232" s="1" t="s">
        <v>39</v>
      </c>
      <c r="X232" s="1" t="n">
        <v>3.7</v>
      </c>
      <c r="Y232" s="1" t="s">
        <v>40</v>
      </c>
      <c r="Z232" s="1" t="n">
        <v>1</v>
      </c>
      <c r="AA232" s="1" t="str">
        <f aca="false">TRIM(PROPER(F232))</f>
        <v>Nagpur</v>
      </c>
      <c r="AB232" s="1" t="str">
        <f aca="false">TRIM(PROPER(C232))</f>
        <v>Physics Wallah</v>
      </c>
      <c r="AC232" s="1" t="str">
        <f aca="false">IF(O232=0,"No Discount",IF(O232&lt;=15,"Low (1-15%)",IF(O232&lt;=30,"Medium (16-30%)","High (&gt;30%)")))</f>
        <v>No Discount</v>
      </c>
      <c r="AD232" s="1" t="str">
        <f aca="false">IF(V232&lt;0,"Loss Making",IF(V232&lt;20,"Low Margin","Healthy Margin"))</f>
        <v>Healthy Margin</v>
      </c>
      <c r="AE232" s="1" t="str">
        <f aca="false">TEXT(DATE(VALUE(RIGHT(B232,4)),VALUE(MID(B232,4,2)),VALUE(LEFT(B232,2))),"MMM-YYYY")</f>
        <v>Mar-2023</v>
      </c>
      <c r="AF232" s="1" t="n">
        <f aca="false">VALUE(RIGHT(B232,4))</f>
        <v>2023</v>
      </c>
      <c r="AG232" s="1" t="str">
        <f aca="false">CHOOSE(ROUNDUP(VALUE(MID(B232,4,2))/3,0),"Q1","Q2","Q3","Q4")</f>
        <v>Q1</v>
      </c>
    </row>
    <row r="233" customFormat="false" ht="15" hidden="false" customHeight="true" outlineLevel="0" collapsed="false">
      <c r="A233" s="1" t="s">
        <v>581</v>
      </c>
      <c r="B233" s="1" t="s">
        <v>155</v>
      </c>
      <c r="C233" s="1" t="s">
        <v>178</v>
      </c>
      <c r="D233" s="1" t="s">
        <v>168</v>
      </c>
      <c r="E233" s="1" t="s">
        <v>172</v>
      </c>
      <c r="F233" s="1" t="s">
        <v>205</v>
      </c>
      <c r="G233" s="1" t="s">
        <v>56</v>
      </c>
      <c r="H233" s="1" t="s">
        <v>69</v>
      </c>
      <c r="I233" s="1" t="s">
        <v>83</v>
      </c>
      <c r="J233" s="1" t="s">
        <v>59</v>
      </c>
      <c r="K233" s="1" t="s">
        <v>60</v>
      </c>
      <c r="L233" s="1" t="s">
        <v>85</v>
      </c>
      <c r="M233" s="1" t="s">
        <v>38</v>
      </c>
      <c r="N233" s="1" t="n">
        <v>6999</v>
      </c>
      <c r="O233" s="1" t="n">
        <v>10</v>
      </c>
      <c r="P233" s="1" t="n">
        <v>699.9</v>
      </c>
      <c r="Q233" s="1" t="n">
        <v>6299.1</v>
      </c>
      <c r="R233" s="1" t="n">
        <v>1133.84</v>
      </c>
      <c r="S233" s="1" t="n">
        <v>5165.26</v>
      </c>
      <c r="T233" s="1" t="n">
        <v>2291.45</v>
      </c>
      <c r="U233" s="1" t="n">
        <v>2873.81</v>
      </c>
      <c r="V233" s="1" t="n">
        <v>55.64</v>
      </c>
      <c r="W233" s="1" t="s">
        <v>40</v>
      </c>
      <c r="Y233" s="1" t="s">
        <v>40</v>
      </c>
      <c r="Z233" s="1" t="n">
        <v>4</v>
      </c>
      <c r="AA233" s="1" t="str">
        <f aca="false">TRIM(PROPER(F233))</f>
        <v>New Delhi</v>
      </c>
      <c r="AB233" s="1" t="str">
        <f aca="false">TRIM(PROPER(C233))</f>
        <v>Leverage Edu</v>
      </c>
      <c r="AC233" s="1" t="str">
        <f aca="false">IF(O233=0,"No Discount",IF(O233&lt;=15,"Low (1-15%)",IF(O233&lt;=30,"Medium (16-30%)","High (&gt;30%)")))</f>
        <v>Low (1-15%)</v>
      </c>
      <c r="AD233" s="1" t="str">
        <f aca="false">IF(V233&lt;0,"Loss Making",IF(V233&lt;20,"Low Margin","Healthy Margin"))</f>
        <v>Healthy Margin</v>
      </c>
      <c r="AE233" s="1" t="str">
        <f aca="false">TEXT(DATE(VALUE(RIGHT(B233,4)),VALUE(MID(B233,4,2)),VALUE(LEFT(B233,2))),"MMM-YYYY")</f>
        <v>Oct-2023</v>
      </c>
      <c r="AF233" s="1" t="n">
        <f aca="false">VALUE(RIGHT(B233,4))</f>
        <v>2023</v>
      </c>
      <c r="AG233" s="1" t="str">
        <f aca="false">CHOOSE(ROUNDUP(VALUE(MID(B233,4,2))/3,0),"Q1","Q2","Q3","Q4")</f>
        <v>Q4</v>
      </c>
    </row>
    <row r="234" customFormat="false" ht="15" hidden="false" customHeight="true" outlineLevel="0" collapsed="false">
      <c r="A234" s="1" t="s">
        <v>582</v>
      </c>
      <c r="B234" s="1" t="s">
        <v>583</v>
      </c>
      <c r="C234" s="1" t="s">
        <v>249</v>
      </c>
      <c r="D234" s="1" t="s">
        <v>94</v>
      </c>
      <c r="E234" s="1" t="s">
        <v>101</v>
      </c>
      <c r="F234" s="1" t="s">
        <v>82</v>
      </c>
      <c r="G234" s="1" t="s">
        <v>56</v>
      </c>
      <c r="H234" s="1" t="s">
        <v>69</v>
      </c>
      <c r="I234" s="1" t="s">
        <v>83</v>
      </c>
      <c r="J234" s="1" t="s">
        <v>131</v>
      </c>
      <c r="K234" s="1" t="s">
        <v>60</v>
      </c>
      <c r="L234" s="1" t="s">
        <v>49</v>
      </c>
      <c r="M234" s="1" t="s">
        <v>38</v>
      </c>
      <c r="N234" s="1" t="n">
        <v>14999</v>
      </c>
      <c r="O234" s="1" t="n">
        <v>40</v>
      </c>
      <c r="P234" s="1" t="n">
        <v>5999.6</v>
      </c>
      <c r="Q234" s="1" t="n">
        <v>8999.4</v>
      </c>
      <c r="R234" s="1" t="n">
        <v>1619.89</v>
      </c>
      <c r="S234" s="1" t="n">
        <v>7379.51</v>
      </c>
      <c r="T234" s="1" t="n">
        <v>4357.26</v>
      </c>
      <c r="U234" s="1" t="n">
        <v>3022.25</v>
      </c>
      <c r="V234" s="1" t="n">
        <v>40.95</v>
      </c>
      <c r="W234" s="1" t="s">
        <v>39</v>
      </c>
      <c r="X234" s="1" t="n">
        <v>2.6</v>
      </c>
      <c r="Y234" s="1" t="s">
        <v>40</v>
      </c>
      <c r="Z234" s="1" t="n">
        <v>0</v>
      </c>
      <c r="AA234" s="1" t="str">
        <f aca="false">TRIM(PROPER(F234))</f>
        <v>Gurugram</v>
      </c>
      <c r="AB234" s="1" t="str">
        <f aca="false">TRIM(PROPER(C234))</f>
        <v>Whitehat Jr</v>
      </c>
      <c r="AC234" s="1" t="str">
        <f aca="false">IF(O234=0,"No Discount",IF(O234&lt;=15,"Low (1-15%)",IF(O234&lt;=30,"Medium (16-30%)","High (&gt;30%)")))</f>
        <v>High (&gt;30%)</v>
      </c>
      <c r="AD234" s="1" t="str">
        <f aca="false">IF(V234&lt;0,"Loss Making",IF(V234&lt;20,"Low Margin","Healthy Margin"))</f>
        <v>Healthy Margin</v>
      </c>
      <c r="AE234" s="1" t="str">
        <f aca="false">TEXT(DATE(VALUE(RIGHT(B234,4)),VALUE(MID(B234,4,2)),VALUE(LEFT(B234,2))),"MMM-YYYY")</f>
        <v>Oct-2024</v>
      </c>
      <c r="AF234" s="1" t="n">
        <f aca="false">VALUE(RIGHT(B234,4))</f>
        <v>2024</v>
      </c>
      <c r="AG234" s="1" t="str">
        <f aca="false">CHOOSE(ROUNDUP(VALUE(MID(B234,4,2))/3,0),"Q1","Q2","Q3","Q4")</f>
        <v>Q4</v>
      </c>
    </row>
    <row r="235" customFormat="false" ht="15" hidden="false" customHeight="true" outlineLevel="0" collapsed="false">
      <c r="A235" s="1" t="s">
        <v>584</v>
      </c>
      <c r="B235" s="1" t="s">
        <v>585</v>
      </c>
      <c r="C235" s="1" t="s">
        <v>100</v>
      </c>
      <c r="D235" s="1" t="s">
        <v>123</v>
      </c>
      <c r="E235" s="1" t="s">
        <v>233</v>
      </c>
      <c r="F235" s="1" t="s">
        <v>96</v>
      </c>
      <c r="G235" s="1" t="s">
        <v>97</v>
      </c>
      <c r="H235" s="1" t="s">
        <v>69</v>
      </c>
      <c r="I235" s="1" t="s">
        <v>83</v>
      </c>
      <c r="J235" s="1" t="s">
        <v>59</v>
      </c>
      <c r="K235" s="1" t="s">
        <v>104</v>
      </c>
      <c r="L235" s="1" t="s">
        <v>113</v>
      </c>
      <c r="M235" s="1" t="s">
        <v>50</v>
      </c>
      <c r="N235" s="1" t="n">
        <v>8999</v>
      </c>
      <c r="O235" s="1" t="n">
        <v>0</v>
      </c>
      <c r="P235" s="1" t="n">
        <v>0</v>
      </c>
      <c r="Q235" s="1" t="n">
        <v>8999</v>
      </c>
      <c r="R235" s="1" t="n">
        <v>1619.82</v>
      </c>
      <c r="S235" s="1" t="n">
        <v>7379.18</v>
      </c>
      <c r="T235" s="1" t="n">
        <v>3282.83</v>
      </c>
      <c r="U235" s="1" t="n">
        <v>4096.35</v>
      </c>
      <c r="V235" s="1" t="n">
        <v>55.51</v>
      </c>
      <c r="W235" s="1" t="s">
        <v>39</v>
      </c>
      <c r="X235" s="1" t="n">
        <v>3.4</v>
      </c>
      <c r="Y235" s="1" t="s">
        <v>40</v>
      </c>
      <c r="Z235" s="1" t="n">
        <v>0</v>
      </c>
      <c r="AA235" s="1" t="str">
        <f aca="false">TRIM(PROPER(F235))</f>
        <v>Pune</v>
      </c>
      <c r="AB235" s="1" t="str">
        <f aca="false">TRIM(PROPER(C235))</f>
        <v>Physics Wallah</v>
      </c>
      <c r="AC235" s="1" t="str">
        <f aca="false">IF(O235=0,"No Discount",IF(O235&lt;=15,"Low (1-15%)",IF(O235&lt;=30,"Medium (16-30%)","High (&gt;30%)")))</f>
        <v>No Discount</v>
      </c>
      <c r="AD235" s="1" t="str">
        <f aca="false">IF(V235&lt;0,"Loss Making",IF(V235&lt;20,"Low Margin","Healthy Margin"))</f>
        <v>Healthy Margin</v>
      </c>
      <c r="AE235" s="1" t="str">
        <f aca="false">TEXT(DATE(VALUE(RIGHT(B235,4)),VALUE(MID(B235,4,2)),VALUE(LEFT(B235,2))),"MMM-YYYY")</f>
        <v>Feb-2023</v>
      </c>
      <c r="AF235" s="1" t="n">
        <f aca="false">VALUE(RIGHT(B235,4))</f>
        <v>2023</v>
      </c>
      <c r="AG235" s="1" t="str">
        <f aca="false">CHOOSE(ROUNDUP(VALUE(MID(B235,4,2))/3,0),"Q1","Q2","Q3","Q4")</f>
        <v>Q1</v>
      </c>
    </row>
    <row r="236" customFormat="false" ht="15" hidden="false" customHeight="true" outlineLevel="0" collapsed="false">
      <c r="A236" s="1" t="s">
        <v>586</v>
      </c>
      <c r="B236" s="1" t="s">
        <v>587</v>
      </c>
      <c r="C236" s="1" t="s">
        <v>128</v>
      </c>
      <c r="D236" s="1" t="s">
        <v>29</v>
      </c>
      <c r="E236" s="1" t="s">
        <v>182</v>
      </c>
      <c r="F236" s="1" t="s">
        <v>125</v>
      </c>
      <c r="G236" s="1" t="s">
        <v>108</v>
      </c>
      <c r="H236" s="1" t="s">
        <v>69</v>
      </c>
      <c r="I236" s="1" t="s">
        <v>34</v>
      </c>
      <c r="J236" s="1" t="s">
        <v>35</v>
      </c>
      <c r="K236" s="1" t="s">
        <v>60</v>
      </c>
      <c r="L236" s="1" t="s">
        <v>37</v>
      </c>
      <c r="M236" s="1" t="s">
        <v>50</v>
      </c>
      <c r="N236" s="1" t="n">
        <v>34999</v>
      </c>
      <c r="O236" s="1" t="n">
        <v>30</v>
      </c>
      <c r="P236" s="1" t="n">
        <v>10499.7</v>
      </c>
      <c r="Q236" s="1" t="n">
        <v>24499.3</v>
      </c>
      <c r="R236" s="1" t="n">
        <v>4409.87</v>
      </c>
      <c r="S236" s="1" t="n">
        <v>20089.43</v>
      </c>
      <c r="T236" s="1" t="n">
        <v>6803.24</v>
      </c>
      <c r="U236" s="1" t="n">
        <v>13286.19</v>
      </c>
      <c r="V236" s="1" t="n">
        <v>66.14</v>
      </c>
      <c r="W236" s="1" t="s">
        <v>40</v>
      </c>
      <c r="Y236" s="1" t="s">
        <v>40</v>
      </c>
      <c r="Z236" s="1" t="n">
        <v>0</v>
      </c>
      <c r="AA236" s="1" t="str">
        <f aca="false">TRIM(PROPER(F236))</f>
        <v>Chennai</v>
      </c>
      <c r="AB236" s="1" t="str">
        <f aca="false">TRIM(PROPER(C236))</f>
        <v>Great Learning</v>
      </c>
      <c r="AC236" s="1" t="str">
        <f aca="false">IF(O236=0,"No Discount",IF(O236&lt;=15,"Low (1-15%)",IF(O236&lt;=30,"Medium (16-30%)","High (&gt;30%)")))</f>
        <v>Medium (16-30%)</v>
      </c>
      <c r="AD236" s="1" t="str">
        <f aca="false">IF(V236&lt;0,"Loss Making",IF(V236&lt;20,"Low Margin","Healthy Margin"))</f>
        <v>Healthy Margin</v>
      </c>
      <c r="AE236" s="1" t="str">
        <f aca="false">TEXT(DATE(VALUE(RIGHT(B236,4)),VALUE(MID(B236,4,2)),VALUE(LEFT(B236,2))),"MMM-YYYY")</f>
        <v>Apr-2023</v>
      </c>
      <c r="AF236" s="1" t="n">
        <f aca="false">VALUE(RIGHT(B236,4))</f>
        <v>2023</v>
      </c>
      <c r="AG236" s="1" t="str">
        <f aca="false">CHOOSE(ROUNDUP(VALUE(MID(B236,4,2))/3,0),"Q1","Q2","Q3","Q4")</f>
        <v>Q2</v>
      </c>
    </row>
    <row r="237" customFormat="false" ht="15" hidden="false" customHeight="true" outlineLevel="0" collapsed="false">
      <c r="A237" s="1" t="s">
        <v>588</v>
      </c>
      <c r="B237" s="1" t="s">
        <v>589</v>
      </c>
      <c r="C237" s="1" t="s">
        <v>28</v>
      </c>
      <c r="D237" s="1" t="s">
        <v>53</v>
      </c>
      <c r="E237" s="1" t="s">
        <v>116</v>
      </c>
      <c r="F237" s="1" t="s">
        <v>89</v>
      </c>
      <c r="G237" s="1" t="s">
        <v>68</v>
      </c>
      <c r="H237" s="1" t="s">
        <v>33</v>
      </c>
      <c r="I237" s="1" t="s">
        <v>58</v>
      </c>
      <c r="J237" s="1" t="s">
        <v>77</v>
      </c>
      <c r="K237" s="1" t="s">
        <v>60</v>
      </c>
      <c r="L237" s="1" t="s">
        <v>49</v>
      </c>
      <c r="M237" s="1" t="s">
        <v>50</v>
      </c>
      <c r="N237" s="1" t="n">
        <v>9999</v>
      </c>
      <c r="O237" s="1" t="n">
        <v>40</v>
      </c>
      <c r="P237" s="1" t="n">
        <v>3999.6</v>
      </c>
      <c r="Q237" s="1" t="n">
        <v>5999.4</v>
      </c>
      <c r="R237" s="1" t="n">
        <v>1079.89</v>
      </c>
      <c r="S237" s="1" t="n">
        <v>4919.51</v>
      </c>
      <c r="T237" s="1" t="n">
        <v>2741</v>
      </c>
      <c r="U237" s="1" t="n">
        <v>2178.51</v>
      </c>
      <c r="V237" s="1" t="n">
        <v>44.28</v>
      </c>
      <c r="W237" s="1" t="s">
        <v>40</v>
      </c>
      <c r="Y237" s="1" t="s">
        <v>40</v>
      </c>
      <c r="Z237" s="1" t="n">
        <v>0</v>
      </c>
      <c r="AA237" s="1" t="str">
        <f aca="false">TRIM(PROPER(F237))</f>
        <v>Vadodara</v>
      </c>
      <c r="AB237" s="1" t="str">
        <f aca="false">TRIM(PROPER(C237))</f>
        <v>Embibe</v>
      </c>
      <c r="AC237" s="1" t="str">
        <f aca="false">IF(O237=0,"No Discount",IF(O237&lt;=15,"Low (1-15%)",IF(O237&lt;=30,"Medium (16-30%)","High (&gt;30%)")))</f>
        <v>High (&gt;30%)</v>
      </c>
      <c r="AD237" s="1" t="str">
        <f aca="false">IF(V237&lt;0,"Loss Making",IF(V237&lt;20,"Low Margin","Healthy Margin"))</f>
        <v>Healthy Margin</v>
      </c>
      <c r="AE237" s="1" t="str">
        <f aca="false">TEXT(DATE(VALUE(RIGHT(B237,4)),VALUE(MID(B237,4,2)),VALUE(LEFT(B237,2))),"MMM-YYYY")</f>
        <v>Apr-2024</v>
      </c>
      <c r="AF237" s="1" t="n">
        <f aca="false">VALUE(RIGHT(B237,4))</f>
        <v>2024</v>
      </c>
      <c r="AG237" s="1" t="str">
        <f aca="false">CHOOSE(ROUNDUP(VALUE(MID(B237,4,2))/3,0),"Q1","Q2","Q3","Q4")</f>
        <v>Q2</v>
      </c>
    </row>
    <row r="238" customFormat="false" ht="15" hidden="false" customHeight="true" outlineLevel="0" collapsed="false">
      <c r="A238" s="1" t="s">
        <v>590</v>
      </c>
      <c r="B238" s="1" t="s">
        <v>591</v>
      </c>
      <c r="C238" s="1" t="s">
        <v>88</v>
      </c>
      <c r="D238" s="1" t="s">
        <v>44</v>
      </c>
      <c r="E238" s="1" t="s">
        <v>45</v>
      </c>
      <c r="F238" s="1" t="s">
        <v>184</v>
      </c>
      <c r="G238" s="1" t="s">
        <v>56</v>
      </c>
      <c r="H238" s="1" t="s">
        <v>57</v>
      </c>
      <c r="I238" s="1" t="s">
        <v>83</v>
      </c>
      <c r="J238" s="1" t="s">
        <v>35</v>
      </c>
      <c r="K238" s="1" t="s">
        <v>112</v>
      </c>
      <c r="L238" s="1" t="s">
        <v>49</v>
      </c>
      <c r="M238" s="1" t="s">
        <v>50</v>
      </c>
      <c r="N238" s="1" t="n">
        <v>11999</v>
      </c>
      <c r="O238" s="1" t="n">
        <v>30</v>
      </c>
      <c r="P238" s="1" t="n">
        <v>3599.7</v>
      </c>
      <c r="Q238" s="1" t="n">
        <v>8399.3</v>
      </c>
      <c r="R238" s="1" t="n">
        <v>1511.87</v>
      </c>
      <c r="S238" s="1" t="n">
        <v>6887.43</v>
      </c>
      <c r="T238" s="1" t="n">
        <v>3300</v>
      </c>
      <c r="U238" s="1" t="n">
        <v>3587.43</v>
      </c>
      <c r="V238" s="1" t="n">
        <v>52.09</v>
      </c>
      <c r="W238" s="1" t="s">
        <v>40</v>
      </c>
      <c r="Y238" s="1" t="s">
        <v>40</v>
      </c>
      <c r="Z238" s="1" t="n">
        <v>2</v>
      </c>
      <c r="AA238" s="1" t="str">
        <f aca="false">TRIM(PROPER(F238))</f>
        <v>Faridabad</v>
      </c>
      <c r="AB238" s="1" t="str">
        <f aca="false">TRIM(PROPER(C238))</f>
        <v>Byju'S</v>
      </c>
      <c r="AC238" s="1" t="str">
        <f aca="false">IF(O238=0,"No Discount",IF(O238&lt;=15,"Low (1-15%)",IF(O238&lt;=30,"Medium (16-30%)","High (&gt;30%)")))</f>
        <v>Medium (16-30%)</v>
      </c>
      <c r="AD238" s="1" t="str">
        <f aca="false">IF(V238&lt;0,"Loss Making",IF(V238&lt;20,"Low Margin","Healthy Margin"))</f>
        <v>Healthy Margin</v>
      </c>
      <c r="AE238" s="1" t="str">
        <f aca="false">TEXT(DATE(VALUE(RIGHT(B238,4)),VALUE(MID(B238,4,2)),VALUE(LEFT(B238,2))),"MMM-YYYY")</f>
        <v>May-2024</v>
      </c>
      <c r="AF238" s="1" t="n">
        <f aca="false">VALUE(RIGHT(B238,4))</f>
        <v>2024</v>
      </c>
      <c r="AG238" s="1" t="str">
        <f aca="false">CHOOSE(ROUNDUP(VALUE(MID(B238,4,2))/3,0),"Q1","Q2","Q3","Q4")</f>
        <v>Q2</v>
      </c>
    </row>
    <row r="239" customFormat="false" ht="15" hidden="false" customHeight="true" outlineLevel="0" collapsed="false">
      <c r="A239" s="1" t="s">
        <v>592</v>
      </c>
      <c r="B239" s="1" t="s">
        <v>470</v>
      </c>
      <c r="C239" s="1" t="s">
        <v>119</v>
      </c>
      <c r="D239" s="1" t="s">
        <v>94</v>
      </c>
      <c r="E239" s="1" t="s">
        <v>135</v>
      </c>
      <c r="F239" s="1" t="s">
        <v>153</v>
      </c>
      <c r="G239" s="1" t="s">
        <v>76</v>
      </c>
      <c r="H239" s="1" t="s">
        <v>33</v>
      </c>
      <c r="I239" s="1" t="s">
        <v>83</v>
      </c>
      <c r="J239" s="1" t="s">
        <v>77</v>
      </c>
      <c r="K239" s="1" t="s">
        <v>60</v>
      </c>
      <c r="L239" s="1" t="s">
        <v>113</v>
      </c>
      <c r="M239" s="1" t="s">
        <v>38</v>
      </c>
      <c r="N239" s="1" t="n">
        <v>9999</v>
      </c>
      <c r="O239" s="1" t="n">
        <v>0</v>
      </c>
      <c r="P239" s="1" t="n">
        <v>0</v>
      </c>
      <c r="Q239" s="1" t="n">
        <v>9999</v>
      </c>
      <c r="R239" s="1" t="n">
        <v>1799.82</v>
      </c>
      <c r="S239" s="1" t="n">
        <v>8199.18</v>
      </c>
      <c r="T239" s="1" t="n">
        <v>3406.51</v>
      </c>
      <c r="U239" s="1" t="n">
        <v>4792.67</v>
      </c>
      <c r="V239" s="1" t="n">
        <v>58.45</v>
      </c>
      <c r="W239" s="1" t="s">
        <v>40</v>
      </c>
      <c r="Y239" s="1" t="s">
        <v>40</v>
      </c>
      <c r="Z239" s="1" t="n">
        <v>1</v>
      </c>
      <c r="AA239" s="1" t="str">
        <f aca="false">TRIM(PROPER(F239))</f>
        <v>Howrah</v>
      </c>
      <c r="AB239" s="1" t="str">
        <f aca="false">TRIM(PROPER(C239))</f>
        <v>Simplilearn</v>
      </c>
      <c r="AC239" s="1" t="str">
        <f aca="false">IF(O239=0,"No Discount",IF(O239&lt;=15,"Low (1-15%)",IF(O239&lt;=30,"Medium (16-30%)","High (&gt;30%)")))</f>
        <v>No Discount</v>
      </c>
      <c r="AD239" s="1" t="str">
        <f aca="false">IF(V239&lt;0,"Loss Making",IF(V239&lt;20,"Low Margin","Healthy Margin"))</f>
        <v>Healthy Margin</v>
      </c>
      <c r="AE239" s="1" t="str">
        <f aca="false">TEXT(DATE(VALUE(RIGHT(B239,4)),VALUE(MID(B239,4,2)),VALUE(LEFT(B239,2))),"MMM-YYYY")</f>
        <v>Sep-2023</v>
      </c>
      <c r="AF239" s="1" t="n">
        <f aca="false">VALUE(RIGHT(B239,4))</f>
        <v>2023</v>
      </c>
      <c r="AG239" s="1" t="str">
        <f aca="false">CHOOSE(ROUNDUP(VALUE(MID(B239,4,2))/3,0),"Q1","Q2","Q3","Q4")</f>
        <v>Q3</v>
      </c>
    </row>
    <row r="240" customFormat="false" ht="15" hidden="false" customHeight="true" outlineLevel="0" collapsed="false">
      <c r="A240" s="1" t="s">
        <v>593</v>
      </c>
      <c r="B240" s="1" t="s">
        <v>594</v>
      </c>
      <c r="C240" s="1" t="s">
        <v>178</v>
      </c>
      <c r="D240" s="1" t="s">
        <v>168</v>
      </c>
      <c r="E240" s="1" t="s">
        <v>328</v>
      </c>
      <c r="F240" s="1" t="s">
        <v>102</v>
      </c>
      <c r="G240" s="1" t="s">
        <v>103</v>
      </c>
      <c r="H240" s="1" t="s">
        <v>33</v>
      </c>
      <c r="I240" s="1" t="s">
        <v>58</v>
      </c>
      <c r="J240" s="1" t="s">
        <v>70</v>
      </c>
      <c r="K240" s="1" t="s">
        <v>36</v>
      </c>
      <c r="L240" s="1" t="s">
        <v>49</v>
      </c>
      <c r="M240" s="1" t="s">
        <v>38</v>
      </c>
      <c r="N240" s="1" t="n">
        <v>8999</v>
      </c>
      <c r="O240" s="1" t="n">
        <v>0</v>
      </c>
      <c r="P240" s="1" t="n">
        <v>0</v>
      </c>
      <c r="Q240" s="1" t="n">
        <v>8999</v>
      </c>
      <c r="R240" s="1" t="n">
        <v>1619.82</v>
      </c>
      <c r="S240" s="1" t="n">
        <v>7379.18</v>
      </c>
      <c r="T240" s="1" t="n">
        <v>3746.23</v>
      </c>
      <c r="U240" s="1" t="n">
        <v>3632.95</v>
      </c>
      <c r="V240" s="1" t="n">
        <v>49.23</v>
      </c>
      <c r="W240" s="1" t="s">
        <v>39</v>
      </c>
      <c r="X240" s="1" t="n">
        <v>3.9</v>
      </c>
      <c r="Y240" s="1" t="s">
        <v>40</v>
      </c>
      <c r="Z240" s="1" t="n">
        <v>1</v>
      </c>
      <c r="AA240" s="1" t="str">
        <f aca="false">TRIM(PROPER(F240))</f>
        <v>Warangal</v>
      </c>
      <c r="AB240" s="1" t="str">
        <f aca="false">TRIM(PROPER(C240))</f>
        <v>Leverage Edu</v>
      </c>
      <c r="AC240" s="1" t="str">
        <f aca="false">IF(O240=0,"No Discount",IF(O240&lt;=15,"Low (1-15%)",IF(O240&lt;=30,"Medium (16-30%)","High (&gt;30%)")))</f>
        <v>No Discount</v>
      </c>
      <c r="AD240" s="1" t="str">
        <f aca="false">IF(V240&lt;0,"Loss Making",IF(V240&lt;20,"Low Margin","Healthy Margin"))</f>
        <v>Healthy Margin</v>
      </c>
      <c r="AE240" s="1" t="str">
        <f aca="false">TEXT(DATE(VALUE(RIGHT(B240,4)),VALUE(MID(B240,4,2)),VALUE(LEFT(B240,2))),"MMM-YYYY")</f>
        <v>Oct-2024</v>
      </c>
      <c r="AF240" s="1" t="n">
        <f aca="false">VALUE(RIGHT(B240,4))</f>
        <v>2024</v>
      </c>
      <c r="AG240" s="1" t="str">
        <f aca="false">CHOOSE(ROUNDUP(VALUE(MID(B240,4,2))/3,0),"Q1","Q2","Q3","Q4")</f>
        <v>Q4</v>
      </c>
    </row>
    <row r="241" customFormat="false" ht="15" hidden="false" customHeight="true" outlineLevel="0" collapsed="false">
      <c r="A241" s="1" t="s">
        <v>595</v>
      </c>
      <c r="B241" s="1" t="s">
        <v>596</v>
      </c>
      <c r="C241" s="1" t="s">
        <v>139</v>
      </c>
      <c r="D241" s="1" t="s">
        <v>44</v>
      </c>
      <c r="E241" s="1" t="s">
        <v>66</v>
      </c>
      <c r="F241" s="1" t="s">
        <v>120</v>
      </c>
      <c r="G241" s="1" t="s">
        <v>47</v>
      </c>
      <c r="H241" s="1" t="s">
        <v>57</v>
      </c>
      <c r="I241" s="1" t="s">
        <v>83</v>
      </c>
      <c r="J241" s="1" t="s">
        <v>77</v>
      </c>
      <c r="K241" s="1" t="s">
        <v>60</v>
      </c>
      <c r="L241" s="1" t="s">
        <v>85</v>
      </c>
      <c r="M241" s="1" t="s">
        <v>50</v>
      </c>
      <c r="N241" s="1" t="n">
        <v>12999</v>
      </c>
      <c r="O241" s="1" t="n">
        <v>10</v>
      </c>
      <c r="P241" s="1" t="n">
        <v>1299.9</v>
      </c>
      <c r="Q241" s="1" t="n">
        <v>11699.1</v>
      </c>
      <c r="R241" s="1" t="n">
        <v>2105.84</v>
      </c>
      <c r="S241" s="1" t="n">
        <v>9593.26</v>
      </c>
      <c r="T241" s="1" t="n">
        <v>4792.44</v>
      </c>
      <c r="U241" s="1" t="n">
        <v>4800.82</v>
      </c>
      <c r="V241" s="1" t="n">
        <v>50.04</v>
      </c>
      <c r="W241" s="1" t="s">
        <v>39</v>
      </c>
      <c r="X241" s="1" t="n">
        <v>3.2</v>
      </c>
      <c r="Y241" s="1" t="s">
        <v>40</v>
      </c>
      <c r="Z241" s="1" t="n">
        <v>0</v>
      </c>
      <c r="AA241" s="1" t="str">
        <f aca="false">TRIM(PROPER(F241))</f>
        <v>Mysuru</v>
      </c>
      <c r="AB241" s="1" t="str">
        <f aca="false">TRIM(PROPER(C241))</f>
        <v>Extramarks</v>
      </c>
      <c r="AC241" s="1" t="str">
        <f aca="false">IF(O241=0,"No Discount",IF(O241&lt;=15,"Low (1-15%)",IF(O241&lt;=30,"Medium (16-30%)","High (&gt;30%)")))</f>
        <v>Low (1-15%)</v>
      </c>
      <c r="AD241" s="1" t="str">
        <f aca="false">IF(V241&lt;0,"Loss Making",IF(V241&lt;20,"Low Margin","Healthy Margin"))</f>
        <v>Healthy Margin</v>
      </c>
      <c r="AE241" s="1" t="str">
        <f aca="false">TEXT(DATE(VALUE(RIGHT(B241,4)),VALUE(MID(B241,4,2)),VALUE(LEFT(B241,2))),"MMM-YYYY")</f>
        <v>Dec-2024</v>
      </c>
      <c r="AF241" s="1" t="n">
        <f aca="false">VALUE(RIGHT(B241,4))</f>
        <v>2024</v>
      </c>
      <c r="AG241" s="1" t="str">
        <f aca="false">CHOOSE(ROUNDUP(VALUE(MID(B241,4,2))/3,0),"Q1","Q2","Q3","Q4")</f>
        <v>Q4</v>
      </c>
    </row>
    <row r="242" customFormat="false" ht="15" hidden="false" customHeight="true" outlineLevel="0" collapsed="false">
      <c r="A242" s="1" t="s">
        <v>597</v>
      </c>
      <c r="B242" s="1" t="s">
        <v>598</v>
      </c>
      <c r="C242" s="1" t="s">
        <v>139</v>
      </c>
      <c r="D242" s="1" t="s">
        <v>53</v>
      </c>
      <c r="E242" s="1" t="s">
        <v>216</v>
      </c>
      <c r="F242" s="1" t="s">
        <v>82</v>
      </c>
      <c r="G242" s="1" t="s">
        <v>56</v>
      </c>
      <c r="H242" s="1" t="s">
        <v>69</v>
      </c>
      <c r="I242" s="1" t="s">
        <v>58</v>
      </c>
      <c r="J242" s="1" t="s">
        <v>35</v>
      </c>
      <c r="K242" s="1" t="s">
        <v>48</v>
      </c>
      <c r="L242" s="1" t="s">
        <v>85</v>
      </c>
      <c r="M242" s="1" t="s">
        <v>62</v>
      </c>
      <c r="N242" s="1" t="n">
        <v>7499</v>
      </c>
      <c r="O242" s="1" t="n">
        <v>40</v>
      </c>
      <c r="P242" s="1" t="n">
        <v>2999.6</v>
      </c>
      <c r="Q242" s="1" t="n">
        <v>4499.4</v>
      </c>
      <c r="R242" s="1" t="n">
        <v>809.89</v>
      </c>
      <c r="S242" s="1" t="n">
        <v>3689.51</v>
      </c>
      <c r="T242" s="1" t="n">
        <v>2095.17</v>
      </c>
      <c r="U242" s="1" t="n">
        <v>1594.34</v>
      </c>
      <c r="V242" s="1" t="n">
        <v>43.21</v>
      </c>
      <c r="W242" s="1" t="s">
        <v>40</v>
      </c>
      <c r="Y242" s="1" t="s">
        <v>40</v>
      </c>
      <c r="Z242" s="1" t="n">
        <v>1</v>
      </c>
      <c r="AA242" s="1" t="str">
        <f aca="false">TRIM(PROPER(F242))</f>
        <v>Gurugram</v>
      </c>
      <c r="AB242" s="1" t="str">
        <f aca="false">TRIM(PROPER(C242))</f>
        <v>Extramarks</v>
      </c>
      <c r="AC242" s="1" t="str">
        <f aca="false">IF(O242=0,"No Discount",IF(O242&lt;=15,"Low (1-15%)",IF(O242&lt;=30,"Medium (16-30%)","High (&gt;30%)")))</f>
        <v>High (&gt;30%)</v>
      </c>
      <c r="AD242" s="1" t="str">
        <f aca="false">IF(V242&lt;0,"Loss Making",IF(V242&lt;20,"Low Margin","Healthy Margin"))</f>
        <v>Healthy Margin</v>
      </c>
      <c r="AE242" s="1" t="str">
        <f aca="false">TEXT(DATE(VALUE(RIGHT(B242,4)),VALUE(MID(B242,4,2)),VALUE(LEFT(B242,2))),"MMM-YYYY")</f>
        <v>Feb-2024</v>
      </c>
      <c r="AF242" s="1" t="n">
        <f aca="false">VALUE(RIGHT(B242,4))</f>
        <v>2024</v>
      </c>
      <c r="AG242" s="1" t="str">
        <f aca="false">CHOOSE(ROUNDUP(VALUE(MID(B242,4,2))/3,0),"Q1","Q2","Q3","Q4")</f>
        <v>Q1</v>
      </c>
    </row>
    <row r="243" customFormat="false" ht="15" hidden="false" customHeight="true" outlineLevel="0" collapsed="false">
      <c r="A243" s="1" t="s">
        <v>599</v>
      </c>
      <c r="B243" s="1" t="s">
        <v>42</v>
      </c>
      <c r="C243" s="1" t="s">
        <v>93</v>
      </c>
      <c r="D243" s="1" t="s">
        <v>44</v>
      </c>
      <c r="E243" s="1" t="s">
        <v>66</v>
      </c>
      <c r="F243" s="1" t="s">
        <v>75</v>
      </c>
      <c r="G243" s="1" t="s">
        <v>76</v>
      </c>
      <c r="H243" s="1" t="s">
        <v>69</v>
      </c>
      <c r="I243" s="1" t="s">
        <v>58</v>
      </c>
      <c r="J243" s="1" t="s">
        <v>77</v>
      </c>
      <c r="K243" s="1" t="s">
        <v>84</v>
      </c>
      <c r="L243" s="1" t="s">
        <v>113</v>
      </c>
      <c r="M243" s="1" t="s">
        <v>50</v>
      </c>
      <c r="N243" s="1" t="n">
        <v>12999</v>
      </c>
      <c r="O243" s="1" t="n">
        <v>15</v>
      </c>
      <c r="P243" s="1" t="n">
        <v>1949.85</v>
      </c>
      <c r="Q243" s="1" t="n">
        <v>11049.15</v>
      </c>
      <c r="R243" s="1" t="n">
        <v>1988.85</v>
      </c>
      <c r="S243" s="1" t="n">
        <v>9060.3</v>
      </c>
      <c r="T243" s="1" t="n">
        <v>4162.48</v>
      </c>
      <c r="U243" s="1" t="n">
        <v>4897.82</v>
      </c>
      <c r="V243" s="1" t="n">
        <v>54.06</v>
      </c>
      <c r="W243" s="1" t="s">
        <v>39</v>
      </c>
      <c r="X243" s="1" t="n">
        <v>3.9</v>
      </c>
      <c r="Y243" s="1" t="s">
        <v>40</v>
      </c>
      <c r="Z243" s="1" t="n">
        <v>0</v>
      </c>
      <c r="AA243" s="1" t="str">
        <f aca="false">TRIM(PROPER(F243))</f>
        <v>Kolkata</v>
      </c>
      <c r="AB243" s="1" t="str">
        <f aca="false">TRIM(PROPER(C243))</f>
        <v>Upgrad</v>
      </c>
      <c r="AC243" s="1" t="str">
        <f aca="false">IF(O243=0,"No Discount",IF(O243&lt;=15,"Low (1-15%)",IF(O243&lt;=30,"Medium (16-30%)","High (&gt;30%)")))</f>
        <v>Low (1-15%)</v>
      </c>
      <c r="AD243" s="1" t="str">
        <f aca="false">IF(V243&lt;0,"Loss Making",IF(V243&lt;20,"Low Margin","Healthy Margin"))</f>
        <v>Healthy Margin</v>
      </c>
      <c r="AE243" s="1" t="str">
        <f aca="false">TEXT(DATE(VALUE(RIGHT(B243,4)),VALUE(MID(B243,4,2)),VALUE(LEFT(B243,2))),"MMM-YYYY")</f>
        <v>Dec-2023</v>
      </c>
      <c r="AF243" s="1" t="n">
        <f aca="false">VALUE(RIGHT(B243,4))</f>
        <v>2023</v>
      </c>
      <c r="AG243" s="1" t="str">
        <f aca="false">CHOOSE(ROUNDUP(VALUE(MID(B243,4,2))/3,0),"Q1","Q2","Q3","Q4")</f>
        <v>Q4</v>
      </c>
    </row>
    <row r="244" customFormat="false" ht="15" hidden="false" customHeight="true" outlineLevel="0" collapsed="false">
      <c r="A244" s="1" t="s">
        <v>600</v>
      </c>
      <c r="B244" s="1" t="s">
        <v>601</v>
      </c>
      <c r="C244" s="1" t="s">
        <v>65</v>
      </c>
      <c r="D244" s="1" t="s">
        <v>143</v>
      </c>
      <c r="E244" s="1" t="s">
        <v>243</v>
      </c>
      <c r="F244" s="1" t="s">
        <v>602</v>
      </c>
      <c r="G244" s="1" t="s">
        <v>32</v>
      </c>
      <c r="H244" s="1" t="s">
        <v>33</v>
      </c>
      <c r="I244" s="1" t="s">
        <v>58</v>
      </c>
      <c r="J244" s="1" t="s">
        <v>131</v>
      </c>
      <c r="K244" s="1" t="s">
        <v>84</v>
      </c>
      <c r="L244" s="1" t="s">
        <v>61</v>
      </c>
      <c r="M244" s="1" t="s">
        <v>50</v>
      </c>
      <c r="N244" s="1" t="n">
        <v>22999</v>
      </c>
      <c r="O244" s="1" t="n">
        <v>20</v>
      </c>
      <c r="P244" s="1" t="n">
        <v>4599.8</v>
      </c>
      <c r="Q244" s="1" t="n">
        <v>18399.2</v>
      </c>
      <c r="R244" s="1" t="n">
        <v>3311.86</v>
      </c>
      <c r="S244" s="1" t="n">
        <v>15087.34</v>
      </c>
      <c r="T244" s="1" t="n">
        <v>7324.74</v>
      </c>
      <c r="U244" s="1" t="n">
        <v>7762.6</v>
      </c>
      <c r="V244" s="1" t="n">
        <v>51.45</v>
      </c>
      <c r="W244" s="1" t="s">
        <v>39</v>
      </c>
      <c r="X244" s="1" t="n">
        <v>3.9</v>
      </c>
      <c r="Y244" s="1" t="s">
        <v>40</v>
      </c>
      <c r="Z244" s="1" t="n">
        <v>0</v>
      </c>
      <c r="AA244" s="1" t="str">
        <f aca="false">TRIM(PROPER(F244))</f>
        <v>Jodhpur</v>
      </c>
      <c r="AB244" s="1" t="str">
        <f aca="false">TRIM(PROPER(C244))</f>
        <v>Toppr</v>
      </c>
      <c r="AC244" s="1" t="str">
        <f aca="false">IF(O244=0,"No Discount",IF(O244&lt;=15,"Low (1-15%)",IF(O244&lt;=30,"Medium (16-30%)","High (&gt;30%)")))</f>
        <v>Medium (16-30%)</v>
      </c>
      <c r="AD244" s="1" t="str">
        <f aca="false">IF(V244&lt;0,"Loss Making",IF(V244&lt;20,"Low Margin","Healthy Margin"))</f>
        <v>Healthy Margin</v>
      </c>
      <c r="AE244" s="1" t="str">
        <f aca="false">TEXT(DATE(VALUE(RIGHT(B244,4)),VALUE(MID(B244,4,2)),VALUE(LEFT(B244,2))),"MMM-YYYY")</f>
        <v>Jun-2023</v>
      </c>
      <c r="AF244" s="1" t="n">
        <f aca="false">VALUE(RIGHT(B244,4))</f>
        <v>2023</v>
      </c>
      <c r="AG244" s="1" t="str">
        <f aca="false">CHOOSE(ROUNDUP(VALUE(MID(B244,4,2))/3,0),"Q1","Q2","Q3","Q4")</f>
        <v>Q2</v>
      </c>
    </row>
    <row r="245" customFormat="false" ht="15" hidden="false" customHeight="true" outlineLevel="0" collapsed="false">
      <c r="A245" s="1" t="s">
        <v>603</v>
      </c>
      <c r="B245" s="1" t="s">
        <v>203</v>
      </c>
      <c r="C245" s="1" t="s">
        <v>93</v>
      </c>
      <c r="D245" s="1" t="s">
        <v>29</v>
      </c>
      <c r="E245" s="1" t="s">
        <v>305</v>
      </c>
      <c r="F245" s="1" t="s">
        <v>604</v>
      </c>
      <c r="G245" s="1" t="s">
        <v>56</v>
      </c>
      <c r="H245" s="1" t="s">
        <v>57</v>
      </c>
      <c r="I245" s="1" t="s">
        <v>58</v>
      </c>
      <c r="J245" s="1" t="s">
        <v>59</v>
      </c>
      <c r="K245" s="1" t="s">
        <v>84</v>
      </c>
      <c r="L245" s="1" t="s">
        <v>136</v>
      </c>
      <c r="M245" s="1" t="s">
        <v>50</v>
      </c>
      <c r="N245" s="1" t="n">
        <v>24999</v>
      </c>
      <c r="O245" s="1" t="n">
        <v>0</v>
      </c>
      <c r="P245" s="1" t="n">
        <v>0</v>
      </c>
      <c r="Q245" s="1" t="n">
        <v>24999</v>
      </c>
      <c r="R245" s="1" t="n">
        <v>4499.82</v>
      </c>
      <c r="S245" s="1" t="n">
        <v>20499.18</v>
      </c>
      <c r="T245" s="1" t="n">
        <v>8108.46</v>
      </c>
      <c r="U245" s="1" t="n">
        <v>12390.72</v>
      </c>
      <c r="V245" s="1" t="n">
        <v>60.44</v>
      </c>
      <c r="W245" s="1" t="s">
        <v>39</v>
      </c>
      <c r="Y245" s="1" t="s">
        <v>39</v>
      </c>
      <c r="Z245" s="1" t="n">
        <v>0</v>
      </c>
      <c r="AA245" s="1" t="str">
        <f aca="false">TRIM(PROPER(F245))</f>
        <v>Faridabad</v>
      </c>
      <c r="AB245" s="1" t="str">
        <f aca="false">TRIM(PROPER(C245))</f>
        <v>Upgrad</v>
      </c>
      <c r="AC245" s="1" t="str">
        <f aca="false">IF(O245=0,"No Discount",IF(O245&lt;=15,"Low (1-15%)",IF(O245&lt;=30,"Medium (16-30%)","High (&gt;30%)")))</f>
        <v>No Discount</v>
      </c>
      <c r="AD245" s="1" t="str">
        <f aca="false">IF(V245&lt;0,"Loss Making",IF(V245&lt;20,"Low Margin","Healthy Margin"))</f>
        <v>Healthy Margin</v>
      </c>
      <c r="AE245" s="1" t="str">
        <f aca="false">TEXT(DATE(VALUE(RIGHT(B245,4)),VALUE(MID(B245,4,2)),VALUE(LEFT(B245,2))),"MMM-YYYY")</f>
        <v>Nov-2023</v>
      </c>
      <c r="AF245" s="1" t="n">
        <f aca="false">VALUE(RIGHT(B245,4))</f>
        <v>2023</v>
      </c>
      <c r="AG245" s="1" t="str">
        <f aca="false">CHOOSE(ROUNDUP(VALUE(MID(B245,4,2))/3,0),"Q1","Q2","Q3","Q4")</f>
        <v>Q4</v>
      </c>
    </row>
    <row r="246" customFormat="false" ht="15" hidden="false" customHeight="true" outlineLevel="0" collapsed="false">
      <c r="A246" s="1" t="s">
        <v>605</v>
      </c>
      <c r="B246" s="1" t="s">
        <v>606</v>
      </c>
      <c r="C246" s="1" t="s">
        <v>139</v>
      </c>
      <c r="D246" s="1" t="s">
        <v>168</v>
      </c>
      <c r="E246" s="1" t="s">
        <v>172</v>
      </c>
      <c r="F246" s="1" t="s">
        <v>153</v>
      </c>
      <c r="G246" s="1" t="s">
        <v>76</v>
      </c>
      <c r="H246" s="1" t="s">
        <v>33</v>
      </c>
      <c r="I246" s="1" t="s">
        <v>58</v>
      </c>
      <c r="J246" s="1" t="s">
        <v>77</v>
      </c>
      <c r="K246" s="1" t="s">
        <v>84</v>
      </c>
      <c r="L246" s="1" t="s">
        <v>85</v>
      </c>
      <c r="M246" s="1" t="s">
        <v>38</v>
      </c>
      <c r="N246" s="1" t="n">
        <v>6999</v>
      </c>
      <c r="O246" s="1" t="n">
        <v>10</v>
      </c>
      <c r="P246" s="1" t="n">
        <v>699.9</v>
      </c>
      <c r="Q246" s="1" t="n">
        <v>6299.1</v>
      </c>
      <c r="R246" s="1" t="n">
        <v>1133.84</v>
      </c>
      <c r="S246" s="1" t="n">
        <v>5165.26</v>
      </c>
      <c r="T246" s="1" t="n">
        <v>2090.15</v>
      </c>
      <c r="U246" s="1" t="n">
        <v>3075.11</v>
      </c>
      <c r="V246" s="1" t="n">
        <v>59.53</v>
      </c>
      <c r="W246" s="1" t="s">
        <v>40</v>
      </c>
      <c r="Y246" s="1" t="s">
        <v>39</v>
      </c>
      <c r="Z246" s="1" t="n">
        <v>0</v>
      </c>
      <c r="AA246" s="1" t="str">
        <f aca="false">TRIM(PROPER(F246))</f>
        <v>Howrah</v>
      </c>
      <c r="AB246" s="1" t="str">
        <f aca="false">TRIM(PROPER(C246))</f>
        <v>Extramarks</v>
      </c>
      <c r="AC246" s="1" t="str">
        <f aca="false">IF(O246=0,"No Discount",IF(O246&lt;=15,"Low (1-15%)",IF(O246&lt;=30,"Medium (16-30%)","High (&gt;30%)")))</f>
        <v>Low (1-15%)</v>
      </c>
      <c r="AD246" s="1" t="str">
        <f aca="false">IF(V246&lt;0,"Loss Making",IF(V246&lt;20,"Low Margin","Healthy Margin"))</f>
        <v>Healthy Margin</v>
      </c>
      <c r="AE246" s="1" t="str">
        <f aca="false">TEXT(DATE(VALUE(RIGHT(B246,4)),VALUE(MID(B246,4,2)),VALUE(LEFT(B246,2))),"MMM-YYYY")</f>
        <v>May-2023</v>
      </c>
      <c r="AF246" s="1" t="n">
        <f aca="false">VALUE(RIGHT(B246,4))</f>
        <v>2023</v>
      </c>
      <c r="AG246" s="1" t="str">
        <f aca="false">CHOOSE(ROUNDUP(VALUE(MID(B246,4,2))/3,0),"Q1","Q2","Q3","Q4")</f>
        <v>Q2</v>
      </c>
    </row>
    <row r="247" customFormat="false" ht="15" hidden="false" customHeight="true" outlineLevel="0" collapsed="false">
      <c r="A247" s="1" t="s">
        <v>607</v>
      </c>
      <c r="B247" s="1" t="s">
        <v>608</v>
      </c>
      <c r="C247" s="1" t="s">
        <v>128</v>
      </c>
      <c r="D247" s="1" t="s">
        <v>143</v>
      </c>
      <c r="E247" s="1" t="s">
        <v>159</v>
      </c>
      <c r="F247" s="1" t="s">
        <v>102</v>
      </c>
      <c r="G247" s="1" t="s">
        <v>103</v>
      </c>
      <c r="H247" s="1" t="s">
        <v>33</v>
      </c>
      <c r="I247" s="1" t="s">
        <v>83</v>
      </c>
      <c r="J247" s="1" t="s">
        <v>77</v>
      </c>
      <c r="K247" s="1" t="s">
        <v>36</v>
      </c>
      <c r="L247" s="1" t="s">
        <v>49</v>
      </c>
      <c r="M247" s="1" t="s">
        <v>38</v>
      </c>
      <c r="N247" s="1" t="n">
        <v>24999</v>
      </c>
      <c r="O247" s="1" t="n">
        <v>0</v>
      </c>
      <c r="P247" s="1" t="n">
        <v>0</v>
      </c>
      <c r="Q247" s="1" t="n">
        <v>24999</v>
      </c>
      <c r="R247" s="1" t="n">
        <v>4499.82</v>
      </c>
      <c r="S247" s="1" t="n">
        <v>20499.18</v>
      </c>
      <c r="T247" s="1" t="n">
        <v>11038.59</v>
      </c>
      <c r="U247" s="1" t="n">
        <v>9460.59</v>
      </c>
      <c r="V247" s="1" t="n">
        <v>46.15</v>
      </c>
      <c r="W247" s="1" t="s">
        <v>40</v>
      </c>
      <c r="Y247" s="1" t="s">
        <v>40</v>
      </c>
      <c r="Z247" s="1" t="n">
        <v>1</v>
      </c>
      <c r="AA247" s="1" t="str">
        <f aca="false">TRIM(PROPER(F247))</f>
        <v>Warangal</v>
      </c>
      <c r="AB247" s="1" t="str">
        <f aca="false">TRIM(PROPER(C247))</f>
        <v>Great Learning</v>
      </c>
      <c r="AC247" s="1" t="str">
        <f aca="false">IF(O247=0,"No Discount",IF(O247&lt;=15,"Low (1-15%)",IF(O247&lt;=30,"Medium (16-30%)","High (&gt;30%)")))</f>
        <v>No Discount</v>
      </c>
      <c r="AD247" s="1" t="str">
        <f aca="false">IF(V247&lt;0,"Loss Making",IF(V247&lt;20,"Low Margin","Healthy Margin"))</f>
        <v>Healthy Margin</v>
      </c>
      <c r="AE247" s="1" t="str">
        <f aca="false">TEXT(DATE(VALUE(RIGHT(B247,4)),VALUE(MID(B247,4,2)),VALUE(LEFT(B247,2))),"MMM-YYYY")</f>
        <v>Dec-2024</v>
      </c>
      <c r="AF247" s="1" t="n">
        <f aca="false">VALUE(RIGHT(B247,4))</f>
        <v>2024</v>
      </c>
      <c r="AG247" s="1" t="str">
        <f aca="false">CHOOSE(ROUNDUP(VALUE(MID(B247,4,2))/3,0),"Q1","Q2","Q3","Q4")</f>
        <v>Q4</v>
      </c>
    </row>
    <row r="248" customFormat="false" ht="15" hidden="false" customHeight="true" outlineLevel="0" collapsed="false">
      <c r="A248" s="1" t="s">
        <v>609</v>
      </c>
      <c r="B248" s="1" t="s">
        <v>610</v>
      </c>
      <c r="C248" s="1" t="s">
        <v>134</v>
      </c>
      <c r="D248" s="1" t="s">
        <v>44</v>
      </c>
      <c r="E248" s="1" t="s">
        <v>221</v>
      </c>
      <c r="F248" s="1" t="s">
        <v>55</v>
      </c>
      <c r="G248" s="1" t="s">
        <v>56</v>
      </c>
      <c r="H248" s="1" t="s">
        <v>57</v>
      </c>
      <c r="I248" s="1" t="s">
        <v>83</v>
      </c>
      <c r="J248" s="1" t="s">
        <v>59</v>
      </c>
      <c r="K248" s="1" t="s">
        <v>60</v>
      </c>
      <c r="L248" s="1" t="s">
        <v>49</v>
      </c>
      <c r="M248" s="1" t="s">
        <v>38</v>
      </c>
      <c r="N248" s="1" t="n">
        <v>16999</v>
      </c>
      <c r="O248" s="1" t="n">
        <v>0</v>
      </c>
      <c r="P248" s="1" t="n">
        <v>0</v>
      </c>
      <c r="Q248" s="1" t="n">
        <v>16999</v>
      </c>
      <c r="R248" s="1" t="n">
        <v>3059.82</v>
      </c>
      <c r="S248" s="1" t="n">
        <v>13939.18</v>
      </c>
      <c r="T248" s="1" t="n">
        <v>5484.68</v>
      </c>
      <c r="U248" s="1" t="n">
        <v>8454.5</v>
      </c>
      <c r="V248" s="1" t="n">
        <v>60.65</v>
      </c>
      <c r="W248" s="1" t="s">
        <v>39</v>
      </c>
      <c r="X248" s="1" t="n">
        <v>4</v>
      </c>
      <c r="Y248" s="1" t="s">
        <v>40</v>
      </c>
      <c r="Z248" s="1" t="n">
        <v>0</v>
      </c>
      <c r="AA248" s="1" t="str">
        <f aca="false">TRIM(PROPER(F248))</f>
        <v>Ghaziabad</v>
      </c>
      <c r="AB248" s="1" t="str">
        <f aca="false">TRIM(PROPER(C248))</f>
        <v>Doubtnut</v>
      </c>
      <c r="AC248" s="1" t="str">
        <f aca="false">IF(O248=0,"No Discount",IF(O248&lt;=15,"Low (1-15%)",IF(O248&lt;=30,"Medium (16-30%)","High (&gt;30%)")))</f>
        <v>No Discount</v>
      </c>
      <c r="AD248" s="1" t="str">
        <f aca="false">IF(V248&lt;0,"Loss Making",IF(V248&lt;20,"Low Margin","Healthy Margin"))</f>
        <v>Healthy Margin</v>
      </c>
      <c r="AE248" s="1" t="str">
        <f aca="false">TEXT(DATE(VALUE(RIGHT(B248,4)),VALUE(MID(B248,4,2)),VALUE(LEFT(B248,2))),"MMM-YYYY")</f>
        <v>May-2023</v>
      </c>
      <c r="AF248" s="1" t="n">
        <f aca="false">VALUE(RIGHT(B248,4))</f>
        <v>2023</v>
      </c>
      <c r="AG248" s="1" t="str">
        <f aca="false">CHOOSE(ROUNDUP(VALUE(MID(B248,4,2))/3,0),"Q1","Q2","Q3","Q4")</f>
        <v>Q2</v>
      </c>
    </row>
    <row r="249" customFormat="false" ht="15" hidden="false" customHeight="true" outlineLevel="0" collapsed="false">
      <c r="A249" s="1" t="s">
        <v>611</v>
      </c>
      <c r="B249" s="1" t="s">
        <v>281</v>
      </c>
      <c r="C249" s="1" t="s">
        <v>28</v>
      </c>
      <c r="D249" s="1" t="s">
        <v>53</v>
      </c>
      <c r="E249" s="1" t="s">
        <v>216</v>
      </c>
      <c r="F249" s="1" t="s">
        <v>150</v>
      </c>
      <c r="G249" s="1" t="s">
        <v>32</v>
      </c>
      <c r="H249" s="1" t="s">
        <v>57</v>
      </c>
      <c r="I249" s="1" t="s">
        <v>83</v>
      </c>
      <c r="J249" s="1" t="s">
        <v>35</v>
      </c>
      <c r="K249" s="1" t="s">
        <v>48</v>
      </c>
      <c r="L249" s="1" t="s">
        <v>85</v>
      </c>
      <c r="M249" s="1" t="s">
        <v>50</v>
      </c>
      <c r="N249" s="1" t="n">
        <v>7499</v>
      </c>
      <c r="O249" s="1" t="n">
        <v>50</v>
      </c>
      <c r="P249" s="1" t="n">
        <v>3749.5</v>
      </c>
      <c r="Q249" s="1" t="n">
        <v>3749.5</v>
      </c>
      <c r="R249" s="1" t="n">
        <v>674.91</v>
      </c>
      <c r="S249" s="1" t="n">
        <v>3074.59</v>
      </c>
      <c r="T249" s="1" t="n">
        <v>1616.76</v>
      </c>
      <c r="U249" s="1" t="n">
        <v>1457.83</v>
      </c>
      <c r="V249" s="1" t="n">
        <v>47.42</v>
      </c>
      <c r="W249" s="1" t="s">
        <v>39</v>
      </c>
      <c r="X249" s="1" t="n">
        <v>4.5</v>
      </c>
      <c r="Y249" s="1" t="s">
        <v>40</v>
      </c>
      <c r="Z249" s="1" t="n">
        <v>0</v>
      </c>
      <c r="AA249" s="1" t="str">
        <f aca="false">TRIM(PROPER(F249))</f>
        <v>Jaipur</v>
      </c>
      <c r="AB249" s="1" t="str">
        <f aca="false">TRIM(PROPER(C249))</f>
        <v>Embibe</v>
      </c>
      <c r="AC249" s="1" t="str">
        <f aca="false">IF(O249=0,"No Discount",IF(O249&lt;=15,"Low (1-15%)",IF(O249&lt;=30,"Medium (16-30%)","High (&gt;30%)")))</f>
        <v>High (&gt;30%)</v>
      </c>
      <c r="AD249" s="1" t="str">
        <f aca="false">IF(V249&lt;0,"Loss Making",IF(V249&lt;20,"Low Margin","Healthy Margin"))</f>
        <v>Healthy Margin</v>
      </c>
      <c r="AE249" s="1" t="str">
        <f aca="false">TEXT(DATE(VALUE(RIGHT(B249,4)),VALUE(MID(B249,4,2)),VALUE(LEFT(B249,2))),"MMM-YYYY")</f>
        <v>Oct-2024</v>
      </c>
      <c r="AF249" s="1" t="n">
        <f aca="false">VALUE(RIGHT(B249,4))</f>
        <v>2024</v>
      </c>
      <c r="AG249" s="1" t="str">
        <f aca="false">CHOOSE(ROUNDUP(VALUE(MID(B249,4,2))/3,0),"Q1","Q2","Q3","Q4")</f>
        <v>Q4</v>
      </c>
    </row>
    <row r="250" customFormat="false" ht="15" hidden="false" customHeight="true" outlineLevel="0" collapsed="false">
      <c r="A250" s="1" t="s">
        <v>612</v>
      </c>
      <c r="B250" s="1" t="s">
        <v>311</v>
      </c>
      <c r="C250" s="1" t="s">
        <v>100</v>
      </c>
      <c r="D250" s="1" t="s">
        <v>94</v>
      </c>
      <c r="E250" s="1" t="s">
        <v>101</v>
      </c>
      <c r="F250" s="1" t="s">
        <v>244</v>
      </c>
      <c r="G250" s="1" t="s">
        <v>97</v>
      </c>
      <c r="H250" s="1" t="s">
        <v>57</v>
      </c>
      <c r="I250" s="1" t="s">
        <v>34</v>
      </c>
      <c r="J250" s="1" t="s">
        <v>77</v>
      </c>
      <c r="K250" s="1" t="s">
        <v>60</v>
      </c>
      <c r="L250" s="1" t="s">
        <v>61</v>
      </c>
      <c r="M250" s="1" t="s">
        <v>50</v>
      </c>
      <c r="N250" s="1" t="n">
        <v>14999</v>
      </c>
      <c r="O250" s="1" t="n">
        <v>20</v>
      </c>
      <c r="P250" s="1" t="n">
        <v>2999.8</v>
      </c>
      <c r="Q250" s="1" t="n">
        <v>11999.2</v>
      </c>
      <c r="R250" s="1" t="n">
        <v>2159.86</v>
      </c>
      <c r="S250" s="1" t="n">
        <v>9839.34</v>
      </c>
      <c r="T250" s="1" t="n">
        <v>3910.54</v>
      </c>
      <c r="U250" s="1" t="n">
        <v>5928.8</v>
      </c>
      <c r="V250" s="1" t="n">
        <v>60.26</v>
      </c>
      <c r="W250" s="1" t="s">
        <v>39</v>
      </c>
      <c r="X250" s="1" t="n">
        <v>3.6</v>
      </c>
      <c r="Y250" s="1" t="s">
        <v>39</v>
      </c>
      <c r="Z250" s="1" t="n">
        <v>1</v>
      </c>
      <c r="AA250" s="1" t="str">
        <f aca="false">TRIM(PROPER(F250))</f>
        <v>Nagpur</v>
      </c>
      <c r="AB250" s="1" t="str">
        <f aca="false">TRIM(PROPER(C250))</f>
        <v>Physics Wallah</v>
      </c>
      <c r="AC250" s="1" t="str">
        <f aca="false">IF(O250=0,"No Discount",IF(O250&lt;=15,"Low (1-15%)",IF(O250&lt;=30,"Medium (16-30%)","High (&gt;30%)")))</f>
        <v>Medium (16-30%)</v>
      </c>
      <c r="AD250" s="1" t="str">
        <f aca="false">IF(V250&lt;0,"Loss Making",IF(V250&lt;20,"Low Margin","Healthy Margin"))</f>
        <v>Healthy Margin</v>
      </c>
      <c r="AE250" s="1" t="str">
        <f aca="false">TEXT(DATE(VALUE(RIGHT(B250,4)),VALUE(MID(B250,4,2)),VALUE(LEFT(B250,2))),"MMM-YYYY")</f>
        <v>Oct-2023</v>
      </c>
      <c r="AF250" s="1" t="n">
        <f aca="false">VALUE(RIGHT(B250,4))</f>
        <v>2023</v>
      </c>
      <c r="AG250" s="1" t="str">
        <f aca="false">CHOOSE(ROUNDUP(VALUE(MID(B250,4,2))/3,0),"Q1","Q2","Q3","Q4")</f>
        <v>Q4</v>
      </c>
    </row>
    <row r="251" customFormat="false" ht="15" hidden="false" customHeight="true" outlineLevel="0" collapsed="false">
      <c r="A251" s="1" t="s">
        <v>613</v>
      </c>
      <c r="B251" s="1" t="s">
        <v>614</v>
      </c>
      <c r="C251" s="1" t="s">
        <v>74</v>
      </c>
      <c r="D251" s="1" t="s">
        <v>29</v>
      </c>
      <c r="E251" s="1" t="s">
        <v>305</v>
      </c>
      <c r="F251" s="1" t="s">
        <v>156</v>
      </c>
      <c r="G251" s="1" t="s">
        <v>68</v>
      </c>
      <c r="H251" s="1" t="s">
        <v>57</v>
      </c>
      <c r="I251" s="1" t="s">
        <v>58</v>
      </c>
      <c r="J251" s="1" t="s">
        <v>70</v>
      </c>
      <c r="K251" s="1" t="s">
        <v>112</v>
      </c>
      <c r="L251" s="1" t="s">
        <v>136</v>
      </c>
      <c r="M251" s="1" t="s">
        <v>62</v>
      </c>
      <c r="N251" s="1" t="n">
        <v>24999</v>
      </c>
      <c r="O251" s="1" t="n">
        <v>5</v>
      </c>
      <c r="P251" s="1" t="n">
        <v>1249.95</v>
      </c>
      <c r="Q251" s="1" t="n">
        <v>23749.05</v>
      </c>
      <c r="R251" s="1" t="n">
        <v>4274.83</v>
      </c>
      <c r="S251" s="1" t="n">
        <v>19474.22</v>
      </c>
      <c r="T251" s="1" t="n">
        <v>8208.91</v>
      </c>
      <c r="U251" s="1" t="n">
        <v>11265.31</v>
      </c>
      <c r="V251" s="1" t="n">
        <v>57.85</v>
      </c>
      <c r="W251" s="1" t="s">
        <v>40</v>
      </c>
      <c r="Y251" s="1" t="s">
        <v>40</v>
      </c>
      <c r="Z251" s="1" t="n">
        <v>3</v>
      </c>
      <c r="AA251" s="1" t="str">
        <f aca="false">TRIM(PROPER(F251))</f>
        <v>Surat</v>
      </c>
      <c r="AB251" s="1" t="str">
        <f aca="false">TRIM(PROPER(C251))</f>
        <v>Vedantu</v>
      </c>
      <c r="AC251" s="1" t="str">
        <f aca="false">IF(O251=0,"No Discount",IF(O251&lt;=15,"Low (1-15%)",IF(O251&lt;=30,"Medium (16-30%)","High (&gt;30%)")))</f>
        <v>Low (1-15%)</v>
      </c>
      <c r="AD251" s="1" t="str">
        <f aca="false">IF(V251&lt;0,"Loss Making",IF(V251&lt;20,"Low Margin","Healthy Margin"))</f>
        <v>Healthy Margin</v>
      </c>
      <c r="AE251" s="1" t="str">
        <f aca="false">TEXT(DATE(VALUE(RIGHT(B251,4)),VALUE(MID(B251,4,2)),VALUE(LEFT(B251,2))),"MMM-YYYY")</f>
        <v>Sep-2023</v>
      </c>
      <c r="AF251" s="1" t="n">
        <f aca="false">VALUE(RIGHT(B251,4))</f>
        <v>2023</v>
      </c>
      <c r="AG251" s="1" t="str">
        <f aca="false">CHOOSE(ROUNDUP(VALUE(MID(B251,4,2))/3,0),"Q1","Q2","Q3","Q4")</f>
        <v>Q3</v>
      </c>
    </row>
    <row r="252" customFormat="false" ht="15" hidden="false" customHeight="true" outlineLevel="0" collapsed="false">
      <c r="A252" s="1" t="s">
        <v>615</v>
      </c>
      <c r="B252" s="1" t="s">
        <v>616</v>
      </c>
      <c r="C252" s="1" t="s">
        <v>139</v>
      </c>
      <c r="D252" s="1" t="s">
        <v>80</v>
      </c>
      <c r="E252" s="1" t="s">
        <v>190</v>
      </c>
      <c r="F252" s="1" t="s">
        <v>150</v>
      </c>
      <c r="G252" s="1" t="s">
        <v>32</v>
      </c>
      <c r="H252" s="1" t="s">
        <v>57</v>
      </c>
      <c r="I252" s="1" t="s">
        <v>34</v>
      </c>
      <c r="J252" s="1" t="s">
        <v>77</v>
      </c>
      <c r="K252" s="1" t="s">
        <v>60</v>
      </c>
      <c r="L252" s="1" t="s">
        <v>136</v>
      </c>
      <c r="M252" s="1" t="s">
        <v>38</v>
      </c>
      <c r="N252" s="1" t="n">
        <v>15999</v>
      </c>
      <c r="O252" s="1" t="n">
        <v>25</v>
      </c>
      <c r="P252" s="1" t="n">
        <v>3999.75</v>
      </c>
      <c r="Q252" s="1" t="n">
        <v>11999.25</v>
      </c>
      <c r="R252" s="1" t="n">
        <v>2159.86</v>
      </c>
      <c r="S252" s="1" t="n">
        <v>9839.39</v>
      </c>
      <c r="T252" s="1" t="n">
        <v>4470.62</v>
      </c>
      <c r="U252" s="1" t="n">
        <v>5368.77</v>
      </c>
      <c r="V252" s="1" t="n">
        <v>54.56</v>
      </c>
      <c r="W252" s="1" t="s">
        <v>39</v>
      </c>
      <c r="X252" s="1" t="n">
        <v>3.6</v>
      </c>
      <c r="Y252" s="1" t="s">
        <v>40</v>
      </c>
      <c r="Z252" s="1" t="n">
        <v>0</v>
      </c>
      <c r="AA252" s="1" t="str">
        <f aca="false">TRIM(PROPER(F252))</f>
        <v>Jaipur</v>
      </c>
      <c r="AB252" s="1" t="str">
        <f aca="false">TRIM(PROPER(C252))</f>
        <v>Extramarks</v>
      </c>
      <c r="AC252" s="1" t="str">
        <f aca="false">IF(O252=0,"No Discount",IF(O252&lt;=15,"Low (1-15%)",IF(O252&lt;=30,"Medium (16-30%)","High (&gt;30%)")))</f>
        <v>Medium (16-30%)</v>
      </c>
      <c r="AD252" s="1" t="str">
        <f aca="false">IF(V252&lt;0,"Loss Making",IF(V252&lt;20,"Low Margin","Healthy Margin"))</f>
        <v>Healthy Margin</v>
      </c>
      <c r="AE252" s="1" t="str">
        <f aca="false">TEXT(DATE(VALUE(RIGHT(B252,4)),VALUE(MID(B252,4,2)),VALUE(LEFT(B252,2))),"MMM-YYYY")</f>
        <v>Jan-2023</v>
      </c>
      <c r="AF252" s="1" t="n">
        <f aca="false">VALUE(RIGHT(B252,4))</f>
        <v>2023</v>
      </c>
      <c r="AG252" s="1" t="str">
        <f aca="false">CHOOSE(ROUNDUP(VALUE(MID(B252,4,2))/3,0),"Q1","Q2","Q3","Q4")</f>
        <v>Q1</v>
      </c>
    </row>
    <row r="253" customFormat="false" ht="15" hidden="false" customHeight="true" outlineLevel="0" collapsed="false">
      <c r="A253" s="1" t="s">
        <v>617</v>
      </c>
      <c r="B253" s="1" t="s">
        <v>618</v>
      </c>
      <c r="C253" s="1" t="s">
        <v>178</v>
      </c>
      <c r="D253" s="1" t="s">
        <v>168</v>
      </c>
      <c r="E253" s="1" t="s">
        <v>197</v>
      </c>
      <c r="F253" s="1" t="s">
        <v>67</v>
      </c>
      <c r="G253" s="1" t="s">
        <v>68</v>
      </c>
      <c r="H253" s="1" t="s">
        <v>69</v>
      </c>
      <c r="I253" s="1" t="s">
        <v>83</v>
      </c>
      <c r="J253" s="1" t="s">
        <v>77</v>
      </c>
      <c r="K253" s="1" t="s">
        <v>112</v>
      </c>
      <c r="L253" s="1" t="s">
        <v>113</v>
      </c>
      <c r="M253" s="1" t="s">
        <v>38</v>
      </c>
      <c r="N253" s="1" t="n">
        <v>8499</v>
      </c>
      <c r="O253" s="1" t="n">
        <v>15</v>
      </c>
      <c r="P253" s="1" t="n">
        <v>1274.85</v>
      </c>
      <c r="Q253" s="1" t="n">
        <v>7224.15</v>
      </c>
      <c r="R253" s="1" t="n">
        <v>1300.35</v>
      </c>
      <c r="S253" s="1" t="n">
        <v>5923.8</v>
      </c>
      <c r="T253" s="1" t="n">
        <v>2086.23</v>
      </c>
      <c r="U253" s="1" t="n">
        <v>3837.57</v>
      </c>
      <c r="V253" s="1" t="n">
        <v>64.78</v>
      </c>
      <c r="W253" s="1" t="s">
        <v>39</v>
      </c>
      <c r="Y253" s="1" t="s">
        <v>40</v>
      </c>
      <c r="Z253" s="1" t="n">
        <v>0</v>
      </c>
      <c r="AA253" s="1" t="str">
        <f aca="false">TRIM(PROPER(F253))</f>
        <v>Ahmedabad</v>
      </c>
      <c r="AB253" s="1" t="str">
        <f aca="false">TRIM(PROPER(C253))</f>
        <v>Leverage Edu</v>
      </c>
      <c r="AC253" s="1" t="str">
        <f aca="false">IF(O253=0,"No Discount",IF(O253&lt;=15,"Low (1-15%)",IF(O253&lt;=30,"Medium (16-30%)","High (&gt;30%)")))</f>
        <v>Low (1-15%)</v>
      </c>
      <c r="AD253" s="1" t="str">
        <f aca="false">IF(V253&lt;0,"Loss Making",IF(V253&lt;20,"Low Margin","Healthy Margin"))</f>
        <v>Healthy Margin</v>
      </c>
      <c r="AE253" s="1" t="str">
        <f aca="false">TEXT(DATE(VALUE(RIGHT(B253,4)),VALUE(MID(B253,4,2)),VALUE(LEFT(B253,2))),"MMM-YYYY")</f>
        <v>Nov-2023</v>
      </c>
      <c r="AF253" s="1" t="n">
        <f aca="false">VALUE(RIGHT(B253,4))</f>
        <v>2023</v>
      </c>
      <c r="AG253" s="1" t="str">
        <f aca="false">CHOOSE(ROUNDUP(VALUE(MID(B253,4,2))/3,0),"Q1","Q2","Q3","Q4")</f>
        <v>Q4</v>
      </c>
    </row>
    <row r="254" customFormat="false" ht="15" hidden="false" customHeight="true" outlineLevel="0" collapsed="false">
      <c r="A254" s="1" t="s">
        <v>619</v>
      </c>
      <c r="B254" s="1" t="s">
        <v>620</v>
      </c>
      <c r="C254" s="1" t="s">
        <v>264</v>
      </c>
      <c r="D254" s="1" t="s">
        <v>53</v>
      </c>
      <c r="E254" s="1" t="s">
        <v>216</v>
      </c>
      <c r="F254" s="1" t="s">
        <v>153</v>
      </c>
      <c r="G254" s="1" t="s">
        <v>76</v>
      </c>
      <c r="H254" s="1" t="s">
        <v>33</v>
      </c>
      <c r="I254" s="1" t="s">
        <v>83</v>
      </c>
      <c r="J254" s="1" t="s">
        <v>35</v>
      </c>
      <c r="K254" s="1" t="s">
        <v>48</v>
      </c>
      <c r="L254" s="1" t="s">
        <v>136</v>
      </c>
      <c r="M254" s="1" t="s">
        <v>38</v>
      </c>
      <c r="N254" s="1" t="n">
        <v>7499</v>
      </c>
      <c r="O254" s="1" t="n">
        <v>0</v>
      </c>
      <c r="P254" s="1" t="n">
        <v>0</v>
      </c>
      <c r="Q254" s="1" t="n">
        <v>7499</v>
      </c>
      <c r="R254" s="1" t="n">
        <v>1349.82</v>
      </c>
      <c r="S254" s="1" t="n">
        <v>6149.18</v>
      </c>
      <c r="T254" s="1" t="n">
        <v>2035.86</v>
      </c>
      <c r="U254" s="1" t="n">
        <v>4113.32</v>
      </c>
      <c r="V254" s="1" t="n">
        <v>66.89</v>
      </c>
      <c r="W254" s="1" t="s">
        <v>40</v>
      </c>
      <c r="Y254" s="1" t="s">
        <v>40</v>
      </c>
      <c r="Z254" s="1" t="n">
        <v>0</v>
      </c>
      <c r="AA254" s="1" t="str">
        <f aca="false">TRIM(PROPER(F254))</f>
        <v>Howrah</v>
      </c>
      <c r="AB254" s="1" t="str">
        <f aca="false">TRIM(PROPER(C254))</f>
        <v>Unacademy</v>
      </c>
      <c r="AC254" s="1" t="str">
        <f aca="false">IF(O254=0,"No Discount",IF(O254&lt;=15,"Low (1-15%)",IF(O254&lt;=30,"Medium (16-30%)","High (&gt;30%)")))</f>
        <v>No Discount</v>
      </c>
      <c r="AD254" s="1" t="str">
        <f aca="false">IF(V254&lt;0,"Loss Making",IF(V254&lt;20,"Low Margin","Healthy Margin"))</f>
        <v>Healthy Margin</v>
      </c>
      <c r="AE254" s="1" t="str">
        <f aca="false">TEXT(DATE(VALUE(RIGHT(B254,4)),VALUE(MID(B254,4,2)),VALUE(LEFT(B254,2))),"MMM-YYYY")</f>
        <v>Jan-2024</v>
      </c>
      <c r="AF254" s="1" t="n">
        <f aca="false">VALUE(RIGHT(B254,4))</f>
        <v>2024</v>
      </c>
      <c r="AG254" s="1" t="str">
        <f aca="false">CHOOSE(ROUNDUP(VALUE(MID(B254,4,2))/3,0),"Q1","Q2","Q3","Q4")</f>
        <v>Q1</v>
      </c>
    </row>
    <row r="255" customFormat="false" ht="15" hidden="false" customHeight="true" outlineLevel="0" collapsed="false">
      <c r="A255" s="1" t="s">
        <v>621</v>
      </c>
      <c r="B255" s="1" t="s">
        <v>622</v>
      </c>
      <c r="C255" s="1" t="s">
        <v>28</v>
      </c>
      <c r="D255" s="1" t="s">
        <v>143</v>
      </c>
      <c r="E255" s="1" t="s">
        <v>144</v>
      </c>
      <c r="F255" s="1" t="s">
        <v>184</v>
      </c>
      <c r="G255" s="1" t="s">
        <v>56</v>
      </c>
      <c r="H255" s="1" t="s">
        <v>57</v>
      </c>
      <c r="I255" s="1" t="s">
        <v>34</v>
      </c>
      <c r="J255" s="1" t="s">
        <v>59</v>
      </c>
      <c r="K255" s="1" t="s">
        <v>112</v>
      </c>
      <c r="L255" s="1" t="s">
        <v>61</v>
      </c>
      <c r="M255" s="1" t="s">
        <v>50</v>
      </c>
      <c r="N255" s="1" t="n">
        <v>12999</v>
      </c>
      <c r="O255" s="1" t="n">
        <v>0</v>
      </c>
      <c r="P255" s="1" t="n">
        <v>0</v>
      </c>
      <c r="Q255" s="1" t="n">
        <v>12999</v>
      </c>
      <c r="R255" s="1" t="n">
        <v>2339.82</v>
      </c>
      <c r="S255" s="1" t="n">
        <v>10659.18</v>
      </c>
      <c r="T255" s="1" t="n">
        <v>4866.99</v>
      </c>
      <c r="U255" s="1" t="n">
        <v>5792.19</v>
      </c>
      <c r="V255" s="1" t="n">
        <v>54.34</v>
      </c>
      <c r="W255" s="1" t="s">
        <v>39</v>
      </c>
      <c r="X255" s="1" t="n">
        <v>3.4</v>
      </c>
      <c r="Y255" s="1" t="s">
        <v>40</v>
      </c>
      <c r="Z255" s="1" t="n">
        <v>0</v>
      </c>
      <c r="AA255" s="1" t="str">
        <f aca="false">TRIM(PROPER(F255))</f>
        <v>Faridabad</v>
      </c>
      <c r="AB255" s="1" t="str">
        <f aca="false">TRIM(PROPER(C255))</f>
        <v>Embibe</v>
      </c>
      <c r="AC255" s="1" t="str">
        <f aca="false">IF(O255=0,"No Discount",IF(O255&lt;=15,"Low (1-15%)",IF(O255&lt;=30,"Medium (16-30%)","High (&gt;30%)")))</f>
        <v>No Discount</v>
      </c>
      <c r="AD255" s="1" t="str">
        <f aca="false">IF(V255&lt;0,"Loss Making",IF(V255&lt;20,"Low Margin","Healthy Margin"))</f>
        <v>Healthy Margin</v>
      </c>
      <c r="AE255" s="1" t="str">
        <f aca="false">TEXT(DATE(VALUE(RIGHT(B255,4)),VALUE(MID(B255,4,2)),VALUE(LEFT(B255,2))),"MMM-YYYY")</f>
        <v>Apr-2023</v>
      </c>
      <c r="AF255" s="1" t="n">
        <f aca="false">VALUE(RIGHT(B255,4))</f>
        <v>2023</v>
      </c>
      <c r="AG255" s="1" t="str">
        <f aca="false">CHOOSE(ROUNDUP(VALUE(MID(B255,4,2))/3,0),"Q1","Q2","Q3","Q4")</f>
        <v>Q2</v>
      </c>
    </row>
    <row r="256" customFormat="false" ht="15" hidden="false" customHeight="true" outlineLevel="0" collapsed="false">
      <c r="A256" s="1" t="s">
        <v>623</v>
      </c>
      <c r="B256" s="1" t="s">
        <v>587</v>
      </c>
      <c r="C256" s="1" t="s">
        <v>167</v>
      </c>
      <c r="D256" s="1" t="s">
        <v>44</v>
      </c>
      <c r="E256" s="1" t="s">
        <v>221</v>
      </c>
      <c r="F256" s="1" t="s">
        <v>55</v>
      </c>
      <c r="G256" s="1" t="s">
        <v>56</v>
      </c>
      <c r="H256" s="1" t="s">
        <v>57</v>
      </c>
      <c r="I256" s="1" t="s">
        <v>83</v>
      </c>
      <c r="J256" s="1" t="s">
        <v>77</v>
      </c>
      <c r="K256" s="1" t="s">
        <v>112</v>
      </c>
      <c r="L256" s="1" t="s">
        <v>136</v>
      </c>
      <c r="M256" s="1" t="s">
        <v>38</v>
      </c>
      <c r="N256" s="1" t="n">
        <v>16999</v>
      </c>
      <c r="O256" s="1" t="n">
        <v>10</v>
      </c>
      <c r="P256" s="1" t="n">
        <v>1699.9</v>
      </c>
      <c r="Q256" s="1" t="n">
        <v>15299.1</v>
      </c>
      <c r="R256" s="1" t="n">
        <v>2753.84</v>
      </c>
      <c r="S256" s="1" t="n">
        <v>12545.26</v>
      </c>
      <c r="T256" s="1" t="n">
        <v>5290.97</v>
      </c>
      <c r="U256" s="1" t="n">
        <v>7254.29</v>
      </c>
      <c r="V256" s="1" t="n">
        <v>57.82</v>
      </c>
      <c r="W256" s="1" t="s">
        <v>39</v>
      </c>
      <c r="Y256" s="1" t="s">
        <v>40</v>
      </c>
      <c r="Z256" s="1" t="n">
        <v>0</v>
      </c>
      <c r="AA256" s="1" t="str">
        <f aca="false">TRIM(PROPER(F256))</f>
        <v>Ghaziabad</v>
      </c>
      <c r="AB256" s="1" t="str">
        <f aca="false">TRIM(PROPER(C256))</f>
        <v>Scaler</v>
      </c>
      <c r="AC256" s="1" t="str">
        <f aca="false">IF(O256=0,"No Discount",IF(O256&lt;=15,"Low (1-15%)",IF(O256&lt;=30,"Medium (16-30%)","High (&gt;30%)")))</f>
        <v>Low (1-15%)</v>
      </c>
      <c r="AD256" s="1" t="str">
        <f aca="false">IF(V256&lt;0,"Loss Making",IF(V256&lt;20,"Low Margin","Healthy Margin"))</f>
        <v>Healthy Margin</v>
      </c>
      <c r="AE256" s="1" t="str">
        <f aca="false">TEXT(DATE(VALUE(RIGHT(B256,4)),VALUE(MID(B256,4,2)),VALUE(LEFT(B256,2))),"MMM-YYYY")</f>
        <v>Apr-2023</v>
      </c>
      <c r="AF256" s="1" t="n">
        <f aca="false">VALUE(RIGHT(B256,4))</f>
        <v>2023</v>
      </c>
      <c r="AG256" s="1" t="str">
        <f aca="false">CHOOSE(ROUNDUP(VALUE(MID(B256,4,2))/3,0),"Q1","Q2","Q3","Q4")</f>
        <v>Q2</v>
      </c>
    </row>
    <row r="257" customFormat="false" ht="15" hidden="false" customHeight="true" outlineLevel="0" collapsed="false">
      <c r="A257" s="1" t="s">
        <v>624</v>
      </c>
      <c r="B257" s="1" t="s">
        <v>625</v>
      </c>
      <c r="C257" s="1" t="s">
        <v>119</v>
      </c>
      <c r="D257" s="1" t="s">
        <v>53</v>
      </c>
      <c r="E257" s="1" t="s">
        <v>216</v>
      </c>
      <c r="F257" s="1" t="s">
        <v>75</v>
      </c>
      <c r="G257" s="1" t="s">
        <v>76</v>
      </c>
      <c r="H257" s="1" t="s">
        <v>69</v>
      </c>
      <c r="I257" s="1" t="s">
        <v>34</v>
      </c>
      <c r="J257" s="1" t="s">
        <v>59</v>
      </c>
      <c r="K257" s="1" t="s">
        <v>48</v>
      </c>
      <c r="L257" s="1" t="s">
        <v>49</v>
      </c>
      <c r="M257" s="1" t="s">
        <v>38</v>
      </c>
      <c r="N257" s="1" t="n">
        <v>7499</v>
      </c>
      <c r="O257" s="1" t="n">
        <v>20</v>
      </c>
      <c r="P257" s="1" t="n">
        <v>1499.8</v>
      </c>
      <c r="Q257" s="1" t="n">
        <v>5999.2</v>
      </c>
      <c r="R257" s="1" t="n">
        <v>1079.86</v>
      </c>
      <c r="S257" s="1" t="n">
        <v>4919.34</v>
      </c>
      <c r="T257" s="1" t="n">
        <v>1687.54</v>
      </c>
      <c r="U257" s="1" t="n">
        <v>3231.8</v>
      </c>
      <c r="V257" s="1" t="n">
        <v>65.7</v>
      </c>
      <c r="W257" s="1" t="s">
        <v>40</v>
      </c>
      <c r="Y257" s="1" t="s">
        <v>40</v>
      </c>
      <c r="Z257" s="1" t="n">
        <v>1</v>
      </c>
      <c r="AA257" s="1" t="str">
        <f aca="false">TRIM(PROPER(F257))</f>
        <v>Kolkata</v>
      </c>
      <c r="AB257" s="1" t="str">
        <f aca="false">TRIM(PROPER(C257))</f>
        <v>Simplilearn</v>
      </c>
      <c r="AC257" s="1" t="str">
        <f aca="false">IF(O257=0,"No Discount",IF(O257&lt;=15,"Low (1-15%)",IF(O257&lt;=30,"Medium (16-30%)","High (&gt;30%)")))</f>
        <v>Medium (16-30%)</v>
      </c>
      <c r="AD257" s="1" t="str">
        <f aca="false">IF(V257&lt;0,"Loss Making",IF(V257&lt;20,"Low Margin","Healthy Margin"))</f>
        <v>Healthy Margin</v>
      </c>
      <c r="AE257" s="1" t="str">
        <f aca="false">TEXT(DATE(VALUE(RIGHT(B257,4)),VALUE(MID(B257,4,2)),VALUE(LEFT(B257,2))),"MMM-YYYY")</f>
        <v>Dec-2023</v>
      </c>
      <c r="AF257" s="1" t="n">
        <f aca="false">VALUE(RIGHT(B257,4))</f>
        <v>2023</v>
      </c>
      <c r="AG257" s="1" t="str">
        <f aca="false">CHOOSE(ROUNDUP(VALUE(MID(B257,4,2))/3,0),"Q1","Q2","Q3","Q4")</f>
        <v>Q4</v>
      </c>
    </row>
    <row r="258" customFormat="false" ht="15" hidden="false" customHeight="true" outlineLevel="0" collapsed="false">
      <c r="A258" s="1" t="s">
        <v>626</v>
      </c>
      <c r="B258" s="1" t="s">
        <v>279</v>
      </c>
      <c r="C258" s="1" t="s">
        <v>100</v>
      </c>
      <c r="D258" s="1" t="s">
        <v>94</v>
      </c>
      <c r="E258" s="1" t="s">
        <v>101</v>
      </c>
      <c r="F258" s="1" t="s">
        <v>120</v>
      </c>
      <c r="G258" s="1" t="s">
        <v>47</v>
      </c>
      <c r="H258" s="1" t="s">
        <v>57</v>
      </c>
      <c r="I258" s="1" t="s">
        <v>58</v>
      </c>
      <c r="J258" s="1" t="s">
        <v>35</v>
      </c>
      <c r="K258" s="1" t="s">
        <v>90</v>
      </c>
      <c r="L258" s="1" t="s">
        <v>136</v>
      </c>
      <c r="M258" s="1" t="s">
        <v>50</v>
      </c>
      <c r="N258" s="1" t="n">
        <v>14999</v>
      </c>
      <c r="O258" s="1" t="n">
        <v>5</v>
      </c>
      <c r="P258" s="1" t="n">
        <v>749.95</v>
      </c>
      <c r="Q258" s="1" t="n">
        <v>14249.05</v>
      </c>
      <c r="R258" s="1" t="n">
        <v>2564.83</v>
      </c>
      <c r="S258" s="1" t="n">
        <v>11684.22</v>
      </c>
      <c r="T258" s="1" t="n">
        <v>5926.32</v>
      </c>
      <c r="U258" s="1" t="n">
        <v>5757.9</v>
      </c>
      <c r="V258" s="1" t="n">
        <v>49.28</v>
      </c>
      <c r="W258" s="1" t="s">
        <v>39</v>
      </c>
      <c r="X258" s="1" t="n">
        <v>4</v>
      </c>
      <c r="Y258" s="1" t="s">
        <v>40</v>
      </c>
      <c r="Z258" s="1" t="n">
        <v>0</v>
      </c>
      <c r="AA258" s="1" t="str">
        <f aca="false">TRIM(PROPER(F258))</f>
        <v>Mysuru</v>
      </c>
      <c r="AB258" s="1" t="str">
        <f aca="false">TRIM(PROPER(C258))</f>
        <v>Physics Wallah</v>
      </c>
      <c r="AC258" s="1" t="str">
        <f aca="false">IF(O258=0,"No Discount",IF(O258&lt;=15,"Low (1-15%)",IF(O258&lt;=30,"Medium (16-30%)","High (&gt;30%)")))</f>
        <v>Low (1-15%)</v>
      </c>
      <c r="AD258" s="1" t="str">
        <f aca="false">IF(V258&lt;0,"Loss Making",IF(V258&lt;20,"Low Margin","Healthy Margin"))</f>
        <v>Healthy Margin</v>
      </c>
      <c r="AE258" s="1" t="str">
        <f aca="false">TEXT(DATE(VALUE(RIGHT(B258,4)),VALUE(MID(B258,4,2)),VALUE(LEFT(B258,2))),"MMM-YYYY")</f>
        <v>Jul-2023</v>
      </c>
      <c r="AF258" s="1" t="n">
        <f aca="false">VALUE(RIGHT(B258,4))</f>
        <v>2023</v>
      </c>
      <c r="AG258" s="1" t="str">
        <f aca="false">CHOOSE(ROUNDUP(VALUE(MID(B258,4,2))/3,0),"Q1","Q2","Q3","Q4")</f>
        <v>Q3</v>
      </c>
    </row>
    <row r="259" customFormat="false" ht="15" hidden="false" customHeight="true" outlineLevel="0" collapsed="false">
      <c r="A259" s="1" t="s">
        <v>627</v>
      </c>
      <c r="B259" s="1" t="s">
        <v>628</v>
      </c>
      <c r="C259" s="1" t="s">
        <v>134</v>
      </c>
      <c r="D259" s="1" t="s">
        <v>123</v>
      </c>
      <c r="E259" s="1" t="s">
        <v>147</v>
      </c>
      <c r="F259" s="1" t="s">
        <v>205</v>
      </c>
      <c r="G259" s="1" t="s">
        <v>56</v>
      </c>
      <c r="H259" s="1" t="s">
        <v>69</v>
      </c>
      <c r="I259" s="1" t="s">
        <v>34</v>
      </c>
      <c r="J259" s="1" t="s">
        <v>59</v>
      </c>
      <c r="K259" s="1" t="s">
        <v>90</v>
      </c>
      <c r="L259" s="1" t="s">
        <v>49</v>
      </c>
      <c r="M259" s="1" t="s">
        <v>38</v>
      </c>
      <c r="N259" s="1" t="n">
        <v>6999</v>
      </c>
      <c r="O259" s="1" t="n">
        <v>20</v>
      </c>
      <c r="P259" s="1" t="n">
        <v>1399.8</v>
      </c>
      <c r="Q259" s="1" t="n">
        <v>5599.2</v>
      </c>
      <c r="R259" s="1" t="n">
        <v>1007.86</v>
      </c>
      <c r="S259" s="1" t="n">
        <v>4591.34</v>
      </c>
      <c r="T259" s="1" t="n">
        <v>2270.88</v>
      </c>
      <c r="U259" s="1" t="n">
        <v>2320.46</v>
      </c>
      <c r="V259" s="1" t="n">
        <v>50.54</v>
      </c>
      <c r="W259" s="1" t="s">
        <v>40</v>
      </c>
      <c r="Y259" s="1" t="s">
        <v>40</v>
      </c>
      <c r="Z259" s="1" t="n">
        <v>0</v>
      </c>
      <c r="AA259" s="1" t="str">
        <f aca="false">TRIM(PROPER(F259))</f>
        <v>New Delhi</v>
      </c>
      <c r="AB259" s="1" t="str">
        <f aca="false">TRIM(PROPER(C259))</f>
        <v>Doubtnut</v>
      </c>
      <c r="AC259" s="1" t="str">
        <f aca="false">IF(O259=0,"No Discount",IF(O259&lt;=15,"Low (1-15%)",IF(O259&lt;=30,"Medium (16-30%)","High (&gt;30%)")))</f>
        <v>Medium (16-30%)</v>
      </c>
      <c r="AD259" s="1" t="str">
        <f aca="false">IF(V259&lt;0,"Loss Making",IF(V259&lt;20,"Low Margin","Healthy Margin"))</f>
        <v>Healthy Margin</v>
      </c>
      <c r="AE259" s="1" t="str">
        <f aca="false">TEXT(DATE(VALUE(RIGHT(B259,4)),VALUE(MID(B259,4,2)),VALUE(LEFT(B259,2))),"MMM-YYYY")</f>
        <v>Jul-2024</v>
      </c>
      <c r="AF259" s="1" t="n">
        <f aca="false">VALUE(RIGHT(B259,4))</f>
        <v>2024</v>
      </c>
      <c r="AG259" s="1" t="str">
        <f aca="false">CHOOSE(ROUNDUP(VALUE(MID(B259,4,2))/3,0),"Q1","Q2","Q3","Q4")</f>
        <v>Q3</v>
      </c>
    </row>
    <row r="260" customFormat="false" ht="15" hidden="false" customHeight="true" outlineLevel="0" collapsed="false">
      <c r="A260" s="1" t="s">
        <v>629</v>
      </c>
      <c r="B260" s="1" t="s">
        <v>630</v>
      </c>
      <c r="C260" s="1" t="s">
        <v>128</v>
      </c>
      <c r="D260" s="1" t="s">
        <v>44</v>
      </c>
      <c r="E260" s="1" t="s">
        <v>221</v>
      </c>
      <c r="F260" s="1" t="s">
        <v>89</v>
      </c>
      <c r="G260" s="1" t="s">
        <v>68</v>
      </c>
      <c r="H260" s="1" t="s">
        <v>33</v>
      </c>
      <c r="I260" s="1" t="s">
        <v>34</v>
      </c>
      <c r="J260" s="1" t="s">
        <v>131</v>
      </c>
      <c r="K260" s="1" t="s">
        <v>104</v>
      </c>
      <c r="L260" s="1" t="s">
        <v>37</v>
      </c>
      <c r="M260" s="1" t="s">
        <v>50</v>
      </c>
      <c r="N260" s="1" t="n">
        <v>16999</v>
      </c>
      <c r="O260" s="1" t="n">
        <v>10</v>
      </c>
      <c r="P260" s="1" t="n">
        <v>1699.9</v>
      </c>
      <c r="Q260" s="1" t="n">
        <v>15299.1</v>
      </c>
      <c r="R260" s="1" t="n">
        <v>2753.84</v>
      </c>
      <c r="S260" s="1" t="n">
        <v>12545.26</v>
      </c>
      <c r="T260" s="1" t="n">
        <v>5647.93</v>
      </c>
      <c r="U260" s="1" t="n">
        <v>6897.33</v>
      </c>
      <c r="V260" s="1" t="n">
        <v>54.98</v>
      </c>
      <c r="W260" s="1" t="s">
        <v>40</v>
      </c>
      <c r="Y260" s="1" t="s">
        <v>39</v>
      </c>
      <c r="Z260" s="1" t="n">
        <v>1</v>
      </c>
      <c r="AA260" s="1" t="str">
        <f aca="false">TRIM(PROPER(F260))</f>
        <v>Vadodara</v>
      </c>
      <c r="AB260" s="1" t="str">
        <f aca="false">TRIM(PROPER(C260))</f>
        <v>Great Learning</v>
      </c>
      <c r="AC260" s="1" t="str">
        <f aca="false">IF(O260=0,"No Discount",IF(O260&lt;=15,"Low (1-15%)",IF(O260&lt;=30,"Medium (16-30%)","High (&gt;30%)")))</f>
        <v>Low (1-15%)</v>
      </c>
      <c r="AD260" s="1" t="str">
        <f aca="false">IF(V260&lt;0,"Loss Making",IF(V260&lt;20,"Low Margin","Healthy Margin"))</f>
        <v>Healthy Margin</v>
      </c>
      <c r="AE260" s="1" t="str">
        <f aca="false">TEXT(DATE(VALUE(RIGHT(B260,4)),VALUE(MID(B260,4,2)),VALUE(LEFT(B260,2))),"MMM-YYYY")</f>
        <v>Dec-2024</v>
      </c>
      <c r="AF260" s="1" t="n">
        <f aca="false">VALUE(RIGHT(B260,4))</f>
        <v>2024</v>
      </c>
      <c r="AG260" s="1" t="str">
        <f aca="false">CHOOSE(ROUNDUP(VALUE(MID(B260,4,2))/3,0),"Q1","Q2","Q3","Q4")</f>
        <v>Q4</v>
      </c>
    </row>
    <row r="261" customFormat="false" ht="15" hidden="false" customHeight="true" outlineLevel="0" collapsed="false">
      <c r="A261" s="1" t="s">
        <v>631</v>
      </c>
      <c r="B261" s="1" t="s">
        <v>632</v>
      </c>
      <c r="C261" s="1" t="s">
        <v>178</v>
      </c>
      <c r="D261" s="1" t="s">
        <v>80</v>
      </c>
      <c r="E261" s="1" t="s">
        <v>175</v>
      </c>
      <c r="F261" s="1" t="s">
        <v>187</v>
      </c>
      <c r="G261" s="1" t="s">
        <v>97</v>
      </c>
      <c r="H261" s="1" t="s">
        <v>69</v>
      </c>
      <c r="I261" s="1" t="s">
        <v>58</v>
      </c>
      <c r="J261" s="1" t="s">
        <v>131</v>
      </c>
      <c r="K261" s="1" t="s">
        <v>48</v>
      </c>
      <c r="L261" s="1" t="s">
        <v>49</v>
      </c>
      <c r="M261" s="1" t="s">
        <v>50</v>
      </c>
      <c r="N261" s="1" t="n">
        <v>19999</v>
      </c>
      <c r="O261" s="1" t="n">
        <v>5</v>
      </c>
      <c r="P261" s="1" t="n">
        <v>999.95</v>
      </c>
      <c r="Q261" s="1" t="n">
        <v>18999.05</v>
      </c>
      <c r="R261" s="1" t="n">
        <v>3419.83</v>
      </c>
      <c r="S261" s="1" t="n">
        <v>15579.22</v>
      </c>
      <c r="T261" s="1" t="n">
        <v>5248.04</v>
      </c>
      <c r="U261" s="1" t="n">
        <v>10331.18</v>
      </c>
      <c r="V261" s="1" t="n">
        <v>66.31</v>
      </c>
      <c r="W261" s="1" t="s">
        <v>39</v>
      </c>
      <c r="X261" s="1" t="n">
        <v>4.3</v>
      </c>
      <c r="Y261" s="1" t="s">
        <v>40</v>
      </c>
      <c r="Z261" s="1" t="n">
        <v>0</v>
      </c>
      <c r="AA261" s="1" t="str">
        <f aca="false">TRIM(PROPER(F261))</f>
        <v>Mumbai</v>
      </c>
      <c r="AB261" s="1" t="str">
        <f aca="false">TRIM(PROPER(C261))</f>
        <v>Leverage Edu</v>
      </c>
      <c r="AC261" s="1" t="str">
        <f aca="false">IF(O261=0,"No Discount",IF(O261&lt;=15,"Low (1-15%)",IF(O261&lt;=30,"Medium (16-30%)","High (&gt;30%)")))</f>
        <v>Low (1-15%)</v>
      </c>
      <c r="AD261" s="1" t="str">
        <f aca="false">IF(V261&lt;0,"Loss Making",IF(V261&lt;20,"Low Margin","Healthy Margin"))</f>
        <v>Healthy Margin</v>
      </c>
      <c r="AE261" s="1" t="str">
        <f aca="false">TEXT(DATE(VALUE(RIGHT(B261,4)),VALUE(MID(B261,4,2)),VALUE(LEFT(B261,2))),"MMM-YYYY")</f>
        <v>May-2023</v>
      </c>
      <c r="AF261" s="1" t="n">
        <f aca="false">VALUE(RIGHT(B261,4))</f>
        <v>2023</v>
      </c>
      <c r="AG261" s="1" t="str">
        <f aca="false">CHOOSE(ROUNDUP(VALUE(MID(B261,4,2))/3,0),"Q1","Q2","Q3","Q4")</f>
        <v>Q2</v>
      </c>
    </row>
    <row r="262" customFormat="false" ht="15" hidden="false" customHeight="true" outlineLevel="0" collapsed="false">
      <c r="A262" s="1" t="s">
        <v>633</v>
      </c>
      <c r="B262" s="1" t="s">
        <v>634</v>
      </c>
      <c r="C262" s="1" t="s">
        <v>139</v>
      </c>
      <c r="D262" s="1" t="s">
        <v>53</v>
      </c>
      <c r="E262" s="1" t="s">
        <v>116</v>
      </c>
      <c r="F262" s="1" t="s">
        <v>89</v>
      </c>
      <c r="G262" s="1" t="s">
        <v>68</v>
      </c>
      <c r="H262" s="1" t="s">
        <v>33</v>
      </c>
      <c r="I262" s="1" t="s">
        <v>83</v>
      </c>
      <c r="J262" s="1" t="s">
        <v>59</v>
      </c>
      <c r="K262" s="1" t="s">
        <v>104</v>
      </c>
      <c r="L262" s="1" t="s">
        <v>49</v>
      </c>
      <c r="M262" s="1" t="s">
        <v>62</v>
      </c>
      <c r="N262" s="1" t="n">
        <v>9999</v>
      </c>
      <c r="O262" s="1" t="n">
        <v>5</v>
      </c>
      <c r="P262" s="1" t="n">
        <v>499.95</v>
      </c>
      <c r="Q262" s="1" t="n">
        <v>9499.05</v>
      </c>
      <c r="R262" s="1" t="n">
        <v>1709.83</v>
      </c>
      <c r="S262" s="1" t="n">
        <v>7789.22</v>
      </c>
      <c r="T262" s="1" t="n">
        <v>3056.87</v>
      </c>
      <c r="U262" s="1" t="n">
        <v>4732.35</v>
      </c>
      <c r="V262" s="1" t="n">
        <v>60.76</v>
      </c>
      <c r="W262" s="1" t="s">
        <v>39</v>
      </c>
      <c r="X262" s="1" t="n">
        <v>3.4</v>
      </c>
      <c r="Y262" s="1" t="s">
        <v>40</v>
      </c>
      <c r="Z262" s="1" t="n">
        <v>0</v>
      </c>
      <c r="AA262" s="1" t="str">
        <f aca="false">TRIM(PROPER(F262))</f>
        <v>Vadodara</v>
      </c>
      <c r="AB262" s="1" t="str">
        <f aca="false">TRIM(PROPER(C262))</f>
        <v>Extramarks</v>
      </c>
      <c r="AC262" s="1" t="str">
        <f aca="false">IF(O262=0,"No Discount",IF(O262&lt;=15,"Low (1-15%)",IF(O262&lt;=30,"Medium (16-30%)","High (&gt;30%)")))</f>
        <v>Low (1-15%)</v>
      </c>
      <c r="AD262" s="1" t="str">
        <f aca="false">IF(V262&lt;0,"Loss Making",IF(V262&lt;20,"Low Margin","Healthy Margin"))</f>
        <v>Healthy Margin</v>
      </c>
      <c r="AE262" s="1" t="str">
        <f aca="false">TEXT(DATE(VALUE(RIGHT(B262,4)),VALUE(MID(B262,4,2)),VALUE(LEFT(B262,2))),"MMM-YYYY")</f>
        <v>Jun-2024</v>
      </c>
      <c r="AF262" s="1" t="n">
        <f aca="false">VALUE(RIGHT(B262,4))</f>
        <v>2024</v>
      </c>
      <c r="AG262" s="1" t="str">
        <f aca="false">CHOOSE(ROUNDUP(VALUE(MID(B262,4,2))/3,0),"Q1","Q2","Q3","Q4")</f>
        <v>Q2</v>
      </c>
    </row>
    <row r="263" customFormat="false" ht="15" hidden="false" customHeight="true" outlineLevel="0" collapsed="false">
      <c r="A263" s="1" t="s">
        <v>635</v>
      </c>
      <c r="B263" s="1" t="s">
        <v>636</v>
      </c>
      <c r="C263" s="1" t="s">
        <v>43</v>
      </c>
      <c r="D263" s="1" t="s">
        <v>143</v>
      </c>
      <c r="E263" s="1" t="s">
        <v>159</v>
      </c>
      <c r="F263" s="1" t="s">
        <v>67</v>
      </c>
      <c r="G263" s="1" t="s">
        <v>68</v>
      </c>
      <c r="H263" s="1" t="s">
        <v>69</v>
      </c>
      <c r="I263" s="1" t="s">
        <v>83</v>
      </c>
      <c r="J263" s="1" t="s">
        <v>77</v>
      </c>
      <c r="K263" s="1" t="s">
        <v>112</v>
      </c>
      <c r="L263" s="1" t="s">
        <v>113</v>
      </c>
      <c r="M263" s="1" t="s">
        <v>38</v>
      </c>
      <c r="N263" s="1" t="n">
        <v>24999</v>
      </c>
      <c r="O263" s="1" t="n">
        <v>40</v>
      </c>
      <c r="P263" s="1" t="n">
        <v>9999.6</v>
      </c>
      <c r="Q263" s="1" t="n">
        <v>14999.4</v>
      </c>
      <c r="R263" s="1" t="n">
        <v>2699.89</v>
      </c>
      <c r="S263" s="1" t="n">
        <v>12299.51</v>
      </c>
      <c r="T263" s="1" t="n">
        <v>6277.97</v>
      </c>
      <c r="U263" s="1" t="n">
        <v>6021.54</v>
      </c>
      <c r="V263" s="1" t="n">
        <v>48.96</v>
      </c>
      <c r="W263" s="1" t="s">
        <v>40</v>
      </c>
      <c r="Y263" s="1" t="s">
        <v>40</v>
      </c>
      <c r="Z263" s="1" t="n">
        <v>2</v>
      </c>
      <c r="AA263" s="1" t="str">
        <f aca="false">TRIM(PROPER(F263))</f>
        <v>Ahmedabad</v>
      </c>
      <c r="AB263" s="1" t="str">
        <f aca="false">TRIM(PROPER(C263))</f>
        <v>Meritnation</v>
      </c>
      <c r="AC263" s="1" t="str">
        <f aca="false">IF(O263=0,"No Discount",IF(O263&lt;=15,"Low (1-15%)",IF(O263&lt;=30,"Medium (16-30%)","High (&gt;30%)")))</f>
        <v>High (&gt;30%)</v>
      </c>
      <c r="AD263" s="1" t="str">
        <f aca="false">IF(V263&lt;0,"Loss Making",IF(V263&lt;20,"Low Margin","Healthy Margin"))</f>
        <v>Healthy Margin</v>
      </c>
      <c r="AE263" s="1" t="str">
        <f aca="false">TEXT(DATE(VALUE(RIGHT(B263,4)),VALUE(MID(B263,4,2)),VALUE(LEFT(B263,2))),"MMM-YYYY")</f>
        <v>Nov-2024</v>
      </c>
      <c r="AF263" s="1" t="n">
        <f aca="false">VALUE(RIGHT(B263,4))</f>
        <v>2024</v>
      </c>
      <c r="AG263" s="1" t="str">
        <f aca="false">CHOOSE(ROUNDUP(VALUE(MID(B263,4,2))/3,0),"Q1","Q2","Q3","Q4")</f>
        <v>Q4</v>
      </c>
    </row>
    <row r="264" customFormat="false" ht="15" hidden="false" customHeight="true" outlineLevel="0" collapsed="false">
      <c r="A264" s="1" t="s">
        <v>637</v>
      </c>
      <c r="B264" s="1" t="s">
        <v>638</v>
      </c>
      <c r="C264" s="1" t="s">
        <v>264</v>
      </c>
      <c r="D264" s="1" t="s">
        <v>143</v>
      </c>
      <c r="E264" s="1" t="s">
        <v>144</v>
      </c>
      <c r="F264" s="1" t="s">
        <v>205</v>
      </c>
      <c r="G264" s="1" t="s">
        <v>56</v>
      </c>
      <c r="H264" s="1" t="s">
        <v>69</v>
      </c>
      <c r="I264" s="1" t="s">
        <v>83</v>
      </c>
      <c r="J264" s="1" t="s">
        <v>131</v>
      </c>
      <c r="K264" s="1" t="s">
        <v>90</v>
      </c>
      <c r="L264" s="1" t="s">
        <v>85</v>
      </c>
      <c r="M264" s="1" t="s">
        <v>62</v>
      </c>
      <c r="N264" s="1" t="n">
        <v>12999</v>
      </c>
      <c r="O264" s="1" t="n">
        <v>0</v>
      </c>
      <c r="P264" s="1" t="n">
        <v>0</v>
      </c>
      <c r="Q264" s="1" t="n">
        <v>12999</v>
      </c>
      <c r="R264" s="1" t="n">
        <v>2339.82</v>
      </c>
      <c r="S264" s="1" t="n">
        <v>10659.18</v>
      </c>
      <c r="T264" s="1" t="n">
        <v>4198.48</v>
      </c>
      <c r="U264" s="1" t="n">
        <v>6460.7</v>
      </c>
      <c r="V264" s="1" t="n">
        <v>60.61</v>
      </c>
      <c r="W264" s="1" t="s">
        <v>40</v>
      </c>
      <c r="Y264" s="1" t="s">
        <v>40</v>
      </c>
      <c r="Z264" s="1" t="n">
        <v>0</v>
      </c>
      <c r="AA264" s="1" t="str">
        <f aca="false">TRIM(PROPER(F264))</f>
        <v>New Delhi</v>
      </c>
      <c r="AB264" s="1" t="str">
        <f aca="false">TRIM(PROPER(C264))</f>
        <v>Unacademy</v>
      </c>
      <c r="AC264" s="1" t="str">
        <f aca="false">IF(O264=0,"No Discount",IF(O264&lt;=15,"Low (1-15%)",IF(O264&lt;=30,"Medium (16-30%)","High (&gt;30%)")))</f>
        <v>No Discount</v>
      </c>
      <c r="AD264" s="1" t="str">
        <f aca="false">IF(V264&lt;0,"Loss Making",IF(V264&lt;20,"Low Margin","Healthy Margin"))</f>
        <v>Healthy Margin</v>
      </c>
      <c r="AE264" s="1" t="str">
        <f aca="false">TEXT(DATE(VALUE(RIGHT(B264,4)),VALUE(MID(B264,4,2)),VALUE(LEFT(B264,2))),"MMM-YYYY")</f>
        <v>Nov-2023</v>
      </c>
      <c r="AF264" s="1" t="n">
        <f aca="false">VALUE(RIGHT(B264,4))</f>
        <v>2023</v>
      </c>
      <c r="AG264" s="1" t="str">
        <f aca="false">CHOOSE(ROUNDUP(VALUE(MID(B264,4,2))/3,0),"Q1","Q2","Q3","Q4")</f>
        <v>Q4</v>
      </c>
    </row>
    <row r="265" customFormat="false" ht="15" hidden="false" customHeight="true" outlineLevel="0" collapsed="false">
      <c r="A265" s="1" t="s">
        <v>639</v>
      </c>
      <c r="B265" s="1" t="s">
        <v>640</v>
      </c>
      <c r="C265" s="1" t="s">
        <v>100</v>
      </c>
      <c r="D265" s="1" t="s">
        <v>80</v>
      </c>
      <c r="E265" s="1" t="s">
        <v>175</v>
      </c>
      <c r="F265" s="1" t="s">
        <v>641</v>
      </c>
      <c r="G265" s="1" t="s">
        <v>103</v>
      </c>
      <c r="H265" s="1" t="s">
        <v>33</v>
      </c>
      <c r="I265" s="1" t="s">
        <v>58</v>
      </c>
      <c r="J265" s="1" t="s">
        <v>131</v>
      </c>
      <c r="K265" s="1" t="s">
        <v>104</v>
      </c>
      <c r="L265" s="1" t="s">
        <v>113</v>
      </c>
      <c r="M265" s="1" t="s">
        <v>38</v>
      </c>
      <c r="N265" s="1" t="n">
        <v>19999</v>
      </c>
      <c r="O265" s="1" t="n">
        <v>0</v>
      </c>
      <c r="P265" s="1" t="n">
        <v>0</v>
      </c>
      <c r="Q265" s="1" t="n">
        <v>19999</v>
      </c>
      <c r="R265" s="1" t="n">
        <v>3599.82</v>
      </c>
      <c r="S265" s="1" t="n">
        <v>16399.18</v>
      </c>
      <c r="T265" s="1" t="n">
        <v>6693.34</v>
      </c>
      <c r="U265" s="1" t="n">
        <v>9705.84</v>
      </c>
      <c r="V265" s="1" t="n">
        <v>59.18</v>
      </c>
      <c r="W265" s="1" t="s">
        <v>40</v>
      </c>
      <c r="Y265" s="1" t="s">
        <v>40</v>
      </c>
      <c r="Z265" s="1" t="n">
        <v>0</v>
      </c>
      <c r="AA265" s="1" t="str">
        <f aca="false">TRIM(PROPER(F265))</f>
        <v>Warangal</v>
      </c>
      <c r="AB265" s="1" t="str">
        <f aca="false">TRIM(PROPER(C265))</f>
        <v>Physics Wallah</v>
      </c>
      <c r="AC265" s="1" t="str">
        <f aca="false">IF(O265=0,"No Discount",IF(O265&lt;=15,"Low (1-15%)",IF(O265&lt;=30,"Medium (16-30%)","High (&gt;30%)")))</f>
        <v>No Discount</v>
      </c>
      <c r="AD265" s="1" t="str">
        <f aca="false">IF(V265&lt;0,"Loss Making",IF(V265&lt;20,"Low Margin","Healthy Margin"))</f>
        <v>Healthy Margin</v>
      </c>
      <c r="AE265" s="1" t="str">
        <f aca="false">TEXT(DATE(VALUE(RIGHT(B265,4)),VALUE(MID(B265,4,2)),VALUE(LEFT(B265,2))),"MMM-YYYY")</f>
        <v>Jun-2023</v>
      </c>
      <c r="AF265" s="1" t="n">
        <f aca="false">VALUE(RIGHT(B265,4))</f>
        <v>2023</v>
      </c>
      <c r="AG265" s="1" t="str">
        <f aca="false">CHOOSE(ROUNDUP(VALUE(MID(B265,4,2))/3,0),"Q1","Q2","Q3","Q4")</f>
        <v>Q2</v>
      </c>
    </row>
    <row r="266" customFormat="false" ht="15" hidden="false" customHeight="true" outlineLevel="0" collapsed="false">
      <c r="A266" s="1" t="s">
        <v>642</v>
      </c>
      <c r="B266" s="1" t="s">
        <v>643</v>
      </c>
      <c r="C266" s="1" t="s">
        <v>93</v>
      </c>
      <c r="D266" s="1" t="s">
        <v>143</v>
      </c>
      <c r="E266" s="1" t="s">
        <v>162</v>
      </c>
      <c r="F266" s="1" t="s">
        <v>269</v>
      </c>
      <c r="G266" s="1" t="s">
        <v>108</v>
      </c>
      <c r="H266" s="1" t="s">
        <v>57</v>
      </c>
      <c r="I266" s="1" t="s">
        <v>58</v>
      </c>
      <c r="J266" s="1" t="s">
        <v>70</v>
      </c>
      <c r="K266" s="1" t="s">
        <v>71</v>
      </c>
      <c r="L266" s="1" t="s">
        <v>49</v>
      </c>
      <c r="M266" s="1" t="s">
        <v>38</v>
      </c>
      <c r="N266" s="1" t="n">
        <v>14999</v>
      </c>
      <c r="O266" s="1" t="n">
        <v>50</v>
      </c>
      <c r="P266" s="1" t="n">
        <v>7499.5</v>
      </c>
      <c r="Q266" s="1" t="n">
        <v>7499.5</v>
      </c>
      <c r="R266" s="1" t="n">
        <v>1349.91</v>
      </c>
      <c r="S266" s="1" t="n">
        <v>6149.59</v>
      </c>
      <c r="T266" s="1" t="n">
        <v>3007.95</v>
      </c>
      <c r="U266" s="1" t="n">
        <v>3141.64</v>
      </c>
      <c r="V266" s="1" t="n">
        <v>51.09</v>
      </c>
      <c r="W266" s="1" t="s">
        <v>40</v>
      </c>
      <c r="Y266" s="1" t="s">
        <v>40</v>
      </c>
      <c r="Z266" s="1" t="n">
        <v>0</v>
      </c>
      <c r="AA266" s="1" t="str">
        <f aca="false">TRIM(PROPER(F266))</f>
        <v>Coimbatore</v>
      </c>
      <c r="AB266" s="1" t="str">
        <f aca="false">TRIM(PROPER(C266))</f>
        <v>Upgrad</v>
      </c>
      <c r="AC266" s="1" t="str">
        <f aca="false">IF(O266=0,"No Discount",IF(O266&lt;=15,"Low (1-15%)",IF(O266&lt;=30,"Medium (16-30%)","High (&gt;30%)")))</f>
        <v>High (&gt;30%)</v>
      </c>
      <c r="AD266" s="1" t="str">
        <f aca="false">IF(V266&lt;0,"Loss Making",IF(V266&lt;20,"Low Margin","Healthy Margin"))</f>
        <v>Healthy Margin</v>
      </c>
      <c r="AE266" s="1" t="str">
        <f aca="false">TEXT(DATE(VALUE(RIGHT(B266,4)),VALUE(MID(B266,4,2)),VALUE(LEFT(B266,2))),"MMM-YYYY")</f>
        <v>Aug-2024</v>
      </c>
      <c r="AF266" s="1" t="n">
        <f aca="false">VALUE(RIGHT(B266,4))</f>
        <v>2024</v>
      </c>
      <c r="AG266" s="1" t="str">
        <f aca="false">CHOOSE(ROUNDUP(VALUE(MID(B266,4,2))/3,0),"Q1","Q2","Q3","Q4")</f>
        <v>Q3</v>
      </c>
    </row>
    <row r="267" customFormat="false" ht="15" hidden="false" customHeight="true" outlineLevel="0" collapsed="false">
      <c r="A267" s="1" t="s">
        <v>644</v>
      </c>
      <c r="B267" s="1" t="s">
        <v>380</v>
      </c>
      <c r="C267" s="1" t="s">
        <v>93</v>
      </c>
      <c r="D267" s="1" t="s">
        <v>94</v>
      </c>
      <c r="E267" s="1" t="s">
        <v>101</v>
      </c>
      <c r="F267" s="1" t="s">
        <v>55</v>
      </c>
      <c r="G267" s="1" t="s">
        <v>56</v>
      </c>
      <c r="H267" s="1" t="s">
        <v>57</v>
      </c>
      <c r="I267" s="1" t="s">
        <v>34</v>
      </c>
      <c r="J267" s="1" t="s">
        <v>77</v>
      </c>
      <c r="K267" s="1" t="s">
        <v>90</v>
      </c>
      <c r="L267" s="1" t="s">
        <v>113</v>
      </c>
      <c r="M267" s="1" t="s">
        <v>38</v>
      </c>
      <c r="N267" s="1" t="n">
        <v>14999</v>
      </c>
      <c r="O267" s="1" t="n">
        <v>10</v>
      </c>
      <c r="P267" s="1" t="n">
        <v>1499.9</v>
      </c>
      <c r="Q267" s="1" t="n">
        <v>13499.1</v>
      </c>
      <c r="R267" s="1" t="n">
        <v>2429.84</v>
      </c>
      <c r="S267" s="1" t="n">
        <v>11069.26</v>
      </c>
      <c r="T267" s="1" t="n">
        <v>5475.8</v>
      </c>
      <c r="U267" s="1" t="n">
        <v>5593.46</v>
      </c>
      <c r="V267" s="1" t="n">
        <v>50.53</v>
      </c>
      <c r="W267" s="1" t="s">
        <v>40</v>
      </c>
      <c r="Y267" s="1" t="s">
        <v>39</v>
      </c>
      <c r="Z267" s="1" t="n">
        <v>2</v>
      </c>
      <c r="AA267" s="1" t="str">
        <f aca="false">TRIM(PROPER(F267))</f>
        <v>Ghaziabad</v>
      </c>
      <c r="AB267" s="1" t="str">
        <f aca="false">TRIM(PROPER(C267))</f>
        <v>Upgrad</v>
      </c>
      <c r="AC267" s="1" t="str">
        <f aca="false">IF(O267=0,"No Discount",IF(O267&lt;=15,"Low (1-15%)",IF(O267&lt;=30,"Medium (16-30%)","High (&gt;30%)")))</f>
        <v>Low (1-15%)</v>
      </c>
      <c r="AD267" s="1" t="str">
        <f aca="false">IF(V267&lt;0,"Loss Making",IF(V267&lt;20,"Low Margin","Healthy Margin"))</f>
        <v>Healthy Margin</v>
      </c>
      <c r="AE267" s="1" t="str">
        <f aca="false">TEXT(DATE(VALUE(RIGHT(B267,4)),VALUE(MID(B267,4,2)),VALUE(LEFT(B267,2))),"MMM-YYYY")</f>
        <v>Feb-2023</v>
      </c>
      <c r="AF267" s="1" t="n">
        <f aca="false">VALUE(RIGHT(B267,4))</f>
        <v>2023</v>
      </c>
      <c r="AG267" s="1" t="str">
        <f aca="false">CHOOSE(ROUNDUP(VALUE(MID(B267,4,2))/3,0),"Q1","Q2","Q3","Q4")</f>
        <v>Q1</v>
      </c>
    </row>
    <row r="268" customFormat="false" ht="15" hidden="false" customHeight="true" outlineLevel="0" collapsed="false">
      <c r="A268" s="1" t="s">
        <v>645</v>
      </c>
      <c r="B268" s="1" t="s">
        <v>646</v>
      </c>
      <c r="C268" s="1" t="s">
        <v>93</v>
      </c>
      <c r="D268" s="1" t="s">
        <v>123</v>
      </c>
      <c r="E268" s="1" t="s">
        <v>233</v>
      </c>
      <c r="F268" s="1" t="s">
        <v>130</v>
      </c>
      <c r="G268" s="1" t="s">
        <v>47</v>
      </c>
      <c r="H268" s="1" t="s">
        <v>69</v>
      </c>
      <c r="I268" s="1" t="s">
        <v>83</v>
      </c>
      <c r="J268" s="1" t="s">
        <v>131</v>
      </c>
      <c r="K268" s="1" t="s">
        <v>36</v>
      </c>
      <c r="L268" s="1" t="s">
        <v>113</v>
      </c>
      <c r="M268" s="1" t="s">
        <v>50</v>
      </c>
      <c r="N268" s="1" t="n">
        <v>8999</v>
      </c>
      <c r="O268" s="1" t="n">
        <v>5</v>
      </c>
      <c r="P268" s="1" t="n">
        <v>449.95</v>
      </c>
      <c r="Q268" s="1" t="n">
        <v>8549.05</v>
      </c>
      <c r="R268" s="1" t="n">
        <v>1538.83</v>
      </c>
      <c r="S268" s="1" t="n">
        <v>7010.22</v>
      </c>
      <c r="T268" s="1" t="n">
        <v>2941.57</v>
      </c>
      <c r="U268" s="1" t="n">
        <v>4068.65</v>
      </c>
      <c r="V268" s="1" t="n">
        <v>58.04</v>
      </c>
      <c r="W268" s="1" t="s">
        <v>40</v>
      </c>
      <c r="Y268" s="1" t="s">
        <v>40</v>
      </c>
      <c r="Z268" s="1" t="n">
        <v>0</v>
      </c>
      <c r="AA268" s="1" t="str">
        <f aca="false">TRIM(PROPER(F268))</f>
        <v>Bengaluru</v>
      </c>
      <c r="AB268" s="1" t="str">
        <f aca="false">TRIM(PROPER(C268))</f>
        <v>Upgrad</v>
      </c>
      <c r="AC268" s="1" t="str">
        <f aca="false">IF(O268=0,"No Discount",IF(O268&lt;=15,"Low (1-15%)",IF(O268&lt;=30,"Medium (16-30%)","High (&gt;30%)")))</f>
        <v>Low (1-15%)</v>
      </c>
      <c r="AD268" s="1" t="str">
        <f aca="false">IF(V268&lt;0,"Loss Making",IF(V268&lt;20,"Low Margin","Healthy Margin"))</f>
        <v>Healthy Margin</v>
      </c>
      <c r="AE268" s="1" t="str">
        <f aca="false">TEXT(DATE(VALUE(RIGHT(B268,4)),VALUE(MID(B268,4,2)),VALUE(LEFT(B268,2))),"MMM-YYYY")</f>
        <v>Dec-2024</v>
      </c>
      <c r="AF268" s="1" t="n">
        <f aca="false">VALUE(RIGHT(B268,4))</f>
        <v>2024</v>
      </c>
      <c r="AG268" s="1" t="str">
        <f aca="false">CHOOSE(ROUNDUP(VALUE(MID(B268,4,2))/3,0),"Q1","Q2","Q3","Q4")</f>
        <v>Q4</v>
      </c>
    </row>
    <row r="269" customFormat="false" ht="15" hidden="false" customHeight="true" outlineLevel="0" collapsed="false">
      <c r="A269" s="1" t="s">
        <v>647</v>
      </c>
      <c r="B269" s="1" t="s">
        <v>528</v>
      </c>
      <c r="C269" s="1" t="s">
        <v>128</v>
      </c>
      <c r="D269" s="1" t="s">
        <v>123</v>
      </c>
      <c r="E269" s="1" t="s">
        <v>147</v>
      </c>
      <c r="F269" s="1" t="s">
        <v>244</v>
      </c>
      <c r="G269" s="1" t="s">
        <v>97</v>
      </c>
      <c r="H269" s="1" t="s">
        <v>57</v>
      </c>
      <c r="I269" s="1" t="s">
        <v>83</v>
      </c>
      <c r="J269" s="1" t="s">
        <v>59</v>
      </c>
      <c r="K269" s="1" t="s">
        <v>84</v>
      </c>
      <c r="L269" s="1" t="s">
        <v>113</v>
      </c>
      <c r="M269" s="1" t="s">
        <v>38</v>
      </c>
      <c r="N269" s="1" t="n">
        <v>6999</v>
      </c>
      <c r="O269" s="1" t="n">
        <v>0</v>
      </c>
      <c r="P269" s="1" t="n">
        <v>0</v>
      </c>
      <c r="Q269" s="1" t="n">
        <v>6999</v>
      </c>
      <c r="R269" s="1" t="n">
        <v>1259.82</v>
      </c>
      <c r="S269" s="1" t="n">
        <v>5739.18</v>
      </c>
      <c r="T269" s="1" t="n">
        <v>2736.55</v>
      </c>
      <c r="U269" s="1" t="n">
        <v>3002.63</v>
      </c>
      <c r="V269" s="1" t="n">
        <v>52.32</v>
      </c>
      <c r="W269" s="1" t="s">
        <v>39</v>
      </c>
      <c r="Y269" s="1" t="s">
        <v>40</v>
      </c>
      <c r="Z269" s="1" t="n">
        <v>0</v>
      </c>
      <c r="AA269" s="1" t="str">
        <f aca="false">TRIM(PROPER(F269))</f>
        <v>Nagpur</v>
      </c>
      <c r="AB269" s="1" t="str">
        <f aca="false">TRIM(PROPER(C269))</f>
        <v>Great Learning</v>
      </c>
      <c r="AC269" s="1" t="str">
        <f aca="false">IF(O269=0,"No Discount",IF(O269&lt;=15,"Low (1-15%)",IF(O269&lt;=30,"Medium (16-30%)","High (&gt;30%)")))</f>
        <v>No Discount</v>
      </c>
      <c r="AD269" s="1" t="str">
        <f aca="false">IF(V269&lt;0,"Loss Making",IF(V269&lt;20,"Low Margin","Healthy Margin"))</f>
        <v>Healthy Margin</v>
      </c>
      <c r="AE269" s="1" t="str">
        <f aca="false">TEXT(DATE(VALUE(RIGHT(B269,4)),VALUE(MID(B269,4,2)),VALUE(LEFT(B269,2))),"MMM-YYYY")</f>
        <v>Aug-2024</v>
      </c>
      <c r="AF269" s="1" t="n">
        <f aca="false">VALUE(RIGHT(B269,4))</f>
        <v>2024</v>
      </c>
      <c r="AG269" s="1" t="str">
        <f aca="false">CHOOSE(ROUNDUP(VALUE(MID(B269,4,2))/3,0),"Q1","Q2","Q3","Q4")</f>
        <v>Q3</v>
      </c>
    </row>
    <row r="270" customFormat="false" ht="15" hidden="false" customHeight="true" outlineLevel="0" collapsed="false">
      <c r="A270" s="1" t="s">
        <v>648</v>
      </c>
      <c r="B270" s="1" t="s">
        <v>649</v>
      </c>
      <c r="C270" s="1" t="s">
        <v>167</v>
      </c>
      <c r="D270" s="1" t="s">
        <v>44</v>
      </c>
      <c r="E270" s="1" t="s">
        <v>45</v>
      </c>
      <c r="F270" s="1" t="s">
        <v>211</v>
      </c>
      <c r="G270" s="1" t="s">
        <v>56</v>
      </c>
      <c r="H270" s="1" t="s">
        <v>69</v>
      </c>
      <c r="I270" s="1" t="s">
        <v>58</v>
      </c>
      <c r="J270" s="1" t="s">
        <v>35</v>
      </c>
      <c r="K270" s="1" t="s">
        <v>48</v>
      </c>
      <c r="L270" s="1" t="s">
        <v>136</v>
      </c>
      <c r="M270" s="1" t="s">
        <v>38</v>
      </c>
      <c r="N270" s="1" t="n">
        <v>11999</v>
      </c>
      <c r="O270" s="1" t="n">
        <v>30</v>
      </c>
      <c r="P270" s="1" t="n">
        <v>3599.7</v>
      </c>
      <c r="Q270" s="1" t="n">
        <v>8399.3</v>
      </c>
      <c r="R270" s="1" t="n">
        <v>1511.87</v>
      </c>
      <c r="S270" s="1" t="n">
        <v>6887.43</v>
      </c>
      <c r="T270" s="1" t="n">
        <v>2276.68</v>
      </c>
      <c r="U270" s="1" t="n">
        <v>4610.75</v>
      </c>
      <c r="V270" s="1" t="n">
        <v>66.94</v>
      </c>
      <c r="W270" s="1" t="s">
        <v>40</v>
      </c>
      <c r="Y270" s="1" t="s">
        <v>40</v>
      </c>
      <c r="Z270" s="1" t="n">
        <v>1</v>
      </c>
      <c r="AA270" s="1" t="str">
        <f aca="false">TRIM(PROPER(F270))</f>
        <v>Noida</v>
      </c>
      <c r="AB270" s="1" t="str">
        <f aca="false">TRIM(PROPER(C270))</f>
        <v>Scaler</v>
      </c>
      <c r="AC270" s="1" t="str">
        <f aca="false">IF(O270=0,"No Discount",IF(O270&lt;=15,"Low (1-15%)",IF(O270&lt;=30,"Medium (16-30%)","High (&gt;30%)")))</f>
        <v>Medium (16-30%)</v>
      </c>
      <c r="AD270" s="1" t="str">
        <f aca="false">IF(V270&lt;0,"Loss Making",IF(V270&lt;20,"Low Margin","Healthy Margin"))</f>
        <v>Healthy Margin</v>
      </c>
      <c r="AE270" s="1" t="str">
        <f aca="false">TEXT(DATE(VALUE(RIGHT(B270,4)),VALUE(MID(B270,4,2)),VALUE(LEFT(B270,2))),"MMM-YYYY")</f>
        <v>Nov-2023</v>
      </c>
      <c r="AF270" s="1" t="n">
        <f aca="false">VALUE(RIGHT(B270,4))</f>
        <v>2023</v>
      </c>
      <c r="AG270" s="1" t="str">
        <f aca="false">CHOOSE(ROUNDUP(VALUE(MID(B270,4,2))/3,0),"Q1","Q2","Q3","Q4")</f>
        <v>Q4</v>
      </c>
    </row>
    <row r="271" customFormat="false" ht="15" hidden="false" customHeight="true" outlineLevel="0" collapsed="false">
      <c r="A271" s="1" t="s">
        <v>650</v>
      </c>
      <c r="B271" s="1" t="s">
        <v>651</v>
      </c>
      <c r="C271" s="1" t="s">
        <v>28</v>
      </c>
      <c r="D271" s="1" t="s">
        <v>80</v>
      </c>
      <c r="E271" s="1" t="s">
        <v>175</v>
      </c>
      <c r="F271" s="1" t="s">
        <v>82</v>
      </c>
      <c r="G271" s="1" t="s">
        <v>56</v>
      </c>
      <c r="H271" s="1" t="s">
        <v>69</v>
      </c>
      <c r="I271" s="1" t="s">
        <v>83</v>
      </c>
      <c r="J271" s="1" t="s">
        <v>35</v>
      </c>
      <c r="K271" s="1" t="s">
        <v>71</v>
      </c>
      <c r="L271" s="1" t="s">
        <v>49</v>
      </c>
      <c r="M271" s="1" t="s">
        <v>62</v>
      </c>
      <c r="N271" s="1" t="n">
        <v>19999</v>
      </c>
      <c r="O271" s="1" t="n">
        <v>0</v>
      </c>
      <c r="P271" s="1" t="n">
        <v>0</v>
      </c>
      <c r="Q271" s="1" t="n">
        <v>19999</v>
      </c>
      <c r="R271" s="1" t="n">
        <v>3599.82</v>
      </c>
      <c r="S271" s="1" t="n">
        <v>16399.18</v>
      </c>
      <c r="T271" s="1" t="n">
        <v>7604.03</v>
      </c>
      <c r="U271" s="1" t="n">
        <v>8795.15</v>
      </c>
      <c r="V271" s="1" t="n">
        <v>53.63</v>
      </c>
      <c r="W271" s="1" t="s">
        <v>39</v>
      </c>
      <c r="X271" s="1" t="n">
        <v>4.4</v>
      </c>
      <c r="Y271" s="1" t="s">
        <v>39</v>
      </c>
      <c r="Z271" s="1" t="n">
        <v>0</v>
      </c>
      <c r="AA271" s="1" t="str">
        <f aca="false">TRIM(PROPER(F271))</f>
        <v>Gurugram</v>
      </c>
      <c r="AB271" s="1" t="str">
        <f aca="false">TRIM(PROPER(C271))</f>
        <v>Embibe</v>
      </c>
      <c r="AC271" s="1" t="str">
        <f aca="false">IF(O271=0,"No Discount",IF(O271&lt;=15,"Low (1-15%)",IF(O271&lt;=30,"Medium (16-30%)","High (&gt;30%)")))</f>
        <v>No Discount</v>
      </c>
      <c r="AD271" s="1" t="str">
        <f aca="false">IF(V271&lt;0,"Loss Making",IF(V271&lt;20,"Low Margin","Healthy Margin"))</f>
        <v>Healthy Margin</v>
      </c>
      <c r="AE271" s="1" t="str">
        <f aca="false">TEXT(DATE(VALUE(RIGHT(B271,4)),VALUE(MID(B271,4,2)),VALUE(LEFT(B271,2))),"MMM-YYYY")</f>
        <v>Jun-2023</v>
      </c>
      <c r="AF271" s="1" t="n">
        <f aca="false">VALUE(RIGHT(B271,4))</f>
        <v>2023</v>
      </c>
      <c r="AG271" s="1" t="str">
        <f aca="false">CHOOSE(ROUNDUP(VALUE(MID(B271,4,2))/3,0),"Q1","Q2","Q3","Q4")</f>
        <v>Q2</v>
      </c>
    </row>
    <row r="272" customFormat="false" ht="15" hidden="false" customHeight="true" outlineLevel="0" collapsed="false">
      <c r="A272" s="1" t="s">
        <v>652</v>
      </c>
      <c r="B272" s="1" t="s">
        <v>653</v>
      </c>
      <c r="C272" s="1" t="s">
        <v>43</v>
      </c>
      <c r="D272" s="1" t="s">
        <v>94</v>
      </c>
      <c r="E272" s="1" t="s">
        <v>95</v>
      </c>
      <c r="F272" s="1" t="s">
        <v>31</v>
      </c>
      <c r="G272" s="1" t="s">
        <v>32</v>
      </c>
      <c r="H272" s="1" t="s">
        <v>33</v>
      </c>
      <c r="I272" s="1" t="s">
        <v>83</v>
      </c>
      <c r="J272" s="1" t="s">
        <v>70</v>
      </c>
      <c r="K272" s="1" t="s">
        <v>90</v>
      </c>
      <c r="L272" s="1" t="s">
        <v>49</v>
      </c>
      <c r="M272" s="1" t="s">
        <v>50</v>
      </c>
      <c r="N272" s="1" t="n">
        <v>6999</v>
      </c>
      <c r="O272" s="1" t="n">
        <v>5</v>
      </c>
      <c r="P272" s="1" t="n">
        <v>349.95</v>
      </c>
      <c r="Q272" s="1" t="n">
        <v>6649.05</v>
      </c>
      <c r="R272" s="1" t="n">
        <v>1196.83</v>
      </c>
      <c r="S272" s="1" t="n">
        <v>5452.22</v>
      </c>
      <c r="T272" s="1" t="n">
        <v>2340.31</v>
      </c>
      <c r="U272" s="1" t="n">
        <v>3111.91</v>
      </c>
      <c r="V272" s="1" t="n">
        <v>57.08</v>
      </c>
      <c r="W272" s="1" t="s">
        <v>40</v>
      </c>
      <c r="Y272" s="1" t="s">
        <v>40</v>
      </c>
      <c r="Z272" s="1" t="n">
        <v>2</v>
      </c>
      <c r="AA272" s="1" t="str">
        <f aca="false">TRIM(PROPER(F272))</f>
        <v>Jodhpur</v>
      </c>
      <c r="AB272" s="1" t="str">
        <f aca="false">TRIM(PROPER(C272))</f>
        <v>Meritnation</v>
      </c>
      <c r="AC272" s="1" t="str">
        <f aca="false">IF(O272=0,"No Discount",IF(O272&lt;=15,"Low (1-15%)",IF(O272&lt;=30,"Medium (16-30%)","High (&gt;30%)")))</f>
        <v>Low (1-15%)</v>
      </c>
      <c r="AD272" s="1" t="str">
        <f aca="false">IF(V272&lt;0,"Loss Making",IF(V272&lt;20,"Low Margin","Healthy Margin"))</f>
        <v>Healthy Margin</v>
      </c>
      <c r="AE272" s="1" t="str">
        <f aca="false">TEXT(DATE(VALUE(RIGHT(B272,4)),VALUE(MID(B272,4,2)),VALUE(LEFT(B272,2))),"MMM-YYYY")</f>
        <v>Aug-2024</v>
      </c>
      <c r="AF272" s="1" t="n">
        <f aca="false">VALUE(RIGHT(B272,4))</f>
        <v>2024</v>
      </c>
      <c r="AG272" s="1" t="str">
        <f aca="false">CHOOSE(ROUNDUP(VALUE(MID(B272,4,2))/3,0),"Q1","Q2","Q3","Q4")</f>
        <v>Q3</v>
      </c>
    </row>
    <row r="273" customFormat="false" ht="15" hidden="false" customHeight="true" outlineLevel="0" collapsed="false">
      <c r="A273" s="1" t="s">
        <v>654</v>
      </c>
      <c r="B273" s="1" t="s">
        <v>300</v>
      </c>
      <c r="C273" s="1" t="s">
        <v>93</v>
      </c>
      <c r="D273" s="1" t="s">
        <v>143</v>
      </c>
      <c r="E273" s="1" t="s">
        <v>144</v>
      </c>
      <c r="F273" s="1" t="s">
        <v>125</v>
      </c>
      <c r="G273" s="1" t="s">
        <v>108</v>
      </c>
      <c r="H273" s="1" t="s">
        <v>69</v>
      </c>
      <c r="I273" s="1" t="s">
        <v>83</v>
      </c>
      <c r="J273" s="1" t="s">
        <v>35</v>
      </c>
      <c r="K273" s="1" t="s">
        <v>90</v>
      </c>
      <c r="L273" s="1" t="s">
        <v>85</v>
      </c>
      <c r="M273" s="1" t="s">
        <v>50</v>
      </c>
      <c r="N273" s="1" t="n">
        <v>12999</v>
      </c>
      <c r="O273" s="1" t="n">
        <v>5</v>
      </c>
      <c r="P273" s="1" t="n">
        <v>649.95</v>
      </c>
      <c r="Q273" s="1" t="n">
        <v>12349.05</v>
      </c>
      <c r="R273" s="1" t="n">
        <v>2222.83</v>
      </c>
      <c r="S273" s="1" t="n">
        <v>10126.22</v>
      </c>
      <c r="T273" s="1" t="n">
        <v>5271.55</v>
      </c>
      <c r="U273" s="1" t="n">
        <v>4854.67</v>
      </c>
      <c r="V273" s="1" t="n">
        <v>47.94</v>
      </c>
      <c r="W273" s="1" t="s">
        <v>40</v>
      </c>
      <c r="Y273" s="1" t="s">
        <v>39</v>
      </c>
      <c r="Z273" s="1" t="n">
        <v>1</v>
      </c>
      <c r="AA273" s="1" t="str">
        <f aca="false">TRIM(PROPER(F273))</f>
        <v>Chennai</v>
      </c>
      <c r="AB273" s="1" t="str">
        <f aca="false">TRIM(PROPER(C273))</f>
        <v>Upgrad</v>
      </c>
      <c r="AC273" s="1" t="str">
        <f aca="false">IF(O273=0,"No Discount",IF(O273&lt;=15,"Low (1-15%)",IF(O273&lt;=30,"Medium (16-30%)","High (&gt;30%)")))</f>
        <v>Low (1-15%)</v>
      </c>
      <c r="AD273" s="1" t="str">
        <f aca="false">IF(V273&lt;0,"Loss Making",IF(V273&lt;20,"Low Margin","Healthy Margin"))</f>
        <v>Healthy Margin</v>
      </c>
      <c r="AE273" s="1" t="str">
        <f aca="false">TEXT(DATE(VALUE(RIGHT(B273,4)),VALUE(MID(B273,4,2)),VALUE(LEFT(B273,2))),"MMM-YYYY")</f>
        <v>Dec-2024</v>
      </c>
      <c r="AF273" s="1" t="n">
        <f aca="false">VALUE(RIGHT(B273,4))</f>
        <v>2024</v>
      </c>
      <c r="AG273" s="1" t="str">
        <f aca="false">CHOOSE(ROUNDUP(VALUE(MID(B273,4,2))/3,0),"Q1","Q2","Q3","Q4")</f>
        <v>Q4</v>
      </c>
    </row>
    <row r="274" customFormat="false" ht="15" hidden="false" customHeight="true" outlineLevel="0" collapsed="false">
      <c r="A274" s="1" t="s">
        <v>655</v>
      </c>
      <c r="B274" s="1" t="s">
        <v>530</v>
      </c>
      <c r="C274" s="1" t="s">
        <v>249</v>
      </c>
      <c r="D274" s="1" t="s">
        <v>143</v>
      </c>
      <c r="E274" s="1" t="s">
        <v>162</v>
      </c>
      <c r="F274" s="1" t="s">
        <v>125</v>
      </c>
      <c r="G274" s="1" t="s">
        <v>108</v>
      </c>
      <c r="H274" s="1" t="s">
        <v>69</v>
      </c>
      <c r="I274" s="1" t="s">
        <v>58</v>
      </c>
      <c r="J274" s="1" t="s">
        <v>35</v>
      </c>
      <c r="K274" s="1" t="s">
        <v>104</v>
      </c>
      <c r="L274" s="1" t="s">
        <v>136</v>
      </c>
      <c r="M274" s="1" t="s">
        <v>62</v>
      </c>
      <c r="N274" s="1" t="n">
        <v>14999</v>
      </c>
      <c r="O274" s="1" t="n">
        <v>10</v>
      </c>
      <c r="P274" s="1" t="n">
        <v>1499.9</v>
      </c>
      <c r="Q274" s="1" t="n">
        <v>13499.1</v>
      </c>
      <c r="R274" s="1" t="n">
        <v>2429.84</v>
      </c>
      <c r="S274" s="1" t="n">
        <v>11069.26</v>
      </c>
      <c r="T274" s="1" t="n">
        <v>3534.66</v>
      </c>
      <c r="U274" s="1" t="n">
        <v>7534.6</v>
      </c>
      <c r="V274" s="1" t="n">
        <v>68.07</v>
      </c>
      <c r="W274" s="1" t="s">
        <v>39</v>
      </c>
      <c r="X274" s="1" t="n">
        <v>3.8</v>
      </c>
      <c r="Y274" s="1" t="s">
        <v>40</v>
      </c>
      <c r="Z274" s="1" t="n">
        <v>2</v>
      </c>
      <c r="AA274" s="1" t="str">
        <f aca="false">TRIM(PROPER(F274))</f>
        <v>Chennai</v>
      </c>
      <c r="AB274" s="1" t="str">
        <f aca="false">TRIM(PROPER(C274))</f>
        <v>Whitehat Jr</v>
      </c>
      <c r="AC274" s="1" t="str">
        <f aca="false">IF(O274=0,"No Discount",IF(O274&lt;=15,"Low (1-15%)",IF(O274&lt;=30,"Medium (16-30%)","High (&gt;30%)")))</f>
        <v>Low (1-15%)</v>
      </c>
      <c r="AD274" s="1" t="str">
        <f aca="false">IF(V274&lt;0,"Loss Making",IF(V274&lt;20,"Low Margin","Healthy Margin"))</f>
        <v>Healthy Margin</v>
      </c>
      <c r="AE274" s="1" t="str">
        <f aca="false">TEXT(DATE(VALUE(RIGHT(B274,4)),VALUE(MID(B274,4,2)),VALUE(LEFT(B274,2))),"MMM-YYYY")</f>
        <v>Nov-2023</v>
      </c>
      <c r="AF274" s="1" t="n">
        <f aca="false">VALUE(RIGHT(B274,4))</f>
        <v>2023</v>
      </c>
      <c r="AG274" s="1" t="str">
        <f aca="false">CHOOSE(ROUNDUP(VALUE(MID(B274,4,2))/3,0),"Q1","Q2","Q3","Q4")</f>
        <v>Q4</v>
      </c>
    </row>
    <row r="275" customFormat="false" ht="15" hidden="false" customHeight="true" outlineLevel="0" collapsed="false">
      <c r="A275" s="1" t="s">
        <v>656</v>
      </c>
      <c r="B275" s="1" t="s">
        <v>657</v>
      </c>
      <c r="C275" s="1" t="s">
        <v>43</v>
      </c>
      <c r="D275" s="1" t="s">
        <v>53</v>
      </c>
      <c r="E275" s="1" t="s">
        <v>116</v>
      </c>
      <c r="F275" s="1" t="s">
        <v>89</v>
      </c>
      <c r="G275" s="1" t="s">
        <v>68</v>
      </c>
      <c r="H275" s="1" t="s">
        <v>33</v>
      </c>
      <c r="I275" s="1" t="s">
        <v>34</v>
      </c>
      <c r="J275" s="1" t="s">
        <v>59</v>
      </c>
      <c r="K275" s="1" t="s">
        <v>36</v>
      </c>
      <c r="L275" s="1" t="s">
        <v>113</v>
      </c>
      <c r="M275" s="1" t="s">
        <v>62</v>
      </c>
      <c r="N275" s="1" t="n">
        <v>9999</v>
      </c>
      <c r="O275" s="1" t="n">
        <v>10</v>
      </c>
      <c r="P275" s="1" t="n">
        <v>999.9</v>
      </c>
      <c r="Q275" s="1" t="n">
        <v>8999.1</v>
      </c>
      <c r="R275" s="1" t="n">
        <v>1619.84</v>
      </c>
      <c r="S275" s="1" t="n">
        <v>7379.26</v>
      </c>
      <c r="T275" s="1" t="n">
        <v>2607.06</v>
      </c>
      <c r="U275" s="1" t="n">
        <v>4772.2</v>
      </c>
      <c r="V275" s="1" t="n">
        <v>64.67</v>
      </c>
      <c r="W275" s="1" t="s">
        <v>40</v>
      </c>
      <c r="Y275" s="1" t="s">
        <v>39</v>
      </c>
      <c r="Z275" s="1" t="n">
        <v>0</v>
      </c>
      <c r="AA275" s="1" t="str">
        <f aca="false">TRIM(PROPER(F275))</f>
        <v>Vadodara</v>
      </c>
      <c r="AB275" s="1" t="str">
        <f aca="false">TRIM(PROPER(C275))</f>
        <v>Meritnation</v>
      </c>
      <c r="AC275" s="1" t="str">
        <f aca="false">IF(O275=0,"No Discount",IF(O275&lt;=15,"Low (1-15%)",IF(O275&lt;=30,"Medium (16-30%)","High (&gt;30%)")))</f>
        <v>Low (1-15%)</v>
      </c>
      <c r="AD275" s="1" t="str">
        <f aca="false">IF(V275&lt;0,"Loss Making",IF(V275&lt;20,"Low Margin","Healthy Margin"))</f>
        <v>Healthy Margin</v>
      </c>
      <c r="AE275" s="1" t="str">
        <f aca="false">TEXT(DATE(VALUE(RIGHT(B275,4)),VALUE(MID(B275,4,2)),VALUE(LEFT(B275,2))),"MMM-YYYY")</f>
        <v>May-2024</v>
      </c>
      <c r="AF275" s="1" t="n">
        <f aca="false">VALUE(RIGHT(B275,4))</f>
        <v>2024</v>
      </c>
      <c r="AG275" s="1" t="str">
        <f aca="false">CHOOSE(ROUNDUP(VALUE(MID(B275,4,2))/3,0),"Q1","Q2","Q3","Q4")</f>
        <v>Q2</v>
      </c>
    </row>
    <row r="276" customFormat="false" ht="15" hidden="false" customHeight="true" outlineLevel="0" collapsed="false">
      <c r="A276" s="1" t="s">
        <v>658</v>
      </c>
      <c r="B276" s="1" t="s">
        <v>213</v>
      </c>
      <c r="C276" s="1" t="s">
        <v>139</v>
      </c>
      <c r="D276" s="1" t="s">
        <v>94</v>
      </c>
      <c r="E276" s="1" t="s">
        <v>95</v>
      </c>
      <c r="F276" s="1" t="s">
        <v>156</v>
      </c>
      <c r="G276" s="1" t="s">
        <v>68</v>
      </c>
      <c r="H276" s="1" t="s">
        <v>57</v>
      </c>
      <c r="I276" s="1" t="s">
        <v>83</v>
      </c>
      <c r="J276" s="1" t="s">
        <v>35</v>
      </c>
      <c r="K276" s="1" t="s">
        <v>112</v>
      </c>
      <c r="L276" s="1" t="s">
        <v>85</v>
      </c>
      <c r="M276" s="1" t="s">
        <v>38</v>
      </c>
      <c r="N276" s="1" t="n">
        <v>6999</v>
      </c>
      <c r="O276" s="1" t="n">
        <v>15</v>
      </c>
      <c r="P276" s="1" t="n">
        <v>1049.85</v>
      </c>
      <c r="Q276" s="1" t="n">
        <v>5949.15</v>
      </c>
      <c r="R276" s="1" t="n">
        <v>1070.85</v>
      </c>
      <c r="S276" s="1" t="n">
        <v>4878.3</v>
      </c>
      <c r="T276" s="1" t="n">
        <v>2239.99</v>
      </c>
      <c r="U276" s="1" t="n">
        <v>2638.31</v>
      </c>
      <c r="V276" s="1" t="n">
        <v>54.08</v>
      </c>
      <c r="W276" s="1" t="s">
        <v>40</v>
      </c>
      <c r="Y276" s="1" t="s">
        <v>40</v>
      </c>
      <c r="Z276" s="1" t="n">
        <v>0</v>
      </c>
      <c r="AA276" s="1" t="str">
        <f aca="false">TRIM(PROPER(F276))</f>
        <v>Surat</v>
      </c>
      <c r="AB276" s="1" t="str">
        <f aca="false">TRIM(PROPER(C276))</f>
        <v>Extramarks</v>
      </c>
      <c r="AC276" s="1" t="str">
        <f aca="false">IF(O276=0,"No Discount",IF(O276&lt;=15,"Low (1-15%)",IF(O276&lt;=30,"Medium (16-30%)","High (&gt;30%)")))</f>
        <v>Low (1-15%)</v>
      </c>
      <c r="AD276" s="1" t="str">
        <f aca="false">IF(V276&lt;0,"Loss Making",IF(V276&lt;20,"Low Margin","Healthy Margin"))</f>
        <v>Healthy Margin</v>
      </c>
      <c r="AE276" s="1" t="str">
        <f aca="false">TEXT(DATE(VALUE(RIGHT(B276,4)),VALUE(MID(B276,4,2)),VALUE(LEFT(B276,2))),"MMM-YYYY")</f>
        <v>Jan-2024</v>
      </c>
      <c r="AF276" s="1" t="n">
        <f aca="false">VALUE(RIGHT(B276,4))</f>
        <v>2024</v>
      </c>
      <c r="AG276" s="1" t="str">
        <f aca="false">CHOOSE(ROUNDUP(VALUE(MID(B276,4,2))/3,0),"Q1","Q2","Q3","Q4")</f>
        <v>Q1</v>
      </c>
    </row>
    <row r="277" customFormat="false" ht="15" hidden="false" customHeight="true" outlineLevel="0" collapsed="false">
      <c r="A277" s="1" t="s">
        <v>659</v>
      </c>
      <c r="B277" s="1" t="s">
        <v>164</v>
      </c>
      <c r="C277" s="1" t="s">
        <v>249</v>
      </c>
      <c r="D277" s="1" t="s">
        <v>29</v>
      </c>
      <c r="E277" s="1" t="s">
        <v>129</v>
      </c>
      <c r="F277" s="1" t="s">
        <v>102</v>
      </c>
      <c r="G277" s="1" t="s">
        <v>103</v>
      </c>
      <c r="H277" s="1" t="s">
        <v>33</v>
      </c>
      <c r="I277" s="1" t="s">
        <v>58</v>
      </c>
      <c r="J277" s="1" t="s">
        <v>131</v>
      </c>
      <c r="K277" s="1" t="s">
        <v>60</v>
      </c>
      <c r="L277" s="1" t="s">
        <v>49</v>
      </c>
      <c r="M277" s="1" t="s">
        <v>50</v>
      </c>
      <c r="N277" s="1" t="n">
        <v>29999</v>
      </c>
      <c r="O277" s="1" t="n">
        <v>0</v>
      </c>
      <c r="P277" s="1" t="n">
        <v>0</v>
      </c>
      <c r="Q277" s="1" t="n">
        <v>29999</v>
      </c>
      <c r="R277" s="1" t="n">
        <v>5399.82</v>
      </c>
      <c r="S277" s="1" t="n">
        <v>24599.18</v>
      </c>
      <c r="T277" s="1" t="n">
        <v>11010.09</v>
      </c>
      <c r="U277" s="1" t="n">
        <v>13589.09</v>
      </c>
      <c r="V277" s="1" t="n">
        <v>55.24</v>
      </c>
      <c r="W277" s="1" t="s">
        <v>40</v>
      </c>
      <c r="Y277" s="1" t="s">
        <v>40</v>
      </c>
      <c r="Z277" s="1" t="n">
        <v>1</v>
      </c>
      <c r="AA277" s="1" t="str">
        <f aca="false">TRIM(PROPER(F277))</f>
        <v>Warangal</v>
      </c>
      <c r="AB277" s="1" t="str">
        <f aca="false">TRIM(PROPER(C277))</f>
        <v>Whitehat Jr</v>
      </c>
      <c r="AC277" s="1" t="str">
        <f aca="false">IF(O277=0,"No Discount",IF(O277&lt;=15,"Low (1-15%)",IF(O277&lt;=30,"Medium (16-30%)","High (&gt;30%)")))</f>
        <v>No Discount</v>
      </c>
      <c r="AD277" s="1" t="str">
        <f aca="false">IF(V277&lt;0,"Loss Making",IF(V277&lt;20,"Low Margin","Healthy Margin"))</f>
        <v>Healthy Margin</v>
      </c>
      <c r="AE277" s="1" t="str">
        <f aca="false">TEXT(DATE(VALUE(RIGHT(B277,4)),VALUE(MID(B277,4,2)),VALUE(LEFT(B277,2))),"MMM-YYYY")</f>
        <v>Jan-2023</v>
      </c>
      <c r="AF277" s="1" t="n">
        <f aca="false">VALUE(RIGHT(B277,4))</f>
        <v>2023</v>
      </c>
      <c r="AG277" s="1" t="str">
        <f aca="false">CHOOSE(ROUNDUP(VALUE(MID(B277,4,2))/3,0),"Q1","Q2","Q3","Q4")</f>
        <v>Q1</v>
      </c>
    </row>
    <row r="278" customFormat="false" ht="15" hidden="false" customHeight="true" outlineLevel="0" collapsed="false">
      <c r="A278" s="1" t="s">
        <v>660</v>
      </c>
      <c r="B278" s="1" t="s">
        <v>661</v>
      </c>
      <c r="C278" s="1" t="s">
        <v>249</v>
      </c>
      <c r="D278" s="1" t="s">
        <v>29</v>
      </c>
      <c r="E278" s="1" t="s">
        <v>129</v>
      </c>
      <c r="F278" s="1" t="s">
        <v>46</v>
      </c>
      <c r="G278" s="1" t="s">
        <v>47</v>
      </c>
      <c r="H278" s="1" t="s">
        <v>33</v>
      </c>
      <c r="I278" s="1" t="s">
        <v>34</v>
      </c>
      <c r="J278" s="1" t="s">
        <v>70</v>
      </c>
      <c r="K278" s="1" t="s">
        <v>104</v>
      </c>
      <c r="L278" s="1" t="s">
        <v>113</v>
      </c>
      <c r="M278" s="1" t="s">
        <v>50</v>
      </c>
      <c r="N278" s="1" t="n">
        <v>29999</v>
      </c>
      <c r="O278" s="1" t="n">
        <v>0</v>
      </c>
      <c r="P278" s="1" t="n">
        <v>0</v>
      </c>
      <c r="Q278" s="1" t="n">
        <v>29999</v>
      </c>
      <c r="R278" s="1" t="n">
        <v>5399.82</v>
      </c>
      <c r="S278" s="1" t="n">
        <v>24599.18</v>
      </c>
      <c r="T278" s="1" t="n">
        <v>8384.27</v>
      </c>
      <c r="U278" s="1" t="n">
        <v>16214.91</v>
      </c>
      <c r="V278" s="1" t="n">
        <v>65.92</v>
      </c>
      <c r="W278" s="1" t="s">
        <v>39</v>
      </c>
      <c r="X278" s="1" t="n">
        <v>4.5</v>
      </c>
      <c r="Y278" s="1" t="s">
        <v>40</v>
      </c>
      <c r="Z278" s="1" t="n">
        <v>0</v>
      </c>
      <c r="AA278" s="1" t="str">
        <f aca="false">TRIM(PROPER(F278))</f>
        <v>Mangaluru</v>
      </c>
      <c r="AB278" s="1" t="str">
        <f aca="false">TRIM(PROPER(C278))</f>
        <v>Whitehat Jr</v>
      </c>
      <c r="AC278" s="1" t="str">
        <f aca="false">IF(O278=0,"No Discount",IF(O278&lt;=15,"Low (1-15%)",IF(O278&lt;=30,"Medium (16-30%)","High (&gt;30%)")))</f>
        <v>No Discount</v>
      </c>
      <c r="AD278" s="1" t="str">
        <f aca="false">IF(V278&lt;0,"Loss Making",IF(V278&lt;20,"Low Margin","Healthy Margin"))</f>
        <v>Healthy Margin</v>
      </c>
      <c r="AE278" s="1" t="str">
        <f aca="false">TEXT(DATE(VALUE(RIGHT(B278,4)),VALUE(MID(B278,4,2)),VALUE(LEFT(B278,2))),"MMM-YYYY")</f>
        <v>Apr-2023</v>
      </c>
      <c r="AF278" s="1" t="n">
        <f aca="false">VALUE(RIGHT(B278,4))</f>
        <v>2023</v>
      </c>
      <c r="AG278" s="1" t="str">
        <f aca="false">CHOOSE(ROUNDUP(VALUE(MID(B278,4,2))/3,0),"Q1","Q2","Q3","Q4")</f>
        <v>Q2</v>
      </c>
    </row>
    <row r="279" customFormat="false" ht="15" hidden="false" customHeight="true" outlineLevel="0" collapsed="false">
      <c r="A279" s="1" t="s">
        <v>662</v>
      </c>
      <c r="B279" s="1" t="s">
        <v>309</v>
      </c>
      <c r="C279" s="1" t="s">
        <v>264</v>
      </c>
      <c r="D279" s="1" t="s">
        <v>29</v>
      </c>
      <c r="E279" s="1" t="s">
        <v>129</v>
      </c>
      <c r="F279" s="1" t="s">
        <v>130</v>
      </c>
      <c r="G279" s="1" t="s">
        <v>47</v>
      </c>
      <c r="H279" s="1" t="s">
        <v>69</v>
      </c>
      <c r="I279" s="1" t="s">
        <v>34</v>
      </c>
      <c r="J279" s="1" t="s">
        <v>70</v>
      </c>
      <c r="K279" s="1" t="s">
        <v>71</v>
      </c>
      <c r="L279" s="1" t="s">
        <v>113</v>
      </c>
      <c r="M279" s="1" t="s">
        <v>38</v>
      </c>
      <c r="N279" s="1" t="n">
        <v>29999</v>
      </c>
      <c r="O279" s="1" t="n">
        <v>0</v>
      </c>
      <c r="P279" s="1" t="n">
        <v>0</v>
      </c>
      <c r="Q279" s="1" t="n">
        <v>29999</v>
      </c>
      <c r="R279" s="1" t="n">
        <v>5399.82</v>
      </c>
      <c r="S279" s="1" t="n">
        <v>24599.18</v>
      </c>
      <c r="T279" s="1" t="n">
        <v>10989.87</v>
      </c>
      <c r="U279" s="1" t="n">
        <v>13609.31</v>
      </c>
      <c r="V279" s="1" t="n">
        <v>55.32</v>
      </c>
      <c r="W279" s="1" t="s">
        <v>40</v>
      </c>
      <c r="Y279" s="1" t="s">
        <v>40</v>
      </c>
      <c r="Z279" s="1" t="n">
        <v>1</v>
      </c>
      <c r="AA279" s="1" t="str">
        <f aca="false">TRIM(PROPER(F279))</f>
        <v>Bengaluru</v>
      </c>
      <c r="AB279" s="1" t="str">
        <f aca="false">TRIM(PROPER(C279))</f>
        <v>Unacademy</v>
      </c>
      <c r="AC279" s="1" t="str">
        <f aca="false">IF(O279=0,"No Discount",IF(O279&lt;=15,"Low (1-15%)",IF(O279&lt;=30,"Medium (16-30%)","High (&gt;30%)")))</f>
        <v>No Discount</v>
      </c>
      <c r="AD279" s="1" t="str">
        <f aca="false">IF(V279&lt;0,"Loss Making",IF(V279&lt;20,"Low Margin","Healthy Margin"))</f>
        <v>Healthy Margin</v>
      </c>
      <c r="AE279" s="1" t="str">
        <f aca="false">TEXT(DATE(VALUE(RIGHT(B279,4)),VALUE(MID(B279,4,2)),VALUE(LEFT(B279,2))),"MMM-YYYY")</f>
        <v>Oct-2024</v>
      </c>
      <c r="AF279" s="1" t="n">
        <f aca="false">VALUE(RIGHT(B279,4))</f>
        <v>2024</v>
      </c>
      <c r="AG279" s="1" t="str">
        <f aca="false">CHOOSE(ROUNDUP(VALUE(MID(B279,4,2))/3,0),"Q1","Q2","Q3","Q4")</f>
        <v>Q4</v>
      </c>
    </row>
    <row r="280" customFormat="false" ht="15" hidden="false" customHeight="true" outlineLevel="0" collapsed="false">
      <c r="A280" s="1" t="s">
        <v>663</v>
      </c>
      <c r="B280" s="1" t="s">
        <v>239</v>
      </c>
      <c r="C280" s="1" t="s">
        <v>128</v>
      </c>
      <c r="D280" s="1" t="s">
        <v>53</v>
      </c>
      <c r="E280" s="1" t="s">
        <v>216</v>
      </c>
      <c r="F280" s="1" t="s">
        <v>55</v>
      </c>
      <c r="G280" s="1" t="s">
        <v>56</v>
      </c>
      <c r="H280" s="1" t="s">
        <v>57</v>
      </c>
      <c r="I280" s="1" t="s">
        <v>34</v>
      </c>
      <c r="J280" s="1" t="s">
        <v>77</v>
      </c>
      <c r="K280" s="1" t="s">
        <v>90</v>
      </c>
      <c r="L280" s="1" t="s">
        <v>136</v>
      </c>
      <c r="M280" s="1" t="s">
        <v>38</v>
      </c>
      <c r="N280" s="1" t="n">
        <v>7499</v>
      </c>
      <c r="O280" s="1" t="n">
        <v>10</v>
      </c>
      <c r="P280" s="1" t="n">
        <v>749.9</v>
      </c>
      <c r="Q280" s="1" t="n">
        <v>6749.1</v>
      </c>
      <c r="R280" s="1" t="n">
        <v>1214.84</v>
      </c>
      <c r="S280" s="1" t="n">
        <v>5534.26</v>
      </c>
      <c r="T280" s="1" t="n">
        <v>2278.22</v>
      </c>
      <c r="U280" s="1" t="n">
        <v>3256.04</v>
      </c>
      <c r="V280" s="1" t="n">
        <v>58.83</v>
      </c>
      <c r="W280" s="1" t="s">
        <v>39</v>
      </c>
      <c r="X280" s="1" t="n">
        <v>4.2</v>
      </c>
      <c r="Y280" s="1" t="s">
        <v>40</v>
      </c>
      <c r="Z280" s="1" t="n">
        <v>0</v>
      </c>
      <c r="AA280" s="1" t="str">
        <f aca="false">TRIM(PROPER(F280))</f>
        <v>Ghaziabad</v>
      </c>
      <c r="AB280" s="1" t="str">
        <f aca="false">TRIM(PROPER(C280))</f>
        <v>Great Learning</v>
      </c>
      <c r="AC280" s="1" t="str">
        <f aca="false">IF(O280=0,"No Discount",IF(O280&lt;=15,"Low (1-15%)",IF(O280&lt;=30,"Medium (16-30%)","High (&gt;30%)")))</f>
        <v>Low (1-15%)</v>
      </c>
      <c r="AD280" s="1" t="str">
        <f aca="false">IF(V280&lt;0,"Loss Making",IF(V280&lt;20,"Low Margin","Healthy Margin"))</f>
        <v>Healthy Margin</v>
      </c>
      <c r="AE280" s="1" t="str">
        <f aca="false">TEXT(DATE(VALUE(RIGHT(B280,4)),VALUE(MID(B280,4,2)),VALUE(LEFT(B280,2))),"MMM-YYYY")</f>
        <v>Oct-2024</v>
      </c>
      <c r="AF280" s="1" t="n">
        <f aca="false">VALUE(RIGHT(B280,4))</f>
        <v>2024</v>
      </c>
      <c r="AG280" s="1" t="str">
        <f aca="false">CHOOSE(ROUNDUP(VALUE(MID(B280,4,2))/3,0),"Q1","Q2","Q3","Q4")</f>
        <v>Q4</v>
      </c>
    </row>
    <row r="281" customFormat="false" ht="15" hidden="false" customHeight="true" outlineLevel="0" collapsed="false">
      <c r="A281" s="1" t="s">
        <v>664</v>
      </c>
      <c r="B281" s="1" t="s">
        <v>665</v>
      </c>
      <c r="C281" s="1" t="s">
        <v>167</v>
      </c>
      <c r="D281" s="1" t="s">
        <v>94</v>
      </c>
      <c r="E281" s="1" t="s">
        <v>101</v>
      </c>
      <c r="F281" s="1" t="s">
        <v>187</v>
      </c>
      <c r="G281" s="1" t="s">
        <v>97</v>
      </c>
      <c r="H281" s="1" t="s">
        <v>69</v>
      </c>
      <c r="I281" s="1" t="s">
        <v>58</v>
      </c>
      <c r="J281" s="1" t="s">
        <v>35</v>
      </c>
      <c r="K281" s="1" t="s">
        <v>48</v>
      </c>
      <c r="L281" s="1" t="s">
        <v>61</v>
      </c>
      <c r="M281" s="1" t="s">
        <v>38</v>
      </c>
      <c r="N281" s="1" t="n">
        <v>14999</v>
      </c>
      <c r="O281" s="1" t="n">
        <v>30</v>
      </c>
      <c r="P281" s="1" t="n">
        <v>4499.7</v>
      </c>
      <c r="Q281" s="1" t="n">
        <v>10499.3</v>
      </c>
      <c r="R281" s="1" t="n">
        <v>1889.87</v>
      </c>
      <c r="S281" s="1" t="n">
        <v>8609.43</v>
      </c>
      <c r="T281" s="1" t="n">
        <v>3175.86</v>
      </c>
      <c r="U281" s="1" t="n">
        <v>5433.57</v>
      </c>
      <c r="V281" s="1" t="n">
        <v>63.11</v>
      </c>
      <c r="W281" s="1" t="s">
        <v>39</v>
      </c>
      <c r="X281" s="1" t="n">
        <v>3.6</v>
      </c>
      <c r="Y281" s="1" t="s">
        <v>40</v>
      </c>
      <c r="Z281" s="1" t="n">
        <v>0</v>
      </c>
      <c r="AA281" s="1" t="str">
        <f aca="false">TRIM(PROPER(F281))</f>
        <v>Mumbai</v>
      </c>
      <c r="AB281" s="1" t="str">
        <f aca="false">TRIM(PROPER(C281))</f>
        <v>Scaler</v>
      </c>
      <c r="AC281" s="1" t="str">
        <f aca="false">IF(O281=0,"No Discount",IF(O281&lt;=15,"Low (1-15%)",IF(O281&lt;=30,"Medium (16-30%)","High (&gt;30%)")))</f>
        <v>Medium (16-30%)</v>
      </c>
      <c r="AD281" s="1" t="str">
        <f aca="false">IF(V281&lt;0,"Loss Making",IF(V281&lt;20,"Low Margin","Healthy Margin"))</f>
        <v>Healthy Margin</v>
      </c>
      <c r="AE281" s="1" t="str">
        <f aca="false">TEXT(DATE(VALUE(RIGHT(B281,4)),VALUE(MID(B281,4,2)),VALUE(LEFT(B281,2))),"MMM-YYYY")</f>
        <v>Sep-2023</v>
      </c>
      <c r="AF281" s="1" t="n">
        <f aca="false">VALUE(RIGHT(B281,4))</f>
        <v>2023</v>
      </c>
      <c r="AG281" s="1" t="str">
        <f aca="false">CHOOSE(ROUNDUP(VALUE(MID(B281,4,2))/3,0),"Q1","Q2","Q3","Q4")</f>
        <v>Q3</v>
      </c>
    </row>
    <row r="282" customFormat="false" ht="15" hidden="false" customHeight="true" outlineLevel="0" collapsed="false">
      <c r="A282" s="1" t="s">
        <v>666</v>
      </c>
      <c r="B282" s="1" t="s">
        <v>667</v>
      </c>
      <c r="C282" s="1" t="s">
        <v>264</v>
      </c>
      <c r="D282" s="1" t="s">
        <v>168</v>
      </c>
      <c r="E282" s="1" t="s">
        <v>197</v>
      </c>
      <c r="F282" s="1" t="s">
        <v>82</v>
      </c>
      <c r="G282" s="1" t="s">
        <v>56</v>
      </c>
      <c r="H282" s="1" t="s">
        <v>69</v>
      </c>
      <c r="I282" s="1" t="s">
        <v>58</v>
      </c>
      <c r="J282" s="1" t="s">
        <v>70</v>
      </c>
      <c r="K282" s="1" t="s">
        <v>84</v>
      </c>
      <c r="L282" s="1" t="s">
        <v>61</v>
      </c>
      <c r="M282" s="1" t="s">
        <v>38</v>
      </c>
      <c r="N282" s="1" t="n">
        <v>8499</v>
      </c>
      <c r="O282" s="1" t="n">
        <v>5</v>
      </c>
      <c r="P282" s="1" t="n">
        <v>424.95</v>
      </c>
      <c r="Q282" s="1" t="n">
        <v>8074.05</v>
      </c>
      <c r="R282" s="1" t="n">
        <v>1453.33</v>
      </c>
      <c r="S282" s="1" t="n">
        <v>6620.72</v>
      </c>
      <c r="T282" s="1" t="n">
        <v>2300.65</v>
      </c>
      <c r="U282" s="1" t="n">
        <v>4320.07</v>
      </c>
      <c r="V282" s="1" t="n">
        <v>65.25</v>
      </c>
      <c r="W282" s="1" t="s">
        <v>39</v>
      </c>
      <c r="X282" s="1" t="n">
        <v>4.4</v>
      </c>
      <c r="Y282" s="1" t="s">
        <v>40</v>
      </c>
      <c r="Z282" s="1" t="n">
        <v>0</v>
      </c>
      <c r="AA282" s="1" t="str">
        <f aca="false">TRIM(PROPER(F282))</f>
        <v>Gurugram</v>
      </c>
      <c r="AB282" s="1" t="str">
        <f aca="false">TRIM(PROPER(C282))</f>
        <v>Unacademy</v>
      </c>
      <c r="AC282" s="1" t="str">
        <f aca="false">IF(O282=0,"No Discount",IF(O282&lt;=15,"Low (1-15%)",IF(O282&lt;=30,"Medium (16-30%)","High (&gt;30%)")))</f>
        <v>Low (1-15%)</v>
      </c>
      <c r="AD282" s="1" t="str">
        <f aca="false">IF(V282&lt;0,"Loss Making",IF(V282&lt;20,"Low Margin","Healthy Margin"))</f>
        <v>Healthy Margin</v>
      </c>
      <c r="AE282" s="1" t="str">
        <f aca="false">TEXT(DATE(VALUE(RIGHT(B282,4)),VALUE(MID(B282,4,2)),VALUE(LEFT(B282,2))),"MMM-YYYY")</f>
        <v>Jul-2023</v>
      </c>
      <c r="AF282" s="1" t="n">
        <f aca="false">VALUE(RIGHT(B282,4))</f>
        <v>2023</v>
      </c>
      <c r="AG282" s="1" t="str">
        <f aca="false">CHOOSE(ROUNDUP(VALUE(MID(B282,4,2))/3,0),"Q1","Q2","Q3","Q4")</f>
        <v>Q3</v>
      </c>
    </row>
    <row r="283" customFormat="false" ht="15" hidden="false" customHeight="true" outlineLevel="0" collapsed="false">
      <c r="A283" s="1" t="s">
        <v>668</v>
      </c>
      <c r="B283" s="1" t="s">
        <v>669</v>
      </c>
      <c r="C283" s="1" t="s">
        <v>264</v>
      </c>
      <c r="D283" s="1" t="s">
        <v>143</v>
      </c>
      <c r="E283" s="1" t="s">
        <v>144</v>
      </c>
      <c r="F283" s="1" t="s">
        <v>211</v>
      </c>
      <c r="G283" s="1" t="s">
        <v>56</v>
      </c>
      <c r="H283" s="1" t="s">
        <v>69</v>
      </c>
      <c r="I283" s="1" t="s">
        <v>58</v>
      </c>
      <c r="J283" s="1" t="s">
        <v>35</v>
      </c>
      <c r="K283" s="1" t="s">
        <v>84</v>
      </c>
      <c r="L283" s="1" t="s">
        <v>49</v>
      </c>
      <c r="M283" s="1" t="s">
        <v>50</v>
      </c>
      <c r="N283" s="1" t="n">
        <v>12999</v>
      </c>
      <c r="O283" s="1" t="n">
        <v>20</v>
      </c>
      <c r="P283" s="1" t="n">
        <v>2599.8</v>
      </c>
      <c r="Q283" s="1" t="n">
        <v>10399.2</v>
      </c>
      <c r="R283" s="1" t="n">
        <v>1871.86</v>
      </c>
      <c r="S283" s="1" t="n">
        <v>8527.34</v>
      </c>
      <c r="T283" s="1" t="n">
        <v>3513.64</v>
      </c>
      <c r="U283" s="1" t="n">
        <v>5013.7</v>
      </c>
      <c r="V283" s="1" t="n">
        <v>58.8</v>
      </c>
      <c r="W283" s="1" t="s">
        <v>40</v>
      </c>
      <c r="Y283" s="1" t="s">
        <v>39</v>
      </c>
      <c r="Z283" s="1" t="n">
        <v>2</v>
      </c>
      <c r="AA283" s="1" t="str">
        <f aca="false">TRIM(PROPER(F283))</f>
        <v>Noida</v>
      </c>
      <c r="AB283" s="1" t="str">
        <f aca="false">TRIM(PROPER(C283))</f>
        <v>Unacademy</v>
      </c>
      <c r="AC283" s="1" t="str">
        <f aca="false">IF(O283=0,"No Discount",IF(O283&lt;=15,"Low (1-15%)",IF(O283&lt;=30,"Medium (16-30%)","High (&gt;30%)")))</f>
        <v>Medium (16-30%)</v>
      </c>
      <c r="AD283" s="1" t="str">
        <f aca="false">IF(V283&lt;0,"Loss Making",IF(V283&lt;20,"Low Margin","Healthy Margin"))</f>
        <v>Healthy Margin</v>
      </c>
      <c r="AE283" s="1" t="str">
        <f aca="false">TEXT(DATE(VALUE(RIGHT(B283,4)),VALUE(MID(B283,4,2)),VALUE(LEFT(B283,2))),"MMM-YYYY")</f>
        <v>Mar-2023</v>
      </c>
      <c r="AF283" s="1" t="n">
        <f aca="false">VALUE(RIGHT(B283,4))</f>
        <v>2023</v>
      </c>
      <c r="AG283" s="1" t="str">
        <f aca="false">CHOOSE(ROUNDUP(VALUE(MID(B283,4,2))/3,0),"Q1","Q2","Q3","Q4")</f>
        <v>Q1</v>
      </c>
    </row>
    <row r="284" customFormat="false" ht="15" hidden="false" customHeight="true" outlineLevel="0" collapsed="false">
      <c r="A284" s="1" t="s">
        <v>670</v>
      </c>
      <c r="B284" s="1" t="s">
        <v>671</v>
      </c>
      <c r="C284" s="1" t="s">
        <v>139</v>
      </c>
      <c r="D284" s="1" t="s">
        <v>44</v>
      </c>
      <c r="E284" s="1" t="s">
        <v>221</v>
      </c>
      <c r="F284" s="1" t="s">
        <v>55</v>
      </c>
      <c r="G284" s="1" t="s">
        <v>56</v>
      </c>
      <c r="H284" s="1" t="s">
        <v>57</v>
      </c>
      <c r="I284" s="1" t="s">
        <v>58</v>
      </c>
      <c r="J284" s="1" t="s">
        <v>70</v>
      </c>
      <c r="K284" s="1" t="s">
        <v>60</v>
      </c>
      <c r="L284" s="1" t="s">
        <v>136</v>
      </c>
      <c r="M284" s="1" t="s">
        <v>38</v>
      </c>
      <c r="N284" s="1" t="n">
        <v>16999</v>
      </c>
      <c r="O284" s="1" t="n">
        <v>10</v>
      </c>
      <c r="P284" s="1" t="n">
        <v>1699.9</v>
      </c>
      <c r="Q284" s="1" t="n">
        <v>15299.1</v>
      </c>
      <c r="R284" s="1" t="n">
        <v>2753.84</v>
      </c>
      <c r="S284" s="1" t="n">
        <v>12545.26</v>
      </c>
      <c r="T284" s="1" t="n">
        <v>5539.19</v>
      </c>
      <c r="U284" s="1" t="n">
        <v>7006.07</v>
      </c>
      <c r="V284" s="1" t="n">
        <v>55.85</v>
      </c>
      <c r="W284" s="1" t="s">
        <v>39</v>
      </c>
      <c r="X284" s="1" t="n">
        <v>4.5</v>
      </c>
      <c r="Y284" s="1" t="s">
        <v>40</v>
      </c>
      <c r="Z284" s="1" t="n">
        <v>0</v>
      </c>
      <c r="AA284" s="1" t="str">
        <f aca="false">TRIM(PROPER(F284))</f>
        <v>Ghaziabad</v>
      </c>
      <c r="AB284" s="1" t="str">
        <f aca="false">TRIM(PROPER(C284))</f>
        <v>Extramarks</v>
      </c>
      <c r="AC284" s="1" t="str">
        <f aca="false">IF(O284=0,"No Discount",IF(O284&lt;=15,"Low (1-15%)",IF(O284&lt;=30,"Medium (16-30%)","High (&gt;30%)")))</f>
        <v>Low (1-15%)</v>
      </c>
      <c r="AD284" s="1" t="str">
        <f aca="false">IF(V284&lt;0,"Loss Making",IF(V284&lt;20,"Low Margin","Healthy Margin"))</f>
        <v>Healthy Margin</v>
      </c>
      <c r="AE284" s="1" t="str">
        <f aca="false">TEXT(DATE(VALUE(RIGHT(B284,4)),VALUE(MID(B284,4,2)),VALUE(LEFT(B284,2))),"MMM-YYYY")</f>
        <v>May-2023</v>
      </c>
      <c r="AF284" s="1" t="n">
        <f aca="false">VALUE(RIGHT(B284,4))</f>
        <v>2023</v>
      </c>
      <c r="AG284" s="1" t="str">
        <f aca="false">CHOOSE(ROUNDUP(VALUE(MID(B284,4,2))/3,0),"Q1","Q2","Q3","Q4")</f>
        <v>Q2</v>
      </c>
    </row>
    <row r="285" customFormat="false" ht="15" hidden="false" customHeight="true" outlineLevel="0" collapsed="false">
      <c r="A285" s="1" t="s">
        <v>672</v>
      </c>
      <c r="B285" s="1" t="s">
        <v>673</v>
      </c>
      <c r="C285" s="1" t="s">
        <v>65</v>
      </c>
      <c r="D285" s="1" t="s">
        <v>29</v>
      </c>
      <c r="E285" s="1" t="s">
        <v>129</v>
      </c>
      <c r="F285" s="1" t="s">
        <v>31</v>
      </c>
      <c r="G285" s="1" t="s">
        <v>32</v>
      </c>
      <c r="H285" s="1" t="s">
        <v>33</v>
      </c>
      <c r="I285" s="1" t="s">
        <v>34</v>
      </c>
      <c r="J285" s="1" t="s">
        <v>35</v>
      </c>
      <c r="K285" s="1" t="s">
        <v>36</v>
      </c>
      <c r="L285" s="1" t="s">
        <v>49</v>
      </c>
      <c r="M285" s="1" t="s">
        <v>38</v>
      </c>
      <c r="N285" s="1" t="n">
        <v>29999</v>
      </c>
      <c r="O285" s="1" t="n">
        <v>50</v>
      </c>
      <c r="P285" s="1" t="n">
        <v>14999.5</v>
      </c>
      <c r="Q285" s="1" t="n">
        <v>14999.5</v>
      </c>
      <c r="R285" s="1" t="n">
        <v>2699.91</v>
      </c>
      <c r="S285" s="1" t="n">
        <v>12299.59</v>
      </c>
      <c r="T285" s="1" t="n">
        <v>7442.8</v>
      </c>
      <c r="U285" s="1" t="n">
        <v>4856.79</v>
      </c>
      <c r="V285" s="1" t="n">
        <v>39.49</v>
      </c>
      <c r="W285" s="1" t="s">
        <v>40</v>
      </c>
      <c r="Y285" s="1" t="s">
        <v>40</v>
      </c>
      <c r="Z285" s="1" t="n">
        <v>2</v>
      </c>
      <c r="AA285" s="1" t="str">
        <f aca="false">TRIM(PROPER(F285))</f>
        <v>Jodhpur</v>
      </c>
      <c r="AB285" s="1" t="str">
        <f aca="false">TRIM(PROPER(C285))</f>
        <v>Toppr</v>
      </c>
      <c r="AC285" s="1" t="str">
        <f aca="false">IF(O285=0,"No Discount",IF(O285&lt;=15,"Low (1-15%)",IF(O285&lt;=30,"Medium (16-30%)","High (&gt;30%)")))</f>
        <v>High (&gt;30%)</v>
      </c>
      <c r="AD285" s="1" t="str">
        <f aca="false">IF(V285&lt;0,"Loss Making",IF(V285&lt;20,"Low Margin","Healthy Margin"))</f>
        <v>Healthy Margin</v>
      </c>
      <c r="AE285" s="1" t="str">
        <f aca="false">TEXT(DATE(VALUE(RIGHT(B285,4)),VALUE(MID(B285,4,2)),VALUE(LEFT(B285,2))),"MMM-YYYY")</f>
        <v>Jun-2024</v>
      </c>
      <c r="AF285" s="1" t="n">
        <f aca="false">VALUE(RIGHT(B285,4))</f>
        <v>2024</v>
      </c>
      <c r="AG285" s="1" t="str">
        <f aca="false">CHOOSE(ROUNDUP(VALUE(MID(B285,4,2))/3,0),"Q1","Q2","Q3","Q4")</f>
        <v>Q2</v>
      </c>
    </row>
    <row r="286" customFormat="false" ht="15" hidden="false" customHeight="true" outlineLevel="0" collapsed="false">
      <c r="A286" s="1" t="s">
        <v>674</v>
      </c>
      <c r="B286" s="1" t="s">
        <v>675</v>
      </c>
      <c r="C286" s="1" t="s">
        <v>249</v>
      </c>
      <c r="D286" s="1" t="s">
        <v>143</v>
      </c>
      <c r="E286" s="1" t="s">
        <v>159</v>
      </c>
      <c r="F286" s="1" t="s">
        <v>31</v>
      </c>
      <c r="G286" s="1" t="s">
        <v>32</v>
      </c>
      <c r="H286" s="1" t="s">
        <v>33</v>
      </c>
      <c r="I286" s="1" t="s">
        <v>58</v>
      </c>
      <c r="J286" s="1" t="s">
        <v>131</v>
      </c>
      <c r="K286" s="1" t="s">
        <v>84</v>
      </c>
      <c r="L286" s="1" t="s">
        <v>85</v>
      </c>
      <c r="M286" s="1" t="s">
        <v>62</v>
      </c>
      <c r="N286" s="1" t="n">
        <v>24999</v>
      </c>
      <c r="O286" s="1" t="n">
        <v>0</v>
      </c>
      <c r="P286" s="1" t="n">
        <v>0</v>
      </c>
      <c r="Q286" s="1" t="n">
        <v>24999</v>
      </c>
      <c r="R286" s="1" t="n">
        <v>4499.82</v>
      </c>
      <c r="S286" s="1" t="n">
        <v>20499.18</v>
      </c>
      <c r="T286" s="1" t="n">
        <v>9795.35</v>
      </c>
      <c r="U286" s="1" t="n">
        <v>10703.83</v>
      </c>
      <c r="V286" s="1" t="n">
        <v>52.22</v>
      </c>
      <c r="W286" s="1" t="s">
        <v>40</v>
      </c>
      <c r="Y286" s="1" t="s">
        <v>40</v>
      </c>
      <c r="Z286" s="1" t="n">
        <v>0</v>
      </c>
      <c r="AA286" s="1" t="str">
        <f aca="false">TRIM(PROPER(F286))</f>
        <v>Jodhpur</v>
      </c>
      <c r="AB286" s="1" t="str">
        <f aca="false">TRIM(PROPER(C286))</f>
        <v>Whitehat Jr</v>
      </c>
      <c r="AC286" s="1" t="str">
        <f aca="false">IF(O286=0,"No Discount",IF(O286&lt;=15,"Low (1-15%)",IF(O286&lt;=30,"Medium (16-30%)","High (&gt;30%)")))</f>
        <v>No Discount</v>
      </c>
      <c r="AD286" s="1" t="str">
        <f aca="false">IF(V286&lt;0,"Loss Making",IF(V286&lt;20,"Low Margin","Healthy Margin"))</f>
        <v>Healthy Margin</v>
      </c>
      <c r="AE286" s="1" t="str">
        <f aca="false">TEXT(DATE(VALUE(RIGHT(B286,4)),VALUE(MID(B286,4,2)),VALUE(LEFT(B286,2))),"MMM-YYYY")</f>
        <v>Sep-2023</v>
      </c>
      <c r="AF286" s="1" t="n">
        <f aca="false">VALUE(RIGHT(B286,4))</f>
        <v>2023</v>
      </c>
      <c r="AG286" s="1" t="str">
        <f aca="false">CHOOSE(ROUNDUP(VALUE(MID(B286,4,2))/3,0),"Q1","Q2","Q3","Q4")</f>
        <v>Q3</v>
      </c>
    </row>
    <row r="287" customFormat="false" ht="15" hidden="false" customHeight="true" outlineLevel="0" collapsed="false">
      <c r="A287" s="1" t="s">
        <v>676</v>
      </c>
      <c r="B287" s="1" t="s">
        <v>541</v>
      </c>
      <c r="C287" s="1" t="s">
        <v>264</v>
      </c>
      <c r="D287" s="1" t="s">
        <v>80</v>
      </c>
      <c r="E287" s="1" t="s">
        <v>175</v>
      </c>
      <c r="F287" s="1" t="s">
        <v>150</v>
      </c>
      <c r="G287" s="1" t="s">
        <v>32</v>
      </c>
      <c r="H287" s="1" t="s">
        <v>57</v>
      </c>
      <c r="I287" s="1" t="s">
        <v>58</v>
      </c>
      <c r="J287" s="1" t="s">
        <v>35</v>
      </c>
      <c r="K287" s="1" t="s">
        <v>48</v>
      </c>
      <c r="L287" s="1" t="s">
        <v>49</v>
      </c>
      <c r="M287" s="1" t="s">
        <v>62</v>
      </c>
      <c r="N287" s="1" t="n">
        <v>19999</v>
      </c>
      <c r="O287" s="1" t="n">
        <v>20</v>
      </c>
      <c r="P287" s="1" t="n">
        <v>3999.8</v>
      </c>
      <c r="Q287" s="1" t="n">
        <v>15999.2</v>
      </c>
      <c r="R287" s="1" t="n">
        <v>2879.86</v>
      </c>
      <c r="S287" s="1" t="n">
        <v>13119.34</v>
      </c>
      <c r="T287" s="1" t="n">
        <v>5329.26</v>
      </c>
      <c r="U287" s="1" t="n">
        <v>7790.08</v>
      </c>
      <c r="V287" s="1" t="n">
        <v>59.38</v>
      </c>
      <c r="W287" s="1" t="s">
        <v>40</v>
      </c>
      <c r="Y287" s="1" t="s">
        <v>40</v>
      </c>
      <c r="Z287" s="1" t="n">
        <v>1</v>
      </c>
      <c r="AA287" s="1" t="str">
        <f aca="false">TRIM(PROPER(F287))</f>
        <v>Jaipur</v>
      </c>
      <c r="AB287" s="1" t="str">
        <f aca="false">TRIM(PROPER(C287))</f>
        <v>Unacademy</v>
      </c>
      <c r="AC287" s="1" t="str">
        <f aca="false">IF(O287=0,"No Discount",IF(O287&lt;=15,"Low (1-15%)",IF(O287&lt;=30,"Medium (16-30%)","High (&gt;30%)")))</f>
        <v>Medium (16-30%)</v>
      </c>
      <c r="AD287" s="1" t="str">
        <f aca="false">IF(V287&lt;0,"Loss Making",IF(V287&lt;20,"Low Margin","Healthy Margin"))</f>
        <v>Healthy Margin</v>
      </c>
      <c r="AE287" s="1" t="str">
        <f aca="false">TEXT(DATE(VALUE(RIGHT(B287,4)),VALUE(MID(B287,4,2)),VALUE(LEFT(B287,2))),"MMM-YYYY")</f>
        <v>Nov-2024</v>
      </c>
      <c r="AF287" s="1" t="n">
        <f aca="false">VALUE(RIGHT(B287,4))</f>
        <v>2024</v>
      </c>
      <c r="AG287" s="1" t="str">
        <f aca="false">CHOOSE(ROUNDUP(VALUE(MID(B287,4,2))/3,0),"Q1","Q2","Q3","Q4")</f>
        <v>Q4</v>
      </c>
    </row>
    <row r="288" customFormat="false" ht="15" hidden="false" customHeight="true" outlineLevel="0" collapsed="false">
      <c r="A288" s="1" t="s">
        <v>677</v>
      </c>
      <c r="B288" s="1" t="s">
        <v>115</v>
      </c>
      <c r="C288" s="1" t="s">
        <v>65</v>
      </c>
      <c r="D288" s="1" t="s">
        <v>44</v>
      </c>
      <c r="E288" s="1" t="s">
        <v>45</v>
      </c>
      <c r="F288" s="1" t="s">
        <v>211</v>
      </c>
      <c r="G288" s="1" t="s">
        <v>56</v>
      </c>
      <c r="H288" s="1" t="s">
        <v>69</v>
      </c>
      <c r="I288" s="1" t="s">
        <v>34</v>
      </c>
      <c r="J288" s="1" t="s">
        <v>70</v>
      </c>
      <c r="K288" s="1" t="s">
        <v>48</v>
      </c>
      <c r="L288" s="1" t="s">
        <v>136</v>
      </c>
      <c r="M288" s="1" t="s">
        <v>38</v>
      </c>
      <c r="N288" s="1" t="n">
        <v>11999</v>
      </c>
      <c r="O288" s="1" t="n">
        <v>25</v>
      </c>
      <c r="P288" s="1" t="n">
        <v>2999.75</v>
      </c>
      <c r="Q288" s="1" t="n">
        <v>8999.25</v>
      </c>
      <c r="R288" s="1" t="n">
        <v>1619.87</v>
      </c>
      <c r="S288" s="1" t="n">
        <v>7379.38</v>
      </c>
      <c r="T288" s="1" t="n">
        <v>3460.62</v>
      </c>
      <c r="U288" s="1" t="n">
        <v>3918.76</v>
      </c>
      <c r="V288" s="1" t="n">
        <v>53.1</v>
      </c>
      <c r="W288" s="1" t="s">
        <v>39</v>
      </c>
      <c r="X288" s="1" t="n">
        <v>3.4</v>
      </c>
      <c r="Y288" s="1" t="s">
        <v>40</v>
      </c>
      <c r="Z288" s="1" t="n">
        <v>0</v>
      </c>
      <c r="AA288" s="1" t="str">
        <f aca="false">TRIM(PROPER(F288))</f>
        <v>Noida</v>
      </c>
      <c r="AB288" s="1" t="str">
        <f aca="false">TRIM(PROPER(C288))</f>
        <v>Toppr</v>
      </c>
      <c r="AC288" s="1" t="str">
        <f aca="false">IF(O288=0,"No Discount",IF(O288&lt;=15,"Low (1-15%)",IF(O288&lt;=30,"Medium (16-30%)","High (&gt;30%)")))</f>
        <v>Medium (16-30%)</v>
      </c>
      <c r="AD288" s="1" t="str">
        <f aca="false">IF(V288&lt;0,"Loss Making",IF(V288&lt;20,"Low Margin","Healthy Margin"))</f>
        <v>Healthy Margin</v>
      </c>
      <c r="AE288" s="1" t="str">
        <f aca="false">TEXT(DATE(VALUE(RIGHT(B288,4)),VALUE(MID(B288,4,2)),VALUE(LEFT(B288,2))),"MMM-YYYY")</f>
        <v>Feb-2024</v>
      </c>
      <c r="AF288" s="1" t="n">
        <f aca="false">VALUE(RIGHT(B288,4))</f>
        <v>2024</v>
      </c>
      <c r="AG288" s="1" t="str">
        <f aca="false">CHOOSE(ROUNDUP(VALUE(MID(B288,4,2))/3,0),"Q1","Q2","Q3","Q4")</f>
        <v>Q1</v>
      </c>
    </row>
    <row r="289" customFormat="false" ht="15" hidden="false" customHeight="true" outlineLevel="0" collapsed="false">
      <c r="A289" s="1" t="s">
        <v>678</v>
      </c>
      <c r="B289" s="1" t="s">
        <v>320</v>
      </c>
      <c r="C289" s="1" t="s">
        <v>264</v>
      </c>
      <c r="D289" s="1" t="s">
        <v>143</v>
      </c>
      <c r="E289" s="1" t="s">
        <v>144</v>
      </c>
      <c r="F289" s="1" t="s">
        <v>89</v>
      </c>
      <c r="G289" s="1" t="s">
        <v>68</v>
      </c>
      <c r="H289" s="1" t="s">
        <v>33</v>
      </c>
      <c r="I289" s="1" t="s">
        <v>58</v>
      </c>
      <c r="J289" s="1" t="s">
        <v>70</v>
      </c>
      <c r="K289" s="1" t="s">
        <v>71</v>
      </c>
      <c r="L289" s="1" t="s">
        <v>37</v>
      </c>
      <c r="M289" s="1" t="s">
        <v>62</v>
      </c>
      <c r="N289" s="1" t="n">
        <v>12999</v>
      </c>
      <c r="O289" s="1" t="n">
        <v>40</v>
      </c>
      <c r="P289" s="1" t="n">
        <v>5199.6</v>
      </c>
      <c r="Q289" s="1" t="n">
        <v>7799.4</v>
      </c>
      <c r="R289" s="1" t="n">
        <v>1403.89</v>
      </c>
      <c r="S289" s="1" t="n">
        <v>6395.51</v>
      </c>
      <c r="T289" s="1" t="n">
        <v>3608.04</v>
      </c>
      <c r="U289" s="1" t="n">
        <v>2787.47</v>
      </c>
      <c r="V289" s="1" t="n">
        <v>43.58</v>
      </c>
      <c r="W289" s="1" t="s">
        <v>39</v>
      </c>
      <c r="Y289" s="1" t="s">
        <v>40</v>
      </c>
      <c r="Z289" s="1" t="n">
        <v>0</v>
      </c>
      <c r="AA289" s="1" t="str">
        <f aca="false">TRIM(PROPER(F289))</f>
        <v>Vadodara</v>
      </c>
      <c r="AB289" s="1" t="str">
        <f aca="false">TRIM(PROPER(C289))</f>
        <v>Unacademy</v>
      </c>
      <c r="AC289" s="1" t="str">
        <f aca="false">IF(O289=0,"No Discount",IF(O289&lt;=15,"Low (1-15%)",IF(O289&lt;=30,"Medium (16-30%)","High (&gt;30%)")))</f>
        <v>High (&gt;30%)</v>
      </c>
      <c r="AD289" s="1" t="str">
        <f aca="false">IF(V289&lt;0,"Loss Making",IF(V289&lt;20,"Low Margin","Healthy Margin"))</f>
        <v>Healthy Margin</v>
      </c>
      <c r="AE289" s="1" t="str">
        <f aca="false">TEXT(DATE(VALUE(RIGHT(B289,4)),VALUE(MID(B289,4,2)),VALUE(LEFT(B289,2))),"MMM-YYYY")</f>
        <v>Jun-2023</v>
      </c>
      <c r="AF289" s="1" t="n">
        <f aca="false">VALUE(RIGHT(B289,4))</f>
        <v>2023</v>
      </c>
      <c r="AG289" s="1" t="str">
        <f aca="false">CHOOSE(ROUNDUP(VALUE(MID(B289,4,2))/3,0),"Q1","Q2","Q3","Q4")</f>
        <v>Q2</v>
      </c>
    </row>
    <row r="290" customFormat="false" ht="15" hidden="false" customHeight="true" outlineLevel="0" collapsed="false">
      <c r="A290" s="1" t="s">
        <v>679</v>
      </c>
      <c r="B290" s="1" t="s">
        <v>680</v>
      </c>
      <c r="C290" s="1" t="s">
        <v>100</v>
      </c>
      <c r="D290" s="1" t="s">
        <v>44</v>
      </c>
      <c r="E290" s="1" t="s">
        <v>45</v>
      </c>
      <c r="F290" s="1" t="s">
        <v>130</v>
      </c>
      <c r="G290" s="1" t="s">
        <v>47</v>
      </c>
      <c r="H290" s="1" t="s">
        <v>69</v>
      </c>
      <c r="I290" s="1" t="s">
        <v>34</v>
      </c>
      <c r="J290" s="1" t="s">
        <v>35</v>
      </c>
      <c r="K290" s="1" t="s">
        <v>60</v>
      </c>
      <c r="L290" s="1" t="s">
        <v>85</v>
      </c>
      <c r="M290" s="1" t="s">
        <v>62</v>
      </c>
      <c r="N290" s="1" t="n">
        <v>11999</v>
      </c>
      <c r="O290" s="1" t="n">
        <v>15</v>
      </c>
      <c r="P290" s="1" t="n">
        <v>1799.85</v>
      </c>
      <c r="Q290" s="1" t="n">
        <v>10199.15</v>
      </c>
      <c r="R290" s="1" t="n">
        <v>1835.85</v>
      </c>
      <c r="S290" s="1" t="n">
        <v>8363.3</v>
      </c>
      <c r="T290" s="1" t="n">
        <v>2981.81</v>
      </c>
      <c r="U290" s="1" t="n">
        <v>5381.49</v>
      </c>
      <c r="V290" s="1" t="n">
        <v>64.35</v>
      </c>
      <c r="W290" s="1" t="s">
        <v>39</v>
      </c>
      <c r="X290" s="1" t="n">
        <v>3.8</v>
      </c>
      <c r="Y290" s="1" t="s">
        <v>40</v>
      </c>
      <c r="Z290" s="1" t="n">
        <v>0</v>
      </c>
      <c r="AA290" s="1" t="str">
        <f aca="false">TRIM(PROPER(F290))</f>
        <v>Bengaluru</v>
      </c>
      <c r="AB290" s="1" t="str">
        <f aca="false">TRIM(PROPER(C290))</f>
        <v>Physics Wallah</v>
      </c>
      <c r="AC290" s="1" t="str">
        <f aca="false">IF(O290=0,"No Discount",IF(O290&lt;=15,"Low (1-15%)",IF(O290&lt;=30,"Medium (16-30%)","High (&gt;30%)")))</f>
        <v>Low (1-15%)</v>
      </c>
      <c r="AD290" s="1" t="str">
        <f aca="false">IF(V290&lt;0,"Loss Making",IF(V290&lt;20,"Low Margin","Healthy Margin"))</f>
        <v>Healthy Margin</v>
      </c>
      <c r="AE290" s="1" t="str">
        <f aca="false">TEXT(DATE(VALUE(RIGHT(B290,4)),VALUE(MID(B290,4,2)),VALUE(LEFT(B290,2))),"MMM-YYYY")</f>
        <v>May-2023</v>
      </c>
      <c r="AF290" s="1" t="n">
        <f aca="false">VALUE(RIGHT(B290,4))</f>
        <v>2023</v>
      </c>
      <c r="AG290" s="1" t="str">
        <f aca="false">CHOOSE(ROUNDUP(VALUE(MID(B290,4,2))/3,0),"Q1","Q2","Q3","Q4")</f>
        <v>Q2</v>
      </c>
    </row>
    <row r="291" customFormat="false" ht="15" hidden="false" customHeight="true" outlineLevel="0" collapsed="false">
      <c r="A291" s="1" t="s">
        <v>681</v>
      </c>
      <c r="B291" s="1" t="s">
        <v>458</v>
      </c>
      <c r="C291" s="1" t="s">
        <v>74</v>
      </c>
      <c r="D291" s="1" t="s">
        <v>44</v>
      </c>
      <c r="E291" s="1" t="s">
        <v>221</v>
      </c>
      <c r="F291" s="1" t="s">
        <v>120</v>
      </c>
      <c r="G291" s="1" t="s">
        <v>47</v>
      </c>
      <c r="H291" s="1" t="s">
        <v>57</v>
      </c>
      <c r="I291" s="1" t="s">
        <v>34</v>
      </c>
      <c r="J291" s="1" t="s">
        <v>77</v>
      </c>
      <c r="K291" s="1" t="s">
        <v>84</v>
      </c>
      <c r="L291" s="1" t="s">
        <v>85</v>
      </c>
      <c r="M291" s="1" t="s">
        <v>62</v>
      </c>
      <c r="N291" s="1" t="n">
        <v>16999</v>
      </c>
      <c r="O291" s="1" t="n">
        <v>10</v>
      </c>
      <c r="P291" s="1" t="n">
        <v>1699.9</v>
      </c>
      <c r="Q291" s="1" t="n">
        <v>15299.1</v>
      </c>
      <c r="R291" s="1" t="n">
        <v>2753.84</v>
      </c>
      <c r="S291" s="1" t="n">
        <v>12545.26</v>
      </c>
      <c r="T291" s="1" t="n">
        <v>6349.58</v>
      </c>
      <c r="U291" s="1" t="n">
        <v>6195.68</v>
      </c>
      <c r="V291" s="1" t="n">
        <v>49.39</v>
      </c>
      <c r="W291" s="1" t="s">
        <v>39</v>
      </c>
      <c r="X291" s="1" t="n">
        <v>3.6</v>
      </c>
      <c r="Y291" s="1" t="s">
        <v>40</v>
      </c>
      <c r="Z291" s="1" t="n">
        <v>0</v>
      </c>
      <c r="AA291" s="1" t="str">
        <f aca="false">TRIM(PROPER(F291))</f>
        <v>Mysuru</v>
      </c>
      <c r="AB291" s="1" t="str">
        <f aca="false">TRIM(PROPER(C291))</f>
        <v>Vedantu</v>
      </c>
      <c r="AC291" s="1" t="str">
        <f aca="false">IF(O291=0,"No Discount",IF(O291&lt;=15,"Low (1-15%)",IF(O291&lt;=30,"Medium (16-30%)","High (&gt;30%)")))</f>
        <v>Low (1-15%)</v>
      </c>
      <c r="AD291" s="1" t="str">
        <f aca="false">IF(V291&lt;0,"Loss Making",IF(V291&lt;20,"Low Margin","Healthy Margin"))</f>
        <v>Healthy Margin</v>
      </c>
      <c r="AE291" s="1" t="str">
        <f aca="false">TEXT(DATE(VALUE(RIGHT(B291,4)),VALUE(MID(B291,4,2)),VALUE(LEFT(B291,2))),"MMM-YYYY")</f>
        <v>Jan-2023</v>
      </c>
      <c r="AF291" s="1" t="n">
        <f aca="false">VALUE(RIGHT(B291,4))</f>
        <v>2023</v>
      </c>
      <c r="AG291" s="1" t="str">
        <f aca="false">CHOOSE(ROUNDUP(VALUE(MID(B291,4,2))/3,0),"Q1","Q2","Q3","Q4")</f>
        <v>Q1</v>
      </c>
    </row>
    <row r="292" customFormat="false" ht="15" hidden="false" customHeight="true" outlineLevel="0" collapsed="false">
      <c r="A292" s="1" t="s">
        <v>682</v>
      </c>
      <c r="B292" s="1" t="s">
        <v>683</v>
      </c>
      <c r="C292" s="1" t="s">
        <v>88</v>
      </c>
      <c r="D292" s="1" t="s">
        <v>80</v>
      </c>
      <c r="E292" s="1" t="s">
        <v>193</v>
      </c>
      <c r="F292" s="1" t="s">
        <v>156</v>
      </c>
      <c r="G292" s="1" t="s">
        <v>68</v>
      </c>
      <c r="H292" s="1" t="s">
        <v>57</v>
      </c>
      <c r="I292" s="1" t="s">
        <v>58</v>
      </c>
      <c r="J292" s="1" t="s">
        <v>59</v>
      </c>
      <c r="K292" s="1" t="s">
        <v>71</v>
      </c>
      <c r="L292" s="1" t="s">
        <v>136</v>
      </c>
      <c r="M292" s="1" t="s">
        <v>38</v>
      </c>
      <c r="N292" s="1" t="n">
        <v>8999</v>
      </c>
      <c r="O292" s="1" t="n">
        <v>10</v>
      </c>
      <c r="P292" s="1" t="n">
        <v>899.9</v>
      </c>
      <c r="Q292" s="1" t="n">
        <v>8099.1</v>
      </c>
      <c r="R292" s="1" t="n">
        <v>1457.84</v>
      </c>
      <c r="S292" s="1" t="n">
        <v>6641.26</v>
      </c>
      <c r="T292" s="1" t="n">
        <v>2653.85</v>
      </c>
      <c r="U292" s="1" t="n">
        <v>3987.41</v>
      </c>
      <c r="V292" s="1" t="n">
        <v>60.04</v>
      </c>
      <c r="W292" s="1" t="s">
        <v>39</v>
      </c>
      <c r="X292" s="1" t="n">
        <v>4.2</v>
      </c>
      <c r="Y292" s="1" t="s">
        <v>40</v>
      </c>
      <c r="Z292" s="1" t="n">
        <v>0</v>
      </c>
      <c r="AA292" s="1" t="str">
        <f aca="false">TRIM(PROPER(F292))</f>
        <v>Surat</v>
      </c>
      <c r="AB292" s="1" t="str">
        <f aca="false">TRIM(PROPER(C292))</f>
        <v>Byju'S</v>
      </c>
      <c r="AC292" s="1" t="str">
        <f aca="false">IF(O292=0,"No Discount",IF(O292&lt;=15,"Low (1-15%)",IF(O292&lt;=30,"Medium (16-30%)","High (&gt;30%)")))</f>
        <v>Low (1-15%)</v>
      </c>
      <c r="AD292" s="1" t="str">
        <f aca="false">IF(V292&lt;0,"Loss Making",IF(V292&lt;20,"Low Margin","Healthy Margin"))</f>
        <v>Healthy Margin</v>
      </c>
      <c r="AE292" s="1" t="str">
        <f aca="false">TEXT(DATE(VALUE(RIGHT(B292,4)),VALUE(MID(B292,4,2)),VALUE(LEFT(B292,2))),"MMM-YYYY")</f>
        <v>Oct-2023</v>
      </c>
      <c r="AF292" s="1" t="n">
        <f aca="false">VALUE(RIGHT(B292,4))</f>
        <v>2023</v>
      </c>
      <c r="AG292" s="1" t="str">
        <f aca="false">CHOOSE(ROUNDUP(VALUE(MID(B292,4,2))/3,0),"Q1","Q2","Q3","Q4")</f>
        <v>Q4</v>
      </c>
    </row>
    <row r="293" customFormat="false" ht="15" hidden="false" customHeight="true" outlineLevel="0" collapsed="false">
      <c r="A293" s="1" t="s">
        <v>684</v>
      </c>
      <c r="B293" s="1" t="s">
        <v>685</v>
      </c>
      <c r="C293" s="1" t="s">
        <v>119</v>
      </c>
      <c r="D293" s="1" t="s">
        <v>80</v>
      </c>
      <c r="E293" s="1" t="s">
        <v>193</v>
      </c>
      <c r="F293" s="1" t="s">
        <v>31</v>
      </c>
      <c r="G293" s="1" t="s">
        <v>32</v>
      </c>
      <c r="H293" s="1" t="s">
        <v>33</v>
      </c>
      <c r="I293" s="1" t="s">
        <v>34</v>
      </c>
      <c r="J293" s="1" t="s">
        <v>70</v>
      </c>
      <c r="K293" s="1" t="s">
        <v>104</v>
      </c>
      <c r="L293" s="1" t="s">
        <v>113</v>
      </c>
      <c r="M293" s="1" t="s">
        <v>38</v>
      </c>
      <c r="N293" s="1" t="n">
        <v>8999</v>
      </c>
      <c r="O293" s="1" t="n">
        <v>0</v>
      </c>
      <c r="P293" s="1" t="n">
        <v>0</v>
      </c>
      <c r="Q293" s="1" t="n">
        <v>8999</v>
      </c>
      <c r="R293" s="1" t="n">
        <v>1619.82</v>
      </c>
      <c r="S293" s="1" t="n">
        <v>7379.18</v>
      </c>
      <c r="T293" s="1" t="n">
        <v>4009.65</v>
      </c>
      <c r="U293" s="1" t="n">
        <v>3369.53</v>
      </c>
      <c r="V293" s="1" t="n">
        <v>45.66</v>
      </c>
      <c r="W293" s="1" t="s">
        <v>40</v>
      </c>
      <c r="Y293" s="1" t="s">
        <v>39</v>
      </c>
      <c r="Z293" s="1" t="n">
        <v>0</v>
      </c>
      <c r="AA293" s="1" t="str">
        <f aca="false">TRIM(PROPER(F293))</f>
        <v>Jodhpur</v>
      </c>
      <c r="AB293" s="1" t="str">
        <f aca="false">TRIM(PROPER(C293))</f>
        <v>Simplilearn</v>
      </c>
      <c r="AC293" s="1" t="str">
        <f aca="false">IF(O293=0,"No Discount",IF(O293&lt;=15,"Low (1-15%)",IF(O293&lt;=30,"Medium (16-30%)","High (&gt;30%)")))</f>
        <v>No Discount</v>
      </c>
      <c r="AD293" s="1" t="str">
        <f aca="false">IF(V293&lt;0,"Loss Making",IF(V293&lt;20,"Low Margin","Healthy Margin"))</f>
        <v>Healthy Margin</v>
      </c>
      <c r="AE293" s="1" t="str">
        <f aca="false">TEXT(DATE(VALUE(RIGHT(B293,4)),VALUE(MID(B293,4,2)),VALUE(LEFT(B293,2))),"MMM-YYYY")</f>
        <v>Feb-2023</v>
      </c>
      <c r="AF293" s="1" t="n">
        <f aca="false">VALUE(RIGHT(B293,4))</f>
        <v>2023</v>
      </c>
      <c r="AG293" s="1" t="str">
        <f aca="false">CHOOSE(ROUNDUP(VALUE(MID(B293,4,2))/3,0),"Q1","Q2","Q3","Q4")</f>
        <v>Q1</v>
      </c>
    </row>
    <row r="294" customFormat="false" ht="15" hidden="false" customHeight="true" outlineLevel="0" collapsed="false">
      <c r="A294" s="1" t="s">
        <v>686</v>
      </c>
      <c r="B294" s="1" t="s">
        <v>687</v>
      </c>
      <c r="C294" s="1" t="s">
        <v>74</v>
      </c>
      <c r="D294" s="1" t="s">
        <v>80</v>
      </c>
      <c r="E294" s="1" t="s">
        <v>81</v>
      </c>
      <c r="F294" s="1" t="s">
        <v>67</v>
      </c>
      <c r="G294" s="1" t="s">
        <v>68</v>
      </c>
      <c r="H294" s="1" t="s">
        <v>69</v>
      </c>
      <c r="I294" s="1" t="s">
        <v>34</v>
      </c>
      <c r="J294" s="1" t="s">
        <v>77</v>
      </c>
      <c r="K294" s="1" t="s">
        <v>90</v>
      </c>
      <c r="L294" s="1" t="s">
        <v>37</v>
      </c>
      <c r="M294" s="1" t="s">
        <v>62</v>
      </c>
      <c r="N294" s="1" t="n">
        <v>12999</v>
      </c>
      <c r="O294" s="1" t="n">
        <v>20</v>
      </c>
      <c r="P294" s="1" t="n">
        <v>2599.8</v>
      </c>
      <c r="Q294" s="1" t="n">
        <v>10399.2</v>
      </c>
      <c r="R294" s="1" t="n">
        <v>1871.86</v>
      </c>
      <c r="S294" s="1" t="n">
        <v>8527.34</v>
      </c>
      <c r="T294" s="1" t="n">
        <v>3502.22</v>
      </c>
      <c r="U294" s="1" t="n">
        <v>5025.12</v>
      </c>
      <c r="V294" s="1" t="n">
        <v>58.93</v>
      </c>
      <c r="W294" s="1" t="s">
        <v>40</v>
      </c>
      <c r="Y294" s="1" t="s">
        <v>40</v>
      </c>
      <c r="Z294" s="1" t="n">
        <v>2</v>
      </c>
      <c r="AA294" s="1" t="str">
        <f aca="false">TRIM(PROPER(F294))</f>
        <v>Ahmedabad</v>
      </c>
      <c r="AB294" s="1" t="str">
        <f aca="false">TRIM(PROPER(C294))</f>
        <v>Vedantu</v>
      </c>
      <c r="AC294" s="1" t="str">
        <f aca="false">IF(O294=0,"No Discount",IF(O294&lt;=15,"Low (1-15%)",IF(O294&lt;=30,"Medium (16-30%)","High (&gt;30%)")))</f>
        <v>Medium (16-30%)</v>
      </c>
      <c r="AD294" s="1" t="str">
        <f aca="false">IF(V294&lt;0,"Loss Making",IF(V294&lt;20,"Low Margin","Healthy Margin"))</f>
        <v>Healthy Margin</v>
      </c>
      <c r="AE294" s="1" t="str">
        <f aca="false">TEXT(DATE(VALUE(RIGHT(B294,4)),VALUE(MID(B294,4,2)),VALUE(LEFT(B294,2))),"MMM-YYYY")</f>
        <v>Jan-2023</v>
      </c>
      <c r="AF294" s="1" t="n">
        <f aca="false">VALUE(RIGHT(B294,4))</f>
        <v>2023</v>
      </c>
      <c r="AG294" s="1" t="str">
        <f aca="false">CHOOSE(ROUNDUP(VALUE(MID(B294,4,2))/3,0),"Q1","Q2","Q3","Q4")</f>
        <v>Q1</v>
      </c>
    </row>
    <row r="295" customFormat="false" ht="15" hidden="false" customHeight="true" outlineLevel="0" collapsed="false">
      <c r="A295" s="1" t="s">
        <v>688</v>
      </c>
      <c r="B295" s="1" t="s">
        <v>689</v>
      </c>
      <c r="C295" s="1" t="s">
        <v>119</v>
      </c>
      <c r="D295" s="1" t="s">
        <v>29</v>
      </c>
      <c r="E295" s="1" t="s">
        <v>30</v>
      </c>
      <c r="F295" s="1" t="s">
        <v>187</v>
      </c>
      <c r="G295" s="1" t="s">
        <v>97</v>
      </c>
      <c r="H295" s="1" t="s">
        <v>69</v>
      </c>
      <c r="I295" s="1" t="s">
        <v>83</v>
      </c>
      <c r="J295" s="1" t="s">
        <v>70</v>
      </c>
      <c r="K295" s="1" t="s">
        <v>112</v>
      </c>
      <c r="L295" s="1" t="s">
        <v>37</v>
      </c>
      <c r="M295" s="1" t="s">
        <v>62</v>
      </c>
      <c r="N295" s="1" t="n">
        <v>7999</v>
      </c>
      <c r="O295" s="1" t="n">
        <v>40</v>
      </c>
      <c r="P295" s="1" t="n">
        <v>3199.6</v>
      </c>
      <c r="Q295" s="1" t="n">
        <v>4799.4</v>
      </c>
      <c r="R295" s="1" t="n">
        <v>863.89</v>
      </c>
      <c r="S295" s="1" t="n">
        <v>3935.51</v>
      </c>
      <c r="T295" s="1" t="n">
        <v>1858.25</v>
      </c>
      <c r="U295" s="1" t="n">
        <v>2077.26</v>
      </c>
      <c r="V295" s="1" t="n">
        <v>52.78</v>
      </c>
      <c r="W295" s="1" t="s">
        <v>40</v>
      </c>
      <c r="Y295" s="1" t="s">
        <v>39</v>
      </c>
      <c r="Z295" s="1" t="n">
        <v>1</v>
      </c>
      <c r="AA295" s="1" t="str">
        <f aca="false">TRIM(PROPER(F295))</f>
        <v>Mumbai</v>
      </c>
      <c r="AB295" s="1" t="str">
        <f aca="false">TRIM(PROPER(C295))</f>
        <v>Simplilearn</v>
      </c>
      <c r="AC295" s="1" t="str">
        <f aca="false">IF(O295=0,"No Discount",IF(O295&lt;=15,"Low (1-15%)",IF(O295&lt;=30,"Medium (16-30%)","High (&gt;30%)")))</f>
        <v>High (&gt;30%)</v>
      </c>
      <c r="AD295" s="1" t="str">
        <f aca="false">IF(V295&lt;0,"Loss Making",IF(V295&lt;20,"Low Margin","Healthy Margin"))</f>
        <v>Healthy Margin</v>
      </c>
      <c r="AE295" s="1" t="str">
        <f aca="false">TEXT(DATE(VALUE(RIGHT(B295,4)),VALUE(MID(B295,4,2)),VALUE(LEFT(B295,2))),"MMM-YYYY")</f>
        <v>Jul-2023</v>
      </c>
      <c r="AF295" s="1" t="n">
        <f aca="false">VALUE(RIGHT(B295,4))</f>
        <v>2023</v>
      </c>
      <c r="AG295" s="1" t="str">
        <f aca="false">CHOOSE(ROUNDUP(VALUE(MID(B295,4,2))/3,0),"Q1","Q2","Q3","Q4")</f>
        <v>Q3</v>
      </c>
    </row>
    <row r="296" customFormat="false" ht="15" hidden="false" customHeight="true" outlineLevel="0" collapsed="false">
      <c r="A296" s="1" t="s">
        <v>690</v>
      </c>
      <c r="B296" s="1" t="s">
        <v>133</v>
      </c>
      <c r="C296" s="1" t="s">
        <v>28</v>
      </c>
      <c r="D296" s="1" t="s">
        <v>53</v>
      </c>
      <c r="E296" s="1" t="s">
        <v>116</v>
      </c>
      <c r="F296" s="1" t="s">
        <v>102</v>
      </c>
      <c r="G296" s="1" t="s">
        <v>103</v>
      </c>
      <c r="H296" s="1" t="s">
        <v>33</v>
      </c>
      <c r="I296" s="1" t="s">
        <v>58</v>
      </c>
      <c r="J296" s="1" t="s">
        <v>131</v>
      </c>
      <c r="K296" s="1" t="s">
        <v>60</v>
      </c>
      <c r="L296" s="1" t="s">
        <v>37</v>
      </c>
      <c r="M296" s="1" t="s">
        <v>62</v>
      </c>
      <c r="N296" s="1" t="n">
        <v>9999</v>
      </c>
      <c r="O296" s="1" t="n">
        <v>5</v>
      </c>
      <c r="P296" s="1" t="n">
        <v>499.95</v>
      </c>
      <c r="Q296" s="1" t="n">
        <v>9499.05</v>
      </c>
      <c r="R296" s="1" t="n">
        <v>1709.83</v>
      </c>
      <c r="S296" s="1" t="n">
        <v>7789.22</v>
      </c>
      <c r="T296" s="1" t="n">
        <v>2641.48</v>
      </c>
      <c r="U296" s="1" t="n">
        <v>5147.74</v>
      </c>
      <c r="V296" s="1" t="n">
        <v>66.09</v>
      </c>
      <c r="W296" s="1" t="s">
        <v>40</v>
      </c>
      <c r="Y296" s="1" t="s">
        <v>39</v>
      </c>
      <c r="Z296" s="1" t="n">
        <v>1</v>
      </c>
      <c r="AA296" s="1" t="str">
        <f aca="false">TRIM(PROPER(F296))</f>
        <v>Warangal</v>
      </c>
      <c r="AB296" s="1" t="str">
        <f aca="false">TRIM(PROPER(C296))</f>
        <v>Embibe</v>
      </c>
      <c r="AC296" s="1" t="str">
        <f aca="false">IF(O296=0,"No Discount",IF(O296&lt;=15,"Low (1-15%)",IF(O296&lt;=30,"Medium (16-30%)","High (&gt;30%)")))</f>
        <v>Low (1-15%)</v>
      </c>
      <c r="AD296" s="1" t="str">
        <f aca="false">IF(V296&lt;0,"Loss Making",IF(V296&lt;20,"Low Margin","Healthy Margin"))</f>
        <v>Healthy Margin</v>
      </c>
      <c r="AE296" s="1" t="str">
        <f aca="false">TEXT(DATE(VALUE(RIGHT(B296,4)),VALUE(MID(B296,4,2)),VALUE(LEFT(B296,2))),"MMM-YYYY")</f>
        <v>Nov-2024</v>
      </c>
      <c r="AF296" s="1" t="n">
        <f aca="false">VALUE(RIGHT(B296,4))</f>
        <v>2024</v>
      </c>
      <c r="AG296" s="1" t="str">
        <f aca="false">CHOOSE(ROUNDUP(VALUE(MID(B296,4,2))/3,0),"Q1","Q2","Q3","Q4")</f>
        <v>Q4</v>
      </c>
    </row>
    <row r="297" customFormat="false" ht="15" hidden="false" customHeight="true" outlineLevel="0" collapsed="false">
      <c r="A297" s="1" t="s">
        <v>691</v>
      </c>
      <c r="B297" s="1" t="s">
        <v>692</v>
      </c>
      <c r="C297" s="1" t="s">
        <v>134</v>
      </c>
      <c r="D297" s="1" t="s">
        <v>168</v>
      </c>
      <c r="E297" s="1" t="s">
        <v>169</v>
      </c>
      <c r="F297" s="1" t="s">
        <v>96</v>
      </c>
      <c r="G297" s="1" t="s">
        <v>97</v>
      </c>
      <c r="H297" s="1" t="s">
        <v>69</v>
      </c>
      <c r="I297" s="1" t="s">
        <v>34</v>
      </c>
      <c r="J297" s="1" t="s">
        <v>77</v>
      </c>
      <c r="K297" s="1" t="s">
        <v>104</v>
      </c>
      <c r="L297" s="1" t="s">
        <v>113</v>
      </c>
      <c r="M297" s="1" t="s">
        <v>38</v>
      </c>
      <c r="N297" s="1" t="n">
        <v>4999</v>
      </c>
      <c r="O297" s="1" t="n">
        <v>20</v>
      </c>
      <c r="P297" s="1" t="n">
        <v>999.8</v>
      </c>
      <c r="Q297" s="1" t="n">
        <v>3999.2</v>
      </c>
      <c r="R297" s="1" t="n">
        <v>719.86</v>
      </c>
      <c r="S297" s="1" t="n">
        <v>3279.34</v>
      </c>
      <c r="T297" s="1" t="n">
        <v>1280.9</v>
      </c>
      <c r="U297" s="1" t="n">
        <v>1998.44</v>
      </c>
      <c r="V297" s="1" t="n">
        <v>60.94</v>
      </c>
      <c r="W297" s="1" t="s">
        <v>39</v>
      </c>
      <c r="X297" s="1" t="n">
        <v>3.6</v>
      </c>
      <c r="Y297" s="1" t="s">
        <v>40</v>
      </c>
      <c r="Z297" s="1" t="n">
        <v>0</v>
      </c>
      <c r="AA297" s="1" t="str">
        <f aca="false">TRIM(PROPER(F297))</f>
        <v>Pune</v>
      </c>
      <c r="AB297" s="1" t="str">
        <f aca="false">TRIM(PROPER(C297))</f>
        <v>Doubtnut</v>
      </c>
      <c r="AC297" s="1" t="str">
        <f aca="false">IF(O297=0,"No Discount",IF(O297&lt;=15,"Low (1-15%)",IF(O297&lt;=30,"Medium (16-30%)","High (&gt;30%)")))</f>
        <v>Medium (16-30%)</v>
      </c>
      <c r="AD297" s="1" t="str">
        <f aca="false">IF(V297&lt;0,"Loss Making",IF(V297&lt;20,"Low Margin","Healthy Margin"))</f>
        <v>Healthy Margin</v>
      </c>
      <c r="AE297" s="1" t="str">
        <f aca="false">TEXT(DATE(VALUE(RIGHT(B297,4)),VALUE(MID(B297,4,2)),VALUE(LEFT(B297,2))),"MMM-YYYY")</f>
        <v>Jan-2024</v>
      </c>
      <c r="AF297" s="1" t="n">
        <f aca="false">VALUE(RIGHT(B297,4))</f>
        <v>2024</v>
      </c>
      <c r="AG297" s="1" t="str">
        <f aca="false">CHOOSE(ROUNDUP(VALUE(MID(B297,4,2))/3,0),"Q1","Q2","Q3","Q4")</f>
        <v>Q1</v>
      </c>
    </row>
    <row r="298" customFormat="false" ht="15" hidden="false" customHeight="true" outlineLevel="0" collapsed="false">
      <c r="A298" s="1" t="s">
        <v>693</v>
      </c>
      <c r="B298" s="1" t="s">
        <v>694</v>
      </c>
      <c r="C298" s="1" t="s">
        <v>88</v>
      </c>
      <c r="D298" s="1" t="s">
        <v>53</v>
      </c>
      <c r="E298" s="1" t="s">
        <v>216</v>
      </c>
      <c r="F298" s="1" t="s">
        <v>107</v>
      </c>
      <c r="G298" s="1" t="s">
        <v>108</v>
      </c>
      <c r="H298" s="1" t="s">
        <v>33</v>
      </c>
      <c r="I298" s="1" t="s">
        <v>83</v>
      </c>
      <c r="J298" s="1" t="s">
        <v>70</v>
      </c>
      <c r="K298" s="1" t="s">
        <v>104</v>
      </c>
      <c r="L298" s="1" t="s">
        <v>113</v>
      </c>
      <c r="M298" s="1" t="s">
        <v>62</v>
      </c>
      <c r="N298" s="1" t="n">
        <v>7499</v>
      </c>
      <c r="O298" s="1" t="n">
        <v>0</v>
      </c>
      <c r="P298" s="1" t="n">
        <v>0</v>
      </c>
      <c r="Q298" s="1" t="n">
        <v>7499</v>
      </c>
      <c r="R298" s="1" t="n">
        <v>1349.82</v>
      </c>
      <c r="S298" s="1" t="n">
        <v>6149.18</v>
      </c>
      <c r="T298" s="1" t="n">
        <v>2070.41</v>
      </c>
      <c r="U298" s="1" t="n">
        <v>4078.77</v>
      </c>
      <c r="V298" s="1" t="n">
        <v>66.33</v>
      </c>
      <c r="W298" s="1" t="s">
        <v>40</v>
      </c>
      <c r="Y298" s="1" t="s">
        <v>39</v>
      </c>
      <c r="Z298" s="1" t="n">
        <v>1</v>
      </c>
      <c r="AA298" s="1" t="str">
        <f aca="false">TRIM(PROPER(F298))</f>
        <v>Madurai</v>
      </c>
      <c r="AB298" s="1" t="str">
        <f aca="false">TRIM(PROPER(C298))</f>
        <v>Byju'S</v>
      </c>
      <c r="AC298" s="1" t="str">
        <f aca="false">IF(O298=0,"No Discount",IF(O298&lt;=15,"Low (1-15%)",IF(O298&lt;=30,"Medium (16-30%)","High (&gt;30%)")))</f>
        <v>No Discount</v>
      </c>
      <c r="AD298" s="1" t="str">
        <f aca="false">IF(V298&lt;0,"Loss Making",IF(V298&lt;20,"Low Margin","Healthy Margin"))</f>
        <v>Healthy Margin</v>
      </c>
      <c r="AE298" s="1" t="str">
        <f aca="false">TEXT(DATE(VALUE(RIGHT(B298,4)),VALUE(MID(B298,4,2)),VALUE(LEFT(B298,2))),"MMM-YYYY")</f>
        <v>Jan-2024</v>
      </c>
      <c r="AF298" s="1" t="n">
        <f aca="false">VALUE(RIGHT(B298,4))</f>
        <v>2024</v>
      </c>
      <c r="AG298" s="1" t="str">
        <f aca="false">CHOOSE(ROUNDUP(VALUE(MID(B298,4,2))/3,0),"Q1","Q2","Q3","Q4")</f>
        <v>Q1</v>
      </c>
    </row>
    <row r="299" customFormat="false" ht="15" hidden="false" customHeight="true" outlineLevel="0" collapsed="false">
      <c r="A299" s="1" t="s">
        <v>695</v>
      </c>
      <c r="B299" s="1" t="s">
        <v>309</v>
      </c>
      <c r="C299" s="1" t="s">
        <v>74</v>
      </c>
      <c r="D299" s="1" t="s">
        <v>44</v>
      </c>
      <c r="E299" s="1" t="s">
        <v>221</v>
      </c>
      <c r="F299" s="1" t="s">
        <v>696</v>
      </c>
      <c r="G299" s="1" t="s">
        <v>56</v>
      </c>
      <c r="H299" s="1" t="s">
        <v>69</v>
      </c>
      <c r="I299" s="1" t="s">
        <v>34</v>
      </c>
      <c r="J299" s="1" t="s">
        <v>77</v>
      </c>
      <c r="K299" s="1" t="s">
        <v>104</v>
      </c>
      <c r="L299" s="1" t="s">
        <v>49</v>
      </c>
      <c r="M299" s="1" t="s">
        <v>50</v>
      </c>
      <c r="N299" s="1" t="n">
        <v>16999</v>
      </c>
      <c r="O299" s="1" t="n">
        <v>15</v>
      </c>
      <c r="P299" s="1" t="n">
        <v>2549.85</v>
      </c>
      <c r="Q299" s="1" t="n">
        <v>14449.15</v>
      </c>
      <c r="R299" s="1" t="n">
        <v>2600.85</v>
      </c>
      <c r="S299" s="1" t="n">
        <v>11848.3</v>
      </c>
      <c r="T299" s="1" t="n">
        <v>5429.96</v>
      </c>
      <c r="U299" s="1" t="n">
        <v>6418.34</v>
      </c>
      <c r="V299" s="1" t="n">
        <v>54.17</v>
      </c>
      <c r="W299" s="1" t="s">
        <v>40</v>
      </c>
      <c r="Y299" s="1" t="s">
        <v>39</v>
      </c>
      <c r="Z299" s="1" t="n">
        <v>1</v>
      </c>
      <c r="AA299" s="1" t="str">
        <f aca="false">TRIM(PROPER(F299))</f>
        <v>New Delhi</v>
      </c>
      <c r="AB299" s="1" t="str">
        <f aca="false">TRIM(PROPER(C299))</f>
        <v>Vedantu</v>
      </c>
      <c r="AC299" s="1" t="str">
        <f aca="false">IF(O299=0,"No Discount",IF(O299&lt;=15,"Low (1-15%)",IF(O299&lt;=30,"Medium (16-30%)","High (&gt;30%)")))</f>
        <v>Low (1-15%)</v>
      </c>
      <c r="AD299" s="1" t="str">
        <f aca="false">IF(V299&lt;0,"Loss Making",IF(V299&lt;20,"Low Margin","Healthy Margin"))</f>
        <v>Healthy Margin</v>
      </c>
      <c r="AE299" s="1" t="str">
        <f aca="false">TEXT(DATE(VALUE(RIGHT(B299,4)),VALUE(MID(B299,4,2)),VALUE(LEFT(B299,2))),"MMM-YYYY")</f>
        <v>Oct-2024</v>
      </c>
      <c r="AF299" s="1" t="n">
        <f aca="false">VALUE(RIGHT(B299,4))</f>
        <v>2024</v>
      </c>
      <c r="AG299" s="1" t="str">
        <f aca="false">CHOOSE(ROUNDUP(VALUE(MID(B299,4,2))/3,0),"Q1","Q2","Q3","Q4")</f>
        <v>Q4</v>
      </c>
    </row>
    <row r="300" customFormat="false" ht="15" hidden="false" customHeight="true" outlineLevel="0" collapsed="false">
      <c r="A300" s="1" t="s">
        <v>697</v>
      </c>
      <c r="B300" s="1" t="s">
        <v>698</v>
      </c>
      <c r="C300" s="1" t="s">
        <v>43</v>
      </c>
      <c r="D300" s="1" t="s">
        <v>53</v>
      </c>
      <c r="E300" s="1" t="s">
        <v>116</v>
      </c>
      <c r="F300" s="1" t="s">
        <v>55</v>
      </c>
      <c r="G300" s="1" t="s">
        <v>56</v>
      </c>
      <c r="H300" s="1" t="s">
        <v>57</v>
      </c>
      <c r="I300" s="1" t="s">
        <v>34</v>
      </c>
      <c r="J300" s="1" t="s">
        <v>70</v>
      </c>
      <c r="K300" s="1" t="s">
        <v>104</v>
      </c>
      <c r="L300" s="1" t="s">
        <v>61</v>
      </c>
      <c r="M300" s="1" t="s">
        <v>62</v>
      </c>
      <c r="N300" s="1" t="n">
        <v>9999</v>
      </c>
      <c r="O300" s="1" t="n">
        <v>0</v>
      </c>
      <c r="P300" s="1" t="n">
        <v>0</v>
      </c>
      <c r="Q300" s="1" t="n">
        <v>9999</v>
      </c>
      <c r="R300" s="1" t="n">
        <v>1799.82</v>
      </c>
      <c r="S300" s="1" t="n">
        <v>8199.18</v>
      </c>
      <c r="T300" s="1" t="n">
        <v>4116.17</v>
      </c>
      <c r="U300" s="1" t="n">
        <v>4083.01</v>
      </c>
      <c r="V300" s="1" t="n">
        <v>49.8</v>
      </c>
      <c r="W300" s="1" t="s">
        <v>39</v>
      </c>
      <c r="X300" s="1" t="n">
        <v>3.5</v>
      </c>
      <c r="Y300" s="1" t="s">
        <v>40</v>
      </c>
      <c r="Z300" s="1" t="n">
        <v>0</v>
      </c>
      <c r="AA300" s="1" t="str">
        <f aca="false">TRIM(PROPER(F300))</f>
        <v>Ghaziabad</v>
      </c>
      <c r="AB300" s="1" t="str">
        <f aca="false">TRIM(PROPER(C300))</f>
        <v>Meritnation</v>
      </c>
      <c r="AC300" s="1" t="str">
        <f aca="false">IF(O300=0,"No Discount",IF(O300&lt;=15,"Low (1-15%)",IF(O300&lt;=30,"Medium (16-30%)","High (&gt;30%)")))</f>
        <v>No Discount</v>
      </c>
      <c r="AD300" s="1" t="str">
        <f aca="false">IF(V300&lt;0,"Loss Making",IF(V300&lt;20,"Low Margin","Healthy Margin"))</f>
        <v>Healthy Margin</v>
      </c>
      <c r="AE300" s="1" t="str">
        <f aca="false">TEXT(DATE(VALUE(RIGHT(B300,4)),VALUE(MID(B300,4,2)),VALUE(LEFT(B300,2))),"MMM-YYYY")</f>
        <v>Apr-2024</v>
      </c>
      <c r="AF300" s="1" t="n">
        <f aca="false">VALUE(RIGHT(B300,4))</f>
        <v>2024</v>
      </c>
      <c r="AG300" s="1" t="str">
        <f aca="false">CHOOSE(ROUNDUP(VALUE(MID(B300,4,2))/3,0),"Q1","Q2","Q3","Q4")</f>
        <v>Q2</v>
      </c>
    </row>
    <row r="301" customFormat="false" ht="15" hidden="false" customHeight="true" outlineLevel="0" collapsed="false">
      <c r="A301" s="1" t="s">
        <v>699</v>
      </c>
      <c r="B301" s="1" t="s">
        <v>362</v>
      </c>
      <c r="C301" s="1" t="s">
        <v>100</v>
      </c>
      <c r="D301" s="1" t="s">
        <v>123</v>
      </c>
      <c r="E301" s="1" t="s">
        <v>233</v>
      </c>
      <c r="F301" s="1" t="s">
        <v>153</v>
      </c>
      <c r="G301" s="1" t="s">
        <v>76</v>
      </c>
      <c r="H301" s="1" t="s">
        <v>33</v>
      </c>
      <c r="I301" s="1" t="s">
        <v>58</v>
      </c>
      <c r="J301" s="1" t="s">
        <v>77</v>
      </c>
      <c r="K301" s="1" t="s">
        <v>104</v>
      </c>
      <c r="L301" s="1" t="s">
        <v>136</v>
      </c>
      <c r="M301" s="1" t="s">
        <v>62</v>
      </c>
      <c r="N301" s="1" t="n">
        <v>8999</v>
      </c>
      <c r="O301" s="1" t="n">
        <v>25</v>
      </c>
      <c r="P301" s="1" t="n">
        <v>2249.75</v>
      </c>
      <c r="Q301" s="1" t="n">
        <v>6749.25</v>
      </c>
      <c r="R301" s="1" t="n">
        <v>1214.87</v>
      </c>
      <c r="S301" s="1" t="n">
        <v>5534.38</v>
      </c>
      <c r="T301" s="1" t="n">
        <v>2501.21</v>
      </c>
      <c r="U301" s="1" t="n">
        <v>3033.17</v>
      </c>
      <c r="V301" s="1" t="n">
        <v>54.81</v>
      </c>
      <c r="W301" s="1" t="s">
        <v>39</v>
      </c>
      <c r="X301" s="1" t="n">
        <v>4.6</v>
      </c>
      <c r="Y301" s="1" t="s">
        <v>40</v>
      </c>
      <c r="Z301" s="1" t="n">
        <v>1</v>
      </c>
      <c r="AA301" s="1" t="str">
        <f aca="false">TRIM(PROPER(F301))</f>
        <v>Howrah</v>
      </c>
      <c r="AB301" s="1" t="str">
        <f aca="false">TRIM(PROPER(C301))</f>
        <v>Physics Wallah</v>
      </c>
      <c r="AC301" s="1" t="str">
        <f aca="false">IF(O301=0,"No Discount",IF(O301&lt;=15,"Low (1-15%)",IF(O301&lt;=30,"Medium (16-30%)","High (&gt;30%)")))</f>
        <v>Medium (16-30%)</v>
      </c>
      <c r="AD301" s="1" t="str">
        <f aca="false">IF(V301&lt;0,"Loss Making",IF(V301&lt;20,"Low Margin","Healthy Margin"))</f>
        <v>Healthy Margin</v>
      </c>
      <c r="AE301" s="1" t="str">
        <f aca="false">TEXT(DATE(VALUE(RIGHT(B301,4)),VALUE(MID(B301,4,2)),VALUE(LEFT(B301,2))),"MMM-YYYY")</f>
        <v>Aug-2024</v>
      </c>
      <c r="AF301" s="1" t="n">
        <f aca="false">VALUE(RIGHT(B301,4))</f>
        <v>2024</v>
      </c>
      <c r="AG301" s="1" t="str">
        <f aca="false">CHOOSE(ROUNDUP(VALUE(MID(B301,4,2))/3,0),"Q1","Q2","Q3","Q4")</f>
        <v>Q3</v>
      </c>
    </row>
    <row r="302" customFormat="false" ht="15" hidden="false" customHeight="true" outlineLevel="0" collapsed="false">
      <c r="A302" s="1" t="s">
        <v>700</v>
      </c>
      <c r="B302" s="1" t="s">
        <v>701</v>
      </c>
      <c r="C302" s="1" t="s">
        <v>119</v>
      </c>
      <c r="D302" s="1" t="s">
        <v>80</v>
      </c>
      <c r="E302" s="1" t="s">
        <v>190</v>
      </c>
      <c r="F302" s="1" t="s">
        <v>140</v>
      </c>
      <c r="G302" s="1" t="s">
        <v>97</v>
      </c>
      <c r="H302" s="1" t="s">
        <v>57</v>
      </c>
      <c r="I302" s="1" t="s">
        <v>34</v>
      </c>
      <c r="J302" s="1" t="s">
        <v>59</v>
      </c>
      <c r="K302" s="1" t="s">
        <v>60</v>
      </c>
      <c r="L302" s="1" t="s">
        <v>85</v>
      </c>
      <c r="M302" s="1" t="s">
        <v>50</v>
      </c>
      <c r="N302" s="1" t="n">
        <v>15999</v>
      </c>
      <c r="O302" s="1" t="n">
        <v>10</v>
      </c>
      <c r="P302" s="1" t="n">
        <v>1599.9</v>
      </c>
      <c r="Q302" s="1" t="n">
        <v>14399.1</v>
      </c>
      <c r="R302" s="1" t="n">
        <v>2591.84</v>
      </c>
      <c r="S302" s="1" t="n">
        <v>11807.26</v>
      </c>
      <c r="T302" s="1" t="n">
        <v>5054.14</v>
      </c>
      <c r="U302" s="1" t="n">
        <v>6753.12</v>
      </c>
      <c r="V302" s="1" t="n">
        <v>57.19</v>
      </c>
      <c r="W302" s="1" t="s">
        <v>40</v>
      </c>
      <c r="Y302" s="1" t="s">
        <v>40</v>
      </c>
      <c r="Z302" s="1" t="n">
        <v>1</v>
      </c>
      <c r="AA302" s="1" t="str">
        <f aca="false">TRIM(PROPER(F302))</f>
        <v>Nashik</v>
      </c>
      <c r="AB302" s="1" t="str">
        <f aca="false">TRIM(PROPER(C302))</f>
        <v>Simplilearn</v>
      </c>
      <c r="AC302" s="1" t="str">
        <f aca="false">IF(O302=0,"No Discount",IF(O302&lt;=15,"Low (1-15%)",IF(O302&lt;=30,"Medium (16-30%)","High (&gt;30%)")))</f>
        <v>Low (1-15%)</v>
      </c>
      <c r="AD302" s="1" t="str">
        <f aca="false">IF(V302&lt;0,"Loss Making",IF(V302&lt;20,"Low Margin","Healthy Margin"))</f>
        <v>Healthy Margin</v>
      </c>
      <c r="AE302" s="1" t="str">
        <f aca="false">TEXT(DATE(VALUE(RIGHT(B302,4)),VALUE(MID(B302,4,2)),VALUE(LEFT(B302,2))),"MMM-YYYY")</f>
        <v>Mar-2024</v>
      </c>
      <c r="AF302" s="1" t="n">
        <f aca="false">VALUE(RIGHT(B302,4))</f>
        <v>2024</v>
      </c>
      <c r="AG302" s="1" t="str">
        <f aca="false">CHOOSE(ROUNDUP(VALUE(MID(B302,4,2))/3,0),"Q1","Q2","Q3","Q4")</f>
        <v>Q1</v>
      </c>
    </row>
    <row r="303" customFormat="false" ht="15" hidden="false" customHeight="true" outlineLevel="0" collapsed="false">
      <c r="A303" s="1" t="s">
        <v>702</v>
      </c>
      <c r="B303" s="1" t="s">
        <v>703</v>
      </c>
      <c r="C303" s="1" t="s">
        <v>134</v>
      </c>
      <c r="D303" s="1" t="s">
        <v>53</v>
      </c>
      <c r="E303" s="1" t="s">
        <v>216</v>
      </c>
      <c r="F303" s="1" t="s">
        <v>184</v>
      </c>
      <c r="G303" s="1" t="s">
        <v>56</v>
      </c>
      <c r="H303" s="1" t="s">
        <v>57</v>
      </c>
      <c r="I303" s="1" t="s">
        <v>34</v>
      </c>
      <c r="J303" s="1" t="s">
        <v>70</v>
      </c>
      <c r="K303" s="1" t="s">
        <v>60</v>
      </c>
      <c r="L303" s="1" t="s">
        <v>136</v>
      </c>
      <c r="M303" s="1" t="s">
        <v>38</v>
      </c>
      <c r="N303" s="1" t="n">
        <v>7499</v>
      </c>
      <c r="O303" s="1" t="n">
        <v>50</v>
      </c>
      <c r="P303" s="1" t="n">
        <v>3749.5</v>
      </c>
      <c r="Q303" s="1" t="n">
        <v>3749.5</v>
      </c>
      <c r="R303" s="1" t="n">
        <v>674.91</v>
      </c>
      <c r="S303" s="1" t="n">
        <v>3074.59</v>
      </c>
      <c r="T303" s="1" t="n">
        <v>1626.03</v>
      </c>
      <c r="U303" s="1" t="n">
        <v>1448.56</v>
      </c>
      <c r="V303" s="1" t="n">
        <v>47.11</v>
      </c>
      <c r="W303" s="1" t="s">
        <v>39</v>
      </c>
      <c r="Y303" s="1" t="s">
        <v>40</v>
      </c>
      <c r="Z303" s="1" t="n">
        <v>0</v>
      </c>
      <c r="AA303" s="1" t="str">
        <f aca="false">TRIM(PROPER(F303))</f>
        <v>Faridabad</v>
      </c>
      <c r="AB303" s="1" t="str">
        <f aca="false">TRIM(PROPER(C303))</f>
        <v>Doubtnut</v>
      </c>
      <c r="AC303" s="1" t="str">
        <f aca="false">IF(O303=0,"No Discount",IF(O303&lt;=15,"Low (1-15%)",IF(O303&lt;=30,"Medium (16-30%)","High (&gt;30%)")))</f>
        <v>High (&gt;30%)</v>
      </c>
      <c r="AD303" s="1" t="str">
        <f aca="false">IF(V303&lt;0,"Loss Making",IF(V303&lt;20,"Low Margin","Healthy Margin"))</f>
        <v>Healthy Margin</v>
      </c>
      <c r="AE303" s="1" t="str">
        <f aca="false">TEXT(DATE(VALUE(RIGHT(B303,4)),VALUE(MID(B303,4,2)),VALUE(LEFT(B303,2))),"MMM-YYYY")</f>
        <v>Jun-2024</v>
      </c>
      <c r="AF303" s="1" t="n">
        <f aca="false">VALUE(RIGHT(B303,4))</f>
        <v>2024</v>
      </c>
      <c r="AG303" s="1" t="str">
        <f aca="false">CHOOSE(ROUNDUP(VALUE(MID(B303,4,2))/3,0),"Q1","Q2","Q3","Q4")</f>
        <v>Q2</v>
      </c>
    </row>
    <row r="304" customFormat="false" ht="15" hidden="false" customHeight="true" outlineLevel="0" collapsed="false">
      <c r="A304" s="1" t="s">
        <v>704</v>
      </c>
      <c r="B304" s="1" t="s">
        <v>669</v>
      </c>
      <c r="C304" s="1" t="s">
        <v>167</v>
      </c>
      <c r="D304" s="1" t="s">
        <v>44</v>
      </c>
      <c r="E304" s="1" t="s">
        <v>221</v>
      </c>
      <c r="F304" s="1" t="s">
        <v>187</v>
      </c>
      <c r="G304" s="1" t="s">
        <v>97</v>
      </c>
      <c r="H304" s="1" t="s">
        <v>69</v>
      </c>
      <c r="I304" s="1" t="s">
        <v>58</v>
      </c>
      <c r="J304" s="1" t="s">
        <v>77</v>
      </c>
      <c r="K304" s="1" t="s">
        <v>71</v>
      </c>
      <c r="L304" s="1" t="s">
        <v>136</v>
      </c>
      <c r="M304" s="1" t="s">
        <v>50</v>
      </c>
      <c r="N304" s="1" t="n">
        <v>16999</v>
      </c>
      <c r="O304" s="1" t="n">
        <v>30</v>
      </c>
      <c r="P304" s="1" t="n">
        <v>5099.7</v>
      </c>
      <c r="Q304" s="1" t="n">
        <v>11899.3</v>
      </c>
      <c r="R304" s="1" t="n">
        <v>2141.87</v>
      </c>
      <c r="S304" s="1" t="n">
        <v>9757.43</v>
      </c>
      <c r="T304" s="1" t="n">
        <v>3645.53</v>
      </c>
      <c r="U304" s="1" t="n">
        <v>6111.9</v>
      </c>
      <c r="V304" s="1" t="n">
        <v>62.64</v>
      </c>
      <c r="W304" s="1" t="s">
        <v>39</v>
      </c>
      <c r="X304" s="1" t="n">
        <v>4</v>
      </c>
      <c r="Y304" s="1" t="s">
        <v>40</v>
      </c>
      <c r="Z304" s="1" t="n">
        <v>0</v>
      </c>
      <c r="AA304" s="1" t="str">
        <f aca="false">TRIM(PROPER(F304))</f>
        <v>Mumbai</v>
      </c>
      <c r="AB304" s="1" t="str">
        <f aca="false">TRIM(PROPER(C304))</f>
        <v>Scaler</v>
      </c>
      <c r="AC304" s="1" t="str">
        <f aca="false">IF(O304=0,"No Discount",IF(O304&lt;=15,"Low (1-15%)",IF(O304&lt;=30,"Medium (16-30%)","High (&gt;30%)")))</f>
        <v>Medium (16-30%)</v>
      </c>
      <c r="AD304" s="1" t="str">
        <f aca="false">IF(V304&lt;0,"Loss Making",IF(V304&lt;20,"Low Margin","Healthy Margin"))</f>
        <v>Healthy Margin</v>
      </c>
      <c r="AE304" s="1" t="str">
        <f aca="false">TEXT(DATE(VALUE(RIGHT(B304,4)),VALUE(MID(B304,4,2)),VALUE(LEFT(B304,2))),"MMM-YYYY")</f>
        <v>Mar-2023</v>
      </c>
      <c r="AF304" s="1" t="n">
        <f aca="false">VALUE(RIGHT(B304,4))</f>
        <v>2023</v>
      </c>
      <c r="AG304" s="1" t="str">
        <f aca="false">CHOOSE(ROUNDUP(VALUE(MID(B304,4,2))/3,0),"Q1","Q2","Q3","Q4")</f>
        <v>Q1</v>
      </c>
    </row>
    <row r="305" customFormat="false" ht="15" hidden="false" customHeight="true" outlineLevel="0" collapsed="false">
      <c r="A305" s="1" t="s">
        <v>705</v>
      </c>
      <c r="B305" s="1" t="s">
        <v>596</v>
      </c>
      <c r="C305" s="1" t="s">
        <v>88</v>
      </c>
      <c r="D305" s="1" t="s">
        <v>123</v>
      </c>
      <c r="E305" s="1" t="s">
        <v>124</v>
      </c>
      <c r="F305" s="1" t="s">
        <v>46</v>
      </c>
      <c r="G305" s="1" t="s">
        <v>47</v>
      </c>
      <c r="H305" s="1" t="s">
        <v>33</v>
      </c>
      <c r="I305" s="1" t="s">
        <v>83</v>
      </c>
      <c r="J305" s="1" t="s">
        <v>77</v>
      </c>
      <c r="K305" s="1" t="s">
        <v>112</v>
      </c>
      <c r="L305" s="1" t="s">
        <v>61</v>
      </c>
      <c r="M305" s="1" t="s">
        <v>62</v>
      </c>
      <c r="N305" s="1" t="n">
        <v>4999</v>
      </c>
      <c r="O305" s="1" t="n">
        <v>0</v>
      </c>
      <c r="P305" s="1" t="n">
        <v>0</v>
      </c>
      <c r="Q305" s="1" t="n">
        <v>4999</v>
      </c>
      <c r="R305" s="1" t="n">
        <v>899.82</v>
      </c>
      <c r="S305" s="1" t="n">
        <v>4099.18</v>
      </c>
      <c r="T305" s="1" t="n">
        <v>1851.31</v>
      </c>
      <c r="U305" s="1" t="n">
        <v>2247.87</v>
      </c>
      <c r="V305" s="1" t="n">
        <v>54.84</v>
      </c>
      <c r="W305" s="1" t="s">
        <v>39</v>
      </c>
      <c r="X305" s="1" t="n">
        <v>4</v>
      </c>
      <c r="Y305" s="1" t="s">
        <v>40</v>
      </c>
      <c r="Z305" s="1" t="n">
        <v>1</v>
      </c>
      <c r="AA305" s="1" t="str">
        <f aca="false">TRIM(PROPER(F305))</f>
        <v>Mangaluru</v>
      </c>
      <c r="AB305" s="1" t="str">
        <f aca="false">TRIM(PROPER(C305))</f>
        <v>Byju'S</v>
      </c>
      <c r="AC305" s="1" t="str">
        <f aca="false">IF(O305=0,"No Discount",IF(O305&lt;=15,"Low (1-15%)",IF(O305&lt;=30,"Medium (16-30%)","High (&gt;30%)")))</f>
        <v>No Discount</v>
      </c>
      <c r="AD305" s="1" t="str">
        <f aca="false">IF(V305&lt;0,"Loss Making",IF(V305&lt;20,"Low Margin","Healthy Margin"))</f>
        <v>Healthy Margin</v>
      </c>
      <c r="AE305" s="1" t="str">
        <f aca="false">TEXT(DATE(VALUE(RIGHT(B305,4)),VALUE(MID(B305,4,2)),VALUE(LEFT(B305,2))),"MMM-YYYY")</f>
        <v>Dec-2024</v>
      </c>
      <c r="AF305" s="1" t="n">
        <f aca="false">VALUE(RIGHT(B305,4))</f>
        <v>2024</v>
      </c>
      <c r="AG305" s="1" t="str">
        <f aca="false">CHOOSE(ROUNDUP(VALUE(MID(B305,4,2))/3,0),"Q1","Q2","Q3","Q4")</f>
        <v>Q4</v>
      </c>
    </row>
    <row r="306" customFormat="false" ht="15" hidden="false" customHeight="true" outlineLevel="0" collapsed="false">
      <c r="A306" s="1" t="s">
        <v>706</v>
      </c>
      <c r="B306" s="1" t="s">
        <v>707</v>
      </c>
      <c r="C306" s="1" t="s">
        <v>88</v>
      </c>
      <c r="D306" s="1" t="s">
        <v>168</v>
      </c>
      <c r="E306" s="1" t="s">
        <v>169</v>
      </c>
      <c r="F306" s="1" t="s">
        <v>150</v>
      </c>
      <c r="G306" s="1" t="s">
        <v>32</v>
      </c>
      <c r="H306" s="1" t="s">
        <v>57</v>
      </c>
      <c r="I306" s="1" t="s">
        <v>34</v>
      </c>
      <c r="J306" s="1" t="s">
        <v>77</v>
      </c>
      <c r="K306" s="1" t="s">
        <v>112</v>
      </c>
      <c r="L306" s="1" t="s">
        <v>136</v>
      </c>
      <c r="M306" s="1" t="s">
        <v>38</v>
      </c>
      <c r="N306" s="1" t="n">
        <v>4999</v>
      </c>
      <c r="O306" s="1" t="n">
        <v>20</v>
      </c>
      <c r="P306" s="1" t="n">
        <v>999.8</v>
      </c>
      <c r="Q306" s="1" t="n">
        <v>3999.2</v>
      </c>
      <c r="R306" s="1" t="n">
        <v>719.86</v>
      </c>
      <c r="S306" s="1" t="n">
        <v>3279.34</v>
      </c>
      <c r="T306" s="1" t="n">
        <v>1503.72</v>
      </c>
      <c r="U306" s="1" t="n">
        <v>1775.62</v>
      </c>
      <c r="V306" s="1" t="n">
        <v>54.15</v>
      </c>
      <c r="W306" s="1" t="s">
        <v>39</v>
      </c>
      <c r="X306" s="1" t="n">
        <v>3.7</v>
      </c>
      <c r="Y306" s="1" t="s">
        <v>40</v>
      </c>
      <c r="Z306" s="1" t="n">
        <v>0</v>
      </c>
      <c r="AA306" s="1" t="str">
        <f aca="false">TRIM(PROPER(F306))</f>
        <v>Jaipur</v>
      </c>
      <c r="AB306" s="1" t="str">
        <f aca="false">TRIM(PROPER(C306))</f>
        <v>Byju'S</v>
      </c>
      <c r="AC306" s="1" t="str">
        <f aca="false">IF(O306=0,"No Discount",IF(O306&lt;=15,"Low (1-15%)",IF(O306&lt;=30,"Medium (16-30%)","High (&gt;30%)")))</f>
        <v>Medium (16-30%)</v>
      </c>
      <c r="AD306" s="1" t="str">
        <f aca="false">IF(V306&lt;0,"Loss Making",IF(V306&lt;20,"Low Margin","Healthy Margin"))</f>
        <v>Healthy Margin</v>
      </c>
      <c r="AE306" s="1" t="str">
        <f aca="false">TEXT(DATE(VALUE(RIGHT(B306,4)),VALUE(MID(B306,4,2)),VALUE(LEFT(B306,2))),"MMM-YYYY")</f>
        <v>Dec-2023</v>
      </c>
      <c r="AF306" s="1" t="n">
        <f aca="false">VALUE(RIGHT(B306,4))</f>
        <v>2023</v>
      </c>
      <c r="AG306" s="1" t="str">
        <f aca="false">CHOOSE(ROUNDUP(VALUE(MID(B306,4,2))/3,0),"Q1","Q2","Q3","Q4")</f>
        <v>Q4</v>
      </c>
    </row>
    <row r="307" customFormat="false" ht="15" hidden="false" customHeight="true" outlineLevel="0" collapsed="false">
      <c r="A307" s="1" t="s">
        <v>708</v>
      </c>
      <c r="B307" s="1" t="s">
        <v>535</v>
      </c>
      <c r="C307" s="1" t="s">
        <v>93</v>
      </c>
      <c r="D307" s="1" t="s">
        <v>29</v>
      </c>
      <c r="E307" s="1" t="s">
        <v>30</v>
      </c>
      <c r="F307" s="1" t="s">
        <v>46</v>
      </c>
      <c r="G307" s="1" t="s">
        <v>47</v>
      </c>
      <c r="H307" s="1" t="s">
        <v>33</v>
      </c>
      <c r="I307" s="1" t="s">
        <v>83</v>
      </c>
      <c r="J307" s="1" t="s">
        <v>131</v>
      </c>
      <c r="K307" s="1" t="s">
        <v>90</v>
      </c>
      <c r="L307" s="1" t="s">
        <v>136</v>
      </c>
      <c r="M307" s="1" t="s">
        <v>38</v>
      </c>
      <c r="N307" s="1" t="n">
        <v>7999</v>
      </c>
      <c r="O307" s="1" t="n">
        <v>25</v>
      </c>
      <c r="P307" s="1" t="n">
        <v>1999.75</v>
      </c>
      <c r="Q307" s="1" t="n">
        <v>5999.25</v>
      </c>
      <c r="R307" s="1" t="n">
        <v>1079.87</v>
      </c>
      <c r="S307" s="1" t="n">
        <v>4919.38</v>
      </c>
      <c r="T307" s="1" t="n">
        <v>1642.66</v>
      </c>
      <c r="U307" s="1" t="n">
        <v>3276.72</v>
      </c>
      <c r="V307" s="1" t="n">
        <v>66.61</v>
      </c>
      <c r="W307" s="1" t="s">
        <v>39</v>
      </c>
      <c r="Y307" s="1" t="s">
        <v>40</v>
      </c>
      <c r="Z307" s="1" t="n">
        <v>0</v>
      </c>
      <c r="AA307" s="1" t="str">
        <f aca="false">TRIM(PROPER(F307))</f>
        <v>Mangaluru</v>
      </c>
      <c r="AB307" s="1" t="str">
        <f aca="false">TRIM(PROPER(C307))</f>
        <v>Upgrad</v>
      </c>
      <c r="AC307" s="1" t="str">
        <f aca="false">IF(O307=0,"No Discount",IF(O307&lt;=15,"Low (1-15%)",IF(O307&lt;=30,"Medium (16-30%)","High (&gt;30%)")))</f>
        <v>Medium (16-30%)</v>
      </c>
      <c r="AD307" s="1" t="str">
        <f aca="false">IF(V307&lt;0,"Loss Making",IF(V307&lt;20,"Low Margin","Healthy Margin"))</f>
        <v>Healthy Margin</v>
      </c>
      <c r="AE307" s="1" t="str">
        <f aca="false">TEXT(DATE(VALUE(RIGHT(B307,4)),VALUE(MID(B307,4,2)),VALUE(LEFT(B307,2))),"MMM-YYYY")</f>
        <v>Jan-2023</v>
      </c>
      <c r="AF307" s="1" t="n">
        <f aca="false">VALUE(RIGHT(B307,4))</f>
        <v>2023</v>
      </c>
      <c r="AG307" s="1" t="str">
        <f aca="false">CHOOSE(ROUNDUP(VALUE(MID(B307,4,2))/3,0),"Q1","Q2","Q3","Q4")</f>
        <v>Q1</v>
      </c>
    </row>
    <row r="308" customFormat="false" ht="15" hidden="false" customHeight="true" outlineLevel="0" collapsed="false">
      <c r="A308" s="1" t="s">
        <v>709</v>
      </c>
      <c r="B308" s="1" t="s">
        <v>710</v>
      </c>
      <c r="C308" s="1" t="s">
        <v>128</v>
      </c>
      <c r="D308" s="1" t="s">
        <v>123</v>
      </c>
      <c r="E308" s="1" t="s">
        <v>124</v>
      </c>
      <c r="F308" s="1" t="s">
        <v>150</v>
      </c>
      <c r="G308" s="1" t="s">
        <v>32</v>
      </c>
      <c r="H308" s="1" t="s">
        <v>57</v>
      </c>
      <c r="I308" s="1" t="s">
        <v>34</v>
      </c>
      <c r="J308" s="1" t="s">
        <v>59</v>
      </c>
      <c r="K308" s="1" t="s">
        <v>48</v>
      </c>
      <c r="L308" s="1" t="s">
        <v>37</v>
      </c>
      <c r="M308" s="1" t="s">
        <v>38</v>
      </c>
      <c r="N308" s="1" t="n">
        <v>4999</v>
      </c>
      <c r="O308" s="1" t="n">
        <v>20</v>
      </c>
      <c r="P308" s="1" t="n">
        <v>999.8</v>
      </c>
      <c r="Q308" s="1" t="n">
        <v>3999.2</v>
      </c>
      <c r="R308" s="1" t="n">
        <v>719.86</v>
      </c>
      <c r="S308" s="1" t="n">
        <v>3279.34</v>
      </c>
      <c r="T308" s="1" t="n">
        <v>1557.96</v>
      </c>
      <c r="U308" s="1" t="n">
        <v>1721.38</v>
      </c>
      <c r="V308" s="1" t="n">
        <v>52.49</v>
      </c>
      <c r="W308" s="1" t="s">
        <v>39</v>
      </c>
      <c r="X308" s="1" t="n">
        <v>4.1</v>
      </c>
      <c r="Y308" s="1" t="s">
        <v>40</v>
      </c>
      <c r="Z308" s="1" t="n">
        <v>0</v>
      </c>
      <c r="AA308" s="1" t="str">
        <f aca="false">TRIM(PROPER(F308))</f>
        <v>Jaipur</v>
      </c>
      <c r="AB308" s="1" t="str">
        <f aca="false">TRIM(PROPER(C308))</f>
        <v>Great Learning</v>
      </c>
      <c r="AC308" s="1" t="str">
        <f aca="false">IF(O308=0,"No Discount",IF(O308&lt;=15,"Low (1-15%)",IF(O308&lt;=30,"Medium (16-30%)","High (&gt;30%)")))</f>
        <v>Medium (16-30%)</v>
      </c>
      <c r="AD308" s="1" t="str">
        <f aca="false">IF(V308&lt;0,"Loss Making",IF(V308&lt;20,"Low Margin","Healthy Margin"))</f>
        <v>Healthy Margin</v>
      </c>
      <c r="AE308" s="1" t="str">
        <f aca="false">TEXT(DATE(VALUE(RIGHT(B308,4)),VALUE(MID(B308,4,2)),VALUE(LEFT(B308,2))),"MMM-YYYY")</f>
        <v>Apr-2024</v>
      </c>
      <c r="AF308" s="1" t="n">
        <f aca="false">VALUE(RIGHT(B308,4))</f>
        <v>2024</v>
      </c>
      <c r="AG308" s="1" t="str">
        <f aca="false">CHOOSE(ROUNDUP(VALUE(MID(B308,4,2))/3,0),"Q1","Q2","Q3","Q4")</f>
        <v>Q2</v>
      </c>
    </row>
    <row r="309" customFormat="false" ht="15" hidden="false" customHeight="true" outlineLevel="0" collapsed="false">
      <c r="A309" s="1" t="s">
        <v>711</v>
      </c>
      <c r="B309" s="1" t="s">
        <v>712</v>
      </c>
      <c r="C309" s="1" t="s">
        <v>100</v>
      </c>
      <c r="D309" s="1" t="s">
        <v>168</v>
      </c>
      <c r="E309" s="1" t="s">
        <v>328</v>
      </c>
      <c r="F309" s="1" t="s">
        <v>107</v>
      </c>
      <c r="G309" s="1" t="s">
        <v>108</v>
      </c>
      <c r="H309" s="1" t="s">
        <v>33</v>
      </c>
      <c r="I309" s="1" t="s">
        <v>58</v>
      </c>
      <c r="J309" s="1" t="s">
        <v>59</v>
      </c>
      <c r="K309" s="1" t="s">
        <v>104</v>
      </c>
      <c r="L309" s="1" t="s">
        <v>136</v>
      </c>
      <c r="M309" s="1" t="s">
        <v>50</v>
      </c>
      <c r="N309" s="1" t="n">
        <v>8999</v>
      </c>
      <c r="O309" s="1" t="n">
        <v>20</v>
      </c>
      <c r="P309" s="1" t="n">
        <v>1799.8</v>
      </c>
      <c r="Q309" s="1" t="n">
        <v>7199.2</v>
      </c>
      <c r="R309" s="1" t="n">
        <v>1295.86</v>
      </c>
      <c r="S309" s="1" t="n">
        <v>5903.34</v>
      </c>
      <c r="T309" s="1" t="n">
        <v>2946.53</v>
      </c>
      <c r="U309" s="1" t="n">
        <v>2956.81</v>
      </c>
      <c r="V309" s="1" t="n">
        <v>50.09</v>
      </c>
      <c r="W309" s="1" t="s">
        <v>40</v>
      </c>
      <c r="Y309" s="1" t="s">
        <v>39</v>
      </c>
      <c r="Z309" s="1" t="n">
        <v>0</v>
      </c>
      <c r="AA309" s="1" t="str">
        <f aca="false">TRIM(PROPER(F309))</f>
        <v>Madurai</v>
      </c>
      <c r="AB309" s="1" t="str">
        <f aca="false">TRIM(PROPER(C309))</f>
        <v>Physics Wallah</v>
      </c>
      <c r="AC309" s="1" t="str">
        <f aca="false">IF(O309=0,"No Discount",IF(O309&lt;=15,"Low (1-15%)",IF(O309&lt;=30,"Medium (16-30%)","High (&gt;30%)")))</f>
        <v>Medium (16-30%)</v>
      </c>
      <c r="AD309" s="1" t="str">
        <f aca="false">IF(V309&lt;0,"Loss Making",IF(V309&lt;20,"Low Margin","Healthy Margin"))</f>
        <v>Healthy Margin</v>
      </c>
      <c r="AE309" s="1" t="str">
        <f aca="false">TEXT(DATE(VALUE(RIGHT(B309,4)),VALUE(MID(B309,4,2)),VALUE(LEFT(B309,2))),"MMM-YYYY")</f>
        <v>Jan-2024</v>
      </c>
      <c r="AF309" s="1" t="n">
        <f aca="false">VALUE(RIGHT(B309,4))</f>
        <v>2024</v>
      </c>
      <c r="AG309" s="1" t="str">
        <f aca="false">CHOOSE(ROUNDUP(VALUE(MID(B309,4,2))/3,0),"Q1","Q2","Q3","Q4")</f>
        <v>Q1</v>
      </c>
    </row>
    <row r="310" customFormat="false" ht="15" hidden="false" customHeight="true" outlineLevel="0" collapsed="false">
      <c r="A310" s="1" t="s">
        <v>713</v>
      </c>
      <c r="B310" s="1" t="s">
        <v>714</v>
      </c>
      <c r="C310" s="1" t="s">
        <v>178</v>
      </c>
      <c r="D310" s="1" t="s">
        <v>94</v>
      </c>
      <c r="E310" s="1" t="s">
        <v>101</v>
      </c>
      <c r="F310" s="1" t="s">
        <v>150</v>
      </c>
      <c r="G310" s="1" t="s">
        <v>32</v>
      </c>
      <c r="H310" s="1" t="s">
        <v>57</v>
      </c>
      <c r="I310" s="1" t="s">
        <v>58</v>
      </c>
      <c r="J310" s="1" t="s">
        <v>59</v>
      </c>
      <c r="K310" s="1" t="s">
        <v>112</v>
      </c>
      <c r="L310" s="1" t="s">
        <v>37</v>
      </c>
      <c r="M310" s="1" t="s">
        <v>50</v>
      </c>
      <c r="N310" s="1" t="n">
        <v>14999</v>
      </c>
      <c r="O310" s="1" t="n">
        <v>0</v>
      </c>
      <c r="P310" s="1" t="n">
        <v>0</v>
      </c>
      <c r="Q310" s="1" t="n">
        <v>14999</v>
      </c>
      <c r="R310" s="1" t="n">
        <v>2699.82</v>
      </c>
      <c r="S310" s="1" t="n">
        <v>12299.18</v>
      </c>
      <c r="T310" s="1" t="n">
        <v>4862.15</v>
      </c>
      <c r="U310" s="1" t="n">
        <v>7437.03</v>
      </c>
      <c r="V310" s="1" t="n">
        <v>60.47</v>
      </c>
      <c r="W310" s="1" t="s">
        <v>39</v>
      </c>
      <c r="X310" s="1" t="n">
        <v>4</v>
      </c>
      <c r="Y310" s="1" t="s">
        <v>40</v>
      </c>
      <c r="Z310" s="1" t="n">
        <v>0</v>
      </c>
      <c r="AA310" s="1" t="str">
        <f aca="false">TRIM(PROPER(F310))</f>
        <v>Jaipur</v>
      </c>
      <c r="AB310" s="1" t="str">
        <f aca="false">TRIM(PROPER(C310))</f>
        <v>Leverage Edu</v>
      </c>
      <c r="AC310" s="1" t="str">
        <f aca="false">IF(O310=0,"No Discount",IF(O310&lt;=15,"Low (1-15%)",IF(O310&lt;=30,"Medium (16-30%)","High (&gt;30%)")))</f>
        <v>No Discount</v>
      </c>
      <c r="AD310" s="1" t="str">
        <f aca="false">IF(V310&lt;0,"Loss Making",IF(V310&lt;20,"Low Margin","Healthy Margin"))</f>
        <v>Healthy Margin</v>
      </c>
      <c r="AE310" s="1" t="str">
        <f aca="false">TEXT(DATE(VALUE(RIGHT(B310,4)),VALUE(MID(B310,4,2)),VALUE(LEFT(B310,2))),"MMM-YYYY")</f>
        <v>Dec-2023</v>
      </c>
      <c r="AF310" s="1" t="n">
        <f aca="false">VALUE(RIGHT(B310,4))</f>
        <v>2023</v>
      </c>
      <c r="AG310" s="1" t="str">
        <f aca="false">CHOOSE(ROUNDUP(VALUE(MID(B310,4,2))/3,0),"Q1","Q2","Q3","Q4")</f>
        <v>Q4</v>
      </c>
    </row>
    <row r="311" customFormat="false" ht="15" hidden="false" customHeight="true" outlineLevel="0" collapsed="false">
      <c r="A311" s="1" t="s">
        <v>715</v>
      </c>
      <c r="B311" s="1" t="s">
        <v>300</v>
      </c>
      <c r="C311" s="1" t="s">
        <v>28</v>
      </c>
      <c r="D311" s="1" t="s">
        <v>168</v>
      </c>
      <c r="E311" s="1" t="s">
        <v>172</v>
      </c>
      <c r="F311" s="1" t="s">
        <v>156</v>
      </c>
      <c r="G311" s="1" t="s">
        <v>68</v>
      </c>
      <c r="H311" s="1" t="s">
        <v>57</v>
      </c>
      <c r="I311" s="1" t="s">
        <v>34</v>
      </c>
      <c r="J311" s="1" t="s">
        <v>131</v>
      </c>
      <c r="K311" s="1" t="s">
        <v>36</v>
      </c>
      <c r="L311" s="1" t="s">
        <v>49</v>
      </c>
      <c r="M311" s="1" t="s">
        <v>62</v>
      </c>
      <c r="N311" s="1" t="n">
        <v>6999</v>
      </c>
      <c r="O311" s="1" t="n">
        <v>40</v>
      </c>
      <c r="P311" s="1" t="n">
        <v>2799.6</v>
      </c>
      <c r="Q311" s="1" t="n">
        <v>4199.4</v>
      </c>
      <c r="R311" s="1" t="n">
        <v>755.89</v>
      </c>
      <c r="S311" s="1" t="n">
        <v>3443.51</v>
      </c>
      <c r="T311" s="1" t="n">
        <v>1786.87</v>
      </c>
      <c r="U311" s="1" t="n">
        <v>1656.64</v>
      </c>
      <c r="V311" s="1" t="n">
        <v>48.11</v>
      </c>
      <c r="W311" s="1" t="s">
        <v>39</v>
      </c>
      <c r="X311" s="1" t="n">
        <v>4.2</v>
      </c>
      <c r="Y311" s="1" t="s">
        <v>40</v>
      </c>
      <c r="Z311" s="1" t="n">
        <v>0</v>
      </c>
      <c r="AA311" s="1" t="str">
        <f aca="false">TRIM(PROPER(F311))</f>
        <v>Surat</v>
      </c>
      <c r="AB311" s="1" t="str">
        <f aca="false">TRIM(PROPER(C311))</f>
        <v>Embibe</v>
      </c>
      <c r="AC311" s="1" t="str">
        <f aca="false">IF(O311=0,"No Discount",IF(O311&lt;=15,"Low (1-15%)",IF(O311&lt;=30,"Medium (16-30%)","High (&gt;30%)")))</f>
        <v>High (&gt;30%)</v>
      </c>
      <c r="AD311" s="1" t="str">
        <f aca="false">IF(V311&lt;0,"Loss Making",IF(V311&lt;20,"Low Margin","Healthy Margin"))</f>
        <v>Healthy Margin</v>
      </c>
      <c r="AE311" s="1" t="str">
        <f aca="false">TEXT(DATE(VALUE(RIGHT(B311,4)),VALUE(MID(B311,4,2)),VALUE(LEFT(B311,2))),"MMM-YYYY")</f>
        <v>Dec-2024</v>
      </c>
      <c r="AF311" s="1" t="n">
        <f aca="false">VALUE(RIGHT(B311,4))</f>
        <v>2024</v>
      </c>
      <c r="AG311" s="1" t="str">
        <f aca="false">CHOOSE(ROUNDUP(VALUE(MID(B311,4,2))/3,0),"Q1","Q2","Q3","Q4")</f>
        <v>Q4</v>
      </c>
    </row>
    <row r="312" customFormat="false" ht="15" hidden="false" customHeight="true" outlineLevel="0" collapsed="false">
      <c r="A312" s="1" t="s">
        <v>716</v>
      </c>
      <c r="B312" s="1" t="s">
        <v>717</v>
      </c>
      <c r="C312" s="1" t="s">
        <v>139</v>
      </c>
      <c r="D312" s="1" t="s">
        <v>143</v>
      </c>
      <c r="E312" s="1" t="s">
        <v>159</v>
      </c>
      <c r="F312" s="1" t="s">
        <v>187</v>
      </c>
      <c r="G312" s="1" t="s">
        <v>97</v>
      </c>
      <c r="H312" s="1" t="s">
        <v>69</v>
      </c>
      <c r="I312" s="1" t="s">
        <v>34</v>
      </c>
      <c r="J312" s="1" t="s">
        <v>70</v>
      </c>
      <c r="K312" s="1" t="s">
        <v>60</v>
      </c>
      <c r="L312" s="1" t="s">
        <v>136</v>
      </c>
      <c r="M312" s="1" t="s">
        <v>38</v>
      </c>
      <c r="N312" s="1" t="n">
        <v>24999</v>
      </c>
      <c r="O312" s="1" t="n">
        <v>0</v>
      </c>
      <c r="P312" s="1" t="n">
        <v>0</v>
      </c>
      <c r="Q312" s="1" t="n">
        <v>24999</v>
      </c>
      <c r="R312" s="1" t="n">
        <v>4499.82</v>
      </c>
      <c r="S312" s="1" t="n">
        <v>20499.18</v>
      </c>
      <c r="T312" s="1" t="n">
        <v>8401.91</v>
      </c>
      <c r="U312" s="1" t="n">
        <v>12097.27</v>
      </c>
      <c r="V312" s="1" t="n">
        <v>59.01</v>
      </c>
      <c r="W312" s="1" t="s">
        <v>39</v>
      </c>
      <c r="X312" s="1" t="n">
        <v>3.6</v>
      </c>
      <c r="Y312" s="1" t="s">
        <v>40</v>
      </c>
      <c r="Z312" s="1" t="n">
        <v>0</v>
      </c>
      <c r="AA312" s="1" t="str">
        <f aca="false">TRIM(PROPER(F312))</f>
        <v>Mumbai</v>
      </c>
      <c r="AB312" s="1" t="str">
        <f aca="false">TRIM(PROPER(C312))</f>
        <v>Extramarks</v>
      </c>
      <c r="AC312" s="1" t="str">
        <f aca="false">IF(O312=0,"No Discount",IF(O312&lt;=15,"Low (1-15%)",IF(O312&lt;=30,"Medium (16-30%)","High (&gt;30%)")))</f>
        <v>No Discount</v>
      </c>
      <c r="AD312" s="1" t="str">
        <f aca="false">IF(V312&lt;0,"Loss Making",IF(V312&lt;20,"Low Margin","Healthy Margin"))</f>
        <v>Healthy Margin</v>
      </c>
      <c r="AE312" s="1" t="str">
        <f aca="false">TEXT(DATE(VALUE(RIGHT(B312,4)),VALUE(MID(B312,4,2)),VALUE(LEFT(B312,2))),"MMM-YYYY")</f>
        <v>Sep-2024</v>
      </c>
      <c r="AF312" s="1" t="n">
        <f aca="false">VALUE(RIGHT(B312,4))</f>
        <v>2024</v>
      </c>
      <c r="AG312" s="1" t="str">
        <f aca="false">CHOOSE(ROUNDUP(VALUE(MID(B312,4,2))/3,0),"Q1","Q2","Q3","Q4")</f>
        <v>Q3</v>
      </c>
    </row>
    <row r="313" customFormat="false" ht="15" hidden="false" customHeight="true" outlineLevel="0" collapsed="false">
      <c r="A313" s="1" t="s">
        <v>718</v>
      </c>
      <c r="B313" s="1" t="s">
        <v>719</v>
      </c>
      <c r="C313" s="1" t="s">
        <v>249</v>
      </c>
      <c r="D313" s="1" t="s">
        <v>123</v>
      </c>
      <c r="E313" s="1" t="s">
        <v>147</v>
      </c>
      <c r="F313" s="1" t="s">
        <v>140</v>
      </c>
      <c r="G313" s="1" t="s">
        <v>97</v>
      </c>
      <c r="H313" s="1" t="s">
        <v>57</v>
      </c>
      <c r="I313" s="1" t="s">
        <v>83</v>
      </c>
      <c r="J313" s="1" t="s">
        <v>35</v>
      </c>
      <c r="K313" s="1" t="s">
        <v>84</v>
      </c>
      <c r="L313" s="1" t="s">
        <v>113</v>
      </c>
      <c r="M313" s="1" t="s">
        <v>50</v>
      </c>
      <c r="N313" s="1" t="n">
        <v>6999</v>
      </c>
      <c r="O313" s="1" t="n">
        <v>30</v>
      </c>
      <c r="P313" s="1" t="n">
        <v>2099.7</v>
      </c>
      <c r="Q313" s="1" t="n">
        <v>4899.3</v>
      </c>
      <c r="R313" s="1" t="n">
        <v>881.87</v>
      </c>
      <c r="S313" s="1" t="n">
        <v>4017.43</v>
      </c>
      <c r="T313" s="1" t="n">
        <v>1529.28</v>
      </c>
      <c r="U313" s="1" t="n">
        <v>2488.15</v>
      </c>
      <c r="V313" s="1" t="n">
        <v>61.93</v>
      </c>
      <c r="W313" s="1" t="s">
        <v>39</v>
      </c>
      <c r="Y313" s="1" t="s">
        <v>40</v>
      </c>
      <c r="Z313" s="1" t="n">
        <v>0</v>
      </c>
      <c r="AA313" s="1" t="str">
        <f aca="false">TRIM(PROPER(F313))</f>
        <v>Nashik</v>
      </c>
      <c r="AB313" s="1" t="str">
        <f aca="false">TRIM(PROPER(C313))</f>
        <v>Whitehat Jr</v>
      </c>
      <c r="AC313" s="1" t="str">
        <f aca="false">IF(O313=0,"No Discount",IF(O313&lt;=15,"Low (1-15%)",IF(O313&lt;=30,"Medium (16-30%)","High (&gt;30%)")))</f>
        <v>Medium (16-30%)</v>
      </c>
      <c r="AD313" s="1" t="str">
        <f aca="false">IF(V313&lt;0,"Loss Making",IF(V313&lt;20,"Low Margin","Healthy Margin"))</f>
        <v>Healthy Margin</v>
      </c>
      <c r="AE313" s="1" t="str">
        <f aca="false">TEXT(DATE(VALUE(RIGHT(B313,4)),VALUE(MID(B313,4,2)),VALUE(LEFT(B313,2))),"MMM-YYYY")</f>
        <v>Jan-2024</v>
      </c>
      <c r="AF313" s="1" t="n">
        <f aca="false">VALUE(RIGHT(B313,4))</f>
        <v>2024</v>
      </c>
      <c r="AG313" s="1" t="str">
        <f aca="false">CHOOSE(ROUNDUP(VALUE(MID(B313,4,2))/3,0),"Q1","Q2","Q3","Q4")</f>
        <v>Q1</v>
      </c>
    </row>
    <row r="314" customFormat="false" ht="15" hidden="false" customHeight="true" outlineLevel="0" collapsed="false">
      <c r="A314" s="1" t="s">
        <v>720</v>
      </c>
      <c r="B314" s="1" t="s">
        <v>714</v>
      </c>
      <c r="C314" s="1" t="s">
        <v>74</v>
      </c>
      <c r="D314" s="1" t="s">
        <v>44</v>
      </c>
      <c r="E314" s="1" t="s">
        <v>221</v>
      </c>
      <c r="F314" s="1" t="s">
        <v>107</v>
      </c>
      <c r="G314" s="1" t="s">
        <v>108</v>
      </c>
      <c r="H314" s="1" t="s">
        <v>33</v>
      </c>
      <c r="I314" s="1" t="s">
        <v>58</v>
      </c>
      <c r="J314" s="1" t="s">
        <v>77</v>
      </c>
      <c r="K314" s="1" t="s">
        <v>90</v>
      </c>
      <c r="L314" s="1" t="s">
        <v>136</v>
      </c>
      <c r="M314" s="1" t="s">
        <v>62</v>
      </c>
      <c r="N314" s="1" t="n">
        <v>16999</v>
      </c>
      <c r="O314" s="1" t="n">
        <v>20</v>
      </c>
      <c r="P314" s="1" t="n">
        <v>3399.8</v>
      </c>
      <c r="Q314" s="1" t="n">
        <v>13599.2</v>
      </c>
      <c r="R314" s="1" t="n">
        <v>2447.86</v>
      </c>
      <c r="S314" s="1" t="n">
        <v>11151.34</v>
      </c>
      <c r="T314" s="1" t="n">
        <v>5165.05</v>
      </c>
      <c r="U314" s="1" t="n">
        <v>5986.29</v>
      </c>
      <c r="V314" s="1" t="n">
        <v>53.68</v>
      </c>
      <c r="W314" s="1" t="s">
        <v>39</v>
      </c>
      <c r="X314" s="1" t="n">
        <v>5</v>
      </c>
      <c r="Y314" s="1" t="s">
        <v>40</v>
      </c>
      <c r="Z314" s="1" t="n">
        <v>0</v>
      </c>
      <c r="AA314" s="1" t="str">
        <f aca="false">TRIM(PROPER(F314))</f>
        <v>Madurai</v>
      </c>
      <c r="AB314" s="1" t="str">
        <f aca="false">TRIM(PROPER(C314))</f>
        <v>Vedantu</v>
      </c>
      <c r="AC314" s="1" t="str">
        <f aca="false">IF(O314=0,"No Discount",IF(O314&lt;=15,"Low (1-15%)",IF(O314&lt;=30,"Medium (16-30%)","High (&gt;30%)")))</f>
        <v>Medium (16-30%)</v>
      </c>
      <c r="AD314" s="1" t="str">
        <f aca="false">IF(V314&lt;0,"Loss Making",IF(V314&lt;20,"Low Margin","Healthy Margin"))</f>
        <v>Healthy Margin</v>
      </c>
      <c r="AE314" s="1" t="str">
        <f aca="false">TEXT(DATE(VALUE(RIGHT(B314,4)),VALUE(MID(B314,4,2)),VALUE(LEFT(B314,2))),"MMM-YYYY")</f>
        <v>Dec-2023</v>
      </c>
      <c r="AF314" s="1" t="n">
        <f aca="false">VALUE(RIGHT(B314,4))</f>
        <v>2023</v>
      </c>
      <c r="AG314" s="1" t="str">
        <f aca="false">CHOOSE(ROUNDUP(VALUE(MID(B314,4,2))/3,0),"Q1","Q2","Q3","Q4")</f>
        <v>Q4</v>
      </c>
    </row>
    <row r="315" customFormat="false" ht="15" hidden="false" customHeight="true" outlineLevel="0" collapsed="false">
      <c r="A315" s="1" t="s">
        <v>721</v>
      </c>
      <c r="B315" s="1" t="s">
        <v>722</v>
      </c>
      <c r="C315" s="1" t="s">
        <v>88</v>
      </c>
      <c r="D315" s="1" t="s">
        <v>44</v>
      </c>
      <c r="E315" s="1" t="s">
        <v>66</v>
      </c>
      <c r="F315" s="1" t="s">
        <v>140</v>
      </c>
      <c r="G315" s="1" t="s">
        <v>97</v>
      </c>
      <c r="H315" s="1" t="s">
        <v>57</v>
      </c>
      <c r="I315" s="1" t="s">
        <v>83</v>
      </c>
      <c r="J315" s="1" t="s">
        <v>59</v>
      </c>
      <c r="K315" s="1" t="s">
        <v>84</v>
      </c>
      <c r="L315" s="1" t="s">
        <v>85</v>
      </c>
      <c r="M315" s="1" t="s">
        <v>38</v>
      </c>
      <c r="N315" s="1" t="n">
        <v>12999</v>
      </c>
      <c r="O315" s="1" t="n">
        <v>5</v>
      </c>
      <c r="P315" s="1" t="n">
        <v>649.95</v>
      </c>
      <c r="Q315" s="1" t="n">
        <v>12349.05</v>
      </c>
      <c r="R315" s="1" t="n">
        <v>2222.83</v>
      </c>
      <c r="S315" s="1" t="n">
        <v>10126.22</v>
      </c>
      <c r="T315" s="1" t="n">
        <v>4748.44</v>
      </c>
      <c r="U315" s="1" t="n">
        <v>5377.78</v>
      </c>
      <c r="V315" s="1" t="n">
        <v>53.11</v>
      </c>
      <c r="W315" s="1" t="s">
        <v>39</v>
      </c>
      <c r="X315" s="1" t="n">
        <v>3</v>
      </c>
      <c r="Y315" s="1" t="s">
        <v>40</v>
      </c>
      <c r="Z315" s="1" t="n">
        <v>0</v>
      </c>
      <c r="AA315" s="1" t="str">
        <f aca="false">TRIM(PROPER(F315))</f>
        <v>Nashik</v>
      </c>
      <c r="AB315" s="1" t="str">
        <f aca="false">TRIM(PROPER(C315))</f>
        <v>Byju'S</v>
      </c>
      <c r="AC315" s="1" t="str">
        <f aca="false">IF(O315=0,"No Discount",IF(O315&lt;=15,"Low (1-15%)",IF(O315&lt;=30,"Medium (16-30%)","High (&gt;30%)")))</f>
        <v>Low (1-15%)</v>
      </c>
      <c r="AD315" s="1" t="str">
        <f aca="false">IF(V315&lt;0,"Loss Making",IF(V315&lt;20,"Low Margin","Healthy Margin"))</f>
        <v>Healthy Margin</v>
      </c>
      <c r="AE315" s="1" t="str">
        <f aca="false">TEXT(DATE(VALUE(RIGHT(B315,4)),VALUE(MID(B315,4,2)),VALUE(LEFT(B315,2))),"MMM-YYYY")</f>
        <v>Oct-2023</v>
      </c>
      <c r="AF315" s="1" t="n">
        <f aca="false">VALUE(RIGHT(B315,4))</f>
        <v>2023</v>
      </c>
      <c r="AG315" s="1" t="str">
        <f aca="false">CHOOSE(ROUNDUP(VALUE(MID(B315,4,2))/3,0),"Q1","Q2","Q3","Q4")</f>
        <v>Q4</v>
      </c>
    </row>
    <row r="316" customFormat="false" ht="15" hidden="false" customHeight="true" outlineLevel="0" collapsed="false">
      <c r="A316" s="1" t="s">
        <v>723</v>
      </c>
      <c r="B316" s="1" t="s">
        <v>724</v>
      </c>
      <c r="C316" s="1" t="s">
        <v>28</v>
      </c>
      <c r="D316" s="1" t="s">
        <v>143</v>
      </c>
      <c r="E316" s="1" t="s">
        <v>210</v>
      </c>
      <c r="F316" s="1" t="s">
        <v>140</v>
      </c>
      <c r="G316" s="1" t="s">
        <v>97</v>
      </c>
      <c r="H316" s="1" t="s">
        <v>57</v>
      </c>
      <c r="I316" s="1" t="s">
        <v>58</v>
      </c>
      <c r="J316" s="1" t="s">
        <v>35</v>
      </c>
      <c r="K316" s="1" t="s">
        <v>36</v>
      </c>
      <c r="L316" s="1" t="s">
        <v>61</v>
      </c>
      <c r="M316" s="1" t="s">
        <v>50</v>
      </c>
      <c r="N316" s="1" t="n">
        <v>18999</v>
      </c>
      <c r="O316" s="1" t="n">
        <v>30</v>
      </c>
      <c r="P316" s="1" t="n">
        <v>5699.7</v>
      </c>
      <c r="Q316" s="1" t="n">
        <v>13299.3</v>
      </c>
      <c r="R316" s="1" t="n">
        <v>2393.87</v>
      </c>
      <c r="S316" s="1" t="n">
        <v>10905.43</v>
      </c>
      <c r="T316" s="1" t="n">
        <v>4539.08</v>
      </c>
      <c r="U316" s="1" t="n">
        <v>6366.35</v>
      </c>
      <c r="V316" s="1" t="n">
        <v>58.38</v>
      </c>
      <c r="W316" s="1" t="s">
        <v>39</v>
      </c>
      <c r="X316" s="1" t="n">
        <v>3.8</v>
      </c>
      <c r="Y316" s="1" t="s">
        <v>40</v>
      </c>
      <c r="Z316" s="1" t="n">
        <v>0</v>
      </c>
      <c r="AA316" s="1" t="str">
        <f aca="false">TRIM(PROPER(F316))</f>
        <v>Nashik</v>
      </c>
      <c r="AB316" s="1" t="str">
        <f aca="false">TRIM(PROPER(C316))</f>
        <v>Embibe</v>
      </c>
      <c r="AC316" s="1" t="str">
        <f aca="false">IF(O316=0,"No Discount",IF(O316&lt;=15,"Low (1-15%)",IF(O316&lt;=30,"Medium (16-30%)","High (&gt;30%)")))</f>
        <v>Medium (16-30%)</v>
      </c>
      <c r="AD316" s="1" t="str">
        <f aca="false">IF(V316&lt;0,"Loss Making",IF(V316&lt;20,"Low Margin","Healthy Margin"))</f>
        <v>Healthy Margin</v>
      </c>
      <c r="AE316" s="1" t="str">
        <f aca="false">TEXT(DATE(VALUE(RIGHT(B316,4)),VALUE(MID(B316,4,2)),VALUE(LEFT(B316,2))),"MMM-YYYY")</f>
        <v>Jan-2024</v>
      </c>
      <c r="AF316" s="1" t="n">
        <f aca="false">VALUE(RIGHT(B316,4))</f>
        <v>2024</v>
      </c>
      <c r="AG316" s="1" t="str">
        <f aca="false">CHOOSE(ROUNDUP(VALUE(MID(B316,4,2))/3,0),"Q1","Q2","Q3","Q4")</f>
        <v>Q1</v>
      </c>
    </row>
    <row r="317" customFormat="false" ht="15" hidden="false" customHeight="true" outlineLevel="0" collapsed="false">
      <c r="A317" s="1" t="s">
        <v>725</v>
      </c>
      <c r="B317" s="1" t="s">
        <v>726</v>
      </c>
      <c r="C317" s="1" t="s">
        <v>178</v>
      </c>
      <c r="D317" s="1" t="s">
        <v>123</v>
      </c>
      <c r="E317" s="1" t="s">
        <v>124</v>
      </c>
      <c r="F317" s="1" t="s">
        <v>67</v>
      </c>
      <c r="G317" s="1" t="s">
        <v>68</v>
      </c>
      <c r="H317" s="1" t="s">
        <v>69</v>
      </c>
      <c r="I317" s="1" t="s">
        <v>34</v>
      </c>
      <c r="J317" s="1" t="s">
        <v>35</v>
      </c>
      <c r="K317" s="1" t="s">
        <v>36</v>
      </c>
      <c r="L317" s="1" t="s">
        <v>37</v>
      </c>
      <c r="M317" s="1" t="s">
        <v>38</v>
      </c>
      <c r="N317" s="1" t="n">
        <v>4999</v>
      </c>
      <c r="O317" s="1" t="n">
        <v>15</v>
      </c>
      <c r="P317" s="1" t="n">
        <v>749.85</v>
      </c>
      <c r="Q317" s="1" t="n">
        <v>4249.15</v>
      </c>
      <c r="R317" s="1" t="n">
        <v>764.85</v>
      </c>
      <c r="S317" s="1" t="n">
        <v>3484.3</v>
      </c>
      <c r="T317" s="1" t="n">
        <v>1183.98</v>
      </c>
      <c r="U317" s="1" t="n">
        <v>2300.32</v>
      </c>
      <c r="V317" s="1" t="n">
        <v>66.02</v>
      </c>
      <c r="W317" s="1" t="s">
        <v>39</v>
      </c>
      <c r="X317" s="1" t="n">
        <v>4.5</v>
      </c>
      <c r="Y317" s="1" t="s">
        <v>40</v>
      </c>
      <c r="Z317" s="1" t="n">
        <v>1</v>
      </c>
      <c r="AA317" s="1" t="str">
        <f aca="false">TRIM(PROPER(F317))</f>
        <v>Ahmedabad</v>
      </c>
      <c r="AB317" s="1" t="str">
        <f aca="false">TRIM(PROPER(C317))</f>
        <v>Leverage Edu</v>
      </c>
      <c r="AC317" s="1" t="str">
        <f aca="false">IF(O317=0,"No Discount",IF(O317&lt;=15,"Low (1-15%)",IF(O317&lt;=30,"Medium (16-30%)","High (&gt;30%)")))</f>
        <v>Low (1-15%)</v>
      </c>
      <c r="AD317" s="1" t="str">
        <f aca="false">IF(V317&lt;0,"Loss Making",IF(V317&lt;20,"Low Margin","Healthy Margin"))</f>
        <v>Healthy Margin</v>
      </c>
      <c r="AE317" s="1" t="str">
        <f aca="false">TEXT(DATE(VALUE(RIGHT(B317,4)),VALUE(MID(B317,4,2)),VALUE(LEFT(B317,2))),"MMM-YYYY")</f>
        <v>Nov-2024</v>
      </c>
      <c r="AF317" s="1" t="n">
        <f aca="false">VALUE(RIGHT(B317,4))</f>
        <v>2024</v>
      </c>
      <c r="AG317" s="1" t="str">
        <f aca="false">CHOOSE(ROUNDUP(VALUE(MID(B317,4,2))/3,0),"Q1","Q2","Q3","Q4")</f>
        <v>Q4</v>
      </c>
    </row>
    <row r="318" customFormat="false" ht="15" hidden="false" customHeight="true" outlineLevel="0" collapsed="false">
      <c r="A318" s="1" t="s">
        <v>727</v>
      </c>
      <c r="B318" s="1" t="s">
        <v>504</v>
      </c>
      <c r="C318" s="1" t="s">
        <v>88</v>
      </c>
      <c r="D318" s="1" t="s">
        <v>80</v>
      </c>
      <c r="E318" s="1" t="s">
        <v>81</v>
      </c>
      <c r="F318" s="1" t="s">
        <v>728</v>
      </c>
      <c r="G318" s="1" t="s">
        <v>97</v>
      </c>
      <c r="H318" s="1" t="s">
        <v>69</v>
      </c>
      <c r="I318" s="1" t="s">
        <v>58</v>
      </c>
      <c r="J318" s="1" t="s">
        <v>70</v>
      </c>
      <c r="K318" s="1" t="s">
        <v>90</v>
      </c>
      <c r="L318" s="1" t="s">
        <v>61</v>
      </c>
      <c r="M318" s="1" t="s">
        <v>62</v>
      </c>
      <c r="N318" s="1" t="n">
        <v>12999</v>
      </c>
      <c r="O318" s="1" t="n">
        <v>5</v>
      </c>
      <c r="P318" s="1" t="n">
        <v>649.95</v>
      </c>
      <c r="Q318" s="1" t="n">
        <v>12349.05</v>
      </c>
      <c r="R318" s="1" t="n">
        <v>2222.83</v>
      </c>
      <c r="S318" s="1" t="n">
        <v>10126.22</v>
      </c>
      <c r="T318" s="1" t="n">
        <v>3666.13</v>
      </c>
      <c r="U318" s="1" t="n">
        <v>6460.09</v>
      </c>
      <c r="V318" s="1" t="n">
        <v>63.8</v>
      </c>
      <c r="W318" s="1" t="s">
        <v>39</v>
      </c>
      <c r="X318" s="1" t="n">
        <v>4.2</v>
      </c>
      <c r="Y318" s="1" t="s">
        <v>40</v>
      </c>
      <c r="Z318" s="1" t="n">
        <v>0</v>
      </c>
      <c r="AA318" s="1" t="str">
        <f aca="false">TRIM(PROPER(F318))</f>
        <v>Pune</v>
      </c>
      <c r="AB318" s="1" t="str">
        <f aca="false">TRIM(PROPER(C318))</f>
        <v>Byju'S</v>
      </c>
      <c r="AC318" s="1" t="str">
        <f aca="false">IF(O318=0,"No Discount",IF(O318&lt;=15,"Low (1-15%)",IF(O318&lt;=30,"Medium (16-30%)","High (&gt;30%)")))</f>
        <v>Low (1-15%)</v>
      </c>
      <c r="AD318" s="1" t="str">
        <f aca="false">IF(V318&lt;0,"Loss Making",IF(V318&lt;20,"Low Margin","Healthy Margin"))</f>
        <v>Healthy Margin</v>
      </c>
      <c r="AE318" s="1" t="str">
        <f aca="false">TEXT(DATE(VALUE(RIGHT(B318,4)),VALUE(MID(B318,4,2)),VALUE(LEFT(B318,2))),"MMM-YYYY")</f>
        <v>Aug-2024</v>
      </c>
      <c r="AF318" s="1" t="n">
        <f aca="false">VALUE(RIGHT(B318,4))</f>
        <v>2024</v>
      </c>
      <c r="AG318" s="1" t="str">
        <f aca="false">CHOOSE(ROUNDUP(VALUE(MID(B318,4,2))/3,0),"Q1","Q2","Q3","Q4")</f>
        <v>Q3</v>
      </c>
    </row>
    <row r="319" customFormat="false" ht="15" hidden="false" customHeight="true" outlineLevel="0" collapsed="false">
      <c r="A319" s="1" t="s">
        <v>729</v>
      </c>
      <c r="B319" s="1" t="s">
        <v>730</v>
      </c>
      <c r="C319" s="1" t="s">
        <v>264</v>
      </c>
      <c r="D319" s="1" t="s">
        <v>44</v>
      </c>
      <c r="E319" s="1" t="s">
        <v>66</v>
      </c>
      <c r="F319" s="1" t="s">
        <v>153</v>
      </c>
      <c r="G319" s="1" t="s">
        <v>76</v>
      </c>
      <c r="H319" s="1" t="s">
        <v>33</v>
      </c>
      <c r="I319" s="1" t="s">
        <v>34</v>
      </c>
      <c r="J319" s="1" t="s">
        <v>70</v>
      </c>
      <c r="K319" s="1" t="s">
        <v>48</v>
      </c>
      <c r="L319" s="1" t="s">
        <v>85</v>
      </c>
      <c r="M319" s="1" t="s">
        <v>62</v>
      </c>
      <c r="N319" s="1" t="n">
        <v>12999</v>
      </c>
      <c r="O319" s="1" t="n">
        <v>10</v>
      </c>
      <c r="P319" s="1" t="n">
        <v>1299.9</v>
      </c>
      <c r="Q319" s="1" t="n">
        <v>11699.1</v>
      </c>
      <c r="R319" s="1" t="n">
        <v>2105.84</v>
      </c>
      <c r="S319" s="1" t="n">
        <v>9593.26</v>
      </c>
      <c r="T319" s="1" t="n">
        <v>4115.14</v>
      </c>
      <c r="U319" s="1" t="n">
        <v>5478.12</v>
      </c>
      <c r="V319" s="1" t="n">
        <v>57.1</v>
      </c>
      <c r="W319" s="1" t="s">
        <v>39</v>
      </c>
      <c r="X319" s="1" t="n">
        <v>4.1</v>
      </c>
      <c r="Y319" s="1" t="s">
        <v>40</v>
      </c>
      <c r="Z319" s="1" t="n">
        <v>0</v>
      </c>
      <c r="AA319" s="1" t="str">
        <f aca="false">TRIM(PROPER(F319))</f>
        <v>Howrah</v>
      </c>
      <c r="AB319" s="1" t="str">
        <f aca="false">TRIM(PROPER(C319))</f>
        <v>Unacademy</v>
      </c>
      <c r="AC319" s="1" t="str">
        <f aca="false">IF(O319=0,"No Discount",IF(O319&lt;=15,"Low (1-15%)",IF(O319&lt;=30,"Medium (16-30%)","High (&gt;30%)")))</f>
        <v>Low (1-15%)</v>
      </c>
      <c r="AD319" s="1" t="str">
        <f aca="false">IF(V319&lt;0,"Loss Making",IF(V319&lt;20,"Low Margin","Healthy Margin"))</f>
        <v>Healthy Margin</v>
      </c>
      <c r="AE319" s="1" t="str">
        <f aca="false">TEXT(DATE(VALUE(RIGHT(B319,4)),VALUE(MID(B319,4,2)),VALUE(LEFT(B319,2))),"MMM-YYYY")</f>
        <v>Jun-2024</v>
      </c>
      <c r="AF319" s="1" t="n">
        <f aca="false">VALUE(RIGHT(B319,4))</f>
        <v>2024</v>
      </c>
      <c r="AG319" s="1" t="str">
        <f aca="false">CHOOSE(ROUNDUP(VALUE(MID(B319,4,2))/3,0),"Q1","Q2","Q3","Q4")</f>
        <v>Q2</v>
      </c>
    </row>
    <row r="320" customFormat="false" ht="15" hidden="false" customHeight="true" outlineLevel="0" collapsed="false">
      <c r="A320" s="1" t="s">
        <v>731</v>
      </c>
      <c r="B320" s="1" t="s">
        <v>732</v>
      </c>
      <c r="C320" s="1" t="s">
        <v>119</v>
      </c>
      <c r="D320" s="1" t="s">
        <v>44</v>
      </c>
      <c r="E320" s="1" t="s">
        <v>66</v>
      </c>
      <c r="F320" s="1" t="s">
        <v>205</v>
      </c>
      <c r="G320" s="1" t="s">
        <v>56</v>
      </c>
      <c r="H320" s="1" t="s">
        <v>69</v>
      </c>
      <c r="I320" s="1" t="s">
        <v>34</v>
      </c>
      <c r="J320" s="1" t="s">
        <v>35</v>
      </c>
      <c r="K320" s="1" t="s">
        <v>104</v>
      </c>
      <c r="L320" s="1" t="s">
        <v>61</v>
      </c>
      <c r="M320" s="1" t="s">
        <v>50</v>
      </c>
      <c r="N320" s="1" t="n">
        <v>12999</v>
      </c>
      <c r="O320" s="1" t="n">
        <v>0</v>
      </c>
      <c r="P320" s="1" t="n">
        <v>0</v>
      </c>
      <c r="Q320" s="1" t="n">
        <v>12999</v>
      </c>
      <c r="R320" s="1" t="n">
        <v>2339.82</v>
      </c>
      <c r="S320" s="1" t="n">
        <v>10659.18</v>
      </c>
      <c r="T320" s="1" t="n">
        <v>3740.14</v>
      </c>
      <c r="U320" s="1" t="n">
        <v>6919.04</v>
      </c>
      <c r="V320" s="1" t="n">
        <v>64.91</v>
      </c>
      <c r="W320" s="1" t="s">
        <v>39</v>
      </c>
      <c r="X320" s="1" t="n">
        <v>3.2</v>
      </c>
      <c r="Y320" s="1" t="s">
        <v>40</v>
      </c>
      <c r="Z320" s="1" t="n">
        <v>0</v>
      </c>
      <c r="AA320" s="1" t="str">
        <f aca="false">TRIM(PROPER(F320))</f>
        <v>New Delhi</v>
      </c>
      <c r="AB320" s="1" t="str">
        <f aca="false">TRIM(PROPER(C320))</f>
        <v>Simplilearn</v>
      </c>
      <c r="AC320" s="1" t="str">
        <f aca="false">IF(O320=0,"No Discount",IF(O320&lt;=15,"Low (1-15%)",IF(O320&lt;=30,"Medium (16-30%)","High (&gt;30%)")))</f>
        <v>No Discount</v>
      </c>
      <c r="AD320" s="1" t="str">
        <f aca="false">IF(V320&lt;0,"Loss Making",IF(V320&lt;20,"Low Margin","Healthy Margin"))</f>
        <v>Healthy Margin</v>
      </c>
      <c r="AE320" s="1" t="str">
        <f aca="false">TEXT(DATE(VALUE(RIGHT(B320,4)),VALUE(MID(B320,4,2)),VALUE(LEFT(B320,2))),"MMM-YYYY")</f>
        <v>Jul-2023</v>
      </c>
      <c r="AF320" s="1" t="n">
        <f aca="false">VALUE(RIGHT(B320,4))</f>
        <v>2023</v>
      </c>
      <c r="AG320" s="1" t="str">
        <f aca="false">CHOOSE(ROUNDUP(VALUE(MID(B320,4,2))/3,0),"Q1","Q2","Q3","Q4")</f>
        <v>Q3</v>
      </c>
    </row>
    <row r="321" customFormat="false" ht="15" hidden="false" customHeight="true" outlineLevel="0" collapsed="false">
      <c r="A321" s="1" t="s">
        <v>733</v>
      </c>
      <c r="B321" s="1" t="s">
        <v>366</v>
      </c>
      <c r="C321" s="1" t="s">
        <v>93</v>
      </c>
      <c r="D321" s="1" t="s">
        <v>53</v>
      </c>
      <c r="E321" s="1" t="s">
        <v>54</v>
      </c>
      <c r="F321" s="1" t="s">
        <v>120</v>
      </c>
      <c r="G321" s="1" t="s">
        <v>47</v>
      </c>
      <c r="H321" s="1" t="s">
        <v>57</v>
      </c>
      <c r="I321" s="1" t="s">
        <v>83</v>
      </c>
      <c r="J321" s="1" t="s">
        <v>70</v>
      </c>
      <c r="K321" s="1" t="s">
        <v>90</v>
      </c>
      <c r="L321" s="1" t="s">
        <v>136</v>
      </c>
      <c r="M321" s="1" t="s">
        <v>62</v>
      </c>
      <c r="N321" s="1" t="n">
        <v>11999</v>
      </c>
      <c r="O321" s="1" t="n">
        <v>0</v>
      </c>
      <c r="P321" s="1" t="n">
        <v>0</v>
      </c>
      <c r="Q321" s="1" t="n">
        <v>11999</v>
      </c>
      <c r="R321" s="1" t="n">
        <v>2159.82</v>
      </c>
      <c r="S321" s="1" t="n">
        <v>9839.18</v>
      </c>
      <c r="T321" s="1" t="n">
        <v>4898.83</v>
      </c>
      <c r="U321" s="1" t="n">
        <v>4940.35</v>
      </c>
      <c r="V321" s="1" t="n">
        <v>50.21</v>
      </c>
      <c r="W321" s="1" t="s">
        <v>39</v>
      </c>
      <c r="X321" s="1" t="n">
        <v>3.9</v>
      </c>
      <c r="Y321" s="1" t="s">
        <v>40</v>
      </c>
      <c r="Z321" s="1" t="n">
        <v>0</v>
      </c>
      <c r="AA321" s="1" t="str">
        <f aca="false">TRIM(PROPER(F321))</f>
        <v>Mysuru</v>
      </c>
      <c r="AB321" s="1" t="str">
        <f aca="false">TRIM(PROPER(C321))</f>
        <v>Upgrad</v>
      </c>
      <c r="AC321" s="1" t="str">
        <f aca="false">IF(O321=0,"No Discount",IF(O321&lt;=15,"Low (1-15%)",IF(O321&lt;=30,"Medium (16-30%)","High (&gt;30%)")))</f>
        <v>No Discount</v>
      </c>
      <c r="AD321" s="1" t="str">
        <f aca="false">IF(V321&lt;0,"Loss Making",IF(V321&lt;20,"Low Margin","Healthy Margin"))</f>
        <v>Healthy Margin</v>
      </c>
      <c r="AE321" s="1" t="str">
        <f aca="false">TEXT(DATE(VALUE(RIGHT(B321,4)),VALUE(MID(B321,4,2)),VALUE(LEFT(B321,2))),"MMM-YYYY")</f>
        <v>Apr-2023</v>
      </c>
      <c r="AF321" s="1" t="n">
        <f aca="false">VALUE(RIGHT(B321,4))</f>
        <v>2023</v>
      </c>
      <c r="AG321" s="1" t="str">
        <f aca="false">CHOOSE(ROUNDUP(VALUE(MID(B321,4,2))/3,0),"Q1","Q2","Q3","Q4")</f>
        <v>Q2</v>
      </c>
    </row>
    <row r="322" customFormat="false" ht="15" hidden="false" customHeight="true" outlineLevel="0" collapsed="false">
      <c r="A322" s="1" t="s">
        <v>734</v>
      </c>
      <c r="B322" s="1" t="s">
        <v>735</v>
      </c>
      <c r="C322" s="1" t="s">
        <v>139</v>
      </c>
      <c r="D322" s="1" t="s">
        <v>143</v>
      </c>
      <c r="E322" s="1" t="s">
        <v>159</v>
      </c>
      <c r="F322" s="1" t="s">
        <v>96</v>
      </c>
      <c r="G322" s="1" t="s">
        <v>97</v>
      </c>
      <c r="H322" s="1" t="s">
        <v>69</v>
      </c>
      <c r="I322" s="1" t="s">
        <v>34</v>
      </c>
      <c r="J322" s="1" t="s">
        <v>35</v>
      </c>
      <c r="K322" s="1" t="s">
        <v>60</v>
      </c>
      <c r="L322" s="1" t="s">
        <v>85</v>
      </c>
      <c r="M322" s="1" t="s">
        <v>62</v>
      </c>
      <c r="N322" s="1" t="n">
        <v>24999</v>
      </c>
      <c r="O322" s="1" t="n">
        <v>10</v>
      </c>
      <c r="P322" s="1" t="n">
        <v>2499.9</v>
      </c>
      <c r="Q322" s="1" t="n">
        <v>22499.1</v>
      </c>
      <c r="R322" s="1" t="n">
        <v>4049.84</v>
      </c>
      <c r="S322" s="1" t="n">
        <v>18449.26</v>
      </c>
      <c r="T322" s="1" t="n">
        <v>7645.09</v>
      </c>
      <c r="U322" s="1" t="n">
        <v>10804.17</v>
      </c>
      <c r="V322" s="1" t="n">
        <v>58.56</v>
      </c>
      <c r="W322" s="1" t="s">
        <v>40</v>
      </c>
      <c r="Y322" s="1" t="s">
        <v>40</v>
      </c>
      <c r="Z322" s="1" t="n">
        <v>2</v>
      </c>
      <c r="AA322" s="1" t="str">
        <f aca="false">TRIM(PROPER(F322))</f>
        <v>Pune</v>
      </c>
      <c r="AB322" s="1" t="str">
        <f aca="false">TRIM(PROPER(C322))</f>
        <v>Extramarks</v>
      </c>
      <c r="AC322" s="1" t="str">
        <f aca="false">IF(O322=0,"No Discount",IF(O322&lt;=15,"Low (1-15%)",IF(O322&lt;=30,"Medium (16-30%)","High (&gt;30%)")))</f>
        <v>Low (1-15%)</v>
      </c>
      <c r="AD322" s="1" t="str">
        <f aca="false">IF(V322&lt;0,"Loss Making",IF(V322&lt;20,"Low Margin","Healthy Margin"))</f>
        <v>Healthy Margin</v>
      </c>
      <c r="AE322" s="1" t="str">
        <f aca="false">TEXT(DATE(VALUE(RIGHT(B322,4)),VALUE(MID(B322,4,2)),VALUE(LEFT(B322,2))),"MMM-YYYY")</f>
        <v>Feb-2024</v>
      </c>
      <c r="AF322" s="1" t="n">
        <f aca="false">VALUE(RIGHT(B322,4))</f>
        <v>2024</v>
      </c>
      <c r="AG322" s="1" t="str">
        <f aca="false">CHOOSE(ROUNDUP(VALUE(MID(B322,4,2))/3,0),"Q1","Q2","Q3","Q4")</f>
        <v>Q1</v>
      </c>
    </row>
    <row r="323" customFormat="false" ht="15" hidden="false" customHeight="true" outlineLevel="0" collapsed="false">
      <c r="A323" s="1" t="s">
        <v>736</v>
      </c>
      <c r="B323" s="1" t="s">
        <v>737</v>
      </c>
      <c r="C323" s="1" t="s">
        <v>128</v>
      </c>
      <c r="D323" s="1" t="s">
        <v>168</v>
      </c>
      <c r="E323" s="1" t="s">
        <v>328</v>
      </c>
      <c r="F323" s="1" t="s">
        <v>153</v>
      </c>
      <c r="G323" s="1" t="s">
        <v>76</v>
      </c>
      <c r="H323" s="1" t="s">
        <v>33</v>
      </c>
      <c r="I323" s="1" t="s">
        <v>34</v>
      </c>
      <c r="J323" s="1" t="s">
        <v>35</v>
      </c>
      <c r="K323" s="1" t="s">
        <v>60</v>
      </c>
      <c r="L323" s="1" t="s">
        <v>49</v>
      </c>
      <c r="M323" s="1" t="s">
        <v>50</v>
      </c>
      <c r="N323" s="1" t="n">
        <v>8999</v>
      </c>
      <c r="O323" s="1" t="n">
        <v>30</v>
      </c>
      <c r="P323" s="1" t="n">
        <v>2699.7</v>
      </c>
      <c r="Q323" s="1" t="n">
        <v>6299.3</v>
      </c>
      <c r="R323" s="1" t="n">
        <v>1133.87</v>
      </c>
      <c r="S323" s="1" t="n">
        <v>5165.43</v>
      </c>
      <c r="T323" s="1" t="n">
        <v>1677.07</v>
      </c>
      <c r="U323" s="1" t="n">
        <v>3488.36</v>
      </c>
      <c r="V323" s="1" t="n">
        <v>67.53</v>
      </c>
      <c r="W323" s="1" t="s">
        <v>39</v>
      </c>
      <c r="X323" s="1" t="n">
        <v>3.4</v>
      </c>
      <c r="Y323" s="1" t="s">
        <v>40</v>
      </c>
      <c r="Z323" s="1" t="n">
        <v>0</v>
      </c>
      <c r="AA323" s="1" t="str">
        <f aca="false">TRIM(PROPER(F323))</f>
        <v>Howrah</v>
      </c>
      <c r="AB323" s="1" t="str">
        <f aca="false">TRIM(PROPER(C323))</f>
        <v>Great Learning</v>
      </c>
      <c r="AC323" s="1" t="str">
        <f aca="false">IF(O323=0,"No Discount",IF(O323&lt;=15,"Low (1-15%)",IF(O323&lt;=30,"Medium (16-30%)","High (&gt;30%)")))</f>
        <v>Medium (16-30%)</v>
      </c>
      <c r="AD323" s="1" t="str">
        <f aca="false">IF(V323&lt;0,"Loss Making",IF(V323&lt;20,"Low Margin","Healthy Margin"))</f>
        <v>Healthy Margin</v>
      </c>
      <c r="AE323" s="1" t="str">
        <f aca="false">TEXT(DATE(VALUE(RIGHT(B323,4)),VALUE(MID(B323,4,2)),VALUE(LEFT(B323,2))),"MMM-YYYY")</f>
        <v>Sep-2024</v>
      </c>
      <c r="AF323" s="1" t="n">
        <f aca="false">VALUE(RIGHT(B323,4))</f>
        <v>2024</v>
      </c>
      <c r="AG323" s="1" t="str">
        <f aca="false">CHOOSE(ROUNDUP(VALUE(MID(B323,4,2))/3,0),"Q1","Q2","Q3","Q4")</f>
        <v>Q3</v>
      </c>
    </row>
    <row r="324" customFormat="false" ht="15" hidden="false" customHeight="true" outlineLevel="0" collapsed="false">
      <c r="A324" s="1" t="s">
        <v>738</v>
      </c>
      <c r="B324" s="1" t="s">
        <v>376</v>
      </c>
      <c r="C324" s="1" t="s">
        <v>65</v>
      </c>
      <c r="D324" s="1" t="s">
        <v>143</v>
      </c>
      <c r="E324" s="1" t="s">
        <v>159</v>
      </c>
      <c r="F324" s="1" t="s">
        <v>156</v>
      </c>
      <c r="G324" s="1" t="s">
        <v>68</v>
      </c>
      <c r="H324" s="1" t="s">
        <v>57</v>
      </c>
      <c r="I324" s="1" t="s">
        <v>58</v>
      </c>
      <c r="J324" s="1" t="s">
        <v>70</v>
      </c>
      <c r="K324" s="1" t="s">
        <v>84</v>
      </c>
      <c r="L324" s="1" t="s">
        <v>113</v>
      </c>
      <c r="M324" s="1" t="s">
        <v>62</v>
      </c>
      <c r="N324" s="1" t="n">
        <v>24999</v>
      </c>
      <c r="O324" s="1" t="n">
        <v>15</v>
      </c>
      <c r="P324" s="1" t="n">
        <v>3749.85</v>
      </c>
      <c r="Q324" s="1" t="n">
        <v>21249.15</v>
      </c>
      <c r="R324" s="1" t="n">
        <v>3824.85</v>
      </c>
      <c r="S324" s="1" t="n">
        <v>17424.3</v>
      </c>
      <c r="T324" s="1" t="n">
        <v>7169.11</v>
      </c>
      <c r="U324" s="1" t="n">
        <v>10255.19</v>
      </c>
      <c r="V324" s="1" t="n">
        <v>58.86</v>
      </c>
      <c r="W324" s="1" t="s">
        <v>39</v>
      </c>
      <c r="X324" s="1" t="n">
        <v>4.2</v>
      </c>
      <c r="Y324" s="1" t="s">
        <v>40</v>
      </c>
      <c r="Z324" s="1" t="n">
        <v>0</v>
      </c>
      <c r="AA324" s="1" t="str">
        <f aca="false">TRIM(PROPER(F324))</f>
        <v>Surat</v>
      </c>
      <c r="AB324" s="1" t="str">
        <f aca="false">TRIM(PROPER(C324))</f>
        <v>Toppr</v>
      </c>
      <c r="AC324" s="1" t="str">
        <f aca="false">IF(O324=0,"No Discount",IF(O324&lt;=15,"Low (1-15%)",IF(O324&lt;=30,"Medium (16-30%)","High (&gt;30%)")))</f>
        <v>Low (1-15%)</v>
      </c>
      <c r="AD324" s="1" t="str">
        <f aca="false">IF(V324&lt;0,"Loss Making",IF(V324&lt;20,"Low Margin","Healthy Margin"))</f>
        <v>Healthy Margin</v>
      </c>
      <c r="AE324" s="1" t="str">
        <f aca="false">TEXT(DATE(VALUE(RIGHT(B324,4)),VALUE(MID(B324,4,2)),VALUE(LEFT(B324,2))),"MMM-YYYY")</f>
        <v>Apr-2024</v>
      </c>
      <c r="AF324" s="1" t="n">
        <f aca="false">VALUE(RIGHT(B324,4))</f>
        <v>2024</v>
      </c>
      <c r="AG324" s="1" t="str">
        <f aca="false">CHOOSE(ROUNDUP(VALUE(MID(B324,4,2))/3,0),"Q1","Q2","Q3","Q4")</f>
        <v>Q2</v>
      </c>
    </row>
    <row r="325" customFormat="false" ht="15" hidden="false" customHeight="true" outlineLevel="0" collapsed="false">
      <c r="A325" s="1" t="s">
        <v>739</v>
      </c>
      <c r="B325" s="1" t="s">
        <v>740</v>
      </c>
      <c r="C325" s="1" t="s">
        <v>178</v>
      </c>
      <c r="D325" s="1" t="s">
        <v>94</v>
      </c>
      <c r="E325" s="1" t="s">
        <v>101</v>
      </c>
      <c r="F325" s="1" t="s">
        <v>107</v>
      </c>
      <c r="G325" s="1" t="s">
        <v>108</v>
      </c>
      <c r="H325" s="1" t="s">
        <v>33</v>
      </c>
      <c r="I325" s="1" t="s">
        <v>58</v>
      </c>
      <c r="J325" s="1" t="s">
        <v>70</v>
      </c>
      <c r="K325" s="1" t="s">
        <v>112</v>
      </c>
      <c r="L325" s="1" t="s">
        <v>37</v>
      </c>
      <c r="M325" s="1" t="s">
        <v>38</v>
      </c>
      <c r="N325" s="1" t="n">
        <v>14999</v>
      </c>
      <c r="O325" s="1" t="n">
        <v>30</v>
      </c>
      <c r="P325" s="1" t="n">
        <v>4499.7</v>
      </c>
      <c r="Q325" s="1" t="n">
        <v>10499.3</v>
      </c>
      <c r="R325" s="1" t="n">
        <v>1889.87</v>
      </c>
      <c r="S325" s="1" t="n">
        <v>8609.43</v>
      </c>
      <c r="T325" s="1" t="n">
        <v>3694.9</v>
      </c>
      <c r="U325" s="1" t="n">
        <v>4914.53</v>
      </c>
      <c r="V325" s="1" t="n">
        <v>57.08</v>
      </c>
      <c r="W325" s="1" t="s">
        <v>39</v>
      </c>
      <c r="X325" s="1" t="n">
        <v>3.9</v>
      </c>
      <c r="Y325" s="1" t="s">
        <v>40</v>
      </c>
      <c r="Z325" s="1" t="n">
        <v>0</v>
      </c>
      <c r="AA325" s="1" t="str">
        <f aca="false">TRIM(PROPER(F325))</f>
        <v>Madurai</v>
      </c>
      <c r="AB325" s="1" t="str">
        <f aca="false">TRIM(PROPER(C325))</f>
        <v>Leverage Edu</v>
      </c>
      <c r="AC325" s="1" t="str">
        <f aca="false">IF(O325=0,"No Discount",IF(O325&lt;=15,"Low (1-15%)",IF(O325&lt;=30,"Medium (16-30%)","High (&gt;30%)")))</f>
        <v>Medium (16-30%)</v>
      </c>
      <c r="AD325" s="1" t="str">
        <f aca="false">IF(V325&lt;0,"Loss Making",IF(V325&lt;20,"Low Margin","Healthy Margin"))</f>
        <v>Healthy Margin</v>
      </c>
      <c r="AE325" s="1" t="str">
        <f aca="false">TEXT(DATE(VALUE(RIGHT(B325,4)),VALUE(MID(B325,4,2)),VALUE(LEFT(B325,2))),"MMM-YYYY")</f>
        <v>Sep-2024</v>
      </c>
      <c r="AF325" s="1" t="n">
        <f aca="false">VALUE(RIGHT(B325,4))</f>
        <v>2024</v>
      </c>
      <c r="AG325" s="1" t="str">
        <f aca="false">CHOOSE(ROUNDUP(VALUE(MID(B325,4,2))/3,0),"Q1","Q2","Q3","Q4")</f>
        <v>Q3</v>
      </c>
    </row>
    <row r="326" customFormat="false" ht="15" hidden="false" customHeight="true" outlineLevel="0" collapsed="false">
      <c r="A326" s="1" t="s">
        <v>741</v>
      </c>
      <c r="B326" s="1" t="s">
        <v>742</v>
      </c>
      <c r="C326" s="1" t="s">
        <v>128</v>
      </c>
      <c r="D326" s="1" t="s">
        <v>29</v>
      </c>
      <c r="E326" s="1" t="s">
        <v>182</v>
      </c>
      <c r="F326" s="1" t="s">
        <v>150</v>
      </c>
      <c r="G326" s="1" t="s">
        <v>32</v>
      </c>
      <c r="H326" s="1" t="s">
        <v>57</v>
      </c>
      <c r="I326" s="1" t="s">
        <v>83</v>
      </c>
      <c r="J326" s="1" t="s">
        <v>70</v>
      </c>
      <c r="K326" s="1" t="s">
        <v>60</v>
      </c>
      <c r="L326" s="1" t="s">
        <v>136</v>
      </c>
      <c r="M326" s="1" t="s">
        <v>38</v>
      </c>
      <c r="N326" s="1" t="n">
        <v>34999</v>
      </c>
      <c r="O326" s="1" t="n">
        <v>30</v>
      </c>
      <c r="P326" s="1" t="n">
        <v>10499.7</v>
      </c>
      <c r="Q326" s="1" t="n">
        <v>24499.3</v>
      </c>
      <c r="R326" s="1" t="n">
        <v>4409.87</v>
      </c>
      <c r="S326" s="1" t="n">
        <v>20089.43</v>
      </c>
      <c r="T326" s="1" t="n">
        <v>6181.85</v>
      </c>
      <c r="U326" s="1" t="n">
        <v>13907.58</v>
      </c>
      <c r="V326" s="1" t="n">
        <v>69.23</v>
      </c>
      <c r="W326" s="1" t="s">
        <v>39</v>
      </c>
      <c r="X326" s="1" t="n">
        <v>4.3</v>
      </c>
      <c r="Y326" s="1" t="s">
        <v>40</v>
      </c>
      <c r="Z326" s="1" t="n">
        <v>1</v>
      </c>
      <c r="AA326" s="1" t="str">
        <f aca="false">TRIM(PROPER(F326))</f>
        <v>Jaipur</v>
      </c>
      <c r="AB326" s="1" t="str">
        <f aca="false">TRIM(PROPER(C326))</f>
        <v>Great Learning</v>
      </c>
      <c r="AC326" s="1" t="str">
        <f aca="false">IF(O326=0,"No Discount",IF(O326&lt;=15,"Low (1-15%)",IF(O326&lt;=30,"Medium (16-30%)","High (&gt;30%)")))</f>
        <v>Medium (16-30%)</v>
      </c>
      <c r="AD326" s="1" t="str">
        <f aca="false">IF(V326&lt;0,"Loss Making",IF(V326&lt;20,"Low Margin","Healthy Margin"))</f>
        <v>Healthy Margin</v>
      </c>
      <c r="AE326" s="1" t="str">
        <f aca="false">TEXT(DATE(VALUE(RIGHT(B326,4)),VALUE(MID(B326,4,2)),VALUE(LEFT(B326,2))),"MMM-YYYY")</f>
        <v>Oct-2024</v>
      </c>
      <c r="AF326" s="1" t="n">
        <f aca="false">VALUE(RIGHT(B326,4))</f>
        <v>2024</v>
      </c>
      <c r="AG326" s="1" t="str">
        <f aca="false">CHOOSE(ROUNDUP(VALUE(MID(B326,4,2))/3,0),"Q1","Q2","Q3","Q4")</f>
        <v>Q4</v>
      </c>
    </row>
    <row r="327" customFormat="false" ht="15" hidden="false" customHeight="true" outlineLevel="0" collapsed="false">
      <c r="A327" s="1" t="s">
        <v>743</v>
      </c>
      <c r="B327" s="1" t="s">
        <v>320</v>
      </c>
      <c r="C327" s="1" t="s">
        <v>139</v>
      </c>
      <c r="D327" s="1" t="s">
        <v>44</v>
      </c>
      <c r="E327" s="1" t="s">
        <v>45</v>
      </c>
      <c r="F327" s="1" t="s">
        <v>31</v>
      </c>
      <c r="G327" s="1" t="s">
        <v>32</v>
      </c>
      <c r="H327" s="1" t="s">
        <v>33</v>
      </c>
      <c r="I327" s="1" t="s">
        <v>83</v>
      </c>
      <c r="J327" s="1" t="s">
        <v>131</v>
      </c>
      <c r="K327" s="1" t="s">
        <v>104</v>
      </c>
      <c r="L327" s="1" t="s">
        <v>49</v>
      </c>
      <c r="M327" s="1" t="s">
        <v>62</v>
      </c>
      <c r="N327" s="1" t="n">
        <v>11999</v>
      </c>
      <c r="O327" s="1" t="n">
        <v>10</v>
      </c>
      <c r="P327" s="1" t="n">
        <v>1199.9</v>
      </c>
      <c r="Q327" s="1" t="n">
        <v>10799.1</v>
      </c>
      <c r="R327" s="1" t="n">
        <v>1943.84</v>
      </c>
      <c r="S327" s="1" t="n">
        <v>8855.26</v>
      </c>
      <c r="T327" s="1" t="n">
        <v>3446.09</v>
      </c>
      <c r="U327" s="1" t="n">
        <v>5409.17</v>
      </c>
      <c r="V327" s="1" t="n">
        <v>61.08</v>
      </c>
      <c r="W327" s="1" t="s">
        <v>40</v>
      </c>
      <c r="Y327" s="1" t="s">
        <v>40</v>
      </c>
      <c r="Z327" s="1" t="n">
        <v>0</v>
      </c>
      <c r="AA327" s="1" t="str">
        <f aca="false">TRIM(PROPER(F327))</f>
        <v>Jodhpur</v>
      </c>
      <c r="AB327" s="1" t="str">
        <f aca="false">TRIM(PROPER(C327))</f>
        <v>Extramarks</v>
      </c>
      <c r="AC327" s="1" t="str">
        <f aca="false">IF(O327=0,"No Discount",IF(O327&lt;=15,"Low (1-15%)",IF(O327&lt;=30,"Medium (16-30%)","High (&gt;30%)")))</f>
        <v>Low (1-15%)</v>
      </c>
      <c r="AD327" s="1" t="str">
        <f aca="false">IF(V327&lt;0,"Loss Making",IF(V327&lt;20,"Low Margin","Healthy Margin"))</f>
        <v>Healthy Margin</v>
      </c>
      <c r="AE327" s="1" t="str">
        <f aca="false">TEXT(DATE(VALUE(RIGHT(B327,4)),VALUE(MID(B327,4,2)),VALUE(LEFT(B327,2))),"MMM-YYYY")</f>
        <v>Jun-2023</v>
      </c>
      <c r="AF327" s="1" t="n">
        <f aca="false">VALUE(RIGHT(B327,4))</f>
        <v>2023</v>
      </c>
      <c r="AG327" s="1" t="str">
        <f aca="false">CHOOSE(ROUNDUP(VALUE(MID(B327,4,2))/3,0),"Q1","Q2","Q3","Q4")</f>
        <v>Q2</v>
      </c>
    </row>
    <row r="328" customFormat="false" ht="15" hidden="false" customHeight="true" outlineLevel="0" collapsed="false">
      <c r="A328" s="1" t="s">
        <v>744</v>
      </c>
      <c r="B328" s="1" t="s">
        <v>410</v>
      </c>
      <c r="C328" s="1" t="s">
        <v>88</v>
      </c>
      <c r="D328" s="1" t="s">
        <v>80</v>
      </c>
      <c r="E328" s="1" t="s">
        <v>190</v>
      </c>
      <c r="F328" s="1" t="s">
        <v>140</v>
      </c>
      <c r="G328" s="1" t="s">
        <v>97</v>
      </c>
      <c r="H328" s="1" t="s">
        <v>57</v>
      </c>
      <c r="I328" s="1" t="s">
        <v>58</v>
      </c>
      <c r="J328" s="1" t="s">
        <v>77</v>
      </c>
      <c r="K328" s="1" t="s">
        <v>71</v>
      </c>
      <c r="L328" s="1" t="s">
        <v>37</v>
      </c>
      <c r="M328" s="1" t="s">
        <v>62</v>
      </c>
      <c r="N328" s="1" t="n">
        <v>15999</v>
      </c>
      <c r="O328" s="1" t="n">
        <v>5</v>
      </c>
      <c r="P328" s="1" t="n">
        <v>799.95</v>
      </c>
      <c r="Q328" s="1" t="n">
        <v>15199.05</v>
      </c>
      <c r="R328" s="1" t="n">
        <v>2735.83</v>
      </c>
      <c r="S328" s="1" t="n">
        <v>12463.22</v>
      </c>
      <c r="T328" s="1" t="n">
        <v>4891.19</v>
      </c>
      <c r="U328" s="1" t="n">
        <v>7572.03</v>
      </c>
      <c r="V328" s="1" t="n">
        <v>60.76</v>
      </c>
      <c r="W328" s="1" t="s">
        <v>39</v>
      </c>
      <c r="X328" s="1" t="n">
        <v>3.7</v>
      </c>
      <c r="Y328" s="1" t="s">
        <v>40</v>
      </c>
      <c r="Z328" s="1" t="n">
        <v>0</v>
      </c>
      <c r="AA328" s="1" t="str">
        <f aca="false">TRIM(PROPER(F328))</f>
        <v>Nashik</v>
      </c>
      <c r="AB328" s="1" t="str">
        <f aca="false">TRIM(PROPER(C328))</f>
        <v>Byju'S</v>
      </c>
      <c r="AC328" s="1" t="str">
        <f aca="false">IF(O328=0,"No Discount",IF(O328&lt;=15,"Low (1-15%)",IF(O328&lt;=30,"Medium (16-30%)","High (&gt;30%)")))</f>
        <v>Low (1-15%)</v>
      </c>
      <c r="AD328" s="1" t="str">
        <f aca="false">IF(V328&lt;0,"Loss Making",IF(V328&lt;20,"Low Margin","Healthy Margin"))</f>
        <v>Healthy Margin</v>
      </c>
      <c r="AE328" s="1" t="str">
        <f aca="false">TEXT(DATE(VALUE(RIGHT(B328,4)),VALUE(MID(B328,4,2)),VALUE(LEFT(B328,2))),"MMM-YYYY")</f>
        <v>Feb-2024</v>
      </c>
      <c r="AF328" s="1" t="n">
        <f aca="false">VALUE(RIGHT(B328,4))</f>
        <v>2024</v>
      </c>
      <c r="AG328" s="1" t="str">
        <f aca="false">CHOOSE(ROUNDUP(VALUE(MID(B328,4,2))/3,0),"Q1","Q2","Q3","Q4")</f>
        <v>Q1</v>
      </c>
    </row>
    <row r="329" customFormat="false" ht="15" hidden="false" customHeight="true" outlineLevel="0" collapsed="false">
      <c r="A329" s="1" t="s">
        <v>745</v>
      </c>
      <c r="B329" s="1" t="s">
        <v>537</v>
      </c>
      <c r="C329" s="1" t="s">
        <v>88</v>
      </c>
      <c r="D329" s="1" t="s">
        <v>44</v>
      </c>
      <c r="E329" s="1" t="s">
        <v>221</v>
      </c>
      <c r="F329" s="1" t="s">
        <v>125</v>
      </c>
      <c r="G329" s="1" t="s">
        <v>108</v>
      </c>
      <c r="H329" s="1" t="s">
        <v>69</v>
      </c>
      <c r="I329" s="1" t="s">
        <v>58</v>
      </c>
      <c r="J329" s="1" t="s">
        <v>77</v>
      </c>
      <c r="K329" s="1" t="s">
        <v>36</v>
      </c>
      <c r="L329" s="1" t="s">
        <v>37</v>
      </c>
      <c r="M329" s="1" t="s">
        <v>50</v>
      </c>
      <c r="N329" s="1" t="n">
        <v>16999</v>
      </c>
      <c r="O329" s="1" t="n">
        <v>20</v>
      </c>
      <c r="P329" s="1" t="n">
        <v>3399.8</v>
      </c>
      <c r="Q329" s="1" t="n">
        <v>13599.2</v>
      </c>
      <c r="R329" s="1" t="n">
        <v>2447.86</v>
      </c>
      <c r="S329" s="1" t="n">
        <v>11151.34</v>
      </c>
      <c r="T329" s="1" t="n">
        <v>4152.63</v>
      </c>
      <c r="U329" s="1" t="n">
        <v>6998.71</v>
      </c>
      <c r="V329" s="1" t="n">
        <v>62.76</v>
      </c>
      <c r="W329" s="1" t="s">
        <v>39</v>
      </c>
      <c r="X329" s="1" t="n">
        <v>3.8</v>
      </c>
      <c r="Y329" s="1" t="s">
        <v>40</v>
      </c>
      <c r="Z329" s="1" t="n">
        <v>0</v>
      </c>
      <c r="AA329" s="1" t="str">
        <f aca="false">TRIM(PROPER(F329))</f>
        <v>Chennai</v>
      </c>
      <c r="AB329" s="1" t="str">
        <f aca="false">TRIM(PROPER(C329))</f>
        <v>Byju'S</v>
      </c>
      <c r="AC329" s="1" t="str">
        <f aca="false">IF(O329=0,"No Discount",IF(O329&lt;=15,"Low (1-15%)",IF(O329&lt;=30,"Medium (16-30%)","High (&gt;30%)")))</f>
        <v>Medium (16-30%)</v>
      </c>
      <c r="AD329" s="1" t="str">
        <f aca="false">IF(V329&lt;0,"Loss Making",IF(V329&lt;20,"Low Margin","Healthy Margin"))</f>
        <v>Healthy Margin</v>
      </c>
      <c r="AE329" s="1" t="str">
        <f aca="false">TEXT(DATE(VALUE(RIGHT(B329,4)),VALUE(MID(B329,4,2)),VALUE(LEFT(B329,2))),"MMM-YYYY")</f>
        <v>Mar-2024</v>
      </c>
      <c r="AF329" s="1" t="n">
        <f aca="false">VALUE(RIGHT(B329,4))</f>
        <v>2024</v>
      </c>
      <c r="AG329" s="1" t="str">
        <f aca="false">CHOOSE(ROUNDUP(VALUE(MID(B329,4,2))/3,0),"Q1","Q2","Q3","Q4")</f>
        <v>Q1</v>
      </c>
    </row>
    <row r="330" customFormat="false" ht="15" hidden="false" customHeight="true" outlineLevel="0" collapsed="false">
      <c r="A330" s="1" t="s">
        <v>746</v>
      </c>
      <c r="B330" s="1" t="s">
        <v>747</v>
      </c>
      <c r="C330" s="1" t="s">
        <v>119</v>
      </c>
      <c r="D330" s="1" t="s">
        <v>168</v>
      </c>
      <c r="E330" s="1" t="s">
        <v>169</v>
      </c>
      <c r="F330" s="1" t="s">
        <v>244</v>
      </c>
      <c r="G330" s="1" t="s">
        <v>97</v>
      </c>
      <c r="H330" s="1" t="s">
        <v>57</v>
      </c>
      <c r="I330" s="1" t="s">
        <v>34</v>
      </c>
      <c r="J330" s="1" t="s">
        <v>35</v>
      </c>
      <c r="K330" s="1" t="s">
        <v>84</v>
      </c>
      <c r="L330" s="1" t="s">
        <v>113</v>
      </c>
      <c r="M330" s="1" t="s">
        <v>38</v>
      </c>
      <c r="N330" s="1" t="n">
        <v>4999</v>
      </c>
      <c r="O330" s="1" t="n">
        <v>30</v>
      </c>
      <c r="P330" s="1" t="n">
        <v>1499.7</v>
      </c>
      <c r="Q330" s="1" t="n">
        <v>3499.3</v>
      </c>
      <c r="R330" s="1" t="n">
        <v>629.87</v>
      </c>
      <c r="S330" s="1" t="n">
        <v>2869.43</v>
      </c>
      <c r="T330" s="1" t="n">
        <v>1386.3</v>
      </c>
      <c r="U330" s="1" t="n">
        <v>1483.13</v>
      </c>
      <c r="V330" s="1" t="n">
        <v>51.69</v>
      </c>
      <c r="W330" s="1" t="s">
        <v>40</v>
      </c>
      <c r="Y330" s="1" t="s">
        <v>40</v>
      </c>
      <c r="Z330" s="1" t="n">
        <v>1</v>
      </c>
      <c r="AA330" s="1" t="str">
        <f aca="false">TRIM(PROPER(F330))</f>
        <v>Nagpur</v>
      </c>
      <c r="AB330" s="1" t="str">
        <f aca="false">TRIM(PROPER(C330))</f>
        <v>Simplilearn</v>
      </c>
      <c r="AC330" s="1" t="str">
        <f aca="false">IF(O330=0,"No Discount",IF(O330&lt;=15,"Low (1-15%)",IF(O330&lt;=30,"Medium (16-30%)","High (&gt;30%)")))</f>
        <v>Medium (16-30%)</v>
      </c>
      <c r="AD330" s="1" t="str">
        <f aca="false">IF(V330&lt;0,"Loss Making",IF(V330&lt;20,"Low Margin","Healthy Margin"))</f>
        <v>Healthy Margin</v>
      </c>
      <c r="AE330" s="1" t="str">
        <f aca="false">TEXT(DATE(VALUE(RIGHT(B330,4)),VALUE(MID(B330,4,2)),VALUE(LEFT(B330,2))),"MMM-YYYY")</f>
        <v>Oct-2023</v>
      </c>
      <c r="AF330" s="1" t="n">
        <f aca="false">VALUE(RIGHT(B330,4))</f>
        <v>2023</v>
      </c>
      <c r="AG330" s="1" t="str">
        <f aca="false">CHOOSE(ROUNDUP(VALUE(MID(B330,4,2))/3,0),"Q1","Q2","Q3","Q4")</f>
        <v>Q4</v>
      </c>
    </row>
    <row r="331" customFormat="false" ht="15" hidden="false" customHeight="true" outlineLevel="0" collapsed="false">
      <c r="A331" s="1" t="s">
        <v>748</v>
      </c>
      <c r="B331" s="1" t="s">
        <v>749</v>
      </c>
      <c r="C331" s="1" t="s">
        <v>65</v>
      </c>
      <c r="D331" s="1" t="s">
        <v>80</v>
      </c>
      <c r="E331" s="1" t="s">
        <v>175</v>
      </c>
      <c r="F331" s="1" t="s">
        <v>150</v>
      </c>
      <c r="G331" s="1" t="s">
        <v>32</v>
      </c>
      <c r="H331" s="1" t="s">
        <v>57</v>
      </c>
      <c r="I331" s="1" t="s">
        <v>34</v>
      </c>
      <c r="J331" s="1" t="s">
        <v>59</v>
      </c>
      <c r="K331" s="1" t="s">
        <v>84</v>
      </c>
      <c r="L331" s="1" t="s">
        <v>136</v>
      </c>
      <c r="M331" s="1" t="s">
        <v>62</v>
      </c>
      <c r="N331" s="1" t="n">
        <v>19999</v>
      </c>
      <c r="O331" s="1" t="n">
        <v>0</v>
      </c>
      <c r="P331" s="1" t="n">
        <v>0</v>
      </c>
      <c r="Q331" s="1" t="n">
        <v>19999</v>
      </c>
      <c r="R331" s="1" t="n">
        <v>3599.82</v>
      </c>
      <c r="S331" s="1" t="n">
        <v>16399.18</v>
      </c>
      <c r="T331" s="1" t="n">
        <v>7174.6</v>
      </c>
      <c r="U331" s="1" t="n">
        <v>9224.58</v>
      </c>
      <c r="V331" s="1" t="n">
        <v>56.25</v>
      </c>
      <c r="W331" s="1" t="s">
        <v>39</v>
      </c>
      <c r="X331" s="1" t="n">
        <v>4.4</v>
      </c>
      <c r="Y331" s="1" t="s">
        <v>40</v>
      </c>
      <c r="Z331" s="1" t="n">
        <v>0</v>
      </c>
      <c r="AA331" s="1" t="str">
        <f aca="false">TRIM(PROPER(F331))</f>
        <v>Jaipur</v>
      </c>
      <c r="AB331" s="1" t="str">
        <f aca="false">TRIM(PROPER(C331))</f>
        <v>Toppr</v>
      </c>
      <c r="AC331" s="1" t="str">
        <f aca="false">IF(O331=0,"No Discount",IF(O331&lt;=15,"Low (1-15%)",IF(O331&lt;=30,"Medium (16-30%)","High (&gt;30%)")))</f>
        <v>No Discount</v>
      </c>
      <c r="AD331" s="1" t="str">
        <f aca="false">IF(V331&lt;0,"Loss Making",IF(V331&lt;20,"Low Margin","Healthy Margin"))</f>
        <v>Healthy Margin</v>
      </c>
      <c r="AE331" s="1" t="str">
        <f aca="false">TEXT(DATE(VALUE(RIGHT(B331,4)),VALUE(MID(B331,4,2)),VALUE(LEFT(B331,2))),"MMM-YYYY")</f>
        <v>Aug-2023</v>
      </c>
      <c r="AF331" s="1" t="n">
        <f aca="false">VALUE(RIGHT(B331,4))</f>
        <v>2023</v>
      </c>
      <c r="AG331" s="1" t="str">
        <f aca="false">CHOOSE(ROUNDUP(VALUE(MID(B331,4,2))/3,0),"Q1","Q2","Q3","Q4")</f>
        <v>Q3</v>
      </c>
    </row>
    <row r="332" customFormat="false" ht="15" hidden="false" customHeight="true" outlineLevel="0" collapsed="false">
      <c r="A332" s="1" t="s">
        <v>750</v>
      </c>
      <c r="B332" s="1" t="s">
        <v>290</v>
      </c>
      <c r="C332" s="1" t="s">
        <v>264</v>
      </c>
      <c r="D332" s="1" t="s">
        <v>94</v>
      </c>
      <c r="E332" s="1" t="s">
        <v>101</v>
      </c>
      <c r="F332" s="1" t="s">
        <v>153</v>
      </c>
      <c r="G332" s="1" t="s">
        <v>76</v>
      </c>
      <c r="H332" s="1" t="s">
        <v>33</v>
      </c>
      <c r="I332" s="1" t="s">
        <v>34</v>
      </c>
      <c r="J332" s="1" t="s">
        <v>131</v>
      </c>
      <c r="K332" s="1" t="s">
        <v>48</v>
      </c>
      <c r="L332" s="1" t="s">
        <v>113</v>
      </c>
      <c r="M332" s="1" t="s">
        <v>50</v>
      </c>
      <c r="N332" s="1" t="n">
        <v>14999</v>
      </c>
      <c r="O332" s="1" t="n">
        <v>0</v>
      </c>
      <c r="P332" s="1" t="n">
        <v>0</v>
      </c>
      <c r="Q332" s="1" t="n">
        <v>14999</v>
      </c>
      <c r="R332" s="1" t="n">
        <v>2699.82</v>
      </c>
      <c r="S332" s="1" t="n">
        <v>12299.18</v>
      </c>
      <c r="T332" s="1" t="n">
        <v>5340.74</v>
      </c>
      <c r="U332" s="1" t="n">
        <v>6958.44</v>
      </c>
      <c r="V332" s="1" t="n">
        <v>56.58</v>
      </c>
      <c r="W332" s="1" t="s">
        <v>40</v>
      </c>
      <c r="Y332" s="1" t="s">
        <v>40</v>
      </c>
      <c r="Z332" s="1" t="n">
        <v>0</v>
      </c>
      <c r="AA332" s="1" t="str">
        <f aca="false">TRIM(PROPER(F332))</f>
        <v>Howrah</v>
      </c>
      <c r="AB332" s="1" t="str">
        <f aca="false">TRIM(PROPER(C332))</f>
        <v>Unacademy</v>
      </c>
      <c r="AC332" s="1" t="str">
        <f aca="false">IF(O332=0,"No Discount",IF(O332&lt;=15,"Low (1-15%)",IF(O332&lt;=30,"Medium (16-30%)","High (&gt;30%)")))</f>
        <v>No Discount</v>
      </c>
      <c r="AD332" s="1" t="str">
        <f aca="false">IF(V332&lt;0,"Loss Making",IF(V332&lt;20,"Low Margin","Healthy Margin"))</f>
        <v>Healthy Margin</v>
      </c>
      <c r="AE332" s="1" t="str">
        <f aca="false">TEXT(DATE(VALUE(RIGHT(B332,4)),VALUE(MID(B332,4,2)),VALUE(LEFT(B332,2))),"MMM-YYYY")</f>
        <v>Jan-2023</v>
      </c>
      <c r="AF332" s="1" t="n">
        <f aca="false">VALUE(RIGHT(B332,4))</f>
        <v>2023</v>
      </c>
      <c r="AG332" s="1" t="str">
        <f aca="false">CHOOSE(ROUNDUP(VALUE(MID(B332,4,2))/3,0),"Q1","Q2","Q3","Q4")</f>
        <v>Q1</v>
      </c>
    </row>
    <row r="333" customFormat="false" ht="15" hidden="false" customHeight="true" outlineLevel="0" collapsed="false">
      <c r="A333" s="1" t="s">
        <v>751</v>
      </c>
      <c r="B333" s="1" t="s">
        <v>330</v>
      </c>
      <c r="C333" s="1" t="s">
        <v>249</v>
      </c>
      <c r="D333" s="1" t="s">
        <v>143</v>
      </c>
      <c r="E333" s="1" t="s">
        <v>243</v>
      </c>
      <c r="F333" s="1" t="s">
        <v>130</v>
      </c>
      <c r="G333" s="1" t="s">
        <v>47</v>
      </c>
      <c r="H333" s="1" t="s">
        <v>69</v>
      </c>
      <c r="I333" s="1" t="s">
        <v>83</v>
      </c>
      <c r="J333" s="1" t="s">
        <v>35</v>
      </c>
      <c r="K333" s="1" t="s">
        <v>104</v>
      </c>
      <c r="L333" s="1" t="s">
        <v>49</v>
      </c>
      <c r="M333" s="1" t="s">
        <v>50</v>
      </c>
      <c r="N333" s="1" t="n">
        <v>22999</v>
      </c>
      <c r="O333" s="1" t="n">
        <v>5</v>
      </c>
      <c r="P333" s="1" t="n">
        <v>1149.95</v>
      </c>
      <c r="Q333" s="1" t="n">
        <v>21849.05</v>
      </c>
      <c r="R333" s="1" t="n">
        <v>3932.83</v>
      </c>
      <c r="S333" s="1" t="n">
        <v>17916.22</v>
      </c>
      <c r="T333" s="1" t="n">
        <v>8300.09</v>
      </c>
      <c r="U333" s="1" t="n">
        <v>9616.13</v>
      </c>
      <c r="V333" s="1" t="n">
        <v>53.67</v>
      </c>
      <c r="W333" s="1" t="s">
        <v>39</v>
      </c>
      <c r="Y333" s="1" t="s">
        <v>40</v>
      </c>
      <c r="Z333" s="1" t="n">
        <v>0</v>
      </c>
      <c r="AA333" s="1" t="str">
        <f aca="false">TRIM(PROPER(F333))</f>
        <v>Bengaluru</v>
      </c>
      <c r="AB333" s="1" t="str">
        <f aca="false">TRIM(PROPER(C333))</f>
        <v>Whitehat Jr</v>
      </c>
      <c r="AC333" s="1" t="str">
        <f aca="false">IF(O333=0,"No Discount",IF(O333&lt;=15,"Low (1-15%)",IF(O333&lt;=30,"Medium (16-30%)","High (&gt;30%)")))</f>
        <v>Low (1-15%)</v>
      </c>
      <c r="AD333" s="1" t="str">
        <f aca="false">IF(V333&lt;0,"Loss Making",IF(V333&lt;20,"Low Margin","Healthy Margin"))</f>
        <v>Healthy Margin</v>
      </c>
      <c r="AE333" s="1" t="str">
        <f aca="false">TEXT(DATE(VALUE(RIGHT(B333,4)),VALUE(MID(B333,4,2)),VALUE(LEFT(B333,2))),"MMM-YYYY")</f>
        <v>Feb-2024</v>
      </c>
      <c r="AF333" s="1" t="n">
        <f aca="false">VALUE(RIGHT(B333,4))</f>
        <v>2024</v>
      </c>
      <c r="AG333" s="1" t="str">
        <f aca="false">CHOOSE(ROUNDUP(VALUE(MID(B333,4,2))/3,0),"Q1","Q2","Q3","Q4")</f>
        <v>Q1</v>
      </c>
    </row>
    <row r="334" customFormat="false" ht="15" hidden="false" customHeight="true" outlineLevel="0" collapsed="false">
      <c r="A334" s="1" t="s">
        <v>752</v>
      </c>
      <c r="B334" s="1" t="s">
        <v>753</v>
      </c>
      <c r="C334" s="1" t="s">
        <v>134</v>
      </c>
      <c r="D334" s="1" t="s">
        <v>29</v>
      </c>
      <c r="E334" s="1" t="s">
        <v>305</v>
      </c>
      <c r="F334" s="1" t="s">
        <v>96</v>
      </c>
      <c r="G334" s="1" t="s">
        <v>97</v>
      </c>
      <c r="H334" s="1" t="s">
        <v>69</v>
      </c>
      <c r="I334" s="1" t="s">
        <v>58</v>
      </c>
      <c r="J334" s="1" t="s">
        <v>70</v>
      </c>
      <c r="K334" s="1" t="s">
        <v>36</v>
      </c>
      <c r="L334" s="1" t="s">
        <v>37</v>
      </c>
      <c r="M334" s="1" t="s">
        <v>50</v>
      </c>
      <c r="N334" s="1" t="n">
        <v>24999</v>
      </c>
      <c r="O334" s="1" t="n">
        <v>30</v>
      </c>
      <c r="P334" s="1" t="n">
        <v>7499.7</v>
      </c>
      <c r="Q334" s="1" t="n">
        <v>17499.3</v>
      </c>
      <c r="R334" s="1" t="n">
        <v>3149.87</v>
      </c>
      <c r="S334" s="1" t="n">
        <v>14349.43</v>
      </c>
      <c r="T334" s="1" t="n">
        <v>5822.45</v>
      </c>
      <c r="U334" s="1" t="n">
        <v>8526.98</v>
      </c>
      <c r="V334" s="1" t="n">
        <v>59.42</v>
      </c>
      <c r="W334" s="1" t="s">
        <v>40</v>
      </c>
      <c r="Y334" s="1" t="s">
        <v>40</v>
      </c>
      <c r="Z334" s="1" t="n">
        <v>0</v>
      </c>
      <c r="AA334" s="1" t="str">
        <f aca="false">TRIM(PROPER(F334))</f>
        <v>Pune</v>
      </c>
      <c r="AB334" s="1" t="str">
        <f aca="false">TRIM(PROPER(C334))</f>
        <v>Doubtnut</v>
      </c>
      <c r="AC334" s="1" t="str">
        <f aca="false">IF(O334=0,"No Discount",IF(O334&lt;=15,"Low (1-15%)",IF(O334&lt;=30,"Medium (16-30%)","High (&gt;30%)")))</f>
        <v>Medium (16-30%)</v>
      </c>
      <c r="AD334" s="1" t="str">
        <f aca="false">IF(V334&lt;0,"Loss Making",IF(V334&lt;20,"Low Margin","Healthy Margin"))</f>
        <v>Healthy Margin</v>
      </c>
      <c r="AE334" s="1" t="str">
        <f aca="false">TEXT(DATE(VALUE(RIGHT(B334,4)),VALUE(MID(B334,4,2)),VALUE(LEFT(B334,2))),"MMM-YYYY")</f>
        <v>Jun-2024</v>
      </c>
      <c r="AF334" s="1" t="n">
        <f aca="false">VALUE(RIGHT(B334,4))</f>
        <v>2024</v>
      </c>
      <c r="AG334" s="1" t="str">
        <f aca="false">CHOOSE(ROUNDUP(VALUE(MID(B334,4,2))/3,0),"Q1","Q2","Q3","Q4")</f>
        <v>Q2</v>
      </c>
    </row>
    <row r="335" customFormat="false" ht="15" hidden="false" customHeight="true" outlineLevel="0" collapsed="false">
      <c r="A335" s="1" t="s">
        <v>754</v>
      </c>
      <c r="B335" s="1" t="s">
        <v>755</v>
      </c>
      <c r="C335" s="1" t="s">
        <v>100</v>
      </c>
      <c r="D335" s="1" t="s">
        <v>168</v>
      </c>
      <c r="E335" s="1" t="s">
        <v>328</v>
      </c>
      <c r="F335" s="1" t="s">
        <v>130</v>
      </c>
      <c r="G335" s="1" t="s">
        <v>47</v>
      </c>
      <c r="H335" s="1" t="s">
        <v>69</v>
      </c>
      <c r="I335" s="1" t="s">
        <v>83</v>
      </c>
      <c r="J335" s="1" t="s">
        <v>131</v>
      </c>
      <c r="K335" s="1" t="s">
        <v>104</v>
      </c>
      <c r="L335" s="1" t="s">
        <v>37</v>
      </c>
      <c r="M335" s="1" t="s">
        <v>62</v>
      </c>
      <c r="N335" s="1" t="n">
        <v>8999</v>
      </c>
      <c r="O335" s="1" t="n">
        <v>0</v>
      </c>
      <c r="P335" s="1" t="n">
        <v>0</v>
      </c>
      <c r="Q335" s="1" t="n">
        <v>8999</v>
      </c>
      <c r="R335" s="1" t="n">
        <v>1619.82</v>
      </c>
      <c r="S335" s="1" t="n">
        <v>7379.18</v>
      </c>
      <c r="T335" s="1" t="n">
        <v>2896.86</v>
      </c>
      <c r="U335" s="1" t="n">
        <v>4482.32</v>
      </c>
      <c r="V335" s="1" t="n">
        <v>60.74</v>
      </c>
      <c r="W335" s="1" t="s">
        <v>39</v>
      </c>
      <c r="X335" s="1" t="n">
        <v>3.4</v>
      </c>
      <c r="Y335" s="1" t="s">
        <v>40</v>
      </c>
      <c r="Z335" s="1" t="n">
        <v>0</v>
      </c>
      <c r="AA335" s="1" t="str">
        <f aca="false">TRIM(PROPER(F335))</f>
        <v>Bengaluru</v>
      </c>
      <c r="AB335" s="1" t="str">
        <f aca="false">TRIM(PROPER(C335))</f>
        <v>Physics Wallah</v>
      </c>
      <c r="AC335" s="1" t="str">
        <f aca="false">IF(O335=0,"No Discount",IF(O335&lt;=15,"Low (1-15%)",IF(O335&lt;=30,"Medium (16-30%)","High (&gt;30%)")))</f>
        <v>No Discount</v>
      </c>
      <c r="AD335" s="1" t="str">
        <f aca="false">IF(V335&lt;0,"Loss Making",IF(V335&lt;20,"Low Margin","Healthy Margin"))</f>
        <v>Healthy Margin</v>
      </c>
      <c r="AE335" s="1" t="str">
        <f aca="false">TEXT(DATE(VALUE(RIGHT(B335,4)),VALUE(MID(B335,4,2)),VALUE(LEFT(B335,2))),"MMM-YYYY")</f>
        <v>Feb-2023</v>
      </c>
      <c r="AF335" s="1" t="n">
        <f aca="false">VALUE(RIGHT(B335,4))</f>
        <v>2023</v>
      </c>
      <c r="AG335" s="1" t="str">
        <f aca="false">CHOOSE(ROUNDUP(VALUE(MID(B335,4,2))/3,0),"Q1","Q2","Q3","Q4")</f>
        <v>Q1</v>
      </c>
    </row>
    <row r="336" customFormat="false" ht="15" hidden="false" customHeight="true" outlineLevel="0" collapsed="false">
      <c r="A336" s="1" t="s">
        <v>756</v>
      </c>
      <c r="B336" s="1" t="s">
        <v>290</v>
      </c>
      <c r="C336" s="1" t="s">
        <v>119</v>
      </c>
      <c r="D336" s="1" t="s">
        <v>80</v>
      </c>
      <c r="E336" s="1" t="s">
        <v>190</v>
      </c>
      <c r="F336" s="1" t="s">
        <v>67</v>
      </c>
      <c r="G336" s="1" t="s">
        <v>68</v>
      </c>
      <c r="H336" s="1" t="s">
        <v>69</v>
      </c>
      <c r="I336" s="1" t="s">
        <v>83</v>
      </c>
      <c r="J336" s="1" t="s">
        <v>59</v>
      </c>
      <c r="K336" s="1" t="s">
        <v>48</v>
      </c>
      <c r="L336" s="1" t="s">
        <v>136</v>
      </c>
      <c r="M336" s="1" t="s">
        <v>50</v>
      </c>
      <c r="N336" s="1" t="n">
        <v>15999</v>
      </c>
      <c r="O336" s="1" t="n">
        <v>40</v>
      </c>
      <c r="P336" s="1" t="n">
        <v>6399.6</v>
      </c>
      <c r="Q336" s="1" t="n">
        <v>9599.4</v>
      </c>
      <c r="R336" s="1" t="n">
        <v>1727.89</v>
      </c>
      <c r="S336" s="1" t="n">
        <v>7871.51</v>
      </c>
      <c r="T336" s="1" t="n">
        <v>3984.84</v>
      </c>
      <c r="U336" s="1" t="n">
        <v>3886.67</v>
      </c>
      <c r="V336" s="1" t="n">
        <v>49.38</v>
      </c>
      <c r="W336" s="1" t="s">
        <v>40</v>
      </c>
      <c r="Y336" s="1" t="s">
        <v>40</v>
      </c>
      <c r="Z336" s="1" t="n">
        <v>2</v>
      </c>
      <c r="AA336" s="1" t="str">
        <f aca="false">TRIM(PROPER(F336))</f>
        <v>Ahmedabad</v>
      </c>
      <c r="AB336" s="1" t="str">
        <f aca="false">TRIM(PROPER(C336))</f>
        <v>Simplilearn</v>
      </c>
      <c r="AC336" s="1" t="str">
        <f aca="false">IF(O336=0,"No Discount",IF(O336&lt;=15,"Low (1-15%)",IF(O336&lt;=30,"Medium (16-30%)","High (&gt;30%)")))</f>
        <v>High (&gt;30%)</v>
      </c>
      <c r="AD336" s="1" t="str">
        <f aca="false">IF(V336&lt;0,"Loss Making",IF(V336&lt;20,"Low Margin","Healthy Margin"))</f>
        <v>Healthy Margin</v>
      </c>
      <c r="AE336" s="1" t="str">
        <f aca="false">TEXT(DATE(VALUE(RIGHT(B336,4)),VALUE(MID(B336,4,2)),VALUE(LEFT(B336,2))),"MMM-YYYY")</f>
        <v>Jan-2023</v>
      </c>
      <c r="AF336" s="1" t="n">
        <f aca="false">VALUE(RIGHT(B336,4))</f>
        <v>2023</v>
      </c>
      <c r="AG336" s="1" t="str">
        <f aca="false">CHOOSE(ROUNDUP(VALUE(MID(B336,4,2))/3,0),"Q1","Q2","Q3","Q4")</f>
        <v>Q1</v>
      </c>
    </row>
    <row r="337" customFormat="false" ht="15" hidden="false" customHeight="true" outlineLevel="0" collapsed="false">
      <c r="A337" s="1" t="s">
        <v>757</v>
      </c>
      <c r="B337" s="1" t="s">
        <v>758</v>
      </c>
      <c r="C337" s="1" t="s">
        <v>249</v>
      </c>
      <c r="D337" s="1" t="s">
        <v>168</v>
      </c>
      <c r="E337" s="1" t="s">
        <v>172</v>
      </c>
      <c r="F337" s="1" t="s">
        <v>153</v>
      </c>
      <c r="G337" s="1" t="s">
        <v>76</v>
      </c>
      <c r="H337" s="1" t="s">
        <v>33</v>
      </c>
      <c r="I337" s="1" t="s">
        <v>58</v>
      </c>
      <c r="J337" s="1" t="s">
        <v>77</v>
      </c>
      <c r="K337" s="1" t="s">
        <v>60</v>
      </c>
      <c r="L337" s="1" t="s">
        <v>85</v>
      </c>
      <c r="M337" s="1" t="s">
        <v>50</v>
      </c>
      <c r="N337" s="1" t="n">
        <v>6999</v>
      </c>
      <c r="O337" s="1" t="n">
        <v>0</v>
      </c>
      <c r="P337" s="1" t="n">
        <v>0</v>
      </c>
      <c r="Q337" s="1" t="n">
        <v>6999</v>
      </c>
      <c r="R337" s="1" t="n">
        <v>1259.82</v>
      </c>
      <c r="S337" s="1" t="n">
        <v>5739.18</v>
      </c>
      <c r="T337" s="1" t="n">
        <v>2473.58</v>
      </c>
      <c r="U337" s="1" t="n">
        <v>3265.6</v>
      </c>
      <c r="V337" s="1" t="n">
        <v>56.9</v>
      </c>
      <c r="W337" s="1" t="s">
        <v>39</v>
      </c>
      <c r="X337" s="1" t="n">
        <v>4</v>
      </c>
      <c r="Y337" s="1" t="s">
        <v>40</v>
      </c>
      <c r="Z337" s="1" t="n">
        <v>0</v>
      </c>
      <c r="AA337" s="1" t="str">
        <f aca="false">TRIM(PROPER(F337))</f>
        <v>Howrah</v>
      </c>
      <c r="AB337" s="1" t="str">
        <f aca="false">TRIM(PROPER(C337))</f>
        <v>Whitehat Jr</v>
      </c>
      <c r="AC337" s="1" t="str">
        <f aca="false">IF(O337=0,"No Discount",IF(O337&lt;=15,"Low (1-15%)",IF(O337&lt;=30,"Medium (16-30%)","High (&gt;30%)")))</f>
        <v>No Discount</v>
      </c>
      <c r="AD337" s="1" t="str">
        <f aca="false">IF(V337&lt;0,"Loss Making",IF(V337&lt;20,"Low Margin","Healthy Margin"))</f>
        <v>Healthy Margin</v>
      </c>
      <c r="AE337" s="1" t="str">
        <f aca="false">TEXT(DATE(VALUE(RIGHT(B337,4)),VALUE(MID(B337,4,2)),VALUE(LEFT(B337,2))),"MMM-YYYY")</f>
        <v>Jan-2024</v>
      </c>
      <c r="AF337" s="1" t="n">
        <f aca="false">VALUE(RIGHT(B337,4))</f>
        <v>2024</v>
      </c>
      <c r="AG337" s="1" t="str">
        <f aca="false">CHOOSE(ROUNDUP(VALUE(MID(B337,4,2))/3,0),"Q1","Q2","Q3","Q4")</f>
        <v>Q1</v>
      </c>
    </row>
    <row r="338" customFormat="false" ht="15" hidden="false" customHeight="true" outlineLevel="0" collapsed="false">
      <c r="A338" s="1" t="s">
        <v>759</v>
      </c>
      <c r="B338" s="1" t="s">
        <v>760</v>
      </c>
      <c r="C338" s="1" t="s">
        <v>134</v>
      </c>
      <c r="D338" s="1" t="s">
        <v>44</v>
      </c>
      <c r="E338" s="1" t="s">
        <v>221</v>
      </c>
      <c r="F338" s="1" t="s">
        <v>244</v>
      </c>
      <c r="G338" s="1" t="s">
        <v>97</v>
      </c>
      <c r="H338" s="1" t="s">
        <v>57</v>
      </c>
      <c r="I338" s="1" t="s">
        <v>58</v>
      </c>
      <c r="J338" s="1" t="s">
        <v>131</v>
      </c>
      <c r="K338" s="1" t="s">
        <v>71</v>
      </c>
      <c r="L338" s="1" t="s">
        <v>37</v>
      </c>
      <c r="M338" s="1" t="s">
        <v>62</v>
      </c>
      <c r="N338" s="1" t="n">
        <v>16999</v>
      </c>
      <c r="O338" s="1" t="n">
        <v>10</v>
      </c>
      <c r="P338" s="1" t="n">
        <v>1699.9</v>
      </c>
      <c r="Q338" s="1" t="n">
        <v>15299.1</v>
      </c>
      <c r="R338" s="1" t="n">
        <v>2753.84</v>
      </c>
      <c r="S338" s="1" t="n">
        <v>12545.26</v>
      </c>
      <c r="T338" s="1" t="n">
        <v>6742.81</v>
      </c>
      <c r="U338" s="1" t="n">
        <v>5802.45</v>
      </c>
      <c r="V338" s="1" t="n">
        <v>46.25</v>
      </c>
      <c r="W338" s="1" t="s">
        <v>39</v>
      </c>
      <c r="X338" s="1" t="n">
        <v>3.3</v>
      </c>
      <c r="Y338" s="1" t="s">
        <v>40</v>
      </c>
      <c r="Z338" s="1" t="n">
        <v>0</v>
      </c>
      <c r="AA338" s="1" t="str">
        <f aca="false">TRIM(PROPER(F338))</f>
        <v>Nagpur</v>
      </c>
      <c r="AB338" s="1" t="str">
        <f aca="false">TRIM(PROPER(C338))</f>
        <v>Doubtnut</v>
      </c>
      <c r="AC338" s="1" t="str">
        <f aca="false">IF(O338=0,"No Discount",IF(O338&lt;=15,"Low (1-15%)",IF(O338&lt;=30,"Medium (16-30%)","High (&gt;30%)")))</f>
        <v>Low (1-15%)</v>
      </c>
      <c r="AD338" s="1" t="str">
        <f aca="false">IF(V338&lt;0,"Loss Making",IF(V338&lt;20,"Low Margin","Healthy Margin"))</f>
        <v>Healthy Margin</v>
      </c>
      <c r="AE338" s="1" t="str">
        <f aca="false">TEXT(DATE(VALUE(RIGHT(B338,4)),VALUE(MID(B338,4,2)),VALUE(LEFT(B338,2))),"MMM-YYYY")</f>
        <v>Dec-2024</v>
      </c>
      <c r="AF338" s="1" t="n">
        <f aca="false">VALUE(RIGHT(B338,4))</f>
        <v>2024</v>
      </c>
      <c r="AG338" s="1" t="str">
        <f aca="false">CHOOSE(ROUNDUP(VALUE(MID(B338,4,2))/3,0),"Q1","Q2","Q3","Q4")</f>
        <v>Q4</v>
      </c>
    </row>
    <row r="339" customFormat="false" ht="15" hidden="false" customHeight="true" outlineLevel="0" collapsed="false">
      <c r="A339" s="1" t="s">
        <v>761</v>
      </c>
      <c r="B339" s="1" t="s">
        <v>762</v>
      </c>
      <c r="C339" s="1" t="s">
        <v>134</v>
      </c>
      <c r="D339" s="1" t="s">
        <v>168</v>
      </c>
      <c r="E339" s="1" t="s">
        <v>197</v>
      </c>
      <c r="F339" s="1" t="s">
        <v>96</v>
      </c>
      <c r="G339" s="1" t="s">
        <v>97</v>
      </c>
      <c r="H339" s="1" t="s">
        <v>69</v>
      </c>
      <c r="I339" s="1" t="s">
        <v>58</v>
      </c>
      <c r="J339" s="1" t="s">
        <v>70</v>
      </c>
      <c r="K339" s="1" t="s">
        <v>104</v>
      </c>
      <c r="L339" s="1" t="s">
        <v>49</v>
      </c>
      <c r="M339" s="1" t="s">
        <v>38</v>
      </c>
      <c r="N339" s="1" t="n">
        <v>8499</v>
      </c>
      <c r="O339" s="1" t="n">
        <v>10</v>
      </c>
      <c r="P339" s="1" t="n">
        <v>849.9</v>
      </c>
      <c r="Q339" s="1" t="n">
        <v>7649.1</v>
      </c>
      <c r="R339" s="1" t="n">
        <v>1376.84</v>
      </c>
      <c r="S339" s="1" t="n">
        <v>6272.26</v>
      </c>
      <c r="T339" s="1" t="n">
        <v>2588.11</v>
      </c>
      <c r="U339" s="1" t="n">
        <v>3684.15</v>
      </c>
      <c r="V339" s="1" t="n">
        <v>58.74</v>
      </c>
      <c r="W339" s="1" t="s">
        <v>39</v>
      </c>
      <c r="Y339" s="1" t="s">
        <v>40</v>
      </c>
      <c r="Z339" s="1" t="n">
        <v>1</v>
      </c>
      <c r="AA339" s="1" t="str">
        <f aca="false">TRIM(PROPER(F339))</f>
        <v>Pune</v>
      </c>
      <c r="AB339" s="1" t="str">
        <f aca="false">TRIM(PROPER(C339))</f>
        <v>Doubtnut</v>
      </c>
      <c r="AC339" s="1" t="str">
        <f aca="false">IF(O339=0,"No Discount",IF(O339&lt;=15,"Low (1-15%)",IF(O339&lt;=30,"Medium (16-30%)","High (&gt;30%)")))</f>
        <v>Low (1-15%)</v>
      </c>
      <c r="AD339" s="1" t="str">
        <f aca="false">IF(V339&lt;0,"Loss Making",IF(V339&lt;20,"Low Margin","Healthy Margin"))</f>
        <v>Healthy Margin</v>
      </c>
      <c r="AE339" s="1" t="str">
        <f aca="false">TEXT(DATE(VALUE(RIGHT(B339,4)),VALUE(MID(B339,4,2)),VALUE(LEFT(B339,2))),"MMM-YYYY")</f>
        <v>Aug-2023</v>
      </c>
      <c r="AF339" s="1" t="n">
        <f aca="false">VALUE(RIGHT(B339,4))</f>
        <v>2023</v>
      </c>
      <c r="AG339" s="1" t="str">
        <f aca="false">CHOOSE(ROUNDUP(VALUE(MID(B339,4,2))/3,0),"Q1","Q2","Q3","Q4")</f>
        <v>Q3</v>
      </c>
    </row>
    <row r="340" customFormat="false" ht="15" hidden="false" customHeight="true" outlineLevel="0" collapsed="false">
      <c r="A340" s="1" t="s">
        <v>763</v>
      </c>
      <c r="B340" s="1" t="s">
        <v>764</v>
      </c>
      <c r="C340" s="1" t="s">
        <v>264</v>
      </c>
      <c r="D340" s="1" t="s">
        <v>44</v>
      </c>
      <c r="E340" s="1" t="s">
        <v>221</v>
      </c>
      <c r="F340" s="1" t="s">
        <v>120</v>
      </c>
      <c r="G340" s="1" t="s">
        <v>47</v>
      </c>
      <c r="H340" s="1" t="s">
        <v>57</v>
      </c>
      <c r="I340" s="1" t="s">
        <v>34</v>
      </c>
      <c r="J340" s="1" t="s">
        <v>35</v>
      </c>
      <c r="K340" s="1" t="s">
        <v>84</v>
      </c>
      <c r="L340" s="1" t="s">
        <v>136</v>
      </c>
      <c r="M340" s="1" t="s">
        <v>62</v>
      </c>
      <c r="N340" s="1" t="n">
        <v>16999</v>
      </c>
      <c r="O340" s="1" t="n">
        <v>25</v>
      </c>
      <c r="P340" s="1" t="n">
        <v>4249.75</v>
      </c>
      <c r="Q340" s="1" t="n">
        <v>12749.25</v>
      </c>
      <c r="R340" s="1" t="n">
        <v>2294.86</v>
      </c>
      <c r="S340" s="1" t="n">
        <v>10454.39</v>
      </c>
      <c r="T340" s="1" t="n">
        <v>4870.4</v>
      </c>
      <c r="U340" s="1" t="n">
        <v>5583.99</v>
      </c>
      <c r="V340" s="1" t="n">
        <v>53.41</v>
      </c>
      <c r="W340" s="1" t="s">
        <v>39</v>
      </c>
      <c r="X340" s="1" t="n">
        <v>3.4</v>
      </c>
      <c r="Y340" s="1" t="s">
        <v>40</v>
      </c>
      <c r="Z340" s="1" t="n">
        <v>1</v>
      </c>
      <c r="AA340" s="1" t="str">
        <f aca="false">TRIM(PROPER(F340))</f>
        <v>Mysuru</v>
      </c>
      <c r="AB340" s="1" t="str">
        <f aca="false">TRIM(PROPER(C340))</f>
        <v>Unacademy</v>
      </c>
      <c r="AC340" s="1" t="str">
        <f aca="false">IF(O340=0,"No Discount",IF(O340&lt;=15,"Low (1-15%)",IF(O340&lt;=30,"Medium (16-30%)","High (&gt;30%)")))</f>
        <v>Medium (16-30%)</v>
      </c>
      <c r="AD340" s="1" t="str">
        <f aca="false">IF(V340&lt;0,"Loss Making",IF(V340&lt;20,"Low Margin","Healthy Margin"))</f>
        <v>Healthy Margin</v>
      </c>
      <c r="AE340" s="1" t="str">
        <f aca="false">TEXT(DATE(VALUE(RIGHT(B340,4)),VALUE(MID(B340,4,2)),VALUE(LEFT(B340,2))),"MMM-YYYY")</f>
        <v>Nov-2023</v>
      </c>
      <c r="AF340" s="1" t="n">
        <f aca="false">VALUE(RIGHT(B340,4))</f>
        <v>2023</v>
      </c>
      <c r="AG340" s="1" t="str">
        <f aca="false">CHOOSE(ROUNDUP(VALUE(MID(B340,4,2))/3,0),"Q1","Q2","Q3","Q4")</f>
        <v>Q4</v>
      </c>
    </row>
    <row r="341" customFormat="false" ht="15" hidden="false" customHeight="true" outlineLevel="0" collapsed="false">
      <c r="A341" s="1" t="s">
        <v>765</v>
      </c>
      <c r="B341" s="1" t="s">
        <v>766</v>
      </c>
      <c r="C341" s="1" t="s">
        <v>167</v>
      </c>
      <c r="D341" s="1" t="s">
        <v>94</v>
      </c>
      <c r="E341" s="1" t="s">
        <v>135</v>
      </c>
      <c r="F341" s="1" t="s">
        <v>211</v>
      </c>
      <c r="G341" s="1" t="s">
        <v>56</v>
      </c>
      <c r="H341" s="1" t="s">
        <v>69</v>
      </c>
      <c r="I341" s="1" t="s">
        <v>83</v>
      </c>
      <c r="J341" s="1" t="s">
        <v>35</v>
      </c>
      <c r="K341" s="1" t="s">
        <v>48</v>
      </c>
      <c r="L341" s="1" t="s">
        <v>61</v>
      </c>
      <c r="M341" s="1" t="s">
        <v>62</v>
      </c>
      <c r="N341" s="1" t="n">
        <v>9999</v>
      </c>
      <c r="O341" s="1" t="n">
        <v>20</v>
      </c>
      <c r="P341" s="1" t="n">
        <v>1999.8</v>
      </c>
      <c r="Q341" s="1" t="n">
        <v>7999.2</v>
      </c>
      <c r="R341" s="1" t="n">
        <v>1439.86</v>
      </c>
      <c r="S341" s="1" t="n">
        <v>6559.34</v>
      </c>
      <c r="T341" s="1" t="n">
        <v>2794.28</v>
      </c>
      <c r="U341" s="1" t="n">
        <v>3765.06</v>
      </c>
      <c r="V341" s="1" t="n">
        <v>57.4</v>
      </c>
      <c r="W341" s="1" t="s">
        <v>39</v>
      </c>
      <c r="X341" s="1" t="n">
        <v>3.4</v>
      </c>
      <c r="Y341" s="1" t="s">
        <v>40</v>
      </c>
      <c r="Z341" s="1" t="n">
        <v>1</v>
      </c>
      <c r="AA341" s="1" t="str">
        <f aca="false">TRIM(PROPER(F341))</f>
        <v>Noida</v>
      </c>
      <c r="AB341" s="1" t="str">
        <f aca="false">TRIM(PROPER(C341))</f>
        <v>Scaler</v>
      </c>
      <c r="AC341" s="1" t="str">
        <f aca="false">IF(O341=0,"No Discount",IF(O341&lt;=15,"Low (1-15%)",IF(O341&lt;=30,"Medium (16-30%)","High (&gt;30%)")))</f>
        <v>Medium (16-30%)</v>
      </c>
      <c r="AD341" s="1" t="str">
        <f aca="false">IF(V341&lt;0,"Loss Making",IF(V341&lt;20,"Low Margin","Healthy Margin"))</f>
        <v>Healthy Margin</v>
      </c>
      <c r="AE341" s="1" t="str">
        <f aca="false">TEXT(DATE(VALUE(RIGHT(B341,4)),VALUE(MID(B341,4,2)),VALUE(LEFT(B341,2))),"MMM-YYYY")</f>
        <v>Feb-2024</v>
      </c>
      <c r="AF341" s="1" t="n">
        <f aca="false">VALUE(RIGHT(B341,4))</f>
        <v>2024</v>
      </c>
      <c r="AG341" s="1" t="str">
        <f aca="false">CHOOSE(ROUNDUP(VALUE(MID(B341,4,2))/3,0),"Q1","Q2","Q3","Q4")</f>
        <v>Q1</v>
      </c>
    </row>
    <row r="342" customFormat="false" ht="15" hidden="false" customHeight="true" outlineLevel="0" collapsed="false">
      <c r="A342" s="1" t="s">
        <v>767</v>
      </c>
      <c r="B342" s="1" t="s">
        <v>768</v>
      </c>
      <c r="C342" s="1" t="s">
        <v>28</v>
      </c>
      <c r="D342" s="1" t="s">
        <v>143</v>
      </c>
      <c r="E342" s="1" t="s">
        <v>243</v>
      </c>
      <c r="F342" s="1" t="s">
        <v>194</v>
      </c>
      <c r="G342" s="1" t="s">
        <v>103</v>
      </c>
      <c r="H342" s="1" t="s">
        <v>69</v>
      </c>
      <c r="I342" s="1" t="s">
        <v>58</v>
      </c>
      <c r="J342" s="1" t="s">
        <v>35</v>
      </c>
      <c r="K342" s="1" t="s">
        <v>104</v>
      </c>
      <c r="L342" s="1" t="s">
        <v>85</v>
      </c>
      <c r="M342" s="1" t="s">
        <v>38</v>
      </c>
      <c r="N342" s="1" t="n">
        <v>22999</v>
      </c>
      <c r="O342" s="1" t="n">
        <v>25</v>
      </c>
      <c r="P342" s="1" t="n">
        <v>5749.75</v>
      </c>
      <c r="Q342" s="1" t="n">
        <v>17249.25</v>
      </c>
      <c r="R342" s="1" t="n">
        <v>3104.86</v>
      </c>
      <c r="S342" s="1" t="n">
        <v>14144.39</v>
      </c>
      <c r="T342" s="1" t="n">
        <v>5208.28</v>
      </c>
      <c r="U342" s="1" t="n">
        <v>8936.11</v>
      </c>
      <c r="V342" s="1" t="n">
        <v>63.18</v>
      </c>
      <c r="W342" s="1" t="s">
        <v>39</v>
      </c>
      <c r="Y342" s="1" t="s">
        <v>40</v>
      </c>
      <c r="Z342" s="1" t="n">
        <v>0</v>
      </c>
      <c r="AA342" s="1" t="str">
        <f aca="false">TRIM(PROPER(F342))</f>
        <v>Hyderabad</v>
      </c>
      <c r="AB342" s="1" t="str">
        <f aca="false">TRIM(PROPER(C342))</f>
        <v>Embibe</v>
      </c>
      <c r="AC342" s="1" t="str">
        <f aca="false">IF(O342=0,"No Discount",IF(O342&lt;=15,"Low (1-15%)",IF(O342&lt;=30,"Medium (16-30%)","High (&gt;30%)")))</f>
        <v>Medium (16-30%)</v>
      </c>
      <c r="AD342" s="1" t="str">
        <f aca="false">IF(V342&lt;0,"Loss Making",IF(V342&lt;20,"Low Margin","Healthy Margin"))</f>
        <v>Healthy Margin</v>
      </c>
      <c r="AE342" s="1" t="str">
        <f aca="false">TEXT(DATE(VALUE(RIGHT(B342,4)),VALUE(MID(B342,4,2)),VALUE(LEFT(B342,2))),"MMM-YYYY")</f>
        <v>Mar-2023</v>
      </c>
      <c r="AF342" s="1" t="n">
        <f aca="false">VALUE(RIGHT(B342,4))</f>
        <v>2023</v>
      </c>
      <c r="AG342" s="1" t="str">
        <f aca="false">CHOOSE(ROUNDUP(VALUE(MID(B342,4,2))/3,0),"Q1","Q2","Q3","Q4")</f>
        <v>Q1</v>
      </c>
    </row>
    <row r="343" customFormat="false" ht="15" hidden="false" customHeight="true" outlineLevel="0" collapsed="false">
      <c r="A343" s="1" t="s">
        <v>769</v>
      </c>
      <c r="B343" s="1" t="s">
        <v>770</v>
      </c>
      <c r="C343" s="1" t="s">
        <v>249</v>
      </c>
      <c r="D343" s="1" t="s">
        <v>94</v>
      </c>
      <c r="E343" s="1" t="s">
        <v>101</v>
      </c>
      <c r="F343" s="1" t="s">
        <v>107</v>
      </c>
      <c r="G343" s="1" t="s">
        <v>108</v>
      </c>
      <c r="H343" s="1" t="s">
        <v>33</v>
      </c>
      <c r="I343" s="1" t="s">
        <v>58</v>
      </c>
      <c r="J343" s="1" t="s">
        <v>35</v>
      </c>
      <c r="K343" s="1" t="s">
        <v>104</v>
      </c>
      <c r="L343" s="1" t="s">
        <v>136</v>
      </c>
      <c r="M343" s="1" t="s">
        <v>62</v>
      </c>
      <c r="N343" s="1" t="n">
        <v>14999</v>
      </c>
      <c r="O343" s="1" t="n">
        <v>20</v>
      </c>
      <c r="P343" s="1" t="n">
        <v>2999.8</v>
      </c>
      <c r="Q343" s="1" t="n">
        <v>11999.2</v>
      </c>
      <c r="R343" s="1" t="n">
        <v>2159.86</v>
      </c>
      <c r="S343" s="1" t="n">
        <v>9839.34</v>
      </c>
      <c r="T343" s="1" t="n">
        <v>5424.82</v>
      </c>
      <c r="U343" s="1" t="n">
        <v>4414.52</v>
      </c>
      <c r="V343" s="1" t="n">
        <v>44.87</v>
      </c>
      <c r="W343" s="1" t="s">
        <v>39</v>
      </c>
      <c r="X343" s="1" t="n">
        <v>3.1</v>
      </c>
      <c r="Y343" s="1" t="s">
        <v>40</v>
      </c>
      <c r="Z343" s="1" t="n">
        <v>0</v>
      </c>
      <c r="AA343" s="1" t="str">
        <f aca="false">TRIM(PROPER(F343))</f>
        <v>Madurai</v>
      </c>
      <c r="AB343" s="1" t="str">
        <f aca="false">TRIM(PROPER(C343))</f>
        <v>Whitehat Jr</v>
      </c>
      <c r="AC343" s="1" t="str">
        <f aca="false">IF(O343=0,"No Discount",IF(O343&lt;=15,"Low (1-15%)",IF(O343&lt;=30,"Medium (16-30%)","High (&gt;30%)")))</f>
        <v>Medium (16-30%)</v>
      </c>
      <c r="AD343" s="1" t="str">
        <f aca="false">IF(V343&lt;0,"Loss Making",IF(V343&lt;20,"Low Margin","Healthy Margin"))</f>
        <v>Healthy Margin</v>
      </c>
      <c r="AE343" s="1" t="str">
        <f aca="false">TEXT(DATE(VALUE(RIGHT(B343,4)),VALUE(MID(B343,4,2)),VALUE(LEFT(B343,2))),"MMM-YYYY")</f>
        <v>Sep-2024</v>
      </c>
      <c r="AF343" s="1" t="n">
        <f aca="false">VALUE(RIGHT(B343,4))</f>
        <v>2024</v>
      </c>
      <c r="AG343" s="1" t="str">
        <f aca="false">CHOOSE(ROUNDUP(VALUE(MID(B343,4,2))/3,0),"Q1","Q2","Q3","Q4")</f>
        <v>Q3</v>
      </c>
    </row>
    <row r="344" customFormat="false" ht="15" hidden="false" customHeight="true" outlineLevel="0" collapsed="false">
      <c r="A344" s="1" t="s">
        <v>771</v>
      </c>
      <c r="B344" s="1" t="s">
        <v>772</v>
      </c>
      <c r="C344" s="1" t="s">
        <v>178</v>
      </c>
      <c r="D344" s="1" t="s">
        <v>94</v>
      </c>
      <c r="E344" s="1" t="s">
        <v>101</v>
      </c>
      <c r="F344" s="1" t="s">
        <v>31</v>
      </c>
      <c r="G344" s="1" t="s">
        <v>32</v>
      </c>
      <c r="H344" s="1" t="s">
        <v>33</v>
      </c>
      <c r="I344" s="1" t="s">
        <v>34</v>
      </c>
      <c r="J344" s="1" t="s">
        <v>131</v>
      </c>
      <c r="K344" s="1" t="s">
        <v>60</v>
      </c>
      <c r="L344" s="1" t="s">
        <v>85</v>
      </c>
      <c r="M344" s="1" t="s">
        <v>38</v>
      </c>
      <c r="N344" s="1" t="n">
        <v>14999</v>
      </c>
      <c r="O344" s="1" t="n">
        <v>10</v>
      </c>
      <c r="P344" s="1" t="n">
        <v>1499.9</v>
      </c>
      <c r="Q344" s="1" t="n">
        <v>13499.1</v>
      </c>
      <c r="R344" s="1" t="n">
        <v>2429.84</v>
      </c>
      <c r="S344" s="1" t="n">
        <v>11069.26</v>
      </c>
      <c r="T344" s="1" t="n">
        <v>4866.61</v>
      </c>
      <c r="U344" s="1" t="n">
        <v>6202.65</v>
      </c>
      <c r="V344" s="1" t="n">
        <v>56.03</v>
      </c>
      <c r="W344" s="1" t="s">
        <v>39</v>
      </c>
      <c r="X344" s="1" t="n">
        <v>4.1</v>
      </c>
      <c r="Y344" s="1" t="s">
        <v>40</v>
      </c>
      <c r="Z344" s="1" t="n">
        <v>0</v>
      </c>
      <c r="AA344" s="1" t="str">
        <f aca="false">TRIM(PROPER(F344))</f>
        <v>Jodhpur</v>
      </c>
      <c r="AB344" s="1" t="str">
        <f aca="false">TRIM(PROPER(C344))</f>
        <v>Leverage Edu</v>
      </c>
      <c r="AC344" s="1" t="str">
        <f aca="false">IF(O344=0,"No Discount",IF(O344&lt;=15,"Low (1-15%)",IF(O344&lt;=30,"Medium (16-30%)","High (&gt;30%)")))</f>
        <v>Low (1-15%)</v>
      </c>
      <c r="AD344" s="1" t="str">
        <f aca="false">IF(V344&lt;0,"Loss Making",IF(V344&lt;20,"Low Margin","Healthy Margin"))</f>
        <v>Healthy Margin</v>
      </c>
      <c r="AE344" s="1" t="str">
        <f aca="false">TEXT(DATE(VALUE(RIGHT(B344,4)),VALUE(MID(B344,4,2)),VALUE(LEFT(B344,2))),"MMM-YYYY")</f>
        <v>Apr-2023</v>
      </c>
      <c r="AF344" s="1" t="n">
        <f aca="false">VALUE(RIGHT(B344,4))</f>
        <v>2023</v>
      </c>
      <c r="AG344" s="1" t="str">
        <f aca="false">CHOOSE(ROUNDUP(VALUE(MID(B344,4,2))/3,0),"Q1","Q2","Q3","Q4")</f>
        <v>Q2</v>
      </c>
    </row>
    <row r="345" customFormat="false" ht="15" hidden="false" customHeight="true" outlineLevel="0" collapsed="false">
      <c r="A345" s="1" t="s">
        <v>773</v>
      </c>
      <c r="B345" s="1" t="s">
        <v>774</v>
      </c>
      <c r="C345" s="1" t="s">
        <v>74</v>
      </c>
      <c r="D345" s="1" t="s">
        <v>123</v>
      </c>
      <c r="E345" s="1" t="s">
        <v>233</v>
      </c>
      <c r="F345" s="1" t="s">
        <v>107</v>
      </c>
      <c r="G345" s="1" t="s">
        <v>108</v>
      </c>
      <c r="H345" s="1" t="s">
        <v>33</v>
      </c>
      <c r="I345" s="1" t="s">
        <v>34</v>
      </c>
      <c r="J345" s="1" t="s">
        <v>35</v>
      </c>
      <c r="K345" s="1" t="s">
        <v>60</v>
      </c>
      <c r="L345" s="1" t="s">
        <v>113</v>
      </c>
      <c r="M345" s="1" t="s">
        <v>50</v>
      </c>
      <c r="N345" s="1" t="n">
        <v>8999</v>
      </c>
      <c r="O345" s="1" t="n">
        <v>0</v>
      </c>
      <c r="P345" s="1" t="n">
        <v>0</v>
      </c>
      <c r="Q345" s="1" t="n">
        <v>8999</v>
      </c>
      <c r="R345" s="1" t="n">
        <v>1619.82</v>
      </c>
      <c r="S345" s="1" t="n">
        <v>7379.18</v>
      </c>
      <c r="T345" s="1" t="n">
        <v>3430.05</v>
      </c>
      <c r="U345" s="1" t="n">
        <v>3949.13</v>
      </c>
      <c r="V345" s="1" t="n">
        <v>53.52</v>
      </c>
      <c r="W345" s="1" t="s">
        <v>39</v>
      </c>
      <c r="X345" s="1" t="n">
        <v>3.3</v>
      </c>
      <c r="Y345" s="1" t="s">
        <v>40</v>
      </c>
      <c r="Z345" s="1" t="n">
        <v>0</v>
      </c>
      <c r="AA345" s="1" t="str">
        <f aca="false">TRIM(PROPER(F345))</f>
        <v>Madurai</v>
      </c>
      <c r="AB345" s="1" t="str">
        <f aca="false">TRIM(PROPER(C345))</f>
        <v>Vedantu</v>
      </c>
      <c r="AC345" s="1" t="str">
        <f aca="false">IF(O345=0,"No Discount",IF(O345&lt;=15,"Low (1-15%)",IF(O345&lt;=30,"Medium (16-30%)","High (&gt;30%)")))</f>
        <v>No Discount</v>
      </c>
      <c r="AD345" s="1" t="str">
        <f aca="false">IF(V345&lt;0,"Loss Making",IF(V345&lt;20,"Low Margin","Healthy Margin"))</f>
        <v>Healthy Margin</v>
      </c>
      <c r="AE345" s="1" t="str">
        <f aca="false">TEXT(DATE(VALUE(RIGHT(B345,4)),VALUE(MID(B345,4,2)),VALUE(LEFT(B345,2))),"MMM-YYYY")</f>
        <v>Oct-2023</v>
      </c>
      <c r="AF345" s="1" t="n">
        <f aca="false">VALUE(RIGHT(B345,4))</f>
        <v>2023</v>
      </c>
      <c r="AG345" s="1" t="str">
        <f aca="false">CHOOSE(ROUNDUP(VALUE(MID(B345,4,2))/3,0),"Q1","Q2","Q3","Q4")</f>
        <v>Q4</v>
      </c>
    </row>
    <row r="346" customFormat="false" ht="15" hidden="false" customHeight="true" outlineLevel="0" collapsed="false">
      <c r="A346" s="1" t="s">
        <v>775</v>
      </c>
      <c r="B346" s="1" t="s">
        <v>776</v>
      </c>
      <c r="C346" s="1" t="s">
        <v>93</v>
      </c>
      <c r="D346" s="1" t="s">
        <v>168</v>
      </c>
      <c r="E346" s="1" t="s">
        <v>172</v>
      </c>
      <c r="F346" s="1" t="s">
        <v>269</v>
      </c>
      <c r="G346" s="1" t="s">
        <v>108</v>
      </c>
      <c r="H346" s="1" t="s">
        <v>57</v>
      </c>
      <c r="I346" s="1" t="s">
        <v>58</v>
      </c>
      <c r="J346" s="1" t="s">
        <v>70</v>
      </c>
      <c r="K346" s="1" t="s">
        <v>112</v>
      </c>
      <c r="L346" s="1" t="s">
        <v>37</v>
      </c>
      <c r="M346" s="1" t="s">
        <v>38</v>
      </c>
      <c r="N346" s="1" t="n">
        <v>6999</v>
      </c>
      <c r="O346" s="1" t="n">
        <v>5</v>
      </c>
      <c r="P346" s="1" t="n">
        <v>349.95</v>
      </c>
      <c r="Q346" s="1" t="n">
        <v>6649.05</v>
      </c>
      <c r="R346" s="1" t="n">
        <v>1196.83</v>
      </c>
      <c r="S346" s="1" t="n">
        <v>5452.22</v>
      </c>
      <c r="T346" s="1" t="n">
        <v>2410.25</v>
      </c>
      <c r="U346" s="1" t="n">
        <v>3041.97</v>
      </c>
      <c r="V346" s="1" t="n">
        <v>55.79</v>
      </c>
      <c r="W346" s="1" t="s">
        <v>39</v>
      </c>
      <c r="X346" s="1" t="n">
        <v>3.3</v>
      </c>
      <c r="Y346" s="1" t="s">
        <v>40</v>
      </c>
      <c r="Z346" s="1" t="n">
        <v>0</v>
      </c>
      <c r="AA346" s="1" t="str">
        <f aca="false">TRIM(PROPER(F346))</f>
        <v>Coimbatore</v>
      </c>
      <c r="AB346" s="1" t="str">
        <f aca="false">TRIM(PROPER(C346))</f>
        <v>Upgrad</v>
      </c>
      <c r="AC346" s="1" t="str">
        <f aca="false">IF(O346=0,"No Discount",IF(O346&lt;=15,"Low (1-15%)",IF(O346&lt;=30,"Medium (16-30%)","High (&gt;30%)")))</f>
        <v>Low (1-15%)</v>
      </c>
      <c r="AD346" s="1" t="str">
        <f aca="false">IF(V346&lt;0,"Loss Making",IF(V346&lt;20,"Low Margin","Healthy Margin"))</f>
        <v>Healthy Margin</v>
      </c>
      <c r="AE346" s="1" t="str">
        <f aca="false">TEXT(DATE(VALUE(RIGHT(B346,4)),VALUE(MID(B346,4,2)),VALUE(LEFT(B346,2))),"MMM-YYYY")</f>
        <v>Mar-2023</v>
      </c>
      <c r="AF346" s="1" t="n">
        <f aca="false">VALUE(RIGHT(B346,4))</f>
        <v>2023</v>
      </c>
      <c r="AG346" s="1" t="str">
        <f aca="false">CHOOSE(ROUNDUP(VALUE(MID(B346,4,2))/3,0),"Q1","Q2","Q3","Q4")</f>
        <v>Q1</v>
      </c>
    </row>
    <row r="347" customFormat="false" ht="15" hidden="false" customHeight="true" outlineLevel="0" collapsed="false">
      <c r="A347" s="1" t="s">
        <v>777</v>
      </c>
      <c r="B347" s="1" t="s">
        <v>665</v>
      </c>
      <c r="C347" s="1" t="s">
        <v>134</v>
      </c>
      <c r="D347" s="1" t="s">
        <v>29</v>
      </c>
      <c r="E347" s="1" t="s">
        <v>182</v>
      </c>
      <c r="F347" s="1" t="s">
        <v>187</v>
      </c>
      <c r="G347" s="1" t="s">
        <v>97</v>
      </c>
      <c r="H347" s="1" t="s">
        <v>69</v>
      </c>
      <c r="I347" s="1" t="s">
        <v>58</v>
      </c>
      <c r="J347" s="1" t="s">
        <v>59</v>
      </c>
      <c r="K347" s="1" t="s">
        <v>112</v>
      </c>
      <c r="L347" s="1" t="s">
        <v>113</v>
      </c>
      <c r="M347" s="1" t="s">
        <v>38</v>
      </c>
      <c r="N347" s="1" t="n">
        <v>34999</v>
      </c>
      <c r="O347" s="1" t="n">
        <v>15</v>
      </c>
      <c r="P347" s="1" t="n">
        <v>5249.85</v>
      </c>
      <c r="Q347" s="1" t="n">
        <v>29749.15</v>
      </c>
      <c r="R347" s="1" t="n">
        <v>5354.85</v>
      </c>
      <c r="S347" s="1" t="n">
        <v>24394.3</v>
      </c>
      <c r="T347" s="1" t="n">
        <v>8901.49</v>
      </c>
      <c r="U347" s="1" t="n">
        <v>15492.81</v>
      </c>
      <c r="V347" s="1" t="n">
        <v>63.51</v>
      </c>
      <c r="W347" s="1" t="s">
        <v>39</v>
      </c>
      <c r="X347" s="1" t="n">
        <v>4.4</v>
      </c>
      <c r="Y347" s="1" t="s">
        <v>40</v>
      </c>
      <c r="Z347" s="1" t="n">
        <v>0</v>
      </c>
      <c r="AA347" s="1" t="str">
        <f aca="false">TRIM(PROPER(F347))</f>
        <v>Mumbai</v>
      </c>
      <c r="AB347" s="1" t="str">
        <f aca="false">TRIM(PROPER(C347))</f>
        <v>Doubtnut</v>
      </c>
      <c r="AC347" s="1" t="str">
        <f aca="false">IF(O347=0,"No Discount",IF(O347&lt;=15,"Low (1-15%)",IF(O347&lt;=30,"Medium (16-30%)","High (&gt;30%)")))</f>
        <v>Low (1-15%)</v>
      </c>
      <c r="AD347" s="1" t="str">
        <f aca="false">IF(V347&lt;0,"Loss Making",IF(V347&lt;20,"Low Margin","Healthy Margin"))</f>
        <v>Healthy Margin</v>
      </c>
      <c r="AE347" s="1" t="str">
        <f aca="false">TEXT(DATE(VALUE(RIGHT(B347,4)),VALUE(MID(B347,4,2)),VALUE(LEFT(B347,2))),"MMM-YYYY")</f>
        <v>Sep-2023</v>
      </c>
      <c r="AF347" s="1" t="n">
        <f aca="false">VALUE(RIGHT(B347,4))</f>
        <v>2023</v>
      </c>
      <c r="AG347" s="1" t="str">
        <f aca="false">CHOOSE(ROUNDUP(VALUE(MID(B347,4,2))/3,0),"Q1","Q2","Q3","Q4")</f>
        <v>Q3</v>
      </c>
    </row>
    <row r="348" customFormat="false" ht="15" hidden="false" customHeight="true" outlineLevel="0" collapsed="false">
      <c r="A348" s="1" t="s">
        <v>778</v>
      </c>
      <c r="B348" s="1" t="s">
        <v>779</v>
      </c>
      <c r="C348" s="1" t="s">
        <v>780</v>
      </c>
      <c r="D348" s="1" t="s">
        <v>44</v>
      </c>
      <c r="E348" s="1" t="s">
        <v>221</v>
      </c>
      <c r="F348" s="1" t="s">
        <v>194</v>
      </c>
      <c r="G348" s="1" t="s">
        <v>103</v>
      </c>
      <c r="H348" s="1" t="s">
        <v>69</v>
      </c>
      <c r="I348" s="1" t="s">
        <v>34</v>
      </c>
      <c r="J348" s="1" t="s">
        <v>70</v>
      </c>
      <c r="K348" s="1" t="s">
        <v>71</v>
      </c>
      <c r="L348" s="1" t="s">
        <v>61</v>
      </c>
      <c r="M348" s="1" t="s">
        <v>62</v>
      </c>
      <c r="N348" s="1" t="n">
        <v>16999</v>
      </c>
      <c r="O348" s="1" t="n">
        <v>0</v>
      </c>
      <c r="P348" s="1" t="n">
        <v>0</v>
      </c>
      <c r="Q348" s="1" t="n">
        <v>16999</v>
      </c>
      <c r="R348" s="1" t="n">
        <v>3059.82</v>
      </c>
      <c r="S348" s="1" t="n">
        <v>13939.18</v>
      </c>
      <c r="T348" s="1" t="n">
        <v>6110.65</v>
      </c>
      <c r="U348" s="1" t="n">
        <v>7828.53</v>
      </c>
      <c r="V348" s="1" t="n">
        <v>56.16</v>
      </c>
      <c r="W348" s="1" t="s">
        <v>39</v>
      </c>
      <c r="X348" s="1" t="n">
        <v>4.1</v>
      </c>
      <c r="Y348" s="1" t="s">
        <v>40</v>
      </c>
      <c r="Z348" s="1" t="n">
        <v>0</v>
      </c>
      <c r="AA348" s="1" t="str">
        <f aca="false">TRIM(PROPER(F348))</f>
        <v>Hyderabad</v>
      </c>
      <c r="AB348" s="1" t="str">
        <f aca="false">TRIM(PROPER(C348))</f>
        <v>Extramarks</v>
      </c>
      <c r="AC348" s="1" t="str">
        <f aca="false">IF(O348=0,"No Discount",IF(O348&lt;=15,"Low (1-15%)",IF(O348&lt;=30,"Medium (16-30%)","High (&gt;30%)")))</f>
        <v>No Discount</v>
      </c>
      <c r="AD348" s="1" t="str">
        <f aca="false">IF(V348&lt;0,"Loss Making",IF(V348&lt;20,"Low Margin","Healthy Margin"))</f>
        <v>Healthy Margin</v>
      </c>
      <c r="AE348" s="1" t="str">
        <f aca="false">TEXT(DATE(VALUE(RIGHT(B348,4)),VALUE(MID(B348,4,2)),VALUE(LEFT(B348,2))),"MMM-YYYY")</f>
        <v>Dec-2024</v>
      </c>
      <c r="AF348" s="1" t="n">
        <f aca="false">VALUE(RIGHT(B348,4))</f>
        <v>2024</v>
      </c>
      <c r="AG348" s="1" t="str">
        <f aca="false">CHOOSE(ROUNDUP(VALUE(MID(B348,4,2))/3,0),"Q1","Q2","Q3","Q4")</f>
        <v>Q4</v>
      </c>
    </row>
    <row r="349" customFormat="false" ht="15" hidden="false" customHeight="true" outlineLevel="0" collapsed="false">
      <c r="A349" s="1" t="s">
        <v>781</v>
      </c>
      <c r="B349" s="1" t="s">
        <v>782</v>
      </c>
      <c r="C349" s="1" t="s">
        <v>139</v>
      </c>
      <c r="D349" s="1" t="s">
        <v>168</v>
      </c>
      <c r="E349" s="1" t="s">
        <v>328</v>
      </c>
      <c r="F349" s="1" t="s">
        <v>67</v>
      </c>
      <c r="G349" s="1" t="s">
        <v>68</v>
      </c>
      <c r="H349" s="1" t="s">
        <v>69</v>
      </c>
      <c r="I349" s="1" t="s">
        <v>58</v>
      </c>
      <c r="J349" s="1" t="s">
        <v>35</v>
      </c>
      <c r="K349" s="1" t="s">
        <v>112</v>
      </c>
      <c r="L349" s="1" t="s">
        <v>85</v>
      </c>
      <c r="M349" s="1" t="s">
        <v>38</v>
      </c>
      <c r="N349" s="1" t="n">
        <v>8999</v>
      </c>
      <c r="O349" s="1" t="n">
        <v>20</v>
      </c>
      <c r="P349" s="1" t="n">
        <v>1799.8</v>
      </c>
      <c r="Q349" s="1" t="n">
        <v>7199.2</v>
      </c>
      <c r="R349" s="1" t="n">
        <v>1295.86</v>
      </c>
      <c r="S349" s="1" t="n">
        <v>5903.34</v>
      </c>
      <c r="T349" s="1" t="n">
        <v>2520.73</v>
      </c>
      <c r="U349" s="1" t="n">
        <v>3382.61</v>
      </c>
      <c r="V349" s="1" t="n">
        <v>57.3</v>
      </c>
      <c r="W349" s="1" t="s">
        <v>39</v>
      </c>
      <c r="Y349" s="1" t="s">
        <v>40</v>
      </c>
      <c r="Z349" s="1" t="n">
        <v>1</v>
      </c>
      <c r="AA349" s="1" t="str">
        <f aca="false">TRIM(PROPER(F349))</f>
        <v>Ahmedabad</v>
      </c>
      <c r="AB349" s="1" t="str">
        <f aca="false">TRIM(PROPER(C349))</f>
        <v>Extramarks</v>
      </c>
      <c r="AC349" s="1" t="str">
        <f aca="false">IF(O349=0,"No Discount",IF(O349&lt;=15,"Low (1-15%)",IF(O349&lt;=30,"Medium (16-30%)","High (&gt;30%)")))</f>
        <v>Medium (16-30%)</v>
      </c>
      <c r="AD349" s="1" t="str">
        <f aca="false">IF(V349&lt;0,"Loss Making",IF(V349&lt;20,"Low Margin","Healthy Margin"))</f>
        <v>Healthy Margin</v>
      </c>
      <c r="AE349" s="1" t="str">
        <f aca="false">TEXT(DATE(VALUE(RIGHT(B349,4)),VALUE(MID(B349,4,2)),VALUE(LEFT(B349,2))),"MMM-YYYY")</f>
        <v>Dec-2024</v>
      </c>
      <c r="AF349" s="1" t="n">
        <f aca="false">VALUE(RIGHT(B349,4))</f>
        <v>2024</v>
      </c>
      <c r="AG349" s="1" t="str">
        <f aca="false">CHOOSE(ROUNDUP(VALUE(MID(B349,4,2))/3,0),"Q1","Q2","Q3","Q4")</f>
        <v>Q4</v>
      </c>
    </row>
    <row r="350" customFormat="false" ht="15" hidden="false" customHeight="true" outlineLevel="0" collapsed="false">
      <c r="A350" s="1" t="s">
        <v>783</v>
      </c>
      <c r="B350" s="1" t="s">
        <v>580</v>
      </c>
      <c r="C350" s="1" t="s">
        <v>167</v>
      </c>
      <c r="D350" s="1" t="s">
        <v>29</v>
      </c>
      <c r="E350" s="1" t="s">
        <v>30</v>
      </c>
      <c r="F350" s="1" t="s">
        <v>153</v>
      </c>
      <c r="G350" s="1" t="s">
        <v>76</v>
      </c>
      <c r="H350" s="1" t="s">
        <v>33</v>
      </c>
      <c r="I350" s="1" t="s">
        <v>83</v>
      </c>
      <c r="J350" s="1" t="s">
        <v>35</v>
      </c>
      <c r="K350" s="1" t="s">
        <v>112</v>
      </c>
      <c r="L350" s="1" t="s">
        <v>85</v>
      </c>
      <c r="M350" s="1" t="s">
        <v>62</v>
      </c>
      <c r="N350" s="1" t="n">
        <v>7999</v>
      </c>
      <c r="O350" s="1" t="n">
        <v>0</v>
      </c>
      <c r="P350" s="1" t="n">
        <v>0</v>
      </c>
      <c r="Q350" s="1" t="n">
        <v>7999</v>
      </c>
      <c r="R350" s="1" t="n">
        <v>1439.82</v>
      </c>
      <c r="S350" s="1" t="n">
        <v>6559.18</v>
      </c>
      <c r="T350" s="1" t="n">
        <v>2701.8</v>
      </c>
      <c r="U350" s="1" t="n">
        <v>3857.38</v>
      </c>
      <c r="V350" s="1" t="n">
        <v>58.81</v>
      </c>
      <c r="W350" s="1" t="s">
        <v>40</v>
      </c>
      <c r="Y350" s="1" t="s">
        <v>40</v>
      </c>
      <c r="Z350" s="1" t="n">
        <v>2</v>
      </c>
      <c r="AA350" s="1" t="str">
        <f aca="false">TRIM(PROPER(F350))</f>
        <v>Howrah</v>
      </c>
      <c r="AB350" s="1" t="str">
        <f aca="false">TRIM(PROPER(C350))</f>
        <v>Scaler</v>
      </c>
      <c r="AC350" s="1" t="str">
        <f aca="false">IF(O350=0,"No Discount",IF(O350&lt;=15,"Low (1-15%)",IF(O350&lt;=30,"Medium (16-30%)","High (&gt;30%)")))</f>
        <v>No Discount</v>
      </c>
      <c r="AD350" s="1" t="str">
        <f aca="false">IF(V350&lt;0,"Loss Making",IF(V350&lt;20,"Low Margin","Healthy Margin"))</f>
        <v>Healthy Margin</v>
      </c>
      <c r="AE350" s="1" t="str">
        <f aca="false">TEXT(DATE(VALUE(RIGHT(B350,4)),VALUE(MID(B350,4,2)),VALUE(LEFT(B350,2))),"MMM-YYYY")</f>
        <v>Mar-2023</v>
      </c>
      <c r="AF350" s="1" t="n">
        <f aca="false">VALUE(RIGHT(B350,4))</f>
        <v>2023</v>
      </c>
      <c r="AG350" s="1" t="str">
        <f aca="false">CHOOSE(ROUNDUP(VALUE(MID(B350,4,2))/3,0),"Q1","Q2","Q3","Q4")</f>
        <v>Q1</v>
      </c>
    </row>
    <row r="351" customFormat="false" ht="15" hidden="false" customHeight="true" outlineLevel="0" collapsed="false">
      <c r="A351" s="1" t="s">
        <v>784</v>
      </c>
      <c r="B351" s="1" t="s">
        <v>785</v>
      </c>
      <c r="C351" s="1" t="s">
        <v>128</v>
      </c>
      <c r="D351" s="1" t="s">
        <v>53</v>
      </c>
      <c r="E351" s="1" t="s">
        <v>216</v>
      </c>
      <c r="F351" s="1" t="s">
        <v>120</v>
      </c>
      <c r="G351" s="1" t="s">
        <v>47</v>
      </c>
      <c r="H351" s="1" t="s">
        <v>57</v>
      </c>
      <c r="I351" s="1" t="s">
        <v>34</v>
      </c>
      <c r="J351" s="1" t="s">
        <v>35</v>
      </c>
      <c r="K351" s="1" t="s">
        <v>60</v>
      </c>
      <c r="L351" s="1" t="s">
        <v>37</v>
      </c>
      <c r="M351" s="1" t="s">
        <v>38</v>
      </c>
      <c r="N351" s="1" t="n">
        <v>7499</v>
      </c>
      <c r="O351" s="1" t="n">
        <v>50</v>
      </c>
      <c r="P351" s="1" t="n">
        <v>3749.5</v>
      </c>
      <c r="Q351" s="1" t="n">
        <v>3749.5</v>
      </c>
      <c r="R351" s="1" t="n">
        <v>674.91</v>
      </c>
      <c r="S351" s="1" t="n">
        <v>3074.59</v>
      </c>
      <c r="T351" s="1" t="n">
        <v>1893.06</v>
      </c>
      <c r="U351" s="1" t="n">
        <v>1181.53</v>
      </c>
      <c r="V351" s="1" t="n">
        <v>38.43</v>
      </c>
      <c r="W351" s="1" t="s">
        <v>40</v>
      </c>
      <c r="Y351" s="1" t="s">
        <v>40</v>
      </c>
      <c r="Z351" s="1" t="n">
        <v>1</v>
      </c>
      <c r="AA351" s="1" t="str">
        <f aca="false">TRIM(PROPER(F351))</f>
        <v>Mysuru</v>
      </c>
      <c r="AB351" s="1" t="str">
        <f aca="false">TRIM(PROPER(C351))</f>
        <v>Great Learning</v>
      </c>
      <c r="AC351" s="1" t="str">
        <f aca="false">IF(O351=0,"No Discount",IF(O351&lt;=15,"Low (1-15%)",IF(O351&lt;=30,"Medium (16-30%)","High (&gt;30%)")))</f>
        <v>High (&gt;30%)</v>
      </c>
      <c r="AD351" s="1" t="str">
        <f aca="false">IF(V351&lt;0,"Loss Making",IF(V351&lt;20,"Low Margin","Healthy Margin"))</f>
        <v>Healthy Margin</v>
      </c>
      <c r="AE351" s="1" t="str">
        <f aca="false">TEXT(DATE(VALUE(RIGHT(B351,4)),VALUE(MID(B351,4,2)),VALUE(LEFT(B351,2))),"MMM-YYYY")</f>
        <v>Aug-2024</v>
      </c>
      <c r="AF351" s="1" t="n">
        <f aca="false">VALUE(RIGHT(B351,4))</f>
        <v>2024</v>
      </c>
      <c r="AG351" s="1" t="str">
        <f aca="false">CHOOSE(ROUNDUP(VALUE(MID(B351,4,2))/3,0),"Q1","Q2","Q3","Q4")</f>
        <v>Q3</v>
      </c>
    </row>
    <row r="352" customFormat="false" ht="15" hidden="false" customHeight="true" outlineLevel="0" collapsed="false">
      <c r="A352" s="1" t="s">
        <v>786</v>
      </c>
      <c r="B352" s="1" t="s">
        <v>787</v>
      </c>
      <c r="C352" s="1" t="s">
        <v>249</v>
      </c>
      <c r="D352" s="1" t="s">
        <v>44</v>
      </c>
      <c r="E352" s="1" t="s">
        <v>66</v>
      </c>
      <c r="F352" s="1" t="s">
        <v>150</v>
      </c>
      <c r="G352" s="1" t="s">
        <v>32</v>
      </c>
      <c r="H352" s="1" t="s">
        <v>57</v>
      </c>
      <c r="I352" s="1" t="s">
        <v>34</v>
      </c>
      <c r="J352" s="1" t="s">
        <v>70</v>
      </c>
      <c r="K352" s="1" t="s">
        <v>36</v>
      </c>
      <c r="L352" s="1" t="s">
        <v>49</v>
      </c>
      <c r="M352" s="1" t="s">
        <v>38</v>
      </c>
      <c r="N352" s="1" t="n">
        <v>12999</v>
      </c>
      <c r="O352" s="1" t="n">
        <v>10</v>
      </c>
      <c r="P352" s="1" t="n">
        <v>1299.9</v>
      </c>
      <c r="Q352" s="1" t="n">
        <v>11699.1</v>
      </c>
      <c r="R352" s="1" t="n">
        <v>2105.84</v>
      </c>
      <c r="S352" s="1" t="n">
        <v>9593.26</v>
      </c>
      <c r="T352" s="1" t="n">
        <v>4763.98</v>
      </c>
      <c r="U352" s="1" t="n">
        <v>4829.28</v>
      </c>
      <c r="V352" s="1" t="n">
        <v>50.34</v>
      </c>
      <c r="W352" s="1" t="s">
        <v>40</v>
      </c>
      <c r="Y352" s="1" t="s">
        <v>40</v>
      </c>
      <c r="Z352" s="1" t="n">
        <v>1</v>
      </c>
      <c r="AA352" s="1" t="str">
        <f aca="false">TRIM(PROPER(F352))</f>
        <v>Jaipur</v>
      </c>
      <c r="AB352" s="1" t="str">
        <f aca="false">TRIM(PROPER(C352))</f>
        <v>Whitehat Jr</v>
      </c>
      <c r="AC352" s="1" t="str">
        <f aca="false">IF(O352=0,"No Discount",IF(O352&lt;=15,"Low (1-15%)",IF(O352&lt;=30,"Medium (16-30%)","High (&gt;30%)")))</f>
        <v>Low (1-15%)</v>
      </c>
      <c r="AD352" s="1" t="str">
        <f aca="false">IF(V352&lt;0,"Loss Making",IF(V352&lt;20,"Low Margin","Healthy Margin"))</f>
        <v>Healthy Margin</v>
      </c>
      <c r="AE352" s="1" t="str">
        <f aca="false">TEXT(DATE(VALUE(RIGHT(B352,4)),VALUE(MID(B352,4,2)),VALUE(LEFT(B352,2))),"MMM-YYYY")</f>
        <v>Feb-2024</v>
      </c>
      <c r="AF352" s="1" t="n">
        <f aca="false">VALUE(RIGHT(B352,4))</f>
        <v>2024</v>
      </c>
      <c r="AG352" s="1" t="str">
        <f aca="false">CHOOSE(ROUNDUP(VALUE(MID(B352,4,2))/3,0),"Q1","Q2","Q3","Q4")</f>
        <v>Q1</v>
      </c>
    </row>
    <row r="353" customFormat="false" ht="15" hidden="false" customHeight="true" outlineLevel="0" collapsed="false">
      <c r="A353" s="1" t="s">
        <v>788</v>
      </c>
      <c r="B353" s="1" t="s">
        <v>425</v>
      </c>
      <c r="C353" s="1" t="s">
        <v>134</v>
      </c>
      <c r="D353" s="1" t="s">
        <v>44</v>
      </c>
      <c r="E353" s="1" t="s">
        <v>45</v>
      </c>
      <c r="F353" s="1" t="s">
        <v>187</v>
      </c>
      <c r="G353" s="1" t="s">
        <v>97</v>
      </c>
      <c r="H353" s="1" t="s">
        <v>69</v>
      </c>
      <c r="I353" s="1" t="s">
        <v>58</v>
      </c>
      <c r="J353" s="1" t="s">
        <v>35</v>
      </c>
      <c r="K353" s="1" t="s">
        <v>60</v>
      </c>
      <c r="L353" s="1" t="s">
        <v>113</v>
      </c>
      <c r="M353" s="1" t="s">
        <v>50</v>
      </c>
      <c r="N353" s="1" t="n">
        <v>11999</v>
      </c>
      <c r="O353" s="1" t="n">
        <v>0</v>
      </c>
      <c r="P353" s="1" t="n">
        <v>0</v>
      </c>
      <c r="Q353" s="1" t="n">
        <v>11999</v>
      </c>
      <c r="R353" s="1" t="n">
        <v>2159.82</v>
      </c>
      <c r="S353" s="1" t="n">
        <v>9839.18</v>
      </c>
      <c r="T353" s="1" t="n">
        <v>3616.26</v>
      </c>
      <c r="U353" s="1" t="n">
        <v>6222.92</v>
      </c>
      <c r="V353" s="1" t="n">
        <v>63.25</v>
      </c>
      <c r="W353" s="1" t="s">
        <v>39</v>
      </c>
      <c r="X353" s="1" t="n">
        <v>4.4</v>
      </c>
      <c r="Y353" s="1" t="s">
        <v>40</v>
      </c>
      <c r="Z353" s="1" t="n">
        <v>0</v>
      </c>
      <c r="AA353" s="1" t="str">
        <f aca="false">TRIM(PROPER(F353))</f>
        <v>Mumbai</v>
      </c>
      <c r="AB353" s="1" t="str">
        <f aca="false">TRIM(PROPER(C353))</f>
        <v>Doubtnut</v>
      </c>
      <c r="AC353" s="1" t="str">
        <f aca="false">IF(O353=0,"No Discount",IF(O353&lt;=15,"Low (1-15%)",IF(O353&lt;=30,"Medium (16-30%)","High (&gt;30%)")))</f>
        <v>No Discount</v>
      </c>
      <c r="AD353" s="1" t="str">
        <f aca="false">IF(V353&lt;0,"Loss Making",IF(V353&lt;20,"Low Margin","Healthy Margin"))</f>
        <v>Healthy Margin</v>
      </c>
      <c r="AE353" s="1" t="str">
        <f aca="false">TEXT(DATE(VALUE(RIGHT(B353,4)),VALUE(MID(B353,4,2)),VALUE(LEFT(B353,2))),"MMM-YYYY")</f>
        <v>Feb-2023</v>
      </c>
      <c r="AF353" s="1" t="n">
        <f aca="false">VALUE(RIGHT(B353,4))</f>
        <v>2023</v>
      </c>
      <c r="AG353" s="1" t="str">
        <f aca="false">CHOOSE(ROUNDUP(VALUE(MID(B353,4,2))/3,0),"Q1","Q2","Q3","Q4")</f>
        <v>Q1</v>
      </c>
    </row>
    <row r="354" customFormat="false" ht="15" hidden="false" customHeight="true" outlineLevel="0" collapsed="false">
      <c r="A354" s="1" t="s">
        <v>789</v>
      </c>
      <c r="B354" s="1" t="s">
        <v>174</v>
      </c>
      <c r="C354" s="1" t="s">
        <v>65</v>
      </c>
      <c r="D354" s="1" t="s">
        <v>143</v>
      </c>
      <c r="E354" s="1" t="s">
        <v>159</v>
      </c>
      <c r="F354" s="1" t="s">
        <v>244</v>
      </c>
      <c r="G354" s="1" t="s">
        <v>97</v>
      </c>
      <c r="H354" s="1" t="s">
        <v>57</v>
      </c>
      <c r="I354" s="1" t="s">
        <v>58</v>
      </c>
      <c r="J354" s="1" t="s">
        <v>77</v>
      </c>
      <c r="K354" s="1" t="s">
        <v>104</v>
      </c>
      <c r="L354" s="1" t="s">
        <v>61</v>
      </c>
      <c r="M354" s="1" t="s">
        <v>62</v>
      </c>
      <c r="N354" s="1" t="n">
        <v>24999</v>
      </c>
      <c r="O354" s="1" t="n">
        <v>5</v>
      </c>
      <c r="P354" s="1" t="n">
        <v>1249.95</v>
      </c>
      <c r="Q354" s="1" t="n">
        <v>23749.05</v>
      </c>
      <c r="R354" s="1" t="n">
        <v>4274.83</v>
      </c>
      <c r="S354" s="1" t="n">
        <v>19474.22</v>
      </c>
      <c r="T354" s="1" t="n">
        <v>10231.77</v>
      </c>
      <c r="U354" s="1" t="n">
        <v>9242.45</v>
      </c>
      <c r="V354" s="1" t="n">
        <v>47.46</v>
      </c>
      <c r="W354" s="1" t="s">
        <v>40</v>
      </c>
      <c r="Y354" s="1" t="s">
        <v>40</v>
      </c>
      <c r="Z354" s="1" t="n">
        <v>2</v>
      </c>
      <c r="AA354" s="1" t="str">
        <f aca="false">TRIM(PROPER(F354))</f>
        <v>Nagpur</v>
      </c>
      <c r="AB354" s="1" t="str">
        <f aca="false">TRIM(PROPER(C354))</f>
        <v>Toppr</v>
      </c>
      <c r="AC354" s="1" t="str">
        <f aca="false">IF(O354=0,"No Discount",IF(O354&lt;=15,"Low (1-15%)",IF(O354&lt;=30,"Medium (16-30%)","High (&gt;30%)")))</f>
        <v>Low (1-15%)</v>
      </c>
      <c r="AD354" s="1" t="str">
        <f aca="false">IF(V354&lt;0,"Loss Making",IF(V354&lt;20,"Low Margin","Healthy Margin"))</f>
        <v>Healthy Margin</v>
      </c>
      <c r="AE354" s="1" t="str">
        <f aca="false">TEXT(DATE(VALUE(RIGHT(B354,4)),VALUE(MID(B354,4,2)),VALUE(LEFT(B354,2))),"MMM-YYYY")</f>
        <v>Jun-2023</v>
      </c>
      <c r="AF354" s="1" t="n">
        <f aca="false">VALUE(RIGHT(B354,4))</f>
        <v>2023</v>
      </c>
      <c r="AG354" s="1" t="str">
        <f aca="false">CHOOSE(ROUNDUP(VALUE(MID(B354,4,2))/3,0),"Q1","Q2","Q3","Q4")</f>
        <v>Q2</v>
      </c>
    </row>
    <row r="355" customFormat="false" ht="15" hidden="false" customHeight="true" outlineLevel="0" collapsed="false">
      <c r="A355" s="1" t="s">
        <v>790</v>
      </c>
      <c r="B355" s="1" t="s">
        <v>791</v>
      </c>
      <c r="C355" s="1" t="s">
        <v>100</v>
      </c>
      <c r="D355" s="1" t="s">
        <v>94</v>
      </c>
      <c r="E355" s="1" t="s">
        <v>95</v>
      </c>
      <c r="F355" s="1" t="s">
        <v>184</v>
      </c>
      <c r="G355" s="1" t="s">
        <v>56</v>
      </c>
      <c r="H355" s="1" t="s">
        <v>57</v>
      </c>
      <c r="I355" s="1" t="s">
        <v>34</v>
      </c>
      <c r="J355" s="1" t="s">
        <v>59</v>
      </c>
      <c r="K355" s="1" t="s">
        <v>48</v>
      </c>
      <c r="L355" s="1" t="s">
        <v>61</v>
      </c>
      <c r="M355" s="1" t="s">
        <v>62</v>
      </c>
      <c r="N355" s="1" t="n">
        <v>6999</v>
      </c>
      <c r="O355" s="1" t="n">
        <v>10</v>
      </c>
      <c r="P355" s="1" t="n">
        <v>699.9</v>
      </c>
      <c r="Q355" s="1" t="n">
        <v>6299.1</v>
      </c>
      <c r="R355" s="1" t="n">
        <v>1133.84</v>
      </c>
      <c r="S355" s="1" t="n">
        <v>5165.26</v>
      </c>
      <c r="T355" s="1" t="n">
        <v>2200.96</v>
      </c>
      <c r="U355" s="1" t="n">
        <v>2964.3</v>
      </c>
      <c r="V355" s="1" t="n">
        <v>57.39</v>
      </c>
      <c r="W355" s="1" t="s">
        <v>39</v>
      </c>
      <c r="X355" s="1" t="n">
        <v>4.4</v>
      </c>
      <c r="Y355" s="1" t="s">
        <v>40</v>
      </c>
      <c r="Z355" s="1" t="n">
        <v>1</v>
      </c>
      <c r="AA355" s="1" t="str">
        <f aca="false">TRIM(PROPER(F355))</f>
        <v>Faridabad</v>
      </c>
      <c r="AB355" s="1" t="str">
        <f aca="false">TRIM(PROPER(C355))</f>
        <v>Physics Wallah</v>
      </c>
      <c r="AC355" s="1" t="str">
        <f aca="false">IF(O355=0,"No Discount",IF(O355&lt;=15,"Low (1-15%)",IF(O355&lt;=30,"Medium (16-30%)","High (&gt;30%)")))</f>
        <v>Low (1-15%)</v>
      </c>
      <c r="AD355" s="1" t="str">
        <f aca="false">IF(V355&lt;0,"Loss Making",IF(V355&lt;20,"Low Margin","Healthy Margin"))</f>
        <v>Healthy Margin</v>
      </c>
      <c r="AE355" s="1" t="str">
        <f aca="false">TEXT(DATE(VALUE(RIGHT(B355,4)),VALUE(MID(B355,4,2)),VALUE(LEFT(B355,2))),"MMM-YYYY")</f>
        <v>Jun-2023</v>
      </c>
      <c r="AF355" s="1" t="n">
        <f aca="false">VALUE(RIGHT(B355,4))</f>
        <v>2023</v>
      </c>
      <c r="AG355" s="1" t="str">
        <f aca="false">CHOOSE(ROUNDUP(VALUE(MID(B355,4,2))/3,0),"Q1","Q2","Q3","Q4")</f>
        <v>Q2</v>
      </c>
    </row>
    <row r="356" customFormat="false" ht="15" hidden="false" customHeight="true" outlineLevel="0" collapsed="false">
      <c r="A356" s="1" t="s">
        <v>792</v>
      </c>
      <c r="B356" s="1" t="s">
        <v>793</v>
      </c>
      <c r="C356" s="1" t="s">
        <v>264</v>
      </c>
      <c r="D356" s="1" t="s">
        <v>168</v>
      </c>
      <c r="E356" s="1" t="s">
        <v>197</v>
      </c>
      <c r="F356" s="1" t="s">
        <v>67</v>
      </c>
      <c r="G356" s="1" t="s">
        <v>68</v>
      </c>
      <c r="H356" s="1" t="s">
        <v>69</v>
      </c>
      <c r="I356" s="1" t="s">
        <v>83</v>
      </c>
      <c r="J356" s="1" t="s">
        <v>70</v>
      </c>
      <c r="K356" s="1" t="s">
        <v>112</v>
      </c>
      <c r="L356" s="1" t="s">
        <v>49</v>
      </c>
      <c r="M356" s="1" t="s">
        <v>38</v>
      </c>
      <c r="N356" s="1" t="n">
        <v>8499</v>
      </c>
      <c r="O356" s="1" t="n">
        <v>25</v>
      </c>
      <c r="P356" s="1" t="n">
        <v>2124.75</v>
      </c>
      <c r="Q356" s="1" t="n">
        <v>6374.25</v>
      </c>
      <c r="R356" s="1" t="n">
        <v>1147.37</v>
      </c>
      <c r="S356" s="1" t="n">
        <v>5226.88</v>
      </c>
      <c r="T356" s="1" t="n">
        <v>2159.55</v>
      </c>
      <c r="U356" s="1" t="n">
        <v>3067.33</v>
      </c>
      <c r="V356" s="1" t="n">
        <v>58.68</v>
      </c>
      <c r="W356" s="1" t="s">
        <v>39</v>
      </c>
      <c r="X356" s="1" t="n">
        <v>4.6</v>
      </c>
      <c r="Y356" s="1" t="s">
        <v>40</v>
      </c>
      <c r="Z356" s="1" t="n">
        <v>0</v>
      </c>
      <c r="AA356" s="1" t="str">
        <f aca="false">TRIM(PROPER(F356))</f>
        <v>Ahmedabad</v>
      </c>
      <c r="AB356" s="1" t="str">
        <f aca="false">TRIM(PROPER(C356))</f>
        <v>Unacademy</v>
      </c>
      <c r="AC356" s="1" t="str">
        <f aca="false">IF(O356=0,"No Discount",IF(O356&lt;=15,"Low (1-15%)",IF(O356&lt;=30,"Medium (16-30%)","High (&gt;30%)")))</f>
        <v>Medium (16-30%)</v>
      </c>
      <c r="AD356" s="1" t="str">
        <f aca="false">IF(V356&lt;0,"Loss Making",IF(V356&lt;20,"Low Margin","Healthy Margin"))</f>
        <v>Healthy Margin</v>
      </c>
      <c r="AE356" s="1" t="str">
        <f aca="false">TEXT(DATE(VALUE(RIGHT(B356,4)),VALUE(MID(B356,4,2)),VALUE(LEFT(B356,2))),"MMM-YYYY")</f>
        <v>Sep-2023</v>
      </c>
      <c r="AF356" s="1" t="n">
        <f aca="false">VALUE(RIGHT(B356,4))</f>
        <v>2023</v>
      </c>
      <c r="AG356" s="1" t="str">
        <f aca="false">CHOOSE(ROUNDUP(VALUE(MID(B356,4,2))/3,0),"Q1","Q2","Q3","Q4")</f>
        <v>Q3</v>
      </c>
    </row>
    <row r="357" customFormat="false" ht="15" hidden="false" customHeight="true" outlineLevel="0" collapsed="false">
      <c r="A357" s="1" t="s">
        <v>794</v>
      </c>
      <c r="B357" s="1" t="s">
        <v>795</v>
      </c>
      <c r="C357" s="1" t="s">
        <v>128</v>
      </c>
      <c r="D357" s="1" t="s">
        <v>80</v>
      </c>
      <c r="E357" s="1" t="s">
        <v>175</v>
      </c>
      <c r="F357" s="1" t="s">
        <v>194</v>
      </c>
      <c r="G357" s="1" t="s">
        <v>103</v>
      </c>
      <c r="H357" s="1" t="s">
        <v>69</v>
      </c>
      <c r="I357" s="1" t="s">
        <v>58</v>
      </c>
      <c r="J357" s="1" t="s">
        <v>70</v>
      </c>
      <c r="K357" s="1" t="s">
        <v>71</v>
      </c>
      <c r="L357" s="1" t="s">
        <v>49</v>
      </c>
      <c r="M357" s="1" t="s">
        <v>62</v>
      </c>
      <c r="N357" s="1" t="n">
        <v>19999</v>
      </c>
      <c r="O357" s="1" t="n">
        <v>0</v>
      </c>
      <c r="P357" s="1" t="n">
        <v>0</v>
      </c>
      <c r="Q357" s="1" t="n">
        <v>19999</v>
      </c>
      <c r="R357" s="1" t="n">
        <v>3599.82</v>
      </c>
      <c r="S357" s="1" t="n">
        <v>16399.18</v>
      </c>
      <c r="T357" s="1" t="n">
        <v>6797.66</v>
      </c>
      <c r="U357" s="1" t="n">
        <v>9601.52</v>
      </c>
      <c r="V357" s="1" t="n">
        <v>58.55</v>
      </c>
      <c r="W357" s="1" t="s">
        <v>39</v>
      </c>
      <c r="Y357" s="1" t="s">
        <v>40</v>
      </c>
      <c r="Z357" s="1" t="n">
        <v>0</v>
      </c>
      <c r="AA357" s="1" t="str">
        <f aca="false">TRIM(PROPER(F357))</f>
        <v>Hyderabad</v>
      </c>
      <c r="AB357" s="1" t="str">
        <f aca="false">TRIM(PROPER(C357))</f>
        <v>Great Learning</v>
      </c>
      <c r="AC357" s="1" t="str">
        <f aca="false">IF(O357=0,"No Discount",IF(O357&lt;=15,"Low (1-15%)",IF(O357&lt;=30,"Medium (16-30%)","High (&gt;30%)")))</f>
        <v>No Discount</v>
      </c>
      <c r="AD357" s="1" t="str">
        <f aca="false">IF(V357&lt;0,"Loss Making",IF(V357&lt;20,"Low Margin","Healthy Margin"))</f>
        <v>Healthy Margin</v>
      </c>
      <c r="AE357" s="1" t="str">
        <f aca="false">TEXT(DATE(VALUE(RIGHT(B357,4)),VALUE(MID(B357,4,2)),VALUE(LEFT(B357,2))),"MMM-YYYY")</f>
        <v>May-2024</v>
      </c>
      <c r="AF357" s="1" t="n">
        <f aca="false">VALUE(RIGHT(B357,4))</f>
        <v>2024</v>
      </c>
      <c r="AG357" s="1" t="str">
        <f aca="false">CHOOSE(ROUNDUP(VALUE(MID(B357,4,2))/3,0),"Q1","Q2","Q3","Q4")</f>
        <v>Q2</v>
      </c>
    </row>
    <row r="358" customFormat="false" ht="15" hidden="false" customHeight="true" outlineLevel="0" collapsed="false">
      <c r="A358" s="1" t="s">
        <v>796</v>
      </c>
      <c r="B358" s="1" t="s">
        <v>430</v>
      </c>
      <c r="C358" s="1" t="s">
        <v>88</v>
      </c>
      <c r="D358" s="1" t="s">
        <v>80</v>
      </c>
      <c r="E358" s="1" t="s">
        <v>190</v>
      </c>
      <c r="F358" s="1" t="s">
        <v>205</v>
      </c>
      <c r="G358" s="1" t="s">
        <v>56</v>
      </c>
      <c r="H358" s="1" t="s">
        <v>69</v>
      </c>
      <c r="I358" s="1" t="s">
        <v>58</v>
      </c>
      <c r="J358" s="1" t="s">
        <v>131</v>
      </c>
      <c r="K358" s="1" t="s">
        <v>71</v>
      </c>
      <c r="L358" s="1" t="s">
        <v>136</v>
      </c>
      <c r="M358" s="1" t="s">
        <v>50</v>
      </c>
      <c r="N358" s="1" t="n">
        <v>15999</v>
      </c>
      <c r="O358" s="1" t="n">
        <v>25</v>
      </c>
      <c r="P358" s="1" t="n">
        <v>3999.75</v>
      </c>
      <c r="Q358" s="1" t="n">
        <v>11999.25</v>
      </c>
      <c r="R358" s="1" t="n">
        <v>2159.86</v>
      </c>
      <c r="S358" s="1" t="n">
        <v>9839.39</v>
      </c>
      <c r="T358" s="1" t="n">
        <v>3475.47</v>
      </c>
      <c r="U358" s="1" t="n">
        <v>6363.92</v>
      </c>
      <c r="V358" s="1" t="n">
        <v>64.68</v>
      </c>
      <c r="W358" s="1" t="s">
        <v>39</v>
      </c>
      <c r="X358" s="1" t="n">
        <v>3.8</v>
      </c>
      <c r="Y358" s="1" t="s">
        <v>40</v>
      </c>
      <c r="Z358" s="1" t="n">
        <v>0</v>
      </c>
      <c r="AA358" s="1" t="str">
        <f aca="false">TRIM(PROPER(F358))</f>
        <v>New Delhi</v>
      </c>
      <c r="AB358" s="1" t="str">
        <f aca="false">TRIM(PROPER(C358))</f>
        <v>Byju'S</v>
      </c>
      <c r="AC358" s="1" t="str">
        <f aca="false">IF(O358=0,"No Discount",IF(O358&lt;=15,"Low (1-15%)",IF(O358&lt;=30,"Medium (16-30%)","High (&gt;30%)")))</f>
        <v>Medium (16-30%)</v>
      </c>
      <c r="AD358" s="1" t="str">
        <f aca="false">IF(V358&lt;0,"Loss Making",IF(V358&lt;20,"Low Margin","Healthy Margin"))</f>
        <v>Healthy Margin</v>
      </c>
      <c r="AE358" s="1" t="str">
        <f aca="false">TEXT(DATE(VALUE(RIGHT(B358,4)),VALUE(MID(B358,4,2)),VALUE(LEFT(B358,2))),"MMM-YYYY")</f>
        <v>Nov-2023</v>
      </c>
      <c r="AF358" s="1" t="n">
        <f aca="false">VALUE(RIGHT(B358,4))</f>
        <v>2023</v>
      </c>
      <c r="AG358" s="1" t="str">
        <f aca="false">CHOOSE(ROUNDUP(VALUE(MID(B358,4,2))/3,0),"Q1","Q2","Q3","Q4")</f>
        <v>Q4</v>
      </c>
    </row>
    <row r="359" customFormat="false" ht="15" hidden="false" customHeight="true" outlineLevel="0" collapsed="false">
      <c r="A359" s="1" t="s">
        <v>797</v>
      </c>
      <c r="B359" s="1" t="s">
        <v>798</v>
      </c>
      <c r="C359" s="1" t="s">
        <v>65</v>
      </c>
      <c r="D359" s="1" t="s">
        <v>123</v>
      </c>
      <c r="E359" s="1" t="s">
        <v>124</v>
      </c>
      <c r="F359" s="1" t="s">
        <v>156</v>
      </c>
      <c r="G359" s="1" t="s">
        <v>68</v>
      </c>
      <c r="H359" s="1" t="s">
        <v>57</v>
      </c>
      <c r="I359" s="1" t="s">
        <v>34</v>
      </c>
      <c r="J359" s="1" t="s">
        <v>59</v>
      </c>
      <c r="K359" s="1" t="s">
        <v>104</v>
      </c>
      <c r="L359" s="1" t="s">
        <v>85</v>
      </c>
      <c r="M359" s="1" t="s">
        <v>62</v>
      </c>
      <c r="N359" s="1" t="n">
        <v>4999</v>
      </c>
      <c r="O359" s="1" t="n">
        <v>40</v>
      </c>
      <c r="P359" s="1" t="n">
        <v>1999.6</v>
      </c>
      <c r="Q359" s="1" t="n">
        <v>2999.4</v>
      </c>
      <c r="R359" s="1" t="n">
        <v>539.89</v>
      </c>
      <c r="S359" s="1" t="n">
        <v>2459.51</v>
      </c>
      <c r="T359" s="1" t="n">
        <v>1397.38</v>
      </c>
      <c r="U359" s="1" t="n">
        <v>1062.13</v>
      </c>
      <c r="V359" s="1" t="n">
        <v>43.18</v>
      </c>
      <c r="W359" s="1" t="s">
        <v>40</v>
      </c>
      <c r="Y359" s="1" t="s">
        <v>39</v>
      </c>
      <c r="Z359" s="1" t="n">
        <v>1</v>
      </c>
      <c r="AA359" s="1" t="str">
        <f aca="false">TRIM(PROPER(F359))</f>
        <v>Surat</v>
      </c>
      <c r="AB359" s="1" t="str">
        <f aca="false">TRIM(PROPER(C359))</f>
        <v>Toppr</v>
      </c>
      <c r="AC359" s="1" t="str">
        <f aca="false">IF(O359=0,"No Discount",IF(O359&lt;=15,"Low (1-15%)",IF(O359&lt;=30,"Medium (16-30%)","High (&gt;30%)")))</f>
        <v>High (&gt;30%)</v>
      </c>
      <c r="AD359" s="1" t="str">
        <f aca="false">IF(V359&lt;0,"Loss Making",IF(V359&lt;20,"Low Margin","Healthy Margin"))</f>
        <v>Healthy Margin</v>
      </c>
      <c r="AE359" s="1" t="str">
        <f aca="false">TEXT(DATE(VALUE(RIGHT(B359,4)),VALUE(MID(B359,4,2)),VALUE(LEFT(B359,2))),"MMM-YYYY")</f>
        <v>Apr-2023</v>
      </c>
      <c r="AF359" s="1" t="n">
        <f aca="false">VALUE(RIGHT(B359,4))</f>
        <v>2023</v>
      </c>
      <c r="AG359" s="1" t="str">
        <f aca="false">CHOOSE(ROUNDUP(VALUE(MID(B359,4,2))/3,0),"Q1","Q2","Q3","Q4")</f>
        <v>Q2</v>
      </c>
    </row>
    <row r="360" customFormat="false" ht="15" hidden="false" customHeight="true" outlineLevel="0" collapsed="false">
      <c r="A360" s="1" t="s">
        <v>799</v>
      </c>
      <c r="B360" s="1" t="s">
        <v>152</v>
      </c>
      <c r="C360" s="1" t="s">
        <v>134</v>
      </c>
      <c r="D360" s="1" t="s">
        <v>123</v>
      </c>
      <c r="E360" s="1" t="s">
        <v>233</v>
      </c>
      <c r="F360" s="1" t="s">
        <v>75</v>
      </c>
      <c r="G360" s="1" t="s">
        <v>76</v>
      </c>
      <c r="H360" s="1" t="s">
        <v>69</v>
      </c>
      <c r="I360" s="1" t="s">
        <v>34</v>
      </c>
      <c r="J360" s="1" t="s">
        <v>77</v>
      </c>
      <c r="K360" s="1" t="s">
        <v>48</v>
      </c>
      <c r="L360" s="1" t="s">
        <v>37</v>
      </c>
      <c r="M360" s="1" t="s">
        <v>38</v>
      </c>
      <c r="N360" s="1" t="n">
        <v>8999</v>
      </c>
      <c r="O360" s="1" t="n">
        <v>15</v>
      </c>
      <c r="P360" s="1" t="n">
        <v>1349.85</v>
      </c>
      <c r="Q360" s="1" t="n">
        <v>7649.15</v>
      </c>
      <c r="R360" s="1" t="n">
        <v>1376.85</v>
      </c>
      <c r="S360" s="1" t="n">
        <v>6272.3</v>
      </c>
      <c r="T360" s="1" t="n">
        <v>2725.46</v>
      </c>
      <c r="U360" s="1" t="n">
        <v>3546.84</v>
      </c>
      <c r="V360" s="1" t="n">
        <v>56.55</v>
      </c>
      <c r="W360" s="1" t="s">
        <v>40</v>
      </c>
      <c r="Y360" s="1" t="s">
        <v>40</v>
      </c>
      <c r="Z360" s="1" t="n">
        <v>0</v>
      </c>
      <c r="AA360" s="1" t="str">
        <f aca="false">TRIM(PROPER(F360))</f>
        <v>Kolkata</v>
      </c>
      <c r="AB360" s="1" t="str">
        <f aca="false">TRIM(PROPER(C360))</f>
        <v>Doubtnut</v>
      </c>
      <c r="AC360" s="1" t="str">
        <f aca="false">IF(O360=0,"No Discount",IF(O360&lt;=15,"Low (1-15%)",IF(O360&lt;=30,"Medium (16-30%)","High (&gt;30%)")))</f>
        <v>Low (1-15%)</v>
      </c>
      <c r="AD360" s="1" t="str">
        <f aca="false">IF(V360&lt;0,"Loss Making",IF(V360&lt;20,"Low Margin","Healthy Margin"))</f>
        <v>Healthy Margin</v>
      </c>
      <c r="AE360" s="1" t="str">
        <f aca="false">TEXT(DATE(VALUE(RIGHT(B360,4)),VALUE(MID(B360,4,2)),VALUE(LEFT(B360,2))),"MMM-YYYY")</f>
        <v>Jul-2024</v>
      </c>
      <c r="AF360" s="1" t="n">
        <f aca="false">VALUE(RIGHT(B360,4))</f>
        <v>2024</v>
      </c>
      <c r="AG360" s="1" t="str">
        <f aca="false">CHOOSE(ROUNDUP(VALUE(MID(B360,4,2))/3,0),"Q1","Q2","Q3","Q4")</f>
        <v>Q3</v>
      </c>
    </row>
    <row r="361" customFormat="false" ht="15" hidden="false" customHeight="true" outlineLevel="0" collapsed="false">
      <c r="A361" s="1" t="s">
        <v>800</v>
      </c>
      <c r="B361" s="1" t="s">
        <v>348</v>
      </c>
      <c r="C361" s="1" t="s">
        <v>128</v>
      </c>
      <c r="D361" s="1" t="s">
        <v>94</v>
      </c>
      <c r="E361" s="1" t="s">
        <v>135</v>
      </c>
      <c r="F361" s="1" t="s">
        <v>102</v>
      </c>
      <c r="G361" s="1" t="s">
        <v>103</v>
      </c>
      <c r="H361" s="1" t="s">
        <v>33</v>
      </c>
      <c r="I361" s="1" t="s">
        <v>34</v>
      </c>
      <c r="J361" s="1" t="s">
        <v>35</v>
      </c>
      <c r="K361" s="1" t="s">
        <v>48</v>
      </c>
      <c r="L361" s="1" t="s">
        <v>61</v>
      </c>
      <c r="M361" s="1" t="s">
        <v>62</v>
      </c>
      <c r="N361" s="1" t="n">
        <v>9999</v>
      </c>
      <c r="O361" s="1" t="n">
        <v>0</v>
      </c>
      <c r="P361" s="1" t="n">
        <v>0</v>
      </c>
      <c r="Q361" s="1" t="n">
        <v>9999</v>
      </c>
      <c r="R361" s="1" t="n">
        <v>1799.82</v>
      </c>
      <c r="S361" s="1" t="n">
        <v>8199.18</v>
      </c>
      <c r="T361" s="1" t="n">
        <v>3560.39</v>
      </c>
      <c r="U361" s="1" t="n">
        <v>4638.79</v>
      </c>
      <c r="V361" s="1" t="n">
        <v>56.58</v>
      </c>
      <c r="W361" s="1" t="s">
        <v>40</v>
      </c>
      <c r="Y361" s="1" t="s">
        <v>39</v>
      </c>
      <c r="Z361" s="1" t="n">
        <v>2</v>
      </c>
      <c r="AA361" s="1" t="str">
        <f aca="false">TRIM(PROPER(F361))</f>
        <v>Warangal</v>
      </c>
      <c r="AB361" s="1" t="str">
        <f aca="false">TRIM(PROPER(C361))</f>
        <v>Great Learning</v>
      </c>
      <c r="AC361" s="1" t="str">
        <f aca="false">IF(O361=0,"No Discount",IF(O361&lt;=15,"Low (1-15%)",IF(O361&lt;=30,"Medium (16-30%)","High (&gt;30%)")))</f>
        <v>No Discount</v>
      </c>
      <c r="AD361" s="1" t="str">
        <f aca="false">IF(V361&lt;0,"Loss Making",IF(V361&lt;20,"Low Margin","Healthy Margin"))</f>
        <v>Healthy Margin</v>
      </c>
      <c r="AE361" s="1" t="str">
        <f aca="false">TEXT(DATE(VALUE(RIGHT(B361,4)),VALUE(MID(B361,4,2)),VALUE(LEFT(B361,2))),"MMM-YYYY")</f>
        <v>Aug-2024</v>
      </c>
      <c r="AF361" s="1" t="n">
        <f aca="false">VALUE(RIGHT(B361,4))</f>
        <v>2024</v>
      </c>
      <c r="AG361" s="1" t="str">
        <f aca="false">CHOOSE(ROUNDUP(VALUE(MID(B361,4,2))/3,0),"Q1","Q2","Q3","Q4")</f>
        <v>Q3</v>
      </c>
    </row>
    <row r="362" customFormat="false" ht="15" hidden="false" customHeight="true" outlineLevel="0" collapsed="false">
      <c r="A362" s="1" t="s">
        <v>801</v>
      </c>
      <c r="B362" s="1" t="s">
        <v>118</v>
      </c>
      <c r="C362" s="1" t="s">
        <v>802</v>
      </c>
      <c r="D362" s="1" t="s">
        <v>53</v>
      </c>
      <c r="E362" s="1" t="s">
        <v>216</v>
      </c>
      <c r="F362" s="1" t="s">
        <v>803</v>
      </c>
      <c r="G362" s="1" t="s">
        <v>108</v>
      </c>
      <c r="H362" s="1" t="s">
        <v>33</v>
      </c>
      <c r="I362" s="1" t="s">
        <v>83</v>
      </c>
      <c r="J362" s="1" t="s">
        <v>59</v>
      </c>
      <c r="K362" s="1" t="s">
        <v>84</v>
      </c>
      <c r="L362" s="1" t="s">
        <v>136</v>
      </c>
      <c r="M362" s="1" t="s">
        <v>62</v>
      </c>
      <c r="N362" s="1" t="n">
        <v>7499</v>
      </c>
      <c r="O362" s="1" t="n">
        <v>40</v>
      </c>
      <c r="P362" s="1" t="n">
        <v>2999.6</v>
      </c>
      <c r="Q362" s="1" t="n">
        <v>4499.4</v>
      </c>
      <c r="R362" s="1" t="n">
        <v>809.89</v>
      </c>
      <c r="S362" s="1" t="n">
        <v>3689.51</v>
      </c>
      <c r="T362" s="1" t="n">
        <v>1876.69</v>
      </c>
      <c r="U362" s="1" t="n">
        <v>1812.82</v>
      </c>
      <c r="V362" s="1" t="n">
        <v>49.13</v>
      </c>
      <c r="W362" s="1" t="s">
        <v>39</v>
      </c>
      <c r="X362" s="1" t="n">
        <v>3.3</v>
      </c>
      <c r="Y362" s="1" t="s">
        <v>40</v>
      </c>
      <c r="Z362" s="1" t="n">
        <v>0</v>
      </c>
      <c r="AA362" s="1" t="str">
        <f aca="false">TRIM(PROPER(F362))</f>
        <v>Madurai</v>
      </c>
      <c r="AB362" s="1" t="str">
        <f aca="false">TRIM(PROPER(C362))</f>
        <v>Vedantu</v>
      </c>
      <c r="AC362" s="1" t="str">
        <f aca="false">IF(O362=0,"No Discount",IF(O362&lt;=15,"Low (1-15%)",IF(O362&lt;=30,"Medium (16-30%)","High (&gt;30%)")))</f>
        <v>High (&gt;30%)</v>
      </c>
      <c r="AD362" s="1" t="str">
        <f aca="false">IF(V362&lt;0,"Loss Making",IF(V362&lt;20,"Low Margin","Healthy Margin"))</f>
        <v>Healthy Margin</v>
      </c>
      <c r="AE362" s="1" t="str">
        <f aca="false">TEXT(DATE(VALUE(RIGHT(B362,4)),VALUE(MID(B362,4,2)),VALUE(LEFT(B362,2))),"MMM-YYYY")</f>
        <v>Oct-2023</v>
      </c>
      <c r="AF362" s="1" t="n">
        <f aca="false">VALUE(RIGHT(B362,4))</f>
        <v>2023</v>
      </c>
      <c r="AG362" s="1" t="str">
        <f aca="false">CHOOSE(ROUNDUP(VALUE(MID(B362,4,2))/3,0),"Q1","Q2","Q3","Q4")</f>
        <v>Q4</v>
      </c>
    </row>
    <row r="363" customFormat="false" ht="15" hidden="false" customHeight="true" outlineLevel="0" collapsed="false">
      <c r="A363" s="1" t="s">
        <v>804</v>
      </c>
      <c r="B363" s="1" t="s">
        <v>805</v>
      </c>
      <c r="C363" s="1" t="s">
        <v>43</v>
      </c>
      <c r="D363" s="1" t="s">
        <v>143</v>
      </c>
      <c r="E363" s="1" t="s">
        <v>243</v>
      </c>
      <c r="F363" s="1" t="s">
        <v>46</v>
      </c>
      <c r="G363" s="1" t="s">
        <v>47</v>
      </c>
      <c r="H363" s="1" t="s">
        <v>33</v>
      </c>
      <c r="I363" s="1" t="s">
        <v>34</v>
      </c>
      <c r="J363" s="1" t="s">
        <v>70</v>
      </c>
      <c r="K363" s="1" t="s">
        <v>48</v>
      </c>
      <c r="L363" s="1" t="s">
        <v>37</v>
      </c>
      <c r="M363" s="1" t="s">
        <v>38</v>
      </c>
      <c r="N363" s="1" t="n">
        <v>22999</v>
      </c>
      <c r="O363" s="1" t="n">
        <v>15</v>
      </c>
      <c r="P363" s="1" t="n">
        <v>3449.85</v>
      </c>
      <c r="Q363" s="1" t="n">
        <v>19549.15</v>
      </c>
      <c r="R363" s="1" t="n">
        <v>3518.85</v>
      </c>
      <c r="S363" s="1" t="n">
        <v>16030.3</v>
      </c>
      <c r="T363" s="1" t="n">
        <v>7800.53</v>
      </c>
      <c r="U363" s="1" t="n">
        <v>8229.77</v>
      </c>
      <c r="V363" s="1" t="n">
        <v>51.34</v>
      </c>
      <c r="W363" s="1" t="s">
        <v>40</v>
      </c>
      <c r="Y363" s="1" t="s">
        <v>40</v>
      </c>
      <c r="Z363" s="1" t="n">
        <v>0</v>
      </c>
      <c r="AA363" s="1" t="str">
        <f aca="false">TRIM(PROPER(F363))</f>
        <v>Mangaluru</v>
      </c>
      <c r="AB363" s="1" t="str">
        <f aca="false">TRIM(PROPER(C363))</f>
        <v>Meritnation</v>
      </c>
      <c r="AC363" s="1" t="str">
        <f aca="false">IF(O363=0,"No Discount",IF(O363&lt;=15,"Low (1-15%)",IF(O363&lt;=30,"Medium (16-30%)","High (&gt;30%)")))</f>
        <v>Low (1-15%)</v>
      </c>
      <c r="AD363" s="1" t="str">
        <f aca="false">IF(V363&lt;0,"Loss Making",IF(V363&lt;20,"Low Margin","Healthy Margin"))</f>
        <v>Healthy Margin</v>
      </c>
      <c r="AE363" s="1" t="str">
        <f aca="false">TEXT(DATE(VALUE(RIGHT(B363,4)),VALUE(MID(B363,4,2)),VALUE(LEFT(B363,2))),"MMM-YYYY")</f>
        <v>Jan-2023</v>
      </c>
      <c r="AF363" s="1" t="n">
        <f aca="false">VALUE(RIGHT(B363,4))</f>
        <v>2023</v>
      </c>
      <c r="AG363" s="1" t="str">
        <f aca="false">CHOOSE(ROUNDUP(VALUE(MID(B363,4,2))/3,0),"Q1","Q2","Q3","Q4")</f>
        <v>Q1</v>
      </c>
    </row>
    <row r="364" customFormat="false" ht="15" hidden="false" customHeight="true" outlineLevel="0" collapsed="false">
      <c r="A364" s="1" t="s">
        <v>806</v>
      </c>
      <c r="B364" s="1" t="s">
        <v>776</v>
      </c>
      <c r="C364" s="1" t="s">
        <v>178</v>
      </c>
      <c r="D364" s="1" t="s">
        <v>94</v>
      </c>
      <c r="E364" s="1" t="s">
        <v>101</v>
      </c>
      <c r="F364" s="1" t="s">
        <v>75</v>
      </c>
      <c r="G364" s="1" t="s">
        <v>76</v>
      </c>
      <c r="H364" s="1" t="s">
        <v>69</v>
      </c>
      <c r="I364" s="1" t="s">
        <v>58</v>
      </c>
      <c r="J364" s="1" t="s">
        <v>35</v>
      </c>
      <c r="K364" s="1" t="s">
        <v>84</v>
      </c>
      <c r="L364" s="1" t="s">
        <v>37</v>
      </c>
      <c r="M364" s="1" t="s">
        <v>50</v>
      </c>
      <c r="N364" s="1" t="n">
        <v>14999</v>
      </c>
      <c r="O364" s="1" t="n">
        <v>25</v>
      </c>
      <c r="P364" s="1" t="n">
        <v>3749.75</v>
      </c>
      <c r="Q364" s="1" t="n">
        <v>11249.25</v>
      </c>
      <c r="R364" s="1" t="n">
        <v>2024.87</v>
      </c>
      <c r="S364" s="1" t="n">
        <v>9224.38</v>
      </c>
      <c r="T364" s="1" t="n">
        <v>3212.97</v>
      </c>
      <c r="U364" s="1" t="n">
        <v>6011.41</v>
      </c>
      <c r="V364" s="1" t="n">
        <v>65.17</v>
      </c>
      <c r="W364" s="1" t="s">
        <v>39</v>
      </c>
      <c r="Y364" s="1" t="s">
        <v>40</v>
      </c>
      <c r="Z364" s="1" t="n">
        <v>0</v>
      </c>
      <c r="AA364" s="1" t="str">
        <f aca="false">TRIM(PROPER(F364))</f>
        <v>Kolkata</v>
      </c>
      <c r="AB364" s="1" t="str">
        <f aca="false">TRIM(PROPER(C364))</f>
        <v>Leverage Edu</v>
      </c>
      <c r="AC364" s="1" t="str">
        <f aca="false">IF(O364=0,"No Discount",IF(O364&lt;=15,"Low (1-15%)",IF(O364&lt;=30,"Medium (16-30%)","High (&gt;30%)")))</f>
        <v>Medium (16-30%)</v>
      </c>
      <c r="AD364" s="1" t="str">
        <f aca="false">IF(V364&lt;0,"Loss Making",IF(V364&lt;20,"Low Margin","Healthy Margin"))</f>
        <v>Healthy Margin</v>
      </c>
      <c r="AE364" s="1" t="str">
        <f aca="false">TEXT(DATE(VALUE(RIGHT(B364,4)),VALUE(MID(B364,4,2)),VALUE(LEFT(B364,2))),"MMM-YYYY")</f>
        <v>Mar-2023</v>
      </c>
      <c r="AF364" s="1" t="n">
        <f aca="false">VALUE(RIGHT(B364,4))</f>
        <v>2023</v>
      </c>
      <c r="AG364" s="1" t="str">
        <f aca="false">CHOOSE(ROUNDUP(VALUE(MID(B364,4,2))/3,0),"Q1","Q2","Q3","Q4")</f>
        <v>Q1</v>
      </c>
    </row>
    <row r="365" customFormat="false" ht="15" hidden="false" customHeight="true" outlineLevel="0" collapsed="false">
      <c r="A365" s="1" t="s">
        <v>807</v>
      </c>
      <c r="B365" s="1" t="s">
        <v>277</v>
      </c>
      <c r="C365" s="1" t="s">
        <v>178</v>
      </c>
      <c r="D365" s="1" t="s">
        <v>29</v>
      </c>
      <c r="E365" s="1" t="s">
        <v>30</v>
      </c>
      <c r="F365" s="1" t="s">
        <v>187</v>
      </c>
      <c r="G365" s="1" t="s">
        <v>97</v>
      </c>
      <c r="H365" s="1" t="s">
        <v>69</v>
      </c>
      <c r="I365" s="1" t="s">
        <v>34</v>
      </c>
      <c r="J365" s="1" t="s">
        <v>59</v>
      </c>
      <c r="K365" s="1" t="s">
        <v>112</v>
      </c>
      <c r="L365" s="1" t="s">
        <v>85</v>
      </c>
      <c r="M365" s="1" t="s">
        <v>62</v>
      </c>
      <c r="N365" s="1" t="n">
        <v>7999</v>
      </c>
      <c r="O365" s="1" t="n">
        <v>10</v>
      </c>
      <c r="P365" s="1" t="n">
        <v>799.9</v>
      </c>
      <c r="Q365" s="1" t="n">
        <v>7199.1</v>
      </c>
      <c r="R365" s="1" t="n">
        <v>1295.84</v>
      </c>
      <c r="S365" s="1" t="n">
        <v>5903.26</v>
      </c>
      <c r="T365" s="1" t="n">
        <v>1949.13</v>
      </c>
      <c r="U365" s="1" t="n">
        <v>3954.13</v>
      </c>
      <c r="V365" s="1" t="n">
        <v>66.98</v>
      </c>
      <c r="W365" s="1" t="s">
        <v>39</v>
      </c>
      <c r="X365" s="1" t="n">
        <v>4.1</v>
      </c>
      <c r="Y365" s="1" t="s">
        <v>40</v>
      </c>
      <c r="Z365" s="1" t="n">
        <v>0</v>
      </c>
      <c r="AA365" s="1" t="str">
        <f aca="false">TRIM(PROPER(F365))</f>
        <v>Mumbai</v>
      </c>
      <c r="AB365" s="1" t="str">
        <f aca="false">TRIM(PROPER(C365))</f>
        <v>Leverage Edu</v>
      </c>
      <c r="AC365" s="1" t="str">
        <f aca="false">IF(O365=0,"No Discount",IF(O365&lt;=15,"Low (1-15%)",IF(O365&lt;=30,"Medium (16-30%)","High (&gt;30%)")))</f>
        <v>Low (1-15%)</v>
      </c>
      <c r="AD365" s="1" t="str">
        <f aca="false">IF(V365&lt;0,"Loss Making",IF(V365&lt;20,"Low Margin","Healthy Margin"))</f>
        <v>Healthy Margin</v>
      </c>
      <c r="AE365" s="1" t="str">
        <f aca="false">TEXT(DATE(VALUE(RIGHT(B365,4)),VALUE(MID(B365,4,2)),VALUE(LEFT(B365,2))),"MMM-YYYY")</f>
        <v>May-2023</v>
      </c>
      <c r="AF365" s="1" t="n">
        <f aca="false">VALUE(RIGHT(B365,4))</f>
        <v>2023</v>
      </c>
      <c r="AG365" s="1" t="str">
        <f aca="false">CHOOSE(ROUNDUP(VALUE(MID(B365,4,2))/3,0),"Q1","Q2","Q3","Q4")</f>
        <v>Q2</v>
      </c>
    </row>
    <row r="366" customFormat="false" ht="15" hidden="false" customHeight="true" outlineLevel="0" collapsed="false">
      <c r="A366" s="1" t="s">
        <v>808</v>
      </c>
      <c r="B366" s="1" t="s">
        <v>809</v>
      </c>
      <c r="C366" s="1" t="s">
        <v>139</v>
      </c>
      <c r="D366" s="1" t="s">
        <v>143</v>
      </c>
      <c r="E366" s="1" t="s">
        <v>144</v>
      </c>
      <c r="F366" s="1" t="s">
        <v>130</v>
      </c>
      <c r="G366" s="1" t="s">
        <v>47</v>
      </c>
      <c r="H366" s="1" t="s">
        <v>69</v>
      </c>
      <c r="I366" s="1" t="s">
        <v>34</v>
      </c>
      <c r="J366" s="1" t="s">
        <v>35</v>
      </c>
      <c r="K366" s="1" t="s">
        <v>71</v>
      </c>
      <c r="L366" s="1" t="s">
        <v>85</v>
      </c>
      <c r="M366" s="1" t="s">
        <v>38</v>
      </c>
      <c r="N366" s="1" t="n">
        <v>12999</v>
      </c>
      <c r="O366" s="1" t="n">
        <v>25</v>
      </c>
      <c r="P366" s="1" t="n">
        <v>3249.75</v>
      </c>
      <c r="Q366" s="1" t="n">
        <v>9749.25</v>
      </c>
      <c r="R366" s="1" t="n">
        <v>1754.87</v>
      </c>
      <c r="S366" s="1" t="n">
        <v>7994.38</v>
      </c>
      <c r="T366" s="1" t="n">
        <v>2765.44</v>
      </c>
      <c r="U366" s="1" t="n">
        <v>5228.94</v>
      </c>
      <c r="V366" s="1" t="n">
        <v>65.41</v>
      </c>
      <c r="W366" s="1" t="s">
        <v>40</v>
      </c>
      <c r="Y366" s="1" t="s">
        <v>40</v>
      </c>
      <c r="Z366" s="1" t="n">
        <v>2</v>
      </c>
      <c r="AA366" s="1" t="str">
        <f aca="false">TRIM(PROPER(F366))</f>
        <v>Bengaluru</v>
      </c>
      <c r="AB366" s="1" t="str">
        <f aca="false">TRIM(PROPER(C366))</f>
        <v>Extramarks</v>
      </c>
      <c r="AC366" s="1" t="str">
        <f aca="false">IF(O366=0,"No Discount",IF(O366&lt;=15,"Low (1-15%)",IF(O366&lt;=30,"Medium (16-30%)","High (&gt;30%)")))</f>
        <v>Medium (16-30%)</v>
      </c>
      <c r="AD366" s="1" t="str">
        <f aca="false">IF(V366&lt;0,"Loss Making",IF(V366&lt;20,"Low Margin","Healthy Margin"))</f>
        <v>Healthy Margin</v>
      </c>
      <c r="AE366" s="1" t="str">
        <f aca="false">TEXT(DATE(VALUE(RIGHT(B366,4)),VALUE(MID(B366,4,2)),VALUE(LEFT(B366,2))),"MMM-YYYY")</f>
        <v>Mar-2023</v>
      </c>
      <c r="AF366" s="1" t="n">
        <f aca="false">VALUE(RIGHT(B366,4))</f>
        <v>2023</v>
      </c>
      <c r="AG366" s="1" t="str">
        <f aca="false">CHOOSE(ROUNDUP(VALUE(MID(B366,4,2))/3,0),"Q1","Q2","Q3","Q4")</f>
        <v>Q1</v>
      </c>
    </row>
    <row r="367" customFormat="false" ht="15" hidden="false" customHeight="true" outlineLevel="0" collapsed="false">
      <c r="A367" s="1" t="s">
        <v>810</v>
      </c>
      <c r="B367" s="1" t="s">
        <v>638</v>
      </c>
      <c r="C367" s="1" t="s">
        <v>65</v>
      </c>
      <c r="D367" s="1" t="s">
        <v>29</v>
      </c>
      <c r="E367" s="1" t="s">
        <v>305</v>
      </c>
      <c r="F367" s="1" t="s">
        <v>46</v>
      </c>
      <c r="G367" s="1" t="s">
        <v>47</v>
      </c>
      <c r="H367" s="1" t="s">
        <v>33</v>
      </c>
      <c r="I367" s="1" t="s">
        <v>58</v>
      </c>
      <c r="J367" s="1" t="s">
        <v>77</v>
      </c>
      <c r="K367" s="1" t="s">
        <v>36</v>
      </c>
      <c r="L367" s="1" t="s">
        <v>37</v>
      </c>
      <c r="M367" s="1" t="s">
        <v>38</v>
      </c>
      <c r="N367" s="1" t="n">
        <v>24999</v>
      </c>
      <c r="O367" s="1" t="n">
        <v>0</v>
      </c>
      <c r="P367" s="1" t="n">
        <v>0</v>
      </c>
      <c r="Q367" s="1" t="n">
        <v>24999</v>
      </c>
      <c r="R367" s="1" t="n">
        <v>4499.82</v>
      </c>
      <c r="S367" s="1" t="n">
        <v>20499.18</v>
      </c>
      <c r="T367" s="1" t="n">
        <v>7905.11</v>
      </c>
      <c r="U367" s="1" t="n">
        <v>12594.07</v>
      </c>
      <c r="V367" s="1" t="n">
        <v>61.44</v>
      </c>
      <c r="W367" s="1" t="s">
        <v>40</v>
      </c>
      <c r="Y367" s="1" t="s">
        <v>39</v>
      </c>
      <c r="Z367" s="1" t="n">
        <v>0</v>
      </c>
      <c r="AA367" s="1" t="str">
        <f aca="false">TRIM(PROPER(F367))</f>
        <v>Mangaluru</v>
      </c>
      <c r="AB367" s="1" t="str">
        <f aca="false">TRIM(PROPER(C367))</f>
        <v>Toppr</v>
      </c>
      <c r="AC367" s="1" t="str">
        <f aca="false">IF(O367=0,"No Discount",IF(O367&lt;=15,"Low (1-15%)",IF(O367&lt;=30,"Medium (16-30%)","High (&gt;30%)")))</f>
        <v>No Discount</v>
      </c>
      <c r="AD367" s="1" t="str">
        <f aca="false">IF(V367&lt;0,"Loss Making",IF(V367&lt;20,"Low Margin","Healthy Margin"))</f>
        <v>Healthy Margin</v>
      </c>
      <c r="AE367" s="1" t="str">
        <f aca="false">TEXT(DATE(VALUE(RIGHT(B367,4)),VALUE(MID(B367,4,2)),VALUE(LEFT(B367,2))),"MMM-YYYY")</f>
        <v>Nov-2023</v>
      </c>
      <c r="AF367" s="1" t="n">
        <f aca="false">VALUE(RIGHT(B367,4))</f>
        <v>2023</v>
      </c>
      <c r="AG367" s="1" t="str">
        <f aca="false">CHOOSE(ROUNDUP(VALUE(MID(B367,4,2))/3,0),"Q1","Q2","Q3","Q4")</f>
        <v>Q4</v>
      </c>
    </row>
    <row r="368" customFormat="false" ht="15" hidden="false" customHeight="true" outlineLevel="0" collapsed="false">
      <c r="A368" s="1" t="s">
        <v>811</v>
      </c>
      <c r="B368" s="1" t="s">
        <v>812</v>
      </c>
      <c r="C368" s="1" t="s">
        <v>128</v>
      </c>
      <c r="D368" s="1" t="s">
        <v>44</v>
      </c>
      <c r="E368" s="1" t="s">
        <v>45</v>
      </c>
      <c r="F368" s="1" t="s">
        <v>125</v>
      </c>
      <c r="G368" s="1" t="s">
        <v>108</v>
      </c>
      <c r="H368" s="1" t="s">
        <v>69</v>
      </c>
      <c r="I368" s="1" t="s">
        <v>34</v>
      </c>
      <c r="J368" s="1" t="s">
        <v>35</v>
      </c>
      <c r="K368" s="1" t="s">
        <v>104</v>
      </c>
      <c r="L368" s="1" t="s">
        <v>85</v>
      </c>
      <c r="M368" s="1" t="s">
        <v>50</v>
      </c>
      <c r="N368" s="1" t="n">
        <v>11999</v>
      </c>
      <c r="O368" s="1" t="n">
        <v>15</v>
      </c>
      <c r="P368" s="1" t="n">
        <v>1799.85</v>
      </c>
      <c r="Q368" s="1" t="n">
        <v>10199.15</v>
      </c>
      <c r="R368" s="1" t="n">
        <v>1835.85</v>
      </c>
      <c r="S368" s="1" t="n">
        <v>8363.3</v>
      </c>
      <c r="T368" s="1" t="n">
        <v>3432.43</v>
      </c>
      <c r="U368" s="1" t="n">
        <v>4930.87</v>
      </c>
      <c r="V368" s="1" t="n">
        <v>58.96</v>
      </c>
      <c r="W368" s="1" t="s">
        <v>40</v>
      </c>
      <c r="Y368" s="1" t="s">
        <v>40</v>
      </c>
      <c r="Z368" s="1" t="n">
        <v>1</v>
      </c>
      <c r="AA368" s="1" t="str">
        <f aca="false">TRIM(PROPER(F368))</f>
        <v>Chennai</v>
      </c>
      <c r="AB368" s="1" t="str">
        <f aca="false">TRIM(PROPER(C368))</f>
        <v>Great Learning</v>
      </c>
      <c r="AC368" s="1" t="str">
        <f aca="false">IF(O368=0,"No Discount",IF(O368&lt;=15,"Low (1-15%)",IF(O368&lt;=30,"Medium (16-30%)","High (&gt;30%)")))</f>
        <v>Low (1-15%)</v>
      </c>
      <c r="AD368" s="1" t="str">
        <f aca="false">IF(V368&lt;0,"Loss Making",IF(V368&lt;20,"Low Margin","Healthy Margin"))</f>
        <v>Healthy Margin</v>
      </c>
      <c r="AE368" s="1" t="str">
        <f aca="false">TEXT(DATE(VALUE(RIGHT(B368,4)),VALUE(MID(B368,4,2)),VALUE(LEFT(B368,2))),"MMM-YYYY")</f>
        <v>Jan-2024</v>
      </c>
      <c r="AF368" s="1" t="n">
        <f aca="false">VALUE(RIGHT(B368,4))</f>
        <v>2024</v>
      </c>
      <c r="AG368" s="1" t="str">
        <f aca="false">CHOOSE(ROUNDUP(VALUE(MID(B368,4,2))/3,0),"Q1","Q2","Q3","Q4")</f>
        <v>Q1</v>
      </c>
    </row>
    <row r="369" customFormat="false" ht="15" hidden="false" customHeight="true" outlineLevel="0" collapsed="false">
      <c r="A369" s="1" t="s">
        <v>813</v>
      </c>
      <c r="B369" s="1" t="s">
        <v>342</v>
      </c>
      <c r="C369" s="1" t="s">
        <v>88</v>
      </c>
      <c r="D369" s="1" t="s">
        <v>123</v>
      </c>
      <c r="E369" s="1" t="s">
        <v>233</v>
      </c>
      <c r="F369" s="1" t="s">
        <v>120</v>
      </c>
      <c r="G369" s="1" t="s">
        <v>47</v>
      </c>
      <c r="H369" s="1" t="s">
        <v>57</v>
      </c>
      <c r="I369" s="1" t="s">
        <v>83</v>
      </c>
      <c r="J369" s="1" t="s">
        <v>131</v>
      </c>
      <c r="K369" s="1" t="s">
        <v>48</v>
      </c>
      <c r="L369" s="1" t="s">
        <v>61</v>
      </c>
      <c r="M369" s="1" t="s">
        <v>38</v>
      </c>
      <c r="N369" s="1" t="n">
        <v>8999</v>
      </c>
      <c r="O369" s="1" t="n">
        <v>25</v>
      </c>
      <c r="P369" s="1" t="n">
        <v>2249.75</v>
      </c>
      <c r="Q369" s="1" t="n">
        <v>6749.25</v>
      </c>
      <c r="R369" s="1" t="n">
        <v>1214.87</v>
      </c>
      <c r="S369" s="1" t="n">
        <v>5534.38</v>
      </c>
      <c r="T369" s="1" t="n">
        <v>2373.81</v>
      </c>
      <c r="U369" s="1" t="n">
        <v>3160.57</v>
      </c>
      <c r="V369" s="1" t="n">
        <v>57.11</v>
      </c>
      <c r="W369" s="1" t="s">
        <v>39</v>
      </c>
      <c r="X369" s="1" t="n">
        <v>3.5</v>
      </c>
      <c r="Y369" s="1" t="s">
        <v>40</v>
      </c>
      <c r="Z369" s="1" t="n">
        <v>0</v>
      </c>
      <c r="AA369" s="1" t="str">
        <f aca="false">TRIM(PROPER(F369))</f>
        <v>Mysuru</v>
      </c>
      <c r="AB369" s="1" t="str">
        <f aca="false">TRIM(PROPER(C369))</f>
        <v>Byju'S</v>
      </c>
      <c r="AC369" s="1" t="str">
        <f aca="false">IF(O369=0,"No Discount",IF(O369&lt;=15,"Low (1-15%)",IF(O369&lt;=30,"Medium (16-30%)","High (&gt;30%)")))</f>
        <v>Medium (16-30%)</v>
      </c>
      <c r="AD369" s="1" t="str">
        <f aca="false">IF(V369&lt;0,"Loss Making",IF(V369&lt;20,"Low Margin","Healthy Margin"))</f>
        <v>Healthy Margin</v>
      </c>
      <c r="AE369" s="1" t="str">
        <f aca="false">TEXT(DATE(VALUE(RIGHT(B369,4)),VALUE(MID(B369,4,2)),VALUE(LEFT(B369,2))),"MMM-YYYY")</f>
        <v>Oct-2024</v>
      </c>
      <c r="AF369" s="1" t="n">
        <f aca="false">VALUE(RIGHT(B369,4))</f>
        <v>2024</v>
      </c>
      <c r="AG369" s="1" t="str">
        <f aca="false">CHOOSE(ROUNDUP(VALUE(MID(B369,4,2))/3,0),"Q1","Q2","Q3","Q4")</f>
        <v>Q4</v>
      </c>
    </row>
    <row r="370" customFormat="false" ht="15" hidden="false" customHeight="true" outlineLevel="0" collapsed="false">
      <c r="A370" s="1" t="s">
        <v>814</v>
      </c>
      <c r="B370" s="1" t="s">
        <v>815</v>
      </c>
      <c r="C370" s="1" t="s">
        <v>178</v>
      </c>
      <c r="D370" s="1" t="s">
        <v>168</v>
      </c>
      <c r="E370" s="1" t="s">
        <v>328</v>
      </c>
      <c r="F370" s="1" t="s">
        <v>184</v>
      </c>
      <c r="G370" s="1" t="s">
        <v>56</v>
      </c>
      <c r="H370" s="1" t="s">
        <v>57</v>
      </c>
      <c r="I370" s="1" t="s">
        <v>83</v>
      </c>
      <c r="J370" s="1" t="s">
        <v>70</v>
      </c>
      <c r="K370" s="1" t="s">
        <v>112</v>
      </c>
      <c r="L370" s="1" t="s">
        <v>61</v>
      </c>
      <c r="M370" s="1" t="s">
        <v>38</v>
      </c>
      <c r="N370" s="1" t="n">
        <v>8999</v>
      </c>
      <c r="O370" s="1" t="n">
        <v>50</v>
      </c>
      <c r="P370" s="1" t="n">
        <v>4499.5</v>
      </c>
      <c r="Q370" s="1" t="n">
        <v>4499.5</v>
      </c>
      <c r="R370" s="1" t="n">
        <v>809.91</v>
      </c>
      <c r="S370" s="1" t="n">
        <v>3689.59</v>
      </c>
      <c r="T370" s="1" t="n">
        <v>2064.04</v>
      </c>
      <c r="U370" s="1" t="n">
        <v>1625.55</v>
      </c>
      <c r="V370" s="1" t="n">
        <v>44.06</v>
      </c>
      <c r="W370" s="1" t="s">
        <v>39</v>
      </c>
      <c r="Y370" s="1" t="s">
        <v>40</v>
      </c>
      <c r="Z370" s="1" t="n">
        <v>0</v>
      </c>
      <c r="AA370" s="1" t="str">
        <f aca="false">TRIM(PROPER(F370))</f>
        <v>Faridabad</v>
      </c>
      <c r="AB370" s="1" t="str">
        <f aca="false">TRIM(PROPER(C370))</f>
        <v>Leverage Edu</v>
      </c>
      <c r="AC370" s="1" t="str">
        <f aca="false">IF(O370=0,"No Discount",IF(O370&lt;=15,"Low (1-15%)",IF(O370&lt;=30,"Medium (16-30%)","High (&gt;30%)")))</f>
        <v>High (&gt;30%)</v>
      </c>
      <c r="AD370" s="1" t="str">
        <f aca="false">IF(V370&lt;0,"Loss Making",IF(V370&lt;20,"Low Margin","Healthy Margin"))</f>
        <v>Healthy Margin</v>
      </c>
      <c r="AE370" s="1" t="str">
        <f aca="false">TEXT(DATE(VALUE(RIGHT(B370,4)),VALUE(MID(B370,4,2)),VALUE(LEFT(B370,2))),"MMM-YYYY")</f>
        <v>Oct-2023</v>
      </c>
      <c r="AF370" s="1" t="n">
        <f aca="false">VALUE(RIGHT(B370,4))</f>
        <v>2023</v>
      </c>
      <c r="AG370" s="1" t="str">
        <f aca="false">CHOOSE(ROUNDUP(VALUE(MID(B370,4,2))/3,0),"Q1","Q2","Q3","Q4")</f>
        <v>Q4</v>
      </c>
    </row>
    <row r="371" customFormat="false" ht="15" hidden="false" customHeight="true" outlineLevel="0" collapsed="false">
      <c r="A371" s="1" t="s">
        <v>816</v>
      </c>
      <c r="B371" s="1" t="s">
        <v>817</v>
      </c>
      <c r="C371" s="1" t="s">
        <v>128</v>
      </c>
      <c r="D371" s="1" t="s">
        <v>44</v>
      </c>
      <c r="E371" s="1" t="s">
        <v>45</v>
      </c>
      <c r="F371" s="1" t="s">
        <v>89</v>
      </c>
      <c r="G371" s="1" t="s">
        <v>68</v>
      </c>
      <c r="H371" s="1" t="s">
        <v>33</v>
      </c>
      <c r="I371" s="1" t="s">
        <v>83</v>
      </c>
      <c r="J371" s="1" t="s">
        <v>70</v>
      </c>
      <c r="K371" s="1" t="s">
        <v>90</v>
      </c>
      <c r="L371" s="1" t="s">
        <v>113</v>
      </c>
      <c r="M371" s="1" t="s">
        <v>50</v>
      </c>
      <c r="N371" s="1" t="n">
        <v>11999</v>
      </c>
      <c r="O371" s="1" t="n">
        <v>25</v>
      </c>
      <c r="P371" s="1" t="n">
        <v>2999.75</v>
      </c>
      <c r="Q371" s="1" t="n">
        <v>8999.25</v>
      </c>
      <c r="R371" s="1" t="n">
        <v>1619.87</v>
      </c>
      <c r="S371" s="1" t="n">
        <v>7379.38</v>
      </c>
      <c r="T371" s="1" t="n">
        <v>3092.66</v>
      </c>
      <c r="U371" s="1" t="n">
        <v>4286.72</v>
      </c>
      <c r="V371" s="1" t="n">
        <v>58.09</v>
      </c>
      <c r="W371" s="1" t="s">
        <v>39</v>
      </c>
      <c r="X371" s="1" t="n">
        <v>3.5</v>
      </c>
      <c r="Y371" s="1" t="s">
        <v>40</v>
      </c>
      <c r="Z371" s="1" t="n">
        <v>0</v>
      </c>
      <c r="AA371" s="1" t="str">
        <f aca="false">TRIM(PROPER(F371))</f>
        <v>Vadodara</v>
      </c>
      <c r="AB371" s="1" t="str">
        <f aca="false">TRIM(PROPER(C371))</f>
        <v>Great Learning</v>
      </c>
      <c r="AC371" s="1" t="str">
        <f aca="false">IF(O371=0,"No Discount",IF(O371&lt;=15,"Low (1-15%)",IF(O371&lt;=30,"Medium (16-30%)","High (&gt;30%)")))</f>
        <v>Medium (16-30%)</v>
      </c>
      <c r="AD371" s="1" t="str">
        <f aca="false">IF(V371&lt;0,"Loss Making",IF(V371&lt;20,"Low Margin","Healthy Margin"))</f>
        <v>Healthy Margin</v>
      </c>
      <c r="AE371" s="1" t="str">
        <f aca="false">TEXT(DATE(VALUE(RIGHT(B371,4)),VALUE(MID(B371,4,2)),VALUE(LEFT(B371,2))),"MMM-YYYY")</f>
        <v>Mar-2024</v>
      </c>
      <c r="AF371" s="1" t="n">
        <f aca="false">VALUE(RIGHT(B371,4))</f>
        <v>2024</v>
      </c>
      <c r="AG371" s="1" t="str">
        <f aca="false">CHOOSE(ROUNDUP(VALUE(MID(B371,4,2))/3,0),"Q1","Q2","Q3","Q4")</f>
        <v>Q1</v>
      </c>
    </row>
    <row r="372" customFormat="false" ht="15" hidden="false" customHeight="true" outlineLevel="0" collapsed="false">
      <c r="A372" s="1" t="s">
        <v>818</v>
      </c>
      <c r="B372" s="1" t="s">
        <v>819</v>
      </c>
      <c r="C372" s="1" t="s">
        <v>88</v>
      </c>
      <c r="D372" s="1" t="s">
        <v>80</v>
      </c>
      <c r="E372" s="1" t="s">
        <v>193</v>
      </c>
      <c r="F372" s="1" t="s">
        <v>140</v>
      </c>
      <c r="G372" s="1" t="s">
        <v>97</v>
      </c>
      <c r="H372" s="1" t="s">
        <v>57</v>
      </c>
      <c r="I372" s="1" t="s">
        <v>34</v>
      </c>
      <c r="J372" s="1" t="s">
        <v>70</v>
      </c>
      <c r="K372" s="1" t="s">
        <v>90</v>
      </c>
      <c r="L372" s="1" t="s">
        <v>85</v>
      </c>
      <c r="M372" s="1" t="s">
        <v>62</v>
      </c>
      <c r="N372" s="1" t="n">
        <v>8999</v>
      </c>
      <c r="O372" s="1" t="n">
        <v>10</v>
      </c>
      <c r="P372" s="1" t="n">
        <v>899.9</v>
      </c>
      <c r="Q372" s="1" t="n">
        <v>8099.1</v>
      </c>
      <c r="R372" s="1" t="n">
        <v>1457.84</v>
      </c>
      <c r="S372" s="1" t="n">
        <v>6641.26</v>
      </c>
      <c r="T372" s="1" t="n">
        <v>3423.95</v>
      </c>
      <c r="U372" s="1" t="n">
        <v>3217.31</v>
      </c>
      <c r="V372" s="1" t="n">
        <v>48.44</v>
      </c>
      <c r="W372" s="1" t="s">
        <v>39</v>
      </c>
      <c r="X372" s="1" t="n">
        <v>3.9</v>
      </c>
      <c r="Y372" s="1" t="s">
        <v>40</v>
      </c>
      <c r="Z372" s="1" t="n">
        <v>0</v>
      </c>
      <c r="AA372" s="1" t="str">
        <f aca="false">TRIM(PROPER(F372))</f>
        <v>Nashik</v>
      </c>
      <c r="AB372" s="1" t="str">
        <f aca="false">TRIM(PROPER(C372))</f>
        <v>Byju'S</v>
      </c>
      <c r="AC372" s="1" t="str">
        <f aca="false">IF(O372=0,"No Discount",IF(O372&lt;=15,"Low (1-15%)",IF(O372&lt;=30,"Medium (16-30%)","High (&gt;30%)")))</f>
        <v>Low (1-15%)</v>
      </c>
      <c r="AD372" s="1" t="str">
        <f aca="false">IF(V372&lt;0,"Loss Making",IF(V372&lt;20,"Low Margin","Healthy Margin"))</f>
        <v>Healthy Margin</v>
      </c>
      <c r="AE372" s="1" t="str">
        <f aca="false">TEXT(DATE(VALUE(RIGHT(B372,4)),VALUE(MID(B372,4,2)),VALUE(LEFT(B372,2))),"MMM-YYYY")</f>
        <v>Mar-2023</v>
      </c>
      <c r="AF372" s="1" t="n">
        <f aca="false">VALUE(RIGHT(B372,4))</f>
        <v>2023</v>
      </c>
      <c r="AG372" s="1" t="str">
        <f aca="false">CHOOSE(ROUNDUP(VALUE(MID(B372,4,2))/3,0),"Q1","Q2","Q3","Q4")</f>
        <v>Q1</v>
      </c>
    </row>
    <row r="373" customFormat="false" ht="15" hidden="false" customHeight="true" outlineLevel="0" collapsed="false">
      <c r="A373" s="1" t="s">
        <v>820</v>
      </c>
      <c r="B373" s="1" t="s">
        <v>821</v>
      </c>
      <c r="C373" s="1" t="s">
        <v>93</v>
      </c>
      <c r="D373" s="1" t="s">
        <v>123</v>
      </c>
      <c r="E373" s="1" t="s">
        <v>147</v>
      </c>
      <c r="F373" s="1" t="s">
        <v>150</v>
      </c>
      <c r="G373" s="1" t="s">
        <v>32</v>
      </c>
      <c r="H373" s="1" t="s">
        <v>57</v>
      </c>
      <c r="I373" s="1" t="s">
        <v>83</v>
      </c>
      <c r="J373" s="1" t="s">
        <v>77</v>
      </c>
      <c r="K373" s="1" t="s">
        <v>112</v>
      </c>
      <c r="L373" s="1" t="s">
        <v>113</v>
      </c>
      <c r="M373" s="1" t="s">
        <v>50</v>
      </c>
      <c r="N373" s="1" t="n">
        <v>6999</v>
      </c>
      <c r="O373" s="1" t="n">
        <v>0</v>
      </c>
      <c r="P373" s="1" t="n">
        <v>0</v>
      </c>
      <c r="Q373" s="1" t="n">
        <v>6999</v>
      </c>
      <c r="R373" s="1" t="n">
        <v>1259.82</v>
      </c>
      <c r="S373" s="1" t="n">
        <v>5739.18</v>
      </c>
      <c r="T373" s="1" t="n">
        <v>2413.09</v>
      </c>
      <c r="U373" s="1" t="n">
        <v>3326.09</v>
      </c>
      <c r="V373" s="1" t="n">
        <v>57.95</v>
      </c>
      <c r="W373" s="1" t="s">
        <v>40</v>
      </c>
      <c r="Y373" s="1" t="s">
        <v>40</v>
      </c>
      <c r="Z373" s="1" t="n">
        <v>1</v>
      </c>
      <c r="AA373" s="1" t="str">
        <f aca="false">TRIM(PROPER(F373))</f>
        <v>Jaipur</v>
      </c>
      <c r="AB373" s="1" t="str">
        <f aca="false">TRIM(PROPER(C373))</f>
        <v>Upgrad</v>
      </c>
      <c r="AC373" s="1" t="str">
        <f aca="false">IF(O373=0,"No Discount",IF(O373&lt;=15,"Low (1-15%)",IF(O373&lt;=30,"Medium (16-30%)","High (&gt;30%)")))</f>
        <v>No Discount</v>
      </c>
      <c r="AD373" s="1" t="str">
        <f aca="false">IF(V373&lt;0,"Loss Making",IF(V373&lt;20,"Low Margin","Healthy Margin"))</f>
        <v>Healthy Margin</v>
      </c>
      <c r="AE373" s="1" t="str">
        <f aca="false">TEXT(DATE(VALUE(RIGHT(B373,4)),VALUE(MID(B373,4,2)),VALUE(LEFT(B373,2))),"MMM-YYYY")</f>
        <v>Jul-2024</v>
      </c>
      <c r="AF373" s="1" t="n">
        <f aca="false">VALUE(RIGHT(B373,4))</f>
        <v>2024</v>
      </c>
      <c r="AG373" s="1" t="str">
        <f aca="false">CHOOSE(ROUNDUP(VALUE(MID(B373,4,2))/3,0),"Q1","Q2","Q3","Q4")</f>
        <v>Q3</v>
      </c>
    </row>
    <row r="374" customFormat="false" ht="15" hidden="false" customHeight="true" outlineLevel="0" collapsed="false">
      <c r="A374" s="1" t="s">
        <v>822</v>
      </c>
      <c r="B374" s="1" t="s">
        <v>823</v>
      </c>
      <c r="C374" s="1" t="s">
        <v>264</v>
      </c>
      <c r="D374" s="1" t="s">
        <v>53</v>
      </c>
      <c r="E374" s="1" t="s">
        <v>116</v>
      </c>
      <c r="F374" s="1" t="s">
        <v>96</v>
      </c>
      <c r="G374" s="1" t="s">
        <v>97</v>
      </c>
      <c r="H374" s="1" t="s">
        <v>69</v>
      </c>
      <c r="I374" s="1" t="s">
        <v>34</v>
      </c>
      <c r="J374" s="1" t="s">
        <v>131</v>
      </c>
      <c r="K374" s="1" t="s">
        <v>90</v>
      </c>
      <c r="L374" s="1" t="s">
        <v>37</v>
      </c>
      <c r="M374" s="1" t="s">
        <v>62</v>
      </c>
      <c r="N374" s="1" t="n">
        <v>9999</v>
      </c>
      <c r="O374" s="1" t="n">
        <v>0</v>
      </c>
      <c r="P374" s="1" t="n">
        <v>0</v>
      </c>
      <c r="Q374" s="1" t="n">
        <v>9999</v>
      </c>
      <c r="R374" s="1" t="n">
        <v>1799.82</v>
      </c>
      <c r="S374" s="1" t="n">
        <v>8199.18</v>
      </c>
      <c r="T374" s="1" t="n">
        <v>3570.01</v>
      </c>
      <c r="U374" s="1" t="n">
        <v>4629.17</v>
      </c>
      <c r="V374" s="1" t="n">
        <v>56.46</v>
      </c>
      <c r="W374" s="1" t="s">
        <v>40</v>
      </c>
      <c r="Y374" s="1" t="s">
        <v>39</v>
      </c>
      <c r="Z374" s="1" t="n">
        <v>2</v>
      </c>
      <c r="AA374" s="1" t="str">
        <f aca="false">TRIM(PROPER(F374))</f>
        <v>Pune</v>
      </c>
      <c r="AB374" s="1" t="str">
        <f aca="false">TRIM(PROPER(C374))</f>
        <v>Unacademy</v>
      </c>
      <c r="AC374" s="1" t="str">
        <f aca="false">IF(O374=0,"No Discount",IF(O374&lt;=15,"Low (1-15%)",IF(O374&lt;=30,"Medium (16-30%)","High (&gt;30%)")))</f>
        <v>No Discount</v>
      </c>
      <c r="AD374" s="1" t="str">
        <f aca="false">IF(V374&lt;0,"Loss Making",IF(V374&lt;20,"Low Margin","Healthy Margin"))</f>
        <v>Healthy Margin</v>
      </c>
      <c r="AE374" s="1" t="str">
        <f aca="false">TEXT(DATE(VALUE(RIGHT(B374,4)),VALUE(MID(B374,4,2)),VALUE(LEFT(B374,2))),"MMM-YYYY")</f>
        <v>Jul-2024</v>
      </c>
      <c r="AF374" s="1" t="n">
        <f aca="false">VALUE(RIGHT(B374,4))</f>
        <v>2024</v>
      </c>
      <c r="AG374" s="1" t="str">
        <f aca="false">CHOOSE(ROUNDUP(VALUE(MID(B374,4,2))/3,0),"Q1","Q2","Q3","Q4")</f>
        <v>Q3</v>
      </c>
    </row>
    <row r="375" customFormat="false" ht="15" hidden="false" customHeight="true" outlineLevel="0" collapsed="false">
      <c r="A375" s="1" t="s">
        <v>824</v>
      </c>
      <c r="B375" s="1" t="s">
        <v>825</v>
      </c>
      <c r="C375" s="1" t="s">
        <v>43</v>
      </c>
      <c r="D375" s="1" t="s">
        <v>168</v>
      </c>
      <c r="E375" s="1" t="s">
        <v>169</v>
      </c>
      <c r="F375" s="1" t="s">
        <v>244</v>
      </c>
      <c r="G375" s="1" t="s">
        <v>97</v>
      </c>
      <c r="H375" s="1" t="s">
        <v>57</v>
      </c>
      <c r="I375" s="1" t="s">
        <v>83</v>
      </c>
      <c r="J375" s="1" t="s">
        <v>59</v>
      </c>
      <c r="K375" s="1" t="s">
        <v>84</v>
      </c>
      <c r="L375" s="1" t="s">
        <v>113</v>
      </c>
      <c r="M375" s="1" t="s">
        <v>62</v>
      </c>
      <c r="N375" s="1" t="n">
        <v>4999</v>
      </c>
      <c r="O375" s="1" t="n">
        <v>30</v>
      </c>
      <c r="P375" s="1" t="n">
        <v>1499.7</v>
      </c>
      <c r="Q375" s="1" t="n">
        <v>3499.3</v>
      </c>
      <c r="R375" s="1" t="n">
        <v>629.87</v>
      </c>
      <c r="S375" s="1" t="n">
        <v>2869.43</v>
      </c>
      <c r="T375" s="1" t="n">
        <v>1348.56</v>
      </c>
      <c r="U375" s="1" t="n">
        <v>1520.87</v>
      </c>
      <c r="V375" s="1" t="n">
        <v>53</v>
      </c>
      <c r="W375" s="1" t="s">
        <v>40</v>
      </c>
      <c r="Y375" s="1" t="s">
        <v>40</v>
      </c>
      <c r="Z375" s="1" t="n">
        <v>0</v>
      </c>
      <c r="AA375" s="1" t="str">
        <f aca="false">TRIM(PROPER(F375))</f>
        <v>Nagpur</v>
      </c>
      <c r="AB375" s="1" t="str">
        <f aca="false">TRIM(PROPER(C375))</f>
        <v>Meritnation</v>
      </c>
      <c r="AC375" s="1" t="str">
        <f aca="false">IF(O375=0,"No Discount",IF(O375&lt;=15,"Low (1-15%)",IF(O375&lt;=30,"Medium (16-30%)","High (&gt;30%)")))</f>
        <v>Medium (16-30%)</v>
      </c>
      <c r="AD375" s="1" t="str">
        <f aca="false">IF(V375&lt;0,"Loss Making",IF(V375&lt;20,"Low Margin","Healthy Margin"))</f>
        <v>Healthy Margin</v>
      </c>
      <c r="AE375" s="1" t="str">
        <f aca="false">TEXT(DATE(VALUE(RIGHT(B375,4)),VALUE(MID(B375,4,2)),VALUE(LEFT(B375,2))),"MMM-YYYY")</f>
        <v>Apr-2023</v>
      </c>
      <c r="AF375" s="1" t="n">
        <f aca="false">VALUE(RIGHT(B375,4))</f>
        <v>2023</v>
      </c>
      <c r="AG375" s="1" t="str">
        <f aca="false">CHOOSE(ROUNDUP(VALUE(MID(B375,4,2))/3,0),"Q1","Q2","Q3","Q4")</f>
        <v>Q2</v>
      </c>
    </row>
    <row r="376" customFormat="false" ht="15" hidden="false" customHeight="true" outlineLevel="0" collapsed="false">
      <c r="A376" s="1" t="s">
        <v>826</v>
      </c>
      <c r="B376" s="1" t="s">
        <v>827</v>
      </c>
      <c r="C376" s="1" t="s">
        <v>65</v>
      </c>
      <c r="D376" s="1" t="s">
        <v>29</v>
      </c>
      <c r="E376" s="1" t="s">
        <v>182</v>
      </c>
      <c r="F376" s="1" t="s">
        <v>269</v>
      </c>
      <c r="G376" s="1" t="s">
        <v>108</v>
      </c>
      <c r="H376" s="1" t="s">
        <v>57</v>
      </c>
      <c r="I376" s="1" t="s">
        <v>34</v>
      </c>
      <c r="J376" s="1" t="s">
        <v>59</v>
      </c>
      <c r="K376" s="1" t="s">
        <v>48</v>
      </c>
      <c r="L376" s="1" t="s">
        <v>113</v>
      </c>
      <c r="M376" s="1" t="s">
        <v>62</v>
      </c>
      <c r="N376" s="1" t="n">
        <v>34999</v>
      </c>
      <c r="O376" s="1" t="n">
        <v>10</v>
      </c>
      <c r="P376" s="1" t="n">
        <v>3499.9</v>
      </c>
      <c r="Q376" s="1" t="n">
        <v>31499.1</v>
      </c>
      <c r="R376" s="1" t="n">
        <v>5669.84</v>
      </c>
      <c r="S376" s="1" t="n">
        <v>25829.26</v>
      </c>
      <c r="T376" s="1" t="n">
        <v>9463.77</v>
      </c>
      <c r="U376" s="1" t="n">
        <v>16365.49</v>
      </c>
      <c r="V376" s="1" t="n">
        <v>63.36</v>
      </c>
      <c r="W376" s="1" t="s">
        <v>39</v>
      </c>
      <c r="X376" s="1" t="n">
        <v>4.4</v>
      </c>
      <c r="Y376" s="1" t="s">
        <v>40</v>
      </c>
      <c r="Z376" s="1" t="n">
        <v>0</v>
      </c>
      <c r="AA376" s="1" t="str">
        <f aca="false">TRIM(PROPER(F376))</f>
        <v>Coimbatore</v>
      </c>
      <c r="AB376" s="1" t="str">
        <f aca="false">TRIM(PROPER(C376))</f>
        <v>Toppr</v>
      </c>
      <c r="AC376" s="1" t="str">
        <f aca="false">IF(O376=0,"No Discount",IF(O376&lt;=15,"Low (1-15%)",IF(O376&lt;=30,"Medium (16-30%)","High (&gt;30%)")))</f>
        <v>Low (1-15%)</v>
      </c>
      <c r="AD376" s="1" t="str">
        <f aca="false">IF(V376&lt;0,"Loss Making",IF(V376&lt;20,"Low Margin","Healthy Margin"))</f>
        <v>Healthy Margin</v>
      </c>
      <c r="AE376" s="1" t="str">
        <f aca="false">TEXT(DATE(VALUE(RIGHT(B376,4)),VALUE(MID(B376,4,2)),VALUE(LEFT(B376,2))),"MMM-YYYY")</f>
        <v>Nov-2024</v>
      </c>
      <c r="AF376" s="1" t="n">
        <f aca="false">VALUE(RIGHT(B376,4))</f>
        <v>2024</v>
      </c>
      <c r="AG376" s="1" t="str">
        <f aca="false">CHOOSE(ROUNDUP(VALUE(MID(B376,4,2))/3,0),"Q1","Q2","Q3","Q4")</f>
        <v>Q4</v>
      </c>
    </row>
    <row r="377" customFormat="false" ht="15" hidden="false" customHeight="true" outlineLevel="0" collapsed="false">
      <c r="A377" s="1" t="s">
        <v>828</v>
      </c>
      <c r="B377" s="1" t="s">
        <v>537</v>
      </c>
      <c r="C377" s="1" t="s">
        <v>128</v>
      </c>
      <c r="D377" s="1" t="s">
        <v>53</v>
      </c>
      <c r="E377" s="1" t="s">
        <v>216</v>
      </c>
      <c r="F377" s="1" t="s">
        <v>187</v>
      </c>
      <c r="G377" s="1" t="s">
        <v>97</v>
      </c>
      <c r="H377" s="1" t="s">
        <v>69</v>
      </c>
      <c r="I377" s="1" t="s">
        <v>83</v>
      </c>
      <c r="J377" s="1" t="s">
        <v>77</v>
      </c>
      <c r="K377" s="1" t="s">
        <v>36</v>
      </c>
      <c r="L377" s="1" t="s">
        <v>37</v>
      </c>
      <c r="M377" s="1" t="s">
        <v>62</v>
      </c>
      <c r="N377" s="1" t="n">
        <v>7499</v>
      </c>
      <c r="O377" s="1" t="n">
        <v>0</v>
      </c>
      <c r="P377" s="1" t="n">
        <v>0</v>
      </c>
      <c r="Q377" s="1" t="n">
        <v>7499</v>
      </c>
      <c r="R377" s="1" t="n">
        <v>1349.82</v>
      </c>
      <c r="S377" s="1" t="n">
        <v>6149.18</v>
      </c>
      <c r="T377" s="1" t="n">
        <v>2247.67</v>
      </c>
      <c r="U377" s="1" t="n">
        <v>3901.51</v>
      </c>
      <c r="V377" s="1" t="n">
        <v>63.45</v>
      </c>
      <c r="W377" s="1" t="s">
        <v>39</v>
      </c>
      <c r="X377" s="1" t="n">
        <v>3.9</v>
      </c>
      <c r="Y377" s="1" t="s">
        <v>40</v>
      </c>
      <c r="Z377" s="1" t="n">
        <v>0</v>
      </c>
      <c r="AA377" s="1" t="str">
        <f aca="false">TRIM(PROPER(F377))</f>
        <v>Mumbai</v>
      </c>
      <c r="AB377" s="1" t="str">
        <f aca="false">TRIM(PROPER(C377))</f>
        <v>Great Learning</v>
      </c>
      <c r="AC377" s="1" t="str">
        <f aca="false">IF(O377=0,"No Discount",IF(O377&lt;=15,"Low (1-15%)",IF(O377&lt;=30,"Medium (16-30%)","High (&gt;30%)")))</f>
        <v>No Discount</v>
      </c>
      <c r="AD377" s="1" t="str">
        <f aca="false">IF(V377&lt;0,"Loss Making",IF(V377&lt;20,"Low Margin","Healthy Margin"))</f>
        <v>Healthy Margin</v>
      </c>
      <c r="AE377" s="1" t="str">
        <f aca="false">TEXT(DATE(VALUE(RIGHT(B377,4)),VALUE(MID(B377,4,2)),VALUE(LEFT(B377,2))),"MMM-YYYY")</f>
        <v>Mar-2024</v>
      </c>
      <c r="AF377" s="1" t="n">
        <f aca="false">VALUE(RIGHT(B377,4))</f>
        <v>2024</v>
      </c>
      <c r="AG377" s="1" t="str">
        <f aca="false">CHOOSE(ROUNDUP(VALUE(MID(B377,4,2))/3,0),"Q1","Q2","Q3","Q4")</f>
        <v>Q1</v>
      </c>
    </row>
    <row r="378" customFormat="false" ht="15" hidden="false" customHeight="true" outlineLevel="0" collapsed="false">
      <c r="A378" s="1" t="s">
        <v>829</v>
      </c>
      <c r="B378" s="1" t="s">
        <v>830</v>
      </c>
      <c r="C378" s="1" t="s">
        <v>139</v>
      </c>
      <c r="D378" s="1" t="s">
        <v>123</v>
      </c>
      <c r="E378" s="1" t="s">
        <v>147</v>
      </c>
      <c r="F378" s="1" t="s">
        <v>194</v>
      </c>
      <c r="G378" s="1" t="s">
        <v>103</v>
      </c>
      <c r="H378" s="1" t="s">
        <v>69</v>
      </c>
      <c r="I378" s="1" t="s">
        <v>83</v>
      </c>
      <c r="J378" s="1" t="s">
        <v>70</v>
      </c>
      <c r="K378" s="1" t="s">
        <v>84</v>
      </c>
      <c r="L378" s="1" t="s">
        <v>113</v>
      </c>
      <c r="M378" s="1" t="s">
        <v>50</v>
      </c>
      <c r="N378" s="1" t="n">
        <v>6999</v>
      </c>
      <c r="O378" s="1" t="n">
        <v>15</v>
      </c>
      <c r="P378" s="1" t="n">
        <v>1049.85</v>
      </c>
      <c r="Q378" s="1" t="n">
        <v>5949.15</v>
      </c>
      <c r="R378" s="1" t="n">
        <v>1070.85</v>
      </c>
      <c r="S378" s="1" t="n">
        <v>4878.3</v>
      </c>
      <c r="T378" s="1" t="n">
        <v>2507.91</v>
      </c>
      <c r="U378" s="1" t="n">
        <v>2370.39</v>
      </c>
      <c r="V378" s="1" t="n">
        <v>48.59</v>
      </c>
      <c r="W378" s="1" t="s">
        <v>40</v>
      </c>
      <c r="Y378" s="1" t="s">
        <v>39</v>
      </c>
      <c r="Z378" s="1" t="n">
        <v>1</v>
      </c>
      <c r="AA378" s="1" t="str">
        <f aca="false">TRIM(PROPER(F378))</f>
        <v>Hyderabad</v>
      </c>
      <c r="AB378" s="1" t="str">
        <f aca="false">TRIM(PROPER(C378))</f>
        <v>Extramarks</v>
      </c>
      <c r="AC378" s="1" t="str">
        <f aca="false">IF(O378=0,"No Discount",IF(O378&lt;=15,"Low (1-15%)",IF(O378&lt;=30,"Medium (16-30%)","High (&gt;30%)")))</f>
        <v>Low (1-15%)</v>
      </c>
      <c r="AD378" s="1" t="str">
        <f aca="false">IF(V378&lt;0,"Loss Making",IF(V378&lt;20,"Low Margin","Healthy Margin"))</f>
        <v>Healthy Margin</v>
      </c>
      <c r="AE378" s="1" t="str">
        <f aca="false">TEXT(DATE(VALUE(RIGHT(B378,4)),VALUE(MID(B378,4,2)),VALUE(LEFT(B378,2))),"MMM-YYYY")</f>
        <v>Feb-2024</v>
      </c>
      <c r="AF378" s="1" t="n">
        <f aca="false">VALUE(RIGHT(B378,4))</f>
        <v>2024</v>
      </c>
      <c r="AG378" s="1" t="str">
        <f aca="false">CHOOSE(ROUNDUP(VALUE(MID(B378,4,2))/3,0),"Q1","Q2","Q3","Q4")</f>
        <v>Q1</v>
      </c>
    </row>
    <row r="379" customFormat="false" ht="15" hidden="false" customHeight="true" outlineLevel="0" collapsed="false">
      <c r="A379" s="1" t="s">
        <v>831</v>
      </c>
      <c r="B379" s="1" t="s">
        <v>832</v>
      </c>
      <c r="C379" s="1" t="s">
        <v>139</v>
      </c>
      <c r="D379" s="1" t="s">
        <v>44</v>
      </c>
      <c r="E379" s="1" t="s">
        <v>45</v>
      </c>
      <c r="F379" s="1" t="s">
        <v>120</v>
      </c>
      <c r="G379" s="1" t="s">
        <v>47</v>
      </c>
      <c r="H379" s="1" t="s">
        <v>57</v>
      </c>
      <c r="I379" s="1" t="s">
        <v>83</v>
      </c>
      <c r="J379" s="1" t="s">
        <v>131</v>
      </c>
      <c r="K379" s="1" t="s">
        <v>48</v>
      </c>
      <c r="L379" s="1" t="s">
        <v>49</v>
      </c>
      <c r="M379" s="1" t="s">
        <v>38</v>
      </c>
      <c r="N379" s="1" t="n">
        <v>11999</v>
      </c>
      <c r="O379" s="1" t="n">
        <v>50</v>
      </c>
      <c r="P379" s="1" t="n">
        <v>5999.5</v>
      </c>
      <c r="Q379" s="1" t="n">
        <v>5999.5</v>
      </c>
      <c r="R379" s="1" t="n">
        <v>1079.91</v>
      </c>
      <c r="S379" s="1" t="n">
        <v>4919.59</v>
      </c>
      <c r="T379" s="1" t="n">
        <v>2800.1</v>
      </c>
      <c r="U379" s="1" t="n">
        <v>2119.49</v>
      </c>
      <c r="V379" s="1" t="n">
        <v>43.08</v>
      </c>
      <c r="W379" s="1" t="s">
        <v>39</v>
      </c>
      <c r="X379" s="1" t="n">
        <v>4.4</v>
      </c>
      <c r="Y379" s="1" t="s">
        <v>40</v>
      </c>
      <c r="Z379" s="1" t="n">
        <v>1</v>
      </c>
      <c r="AA379" s="1" t="str">
        <f aca="false">TRIM(PROPER(F379))</f>
        <v>Mysuru</v>
      </c>
      <c r="AB379" s="1" t="str">
        <f aca="false">TRIM(PROPER(C379))</f>
        <v>Extramarks</v>
      </c>
      <c r="AC379" s="1" t="str">
        <f aca="false">IF(O379=0,"No Discount",IF(O379&lt;=15,"Low (1-15%)",IF(O379&lt;=30,"Medium (16-30%)","High (&gt;30%)")))</f>
        <v>High (&gt;30%)</v>
      </c>
      <c r="AD379" s="1" t="str">
        <f aca="false">IF(V379&lt;0,"Loss Making",IF(V379&lt;20,"Low Margin","Healthy Margin"))</f>
        <v>Healthy Margin</v>
      </c>
      <c r="AE379" s="1" t="str">
        <f aca="false">TEXT(DATE(VALUE(RIGHT(B379,4)),VALUE(MID(B379,4,2)),VALUE(LEFT(B379,2))),"MMM-YYYY")</f>
        <v>Jul-2024</v>
      </c>
      <c r="AF379" s="1" t="n">
        <f aca="false">VALUE(RIGHT(B379,4))</f>
        <v>2024</v>
      </c>
      <c r="AG379" s="1" t="str">
        <f aca="false">CHOOSE(ROUNDUP(VALUE(MID(B379,4,2))/3,0),"Q1","Q2","Q3","Q4")</f>
        <v>Q3</v>
      </c>
    </row>
    <row r="380" customFormat="false" ht="15" hidden="false" customHeight="true" outlineLevel="0" collapsed="false">
      <c r="A380" s="1" t="s">
        <v>833</v>
      </c>
      <c r="B380" s="1" t="s">
        <v>362</v>
      </c>
      <c r="C380" s="1" t="s">
        <v>88</v>
      </c>
      <c r="D380" s="1" t="s">
        <v>123</v>
      </c>
      <c r="E380" s="1" t="s">
        <v>147</v>
      </c>
      <c r="F380" s="1" t="s">
        <v>269</v>
      </c>
      <c r="G380" s="1" t="s">
        <v>108</v>
      </c>
      <c r="H380" s="1" t="s">
        <v>57</v>
      </c>
      <c r="I380" s="1" t="s">
        <v>34</v>
      </c>
      <c r="J380" s="1" t="s">
        <v>59</v>
      </c>
      <c r="K380" s="1" t="s">
        <v>104</v>
      </c>
      <c r="L380" s="1" t="s">
        <v>37</v>
      </c>
      <c r="M380" s="1" t="s">
        <v>50</v>
      </c>
      <c r="N380" s="1" t="n">
        <v>6999</v>
      </c>
      <c r="O380" s="1" t="n">
        <v>0</v>
      </c>
      <c r="P380" s="1" t="n">
        <v>0</v>
      </c>
      <c r="Q380" s="1" t="n">
        <v>6999</v>
      </c>
      <c r="R380" s="1" t="n">
        <v>1259.82</v>
      </c>
      <c r="S380" s="1" t="n">
        <v>5739.18</v>
      </c>
      <c r="T380" s="1" t="n">
        <v>2520.39</v>
      </c>
      <c r="U380" s="1" t="n">
        <v>3218.79</v>
      </c>
      <c r="V380" s="1" t="n">
        <v>56.08</v>
      </c>
      <c r="W380" s="1" t="s">
        <v>39</v>
      </c>
      <c r="X380" s="1" t="n">
        <v>3.8</v>
      </c>
      <c r="Y380" s="1" t="s">
        <v>40</v>
      </c>
      <c r="Z380" s="1" t="n">
        <v>0</v>
      </c>
      <c r="AA380" s="1" t="str">
        <f aca="false">TRIM(PROPER(F380))</f>
        <v>Coimbatore</v>
      </c>
      <c r="AB380" s="1" t="str">
        <f aca="false">TRIM(PROPER(C380))</f>
        <v>Byju'S</v>
      </c>
      <c r="AC380" s="1" t="str">
        <f aca="false">IF(O380=0,"No Discount",IF(O380&lt;=15,"Low (1-15%)",IF(O380&lt;=30,"Medium (16-30%)","High (&gt;30%)")))</f>
        <v>No Discount</v>
      </c>
      <c r="AD380" s="1" t="str">
        <f aca="false">IF(V380&lt;0,"Loss Making",IF(V380&lt;20,"Low Margin","Healthy Margin"))</f>
        <v>Healthy Margin</v>
      </c>
      <c r="AE380" s="1" t="str">
        <f aca="false">TEXT(DATE(VALUE(RIGHT(B380,4)),VALUE(MID(B380,4,2)),VALUE(LEFT(B380,2))),"MMM-YYYY")</f>
        <v>Aug-2024</v>
      </c>
      <c r="AF380" s="1" t="n">
        <f aca="false">VALUE(RIGHT(B380,4))</f>
        <v>2024</v>
      </c>
      <c r="AG380" s="1" t="str">
        <f aca="false">CHOOSE(ROUNDUP(VALUE(MID(B380,4,2))/3,0),"Q1","Q2","Q3","Q4")</f>
        <v>Q3</v>
      </c>
    </row>
    <row r="381" customFormat="false" ht="15" hidden="false" customHeight="true" outlineLevel="0" collapsed="false">
      <c r="A381" s="1" t="s">
        <v>834</v>
      </c>
      <c r="B381" s="1" t="s">
        <v>661</v>
      </c>
      <c r="C381" s="1" t="s">
        <v>249</v>
      </c>
      <c r="D381" s="1" t="s">
        <v>44</v>
      </c>
      <c r="E381" s="1" t="s">
        <v>221</v>
      </c>
      <c r="F381" s="1" t="s">
        <v>31</v>
      </c>
      <c r="G381" s="1" t="s">
        <v>32</v>
      </c>
      <c r="H381" s="1" t="s">
        <v>33</v>
      </c>
      <c r="I381" s="1" t="s">
        <v>83</v>
      </c>
      <c r="J381" s="1" t="s">
        <v>70</v>
      </c>
      <c r="K381" s="1" t="s">
        <v>90</v>
      </c>
      <c r="L381" s="1" t="s">
        <v>136</v>
      </c>
      <c r="M381" s="1" t="s">
        <v>50</v>
      </c>
      <c r="N381" s="1" t="n">
        <v>16999</v>
      </c>
      <c r="O381" s="1" t="n">
        <v>5</v>
      </c>
      <c r="P381" s="1" t="n">
        <v>849.95</v>
      </c>
      <c r="Q381" s="1" t="n">
        <v>16149.05</v>
      </c>
      <c r="R381" s="1" t="n">
        <v>2906.83</v>
      </c>
      <c r="S381" s="1" t="n">
        <v>13242.22</v>
      </c>
      <c r="T381" s="1" t="n">
        <v>5866.93</v>
      </c>
      <c r="U381" s="1" t="n">
        <v>7375.29</v>
      </c>
      <c r="V381" s="1" t="n">
        <v>55.7</v>
      </c>
      <c r="W381" s="1" t="s">
        <v>39</v>
      </c>
      <c r="X381" s="1" t="n">
        <v>3.5</v>
      </c>
      <c r="Y381" s="1" t="s">
        <v>40</v>
      </c>
      <c r="Z381" s="1" t="n">
        <v>1</v>
      </c>
      <c r="AA381" s="1" t="str">
        <f aca="false">TRIM(PROPER(F381))</f>
        <v>Jodhpur</v>
      </c>
      <c r="AB381" s="1" t="str">
        <f aca="false">TRIM(PROPER(C381))</f>
        <v>Whitehat Jr</v>
      </c>
      <c r="AC381" s="1" t="str">
        <f aca="false">IF(O381=0,"No Discount",IF(O381&lt;=15,"Low (1-15%)",IF(O381&lt;=30,"Medium (16-30%)","High (&gt;30%)")))</f>
        <v>Low (1-15%)</v>
      </c>
      <c r="AD381" s="1" t="str">
        <f aca="false">IF(V381&lt;0,"Loss Making",IF(V381&lt;20,"Low Margin","Healthy Margin"))</f>
        <v>Healthy Margin</v>
      </c>
      <c r="AE381" s="1" t="str">
        <f aca="false">TEXT(DATE(VALUE(RIGHT(B381,4)),VALUE(MID(B381,4,2)),VALUE(LEFT(B381,2))),"MMM-YYYY")</f>
        <v>Apr-2023</v>
      </c>
      <c r="AF381" s="1" t="n">
        <f aca="false">VALUE(RIGHT(B381,4))</f>
        <v>2023</v>
      </c>
      <c r="AG381" s="1" t="str">
        <f aca="false">CHOOSE(ROUNDUP(VALUE(MID(B381,4,2))/3,0),"Q1","Q2","Q3","Q4")</f>
        <v>Q2</v>
      </c>
    </row>
    <row r="382" customFormat="false" ht="15" hidden="false" customHeight="true" outlineLevel="0" collapsed="false">
      <c r="A382" s="1" t="s">
        <v>835</v>
      </c>
      <c r="B382" s="1" t="s">
        <v>836</v>
      </c>
      <c r="C382" s="1" t="s">
        <v>178</v>
      </c>
      <c r="D382" s="1" t="s">
        <v>123</v>
      </c>
      <c r="E382" s="1" t="s">
        <v>147</v>
      </c>
      <c r="F382" s="1" t="s">
        <v>205</v>
      </c>
      <c r="G382" s="1" t="s">
        <v>56</v>
      </c>
      <c r="H382" s="1" t="s">
        <v>69</v>
      </c>
      <c r="I382" s="1" t="s">
        <v>83</v>
      </c>
      <c r="J382" s="1" t="s">
        <v>131</v>
      </c>
      <c r="K382" s="1" t="s">
        <v>48</v>
      </c>
      <c r="L382" s="1" t="s">
        <v>61</v>
      </c>
      <c r="M382" s="1" t="s">
        <v>38</v>
      </c>
      <c r="N382" s="1" t="n">
        <v>6999</v>
      </c>
      <c r="O382" s="1" t="n">
        <v>10</v>
      </c>
      <c r="P382" s="1" t="n">
        <v>699.9</v>
      </c>
      <c r="Q382" s="1" t="n">
        <v>6299.1</v>
      </c>
      <c r="R382" s="1" t="n">
        <v>1133.84</v>
      </c>
      <c r="S382" s="1" t="n">
        <v>5165.26</v>
      </c>
      <c r="T382" s="1" t="n">
        <v>2567.71</v>
      </c>
      <c r="U382" s="1" t="n">
        <v>2597.55</v>
      </c>
      <c r="V382" s="1" t="n">
        <v>50.29</v>
      </c>
      <c r="W382" s="1" t="s">
        <v>40</v>
      </c>
      <c r="Y382" s="1" t="s">
        <v>40</v>
      </c>
      <c r="Z382" s="1" t="n">
        <v>2</v>
      </c>
      <c r="AA382" s="1" t="str">
        <f aca="false">TRIM(PROPER(F382))</f>
        <v>New Delhi</v>
      </c>
      <c r="AB382" s="1" t="str">
        <f aca="false">TRIM(PROPER(C382))</f>
        <v>Leverage Edu</v>
      </c>
      <c r="AC382" s="1" t="str">
        <f aca="false">IF(O382=0,"No Discount",IF(O382&lt;=15,"Low (1-15%)",IF(O382&lt;=30,"Medium (16-30%)","High (&gt;30%)")))</f>
        <v>Low (1-15%)</v>
      </c>
      <c r="AD382" s="1" t="str">
        <f aca="false">IF(V382&lt;0,"Loss Making",IF(V382&lt;20,"Low Margin","Healthy Margin"))</f>
        <v>Healthy Margin</v>
      </c>
      <c r="AE382" s="1" t="str">
        <f aca="false">TEXT(DATE(VALUE(RIGHT(B382,4)),VALUE(MID(B382,4,2)),VALUE(LEFT(B382,2))),"MMM-YYYY")</f>
        <v>Sep-2023</v>
      </c>
      <c r="AF382" s="1" t="n">
        <f aca="false">VALUE(RIGHT(B382,4))</f>
        <v>2023</v>
      </c>
      <c r="AG382" s="1" t="str">
        <f aca="false">CHOOSE(ROUNDUP(VALUE(MID(B382,4,2))/3,0),"Q1","Q2","Q3","Q4")</f>
        <v>Q3</v>
      </c>
    </row>
    <row r="383" customFormat="false" ht="15" hidden="false" customHeight="true" outlineLevel="0" collapsed="false">
      <c r="A383" s="1" t="s">
        <v>837</v>
      </c>
      <c r="B383" s="1" t="s">
        <v>122</v>
      </c>
      <c r="C383" s="1" t="s">
        <v>249</v>
      </c>
      <c r="D383" s="1" t="s">
        <v>123</v>
      </c>
      <c r="E383" s="1" t="s">
        <v>124</v>
      </c>
      <c r="F383" s="1" t="s">
        <v>89</v>
      </c>
      <c r="G383" s="1" t="s">
        <v>68</v>
      </c>
      <c r="H383" s="1" t="s">
        <v>33</v>
      </c>
      <c r="I383" s="1" t="s">
        <v>34</v>
      </c>
      <c r="J383" s="1" t="s">
        <v>70</v>
      </c>
      <c r="K383" s="1" t="s">
        <v>84</v>
      </c>
      <c r="L383" s="1" t="s">
        <v>85</v>
      </c>
      <c r="M383" s="1" t="s">
        <v>50</v>
      </c>
      <c r="N383" s="1" t="n">
        <v>4999</v>
      </c>
      <c r="O383" s="1" t="n">
        <v>25</v>
      </c>
      <c r="P383" s="1" t="n">
        <v>1249.75</v>
      </c>
      <c r="Q383" s="1" t="n">
        <v>3749.25</v>
      </c>
      <c r="R383" s="1" t="n">
        <v>674.87</v>
      </c>
      <c r="S383" s="1" t="n">
        <v>3074.38</v>
      </c>
      <c r="T383" s="1" t="n">
        <v>1234.12</v>
      </c>
      <c r="U383" s="1" t="n">
        <v>1840.26</v>
      </c>
      <c r="V383" s="1" t="n">
        <v>59.86</v>
      </c>
      <c r="W383" s="1" t="s">
        <v>40</v>
      </c>
      <c r="Y383" s="1" t="s">
        <v>39</v>
      </c>
      <c r="Z383" s="1" t="n">
        <v>0</v>
      </c>
      <c r="AA383" s="1" t="str">
        <f aca="false">TRIM(PROPER(F383))</f>
        <v>Vadodara</v>
      </c>
      <c r="AB383" s="1" t="str">
        <f aca="false">TRIM(PROPER(C383))</f>
        <v>Whitehat Jr</v>
      </c>
      <c r="AC383" s="1" t="str">
        <f aca="false">IF(O383=0,"No Discount",IF(O383&lt;=15,"Low (1-15%)",IF(O383&lt;=30,"Medium (16-30%)","High (&gt;30%)")))</f>
        <v>Medium (16-30%)</v>
      </c>
      <c r="AD383" s="1" t="str">
        <f aca="false">IF(V383&lt;0,"Loss Making",IF(V383&lt;20,"Low Margin","Healthy Margin"))</f>
        <v>Healthy Margin</v>
      </c>
      <c r="AE383" s="1" t="str">
        <f aca="false">TEXT(DATE(VALUE(RIGHT(B383,4)),VALUE(MID(B383,4,2)),VALUE(LEFT(B383,2))),"MMM-YYYY")</f>
        <v>Nov-2023</v>
      </c>
      <c r="AF383" s="1" t="n">
        <f aca="false">VALUE(RIGHT(B383,4))</f>
        <v>2023</v>
      </c>
      <c r="AG383" s="1" t="str">
        <f aca="false">CHOOSE(ROUNDUP(VALUE(MID(B383,4,2))/3,0),"Q1","Q2","Q3","Q4")</f>
        <v>Q4</v>
      </c>
    </row>
    <row r="384" customFormat="false" ht="15" hidden="false" customHeight="true" outlineLevel="0" collapsed="false">
      <c r="A384" s="1" t="s">
        <v>838</v>
      </c>
      <c r="B384" s="1" t="s">
        <v>839</v>
      </c>
      <c r="C384" s="1" t="s">
        <v>178</v>
      </c>
      <c r="D384" s="1" t="s">
        <v>29</v>
      </c>
      <c r="E384" s="1" t="s">
        <v>129</v>
      </c>
      <c r="F384" s="1" t="s">
        <v>89</v>
      </c>
      <c r="G384" s="1" t="s">
        <v>68</v>
      </c>
      <c r="H384" s="1" t="s">
        <v>33</v>
      </c>
      <c r="I384" s="1" t="s">
        <v>58</v>
      </c>
      <c r="J384" s="1" t="s">
        <v>77</v>
      </c>
      <c r="K384" s="1" t="s">
        <v>36</v>
      </c>
      <c r="L384" s="1" t="s">
        <v>136</v>
      </c>
      <c r="M384" s="1" t="s">
        <v>38</v>
      </c>
      <c r="N384" s="1" t="n">
        <v>29999</v>
      </c>
      <c r="O384" s="1" t="n">
        <v>50</v>
      </c>
      <c r="P384" s="1" t="n">
        <v>14999.5</v>
      </c>
      <c r="Q384" s="1" t="n">
        <v>14999.5</v>
      </c>
      <c r="R384" s="1" t="n">
        <v>2699.91</v>
      </c>
      <c r="S384" s="1" t="n">
        <v>12299.59</v>
      </c>
      <c r="T384" s="1" t="n">
        <v>6825.63</v>
      </c>
      <c r="U384" s="1" t="n">
        <v>5473.96</v>
      </c>
      <c r="V384" s="1" t="n">
        <v>44.51</v>
      </c>
      <c r="W384" s="1" t="s">
        <v>39</v>
      </c>
      <c r="X384" s="1" t="n">
        <v>3.9</v>
      </c>
      <c r="Y384" s="1" t="s">
        <v>40</v>
      </c>
      <c r="Z384" s="1" t="n">
        <v>0</v>
      </c>
      <c r="AA384" s="1" t="str">
        <f aca="false">TRIM(PROPER(F384))</f>
        <v>Vadodara</v>
      </c>
      <c r="AB384" s="1" t="str">
        <f aca="false">TRIM(PROPER(C384))</f>
        <v>Leverage Edu</v>
      </c>
      <c r="AC384" s="1" t="str">
        <f aca="false">IF(O384=0,"No Discount",IF(O384&lt;=15,"Low (1-15%)",IF(O384&lt;=30,"Medium (16-30%)","High (&gt;30%)")))</f>
        <v>High (&gt;30%)</v>
      </c>
      <c r="AD384" s="1" t="str">
        <f aca="false">IF(V384&lt;0,"Loss Making",IF(V384&lt;20,"Low Margin","Healthy Margin"))</f>
        <v>Healthy Margin</v>
      </c>
      <c r="AE384" s="1" t="str">
        <f aca="false">TEXT(DATE(VALUE(RIGHT(B384,4)),VALUE(MID(B384,4,2)),VALUE(LEFT(B384,2))),"MMM-YYYY")</f>
        <v>Dec-2023</v>
      </c>
      <c r="AF384" s="1" t="n">
        <f aca="false">VALUE(RIGHT(B384,4))</f>
        <v>2023</v>
      </c>
      <c r="AG384" s="1" t="str">
        <f aca="false">CHOOSE(ROUNDUP(VALUE(MID(B384,4,2))/3,0),"Q1","Q2","Q3","Q4")</f>
        <v>Q4</v>
      </c>
    </row>
    <row r="385" customFormat="false" ht="15" hidden="false" customHeight="true" outlineLevel="0" collapsed="false">
      <c r="A385" s="1" t="s">
        <v>840</v>
      </c>
      <c r="B385" s="1" t="s">
        <v>841</v>
      </c>
      <c r="C385" s="1" t="s">
        <v>74</v>
      </c>
      <c r="D385" s="1" t="s">
        <v>44</v>
      </c>
      <c r="E385" s="1" t="s">
        <v>45</v>
      </c>
      <c r="F385" s="1" t="s">
        <v>211</v>
      </c>
      <c r="G385" s="1" t="s">
        <v>56</v>
      </c>
      <c r="H385" s="1" t="s">
        <v>69</v>
      </c>
      <c r="I385" s="1" t="s">
        <v>34</v>
      </c>
      <c r="J385" s="1" t="s">
        <v>59</v>
      </c>
      <c r="K385" s="1" t="s">
        <v>60</v>
      </c>
      <c r="L385" s="1" t="s">
        <v>85</v>
      </c>
      <c r="M385" s="1" t="s">
        <v>50</v>
      </c>
      <c r="N385" s="1" t="n">
        <v>11999</v>
      </c>
      <c r="O385" s="1" t="n">
        <v>50</v>
      </c>
      <c r="P385" s="1" t="n">
        <v>5999.5</v>
      </c>
      <c r="Q385" s="1" t="n">
        <v>5999.5</v>
      </c>
      <c r="R385" s="1" t="n">
        <v>1079.91</v>
      </c>
      <c r="S385" s="1" t="n">
        <v>4919.59</v>
      </c>
      <c r="T385" s="1" t="n">
        <v>2757.24</v>
      </c>
      <c r="U385" s="1" t="n">
        <v>2162.35</v>
      </c>
      <c r="V385" s="1" t="n">
        <v>43.95</v>
      </c>
      <c r="W385" s="1" t="s">
        <v>40</v>
      </c>
      <c r="Y385" s="1" t="s">
        <v>40</v>
      </c>
      <c r="Z385" s="1" t="n">
        <v>1</v>
      </c>
      <c r="AA385" s="1" t="str">
        <f aca="false">TRIM(PROPER(F385))</f>
        <v>Noida</v>
      </c>
      <c r="AB385" s="1" t="str">
        <f aca="false">TRIM(PROPER(C385))</f>
        <v>Vedantu</v>
      </c>
      <c r="AC385" s="1" t="str">
        <f aca="false">IF(O385=0,"No Discount",IF(O385&lt;=15,"Low (1-15%)",IF(O385&lt;=30,"Medium (16-30%)","High (&gt;30%)")))</f>
        <v>High (&gt;30%)</v>
      </c>
      <c r="AD385" s="1" t="str">
        <f aca="false">IF(V385&lt;0,"Loss Making",IF(V385&lt;20,"Low Margin","Healthy Margin"))</f>
        <v>Healthy Margin</v>
      </c>
      <c r="AE385" s="1" t="str">
        <f aca="false">TEXT(DATE(VALUE(RIGHT(B385,4)),VALUE(MID(B385,4,2)),VALUE(LEFT(B385,2))),"MMM-YYYY")</f>
        <v>Dec-2024</v>
      </c>
      <c r="AF385" s="1" t="n">
        <f aca="false">VALUE(RIGHT(B385,4))</f>
        <v>2024</v>
      </c>
      <c r="AG385" s="1" t="str">
        <f aca="false">CHOOSE(ROUNDUP(VALUE(MID(B385,4,2))/3,0),"Q1","Q2","Q3","Q4")</f>
        <v>Q4</v>
      </c>
    </row>
    <row r="386" customFormat="false" ht="15" hidden="false" customHeight="true" outlineLevel="0" collapsed="false">
      <c r="A386" s="1" t="s">
        <v>842</v>
      </c>
      <c r="B386" s="1" t="s">
        <v>843</v>
      </c>
      <c r="C386" s="1" t="s">
        <v>249</v>
      </c>
      <c r="D386" s="1" t="s">
        <v>44</v>
      </c>
      <c r="E386" s="1" t="s">
        <v>66</v>
      </c>
      <c r="F386" s="1" t="s">
        <v>107</v>
      </c>
      <c r="G386" s="1" t="s">
        <v>108</v>
      </c>
      <c r="H386" s="1" t="s">
        <v>33</v>
      </c>
      <c r="I386" s="1" t="s">
        <v>34</v>
      </c>
      <c r="J386" s="1" t="s">
        <v>59</v>
      </c>
      <c r="K386" s="1" t="s">
        <v>90</v>
      </c>
      <c r="L386" s="1" t="s">
        <v>85</v>
      </c>
      <c r="M386" s="1" t="s">
        <v>62</v>
      </c>
      <c r="N386" s="1" t="n">
        <v>12999</v>
      </c>
      <c r="O386" s="1" t="n">
        <v>0</v>
      </c>
      <c r="P386" s="1" t="n">
        <v>0</v>
      </c>
      <c r="Q386" s="1" t="n">
        <v>12999</v>
      </c>
      <c r="R386" s="1" t="n">
        <v>2339.82</v>
      </c>
      <c r="S386" s="1" t="n">
        <v>10659.18</v>
      </c>
      <c r="T386" s="1" t="n">
        <v>4464.76</v>
      </c>
      <c r="U386" s="1" t="n">
        <v>6194.42</v>
      </c>
      <c r="V386" s="1" t="n">
        <v>58.11</v>
      </c>
      <c r="W386" s="1" t="s">
        <v>40</v>
      </c>
      <c r="Y386" s="1" t="s">
        <v>40</v>
      </c>
      <c r="Z386" s="1" t="n">
        <v>0</v>
      </c>
      <c r="AA386" s="1" t="str">
        <f aca="false">TRIM(PROPER(F386))</f>
        <v>Madurai</v>
      </c>
      <c r="AB386" s="1" t="str">
        <f aca="false">TRIM(PROPER(C386))</f>
        <v>Whitehat Jr</v>
      </c>
      <c r="AC386" s="1" t="str">
        <f aca="false">IF(O386=0,"No Discount",IF(O386&lt;=15,"Low (1-15%)",IF(O386&lt;=30,"Medium (16-30%)","High (&gt;30%)")))</f>
        <v>No Discount</v>
      </c>
      <c r="AD386" s="1" t="str">
        <f aca="false">IF(V386&lt;0,"Loss Making",IF(V386&lt;20,"Low Margin","Healthy Margin"))</f>
        <v>Healthy Margin</v>
      </c>
      <c r="AE386" s="1" t="str">
        <f aca="false">TEXT(DATE(VALUE(RIGHT(B386,4)),VALUE(MID(B386,4,2)),VALUE(LEFT(B386,2))),"MMM-YYYY")</f>
        <v>Oct-2023</v>
      </c>
      <c r="AF386" s="1" t="n">
        <f aca="false">VALUE(RIGHT(B386,4))</f>
        <v>2023</v>
      </c>
      <c r="AG386" s="1" t="str">
        <f aca="false">CHOOSE(ROUNDUP(VALUE(MID(B386,4,2))/3,0),"Q1","Q2","Q3","Q4")</f>
        <v>Q4</v>
      </c>
    </row>
    <row r="387" customFormat="false" ht="15" hidden="false" customHeight="true" outlineLevel="0" collapsed="false">
      <c r="A387" s="1" t="s">
        <v>844</v>
      </c>
      <c r="B387" s="1" t="s">
        <v>845</v>
      </c>
      <c r="C387" s="1" t="s">
        <v>119</v>
      </c>
      <c r="D387" s="1" t="s">
        <v>143</v>
      </c>
      <c r="E387" s="1" t="s">
        <v>144</v>
      </c>
      <c r="F387" s="1" t="s">
        <v>89</v>
      </c>
      <c r="G387" s="1" t="s">
        <v>68</v>
      </c>
      <c r="H387" s="1" t="s">
        <v>33</v>
      </c>
      <c r="I387" s="1" t="s">
        <v>83</v>
      </c>
      <c r="J387" s="1" t="s">
        <v>70</v>
      </c>
      <c r="K387" s="1" t="s">
        <v>84</v>
      </c>
      <c r="L387" s="1" t="s">
        <v>37</v>
      </c>
      <c r="M387" s="1" t="s">
        <v>50</v>
      </c>
      <c r="N387" s="1" t="n">
        <v>12999</v>
      </c>
      <c r="O387" s="1" t="n">
        <v>40</v>
      </c>
      <c r="P387" s="1" t="n">
        <v>5199.6</v>
      </c>
      <c r="Q387" s="1" t="n">
        <v>7799.4</v>
      </c>
      <c r="R387" s="1" t="n">
        <v>1403.89</v>
      </c>
      <c r="S387" s="1" t="n">
        <v>6395.51</v>
      </c>
      <c r="T387" s="1" t="n">
        <v>3854.51</v>
      </c>
      <c r="U387" s="1" t="n">
        <v>2541</v>
      </c>
      <c r="V387" s="1" t="n">
        <v>39.73</v>
      </c>
      <c r="W387" s="1" t="s">
        <v>39</v>
      </c>
      <c r="X387" s="1" t="n">
        <v>3.4</v>
      </c>
      <c r="Y387" s="1" t="s">
        <v>40</v>
      </c>
      <c r="Z387" s="1" t="n">
        <v>1</v>
      </c>
      <c r="AA387" s="1" t="str">
        <f aca="false">TRIM(PROPER(F387))</f>
        <v>Vadodara</v>
      </c>
      <c r="AB387" s="1" t="str">
        <f aca="false">TRIM(PROPER(C387))</f>
        <v>Simplilearn</v>
      </c>
      <c r="AC387" s="1" t="str">
        <f aca="false">IF(O387=0,"No Discount",IF(O387&lt;=15,"Low (1-15%)",IF(O387&lt;=30,"Medium (16-30%)","High (&gt;30%)")))</f>
        <v>High (&gt;30%)</v>
      </c>
      <c r="AD387" s="1" t="str">
        <f aca="false">IF(V387&lt;0,"Loss Making",IF(V387&lt;20,"Low Margin","Healthy Margin"))</f>
        <v>Healthy Margin</v>
      </c>
      <c r="AE387" s="1" t="str">
        <f aca="false">TEXT(DATE(VALUE(RIGHT(B387,4)),VALUE(MID(B387,4,2)),VALUE(LEFT(B387,2))),"MMM-YYYY")</f>
        <v>Mar-2024</v>
      </c>
      <c r="AF387" s="1" t="n">
        <f aca="false">VALUE(RIGHT(B387,4))</f>
        <v>2024</v>
      </c>
      <c r="AG387" s="1" t="str">
        <f aca="false">CHOOSE(ROUNDUP(VALUE(MID(B387,4,2))/3,0),"Q1","Q2","Q3","Q4")</f>
        <v>Q1</v>
      </c>
    </row>
    <row r="388" customFormat="false" ht="15" hidden="false" customHeight="true" outlineLevel="0" collapsed="false">
      <c r="A388" s="1" t="s">
        <v>846</v>
      </c>
      <c r="B388" s="1" t="s">
        <v>847</v>
      </c>
      <c r="C388" s="1" t="s">
        <v>74</v>
      </c>
      <c r="D388" s="1" t="s">
        <v>44</v>
      </c>
      <c r="E388" s="1" t="s">
        <v>45</v>
      </c>
      <c r="F388" s="1" t="s">
        <v>102</v>
      </c>
      <c r="G388" s="1" t="s">
        <v>103</v>
      </c>
      <c r="H388" s="1" t="s">
        <v>33</v>
      </c>
      <c r="I388" s="1" t="s">
        <v>34</v>
      </c>
      <c r="J388" s="1" t="s">
        <v>35</v>
      </c>
      <c r="K388" s="1" t="s">
        <v>90</v>
      </c>
      <c r="L388" s="1" t="s">
        <v>85</v>
      </c>
      <c r="M388" s="1" t="s">
        <v>50</v>
      </c>
      <c r="N388" s="1" t="n">
        <v>11999</v>
      </c>
      <c r="O388" s="1" t="n">
        <v>40</v>
      </c>
      <c r="P388" s="1" t="n">
        <v>4799.6</v>
      </c>
      <c r="Q388" s="1" t="n">
        <v>7199.4</v>
      </c>
      <c r="R388" s="1" t="n">
        <v>1295.89</v>
      </c>
      <c r="S388" s="1" t="n">
        <v>5903.51</v>
      </c>
      <c r="T388" s="1" t="n">
        <v>3682.35</v>
      </c>
      <c r="U388" s="1" t="n">
        <v>2221.16</v>
      </c>
      <c r="V388" s="1" t="n">
        <v>37.62</v>
      </c>
      <c r="W388" s="1" t="s">
        <v>39</v>
      </c>
      <c r="X388" s="1" t="n">
        <v>3.8</v>
      </c>
      <c r="Y388" s="1" t="s">
        <v>40</v>
      </c>
      <c r="Z388" s="1" t="n">
        <v>0</v>
      </c>
      <c r="AA388" s="1" t="str">
        <f aca="false">TRIM(PROPER(F388))</f>
        <v>Warangal</v>
      </c>
      <c r="AB388" s="1" t="str">
        <f aca="false">TRIM(PROPER(C388))</f>
        <v>Vedantu</v>
      </c>
      <c r="AC388" s="1" t="str">
        <f aca="false">IF(O388=0,"No Discount",IF(O388&lt;=15,"Low (1-15%)",IF(O388&lt;=30,"Medium (16-30%)","High (&gt;30%)")))</f>
        <v>High (&gt;30%)</v>
      </c>
      <c r="AD388" s="1" t="str">
        <f aca="false">IF(V388&lt;0,"Loss Making",IF(V388&lt;20,"Low Margin","Healthy Margin"))</f>
        <v>Healthy Margin</v>
      </c>
      <c r="AE388" s="1" t="str">
        <f aca="false">TEXT(DATE(VALUE(RIGHT(B388,4)),VALUE(MID(B388,4,2)),VALUE(LEFT(B388,2))),"MMM-YYYY")</f>
        <v>Jun-2023</v>
      </c>
      <c r="AF388" s="1" t="n">
        <f aca="false">VALUE(RIGHT(B388,4))</f>
        <v>2023</v>
      </c>
      <c r="AG388" s="1" t="str">
        <f aca="false">CHOOSE(ROUNDUP(VALUE(MID(B388,4,2))/3,0),"Q1","Q2","Q3","Q4")</f>
        <v>Q2</v>
      </c>
    </row>
    <row r="389" customFormat="false" ht="15" hidden="false" customHeight="true" outlineLevel="0" collapsed="false">
      <c r="A389" s="1" t="s">
        <v>848</v>
      </c>
      <c r="B389" s="1" t="s">
        <v>849</v>
      </c>
      <c r="C389" s="1" t="s">
        <v>178</v>
      </c>
      <c r="D389" s="1" t="s">
        <v>143</v>
      </c>
      <c r="E389" s="1" t="s">
        <v>144</v>
      </c>
      <c r="F389" s="1" t="s">
        <v>125</v>
      </c>
      <c r="G389" s="1" t="s">
        <v>108</v>
      </c>
      <c r="H389" s="1" t="s">
        <v>69</v>
      </c>
      <c r="I389" s="1" t="s">
        <v>58</v>
      </c>
      <c r="J389" s="1" t="s">
        <v>59</v>
      </c>
      <c r="K389" s="1" t="s">
        <v>104</v>
      </c>
      <c r="L389" s="1" t="s">
        <v>113</v>
      </c>
      <c r="M389" s="1" t="s">
        <v>38</v>
      </c>
      <c r="N389" s="1" t="n">
        <v>12999</v>
      </c>
      <c r="O389" s="1" t="n">
        <v>25</v>
      </c>
      <c r="P389" s="1" t="n">
        <v>3249.75</v>
      </c>
      <c r="Q389" s="1" t="n">
        <v>9749.25</v>
      </c>
      <c r="R389" s="1" t="n">
        <v>1754.87</v>
      </c>
      <c r="S389" s="1" t="n">
        <v>7994.38</v>
      </c>
      <c r="T389" s="1" t="n">
        <v>2548.71</v>
      </c>
      <c r="U389" s="1" t="n">
        <v>5445.67</v>
      </c>
      <c r="V389" s="1" t="n">
        <v>68.12</v>
      </c>
      <c r="W389" s="1" t="s">
        <v>39</v>
      </c>
      <c r="X389" s="1" t="n">
        <v>4</v>
      </c>
      <c r="Y389" s="1" t="s">
        <v>40</v>
      </c>
      <c r="Z389" s="1" t="n">
        <v>0</v>
      </c>
      <c r="AA389" s="1" t="str">
        <f aca="false">TRIM(PROPER(F389))</f>
        <v>Chennai</v>
      </c>
      <c r="AB389" s="1" t="str">
        <f aca="false">TRIM(PROPER(C389))</f>
        <v>Leverage Edu</v>
      </c>
      <c r="AC389" s="1" t="str">
        <f aca="false">IF(O389=0,"No Discount",IF(O389&lt;=15,"Low (1-15%)",IF(O389&lt;=30,"Medium (16-30%)","High (&gt;30%)")))</f>
        <v>Medium (16-30%)</v>
      </c>
      <c r="AD389" s="1" t="str">
        <f aca="false">IF(V389&lt;0,"Loss Making",IF(V389&lt;20,"Low Margin","Healthy Margin"))</f>
        <v>Healthy Margin</v>
      </c>
      <c r="AE389" s="1" t="str">
        <f aca="false">TEXT(DATE(VALUE(RIGHT(B389,4)),VALUE(MID(B389,4,2)),VALUE(LEFT(B389,2))),"MMM-YYYY")</f>
        <v>Apr-2024</v>
      </c>
      <c r="AF389" s="1" t="n">
        <f aca="false">VALUE(RIGHT(B389,4))</f>
        <v>2024</v>
      </c>
      <c r="AG389" s="1" t="str">
        <f aca="false">CHOOSE(ROUNDUP(VALUE(MID(B389,4,2))/3,0),"Q1","Q2","Q3","Q4")</f>
        <v>Q2</v>
      </c>
    </row>
    <row r="390" customFormat="false" ht="15" hidden="false" customHeight="true" outlineLevel="0" collapsed="false">
      <c r="A390" s="1" t="s">
        <v>850</v>
      </c>
      <c r="B390" s="1" t="s">
        <v>851</v>
      </c>
      <c r="C390" s="1" t="s">
        <v>100</v>
      </c>
      <c r="D390" s="1" t="s">
        <v>53</v>
      </c>
      <c r="E390" s="1" t="s">
        <v>54</v>
      </c>
      <c r="F390" s="1" t="s">
        <v>107</v>
      </c>
      <c r="G390" s="1" t="s">
        <v>108</v>
      </c>
      <c r="H390" s="1" t="s">
        <v>33</v>
      </c>
      <c r="I390" s="1" t="s">
        <v>58</v>
      </c>
      <c r="J390" s="1" t="s">
        <v>70</v>
      </c>
      <c r="K390" s="1" t="s">
        <v>48</v>
      </c>
      <c r="L390" s="1" t="s">
        <v>113</v>
      </c>
      <c r="M390" s="1" t="s">
        <v>62</v>
      </c>
      <c r="N390" s="1" t="n">
        <v>11999</v>
      </c>
      <c r="O390" s="1" t="n">
        <v>10</v>
      </c>
      <c r="P390" s="1" t="n">
        <v>1199.9</v>
      </c>
      <c r="Q390" s="1" t="n">
        <v>10799.1</v>
      </c>
      <c r="R390" s="1" t="n">
        <v>1943.84</v>
      </c>
      <c r="S390" s="1" t="n">
        <v>8855.26</v>
      </c>
      <c r="T390" s="1" t="n">
        <v>3771.05</v>
      </c>
      <c r="U390" s="1" t="n">
        <v>5084.21</v>
      </c>
      <c r="V390" s="1" t="n">
        <v>57.41</v>
      </c>
      <c r="W390" s="1" t="s">
        <v>40</v>
      </c>
      <c r="Y390" s="1" t="s">
        <v>40</v>
      </c>
      <c r="Z390" s="1" t="n">
        <v>0</v>
      </c>
      <c r="AA390" s="1" t="str">
        <f aca="false">TRIM(PROPER(F390))</f>
        <v>Madurai</v>
      </c>
      <c r="AB390" s="1" t="str">
        <f aca="false">TRIM(PROPER(C390))</f>
        <v>Physics Wallah</v>
      </c>
      <c r="AC390" s="1" t="str">
        <f aca="false">IF(O390=0,"No Discount",IF(O390&lt;=15,"Low (1-15%)",IF(O390&lt;=30,"Medium (16-30%)","High (&gt;30%)")))</f>
        <v>Low (1-15%)</v>
      </c>
      <c r="AD390" s="1" t="str">
        <f aca="false">IF(V390&lt;0,"Loss Making",IF(V390&lt;20,"Low Margin","Healthy Margin"))</f>
        <v>Healthy Margin</v>
      </c>
      <c r="AE390" s="1" t="str">
        <f aca="false">TEXT(DATE(VALUE(RIGHT(B390,4)),VALUE(MID(B390,4,2)),VALUE(LEFT(B390,2))),"MMM-YYYY")</f>
        <v>Nov-2023</v>
      </c>
      <c r="AF390" s="1" t="n">
        <f aca="false">VALUE(RIGHT(B390,4))</f>
        <v>2023</v>
      </c>
      <c r="AG390" s="1" t="str">
        <f aca="false">CHOOSE(ROUNDUP(VALUE(MID(B390,4,2))/3,0),"Q1","Q2","Q3","Q4")</f>
        <v>Q4</v>
      </c>
    </row>
    <row r="391" customFormat="false" ht="15" hidden="false" customHeight="true" outlineLevel="0" collapsed="false">
      <c r="A391" s="1" t="s">
        <v>852</v>
      </c>
      <c r="B391" s="1" t="s">
        <v>354</v>
      </c>
      <c r="C391" s="1" t="s">
        <v>28</v>
      </c>
      <c r="D391" s="1" t="s">
        <v>94</v>
      </c>
      <c r="E391" s="1" t="s">
        <v>135</v>
      </c>
      <c r="F391" s="1" t="s">
        <v>46</v>
      </c>
      <c r="G391" s="1" t="s">
        <v>47</v>
      </c>
      <c r="H391" s="1" t="s">
        <v>33</v>
      </c>
      <c r="I391" s="1" t="s">
        <v>58</v>
      </c>
      <c r="J391" s="1" t="s">
        <v>70</v>
      </c>
      <c r="K391" s="1" t="s">
        <v>71</v>
      </c>
      <c r="L391" s="1" t="s">
        <v>85</v>
      </c>
      <c r="M391" s="1" t="s">
        <v>62</v>
      </c>
      <c r="N391" s="1" t="n">
        <v>9999</v>
      </c>
      <c r="O391" s="1" t="n">
        <v>0</v>
      </c>
      <c r="P391" s="1" t="n">
        <v>0</v>
      </c>
      <c r="Q391" s="1" t="n">
        <v>9999</v>
      </c>
      <c r="R391" s="1" t="n">
        <v>1799.82</v>
      </c>
      <c r="S391" s="1" t="n">
        <v>8199.18</v>
      </c>
      <c r="T391" s="1" t="n">
        <v>3185.9</v>
      </c>
      <c r="U391" s="1" t="n">
        <v>5013.28</v>
      </c>
      <c r="V391" s="1" t="n">
        <v>61.14</v>
      </c>
      <c r="W391" s="1" t="s">
        <v>39</v>
      </c>
      <c r="X391" s="1" t="n">
        <v>4.3</v>
      </c>
      <c r="Y391" s="1" t="s">
        <v>39</v>
      </c>
      <c r="Z391" s="1" t="n">
        <v>0</v>
      </c>
      <c r="AA391" s="1" t="str">
        <f aca="false">TRIM(PROPER(F391))</f>
        <v>Mangaluru</v>
      </c>
      <c r="AB391" s="1" t="str">
        <f aca="false">TRIM(PROPER(C391))</f>
        <v>Embibe</v>
      </c>
      <c r="AC391" s="1" t="str">
        <f aca="false">IF(O391=0,"No Discount",IF(O391&lt;=15,"Low (1-15%)",IF(O391&lt;=30,"Medium (16-30%)","High (&gt;30%)")))</f>
        <v>No Discount</v>
      </c>
      <c r="AD391" s="1" t="str">
        <f aca="false">IF(V391&lt;0,"Loss Making",IF(V391&lt;20,"Low Margin","Healthy Margin"))</f>
        <v>Healthy Margin</v>
      </c>
      <c r="AE391" s="1" t="str">
        <f aca="false">TEXT(DATE(VALUE(RIGHT(B391,4)),VALUE(MID(B391,4,2)),VALUE(LEFT(B391,2))),"MMM-YYYY")</f>
        <v>May-2024</v>
      </c>
      <c r="AF391" s="1" t="n">
        <f aca="false">VALUE(RIGHT(B391,4))</f>
        <v>2024</v>
      </c>
      <c r="AG391" s="1" t="str">
        <f aca="false">CHOOSE(ROUNDUP(VALUE(MID(B391,4,2))/3,0),"Q1","Q2","Q3","Q4")</f>
        <v>Q2</v>
      </c>
    </row>
    <row r="392" customFormat="false" ht="15" hidden="false" customHeight="true" outlineLevel="0" collapsed="false">
      <c r="A392" s="1" t="s">
        <v>853</v>
      </c>
      <c r="B392" s="1" t="s">
        <v>854</v>
      </c>
      <c r="C392" s="1" t="s">
        <v>178</v>
      </c>
      <c r="D392" s="1" t="s">
        <v>29</v>
      </c>
      <c r="E392" s="1" t="s">
        <v>305</v>
      </c>
      <c r="F392" s="1" t="s">
        <v>102</v>
      </c>
      <c r="G392" s="1" t="s">
        <v>103</v>
      </c>
      <c r="H392" s="1" t="s">
        <v>33</v>
      </c>
      <c r="I392" s="1" t="s">
        <v>58</v>
      </c>
      <c r="J392" s="1" t="s">
        <v>70</v>
      </c>
      <c r="K392" s="1" t="s">
        <v>112</v>
      </c>
      <c r="L392" s="1" t="s">
        <v>61</v>
      </c>
      <c r="M392" s="1" t="s">
        <v>62</v>
      </c>
      <c r="N392" s="1" t="n">
        <v>24999</v>
      </c>
      <c r="O392" s="1" t="n">
        <v>10</v>
      </c>
      <c r="P392" s="1" t="n">
        <v>2499.9</v>
      </c>
      <c r="Q392" s="1" t="n">
        <v>22499.1</v>
      </c>
      <c r="R392" s="1" t="n">
        <v>4049.84</v>
      </c>
      <c r="S392" s="1" t="n">
        <v>18449.26</v>
      </c>
      <c r="T392" s="1" t="n">
        <v>9017.63</v>
      </c>
      <c r="U392" s="1" t="n">
        <v>9431.63</v>
      </c>
      <c r="V392" s="1" t="n">
        <v>51.12</v>
      </c>
      <c r="W392" s="1" t="s">
        <v>39</v>
      </c>
      <c r="Y392" s="1" t="s">
        <v>40</v>
      </c>
      <c r="Z392" s="1" t="n">
        <v>0</v>
      </c>
      <c r="AA392" s="1" t="str">
        <f aca="false">TRIM(PROPER(F392))</f>
        <v>Warangal</v>
      </c>
      <c r="AB392" s="1" t="str">
        <f aca="false">TRIM(PROPER(C392))</f>
        <v>Leverage Edu</v>
      </c>
      <c r="AC392" s="1" t="str">
        <f aca="false">IF(O392=0,"No Discount",IF(O392&lt;=15,"Low (1-15%)",IF(O392&lt;=30,"Medium (16-30%)","High (&gt;30%)")))</f>
        <v>Low (1-15%)</v>
      </c>
      <c r="AD392" s="1" t="str">
        <f aca="false">IF(V392&lt;0,"Loss Making",IF(V392&lt;20,"Low Margin","Healthy Margin"))</f>
        <v>Healthy Margin</v>
      </c>
      <c r="AE392" s="1" t="str">
        <f aca="false">TEXT(DATE(VALUE(RIGHT(B392,4)),VALUE(MID(B392,4,2)),VALUE(LEFT(B392,2))),"MMM-YYYY")</f>
        <v>Apr-2024</v>
      </c>
      <c r="AF392" s="1" t="n">
        <f aca="false">VALUE(RIGHT(B392,4))</f>
        <v>2024</v>
      </c>
      <c r="AG392" s="1" t="str">
        <f aca="false">CHOOSE(ROUNDUP(VALUE(MID(B392,4,2))/3,0),"Q1","Q2","Q3","Q4")</f>
        <v>Q2</v>
      </c>
    </row>
    <row r="393" customFormat="false" ht="15" hidden="false" customHeight="true" outlineLevel="0" collapsed="false">
      <c r="A393" s="1" t="s">
        <v>855</v>
      </c>
      <c r="B393" s="1" t="s">
        <v>435</v>
      </c>
      <c r="C393" s="1" t="s">
        <v>28</v>
      </c>
      <c r="D393" s="1" t="s">
        <v>168</v>
      </c>
      <c r="E393" s="1" t="s">
        <v>197</v>
      </c>
      <c r="F393" s="1" t="s">
        <v>107</v>
      </c>
      <c r="G393" s="1" t="s">
        <v>108</v>
      </c>
      <c r="H393" s="1" t="s">
        <v>33</v>
      </c>
      <c r="I393" s="1" t="s">
        <v>83</v>
      </c>
      <c r="J393" s="1" t="s">
        <v>131</v>
      </c>
      <c r="K393" s="1" t="s">
        <v>36</v>
      </c>
      <c r="L393" s="1" t="s">
        <v>61</v>
      </c>
      <c r="M393" s="1" t="s">
        <v>62</v>
      </c>
      <c r="N393" s="1" t="n">
        <v>8499</v>
      </c>
      <c r="O393" s="1" t="n">
        <v>5</v>
      </c>
      <c r="P393" s="1" t="n">
        <v>424.95</v>
      </c>
      <c r="Q393" s="1" t="n">
        <v>8074.05</v>
      </c>
      <c r="R393" s="1" t="n">
        <v>1453.33</v>
      </c>
      <c r="S393" s="1" t="n">
        <v>6620.72</v>
      </c>
      <c r="T393" s="1" t="n">
        <v>2849.91</v>
      </c>
      <c r="U393" s="1" t="n">
        <v>3770.81</v>
      </c>
      <c r="V393" s="1" t="n">
        <v>56.95</v>
      </c>
      <c r="W393" s="1" t="s">
        <v>39</v>
      </c>
      <c r="X393" s="1" t="n">
        <v>3.8</v>
      </c>
      <c r="Y393" s="1" t="s">
        <v>40</v>
      </c>
      <c r="Z393" s="1" t="n">
        <v>1</v>
      </c>
      <c r="AA393" s="1" t="str">
        <f aca="false">TRIM(PROPER(F393))</f>
        <v>Madurai</v>
      </c>
      <c r="AB393" s="1" t="str">
        <f aca="false">TRIM(PROPER(C393))</f>
        <v>Embibe</v>
      </c>
      <c r="AC393" s="1" t="str">
        <f aca="false">IF(O393=0,"No Discount",IF(O393&lt;=15,"Low (1-15%)",IF(O393&lt;=30,"Medium (16-30%)","High (&gt;30%)")))</f>
        <v>Low (1-15%)</v>
      </c>
      <c r="AD393" s="1" t="str">
        <f aca="false">IF(V393&lt;0,"Loss Making",IF(V393&lt;20,"Low Margin","Healthy Margin"))</f>
        <v>Healthy Margin</v>
      </c>
      <c r="AE393" s="1" t="str">
        <f aca="false">TEXT(DATE(VALUE(RIGHT(B393,4)),VALUE(MID(B393,4,2)),VALUE(LEFT(B393,2))),"MMM-YYYY")</f>
        <v>Feb-2024</v>
      </c>
      <c r="AF393" s="1" t="n">
        <f aca="false">VALUE(RIGHT(B393,4))</f>
        <v>2024</v>
      </c>
      <c r="AG393" s="1" t="str">
        <f aca="false">CHOOSE(ROUNDUP(VALUE(MID(B393,4,2))/3,0),"Q1","Q2","Q3","Q4")</f>
        <v>Q1</v>
      </c>
    </row>
    <row r="394" customFormat="false" ht="15" hidden="false" customHeight="true" outlineLevel="0" collapsed="false">
      <c r="A394" s="1" t="s">
        <v>856</v>
      </c>
      <c r="B394" s="1" t="s">
        <v>284</v>
      </c>
      <c r="C394" s="1" t="s">
        <v>65</v>
      </c>
      <c r="D394" s="1" t="s">
        <v>94</v>
      </c>
      <c r="E394" s="1" t="s">
        <v>101</v>
      </c>
      <c r="F394" s="1" t="s">
        <v>140</v>
      </c>
      <c r="G394" s="1" t="s">
        <v>97</v>
      </c>
      <c r="H394" s="1" t="s">
        <v>57</v>
      </c>
      <c r="I394" s="1" t="s">
        <v>83</v>
      </c>
      <c r="J394" s="1" t="s">
        <v>35</v>
      </c>
      <c r="K394" s="1" t="s">
        <v>36</v>
      </c>
      <c r="L394" s="1" t="s">
        <v>49</v>
      </c>
      <c r="M394" s="1" t="s">
        <v>38</v>
      </c>
      <c r="N394" s="1" t="n">
        <v>14999</v>
      </c>
      <c r="O394" s="1" t="n">
        <v>30</v>
      </c>
      <c r="P394" s="1" t="n">
        <v>4499.7</v>
      </c>
      <c r="Q394" s="1" t="n">
        <v>10499.3</v>
      </c>
      <c r="R394" s="1" t="n">
        <v>1889.87</v>
      </c>
      <c r="S394" s="1" t="n">
        <v>8609.43</v>
      </c>
      <c r="T394" s="1" t="n">
        <v>4473.5</v>
      </c>
      <c r="U394" s="1" t="n">
        <v>4135.93</v>
      </c>
      <c r="V394" s="1" t="n">
        <v>48.04</v>
      </c>
      <c r="W394" s="1" t="s">
        <v>39</v>
      </c>
      <c r="X394" s="1" t="n">
        <v>3.3</v>
      </c>
      <c r="Y394" s="1" t="s">
        <v>40</v>
      </c>
      <c r="Z394" s="1" t="n">
        <v>0</v>
      </c>
      <c r="AA394" s="1" t="str">
        <f aca="false">TRIM(PROPER(F394))</f>
        <v>Nashik</v>
      </c>
      <c r="AB394" s="1" t="str">
        <f aca="false">TRIM(PROPER(C394))</f>
        <v>Toppr</v>
      </c>
      <c r="AC394" s="1" t="str">
        <f aca="false">IF(O394=0,"No Discount",IF(O394&lt;=15,"Low (1-15%)",IF(O394&lt;=30,"Medium (16-30%)","High (&gt;30%)")))</f>
        <v>Medium (16-30%)</v>
      </c>
      <c r="AD394" s="1" t="str">
        <f aca="false">IF(V394&lt;0,"Loss Making",IF(V394&lt;20,"Low Margin","Healthy Margin"))</f>
        <v>Healthy Margin</v>
      </c>
      <c r="AE394" s="1" t="str">
        <f aca="false">TEXT(DATE(VALUE(RIGHT(B394,4)),VALUE(MID(B394,4,2)),VALUE(LEFT(B394,2))),"MMM-YYYY")</f>
        <v>Oct-2024</v>
      </c>
      <c r="AF394" s="1" t="n">
        <f aca="false">VALUE(RIGHT(B394,4))</f>
        <v>2024</v>
      </c>
      <c r="AG394" s="1" t="str">
        <f aca="false">CHOOSE(ROUNDUP(VALUE(MID(B394,4,2))/3,0),"Q1","Q2","Q3","Q4")</f>
        <v>Q4</v>
      </c>
    </row>
    <row r="395" customFormat="false" ht="15" hidden="false" customHeight="true" outlineLevel="0" collapsed="false">
      <c r="A395" s="1" t="s">
        <v>857</v>
      </c>
      <c r="B395" s="1" t="s">
        <v>858</v>
      </c>
      <c r="C395" s="1" t="s">
        <v>859</v>
      </c>
      <c r="D395" s="1" t="s">
        <v>44</v>
      </c>
      <c r="E395" s="1" t="s">
        <v>45</v>
      </c>
      <c r="F395" s="1" t="s">
        <v>31</v>
      </c>
      <c r="G395" s="1" t="s">
        <v>32</v>
      </c>
      <c r="H395" s="1" t="s">
        <v>33</v>
      </c>
      <c r="I395" s="1" t="s">
        <v>58</v>
      </c>
      <c r="J395" s="1" t="s">
        <v>70</v>
      </c>
      <c r="K395" s="1" t="s">
        <v>112</v>
      </c>
      <c r="L395" s="1" t="s">
        <v>37</v>
      </c>
      <c r="M395" s="1" t="s">
        <v>50</v>
      </c>
      <c r="N395" s="1" t="n">
        <v>11999</v>
      </c>
      <c r="O395" s="1" t="n">
        <v>5</v>
      </c>
      <c r="P395" s="1" t="n">
        <v>599.95</v>
      </c>
      <c r="Q395" s="1" t="n">
        <v>11399.05</v>
      </c>
      <c r="R395" s="1" t="n">
        <v>2051.83</v>
      </c>
      <c r="S395" s="1" t="n">
        <v>9347.22</v>
      </c>
      <c r="T395" s="1" t="n">
        <v>4738.44</v>
      </c>
      <c r="U395" s="1" t="n">
        <v>4608.78</v>
      </c>
      <c r="V395" s="1" t="n">
        <v>49.31</v>
      </c>
      <c r="W395" s="1" t="s">
        <v>40</v>
      </c>
      <c r="Y395" s="1" t="s">
        <v>40</v>
      </c>
      <c r="Z395" s="1" t="n">
        <v>1</v>
      </c>
      <c r="AA395" s="1" t="str">
        <f aca="false">TRIM(PROPER(F395))</f>
        <v>Jodhpur</v>
      </c>
      <c r="AB395" s="1" t="str">
        <f aca="false">TRIM(PROPER(C395))</f>
        <v>Whitehat Jr</v>
      </c>
      <c r="AC395" s="1" t="str">
        <f aca="false">IF(O395=0,"No Discount",IF(O395&lt;=15,"Low (1-15%)",IF(O395&lt;=30,"Medium (16-30%)","High (&gt;30%)")))</f>
        <v>Low (1-15%)</v>
      </c>
      <c r="AD395" s="1" t="str">
        <f aca="false">IF(V395&lt;0,"Loss Making",IF(V395&lt;20,"Low Margin","Healthy Margin"))</f>
        <v>Healthy Margin</v>
      </c>
      <c r="AE395" s="1" t="str">
        <f aca="false">TEXT(DATE(VALUE(RIGHT(B395,4)),VALUE(MID(B395,4,2)),VALUE(LEFT(B395,2))),"MMM-YYYY")</f>
        <v>Sep-2024</v>
      </c>
      <c r="AF395" s="1" t="n">
        <f aca="false">VALUE(RIGHT(B395,4))</f>
        <v>2024</v>
      </c>
      <c r="AG395" s="1" t="str">
        <f aca="false">CHOOSE(ROUNDUP(VALUE(MID(B395,4,2))/3,0),"Q1","Q2","Q3","Q4")</f>
        <v>Q3</v>
      </c>
    </row>
    <row r="396" customFormat="false" ht="15" hidden="false" customHeight="true" outlineLevel="0" collapsed="false">
      <c r="A396" s="1" t="s">
        <v>860</v>
      </c>
      <c r="B396" s="1" t="s">
        <v>318</v>
      </c>
      <c r="C396" s="1" t="s">
        <v>128</v>
      </c>
      <c r="D396" s="1" t="s">
        <v>123</v>
      </c>
      <c r="E396" s="1" t="s">
        <v>147</v>
      </c>
      <c r="F396" s="1" t="s">
        <v>140</v>
      </c>
      <c r="G396" s="1" t="s">
        <v>97</v>
      </c>
      <c r="H396" s="1" t="s">
        <v>57</v>
      </c>
      <c r="I396" s="1" t="s">
        <v>83</v>
      </c>
      <c r="J396" s="1" t="s">
        <v>131</v>
      </c>
      <c r="K396" s="1" t="s">
        <v>104</v>
      </c>
      <c r="L396" s="1" t="s">
        <v>136</v>
      </c>
      <c r="M396" s="1" t="s">
        <v>50</v>
      </c>
      <c r="N396" s="1" t="n">
        <v>6999</v>
      </c>
      <c r="O396" s="1" t="n">
        <v>25</v>
      </c>
      <c r="P396" s="1" t="n">
        <v>1749.75</v>
      </c>
      <c r="Q396" s="1" t="n">
        <v>5249.25</v>
      </c>
      <c r="R396" s="1" t="n">
        <v>944.87</v>
      </c>
      <c r="S396" s="1" t="n">
        <v>4304.38</v>
      </c>
      <c r="T396" s="1" t="n">
        <v>1754.45</v>
      </c>
      <c r="U396" s="1" t="n">
        <v>2549.93</v>
      </c>
      <c r="V396" s="1" t="n">
        <v>59.24</v>
      </c>
      <c r="W396" s="1" t="s">
        <v>39</v>
      </c>
      <c r="X396" s="1" t="n">
        <v>3</v>
      </c>
      <c r="Y396" s="1" t="s">
        <v>40</v>
      </c>
      <c r="Z396" s="1" t="n">
        <v>0</v>
      </c>
      <c r="AA396" s="1" t="str">
        <f aca="false">TRIM(PROPER(F396))</f>
        <v>Nashik</v>
      </c>
      <c r="AB396" s="1" t="str">
        <f aca="false">TRIM(PROPER(C396))</f>
        <v>Great Learning</v>
      </c>
      <c r="AC396" s="1" t="str">
        <f aca="false">IF(O396=0,"No Discount",IF(O396&lt;=15,"Low (1-15%)",IF(O396&lt;=30,"Medium (16-30%)","High (&gt;30%)")))</f>
        <v>Medium (16-30%)</v>
      </c>
      <c r="AD396" s="1" t="str">
        <f aca="false">IF(V396&lt;0,"Loss Making",IF(V396&lt;20,"Low Margin","Healthy Margin"))</f>
        <v>Healthy Margin</v>
      </c>
      <c r="AE396" s="1" t="str">
        <f aca="false">TEXT(DATE(VALUE(RIGHT(B396,4)),VALUE(MID(B396,4,2)),VALUE(LEFT(B396,2))),"MMM-YYYY")</f>
        <v>Feb-2024</v>
      </c>
      <c r="AF396" s="1" t="n">
        <f aca="false">VALUE(RIGHT(B396,4))</f>
        <v>2024</v>
      </c>
      <c r="AG396" s="1" t="str">
        <f aca="false">CHOOSE(ROUNDUP(VALUE(MID(B396,4,2))/3,0),"Q1","Q2","Q3","Q4")</f>
        <v>Q1</v>
      </c>
    </row>
    <row r="397" customFormat="false" ht="15" hidden="false" customHeight="true" outlineLevel="0" collapsed="false">
      <c r="A397" s="1" t="s">
        <v>861</v>
      </c>
      <c r="B397" s="1" t="s">
        <v>620</v>
      </c>
      <c r="C397" s="1" t="s">
        <v>43</v>
      </c>
      <c r="D397" s="1" t="s">
        <v>80</v>
      </c>
      <c r="E397" s="1" t="s">
        <v>175</v>
      </c>
      <c r="F397" s="1" t="s">
        <v>67</v>
      </c>
      <c r="G397" s="1" t="s">
        <v>68</v>
      </c>
      <c r="H397" s="1" t="s">
        <v>69</v>
      </c>
      <c r="I397" s="1" t="s">
        <v>34</v>
      </c>
      <c r="J397" s="1" t="s">
        <v>131</v>
      </c>
      <c r="K397" s="1" t="s">
        <v>36</v>
      </c>
      <c r="L397" s="1" t="s">
        <v>85</v>
      </c>
      <c r="M397" s="1" t="s">
        <v>50</v>
      </c>
      <c r="N397" s="1" t="n">
        <v>19999</v>
      </c>
      <c r="O397" s="1" t="n">
        <v>0</v>
      </c>
      <c r="P397" s="1" t="n">
        <v>0</v>
      </c>
      <c r="Q397" s="1" t="n">
        <v>19999</v>
      </c>
      <c r="R397" s="1" t="n">
        <v>3599.82</v>
      </c>
      <c r="S397" s="1" t="n">
        <v>16399.18</v>
      </c>
      <c r="T397" s="1" t="n">
        <v>7195.94</v>
      </c>
      <c r="U397" s="1" t="n">
        <v>9203.24</v>
      </c>
      <c r="V397" s="1" t="n">
        <v>56.12</v>
      </c>
      <c r="W397" s="1" t="s">
        <v>40</v>
      </c>
      <c r="Y397" s="1" t="s">
        <v>39</v>
      </c>
      <c r="Z397" s="1" t="n">
        <v>0</v>
      </c>
      <c r="AA397" s="1" t="str">
        <f aca="false">TRIM(PROPER(F397))</f>
        <v>Ahmedabad</v>
      </c>
      <c r="AB397" s="1" t="str">
        <f aca="false">TRIM(PROPER(C397))</f>
        <v>Meritnation</v>
      </c>
      <c r="AC397" s="1" t="str">
        <f aca="false">IF(O397=0,"No Discount",IF(O397&lt;=15,"Low (1-15%)",IF(O397&lt;=30,"Medium (16-30%)","High (&gt;30%)")))</f>
        <v>No Discount</v>
      </c>
      <c r="AD397" s="1" t="str">
        <f aca="false">IF(V397&lt;0,"Loss Making",IF(V397&lt;20,"Low Margin","Healthy Margin"))</f>
        <v>Healthy Margin</v>
      </c>
      <c r="AE397" s="1" t="str">
        <f aca="false">TEXT(DATE(VALUE(RIGHT(B397,4)),VALUE(MID(B397,4,2)),VALUE(LEFT(B397,2))),"MMM-YYYY")</f>
        <v>Jan-2024</v>
      </c>
      <c r="AF397" s="1" t="n">
        <f aca="false">VALUE(RIGHT(B397,4))</f>
        <v>2024</v>
      </c>
      <c r="AG397" s="1" t="str">
        <f aca="false">CHOOSE(ROUNDUP(VALUE(MID(B397,4,2))/3,0),"Q1","Q2","Q3","Q4")</f>
        <v>Q1</v>
      </c>
    </row>
    <row r="398" customFormat="false" ht="15" hidden="false" customHeight="true" outlineLevel="0" collapsed="false">
      <c r="A398" s="1" t="s">
        <v>862</v>
      </c>
      <c r="B398" s="1" t="s">
        <v>541</v>
      </c>
      <c r="C398" s="1" t="s">
        <v>28</v>
      </c>
      <c r="D398" s="1" t="s">
        <v>29</v>
      </c>
      <c r="E398" s="1" t="s">
        <v>305</v>
      </c>
      <c r="F398" s="1" t="s">
        <v>156</v>
      </c>
      <c r="G398" s="1" t="s">
        <v>68</v>
      </c>
      <c r="H398" s="1" t="s">
        <v>57</v>
      </c>
      <c r="I398" s="1" t="s">
        <v>83</v>
      </c>
      <c r="J398" s="1" t="s">
        <v>59</v>
      </c>
      <c r="K398" s="1" t="s">
        <v>90</v>
      </c>
      <c r="L398" s="1" t="s">
        <v>37</v>
      </c>
      <c r="M398" s="1" t="s">
        <v>50</v>
      </c>
      <c r="N398" s="1" t="n">
        <v>24999</v>
      </c>
      <c r="O398" s="1" t="n">
        <v>5</v>
      </c>
      <c r="P398" s="1" t="n">
        <v>1249.95</v>
      </c>
      <c r="Q398" s="1" t="n">
        <v>23749.05</v>
      </c>
      <c r="R398" s="1" t="n">
        <v>4274.83</v>
      </c>
      <c r="S398" s="1" t="n">
        <v>19474.22</v>
      </c>
      <c r="T398" s="1" t="n">
        <v>8147.28</v>
      </c>
      <c r="U398" s="1" t="n">
        <v>11326.94</v>
      </c>
      <c r="V398" s="1" t="n">
        <v>58.16</v>
      </c>
      <c r="W398" s="1" t="s">
        <v>40</v>
      </c>
      <c r="Y398" s="1" t="s">
        <v>40</v>
      </c>
      <c r="Z398" s="1" t="n">
        <v>1</v>
      </c>
      <c r="AA398" s="1" t="str">
        <f aca="false">TRIM(PROPER(F398))</f>
        <v>Surat</v>
      </c>
      <c r="AB398" s="1" t="str">
        <f aca="false">TRIM(PROPER(C398))</f>
        <v>Embibe</v>
      </c>
      <c r="AC398" s="1" t="str">
        <f aca="false">IF(O398=0,"No Discount",IF(O398&lt;=15,"Low (1-15%)",IF(O398&lt;=30,"Medium (16-30%)","High (&gt;30%)")))</f>
        <v>Low (1-15%)</v>
      </c>
      <c r="AD398" s="1" t="str">
        <f aca="false">IF(V398&lt;0,"Loss Making",IF(V398&lt;20,"Low Margin","Healthy Margin"))</f>
        <v>Healthy Margin</v>
      </c>
      <c r="AE398" s="1" t="str">
        <f aca="false">TEXT(DATE(VALUE(RIGHT(B398,4)),VALUE(MID(B398,4,2)),VALUE(LEFT(B398,2))),"MMM-YYYY")</f>
        <v>Nov-2024</v>
      </c>
      <c r="AF398" s="1" t="n">
        <f aca="false">VALUE(RIGHT(B398,4))</f>
        <v>2024</v>
      </c>
      <c r="AG398" s="1" t="str">
        <f aca="false">CHOOSE(ROUNDUP(VALUE(MID(B398,4,2))/3,0),"Q1","Q2","Q3","Q4")</f>
        <v>Q4</v>
      </c>
    </row>
    <row r="399" customFormat="false" ht="15" hidden="false" customHeight="true" outlineLevel="0" collapsed="false">
      <c r="A399" s="1" t="s">
        <v>863</v>
      </c>
      <c r="B399" s="1" t="s">
        <v>201</v>
      </c>
      <c r="C399" s="1" t="s">
        <v>264</v>
      </c>
      <c r="D399" s="1" t="s">
        <v>94</v>
      </c>
      <c r="E399" s="1" t="s">
        <v>95</v>
      </c>
      <c r="F399" s="1" t="s">
        <v>150</v>
      </c>
      <c r="G399" s="1" t="s">
        <v>32</v>
      </c>
      <c r="H399" s="1" t="s">
        <v>57</v>
      </c>
      <c r="I399" s="1" t="s">
        <v>83</v>
      </c>
      <c r="J399" s="1" t="s">
        <v>77</v>
      </c>
      <c r="K399" s="1" t="s">
        <v>60</v>
      </c>
      <c r="L399" s="1" t="s">
        <v>136</v>
      </c>
      <c r="M399" s="1" t="s">
        <v>62</v>
      </c>
      <c r="N399" s="1" t="n">
        <v>6999</v>
      </c>
      <c r="O399" s="1" t="n">
        <v>0</v>
      </c>
      <c r="P399" s="1" t="n">
        <v>0</v>
      </c>
      <c r="Q399" s="1" t="n">
        <v>6999</v>
      </c>
      <c r="R399" s="1" t="n">
        <v>1259.82</v>
      </c>
      <c r="S399" s="1" t="n">
        <v>5739.18</v>
      </c>
      <c r="T399" s="1" t="n">
        <v>2361.16</v>
      </c>
      <c r="U399" s="1" t="n">
        <v>3378.02</v>
      </c>
      <c r="V399" s="1" t="n">
        <v>58.86</v>
      </c>
      <c r="W399" s="1" t="s">
        <v>40</v>
      </c>
      <c r="Y399" s="1" t="s">
        <v>40</v>
      </c>
      <c r="Z399" s="1" t="n">
        <v>2</v>
      </c>
      <c r="AA399" s="1" t="str">
        <f aca="false">TRIM(PROPER(F399))</f>
        <v>Jaipur</v>
      </c>
      <c r="AB399" s="1" t="str">
        <f aca="false">TRIM(PROPER(C399))</f>
        <v>Unacademy</v>
      </c>
      <c r="AC399" s="1" t="str">
        <f aca="false">IF(O399=0,"No Discount",IF(O399&lt;=15,"Low (1-15%)",IF(O399&lt;=30,"Medium (16-30%)","High (&gt;30%)")))</f>
        <v>No Discount</v>
      </c>
      <c r="AD399" s="1" t="str">
        <f aca="false">IF(V399&lt;0,"Loss Making",IF(V399&lt;20,"Low Margin","Healthy Margin"))</f>
        <v>Healthy Margin</v>
      </c>
      <c r="AE399" s="1" t="str">
        <f aca="false">TEXT(DATE(VALUE(RIGHT(B399,4)),VALUE(MID(B399,4,2)),VALUE(LEFT(B399,2))),"MMM-YYYY")</f>
        <v>Aug-2024</v>
      </c>
      <c r="AF399" s="1" t="n">
        <f aca="false">VALUE(RIGHT(B399,4))</f>
        <v>2024</v>
      </c>
      <c r="AG399" s="1" t="str">
        <f aca="false">CHOOSE(ROUNDUP(VALUE(MID(B399,4,2))/3,0),"Q1","Q2","Q3","Q4")</f>
        <v>Q3</v>
      </c>
    </row>
    <row r="400" customFormat="false" ht="15" hidden="false" customHeight="true" outlineLevel="0" collapsed="false">
      <c r="A400" s="1" t="s">
        <v>864</v>
      </c>
      <c r="B400" s="1" t="s">
        <v>547</v>
      </c>
      <c r="C400" s="1" t="s">
        <v>74</v>
      </c>
      <c r="D400" s="1" t="s">
        <v>94</v>
      </c>
      <c r="E400" s="1" t="s">
        <v>135</v>
      </c>
      <c r="F400" s="1" t="s">
        <v>46</v>
      </c>
      <c r="G400" s="1" t="s">
        <v>47</v>
      </c>
      <c r="H400" s="1" t="s">
        <v>33</v>
      </c>
      <c r="I400" s="1" t="s">
        <v>58</v>
      </c>
      <c r="J400" s="1" t="s">
        <v>70</v>
      </c>
      <c r="K400" s="1" t="s">
        <v>48</v>
      </c>
      <c r="L400" s="1" t="s">
        <v>61</v>
      </c>
      <c r="M400" s="1" t="s">
        <v>62</v>
      </c>
      <c r="N400" s="1" t="n">
        <v>9999</v>
      </c>
      <c r="O400" s="1" t="n">
        <v>25</v>
      </c>
      <c r="P400" s="1" t="n">
        <v>2499.75</v>
      </c>
      <c r="Q400" s="1" t="n">
        <v>7499.25</v>
      </c>
      <c r="R400" s="1" t="n">
        <v>1349.87</v>
      </c>
      <c r="S400" s="1" t="n">
        <v>6149.38</v>
      </c>
      <c r="T400" s="1" t="n">
        <v>2643.95</v>
      </c>
      <c r="U400" s="1" t="n">
        <v>3505.43</v>
      </c>
      <c r="V400" s="1" t="n">
        <v>57</v>
      </c>
      <c r="W400" s="1" t="s">
        <v>40</v>
      </c>
      <c r="Y400" s="1" t="s">
        <v>40</v>
      </c>
      <c r="Z400" s="1" t="n">
        <v>0</v>
      </c>
      <c r="AA400" s="1" t="str">
        <f aca="false">TRIM(PROPER(F400))</f>
        <v>Mangaluru</v>
      </c>
      <c r="AB400" s="1" t="str">
        <f aca="false">TRIM(PROPER(C400))</f>
        <v>Vedantu</v>
      </c>
      <c r="AC400" s="1" t="str">
        <f aca="false">IF(O400=0,"No Discount",IF(O400&lt;=15,"Low (1-15%)",IF(O400&lt;=30,"Medium (16-30%)","High (&gt;30%)")))</f>
        <v>Medium (16-30%)</v>
      </c>
      <c r="AD400" s="1" t="str">
        <f aca="false">IF(V400&lt;0,"Loss Making",IF(V400&lt;20,"Low Margin","Healthy Margin"))</f>
        <v>Healthy Margin</v>
      </c>
      <c r="AE400" s="1" t="str">
        <f aca="false">TEXT(DATE(VALUE(RIGHT(B400,4)),VALUE(MID(B400,4,2)),VALUE(LEFT(B400,2))),"MMM-YYYY")</f>
        <v>Apr-2023</v>
      </c>
      <c r="AF400" s="1" t="n">
        <f aca="false">VALUE(RIGHT(B400,4))</f>
        <v>2023</v>
      </c>
      <c r="AG400" s="1" t="str">
        <f aca="false">CHOOSE(ROUNDUP(VALUE(MID(B400,4,2))/3,0),"Q1","Q2","Q3","Q4")</f>
        <v>Q2</v>
      </c>
    </row>
    <row r="401" customFormat="false" ht="15" hidden="false" customHeight="true" outlineLevel="0" collapsed="false">
      <c r="A401" s="1" t="s">
        <v>865</v>
      </c>
      <c r="B401" s="1" t="s">
        <v>866</v>
      </c>
      <c r="C401" s="1" t="s">
        <v>139</v>
      </c>
      <c r="D401" s="1" t="s">
        <v>53</v>
      </c>
      <c r="E401" s="1" t="s">
        <v>54</v>
      </c>
      <c r="F401" s="1" t="s">
        <v>96</v>
      </c>
      <c r="G401" s="1" t="s">
        <v>97</v>
      </c>
      <c r="H401" s="1" t="s">
        <v>69</v>
      </c>
      <c r="I401" s="1" t="s">
        <v>58</v>
      </c>
      <c r="J401" s="1" t="s">
        <v>70</v>
      </c>
      <c r="K401" s="1" t="s">
        <v>36</v>
      </c>
      <c r="L401" s="1" t="s">
        <v>37</v>
      </c>
      <c r="M401" s="1" t="s">
        <v>38</v>
      </c>
      <c r="N401" s="1" t="n">
        <v>11999</v>
      </c>
      <c r="O401" s="1" t="n">
        <v>15</v>
      </c>
      <c r="P401" s="1" t="n">
        <v>1799.85</v>
      </c>
      <c r="Q401" s="1" t="n">
        <v>10199.15</v>
      </c>
      <c r="R401" s="1" t="n">
        <v>1835.85</v>
      </c>
      <c r="S401" s="1" t="n">
        <v>8363.3</v>
      </c>
      <c r="T401" s="1" t="n">
        <v>3184.11</v>
      </c>
      <c r="U401" s="1" t="n">
        <v>5179.19</v>
      </c>
      <c r="V401" s="1" t="n">
        <v>61.93</v>
      </c>
      <c r="W401" s="1" t="s">
        <v>40</v>
      </c>
      <c r="Y401" s="1" t="s">
        <v>40</v>
      </c>
      <c r="Z401" s="1" t="n">
        <v>0</v>
      </c>
      <c r="AA401" s="1" t="str">
        <f aca="false">TRIM(PROPER(F401))</f>
        <v>Pune</v>
      </c>
      <c r="AB401" s="1" t="str">
        <f aca="false">TRIM(PROPER(C401))</f>
        <v>Extramarks</v>
      </c>
      <c r="AC401" s="1" t="str">
        <f aca="false">IF(O401=0,"No Discount",IF(O401&lt;=15,"Low (1-15%)",IF(O401&lt;=30,"Medium (16-30%)","High (&gt;30%)")))</f>
        <v>Low (1-15%)</v>
      </c>
      <c r="AD401" s="1" t="str">
        <f aca="false">IF(V401&lt;0,"Loss Making",IF(V401&lt;20,"Low Margin","Healthy Margin"))</f>
        <v>Healthy Margin</v>
      </c>
      <c r="AE401" s="1" t="str">
        <f aca="false">TEXT(DATE(VALUE(RIGHT(B401,4)),VALUE(MID(B401,4,2)),VALUE(LEFT(B401,2))),"MMM-YYYY")</f>
        <v>Jul-2023</v>
      </c>
      <c r="AF401" s="1" t="n">
        <f aca="false">VALUE(RIGHT(B401,4))</f>
        <v>2023</v>
      </c>
      <c r="AG401" s="1" t="str">
        <f aca="false">CHOOSE(ROUNDUP(VALUE(MID(B401,4,2))/3,0),"Q1","Q2","Q3","Q4")</f>
        <v>Q3</v>
      </c>
    </row>
    <row r="402" customFormat="false" ht="15" hidden="false" customHeight="true" outlineLevel="0" collapsed="false">
      <c r="A402" s="1" t="s">
        <v>867</v>
      </c>
      <c r="B402" s="1" t="s">
        <v>868</v>
      </c>
      <c r="C402" s="1" t="s">
        <v>74</v>
      </c>
      <c r="D402" s="1" t="s">
        <v>44</v>
      </c>
      <c r="E402" s="1" t="s">
        <v>66</v>
      </c>
      <c r="F402" s="1" t="s">
        <v>46</v>
      </c>
      <c r="G402" s="1" t="s">
        <v>47</v>
      </c>
      <c r="H402" s="1" t="s">
        <v>33</v>
      </c>
      <c r="I402" s="1" t="s">
        <v>34</v>
      </c>
      <c r="J402" s="1" t="s">
        <v>59</v>
      </c>
      <c r="K402" s="1" t="s">
        <v>104</v>
      </c>
      <c r="L402" s="1" t="s">
        <v>49</v>
      </c>
      <c r="M402" s="1" t="s">
        <v>62</v>
      </c>
      <c r="N402" s="1" t="n">
        <v>12999</v>
      </c>
      <c r="O402" s="1" t="n">
        <v>20</v>
      </c>
      <c r="P402" s="1" t="n">
        <v>2599.8</v>
      </c>
      <c r="Q402" s="1" t="n">
        <v>10399.2</v>
      </c>
      <c r="R402" s="1" t="n">
        <v>1871.86</v>
      </c>
      <c r="S402" s="1" t="n">
        <v>8527.34</v>
      </c>
      <c r="T402" s="1" t="n">
        <v>4139.48</v>
      </c>
      <c r="U402" s="1" t="n">
        <v>4387.86</v>
      </c>
      <c r="V402" s="1" t="n">
        <v>51.46</v>
      </c>
      <c r="W402" s="1" t="s">
        <v>39</v>
      </c>
      <c r="X402" s="1" t="n">
        <v>4</v>
      </c>
      <c r="Y402" s="1" t="s">
        <v>40</v>
      </c>
      <c r="Z402" s="1" t="n">
        <v>0</v>
      </c>
      <c r="AA402" s="1" t="str">
        <f aca="false">TRIM(PROPER(F402))</f>
        <v>Mangaluru</v>
      </c>
      <c r="AB402" s="1" t="str">
        <f aca="false">TRIM(PROPER(C402))</f>
        <v>Vedantu</v>
      </c>
      <c r="AC402" s="1" t="str">
        <f aca="false">IF(O402=0,"No Discount",IF(O402&lt;=15,"Low (1-15%)",IF(O402&lt;=30,"Medium (16-30%)","High (&gt;30%)")))</f>
        <v>Medium (16-30%)</v>
      </c>
      <c r="AD402" s="1" t="str">
        <f aca="false">IF(V402&lt;0,"Loss Making",IF(V402&lt;20,"Low Margin","Healthy Margin"))</f>
        <v>Healthy Margin</v>
      </c>
      <c r="AE402" s="1" t="str">
        <f aca="false">TEXT(DATE(VALUE(RIGHT(B402,4)),VALUE(MID(B402,4,2)),VALUE(LEFT(B402,2))),"MMM-YYYY")</f>
        <v>Mar-2024</v>
      </c>
      <c r="AF402" s="1" t="n">
        <f aca="false">VALUE(RIGHT(B402,4))</f>
        <v>2024</v>
      </c>
      <c r="AG402" s="1" t="str">
        <f aca="false">CHOOSE(ROUNDUP(VALUE(MID(B402,4,2))/3,0),"Q1","Q2","Q3","Q4")</f>
        <v>Q1</v>
      </c>
    </row>
    <row r="403" customFormat="false" ht="15" hidden="false" customHeight="true" outlineLevel="0" collapsed="false">
      <c r="A403" s="1" t="s">
        <v>869</v>
      </c>
      <c r="B403" s="1" t="s">
        <v>870</v>
      </c>
      <c r="C403" s="1" t="s">
        <v>264</v>
      </c>
      <c r="D403" s="1" t="s">
        <v>168</v>
      </c>
      <c r="E403" s="1" t="s">
        <v>169</v>
      </c>
      <c r="F403" s="1" t="s">
        <v>150</v>
      </c>
      <c r="G403" s="1" t="s">
        <v>32</v>
      </c>
      <c r="H403" s="1" t="s">
        <v>57</v>
      </c>
      <c r="I403" s="1" t="s">
        <v>58</v>
      </c>
      <c r="J403" s="1" t="s">
        <v>131</v>
      </c>
      <c r="K403" s="1" t="s">
        <v>48</v>
      </c>
      <c r="L403" s="1" t="s">
        <v>113</v>
      </c>
      <c r="M403" s="1" t="s">
        <v>50</v>
      </c>
      <c r="N403" s="1" t="n">
        <v>4999</v>
      </c>
      <c r="O403" s="1" t="n">
        <v>10</v>
      </c>
      <c r="P403" s="1" t="n">
        <v>499.9</v>
      </c>
      <c r="Q403" s="1" t="n">
        <v>4499.1</v>
      </c>
      <c r="R403" s="1" t="n">
        <v>809.84</v>
      </c>
      <c r="S403" s="1" t="n">
        <v>3689.26</v>
      </c>
      <c r="T403" s="1" t="n">
        <v>1622.3</v>
      </c>
      <c r="U403" s="1" t="n">
        <v>2066.96</v>
      </c>
      <c r="V403" s="1" t="n">
        <v>56.03</v>
      </c>
      <c r="W403" s="1" t="s">
        <v>39</v>
      </c>
      <c r="X403" s="1" t="n">
        <v>3.4</v>
      </c>
      <c r="Y403" s="1" t="s">
        <v>40</v>
      </c>
      <c r="Z403" s="1" t="n">
        <v>1</v>
      </c>
      <c r="AA403" s="1" t="str">
        <f aca="false">TRIM(PROPER(F403))</f>
        <v>Jaipur</v>
      </c>
      <c r="AB403" s="1" t="str">
        <f aca="false">TRIM(PROPER(C403))</f>
        <v>Unacademy</v>
      </c>
      <c r="AC403" s="1" t="str">
        <f aca="false">IF(O403=0,"No Discount",IF(O403&lt;=15,"Low (1-15%)",IF(O403&lt;=30,"Medium (16-30%)","High (&gt;30%)")))</f>
        <v>Low (1-15%)</v>
      </c>
      <c r="AD403" s="1" t="str">
        <f aca="false">IF(V403&lt;0,"Loss Making",IF(V403&lt;20,"Low Margin","Healthy Margin"))</f>
        <v>Healthy Margin</v>
      </c>
      <c r="AE403" s="1" t="str">
        <f aca="false">TEXT(DATE(VALUE(RIGHT(B403,4)),VALUE(MID(B403,4,2)),VALUE(LEFT(B403,2))),"MMM-YYYY")</f>
        <v>Nov-2024</v>
      </c>
      <c r="AF403" s="1" t="n">
        <f aca="false">VALUE(RIGHT(B403,4))</f>
        <v>2024</v>
      </c>
      <c r="AG403" s="1" t="str">
        <f aca="false">CHOOSE(ROUNDUP(VALUE(MID(B403,4,2))/3,0),"Q1","Q2","Q3","Q4")</f>
        <v>Q4</v>
      </c>
    </row>
    <row r="404" customFormat="false" ht="15" hidden="false" customHeight="true" outlineLevel="0" collapsed="false">
      <c r="A404" s="1" t="s">
        <v>871</v>
      </c>
      <c r="B404" s="1" t="s">
        <v>872</v>
      </c>
      <c r="C404" s="1" t="s">
        <v>100</v>
      </c>
      <c r="D404" s="1" t="s">
        <v>80</v>
      </c>
      <c r="E404" s="1" t="s">
        <v>190</v>
      </c>
      <c r="F404" s="1" t="s">
        <v>156</v>
      </c>
      <c r="G404" s="1" t="s">
        <v>68</v>
      </c>
      <c r="H404" s="1" t="s">
        <v>57</v>
      </c>
      <c r="I404" s="1" t="s">
        <v>34</v>
      </c>
      <c r="J404" s="1" t="s">
        <v>131</v>
      </c>
      <c r="K404" s="1" t="s">
        <v>36</v>
      </c>
      <c r="L404" s="1" t="s">
        <v>113</v>
      </c>
      <c r="M404" s="1" t="s">
        <v>62</v>
      </c>
      <c r="N404" s="1" t="n">
        <v>15999</v>
      </c>
      <c r="O404" s="1" t="n">
        <v>30</v>
      </c>
      <c r="P404" s="1" t="n">
        <v>4799.7</v>
      </c>
      <c r="Q404" s="1" t="n">
        <v>11199.3</v>
      </c>
      <c r="R404" s="1" t="n">
        <v>2015.87</v>
      </c>
      <c r="S404" s="1" t="n">
        <v>9183.43</v>
      </c>
      <c r="T404" s="1" t="n">
        <v>4311.75</v>
      </c>
      <c r="U404" s="1" t="n">
        <v>4871.68</v>
      </c>
      <c r="V404" s="1" t="n">
        <v>53.05</v>
      </c>
      <c r="W404" s="1" t="s">
        <v>39</v>
      </c>
      <c r="Y404" s="1" t="s">
        <v>40</v>
      </c>
      <c r="Z404" s="1" t="n">
        <v>2</v>
      </c>
      <c r="AA404" s="1" t="str">
        <f aca="false">TRIM(PROPER(F404))</f>
        <v>Surat</v>
      </c>
      <c r="AB404" s="1" t="str">
        <f aca="false">TRIM(PROPER(C404))</f>
        <v>Physics Wallah</v>
      </c>
      <c r="AC404" s="1" t="str">
        <f aca="false">IF(O404=0,"No Discount",IF(O404&lt;=15,"Low (1-15%)",IF(O404&lt;=30,"Medium (16-30%)","High (&gt;30%)")))</f>
        <v>Medium (16-30%)</v>
      </c>
      <c r="AD404" s="1" t="str">
        <f aca="false">IF(V404&lt;0,"Loss Making",IF(V404&lt;20,"Low Margin","Healthy Margin"))</f>
        <v>Healthy Margin</v>
      </c>
      <c r="AE404" s="1" t="str">
        <f aca="false">TEXT(DATE(VALUE(RIGHT(B404,4)),VALUE(MID(B404,4,2)),VALUE(LEFT(B404,2))),"MMM-YYYY")</f>
        <v>Sep-2023</v>
      </c>
      <c r="AF404" s="1" t="n">
        <f aca="false">VALUE(RIGHT(B404,4))</f>
        <v>2023</v>
      </c>
      <c r="AG404" s="1" t="str">
        <f aca="false">CHOOSE(ROUNDUP(VALUE(MID(B404,4,2))/3,0),"Q1","Q2","Q3","Q4")</f>
        <v>Q3</v>
      </c>
    </row>
    <row r="405" customFormat="false" ht="15" hidden="false" customHeight="true" outlineLevel="0" collapsed="false">
      <c r="A405" s="1" t="s">
        <v>873</v>
      </c>
      <c r="B405" s="1" t="s">
        <v>874</v>
      </c>
      <c r="C405" s="1" t="s">
        <v>43</v>
      </c>
      <c r="D405" s="1" t="s">
        <v>123</v>
      </c>
      <c r="E405" s="1" t="s">
        <v>124</v>
      </c>
      <c r="F405" s="1" t="s">
        <v>67</v>
      </c>
      <c r="G405" s="1" t="s">
        <v>68</v>
      </c>
      <c r="H405" s="1" t="s">
        <v>69</v>
      </c>
      <c r="I405" s="1" t="s">
        <v>58</v>
      </c>
      <c r="J405" s="1" t="s">
        <v>77</v>
      </c>
      <c r="K405" s="1" t="s">
        <v>90</v>
      </c>
      <c r="L405" s="1" t="s">
        <v>113</v>
      </c>
      <c r="M405" s="1" t="s">
        <v>38</v>
      </c>
      <c r="N405" s="1" t="n">
        <v>4999</v>
      </c>
      <c r="O405" s="1" t="n">
        <v>20</v>
      </c>
      <c r="P405" s="1" t="n">
        <v>999.8</v>
      </c>
      <c r="Q405" s="1" t="n">
        <v>3999.2</v>
      </c>
      <c r="R405" s="1" t="n">
        <v>719.86</v>
      </c>
      <c r="S405" s="1" t="n">
        <v>3279.34</v>
      </c>
      <c r="T405" s="1" t="n">
        <v>1344.92</v>
      </c>
      <c r="U405" s="1" t="n">
        <v>1934.42</v>
      </c>
      <c r="V405" s="1" t="n">
        <v>58.99</v>
      </c>
      <c r="W405" s="1" t="s">
        <v>40</v>
      </c>
      <c r="Y405" s="1" t="s">
        <v>40</v>
      </c>
      <c r="Z405" s="1" t="n">
        <v>0</v>
      </c>
      <c r="AA405" s="1" t="str">
        <f aca="false">TRIM(PROPER(F405))</f>
        <v>Ahmedabad</v>
      </c>
      <c r="AB405" s="1" t="str">
        <f aca="false">TRIM(PROPER(C405))</f>
        <v>Meritnation</v>
      </c>
      <c r="AC405" s="1" t="str">
        <f aca="false">IF(O405=0,"No Discount",IF(O405&lt;=15,"Low (1-15%)",IF(O405&lt;=30,"Medium (16-30%)","High (&gt;30%)")))</f>
        <v>Medium (16-30%)</v>
      </c>
      <c r="AD405" s="1" t="str">
        <f aca="false">IF(V405&lt;0,"Loss Making",IF(V405&lt;20,"Low Margin","Healthy Margin"))</f>
        <v>Healthy Margin</v>
      </c>
      <c r="AE405" s="1" t="str">
        <f aca="false">TEXT(DATE(VALUE(RIGHT(B405,4)),VALUE(MID(B405,4,2)),VALUE(LEFT(B405,2))),"MMM-YYYY")</f>
        <v>Sep-2023</v>
      </c>
      <c r="AF405" s="1" t="n">
        <f aca="false">VALUE(RIGHT(B405,4))</f>
        <v>2023</v>
      </c>
      <c r="AG405" s="1" t="str">
        <f aca="false">CHOOSE(ROUNDUP(VALUE(MID(B405,4,2))/3,0),"Q1","Q2","Q3","Q4")</f>
        <v>Q3</v>
      </c>
    </row>
    <row r="406" customFormat="false" ht="15" hidden="false" customHeight="true" outlineLevel="0" collapsed="false">
      <c r="A406" s="1" t="s">
        <v>875</v>
      </c>
      <c r="B406" s="1" t="s">
        <v>876</v>
      </c>
      <c r="C406" s="1" t="s">
        <v>74</v>
      </c>
      <c r="D406" s="1" t="s">
        <v>94</v>
      </c>
      <c r="E406" s="1" t="s">
        <v>95</v>
      </c>
      <c r="F406" s="1" t="s">
        <v>211</v>
      </c>
      <c r="G406" s="1" t="s">
        <v>56</v>
      </c>
      <c r="H406" s="1" t="s">
        <v>69</v>
      </c>
      <c r="I406" s="1" t="s">
        <v>34</v>
      </c>
      <c r="J406" s="1" t="s">
        <v>77</v>
      </c>
      <c r="K406" s="1" t="s">
        <v>71</v>
      </c>
      <c r="L406" s="1" t="s">
        <v>113</v>
      </c>
      <c r="M406" s="1" t="s">
        <v>50</v>
      </c>
      <c r="N406" s="1" t="n">
        <v>6999</v>
      </c>
      <c r="O406" s="1" t="n">
        <v>0</v>
      </c>
      <c r="P406" s="1" t="n">
        <v>0</v>
      </c>
      <c r="Q406" s="1" t="n">
        <v>6999</v>
      </c>
      <c r="R406" s="1" t="n">
        <v>1259.82</v>
      </c>
      <c r="S406" s="1" t="n">
        <v>5739.18</v>
      </c>
      <c r="T406" s="1" t="n">
        <v>2303.93</v>
      </c>
      <c r="U406" s="1" t="n">
        <v>3435.25</v>
      </c>
      <c r="V406" s="1" t="n">
        <v>59.86</v>
      </c>
      <c r="W406" s="1" t="s">
        <v>39</v>
      </c>
      <c r="X406" s="1" t="n">
        <v>4</v>
      </c>
      <c r="Y406" s="1" t="s">
        <v>40</v>
      </c>
      <c r="Z406" s="1" t="n">
        <v>0</v>
      </c>
      <c r="AA406" s="1" t="str">
        <f aca="false">TRIM(PROPER(F406))</f>
        <v>Noida</v>
      </c>
      <c r="AB406" s="1" t="str">
        <f aca="false">TRIM(PROPER(C406))</f>
        <v>Vedantu</v>
      </c>
      <c r="AC406" s="1" t="str">
        <f aca="false">IF(O406=0,"No Discount",IF(O406&lt;=15,"Low (1-15%)",IF(O406&lt;=30,"Medium (16-30%)","High (&gt;30%)")))</f>
        <v>No Discount</v>
      </c>
      <c r="AD406" s="1" t="str">
        <f aca="false">IF(V406&lt;0,"Loss Making",IF(V406&lt;20,"Low Margin","Healthy Margin"))</f>
        <v>Healthy Margin</v>
      </c>
      <c r="AE406" s="1" t="str">
        <f aca="false">TEXT(DATE(VALUE(RIGHT(B406,4)),VALUE(MID(B406,4,2)),VALUE(LEFT(B406,2))),"MMM-YYYY")</f>
        <v>Jul-2023</v>
      </c>
      <c r="AF406" s="1" t="n">
        <f aca="false">VALUE(RIGHT(B406,4))</f>
        <v>2023</v>
      </c>
      <c r="AG406" s="1" t="str">
        <f aca="false">CHOOSE(ROUNDUP(VALUE(MID(B406,4,2))/3,0),"Q1","Q2","Q3","Q4")</f>
        <v>Q3</v>
      </c>
    </row>
    <row r="407" customFormat="false" ht="15" hidden="false" customHeight="true" outlineLevel="0" collapsed="false">
      <c r="A407" s="1" t="s">
        <v>877</v>
      </c>
      <c r="B407" s="1" t="s">
        <v>878</v>
      </c>
      <c r="C407" s="1" t="s">
        <v>249</v>
      </c>
      <c r="D407" s="1" t="s">
        <v>80</v>
      </c>
      <c r="E407" s="1" t="s">
        <v>175</v>
      </c>
      <c r="F407" s="1" t="s">
        <v>107</v>
      </c>
      <c r="G407" s="1" t="s">
        <v>108</v>
      </c>
      <c r="H407" s="1" t="s">
        <v>33</v>
      </c>
      <c r="I407" s="1" t="s">
        <v>34</v>
      </c>
      <c r="J407" s="1" t="s">
        <v>35</v>
      </c>
      <c r="K407" s="1" t="s">
        <v>60</v>
      </c>
      <c r="L407" s="1" t="s">
        <v>113</v>
      </c>
      <c r="M407" s="1" t="s">
        <v>38</v>
      </c>
      <c r="N407" s="1" t="n">
        <v>19999</v>
      </c>
      <c r="O407" s="1" t="n">
        <v>10</v>
      </c>
      <c r="P407" s="1" t="n">
        <v>1999.9</v>
      </c>
      <c r="Q407" s="1" t="n">
        <v>17999.1</v>
      </c>
      <c r="R407" s="1" t="n">
        <v>3239.84</v>
      </c>
      <c r="S407" s="1" t="n">
        <v>14759.26</v>
      </c>
      <c r="T407" s="1" t="n">
        <v>5973.85</v>
      </c>
      <c r="U407" s="1" t="n">
        <v>8785.41</v>
      </c>
      <c r="V407" s="1" t="n">
        <v>59.52</v>
      </c>
      <c r="W407" s="1" t="s">
        <v>40</v>
      </c>
      <c r="Y407" s="1" t="s">
        <v>40</v>
      </c>
      <c r="Z407" s="1" t="n">
        <v>1</v>
      </c>
      <c r="AA407" s="1" t="str">
        <f aca="false">TRIM(PROPER(F407))</f>
        <v>Madurai</v>
      </c>
      <c r="AB407" s="1" t="str">
        <f aca="false">TRIM(PROPER(C407))</f>
        <v>Whitehat Jr</v>
      </c>
      <c r="AC407" s="1" t="str">
        <f aca="false">IF(O407=0,"No Discount",IF(O407&lt;=15,"Low (1-15%)",IF(O407&lt;=30,"Medium (16-30%)","High (&gt;30%)")))</f>
        <v>Low (1-15%)</v>
      </c>
      <c r="AD407" s="1" t="str">
        <f aca="false">IF(V407&lt;0,"Loss Making",IF(V407&lt;20,"Low Margin","Healthy Margin"))</f>
        <v>Healthy Margin</v>
      </c>
      <c r="AE407" s="1" t="str">
        <f aca="false">TEXT(DATE(VALUE(RIGHT(B407,4)),VALUE(MID(B407,4,2)),VALUE(LEFT(B407,2))),"MMM-YYYY")</f>
        <v>Aug-2024</v>
      </c>
      <c r="AF407" s="1" t="n">
        <f aca="false">VALUE(RIGHT(B407,4))</f>
        <v>2024</v>
      </c>
      <c r="AG407" s="1" t="str">
        <f aca="false">CHOOSE(ROUNDUP(VALUE(MID(B407,4,2))/3,0),"Q1","Q2","Q3","Q4")</f>
        <v>Q3</v>
      </c>
    </row>
    <row r="408" customFormat="false" ht="15" hidden="false" customHeight="true" outlineLevel="0" collapsed="false">
      <c r="A408" s="1" t="s">
        <v>879</v>
      </c>
      <c r="B408" s="1" t="s">
        <v>397</v>
      </c>
      <c r="C408" s="1" t="s">
        <v>119</v>
      </c>
      <c r="D408" s="1" t="s">
        <v>94</v>
      </c>
      <c r="E408" s="1" t="s">
        <v>95</v>
      </c>
      <c r="F408" s="1" t="s">
        <v>140</v>
      </c>
      <c r="G408" s="1" t="s">
        <v>97</v>
      </c>
      <c r="H408" s="1" t="s">
        <v>57</v>
      </c>
      <c r="I408" s="1" t="s">
        <v>83</v>
      </c>
      <c r="J408" s="1" t="s">
        <v>70</v>
      </c>
      <c r="K408" s="1" t="s">
        <v>71</v>
      </c>
      <c r="L408" s="1" t="s">
        <v>37</v>
      </c>
      <c r="M408" s="1" t="s">
        <v>62</v>
      </c>
      <c r="N408" s="1" t="n">
        <v>6999</v>
      </c>
      <c r="O408" s="1" t="n">
        <v>50</v>
      </c>
      <c r="P408" s="1" t="n">
        <v>3499.5</v>
      </c>
      <c r="Q408" s="1" t="n">
        <v>3499.5</v>
      </c>
      <c r="R408" s="1" t="n">
        <v>629.91</v>
      </c>
      <c r="S408" s="1" t="n">
        <v>2869.59</v>
      </c>
      <c r="T408" s="1" t="n">
        <v>1623.2</v>
      </c>
      <c r="U408" s="1" t="n">
        <v>1246.39</v>
      </c>
      <c r="V408" s="1" t="n">
        <v>43.43</v>
      </c>
      <c r="W408" s="1" t="s">
        <v>39</v>
      </c>
      <c r="X408" s="1" t="n">
        <v>3.7</v>
      </c>
      <c r="Y408" s="1" t="s">
        <v>40</v>
      </c>
      <c r="Z408" s="1" t="n">
        <v>0</v>
      </c>
      <c r="AA408" s="1" t="str">
        <f aca="false">TRIM(PROPER(F408))</f>
        <v>Nashik</v>
      </c>
      <c r="AB408" s="1" t="str">
        <f aca="false">TRIM(PROPER(C408))</f>
        <v>Simplilearn</v>
      </c>
      <c r="AC408" s="1" t="str">
        <f aca="false">IF(O408=0,"No Discount",IF(O408&lt;=15,"Low (1-15%)",IF(O408&lt;=30,"Medium (16-30%)","High (&gt;30%)")))</f>
        <v>High (&gt;30%)</v>
      </c>
      <c r="AD408" s="1" t="str">
        <f aca="false">IF(V408&lt;0,"Loss Making",IF(V408&lt;20,"Low Margin","Healthy Margin"))</f>
        <v>Healthy Margin</v>
      </c>
      <c r="AE408" s="1" t="str">
        <f aca="false">TEXT(DATE(VALUE(RIGHT(B408,4)),VALUE(MID(B408,4,2)),VALUE(LEFT(B408,2))),"MMM-YYYY")</f>
        <v>Mar-2023</v>
      </c>
      <c r="AF408" s="1" t="n">
        <f aca="false">VALUE(RIGHT(B408,4))</f>
        <v>2023</v>
      </c>
      <c r="AG408" s="1" t="str">
        <f aca="false">CHOOSE(ROUNDUP(VALUE(MID(B408,4,2))/3,0),"Q1","Q2","Q3","Q4")</f>
        <v>Q1</v>
      </c>
    </row>
    <row r="409" customFormat="false" ht="15" hidden="false" customHeight="true" outlineLevel="0" collapsed="false">
      <c r="A409" s="1" t="s">
        <v>880</v>
      </c>
      <c r="B409" s="1" t="s">
        <v>726</v>
      </c>
      <c r="C409" s="1" t="s">
        <v>167</v>
      </c>
      <c r="D409" s="1" t="s">
        <v>123</v>
      </c>
      <c r="E409" s="1" t="s">
        <v>233</v>
      </c>
      <c r="F409" s="1" t="s">
        <v>140</v>
      </c>
      <c r="G409" s="1" t="s">
        <v>97</v>
      </c>
      <c r="H409" s="1" t="s">
        <v>57</v>
      </c>
      <c r="I409" s="1" t="s">
        <v>83</v>
      </c>
      <c r="J409" s="1" t="s">
        <v>131</v>
      </c>
      <c r="K409" s="1" t="s">
        <v>90</v>
      </c>
      <c r="L409" s="1" t="s">
        <v>61</v>
      </c>
      <c r="M409" s="1" t="s">
        <v>50</v>
      </c>
      <c r="N409" s="1" t="n">
        <v>8999</v>
      </c>
      <c r="O409" s="1" t="n">
        <v>30</v>
      </c>
      <c r="P409" s="1" t="n">
        <v>2699.7</v>
      </c>
      <c r="Q409" s="1" t="n">
        <v>6299.3</v>
      </c>
      <c r="R409" s="1" t="n">
        <v>1133.87</v>
      </c>
      <c r="S409" s="1" t="n">
        <v>5165.43</v>
      </c>
      <c r="T409" s="1" t="n">
        <v>2309.97</v>
      </c>
      <c r="U409" s="1" t="n">
        <v>2855.46</v>
      </c>
      <c r="V409" s="1" t="n">
        <v>55.28</v>
      </c>
      <c r="W409" s="1" t="s">
        <v>39</v>
      </c>
      <c r="Y409" s="1" t="s">
        <v>40</v>
      </c>
      <c r="Z409" s="1" t="n">
        <v>0</v>
      </c>
      <c r="AA409" s="1" t="str">
        <f aca="false">TRIM(PROPER(F409))</f>
        <v>Nashik</v>
      </c>
      <c r="AB409" s="1" t="str">
        <f aca="false">TRIM(PROPER(C409))</f>
        <v>Scaler</v>
      </c>
      <c r="AC409" s="1" t="str">
        <f aca="false">IF(O409=0,"No Discount",IF(O409&lt;=15,"Low (1-15%)",IF(O409&lt;=30,"Medium (16-30%)","High (&gt;30%)")))</f>
        <v>Medium (16-30%)</v>
      </c>
      <c r="AD409" s="1" t="str">
        <f aca="false">IF(V409&lt;0,"Loss Making",IF(V409&lt;20,"Low Margin","Healthy Margin"))</f>
        <v>Healthy Margin</v>
      </c>
      <c r="AE409" s="1" t="str">
        <f aca="false">TEXT(DATE(VALUE(RIGHT(B409,4)),VALUE(MID(B409,4,2)),VALUE(LEFT(B409,2))),"MMM-YYYY")</f>
        <v>Nov-2024</v>
      </c>
      <c r="AF409" s="1" t="n">
        <f aca="false">VALUE(RIGHT(B409,4))</f>
        <v>2024</v>
      </c>
      <c r="AG409" s="1" t="str">
        <f aca="false">CHOOSE(ROUNDUP(VALUE(MID(B409,4,2))/3,0),"Q1","Q2","Q3","Q4")</f>
        <v>Q4</v>
      </c>
    </row>
    <row r="410" customFormat="false" ht="15" hidden="false" customHeight="true" outlineLevel="0" collapsed="false">
      <c r="A410" s="1" t="s">
        <v>881</v>
      </c>
      <c r="B410" s="1" t="s">
        <v>882</v>
      </c>
      <c r="C410" s="1" t="s">
        <v>43</v>
      </c>
      <c r="D410" s="1" t="s">
        <v>29</v>
      </c>
      <c r="E410" s="1" t="s">
        <v>30</v>
      </c>
      <c r="F410" s="1" t="s">
        <v>883</v>
      </c>
      <c r="G410" s="1" t="s">
        <v>68</v>
      </c>
      <c r="H410" s="1" t="s">
        <v>69</v>
      </c>
      <c r="I410" s="1" t="s">
        <v>58</v>
      </c>
      <c r="J410" s="1" t="s">
        <v>131</v>
      </c>
      <c r="K410" s="1" t="s">
        <v>104</v>
      </c>
      <c r="L410" s="1" t="s">
        <v>61</v>
      </c>
      <c r="M410" s="1" t="s">
        <v>50</v>
      </c>
      <c r="N410" s="1" t="n">
        <v>7999</v>
      </c>
      <c r="O410" s="1" t="n">
        <v>20</v>
      </c>
      <c r="P410" s="1" t="n">
        <v>1599.8</v>
      </c>
      <c r="Q410" s="1" t="n">
        <v>6399.2</v>
      </c>
      <c r="R410" s="1" t="n">
        <v>1151.86</v>
      </c>
      <c r="S410" s="1" t="n">
        <v>5247.34</v>
      </c>
      <c r="T410" s="1" t="n">
        <v>2489.45</v>
      </c>
      <c r="U410" s="1" t="n">
        <v>2757.89</v>
      </c>
      <c r="V410" s="1" t="n">
        <v>52.56</v>
      </c>
      <c r="W410" s="1" t="s">
        <v>39</v>
      </c>
      <c r="X410" s="1" t="n">
        <v>2.8</v>
      </c>
      <c r="Y410" s="1" t="s">
        <v>40</v>
      </c>
      <c r="Z410" s="1" t="n">
        <v>0</v>
      </c>
      <c r="AA410" s="1" t="str">
        <f aca="false">TRIM(PROPER(F410))</f>
        <v>Ahmedabad</v>
      </c>
      <c r="AB410" s="1" t="str">
        <f aca="false">TRIM(PROPER(C410))</f>
        <v>Meritnation</v>
      </c>
      <c r="AC410" s="1" t="str">
        <f aca="false">IF(O410=0,"No Discount",IF(O410&lt;=15,"Low (1-15%)",IF(O410&lt;=30,"Medium (16-30%)","High (&gt;30%)")))</f>
        <v>Medium (16-30%)</v>
      </c>
      <c r="AD410" s="1" t="str">
        <f aca="false">IF(V410&lt;0,"Loss Making",IF(V410&lt;20,"Low Margin","Healthy Margin"))</f>
        <v>Healthy Margin</v>
      </c>
      <c r="AE410" s="1" t="str">
        <f aca="false">TEXT(DATE(VALUE(RIGHT(B410,4)),VALUE(MID(B410,4,2)),VALUE(LEFT(B410,2))),"MMM-YYYY")</f>
        <v>Aug-2024</v>
      </c>
      <c r="AF410" s="1" t="n">
        <f aca="false">VALUE(RIGHT(B410,4))</f>
        <v>2024</v>
      </c>
      <c r="AG410" s="1" t="str">
        <f aca="false">CHOOSE(ROUNDUP(VALUE(MID(B410,4,2))/3,0),"Q1","Q2","Q3","Q4")</f>
        <v>Q3</v>
      </c>
    </row>
    <row r="411" customFormat="false" ht="15" hidden="false" customHeight="true" outlineLevel="0" collapsed="false">
      <c r="A411" s="1" t="s">
        <v>884</v>
      </c>
      <c r="B411" s="1" t="s">
        <v>885</v>
      </c>
      <c r="C411" s="1" t="s">
        <v>119</v>
      </c>
      <c r="D411" s="1" t="s">
        <v>44</v>
      </c>
      <c r="E411" s="1" t="s">
        <v>66</v>
      </c>
      <c r="F411" s="1" t="s">
        <v>120</v>
      </c>
      <c r="G411" s="1" t="s">
        <v>47</v>
      </c>
      <c r="H411" s="1" t="s">
        <v>57</v>
      </c>
      <c r="I411" s="1" t="s">
        <v>58</v>
      </c>
      <c r="J411" s="1" t="s">
        <v>59</v>
      </c>
      <c r="K411" s="1" t="s">
        <v>48</v>
      </c>
      <c r="L411" s="1" t="s">
        <v>37</v>
      </c>
      <c r="M411" s="1" t="s">
        <v>38</v>
      </c>
      <c r="N411" s="1" t="n">
        <v>12999</v>
      </c>
      <c r="O411" s="1" t="n">
        <v>25</v>
      </c>
      <c r="P411" s="1" t="n">
        <v>3249.75</v>
      </c>
      <c r="Q411" s="1" t="n">
        <v>9749.25</v>
      </c>
      <c r="R411" s="1" t="n">
        <v>1754.87</v>
      </c>
      <c r="S411" s="1" t="n">
        <v>7994.38</v>
      </c>
      <c r="T411" s="1" t="n">
        <v>3643.62</v>
      </c>
      <c r="U411" s="1" t="n">
        <v>4350.76</v>
      </c>
      <c r="V411" s="1" t="n">
        <v>54.42</v>
      </c>
      <c r="W411" s="1" t="s">
        <v>39</v>
      </c>
      <c r="X411" s="1" t="n">
        <v>3.9</v>
      </c>
      <c r="Y411" s="1" t="s">
        <v>40</v>
      </c>
      <c r="Z411" s="1" t="n">
        <v>0</v>
      </c>
      <c r="AA411" s="1" t="str">
        <f aca="false">TRIM(PROPER(F411))</f>
        <v>Mysuru</v>
      </c>
      <c r="AB411" s="1" t="str">
        <f aca="false">TRIM(PROPER(C411))</f>
        <v>Simplilearn</v>
      </c>
      <c r="AC411" s="1" t="str">
        <f aca="false">IF(O411=0,"No Discount",IF(O411&lt;=15,"Low (1-15%)",IF(O411&lt;=30,"Medium (16-30%)","High (&gt;30%)")))</f>
        <v>Medium (16-30%)</v>
      </c>
      <c r="AD411" s="1" t="str">
        <f aca="false">IF(V411&lt;0,"Loss Making",IF(V411&lt;20,"Low Margin","Healthy Margin"))</f>
        <v>Healthy Margin</v>
      </c>
      <c r="AE411" s="1" t="str">
        <f aca="false">TEXT(DATE(VALUE(RIGHT(B411,4)),VALUE(MID(B411,4,2)),VALUE(LEFT(B411,2))),"MMM-YYYY")</f>
        <v>Jan-2023</v>
      </c>
      <c r="AF411" s="1" t="n">
        <f aca="false">VALUE(RIGHT(B411,4))</f>
        <v>2023</v>
      </c>
      <c r="AG411" s="1" t="str">
        <f aca="false">CHOOSE(ROUNDUP(VALUE(MID(B411,4,2))/3,0),"Q1","Q2","Q3","Q4")</f>
        <v>Q1</v>
      </c>
    </row>
    <row r="412" customFormat="false" ht="15" hidden="false" customHeight="true" outlineLevel="0" collapsed="false">
      <c r="A412" s="1" t="s">
        <v>886</v>
      </c>
      <c r="B412" s="1" t="s">
        <v>551</v>
      </c>
      <c r="C412" s="1" t="s">
        <v>43</v>
      </c>
      <c r="D412" s="1" t="s">
        <v>53</v>
      </c>
      <c r="E412" s="1" t="s">
        <v>116</v>
      </c>
      <c r="F412" s="1" t="s">
        <v>140</v>
      </c>
      <c r="G412" s="1" t="s">
        <v>97</v>
      </c>
      <c r="H412" s="1" t="s">
        <v>57</v>
      </c>
      <c r="I412" s="1" t="s">
        <v>34</v>
      </c>
      <c r="J412" s="1" t="s">
        <v>70</v>
      </c>
      <c r="K412" s="1" t="s">
        <v>112</v>
      </c>
      <c r="L412" s="1" t="s">
        <v>61</v>
      </c>
      <c r="M412" s="1" t="s">
        <v>50</v>
      </c>
      <c r="N412" s="1" t="n">
        <v>9999</v>
      </c>
      <c r="O412" s="1" t="n">
        <v>15</v>
      </c>
      <c r="P412" s="1" t="n">
        <v>1499.85</v>
      </c>
      <c r="Q412" s="1" t="n">
        <v>8499.15</v>
      </c>
      <c r="R412" s="1" t="n">
        <v>1529.85</v>
      </c>
      <c r="S412" s="1" t="n">
        <v>6969.3</v>
      </c>
      <c r="T412" s="1" t="n">
        <v>2834.97</v>
      </c>
      <c r="U412" s="1" t="n">
        <v>4134.33</v>
      </c>
      <c r="V412" s="1" t="n">
        <v>59.32</v>
      </c>
      <c r="W412" s="1" t="s">
        <v>40</v>
      </c>
      <c r="Y412" s="1" t="s">
        <v>40</v>
      </c>
      <c r="Z412" s="1" t="n">
        <v>2</v>
      </c>
      <c r="AA412" s="1" t="str">
        <f aca="false">TRIM(PROPER(F412))</f>
        <v>Nashik</v>
      </c>
      <c r="AB412" s="1" t="str">
        <f aca="false">TRIM(PROPER(C412))</f>
        <v>Meritnation</v>
      </c>
      <c r="AC412" s="1" t="str">
        <f aca="false">IF(O412=0,"No Discount",IF(O412&lt;=15,"Low (1-15%)",IF(O412&lt;=30,"Medium (16-30%)","High (&gt;30%)")))</f>
        <v>Low (1-15%)</v>
      </c>
      <c r="AD412" s="1" t="str">
        <f aca="false">IF(V412&lt;0,"Loss Making",IF(V412&lt;20,"Low Margin","Healthy Margin"))</f>
        <v>Healthy Margin</v>
      </c>
      <c r="AE412" s="1" t="str">
        <f aca="false">TEXT(DATE(VALUE(RIGHT(B412,4)),VALUE(MID(B412,4,2)),VALUE(LEFT(B412,2))),"MMM-YYYY")</f>
        <v>Jul-2023</v>
      </c>
      <c r="AF412" s="1" t="n">
        <f aca="false">VALUE(RIGHT(B412,4))</f>
        <v>2023</v>
      </c>
      <c r="AG412" s="1" t="str">
        <f aca="false">CHOOSE(ROUNDUP(VALUE(MID(B412,4,2))/3,0),"Q1","Q2","Q3","Q4")</f>
        <v>Q3</v>
      </c>
    </row>
    <row r="413" customFormat="false" ht="15" hidden="false" customHeight="true" outlineLevel="0" collapsed="false">
      <c r="A413" s="1" t="s">
        <v>887</v>
      </c>
      <c r="B413" s="1" t="s">
        <v>263</v>
      </c>
      <c r="C413" s="1" t="s">
        <v>28</v>
      </c>
      <c r="D413" s="1" t="s">
        <v>53</v>
      </c>
      <c r="E413" s="1" t="s">
        <v>116</v>
      </c>
      <c r="F413" s="1" t="s">
        <v>140</v>
      </c>
      <c r="G413" s="1" t="s">
        <v>97</v>
      </c>
      <c r="H413" s="1" t="s">
        <v>57</v>
      </c>
      <c r="I413" s="1" t="s">
        <v>83</v>
      </c>
      <c r="J413" s="1" t="s">
        <v>59</v>
      </c>
      <c r="K413" s="1" t="s">
        <v>112</v>
      </c>
      <c r="L413" s="1" t="s">
        <v>113</v>
      </c>
      <c r="M413" s="1" t="s">
        <v>62</v>
      </c>
      <c r="N413" s="1" t="n">
        <v>9999</v>
      </c>
      <c r="O413" s="1" t="n">
        <v>40</v>
      </c>
      <c r="P413" s="1" t="n">
        <v>3999.6</v>
      </c>
      <c r="Q413" s="1" t="n">
        <v>5999.4</v>
      </c>
      <c r="R413" s="1" t="n">
        <v>1079.89</v>
      </c>
      <c r="S413" s="1" t="n">
        <v>4919.51</v>
      </c>
      <c r="T413" s="1" t="n">
        <v>3167.22</v>
      </c>
      <c r="U413" s="1" t="n">
        <v>1752.29</v>
      </c>
      <c r="V413" s="1" t="n">
        <v>35.62</v>
      </c>
      <c r="W413" s="1" t="s">
        <v>40</v>
      </c>
      <c r="Y413" s="1" t="s">
        <v>39</v>
      </c>
      <c r="Z413" s="1" t="n">
        <v>0</v>
      </c>
      <c r="AA413" s="1" t="str">
        <f aca="false">TRIM(PROPER(F413))</f>
        <v>Nashik</v>
      </c>
      <c r="AB413" s="1" t="str">
        <f aca="false">TRIM(PROPER(C413))</f>
        <v>Embibe</v>
      </c>
      <c r="AC413" s="1" t="str">
        <f aca="false">IF(O413=0,"No Discount",IF(O413&lt;=15,"Low (1-15%)",IF(O413&lt;=30,"Medium (16-30%)","High (&gt;30%)")))</f>
        <v>High (&gt;30%)</v>
      </c>
      <c r="AD413" s="1" t="str">
        <f aca="false">IF(V413&lt;0,"Loss Making",IF(V413&lt;20,"Low Margin","Healthy Margin"))</f>
        <v>Healthy Margin</v>
      </c>
      <c r="AE413" s="1" t="str">
        <f aca="false">TEXT(DATE(VALUE(RIGHT(B413,4)),VALUE(MID(B413,4,2)),VALUE(LEFT(B413,2))),"MMM-YYYY")</f>
        <v>Jul-2024</v>
      </c>
      <c r="AF413" s="1" t="n">
        <f aca="false">VALUE(RIGHT(B413,4))</f>
        <v>2024</v>
      </c>
      <c r="AG413" s="1" t="str">
        <f aca="false">CHOOSE(ROUNDUP(VALUE(MID(B413,4,2))/3,0),"Q1","Q2","Q3","Q4")</f>
        <v>Q3</v>
      </c>
    </row>
    <row r="414" customFormat="false" ht="15" hidden="false" customHeight="true" outlineLevel="0" collapsed="false">
      <c r="A414" s="1" t="s">
        <v>888</v>
      </c>
      <c r="B414" s="1" t="s">
        <v>889</v>
      </c>
      <c r="C414" s="1" t="s">
        <v>167</v>
      </c>
      <c r="D414" s="1" t="s">
        <v>80</v>
      </c>
      <c r="E414" s="1" t="s">
        <v>175</v>
      </c>
      <c r="F414" s="1" t="s">
        <v>96</v>
      </c>
      <c r="G414" s="1" t="s">
        <v>97</v>
      </c>
      <c r="H414" s="1" t="s">
        <v>69</v>
      </c>
      <c r="I414" s="1" t="s">
        <v>58</v>
      </c>
      <c r="J414" s="1" t="s">
        <v>70</v>
      </c>
      <c r="K414" s="1" t="s">
        <v>84</v>
      </c>
      <c r="L414" s="1" t="s">
        <v>49</v>
      </c>
      <c r="M414" s="1" t="s">
        <v>38</v>
      </c>
      <c r="N414" s="1" t="n">
        <v>19999</v>
      </c>
      <c r="O414" s="1" t="n">
        <v>25</v>
      </c>
      <c r="P414" s="1" t="n">
        <v>4999.75</v>
      </c>
      <c r="Q414" s="1" t="n">
        <v>14999.25</v>
      </c>
      <c r="R414" s="1" t="n">
        <v>2699.86</v>
      </c>
      <c r="S414" s="1" t="n">
        <v>12299.39</v>
      </c>
      <c r="T414" s="1" t="n">
        <v>3556.48</v>
      </c>
      <c r="U414" s="1" t="n">
        <v>8742.91</v>
      </c>
      <c r="V414" s="1" t="n">
        <v>71.08</v>
      </c>
      <c r="W414" s="1" t="s">
        <v>39</v>
      </c>
      <c r="X414" s="1" t="n">
        <v>4</v>
      </c>
      <c r="Y414" s="1" t="s">
        <v>40</v>
      </c>
      <c r="Z414" s="1" t="n">
        <v>0</v>
      </c>
      <c r="AA414" s="1" t="str">
        <f aca="false">TRIM(PROPER(F414))</f>
        <v>Pune</v>
      </c>
      <c r="AB414" s="1" t="str">
        <f aca="false">TRIM(PROPER(C414))</f>
        <v>Scaler</v>
      </c>
      <c r="AC414" s="1" t="str">
        <f aca="false">IF(O414=0,"No Discount",IF(O414&lt;=15,"Low (1-15%)",IF(O414&lt;=30,"Medium (16-30%)","High (&gt;30%)")))</f>
        <v>Medium (16-30%)</v>
      </c>
      <c r="AD414" s="1" t="str">
        <f aca="false">IF(V414&lt;0,"Loss Making",IF(V414&lt;20,"Low Margin","Healthy Margin"))</f>
        <v>Healthy Margin</v>
      </c>
      <c r="AE414" s="1" t="str">
        <f aca="false">TEXT(DATE(VALUE(RIGHT(B414,4)),VALUE(MID(B414,4,2)),VALUE(LEFT(B414,2))),"MMM-YYYY")</f>
        <v>Sep-2024</v>
      </c>
      <c r="AF414" s="1" t="n">
        <f aca="false">VALUE(RIGHT(B414,4))</f>
        <v>2024</v>
      </c>
      <c r="AG414" s="1" t="str">
        <f aca="false">CHOOSE(ROUNDUP(VALUE(MID(B414,4,2))/3,0),"Q1","Q2","Q3","Q4")</f>
        <v>Q3</v>
      </c>
    </row>
    <row r="415" customFormat="false" ht="15" hidden="false" customHeight="true" outlineLevel="0" collapsed="false">
      <c r="A415" s="1" t="s">
        <v>890</v>
      </c>
      <c r="B415" s="1" t="s">
        <v>891</v>
      </c>
      <c r="C415" s="1" t="s">
        <v>93</v>
      </c>
      <c r="D415" s="1" t="s">
        <v>94</v>
      </c>
      <c r="E415" s="1" t="s">
        <v>135</v>
      </c>
      <c r="F415" s="1" t="s">
        <v>244</v>
      </c>
      <c r="G415" s="1" t="s">
        <v>97</v>
      </c>
      <c r="H415" s="1" t="s">
        <v>57</v>
      </c>
      <c r="I415" s="1" t="s">
        <v>83</v>
      </c>
      <c r="J415" s="1" t="s">
        <v>77</v>
      </c>
      <c r="K415" s="1" t="s">
        <v>36</v>
      </c>
      <c r="L415" s="1" t="s">
        <v>85</v>
      </c>
      <c r="M415" s="1" t="s">
        <v>62</v>
      </c>
      <c r="N415" s="1" t="n">
        <v>9999</v>
      </c>
      <c r="O415" s="1" t="n">
        <v>30</v>
      </c>
      <c r="P415" s="1" t="n">
        <v>2999.7</v>
      </c>
      <c r="Q415" s="1" t="n">
        <v>6999.3</v>
      </c>
      <c r="R415" s="1" t="n">
        <v>1259.87</v>
      </c>
      <c r="S415" s="1" t="n">
        <v>5739.43</v>
      </c>
      <c r="T415" s="1" t="n">
        <v>2328.42</v>
      </c>
      <c r="U415" s="1" t="n">
        <v>3411.01</v>
      </c>
      <c r="V415" s="1" t="n">
        <v>59.43</v>
      </c>
      <c r="W415" s="1" t="s">
        <v>40</v>
      </c>
      <c r="Y415" s="1" t="s">
        <v>40</v>
      </c>
      <c r="Z415" s="1" t="n">
        <v>0</v>
      </c>
      <c r="AA415" s="1" t="str">
        <f aca="false">TRIM(PROPER(F415))</f>
        <v>Nagpur</v>
      </c>
      <c r="AB415" s="1" t="str">
        <f aca="false">TRIM(PROPER(C415))</f>
        <v>Upgrad</v>
      </c>
      <c r="AC415" s="1" t="str">
        <f aca="false">IF(O415=0,"No Discount",IF(O415&lt;=15,"Low (1-15%)",IF(O415&lt;=30,"Medium (16-30%)","High (&gt;30%)")))</f>
        <v>Medium (16-30%)</v>
      </c>
      <c r="AD415" s="1" t="str">
        <f aca="false">IF(V415&lt;0,"Loss Making",IF(V415&lt;20,"Low Margin","Healthy Margin"))</f>
        <v>Healthy Margin</v>
      </c>
      <c r="AE415" s="1" t="str">
        <f aca="false">TEXT(DATE(VALUE(RIGHT(B415,4)),VALUE(MID(B415,4,2)),VALUE(LEFT(B415,2))),"MMM-YYYY")</f>
        <v>Apr-2024</v>
      </c>
      <c r="AF415" s="1" t="n">
        <f aca="false">VALUE(RIGHT(B415,4))</f>
        <v>2024</v>
      </c>
      <c r="AG415" s="1" t="str">
        <f aca="false">CHOOSE(ROUNDUP(VALUE(MID(B415,4,2))/3,0),"Q1","Q2","Q3","Q4")</f>
        <v>Q2</v>
      </c>
    </row>
    <row r="416" customFormat="false" ht="15" hidden="false" customHeight="true" outlineLevel="0" collapsed="false">
      <c r="A416" s="1" t="s">
        <v>892</v>
      </c>
      <c r="B416" s="1" t="s">
        <v>893</v>
      </c>
      <c r="C416" s="1" t="s">
        <v>178</v>
      </c>
      <c r="D416" s="1" t="s">
        <v>123</v>
      </c>
      <c r="E416" s="1" t="s">
        <v>147</v>
      </c>
      <c r="F416" s="1" t="s">
        <v>194</v>
      </c>
      <c r="G416" s="1" t="s">
        <v>103</v>
      </c>
      <c r="H416" s="1" t="s">
        <v>69</v>
      </c>
      <c r="I416" s="1" t="s">
        <v>83</v>
      </c>
      <c r="J416" s="1" t="s">
        <v>59</v>
      </c>
      <c r="K416" s="1" t="s">
        <v>36</v>
      </c>
      <c r="L416" s="1" t="s">
        <v>49</v>
      </c>
      <c r="M416" s="1" t="s">
        <v>50</v>
      </c>
      <c r="N416" s="1" t="n">
        <v>6999</v>
      </c>
      <c r="O416" s="1" t="n">
        <v>10</v>
      </c>
      <c r="P416" s="1" t="n">
        <v>699.9</v>
      </c>
      <c r="Q416" s="1" t="n">
        <v>6299.1</v>
      </c>
      <c r="R416" s="1" t="n">
        <v>1133.84</v>
      </c>
      <c r="S416" s="1" t="n">
        <v>5165.26</v>
      </c>
      <c r="T416" s="1" t="n">
        <v>2199.12</v>
      </c>
      <c r="U416" s="1" t="n">
        <v>2966.14</v>
      </c>
      <c r="V416" s="1" t="n">
        <v>57.42</v>
      </c>
      <c r="W416" s="1" t="s">
        <v>40</v>
      </c>
      <c r="Y416" s="1" t="s">
        <v>40</v>
      </c>
      <c r="Z416" s="1" t="n">
        <v>0</v>
      </c>
      <c r="AA416" s="1" t="str">
        <f aca="false">TRIM(PROPER(F416))</f>
        <v>Hyderabad</v>
      </c>
      <c r="AB416" s="1" t="str">
        <f aca="false">TRIM(PROPER(C416))</f>
        <v>Leverage Edu</v>
      </c>
      <c r="AC416" s="1" t="str">
        <f aca="false">IF(O416=0,"No Discount",IF(O416&lt;=15,"Low (1-15%)",IF(O416&lt;=30,"Medium (16-30%)","High (&gt;30%)")))</f>
        <v>Low (1-15%)</v>
      </c>
      <c r="AD416" s="1" t="str">
        <f aca="false">IF(V416&lt;0,"Loss Making",IF(V416&lt;20,"Low Margin","Healthy Margin"))</f>
        <v>Healthy Margin</v>
      </c>
      <c r="AE416" s="1" t="str">
        <f aca="false">TEXT(DATE(VALUE(RIGHT(B416,4)),VALUE(MID(B416,4,2)),VALUE(LEFT(B416,2))),"MMM-YYYY")</f>
        <v>Jun-2024</v>
      </c>
      <c r="AF416" s="1" t="n">
        <f aca="false">VALUE(RIGHT(B416,4))</f>
        <v>2024</v>
      </c>
      <c r="AG416" s="1" t="str">
        <f aca="false">CHOOSE(ROUNDUP(VALUE(MID(B416,4,2))/3,0),"Q1","Q2","Q3","Q4")</f>
        <v>Q2</v>
      </c>
    </row>
    <row r="417" customFormat="false" ht="15" hidden="false" customHeight="true" outlineLevel="0" collapsed="false">
      <c r="A417" s="1" t="s">
        <v>894</v>
      </c>
      <c r="B417" s="1" t="s">
        <v>885</v>
      </c>
      <c r="C417" s="1" t="s">
        <v>119</v>
      </c>
      <c r="D417" s="1" t="s">
        <v>80</v>
      </c>
      <c r="E417" s="1" t="s">
        <v>81</v>
      </c>
      <c r="F417" s="1" t="s">
        <v>107</v>
      </c>
      <c r="G417" s="1" t="s">
        <v>108</v>
      </c>
      <c r="H417" s="1" t="s">
        <v>33</v>
      </c>
      <c r="I417" s="1" t="s">
        <v>58</v>
      </c>
      <c r="J417" s="1" t="s">
        <v>131</v>
      </c>
      <c r="K417" s="1" t="s">
        <v>71</v>
      </c>
      <c r="L417" s="1" t="s">
        <v>49</v>
      </c>
      <c r="M417" s="1" t="s">
        <v>38</v>
      </c>
      <c r="N417" s="1" t="n">
        <v>12999</v>
      </c>
      <c r="O417" s="1" t="n">
        <v>10</v>
      </c>
      <c r="P417" s="1" t="n">
        <v>1299.9</v>
      </c>
      <c r="Q417" s="1" t="n">
        <v>11699.1</v>
      </c>
      <c r="R417" s="1" t="n">
        <v>2105.84</v>
      </c>
      <c r="S417" s="1" t="n">
        <v>9593.26</v>
      </c>
      <c r="T417" s="1" t="n">
        <v>4356.3</v>
      </c>
      <c r="U417" s="1" t="n">
        <v>5236.96</v>
      </c>
      <c r="V417" s="1" t="n">
        <v>54.59</v>
      </c>
      <c r="W417" s="1" t="s">
        <v>39</v>
      </c>
      <c r="Y417" s="1" t="s">
        <v>40</v>
      </c>
      <c r="Z417" s="1" t="n">
        <v>1</v>
      </c>
      <c r="AA417" s="1" t="str">
        <f aca="false">TRIM(PROPER(F417))</f>
        <v>Madurai</v>
      </c>
      <c r="AB417" s="1" t="str">
        <f aca="false">TRIM(PROPER(C417))</f>
        <v>Simplilearn</v>
      </c>
      <c r="AC417" s="1" t="str">
        <f aca="false">IF(O417=0,"No Discount",IF(O417&lt;=15,"Low (1-15%)",IF(O417&lt;=30,"Medium (16-30%)","High (&gt;30%)")))</f>
        <v>Low (1-15%)</v>
      </c>
      <c r="AD417" s="1" t="str">
        <f aca="false">IF(V417&lt;0,"Loss Making",IF(V417&lt;20,"Low Margin","Healthy Margin"))</f>
        <v>Healthy Margin</v>
      </c>
      <c r="AE417" s="1" t="str">
        <f aca="false">TEXT(DATE(VALUE(RIGHT(B417,4)),VALUE(MID(B417,4,2)),VALUE(LEFT(B417,2))),"MMM-YYYY")</f>
        <v>Jan-2023</v>
      </c>
      <c r="AF417" s="1" t="n">
        <f aca="false">VALUE(RIGHT(B417,4))</f>
        <v>2023</v>
      </c>
      <c r="AG417" s="1" t="str">
        <f aca="false">CHOOSE(ROUNDUP(VALUE(MID(B417,4,2))/3,0),"Q1","Q2","Q3","Q4")</f>
        <v>Q1</v>
      </c>
    </row>
    <row r="418" customFormat="false" ht="15" hidden="false" customHeight="true" outlineLevel="0" collapsed="false">
      <c r="A418" s="1" t="s">
        <v>895</v>
      </c>
      <c r="B418" s="1" t="s">
        <v>717</v>
      </c>
      <c r="C418" s="1" t="s">
        <v>43</v>
      </c>
      <c r="D418" s="1" t="s">
        <v>123</v>
      </c>
      <c r="E418" s="1" t="s">
        <v>147</v>
      </c>
      <c r="F418" s="1" t="s">
        <v>82</v>
      </c>
      <c r="G418" s="1" t="s">
        <v>56</v>
      </c>
      <c r="H418" s="1" t="s">
        <v>69</v>
      </c>
      <c r="I418" s="1" t="s">
        <v>83</v>
      </c>
      <c r="J418" s="1" t="s">
        <v>70</v>
      </c>
      <c r="K418" s="1" t="s">
        <v>36</v>
      </c>
      <c r="L418" s="1" t="s">
        <v>113</v>
      </c>
      <c r="M418" s="1" t="s">
        <v>50</v>
      </c>
      <c r="N418" s="1" t="n">
        <v>6999</v>
      </c>
      <c r="O418" s="1" t="n">
        <v>20</v>
      </c>
      <c r="P418" s="1" t="n">
        <v>1399.8</v>
      </c>
      <c r="Q418" s="1" t="n">
        <v>5599.2</v>
      </c>
      <c r="R418" s="1" t="n">
        <v>1007.86</v>
      </c>
      <c r="S418" s="1" t="n">
        <v>4591.34</v>
      </c>
      <c r="T418" s="1" t="n">
        <v>1714.43</v>
      </c>
      <c r="U418" s="1" t="n">
        <v>2876.91</v>
      </c>
      <c r="V418" s="1" t="n">
        <v>62.66</v>
      </c>
      <c r="W418" s="1" t="s">
        <v>39</v>
      </c>
      <c r="X418" s="1" t="n">
        <v>4.5</v>
      </c>
      <c r="Y418" s="1" t="s">
        <v>40</v>
      </c>
      <c r="Z418" s="1" t="n">
        <v>0</v>
      </c>
      <c r="AA418" s="1" t="str">
        <f aca="false">TRIM(PROPER(F418))</f>
        <v>Gurugram</v>
      </c>
      <c r="AB418" s="1" t="str">
        <f aca="false">TRIM(PROPER(C418))</f>
        <v>Meritnation</v>
      </c>
      <c r="AC418" s="1" t="str">
        <f aca="false">IF(O418=0,"No Discount",IF(O418&lt;=15,"Low (1-15%)",IF(O418&lt;=30,"Medium (16-30%)","High (&gt;30%)")))</f>
        <v>Medium (16-30%)</v>
      </c>
      <c r="AD418" s="1" t="str">
        <f aca="false">IF(V418&lt;0,"Loss Making",IF(V418&lt;20,"Low Margin","Healthy Margin"))</f>
        <v>Healthy Margin</v>
      </c>
      <c r="AE418" s="1" t="str">
        <f aca="false">TEXT(DATE(VALUE(RIGHT(B418,4)),VALUE(MID(B418,4,2)),VALUE(LEFT(B418,2))),"MMM-YYYY")</f>
        <v>Sep-2024</v>
      </c>
      <c r="AF418" s="1" t="n">
        <f aca="false">VALUE(RIGHT(B418,4))</f>
        <v>2024</v>
      </c>
      <c r="AG418" s="1" t="str">
        <f aca="false">CHOOSE(ROUNDUP(VALUE(MID(B418,4,2))/3,0),"Q1","Q2","Q3","Q4")</f>
        <v>Q3</v>
      </c>
    </row>
    <row r="419" customFormat="false" ht="15" hidden="false" customHeight="true" outlineLevel="0" collapsed="false">
      <c r="A419" s="1" t="s">
        <v>896</v>
      </c>
      <c r="B419" s="1" t="s">
        <v>897</v>
      </c>
      <c r="C419" s="1" t="s">
        <v>264</v>
      </c>
      <c r="D419" s="1" t="s">
        <v>44</v>
      </c>
      <c r="E419" s="1" t="s">
        <v>221</v>
      </c>
      <c r="F419" s="1" t="s">
        <v>187</v>
      </c>
      <c r="G419" s="1" t="s">
        <v>97</v>
      </c>
      <c r="H419" s="1" t="s">
        <v>69</v>
      </c>
      <c r="I419" s="1" t="s">
        <v>58</v>
      </c>
      <c r="J419" s="1" t="s">
        <v>70</v>
      </c>
      <c r="K419" s="1" t="s">
        <v>48</v>
      </c>
      <c r="L419" s="1" t="s">
        <v>61</v>
      </c>
      <c r="M419" s="1" t="s">
        <v>38</v>
      </c>
      <c r="N419" s="1" t="n">
        <v>16999</v>
      </c>
      <c r="O419" s="1" t="n">
        <v>0</v>
      </c>
      <c r="P419" s="1" t="n">
        <v>0</v>
      </c>
      <c r="Q419" s="1" t="n">
        <v>16999</v>
      </c>
      <c r="R419" s="1" t="n">
        <v>3059.82</v>
      </c>
      <c r="S419" s="1" t="n">
        <v>13939.18</v>
      </c>
      <c r="T419" s="1" t="n">
        <v>6121.66</v>
      </c>
      <c r="U419" s="1" t="n">
        <v>7817.52</v>
      </c>
      <c r="V419" s="1" t="n">
        <v>56.08</v>
      </c>
      <c r="W419" s="1" t="s">
        <v>39</v>
      </c>
      <c r="X419" s="1" t="n">
        <v>3.4</v>
      </c>
      <c r="Y419" s="1" t="s">
        <v>40</v>
      </c>
      <c r="Z419" s="1" t="n">
        <v>0</v>
      </c>
      <c r="AA419" s="1" t="str">
        <f aca="false">TRIM(PROPER(F419))</f>
        <v>Mumbai</v>
      </c>
      <c r="AB419" s="1" t="str">
        <f aca="false">TRIM(PROPER(C419))</f>
        <v>Unacademy</v>
      </c>
      <c r="AC419" s="1" t="str">
        <f aca="false">IF(O419=0,"No Discount",IF(O419&lt;=15,"Low (1-15%)",IF(O419&lt;=30,"Medium (16-30%)","High (&gt;30%)")))</f>
        <v>No Discount</v>
      </c>
      <c r="AD419" s="1" t="str">
        <f aca="false">IF(V419&lt;0,"Loss Making",IF(V419&lt;20,"Low Margin","Healthy Margin"))</f>
        <v>Healthy Margin</v>
      </c>
      <c r="AE419" s="1" t="str">
        <f aca="false">TEXT(DATE(VALUE(RIGHT(B419,4)),VALUE(MID(B419,4,2)),VALUE(LEFT(B419,2))),"MMM-YYYY")</f>
        <v>Jan-2024</v>
      </c>
      <c r="AF419" s="1" t="n">
        <f aca="false">VALUE(RIGHT(B419,4))</f>
        <v>2024</v>
      </c>
      <c r="AG419" s="1" t="str">
        <f aca="false">CHOOSE(ROUNDUP(VALUE(MID(B419,4,2))/3,0),"Q1","Q2","Q3","Q4")</f>
        <v>Q1</v>
      </c>
    </row>
    <row r="420" customFormat="false" ht="15" hidden="false" customHeight="true" outlineLevel="0" collapsed="false">
      <c r="A420" s="1" t="s">
        <v>898</v>
      </c>
      <c r="B420" s="1" t="s">
        <v>899</v>
      </c>
      <c r="C420" s="1" t="s">
        <v>100</v>
      </c>
      <c r="D420" s="1" t="s">
        <v>80</v>
      </c>
      <c r="E420" s="1" t="s">
        <v>190</v>
      </c>
      <c r="F420" s="1" t="s">
        <v>46</v>
      </c>
      <c r="G420" s="1" t="s">
        <v>47</v>
      </c>
      <c r="H420" s="1" t="s">
        <v>33</v>
      </c>
      <c r="I420" s="1" t="s">
        <v>83</v>
      </c>
      <c r="J420" s="1" t="s">
        <v>35</v>
      </c>
      <c r="K420" s="1" t="s">
        <v>90</v>
      </c>
      <c r="L420" s="1" t="s">
        <v>61</v>
      </c>
      <c r="M420" s="1" t="s">
        <v>62</v>
      </c>
      <c r="N420" s="1" t="n">
        <v>15999</v>
      </c>
      <c r="O420" s="1" t="n">
        <v>5</v>
      </c>
      <c r="P420" s="1" t="n">
        <v>799.95</v>
      </c>
      <c r="Q420" s="1" t="n">
        <v>15199.05</v>
      </c>
      <c r="R420" s="1" t="n">
        <v>2735.83</v>
      </c>
      <c r="S420" s="1" t="n">
        <v>12463.22</v>
      </c>
      <c r="T420" s="1" t="n">
        <v>6042.13</v>
      </c>
      <c r="U420" s="1" t="n">
        <v>6421.09</v>
      </c>
      <c r="V420" s="1" t="n">
        <v>51.52</v>
      </c>
      <c r="W420" s="1" t="s">
        <v>39</v>
      </c>
      <c r="X420" s="1" t="n">
        <v>3.8</v>
      </c>
      <c r="Y420" s="1" t="s">
        <v>40</v>
      </c>
      <c r="Z420" s="1" t="n">
        <v>0</v>
      </c>
      <c r="AA420" s="1" t="str">
        <f aca="false">TRIM(PROPER(F420))</f>
        <v>Mangaluru</v>
      </c>
      <c r="AB420" s="1" t="str">
        <f aca="false">TRIM(PROPER(C420))</f>
        <v>Physics Wallah</v>
      </c>
      <c r="AC420" s="1" t="str">
        <f aca="false">IF(O420=0,"No Discount",IF(O420&lt;=15,"Low (1-15%)",IF(O420&lt;=30,"Medium (16-30%)","High (&gt;30%)")))</f>
        <v>Low (1-15%)</v>
      </c>
      <c r="AD420" s="1" t="str">
        <f aca="false">IF(V420&lt;0,"Loss Making",IF(V420&lt;20,"Low Margin","Healthy Margin"))</f>
        <v>Healthy Margin</v>
      </c>
      <c r="AE420" s="1" t="str">
        <f aca="false">TEXT(DATE(VALUE(RIGHT(B420,4)),VALUE(MID(B420,4,2)),VALUE(LEFT(B420,2))),"MMM-YYYY")</f>
        <v>Mar-2024</v>
      </c>
      <c r="AF420" s="1" t="n">
        <f aca="false">VALUE(RIGHT(B420,4))</f>
        <v>2024</v>
      </c>
      <c r="AG420" s="1" t="str">
        <f aca="false">CHOOSE(ROUNDUP(VALUE(MID(B420,4,2))/3,0),"Q1","Q2","Q3","Q4")</f>
        <v>Q1</v>
      </c>
    </row>
    <row r="421" customFormat="false" ht="15" hidden="false" customHeight="true" outlineLevel="0" collapsed="false">
      <c r="A421" s="1" t="s">
        <v>900</v>
      </c>
      <c r="B421" s="1" t="s">
        <v>901</v>
      </c>
      <c r="C421" s="1" t="s">
        <v>128</v>
      </c>
      <c r="D421" s="1" t="s">
        <v>44</v>
      </c>
      <c r="E421" s="1" t="s">
        <v>66</v>
      </c>
      <c r="F421" s="1" t="s">
        <v>211</v>
      </c>
      <c r="G421" s="1" t="s">
        <v>56</v>
      </c>
      <c r="H421" s="1" t="s">
        <v>69</v>
      </c>
      <c r="I421" s="1" t="s">
        <v>34</v>
      </c>
      <c r="J421" s="1" t="s">
        <v>77</v>
      </c>
      <c r="K421" s="1" t="s">
        <v>36</v>
      </c>
      <c r="L421" s="1" t="s">
        <v>37</v>
      </c>
      <c r="M421" s="1" t="s">
        <v>50</v>
      </c>
      <c r="N421" s="1" t="n">
        <v>12999</v>
      </c>
      <c r="O421" s="1" t="n">
        <v>5</v>
      </c>
      <c r="P421" s="1" t="n">
        <v>649.95</v>
      </c>
      <c r="Q421" s="1" t="n">
        <v>12349.05</v>
      </c>
      <c r="R421" s="1" t="n">
        <v>2222.83</v>
      </c>
      <c r="S421" s="1" t="n">
        <v>10126.22</v>
      </c>
      <c r="T421" s="1" t="n">
        <v>4548.66</v>
      </c>
      <c r="U421" s="1" t="n">
        <v>5577.56</v>
      </c>
      <c r="V421" s="1" t="n">
        <v>55.08</v>
      </c>
      <c r="W421" s="1" t="s">
        <v>40</v>
      </c>
      <c r="Y421" s="1" t="s">
        <v>39</v>
      </c>
      <c r="Z421" s="1" t="n">
        <v>0</v>
      </c>
      <c r="AA421" s="1" t="str">
        <f aca="false">TRIM(PROPER(F421))</f>
        <v>Noida</v>
      </c>
      <c r="AB421" s="1" t="str">
        <f aca="false">TRIM(PROPER(C421))</f>
        <v>Great Learning</v>
      </c>
      <c r="AC421" s="1" t="str">
        <f aca="false">IF(O421=0,"No Discount",IF(O421&lt;=15,"Low (1-15%)",IF(O421&lt;=30,"Medium (16-30%)","High (&gt;30%)")))</f>
        <v>Low (1-15%)</v>
      </c>
      <c r="AD421" s="1" t="str">
        <f aca="false">IF(V421&lt;0,"Loss Making",IF(V421&lt;20,"Low Margin","Healthy Margin"))</f>
        <v>Healthy Margin</v>
      </c>
      <c r="AE421" s="1" t="str">
        <f aca="false">TEXT(DATE(VALUE(RIGHT(B421,4)),VALUE(MID(B421,4,2)),VALUE(LEFT(B421,2))),"MMM-YYYY")</f>
        <v>Jan-2023</v>
      </c>
      <c r="AF421" s="1" t="n">
        <f aca="false">VALUE(RIGHT(B421,4))</f>
        <v>2023</v>
      </c>
      <c r="AG421" s="1" t="str">
        <f aca="false">CHOOSE(ROUNDUP(VALUE(MID(B421,4,2))/3,0),"Q1","Q2","Q3","Q4")</f>
        <v>Q1</v>
      </c>
    </row>
    <row r="422" customFormat="false" ht="15" hidden="false" customHeight="true" outlineLevel="0" collapsed="false">
      <c r="A422" s="1" t="s">
        <v>902</v>
      </c>
      <c r="B422" s="1" t="s">
        <v>903</v>
      </c>
      <c r="C422" s="1" t="s">
        <v>139</v>
      </c>
      <c r="D422" s="1" t="s">
        <v>29</v>
      </c>
      <c r="E422" s="1" t="s">
        <v>305</v>
      </c>
      <c r="F422" s="1" t="s">
        <v>89</v>
      </c>
      <c r="G422" s="1" t="s">
        <v>68</v>
      </c>
      <c r="H422" s="1" t="s">
        <v>33</v>
      </c>
      <c r="I422" s="1" t="s">
        <v>58</v>
      </c>
      <c r="J422" s="1" t="s">
        <v>70</v>
      </c>
      <c r="K422" s="1" t="s">
        <v>60</v>
      </c>
      <c r="L422" s="1" t="s">
        <v>136</v>
      </c>
      <c r="M422" s="1" t="s">
        <v>62</v>
      </c>
      <c r="N422" s="1" t="n">
        <v>24999</v>
      </c>
      <c r="O422" s="1" t="n">
        <v>30</v>
      </c>
      <c r="P422" s="1" t="n">
        <v>7499.7</v>
      </c>
      <c r="Q422" s="1" t="n">
        <v>17499.3</v>
      </c>
      <c r="R422" s="1" t="n">
        <v>3149.87</v>
      </c>
      <c r="S422" s="1" t="n">
        <v>14349.43</v>
      </c>
      <c r="T422" s="1" t="n">
        <v>6260.45</v>
      </c>
      <c r="U422" s="1" t="n">
        <v>8088.98</v>
      </c>
      <c r="V422" s="1" t="n">
        <v>56.37</v>
      </c>
      <c r="W422" s="1" t="s">
        <v>39</v>
      </c>
      <c r="X422" s="1" t="n">
        <v>3.4</v>
      </c>
      <c r="Y422" s="1" t="s">
        <v>40</v>
      </c>
      <c r="Z422" s="1" t="n">
        <v>0</v>
      </c>
      <c r="AA422" s="1" t="str">
        <f aca="false">TRIM(PROPER(F422))</f>
        <v>Vadodara</v>
      </c>
      <c r="AB422" s="1" t="str">
        <f aca="false">TRIM(PROPER(C422))</f>
        <v>Extramarks</v>
      </c>
      <c r="AC422" s="1" t="str">
        <f aca="false">IF(O422=0,"No Discount",IF(O422&lt;=15,"Low (1-15%)",IF(O422&lt;=30,"Medium (16-30%)","High (&gt;30%)")))</f>
        <v>Medium (16-30%)</v>
      </c>
      <c r="AD422" s="1" t="str">
        <f aca="false">IF(V422&lt;0,"Loss Making",IF(V422&lt;20,"Low Margin","Healthy Margin"))</f>
        <v>Healthy Margin</v>
      </c>
      <c r="AE422" s="1" t="str">
        <f aca="false">TEXT(DATE(VALUE(RIGHT(B422,4)),VALUE(MID(B422,4,2)),VALUE(LEFT(B422,2))),"MMM-YYYY")</f>
        <v>Jun-2024</v>
      </c>
      <c r="AF422" s="1" t="n">
        <f aca="false">VALUE(RIGHT(B422,4))</f>
        <v>2024</v>
      </c>
      <c r="AG422" s="1" t="str">
        <f aca="false">CHOOSE(ROUNDUP(VALUE(MID(B422,4,2))/3,0),"Q1","Q2","Q3","Q4")</f>
        <v>Q2</v>
      </c>
    </row>
    <row r="423" customFormat="false" ht="15" hidden="false" customHeight="true" outlineLevel="0" collapsed="false">
      <c r="A423" s="1" t="s">
        <v>904</v>
      </c>
      <c r="B423" s="1" t="s">
        <v>441</v>
      </c>
      <c r="C423" s="1" t="s">
        <v>167</v>
      </c>
      <c r="D423" s="1" t="s">
        <v>53</v>
      </c>
      <c r="E423" s="1" t="s">
        <v>54</v>
      </c>
      <c r="F423" s="1" t="s">
        <v>150</v>
      </c>
      <c r="G423" s="1" t="s">
        <v>32</v>
      </c>
      <c r="H423" s="1" t="s">
        <v>57</v>
      </c>
      <c r="I423" s="1" t="s">
        <v>83</v>
      </c>
      <c r="J423" s="1" t="s">
        <v>131</v>
      </c>
      <c r="K423" s="1" t="s">
        <v>48</v>
      </c>
      <c r="L423" s="1" t="s">
        <v>37</v>
      </c>
      <c r="M423" s="1" t="s">
        <v>50</v>
      </c>
      <c r="N423" s="1" t="n">
        <v>11999</v>
      </c>
      <c r="O423" s="1" t="n">
        <v>10</v>
      </c>
      <c r="P423" s="1" t="n">
        <v>1199.9</v>
      </c>
      <c r="Q423" s="1" t="n">
        <v>10799.1</v>
      </c>
      <c r="R423" s="1" t="n">
        <v>1943.84</v>
      </c>
      <c r="S423" s="1" t="n">
        <v>8855.26</v>
      </c>
      <c r="T423" s="1" t="n">
        <v>4309.34</v>
      </c>
      <c r="U423" s="1" t="n">
        <v>4545.92</v>
      </c>
      <c r="V423" s="1" t="n">
        <v>51.34</v>
      </c>
      <c r="W423" s="1" t="s">
        <v>39</v>
      </c>
      <c r="X423" s="1" t="n">
        <v>4.2</v>
      </c>
      <c r="Y423" s="1" t="s">
        <v>40</v>
      </c>
      <c r="Z423" s="1" t="n">
        <v>0</v>
      </c>
      <c r="AA423" s="1" t="str">
        <f aca="false">TRIM(PROPER(F423))</f>
        <v>Jaipur</v>
      </c>
      <c r="AB423" s="1" t="str">
        <f aca="false">TRIM(PROPER(C423))</f>
        <v>Scaler</v>
      </c>
      <c r="AC423" s="1" t="str">
        <f aca="false">IF(O423=0,"No Discount",IF(O423&lt;=15,"Low (1-15%)",IF(O423&lt;=30,"Medium (16-30%)","High (&gt;30%)")))</f>
        <v>Low (1-15%)</v>
      </c>
      <c r="AD423" s="1" t="str">
        <f aca="false">IF(V423&lt;0,"Loss Making",IF(V423&lt;20,"Low Margin","Healthy Margin"))</f>
        <v>Healthy Margin</v>
      </c>
      <c r="AE423" s="1" t="str">
        <f aca="false">TEXT(DATE(VALUE(RIGHT(B423,4)),VALUE(MID(B423,4,2)),VALUE(LEFT(B423,2))),"MMM-YYYY")</f>
        <v>Aug-2024</v>
      </c>
      <c r="AF423" s="1" t="n">
        <f aca="false">VALUE(RIGHT(B423,4))</f>
        <v>2024</v>
      </c>
      <c r="AG423" s="1" t="str">
        <f aca="false">CHOOSE(ROUNDUP(VALUE(MID(B423,4,2))/3,0),"Q1","Q2","Q3","Q4")</f>
        <v>Q3</v>
      </c>
    </row>
    <row r="424" customFormat="false" ht="15" hidden="false" customHeight="true" outlineLevel="0" collapsed="false">
      <c r="A424" s="1" t="s">
        <v>905</v>
      </c>
      <c r="B424" s="1" t="s">
        <v>906</v>
      </c>
      <c r="C424" s="1" t="s">
        <v>88</v>
      </c>
      <c r="D424" s="1" t="s">
        <v>168</v>
      </c>
      <c r="E424" s="1" t="s">
        <v>328</v>
      </c>
      <c r="F424" s="1" t="s">
        <v>82</v>
      </c>
      <c r="G424" s="1" t="s">
        <v>56</v>
      </c>
      <c r="H424" s="1" t="s">
        <v>69</v>
      </c>
      <c r="I424" s="1" t="s">
        <v>83</v>
      </c>
      <c r="J424" s="1" t="s">
        <v>131</v>
      </c>
      <c r="K424" s="1" t="s">
        <v>60</v>
      </c>
      <c r="L424" s="1" t="s">
        <v>37</v>
      </c>
      <c r="M424" s="1" t="s">
        <v>62</v>
      </c>
      <c r="N424" s="1" t="n">
        <v>8999</v>
      </c>
      <c r="O424" s="1" t="n">
        <v>20</v>
      </c>
      <c r="P424" s="1" t="n">
        <v>1799.8</v>
      </c>
      <c r="Q424" s="1" t="n">
        <v>7199.2</v>
      </c>
      <c r="R424" s="1" t="n">
        <v>1295.86</v>
      </c>
      <c r="S424" s="1" t="n">
        <v>5903.34</v>
      </c>
      <c r="T424" s="1" t="n">
        <v>2073.44</v>
      </c>
      <c r="U424" s="1" t="n">
        <v>3829.9</v>
      </c>
      <c r="V424" s="1" t="n">
        <v>64.88</v>
      </c>
      <c r="W424" s="1" t="s">
        <v>39</v>
      </c>
      <c r="X424" s="1" t="n">
        <v>4</v>
      </c>
      <c r="Y424" s="1" t="s">
        <v>39</v>
      </c>
      <c r="Z424" s="1" t="n">
        <v>0</v>
      </c>
      <c r="AA424" s="1" t="str">
        <f aca="false">TRIM(PROPER(F424))</f>
        <v>Gurugram</v>
      </c>
      <c r="AB424" s="1" t="str">
        <f aca="false">TRIM(PROPER(C424))</f>
        <v>Byju'S</v>
      </c>
      <c r="AC424" s="1" t="str">
        <f aca="false">IF(O424=0,"No Discount",IF(O424&lt;=15,"Low (1-15%)",IF(O424&lt;=30,"Medium (16-30%)","High (&gt;30%)")))</f>
        <v>Medium (16-30%)</v>
      </c>
      <c r="AD424" s="1" t="str">
        <f aca="false">IF(V424&lt;0,"Loss Making",IF(V424&lt;20,"Low Margin","Healthy Margin"))</f>
        <v>Healthy Margin</v>
      </c>
      <c r="AE424" s="1" t="str">
        <f aca="false">TEXT(DATE(VALUE(RIGHT(B424,4)),VALUE(MID(B424,4,2)),VALUE(LEFT(B424,2))),"MMM-YYYY")</f>
        <v>Sep-2023</v>
      </c>
      <c r="AF424" s="1" t="n">
        <f aca="false">VALUE(RIGHT(B424,4))</f>
        <v>2023</v>
      </c>
      <c r="AG424" s="1" t="str">
        <f aca="false">CHOOSE(ROUNDUP(VALUE(MID(B424,4,2))/3,0),"Q1","Q2","Q3","Q4")</f>
        <v>Q3</v>
      </c>
    </row>
    <row r="425" customFormat="false" ht="15" hidden="false" customHeight="true" outlineLevel="0" collapsed="false">
      <c r="A425" s="1" t="s">
        <v>907</v>
      </c>
      <c r="B425" s="1" t="s">
        <v>632</v>
      </c>
      <c r="C425" s="1" t="s">
        <v>134</v>
      </c>
      <c r="D425" s="1" t="s">
        <v>94</v>
      </c>
      <c r="E425" s="1" t="s">
        <v>135</v>
      </c>
      <c r="F425" s="1" t="s">
        <v>474</v>
      </c>
      <c r="G425" s="1" t="s">
        <v>108</v>
      </c>
      <c r="H425" s="1" t="s">
        <v>69</v>
      </c>
      <c r="I425" s="1" t="s">
        <v>34</v>
      </c>
      <c r="J425" s="1" t="s">
        <v>70</v>
      </c>
      <c r="K425" s="1" t="s">
        <v>84</v>
      </c>
      <c r="L425" s="1" t="s">
        <v>113</v>
      </c>
      <c r="M425" s="1" t="s">
        <v>62</v>
      </c>
      <c r="N425" s="1" t="n">
        <v>9999</v>
      </c>
      <c r="O425" s="1" t="n">
        <v>50</v>
      </c>
      <c r="P425" s="1" t="n">
        <v>4999.5</v>
      </c>
      <c r="Q425" s="1" t="n">
        <v>4999.5</v>
      </c>
      <c r="R425" s="1" t="n">
        <v>899.91</v>
      </c>
      <c r="S425" s="1" t="n">
        <v>4099.59</v>
      </c>
      <c r="T425" s="1" t="n">
        <v>1802.14</v>
      </c>
      <c r="U425" s="1" t="n">
        <v>2297.45</v>
      </c>
      <c r="V425" s="1" t="n">
        <v>56.04</v>
      </c>
      <c r="W425" s="1" t="s">
        <v>40</v>
      </c>
      <c r="Y425" s="1" t="s">
        <v>40</v>
      </c>
      <c r="Z425" s="1" t="n">
        <v>1</v>
      </c>
      <c r="AA425" s="1" t="str">
        <f aca="false">TRIM(PROPER(F425))</f>
        <v>Chennai</v>
      </c>
      <c r="AB425" s="1" t="str">
        <f aca="false">TRIM(PROPER(C425))</f>
        <v>Doubtnut</v>
      </c>
      <c r="AC425" s="1" t="str">
        <f aca="false">IF(O425=0,"No Discount",IF(O425&lt;=15,"Low (1-15%)",IF(O425&lt;=30,"Medium (16-30%)","High (&gt;30%)")))</f>
        <v>High (&gt;30%)</v>
      </c>
      <c r="AD425" s="1" t="str">
        <f aca="false">IF(V425&lt;0,"Loss Making",IF(V425&lt;20,"Low Margin","Healthy Margin"))</f>
        <v>Healthy Margin</v>
      </c>
      <c r="AE425" s="1" t="str">
        <f aca="false">TEXT(DATE(VALUE(RIGHT(B425,4)),VALUE(MID(B425,4,2)),VALUE(LEFT(B425,2))),"MMM-YYYY")</f>
        <v>May-2023</v>
      </c>
      <c r="AF425" s="1" t="n">
        <f aca="false">VALUE(RIGHT(B425,4))</f>
        <v>2023</v>
      </c>
      <c r="AG425" s="1" t="str">
        <f aca="false">CHOOSE(ROUNDUP(VALUE(MID(B425,4,2))/3,0),"Q1","Q2","Q3","Q4")</f>
        <v>Q2</v>
      </c>
    </row>
    <row r="426" customFormat="false" ht="15" hidden="false" customHeight="true" outlineLevel="0" collapsed="false">
      <c r="A426" s="1" t="s">
        <v>908</v>
      </c>
      <c r="B426" s="1" t="s">
        <v>909</v>
      </c>
      <c r="C426" s="1" t="s">
        <v>167</v>
      </c>
      <c r="D426" s="1" t="s">
        <v>94</v>
      </c>
      <c r="E426" s="1" t="s">
        <v>95</v>
      </c>
      <c r="F426" s="1" t="s">
        <v>120</v>
      </c>
      <c r="G426" s="1" t="s">
        <v>47</v>
      </c>
      <c r="H426" s="1" t="s">
        <v>57</v>
      </c>
      <c r="I426" s="1" t="s">
        <v>34</v>
      </c>
      <c r="J426" s="1" t="s">
        <v>131</v>
      </c>
      <c r="K426" s="1" t="s">
        <v>71</v>
      </c>
      <c r="L426" s="1" t="s">
        <v>49</v>
      </c>
      <c r="M426" s="1" t="s">
        <v>38</v>
      </c>
      <c r="N426" s="1" t="n">
        <v>6999</v>
      </c>
      <c r="O426" s="1" t="n">
        <v>10</v>
      </c>
      <c r="P426" s="1" t="n">
        <v>699.9</v>
      </c>
      <c r="Q426" s="1" t="n">
        <v>6299.1</v>
      </c>
      <c r="R426" s="1" t="n">
        <v>1133.84</v>
      </c>
      <c r="S426" s="1" t="n">
        <v>5165.26</v>
      </c>
      <c r="T426" s="1" t="n">
        <v>2240</v>
      </c>
      <c r="U426" s="1" t="n">
        <v>2925.26</v>
      </c>
      <c r="V426" s="1" t="n">
        <v>56.63</v>
      </c>
      <c r="W426" s="1" t="s">
        <v>39</v>
      </c>
      <c r="X426" s="1" t="n">
        <v>3.6</v>
      </c>
      <c r="Y426" s="1" t="s">
        <v>40</v>
      </c>
      <c r="Z426" s="1" t="n">
        <v>0</v>
      </c>
      <c r="AA426" s="1" t="str">
        <f aca="false">TRIM(PROPER(F426))</f>
        <v>Mysuru</v>
      </c>
      <c r="AB426" s="1" t="str">
        <f aca="false">TRIM(PROPER(C426))</f>
        <v>Scaler</v>
      </c>
      <c r="AC426" s="1" t="str">
        <f aca="false">IF(O426=0,"No Discount",IF(O426&lt;=15,"Low (1-15%)",IF(O426&lt;=30,"Medium (16-30%)","High (&gt;30%)")))</f>
        <v>Low (1-15%)</v>
      </c>
      <c r="AD426" s="1" t="str">
        <f aca="false">IF(V426&lt;0,"Loss Making",IF(V426&lt;20,"Low Margin","Healthy Margin"))</f>
        <v>Healthy Margin</v>
      </c>
      <c r="AE426" s="1" t="str">
        <f aca="false">TEXT(DATE(VALUE(RIGHT(B426,4)),VALUE(MID(B426,4,2)),VALUE(LEFT(B426,2))),"MMM-YYYY")</f>
        <v>Jul-2023</v>
      </c>
      <c r="AF426" s="1" t="n">
        <f aca="false">VALUE(RIGHT(B426,4))</f>
        <v>2023</v>
      </c>
      <c r="AG426" s="1" t="str">
        <f aca="false">CHOOSE(ROUNDUP(VALUE(MID(B426,4,2))/3,0),"Q1","Q2","Q3","Q4")</f>
        <v>Q3</v>
      </c>
    </row>
    <row r="427" customFormat="false" ht="15" hidden="false" customHeight="true" outlineLevel="0" collapsed="false">
      <c r="A427" s="1" t="s">
        <v>910</v>
      </c>
      <c r="B427" s="1" t="s">
        <v>294</v>
      </c>
      <c r="C427" s="1" t="s">
        <v>28</v>
      </c>
      <c r="D427" s="1" t="s">
        <v>168</v>
      </c>
      <c r="E427" s="1" t="s">
        <v>169</v>
      </c>
      <c r="F427" s="1" t="s">
        <v>111</v>
      </c>
      <c r="G427" s="1" t="s">
        <v>56</v>
      </c>
      <c r="H427" s="1" t="s">
        <v>69</v>
      </c>
      <c r="I427" s="1" t="s">
        <v>58</v>
      </c>
      <c r="J427" s="1" t="s">
        <v>35</v>
      </c>
      <c r="K427" s="1" t="s">
        <v>48</v>
      </c>
      <c r="L427" s="1" t="s">
        <v>37</v>
      </c>
      <c r="M427" s="1" t="s">
        <v>38</v>
      </c>
      <c r="N427" s="1" t="n">
        <v>4999</v>
      </c>
      <c r="O427" s="1" t="n">
        <v>10</v>
      </c>
      <c r="P427" s="1" t="n">
        <v>499.9</v>
      </c>
      <c r="Q427" s="1" t="n">
        <v>4499.1</v>
      </c>
      <c r="R427" s="1" t="n">
        <v>809.84</v>
      </c>
      <c r="S427" s="1" t="n">
        <v>3689.26</v>
      </c>
      <c r="T427" s="1" t="n">
        <v>1500.89</v>
      </c>
      <c r="U427" s="1" t="n">
        <v>2188.37</v>
      </c>
      <c r="V427" s="1" t="n">
        <v>59.32</v>
      </c>
      <c r="W427" s="1" t="s">
        <v>40</v>
      </c>
      <c r="Y427" s="1" t="s">
        <v>39</v>
      </c>
      <c r="Z427" s="1" t="n">
        <v>0</v>
      </c>
      <c r="AA427" s="1" t="str">
        <f aca="false">TRIM(PROPER(F427))</f>
        <v>Noida</v>
      </c>
      <c r="AB427" s="1" t="str">
        <f aca="false">TRIM(PROPER(C427))</f>
        <v>Embibe</v>
      </c>
      <c r="AC427" s="1" t="str">
        <f aca="false">IF(O427=0,"No Discount",IF(O427&lt;=15,"Low (1-15%)",IF(O427&lt;=30,"Medium (16-30%)","High (&gt;30%)")))</f>
        <v>Low (1-15%)</v>
      </c>
      <c r="AD427" s="1" t="str">
        <f aca="false">IF(V427&lt;0,"Loss Making",IF(V427&lt;20,"Low Margin","Healthy Margin"))</f>
        <v>Healthy Margin</v>
      </c>
      <c r="AE427" s="1" t="str">
        <f aca="false">TEXT(DATE(VALUE(RIGHT(B427,4)),VALUE(MID(B427,4,2)),VALUE(LEFT(B427,2))),"MMM-YYYY")</f>
        <v>Sep-2024</v>
      </c>
      <c r="AF427" s="1" t="n">
        <f aca="false">VALUE(RIGHT(B427,4))</f>
        <v>2024</v>
      </c>
      <c r="AG427" s="1" t="str">
        <f aca="false">CHOOSE(ROUNDUP(VALUE(MID(B427,4,2))/3,0),"Q1","Q2","Q3","Q4")</f>
        <v>Q3</v>
      </c>
    </row>
    <row r="428" customFormat="false" ht="15" hidden="false" customHeight="true" outlineLevel="0" collapsed="false">
      <c r="A428" s="1" t="s">
        <v>911</v>
      </c>
      <c r="B428" s="1" t="s">
        <v>177</v>
      </c>
      <c r="C428" s="1" t="s">
        <v>264</v>
      </c>
      <c r="D428" s="1" t="s">
        <v>80</v>
      </c>
      <c r="E428" s="1" t="s">
        <v>190</v>
      </c>
      <c r="F428" s="1" t="s">
        <v>46</v>
      </c>
      <c r="G428" s="1" t="s">
        <v>47</v>
      </c>
      <c r="H428" s="1" t="s">
        <v>33</v>
      </c>
      <c r="I428" s="1" t="s">
        <v>58</v>
      </c>
      <c r="J428" s="1" t="s">
        <v>59</v>
      </c>
      <c r="K428" s="1" t="s">
        <v>36</v>
      </c>
      <c r="L428" s="1" t="s">
        <v>61</v>
      </c>
      <c r="M428" s="1" t="s">
        <v>62</v>
      </c>
      <c r="N428" s="1" t="n">
        <v>15999</v>
      </c>
      <c r="O428" s="1" t="n">
        <v>0</v>
      </c>
      <c r="P428" s="1" t="n">
        <v>0</v>
      </c>
      <c r="Q428" s="1" t="n">
        <v>15999</v>
      </c>
      <c r="R428" s="1" t="n">
        <v>2879.82</v>
      </c>
      <c r="S428" s="1" t="n">
        <v>13119.18</v>
      </c>
      <c r="T428" s="1" t="n">
        <v>6026.82</v>
      </c>
      <c r="U428" s="1" t="n">
        <v>7092.36</v>
      </c>
      <c r="V428" s="1" t="n">
        <v>54.06</v>
      </c>
      <c r="W428" s="1" t="s">
        <v>39</v>
      </c>
      <c r="X428" s="1" t="n">
        <v>4.5</v>
      </c>
      <c r="Y428" s="1" t="s">
        <v>40</v>
      </c>
      <c r="Z428" s="1" t="n">
        <v>0</v>
      </c>
      <c r="AA428" s="1" t="str">
        <f aca="false">TRIM(PROPER(F428))</f>
        <v>Mangaluru</v>
      </c>
      <c r="AB428" s="1" t="str">
        <f aca="false">TRIM(PROPER(C428))</f>
        <v>Unacademy</v>
      </c>
      <c r="AC428" s="1" t="str">
        <f aca="false">IF(O428=0,"No Discount",IF(O428&lt;=15,"Low (1-15%)",IF(O428&lt;=30,"Medium (16-30%)","High (&gt;30%)")))</f>
        <v>No Discount</v>
      </c>
      <c r="AD428" s="1" t="str">
        <f aca="false">IF(V428&lt;0,"Loss Making",IF(V428&lt;20,"Low Margin","Healthy Margin"))</f>
        <v>Healthy Margin</v>
      </c>
      <c r="AE428" s="1" t="str">
        <f aca="false">TEXT(DATE(VALUE(RIGHT(B428,4)),VALUE(MID(B428,4,2)),VALUE(LEFT(B428,2))),"MMM-YYYY")</f>
        <v>Jul-2024</v>
      </c>
      <c r="AF428" s="1" t="n">
        <f aca="false">VALUE(RIGHT(B428,4))</f>
        <v>2024</v>
      </c>
      <c r="AG428" s="1" t="str">
        <f aca="false">CHOOSE(ROUNDUP(VALUE(MID(B428,4,2))/3,0),"Q1","Q2","Q3","Q4")</f>
        <v>Q3</v>
      </c>
    </row>
    <row r="429" customFormat="false" ht="15" hidden="false" customHeight="true" outlineLevel="0" collapsed="false">
      <c r="A429" s="1" t="s">
        <v>912</v>
      </c>
      <c r="B429" s="1" t="s">
        <v>913</v>
      </c>
      <c r="C429" s="1" t="s">
        <v>43</v>
      </c>
      <c r="D429" s="1" t="s">
        <v>29</v>
      </c>
      <c r="E429" s="1" t="s">
        <v>182</v>
      </c>
      <c r="F429" s="1" t="s">
        <v>187</v>
      </c>
      <c r="G429" s="1" t="s">
        <v>97</v>
      </c>
      <c r="H429" s="1" t="s">
        <v>69</v>
      </c>
      <c r="I429" s="1" t="s">
        <v>34</v>
      </c>
      <c r="J429" s="1" t="s">
        <v>59</v>
      </c>
      <c r="K429" s="1" t="s">
        <v>48</v>
      </c>
      <c r="L429" s="1" t="s">
        <v>37</v>
      </c>
      <c r="M429" s="1" t="s">
        <v>50</v>
      </c>
      <c r="N429" s="1" t="n">
        <v>34999</v>
      </c>
      <c r="O429" s="1" t="n">
        <v>0</v>
      </c>
      <c r="P429" s="1" t="n">
        <v>0</v>
      </c>
      <c r="Q429" s="1" t="n">
        <v>34999</v>
      </c>
      <c r="R429" s="1" t="n">
        <v>6299.82</v>
      </c>
      <c r="S429" s="1" t="n">
        <v>28699.18</v>
      </c>
      <c r="T429" s="1" t="n">
        <v>10881.31</v>
      </c>
      <c r="U429" s="1" t="n">
        <v>17817.87</v>
      </c>
      <c r="V429" s="1" t="n">
        <v>62.08</v>
      </c>
      <c r="W429" s="1" t="s">
        <v>40</v>
      </c>
      <c r="Y429" s="1" t="s">
        <v>40</v>
      </c>
      <c r="Z429" s="1" t="n">
        <v>2</v>
      </c>
      <c r="AA429" s="1" t="str">
        <f aca="false">TRIM(PROPER(F429))</f>
        <v>Mumbai</v>
      </c>
      <c r="AB429" s="1" t="str">
        <f aca="false">TRIM(PROPER(C429))</f>
        <v>Meritnation</v>
      </c>
      <c r="AC429" s="1" t="str">
        <f aca="false">IF(O429=0,"No Discount",IF(O429&lt;=15,"Low (1-15%)",IF(O429&lt;=30,"Medium (16-30%)","High (&gt;30%)")))</f>
        <v>No Discount</v>
      </c>
      <c r="AD429" s="1" t="str">
        <f aca="false">IF(V429&lt;0,"Loss Making",IF(V429&lt;20,"Low Margin","Healthy Margin"))</f>
        <v>Healthy Margin</v>
      </c>
      <c r="AE429" s="1" t="str">
        <f aca="false">TEXT(DATE(VALUE(RIGHT(B429,4)),VALUE(MID(B429,4,2)),VALUE(LEFT(B429,2))),"MMM-YYYY")</f>
        <v>Jan-2023</v>
      </c>
      <c r="AF429" s="1" t="n">
        <f aca="false">VALUE(RIGHT(B429,4))</f>
        <v>2023</v>
      </c>
      <c r="AG429" s="1" t="str">
        <f aca="false">CHOOSE(ROUNDUP(VALUE(MID(B429,4,2))/3,0),"Q1","Q2","Q3","Q4")</f>
        <v>Q1</v>
      </c>
    </row>
    <row r="430" customFormat="false" ht="15" hidden="false" customHeight="true" outlineLevel="0" collapsed="false">
      <c r="A430" s="1" t="s">
        <v>914</v>
      </c>
      <c r="B430" s="1" t="s">
        <v>915</v>
      </c>
      <c r="C430" s="1" t="s">
        <v>134</v>
      </c>
      <c r="D430" s="1" t="s">
        <v>94</v>
      </c>
      <c r="E430" s="1" t="s">
        <v>135</v>
      </c>
      <c r="F430" s="1" t="s">
        <v>89</v>
      </c>
      <c r="G430" s="1" t="s">
        <v>68</v>
      </c>
      <c r="H430" s="1" t="s">
        <v>33</v>
      </c>
      <c r="I430" s="1" t="s">
        <v>34</v>
      </c>
      <c r="J430" s="1" t="s">
        <v>59</v>
      </c>
      <c r="K430" s="1" t="s">
        <v>84</v>
      </c>
      <c r="L430" s="1" t="s">
        <v>61</v>
      </c>
      <c r="M430" s="1" t="s">
        <v>38</v>
      </c>
      <c r="N430" s="1" t="n">
        <v>9999</v>
      </c>
      <c r="O430" s="1" t="n">
        <v>10</v>
      </c>
      <c r="P430" s="1" t="n">
        <v>999.9</v>
      </c>
      <c r="Q430" s="1" t="n">
        <v>8999.1</v>
      </c>
      <c r="R430" s="1" t="n">
        <v>1619.84</v>
      </c>
      <c r="S430" s="1" t="n">
        <v>7379.26</v>
      </c>
      <c r="T430" s="1" t="n">
        <v>2774.18</v>
      </c>
      <c r="U430" s="1" t="n">
        <v>4605.08</v>
      </c>
      <c r="V430" s="1" t="n">
        <v>62.41</v>
      </c>
      <c r="W430" s="1" t="s">
        <v>40</v>
      </c>
      <c r="Y430" s="1" t="s">
        <v>39</v>
      </c>
      <c r="Z430" s="1" t="n">
        <v>1</v>
      </c>
      <c r="AA430" s="1" t="str">
        <f aca="false">TRIM(PROPER(F430))</f>
        <v>Vadodara</v>
      </c>
      <c r="AB430" s="1" t="str">
        <f aca="false">TRIM(PROPER(C430))</f>
        <v>Doubtnut</v>
      </c>
      <c r="AC430" s="1" t="str">
        <f aca="false">IF(O430=0,"No Discount",IF(O430&lt;=15,"Low (1-15%)",IF(O430&lt;=30,"Medium (16-30%)","High (&gt;30%)")))</f>
        <v>Low (1-15%)</v>
      </c>
      <c r="AD430" s="1" t="str">
        <f aca="false">IF(V430&lt;0,"Loss Making",IF(V430&lt;20,"Low Margin","Healthy Margin"))</f>
        <v>Healthy Margin</v>
      </c>
      <c r="AE430" s="1" t="str">
        <f aca="false">TEXT(DATE(VALUE(RIGHT(B430,4)),VALUE(MID(B430,4,2)),VALUE(LEFT(B430,2))),"MMM-YYYY")</f>
        <v>Jun-2023</v>
      </c>
      <c r="AF430" s="1" t="n">
        <f aca="false">VALUE(RIGHT(B430,4))</f>
        <v>2023</v>
      </c>
      <c r="AG430" s="1" t="str">
        <f aca="false">CHOOSE(ROUNDUP(VALUE(MID(B430,4,2))/3,0),"Q1","Q2","Q3","Q4")</f>
        <v>Q2</v>
      </c>
    </row>
    <row r="431" customFormat="false" ht="15" hidden="false" customHeight="true" outlineLevel="0" collapsed="false">
      <c r="A431" s="1" t="s">
        <v>916</v>
      </c>
      <c r="B431" s="1" t="s">
        <v>225</v>
      </c>
      <c r="C431" s="1" t="s">
        <v>134</v>
      </c>
      <c r="D431" s="1" t="s">
        <v>44</v>
      </c>
      <c r="E431" s="1" t="s">
        <v>45</v>
      </c>
      <c r="F431" s="1" t="s">
        <v>140</v>
      </c>
      <c r="G431" s="1" t="s">
        <v>97</v>
      </c>
      <c r="H431" s="1" t="s">
        <v>57</v>
      </c>
      <c r="I431" s="1" t="s">
        <v>83</v>
      </c>
      <c r="J431" s="1" t="s">
        <v>70</v>
      </c>
      <c r="K431" s="1" t="s">
        <v>71</v>
      </c>
      <c r="L431" s="1" t="s">
        <v>61</v>
      </c>
      <c r="M431" s="1" t="s">
        <v>50</v>
      </c>
      <c r="N431" s="1" t="n">
        <v>11999</v>
      </c>
      <c r="O431" s="1" t="n">
        <v>25</v>
      </c>
      <c r="P431" s="1" t="n">
        <v>2999.75</v>
      </c>
      <c r="Q431" s="1" t="n">
        <v>8999.25</v>
      </c>
      <c r="R431" s="1" t="n">
        <v>1619.87</v>
      </c>
      <c r="S431" s="1" t="n">
        <v>7379.38</v>
      </c>
      <c r="T431" s="1" t="n">
        <v>3152.02</v>
      </c>
      <c r="U431" s="1" t="n">
        <v>4227.36</v>
      </c>
      <c r="V431" s="1" t="n">
        <v>57.29</v>
      </c>
      <c r="W431" s="1" t="s">
        <v>40</v>
      </c>
      <c r="Y431" s="1" t="s">
        <v>40</v>
      </c>
      <c r="Z431" s="1" t="n">
        <v>1</v>
      </c>
      <c r="AA431" s="1" t="str">
        <f aca="false">TRIM(PROPER(F431))</f>
        <v>Nashik</v>
      </c>
      <c r="AB431" s="1" t="str">
        <f aca="false">TRIM(PROPER(C431))</f>
        <v>Doubtnut</v>
      </c>
      <c r="AC431" s="1" t="str">
        <f aca="false">IF(O431=0,"No Discount",IF(O431&lt;=15,"Low (1-15%)",IF(O431&lt;=30,"Medium (16-30%)","High (&gt;30%)")))</f>
        <v>Medium (16-30%)</v>
      </c>
      <c r="AD431" s="1" t="str">
        <f aca="false">IF(V431&lt;0,"Loss Making",IF(V431&lt;20,"Low Margin","Healthy Margin"))</f>
        <v>Healthy Margin</v>
      </c>
      <c r="AE431" s="1" t="str">
        <f aca="false">TEXT(DATE(VALUE(RIGHT(B431,4)),VALUE(MID(B431,4,2)),VALUE(LEFT(B431,2))),"MMM-YYYY")</f>
        <v>May-2024</v>
      </c>
      <c r="AF431" s="1" t="n">
        <f aca="false">VALUE(RIGHT(B431,4))</f>
        <v>2024</v>
      </c>
      <c r="AG431" s="1" t="str">
        <f aca="false">CHOOSE(ROUNDUP(VALUE(MID(B431,4,2))/3,0),"Q1","Q2","Q3","Q4")</f>
        <v>Q2</v>
      </c>
    </row>
    <row r="432" customFormat="false" ht="15" hidden="false" customHeight="true" outlineLevel="0" collapsed="false">
      <c r="A432" s="1" t="s">
        <v>917</v>
      </c>
      <c r="B432" s="1" t="s">
        <v>918</v>
      </c>
      <c r="C432" s="1" t="s">
        <v>167</v>
      </c>
      <c r="D432" s="1" t="s">
        <v>94</v>
      </c>
      <c r="E432" s="1" t="s">
        <v>95</v>
      </c>
      <c r="F432" s="1" t="s">
        <v>153</v>
      </c>
      <c r="G432" s="1" t="s">
        <v>76</v>
      </c>
      <c r="H432" s="1" t="s">
        <v>33</v>
      </c>
      <c r="I432" s="1" t="s">
        <v>83</v>
      </c>
      <c r="J432" s="1" t="s">
        <v>77</v>
      </c>
      <c r="K432" s="1" t="s">
        <v>84</v>
      </c>
      <c r="L432" s="1" t="s">
        <v>61</v>
      </c>
      <c r="M432" s="1" t="s">
        <v>62</v>
      </c>
      <c r="N432" s="1" t="n">
        <v>6999</v>
      </c>
      <c r="O432" s="1" t="n">
        <v>30</v>
      </c>
      <c r="P432" s="1" t="n">
        <v>2099.7</v>
      </c>
      <c r="Q432" s="1" t="n">
        <v>4899.3</v>
      </c>
      <c r="R432" s="1" t="n">
        <v>881.87</v>
      </c>
      <c r="S432" s="1" t="n">
        <v>4017.43</v>
      </c>
      <c r="T432" s="1" t="n">
        <v>1965.35</v>
      </c>
      <c r="U432" s="1" t="n">
        <v>2052.08</v>
      </c>
      <c r="V432" s="1" t="n">
        <v>51.08</v>
      </c>
      <c r="W432" s="1" t="s">
        <v>39</v>
      </c>
      <c r="X432" s="1" t="n">
        <v>4.6</v>
      </c>
      <c r="Y432" s="1" t="s">
        <v>40</v>
      </c>
      <c r="Z432" s="1" t="n">
        <v>0</v>
      </c>
      <c r="AA432" s="1" t="str">
        <f aca="false">TRIM(PROPER(F432))</f>
        <v>Howrah</v>
      </c>
      <c r="AB432" s="1" t="str">
        <f aca="false">TRIM(PROPER(C432))</f>
        <v>Scaler</v>
      </c>
      <c r="AC432" s="1" t="str">
        <f aca="false">IF(O432=0,"No Discount",IF(O432&lt;=15,"Low (1-15%)",IF(O432&lt;=30,"Medium (16-30%)","High (&gt;30%)")))</f>
        <v>Medium (16-30%)</v>
      </c>
      <c r="AD432" s="1" t="str">
        <f aca="false">IF(V432&lt;0,"Loss Making",IF(V432&lt;20,"Low Margin","Healthy Margin"))</f>
        <v>Healthy Margin</v>
      </c>
      <c r="AE432" s="1" t="str">
        <f aca="false">TEXT(DATE(VALUE(RIGHT(B432,4)),VALUE(MID(B432,4,2)),VALUE(LEFT(B432,2))),"MMM-YYYY")</f>
        <v>Feb-2024</v>
      </c>
      <c r="AF432" s="1" t="n">
        <f aca="false">VALUE(RIGHT(B432,4))</f>
        <v>2024</v>
      </c>
      <c r="AG432" s="1" t="str">
        <f aca="false">CHOOSE(ROUNDUP(VALUE(MID(B432,4,2))/3,0),"Q1","Q2","Q3","Q4")</f>
        <v>Q1</v>
      </c>
    </row>
    <row r="433" customFormat="false" ht="15" hidden="false" customHeight="true" outlineLevel="0" collapsed="false">
      <c r="A433" s="1" t="s">
        <v>919</v>
      </c>
      <c r="B433" s="1" t="s">
        <v>513</v>
      </c>
      <c r="C433" s="1" t="s">
        <v>100</v>
      </c>
      <c r="D433" s="1" t="s">
        <v>123</v>
      </c>
      <c r="E433" s="1" t="s">
        <v>233</v>
      </c>
      <c r="F433" s="1" t="s">
        <v>102</v>
      </c>
      <c r="G433" s="1" t="s">
        <v>103</v>
      </c>
      <c r="H433" s="1" t="s">
        <v>33</v>
      </c>
      <c r="I433" s="1" t="s">
        <v>83</v>
      </c>
      <c r="J433" s="1" t="s">
        <v>70</v>
      </c>
      <c r="K433" s="1" t="s">
        <v>36</v>
      </c>
      <c r="L433" s="1" t="s">
        <v>49</v>
      </c>
      <c r="M433" s="1" t="s">
        <v>50</v>
      </c>
      <c r="N433" s="1" t="n">
        <v>8999</v>
      </c>
      <c r="O433" s="1" t="n">
        <v>30</v>
      </c>
      <c r="P433" s="1" t="n">
        <v>2699.7</v>
      </c>
      <c r="Q433" s="1" t="n">
        <v>6299.3</v>
      </c>
      <c r="R433" s="1" t="n">
        <v>1133.87</v>
      </c>
      <c r="S433" s="1" t="n">
        <v>5165.43</v>
      </c>
      <c r="T433" s="1" t="n">
        <v>2525.54</v>
      </c>
      <c r="U433" s="1" t="n">
        <v>2639.89</v>
      </c>
      <c r="V433" s="1" t="n">
        <v>51.11</v>
      </c>
      <c r="W433" s="1" t="s">
        <v>40</v>
      </c>
      <c r="Y433" s="1" t="s">
        <v>39</v>
      </c>
      <c r="Z433" s="1" t="n">
        <v>0</v>
      </c>
      <c r="AA433" s="1" t="str">
        <f aca="false">TRIM(PROPER(F433))</f>
        <v>Warangal</v>
      </c>
      <c r="AB433" s="1" t="str">
        <f aca="false">TRIM(PROPER(C433))</f>
        <v>Physics Wallah</v>
      </c>
      <c r="AC433" s="1" t="str">
        <f aca="false">IF(O433=0,"No Discount",IF(O433&lt;=15,"Low (1-15%)",IF(O433&lt;=30,"Medium (16-30%)","High (&gt;30%)")))</f>
        <v>Medium (16-30%)</v>
      </c>
      <c r="AD433" s="1" t="str">
        <f aca="false">IF(V433&lt;0,"Loss Making",IF(V433&lt;20,"Low Margin","Healthy Margin"))</f>
        <v>Healthy Margin</v>
      </c>
      <c r="AE433" s="1" t="str">
        <f aca="false">TEXT(DATE(VALUE(RIGHT(B433,4)),VALUE(MID(B433,4,2)),VALUE(LEFT(B433,2))),"MMM-YYYY")</f>
        <v>Jun-2023</v>
      </c>
      <c r="AF433" s="1" t="n">
        <f aca="false">VALUE(RIGHT(B433,4))</f>
        <v>2023</v>
      </c>
      <c r="AG433" s="1" t="str">
        <f aca="false">CHOOSE(ROUNDUP(VALUE(MID(B433,4,2))/3,0),"Q1","Q2","Q3","Q4")</f>
        <v>Q2</v>
      </c>
    </row>
    <row r="434" customFormat="false" ht="15" hidden="false" customHeight="true" outlineLevel="0" collapsed="false">
      <c r="A434" s="1" t="s">
        <v>920</v>
      </c>
      <c r="B434" s="1" t="s">
        <v>568</v>
      </c>
      <c r="C434" s="1" t="s">
        <v>128</v>
      </c>
      <c r="D434" s="1" t="s">
        <v>80</v>
      </c>
      <c r="E434" s="1" t="s">
        <v>190</v>
      </c>
      <c r="F434" s="1" t="s">
        <v>107</v>
      </c>
      <c r="G434" s="1" t="s">
        <v>108</v>
      </c>
      <c r="H434" s="1" t="s">
        <v>33</v>
      </c>
      <c r="I434" s="1" t="s">
        <v>58</v>
      </c>
      <c r="J434" s="1" t="s">
        <v>35</v>
      </c>
      <c r="K434" s="1" t="s">
        <v>36</v>
      </c>
      <c r="L434" s="1" t="s">
        <v>136</v>
      </c>
      <c r="M434" s="1" t="s">
        <v>38</v>
      </c>
      <c r="N434" s="1" t="n">
        <v>15999</v>
      </c>
      <c r="O434" s="1" t="n">
        <v>0</v>
      </c>
      <c r="P434" s="1" t="n">
        <v>0</v>
      </c>
      <c r="Q434" s="1" t="n">
        <v>15999</v>
      </c>
      <c r="R434" s="1" t="n">
        <v>2879.82</v>
      </c>
      <c r="S434" s="1" t="n">
        <v>13119.18</v>
      </c>
      <c r="T434" s="1" t="n">
        <v>5400.28</v>
      </c>
      <c r="U434" s="1" t="n">
        <v>7718.9</v>
      </c>
      <c r="V434" s="1" t="n">
        <v>58.84</v>
      </c>
      <c r="W434" s="1" t="s">
        <v>40</v>
      </c>
      <c r="Y434" s="1" t="s">
        <v>40</v>
      </c>
      <c r="Z434" s="1" t="n">
        <v>1</v>
      </c>
      <c r="AA434" s="1" t="str">
        <f aca="false">TRIM(PROPER(F434))</f>
        <v>Madurai</v>
      </c>
      <c r="AB434" s="1" t="str">
        <f aca="false">TRIM(PROPER(C434))</f>
        <v>Great Learning</v>
      </c>
      <c r="AC434" s="1" t="str">
        <f aca="false">IF(O434=0,"No Discount",IF(O434&lt;=15,"Low (1-15%)",IF(O434&lt;=30,"Medium (16-30%)","High (&gt;30%)")))</f>
        <v>No Discount</v>
      </c>
      <c r="AD434" s="1" t="str">
        <f aca="false">IF(V434&lt;0,"Loss Making",IF(V434&lt;20,"Low Margin","Healthy Margin"))</f>
        <v>Healthy Margin</v>
      </c>
      <c r="AE434" s="1" t="str">
        <f aca="false">TEXT(DATE(VALUE(RIGHT(B434,4)),VALUE(MID(B434,4,2)),VALUE(LEFT(B434,2))),"MMM-YYYY")</f>
        <v>Aug-2023</v>
      </c>
      <c r="AF434" s="1" t="n">
        <f aca="false">VALUE(RIGHT(B434,4))</f>
        <v>2023</v>
      </c>
      <c r="AG434" s="1" t="str">
        <f aca="false">CHOOSE(ROUNDUP(VALUE(MID(B434,4,2))/3,0),"Q1","Q2","Q3","Q4")</f>
        <v>Q3</v>
      </c>
    </row>
    <row r="435" customFormat="false" ht="15" hidden="false" customHeight="true" outlineLevel="0" collapsed="false">
      <c r="A435" s="1" t="s">
        <v>921</v>
      </c>
      <c r="B435" s="1" t="s">
        <v>922</v>
      </c>
      <c r="C435" s="1" t="s">
        <v>264</v>
      </c>
      <c r="D435" s="1" t="s">
        <v>168</v>
      </c>
      <c r="E435" s="1" t="s">
        <v>169</v>
      </c>
      <c r="F435" s="1" t="s">
        <v>187</v>
      </c>
      <c r="G435" s="1" t="s">
        <v>97</v>
      </c>
      <c r="H435" s="1" t="s">
        <v>69</v>
      </c>
      <c r="I435" s="1" t="s">
        <v>34</v>
      </c>
      <c r="J435" s="1" t="s">
        <v>35</v>
      </c>
      <c r="K435" s="1" t="s">
        <v>36</v>
      </c>
      <c r="L435" s="1" t="s">
        <v>49</v>
      </c>
      <c r="M435" s="1" t="s">
        <v>38</v>
      </c>
      <c r="N435" s="1" t="n">
        <v>4999</v>
      </c>
      <c r="O435" s="1" t="n">
        <v>10</v>
      </c>
      <c r="P435" s="1" t="n">
        <v>499.9</v>
      </c>
      <c r="Q435" s="1" t="n">
        <v>4499.1</v>
      </c>
      <c r="R435" s="1" t="n">
        <v>809.84</v>
      </c>
      <c r="S435" s="1" t="n">
        <v>3689.26</v>
      </c>
      <c r="T435" s="1" t="n">
        <v>1443.62</v>
      </c>
      <c r="U435" s="1" t="n">
        <v>2245.64</v>
      </c>
      <c r="V435" s="1" t="n">
        <v>60.87</v>
      </c>
      <c r="W435" s="1" t="s">
        <v>40</v>
      </c>
      <c r="Y435" s="1" t="s">
        <v>40</v>
      </c>
      <c r="Z435" s="1" t="n">
        <v>0</v>
      </c>
      <c r="AA435" s="1" t="str">
        <f aca="false">TRIM(PROPER(F435))</f>
        <v>Mumbai</v>
      </c>
      <c r="AB435" s="1" t="str">
        <f aca="false">TRIM(PROPER(C435))</f>
        <v>Unacademy</v>
      </c>
      <c r="AC435" s="1" t="str">
        <f aca="false">IF(O435=0,"No Discount",IF(O435&lt;=15,"Low (1-15%)",IF(O435&lt;=30,"Medium (16-30%)","High (&gt;30%)")))</f>
        <v>Low (1-15%)</v>
      </c>
      <c r="AD435" s="1" t="str">
        <f aca="false">IF(V435&lt;0,"Loss Making",IF(V435&lt;20,"Low Margin","Healthy Margin"))</f>
        <v>Healthy Margin</v>
      </c>
      <c r="AE435" s="1" t="str">
        <f aca="false">TEXT(DATE(VALUE(RIGHT(B435,4)),VALUE(MID(B435,4,2)),VALUE(LEFT(B435,2))),"MMM-YYYY")</f>
        <v>Feb-2024</v>
      </c>
      <c r="AF435" s="1" t="n">
        <f aca="false">VALUE(RIGHT(B435,4))</f>
        <v>2024</v>
      </c>
      <c r="AG435" s="1" t="str">
        <f aca="false">CHOOSE(ROUNDUP(VALUE(MID(B435,4,2))/3,0),"Q1","Q2","Q3","Q4")</f>
        <v>Q1</v>
      </c>
    </row>
    <row r="436" customFormat="false" ht="15" hidden="false" customHeight="true" outlineLevel="0" collapsed="false">
      <c r="A436" s="1" t="s">
        <v>923</v>
      </c>
      <c r="B436" s="1" t="s">
        <v>246</v>
      </c>
      <c r="C436" s="1" t="s">
        <v>264</v>
      </c>
      <c r="D436" s="1" t="s">
        <v>44</v>
      </c>
      <c r="E436" s="1" t="s">
        <v>66</v>
      </c>
      <c r="F436" s="1" t="s">
        <v>46</v>
      </c>
      <c r="G436" s="1" t="s">
        <v>47</v>
      </c>
      <c r="H436" s="1" t="s">
        <v>33</v>
      </c>
      <c r="I436" s="1" t="s">
        <v>58</v>
      </c>
      <c r="J436" s="1" t="s">
        <v>70</v>
      </c>
      <c r="K436" s="1" t="s">
        <v>48</v>
      </c>
      <c r="L436" s="1" t="s">
        <v>113</v>
      </c>
      <c r="M436" s="1" t="s">
        <v>50</v>
      </c>
      <c r="N436" s="1" t="n">
        <v>12999</v>
      </c>
      <c r="O436" s="1" t="n">
        <v>0</v>
      </c>
      <c r="P436" s="1" t="n">
        <v>0</v>
      </c>
      <c r="Q436" s="1" t="n">
        <v>12999</v>
      </c>
      <c r="R436" s="1" t="n">
        <v>2339.82</v>
      </c>
      <c r="S436" s="1" t="n">
        <v>10659.18</v>
      </c>
      <c r="T436" s="1" t="n">
        <v>5341.59</v>
      </c>
      <c r="U436" s="1" t="n">
        <v>5317.59</v>
      </c>
      <c r="V436" s="1" t="n">
        <v>49.89</v>
      </c>
      <c r="W436" s="1" t="s">
        <v>40</v>
      </c>
      <c r="Y436" s="1" t="s">
        <v>40</v>
      </c>
      <c r="Z436" s="1" t="n">
        <v>0</v>
      </c>
      <c r="AA436" s="1" t="str">
        <f aca="false">TRIM(PROPER(F436))</f>
        <v>Mangaluru</v>
      </c>
      <c r="AB436" s="1" t="str">
        <f aca="false">TRIM(PROPER(C436))</f>
        <v>Unacademy</v>
      </c>
      <c r="AC436" s="1" t="str">
        <f aca="false">IF(O436=0,"No Discount",IF(O436&lt;=15,"Low (1-15%)",IF(O436&lt;=30,"Medium (16-30%)","High (&gt;30%)")))</f>
        <v>No Discount</v>
      </c>
      <c r="AD436" s="1" t="str">
        <f aca="false">IF(V436&lt;0,"Loss Making",IF(V436&lt;20,"Low Margin","Healthy Margin"))</f>
        <v>Healthy Margin</v>
      </c>
      <c r="AE436" s="1" t="str">
        <f aca="false">TEXT(DATE(VALUE(RIGHT(B436,4)),VALUE(MID(B436,4,2)),VALUE(LEFT(B436,2))),"MMM-YYYY")</f>
        <v>Jul-2024</v>
      </c>
      <c r="AF436" s="1" t="n">
        <f aca="false">VALUE(RIGHT(B436,4))</f>
        <v>2024</v>
      </c>
      <c r="AG436" s="1" t="str">
        <f aca="false">CHOOSE(ROUNDUP(VALUE(MID(B436,4,2))/3,0),"Q1","Q2","Q3","Q4")</f>
        <v>Q3</v>
      </c>
    </row>
    <row r="437" customFormat="false" ht="15" hidden="false" customHeight="true" outlineLevel="0" collapsed="false">
      <c r="A437" s="1" t="s">
        <v>924</v>
      </c>
      <c r="B437" s="1" t="s">
        <v>421</v>
      </c>
      <c r="C437" s="1" t="s">
        <v>88</v>
      </c>
      <c r="D437" s="1" t="s">
        <v>80</v>
      </c>
      <c r="E437" s="1" t="s">
        <v>175</v>
      </c>
      <c r="F437" s="1" t="s">
        <v>187</v>
      </c>
      <c r="G437" s="1" t="s">
        <v>97</v>
      </c>
      <c r="H437" s="1" t="s">
        <v>69</v>
      </c>
      <c r="I437" s="1" t="s">
        <v>34</v>
      </c>
      <c r="J437" s="1" t="s">
        <v>35</v>
      </c>
      <c r="K437" s="1" t="s">
        <v>48</v>
      </c>
      <c r="L437" s="1" t="s">
        <v>37</v>
      </c>
      <c r="M437" s="1" t="s">
        <v>62</v>
      </c>
      <c r="N437" s="1" t="n">
        <v>19999</v>
      </c>
      <c r="O437" s="1" t="n">
        <v>20</v>
      </c>
      <c r="P437" s="1" t="n">
        <v>3999.8</v>
      </c>
      <c r="Q437" s="1" t="n">
        <v>15999.2</v>
      </c>
      <c r="R437" s="1" t="n">
        <v>2879.86</v>
      </c>
      <c r="S437" s="1" t="n">
        <v>13119.34</v>
      </c>
      <c r="T437" s="1" t="n">
        <v>5623.2</v>
      </c>
      <c r="U437" s="1" t="n">
        <v>7496.14</v>
      </c>
      <c r="V437" s="1" t="n">
        <v>57.14</v>
      </c>
      <c r="W437" s="1" t="s">
        <v>40</v>
      </c>
      <c r="Y437" s="1" t="s">
        <v>40</v>
      </c>
      <c r="Z437" s="1" t="n">
        <v>0</v>
      </c>
      <c r="AA437" s="1" t="str">
        <f aca="false">TRIM(PROPER(F437))</f>
        <v>Mumbai</v>
      </c>
      <c r="AB437" s="1" t="str">
        <f aca="false">TRIM(PROPER(C437))</f>
        <v>Byju'S</v>
      </c>
      <c r="AC437" s="1" t="str">
        <f aca="false">IF(O437=0,"No Discount",IF(O437&lt;=15,"Low (1-15%)",IF(O437&lt;=30,"Medium (16-30%)","High (&gt;30%)")))</f>
        <v>Medium (16-30%)</v>
      </c>
      <c r="AD437" s="1" t="str">
        <f aca="false">IF(V437&lt;0,"Loss Making",IF(V437&lt;20,"Low Margin","Healthy Margin"))</f>
        <v>Healthy Margin</v>
      </c>
      <c r="AE437" s="1" t="str">
        <f aca="false">TEXT(DATE(VALUE(RIGHT(B437,4)),VALUE(MID(B437,4,2)),VALUE(LEFT(B437,2))),"MMM-YYYY")</f>
        <v>Apr-2024</v>
      </c>
      <c r="AF437" s="1" t="n">
        <f aca="false">VALUE(RIGHT(B437,4))</f>
        <v>2024</v>
      </c>
      <c r="AG437" s="1" t="str">
        <f aca="false">CHOOSE(ROUNDUP(VALUE(MID(B437,4,2))/3,0),"Q1","Q2","Q3","Q4")</f>
        <v>Q2</v>
      </c>
    </row>
    <row r="438" customFormat="false" ht="15" hidden="false" customHeight="true" outlineLevel="0" collapsed="false">
      <c r="A438" s="1" t="s">
        <v>925</v>
      </c>
      <c r="B438" s="1" t="s">
        <v>926</v>
      </c>
      <c r="C438" s="1" t="s">
        <v>93</v>
      </c>
      <c r="D438" s="1" t="s">
        <v>44</v>
      </c>
      <c r="E438" s="1" t="s">
        <v>66</v>
      </c>
      <c r="F438" s="1" t="s">
        <v>184</v>
      </c>
      <c r="G438" s="1" t="s">
        <v>56</v>
      </c>
      <c r="H438" s="1" t="s">
        <v>57</v>
      </c>
      <c r="I438" s="1" t="s">
        <v>58</v>
      </c>
      <c r="J438" s="1" t="s">
        <v>35</v>
      </c>
      <c r="K438" s="1" t="s">
        <v>60</v>
      </c>
      <c r="L438" s="1" t="s">
        <v>136</v>
      </c>
      <c r="M438" s="1" t="s">
        <v>50</v>
      </c>
      <c r="N438" s="1" t="n">
        <v>12999</v>
      </c>
      <c r="O438" s="1" t="n">
        <v>10</v>
      </c>
      <c r="P438" s="1" t="n">
        <v>1299.9</v>
      </c>
      <c r="Q438" s="1" t="n">
        <v>11699.1</v>
      </c>
      <c r="R438" s="1" t="n">
        <v>2105.84</v>
      </c>
      <c r="S438" s="1" t="n">
        <v>9593.26</v>
      </c>
      <c r="T438" s="1" t="n">
        <v>4098.05</v>
      </c>
      <c r="U438" s="1" t="n">
        <v>5495.21</v>
      </c>
      <c r="V438" s="1" t="n">
        <v>57.28</v>
      </c>
      <c r="W438" s="1" t="s">
        <v>40</v>
      </c>
      <c r="Y438" s="1" t="s">
        <v>40</v>
      </c>
      <c r="Z438" s="1" t="n">
        <v>0</v>
      </c>
      <c r="AA438" s="1" t="str">
        <f aca="false">TRIM(PROPER(F438))</f>
        <v>Faridabad</v>
      </c>
      <c r="AB438" s="1" t="str">
        <f aca="false">TRIM(PROPER(C438))</f>
        <v>Upgrad</v>
      </c>
      <c r="AC438" s="1" t="str">
        <f aca="false">IF(O438=0,"No Discount",IF(O438&lt;=15,"Low (1-15%)",IF(O438&lt;=30,"Medium (16-30%)","High (&gt;30%)")))</f>
        <v>Low (1-15%)</v>
      </c>
      <c r="AD438" s="1" t="str">
        <f aca="false">IF(V438&lt;0,"Loss Making",IF(V438&lt;20,"Low Margin","Healthy Margin"))</f>
        <v>Healthy Margin</v>
      </c>
      <c r="AE438" s="1" t="str">
        <f aca="false">TEXT(DATE(VALUE(RIGHT(B438,4)),VALUE(MID(B438,4,2)),VALUE(LEFT(B438,2))),"MMM-YYYY")</f>
        <v>Nov-2023</v>
      </c>
      <c r="AF438" s="1" t="n">
        <f aca="false">VALUE(RIGHT(B438,4))</f>
        <v>2023</v>
      </c>
      <c r="AG438" s="1" t="str">
        <f aca="false">CHOOSE(ROUNDUP(VALUE(MID(B438,4,2))/3,0),"Q1","Q2","Q3","Q4")</f>
        <v>Q4</v>
      </c>
    </row>
    <row r="439" customFormat="false" ht="15" hidden="false" customHeight="true" outlineLevel="0" collapsed="false">
      <c r="A439" s="1" t="s">
        <v>927</v>
      </c>
      <c r="B439" s="1" t="s">
        <v>928</v>
      </c>
      <c r="C439" s="1" t="s">
        <v>264</v>
      </c>
      <c r="D439" s="1" t="s">
        <v>53</v>
      </c>
      <c r="E439" s="1" t="s">
        <v>216</v>
      </c>
      <c r="F439" s="1" t="s">
        <v>187</v>
      </c>
      <c r="G439" s="1" t="s">
        <v>97</v>
      </c>
      <c r="H439" s="1" t="s">
        <v>69</v>
      </c>
      <c r="I439" s="1" t="s">
        <v>83</v>
      </c>
      <c r="J439" s="1" t="s">
        <v>35</v>
      </c>
      <c r="K439" s="1" t="s">
        <v>36</v>
      </c>
      <c r="L439" s="1" t="s">
        <v>85</v>
      </c>
      <c r="M439" s="1" t="s">
        <v>38</v>
      </c>
      <c r="N439" s="1" t="n">
        <v>7499</v>
      </c>
      <c r="O439" s="1" t="n">
        <v>0</v>
      </c>
      <c r="P439" s="1" t="n">
        <v>0</v>
      </c>
      <c r="Q439" s="1" t="n">
        <v>7499</v>
      </c>
      <c r="R439" s="1" t="n">
        <v>1349.82</v>
      </c>
      <c r="S439" s="1" t="n">
        <v>6149.18</v>
      </c>
      <c r="T439" s="1" t="n">
        <v>2541.02</v>
      </c>
      <c r="U439" s="1" t="n">
        <v>3608.16</v>
      </c>
      <c r="V439" s="1" t="n">
        <v>58.68</v>
      </c>
      <c r="W439" s="1" t="s">
        <v>40</v>
      </c>
      <c r="Y439" s="1" t="s">
        <v>40</v>
      </c>
      <c r="Z439" s="1" t="n">
        <v>2</v>
      </c>
      <c r="AA439" s="1" t="str">
        <f aca="false">TRIM(PROPER(F439))</f>
        <v>Mumbai</v>
      </c>
      <c r="AB439" s="1" t="str">
        <f aca="false">TRIM(PROPER(C439))</f>
        <v>Unacademy</v>
      </c>
      <c r="AC439" s="1" t="str">
        <f aca="false">IF(O439=0,"No Discount",IF(O439&lt;=15,"Low (1-15%)",IF(O439&lt;=30,"Medium (16-30%)","High (&gt;30%)")))</f>
        <v>No Discount</v>
      </c>
      <c r="AD439" s="1" t="str">
        <f aca="false">IF(V439&lt;0,"Loss Making",IF(V439&lt;20,"Low Margin","Healthy Margin"))</f>
        <v>Healthy Margin</v>
      </c>
      <c r="AE439" s="1" t="str">
        <f aca="false">TEXT(DATE(VALUE(RIGHT(B439,4)),VALUE(MID(B439,4,2)),VALUE(LEFT(B439,2))),"MMM-YYYY")</f>
        <v>Jul-2023</v>
      </c>
      <c r="AF439" s="1" t="n">
        <f aca="false">VALUE(RIGHT(B439,4))</f>
        <v>2023</v>
      </c>
      <c r="AG439" s="1" t="str">
        <f aca="false">CHOOSE(ROUNDUP(VALUE(MID(B439,4,2))/3,0),"Q1","Q2","Q3","Q4")</f>
        <v>Q3</v>
      </c>
    </row>
    <row r="440" customFormat="false" ht="15" hidden="false" customHeight="true" outlineLevel="0" collapsed="false">
      <c r="A440" s="1" t="s">
        <v>929</v>
      </c>
      <c r="B440" s="1" t="s">
        <v>515</v>
      </c>
      <c r="C440" s="1" t="s">
        <v>178</v>
      </c>
      <c r="D440" s="1" t="s">
        <v>53</v>
      </c>
      <c r="E440" s="1" t="s">
        <v>54</v>
      </c>
      <c r="F440" s="1" t="s">
        <v>96</v>
      </c>
      <c r="G440" s="1" t="s">
        <v>97</v>
      </c>
      <c r="H440" s="1" t="s">
        <v>69</v>
      </c>
      <c r="I440" s="1" t="s">
        <v>58</v>
      </c>
      <c r="J440" s="1" t="s">
        <v>77</v>
      </c>
      <c r="K440" s="1" t="s">
        <v>48</v>
      </c>
      <c r="L440" s="1" t="s">
        <v>136</v>
      </c>
      <c r="M440" s="1" t="s">
        <v>50</v>
      </c>
      <c r="N440" s="1" t="n">
        <v>11999</v>
      </c>
      <c r="O440" s="1" t="n">
        <v>10</v>
      </c>
      <c r="P440" s="1" t="n">
        <v>1199.9</v>
      </c>
      <c r="Q440" s="1" t="n">
        <v>10799.1</v>
      </c>
      <c r="R440" s="1" t="n">
        <v>1943.84</v>
      </c>
      <c r="S440" s="1" t="n">
        <v>8855.26</v>
      </c>
      <c r="T440" s="1" t="n">
        <v>3580.77</v>
      </c>
      <c r="U440" s="1" t="n">
        <v>5274.49</v>
      </c>
      <c r="V440" s="1" t="n">
        <v>59.56</v>
      </c>
      <c r="W440" s="1" t="s">
        <v>39</v>
      </c>
      <c r="X440" s="1" t="n">
        <v>3.4</v>
      </c>
      <c r="Y440" s="1" t="s">
        <v>40</v>
      </c>
      <c r="Z440" s="1" t="n">
        <v>0</v>
      </c>
      <c r="AA440" s="1" t="str">
        <f aca="false">TRIM(PROPER(F440))</f>
        <v>Pune</v>
      </c>
      <c r="AB440" s="1" t="str">
        <f aca="false">TRIM(PROPER(C440))</f>
        <v>Leverage Edu</v>
      </c>
      <c r="AC440" s="1" t="str">
        <f aca="false">IF(O440=0,"No Discount",IF(O440&lt;=15,"Low (1-15%)",IF(O440&lt;=30,"Medium (16-30%)","High (&gt;30%)")))</f>
        <v>Low (1-15%)</v>
      </c>
      <c r="AD440" s="1" t="str">
        <f aca="false">IF(V440&lt;0,"Loss Making",IF(V440&lt;20,"Low Margin","Healthy Margin"))</f>
        <v>Healthy Margin</v>
      </c>
      <c r="AE440" s="1" t="str">
        <f aca="false">TEXT(DATE(VALUE(RIGHT(B440,4)),VALUE(MID(B440,4,2)),VALUE(LEFT(B440,2))),"MMM-YYYY")</f>
        <v>Sep-2024</v>
      </c>
      <c r="AF440" s="1" t="n">
        <f aca="false">VALUE(RIGHT(B440,4))</f>
        <v>2024</v>
      </c>
      <c r="AG440" s="1" t="str">
        <f aca="false">CHOOSE(ROUNDUP(VALUE(MID(B440,4,2))/3,0),"Q1","Q2","Q3","Q4")</f>
        <v>Q3</v>
      </c>
    </row>
    <row r="441" customFormat="false" ht="15" hidden="false" customHeight="true" outlineLevel="0" collapsed="false">
      <c r="A441" s="1" t="s">
        <v>930</v>
      </c>
      <c r="B441" s="1" t="s">
        <v>207</v>
      </c>
      <c r="C441" s="1" t="s">
        <v>134</v>
      </c>
      <c r="D441" s="1" t="s">
        <v>29</v>
      </c>
      <c r="E441" s="1" t="s">
        <v>129</v>
      </c>
      <c r="F441" s="1" t="s">
        <v>55</v>
      </c>
      <c r="G441" s="1" t="s">
        <v>56</v>
      </c>
      <c r="H441" s="1" t="s">
        <v>57</v>
      </c>
      <c r="I441" s="1" t="s">
        <v>58</v>
      </c>
      <c r="J441" s="1" t="s">
        <v>70</v>
      </c>
      <c r="K441" s="1" t="s">
        <v>48</v>
      </c>
      <c r="L441" s="1" t="s">
        <v>113</v>
      </c>
      <c r="M441" s="1" t="s">
        <v>50</v>
      </c>
      <c r="N441" s="1" t="n">
        <v>29999</v>
      </c>
      <c r="O441" s="1" t="n">
        <v>50</v>
      </c>
      <c r="P441" s="1" t="n">
        <v>14999.5</v>
      </c>
      <c r="Q441" s="1" t="n">
        <v>14999.5</v>
      </c>
      <c r="R441" s="1" t="n">
        <v>2699.91</v>
      </c>
      <c r="S441" s="1" t="n">
        <v>12299.59</v>
      </c>
      <c r="T441" s="1" t="n">
        <v>5215.78</v>
      </c>
      <c r="U441" s="1" t="n">
        <v>7083.81</v>
      </c>
      <c r="V441" s="1" t="n">
        <v>57.59</v>
      </c>
      <c r="W441" s="1" t="s">
        <v>39</v>
      </c>
      <c r="X441" s="1" t="n">
        <v>4</v>
      </c>
      <c r="Y441" s="1" t="s">
        <v>40</v>
      </c>
      <c r="Z441" s="1" t="n">
        <v>0</v>
      </c>
      <c r="AA441" s="1" t="str">
        <f aca="false">TRIM(PROPER(F441))</f>
        <v>Ghaziabad</v>
      </c>
      <c r="AB441" s="1" t="str">
        <f aca="false">TRIM(PROPER(C441))</f>
        <v>Doubtnut</v>
      </c>
      <c r="AC441" s="1" t="str">
        <f aca="false">IF(O441=0,"No Discount",IF(O441&lt;=15,"Low (1-15%)",IF(O441&lt;=30,"Medium (16-30%)","High (&gt;30%)")))</f>
        <v>High (&gt;30%)</v>
      </c>
      <c r="AD441" s="1" t="str">
        <f aca="false">IF(V441&lt;0,"Loss Making",IF(V441&lt;20,"Low Margin","Healthy Margin"))</f>
        <v>Healthy Margin</v>
      </c>
      <c r="AE441" s="1" t="str">
        <f aca="false">TEXT(DATE(VALUE(RIGHT(B441,4)),VALUE(MID(B441,4,2)),VALUE(LEFT(B441,2))),"MMM-YYYY")</f>
        <v>Dec-2023</v>
      </c>
      <c r="AF441" s="1" t="n">
        <f aca="false">VALUE(RIGHT(B441,4))</f>
        <v>2023</v>
      </c>
      <c r="AG441" s="1" t="str">
        <f aca="false">CHOOSE(ROUNDUP(VALUE(MID(B441,4,2))/3,0),"Q1","Q2","Q3","Q4")</f>
        <v>Q4</v>
      </c>
    </row>
    <row r="442" customFormat="false" ht="15" hidden="false" customHeight="true" outlineLevel="0" collapsed="false">
      <c r="A442" s="1" t="s">
        <v>931</v>
      </c>
      <c r="B442" s="1" t="s">
        <v>470</v>
      </c>
      <c r="C442" s="1" t="s">
        <v>88</v>
      </c>
      <c r="D442" s="1" t="s">
        <v>94</v>
      </c>
      <c r="E442" s="1" t="s">
        <v>135</v>
      </c>
      <c r="F442" s="1" t="s">
        <v>31</v>
      </c>
      <c r="G442" s="1" t="s">
        <v>32</v>
      </c>
      <c r="H442" s="1" t="s">
        <v>33</v>
      </c>
      <c r="I442" s="1" t="s">
        <v>34</v>
      </c>
      <c r="J442" s="1" t="s">
        <v>77</v>
      </c>
      <c r="K442" s="1" t="s">
        <v>71</v>
      </c>
      <c r="L442" s="1" t="s">
        <v>113</v>
      </c>
      <c r="M442" s="1" t="s">
        <v>38</v>
      </c>
      <c r="N442" s="1" t="n">
        <v>9999</v>
      </c>
      <c r="O442" s="1" t="n">
        <v>25</v>
      </c>
      <c r="P442" s="1" t="n">
        <v>2499.75</v>
      </c>
      <c r="Q442" s="1" t="n">
        <v>7499.25</v>
      </c>
      <c r="R442" s="1" t="n">
        <v>1349.87</v>
      </c>
      <c r="S442" s="1" t="n">
        <v>6149.38</v>
      </c>
      <c r="T442" s="1" t="n">
        <v>2823.63</v>
      </c>
      <c r="U442" s="1" t="n">
        <v>3325.75</v>
      </c>
      <c r="V442" s="1" t="n">
        <v>54.08</v>
      </c>
      <c r="W442" s="1" t="s">
        <v>40</v>
      </c>
      <c r="Y442" s="1" t="s">
        <v>40</v>
      </c>
      <c r="Z442" s="1" t="n">
        <v>0</v>
      </c>
      <c r="AA442" s="1" t="str">
        <f aca="false">TRIM(PROPER(F442))</f>
        <v>Jodhpur</v>
      </c>
      <c r="AB442" s="1" t="str">
        <f aca="false">TRIM(PROPER(C442))</f>
        <v>Byju'S</v>
      </c>
      <c r="AC442" s="1" t="str">
        <f aca="false">IF(O442=0,"No Discount",IF(O442&lt;=15,"Low (1-15%)",IF(O442&lt;=30,"Medium (16-30%)","High (&gt;30%)")))</f>
        <v>Medium (16-30%)</v>
      </c>
      <c r="AD442" s="1" t="str">
        <f aca="false">IF(V442&lt;0,"Loss Making",IF(V442&lt;20,"Low Margin","Healthy Margin"))</f>
        <v>Healthy Margin</v>
      </c>
      <c r="AE442" s="1" t="str">
        <f aca="false">TEXT(DATE(VALUE(RIGHT(B442,4)),VALUE(MID(B442,4,2)),VALUE(LEFT(B442,2))),"MMM-YYYY")</f>
        <v>Sep-2023</v>
      </c>
      <c r="AF442" s="1" t="n">
        <f aca="false">VALUE(RIGHT(B442,4))</f>
        <v>2023</v>
      </c>
      <c r="AG442" s="1" t="str">
        <f aca="false">CHOOSE(ROUNDUP(VALUE(MID(B442,4,2))/3,0),"Q1","Q2","Q3","Q4")</f>
        <v>Q3</v>
      </c>
    </row>
    <row r="443" customFormat="false" ht="15" hidden="false" customHeight="true" outlineLevel="0" collapsed="false">
      <c r="A443" s="1" t="s">
        <v>932</v>
      </c>
      <c r="B443" s="1" t="s">
        <v>933</v>
      </c>
      <c r="C443" s="1" t="s">
        <v>249</v>
      </c>
      <c r="D443" s="1" t="s">
        <v>29</v>
      </c>
      <c r="E443" s="1" t="s">
        <v>182</v>
      </c>
      <c r="F443" s="1" t="s">
        <v>82</v>
      </c>
      <c r="G443" s="1" t="s">
        <v>56</v>
      </c>
      <c r="H443" s="1" t="s">
        <v>69</v>
      </c>
      <c r="I443" s="1" t="s">
        <v>58</v>
      </c>
      <c r="J443" s="1" t="s">
        <v>70</v>
      </c>
      <c r="K443" s="1" t="s">
        <v>71</v>
      </c>
      <c r="L443" s="1" t="s">
        <v>37</v>
      </c>
      <c r="M443" s="1" t="s">
        <v>38</v>
      </c>
      <c r="N443" s="1" t="n">
        <v>34999</v>
      </c>
      <c r="O443" s="1" t="n">
        <v>25</v>
      </c>
      <c r="P443" s="1" t="n">
        <v>8749.75</v>
      </c>
      <c r="Q443" s="1" t="n">
        <v>26249.25</v>
      </c>
      <c r="R443" s="1" t="n">
        <v>4724.86</v>
      </c>
      <c r="S443" s="1" t="n">
        <v>21524.39</v>
      </c>
      <c r="T443" s="1" t="n">
        <v>8293.77</v>
      </c>
      <c r="U443" s="1" t="n">
        <v>13230.62</v>
      </c>
      <c r="V443" s="1" t="n">
        <v>61.47</v>
      </c>
      <c r="W443" s="1" t="s">
        <v>39</v>
      </c>
      <c r="X443" s="1" t="n">
        <v>3.4</v>
      </c>
      <c r="Y443" s="1" t="s">
        <v>40</v>
      </c>
      <c r="Z443" s="1" t="n">
        <v>0</v>
      </c>
      <c r="AA443" s="1" t="str">
        <f aca="false">TRIM(PROPER(F443))</f>
        <v>Gurugram</v>
      </c>
      <c r="AB443" s="1" t="str">
        <f aca="false">TRIM(PROPER(C443))</f>
        <v>Whitehat Jr</v>
      </c>
      <c r="AC443" s="1" t="str">
        <f aca="false">IF(O443=0,"No Discount",IF(O443&lt;=15,"Low (1-15%)",IF(O443&lt;=30,"Medium (16-30%)","High (&gt;30%)")))</f>
        <v>Medium (16-30%)</v>
      </c>
      <c r="AD443" s="1" t="str">
        <f aca="false">IF(V443&lt;0,"Loss Making",IF(V443&lt;20,"Low Margin","Healthy Margin"))</f>
        <v>Healthy Margin</v>
      </c>
      <c r="AE443" s="1" t="str">
        <f aca="false">TEXT(DATE(VALUE(RIGHT(B443,4)),VALUE(MID(B443,4,2)),VALUE(LEFT(B443,2))),"MMM-YYYY")</f>
        <v>Sep-2023</v>
      </c>
      <c r="AF443" s="1" t="n">
        <f aca="false">VALUE(RIGHT(B443,4))</f>
        <v>2023</v>
      </c>
      <c r="AG443" s="1" t="str">
        <f aca="false">CHOOSE(ROUNDUP(VALUE(MID(B443,4,2))/3,0),"Q1","Q2","Q3","Q4")</f>
        <v>Q3</v>
      </c>
    </row>
    <row r="444" customFormat="false" ht="15" hidden="false" customHeight="true" outlineLevel="0" collapsed="false">
      <c r="A444" s="1" t="s">
        <v>934</v>
      </c>
      <c r="B444" s="1" t="s">
        <v>928</v>
      </c>
      <c r="C444" s="1" t="s">
        <v>65</v>
      </c>
      <c r="D444" s="1" t="s">
        <v>44</v>
      </c>
      <c r="E444" s="1" t="s">
        <v>66</v>
      </c>
      <c r="F444" s="1" t="s">
        <v>55</v>
      </c>
      <c r="G444" s="1" t="s">
        <v>56</v>
      </c>
      <c r="H444" s="1" t="s">
        <v>57</v>
      </c>
      <c r="I444" s="1" t="s">
        <v>34</v>
      </c>
      <c r="J444" s="1" t="s">
        <v>70</v>
      </c>
      <c r="K444" s="1" t="s">
        <v>60</v>
      </c>
      <c r="L444" s="1" t="s">
        <v>37</v>
      </c>
      <c r="M444" s="1" t="s">
        <v>50</v>
      </c>
      <c r="N444" s="1" t="n">
        <v>12999</v>
      </c>
      <c r="O444" s="1" t="n">
        <v>40</v>
      </c>
      <c r="P444" s="1" t="n">
        <v>5199.6</v>
      </c>
      <c r="Q444" s="1" t="n">
        <v>7799.4</v>
      </c>
      <c r="R444" s="1" t="n">
        <v>1403.89</v>
      </c>
      <c r="S444" s="1" t="n">
        <v>6395.51</v>
      </c>
      <c r="T444" s="1" t="n">
        <v>3495.83</v>
      </c>
      <c r="U444" s="1" t="n">
        <v>2899.68</v>
      </c>
      <c r="V444" s="1" t="n">
        <v>45.34</v>
      </c>
      <c r="W444" s="1" t="s">
        <v>39</v>
      </c>
      <c r="X444" s="1" t="n">
        <v>4.6</v>
      </c>
      <c r="Y444" s="1" t="s">
        <v>40</v>
      </c>
      <c r="Z444" s="1" t="n">
        <v>0</v>
      </c>
      <c r="AA444" s="1" t="str">
        <f aca="false">TRIM(PROPER(F444))</f>
        <v>Ghaziabad</v>
      </c>
      <c r="AB444" s="1" t="str">
        <f aca="false">TRIM(PROPER(C444))</f>
        <v>Toppr</v>
      </c>
      <c r="AC444" s="1" t="str">
        <f aca="false">IF(O444=0,"No Discount",IF(O444&lt;=15,"Low (1-15%)",IF(O444&lt;=30,"Medium (16-30%)","High (&gt;30%)")))</f>
        <v>High (&gt;30%)</v>
      </c>
      <c r="AD444" s="1" t="str">
        <f aca="false">IF(V444&lt;0,"Loss Making",IF(V444&lt;20,"Low Margin","Healthy Margin"))</f>
        <v>Healthy Margin</v>
      </c>
      <c r="AE444" s="1" t="str">
        <f aca="false">TEXT(DATE(VALUE(RIGHT(B444,4)),VALUE(MID(B444,4,2)),VALUE(LEFT(B444,2))),"MMM-YYYY")</f>
        <v>Jul-2023</v>
      </c>
      <c r="AF444" s="1" t="n">
        <f aca="false">VALUE(RIGHT(B444,4))</f>
        <v>2023</v>
      </c>
      <c r="AG444" s="1" t="str">
        <f aca="false">CHOOSE(ROUNDUP(VALUE(MID(B444,4,2))/3,0),"Q1","Q2","Q3","Q4")</f>
        <v>Q3</v>
      </c>
    </row>
    <row r="445" customFormat="false" ht="15" hidden="false" customHeight="true" outlineLevel="0" collapsed="false">
      <c r="A445" s="1" t="s">
        <v>935</v>
      </c>
      <c r="B445" s="1" t="s">
        <v>936</v>
      </c>
      <c r="C445" s="1" t="s">
        <v>128</v>
      </c>
      <c r="D445" s="1" t="s">
        <v>44</v>
      </c>
      <c r="E445" s="1" t="s">
        <v>66</v>
      </c>
      <c r="F445" s="1" t="s">
        <v>55</v>
      </c>
      <c r="G445" s="1" t="s">
        <v>56</v>
      </c>
      <c r="H445" s="1" t="s">
        <v>57</v>
      </c>
      <c r="I445" s="1" t="s">
        <v>58</v>
      </c>
      <c r="J445" s="1" t="s">
        <v>59</v>
      </c>
      <c r="K445" s="1" t="s">
        <v>104</v>
      </c>
      <c r="L445" s="1" t="s">
        <v>136</v>
      </c>
      <c r="M445" s="1" t="s">
        <v>62</v>
      </c>
      <c r="N445" s="1" t="n">
        <v>12999</v>
      </c>
      <c r="O445" s="1" t="n">
        <v>50</v>
      </c>
      <c r="P445" s="1" t="n">
        <v>6499.5</v>
      </c>
      <c r="Q445" s="1" t="n">
        <v>6499.5</v>
      </c>
      <c r="R445" s="1" t="n">
        <v>1169.91</v>
      </c>
      <c r="S445" s="1" t="n">
        <v>5329.59</v>
      </c>
      <c r="T445" s="1" t="n">
        <v>3227.05</v>
      </c>
      <c r="U445" s="1" t="n">
        <v>2102.54</v>
      </c>
      <c r="V445" s="1" t="n">
        <v>39.45</v>
      </c>
      <c r="W445" s="1" t="s">
        <v>39</v>
      </c>
      <c r="X445" s="1" t="n">
        <v>3.6</v>
      </c>
      <c r="Y445" s="1" t="s">
        <v>40</v>
      </c>
      <c r="Z445" s="1" t="n">
        <v>0</v>
      </c>
      <c r="AA445" s="1" t="str">
        <f aca="false">TRIM(PROPER(F445))</f>
        <v>Ghaziabad</v>
      </c>
      <c r="AB445" s="1" t="str">
        <f aca="false">TRIM(PROPER(C445))</f>
        <v>Great Learning</v>
      </c>
      <c r="AC445" s="1" t="str">
        <f aca="false">IF(O445=0,"No Discount",IF(O445&lt;=15,"Low (1-15%)",IF(O445&lt;=30,"Medium (16-30%)","High (&gt;30%)")))</f>
        <v>High (&gt;30%)</v>
      </c>
      <c r="AD445" s="1" t="str">
        <f aca="false">IF(V445&lt;0,"Loss Making",IF(V445&lt;20,"Low Margin","Healthy Margin"))</f>
        <v>Healthy Margin</v>
      </c>
      <c r="AE445" s="1" t="str">
        <f aca="false">TEXT(DATE(VALUE(RIGHT(B445,4)),VALUE(MID(B445,4,2)),VALUE(LEFT(B445,2))),"MMM-YYYY")</f>
        <v>Jun-2024</v>
      </c>
      <c r="AF445" s="1" t="n">
        <f aca="false">VALUE(RIGHT(B445,4))</f>
        <v>2024</v>
      </c>
      <c r="AG445" s="1" t="str">
        <f aca="false">CHOOSE(ROUNDUP(VALUE(MID(B445,4,2))/3,0),"Q1","Q2","Q3","Q4")</f>
        <v>Q2</v>
      </c>
    </row>
    <row r="446" customFormat="false" ht="15" hidden="false" customHeight="true" outlineLevel="0" collapsed="false">
      <c r="A446" s="1" t="s">
        <v>937</v>
      </c>
      <c r="B446" s="1" t="s">
        <v>73</v>
      </c>
      <c r="C446" s="1" t="s">
        <v>264</v>
      </c>
      <c r="D446" s="1" t="s">
        <v>29</v>
      </c>
      <c r="E446" s="1" t="s">
        <v>182</v>
      </c>
      <c r="F446" s="1" t="s">
        <v>96</v>
      </c>
      <c r="G446" s="1" t="s">
        <v>97</v>
      </c>
      <c r="H446" s="1" t="s">
        <v>69</v>
      </c>
      <c r="I446" s="1" t="s">
        <v>58</v>
      </c>
      <c r="J446" s="1" t="s">
        <v>70</v>
      </c>
      <c r="K446" s="1" t="s">
        <v>36</v>
      </c>
      <c r="L446" s="1" t="s">
        <v>85</v>
      </c>
      <c r="M446" s="1" t="s">
        <v>50</v>
      </c>
      <c r="N446" s="1" t="n">
        <v>34999</v>
      </c>
      <c r="O446" s="1" t="n">
        <v>0</v>
      </c>
      <c r="P446" s="1" t="n">
        <v>0</v>
      </c>
      <c r="Q446" s="1" t="n">
        <v>34999</v>
      </c>
      <c r="R446" s="1" t="n">
        <v>6299.82</v>
      </c>
      <c r="S446" s="1" t="n">
        <v>28699.18</v>
      </c>
      <c r="T446" s="1" t="n">
        <v>9806.76</v>
      </c>
      <c r="U446" s="1" t="n">
        <v>18892.42</v>
      </c>
      <c r="V446" s="1" t="n">
        <v>65.83</v>
      </c>
      <c r="W446" s="1" t="s">
        <v>39</v>
      </c>
      <c r="X446" s="1" t="n">
        <v>3.9</v>
      </c>
      <c r="Y446" s="1" t="s">
        <v>40</v>
      </c>
      <c r="Z446" s="1" t="n">
        <v>0</v>
      </c>
      <c r="AA446" s="1" t="str">
        <f aca="false">TRIM(PROPER(F446))</f>
        <v>Pune</v>
      </c>
      <c r="AB446" s="1" t="str">
        <f aca="false">TRIM(PROPER(C446))</f>
        <v>Unacademy</v>
      </c>
      <c r="AC446" s="1" t="str">
        <f aca="false">IF(O446=0,"No Discount",IF(O446&lt;=15,"Low (1-15%)",IF(O446&lt;=30,"Medium (16-30%)","High (&gt;30%)")))</f>
        <v>No Discount</v>
      </c>
      <c r="AD446" s="1" t="str">
        <f aca="false">IF(V446&lt;0,"Loss Making",IF(V446&lt;20,"Low Margin","Healthy Margin"))</f>
        <v>Healthy Margin</v>
      </c>
      <c r="AE446" s="1" t="str">
        <f aca="false">TEXT(DATE(VALUE(RIGHT(B446,4)),VALUE(MID(B446,4,2)),VALUE(LEFT(B446,2))),"MMM-YYYY")</f>
        <v>Feb-2023</v>
      </c>
      <c r="AF446" s="1" t="n">
        <f aca="false">VALUE(RIGHT(B446,4))</f>
        <v>2023</v>
      </c>
      <c r="AG446" s="1" t="str">
        <f aca="false">CHOOSE(ROUNDUP(VALUE(MID(B446,4,2))/3,0),"Q1","Q2","Q3","Q4")</f>
        <v>Q1</v>
      </c>
    </row>
    <row r="447" customFormat="false" ht="15" hidden="false" customHeight="true" outlineLevel="0" collapsed="false">
      <c r="A447" s="1" t="s">
        <v>938</v>
      </c>
      <c r="B447" s="1" t="s">
        <v>939</v>
      </c>
      <c r="C447" s="1" t="s">
        <v>249</v>
      </c>
      <c r="D447" s="1" t="s">
        <v>168</v>
      </c>
      <c r="E447" s="1" t="s">
        <v>172</v>
      </c>
      <c r="F447" s="1" t="s">
        <v>55</v>
      </c>
      <c r="G447" s="1" t="s">
        <v>56</v>
      </c>
      <c r="H447" s="1" t="s">
        <v>57</v>
      </c>
      <c r="I447" s="1" t="s">
        <v>83</v>
      </c>
      <c r="J447" s="1" t="s">
        <v>35</v>
      </c>
      <c r="K447" s="1" t="s">
        <v>112</v>
      </c>
      <c r="L447" s="1" t="s">
        <v>61</v>
      </c>
      <c r="M447" s="1" t="s">
        <v>38</v>
      </c>
      <c r="N447" s="1" t="n">
        <v>6999</v>
      </c>
      <c r="O447" s="1" t="n">
        <v>10</v>
      </c>
      <c r="P447" s="1" t="n">
        <v>699.9</v>
      </c>
      <c r="Q447" s="1" t="n">
        <v>6299.1</v>
      </c>
      <c r="R447" s="1" t="n">
        <v>1133.84</v>
      </c>
      <c r="S447" s="1" t="n">
        <v>5165.26</v>
      </c>
      <c r="T447" s="1" t="n">
        <v>1951.45</v>
      </c>
      <c r="U447" s="1" t="n">
        <v>3213.81</v>
      </c>
      <c r="V447" s="1" t="n">
        <v>62.22</v>
      </c>
      <c r="W447" s="1" t="s">
        <v>40</v>
      </c>
      <c r="Y447" s="1" t="s">
        <v>40</v>
      </c>
      <c r="Z447" s="1" t="n">
        <v>0</v>
      </c>
      <c r="AA447" s="1" t="str">
        <f aca="false">TRIM(PROPER(F447))</f>
        <v>Ghaziabad</v>
      </c>
      <c r="AB447" s="1" t="str">
        <f aca="false">TRIM(PROPER(C447))</f>
        <v>Whitehat Jr</v>
      </c>
      <c r="AC447" s="1" t="str">
        <f aca="false">IF(O447=0,"No Discount",IF(O447&lt;=15,"Low (1-15%)",IF(O447&lt;=30,"Medium (16-30%)","High (&gt;30%)")))</f>
        <v>Low (1-15%)</v>
      </c>
      <c r="AD447" s="1" t="str">
        <f aca="false">IF(V447&lt;0,"Loss Making",IF(V447&lt;20,"Low Margin","Healthy Margin"))</f>
        <v>Healthy Margin</v>
      </c>
      <c r="AE447" s="1" t="str">
        <f aca="false">TEXT(DATE(VALUE(RIGHT(B447,4)),VALUE(MID(B447,4,2)),VALUE(LEFT(B447,2))),"MMM-YYYY")</f>
        <v>Jun-2024</v>
      </c>
      <c r="AF447" s="1" t="n">
        <f aca="false">VALUE(RIGHT(B447,4))</f>
        <v>2024</v>
      </c>
      <c r="AG447" s="1" t="str">
        <f aca="false">CHOOSE(ROUNDUP(VALUE(MID(B447,4,2))/3,0),"Q1","Q2","Q3","Q4")</f>
        <v>Q2</v>
      </c>
    </row>
    <row r="448" customFormat="false" ht="15" hidden="false" customHeight="true" outlineLevel="0" collapsed="false">
      <c r="A448" s="1" t="s">
        <v>940</v>
      </c>
      <c r="B448" s="1" t="s">
        <v>382</v>
      </c>
      <c r="C448" s="1" t="s">
        <v>74</v>
      </c>
      <c r="D448" s="1" t="s">
        <v>44</v>
      </c>
      <c r="E448" s="1" t="s">
        <v>45</v>
      </c>
      <c r="F448" s="1" t="s">
        <v>75</v>
      </c>
      <c r="G448" s="1" t="s">
        <v>76</v>
      </c>
      <c r="H448" s="1" t="s">
        <v>69</v>
      </c>
      <c r="I448" s="1" t="s">
        <v>34</v>
      </c>
      <c r="J448" s="1" t="s">
        <v>131</v>
      </c>
      <c r="K448" s="1" t="s">
        <v>104</v>
      </c>
      <c r="L448" s="1" t="s">
        <v>37</v>
      </c>
      <c r="M448" s="1" t="s">
        <v>62</v>
      </c>
      <c r="N448" s="1" t="n">
        <v>11999</v>
      </c>
      <c r="O448" s="1" t="n">
        <v>0</v>
      </c>
      <c r="P448" s="1" t="n">
        <v>0</v>
      </c>
      <c r="Q448" s="1" t="n">
        <v>11999</v>
      </c>
      <c r="R448" s="1" t="n">
        <v>2159.82</v>
      </c>
      <c r="S448" s="1" t="n">
        <v>9839.18</v>
      </c>
      <c r="T448" s="1" t="n">
        <v>4054.35</v>
      </c>
      <c r="U448" s="1" t="n">
        <v>5784.83</v>
      </c>
      <c r="V448" s="1" t="n">
        <v>58.79</v>
      </c>
      <c r="W448" s="1" t="s">
        <v>40</v>
      </c>
      <c r="Y448" s="1" t="s">
        <v>40</v>
      </c>
      <c r="Z448" s="1" t="n">
        <v>1</v>
      </c>
      <c r="AA448" s="1" t="str">
        <f aca="false">TRIM(PROPER(F448))</f>
        <v>Kolkata</v>
      </c>
      <c r="AB448" s="1" t="str">
        <f aca="false">TRIM(PROPER(C448))</f>
        <v>Vedantu</v>
      </c>
      <c r="AC448" s="1" t="str">
        <f aca="false">IF(O448=0,"No Discount",IF(O448&lt;=15,"Low (1-15%)",IF(O448&lt;=30,"Medium (16-30%)","High (&gt;30%)")))</f>
        <v>No Discount</v>
      </c>
      <c r="AD448" s="1" t="str">
        <f aca="false">IF(V448&lt;0,"Loss Making",IF(V448&lt;20,"Low Margin","Healthy Margin"))</f>
        <v>Healthy Margin</v>
      </c>
      <c r="AE448" s="1" t="str">
        <f aca="false">TEXT(DATE(VALUE(RIGHT(B448,4)),VALUE(MID(B448,4,2)),VALUE(LEFT(B448,2))),"MMM-YYYY")</f>
        <v>Jan-2024</v>
      </c>
      <c r="AF448" s="1" t="n">
        <f aca="false">VALUE(RIGHT(B448,4))</f>
        <v>2024</v>
      </c>
      <c r="AG448" s="1" t="str">
        <f aca="false">CHOOSE(ROUNDUP(VALUE(MID(B448,4,2))/3,0),"Q1","Q2","Q3","Q4")</f>
        <v>Q1</v>
      </c>
    </row>
    <row r="449" customFormat="false" ht="15" hidden="false" customHeight="true" outlineLevel="0" collapsed="false">
      <c r="A449" s="1" t="s">
        <v>941</v>
      </c>
      <c r="B449" s="1" t="s">
        <v>942</v>
      </c>
      <c r="C449" s="1" t="s">
        <v>139</v>
      </c>
      <c r="D449" s="1" t="s">
        <v>44</v>
      </c>
      <c r="E449" s="1" t="s">
        <v>45</v>
      </c>
      <c r="F449" s="1" t="s">
        <v>244</v>
      </c>
      <c r="G449" s="1" t="s">
        <v>97</v>
      </c>
      <c r="H449" s="1" t="s">
        <v>57</v>
      </c>
      <c r="I449" s="1" t="s">
        <v>83</v>
      </c>
      <c r="J449" s="1" t="s">
        <v>77</v>
      </c>
      <c r="K449" s="1" t="s">
        <v>112</v>
      </c>
      <c r="L449" s="1" t="s">
        <v>49</v>
      </c>
      <c r="M449" s="1" t="s">
        <v>50</v>
      </c>
      <c r="N449" s="1" t="n">
        <v>11999</v>
      </c>
      <c r="O449" s="1" t="n">
        <v>10</v>
      </c>
      <c r="P449" s="1" t="n">
        <v>1199.9</v>
      </c>
      <c r="Q449" s="1" t="n">
        <v>10799.1</v>
      </c>
      <c r="R449" s="1" t="n">
        <v>1943.84</v>
      </c>
      <c r="S449" s="1" t="n">
        <v>8855.26</v>
      </c>
      <c r="T449" s="1" t="n">
        <v>4437.98</v>
      </c>
      <c r="U449" s="1" t="n">
        <v>4417.28</v>
      </c>
      <c r="V449" s="1" t="n">
        <v>49.88</v>
      </c>
      <c r="W449" s="1" t="s">
        <v>39</v>
      </c>
      <c r="X449" s="1" t="n">
        <v>3.5</v>
      </c>
      <c r="Y449" s="1" t="s">
        <v>40</v>
      </c>
      <c r="Z449" s="1" t="n">
        <v>1</v>
      </c>
      <c r="AA449" s="1" t="str">
        <f aca="false">TRIM(PROPER(F449))</f>
        <v>Nagpur</v>
      </c>
      <c r="AB449" s="1" t="str">
        <f aca="false">TRIM(PROPER(C449))</f>
        <v>Extramarks</v>
      </c>
      <c r="AC449" s="1" t="str">
        <f aca="false">IF(O449=0,"No Discount",IF(O449&lt;=15,"Low (1-15%)",IF(O449&lt;=30,"Medium (16-30%)","High (&gt;30%)")))</f>
        <v>Low (1-15%)</v>
      </c>
      <c r="AD449" s="1" t="str">
        <f aca="false">IF(V449&lt;0,"Loss Making",IF(V449&lt;20,"Low Margin","Healthy Margin"))</f>
        <v>Healthy Margin</v>
      </c>
      <c r="AE449" s="1" t="str">
        <f aca="false">TEXT(DATE(VALUE(RIGHT(B449,4)),VALUE(MID(B449,4,2)),VALUE(LEFT(B449,2))),"MMM-YYYY")</f>
        <v>Jan-2023</v>
      </c>
      <c r="AF449" s="1" t="n">
        <f aca="false">VALUE(RIGHT(B449,4))</f>
        <v>2023</v>
      </c>
      <c r="AG449" s="1" t="str">
        <f aca="false">CHOOSE(ROUNDUP(VALUE(MID(B449,4,2))/3,0),"Q1","Q2","Q3","Q4")</f>
        <v>Q1</v>
      </c>
    </row>
    <row r="450" customFormat="false" ht="15" hidden="false" customHeight="true" outlineLevel="0" collapsed="false">
      <c r="A450" s="1" t="s">
        <v>943</v>
      </c>
      <c r="B450" s="1" t="s">
        <v>489</v>
      </c>
      <c r="C450" s="1" t="s">
        <v>74</v>
      </c>
      <c r="D450" s="1" t="s">
        <v>29</v>
      </c>
      <c r="E450" s="1" t="s">
        <v>305</v>
      </c>
      <c r="F450" s="1" t="s">
        <v>107</v>
      </c>
      <c r="G450" s="1" t="s">
        <v>108</v>
      </c>
      <c r="H450" s="1" t="s">
        <v>33</v>
      </c>
      <c r="I450" s="1" t="s">
        <v>34</v>
      </c>
      <c r="J450" s="1" t="s">
        <v>131</v>
      </c>
      <c r="K450" s="1" t="s">
        <v>60</v>
      </c>
      <c r="L450" s="1" t="s">
        <v>85</v>
      </c>
      <c r="M450" s="1" t="s">
        <v>62</v>
      </c>
      <c r="N450" s="1" t="n">
        <v>24999</v>
      </c>
      <c r="O450" s="1" t="n">
        <v>15</v>
      </c>
      <c r="P450" s="1" t="n">
        <v>3749.85</v>
      </c>
      <c r="Q450" s="1" t="n">
        <v>21249.15</v>
      </c>
      <c r="R450" s="1" t="n">
        <v>3824.85</v>
      </c>
      <c r="S450" s="1" t="n">
        <v>17424.3</v>
      </c>
      <c r="T450" s="1" t="n">
        <v>7403.09</v>
      </c>
      <c r="U450" s="1" t="n">
        <v>10021.21</v>
      </c>
      <c r="V450" s="1" t="n">
        <v>57.51</v>
      </c>
      <c r="W450" s="1" t="s">
        <v>40</v>
      </c>
      <c r="Y450" s="1" t="s">
        <v>40</v>
      </c>
      <c r="Z450" s="1" t="n">
        <v>2</v>
      </c>
      <c r="AA450" s="1" t="str">
        <f aca="false">TRIM(PROPER(F450))</f>
        <v>Madurai</v>
      </c>
      <c r="AB450" s="1" t="str">
        <f aca="false">TRIM(PROPER(C450))</f>
        <v>Vedantu</v>
      </c>
      <c r="AC450" s="1" t="str">
        <f aca="false">IF(O450=0,"No Discount",IF(O450&lt;=15,"Low (1-15%)",IF(O450&lt;=30,"Medium (16-30%)","High (&gt;30%)")))</f>
        <v>Low (1-15%)</v>
      </c>
      <c r="AD450" s="1" t="str">
        <f aca="false">IF(V450&lt;0,"Loss Making",IF(V450&lt;20,"Low Margin","Healthy Margin"))</f>
        <v>Healthy Margin</v>
      </c>
      <c r="AE450" s="1" t="str">
        <f aca="false">TEXT(DATE(VALUE(RIGHT(B450,4)),VALUE(MID(B450,4,2)),VALUE(LEFT(B450,2))),"MMM-YYYY")</f>
        <v>Apr-2023</v>
      </c>
      <c r="AF450" s="1" t="n">
        <f aca="false">VALUE(RIGHT(B450,4))</f>
        <v>2023</v>
      </c>
      <c r="AG450" s="1" t="str">
        <f aca="false">CHOOSE(ROUNDUP(VALUE(MID(B450,4,2))/3,0),"Q1","Q2","Q3","Q4")</f>
        <v>Q2</v>
      </c>
    </row>
    <row r="451" customFormat="false" ht="15" hidden="false" customHeight="true" outlineLevel="0" collapsed="false">
      <c r="A451" s="1" t="s">
        <v>944</v>
      </c>
      <c r="B451" s="1" t="s">
        <v>945</v>
      </c>
      <c r="C451" s="1" t="s">
        <v>28</v>
      </c>
      <c r="D451" s="1" t="s">
        <v>53</v>
      </c>
      <c r="E451" s="1" t="s">
        <v>116</v>
      </c>
      <c r="F451" s="1" t="s">
        <v>89</v>
      </c>
      <c r="G451" s="1" t="s">
        <v>68</v>
      </c>
      <c r="H451" s="1" t="s">
        <v>33</v>
      </c>
      <c r="I451" s="1" t="s">
        <v>83</v>
      </c>
      <c r="J451" s="1" t="s">
        <v>131</v>
      </c>
      <c r="K451" s="1" t="s">
        <v>36</v>
      </c>
      <c r="L451" s="1" t="s">
        <v>49</v>
      </c>
      <c r="M451" s="1" t="s">
        <v>50</v>
      </c>
      <c r="N451" s="1" t="n">
        <v>9999</v>
      </c>
      <c r="O451" s="1" t="n">
        <v>15</v>
      </c>
      <c r="P451" s="1" t="n">
        <v>1499.85</v>
      </c>
      <c r="Q451" s="1" t="n">
        <v>8499.15</v>
      </c>
      <c r="R451" s="1" t="n">
        <v>1529.85</v>
      </c>
      <c r="S451" s="1" t="n">
        <v>6969.3</v>
      </c>
      <c r="T451" s="1" t="n">
        <v>3220.17</v>
      </c>
      <c r="U451" s="1" t="n">
        <v>3749.13</v>
      </c>
      <c r="V451" s="1" t="n">
        <v>53.79</v>
      </c>
      <c r="W451" s="1" t="s">
        <v>39</v>
      </c>
      <c r="X451" s="1" t="n">
        <v>3.8</v>
      </c>
      <c r="Y451" s="1" t="s">
        <v>40</v>
      </c>
      <c r="Z451" s="1" t="n">
        <v>0</v>
      </c>
      <c r="AA451" s="1" t="str">
        <f aca="false">TRIM(PROPER(F451))</f>
        <v>Vadodara</v>
      </c>
      <c r="AB451" s="1" t="str">
        <f aca="false">TRIM(PROPER(C451))</f>
        <v>Embibe</v>
      </c>
      <c r="AC451" s="1" t="str">
        <f aca="false">IF(O451=0,"No Discount",IF(O451&lt;=15,"Low (1-15%)",IF(O451&lt;=30,"Medium (16-30%)","High (&gt;30%)")))</f>
        <v>Low (1-15%)</v>
      </c>
      <c r="AD451" s="1" t="str">
        <f aca="false">IF(V451&lt;0,"Loss Making",IF(V451&lt;20,"Low Margin","Healthy Margin"))</f>
        <v>Healthy Margin</v>
      </c>
      <c r="AE451" s="1" t="str">
        <f aca="false">TEXT(DATE(VALUE(RIGHT(B451,4)),VALUE(MID(B451,4,2)),VALUE(LEFT(B451,2))),"MMM-YYYY")</f>
        <v>Oct-2023</v>
      </c>
      <c r="AF451" s="1" t="n">
        <f aca="false">VALUE(RIGHT(B451,4))</f>
        <v>2023</v>
      </c>
      <c r="AG451" s="1" t="str">
        <f aca="false">CHOOSE(ROUNDUP(VALUE(MID(B451,4,2))/3,0),"Q1","Q2","Q3","Q4")</f>
        <v>Q4</v>
      </c>
    </row>
    <row r="452" customFormat="false" ht="15" hidden="false" customHeight="true" outlineLevel="0" collapsed="false">
      <c r="A452" s="1" t="s">
        <v>946</v>
      </c>
      <c r="B452" s="1" t="s">
        <v>947</v>
      </c>
      <c r="C452" s="1" t="s">
        <v>93</v>
      </c>
      <c r="D452" s="1" t="s">
        <v>29</v>
      </c>
      <c r="E452" s="1" t="s">
        <v>30</v>
      </c>
      <c r="F452" s="1" t="s">
        <v>187</v>
      </c>
      <c r="G452" s="1" t="s">
        <v>97</v>
      </c>
      <c r="H452" s="1" t="s">
        <v>69</v>
      </c>
      <c r="I452" s="1" t="s">
        <v>58</v>
      </c>
      <c r="J452" s="1" t="s">
        <v>59</v>
      </c>
      <c r="K452" s="1" t="s">
        <v>48</v>
      </c>
      <c r="L452" s="1" t="s">
        <v>136</v>
      </c>
      <c r="M452" s="1" t="s">
        <v>50</v>
      </c>
      <c r="N452" s="1" t="n">
        <v>7999</v>
      </c>
      <c r="O452" s="1" t="n">
        <v>25</v>
      </c>
      <c r="P452" s="1" t="n">
        <v>1999.75</v>
      </c>
      <c r="Q452" s="1" t="n">
        <v>5999.25</v>
      </c>
      <c r="R452" s="1" t="n">
        <v>1079.87</v>
      </c>
      <c r="S452" s="1" t="n">
        <v>4919.38</v>
      </c>
      <c r="T452" s="1" t="n">
        <v>1925.95</v>
      </c>
      <c r="U452" s="1" t="n">
        <v>2993.43</v>
      </c>
      <c r="V452" s="1" t="n">
        <v>60.85</v>
      </c>
      <c r="W452" s="1" t="s">
        <v>40</v>
      </c>
      <c r="Y452" s="1" t="s">
        <v>40</v>
      </c>
      <c r="Z452" s="1" t="n">
        <v>0</v>
      </c>
      <c r="AA452" s="1" t="str">
        <f aca="false">TRIM(PROPER(F452))</f>
        <v>Mumbai</v>
      </c>
      <c r="AB452" s="1" t="str">
        <f aca="false">TRIM(PROPER(C452))</f>
        <v>Upgrad</v>
      </c>
      <c r="AC452" s="1" t="str">
        <f aca="false">IF(O452=0,"No Discount",IF(O452&lt;=15,"Low (1-15%)",IF(O452&lt;=30,"Medium (16-30%)","High (&gt;30%)")))</f>
        <v>Medium (16-30%)</v>
      </c>
      <c r="AD452" s="1" t="str">
        <f aca="false">IF(V452&lt;0,"Loss Making",IF(V452&lt;20,"Low Margin","Healthy Margin"))</f>
        <v>Healthy Margin</v>
      </c>
      <c r="AE452" s="1" t="str">
        <f aca="false">TEXT(DATE(VALUE(RIGHT(B452,4)),VALUE(MID(B452,4,2)),VALUE(LEFT(B452,2))),"MMM-YYYY")</f>
        <v>Jun-2023</v>
      </c>
      <c r="AF452" s="1" t="n">
        <f aca="false">VALUE(RIGHT(B452,4))</f>
        <v>2023</v>
      </c>
      <c r="AG452" s="1" t="str">
        <f aca="false">CHOOSE(ROUNDUP(VALUE(MID(B452,4,2))/3,0),"Q1","Q2","Q3","Q4")</f>
        <v>Q2</v>
      </c>
    </row>
    <row r="453" customFormat="false" ht="15" hidden="false" customHeight="true" outlineLevel="0" collapsed="false">
      <c r="A453" s="1" t="s">
        <v>948</v>
      </c>
      <c r="B453" s="1" t="s">
        <v>115</v>
      </c>
      <c r="C453" s="1" t="s">
        <v>119</v>
      </c>
      <c r="D453" s="1" t="s">
        <v>53</v>
      </c>
      <c r="E453" s="1" t="s">
        <v>54</v>
      </c>
      <c r="F453" s="1" t="s">
        <v>211</v>
      </c>
      <c r="G453" s="1" t="s">
        <v>56</v>
      </c>
      <c r="H453" s="1" t="s">
        <v>69</v>
      </c>
      <c r="I453" s="1" t="s">
        <v>34</v>
      </c>
      <c r="J453" s="1" t="s">
        <v>35</v>
      </c>
      <c r="K453" s="1" t="s">
        <v>104</v>
      </c>
      <c r="L453" s="1" t="s">
        <v>136</v>
      </c>
      <c r="M453" s="1" t="s">
        <v>62</v>
      </c>
      <c r="N453" s="1" t="n">
        <v>11999</v>
      </c>
      <c r="O453" s="1" t="n">
        <v>15</v>
      </c>
      <c r="P453" s="1" t="n">
        <v>1799.85</v>
      </c>
      <c r="Q453" s="1" t="n">
        <v>10199.15</v>
      </c>
      <c r="R453" s="1" t="n">
        <v>1835.85</v>
      </c>
      <c r="S453" s="1" t="n">
        <v>8363.3</v>
      </c>
      <c r="T453" s="1" t="n">
        <v>4116.39</v>
      </c>
      <c r="U453" s="1" t="n">
        <v>4246.91</v>
      </c>
      <c r="V453" s="1" t="n">
        <v>50.78</v>
      </c>
      <c r="W453" s="1" t="s">
        <v>39</v>
      </c>
      <c r="X453" s="1" t="n">
        <v>4.2</v>
      </c>
      <c r="Y453" s="1" t="s">
        <v>40</v>
      </c>
      <c r="Z453" s="1" t="n">
        <v>0</v>
      </c>
      <c r="AA453" s="1" t="str">
        <f aca="false">TRIM(PROPER(F453))</f>
        <v>Noida</v>
      </c>
      <c r="AB453" s="1" t="str">
        <f aca="false">TRIM(PROPER(C453))</f>
        <v>Simplilearn</v>
      </c>
      <c r="AC453" s="1" t="str">
        <f aca="false">IF(O453=0,"No Discount",IF(O453&lt;=15,"Low (1-15%)",IF(O453&lt;=30,"Medium (16-30%)","High (&gt;30%)")))</f>
        <v>Low (1-15%)</v>
      </c>
      <c r="AD453" s="1" t="str">
        <f aca="false">IF(V453&lt;0,"Loss Making",IF(V453&lt;20,"Low Margin","Healthy Margin"))</f>
        <v>Healthy Margin</v>
      </c>
      <c r="AE453" s="1" t="str">
        <f aca="false">TEXT(DATE(VALUE(RIGHT(B453,4)),VALUE(MID(B453,4,2)),VALUE(LEFT(B453,2))),"MMM-YYYY")</f>
        <v>Feb-2024</v>
      </c>
      <c r="AF453" s="1" t="n">
        <f aca="false">VALUE(RIGHT(B453,4))</f>
        <v>2024</v>
      </c>
      <c r="AG453" s="1" t="str">
        <f aca="false">CHOOSE(ROUNDUP(VALUE(MID(B453,4,2))/3,0),"Q1","Q2","Q3","Q4")</f>
        <v>Q1</v>
      </c>
    </row>
    <row r="454" customFormat="false" ht="15" hidden="false" customHeight="true" outlineLevel="0" collapsed="false">
      <c r="A454" s="1" t="s">
        <v>949</v>
      </c>
      <c r="B454" s="1" t="s">
        <v>764</v>
      </c>
      <c r="C454" s="1" t="s">
        <v>88</v>
      </c>
      <c r="D454" s="1" t="s">
        <v>143</v>
      </c>
      <c r="E454" s="1" t="s">
        <v>144</v>
      </c>
      <c r="F454" s="1" t="s">
        <v>125</v>
      </c>
      <c r="G454" s="1" t="s">
        <v>108</v>
      </c>
      <c r="H454" s="1" t="s">
        <v>69</v>
      </c>
      <c r="I454" s="1" t="s">
        <v>34</v>
      </c>
      <c r="J454" s="1" t="s">
        <v>70</v>
      </c>
      <c r="K454" s="1" t="s">
        <v>60</v>
      </c>
      <c r="L454" s="1" t="s">
        <v>61</v>
      </c>
      <c r="M454" s="1" t="s">
        <v>50</v>
      </c>
      <c r="N454" s="1" t="n">
        <v>12999</v>
      </c>
      <c r="O454" s="1" t="n">
        <v>15</v>
      </c>
      <c r="P454" s="1" t="n">
        <v>1949.85</v>
      </c>
      <c r="Q454" s="1" t="n">
        <v>11049.15</v>
      </c>
      <c r="R454" s="1" t="n">
        <v>1988.85</v>
      </c>
      <c r="S454" s="1" t="n">
        <v>9060.3</v>
      </c>
      <c r="T454" s="1" t="n">
        <v>3668.51</v>
      </c>
      <c r="U454" s="1" t="n">
        <v>5391.79</v>
      </c>
      <c r="V454" s="1" t="n">
        <v>59.51</v>
      </c>
      <c r="W454" s="1" t="s">
        <v>39</v>
      </c>
      <c r="X454" s="1" t="n">
        <v>3.8</v>
      </c>
      <c r="Y454" s="1" t="s">
        <v>40</v>
      </c>
      <c r="Z454" s="1" t="n">
        <v>1</v>
      </c>
      <c r="AA454" s="1" t="str">
        <f aca="false">TRIM(PROPER(F454))</f>
        <v>Chennai</v>
      </c>
      <c r="AB454" s="1" t="str">
        <f aca="false">TRIM(PROPER(C454))</f>
        <v>Byju'S</v>
      </c>
      <c r="AC454" s="1" t="str">
        <f aca="false">IF(O454=0,"No Discount",IF(O454&lt;=15,"Low (1-15%)",IF(O454&lt;=30,"Medium (16-30%)","High (&gt;30%)")))</f>
        <v>Low (1-15%)</v>
      </c>
      <c r="AD454" s="1" t="str">
        <f aca="false">IF(V454&lt;0,"Loss Making",IF(V454&lt;20,"Low Margin","Healthy Margin"))</f>
        <v>Healthy Margin</v>
      </c>
      <c r="AE454" s="1" t="str">
        <f aca="false">TEXT(DATE(VALUE(RIGHT(B454,4)),VALUE(MID(B454,4,2)),VALUE(LEFT(B454,2))),"MMM-YYYY")</f>
        <v>Nov-2023</v>
      </c>
      <c r="AF454" s="1" t="n">
        <f aca="false">VALUE(RIGHT(B454,4))</f>
        <v>2023</v>
      </c>
      <c r="AG454" s="1" t="str">
        <f aca="false">CHOOSE(ROUNDUP(VALUE(MID(B454,4,2))/3,0),"Q1","Q2","Q3","Q4")</f>
        <v>Q4</v>
      </c>
    </row>
    <row r="455" customFormat="false" ht="15" hidden="false" customHeight="true" outlineLevel="0" collapsed="false">
      <c r="A455" s="1" t="s">
        <v>950</v>
      </c>
      <c r="B455" s="1" t="s">
        <v>376</v>
      </c>
      <c r="C455" s="1" t="s">
        <v>100</v>
      </c>
      <c r="D455" s="1" t="s">
        <v>80</v>
      </c>
      <c r="E455" s="1" t="s">
        <v>175</v>
      </c>
      <c r="F455" s="1" t="s">
        <v>107</v>
      </c>
      <c r="G455" s="1" t="s">
        <v>108</v>
      </c>
      <c r="H455" s="1" t="s">
        <v>33</v>
      </c>
      <c r="I455" s="1" t="s">
        <v>34</v>
      </c>
      <c r="J455" s="1" t="s">
        <v>77</v>
      </c>
      <c r="K455" s="1" t="s">
        <v>84</v>
      </c>
      <c r="L455" s="1" t="s">
        <v>37</v>
      </c>
      <c r="M455" s="1" t="s">
        <v>50</v>
      </c>
      <c r="N455" s="1" t="n">
        <v>19999</v>
      </c>
      <c r="O455" s="1" t="n">
        <v>15</v>
      </c>
      <c r="P455" s="1" t="n">
        <v>2999.85</v>
      </c>
      <c r="Q455" s="1" t="n">
        <v>16999.15</v>
      </c>
      <c r="R455" s="1" t="n">
        <v>3059.85</v>
      </c>
      <c r="S455" s="1" t="n">
        <v>13939.3</v>
      </c>
      <c r="T455" s="1" t="n">
        <v>5817.09</v>
      </c>
      <c r="U455" s="1" t="n">
        <v>8122.21</v>
      </c>
      <c r="V455" s="1" t="n">
        <v>58.27</v>
      </c>
      <c r="W455" s="1" t="s">
        <v>40</v>
      </c>
      <c r="Y455" s="1" t="s">
        <v>40</v>
      </c>
      <c r="Z455" s="1" t="n">
        <v>1</v>
      </c>
      <c r="AA455" s="1" t="str">
        <f aca="false">TRIM(PROPER(F455))</f>
        <v>Madurai</v>
      </c>
      <c r="AB455" s="1" t="str">
        <f aca="false">TRIM(PROPER(C455))</f>
        <v>Physics Wallah</v>
      </c>
      <c r="AC455" s="1" t="str">
        <f aca="false">IF(O455=0,"No Discount",IF(O455&lt;=15,"Low (1-15%)",IF(O455&lt;=30,"Medium (16-30%)","High (&gt;30%)")))</f>
        <v>Low (1-15%)</v>
      </c>
      <c r="AD455" s="1" t="str">
        <f aca="false">IF(V455&lt;0,"Loss Making",IF(V455&lt;20,"Low Margin","Healthy Margin"))</f>
        <v>Healthy Margin</v>
      </c>
      <c r="AE455" s="1" t="str">
        <f aca="false">TEXT(DATE(VALUE(RIGHT(B455,4)),VALUE(MID(B455,4,2)),VALUE(LEFT(B455,2))),"MMM-YYYY")</f>
        <v>Apr-2024</v>
      </c>
      <c r="AF455" s="1" t="n">
        <f aca="false">VALUE(RIGHT(B455,4))</f>
        <v>2024</v>
      </c>
      <c r="AG455" s="1" t="str">
        <f aca="false">CHOOSE(ROUNDUP(VALUE(MID(B455,4,2))/3,0),"Q1","Q2","Q3","Q4")</f>
        <v>Q2</v>
      </c>
    </row>
    <row r="456" customFormat="false" ht="15" hidden="false" customHeight="true" outlineLevel="0" collapsed="false">
      <c r="A456" s="1" t="s">
        <v>951</v>
      </c>
      <c r="B456" s="1" t="s">
        <v>952</v>
      </c>
      <c r="C456" s="1" t="s">
        <v>167</v>
      </c>
      <c r="D456" s="1" t="s">
        <v>29</v>
      </c>
      <c r="E456" s="1" t="s">
        <v>129</v>
      </c>
      <c r="F456" s="1" t="s">
        <v>140</v>
      </c>
      <c r="G456" s="1" t="s">
        <v>97</v>
      </c>
      <c r="H456" s="1" t="s">
        <v>57</v>
      </c>
      <c r="I456" s="1" t="s">
        <v>58</v>
      </c>
      <c r="J456" s="1" t="s">
        <v>59</v>
      </c>
      <c r="K456" s="1" t="s">
        <v>112</v>
      </c>
      <c r="L456" s="1" t="s">
        <v>61</v>
      </c>
      <c r="M456" s="1" t="s">
        <v>50</v>
      </c>
      <c r="N456" s="1" t="n">
        <v>29999</v>
      </c>
      <c r="O456" s="1" t="n">
        <v>5</v>
      </c>
      <c r="P456" s="1" t="n">
        <v>1499.95</v>
      </c>
      <c r="Q456" s="1" t="n">
        <v>28499.05</v>
      </c>
      <c r="R456" s="1" t="n">
        <v>5129.83</v>
      </c>
      <c r="S456" s="1" t="n">
        <v>23369.22</v>
      </c>
      <c r="T456" s="1" t="n">
        <v>11015.14</v>
      </c>
      <c r="U456" s="1" t="n">
        <v>12354.08</v>
      </c>
      <c r="V456" s="1" t="n">
        <v>52.86</v>
      </c>
      <c r="W456" s="1" t="s">
        <v>39</v>
      </c>
      <c r="X456" s="1" t="n">
        <v>3.2</v>
      </c>
      <c r="Y456" s="1" t="s">
        <v>40</v>
      </c>
      <c r="Z456" s="1" t="n">
        <v>0</v>
      </c>
      <c r="AA456" s="1" t="str">
        <f aca="false">TRIM(PROPER(F456))</f>
        <v>Nashik</v>
      </c>
      <c r="AB456" s="1" t="str">
        <f aca="false">TRIM(PROPER(C456))</f>
        <v>Scaler</v>
      </c>
      <c r="AC456" s="1" t="str">
        <f aca="false">IF(O456=0,"No Discount",IF(O456&lt;=15,"Low (1-15%)",IF(O456&lt;=30,"Medium (16-30%)","High (&gt;30%)")))</f>
        <v>Low (1-15%)</v>
      </c>
      <c r="AD456" s="1" t="str">
        <f aca="false">IF(V456&lt;0,"Loss Making",IF(V456&lt;20,"Low Margin","Healthy Margin"))</f>
        <v>Healthy Margin</v>
      </c>
      <c r="AE456" s="1" t="str">
        <f aca="false">TEXT(DATE(VALUE(RIGHT(B456,4)),VALUE(MID(B456,4,2)),VALUE(LEFT(B456,2))),"MMM-YYYY")</f>
        <v>Aug-2023</v>
      </c>
      <c r="AF456" s="1" t="n">
        <f aca="false">VALUE(RIGHT(B456,4))</f>
        <v>2023</v>
      </c>
      <c r="AG456" s="1" t="str">
        <f aca="false">CHOOSE(ROUNDUP(VALUE(MID(B456,4,2))/3,0),"Q1","Q2","Q3","Q4")</f>
        <v>Q3</v>
      </c>
    </row>
    <row r="457" customFormat="false" ht="15" hidden="false" customHeight="true" outlineLevel="0" collapsed="false">
      <c r="A457" s="1" t="s">
        <v>953</v>
      </c>
      <c r="B457" s="1" t="s">
        <v>954</v>
      </c>
      <c r="C457" s="1" t="s">
        <v>28</v>
      </c>
      <c r="D457" s="1" t="s">
        <v>123</v>
      </c>
      <c r="E457" s="1" t="s">
        <v>147</v>
      </c>
      <c r="F457" s="1" t="s">
        <v>67</v>
      </c>
      <c r="G457" s="1" t="s">
        <v>68</v>
      </c>
      <c r="H457" s="1" t="s">
        <v>69</v>
      </c>
      <c r="I457" s="1" t="s">
        <v>58</v>
      </c>
      <c r="J457" s="1" t="s">
        <v>131</v>
      </c>
      <c r="K457" s="1" t="s">
        <v>84</v>
      </c>
      <c r="L457" s="1" t="s">
        <v>136</v>
      </c>
      <c r="M457" s="1" t="s">
        <v>50</v>
      </c>
      <c r="N457" s="1" t="n">
        <v>6999</v>
      </c>
      <c r="O457" s="1" t="n">
        <v>30</v>
      </c>
      <c r="P457" s="1" t="n">
        <v>2099.7</v>
      </c>
      <c r="Q457" s="1" t="n">
        <v>4899.3</v>
      </c>
      <c r="R457" s="1" t="n">
        <v>881.87</v>
      </c>
      <c r="S457" s="1" t="n">
        <v>4017.43</v>
      </c>
      <c r="T457" s="1" t="n">
        <v>1513</v>
      </c>
      <c r="U457" s="1" t="n">
        <v>2504.43</v>
      </c>
      <c r="V457" s="1" t="n">
        <v>62.34</v>
      </c>
      <c r="W457" s="1" t="s">
        <v>39</v>
      </c>
      <c r="X457" s="1" t="n">
        <v>3.5</v>
      </c>
      <c r="Y457" s="1" t="s">
        <v>39</v>
      </c>
      <c r="Z457" s="1" t="n">
        <v>0</v>
      </c>
      <c r="AA457" s="1" t="str">
        <f aca="false">TRIM(PROPER(F457))</f>
        <v>Ahmedabad</v>
      </c>
      <c r="AB457" s="1" t="str">
        <f aca="false">TRIM(PROPER(C457))</f>
        <v>Embibe</v>
      </c>
      <c r="AC457" s="1" t="str">
        <f aca="false">IF(O457=0,"No Discount",IF(O457&lt;=15,"Low (1-15%)",IF(O457&lt;=30,"Medium (16-30%)","High (&gt;30%)")))</f>
        <v>Medium (16-30%)</v>
      </c>
      <c r="AD457" s="1" t="str">
        <f aca="false">IF(V457&lt;0,"Loss Making",IF(V457&lt;20,"Low Margin","Healthy Margin"))</f>
        <v>Healthy Margin</v>
      </c>
      <c r="AE457" s="1" t="str">
        <f aca="false">TEXT(DATE(VALUE(RIGHT(B457,4)),VALUE(MID(B457,4,2)),VALUE(LEFT(B457,2))),"MMM-YYYY")</f>
        <v>Jan-2023</v>
      </c>
      <c r="AF457" s="1" t="n">
        <f aca="false">VALUE(RIGHT(B457,4))</f>
        <v>2023</v>
      </c>
      <c r="AG457" s="1" t="str">
        <f aca="false">CHOOSE(ROUNDUP(VALUE(MID(B457,4,2))/3,0),"Q1","Q2","Q3","Q4")</f>
        <v>Q1</v>
      </c>
    </row>
    <row r="458" customFormat="false" ht="15" hidden="false" customHeight="true" outlineLevel="0" collapsed="false">
      <c r="A458" s="1" t="s">
        <v>955</v>
      </c>
      <c r="B458" s="1" t="s">
        <v>956</v>
      </c>
      <c r="C458" s="1" t="s">
        <v>93</v>
      </c>
      <c r="D458" s="1" t="s">
        <v>168</v>
      </c>
      <c r="E458" s="1" t="s">
        <v>197</v>
      </c>
      <c r="F458" s="1" t="s">
        <v>82</v>
      </c>
      <c r="G458" s="1" t="s">
        <v>56</v>
      </c>
      <c r="H458" s="1" t="s">
        <v>69</v>
      </c>
      <c r="I458" s="1" t="s">
        <v>34</v>
      </c>
      <c r="J458" s="1" t="s">
        <v>131</v>
      </c>
      <c r="K458" s="1" t="s">
        <v>84</v>
      </c>
      <c r="L458" s="1" t="s">
        <v>136</v>
      </c>
      <c r="M458" s="1" t="s">
        <v>38</v>
      </c>
      <c r="N458" s="1" t="n">
        <v>8499</v>
      </c>
      <c r="O458" s="1" t="n">
        <v>10</v>
      </c>
      <c r="P458" s="1" t="n">
        <v>849.9</v>
      </c>
      <c r="Q458" s="1" t="n">
        <v>7649.1</v>
      </c>
      <c r="R458" s="1" t="n">
        <v>1376.84</v>
      </c>
      <c r="S458" s="1" t="n">
        <v>6272.26</v>
      </c>
      <c r="T458" s="1" t="n">
        <v>2351.64</v>
      </c>
      <c r="U458" s="1" t="n">
        <v>3920.62</v>
      </c>
      <c r="V458" s="1" t="n">
        <v>62.51</v>
      </c>
      <c r="W458" s="1" t="s">
        <v>39</v>
      </c>
      <c r="X458" s="1" t="n">
        <v>3.5</v>
      </c>
      <c r="Y458" s="1" t="s">
        <v>40</v>
      </c>
      <c r="Z458" s="1" t="n">
        <v>0</v>
      </c>
      <c r="AA458" s="1" t="str">
        <f aca="false">TRIM(PROPER(F458))</f>
        <v>Gurugram</v>
      </c>
      <c r="AB458" s="1" t="str">
        <f aca="false">TRIM(PROPER(C458))</f>
        <v>Upgrad</v>
      </c>
      <c r="AC458" s="1" t="str">
        <f aca="false">IF(O458=0,"No Discount",IF(O458&lt;=15,"Low (1-15%)",IF(O458&lt;=30,"Medium (16-30%)","High (&gt;30%)")))</f>
        <v>Low (1-15%)</v>
      </c>
      <c r="AD458" s="1" t="str">
        <f aca="false">IF(V458&lt;0,"Loss Making",IF(V458&lt;20,"Low Margin","Healthy Margin"))</f>
        <v>Healthy Margin</v>
      </c>
      <c r="AE458" s="1" t="str">
        <f aca="false">TEXT(DATE(VALUE(RIGHT(B458,4)),VALUE(MID(B458,4,2)),VALUE(LEFT(B458,2))),"MMM-YYYY")</f>
        <v>Sep-2024</v>
      </c>
      <c r="AF458" s="1" t="n">
        <f aca="false">VALUE(RIGHT(B458,4))</f>
        <v>2024</v>
      </c>
      <c r="AG458" s="1" t="str">
        <f aca="false">CHOOSE(ROUNDUP(VALUE(MID(B458,4,2))/3,0),"Q1","Q2","Q3","Q4")</f>
        <v>Q3</v>
      </c>
    </row>
    <row r="459" customFormat="false" ht="15" hidden="false" customHeight="true" outlineLevel="0" collapsed="false">
      <c r="A459" s="1" t="s">
        <v>957</v>
      </c>
      <c r="B459" s="1" t="s">
        <v>189</v>
      </c>
      <c r="C459" s="1" t="s">
        <v>119</v>
      </c>
      <c r="D459" s="1" t="s">
        <v>143</v>
      </c>
      <c r="E459" s="1" t="s">
        <v>144</v>
      </c>
      <c r="F459" s="1" t="s">
        <v>211</v>
      </c>
      <c r="G459" s="1" t="s">
        <v>56</v>
      </c>
      <c r="H459" s="1" t="s">
        <v>69</v>
      </c>
      <c r="I459" s="1" t="s">
        <v>83</v>
      </c>
      <c r="J459" s="1" t="s">
        <v>70</v>
      </c>
      <c r="K459" s="1" t="s">
        <v>36</v>
      </c>
      <c r="L459" s="1" t="s">
        <v>113</v>
      </c>
      <c r="M459" s="1" t="s">
        <v>38</v>
      </c>
      <c r="N459" s="1" t="n">
        <v>12999</v>
      </c>
      <c r="O459" s="1" t="n">
        <v>5</v>
      </c>
      <c r="P459" s="1" t="n">
        <v>649.95</v>
      </c>
      <c r="Q459" s="1" t="n">
        <v>12349.05</v>
      </c>
      <c r="R459" s="1" t="n">
        <v>2222.83</v>
      </c>
      <c r="S459" s="1" t="n">
        <v>10126.22</v>
      </c>
      <c r="T459" s="1" t="n">
        <v>3708.79</v>
      </c>
      <c r="U459" s="1" t="n">
        <v>6417.43</v>
      </c>
      <c r="V459" s="1" t="n">
        <v>63.37</v>
      </c>
      <c r="W459" s="1" t="s">
        <v>40</v>
      </c>
      <c r="Y459" s="1" t="s">
        <v>40</v>
      </c>
      <c r="Z459" s="1" t="n">
        <v>0</v>
      </c>
      <c r="AA459" s="1" t="str">
        <f aca="false">TRIM(PROPER(F459))</f>
        <v>Noida</v>
      </c>
      <c r="AB459" s="1" t="str">
        <f aca="false">TRIM(PROPER(C459))</f>
        <v>Simplilearn</v>
      </c>
      <c r="AC459" s="1" t="str">
        <f aca="false">IF(O459=0,"No Discount",IF(O459&lt;=15,"Low (1-15%)",IF(O459&lt;=30,"Medium (16-30%)","High (&gt;30%)")))</f>
        <v>Low (1-15%)</v>
      </c>
      <c r="AD459" s="1" t="str">
        <f aca="false">IF(V459&lt;0,"Loss Making",IF(V459&lt;20,"Low Margin","Healthy Margin"))</f>
        <v>Healthy Margin</v>
      </c>
      <c r="AE459" s="1" t="str">
        <f aca="false">TEXT(DATE(VALUE(RIGHT(B459,4)),VALUE(MID(B459,4,2)),VALUE(LEFT(B459,2))),"MMM-YYYY")</f>
        <v>Jun-2023</v>
      </c>
      <c r="AF459" s="1" t="n">
        <f aca="false">VALUE(RIGHT(B459,4))</f>
        <v>2023</v>
      </c>
      <c r="AG459" s="1" t="str">
        <f aca="false">CHOOSE(ROUNDUP(VALUE(MID(B459,4,2))/3,0),"Q1","Q2","Q3","Q4")</f>
        <v>Q2</v>
      </c>
    </row>
    <row r="460" customFormat="false" ht="15" hidden="false" customHeight="true" outlineLevel="0" collapsed="false">
      <c r="A460" s="1" t="s">
        <v>958</v>
      </c>
      <c r="B460" s="1" t="s">
        <v>959</v>
      </c>
      <c r="C460" s="1" t="s">
        <v>65</v>
      </c>
      <c r="D460" s="1" t="s">
        <v>29</v>
      </c>
      <c r="E460" s="1" t="s">
        <v>129</v>
      </c>
      <c r="F460" s="1" t="s">
        <v>205</v>
      </c>
      <c r="G460" s="1" t="s">
        <v>56</v>
      </c>
      <c r="H460" s="1" t="s">
        <v>69</v>
      </c>
      <c r="I460" s="1" t="s">
        <v>58</v>
      </c>
      <c r="J460" s="1" t="s">
        <v>77</v>
      </c>
      <c r="K460" s="1" t="s">
        <v>48</v>
      </c>
      <c r="L460" s="1" t="s">
        <v>113</v>
      </c>
      <c r="M460" s="1" t="s">
        <v>38</v>
      </c>
      <c r="N460" s="1" t="n">
        <v>29999</v>
      </c>
      <c r="O460" s="1" t="n">
        <v>30</v>
      </c>
      <c r="P460" s="1" t="n">
        <v>8999.7</v>
      </c>
      <c r="Q460" s="1" t="n">
        <v>20999.3</v>
      </c>
      <c r="R460" s="1" t="n">
        <v>3779.87</v>
      </c>
      <c r="S460" s="1" t="n">
        <v>17219.43</v>
      </c>
      <c r="T460" s="1" t="n">
        <v>6965.01</v>
      </c>
      <c r="U460" s="1" t="n">
        <v>10254.42</v>
      </c>
      <c r="V460" s="1" t="n">
        <v>59.55</v>
      </c>
      <c r="W460" s="1" t="s">
        <v>39</v>
      </c>
      <c r="X460" s="1" t="n">
        <v>4.3</v>
      </c>
      <c r="Y460" s="1" t="s">
        <v>40</v>
      </c>
      <c r="Z460" s="1" t="n">
        <v>0</v>
      </c>
      <c r="AA460" s="1" t="str">
        <f aca="false">TRIM(PROPER(F460))</f>
        <v>New Delhi</v>
      </c>
      <c r="AB460" s="1" t="str">
        <f aca="false">TRIM(PROPER(C460))</f>
        <v>Toppr</v>
      </c>
      <c r="AC460" s="1" t="str">
        <f aca="false">IF(O460=0,"No Discount",IF(O460&lt;=15,"Low (1-15%)",IF(O460&lt;=30,"Medium (16-30%)","High (&gt;30%)")))</f>
        <v>Medium (16-30%)</v>
      </c>
      <c r="AD460" s="1" t="str">
        <f aca="false">IF(V460&lt;0,"Loss Making",IF(V460&lt;20,"Low Margin","Healthy Margin"))</f>
        <v>Healthy Margin</v>
      </c>
      <c r="AE460" s="1" t="str">
        <f aca="false">TEXT(DATE(VALUE(RIGHT(B460,4)),VALUE(MID(B460,4,2)),VALUE(LEFT(B460,2))),"MMM-YYYY")</f>
        <v>May-2023</v>
      </c>
      <c r="AF460" s="1" t="n">
        <f aca="false">VALUE(RIGHT(B460,4))</f>
        <v>2023</v>
      </c>
      <c r="AG460" s="1" t="str">
        <f aca="false">CHOOSE(ROUNDUP(VALUE(MID(B460,4,2))/3,0),"Q1","Q2","Q3","Q4")</f>
        <v>Q2</v>
      </c>
    </row>
    <row r="461" customFormat="false" ht="15" hidden="false" customHeight="true" outlineLevel="0" collapsed="false">
      <c r="A461" s="1" t="s">
        <v>960</v>
      </c>
      <c r="B461" s="1" t="s">
        <v>223</v>
      </c>
      <c r="C461" s="1" t="s">
        <v>249</v>
      </c>
      <c r="D461" s="1" t="s">
        <v>53</v>
      </c>
      <c r="E461" s="1" t="s">
        <v>54</v>
      </c>
      <c r="F461" s="1" t="s">
        <v>130</v>
      </c>
      <c r="G461" s="1" t="s">
        <v>47</v>
      </c>
      <c r="H461" s="1" t="s">
        <v>69</v>
      </c>
      <c r="I461" s="1" t="s">
        <v>83</v>
      </c>
      <c r="J461" s="1" t="s">
        <v>70</v>
      </c>
      <c r="K461" s="1" t="s">
        <v>104</v>
      </c>
      <c r="L461" s="1" t="s">
        <v>49</v>
      </c>
      <c r="M461" s="1" t="s">
        <v>50</v>
      </c>
      <c r="N461" s="1" t="n">
        <v>11999</v>
      </c>
      <c r="O461" s="1" t="n">
        <v>15</v>
      </c>
      <c r="P461" s="1" t="n">
        <v>1799.85</v>
      </c>
      <c r="Q461" s="1" t="n">
        <v>10199.15</v>
      </c>
      <c r="R461" s="1" t="n">
        <v>1835.85</v>
      </c>
      <c r="S461" s="1" t="n">
        <v>8363.3</v>
      </c>
      <c r="T461" s="1" t="n">
        <v>3121.2</v>
      </c>
      <c r="U461" s="1" t="n">
        <v>5242.1</v>
      </c>
      <c r="V461" s="1" t="n">
        <v>62.68</v>
      </c>
      <c r="W461" s="1" t="s">
        <v>39</v>
      </c>
      <c r="X461" s="1" t="n">
        <v>3.1</v>
      </c>
      <c r="Y461" s="1" t="s">
        <v>40</v>
      </c>
      <c r="Z461" s="1" t="n">
        <v>2</v>
      </c>
      <c r="AA461" s="1" t="str">
        <f aca="false">TRIM(PROPER(F461))</f>
        <v>Bengaluru</v>
      </c>
      <c r="AB461" s="1" t="str">
        <f aca="false">TRIM(PROPER(C461))</f>
        <v>Whitehat Jr</v>
      </c>
      <c r="AC461" s="1" t="str">
        <f aca="false">IF(O461=0,"No Discount",IF(O461&lt;=15,"Low (1-15%)",IF(O461&lt;=30,"Medium (16-30%)","High (&gt;30%)")))</f>
        <v>Low (1-15%)</v>
      </c>
      <c r="AD461" s="1" t="str">
        <f aca="false">IF(V461&lt;0,"Loss Making",IF(V461&lt;20,"Low Margin","Healthy Margin"))</f>
        <v>Healthy Margin</v>
      </c>
      <c r="AE461" s="1" t="str">
        <f aca="false">TEXT(DATE(VALUE(RIGHT(B461,4)),VALUE(MID(B461,4,2)),VALUE(LEFT(B461,2))),"MMM-YYYY")</f>
        <v>Nov-2024</v>
      </c>
      <c r="AF461" s="1" t="n">
        <f aca="false">VALUE(RIGHT(B461,4))</f>
        <v>2024</v>
      </c>
      <c r="AG461" s="1" t="str">
        <f aca="false">CHOOSE(ROUNDUP(VALUE(MID(B461,4,2))/3,0),"Q1","Q2","Q3","Q4")</f>
        <v>Q4</v>
      </c>
    </row>
    <row r="462" customFormat="false" ht="15" hidden="false" customHeight="true" outlineLevel="0" collapsed="false">
      <c r="A462" s="1" t="s">
        <v>961</v>
      </c>
      <c r="B462" s="1" t="s">
        <v>962</v>
      </c>
      <c r="C462" s="1" t="s">
        <v>43</v>
      </c>
      <c r="D462" s="1" t="s">
        <v>94</v>
      </c>
      <c r="E462" s="1" t="s">
        <v>95</v>
      </c>
      <c r="F462" s="1" t="s">
        <v>963</v>
      </c>
      <c r="G462" s="1" t="s">
        <v>68</v>
      </c>
      <c r="H462" s="1" t="s">
        <v>57</v>
      </c>
      <c r="I462" s="1" t="s">
        <v>58</v>
      </c>
      <c r="J462" s="1" t="s">
        <v>131</v>
      </c>
      <c r="K462" s="1" t="s">
        <v>71</v>
      </c>
      <c r="L462" s="1" t="s">
        <v>37</v>
      </c>
      <c r="M462" s="1" t="s">
        <v>62</v>
      </c>
      <c r="N462" s="1" t="n">
        <v>6999</v>
      </c>
      <c r="O462" s="1" t="n">
        <v>50</v>
      </c>
      <c r="P462" s="1" t="n">
        <v>3499.5</v>
      </c>
      <c r="Q462" s="1" t="n">
        <v>3499.5</v>
      </c>
      <c r="R462" s="1" t="n">
        <v>629.91</v>
      </c>
      <c r="S462" s="1" t="n">
        <v>2869.59</v>
      </c>
      <c r="T462" s="1" t="n">
        <v>1412.07</v>
      </c>
      <c r="U462" s="1" t="n">
        <v>1457.52</v>
      </c>
      <c r="V462" s="1" t="n">
        <v>50.79</v>
      </c>
      <c r="W462" s="1" t="s">
        <v>39</v>
      </c>
      <c r="Y462" s="1" t="s">
        <v>40</v>
      </c>
      <c r="Z462" s="1" t="n">
        <v>0</v>
      </c>
      <c r="AA462" s="1" t="str">
        <f aca="false">TRIM(PROPER(F462))</f>
        <v>Surat</v>
      </c>
      <c r="AB462" s="1" t="str">
        <f aca="false">TRIM(PROPER(C462))</f>
        <v>Meritnation</v>
      </c>
      <c r="AC462" s="1" t="str">
        <f aca="false">IF(O462=0,"No Discount",IF(O462&lt;=15,"Low (1-15%)",IF(O462&lt;=30,"Medium (16-30%)","High (&gt;30%)")))</f>
        <v>High (&gt;30%)</v>
      </c>
      <c r="AD462" s="1" t="str">
        <f aca="false">IF(V462&lt;0,"Loss Making",IF(V462&lt;20,"Low Margin","Healthy Margin"))</f>
        <v>Healthy Margin</v>
      </c>
      <c r="AE462" s="1" t="str">
        <f aca="false">TEXT(DATE(VALUE(RIGHT(B462,4)),VALUE(MID(B462,4,2)),VALUE(LEFT(B462,2))),"MMM-YYYY")</f>
        <v>Oct-2023</v>
      </c>
      <c r="AF462" s="1" t="n">
        <f aca="false">VALUE(RIGHT(B462,4))</f>
        <v>2023</v>
      </c>
      <c r="AG462" s="1" t="str">
        <f aca="false">CHOOSE(ROUNDUP(VALUE(MID(B462,4,2))/3,0),"Q1","Q2","Q3","Q4")</f>
        <v>Q4</v>
      </c>
    </row>
    <row r="463" customFormat="false" ht="15" hidden="false" customHeight="true" outlineLevel="0" collapsed="false">
      <c r="A463" s="1" t="s">
        <v>964</v>
      </c>
      <c r="B463" s="1" t="s">
        <v>965</v>
      </c>
      <c r="C463" s="1" t="s">
        <v>128</v>
      </c>
      <c r="D463" s="1" t="s">
        <v>94</v>
      </c>
      <c r="E463" s="1" t="s">
        <v>101</v>
      </c>
      <c r="F463" s="1" t="s">
        <v>130</v>
      </c>
      <c r="G463" s="1" t="s">
        <v>47</v>
      </c>
      <c r="H463" s="1" t="s">
        <v>69</v>
      </c>
      <c r="I463" s="1" t="s">
        <v>83</v>
      </c>
      <c r="J463" s="1" t="s">
        <v>59</v>
      </c>
      <c r="K463" s="1" t="s">
        <v>60</v>
      </c>
      <c r="L463" s="1" t="s">
        <v>136</v>
      </c>
      <c r="M463" s="1" t="s">
        <v>50</v>
      </c>
      <c r="N463" s="1" t="n">
        <v>14999</v>
      </c>
      <c r="O463" s="1" t="n">
        <v>30</v>
      </c>
      <c r="P463" s="1" t="n">
        <v>4499.7</v>
      </c>
      <c r="Q463" s="1" t="n">
        <v>10499.3</v>
      </c>
      <c r="R463" s="1" t="n">
        <v>1889.87</v>
      </c>
      <c r="S463" s="1" t="n">
        <v>8609.43</v>
      </c>
      <c r="T463" s="1" t="n">
        <v>3150.46</v>
      </c>
      <c r="U463" s="1" t="n">
        <v>5458.97</v>
      </c>
      <c r="V463" s="1" t="n">
        <v>63.41</v>
      </c>
      <c r="W463" s="1" t="s">
        <v>40</v>
      </c>
      <c r="Y463" s="1" t="s">
        <v>39</v>
      </c>
      <c r="Z463" s="1" t="n">
        <v>0</v>
      </c>
      <c r="AA463" s="1" t="str">
        <f aca="false">TRIM(PROPER(F463))</f>
        <v>Bengaluru</v>
      </c>
      <c r="AB463" s="1" t="str">
        <f aca="false">TRIM(PROPER(C463))</f>
        <v>Great Learning</v>
      </c>
      <c r="AC463" s="1" t="str">
        <f aca="false">IF(O463=0,"No Discount",IF(O463&lt;=15,"Low (1-15%)",IF(O463&lt;=30,"Medium (16-30%)","High (&gt;30%)")))</f>
        <v>Medium (16-30%)</v>
      </c>
      <c r="AD463" s="1" t="str">
        <f aca="false">IF(V463&lt;0,"Loss Making",IF(V463&lt;20,"Low Margin","Healthy Margin"))</f>
        <v>Healthy Margin</v>
      </c>
      <c r="AE463" s="1" t="str">
        <f aca="false">TEXT(DATE(VALUE(RIGHT(B463,4)),VALUE(MID(B463,4,2)),VALUE(LEFT(B463,2))),"MMM-YYYY")</f>
        <v>Jan-2023</v>
      </c>
      <c r="AF463" s="1" t="n">
        <f aca="false">VALUE(RIGHT(B463,4))</f>
        <v>2023</v>
      </c>
      <c r="AG463" s="1" t="str">
        <f aca="false">CHOOSE(ROUNDUP(VALUE(MID(B463,4,2))/3,0),"Q1","Q2","Q3","Q4")</f>
        <v>Q1</v>
      </c>
    </row>
    <row r="464" customFormat="false" ht="15" hidden="false" customHeight="true" outlineLevel="0" collapsed="false">
      <c r="A464" s="1" t="s">
        <v>966</v>
      </c>
      <c r="B464" s="1" t="s">
        <v>115</v>
      </c>
      <c r="C464" s="1" t="s">
        <v>28</v>
      </c>
      <c r="D464" s="1" t="s">
        <v>53</v>
      </c>
      <c r="E464" s="1" t="s">
        <v>54</v>
      </c>
      <c r="F464" s="1" t="s">
        <v>194</v>
      </c>
      <c r="G464" s="1" t="s">
        <v>103</v>
      </c>
      <c r="H464" s="1" t="s">
        <v>69</v>
      </c>
      <c r="I464" s="1" t="s">
        <v>58</v>
      </c>
      <c r="J464" s="1" t="s">
        <v>131</v>
      </c>
      <c r="K464" s="1" t="s">
        <v>112</v>
      </c>
      <c r="L464" s="1" t="s">
        <v>49</v>
      </c>
      <c r="M464" s="1" t="s">
        <v>50</v>
      </c>
      <c r="N464" s="1" t="n">
        <v>11999</v>
      </c>
      <c r="O464" s="1" t="n">
        <v>10</v>
      </c>
      <c r="P464" s="1" t="n">
        <v>1199.9</v>
      </c>
      <c r="Q464" s="1" t="n">
        <v>10799.1</v>
      </c>
      <c r="R464" s="1" t="n">
        <v>1943.84</v>
      </c>
      <c r="S464" s="1" t="n">
        <v>8855.26</v>
      </c>
      <c r="T464" s="1" t="n">
        <v>3689.03</v>
      </c>
      <c r="U464" s="1" t="n">
        <v>5166.23</v>
      </c>
      <c r="V464" s="1" t="n">
        <v>58.34</v>
      </c>
      <c r="W464" s="1" t="s">
        <v>39</v>
      </c>
      <c r="X464" s="1" t="n">
        <v>3</v>
      </c>
      <c r="Y464" s="1" t="s">
        <v>40</v>
      </c>
      <c r="Z464" s="1" t="n">
        <v>0</v>
      </c>
      <c r="AA464" s="1" t="str">
        <f aca="false">TRIM(PROPER(F464))</f>
        <v>Hyderabad</v>
      </c>
      <c r="AB464" s="1" t="str">
        <f aca="false">TRIM(PROPER(C464))</f>
        <v>Embibe</v>
      </c>
      <c r="AC464" s="1" t="str">
        <f aca="false">IF(O464=0,"No Discount",IF(O464&lt;=15,"Low (1-15%)",IF(O464&lt;=30,"Medium (16-30%)","High (&gt;30%)")))</f>
        <v>Low (1-15%)</v>
      </c>
      <c r="AD464" s="1" t="str">
        <f aca="false">IF(V464&lt;0,"Loss Making",IF(V464&lt;20,"Low Margin","Healthy Margin"))</f>
        <v>Healthy Margin</v>
      </c>
      <c r="AE464" s="1" t="str">
        <f aca="false">TEXT(DATE(VALUE(RIGHT(B464,4)),VALUE(MID(B464,4,2)),VALUE(LEFT(B464,2))),"MMM-YYYY")</f>
        <v>Feb-2024</v>
      </c>
      <c r="AF464" s="1" t="n">
        <f aca="false">VALUE(RIGHT(B464,4))</f>
        <v>2024</v>
      </c>
      <c r="AG464" s="1" t="str">
        <f aca="false">CHOOSE(ROUNDUP(VALUE(MID(B464,4,2))/3,0),"Q1","Q2","Q3","Q4")</f>
        <v>Q1</v>
      </c>
    </row>
    <row r="465" customFormat="false" ht="15" hidden="false" customHeight="true" outlineLevel="0" collapsed="false">
      <c r="A465" s="1" t="s">
        <v>967</v>
      </c>
      <c r="B465" s="1" t="s">
        <v>968</v>
      </c>
      <c r="C465" s="1" t="s">
        <v>167</v>
      </c>
      <c r="D465" s="1" t="s">
        <v>123</v>
      </c>
      <c r="E465" s="1" t="s">
        <v>124</v>
      </c>
      <c r="F465" s="1" t="s">
        <v>89</v>
      </c>
      <c r="G465" s="1" t="s">
        <v>68</v>
      </c>
      <c r="H465" s="1" t="s">
        <v>33</v>
      </c>
      <c r="I465" s="1" t="s">
        <v>58</v>
      </c>
      <c r="J465" s="1" t="s">
        <v>77</v>
      </c>
      <c r="K465" s="1" t="s">
        <v>60</v>
      </c>
      <c r="L465" s="1" t="s">
        <v>136</v>
      </c>
      <c r="M465" s="1" t="s">
        <v>50</v>
      </c>
      <c r="N465" s="1" t="n">
        <v>4999</v>
      </c>
      <c r="O465" s="1" t="n">
        <v>20</v>
      </c>
      <c r="P465" s="1" t="n">
        <v>999.8</v>
      </c>
      <c r="Q465" s="1" t="n">
        <v>3999.2</v>
      </c>
      <c r="R465" s="1" t="n">
        <v>719.86</v>
      </c>
      <c r="S465" s="1" t="n">
        <v>3279.34</v>
      </c>
      <c r="T465" s="1" t="n">
        <v>1663.61</v>
      </c>
      <c r="U465" s="1" t="n">
        <v>1615.73</v>
      </c>
      <c r="V465" s="1" t="n">
        <v>49.27</v>
      </c>
      <c r="W465" s="1" t="s">
        <v>39</v>
      </c>
      <c r="X465" s="1" t="n">
        <v>4.5</v>
      </c>
      <c r="Y465" s="1" t="s">
        <v>40</v>
      </c>
      <c r="Z465" s="1" t="n">
        <v>0</v>
      </c>
      <c r="AA465" s="1" t="str">
        <f aca="false">TRIM(PROPER(F465))</f>
        <v>Vadodara</v>
      </c>
      <c r="AB465" s="1" t="str">
        <f aca="false">TRIM(PROPER(C465))</f>
        <v>Scaler</v>
      </c>
      <c r="AC465" s="1" t="str">
        <f aca="false">IF(O465=0,"No Discount",IF(O465&lt;=15,"Low (1-15%)",IF(O465&lt;=30,"Medium (16-30%)","High (&gt;30%)")))</f>
        <v>Medium (16-30%)</v>
      </c>
      <c r="AD465" s="1" t="str">
        <f aca="false">IF(V465&lt;0,"Loss Making",IF(V465&lt;20,"Low Margin","Healthy Margin"))</f>
        <v>Healthy Margin</v>
      </c>
      <c r="AE465" s="1" t="str">
        <f aca="false">TEXT(DATE(VALUE(RIGHT(B465,4)),VALUE(MID(B465,4,2)),VALUE(LEFT(B465,2))),"MMM-YYYY")</f>
        <v>Jun-2023</v>
      </c>
      <c r="AF465" s="1" t="n">
        <f aca="false">VALUE(RIGHT(B465,4))</f>
        <v>2023</v>
      </c>
      <c r="AG465" s="1" t="str">
        <f aca="false">CHOOSE(ROUNDUP(VALUE(MID(B465,4,2))/3,0),"Q1","Q2","Q3","Q4")</f>
        <v>Q2</v>
      </c>
    </row>
    <row r="466" customFormat="false" ht="15" hidden="false" customHeight="true" outlineLevel="0" collapsed="false">
      <c r="A466" s="1" t="s">
        <v>969</v>
      </c>
      <c r="B466" s="1" t="s">
        <v>970</v>
      </c>
      <c r="C466" s="1" t="s">
        <v>74</v>
      </c>
      <c r="D466" s="1" t="s">
        <v>80</v>
      </c>
      <c r="E466" s="1" t="s">
        <v>175</v>
      </c>
      <c r="F466" s="1" t="s">
        <v>82</v>
      </c>
      <c r="G466" s="1" t="s">
        <v>56</v>
      </c>
      <c r="H466" s="1" t="s">
        <v>69</v>
      </c>
      <c r="I466" s="1" t="s">
        <v>83</v>
      </c>
      <c r="J466" s="1" t="s">
        <v>35</v>
      </c>
      <c r="K466" s="1" t="s">
        <v>112</v>
      </c>
      <c r="L466" s="1" t="s">
        <v>113</v>
      </c>
      <c r="M466" s="1" t="s">
        <v>50</v>
      </c>
      <c r="N466" s="1" t="n">
        <v>19999</v>
      </c>
      <c r="O466" s="1" t="n">
        <v>15</v>
      </c>
      <c r="P466" s="1" t="n">
        <v>2999.85</v>
      </c>
      <c r="Q466" s="1" t="n">
        <v>16999.15</v>
      </c>
      <c r="R466" s="1" t="n">
        <v>3059.85</v>
      </c>
      <c r="S466" s="1" t="n">
        <v>13939.3</v>
      </c>
      <c r="T466" s="1" t="n">
        <v>7096.85</v>
      </c>
      <c r="U466" s="1" t="n">
        <v>6842.45</v>
      </c>
      <c r="V466" s="1" t="n">
        <v>49.09</v>
      </c>
      <c r="W466" s="1" t="s">
        <v>39</v>
      </c>
      <c r="X466" s="1" t="n">
        <v>3.7</v>
      </c>
      <c r="Y466" s="1" t="s">
        <v>40</v>
      </c>
      <c r="Z466" s="1" t="n">
        <v>1</v>
      </c>
      <c r="AA466" s="1" t="str">
        <f aca="false">TRIM(PROPER(F466))</f>
        <v>Gurugram</v>
      </c>
      <c r="AB466" s="1" t="str">
        <f aca="false">TRIM(PROPER(C466))</f>
        <v>Vedantu</v>
      </c>
      <c r="AC466" s="1" t="str">
        <f aca="false">IF(O466=0,"No Discount",IF(O466&lt;=15,"Low (1-15%)",IF(O466&lt;=30,"Medium (16-30%)","High (&gt;30%)")))</f>
        <v>Low (1-15%)</v>
      </c>
      <c r="AD466" s="1" t="str">
        <f aca="false">IF(V466&lt;0,"Loss Making",IF(V466&lt;20,"Low Margin","Healthy Margin"))</f>
        <v>Healthy Margin</v>
      </c>
      <c r="AE466" s="1" t="str">
        <f aca="false">TEXT(DATE(VALUE(RIGHT(B466,4)),VALUE(MID(B466,4,2)),VALUE(LEFT(B466,2))),"MMM-YYYY")</f>
        <v>Nov-2024</v>
      </c>
      <c r="AF466" s="1" t="n">
        <f aca="false">VALUE(RIGHT(B466,4))</f>
        <v>2024</v>
      </c>
      <c r="AG466" s="1" t="str">
        <f aca="false">CHOOSE(ROUNDUP(VALUE(MID(B466,4,2))/3,0),"Q1","Q2","Q3","Q4")</f>
        <v>Q4</v>
      </c>
    </row>
    <row r="467" customFormat="false" ht="15" hidden="false" customHeight="true" outlineLevel="0" collapsed="false">
      <c r="A467" s="1" t="s">
        <v>971</v>
      </c>
      <c r="B467" s="1" t="s">
        <v>735</v>
      </c>
      <c r="C467" s="1" t="s">
        <v>43</v>
      </c>
      <c r="D467" s="1" t="s">
        <v>123</v>
      </c>
      <c r="E467" s="1" t="s">
        <v>124</v>
      </c>
      <c r="F467" s="1" t="s">
        <v>130</v>
      </c>
      <c r="G467" s="1" t="s">
        <v>47</v>
      </c>
      <c r="H467" s="1" t="s">
        <v>69</v>
      </c>
      <c r="I467" s="1" t="s">
        <v>58</v>
      </c>
      <c r="J467" s="1" t="s">
        <v>70</v>
      </c>
      <c r="K467" s="1" t="s">
        <v>60</v>
      </c>
      <c r="L467" s="1" t="s">
        <v>37</v>
      </c>
      <c r="M467" s="1" t="s">
        <v>38</v>
      </c>
      <c r="N467" s="1" t="n">
        <v>4999</v>
      </c>
      <c r="O467" s="1" t="n">
        <v>10</v>
      </c>
      <c r="P467" s="1" t="n">
        <v>499.9</v>
      </c>
      <c r="Q467" s="1" t="n">
        <v>4499.1</v>
      </c>
      <c r="R467" s="1" t="n">
        <v>809.84</v>
      </c>
      <c r="S467" s="1" t="n">
        <v>3689.26</v>
      </c>
      <c r="T467" s="1" t="n">
        <v>1461.81</v>
      </c>
      <c r="U467" s="1" t="n">
        <v>2227.45</v>
      </c>
      <c r="V467" s="1" t="n">
        <v>60.38</v>
      </c>
      <c r="W467" s="1" t="s">
        <v>40</v>
      </c>
      <c r="Y467" s="1" t="s">
        <v>39</v>
      </c>
      <c r="Z467" s="1" t="n">
        <v>0</v>
      </c>
      <c r="AA467" s="1" t="str">
        <f aca="false">TRIM(PROPER(F467))</f>
        <v>Bengaluru</v>
      </c>
      <c r="AB467" s="1" t="str">
        <f aca="false">TRIM(PROPER(C467))</f>
        <v>Meritnation</v>
      </c>
      <c r="AC467" s="1" t="str">
        <f aca="false">IF(O467=0,"No Discount",IF(O467&lt;=15,"Low (1-15%)",IF(O467&lt;=30,"Medium (16-30%)","High (&gt;30%)")))</f>
        <v>Low (1-15%)</v>
      </c>
      <c r="AD467" s="1" t="str">
        <f aca="false">IF(V467&lt;0,"Loss Making",IF(V467&lt;20,"Low Margin","Healthy Margin"))</f>
        <v>Healthy Margin</v>
      </c>
      <c r="AE467" s="1" t="str">
        <f aca="false">TEXT(DATE(VALUE(RIGHT(B467,4)),VALUE(MID(B467,4,2)),VALUE(LEFT(B467,2))),"MMM-YYYY")</f>
        <v>Feb-2024</v>
      </c>
      <c r="AF467" s="1" t="n">
        <f aca="false">VALUE(RIGHT(B467,4))</f>
        <v>2024</v>
      </c>
      <c r="AG467" s="1" t="str">
        <f aca="false">CHOOSE(ROUNDUP(VALUE(MID(B467,4,2))/3,0),"Q1","Q2","Q3","Q4")</f>
        <v>Q1</v>
      </c>
    </row>
    <row r="468" customFormat="false" ht="15" hidden="false" customHeight="true" outlineLevel="0" collapsed="false">
      <c r="A468" s="1" t="s">
        <v>972</v>
      </c>
      <c r="B468" s="1" t="s">
        <v>915</v>
      </c>
      <c r="C468" s="1" t="s">
        <v>88</v>
      </c>
      <c r="D468" s="1" t="s">
        <v>143</v>
      </c>
      <c r="E468" s="1" t="s">
        <v>210</v>
      </c>
      <c r="F468" s="1" t="s">
        <v>150</v>
      </c>
      <c r="G468" s="1" t="s">
        <v>32</v>
      </c>
      <c r="H468" s="1" t="s">
        <v>57</v>
      </c>
      <c r="I468" s="1" t="s">
        <v>34</v>
      </c>
      <c r="J468" s="1" t="s">
        <v>35</v>
      </c>
      <c r="K468" s="1" t="s">
        <v>48</v>
      </c>
      <c r="L468" s="1" t="s">
        <v>37</v>
      </c>
      <c r="M468" s="1" t="s">
        <v>62</v>
      </c>
      <c r="N468" s="1" t="n">
        <v>18999</v>
      </c>
      <c r="O468" s="1" t="n">
        <v>50</v>
      </c>
      <c r="P468" s="1" t="n">
        <v>9499.5</v>
      </c>
      <c r="Q468" s="1" t="n">
        <v>9499.5</v>
      </c>
      <c r="R468" s="1" t="n">
        <v>1709.91</v>
      </c>
      <c r="S468" s="1" t="n">
        <v>7789.59</v>
      </c>
      <c r="T468" s="1" t="n">
        <v>3441.52</v>
      </c>
      <c r="U468" s="1" t="n">
        <v>4348.07</v>
      </c>
      <c r="V468" s="1" t="n">
        <v>55.82</v>
      </c>
      <c r="W468" s="1" t="s">
        <v>39</v>
      </c>
      <c r="X468" s="1" t="n">
        <v>3.5</v>
      </c>
      <c r="Y468" s="1" t="s">
        <v>40</v>
      </c>
      <c r="Z468" s="1" t="n">
        <v>0</v>
      </c>
      <c r="AA468" s="1" t="str">
        <f aca="false">TRIM(PROPER(F468))</f>
        <v>Jaipur</v>
      </c>
      <c r="AB468" s="1" t="str">
        <f aca="false">TRIM(PROPER(C468))</f>
        <v>Byju'S</v>
      </c>
      <c r="AC468" s="1" t="str">
        <f aca="false">IF(O468=0,"No Discount",IF(O468&lt;=15,"Low (1-15%)",IF(O468&lt;=30,"Medium (16-30%)","High (&gt;30%)")))</f>
        <v>High (&gt;30%)</v>
      </c>
      <c r="AD468" s="1" t="str">
        <f aca="false">IF(V468&lt;0,"Loss Making",IF(V468&lt;20,"Low Margin","Healthy Margin"))</f>
        <v>Healthy Margin</v>
      </c>
      <c r="AE468" s="1" t="str">
        <f aca="false">TEXT(DATE(VALUE(RIGHT(B468,4)),VALUE(MID(B468,4,2)),VALUE(LEFT(B468,2))),"MMM-YYYY")</f>
        <v>Jun-2023</v>
      </c>
      <c r="AF468" s="1" t="n">
        <f aca="false">VALUE(RIGHT(B468,4))</f>
        <v>2023</v>
      </c>
      <c r="AG468" s="1" t="str">
        <f aca="false">CHOOSE(ROUNDUP(VALUE(MID(B468,4,2))/3,0),"Q1","Q2","Q3","Q4")</f>
        <v>Q2</v>
      </c>
    </row>
    <row r="469" customFormat="false" ht="15" hidden="false" customHeight="true" outlineLevel="0" collapsed="false">
      <c r="A469" s="1" t="s">
        <v>973</v>
      </c>
      <c r="B469" s="1" t="s">
        <v>974</v>
      </c>
      <c r="C469" s="1" t="s">
        <v>128</v>
      </c>
      <c r="D469" s="1" t="s">
        <v>143</v>
      </c>
      <c r="E469" s="1" t="s">
        <v>144</v>
      </c>
      <c r="F469" s="1" t="s">
        <v>140</v>
      </c>
      <c r="G469" s="1" t="s">
        <v>97</v>
      </c>
      <c r="H469" s="1" t="s">
        <v>57</v>
      </c>
      <c r="I469" s="1" t="s">
        <v>58</v>
      </c>
      <c r="J469" s="1" t="s">
        <v>131</v>
      </c>
      <c r="K469" s="1" t="s">
        <v>112</v>
      </c>
      <c r="L469" s="1" t="s">
        <v>37</v>
      </c>
      <c r="M469" s="1" t="s">
        <v>62</v>
      </c>
      <c r="N469" s="1" t="n">
        <v>12999</v>
      </c>
      <c r="O469" s="1" t="n">
        <v>25</v>
      </c>
      <c r="P469" s="1" t="n">
        <v>3249.75</v>
      </c>
      <c r="Q469" s="1" t="n">
        <v>9749.25</v>
      </c>
      <c r="R469" s="1" t="n">
        <v>1754.87</v>
      </c>
      <c r="S469" s="1" t="n">
        <v>7994.38</v>
      </c>
      <c r="T469" s="1" t="n">
        <v>3951.85</v>
      </c>
      <c r="U469" s="1" t="n">
        <v>4042.53</v>
      </c>
      <c r="V469" s="1" t="n">
        <v>50.57</v>
      </c>
      <c r="W469" s="1" t="s">
        <v>39</v>
      </c>
      <c r="X469" s="1" t="n">
        <v>3.5</v>
      </c>
      <c r="Y469" s="1" t="s">
        <v>39</v>
      </c>
      <c r="Z469" s="1" t="n">
        <v>1</v>
      </c>
      <c r="AA469" s="1" t="str">
        <f aca="false">TRIM(PROPER(F469))</f>
        <v>Nashik</v>
      </c>
      <c r="AB469" s="1" t="str">
        <f aca="false">TRIM(PROPER(C469))</f>
        <v>Great Learning</v>
      </c>
      <c r="AC469" s="1" t="str">
        <f aca="false">IF(O469=0,"No Discount",IF(O469&lt;=15,"Low (1-15%)",IF(O469&lt;=30,"Medium (16-30%)","High (&gt;30%)")))</f>
        <v>Medium (16-30%)</v>
      </c>
      <c r="AD469" s="1" t="str">
        <f aca="false">IF(V469&lt;0,"Loss Making",IF(V469&lt;20,"Low Margin","Healthy Margin"))</f>
        <v>Healthy Margin</v>
      </c>
      <c r="AE469" s="1" t="str">
        <f aca="false">TEXT(DATE(VALUE(RIGHT(B469,4)),VALUE(MID(B469,4,2)),VALUE(LEFT(B469,2))),"MMM-YYYY")</f>
        <v>Feb-2023</v>
      </c>
      <c r="AF469" s="1" t="n">
        <f aca="false">VALUE(RIGHT(B469,4))</f>
        <v>2023</v>
      </c>
      <c r="AG469" s="1" t="str">
        <f aca="false">CHOOSE(ROUNDUP(VALUE(MID(B469,4,2))/3,0),"Q1","Q2","Q3","Q4")</f>
        <v>Q1</v>
      </c>
    </row>
    <row r="470" customFormat="false" ht="15" hidden="false" customHeight="true" outlineLevel="0" collapsed="false">
      <c r="A470" s="1" t="s">
        <v>975</v>
      </c>
      <c r="B470" s="1" t="s">
        <v>749</v>
      </c>
      <c r="C470" s="1" t="s">
        <v>128</v>
      </c>
      <c r="D470" s="1" t="s">
        <v>123</v>
      </c>
      <c r="E470" s="1" t="s">
        <v>147</v>
      </c>
      <c r="F470" s="1" t="s">
        <v>153</v>
      </c>
      <c r="G470" s="1" t="s">
        <v>76</v>
      </c>
      <c r="H470" s="1" t="s">
        <v>33</v>
      </c>
      <c r="I470" s="1" t="s">
        <v>34</v>
      </c>
      <c r="J470" s="1" t="s">
        <v>35</v>
      </c>
      <c r="K470" s="1" t="s">
        <v>36</v>
      </c>
      <c r="L470" s="1" t="s">
        <v>136</v>
      </c>
      <c r="M470" s="1" t="s">
        <v>38</v>
      </c>
      <c r="N470" s="1" t="n">
        <v>6999</v>
      </c>
      <c r="O470" s="1" t="n">
        <v>0</v>
      </c>
      <c r="P470" s="1" t="n">
        <v>0</v>
      </c>
      <c r="Q470" s="1" t="n">
        <v>6999</v>
      </c>
      <c r="R470" s="1" t="n">
        <v>1259.82</v>
      </c>
      <c r="S470" s="1" t="n">
        <v>5739.18</v>
      </c>
      <c r="T470" s="1" t="n">
        <v>2104.34</v>
      </c>
      <c r="U470" s="1" t="n">
        <v>3634.84</v>
      </c>
      <c r="V470" s="1" t="n">
        <v>63.33</v>
      </c>
      <c r="W470" s="1" t="s">
        <v>40</v>
      </c>
      <c r="Y470" s="1" t="s">
        <v>39</v>
      </c>
      <c r="Z470" s="1" t="n">
        <v>0</v>
      </c>
      <c r="AA470" s="1" t="str">
        <f aca="false">TRIM(PROPER(F470))</f>
        <v>Howrah</v>
      </c>
      <c r="AB470" s="1" t="str">
        <f aca="false">TRIM(PROPER(C470))</f>
        <v>Great Learning</v>
      </c>
      <c r="AC470" s="1" t="str">
        <f aca="false">IF(O470=0,"No Discount",IF(O470&lt;=15,"Low (1-15%)",IF(O470&lt;=30,"Medium (16-30%)","High (&gt;30%)")))</f>
        <v>No Discount</v>
      </c>
      <c r="AD470" s="1" t="str">
        <f aca="false">IF(V470&lt;0,"Loss Making",IF(V470&lt;20,"Low Margin","Healthy Margin"))</f>
        <v>Healthy Margin</v>
      </c>
      <c r="AE470" s="1" t="str">
        <f aca="false">TEXT(DATE(VALUE(RIGHT(B470,4)),VALUE(MID(B470,4,2)),VALUE(LEFT(B470,2))),"MMM-YYYY")</f>
        <v>Aug-2023</v>
      </c>
      <c r="AF470" s="1" t="n">
        <f aca="false">VALUE(RIGHT(B470,4))</f>
        <v>2023</v>
      </c>
      <c r="AG470" s="1" t="str">
        <f aca="false">CHOOSE(ROUNDUP(VALUE(MID(B470,4,2))/3,0),"Q1","Q2","Q3","Q4")</f>
        <v>Q3</v>
      </c>
    </row>
    <row r="471" customFormat="false" ht="15" hidden="false" customHeight="true" outlineLevel="0" collapsed="false">
      <c r="A471" s="1" t="s">
        <v>976</v>
      </c>
      <c r="B471" s="1" t="s">
        <v>533</v>
      </c>
      <c r="C471" s="1" t="s">
        <v>43</v>
      </c>
      <c r="D471" s="1" t="s">
        <v>53</v>
      </c>
      <c r="E471" s="1" t="s">
        <v>216</v>
      </c>
      <c r="F471" s="1" t="s">
        <v>205</v>
      </c>
      <c r="G471" s="1" t="s">
        <v>56</v>
      </c>
      <c r="H471" s="1" t="s">
        <v>69</v>
      </c>
      <c r="I471" s="1" t="s">
        <v>34</v>
      </c>
      <c r="J471" s="1" t="s">
        <v>59</v>
      </c>
      <c r="K471" s="1" t="s">
        <v>112</v>
      </c>
      <c r="L471" s="1" t="s">
        <v>61</v>
      </c>
      <c r="M471" s="1" t="s">
        <v>50</v>
      </c>
      <c r="N471" s="1" t="n">
        <v>7499</v>
      </c>
      <c r="O471" s="1" t="n">
        <v>0</v>
      </c>
      <c r="P471" s="1" t="n">
        <v>0</v>
      </c>
      <c r="Q471" s="1" t="n">
        <v>7499</v>
      </c>
      <c r="R471" s="1" t="n">
        <v>1349.82</v>
      </c>
      <c r="S471" s="1" t="n">
        <v>6149.18</v>
      </c>
      <c r="T471" s="1" t="n">
        <v>2431.42</v>
      </c>
      <c r="U471" s="1" t="n">
        <v>3717.76</v>
      </c>
      <c r="V471" s="1" t="n">
        <v>60.46</v>
      </c>
      <c r="W471" s="1" t="s">
        <v>39</v>
      </c>
      <c r="X471" s="1" t="n">
        <v>3.9</v>
      </c>
      <c r="Y471" s="1" t="s">
        <v>40</v>
      </c>
      <c r="Z471" s="1" t="n">
        <v>0</v>
      </c>
      <c r="AA471" s="1" t="str">
        <f aca="false">TRIM(PROPER(F471))</f>
        <v>New Delhi</v>
      </c>
      <c r="AB471" s="1" t="str">
        <f aca="false">TRIM(PROPER(C471))</f>
        <v>Meritnation</v>
      </c>
      <c r="AC471" s="1" t="str">
        <f aca="false">IF(O471=0,"No Discount",IF(O471&lt;=15,"Low (1-15%)",IF(O471&lt;=30,"Medium (16-30%)","High (&gt;30%)")))</f>
        <v>No Discount</v>
      </c>
      <c r="AD471" s="1" t="str">
        <f aca="false">IF(V471&lt;0,"Loss Making",IF(V471&lt;20,"Low Margin","Healthy Margin"))</f>
        <v>Healthy Margin</v>
      </c>
      <c r="AE471" s="1" t="str">
        <f aca="false">TEXT(DATE(VALUE(RIGHT(B471,4)),VALUE(MID(B471,4,2)),VALUE(LEFT(B471,2))),"MMM-YYYY")</f>
        <v>Feb-2024</v>
      </c>
      <c r="AF471" s="1" t="n">
        <f aca="false">VALUE(RIGHT(B471,4))</f>
        <v>2024</v>
      </c>
      <c r="AG471" s="1" t="str">
        <f aca="false">CHOOSE(ROUNDUP(VALUE(MID(B471,4,2))/3,0),"Q1","Q2","Q3","Q4")</f>
        <v>Q1</v>
      </c>
    </row>
    <row r="472" customFormat="false" ht="15" hidden="false" customHeight="true" outlineLevel="0" collapsed="false">
      <c r="A472" s="1" t="s">
        <v>977</v>
      </c>
      <c r="B472" s="1" t="s">
        <v>893</v>
      </c>
      <c r="C472" s="1" t="s">
        <v>139</v>
      </c>
      <c r="D472" s="1" t="s">
        <v>94</v>
      </c>
      <c r="E472" s="1" t="s">
        <v>135</v>
      </c>
      <c r="F472" s="1" t="s">
        <v>55</v>
      </c>
      <c r="G472" s="1" t="s">
        <v>56</v>
      </c>
      <c r="H472" s="1" t="s">
        <v>57</v>
      </c>
      <c r="I472" s="1" t="s">
        <v>34</v>
      </c>
      <c r="J472" s="1" t="s">
        <v>131</v>
      </c>
      <c r="K472" s="1" t="s">
        <v>104</v>
      </c>
      <c r="L472" s="1" t="s">
        <v>49</v>
      </c>
      <c r="M472" s="1" t="s">
        <v>38</v>
      </c>
      <c r="N472" s="1" t="n">
        <v>9999</v>
      </c>
      <c r="O472" s="1" t="n">
        <v>5</v>
      </c>
      <c r="P472" s="1" t="n">
        <v>499.95</v>
      </c>
      <c r="Q472" s="1" t="n">
        <v>9499.05</v>
      </c>
      <c r="R472" s="1" t="n">
        <v>1709.83</v>
      </c>
      <c r="S472" s="1" t="n">
        <v>7789.22</v>
      </c>
      <c r="T472" s="1" t="n">
        <v>3275.81</v>
      </c>
      <c r="U472" s="1" t="n">
        <v>4513.41</v>
      </c>
      <c r="V472" s="1" t="n">
        <v>57.94</v>
      </c>
      <c r="W472" s="1" t="s">
        <v>40</v>
      </c>
      <c r="Y472" s="1" t="s">
        <v>40</v>
      </c>
      <c r="Z472" s="1" t="n">
        <v>0</v>
      </c>
      <c r="AA472" s="1" t="str">
        <f aca="false">TRIM(PROPER(F472))</f>
        <v>Ghaziabad</v>
      </c>
      <c r="AB472" s="1" t="str">
        <f aca="false">TRIM(PROPER(C472))</f>
        <v>Extramarks</v>
      </c>
      <c r="AC472" s="1" t="str">
        <f aca="false">IF(O472=0,"No Discount",IF(O472&lt;=15,"Low (1-15%)",IF(O472&lt;=30,"Medium (16-30%)","High (&gt;30%)")))</f>
        <v>Low (1-15%)</v>
      </c>
      <c r="AD472" s="1" t="str">
        <f aca="false">IF(V472&lt;0,"Loss Making",IF(V472&lt;20,"Low Margin","Healthy Margin"))</f>
        <v>Healthy Margin</v>
      </c>
      <c r="AE472" s="1" t="str">
        <f aca="false">TEXT(DATE(VALUE(RIGHT(B472,4)),VALUE(MID(B472,4,2)),VALUE(LEFT(B472,2))),"MMM-YYYY")</f>
        <v>Jun-2024</v>
      </c>
      <c r="AF472" s="1" t="n">
        <f aca="false">VALUE(RIGHT(B472,4))</f>
        <v>2024</v>
      </c>
      <c r="AG472" s="1" t="str">
        <f aca="false">CHOOSE(ROUNDUP(VALUE(MID(B472,4,2))/3,0),"Q1","Q2","Q3","Q4")</f>
        <v>Q2</v>
      </c>
    </row>
    <row r="473" customFormat="false" ht="15" hidden="false" customHeight="true" outlineLevel="0" collapsed="false">
      <c r="A473" s="1" t="s">
        <v>978</v>
      </c>
      <c r="B473" s="1" t="s">
        <v>979</v>
      </c>
      <c r="C473" s="1" t="s">
        <v>134</v>
      </c>
      <c r="D473" s="1" t="s">
        <v>168</v>
      </c>
      <c r="E473" s="1" t="s">
        <v>197</v>
      </c>
      <c r="F473" s="1" t="s">
        <v>82</v>
      </c>
      <c r="G473" s="1" t="s">
        <v>56</v>
      </c>
      <c r="H473" s="1" t="s">
        <v>69</v>
      </c>
      <c r="I473" s="1" t="s">
        <v>83</v>
      </c>
      <c r="J473" s="1" t="s">
        <v>70</v>
      </c>
      <c r="K473" s="1" t="s">
        <v>48</v>
      </c>
      <c r="L473" s="1" t="s">
        <v>49</v>
      </c>
      <c r="M473" s="1" t="s">
        <v>50</v>
      </c>
      <c r="N473" s="1" t="n">
        <v>8499</v>
      </c>
      <c r="O473" s="1" t="n">
        <v>5</v>
      </c>
      <c r="P473" s="1" t="n">
        <v>424.95</v>
      </c>
      <c r="Q473" s="1" t="n">
        <v>8074.05</v>
      </c>
      <c r="R473" s="1" t="n">
        <v>1453.33</v>
      </c>
      <c r="S473" s="1" t="n">
        <v>6620.72</v>
      </c>
      <c r="T473" s="1" t="n">
        <v>2864.34</v>
      </c>
      <c r="U473" s="1" t="n">
        <v>3756.38</v>
      </c>
      <c r="V473" s="1" t="n">
        <v>56.74</v>
      </c>
      <c r="W473" s="1" t="s">
        <v>40</v>
      </c>
      <c r="Y473" s="1" t="s">
        <v>40</v>
      </c>
      <c r="Z473" s="1" t="n">
        <v>1</v>
      </c>
      <c r="AA473" s="1" t="str">
        <f aca="false">TRIM(PROPER(F473))</f>
        <v>Gurugram</v>
      </c>
      <c r="AB473" s="1" t="str">
        <f aca="false">TRIM(PROPER(C473))</f>
        <v>Doubtnut</v>
      </c>
      <c r="AC473" s="1" t="str">
        <f aca="false">IF(O473=0,"No Discount",IF(O473&lt;=15,"Low (1-15%)",IF(O473&lt;=30,"Medium (16-30%)","High (&gt;30%)")))</f>
        <v>Low (1-15%)</v>
      </c>
      <c r="AD473" s="1" t="str">
        <f aca="false">IF(V473&lt;0,"Loss Making",IF(V473&lt;20,"Low Margin","Healthy Margin"))</f>
        <v>Healthy Margin</v>
      </c>
      <c r="AE473" s="1" t="str">
        <f aca="false">TEXT(DATE(VALUE(RIGHT(B473,4)),VALUE(MID(B473,4,2)),VALUE(LEFT(B473,2))),"MMM-YYYY")</f>
        <v>Nov-2023</v>
      </c>
      <c r="AF473" s="1" t="n">
        <f aca="false">VALUE(RIGHT(B473,4))</f>
        <v>2023</v>
      </c>
      <c r="AG473" s="1" t="str">
        <f aca="false">CHOOSE(ROUNDUP(VALUE(MID(B473,4,2))/3,0),"Q1","Q2","Q3","Q4")</f>
        <v>Q4</v>
      </c>
    </row>
    <row r="474" customFormat="false" ht="15" hidden="false" customHeight="true" outlineLevel="0" collapsed="false">
      <c r="A474" s="1" t="s">
        <v>980</v>
      </c>
      <c r="B474" s="1" t="s">
        <v>981</v>
      </c>
      <c r="C474" s="1" t="s">
        <v>93</v>
      </c>
      <c r="D474" s="1" t="s">
        <v>53</v>
      </c>
      <c r="E474" s="1" t="s">
        <v>54</v>
      </c>
      <c r="F474" s="1" t="s">
        <v>383</v>
      </c>
      <c r="G474" s="1" t="s">
        <v>56</v>
      </c>
      <c r="H474" s="1" t="s">
        <v>57</v>
      </c>
      <c r="I474" s="1" t="s">
        <v>83</v>
      </c>
      <c r="J474" s="1" t="s">
        <v>70</v>
      </c>
      <c r="K474" s="1" t="s">
        <v>71</v>
      </c>
      <c r="L474" s="1" t="s">
        <v>61</v>
      </c>
      <c r="M474" s="1" t="s">
        <v>62</v>
      </c>
      <c r="N474" s="1" t="n">
        <v>11999</v>
      </c>
      <c r="O474" s="1" t="n">
        <v>10</v>
      </c>
      <c r="P474" s="1" t="n">
        <v>1199.9</v>
      </c>
      <c r="Q474" s="1" t="n">
        <v>10799.1</v>
      </c>
      <c r="R474" s="1" t="n">
        <v>1943.84</v>
      </c>
      <c r="S474" s="1" t="n">
        <v>8855.26</v>
      </c>
      <c r="T474" s="1" t="n">
        <v>4708.4</v>
      </c>
      <c r="U474" s="1" t="n">
        <v>4146.86</v>
      </c>
      <c r="V474" s="1" t="n">
        <v>46.83</v>
      </c>
      <c r="W474" s="1" t="s">
        <v>40</v>
      </c>
      <c r="Y474" s="1" t="s">
        <v>40</v>
      </c>
      <c r="Z474" s="1" t="n">
        <v>0</v>
      </c>
      <c r="AA474" s="1" t="str">
        <f aca="false">TRIM(PROPER(F474))</f>
        <v>Ghaziabad</v>
      </c>
      <c r="AB474" s="1" t="str">
        <f aca="false">TRIM(PROPER(C474))</f>
        <v>Upgrad</v>
      </c>
      <c r="AC474" s="1" t="str">
        <f aca="false">IF(O474=0,"No Discount",IF(O474&lt;=15,"Low (1-15%)",IF(O474&lt;=30,"Medium (16-30%)","High (&gt;30%)")))</f>
        <v>Low (1-15%)</v>
      </c>
      <c r="AD474" s="1" t="str">
        <f aca="false">IF(V474&lt;0,"Loss Making",IF(V474&lt;20,"Low Margin","Healthy Margin"))</f>
        <v>Healthy Margin</v>
      </c>
      <c r="AE474" s="1" t="str">
        <f aca="false">TEXT(DATE(VALUE(RIGHT(B474,4)),VALUE(MID(B474,4,2)),VALUE(LEFT(B474,2))),"MMM-YYYY")</f>
        <v>Jul-2024</v>
      </c>
      <c r="AF474" s="1" t="n">
        <f aca="false">VALUE(RIGHT(B474,4))</f>
        <v>2024</v>
      </c>
      <c r="AG474" s="1" t="str">
        <f aca="false">CHOOSE(ROUNDUP(VALUE(MID(B474,4,2))/3,0),"Q1","Q2","Q3","Q4")</f>
        <v>Q3</v>
      </c>
    </row>
    <row r="475" customFormat="false" ht="15" hidden="false" customHeight="true" outlineLevel="0" collapsed="false">
      <c r="A475" s="1" t="s">
        <v>982</v>
      </c>
      <c r="B475" s="1" t="s">
        <v>983</v>
      </c>
      <c r="C475" s="1" t="s">
        <v>65</v>
      </c>
      <c r="D475" s="1" t="s">
        <v>80</v>
      </c>
      <c r="E475" s="1" t="s">
        <v>190</v>
      </c>
      <c r="F475" s="1" t="s">
        <v>82</v>
      </c>
      <c r="G475" s="1" t="s">
        <v>56</v>
      </c>
      <c r="H475" s="1" t="s">
        <v>69</v>
      </c>
      <c r="I475" s="1" t="s">
        <v>83</v>
      </c>
      <c r="J475" s="1" t="s">
        <v>70</v>
      </c>
      <c r="K475" s="1" t="s">
        <v>71</v>
      </c>
      <c r="L475" s="1" t="s">
        <v>61</v>
      </c>
      <c r="M475" s="1" t="s">
        <v>50</v>
      </c>
      <c r="N475" s="1" t="n">
        <v>15999</v>
      </c>
      <c r="O475" s="1" t="n">
        <v>0</v>
      </c>
      <c r="P475" s="1" t="n">
        <v>0</v>
      </c>
      <c r="Q475" s="1" t="n">
        <v>15999</v>
      </c>
      <c r="R475" s="1" t="n">
        <v>2879.82</v>
      </c>
      <c r="S475" s="1" t="n">
        <v>13119.18</v>
      </c>
      <c r="T475" s="1" t="n">
        <v>4532.52</v>
      </c>
      <c r="U475" s="1" t="n">
        <v>8586.66</v>
      </c>
      <c r="V475" s="1" t="n">
        <v>65.45</v>
      </c>
      <c r="W475" s="1" t="s">
        <v>39</v>
      </c>
      <c r="X475" s="1" t="n">
        <v>4.8</v>
      </c>
      <c r="Y475" s="1" t="s">
        <v>40</v>
      </c>
      <c r="Z475" s="1" t="n">
        <v>0</v>
      </c>
      <c r="AA475" s="1" t="str">
        <f aca="false">TRIM(PROPER(F475))</f>
        <v>Gurugram</v>
      </c>
      <c r="AB475" s="1" t="str">
        <f aca="false">TRIM(PROPER(C475))</f>
        <v>Toppr</v>
      </c>
      <c r="AC475" s="1" t="str">
        <f aca="false">IF(O475=0,"No Discount",IF(O475&lt;=15,"Low (1-15%)",IF(O475&lt;=30,"Medium (16-30%)","High (&gt;30%)")))</f>
        <v>No Discount</v>
      </c>
      <c r="AD475" s="1" t="str">
        <f aca="false">IF(V475&lt;0,"Loss Making",IF(V475&lt;20,"Low Margin","Healthy Margin"))</f>
        <v>Healthy Margin</v>
      </c>
      <c r="AE475" s="1" t="str">
        <f aca="false">TEXT(DATE(VALUE(RIGHT(B475,4)),VALUE(MID(B475,4,2)),VALUE(LEFT(B475,2))),"MMM-YYYY")</f>
        <v>Jul-2023</v>
      </c>
      <c r="AF475" s="1" t="n">
        <f aca="false">VALUE(RIGHT(B475,4))</f>
        <v>2023</v>
      </c>
      <c r="AG475" s="1" t="str">
        <f aca="false">CHOOSE(ROUNDUP(VALUE(MID(B475,4,2))/3,0),"Q1","Q2","Q3","Q4")</f>
        <v>Q3</v>
      </c>
    </row>
    <row r="476" customFormat="false" ht="15" hidden="false" customHeight="true" outlineLevel="0" collapsed="false">
      <c r="A476" s="1" t="s">
        <v>984</v>
      </c>
      <c r="B476" s="1" t="s">
        <v>477</v>
      </c>
      <c r="C476" s="1" t="s">
        <v>119</v>
      </c>
      <c r="D476" s="1" t="s">
        <v>94</v>
      </c>
      <c r="E476" s="1" t="s">
        <v>135</v>
      </c>
      <c r="F476" s="1" t="s">
        <v>205</v>
      </c>
      <c r="G476" s="1" t="s">
        <v>56</v>
      </c>
      <c r="H476" s="1" t="s">
        <v>69</v>
      </c>
      <c r="I476" s="1" t="s">
        <v>83</v>
      </c>
      <c r="J476" s="1" t="s">
        <v>77</v>
      </c>
      <c r="K476" s="1" t="s">
        <v>36</v>
      </c>
      <c r="L476" s="1" t="s">
        <v>49</v>
      </c>
      <c r="M476" s="1" t="s">
        <v>50</v>
      </c>
      <c r="N476" s="1" t="n">
        <v>9999</v>
      </c>
      <c r="O476" s="1" t="n">
        <v>10</v>
      </c>
      <c r="P476" s="1" t="n">
        <v>999.9</v>
      </c>
      <c r="Q476" s="1" t="n">
        <v>8999.1</v>
      </c>
      <c r="R476" s="1" t="n">
        <v>1619.84</v>
      </c>
      <c r="S476" s="1" t="n">
        <v>7379.26</v>
      </c>
      <c r="T476" s="1" t="n">
        <v>2813</v>
      </c>
      <c r="U476" s="1" t="n">
        <v>4566.26</v>
      </c>
      <c r="V476" s="1" t="n">
        <v>61.88</v>
      </c>
      <c r="W476" s="1" t="s">
        <v>39</v>
      </c>
      <c r="X476" s="1" t="n">
        <v>4.1</v>
      </c>
      <c r="Y476" s="1" t="s">
        <v>40</v>
      </c>
      <c r="Z476" s="1" t="n">
        <v>0</v>
      </c>
      <c r="AA476" s="1" t="str">
        <f aca="false">TRIM(PROPER(F476))</f>
        <v>New Delhi</v>
      </c>
      <c r="AB476" s="1" t="str">
        <f aca="false">TRIM(PROPER(C476))</f>
        <v>Simplilearn</v>
      </c>
      <c r="AC476" s="1" t="str">
        <f aca="false">IF(O476=0,"No Discount",IF(O476&lt;=15,"Low (1-15%)",IF(O476&lt;=30,"Medium (16-30%)","High (&gt;30%)")))</f>
        <v>Low (1-15%)</v>
      </c>
      <c r="AD476" s="1" t="str">
        <f aca="false">IF(V476&lt;0,"Loss Making",IF(V476&lt;20,"Low Margin","Healthy Margin"))</f>
        <v>Healthy Margin</v>
      </c>
      <c r="AE476" s="1" t="str">
        <f aca="false">TEXT(DATE(VALUE(RIGHT(B476,4)),VALUE(MID(B476,4,2)),VALUE(LEFT(B476,2))),"MMM-YYYY")</f>
        <v>Jan-2024</v>
      </c>
      <c r="AF476" s="1" t="n">
        <f aca="false">VALUE(RIGHT(B476,4))</f>
        <v>2024</v>
      </c>
      <c r="AG476" s="1" t="str">
        <f aca="false">CHOOSE(ROUNDUP(VALUE(MID(B476,4,2))/3,0),"Q1","Q2","Q3","Q4")</f>
        <v>Q1</v>
      </c>
    </row>
    <row r="477" customFormat="false" ht="15" hidden="false" customHeight="true" outlineLevel="0" collapsed="false">
      <c r="A477" s="1" t="s">
        <v>985</v>
      </c>
      <c r="B477" s="1" t="s">
        <v>986</v>
      </c>
      <c r="C477" s="1" t="s">
        <v>65</v>
      </c>
      <c r="D477" s="1" t="s">
        <v>80</v>
      </c>
      <c r="E477" s="1" t="s">
        <v>193</v>
      </c>
      <c r="F477" s="1" t="s">
        <v>55</v>
      </c>
      <c r="G477" s="1" t="s">
        <v>56</v>
      </c>
      <c r="H477" s="1" t="s">
        <v>57</v>
      </c>
      <c r="I477" s="1" t="s">
        <v>58</v>
      </c>
      <c r="J477" s="1" t="s">
        <v>131</v>
      </c>
      <c r="K477" s="1" t="s">
        <v>104</v>
      </c>
      <c r="L477" s="1" t="s">
        <v>61</v>
      </c>
      <c r="M477" s="1" t="s">
        <v>38</v>
      </c>
      <c r="N477" s="1" t="n">
        <v>8999</v>
      </c>
      <c r="O477" s="1" t="n">
        <v>5</v>
      </c>
      <c r="P477" s="1" t="n">
        <v>449.95</v>
      </c>
      <c r="Q477" s="1" t="n">
        <v>8549.05</v>
      </c>
      <c r="R477" s="1" t="n">
        <v>1538.83</v>
      </c>
      <c r="S477" s="1" t="n">
        <v>7010.22</v>
      </c>
      <c r="T477" s="1" t="n">
        <v>2780.94</v>
      </c>
      <c r="U477" s="1" t="n">
        <v>4229.28</v>
      </c>
      <c r="V477" s="1" t="n">
        <v>60.33</v>
      </c>
      <c r="W477" s="1" t="s">
        <v>39</v>
      </c>
      <c r="Y477" s="1" t="s">
        <v>40</v>
      </c>
      <c r="Z477" s="1" t="n">
        <v>0</v>
      </c>
      <c r="AA477" s="1" t="str">
        <f aca="false">TRIM(PROPER(F477))</f>
        <v>Ghaziabad</v>
      </c>
      <c r="AB477" s="1" t="str">
        <f aca="false">TRIM(PROPER(C477))</f>
        <v>Toppr</v>
      </c>
      <c r="AC477" s="1" t="str">
        <f aca="false">IF(O477=0,"No Discount",IF(O477&lt;=15,"Low (1-15%)",IF(O477&lt;=30,"Medium (16-30%)","High (&gt;30%)")))</f>
        <v>Low (1-15%)</v>
      </c>
      <c r="AD477" s="1" t="str">
        <f aca="false">IF(V477&lt;0,"Loss Making",IF(V477&lt;20,"Low Margin","Healthy Margin"))</f>
        <v>Healthy Margin</v>
      </c>
      <c r="AE477" s="1" t="str">
        <f aca="false">TEXT(DATE(VALUE(RIGHT(B477,4)),VALUE(MID(B477,4,2)),VALUE(LEFT(B477,2))),"MMM-YYYY")</f>
        <v>Mar-2023</v>
      </c>
      <c r="AF477" s="1" t="n">
        <f aca="false">VALUE(RIGHT(B477,4))</f>
        <v>2023</v>
      </c>
      <c r="AG477" s="1" t="str">
        <f aca="false">CHOOSE(ROUNDUP(VALUE(MID(B477,4,2))/3,0),"Q1","Q2","Q3","Q4")</f>
        <v>Q1</v>
      </c>
    </row>
    <row r="478" customFormat="false" ht="15" hidden="false" customHeight="true" outlineLevel="0" collapsed="false">
      <c r="A478" s="1" t="s">
        <v>987</v>
      </c>
      <c r="B478" s="1" t="s">
        <v>988</v>
      </c>
      <c r="C478" s="1" t="s">
        <v>43</v>
      </c>
      <c r="D478" s="1" t="s">
        <v>168</v>
      </c>
      <c r="E478" s="1" t="s">
        <v>328</v>
      </c>
      <c r="F478" s="1" t="s">
        <v>89</v>
      </c>
      <c r="G478" s="1" t="s">
        <v>68</v>
      </c>
      <c r="H478" s="1" t="s">
        <v>33</v>
      </c>
      <c r="I478" s="1" t="s">
        <v>34</v>
      </c>
      <c r="J478" s="1" t="s">
        <v>59</v>
      </c>
      <c r="K478" s="1" t="s">
        <v>104</v>
      </c>
      <c r="L478" s="1" t="s">
        <v>85</v>
      </c>
      <c r="M478" s="1" t="s">
        <v>38</v>
      </c>
      <c r="N478" s="1" t="n">
        <v>8999</v>
      </c>
      <c r="O478" s="1" t="n">
        <v>15</v>
      </c>
      <c r="P478" s="1" t="n">
        <v>1349.85</v>
      </c>
      <c r="Q478" s="1" t="n">
        <v>7649.15</v>
      </c>
      <c r="R478" s="1" t="n">
        <v>1376.85</v>
      </c>
      <c r="S478" s="1" t="n">
        <v>6272.3</v>
      </c>
      <c r="T478" s="1" t="n">
        <v>3334.02</v>
      </c>
      <c r="U478" s="1" t="n">
        <v>2938.28</v>
      </c>
      <c r="V478" s="1" t="n">
        <v>46.85</v>
      </c>
      <c r="W478" s="1" t="s">
        <v>40</v>
      </c>
      <c r="Y478" s="1" t="s">
        <v>39</v>
      </c>
      <c r="Z478" s="1" t="n">
        <v>1</v>
      </c>
      <c r="AA478" s="1" t="str">
        <f aca="false">TRIM(PROPER(F478))</f>
        <v>Vadodara</v>
      </c>
      <c r="AB478" s="1" t="str">
        <f aca="false">TRIM(PROPER(C478))</f>
        <v>Meritnation</v>
      </c>
      <c r="AC478" s="1" t="str">
        <f aca="false">IF(O478=0,"No Discount",IF(O478&lt;=15,"Low (1-15%)",IF(O478&lt;=30,"Medium (16-30%)","High (&gt;30%)")))</f>
        <v>Low (1-15%)</v>
      </c>
      <c r="AD478" s="1" t="str">
        <f aca="false">IF(V478&lt;0,"Loss Making",IF(V478&lt;20,"Low Margin","Healthy Margin"))</f>
        <v>Healthy Margin</v>
      </c>
      <c r="AE478" s="1" t="str">
        <f aca="false">TEXT(DATE(VALUE(RIGHT(B478,4)),VALUE(MID(B478,4,2)),VALUE(LEFT(B478,2))),"MMM-YYYY")</f>
        <v>Dec-2024</v>
      </c>
      <c r="AF478" s="1" t="n">
        <f aca="false">VALUE(RIGHT(B478,4))</f>
        <v>2024</v>
      </c>
      <c r="AG478" s="1" t="str">
        <f aca="false">CHOOSE(ROUNDUP(VALUE(MID(B478,4,2))/3,0),"Q1","Q2","Q3","Q4")</f>
        <v>Q4</v>
      </c>
    </row>
    <row r="479" customFormat="false" ht="15" hidden="false" customHeight="true" outlineLevel="0" collapsed="false">
      <c r="A479" s="1" t="s">
        <v>989</v>
      </c>
      <c r="B479" s="1" t="s">
        <v>990</v>
      </c>
      <c r="C479" s="1" t="s">
        <v>65</v>
      </c>
      <c r="D479" s="1" t="s">
        <v>94</v>
      </c>
      <c r="E479" s="1" t="s">
        <v>95</v>
      </c>
      <c r="F479" s="1" t="s">
        <v>244</v>
      </c>
      <c r="G479" s="1" t="s">
        <v>97</v>
      </c>
      <c r="H479" s="1" t="s">
        <v>57</v>
      </c>
      <c r="I479" s="1" t="s">
        <v>83</v>
      </c>
      <c r="J479" s="1" t="s">
        <v>131</v>
      </c>
      <c r="K479" s="1" t="s">
        <v>90</v>
      </c>
      <c r="L479" s="1" t="s">
        <v>49</v>
      </c>
      <c r="M479" s="1" t="s">
        <v>50</v>
      </c>
      <c r="N479" s="1" t="n">
        <v>6999</v>
      </c>
      <c r="O479" s="1" t="n">
        <v>10</v>
      </c>
      <c r="P479" s="1" t="n">
        <v>699.9</v>
      </c>
      <c r="Q479" s="1" t="n">
        <v>6299.1</v>
      </c>
      <c r="R479" s="1" t="n">
        <v>1133.84</v>
      </c>
      <c r="S479" s="1" t="n">
        <v>5165.26</v>
      </c>
      <c r="T479" s="1" t="n">
        <v>2719.7</v>
      </c>
      <c r="U479" s="1" t="n">
        <v>2445.56</v>
      </c>
      <c r="V479" s="1" t="n">
        <v>47.35</v>
      </c>
      <c r="W479" s="1" t="s">
        <v>39</v>
      </c>
      <c r="X479" s="1" t="n">
        <v>3.6</v>
      </c>
      <c r="Y479" s="1" t="s">
        <v>40</v>
      </c>
      <c r="Z479" s="1" t="n">
        <v>0</v>
      </c>
      <c r="AA479" s="1" t="str">
        <f aca="false">TRIM(PROPER(F479))</f>
        <v>Nagpur</v>
      </c>
      <c r="AB479" s="1" t="str">
        <f aca="false">TRIM(PROPER(C479))</f>
        <v>Toppr</v>
      </c>
      <c r="AC479" s="1" t="str">
        <f aca="false">IF(O479=0,"No Discount",IF(O479&lt;=15,"Low (1-15%)",IF(O479&lt;=30,"Medium (16-30%)","High (&gt;30%)")))</f>
        <v>Low (1-15%)</v>
      </c>
      <c r="AD479" s="1" t="str">
        <f aca="false">IF(V479&lt;0,"Loss Making",IF(V479&lt;20,"Low Margin","Healthy Margin"))</f>
        <v>Healthy Margin</v>
      </c>
      <c r="AE479" s="1" t="str">
        <f aca="false">TEXT(DATE(VALUE(RIGHT(B479,4)),VALUE(MID(B479,4,2)),VALUE(LEFT(B479,2))),"MMM-YYYY")</f>
        <v>Dec-2024</v>
      </c>
      <c r="AF479" s="1" t="n">
        <f aca="false">VALUE(RIGHT(B479,4))</f>
        <v>2024</v>
      </c>
      <c r="AG479" s="1" t="str">
        <f aca="false">CHOOSE(ROUNDUP(VALUE(MID(B479,4,2))/3,0),"Q1","Q2","Q3","Q4")</f>
        <v>Q4</v>
      </c>
    </row>
    <row r="480" customFormat="false" ht="15" hidden="false" customHeight="true" outlineLevel="0" collapsed="false">
      <c r="A480" s="1" t="s">
        <v>991</v>
      </c>
      <c r="B480" s="1" t="s">
        <v>992</v>
      </c>
      <c r="C480" s="1" t="s">
        <v>74</v>
      </c>
      <c r="D480" s="1" t="s">
        <v>53</v>
      </c>
      <c r="E480" s="1" t="s">
        <v>116</v>
      </c>
      <c r="F480" s="1" t="s">
        <v>130</v>
      </c>
      <c r="G480" s="1" t="s">
        <v>47</v>
      </c>
      <c r="H480" s="1" t="s">
        <v>69</v>
      </c>
      <c r="I480" s="1" t="s">
        <v>83</v>
      </c>
      <c r="J480" s="1" t="s">
        <v>70</v>
      </c>
      <c r="K480" s="1" t="s">
        <v>90</v>
      </c>
      <c r="L480" s="1" t="s">
        <v>49</v>
      </c>
      <c r="M480" s="1" t="s">
        <v>38</v>
      </c>
      <c r="N480" s="1" t="n">
        <v>9999</v>
      </c>
      <c r="O480" s="1" t="n">
        <v>10</v>
      </c>
      <c r="P480" s="1" t="n">
        <v>999.9</v>
      </c>
      <c r="Q480" s="1" t="n">
        <v>8999.1</v>
      </c>
      <c r="R480" s="1" t="n">
        <v>1619.84</v>
      </c>
      <c r="S480" s="1" t="n">
        <v>7379.26</v>
      </c>
      <c r="T480" s="1" t="n">
        <v>2568.31</v>
      </c>
      <c r="U480" s="1" t="n">
        <v>4810.95</v>
      </c>
      <c r="V480" s="1" t="n">
        <v>65.2</v>
      </c>
      <c r="W480" s="1" t="s">
        <v>40</v>
      </c>
      <c r="Y480" s="1" t="s">
        <v>40</v>
      </c>
      <c r="Z480" s="1" t="n">
        <v>2</v>
      </c>
      <c r="AA480" s="1" t="str">
        <f aca="false">TRIM(PROPER(F480))</f>
        <v>Bengaluru</v>
      </c>
      <c r="AB480" s="1" t="str">
        <f aca="false">TRIM(PROPER(C480))</f>
        <v>Vedantu</v>
      </c>
      <c r="AC480" s="1" t="str">
        <f aca="false">IF(O480=0,"No Discount",IF(O480&lt;=15,"Low (1-15%)",IF(O480&lt;=30,"Medium (16-30%)","High (&gt;30%)")))</f>
        <v>Low (1-15%)</v>
      </c>
      <c r="AD480" s="1" t="str">
        <f aca="false">IF(V480&lt;0,"Loss Making",IF(V480&lt;20,"Low Margin","Healthy Margin"))</f>
        <v>Healthy Margin</v>
      </c>
      <c r="AE480" s="1" t="str">
        <f aca="false">TEXT(DATE(VALUE(RIGHT(B480,4)),VALUE(MID(B480,4,2)),VALUE(LEFT(B480,2))),"MMM-YYYY")</f>
        <v>May-2024</v>
      </c>
      <c r="AF480" s="1" t="n">
        <f aca="false">VALUE(RIGHT(B480,4))</f>
        <v>2024</v>
      </c>
      <c r="AG480" s="1" t="str">
        <f aca="false">CHOOSE(ROUNDUP(VALUE(MID(B480,4,2))/3,0),"Q1","Q2","Q3","Q4")</f>
        <v>Q2</v>
      </c>
    </row>
    <row r="481" customFormat="false" ht="15" hidden="false" customHeight="true" outlineLevel="0" collapsed="false">
      <c r="A481" s="1" t="s">
        <v>993</v>
      </c>
      <c r="B481" s="1" t="s">
        <v>994</v>
      </c>
      <c r="C481" s="1" t="s">
        <v>93</v>
      </c>
      <c r="D481" s="1" t="s">
        <v>168</v>
      </c>
      <c r="E481" s="1" t="s">
        <v>172</v>
      </c>
      <c r="F481" s="1" t="s">
        <v>211</v>
      </c>
      <c r="G481" s="1" t="s">
        <v>56</v>
      </c>
      <c r="H481" s="1" t="s">
        <v>69</v>
      </c>
      <c r="I481" s="1" t="s">
        <v>58</v>
      </c>
      <c r="J481" s="1" t="s">
        <v>35</v>
      </c>
      <c r="K481" s="1" t="s">
        <v>112</v>
      </c>
      <c r="L481" s="1" t="s">
        <v>136</v>
      </c>
      <c r="M481" s="1" t="s">
        <v>38</v>
      </c>
      <c r="N481" s="1" t="n">
        <v>6999</v>
      </c>
      <c r="O481" s="1" t="n">
        <v>50</v>
      </c>
      <c r="P481" s="1" t="n">
        <v>3499.5</v>
      </c>
      <c r="Q481" s="1" t="n">
        <v>3499.5</v>
      </c>
      <c r="R481" s="1" t="n">
        <v>629.91</v>
      </c>
      <c r="S481" s="1" t="n">
        <v>2869.59</v>
      </c>
      <c r="T481" s="1" t="n">
        <v>1410.06</v>
      </c>
      <c r="U481" s="1" t="n">
        <v>1459.53</v>
      </c>
      <c r="V481" s="1" t="n">
        <v>50.86</v>
      </c>
      <c r="W481" s="1" t="s">
        <v>39</v>
      </c>
      <c r="Y481" s="1" t="s">
        <v>40</v>
      </c>
      <c r="Z481" s="1" t="n">
        <v>1</v>
      </c>
      <c r="AA481" s="1" t="str">
        <f aca="false">TRIM(PROPER(F481))</f>
        <v>Noida</v>
      </c>
      <c r="AB481" s="1" t="str">
        <f aca="false">TRIM(PROPER(C481))</f>
        <v>Upgrad</v>
      </c>
      <c r="AC481" s="1" t="str">
        <f aca="false">IF(O481=0,"No Discount",IF(O481&lt;=15,"Low (1-15%)",IF(O481&lt;=30,"Medium (16-30%)","High (&gt;30%)")))</f>
        <v>High (&gt;30%)</v>
      </c>
      <c r="AD481" s="1" t="str">
        <f aca="false">IF(V481&lt;0,"Loss Making",IF(V481&lt;20,"Low Margin","Healthy Margin"))</f>
        <v>Healthy Margin</v>
      </c>
      <c r="AE481" s="1" t="str">
        <f aca="false">TEXT(DATE(VALUE(RIGHT(B481,4)),VALUE(MID(B481,4,2)),VALUE(LEFT(B481,2))),"MMM-YYYY")</f>
        <v>Oct-2023</v>
      </c>
      <c r="AF481" s="1" t="n">
        <f aca="false">VALUE(RIGHT(B481,4))</f>
        <v>2023</v>
      </c>
      <c r="AG481" s="1" t="str">
        <f aca="false">CHOOSE(ROUNDUP(VALUE(MID(B481,4,2))/3,0),"Q1","Q2","Q3","Q4")</f>
        <v>Q4</v>
      </c>
    </row>
    <row r="482" customFormat="false" ht="15" hidden="false" customHeight="true" outlineLevel="0" collapsed="false">
      <c r="A482" s="1" t="s">
        <v>995</v>
      </c>
      <c r="B482" s="1" t="s">
        <v>996</v>
      </c>
      <c r="C482" s="1" t="s">
        <v>28</v>
      </c>
      <c r="D482" s="1" t="s">
        <v>123</v>
      </c>
      <c r="E482" s="1" t="s">
        <v>124</v>
      </c>
      <c r="F482" s="1" t="s">
        <v>269</v>
      </c>
      <c r="G482" s="1" t="s">
        <v>108</v>
      </c>
      <c r="H482" s="1" t="s">
        <v>57</v>
      </c>
      <c r="I482" s="1" t="s">
        <v>83</v>
      </c>
      <c r="J482" s="1" t="s">
        <v>77</v>
      </c>
      <c r="K482" s="1" t="s">
        <v>36</v>
      </c>
      <c r="L482" s="1" t="s">
        <v>37</v>
      </c>
      <c r="M482" s="1" t="s">
        <v>50</v>
      </c>
      <c r="N482" s="1" t="n">
        <v>4999</v>
      </c>
      <c r="O482" s="1" t="n">
        <v>50</v>
      </c>
      <c r="P482" s="1" t="n">
        <v>2499.5</v>
      </c>
      <c r="Q482" s="1" t="n">
        <v>2499.5</v>
      </c>
      <c r="R482" s="1" t="n">
        <v>449.91</v>
      </c>
      <c r="S482" s="1" t="n">
        <v>2049.59</v>
      </c>
      <c r="T482" s="1" t="n">
        <v>1205.04</v>
      </c>
      <c r="U482" s="1" t="n">
        <v>844.55</v>
      </c>
      <c r="V482" s="1" t="n">
        <v>41.21</v>
      </c>
      <c r="W482" s="1" t="s">
        <v>40</v>
      </c>
      <c r="Y482" s="1" t="s">
        <v>40</v>
      </c>
      <c r="Z482" s="1" t="n">
        <v>0</v>
      </c>
      <c r="AA482" s="1" t="str">
        <f aca="false">TRIM(PROPER(F482))</f>
        <v>Coimbatore</v>
      </c>
      <c r="AB482" s="1" t="str">
        <f aca="false">TRIM(PROPER(C482))</f>
        <v>Embibe</v>
      </c>
      <c r="AC482" s="1" t="str">
        <f aca="false">IF(O482=0,"No Discount",IF(O482&lt;=15,"Low (1-15%)",IF(O482&lt;=30,"Medium (16-30%)","High (&gt;30%)")))</f>
        <v>High (&gt;30%)</v>
      </c>
      <c r="AD482" s="1" t="str">
        <f aca="false">IF(V482&lt;0,"Loss Making",IF(V482&lt;20,"Low Margin","Healthy Margin"))</f>
        <v>Healthy Margin</v>
      </c>
      <c r="AE482" s="1" t="str">
        <f aca="false">TEXT(DATE(VALUE(RIGHT(B482,4)),VALUE(MID(B482,4,2)),VALUE(LEFT(B482,2))),"MMM-YYYY")</f>
        <v>Mar-2024</v>
      </c>
      <c r="AF482" s="1" t="n">
        <f aca="false">VALUE(RIGHT(B482,4))</f>
        <v>2024</v>
      </c>
      <c r="AG482" s="1" t="str">
        <f aca="false">CHOOSE(ROUNDUP(VALUE(MID(B482,4,2))/3,0),"Q1","Q2","Q3","Q4")</f>
        <v>Q1</v>
      </c>
    </row>
    <row r="483" customFormat="false" ht="15" hidden="false" customHeight="true" outlineLevel="0" collapsed="false">
      <c r="A483" s="1" t="s">
        <v>997</v>
      </c>
      <c r="B483" s="1" t="s">
        <v>551</v>
      </c>
      <c r="C483" s="1" t="s">
        <v>65</v>
      </c>
      <c r="D483" s="1" t="s">
        <v>53</v>
      </c>
      <c r="E483" s="1" t="s">
        <v>116</v>
      </c>
      <c r="F483" s="1" t="s">
        <v>96</v>
      </c>
      <c r="G483" s="1" t="s">
        <v>97</v>
      </c>
      <c r="H483" s="1" t="s">
        <v>69</v>
      </c>
      <c r="I483" s="1" t="s">
        <v>58</v>
      </c>
      <c r="J483" s="1" t="s">
        <v>59</v>
      </c>
      <c r="K483" s="1" t="s">
        <v>71</v>
      </c>
      <c r="L483" s="1" t="s">
        <v>61</v>
      </c>
      <c r="M483" s="1" t="s">
        <v>62</v>
      </c>
      <c r="N483" s="1" t="n">
        <v>9999</v>
      </c>
      <c r="O483" s="1" t="n">
        <v>10</v>
      </c>
      <c r="P483" s="1" t="n">
        <v>999.9</v>
      </c>
      <c r="Q483" s="1" t="n">
        <v>8999.1</v>
      </c>
      <c r="R483" s="1" t="n">
        <v>1619.84</v>
      </c>
      <c r="S483" s="1" t="n">
        <v>7379.26</v>
      </c>
      <c r="T483" s="1" t="n">
        <v>2940.1</v>
      </c>
      <c r="U483" s="1" t="n">
        <v>4439.16</v>
      </c>
      <c r="V483" s="1" t="n">
        <v>60.16</v>
      </c>
      <c r="W483" s="1" t="s">
        <v>40</v>
      </c>
      <c r="Y483" s="1" t="s">
        <v>40</v>
      </c>
      <c r="Z483" s="1" t="n">
        <v>0</v>
      </c>
      <c r="AA483" s="1" t="str">
        <f aca="false">TRIM(PROPER(F483))</f>
        <v>Pune</v>
      </c>
      <c r="AB483" s="1" t="str">
        <f aca="false">TRIM(PROPER(C483))</f>
        <v>Toppr</v>
      </c>
      <c r="AC483" s="1" t="str">
        <f aca="false">IF(O483=0,"No Discount",IF(O483&lt;=15,"Low (1-15%)",IF(O483&lt;=30,"Medium (16-30%)","High (&gt;30%)")))</f>
        <v>Low (1-15%)</v>
      </c>
      <c r="AD483" s="1" t="str">
        <f aca="false">IF(V483&lt;0,"Loss Making",IF(V483&lt;20,"Low Margin","Healthy Margin"))</f>
        <v>Healthy Margin</v>
      </c>
      <c r="AE483" s="1" t="str">
        <f aca="false">TEXT(DATE(VALUE(RIGHT(B483,4)),VALUE(MID(B483,4,2)),VALUE(LEFT(B483,2))),"MMM-YYYY")</f>
        <v>Jul-2023</v>
      </c>
      <c r="AF483" s="1" t="n">
        <f aca="false">VALUE(RIGHT(B483,4))</f>
        <v>2023</v>
      </c>
      <c r="AG483" s="1" t="str">
        <f aca="false">CHOOSE(ROUNDUP(VALUE(MID(B483,4,2))/3,0),"Q1","Q2","Q3","Q4")</f>
        <v>Q3</v>
      </c>
    </row>
    <row r="484" customFormat="false" ht="15" hidden="false" customHeight="true" outlineLevel="0" collapsed="false">
      <c r="A484" s="1" t="s">
        <v>998</v>
      </c>
      <c r="B484" s="1" t="s">
        <v>999</v>
      </c>
      <c r="C484" s="1" t="s">
        <v>74</v>
      </c>
      <c r="D484" s="1" t="s">
        <v>29</v>
      </c>
      <c r="E484" s="1" t="s">
        <v>305</v>
      </c>
      <c r="F484" s="1" t="s">
        <v>96</v>
      </c>
      <c r="G484" s="1" t="s">
        <v>97</v>
      </c>
      <c r="H484" s="1" t="s">
        <v>69</v>
      </c>
      <c r="I484" s="1" t="s">
        <v>83</v>
      </c>
      <c r="J484" s="1" t="s">
        <v>77</v>
      </c>
      <c r="K484" s="1" t="s">
        <v>60</v>
      </c>
      <c r="L484" s="1" t="s">
        <v>61</v>
      </c>
      <c r="M484" s="1" t="s">
        <v>38</v>
      </c>
      <c r="N484" s="1" t="n">
        <v>24999</v>
      </c>
      <c r="O484" s="1" t="n">
        <v>10</v>
      </c>
      <c r="P484" s="1" t="n">
        <v>2499.9</v>
      </c>
      <c r="Q484" s="1" t="n">
        <v>22499.1</v>
      </c>
      <c r="R484" s="1" t="n">
        <v>4049.84</v>
      </c>
      <c r="S484" s="1" t="n">
        <v>18449.26</v>
      </c>
      <c r="T484" s="1" t="n">
        <v>6659.27</v>
      </c>
      <c r="U484" s="1" t="n">
        <v>11789.99</v>
      </c>
      <c r="V484" s="1" t="n">
        <v>63.9</v>
      </c>
      <c r="W484" s="1" t="s">
        <v>39</v>
      </c>
      <c r="X484" s="1" t="n">
        <v>3.9</v>
      </c>
      <c r="Y484" s="1" t="s">
        <v>40</v>
      </c>
      <c r="Z484" s="1" t="n">
        <v>0</v>
      </c>
      <c r="AA484" s="1" t="str">
        <f aca="false">TRIM(PROPER(F484))</f>
        <v>Pune</v>
      </c>
      <c r="AB484" s="1" t="str">
        <f aca="false">TRIM(PROPER(C484))</f>
        <v>Vedantu</v>
      </c>
      <c r="AC484" s="1" t="str">
        <f aca="false">IF(O484=0,"No Discount",IF(O484&lt;=15,"Low (1-15%)",IF(O484&lt;=30,"Medium (16-30%)","High (&gt;30%)")))</f>
        <v>Low (1-15%)</v>
      </c>
      <c r="AD484" s="1" t="str">
        <f aca="false">IF(V484&lt;0,"Loss Making",IF(V484&lt;20,"Low Margin","Healthy Margin"))</f>
        <v>Healthy Margin</v>
      </c>
      <c r="AE484" s="1" t="str">
        <f aca="false">TEXT(DATE(VALUE(RIGHT(B484,4)),VALUE(MID(B484,4,2)),VALUE(LEFT(B484,2))),"MMM-YYYY")</f>
        <v>Mar-2023</v>
      </c>
      <c r="AF484" s="1" t="n">
        <f aca="false">VALUE(RIGHT(B484,4))</f>
        <v>2023</v>
      </c>
      <c r="AG484" s="1" t="str">
        <f aca="false">CHOOSE(ROUNDUP(VALUE(MID(B484,4,2))/3,0),"Q1","Q2","Q3","Q4")</f>
        <v>Q1</v>
      </c>
    </row>
    <row r="485" customFormat="false" ht="15" hidden="false" customHeight="true" outlineLevel="0" collapsed="false">
      <c r="A485" s="1" t="s">
        <v>1000</v>
      </c>
      <c r="B485" s="1" t="s">
        <v>870</v>
      </c>
      <c r="C485" s="1" t="s">
        <v>178</v>
      </c>
      <c r="D485" s="1" t="s">
        <v>123</v>
      </c>
      <c r="E485" s="1" t="s">
        <v>233</v>
      </c>
      <c r="F485" s="1" t="s">
        <v>120</v>
      </c>
      <c r="G485" s="1" t="s">
        <v>47</v>
      </c>
      <c r="H485" s="1" t="s">
        <v>57</v>
      </c>
      <c r="I485" s="1" t="s">
        <v>83</v>
      </c>
      <c r="J485" s="1" t="s">
        <v>77</v>
      </c>
      <c r="K485" s="1" t="s">
        <v>112</v>
      </c>
      <c r="L485" s="1" t="s">
        <v>136</v>
      </c>
      <c r="M485" s="1" t="s">
        <v>50</v>
      </c>
      <c r="N485" s="1" t="n">
        <v>8999</v>
      </c>
      <c r="O485" s="1" t="n">
        <v>0</v>
      </c>
      <c r="P485" s="1" t="n">
        <v>0</v>
      </c>
      <c r="Q485" s="1" t="n">
        <v>8999</v>
      </c>
      <c r="R485" s="1" t="n">
        <v>1619.82</v>
      </c>
      <c r="S485" s="1" t="n">
        <v>7379.18</v>
      </c>
      <c r="T485" s="1" t="n">
        <v>2928.68</v>
      </c>
      <c r="U485" s="1" t="n">
        <v>4450.5</v>
      </c>
      <c r="V485" s="1" t="n">
        <v>60.31</v>
      </c>
      <c r="W485" s="1" t="s">
        <v>40</v>
      </c>
      <c r="Y485" s="1" t="s">
        <v>40</v>
      </c>
      <c r="Z485" s="1" t="n">
        <v>1</v>
      </c>
      <c r="AA485" s="1" t="str">
        <f aca="false">TRIM(PROPER(F485))</f>
        <v>Mysuru</v>
      </c>
      <c r="AB485" s="1" t="str">
        <f aca="false">TRIM(PROPER(C485))</f>
        <v>Leverage Edu</v>
      </c>
      <c r="AC485" s="1" t="str">
        <f aca="false">IF(O485=0,"No Discount",IF(O485&lt;=15,"Low (1-15%)",IF(O485&lt;=30,"Medium (16-30%)","High (&gt;30%)")))</f>
        <v>No Discount</v>
      </c>
      <c r="AD485" s="1" t="str">
        <f aca="false">IF(V485&lt;0,"Loss Making",IF(V485&lt;20,"Low Margin","Healthy Margin"))</f>
        <v>Healthy Margin</v>
      </c>
      <c r="AE485" s="1" t="str">
        <f aca="false">TEXT(DATE(VALUE(RIGHT(B485,4)),VALUE(MID(B485,4,2)),VALUE(LEFT(B485,2))),"MMM-YYYY")</f>
        <v>Nov-2024</v>
      </c>
      <c r="AF485" s="1" t="n">
        <f aca="false">VALUE(RIGHT(B485,4))</f>
        <v>2024</v>
      </c>
      <c r="AG485" s="1" t="str">
        <f aca="false">CHOOSE(ROUNDUP(VALUE(MID(B485,4,2))/3,0),"Q1","Q2","Q3","Q4")</f>
        <v>Q4</v>
      </c>
    </row>
    <row r="486" customFormat="false" ht="15" hidden="false" customHeight="true" outlineLevel="0" collapsed="false">
      <c r="A486" s="1" t="s">
        <v>1001</v>
      </c>
      <c r="B486" s="1" t="s">
        <v>1002</v>
      </c>
      <c r="C486" s="1" t="s">
        <v>100</v>
      </c>
      <c r="D486" s="1" t="s">
        <v>94</v>
      </c>
      <c r="E486" s="1" t="s">
        <v>95</v>
      </c>
      <c r="F486" s="1" t="s">
        <v>55</v>
      </c>
      <c r="G486" s="1" t="s">
        <v>56</v>
      </c>
      <c r="H486" s="1" t="s">
        <v>57</v>
      </c>
      <c r="I486" s="1" t="s">
        <v>58</v>
      </c>
      <c r="J486" s="1" t="s">
        <v>59</v>
      </c>
      <c r="K486" s="1" t="s">
        <v>104</v>
      </c>
      <c r="L486" s="1" t="s">
        <v>136</v>
      </c>
      <c r="M486" s="1" t="s">
        <v>38</v>
      </c>
      <c r="N486" s="1" t="n">
        <v>6999</v>
      </c>
      <c r="O486" s="1" t="n">
        <v>5</v>
      </c>
      <c r="P486" s="1" t="n">
        <v>349.95</v>
      </c>
      <c r="Q486" s="1" t="n">
        <v>6649.05</v>
      </c>
      <c r="R486" s="1" t="n">
        <v>1196.83</v>
      </c>
      <c r="S486" s="1" t="n">
        <v>5452.22</v>
      </c>
      <c r="T486" s="1" t="n">
        <v>2631.92</v>
      </c>
      <c r="U486" s="1" t="n">
        <v>2820.3</v>
      </c>
      <c r="V486" s="1" t="n">
        <v>51.73</v>
      </c>
      <c r="W486" s="1" t="s">
        <v>40</v>
      </c>
      <c r="Y486" s="1" t="s">
        <v>40</v>
      </c>
      <c r="Z486" s="1" t="n">
        <v>0</v>
      </c>
      <c r="AA486" s="1" t="str">
        <f aca="false">TRIM(PROPER(F486))</f>
        <v>Ghaziabad</v>
      </c>
      <c r="AB486" s="1" t="str">
        <f aca="false">TRIM(PROPER(C486))</f>
        <v>Physics Wallah</v>
      </c>
      <c r="AC486" s="1" t="str">
        <f aca="false">IF(O486=0,"No Discount",IF(O486&lt;=15,"Low (1-15%)",IF(O486&lt;=30,"Medium (16-30%)","High (&gt;30%)")))</f>
        <v>Low (1-15%)</v>
      </c>
      <c r="AD486" s="1" t="str">
        <f aca="false">IF(V486&lt;0,"Loss Making",IF(V486&lt;20,"Low Margin","Healthy Margin"))</f>
        <v>Healthy Margin</v>
      </c>
      <c r="AE486" s="1" t="str">
        <f aca="false">TEXT(DATE(VALUE(RIGHT(B486,4)),VALUE(MID(B486,4,2)),VALUE(LEFT(B486,2))),"MMM-YYYY")</f>
        <v>Oct-2024</v>
      </c>
      <c r="AF486" s="1" t="n">
        <f aca="false">VALUE(RIGHT(B486,4))</f>
        <v>2024</v>
      </c>
      <c r="AG486" s="1" t="str">
        <f aca="false">CHOOSE(ROUNDUP(VALUE(MID(B486,4,2))/3,0),"Q1","Q2","Q3","Q4")</f>
        <v>Q4</v>
      </c>
    </row>
    <row r="487" customFormat="false" ht="15" hidden="false" customHeight="true" outlineLevel="0" collapsed="false">
      <c r="A487" s="1" t="s">
        <v>1003</v>
      </c>
      <c r="B487" s="1" t="s">
        <v>1004</v>
      </c>
      <c r="C487" s="1" t="s">
        <v>74</v>
      </c>
      <c r="D487" s="1" t="s">
        <v>44</v>
      </c>
      <c r="E487" s="1" t="s">
        <v>45</v>
      </c>
      <c r="F487" s="1" t="s">
        <v>31</v>
      </c>
      <c r="G487" s="1" t="s">
        <v>32</v>
      </c>
      <c r="H487" s="1" t="s">
        <v>33</v>
      </c>
      <c r="I487" s="1" t="s">
        <v>83</v>
      </c>
      <c r="J487" s="1" t="s">
        <v>59</v>
      </c>
      <c r="K487" s="1" t="s">
        <v>36</v>
      </c>
      <c r="L487" s="1" t="s">
        <v>37</v>
      </c>
      <c r="M487" s="1" t="s">
        <v>62</v>
      </c>
      <c r="N487" s="1" t="n">
        <v>11999</v>
      </c>
      <c r="O487" s="1" t="n">
        <v>0</v>
      </c>
      <c r="P487" s="1" t="n">
        <v>0</v>
      </c>
      <c r="Q487" s="1" t="n">
        <v>11999</v>
      </c>
      <c r="R487" s="1" t="n">
        <v>2159.82</v>
      </c>
      <c r="S487" s="1" t="n">
        <v>9839.18</v>
      </c>
      <c r="T487" s="1" t="n">
        <v>3620.69</v>
      </c>
      <c r="U487" s="1" t="n">
        <v>6218.49</v>
      </c>
      <c r="V487" s="1" t="n">
        <v>63.2</v>
      </c>
      <c r="W487" s="1" t="s">
        <v>39</v>
      </c>
      <c r="X487" s="1" t="n">
        <v>3.6</v>
      </c>
      <c r="Y487" s="1" t="s">
        <v>40</v>
      </c>
      <c r="Z487" s="1" t="n">
        <v>0</v>
      </c>
      <c r="AA487" s="1" t="str">
        <f aca="false">TRIM(PROPER(F487))</f>
        <v>Jodhpur</v>
      </c>
      <c r="AB487" s="1" t="str">
        <f aca="false">TRIM(PROPER(C487))</f>
        <v>Vedantu</v>
      </c>
      <c r="AC487" s="1" t="str">
        <f aca="false">IF(O487=0,"No Discount",IF(O487&lt;=15,"Low (1-15%)",IF(O487&lt;=30,"Medium (16-30%)","High (&gt;30%)")))</f>
        <v>No Discount</v>
      </c>
      <c r="AD487" s="1" t="str">
        <f aca="false">IF(V487&lt;0,"Loss Making",IF(V487&lt;20,"Low Margin","Healthy Margin"))</f>
        <v>Healthy Margin</v>
      </c>
      <c r="AE487" s="1" t="str">
        <f aca="false">TEXT(DATE(VALUE(RIGHT(B487,4)),VALUE(MID(B487,4,2)),VALUE(LEFT(B487,2))),"MMM-YYYY")</f>
        <v>Aug-2024</v>
      </c>
      <c r="AF487" s="1" t="n">
        <f aca="false">VALUE(RIGHT(B487,4))</f>
        <v>2024</v>
      </c>
      <c r="AG487" s="1" t="str">
        <f aca="false">CHOOSE(ROUNDUP(VALUE(MID(B487,4,2))/3,0),"Q1","Q2","Q3","Q4")</f>
        <v>Q3</v>
      </c>
    </row>
    <row r="488" customFormat="false" ht="15" hidden="false" customHeight="true" outlineLevel="0" collapsed="false">
      <c r="A488" s="1" t="s">
        <v>1005</v>
      </c>
      <c r="B488" s="1" t="s">
        <v>421</v>
      </c>
      <c r="C488" s="1" t="s">
        <v>88</v>
      </c>
      <c r="D488" s="1" t="s">
        <v>143</v>
      </c>
      <c r="E488" s="1" t="s">
        <v>159</v>
      </c>
      <c r="F488" s="1" t="s">
        <v>153</v>
      </c>
      <c r="G488" s="1" t="s">
        <v>76</v>
      </c>
      <c r="H488" s="1" t="s">
        <v>33</v>
      </c>
      <c r="I488" s="1" t="s">
        <v>58</v>
      </c>
      <c r="J488" s="1" t="s">
        <v>70</v>
      </c>
      <c r="K488" s="1" t="s">
        <v>71</v>
      </c>
      <c r="L488" s="1" t="s">
        <v>113</v>
      </c>
      <c r="M488" s="1" t="s">
        <v>38</v>
      </c>
      <c r="N488" s="1" t="n">
        <v>24999</v>
      </c>
      <c r="O488" s="1" t="n">
        <v>0</v>
      </c>
      <c r="P488" s="1" t="n">
        <v>0</v>
      </c>
      <c r="Q488" s="1" t="n">
        <v>24999</v>
      </c>
      <c r="R488" s="1" t="n">
        <v>4499.82</v>
      </c>
      <c r="S488" s="1" t="n">
        <v>20499.18</v>
      </c>
      <c r="T488" s="1" t="n">
        <v>9015.06</v>
      </c>
      <c r="U488" s="1" t="n">
        <v>11484.12</v>
      </c>
      <c r="V488" s="1" t="n">
        <v>56.02</v>
      </c>
      <c r="W488" s="1" t="s">
        <v>39</v>
      </c>
      <c r="X488" s="1" t="n">
        <v>4.3</v>
      </c>
      <c r="Y488" s="1" t="s">
        <v>40</v>
      </c>
      <c r="Z488" s="1" t="n">
        <v>0</v>
      </c>
      <c r="AA488" s="1" t="str">
        <f aca="false">TRIM(PROPER(F488))</f>
        <v>Howrah</v>
      </c>
      <c r="AB488" s="1" t="str">
        <f aca="false">TRIM(PROPER(C488))</f>
        <v>Byju'S</v>
      </c>
      <c r="AC488" s="1" t="str">
        <f aca="false">IF(O488=0,"No Discount",IF(O488&lt;=15,"Low (1-15%)",IF(O488&lt;=30,"Medium (16-30%)","High (&gt;30%)")))</f>
        <v>No Discount</v>
      </c>
      <c r="AD488" s="1" t="str">
        <f aca="false">IF(V488&lt;0,"Loss Making",IF(V488&lt;20,"Low Margin","Healthy Margin"))</f>
        <v>Healthy Margin</v>
      </c>
      <c r="AE488" s="1" t="str">
        <f aca="false">TEXT(DATE(VALUE(RIGHT(B488,4)),VALUE(MID(B488,4,2)),VALUE(LEFT(B488,2))),"MMM-YYYY")</f>
        <v>Apr-2024</v>
      </c>
      <c r="AF488" s="1" t="n">
        <f aca="false">VALUE(RIGHT(B488,4))</f>
        <v>2024</v>
      </c>
      <c r="AG488" s="1" t="str">
        <f aca="false">CHOOSE(ROUNDUP(VALUE(MID(B488,4,2))/3,0),"Q1","Q2","Q3","Q4")</f>
        <v>Q2</v>
      </c>
    </row>
    <row r="489" customFormat="false" ht="15" hidden="false" customHeight="true" outlineLevel="0" collapsed="false">
      <c r="A489" s="1" t="s">
        <v>1006</v>
      </c>
      <c r="B489" s="1" t="s">
        <v>776</v>
      </c>
      <c r="C489" s="1" t="s">
        <v>516</v>
      </c>
      <c r="D489" s="1" t="s">
        <v>94</v>
      </c>
      <c r="E489" s="1" t="s">
        <v>95</v>
      </c>
      <c r="F489" s="1" t="s">
        <v>244</v>
      </c>
      <c r="G489" s="1" t="s">
        <v>97</v>
      </c>
      <c r="H489" s="1" t="s">
        <v>57</v>
      </c>
      <c r="I489" s="1" t="s">
        <v>58</v>
      </c>
      <c r="J489" s="1" t="s">
        <v>77</v>
      </c>
      <c r="K489" s="1" t="s">
        <v>104</v>
      </c>
      <c r="L489" s="1" t="s">
        <v>113</v>
      </c>
      <c r="M489" s="1" t="s">
        <v>62</v>
      </c>
      <c r="N489" s="1" t="n">
        <v>6999</v>
      </c>
      <c r="O489" s="1" t="n">
        <v>25</v>
      </c>
      <c r="P489" s="1" t="n">
        <v>1749.75</v>
      </c>
      <c r="Q489" s="1" t="n">
        <v>5249.25</v>
      </c>
      <c r="R489" s="1" t="n">
        <v>944.87</v>
      </c>
      <c r="S489" s="1" t="n">
        <v>4304.38</v>
      </c>
      <c r="T489" s="1" t="n">
        <v>1886</v>
      </c>
      <c r="U489" s="1" t="n">
        <v>2418.38</v>
      </c>
      <c r="V489" s="1" t="n">
        <v>56.18</v>
      </c>
      <c r="W489" s="1" t="s">
        <v>39</v>
      </c>
      <c r="Y489" s="1" t="s">
        <v>40</v>
      </c>
      <c r="Z489" s="1" t="n">
        <v>0</v>
      </c>
      <c r="AA489" s="1" t="str">
        <f aca="false">TRIM(PROPER(F489))</f>
        <v>Nagpur</v>
      </c>
      <c r="AB489" s="1" t="str">
        <f aca="false">TRIM(PROPER(C489))</f>
        <v>Meritnation</v>
      </c>
      <c r="AC489" s="1" t="str">
        <f aca="false">IF(O489=0,"No Discount",IF(O489&lt;=15,"Low (1-15%)",IF(O489&lt;=30,"Medium (16-30%)","High (&gt;30%)")))</f>
        <v>Medium (16-30%)</v>
      </c>
      <c r="AD489" s="1" t="str">
        <f aca="false">IF(V489&lt;0,"Loss Making",IF(V489&lt;20,"Low Margin","Healthy Margin"))</f>
        <v>Healthy Margin</v>
      </c>
      <c r="AE489" s="1" t="str">
        <f aca="false">TEXT(DATE(VALUE(RIGHT(B489,4)),VALUE(MID(B489,4,2)),VALUE(LEFT(B489,2))),"MMM-YYYY")</f>
        <v>Mar-2023</v>
      </c>
      <c r="AF489" s="1" t="n">
        <f aca="false">VALUE(RIGHT(B489,4))</f>
        <v>2023</v>
      </c>
      <c r="AG489" s="1" t="str">
        <f aca="false">CHOOSE(ROUNDUP(VALUE(MID(B489,4,2))/3,0),"Q1","Q2","Q3","Q4")</f>
        <v>Q1</v>
      </c>
    </row>
    <row r="490" customFormat="false" ht="15" hidden="false" customHeight="true" outlineLevel="0" collapsed="false">
      <c r="A490" s="1" t="s">
        <v>1007</v>
      </c>
      <c r="B490" s="1" t="s">
        <v>785</v>
      </c>
      <c r="C490" s="1" t="s">
        <v>178</v>
      </c>
      <c r="D490" s="1" t="s">
        <v>168</v>
      </c>
      <c r="E490" s="1" t="s">
        <v>172</v>
      </c>
      <c r="F490" s="1" t="s">
        <v>269</v>
      </c>
      <c r="G490" s="1" t="s">
        <v>108</v>
      </c>
      <c r="H490" s="1" t="s">
        <v>57</v>
      </c>
      <c r="I490" s="1" t="s">
        <v>83</v>
      </c>
      <c r="J490" s="1" t="s">
        <v>77</v>
      </c>
      <c r="K490" s="1" t="s">
        <v>60</v>
      </c>
      <c r="L490" s="1" t="s">
        <v>49</v>
      </c>
      <c r="M490" s="1" t="s">
        <v>38</v>
      </c>
      <c r="N490" s="1" t="n">
        <v>6999</v>
      </c>
      <c r="O490" s="1" t="n">
        <v>40</v>
      </c>
      <c r="P490" s="1" t="n">
        <v>2799.6</v>
      </c>
      <c r="Q490" s="1" t="n">
        <v>4199.4</v>
      </c>
      <c r="R490" s="1" t="n">
        <v>755.89</v>
      </c>
      <c r="S490" s="1" t="n">
        <v>3443.51</v>
      </c>
      <c r="T490" s="1" t="n">
        <v>1612.9</v>
      </c>
      <c r="U490" s="1" t="n">
        <v>1830.61</v>
      </c>
      <c r="V490" s="1" t="n">
        <v>53.16</v>
      </c>
      <c r="W490" s="1" t="s">
        <v>40</v>
      </c>
      <c r="Y490" s="1" t="s">
        <v>40</v>
      </c>
      <c r="Z490" s="1" t="n">
        <v>0</v>
      </c>
      <c r="AA490" s="1" t="str">
        <f aca="false">TRIM(PROPER(F490))</f>
        <v>Coimbatore</v>
      </c>
      <c r="AB490" s="1" t="str">
        <f aca="false">TRIM(PROPER(C490))</f>
        <v>Leverage Edu</v>
      </c>
      <c r="AC490" s="1" t="str">
        <f aca="false">IF(O490=0,"No Discount",IF(O490&lt;=15,"Low (1-15%)",IF(O490&lt;=30,"Medium (16-30%)","High (&gt;30%)")))</f>
        <v>High (&gt;30%)</v>
      </c>
      <c r="AD490" s="1" t="str">
        <f aca="false">IF(V490&lt;0,"Loss Making",IF(V490&lt;20,"Low Margin","Healthy Margin"))</f>
        <v>Healthy Margin</v>
      </c>
      <c r="AE490" s="1" t="str">
        <f aca="false">TEXT(DATE(VALUE(RIGHT(B490,4)),VALUE(MID(B490,4,2)),VALUE(LEFT(B490,2))),"MMM-YYYY")</f>
        <v>Aug-2024</v>
      </c>
      <c r="AF490" s="1" t="n">
        <f aca="false">VALUE(RIGHT(B490,4))</f>
        <v>2024</v>
      </c>
      <c r="AG490" s="1" t="str">
        <f aca="false">CHOOSE(ROUNDUP(VALUE(MID(B490,4,2))/3,0),"Q1","Q2","Q3","Q4")</f>
        <v>Q3</v>
      </c>
    </row>
    <row r="491" customFormat="false" ht="15" hidden="false" customHeight="true" outlineLevel="0" collapsed="false">
      <c r="A491" s="1" t="s">
        <v>1008</v>
      </c>
      <c r="B491" s="1" t="s">
        <v>1009</v>
      </c>
      <c r="C491" s="1" t="s">
        <v>249</v>
      </c>
      <c r="D491" s="1" t="s">
        <v>53</v>
      </c>
      <c r="E491" s="1" t="s">
        <v>54</v>
      </c>
      <c r="F491" s="1" t="s">
        <v>153</v>
      </c>
      <c r="G491" s="1" t="s">
        <v>76</v>
      </c>
      <c r="H491" s="1" t="s">
        <v>33</v>
      </c>
      <c r="I491" s="1" t="s">
        <v>34</v>
      </c>
      <c r="J491" s="1" t="s">
        <v>77</v>
      </c>
      <c r="K491" s="1" t="s">
        <v>112</v>
      </c>
      <c r="L491" s="1" t="s">
        <v>37</v>
      </c>
      <c r="M491" s="1" t="s">
        <v>38</v>
      </c>
      <c r="N491" s="1" t="n">
        <v>11999</v>
      </c>
      <c r="O491" s="1" t="n">
        <v>0</v>
      </c>
      <c r="P491" s="1" t="n">
        <v>0</v>
      </c>
      <c r="Q491" s="1" t="n">
        <v>11999</v>
      </c>
      <c r="R491" s="1" t="n">
        <v>2159.82</v>
      </c>
      <c r="S491" s="1" t="n">
        <v>9839.18</v>
      </c>
      <c r="T491" s="1" t="n">
        <v>4400.15</v>
      </c>
      <c r="U491" s="1" t="n">
        <v>5439.03</v>
      </c>
      <c r="V491" s="1" t="n">
        <v>55.28</v>
      </c>
      <c r="W491" s="1" t="s">
        <v>39</v>
      </c>
      <c r="X491" s="1" t="n">
        <v>3.3</v>
      </c>
      <c r="Y491" s="1" t="s">
        <v>40</v>
      </c>
      <c r="Z491" s="1" t="n">
        <v>2</v>
      </c>
      <c r="AA491" s="1" t="str">
        <f aca="false">TRIM(PROPER(F491))</f>
        <v>Howrah</v>
      </c>
      <c r="AB491" s="1" t="str">
        <f aca="false">TRIM(PROPER(C491))</f>
        <v>Whitehat Jr</v>
      </c>
      <c r="AC491" s="1" t="str">
        <f aca="false">IF(O491=0,"No Discount",IF(O491&lt;=15,"Low (1-15%)",IF(O491&lt;=30,"Medium (16-30%)","High (&gt;30%)")))</f>
        <v>No Discount</v>
      </c>
      <c r="AD491" s="1" t="str">
        <f aca="false">IF(V491&lt;0,"Loss Making",IF(V491&lt;20,"Low Margin","Healthy Margin"))</f>
        <v>Healthy Margin</v>
      </c>
      <c r="AE491" s="1" t="str">
        <f aca="false">TEXT(DATE(VALUE(RIGHT(B491,4)),VALUE(MID(B491,4,2)),VALUE(LEFT(B491,2))),"MMM-YYYY")</f>
        <v>Mar-2023</v>
      </c>
      <c r="AF491" s="1" t="n">
        <f aca="false">VALUE(RIGHT(B491,4))</f>
        <v>2023</v>
      </c>
      <c r="AG491" s="1" t="str">
        <f aca="false">CHOOSE(ROUNDUP(VALUE(MID(B491,4,2))/3,0),"Q1","Q2","Q3","Q4")</f>
        <v>Q1</v>
      </c>
    </row>
    <row r="492" customFormat="false" ht="15" hidden="false" customHeight="true" outlineLevel="0" collapsed="false">
      <c r="A492" s="1" t="s">
        <v>1010</v>
      </c>
      <c r="B492" s="1" t="s">
        <v>1011</v>
      </c>
      <c r="C492" s="1" t="s">
        <v>128</v>
      </c>
      <c r="D492" s="1" t="s">
        <v>53</v>
      </c>
      <c r="E492" s="1" t="s">
        <v>116</v>
      </c>
      <c r="F492" s="1" t="s">
        <v>55</v>
      </c>
      <c r="G492" s="1" t="s">
        <v>56</v>
      </c>
      <c r="H492" s="1" t="s">
        <v>57</v>
      </c>
      <c r="I492" s="1" t="s">
        <v>34</v>
      </c>
      <c r="J492" s="1" t="s">
        <v>59</v>
      </c>
      <c r="K492" s="1" t="s">
        <v>71</v>
      </c>
      <c r="L492" s="1" t="s">
        <v>37</v>
      </c>
      <c r="M492" s="1" t="s">
        <v>50</v>
      </c>
      <c r="N492" s="1" t="n">
        <v>9999</v>
      </c>
      <c r="O492" s="1" t="n">
        <v>0</v>
      </c>
      <c r="P492" s="1" t="n">
        <v>0</v>
      </c>
      <c r="Q492" s="1" t="n">
        <v>9999</v>
      </c>
      <c r="R492" s="1" t="n">
        <v>1799.82</v>
      </c>
      <c r="S492" s="1" t="n">
        <v>8199.18</v>
      </c>
      <c r="T492" s="1" t="n">
        <v>3926.55</v>
      </c>
      <c r="U492" s="1" t="n">
        <v>4272.63</v>
      </c>
      <c r="V492" s="1" t="n">
        <v>52.11</v>
      </c>
      <c r="W492" s="1" t="s">
        <v>39</v>
      </c>
      <c r="Y492" s="1" t="s">
        <v>40</v>
      </c>
      <c r="Z492" s="1" t="n">
        <v>0</v>
      </c>
      <c r="AA492" s="1" t="str">
        <f aca="false">TRIM(PROPER(F492))</f>
        <v>Ghaziabad</v>
      </c>
      <c r="AB492" s="1" t="str">
        <f aca="false">TRIM(PROPER(C492))</f>
        <v>Great Learning</v>
      </c>
      <c r="AC492" s="1" t="str">
        <f aca="false">IF(O492=0,"No Discount",IF(O492&lt;=15,"Low (1-15%)",IF(O492&lt;=30,"Medium (16-30%)","High (&gt;30%)")))</f>
        <v>No Discount</v>
      </c>
      <c r="AD492" s="1" t="str">
        <f aca="false">IF(V492&lt;0,"Loss Making",IF(V492&lt;20,"Low Margin","Healthy Margin"))</f>
        <v>Healthy Margin</v>
      </c>
      <c r="AE492" s="1" t="str">
        <f aca="false">TEXT(DATE(VALUE(RIGHT(B492,4)),VALUE(MID(B492,4,2)),VALUE(LEFT(B492,2))),"MMM-YYYY")</f>
        <v>May-2024</v>
      </c>
      <c r="AF492" s="1" t="n">
        <f aca="false">VALUE(RIGHT(B492,4))</f>
        <v>2024</v>
      </c>
      <c r="AG492" s="1" t="str">
        <f aca="false">CHOOSE(ROUNDUP(VALUE(MID(B492,4,2))/3,0),"Q1","Q2","Q3","Q4")</f>
        <v>Q2</v>
      </c>
    </row>
    <row r="493" customFormat="false" ht="15" hidden="false" customHeight="true" outlineLevel="0" collapsed="false">
      <c r="A493" s="1" t="s">
        <v>1012</v>
      </c>
      <c r="B493" s="1" t="s">
        <v>996</v>
      </c>
      <c r="C493" s="1" t="s">
        <v>134</v>
      </c>
      <c r="D493" s="1" t="s">
        <v>168</v>
      </c>
      <c r="E493" s="1" t="s">
        <v>172</v>
      </c>
      <c r="F493" s="1" t="s">
        <v>244</v>
      </c>
      <c r="G493" s="1" t="s">
        <v>97</v>
      </c>
      <c r="H493" s="1" t="s">
        <v>57</v>
      </c>
      <c r="I493" s="1" t="s">
        <v>83</v>
      </c>
      <c r="J493" s="1" t="s">
        <v>131</v>
      </c>
      <c r="K493" s="1" t="s">
        <v>104</v>
      </c>
      <c r="L493" s="1" t="s">
        <v>85</v>
      </c>
      <c r="M493" s="1" t="s">
        <v>50</v>
      </c>
      <c r="N493" s="1" t="n">
        <v>6999</v>
      </c>
      <c r="O493" s="1" t="n">
        <v>0</v>
      </c>
      <c r="P493" s="1" t="n">
        <v>0</v>
      </c>
      <c r="Q493" s="1" t="n">
        <v>6999</v>
      </c>
      <c r="R493" s="1" t="n">
        <v>1259.82</v>
      </c>
      <c r="S493" s="1" t="n">
        <v>5739.18</v>
      </c>
      <c r="T493" s="1" t="n">
        <v>2727.96</v>
      </c>
      <c r="U493" s="1" t="n">
        <v>3011.22</v>
      </c>
      <c r="V493" s="1" t="n">
        <v>52.47</v>
      </c>
      <c r="W493" s="1" t="s">
        <v>39</v>
      </c>
      <c r="Y493" s="1" t="s">
        <v>40</v>
      </c>
      <c r="Z493" s="1" t="n">
        <v>0</v>
      </c>
      <c r="AA493" s="1" t="str">
        <f aca="false">TRIM(PROPER(F493))</f>
        <v>Nagpur</v>
      </c>
      <c r="AB493" s="1" t="str">
        <f aca="false">TRIM(PROPER(C493))</f>
        <v>Doubtnut</v>
      </c>
      <c r="AC493" s="1" t="str">
        <f aca="false">IF(O493=0,"No Discount",IF(O493&lt;=15,"Low (1-15%)",IF(O493&lt;=30,"Medium (16-30%)","High (&gt;30%)")))</f>
        <v>No Discount</v>
      </c>
      <c r="AD493" s="1" t="str">
        <f aca="false">IF(V493&lt;0,"Loss Making",IF(V493&lt;20,"Low Margin","Healthy Margin"))</f>
        <v>Healthy Margin</v>
      </c>
      <c r="AE493" s="1" t="str">
        <f aca="false">TEXT(DATE(VALUE(RIGHT(B493,4)),VALUE(MID(B493,4,2)),VALUE(LEFT(B493,2))),"MMM-YYYY")</f>
        <v>Mar-2024</v>
      </c>
      <c r="AF493" s="1" t="n">
        <f aca="false">VALUE(RIGHT(B493,4))</f>
        <v>2024</v>
      </c>
      <c r="AG493" s="1" t="str">
        <f aca="false">CHOOSE(ROUNDUP(VALUE(MID(B493,4,2))/3,0),"Q1","Q2","Q3","Q4")</f>
        <v>Q1</v>
      </c>
    </row>
    <row r="494" customFormat="false" ht="15" hidden="false" customHeight="true" outlineLevel="0" collapsed="false">
      <c r="A494" s="1" t="s">
        <v>1013</v>
      </c>
      <c r="B494" s="1" t="s">
        <v>338</v>
      </c>
      <c r="C494" s="1" t="s">
        <v>178</v>
      </c>
      <c r="D494" s="1" t="s">
        <v>53</v>
      </c>
      <c r="E494" s="1" t="s">
        <v>216</v>
      </c>
      <c r="F494" s="1" t="s">
        <v>96</v>
      </c>
      <c r="G494" s="1" t="s">
        <v>97</v>
      </c>
      <c r="H494" s="1" t="s">
        <v>69</v>
      </c>
      <c r="I494" s="1" t="s">
        <v>58</v>
      </c>
      <c r="J494" s="1" t="s">
        <v>59</v>
      </c>
      <c r="K494" s="1" t="s">
        <v>84</v>
      </c>
      <c r="L494" s="1" t="s">
        <v>49</v>
      </c>
      <c r="M494" s="1" t="s">
        <v>50</v>
      </c>
      <c r="N494" s="1" t="n">
        <v>7499</v>
      </c>
      <c r="O494" s="1" t="n">
        <v>15</v>
      </c>
      <c r="P494" s="1" t="n">
        <v>1124.85</v>
      </c>
      <c r="Q494" s="1" t="n">
        <v>6374.15</v>
      </c>
      <c r="R494" s="1" t="n">
        <v>1147.35</v>
      </c>
      <c r="S494" s="1" t="n">
        <v>5226.8</v>
      </c>
      <c r="T494" s="1" t="n">
        <v>2468.87</v>
      </c>
      <c r="U494" s="1" t="n">
        <v>2757.93</v>
      </c>
      <c r="V494" s="1" t="n">
        <v>52.77</v>
      </c>
      <c r="W494" s="1" t="s">
        <v>40</v>
      </c>
      <c r="Y494" s="1" t="s">
        <v>40</v>
      </c>
      <c r="Z494" s="1" t="n">
        <v>0</v>
      </c>
      <c r="AA494" s="1" t="str">
        <f aca="false">TRIM(PROPER(F494))</f>
        <v>Pune</v>
      </c>
      <c r="AB494" s="1" t="str">
        <f aca="false">TRIM(PROPER(C494))</f>
        <v>Leverage Edu</v>
      </c>
      <c r="AC494" s="1" t="str">
        <f aca="false">IF(O494=0,"No Discount",IF(O494&lt;=15,"Low (1-15%)",IF(O494&lt;=30,"Medium (16-30%)","High (&gt;30%)")))</f>
        <v>Low (1-15%)</v>
      </c>
      <c r="AD494" s="1" t="str">
        <f aca="false">IF(V494&lt;0,"Loss Making",IF(V494&lt;20,"Low Margin","Healthy Margin"))</f>
        <v>Healthy Margin</v>
      </c>
      <c r="AE494" s="1" t="str">
        <f aca="false">TEXT(DATE(VALUE(RIGHT(B494,4)),VALUE(MID(B494,4,2)),VALUE(LEFT(B494,2))),"MMM-YYYY")</f>
        <v>Jan-2023</v>
      </c>
      <c r="AF494" s="1" t="n">
        <f aca="false">VALUE(RIGHT(B494,4))</f>
        <v>2023</v>
      </c>
      <c r="AG494" s="1" t="str">
        <f aca="false">CHOOSE(ROUNDUP(VALUE(MID(B494,4,2))/3,0),"Q1","Q2","Q3","Q4")</f>
        <v>Q1</v>
      </c>
    </row>
    <row r="495" customFormat="false" ht="15" hidden="false" customHeight="true" outlineLevel="0" collapsed="false">
      <c r="A495" s="1" t="s">
        <v>1014</v>
      </c>
      <c r="B495" s="1" t="s">
        <v>1015</v>
      </c>
      <c r="C495" s="1" t="s">
        <v>139</v>
      </c>
      <c r="D495" s="1" t="s">
        <v>123</v>
      </c>
      <c r="E495" s="1" t="s">
        <v>124</v>
      </c>
      <c r="F495" s="1" t="s">
        <v>211</v>
      </c>
      <c r="G495" s="1" t="s">
        <v>56</v>
      </c>
      <c r="H495" s="1" t="s">
        <v>69</v>
      </c>
      <c r="I495" s="1" t="s">
        <v>83</v>
      </c>
      <c r="J495" s="1" t="s">
        <v>131</v>
      </c>
      <c r="K495" s="1" t="s">
        <v>84</v>
      </c>
      <c r="L495" s="1" t="s">
        <v>136</v>
      </c>
      <c r="M495" s="1" t="s">
        <v>38</v>
      </c>
      <c r="N495" s="1" t="n">
        <v>4999</v>
      </c>
      <c r="O495" s="1" t="n">
        <v>15</v>
      </c>
      <c r="P495" s="1" t="n">
        <v>749.85</v>
      </c>
      <c r="Q495" s="1" t="n">
        <v>4249.15</v>
      </c>
      <c r="R495" s="1" t="n">
        <v>764.85</v>
      </c>
      <c r="S495" s="1" t="n">
        <v>3484.3</v>
      </c>
      <c r="T495" s="1" t="n">
        <v>1489.21</v>
      </c>
      <c r="U495" s="1" t="n">
        <v>1995.09</v>
      </c>
      <c r="V495" s="1" t="n">
        <v>57.26</v>
      </c>
      <c r="W495" s="1" t="s">
        <v>39</v>
      </c>
      <c r="Y495" s="1" t="s">
        <v>40</v>
      </c>
      <c r="Z495" s="1" t="n">
        <v>0</v>
      </c>
      <c r="AA495" s="1" t="str">
        <f aca="false">TRIM(PROPER(F495))</f>
        <v>Noida</v>
      </c>
      <c r="AB495" s="1" t="str">
        <f aca="false">TRIM(PROPER(C495))</f>
        <v>Extramarks</v>
      </c>
      <c r="AC495" s="1" t="str">
        <f aca="false">IF(O495=0,"No Discount",IF(O495&lt;=15,"Low (1-15%)",IF(O495&lt;=30,"Medium (16-30%)","High (&gt;30%)")))</f>
        <v>Low (1-15%)</v>
      </c>
      <c r="AD495" s="1" t="str">
        <f aca="false">IF(V495&lt;0,"Loss Making",IF(V495&lt;20,"Low Margin","Healthy Margin"))</f>
        <v>Healthy Margin</v>
      </c>
      <c r="AE495" s="1" t="str">
        <f aca="false">TEXT(DATE(VALUE(RIGHT(B495,4)),VALUE(MID(B495,4,2)),VALUE(LEFT(B495,2))),"MMM-YYYY")</f>
        <v>Jun-2024</v>
      </c>
      <c r="AF495" s="1" t="n">
        <f aca="false">VALUE(RIGHT(B495,4))</f>
        <v>2024</v>
      </c>
      <c r="AG495" s="1" t="str">
        <f aca="false">CHOOSE(ROUNDUP(VALUE(MID(B495,4,2))/3,0),"Q1","Q2","Q3","Q4")</f>
        <v>Q2</v>
      </c>
    </row>
    <row r="496" customFormat="false" ht="15" hidden="false" customHeight="true" outlineLevel="0" collapsed="false">
      <c r="A496" s="1" t="s">
        <v>1016</v>
      </c>
      <c r="B496" s="1" t="s">
        <v>1002</v>
      </c>
      <c r="C496" s="1" t="s">
        <v>119</v>
      </c>
      <c r="D496" s="1" t="s">
        <v>29</v>
      </c>
      <c r="E496" s="1" t="s">
        <v>30</v>
      </c>
      <c r="F496" s="1" t="s">
        <v>125</v>
      </c>
      <c r="G496" s="1" t="s">
        <v>108</v>
      </c>
      <c r="H496" s="1" t="s">
        <v>69</v>
      </c>
      <c r="I496" s="1" t="s">
        <v>58</v>
      </c>
      <c r="J496" s="1" t="s">
        <v>70</v>
      </c>
      <c r="K496" s="1" t="s">
        <v>112</v>
      </c>
      <c r="L496" s="1" t="s">
        <v>61</v>
      </c>
      <c r="M496" s="1" t="s">
        <v>62</v>
      </c>
      <c r="N496" s="1" t="n">
        <v>7999</v>
      </c>
      <c r="O496" s="1" t="n">
        <v>10</v>
      </c>
      <c r="P496" s="1" t="n">
        <v>799.9</v>
      </c>
      <c r="Q496" s="1" t="n">
        <v>7199.1</v>
      </c>
      <c r="R496" s="1" t="n">
        <v>1295.84</v>
      </c>
      <c r="S496" s="1" t="n">
        <v>5903.26</v>
      </c>
      <c r="T496" s="1" t="n">
        <v>2260.87</v>
      </c>
      <c r="U496" s="1" t="n">
        <v>3642.39</v>
      </c>
      <c r="V496" s="1" t="n">
        <v>61.7</v>
      </c>
      <c r="W496" s="1" t="s">
        <v>40</v>
      </c>
      <c r="Y496" s="1" t="s">
        <v>40</v>
      </c>
      <c r="Z496" s="1" t="n">
        <v>0</v>
      </c>
      <c r="AA496" s="1" t="str">
        <f aca="false">TRIM(PROPER(F496))</f>
        <v>Chennai</v>
      </c>
      <c r="AB496" s="1" t="str">
        <f aca="false">TRIM(PROPER(C496))</f>
        <v>Simplilearn</v>
      </c>
      <c r="AC496" s="1" t="str">
        <f aca="false">IF(O496=0,"No Discount",IF(O496&lt;=15,"Low (1-15%)",IF(O496&lt;=30,"Medium (16-30%)","High (&gt;30%)")))</f>
        <v>Low (1-15%)</v>
      </c>
      <c r="AD496" s="1" t="str">
        <f aca="false">IF(V496&lt;0,"Loss Making",IF(V496&lt;20,"Low Margin","Healthy Margin"))</f>
        <v>Healthy Margin</v>
      </c>
      <c r="AE496" s="1" t="str">
        <f aca="false">TEXT(DATE(VALUE(RIGHT(B496,4)),VALUE(MID(B496,4,2)),VALUE(LEFT(B496,2))),"MMM-YYYY")</f>
        <v>Oct-2024</v>
      </c>
      <c r="AF496" s="1" t="n">
        <f aca="false">VALUE(RIGHT(B496,4))</f>
        <v>2024</v>
      </c>
      <c r="AG496" s="1" t="str">
        <f aca="false">CHOOSE(ROUNDUP(VALUE(MID(B496,4,2))/3,0),"Q1","Q2","Q3","Q4")</f>
        <v>Q4</v>
      </c>
    </row>
    <row r="497" customFormat="false" ht="15" hidden="false" customHeight="true" outlineLevel="0" collapsed="false">
      <c r="A497" s="1" t="s">
        <v>1017</v>
      </c>
      <c r="B497" s="1" t="s">
        <v>1018</v>
      </c>
      <c r="C497" s="1" t="s">
        <v>28</v>
      </c>
      <c r="D497" s="1" t="s">
        <v>94</v>
      </c>
      <c r="E497" s="1" t="s">
        <v>135</v>
      </c>
      <c r="F497" s="1" t="s">
        <v>187</v>
      </c>
      <c r="G497" s="1" t="s">
        <v>97</v>
      </c>
      <c r="H497" s="1" t="s">
        <v>69</v>
      </c>
      <c r="I497" s="1" t="s">
        <v>58</v>
      </c>
      <c r="J497" s="1" t="s">
        <v>77</v>
      </c>
      <c r="K497" s="1" t="s">
        <v>36</v>
      </c>
      <c r="L497" s="1" t="s">
        <v>37</v>
      </c>
      <c r="M497" s="1" t="s">
        <v>38</v>
      </c>
      <c r="N497" s="1" t="n">
        <v>9999</v>
      </c>
      <c r="O497" s="1" t="n">
        <v>0</v>
      </c>
      <c r="P497" s="1" t="n">
        <v>0</v>
      </c>
      <c r="Q497" s="1" t="n">
        <v>9999</v>
      </c>
      <c r="R497" s="1" t="n">
        <v>1799.82</v>
      </c>
      <c r="S497" s="1" t="n">
        <v>8199.18</v>
      </c>
      <c r="T497" s="1" t="n">
        <v>3139.61</v>
      </c>
      <c r="U497" s="1" t="n">
        <v>5059.57</v>
      </c>
      <c r="V497" s="1" t="n">
        <v>61.71</v>
      </c>
      <c r="W497" s="1" t="s">
        <v>39</v>
      </c>
      <c r="X497" s="1" t="n">
        <v>3.6</v>
      </c>
      <c r="Y497" s="1" t="s">
        <v>40</v>
      </c>
      <c r="Z497" s="1" t="n">
        <v>0</v>
      </c>
      <c r="AA497" s="1" t="str">
        <f aca="false">TRIM(PROPER(F497))</f>
        <v>Mumbai</v>
      </c>
      <c r="AB497" s="1" t="str">
        <f aca="false">TRIM(PROPER(C497))</f>
        <v>Embibe</v>
      </c>
      <c r="AC497" s="1" t="str">
        <f aca="false">IF(O497=0,"No Discount",IF(O497&lt;=15,"Low (1-15%)",IF(O497&lt;=30,"Medium (16-30%)","High (&gt;30%)")))</f>
        <v>No Discount</v>
      </c>
      <c r="AD497" s="1" t="str">
        <f aca="false">IF(V497&lt;0,"Loss Making",IF(V497&lt;20,"Low Margin","Healthy Margin"))</f>
        <v>Healthy Margin</v>
      </c>
      <c r="AE497" s="1" t="str">
        <f aca="false">TEXT(DATE(VALUE(RIGHT(B497,4)),VALUE(MID(B497,4,2)),VALUE(LEFT(B497,2))),"MMM-YYYY")</f>
        <v>Dec-2023</v>
      </c>
      <c r="AF497" s="1" t="n">
        <f aca="false">VALUE(RIGHT(B497,4))</f>
        <v>2023</v>
      </c>
      <c r="AG497" s="1" t="str">
        <f aca="false">CHOOSE(ROUNDUP(VALUE(MID(B497,4,2))/3,0),"Q1","Q2","Q3","Q4")</f>
        <v>Q4</v>
      </c>
    </row>
    <row r="498" customFormat="false" ht="15" hidden="false" customHeight="true" outlineLevel="0" collapsed="false">
      <c r="A498" s="1" t="s">
        <v>1019</v>
      </c>
      <c r="B498" s="1" t="s">
        <v>470</v>
      </c>
      <c r="C498" s="1" t="s">
        <v>74</v>
      </c>
      <c r="D498" s="1" t="s">
        <v>29</v>
      </c>
      <c r="E498" s="1" t="s">
        <v>129</v>
      </c>
      <c r="F498" s="1" t="s">
        <v>31</v>
      </c>
      <c r="G498" s="1" t="s">
        <v>32</v>
      </c>
      <c r="H498" s="1" t="s">
        <v>33</v>
      </c>
      <c r="I498" s="1" t="s">
        <v>34</v>
      </c>
      <c r="J498" s="1" t="s">
        <v>35</v>
      </c>
      <c r="K498" s="1" t="s">
        <v>48</v>
      </c>
      <c r="L498" s="1" t="s">
        <v>136</v>
      </c>
      <c r="M498" s="1" t="s">
        <v>50</v>
      </c>
      <c r="N498" s="1" t="n">
        <v>29999</v>
      </c>
      <c r="O498" s="1" t="n">
        <v>5</v>
      </c>
      <c r="P498" s="1" t="n">
        <v>1499.95</v>
      </c>
      <c r="Q498" s="1" t="n">
        <v>28499.05</v>
      </c>
      <c r="R498" s="1" t="n">
        <v>5129.83</v>
      </c>
      <c r="S498" s="1" t="n">
        <v>23369.22</v>
      </c>
      <c r="T498" s="1" t="n">
        <v>9818.65</v>
      </c>
      <c r="U498" s="1" t="n">
        <v>13550.57</v>
      </c>
      <c r="V498" s="1" t="n">
        <v>57.98</v>
      </c>
      <c r="W498" s="1" t="s">
        <v>39</v>
      </c>
      <c r="X498" s="1" t="n">
        <v>4.1</v>
      </c>
      <c r="Y498" s="1" t="s">
        <v>39</v>
      </c>
      <c r="Z498" s="1" t="n">
        <v>0</v>
      </c>
      <c r="AA498" s="1" t="str">
        <f aca="false">TRIM(PROPER(F498))</f>
        <v>Jodhpur</v>
      </c>
      <c r="AB498" s="1" t="str">
        <f aca="false">TRIM(PROPER(C498))</f>
        <v>Vedantu</v>
      </c>
      <c r="AC498" s="1" t="str">
        <f aca="false">IF(O498=0,"No Discount",IF(O498&lt;=15,"Low (1-15%)",IF(O498&lt;=30,"Medium (16-30%)","High (&gt;30%)")))</f>
        <v>Low (1-15%)</v>
      </c>
      <c r="AD498" s="1" t="str">
        <f aca="false">IF(V498&lt;0,"Loss Making",IF(V498&lt;20,"Low Margin","Healthy Margin"))</f>
        <v>Healthy Margin</v>
      </c>
      <c r="AE498" s="1" t="str">
        <f aca="false">TEXT(DATE(VALUE(RIGHT(B498,4)),VALUE(MID(B498,4,2)),VALUE(LEFT(B498,2))),"MMM-YYYY")</f>
        <v>Sep-2023</v>
      </c>
      <c r="AF498" s="1" t="n">
        <f aca="false">VALUE(RIGHT(B498,4))</f>
        <v>2023</v>
      </c>
      <c r="AG498" s="1" t="str">
        <f aca="false">CHOOSE(ROUNDUP(VALUE(MID(B498,4,2))/3,0),"Q1","Q2","Q3","Q4")</f>
        <v>Q3</v>
      </c>
    </row>
    <row r="499" customFormat="false" ht="15" hidden="false" customHeight="true" outlineLevel="0" collapsed="false">
      <c r="A499" s="1" t="s">
        <v>1020</v>
      </c>
      <c r="B499" s="1" t="s">
        <v>1021</v>
      </c>
      <c r="C499" s="1" t="s">
        <v>119</v>
      </c>
      <c r="D499" s="1" t="s">
        <v>29</v>
      </c>
      <c r="E499" s="1" t="s">
        <v>129</v>
      </c>
      <c r="F499" s="1" t="s">
        <v>46</v>
      </c>
      <c r="G499" s="1" t="s">
        <v>47</v>
      </c>
      <c r="H499" s="1" t="s">
        <v>33</v>
      </c>
      <c r="I499" s="1" t="s">
        <v>83</v>
      </c>
      <c r="J499" s="1" t="s">
        <v>77</v>
      </c>
      <c r="K499" s="1" t="s">
        <v>36</v>
      </c>
      <c r="L499" s="1" t="s">
        <v>85</v>
      </c>
      <c r="M499" s="1" t="s">
        <v>38</v>
      </c>
      <c r="N499" s="1" t="n">
        <v>29999</v>
      </c>
      <c r="O499" s="1" t="n">
        <v>25</v>
      </c>
      <c r="P499" s="1" t="n">
        <v>7499.75</v>
      </c>
      <c r="Q499" s="1" t="n">
        <v>22499.25</v>
      </c>
      <c r="R499" s="1" t="n">
        <v>4049.86</v>
      </c>
      <c r="S499" s="1" t="n">
        <v>18449.39</v>
      </c>
      <c r="T499" s="1" t="n">
        <v>8961.71</v>
      </c>
      <c r="U499" s="1" t="n">
        <v>9487.68</v>
      </c>
      <c r="V499" s="1" t="n">
        <v>51.43</v>
      </c>
      <c r="W499" s="1" t="s">
        <v>39</v>
      </c>
      <c r="Y499" s="1" t="s">
        <v>40</v>
      </c>
      <c r="Z499" s="1" t="n">
        <v>0</v>
      </c>
      <c r="AA499" s="1" t="str">
        <f aca="false">TRIM(PROPER(F499))</f>
        <v>Mangaluru</v>
      </c>
      <c r="AB499" s="1" t="str">
        <f aca="false">TRIM(PROPER(C499))</f>
        <v>Simplilearn</v>
      </c>
      <c r="AC499" s="1" t="str">
        <f aca="false">IF(O499=0,"No Discount",IF(O499&lt;=15,"Low (1-15%)",IF(O499&lt;=30,"Medium (16-30%)","High (&gt;30%)")))</f>
        <v>Medium (16-30%)</v>
      </c>
      <c r="AD499" s="1" t="str">
        <f aca="false">IF(V499&lt;0,"Loss Making",IF(V499&lt;20,"Low Margin","Healthy Margin"))</f>
        <v>Healthy Margin</v>
      </c>
      <c r="AE499" s="1" t="str">
        <f aca="false">TEXT(DATE(VALUE(RIGHT(B499,4)),VALUE(MID(B499,4,2)),VALUE(LEFT(B499,2))),"MMM-YYYY")</f>
        <v>Dec-2024</v>
      </c>
      <c r="AF499" s="1" t="n">
        <f aca="false">VALUE(RIGHT(B499,4))</f>
        <v>2024</v>
      </c>
      <c r="AG499" s="1" t="str">
        <f aca="false">CHOOSE(ROUNDUP(VALUE(MID(B499,4,2))/3,0),"Q1","Q2","Q3","Q4")</f>
        <v>Q4</v>
      </c>
    </row>
    <row r="500" customFormat="false" ht="15" hidden="false" customHeight="true" outlineLevel="0" collapsed="false">
      <c r="A500" s="1" t="s">
        <v>1022</v>
      </c>
      <c r="B500" s="1" t="s">
        <v>1023</v>
      </c>
      <c r="C500" s="1" t="s">
        <v>139</v>
      </c>
      <c r="D500" s="1" t="s">
        <v>168</v>
      </c>
      <c r="E500" s="1" t="s">
        <v>172</v>
      </c>
      <c r="F500" s="1" t="s">
        <v>75</v>
      </c>
      <c r="G500" s="1" t="s">
        <v>76</v>
      </c>
      <c r="H500" s="1" t="s">
        <v>69</v>
      </c>
      <c r="I500" s="1" t="s">
        <v>83</v>
      </c>
      <c r="J500" s="1" t="s">
        <v>77</v>
      </c>
      <c r="K500" s="1" t="s">
        <v>48</v>
      </c>
      <c r="L500" s="1" t="s">
        <v>136</v>
      </c>
      <c r="M500" s="1" t="s">
        <v>50</v>
      </c>
      <c r="N500" s="1" t="n">
        <v>6999</v>
      </c>
      <c r="O500" s="1" t="n">
        <v>0</v>
      </c>
      <c r="P500" s="1" t="n">
        <v>0</v>
      </c>
      <c r="Q500" s="1" t="n">
        <v>6999</v>
      </c>
      <c r="R500" s="1" t="n">
        <v>1259.82</v>
      </c>
      <c r="S500" s="1" t="n">
        <v>5739.18</v>
      </c>
      <c r="T500" s="1" t="n">
        <v>1971.11</v>
      </c>
      <c r="U500" s="1" t="n">
        <v>3768.07</v>
      </c>
      <c r="V500" s="1" t="n">
        <v>65.66</v>
      </c>
      <c r="W500" s="1" t="s">
        <v>40</v>
      </c>
      <c r="Y500" s="1" t="s">
        <v>39</v>
      </c>
      <c r="Z500" s="1" t="n">
        <v>0</v>
      </c>
      <c r="AA500" s="1" t="str">
        <f aca="false">TRIM(PROPER(F500))</f>
        <v>Kolkata</v>
      </c>
      <c r="AB500" s="1" t="str">
        <f aca="false">TRIM(PROPER(C500))</f>
        <v>Extramarks</v>
      </c>
      <c r="AC500" s="1" t="str">
        <f aca="false">IF(O500=0,"No Discount",IF(O500&lt;=15,"Low (1-15%)",IF(O500&lt;=30,"Medium (16-30%)","High (&gt;30%)")))</f>
        <v>No Discount</v>
      </c>
      <c r="AD500" s="1" t="str">
        <f aca="false">IF(V500&lt;0,"Loss Making",IF(V500&lt;20,"Low Margin","Healthy Margin"))</f>
        <v>Healthy Margin</v>
      </c>
      <c r="AE500" s="1" t="str">
        <f aca="false">TEXT(DATE(VALUE(RIGHT(B500,4)),VALUE(MID(B500,4,2)),VALUE(LEFT(B500,2))),"MMM-YYYY")</f>
        <v>Sep-2023</v>
      </c>
      <c r="AF500" s="1" t="n">
        <f aca="false">VALUE(RIGHT(B500,4))</f>
        <v>2023</v>
      </c>
      <c r="AG500" s="1" t="str">
        <f aca="false">CHOOSE(ROUNDUP(VALUE(MID(B500,4,2))/3,0),"Q1","Q2","Q3","Q4")</f>
        <v>Q3</v>
      </c>
    </row>
    <row r="501" customFormat="false" ht="15" hidden="false" customHeight="true" outlineLevel="0" collapsed="false">
      <c r="A501" s="1" t="s">
        <v>1024</v>
      </c>
      <c r="B501" s="1" t="s">
        <v>1025</v>
      </c>
      <c r="C501" s="1" t="s">
        <v>100</v>
      </c>
      <c r="D501" s="1" t="s">
        <v>168</v>
      </c>
      <c r="E501" s="1" t="s">
        <v>197</v>
      </c>
      <c r="F501" s="1" t="s">
        <v>55</v>
      </c>
      <c r="G501" s="1" t="s">
        <v>56</v>
      </c>
      <c r="H501" s="1" t="s">
        <v>57</v>
      </c>
      <c r="I501" s="1" t="s">
        <v>58</v>
      </c>
      <c r="J501" s="1" t="s">
        <v>131</v>
      </c>
      <c r="K501" s="1" t="s">
        <v>84</v>
      </c>
      <c r="L501" s="1" t="s">
        <v>113</v>
      </c>
      <c r="M501" s="1" t="s">
        <v>38</v>
      </c>
      <c r="N501" s="1" t="n">
        <v>8499</v>
      </c>
      <c r="O501" s="1" t="n">
        <v>10</v>
      </c>
      <c r="P501" s="1" t="n">
        <v>849.9</v>
      </c>
      <c r="Q501" s="1" t="n">
        <v>7649.1</v>
      </c>
      <c r="R501" s="1" t="n">
        <v>1376.84</v>
      </c>
      <c r="S501" s="1" t="n">
        <v>6272.26</v>
      </c>
      <c r="T501" s="1" t="n">
        <v>3275.26</v>
      </c>
      <c r="U501" s="1" t="n">
        <v>2997</v>
      </c>
      <c r="V501" s="1" t="n">
        <v>47.78</v>
      </c>
      <c r="W501" s="1" t="s">
        <v>40</v>
      </c>
      <c r="Y501" s="1" t="s">
        <v>40</v>
      </c>
      <c r="Z501" s="1" t="n">
        <v>0</v>
      </c>
      <c r="AA501" s="1" t="str">
        <f aca="false">TRIM(PROPER(F501))</f>
        <v>Ghaziabad</v>
      </c>
      <c r="AB501" s="1" t="str">
        <f aca="false">TRIM(PROPER(C501))</f>
        <v>Physics Wallah</v>
      </c>
      <c r="AC501" s="1" t="str">
        <f aca="false">IF(O501=0,"No Discount",IF(O501&lt;=15,"Low (1-15%)",IF(O501&lt;=30,"Medium (16-30%)","High (&gt;30%)")))</f>
        <v>Low (1-15%)</v>
      </c>
      <c r="AD501" s="1" t="str">
        <f aca="false">IF(V501&lt;0,"Loss Making",IF(V501&lt;20,"Low Margin","Healthy Margin"))</f>
        <v>Healthy Margin</v>
      </c>
      <c r="AE501" s="1" t="str">
        <f aca="false">TEXT(DATE(VALUE(RIGHT(B501,4)),VALUE(MID(B501,4,2)),VALUE(LEFT(B501,2))),"MMM-YYYY")</f>
        <v>Aug-2024</v>
      </c>
      <c r="AF501" s="1" t="n">
        <f aca="false">VALUE(RIGHT(B501,4))</f>
        <v>2024</v>
      </c>
      <c r="AG501" s="1" t="str">
        <f aca="false">CHOOSE(ROUNDUP(VALUE(MID(B501,4,2))/3,0),"Q1","Q2","Q3","Q4")</f>
        <v>Q3</v>
      </c>
    </row>
    <row r="502" customFormat="false" ht="15" hidden="false" customHeight="true" outlineLevel="0" collapsed="false">
      <c r="A502" s="1" t="s">
        <v>1026</v>
      </c>
      <c r="B502" s="1" t="s">
        <v>675</v>
      </c>
      <c r="C502" s="1" t="s">
        <v>128</v>
      </c>
      <c r="D502" s="1" t="s">
        <v>29</v>
      </c>
      <c r="E502" s="1" t="s">
        <v>129</v>
      </c>
      <c r="F502" s="1" t="s">
        <v>107</v>
      </c>
      <c r="G502" s="1" t="s">
        <v>108</v>
      </c>
      <c r="H502" s="1" t="s">
        <v>33</v>
      </c>
      <c r="I502" s="1" t="s">
        <v>58</v>
      </c>
      <c r="J502" s="1" t="s">
        <v>70</v>
      </c>
      <c r="K502" s="1" t="s">
        <v>48</v>
      </c>
      <c r="L502" s="1" t="s">
        <v>49</v>
      </c>
      <c r="M502" s="1" t="s">
        <v>38</v>
      </c>
      <c r="N502" s="1" t="n">
        <v>29999</v>
      </c>
      <c r="O502" s="1" t="n">
        <v>10</v>
      </c>
      <c r="P502" s="1" t="n">
        <v>2999.9</v>
      </c>
      <c r="Q502" s="1" t="n">
        <v>26999.1</v>
      </c>
      <c r="R502" s="1" t="n">
        <v>4859.84</v>
      </c>
      <c r="S502" s="1" t="n">
        <v>22139.26</v>
      </c>
      <c r="T502" s="1" t="n">
        <v>10615.19</v>
      </c>
      <c r="U502" s="1" t="n">
        <v>11524.07</v>
      </c>
      <c r="V502" s="1" t="n">
        <v>52.05</v>
      </c>
      <c r="W502" s="1" t="s">
        <v>39</v>
      </c>
      <c r="X502" s="1" t="n">
        <v>4.3</v>
      </c>
      <c r="Y502" s="1" t="s">
        <v>40</v>
      </c>
      <c r="Z502" s="1" t="n">
        <v>1</v>
      </c>
      <c r="AA502" s="1" t="str">
        <f aca="false">TRIM(PROPER(F502))</f>
        <v>Madurai</v>
      </c>
      <c r="AB502" s="1" t="str">
        <f aca="false">TRIM(PROPER(C502))</f>
        <v>Great Learning</v>
      </c>
      <c r="AC502" s="1" t="str">
        <f aca="false">IF(O502=0,"No Discount",IF(O502&lt;=15,"Low (1-15%)",IF(O502&lt;=30,"Medium (16-30%)","High (&gt;30%)")))</f>
        <v>Low (1-15%)</v>
      </c>
      <c r="AD502" s="1" t="str">
        <f aca="false">IF(V502&lt;0,"Loss Making",IF(V502&lt;20,"Low Margin","Healthy Margin"))</f>
        <v>Healthy Margin</v>
      </c>
      <c r="AE502" s="1" t="str">
        <f aca="false">TEXT(DATE(VALUE(RIGHT(B502,4)),VALUE(MID(B502,4,2)),VALUE(LEFT(B502,2))),"MMM-YYYY")</f>
        <v>Sep-2023</v>
      </c>
      <c r="AF502" s="1" t="n">
        <f aca="false">VALUE(RIGHT(B502,4))</f>
        <v>2023</v>
      </c>
      <c r="AG502" s="1" t="str">
        <f aca="false">CHOOSE(ROUNDUP(VALUE(MID(B502,4,2))/3,0),"Q1","Q2","Q3","Q4")</f>
        <v>Q3</v>
      </c>
    </row>
    <row r="503" customFormat="false" ht="15" hidden="false" customHeight="true" outlineLevel="0" collapsed="false">
      <c r="A503" s="1" t="s">
        <v>1027</v>
      </c>
      <c r="B503" s="1" t="s">
        <v>649</v>
      </c>
      <c r="C503" s="1" t="s">
        <v>43</v>
      </c>
      <c r="D503" s="1" t="s">
        <v>29</v>
      </c>
      <c r="E503" s="1" t="s">
        <v>30</v>
      </c>
      <c r="F503" s="1" t="s">
        <v>55</v>
      </c>
      <c r="G503" s="1" t="s">
        <v>56</v>
      </c>
      <c r="H503" s="1" t="s">
        <v>57</v>
      </c>
      <c r="I503" s="1" t="s">
        <v>83</v>
      </c>
      <c r="J503" s="1" t="s">
        <v>59</v>
      </c>
      <c r="K503" s="1" t="s">
        <v>48</v>
      </c>
      <c r="L503" s="1" t="s">
        <v>113</v>
      </c>
      <c r="M503" s="1" t="s">
        <v>38</v>
      </c>
      <c r="N503" s="1" t="n">
        <v>7999</v>
      </c>
      <c r="O503" s="1" t="n">
        <v>0</v>
      </c>
      <c r="P503" s="1" t="n">
        <v>0</v>
      </c>
      <c r="Q503" s="1" t="n">
        <v>7999</v>
      </c>
      <c r="R503" s="1" t="n">
        <v>1439.82</v>
      </c>
      <c r="S503" s="1" t="n">
        <v>6559.18</v>
      </c>
      <c r="T503" s="1" t="n">
        <v>2194.49</v>
      </c>
      <c r="U503" s="1" t="n">
        <v>4364.69</v>
      </c>
      <c r="V503" s="1" t="n">
        <v>66.54</v>
      </c>
      <c r="W503" s="1" t="s">
        <v>39</v>
      </c>
      <c r="X503" s="1" t="n">
        <v>4.9</v>
      </c>
      <c r="Y503" s="1" t="s">
        <v>40</v>
      </c>
      <c r="Z503" s="1" t="n">
        <v>1</v>
      </c>
      <c r="AA503" s="1" t="str">
        <f aca="false">TRIM(PROPER(F503))</f>
        <v>Ghaziabad</v>
      </c>
      <c r="AB503" s="1" t="str">
        <f aca="false">TRIM(PROPER(C503))</f>
        <v>Meritnation</v>
      </c>
      <c r="AC503" s="1" t="str">
        <f aca="false">IF(O503=0,"No Discount",IF(O503&lt;=15,"Low (1-15%)",IF(O503&lt;=30,"Medium (16-30%)","High (&gt;30%)")))</f>
        <v>No Discount</v>
      </c>
      <c r="AD503" s="1" t="str">
        <f aca="false">IF(V503&lt;0,"Loss Making",IF(V503&lt;20,"Low Margin","Healthy Margin"))</f>
        <v>Healthy Margin</v>
      </c>
      <c r="AE503" s="1" t="str">
        <f aca="false">TEXT(DATE(VALUE(RIGHT(B503,4)),VALUE(MID(B503,4,2)),VALUE(LEFT(B503,2))),"MMM-YYYY")</f>
        <v>Nov-2023</v>
      </c>
      <c r="AF503" s="1" t="n">
        <f aca="false">VALUE(RIGHT(B503,4))</f>
        <v>2023</v>
      </c>
      <c r="AG503" s="1" t="str">
        <f aca="false">CHOOSE(ROUNDUP(VALUE(MID(B503,4,2))/3,0),"Q1","Q2","Q3","Q4")</f>
        <v>Q4</v>
      </c>
    </row>
    <row r="504" customFormat="false" ht="15" hidden="false" customHeight="true" outlineLevel="0" collapsed="false">
      <c r="A504" s="1" t="s">
        <v>1028</v>
      </c>
      <c r="B504" s="1" t="s">
        <v>1029</v>
      </c>
      <c r="C504" s="1" t="s">
        <v>134</v>
      </c>
      <c r="D504" s="1" t="s">
        <v>29</v>
      </c>
      <c r="E504" s="1" t="s">
        <v>305</v>
      </c>
      <c r="F504" s="1" t="s">
        <v>140</v>
      </c>
      <c r="G504" s="1" t="s">
        <v>97</v>
      </c>
      <c r="H504" s="1" t="s">
        <v>57</v>
      </c>
      <c r="I504" s="1" t="s">
        <v>83</v>
      </c>
      <c r="J504" s="1" t="s">
        <v>70</v>
      </c>
      <c r="K504" s="1" t="s">
        <v>112</v>
      </c>
      <c r="L504" s="1" t="s">
        <v>85</v>
      </c>
      <c r="M504" s="1" t="s">
        <v>38</v>
      </c>
      <c r="N504" s="1" t="n">
        <v>24999</v>
      </c>
      <c r="O504" s="1" t="n">
        <v>0</v>
      </c>
      <c r="P504" s="1" t="n">
        <v>0</v>
      </c>
      <c r="Q504" s="1" t="n">
        <v>24999</v>
      </c>
      <c r="R504" s="1" t="n">
        <v>4499.82</v>
      </c>
      <c r="S504" s="1" t="n">
        <v>20499.18</v>
      </c>
      <c r="T504" s="1" t="n">
        <v>7528.23</v>
      </c>
      <c r="U504" s="1" t="n">
        <v>12970.95</v>
      </c>
      <c r="V504" s="1" t="n">
        <v>63.28</v>
      </c>
      <c r="W504" s="1" t="s">
        <v>40</v>
      </c>
      <c r="Y504" s="1" t="s">
        <v>40</v>
      </c>
      <c r="Z504" s="1" t="n">
        <v>0</v>
      </c>
      <c r="AA504" s="1" t="str">
        <f aca="false">TRIM(PROPER(F504))</f>
        <v>Nashik</v>
      </c>
      <c r="AB504" s="1" t="str">
        <f aca="false">TRIM(PROPER(C504))</f>
        <v>Doubtnut</v>
      </c>
      <c r="AC504" s="1" t="str">
        <f aca="false">IF(O504=0,"No Discount",IF(O504&lt;=15,"Low (1-15%)",IF(O504&lt;=30,"Medium (16-30%)","High (&gt;30%)")))</f>
        <v>No Discount</v>
      </c>
      <c r="AD504" s="1" t="str">
        <f aca="false">IF(V504&lt;0,"Loss Making",IF(V504&lt;20,"Low Margin","Healthy Margin"))</f>
        <v>Healthy Margin</v>
      </c>
      <c r="AE504" s="1" t="str">
        <f aca="false">TEXT(DATE(VALUE(RIGHT(B504,4)),VALUE(MID(B504,4,2)),VALUE(LEFT(B504,2))),"MMM-YYYY")</f>
        <v>Dec-2023</v>
      </c>
      <c r="AF504" s="1" t="n">
        <f aca="false">VALUE(RIGHT(B504,4))</f>
        <v>2023</v>
      </c>
      <c r="AG504" s="1" t="str">
        <f aca="false">CHOOSE(ROUNDUP(VALUE(MID(B504,4,2))/3,0),"Q1","Q2","Q3","Q4")</f>
        <v>Q4</v>
      </c>
    </row>
    <row r="505" customFormat="false" ht="15" hidden="false" customHeight="true" outlineLevel="0" collapsed="false">
      <c r="A505" s="1" t="s">
        <v>1030</v>
      </c>
      <c r="B505" s="1" t="s">
        <v>1031</v>
      </c>
      <c r="C505" s="1" t="s">
        <v>264</v>
      </c>
      <c r="D505" s="1" t="s">
        <v>29</v>
      </c>
      <c r="E505" s="1" t="s">
        <v>129</v>
      </c>
      <c r="F505" s="1" t="s">
        <v>130</v>
      </c>
      <c r="G505" s="1" t="s">
        <v>47</v>
      </c>
      <c r="H505" s="1" t="s">
        <v>69</v>
      </c>
      <c r="I505" s="1" t="s">
        <v>58</v>
      </c>
      <c r="J505" s="1" t="s">
        <v>70</v>
      </c>
      <c r="K505" s="1" t="s">
        <v>36</v>
      </c>
      <c r="L505" s="1" t="s">
        <v>61</v>
      </c>
      <c r="M505" s="1" t="s">
        <v>38</v>
      </c>
      <c r="N505" s="1" t="n">
        <v>29999</v>
      </c>
      <c r="O505" s="1" t="n">
        <v>0</v>
      </c>
      <c r="P505" s="1" t="n">
        <v>0</v>
      </c>
      <c r="Q505" s="1" t="n">
        <v>29999</v>
      </c>
      <c r="R505" s="1" t="n">
        <v>5399.82</v>
      </c>
      <c r="S505" s="1" t="n">
        <v>24599.18</v>
      </c>
      <c r="T505" s="1" t="n">
        <v>6753.64</v>
      </c>
      <c r="U505" s="1" t="n">
        <v>17845.54</v>
      </c>
      <c r="V505" s="1" t="n">
        <v>72.55</v>
      </c>
      <c r="W505" s="1" t="s">
        <v>39</v>
      </c>
      <c r="X505" s="1" t="n">
        <v>4.6</v>
      </c>
      <c r="Y505" s="1" t="s">
        <v>40</v>
      </c>
      <c r="Z505" s="1" t="n">
        <v>1</v>
      </c>
      <c r="AA505" s="1" t="str">
        <f aca="false">TRIM(PROPER(F505))</f>
        <v>Bengaluru</v>
      </c>
      <c r="AB505" s="1" t="str">
        <f aca="false">TRIM(PROPER(C505))</f>
        <v>Unacademy</v>
      </c>
      <c r="AC505" s="1" t="str">
        <f aca="false">IF(O505=0,"No Discount",IF(O505&lt;=15,"Low (1-15%)",IF(O505&lt;=30,"Medium (16-30%)","High (&gt;30%)")))</f>
        <v>No Discount</v>
      </c>
      <c r="AD505" s="1" t="str">
        <f aca="false">IF(V505&lt;0,"Loss Making",IF(V505&lt;20,"Low Margin","Healthy Margin"))</f>
        <v>Healthy Margin</v>
      </c>
      <c r="AE505" s="1" t="str">
        <f aca="false">TEXT(DATE(VALUE(RIGHT(B505,4)),VALUE(MID(B505,4,2)),VALUE(LEFT(B505,2))),"MMM-YYYY")</f>
        <v>Jul-2023</v>
      </c>
      <c r="AF505" s="1" t="n">
        <f aca="false">VALUE(RIGHT(B505,4))</f>
        <v>2023</v>
      </c>
      <c r="AG505" s="1" t="str">
        <f aca="false">CHOOSE(ROUNDUP(VALUE(MID(B505,4,2))/3,0),"Q1","Q2","Q3","Q4")</f>
        <v>Q3</v>
      </c>
    </row>
    <row r="506" customFormat="false" ht="15" hidden="false" customHeight="true" outlineLevel="0" collapsed="false">
      <c r="A506" s="1" t="s">
        <v>1032</v>
      </c>
      <c r="B506" s="1" t="s">
        <v>385</v>
      </c>
      <c r="C506" s="1" t="s">
        <v>178</v>
      </c>
      <c r="D506" s="1" t="s">
        <v>53</v>
      </c>
      <c r="E506" s="1" t="s">
        <v>216</v>
      </c>
      <c r="F506" s="1" t="s">
        <v>75</v>
      </c>
      <c r="G506" s="1" t="s">
        <v>76</v>
      </c>
      <c r="H506" s="1" t="s">
        <v>69</v>
      </c>
      <c r="I506" s="1" t="s">
        <v>58</v>
      </c>
      <c r="J506" s="1" t="s">
        <v>77</v>
      </c>
      <c r="K506" s="1" t="s">
        <v>90</v>
      </c>
      <c r="L506" s="1" t="s">
        <v>49</v>
      </c>
      <c r="M506" s="1" t="s">
        <v>50</v>
      </c>
      <c r="N506" s="1" t="n">
        <v>7499</v>
      </c>
      <c r="O506" s="1" t="n">
        <v>15</v>
      </c>
      <c r="P506" s="1" t="n">
        <v>1124.85</v>
      </c>
      <c r="Q506" s="1" t="n">
        <v>6374.15</v>
      </c>
      <c r="R506" s="1" t="n">
        <v>1147.35</v>
      </c>
      <c r="S506" s="1" t="n">
        <v>5226.8</v>
      </c>
      <c r="T506" s="1" t="n">
        <v>1739.47</v>
      </c>
      <c r="U506" s="1" t="n">
        <v>3487.33</v>
      </c>
      <c r="V506" s="1" t="n">
        <v>66.72</v>
      </c>
      <c r="W506" s="1" t="s">
        <v>39</v>
      </c>
      <c r="X506" s="1" t="n">
        <v>4.3</v>
      </c>
      <c r="Y506" s="1" t="s">
        <v>40</v>
      </c>
      <c r="Z506" s="1" t="n">
        <v>0</v>
      </c>
      <c r="AA506" s="1" t="str">
        <f aca="false">TRIM(PROPER(F506))</f>
        <v>Kolkata</v>
      </c>
      <c r="AB506" s="1" t="str">
        <f aca="false">TRIM(PROPER(C506))</f>
        <v>Leverage Edu</v>
      </c>
      <c r="AC506" s="1" t="str">
        <f aca="false">IF(O506=0,"No Discount",IF(O506&lt;=15,"Low (1-15%)",IF(O506&lt;=30,"Medium (16-30%)","High (&gt;30%)")))</f>
        <v>Low (1-15%)</v>
      </c>
      <c r="AD506" s="1" t="str">
        <f aca="false">IF(V506&lt;0,"Loss Making",IF(V506&lt;20,"Low Margin","Healthy Margin"))</f>
        <v>Healthy Margin</v>
      </c>
      <c r="AE506" s="1" t="str">
        <f aca="false">TEXT(DATE(VALUE(RIGHT(B506,4)),VALUE(MID(B506,4,2)),VALUE(LEFT(B506,2))),"MMM-YYYY")</f>
        <v>Jul-2023</v>
      </c>
      <c r="AF506" s="1" t="n">
        <f aca="false">VALUE(RIGHT(B506,4))</f>
        <v>2023</v>
      </c>
      <c r="AG506" s="1" t="str">
        <f aca="false">CHOOSE(ROUNDUP(VALUE(MID(B506,4,2))/3,0),"Q1","Q2","Q3","Q4")</f>
        <v>Q3</v>
      </c>
    </row>
    <row r="507" customFormat="false" ht="15" hidden="false" customHeight="true" outlineLevel="0" collapsed="false">
      <c r="A507" s="1" t="s">
        <v>1033</v>
      </c>
      <c r="B507" s="1" t="s">
        <v>1034</v>
      </c>
      <c r="C507" s="1" t="s">
        <v>93</v>
      </c>
      <c r="D507" s="1" t="s">
        <v>80</v>
      </c>
      <c r="E507" s="1" t="s">
        <v>81</v>
      </c>
      <c r="F507" s="1" t="s">
        <v>184</v>
      </c>
      <c r="G507" s="1" t="s">
        <v>56</v>
      </c>
      <c r="H507" s="1" t="s">
        <v>57</v>
      </c>
      <c r="I507" s="1" t="s">
        <v>83</v>
      </c>
      <c r="J507" s="1" t="s">
        <v>131</v>
      </c>
      <c r="K507" s="1" t="s">
        <v>104</v>
      </c>
      <c r="L507" s="1" t="s">
        <v>49</v>
      </c>
      <c r="M507" s="1" t="s">
        <v>62</v>
      </c>
      <c r="N507" s="1" t="n">
        <v>12999</v>
      </c>
      <c r="O507" s="1" t="n">
        <v>0</v>
      </c>
      <c r="P507" s="1" t="n">
        <v>0</v>
      </c>
      <c r="Q507" s="1" t="n">
        <v>12999</v>
      </c>
      <c r="R507" s="1" t="n">
        <v>2339.82</v>
      </c>
      <c r="S507" s="1" t="n">
        <v>10659.18</v>
      </c>
      <c r="T507" s="1" t="n">
        <v>5668.95</v>
      </c>
      <c r="U507" s="1" t="n">
        <v>4990.23</v>
      </c>
      <c r="V507" s="1" t="n">
        <v>46.82</v>
      </c>
      <c r="W507" s="1" t="s">
        <v>39</v>
      </c>
      <c r="X507" s="1" t="n">
        <v>2.9</v>
      </c>
      <c r="Y507" s="1" t="s">
        <v>40</v>
      </c>
      <c r="Z507" s="1" t="n">
        <v>0</v>
      </c>
      <c r="AA507" s="1" t="str">
        <f aca="false">TRIM(PROPER(F507))</f>
        <v>Faridabad</v>
      </c>
      <c r="AB507" s="1" t="str">
        <f aca="false">TRIM(PROPER(C507))</f>
        <v>Upgrad</v>
      </c>
      <c r="AC507" s="1" t="str">
        <f aca="false">IF(O507=0,"No Discount",IF(O507&lt;=15,"Low (1-15%)",IF(O507&lt;=30,"Medium (16-30%)","High (&gt;30%)")))</f>
        <v>No Discount</v>
      </c>
      <c r="AD507" s="1" t="str">
        <f aca="false">IF(V507&lt;0,"Loss Making",IF(V507&lt;20,"Low Margin","Healthy Margin"))</f>
        <v>Healthy Margin</v>
      </c>
      <c r="AE507" s="1" t="str">
        <f aca="false">TEXT(DATE(VALUE(RIGHT(B507,4)),VALUE(MID(B507,4,2)),VALUE(LEFT(B507,2))),"MMM-YYYY")</f>
        <v>Dec-2024</v>
      </c>
      <c r="AF507" s="1" t="n">
        <f aca="false">VALUE(RIGHT(B507,4))</f>
        <v>2024</v>
      </c>
      <c r="AG507" s="1" t="str">
        <f aca="false">CHOOSE(ROUNDUP(VALUE(MID(B507,4,2))/3,0),"Q1","Q2","Q3","Q4")</f>
        <v>Q4</v>
      </c>
    </row>
    <row r="508" customFormat="false" ht="15" hidden="false" customHeight="true" outlineLevel="0" collapsed="false">
      <c r="A508" s="1" t="s">
        <v>1035</v>
      </c>
      <c r="B508" s="1" t="s">
        <v>1036</v>
      </c>
      <c r="C508" s="1" t="s">
        <v>88</v>
      </c>
      <c r="D508" s="1" t="s">
        <v>143</v>
      </c>
      <c r="E508" s="1" t="s">
        <v>210</v>
      </c>
      <c r="F508" s="1" t="s">
        <v>194</v>
      </c>
      <c r="G508" s="1" t="s">
        <v>103</v>
      </c>
      <c r="H508" s="1" t="s">
        <v>69</v>
      </c>
      <c r="I508" s="1" t="s">
        <v>83</v>
      </c>
      <c r="J508" s="1" t="s">
        <v>35</v>
      </c>
      <c r="K508" s="1" t="s">
        <v>48</v>
      </c>
      <c r="L508" s="1" t="s">
        <v>85</v>
      </c>
      <c r="M508" s="1" t="s">
        <v>50</v>
      </c>
      <c r="N508" s="1" t="n">
        <v>18999</v>
      </c>
      <c r="O508" s="1" t="n">
        <v>25</v>
      </c>
      <c r="P508" s="1" t="n">
        <v>4749.75</v>
      </c>
      <c r="Q508" s="1" t="n">
        <v>14249.25</v>
      </c>
      <c r="R508" s="1" t="n">
        <v>2564.86</v>
      </c>
      <c r="S508" s="1" t="n">
        <v>11684.39</v>
      </c>
      <c r="T508" s="1" t="n">
        <v>5837.58</v>
      </c>
      <c r="U508" s="1" t="n">
        <v>5846.81</v>
      </c>
      <c r="V508" s="1" t="n">
        <v>50.04</v>
      </c>
      <c r="W508" s="1" t="s">
        <v>40</v>
      </c>
      <c r="Y508" s="1" t="s">
        <v>40</v>
      </c>
      <c r="Z508" s="1" t="n">
        <v>1</v>
      </c>
      <c r="AA508" s="1" t="str">
        <f aca="false">TRIM(PROPER(F508))</f>
        <v>Hyderabad</v>
      </c>
      <c r="AB508" s="1" t="str">
        <f aca="false">TRIM(PROPER(C508))</f>
        <v>Byju'S</v>
      </c>
      <c r="AC508" s="1" t="str">
        <f aca="false">IF(O508=0,"No Discount",IF(O508&lt;=15,"Low (1-15%)",IF(O508&lt;=30,"Medium (16-30%)","High (&gt;30%)")))</f>
        <v>Medium (16-30%)</v>
      </c>
      <c r="AD508" s="1" t="str">
        <f aca="false">IF(V508&lt;0,"Loss Making",IF(V508&lt;20,"Low Margin","Healthy Margin"))</f>
        <v>Healthy Margin</v>
      </c>
      <c r="AE508" s="1" t="str">
        <f aca="false">TEXT(DATE(VALUE(RIGHT(B508,4)),VALUE(MID(B508,4,2)),VALUE(LEFT(B508,2))),"MMM-YYYY")</f>
        <v>Apr-2023</v>
      </c>
      <c r="AF508" s="1" t="n">
        <f aca="false">VALUE(RIGHT(B508,4))</f>
        <v>2023</v>
      </c>
      <c r="AG508" s="1" t="str">
        <f aca="false">CHOOSE(ROUNDUP(VALUE(MID(B508,4,2))/3,0),"Q1","Q2","Q3","Q4")</f>
        <v>Q2</v>
      </c>
    </row>
    <row r="509" customFormat="false" ht="15" hidden="false" customHeight="true" outlineLevel="0" collapsed="false">
      <c r="A509" s="1" t="s">
        <v>1037</v>
      </c>
      <c r="B509" s="1" t="s">
        <v>237</v>
      </c>
      <c r="C509" s="1" t="s">
        <v>28</v>
      </c>
      <c r="D509" s="1" t="s">
        <v>29</v>
      </c>
      <c r="E509" s="1" t="s">
        <v>305</v>
      </c>
      <c r="F509" s="1" t="s">
        <v>46</v>
      </c>
      <c r="G509" s="1" t="s">
        <v>47</v>
      </c>
      <c r="H509" s="1" t="s">
        <v>33</v>
      </c>
      <c r="I509" s="1" t="s">
        <v>34</v>
      </c>
      <c r="J509" s="1" t="s">
        <v>35</v>
      </c>
      <c r="K509" s="1" t="s">
        <v>71</v>
      </c>
      <c r="L509" s="1" t="s">
        <v>85</v>
      </c>
      <c r="M509" s="1" t="s">
        <v>62</v>
      </c>
      <c r="N509" s="1" t="n">
        <v>24999</v>
      </c>
      <c r="O509" s="1" t="n">
        <v>25</v>
      </c>
      <c r="P509" s="1" t="n">
        <v>6249.75</v>
      </c>
      <c r="Q509" s="1" t="n">
        <v>18749.25</v>
      </c>
      <c r="R509" s="1" t="n">
        <v>3374.86</v>
      </c>
      <c r="S509" s="1" t="n">
        <v>15374.39</v>
      </c>
      <c r="T509" s="1" t="n">
        <v>6663.72</v>
      </c>
      <c r="U509" s="1" t="n">
        <v>8710.67</v>
      </c>
      <c r="V509" s="1" t="n">
        <v>56.66</v>
      </c>
      <c r="W509" s="1" t="s">
        <v>39</v>
      </c>
      <c r="X509" s="1" t="n">
        <v>4.5</v>
      </c>
      <c r="Y509" s="1" t="s">
        <v>40</v>
      </c>
      <c r="Z509" s="1" t="n">
        <v>0</v>
      </c>
      <c r="AA509" s="1" t="str">
        <f aca="false">TRIM(PROPER(F509))</f>
        <v>Mangaluru</v>
      </c>
      <c r="AB509" s="1" t="str">
        <f aca="false">TRIM(PROPER(C509))</f>
        <v>Embibe</v>
      </c>
      <c r="AC509" s="1" t="str">
        <f aca="false">IF(O509=0,"No Discount",IF(O509&lt;=15,"Low (1-15%)",IF(O509&lt;=30,"Medium (16-30%)","High (&gt;30%)")))</f>
        <v>Medium (16-30%)</v>
      </c>
      <c r="AD509" s="1" t="str">
        <f aca="false">IF(V509&lt;0,"Loss Making",IF(V509&lt;20,"Low Margin","Healthy Margin"))</f>
        <v>Healthy Margin</v>
      </c>
      <c r="AE509" s="1" t="str">
        <f aca="false">TEXT(DATE(VALUE(RIGHT(B509,4)),VALUE(MID(B509,4,2)),VALUE(LEFT(B509,2))),"MMM-YYYY")</f>
        <v>Apr-2024</v>
      </c>
      <c r="AF509" s="1" t="n">
        <f aca="false">VALUE(RIGHT(B509,4))</f>
        <v>2024</v>
      </c>
      <c r="AG509" s="1" t="str">
        <f aca="false">CHOOSE(ROUNDUP(VALUE(MID(B509,4,2))/3,0),"Q1","Q2","Q3","Q4")</f>
        <v>Q2</v>
      </c>
    </row>
    <row r="510" customFormat="false" ht="15" hidden="false" customHeight="true" outlineLevel="0" collapsed="false">
      <c r="A510" s="1" t="s">
        <v>1038</v>
      </c>
      <c r="B510" s="1" t="s">
        <v>207</v>
      </c>
      <c r="C510" s="1" t="s">
        <v>43</v>
      </c>
      <c r="D510" s="1" t="s">
        <v>168</v>
      </c>
      <c r="E510" s="1" t="s">
        <v>328</v>
      </c>
      <c r="F510" s="1" t="s">
        <v>140</v>
      </c>
      <c r="G510" s="1" t="s">
        <v>97</v>
      </c>
      <c r="H510" s="1" t="s">
        <v>57</v>
      </c>
      <c r="I510" s="1" t="s">
        <v>34</v>
      </c>
      <c r="J510" s="1" t="s">
        <v>70</v>
      </c>
      <c r="K510" s="1" t="s">
        <v>104</v>
      </c>
      <c r="L510" s="1" t="s">
        <v>113</v>
      </c>
      <c r="M510" s="1" t="s">
        <v>38</v>
      </c>
      <c r="N510" s="1" t="n">
        <v>8999</v>
      </c>
      <c r="O510" s="1" t="n">
        <v>0</v>
      </c>
      <c r="P510" s="1" t="n">
        <v>0</v>
      </c>
      <c r="Q510" s="1" t="n">
        <v>8999</v>
      </c>
      <c r="R510" s="1" t="n">
        <v>1619.82</v>
      </c>
      <c r="S510" s="1" t="n">
        <v>7379.18</v>
      </c>
      <c r="T510" s="1" t="n">
        <v>3097.35</v>
      </c>
      <c r="U510" s="1" t="n">
        <v>4281.83</v>
      </c>
      <c r="V510" s="1" t="n">
        <v>58.03</v>
      </c>
      <c r="W510" s="1" t="s">
        <v>39</v>
      </c>
      <c r="X510" s="1" t="n">
        <v>4.5</v>
      </c>
      <c r="Y510" s="1" t="s">
        <v>40</v>
      </c>
      <c r="Z510" s="1" t="n">
        <v>0</v>
      </c>
      <c r="AA510" s="1" t="str">
        <f aca="false">TRIM(PROPER(F510))</f>
        <v>Nashik</v>
      </c>
      <c r="AB510" s="1" t="str">
        <f aca="false">TRIM(PROPER(C510))</f>
        <v>Meritnation</v>
      </c>
      <c r="AC510" s="1" t="str">
        <f aca="false">IF(O510=0,"No Discount",IF(O510&lt;=15,"Low (1-15%)",IF(O510&lt;=30,"Medium (16-30%)","High (&gt;30%)")))</f>
        <v>No Discount</v>
      </c>
      <c r="AD510" s="1" t="str">
        <f aca="false">IF(V510&lt;0,"Loss Making",IF(V510&lt;20,"Low Margin","Healthy Margin"))</f>
        <v>Healthy Margin</v>
      </c>
      <c r="AE510" s="1" t="str">
        <f aca="false">TEXT(DATE(VALUE(RIGHT(B510,4)),VALUE(MID(B510,4,2)),VALUE(LEFT(B510,2))),"MMM-YYYY")</f>
        <v>Dec-2023</v>
      </c>
      <c r="AF510" s="1" t="n">
        <f aca="false">VALUE(RIGHT(B510,4))</f>
        <v>2023</v>
      </c>
      <c r="AG510" s="1" t="str">
        <f aca="false">CHOOSE(ROUNDUP(VALUE(MID(B510,4,2))/3,0),"Q1","Q2","Q3","Q4")</f>
        <v>Q4</v>
      </c>
    </row>
    <row r="511" customFormat="false" ht="15" hidden="false" customHeight="true" outlineLevel="0" collapsed="false">
      <c r="A511" s="1" t="s">
        <v>1039</v>
      </c>
      <c r="B511" s="1" t="s">
        <v>1040</v>
      </c>
      <c r="C511" s="1" t="s">
        <v>178</v>
      </c>
      <c r="D511" s="1" t="s">
        <v>44</v>
      </c>
      <c r="E511" s="1" t="s">
        <v>66</v>
      </c>
      <c r="F511" s="1" t="s">
        <v>156</v>
      </c>
      <c r="G511" s="1" t="s">
        <v>68</v>
      </c>
      <c r="H511" s="1" t="s">
        <v>57</v>
      </c>
      <c r="I511" s="1" t="s">
        <v>83</v>
      </c>
      <c r="J511" s="1" t="s">
        <v>59</v>
      </c>
      <c r="K511" s="1" t="s">
        <v>71</v>
      </c>
      <c r="L511" s="1" t="s">
        <v>49</v>
      </c>
      <c r="M511" s="1" t="s">
        <v>50</v>
      </c>
      <c r="N511" s="1" t="n">
        <v>12999</v>
      </c>
      <c r="O511" s="1" t="n">
        <v>0</v>
      </c>
      <c r="P511" s="1" t="n">
        <v>0</v>
      </c>
      <c r="Q511" s="1" t="n">
        <v>12999</v>
      </c>
      <c r="R511" s="1" t="n">
        <v>2339.82</v>
      </c>
      <c r="S511" s="1" t="n">
        <v>10659.18</v>
      </c>
      <c r="T511" s="1" t="n">
        <v>4342.73</v>
      </c>
      <c r="U511" s="1" t="n">
        <v>6316.45</v>
      </c>
      <c r="V511" s="1" t="n">
        <v>59.26</v>
      </c>
      <c r="W511" s="1" t="s">
        <v>39</v>
      </c>
      <c r="X511" s="1" t="n">
        <v>3.3</v>
      </c>
      <c r="Y511" s="1" t="s">
        <v>40</v>
      </c>
      <c r="Z511" s="1" t="n">
        <v>0</v>
      </c>
      <c r="AA511" s="1" t="str">
        <f aca="false">TRIM(PROPER(F511))</f>
        <v>Surat</v>
      </c>
      <c r="AB511" s="1" t="str">
        <f aca="false">TRIM(PROPER(C511))</f>
        <v>Leverage Edu</v>
      </c>
      <c r="AC511" s="1" t="str">
        <f aca="false">IF(O511=0,"No Discount",IF(O511&lt;=15,"Low (1-15%)",IF(O511&lt;=30,"Medium (16-30%)","High (&gt;30%)")))</f>
        <v>No Discount</v>
      </c>
      <c r="AD511" s="1" t="str">
        <f aca="false">IF(V511&lt;0,"Loss Making",IF(V511&lt;20,"Low Margin","Healthy Margin"))</f>
        <v>Healthy Margin</v>
      </c>
      <c r="AE511" s="1" t="str">
        <f aca="false">TEXT(DATE(VALUE(RIGHT(B511,4)),VALUE(MID(B511,4,2)),VALUE(LEFT(B511,2))),"MMM-YYYY")</f>
        <v>Sep-2023</v>
      </c>
      <c r="AF511" s="1" t="n">
        <f aca="false">VALUE(RIGHT(B511,4))</f>
        <v>2023</v>
      </c>
      <c r="AG511" s="1" t="str">
        <f aca="false">CHOOSE(ROUNDUP(VALUE(MID(B511,4,2))/3,0),"Q1","Q2","Q3","Q4")</f>
        <v>Q3</v>
      </c>
    </row>
    <row r="512" customFormat="false" ht="15" hidden="false" customHeight="true" outlineLevel="0" collapsed="false">
      <c r="A512" s="1" t="s">
        <v>1041</v>
      </c>
      <c r="B512" s="1" t="s">
        <v>1042</v>
      </c>
      <c r="C512" s="1" t="s">
        <v>100</v>
      </c>
      <c r="D512" s="1" t="s">
        <v>123</v>
      </c>
      <c r="E512" s="1" t="s">
        <v>124</v>
      </c>
      <c r="F512" s="1" t="s">
        <v>153</v>
      </c>
      <c r="G512" s="1" t="s">
        <v>76</v>
      </c>
      <c r="H512" s="1" t="s">
        <v>33</v>
      </c>
      <c r="I512" s="1" t="s">
        <v>83</v>
      </c>
      <c r="J512" s="1" t="s">
        <v>35</v>
      </c>
      <c r="K512" s="1" t="s">
        <v>112</v>
      </c>
      <c r="L512" s="1" t="s">
        <v>37</v>
      </c>
      <c r="M512" s="1" t="s">
        <v>50</v>
      </c>
      <c r="N512" s="1" t="n">
        <v>4999</v>
      </c>
      <c r="O512" s="1" t="n">
        <v>0</v>
      </c>
      <c r="P512" s="1" t="n">
        <v>0</v>
      </c>
      <c r="Q512" s="1" t="n">
        <v>4999</v>
      </c>
      <c r="R512" s="1" t="n">
        <v>899.82</v>
      </c>
      <c r="S512" s="1" t="n">
        <v>4099.18</v>
      </c>
      <c r="T512" s="1" t="n">
        <v>1783.12</v>
      </c>
      <c r="U512" s="1" t="n">
        <v>2316.06</v>
      </c>
      <c r="V512" s="1" t="n">
        <v>56.5</v>
      </c>
      <c r="W512" s="1" t="s">
        <v>39</v>
      </c>
      <c r="X512" s="1" t="n">
        <v>3.3</v>
      </c>
      <c r="Y512" s="1" t="s">
        <v>40</v>
      </c>
      <c r="Z512" s="1" t="n">
        <v>0</v>
      </c>
      <c r="AA512" s="1" t="str">
        <f aca="false">TRIM(PROPER(F512))</f>
        <v>Howrah</v>
      </c>
      <c r="AB512" s="1" t="str">
        <f aca="false">TRIM(PROPER(C512))</f>
        <v>Physics Wallah</v>
      </c>
      <c r="AC512" s="1" t="str">
        <f aca="false">IF(O512=0,"No Discount",IF(O512&lt;=15,"Low (1-15%)",IF(O512&lt;=30,"Medium (16-30%)","High (&gt;30%)")))</f>
        <v>No Discount</v>
      </c>
      <c r="AD512" s="1" t="str">
        <f aca="false">IF(V512&lt;0,"Loss Making",IF(V512&lt;20,"Low Margin","Healthy Margin"))</f>
        <v>Healthy Margin</v>
      </c>
      <c r="AE512" s="1" t="str">
        <f aca="false">TEXT(DATE(VALUE(RIGHT(B512,4)),VALUE(MID(B512,4,2)),VALUE(LEFT(B512,2))),"MMM-YYYY")</f>
        <v>Mar-2023</v>
      </c>
      <c r="AF512" s="1" t="n">
        <f aca="false">VALUE(RIGHT(B512,4))</f>
        <v>2023</v>
      </c>
      <c r="AG512" s="1" t="str">
        <f aca="false">CHOOSE(ROUNDUP(VALUE(MID(B512,4,2))/3,0),"Q1","Q2","Q3","Q4")</f>
        <v>Q1</v>
      </c>
    </row>
    <row r="513" customFormat="false" ht="15" hidden="false" customHeight="true" outlineLevel="0" collapsed="false">
      <c r="A513" s="1" t="s">
        <v>1043</v>
      </c>
      <c r="B513" s="1" t="s">
        <v>1044</v>
      </c>
      <c r="C513" s="1" t="s">
        <v>134</v>
      </c>
      <c r="D513" s="1" t="s">
        <v>53</v>
      </c>
      <c r="E513" s="1" t="s">
        <v>216</v>
      </c>
      <c r="F513" s="1" t="s">
        <v>55</v>
      </c>
      <c r="G513" s="1" t="s">
        <v>56</v>
      </c>
      <c r="H513" s="1" t="s">
        <v>57</v>
      </c>
      <c r="I513" s="1" t="s">
        <v>58</v>
      </c>
      <c r="J513" s="1" t="s">
        <v>77</v>
      </c>
      <c r="K513" s="1" t="s">
        <v>90</v>
      </c>
      <c r="L513" s="1" t="s">
        <v>85</v>
      </c>
      <c r="M513" s="1" t="s">
        <v>62</v>
      </c>
      <c r="N513" s="1" t="n">
        <v>7499</v>
      </c>
      <c r="O513" s="1" t="n">
        <v>15</v>
      </c>
      <c r="P513" s="1" t="n">
        <v>1124.85</v>
      </c>
      <c r="Q513" s="1" t="n">
        <v>6374.15</v>
      </c>
      <c r="R513" s="1" t="n">
        <v>1147.35</v>
      </c>
      <c r="S513" s="1" t="n">
        <v>5226.8</v>
      </c>
      <c r="T513" s="1" t="n">
        <v>2567.02</v>
      </c>
      <c r="U513" s="1" t="n">
        <v>2659.78</v>
      </c>
      <c r="V513" s="1" t="n">
        <v>50.89</v>
      </c>
      <c r="W513" s="1" t="s">
        <v>40</v>
      </c>
      <c r="Y513" s="1" t="s">
        <v>40</v>
      </c>
      <c r="Z513" s="1" t="n">
        <v>0</v>
      </c>
      <c r="AA513" s="1" t="str">
        <f aca="false">TRIM(PROPER(F513))</f>
        <v>Ghaziabad</v>
      </c>
      <c r="AB513" s="1" t="str">
        <f aca="false">TRIM(PROPER(C513))</f>
        <v>Doubtnut</v>
      </c>
      <c r="AC513" s="1" t="str">
        <f aca="false">IF(O513=0,"No Discount",IF(O513&lt;=15,"Low (1-15%)",IF(O513&lt;=30,"Medium (16-30%)","High (&gt;30%)")))</f>
        <v>Low (1-15%)</v>
      </c>
      <c r="AD513" s="1" t="str">
        <f aca="false">IF(V513&lt;0,"Loss Making",IF(V513&lt;20,"Low Margin","Healthy Margin"))</f>
        <v>Healthy Margin</v>
      </c>
      <c r="AE513" s="1" t="str">
        <f aca="false">TEXT(DATE(VALUE(RIGHT(B513,4)),VALUE(MID(B513,4,2)),VALUE(LEFT(B513,2))),"MMM-YYYY")</f>
        <v>Apr-2023</v>
      </c>
      <c r="AF513" s="1" t="n">
        <f aca="false">VALUE(RIGHT(B513,4))</f>
        <v>2023</v>
      </c>
      <c r="AG513" s="1" t="str">
        <f aca="false">CHOOSE(ROUNDUP(VALUE(MID(B513,4,2))/3,0),"Q1","Q2","Q3","Q4")</f>
        <v>Q2</v>
      </c>
    </row>
    <row r="514" customFormat="false" ht="15" hidden="false" customHeight="true" outlineLevel="0" collapsed="false">
      <c r="A514" s="1" t="s">
        <v>1045</v>
      </c>
      <c r="B514" s="1" t="s">
        <v>1046</v>
      </c>
      <c r="C514" s="1" t="s">
        <v>119</v>
      </c>
      <c r="D514" s="1" t="s">
        <v>143</v>
      </c>
      <c r="E514" s="1" t="s">
        <v>144</v>
      </c>
      <c r="F514" s="1" t="s">
        <v>194</v>
      </c>
      <c r="G514" s="1" t="s">
        <v>103</v>
      </c>
      <c r="H514" s="1" t="s">
        <v>69</v>
      </c>
      <c r="I514" s="1" t="s">
        <v>58</v>
      </c>
      <c r="J514" s="1" t="s">
        <v>70</v>
      </c>
      <c r="K514" s="1" t="s">
        <v>84</v>
      </c>
      <c r="L514" s="1" t="s">
        <v>37</v>
      </c>
      <c r="M514" s="1" t="s">
        <v>38</v>
      </c>
      <c r="N514" s="1" t="n">
        <v>12999</v>
      </c>
      <c r="O514" s="1" t="n">
        <v>15</v>
      </c>
      <c r="P514" s="1" t="n">
        <v>1949.85</v>
      </c>
      <c r="Q514" s="1" t="n">
        <v>11049.15</v>
      </c>
      <c r="R514" s="1" t="n">
        <v>1988.85</v>
      </c>
      <c r="S514" s="1" t="n">
        <v>9060.3</v>
      </c>
      <c r="T514" s="1" t="n">
        <v>2931.12</v>
      </c>
      <c r="U514" s="1" t="n">
        <v>6129.18</v>
      </c>
      <c r="V514" s="1" t="n">
        <v>67.65</v>
      </c>
      <c r="W514" s="1" t="s">
        <v>39</v>
      </c>
      <c r="X514" s="1" t="n">
        <v>4.9</v>
      </c>
      <c r="Y514" s="1" t="s">
        <v>40</v>
      </c>
      <c r="Z514" s="1" t="n">
        <v>0</v>
      </c>
      <c r="AA514" s="1" t="str">
        <f aca="false">TRIM(PROPER(F514))</f>
        <v>Hyderabad</v>
      </c>
      <c r="AB514" s="1" t="str">
        <f aca="false">TRIM(PROPER(C514))</f>
        <v>Simplilearn</v>
      </c>
      <c r="AC514" s="1" t="str">
        <f aca="false">IF(O514=0,"No Discount",IF(O514&lt;=15,"Low (1-15%)",IF(O514&lt;=30,"Medium (16-30%)","High (&gt;30%)")))</f>
        <v>Low (1-15%)</v>
      </c>
      <c r="AD514" s="1" t="str">
        <f aca="false">IF(V514&lt;0,"Loss Making",IF(V514&lt;20,"Low Margin","Healthy Margin"))</f>
        <v>Healthy Margin</v>
      </c>
      <c r="AE514" s="1" t="str">
        <f aca="false">TEXT(DATE(VALUE(RIGHT(B514,4)),VALUE(MID(B514,4,2)),VALUE(LEFT(B514,2))),"MMM-YYYY")</f>
        <v>Aug-2023</v>
      </c>
      <c r="AF514" s="1" t="n">
        <f aca="false">VALUE(RIGHT(B514,4))</f>
        <v>2023</v>
      </c>
      <c r="AG514" s="1" t="str">
        <f aca="false">CHOOSE(ROUNDUP(VALUE(MID(B514,4,2))/3,0),"Q1","Q2","Q3","Q4")</f>
        <v>Q3</v>
      </c>
    </row>
    <row r="515" customFormat="false" ht="15" hidden="false" customHeight="true" outlineLevel="0" collapsed="false">
      <c r="A515" s="1" t="s">
        <v>1047</v>
      </c>
      <c r="B515" s="1" t="s">
        <v>1048</v>
      </c>
      <c r="C515" s="1" t="s">
        <v>139</v>
      </c>
      <c r="D515" s="1" t="s">
        <v>94</v>
      </c>
      <c r="E515" s="1" t="s">
        <v>135</v>
      </c>
      <c r="F515" s="1" t="s">
        <v>107</v>
      </c>
      <c r="G515" s="1" t="s">
        <v>108</v>
      </c>
      <c r="H515" s="1" t="s">
        <v>33</v>
      </c>
      <c r="I515" s="1" t="s">
        <v>83</v>
      </c>
      <c r="J515" s="1" t="s">
        <v>59</v>
      </c>
      <c r="K515" s="1" t="s">
        <v>36</v>
      </c>
      <c r="L515" s="1" t="s">
        <v>61</v>
      </c>
      <c r="M515" s="1" t="s">
        <v>38</v>
      </c>
      <c r="N515" s="1" t="n">
        <v>9999</v>
      </c>
      <c r="O515" s="1" t="n">
        <v>20</v>
      </c>
      <c r="P515" s="1" t="n">
        <v>1999.8</v>
      </c>
      <c r="Q515" s="1" t="n">
        <v>7999.2</v>
      </c>
      <c r="R515" s="1" t="n">
        <v>1439.86</v>
      </c>
      <c r="S515" s="1" t="n">
        <v>6559.34</v>
      </c>
      <c r="T515" s="1" t="n">
        <v>2433.64</v>
      </c>
      <c r="U515" s="1" t="n">
        <v>4125.7</v>
      </c>
      <c r="V515" s="1" t="n">
        <v>62.9</v>
      </c>
      <c r="W515" s="1" t="s">
        <v>40</v>
      </c>
      <c r="Y515" s="1" t="s">
        <v>40</v>
      </c>
      <c r="Z515" s="1" t="n">
        <v>0</v>
      </c>
      <c r="AA515" s="1" t="str">
        <f aca="false">TRIM(PROPER(F515))</f>
        <v>Madurai</v>
      </c>
      <c r="AB515" s="1" t="str">
        <f aca="false">TRIM(PROPER(C515))</f>
        <v>Extramarks</v>
      </c>
      <c r="AC515" s="1" t="str">
        <f aca="false">IF(O515=0,"No Discount",IF(O515&lt;=15,"Low (1-15%)",IF(O515&lt;=30,"Medium (16-30%)","High (&gt;30%)")))</f>
        <v>Medium (16-30%)</v>
      </c>
      <c r="AD515" s="1" t="str">
        <f aca="false">IF(V515&lt;0,"Loss Making",IF(V515&lt;20,"Low Margin","Healthy Margin"))</f>
        <v>Healthy Margin</v>
      </c>
      <c r="AE515" s="1" t="str">
        <f aca="false">TEXT(DATE(VALUE(RIGHT(B515,4)),VALUE(MID(B515,4,2)),VALUE(LEFT(B515,2))),"MMM-YYYY")</f>
        <v>Jan-2023</v>
      </c>
      <c r="AF515" s="1" t="n">
        <f aca="false">VALUE(RIGHT(B515,4))</f>
        <v>2023</v>
      </c>
      <c r="AG515" s="1" t="str">
        <f aca="false">CHOOSE(ROUNDUP(VALUE(MID(B515,4,2))/3,0),"Q1","Q2","Q3","Q4")</f>
        <v>Q1</v>
      </c>
    </row>
    <row r="516" customFormat="false" ht="15" hidden="false" customHeight="true" outlineLevel="0" collapsed="false">
      <c r="A516" s="1" t="s">
        <v>1049</v>
      </c>
      <c r="B516" s="1" t="s">
        <v>1050</v>
      </c>
      <c r="C516" s="1" t="s">
        <v>119</v>
      </c>
      <c r="D516" s="1" t="s">
        <v>143</v>
      </c>
      <c r="E516" s="1" t="s">
        <v>159</v>
      </c>
      <c r="F516" s="1" t="s">
        <v>107</v>
      </c>
      <c r="G516" s="1" t="s">
        <v>108</v>
      </c>
      <c r="H516" s="1" t="s">
        <v>33</v>
      </c>
      <c r="I516" s="1" t="s">
        <v>34</v>
      </c>
      <c r="J516" s="1" t="s">
        <v>70</v>
      </c>
      <c r="K516" s="1" t="s">
        <v>60</v>
      </c>
      <c r="L516" s="1" t="s">
        <v>85</v>
      </c>
      <c r="M516" s="1" t="s">
        <v>38</v>
      </c>
      <c r="N516" s="1" t="n">
        <v>24999</v>
      </c>
      <c r="O516" s="1" t="n">
        <v>20</v>
      </c>
      <c r="P516" s="1" t="n">
        <v>4999.8</v>
      </c>
      <c r="Q516" s="1" t="n">
        <v>19999.2</v>
      </c>
      <c r="R516" s="1" t="n">
        <v>3599.86</v>
      </c>
      <c r="S516" s="1" t="n">
        <v>16399.34</v>
      </c>
      <c r="T516" s="1" t="n">
        <v>7622.51</v>
      </c>
      <c r="U516" s="1" t="n">
        <v>8776.83</v>
      </c>
      <c r="V516" s="1" t="n">
        <v>53.52</v>
      </c>
      <c r="W516" s="1" t="s">
        <v>39</v>
      </c>
      <c r="X516" s="1" t="n">
        <v>3.7</v>
      </c>
      <c r="Y516" s="1" t="s">
        <v>40</v>
      </c>
      <c r="Z516" s="1" t="n">
        <v>0</v>
      </c>
      <c r="AA516" s="1" t="str">
        <f aca="false">TRIM(PROPER(F516))</f>
        <v>Madurai</v>
      </c>
      <c r="AB516" s="1" t="str">
        <f aca="false">TRIM(PROPER(C516))</f>
        <v>Simplilearn</v>
      </c>
      <c r="AC516" s="1" t="str">
        <f aca="false">IF(O516=0,"No Discount",IF(O516&lt;=15,"Low (1-15%)",IF(O516&lt;=30,"Medium (16-30%)","High (&gt;30%)")))</f>
        <v>Medium (16-30%)</v>
      </c>
      <c r="AD516" s="1" t="str">
        <f aca="false">IF(V516&lt;0,"Loss Making",IF(V516&lt;20,"Low Margin","Healthy Margin"))</f>
        <v>Healthy Margin</v>
      </c>
      <c r="AE516" s="1" t="str">
        <f aca="false">TEXT(DATE(VALUE(RIGHT(B516,4)),VALUE(MID(B516,4,2)),VALUE(LEFT(B516,2))),"MMM-YYYY")</f>
        <v>Nov-2023</v>
      </c>
      <c r="AF516" s="1" t="n">
        <f aca="false">VALUE(RIGHT(B516,4))</f>
        <v>2023</v>
      </c>
      <c r="AG516" s="1" t="str">
        <f aca="false">CHOOSE(ROUNDUP(VALUE(MID(B516,4,2))/3,0),"Q1","Q2","Q3","Q4")</f>
        <v>Q4</v>
      </c>
    </row>
    <row r="517" customFormat="false" ht="15" hidden="false" customHeight="true" outlineLevel="0" collapsed="false">
      <c r="A517" s="1" t="s">
        <v>1051</v>
      </c>
      <c r="B517" s="1" t="s">
        <v>1052</v>
      </c>
      <c r="C517" s="1" t="s">
        <v>128</v>
      </c>
      <c r="D517" s="1" t="s">
        <v>53</v>
      </c>
      <c r="E517" s="1" t="s">
        <v>116</v>
      </c>
      <c r="F517" s="1" t="s">
        <v>55</v>
      </c>
      <c r="G517" s="1" t="s">
        <v>56</v>
      </c>
      <c r="H517" s="1" t="s">
        <v>57</v>
      </c>
      <c r="I517" s="1" t="s">
        <v>83</v>
      </c>
      <c r="J517" s="1" t="s">
        <v>131</v>
      </c>
      <c r="K517" s="1" t="s">
        <v>60</v>
      </c>
      <c r="L517" s="1" t="s">
        <v>61</v>
      </c>
      <c r="M517" s="1" t="s">
        <v>38</v>
      </c>
      <c r="N517" s="1" t="n">
        <v>9999</v>
      </c>
      <c r="O517" s="1" t="n">
        <v>15</v>
      </c>
      <c r="P517" s="1" t="n">
        <v>1499.85</v>
      </c>
      <c r="Q517" s="1" t="n">
        <v>8499.15</v>
      </c>
      <c r="R517" s="1" t="n">
        <v>1529.85</v>
      </c>
      <c r="S517" s="1" t="n">
        <v>6969.3</v>
      </c>
      <c r="T517" s="1" t="n">
        <v>2934.07</v>
      </c>
      <c r="U517" s="1" t="n">
        <v>4035.23</v>
      </c>
      <c r="V517" s="1" t="n">
        <v>57.9</v>
      </c>
      <c r="W517" s="1" t="s">
        <v>40</v>
      </c>
      <c r="Y517" s="1" t="s">
        <v>40</v>
      </c>
      <c r="Z517" s="1" t="n">
        <v>0</v>
      </c>
      <c r="AA517" s="1" t="str">
        <f aca="false">TRIM(PROPER(F517))</f>
        <v>Ghaziabad</v>
      </c>
      <c r="AB517" s="1" t="str">
        <f aca="false">TRIM(PROPER(C517))</f>
        <v>Great Learning</v>
      </c>
      <c r="AC517" s="1" t="str">
        <f aca="false">IF(O517=0,"No Discount",IF(O517&lt;=15,"Low (1-15%)",IF(O517&lt;=30,"Medium (16-30%)","High (&gt;30%)")))</f>
        <v>Low (1-15%)</v>
      </c>
      <c r="AD517" s="1" t="str">
        <f aca="false">IF(V517&lt;0,"Loss Making",IF(V517&lt;20,"Low Margin","Healthy Margin"))</f>
        <v>Healthy Margin</v>
      </c>
      <c r="AE517" s="1" t="str">
        <f aca="false">TEXT(DATE(VALUE(RIGHT(B517,4)),VALUE(MID(B517,4,2)),VALUE(LEFT(B517,2))),"MMM-YYYY")</f>
        <v>May-2023</v>
      </c>
      <c r="AF517" s="1" t="n">
        <f aca="false">VALUE(RIGHT(B517,4))</f>
        <v>2023</v>
      </c>
      <c r="AG517" s="1" t="str">
        <f aca="false">CHOOSE(ROUNDUP(VALUE(MID(B517,4,2))/3,0),"Q1","Q2","Q3","Q4")</f>
        <v>Q2</v>
      </c>
    </row>
    <row r="518" customFormat="false" ht="15" hidden="false" customHeight="true" outlineLevel="0" collapsed="false">
      <c r="A518" s="1" t="s">
        <v>1053</v>
      </c>
      <c r="B518" s="1" t="s">
        <v>1054</v>
      </c>
      <c r="C518" s="1" t="s">
        <v>119</v>
      </c>
      <c r="D518" s="1" t="s">
        <v>143</v>
      </c>
      <c r="E518" s="1" t="s">
        <v>144</v>
      </c>
      <c r="F518" s="1" t="s">
        <v>125</v>
      </c>
      <c r="G518" s="1" t="s">
        <v>108</v>
      </c>
      <c r="H518" s="1" t="s">
        <v>69</v>
      </c>
      <c r="I518" s="1" t="s">
        <v>34</v>
      </c>
      <c r="J518" s="1" t="s">
        <v>70</v>
      </c>
      <c r="K518" s="1" t="s">
        <v>71</v>
      </c>
      <c r="L518" s="1" t="s">
        <v>37</v>
      </c>
      <c r="M518" s="1" t="s">
        <v>62</v>
      </c>
      <c r="N518" s="1" t="n">
        <v>12999</v>
      </c>
      <c r="O518" s="1" t="n">
        <v>25</v>
      </c>
      <c r="P518" s="1" t="n">
        <v>3249.75</v>
      </c>
      <c r="Q518" s="1" t="n">
        <v>9749.25</v>
      </c>
      <c r="R518" s="1" t="n">
        <v>1754.87</v>
      </c>
      <c r="S518" s="1" t="n">
        <v>7994.38</v>
      </c>
      <c r="T518" s="1" t="n">
        <v>3142.01</v>
      </c>
      <c r="U518" s="1" t="n">
        <v>4852.37</v>
      </c>
      <c r="V518" s="1" t="n">
        <v>60.7</v>
      </c>
      <c r="W518" s="1" t="s">
        <v>39</v>
      </c>
      <c r="Y518" s="1" t="s">
        <v>40</v>
      </c>
      <c r="Z518" s="1" t="n">
        <v>0</v>
      </c>
      <c r="AA518" s="1" t="str">
        <f aca="false">TRIM(PROPER(F518))</f>
        <v>Chennai</v>
      </c>
      <c r="AB518" s="1" t="str">
        <f aca="false">TRIM(PROPER(C518))</f>
        <v>Simplilearn</v>
      </c>
      <c r="AC518" s="1" t="str">
        <f aca="false">IF(O518=0,"No Discount",IF(O518&lt;=15,"Low (1-15%)",IF(O518&lt;=30,"Medium (16-30%)","High (&gt;30%)")))</f>
        <v>Medium (16-30%)</v>
      </c>
      <c r="AD518" s="1" t="str">
        <f aca="false">IF(V518&lt;0,"Loss Making",IF(V518&lt;20,"Low Margin","Healthy Margin"))</f>
        <v>Healthy Margin</v>
      </c>
      <c r="AE518" s="1" t="str">
        <f aca="false">TEXT(DATE(VALUE(RIGHT(B518,4)),VALUE(MID(B518,4,2)),VALUE(LEFT(B518,2))),"MMM-YYYY")</f>
        <v>Nov-2024</v>
      </c>
      <c r="AF518" s="1" t="n">
        <f aca="false">VALUE(RIGHT(B518,4))</f>
        <v>2024</v>
      </c>
      <c r="AG518" s="1" t="str">
        <f aca="false">CHOOSE(ROUNDUP(VALUE(MID(B518,4,2))/3,0),"Q1","Q2","Q3","Q4")</f>
        <v>Q4</v>
      </c>
    </row>
    <row r="519" customFormat="false" ht="15" hidden="false" customHeight="true" outlineLevel="0" collapsed="false">
      <c r="A519" s="1" t="s">
        <v>1055</v>
      </c>
      <c r="B519" s="1" t="s">
        <v>1056</v>
      </c>
      <c r="C519" s="1" t="s">
        <v>167</v>
      </c>
      <c r="D519" s="1" t="s">
        <v>53</v>
      </c>
      <c r="E519" s="1" t="s">
        <v>116</v>
      </c>
      <c r="F519" s="1" t="s">
        <v>96</v>
      </c>
      <c r="G519" s="1" t="s">
        <v>97</v>
      </c>
      <c r="H519" s="1" t="s">
        <v>69</v>
      </c>
      <c r="I519" s="1" t="s">
        <v>83</v>
      </c>
      <c r="J519" s="1" t="s">
        <v>131</v>
      </c>
      <c r="K519" s="1" t="s">
        <v>112</v>
      </c>
      <c r="L519" s="1" t="s">
        <v>37</v>
      </c>
      <c r="M519" s="1" t="s">
        <v>38</v>
      </c>
      <c r="N519" s="1" t="n">
        <v>9999</v>
      </c>
      <c r="O519" s="1" t="n">
        <v>0</v>
      </c>
      <c r="P519" s="1" t="n">
        <v>0</v>
      </c>
      <c r="Q519" s="1" t="n">
        <v>9999</v>
      </c>
      <c r="R519" s="1" t="n">
        <v>1799.82</v>
      </c>
      <c r="S519" s="1" t="n">
        <v>8199.18</v>
      </c>
      <c r="T519" s="1" t="n">
        <v>2840.67</v>
      </c>
      <c r="U519" s="1" t="n">
        <v>5358.51</v>
      </c>
      <c r="V519" s="1" t="n">
        <v>65.35</v>
      </c>
      <c r="W519" s="1" t="s">
        <v>39</v>
      </c>
      <c r="X519" s="1" t="n">
        <v>3.1</v>
      </c>
      <c r="Y519" s="1" t="s">
        <v>40</v>
      </c>
      <c r="Z519" s="1" t="n">
        <v>0</v>
      </c>
      <c r="AA519" s="1" t="str">
        <f aca="false">TRIM(PROPER(F519))</f>
        <v>Pune</v>
      </c>
      <c r="AB519" s="1" t="str">
        <f aca="false">TRIM(PROPER(C519))</f>
        <v>Scaler</v>
      </c>
      <c r="AC519" s="1" t="str">
        <f aca="false">IF(O519=0,"No Discount",IF(O519&lt;=15,"Low (1-15%)",IF(O519&lt;=30,"Medium (16-30%)","High (&gt;30%)")))</f>
        <v>No Discount</v>
      </c>
      <c r="AD519" s="1" t="str">
        <f aca="false">IF(V519&lt;0,"Loss Making",IF(V519&lt;20,"Low Margin","Healthy Margin"))</f>
        <v>Healthy Margin</v>
      </c>
      <c r="AE519" s="1" t="str">
        <f aca="false">TEXT(DATE(VALUE(RIGHT(B519,4)),VALUE(MID(B519,4,2)),VALUE(LEFT(B519,2))),"MMM-YYYY")</f>
        <v>Apr-2024</v>
      </c>
      <c r="AF519" s="1" t="n">
        <f aca="false">VALUE(RIGHT(B519,4))</f>
        <v>2024</v>
      </c>
      <c r="AG519" s="1" t="str">
        <f aca="false">CHOOSE(ROUNDUP(VALUE(MID(B519,4,2))/3,0),"Q1","Q2","Q3","Q4")</f>
        <v>Q2</v>
      </c>
    </row>
    <row r="520" customFormat="false" ht="15" hidden="false" customHeight="true" outlineLevel="0" collapsed="false">
      <c r="A520" s="1" t="s">
        <v>1057</v>
      </c>
      <c r="B520" s="1" t="s">
        <v>1058</v>
      </c>
      <c r="C520" s="1" t="s">
        <v>139</v>
      </c>
      <c r="D520" s="1" t="s">
        <v>53</v>
      </c>
      <c r="E520" s="1" t="s">
        <v>216</v>
      </c>
      <c r="F520" s="1" t="s">
        <v>75</v>
      </c>
      <c r="G520" s="1" t="s">
        <v>76</v>
      </c>
      <c r="H520" s="1" t="s">
        <v>69</v>
      </c>
      <c r="I520" s="1" t="s">
        <v>34</v>
      </c>
      <c r="J520" s="1" t="s">
        <v>35</v>
      </c>
      <c r="K520" s="1" t="s">
        <v>84</v>
      </c>
      <c r="L520" s="1" t="s">
        <v>85</v>
      </c>
      <c r="M520" s="1" t="s">
        <v>38</v>
      </c>
      <c r="N520" s="1" t="n">
        <v>7499</v>
      </c>
      <c r="O520" s="1" t="n">
        <v>20</v>
      </c>
      <c r="P520" s="1" t="n">
        <v>1499.8</v>
      </c>
      <c r="Q520" s="1" t="n">
        <v>5999.2</v>
      </c>
      <c r="R520" s="1" t="n">
        <v>1079.86</v>
      </c>
      <c r="S520" s="1" t="n">
        <v>4919.34</v>
      </c>
      <c r="T520" s="1" t="n">
        <v>1882.34</v>
      </c>
      <c r="U520" s="1" t="n">
        <v>3037</v>
      </c>
      <c r="V520" s="1" t="n">
        <v>61.74</v>
      </c>
      <c r="W520" s="1" t="s">
        <v>40</v>
      </c>
      <c r="Y520" s="1" t="s">
        <v>39</v>
      </c>
      <c r="Z520" s="1" t="n">
        <v>0</v>
      </c>
      <c r="AA520" s="1" t="str">
        <f aca="false">TRIM(PROPER(F520))</f>
        <v>Kolkata</v>
      </c>
      <c r="AB520" s="1" t="str">
        <f aca="false">TRIM(PROPER(C520))</f>
        <v>Extramarks</v>
      </c>
      <c r="AC520" s="1" t="str">
        <f aca="false">IF(O520=0,"No Discount",IF(O520&lt;=15,"Low (1-15%)",IF(O520&lt;=30,"Medium (16-30%)","High (&gt;30%)")))</f>
        <v>Medium (16-30%)</v>
      </c>
      <c r="AD520" s="1" t="str">
        <f aca="false">IF(V520&lt;0,"Loss Making",IF(V520&lt;20,"Low Margin","Healthy Margin"))</f>
        <v>Healthy Margin</v>
      </c>
      <c r="AE520" s="1" t="str">
        <f aca="false">TEXT(DATE(VALUE(RIGHT(B520,4)),VALUE(MID(B520,4,2)),VALUE(LEFT(B520,2))),"MMM-YYYY")</f>
        <v>Nov-2024</v>
      </c>
      <c r="AF520" s="1" t="n">
        <f aca="false">VALUE(RIGHT(B520,4))</f>
        <v>2024</v>
      </c>
      <c r="AG520" s="1" t="str">
        <f aca="false">CHOOSE(ROUNDUP(VALUE(MID(B520,4,2))/3,0),"Q1","Q2","Q3","Q4")</f>
        <v>Q4</v>
      </c>
    </row>
    <row r="521" customFormat="false" ht="15" hidden="false" customHeight="true" outlineLevel="0" collapsed="false">
      <c r="A521" s="1" t="s">
        <v>1059</v>
      </c>
      <c r="B521" s="1" t="s">
        <v>747</v>
      </c>
      <c r="C521" s="1" t="s">
        <v>28</v>
      </c>
      <c r="D521" s="1" t="s">
        <v>53</v>
      </c>
      <c r="E521" s="1" t="s">
        <v>116</v>
      </c>
      <c r="F521" s="1" t="s">
        <v>211</v>
      </c>
      <c r="G521" s="1" t="s">
        <v>56</v>
      </c>
      <c r="H521" s="1" t="s">
        <v>69</v>
      </c>
      <c r="I521" s="1" t="s">
        <v>83</v>
      </c>
      <c r="J521" s="1" t="s">
        <v>131</v>
      </c>
      <c r="K521" s="1" t="s">
        <v>84</v>
      </c>
      <c r="L521" s="1" t="s">
        <v>113</v>
      </c>
      <c r="M521" s="1" t="s">
        <v>62</v>
      </c>
      <c r="N521" s="1" t="n">
        <v>9999</v>
      </c>
      <c r="O521" s="1" t="n">
        <v>0</v>
      </c>
      <c r="P521" s="1" t="n">
        <v>0</v>
      </c>
      <c r="Q521" s="1" t="n">
        <v>9999</v>
      </c>
      <c r="R521" s="1" t="n">
        <v>1799.82</v>
      </c>
      <c r="S521" s="1" t="n">
        <v>8199.18</v>
      </c>
      <c r="T521" s="1" t="n">
        <v>3712.89</v>
      </c>
      <c r="U521" s="1" t="n">
        <v>4486.29</v>
      </c>
      <c r="V521" s="1" t="n">
        <v>54.72</v>
      </c>
      <c r="W521" s="1" t="s">
        <v>39</v>
      </c>
      <c r="Y521" s="1" t="s">
        <v>40</v>
      </c>
      <c r="Z521" s="1" t="n">
        <v>1</v>
      </c>
      <c r="AA521" s="1" t="str">
        <f aca="false">TRIM(PROPER(F521))</f>
        <v>Noida</v>
      </c>
      <c r="AB521" s="1" t="str">
        <f aca="false">TRIM(PROPER(C521))</f>
        <v>Embibe</v>
      </c>
      <c r="AC521" s="1" t="str">
        <f aca="false">IF(O521=0,"No Discount",IF(O521&lt;=15,"Low (1-15%)",IF(O521&lt;=30,"Medium (16-30%)","High (&gt;30%)")))</f>
        <v>No Discount</v>
      </c>
      <c r="AD521" s="1" t="str">
        <f aca="false">IF(V521&lt;0,"Loss Making",IF(V521&lt;20,"Low Margin","Healthy Margin"))</f>
        <v>Healthy Margin</v>
      </c>
      <c r="AE521" s="1" t="str">
        <f aca="false">TEXT(DATE(VALUE(RIGHT(B521,4)),VALUE(MID(B521,4,2)),VALUE(LEFT(B521,2))),"MMM-YYYY")</f>
        <v>Oct-2023</v>
      </c>
      <c r="AF521" s="1" t="n">
        <f aca="false">VALUE(RIGHT(B521,4))</f>
        <v>2023</v>
      </c>
      <c r="AG521" s="1" t="str">
        <f aca="false">CHOOSE(ROUNDUP(VALUE(MID(B521,4,2))/3,0),"Q1","Q2","Q3","Q4")</f>
        <v>Q4</v>
      </c>
    </row>
    <row r="522" customFormat="false" ht="15" hidden="false" customHeight="true" outlineLevel="0" collapsed="false">
      <c r="A522" s="1" t="s">
        <v>1060</v>
      </c>
      <c r="B522" s="1" t="s">
        <v>1061</v>
      </c>
      <c r="C522" s="1" t="s">
        <v>28</v>
      </c>
      <c r="D522" s="1" t="s">
        <v>143</v>
      </c>
      <c r="E522" s="1" t="s">
        <v>162</v>
      </c>
      <c r="F522" s="1" t="s">
        <v>75</v>
      </c>
      <c r="G522" s="1" t="s">
        <v>76</v>
      </c>
      <c r="H522" s="1" t="s">
        <v>69</v>
      </c>
      <c r="I522" s="1" t="s">
        <v>83</v>
      </c>
      <c r="J522" s="1" t="s">
        <v>35</v>
      </c>
      <c r="K522" s="1" t="s">
        <v>112</v>
      </c>
      <c r="L522" s="1" t="s">
        <v>113</v>
      </c>
      <c r="M522" s="1" t="s">
        <v>50</v>
      </c>
      <c r="N522" s="1" t="n">
        <v>14999</v>
      </c>
      <c r="O522" s="1" t="n">
        <v>10</v>
      </c>
      <c r="P522" s="1" t="n">
        <v>1499.9</v>
      </c>
      <c r="Q522" s="1" t="n">
        <v>13499.1</v>
      </c>
      <c r="R522" s="1" t="n">
        <v>2429.84</v>
      </c>
      <c r="S522" s="1" t="n">
        <v>11069.26</v>
      </c>
      <c r="T522" s="1" t="n">
        <v>3140.31</v>
      </c>
      <c r="U522" s="1" t="n">
        <v>7928.95</v>
      </c>
      <c r="V522" s="1" t="n">
        <v>71.63</v>
      </c>
      <c r="W522" s="1" t="s">
        <v>40</v>
      </c>
      <c r="Y522" s="1" t="s">
        <v>40</v>
      </c>
      <c r="Z522" s="1" t="n">
        <v>0</v>
      </c>
      <c r="AA522" s="1" t="str">
        <f aca="false">TRIM(PROPER(F522))</f>
        <v>Kolkata</v>
      </c>
      <c r="AB522" s="1" t="str">
        <f aca="false">TRIM(PROPER(C522))</f>
        <v>Embibe</v>
      </c>
      <c r="AC522" s="1" t="str">
        <f aca="false">IF(O522=0,"No Discount",IF(O522&lt;=15,"Low (1-15%)",IF(O522&lt;=30,"Medium (16-30%)","High (&gt;30%)")))</f>
        <v>Low (1-15%)</v>
      </c>
      <c r="AD522" s="1" t="str">
        <f aca="false">IF(V522&lt;0,"Loss Making",IF(V522&lt;20,"Low Margin","Healthy Margin"))</f>
        <v>Healthy Margin</v>
      </c>
      <c r="AE522" s="1" t="str">
        <f aca="false">TEXT(DATE(VALUE(RIGHT(B522,4)),VALUE(MID(B522,4,2)),VALUE(LEFT(B522,2))),"MMM-YYYY")</f>
        <v>Aug-2024</v>
      </c>
      <c r="AF522" s="1" t="n">
        <f aca="false">VALUE(RIGHT(B522,4))</f>
        <v>2024</v>
      </c>
      <c r="AG522" s="1" t="str">
        <f aca="false">CHOOSE(ROUNDUP(VALUE(MID(B522,4,2))/3,0),"Q1","Q2","Q3","Q4")</f>
        <v>Q3</v>
      </c>
    </row>
    <row r="523" customFormat="false" ht="15" hidden="false" customHeight="true" outlineLevel="0" collapsed="false">
      <c r="A523" s="1" t="s">
        <v>1062</v>
      </c>
      <c r="B523" s="1" t="s">
        <v>876</v>
      </c>
      <c r="C523" s="1" t="s">
        <v>119</v>
      </c>
      <c r="D523" s="1" t="s">
        <v>168</v>
      </c>
      <c r="E523" s="1" t="s">
        <v>169</v>
      </c>
      <c r="F523" s="1" t="s">
        <v>125</v>
      </c>
      <c r="G523" s="1" t="s">
        <v>108</v>
      </c>
      <c r="H523" s="1" t="s">
        <v>69</v>
      </c>
      <c r="I523" s="1" t="s">
        <v>58</v>
      </c>
      <c r="J523" s="1" t="s">
        <v>59</v>
      </c>
      <c r="K523" s="1" t="s">
        <v>84</v>
      </c>
      <c r="L523" s="1" t="s">
        <v>113</v>
      </c>
      <c r="M523" s="1" t="s">
        <v>38</v>
      </c>
      <c r="N523" s="1" t="n">
        <v>4999</v>
      </c>
      <c r="O523" s="1" t="n">
        <v>15</v>
      </c>
      <c r="P523" s="1" t="n">
        <v>749.85</v>
      </c>
      <c r="Q523" s="1" t="n">
        <v>4249.15</v>
      </c>
      <c r="R523" s="1" t="n">
        <v>764.85</v>
      </c>
      <c r="S523" s="1" t="n">
        <v>3484.3</v>
      </c>
      <c r="T523" s="1" t="n">
        <v>1262.63</v>
      </c>
      <c r="U523" s="1" t="n">
        <v>2221.67</v>
      </c>
      <c r="V523" s="1" t="n">
        <v>63.76</v>
      </c>
      <c r="W523" s="1" t="s">
        <v>39</v>
      </c>
      <c r="X523" s="1" t="n">
        <v>3.1</v>
      </c>
      <c r="Y523" s="1" t="s">
        <v>40</v>
      </c>
      <c r="Z523" s="1" t="n">
        <v>1</v>
      </c>
      <c r="AA523" s="1" t="str">
        <f aca="false">TRIM(PROPER(F523))</f>
        <v>Chennai</v>
      </c>
      <c r="AB523" s="1" t="str">
        <f aca="false">TRIM(PROPER(C523))</f>
        <v>Simplilearn</v>
      </c>
      <c r="AC523" s="1" t="str">
        <f aca="false">IF(O523=0,"No Discount",IF(O523&lt;=15,"Low (1-15%)",IF(O523&lt;=30,"Medium (16-30%)","High (&gt;30%)")))</f>
        <v>Low (1-15%)</v>
      </c>
      <c r="AD523" s="1" t="str">
        <f aca="false">IF(V523&lt;0,"Loss Making",IF(V523&lt;20,"Low Margin","Healthy Margin"))</f>
        <v>Healthy Margin</v>
      </c>
      <c r="AE523" s="1" t="str">
        <f aca="false">TEXT(DATE(VALUE(RIGHT(B523,4)),VALUE(MID(B523,4,2)),VALUE(LEFT(B523,2))),"MMM-YYYY")</f>
        <v>Jul-2023</v>
      </c>
      <c r="AF523" s="1" t="n">
        <f aca="false">VALUE(RIGHT(B523,4))</f>
        <v>2023</v>
      </c>
      <c r="AG523" s="1" t="str">
        <f aca="false">CHOOSE(ROUNDUP(VALUE(MID(B523,4,2))/3,0),"Q1","Q2","Q3","Q4")</f>
        <v>Q3</v>
      </c>
    </row>
    <row r="524" customFormat="false" ht="15" hidden="false" customHeight="true" outlineLevel="0" collapsed="false">
      <c r="A524" s="1" t="s">
        <v>1063</v>
      </c>
      <c r="B524" s="1" t="s">
        <v>1064</v>
      </c>
      <c r="C524" s="1" t="s">
        <v>43</v>
      </c>
      <c r="D524" s="1" t="s">
        <v>94</v>
      </c>
      <c r="E524" s="1" t="s">
        <v>95</v>
      </c>
      <c r="F524" s="1" t="s">
        <v>205</v>
      </c>
      <c r="G524" s="1" t="s">
        <v>56</v>
      </c>
      <c r="H524" s="1" t="s">
        <v>69</v>
      </c>
      <c r="I524" s="1" t="s">
        <v>34</v>
      </c>
      <c r="J524" s="1" t="s">
        <v>59</v>
      </c>
      <c r="K524" s="1" t="s">
        <v>90</v>
      </c>
      <c r="L524" s="1" t="s">
        <v>37</v>
      </c>
      <c r="M524" s="1" t="s">
        <v>50</v>
      </c>
      <c r="N524" s="1" t="n">
        <v>6999</v>
      </c>
      <c r="O524" s="1" t="n">
        <v>40</v>
      </c>
      <c r="P524" s="1" t="n">
        <v>2799.6</v>
      </c>
      <c r="Q524" s="1" t="n">
        <v>4199.4</v>
      </c>
      <c r="R524" s="1" t="n">
        <v>755.89</v>
      </c>
      <c r="S524" s="1" t="n">
        <v>3443.51</v>
      </c>
      <c r="T524" s="1" t="n">
        <v>1646.55</v>
      </c>
      <c r="U524" s="1" t="n">
        <v>1796.96</v>
      </c>
      <c r="V524" s="1" t="n">
        <v>52.18</v>
      </c>
      <c r="W524" s="1" t="s">
        <v>40</v>
      </c>
      <c r="Y524" s="1" t="s">
        <v>40</v>
      </c>
      <c r="Z524" s="1" t="n">
        <v>1</v>
      </c>
      <c r="AA524" s="1" t="str">
        <f aca="false">TRIM(PROPER(F524))</f>
        <v>New Delhi</v>
      </c>
      <c r="AB524" s="1" t="str">
        <f aca="false">TRIM(PROPER(C524))</f>
        <v>Meritnation</v>
      </c>
      <c r="AC524" s="1" t="str">
        <f aca="false">IF(O524=0,"No Discount",IF(O524&lt;=15,"Low (1-15%)",IF(O524&lt;=30,"Medium (16-30%)","High (&gt;30%)")))</f>
        <v>High (&gt;30%)</v>
      </c>
      <c r="AD524" s="1" t="str">
        <f aca="false">IF(V524&lt;0,"Loss Making",IF(V524&lt;20,"Low Margin","Healthy Margin"))</f>
        <v>Healthy Margin</v>
      </c>
      <c r="AE524" s="1" t="str">
        <f aca="false">TEXT(DATE(VALUE(RIGHT(B524,4)),VALUE(MID(B524,4,2)),VALUE(LEFT(B524,2))),"MMM-YYYY")</f>
        <v>May-2023</v>
      </c>
      <c r="AF524" s="1" t="n">
        <f aca="false">VALUE(RIGHT(B524,4))</f>
        <v>2023</v>
      </c>
      <c r="AG524" s="1" t="str">
        <f aca="false">CHOOSE(ROUNDUP(VALUE(MID(B524,4,2))/3,0),"Q1","Q2","Q3","Q4")</f>
        <v>Q2</v>
      </c>
    </row>
    <row r="525" customFormat="false" ht="15" hidden="false" customHeight="true" outlineLevel="0" collapsed="false">
      <c r="A525" s="1" t="s">
        <v>1065</v>
      </c>
      <c r="B525" s="1" t="s">
        <v>1066</v>
      </c>
      <c r="C525" s="1" t="s">
        <v>178</v>
      </c>
      <c r="D525" s="1" t="s">
        <v>94</v>
      </c>
      <c r="E525" s="1" t="s">
        <v>101</v>
      </c>
      <c r="F525" s="1" t="s">
        <v>67</v>
      </c>
      <c r="G525" s="1" t="s">
        <v>68</v>
      </c>
      <c r="H525" s="1" t="s">
        <v>69</v>
      </c>
      <c r="I525" s="1" t="s">
        <v>58</v>
      </c>
      <c r="J525" s="1" t="s">
        <v>131</v>
      </c>
      <c r="K525" s="1" t="s">
        <v>36</v>
      </c>
      <c r="L525" s="1" t="s">
        <v>37</v>
      </c>
      <c r="M525" s="1" t="s">
        <v>38</v>
      </c>
      <c r="N525" s="1" t="n">
        <v>14999</v>
      </c>
      <c r="O525" s="1" t="n">
        <v>25</v>
      </c>
      <c r="P525" s="1" t="n">
        <v>3749.75</v>
      </c>
      <c r="Q525" s="1" t="n">
        <v>11249.25</v>
      </c>
      <c r="R525" s="1" t="n">
        <v>2024.87</v>
      </c>
      <c r="S525" s="1" t="n">
        <v>9224.38</v>
      </c>
      <c r="T525" s="1" t="n">
        <v>4768</v>
      </c>
      <c r="U525" s="1" t="n">
        <v>4456.38</v>
      </c>
      <c r="V525" s="1" t="n">
        <v>48.31</v>
      </c>
      <c r="W525" s="1" t="s">
        <v>39</v>
      </c>
      <c r="X525" s="1" t="n">
        <v>4</v>
      </c>
      <c r="Y525" s="1" t="s">
        <v>40</v>
      </c>
      <c r="Z525" s="1" t="n">
        <v>0</v>
      </c>
      <c r="AA525" s="1" t="str">
        <f aca="false">TRIM(PROPER(F525))</f>
        <v>Ahmedabad</v>
      </c>
      <c r="AB525" s="1" t="str">
        <f aca="false">TRIM(PROPER(C525))</f>
        <v>Leverage Edu</v>
      </c>
      <c r="AC525" s="1" t="str">
        <f aca="false">IF(O525=0,"No Discount",IF(O525&lt;=15,"Low (1-15%)",IF(O525&lt;=30,"Medium (16-30%)","High (&gt;30%)")))</f>
        <v>Medium (16-30%)</v>
      </c>
      <c r="AD525" s="1" t="str">
        <f aca="false">IF(V525&lt;0,"Loss Making",IF(V525&lt;20,"Low Margin","Healthy Margin"))</f>
        <v>Healthy Margin</v>
      </c>
      <c r="AE525" s="1" t="str">
        <f aca="false">TEXT(DATE(VALUE(RIGHT(B525,4)),VALUE(MID(B525,4,2)),VALUE(LEFT(B525,2))),"MMM-YYYY")</f>
        <v>Jan-2024</v>
      </c>
      <c r="AF525" s="1" t="n">
        <f aca="false">VALUE(RIGHT(B525,4))</f>
        <v>2024</v>
      </c>
      <c r="AG525" s="1" t="str">
        <f aca="false">CHOOSE(ROUNDUP(VALUE(MID(B525,4,2))/3,0),"Q1","Q2","Q3","Q4")</f>
        <v>Q1</v>
      </c>
    </row>
    <row r="526" customFormat="false" ht="15" hidden="false" customHeight="true" outlineLevel="0" collapsed="false">
      <c r="A526" s="1" t="s">
        <v>1067</v>
      </c>
      <c r="B526" s="1" t="s">
        <v>608</v>
      </c>
      <c r="C526" s="1" t="s">
        <v>74</v>
      </c>
      <c r="D526" s="1" t="s">
        <v>123</v>
      </c>
      <c r="E526" s="1" t="s">
        <v>233</v>
      </c>
      <c r="F526" s="1" t="s">
        <v>31</v>
      </c>
      <c r="G526" s="1" t="s">
        <v>32</v>
      </c>
      <c r="H526" s="1" t="s">
        <v>33</v>
      </c>
      <c r="I526" s="1" t="s">
        <v>83</v>
      </c>
      <c r="J526" s="1" t="s">
        <v>77</v>
      </c>
      <c r="K526" s="1" t="s">
        <v>84</v>
      </c>
      <c r="L526" s="1" t="s">
        <v>61</v>
      </c>
      <c r="M526" s="1" t="s">
        <v>62</v>
      </c>
      <c r="N526" s="1" t="n">
        <v>8999</v>
      </c>
      <c r="O526" s="1" t="n">
        <v>0</v>
      </c>
      <c r="P526" s="1" t="n">
        <v>0</v>
      </c>
      <c r="Q526" s="1" t="n">
        <v>8999</v>
      </c>
      <c r="R526" s="1" t="n">
        <v>1619.82</v>
      </c>
      <c r="S526" s="1" t="n">
        <v>7379.18</v>
      </c>
      <c r="T526" s="1" t="n">
        <v>3572.13</v>
      </c>
      <c r="U526" s="1" t="n">
        <v>3807.05</v>
      </c>
      <c r="V526" s="1" t="n">
        <v>51.59</v>
      </c>
      <c r="W526" s="1" t="s">
        <v>40</v>
      </c>
      <c r="Y526" s="1" t="s">
        <v>40</v>
      </c>
      <c r="Z526" s="1" t="n">
        <v>2</v>
      </c>
      <c r="AA526" s="1" t="str">
        <f aca="false">TRIM(PROPER(F526))</f>
        <v>Jodhpur</v>
      </c>
      <c r="AB526" s="1" t="str">
        <f aca="false">TRIM(PROPER(C526))</f>
        <v>Vedantu</v>
      </c>
      <c r="AC526" s="1" t="str">
        <f aca="false">IF(O526=0,"No Discount",IF(O526&lt;=15,"Low (1-15%)",IF(O526&lt;=30,"Medium (16-30%)","High (&gt;30%)")))</f>
        <v>No Discount</v>
      </c>
      <c r="AD526" s="1" t="str">
        <f aca="false">IF(V526&lt;0,"Loss Making",IF(V526&lt;20,"Low Margin","Healthy Margin"))</f>
        <v>Healthy Margin</v>
      </c>
      <c r="AE526" s="1" t="str">
        <f aca="false">TEXT(DATE(VALUE(RIGHT(B526,4)),VALUE(MID(B526,4,2)),VALUE(LEFT(B526,2))),"MMM-YYYY")</f>
        <v>Dec-2024</v>
      </c>
      <c r="AF526" s="1" t="n">
        <f aca="false">VALUE(RIGHT(B526,4))</f>
        <v>2024</v>
      </c>
      <c r="AG526" s="1" t="str">
        <f aca="false">CHOOSE(ROUNDUP(VALUE(MID(B526,4,2))/3,0),"Q1","Q2","Q3","Q4")</f>
        <v>Q4</v>
      </c>
    </row>
    <row r="527" customFormat="false" ht="15" hidden="false" customHeight="true" outlineLevel="0" collapsed="false">
      <c r="A527" s="1" t="s">
        <v>1068</v>
      </c>
      <c r="B527" s="1" t="s">
        <v>1069</v>
      </c>
      <c r="C527" s="1" t="s">
        <v>65</v>
      </c>
      <c r="D527" s="1" t="s">
        <v>53</v>
      </c>
      <c r="E527" s="1" t="s">
        <v>54</v>
      </c>
      <c r="F527" s="1" t="s">
        <v>130</v>
      </c>
      <c r="G527" s="1" t="s">
        <v>47</v>
      </c>
      <c r="H527" s="1" t="s">
        <v>69</v>
      </c>
      <c r="I527" s="1" t="s">
        <v>58</v>
      </c>
      <c r="J527" s="1" t="s">
        <v>59</v>
      </c>
      <c r="K527" s="1" t="s">
        <v>71</v>
      </c>
      <c r="L527" s="1" t="s">
        <v>61</v>
      </c>
      <c r="M527" s="1" t="s">
        <v>50</v>
      </c>
      <c r="N527" s="1" t="n">
        <v>11999</v>
      </c>
      <c r="O527" s="1" t="n">
        <v>25</v>
      </c>
      <c r="P527" s="1" t="n">
        <v>2999.75</v>
      </c>
      <c r="Q527" s="1" t="n">
        <v>8999.25</v>
      </c>
      <c r="R527" s="1" t="n">
        <v>1619.87</v>
      </c>
      <c r="S527" s="1" t="n">
        <v>7379.38</v>
      </c>
      <c r="T527" s="1" t="n">
        <v>3387.83</v>
      </c>
      <c r="U527" s="1" t="n">
        <v>3991.55</v>
      </c>
      <c r="V527" s="1" t="n">
        <v>54.09</v>
      </c>
      <c r="W527" s="1" t="s">
        <v>40</v>
      </c>
      <c r="Y527" s="1" t="s">
        <v>40</v>
      </c>
      <c r="Z527" s="1" t="n">
        <v>1</v>
      </c>
      <c r="AA527" s="1" t="str">
        <f aca="false">TRIM(PROPER(F527))</f>
        <v>Bengaluru</v>
      </c>
      <c r="AB527" s="1" t="str">
        <f aca="false">TRIM(PROPER(C527))</f>
        <v>Toppr</v>
      </c>
      <c r="AC527" s="1" t="str">
        <f aca="false">IF(O527=0,"No Discount",IF(O527&lt;=15,"Low (1-15%)",IF(O527&lt;=30,"Medium (16-30%)","High (&gt;30%)")))</f>
        <v>Medium (16-30%)</v>
      </c>
      <c r="AD527" s="1" t="str">
        <f aca="false">IF(V527&lt;0,"Loss Making",IF(V527&lt;20,"Low Margin","Healthy Margin"))</f>
        <v>Healthy Margin</v>
      </c>
      <c r="AE527" s="1" t="str">
        <f aca="false">TEXT(DATE(VALUE(RIGHT(B527,4)),VALUE(MID(B527,4,2)),VALUE(LEFT(B527,2))),"MMM-YYYY")</f>
        <v>Sep-2024</v>
      </c>
      <c r="AF527" s="1" t="n">
        <f aca="false">VALUE(RIGHT(B527,4))</f>
        <v>2024</v>
      </c>
      <c r="AG527" s="1" t="str">
        <f aca="false">CHOOSE(ROUNDUP(VALUE(MID(B527,4,2))/3,0),"Q1","Q2","Q3","Q4")</f>
        <v>Q3</v>
      </c>
    </row>
    <row r="528" customFormat="false" ht="15" hidden="false" customHeight="true" outlineLevel="0" collapsed="false">
      <c r="A528" s="1" t="s">
        <v>1070</v>
      </c>
      <c r="B528" s="1" t="s">
        <v>636</v>
      </c>
      <c r="C528" s="1" t="s">
        <v>74</v>
      </c>
      <c r="D528" s="1" t="s">
        <v>168</v>
      </c>
      <c r="E528" s="1" t="s">
        <v>169</v>
      </c>
      <c r="F528" s="1" t="s">
        <v>187</v>
      </c>
      <c r="G528" s="1" t="s">
        <v>97</v>
      </c>
      <c r="H528" s="1" t="s">
        <v>69</v>
      </c>
      <c r="I528" s="1" t="s">
        <v>34</v>
      </c>
      <c r="J528" s="1" t="s">
        <v>131</v>
      </c>
      <c r="K528" s="1" t="s">
        <v>60</v>
      </c>
      <c r="L528" s="1" t="s">
        <v>136</v>
      </c>
      <c r="M528" s="1" t="s">
        <v>38</v>
      </c>
      <c r="N528" s="1" t="n">
        <v>4999</v>
      </c>
      <c r="O528" s="1" t="n">
        <v>10</v>
      </c>
      <c r="P528" s="1" t="n">
        <v>499.9</v>
      </c>
      <c r="Q528" s="1" t="n">
        <v>4499.1</v>
      </c>
      <c r="R528" s="1" t="n">
        <v>809.84</v>
      </c>
      <c r="S528" s="1" t="n">
        <v>3689.26</v>
      </c>
      <c r="T528" s="1" t="n">
        <v>1959.14</v>
      </c>
      <c r="U528" s="1" t="n">
        <v>1730.12</v>
      </c>
      <c r="V528" s="1" t="n">
        <v>46.9</v>
      </c>
      <c r="W528" s="1" t="s">
        <v>39</v>
      </c>
      <c r="X528" s="1" t="n">
        <v>4.4</v>
      </c>
      <c r="Y528" s="1" t="s">
        <v>40</v>
      </c>
      <c r="Z528" s="1" t="n">
        <v>0</v>
      </c>
      <c r="AA528" s="1" t="str">
        <f aca="false">TRIM(PROPER(F528))</f>
        <v>Mumbai</v>
      </c>
      <c r="AB528" s="1" t="str">
        <f aca="false">TRIM(PROPER(C528))</f>
        <v>Vedantu</v>
      </c>
      <c r="AC528" s="1" t="str">
        <f aca="false">IF(O528=0,"No Discount",IF(O528&lt;=15,"Low (1-15%)",IF(O528&lt;=30,"Medium (16-30%)","High (&gt;30%)")))</f>
        <v>Low (1-15%)</v>
      </c>
      <c r="AD528" s="1" t="str">
        <f aca="false">IF(V528&lt;0,"Loss Making",IF(V528&lt;20,"Low Margin","Healthy Margin"))</f>
        <v>Healthy Margin</v>
      </c>
      <c r="AE528" s="1" t="str">
        <f aca="false">TEXT(DATE(VALUE(RIGHT(B528,4)),VALUE(MID(B528,4,2)),VALUE(LEFT(B528,2))),"MMM-YYYY")</f>
        <v>Nov-2024</v>
      </c>
      <c r="AF528" s="1" t="n">
        <f aca="false">VALUE(RIGHT(B528,4))</f>
        <v>2024</v>
      </c>
      <c r="AG528" s="1" t="str">
        <f aca="false">CHOOSE(ROUNDUP(VALUE(MID(B528,4,2))/3,0),"Q1","Q2","Q3","Q4")</f>
        <v>Q4</v>
      </c>
    </row>
    <row r="529" customFormat="false" ht="15" hidden="false" customHeight="true" outlineLevel="0" collapsed="false">
      <c r="A529" s="1" t="s">
        <v>1071</v>
      </c>
      <c r="B529" s="1" t="s">
        <v>1072</v>
      </c>
      <c r="C529" s="1" t="s">
        <v>65</v>
      </c>
      <c r="D529" s="1" t="s">
        <v>44</v>
      </c>
      <c r="E529" s="1" t="s">
        <v>45</v>
      </c>
      <c r="F529" s="1" t="s">
        <v>125</v>
      </c>
      <c r="G529" s="1" t="s">
        <v>108</v>
      </c>
      <c r="H529" s="1" t="s">
        <v>69</v>
      </c>
      <c r="I529" s="1" t="s">
        <v>58</v>
      </c>
      <c r="J529" s="1" t="s">
        <v>77</v>
      </c>
      <c r="K529" s="1" t="s">
        <v>71</v>
      </c>
      <c r="L529" s="1" t="s">
        <v>61</v>
      </c>
      <c r="M529" s="1" t="s">
        <v>38</v>
      </c>
      <c r="N529" s="1" t="n">
        <v>11999</v>
      </c>
      <c r="O529" s="1" t="n">
        <v>15</v>
      </c>
      <c r="P529" s="1" t="n">
        <v>1799.85</v>
      </c>
      <c r="Q529" s="1" t="n">
        <v>10199.15</v>
      </c>
      <c r="R529" s="1" t="n">
        <v>1835.85</v>
      </c>
      <c r="S529" s="1" t="n">
        <v>8363.3</v>
      </c>
      <c r="T529" s="1" t="n">
        <v>3353.27</v>
      </c>
      <c r="U529" s="1" t="n">
        <v>5010.03</v>
      </c>
      <c r="V529" s="1" t="n">
        <v>59.9</v>
      </c>
      <c r="W529" s="1" t="s">
        <v>39</v>
      </c>
      <c r="X529" s="1" t="n">
        <v>3.4</v>
      </c>
      <c r="Y529" s="1" t="s">
        <v>40</v>
      </c>
      <c r="Z529" s="1" t="n">
        <v>0</v>
      </c>
      <c r="AA529" s="1" t="str">
        <f aca="false">TRIM(PROPER(F529))</f>
        <v>Chennai</v>
      </c>
      <c r="AB529" s="1" t="str">
        <f aca="false">TRIM(PROPER(C529))</f>
        <v>Toppr</v>
      </c>
      <c r="AC529" s="1" t="str">
        <f aca="false">IF(O529=0,"No Discount",IF(O529&lt;=15,"Low (1-15%)",IF(O529&lt;=30,"Medium (16-30%)","High (&gt;30%)")))</f>
        <v>Low (1-15%)</v>
      </c>
      <c r="AD529" s="1" t="str">
        <f aca="false">IF(V529&lt;0,"Loss Making",IF(V529&lt;20,"Low Margin","Healthy Margin"))</f>
        <v>Healthy Margin</v>
      </c>
      <c r="AE529" s="1" t="str">
        <f aca="false">TEXT(DATE(VALUE(RIGHT(B529,4)),VALUE(MID(B529,4,2)),VALUE(LEFT(B529,2))),"MMM-YYYY")</f>
        <v>Jan-2023</v>
      </c>
      <c r="AF529" s="1" t="n">
        <f aca="false">VALUE(RIGHT(B529,4))</f>
        <v>2023</v>
      </c>
      <c r="AG529" s="1" t="str">
        <f aca="false">CHOOSE(ROUNDUP(VALUE(MID(B529,4,2))/3,0),"Q1","Q2","Q3","Q4")</f>
        <v>Q1</v>
      </c>
    </row>
    <row r="530" customFormat="false" ht="15" hidden="false" customHeight="true" outlineLevel="0" collapsed="false">
      <c r="A530" s="1" t="s">
        <v>1073</v>
      </c>
      <c r="B530" s="1" t="s">
        <v>555</v>
      </c>
      <c r="C530" s="1" t="s">
        <v>93</v>
      </c>
      <c r="D530" s="1" t="s">
        <v>94</v>
      </c>
      <c r="E530" s="1" t="s">
        <v>95</v>
      </c>
      <c r="F530" s="1" t="s">
        <v>153</v>
      </c>
      <c r="G530" s="1" t="s">
        <v>76</v>
      </c>
      <c r="H530" s="1" t="s">
        <v>33</v>
      </c>
      <c r="I530" s="1" t="s">
        <v>83</v>
      </c>
      <c r="J530" s="1" t="s">
        <v>59</v>
      </c>
      <c r="K530" s="1" t="s">
        <v>71</v>
      </c>
      <c r="L530" s="1" t="s">
        <v>37</v>
      </c>
      <c r="M530" s="1" t="s">
        <v>38</v>
      </c>
      <c r="N530" s="1" t="n">
        <v>6999</v>
      </c>
      <c r="O530" s="1" t="n">
        <v>0</v>
      </c>
      <c r="P530" s="1" t="n">
        <v>0</v>
      </c>
      <c r="Q530" s="1" t="n">
        <v>6999</v>
      </c>
      <c r="R530" s="1" t="n">
        <v>1259.82</v>
      </c>
      <c r="S530" s="1" t="n">
        <v>5739.18</v>
      </c>
      <c r="T530" s="1" t="n">
        <v>2650.12</v>
      </c>
      <c r="U530" s="1" t="n">
        <v>3089.06</v>
      </c>
      <c r="V530" s="1" t="n">
        <v>53.82</v>
      </c>
      <c r="W530" s="1" t="s">
        <v>39</v>
      </c>
      <c r="Y530" s="1" t="s">
        <v>40</v>
      </c>
      <c r="Z530" s="1" t="n">
        <v>0</v>
      </c>
      <c r="AA530" s="1" t="str">
        <f aca="false">TRIM(PROPER(F530))</f>
        <v>Howrah</v>
      </c>
      <c r="AB530" s="1" t="str">
        <f aca="false">TRIM(PROPER(C530))</f>
        <v>Upgrad</v>
      </c>
      <c r="AC530" s="1" t="str">
        <f aca="false">IF(O530=0,"No Discount",IF(O530&lt;=15,"Low (1-15%)",IF(O530&lt;=30,"Medium (16-30%)","High (&gt;30%)")))</f>
        <v>No Discount</v>
      </c>
      <c r="AD530" s="1" t="str">
        <f aca="false">IF(V530&lt;0,"Loss Making",IF(V530&lt;20,"Low Margin","Healthy Margin"))</f>
        <v>Healthy Margin</v>
      </c>
      <c r="AE530" s="1" t="str">
        <f aca="false">TEXT(DATE(VALUE(RIGHT(B530,4)),VALUE(MID(B530,4,2)),VALUE(LEFT(B530,2))),"MMM-YYYY")</f>
        <v>Jun-2023</v>
      </c>
      <c r="AF530" s="1" t="n">
        <f aca="false">VALUE(RIGHT(B530,4))</f>
        <v>2023</v>
      </c>
      <c r="AG530" s="1" t="str">
        <f aca="false">CHOOSE(ROUNDUP(VALUE(MID(B530,4,2))/3,0),"Q1","Q2","Q3","Q4")</f>
        <v>Q2</v>
      </c>
    </row>
    <row r="531" customFormat="false" ht="15" hidden="false" customHeight="true" outlineLevel="0" collapsed="false">
      <c r="A531" s="1" t="s">
        <v>1074</v>
      </c>
      <c r="B531" s="1" t="s">
        <v>988</v>
      </c>
      <c r="C531" s="1" t="s">
        <v>93</v>
      </c>
      <c r="D531" s="1" t="s">
        <v>53</v>
      </c>
      <c r="E531" s="1" t="s">
        <v>54</v>
      </c>
      <c r="F531" s="1" t="s">
        <v>1075</v>
      </c>
      <c r="G531" s="1" t="s">
        <v>76</v>
      </c>
      <c r="H531" s="1" t="s">
        <v>69</v>
      </c>
      <c r="I531" s="1" t="s">
        <v>83</v>
      </c>
      <c r="J531" s="1" t="s">
        <v>35</v>
      </c>
      <c r="K531" s="1" t="s">
        <v>36</v>
      </c>
      <c r="L531" s="1" t="s">
        <v>49</v>
      </c>
      <c r="M531" s="1" t="s">
        <v>38</v>
      </c>
      <c r="N531" s="1" t="n">
        <v>11999</v>
      </c>
      <c r="O531" s="1" t="n">
        <v>40</v>
      </c>
      <c r="P531" s="1" t="n">
        <v>4799.6</v>
      </c>
      <c r="Q531" s="1" t="n">
        <v>7199.4</v>
      </c>
      <c r="R531" s="1" t="n">
        <v>1295.89</v>
      </c>
      <c r="S531" s="1" t="n">
        <v>5903.51</v>
      </c>
      <c r="T531" s="1" t="n">
        <v>3380.1</v>
      </c>
      <c r="U531" s="1" t="n">
        <v>2523.41</v>
      </c>
      <c r="V531" s="1" t="n">
        <v>42.74</v>
      </c>
      <c r="W531" s="1" t="s">
        <v>39</v>
      </c>
      <c r="X531" s="1" t="n">
        <v>4.8</v>
      </c>
      <c r="Y531" s="1" t="s">
        <v>40</v>
      </c>
      <c r="Z531" s="1" t="n">
        <v>0</v>
      </c>
      <c r="AA531" s="1" t="str">
        <f aca="false">TRIM(PROPER(F531))</f>
        <v>Kolkata</v>
      </c>
      <c r="AB531" s="1" t="str">
        <f aca="false">TRIM(PROPER(C531))</f>
        <v>Upgrad</v>
      </c>
      <c r="AC531" s="1" t="str">
        <f aca="false">IF(O531=0,"No Discount",IF(O531&lt;=15,"Low (1-15%)",IF(O531&lt;=30,"Medium (16-30%)","High (&gt;30%)")))</f>
        <v>High (&gt;30%)</v>
      </c>
      <c r="AD531" s="1" t="str">
        <f aca="false">IF(V531&lt;0,"Loss Making",IF(V531&lt;20,"Low Margin","Healthy Margin"))</f>
        <v>Healthy Margin</v>
      </c>
      <c r="AE531" s="1" t="str">
        <f aca="false">TEXT(DATE(VALUE(RIGHT(B531,4)),VALUE(MID(B531,4,2)),VALUE(LEFT(B531,2))),"MMM-YYYY")</f>
        <v>Dec-2024</v>
      </c>
      <c r="AF531" s="1" t="n">
        <f aca="false">VALUE(RIGHT(B531,4))</f>
        <v>2024</v>
      </c>
      <c r="AG531" s="1" t="str">
        <f aca="false">CHOOSE(ROUNDUP(VALUE(MID(B531,4,2))/3,0),"Q1","Q2","Q3","Q4")</f>
        <v>Q4</v>
      </c>
    </row>
    <row r="532" customFormat="false" ht="15" hidden="false" customHeight="true" outlineLevel="0" collapsed="false">
      <c r="A532" s="1" t="s">
        <v>1076</v>
      </c>
      <c r="B532" s="1" t="s">
        <v>1077</v>
      </c>
      <c r="C532" s="1" t="s">
        <v>128</v>
      </c>
      <c r="D532" s="1" t="s">
        <v>80</v>
      </c>
      <c r="E532" s="1" t="s">
        <v>190</v>
      </c>
      <c r="F532" s="1" t="s">
        <v>46</v>
      </c>
      <c r="G532" s="1" t="s">
        <v>47</v>
      </c>
      <c r="H532" s="1" t="s">
        <v>33</v>
      </c>
      <c r="I532" s="1" t="s">
        <v>83</v>
      </c>
      <c r="J532" s="1" t="s">
        <v>131</v>
      </c>
      <c r="K532" s="1" t="s">
        <v>84</v>
      </c>
      <c r="L532" s="1" t="s">
        <v>113</v>
      </c>
      <c r="M532" s="1" t="s">
        <v>38</v>
      </c>
      <c r="N532" s="1" t="n">
        <v>15999</v>
      </c>
      <c r="O532" s="1" t="n">
        <v>20</v>
      </c>
      <c r="P532" s="1" t="n">
        <v>3199.8</v>
      </c>
      <c r="Q532" s="1" t="n">
        <v>12799.2</v>
      </c>
      <c r="R532" s="1" t="n">
        <v>2303.86</v>
      </c>
      <c r="S532" s="1" t="n">
        <v>10495.34</v>
      </c>
      <c r="T532" s="1" t="n">
        <v>4610.77</v>
      </c>
      <c r="U532" s="1" t="n">
        <v>5884.57</v>
      </c>
      <c r="V532" s="1" t="n">
        <v>56.07</v>
      </c>
      <c r="W532" s="1" t="s">
        <v>40</v>
      </c>
      <c r="Y532" s="1" t="s">
        <v>40</v>
      </c>
      <c r="Z532" s="1" t="n">
        <v>1</v>
      </c>
      <c r="AA532" s="1" t="str">
        <f aca="false">TRIM(PROPER(F532))</f>
        <v>Mangaluru</v>
      </c>
      <c r="AB532" s="1" t="str">
        <f aca="false">TRIM(PROPER(C532))</f>
        <v>Great Learning</v>
      </c>
      <c r="AC532" s="1" t="str">
        <f aca="false">IF(O532=0,"No Discount",IF(O532&lt;=15,"Low (1-15%)",IF(O532&lt;=30,"Medium (16-30%)","High (&gt;30%)")))</f>
        <v>Medium (16-30%)</v>
      </c>
      <c r="AD532" s="1" t="str">
        <f aca="false">IF(V532&lt;0,"Loss Making",IF(V532&lt;20,"Low Margin","Healthy Margin"))</f>
        <v>Healthy Margin</v>
      </c>
      <c r="AE532" s="1" t="str">
        <f aca="false">TEXT(DATE(VALUE(RIGHT(B532,4)),VALUE(MID(B532,4,2)),VALUE(LEFT(B532,2))),"MMM-YYYY")</f>
        <v>Jan-2023</v>
      </c>
      <c r="AF532" s="1" t="n">
        <f aca="false">VALUE(RIGHT(B532,4))</f>
        <v>2023</v>
      </c>
      <c r="AG532" s="1" t="str">
        <f aca="false">CHOOSE(ROUNDUP(VALUE(MID(B532,4,2))/3,0),"Q1","Q2","Q3","Q4")</f>
        <v>Q1</v>
      </c>
    </row>
    <row r="533" customFormat="false" ht="15" hidden="false" customHeight="true" outlineLevel="0" collapsed="false">
      <c r="A533" s="1" t="s">
        <v>1078</v>
      </c>
      <c r="B533" s="1" t="s">
        <v>1079</v>
      </c>
      <c r="C533" s="1" t="s">
        <v>88</v>
      </c>
      <c r="D533" s="1" t="s">
        <v>143</v>
      </c>
      <c r="E533" s="1" t="s">
        <v>144</v>
      </c>
      <c r="F533" s="1" t="s">
        <v>120</v>
      </c>
      <c r="G533" s="1" t="s">
        <v>47</v>
      </c>
      <c r="H533" s="1" t="s">
        <v>57</v>
      </c>
      <c r="I533" s="1" t="s">
        <v>34</v>
      </c>
      <c r="J533" s="1" t="s">
        <v>59</v>
      </c>
      <c r="K533" s="1" t="s">
        <v>36</v>
      </c>
      <c r="L533" s="1" t="s">
        <v>61</v>
      </c>
      <c r="M533" s="1" t="s">
        <v>62</v>
      </c>
      <c r="N533" s="1" t="n">
        <v>12999</v>
      </c>
      <c r="O533" s="1" t="n">
        <v>40</v>
      </c>
      <c r="P533" s="1" t="n">
        <v>5199.6</v>
      </c>
      <c r="Q533" s="1" t="n">
        <v>7799.4</v>
      </c>
      <c r="R533" s="1" t="n">
        <v>1403.89</v>
      </c>
      <c r="S533" s="1" t="n">
        <v>6395.51</v>
      </c>
      <c r="T533" s="1" t="n">
        <v>3692.07</v>
      </c>
      <c r="U533" s="1" t="n">
        <v>2703.44</v>
      </c>
      <c r="V533" s="1" t="n">
        <v>42.27</v>
      </c>
      <c r="W533" s="1" t="s">
        <v>39</v>
      </c>
      <c r="X533" s="1" t="n">
        <v>3.4</v>
      </c>
      <c r="Y533" s="1" t="s">
        <v>40</v>
      </c>
      <c r="Z533" s="1" t="n">
        <v>0</v>
      </c>
      <c r="AA533" s="1" t="str">
        <f aca="false">TRIM(PROPER(F533))</f>
        <v>Mysuru</v>
      </c>
      <c r="AB533" s="1" t="str">
        <f aca="false">TRIM(PROPER(C533))</f>
        <v>Byju'S</v>
      </c>
      <c r="AC533" s="1" t="str">
        <f aca="false">IF(O533=0,"No Discount",IF(O533&lt;=15,"Low (1-15%)",IF(O533&lt;=30,"Medium (16-30%)","High (&gt;30%)")))</f>
        <v>High (&gt;30%)</v>
      </c>
      <c r="AD533" s="1" t="str">
        <f aca="false">IF(V533&lt;0,"Loss Making",IF(V533&lt;20,"Low Margin","Healthy Margin"))</f>
        <v>Healthy Margin</v>
      </c>
      <c r="AE533" s="1" t="str">
        <f aca="false">TEXT(DATE(VALUE(RIGHT(B533,4)),VALUE(MID(B533,4,2)),VALUE(LEFT(B533,2))),"MMM-YYYY")</f>
        <v>Oct-2024</v>
      </c>
      <c r="AF533" s="1" t="n">
        <f aca="false">VALUE(RIGHT(B533,4))</f>
        <v>2024</v>
      </c>
      <c r="AG533" s="1" t="str">
        <f aca="false">CHOOSE(ROUNDUP(VALUE(MID(B533,4,2))/3,0),"Q1","Q2","Q3","Q4")</f>
        <v>Q4</v>
      </c>
    </row>
    <row r="534" customFormat="false" ht="15" hidden="false" customHeight="true" outlineLevel="0" collapsed="false">
      <c r="A534" s="1" t="s">
        <v>1080</v>
      </c>
      <c r="B534" s="1" t="s">
        <v>1081</v>
      </c>
      <c r="C534" s="1" t="s">
        <v>134</v>
      </c>
      <c r="D534" s="1" t="s">
        <v>44</v>
      </c>
      <c r="E534" s="1" t="s">
        <v>221</v>
      </c>
      <c r="F534" s="1" t="s">
        <v>120</v>
      </c>
      <c r="G534" s="1" t="s">
        <v>47</v>
      </c>
      <c r="H534" s="1" t="s">
        <v>57</v>
      </c>
      <c r="I534" s="1" t="s">
        <v>58</v>
      </c>
      <c r="J534" s="1" t="s">
        <v>35</v>
      </c>
      <c r="K534" s="1" t="s">
        <v>112</v>
      </c>
      <c r="L534" s="1" t="s">
        <v>49</v>
      </c>
      <c r="M534" s="1" t="s">
        <v>50</v>
      </c>
      <c r="N534" s="1" t="n">
        <v>16999</v>
      </c>
      <c r="O534" s="1" t="n">
        <v>15</v>
      </c>
      <c r="P534" s="1" t="n">
        <v>2549.85</v>
      </c>
      <c r="Q534" s="1" t="n">
        <v>14449.15</v>
      </c>
      <c r="R534" s="1" t="n">
        <v>2600.85</v>
      </c>
      <c r="S534" s="1" t="n">
        <v>11848.3</v>
      </c>
      <c r="T534" s="1" t="n">
        <v>5420.17</v>
      </c>
      <c r="U534" s="1" t="n">
        <v>6428.13</v>
      </c>
      <c r="V534" s="1" t="n">
        <v>54.25</v>
      </c>
      <c r="W534" s="1" t="s">
        <v>39</v>
      </c>
      <c r="X534" s="1" t="n">
        <v>3.8</v>
      </c>
      <c r="Y534" s="1" t="s">
        <v>40</v>
      </c>
      <c r="Z534" s="1" t="n">
        <v>0</v>
      </c>
      <c r="AA534" s="1" t="str">
        <f aca="false">TRIM(PROPER(F534))</f>
        <v>Mysuru</v>
      </c>
      <c r="AB534" s="1" t="str">
        <f aca="false">TRIM(PROPER(C534))</f>
        <v>Doubtnut</v>
      </c>
      <c r="AC534" s="1" t="str">
        <f aca="false">IF(O534=0,"No Discount",IF(O534&lt;=15,"Low (1-15%)",IF(O534&lt;=30,"Medium (16-30%)","High (&gt;30%)")))</f>
        <v>Low (1-15%)</v>
      </c>
      <c r="AD534" s="1" t="str">
        <f aca="false">IF(V534&lt;0,"Loss Making",IF(V534&lt;20,"Low Margin","Healthy Margin"))</f>
        <v>Healthy Margin</v>
      </c>
      <c r="AE534" s="1" t="str">
        <f aca="false">TEXT(DATE(VALUE(RIGHT(B534,4)),VALUE(MID(B534,4,2)),VALUE(LEFT(B534,2))),"MMM-YYYY")</f>
        <v>Jul-2024</v>
      </c>
      <c r="AF534" s="1" t="n">
        <f aca="false">VALUE(RIGHT(B534,4))</f>
        <v>2024</v>
      </c>
      <c r="AG534" s="1" t="str">
        <f aca="false">CHOOSE(ROUNDUP(VALUE(MID(B534,4,2))/3,0),"Q1","Q2","Q3","Q4")</f>
        <v>Q3</v>
      </c>
    </row>
    <row r="535" customFormat="false" ht="15" hidden="false" customHeight="true" outlineLevel="0" collapsed="false">
      <c r="A535" s="1" t="s">
        <v>1082</v>
      </c>
      <c r="B535" s="1" t="s">
        <v>847</v>
      </c>
      <c r="C535" s="1" t="s">
        <v>139</v>
      </c>
      <c r="D535" s="1" t="s">
        <v>168</v>
      </c>
      <c r="E535" s="1" t="s">
        <v>169</v>
      </c>
      <c r="F535" s="1" t="s">
        <v>187</v>
      </c>
      <c r="G535" s="1" t="s">
        <v>97</v>
      </c>
      <c r="H535" s="1" t="s">
        <v>69</v>
      </c>
      <c r="I535" s="1" t="s">
        <v>83</v>
      </c>
      <c r="J535" s="1" t="s">
        <v>59</v>
      </c>
      <c r="K535" s="1" t="s">
        <v>48</v>
      </c>
      <c r="L535" s="1" t="s">
        <v>49</v>
      </c>
      <c r="M535" s="1" t="s">
        <v>62</v>
      </c>
      <c r="N535" s="1" t="n">
        <v>4999</v>
      </c>
      <c r="O535" s="1" t="n">
        <v>0</v>
      </c>
      <c r="P535" s="1" t="n">
        <v>0</v>
      </c>
      <c r="Q535" s="1" t="n">
        <v>4999</v>
      </c>
      <c r="R535" s="1" t="n">
        <v>899.82</v>
      </c>
      <c r="S535" s="1" t="n">
        <v>4099.18</v>
      </c>
      <c r="T535" s="1" t="n">
        <v>1522.88</v>
      </c>
      <c r="U535" s="1" t="n">
        <v>2576.3</v>
      </c>
      <c r="V535" s="1" t="n">
        <v>62.85</v>
      </c>
      <c r="W535" s="1" t="s">
        <v>39</v>
      </c>
      <c r="X535" s="1" t="n">
        <v>2.9</v>
      </c>
      <c r="Y535" s="1" t="s">
        <v>40</v>
      </c>
      <c r="Z535" s="1" t="n">
        <v>0</v>
      </c>
      <c r="AA535" s="1" t="str">
        <f aca="false">TRIM(PROPER(F535))</f>
        <v>Mumbai</v>
      </c>
      <c r="AB535" s="1" t="str">
        <f aca="false">TRIM(PROPER(C535))</f>
        <v>Extramarks</v>
      </c>
      <c r="AC535" s="1" t="str">
        <f aca="false">IF(O535=0,"No Discount",IF(O535&lt;=15,"Low (1-15%)",IF(O535&lt;=30,"Medium (16-30%)","High (&gt;30%)")))</f>
        <v>No Discount</v>
      </c>
      <c r="AD535" s="1" t="str">
        <f aca="false">IF(V535&lt;0,"Loss Making",IF(V535&lt;20,"Low Margin","Healthy Margin"))</f>
        <v>Healthy Margin</v>
      </c>
      <c r="AE535" s="1" t="str">
        <f aca="false">TEXT(DATE(VALUE(RIGHT(B535,4)),VALUE(MID(B535,4,2)),VALUE(LEFT(B535,2))),"MMM-YYYY")</f>
        <v>Jun-2023</v>
      </c>
      <c r="AF535" s="1" t="n">
        <f aca="false">VALUE(RIGHT(B535,4))</f>
        <v>2023</v>
      </c>
      <c r="AG535" s="1" t="str">
        <f aca="false">CHOOSE(ROUNDUP(VALUE(MID(B535,4,2))/3,0),"Q1","Q2","Q3","Q4")</f>
        <v>Q2</v>
      </c>
    </row>
    <row r="536" customFormat="false" ht="15" hidden="false" customHeight="true" outlineLevel="0" collapsed="false">
      <c r="A536" s="1" t="s">
        <v>1083</v>
      </c>
      <c r="B536" s="1" t="s">
        <v>401</v>
      </c>
      <c r="C536" s="1" t="s">
        <v>74</v>
      </c>
      <c r="D536" s="1" t="s">
        <v>29</v>
      </c>
      <c r="E536" s="1" t="s">
        <v>129</v>
      </c>
      <c r="F536" s="1" t="s">
        <v>31</v>
      </c>
      <c r="G536" s="1" t="s">
        <v>32</v>
      </c>
      <c r="H536" s="1" t="s">
        <v>33</v>
      </c>
      <c r="I536" s="1" t="s">
        <v>83</v>
      </c>
      <c r="J536" s="1" t="s">
        <v>59</v>
      </c>
      <c r="K536" s="1" t="s">
        <v>48</v>
      </c>
      <c r="L536" s="1" t="s">
        <v>136</v>
      </c>
      <c r="M536" s="1" t="s">
        <v>38</v>
      </c>
      <c r="N536" s="1" t="n">
        <v>29999</v>
      </c>
      <c r="O536" s="1" t="n">
        <v>40</v>
      </c>
      <c r="P536" s="1" t="n">
        <v>11999.6</v>
      </c>
      <c r="Q536" s="1" t="n">
        <v>17999.4</v>
      </c>
      <c r="R536" s="1" t="n">
        <v>3239.89</v>
      </c>
      <c r="S536" s="1" t="n">
        <v>14759.51</v>
      </c>
      <c r="T536" s="1" t="n">
        <v>8926.1</v>
      </c>
      <c r="U536" s="1" t="n">
        <v>5833.41</v>
      </c>
      <c r="V536" s="1" t="n">
        <v>39.52</v>
      </c>
      <c r="W536" s="1" t="s">
        <v>40</v>
      </c>
      <c r="Y536" s="1" t="s">
        <v>40</v>
      </c>
      <c r="Z536" s="1" t="n">
        <v>1</v>
      </c>
      <c r="AA536" s="1" t="str">
        <f aca="false">TRIM(PROPER(F536))</f>
        <v>Jodhpur</v>
      </c>
      <c r="AB536" s="1" t="str">
        <f aca="false">TRIM(PROPER(C536))</f>
        <v>Vedantu</v>
      </c>
      <c r="AC536" s="1" t="str">
        <f aca="false">IF(O536=0,"No Discount",IF(O536&lt;=15,"Low (1-15%)",IF(O536&lt;=30,"Medium (16-30%)","High (&gt;30%)")))</f>
        <v>High (&gt;30%)</v>
      </c>
      <c r="AD536" s="1" t="str">
        <f aca="false">IF(V536&lt;0,"Loss Making",IF(V536&lt;20,"Low Margin","Healthy Margin"))</f>
        <v>Healthy Margin</v>
      </c>
      <c r="AE536" s="1" t="str">
        <f aca="false">TEXT(DATE(VALUE(RIGHT(B536,4)),VALUE(MID(B536,4,2)),VALUE(LEFT(B536,2))),"MMM-YYYY")</f>
        <v>May-2024</v>
      </c>
      <c r="AF536" s="1" t="n">
        <f aca="false">VALUE(RIGHT(B536,4))</f>
        <v>2024</v>
      </c>
      <c r="AG536" s="1" t="str">
        <f aca="false">CHOOSE(ROUNDUP(VALUE(MID(B536,4,2))/3,0),"Q1","Q2","Q3","Q4")</f>
        <v>Q2</v>
      </c>
    </row>
    <row r="537" customFormat="false" ht="15" hidden="false" customHeight="true" outlineLevel="0" collapsed="false">
      <c r="A537" s="1" t="s">
        <v>1084</v>
      </c>
      <c r="B537" s="1" t="s">
        <v>1085</v>
      </c>
      <c r="C537" s="1" t="s">
        <v>65</v>
      </c>
      <c r="D537" s="1" t="s">
        <v>143</v>
      </c>
      <c r="E537" s="1" t="s">
        <v>162</v>
      </c>
      <c r="F537" s="1" t="s">
        <v>150</v>
      </c>
      <c r="G537" s="1" t="s">
        <v>32</v>
      </c>
      <c r="H537" s="1" t="s">
        <v>57</v>
      </c>
      <c r="I537" s="1" t="s">
        <v>83</v>
      </c>
      <c r="J537" s="1" t="s">
        <v>77</v>
      </c>
      <c r="K537" s="1" t="s">
        <v>112</v>
      </c>
      <c r="L537" s="1" t="s">
        <v>85</v>
      </c>
      <c r="M537" s="1" t="s">
        <v>62</v>
      </c>
      <c r="N537" s="1" t="n">
        <v>14999</v>
      </c>
      <c r="O537" s="1" t="n">
        <v>40</v>
      </c>
      <c r="P537" s="1" t="n">
        <v>5999.6</v>
      </c>
      <c r="Q537" s="1" t="n">
        <v>8999.4</v>
      </c>
      <c r="R537" s="1" t="n">
        <v>1619.89</v>
      </c>
      <c r="S537" s="1" t="n">
        <v>7379.51</v>
      </c>
      <c r="T537" s="1" t="n">
        <v>3790.83</v>
      </c>
      <c r="U537" s="1" t="n">
        <v>3588.68</v>
      </c>
      <c r="V537" s="1" t="n">
        <v>48.63</v>
      </c>
      <c r="W537" s="1" t="s">
        <v>39</v>
      </c>
      <c r="X537" s="1" t="n">
        <v>3.8</v>
      </c>
      <c r="Y537" s="1" t="s">
        <v>40</v>
      </c>
      <c r="Z537" s="1" t="n">
        <v>0</v>
      </c>
      <c r="AA537" s="1" t="str">
        <f aca="false">TRIM(PROPER(F537))</f>
        <v>Jaipur</v>
      </c>
      <c r="AB537" s="1" t="str">
        <f aca="false">TRIM(PROPER(C537))</f>
        <v>Toppr</v>
      </c>
      <c r="AC537" s="1" t="str">
        <f aca="false">IF(O537=0,"No Discount",IF(O537&lt;=15,"Low (1-15%)",IF(O537&lt;=30,"Medium (16-30%)","High (&gt;30%)")))</f>
        <v>High (&gt;30%)</v>
      </c>
      <c r="AD537" s="1" t="str">
        <f aca="false">IF(V537&lt;0,"Loss Making",IF(V537&lt;20,"Low Margin","Healthy Margin"))</f>
        <v>Healthy Margin</v>
      </c>
      <c r="AE537" s="1" t="str">
        <f aca="false">TEXT(DATE(VALUE(RIGHT(B537,4)),VALUE(MID(B537,4,2)),VALUE(LEFT(B537,2))),"MMM-YYYY")</f>
        <v>Jul-2024</v>
      </c>
      <c r="AF537" s="1" t="n">
        <f aca="false">VALUE(RIGHT(B537,4))</f>
        <v>2024</v>
      </c>
      <c r="AG537" s="1" t="str">
        <f aca="false">CHOOSE(ROUNDUP(VALUE(MID(B537,4,2))/3,0),"Q1","Q2","Q3","Q4")</f>
        <v>Q3</v>
      </c>
    </row>
    <row r="538" customFormat="false" ht="15" hidden="false" customHeight="true" outlineLevel="0" collapsed="false">
      <c r="A538" s="1" t="s">
        <v>1086</v>
      </c>
      <c r="B538" s="1" t="s">
        <v>520</v>
      </c>
      <c r="C538" s="1" t="s">
        <v>43</v>
      </c>
      <c r="D538" s="1" t="s">
        <v>53</v>
      </c>
      <c r="E538" s="1" t="s">
        <v>54</v>
      </c>
      <c r="F538" s="1" t="s">
        <v>244</v>
      </c>
      <c r="G538" s="1" t="s">
        <v>97</v>
      </c>
      <c r="H538" s="1" t="s">
        <v>57</v>
      </c>
      <c r="I538" s="1" t="s">
        <v>58</v>
      </c>
      <c r="J538" s="1" t="s">
        <v>131</v>
      </c>
      <c r="K538" s="1" t="s">
        <v>60</v>
      </c>
      <c r="L538" s="1" t="s">
        <v>49</v>
      </c>
      <c r="M538" s="1" t="s">
        <v>62</v>
      </c>
      <c r="N538" s="1" t="n">
        <v>11999</v>
      </c>
      <c r="O538" s="1" t="n">
        <v>0</v>
      </c>
      <c r="P538" s="1" t="n">
        <v>0</v>
      </c>
      <c r="Q538" s="1" t="n">
        <v>11999</v>
      </c>
      <c r="R538" s="1" t="n">
        <v>2159.82</v>
      </c>
      <c r="S538" s="1" t="n">
        <v>9839.18</v>
      </c>
      <c r="T538" s="1" t="n">
        <v>4993.22</v>
      </c>
      <c r="U538" s="1" t="n">
        <v>4845.96</v>
      </c>
      <c r="V538" s="1" t="n">
        <v>49.25</v>
      </c>
      <c r="W538" s="1" t="s">
        <v>39</v>
      </c>
      <c r="Y538" s="1" t="s">
        <v>40</v>
      </c>
      <c r="Z538" s="1" t="n">
        <v>0</v>
      </c>
      <c r="AA538" s="1" t="str">
        <f aca="false">TRIM(PROPER(F538))</f>
        <v>Nagpur</v>
      </c>
      <c r="AB538" s="1" t="str">
        <f aca="false">TRIM(PROPER(C538))</f>
        <v>Meritnation</v>
      </c>
      <c r="AC538" s="1" t="str">
        <f aca="false">IF(O538=0,"No Discount",IF(O538&lt;=15,"Low (1-15%)",IF(O538&lt;=30,"Medium (16-30%)","High (&gt;30%)")))</f>
        <v>No Discount</v>
      </c>
      <c r="AD538" s="1" t="str">
        <f aca="false">IF(V538&lt;0,"Loss Making",IF(V538&lt;20,"Low Margin","Healthy Margin"))</f>
        <v>Healthy Margin</v>
      </c>
      <c r="AE538" s="1" t="str">
        <f aca="false">TEXT(DATE(VALUE(RIGHT(B538,4)),VALUE(MID(B538,4,2)),VALUE(LEFT(B538,2))),"MMM-YYYY")</f>
        <v>Jul-2024</v>
      </c>
      <c r="AF538" s="1" t="n">
        <f aca="false">VALUE(RIGHT(B538,4))</f>
        <v>2024</v>
      </c>
      <c r="AG538" s="1" t="str">
        <f aca="false">CHOOSE(ROUNDUP(VALUE(MID(B538,4,2))/3,0),"Q1","Q2","Q3","Q4")</f>
        <v>Q3</v>
      </c>
    </row>
    <row r="539" customFormat="false" ht="15" hidden="false" customHeight="true" outlineLevel="0" collapsed="false">
      <c r="A539" s="1" t="s">
        <v>1087</v>
      </c>
      <c r="B539" s="1" t="s">
        <v>229</v>
      </c>
      <c r="C539" s="1" t="s">
        <v>93</v>
      </c>
      <c r="D539" s="1" t="s">
        <v>80</v>
      </c>
      <c r="E539" s="1" t="s">
        <v>190</v>
      </c>
      <c r="F539" s="1" t="s">
        <v>75</v>
      </c>
      <c r="G539" s="1" t="s">
        <v>76</v>
      </c>
      <c r="H539" s="1" t="s">
        <v>69</v>
      </c>
      <c r="I539" s="1" t="s">
        <v>34</v>
      </c>
      <c r="J539" s="1" t="s">
        <v>59</v>
      </c>
      <c r="K539" s="1" t="s">
        <v>60</v>
      </c>
      <c r="L539" s="1" t="s">
        <v>37</v>
      </c>
      <c r="M539" s="1" t="s">
        <v>62</v>
      </c>
      <c r="N539" s="1" t="n">
        <v>15999</v>
      </c>
      <c r="O539" s="1" t="n">
        <v>0</v>
      </c>
      <c r="P539" s="1" t="n">
        <v>0</v>
      </c>
      <c r="Q539" s="1" t="n">
        <v>15999</v>
      </c>
      <c r="R539" s="1" t="n">
        <v>2879.82</v>
      </c>
      <c r="S539" s="1" t="n">
        <v>13119.18</v>
      </c>
      <c r="T539" s="1" t="n">
        <v>5648.44</v>
      </c>
      <c r="U539" s="1" t="n">
        <v>7470.74</v>
      </c>
      <c r="V539" s="1" t="n">
        <v>56.95</v>
      </c>
      <c r="W539" s="1" t="s">
        <v>39</v>
      </c>
      <c r="X539" s="1" t="n">
        <v>3.7</v>
      </c>
      <c r="Y539" s="1" t="s">
        <v>40</v>
      </c>
      <c r="Z539" s="1" t="n">
        <v>0</v>
      </c>
      <c r="AA539" s="1" t="str">
        <f aca="false">TRIM(PROPER(F539))</f>
        <v>Kolkata</v>
      </c>
      <c r="AB539" s="1" t="str">
        <f aca="false">TRIM(PROPER(C539))</f>
        <v>Upgrad</v>
      </c>
      <c r="AC539" s="1" t="str">
        <f aca="false">IF(O539=0,"No Discount",IF(O539&lt;=15,"Low (1-15%)",IF(O539&lt;=30,"Medium (16-30%)","High (&gt;30%)")))</f>
        <v>No Discount</v>
      </c>
      <c r="AD539" s="1" t="str">
        <f aca="false">IF(V539&lt;0,"Loss Making",IF(V539&lt;20,"Low Margin","Healthy Margin"))</f>
        <v>Healthy Margin</v>
      </c>
      <c r="AE539" s="1" t="str">
        <f aca="false">TEXT(DATE(VALUE(RIGHT(B539,4)),VALUE(MID(B539,4,2)),VALUE(LEFT(B539,2))),"MMM-YYYY")</f>
        <v>Jun-2023</v>
      </c>
      <c r="AF539" s="1" t="n">
        <f aca="false">VALUE(RIGHT(B539,4))</f>
        <v>2023</v>
      </c>
      <c r="AG539" s="1" t="str">
        <f aca="false">CHOOSE(ROUNDUP(VALUE(MID(B539,4,2))/3,0),"Q1","Q2","Q3","Q4")</f>
        <v>Q2</v>
      </c>
    </row>
    <row r="540" customFormat="false" ht="15" hidden="false" customHeight="true" outlineLevel="0" collapsed="false">
      <c r="A540" s="1" t="s">
        <v>1088</v>
      </c>
      <c r="B540" s="1" t="s">
        <v>1089</v>
      </c>
      <c r="C540" s="1" t="s">
        <v>28</v>
      </c>
      <c r="D540" s="1" t="s">
        <v>94</v>
      </c>
      <c r="E540" s="1" t="s">
        <v>101</v>
      </c>
      <c r="F540" s="1" t="s">
        <v>120</v>
      </c>
      <c r="G540" s="1" t="s">
        <v>47</v>
      </c>
      <c r="H540" s="1" t="s">
        <v>57</v>
      </c>
      <c r="I540" s="1" t="s">
        <v>34</v>
      </c>
      <c r="J540" s="1" t="s">
        <v>35</v>
      </c>
      <c r="K540" s="1" t="s">
        <v>84</v>
      </c>
      <c r="L540" s="1" t="s">
        <v>49</v>
      </c>
      <c r="M540" s="1" t="s">
        <v>50</v>
      </c>
      <c r="N540" s="1" t="n">
        <v>14999</v>
      </c>
      <c r="O540" s="1" t="n">
        <v>10</v>
      </c>
      <c r="P540" s="1" t="n">
        <v>1499.9</v>
      </c>
      <c r="Q540" s="1" t="n">
        <v>13499.1</v>
      </c>
      <c r="R540" s="1" t="n">
        <v>2429.84</v>
      </c>
      <c r="S540" s="1" t="n">
        <v>11069.26</v>
      </c>
      <c r="T540" s="1" t="n">
        <v>4362.52</v>
      </c>
      <c r="U540" s="1" t="n">
        <v>6706.74</v>
      </c>
      <c r="V540" s="1" t="n">
        <v>60.59</v>
      </c>
      <c r="W540" s="1" t="s">
        <v>40</v>
      </c>
      <c r="Y540" s="1" t="s">
        <v>40</v>
      </c>
      <c r="Z540" s="1" t="n">
        <v>4</v>
      </c>
      <c r="AA540" s="1" t="str">
        <f aca="false">TRIM(PROPER(F540))</f>
        <v>Mysuru</v>
      </c>
      <c r="AB540" s="1" t="str">
        <f aca="false">TRIM(PROPER(C540))</f>
        <v>Embibe</v>
      </c>
      <c r="AC540" s="1" t="str">
        <f aca="false">IF(O540=0,"No Discount",IF(O540&lt;=15,"Low (1-15%)",IF(O540&lt;=30,"Medium (16-30%)","High (&gt;30%)")))</f>
        <v>Low (1-15%)</v>
      </c>
      <c r="AD540" s="1" t="str">
        <f aca="false">IF(V540&lt;0,"Loss Making",IF(V540&lt;20,"Low Margin","Healthy Margin"))</f>
        <v>Healthy Margin</v>
      </c>
      <c r="AE540" s="1" t="str">
        <f aca="false">TEXT(DATE(VALUE(RIGHT(B540,4)),VALUE(MID(B540,4,2)),VALUE(LEFT(B540,2))),"MMM-YYYY")</f>
        <v>Jul-2023</v>
      </c>
      <c r="AF540" s="1" t="n">
        <f aca="false">VALUE(RIGHT(B540,4))</f>
        <v>2023</v>
      </c>
      <c r="AG540" s="1" t="str">
        <f aca="false">CHOOSE(ROUNDUP(VALUE(MID(B540,4,2))/3,0),"Q1","Q2","Q3","Q4")</f>
        <v>Q3</v>
      </c>
    </row>
    <row r="541" customFormat="false" ht="15" hidden="false" customHeight="true" outlineLevel="0" collapsed="false">
      <c r="A541" s="1" t="s">
        <v>1090</v>
      </c>
      <c r="B541" s="1" t="s">
        <v>399</v>
      </c>
      <c r="C541" s="1" t="s">
        <v>134</v>
      </c>
      <c r="D541" s="1" t="s">
        <v>53</v>
      </c>
      <c r="E541" s="1" t="s">
        <v>216</v>
      </c>
      <c r="F541" s="1" t="s">
        <v>150</v>
      </c>
      <c r="G541" s="1" t="s">
        <v>32</v>
      </c>
      <c r="H541" s="1" t="s">
        <v>57</v>
      </c>
      <c r="I541" s="1" t="s">
        <v>83</v>
      </c>
      <c r="J541" s="1" t="s">
        <v>77</v>
      </c>
      <c r="K541" s="1" t="s">
        <v>36</v>
      </c>
      <c r="L541" s="1" t="s">
        <v>49</v>
      </c>
      <c r="M541" s="1" t="s">
        <v>62</v>
      </c>
      <c r="N541" s="1" t="n">
        <v>7499</v>
      </c>
      <c r="O541" s="1" t="n">
        <v>20</v>
      </c>
      <c r="P541" s="1" t="n">
        <v>1499.8</v>
      </c>
      <c r="Q541" s="1" t="n">
        <v>5999.2</v>
      </c>
      <c r="R541" s="1" t="n">
        <v>1079.86</v>
      </c>
      <c r="S541" s="1" t="n">
        <v>4919.34</v>
      </c>
      <c r="T541" s="1" t="n">
        <v>2209</v>
      </c>
      <c r="U541" s="1" t="n">
        <v>2710.34</v>
      </c>
      <c r="V541" s="1" t="n">
        <v>55.1</v>
      </c>
      <c r="W541" s="1" t="s">
        <v>39</v>
      </c>
      <c r="Y541" s="1" t="s">
        <v>40</v>
      </c>
      <c r="Z541" s="1" t="n">
        <v>1</v>
      </c>
      <c r="AA541" s="1" t="str">
        <f aca="false">TRIM(PROPER(F541))</f>
        <v>Jaipur</v>
      </c>
      <c r="AB541" s="1" t="str">
        <f aca="false">TRIM(PROPER(C541))</f>
        <v>Doubtnut</v>
      </c>
      <c r="AC541" s="1" t="str">
        <f aca="false">IF(O541=0,"No Discount",IF(O541&lt;=15,"Low (1-15%)",IF(O541&lt;=30,"Medium (16-30%)","High (&gt;30%)")))</f>
        <v>Medium (16-30%)</v>
      </c>
      <c r="AD541" s="1" t="str">
        <f aca="false">IF(V541&lt;0,"Loss Making",IF(V541&lt;20,"Low Margin","Healthy Margin"))</f>
        <v>Healthy Margin</v>
      </c>
      <c r="AE541" s="1" t="str">
        <f aca="false">TEXT(DATE(VALUE(RIGHT(B541,4)),VALUE(MID(B541,4,2)),VALUE(LEFT(B541,2))),"MMM-YYYY")</f>
        <v>Aug-2024</v>
      </c>
      <c r="AF541" s="1" t="n">
        <f aca="false">VALUE(RIGHT(B541,4))</f>
        <v>2024</v>
      </c>
      <c r="AG541" s="1" t="str">
        <f aca="false">CHOOSE(ROUNDUP(VALUE(MID(B541,4,2))/3,0),"Q1","Q2","Q3","Q4")</f>
        <v>Q3</v>
      </c>
    </row>
    <row r="542" customFormat="false" ht="15" hidden="false" customHeight="true" outlineLevel="0" collapsed="false">
      <c r="A542" s="1" t="s">
        <v>1091</v>
      </c>
      <c r="B542" s="1" t="s">
        <v>1092</v>
      </c>
      <c r="C542" s="1" t="s">
        <v>74</v>
      </c>
      <c r="D542" s="1" t="s">
        <v>94</v>
      </c>
      <c r="E542" s="1" t="s">
        <v>135</v>
      </c>
      <c r="F542" s="1" t="s">
        <v>194</v>
      </c>
      <c r="G542" s="1" t="s">
        <v>103</v>
      </c>
      <c r="H542" s="1" t="s">
        <v>69</v>
      </c>
      <c r="I542" s="1" t="s">
        <v>83</v>
      </c>
      <c r="J542" s="1" t="s">
        <v>59</v>
      </c>
      <c r="K542" s="1" t="s">
        <v>71</v>
      </c>
      <c r="L542" s="1" t="s">
        <v>37</v>
      </c>
      <c r="M542" s="1" t="s">
        <v>38</v>
      </c>
      <c r="N542" s="1" t="n">
        <v>9999</v>
      </c>
      <c r="O542" s="1" t="n">
        <v>0</v>
      </c>
      <c r="P542" s="1" t="n">
        <v>0</v>
      </c>
      <c r="Q542" s="1" t="n">
        <v>9999</v>
      </c>
      <c r="R542" s="1" t="n">
        <v>1799.82</v>
      </c>
      <c r="S542" s="1" t="n">
        <v>8199.18</v>
      </c>
      <c r="T542" s="1" t="n">
        <v>3602.77</v>
      </c>
      <c r="U542" s="1" t="n">
        <v>4596.41</v>
      </c>
      <c r="V542" s="1" t="n">
        <v>56.06</v>
      </c>
      <c r="W542" s="1" t="s">
        <v>39</v>
      </c>
      <c r="X542" s="1" t="n">
        <v>4.9</v>
      </c>
      <c r="Y542" s="1" t="s">
        <v>40</v>
      </c>
      <c r="Z542" s="1" t="n">
        <v>0</v>
      </c>
      <c r="AA542" s="1" t="str">
        <f aca="false">TRIM(PROPER(F542))</f>
        <v>Hyderabad</v>
      </c>
      <c r="AB542" s="1" t="str">
        <f aca="false">TRIM(PROPER(C542))</f>
        <v>Vedantu</v>
      </c>
      <c r="AC542" s="1" t="str">
        <f aca="false">IF(O542=0,"No Discount",IF(O542&lt;=15,"Low (1-15%)",IF(O542&lt;=30,"Medium (16-30%)","High (&gt;30%)")))</f>
        <v>No Discount</v>
      </c>
      <c r="AD542" s="1" t="str">
        <f aca="false">IF(V542&lt;0,"Loss Making",IF(V542&lt;20,"Low Margin","Healthy Margin"))</f>
        <v>Healthy Margin</v>
      </c>
      <c r="AE542" s="1" t="str">
        <f aca="false">TEXT(DATE(VALUE(RIGHT(B542,4)),VALUE(MID(B542,4,2)),VALUE(LEFT(B542,2))),"MMM-YYYY")</f>
        <v>Dec-2024</v>
      </c>
      <c r="AF542" s="1" t="n">
        <f aca="false">VALUE(RIGHT(B542,4))</f>
        <v>2024</v>
      </c>
      <c r="AG542" s="1" t="str">
        <f aca="false">CHOOSE(ROUNDUP(VALUE(MID(B542,4,2))/3,0),"Q1","Q2","Q3","Q4")</f>
        <v>Q4</v>
      </c>
    </row>
    <row r="543" customFormat="false" ht="15" hidden="false" customHeight="true" outlineLevel="0" collapsed="false">
      <c r="A543" s="1" t="s">
        <v>1093</v>
      </c>
      <c r="B543" s="1" t="s">
        <v>1094</v>
      </c>
      <c r="C543" s="1" t="s">
        <v>249</v>
      </c>
      <c r="D543" s="1" t="s">
        <v>143</v>
      </c>
      <c r="E543" s="1" t="s">
        <v>210</v>
      </c>
      <c r="F543" s="1" t="s">
        <v>82</v>
      </c>
      <c r="G543" s="1" t="s">
        <v>56</v>
      </c>
      <c r="H543" s="1" t="s">
        <v>69</v>
      </c>
      <c r="I543" s="1" t="s">
        <v>58</v>
      </c>
      <c r="J543" s="1" t="s">
        <v>131</v>
      </c>
      <c r="K543" s="1" t="s">
        <v>71</v>
      </c>
      <c r="L543" s="1" t="s">
        <v>113</v>
      </c>
      <c r="M543" s="1" t="s">
        <v>38</v>
      </c>
      <c r="N543" s="1" t="n">
        <v>18999</v>
      </c>
      <c r="O543" s="1" t="n">
        <v>10</v>
      </c>
      <c r="P543" s="1" t="n">
        <v>1899.9</v>
      </c>
      <c r="Q543" s="1" t="n">
        <v>17099.1</v>
      </c>
      <c r="R543" s="1" t="n">
        <v>3077.84</v>
      </c>
      <c r="S543" s="1" t="n">
        <v>14021.26</v>
      </c>
      <c r="T543" s="1" t="n">
        <v>5755.36</v>
      </c>
      <c r="U543" s="1" t="n">
        <v>8265.9</v>
      </c>
      <c r="V543" s="1" t="n">
        <v>58.95</v>
      </c>
      <c r="W543" s="1" t="s">
        <v>39</v>
      </c>
      <c r="X543" s="1" t="n">
        <v>3.7</v>
      </c>
      <c r="Y543" s="1" t="s">
        <v>40</v>
      </c>
      <c r="Z543" s="1" t="n">
        <v>1</v>
      </c>
      <c r="AA543" s="1" t="str">
        <f aca="false">TRIM(PROPER(F543))</f>
        <v>Gurugram</v>
      </c>
      <c r="AB543" s="1" t="str">
        <f aca="false">TRIM(PROPER(C543))</f>
        <v>Whitehat Jr</v>
      </c>
      <c r="AC543" s="1" t="str">
        <f aca="false">IF(O543=0,"No Discount",IF(O543&lt;=15,"Low (1-15%)",IF(O543&lt;=30,"Medium (16-30%)","High (&gt;30%)")))</f>
        <v>Low (1-15%)</v>
      </c>
      <c r="AD543" s="1" t="str">
        <f aca="false">IF(V543&lt;0,"Loss Making",IF(V543&lt;20,"Low Margin","Healthy Margin"))</f>
        <v>Healthy Margin</v>
      </c>
      <c r="AE543" s="1" t="str">
        <f aca="false">TEXT(DATE(VALUE(RIGHT(B543,4)),VALUE(MID(B543,4,2)),VALUE(LEFT(B543,2))),"MMM-YYYY")</f>
        <v>Sep-2024</v>
      </c>
      <c r="AF543" s="1" t="n">
        <f aca="false">VALUE(RIGHT(B543,4))</f>
        <v>2024</v>
      </c>
      <c r="AG543" s="1" t="str">
        <f aca="false">CHOOSE(ROUNDUP(VALUE(MID(B543,4,2))/3,0),"Q1","Q2","Q3","Q4")</f>
        <v>Q3</v>
      </c>
    </row>
    <row r="544" customFormat="false" ht="15" hidden="false" customHeight="true" outlineLevel="0" collapsed="false">
      <c r="A544" s="1" t="s">
        <v>1095</v>
      </c>
      <c r="B544" s="1" t="s">
        <v>926</v>
      </c>
      <c r="C544" s="1" t="s">
        <v>93</v>
      </c>
      <c r="D544" s="1" t="s">
        <v>44</v>
      </c>
      <c r="E544" s="1" t="s">
        <v>221</v>
      </c>
      <c r="F544" s="1" t="s">
        <v>211</v>
      </c>
      <c r="G544" s="1" t="s">
        <v>56</v>
      </c>
      <c r="H544" s="1" t="s">
        <v>69</v>
      </c>
      <c r="I544" s="1" t="s">
        <v>34</v>
      </c>
      <c r="J544" s="1" t="s">
        <v>131</v>
      </c>
      <c r="K544" s="1" t="s">
        <v>71</v>
      </c>
      <c r="L544" s="1" t="s">
        <v>136</v>
      </c>
      <c r="M544" s="1" t="s">
        <v>38</v>
      </c>
      <c r="N544" s="1" t="n">
        <v>16999</v>
      </c>
      <c r="O544" s="1" t="n">
        <v>0</v>
      </c>
      <c r="P544" s="1" t="n">
        <v>0</v>
      </c>
      <c r="Q544" s="1" t="n">
        <v>16999</v>
      </c>
      <c r="R544" s="1" t="n">
        <v>3059.82</v>
      </c>
      <c r="S544" s="1" t="n">
        <v>13939.18</v>
      </c>
      <c r="T544" s="1" t="n">
        <v>5164.11</v>
      </c>
      <c r="U544" s="1" t="n">
        <v>8775.07</v>
      </c>
      <c r="V544" s="1" t="n">
        <v>62.95</v>
      </c>
      <c r="W544" s="1" t="s">
        <v>40</v>
      </c>
      <c r="Y544" s="1" t="s">
        <v>40</v>
      </c>
      <c r="Z544" s="1" t="n">
        <v>0</v>
      </c>
      <c r="AA544" s="1" t="str">
        <f aca="false">TRIM(PROPER(F544))</f>
        <v>Noida</v>
      </c>
      <c r="AB544" s="1" t="str">
        <f aca="false">TRIM(PROPER(C544))</f>
        <v>Upgrad</v>
      </c>
      <c r="AC544" s="1" t="str">
        <f aca="false">IF(O544=0,"No Discount",IF(O544&lt;=15,"Low (1-15%)",IF(O544&lt;=30,"Medium (16-30%)","High (&gt;30%)")))</f>
        <v>No Discount</v>
      </c>
      <c r="AD544" s="1" t="str">
        <f aca="false">IF(V544&lt;0,"Loss Making",IF(V544&lt;20,"Low Margin","Healthy Margin"))</f>
        <v>Healthy Margin</v>
      </c>
      <c r="AE544" s="1" t="str">
        <f aca="false">TEXT(DATE(VALUE(RIGHT(B544,4)),VALUE(MID(B544,4,2)),VALUE(LEFT(B544,2))),"MMM-YYYY")</f>
        <v>Nov-2023</v>
      </c>
      <c r="AF544" s="1" t="n">
        <f aca="false">VALUE(RIGHT(B544,4))</f>
        <v>2023</v>
      </c>
      <c r="AG544" s="1" t="str">
        <f aca="false">CHOOSE(ROUNDUP(VALUE(MID(B544,4,2))/3,0),"Q1","Q2","Q3","Q4")</f>
        <v>Q4</v>
      </c>
    </row>
    <row r="545" customFormat="false" ht="15" hidden="false" customHeight="true" outlineLevel="0" collapsed="false">
      <c r="A545" s="1" t="s">
        <v>1096</v>
      </c>
      <c r="B545" s="1" t="s">
        <v>1097</v>
      </c>
      <c r="C545" s="1" t="s">
        <v>88</v>
      </c>
      <c r="D545" s="1" t="s">
        <v>53</v>
      </c>
      <c r="E545" s="1" t="s">
        <v>54</v>
      </c>
      <c r="F545" s="1" t="s">
        <v>55</v>
      </c>
      <c r="G545" s="1" t="s">
        <v>56</v>
      </c>
      <c r="H545" s="1" t="s">
        <v>57</v>
      </c>
      <c r="I545" s="1" t="s">
        <v>34</v>
      </c>
      <c r="J545" s="1" t="s">
        <v>131</v>
      </c>
      <c r="K545" s="1" t="s">
        <v>112</v>
      </c>
      <c r="L545" s="1" t="s">
        <v>85</v>
      </c>
      <c r="M545" s="1" t="s">
        <v>38</v>
      </c>
      <c r="N545" s="1" t="n">
        <v>11999</v>
      </c>
      <c r="O545" s="1" t="n">
        <v>10</v>
      </c>
      <c r="P545" s="1" t="n">
        <v>1199.9</v>
      </c>
      <c r="Q545" s="1" t="n">
        <v>10799.1</v>
      </c>
      <c r="R545" s="1" t="n">
        <v>1943.84</v>
      </c>
      <c r="S545" s="1" t="n">
        <v>8855.26</v>
      </c>
      <c r="T545" s="1" t="n">
        <v>4203.38</v>
      </c>
      <c r="U545" s="1" t="n">
        <v>4651.88</v>
      </c>
      <c r="V545" s="1" t="n">
        <v>52.53</v>
      </c>
      <c r="W545" s="1" t="s">
        <v>39</v>
      </c>
      <c r="X545" s="1" t="n">
        <v>3.6</v>
      </c>
      <c r="Y545" s="1" t="s">
        <v>40</v>
      </c>
      <c r="Z545" s="1" t="n">
        <v>0</v>
      </c>
      <c r="AA545" s="1" t="str">
        <f aca="false">TRIM(PROPER(F545))</f>
        <v>Ghaziabad</v>
      </c>
      <c r="AB545" s="1" t="str">
        <f aca="false">TRIM(PROPER(C545))</f>
        <v>Byju'S</v>
      </c>
      <c r="AC545" s="1" t="str">
        <f aca="false">IF(O545=0,"No Discount",IF(O545&lt;=15,"Low (1-15%)",IF(O545&lt;=30,"Medium (16-30%)","High (&gt;30%)")))</f>
        <v>Low (1-15%)</v>
      </c>
      <c r="AD545" s="1" t="str">
        <f aca="false">IF(V545&lt;0,"Loss Making",IF(V545&lt;20,"Low Margin","Healthy Margin"))</f>
        <v>Healthy Margin</v>
      </c>
      <c r="AE545" s="1" t="str">
        <f aca="false">TEXT(DATE(VALUE(RIGHT(B545,4)),VALUE(MID(B545,4,2)),VALUE(LEFT(B545,2))),"MMM-YYYY")</f>
        <v>Oct-2023</v>
      </c>
      <c r="AF545" s="1" t="n">
        <f aca="false">VALUE(RIGHT(B545,4))</f>
        <v>2023</v>
      </c>
      <c r="AG545" s="1" t="str">
        <f aca="false">CHOOSE(ROUNDUP(VALUE(MID(B545,4,2))/3,0),"Q1","Q2","Q3","Q4")</f>
        <v>Q4</v>
      </c>
    </row>
    <row r="546" customFormat="false" ht="15" hidden="false" customHeight="true" outlineLevel="0" collapsed="false">
      <c r="A546" s="1" t="s">
        <v>1098</v>
      </c>
      <c r="B546" s="1" t="s">
        <v>1099</v>
      </c>
      <c r="C546" s="1" t="s">
        <v>178</v>
      </c>
      <c r="D546" s="1" t="s">
        <v>168</v>
      </c>
      <c r="E546" s="1" t="s">
        <v>328</v>
      </c>
      <c r="F546" s="1" t="s">
        <v>187</v>
      </c>
      <c r="G546" s="1" t="s">
        <v>97</v>
      </c>
      <c r="H546" s="1" t="s">
        <v>69</v>
      </c>
      <c r="I546" s="1" t="s">
        <v>34</v>
      </c>
      <c r="J546" s="1" t="s">
        <v>131</v>
      </c>
      <c r="K546" s="1" t="s">
        <v>90</v>
      </c>
      <c r="L546" s="1" t="s">
        <v>85</v>
      </c>
      <c r="M546" s="1" t="s">
        <v>50</v>
      </c>
      <c r="N546" s="1" t="n">
        <v>8999</v>
      </c>
      <c r="O546" s="1" t="n">
        <v>10</v>
      </c>
      <c r="P546" s="1" t="n">
        <v>899.9</v>
      </c>
      <c r="Q546" s="1" t="n">
        <v>8099.1</v>
      </c>
      <c r="R546" s="1" t="n">
        <v>1457.84</v>
      </c>
      <c r="S546" s="1" t="n">
        <v>6641.26</v>
      </c>
      <c r="T546" s="1" t="n">
        <v>2653.6</v>
      </c>
      <c r="U546" s="1" t="n">
        <v>3987.66</v>
      </c>
      <c r="V546" s="1" t="n">
        <v>60.04</v>
      </c>
      <c r="W546" s="1" t="s">
        <v>39</v>
      </c>
      <c r="X546" s="1" t="n">
        <v>3.7</v>
      </c>
      <c r="Y546" s="1" t="s">
        <v>40</v>
      </c>
      <c r="Z546" s="1" t="n">
        <v>1</v>
      </c>
      <c r="AA546" s="1" t="str">
        <f aca="false">TRIM(PROPER(F546))</f>
        <v>Mumbai</v>
      </c>
      <c r="AB546" s="1" t="str">
        <f aca="false">TRIM(PROPER(C546))</f>
        <v>Leverage Edu</v>
      </c>
      <c r="AC546" s="1" t="str">
        <f aca="false">IF(O546=0,"No Discount",IF(O546&lt;=15,"Low (1-15%)",IF(O546&lt;=30,"Medium (16-30%)","High (&gt;30%)")))</f>
        <v>Low (1-15%)</v>
      </c>
      <c r="AD546" s="1" t="str">
        <f aca="false">IF(V546&lt;0,"Loss Making",IF(V546&lt;20,"Low Margin","Healthy Margin"))</f>
        <v>Healthy Margin</v>
      </c>
      <c r="AE546" s="1" t="str">
        <f aca="false">TEXT(DATE(VALUE(RIGHT(B546,4)),VALUE(MID(B546,4,2)),VALUE(LEFT(B546,2))),"MMM-YYYY")</f>
        <v>Nov-2024</v>
      </c>
      <c r="AF546" s="1" t="n">
        <f aca="false">VALUE(RIGHT(B546,4))</f>
        <v>2024</v>
      </c>
      <c r="AG546" s="1" t="str">
        <f aca="false">CHOOSE(ROUNDUP(VALUE(MID(B546,4,2))/3,0),"Q1","Q2","Q3","Q4")</f>
        <v>Q4</v>
      </c>
    </row>
    <row r="547" customFormat="false" ht="15" hidden="false" customHeight="true" outlineLevel="0" collapsed="false">
      <c r="A547" s="1" t="s">
        <v>1100</v>
      </c>
      <c r="B547" s="1" t="s">
        <v>73</v>
      </c>
      <c r="C547" s="1" t="s">
        <v>264</v>
      </c>
      <c r="D547" s="1" t="s">
        <v>44</v>
      </c>
      <c r="E547" s="1" t="s">
        <v>66</v>
      </c>
      <c r="F547" s="1" t="s">
        <v>184</v>
      </c>
      <c r="G547" s="1" t="s">
        <v>56</v>
      </c>
      <c r="H547" s="1" t="s">
        <v>57</v>
      </c>
      <c r="I547" s="1" t="s">
        <v>58</v>
      </c>
      <c r="J547" s="1" t="s">
        <v>59</v>
      </c>
      <c r="K547" s="1" t="s">
        <v>71</v>
      </c>
      <c r="L547" s="1" t="s">
        <v>49</v>
      </c>
      <c r="M547" s="1" t="s">
        <v>62</v>
      </c>
      <c r="N547" s="1" t="n">
        <v>12999</v>
      </c>
      <c r="O547" s="1" t="n">
        <v>0</v>
      </c>
      <c r="P547" s="1" t="n">
        <v>0</v>
      </c>
      <c r="Q547" s="1" t="n">
        <v>12999</v>
      </c>
      <c r="R547" s="1" t="n">
        <v>2339.82</v>
      </c>
      <c r="S547" s="1" t="n">
        <v>10659.18</v>
      </c>
      <c r="T547" s="1" t="n">
        <v>4861.29</v>
      </c>
      <c r="U547" s="1" t="n">
        <v>5797.89</v>
      </c>
      <c r="V547" s="1" t="n">
        <v>54.39</v>
      </c>
      <c r="W547" s="1" t="s">
        <v>39</v>
      </c>
      <c r="X547" s="1" t="n">
        <v>4.4</v>
      </c>
      <c r="Y547" s="1" t="s">
        <v>40</v>
      </c>
      <c r="Z547" s="1" t="n">
        <v>0</v>
      </c>
      <c r="AA547" s="1" t="str">
        <f aca="false">TRIM(PROPER(F547))</f>
        <v>Faridabad</v>
      </c>
      <c r="AB547" s="1" t="str">
        <f aca="false">TRIM(PROPER(C547))</f>
        <v>Unacademy</v>
      </c>
      <c r="AC547" s="1" t="str">
        <f aca="false">IF(O547=0,"No Discount",IF(O547&lt;=15,"Low (1-15%)",IF(O547&lt;=30,"Medium (16-30%)","High (&gt;30%)")))</f>
        <v>No Discount</v>
      </c>
      <c r="AD547" s="1" t="str">
        <f aca="false">IF(V547&lt;0,"Loss Making",IF(V547&lt;20,"Low Margin","Healthy Margin"))</f>
        <v>Healthy Margin</v>
      </c>
      <c r="AE547" s="1" t="str">
        <f aca="false">TEXT(DATE(VALUE(RIGHT(B547,4)),VALUE(MID(B547,4,2)),VALUE(LEFT(B547,2))),"MMM-YYYY")</f>
        <v>Feb-2023</v>
      </c>
      <c r="AF547" s="1" t="n">
        <f aca="false">VALUE(RIGHT(B547,4))</f>
        <v>2023</v>
      </c>
      <c r="AG547" s="1" t="str">
        <f aca="false">CHOOSE(ROUNDUP(VALUE(MID(B547,4,2))/3,0),"Q1","Q2","Q3","Q4")</f>
        <v>Q1</v>
      </c>
    </row>
    <row r="548" customFormat="false" ht="15" hidden="false" customHeight="true" outlineLevel="0" collapsed="false">
      <c r="A548" s="1" t="s">
        <v>1101</v>
      </c>
      <c r="B548" s="1" t="s">
        <v>1102</v>
      </c>
      <c r="C548" s="1" t="s">
        <v>93</v>
      </c>
      <c r="D548" s="1" t="s">
        <v>53</v>
      </c>
      <c r="E548" s="1" t="s">
        <v>216</v>
      </c>
      <c r="F548" s="1" t="s">
        <v>140</v>
      </c>
      <c r="G548" s="1" t="s">
        <v>97</v>
      </c>
      <c r="H548" s="1" t="s">
        <v>57</v>
      </c>
      <c r="I548" s="1" t="s">
        <v>34</v>
      </c>
      <c r="J548" s="1" t="s">
        <v>59</v>
      </c>
      <c r="K548" s="1" t="s">
        <v>104</v>
      </c>
      <c r="L548" s="1" t="s">
        <v>113</v>
      </c>
      <c r="M548" s="1" t="s">
        <v>50</v>
      </c>
      <c r="N548" s="1" t="n">
        <v>7499</v>
      </c>
      <c r="O548" s="1" t="n">
        <v>10</v>
      </c>
      <c r="P548" s="1" t="n">
        <v>749.9</v>
      </c>
      <c r="Q548" s="1" t="n">
        <v>6749.1</v>
      </c>
      <c r="R548" s="1" t="n">
        <v>1214.84</v>
      </c>
      <c r="S548" s="1" t="n">
        <v>5534.26</v>
      </c>
      <c r="T548" s="1" t="n">
        <v>2650.75</v>
      </c>
      <c r="U548" s="1" t="n">
        <v>2883.51</v>
      </c>
      <c r="V548" s="1" t="n">
        <v>52.1</v>
      </c>
      <c r="W548" s="1" t="s">
        <v>40</v>
      </c>
      <c r="Y548" s="1" t="s">
        <v>40</v>
      </c>
      <c r="Z548" s="1" t="n">
        <v>1</v>
      </c>
      <c r="AA548" s="1" t="str">
        <f aca="false">TRIM(PROPER(F548))</f>
        <v>Nashik</v>
      </c>
      <c r="AB548" s="1" t="str">
        <f aca="false">TRIM(PROPER(C548))</f>
        <v>Upgrad</v>
      </c>
      <c r="AC548" s="1" t="str">
        <f aca="false">IF(O548=0,"No Discount",IF(O548&lt;=15,"Low (1-15%)",IF(O548&lt;=30,"Medium (16-30%)","High (&gt;30%)")))</f>
        <v>Low (1-15%)</v>
      </c>
      <c r="AD548" s="1" t="str">
        <f aca="false">IF(V548&lt;0,"Loss Making",IF(V548&lt;20,"Low Margin","Healthy Margin"))</f>
        <v>Healthy Margin</v>
      </c>
      <c r="AE548" s="1" t="str">
        <f aca="false">TEXT(DATE(VALUE(RIGHT(B548,4)),VALUE(MID(B548,4,2)),VALUE(LEFT(B548,2))),"MMM-YYYY")</f>
        <v>Mar-2023</v>
      </c>
      <c r="AF548" s="1" t="n">
        <f aca="false">VALUE(RIGHT(B548,4))</f>
        <v>2023</v>
      </c>
      <c r="AG548" s="1" t="str">
        <f aca="false">CHOOSE(ROUNDUP(VALUE(MID(B548,4,2))/3,0),"Q1","Q2","Q3","Q4")</f>
        <v>Q1</v>
      </c>
    </row>
    <row r="549" customFormat="false" ht="15" hidden="false" customHeight="true" outlineLevel="0" collapsed="false">
      <c r="A549" s="1" t="s">
        <v>1103</v>
      </c>
      <c r="B549" s="1" t="s">
        <v>1104</v>
      </c>
      <c r="C549" s="1" t="s">
        <v>43</v>
      </c>
      <c r="D549" s="1" t="s">
        <v>29</v>
      </c>
      <c r="E549" s="1" t="s">
        <v>305</v>
      </c>
      <c r="F549" s="1" t="s">
        <v>55</v>
      </c>
      <c r="G549" s="1" t="s">
        <v>56</v>
      </c>
      <c r="H549" s="1" t="s">
        <v>57</v>
      </c>
      <c r="I549" s="1" t="s">
        <v>83</v>
      </c>
      <c r="J549" s="1" t="s">
        <v>35</v>
      </c>
      <c r="K549" s="1" t="s">
        <v>90</v>
      </c>
      <c r="L549" s="1" t="s">
        <v>49</v>
      </c>
      <c r="M549" s="1" t="s">
        <v>38</v>
      </c>
      <c r="N549" s="1" t="n">
        <v>24999</v>
      </c>
      <c r="O549" s="1" t="n">
        <v>5</v>
      </c>
      <c r="P549" s="1" t="n">
        <v>1249.95</v>
      </c>
      <c r="Q549" s="1" t="n">
        <v>23749.05</v>
      </c>
      <c r="R549" s="1" t="n">
        <v>4274.83</v>
      </c>
      <c r="S549" s="1" t="n">
        <v>19474.22</v>
      </c>
      <c r="T549" s="1" t="n">
        <v>10146.12</v>
      </c>
      <c r="U549" s="1" t="n">
        <v>9328.1</v>
      </c>
      <c r="V549" s="1" t="n">
        <v>47.9</v>
      </c>
      <c r="W549" s="1" t="s">
        <v>39</v>
      </c>
      <c r="X549" s="1" t="n">
        <v>4.5</v>
      </c>
      <c r="Y549" s="1" t="s">
        <v>40</v>
      </c>
      <c r="Z549" s="1" t="n">
        <v>0</v>
      </c>
      <c r="AA549" s="1" t="str">
        <f aca="false">TRIM(PROPER(F549))</f>
        <v>Ghaziabad</v>
      </c>
      <c r="AB549" s="1" t="str">
        <f aca="false">TRIM(PROPER(C549))</f>
        <v>Meritnation</v>
      </c>
      <c r="AC549" s="1" t="str">
        <f aca="false">IF(O549=0,"No Discount",IF(O549&lt;=15,"Low (1-15%)",IF(O549&lt;=30,"Medium (16-30%)","High (&gt;30%)")))</f>
        <v>Low (1-15%)</v>
      </c>
      <c r="AD549" s="1" t="str">
        <f aca="false">IF(V549&lt;0,"Loss Making",IF(V549&lt;20,"Low Margin","Healthy Margin"))</f>
        <v>Healthy Margin</v>
      </c>
      <c r="AE549" s="1" t="str">
        <f aca="false">TEXT(DATE(VALUE(RIGHT(B549,4)),VALUE(MID(B549,4,2)),VALUE(LEFT(B549,2))),"MMM-YYYY")</f>
        <v>May-2023</v>
      </c>
      <c r="AF549" s="1" t="n">
        <f aca="false">VALUE(RIGHT(B549,4))</f>
        <v>2023</v>
      </c>
      <c r="AG549" s="1" t="str">
        <f aca="false">CHOOSE(ROUNDUP(VALUE(MID(B549,4,2))/3,0),"Q1","Q2","Q3","Q4")</f>
        <v>Q2</v>
      </c>
    </row>
    <row r="550" customFormat="false" ht="15" hidden="false" customHeight="true" outlineLevel="0" collapsed="false">
      <c r="A550" s="1" t="s">
        <v>1105</v>
      </c>
      <c r="B550" s="1" t="s">
        <v>539</v>
      </c>
      <c r="C550" s="1" t="s">
        <v>167</v>
      </c>
      <c r="D550" s="1" t="s">
        <v>123</v>
      </c>
      <c r="E550" s="1" t="s">
        <v>233</v>
      </c>
      <c r="F550" s="1" t="s">
        <v>244</v>
      </c>
      <c r="G550" s="1" t="s">
        <v>97</v>
      </c>
      <c r="H550" s="1" t="s">
        <v>57</v>
      </c>
      <c r="I550" s="1" t="s">
        <v>58</v>
      </c>
      <c r="J550" s="1" t="s">
        <v>70</v>
      </c>
      <c r="K550" s="1" t="s">
        <v>104</v>
      </c>
      <c r="L550" s="1" t="s">
        <v>85</v>
      </c>
      <c r="M550" s="1" t="s">
        <v>50</v>
      </c>
      <c r="N550" s="1" t="n">
        <v>8999</v>
      </c>
      <c r="O550" s="1" t="n">
        <v>25</v>
      </c>
      <c r="P550" s="1" t="n">
        <v>2249.75</v>
      </c>
      <c r="Q550" s="1" t="n">
        <v>6749.25</v>
      </c>
      <c r="R550" s="1" t="n">
        <v>1214.87</v>
      </c>
      <c r="S550" s="1" t="n">
        <v>5534.38</v>
      </c>
      <c r="T550" s="1" t="n">
        <v>2757.28</v>
      </c>
      <c r="U550" s="1" t="n">
        <v>2777.1</v>
      </c>
      <c r="V550" s="1" t="n">
        <v>50.18</v>
      </c>
      <c r="W550" s="1" t="s">
        <v>39</v>
      </c>
      <c r="X550" s="1" t="n">
        <v>3.9</v>
      </c>
      <c r="Y550" s="1" t="s">
        <v>40</v>
      </c>
      <c r="Z550" s="1" t="n">
        <v>1</v>
      </c>
      <c r="AA550" s="1" t="str">
        <f aca="false">TRIM(PROPER(F550))</f>
        <v>Nagpur</v>
      </c>
      <c r="AB550" s="1" t="str">
        <f aca="false">TRIM(PROPER(C550))</f>
        <v>Scaler</v>
      </c>
      <c r="AC550" s="1" t="str">
        <f aca="false">IF(O550=0,"No Discount",IF(O550&lt;=15,"Low (1-15%)",IF(O550&lt;=30,"Medium (16-30%)","High (&gt;30%)")))</f>
        <v>Medium (16-30%)</v>
      </c>
      <c r="AD550" s="1" t="str">
        <f aca="false">IF(V550&lt;0,"Loss Making",IF(V550&lt;20,"Low Margin","Healthy Margin"))</f>
        <v>Healthy Margin</v>
      </c>
      <c r="AE550" s="1" t="str">
        <f aca="false">TEXT(DATE(VALUE(RIGHT(B550,4)),VALUE(MID(B550,4,2)),VALUE(LEFT(B550,2))),"MMM-YYYY")</f>
        <v>Feb-2023</v>
      </c>
      <c r="AF550" s="1" t="n">
        <f aca="false">VALUE(RIGHT(B550,4))</f>
        <v>2023</v>
      </c>
      <c r="AG550" s="1" t="str">
        <f aca="false">CHOOSE(ROUNDUP(VALUE(MID(B550,4,2))/3,0),"Q1","Q2","Q3","Q4")</f>
        <v>Q1</v>
      </c>
    </row>
    <row r="551" customFormat="false" ht="15" hidden="false" customHeight="true" outlineLevel="0" collapsed="false">
      <c r="A551" s="1" t="s">
        <v>1106</v>
      </c>
      <c r="B551" s="1" t="s">
        <v>1107</v>
      </c>
      <c r="C551" s="1" t="s">
        <v>167</v>
      </c>
      <c r="D551" s="1" t="s">
        <v>80</v>
      </c>
      <c r="E551" s="1" t="s">
        <v>190</v>
      </c>
      <c r="F551" s="1" t="s">
        <v>82</v>
      </c>
      <c r="G551" s="1" t="s">
        <v>56</v>
      </c>
      <c r="H551" s="1" t="s">
        <v>69</v>
      </c>
      <c r="I551" s="1" t="s">
        <v>34</v>
      </c>
      <c r="J551" s="1" t="s">
        <v>77</v>
      </c>
      <c r="K551" s="1" t="s">
        <v>71</v>
      </c>
      <c r="L551" s="1" t="s">
        <v>49</v>
      </c>
      <c r="M551" s="1" t="s">
        <v>38</v>
      </c>
      <c r="N551" s="1" t="n">
        <v>15999</v>
      </c>
      <c r="O551" s="1" t="n">
        <v>15</v>
      </c>
      <c r="P551" s="1" t="n">
        <v>2399.85</v>
      </c>
      <c r="Q551" s="1" t="n">
        <v>13599.15</v>
      </c>
      <c r="R551" s="1" t="n">
        <v>2447.85</v>
      </c>
      <c r="S551" s="1" t="n">
        <v>11151.3</v>
      </c>
      <c r="T551" s="1" t="n">
        <v>4044.61</v>
      </c>
      <c r="U551" s="1" t="n">
        <v>7106.69</v>
      </c>
      <c r="V551" s="1" t="n">
        <v>63.73</v>
      </c>
      <c r="W551" s="1" t="s">
        <v>39</v>
      </c>
      <c r="X551" s="1" t="n">
        <v>4.4</v>
      </c>
      <c r="Y551" s="1" t="s">
        <v>40</v>
      </c>
      <c r="Z551" s="1" t="n">
        <v>0</v>
      </c>
      <c r="AA551" s="1" t="str">
        <f aca="false">TRIM(PROPER(F551))</f>
        <v>Gurugram</v>
      </c>
      <c r="AB551" s="1" t="str">
        <f aca="false">TRIM(PROPER(C551))</f>
        <v>Scaler</v>
      </c>
      <c r="AC551" s="1" t="str">
        <f aca="false">IF(O551=0,"No Discount",IF(O551&lt;=15,"Low (1-15%)",IF(O551&lt;=30,"Medium (16-30%)","High (&gt;30%)")))</f>
        <v>Low (1-15%)</v>
      </c>
      <c r="AD551" s="1" t="str">
        <f aca="false">IF(V551&lt;0,"Loss Making",IF(V551&lt;20,"Low Margin","Healthy Margin"))</f>
        <v>Healthy Margin</v>
      </c>
      <c r="AE551" s="1" t="str">
        <f aca="false">TEXT(DATE(VALUE(RIGHT(B551,4)),VALUE(MID(B551,4,2)),VALUE(LEFT(B551,2))),"MMM-YYYY")</f>
        <v>Jul-2023</v>
      </c>
      <c r="AF551" s="1" t="n">
        <f aca="false">VALUE(RIGHT(B551,4))</f>
        <v>2023</v>
      </c>
      <c r="AG551" s="1" t="str">
        <f aca="false">CHOOSE(ROUNDUP(VALUE(MID(B551,4,2))/3,0),"Q1","Q2","Q3","Q4")</f>
        <v>Q3</v>
      </c>
    </row>
    <row r="552" customFormat="false" ht="15" hidden="false" customHeight="true" outlineLevel="0" collapsed="false">
      <c r="A552" s="1" t="s">
        <v>1108</v>
      </c>
      <c r="B552" s="1" t="s">
        <v>1109</v>
      </c>
      <c r="C552" s="1" t="s">
        <v>128</v>
      </c>
      <c r="D552" s="1" t="s">
        <v>123</v>
      </c>
      <c r="E552" s="1" t="s">
        <v>147</v>
      </c>
      <c r="F552" s="1" t="s">
        <v>205</v>
      </c>
      <c r="G552" s="1" t="s">
        <v>56</v>
      </c>
      <c r="H552" s="1" t="s">
        <v>69</v>
      </c>
      <c r="I552" s="1" t="s">
        <v>58</v>
      </c>
      <c r="J552" s="1" t="s">
        <v>70</v>
      </c>
      <c r="K552" s="1" t="s">
        <v>84</v>
      </c>
      <c r="L552" s="1" t="s">
        <v>61</v>
      </c>
      <c r="M552" s="1" t="s">
        <v>62</v>
      </c>
      <c r="N552" s="1" t="n">
        <v>6999</v>
      </c>
      <c r="O552" s="1" t="n">
        <v>40</v>
      </c>
      <c r="P552" s="1" t="n">
        <v>2799.6</v>
      </c>
      <c r="Q552" s="1" t="n">
        <v>4199.4</v>
      </c>
      <c r="R552" s="1" t="n">
        <v>755.89</v>
      </c>
      <c r="S552" s="1" t="n">
        <v>3443.51</v>
      </c>
      <c r="T552" s="1" t="n">
        <v>1948.96</v>
      </c>
      <c r="U552" s="1" t="n">
        <v>1494.55</v>
      </c>
      <c r="V552" s="1" t="n">
        <v>43.4</v>
      </c>
      <c r="W552" s="1" t="s">
        <v>39</v>
      </c>
      <c r="X552" s="1" t="n">
        <v>4.3</v>
      </c>
      <c r="Y552" s="1" t="s">
        <v>40</v>
      </c>
      <c r="Z552" s="1" t="n">
        <v>0</v>
      </c>
      <c r="AA552" s="1" t="str">
        <f aca="false">TRIM(PROPER(F552))</f>
        <v>New Delhi</v>
      </c>
      <c r="AB552" s="1" t="str">
        <f aca="false">TRIM(PROPER(C552))</f>
        <v>Great Learning</v>
      </c>
      <c r="AC552" s="1" t="str">
        <f aca="false">IF(O552=0,"No Discount",IF(O552&lt;=15,"Low (1-15%)",IF(O552&lt;=30,"Medium (16-30%)","High (&gt;30%)")))</f>
        <v>High (&gt;30%)</v>
      </c>
      <c r="AD552" s="1" t="str">
        <f aca="false">IF(V552&lt;0,"Loss Making",IF(V552&lt;20,"Low Margin","Healthy Margin"))</f>
        <v>Healthy Margin</v>
      </c>
      <c r="AE552" s="1" t="str">
        <f aca="false">TEXT(DATE(VALUE(RIGHT(B552,4)),VALUE(MID(B552,4,2)),VALUE(LEFT(B552,2))),"MMM-YYYY")</f>
        <v>Mar-2024</v>
      </c>
      <c r="AF552" s="1" t="n">
        <f aca="false">VALUE(RIGHT(B552,4))</f>
        <v>2024</v>
      </c>
      <c r="AG552" s="1" t="str">
        <f aca="false">CHOOSE(ROUNDUP(VALUE(MID(B552,4,2))/3,0),"Q1","Q2","Q3","Q4")</f>
        <v>Q1</v>
      </c>
    </row>
    <row r="553" customFormat="false" ht="15" hidden="false" customHeight="true" outlineLevel="0" collapsed="false">
      <c r="A553" s="1" t="s">
        <v>1110</v>
      </c>
      <c r="B553" s="1" t="s">
        <v>1111</v>
      </c>
      <c r="C553" s="1" t="s">
        <v>167</v>
      </c>
      <c r="D553" s="1" t="s">
        <v>29</v>
      </c>
      <c r="E553" s="1" t="s">
        <v>129</v>
      </c>
      <c r="F553" s="1" t="s">
        <v>46</v>
      </c>
      <c r="G553" s="1" t="s">
        <v>47</v>
      </c>
      <c r="H553" s="1" t="s">
        <v>33</v>
      </c>
      <c r="I553" s="1" t="s">
        <v>34</v>
      </c>
      <c r="J553" s="1" t="s">
        <v>70</v>
      </c>
      <c r="K553" s="1" t="s">
        <v>48</v>
      </c>
      <c r="L553" s="1" t="s">
        <v>61</v>
      </c>
      <c r="M553" s="1" t="s">
        <v>50</v>
      </c>
      <c r="N553" s="1" t="n">
        <v>29999</v>
      </c>
      <c r="O553" s="1" t="n">
        <v>10</v>
      </c>
      <c r="P553" s="1" t="n">
        <v>2999.9</v>
      </c>
      <c r="Q553" s="1" t="n">
        <v>26999.1</v>
      </c>
      <c r="R553" s="1" t="n">
        <v>4859.84</v>
      </c>
      <c r="S553" s="1" t="n">
        <v>22139.26</v>
      </c>
      <c r="T553" s="1" t="n">
        <v>9289.65</v>
      </c>
      <c r="U553" s="1" t="n">
        <v>12849.61</v>
      </c>
      <c r="V553" s="1" t="n">
        <v>58.04</v>
      </c>
      <c r="W553" s="1" t="s">
        <v>40</v>
      </c>
      <c r="Y553" s="1" t="s">
        <v>40</v>
      </c>
      <c r="Z553" s="1" t="n">
        <v>1</v>
      </c>
      <c r="AA553" s="1" t="str">
        <f aca="false">TRIM(PROPER(F553))</f>
        <v>Mangaluru</v>
      </c>
      <c r="AB553" s="1" t="str">
        <f aca="false">TRIM(PROPER(C553))</f>
        <v>Scaler</v>
      </c>
      <c r="AC553" s="1" t="str">
        <f aca="false">IF(O553=0,"No Discount",IF(O553&lt;=15,"Low (1-15%)",IF(O553&lt;=30,"Medium (16-30%)","High (&gt;30%)")))</f>
        <v>Low (1-15%)</v>
      </c>
      <c r="AD553" s="1" t="str">
        <f aca="false">IF(V553&lt;0,"Loss Making",IF(V553&lt;20,"Low Margin","Healthy Margin"))</f>
        <v>Healthy Margin</v>
      </c>
      <c r="AE553" s="1" t="str">
        <f aca="false">TEXT(DATE(VALUE(RIGHT(B553,4)),VALUE(MID(B553,4,2)),VALUE(LEFT(B553,2))),"MMM-YYYY")</f>
        <v>Dec-2024</v>
      </c>
      <c r="AF553" s="1" t="n">
        <f aca="false">VALUE(RIGHT(B553,4))</f>
        <v>2024</v>
      </c>
      <c r="AG553" s="1" t="str">
        <f aca="false">CHOOSE(ROUNDUP(VALUE(MID(B553,4,2))/3,0),"Q1","Q2","Q3","Q4")</f>
        <v>Q4</v>
      </c>
    </row>
    <row r="554" customFormat="false" ht="15" hidden="false" customHeight="true" outlineLevel="0" collapsed="false">
      <c r="A554" s="1" t="s">
        <v>1112</v>
      </c>
      <c r="B554" s="1" t="s">
        <v>1113</v>
      </c>
      <c r="C554" s="1" t="s">
        <v>264</v>
      </c>
      <c r="D554" s="1" t="s">
        <v>143</v>
      </c>
      <c r="E554" s="1" t="s">
        <v>162</v>
      </c>
      <c r="F554" s="1" t="s">
        <v>211</v>
      </c>
      <c r="G554" s="1" t="s">
        <v>56</v>
      </c>
      <c r="H554" s="1" t="s">
        <v>69</v>
      </c>
      <c r="I554" s="1" t="s">
        <v>34</v>
      </c>
      <c r="J554" s="1" t="s">
        <v>131</v>
      </c>
      <c r="K554" s="1" t="s">
        <v>112</v>
      </c>
      <c r="L554" s="1" t="s">
        <v>113</v>
      </c>
      <c r="M554" s="1" t="s">
        <v>62</v>
      </c>
      <c r="N554" s="1" t="n">
        <v>14999</v>
      </c>
      <c r="O554" s="1" t="n">
        <v>25</v>
      </c>
      <c r="P554" s="1" t="n">
        <v>3749.75</v>
      </c>
      <c r="Q554" s="1" t="n">
        <v>11249.25</v>
      </c>
      <c r="R554" s="1" t="n">
        <v>2024.87</v>
      </c>
      <c r="S554" s="1" t="n">
        <v>9224.38</v>
      </c>
      <c r="T554" s="1" t="n">
        <v>3513.62</v>
      </c>
      <c r="U554" s="1" t="n">
        <v>5710.76</v>
      </c>
      <c r="V554" s="1" t="n">
        <v>61.91</v>
      </c>
      <c r="W554" s="1" t="s">
        <v>39</v>
      </c>
      <c r="X554" s="1" t="n">
        <v>4.8</v>
      </c>
      <c r="Y554" s="1" t="s">
        <v>40</v>
      </c>
      <c r="Z554" s="1" t="n">
        <v>0</v>
      </c>
      <c r="AA554" s="1" t="str">
        <f aca="false">TRIM(PROPER(F554))</f>
        <v>Noida</v>
      </c>
      <c r="AB554" s="1" t="str">
        <f aca="false">TRIM(PROPER(C554))</f>
        <v>Unacademy</v>
      </c>
      <c r="AC554" s="1" t="str">
        <f aca="false">IF(O554=0,"No Discount",IF(O554&lt;=15,"Low (1-15%)",IF(O554&lt;=30,"Medium (16-30%)","High (&gt;30%)")))</f>
        <v>Medium (16-30%)</v>
      </c>
      <c r="AD554" s="1" t="str">
        <f aca="false">IF(V554&lt;0,"Loss Making",IF(V554&lt;20,"Low Margin","Healthy Margin"))</f>
        <v>Healthy Margin</v>
      </c>
      <c r="AE554" s="1" t="str">
        <f aca="false">TEXT(DATE(VALUE(RIGHT(B554,4)),VALUE(MID(B554,4,2)),VALUE(LEFT(B554,2))),"MMM-YYYY")</f>
        <v>Feb-2024</v>
      </c>
      <c r="AF554" s="1" t="n">
        <f aca="false">VALUE(RIGHT(B554,4))</f>
        <v>2024</v>
      </c>
      <c r="AG554" s="1" t="str">
        <f aca="false">CHOOSE(ROUNDUP(VALUE(MID(B554,4,2))/3,0),"Q1","Q2","Q3","Q4")</f>
        <v>Q1</v>
      </c>
    </row>
    <row r="555" customFormat="false" ht="15" hidden="false" customHeight="true" outlineLevel="0" collapsed="false">
      <c r="A555" s="1" t="s">
        <v>1114</v>
      </c>
      <c r="B555" s="1" t="s">
        <v>164</v>
      </c>
      <c r="C555" s="1" t="s">
        <v>128</v>
      </c>
      <c r="D555" s="1" t="s">
        <v>123</v>
      </c>
      <c r="E555" s="1" t="s">
        <v>124</v>
      </c>
      <c r="F555" s="1" t="s">
        <v>211</v>
      </c>
      <c r="G555" s="1" t="s">
        <v>56</v>
      </c>
      <c r="H555" s="1" t="s">
        <v>69</v>
      </c>
      <c r="I555" s="1" t="s">
        <v>83</v>
      </c>
      <c r="J555" s="1" t="s">
        <v>77</v>
      </c>
      <c r="K555" s="1" t="s">
        <v>48</v>
      </c>
      <c r="L555" s="1" t="s">
        <v>85</v>
      </c>
      <c r="M555" s="1" t="s">
        <v>38</v>
      </c>
      <c r="N555" s="1" t="n">
        <v>4999</v>
      </c>
      <c r="O555" s="1" t="n">
        <v>40</v>
      </c>
      <c r="P555" s="1" t="n">
        <v>1999.6</v>
      </c>
      <c r="Q555" s="1" t="n">
        <v>2999.4</v>
      </c>
      <c r="R555" s="1" t="n">
        <v>539.89</v>
      </c>
      <c r="S555" s="1" t="n">
        <v>2459.51</v>
      </c>
      <c r="T555" s="1" t="n">
        <v>964.33</v>
      </c>
      <c r="U555" s="1" t="n">
        <v>1495.18</v>
      </c>
      <c r="V555" s="1" t="n">
        <v>60.79</v>
      </c>
      <c r="W555" s="1" t="s">
        <v>40</v>
      </c>
      <c r="Y555" s="1" t="s">
        <v>40</v>
      </c>
      <c r="Z555" s="1" t="n">
        <v>0</v>
      </c>
      <c r="AA555" s="1" t="str">
        <f aca="false">TRIM(PROPER(F555))</f>
        <v>Noida</v>
      </c>
      <c r="AB555" s="1" t="str">
        <f aca="false">TRIM(PROPER(C555))</f>
        <v>Great Learning</v>
      </c>
      <c r="AC555" s="1" t="str">
        <f aca="false">IF(O555=0,"No Discount",IF(O555&lt;=15,"Low (1-15%)",IF(O555&lt;=30,"Medium (16-30%)","High (&gt;30%)")))</f>
        <v>High (&gt;30%)</v>
      </c>
      <c r="AD555" s="1" t="str">
        <f aca="false">IF(V555&lt;0,"Loss Making",IF(V555&lt;20,"Low Margin","Healthy Margin"))</f>
        <v>Healthy Margin</v>
      </c>
      <c r="AE555" s="1" t="str">
        <f aca="false">TEXT(DATE(VALUE(RIGHT(B555,4)),VALUE(MID(B555,4,2)),VALUE(LEFT(B555,2))),"MMM-YYYY")</f>
        <v>Jan-2023</v>
      </c>
      <c r="AF555" s="1" t="n">
        <f aca="false">VALUE(RIGHT(B555,4))</f>
        <v>2023</v>
      </c>
      <c r="AG555" s="1" t="str">
        <f aca="false">CHOOSE(ROUNDUP(VALUE(MID(B555,4,2))/3,0),"Q1","Q2","Q3","Q4")</f>
        <v>Q1</v>
      </c>
    </row>
    <row r="556" customFormat="false" ht="15" hidden="false" customHeight="true" outlineLevel="0" collapsed="false">
      <c r="A556" s="1" t="s">
        <v>1115</v>
      </c>
      <c r="B556" s="1" t="s">
        <v>1116</v>
      </c>
      <c r="C556" s="1" t="s">
        <v>28</v>
      </c>
      <c r="D556" s="1" t="s">
        <v>44</v>
      </c>
      <c r="E556" s="1" t="s">
        <v>66</v>
      </c>
      <c r="F556" s="1" t="s">
        <v>156</v>
      </c>
      <c r="G556" s="1" t="s">
        <v>68</v>
      </c>
      <c r="H556" s="1" t="s">
        <v>57</v>
      </c>
      <c r="I556" s="1" t="s">
        <v>34</v>
      </c>
      <c r="J556" s="1" t="s">
        <v>35</v>
      </c>
      <c r="K556" s="1" t="s">
        <v>48</v>
      </c>
      <c r="L556" s="1" t="s">
        <v>136</v>
      </c>
      <c r="M556" s="1" t="s">
        <v>38</v>
      </c>
      <c r="N556" s="1" t="n">
        <v>12999</v>
      </c>
      <c r="O556" s="1" t="n">
        <v>50</v>
      </c>
      <c r="P556" s="1" t="n">
        <v>6499.5</v>
      </c>
      <c r="Q556" s="1" t="n">
        <v>6499.5</v>
      </c>
      <c r="R556" s="1" t="n">
        <v>1169.91</v>
      </c>
      <c r="S556" s="1" t="n">
        <v>5329.59</v>
      </c>
      <c r="T556" s="1" t="n">
        <v>2785.19</v>
      </c>
      <c r="U556" s="1" t="n">
        <v>2544.4</v>
      </c>
      <c r="V556" s="1" t="n">
        <v>47.74</v>
      </c>
      <c r="W556" s="1" t="s">
        <v>40</v>
      </c>
      <c r="Y556" s="1" t="s">
        <v>40</v>
      </c>
      <c r="Z556" s="1" t="n">
        <v>1</v>
      </c>
      <c r="AA556" s="1" t="str">
        <f aca="false">TRIM(PROPER(F556))</f>
        <v>Surat</v>
      </c>
      <c r="AB556" s="1" t="str">
        <f aca="false">TRIM(PROPER(C556))</f>
        <v>Embibe</v>
      </c>
      <c r="AC556" s="1" t="str">
        <f aca="false">IF(O556=0,"No Discount",IF(O556&lt;=15,"Low (1-15%)",IF(O556&lt;=30,"Medium (16-30%)","High (&gt;30%)")))</f>
        <v>High (&gt;30%)</v>
      </c>
      <c r="AD556" s="1" t="str">
        <f aca="false">IF(V556&lt;0,"Loss Making",IF(V556&lt;20,"Low Margin","Healthy Margin"))</f>
        <v>Healthy Margin</v>
      </c>
      <c r="AE556" s="1" t="str">
        <f aca="false">TEXT(DATE(VALUE(RIGHT(B556,4)),VALUE(MID(B556,4,2)),VALUE(LEFT(B556,2))),"MMM-YYYY")</f>
        <v>Jun-2023</v>
      </c>
      <c r="AF556" s="1" t="n">
        <f aca="false">VALUE(RIGHT(B556,4))</f>
        <v>2023</v>
      </c>
      <c r="AG556" s="1" t="str">
        <f aca="false">CHOOSE(ROUNDUP(VALUE(MID(B556,4,2))/3,0),"Q1","Q2","Q3","Q4")</f>
        <v>Q2</v>
      </c>
    </row>
    <row r="557" customFormat="false" ht="15" hidden="false" customHeight="true" outlineLevel="0" collapsed="false">
      <c r="A557" s="1" t="s">
        <v>1117</v>
      </c>
      <c r="B557" s="1" t="s">
        <v>1118</v>
      </c>
      <c r="C557" s="1" t="s">
        <v>119</v>
      </c>
      <c r="D557" s="1" t="s">
        <v>143</v>
      </c>
      <c r="E557" s="1" t="s">
        <v>210</v>
      </c>
      <c r="F557" s="1" t="s">
        <v>125</v>
      </c>
      <c r="G557" s="1" t="s">
        <v>108</v>
      </c>
      <c r="H557" s="1" t="s">
        <v>69</v>
      </c>
      <c r="I557" s="1" t="s">
        <v>58</v>
      </c>
      <c r="J557" s="1" t="s">
        <v>77</v>
      </c>
      <c r="K557" s="1" t="s">
        <v>48</v>
      </c>
      <c r="L557" s="1" t="s">
        <v>37</v>
      </c>
      <c r="M557" s="1" t="s">
        <v>38</v>
      </c>
      <c r="N557" s="1" t="n">
        <v>18999</v>
      </c>
      <c r="O557" s="1" t="n">
        <v>10</v>
      </c>
      <c r="P557" s="1" t="n">
        <v>1899.9</v>
      </c>
      <c r="Q557" s="1" t="n">
        <v>17099.1</v>
      </c>
      <c r="R557" s="1" t="n">
        <v>3077.84</v>
      </c>
      <c r="S557" s="1" t="n">
        <v>14021.26</v>
      </c>
      <c r="T557" s="1" t="n">
        <v>7200.93</v>
      </c>
      <c r="U557" s="1" t="n">
        <v>6820.33</v>
      </c>
      <c r="V557" s="1" t="n">
        <v>48.64</v>
      </c>
      <c r="W557" s="1" t="s">
        <v>40</v>
      </c>
      <c r="Y557" s="1" t="s">
        <v>40</v>
      </c>
      <c r="Z557" s="1" t="n">
        <v>2</v>
      </c>
      <c r="AA557" s="1" t="str">
        <f aca="false">TRIM(PROPER(F557))</f>
        <v>Chennai</v>
      </c>
      <c r="AB557" s="1" t="str">
        <f aca="false">TRIM(PROPER(C557))</f>
        <v>Simplilearn</v>
      </c>
      <c r="AC557" s="1" t="str">
        <f aca="false">IF(O557=0,"No Discount",IF(O557&lt;=15,"Low (1-15%)",IF(O557&lt;=30,"Medium (16-30%)","High (&gt;30%)")))</f>
        <v>Low (1-15%)</v>
      </c>
      <c r="AD557" s="1" t="str">
        <f aca="false">IF(V557&lt;0,"Loss Making",IF(V557&lt;20,"Low Margin","Healthy Margin"))</f>
        <v>Healthy Margin</v>
      </c>
      <c r="AE557" s="1" t="str">
        <f aca="false">TEXT(DATE(VALUE(RIGHT(B557,4)),VALUE(MID(B557,4,2)),VALUE(LEFT(B557,2))),"MMM-YYYY")</f>
        <v>Jul-2023</v>
      </c>
      <c r="AF557" s="1" t="n">
        <f aca="false">VALUE(RIGHT(B557,4))</f>
        <v>2023</v>
      </c>
      <c r="AG557" s="1" t="str">
        <f aca="false">CHOOSE(ROUNDUP(VALUE(MID(B557,4,2))/3,0),"Q1","Q2","Q3","Q4")</f>
        <v>Q3</v>
      </c>
    </row>
    <row r="558" customFormat="false" ht="15" hidden="false" customHeight="true" outlineLevel="0" collapsed="false">
      <c r="A558" s="1" t="s">
        <v>1119</v>
      </c>
      <c r="B558" s="1" t="s">
        <v>275</v>
      </c>
      <c r="C558" s="1" t="s">
        <v>74</v>
      </c>
      <c r="D558" s="1" t="s">
        <v>168</v>
      </c>
      <c r="E558" s="1" t="s">
        <v>328</v>
      </c>
      <c r="F558" s="1" t="s">
        <v>89</v>
      </c>
      <c r="G558" s="1" t="s">
        <v>68</v>
      </c>
      <c r="H558" s="1" t="s">
        <v>33</v>
      </c>
      <c r="I558" s="1" t="s">
        <v>58</v>
      </c>
      <c r="J558" s="1" t="s">
        <v>131</v>
      </c>
      <c r="K558" s="1" t="s">
        <v>48</v>
      </c>
      <c r="L558" s="1" t="s">
        <v>85</v>
      </c>
      <c r="M558" s="1" t="s">
        <v>62</v>
      </c>
      <c r="N558" s="1" t="n">
        <v>8999</v>
      </c>
      <c r="O558" s="1" t="n">
        <v>50</v>
      </c>
      <c r="P558" s="1" t="n">
        <v>4499.5</v>
      </c>
      <c r="Q558" s="1" t="n">
        <v>4499.5</v>
      </c>
      <c r="R558" s="1" t="n">
        <v>809.91</v>
      </c>
      <c r="S558" s="1" t="n">
        <v>3689.59</v>
      </c>
      <c r="T558" s="1" t="n">
        <v>1991.58</v>
      </c>
      <c r="U558" s="1" t="n">
        <v>1698.01</v>
      </c>
      <c r="V558" s="1" t="n">
        <v>46.02</v>
      </c>
      <c r="W558" s="1" t="s">
        <v>39</v>
      </c>
      <c r="X558" s="1" t="n">
        <v>3.2</v>
      </c>
      <c r="Y558" s="1" t="s">
        <v>40</v>
      </c>
      <c r="Z558" s="1" t="n">
        <v>1</v>
      </c>
      <c r="AA558" s="1" t="str">
        <f aca="false">TRIM(PROPER(F558))</f>
        <v>Vadodara</v>
      </c>
      <c r="AB558" s="1" t="str">
        <f aca="false">TRIM(PROPER(C558))</f>
        <v>Vedantu</v>
      </c>
      <c r="AC558" s="1" t="str">
        <f aca="false">IF(O558=0,"No Discount",IF(O558&lt;=15,"Low (1-15%)",IF(O558&lt;=30,"Medium (16-30%)","High (&gt;30%)")))</f>
        <v>High (&gt;30%)</v>
      </c>
      <c r="AD558" s="1" t="str">
        <f aca="false">IF(V558&lt;0,"Loss Making",IF(V558&lt;20,"Low Margin","Healthy Margin"))</f>
        <v>Healthy Margin</v>
      </c>
      <c r="AE558" s="1" t="str">
        <f aca="false">TEXT(DATE(VALUE(RIGHT(B558,4)),VALUE(MID(B558,4,2)),VALUE(LEFT(B558,2))),"MMM-YYYY")</f>
        <v>Aug-2024</v>
      </c>
      <c r="AF558" s="1" t="n">
        <f aca="false">VALUE(RIGHT(B558,4))</f>
        <v>2024</v>
      </c>
      <c r="AG558" s="1" t="str">
        <f aca="false">CHOOSE(ROUNDUP(VALUE(MID(B558,4,2))/3,0),"Q1","Q2","Q3","Q4")</f>
        <v>Q3</v>
      </c>
    </row>
    <row r="559" customFormat="false" ht="15" hidden="false" customHeight="true" outlineLevel="0" collapsed="false">
      <c r="A559" s="1" t="s">
        <v>1120</v>
      </c>
      <c r="B559" s="1" t="s">
        <v>1097</v>
      </c>
      <c r="C559" s="1" t="s">
        <v>119</v>
      </c>
      <c r="D559" s="1" t="s">
        <v>123</v>
      </c>
      <c r="E559" s="1" t="s">
        <v>233</v>
      </c>
      <c r="F559" s="1" t="s">
        <v>75</v>
      </c>
      <c r="G559" s="1" t="s">
        <v>76</v>
      </c>
      <c r="H559" s="1" t="s">
        <v>69</v>
      </c>
      <c r="I559" s="1" t="s">
        <v>58</v>
      </c>
      <c r="J559" s="1" t="s">
        <v>131</v>
      </c>
      <c r="K559" s="1" t="s">
        <v>60</v>
      </c>
      <c r="L559" s="1" t="s">
        <v>49</v>
      </c>
      <c r="M559" s="1" t="s">
        <v>50</v>
      </c>
      <c r="N559" s="1" t="n">
        <v>8999</v>
      </c>
      <c r="O559" s="1" t="n">
        <v>5</v>
      </c>
      <c r="P559" s="1" t="n">
        <v>449.95</v>
      </c>
      <c r="Q559" s="1" t="n">
        <v>8549.05</v>
      </c>
      <c r="R559" s="1" t="n">
        <v>1538.83</v>
      </c>
      <c r="S559" s="1" t="n">
        <v>7010.22</v>
      </c>
      <c r="T559" s="1" t="n">
        <v>2936.06</v>
      </c>
      <c r="U559" s="1" t="n">
        <v>4074.16</v>
      </c>
      <c r="V559" s="1" t="n">
        <v>58.12</v>
      </c>
      <c r="W559" s="1" t="s">
        <v>40</v>
      </c>
      <c r="Y559" s="1" t="s">
        <v>40</v>
      </c>
      <c r="Z559" s="1" t="n">
        <v>1</v>
      </c>
      <c r="AA559" s="1" t="str">
        <f aca="false">TRIM(PROPER(F559))</f>
        <v>Kolkata</v>
      </c>
      <c r="AB559" s="1" t="str">
        <f aca="false">TRIM(PROPER(C559))</f>
        <v>Simplilearn</v>
      </c>
      <c r="AC559" s="1" t="str">
        <f aca="false">IF(O559=0,"No Discount",IF(O559&lt;=15,"Low (1-15%)",IF(O559&lt;=30,"Medium (16-30%)","High (&gt;30%)")))</f>
        <v>Low (1-15%)</v>
      </c>
      <c r="AD559" s="1" t="str">
        <f aca="false">IF(V559&lt;0,"Loss Making",IF(V559&lt;20,"Low Margin","Healthy Margin"))</f>
        <v>Healthy Margin</v>
      </c>
      <c r="AE559" s="1" t="str">
        <f aca="false">TEXT(DATE(VALUE(RIGHT(B559,4)),VALUE(MID(B559,4,2)),VALUE(LEFT(B559,2))),"MMM-YYYY")</f>
        <v>Oct-2023</v>
      </c>
      <c r="AF559" s="1" t="n">
        <f aca="false">VALUE(RIGHT(B559,4))</f>
        <v>2023</v>
      </c>
      <c r="AG559" s="1" t="str">
        <f aca="false">CHOOSE(ROUNDUP(VALUE(MID(B559,4,2))/3,0),"Q1","Q2","Q3","Q4")</f>
        <v>Q4</v>
      </c>
    </row>
    <row r="560" customFormat="false" ht="15" hidden="false" customHeight="true" outlineLevel="0" collapsed="false">
      <c r="A560" s="1" t="s">
        <v>1121</v>
      </c>
      <c r="B560" s="1" t="s">
        <v>499</v>
      </c>
      <c r="C560" s="1" t="s">
        <v>74</v>
      </c>
      <c r="D560" s="1" t="s">
        <v>143</v>
      </c>
      <c r="E560" s="1" t="s">
        <v>144</v>
      </c>
      <c r="F560" s="1" t="s">
        <v>130</v>
      </c>
      <c r="G560" s="1" t="s">
        <v>47</v>
      </c>
      <c r="H560" s="1" t="s">
        <v>69</v>
      </c>
      <c r="I560" s="1" t="s">
        <v>83</v>
      </c>
      <c r="J560" s="1" t="s">
        <v>35</v>
      </c>
      <c r="K560" s="1" t="s">
        <v>90</v>
      </c>
      <c r="L560" s="1" t="s">
        <v>113</v>
      </c>
      <c r="M560" s="1" t="s">
        <v>62</v>
      </c>
      <c r="N560" s="1" t="n">
        <v>12999</v>
      </c>
      <c r="O560" s="1" t="n">
        <v>50</v>
      </c>
      <c r="P560" s="1" t="n">
        <v>6499.5</v>
      </c>
      <c r="Q560" s="1" t="n">
        <v>6499.5</v>
      </c>
      <c r="R560" s="1" t="n">
        <v>1169.91</v>
      </c>
      <c r="S560" s="1" t="n">
        <v>5329.59</v>
      </c>
      <c r="T560" s="1" t="n">
        <v>2714.09</v>
      </c>
      <c r="U560" s="1" t="n">
        <v>2615.5</v>
      </c>
      <c r="V560" s="1" t="n">
        <v>49.08</v>
      </c>
      <c r="W560" s="1" t="s">
        <v>40</v>
      </c>
      <c r="Y560" s="1" t="s">
        <v>40</v>
      </c>
      <c r="Z560" s="1" t="n">
        <v>0</v>
      </c>
      <c r="AA560" s="1" t="str">
        <f aca="false">TRIM(PROPER(F560))</f>
        <v>Bengaluru</v>
      </c>
      <c r="AB560" s="1" t="str">
        <f aca="false">TRIM(PROPER(C560))</f>
        <v>Vedantu</v>
      </c>
      <c r="AC560" s="1" t="str">
        <f aca="false">IF(O560=0,"No Discount",IF(O560&lt;=15,"Low (1-15%)",IF(O560&lt;=30,"Medium (16-30%)","High (&gt;30%)")))</f>
        <v>High (&gt;30%)</v>
      </c>
      <c r="AD560" s="1" t="str">
        <f aca="false">IF(V560&lt;0,"Loss Making",IF(V560&lt;20,"Low Margin","Healthy Margin"))</f>
        <v>Healthy Margin</v>
      </c>
      <c r="AE560" s="1" t="str">
        <f aca="false">TEXT(DATE(VALUE(RIGHT(B560,4)),VALUE(MID(B560,4,2)),VALUE(LEFT(B560,2))),"MMM-YYYY")</f>
        <v>Jun-2023</v>
      </c>
      <c r="AF560" s="1" t="n">
        <f aca="false">VALUE(RIGHT(B560,4))</f>
        <v>2023</v>
      </c>
      <c r="AG560" s="1" t="str">
        <f aca="false">CHOOSE(ROUNDUP(VALUE(MID(B560,4,2))/3,0),"Q1","Q2","Q3","Q4")</f>
        <v>Q2</v>
      </c>
    </row>
    <row r="561" customFormat="false" ht="15" hidden="false" customHeight="true" outlineLevel="0" collapsed="false">
      <c r="A561" s="1" t="s">
        <v>1122</v>
      </c>
      <c r="B561" s="1" t="s">
        <v>815</v>
      </c>
      <c r="C561" s="1" t="s">
        <v>93</v>
      </c>
      <c r="D561" s="1" t="s">
        <v>143</v>
      </c>
      <c r="E561" s="1" t="s">
        <v>210</v>
      </c>
      <c r="F561" s="1" t="s">
        <v>125</v>
      </c>
      <c r="G561" s="1" t="s">
        <v>108</v>
      </c>
      <c r="H561" s="1" t="s">
        <v>69</v>
      </c>
      <c r="I561" s="1" t="s">
        <v>34</v>
      </c>
      <c r="J561" s="1" t="s">
        <v>131</v>
      </c>
      <c r="K561" s="1" t="s">
        <v>84</v>
      </c>
      <c r="L561" s="1" t="s">
        <v>85</v>
      </c>
      <c r="M561" s="1" t="s">
        <v>38</v>
      </c>
      <c r="N561" s="1" t="n">
        <v>18999</v>
      </c>
      <c r="O561" s="1" t="n">
        <v>50</v>
      </c>
      <c r="P561" s="1" t="n">
        <v>9499.5</v>
      </c>
      <c r="Q561" s="1" t="n">
        <v>9499.5</v>
      </c>
      <c r="R561" s="1" t="n">
        <v>1709.91</v>
      </c>
      <c r="S561" s="1" t="n">
        <v>7789.59</v>
      </c>
      <c r="T561" s="1" t="n">
        <v>4296.89</v>
      </c>
      <c r="U561" s="1" t="n">
        <v>3492.7</v>
      </c>
      <c r="V561" s="1" t="n">
        <v>44.84</v>
      </c>
      <c r="W561" s="1" t="s">
        <v>39</v>
      </c>
      <c r="X561" s="1" t="n">
        <v>3.9</v>
      </c>
      <c r="Y561" s="1" t="s">
        <v>40</v>
      </c>
      <c r="Z561" s="1" t="n">
        <v>0</v>
      </c>
      <c r="AA561" s="1" t="str">
        <f aca="false">TRIM(PROPER(F561))</f>
        <v>Chennai</v>
      </c>
      <c r="AB561" s="1" t="str">
        <f aca="false">TRIM(PROPER(C561))</f>
        <v>Upgrad</v>
      </c>
      <c r="AC561" s="1" t="str">
        <f aca="false">IF(O561=0,"No Discount",IF(O561&lt;=15,"Low (1-15%)",IF(O561&lt;=30,"Medium (16-30%)","High (&gt;30%)")))</f>
        <v>High (&gt;30%)</v>
      </c>
      <c r="AD561" s="1" t="str">
        <f aca="false">IF(V561&lt;0,"Loss Making",IF(V561&lt;20,"Low Margin","Healthy Margin"))</f>
        <v>Healthy Margin</v>
      </c>
      <c r="AE561" s="1" t="str">
        <f aca="false">TEXT(DATE(VALUE(RIGHT(B561,4)),VALUE(MID(B561,4,2)),VALUE(LEFT(B561,2))),"MMM-YYYY")</f>
        <v>Oct-2023</v>
      </c>
      <c r="AF561" s="1" t="n">
        <f aca="false">VALUE(RIGHT(B561,4))</f>
        <v>2023</v>
      </c>
      <c r="AG561" s="1" t="str">
        <f aca="false">CHOOSE(ROUNDUP(VALUE(MID(B561,4,2))/3,0),"Q1","Q2","Q3","Q4")</f>
        <v>Q4</v>
      </c>
    </row>
    <row r="562" customFormat="false" ht="15" hidden="false" customHeight="true" outlineLevel="0" collapsed="false">
      <c r="A562" s="1" t="s">
        <v>1123</v>
      </c>
      <c r="B562" s="1" t="s">
        <v>1124</v>
      </c>
      <c r="C562" s="1" t="s">
        <v>249</v>
      </c>
      <c r="D562" s="1" t="s">
        <v>168</v>
      </c>
      <c r="E562" s="1" t="s">
        <v>328</v>
      </c>
      <c r="F562" s="1" t="s">
        <v>89</v>
      </c>
      <c r="G562" s="1" t="s">
        <v>68</v>
      </c>
      <c r="H562" s="1" t="s">
        <v>33</v>
      </c>
      <c r="I562" s="1" t="s">
        <v>83</v>
      </c>
      <c r="J562" s="1" t="s">
        <v>70</v>
      </c>
      <c r="K562" s="1" t="s">
        <v>90</v>
      </c>
      <c r="L562" s="1" t="s">
        <v>136</v>
      </c>
      <c r="M562" s="1" t="s">
        <v>62</v>
      </c>
      <c r="N562" s="1" t="n">
        <v>8999</v>
      </c>
      <c r="O562" s="1" t="n">
        <v>30</v>
      </c>
      <c r="P562" s="1" t="n">
        <v>2699.7</v>
      </c>
      <c r="Q562" s="1" t="n">
        <v>6299.3</v>
      </c>
      <c r="R562" s="1" t="n">
        <v>1133.87</v>
      </c>
      <c r="S562" s="1" t="n">
        <v>5165.43</v>
      </c>
      <c r="T562" s="1" t="n">
        <v>1764.08</v>
      </c>
      <c r="U562" s="1" t="n">
        <v>3401.35</v>
      </c>
      <c r="V562" s="1" t="n">
        <v>65.85</v>
      </c>
      <c r="W562" s="1" t="s">
        <v>39</v>
      </c>
      <c r="Y562" s="1" t="s">
        <v>40</v>
      </c>
      <c r="Z562" s="1" t="n">
        <v>0</v>
      </c>
      <c r="AA562" s="1" t="str">
        <f aca="false">TRIM(PROPER(F562))</f>
        <v>Vadodara</v>
      </c>
      <c r="AB562" s="1" t="str">
        <f aca="false">TRIM(PROPER(C562))</f>
        <v>Whitehat Jr</v>
      </c>
      <c r="AC562" s="1" t="str">
        <f aca="false">IF(O562=0,"No Discount",IF(O562&lt;=15,"Low (1-15%)",IF(O562&lt;=30,"Medium (16-30%)","High (&gt;30%)")))</f>
        <v>Medium (16-30%)</v>
      </c>
      <c r="AD562" s="1" t="str">
        <f aca="false">IF(V562&lt;0,"Loss Making",IF(V562&lt;20,"Low Margin","Healthy Margin"))</f>
        <v>Healthy Margin</v>
      </c>
      <c r="AE562" s="1" t="str">
        <f aca="false">TEXT(DATE(VALUE(RIGHT(B562,4)),VALUE(MID(B562,4,2)),VALUE(LEFT(B562,2))),"MMM-YYYY")</f>
        <v>Mar-2024</v>
      </c>
      <c r="AF562" s="1" t="n">
        <f aca="false">VALUE(RIGHT(B562,4))</f>
        <v>2024</v>
      </c>
      <c r="AG562" s="1" t="str">
        <f aca="false">CHOOSE(ROUNDUP(VALUE(MID(B562,4,2))/3,0),"Q1","Q2","Q3","Q4")</f>
        <v>Q1</v>
      </c>
    </row>
    <row r="563" customFormat="false" ht="15" hidden="false" customHeight="true" outlineLevel="0" collapsed="false">
      <c r="A563" s="1" t="s">
        <v>1125</v>
      </c>
      <c r="B563" s="1" t="s">
        <v>1126</v>
      </c>
      <c r="C563" s="1" t="s">
        <v>264</v>
      </c>
      <c r="D563" s="1" t="s">
        <v>168</v>
      </c>
      <c r="E563" s="1" t="s">
        <v>172</v>
      </c>
      <c r="F563" s="1" t="s">
        <v>184</v>
      </c>
      <c r="G563" s="1" t="s">
        <v>56</v>
      </c>
      <c r="H563" s="1" t="s">
        <v>57</v>
      </c>
      <c r="I563" s="1" t="s">
        <v>34</v>
      </c>
      <c r="J563" s="1" t="s">
        <v>35</v>
      </c>
      <c r="K563" s="1" t="s">
        <v>60</v>
      </c>
      <c r="L563" s="1" t="s">
        <v>37</v>
      </c>
      <c r="M563" s="1" t="s">
        <v>38</v>
      </c>
      <c r="N563" s="1" t="n">
        <v>6999</v>
      </c>
      <c r="O563" s="1" t="n">
        <v>50</v>
      </c>
      <c r="P563" s="1" t="n">
        <v>3499.5</v>
      </c>
      <c r="Q563" s="1" t="n">
        <v>3499.5</v>
      </c>
      <c r="R563" s="1" t="n">
        <v>629.91</v>
      </c>
      <c r="S563" s="1" t="n">
        <v>2869.59</v>
      </c>
      <c r="T563" s="1" t="n">
        <v>1369.5</v>
      </c>
      <c r="U563" s="1" t="n">
        <v>1500.09</v>
      </c>
      <c r="V563" s="1" t="n">
        <v>52.28</v>
      </c>
      <c r="W563" s="1" t="s">
        <v>39</v>
      </c>
      <c r="X563" s="1" t="n">
        <v>4.6</v>
      </c>
      <c r="Y563" s="1" t="s">
        <v>39</v>
      </c>
      <c r="Z563" s="1" t="n">
        <v>0</v>
      </c>
      <c r="AA563" s="1" t="str">
        <f aca="false">TRIM(PROPER(F563))</f>
        <v>Faridabad</v>
      </c>
      <c r="AB563" s="1" t="str">
        <f aca="false">TRIM(PROPER(C563))</f>
        <v>Unacademy</v>
      </c>
      <c r="AC563" s="1" t="str">
        <f aca="false">IF(O563=0,"No Discount",IF(O563&lt;=15,"Low (1-15%)",IF(O563&lt;=30,"Medium (16-30%)","High (&gt;30%)")))</f>
        <v>High (&gt;30%)</v>
      </c>
      <c r="AD563" s="1" t="str">
        <f aca="false">IF(V563&lt;0,"Loss Making",IF(V563&lt;20,"Low Margin","Healthy Margin"))</f>
        <v>Healthy Margin</v>
      </c>
      <c r="AE563" s="1" t="str">
        <f aca="false">TEXT(DATE(VALUE(RIGHT(B563,4)),VALUE(MID(B563,4,2)),VALUE(LEFT(B563,2))),"MMM-YYYY")</f>
        <v>Jan-2024</v>
      </c>
      <c r="AF563" s="1" t="n">
        <f aca="false">VALUE(RIGHT(B563,4))</f>
        <v>2024</v>
      </c>
      <c r="AG563" s="1" t="str">
        <f aca="false">CHOOSE(ROUNDUP(VALUE(MID(B563,4,2))/3,0),"Q1","Q2","Q3","Q4")</f>
        <v>Q1</v>
      </c>
    </row>
    <row r="564" customFormat="false" ht="15" hidden="false" customHeight="true" outlineLevel="0" collapsed="false">
      <c r="A564" s="1" t="s">
        <v>1127</v>
      </c>
      <c r="B564" s="1" t="s">
        <v>1128</v>
      </c>
      <c r="C564" s="1" t="s">
        <v>88</v>
      </c>
      <c r="D564" s="1" t="s">
        <v>168</v>
      </c>
      <c r="E564" s="1" t="s">
        <v>328</v>
      </c>
      <c r="F564" s="1" t="s">
        <v>194</v>
      </c>
      <c r="G564" s="1" t="s">
        <v>103</v>
      </c>
      <c r="H564" s="1" t="s">
        <v>69</v>
      </c>
      <c r="I564" s="1" t="s">
        <v>34</v>
      </c>
      <c r="J564" s="1" t="s">
        <v>77</v>
      </c>
      <c r="K564" s="1" t="s">
        <v>48</v>
      </c>
      <c r="L564" s="1" t="s">
        <v>136</v>
      </c>
      <c r="M564" s="1" t="s">
        <v>38</v>
      </c>
      <c r="N564" s="1" t="n">
        <v>8999</v>
      </c>
      <c r="O564" s="1" t="n">
        <v>10</v>
      </c>
      <c r="P564" s="1" t="n">
        <v>899.9</v>
      </c>
      <c r="Q564" s="1" t="n">
        <v>8099.1</v>
      </c>
      <c r="R564" s="1" t="n">
        <v>1457.84</v>
      </c>
      <c r="S564" s="1" t="n">
        <v>6641.26</v>
      </c>
      <c r="T564" s="1" t="n">
        <v>2683.33</v>
      </c>
      <c r="U564" s="1" t="n">
        <v>3957.93</v>
      </c>
      <c r="V564" s="1" t="n">
        <v>59.6</v>
      </c>
      <c r="W564" s="1" t="s">
        <v>39</v>
      </c>
      <c r="X564" s="1" t="n">
        <v>4.2</v>
      </c>
      <c r="Y564" s="1" t="s">
        <v>40</v>
      </c>
      <c r="Z564" s="1" t="n">
        <v>0</v>
      </c>
      <c r="AA564" s="1" t="str">
        <f aca="false">TRIM(PROPER(F564))</f>
        <v>Hyderabad</v>
      </c>
      <c r="AB564" s="1" t="str">
        <f aca="false">TRIM(PROPER(C564))</f>
        <v>Byju'S</v>
      </c>
      <c r="AC564" s="1" t="str">
        <f aca="false">IF(O564=0,"No Discount",IF(O564&lt;=15,"Low (1-15%)",IF(O564&lt;=30,"Medium (16-30%)","High (&gt;30%)")))</f>
        <v>Low (1-15%)</v>
      </c>
      <c r="AD564" s="1" t="str">
        <f aca="false">IF(V564&lt;0,"Loss Making",IF(V564&lt;20,"Low Margin","Healthy Margin"))</f>
        <v>Healthy Margin</v>
      </c>
      <c r="AE564" s="1" t="str">
        <f aca="false">TEXT(DATE(VALUE(RIGHT(B564,4)),VALUE(MID(B564,4,2)),VALUE(LEFT(B564,2))),"MMM-YYYY")</f>
        <v>Oct-2024</v>
      </c>
      <c r="AF564" s="1" t="n">
        <f aca="false">VALUE(RIGHT(B564,4))</f>
        <v>2024</v>
      </c>
      <c r="AG564" s="1" t="str">
        <f aca="false">CHOOSE(ROUNDUP(VALUE(MID(B564,4,2))/3,0),"Q1","Q2","Q3","Q4")</f>
        <v>Q4</v>
      </c>
    </row>
    <row r="565" customFormat="false" ht="15" hidden="false" customHeight="true" outlineLevel="0" collapsed="false">
      <c r="A565" s="1" t="s">
        <v>1129</v>
      </c>
      <c r="B565" s="1" t="s">
        <v>255</v>
      </c>
      <c r="C565" s="1" t="s">
        <v>167</v>
      </c>
      <c r="D565" s="1" t="s">
        <v>44</v>
      </c>
      <c r="E565" s="1" t="s">
        <v>45</v>
      </c>
      <c r="F565" s="1" t="s">
        <v>187</v>
      </c>
      <c r="G565" s="1" t="s">
        <v>97</v>
      </c>
      <c r="H565" s="1" t="s">
        <v>69</v>
      </c>
      <c r="I565" s="1" t="s">
        <v>83</v>
      </c>
      <c r="J565" s="1" t="s">
        <v>77</v>
      </c>
      <c r="K565" s="1" t="s">
        <v>84</v>
      </c>
      <c r="L565" s="1" t="s">
        <v>49</v>
      </c>
      <c r="M565" s="1" t="s">
        <v>38</v>
      </c>
      <c r="N565" s="1" t="n">
        <v>11999</v>
      </c>
      <c r="O565" s="1" t="n">
        <v>10</v>
      </c>
      <c r="P565" s="1" t="n">
        <v>1199.9</v>
      </c>
      <c r="Q565" s="1" t="n">
        <v>10799.1</v>
      </c>
      <c r="R565" s="1" t="n">
        <v>1943.84</v>
      </c>
      <c r="S565" s="1" t="n">
        <v>8855.26</v>
      </c>
      <c r="T565" s="1" t="n">
        <v>3598.06</v>
      </c>
      <c r="U565" s="1" t="n">
        <v>5257.2</v>
      </c>
      <c r="V565" s="1" t="n">
        <v>59.37</v>
      </c>
      <c r="W565" s="1" t="s">
        <v>39</v>
      </c>
      <c r="X565" s="1" t="n">
        <v>3.2</v>
      </c>
      <c r="Y565" s="1" t="s">
        <v>40</v>
      </c>
      <c r="Z565" s="1" t="n">
        <v>0</v>
      </c>
      <c r="AA565" s="1" t="str">
        <f aca="false">TRIM(PROPER(F565))</f>
        <v>Mumbai</v>
      </c>
      <c r="AB565" s="1" t="str">
        <f aca="false">TRIM(PROPER(C565))</f>
        <v>Scaler</v>
      </c>
      <c r="AC565" s="1" t="str">
        <f aca="false">IF(O565=0,"No Discount",IF(O565&lt;=15,"Low (1-15%)",IF(O565&lt;=30,"Medium (16-30%)","High (&gt;30%)")))</f>
        <v>Low (1-15%)</v>
      </c>
      <c r="AD565" s="1" t="str">
        <f aca="false">IF(V565&lt;0,"Loss Making",IF(V565&lt;20,"Low Margin","Healthy Margin"))</f>
        <v>Healthy Margin</v>
      </c>
      <c r="AE565" s="1" t="str">
        <f aca="false">TEXT(DATE(VALUE(RIGHT(B565,4)),VALUE(MID(B565,4,2)),VALUE(LEFT(B565,2))),"MMM-YYYY")</f>
        <v>Nov-2024</v>
      </c>
      <c r="AF565" s="1" t="n">
        <f aca="false">VALUE(RIGHT(B565,4))</f>
        <v>2024</v>
      </c>
      <c r="AG565" s="1" t="str">
        <f aca="false">CHOOSE(ROUNDUP(VALUE(MID(B565,4,2))/3,0),"Q1","Q2","Q3","Q4")</f>
        <v>Q4</v>
      </c>
    </row>
    <row r="566" customFormat="false" ht="15" hidden="false" customHeight="true" outlineLevel="0" collapsed="false">
      <c r="A566" s="1" t="s">
        <v>1130</v>
      </c>
      <c r="B566" s="1" t="s">
        <v>1131</v>
      </c>
      <c r="C566" s="1" t="s">
        <v>100</v>
      </c>
      <c r="D566" s="1" t="s">
        <v>80</v>
      </c>
      <c r="E566" s="1" t="s">
        <v>190</v>
      </c>
      <c r="F566" s="1" t="s">
        <v>153</v>
      </c>
      <c r="G566" s="1" t="s">
        <v>76</v>
      </c>
      <c r="H566" s="1" t="s">
        <v>33</v>
      </c>
      <c r="I566" s="1" t="s">
        <v>58</v>
      </c>
      <c r="J566" s="1" t="s">
        <v>70</v>
      </c>
      <c r="K566" s="1" t="s">
        <v>48</v>
      </c>
      <c r="L566" s="1" t="s">
        <v>136</v>
      </c>
      <c r="M566" s="1" t="s">
        <v>38</v>
      </c>
      <c r="N566" s="1" t="n">
        <v>15999</v>
      </c>
      <c r="O566" s="1" t="n">
        <v>40</v>
      </c>
      <c r="P566" s="1" t="n">
        <v>6399.6</v>
      </c>
      <c r="Q566" s="1" t="n">
        <v>9599.4</v>
      </c>
      <c r="R566" s="1" t="n">
        <v>1727.89</v>
      </c>
      <c r="S566" s="1" t="n">
        <v>7871.51</v>
      </c>
      <c r="T566" s="1" t="n">
        <v>4126.23</v>
      </c>
      <c r="U566" s="1" t="n">
        <v>3745.28</v>
      </c>
      <c r="V566" s="1" t="n">
        <v>47.58</v>
      </c>
      <c r="W566" s="1" t="s">
        <v>40</v>
      </c>
      <c r="Y566" s="1" t="s">
        <v>39</v>
      </c>
      <c r="Z566" s="1" t="n">
        <v>0</v>
      </c>
      <c r="AA566" s="1" t="str">
        <f aca="false">TRIM(PROPER(F566))</f>
        <v>Howrah</v>
      </c>
      <c r="AB566" s="1" t="str">
        <f aca="false">TRIM(PROPER(C566))</f>
        <v>Physics Wallah</v>
      </c>
      <c r="AC566" s="1" t="str">
        <f aca="false">IF(O566=0,"No Discount",IF(O566&lt;=15,"Low (1-15%)",IF(O566&lt;=30,"Medium (16-30%)","High (&gt;30%)")))</f>
        <v>High (&gt;30%)</v>
      </c>
      <c r="AD566" s="1" t="str">
        <f aca="false">IF(V566&lt;0,"Loss Making",IF(V566&lt;20,"Low Margin","Healthy Margin"))</f>
        <v>Healthy Margin</v>
      </c>
      <c r="AE566" s="1" t="str">
        <f aca="false">TEXT(DATE(VALUE(RIGHT(B566,4)),VALUE(MID(B566,4,2)),VALUE(LEFT(B566,2))),"MMM-YYYY")</f>
        <v>Apr-2024</v>
      </c>
      <c r="AF566" s="1" t="n">
        <f aca="false">VALUE(RIGHT(B566,4))</f>
        <v>2024</v>
      </c>
      <c r="AG566" s="1" t="str">
        <f aca="false">CHOOSE(ROUNDUP(VALUE(MID(B566,4,2))/3,0),"Q1","Q2","Q3","Q4")</f>
        <v>Q2</v>
      </c>
    </row>
    <row r="567" customFormat="false" ht="15" hidden="false" customHeight="true" outlineLevel="0" collapsed="false">
      <c r="A567" s="1" t="s">
        <v>1132</v>
      </c>
      <c r="B567" s="1" t="s">
        <v>643</v>
      </c>
      <c r="C567" s="1" t="s">
        <v>100</v>
      </c>
      <c r="D567" s="1" t="s">
        <v>80</v>
      </c>
      <c r="E567" s="1" t="s">
        <v>190</v>
      </c>
      <c r="F567" s="1" t="s">
        <v>102</v>
      </c>
      <c r="G567" s="1" t="s">
        <v>103</v>
      </c>
      <c r="H567" s="1" t="s">
        <v>33</v>
      </c>
      <c r="I567" s="1" t="s">
        <v>34</v>
      </c>
      <c r="J567" s="1" t="s">
        <v>59</v>
      </c>
      <c r="K567" s="1" t="s">
        <v>104</v>
      </c>
      <c r="L567" s="1" t="s">
        <v>61</v>
      </c>
      <c r="M567" s="1" t="s">
        <v>62</v>
      </c>
      <c r="N567" s="1" t="n">
        <v>15999</v>
      </c>
      <c r="O567" s="1" t="n">
        <v>50</v>
      </c>
      <c r="P567" s="1" t="n">
        <v>7999.5</v>
      </c>
      <c r="Q567" s="1" t="n">
        <v>7999.5</v>
      </c>
      <c r="R567" s="1" t="n">
        <v>1439.91</v>
      </c>
      <c r="S567" s="1" t="n">
        <v>6559.59</v>
      </c>
      <c r="T567" s="1" t="n">
        <v>3174.54</v>
      </c>
      <c r="U567" s="1" t="n">
        <v>3385.05</v>
      </c>
      <c r="V567" s="1" t="n">
        <v>51.6</v>
      </c>
      <c r="W567" s="1" t="s">
        <v>39</v>
      </c>
      <c r="X567" s="1" t="n">
        <v>4.1</v>
      </c>
      <c r="Y567" s="1" t="s">
        <v>40</v>
      </c>
      <c r="Z567" s="1" t="n">
        <v>0</v>
      </c>
      <c r="AA567" s="1" t="str">
        <f aca="false">TRIM(PROPER(F567))</f>
        <v>Warangal</v>
      </c>
      <c r="AB567" s="1" t="str">
        <f aca="false">TRIM(PROPER(C567))</f>
        <v>Physics Wallah</v>
      </c>
      <c r="AC567" s="1" t="str">
        <f aca="false">IF(O567=0,"No Discount",IF(O567&lt;=15,"Low (1-15%)",IF(O567&lt;=30,"Medium (16-30%)","High (&gt;30%)")))</f>
        <v>High (&gt;30%)</v>
      </c>
      <c r="AD567" s="1" t="str">
        <f aca="false">IF(V567&lt;0,"Loss Making",IF(V567&lt;20,"Low Margin","Healthy Margin"))</f>
        <v>Healthy Margin</v>
      </c>
      <c r="AE567" s="1" t="str">
        <f aca="false">TEXT(DATE(VALUE(RIGHT(B567,4)),VALUE(MID(B567,4,2)),VALUE(LEFT(B567,2))),"MMM-YYYY")</f>
        <v>Aug-2024</v>
      </c>
      <c r="AF567" s="1" t="n">
        <f aca="false">VALUE(RIGHT(B567,4))</f>
        <v>2024</v>
      </c>
      <c r="AG567" s="1" t="str">
        <f aca="false">CHOOSE(ROUNDUP(VALUE(MID(B567,4,2))/3,0),"Q1","Q2","Q3","Q4")</f>
        <v>Q3</v>
      </c>
    </row>
    <row r="568" customFormat="false" ht="15" hidden="false" customHeight="true" outlineLevel="0" collapsed="false">
      <c r="A568" s="1" t="s">
        <v>1133</v>
      </c>
      <c r="B568" s="1" t="s">
        <v>755</v>
      </c>
      <c r="C568" s="1" t="s">
        <v>65</v>
      </c>
      <c r="D568" s="1" t="s">
        <v>44</v>
      </c>
      <c r="E568" s="1" t="s">
        <v>221</v>
      </c>
      <c r="F568" s="1" t="s">
        <v>75</v>
      </c>
      <c r="G568" s="1" t="s">
        <v>76</v>
      </c>
      <c r="H568" s="1" t="s">
        <v>69</v>
      </c>
      <c r="I568" s="1" t="s">
        <v>58</v>
      </c>
      <c r="J568" s="1" t="s">
        <v>35</v>
      </c>
      <c r="K568" s="1" t="s">
        <v>71</v>
      </c>
      <c r="L568" s="1" t="s">
        <v>136</v>
      </c>
      <c r="M568" s="1" t="s">
        <v>50</v>
      </c>
      <c r="N568" s="1" t="n">
        <v>16999</v>
      </c>
      <c r="O568" s="1" t="n">
        <v>0</v>
      </c>
      <c r="P568" s="1" t="n">
        <v>0</v>
      </c>
      <c r="Q568" s="1" t="n">
        <v>16999</v>
      </c>
      <c r="R568" s="1" t="n">
        <v>3059.82</v>
      </c>
      <c r="S568" s="1" t="n">
        <v>13939.18</v>
      </c>
      <c r="T568" s="1" t="n">
        <v>4847.48</v>
      </c>
      <c r="U568" s="1" t="n">
        <v>9091.7</v>
      </c>
      <c r="V568" s="1" t="n">
        <v>65.22</v>
      </c>
      <c r="W568" s="1" t="s">
        <v>39</v>
      </c>
      <c r="X568" s="1" t="n">
        <v>4.7</v>
      </c>
      <c r="Y568" s="1" t="s">
        <v>40</v>
      </c>
      <c r="Z568" s="1" t="n">
        <v>1</v>
      </c>
      <c r="AA568" s="1" t="str">
        <f aca="false">TRIM(PROPER(F568))</f>
        <v>Kolkata</v>
      </c>
      <c r="AB568" s="1" t="str">
        <f aca="false">TRIM(PROPER(C568))</f>
        <v>Toppr</v>
      </c>
      <c r="AC568" s="1" t="str">
        <f aca="false">IF(O568=0,"No Discount",IF(O568&lt;=15,"Low (1-15%)",IF(O568&lt;=30,"Medium (16-30%)","High (&gt;30%)")))</f>
        <v>No Discount</v>
      </c>
      <c r="AD568" s="1" t="str">
        <f aca="false">IF(V568&lt;0,"Loss Making",IF(V568&lt;20,"Low Margin","Healthy Margin"))</f>
        <v>Healthy Margin</v>
      </c>
      <c r="AE568" s="1" t="str">
        <f aca="false">TEXT(DATE(VALUE(RIGHT(B568,4)),VALUE(MID(B568,4,2)),VALUE(LEFT(B568,2))),"MMM-YYYY")</f>
        <v>Feb-2023</v>
      </c>
      <c r="AF568" s="1" t="n">
        <f aca="false">VALUE(RIGHT(B568,4))</f>
        <v>2023</v>
      </c>
      <c r="AG568" s="1" t="str">
        <f aca="false">CHOOSE(ROUNDUP(VALUE(MID(B568,4,2))/3,0),"Q1","Q2","Q3","Q4")</f>
        <v>Q1</v>
      </c>
    </row>
    <row r="569" customFormat="false" ht="15" hidden="false" customHeight="true" outlineLevel="0" collapsed="false">
      <c r="A569" s="1" t="s">
        <v>1134</v>
      </c>
      <c r="B569" s="1" t="s">
        <v>1135</v>
      </c>
      <c r="C569" s="1" t="s">
        <v>178</v>
      </c>
      <c r="D569" s="1" t="s">
        <v>123</v>
      </c>
      <c r="E569" s="1" t="s">
        <v>233</v>
      </c>
      <c r="F569" s="1" t="s">
        <v>244</v>
      </c>
      <c r="G569" s="1" t="s">
        <v>97</v>
      </c>
      <c r="H569" s="1" t="s">
        <v>57</v>
      </c>
      <c r="I569" s="1" t="s">
        <v>83</v>
      </c>
      <c r="J569" s="1" t="s">
        <v>77</v>
      </c>
      <c r="K569" s="1" t="s">
        <v>84</v>
      </c>
      <c r="L569" s="1" t="s">
        <v>49</v>
      </c>
      <c r="M569" s="1" t="s">
        <v>50</v>
      </c>
      <c r="N569" s="1" t="n">
        <v>8999</v>
      </c>
      <c r="O569" s="1" t="n">
        <v>50</v>
      </c>
      <c r="P569" s="1" t="n">
        <v>4499.5</v>
      </c>
      <c r="Q569" s="1" t="n">
        <v>4499.5</v>
      </c>
      <c r="R569" s="1" t="n">
        <v>809.91</v>
      </c>
      <c r="S569" s="1" t="n">
        <v>3689.59</v>
      </c>
      <c r="T569" s="1" t="n">
        <v>1967.34</v>
      </c>
      <c r="U569" s="1" t="n">
        <v>1722.25</v>
      </c>
      <c r="V569" s="1" t="n">
        <v>46.68</v>
      </c>
      <c r="W569" s="1" t="s">
        <v>40</v>
      </c>
      <c r="Y569" s="1" t="s">
        <v>39</v>
      </c>
      <c r="Z569" s="1" t="n">
        <v>0</v>
      </c>
      <c r="AA569" s="1" t="str">
        <f aca="false">TRIM(PROPER(F569))</f>
        <v>Nagpur</v>
      </c>
      <c r="AB569" s="1" t="str">
        <f aca="false">TRIM(PROPER(C569))</f>
        <v>Leverage Edu</v>
      </c>
      <c r="AC569" s="1" t="str">
        <f aca="false">IF(O569=0,"No Discount",IF(O569&lt;=15,"Low (1-15%)",IF(O569&lt;=30,"Medium (16-30%)","High (&gt;30%)")))</f>
        <v>High (&gt;30%)</v>
      </c>
      <c r="AD569" s="1" t="str">
        <f aca="false">IF(V569&lt;0,"Loss Making",IF(V569&lt;20,"Low Margin","Healthy Margin"))</f>
        <v>Healthy Margin</v>
      </c>
      <c r="AE569" s="1" t="str">
        <f aca="false">TEXT(DATE(VALUE(RIGHT(B569,4)),VALUE(MID(B569,4,2)),VALUE(LEFT(B569,2))),"MMM-YYYY")</f>
        <v>Jun-2024</v>
      </c>
      <c r="AF569" s="1" t="n">
        <f aca="false">VALUE(RIGHT(B569,4))</f>
        <v>2024</v>
      </c>
      <c r="AG569" s="1" t="str">
        <f aca="false">CHOOSE(ROUNDUP(VALUE(MID(B569,4,2))/3,0),"Q1","Q2","Q3","Q4")</f>
        <v>Q2</v>
      </c>
    </row>
    <row r="570" customFormat="false" ht="15" hidden="false" customHeight="true" outlineLevel="0" collapsed="false">
      <c r="A570" s="1" t="s">
        <v>1136</v>
      </c>
      <c r="B570" s="1" t="s">
        <v>526</v>
      </c>
      <c r="C570" s="1" t="s">
        <v>139</v>
      </c>
      <c r="D570" s="1" t="s">
        <v>168</v>
      </c>
      <c r="E570" s="1" t="s">
        <v>328</v>
      </c>
      <c r="F570" s="1" t="s">
        <v>1137</v>
      </c>
      <c r="G570" s="1" t="s">
        <v>56</v>
      </c>
      <c r="H570" s="1" t="s">
        <v>69</v>
      </c>
      <c r="I570" s="1" t="s">
        <v>58</v>
      </c>
      <c r="J570" s="1" t="s">
        <v>131</v>
      </c>
      <c r="K570" s="1" t="s">
        <v>84</v>
      </c>
      <c r="L570" s="1" t="s">
        <v>85</v>
      </c>
      <c r="M570" s="1" t="s">
        <v>38</v>
      </c>
      <c r="N570" s="1" t="n">
        <v>8999</v>
      </c>
      <c r="O570" s="1" t="n">
        <v>20</v>
      </c>
      <c r="P570" s="1" t="n">
        <v>1799.8</v>
      </c>
      <c r="Q570" s="1" t="n">
        <v>7199.2</v>
      </c>
      <c r="R570" s="1" t="n">
        <v>1295.86</v>
      </c>
      <c r="S570" s="1" t="n">
        <v>5903.34</v>
      </c>
      <c r="T570" s="1" t="n">
        <v>2846.46</v>
      </c>
      <c r="U570" s="1" t="n">
        <v>3056.88</v>
      </c>
      <c r="V570" s="1" t="n">
        <v>51.78</v>
      </c>
      <c r="W570" s="1" t="s">
        <v>40</v>
      </c>
      <c r="Y570" s="1" t="s">
        <v>39</v>
      </c>
      <c r="Z570" s="1" t="n">
        <v>0</v>
      </c>
      <c r="AA570" s="1" t="str">
        <f aca="false">TRIM(PROPER(F570))</f>
        <v>Gurugram</v>
      </c>
      <c r="AB570" s="1" t="str">
        <f aca="false">TRIM(PROPER(C570))</f>
        <v>Extramarks</v>
      </c>
      <c r="AC570" s="1" t="str">
        <f aca="false">IF(O570=0,"No Discount",IF(O570&lt;=15,"Low (1-15%)",IF(O570&lt;=30,"Medium (16-30%)","High (&gt;30%)")))</f>
        <v>Medium (16-30%)</v>
      </c>
      <c r="AD570" s="1" t="str">
        <f aca="false">IF(V570&lt;0,"Loss Making",IF(V570&lt;20,"Low Margin","Healthy Margin"))</f>
        <v>Healthy Margin</v>
      </c>
      <c r="AE570" s="1" t="str">
        <f aca="false">TEXT(DATE(VALUE(RIGHT(B570,4)),VALUE(MID(B570,4,2)),VALUE(LEFT(B570,2))),"MMM-YYYY")</f>
        <v>Oct-2024</v>
      </c>
      <c r="AF570" s="1" t="n">
        <f aca="false">VALUE(RIGHT(B570,4))</f>
        <v>2024</v>
      </c>
      <c r="AG570" s="1" t="str">
        <f aca="false">CHOOSE(ROUNDUP(VALUE(MID(B570,4,2))/3,0),"Q1","Q2","Q3","Q4")</f>
        <v>Q4</v>
      </c>
    </row>
    <row r="571" customFormat="false" ht="15" hidden="false" customHeight="true" outlineLevel="0" collapsed="false">
      <c r="A571" s="1" t="s">
        <v>1138</v>
      </c>
      <c r="B571" s="1" t="s">
        <v>620</v>
      </c>
      <c r="C571" s="1" t="s">
        <v>167</v>
      </c>
      <c r="D571" s="1" t="s">
        <v>44</v>
      </c>
      <c r="E571" s="1" t="s">
        <v>66</v>
      </c>
      <c r="F571" s="1" t="s">
        <v>130</v>
      </c>
      <c r="G571" s="1" t="s">
        <v>47</v>
      </c>
      <c r="H571" s="1" t="s">
        <v>69</v>
      </c>
      <c r="I571" s="1" t="s">
        <v>58</v>
      </c>
      <c r="J571" s="1" t="s">
        <v>77</v>
      </c>
      <c r="K571" s="1" t="s">
        <v>60</v>
      </c>
      <c r="L571" s="1" t="s">
        <v>113</v>
      </c>
      <c r="M571" s="1" t="s">
        <v>62</v>
      </c>
      <c r="N571" s="1" t="n">
        <v>12999</v>
      </c>
      <c r="O571" s="1" t="n">
        <v>10</v>
      </c>
      <c r="P571" s="1" t="n">
        <v>1299.9</v>
      </c>
      <c r="Q571" s="1" t="n">
        <v>11699.1</v>
      </c>
      <c r="R571" s="1" t="n">
        <v>2105.84</v>
      </c>
      <c r="S571" s="1" t="n">
        <v>9593.26</v>
      </c>
      <c r="T571" s="1" t="n">
        <v>4844.46</v>
      </c>
      <c r="U571" s="1" t="n">
        <v>4748.8</v>
      </c>
      <c r="V571" s="1" t="n">
        <v>49.5</v>
      </c>
      <c r="W571" s="1" t="s">
        <v>40</v>
      </c>
      <c r="Y571" s="1" t="s">
        <v>40</v>
      </c>
      <c r="Z571" s="1" t="n">
        <v>0</v>
      </c>
      <c r="AA571" s="1" t="str">
        <f aca="false">TRIM(PROPER(F571))</f>
        <v>Bengaluru</v>
      </c>
      <c r="AB571" s="1" t="str">
        <f aca="false">TRIM(PROPER(C571))</f>
        <v>Scaler</v>
      </c>
      <c r="AC571" s="1" t="str">
        <f aca="false">IF(O571=0,"No Discount",IF(O571&lt;=15,"Low (1-15%)",IF(O571&lt;=30,"Medium (16-30%)","High (&gt;30%)")))</f>
        <v>Low (1-15%)</v>
      </c>
      <c r="AD571" s="1" t="str">
        <f aca="false">IF(V571&lt;0,"Loss Making",IF(V571&lt;20,"Low Margin","Healthy Margin"))</f>
        <v>Healthy Margin</v>
      </c>
      <c r="AE571" s="1" t="str">
        <f aca="false">TEXT(DATE(VALUE(RIGHT(B571,4)),VALUE(MID(B571,4,2)),VALUE(LEFT(B571,2))),"MMM-YYYY")</f>
        <v>Jan-2024</v>
      </c>
      <c r="AF571" s="1" t="n">
        <f aca="false">VALUE(RIGHT(B571,4))</f>
        <v>2024</v>
      </c>
      <c r="AG571" s="1" t="str">
        <f aca="false">CHOOSE(ROUNDUP(VALUE(MID(B571,4,2))/3,0),"Q1","Q2","Q3","Q4")</f>
        <v>Q1</v>
      </c>
    </row>
    <row r="572" customFormat="false" ht="15" hidden="false" customHeight="true" outlineLevel="0" collapsed="false">
      <c r="A572" s="1" t="s">
        <v>1139</v>
      </c>
      <c r="B572" s="1" t="s">
        <v>1040</v>
      </c>
      <c r="C572" s="1" t="s">
        <v>264</v>
      </c>
      <c r="D572" s="1" t="s">
        <v>143</v>
      </c>
      <c r="E572" s="1" t="s">
        <v>243</v>
      </c>
      <c r="F572" s="1" t="s">
        <v>96</v>
      </c>
      <c r="G572" s="1" t="s">
        <v>97</v>
      </c>
      <c r="H572" s="1" t="s">
        <v>69</v>
      </c>
      <c r="I572" s="1" t="s">
        <v>34</v>
      </c>
      <c r="J572" s="1" t="s">
        <v>59</v>
      </c>
      <c r="K572" s="1" t="s">
        <v>104</v>
      </c>
      <c r="L572" s="1" t="s">
        <v>61</v>
      </c>
      <c r="M572" s="1" t="s">
        <v>50</v>
      </c>
      <c r="N572" s="1" t="n">
        <v>22999</v>
      </c>
      <c r="O572" s="1" t="n">
        <v>0</v>
      </c>
      <c r="P572" s="1" t="n">
        <v>0</v>
      </c>
      <c r="Q572" s="1" t="n">
        <v>22999</v>
      </c>
      <c r="R572" s="1" t="n">
        <v>4139.82</v>
      </c>
      <c r="S572" s="1" t="n">
        <v>18859.18</v>
      </c>
      <c r="T572" s="1" t="n">
        <v>8172.51</v>
      </c>
      <c r="U572" s="1" t="n">
        <v>10686.67</v>
      </c>
      <c r="V572" s="1" t="n">
        <v>56.67</v>
      </c>
      <c r="W572" s="1" t="s">
        <v>39</v>
      </c>
      <c r="X572" s="1" t="n">
        <v>3.9</v>
      </c>
      <c r="Y572" s="1" t="s">
        <v>40</v>
      </c>
      <c r="Z572" s="1" t="n">
        <v>0</v>
      </c>
      <c r="AA572" s="1" t="str">
        <f aca="false">TRIM(PROPER(F572))</f>
        <v>Pune</v>
      </c>
      <c r="AB572" s="1" t="str">
        <f aca="false">TRIM(PROPER(C572))</f>
        <v>Unacademy</v>
      </c>
      <c r="AC572" s="1" t="str">
        <f aca="false">IF(O572=0,"No Discount",IF(O572&lt;=15,"Low (1-15%)",IF(O572&lt;=30,"Medium (16-30%)","High (&gt;30%)")))</f>
        <v>No Discount</v>
      </c>
      <c r="AD572" s="1" t="str">
        <f aca="false">IF(V572&lt;0,"Loss Making",IF(V572&lt;20,"Low Margin","Healthy Margin"))</f>
        <v>Healthy Margin</v>
      </c>
      <c r="AE572" s="1" t="str">
        <f aca="false">TEXT(DATE(VALUE(RIGHT(B572,4)),VALUE(MID(B572,4,2)),VALUE(LEFT(B572,2))),"MMM-YYYY")</f>
        <v>Sep-2023</v>
      </c>
      <c r="AF572" s="1" t="n">
        <f aca="false">VALUE(RIGHT(B572,4))</f>
        <v>2023</v>
      </c>
      <c r="AG572" s="1" t="str">
        <f aca="false">CHOOSE(ROUNDUP(VALUE(MID(B572,4,2))/3,0),"Q1","Q2","Q3","Q4")</f>
        <v>Q3</v>
      </c>
    </row>
    <row r="573" customFormat="false" ht="15" hidden="false" customHeight="true" outlineLevel="0" collapsed="false">
      <c r="A573" s="1" t="s">
        <v>1140</v>
      </c>
      <c r="B573" s="1" t="s">
        <v>1141</v>
      </c>
      <c r="C573" s="1" t="s">
        <v>28</v>
      </c>
      <c r="D573" s="1" t="s">
        <v>44</v>
      </c>
      <c r="E573" s="1" t="s">
        <v>66</v>
      </c>
      <c r="F573" s="1" t="s">
        <v>125</v>
      </c>
      <c r="G573" s="1" t="s">
        <v>108</v>
      </c>
      <c r="H573" s="1" t="s">
        <v>69</v>
      </c>
      <c r="I573" s="1" t="s">
        <v>34</v>
      </c>
      <c r="J573" s="1" t="s">
        <v>59</v>
      </c>
      <c r="K573" s="1" t="s">
        <v>84</v>
      </c>
      <c r="L573" s="1" t="s">
        <v>61</v>
      </c>
      <c r="M573" s="1" t="s">
        <v>38</v>
      </c>
      <c r="N573" s="1" t="n">
        <v>12999</v>
      </c>
      <c r="O573" s="1" t="n">
        <v>5</v>
      </c>
      <c r="P573" s="1" t="n">
        <v>649.95</v>
      </c>
      <c r="Q573" s="1" t="n">
        <v>12349.05</v>
      </c>
      <c r="R573" s="1" t="n">
        <v>2222.83</v>
      </c>
      <c r="S573" s="1" t="n">
        <v>10126.22</v>
      </c>
      <c r="T573" s="1" t="n">
        <v>4619.16</v>
      </c>
      <c r="U573" s="1" t="n">
        <v>5507.06</v>
      </c>
      <c r="V573" s="1" t="n">
        <v>54.38</v>
      </c>
      <c r="W573" s="1" t="s">
        <v>39</v>
      </c>
      <c r="X573" s="1" t="n">
        <v>4.4</v>
      </c>
      <c r="Y573" s="1" t="s">
        <v>40</v>
      </c>
      <c r="Z573" s="1" t="n">
        <v>0</v>
      </c>
      <c r="AA573" s="1" t="str">
        <f aca="false">TRIM(PROPER(F573))</f>
        <v>Chennai</v>
      </c>
      <c r="AB573" s="1" t="str">
        <f aca="false">TRIM(PROPER(C573))</f>
        <v>Embibe</v>
      </c>
      <c r="AC573" s="1" t="str">
        <f aca="false">IF(O573=0,"No Discount",IF(O573&lt;=15,"Low (1-15%)",IF(O573&lt;=30,"Medium (16-30%)","High (&gt;30%)")))</f>
        <v>Low (1-15%)</v>
      </c>
      <c r="AD573" s="1" t="str">
        <f aca="false">IF(V573&lt;0,"Loss Making",IF(V573&lt;20,"Low Margin","Healthy Margin"))</f>
        <v>Healthy Margin</v>
      </c>
      <c r="AE573" s="1" t="str">
        <f aca="false">TEXT(DATE(VALUE(RIGHT(B573,4)),VALUE(MID(B573,4,2)),VALUE(LEFT(B573,2))),"MMM-YYYY")</f>
        <v>Jun-2024</v>
      </c>
      <c r="AF573" s="1" t="n">
        <f aca="false">VALUE(RIGHT(B573,4))</f>
        <v>2024</v>
      </c>
      <c r="AG573" s="1" t="str">
        <f aca="false">CHOOSE(ROUNDUP(VALUE(MID(B573,4,2))/3,0),"Q1","Q2","Q3","Q4")</f>
        <v>Q2</v>
      </c>
    </row>
    <row r="574" customFormat="false" ht="15" hidden="false" customHeight="true" outlineLevel="0" collapsed="false">
      <c r="A574" s="1" t="s">
        <v>1142</v>
      </c>
      <c r="B574" s="1" t="s">
        <v>1143</v>
      </c>
      <c r="C574" s="1" t="s">
        <v>43</v>
      </c>
      <c r="D574" s="1" t="s">
        <v>29</v>
      </c>
      <c r="E574" s="1" t="s">
        <v>30</v>
      </c>
      <c r="F574" s="1" t="s">
        <v>107</v>
      </c>
      <c r="G574" s="1" t="s">
        <v>108</v>
      </c>
      <c r="H574" s="1" t="s">
        <v>33</v>
      </c>
      <c r="I574" s="1" t="s">
        <v>58</v>
      </c>
      <c r="J574" s="1" t="s">
        <v>35</v>
      </c>
      <c r="K574" s="1" t="s">
        <v>48</v>
      </c>
      <c r="L574" s="1" t="s">
        <v>49</v>
      </c>
      <c r="M574" s="1" t="s">
        <v>50</v>
      </c>
      <c r="N574" s="1" t="n">
        <v>7999</v>
      </c>
      <c r="O574" s="1" t="n">
        <v>0</v>
      </c>
      <c r="P574" s="1" t="n">
        <v>0</v>
      </c>
      <c r="Q574" s="1" t="n">
        <v>7999</v>
      </c>
      <c r="R574" s="1" t="n">
        <v>1439.82</v>
      </c>
      <c r="S574" s="1" t="n">
        <v>6559.18</v>
      </c>
      <c r="T574" s="1" t="n">
        <v>2936.3</v>
      </c>
      <c r="U574" s="1" t="n">
        <v>3622.88</v>
      </c>
      <c r="V574" s="1" t="n">
        <v>55.23</v>
      </c>
      <c r="W574" s="1" t="s">
        <v>40</v>
      </c>
      <c r="Y574" s="1" t="s">
        <v>40</v>
      </c>
      <c r="Z574" s="1" t="n">
        <v>1</v>
      </c>
      <c r="AA574" s="1" t="str">
        <f aca="false">TRIM(PROPER(F574))</f>
        <v>Madurai</v>
      </c>
      <c r="AB574" s="1" t="str">
        <f aca="false">TRIM(PROPER(C574))</f>
        <v>Meritnation</v>
      </c>
      <c r="AC574" s="1" t="str">
        <f aca="false">IF(O574=0,"No Discount",IF(O574&lt;=15,"Low (1-15%)",IF(O574&lt;=30,"Medium (16-30%)","High (&gt;30%)")))</f>
        <v>No Discount</v>
      </c>
      <c r="AD574" s="1" t="str">
        <f aca="false">IF(V574&lt;0,"Loss Making",IF(V574&lt;20,"Low Margin","Healthy Margin"))</f>
        <v>Healthy Margin</v>
      </c>
      <c r="AE574" s="1" t="str">
        <f aca="false">TEXT(DATE(VALUE(RIGHT(B574,4)),VALUE(MID(B574,4,2)),VALUE(LEFT(B574,2))),"MMM-YYYY")</f>
        <v>Nov-2024</v>
      </c>
      <c r="AF574" s="1" t="n">
        <f aca="false">VALUE(RIGHT(B574,4))</f>
        <v>2024</v>
      </c>
      <c r="AG574" s="1" t="str">
        <f aca="false">CHOOSE(ROUNDUP(VALUE(MID(B574,4,2))/3,0),"Q1","Q2","Q3","Q4")</f>
        <v>Q4</v>
      </c>
    </row>
    <row r="575" customFormat="false" ht="15" hidden="false" customHeight="true" outlineLevel="0" collapsed="false">
      <c r="A575" s="1" t="s">
        <v>1144</v>
      </c>
      <c r="B575" s="1" t="s">
        <v>1145</v>
      </c>
      <c r="C575" s="1" t="s">
        <v>28</v>
      </c>
      <c r="D575" s="1" t="s">
        <v>80</v>
      </c>
      <c r="E575" s="1" t="s">
        <v>175</v>
      </c>
      <c r="F575" s="1" t="s">
        <v>269</v>
      </c>
      <c r="G575" s="1" t="s">
        <v>108</v>
      </c>
      <c r="H575" s="1" t="s">
        <v>57</v>
      </c>
      <c r="I575" s="1" t="s">
        <v>58</v>
      </c>
      <c r="J575" s="1" t="s">
        <v>77</v>
      </c>
      <c r="K575" s="1" t="s">
        <v>60</v>
      </c>
      <c r="L575" s="1" t="s">
        <v>136</v>
      </c>
      <c r="M575" s="1" t="s">
        <v>38</v>
      </c>
      <c r="N575" s="1" t="n">
        <v>19999</v>
      </c>
      <c r="O575" s="1" t="n">
        <v>15</v>
      </c>
      <c r="P575" s="1" t="n">
        <v>2999.85</v>
      </c>
      <c r="Q575" s="1" t="n">
        <v>16999.15</v>
      </c>
      <c r="R575" s="1" t="n">
        <v>3059.85</v>
      </c>
      <c r="S575" s="1" t="n">
        <v>13939.3</v>
      </c>
      <c r="T575" s="1" t="n">
        <v>6761.38</v>
      </c>
      <c r="U575" s="1" t="n">
        <v>7177.92</v>
      </c>
      <c r="V575" s="1" t="n">
        <v>51.49</v>
      </c>
      <c r="W575" s="1" t="s">
        <v>40</v>
      </c>
      <c r="Y575" s="1" t="s">
        <v>40</v>
      </c>
      <c r="Z575" s="1" t="n">
        <v>1</v>
      </c>
      <c r="AA575" s="1" t="str">
        <f aca="false">TRIM(PROPER(F575))</f>
        <v>Coimbatore</v>
      </c>
      <c r="AB575" s="1" t="str">
        <f aca="false">TRIM(PROPER(C575))</f>
        <v>Embibe</v>
      </c>
      <c r="AC575" s="1" t="str">
        <f aca="false">IF(O575=0,"No Discount",IF(O575&lt;=15,"Low (1-15%)",IF(O575&lt;=30,"Medium (16-30%)","High (&gt;30%)")))</f>
        <v>Low (1-15%)</v>
      </c>
      <c r="AD575" s="1" t="str">
        <f aca="false">IF(V575&lt;0,"Loss Making",IF(V575&lt;20,"Low Margin","Healthy Margin"))</f>
        <v>Healthy Margin</v>
      </c>
      <c r="AE575" s="1" t="str">
        <f aca="false">TEXT(DATE(VALUE(RIGHT(B575,4)),VALUE(MID(B575,4,2)),VALUE(LEFT(B575,2))),"MMM-YYYY")</f>
        <v>Jul-2024</v>
      </c>
      <c r="AF575" s="1" t="n">
        <f aca="false">VALUE(RIGHT(B575,4))</f>
        <v>2024</v>
      </c>
      <c r="AG575" s="1" t="str">
        <f aca="false">CHOOSE(ROUNDUP(VALUE(MID(B575,4,2))/3,0),"Q1","Q2","Q3","Q4")</f>
        <v>Q3</v>
      </c>
    </row>
    <row r="576" customFormat="false" ht="15" hidden="false" customHeight="true" outlineLevel="0" collapsed="false">
      <c r="A576" s="1" t="s">
        <v>1146</v>
      </c>
      <c r="B576" s="1" t="s">
        <v>1056</v>
      </c>
      <c r="C576" s="1" t="s">
        <v>119</v>
      </c>
      <c r="D576" s="1" t="s">
        <v>94</v>
      </c>
      <c r="E576" s="1" t="s">
        <v>135</v>
      </c>
      <c r="F576" s="1" t="s">
        <v>205</v>
      </c>
      <c r="G576" s="1" t="s">
        <v>56</v>
      </c>
      <c r="H576" s="1" t="s">
        <v>69</v>
      </c>
      <c r="I576" s="1" t="s">
        <v>34</v>
      </c>
      <c r="J576" s="1" t="s">
        <v>35</v>
      </c>
      <c r="K576" s="1" t="s">
        <v>60</v>
      </c>
      <c r="L576" s="1" t="s">
        <v>61</v>
      </c>
      <c r="M576" s="1" t="s">
        <v>50</v>
      </c>
      <c r="N576" s="1" t="n">
        <v>9999</v>
      </c>
      <c r="O576" s="1" t="n">
        <v>0</v>
      </c>
      <c r="P576" s="1" t="n">
        <v>0</v>
      </c>
      <c r="Q576" s="1" t="n">
        <v>9999</v>
      </c>
      <c r="R576" s="1" t="n">
        <v>1799.82</v>
      </c>
      <c r="S576" s="1" t="n">
        <v>8199.18</v>
      </c>
      <c r="T576" s="1" t="n">
        <v>3148.36</v>
      </c>
      <c r="U576" s="1" t="n">
        <v>5050.82</v>
      </c>
      <c r="V576" s="1" t="n">
        <v>61.6</v>
      </c>
      <c r="W576" s="1" t="s">
        <v>39</v>
      </c>
      <c r="Y576" s="1" t="s">
        <v>40</v>
      </c>
      <c r="Z576" s="1" t="n">
        <v>0</v>
      </c>
      <c r="AA576" s="1" t="str">
        <f aca="false">TRIM(PROPER(F576))</f>
        <v>New Delhi</v>
      </c>
      <c r="AB576" s="1" t="str">
        <f aca="false">TRIM(PROPER(C576))</f>
        <v>Simplilearn</v>
      </c>
      <c r="AC576" s="1" t="str">
        <f aca="false">IF(O576=0,"No Discount",IF(O576&lt;=15,"Low (1-15%)",IF(O576&lt;=30,"Medium (16-30%)","High (&gt;30%)")))</f>
        <v>No Discount</v>
      </c>
      <c r="AD576" s="1" t="str">
        <f aca="false">IF(V576&lt;0,"Loss Making",IF(V576&lt;20,"Low Margin","Healthy Margin"))</f>
        <v>Healthy Margin</v>
      </c>
      <c r="AE576" s="1" t="str">
        <f aca="false">TEXT(DATE(VALUE(RIGHT(B576,4)),VALUE(MID(B576,4,2)),VALUE(LEFT(B576,2))),"MMM-YYYY")</f>
        <v>Apr-2024</v>
      </c>
      <c r="AF576" s="1" t="n">
        <f aca="false">VALUE(RIGHT(B576,4))</f>
        <v>2024</v>
      </c>
      <c r="AG576" s="1" t="str">
        <f aca="false">CHOOSE(ROUNDUP(VALUE(MID(B576,4,2))/3,0),"Q1","Q2","Q3","Q4")</f>
        <v>Q2</v>
      </c>
    </row>
    <row r="577" customFormat="false" ht="15" hidden="false" customHeight="true" outlineLevel="0" collapsed="false">
      <c r="A577" s="1" t="s">
        <v>1147</v>
      </c>
      <c r="B577" s="1" t="s">
        <v>1148</v>
      </c>
      <c r="C577" s="1" t="s">
        <v>88</v>
      </c>
      <c r="D577" s="1" t="s">
        <v>44</v>
      </c>
      <c r="E577" s="1" t="s">
        <v>221</v>
      </c>
      <c r="F577" s="1" t="s">
        <v>102</v>
      </c>
      <c r="G577" s="1" t="s">
        <v>103</v>
      </c>
      <c r="H577" s="1" t="s">
        <v>33</v>
      </c>
      <c r="I577" s="1" t="s">
        <v>58</v>
      </c>
      <c r="J577" s="1" t="s">
        <v>35</v>
      </c>
      <c r="K577" s="1" t="s">
        <v>84</v>
      </c>
      <c r="L577" s="1" t="s">
        <v>85</v>
      </c>
      <c r="M577" s="1" t="s">
        <v>38</v>
      </c>
      <c r="N577" s="1" t="n">
        <v>16999</v>
      </c>
      <c r="O577" s="1" t="n">
        <v>50</v>
      </c>
      <c r="P577" s="1" t="n">
        <v>8499.5</v>
      </c>
      <c r="Q577" s="1" t="n">
        <v>8499.5</v>
      </c>
      <c r="R577" s="1" t="n">
        <v>1529.91</v>
      </c>
      <c r="S577" s="1" t="n">
        <v>6969.59</v>
      </c>
      <c r="T577" s="1" t="n">
        <v>4281.88</v>
      </c>
      <c r="U577" s="1" t="n">
        <v>2687.71</v>
      </c>
      <c r="V577" s="1" t="n">
        <v>38.56</v>
      </c>
      <c r="W577" s="1" t="s">
        <v>39</v>
      </c>
      <c r="X577" s="1" t="n">
        <v>3.3</v>
      </c>
      <c r="Y577" s="1" t="s">
        <v>40</v>
      </c>
      <c r="Z577" s="1" t="n">
        <v>0</v>
      </c>
      <c r="AA577" s="1" t="str">
        <f aca="false">TRIM(PROPER(F577))</f>
        <v>Warangal</v>
      </c>
      <c r="AB577" s="1" t="str">
        <f aca="false">TRIM(PROPER(C577))</f>
        <v>Byju'S</v>
      </c>
      <c r="AC577" s="1" t="str">
        <f aca="false">IF(O577=0,"No Discount",IF(O577&lt;=15,"Low (1-15%)",IF(O577&lt;=30,"Medium (16-30%)","High (&gt;30%)")))</f>
        <v>High (&gt;30%)</v>
      </c>
      <c r="AD577" s="1" t="str">
        <f aca="false">IF(V577&lt;0,"Loss Making",IF(V577&lt;20,"Low Margin","Healthy Margin"))</f>
        <v>Healthy Margin</v>
      </c>
      <c r="AE577" s="1" t="str">
        <f aca="false">TEXT(DATE(VALUE(RIGHT(B577,4)),VALUE(MID(B577,4,2)),VALUE(LEFT(B577,2))),"MMM-YYYY")</f>
        <v>Oct-2024</v>
      </c>
      <c r="AF577" s="1" t="n">
        <f aca="false">VALUE(RIGHT(B577,4))</f>
        <v>2024</v>
      </c>
      <c r="AG577" s="1" t="str">
        <f aca="false">CHOOSE(ROUNDUP(VALUE(MID(B577,4,2))/3,0),"Q1","Q2","Q3","Q4")</f>
        <v>Q4</v>
      </c>
    </row>
    <row r="578" customFormat="false" ht="15" hidden="false" customHeight="true" outlineLevel="0" collapsed="false">
      <c r="A578" s="1" t="s">
        <v>1149</v>
      </c>
      <c r="B578" s="1" t="s">
        <v>1150</v>
      </c>
      <c r="C578" s="1" t="s">
        <v>28</v>
      </c>
      <c r="D578" s="1" t="s">
        <v>143</v>
      </c>
      <c r="E578" s="1" t="s">
        <v>162</v>
      </c>
      <c r="F578" s="1" t="s">
        <v>194</v>
      </c>
      <c r="G578" s="1" t="s">
        <v>103</v>
      </c>
      <c r="H578" s="1" t="s">
        <v>69</v>
      </c>
      <c r="I578" s="1" t="s">
        <v>34</v>
      </c>
      <c r="J578" s="1" t="s">
        <v>77</v>
      </c>
      <c r="K578" s="1" t="s">
        <v>60</v>
      </c>
      <c r="L578" s="1" t="s">
        <v>61</v>
      </c>
      <c r="M578" s="1" t="s">
        <v>38</v>
      </c>
      <c r="N578" s="1" t="n">
        <v>14999</v>
      </c>
      <c r="O578" s="1" t="n">
        <v>20</v>
      </c>
      <c r="P578" s="1" t="n">
        <v>2999.8</v>
      </c>
      <c r="Q578" s="1" t="n">
        <v>11999.2</v>
      </c>
      <c r="R578" s="1" t="n">
        <v>2159.86</v>
      </c>
      <c r="S578" s="1" t="n">
        <v>9839.34</v>
      </c>
      <c r="T578" s="1" t="n">
        <v>3570.58</v>
      </c>
      <c r="U578" s="1" t="n">
        <v>6268.76</v>
      </c>
      <c r="V578" s="1" t="n">
        <v>63.71</v>
      </c>
      <c r="W578" s="1" t="s">
        <v>39</v>
      </c>
      <c r="X578" s="1" t="n">
        <v>3</v>
      </c>
      <c r="Y578" s="1" t="s">
        <v>40</v>
      </c>
      <c r="Z578" s="1" t="n">
        <v>0</v>
      </c>
      <c r="AA578" s="1" t="str">
        <f aca="false">TRIM(PROPER(F578))</f>
        <v>Hyderabad</v>
      </c>
      <c r="AB578" s="1" t="str">
        <f aca="false">TRIM(PROPER(C578))</f>
        <v>Embibe</v>
      </c>
      <c r="AC578" s="1" t="str">
        <f aca="false">IF(O578=0,"No Discount",IF(O578&lt;=15,"Low (1-15%)",IF(O578&lt;=30,"Medium (16-30%)","High (&gt;30%)")))</f>
        <v>Medium (16-30%)</v>
      </c>
      <c r="AD578" s="1" t="str">
        <f aca="false">IF(V578&lt;0,"Loss Making",IF(V578&lt;20,"Low Margin","Healthy Margin"))</f>
        <v>Healthy Margin</v>
      </c>
      <c r="AE578" s="1" t="str">
        <f aca="false">TEXT(DATE(VALUE(RIGHT(B578,4)),VALUE(MID(B578,4,2)),VALUE(LEFT(B578,2))),"MMM-YYYY")</f>
        <v>Feb-2024</v>
      </c>
      <c r="AF578" s="1" t="n">
        <f aca="false">VALUE(RIGHT(B578,4))</f>
        <v>2024</v>
      </c>
      <c r="AG578" s="1" t="str">
        <f aca="false">CHOOSE(ROUNDUP(VALUE(MID(B578,4,2))/3,0),"Q1","Q2","Q3","Q4")</f>
        <v>Q1</v>
      </c>
    </row>
    <row r="579" customFormat="false" ht="15" hidden="false" customHeight="true" outlineLevel="0" collapsed="false">
      <c r="A579" s="1" t="s">
        <v>1151</v>
      </c>
      <c r="B579" s="1" t="s">
        <v>1152</v>
      </c>
      <c r="C579" s="1" t="s">
        <v>93</v>
      </c>
      <c r="D579" s="1" t="s">
        <v>29</v>
      </c>
      <c r="E579" s="1" t="s">
        <v>182</v>
      </c>
      <c r="F579" s="1" t="s">
        <v>55</v>
      </c>
      <c r="G579" s="1" t="s">
        <v>56</v>
      </c>
      <c r="H579" s="1" t="s">
        <v>57</v>
      </c>
      <c r="I579" s="1" t="s">
        <v>34</v>
      </c>
      <c r="J579" s="1" t="s">
        <v>131</v>
      </c>
      <c r="K579" s="1" t="s">
        <v>60</v>
      </c>
      <c r="L579" s="1" t="s">
        <v>61</v>
      </c>
      <c r="M579" s="1" t="s">
        <v>38</v>
      </c>
      <c r="N579" s="1" t="n">
        <v>34999</v>
      </c>
      <c r="O579" s="1" t="n">
        <v>20</v>
      </c>
      <c r="P579" s="1" t="n">
        <v>6999.8</v>
      </c>
      <c r="Q579" s="1" t="n">
        <v>27999.2</v>
      </c>
      <c r="R579" s="1" t="n">
        <v>5039.86</v>
      </c>
      <c r="S579" s="1" t="n">
        <v>22959.34</v>
      </c>
      <c r="T579" s="1" t="n">
        <v>9807.47</v>
      </c>
      <c r="U579" s="1" t="n">
        <v>13151.87</v>
      </c>
      <c r="V579" s="1" t="n">
        <v>57.28</v>
      </c>
      <c r="W579" s="1" t="s">
        <v>39</v>
      </c>
      <c r="X579" s="1" t="n">
        <v>4.8</v>
      </c>
      <c r="Y579" s="1" t="s">
        <v>40</v>
      </c>
      <c r="Z579" s="1" t="n">
        <v>0</v>
      </c>
      <c r="AA579" s="1" t="str">
        <f aca="false">TRIM(PROPER(F579))</f>
        <v>Ghaziabad</v>
      </c>
      <c r="AB579" s="1" t="str">
        <f aca="false">TRIM(PROPER(C579))</f>
        <v>Upgrad</v>
      </c>
      <c r="AC579" s="1" t="str">
        <f aca="false">IF(O579=0,"No Discount",IF(O579&lt;=15,"Low (1-15%)",IF(O579&lt;=30,"Medium (16-30%)","High (&gt;30%)")))</f>
        <v>Medium (16-30%)</v>
      </c>
      <c r="AD579" s="1" t="str">
        <f aca="false">IF(V579&lt;0,"Loss Making",IF(V579&lt;20,"Low Margin","Healthy Margin"))</f>
        <v>Healthy Margin</v>
      </c>
      <c r="AE579" s="1" t="str">
        <f aca="false">TEXT(DATE(VALUE(RIGHT(B579,4)),VALUE(MID(B579,4,2)),VALUE(LEFT(B579,2))),"MMM-YYYY")</f>
        <v>Aug-2024</v>
      </c>
      <c r="AF579" s="1" t="n">
        <f aca="false">VALUE(RIGHT(B579,4))</f>
        <v>2024</v>
      </c>
      <c r="AG579" s="1" t="str">
        <f aca="false">CHOOSE(ROUNDUP(VALUE(MID(B579,4,2))/3,0),"Q1","Q2","Q3","Q4")</f>
        <v>Q3</v>
      </c>
    </row>
    <row r="580" customFormat="false" ht="15" hidden="false" customHeight="true" outlineLevel="0" collapsed="false">
      <c r="A580" s="1" t="s">
        <v>1153</v>
      </c>
      <c r="B580" s="1" t="s">
        <v>1154</v>
      </c>
      <c r="C580" s="1" t="s">
        <v>93</v>
      </c>
      <c r="D580" s="1" t="s">
        <v>168</v>
      </c>
      <c r="E580" s="1" t="s">
        <v>328</v>
      </c>
      <c r="F580" s="1" t="s">
        <v>211</v>
      </c>
      <c r="G580" s="1" t="s">
        <v>56</v>
      </c>
      <c r="H580" s="1" t="s">
        <v>69</v>
      </c>
      <c r="I580" s="1" t="s">
        <v>34</v>
      </c>
      <c r="J580" s="1" t="s">
        <v>70</v>
      </c>
      <c r="K580" s="1" t="s">
        <v>60</v>
      </c>
      <c r="L580" s="1" t="s">
        <v>113</v>
      </c>
      <c r="M580" s="1" t="s">
        <v>38</v>
      </c>
      <c r="N580" s="1" t="n">
        <v>8999</v>
      </c>
      <c r="O580" s="1" t="n">
        <v>50</v>
      </c>
      <c r="P580" s="1" t="n">
        <v>4499.5</v>
      </c>
      <c r="Q580" s="1" t="n">
        <v>4499.5</v>
      </c>
      <c r="R580" s="1" t="n">
        <v>809.91</v>
      </c>
      <c r="S580" s="1" t="n">
        <v>3689.59</v>
      </c>
      <c r="T580" s="1" t="n">
        <v>1853.2</v>
      </c>
      <c r="U580" s="1" t="n">
        <v>1836.39</v>
      </c>
      <c r="V580" s="1" t="n">
        <v>49.77</v>
      </c>
      <c r="W580" s="1" t="s">
        <v>40</v>
      </c>
      <c r="Y580" s="1" t="s">
        <v>40</v>
      </c>
      <c r="Z580" s="1" t="n">
        <v>1</v>
      </c>
      <c r="AA580" s="1" t="str">
        <f aca="false">TRIM(PROPER(F580))</f>
        <v>Noida</v>
      </c>
      <c r="AB580" s="1" t="str">
        <f aca="false">TRIM(PROPER(C580))</f>
        <v>Upgrad</v>
      </c>
      <c r="AC580" s="1" t="str">
        <f aca="false">IF(O580=0,"No Discount",IF(O580&lt;=15,"Low (1-15%)",IF(O580&lt;=30,"Medium (16-30%)","High (&gt;30%)")))</f>
        <v>High (&gt;30%)</v>
      </c>
      <c r="AD580" s="1" t="str">
        <f aca="false">IF(V580&lt;0,"Loss Making",IF(V580&lt;20,"Low Margin","Healthy Margin"))</f>
        <v>Healthy Margin</v>
      </c>
      <c r="AE580" s="1" t="str">
        <f aca="false">TEXT(DATE(VALUE(RIGHT(B580,4)),VALUE(MID(B580,4,2)),VALUE(LEFT(B580,2))),"MMM-YYYY")</f>
        <v>Dec-2024</v>
      </c>
      <c r="AF580" s="1" t="n">
        <f aca="false">VALUE(RIGHT(B580,4))</f>
        <v>2024</v>
      </c>
      <c r="AG580" s="1" t="str">
        <f aca="false">CHOOSE(ROUNDUP(VALUE(MID(B580,4,2))/3,0),"Q1","Q2","Q3","Q4")</f>
        <v>Q4</v>
      </c>
    </row>
    <row r="581" customFormat="false" ht="15" hidden="false" customHeight="true" outlineLevel="0" collapsed="false">
      <c r="A581" s="1" t="s">
        <v>1155</v>
      </c>
      <c r="B581" s="1" t="s">
        <v>1156</v>
      </c>
      <c r="C581" s="1" t="s">
        <v>43</v>
      </c>
      <c r="D581" s="1" t="s">
        <v>94</v>
      </c>
      <c r="E581" s="1" t="s">
        <v>101</v>
      </c>
      <c r="F581" s="1" t="s">
        <v>46</v>
      </c>
      <c r="G581" s="1" t="s">
        <v>47</v>
      </c>
      <c r="H581" s="1" t="s">
        <v>33</v>
      </c>
      <c r="I581" s="1" t="s">
        <v>83</v>
      </c>
      <c r="J581" s="1" t="s">
        <v>131</v>
      </c>
      <c r="K581" s="1" t="s">
        <v>48</v>
      </c>
      <c r="L581" s="1" t="s">
        <v>61</v>
      </c>
      <c r="M581" s="1" t="s">
        <v>38</v>
      </c>
      <c r="N581" s="1" t="n">
        <v>14999</v>
      </c>
      <c r="O581" s="1" t="n">
        <v>15</v>
      </c>
      <c r="P581" s="1" t="n">
        <v>2249.85</v>
      </c>
      <c r="Q581" s="1" t="n">
        <v>12749.15</v>
      </c>
      <c r="R581" s="1" t="n">
        <v>2294.85</v>
      </c>
      <c r="S581" s="1" t="n">
        <v>10454.3</v>
      </c>
      <c r="T581" s="1" t="n">
        <v>4339.67</v>
      </c>
      <c r="U581" s="1" t="n">
        <v>6114.63</v>
      </c>
      <c r="V581" s="1" t="n">
        <v>58.49</v>
      </c>
      <c r="W581" s="1" t="s">
        <v>39</v>
      </c>
      <c r="X581" s="1" t="n">
        <v>3.2</v>
      </c>
      <c r="Y581" s="1" t="s">
        <v>40</v>
      </c>
      <c r="Z581" s="1" t="n">
        <v>0</v>
      </c>
      <c r="AA581" s="1" t="str">
        <f aca="false">TRIM(PROPER(F581))</f>
        <v>Mangaluru</v>
      </c>
      <c r="AB581" s="1" t="str">
        <f aca="false">TRIM(PROPER(C581))</f>
        <v>Meritnation</v>
      </c>
      <c r="AC581" s="1" t="str">
        <f aca="false">IF(O581=0,"No Discount",IF(O581&lt;=15,"Low (1-15%)",IF(O581&lt;=30,"Medium (16-30%)","High (&gt;30%)")))</f>
        <v>Low (1-15%)</v>
      </c>
      <c r="AD581" s="1" t="str">
        <f aca="false">IF(V581&lt;0,"Loss Making",IF(V581&lt;20,"Low Margin","Healthy Margin"))</f>
        <v>Healthy Margin</v>
      </c>
      <c r="AE581" s="1" t="str">
        <f aca="false">TEXT(DATE(VALUE(RIGHT(B581,4)),VALUE(MID(B581,4,2)),VALUE(LEFT(B581,2))),"MMM-YYYY")</f>
        <v>Jan-2024</v>
      </c>
      <c r="AF581" s="1" t="n">
        <f aca="false">VALUE(RIGHT(B581,4))</f>
        <v>2024</v>
      </c>
      <c r="AG581" s="1" t="str">
        <f aca="false">CHOOSE(ROUNDUP(VALUE(MID(B581,4,2))/3,0),"Q1","Q2","Q3","Q4")</f>
        <v>Q1</v>
      </c>
    </row>
    <row r="582" customFormat="false" ht="15" hidden="false" customHeight="true" outlineLevel="0" collapsed="false">
      <c r="A582" s="1" t="s">
        <v>1157</v>
      </c>
      <c r="B582" s="1" t="s">
        <v>782</v>
      </c>
      <c r="C582" s="1" t="s">
        <v>249</v>
      </c>
      <c r="D582" s="1" t="s">
        <v>53</v>
      </c>
      <c r="E582" s="1" t="s">
        <v>54</v>
      </c>
      <c r="F582" s="1" t="s">
        <v>150</v>
      </c>
      <c r="G582" s="1" t="s">
        <v>32</v>
      </c>
      <c r="H582" s="1" t="s">
        <v>57</v>
      </c>
      <c r="I582" s="1" t="s">
        <v>34</v>
      </c>
      <c r="J582" s="1" t="s">
        <v>35</v>
      </c>
      <c r="K582" s="1" t="s">
        <v>48</v>
      </c>
      <c r="L582" s="1" t="s">
        <v>85</v>
      </c>
      <c r="M582" s="1" t="s">
        <v>50</v>
      </c>
      <c r="N582" s="1" t="n">
        <v>11999</v>
      </c>
      <c r="O582" s="1" t="n">
        <v>0</v>
      </c>
      <c r="P582" s="1" t="n">
        <v>0</v>
      </c>
      <c r="Q582" s="1" t="n">
        <v>11999</v>
      </c>
      <c r="R582" s="1" t="n">
        <v>2159.82</v>
      </c>
      <c r="S582" s="1" t="n">
        <v>9839.18</v>
      </c>
      <c r="T582" s="1" t="n">
        <v>4375.71</v>
      </c>
      <c r="U582" s="1" t="n">
        <v>5463.47</v>
      </c>
      <c r="V582" s="1" t="n">
        <v>55.53</v>
      </c>
      <c r="W582" s="1" t="s">
        <v>40</v>
      </c>
      <c r="Y582" s="1" t="s">
        <v>40</v>
      </c>
      <c r="Z582" s="1" t="n">
        <v>0</v>
      </c>
      <c r="AA582" s="1" t="str">
        <f aca="false">TRIM(PROPER(F582))</f>
        <v>Jaipur</v>
      </c>
      <c r="AB582" s="1" t="str">
        <f aca="false">TRIM(PROPER(C582))</f>
        <v>Whitehat Jr</v>
      </c>
      <c r="AC582" s="1" t="str">
        <f aca="false">IF(O582=0,"No Discount",IF(O582&lt;=15,"Low (1-15%)",IF(O582&lt;=30,"Medium (16-30%)","High (&gt;30%)")))</f>
        <v>No Discount</v>
      </c>
      <c r="AD582" s="1" t="str">
        <f aca="false">IF(V582&lt;0,"Loss Making",IF(V582&lt;20,"Low Margin","Healthy Margin"))</f>
        <v>Healthy Margin</v>
      </c>
      <c r="AE582" s="1" t="str">
        <f aca="false">TEXT(DATE(VALUE(RIGHT(B582,4)),VALUE(MID(B582,4,2)),VALUE(LEFT(B582,2))),"MMM-YYYY")</f>
        <v>Dec-2024</v>
      </c>
      <c r="AF582" s="1" t="n">
        <f aca="false">VALUE(RIGHT(B582,4))</f>
        <v>2024</v>
      </c>
      <c r="AG582" s="1" t="str">
        <f aca="false">CHOOSE(ROUNDUP(VALUE(MID(B582,4,2))/3,0),"Q1","Q2","Q3","Q4")</f>
        <v>Q4</v>
      </c>
    </row>
    <row r="583" customFormat="false" ht="15" hidden="false" customHeight="true" outlineLevel="0" collapsed="false">
      <c r="A583" s="1" t="s">
        <v>1158</v>
      </c>
      <c r="B583" s="1" t="s">
        <v>1126</v>
      </c>
      <c r="C583" s="1" t="s">
        <v>139</v>
      </c>
      <c r="D583" s="1" t="s">
        <v>168</v>
      </c>
      <c r="E583" s="1" t="s">
        <v>197</v>
      </c>
      <c r="F583" s="1" t="s">
        <v>55</v>
      </c>
      <c r="G583" s="1" t="s">
        <v>56</v>
      </c>
      <c r="H583" s="1" t="s">
        <v>57</v>
      </c>
      <c r="I583" s="1" t="s">
        <v>58</v>
      </c>
      <c r="J583" s="1" t="s">
        <v>77</v>
      </c>
      <c r="K583" s="1" t="s">
        <v>84</v>
      </c>
      <c r="L583" s="1" t="s">
        <v>49</v>
      </c>
      <c r="M583" s="1" t="s">
        <v>50</v>
      </c>
      <c r="N583" s="1" t="n">
        <v>8499</v>
      </c>
      <c r="O583" s="1" t="n">
        <v>0</v>
      </c>
      <c r="P583" s="1" t="n">
        <v>0</v>
      </c>
      <c r="Q583" s="1" t="n">
        <v>8499</v>
      </c>
      <c r="R583" s="1" t="n">
        <v>1529.82</v>
      </c>
      <c r="S583" s="1" t="n">
        <v>6969.18</v>
      </c>
      <c r="T583" s="1" t="n">
        <v>2593.21</v>
      </c>
      <c r="U583" s="1" t="n">
        <v>4375.97</v>
      </c>
      <c r="V583" s="1" t="n">
        <v>62.79</v>
      </c>
      <c r="W583" s="1" t="s">
        <v>39</v>
      </c>
      <c r="Y583" s="1" t="s">
        <v>40</v>
      </c>
      <c r="Z583" s="1" t="n">
        <v>0</v>
      </c>
      <c r="AA583" s="1" t="str">
        <f aca="false">TRIM(PROPER(F583))</f>
        <v>Ghaziabad</v>
      </c>
      <c r="AB583" s="1" t="str">
        <f aca="false">TRIM(PROPER(C583))</f>
        <v>Extramarks</v>
      </c>
      <c r="AC583" s="1" t="str">
        <f aca="false">IF(O583=0,"No Discount",IF(O583&lt;=15,"Low (1-15%)",IF(O583&lt;=30,"Medium (16-30%)","High (&gt;30%)")))</f>
        <v>No Discount</v>
      </c>
      <c r="AD583" s="1" t="str">
        <f aca="false">IF(V583&lt;0,"Loss Making",IF(V583&lt;20,"Low Margin","Healthy Margin"))</f>
        <v>Healthy Margin</v>
      </c>
      <c r="AE583" s="1" t="str">
        <f aca="false">TEXT(DATE(VALUE(RIGHT(B583,4)),VALUE(MID(B583,4,2)),VALUE(LEFT(B583,2))),"MMM-YYYY")</f>
        <v>Jan-2024</v>
      </c>
      <c r="AF583" s="1" t="n">
        <f aca="false">VALUE(RIGHT(B583,4))</f>
        <v>2024</v>
      </c>
      <c r="AG583" s="1" t="str">
        <f aca="false">CHOOSE(ROUNDUP(VALUE(MID(B583,4,2))/3,0),"Q1","Q2","Q3","Q4")</f>
        <v>Q1</v>
      </c>
    </row>
    <row r="584" customFormat="false" ht="15" hidden="false" customHeight="true" outlineLevel="0" collapsed="false">
      <c r="A584" s="1" t="s">
        <v>1159</v>
      </c>
      <c r="B584" s="1" t="s">
        <v>1160</v>
      </c>
      <c r="C584" s="1" t="s">
        <v>178</v>
      </c>
      <c r="D584" s="1" t="s">
        <v>94</v>
      </c>
      <c r="E584" s="1" t="s">
        <v>101</v>
      </c>
      <c r="F584" s="1" t="s">
        <v>244</v>
      </c>
      <c r="G584" s="1" t="s">
        <v>97</v>
      </c>
      <c r="H584" s="1" t="s">
        <v>57</v>
      </c>
      <c r="I584" s="1" t="s">
        <v>58</v>
      </c>
      <c r="J584" s="1" t="s">
        <v>70</v>
      </c>
      <c r="K584" s="1" t="s">
        <v>104</v>
      </c>
      <c r="L584" s="1" t="s">
        <v>136</v>
      </c>
      <c r="M584" s="1" t="s">
        <v>38</v>
      </c>
      <c r="N584" s="1" t="n">
        <v>14999</v>
      </c>
      <c r="O584" s="1" t="n">
        <v>15</v>
      </c>
      <c r="P584" s="1" t="n">
        <v>2249.85</v>
      </c>
      <c r="Q584" s="1" t="n">
        <v>12749.15</v>
      </c>
      <c r="R584" s="1" t="n">
        <v>2294.85</v>
      </c>
      <c r="S584" s="1" t="n">
        <v>10454.3</v>
      </c>
      <c r="T584" s="1" t="n">
        <v>5254.62</v>
      </c>
      <c r="U584" s="1" t="n">
        <v>5199.68</v>
      </c>
      <c r="V584" s="1" t="n">
        <v>49.74</v>
      </c>
      <c r="W584" s="1" t="s">
        <v>39</v>
      </c>
      <c r="X584" s="1" t="n">
        <v>3.8</v>
      </c>
      <c r="Y584" s="1" t="s">
        <v>40</v>
      </c>
      <c r="Z584" s="1" t="n">
        <v>2</v>
      </c>
      <c r="AA584" s="1" t="str">
        <f aca="false">TRIM(PROPER(F584))</f>
        <v>Nagpur</v>
      </c>
      <c r="AB584" s="1" t="str">
        <f aca="false">TRIM(PROPER(C584))</f>
        <v>Leverage Edu</v>
      </c>
      <c r="AC584" s="1" t="str">
        <f aca="false">IF(O584=0,"No Discount",IF(O584&lt;=15,"Low (1-15%)",IF(O584&lt;=30,"Medium (16-30%)","High (&gt;30%)")))</f>
        <v>Low (1-15%)</v>
      </c>
      <c r="AD584" s="1" t="str">
        <f aca="false">IF(V584&lt;0,"Loss Making",IF(V584&lt;20,"Low Margin","Healthy Margin"))</f>
        <v>Healthy Margin</v>
      </c>
      <c r="AE584" s="1" t="str">
        <f aca="false">TEXT(DATE(VALUE(RIGHT(B584,4)),VALUE(MID(B584,4,2)),VALUE(LEFT(B584,2))),"MMM-YYYY")</f>
        <v>Jan-2023</v>
      </c>
      <c r="AF584" s="1" t="n">
        <f aca="false">VALUE(RIGHT(B584,4))</f>
        <v>2023</v>
      </c>
      <c r="AG584" s="1" t="str">
        <f aca="false">CHOOSE(ROUNDUP(VALUE(MID(B584,4,2))/3,0),"Q1","Q2","Q3","Q4")</f>
        <v>Q1</v>
      </c>
    </row>
    <row r="585" customFormat="false" ht="15" hidden="false" customHeight="true" outlineLevel="0" collapsed="false">
      <c r="A585" s="1" t="s">
        <v>1161</v>
      </c>
      <c r="B585" s="1" t="s">
        <v>598</v>
      </c>
      <c r="C585" s="1" t="s">
        <v>167</v>
      </c>
      <c r="D585" s="1" t="s">
        <v>44</v>
      </c>
      <c r="E585" s="1" t="s">
        <v>221</v>
      </c>
      <c r="F585" s="1" t="s">
        <v>140</v>
      </c>
      <c r="G585" s="1" t="s">
        <v>97</v>
      </c>
      <c r="H585" s="1" t="s">
        <v>57</v>
      </c>
      <c r="I585" s="1" t="s">
        <v>83</v>
      </c>
      <c r="J585" s="1" t="s">
        <v>131</v>
      </c>
      <c r="K585" s="1" t="s">
        <v>90</v>
      </c>
      <c r="L585" s="1" t="s">
        <v>49</v>
      </c>
      <c r="M585" s="1" t="s">
        <v>38</v>
      </c>
      <c r="N585" s="1" t="n">
        <v>16999</v>
      </c>
      <c r="O585" s="1" t="n">
        <v>10</v>
      </c>
      <c r="P585" s="1" t="n">
        <v>1699.9</v>
      </c>
      <c r="Q585" s="1" t="n">
        <v>15299.1</v>
      </c>
      <c r="R585" s="1" t="n">
        <v>2753.84</v>
      </c>
      <c r="S585" s="1" t="n">
        <v>12545.26</v>
      </c>
      <c r="T585" s="1" t="n">
        <v>6359.05</v>
      </c>
      <c r="U585" s="1" t="n">
        <v>6186.21</v>
      </c>
      <c r="V585" s="1" t="n">
        <v>49.31</v>
      </c>
      <c r="W585" s="1" t="s">
        <v>40</v>
      </c>
      <c r="Y585" s="1" t="s">
        <v>39</v>
      </c>
      <c r="Z585" s="1" t="n">
        <v>1</v>
      </c>
      <c r="AA585" s="1" t="str">
        <f aca="false">TRIM(PROPER(F585))</f>
        <v>Nashik</v>
      </c>
      <c r="AB585" s="1" t="str">
        <f aca="false">TRIM(PROPER(C585))</f>
        <v>Scaler</v>
      </c>
      <c r="AC585" s="1" t="str">
        <f aca="false">IF(O585=0,"No Discount",IF(O585&lt;=15,"Low (1-15%)",IF(O585&lt;=30,"Medium (16-30%)","High (&gt;30%)")))</f>
        <v>Low (1-15%)</v>
      </c>
      <c r="AD585" s="1" t="str">
        <f aca="false">IF(V585&lt;0,"Loss Making",IF(V585&lt;20,"Low Margin","Healthy Margin"))</f>
        <v>Healthy Margin</v>
      </c>
      <c r="AE585" s="1" t="str">
        <f aca="false">TEXT(DATE(VALUE(RIGHT(B585,4)),VALUE(MID(B585,4,2)),VALUE(LEFT(B585,2))),"MMM-YYYY")</f>
        <v>Feb-2024</v>
      </c>
      <c r="AF585" s="1" t="n">
        <f aca="false">VALUE(RIGHT(B585,4))</f>
        <v>2024</v>
      </c>
      <c r="AG585" s="1" t="str">
        <f aca="false">CHOOSE(ROUNDUP(VALUE(MID(B585,4,2))/3,0),"Q1","Q2","Q3","Q4")</f>
        <v>Q1</v>
      </c>
    </row>
    <row r="586" customFormat="false" ht="15" hidden="false" customHeight="true" outlineLevel="0" collapsed="false">
      <c r="A586" s="1" t="s">
        <v>1162</v>
      </c>
      <c r="B586" s="1" t="s">
        <v>1163</v>
      </c>
      <c r="C586" s="1" t="s">
        <v>43</v>
      </c>
      <c r="D586" s="1" t="s">
        <v>44</v>
      </c>
      <c r="E586" s="1" t="s">
        <v>221</v>
      </c>
      <c r="F586" s="1" t="s">
        <v>120</v>
      </c>
      <c r="G586" s="1" t="s">
        <v>47</v>
      </c>
      <c r="H586" s="1" t="s">
        <v>57</v>
      </c>
      <c r="I586" s="1" t="s">
        <v>34</v>
      </c>
      <c r="J586" s="1" t="s">
        <v>35</v>
      </c>
      <c r="K586" s="1" t="s">
        <v>90</v>
      </c>
      <c r="L586" s="1" t="s">
        <v>136</v>
      </c>
      <c r="M586" s="1" t="s">
        <v>50</v>
      </c>
      <c r="N586" s="1" t="n">
        <v>16999</v>
      </c>
      <c r="O586" s="1" t="n">
        <v>0</v>
      </c>
      <c r="P586" s="1" t="n">
        <v>0</v>
      </c>
      <c r="Q586" s="1" t="n">
        <v>16999</v>
      </c>
      <c r="R586" s="1" t="n">
        <v>3059.82</v>
      </c>
      <c r="S586" s="1" t="n">
        <v>13939.18</v>
      </c>
      <c r="T586" s="1" t="n">
        <v>5702.28</v>
      </c>
      <c r="U586" s="1" t="n">
        <v>8236.9</v>
      </c>
      <c r="V586" s="1" t="n">
        <v>59.09</v>
      </c>
      <c r="W586" s="1" t="s">
        <v>39</v>
      </c>
      <c r="X586" s="1" t="n">
        <v>4.4</v>
      </c>
      <c r="Y586" s="1" t="s">
        <v>40</v>
      </c>
      <c r="Z586" s="1" t="n">
        <v>0</v>
      </c>
      <c r="AA586" s="1" t="str">
        <f aca="false">TRIM(PROPER(F586))</f>
        <v>Mysuru</v>
      </c>
      <c r="AB586" s="1" t="str">
        <f aca="false">TRIM(PROPER(C586))</f>
        <v>Meritnation</v>
      </c>
      <c r="AC586" s="1" t="str">
        <f aca="false">IF(O586=0,"No Discount",IF(O586&lt;=15,"Low (1-15%)",IF(O586&lt;=30,"Medium (16-30%)","High (&gt;30%)")))</f>
        <v>No Discount</v>
      </c>
      <c r="AD586" s="1" t="str">
        <f aca="false">IF(V586&lt;0,"Loss Making",IF(V586&lt;20,"Low Margin","Healthy Margin"))</f>
        <v>Healthy Margin</v>
      </c>
      <c r="AE586" s="1" t="str">
        <f aca="false">TEXT(DATE(VALUE(RIGHT(B586,4)),VALUE(MID(B586,4,2)),VALUE(LEFT(B586,2))),"MMM-YYYY")</f>
        <v>May-2024</v>
      </c>
      <c r="AF586" s="1" t="n">
        <f aca="false">VALUE(RIGHT(B586,4))</f>
        <v>2024</v>
      </c>
      <c r="AG586" s="1" t="str">
        <f aca="false">CHOOSE(ROUNDUP(VALUE(MID(B586,4,2))/3,0),"Q1","Q2","Q3","Q4")</f>
        <v>Q2</v>
      </c>
    </row>
    <row r="587" customFormat="false" ht="15" hidden="false" customHeight="true" outlineLevel="0" collapsed="false">
      <c r="A587" s="1" t="s">
        <v>1164</v>
      </c>
      <c r="B587" s="1" t="s">
        <v>707</v>
      </c>
      <c r="C587" s="1" t="s">
        <v>249</v>
      </c>
      <c r="D587" s="1" t="s">
        <v>168</v>
      </c>
      <c r="E587" s="1" t="s">
        <v>328</v>
      </c>
      <c r="F587" s="1" t="s">
        <v>194</v>
      </c>
      <c r="G587" s="1" t="s">
        <v>103</v>
      </c>
      <c r="H587" s="1" t="s">
        <v>69</v>
      </c>
      <c r="I587" s="1" t="s">
        <v>58</v>
      </c>
      <c r="J587" s="1" t="s">
        <v>59</v>
      </c>
      <c r="K587" s="1" t="s">
        <v>48</v>
      </c>
      <c r="L587" s="1" t="s">
        <v>61</v>
      </c>
      <c r="M587" s="1" t="s">
        <v>50</v>
      </c>
      <c r="N587" s="1" t="n">
        <v>8999</v>
      </c>
      <c r="O587" s="1" t="n">
        <v>20</v>
      </c>
      <c r="P587" s="1" t="n">
        <v>1799.8</v>
      </c>
      <c r="Q587" s="1" t="n">
        <v>7199.2</v>
      </c>
      <c r="R587" s="1" t="n">
        <v>1295.86</v>
      </c>
      <c r="S587" s="1" t="n">
        <v>5903.34</v>
      </c>
      <c r="T587" s="1" t="n">
        <v>2783.4</v>
      </c>
      <c r="U587" s="1" t="n">
        <v>3119.94</v>
      </c>
      <c r="V587" s="1" t="n">
        <v>52.85</v>
      </c>
      <c r="W587" s="1" t="s">
        <v>39</v>
      </c>
      <c r="X587" s="1" t="n">
        <v>3.7</v>
      </c>
      <c r="Y587" s="1" t="s">
        <v>40</v>
      </c>
      <c r="Z587" s="1" t="n">
        <v>0</v>
      </c>
      <c r="AA587" s="1" t="str">
        <f aca="false">TRIM(PROPER(F587))</f>
        <v>Hyderabad</v>
      </c>
      <c r="AB587" s="1" t="str">
        <f aca="false">TRIM(PROPER(C587))</f>
        <v>Whitehat Jr</v>
      </c>
      <c r="AC587" s="1" t="str">
        <f aca="false">IF(O587=0,"No Discount",IF(O587&lt;=15,"Low (1-15%)",IF(O587&lt;=30,"Medium (16-30%)","High (&gt;30%)")))</f>
        <v>Medium (16-30%)</v>
      </c>
      <c r="AD587" s="1" t="str">
        <f aca="false">IF(V587&lt;0,"Loss Making",IF(V587&lt;20,"Low Margin","Healthy Margin"))</f>
        <v>Healthy Margin</v>
      </c>
      <c r="AE587" s="1" t="str">
        <f aca="false">TEXT(DATE(VALUE(RIGHT(B587,4)),VALUE(MID(B587,4,2)),VALUE(LEFT(B587,2))),"MMM-YYYY")</f>
        <v>Dec-2023</v>
      </c>
      <c r="AF587" s="1" t="n">
        <f aca="false">VALUE(RIGHT(B587,4))</f>
        <v>2023</v>
      </c>
      <c r="AG587" s="1" t="str">
        <f aca="false">CHOOSE(ROUNDUP(VALUE(MID(B587,4,2))/3,0),"Q1","Q2","Q3","Q4")</f>
        <v>Q4</v>
      </c>
    </row>
    <row r="588" customFormat="false" ht="15" hidden="false" customHeight="true" outlineLevel="0" collapsed="false">
      <c r="A588" s="1" t="s">
        <v>1165</v>
      </c>
      <c r="B588" s="1" t="s">
        <v>1166</v>
      </c>
      <c r="C588" s="1" t="s">
        <v>167</v>
      </c>
      <c r="D588" s="1" t="s">
        <v>80</v>
      </c>
      <c r="E588" s="1" t="s">
        <v>193</v>
      </c>
      <c r="F588" s="1" t="s">
        <v>205</v>
      </c>
      <c r="G588" s="1" t="s">
        <v>56</v>
      </c>
      <c r="H588" s="1" t="s">
        <v>69</v>
      </c>
      <c r="I588" s="1" t="s">
        <v>58</v>
      </c>
      <c r="J588" s="1" t="s">
        <v>70</v>
      </c>
      <c r="K588" s="1" t="s">
        <v>36</v>
      </c>
      <c r="L588" s="1" t="s">
        <v>136</v>
      </c>
      <c r="M588" s="1" t="s">
        <v>38</v>
      </c>
      <c r="N588" s="1" t="n">
        <v>8999</v>
      </c>
      <c r="O588" s="1" t="n">
        <v>40</v>
      </c>
      <c r="P588" s="1" t="n">
        <v>3599.6</v>
      </c>
      <c r="Q588" s="1" t="n">
        <v>5399.4</v>
      </c>
      <c r="R588" s="1" t="n">
        <v>971.89</v>
      </c>
      <c r="S588" s="1" t="n">
        <v>4427.51</v>
      </c>
      <c r="T588" s="1" t="n">
        <v>1768.13</v>
      </c>
      <c r="U588" s="1" t="n">
        <v>2659.38</v>
      </c>
      <c r="V588" s="1" t="n">
        <v>60.06</v>
      </c>
      <c r="W588" s="1" t="s">
        <v>39</v>
      </c>
      <c r="X588" s="1" t="n">
        <v>3.5</v>
      </c>
      <c r="Y588" s="1" t="s">
        <v>40</v>
      </c>
      <c r="Z588" s="1" t="n">
        <v>0</v>
      </c>
      <c r="AA588" s="1" t="str">
        <f aca="false">TRIM(PROPER(F588))</f>
        <v>New Delhi</v>
      </c>
      <c r="AB588" s="1" t="str">
        <f aca="false">TRIM(PROPER(C588))</f>
        <v>Scaler</v>
      </c>
      <c r="AC588" s="1" t="str">
        <f aca="false">IF(O588=0,"No Discount",IF(O588&lt;=15,"Low (1-15%)",IF(O588&lt;=30,"Medium (16-30%)","High (&gt;30%)")))</f>
        <v>High (&gt;30%)</v>
      </c>
      <c r="AD588" s="1" t="str">
        <f aca="false">IF(V588&lt;0,"Loss Making",IF(V588&lt;20,"Low Margin","Healthy Margin"))</f>
        <v>Healthy Margin</v>
      </c>
      <c r="AE588" s="1" t="str">
        <f aca="false">TEXT(DATE(VALUE(RIGHT(B588,4)),VALUE(MID(B588,4,2)),VALUE(LEFT(B588,2))),"MMM-YYYY")</f>
        <v>Sep-2023</v>
      </c>
      <c r="AF588" s="1" t="n">
        <f aca="false">VALUE(RIGHT(B588,4))</f>
        <v>2023</v>
      </c>
      <c r="AG588" s="1" t="str">
        <f aca="false">CHOOSE(ROUNDUP(VALUE(MID(B588,4,2))/3,0),"Q1","Q2","Q3","Q4")</f>
        <v>Q3</v>
      </c>
    </row>
    <row r="589" customFormat="false" ht="15" hidden="false" customHeight="true" outlineLevel="0" collapsed="false">
      <c r="A589" s="1" t="s">
        <v>1167</v>
      </c>
      <c r="B589" s="1" t="s">
        <v>1168</v>
      </c>
      <c r="C589" s="1" t="s">
        <v>264</v>
      </c>
      <c r="D589" s="1" t="s">
        <v>29</v>
      </c>
      <c r="E589" s="1" t="s">
        <v>129</v>
      </c>
      <c r="F589" s="1" t="s">
        <v>96</v>
      </c>
      <c r="G589" s="1" t="s">
        <v>97</v>
      </c>
      <c r="H589" s="1" t="s">
        <v>69</v>
      </c>
      <c r="I589" s="1" t="s">
        <v>83</v>
      </c>
      <c r="J589" s="1" t="s">
        <v>77</v>
      </c>
      <c r="K589" s="1" t="s">
        <v>112</v>
      </c>
      <c r="L589" s="1" t="s">
        <v>61</v>
      </c>
      <c r="M589" s="1" t="s">
        <v>50</v>
      </c>
      <c r="N589" s="1" t="n">
        <v>29999</v>
      </c>
      <c r="O589" s="1" t="n">
        <v>5</v>
      </c>
      <c r="P589" s="1" t="n">
        <v>1499.95</v>
      </c>
      <c r="Q589" s="1" t="n">
        <v>28499.05</v>
      </c>
      <c r="R589" s="1" t="n">
        <v>5129.83</v>
      </c>
      <c r="S589" s="1" t="n">
        <v>23369.22</v>
      </c>
      <c r="T589" s="1" t="n">
        <v>6219.58</v>
      </c>
      <c r="U589" s="1" t="n">
        <v>17149.64</v>
      </c>
      <c r="V589" s="1" t="n">
        <v>73.39</v>
      </c>
      <c r="W589" s="1" t="s">
        <v>40</v>
      </c>
      <c r="Y589" s="1" t="s">
        <v>39</v>
      </c>
      <c r="Z589" s="1" t="n">
        <v>0</v>
      </c>
      <c r="AA589" s="1" t="str">
        <f aca="false">TRIM(PROPER(F589))</f>
        <v>Pune</v>
      </c>
      <c r="AB589" s="1" t="str">
        <f aca="false">TRIM(PROPER(C589))</f>
        <v>Unacademy</v>
      </c>
      <c r="AC589" s="1" t="str">
        <f aca="false">IF(O589=0,"No Discount",IF(O589&lt;=15,"Low (1-15%)",IF(O589&lt;=30,"Medium (16-30%)","High (&gt;30%)")))</f>
        <v>Low (1-15%)</v>
      </c>
      <c r="AD589" s="1" t="str">
        <f aca="false">IF(V589&lt;0,"Loss Making",IF(V589&lt;20,"Low Margin","Healthy Margin"))</f>
        <v>Healthy Margin</v>
      </c>
      <c r="AE589" s="1" t="str">
        <f aca="false">TEXT(DATE(VALUE(RIGHT(B589,4)),VALUE(MID(B589,4,2)),VALUE(LEFT(B589,2))),"MMM-YYYY")</f>
        <v>Oct-2024</v>
      </c>
      <c r="AF589" s="1" t="n">
        <f aca="false">VALUE(RIGHT(B589,4))</f>
        <v>2024</v>
      </c>
      <c r="AG589" s="1" t="str">
        <f aca="false">CHOOSE(ROUNDUP(VALUE(MID(B589,4,2))/3,0),"Q1","Q2","Q3","Q4")</f>
        <v>Q4</v>
      </c>
    </row>
    <row r="590" customFormat="false" ht="15" hidden="false" customHeight="true" outlineLevel="0" collapsed="false">
      <c r="A590" s="1" t="s">
        <v>1169</v>
      </c>
      <c r="B590" s="1" t="s">
        <v>1170</v>
      </c>
      <c r="C590" s="1" t="s">
        <v>264</v>
      </c>
      <c r="D590" s="1" t="s">
        <v>80</v>
      </c>
      <c r="E590" s="1" t="s">
        <v>190</v>
      </c>
      <c r="F590" s="1" t="s">
        <v>82</v>
      </c>
      <c r="G590" s="1" t="s">
        <v>56</v>
      </c>
      <c r="H590" s="1" t="s">
        <v>69</v>
      </c>
      <c r="I590" s="1" t="s">
        <v>83</v>
      </c>
      <c r="J590" s="1" t="s">
        <v>59</v>
      </c>
      <c r="K590" s="1" t="s">
        <v>71</v>
      </c>
      <c r="L590" s="1" t="s">
        <v>85</v>
      </c>
      <c r="M590" s="1" t="s">
        <v>62</v>
      </c>
      <c r="N590" s="1" t="n">
        <v>15999</v>
      </c>
      <c r="O590" s="1" t="n">
        <v>10</v>
      </c>
      <c r="P590" s="1" t="n">
        <v>1599.9</v>
      </c>
      <c r="Q590" s="1" t="n">
        <v>14399.1</v>
      </c>
      <c r="R590" s="1" t="n">
        <v>2591.84</v>
      </c>
      <c r="S590" s="1" t="n">
        <v>11807.26</v>
      </c>
      <c r="T590" s="1" t="n">
        <v>5279.49</v>
      </c>
      <c r="U590" s="1" t="n">
        <v>6527.77</v>
      </c>
      <c r="V590" s="1" t="n">
        <v>55.29</v>
      </c>
      <c r="W590" s="1" t="s">
        <v>39</v>
      </c>
      <c r="X590" s="1" t="n">
        <v>4.5</v>
      </c>
      <c r="Y590" s="1" t="s">
        <v>40</v>
      </c>
      <c r="Z590" s="1" t="n">
        <v>0</v>
      </c>
      <c r="AA590" s="1" t="str">
        <f aca="false">TRIM(PROPER(F590))</f>
        <v>Gurugram</v>
      </c>
      <c r="AB590" s="1" t="str">
        <f aca="false">TRIM(PROPER(C590))</f>
        <v>Unacademy</v>
      </c>
      <c r="AC590" s="1" t="str">
        <f aca="false">IF(O590=0,"No Discount",IF(O590&lt;=15,"Low (1-15%)",IF(O590&lt;=30,"Medium (16-30%)","High (&gt;30%)")))</f>
        <v>Low (1-15%)</v>
      </c>
      <c r="AD590" s="1" t="str">
        <f aca="false">IF(V590&lt;0,"Loss Making",IF(V590&lt;20,"Low Margin","Healthy Margin"))</f>
        <v>Healthy Margin</v>
      </c>
      <c r="AE590" s="1" t="str">
        <f aca="false">TEXT(DATE(VALUE(RIGHT(B590,4)),VALUE(MID(B590,4,2)),VALUE(LEFT(B590,2))),"MMM-YYYY")</f>
        <v>Apr-2024</v>
      </c>
      <c r="AF590" s="1" t="n">
        <f aca="false">VALUE(RIGHT(B590,4))</f>
        <v>2024</v>
      </c>
      <c r="AG590" s="1" t="str">
        <f aca="false">CHOOSE(ROUNDUP(VALUE(MID(B590,4,2))/3,0),"Q1","Q2","Q3","Q4")</f>
        <v>Q2</v>
      </c>
    </row>
    <row r="591" customFormat="false" ht="15" hidden="false" customHeight="true" outlineLevel="0" collapsed="false">
      <c r="A591" s="1" t="s">
        <v>1171</v>
      </c>
      <c r="B591" s="1" t="s">
        <v>296</v>
      </c>
      <c r="C591" s="1" t="s">
        <v>65</v>
      </c>
      <c r="D591" s="1" t="s">
        <v>29</v>
      </c>
      <c r="E591" s="1" t="s">
        <v>182</v>
      </c>
      <c r="F591" s="1" t="s">
        <v>107</v>
      </c>
      <c r="G591" s="1" t="s">
        <v>108</v>
      </c>
      <c r="H591" s="1" t="s">
        <v>33</v>
      </c>
      <c r="I591" s="1" t="s">
        <v>83</v>
      </c>
      <c r="J591" s="1" t="s">
        <v>59</v>
      </c>
      <c r="K591" s="1" t="s">
        <v>36</v>
      </c>
      <c r="L591" s="1" t="s">
        <v>85</v>
      </c>
      <c r="M591" s="1" t="s">
        <v>38</v>
      </c>
      <c r="N591" s="1" t="n">
        <v>34999</v>
      </c>
      <c r="O591" s="1" t="n">
        <v>20</v>
      </c>
      <c r="P591" s="1" t="n">
        <v>6999.8</v>
      </c>
      <c r="Q591" s="1" t="n">
        <v>27999.2</v>
      </c>
      <c r="R591" s="1" t="n">
        <v>5039.86</v>
      </c>
      <c r="S591" s="1" t="n">
        <v>22959.34</v>
      </c>
      <c r="T591" s="1" t="n">
        <v>11718.3</v>
      </c>
      <c r="U591" s="1" t="n">
        <v>11241.04</v>
      </c>
      <c r="V591" s="1" t="n">
        <v>48.96</v>
      </c>
      <c r="W591" s="1" t="s">
        <v>39</v>
      </c>
      <c r="X591" s="1" t="n">
        <v>3.8</v>
      </c>
      <c r="Y591" s="1" t="s">
        <v>40</v>
      </c>
      <c r="Z591" s="1" t="n">
        <v>1</v>
      </c>
      <c r="AA591" s="1" t="str">
        <f aca="false">TRIM(PROPER(F591))</f>
        <v>Madurai</v>
      </c>
      <c r="AB591" s="1" t="str">
        <f aca="false">TRIM(PROPER(C591))</f>
        <v>Toppr</v>
      </c>
      <c r="AC591" s="1" t="str">
        <f aca="false">IF(O591=0,"No Discount",IF(O591&lt;=15,"Low (1-15%)",IF(O591&lt;=30,"Medium (16-30%)","High (&gt;30%)")))</f>
        <v>Medium (16-30%)</v>
      </c>
      <c r="AD591" s="1" t="str">
        <f aca="false">IF(V591&lt;0,"Loss Making",IF(V591&lt;20,"Low Margin","Healthy Margin"))</f>
        <v>Healthy Margin</v>
      </c>
      <c r="AE591" s="1" t="str">
        <f aca="false">TEXT(DATE(VALUE(RIGHT(B591,4)),VALUE(MID(B591,4,2)),VALUE(LEFT(B591,2))),"MMM-YYYY")</f>
        <v>Jun-2023</v>
      </c>
      <c r="AF591" s="1" t="n">
        <f aca="false">VALUE(RIGHT(B591,4))</f>
        <v>2023</v>
      </c>
      <c r="AG591" s="1" t="str">
        <f aca="false">CHOOSE(ROUNDUP(VALUE(MID(B591,4,2))/3,0),"Q1","Q2","Q3","Q4")</f>
        <v>Q2</v>
      </c>
    </row>
    <row r="592" customFormat="false" ht="15" hidden="false" customHeight="true" outlineLevel="0" collapsed="false">
      <c r="A592" s="1" t="s">
        <v>1172</v>
      </c>
      <c r="B592" s="1" t="s">
        <v>201</v>
      </c>
      <c r="C592" s="1" t="s">
        <v>43</v>
      </c>
      <c r="D592" s="1" t="s">
        <v>143</v>
      </c>
      <c r="E592" s="1" t="s">
        <v>243</v>
      </c>
      <c r="F592" s="1" t="s">
        <v>75</v>
      </c>
      <c r="G592" s="1" t="s">
        <v>76</v>
      </c>
      <c r="H592" s="1" t="s">
        <v>69</v>
      </c>
      <c r="I592" s="1" t="s">
        <v>58</v>
      </c>
      <c r="J592" s="1" t="s">
        <v>59</v>
      </c>
      <c r="K592" s="1" t="s">
        <v>36</v>
      </c>
      <c r="L592" s="1" t="s">
        <v>85</v>
      </c>
      <c r="M592" s="1" t="s">
        <v>38</v>
      </c>
      <c r="N592" s="1" t="n">
        <v>22999</v>
      </c>
      <c r="O592" s="1" t="n">
        <v>40</v>
      </c>
      <c r="P592" s="1" t="n">
        <v>9199.6</v>
      </c>
      <c r="Q592" s="1" t="n">
        <v>13799.4</v>
      </c>
      <c r="R592" s="1" t="n">
        <v>2483.89</v>
      </c>
      <c r="S592" s="1" t="n">
        <v>11315.51</v>
      </c>
      <c r="T592" s="1" t="n">
        <v>5912.7</v>
      </c>
      <c r="U592" s="1" t="n">
        <v>5402.81</v>
      </c>
      <c r="V592" s="1" t="n">
        <v>47.75</v>
      </c>
      <c r="W592" s="1" t="s">
        <v>40</v>
      </c>
      <c r="Y592" s="1" t="s">
        <v>40</v>
      </c>
      <c r="Z592" s="1" t="n">
        <v>0</v>
      </c>
      <c r="AA592" s="1" t="str">
        <f aca="false">TRIM(PROPER(F592))</f>
        <v>Kolkata</v>
      </c>
      <c r="AB592" s="1" t="str">
        <f aca="false">TRIM(PROPER(C592))</f>
        <v>Meritnation</v>
      </c>
      <c r="AC592" s="1" t="str">
        <f aca="false">IF(O592=0,"No Discount",IF(O592&lt;=15,"Low (1-15%)",IF(O592&lt;=30,"Medium (16-30%)","High (&gt;30%)")))</f>
        <v>High (&gt;30%)</v>
      </c>
      <c r="AD592" s="1" t="str">
        <f aca="false">IF(V592&lt;0,"Loss Making",IF(V592&lt;20,"Low Margin","Healthy Margin"))</f>
        <v>Healthy Margin</v>
      </c>
      <c r="AE592" s="1" t="str">
        <f aca="false">TEXT(DATE(VALUE(RIGHT(B592,4)),VALUE(MID(B592,4,2)),VALUE(LEFT(B592,2))),"MMM-YYYY")</f>
        <v>Aug-2024</v>
      </c>
      <c r="AF592" s="1" t="n">
        <f aca="false">VALUE(RIGHT(B592,4))</f>
        <v>2024</v>
      </c>
      <c r="AG592" s="1" t="str">
        <f aca="false">CHOOSE(ROUNDUP(VALUE(MID(B592,4,2))/3,0),"Q1","Q2","Q3","Q4")</f>
        <v>Q3</v>
      </c>
    </row>
    <row r="593" customFormat="false" ht="15" hidden="false" customHeight="true" outlineLevel="0" collapsed="false">
      <c r="A593" s="1" t="s">
        <v>1173</v>
      </c>
      <c r="B593" s="1" t="s">
        <v>568</v>
      </c>
      <c r="C593" s="1" t="s">
        <v>178</v>
      </c>
      <c r="D593" s="1" t="s">
        <v>168</v>
      </c>
      <c r="E593" s="1" t="s">
        <v>197</v>
      </c>
      <c r="F593" s="1" t="s">
        <v>82</v>
      </c>
      <c r="G593" s="1" t="s">
        <v>56</v>
      </c>
      <c r="H593" s="1" t="s">
        <v>69</v>
      </c>
      <c r="I593" s="1" t="s">
        <v>58</v>
      </c>
      <c r="J593" s="1" t="s">
        <v>59</v>
      </c>
      <c r="K593" s="1" t="s">
        <v>36</v>
      </c>
      <c r="L593" s="1" t="s">
        <v>85</v>
      </c>
      <c r="M593" s="1" t="s">
        <v>62</v>
      </c>
      <c r="N593" s="1" t="n">
        <v>8499</v>
      </c>
      <c r="O593" s="1" t="n">
        <v>0</v>
      </c>
      <c r="P593" s="1" t="n">
        <v>0</v>
      </c>
      <c r="Q593" s="1" t="n">
        <v>8499</v>
      </c>
      <c r="R593" s="1" t="n">
        <v>1529.82</v>
      </c>
      <c r="S593" s="1" t="n">
        <v>6969.18</v>
      </c>
      <c r="T593" s="1" t="n">
        <v>2713.74</v>
      </c>
      <c r="U593" s="1" t="n">
        <v>4255.44</v>
      </c>
      <c r="V593" s="1" t="n">
        <v>61.06</v>
      </c>
      <c r="W593" s="1" t="s">
        <v>39</v>
      </c>
      <c r="X593" s="1" t="n">
        <v>4</v>
      </c>
      <c r="Y593" s="1" t="s">
        <v>40</v>
      </c>
      <c r="Z593" s="1" t="n">
        <v>1</v>
      </c>
      <c r="AA593" s="1" t="str">
        <f aca="false">TRIM(PROPER(F593))</f>
        <v>Gurugram</v>
      </c>
      <c r="AB593" s="1" t="str">
        <f aca="false">TRIM(PROPER(C593))</f>
        <v>Leverage Edu</v>
      </c>
      <c r="AC593" s="1" t="str">
        <f aca="false">IF(O593=0,"No Discount",IF(O593&lt;=15,"Low (1-15%)",IF(O593&lt;=30,"Medium (16-30%)","High (&gt;30%)")))</f>
        <v>No Discount</v>
      </c>
      <c r="AD593" s="1" t="str">
        <f aca="false">IF(V593&lt;0,"Loss Making",IF(V593&lt;20,"Low Margin","Healthy Margin"))</f>
        <v>Healthy Margin</v>
      </c>
      <c r="AE593" s="1" t="str">
        <f aca="false">TEXT(DATE(VALUE(RIGHT(B593,4)),VALUE(MID(B593,4,2)),VALUE(LEFT(B593,2))),"MMM-YYYY")</f>
        <v>Aug-2023</v>
      </c>
      <c r="AF593" s="1" t="n">
        <f aca="false">VALUE(RIGHT(B593,4))</f>
        <v>2023</v>
      </c>
      <c r="AG593" s="1" t="str">
        <f aca="false">CHOOSE(ROUNDUP(VALUE(MID(B593,4,2))/3,0),"Q1","Q2","Q3","Q4")</f>
        <v>Q3</v>
      </c>
    </row>
    <row r="594" customFormat="false" ht="15" hidden="false" customHeight="true" outlineLevel="0" collapsed="false">
      <c r="A594" s="1" t="s">
        <v>1174</v>
      </c>
      <c r="B594" s="1" t="s">
        <v>261</v>
      </c>
      <c r="C594" s="1" t="s">
        <v>74</v>
      </c>
      <c r="D594" s="1" t="s">
        <v>29</v>
      </c>
      <c r="E594" s="1" t="s">
        <v>30</v>
      </c>
      <c r="F594" s="1" t="s">
        <v>194</v>
      </c>
      <c r="G594" s="1" t="s">
        <v>103</v>
      </c>
      <c r="H594" s="1" t="s">
        <v>69</v>
      </c>
      <c r="I594" s="1" t="s">
        <v>83</v>
      </c>
      <c r="J594" s="1" t="s">
        <v>35</v>
      </c>
      <c r="K594" s="1" t="s">
        <v>104</v>
      </c>
      <c r="L594" s="1" t="s">
        <v>49</v>
      </c>
      <c r="M594" s="1" t="s">
        <v>50</v>
      </c>
      <c r="N594" s="1" t="n">
        <v>7999</v>
      </c>
      <c r="O594" s="1" t="n">
        <v>0</v>
      </c>
      <c r="P594" s="1" t="n">
        <v>0</v>
      </c>
      <c r="Q594" s="1" t="n">
        <v>7999</v>
      </c>
      <c r="R594" s="1" t="n">
        <v>1439.82</v>
      </c>
      <c r="S594" s="1" t="n">
        <v>6559.18</v>
      </c>
      <c r="T594" s="1" t="n">
        <v>2081.47</v>
      </c>
      <c r="U594" s="1" t="n">
        <v>4477.71</v>
      </c>
      <c r="V594" s="1" t="n">
        <v>68.27</v>
      </c>
      <c r="W594" s="1" t="s">
        <v>39</v>
      </c>
      <c r="X594" s="1" t="n">
        <v>3.8</v>
      </c>
      <c r="Y594" s="1" t="s">
        <v>40</v>
      </c>
      <c r="Z594" s="1" t="n">
        <v>0</v>
      </c>
      <c r="AA594" s="1" t="str">
        <f aca="false">TRIM(PROPER(F594))</f>
        <v>Hyderabad</v>
      </c>
      <c r="AB594" s="1" t="str">
        <f aca="false">TRIM(PROPER(C594))</f>
        <v>Vedantu</v>
      </c>
      <c r="AC594" s="1" t="str">
        <f aca="false">IF(O594=0,"No Discount",IF(O594&lt;=15,"Low (1-15%)",IF(O594&lt;=30,"Medium (16-30%)","High (&gt;30%)")))</f>
        <v>No Discount</v>
      </c>
      <c r="AD594" s="1" t="str">
        <f aca="false">IF(V594&lt;0,"Loss Making",IF(V594&lt;20,"Low Margin","Healthy Margin"))</f>
        <v>Healthy Margin</v>
      </c>
      <c r="AE594" s="1" t="str">
        <f aca="false">TEXT(DATE(VALUE(RIGHT(B594,4)),VALUE(MID(B594,4,2)),VALUE(LEFT(B594,2))),"MMM-YYYY")</f>
        <v>Feb-2024</v>
      </c>
      <c r="AF594" s="1" t="n">
        <f aca="false">VALUE(RIGHT(B594,4))</f>
        <v>2024</v>
      </c>
      <c r="AG594" s="1" t="str">
        <f aca="false">CHOOSE(ROUNDUP(VALUE(MID(B594,4,2))/3,0),"Q1","Q2","Q3","Q4")</f>
        <v>Q1</v>
      </c>
    </row>
    <row r="595" customFormat="false" ht="15" hidden="false" customHeight="true" outlineLevel="0" collapsed="false">
      <c r="A595" s="1" t="s">
        <v>1175</v>
      </c>
      <c r="B595" s="1" t="s">
        <v>740</v>
      </c>
      <c r="C595" s="1" t="s">
        <v>167</v>
      </c>
      <c r="D595" s="1" t="s">
        <v>29</v>
      </c>
      <c r="E595" s="1" t="s">
        <v>30</v>
      </c>
      <c r="F595" s="1" t="s">
        <v>140</v>
      </c>
      <c r="G595" s="1" t="s">
        <v>97</v>
      </c>
      <c r="H595" s="1" t="s">
        <v>57</v>
      </c>
      <c r="I595" s="1" t="s">
        <v>34</v>
      </c>
      <c r="J595" s="1" t="s">
        <v>59</v>
      </c>
      <c r="K595" s="1" t="s">
        <v>90</v>
      </c>
      <c r="L595" s="1" t="s">
        <v>113</v>
      </c>
      <c r="M595" s="1" t="s">
        <v>62</v>
      </c>
      <c r="N595" s="1" t="n">
        <v>7999</v>
      </c>
      <c r="O595" s="1" t="n">
        <v>50</v>
      </c>
      <c r="P595" s="1" t="n">
        <v>3999.5</v>
      </c>
      <c r="Q595" s="1" t="n">
        <v>3999.5</v>
      </c>
      <c r="R595" s="1" t="n">
        <v>719.91</v>
      </c>
      <c r="S595" s="1" t="n">
        <v>3279.59</v>
      </c>
      <c r="T595" s="1" t="n">
        <v>1712.91</v>
      </c>
      <c r="U595" s="1" t="n">
        <v>1566.68</v>
      </c>
      <c r="V595" s="1" t="n">
        <v>47.77</v>
      </c>
      <c r="W595" s="1" t="s">
        <v>39</v>
      </c>
      <c r="X595" s="1" t="n">
        <v>4.5</v>
      </c>
      <c r="Y595" s="1" t="s">
        <v>40</v>
      </c>
      <c r="Z595" s="1" t="n">
        <v>0</v>
      </c>
      <c r="AA595" s="1" t="str">
        <f aca="false">TRIM(PROPER(F595))</f>
        <v>Nashik</v>
      </c>
      <c r="AB595" s="1" t="str">
        <f aca="false">TRIM(PROPER(C595))</f>
        <v>Scaler</v>
      </c>
      <c r="AC595" s="1" t="str">
        <f aca="false">IF(O595=0,"No Discount",IF(O595&lt;=15,"Low (1-15%)",IF(O595&lt;=30,"Medium (16-30%)","High (&gt;30%)")))</f>
        <v>High (&gt;30%)</v>
      </c>
      <c r="AD595" s="1" t="str">
        <f aca="false">IF(V595&lt;0,"Loss Making",IF(V595&lt;20,"Low Margin","Healthy Margin"))</f>
        <v>Healthy Margin</v>
      </c>
      <c r="AE595" s="1" t="str">
        <f aca="false">TEXT(DATE(VALUE(RIGHT(B595,4)),VALUE(MID(B595,4,2)),VALUE(LEFT(B595,2))),"MMM-YYYY")</f>
        <v>Sep-2024</v>
      </c>
      <c r="AF595" s="1" t="n">
        <f aca="false">VALUE(RIGHT(B595,4))</f>
        <v>2024</v>
      </c>
      <c r="AG595" s="1" t="str">
        <f aca="false">CHOOSE(ROUNDUP(VALUE(MID(B595,4,2))/3,0),"Q1","Q2","Q3","Q4")</f>
        <v>Q3</v>
      </c>
    </row>
    <row r="596" customFormat="false" ht="15" hidden="false" customHeight="true" outlineLevel="0" collapsed="false">
      <c r="A596" s="1" t="s">
        <v>1176</v>
      </c>
      <c r="B596" s="1" t="s">
        <v>1029</v>
      </c>
      <c r="C596" s="1" t="s">
        <v>249</v>
      </c>
      <c r="D596" s="1" t="s">
        <v>53</v>
      </c>
      <c r="E596" s="1" t="s">
        <v>116</v>
      </c>
      <c r="F596" s="1" t="s">
        <v>96</v>
      </c>
      <c r="G596" s="1" t="s">
        <v>97</v>
      </c>
      <c r="H596" s="1" t="s">
        <v>69</v>
      </c>
      <c r="I596" s="1" t="s">
        <v>34</v>
      </c>
      <c r="J596" s="1" t="s">
        <v>77</v>
      </c>
      <c r="K596" s="1" t="s">
        <v>112</v>
      </c>
      <c r="L596" s="1" t="s">
        <v>61</v>
      </c>
      <c r="M596" s="1" t="s">
        <v>50</v>
      </c>
      <c r="N596" s="1" t="n">
        <v>9999</v>
      </c>
      <c r="O596" s="1" t="n">
        <v>0</v>
      </c>
      <c r="P596" s="1" t="n">
        <v>0</v>
      </c>
      <c r="Q596" s="1" t="n">
        <v>9999</v>
      </c>
      <c r="R596" s="1" t="n">
        <v>1799.82</v>
      </c>
      <c r="S596" s="1" t="n">
        <v>8199.18</v>
      </c>
      <c r="T596" s="1" t="n">
        <v>3626.88</v>
      </c>
      <c r="U596" s="1" t="n">
        <v>4572.3</v>
      </c>
      <c r="V596" s="1" t="n">
        <v>55.77</v>
      </c>
      <c r="W596" s="1" t="s">
        <v>39</v>
      </c>
      <c r="X596" s="1" t="n">
        <v>4.3</v>
      </c>
      <c r="Y596" s="1" t="s">
        <v>40</v>
      </c>
      <c r="Z596" s="1" t="n">
        <v>0</v>
      </c>
      <c r="AA596" s="1" t="str">
        <f aca="false">TRIM(PROPER(F596))</f>
        <v>Pune</v>
      </c>
      <c r="AB596" s="1" t="str">
        <f aca="false">TRIM(PROPER(C596))</f>
        <v>Whitehat Jr</v>
      </c>
      <c r="AC596" s="1" t="str">
        <f aca="false">IF(O596=0,"No Discount",IF(O596&lt;=15,"Low (1-15%)",IF(O596&lt;=30,"Medium (16-30%)","High (&gt;30%)")))</f>
        <v>No Discount</v>
      </c>
      <c r="AD596" s="1" t="str">
        <f aca="false">IF(V596&lt;0,"Loss Making",IF(V596&lt;20,"Low Margin","Healthy Margin"))</f>
        <v>Healthy Margin</v>
      </c>
      <c r="AE596" s="1" t="str">
        <f aca="false">TEXT(DATE(VALUE(RIGHT(B596,4)),VALUE(MID(B596,4,2)),VALUE(LEFT(B596,2))),"MMM-YYYY")</f>
        <v>Dec-2023</v>
      </c>
      <c r="AF596" s="1" t="n">
        <f aca="false">VALUE(RIGHT(B596,4))</f>
        <v>2023</v>
      </c>
      <c r="AG596" s="1" t="str">
        <f aca="false">CHOOSE(ROUNDUP(VALUE(MID(B596,4,2))/3,0),"Q1","Q2","Q3","Q4")</f>
        <v>Q4</v>
      </c>
    </row>
    <row r="597" customFormat="false" ht="15" hidden="false" customHeight="true" outlineLevel="0" collapsed="false">
      <c r="A597" s="1" t="s">
        <v>1177</v>
      </c>
      <c r="B597" s="1" t="s">
        <v>598</v>
      </c>
      <c r="C597" s="1" t="s">
        <v>139</v>
      </c>
      <c r="D597" s="1" t="s">
        <v>168</v>
      </c>
      <c r="E597" s="1" t="s">
        <v>172</v>
      </c>
      <c r="F597" s="1" t="s">
        <v>244</v>
      </c>
      <c r="G597" s="1" t="s">
        <v>97</v>
      </c>
      <c r="H597" s="1" t="s">
        <v>57</v>
      </c>
      <c r="I597" s="1" t="s">
        <v>58</v>
      </c>
      <c r="J597" s="1" t="s">
        <v>131</v>
      </c>
      <c r="K597" s="1" t="s">
        <v>48</v>
      </c>
      <c r="L597" s="1" t="s">
        <v>37</v>
      </c>
      <c r="M597" s="1" t="s">
        <v>50</v>
      </c>
      <c r="N597" s="1" t="n">
        <v>6999</v>
      </c>
      <c r="O597" s="1" t="n">
        <v>15</v>
      </c>
      <c r="P597" s="1" t="n">
        <v>1049.85</v>
      </c>
      <c r="Q597" s="1" t="n">
        <v>5949.15</v>
      </c>
      <c r="R597" s="1" t="n">
        <v>1070.85</v>
      </c>
      <c r="S597" s="1" t="n">
        <v>4878.3</v>
      </c>
      <c r="T597" s="1" t="n">
        <v>2422.46</v>
      </c>
      <c r="U597" s="1" t="n">
        <v>2455.84</v>
      </c>
      <c r="V597" s="1" t="n">
        <v>50.34</v>
      </c>
      <c r="W597" s="1" t="s">
        <v>39</v>
      </c>
      <c r="X597" s="1" t="n">
        <v>3.9</v>
      </c>
      <c r="Y597" s="1" t="s">
        <v>40</v>
      </c>
      <c r="Z597" s="1" t="n">
        <v>0</v>
      </c>
      <c r="AA597" s="1" t="str">
        <f aca="false">TRIM(PROPER(F597))</f>
        <v>Nagpur</v>
      </c>
      <c r="AB597" s="1" t="str">
        <f aca="false">TRIM(PROPER(C597))</f>
        <v>Extramarks</v>
      </c>
      <c r="AC597" s="1" t="str">
        <f aca="false">IF(O597=0,"No Discount",IF(O597&lt;=15,"Low (1-15%)",IF(O597&lt;=30,"Medium (16-30%)","High (&gt;30%)")))</f>
        <v>Low (1-15%)</v>
      </c>
      <c r="AD597" s="1" t="str">
        <f aca="false">IF(V597&lt;0,"Loss Making",IF(V597&lt;20,"Low Margin","Healthy Margin"))</f>
        <v>Healthy Margin</v>
      </c>
      <c r="AE597" s="1" t="str">
        <f aca="false">TEXT(DATE(VALUE(RIGHT(B597,4)),VALUE(MID(B597,4,2)),VALUE(LEFT(B597,2))),"MMM-YYYY")</f>
        <v>Feb-2024</v>
      </c>
      <c r="AF597" s="1" t="n">
        <f aca="false">VALUE(RIGHT(B597,4))</f>
        <v>2024</v>
      </c>
      <c r="AG597" s="1" t="str">
        <f aca="false">CHOOSE(ROUNDUP(VALUE(MID(B597,4,2))/3,0),"Q1","Q2","Q3","Q4")</f>
        <v>Q1</v>
      </c>
    </row>
    <row r="598" customFormat="false" ht="15" hidden="false" customHeight="true" outlineLevel="0" collapsed="false">
      <c r="A598" s="1" t="s">
        <v>1178</v>
      </c>
      <c r="B598" s="1" t="s">
        <v>1072</v>
      </c>
      <c r="C598" s="1" t="s">
        <v>28</v>
      </c>
      <c r="D598" s="1" t="s">
        <v>53</v>
      </c>
      <c r="E598" s="1" t="s">
        <v>54</v>
      </c>
      <c r="F598" s="1" t="s">
        <v>55</v>
      </c>
      <c r="G598" s="1" t="s">
        <v>56</v>
      </c>
      <c r="H598" s="1" t="s">
        <v>57</v>
      </c>
      <c r="I598" s="1" t="s">
        <v>83</v>
      </c>
      <c r="J598" s="1" t="s">
        <v>70</v>
      </c>
      <c r="K598" s="1" t="s">
        <v>48</v>
      </c>
      <c r="L598" s="1" t="s">
        <v>85</v>
      </c>
      <c r="M598" s="1" t="s">
        <v>38</v>
      </c>
      <c r="N598" s="1" t="n">
        <v>11999</v>
      </c>
      <c r="O598" s="1" t="n">
        <v>0</v>
      </c>
      <c r="P598" s="1" t="n">
        <v>0</v>
      </c>
      <c r="Q598" s="1" t="n">
        <v>11999</v>
      </c>
      <c r="R598" s="1" t="n">
        <v>2159.82</v>
      </c>
      <c r="S598" s="1" t="n">
        <v>9839.18</v>
      </c>
      <c r="T598" s="1" t="n">
        <v>3966.21</v>
      </c>
      <c r="U598" s="1" t="n">
        <v>5872.97</v>
      </c>
      <c r="V598" s="1" t="n">
        <v>59.69</v>
      </c>
      <c r="W598" s="1" t="s">
        <v>39</v>
      </c>
      <c r="X598" s="1" t="n">
        <v>4.1</v>
      </c>
      <c r="Y598" s="1" t="s">
        <v>40</v>
      </c>
      <c r="Z598" s="1" t="n">
        <v>0</v>
      </c>
      <c r="AA598" s="1" t="str">
        <f aca="false">TRIM(PROPER(F598))</f>
        <v>Ghaziabad</v>
      </c>
      <c r="AB598" s="1" t="str">
        <f aca="false">TRIM(PROPER(C598))</f>
        <v>Embibe</v>
      </c>
      <c r="AC598" s="1" t="str">
        <f aca="false">IF(O598=0,"No Discount",IF(O598&lt;=15,"Low (1-15%)",IF(O598&lt;=30,"Medium (16-30%)","High (&gt;30%)")))</f>
        <v>No Discount</v>
      </c>
      <c r="AD598" s="1" t="str">
        <f aca="false">IF(V598&lt;0,"Loss Making",IF(V598&lt;20,"Low Margin","Healthy Margin"))</f>
        <v>Healthy Margin</v>
      </c>
      <c r="AE598" s="1" t="str">
        <f aca="false">TEXT(DATE(VALUE(RIGHT(B598,4)),VALUE(MID(B598,4,2)),VALUE(LEFT(B598,2))),"MMM-YYYY")</f>
        <v>Jan-2023</v>
      </c>
      <c r="AF598" s="1" t="n">
        <f aca="false">VALUE(RIGHT(B598,4))</f>
        <v>2023</v>
      </c>
      <c r="AG598" s="1" t="str">
        <f aca="false">CHOOSE(ROUNDUP(VALUE(MID(B598,4,2))/3,0),"Q1","Q2","Q3","Q4")</f>
        <v>Q1</v>
      </c>
    </row>
    <row r="599" customFormat="false" ht="15" hidden="false" customHeight="true" outlineLevel="0" collapsed="false">
      <c r="A599" s="1" t="s">
        <v>1179</v>
      </c>
      <c r="B599" s="1" t="s">
        <v>843</v>
      </c>
      <c r="C599" s="1" t="s">
        <v>178</v>
      </c>
      <c r="D599" s="1" t="s">
        <v>53</v>
      </c>
      <c r="E599" s="1" t="s">
        <v>216</v>
      </c>
      <c r="F599" s="1" t="s">
        <v>153</v>
      </c>
      <c r="G599" s="1" t="s">
        <v>76</v>
      </c>
      <c r="H599" s="1" t="s">
        <v>33</v>
      </c>
      <c r="I599" s="1" t="s">
        <v>58</v>
      </c>
      <c r="J599" s="1" t="s">
        <v>77</v>
      </c>
      <c r="K599" s="1" t="s">
        <v>84</v>
      </c>
      <c r="L599" s="1" t="s">
        <v>61</v>
      </c>
      <c r="M599" s="1" t="s">
        <v>50</v>
      </c>
      <c r="N599" s="1" t="n">
        <v>7499</v>
      </c>
      <c r="O599" s="1" t="n">
        <v>0</v>
      </c>
      <c r="P599" s="1" t="n">
        <v>0</v>
      </c>
      <c r="Q599" s="1" t="n">
        <v>7499</v>
      </c>
      <c r="R599" s="1" t="n">
        <v>1349.82</v>
      </c>
      <c r="S599" s="1" t="n">
        <v>6149.18</v>
      </c>
      <c r="T599" s="1" t="n">
        <v>2834.81</v>
      </c>
      <c r="U599" s="1" t="n">
        <v>3314.37</v>
      </c>
      <c r="V599" s="1" t="n">
        <v>53.9</v>
      </c>
      <c r="W599" s="1" t="s">
        <v>40</v>
      </c>
      <c r="Y599" s="1" t="s">
        <v>40</v>
      </c>
      <c r="Z599" s="1" t="n">
        <v>0</v>
      </c>
      <c r="AA599" s="1" t="str">
        <f aca="false">TRIM(PROPER(F599))</f>
        <v>Howrah</v>
      </c>
      <c r="AB599" s="1" t="str">
        <f aca="false">TRIM(PROPER(C599))</f>
        <v>Leverage Edu</v>
      </c>
      <c r="AC599" s="1" t="str">
        <f aca="false">IF(O599=0,"No Discount",IF(O599&lt;=15,"Low (1-15%)",IF(O599&lt;=30,"Medium (16-30%)","High (&gt;30%)")))</f>
        <v>No Discount</v>
      </c>
      <c r="AD599" s="1" t="str">
        <f aca="false">IF(V599&lt;0,"Loss Making",IF(V599&lt;20,"Low Margin","Healthy Margin"))</f>
        <v>Healthy Margin</v>
      </c>
      <c r="AE599" s="1" t="str">
        <f aca="false">TEXT(DATE(VALUE(RIGHT(B599,4)),VALUE(MID(B599,4,2)),VALUE(LEFT(B599,2))),"MMM-YYYY")</f>
        <v>Oct-2023</v>
      </c>
      <c r="AF599" s="1" t="n">
        <f aca="false">VALUE(RIGHT(B599,4))</f>
        <v>2023</v>
      </c>
      <c r="AG599" s="1" t="str">
        <f aca="false">CHOOSE(ROUNDUP(VALUE(MID(B599,4,2))/3,0),"Q1","Q2","Q3","Q4")</f>
        <v>Q4</v>
      </c>
    </row>
    <row r="600" customFormat="false" ht="15" hidden="false" customHeight="true" outlineLevel="0" collapsed="false">
      <c r="A600" s="1" t="s">
        <v>1180</v>
      </c>
      <c r="B600" s="1" t="s">
        <v>428</v>
      </c>
      <c r="C600" s="1" t="s">
        <v>249</v>
      </c>
      <c r="D600" s="1" t="s">
        <v>29</v>
      </c>
      <c r="E600" s="1" t="s">
        <v>129</v>
      </c>
      <c r="F600" s="1" t="s">
        <v>82</v>
      </c>
      <c r="G600" s="1" t="s">
        <v>56</v>
      </c>
      <c r="H600" s="1" t="s">
        <v>69</v>
      </c>
      <c r="I600" s="1" t="s">
        <v>34</v>
      </c>
      <c r="J600" s="1" t="s">
        <v>77</v>
      </c>
      <c r="K600" s="1" t="s">
        <v>84</v>
      </c>
      <c r="L600" s="1" t="s">
        <v>61</v>
      </c>
      <c r="M600" s="1" t="s">
        <v>50</v>
      </c>
      <c r="N600" s="1" t="n">
        <v>29999</v>
      </c>
      <c r="O600" s="1" t="n">
        <v>40</v>
      </c>
      <c r="P600" s="1" t="n">
        <v>11999.6</v>
      </c>
      <c r="Q600" s="1" t="n">
        <v>17999.4</v>
      </c>
      <c r="R600" s="1" t="n">
        <v>3239.89</v>
      </c>
      <c r="S600" s="1" t="n">
        <v>14759.51</v>
      </c>
      <c r="T600" s="1" t="n">
        <v>7103.2</v>
      </c>
      <c r="U600" s="1" t="n">
        <v>7656.31</v>
      </c>
      <c r="V600" s="1" t="n">
        <v>51.87</v>
      </c>
      <c r="W600" s="1" t="s">
        <v>39</v>
      </c>
      <c r="Y600" s="1" t="s">
        <v>40</v>
      </c>
      <c r="Z600" s="1" t="n">
        <v>2</v>
      </c>
      <c r="AA600" s="1" t="str">
        <f aca="false">TRIM(PROPER(F600))</f>
        <v>Gurugram</v>
      </c>
      <c r="AB600" s="1" t="str">
        <f aca="false">TRIM(PROPER(C600))</f>
        <v>Whitehat Jr</v>
      </c>
      <c r="AC600" s="1" t="str">
        <f aca="false">IF(O600=0,"No Discount",IF(O600&lt;=15,"Low (1-15%)",IF(O600&lt;=30,"Medium (16-30%)","High (&gt;30%)")))</f>
        <v>High (&gt;30%)</v>
      </c>
      <c r="AD600" s="1" t="str">
        <f aca="false">IF(V600&lt;0,"Loss Making",IF(V600&lt;20,"Low Margin","Healthy Margin"))</f>
        <v>Healthy Margin</v>
      </c>
      <c r="AE600" s="1" t="str">
        <f aca="false">TEXT(DATE(VALUE(RIGHT(B600,4)),VALUE(MID(B600,4,2)),VALUE(LEFT(B600,2))),"MMM-YYYY")</f>
        <v>Aug-2023</v>
      </c>
      <c r="AF600" s="1" t="n">
        <f aca="false">VALUE(RIGHT(B600,4))</f>
        <v>2023</v>
      </c>
      <c r="AG600" s="1" t="str">
        <f aca="false">CHOOSE(ROUNDUP(VALUE(MID(B600,4,2))/3,0),"Q1","Q2","Q3","Q4")</f>
        <v>Q3</v>
      </c>
    </row>
    <row r="601" customFormat="false" ht="15" hidden="false" customHeight="true" outlineLevel="0" collapsed="false">
      <c r="A601" s="1" t="s">
        <v>1181</v>
      </c>
      <c r="B601" s="1" t="s">
        <v>1182</v>
      </c>
      <c r="C601" s="1" t="s">
        <v>119</v>
      </c>
      <c r="D601" s="1" t="s">
        <v>94</v>
      </c>
      <c r="E601" s="1" t="s">
        <v>101</v>
      </c>
      <c r="F601" s="1" t="s">
        <v>96</v>
      </c>
      <c r="G601" s="1" t="s">
        <v>97</v>
      </c>
      <c r="H601" s="1" t="s">
        <v>69</v>
      </c>
      <c r="I601" s="1" t="s">
        <v>34</v>
      </c>
      <c r="J601" s="1" t="s">
        <v>131</v>
      </c>
      <c r="K601" s="1" t="s">
        <v>112</v>
      </c>
      <c r="L601" s="1" t="s">
        <v>136</v>
      </c>
      <c r="M601" s="1" t="s">
        <v>50</v>
      </c>
      <c r="N601" s="1" t="n">
        <v>14999</v>
      </c>
      <c r="O601" s="1" t="n">
        <v>20</v>
      </c>
      <c r="P601" s="1" t="n">
        <v>2999.8</v>
      </c>
      <c r="Q601" s="1" t="n">
        <v>11999.2</v>
      </c>
      <c r="R601" s="1" t="n">
        <v>2159.86</v>
      </c>
      <c r="S601" s="1" t="n">
        <v>9839.34</v>
      </c>
      <c r="T601" s="1" t="n">
        <v>3727.29</v>
      </c>
      <c r="U601" s="1" t="n">
        <v>6112.05</v>
      </c>
      <c r="V601" s="1" t="n">
        <v>62.12</v>
      </c>
      <c r="W601" s="1" t="s">
        <v>39</v>
      </c>
      <c r="X601" s="1" t="n">
        <v>3.4</v>
      </c>
      <c r="Y601" s="1" t="s">
        <v>40</v>
      </c>
      <c r="Z601" s="1" t="n">
        <v>0</v>
      </c>
      <c r="AA601" s="1" t="str">
        <f aca="false">TRIM(PROPER(F601))</f>
        <v>Pune</v>
      </c>
      <c r="AB601" s="1" t="str">
        <f aca="false">TRIM(PROPER(C601))</f>
        <v>Simplilearn</v>
      </c>
      <c r="AC601" s="1" t="str">
        <f aca="false">IF(O601=0,"No Discount",IF(O601&lt;=15,"Low (1-15%)",IF(O601&lt;=30,"Medium (16-30%)","High (&gt;30%)")))</f>
        <v>Medium (16-30%)</v>
      </c>
      <c r="AD601" s="1" t="str">
        <f aca="false">IF(V601&lt;0,"Loss Making",IF(V601&lt;20,"Low Margin","Healthy Margin"))</f>
        <v>Healthy Margin</v>
      </c>
      <c r="AE601" s="1" t="str">
        <f aca="false">TEXT(DATE(VALUE(RIGHT(B601,4)),VALUE(MID(B601,4,2)),VALUE(LEFT(B601,2))),"MMM-YYYY")</f>
        <v>Apr-2024</v>
      </c>
      <c r="AF601" s="1" t="n">
        <f aca="false">VALUE(RIGHT(B601,4))</f>
        <v>2024</v>
      </c>
      <c r="AG601" s="1" t="str">
        <f aca="false">CHOOSE(ROUNDUP(VALUE(MID(B601,4,2))/3,0),"Q1","Q2","Q3","Q4")</f>
        <v>Q2</v>
      </c>
    </row>
    <row r="602" customFormat="false" ht="15" hidden="false" customHeight="true" outlineLevel="0" collapsed="false">
      <c r="A602" s="1" t="s">
        <v>1183</v>
      </c>
      <c r="B602" s="1" t="s">
        <v>1184</v>
      </c>
      <c r="C602" s="1" t="s">
        <v>100</v>
      </c>
      <c r="D602" s="1" t="s">
        <v>80</v>
      </c>
      <c r="E602" s="1" t="s">
        <v>190</v>
      </c>
      <c r="F602" s="1" t="s">
        <v>153</v>
      </c>
      <c r="G602" s="1" t="s">
        <v>76</v>
      </c>
      <c r="H602" s="1" t="s">
        <v>33</v>
      </c>
      <c r="I602" s="1" t="s">
        <v>58</v>
      </c>
      <c r="J602" s="1" t="s">
        <v>35</v>
      </c>
      <c r="K602" s="1" t="s">
        <v>84</v>
      </c>
      <c r="L602" s="1" t="s">
        <v>37</v>
      </c>
      <c r="M602" s="1" t="s">
        <v>62</v>
      </c>
      <c r="N602" s="1" t="n">
        <v>15999</v>
      </c>
      <c r="O602" s="1" t="n">
        <v>10</v>
      </c>
      <c r="P602" s="1" t="n">
        <v>1599.9</v>
      </c>
      <c r="Q602" s="1" t="n">
        <v>14399.1</v>
      </c>
      <c r="R602" s="1" t="n">
        <v>2591.84</v>
      </c>
      <c r="S602" s="1" t="n">
        <v>11807.26</v>
      </c>
      <c r="T602" s="1" t="n">
        <v>5586.7</v>
      </c>
      <c r="U602" s="1" t="n">
        <v>6220.56</v>
      </c>
      <c r="V602" s="1" t="n">
        <v>52.68</v>
      </c>
      <c r="W602" s="1" t="s">
        <v>39</v>
      </c>
      <c r="X602" s="1" t="n">
        <v>4.6</v>
      </c>
      <c r="Y602" s="1" t="s">
        <v>40</v>
      </c>
      <c r="Z602" s="1" t="n">
        <v>0</v>
      </c>
      <c r="AA602" s="1" t="str">
        <f aca="false">TRIM(PROPER(F602))</f>
        <v>Howrah</v>
      </c>
      <c r="AB602" s="1" t="str">
        <f aca="false">TRIM(PROPER(C602))</f>
        <v>Physics Wallah</v>
      </c>
      <c r="AC602" s="1" t="str">
        <f aca="false">IF(O602=0,"No Discount",IF(O602&lt;=15,"Low (1-15%)",IF(O602&lt;=30,"Medium (16-30%)","High (&gt;30%)")))</f>
        <v>Low (1-15%)</v>
      </c>
      <c r="AD602" s="1" t="str">
        <f aca="false">IF(V602&lt;0,"Loss Making",IF(V602&lt;20,"Low Margin","Healthy Margin"))</f>
        <v>Healthy Margin</v>
      </c>
      <c r="AE602" s="1" t="str">
        <f aca="false">TEXT(DATE(VALUE(RIGHT(B602,4)),VALUE(MID(B602,4,2)),VALUE(LEFT(B602,2))),"MMM-YYYY")</f>
        <v>Sep-2024</v>
      </c>
      <c r="AF602" s="1" t="n">
        <f aca="false">VALUE(RIGHT(B602,4))</f>
        <v>2024</v>
      </c>
      <c r="AG602" s="1" t="str">
        <f aca="false">CHOOSE(ROUNDUP(VALUE(MID(B602,4,2))/3,0),"Q1","Q2","Q3","Q4")</f>
        <v>Q3</v>
      </c>
    </row>
    <row r="603" customFormat="false" ht="15" hidden="false" customHeight="true" outlineLevel="0" collapsed="false">
      <c r="A603" s="1" t="s">
        <v>1185</v>
      </c>
      <c r="B603" s="1" t="s">
        <v>1186</v>
      </c>
      <c r="C603" s="1" t="s">
        <v>93</v>
      </c>
      <c r="D603" s="1" t="s">
        <v>29</v>
      </c>
      <c r="E603" s="1" t="s">
        <v>305</v>
      </c>
      <c r="F603" s="1" t="s">
        <v>67</v>
      </c>
      <c r="G603" s="1" t="s">
        <v>68</v>
      </c>
      <c r="H603" s="1" t="s">
        <v>69</v>
      </c>
      <c r="I603" s="1" t="s">
        <v>58</v>
      </c>
      <c r="J603" s="1" t="s">
        <v>70</v>
      </c>
      <c r="K603" s="1" t="s">
        <v>71</v>
      </c>
      <c r="L603" s="1" t="s">
        <v>37</v>
      </c>
      <c r="M603" s="1" t="s">
        <v>62</v>
      </c>
      <c r="N603" s="1" t="n">
        <v>24999</v>
      </c>
      <c r="O603" s="1" t="n">
        <v>40</v>
      </c>
      <c r="P603" s="1" t="n">
        <v>9999.6</v>
      </c>
      <c r="Q603" s="1" t="n">
        <v>14999.4</v>
      </c>
      <c r="R603" s="1" t="n">
        <v>2699.89</v>
      </c>
      <c r="S603" s="1" t="n">
        <v>12299.51</v>
      </c>
      <c r="T603" s="1" t="n">
        <v>6031.6</v>
      </c>
      <c r="U603" s="1" t="n">
        <v>6267.91</v>
      </c>
      <c r="V603" s="1" t="n">
        <v>50.96</v>
      </c>
      <c r="W603" s="1" t="s">
        <v>39</v>
      </c>
      <c r="X603" s="1" t="n">
        <v>3.3</v>
      </c>
      <c r="Y603" s="1" t="s">
        <v>40</v>
      </c>
      <c r="Z603" s="1" t="n">
        <v>0</v>
      </c>
      <c r="AA603" s="1" t="str">
        <f aca="false">TRIM(PROPER(F603))</f>
        <v>Ahmedabad</v>
      </c>
      <c r="AB603" s="1" t="str">
        <f aca="false">TRIM(PROPER(C603))</f>
        <v>Upgrad</v>
      </c>
      <c r="AC603" s="1" t="str">
        <f aca="false">IF(O603=0,"No Discount",IF(O603&lt;=15,"Low (1-15%)",IF(O603&lt;=30,"Medium (16-30%)","High (&gt;30%)")))</f>
        <v>High (&gt;30%)</v>
      </c>
      <c r="AD603" s="1" t="str">
        <f aca="false">IF(V603&lt;0,"Loss Making",IF(V603&lt;20,"Low Margin","Healthy Margin"))</f>
        <v>Healthy Margin</v>
      </c>
      <c r="AE603" s="1" t="str">
        <f aca="false">TEXT(DATE(VALUE(RIGHT(B603,4)),VALUE(MID(B603,4,2)),VALUE(LEFT(B603,2))),"MMM-YYYY")</f>
        <v>May-2024</v>
      </c>
      <c r="AF603" s="1" t="n">
        <f aca="false">VALUE(RIGHT(B603,4))</f>
        <v>2024</v>
      </c>
      <c r="AG603" s="1" t="str">
        <f aca="false">CHOOSE(ROUNDUP(VALUE(MID(B603,4,2))/3,0),"Q1","Q2","Q3","Q4")</f>
        <v>Q2</v>
      </c>
    </row>
    <row r="604" customFormat="false" ht="15" hidden="false" customHeight="true" outlineLevel="0" collapsed="false">
      <c r="A604" s="1" t="s">
        <v>1187</v>
      </c>
      <c r="B604" s="1" t="s">
        <v>1188</v>
      </c>
      <c r="C604" s="1" t="s">
        <v>249</v>
      </c>
      <c r="D604" s="1" t="s">
        <v>123</v>
      </c>
      <c r="E604" s="1" t="s">
        <v>233</v>
      </c>
      <c r="F604" s="1" t="s">
        <v>31</v>
      </c>
      <c r="G604" s="1" t="s">
        <v>32</v>
      </c>
      <c r="H604" s="1" t="s">
        <v>33</v>
      </c>
      <c r="I604" s="1" t="s">
        <v>83</v>
      </c>
      <c r="J604" s="1" t="s">
        <v>70</v>
      </c>
      <c r="K604" s="1" t="s">
        <v>48</v>
      </c>
      <c r="L604" s="1" t="s">
        <v>113</v>
      </c>
      <c r="M604" s="1" t="s">
        <v>38</v>
      </c>
      <c r="N604" s="1" t="n">
        <v>8999</v>
      </c>
      <c r="O604" s="1" t="n">
        <v>0</v>
      </c>
      <c r="P604" s="1" t="n">
        <v>0</v>
      </c>
      <c r="Q604" s="1" t="n">
        <v>8999</v>
      </c>
      <c r="R604" s="1" t="n">
        <v>1619.82</v>
      </c>
      <c r="S604" s="1" t="n">
        <v>7379.18</v>
      </c>
      <c r="T604" s="1" t="n">
        <v>3480.67</v>
      </c>
      <c r="U604" s="1" t="n">
        <v>3898.51</v>
      </c>
      <c r="V604" s="1" t="n">
        <v>52.83</v>
      </c>
      <c r="W604" s="1" t="s">
        <v>40</v>
      </c>
      <c r="Y604" s="1" t="s">
        <v>40</v>
      </c>
      <c r="Z604" s="1" t="n">
        <v>1</v>
      </c>
      <c r="AA604" s="1" t="str">
        <f aca="false">TRIM(PROPER(F604))</f>
        <v>Jodhpur</v>
      </c>
      <c r="AB604" s="1" t="str">
        <f aca="false">TRIM(PROPER(C604))</f>
        <v>Whitehat Jr</v>
      </c>
      <c r="AC604" s="1" t="str">
        <f aca="false">IF(O604=0,"No Discount",IF(O604&lt;=15,"Low (1-15%)",IF(O604&lt;=30,"Medium (16-30%)","High (&gt;30%)")))</f>
        <v>No Discount</v>
      </c>
      <c r="AD604" s="1" t="str">
        <f aca="false">IF(V604&lt;0,"Loss Making",IF(V604&lt;20,"Low Margin","Healthy Margin"))</f>
        <v>Healthy Margin</v>
      </c>
      <c r="AE604" s="1" t="str">
        <f aca="false">TEXT(DATE(VALUE(RIGHT(B604,4)),VALUE(MID(B604,4,2)),VALUE(LEFT(B604,2))),"MMM-YYYY")</f>
        <v>Jul-2023</v>
      </c>
      <c r="AF604" s="1" t="n">
        <f aca="false">VALUE(RIGHT(B604,4))</f>
        <v>2023</v>
      </c>
      <c r="AG604" s="1" t="str">
        <f aca="false">CHOOSE(ROUNDUP(VALUE(MID(B604,4,2))/3,0),"Q1","Q2","Q3","Q4")</f>
        <v>Q3</v>
      </c>
    </row>
    <row r="605" customFormat="false" ht="15" hidden="false" customHeight="true" outlineLevel="0" collapsed="false">
      <c r="A605" s="1" t="s">
        <v>1189</v>
      </c>
      <c r="B605" s="1" t="s">
        <v>382</v>
      </c>
      <c r="C605" s="1" t="s">
        <v>119</v>
      </c>
      <c r="D605" s="1" t="s">
        <v>44</v>
      </c>
      <c r="E605" s="1" t="s">
        <v>45</v>
      </c>
      <c r="F605" s="1" t="s">
        <v>75</v>
      </c>
      <c r="G605" s="1" t="s">
        <v>76</v>
      </c>
      <c r="H605" s="1" t="s">
        <v>69</v>
      </c>
      <c r="I605" s="1" t="s">
        <v>83</v>
      </c>
      <c r="J605" s="1" t="s">
        <v>35</v>
      </c>
      <c r="K605" s="1" t="s">
        <v>48</v>
      </c>
      <c r="L605" s="1" t="s">
        <v>136</v>
      </c>
      <c r="M605" s="1" t="s">
        <v>50</v>
      </c>
      <c r="N605" s="1" t="n">
        <v>11999</v>
      </c>
      <c r="O605" s="1" t="n">
        <v>15</v>
      </c>
      <c r="P605" s="1" t="n">
        <v>1799.85</v>
      </c>
      <c r="Q605" s="1" t="n">
        <v>10199.15</v>
      </c>
      <c r="R605" s="1" t="n">
        <v>1835.85</v>
      </c>
      <c r="S605" s="1" t="n">
        <v>8363.3</v>
      </c>
      <c r="T605" s="1" t="n">
        <v>3170.12</v>
      </c>
      <c r="U605" s="1" t="n">
        <v>5193.18</v>
      </c>
      <c r="V605" s="1" t="n">
        <v>62.09</v>
      </c>
      <c r="W605" s="1" t="s">
        <v>39</v>
      </c>
      <c r="Y605" s="1" t="s">
        <v>39</v>
      </c>
      <c r="Z605" s="1" t="n">
        <v>0</v>
      </c>
      <c r="AA605" s="1" t="str">
        <f aca="false">TRIM(PROPER(F605))</f>
        <v>Kolkata</v>
      </c>
      <c r="AB605" s="1" t="str">
        <f aca="false">TRIM(PROPER(C605))</f>
        <v>Simplilearn</v>
      </c>
      <c r="AC605" s="1" t="str">
        <f aca="false">IF(O605=0,"No Discount",IF(O605&lt;=15,"Low (1-15%)",IF(O605&lt;=30,"Medium (16-30%)","High (&gt;30%)")))</f>
        <v>Low (1-15%)</v>
      </c>
      <c r="AD605" s="1" t="str">
        <f aca="false">IF(V605&lt;0,"Loss Making",IF(V605&lt;20,"Low Margin","Healthy Margin"))</f>
        <v>Healthy Margin</v>
      </c>
      <c r="AE605" s="1" t="str">
        <f aca="false">TEXT(DATE(VALUE(RIGHT(B605,4)),VALUE(MID(B605,4,2)),VALUE(LEFT(B605,2))),"MMM-YYYY")</f>
        <v>Jan-2024</v>
      </c>
      <c r="AF605" s="1" t="n">
        <f aca="false">VALUE(RIGHT(B605,4))</f>
        <v>2024</v>
      </c>
      <c r="AG605" s="1" t="str">
        <f aca="false">CHOOSE(ROUNDUP(VALUE(MID(B605,4,2))/3,0),"Q1","Q2","Q3","Q4")</f>
        <v>Q1</v>
      </c>
    </row>
    <row r="606" customFormat="false" ht="15" hidden="false" customHeight="true" outlineLevel="0" collapsed="false">
      <c r="A606" s="1" t="s">
        <v>1190</v>
      </c>
      <c r="B606" s="1" t="s">
        <v>766</v>
      </c>
      <c r="C606" s="1" t="s">
        <v>28</v>
      </c>
      <c r="D606" s="1" t="s">
        <v>53</v>
      </c>
      <c r="E606" s="1" t="s">
        <v>54</v>
      </c>
      <c r="F606" s="1" t="s">
        <v>107</v>
      </c>
      <c r="G606" s="1" t="s">
        <v>108</v>
      </c>
      <c r="H606" s="1" t="s">
        <v>33</v>
      </c>
      <c r="I606" s="1" t="s">
        <v>34</v>
      </c>
      <c r="J606" s="1" t="s">
        <v>70</v>
      </c>
      <c r="K606" s="1" t="s">
        <v>71</v>
      </c>
      <c r="L606" s="1" t="s">
        <v>37</v>
      </c>
      <c r="M606" s="1" t="s">
        <v>38</v>
      </c>
      <c r="N606" s="1" t="n">
        <v>11999</v>
      </c>
      <c r="O606" s="1" t="n">
        <v>0</v>
      </c>
      <c r="P606" s="1" t="n">
        <v>0</v>
      </c>
      <c r="Q606" s="1" t="n">
        <v>11999</v>
      </c>
      <c r="R606" s="1" t="n">
        <v>2159.82</v>
      </c>
      <c r="S606" s="1" t="n">
        <v>9839.18</v>
      </c>
      <c r="T606" s="1" t="n">
        <v>4340.58</v>
      </c>
      <c r="U606" s="1" t="n">
        <v>5498.6</v>
      </c>
      <c r="V606" s="1" t="n">
        <v>55.88</v>
      </c>
      <c r="W606" s="1" t="s">
        <v>39</v>
      </c>
      <c r="X606" s="1" t="n">
        <v>3</v>
      </c>
      <c r="Y606" s="1" t="s">
        <v>40</v>
      </c>
      <c r="Z606" s="1" t="n">
        <v>0</v>
      </c>
      <c r="AA606" s="1" t="str">
        <f aca="false">TRIM(PROPER(F606))</f>
        <v>Madurai</v>
      </c>
      <c r="AB606" s="1" t="str">
        <f aca="false">TRIM(PROPER(C606))</f>
        <v>Embibe</v>
      </c>
      <c r="AC606" s="1" t="str">
        <f aca="false">IF(O606=0,"No Discount",IF(O606&lt;=15,"Low (1-15%)",IF(O606&lt;=30,"Medium (16-30%)","High (&gt;30%)")))</f>
        <v>No Discount</v>
      </c>
      <c r="AD606" s="1" t="str">
        <f aca="false">IF(V606&lt;0,"Loss Making",IF(V606&lt;20,"Low Margin","Healthy Margin"))</f>
        <v>Healthy Margin</v>
      </c>
      <c r="AE606" s="1" t="str">
        <f aca="false">TEXT(DATE(VALUE(RIGHT(B606,4)),VALUE(MID(B606,4,2)),VALUE(LEFT(B606,2))),"MMM-YYYY")</f>
        <v>Feb-2024</v>
      </c>
      <c r="AF606" s="1" t="n">
        <f aca="false">VALUE(RIGHT(B606,4))</f>
        <v>2024</v>
      </c>
      <c r="AG606" s="1" t="str">
        <f aca="false">CHOOSE(ROUNDUP(VALUE(MID(B606,4,2))/3,0),"Q1","Q2","Q3","Q4")</f>
        <v>Q1</v>
      </c>
    </row>
    <row r="607" customFormat="false" ht="15" hidden="false" customHeight="true" outlineLevel="0" collapsed="false">
      <c r="A607" s="1" t="s">
        <v>1191</v>
      </c>
      <c r="B607" s="1" t="s">
        <v>620</v>
      </c>
      <c r="C607" s="1" t="s">
        <v>134</v>
      </c>
      <c r="D607" s="1" t="s">
        <v>94</v>
      </c>
      <c r="E607" s="1" t="s">
        <v>135</v>
      </c>
      <c r="F607" s="1" t="s">
        <v>156</v>
      </c>
      <c r="G607" s="1" t="s">
        <v>68</v>
      </c>
      <c r="H607" s="1" t="s">
        <v>57</v>
      </c>
      <c r="I607" s="1" t="s">
        <v>34</v>
      </c>
      <c r="J607" s="1" t="s">
        <v>70</v>
      </c>
      <c r="K607" s="1" t="s">
        <v>112</v>
      </c>
      <c r="L607" s="1" t="s">
        <v>49</v>
      </c>
      <c r="M607" s="1" t="s">
        <v>50</v>
      </c>
      <c r="N607" s="1" t="n">
        <v>9999</v>
      </c>
      <c r="O607" s="1" t="n">
        <v>5</v>
      </c>
      <c r="P607" s="1" t="n">
        <v>499.95</v>
      </c>
      <c r="Q607" s="1" t="n">
        <v>9499.05</v>
      </c>
      <c r="R607" s="1" t="n">
        <v>1709.83</v>
      </c>
      <c r="S607" s="1" t="n">
        <v>7789.22</v>
      </c>
      <c r="T607" s="1" t="n">
        <v>3950.63</v>
      </c>
      <c r="U607" s="1" t="n">
        <v>3838.59</v>
      </c>
      <c r="V607" s="1" t="n">
        <v>49.28</v>
      </c>
      <c r="W607" s="1" t="s">
        <v>39</v>
      </c>
      <c r="Y607" s="1" t="s">
        <v>40</v>
      </c>
      <c r="Z607" s="1" t="n">
        <v>0</v>
      </c>
      <c r="AA607" s="1" t="str">
        <f aca="false">TRIM(PROPER(F607))</f>
        <v>Surat</v>
      </c>
      <c r="AB607" s="1" t="str">
        <f aca="false">TRIM(PROPER(C607))</f>
        <v>Doubtnut</v>
      </c>
      <c r="AC607" s="1" t="str">
        <f aca="false">IF(O607=0,"No Discount",IF(O607&lt;=15,"Low (1-15%)",IF(O607&lt;=30,"Medium (16-30%)","High (&gt;30%)")))</f>
        <v>Low (1-15%)</v>
      </c>
      <c r="AD607" s="1" t="str">
        <f aca="false">IF(V607&lt;0,"Loss Making",IF(V607&lt;20,"Low Margin","Healthy Margin"))</f>
        <v>Healthy Margin</v>
      </c>
      <c r="AE607" s="1" t="str">
        <f aca="false">TEXT(DATE(VALUE(RIGHT(B607,4)),VALUE(MID(B607,4,2)),VALUE(LEFT(B607,2))),"MMM-YYYY")</f>
        <v>Jan-2024</v>
      </c>
      <c r="AF607" s="1" t="n">
        <f aca="false">VALUE(RIGHT(B607,4))</f>
        <v>2024</v>
      </c>
      <c r="AG607" s="1" t="str">
        <f aca="false">CHOOSE(ROUNDUP(VALUE(MID(B607,4,2))/3,0),"Q1","Q2","Q3","Q4")</f>
        <v>Q1</v>
      </c>
    </row>
    <row r="608" customFormat="false" ht="15" hidden="false" customHeight="true" outlineLevel="0" collapsed="false">
      <c r="A608" s="1" t="s">
        <v>1192</v>
      </c>
      <c r="B608" s="1" t="s">
        <v>825</v>
      </c>
      <c r="C608" s="1" t="s">
        <v>128</v>
      </c>
      <c r="D608" s="1" t="s">
        <v>123</v>
      </c>
      <c r="E608" s="1" t="s">
        <v>124</v>
      </c>
      <c r="F608" s="1" t="s">
        <v>75</v>
      </c>
      <c r="G608" s="1" t="s">
        <v>76</v>
      </c>
      <c r="H608" s="1" t="s">
        <v>69</v>
      </c>
      <c r="I608" s="1" t="s">
        <v>34</v>
      </c>
      <c r="J608" s="1" t="s">
        <v>35</v>
      </c>
      <c r="K608" s="1" t="s">
        <v>60</v>
      </c>
      <c r="L608" s="1" t="s">
        <v>37</v>
      </c>
      <c r="M608" s="1" t="s">
        <v>50</v>
      </c>
      <c r="N608" s="1" t="n">
        <v>4999</v>
      </c>
      <c r="O608" s="1" t="n">
        <v>0</v>
      </c>
      <c r="P608" s="1" t="n">
        <v>0</v>
      </c>
      <c r="Q608" s="1" t="n">
        <v>4999</v>
      </c>
      <c r="R608" s="1" t="n">
        <v>899.82</v>
      </c>
      <c r="S608" s="1" t="n">
        <v>4099.18</v>
      </c>
      <c r="T608" s="1" t="n">
        <v>2129.68</v>
      </c>
      <c r="U608" s="1" t="n">
        <v>1969.5</v>
      </c>
      <c r="V608" s="1" t="n">
        <v>48.05</v>
      </c>
      <c r="W608" s="1" t="s">
        <v>39</v>
      </c>
      <c r="X608" s="1" t="n">
        <v>3.7</v>
      </c>
      <c r="Y608" s="1" t="s">
        <v>40</v>
      </c>
      <c r="Z608" s="1" t="n">
        <v>0</v>
      </c>
      <c r="AA608" s="1" t="str">
        <f aca="false">TRIM(PROPER(F608))</f>
        <v>Kolkata</v>
      </c>
      <c r="AB608" s="1" t="str">
        <f aca="false">TRIM(PROPER(C608))</f>
        <v>Great Learning</v>
      </c>
      <c r="AC608" s="1" t="str">
        <f aca="false">IF(O608=0,"No Discount",IF(O608&lt;=15,"Low (1-15%)",IF(O608&lt;=30,"Medium (16-30%)","High (&gt;30%)")))</f>
        <v>No Discount</v>
      </c>
      <c r="AD608" s="1" t="str">
        <f aca="false">IF(V608&lt;0,"Loss Making",IF(V608&lt;20,"Low Margin","Healthy Margin"))</f>
        <v>Healthy Margin</v>
      </c>
      <c r="AE608" s="1" t="str">
        <f aca="false">TEXT(DATE(VALUE(RIGHT(B608,4)),VALUE(MID(B608,4,2)),VALUE(LEFT(B608,2))),"MMM-YYYY")</f>
        <v>Apr-2023</v>
      </c>
      <c r="AF608" s="1" t="n">
        <f aca="false">VALUE(RIGHT(B608,4))</f>
        <v>2023</v>
      </c>
      <c r="AG608" s="1" t="str">
        <f aca="false">CHOOSE(ROUNDUP(VALUE(MID(B608,4,2))/3,0),"Q1","Q2","Q3","Q4")</f>
        <v>Q2</v>
      </c>
    </row>
    <row r="609" customFormat="false" ht="15" hidden="false" customHeight="true" outlineLevel="0" collapsed="false">
      <c r="A609" s="1" t="s">
        <v>1193</v>
      </c>
      <c r="B609" s="1" t="s">
        <v>487</v>
      </c>
      <c r="C609" s="1" t="s">
        <v>119</v>
      </c>
      <c r="D609" s="1" t="s">
        <v>168</v>
      </c>
      <c r="E609" s="1" t="s">
        <v>328</v>
      </c>
      <c r="F609" s="1" t="s">
        <v>156</v>
      </c>
      <c r="G609" s="1" t="s">
        <v>68</v>
      </c>
      <c r="H609" s="1" t="s">
        <v>57</v>
      </c>
      <c r="I609" s="1" t="s">
        <v>83</v>
      </c>
      <c r="J609" s="1" t="s">
        <v>77</v>
      </c>
      <c r="K609" s="1" t="s">
        <v>48</v>
      </c>
      <c r="L609" s="1" t="s">
        <v>61</v>
      </c>
      <c r="M609" s="1" t="s">
        <v>62</v>
      </c>
      <c r="N609" s="1" t="n">
        <v>8999</v>
      </c>
      <c r="O609" s="1" t="n">
        <v>10</v>
      </c>
      <c r="P609" s="1" t="n">
        <v>899.9</v>
      </c>
      <c r="Q609" s="1" t="n">
        <v>8099.1</v>
      </c>
      <c r="R609" s="1" t="n">
        <v>1457.84</v>
      </c>
      <c r="S609" s="1" t="n">
        <v>6641.26</v>
      </c>
      <c r="T609" s="1" t="n">
        <v>3145.55</v>
      </c>
      <c r="U609" s="1" t="n">
        <v>3495.71</v>
      </c>
      <c r="V609" s="1" t="n">
        <v>52.64</v>
      </c>
      <c r="W609" s="1" t="s">
        <v>39</v>
      </c>
      <c r="X609" s="1" t="n">
        <v>3.3</v>
      </c>
      <c r="Y609" s="1" t="s">
        <v>40</v>
      </c>
      <c r="Z609" s="1" t="n">
        <v>0</v>
      </c>
      <c r="AA609" s="1" t="str">
        <f aca="false">TRIM(PROPER(F609))</f>
        <v>Surat</v>
      </c>
      <c r="AB609" s="1" t="str">
        <f aca="false">TRIM(PROPER(C609))</f>
        <v>Simplilearn</v>
      </c>
      <c r="AC609" s="1" t="str">
        <f aca="false">IF(O609=0,"No Discount",IF(O609&lt;=15,"Low (1-15%)",IF(O609&lt;=30,"Medium (16-30%)","High (&gt;30%)")))</f>
        <v>Low (1-15%)</v>
      </c>
      <c r="AD609" s="1" t="str">
        <f aca="false">IF(V609&lt;0,"Loss Making",IF(V609&lt;20,"Low Margin","Healthy Margin"))</f>
        <v>Healthy Margin</v>
      </c>
      <c r="AE609" s="1" t="str">
        <f aca="false">TEXT(DATE(VALUE(RIGHT(B609,4)),VALUE(MID(B609,4,2)),VALUE(LEFT(B609,2))),"MMM-YYYY")</f>
        <v>Mar-2023</v>
      </c>
      <c r="AF609" s="1" t="n">
        <f aca="false">VALUE(RIGHT(B609,4))</f>
        <v>2023</v>
      </c>
      <c r="AG609" s="1" t="str">
        <f aca="false">CHOOSE(ROUNDUP(VALUE(MID(B609,4,2))/3,0),"Q1","Q2","Q3","Q4")</f>
        <v>Q1</v>
      </c>
    </row>
    <row r="610" customFormat="false" ht="15" hidden="false" customHeight="true" outlineLevel="0" collapsed="false">
      <c r="A610" s="1" t="s">
        <v>1194</v>
      </c>
      <c r="B610" s="1" t="s">
        <v>378</v>
      </c>
      <c r="C610" s="1" t="s">
        <v>93</v>
      </c>
      <c r="D610" s="1" t="s">
        <v>123</v>
      </c>
      <c r="E610" s="1" t="s">
        <v>233</v>
      </c>
      <c r="F610" s="1" t="s">
        <v>96</v>
      </c>
      <c r="G610" s="1" t="s">
        <v>97</v>
      </c>
      <c r="H610" s="1" t="s">
        <v>69</v>
      </c>
      <c r="I610" s="1" t="s">
        <v>83</v>
      </c>
      <c r="J610" s="1" t="s">
        <v>35</v>
      </c>
      <c r="K610" s="1" t="s">
        <v>90</v>
      </c>
      <c r="L610" s="1" t="s">
        <v>61</v>
      </c>
      <c r="M610" s="1" t="s">
        <v>50</v>
      </c>
      <c r="N610" s="1" t="n">
        <v>8999</v>
      </c>
      <c r="O610" s="1" t="n">
        <v>0</v>
      </c>
      <c r="P610" s="1" t="n">
        <v>0</v>
      </c>
      <c r="Q610" s="1" t="n">
        <v>8999</v>
      </c>
      <c r="R610" s="1" t="n">
        <v>1619.82</v>
      </c>
      <c r="S610" s="1" t="n">
        <v>7379.18</v>
      </c>
      <c r="T610" s="1" t="n">
        <v>2956.08</v>
      </c>
      <c r="U610" s="1" t="n">
        <v>4423.1</v>
      </c>
      <c r="V610" s="1" t="n">
        <v>59.94</v>
      </c>
      <c r="W610" s="1" t="s">
        <v>39</v>
      </c>
      <c r="X610" s="1" t="n">
        <v>3.9</v>
      </c>
      <c r="Y610" s="1" t="s">
        <v>40</v>
      </c>
      <c r="Z610" s="1" t="n">
        <v>0</v>
      </c>
      <c r="AA610" s="1" t="str">
        <f aca="false">TRIM(PROPER(F610))</f>
        <v>Pune</v>
      </c>
      <c r="AB610" s="1" t="str">
        <f aca="false">TRIM(PROPER(C610))</f>
        <v>Upgrad</v>
      </c>
      <c r="AC610" s="1" t="str">
        <f aca="false">IF(O610=0,"No Discount",IF(O610&lt;=15,"Low (1-15%)",IF(O610&lt;=30,"Medium (16-30%)","High (&gt;30%)")))</f>
        <v>No Discount</v>
      </c>
      <c r="AD610" s="1" t="str">
        <f aca="false">IF(V610&lt;0,"Loss Making",IF(V610&lt;20,"Low Margin","Healthy Margin"))</f>
        <v>Healthy Margin</v>
      </c>
      <c r="AE610" s="1" t="str">
        <f aca="false">TEXT(DATE(VALUE(RIGHT(B610,4)),VALUE(MID(B610,4,2)),VALUE(LEFT(B610,2))),"MMM-YYYY")</f>
        <v>Oct-2024</v>
      </c>
      <c r="AF610" s="1" t="n">
        <f aca="false">VALUE(RIGHT(B610,4))</f>
        <v>2024</v>
      </c>
      <c r="AG610" s="1" t="str">
        <f aca="false">CHOOSE(ROUNDUP(VALUE(MID(B610,4,2))/3,0),"Q1","Q2","Q3","Q4")</f>
        <v>Q4</v>
      </c>
    </row>
    <row r="611" customFormat="false" ht="15" hidden="false" customHeight="true" outlineLevel="0" collapsed="false">
      <c r="A611" s="1" t="s">
        <v>1195</v>
      </c>
      <c r="B611" s="1" t="s">
        <v>1196</v>
      </c>
      <c r="C611" s="1" t="s">
        <v>100</v>
      </c>
      <c r="D611" s="1" t="s">
        <v>80</v>
      </c>
      <c r="E611" s="1" t="s">
        <v>175</v>
      </c>
      <c r="F611" s="1" t="s">
        <v>184</v>
      </c>
      <c r="G611" s="1" t="s">
        <v>56</v>
      </c>
      <c r="H611" s="1" t="s">
        <v>57</v>
      </c>
      <c r="I611" s="1" t="s">
        <v>83</v>
      </c>
      <c r="J611" s="1" t="s">
        <v>70</v>
      </c>
      <c r="K611" s="1" t="s">
        <v>48</v>
      </c>
      <c r="L611" s="1" t="s">
        <v>37</v>
      </c>
      <c r="M611" s="1" t="s">
        <v>38</v>
      </c>
      <c r="N611" s="1" t="n">
        <v>19999</v>
      </c>
      <c r="O611" s="1" t="n">
        <v>20</v>
      </c>
      <c r="P611" s="1" t="n">
        <v>3999.8</v>
      </c>
      <c r="Q611" s="1" t="n">
        <v>15999.2</v>
      </c>
      <c r="R611" s="1" t="n">
        <v>2879.86</v>
      </c>
      <c r="S611" s="1" t="n">
        <v>13119.34</v>
      </c>
      <c r="T611" s="1" t="n">
        <v>6266.69</v>
      </c>
      <c r="U611" s="1" t="n">
        <v>6852.65</v>
      </c>
      <c r="V611" s="1" t="n">
        <v>52.23</v>
      </c>
      <c r="W611" s="1" t="s">
        <v>39</v>
      </c>
      <c r="X611" s="1" t="n">
        <v>3.9</v>
      </c>
      <c r="Y611" s="1" t="s">
        <v>40</v>
      </c>
      <c r="Z611" s="1" t="n">
        <v>1</v>
      </c>
      <c r="AA611" s="1" t="str">
        <f aca="false">TRIM(PROPER(F611))</f>
        <v>Faridabad</v>
      </c>
      <c r="AB611" s="1" t="str">
        <f aca="false">TRIM(PROPER(C611))</f>
        <v>Physics Wallah</v>
      </c>
      <c r="AC611" s="1" t="str">
        <f aca="false">IF(O611=0,"No Discount",IF(O611&lt;=15,"Low (1-15%)",IF(O611&lt;=30,"Medium (16-30%)","High (&gt;30%)")))</f>
        <v>Medium (16-30%)</v>
      </c>
      <c r="AD611" s="1" t="str">
        <f aca="false">IF(V611&lt;0,"Loss Making",IF(V611&lt;20,"Low Margin","Healthy Margin"))</f>
        <v>Healthy Margin</v>
      </c>
      <c r="AE611" s="1" t="str">
        <f aca="false">TEXT(DATE(VALUE(RIGHT(B611,4)),VALUE(MID(B611,4,2)),VALUE(LEFT(B611,2))),"MMM-YYYY")</f>
        <v>Jun-2024</v>
      </c>
      <c r="AF611" s="1" t="n">
        <f aca="false">VALUE(RIGHT(B611,4))</f>
        <v>2024</v>
      </c>
      <c r="AG611" s="1" t="str">
        <f aca="false">CHOOSE(ROUNDUP(VALUE(MID(B611,4,2))/3,0),"Q1","Q2","Q3","Q4")</f>
        <v>Q2</v>
      </c>
    </row>
    <row r="612" customFormat="false" ht="15" hidden="false" customHeight="true" outlineLevel="0" collapsed="false">
      <c r="A612" s="1" t="s">
        <v>1197</v>
      </c>
      <c r="B612" s="1" t="s">
        <v>1198</v>
      </c>
      <c r="C612" s="1" t="s">
        <v>128</v>
      </c>
      <c r="D612" s="1" t="s">
        <v>123</v>
      </c>
      <c r="E612" s="1" t="s">
        <v>233</v>
      </c>
      <c r="F612" s="1" t="s">
        <v>205</v>
      </c>
      <c r="G612" s="1" t="s">
        <v>56</v>
      </c>
      <c r="H612" s="1" t="s">
        <v>69</v>
      </c>
      <c r="I612" s="1" t="s">
        <v>58</v>
      </c>
      <c r="J612" s="1" t="s">
        <v>70</v>
      </c>
      <c r="K612" s="1" t="s">
        <v>60</v>
      </c>
      <c r="L612" s="1" t="s">
        <v>85</v>
      </c>
      <c r="M612" s="1" t="s">
        <v>62</v>
      </c>
      <c r="N612" s="1" t="n">
        <v>8999</v>
      </c>
      <c r="O612" s="1" t="n">
        <v>5</v>
      </c>
      <c r="P612" s="1" t="n">
        <v>449.95</v>
      </c>
      <c r="Q612" s="1" t="n">
        <v>8549.05</v>
      </c>
      <c r="R612" s="1" t="n">
        <v>1538.83</v>
      </c>
      <c r="S612" s="1" t="n">
        <v>7010.22</v>
      </c>
      <c r="T612" s="1" t="n">
        <v>3084.21</v>
      </c>
      <c r="U612" s="1" t="n">
        <v>3926.01</v>
      </c>
      <c r="V612" s="1" t="n">
        <v>56</v>
      </c>
      <c r="W612" s="1" t="s">
        <v>39</v>
      </c>
      <c r="X612" s="1" t="n">
        <v>3.3</v>
      </c>
      <c r="Y612" s="1" t="s">
        <v>39</v>
      </c>
      <c r="Z612" s="1" t="n">
        <v>0</v>
      </c>
      <c r="AA612" s="1" t="str">
        <f aca="false">TRIM(PROPER(F612))</f>
        <v>New Delhi</v>
      </c>
      <c r="AB612" s="1" t="str">
        <f aca="false">TRIM(PROPER(C612))</f>
        <v>Great Learning</v>
      </c>
      <c r="AC612" s="1" t="str">
        <f aca="false">IF(O612=0,"No Discount",IF(O612&lt;=15,"Low (1-15%)",IF(O612&lt;=30,"Medium (16-30%)","High (&gt;30%)")))</f>
        <v>Low (1-15%)</v>
      </c>
      <c r="AD612" s="1" t="str">
        <f aca="false">IF(V612&lt;0,"Loss Making",IF(V612&lt;20,"Low Margin","Healthy Margin"))</f>
        <v>Healthy Margin</v>
      </c>
      <c r="AE612" s="1" t="str">
        <f aca="false">TEXT(DATE(VALUE(RIGHT(B612,4)),VALUE(MID(B612,4,2)),VALUE(LEFT(B612,2))),"MMM-YYYY")</f>
        <v>Nov-2024</v>
      </c>
      <c r="AF612" s="1" t="n">
        <f aca="false">VALUE(RIGHT(B612,4))</f>
        <v>2024</v>
      </c>
      <c r="AG612" s="1" t="str">
        <f aca="false">CHOOSE(ROUNDUP(VALUE(MID(B612,4,2))/3,0),"Q1","Q2","Q3","Q4")</f>
        <v>Q4</v>
      </c>
    </row>
    <row r="613" customFormat="false" ht="15" hidden="false" customHeight="true" outlineLevel="0" collapsed="false">
      <c r="A613" s="1" t="s">
        <v>1199</v>
      </c>
      <c r="B613" s="1" t="s">
        <v>1200</v>
      </c>
      <c r="C613" s="1" t="s">
        <v>65</v>
      </c>
      <c r="D613" s="1" t="s">
        <v>123</v>
      </c>
      <c r="E613" s="1" t="s">
        <v>124</v>
      </c>
      <c r="F613" s="1" t="s">
        <v>244</v>
      </c>
      <c r="G613" s="1" t="s">
        <v>97</v>
      </c>
      <c r="H613" s="1" t="s">
        <v>57</v>
      </c>
      <c r="I613" s="1" t="s">
        <v>58</v>
      </c>
      <c r="J613" s="1" t="s">
        <v>77</v>
      </c>
      <c r="K613" s="1" t="s">
        <v>90</v>
      </c>
      <c r="L613" s="1" t="s">
        <v>113</v>
      </c>
      <c r="M613" s="1" t="s">
        <v>62</v>
      </c>
      <c r="N613" s="1" t="n">
        <v>4999</v>
      </c>
      <c r="O613" s="1" t="n">
        <v>30</v>
      </c>
      <c r="P613" s="1" t="n">
        <v>1499.7</v>
      </c>
      <c r="Q613" s="1" t="n">
        <v>3499.3</v>
      </c>
      <c r="R613" s="1" t="n">
        <v>629.87</v>
      </c>
      <c r="S613" s="1" t="n">
        <v>2869.43</v>
      </c>
      <c r="T613" s="1" t="n">
        <v>1348.29</v>
      </c>
      <c r="U613" s="1" t="n">
        <v>1521.14</v>
      </c>
      <c r="V613" s="1" t="n">
        <v>53.01</v>
      </c>
      <c r="W613" s="1" t="s">
        <v>39</v>
      </c>
      <c r="X613" s="1" t="n">
        <v>3.2</v>
      </c>
      <c r="Y613" s="1" t="s">
        <v>40</v>
      </c>
      <c r="Z613" s="1" t="n">
        <v>1</v>
      </c>
      <c r="AA613" s="1" t="str">
        <f aca="false">TRIM(PROPER(F613))</f>
        <v>Nagpur</v>
      </c>
      <c r="AB613" s="1" t="str">
        <f aca="false">TRIM(PROPER(C613))</f>
        <v>Toppr</v>
      </c>
      <c r="AC613" s="1" t="str">
        <f aca="false">IF(O613=0,"No Discount",IF(O613&lt;=15,"Low (1-15%)",IF(O613&lt;=30,"Medium (16-30%)","High (&gt;30%)")))</f>
        <v>Medium (16-30%)</v>
      </c>
      <c r="AD613" s="1" t="str">
        <f aca="false">IF(V613&lt;0,"Loss Making",IF(V613&lt;20,"Low Margin","Healthy Margin"))</f>
        <v>Healthy Margin</v>
      </c>
      <c r="AE613" s="1" t="str">
        <f aca="false">TEXT(DATE(VALUE(RIGHT(B613,4)),VALUE(MID(B613,4,2)),VALUE(LEFT(B613,2))),"MMM-YYYY")</f>
        <v>Oct-2024</v>
      </c>
      <c r="AF613" s="1" t="n">
        <f aca="false">VALUE(RIGHT(B613,4))</f>
        <v>2024</v>
      </c>
      <c r="AG613" s="1" t="str">
        <f aca="false">CHOOSE(ROUNDUP(VALUE(MID(B613,4,2))/3,0),"Q1","Q2","Q3","Q4")</f>
        <v>Q4</v>
      </c>
    </row>
    <row r="614" customFormat="false" ht="15" hidden="false" customHeight="true" outlineLevel="0" collapsed="false">
      <c r="A614" s="1" t="s">
        <v>1201</v>
      </c>
      <c r="B614" s="1" t="s">
        <v>164</v>
      </c>
      <c r="C614" s="1" t="s">
        <v>134</v>
      </c>
      <c r="D614" s="1" t="s">
        <v>53</v>
      </c>
      <c r="E614" s="1" t="s">
        <v>54</v>
      </c>
      <c r="F614" s="1" t="s">
        <v>205</v>
      </c>
      <c r="G614" s="1" t="s">
        <v>56</v>
      </c>
      <c r="H614" s="1" t="s">
        <v>69</v>
      </c>
      <c r="I614" s="1" t="s">
        <v>83</v>
      </c>
      <c r="J614" s="1" t="s">
        <v>131</v>
      </c>
      <c r="K614" s="1" t="s">
        <v>48</v>
      </c>
      <c r="L614" s="1" t="s">
        <v>49</v>
      </c>
      <c r="M614" s="1" t="s">
        <v>50</v>
      </c>
      <c r="N614" s="1" t="n">
        <v>11999</v>
      </c>
      <c r="O614" s="1" t="n">
        <v>25</v>
      </c>
      <c r="P614" s="1" t="n">
        <v>2999.75</v>
      </c>
      <c r="Q614" s="1" t="n">
        <v>8999.25</v>
      </c>
      <c r="R614" s="1" t="n">
        <v>1619.87</v>
      </c>
      <c r="S614" s="1" t="n">
        <v>7379.38</v>
      </c>
      <c r="T614" s="1" t="n">
        <v>2747.64</v>
      </c>
      <c r="U614" s="1" t="n">
        <v>4631.74</v>
      </c>
      <c r="V614" s="1" t="n">
        <v>62.77</v>
      </c>
      <c r="W614" s="1" t="s">
        <v>40</v>
      </c>
      <c r="Y614" s="1" t="s">
        <v>40</v>
      </c>
      <c r="Z614" s="1" t="n">
        <v>0</v>
      </c>
      <c r="AA614" s="1" t="str">
        <f aca="false">TRIM(PROPER(F614))</f>
        <v>New Delhi</v>
      </c>
      <c r="AB614" s="1" t="str">
        <f aca="false">TRIM(PROPER(C614))</f>
        <v>Doubtnut</v>
      </c>
      <c r="AC614" s="1" t="str">
        <f aca="false">IF(O614=0,"No Discount",IF(O614&lt;=15,"Low (1-15%)",IF(O614&lt;=30,"Medium (16-30%)","High (&gt;30%)")))</f>
        <v>Medium (16-30%)</v>
      </c>
      <c r="AD614" s="1" t="str">
        <f aca="false">IF(V614&lt;0,"Loss Making",IF(V614&lt;20,"Low Margin","Healthy Margin"))</f>
        <v>Healthy Margin</v>
      </c>
      <c r="AE614" s="1" t="str">
        <f aca="false">TEXT(DATE(VALUE(RIGHT(B614,4)),VALUE(MID(B614,4,2)),VALUE(LEFT(B614,2))),"MMM-YYYY")</f>
        <v>Jan-2023</v>
      </c>
      <c r="AF614" s="1" t="n">
        <f aca="false">VALUE(RIGHT(B614,4))</f>
        <v>2023</v>
      </c>
      <c r="AG614" s="1" t="str">
        <f aca="false">CHOOSE(ROUNDUP(VALUE(MID(B614,4,2))/3,0),"Q1","Q2","Q3","Q4")</f>
        <v>Q1</v>
      </c>
    </row>
    <row r="615" customFormat="false" ht="15" hidden="false" customHeight="true" outlineLevel="0" collapsed="false">
      <c r="A615" s="1" t="s">
        <v>1202</v>
      </c>
      <c r="B615" s="1" t="s">
        <v>1203</v>
      </c>
      <c r="C615" s="1" t="s">
        <v>88</v>
      </c>
      <c r="D615" s="1" t="s">
        <v>44</v>
      </c>
      <c r="E615" s="1" t="s">
        <v>66</v>
      </c>
      <c r="F615" s="1" t="s">
        <v>474</v>
      </c>
      <c r="G615" s="1" t="s">
        <v>108</v>
      </c>
      <c r="H615" s="1" t="s">
        <v>69</v>
      </c>
      <c r="I615" s="1" t="s">
        <v>83</v>
      </c>
      <c r="J615" s="1" t="s">
        <v>70</v>
      </c>
      <c r="K615" s="1" t="s">
        <v>48</v>
      </c>
      <c r="L615" s="1" t="s">
        <v>49</v>
      </c>
      <c r="M615" s="1" t="s">
        <v>62</v>
      </c>
      <c r="N615" s="1" t="n">
        <v>12999</v>
      </c>
      <c r="O615" s="1" t="n">
        <v>5</v>
      </c>
      <c r="P615" s="1" t="n">
        <v>649.95</v>
      </c>
      <c r="Q615" s="1" t="n">
        <v>12349.05</v>
      </c>
      <c r="R615" s="1" t="n">
        <v>2222.83</v>
      </c>
      <c r="S615" s="1" t="n">
        <v>10126.22</v>
      </c>
      <c r="T615" s="1" t="n">
        <v>4084.84</v>
      </c>
      <c r="U615" s="1" t="n">
        <v>6041.38</v>
      </c>
      <c r="V615" s="1" t="n">
        <v>59.66</v>
      </c>
      <c r="W615" s="1" t="s">
        <v>40</v>
      </c>
      <c r="Y615" s="1" t="s">
        <v>40</v>
      </c>
      <c r="Z615" s="1" t="n">
        <v>0</v>
      </c>
      <c r="AA615" s="1" t="str">
        <f aca="false">TRIM(PROPER(F615))</f>
        <v>Chennai</v>
      </c>
      <c r="AB615" s="1" t="str">
        <f aca="false">TRIM(PROPER(C615))</f>
        <v>Byju'S</v>
      </c>
      <c r="AC615" s="1" t="str">
        <f aca="false">IF(O615=0,"No Discount",IF(O615&lt;=15,"Low (1-15%)",IF(O615&lt;=30,"Medium (16-30%)","High (&gt;30%)")))</f>
        <v>Low (1-15%)</v>
      </c>
      <c r="AD615" s="1" t="str">
        <f aca="false">IF(V615&lt;0,"Loss Making",IF(V615&lt;20,"Low Margin","Healthy Margin"))</f>
        <v>Healthy Margin</v>
      </c>
      <c r="AE615" s="1" t="str">
        <f aca="false">TEXT(DATE(VALUE(RIGHT(B615,4)),VALUE(MID(B615,4,2)),VALUE(LEFT(B615,2))),"MMM-YYYY")</f>
        <v>Sep-2023</v>
      </c>
      <c r="AF615" s="1" t="n">
        <f aca="false">VALUE(RIGHT(B615,4))</f>
        <v>2023</v>
      </c>
      <c r="AG615" s="1" t="str">
        <f aca="false">CHOOSE(ROUNDUP(VALUE(MID(B615,4,2))/3,0),"Q1","Q2","Q3","Q4")</f>
        <v>Q3</v>
      </c>
    </row>
    <row r="616" customFormat="false" ht="15" hidden="false" customHeight="true" outlineLevel="0" collapsed="false">
      <c r="A616" s="1" t="s">
        <v>1204</v>
      </c>
      <c r="B616" s="1" t="s">
        <v>1205</v>
      </c>
      <c r="C616" s="1" t="s">
        <v>128</v>
      </c>
      <c r="D616" s="1" t="s">
        <v>143</v>
      </c>
      <c r="E616" s="1" t="s">
        <v>210</v>
      </c>
      <c r="F616" s="1" t="s">
        <v>89</v>
      </c>
      <c r="G616" s="1" t="s">
        <v>68</v>
      </c>
      <c r="H616" s="1" t="s">
        <v>33</v>
      </c>
      <c r="I616" s="1" t="s">
        <v>58</v>
      </c>
      <c r="J616" s="1" t="s">
        <v>59</v>
      </c>
      <c r="K616" s="1" t="s">
        <v>48</v>
      </c>
      <c r="L616" s="1" t="s">
        <v>49</v>
      </c>
      <c r="M616" s="1" t="s">
        <v>50</v>
      </c>
      <c r="N616" s="1" t="n">
        <v>18999</v>
      </c>
      <c r="O616" s="1" t="n">
        <v>0</v>
      </c>
      <c r="P616" s="1" t="n">
        <v>0</v>
      </c>
      <c r="Q616" s="1" t="n">
        <v>18999</v>
      </c>
      <c r="R616" s="1" t="n">
        <v>3419.82</v>
      </c>
      <c r="S616" s="1" t="n">
        <v>15579.18</v>
      </c>
      <c r="T616" s="1" t="n">
        <v>8391.49</v>
      </c>
      <c r="U616" s="1" t="n">
        <v>7187.69</v>
      </c>
      <c r="V616" s="1" t="n">
        <v>46.14</v>
      </c>
      <c r="W616" s="1" t="s">
        <v>39</v>
      </c>
      <c r="X616" s="1" t="n">
        <v>3.2</v>
      </c>
      <c r="Y616" s="1" t="s">
        <v>40</v>
      </c>
      <c r="Z616" s="1" t="n">
        <v>0</v>
      </c>
      <c r="AA616" s="1" t="str">
        <f aca="false">TRIM(PROPER(F616))</f>
        <v>Vadodara</v>
      </c>
      <c r="AB616" s="1" t="str">
        <f aca="false">TRIM(PROPER(C616))</f>
        <v>Great Learning</v>
      </c>
      <c r="AC616" s="1" t="str">
        <f aca="false">IF(O616=0,"No Discount",IF(O616&lt;=15,"Low (1-15%)",IF(O616&lt;=30,"Medium (16-30%)","High (&gt;30%)")))</f>
        <v>No Discount</v>
      </c>
      <c r="AD616" s="1" t="str">
        <f aca="false">IF(V616&lt;0,"Loss Making",IF(V616&lt;20,"Low Margin","Healthy Margin"))</f>
        <v>Healthy Margin</v>
      </c>
      <c r="AE616" s="1" t="str">
        <f aca="false">TEXT(DATE(VALUE(RIGHT(B616,4)),VALUE(MID(B616,4,2)),VALUE(LEFT(B616,2))),"MMM-YYYY")</f>
        <v>May-2024</v>
      </c>
      <c r="AF616" s="1" t="n">
        <f aca="false">VALUE(RIGHT(B616,4))</f>
        <v>2024</v>
      </c>
      <c r="AG616" s="1" t="str">
        <f aca="false">CHOOSE(ROUNDUP(VALUE(MID(B616,4,2))/3,0),"Q1","Q2","Q3","Q4")</f>
        <v>Q2</v>
      </c>
    </row>
    <row r="617" customFormat="false" ht="15" hidden="false" customHeight="true" outlineLevel="0" collapsed="false">
      <c r="A617" s="1" t="s">
        <v>1206</v>
      </c>
      <c r="B617" s="1" t="s">
        <v>1207</v>
      </c>
      <c r="C617" s="1" t="s">
        <v>119</v>
      </c>
      <c r="D617" s="1" t="s">
        <v>168</v>
      </c>
      <c r="E617" s="1" t="s">
        <v>172</v>
      </c>
      <c r="F617" s="1" t="s">
        <v>75</v>
      </c>
      <c r="G617" s="1" t="s">
        <v>76</v>
      </c>
      <c r="H617" s="1" t="s">
        <v>69</v>
      </c>
      <c r="I617" s="1" t="s">
        <v>83</v>
      </c>
      <c r="J617" s="1" t="s">
        <v>131</v>
      </c>
      <c r="K617" s="1" t="s">
        <v>90</v>
      </c>
      <c r="L617" s="1" t="s">
        <v>49</v>
      </c>
      <c r="M617" s="1" t="s">
        <v>38</v>
      </c>
      <c r="N617" s="1" t="n">
        <v>6999</v>
      </c>
      <c r="O617" s="1" t="n">
        <v>20</v>
      </c>
      <c r="P617" s="1" t="n">
        <v>1399.8</v>
      </c>
      <c r="Q617" s="1" t="n">
        <v>5599.2</v>
      </c>
      <c r="R617" s="1" t="n">
        <v>1007.86</v>
      </c>
      <c r="S617" s="1" t="n">
        <v>4591.34</v>
      </c>
      <c r="T617" s="1" t="n">
        <v>1686.99</v>
      </c>
      <c r="U617" s="1" t="n">
        <v>2904.35</v>
      </c>
      <c r="V617" s="1" t="n">
        <v>63.26</v>
      </c>
      <c r="W617" s="1" t="s">
        <v>39</v>
      </c>
      <c r="Y617" s="1" t="s">
        <v>40</v>
      </c>
      <c r="Z617" s="1" t="n">
        <v>0</v>
      </c>
      <c r="AA617" s="1" t="str">
        <f aca="false">TRIM(PROPER(F617))</f>
        <v>Kolkata</v>
      </c>
      <c r="AB617" s="1" t="str">
        <f aca="false">TRIM(PROPER(C617))</f>
        <v>Simplilearn</v>
      </c>
      <c r="AC617" s="1" t="str">
        <f aca="false">IF(O617=0,"No Discount",IF(O617&lt;=15,"Low (1-15%)",IF(O617&lt;=30,"Medium (16-30%)","High (&gt;30%)")))</f>
        <v>Medium (16-30%)</v>
      </c>
      <c r="AD617" s="1" t="str">
        <f aca="false">IF(V617&lt;0,"Loss Making",IF(V617&lt;20,"Low Margin","Healthy Margin"))</f>
        <v>Healthy Margin</v>
      </c>
      <c r="AE617" s="1" t="str">
        <f aca="false">TEXT(DATE(VALUE(RIGHT(B617,4)),VALUE(MID(B617,4,2)),VALUE(LEFT(B617,2))),"MMM-YYYY")</f>
        <v>Mar-2024</v>
      </c>
      <c r="AF617" s="1" t="n">
        <f aca="false">VALUE(RIGHT(B617,4))</f>
        <v>2024</v>
      </c>
      <c r="AG617" s="1" t="str">
        <f aca="false">CHOOSE(ROUNDUP(VALUE(MID(B617,4,2))/3,0),"Q1","Q2","Q3","Q4")</f>
        <v>Q1</v>
      </c>
    </row>
    <row r="618" customFormat="false" ht="15" hidden="false" customHeight="true" outlineLevel="0" collapsed="false">
      <c r="A618" s="1" t="s">
        <v>1208</v>
      </c>
      <c r="B618" s="1" t="s">
        <v>849</v>
      </c>
      <c r="C618" s="1" t="s">
        <v>119</v>
      </c>
      <c r="D618" s="1" t="s">
        <v>168</v>
      </c>
      <c r="E618" s="1" t="s">
        <v>328</v>
      </c>
      <c r="F618" s="1" t="s">
        <v>120</v>
      </c>
      <c r="G618" s="1" t="s">
        <v>47</v>
      </c>
      <c r="H618" s="1" t="s">
        <v>57</v>
      </c>
      <c r="I618" s="1" t="s">
        <v>58</v>
      </c>
      <c r="J618" s="1" t="s">
        <v>77</v>
      </c>
      <c r="K618" s="1" t="s">
        <v>112</v>
      </c>
      <c r="L618" s="1" t="s">
        <v>49</v>
      </c>
      <c r="M618" s="1" t="s">
        <v>38</v>
      </c>
      <c r="N618" s="1" t="n">
        <v>8999</v>
      </c>
      <c r="O618" s="1" t="n">
        <v>20</v>
      </c>
      <c r="P618" s="1" t="n">
        <v>1799.8</v>
      </c>
      <c r="Q618" s="1" t="n">
        <v>7199.2</v>
      </c>
      <c r="R618" s="1" t="n">
        <v>1295.86</v>
      </c>
      <c r="S618" s="1" t="n">
        <v>5903.34</v>
      </c>
      <c r="T618" s="1" t="n">
        <v>2391.3</v>
      </c>
      <c r="U618" s="1" t="n">
        <v>3512.04</v>
      </c>
      <c r="V618" s="1" t="n">
        <v>59.49</v>
      </c>
      <c r="W618" s="1" t="s">
        <v>39</v>
      </c>
      <c r="X618" s="1" t="n">
        <v>3.8</v>
      </c>
      <c r="Y618" s="1" t="s">
        <v>40</v>
      </c>
      <c r="Z618" s="1" t="n">
        <v>1</v>
      </c>
      <c r="AA618" s="1" t="str">
        <f aca="false">TRIM(PROPER(F618))</f>
        <v>Mysuru</v>
      </c>
      <c r="AB618" s="1" t="str">
        <f aca="false">TRIM(PROPER(C618))</f>
        <v>Simplilearn</v>
      </c>
      <c r="AC618" s="1" t="str">
        <f aca="false">IF(O618=0,"No Discount",IF(O618&lt;=15,"Low (1-15%)",IF(O618&lt;=30,"Medium (16-30%)","High (&gt;30%)")))</f>
        <v>Medium (16-30%)</v>
      </c>
      <c r="AD618" s="1" t="str">
        <f aca="false">IF(V618&lt;0,"Loss Making",IF(V618&lt;20,"Low Margin","Healthy Margin"))</f>
        <v>Healthy Margin</v>
      </c>
      <c r="AE618" s="1" t="str">
        <f aca="false">TEXT(DATE(VALUE(RIGHT(B618,4)),VALUE(MID(B618,4,2)),VALUE(LEFT(B618,2))),"MMM-YYYY")</f>
        <v>Apr-2024</v>
      </c>
      <c r="AF618" s="1" t="n">
        <f aca="false">VALUE(RIGHT(B618,4))</f>
        <v>2024</v>
      </c>
      <c r="AG618" s="1" t="str">
        <f aca="false">CHOOSE(ROUNDUP(VALUE(MID(B618,4,2))/3,0),"Q1","Q2","Q3","Q4")</f>
        <v>Q2</v>
      </c>
    </row>
    <row r="619" customFormat="false" ht="15" hidden="false" customHeight="true" outlineLevel="0" collapsed="false">
      <c r="A619" s="1" t="s">
        <v>1209</v>
      </c>
      <c r="B619" s="1" t="s">
        <v>1210</v>
      </c>
      <c r="C619" s="1" t="s">
        <v>74</v>
      </c>
      <c r="D619" s="1" t="s">
        <v>94</v>
      </c>
      <c r="E619" s="1" t="s">
        <v>95</v>
      </c>
      <c r="F619" s="1" t="s">
        <v>82</v>
      </c>
      <c r="G619" s="1" t="s">
        <v>56</v>
      </c>
      <c r="H619" s="1" t="s">
        <v>69</v>
      </c>
      <c r="I619" s="1" t="s">
        <v>83</v>
      </c>
      <c r="J619" s="1" t="s">
        <v>70</v>
      </c>
      <c r="K619" s="1" t="s">
        <v>112</v>
      </c>
      <c r="L619" s="1" t="s">
        <v>136</v>
      </c>
      <c r="M619" s="1" t="s">
        <v>62</v>
      </c>
      <c r="N619" s="1" t="n">
        <v>6999</v>
      </c>
      <c r="O619" s="1" t="n">
        <v>0</v>
      </c>
      <c r="P619" s="1" t="n">
        <v>0</v>
      </c>
      <c r="Q619" s="1" t="n">
        <v>6999</v>
      </c>
      <c r="R619" s="1" t="n">
        <v>1259.82</v>
      </c>
      <c r="S619" s="1" t="n">
        <v>5739.18</v>
      </c>
      <c r="T619" s="1" t="n">
        <v>2179.92</v>
      </c>
      <c r="U619" s="1" t="n">
        <v>3559.26</v>
      </c>
      <c r="V619" s="1" t="n">
        <v>62.02</v>
      </c>
      <c r="W619" s="1" t="s">
        <v>39</v>
      </c>
      <c r="X619" s="1" t="n">
        <v>3.3</v>
      </c>
      <c r="Y619" s="1" t="s">
        <v>40</v>
      </c>
      <c r="Z619" s="1" t="n">
        <v>1</v>
      </c>
      <c r="AA619" s="1" t="str">
        <f aca="false">TRIM(PROPER(F619))</f>
        <v>Gurugram</v>
      </c>
      <c r="AB619" s="1" t="str">
        <f aca="false">TRIM(PROPER(C619))</f>
        <v>Vedantu</v>
      </c>
      <c r="AC619" s="1" t="str">
        <f aca="false">IF(O619=0,"No Discount",IF(O619&lt;=15,"Low (1-15%)",IF(O619&lt;=30,"Medium (16-30%)","High (&gt;30%)")))</f>
        <v>No Discount</v>
      </c>
      <c r="AD619" s="1" t="str">
        <f aca="false">IF(V619&lt;0,"Loss Making",IF(V619&lt;20,"Low Margin","Healthy Margin"))</f>
        <v>Healthy Margin</v>
      </c>
      <c r="AE619" s="1" t="str">
        <f aca="false">TEXT(DATE(VALUE(RIGHT(B619,4)),VALUE(MID(B619,4,2)),VALUE(LEFT(B619,2))),"MMM-YYYY")</f>
        <v>Mar-2024</v>
      </c>
      <c r="AF619" s="1" t="n">
        <f aca="false">VALUE(RIGHT(B619,4))</f>
        <v>2024</v>
      </c>
      <c r="AG619" s="1" t="str">
        <f aca="false">CHOOSE(ROUNDUP(VALUE(MID(B619,4,2))/3,0),"Q1","Q2","Q3","Q4")</f>
        <v>Q1</v>
      </c>
    </row>
    <row r="620" customFormat="false" ht="15" hidden="false" customHeight="true" outlineLevel="0" collapsed="false">
      <c r="A620" s="1" t="s">
        <v>1211</v>
      </c>
      <c r="B620" s="1" t="s">
        <v>1212</v>
      </c>
      <c r="C620" s="1" t="s">
        <v>134</v>
      </c>
      <c r="D620" s="1" t="s">
        <v>29</v>
      </c>
      <c r="E620" s="1" t="s">
        <v>129</v>
      </c>
      <c r="F620" s="1" t="s">
        <v>1213</v>
      </c>
      <c r="G620" s="1" t="s">
        <v>47</v>
      </c>
      <c r="H620" s="1" t="s">
        <v>57</v>
      </c>
      <c r="I620" s="1" t="s">
        <v>34</v>
      </c>
      <c r="J620" s="1" t="s">
        <v>77</v>
      </c>
      <c r="K620" s="1" t="s">
        <v>90</v>
      </c>
      <c r="L620" s="1" t="s">
        <v>37</v>
      </c>
      <c r="M620" s="1" t="s">
        <v>38</v>
      </c>
      <c r="N620" s="1" t="n">
        <v>29999</v>
      </c>
      <c r="O620" s="1" t="n">
        <v>50</v>
      </c>
      <c r="P620" s="1" t="n">
        <v>14999.5</v>
      </c>
      <c r="Q620" s="1" t="n">
        <v>14999.5</v>
      </c>
      <c r="R620" s="1" t="n">
        <v>2699.91</v>
      </c>
      <c r="S620" s="1" t="n">
        <v>12299.59</v>
      </c>
      <c r="T620" s="1" t="n">
        <v>7953.74</v>
      </c>
      <c r="U620" s="1" t="n">
        <v>4345.85</v>
      </c>
      <c r="V620" s="1" t="n">
        <v>35.33</v>
      </c>
      <c r="W620" s="1" t="s">
        <v>40</v>
      </c>
      <c r="Y620" s="1" t="s">
        <v>40</v>
      </c>
      <c r="Z620" s="1" t="n">
        <v>2</v>
      </c>
      <c r="AA620" s="1" t="str">
        <f aca="false">TRIM(PROPER(F620))</f>
        <v>Mysuru</v>
      </c>
      <c r="AB620" s="1" t="str">
        <f aca="false">TRIM(PROPER(C620))</f>
        <v>Doubtnut</v>
      </c>
      <c r="AC620" s="1" t="str">
        <f aca="false">IF(O620=0,"No Discount",IF(O620&lt;=15,"Low (1-15%)",IF(O620&lt;=30,"Medium (16-30%)","High (&gt;30%)")))</f>
        <v>High (&gt;30%)</v>
      </c>
      <c r="AD620" s="1" t="str">
        <f aca="false">IF(V620&lt;0,"Loss Making",IF(V620&lt;20,"Low Margin","Healthy Margin"))</f>
        <v>Healthy Margin</v>
      </c>
      <c r="AE620" s="1" t="str">
        <f aca="false">TEXT(DATE(VALUE(RIGHT(B620,4)),VALUE(MID(B620,4,2)),VALUE(LEFT(B620,2))),"MMM-YYYY")</f>
        <v>Jul-2023</v>
      </c>
      <c r="AF620" s="1" t="n">
        <f aca="false">VALUE(RIGHT(B620,4))</f>
        <v>2023</v>
      </c>
      <c r="AG620" s="1" t="str">
        <f aca="false">CHOOSE(ROUNDUP(VALUE(MID(B620,4,2))/3,0),"Q1","Q2","Q3","Q4")</f>
        <v>Q3</v>
      </c>
    </row>
    <row r="621" customFormat="false" ht="15" hidden="false" customHeight="true" outlineLevel="0" collapsed="false">
      <c r="A621" s="1" t="s">
        <v>1214</v>
      </c>
      <c r="B621" s="1" t="s">
        <v>1215</v>
      </c>
      <c r="C621" s="1" t="s">
        <v>134</v>
      </c>
      <c r="D621" s="1" t="s">
        <v>123</v>
      </c>
      <c r="E621" s="1" t="s">
        <v>147</v>
      </c>
      <c r="F621" s="1" t="s">
        <v>82</v>
      </c>
      <c r="G621" s="1" t="s">
        <v>56</v>
      </c>
      <c r="H621" s="1" t="s">
        <v>69</v>
      </c>
      <c r="I621" s="1" t="s">
        <v>58</v>
      </c>
      <c r="J621" s="1" t="s">
        <v>70</v>
      </c>
      <c r="K621" s="1" t="s">
        <v>104</v>
      </c>
      <c r="L621" s="1" t="s">
        <v>85</v>
      </c>
      <c r="M621" s="1" t="s">
        <v>50</v>
      </c>
      <c r="N621" s="1" t="n">
        <v>6999</v>
      </c>
      <c r="O621" s="1" t="n">
        <v>40</v>
      </c>
      <c r="P621" s="1" t="n">
        <v>2799.6</v>
      </c>
      <c r="Q621" s="1" t="n">
        <v>4199.4</v>
      </c>
      <c r="R621" s="1" t="n">
        <v>755.89</v>
      </c>
      <c r="S621" s="1" t="n">
        <v>3443.51</v>
      </c>
      <c r="T621" s="1" t="n">
        <v>1781.38</v>
      </c>
      <c r="U621" s="1" t="n">
        <v>1662.13</v>
      </c>
      <c r="V621" s="1" t="n">
        <v>48.27</v>
      </c>
      <c r="W621" s="1" t="s">
        <v>40</v>
      </c>
      <c r="Y621" s="1" t="s">
        <v>40</v>
      </c>
      <c r="Z621" s="1" t="n">
        <v>0</v>
      </c>
      <c r="AA621" s="1" t="str">
        <f aca="false">TRIM(PROPER(F621))</f>
        <v>Gurugram</v>
      </c>
      <c r="AB621" s="1" t="str">
        <f aca="false">TRIM(PROPER(C621))</f>
        <v>Doubtnut</v>
      </c>
      <c r="AC621" s="1" t="str">
        <f aca="false">IF(O621=0,"No Discount",IF(O621&lt;=15,"Low (1-15%)",IF(O621&lt;=30,"Medium (16-30%)","High (&gt;30%)")))</f>
        <v>High (&gt;30%)</v>
      </c>
      <c r="AD621" s="1" t="str">
        <f aca="false">IF(V621&lt;0,"Loss Making",IF(V621&lt;20,"Low Margin","Healthy Margin"))</f>
        <v>Healthy Margin</v>
      </c>
      <c r="AE621" s="1" t="str">
        <f aca="false">TEXT(DATE(VALUE(RIGHT(B621,4)),VALUE(MID(B621,4,2)),VALUE(LEFT(B621,2))),"MMM-YYYY")</f>
        <v>Oct-2024</v>
      </c>
      <c r="AF621" s="1" t="n">
        <f aca="false">VALUE(RIGHT(B621,4))</f>
        <v>2024</v>
      </c>
      <c r="AG621" s="1" t="str">
        <f aca="false">CHOOSE(ROUNDUP(VALUE(MID(B621,4,2))/3,0),"Q1","Q2","Q3","Q4")</f>
        <v>Q4</v>
      </c>
    </row>
    <row r="622" customFormat="false" ht="15" hidden="false" customHeight="true" outlineLevel="0" collapsed="false">
      <c r="A622" s="1" t="s">
        <v>1216</v>
      </c>
      <c r="B622" s="1" t="s">
        <v>988</v>
      </c>
      <c r="C622" s="1" t="s">
        <v>167</v>
      </c>
      <c r="D622" s="1" t="s">
        <v>143</v>
      </c>
      <c r="E622" s="1" t="s">
        <v>159</v>
      </c>
      <c r="F622" s="1" t="s">
        <v>269</v>
      </c>
      <c r="G622" s="1" t="s">
        <v>108</v>
      </c>
      <c r="H622" s="1" t="s">
        <v>57</v>
      </c>
      <c r="I622" s="1" t="s">
        <v>58</v>
      </c>
      <c r="J622" s="1" t="s">
        <v>77</v>
      </c>
      <c r="K622" s="1" t="s">
        <v>36</v>
      </c>
      <c r="L622" s="1" t="s">
        <v>37</v>
      </c>
      <c r="M622" s="1" t="s">
        <v>50</v>
      </c>
      <c r="N622" s="1" t="n">
        <v>24999</v>
      </c>
      <c r="O622" s="1" t="n">
        <v>5</v>
      </c>
      <c r="P622" s="1" t="n">
        <v>1249.95</v>
      </c>
      <c r="Q622" s="1" t="n">
        <v>23749.05</v>
      </c>
      <c r="R622" s="1" t="n">
        <v>4274.83</v>
      </c>
      <c r="S622" s="1" t="n">
        <v>19474.22</v>
      </c>
      <c r="T622" s="1" t="n">
        <v>11245.4</v>
      </c>
      <c r="U622" s="1" t="n">
        <v>8228.82</v>
      </c>
      <c r="V622" s="1" t="n">
        <v>42.25</v>
      </c>
      <c r="W622" s="1" t="s">
        <v>40</v>
      </c>
      <c r="Y622" s="1" t="s">
        <v>40</v>
      </c>
      <c r="Z622" s="1" t="n">
        <v>0</v>
      </c>
      <c r="AA622" s="1" t="str">
        <f aca="false">TRIM(PROPER(F622))</f>
        <v>Coimbatore</v>
      </c>
      <c r="AB622" s="1" t="str">
        <f aca="false">TRIM(PROPER(C622))</f>
        <v>Scaler</v>
      </c>
      <c r="AC622" s="1" t="str">
        <f aca="false">IF(O622=0,"No Discount",IF(O622&lt;=15,"Low (1-15%)",IF(O622&lt;=30,"Medium (16-30%)","High (&gt;30%)")))</f>
        <v>Low (1-15%)</v>
      </c>
      <c r="AD622" s="1" t="str">
        <f aca="false">IF(V622&lt;0,"Loss Making",IF(V622&lt;20,"Low Margin","Healthy Margin"))</f>
        <v>Healthy Margin</v>
      </c>
      <c r="AE622" s="1" t="str">
        <f aca="false">TEXT(DATE(VALUE(RIGHT(B622,4)),VALUE(MID(B622,4,2)),VALUE(LEFT(B622,2))),"MMM-YYYY")</f>
        <v>Dec-2024</v>
      </c>
      <c r="AF622" s="1" t="n">
        <f aca="false">VALUE(RIGHT(B622,4))</f>
        <v>2024</v>
      </c>
      <c r="AG622" s="1" t="str">
        <f aca="false">CHOOSE(ROUNDUP(VALUE(MID(B622,4,2))/3,0),"Q1","Q2","Q3","Q4")</f>
        <v>Q4</v>
      </c>
    </row>
    <row r="623" customFormat="false" ht="15" hidden="false" customHeight="true" outlineLevel="0" collapsed="false">
      <c r="A623" s="1" t="s">
        <v>1217</v>
      </c>
      <c r="B623" s="1" t="s">
        <v>885</v>
      </c>
      <c r="C623" s="1" t="s">
        <v>249</v>
      </c>
      <c r="D623" s="1" t="s">
        <v>53</v>
      </c>
      <c r="E623" s="1" t="s">
        <v>54</v>
      </c>
      <c r="F623" s="1" t="s">
        <v>75</v>
      </c>
      <c r="G623" s="1" t="s">
        <v>76</v>
      </c>
      <c r="H623" s="1" t="s">
        <v>69</v>
      </c>
      <c r="I623" s="1" t="s">
        <v>83</v>
      </c>
      <c r="J623" s="1" t="s">
        <v>59</v>
      </c>
      <c r="K623" s="1" t="s">
        <v>90</v>
      </c>
      <c r="L623" s="1" t="s">
        <v>37</v>
      </c>
      <c r="M623" s="1" t="s">
        <v>38</v>
      </c>
      <c r="N623" s="1" t="n">
        <v>11999</v>
      </c>
      <c r="O623" s="1" t="n">
        <v>40</v>
      </c>
      <c r="P623" s="1" t="n">
        <v>4799.6</v>
      </c>
      <c r="Q623" s="1" t="n">
        <v>7199.4</v>
      </c>
      <c r="R623" s="1" t="n">
        <v>1295.89</v>
      </c>
      <c r="S623" s="1" t="n">
        <v>5903.51</v>
      </c>
      <c r="T623" s="1" t="n">
        <v>3164.77</v>
      </c>
      <c r="U623" s="1" t="n">
        <v>2738.74</v>
      </c>
      <c r="V623" s="1" t="n">
        <v>46.39</v>
      </c>
      <c r="W623" s="1" t="s">
        <v>40</v>
      </c>
      <c r="Y623" s="1" t="s">
        <v>40</v>
      </c>
      <c r="Z623" s="1" t="n">
        <v>0</v>
      </c>
      <c r="AA623" s="1" t="str">
        <f aca="false">TRIM(PROPER(F623))</f>
        <v>Kolkata</v>
      </c>
      <c r="AB623" s="1" t="str">
        <f aca="false">TRIM(PROPER(C623))</f>
        <v>Whitehat Jr</v>
      </c>
      <c r="AC623" s="1" t="str">
        <f aca="false">IF(O623=0,"No Discount",IF(O623&lt;=15,"Low (1-15%)",IF(O623&lt;=30,"Medium (16-30%)","High (&gt;30%)")))</f>
        <v>High (&gt;30%)</v>
      </c>
      <c r="AD623" s="1" t="str">
        <f aca="false">IF(V623&lt;0,"Loss Making",IF(V623&lt;20,"Low Margin","Healthy Margin"))</f>
        <v>Healthy Margin</v>
      </c>
      <c r="AE623" s="1" t="str">
        <f aca="false">TEXT(DATE(VALUE(RIGHT(B623,4)),VALUE(MID(B623,4,2)),VALUE(LEFT(B623,2))),"MMM-YYYY")</f>
        <v>Jan-2023</v>
      </c>
      <c r="AF623" s="1" t="n">
        <f aca="false">VALUE(RIGHT(B623,4))</f>
        <v>2023</v>
      </c>
      <c r="AG623" s="1" t="str">
        <f aca="false">CHOOSE(ROUNDUP(VALUE(MID(B623,4,2))/3,0),"Q1","Q2","Q3","Q4")</f>
        <v>Q1</v>
      </c>
    </row>
    <row r="624" customFormat="false" ht="15" hidden="false" customHeight="true" outlineLevel="0" collapsed="false">
      <c r="A624" s="1" t="s">
        <v>1218</v>
      </c>
      <c r="B624" s="1" t="s">
        <v>1219</v>
      </c>
      <c r="C624" s="1" t="s">
        <v>249</v>
      </c>
      <c r="D624" s="1" t="s">
        <v>94</v>
      </c>
      <c r="E624" s="1" t="s">
        <v>101</v>
      </c>
      <c r="F624" s="1" t="s">
        <v>82</v>
      </c>
      <c r="G624" s="1" t="s">
        <v>56</v>
      </c>
      <c r="H624" s="1" t="s">
        <v>69</v>
      </c>
      <c r="I624" s="1" t="s">
        <v>34</v>
      </c>
      <c r="J624" s="1" t="s">
        <v>131</v>
      </c>
      <c r="K624" s="1" t="s">
        <v>36</v>
      </c>
      <c r="L624" s="1" t="s">
        <v>49</v>
      </c>
      <c r="M624" s="1" t="s">
        <v>38</v>
      </c>
      <c r="N624" s="1" t="n">
        <v>14999</v>
      </c>
      <c r="O624" s="1" t="n">
        <v>10</v>
      </c>
      <c r="P624" s="1" t="n">
        <v>1499.9</v>
      </c>
      <c r="Q624" s="1" t="n">
        <v>13499.1</v>
      </c>
      <c r="R624" s="1" t="n">
        <v>2429.84</v>
      </c>
      <c r="S624" s="1" t="n">
        <v>11069.26</v>
      </c>
      <c r="T624" s="1" t="n">
        <v>5281.73</v>
      </c>
      <c r="U624" s="1" t="n">
        <v>5787.53</v>
      </c>
      <c r="V624" s="1" t="n">
        <v>52.28</v>
      </c>
      <c r="W624" s="1" t="s">
        <v>39</v>
      </c>
      <c r="X624" s="1" t="n">
        <v>3.6</v>
      </c>
      <c r="Y624" s="1" t="s">
        <v>39</v>
      </c>
      <c r="Z624" s="1" t="n">
        <v>0</v>
      </c>
      <c r="AA624" s="1" t="str">
        <f aca="false">TRIM(PROPER(F624))</f>
        <v>Gurugram</v>
      </c>
      <c r="AB624" s="1" t="str">
        <f aca="false">TRIM(PROPER(C624))</f>
        <v>Whitehat Jr</v>
      </c>
      <c r="AC624" s="1" t="str">
        <f aca="false">IF(O624=0,"No Discount",IF(O624&lt;=15,"Low (1-15%)",IF(O624&lt;=30,"Medium (16-30%)","High (&gt;30%)")))</f>
        <v>Low (1-15%)</v>
      </c>
      <c r="AD624" s="1" t="str">
        <f aca="false">IF(V624&lt;0,"Loss Making",IF(V624&lt;20,"Low Margin","Healthy Margin"))</f>
        <v>Healthy Margin</v>
      </c>
      <c r="AE624" s="1" t="str">
        <f aca="false">TEXT(DATE(VALUE(RIGHT(B624,4)),VALUE(MID(B624,4,2)),VALUE(LEFT(B624,2))),"MMM-YYYY")</f>
        <v>Sep-2024</v>
      </c>
      <c r="AF624" s="1" t="n">
        <f aca="false">VALUE(RIGHT(B624,4))</f>
        <v>2024</v>
      </c>
      <c r="AG624" s="1" t="str">
        <f aca="false">CHOOSE(ROUNDUP(VALUE(MID(B624,4,2))/3,0),"Q1","Q2","Q3","Q4")</f>
        <v>Q3</v>
      </c>
    </row>
    <row r="625" customFormat="false" ht="15" hidden="false" customHeight="true" outlineLevel="0" collapsed="false">
      <c r="A625" s="1" t="s">
        <v>1220</v>
      </c>
      <c r="B625" s="1" t="s">
        <v>133</v>
      </c>
      <c r="C625" s="1" t="s">
        <v>119</v>
      </c>
      <c r="D625" s="1" t="s">
        <v>94</v>
      </c>
      <c r="E625" s="1" t="s">
        <v>101</v>
      </c>
      <c r="F625" s="1" t="s">
        <v>156</v>
      </c>
      <c r="G625" s="1" t="s">
        <v>68</v>
      </c>
      <c r="H625" s="1" t="s">
        <v>57</v>
      </c>
      <c r="I625" s="1" t="s">
        <v>83</v>
      </c>
      <c r="J625" s="1" t="s">
        <v>59</v>
      </c>
      <c r="K625" s="1" t="s">
        <v>90</v>
      </c>
      <c r="L625" s="1" t="s">
        <v>49</v>
      </c>
      <c r="M625" s="1" t="s">
        <v>38</v>
      </c>
      <c r="N625" s="1" t="n">
        <v>14999</v>
      </c>
      <c r="O625" s="1" t="n">
        <v>40</v>
      </c>
      <c r="P625" s="1" t="n">
        <v>5999.6</v>
      </c>
      <c r="Q625" s="1" t="n">
        <v>8999.4</v>
      </c>
      <c r="R625" s="1" t="n">
        <v>1619.89</v>
      </c>
      <c r="S625" s="1" t="n">
        <v>7379.51</v>
      </c>
      <c r="T625" s="1" t="n">
        <v>3833.37</v>
      </c>
      <c r="U625" s="1" t="n">
        <v>3546.14</v>
      </c>
      <c r="V625" s="1" t="n">
        <v>48.05</v>
      </c>
      <c r="W625" s="1" t="s">
        <v>39</v>
      </c>
      <c r="Y625" s="1" t="s">
        <v>40</v>
      </c>
      <c r="Z625" s="1" t="n">
        <v>1</v>
      </c>
      <c r="AA625" s="1" t="str">
        <f aca="false">TRIM(PROPER(F625))</f>
        <v>Surat</v>
      </c>
      <c r="AB625" s="1" t="str">
        <f aca="false">TRIM(PROPER(C625))</f>
        <v>Simplilearn</v>
      </c>
      <c r="AC625" s="1" t="str">
        <f aca="false">IF(O625=0,"No Discount",IF(O625&lt;=15,"Low (1-15%)",IF(O625&lt;=30,"Medium (16-30%)","High (&gt;30%)")))</f>
        <v>High (&gt;30%)</v>
      </c>
      <c r="AD625" s="1" t="str">
        <f aca="false">IF(V625&lt;0,"Loss Making",IF(V625&lt;20,"Low Margin","Healthy Margin"))</f>
        <v>Healthy Margin</v>
      </c>
      <c r="AE625" s="1" t="str">
        <f aca="false">TEXT(DATE(VALUE(RIGHT(B625,4)),VALUE(MID(B625,4,2)),VALUE(LEFT(B625,2))),"MMM-YYYY")</f>
        <v>Nov-2024</v>
      </c>
      <c r="AF625" s="1" t="n">
        <f aca="false">VALUE(RIGHT(B625,4))</f>
        <v>2024</v>
      </c>
      <c r="AG625" s="1" t="str">
        <f aca="false">CHOOSE(ROUNDUP(VALUE(MID(B625,4,2))/3,0),"Q1","Q2","Q3","Q4")</f>
        <v>Q4</v>
      </c>
    </row>
    <row r="626" customFormat="false" ht="15" hidden="false" customHeight="true" outlineLevel="0" collapsed="false">
      <c r="A626" s="1" t="s">
        <v>1221</v>
      </c>
      <c r="B626" s="1" t="s">
        <v>1222</v>
      </c>
      <c r="C626" s="1" t="s">
        <v>43</v>
      </c>
      <c r="D626" s="1" t="s">
        <v>143</v>
      </c>
      <c r="E626" s="1" t="s">
        <v>144</v>
      </c>
      <c r="F626" s="1" t="s">
        <v>55</v>
      </c>
      <c r="G626" s="1" t="s">
        <v>56</v>
      </c>
      <c r="H626" s="1" t="s">
        <v>57</v>
      </c>
      <c r="I626" s="1" t="s">
        <v>83</v>
      </c>
      <c r="J626" s="1" t="s">
        <v>59</v>
      </c>
      <c r="K626" s="1" t="s">
        <v>60</v>
      </c>
      <c r="L626" s="1" t="s">
        <v>37</v>
      </c>
      <c r="M626" s="1" t="s">
        <v>38</v>
      </c>
      <c r="N626" s="1" t="n">
        <v>12999</v>
      </c>
      <c r="O626" s="1" t="n">
        <v>50</v>
      </c>
      <c r="P626" s="1" t="n">
        <v>6499.5</v>
      </c>
      <c r="Q626" s="1" t="n">
        <v>6499.5</v>
      </c>
      <c r="R626" s="1" t="n">
        <v>1169.91</v>
      </c>
      <c r="S626" s="1" t="n">
        <v>5329.59</v>
      </c>
      <c r="T626" s="1" t="n">
        <v>3007.46</v>
      </c>
      <c r="U626" s="1" t="n">
        <v>2322.13</v>
      </c>
      <c r="V626" s="1" t="n">
        <v>43.57</v>
      </c>
      <c r="W626" s="1" t="s">
        <v>40</v>
      </c>
      <c r="Y626" s="1" t="s">
        <v>39</v>
      </c>
      <c r="Z626" s="1" t="n">
        <v>0</v>
      </c>
      <c r="AA626" s="1" t="str">
        <f aca="false">TRIM(PROPER(F626))</f>
        <v>Ghaziabad</v>
      </c>
      <c r="AB626" s="1" t="str">
        <f aca="false">TRIM(PROPER(C626))</f>
        <v>Meritnation</v>
      </c>
      <c r="AC626" s="1" t="str">
        <f aca="false">IF(O626=0,"No Discount",IF(O626&lt;=15,"Low (1-15%)",IF(O626&lt;=30,"Medium (16-30%)","High (&gt;30%)")))</f>
        <v>High (&gt;30%)</v>
      </c>
      <c r="AD626" s="1" t="str">
        <f aca="false">IF(V626&lt;0,"Loss Making",IF(V626&lt;20,"Low Margin","Healthy Margin"))</f>
        <v>Healthy Margin</v>
      </c>
      <c r="AE626" s="1" t="str">
        <f aca="false">TEXT(DATE(VALUE(RIGHT(B626,4)),VALUE(MID(B626,4,2)),VALUE(LEFT(B626,2))),"MMM-YYYY")</f>
        <v>Jan-2024</v>
      </c>
      <c r="AF626" s="1" t="n">
        <f aca="false">VALUE(RIGHT(B626,4))</f>
        <v>2024</v>
      </c>
      <c r="AG626" s="1" t="str">
        <f aca="false">CHOOSE(ROUNDUP(VALUE(MID(B626,4,2))/3,0),"Q1","Q2","Q3","Q4")</f>
        <v>Q1</v>
      </c>
    </row>
    <row r="627" customFormat="false" ht="15" hidden="false" customHeight="true" outlineLevel="0" collapsed="false">
      <c r="A627" s="1" t="s">
        <v>1223</v>
      </c>
      <c r="B627" s="1" t="s">
        <v>968</v>
      </c>
      <c r="C627" s="1" t="s">
        <v>74</v>
      </c>
      <c r="D627" s="1" t="s">
        <v>53</v>
      </c>
      <c r="E627" s="1" t="s">
        <v>216</v>
      </c>
      <c r="F627" s="1" t="s">
        <v>187</v>
      </c>
      <c r="G627" s="1" t="s">
        <v>97</v>
      </c>
      <c r="H627" s="1" t="s">
        <v>69</v>
      </c>
      <c r="I627" s="1" t="s">
        <v>58</v>
      </c>
      <c r="J627" s="1" t="s">
        <v>59</v>
      </c>
      <c r="K627" s="1" t="s">
        <v>104</v>
      </c>
      <c r="L627" s="1" t="s">
        <v>85</v>
      </c>
      <c r="M627" s="1" t="s">
        <v>38</v>
      </c>
      <c r="N627" s="1" t="n">
        <v>7499</v>
      </c>
      <c r="O627" s="1" t="n">
        <v>20</v>
      </c>
      <c r="P627" s="1" t="n">
        <v>1499.8</v>
      </c>
      <c r="Q627" s="1" t="n">
        <v>5999.2</v>
      </c>
      <c r="R627" s="1" t="n">
        <v>1079.86</v>
      </c>
      <c r="S627" s="1" t="n">
        <v>4919.34</v>
      </c>
      <c r="T627" s="1" t="n">
        <v>2191.7</v>
      </c>
      <c r="U627" s="1" t="n">
        <v>2727.64</v>
      </c>
      <c r="V627" s="1" t="n">
        <v>55.45</v>
      </c>
      <c r="W627" s="1" t="s">
        <v>39</v>
      </c>
      <c r="X627" s="1" t="n">
        <v>3.3</v>
      </c>
      <c r="Y627" s="1" t="s">
        <v>40</v>
      </c>
      <c r="Z627" s="1" t="n">
        <v>0</v>
      </c>
      <c r="AA627" s="1" t="str">
        <f aca="false">TRIM(PROPER(F627))</f>
        <v>Mumbai</v>
      </c>
      <c r="AB627" s="1" t="str">
        <f aca="false">TRIM(PROPER(C627))</f>
        <v>Vedantu</v>
      </c>
      <c r="AC627" s="1" t="str">
        <f aca="false">IF(O627=0,"No Discount",IF(O627&lt;=15,"Low (1-15%)",IF(O627&lt;=30,"Medium (16-30%)","High (&gt;30%)")))</f>
        <v>Medium (16-30%)</v>
      </c>
      <c r="AD627" s="1" t="str">
        <f aca="false">IF(V627&lt;0,"Loss Making",IF(V627&lt;20,"Low Margin","Healthy Margin"))</f>
        <v>Healthy Margin</v>
      </c>
      <c r="AE627" s="1" t="str">
        <f aca="false">TEXT(DATE(VALUE(RIGHT(B627,4)),VALUE(MID(B627,4,2)),VALUE(LEFT(B627,2))),"MMM-YYYY")</f>
        <v>Jun-2023</v>
      </c>
      <c r="AF627" s="1" t="n">
        <f aca="false">VALUE(RIGHT(B627,4))</f>
        <v>2023</v>
      </c>
      <c r="AG627" s="1" t="str">
        <f aca="false">CHOOSE(ROUNDUP(VALUE(MID(B627,4,2))/3,0),"Q1","Q2","Q3","Q4")</f>
        <v>Q2</v>
      </c>
    </row>
    <row r="628" customFormat="false" ht="15" hidden="false" customHeight="true" outlineLevel="0" collapsed="false">
      <c r="A628" s="1" t="s">
        <v>1224</v>
      </c>
      <c r="B628" s="1" t="s">
        <v>334</v>
      </c>
      <c r="C628" s="1" t="s">
        <v>43</v>
      </c>
      <c r="D628" s="1" t="s">
        <v>143</v>
      </c>
      <c r="E628" s="1" t="s">
        <v>243</v>
      </c>
      <c r="F628" s="1" t="s">
        <v>107</v>
      </c>
      <c r="G628" s="1" t="s">
        <v>108</v>
      </c>
      <c r="H628" s="1" t="s">
        <v>33</v>
      </c>
      <c r="I628" s="1" t="s">
        <v>58</v>
      </c>
      <c r="J628" s="1" t="s">
        <v>77</v>
      </c>
      <c r="K628" s="1" t="s">
        <v>48</v>
      </c>
      <c r="L628" s="1" t="s">
        <v>136</v>
      </c>
      <c r="M628" s="1" t="s">
        <v>62</v>
      </c>
      <c r="N628" s="1" t="n">
        <v>22999</v>
      </c>
      <c r="O628" s="1" t="n">
        <v>10</v>
      </c>
      <c r="P628" s="1" t="n">
        <v>2299.9</v>
      </c>
      <c r="Q628" s="1" t="n">
        <v>20699.1</v>
      </c>
      <c r="R628" s="1" t="n">
        <v>3725.84</v>
      </c>
      <c r="S628" s="1" t="n">
        <v>16973.26</v>
      </c>
      <c r="T628" s="1" t="n">
        <v>7368.27</v>
      </c>
      <c r="U628" s="1" t="n">
        <v>9604.99</v>
      </c>
      <c r="V628" s="1" t="n">
        <v>56.59</v>
      </c>
      <c r="W628" s="1" t="s">
        <v>39</v>
      </c>
      <c r="Y628" s="1" t="s">
        <v>40</v>
      </c>
      <c r="Z628" s="1" t="n">
        <v>0</v>
      </c>
      <c r="AA628" s="1" t="str">
        <f aca="false">TRIM(PROPER(F628))</f>
        <v>Madurai</v>
      </c>
      <c r="AB628" s="1" t="str">
        <f aca="false">TRIM(PROPER(C628))</f>
        <v>Meritnation</v>
      </c>
      <c r="AC628" s="1" t="str">
        <f aca="false">IF(O628=0,"No Discount",IF(O628&lt;=15,"Low (1-15%)",IF(O628&lt;=30,"Medium (16-30%)","High (&gt;30%)")))</f>
        <v>Low (1-15%)</v>
      </c>
      <c r="AD628" s="1" t="str">
        <f aca="false">IF(V628&lt;0,"Loss Making",IF(V628&lt;20,"Low Margin","Healthy Margin"))</f>
        <v>Healthy Margin</v>
      </c>
      <c r="AE628" s="1" t="str">
        <f aca="false">TEXT(DATE(VALUE(RIGHT(B628,4)),VALUE(MID(B628,4,2)),VALUE(LEFT(B628,2))),"MMM-YYYY")</f>
        <v>Aug-2024</v>
      </c>
      <c r="AF628" s="1" t="n">
        <f aca="false">VALUE(RIGHT(B628,4))</f>
        <v>2024</v>
      </c>
      <c r="AG628" s="1" t="str">
        <f aca="false">CHOOSE(ROUNDUP(VALUE(MID(B628,4,2))/3,0),"Q1","Q2","Q3","Q4")</f>
        <v>Q3</v>
      </c>
    </row>
    <row r="629" customFormat="false" ht="15" hidden="false" customHeight="true" outlineLevel="0" collapsed="false">
      <c r="A629" s="1" t="s">
        <v>1225</v>
      </c>
      <c r="B629" s="1" t="s">
        <v>1226</v>
      </c>
      <c r="C629" s="1" t="s">
        <v>28</v>
      </c>
      <c r="D629" s="1" t="s">
        <v>53</v>
      </c>
      <c r="E629" s="1" t="s">
        <v>116</v>
      </c>
      <c r="F629" s="1" t="s">
        <v>153</v>
      </c>
      <c r="G629" s="1" t="s">
        <v>76</v>
      </c>
      <c r="H629" s="1" t="s">
        <v>33</v>
      </c>
      <c r="I629" s="1" t="s">
        <v>83</v>
      </c>
      <c r="J629" s="1" t="s">
        <v>70</v>
      </c>
      <c r="K629" s="1" t="s">
        <v>48</v>
      </c>
      <c r="L629" s="1" t="s">
        <v>113</v>
      </c>
      <c r="M629" s="1" t="s">
        <v>50</v>
      </c>
      <c r="N629" s="1" t="n">
        <v>9999</v>
      </c>
      <c r="O629" s="1" t="n">
        <v>15</v>
      </c>
      <c r="P629" s="1" t="n">
        <v>1499.85</v>
      </c>
      <c r="Q629" s="1" t="n">
        <v>8499.15</v>
      </c>
      <c r="R629" s="1" t="n">
        <v>1529.85</v>
      </c>
      <c r="S629" s="1" t="n">
        <v>6969.3</v>
      </c>
      <c r="T629" s="1" t="n">
        <v>3236.63</v>
      </c>
      <c r="U629" s="1" t="n">
        <v>3732.67</v>
      </c>
      <c r="V629" s="1" t="n">
        <v>53.56</v>
      </c>
      <c r="W629" s="1" t="s">
        <v>40</v>
      </c>
      <c r="Y629" s="1" t="s">
        <v>40</v>
      </c>
      <c r="Z629" s="1" t="n">
        <v>0</v>
      </c>
      <c r="AA629" s="1" t="str">
        <f aca="false">TRIM(PROPER(F629))</f>
        <v>Howrah</v>
      </c>
      <c r="AB629" s="1" t="str">
        <f aca="false">TRIM(PROPER(C629))</f>
        <v>Embibe</v>
      </c>
      <c r="AC629" s="1" t="str">
        <f aca="false">IF(O629=0,"No Discount",IF(O629&lt;=15,"Low (1-15%)",IF(O629&lt;=30,"Medium (16-30%)","High (&gt;30%)")))</f>
        <v>Low (1-15%)</v>
      </c>
      <c r="AD629" s="1" t="str">
        <f aca="false">IF(V629&lt;0,"Loss Making",IF(V629&lt;20,"Low Margin","Healthy Margin"))</f>
        <v>Healthy Margin</v>
      </c>
      <c r="AE629" s="1" t="str">
        <f aca="false">TEXT(DATE(VALUE(RIGHT(B629,4)),VALUE(MID(B629,4,2)),VALUE(LEFT(B629,2))),"MMM-YYYY")</f>
        <v>Sep-2023</v>
      </c>
      <c r="AF629" s="1" t="n">
        <f aca="false">VALUE(RIGHT(B629,4))</f>
        <v>2023</v>
      </c>
      <c r="AG629" s="1" t="str">
        <f aca="false">CHOOSE(ROUNDUP(VALUE(MID(B629,4,2))/3,0),"Q1","Q2","Q3","Q4")</f>
        <v>Q3</v>
      </c>
    </row>
    <row r="630" customFormat="false" ht="15" hidden="false" customHeight="true" outlineLevel="0" collapsed="false">
      <c r="A630" s="1" t="s">
        <v>1227</v>
      </c>
      <c r="B630" s="1" t="s">
        <v>419</v>
      </c>
      <c r="C630" s="1" t="s">
        <v>178</v>
      </c>
      <c r="D630" s="1" t="s">
        <v>143</v>
      </c>
      <c r="E630" s="1" t="s">
        <v>162</v>
      </c>
      <c r="F630" s="1" t="s">
        <v>96</v>
      </c>
      <c r="G630" s="1" t="s">
        <v>97</v>
      </c>
      <c r="H630" s="1" t="s">
        <v>69</v>
      </c>
      <c r="I630" s="1" t="s">
        <v>58</v>
      </c>
      <c r="J630" s="1" t="s">
        <v>35</v>
      </c>
      <c r="K630" s="1" t="s">
        <v>36</v>
      </c>
      <c r="L630" s="1" t="s">
        <v>61</v>
      </c>
      <c r="M630" s="1" t="s">
        <v>38</v>
      </c>
      <c r="N630" s="1" t="n">
        <v>14999</v>
      </c>
      <c r="O630" s="1" t="n">
        <v>0</v>
      </c>
      <c r="P630" s="1" t="n">
        <v>0</v>
      </c>
      <c r="Q630" s="1" t="n">
        <v>14999</v>
      </c>
      <c r="R630" s="1" t="n">
        <v>2699.82</v>
      </c>
      <c r="S630" s="1" t="n">
        <v>12299.18</v>
      </c>
      <c r="T630" s="1" t="n">
        <v>5114.04</v>
      </c>
      <c r="U630" s="1" t="n">
        <v>7185.14</v>
      </c>
      <c r="V630" s="1" t="n">
        <v>58.42</v>
      </c>
      <c r="W630" s="1" t="s">
        <v>40</v>
      </c>
      <c r="Y630" s="1" t="s">
        <v>40</v>
      </c>
      <c r="Z630" s="1" t="n">
        <v>1</v>
      </c>
      <c r="AA630" s="1" t="str">
        <f aca="false">TRIM(PROPER(F630))</f>
        <v>Pune</v>
      </c>
      <c r="AB630" s="1" t="str">
        <f aca="false">TRIM(PROPER(C630))</f>
        <v>Leverage Edu</v>
      </c>
      <c r="AC630" s="1" t="str">
        <f aca="false">IF(O630=0,"No Discount",IF(O630&lt;=15,"Low (1-15%)",IF(O630&lt;=30,"Medium (16-30%)","High (&gt;30%)")))</f>
        <v>No Discount</v>
      </c>
      <c r="AD630" s="1" t="str">
        <f aca="false">IF(V630&lt;0,"Loss Making",IF(V630&lt;20,"Low Margin","Healthy Margin"))</f>
        <v>Healthy Margin</v>
      </c>
      <c r="AE630" s="1" t="str">
        <f aca="false">TEXT(DATE(VALUE(RIGHT(B630,4)),VALUE(MID(B630,4,2)),VALUE(LEFT(B630,2))),"MMM-YYYY")</f>
        <v>Jul-2023</v>
      </c>
      <c r="AF630" s="1" t="n">
        <f aca="false">VALUE(RIGHT(B630,4))</f>
        <v>2023</v>
      </c>
      <c r="AG630" s="1" t="str">
        <f aca="false">CHOOSE(ROUNDUP(VALUE(MID(B630,4,2))/3,0),"Q1","Q2","Q3","Q4")</f>
        <v>Q3</v>
      </c>
    </row>
    <row r="631" customFormat="false" ht="15" hidden="false" customHeight="true" outlineLevel="0" collapsed="false">
      <c r="A631" s="1" t="s">
        <v>1228</v>
      </c>
      <c r="B631" s="1" t="s">
        <v>572</v>
      </c>
      <c r="C631" s="1" t="s">
        <v>139</v>
      </c>
      <c r="D631" s="1" t="s">
        <v>53</v>
      </c>
      <c r="E631" s="1" t="s">
        <v>216</v>
      </c>
      <c r="F631" s="1" t="s">
        <v>120</v>
      </c>
      <c r="G631" s="1" t="s">
        <v>47</v>
      </c>
      <c r="H631" s="1" t="s">
        <v>57</v>
      </c>
      <c r="I631" s="1" t="s">
        <v>58</v>
      </c>
      <c r="J631" s="1" t="s">
        <v>131</v>
      </c>
      <c r="K631" s="1" t="s">
        <v>48</v>
      </c>
      <c r="L631" s="1" t="s">
        <v>49</v>
      </c>
      <c r="M631" s="1" t="s">
        <v>50</v>
      </c>
      <c r="N631" s="1" t="n">
        <v>7499</v>
      </c>
      <c r="O631" s="1" t="n">
        <v>50</v>
      </c>
      <c r="P631" s="1" t="n">
        <v>3749.5</v>
      </c>
      <c r="Q631" s="1" t="n">
        <v>3749.5</v>
      </c>
      <c r="R631" s="1" t="n">
        <v>674.91</v>
      </c>
      <c r="S631" s="1" t="n">
        <v>3074.59</v>
      </c>
      <c r="T631" s="1" t="n">
        <v>1671.36</v>
      </c>
      <c r="U631" s="1" t="n">
        <v>1403.23</v>
      </c>
      <c r="V631" s="1" t="n">
        <v>45.64</v>
      </c>
      <c r="W631" s="1" t="s">
        <v>40</v>
      </c>
      <c r="Y631" s="1" t="s">
        <v>40</v>
      </c>
      <c r="Z631" s="1" t="n">
        <v>1</v>
      </c>
      <c r="AA631" s="1" t="str">
        <f aca="false">TRIM(PROPER(F631))</f>
        <v>Mysuru</v>
      </c>
      <c r="AB631" s="1" t="str">
        <f aca="false">TRIM(PROPER(C631))</f>
        <v>Extramarks</v>
      </c>
      <c r="AC631" s="1" t="str">
        <f aca="false">IF(O631=0,"No Discount",IF(O631&lt;=15,"Low (1-15%)",IF(O631&lt;=30,"Medium (16-30%)","High (&gt;30%)")))</f>
        <v>High (&gt;30%)</v>
      </c>
      <c r="AD631" s="1" t="str">
        <f aca="false">IF(V631&lt;0,"Loss Making",IF(V631&lt;20,"Low Margin","Healthy Margin"))</f>
        <v>Healthy Margin</v>
      </c>
      <c r="AE631" s="1" t="str">
        <f aca="false">TEXT(DATE(VALUE(RIGHT(B631,4)),VALUE(MID(B631,4,2)),VALUE(LEFT(B631,2))),"MMM-YYYY")</f>
        <v>Oct-2024</v>
      </c>
      <c r="AF631" s="1" t="n">
        <f aca="false">VALUE(RIGHT(B631,4))</f>
        <v>2024</v>
      </c>
      <c r="AG631" s="1" t="str">
        <f aca="false">CHOOSE(ROUNDUP(VALUE(MID(B631,4,2))/3,0),"Q1","Q2","Q3","Q4")</f>
        <v>Q4</v>
      </c>
    </row>
    <row r="632" customFormat="false" ht="15" hidden="false" customHeight="true" outlineLevel="0" collapsed="false">
      <c r="A632" s="1" t="s">
        <v>1229</v>
      </c>
      <c r="B632" s="1" t="s">
        <v>423</v>
      </c>
      <c r="C632" s="1" t="s">
        <v>74</v>
      </c>
      <c r="D632" s="1" t="s">
        <v>80</v>
      </c>
      <c r="E632" s="1" t="s">
        <v>190</v>
      </c>
      <c r="F632" s="1" t="s">
        <v>187</v>
      </c>
      <c r="G632" s="1" t="s">
        <v>97</v>
      </c>
      <c r="H632" s="1" t="s">
        <v>69</v>
      </c>
      <c r="I632" s="1" t="s">
        <v>34</v>
      </c>
      <c r="J632" s="1" t="s">
        <v>35</v>
      </c>
      <c r="K632" s="1" t="s">
        <v>71</v>
      </c>
      <c r="L632" s="1" t="s">
        <v>85</v>
      </c>
      <c r="M632" s="1" t="s">
        <v>62</v>
      </c>
      <c r="N632" s="1" t="n">
        <v>15999</v>
      </c>
      <c r="O632" s="1" t="n">
        <v>50</v>
      </c>
      <c r="P632" s="1" t="n">
        <v>7999.5</v>
      </c>
      <c r="Q632" s="1" t="n">
        <v>7999.5</v>
      </c>
      <c r="R632" s="1" t="n">
        <v>1439.91</v>
      </c>
      <c r="S632" s="1" t="n">
        <v>6559.59</v>
      </c>
      <c r="T632" s="1" t="n">
        <v>3165.25</v>
      </c>
      <c r="U632" s="1" t="n">
        <v>3394.34</v>
      </c>
      <c r="V632" s="1" t="n">
        <v>51.75</v>
      </c>
      <c r="W632" s="1" t="s">
        <v>40</v>
      </c>
      <c r="Y632" s="1" t="s">
        <v>40</v>
      </c>
      <c r="Z632" s="1" t="n">
        <v>1</v>
      </c>
      <c r="AA632" s="1" t="str">
        <f aca="false">TRIM(PROPER(F632))</f>
        <v>Mumbai</v>
      </c>
      <c r="AB632" s="1" t="str">
        <f aca="false">TRIM(PROPER(C632))</f>
        <v>Vedantu</v>
      </c>
      <c r="AC632" s="1" t="str">
        <f aca="false">IF(O632=0,"No Discount",IF(O632&lt;=15,"Low (1-15%)",IF(O632&lt;=30,"Medium (16-30%)","High (&gt;30%)")))</f>
        <v>High (&gt;30%)</v>
      </c>
      <c r="AD632" s="1" t="str">
        <f aca="false">IF(V632&lt;0,"Loss Making",IF(V632&lt;20,"Low Margin","Healthy Margin"))</f>
        <v>Healthy Margin</v>
      </c>
      <c r="AE632" s="1" t="str">
        <f aca="false">TEXT(DATE(VALUE(RIGHT(B632,4)),VALUE(MID(B632,4,2)),VALUE(LEFT(B632,2))),"MMM-YYYY")</f>
        <v>Dec-2023</v>
      </c>
      <c r="AF632" s="1" t="n">
        <f aca="false">VALUE(RIGHT(B632,4))</f>
        <v>2023</v>
      </c>
      <c r="AG632" s="1" t="str">
        <f aca="false">CHOOSE(ROUNDUP(VALUE(MID(B632,4,2))/3,0),"Q1","Q2","Q3","Q4")</f>
        <v>Q4</v>
      </c>
    </row>
    <row r="633" customFormat="false" ht="15" hidden="false" customHeight="true" outlineLevel="0" collapsed="false">
      <c r="A633" s="1" t="s">
        <v>1230</v>
      </c>
      <c r="B633" s="1" t="s">
        <v>561</v>
      </c>
      <c r="C633" s="1" t="s">
        <v>128</v>
      </c>
      <c r="D633" s="1" t="s">
        <v>80</v>
      </c>
      <c r="E633" s="1" t="s">
        <v>175</v>
      </c>
      <c r="F633" s="1" t="s">
        <v>211</v>
      </c>
      <c r="G633" s="1" t="s">
        <v>56</v>
      </c>
      <c r="H633" s="1" t="s">
        <v>69</v>
      </c>
      <c r="I633" s="1" t="s">
        <v>83</v>
      </c>
      <c r="J633" s="1" t="s">
        <v>131</v>
      </c>
      <c r="K633" s="1" t="s">
        <v>36</v>
      </c>
      <c r="L633" s="1" t="s">
        <v>85</v>
      </c>
      <c r="M633" s="1" t="s">
        <v>38</v>
      </c>
      <c r="N633" s="1" t="n">
        <v>19999</v>
      </c>
      <c r="O633" s="1" t="n">
        <v>25</v>
      </c>
      <c r="P633" s="1" t="n">
        <v>4999.75</v>
      </c>
      <c r="Q633" s="1" t="n">
        <v>14999.25</v>
      </c>
      <c r="R633" s="1" t="n">
        <v>2699.86</v>
      </c>
      <c r="S633" s="1" t="n">
        <v>12299.39</v>
      </c>
      <c r="T633" s="1" t="n">
        <v>4515.24</v>
      </c>
      <c r="U633" s="1" t="n">
        <v>7784.15</v>
      </c>
      <c r="V633" s="1" t="n">
        <v>63.29</v>
      </c>
      <c r="W633" s="1" t="s">
        <v>39</v>
      </c>
      <c r="X633" s="1" t="n">
        <v>3.8</v>
      </c>
      <c r="Y633" s="1" t="s">
        <v>40</v>
      </c>
      <c r="Z633" s="1" t="n">
        <v>0</v>
      </c>
      <c r="AA633" s="1" t="str">
        <f aca="false">TRIM(PROPER(F633))</f>
        <v>Noida</v>
      </c>
      <c r="AB633" s="1" t="str">
        <f aca="false">TRIM(PROPER(C633))</f>
        <v>Great Learning</v>
      </c>
      <c r="AC633" s="1" t="str">
        <f aca="false">IF(O633=0,"No Discount",IF(O633&lt;=15,"Low (1-15%)",IF(O633&lt;=30,"Medium (16-30%)","High (&gt;30%)")))</f>
        <v>Medium (16-30%)</v>
      </c>
      <c r="AD633" s="1" t="str">
        <f aca="false">IF(V633&lt;0,"Loss Making",IF(V633&lt;20,"Low Margin","Healthy Margin"))</f>
        <v>Healthy Margin</v>
      </c>
      <c r="AE633" s="1" t="str">
        <f aca="false">TEXT(DATE(VALUE(RIGHT(B633,4)),VALUE(MID(B633,4,2)),VALUE(LEFT(B633,2))),"MMM-YYYY")</f>
        <v>Mar-2024</v>
      </c>
      <c r="AF633" s="1" t="n">
        <f aca="false">VALUE(RIGHT(B633,4))</f>
        <v>2024</v>
      </c>
      <c r="AG633" s="1" t="str">
        <f aca="false">CHOOSE(ROUNDUP(VALUE(MID(B633,4,2))/3,0),"Q1","Q2","Q3","Q4")</f>
        <v>Q1</v>
      </c>
    </row>
    <row r="634" customFormat="false" ht="15" hidden="false" customHeight="true" outlineLevel="0" collapsed="false">
      <c r="A634" s="1" t="s">
        <v>1231</v>
      </c>
      <c r="B634" s="1" t="s">
        <v>1104</v>
      </c>
      <c r="C634" s="1" t="s">
        <v>119</v>
      </c>
      <c r="D634" s="1" t="s">
        <v>168</v>
      </c>
      <c r="E634" s="1" t="s">
        <v>197</v>
      </c>
      <c r="F634" s="1" t="s">
        <v>205</v>
      </c>
      <c r="G634" s="1" t="s">
        <v>56</v>
      </c>
      <c r="H634" s="1" t="s">
        <v>69</v>
      </c>
      <c r="I634" s="1" t="s">
        <v>34</v>
      </c>
      <c r="J634" s="1" t="s">
        <v>131</v>
      </c>
      <c r="K634" s="1" t="s">
        <v>48</v>
      </c>
      <c r="L634" s="1" t="s">
        <v>136</v>
      </c>
      <c r="M634" s="1" t="s">
        <v>38</v>
      </c>
      <c r="N634" s="1" t="n">
        <v>8499</v>
      </c>
      <c r="O634" s="1" t="n">
        <v>5</v>
      </c>
      <c r="P634" s="1" t="n">
        <v>424.95</v>
      </c>
      <c r="Q634" s="1" t="n">
        <v>8074.05</v>
      </c>
      <c r="R634" s="1" t="n">
        <v>1453.33</v>
      </c>
      <c r="S634" s="1" t="n">
        <v>6620.72</v>
      </c>
      <c r="T634" s="1" t="n">
        <v>2384.93</v>
      </c>
      <c r="U634" s="1" t="n">
        <v>4235.79</v>
      </c>
      <c r="V634" s="1" t="n">
        <v>63.98</v>
      </c>
      <c r="W634" s="1" t="s">
        <v>39</v>
      </c>
      <c r="X634" s="1" t="n">
        <v>4.3</v>
      </c>
      <c r="Y634" s="1" t="s">
        <v>40</v>
      </c>
      <c r="Z634" s="1" t="n">
        <v>0</v>
      </c>
      <c r="AA634" s="1" t="str">
        <f aca="false">TRIM(PROPER(F634))</f>
        <v>New Delhi</v>
      </c>
      <c r="AB634" s="1" t="str">
        <f aca="false">TRIM(PROPER(C634))</f>
        <v>Simplilearn</v>
      </c>
      <c r="AC634" s="1" t="str">
        <f aca="false">IF(O634=0,"No Discount",IF(O634&lt;=15,"Low (1-15%)",IF(O634&lt;=30,"Medium (16-30%)","High (&gt;30%)")))</f>
        <v>Low (1-15%)</v>
      </c>
      <c r="AD634" s="1" t="str">
        <f aca="false">IF(V634&lt;0,"Loss Making",IF(V634&lt;20,"Low Margin","Healthy Margin"))</f>
        <v>Healthy Margin</v>
      </c>
      <c r="AE634" s="1" t="str">
        <f aca="false">TEXT(DATE(VALUE(RIGHT(B634,4)),VALUE(MID(B634,4,2)),VALUE(LEFT(B634,2))),"MMM-YYYY")</f>
        <v>May-2023</v>
      </c>
      <c r="AF634" s="1" t="n">
        <f aca="false">VALUE(RIGHT(B634,4))</f>
        <v>2023</v>
      </c>
      <c r="AG634" s="1" t="str">
        <f aca="false">CHOOSE(ROUNDUP(VALUE(MID(B634,4,2))/3,0),"Q1","Q2","Q3","Q4")</f>
        <v>Q2</v>
      </c>
    </row>
    <row r="635" customFormat="false" ht="15" hidden="false" customHeight="true" outlineLevel="0" collapsed="false">
      <c r="A635" s="1" t="s">
        <v>1232</v>
      </c>
      <c r="B635" s="1" t="s">
        <v>742</v>
      </c>
      <c r="C635" s="1" t="s">
        <v>65</v>
      </c>
      <c r="D635" s="1" t="s">
        <v>53</v>
      </c>
      <c r="E635" s="1" t="s">
        <v>116</v>
      </c>
      <c r="F635" s="1" t="s">
        <v>31</v>
      </c>
      <c r="G635" s="1" t="s">
        <v>32</v>
      </c>
      <c r="H635" s="1" t="s">
        <v>33</v>
      </c>
      <c r="I635" s="1" t="s">
        <v>58</v>
      </c>
      <c r="J635" s="1" t="s">
        <v>131</v>
      </c>
      <c r="K635" s="1" t="s">
        <v>90</v>
      </c>
      <c r="L635" s="1" t="s">
        <v>85</v>
      </c>
      <c r="M635" s="1" t="s">
        <v>50</v>
      </c>
      <c r="N635" s="1" t="n">
        <v>9999</v>
      </c>
      <c r="O635" s="1" t="n">
        <v>0</v>
      </c>
      <c r="P635" s="1" t="n">
        <v>0</v>
      </c>
      <c r="Q635" s="1" t="n">
        <v>9999</v>
      </c>
      <c r="R635" s="1" t="n">
        <v>1799.82</v>
      </c>
      <c r="S635" s="1" t="n">
        <v>8199.18</v>
      </c>
      <c r="T635" s="1" t="n">
        <v>3599.36</v>
      </c>
      <c r="U635" s="1" t="n">
        <v>4599.82</v>
      </c>
      <c r="V635" s="1" t="n">
        <v>56.1</v>
      </c>
      <c r="W635" s="1" t="s">
        <v>39</v>
      </c>
      <c r="X635" s="1" t="n">
        <v>3.9</v>
      </c>
      <c r="Y635" s="1" t="s">
        <v>39</v>
      </c>
      <c r="Z635" s="1" t="n">
        <v>0</v>
      </c>
      <c r="AA635" s="1" t="str">
        <f aca="false">TRIM(PROPER(F635))</f>
        <v>Jodhpur</v>
      </c>
      <c r="AB635" s="1" t="str">
        <f aca="false">TRIM(PROPER(C635))</f>
        <v>Toppr</v>
      </c>
      <c r="AC635" s="1" t="str">
        <f aca="false">IF(O635=0,"No Discount",IF(O635&lt;=15,"Low (1-15%)",IF(O635&lt;=30,"Medium (16-30%)","High (&gt;30%)")))</f>
        <v>No Discount</v>
      </c>
      <c r="AD635" s="1" t="str">
        <f aca="false">IF(V635&lt;0,"Loss Making",IF(V635&lt;20,"Low Margin","Healthy Margin"))</f>
        <v>Healthy Margin</v>
      </c>
      <c r="AE635" s="1" t="str">
        <f aca="false">TEXT(DATE(VALUE(RIGHT(B635,4)),VALUE(MID(B635,4,2)),VALUE(LEFT(B635,2))),"MMM-YYYY")</f>
        <v>Oct-2024</v>
      </c>
      <c r="AF635" s="1" t="n">
        <f aca="false">VALUE(RIGHT(B635,4))</f>
        <v>2024</v>
      </c>
      <c r="AG635" s="1" t="str">
        <f aca="false">CHOOSE(ROUNDUP(VALUE(MID(B635,4,2))/3,0),"Q1","Q2","Q3","Q4")</f>
        <v>Q4</v>
      </c>
    </row>
    <row r="636" customFormat="false" ht="15" hidden="false" customHeight="true" outlineLevel="0" collapsed="false">
      <c r="A636" s="1" t="s">
        <v>1233</v>
      </c>
      <c r="B636" s="1" t="s">
        <v>1234</v>
      </c>
      <c r="C636" s="1" t="s">
        <v>134</v>
      </c>
      <c r="D636" s="1" t="s">
        <v>29</v>
      </c>
      <c r="E636" s="1" t="s">
        <v>129</v>
      </c>
      <c r="F636" s="1" t="s">
        <v>46</v>
      </c>
      <c r="G636" s="1" t="s">
        <v>47</v>
      </c>
      <c r="H636" s="1" t="s">
        <v>33</v>
      </c>
      <c r="I636" s="1" t="s">
        <v>58</v>
      </c>
      <c r="J636" s="1" t="s">
        <v>77</v>
      </c>
      <c r="K636" s="1" t="s">
        <v>90</v>
      </c>
      <c r="L636" s="1" t="s">
        <v>85</v>
      </c>
      <c r="M636" s="1" t="s">
        <v>38</v>
      </c>
      <c r="N636" s="1" t="n">
        <v>29999</v>
      </c>
      <c r="O636" s="1" t="n">
        <v>15</v>
      </c>
      <c r="P636" s="1" t="n">
        <v>4499.85</v>
      </c>
      <c r="Q636" s="1" t="n">
        <v>25499.15</v>
      </c>
      <c r="R636" s="1" t="n">
        <v>4589.85</v>
      </c>
      <c r="S636" s="1" t="n">
        <v>20909.3</v>
      </c>
      <c r="T636" s="1" t="n">
        <v>10416.91</v>
      </c>
      <c r="U636" s="1" t="n">
        <v>10492.39</v>
      </c>
      <c r="V636" s="1" t="n">
        <v>50.18</v>
      </c>
      <c r="W636" s="1" t="s">
        <v>39</v>
      </c>
      <c r="X636" s="1" t="n">
        <v>3.6</v>
      </c>
      <c r="Y636" s="1" t="s">
        <v>40</v>
      </c>
      <c r="Z636" s="1" t="n">
        <v>1</v>
      </c>
      <c r="AA636" s="1" t="str">
        <f aca="false">TRIM(PROPER(F636))</f>
        <v>Mangaluru</v>
      </c>
      <c r="AB636" s="1" t="str">
        <f aca="false">TRIM(PROPER(C636))</f>
        <v>Doubtnut</v>
      </c>
      <c r="AC636" s="1" t="str">
        <f aca="false">IF(O636=0,"No Discount",IF(O636&lt;=15,"Low (1-15%)",IF(O636&lt;=30,"Medium (16-30%)","High (&gt;30%)")))</f>
        <v>Low (1-15%)</v>
      </c>
      <c r="AD636" s="1" t="str">
        <f aca="false">IF(V636&lt;0,"Loss Making",IF(V636&lt;20,"Low Margin","Healthy Margin"))</f>
        <v>Healthy Margin</v>
      </c>
      <c r="AE636" s="1" t="str">
        <f aca="false">TEXT(DATE(VALUE(RIGHT(B636,4)),VALUE(MID(B636,4,2)),VALUE(LEFT(B636,2))),"MMM-YYYY")</f>
        <v>Feb-2024</v>
      </c>
      <c r="AF636" s="1" t="n">
        <f aca="false">VALUE(RIGHT(B636,4))</f>
        <v>2024</v>
      </c>
      <c r="AG636" s="1" t="str">
        <f aca="false">CHOOSE(ROUNDUP(VALUE(MID(B636,4,2))/3,0),"Q1","Q2","Q3","Q4")</f>
        <v>Q1</v>
      </c>
    </row>
    <row r="637" customFormat="false" ht="15" hidden="false" customHeight="true" outlineLevel="0" collapsed="false">
      <c r="A637" s="1" t="s">
        <v>1235</v>
      </c>
      <c r="B637" s="1" t="s">
        <v>787</v>
      </c>
      <c r="C637" s="1" t="s">
        <v>178</v>
      </c>
      <c r="D637" s="1" t="s">
        <v>29</v>
      </c>
      <c r="E637" s="1" t="s">
        <v>305</v>
      </c>
      <c r="F637" s="1" t="s">
        <v>150</v>
      </c>
      <c r="G637" s="1" t="s">
        <v>32</v>
      </c>
      <c r="H637" s="1" t="s">
        <v>57</v>
      </c>
      <c r="I637" s="1" t="s">
        <v>58</v>
      </c>
      <c r="J637" s="1" t="s">
        <v>35</v>
      </c>
      <c r="K637" s="1" t="s">
        <v>112</v>
      </c>
      <c r="L637" s="1" t="s">
        <v>61</v>
      </c>
      <c r="M637" s="1" t="s">
        <v>38</v>
      </c>
      <c r="N637" s="1" t="n">
        <v>24999</v>
      </c>
      <c r="O637" s="1" t="n">
        <v>10</v>
      </c>
      <c r="P637" s="1" t="n">
        <v>2499.9</v>
      </c>
      <c r="Q637" s="1" t="n">
        <v>22499.1</v>
      </c>
      <c r="R637" s="1" t="n">
        <v>4049.84</v>
      </c>
      <c r="S637" s="1" t="n">
        <v>18449.26</v>
      </c>
      <c r="T637" s="1" t="n">
        <v>7916.57</v>
      </c>
      <c r="U637" s="1" t="n">
        <v>10532.69</v>
      </c>
      <c r="V637" s="1" t="n">
        <v>57.09</v>
      </c>
      <c r="W637" s="1" t="s">
        <v>40</v>
      </c>
      <c r="Y637" s="1" t="s">
        <v>40</v>
      </c>
      <c r="Z637" s="1" t="n">
        <v>0</v>
      </c>
      <c r="AA637" s="1" t="str">
        <f aca="false">TRIM(PROPER(F637))</f>
        <v>Jaipur</v>
      </c>
      <c r="AB637" s="1" t="str">
        <f aca="false">TRIM(PROPER(C637))</f>
        <v>Leverage Edu</v>
      </c>
      <c r="AC637" s="1" t="str">
        <f aca="false">IF(O637=0,"No Discount",IF(O637&lt;=15,"Low (1-15%)",IF(O637&lt;=30,"Medium (16-30%)","High (&gt;30%)")))</f>
        <v>Low (1-15%)</v>
      </c>
      <c r="AD637" s="1" t="str">
        <f aca="false">IF(V637&lt;0,"Loss Making",IF(V637&lt;20,"Low Margin","Healthy Margin"))</f>
        <v>Healthy Margin</v>
      </c>
      <c r="AE637" s="1" t="str">
        <f aca="false">TEXT(DATE(VALUE(RIGHT(B637,4)),VALUE(MID(B637,4,2)),VALUE(LEFT(B637,2))),"MMM-YYYY")</f>
        <v>Feb-2024</v>
      </c>
      <c r="AF637" s="1" t="n">
        <f aca="false">VALUE(RIGHT(B637,4))</f>
        <v>2024</v>
      </c>
      <c r="AG637" s="1" t="str">
        <f aca="false">CHOOSE(ROUNDUP(VALUE(MID(B637,4,2))/3,0),"Q1","Q2","Q3","Q4")</f>
        <v>Q1</v>
      </c>
    </row>
    <row r="638" customFormat="false" ht="15" hidden="false" customHeight="true" outlineLevel="0" collapsed="false">
      <c r="A638" s="1" t="s">
        <v>1236</v>
      </c>
      <c r="B638" s="1" t="s">
        <v>522</v>
      </c>
      <c r="C638" s="1" t="s">
        <v>119</v>
      </c>
      <c r="D638" s="1" t="s">
        <v>143</v>
      </c>
      <c r="E638" s="1" t="s">
        <v>144</v>
      </c>
      <c r="F638" s="1" t="s">
        <v>211</v>
      </c>
      <c r="G638" s="1" t="s">
        <v>56</v>
      </c>
      <c r="H638" s="1" t="s">
        <v>69</v>
      </c>
      <c r="I638" s="1" t="s">
        <v>58</v>
      </c>
      <c r="J638" s="1" t="s">
        <v>131</v>
      </c>
      <c r="K638" s="1" t="s">
        <v>71</v>
      </c>
      <c r="L638" s="1" t="s">
        <v>37</v>
      </c>
      <c r="M638" s="1" t="s">
        <v>62</v>
      </c>
      <c r="N638" s="1" t="n">
        <v>12999</v>
      </c>
      <c r="O638" s="1" t="n">
        <v>40</v>
      </c>
      <c r="P638" s="1" t="n">
        <v>5199.6</v>
      </c>
      <c r="Q638" s="1" t="n">
        <v>7799.4</v>
      </c>
      <c r="R638" s="1" t="n">
        <v>1403.89</v>
      </c>
      <c r="S638" s="1" t="n">
        <v>6395.51</v>
      </c>
      <c r="T638" s="1" t="n">
        <v>2805.05</v>
      </c>
      <c r="U638" s="1" t="n">
        <v>3590.46</v>
      </c>
      <c r="V638" s="1" t="n">
        <v>56.14</v>
      </c>
      <c r="W638" s="1" t="s">
        <v>39</v>
      </c>
      <c r="X638" s="1" t="n">
        <v>2.6</v>
      </c>
      <c r="Y638" s="1" t="s">
        <v>40</v>
      </c>
      <c r="Z638" s="1" t="n">
        <v>1</v>
      </c>
      <c r="AA638" s="1" t="str">
        <f aca="false">TRIM(PROPER(F638))</f>
        <v>Noida</v>
      </c>
      <c r="AB638" s="1" t="str">
        <f aca="false">TRIM(PROPER(C638))</f>
        <v>Simplilearn</v>
      </c>
      <c r="AC638" s="1" t="str">
        <f aca="false">IF(O638=0,"No Discount",IF(O638&lt;=15,"Low (1-15%)",IF(O638&lt;=30,"Medium (16-30%)","High (&gt;30%)")))</f>
        <v>High (&gt;30%)</v>
      </c>
      <c r="AD638" s="1" t="str">
        <f aca="false">IF(V638&lt;0,"Loss Making",IF(V638&lt;20,"Low Margin","Healthy Margin"))</f>
        <v>Healthy Margin</v>
      </c>
      <c r="AE638" s="1" t="str">
        <f aca="false">TEXT(DATE(VALUE(RIGHT(B638,4)),VALUE(MID(B638,4,2)),VALUE(LEFT(B638,2))),"MMM-YYYY")</f>
        <v>Dec-2023</v>
      </c>
      <c r="AF638" s="1" t="n">
        <f aca="false">VALUE(RIGHT(B638,4))</f>
        <v>2023</v>
      </c>
      <c r="AG638" s="1" t="str">
        <f aca="false">CHOOSE(ROUNDUP(VALUE(MID(B638,4,2))/3,0),"Q1","Q2","Q3","Q4")</f>
        <v>Q4</v>
      </c>
    </row>
    <row r="639" customFormat="false" ht="15" hidden="false" customHeight="true" outlineLevel="0" collapsed="false">
      <c r="A639" s="1" t="s">
        <v>1237</v>
      </c>
      <c r="B639" s="1" t="s">
        <v>839</v>
      </c>
      <c r="C639" s="1" t="s">
        <v>264</v>
      </c>
      <c r="D639" s="1" t="s">
        <v>123</v>
      </c>
      <c r="E639" s="1" t="s">
        <v>233</v>
      </c>
      <c r="F639" s="1" t="s">
        <v>55</v>
      </c>
      <c r="G639" s="1" t="s">
        <v>56</v>
      </c>
      <c r="H639" s="1" t="s">
        <v>57</v>
      </c>
      <c r="I639" s="1" t="s">
        <v>83</v>
      </c>
      <c r="J639" s="1" t="s">
        <v>59</v>
      </c>
      <c r="K639" s="1" t="s">
        <v>104</v>
      </c>
      <c r="L639" s="1" t="s">
        <v>85</v>
      </c>
      <c r="M639" s="1" t="s">
        <v>38</v>
      </c>
      <c r="N639" s="1" t="n">
        <v>8999</v>
      </c>
      <c r="O639" s="1" t="n">
        <v>30</v>
      </c>
      <c r="P639" s="1" t="n">
        <v>2699.7</v>
      </c>
      <c r="Q639" s="1" t="n">
        <v>6299.3</v>
      </c>
      <c r="R639" s="1" t="n">
        <v>1133.87</v>
      </c>
      <c r="S639" s="1" t="n">
        <v>5165.43</v>
      </c>
      <c r="T639" s="1" t="n">
        <v>1938.02</v>
      </c>
      <c r="U639" s="1" t="n">
        <v>3227.41</v>
      </c>
      <c r="V639" s="1" t="n">
        <v>62.48</v>
      </c>
      <c r="W639" s="1" t="s">
        <v>39</v>
      </c>
      <c r="X639" s="1" t="n">
        <v>3.2</v>
      </c>
      <c r="Y639" s="1" t="s">
        <v>40</v>
      </c>
      <c r="Z639" s="1" t="n">
        <v>0</v>
      </c>
      <c r="AA639" s="1" t="str">
        <f aca="false">TRIM(PROPER(F639))</f>
        <v>Ghaziabad</v>
      </c>
      <c r="AB639" s="1" t="str">
        <f aca="false">TRIM(PROPER(C639))</f>
        <v>Unacademy</v>
      </c>
      <c r="AC639" s="1" t="str">
        <f aca="false">IF(O639=0,"No Discount",IF(O639&lt;=15,"Low (1-15%)",IF(O639&lt;=30,"Medium (16-30%)","High (&gt;30%)")))</f>
        <v>Medium (16-30%)</v>
      </c>
      <c r="AD639" s="1" t="str">
        <f aca="false">IF(V639&lt;0,"Loss Making",IF(V639&lt;20,"Low Margin","Healthy Margin"))</f>
        <v>Healthy Margin</v>
      </c>
      <c r="AE639" s="1" t="str">
        <f aca="false">TEXT(DATE(VALUE(RIGHT(B639,4)),VALUE(MID(B639,4,2)),VALUE(LEFT(B639,2))),"MMM-YYYY")</f>
        <v>Dec-2023</v>
      </c>
      <c r="AF639" s="1" t="n">
        <f aca="false">VALUE(RIGHT(B639,4))</f>
        <v>2023</v>
      </c>
      <c r="AG639" s="1" t="str">
        <f aca="false">CHOOSE(ROUNDUP(VALUE(MID(B639,4,2))/3,0),"Q1","Q2","Q3","Q4")</f>
        <v>Q4</v>
      </c>
    </row>
    <row r="640" customFormat="false" ht="15" hidden="false" customHeight="true" outlineLevel="0" collapsed="false">
      <c r="A640" s="1" t="s">
        <v>1238</v>
      </c>
      <c r="B640" s="1" t="s">
        <v>199</v>
      </c>
      <c r="C640" s="1" t="s">
        <v>65</v>
      </c>
      <c r="D640" s="1" t="s">
        <v>143</v>
      </c>
      <c r="E640" s="1" t="s">
        <v>144</v>
      </c>
      <c r="F640" s="1" t="s">
        <v>82</v>
      </c>
      <c r="G640" s="1" t="s">
        <v>56</v>
      </c>
      <c r="H640" s="1" t="s">
        <v>69</v>
      </c>
      <c r="I640" s="1" t="s">
        <v>83</v>
      </c>
      <c r="J640" s="1" t="s">
        <v>35</v>
      </c>
      <c r="K640" s="1" t="s">
        <v>71</v>
      </c>
      <c r="L640" s="1" t="s">
        <v>61</v>
      </c>
      <c r="M640" s="1" t="s">
        <v>38</v>
      </c>
      <c r="N640" s="1" t="n">
        <v>12999</v>
      </c>
      <c r="O640" s="1" t="n">
        <v>10</v>
      </c>
      <c r="P640" s="1" t="n">
        <v>1299.9</v>
      </c>
      <c r="Q640" s="1" t="n">
        <v>11699.1</v>
      </c>
      <c r="R640" s="1" t="n">
        <v>2105.84</v>
      </c>
      <c r="S640" s="1" t="n">
        <v>9593.26</v>
      </c>
      <c r="T640" s="1" t="n">
        <v>3627.59</v>
      </c>
      <c r="U640" s="1" t="n">
        <v>5965.67</v>
      </c>
      <c r="V640" s="1" t="n">
        <v>62.19</v>
      </c>
      <c r="W640" s="1" t="s">
        <v>39</v>
      </c>
      <c r="Y640" s="1" t="s">
        <v>40</v>
      </c>
      <c r="Z640" s="1" t="n">
        <v>0</v>
      </c>
      <c r="AA640" s="1" t="str">
        <f aca="false">TRIM(PROPER(F640))</f>
        <v>Gurugram</v>
      </c>
      <c r="AB640" s="1" t="str">
        <f aca="false">TRIM(PROPER(C640))</f>
        <v>Toppr</v>
      </c>
      <c r="AC640" s="1" t="str">
        <f aca="false">IF(O640=0,"No Discount",IF(O640&lt;=15,"Low (1-15%)",IF(O640&lt;=30,"Medium (16-30%)","High (&gt;30%)")))</f>
        <v>Low (1-15%)</v>
      </c>
      <c r="AD640" s="1" t="str">
        <f aca="false">IF(V640&lt;0,"Loss Making",IF(V640&lt;20,"Low Margin","Healthy Margin"))</f>
        <v>Healthy Margin</v>
      </c>
      <c r="AE640" s="1" t="str">
        <f aca="false">TEXT(DATE(VALUE(RIGHT(B640,4)),VALUE(MID(B640,4,2)),VALUE(LEFT(B640,2))),"MMM-YYYY")</f>
        <v>Jul-2024</v>
      </c>
      <c r="AF640" s="1" t="n">
        <f aca="false">VALUE(RIGHT(B640,4))</f>
        <v>2024</v>
      </c>
      <c r="AG640" s="1" t="str">
        <f aca="false">CHOOSE(ROUNDUP(VALUE(MID(B640,4,2))/3,0),"Q1","Q2","Q3","Q4")</f>
        <v>Q3</v>
      </c>
    </row>
    <row r="641" customFormat="false" ht="15" hidden="false" customHeight="true" outlineLevel="0" collapsed="false">
      <c r="A641" s="1" t="s">
        <v>1239</v>
      </c>
      <c r="B641" s="1" t="s">
        <v>42</v>
      </c>
      <c r="C641" s="1" t="s">
        <v>139</v>
      </c>
      <c r="D641" s="1" t="s">
        <v>29</v>
      </c>
      <c r="E641" s="1" t="s">
        <v>305</v>
      </c>
      <c r="F641" s="1" t="s">
        <v>75</v>
      </c>
      <c r="G641" s="1" t="s">
        <v>76</v>
      </c>
      <c r="H641" s="1" t="s">
        <v>69</v>
      </c>
      <c r="I641" s="1" t="s">
        <v>34</v>
      </c>
      <c r="J641" s="1" t="s">
        <v>70</v>
      </c>
      <c r="K641" s="1" t="s">
        <v>60</v>
      </c>
      <c r="L641" s="1" t="s">
        <v>113</v>
      </c>
      <c r="M641" s="1" t="s">
        <v>62</v>
      </c>
      <c r="N641" s="1" t="n">
        <v>24999</v>
      </c>
      <c r="O641" s="1" t="n">
        <v>15</v>
      </c>
      <c r="P641" s="1" t="n">
        <v>3749.85</v>
      </c>
      <c r="Q641" s="1" t="n">
        <v>21249.15</v>
      </c>
      <c r="R641" s="1" t="n">
        <v>3824.85</v>
      </c>
      <c r="S641" s="1" t="n">
        <v>17424.3</v>
      </c>
      <c r="T641" s="1" t="n">
        <v>6356.55</v>
      </c>
      <c r="U641" s="1" t="n">
        <v>11067.75</v>
      </c>
      <c r="V641" s="1" t="n">
        <v>63.52</v>
      </c>
      <c r="W641" s="1" t="s">
        <v>39</v>
      </c>
      <c r="X641" s="1" t="n">
        <v>4.8</v>
      </c>
      <c r="Y641" s="1" t="s">
        <v>40</v>
      </c>
      <c r="Z641" s="1" t="n">
        <v>2</v>
      </c>
      <c r="AA641" s="1" t="str">
        <f aca="false">TRIM(PROPER(F641))</f>
        <v>Kolkata</v>
      </c>
      <c r="AB641" s="1" t="str">
        <f aca="false">TRIM(PROPER(C641))</f>
        <v>Extramarks</v>
      </c>
      <c r="AC641" s="1" t="str">
        <f aca="false">IF(O641=0,"No Discount",IF(O641&lt;=15,"Low (1-15%)",IF(O641&lt;=30,"Medium (16-30%)","High (&gt;30%)")))</f>
        <v>Low (1-15%)</v>
      </c>
      <c r="AD641" s="1" t="str">
        <f aca="false">IF(V641&lt;0,"Loss Making",IF(V641&lt;20,"Low Margin","Healthy Margin"))</f>
        <v>Healthy Margin</v>
      </c>
      <c r="AE641" s="1" t="str">
        <f aca="false">TEXT(DATE(VALUE(RIGHT(B641,4)),VALUE(MID(B641,4,2)),VALUE(LEFT(B641,2))),"MMM-YYYY")</f>
        <v>Dec-2023</v>
      </c>
      <c r="AF641" s="1" t="n">
        <f aca="false">VALUE(RIGHT(B641,4))</f>
        <v>2023</v>
      </c>
      <c r="AG641" s="1" t="str">
        <f aca="false">CHOOSE(ROUNDUP(VALUE(MID(B641,4,2))/3,0),"Q1","Q2","Q3","Q4")</f>
        <v>Q4</v>
      </c>
    </row>
    <row r="642" customFormat="false" ht="15" hidden="false" customHeight="true" outlineLevel="0" collapsed="false">
      <c r="A642" s="1" t="s">
        <v>1240</v>
      </c>
      <c r="B642" s="1" t="s">
        <v>1154</v>
      </c>
      <c r="C642" s="1" t="s">
        <v>178</v>
      </c>
      <c r="D642" s="1" t="s">
        <v>44</v>
      </c>
      <c r="E642" s="1" t="s">
        <v>45</v>
      </c>
      <c r="F642" s="1" t="s">
        <v>75</v>
      </c>
      <c r="G642" s="1" t="s">
        <v>76</v>
      </c>
      <c r="H642" s="1" t="s">
        <v>69</v>
      </c>
      <c r="I642" s="1" t="s">
        <v>83</v>
      </c>
      <c r="J642" s="1" t="s">
        <v>35</v>
      </c>
      <c r="K642" s="1" t="s">
        <v>104</v>
      </c>
      <c r="L642" s="1" t="s">
        <v>85</v>
      </c>
      <c r="M642" s="1" t="s">
        <v>38</v>
      </c>
      <c r="N642" s="1" t="n">
        <v>11999</v>
      </c>
      <c r="O642" s="1" t="n">
        <v>25</v>
      </c>
      <c r="P642" s="1" t="n">
        <v>2999.75</v>
      </c>
      <c r="Q642" s="1" t="n">
        <v>8999.25</v>
      </c>
      <c r="R642" s="1" t="n">
        <v>1619.87</v>
      </c>
      <c r="S642" s="1" t="n">
        <v>7379.38</v>
      </c>
      <c r="T642" s="1" t="n">
        <v>2500.79</v>
      </c>
      <c r="U642" s="1" t="n">
        <v>4878.59</v>
      </c>
      <c r="V642" s="1" t="n">
        <v>66.11</v>
      </c>
      <c r="W642" s="1" t="s">
        <v>40</v>
      </c>
      <c r="Y642" s="1" t="s">
        <v>40</v>
      </c>
      <c r="Z642" s="1" t="n">
        <v>2</v>
      </c>
      <c r="AA642" s="1" t="str">
        <f aca="false">TRIM(PROPER(F642))</f>
        <v>Kolkata</v>
      </c>
      <c r="AB642" s="1" t="str">
        <f aca="false">TRIM(PROPER(C642))</f>
        <v>Leverage Edu</v>
      </c>
      <c r="AC642" s="1" t="str">
        <f aca="false">IF(O642=0,"No Discount",IF(O642&lt;=15,"Low (1-15%)",IF(O642&lt;=30,"Medium (16-30%)","High (&gt;30%)")))</f>
        <v>Medium (16-30%)</v>
      </c>
      <c r="AD642" s="1" t="str">
        <f aca="false">IF(V642&lt;0,"Loss Making",IF(V642&lt;20,"Low Margin","Healthy Margin"))</f>
        <v>Healthy Margin</v>
      </c>
      <c r="AE642" s="1" t="str">
        <f aca="false">TEXT(DATE(VALUE(RIGHT(B642,4)),VALUE(MID(B642,4,2)),VALUE(LEFT(B642,2))),"MMM-YYYY")</f>
        <v>Dec-2024</v>
      </c>
      <c r="AF642" s="1" t="n">
        <f aca="false">VALUE(RIGHT(B642,4))</f>
        <v>2024</v>
      </c>
      <c r="AG642" s="1" t="str">
        <f aca="false">CHOOSE(ROUNDUP(VALUE(MID(B642,4,2))/3,0),"Q1","Q2","Q3","Q4")</f>
        <v>Q4</v>
      </c>
    </row>
    <row r="643" customFormat="false" ht="15" hidden="false" customHeight="true" outlineLevel="0" collapsed="false">
      <c r="A643" s="1" t="s">
        <v>1241</v>
      </c>
      <c r="B643" s="1" t="s">
        <v>1242</v>
      </c>
      <c r="C643" s="1" t="s">
        <v>74</v>
      </c>
      <c r="D643" s="1" t="s">
        <v>123</v>
      </c>
      <c r="E643" s="1" t="s">
        <v>233</v>
      </c>
      <c r="F643" s="1" t="s">
        <v>130</v>
      </c>
      <c r="G643" s="1" t="s">
        <v>47</v>
      </c>
      <c r="H643" s="1" t="s">
        <v>69</v>
      </c>
      <c r="I643" s="1" t="s">
        <v>34</v>
      </c>
      <c r="J643" s="1" t="s">
        <v>59</v>
      </c>
      <c r="K643" s="1" t="s">
        <v>112</v>
      </c>
      <c r="L643" s="1" t="s">
        <v>61</v>
      </c>
      <c r="M643" s="1" t="s">
        <v>50</v>
      </c>
      <c r="N643" s="1" t="n">
        <v>8999</v>
      </c>
      <c r="O643" s="1" t="n">
        <v>20</v>
      </c>
      <c r="P643" s="1" t="n">
        <v>1799.8</v>
      </c>
      <c r="Q643" s="1" t="n">
        <v>7199.2</v>
      </c>
      <c r="R643" s="1" t="n">
        <v>1295.86</v>
      </c>
      <c r="S643" s="1" t="n">
        <v>5903.34</v>
      </c>
      <c r="T643" s="1" t="n">
        <v>2866.25</v>
      </c>
      <c r="U643" s="1" t="n">
        <v>3037.09</v>
      </c>
      <c r="V643" s="1" t="n">
        <v>51.45</v>
      </c>
      <c r="W643" s="1" t="s">
        <v>40</v>
      </c>
      <c r="Y643" s="1" t="s">
        <v>40</v>
      </c>
      <c r="Z643" s="1" t="n">
        <v>1</v>
      </c>
      <c r="AA643" s="1" t="str">
        <f aca="false">TRIM(PROPER(F643))</f>
        <v>Bengaluru</v>
      </c>
      <c r="AB643" s="1" t="str">
        <f aca="false">TRIM(PROPER(C643))</f>
        <v>Vedantu</v>
      </c>
      <c r="AC643" s="1" t="str">
        <f aca="false">IF(O643=0,"No Discount",IF(O643&lt;=15,"Low (1-15%)",IF(O643&lt;=30,"Medium (16-30%)","High (&gt;30%)")))</f>
        <v>Medium (16-30%)</v>
      </c>
      <c r="AD643" s="1" t="str">
        <f aca="false">IF(V643&lt;0,"Loss Making",IF(V643&lt;20,"Low Margin","Healthy Margin"))</f>
        <v>Healthy Margin</v>
      </c>
      <c r="AE643" s="1" t="str">
        <f aca="false">TEXT(DATE(VALUE(RIGHT(B643,4)),VALUE(MID(B643,4,2)),VALUE(LEFT(B643,2))),"MMM-YYYY")</f>
        <v>Jan-2023</v>
      </c>
      <c r="AF643" s="1" t="n">
        <f aca="false">VALUE(RIGHT(B643,4))</f>
        <v>2023</v>
      </c>
      <c r="AG643" s="1" t="str">
        <f aca="false">CHOOSE(ROUNDUP(VALUE(MID(B643,4,2))/3,0),"Q1","Q2","Q3","Q4")</f>
        <v>Q1</v>
      </c>
    </row>
    <row r="644" customFormat="false" ht="15" hidden="false" customHeight="true" outlineLevel="0" collapsed="false">
      <c r="A644" s="1" t="s">
        <v>1243</v>
      </c>
      <c r="B644" s="1" t="s">
        <v>1244</v>
      </c>
      <c r="C644" s="1" t="s">
        <v>28</v>
      </c>
      <c r="D644" s="1" t="s">
        <v>94</v>
      </c>
      <c r="E644" s="1" t="s">
        <v>135</v>
      </c>
      <c r="F644" s="1" t="s">
        <v>269</v>
      </c>
      <c r="G644" s="1" t="s">
        <v>108</v>
      </c>
      <c r="H644" s="1" t="s">
        <v>57</v>
      </c>
      <c r="I644" s="1" t="s">
        <v>34</v>
      </c>
      <c r="J644" s="1" t="s">
        <v>131</v>
      </c>
      <c r="K644" s="1" t="s">
        <v>90</v>
      </c>
      <c r="L644" s="1" t="s">
        <v>37</v>
      </c>
      <c r="M644" s="1" t="s">
        <v>38</v>
      </c>
      <c r="N644" s="1" t="n">
        <v>9999</v>
      </c>
      <c r="O644" s="1" t="n">
        <v>5</v>
      </c>
      <c r="P644" s="1" t="n">
        <v>499.95</v>
      </c>
      <c r="Q644" s="1" t="n">
        <v>9499.05</v>
      </c>
      <c r="R644" s="1" t="n">
        <v>1709.83</v>
      </c>
      <c r="S644" s="1" t="n">
        <v>7789.22</v>
      </c>
      <c r="T644" s="1" t="n">
        <v>3573.4</v>
      </c>
      <c r="U644" s="1" t="n">
        <v>4215.82</v>
      </c>
      <c r="V644" s="1" t="n">
        <v>54.12</v>
      </c>
      <c r="W644" s="1" t="s">
        <v>39</v>
      </c>
      <c r="Y644" s="1" t="s">
        <v>40</v>
      </c>
      <c r="Z644" s="1" t="n">
        <v>0</v>
      </c>
      <c r="AA644" s="1" t="str">
        <f aca="false">TRIM(PROPER(F644))</f>
        <v>Coimbatore</v>
      </c>
      <c r="AB644" s="1" t="str">
        <f aca="false">TRIM(PROPER(C644))</f>
        <v>Embibe</v>
      </c>
      <c r="AC644" s="1" t="str">
        <f aca="false">IF(O644=0,"No Discount",IF(O644&lt;=15,"Low (1-15%)",IF(O644&lt;=30,"Medium (16-30%)","High (&gt;30%)")))</f>
        <v>Low (1-15%)</v>
      </c>
      <c r="AD644" s="1" t="str">
        <f aca="false">IF(V644&lt;0,"Loss Making",IF(V644&lt;20,"Low Margin","Healthy Margin"))</f>
        <v>Healthy Margin</v>
      </c>
      <c r="AE644" s="1" t="str">
        <f aca="false">TEXT(DATE(VALUE(RIGHT(B644,4)),VALUE(MID(B644,4,2)),VALUE(LEFT(B644,2))),"MMM-YYYY")</f>
        <v>Jul-2024</v>
      </c>
      <c r="AF644" s="1" t="n">
        <f aca="false">VALUE(RIGHT(B644,4))</f>
        <v>2024</v>
      </c>
      <c r="AG644" s="1" t="str">
        <f aca="false">CHOOSE(ROUNDUP(VALUE(MID(B644,4,2))/3,0),"Q1","Q2","Q3","Q4")</f>
        <v>Q3</v>
      </c>
    </row>
    <row r="645" customFormat="false" ht="15" hidden="false" customHeight="true" outlineLevel="0" collapsed="false">
      <c r="A645" s="1" t="s">
        <v>1245</v>
      </c>
      <c r="B645" s="1" t="s">
        <v>1246</v>
      </c>
      <c r="C645" s="1" t="s">
        <v>74</v>
      </c>
      <c r="D645" s="1" t="s">
        <v>80</v>
      </c>
      <c r="E645" s="1" t="s">
        <v>81</v>
      </c>
      <c r="F645" s="1" t="s">
        <v>125</v>
      </c>
      <c r="G645" s="1" t="s">
        <v>108</v>
      </c>
      <c r="H645" s="1" t="s">
        <v>69</v>
      </c>
      <c r="I645" s="1" t="s">
        <v>58</v>
      </c>
      <c r="J645" s="1" t="s">
        <v>131</v>
      </c>
      <c r="K645" s="1" t="s">
        <v>112</v>
      </c>
      <c r="L645" s="1" t="s">
        <v>136</v>
      </c>
      <c r="M645" s="1" t="s">
        <v>50</v>
      </c>
      <c r="N645" s="1" t="n">
        <v>12999</v>
      </c>
      <c r="O645" s="1" t="n">
        <v>5</v>
      </c>
      <c r="P645" s="1" t="n">
        <v>649.95</v>
      </c>
      <c r="Q645" s="1" t="n">
        <v>12349.05</v>
      </c>
      <c r="R645" s="1" t="n">
        <v>2222.83</v>
      </c>
      <c r="S645" s="1" t="n">
        <v>10126.22</v>
      </c>
      <c r="T645" s="1" t="n">
        <v>4522</v>
      </c>
      <c r="U645" s="1" t="n">
        <v>5604.22</v>
      </c>
      <c r="V645" s="1" t="n">
        <v>55.34</v>
      </c>
      <c r="W645" s="1" t="s">
        <v>39</v>
      </c>
      <c r="Y645" s="1" t="s">
        <v>40</v>
      </c>
      <c r="Z645" s="1" t="n">
        <v>1</v>
      </c>
      <c r="AA645" s="1" t="str">
        <f aca="false">TRIM(PROPER(F645))</f>
        <v>Chennai</v>
      </c>
      <c r="AB645" s="1" t="str">
        <f aca="false">TRIM(PROPER(C645))</f>
        <v>Vedantu</v>
      </c>
      <c r="AC645" s="1" t="str">
        <f aca="false">IF(O645=0,"No Discount",IF(O645&lt;=15,"Low (1-15%)",IF(O645&lt;=30,"Medium (16-30%)","High (&gt;30%)")))</f>
        <v>Low (1-15%)</v>
      </c>
      <c r="AD645" s="1" t="str">
        <f aca="false">IF(V645&lt;0,"Loss Making",IF(V645&lt;20,"Low Margin","Healthy Margin"))</f>
        <v>Healthy Margin</v>
      </c>
      <c r="AE645" s="1" t="str">
        <f aca="false">TEXT(DATE(VALUE(RIGHT(B645,4)),VALUE(MID(B645,4,2)),VALUE(LEFT(B645,2))),"MMM-YYYY")</f>
        <v>Nov-2024</v>
      </c>
      <c r="AF645" s="1" t="n">
        <f aca="false">VALUE(RIGHT(B645,4))</f>
        <v>2024</v>
      </c>
      <c r="AG645" s="1" t="str">
        <f aca="false">CHOOSE(ROUNDUP(VALUE(MID(B645,4,2))/3,0),"Q1","Q2","Q3","Q4")</f>
        <v>Q4</v>
      </c>
    </row>
    <row r="646" customFormat="false" ht="15" hidden="false" customHeight="true" outlineLevel="0" collapsed="false">
      <c r="A646" s="1" t="s">
        <v>1247</v>
      </c>
      <c r="B646" s="1" t="s">
        <v>988</v>
      </c>
      <c r="C646" s="1" t="s">
        <v>65</v>
      </c>
      <c r="D646" s="1" t="s">
        <v>168</v>
      </c>
      <c r="E646" s="1" t="s">
        <v>172</v>
      </c>
      <c r="F646" s="1" t="s">
        <v>67</v>
      </c>
      <c r="G646" s="1" t="s">
        <v>68</v>
      </c>
      <c r="H646" s="1" t="s">
        <v>69</v>
      </c>
      <c r="I646" s="1" t="s">
        <v>58</v>
      </c>
      <c r="J646" s="1" t="s">
        <v>35</v>
      </c>
      <c r="K646" s="1" t="s">
        <v>112</v>
      </c>
      <c r="L646" s="1" t="s">
        <v>113</v>
      </c>
      <c r="M646" s="1" t="s">
        <v>62</v>
      </c>
      <c r="N646" s="1" t="n">
        <v>6999</v>
      </c>
      <c r="O646" s="1" t="n">
        <v>40</v>
      </c>
      <c r="P646" s="1" t="n">
        <v>2799.6</v>
      </c>
      <c r="Q646" s="1" t="n">
        <v>4199.4</v>
      </c>
      <c r="R646" s="1" t="n">
        <v>755.89</v>
      </c>
      <c r="S646" s="1" t="n">
        <v>3443.51</v>
      </c>
      <c r="T646" s="1" t="n">
        <v>1808.03</v>
      </c>
      <c r="U646" s="1" t="n">
        <v>1635.48</v>
      </c>
      <c r="V646" s="1" t="n">
        <v>47.49</v>
      </c>
      <c r="W646" s="1" t="s">
        <v>40</v>
      </c>
      <c r="Y646" s="1" t="s">
        <v>39</v>
      </c>
      <c r="Z646" s="1" t="n">
        <v>0</v>
      </c>
      <c r="AA646" s="1" t="str">
        <f aca="false">TRIM(PROPER(F646))</f>
        <v>Ahmedabad</v>
      </c>
      <c r="AB646" s="1" t="str">
        <f aca="false">TRIM(PROPER(C646))</f>
        <v>Toppr</v>
      </c>
      <c r="AC646" s="1" t="str">
        <f aca="false">IF(O646=0,"No Discount",IF(O646&lt;=15,"Low (1-15%)",IF(O646&lt;=30,"Medium (16-30%)","High (&gt;30%)")))</f>
        <v>High (&gt;30%)</v>
      </c>
      <c r="AD646" s="1" t="str">
        <f aca="false">IF(V646&lt;0,"Loss Making",IF(V646&lt;20,"Low Margin","Healthy Margin"))</f>
        <v>Healthy Margin</v>
      </c>
      <c r="AE646" s="1" t="str">
        <f aca="false">TEXT(DATE(VALUE(RIGHT(B646,4)),VALUE(MID(B646,4,2)),VALUE(LEFT(B646,2))),"MMM-YYYY")</f>
        <v>Dec-2024</v>
      </c>
      <c r="AF646" s="1" t="n">
        <f aca="false">VALUE(RIGHT(B646,4))</f>
        <v>2024</v>
      </c>
      <c r="AG646" s="1" t="str">
        <f aca="false">CHOOSE(ROUNDUP(VALUE(MID(B646,4,2))/3,0),"Q1","Q2","Q3","Q4")</f>
        <v>Q4</v>
      </c>
    </row>
    <row r="647" customFormat="false" ht="15" hidden="false" customHeight="true" outlineLevel="0" collapsed="false">
      <c r="A647" s="1" t="s">
        <v>1248</v>
      </c>
      <c r="B647" s="1" t="s">
        <v>1215</v>
      </c>
      <c r="C647" s="1" t="s">
        <v>93</v>
      </c>
      <c r="D647" s="1" t="s">
        <v>53</v>
      </c>
      <c r="E647" s="1" t="s">
        <v>116</v>
      </c>
      <c r="F647" s="1" t="s">
        <v>67</v>
      </c>
      <c r="G647" s="1" t="s">
        <v>68</v>
      </c>
      <c r="H647" s="1" t="s">
        <v>69</v>
      </c>
      <c r="I647" s="1" t="s">
        <v>34</v>
      </c>
      <c r="J647" s="1" t="s">
        <v>131</v>
      </c>
      <c r="K647" s="1" t="s">
        <v>90</v>
      </c>
      <c r="L647" s="1" t="s">
        <v>136</v>
      </c>
      <c r="M647" s="1" t="s">
        <v>50</v>
      </c>
      <c r="N647" s="1" t="n">
        <v>9999</v>
      </c>
      <c r="O647" s="1" t="n">
        <v>20</v>
      </c>
      <c r="P647" s="1" t="n">
        <v>1999.8</v>
      </c>
      <c r="Q647" s="1" t="n">
        <v>7999.2</v>
      </c>
      <c r="R647" s="1" t="n">
        <v>1439.86</v>
      </c>
      <c r="S647" s="1" t="n">
        <v>6559.34</v>
      </c>
      <c r="T647" s="1" t="n">
        <v>2457.08</v>
      </c>
      <c r="U647" s="1" t="n">
        <v>4102.26</v>
      </c>
      <c r="V647" s="1" t="n">
        <v>62.54</v>
      </c>
      <c r="W647" s="1" t="s">
        <v>39</v>
      </c>
      <c r="X647" s="1" t="n">
        <v>3.5</v>
      </c>
      <c r="Y647" s="1" t="s">
        <v>39</v>
      </c>
      <c r="Z647" s="1" t="n">
        <v>1</v>
      </c>
      <c r="AA647" s="1" t="str">
        <f aca="false">TRIM(PROPER(F647))</f>
        <v>Ahmedabad</v>
      </c>
      <c r="AB647" s="1" t="str">
        <f aca="false">TRIM(PROPER(C647))</f>
        <v>Upgrad</v>
      </c>
      <c r="AC647" s="1" t="str">
        <f aca="false">IF(O647=0,"No Discount",IF(O647&lt;=15,"Low (1-15%)",IF(O647&lt;=30,"Medium (16-30%)","High (&gt;30%)")))</f>
        <v>Medium (16-30%)</v>
      </c>
      <c r="AD647" s="1" t="str">
        <f aca="false">IF(V647&lt;0,"Loss Making",IF(V647&lt;20,"Low Margin","Healthy Margin"))</f>
        <v>Healthy Margin</v>
      </c>
      <c r="AE647" s="1" t="str">
        <f aca="false">TEXT(DATE(VALUE(RIGHT(B647,4)),VALUE(MID(B647,4,2)),VALUE(LEFT(B647,2))),"MMM-YYYY")</f>
        <v>Oct-2024</v>
      </c>
      <c r="AF647" s="1" t="n">
        <f aca="false">VALUE(RIGHT(B647,4))</f>
        <v>2024</v>
      </c>
      <c r="AG647" s="1" t="str">
        <f aca="false">CHOOSE(ROUNDUP(VALUE(MID(B647,4,2))/3,0),"Q1","Q2","Q3","Q4")</f>
        <v>Q4</v>
      </c>
    </row>
    <row r="648" customFormat="false" ht="15" hidden="false" customHeight="true" outlineLevel="0" collapsed="false">
      <c r="A648" s="1" t="s">
        <v>1249</v>
      </c>
      <c r="B648" s="1" t="s">
        <v>1250</v>
      </c>
      <c r="C648" s="1" t="s">
        <v>178</v>
      </c>
      <c r="D648" s="1" t="s">
        <v>44</v>
      </c>
      <c r="E648" s="1" t="s">
        <v>221</v>
      </c>
      <c r="F648" s="1" t="s">
        <v>150</v>
      </c>
      <c r="G648" s="1" t="s">
        <v>32</v>
      </c>
      <c r="H648" s="1" t="s">
        <v>57</v>
      </c>
      <c r="I648" s="1" t="s">
        <v>58</v>
      </c>
      <c r="J648" s="1" t="s">
        <v>131</v>
      </c>
      <c r="K648" s="1" t="s">
        <v>48</v>
      </c>
      <c r="L648" s="1" t="s">
        <v>136</v>
      </c>
      <c r="M648" s="1" t="s">
        <v>50</v>
      </c>
      <c r="N648" s="1" t="n">
        <v>16999</v>
      </c>
      <c r="O648" s="1" t="n">
        <v>10</v>
      </c>
      <c r="P648" s="1" t="n">
        <v>1699.9</v>
      </c>
      <c r="Q648" s="1" t="n">
        <v>15299.1</v>
      </c>
      <c r="R648" s="1" t="n">
        <v>2753.84</v>
      </c>
      <c r="S648" s="1" t="n">
        <v>12545.26</v>
      </c>
      <c r="T648" s="1" t="n">
        <v>6045.59</v>
      </c>
      <c r="U648" s="1" t="n">
        <v>6499.67</v>
      </c>
      <c r="V648" s="1" t="n">
        <v>51.81</v>
      </c>
      <c r="W648" s="1" t="s">
        <v>39</v>
      </c>
      <c r="X648" s="1" t="n">
        <v>2.8</v>
      </c>
      <c r="Y648" s="1" t="s">
        <v>40</v>
      </c>
      <c r="Z648" s="1" t="n">
        <v>0</v>
      </c>
      <c r="AA648" s="1" t="str">
        <f aca="false">TRIM(PROPER(F648))</f>
        <v>Jaipur</v>
      </c>
      <c r="AB648" s="1" t="str">
        <f aca="false">TRIM(PROPER(C648))</f>
        <v>Leverage Edu</v>
      </c>
      <c r="AC648" s="1" t="str">
        <f aca="false">IF(O648=0,"No Discount",IF(O648&lt;=15,"Low (1-15%)",IF(O648&lt;=30,"Medium (16-30%)","High (&gt;30%)")))</f>
        <v>Low (1-15%)</v>
      </c>
      <c r="AD648" s="1" t="str">
        <f aca="false">IF(V648&lt;0,"Loss Making",IF(V648&lt;20,"Low Margin","Healthy Margin"))</f>
        <v>Healthy Margin</v>
      </c>
      <c r="AE648" s="1" t="str">
        <f aca="false">TEXT(DATE(VALUE(RIGHT(B648,4)),VALUE(MID(B648,4,2)),VALUE(LEFT(B648,2))),"MMM-YYYY")</f>
        <v>Jul-2023</v>
      </c>
      <c r="AF648" s="1" t="n">
        <f aca="false">VALUE(RIGHT(B648,4))</f>
        <v>2023</v>
      </c>
      <c r="AG648" s="1" t="str">
        <f aca="false">CHOOSE(ROUNDUP(VALUE(MID(B648,4,2))/3,0),"Q1","Q2","Q3","Q4")</f>
        <v>Q3</v>
      </c>
    </row>
    <row r="649" customFormat="false" ht="15" hidden="false" customHeight="true" outlineLevel="0" collapsed="false">
      <c r="A649" s="1" t="s">
        <v>1251</v>
      </c>
      <c r="B649" s="1" t="s">
        <v>772</v>
      </c>
      <c r="C649" s="1" t="s">
        <v>128</v>
      </c>
      <c r="D649" s="1" t="s">
        <v>80</v>
      </c>
      <c r="E649" s="1" t="s">
        <v>193</v>
      </c>
      <c r="F649" s="1" t="s">
        <v>96</v>
      </c>
      <c r="G649" s="1" t="s">
        <v>97</v>
      </c>
      <c r="H649" s="1" t="s">
        <v>69</v>
      </c>
      <c r="I649" s="1" t="s">
        <v>83</v>
      </c>
      <c r="J649" s="1" t="s">
        <v>70</v>
      </c>
      <c r="K649" s="1" t="s">
        <v>71</v>
      </c>
      <c r="L649" s="1" t="s">
        <v>113</v>
      </c>
      <c r="M649" s="1" t="s">
        <v>38</v>
      </c>
      <c r="N649" s="1" t="n">
        <v>8999</v>
      </c>
      <c r="O649" s="1" t="n">
        <v>50</v>
      </c>
      <c r="P649" s="1" t="n">
        <v>4499.5</v>
      </c>
      <c r="Q649" s="1" t="n">
        <v>4499.5</v>
      </c>
      <c r="R649" s="1" t="n">
        <v>809.91</v>
      </c>
      <c r="S649" s="1" t="n">
        <v>3689.59</v>
      </c>
      <c r="T649" s="1" t="n">
        <v>1984.8</v>
      </c>
      <c r="U649" s="1" t="n">
        <v>1704.79</v>
      </c>
      <c r="V649" s="1" t="n">
        <v>46.21</v>
      </c>
      <c r="W649" s="1" t="s">
        <v>39</v>
      </c>
      <c r="X649" s="1" t="n">
        <v>4.1</v>
      </c>
      <c r="Y649" s="1" t="s">
        <v>40</v>
      </c>
      <c r="Z649" s="1" t="n">
        <v>0</v>
      </c>
      <c r="AA649" s="1" t="str">
        <f aca="false">TRIM(PROPER(F649))</f>
        <v>Pune</v>
      </c>
      <c r="AB649" s="1" t="str">
        <f aca="false">TRIM(PROPER(C649))</f>
        <v>Great Learning</v>
      </c>
      <c r="AC649" s="1" t="str">
        <f aca="false">IF(O649=0,"No Discount",IF(O649&lt;=15,"Low (1-15%)",IF(O649&lt;=30,"Medium (16-30%)","High (&gt;30%)")))</f>
        <v>High (&gt;30%)</v>
      </c>
      <c r="AD649" s="1" t="str">
        <f aca="false">IF(V649&lt;0,"Loss Making",IF(V649&lt;20,"Low Margin","Healthy Margin"))</f>
        <v>Healthy Margin</v>
      </c>
      <c r="AE649" s="1" t="str">
        <f aca="false">TEXT(DATE(VALUE(RIGHT(B649,4)),VALUE(MID(B649,4,2)),VALUE(LEFT(B649,2))),"MMM-YYYY")</f>
        <v>Apr-2023</v>
      </c>
      <c r="AF649" s="1" t="n">
        <f aca="false">VALUE(RIGHT(B649,4))</f>
        <v>2023</v>
      </c>
      <c r="AG649" s="1" t="str">
        <f aca="false">CHOOSE(ROUNDUP(VALUE(MID(B649,4,2))/3,0),"Q1","Q2","Q3","Q4")</f>
        <v>Q2</v>
      </c>
    </row>
    <row r="650" customFormat="false" ht="15" hidden="false" customHeight="true" outlineLevel="0" collapsed="false">
      <c r="A650" s="1" t="s">
        <v>1252</v>
      </c>
      <c r="B650" s="1" t="s">
        <v>1253</v>
      </c>
      <c r="C650" s="1" t="s">
        <v>28</v>
      </c>
      <c r="D650" s="1" t="s">
        <v>143</v>
      </c>
      <c r="E650" s="1" t="s">
        <v>159</v>
      </c>
      <c r="F650" s="1" t="s">
        <v>153</v>
      </c>
      <c r="G650" s="1" t="s">
        <v>76</v>
      </c>
      <c r="H650" s="1" t="s">
        <v>33</v>
      </c>
      <c r="I650" s="1" t="s">
        <v>83</v>
      </c>
      <c r="J650" s="1" t="s">
        <v>131</v>
      </c>
      <c r="K650" s="1" t="s">
        <v>90</v>
      </c>
      <c r="L650" s="1" t="s">
        <v>85</v>
      </c>
      <c r="M650" s="1" t="s">
        <v>50</v>
      </c>
      <c r="N650" s="1" t="n">
        <v>24999</v>
      </c>
      <c r="O650" s="1" t="n">
        <v>20</v>
      </c>
      <c r="P650" s="1" t="n">
        <v>4999.8</v>
      </c>
      <c r="Q650" s="1" t="n">
        <v>19999.2</v>
      </c>
      <c r="R650" s="1" t="n">
        <v>3599.86</v>
      </c>
      <c r="S650" s="1" t="n">
        <v>16399.34</v>
      </c>
      <c r="T650" s="1" t="n">
        <v>6155.93</v>
      </c>
      <c r="U650" s="1" t="n">
        <v>10243.41</v>
      </c>
      <c r="V650" s="1" t="n">
        <v>62.46</v>
      </c>
      <c r="W650" s="1" t="s">
        <v>40</v>
      </c>
      <c r="Y650" s="1" t="s">
        <v>40</v>
      </c>
      <c r="Z650" s="1" t="n">
        <v>0</v>
      </c>
      <c r="AA650" s="1" t="str">
        <f aca="false">TRIM(PROPER(F650))</f>
        <v>Howrah</v>
      </c>
      <c r="AB650" s="1" t="str">
        <f aca="false">TRIM(PROPER(C650))</f>
        <v>Embibe</v>
      </c>
      <c r="AC650" s="1" t="str">
        <f aca="false">IF(O650=0,"No Discount",IF(O650&lt;=15,"Low (1-15%)",IF(O650&lt;=30,"Medium (16-30%)","High (&gt;30%)")))</f>
        <v>Medium (16-30%)</v>
      </c>
      <c r="AD650" s="1" t="str">
        <f aca="false">IF(V650&lt;0,"Loss Making",IF(V650&lt;20,"Low Margin","Healthy Margin"))</f>
        <v>Healthy Margin</v>
      </c>
      <c r="AE650" s="1" t="str">
        <f aca="false">TEXT(DATE(VALUE(RIGHT(B650,4)),VALUE(MID(B650,4,2)),VALUE(LEFT(B650,2))),"MMM-YYYY")</f>
        <v>Jun-2024</v>
      </c>
      <c r="AF650" s="1" t="n">
        <f aca="false">VALUE(RIGHT(B650,4))</f>
        <v>2024</v>
      </c>
      <c r="AG650" s="1" t="str">
        <f aca="false">CHOOSE(ROUNDUP(VALUE(MID(B650,4,2))/3,0),"Q1","Q2","Q3","Q4")</f>
        <v>Q2</v>
      </c>
    </row>
    <row r="651" customFormat="false" ht="15" hidden="false" customHeight="true" outlineLevel="0" collapsed="false">
      <c r="A651" s="1" t="s">
        <v>1254</v>
      </c>
      <c r="B651" s="1" t="s">
        <v>945</v>
      </c>
      <c r="C651" s="1" t="s">
        <v>100</v>
      </c>
      <c r="D651" s="1" t="s">
        <v>123</v>
      </c>
      <c r="E651" s="1" t="s">
        <v>233</v>
      </c>
      <c r="F651" s="1" t="s">
        <v>156</v>
      </c>
      <c r="G651" s="1" t="s">
        <v>68</v>
      </c>
      <c r="H651" s="1" t="s">
        <v>57</v>
      </c>
      <c r="I651" s="1" t="s">
        <v>58</v>
      </c>
      <c r="J651" s="1" t="s">
        <v>131</v>
      </c>
      <c r="K651" s="1" t="s">
        <v>36</v>
      </c>
      <c r="L651" s="1" t="s">
        <v>49</v>
      </c>
      <c r="M651" s="1" t="s">
        <v>62</v>
      </c>
      <c r="N651" s="1" t="n">
        <v>8999</v>
      </c>
      <c r="O651" s="1" t="n">
        <v>0</v>
      </c>
      <c r="P651" s="1" t="n">
        <v>0</v>
      </c>
      <c r="Q651" s="1" t="n">
        <v>8999</v>
      </c>
      <c r="R651" s="1" t="n">
        <v>1619.82</v>
      </c>
      <c r="S651" s="1" t="n">
        <v>7379.18</v>
      </c>
      <c r="T651" s="1" t="n">
        <v>3097.18</v>
      </c>
      <c r="U651" s="1" t="n">
        <v>4282</v>
      </c>
      <c r="V651" s="1" t="n">
        <v>58.03</v>
      </c>
      <c r="W651" s="1" t="s">
        <v>40</v>
      </c>
      <c r="Y651" s="1" t="s">
        <v>40</v>
      </c>
      <c r="Z651" s="1" t="n">
        <v>0</v>
      </c>
      <c r="AA651" s="1" t="str">
        <f aca="false">TRIM(PROPER(F651))</f>
        <v>Surat</v>
      </c>
      <c r="AB651" s="1" t="str">
        <f aca="false">TRIM(PROPER(C651))</f>
        <v>Physics Wallah</v>
      </c>
      <c r="AC651" s="1" t="str">
        <f aca="false">IF(O651=0,"No Discount",IF(O651&lt;=15,"Low (1-15%)",IF(O651&lt;=30,"Medium (16-30%)","High (&gt;30%)")))</f>
        <v>No Discount</v>
      </c>
      <c r="AD651" s="1" t="str">
        <f aca="false">IF(V651&lt;0,"Loss Making",IF(V651&lt;20,"Low Margin","Healthy Margin"))</f>
        <v>Healthy Margin</v>
      </c>
      <c r="AE651" s="1" t="str">
        <f aca="false">TEXT(DATE(VALUE(RIGHT(B651,4)),VALUE(MID(B651,4,2)),VALUE(LEFT(B651,2))),"MMM-YYYY")</f>
        <v>Oct-2023</v>
      </c>
      <c r="AF651" s="1" t="n">
        <f aca="false">VALUE(RIGHT(B651,4))</f>
        <v>2023</v>
      </c>
      <c r="AG651" s="1" t="str">
        <f aca="false">CHOOSE(ROUNDUP(VALUE(MID(B651,4,2))/3,0),"Q1","Q2","Q3","Q4")</f>
        <v>Q4</v>
      </c>
    </row>
    <row r="652" customFormat="false" ht="15" hidden="false" customHeight="true" outlineLevel="0" collapsed="false">
      <c r="A652" s="1" t="s">
        <v>1255</v>
      </c>
      <c r="B652" s="1" t="s">
        <v>1079</v>
      </c>
      <c r="C652" s="1" t="s">
        <v>178</v>
      </c>
      <c r="D652" s="1" t="s">
        <v>80</v>
      </c>
      <c r="E652" s="1" t="s">
        <v>190</v>
      </c>
      <c r="F652" s="1" t="s">
        <v>96</v>
      </c>
      <c r="G652" s="1" t="s">
        <v>97</v>
      </c>
      <c r="H652" s="1" t="s">
        <v>69</v>
      </c>
      <c r="I652" s="1" t="s">
        <v>83</v>
      </c>
      <c r="J652" s="1" t="s">
        <v>70</v>
      </c>
      <c r="K652" s="1" t="s">
        <v>84</v>
      </c>
      <c r="L652" s="1" t="s">
        <v>61</v>
      </c>
      <c r="M652" s="1" t="s">
        <v>38</v>
      </c>
      <c r="N652" s="1" t="n">
        <v>15999</v>
      </c>
      <c r="O652" s="1" t="n">
        <v>5</v>
      </c>
      <c r="P652" s="1" t="n">
        <v>799.95</v>
      </c>
      <c r="Q652" s="1" t="n">
        <v>15199.05</v>
      </c>
      <c r="R652" s="1" t="n">
        <v>2735.83</v>
      </c>
      <c r="S652" s="1" t="n">
        <v>12463.22</v>
      </c>
      <c r="T652" s="1" t="n">
        <v>5289.31</v>
      </c>
      <c r="U652" s="1" t="n">
        <v>7173.91</v>
      </c>
      <c r="V652" s="1" t="n">
        <v>57.56</v>
      </c>
      <c r="W652" s="1" t="s">
        <v>39</v>
      </c>
      <c r="X652" s="1" t="n">
        <v>4.4</v>
      </c>
      <c r="Y652" s="1" t="s">
        <v>40</v>
      </c>
      <c r="Z652" s="1" t="n">
        <v>0</v>
      </c>
      <c r="AA652" s="1" t="str">
        <f aca="false">TRIM(PROPER(F652))</f>
        <v>Pune</v>
      </c>
      <c r="AB652" s="1" t="str">
        <f aca="false">TRIM(PROPER(C652))</f>
        <v>Leverage Edu</v>
      </c>
      <c r="AC652" s="1" t="str">
        <f aca="false">IF(O652=0,"No Discount",IF(O652&lt;=15,"Low (1-15%)",IF(O652&lt;=30,"Medium (16-30%)","High (&gt;30%)")))</f>
        <v>Low (1-15%)</v>
      </c>
      <c r="AD652" s="1" t="str">
        <f aca="false">IF(V652&lt;0,"Loss Making",IF(V652&lt;20,"Low Margin","Healthy Margin"))</f>
        <v>Healthy Margin</v>
      </c>
      <c r="AE652" s="1" t="str">
        <f aca="false">TEXT(DATE(VALUE(RIGHT(B652,4)),VALUE(MID(B652,4,2)),VALUE(LEFT(B652,2))),"MMM-YYYY")</f>
        <v>Oct-2024</v>
      </c>
      <c r="AF652" s="1" t="n">
        <f aca="false">VALUE(RIGHT(B652,4))</f>
        <v>2024</v>
      </c>
      <c r="AG652" s="1" t="str">
        <f aca="false">CHOOSE(ROUNDUP(VALUE(MID(B652,4,2))/3,0),"Q1","Q2","Q3","Q4")</f>
        <v>Q4</v>
      </c>
    </row>
    <row r="653" customFormat="false" ht="15" hidden="false" customHeight="true" outlineLevel="0" collapsed="false">
      <c r="A653" s="1" t="s">
        <v>1256</v>
      </c>
      <c r="B653" s="1" t="s">
        <v>444</v>
      </c>
      <c r="C653" s="1" t="s">
        <v>139</v>
      </c>
      <c r="D653" s="1" t="s">
        <v>168</v>
      </c>
      <c r="E653" s="1" t="s">
        <v>172</v>
      </c>
      <c r="F653" s="1" t="s">
        <v>125</v>
      </c>
      <c r="G653" s="1" t="s">
        <v>108</v>
      </c>
      <c r="H653" s="1" t="s">
        <v>69</v>
      </c>
      <c r="I653" s="1" t="s">
        <v>58</v>
      </c>
      <c r="J653" s="1" t="s">
        <v>59</v>
      </c>
      <c r="K653" s="1" t="s">
        <v>84</v>
      </c>
      <c r="L653" s="1" t="s">
        <v>37</v>
      </c>
      <c r="M653" s="1" t="s">
        <v>50</v>
      </c>
      <c r="N653" s="1" t="n">
        <v>6999</v>
      </c>
      <c r="O653" s="1" t="n">
        <v>0</v>
      </c>
      <c r="P653" s="1" t="n">
        <v>0</v>
      </c>
      <c r="Q653" s="1" t="n">
        <v>6999</v>
      </c>
      <c r="R653" s="1" t="n">
        <v>1259.82</v>
      </c>
      <c r="S653" s="1" t="n">
        <v>5739.18</v>
      </c>
      <c r="T653" s="1" t="n">
        <v>2086.86</v>
      </c>
      <c r="U653" s="1" t="n">
        <v>3652.32</v>
      </c>
      <c r="V653" s="1" t="n">
        <v>63.64</v>
      </c>
      <c r="W653" s="1" t="s">
        <v>40</v>
      </c>
      <c r="Y653" s="1" t="s">
        <v>40</v>
      </c>
      <c r="Z653" s="1" t="n">
        <v>0</v>
      </c>
      <c r="AA653" s="1" t="str">
        <f aca="false">TRIM(PROPER(F653))</f>
        <v>Chennai</v>
      </c>
      <c r="AB653" s="1" t="str">
        <f aca="false">TRIM(PROPER(C653))</f>
        <v>Extramarks</v>
      </c>
      <c r="AC653" s="1" t="str">
        <f aca="false">IF(O653=0,"No Discount",IF(O653&lt;=15,"Low (1-15%)",IF(O653&lt;=30,"Medium (16-30%)","High (&gt;30%)")))</f>
        <v>No Discount</v>
      </c>
      <c r="AD653" s="1" t="str">
        <f aca="false">IF(V653&lt;0,"Loss Making",IF(V653&lt;20,"Low Margin","Healthy Margin"))</f>
        <v>Healthy Margin</v>
      </c>
      <c r="AE653" s="1" t="str">
        <f aca="false">TEXT(DATE(VALUE(RIGHT(B653,4)),VALUE(MID(B653,4,2)),VALUE(LEFT(B653,2))),"MMM-YYYY")</f>
        <v>Oct-2024</v>
      </c>
      <c r="AF653" s="1" t="n">
        <f aca="false">VALUE(RIGHT(B653,4))</f>
        <v>2024</v>
      </c>
      <c r="AG653" s="1" t="str">
        <f aca="false">CHOOSE(ROUNDUP(VALUE(MID(B653,4,2))/3,0),"Q1","Q2","Q3","Q4")</f>
        <v>Q4</v>
      </c>
    </row>
    <row r="654" customFormat="false" ht="15" hidden="false" customHeight="true" outlineLevel="0" collapsed="false">
      <c r="A654" s="1" t="s">
        <v>1257</v>
      </c>
      <c r="B654" s="1" t="s">
        <v>625</v>
      </c>
      <c r="C654" s="1" t="s">
        <v>178</v>
      </c>
      <c r="D654" s="1" t="s">
        <v>80</v>
      </c>
      <c r="E654" s="1" t="s">
        <v>81</v>
      </c>
      <c r="F654" s="1" t="s">
        <v>184</v>
      </c>
      <c r="G654" s="1" t="s">
        <v>56</v>
      </c>
      <c r="H654" s="1" t="s">
        <v>57</v>
      </c>
      <c r="I654" s="1" t="s">
        <v>83</v>
      </c>
      <c r="J654" s="1" t="s">
        <v>131</v>
      </c>
      <c r="K654" s="1" t="s">
        <v>112</v>
      </c>
      <c r="L654" s="1" t="s">
        <v>113</v>
      </c>
      <c r="M654" s="1" t="s">
        <v>38</v>
      </c>
      <c r="N654" s="1" t="n">
        <v>12999</v>
      </c>
      <c r="O654" s="1" t="n">
        <v>40</v>
      </c>
      <c r="P654" s="1" t="n">
        <v>5199.6</v>
      </c>
      <c r="Q654" s="1" t="n">
        <v>7799.4</v>
      </c>
      <c r="R654" s="1" t="n">
        <v>1403.89</v>
      </c>
      <c r="S654" s="1" t="n">
        <v>6395.51</v>
      </c>
      <c r="T654" s="1" t="n">
        <v>4010.42</v>
      </c>
      <c r="U654" s="1" t="n">
        <v>2385.09</v>
      </c>
      <c r="V654" s="1" t="n">
        <v>37.29</v>
      </c>
      <c r="W654" s="1" t="s">
        <v>39</v>
      </c>
      <c r="X654" s="1" t="n">
        <v>3.6</v>
      </c>
      <c r="Y654" s="1" t="s">
        <v>40</v>
      </c>
      <c r="Z654" s="1" t="n">
        <v>0</v>
      </c>
      <c r="AA654" s="1" t="str">
        <f aca="false">TRIM(PROPER(F654))</f>
        <v>Faridabad</v>
      </c>
      <c r="AB654" s="1" t="str">
        <f aca="false">TRIM(PROPER(C654))</f>
        <v>Leverage Edu</v>
      </c>
      <c r="AC654" s="1" t="str">
        <f aca="false">IF(O654=0,"No Discount",IF(O654&lt;=15,"Low (1-15%)",IF(O654&lt;=30,"Medium (16-30%)","High (&gt;30%)")))</f>
        <v>High (&gt;30%)</v>
      </c>
      <c r="AD654" s="1" t="str">
        <f aca="false">IF(V654&lt;0,"Loss Making",IF(V654&lt;20,"Low Margin","Healthy Margin"))</f>
        <v>Healthy Margin</v>
      </c>
      <c r="AE654" s="1" t="str">
        <f aca="false">TEXT(DATE(VALUE(RIGHT(B654,4)),VALUE(MID(B654,4,2)),VALUE(LEFT(B654,2))),"MMM-YYYY")</f>
        <v>Dec-2023</v>
      </c>
      <c r="AF654" s="1" t="n">
        <f aca="false">VALUE(RIGHT(B654,4))</f>
        <v>2023</v>
      </c>
      <c r="AG654" s="1" t="str">
        <f aca="false">CHOOSE(ROUNDUP(VALUE(MID(B654,4,2))/3,0),"Q1","Q2","Q3","Q4")</f>
        <v>Q4</v>
      </c>
    </row>
    <row r="655" customFormat="false" ht="15" hidden="false" customHeight="true" outlineLevel="0" collapsed="false">
      <c r="A655" s="1" t="s">
        <v>1258</v>
      </c>
      <c r="B655" s="1" t="s">
        <v>795</v>
      </c>
      <c r="C655" s="1" t="s">
        <v>119</v>
      </c>
      <c r="D655" s="1" t="s">
        <v>44</v>
      </c>
      <c r="E655" s="1" t="s">
        <v>45</v>
      </c>
      <c r="F655" s="1" t="s">
        <v>184</v>
      </c>
      <c r="G655" s="1" t="s">
        <v>56</v>
      </c>
      <c r="H655" s="1" t="s">
        <v>57</v>
      </c>
      <c r="I655" s="1" t="s">
        <v>58</v>
      </c>
      <c r="J655" s="1" t="s">
        <v>59</v>
      </c>
      <c r="K655" s="1" t="s">
        <v>48</v>
      </c>
      <c r="L655" s="1" t="s">
        <v>136</v>
      </c>
      <c r="M655" s="1" t="s">
        <v>50</v>
      </c>
      <c r="N655" s="1" t="n">
        <v>11999</v>
      </c>
      <c r="O655" s="1" t="n">
        <v>0</v>
      </c>
      <c r="P655" s="1" t="n">
        <v>0</v>
      </c>
      <c r="Q655" s="1" t="n">
        <v>11999</v>
      </c>
      <c r="R655" s="1" t="n">
        <v>2159.82</v>
      </c>
      <c r="S655" s="1" t="n">
        <v>9839.18</v>
      </c>
      <c r="T655" s="1" t="n">
        <v>5447.99</v>
      </c>
      <c r="U655" s="1" t="n">
        <v>4391.19</v>
      </c>
      <c r="V655" s="1" t="n">
        <v>44.63</v>
      </c>
      <c r="W655" s="1" t="s">
        <v>39</v>
      </c>
      <c r="Y655" s="1" t="s">
        <v>40</v>
      </c>
      <c r="Z655" s="1" t="n">
        <v>2</v>
      </c>
      <c r="AA655" s="1" t="str">
        <f aca="false">TRIM(PROPER(F655))</f>
        <v>Faridabad</v>
      </c>
      <c r="AB655" s="1" t="str">
        <f aca="false">TRIM(PROPER(C655))</f>
        <v>Simplilearn</v>
      </c>
      <c r="AC655" s="1" t="str">
        <f aca="false">IF(O655=0,"No Discount",IF(O655&lt;=15,"Low (1-15%)",IF(O655&lt;=30,"Medium (16-30%)","High (&gt;30%)")))</f>
        <v>No Discount</v>
      </c>
      <c r="AD655" s="1" t="str">
        <f aca="false">IF(V655&lt;0,"Loss Making",IF(V655&lt;20,"Low Margin","Healthy Margin"))</f>
        <v>Healthy Margin</v>
      </c>
      <c r="AE655" s="1" t="str">
        <f aca="false">TEXT(DATE(VALUE(RIGHT(B655,4)),VALUE(MID(B655,4,2)),VALUE(LEFT(B655,2))),"MMM-YYYY")</f>
        <v>May-2024</v>
      </c>
      <c r="AF655" s="1" t="n">
        <f aca="false">VALUE(RIGHT(B655,4))</f>
        <v>2024</v>
      </c>
      <c r="AG655" s="1" t="str">
        <f aca="false">CHOOSE(ROUNDUP(VALUE(MID(B655,4,2))/3,0),"Q1","Q2","Q3","Q4")</f>
        <v>Q2</v>
      </c>
    </row>
    <row r="656" customFormat="false" ht="15" hidden="false" customHeight="true" outlineLevel="0" collapsed="false">
      <c r="A656" s="1" t="s">
        <v>1259</v>
      </c>
      <c r="B656" s="1" t="s">
        <v>740</v>
      </c>
      <c r="C656" s="1" t="s">
        <v>167</v>
      </c>
      <c r="D656" s="1" t="s">
        <v>44</v>
      </c>
      <c r="E656" s="1" t="s">
        <v>66</v>
      </c>
      <c r="F656" s="1" t="s">
        <v>55</v>
      </c>
      <c r="G656" s="1" t="s">
        <v>56</v>
      </c>
      <c r="H656" s="1" t="s">
        <v>57</v>
      </c>
      <c r="I656" s="1" t="s">
        <v>83</v>
      </c>
      <c r="J656" s="1" t="s">
        <v>70</v>
      </c>
      <c r="K656" s="1" t="s">
        <v>48</v>
      </c>
      <c r="L656" s="1" t="s">
        <v>85</v>
      </c>
      <c r="M656" s="1" t="s">
        <v>62</v>
      </c>
      <c r="N656" s="1" t="n">
        <v>12999</v>
      </c>
      <c r="O656" s="1" t="n">
        <v>25</v>
      </c>
      <c r="P656" s="1" t="n">
        <v>3249.75</v>
      </c>
      <c r="Q656" s="1" t="n">
        <v>9749.25</v>
      </c>
      <c r="R656" s="1" t="n">
        <v>1754.87</v>
      </c>
      <c r="S656" s="1" t="n">
        <v>7994.38</v>
      </c>
      <c r="T656" s="1" t="n">
        <v>3436.8</v>
      </c>
      <c r="U656" s="1" t="n">
        <v>4557.58</v>
      </c>
      <c r="V656" s="1" t="n">
        <v>57.01</v>
      </c>
      <c r="W656" s="1" t="s">
        <v>39</v>
      </c>
      <c r="X656" s="1" t="n">
        <v>3.5</v>
      </c>
      <c r="Y656" s="1" t="s">
        <v>40</v>
      </c>
      <c r="Z656" s="1" t="n">
        <v>0</v>
      </c>
      <c r="AA656" s="1" t="str">
        <f aca="false">TRIM(PROPER(F656))</f>
        <v>Ghaziabad</v>
      </c>
      <c r="AB656" s="1" t="str">
        <f aca="false">TRIM(PROPER(C656))</f>
        <v>Scaler</v>
      </c>
      <c r="AC656" s="1" t="str">
        <f aca="false">IF(O656=0,"No Discount",IF(O656&lt;=15,"Low (1-15%)",IF(O656&lt;=30,"Medium (16-30%)","High (&gt;30%)")))</f>
        <v>Medium (16-30%)</v>
      </c>
      <c r="AD656" s="1" t="str">
        <f aca="false">IF(V656&lt;0,"Loss Making",IF(V656&lt;20,"Low Margin","Healthy Margin"))</f>
        <v>Healthy Margin</v>
      </c>
      <c r="AE656" s="1" t="str">
        <f aca="false">TEXT(DATE(VALUE(RIGHT(B656,4)),VALUE(MID(B656,4,2)),VALUE(LEFT(B656,2))),"MMM-YYYY")</f>
        <v>Sep-2024</v>
      </c>
      <c r="AF656" s="1" t="n">
        <f aca="false">VALUE(RIGHT(B656,4))</f>
        <v>2024</v>
      </c>
      <c r="AG656" s="1" t="str">
        <f aca="false">CHOOSE(ROUNDUP(VALUE(MID(B656,4,2))/3,0),"Q1","Q2","Q3","Q4")</f>
        <v>Q3</v>
      </c>
    </row>
    <row r="657" customFormat="false" ht="15" hidden="false" customHeight="true" outlineLevel="0" collapsed="false">
      <c r="A657" s="1" t="s">
        <v>1260</v>
      </c>
      <c r="B657" s="1" t="s">
        <v>526</v>
      </c>
      <c r="C657" s="1" t="s">
        <v>100</v>
      </c>
      <c r="D657" s="1" t="s">
        <v>94</v>
      </c>
      <c r="E657" s="1" t="s">
        <v>95</v>
      </c>
      <c r="F657" s="1" t="s">
        <v>46</v>
      </c>
      <c r="G657" s="1" t="s">
        <v>47</v>
      </c>
      <c r="H657" s="1" t="s">
        <v>33</v>
      </c>
      <c r="I657" s="1" t="s">
        <v>83</v>
      </c>
      <c r="J657" s="1" t="s">
        <v>77</v>
      </c>
      <c r="K657" s="1" t="s">
        <v>112</v>
      </c>
      <c r="L657" s="1" t="s">
        <v>37</v>
      </c>
      <c r="M657" s="1" t="s">
        <v>38</v>
      </c>
      <c r="N657" s="1" t="n">
        <v>6999</v>
      </c>
      <c r="O657" s="1" t="n">
        <v>15</v>
      </c>
      <c r="P657" s="1" t="n">
        <v>1049.85</v>
      </c>
      <c r="Q657" s="1" t="n">
        <v>5949.15</v>
      </c>
      <c r="R657" s="1" t="n">
        <v>1070.85</v>
      </c>
      <c r="S657" s="1" t="n">
        <v>4878.3</v>
      </c>
      <c r="T657" s="1" t="n">
        <v>2428.8</v>
      </c>
      <c r="U657" s="1" t="n">
        <v>2449.5</v>
      </c>
      <c r="V657" s="1" t="n">
        <v>50.21</v>
      </c>
      <c r="W657" s="1" t="s">
        <v>39</v>
      </c>
      <c r="X657" s="1" t="n">
        <v>3.2</v>
      </c>
      <c r="Y657" s="1" t="s">
        <v>40</v>
      </c>
      <c r="Z657" s="1" t="n">
        <v>0</v>
      </c>
      <c r="AA657" s="1" t="str">
        <f aca="false">TRIM(PROPER(F657))</f>
        <v>Mangaluru</v>
      </c>
      <c r="AB657" s="1" t="str">
        <f aca="false">TRIM(PROPER(C657))</f>
        <v>Physics Wallah</v>
      </c>
      <c r="AC657" s="1" t="str">
        <f aca="false">IF(O657=0,"No Discount",IF(O657&lt;=15,"Low (1-15%)",IF(O657&lt;=30,"Medium (16-30%)","High (&gt;30%)")))</f>
        <v>Low (1-15%)</v>
      </c>
      <c r="AD657" s="1" t="str">
        <f aca="false">IF(V657&lt;0,"Loss Making",IF(V657&lt;20,"Low Margin","Healthy Margin"))</f>
        <v>Healthy Margin</v>
      </c>
      <c r="AE657" s="1" t="str">
        <f aca="false">TEXT(DATE(VALUE(RIGHT(B657,4)),VALUE(MID(B657,4,2)),VALUE(LEFT(B657,2))),"MMM-YYYY")</f>
        <v>Oct-2024</v>
      </c>
      <c r="AF657" s="1" t="n">
        <f aca="false">VALUE(RIGHT(B657,4))</f>
        <v>2024</v>
      </c>
      <c r="AG657" s="1" t="str">
        <f aca="false">CHOOSE(ROUNDUP(VALUE(MID(B657,4,2))/3,0),"Q1","Q2","Q3","Q4")</f>
        <v>Q4</v>
      </c>
    </row>
    <row r="658" customFormat="false" ht="15" hidden="false" customHeight="true" outlineLevel="0" collapsed="false">
      <c r="A658" s="1" t="s">
        <v>1261</v>
      </c>
      <c r="B658" s="1" t="s">
        <v>1262</v>
      </c>
      <c r="C658" s="1" t="s">
        <v>100</v>
      </c>
      <c r="D658" s="1" t="s">
        <v>143</v>
      </c>
      <c r="E658" s="1" t="s">
        <v>159</v>
      </c>
      <c r="F658" s="1" t="s">
        <v>211</v>
      </c>
      <c r="G658" s="1" t="s">
        <v>56</v>
      </c>
      <c r="H658" s="1" t="s">
        <v>69</v>
      </c>
      <c r="I658" s="1" t="s">
        <v>34</v>
      </c>
      <c r="J658" s="1" t="s">
        <v>77</v>
      </c>
      <c r="K658" s="1" t="s">
        <v>71</v>
      </c>
      <c r="L658" s="1" t="s">
        <v>49</v>
      </c>
      <c r="M658" s="1" t="s">
        <v>50</v>
      </c>
      <c r="N658" s="1" t="n">
        <v>24999</v>
      </c>
      <c r="O658" s="1" t="n">
        <v>30</v>
      </c>
      <c r="P658" s="1" t="n">
        <v>7499.7</v>
      </c>
      <c r="Q658" s="1" t="n">
        <v>17499.3</v>
      </c>
      <c r="R658" s="1" t="n">
        <v>3149.87</v>
      </c>
      <c r="S658" s="1" t="n">
        <v>14349.43</v>
      </c>
      <c r="T658" s="1" t="n">
        <v>4630.75</v>
      </c>
      <c r="U658" s="1" t="n">
        <v>9718.68</v>
      </c>
      <c r="V658" s="1" t="n">
        <v>67.73</v>
      </c>
      <c r="W658" s="1" t="s">
        <v>40</v>
      </c>
      <c r="Y658" s="1" t="s">
        <v>40</v>
      </c>
      <c r="Z658" s="1" t="n">
        <v>1</v>
      </c>
      <c r="AA658" s="1" t="str">
        <f aca="false">TRIM(PROPER(F658))</f>
        <v>Noida</v>
      </c>
      <c r="AB658" s="1" t="str">
        <f aca="false">TRIM(PROPER(C658))</f>
        <v>Physics Wallah</v>
      </c>
      <c r="AC658" s="1" t="str">
        <f aca="false">IF(O658=0,"No Discount",IF(O658&lt;=15,"Low (1-15%)",IF(O658&lt;=30,"Medium (16-30%)","High (&gt;30%)")))</f>
        <v>Medium (16-30%)</v>
      </c>
      <c r="AD658" s="1" t="str">
        <f aca="false">IF(V658&lt;0,"Loss Making",IF(V658&lt;20,"Low Margin","Healthy Margin"))</f>
        <v>Healthy Margin</v>
      </c>
      <c r="AE658" s="1" t="str">
        <f aca="false">TEXT(DATE(VALUE(RIGHT(B658,4)),VALUE(MID(B658,4,2)),VALUE(LEFT(B658,2))),"MMM-YYYY")</f>
        <v>May-2023</v>
      </c>
      <c r="AF658" s="1" t="n">
        <f aca="false">VALUE(RIGHT(B658,4))</f>
        <v>2023</v>
      </c>
      <c r="AG658" s="1" t="str">
        <f aca="false">CHOOSE(ROUNDUP(VALUE(MID(B658,4,2))/3,0),"Q1","Q2","Q3","Q4")</f>
        <v>Q2</v>
      </c>
    </row>
    <row r="659" customFormat="false" ht="15" hidden="false" customHeight="true" outlineLevel="0" collapsed="false">
      <c r="A659" s="1" t="s">
        <v>1263</v>
      </c>
      <c r="B659" s="1" t="s">
        <v>1264</v>
      </c>
      <c r="C659" s="1" t="s">
        <v>65</v>
      </c>
      <c r="D659" s="1" t="s">
        <v>143</v>
      </c>
      <c r="E659" s="1" t="s">
        <v>144</v>
      </c>
      <c r="F659" s="1" t="s">
        <v>269</v>
      </c>
      <c r="G659" s="1" t="s">
        <v>108</v>
      </c>
      <c r="H659" s="1" t="s">
        <v>57</v>
      </c>
      <c r="I659" s="1" t="s">
        <v>34</v>
      </c>
      <c r="J659" s="1" t="s">
        <v>77</v>
      </c>
      <c r="K659" s="1" t="s">
        <v>84</v>
      </c>
      <c r="L659" s="1" t="s">
        <v>49</v>
      </c>
      <c r="M659" s="1" t="s">
        <v>50</v>
      </c>
      <c r="N659" s="1" t="n">
        <v>12999</v>
      </c>
      <c r="O659" s="1" t="n">
        <v>50</v>
      </c>
      <c r="P659" s="1" t="n">
        <v>6499.5</v>
      </c>
      <c r="Q659" s="1" t="n">
        <v>6499.5</v>
      </c>
      <c r="R659" s="1" t="n">
        <v>1169.91</v>
      </c>
      <c r="S659" s="1" t="n">
        <v>5329.59</v>
      </c>
      <c r="T659" s="1" t="n">
        <v>2883.85</v>
      </c>
      <c r="U659" s="1" t="n">
        <v>2445.74</v>
      </c>
      <c r="V659" s="1" t="n">
        <v>45.89</v>
      </c>
      <c r="W659" s="1" t="s">
        <v>40</v>
      </c>
      <c r="Y659" s="1" t="s">
        <v>39</v>
      </c>
      <c r="Z659" s="1" t="n">
        <v>2</v>
      </c>
      <c r="AA659" s="1" t="str">
        <f aca="false">TRIM(PROPER(F659))</f>
        <v>Coimbatore</v>
      </c>
      <c r="AB659" s="1" t="str">
        <f aca="false">TRIM(PROPER(C659))</f>
        <v>Toppr</v>
      </c>
      <c r="AC659" s="1" t="str">
        <f aca="false">IF(O659=0,"No Discount",IF(O659&lt;=15,"Low (1-15%)",IF(O659&lt;=30,"Medium (16-30%)","High (&gt;30%)")))</f>
        <v>High (&gt;30%)</v>
      </c>
      <c r="AD659" s="1" t="str">
        <f aca="false">IF(V659&lt;0,"Loss Making",IF(V659&lt;20,"Low Margin","Healthy Margin"))</f>
        <v>Healthy Margin</v>
      </c>
      <c r="AE659" s="1" t="str">
        <f aca="false">TEXT(DATE(VALUE(RIGHT(B659,4)),VALUE(MID(B659,4,2)),VALUE(LEFT(B659,2))),"MMM-YYYY")</f>
        <v>Feb-2023</v>
      </c>
      <c r="AF659" s="1" t="n">
        <f aca="false">VALUE(RIGHT(B659,4))</f>
        <v>2023</v>
      </c>
      <c r="AG659" s="1" t="str">
        <f aca="false">CHOOSE(ROUNDUP(VALUE(MID(B659,4,2))/3,0),"Q1","Q2","Q3","Q4")</f>
        <v>Q1</v>
      </c>
    </row>
    <row r="660" customFormat="false" ht="15" hidden="false" customHeight="true" outlineLevel="0" collapsed="false">
      <c r="A660" s="1" t="s">
        <v>1265</v>
      </c>
      <c r="B660" s="1" t="s">
        <v>1266</v>
      </c>
      <c r="C660" s="1" t="s">
        <v>119</v>
      </c>
      <c r="D660" s="1" t="s">
        <v>168</v>
      </c>
      <c r="E660" s="1" t="s">
        <v>172</v>
      </c>
      <c r="F660" s="1" t="s">
        <v>107</v>
      </c>
      <c r="G660" s="1" t="s">
        <v>108</v>
      </c>
      <c r="H660" s="1" t="s">
        <v>33</v>
      </c>
      <c r="I660" s="1" t="s">
        <v>34</v>
      </c>
      <c r="J660" s="1" t="s">
        <v>59</v>
      </c>
      <c r="K660" s="1" t="s">
        <v>84</v>
      </c>
      <c r="L660" s="1" t="s">
        <v>113</v>
      </c>
      <c r="M660" s="1" t="s">
        <v>62</v>
      </c>
      <c r="N660" s="1" t="n">
        <v>6999</v>
      </c>
      <c r="O660" s="1" t="n">
        <v>5</v>
      </c>
      <c r="P660" s="1" t="n">
        <v>349.95</v>
      </c>
      <c r="Q660" s="1" t="n">
        <v>6649.05</v>
      </c>
      <c r="R660" s="1" t="n">
        <v>1196.83</v>
      </c>
      <c r="S660" s="1" t="n">
        <v>5452.22</v>
      </c>
      <c r="T660" s="1" t="n">
        <v>2582.63</v>
      </c>
      <c r="U660" s="1" t="n">
        <v>2869.59</v>
      </c>
      <c r="V660" s="1" t="n">
        <v>52.63</v>
      </c>
      <c r="W660" s="1" t="s">
        <v>39</v>
      </c>
      <c r="X660" s="1" t="n">
        <v>4.1</v>
      </c>
      <c r="Y660" s="1" t="s">
        <v>40</v>
      </c>
      <c r="Z660" s="1" t="n">
        <v>1</v>
      </c>
      <c r="AA660" s="1" t="str">
        <f aca="false">TRIM(PROPER(F660))</f>
        <v>Madurai</v>
      </c>
      <c r="AB660" s="1" t="str">
        <f aca="false">TRIM(PROPER(C660))</f>
        <v>Simplilearn</v>
      </c>
      <c r="AC660" s="1" t="str">
        <f aca="false">IF(O660=0,"No Discount",IF(O660&lt;=15,"Low (1-15%)",IF(O660&lt;=30,"Medium (16-30%)","High (&gt;30%)")))</f>
        <v>Low (1-15%)</v>
      </c>
      <c r="AD660" s="1" t="str">
        <f aca="false">IF(V660&lt;0,"Loss Making",IF(V660&lt;20,"Low Margin","Healthy Margin"))</f>
        <v>Healthy Margin</v>
      </c>
      <c r="AE660" s="1" t="str">
        <f aca="false">TEXT(DATE(VALUE(RIGHT(B660,4)),VALUE(MID(B660,4,2)),VALUE(LEFT(B660,2))),"MMM-YYYY")</f>
        <v>Jun-2024</v>
      </c>
      <c r="AF660" s="1" t="n">
        <f aca="false">VALUE(RIGHT(B660,4))</f>
        <v>2024</v>
      </c>
      <c r="AG660" s="1" t="str">
        <f aca="false">CHOOSE(ROUNDUP(VALUE(MID(B660,4,2))/3,0),"Q1","Q2","Q3","Q4")</f>
        <v>Q2</v>
      </c>
    </row>
    <row r="661" customFormat="false" ht="15" hidden="false" customHeight="true" outlineLevel="0" collapsed="false">
      <c r="A661" s="1" t="s">
        <v>1267</v>
      </c>
      <c r="B661" s="1" t="s">
        <v>965</v>
      </c>
      <c r="C661" s="1" t="s">
        <v>128</v>
      </c>
      <c r="D661" s="1" t="s">
        <v>44</v>
      </c>
      <c r="E661" s="1" t="s">
        <v>221</v>
      </c>
      <c r="F661" s="1" t="s">
        <v>130</v>
      </c>
      <c r="G661" s="1" t="s">
        <v>47</v>
      </c>
      <c r="H661" s="1" t="s">
        <v>69</v>
      </c>
      <c r="I661" s="1" t="s">
        <v>58</v>
      </c>
      <c r="J661" s="1" t="s">
        <v>77</v>
      </c>
      <c r="K661" s="1" t="s">
        <v>112</v>
      </c>
      <c r="L661" s="1" t="s">
        <v>85</v>
      </c>
      <c r="M661" s="1" t="s">
        <v>50</v>
      </c>
      <c r="N661" s="1" t="n">
        <v>16999</v>
      </c>
      <c r="O661" s="1" t="n">
        <v>15</v>
      </c>
      <c r="P661" s="1" t="n">
        <v>2549.85</v>
      </c>
      <c r="Q661" s="1" t="n">
        <v>14449.15</v>
      </c>
      <c r="R661" s="1" t="n">
        <v>2600.85</v>
      </c>
      <c r="S661" s="1" t="n">
        <v>11848.3</v>
      </c>
      <c r="T661" s="1" t="n">
        <v>5110.74</v>
      </c>
      <c r="U661" s="1" t="n">
        <v>6737.56</v>
      </c>
      <c r="V661" s="1" t="n">
        <v>56.87</v>
      </c>
      <c r="W661" s="1" t="s">
        <v>39</v>
      </c>
      <c r="X661" s="1" t="n">
        <v>3.9</v>
      </c>
      <c r="Y661" s="1" t="s">
        <v>40</v>
      </c>
      <c r="Z661" s="1" t="n">
        <v>0</v>
      </c>
      <c r="AA661" s="1" t="str">
        <f aca="false">TRIM(PROPER(F661))</f>
        <v>Bengaluru</v>
      </c>
      <c r="AB661" s="1" t="str">
        <f aca="false">TRIM(PROPER(C661))</f>
        <v>Great Learning</v>
      </c>
      <c r="AC661" s="1" t="str">
        <f aca="false">IF(O661=0,"No Discount",IF(O661&lt;=15,"Low (1-15%)",IF(O661&lt;=30,"Medium (16-30%)","High (&gt;30%)")))</f>
        <v>Low (1-15%)</v>
      </c>
      <c r="AD661" s="1" t="str">
        <f aca="false">IF(V661&lt;0,"Loss Making",IF(V661&lt;20,"Low Margin","Healthy Margin"))</f>
        <v>Healthy Margin</v>
      </c>
      <c r="AE661" s="1" t="str">
        <f aca="false">TEXT(DATE(VALUE(RIGHT(B661,4)),VALUE(MID(B661,4,2)),VALUE(LEFT(B661,2))),"MMM-YYYY")</f>
        <v>Jan-2023</v>
      </c>
      <c r="AF661" s="1" t="n">
        <f aca="false">VALUE(RIGHT(B661,4))</f>
        <v>2023</v>
      </c>
      <c r="AG661" s="1" t="str">
        <f aca="false">CHOOSE(ROUNDUP(VALUE(MID(B661,4,2))/3,0),"Q1","Q2","Q3","Q4")</f>
        <v>Q1</v>
      </c>
    </row>
    <row r="662" customFormat="false" ht="15" hidden="false" customHeight="true" outlineLevel="0" collapsed="false">
      <c r="A662" s="1" t="s">
        <v>1268</v>
      </c>
      <c r="B662" s="1" t="s">
        <v>1196</v>
      </c>
      <c r="C662" s="1" t="s">
        <v>88</v>
      </c>
      <c r="D662" s="1" t="s">
        <v>80</v>
      </c>
      <c r="E662" s="1" t="s">
        <v>193</v>
      </c>
      <c r="F662" s="1" t="s">
        <v>107</v>
      </c>
      <c r="G662" s="1" t="s">
        <v>108</v>
      </c>
      <c r="H662" s="1" t="s">
        <v>33</v>
      </c>
      <c r="I662" s="1" t="s">
        <v>34</v>
      </c>
      <c r="J662" s="1" t="s">
        <v>77</v>
      </c>
      <c r="K662" s="1" t="s">
        <v>71</v>
      </c>
      <c r="L662" s="1" t="s">
        <v>85</v>
      </c>
      <c r="M662" s="1" t="s">
        <v>38</v>
      </c>
      <c r="N662" s="1" t="n">
        <v>8999</v>
      </c>
      <c r="O662" s="1" t="n">
        <v>0</v>
      </c>
      <c r="P662" s="1" t="n">
        <v>0</v>
      </c>
      <c r="Q662" s="1" t="n">
        <v>8999</v>
      </c>
      <c r="R662" s="1" t="n">
        <v>1619.82</v>
      </c>
      <c r="S662" s="1" t="n">
        <v>7379.18</v>
      </c>
      <c r="T662" s="1" t="n">
        <v>3186.47</v>
      </c>
      <c r="U662" s="1" t="n">
        <v>4192.71</v>
      </c>
      <c r="V662" s="1" t="n">
        <v>56.82</v>
      </c>
      <c r="W662" s="1" t="s">
        <v>40</v>
      </c>
      <c r="Y662" s="1" t="s">
        <v>40</v>
      </c>
      <c r="Z662" s="1" t="n">
        <v>0</v>
      </c>
      <c r="AA662" s="1" t="str">
        <f aca="false">TRIM(PROPER(F662))</f>
        <v>Madurai</v>
      </c>
      <c r="AB662" s="1" t="str">
        <f aca="false">TRIM(PROPER(C662))</f>
        <v>Byju'S</v>
      </c>
      <c r="AC662" s="1" t="str">
        <f aca="false">IF(O662=0,"No Discount",IF(O662&lt;=15,"Low (1-15%)",IF(O662&lt;=30,"Medium (16-30%)","High (&gt;30%)")))</f>
        <v>No Discount</v>
      </c>
      <c r="AD662" s="1" t="str">
        <f aca="false">IF(V662&lt;0,"Loss Making",IF(V662&lt;20,"Low Margin","Healthy Margin"))</f>
        <v>Healthy Margin</v>
      </c>
      <c r="AE662" s="1" t="str">
        <f aca="false">TEXT(DATE(VALUE(RIGHT(B662,4)),VALUE(MID(B662,4,2)),VALUE(LEFT(B662,2))),"MMM-YYYY")</f>
        <v>Jun-2024</v>
      </c>
      <c r="AF662" s="1" t="n">
        <f aca="false">VALUE(RIGHT(B662,4))</f>
        <v>2024</v>
      </c>
      <c r="AG662" s="1" t="str">
        <f aca="false">CHOOSE(ROUNDUP(VALUE(MID(B662,4,2))/3,0),"Q1","Q2","Q3","Q4")</f>
        <v>Q2</v>
      </c>
    </row>
    <row r="663" customFormat="false" ht="15" hidden="false" customHeight="true" outlineLevel="0" collapsed="false">
      <c r="A663" s="1" t="s">
        <v>1269</v>
      </c>
      <c r="B663" s="1" t="s">
        <v>229</v>
      </c>
      <c r="C663" s="1" t="s">
        <v>178</v>
      </c>
      <c r="D663" s="1" t="s">
        <v>80</v>
      </c>
      <c r="E663" s="1" t="s">
        <v>193</v>
      </c>
      <c r="F663" s="1" t="s">
        <v>55</v>
      </c>
      <c r="G663" s="1" t="s">
        <v>56</v>
      </c>
      <c r="H663" s="1" t="s">
        <v>57</v>
      </c>
      <c r="I663" s="1" t="s">
        <v>83</v>
      </c>
      <c r="J663" s="1" t="s">
        <v>131</v>
      </c>
      <c r="K663" s="1" t="s">
        <v>48</v>
      </c>
      <c r="L663" s="1" t="s">
        <v>49</v>
      </c>
      <c r="M663" s="1" t="s">
        <v>38</v>
      </c>
      <c r="N663" s="1" t="n">
        <v>8999</v>
      </c>
      <c r="O663" s="1" t="n">
        <v>0</v>
      </c>
      <c r="P663" s="1" t="n">
        <v>0</v>
      </c>
      <c r="Q663" s="1" t="n">
        <v>8999</v>
      </c>
      <c r="R663" s="1" t="n">
        <v>1619.82</v>
      </c>
      <c r="S663" s="1" t="n">
        <v>7379.18</v>
      </c>
      <c r="T663" s="1" t="n">
        <v>2865.87</v>
      </c>
      <c r="U663" s="1" t="n">
        <v>4513.31</v>
      </c>
      <c r="V663" s="1" t="n">
        <v>61.16</v>
      </c>
      <c r="W663" s="1" t="s">
        <v>40</v>
      </c>
      <c r="Y663" s="1" t="s">
        <v>40</v>
      </c>
      <c r="Z663" s="1" t="n">
        <v>0</v>
      </c>
      <c r="AA663" s="1" t="str">
        <f aca="false">TRIM(PROPER(F663))</f>
        <v>Ghaziabad</v>
      </c>
      <c r="AB663" s="1" t="str">
        <f aca="false">TRIM(PROPER(C663))</f>
        <v>Leverage Edu</v>
      </c>
      <c r="AC663" s="1" t="str">
        <f aca="false">IF(O663=0,"No Discount",IF(O663&lt;=15,"Low (1-15%)",IF(O663&lt;=30,"Medium (16-30%)","High (&gt;30%)")))</f>
        <v>No Discount</v>
      </c>
      <c r="AD663" s="1" t="str">
        <f aca="false">IF(V663&lt;0,"Loss Making",IF(V663&lt;20,"Low Margin","Healthy Margin"))</f>
        <v>Healthy Margin</v>
      </c>
      <c r="AE663" s="1" t="str">
        <f aca="false">TEXT(DATE(VALUE(RIGHT(B663,4)),VALUE(MID(B663,4,2)),VALUE(LEFT(B663,2))),"MMM-YYYY")</f>
        <v>Jun-2023</v>
      </c>
      <c r="AF663" s="1" t="n">
        <f aca="false">VALUE(RIGHT(B663,4))</f>
        <v>2023</v>
      </c>
      <c r="AG663" s="1" t="str">
        <f aca="false">CHOOSE(ROUNDUP(VALUE(MID(B663,4,2))/3,0),"Q1","Q2","Q3","Q4")</f>
        <v>Q2</v>
      </c>
    </row>
    <row r="664" customFormat="false" ht="15" hidden="false" customHeight="true" outlineLevel="0" collapsed="false">
      <c r="A664" s="1" t="s">
        <v>1270</v>
      </c>
      <c r="B664" s="1" t="s">
        <v>1271</v>
      </c>
      <c r="C664" s="1" t="s">
        <v>264</v>
      </c>
      <c r="D664" s="1" t="s">
        <v>53</v>
      </c>
      <c r="E664" s="1" t="s">
        <v>54</v>
      </c>
      <c r="F664" s="1" t="s">
        <v>184</v>
      </c>
      <c r="G664" s="1" t="s">
        <v>56</v>
      </c>
      <c r="H664" s="1" t="s">
        <v>57</v>
      </c>
      <c r="I664" s="1" t="s">
        <v>58</v>
      </c>
      <c r="J664" s="1" t="s">
        <v>131</v>
      </c>
      <c r="K664" s="1" t="s">
        <v>48</v>
      </c>
      <c r="L664" s="1" t="s">
        <v>49</v>
      </c>
      <c r="M664" s="1" t="s">
        <v>50</v>
      </c>
      <c r="N664" s="1" t="n">
        <v>11999</v>
      </c>
      <c r="O664" s="1" t="n">
        <v>40</v>
      </c>
      <c r="P664" s="1" t="n">
        <v>4799.6</v>
      </c>
      <c r="Q664" s="1" t="n">
        <v>7199.4</v>
      </c>
      <c r="R664" s="1" t="n">
        <v>1295.89</v>
      </c>
      <c r="S664" s="1" t="n">
        <v>5903.51</v>
      </c>
      <c r="T664" s="1" t="n">
        <v>3016.25</v>
      </c>
      <c r="U664" s="1" t="n">
        <v>2887.26</v>
      </c>
      <c r="V664" s="1" t="n">
        <v>48.91</v>
      </c>
      <c r="W664" s="1" t="s">
        <v>40</v>
      </c>
      <c r="Y664" s="1" t="s">
        <v>40</v>
      </c>
      <c r="Z664" s="1" t="n">
        <v>0</v>
      </c>
      <c r="AA664" s="1" t="str">
        <f aca="false">TRIM(PROPER(F664))</f>
        <v>Faridabad</v>
      </c>
      <c r="AB664" s="1" t="str">
        <f aca="false">TRIM(PROPER(C664))</f>
        <v>Unacademy</v>
      </c>
      <c r="AC664" s="1" t="str">
        <f aca="false">IF(O664=0,"No Discount",IF(O664&lt;=15,"Low (1-15%)",IF(O664&lt;=30,"Medium (16-30%)","High (&gt;30%)")))</f>
        <v>High (&gt;30%)</v>
      </c>
      <c r="AD664" s="1" t="str">
        <f aca="false">IF(V664&lt;0,"Loss Making",IF(V664&lt;20,"Low Margin","Healthy Margin"))</f>
        <v>Healthy Margin</v>
      </c>
      <c r="AE664" s="1" t="str">
        <f aca="false">TEXT(DATE(VALUE(RIGHT(B664,4)),VALUE(MID(B664,4,2)),VALUE(LEFT(B664,2))),"MMM-YYYY")</f>
        <v>Feb-2023</v>
      </c>
      <c r="AF664" s="1" t="n">
        <f aca="false">VALUE(RIGHT(B664,4))</f>
        <v>2023</v>
      </c>
      <c r="AG664" s="1" t="str">
        <f aca="false">CHOOSE(ROUNDUP(VALUE(MID(B664,4,2))/3,0),"Q1","Q2","Q3","Q4")</f>
        <v>Q1</v>
      </c>
    </row>
    <row r="665" customFormat="false" ht="15" hidden="false" customHeight="true" outlineLevel="0" collapsed="false">
      <c r="A665" s="1" t="s">
        <v>1272</v>
      </c>
      <c r="B665" s="1" t="s">
        <v>311</v>
      </c>
      <c r="C665" s="1" t="s">
        <v>178</v>
      </c>
      <c r="D665" s="1" t="s">
        <v>168</v>
      </c>
      <c r="E665" s="1" t="s">
        <v>197</v>
      </c>
      <c r="F665" s="1" t="s">
        <v>187</v>
      </c>
      <c r="G665" s="1" t="s">
        <v>97</v>
      </c>
      <c r="H665" s="1" t="s">
        <v>69</v>
      </c>
      <c r="I665" s="1" t="s">
        <v>83</v>
      </c>
      <c r="J665" s="1" t="s">
        <v>70</v>
      </c>
      <c r="K665" s="1" t="s">
        <v>104</v>
      </c>
      <c r="L665" s="1" t="s">
        <v>113</v>
      </c>
      <c r="M665" s="1" t="s">
        <v>62</v>
      </c>
      <c r="N665" s="1" t="n">
        <v>8499</v>
      </c>
      <c r="O665" s="1" t="n">
        <v>15</v>
      </c>
      <c r="P665" s="1" t="n">
        <v>1274.85</v>
      </c>
      <c r="Q665" s="1" t="n">
        <v>7224.15</v>
      </c>
      <c r="R665" s="1" t="n">
        <v>1300.35</v>
      </c>
      <c r="S665" s="1" t="n">
        <v>5923.8</v>
      </c>
      <c r="T665" s="1" t="n">
        <v>1859.75</v>
      </c>
      <c r="U665" s="1" t="n">
        <v>4064.05</v>
      </c>
      <c r="V665" s="1" t="n">
        <v>68.61</v>
      </c>
      <c r="W665" s="1" t="s">
        <v>40</v>
      </c>
      <c r="Y665" s="1" t="s">
        <v>40</v>
      </c>
      <c r="Z665" s="1" t="n">
        <v>0</v>
      </c>
      <c r="AA665" s="1" t="str">
        <f aca="false">TRIM(PROPER(F665))</f>
        <v>Mumbai</v>
      </c>
      <c r="AB665" s="1" t="str">
        <f aca="false">TRIM(PROPER(C665))</f>
        <v>Leverage Edu</v>
      </c>
      <c r="AC665" s="1" t="str">
        <f aca="false">IF(O665=0,"No Discount",IF(O665&lt;=15,"Low (1-15%)",IF(O665&lt;=30,"Medium (16-30%)","High (&gt;30%)")))</f>
        <v>Low (1-15%)</v>
      </c>
      <c r="AD665" s="1" t="str">
        <f aca="false">IF(V665&lt;0,"Loss Making",IF(V665&lt;20,"Low Margin","Healthy Margin"))</f>
        <v>Healthy Margin</v>
      </c>
      <c r="AE665" s="1" t="str">
        <f aca="false">TEXT(DATE(VALUE(RIGHT(B665,4)),VALUE(MID(B665,4,2)),VALUE(LEFT(B665,2))),"MMM-YYYY")</f>
        <v>Oct-2023</v>
      </c>
      <c r="AF665" s="1" t="n">
        <f aca="false">VALUE(RIGHT(B665,4))</f>
        <v>2023</v>
      </c>
      <c r="AG665" s="1" t="str">
        <f aca="false">CHOOSE(ROUNDUP(VALUE(MID(B665,4,2))/3,0),"Q1","Q2","Q3","Q4")</f>
        <v>Q4</v>
      </c>
    </row>
    <row r="666" customFormat="false" ht="15" hidden="false" customHeight="true" outlineLevel="0" collapsed="false">
      <c r="A666" s="1" t="s">
        <v>1273</v>
      </c>
      <c r="B666" s="1" t="s">
        <v>698</v>
      </c>
      <c r="C666" s="1" t="s">
        <v>178</v>
      </c>
      <c r="D666" s="1" t="s">
        <v>143</v>
      </c>
      <c r="E666" s="1" t="s">
        <v>144</v>
      </c>
      <c r="F666" s="1" t="s">
        <v>31</v>
      </c>
      <c r="G666" s="1" t="s">
        <v>32</v>
      </c>
      <c r="H666" s="1" t="s">
        <v>33</v>
      </c>
      <c r="I666" s="1" t="s">
        <v>58</v>
      </c>
      <c r="J666" s="1" t="s">
        <v>70</v>
      </c>
      <c r="K666" s="1" t="s">
        <v>84</v>
      </c>
      <c r="L666" s="1" t="s">
        <v>136</v>
      </c>
      <c r="M666" s="1" t="s">
        <v>38</v>
      </c>
      <c r="N666" s="1" t="n">
        <v>12999</v>
      </c>
      <c r="O666" s="1" t="n">
        <v>20</v>
      </c>
      <c r="P666" s="1" t="n">
        <v>2599.8</v>
      </c>
      <c r="Q666" s="1" t="n">
        <v>10399.2</v>
      </c>
      <c r="R666" s="1" t="n">
        <v>1871.86</v>
      </c>
      <c r="S666" s="1" t="n">
        <v>8527.34</v>
      </c>
      <c r="T666" s="1" t="n">
        <v>4209.16</v>
      </c>
      <c r="U666" s="1" t="n">
        <v>4318.18</v>
      </c>
      <c r="V666" s="1" t="n">
        <v>50.64</v>
      </c>
      <c r="W666" s="1" t="s">
        <v>39</v>
      </c>
      <c r="X666" s="1" t="n">
        <v>4.1</v>
      </c>
      <c r="Y666" s="1" t="s">
        <v>40</v>
      </c>
      <c r="Z666" s="1" t="n">
        <v>1</v>
      </c>
      <c r="AA666" s="1" t="str">
        <f aca="false">TRIM(PROPER(F666))</f>
        <v>Jodhpur</v>
      </c>
      <c r="AB666" s="1" t="str">
        <f aca="false">TRIM(PROPER(C666))</f>
        <v>Leverage Edu</v>
      </c>
      <c r="AC666" s="1" t="str">
        <f aca="false">IF(O666=0,"No Discount",IF(O666&lt;=15,"Low (1-15%)",IF(O666&lt;=30,"Medium (16-30%)","High (&gt;30%)")))</f>
        <v>Medium (16-30%)</v>
      </c>
      <c r="AD666" s="1" t="str">
        <f aca="false">IF(V666&lt;0,"Loss Making",IF(V666&lt;20,"Low Margin","Healthy Margin"))</f>
        <v>Healthy Margin</v>
      </c>
      <c r="AE666" s="1" t="str">
        <f aca="false">TEXT(DATE(VALUE(RIGHT(B666,4)),VALUE(MID(B666,4,2)),VALUE(LEFT(B666,2))),"MMM-YYYY")</f>
        <v>Apr-2024</v>
      </c>
      <c r="AF666" s="1" t="n">
        <f aca="false">VALUE(RIGHT(B666,4))</f>
        <v>2024</v>
      </c>
      <c r="AG666" s="1" t="str">
        <f aca="false">CHOOSE(ROUNDUP(VALUE(MID(B666,4,2))/3,0),"Q1","Q2","Q3","Q4")</f>
        <v>Q2</v>
      </c>
    </row>
    <row r="667" customFormat="false" ht="15" hidden="false" customHeight="true" outlineLevel="0" collapsed="false">
      <c r="A667" s="1" t="s">
        <v>1274</v>
      </c>
      <c r="B667" s="1" t="s">
        <v>1275</v>
      </c>
      <c r="C667" s="1" t="s">
        <v>65</v>
      </c>
      <c r="D667" s="1" t="s">
        <v>94</v>
      </c>
      <c r="E667" s="1" t="s">
        <v>95</v>
      </c>
      <c r="F667" s="1" t="s">
        <v>46</v>
      </c>
      <c r="G667" s="1" t="s">
        <v>47</v>
      </c>
      <c r="H667" s="1" t="s">
        <v>33</v>
      </c>
      <c r="I667" s="1" t="s">
        <v>58</v>
      </c>
      <c r="J667" s="1" t="s">
        <v>35</v>
      </c>
      <c r="K667" s="1" t="s">
        <v>71</v>
      </c>
      <c r="L667" s="1" t="s">
        <v>37</v>
      </c>
      <c r="M667" s="1" t="s">
        <v>38</v>
      </c>
      <c r="N667" s="1" t="n">
        <v>6999</v>
      </c>
      <c r="O667" s="1" t="n">
        <v>40</v>
      </c>
      <c r="P667" s="1" t="n">
        <v>2799.6</v>
      </c>
      <c r="Q667" s="1" t="n">
        <v>4199.4</v>
      </c>
      <c r="R667" s="1" t="n">
        <v>755.89</v>
      </c>
      <c r="S667" s="1" t="n">
        <v>3443.51</v>
      </c>
      <c r="T667" s="1" t="n">
        <v>1762.08</v>
      </c>
      <c r="U667" s="1" t="n">
        <v>1681.43</v>
      </c>
      <c r="V667" s="1" t="n">
        <v>48.83</v>
      </c>
      <c r="W667" s="1" t="s">
        <v>39</v>
      </c>
      <c r="X667" s="1" t="n">
        <v>2.6</v>
      </c>
      <c r="Y667" s="1" t="s">
        <v>40</v>
      </c>
      <c r="Z667" s="1" t="n">
        <v>1</v>
      </c>
      <c r="AA667" s="1" t="str">
        <f aca="false">TRIM(PROPER(F667))</f>
        <v>Mangaluru</v>
      </c>
      <c r="AB667" s="1" t="str">
        <f aca="false">TRIM(PROPER(C667))</f>
        <v>Toppr</v>
      </c>
      <c r="AC667" s="1" t="str">
        <f aca="false">IF(O667=0,"No Discount",IF(O667&lt;=15,"Low (1-15%)",IF(O667&lt;=30,"Medium (16-30%)","High (&gt;30%)")))</f>
        <v>High (&gt;30%)</v>
      </c>
      <c r="AD667" s="1" t="str">
        <f aca="false">IF(V667&lt;0,"Loss Making",IF(V667&lt;20,"Low Margin","Healthy Margin"))</f>
        <v>Healthy Margin</v>
      </c>
      <c r="AE667" s="1" t="str">
        <f aca="false">TEXT(DATE(VALUE(RIGHT(B667,4)),VALUE(MID(B667,4,2)),VALUE(LEFT(B667,2))),"MMM-YYYY")</f>
        <v>Dec-2024</v>
      </c>
      <c r="AF667" s="1" t="n">
        <f aca="false">VALUE(RIGHT(B667,4))</f>
        <v>2024</v>
      </c>
      <c r="AG667" s="1" t="str">
        <f aca="false">CHOOSE(ROUNDUP(VALUE(MID(B667,4,2))/3,0),"Q1","Q2","Q3","Q4")</f>
        <v>Q4</v>
      </c>
    </row>
    <row r="668" customFormat="false" ht="15" hidden="false" customHeight="true" outlineLevel="0" collapsed="false">
      <c r="A668" s="1" t="s">
        <v>1276</v>
      </c>
      <c r="B668" s="1" t="s">
        <v>1092</v>
      </c>
      <c r="C668" s="1" t="s">
        <v>128</v>
      </c>
      <c r="D668" s="1" t="s">
        <v>80</v>
      </c>
      <c r="E668" s="1" t="s">
        <v>175</v>
      </c>
      <c r="F668" s="1" t="s">
        <v>67</v>
      </c>
      <c r="G668" s="1" t="s">
        <v>68</v>
      </c>
      <c r="H668" s="1" t="s">
        <v>69</v>
      </c>
      <c r="I668" s="1" t="s">
        <v>58</v>
      </c>
      <c r="J668" s="1" t="s">
        <v>77</v>
      </c>
      <c r="K668" s="1" t="s">
        <v>60</v>
      </c>
      <c r="L668" s="1" t="s">
        <v>37</v>
      </c>
      <c r="M668" s="1" t="s">
        <v>62</v>
      </c>
      <c r="N668" s="1" t="n">
        <v>19999</v>
      </c>
      <c r="O668" s="1" t="n">
        <v>25</v>
      </c>
      <c r="P668" s="1" t="n">
        <v>4999.75</v>
      </c>
      <c r="Q668" s="1" t="n">
        <v>14999.25</v>
      </c>
      <c r="R668" s="1" t="n">
        <v>2699.86</v>
      </c>
      <c r="S668" s="1" t="n">
        <v>12299.39</v>
      </c>
      <c r="T668" s="1" t="n">
        <v>4306.67</v>
      </c>
      <c r="U668" s="1" t="n">
        <v>7992.72</v>
      </c>
      <c r="V668" s="1" t="n">
        <v>64.98</v>
      </c>
      <c r="W668" s="1" t="s">
        <v>39</v>
      </c>
      <c r="X668" s="1" t="n">
        <v>3.8</v>
      </c>
      <c r="Y668" s="1" t="s">
        <v>40</v>
      </c>
      <c r="Z668" s="1" t="n">
        <v>0</v>
      </c>
      <c r="AA668" s="1" t="str">
        <f aca="false">TRIM(PROPER(F668))</f>
        <v>Ahmedabad</v>
      </c>
      <c r="AB668" s="1" t="str">
        <f aca="false">TRIM(PROPER(C668))</f>
        <v>Great Learning</v>
      </c>
      <c r="AC668" s="1" t="str">
        <f aca="false">IF(O668=0,"No Discount",IF(O668&lt;=15,"Low (1-15%)",IF(O668&lt;=30,"Medium (16-30%)","High (&gt;30%)")))</f>
        <v>Medium (16-30%)</v>
      </c>
      <c r="AD668" s="1" t="str">
        <f aca="false">IF(V668&lt;0,"Loss Making",IF(V668&lt;20,"Low Margin","Healthy Margin"))</f>
        <v>Healthy Margin</v>
      </c>
      <c r="AE668" s="1" t="str">
        <f aca="false">TEXT(DATE(VALUE(RIGHT(B668,4)),VALUE(MID(B668,4,2)),VALUE(LEFT(B668,2))),"MMM-YYYY")</f>
        <v>Dec-2024</v>
      </c>
      <c r="AF668" s="1" t="n">
        <f aca="false">VALUE(RIGHT(B668,4))</f>
        <v>2024</v>
      </c>
      <c r="AG668" s="1" t="str">
        <f aca="false">CHOOSE(ROUNDUP(VALUE(MID(B668,4,2))/3,0),"Q1","Q2","Q3","Q4")</f>
        <v>Q4</v>
      </c>
    </row>
    <row r="669" customFormat="false" ht="15" hidden="false" customHeight="true" outlineLevel="0" collapsed="false">
      <c r="A669" s="1" t="s">
        <v>1277</v>
      </c>
      <c r="B669" s="1" t="s">
        <v>535</v>
      </c>
      <c r="C669" s="1" t="s">
        <v>43</v>
      </c>
      <c r="D669" s="1" t="s">
        <v>143</v>
      </c>
      <c r="E669" s="1" t="s">
        <v>159</v>
      </c>
      <c r="F669" s="1" t="s">
        <v>130</v>
      </c>
      <c r="G669" s="1" t="s">
        <v>47</v>
      </c>
      <c r="H669" s="1" t="s">
        <v>69</v>
      </c>
      <c r="I669" s="1" t="s">
        <v>34</v>
      </c>
      <c r="J669" s="1" t="s">
        <v>70</v>
      </c>
      <c r="K669" s="1" t="s">
        <v>90</v>
      </c>
      <c r="L669" s="1" t="s">
        <v>49</v>
      </c>
      <c r="M669" s="1" t="s">
        <v>38</v>
      </c>
      <c r="N669" s="1" t="n">
        <v>24999</v>
      </c>
      <c r="O669" s="1" t="n">
        <v>10</v>
      </c>
      <c r="P669" s="1" t="n">
        <v>2499.9</v>
      </c>
      <c r="Q669" s="1" t="n">
        <v>22499.1</v>
      </c>
      <c r="R669" s="1" t="n">
        <v>4049.84</v>
      </c>
      <c r="S669" s="1" t="n">
        <v>18449.26</v>
      </c>
      <c r="T669" s="1" t="n">
        <v>5801.74</v>
      </c>
      <c r="U669" s="1" t="n">
        <v>12647.52</v>
      </c>
      <c r="V669" s="1" t="n">
        <v>68.55</v>
      </c>
      <c r="W669" s="1" t="s">
        <v>39</v>
      </c>
      <c r="X669" s="1" t="n">
        <v>2.9</v>
      </c>
      <c r="Y669" s="1" t="s">
        <v>40</v>
      </c>
      <c r="Z669" s="1" t="n">
        <v>0</v>
      </c>
      <c r="AA669" s="1" t="str">
        <f aca="false">TRIM(PROPER(F669))</f>
        <v>Bengaluru</v>
      </c>
      <c r="AB669" s="1" t="str">
        <f aca="false">TRIM(PROPER(C669))</f>
        <v>Meritnation</v>
      </c>
      <c r="AC669" s="1" t="str">
        <f aca="false">IF(O669=0,"No Discount",IF(O669&lt;=15,"Low (1-15%)",IF(O669&lt;=30,"Medium (16-30%)","High (&gt;30%)")))</f>
        <v>Low (1-15%)</v>
      </c>
      <c r="AD669" s="1" t="str">
        <f aca="false">IF(V669&lt;0,"Loss Making",IF(V669&lt;20,"Low Margin","Healthy Margin"))</f>
        <v>Healthy Margin</v>
      </c>
      <c r="AE669" s="1" t="str">
        <f aca="false">TEXT(DATE(VALUE(RIGHT(B669,4)),VALUE(MID(B669,4,2)),VALUE(LEFT(B669,2))),"MMM-YYYY")</f>
        <v>Jan-2023</v>
      </c>
      <c r="AF669" s="1" t="n">
        <f aca="false">VALUE(RIGHT(B669,4))</f>
        <v>2023</v>
      </c>
      <c r="AG669" s="1" t="str">
        <f aca="false">CHOOSE(ROUNDUP(VALUE(MID(B669,4,2))/3,0),"Q1","Q2","Q3","Q4")</f>
        <v>Q1</v>
      </c>
    </row>
    <row r="670" customFormat="false" ht="15" hidden="false" customHeight="true" outlineLevel="0" collapsed="false">
      <c r="A670" s="1" t="s">
        <v>1278</v>
      </c>
      <c r="B670" s="1" t="s">
        <v>237</v>
      </c>
      <c r="C670" s="1" t="s">
        <v>264</v>
      </c>
      <c r="D670" s="1" t="s">
        <v>80</v>
      </c>
      <c r="E670" s="1" t="s">
        <v>190</v>
      </c>
      <c r="F670" s="1" t="s">
        <v>55</v>
      </c>
      <c r="G670" s="1" t="s">
        <v>56</v>
      </c>
      <c r="H670" s="1" t="s">
        <v>57</v>
      </c>
      <c r="I670" s="1" t="s">
        <v>34</v>
      </c>
      <c r="J670" s="1" t="s">
        <v>70</v>
      </c>
      <c r="K670" s="1" t="s">
        <v>90</v>
      </c>
      <c r="L670" s="1" t="s">
        <v>136</v>
      </c>
      <c r="M670" s="1" t="s">
        <v>62</v>
      </c>
      <c r="N670" s="1" t="n">
        <v>15999</v>
      </c>
      <c r="O670" s="1" t="n">
        <v>20</v>
      </c>
      <c r="P670" s="1" t="n">
        <v>3199.8</v>
      </c>
      <c r="Q670" s="1" t="n">
        <v>12799.2</v>
      </c>
      <c r="R670" s="1" t="n">
        <v>2303.86</v>
      </c>
      <c r="S670" s="1" t="n">
        <v>10495.34</v>
      </c>
      <c r="T670" s="1" t="n">
        <v>4043.5</v>
      </c>
      <c r="U670" s="1" t="n">
        <v>6451.84</v>
      </c>
      <c r="V670" s="1" t="n">
        <v>61.47</v>
      </c>
      <c r="W670" s="1" t="s">
        <v>39</v>
      </c>
      <c r="X670" s="1" t="n">
        <v>3.8</v>
      </c>
      <c r="Y670" s="1" t="s">
        <v>40</v>
      </c>
      <c r="Z670" s="1" t="n">
        <v>1</v>
      </c>
      <c r="AA670" s="1" t="str">
        <f aca="false">TRIM(PROPER(F670))</f>
        <v>Ghaziabad</v>
      </c>
      <c r="AB670" s="1" t="str">
        <f aca="false">TRIM(PROPER(C670))</f>
        <v>Unacademy</v>
      </c>
      <c r="AC670" s="1" t="str">
        <f aca="false">IF(O670=0,"No Discount",IF(O670&lt;=15,"Low (1-15%)",IF(O670&lt;=30,"Medium (16-30%)","High (&gt;30%)")))</f>
        <v>Medium (16-30%)</v>
      </c>
      <c r="AD670" s="1" t="str">
        <f aca="false">IF(V670&lt;0,"Loss Making",IF(V670&lt;20,"Low Margin","Healthy Margin"))</f>
        <v>Healthy Margin</v>
      </c>
      <c r="AE670" s="1" t="str">
        <f aca="false">TEXT(DATE(VALUE(RIGHT(B670,4)),VALUE(MID(B670,4,2)),VALUE(LEFT(B670,2))),"MMM-YYYY")</f>
        <v>Apr-2024</v>
      </c>
      <c r="AF670" s="1" t="n">
        <f aca="false">VALUE(RIGHT(B670,4))</f>
        <v>2024</v>
      </c>
      <c r="AG670" s="1" t="str">
        <f aca="false">CHOOSE(ROUNDUP(VALUE(MID(B670,4,2))/3,0),"Q1","Q2","Q3","Q4")</f>
        <v>Q2</v>
      </c>
    </row>
    <row r="671" customFormat="false" ht="15" hidden="false" customHeight="true" outlineLevel="0" collapsed="false">
      <c r="A671" s="1" t="s">
        <v>1279</v>
      </c>
      <c r="B671" s="1" t="s">
        <v>1280</v>
      </c>
      <c r="C671" s="1" t="s">
        <v>28</v>
      </c>
      <c r="D671" s="1" t="s">
        <v>94</v>
      </c>
      <c r="E671" s="1" t="s">
        <v>135</v>
      </c>
      <c r="F671" s="1" t="s">
        <v>75</v>
      </c>
      <c r="G671" s="1" t="s">
        <v>76</v>
      </c>
      <c r="H671" s="1" t="s">
        <v>69</v>
      </c>
      <c r="I671" s="1" t="s">
        <v>58</v>
      </c>
      <c r="J671" s="1" t="s">
        <v>59</v>
      </c>
      <c r="K671" s="1" t="s">
        <v>48</v>
      </c>
      <c r="L671" s="1" t="s">
        <v>85</v>
      </c>
      <c r="M671" s="1" t="s">
        <v>50</v>
      </c>
      <c r="N671" s="1" t="n">
        <v>9999</v>
      </c>
      <c r="O671" s="1" t="n">
        <v>15</v>
      </c>
      <c r="P671" s="1" t="n">
        <v>1499.85</v>
      </c>
      <c r="Q671" s="1" t="n">
        <v>8499.15</v>
      </c>
      <c r="R671" s="1" t="n">
        <v>1529.85</v>
      </c>
      <c r="S671" s="1" t="n">
        <v>6969.3</v>
      </c>
      <c r="T671" s="1" t="n">
        <v>2217.78</v>
      </c>
      <c r="U671" s="1" t="n">
        <v>4751.52</v>
      </c>
      <c r="V671" s="1" t="n">
        <v>68.18</v>
      </c>
      <c r="W671" s="1" t="s">
        <v>39</v>
      </c>
      <c r="X671" s="1" t="n">
        <v>3.6</v>
      </c>
      <c r="Y671" s="1" t="s">
        <v>40</v>
      </c>
      <c r="Z671" s="1" t="n">
        <v>0</v>
      </c>
      <c r="AA671" s="1" t="str">
        <f aca="false">TRIM(PROPER(F671))</f>
        <v>Kolkata</v>
      </c>
      <c r="AB671" s="1" t="str">
        <f aca="false">TRIM(PROPER(C671))</f>
        <v>Embibe</v>
      </c>
      <c r="AC671" s="1" t="str">
        <f aca="false">IF(O671=0,"No Discount",IF(O671&lt;=15,"Low (1-15%)",IF(O671&lt;=30,"Medium (16-30%)","High (&gt;30%)")))</f>
        <v>Low (1-15%)</v>
      </c>
      <c r="AD671" s="1" t="str">
        <f aca="false">IF(V671&lt;0,"Loss Making",IF(V671&lt;20,"Low Margin","Healthy Margin"))</f>
        <v>Healthy Margin</v>
      </c>
      <c r="AE671" s="1" t="str">
        <f aca="false">TEXT(DATE(VALUE(RIGHT(B671,4)),VALUE(MID(B671,4,2)),VALUE(LEFT(B671,2))),"MMM-YYYY")</f>
        <v>Jul-2024</v>
      </c>
      <c r="AF671" s="1" t="n">
        <f aca="false">VALUE(RIGHT(B671,4))</f>
        <v>2024</v>
      </c>
      <c r="AG671" s="1" t="str">
        <f aca="false">CHOOSE(ROUNDUP(VALUE(MID(B671,4,2))/3,0),"Q1","Q2","Q3","Q4")</f>
        <v>Q3</v>
      </c>
    </row>
    <row r="672" customFormat="false" ht="15" hidden="false" customHeight="true" outlineLevel="0" collapsed="false">
      <c r="A672" s="1" t="s">
        <v>1281</v>
      </c>
      <c r="B672" s="1" t="s">
        <v>952</v>
      </c>
      <c r="C672" s="1" t="s">
        <v>139</v>
      </c>
      <c r="D672" s="1" t="s">
        <v>123</v>
      </c>
      <c r="E672" s="1" t="s">
        <v>124</v>
      </c>
      <c r="F672" s="1" t="s">
        <v>244</v>
      </c>
      <c r="G672" s="1" t="s">
        <v>97</v>
      </c>
      <c r="H672" s="1" t="s">
        <v>57</v>
      </c>
      <c r="I672" s="1" t="s">
        <v>58</v>
      </c>
      <c r="J672" s="1" t="s">
        <v>131</v>
      </c>
      <c r="K672" s="1" t="s">
        <v>36</v>
      </c>
      <c r="L672" s="1" t="s">
        <v>49</v>
      </c>
      <c r="M672" s="1" t="s">
        <v>38</v>
      </c>
      <c r="N672" s="1" t="n">
        <v>4999</v>
      </c>
      <c r="O672" s="1" t="n">
        <v>40</v>
      </c>
      <c r="P672" s="1" t="n">
        <v>1999.6</v>
      </c>
      <c r="Q672" s="1" t="n">
        <v>2999.4</v>
      </c>
      <c r="R672" s="1" t="n">
        <v>539.89</v>
      </c>
      <c r="S672" s="1" t="n">
        <v>2459.51</v>
      </c>
      <c r="T672" s="1" t="n">
        <v>1680.69</v>
      </c>
      <c r="U672" s="1" t="n">
        <v>778.82</v>
      </c>
      <c r="V672" s="1" t="n">
        <v>31.67</v>
      </c>
      <c r="W672" s="1" t="s">
        <v>40</v>
      </c>
      <c r="Y672" s="1" t="s">
        <v>40</v>
      </c>
      <c r="Z672" s="1" t="n">
        <v>1</v>
      </c>
      <c r="AA672" s="1" t="str">
        <f aca="false">TRIM(PROPER(F672))</f>
        <v>Nagpur</v>
      </c>
      <c r="AB672" s="1" t="str">
        <f aca="false">TRIM(PROPER(C672))</f>
        <v>Extramarks</v>
      </c>
      <c r="AC672" s="1" t="str">
        <f aca="false">IF(O672=0,"No Discount",IF(O672&lt;=15,"Low (1-15%)",IF(O672&lt;=30,"Medium (16-30%)","High (&gt;30%)")))</f>
        <v>High (&gt;30%)</v>
      </c>
      <c r="AD672" s="1" t="str">
        <f aca="false">IF(V672&lt;0,"Loss Making",IF(V672&lt;20,"Low Margin","Healthy Margin"))</f>
        <v>Healthy Margin</v>
      </c>
      <c r="AE672" s="1" t="str">
        <f aca="false">TEXT(DATE(VALUE(RIGHT(B672,4)),VALUE(MID(B672,4,2)),VALUE(LEFT(B672,2))),"MMM-YYYY")</f>
        <v>Aug-2023</v>
      </c>
      <c r="AF672" s="1" t="n">
        <f aca="false">VALUE(RIGHT(B672,4))</f>
        <v>2023</v>
      </c>
      <c r="AG672" s="1" t="str">
        <f aca="false">CHOOSE(ROUNDUP(VALUE(MID(B672,4,2))/3,0),"Q1","Q2","Q3","Q4")</f>
        <v>Q3</v>
      </c>
    </row>
    <row r="673" customFormat="false" ht="15" hidden="false" customHeight="true" outlineLevel="0" collapsed="false">
      <c r="A673" s="1" t="s">
        <v>1282</v>
      </c>
      <c r="B673" s="1" t="s">
        <v>395</v>
      </c>
      <c r="C673" s="1" t="s">
        <v>74</v>
      </c>
      <c r="D673" s="1" t="s">
        <v>168</v>
      </c>
      <c r="E673" s="1" t="s">
        <v>169</v>
      </c>
      <c r="F673" s="1" t="s">
        <v>46</v>
      </c>
      <c r="G673" s="1" t="s">
        <v>47</v>
      </c>
      <c r="H673" s="1" t="s">
        <v>33</v>
      </c>
      <c r="I673" s="1" t="s">
        <v>58</v>
      </c>
      <c r="J673" s="1" t="s">
        <v>131</v>
      </c>
      <c r="K673" s="1" t="s">
        <v>90</v>
      </c>
      <c r="L673" s="1" t="s">
        <v>113</v>
      </c>
      <c r="M673" s="1" t="s">
        <v>50</v>
      </c>
      <c r="N673" s="1" t="n">
        <v>4999</v>
      </c>
      <c r="O673" s="1" t="n">
        <v>10</v>
      </c>
      <c r="P673" s="1" t="n">
        <v>499.9</v>
      </c>
      <c r="Q673" s="1" t="n">
        <v>4499.1</v>
      </c>
      <c r="R673" s="1" t="n">
        <v>809.84</v>
      </c>
      <c r="S673" s="1" t="n">
        <v>3689.26</v>
      </c>
      <c r="T673" s="1" t="n">
        <v>1690.68</v>
      </c>
      <c r="U673" s="1" t="n">
        <v>1998.58</v>
      </c>
      <c r="V673" s="1" t="n">
        <v>54.17</v>
      </c>
      <c r="W673" s="1" t="s">
        <v>40</v>
      </c>
      <c r="Y673" s="1" t="s">
        <v>40</v>
      </c>
      <c r="Z673" s="1" t="n">
        <v>3</v>
      </c>
      <c r="AA673" s="1" t="str">
        <f aca="false">TRIM(PROPER(F673))</f>
        <v>Mangaluru</v>
      </c>
      <c r="AB673" s="1" t="str">
        <f aca="false">TRIM(PROPER(C673))</f>
        <v>Vedantu</v>
      </c>
      <c r="AC673" s="1" t="str">
        <f aca="false">IF(O673=0,"No Discount",IF(O673&lt;=15,"Low (1-15%)",IF(O673&lt;=30,"Medium (16-30%)","High (&gt;30%)")))</f>
        <v>Low (1-15%)</v>
      </c>
      <c r="AD673" s="1" t="str">
        <f aca="false">IF(V673&lt;0,"Loss Making",IF(V673&lt;20,"Low Margin","Healthy Margin"))</f>
        <v>Healthy Margin</v>
      </c>
      <c r="AE673" s="1" t="str">
        <f aca="false">TEXT(DATE(VALUE(RIGHT(B673,4)),VALUE(MID(B673,4,2)),VALUE(LEFT(B673,2))),"MMM-YYYY")</f>
        <v>Sep-2024</v>
      </c>
      <c r="AF673" s="1" t="n">
        <f aca="false">VALUE(RIGHT(B673,4))</f>
        <v>2024</v>
      </c>
      <c r="AG673" s="1" t="str">
        <f aca="false">CHOOSE(ROUNDUP(VALUE(MID(B673,4,2))/3,0),"Q1","Q2","Q3","Q4")</f>
        <v>Q3</v>
      </c>
    </row>
    <row r="674" customFormat="false" ht="15" hidden="false" customHeight="true" outlineLevel="0" collapsed="false">
      <c r="A674" s="1" t="s">
        <v>1283</v>
      </c>
      <c r="B674" s="1" t="s">
        <v>225</v>
      </c>
      <c r="C674" s="1" t="s">
        <v>88</v>
      </c>
      <c r="D674" s="1" t="s">
        <v>123</v>
      </c>
      <c r="E674" s="1" t="s">
        <v>124</v>
      </c>
      <c r="F674" s="1" t="s">
        <v>602</v>
      </c>
      <c r="G674" s="1" t="s">
        <v>32</v>
      </c>
      <c r="H674" s="1" t="s">
        <v>33</v>
      </c>
      <c r="I674" s="1" t="s">
        <v>58</v>
      </c>
      <c r="J674" s="1" t="s">
        <v>77</v>
      </c>
      <c r="K674" s="1" t="s">
        <v>84</v>
      </c>
      <c r="L674" s="1" t="s">
        <v>136</v>
      </c>
      <c r="M674" s="1" t="s">
        <v>50</v>
      </c>
      <c r="N674" s="1" t="n">
        <v>4999</v>
      </c>
      <c r="O674" s="1" t="n">
        <v>0</v>
      </c>
      <c r="P674" s="1" t="n">
        <v>0</v>
      </c>
      <c r="Q674" s="1" t="n">
        <v>4999</v>
      </c>
      <c r="R674" s="1" t="n">
        <v>899.82</v>
      </c>
      <c r="S674" s="1" t="n">
        <v>4099.18</v>
      </c>
      <c r="T674" s="1" t="n">
        <v>1660.92</v>
      </c>
      <c r="U674" s="1" t="n">
        <v>2438.26</v>
      </c>
      <c r="V674" s="1" t="n">
        <v>59.48</v>
      </c>
      <c r="W674" s="1" t="s">
        <v>40</v>
      </c>
      <c r="Y674" s="1" t="s">
        <v>40</v>
      </c>
      <c r="Z674" s="1" t="n">
        <v>0</v>
      </c>
      <c r="AA674" s="1" t="str">
        <f aca="false">TRIM(PROPER(F674))</f>
        <v>Jodhpur</v>
      </c>
      <c r="AB674" s="1" t="str">
        <f aca="false">TRIM(PROPER(C674))</f>
        <v>Byju'S</v>
      </c>
      <c r="AC674" s="1" t="str">
        <f aca="false">IF(O674=0,"No Discount",IF(O674&lt;=15,"Low (1-15%)",IF(O674&lt;=30,"Medium (16-30%)","High (&gt;30%)")))</f>
        <v>No Discount</v>
      </c>
      <c r="AD674" s="1" t="str">
        <f aca="false">IF(V674&lt;0,"Loss Making",IF(V674&lt;20,"Low Margin","Healthy Margin"))</f>
        <v>Healthy Margin</v>
      </c>
      <c r="AE674" s="1" t="str">
        <f aca="false">TEXT(DATE(VALUE(RIGHT(B674,4)),VALUE(MID(B674,4,2)),VALUE(LEFT(B674,2))),"MMM-YYYY")</f>
        <v>May-2024</v>
      </c>
      <c r="AF674" s="1" t="n">
        <f aca="false">VALUE(RIGHT(B674,4))</f>
        <v>2024</v>
      </c>
      <c r="AG674" s="1" t="str">
        <f aca="false">CHOOSE(ROUNDUP(VALUE(MID(B674,4,2))/3,0),"Q1","Q2","Q3","Q4")</f>
        <v>Q2</v>
      </c>
    </row>
    <row r="675" customFormat="false" ht="15" hidden="false" customHeight="true" outlineLevel="0" collapsed="false">
      <c r="A675" s="1" t="s">
        <v>1284</v>
      </c>
      <c r="B675" s="1" t="s">
        <v>1285</v>
      </c>
      <c r="C675" s="1" t="s">
        <v>93</v>
      </c>
      <c r="D675" s="1" t="s">
        <v>53</v>
      </c>
      <c r="E675" s="1" t="s">
        <v>116</v>
      </c>
      <c r="F675" s="1" t="s">
        <v>184</v>
      </c>
      <c r="G675" s="1" t="s">
        <v>56</v>
      </c>
      <c r="H675" s="1" t="s">
        <v>57</v>
      </c>
      <c r="I675" s="1" t="s">
        <v>58</v>
      </c>
      <c r="J675" s="1" t="s">
        <v>131</v>
      </c>
      <c r="K675" s="1" t="s">
        <v>71</v>
      </c>
      <c r="L675" s="1" t="s">
        <v>136</v>
      </c>
      <c r="M675" s="1" t="s">
        <v>50</v>
      </c>
      <c r="N675" s="1" t="n">
        <v>9999</v>
      </c>
      <c r="O675" s="1" t="n">
        <v>40</v>
      </c>
      <c r="P675" s="1" t="n">
        <v>3999.6</v>
      </c>
      <c r="Q675" s="1" t="n">
        <v>5999.4</v>
      </c>
      <c r="R675" s="1" t="n">
        <v>1079.89</v>
      </c>
      <c r="S675" s="1" t="n">
        <v>4919.51</v>
      </c>
      <c r="T675" s="1" t="n">
        <v>2720.08</v>
      </c>
      <c r="U675" s="1" t="n">
        <v>2199.43</v>
      </c>
      <c r="V675" s="1" t="n">
        <v>44.71</v>
      </c>
      <c r="W675" s="1" t="s">
        <v>39</v>
      </c>
      <c r="X675" s="1" t="n">
        <v>2.9</v>
      </c>
      <c r="Y675" s="1" t="s">
        <v>40</v>
      </c>
      <c r="Z675" s="1" t="n">
        <v>0</v>
      </c>
      <c r="AA675" s="1" t="str">
        <f aca="false">TRIM(PROPER(F675))</f>
        <v>Faridabad</v>
      </c>
      <c r="AB675" s="1" t="str">
        <f aca="false">TRIM(PROPER(C675))</f>
        <v>Upgrad</v>
      </c>
      <c r="AC675" s="1" t="str">
        <f aca="false">IF(O675=0,"No Discount",IF(O675&lt;=15,"Low (1-15%)",IF(O675&lt;=30,"Medium (16-30%)","High (&gt;30%)")))</f>
        <v>High (&gt;30%)</v>
      </c>
      <c r="AD675" s="1" t="str">
        <f aca="false">IF(V675&lt;0,"Loss Making",IF(V675&lt;20,"Low Margin","Healthy Margin"))</f>
        <v>Healthy Margin</v>
      </c>
      <c r="AE675" s="1" t="str">
        <f aca="false">TEXT(DATE(VALUE(RIGHT(B675,4)),VALUE(MID(B675,4,2)),VALUE(LEFT(B675,2))),"MMM-YYYY")</f>
        <v>Feb-2023</v>
      </c>
      <c r="AF675" s="1" t="n">
        <f aca="false">VALUE(RIGHT(B675,4))</f>
        <v>2023</v>
      </c>
      <c r="AG675" s="1" t="str">
        <f aca="false">CHOOSE(ROUNDUP(VALUE(MID(B675,4,2))/3,0),"Q1","Q2","Q3","Q4")</f>
        <v>Q1</v>
      </c>
    </row>
    <row r="676" customFormat="false" ht="15" hidden="false" customHeight="true" outlineLevel="0" collapsed="false">
      <c r="A676" s="1" t="s">
        <v>1286</v>
      </c>
      <c r="B676" s="1" t="s">
        <v>1168</v>
      </c>
      <c r="C676" s="1" t="s">
        <v>88</v>
      </c>
      <c r="D676" s="1" t="s">
        <v>123</v>
      </c>
      <c r="E676" s="1" t="s">
        <v>147</v>
      </c>
      <c r="F676" s="1" t="s">
        <v>75</v>
      </c>
      <c r="G676" s="1" t="s">
        <v>76</v>
      </c>
      <c r="H676" s="1" t="s">
        <v>69</v>
      </c>
      <c r="I676" s="1" t="s">
        <v>83</v>
      </c>
      <c r="J676" s="1" t="s">
        <v>70</v>
      </c>
      <c r="K676" s="1" t="s">
        <v>36</v>
      </c>
      <c r="L676" s="1" t="s">
        <v>113</v>
      </c>
      <c r="M676" s="1" t="s">
        <v>62</v>
      </c>
      <c r="N676" s="1" t="n">
        <v>6999</v>
      </c>
      <c r="O676" s="1" t="n">
        <v>0</v>
      </c>
      <c r="P676" s="1" t="n">
        <v>0</v>
      </c>
      <c r="Q676" s="1" t="n">
        <v>6999</v>
      </c>
      <c r="R676" s="1" t="n">
        <v>1259.82</v>
      </c>
      <c r="S676" s="1" t="n">
        <v>5739.18</v>
      </c>
      <c r="T676" s="1" t="n">
        <v>2355.38</v>
      </c>
      <c r="U676" s="1" t="n">
        <v>3383.8</v>
      </c>
      <c r="V676" s="1" t="n">
        <v>58.96</v>
      </c>
      <c r="W676" s="1" t="s">
        <v>40</v>
      </c>
      <c r="Y676" s="1" t="s">
        <v>40</v>
      </c>
      <c r="Z676" s="1" t="n">
        <v>0</v>
      </c>
      <c r="AA676" s="1" t="str">
        <f aca="false">TRIM(PROPER(F676))</f>
        <v>Kolkata</v>
      </c>
      <c r="AB676" s="1" t="str">
        <f aca="false">TRIM(PROPER(C676))</f>
        <v>Byju'S</v>
      </c>
      <c r="AC676" s="1" t="str">
        <f aca="false">IF(O676=0,"No Discount",IF(O676&lt;=15,"Low (1-15%)",IF(O676&lt;=30,"Medium (16-30%)","High (&gt;30%)")))</f>
        <v>No Discount</v>
      </c>
      <c r="AD676" s="1" t="str">
        <f aca="false">IF(V676&lt;0,"Loss Making",IF(V676&lt;20,"Low Margin","Healthy Margin"))</f>
        <v>Healthy Margin</v>
      </c>
      <c r="AE676" s="1" t="str">
        <f aca="false">TEXT(DATE(VALUE(RIGHT(B676,4)),VALUE(MID(B676,4,2)),VALUE(LEFT(B676,2))),"MMM-YYYY")</f>
        <v>Oct-2024</v>
      </c>
      <c r="AF676" s="1" t="n">
        <f aca="false">VALUE(RIGHT(B676,4))</f>
        <v>2024</v>
      </c>
      <c r="AG676" s="1" t="str">
        <f aca="false">CHOOSE(ROUNDUP(VALUE(MID(B676,4,2))/3,0),"Q1","Q2","Q3","Q4")</f>
        <v>Q4</v>
      </c>
    </row>
    <row r="677" customFormat="false" ht="15" hidden="false" customHeight="true" outlineLevel="0" collapsed="false">
      <c r="A677" s="1" t="s">
        <v>1287</v>
      </c>
      <c r="B677" s="1" t="s">
        <v>762</v>
      </c>
      <c r="C677" s="1" t="s">
        <v>100</v>
      </c>
      <c r="D677" s="1" t="s">
        <v>143</v>
      </c>
      <c r="E677" s="1" t="s">
        <v>162</v>
      </c>
      <c r="F677" s="1" t="s">
        <v>120</v>
      </c>
      <c r="G677" s="1" t="s">
        <v>47</v>
      </c>
      <c r="H677" s="1" t="s">
        <v>57</v>
      </c>
      <c r="I677" s="1" t="s">
        <v>58</v>
      </c>
      <c r="J677" s="1" t="s">
        <v>70</v>
      </c>
      <c r="K677" s="1" t="s">
        <v>104</v>
      </c>
      <c r="L677" s="1" t="s">
        <v>85</v>
      </c>
      <c r="M677" s="1" t="s">
        <v>62</v>
      </c>
      <c r="N677" s="1" t="n">
        <v>14999</v>
      </c>
      <c r="O677" s="1" t="n">
        <v>0</v>
      </c>
      <c r="P677" s="1" t="n">
        <v>0</v>
      </c>
      <c r="Q677" s="1" t="n">
        <v>14999</v>
      </c>
      <c r="R677" s="1" t="n">
        <v>2699.82</v>
      </c>
      <c r="S677" s="1" t="n">
        <v>12299.18</v>
      </c>
      <c r="T677" s="1" t="n">
        <v>5493.24</v>
      </c>
      <c r="U677" s="1" t="n">
        <v>6805.94</v>
      </c>
      <c r="V677" s="1" t="n">
        <v>55.34</v>
      </c>
      <c r="W677" s="1" t="s">
        <v>40</v>
      </c>
      <c r="Y677" s="1" t="s">
        <v>40</v>
      </c>
      <c r="Z677" s="1" t="n">
        <v>2</v>
      </c>
      <c r="AA677" s="1" t="str">
        <f aca="false">TRIM(PROPER(F677))</f>
        <v>Mysuru</v>
      </c>
      <c r="AB677" s="1" t="str">
        <f aca="false">TRIM(PROPER(C677))</f>
        <v>Physics Wallah</v>
      </c>
      <c r="AC677" s="1" t="str">
        <f aca="false">IF(O677=0,"No Discount",IF(O677&lt;=15,"Low (1-15%)",IF(O677&lt;=30,"Medium (16-30%)","High (&gt;30%)")))</f>
        <v>No Discount</v>
      </c>
      <c r="AD677" s="1" t="str">
        <f aca="false">IF(V677&lt;0,"Loss Making",IF(V677&lt;20,"Low Margin","Healthy Margin"))</f>
        <v>Healthy Margin</v>
      </c>
      <c r="AE677" s="1" t="str">
        <f aca="false">TEXT(DATE(VALUE(RIGHT(B677,4)),VALUE(MID(B677,4,2)),VALUE(LEFT(B677,2))),"MMM-YYYY")</f>
        <v>Aug-2023</v>
      </c>
      <c r="AF677" s="1" t="n">
        <f aca="false">VALUE(RIGHT(B677,4))</f>
        <v>2023</v>
      </c>
      <c r="AG677" s="1" t="str">
        <f aca="false">CHOOSE(ROUNDUP(VALUE(MID(B677,4,2))/3,0),"Q1","Q2","Q3","Q4")</f>
        <v>Q3</v>
      </c>
    </row>
    <row r="678" customFormat="false" ht="15" hidden="false" customHeight="true" outlineLevel="0" collapsed="false">
      <c r="A678" s="1" t="s">
        <v>1288</v>
      </c>
      <c r="B678" s="1" t="s">
        <v>1289</v>
      </c>
      <c r="C678" s="1" t="s">
        <v>264</v>
      </c>
      <c r="D678" s="1" t="s">
        <v>94</v>
      </c>
      <c r="E678" s="1" t="s">
        <v>135</v>
      </c>
      <c r="F678" s="1" t="s">
        <v>184</v>
      </c>
      <c r="G678" s="1" t="s">
        <v>56</v>
      </c>
      <c r="H678" s="1" t="s">
        <v>57</v>
      </c>
      <c r="I678" s="1" t="s">
        <v>34</v>
      </c>
      <c r="J678" s="1" t="s">
        <v>35</v>
      </c>
      <c r="K678" s="1" t="s">
        <v>90</v>
      </c>
      <c r="L678" s="1" t="s">
        <v>61</v>
      </c>
      <c r="M678" s="1" t="s">
        <v>62</v>
      </c>
      <c r="N678" s="1" t="n">
        <v>9999</v>
      </c>
      <c r="O678" s="1" t="n">
        <v>0</v>
      </c>
      <c r="P678" s="1" t="n">
        <v>0</v>
      </c>
      <c r="Q678" s="1" t="n">
        <v>9999</v>
      </c>
      <c r="R678" s="1" t="n">
        <v>1799.82</v>
      </c>
      <c r="S678" s="1" t="n">
        <v>8199.18</v>
      </c>
      <c r="T678" s="1" t="n">
        <v>3759.49</v>
      </c>
      <c r="U678" s="1" t="n">
        <v>4439.69</v>
      </c>
      <c r="V678" s="1" t="n">
        <v>54.15</v>
      </c>
      <c r="W678" s="1" t="s">
        <v>40</v>
      </c>
      <c r="Y678" s="1" t="s">
        <v>40</v>
      </c>
      <c r="Z678" s="1" t="n">
        <v>1</v>
      </c>
      <c r="AA678" s="1" t="str">
        <f aca="false">TRIM(PROPER(F678))</f>
        <v>Faridabad</v>
      </c>
      <c r="AB678" s="1" t="str">
        <f aca="false">TRIM(PROPER(C678))</f>
        <v>Unacademy</v>
      </c>
      <c r="AC678" s="1" t="str">
        <f aca="false">IF(O678=0,"No Discount",IF(O678&lt;=15,"Low (1-15%)",IF(O678&lt;=30,"Medium (16-30%)","High (&gt;30%)")))</f>
        <v>No Discount</v>
      </c>
      <c r="AD678" s="1" t="str">
        <f aca="false">IF(V678&lt;0,"Loss Making",IF(V678&lt;20,"Low Margin","Healthy Margin"))</f>
        <v>Healthy Margin</v>
      </c>
      <c r="AE678" s="1" t="str">
        <f aca="false">TEXT(DATE(VALUE(RIGHT(B678,4)),VALUE(MID(B678,4,2)),VALUE(LEFT(B678,2))),"MMM-YYYY")</f>
        <v>Jun-2024</v>
      </c>
      <c r="AF678" s="1" t="n">
        <f aca="false">VALUE(RIGHT(B678,4))</f>
        <v>2024</v>
      </c>
      <c r="AG678" s="1" t="str">
        <f aca="false">CHOOSE(ROUNDUP(VALUE(MID(B678,4,2))/3,0),"Q1","Q2","Q3","Q4")</f>
        <v>Q2</v>
      </c>
    </row>
    <row r="679" customFormat="false" ht="15" hidden="false" customHeight="true" outlineLevel="0" collapsed="false">
      <c r="A679" s="1" t="s">
        <v>1290</v>
      </c>
      <c r="B679" s="1" t="s">
        <v>1291</v>
      </c>
      <c r="C679" s="1" t="s">
        <v>93</v>
      </c>
      <c r="D679" s="1" t="s">
        <v>143</v>
      </c>
      <c r="E679" s="1" t="s">
        <v>144</v>
      </c>
      <c r="F679" s="1" t="s">
        <v>187</v>
      </c>
      <c r="G679" s="1" t="s">
        <v>97</v>
      </c>
      <c r="H679" s="1" t="s">
        <v>69</v>
      </c>
      <c r="I679" s="1" t="s">
        <v>58</v>
      </c>
      <c r="J679" s="1" t="s">
        <v>77</v>
      </c>
      <c r="K679" s="1" t="s">
        <v>90</v>
      </c>
      <c r="L679" s="1" t="s">
        <v>49</v>
      </c>
      <c r="M679" s="1" t="s">
        <v>62</v>
      </c>
      <c r="N679" s="1" t="n">
        <v>12999</v>
      </c>
      <c r="O679" s="1" t="n">
        <v>30</v>
      </c>
      <c r="P679" s="1" t="n">
        <v>3899.7</v>
      </c>
      <c r="Q679" s="1" t="n">
        <v>9099.3</v>
      </c>
      <c r="R679" s="1" t="n">
        <v>1637.87</v>
      </c>
      <c r="S679" s="1" t="n">
        <v>7461.43</v>
      </c>
      <c r="T679" s="1" t="n">
        <v>3030.71</v>
      </c>
      <c r="U679" s="1" t="n">
        <v>4430.72</v>
      </c>
      <c r="V679" s="1" t="n">
        <v>59.38</v>
      </c>
      <c r="W679" s="1" t="s">
        <v>39</v>
      </c>
      <c r="X679" s="1" t="n">
        <v>3</v>
      </c>
      <c r="Y679" s="1" t="s">
        <v>40</v>
      </c>
      <c r="Z679" s="1" t="n">
        <v>1</v>
      </c>
      <c r="AA679" s="1" t="str">
        <f aca="false">TRIM(PROPER(F679))</f>
        <v>Mumbai</v>
      </c>
      <c r="AB679" s="1" t="str">
        <f aca="false">TRIM(PROPER(C679))</f>
        <v>Upgrad</v>
      </c>
      <c r="AC679" s="1" t="str">
        <f aca="false">IF(O679=0,"No Discount",IF(O679&lt;=15,"Low (1-15%)",IF(O679&lt;=30,"Medium (16-30%)","High (&gt;30%)")))</f>
        <v>Medium (16-30%)</v>
      </c>
      <c r="AD679" s="1" t="str">
        <f aca="false">IF(V679&lt;0,"Loss Making",IF(V679&lt;20,"Low Margin","Healthy Margin"))</f>
        <v>Healthy Margin</v>
      </c>
      <c r="AE679" s="1" t="str">
        <f aca="false">TEXT(DATE(VALUE(RIGHT(B679,4)),VALUE(MID(B679,4,2)),VALUE(LEFT(B679,2))),"MMM-YYYY")</f>
        <v>Jun-2023</v>
      </c>
      <c r="AF679" s="1" t="n">
        <f aca="false">VALUE(RIGHT(B679,4))</f>
        <v>2023</v>
      </c>
      <c r="AG679" s="1" t="str">
        <f aca="false">CHOOSE(ROUNDUP(VALUE(MID(B679,4,2))/3,0),"Q1","Q2","Q3","Q4")</f>
        <v>Q2</v>
      </c>
    </row>
    <row r="680" customFormat="false" ht="15" hidden="false" customHeight="true" outlineLevel="0" collapsed="false">
      <c r="A680" s="1" t="s">
        <v>1292</v>
      </c>
      <c r="B680" s="1" t="s">
        <v>513</v>
      </c>
      <c r="C680" s="1" t="s">
        <v>134</v>
      </c>
      <c r="D680" s="1" t="s">
        <v>94</v>
      </c>
      <c r="E680" s="1" t="s">
        <v>95</v>
      </c>
      <c r="F680" s="1" t="s">
        <v>211</v>
      </c>
      <c r="G680" s="1" t="s">
        <v>56</v>
      </c>
      <c r="H680" s="1" t="s">
        <v>69</v>
      </c>
      <c r="I680" s="1" t="s">
        <v>58</v>
      </c>
      <c r="J680" s="1" t="s">
        <v>59</v>
      </c>
      <c r="K680" s="1" t="s">
        <v>71</v>
      </c>
      <c r="L680" s="1" t="s">
        <v>85</v>
      </c>
      <c r="M680" s="1" t="s">
        <v>62</v>
      </c>
      <c r="N680" s="1" t="n">
        <v>6999</v>
      </c>
      <c r="O680" s="1" t="n">
        <v>5</v>
      </c>
      <c r="P680" s="1" t="n">
        <v>349.95</v>
      </c>
      <c r="Q680" s="1" t="n">
        <v>6649.05</v>
      </c>
      <c r="R680" s="1" t="n">
        <v>1196.83</v>
      </c>
      <c r="S680" s="1" t="n">
        <v>5452.22</v>
      </c>
      <c r="T680" s="1" t="n">
        <v>1955.28</v>
      </c>
      <c r="U680" s="1" t="n">
        <v>3496.94</v>
      </c>
      <c r="V680" s="1" t="n">
        <v>64.14</v>
      </c>
      <c r="W680" s="1" t="s">
        <v>39</v>
      </c>
      <c r="X680" s="1" t="n">
        <v>3.2</v>
      </c>
      <c r="Y680" s="1" t="s">
        <v>40</v>
      </c>
      <c r="Z680" s="1" t="n">
        <v>0</v>
      </c>
      <c r="AA680" s="1" t="str">
        <f aca="false">TRIM(PROPER(F680))</f>
        <v>Noida</v>
      </c>
      <c r="AB680" s="1" t="str">
        <f aca="false">TRIM(PROPER(C680))</f>
        <v>Doubtnut</v>
      </c>
      <c r="AC680" s="1" t="str">
        <f aca="false">IF(O680=0,"No Discount",IF(O680&lt;=15,"Low (1-15%)",IF(O680&lt;=30,"Medium (16-30%)","High (&gt;30%)")))</f>
        <v>Low (1-15%)</v>
      </c>
      <c r="AD680" s="1" t="str">
        <f aca="false">IF(V680&lt;0,"Loss Making",IF(V680&lt;20,"Low Margin","Healthy Margin"))</f>
        <v>Healthy Margin</v>
      </c>
      <c r="AE680" s="1" t="str">
        <f aca="false">TEXT(DATE(VALUE(RIGHT(B680,4)),VALUE(MID(B680,4,2)),VALUE(LEFT(B680,2))),"MMM-YYYY")</f>
        <v>Jun-2023</v>
      </c>
      <c r="AF680" s="1" t="n">
        <f aca="false">VALUE(RIGHT(B680,4))</f>
        <v>2023</v>
      </c>
      <c r="AG680" s="1" t="str">
        <f aca="false">CHOOSE(ROUNDUP(VALUE(MID(B680,4,2))/3,0),"Q1","Q2","Q3","Q4")</f>
        <v>Q2</v>
      </c>
    </row>
    <row r="681" customFormat="false" ht="15" hidden="false" customHeight="true" outlineLevel="0" collapsed="false">
      <c r="A681" s="1" t="s">
        <v>1293</v>
      </c>
      <c r="B681" s="1" t="s">
        <v>1294</v>
      </c>
      <c r="C681" s="1" t="s">
        <v>167</v>
      </c>
      <c r="D681" s="1" t="s">
        <v>123</v>
      </c>
      <c r="E681" s="1" t="s">
        <v>124</v>
      </c>
      <c r="F681" s="1" t="s">
        <v>194</v>
      </c>
      <c r="G681" s="1" t="s">
        <v>103</v>
      </c>
      <c r="H681" s="1" t="s">
        <v>69</v>
      </c>
      <c r="I681" s="1" t="s">
        <v>58</v>
      </c>
      <c r="J681" s="1" t="s">
        <v>35</v>
      </c>
      <c r="K681" s="1" t="s">
        <v>60</v>
      </c>
      <c r="L681" s="1" t="s">
        <v>37</v>
      </c>
      <c r="M681" s="1" t="s">
        <v>50</v>
      </c>
      <c r="N681" s="1" t="n">
        <v>4999</v>
      </c>
      <c r="O681" s="1" t="n">
        <v>30</v>
      </c>
      <c r="P681" s="1" t="n">
        <v>1499.7</v>
      </c>
      <c r="Q681" s="1" t="n">
        <v>3499.3</v>
      </c>
      <c r="R681" s="1" t="n">
        <v>629.87</v>
      </c>
      <c r="S681" s="1" t="n">
        <v>2869.43</v>
      </c>
      <c r="T681" s="1" t="n">
        <v>1069.16</v>
      </c>
      <c r="U681" s="1" t="n">
        <v>1800.27</v>
      </c>
      <c r="V681" s="1" t="n">
        <v>62.74</v>
      </c>
      <c r="W681" s="1" t="s">
        <v>40</v>
      </c>
      <c r="Y681" s="1" t="s">
        <v>40</v>
      </c>
      <c r="Z681" s="1" t="n">
        <v>0</v>
      </c>
      <c r="AA681" s="1" t="str">
        <f aca="false">TRIM(PROPER(F681))</f>
        <v>Hyderabad</v>
      </c>
      <c r="AB681" s="1" t="str">
        <f aca="false">TRIM(PROPER(C681))</f>
        <v>Scaler</v>
      </c>
      <c r="AC681" s="1" t="str">
        <f aca="false">IF(O681=0,"No Discount",IF(O681&lt;=15,"Low (1-15%)",IF(O681&lt;=30,"Medium (16-30%)","High (&gt;30%)")))</f>
        <v>Medium (16-30%)</v>
      </c>
      <c r="AD681" s="1" t="str">
        <f aca="false">IF(V681&lt;0,"Loss Making",IF(V681&lt;20,"Low Margin","Healthy Margin"))</f>
        <v>Healthy Margin</v>
      </c>
      <c r="AE681" s="1" t="str">
        <f aca="false">TEXT(DATE(VALUE(RIGHT(B681,4)),VALUE(MID(B681,4,2)),VALUE(LEFT(B681,2))),"MMM-YYYY")</f>
        <v>Apr-2024</v>
      </c>
      <c r="AF681" s="1" t="n">
        <f aca="false">VALUE(RIGHT(B681,4))</f>
        <v>2024</v>
      </c>
      <c r="AG681" s="1" t="str">
        <f aca="false">CHOOSE(ROUNDUP(VALUE(MID(B681,4,2))/3,0),"Q1","Q2","Q3","Q4")</f>
        <v>Q2</v>
      </c>
    </row>
    <row r="682" customFormat="false" ht="15" hidden="false" customHeight="true" outlineLevel="0" collapsed="false">
      <c r="A682" s="1" t="s">
        <v>1295</v>
      </c>
      <c r="B682" s="1" t="s">
        <v>277</v>
      </c>
      <c r="C682" s="1" t="s">
        <v>74</v>
      </c>
      <c r="D682" s="1" t="s">
        <v>143</v>
      </c>
      <c r="E682" s="1" t="s">
        <v>159</v>
      </c>
      <c r="F682" s="1" t="s">
        <v>184</v>
      </c>
      <c r="G682" s="1" t="s">
        <v>56</v>
      </c>
      <c r="H682" s="1" t="s">
        <v>57</v>
      </c>
      <c r="I682" s="1" t="s">
        <v>83</v>
      </c>
      <c r="J682" s="1" t="s">
        <v>59</v>
      </c>
      <c r="K682" s="1" t="s">
        <v>90</v>
      </c>
      <c r="L682" s="1" t="s">
        <v>113</v>
      </c>
      <c r="M682" s="1" t="s">
        <v>62</v>
      </c>
      <c r="N682" s="1" t="n">
        <v>24999</v>
      </c>
      <c r="O682" s="1" t="n">
        <v>10</v>
      </c>
      <c r="P682" s="1" t="n">
        <v>2499.9</v>
      </c>
      <c r="Q682" s="1" t="n">
        <v>22499.1</v>
      </c>
      <c r="R682" s="1" t="n">
        <v>4049.84</v>
      </c>
      <c r="S682" s="1" t="n">
        <v>18449.26</v>
      </c>
      <c r="T682" s="1" t="n">
        <v>7526.59</v>
      </c>
      <c r="U682" s="1" t="n">
        <v>10922.67</v>
      </c>
      <c r="V682" s="1" t="n">
        <v>59.2</v>
      </c>
      <c r="W682" s="1" t="s">
        <v>39</v>
      </c>
      <c r="X682" s="1" t="n">
        <v>3.6</v>
      </c>
      <c r="Y682" s="1" t="s">
        <v>40</v>
      </c>
      <c r="Z682" s="1" t="n">
        <v>0</v>
      </c>
      <c r="AA682" s="1" t="str">
        <f aca="false">TRIM(PROPER(F682))</f>
        <v>Faridabad</v>
      </c>
      <c r="AB682" s="1" t="str">
        <f aca="false">TRIM(PROPER(C682))</f>
        <v>Vedantu</v>
      </c>
      <c r="AC682" s="1" t="str">
        <f aca="false">IF(O682=0,"No Discount",IF(O682&lt;=15,"Low (1-15%)",IF(O682&lt;=30,"Medium (16-30%)","High (&gt;30%)")))</f>
        <v>Low (1-15%)</v>
      </c>
      <c r="AD682" s="1" t="str">
        <f aca="false">IF(V682&lt;0,"Loss Making",IF(V682&lt;20,"Low Margin","Healthy Margin"))</f>
        <v>Healthy Margin</v>
      </c>
      <c r="AE682" s="1" t="str">
        <f aca="false">TEXT(DATE(VALUE(RIGHT(B682,4)),VALUE(MID(B682,4,2)),VALUE(LEFT(B682,2))),"MMM-YYYY")</f>
        <v>May-2023</v>
      </c>
      <c r="AF682" s="1" t="n">
        <f aca="false">VALUE(RIGHT(B682,4))</f>
        <v>2023</v>
      </c>
      <c r="AG682" s="1" t="str">
        <f aca="false">CHOOSE(ROUNDUP(VALUE(MID(B682,4,2))/3,0),"Q1","Q2","Q3","Q4")</f>
        <v>Q2</v>
      </c>
    </row>
    <row r="683" customFormat="false" ht="15" hidden="false" customHeight="true" outlineLevel="0" collapsed="false">
      <c r="A683" s="1" t="s">
        <v>1296</v>
      </c>
      <c r="B683" s="1" t="s">
        <v>1107</v>
      </c>
      <c r="C683" s="1" t="s">
        <v>167</v>
      </c>
      <c r="D683" s="1" t="s">
        <v>80</v>
      </c>
      <c r="E683" s="1" t="s">
        <v>175</v>
      </c>
      <c r="F683" s="1" t="s">
        <v>89</v>
      </c>
      <c r="G683" s="1" t="s">
        <v>68</v>
      </c>
      <c r="H683" s="1" t="s">
        <v>33</v>
      </c>
      <c r="I683" s="1" t="s">
        <v>34</v>
      </c>
      <c r="J683" s="1" t="s">
        <v>77</v>
      </c>
      <c r="K683" s="1" t="s">
        <v>48</v>
      </c>
      <c r="L683" s="1" t="s">
        <v>113</v>
      </c>
      <c r="M683" s="1" t="s">
        <v>50</v>
      </c>
      <c r="N683" s="1" t="n">
        <v>19999</v>
      </c>
      <c r="O683" s="1" t="n">
        <v>30</v>
      </c>
      <c r="P683" s="1" t="n">
        <v>5999.7</v>
      </c>
      <c r="Q683" s="1" t="n">
        <v>13999.3</v>
      </c>
      <c r="R683" s="1" t="n">
        <v>2519.87</v>
      </c>
      <c r="S683" s="1" t="n">
        <v>11479.43</v>
      </c>
      <c r="T683" s="1" t="n">
        <v>5757.46</v>
      </c>
      <c r="U683" s="1" t="n">
        <v>5721.97</v>
      </c>
      <c r="V683" s="1" t="n">
        <v>49.85</v>
      </c>
      <c r="W683" s="1" t="s">
        <v>40</v>
      </c>
      <c r="Y683" s="1" t="s">
        <v>40</v>
      </c>
      <c r="Z683" s="1" t="n">
        <v>1</v>
      </c>
      <c r="AA683" s="1" t="str">
        <f aca="false">TRIM(PROPER(F683))</f>
        <v>Vadodara</v>
      </c>
      <c r="AB683" s="1" t="str">
        <f aca="false">TRIM(PROPER(C683))</f>
        <v>Scaler</v>
      </c>
      <c r="AC683" s="1" t="str">
        <f aca="false">IF(O683=0,"No Discount",IF(O683&lt;=15,"Low (1-15%)",IF(O683&lt;=30,"Medium (16-30%)","High (&gt;30%)")))</f>
        <v>Medium (16-30%)</v>
      </c>
      <c r="AD683" s="1" t="str">
        <f aca="false">IF(V683&lt;0,"Loss Making",IF(V683&lt;20,"Low Margin","Healthy Margin"))</f>
        <v>Healthy Margin</v>
      </c>
      <c r="AE683" s="1" t="str">
        <f aca="false">TEXT(DATE(VALUE(RIGHT(B683,4)),VALUE(MID(B683,4,2)),VALUE(LEFT(B683,2))),"MMM-YYYY")</f>
        <v>Jul-2023</v>
      </c>
      <c r="AF683" s="1" t="n">
        <f aca="false">VALUE(RIGHT(B683,4))</f>
        <v>2023</v>
      </c>
      <c r="AG683" s="1" t="str">
        <f aca="false">CHOOSE(ROUNDUP(VALUE(MID(B683,4,2))/3,0),"Q1","Q2","Q3","Q4")</f>
        <v>Q3</v>
      </c>
    </row>
    <row r="684" customFormat="false" ht="15" hidden="false" customHeight="true" outlineLevel="0" collapsed="false">
      <c r="A684" s="1" t="s">
        <v>1297</v>
      </c>
      <c r="B684" s="1" t="s">
        <v>1298</v>
      </c>
      <c r="C684" s="1" t="s">
        <v>88</v>
      </c>
      <c r="D684" s="1" t="s">
        <v>80</v>
      </c>
      <c r="E684" s="1" t="s">
        <v>81</v>
      </c>
      <c r="F684" s="1" t="s">
        <v>107</v>
      </c>
      <c r="G684" s="1" t="s">
        <v>108</v>
      </c>
      <c r="H684" s="1" t="s">
        <v>33</v>
      </c>
      <c r="I684" s="1" t="s">
        <v>34</v>
      </c>
      <c r="J684" s="1" t="s">
        <v>131</v>
      </c>
      <c r="K684" s="1" t="s">
        <v>84</v>
      </c>
      <c r="L684" s="1" t="s">
        <v>85</v>
      </c>
      <c r="M684" s="1" t="s">
        <v>38</v>
      </c>
      <c r="N684" s="1" t="n">
        <v>12999</v>
      </c>
      <c r="O684" s="1" t="n">
        <v>10</v>
      </c>
      <c r="P684" s="1" t="n">
        <v>1299.9</v>
      </c>
      <c r="Q684" s="1" t="n">
        <v>11699.1</v>
      </c>
      <c r="R684" s="1" t="n">
        <v>2105.84</v>
      </c>
      <c r="S684" s="1" t="n">
        <v>9593.26</v>
      </c>
      <c r="T684" s="1" t="n">
        <v>4270.28</v>
      </c>
      <c r="U684" s="1" t="n">
        <v>5322.98</v>
      </c>
      <c r="V684" s="1" t="n">
        <v>55.49</v>
      </c>
      <c r="W684" s="1" t="s">
        <v>39</v>
      </c>
      <c r="X684" s="1" t="n">
        <v>4.6</v>
      </c>
      <c r="Y684" s="1" t="s">
        <v>40</v>
      </c>
      <c r="Z684" s="1" t="n">
        <v>0</v>
      </c>
      <c r="AA684" s="1" t="str">
        <f aca="false">TRIM(PROPER(F684))</f>
        <v>Madurai</v>
      </c>
      <c r="AB684" s="1" t="str">
        <f aca="false">TRIM(PROPER(C684))</f>
        <v>Byju'S</v>
      </c>
      <c r="AC684" s="1" t="str">
        <f aca="false">IF(O684=0,"No Discount",IF(O684&lt;=15,"Low (1-15%)",IF(O684&lt;=30,"Medium (16-30%)","High (&gt;30%)")))</f>
        <v>Low (1-15%)</v>
      </c>
      <c r="AD684" s="1" t="str">
        <f aca="false">IF(V684&lt;0,"Loss Making",IF(V684&lt;20,"Low Margin","Healthy Margin"))</f>
        <v>Healthy Margin</v>
      </c>
      <c r="AE684" s="1" t="str">
        <f aca="false">TEXT(DATE(VALUE(RIGHT(B684,4)),VALUE(MID(B684,4,2)),VALUE(LEFT(B684,2))),"MMM-YYYY")</f>
        <v>Feb-2024</v>
      </c>
      <c r="AF684" s="1" t="n">
        <f aca="false">VALUE(RIGHT(B684,4))</f>
        <v>2024</v>
      </c>
      <c r="AG684" s="1" t="str">
        <f aca="false">CHOOSE(ROUNDUP(VALUE(MID(B684,4,2))/3,0),"Q1","Q2","Q3","Q4")</f>
        <v>Q1</v>
      </c>
    </row>
    <row r="685" customFormat="false" ht="15" hidden="false" customHeight="true" outlineLevel="0" collapsed="false">
      <c r="A685" s="1" t="s">
        <v>1299</v>
      </c>
      <c r="B685" s="1" t="s">
        <v>1300</v>
      </c>
      <c r="C685" s="1" t="s">
        <v>139</v>
      </c>
      <c r="D685" s="1" t="s">
        <v>44</v>
      </c>
      <c r="E685" s="1" t="s">
        <v>66</v>
      </c>
      <c r="F685" s="1" t="s">
        <v>187</v>
      </c>
      <c r="G685" s="1" t="s">
        <v>97</v>
      </c>
      <c r="H685" s="1" t="s">
        <v>69</v>
      </c>
      <c r="I685" s="1" t="s">
        <v>34</v>
      </c>
      <c r="J685" s="1" t="s">
        <v>77</v>
      </c>
      <c r="K685" s="1" t="s">
        <v>104</v>
      </c>
      <c r="L685" s="1" t="s">
        <v>85</v>
      </c>
      <c r="M685" s="1" t="s">
        <v>38</v>
      </c>
      <c r="N685" s="1" t="n">
        <v>12999</v>
      </c>
      <c r="O685" s="1" t="n">
        <v>0</v>
      </c>
      <c r="P685" s="1" t="n">
        <v>0</v>
      </c>
      <c r="Q685" s="1" t="n">
        <v>12999</v>
      </c>
      <c r="R685" s="1" t="n">
        <v>2339.82</v>
      </c>
      <c r="S685" s="1" t="n">
        <v>10659.18</v>
      </c>
      <c r="T685" s="1" t="n">
        <v>4744.55</v>
      </c>
      <c r="U685" s="1" t="n">
        <v>5914.63</v>
      </c>
      <c r="V685" s="1" t="n">
        <v>55.49</v>
      </c>
      <c r="W685" s="1" t="s">
        <v>39</v>
      </c>
      <c r="X685" s="1" t="n">
        <v>3.5</v>
      </c>
      <c r="Y685" s="1" t="s">
        <v>40</v>
      </c>
      <c r="Z685" s="1" t="n">
        <v>0</v>
      </c>
      <c r="AA685" s="1" t="str">
        <f aca="false">TRIM(PROPER(F685))</f>
        <v>Mumbai</v>
      </c>
      <c r="AB685" s="1" t="str">
        <f aca="false">TRIM(PROPER(C685))</f>
        <v>Extramarks</v>
      </c>
      <c r="AC685" s="1" t="str">
        <f aca="false">IF(O685=0,"No Discount",IF(O685&lt;=15,"Low (1-15%)",IF(O685&lt;=30,"Medium (16-30%)","High (&gt;30%)")))</f>
        <v>No Discount</v>
      </c>
      <c r="AD685" s="1" t="str">
        <f aca="false">IF(V685&lt;0,"Loss Making",IF(V685&lt;20,"Low Margin","Healthy Margin"))</f>
        <v>Healthy Margin</v>
      </c>
      <c r="AE685" s="1" t="str">
        <f aca="false">TEXT(DATE(VALUE(RIGHT(B685,4)),VALUE(MID(B685,4,2)),VALUE(LEFT(B685,2))),"MMM-YYYY")</f>
        <v>Aug-2023</v>
      </c>
      <c r="AF685" s="1" t="n">
        <f aca="false">VALUE(RIGHT(B685,4))</f>
        <v>2023</v>
      </c>
      <c r="AG685" s="1" t="str">
        <f aca="false">CHOOSE(ROUNDUP(VALUE(MID(B685,4,2))/3,0),"Q1","Q2","Q3","Q4")</f>
        <v>Q3</v>
      </c>
    </row>
    <row r="686" customFormat="false" ht="15" hidden="false" customHeight="true" outlineLevel="0" collapsed="false">
      <c r="A686" s="1" t="s">
        <v>1301</v>
      </c>
      <c r="B686" s="1" t="s">
        <v>1302</v>
      </c>
      <c r="C686" s="1" t="s">
        <v>134</v>
      </c>
      <c r="D686" s="1" t="s">
        <v>123</v>
      </c>
      <c r="E686" s="1" t="s">
        <v>147</v>
      </c>
      <c r="F686" s="1" t="s">
        <v>150</v>
      </c>
      <c r="G686" s="1" t="s">
        <v>32</v>
      </c>
      <c r="H686" s="1" t="s">
        <v>57</v>
      </c>
      <c r="I686" s="1" t="s">
        <v>58</v>
      </c>
      <c r="J686" s="1" t="s">
        <v>77</v>
      </c>
      <c r="K686" s="1" t="s">
        <v>36</v>
      </c>
      <c r="L686" s="1" t="s">
        <v>85</v>
      </c>
      <c r="M686" s="1" t="s">
        <v>50</v>
      </c>
      <c r="N686" s="1" t="n">
        <v>6999</v>
      </c>
      <c r="O686" s="1" t="n">
        <v>10</v>
      </c>
      <c r="P686" s="1" t="n">
        <v>699.9</v>
      </c>
      <c r="Q686" s="1" t="n">
        <v>6299.1</v>
      </c>
      <c r="R686" s="1" t="n">
        <v>1133.84</v>
      </c>
      <c r="S686" s="1" t="n">
        <v>5165.26</v>
      </c>
      <c r="T686" s="1" t="n">
        <v>2035.49</v>
      </c>
      <c r="U686" s="1" t="n">
        <v>3129.77</v>
      </c>
      <c r="V686" s="1" t="n">
        <v>60.59</v>
      </c>
      <c r="W686" s="1" t="s">
        <v>39</v>
      </c>
      <c r="X686" s="1" t="n">
        <v>3</v>
      </c>
      <c r="Y686" s="1" t="s">
        <v>40</v>
      </c>
      <c r="Z686" s="1" t="n">
        <v>0</v>
      </c>
      <c r="AA686" s="1" t="str">
        <f aca="false">TRIM(PROPER(F686))</f>
        <v>Jaipur</v>
      </c>
      <c r="AB686" s="1" t="str">
        <f aca="false">TRIM(PROPER(C686))</f>
        <v>Doubtnut</v>
      </c>
      <c r="AC686" s="1" t="str">
        <f aca="false">IF(O686=0,"No Discount",IF(O686&lt;=15,"Low (1-15%)",IF(O686&lt;=30,"Medium (16-30%)","High (&gt;30%)")))</f>
        <v>Low (1-15%)</v>
      </c>
      <c r="AD686" s="1" t="str">
        <f aca="false">IF(V686&lt;0,"Loss Making",IF(V686&lt;20,"Low Margin","Healthy Margin"))</f>
        <v>Healthy Margin</v>
      </c>
      <c r="AE686" s="1" t="str">
        <f aca="false">TEXT(DATE(VALUE(RIGHT(B686,4)),VALUE(MID(B686,4,2)),VALUE(LEFT(B686,2))),"MMM-YYYY")</f>
        <v>Jul-2024</v>
      </c>
      <c r="AF686" s="1" t="n">
        <f aca="false">VALUE(RIGHT(B686,4))</f>
        <v>2024</v>
      </c>
      <c r="AG686" s="1" t="str">
        <f aca="false">CHOOSE(ROUNDUP(VALUE(MID(B686,4,2))/3,0),"Q1","Q2","Q3","Q4")</f>
        <v>Q3</v>
      </c>
    </row>
    <row r="687" customFormat="false" ht="15" hidden="false" customHeight="true" outlineLevel="0" collapsed="false">
      <c r="A687" s="1" t="s">
        <v>1303</v>
      </c>
      <c r="B687" s="1" t="s">
        <v>1264</v>
      </c>
      <c r="C687" s="1" t="s">
        <v>134</v>
      </c>
      <c r="D687" s="1" t="s">
        <v>143</v>
      </c>
      <c r="E687" s="1" t="s">
        <v>144</v>
      </c>
      <c r="F687" s="1" t="s">
        <v>269</v>
      </c>
      <c r="G687" s="1" t="s">
        <v>108</v>
      </c>
      <c r="H687" s="1" t="s">
        <v>57</v>
      </c>
      <c r="I687" s="1" t="s">
        <v>58</v>
      </c>
      <c r="J687" s="1" t="s">
        <v>70</v>
      </c>
      <c r="K687" s="1" t="s">
        <v>84</v>
      </c>
      <c r="L687" s="1" t="s">
        <v>136</v>
      </c>
      <c r="M687" s="1" t="s">
        <v>50</v>
      </c>
      <c r="N687" s="1" t="n">
        <v>12999</v>
      </c>
      <c r="O687" s="1" t="n">
        <v>0</v>
      </c>
      <c r="P687" s="1" t="n">
        <v>0</v>
      </c>
      <c r="Q687" s="1" t="n">
        <v>12999</v>
      </c>
      <c r="R687" s="1" t="n">
        <v>2339.82</v>
      </c>
      <c r="S687" s="1" t="n">
        <v>10659.18</v>
      </c>
      <c r="T687" s="1" t="n">
        <v>5015.35</v>
      </c>
      <c r="U687" s="1" t="n">
        <v>5643.83</v>
      </c>
      <c r="V687" s="1" t="n">
        <v>52.95</v>
      </c>
      <c r="W687" s="1" t="s">
        <v>39</v>
      </c>
      <c r="X687" s="1" t="n">
        <v>3.6</v>
      </c>
      <c r="Y687" s="1" t="s">
        <v>40</v>
      </c>
      <c r="Z687" s="1" t="n">
        <v>0</v>
      </c>
      <c r="AA687" s="1" t="str">
        <f aca="false">TRIM(PROPER(F687))</f>
        <v>Coimbatore</v>
      </c>
      <c r="AB687" s="1" t="str">
        <f aca="false">TRIM(PROPER(C687))</f>
        <v>Doubtnut</v>
      </c>
      <c r="AC687" s="1" t="str">
        <f aca="false">IF(O687=0,"No Discount",IF(O687&lt;=15,"Low (1-15%)",IF(O687&lt;=30,"Medium (16-30%)","High (&gt;30%)")))</f>
        <v>No Discount</v>
      </c>
      <c r="AD687" s="1" t="str">
        <f aca="false">IF(V687&lt;0,"Loss Making",IF(V687&lt;20,"Low Margin","Healthy Margin"))</f>
        <v>Healthy Margin</v>
      </c>
      <c r="AE687" s="1" t="str">
        <f aca="false">TEXT(DATE(VALUE(RIGHT(B687,4)),VALUE(MID(B687,4,2)),VALUE(LEFT(B687,2))),"MMM-YYYY")</f>
        <v>Feb-2023</v>
      </c>
      <c r="AF687" s="1" t="n">
        <f aca="false">VALUE(RIGHT(B687,4))</f>
        <v>2023</v>
      </c>
      <c r="AG687" s="1" t="str">
        <f aca="false">CHOOSE(ROUNDUP(VALUE(MID(B687,4,2))/3,0),"Q1","Q2","Q3","Q4")</f>
        <v>Q1</v>
      </c>
    </row>
    <row r="688" customFormat="false" ht="15" hidden="false" customHeight="true" outlineLevel="0" collapsed="false">
      <c r="A688" s="1" t="s">
        <v>1304</v>
      </c>
      <c r="B688" s="1" t="s">
        <v>1305</v>
      </c>
      <c r="C688" s="1" t="s">
        <v>264</v>
      </c>
      <c r="D688" s="1" t="s">
        <v>123</v>
      </c>
      <c r="E688" s="1" t="s">
        <v>124</v>
      </c>
      <c r="F688" s="1" t="s">
        <v>102</v>
      </c>
      <c r="G688" s="1" t="s">
        <v>103</v>
      </c>
      <c r="H688" s="1" t="s">
        <v>33</v>
      </c>
      <c r="I688" s="1" t="s">
        <v>58</v>
      </c>
      <c r="J688" s="1" t="s">
        <v>35</v>
      </c>
      <c r="K688" s="1" t="s">
        <v>104</v>
      </c>
      <c r="L688" s="1" t="s">
        <v>37</v>
      </c>
      <c r="M688" s="1" t="s">
        <v>50</v>
      </c>
      <c r="N688" s="1" t="n">
        <v>4999</v>
      </c>
      <c r="O688" s="1" t="n">
        <v>30</v>
      </c>
      <c r="P688" s="1" t="n">
        <v>1499.7</v>
      </c>
      <c r="Q688" s="1" t="n">
        <v>3499.3</v>
      </c>
      <c r="R688" s="1" t="n">
        <v>629.87</v>
      </c>
      <c r="S688" s="1" t="n">
        <v>2869.43</v>
      </c>
      <c r="T688" s="1" t="n">
        <v>999.1</v>
      </c>
      <c r="U688" s="1" t="n">
        <v>1870.33</v>
      </c>
      <c r="V688" s="1" t="n">
        <v>65.18</v>
      </c>
      <c r="W688" s="1" t="s">
        <v>39</v>
      </c>
      <c r="Y688" s="1" t="s">
        <v>39</v>
      </c>
      <c r="Z688" s="1" t="n">
        <v>0</v>
      </c>
      <c r="AA688" s="1" t="str">
        <f aca="false">TRIM(PROPER(F688))</f>
        <v>Warangal</v>
      </c>
      <c r="AB688" s="1" t="str">
        <f aca="false">TRIM(PROPER(C688))</f>
        <v>Unacademy</v>
      </c>
      <c r="AC688" s="1" t="str">
        <f aca="false">IF(O688=0,"No Discount",IF(O688&lt;=15,"Low (1-15%)",IF(O688&lt;=30,"Medium (16-30%)","High (&gt;30%)")))</f>
        <v>Medium (16-30%)</v>
      </c>
      <c r="AD688" s="1" t="str">
        <f aca="false">IF(V688&lt;0,"Loss Making",IF(V688&lt;20,"Low Margin","Healthy Margin"))</f>
        <v>Healthy Margin</v>
      </c>
      <c r="AE688" s="1" t="str">
        <f aca="false">TEXT(DATE(VALUE(RIGHT(B688,4)),VALUE(MID(B688,4,2)),VALUE(LEFT(B688,2))),"MMM-YYYY")</f>
        <v>Feb-2023</v>
      </c>
      <c r="AF688" s="1" t="n">
        <f aca="false">VALUE(RIGHT(B688,4))</f>
        <v>2023</v>
      </c>
      <c r="AG688" s="1" t="str">
        <f aca="false">CHOOSE(ROUNDUP(VALUE(MID(B688,4,2))/3,0),"Q1","Q2","Q3","Q4")</f>
        <v>Q1</v>
      </c>
    </row>
    <row r="689" customFormat="false" ht="15" hidden="false" customHeight="true" outlineLevel="0" collapsed="false">
      <c r="A689" s="1" t="s">
        <v>1306</v>
      </c>
      <c r="B689" s="1" t="s">
        <v>397</v>
      </c>
      <c r="C689" s="1" t="s">
        <v>178</v>
      </c>
      <c r="D689" s="1" t="s">
        <v>80</v>
      </c>
      <c r="E689" s="1" t="s">
        <v>190</v>
      </c>
      <c r="F689" s="1" t="s">
        <v>75</v>
      </c>
      <c r="G689" s="1" t="s">
        <v>76</v>
      </c>
      <c r="H689" s="1" t="s">
        <v>69</v>
      </c>
      <c r="I689" s="1" t="s">
        <v>34</v>
      </c>
      <c r="J689" s="1" t="s">
        <v>131</v>
      </c>
      <c r="K689" s="1" t="s">
        <v>104</v>
      </c>
      <c r="L689" s="1" t="s">
        <v>37</v>
      </c>
      <c r="M689" s="1" t="s">
        <v>50</v>
      </c>
      <c r="N689" s="1" t="n">
        <v>15999</v>
      </c>
      <c r="O689" s="1" t="n">
        <v>15</v>
      </c>
      <c r="P689" s="1" t="n">
        <v>2399.85</v>
      </c>
      <c r="Q689" s="1" t="n">
        <v>13599.15</v>
      </c>
      <c r="R689" s="1" t="n">
        <v>2447.85</v>
      </c>
      <c r="S689" s="1" t="n">
        <v>11151.3</v>
      </c>
      <c r="T689" s="1" t="n">
        <v>4062.04</v>
      </c>
      <c r="U689" s="1" t="n">
        <v>7089.26</v>
      </c>
      <c r="V689" s="1" t="n">
        <v>63.57</v>
      </c>
      <c r="W689" s="1" t="s">
        <v>39</v>
      </c>
      <c r="X689" s="1" t="n">
        <v>4.2</v>
      </c>
      <c r="Y689" s="1" t="s">
        <v>40</v>
      </c>
      <c r="Z689" s="1" t="n">
        <v>0</v>
      </c>
      <c r="AA689" s="1" t="str">
        <f aca="false">TRIM(PROPER(F689))</f>
        <v>Kolkata</v>
      </c>
      <c r="AB689" s="1" t="str">
        <f aca="false">TRIM(PROPER(C689))</f>
        <v>Leverage Edu</v>
      </c>
      <c r="AC689" s="1" t="str">
        <f aca="false">IF(O689=0,"No Discount",IF(O689&lt;=15,"Low (1-15%)",IF(O689&lt;=30,"Medium (16-30%)","High (&gt;30%)")))</f>
        <v>Low (1-15%)</v>
      </c>
      <c r="AD689" s="1" t="str">
        <f aca="false">IF(V689&lt;0,"Loss Making",IF(V689&lt;20,"Low Margin","Healthy Margin"))</f>
        <v>Healthy Margin</v>
      </c>
      <c r="AE689" s="1" t="str">
        <f aca="false">TEXT(DATE(VALUE(RIGHT(B689,4)),VALUE(MID(B689,4,2)),VALUE(LEFT(B689,2))),"MMM-YYYY")</f>
        <v>Mar-2023</v>
      </c>
      <c r="AF689" s="1" t="n">
        <f aca="false">VALUE(RIGHT(B689,4))</f>
        <v>2023</v>
      </c>
      <c r="AG689" s="1" t="str">
        <f aca="false">CHOOSE(ROUNDUP(VALUE(MID(B689,4,2))/3,0),"Q1","Q2","Q3","Q4")</f>
        <v>Q1</v>
      </c>
    </row>
    <row r="690" customFormat="false" ht="15" hidden="false" customHeight="true" outlineLevel="0" collapsed="false">
      <c r="A690" s="1" t="s">
        <v>1307</v>
      </c>
      <c r="B690" s="1" t="s">
        <v>227</v>
      </c>
      <c r="C690" s="1" t="s">
        <v>167</v>
      </c>
      <c r="D690" s="1" t="s">
        <v>44</v>
      </c>
      <c r="E690" s="1" t="s">
        <v>221</v>
      </c>
      <c r="F690" s="1" t="s">
        <v>67</v>
      </c>
      <c r="G690" s="1" t="s">
        <v>68</v>
      </c>
      <c r="H690" s="1" t="s">
        <v>69</v>
      </c>
      <c r="I690" s="1" t="s">
        <v>83</v>
      </c>
      <c r="J690" s="1" t="s">
        <v>59</v>
      </c>
      <c r="K690" s="1" t="s">
        <v>60</v>
      </c>
      <c r="L690" s="1" t="s">
        <v>113</v>
      </c>
      <c r="M690" s="1" t="s">
        <v>50</v>
      </c>
      <c r="N690" s="1" t="n">
        <v>16999</v>
      </c>
      <c r="O690" s="1" t="n">
        <v>40</v>
      </c>
      <c r="P690" s="1" t="n">
        <v>6799.6</v>
      </c>
      <c r="Q690" s="1" t="n">
        <v>10199.4</v>
      </c>
      <c r="R690" s="1" t="n">
        <v>1835.89</v>
      </c>
      <c r="S690" s="1" t="n">
        <v>8363.51</v>
      </c>
      <c r="T690" s="1" t="n">
        <v>4109.43</v>
      </c>
      <c r="U690" s="1" t="n">
        <v>4254.08</v>
      </c>
      <c r="V690" s="1" t="n">
        <v>50.86</v>
      </c>
      <c r="W690" s="1" t="s">
        <v>39</v>
      </c>
      <c r="Y690" s="1" t="s">
        <v>40</v>
      </c>
      <c r="Z690" s="1" t="n">
        <v>0</v>
      </c>
      <c r="AA690" s="1" t="str">
        <f aca="false">TRIM(PROPER(F690))</f>
        <v>Ahmedabad</v>
      </c>
      <c r="AB690" s="1" t="str">
        <f aca="false">TRIM(PROPER(C690))</f>
        <v>Scaler</v>
      </c>
      <c r="AC690" s="1" t="str">
        <f aca="false">IF(O690=0,"No Discount",IF(O690&lt;=15,"Low (1-15%)",IF(O690&lt;=30,"Medium (16-30%)","High (&gt;30%)")))</f>
        <v>High (&gt;30%)</v>
      </c>
      <c r="AD690" s="1" t="str">
        <f aca="false">IF(V690&lt;0,"Loss Making",IF(V690&lt;20,"Low Margin","Healthy Margin"))</f>
        <v>Healthy Margin</v>
      </c>
      <c r="AE690" s="1" t="str">
        <f aca="false">TEXT(DATE(VALUE(RIGHT(B690,4)),VALUE(MID(B690,4,2)),VALUE(LEFT(B690,2))),"MMM-YYYY")</f>
        <v>Aug-2023</v>
      </c>
      <c r="AF690" s="1" t="n">
        <f aca="false">VALUE(RIGHT(B690,4))</f>
        <v>2023</v>
      </c>
      <c r="AG690" s="1" t="str">
        <f aca="false">CHOOSE(ROUNDUP(VALUE(MID(B690,4,2))/3,0),"Q1","Q2","Q3","Q4")</f>
        <v>Q3</v>
      </c>
    </row>
    <row r="691" customFormat="false" ht="15" hidden="false" customHeight="true" outlineLevel="0" collapsed="false">
      <c r="A691" s="1" t="s">
        <v>1308</v>
      </c>
      <c r="B691" s="1" t="s">
        <v>868</v>
      </c>
      <c r="C691" s="1" t="s">
        <v>74</v>
      </c>
      <c r="D691" s="1" t="s">
        <v>94</v>
      </c>
      <c r="E691" s="1" t="s">
        <v>135</v>
      </c>
      <c r="F691" s="1" t="s">
        <v>130</v>
      </c>
      <c r="G691" s="1" t="s">
        <v>47</v>
      </c>
      <c r="H691" s="1" t="s">
        <v>69</v>
      </c>
      <c r="I691" s="1" t="s">
        <v>34</v>
      </c>
      <c r="J691" s="1" t="s">
        <v>77</v>
      </c>
      <c r="K691" s="1" t="s">
        <v>60</v>
      </c>
      <c r="L691" s="1" t="s">
        <v>113</v>
      </c>
      <c r="M691" s="1" t="s">
        <v>50</v>
      </c>
      <c r="N691" s="1" t="n">
        <v>9999</v>
      </c>
      <c r="O691" s="1" t="n">
        <v>0</v>
      </c>
      <c r="P691" s="1" t="n">
        <v>0</v>
      </c>
      <c r="Q691" s="1" t="n">
        <v>9999</v>
      </c>
      <c r="R691" s="1" t="n">
        <v>1799.82</v>
      </c>
      <c r="S691" s="1" t="n">
        <v>8199.18</v>
      </c>
      <c r="T691" s="1" t="n">
        <v>3644.97</v>
      </c>
      <c r="U691" s="1" t="n">
        <v>4554.21</v>
      </c>
      <c r="V691" s="1" t="n">
        <v>55.54</v>
      </c>
      <c r="W691" s="1" t="s">
        <v>39</v>
      </c>
      <c r="X691" s="1" t="n">
        <v>2.7</v>
      </c>
      <c r="Y691" s="1" t="s">
        <v>40</v>
      </c>
      <c r="Z691" s="1" t="n">
        <v>0</v>
      </c>
      <c r="AA691" s="1" t="str">
        <f aca="false">TRIM(PROPER(F691))</f>
        <v>Bengaluru</v>
      </c>
      <c r="AB691" s="1" t="str">
        <f aca="false">TRIM(PROPER(C691))</f>
        <v>Vedantu</v>
      </c>
      <c r="AC691" s="1" t="str">
        <f aca="false">IF(O691=0,"No Discount",IF(O691&lt;=15,"Low (1-15%)",IF(O691&lt;=30,"Medium (16-30%)","High (&gt;30%)")))</f>
        <v>No Discount</v>
      </c>
      <c r="AD691" s="1" t="str">
        <f aca="false">IF(V691&lt;0,"Loss Making",IF(V691&lt;20,"Low Margin","Healthy Margin"))</f>
        <v>Healthy Margin</v>
      </c>
      <c r="AE691" s="1" t="str">
        <f aca="false">TEXT(DATE(VALUE(RIGHT(B691,4)),VALUE(MID(B691,4,2)),VALUE(LEFT(B691,2))),"MMM-YYYY")</f>
        <v>Mar-2024</v>
      </c>
      <c r="AF691" s="1" t="n">
        <f aca="false">VALUE(RIGHT(B691,4))</f>
        <v>2024</v>
      </c>
      <c r="AG691" s="1" t="str">
        <f aca="false">CHOOSE(ROUNDUP(VALUE(MID(B691,4,2))/3,0),"Q1","Q2","Q3","Q4")</f>
        <v>Q1</v>
      </c>
    </row>
    <row r="692" customFormat="false" ht="15" hidden="false" customHeight="true" outlineLevel="0" collapsed="false">
      <c r="A692" s="1" t="s">
        <v>1309</v>
      </c>
      <c r="B692" s="1" t="s">
        <v>1015</v>
      </c>
      <c r="C692" s="1" t="s">
        <v>178</v>
      </c>
      <c r="D692" s="1" t="s">
        <v>80</v>
      </c>
      <c r="E692" s="1" t="s">
        <v>175</v>
      </c>
      <c r="F692" s="1" t="s">
        <v>140</v>
      </c>
      <c r="G692" s="1" t="s">
        <v>97</v>
      </c>
      <c r="H692" s="1" t="s">
        <v>57</v>
      </c>
      <c r="I692" s="1" t="s">
        <v>34</v>
      </c>
      <c r="J692" s="1" t="s">
        <v>59</v>
      </c>
      <c r="K692" s="1" t="s">
        <v>104</v>
      </c>
      <c r="L692" s="1" t="s">
        <v>49</v>
      </c>
      <c r="M692" s="1" t="s">
        <v>62</v>
      </c>
      <c r="N692" s="1" t="n">
        <v>19999</v>
      </c>
      <c r="O692" s="1" t="n">
        <v>25</v>
      </c>
      <c r="P692" s="1" t="n">
        <v>4999.75</v>
      </c>
      <c r="Q692" s="1" t="n">
        <v>14999.25</v>
      </c>
      <c r="R692" s="1" t="n">
        <v>2699.86</v>
      </c>
      <c r="S692" s="1" t="n">
        <v>12299.39</v>
      </c>
      <c r="T692" s="1" t="n">
        <v>5196.76</v>
      </c>
      <c r="U692" s="1" t="n">
        <v>7102.63</v>
      </c>
      <c r="V692" s="1" t="n">
        <v>57.75</v>
      </c>
      <c r="W692" s="1" t="s">
        <v>39</v>
      </c>
      <c r="X692" s="1" t="n">
        <v>3.8</v>
      </c>
      <c r="Y692" s="1" t="s">
        <v>40</v>
      </c>
      <c r="Z692" s="1" t="n">
        <v>0</v>
      </c>
      <c r="AA692" s="1" t="str">
        <f aca="false">TRIM(PROPER(F692))</f>
        <v>Nashik</v>
      </c>
      <c r="AB692" s="1" t="str">
        <f aca="false">TRIM(PROPER(C692))</f>
        <v>Leverage Edu</v>
      </c>
      <c r="AC692" s="1" t="str">
        <f aca="false">IF(O692=0,"No Discount",IF(O692&lt;=15,"Low (1-15%)",IF(O692&lt;=30,"Medium (16-30%)","High (&gt;30%)")))</f>
        <v>Medium (16-30%)</v>
      </c>
      <c r="AD692" s="1" t="str">
        <f aca="false">IF(V692&lt;0,"Loss Making",IF(V692&lt;20,"Low Margin","Healthy Margin"))</f>
        <v>Healthy Margin</v>
      </c>
      <c r="AE692" s="1" t="str">
        <f aca="false">TEXT(DATE(VALUE(RIGHT(B692,4)),VALUE(MID(B692,4,2)),VALUE(LEFT(B692,2))),"MMM-YYYY")</f>
        <v>Jun-2024</v>
      </c>
      <c r="AF692" s="1" t="n">
        <f aca="false">VALUE(RIGHT(B692,4))</f>
        <v>2024</v>
      </c>
      <c r="AG692" s="1" t="str">
        <f aca="false">CHOOSE(ROUNDUP(VALUE(MID(B692,4,2))/3,0),"Q1","Q2","Q3","Q4")</f>
        <v>Q2</v>
      </c>
    </row>
    <row r="693" customFormat="false" ht="15" hidden="false" customHeight="true" outlineLevel="0" collapsed="false">
      <c r="A693" s="1" t="s">
        <v>1310</v>
      </c>
      <c r="B693" s="1" t="s">
        <v>1311</v>
      </c>
      <c r="C693" s="1" t="s">
        <v>139</v>
      </c>
      <c r="D693" s="1" t="s">
        <v>143</v>
      </c>
      <c r="E693" s="1" t="s">
        <v>144</v>
      </c>
      <c r="F693" s="1" t="s">
        <v>130</v>
      </c>
      <c r="G693" s="1" t="s">
        <v>47</v>
      </c>
      <c r="H693" s="1" t="s">
        <v>69</v>
      </c>
      <c r="I693" s="1" t="s">
        <v>58</v>
      </c>
      <c r="J693" s="1" t="s">
        <v>35</v>
      </c>
      <c r="K693" s="1" t="s">
        <v>90</v>
      </c>
      <c r="L693" s="1" t="s">
        <v>113</v>
      </c>
      <c r="M693" s="1" t="s">
        <v>38</v>
      </c>
      <c r="N693" s="1" t="n">
        <v>12999</v>
      </c>
      <c r="O693" s="1" t="n">
        <v>50</v>
      </c>
      <c r="P693" s="1" t="n">
        <v>6499.5</v>
      </c>
      <c r="Q693" s="1" t="n">
        <v>6499.5</v>
      </c>
      <c r="R693" s="1" t="n">
        <v>1169.91</v>
      </c>
      <c r="S693" s="1" t="n">
        <v>5329.59</v>
      </c>
      <c r="T693" s="1" t="n">
        <v>2925.73</v>
      </c>
      <c r="U693" s="1" t="n">
        <v>2403.86</v>
      </c>
      <c r="V693" s="1" t="n">
        <v>45.1</v>
      </c>
      <c r="W693" s="1" t="s">
        <v>40</v>
      </c>
      <c r="Y693" s="1" t="s">
        <v>39</v>
      </c>
      <c r="Z693" s="1" t="n">
        <v>0</v>
      </c>
      <c r="AA693" s="1" t="str">
        <f aca="false">TRIM(PROPER(F693))</f>
        <v>Bengaluru</v>
      </c>
      <c r="AB693" s="1" t="str">
        <f aca="false">TRIM(PROPER(C693))</f>
        <v>Extramarks</v>
      </c>
      <c r="AC693" s="1" t="str">
        <f aca="false">IF(O693=0,"No Discount",IF(O693&lt;=15,"Low (1-15%)",IF(O693&lt;=30,"Medium (16-30%)","High (&gt;30%)")))</f>
        <v>High (&gt;30%)</v>
      </c>
      <c r="AD693" s="1" t="str">
        <f aca="false">IF(V693&lt;0,"Loss Making",IF(V693&lt;20,"Low Margin","Healthy Margin"))</f>
        <v>Healthy Margin</v>
      </c>
      <c r="AE693" s="1" t="str">
        <f aca="false">TEXT(DATE(VALUE(RIGHT(B693,4)),VALUE(MID(B693,4,2)),VALUE(LEFT(B693,2))),"MMM-YYYY")</f>
        <v>Mar-2024</v>
      </c>
      <c r="AF693" s="1" t="n">
        <f aca="false">VALUE(RIGHT(B693,4))</f>
        <v>2024</v>
      </c>
      <c r="AG693" s="1" t="str">
        <f aca="false">CHOOSE(ROUNDUP(VALUE(MID(B693,4,2))/3,0),"Q1","Q2","Q3","Q4")</f>
        <v>Q1</v>
      </c>
    </row>
    <row r="694" customFormat="false" ht="15" hidden="false" customHeight="true" outlineLevel="0" collapsed="false">
      <c r="A694" s="1" t="s">
        <v>1312</v>
      </c>
      <c r="B694" s="1" t="s">
        <v>1313</v>
      </c>
      <c r="C694" s="1" t="s">
        <v>93</v>
      </c>
      <c r="D694" s="1" t="s">
        <v>94</v>
      </c>
      <c r="E694" s="1" t="s">
        <v>101</v>
      </c>
      <c r="F694" s="1" t="s">
        <v>67</v>
      </c>
      <c r="G694" s="1" t="s">
        <v>68</v>
      </c>
      <c r="H694" s="1" t="s">
        <v>69</v>
      </c>
      <c r="I694" s="1" t="s">
        <v>83</v>
      </c>
      <c r="J694" s="1" t="s">
        <v>77</v>
      </c>
      <c r="K694" s="1" t="s">
        <v>36</v>
      </c>
      <c r="L694" s="1" t="s">
        <v>136</v>
      </c>
      <c r="M694" s="1" t="s">
        <v>50</v>
      </c>
      <c r="N694" s="1" t="n">
        <v>14999</v>
      </c>
      <c r="O694" s="1" t="n">
        <v>50</v>
      </c>
      <c r="P694" s="1" t="n">
        <v>7499.5</v>
      </c>
      <c r="Q694" s="1" t="n">
        <v>7499.5</v>
      </c>
      <c r="R694" s="1" t="n">
        <v>1349.91</v>
      </c>
      <c r="S694" s="1" t="n">
        <v>6149.59</v>
      </c>
      <c r="T694" s="1" t="n">
        <v>3282.5</v>
      </c>
      <c r="U694" s="1" t="n">
        <v>2867.09</v>
      </c>
      <c r="V694" s="1" t="n">
        <v>46.62</v>
      </c>
      <c r="W694" s="1" t="s">
        <v>39</v>
      </c>
      <c r="X694" s="1" t="n">
        <v>4.5</v>
      </c>
      <c r="Y694" s="1" t="s">
        <v>40</v>
      </c>
      <c r="Z694" s="1" t="n">
        <v>1</v>
      </c>
      <c r="AA694" s="1" t="str">
        <f aca="false">TRIM(PROPER(F694))</f>
        <v>Ahmedabad</v>
      </c>
      <c r="AB694" s="1" t="str">
        <f aca="false">TRIM(PROPER(C694))</f>
        <v>Upgrad</v>
      </c>
      <c r="AC694" s="1" t="str">
        <f aca="false">IF(O694=0,"No Discount",IF(O694&lt;=15,"Low (1-15%)",IF(O694&lt;=30,"Medium (16-30%)","High (&gt;30%)")))</f>
        <v>High (&gt;30%)</v>
      </c>
      <c r="AD694" s="1" t="str">
        <f aca="false">IF(V694&lt;0,"Loss Making",IF(V694&lt;20,"Low Margin","Healthy Margin"))</f>
        <v>Healthy Margin</v>
      </c>
      <c r="AE694" s="1" t="str">
        <f aca="false">TEXT(DATE(VALUE(RIGHT(B694,4)),VALUE(MID(B694,4,2)),VALUE(LEFT(B694,2))),"MMM-YYYY")</f>
        <v>Dec-2024</v>
      </c>
      <c r="AF694" s="1" t="n">
        <f aca="false">VALUE(RIGHT(B694,4))</f>
        <v>2024</v>
      </c>
      <c r="AG694" s="1" t="str">
        <f aca="false">CHOOSE(ROUNDUP(VALUE(MID(B694,4,2))/3,0),"Q1","Q2","Q3","Q4")</f>
        <v>Q4</v>
      </c>
    </row>
    <row r="695" customFormat="false" ht="15" hidden="false" customHeight="true" outlineLevel="0" collapsed="false">
      <c r="A695" s="1" t="s">
        <v>1314</v>
      </c>
      <c r="B695" s="1" t="s">
        <v>27</v>
      </c>
      <c r="C695" s="1" t="s">
        <v>65</v>
      </c>
      <c r="D695" s="1" t="s">
        <v>80</v>
      </c>
      <c r="E695" s="1" t="s">
        <v>190</v>
      </c>
      <c r="F695" s="1" t="s">
        <v>89</v>
      </c>
      <c r="G695" s="1" t="s">
        <v>68</v>
      </c>
      <c r="H695" s="1" t="s">
        <v>33</v>
      </c>
      <c r="I695" s="1" t="s">
        <v>58</v>
      </c>
      <c r="J695" s="1" t="s">
        <v>59</v>
      </c>
      <c r="K695" s="1" t="s">
        <v>60</v>
      </c>
      <c r="L695" s="1" t="s">
        <v>113</v>
      </c>
      <c r="M695" s="1" t="s">
        <v>50</v>
      </c>
      <c r="N695" s="1" t="n">
        <v>15999</v>
      </c>
      <c r="O695" s="1" t="n">
        <v>15</v>
      </c>
      <c r="P695" s="1" t="n">
        <v>2399.85</v>
      </c>
      <c r="Q695" s="1" t="n">
        <v>13599.15</v>
      </c>
      <c r="R695" s="1" t="n">
        <v>2447.85</v>
      </c>
      <c r="S695" s="1" t="n">
        <v>11151.3</v>
      </c>
      <c r="T695" s="1" t="n">
        <v>4703.96</v>
      </c>
      <c r="U695" s="1" t="n">
        <v>6447.34</v>
      </c>
      <c r="V695" s="1" t="n">
        <v>57.82</v>
      </c>
      <c r="W695" s="1" t="s">
        <v>39</v>
      </c>
      <c r="X695" s="1" t="n">
        <v>4.2</v>
      </c>
      <c r="Y695" s="1" t="s">
        <v>40</v>
      </c>
      <c r="Z695" s="1" t="n">
        <v>0</v>
      </c>
      <c r="AA695" s="1" t="str">
        <f aca="false">TRIM(PROPER(F695))</f>
        <v>Vadodara</v>
      </c>
      <c r="AB695" s="1" t="str">
        <f aca="false">TRIM(PROPER(C695))</f>
        <v>Toppr</v>
      </c>
      <c r="AC695" s="1" t="str">
        <f aca="false">IF(O695=0,"No Discount",IF(O695&lt;=15,"Low (1-15%)",IF(O695&lt;=30,"Medium (16-30%)","High (&gt;30%)")))</f>
        <v>Low (1-15%)</v>
      </c>
      <c r="AD695" s="1" t="str">
        <f aca="false">IF(V695&lt;0,"Loss Making",IF(V695&lt;20,"Low Margin","Healthy Margin"))</f>
        <v>Healthy Margin</v>
      </c>
      <c r="AE695" s="1" t="str">
        <f aca="false">TEXT(DATE(VALUE(RIGHT(B695,4)),VALUE(MID(B695,4,2)),VALUE(LEFT(B695,2))),"MMM-YYYY")</f>
        <v>Nov-2023</v>
      </c>
      <c r="AF695" s="1" t="n">
        <f aca="false">VALUE(RIGHT(B695,4))</f>
        <v>2023</v>
      </c>
      <c r="AG695" s="1" t="str">
        <f aca="false">CHOOSE(ROUNDUP(VALUE(MID(B695,4,2))/3,0),"Q1","Q2","Q3","Q4")</f>
        <v>Q4</v>
      </c>
    </row>
    <row r="696" customFormat="false" ht="15" hidden="false" customHeight="true" outlineLevel="0" collapsed="false">
      <c r="A696" s="1" t="s">
        <v>1315</v>
      </c>
      <c r="B696" s="1" t="s">
        <v>1316</v>
      </c>
      <c r="C696" s="1" t="s">
        <v>43</v>
      </c>
      <c r="D696" s="1" t="s">
        <v>44</v>
      </c>
      <c r="E696" s="1" t="s">
        <v>66</v>
      </c>
      <c r="F696" s="1" t="s">
        <v>156</v>
      </c>
      <c r="G696" s="1" t="s">
        <v>68</v>
      </c>
      <c r="H696" s="1" t="s">
        <v>57</v>
      </c>
      <c r="I696" s="1" t="s">
        <v>58</v>
      </c>
      <c r="J696" s="1" t="s">
        <v>131</v>
      </c>
      <c r="K696" s="1" t="s">
        <v>71</v>
      </c>
      <c r="L696" s="1" t="s">
        <v>113</v>
      </c>
      <c r="M696" s="1" t="s">
        <v>38</v>
      </c>
      <c r="N696" s="1" t="n">
        <v>12999</v>
      </c>
      <c r="O696" s="1" t="n">
        <v>50</v>
      </c>
      <c r="P696" s="1" t="n">
        <v>6499.5</v>
      </c>
      <c r="Q696" s="1" t="n">
        <v>6499.5</v>
      </c>
      <c r="R696" s="1" t="n">
        <v>1169.91</v>
      </c>
      <c r="S696" s="1" t="n">
        <v>5329.59</v>
      </c>
      <c r="T696" s="1" t="n">
        <v>3010.76</v>
      </c>
      <c r="U696" s="1" t="n">
        <v>2318.83</v>
      </c>
      <c r="V696" s="1" t="n">
        <v>43.51</v>
      </c>
      <c r="W696" s="1" t="s">
        <v>40</v>
      </c>
      <c r="Y696" s="1" t="s">
        <v>40</v>
      </c>
      <c r="Z696" s="1" t="n">
        <v>1</v>
      </c>
      <c r="AA696" s="1" t="str">
        <f aca="false">TRIM(PROPER(F696))</f>
        <v>Surat</v>
      </c>
      <c r="AB696" s="1" t="str">
        <f aca="false">TRIM(PROPER(C696))</f>
        <v>Meritnation</v>
      </c>
      <c r="AC696" s="1" t="str">
        <f aca="false">IF(O696=0,"No Discount",IF(O696&lt;=15,"Low (1-15%)",IF(O696&lt;=30,"Medium (16-30%)","High (&gt;30%)")))</f>
        <v>High (&gt;30%)</v>
      </c>
      <c r="AD696" s="1" t="str">
        <f aca="false">IF(V696&lt;0,"Loss Making",IF(V696&lt;20,"Low Margin","Healthy Margin"))</f>
        <v>Healthy Margin</v>
      </c>
      <c r="AE696" s="1" t="str">
        <f aca="false">TEXT(DATE(VALUE(RIGHT(B696,4)),VALUE(MID(B696,4,2)),VALUE(LEFT(B696,2))),"MMM-YYYY")</f>
        <v>Jun-2023</v>
      </c>
      <c r="AF696" s="1" t="n">
        <f aca="false">VALUE(RIGHT(B696,4))</f>
        <v>2023</v>
      </c>
      <c r="AG696" s="1" t="str">
        <f aca="false">CHOOSE(ROUNDUP(VALUE(MID(B696,4,2))/3,0),"Q1","Q2","Q3","Q4")</f>
        <v>Q2</v>
      </c>
    </row>
    <row r="697" customFormat="false" ht="15" hidden="false" customHeight="true" outlineLevel="0" collapsed="false">
      <c r="A697" s="1" t="s">
        <v>1317</v>
      </c>
      <c r="B697" s="1" t="s">
        <v>1318</v>
      </c>
      <c r="C697" s="1" t="s">
        <v>43</v>
      </c>
      <c r="D697" s="1" t="s">
        <v>53</v>
      </c>
      <c r="E697" s="1" t="s">
        <v>116</v>
      </c>
      <c r="F697" s="1" t="s">
        <v>205</v>
      </c>
      <c r="G697" s="1" t="s">
        <v>56</v>
      </c>
      <c r="H697" s="1" t="s">
        <v>69</v>
      </c>
      <c r="I697" s="1" t="s">
        <v>83</v>
      </c>
      <c r="J697" s="1" t="s">
        <v>77</v>
      </c>
      <c r="K697" s="1" t="s">
        <v>112</v>
      </c>
      <c r="L697" s="1" t="s">
        <v>61</v>
      </c>
      <c r="M697" s="1" t="s">
        <v>38</v>
      </c>
      <c r="N697" s="1" t="n">
        <v>9999</v>
      </c>
      <c r="O697" s="1" t="n">
        <v>0</v>
      </c>
      <c r="P697" s="1" t="n">
        <v>0</v>
      </c>
      <c r="Q697" s="1" t="n">
        <v>9999</v>
      </c>
      <c r="R697" s="1" t="n">
        <v>1799.82</v>
      </c>
      <c r="S697" s="1" t="n">
        <v>8199.18</v>
      </c>
      <c r="T697" s="1" t="n">
        <v>3042.82</v>
      </c>
      <c r="U697" s="1" t="n">
        <v>5156.36</v>
      </c>
      <c r="V697" s="1" t="n">
        <v>62.89</v>
      </c>
      <c r="W697" s="1" t="s">
        <v>39</v>
      </c>
      <c r="X697" s="1" t="n">
        <v>3.6</v>
      </c>
      <c r="Y697" s="1" t="s">
        <v>40</v>
      </c>
      <c r="Z697" s="1" t="n">
        <v>0</v>
      </c>
      <c r="AA697" s="1" t="str">
        <f aca="false">TRIM(PROPER(F697))</f>
        <v>New Delhi</v>
      </c>
      <c r="AB697" s="1" t="str">
        <f aca="false">TRIM(PROPER(C697))</f>
        <v>Meritnation</v>
      </c>
      <c r="AC697" s="1" t="str">
        <f aca="false">IF(O697=0,"No Discount",IF(O697&lt;=15,"Low (1-15%)",IF(O697&lt;=30,"Medium (16-30%)","High (&gt;30%)")))</f>
        <v>No Discount</v>
      </c>
      <c r="AD697" s="1" t="str">
        <f aca="false">IF(V697&lt;0,"Loss Making",IF(V697&lt;20,"Low Margin","Healthy Margin"))</f>
        <v>Healthy Margin</v>
      </c>
      <c r="AE697" s="1" t="str">
        <f aca="false">TEXT(DATE(VALUE(RIGHT(B697,4)),VALUE(MID(B697,4,2)),VALUE(LEFT(B697,2))),"MMM-YYYY")</f>
        <v>Mar-2024</v>
      </c>
      <c r="AF697" s="1" t="n">
        <f aca="false">VALUE(RIGHT(B697,4))</f>
        <v>2024</v>
      </c>
      <c r="AG697" s="1" t="str">
        <f aca="false">CHOOSE(ROUNDUP(VALUE(MID(B697,4,2))/3,0),"Q1","Q2","Q3","Q4")</f>
        <v>Q1</v>
      </c>
    </row>
    <row r="698" customFormat="false" ht="15" hidden="false" customHeight="true" outlineLevel="0" collapsed="false">
      <c r="A698" s="1" t="s">
        <v>1319</v>
      </c>
      <c r="B698" s="1" t="s">
        <v>239</v>
      </c>
      <c r="C698" s="1" t="s">
        <v>100</v>
      </c>
      <c r="D698" s="1" t="s">
        <v>94</v>
      </c>
      <c r="E698" s="1" t="s">
        <v>135</v>
      </c>
      <c r="F698" s="1" t="s">
        <v>75</v>
      </c>
      <c r="G698" s="1" t="s">
        <v>76</v>
      </c>
      <c r="H698" s="1" t="s">
        <v>69</v>
      </c>
      <c r="I698" s="1" t="s">
        <v>58</v>
      </c>
      <c r="J698" s="1" t="s">
        <v>131</v>
      </c>
      <c r="K698" s="1" t="s">
        <v>112</v>
      </c>
      <c r="L698" s="1" t="s">
        <v>113</v>
      </c>
      <c r="M698" s="1" t="s">
        <v>38</v>
      </c>
      <c r="N698" s="1" t="n">
        <v>9999</v>
      </c>
      <c r="O698" s="1" t="n">
        <v>30</v>
      </c>
      <c r="P698" s="1" t="n">
        <v>2999.7</v>
      </c>
      <c r="Q698" s="1" t="n">
        <v>6999.3</v>
      </c>
      <c r="R698" s="1" t="n">
        <v>1259.87</v>
      </c>
      <c r="S698" s="1" t="n">
        <v>5739.43</v>
      </c>
      <c r="T698" s="1" t="n">
        <v>2668.99</v>
      </c>
      <c r="U698" s="1" t="n">
        <v>3070.44</v>
      </c>
      <c r="V698" s="1" t="n">
        <v>53.5</v>
      </c>
      <c r="W698" s="1" t="s">
        <v>40</v>
      </c>
      <c r="Y698" s="1" t="s">
        <v>40</v>
      </c>
      <c r="Z698" s="1" t="n">
        <v>0</v>
      </c>
      <c r="AA698" s="1" t="str">
        <f aca="false">TRIM(PROPER(F698))</f>
        <v>Kolkata</v>
      </c>
      <c r="AB698" s="1" t="str">
        <f aca="false">TRIM(PROPER(C698))</f>
        <v>Physics Wallah</v>
      </c>
      <c r="AC698" s="1" t="str">
        <f aca="false">IF(O698=0,"No Discount",IF(O698&lt;=15,"Low (1-15%)",IF(O698&lt;=30,"Medium (16-30%)","High (&gt;30%)")))</f>
        <v>Medium (16-30%)</v>
      </c>
      <c r="AD698" s="1" t="str">
        <f aca="false">IF(V698&lt;0,"Loss Making",IF(V698&lt;20,"Low Margin","Healthy Margin"))</f>
        <v>Healthy Margin</v>
      </c>
      <c r="AE698" s="1" t="str">
        <f aca="false">TEXT(DATE(VALUE(RIGHT(B698,4)),VALUE(MID(B698,4,2)),VALUE(LEFT(B698,2))),"MMM-YYYY")</f>
        <v>Oct-2024</v>
      </c>
      <c r="AF698" s="1" t="n">
        <f aca="false">VALUE(RIGHT(B698,4))</f>
        <v>2024</v>
      </c>
      <c r="AG698" s="1" t="str">
        <f aca="false">CHOOSE(ROUNDUP(VALUE(MID(B698,4,2))/3,0),"Q1","Q2","Q3","Q4")</f>
        <v>Q4</v>
      </c>
    </row>
    <row r="699" customFormat="false" ht="15" hidden="false" customHeight="true" outlineLevel="0" collapsed="false">
      <c r="A699" s="1" t="s">
        <v>1320</v>
      </c>
      <c r="B699" s="1" t="s">
        <v>990</v>
      </c>
      <c r="C699" s="1" t="s">
        <v>167</v>
      </c>
      <c r="D699" s="1" t="s">
        <v>29</v>
      </c>
      <c r="E699" s="1" t="s">
        <v>305</v>
      </c>
      <c r="F699" s="1" t="s">
        <v>89</v>
      </c>
      <c r="G699" s="1" t="s">
        <v>68</v>
      </c>
      <c r="H699" s="1" t="s">
        <v>33</v>
      </c>
      <c r="I699" s="1" t="s">
        <v>58</v>
      </c>
      <c r="J699" s="1" t="s">
        <v>70</v>
      </c>
      <c r="K699" s="1" t="s">
        <v>112</v>
      </c>
      <c r="L699" s="1" t="s">
        <v>136</v>
      </c>
      <c r="M699" s="1" t="s">
        <v>38</v>
      </c>
      <c r="N699" s="1" t="n">
        <v>24999</v>
      </c>
      <c r="O699" s="1" t="n">
        <v>0</v>
      </c>
      <c r="P699" s="1" t="n">
        <v>0</v>
      </c>
      <c r="Q699" s="1" t="n">
        <v>24999</v>
      </c>
      <c r="R699" s="1" t="n">
        <v>4499.82</v>
      </c>
      <c r="S699" s="1" t="n">
        <v>20499.18</v>
      </c>
      <c r="T699" s="1" t="n">
        <v>9871.25</v>
      </c>
      <c r="U699" s="1" t="n">
        <v>10627.93</v>
      </c>
      <c r="V699" s="1" t="n">
        <v>51.85</v>
      </c>
      <c r="W699" s="1" t="s">
        <v>40</v>
      </c>
      <c r="Y699" s="1" t="s">
        <v>40</v>
      </c>
      <c r="Z699" s="1" t="n">
        <v>0</v>
      </c>
      <c r="AA699" s="1" t="str">
        <f aca="false">TRIM(PROPER(F699))</f>
        <v>Vadodara</v>
      </c>
      <c r="AB699" s="1" t="str">
        <f aca="false">TRIM(PROPER(C699))</f>
        <v>Scaler</v>
      </c>
      <c r="AC699" s="1" t="str">
        <f aca="false">IF(O699=0,"No Discount",IF(O699&lt;=15,"Low (1-15%)",IF(O699&lt;=30,"Medium (16-30%)","High (&gt;30%)")))</f>
        <v>No Discount</v>
      </c>
      <c r="AD699" s="1" t="str">
        <f aca="false">IF(V699&lt;0,"Loss Making",IF(V699&lt;20,"Low Margin","Healthy Margin"))</f>
        <v>Healthy Margin</v>
      </c>
      <c r="AE699" s="1" t="str">
        <f aca="false">TEXT(DATE(VALUE(RIGHT(B699,4)),VALUE(MID(B699,4,2)),VALUE(LEFT(B699,2))),"MMM-YYYY")</f>
        <v>Dec-2024</v>
      </c>
      <c r="AF699" s="1" t="n">
        <f aca="false">VALUE(RIGHT(B699,4))</f>
        <v>2024</v>
      </c>
      <c r="AG699" s="1" t="str">
        <f aca="false">CHOOSE(ROUNDUP(VALUE(MID(B699,4,2))/3,0),"Q1","Q2","Q3","Q4")</f>
        <v>Q4</v>
      </c>
    </row>
    <row r="700" customFormat="false" ht="15" hidden="false" customHeight="true" outlineLevel="0" collapsed="false">
      <c r="A700" s="1" t="s">
        <v>1321</v>
      </c>
      <c r="B700" s="1" t="s">
        <v>1322</v>
      </c>
      <c r="C700" s="1" t="s">
        <v>167</v>
      </c>
      <c r="D700" s="1" t="s">
        <v>29</v>
      </c>
      <c r="E700" s="1" t="s">
        <v>30</v>
      </c>
      <c r="F700" s="1" t="s">
        <v>89</v>
      </c>
      <c r="G700" s="1" t="s">
        <v>68</v>
      </c>
      <c r="H700" s="1" t="s">
        <v>33</v>
      </c>
      <c r="I700" s="1" t="s">
        <v>58</v>
      </c>
      <c r="J700" s="1" t="s">
        <v>59</v>
      </c>
      <c r="K700" s="1" t="s">
        <v>60</v>
      </c>
      <c r="L700" s="1" t="s">
        <v>61</v>
      </c>
      <c r="M700" s="1" t="s">
        <v>38</v>
      </c>
      <c r="N700" s="1" t="n">
        <v>7999</v>
      </c>
      <c r="O700" s="1" t="n">
        <v>40</v>
      </c>
      <c r="P700" s="1" t="n">
        <v>3199.6</v>
      </c>
      <c r="Q700" s="1" t="n">
        <v>4799.4</v>
      </c>
      <c r="R700" s="1" t="n">
        <v>863.89</v>
      </c>
      <c r="S700" s="1" t="n">
        <v>3935.51</v>
      </c>
      <c r="T700" s="1" t="n">
        <v>1701.5</v>
      </c>
      <c r="U700" s="1" t="n">
        <v>2234.01</v>
      </c>
      <c r="V700" s="1" t="n">
        <v>56.77</v>
      </c>
      <c r="W700" s="1" t="s">
        <v>40</v>
      </c>
      <c r="Y700" s="1" t="s">
        <v>40</v>
      </c>
      <c r="Z700" s="1" t="n">
        <v>1</v>
      </c>
      <c r="AA700" s="1" t="str">
        <f aca="false">TRIM(PROPER(F700))</f>
        <v>Vadodara</v>
      </c>
      <c r="AB700" s="1" t="str">
        <f aca="false">TRIM(PROPER(C700))</f>
        <v>Scaler</v>
      </c>
      <c r="AC700" s="1" t="str">
        <f aca="false">IF(O700=0,"No Discount",IF(O700&lt;=15,"Low (1-15%)",IF(O700&lt;=30,"Medium (16-30%)","High (&gt;30%)")))</f>
        <v>High (&gt;30%)</v>
      </c>
      <c r="AD700" s="1" t="str">
        <f aca="false">IF(V700&lt;0,"Loss Making",IF(V700&lt;20,"Low Margin","Healthy Margin"))</f>
        <v>Healthy Margin</v>
      </c>
      <c r="AE700" s="1" t="str">
        <f aca="false">TEXT(DATE(VALUE(RIGHT(B700,4)),VALUE(MID(B700,4,2)),VALUE(LEFT(B700,2))),"MMM-YYYY")</f>
        <v>Feb-2024</v>
      </c>
      <c r="AF700" s="1" t="n">
        <f aca="false">VALUE(RIGHT(B700,4))</f>
        <v>2024</v>
      </c>
      <c r="AG700" s="1" t="str">
        <f aca="false">CHOOSE(ROUNDUP(VALUE(MID(B700,4,2))/3,0),"Q1","Q2","Q3","Q4")</f>
        <v>Q1</v>
      </c>
    </row>
    <row r="701" customFormat="false" ht="15" hidden="false" customHeight="true" outlineLevel="0" collapsed="false">
      <c r="A701" s="1" t="s">
        <v>1323</v>
      </c>
      <c r="B701" s="1" t="s">
        <v>201</v>
      </c>
      <c r="C701" s="1" t="s">
        <v>43</v>
      </c>
      <c r="D701" s="1" t="s">
        <v>94</v>
      </c>
      <c r="E701" s="1" t="s">
        <v>101</v>
      </c>
      <c r="F701" s="1" t="s">
        <v>285</v>
      </c>
      <c r="G701" s="1" t="s">
        <v>47</v>
      </c>
      <c r="H701" s="1" t="s">
        <v>33</v>
      </c>
      <c r="I701" s="1" t="s">
        <v>34</v>
      </c>
      <c r="J701" s="1" t="s">
        <v>59</v>
      </c>
      <c r="K701" s="1" t="s">
        <v>104</v>
      </c>
      <c r="L701" s="1" t="s">
        <v>49</v>
      </c>
      <c r="M701" s="1" t="s">
        <v>38</v>
      </c>
      <c r="N701" s="1" t="n">
        <v>14999</v>
      </c>
      <c r="O701" s="1" t="n">
        <v>40</v>
      </c>
      <c r="P701" s="1" t="n">
        <v>5999.6</v>
      </c>
      <c r="Q701" s="1" t="n">
        <v>8999.4</v>
      </c>
      <c r="R701" s="1" t="n">
        <v>1619.89</v>
      </c>
      <c r="S701" s="1" t="n">
        <v>7379.51</v>
      </c>
      <c r="T701" s="1" t="n">
        <v>4858.39</v>
      </c>
      <c r="U701" s="1" t="n">
        <v>2521.12</v>
      </c>
      <c r="V701" s="1" t="n">
        <v>34.16</v>
      </c>
      <c r="W701" s="1" t="s">
        <v>39</v>
      </c>
      <c r="X701" s="1" t="n">
        <v>4.2</v>
      </c>
      <c r="Y701" s="1" t="s">
        <v>40</v>
      </c>
      <c r="Z701" s="1" t="n">
        <v>1</v>
      </c>
      <c r="AA701" s="1" t="str">
        <f aca="false">TRIM(PROPER(F701))</f>
        <v>Mangaluru</v>
      </c>
      <c r="AB701" s="1" t="str">
        <f aca="false">TRIM(PROPER(C701))</f>
        <v>Meritnation</v>
      </c>
      <c r="AC701" s="1" t="str">
        <f aca="false">IF(O701=0,"No Discount",IF(O701&lt;=15,"Low (1-15%)",IF(O701&lt;=30,"Medium (16-30%)","High (&gt;30%)")))</f>
        <v>High (&gt;30%)</v>
      </c>
      <c r="AD701" s="1" t="str">
        <f aca="false">IF(V701&lt;0,"Loss Making",IF(V701&lt;20,"Low Margin","Healthy Margin"))</f>
        <v>Healthy Margin</v>
      </c>
      <c r="AE701" s="1" t="str">
        <f aca="false">TEXT(DATE(VALUE(RIGHT(B701,4)),VALUE(MID(B701,4,2)),VALUE(LEFT(B701,2))),"MMM-YYYY")</f>
        <v>Aug-2024</v>
      </c>
      <c r="AF701" s="1" t="n">
        <f aca="false">VALUE(RIGHT(B701,4))</f>
        <v>2024</v>
      </c>
      <c r="AG701" s="1" t="str">
        <f aca="false">CHOOSE(ROUNDUP(VALUE(MID(B701,4,2))/3,0),"Q1","Q2","Q3","Q4")</f>
        <v>Q3</v>
      </c>
    </row>
    <row r="702" customFormat="false" ht="15" hidden="false" customHeight="true" outlineLevel="0" collapsed="false">
      <c r="A702" s="1" t="s">
        <v>1324</v>
      </c>
      <c r="B702" s="1" t="s">
        <v>992</v>
      </c>
      <c r="C702" s="1" t="s">
        <v>88</v>
      </c>
      <c r="D702" s="1" t="s">
        <v>29</v>
      </c>
      <c r="E702" s="1" t="s">
        <v>182</v>
      </c>
      <c r="F702" s="1" t="s">
        <v>244</v>
      </c>
      <c r="G702" s="1" t="s">
        <v>97</v>
      </c>
      <c r="H702" s="1" t="s">
        <v>57</v>
      </c>
      <c r="I702" s="1" t="s">
        <v>34</v>
      </c>
      <c r="J702" s="1" t="s">
        <v>59</v>
      </c>
      <c r="K702" s="1" t="s">
        <v>48</v>
      </c>
      <c r="L702" s="1" t="s">
        <v>113</v>
      </c>
      <c r="M702" s="1" t="s">
        <v>38</v>
      </c>
      <c r="N702" s="1" t="n">
        <v>34999</v>
      </c>
      <c r="O702" s="1" t="n">
        <v>50</v>
      </c>
      <c r="P702" s="1" t="n">
        <v>17499.5</v>
      </c>
      <c r="Q702" s="1" t="n">
        <v>17499.5</v>
      </c>
      <c r="R702" s="1" t="n">
        <v>3149.91</v>
      </c>
      <c r="S702" s="1" t="n">
        <v>14349.59</v>
      </c>
      <c r="T702" s="1" t="n">
        <v>7460.54</v>
      </c>
      <c r="U702" s="1" t="n">
        <v>6889.05</v>
      </c>
      <c r="V702" s="1" t="n">
        <v>48.01</v>
      </c>
      <c r="W702" s="1" t="s">
        <v>39</v>
      </c>
      <c r="X702" s="1" t="n">
        <v>4.5</v>
      </c>
      <c r="Y702" s="1" t="s">
        <v>40</v>
      </c>
      <c r="Z702" s="1" t="n">
        <v>0</v>
      </c>
      <c r="AA702" s="1" t="str">
        <f aca="false">TRIM(PROPER(F702))</f>
        <v>Nagpur</v>
      </c>
      <c r="AB702" s="1" t="str">
        <f aca="false">TRIM(PROPER(C702))</f>
        <v>Byju'S</v>
      </c>
      <c r="AC702" s="1" t="str">
        <f aca="false">IF(O702=0,"No Discount",IF(O702&lt;=15,"Low (1-15%)",IF(O702&lt;=30,"Medium (16-30%)","High (&gt;30%)")))</f>
        <v>High (&gt;30%)</v>
      </c>
      <c r="AD702" s="1" t="str">
        <f aca="false">IF(V702&lt;0,"Loss Making",IF(V702&lt;20,"Low Margin","Healthy Margin"))</f>
        <v>Healthy Margin</v>
      </c>
      <c r="AE702" s="1" t="str">
        <f aca="false">TEXT(DATE(VALUE(RIGHT(B702,4)),VALUE(MID(B702,4,2)),VALUE(LEFT(B702,2))),"MMM-YYYY")</f>
        <v>May-2024</v>
      </c>
      <c r="AF702" s="1" t="n">
        <f aca="false">VALUE(RIGHT(B702,4))</f>
        <v>2024</v>
      </c>
      <c r="AG702" s="1" t="str">
        <f aca="false">CHOOSE(ROUNDUP(VALUE(MID(B702,4,2))/3,0),"Q1","Q2","Q3","Q4")</f>
        <v>Q2</v>
      </c>
    </row>
    <row r="703" customFormat="false" ht="15" hidden="false" customHeight="true" outlineLevel="0" collapsed="false">
      <c r="A703" s="1" t="s">
        <v>1325</v>
      </c>
      <c r="B703" s="1" t="s">
        <v>547</v>
      </c>
      <c r="C703" s="1" t="s">
        <v>100</v>
      </c>
      <c r="D703" s="1" t="s">
        <v>143</v>
      </c>
      <c r="E703" s="1" t="s">
        <v>162</v>
      </c>
      <c r="F703" s="1" t="s">
        <v>211</v>
      </c>
      <c r="G703" s="1" t="s">
        <v>56</v>
      </c>
      <c r="H703" s="1" t="s">
        <v>69</v>
      </c>
      <c r="I703" s="1" t="s">
        <v>83</v>
      </c>
      <c r="J703" s="1" t="s">
        <v>70</v>
      </c>
      <c r="K703" s="1" t="s">
        <v>112</v>
      </c>
      <c r="L703" s="1" t="s">
        <v>37</v>
      </c>
      <c r="M703" s="1" t="s">
        <v>50</v>
      </c>
      <c r="N703" s="1" t="n">
        <v>14999</v>
      </c>
      <c r="O703" s="1" t="n">
        <v>15</v>
      </c>
      <c r="P703" s="1" t="n">
        <v>2249.85</v>
      </c>
      <c r="Q703" s="1" t="n">
        <v>12749.15</v>
      </c>
      <c r="R703" s="1" t="n">
        <v>2294.85</v>
      </c>
      <c r="S703" s="1" t="n">
        <v>10454.3</v>
      </c>
      <c r="T703" s="1" t="n">
        <v>4182.09</v>
      </c>
      <c r="U703" s="1" t="n">
        <v>6272.21</v>
      </c>
      <c r="V703" s="1" t="n">
        <v>60</v>
      </c>
      <c r="W703" s="1" t="s">
        <v>40</v>
      </c>
      <c r="Y703" s="1" t="s">
        <v>40</v>
      </c>
      <c r="Z703" s="1" t="n">
        <v>0</v>
      </c>
      <c r="AA703" s="1" t="str">
        <f aca="false">TRIM(PROPER(F703))</f>
        <v>Noida</v>
      </c>
      <c r="AB703" s="1" t="str">
        <f aca="false">TRIM(PROPER(C703))</f>
        <v>Physics Wallah</v>
      </c>
      <c r="AC703" s="1" t="str">
        <f aca="false">IF(O703=0,"No Discount",IF(O703&lt;=15,"Low (1-15%)",IF(O703&lt;=30,"Medium (16-30%)","High (&gt;30%)")))</f>
        <v>Low (1-15%)</v>
      </c>
      <c r="AD703" s="1" t="str">
        <f aca="false">IF(V703&lt;0,"Loss Making",IF(V703&lt;20,"Low Margin","Healthy Margin"))</f>
        <v>Healthy Margin</v>
      </c>
      <c r="AE703" s="1" t="str">
        <f aca="false">TEXT(DATE(VALUE(RIGHT(B703,4)),VALUE(MID(B703,4,2)),VALUE(LEFT(B703,2))),"MMM-YYYY")</f>
        <v>Apr-2023</v>
      </c>
      <c r="AF703" s="1" t="n">
        <f aca="false">VALUE(RIGHT(B703,4))</f>
        <v>2023</v>
      </c>
      <c r="AG703" s="1" t="str">
        <f aca="false">CHOOSE(ROUNDUP(VALUE(MID(B703,4,2))/3,0),"Q1","Q2","Q3","Q4")</f>
        <v>Q2</v>
      </c>
    </row>
    <row r="704" customFormat="false" ht="15" hidden="false" customHeight="true" outlineLevel="0" collapsed="false">
      <c r="A704" s="1" t="s">
        <v>1326</v>
      </c>
      <c r="B704" s="1" t="s">
        <v>1327</v>
      </c>
      <c r="C704" s="1" t="s">
        <v>139</v>
      </c>
      <c r="D704" s="1" t="s">
        <v>123</v>
      </c>
      <c r="E704" s="1" t="s">
        <v>147</v>
      </c>
      <c r="F704" s="1" t="s">
        <v>31</v>
      </c>
      <c r="G704" s="1" t="s">
        <v>32</v>
      </c>
      <c r="H704" s="1" t="s">
        <v>33</v>
      </c>
      <c r="I704" s="1" t="s">
        <v>34</v>
      </c>
      <c r="J704" s="1" t="s">
        <v>35</v>
      </c>
      <c r="K704" s="1" t="s">
        <v>60</v>
      </c>
      <c r="L704" s="1" t="s">
        <v>136</v>
      </c>
      <c r="M704" s="1" t="s">
        <v>62</v>
      </c>
      <c r="N704" s="1" t="n">
        <v>6999</v>
      </c>
      <c r="O704" s="1" t="n">
        <v>0</v>
      </c>
      <c r="P704" s="1" t="n">
        <v>0</v>
      </c>
      <c r="Q704" s="1" t="n">
        <v>6999</v>
      </c>
      <c r="R704" s="1" t="n">
        <v>1259.82</v>
      </c>
      <c r="S704" s="1" t="n">
        <v>5739.18</v>
      </c>
      <c r="T704" s="1" t="n">
        <v>2566.68</v>
      </c>
      <c r="U704" s="1" t="n">
        <v>3172.5</v>
      </c>
      <c r="V704" s="1" t="n">
        <v>55.28</v>
      </c>
      <c r="W704" s="1" t="s">
        <v>40</v>
      </c>
      <c r="Y704" s="1" t="s">
        <v>40</v>
      </c>
      <c r="Z704" s="1" t="n">
        <v>1</v>
      </c>
      <c r="AA704" s="1" t="str">
        <f aca="false">TRIM(PROPER(F704))</f>
        <v>Jodhpur</v>
      </c>
      <c r="AB704" s="1" t="str">
        <f aca="false">TRIM(PROPER(C704))</f>
        <v>Extramarks</v>
      </c>
      <c r="AC704" s="1" t="str">
        <f aca="false">IF(O704=0,"No Discount",IF(O704&lt;=15,"Low (1-15%)",IF(O704&lt;=30,"Medium (16-30%)","High (&gt;30%)")))</f>
        <v>No Discount</v>
      </c>
      <c r="AD704" s="1" t="str">
        <f aca="false">IF(V704&lt;0,"Loss Making",IF(V704&lt;20,"Low Margin","Healthy Margin"))</f>
        <v>Healthy Margin</v>
      </c>
      <c r="AE704" s="1" t="str">
        <f aca="false">TEXT(DATE(VALUE(RIGHT(B704,4)),VALUE(MID(B704,4,2)),VALUE(LEFT(B704,2))),"MMM-YYYY")</f>
        <v>Nov-2023</v>
      </c>
      <c r="AF704" s="1" t="n">
        <f aca="false">VALUE(RIGHT(B704,4))</f>
        <v>2023</v>
      </c>
      <c r="AG704" s="1" t="str">
        <f aca="false">CHOOSE(ROUNDUP(VALUE(MID(B704,4,2))/3,0),"Q1","Q2","Q3","Q4")</f>
        <v>Q4</v>
      </c>
    </row>
    <row r="705" customFormat="false" ht="15" hidden="false" customHeight="true" outlineLevel="0" collapsed="false">
      <c r="A705" s="1" t="s">
        <v>1328</v>
      </c>
      <c r="B705" s="1" t="s">
        <v>1250</v>
      </c>
      <c r="C705" s="1" t="s">
        <v>43</v>
      </c>
      <c r="D705" s="1" t="s">
        <v>123</v>
      </c>
      <c r="E705" s="1" t="s">
        <v>233</v>
      </c>
      <c r="F705" s="1" t="s">
        <v>120</v>
      </c>
      <c r="G705" s="1" t="s">
        <v>47</v>
      </c>
      <c r="H705" s="1" t="s">
        <v>57</v>
      </c>
      <c r="I705" s="1" t="s">
        <v>83</v>
      </c>
      <c r="J705" s="1" t="s">
        <v>35</v>
      </c>
      <c r="K705" s="1" t="s">
        <v>84</v>
      </c>
      <c r="L705" s="1" t="s">
        <v>49</v>
      </c>
      <c r="M705" s="1" t="s">
        <v>50</v>
      </c>
      <c r="N705" s="1" t="n">
        <v>8999</v>
      </c>
      <c r="O705" s="1" t="n">
        <v>50</v>
      </c>
      <c r="P705" s="1" t="n">
        <v>4499.5</v>
      </c>
      <c r="Q705" s="1" t="n">
        <v>4499.5</v>
      </c>
      <c r="R705" s="1" t="n">
        <v>809.91</v>
      </c>
      <c r="S705" s="1" t="n">
        <v>3689.59</v>
      </c>
      <c r="T705" s="1" t="n">
        <v>2118.21</v>
      </c>
      <c r="U705" s="1" t="n">
        <v>1571.38</v>
      </c>
      <c r="V705" s="1" t="n">
        <v>42.59</v>
      </c>
      <c r="W705" s="1" t="s">
        <v>39</v>
      </c>
      <c r="X705" s="1" t="n">
        <v>3.9</v>
      </c>
      <c r="Y705" s="1" t="s">
        <v>40</v>
      </c>
      <c r="Z705" s="1" t="n">
        <v>2</v>
      </c>
      <c r="AA705" s="1" t="str">
        <f aca="false">TRIM(PROPER(F705))</f>
        <v>Mysuru</v>
      </c>
      <c r="AB705" s="1" t="str">
        <f aca="false">TRIM(PROPER(C705))</f>
        <v>Meritnation</v>
      </c>
      <c r="AC705" s="1" t="str">
        <f aca="false">IF(O705=0,"No Discount",IF(O705&lt;=15,"Low (1-15%)",IF(O705&lt;=30,"Medium (16-30%)","High (&gt;30%)")))</f>
        <v>High (&gt;30%)</v>
      </c>
      <c r="AD705" s="1" t="str">
        <f aca="false">IF(V705&lt;0,"Loss Making",IF(V705&lt;20,"Low Margin","Healthy Margin"))</f>
        <v>Healthy Margin</v>
      </c>
      <c r="AE705" s="1" t="str">
        <f aca="false">TEXT(DATE(VALUE(RIGHT(B705,4)),VALUE(MID(B705,4,2)),VALUE(LEFT(B705,2))),"MMM-YYYY")</f>
        <v>Jul-2023</v>
      </c>
      <c r="AF705" s="1" t="n">
        <f aca="false">VALUE(RIGHT(B705,4))</f>
        <v>2023</v>
      </c>
      <c r="AG705" s="1" t="str">
        <f aca="false">CHOOSE(ROUNDUP(VALUE(MID(B705,4,2))/3,0),"Q1","Q2","Q3","Q4")</f>
        <v>Q3</v>
      </c>
    </row>
    <row r="706" customFormat="false" ht="15" hidden="false" customHeight="true" outlineLevel="0" collapsed="false">
      <c r="A706" s="1" t="s">
        <v>1329</v>
      </c>
      <c r="B706" s="1" t="s">
        <v>669</v>
      </c>
      <c r="C706" s="1" t="s">
        <v>93</v>
      </c>
      <c r="D706" s="1" t="s">
        <v>80</v>
      </c>
      <c r="E706" s="1" t="s">
        <v>81</v>
      </c>
      <c r="F706" s="1" t="s">
        <v>46</v>
      </c>
      <c r="G706" s="1" t="s">
        <v>47</v>
      </c>
      <c r="H706" s="1" t="s">
        <v>33</v>
      </c>
      <c r="I706" s="1" t="s">
        <v>34</v>
      </c>
      <c r="J706" s="1" t="s">
        <v>77</v>
      </c>
      <c r="K706" s="1" t="s">
        <v>90</v>
      </c>
      <c r="L706" s="1" t="s">
        <v>37</v>
      </c>
      <c r="M706" s="1" t="s">
        <v>62</v>
      </c>
      <c r="N706" s="1" t="n">
        <v>12999</v>
      </c>
      <c r="O706" s="1" t="n">
        <v>15</v>
      </c>
      <c r="P706" s="1" t="n">
        <v>1949.85</v>
      </c>
      <c r="Q706" s="1" t="n">
        <v>11049.15</v>
      </c>
      <c r="R706" s="1" t="n">
        <v>1988.85</v>
      </c>
      <c r="S706" s="1" t="n">
        <v>9060.3</v>
      </c>
      <c r="T706" s="1" t="n">
        <v>4254.57</v>
      </c>
      <c r="U706" s="1" t="n">
        <v>4805.73</v>
      </c>
      <c r="V706" s="1" t="n">
        <v>53.04</v>
      </c>
      <c r="W706" s="1" t="s">
        <v>39</v>
      </c>
      <c r="X706" s="1" t="n">
        <v>4.1</v>
      </c>
      <c r="Y706" s="1" t="s">
        <v>40</v>
      </c>
      <c r="Z706" s="1" t="n">
        <v>0</v>
      </c>
      <c r="AA706" s="1" t="str">
        <f aca="false">TRIM(PROPER(F706))</f>
        <v>Mangaluru</v>
      </c>
      <c r="AB706" s="1" t="str">
        <f aca="false">TRIM(PROPER(C706))</f>
        <v>Upgrad</v>
      </c>
      <c r="AC706" s="1" t="str">
        <f aca="false">IF(O706=0,"No Discount",IF(O706&lt;=15,"Low (1-15%)",IF(O706&lt;=30,"Medium (16-30%)","High (&gt;30%)")))</f>
        <v>Low (1-15%)</v>
      </c>
      <c r="AD706" s="1" t="str">
        <f aca="false">IF(V706&lt;0,"Loss Making",IF(V706&lt;20,"Low Margin","Healthy Margin"))</f>
        <v>Healthy Margin</v>
      </c>
      <c r="AE706" s="1" t="str">
        <f aca="false">TEXT(DATE(VALUE(RIGHT(B706,4)),VALUE(MID(B706,4,2)),VALUE(LEFT(B706,2))),"MMM-YYYY")</f>
        <v>Mar-2023</v>
      </c>
      <c r="AF706" s="1" t="n">
        <f aca="false">VALUE(RIGHT(B706,4))</f>
        <v>2023</v>
      </c>
      <c r="AG706" s="1" t="str">
        <f aca="false">CHOOSE(ROUNDUP(VALUE(MID(B706,4,2))/3,0),"Q1","Q2","Q3","Q4")</f>
        <v>Q1</v>
      </c>
    </row>
    <row r="707" customFormat="false" ht="15" hidden="false" customHeight="true" outlineLevel="0" collapsed="false">
      <c r="A707" s="1" t="s">
        <v>1330</v>
      </c>
      <c r="B707" s="1" t="s">
        <v>1331</v>
      </c>
      <c r="C707" s="1" t="s">
        <v>28</v>
      </c>
      <c r="D707" s="1" t="s">
        <v>94</v>
      </c>
      <c r="E707" s="1" t="s">
        <v>95</v>
      </c>
      <c r="F707" s="1" t="s">
        <v>150</v>
      </c>
      <c r="G707" s="1" t="s">
        <v>32</v>
      </c>
      <c r="H707" s="1" t="s">
        <v>57</v>
      </c>
      <c r="I707" s="1" t="s">
        <v>83</v>
      </c>
      <c r="J707" s="1" t="s">
        <v>131</v>
      </c>
      <c r="K707" s="1" t="s">
        <v>60</v>
      </c>
      <c r="L707" s="1" t="s">
        <v>49</v>
      </c>
      <c r="M707" s="1" t="s">
        <v>38</v>
      </c>
      <c r="N707" s="1" t="n">
        <v>6999</v>
      </c>
      <c r="O707" s="1" t="n">
        <v>0</v>
      </c>
      <c r="P707" s="1" t="n">
        <v>0</v>
      </c>
      <c r="Q707" s="1" t="n">
        <v>6999</v>
      </c>
      <c r="R707" s="1" t="n">
        <v>1259.82</v>
      </c>
      <c r="S707" s="1" t="n">
        <v>5739.18</v>
      </c>
      <c r="T707" s="1" t="n">
        <v>2820.85</v>
      </c>
      <c r="U707" s="1" t="n">
        <v>2918.33</v>
      </c>
      <c r="V707" s="1" t="n">
        <v>50.85</v>
      </c>
      <c r="W707" s="1" t="s">
        <v>39</v>
      </c>
      <c r="X707" s="1" t="n">
        <v>3.8</v>
      </c>
      <c r="Y707" s="1" t="s">
        <v>40</v>
      </c>
      <c r="Z707" s="1" t="n">
        <v>0</v>
      </c>
      <c r="AA707" s="1" t="str">
        <f aca="false">TRIM(PROPER(F707))</f>
        <v>Jaipur</v>
      </c>
      <c r="AB707" s="1" t="str">
        <f aca="false">TRIM(PROPER(C707))</f>
        <v>Embibe</v>
      </c>
      <c r="AC707" s="1" t="str">
        <f aca="false">IF(O707=0,"No Discount",IF(O707&lt;=15,"Low (1-15%)",IF(O707&lt;=30,"Medium (16-30%)","High (&gt;30%)")))</f>
        <v>No Discount</v>
      </c>
      <c r="AD707" s="1" t="str">
        <f aca="false">IF(V707&lt;0,"Loss Making",IF(V707&lt;20,"Low Margin","Healthy Margin"))</f>
        <v>Healthy Margin</v>
      </c>
      <c r="AE707" s="1" t="str">
        <f aca="false">TEXT(DATE(VALUE(RIGHT(B707,4)),VALUE(MID(B707,4,2)),VALUE(LEFT(B707,2))),"MMM-YYYY")</f>
        <v>Sep-2024</v>
      </c>
      <c r="AF707" s="1" t="n">
        <f aca="false">VALUE(RIGHT(B707,4))</f>
        <v>2024</v>
      </c>
      <c r="AG707" s="1" t="str">
        <f aca="false">CHOOSE(ROUNDUP(VALUE(MID(B707,4,2))/3,0),"Q1","Q2","Q3","Q4")</f>
        <v>Q3</v>
      </c>
    </row>
    <row r="708" customFormat="false" ht="15" hidden="false" customHeight="true" outlineLevel="0" collapsed="false">
      <c r="A708" s="1" t="s">
        <v>1332</v>
      </c>
      <c r="B708" s="1" t="s">
        <v>1333</v>
      </c>
      <c r="C708" s="1" t="s">
        <v>249</v>
      </c>
      <c r="D708" s="1" t="s">
        <v>143</v>
      </c>
      <c r="E708" s="1" t="s">
        <v>159</v>
      </c>
      <c r="F708" s="1" t="s">
        <v>31</v>
      </c>
      <c r="G708" s="1" t="s">
        <v>32</v>
      </c>
      <c r="H708" s="1" t="s">
        <v>33</v>
      </c>
      <c r="I708" s="1" t="s">
        <v>34</v>
      </c>
      <c r="J708" s="1" t="s">
        <v>35</v>
      </c>
      <c r="K708" s="1" t="s">
        <v>48</v>
      </c>
      <c r="L708" s="1" t="s">
        <v>136</v>
      </c>
      <c r="M708" s="1" t="s">
        <v>38</v>
      </c>
      <c r="N708" s="1" t="n">
        <v>24999</v>
      </c>
      <c r="O708" s="1" t="n">
        <v>10</v>
      </c>
      <c r="P708" s="1" t="n">
        <v>2499.9</v>
      </c>
      <c r="Q708" s="1" t="n">
        <v>22499.1</v>
      </c>
      <c r="R708" s="1" t="n">
        <v>4049.84</v>
      </c>
      <c r="S708" s="1" t="n">
        <v>18449.26</v>
      </c>
      <c r="T708" s="1" t="n">
        <v>8830.35</v>
      </c>
      <c r="U708" s="1" t="n">
        <v>9618.91</v>
      </c>
      <c r="V708" s="1" t="n">
        <v>52.14</v>
      </c>
      <c r="W708" s="1" t="s">
        <v>40</v>
      </c>
      <c r="Y708" s="1" t="s">
        <v>40</v>
      </c>
      <c r="Z708" s="1" t="n">
        <v>1</v>
      </c>
      <c r="AA708" s="1" t="str">
        <f aca="false">TRIM(PROPER(F708))</f>
        <v>Jodhpur</v>
      </c>
      <c r="AB708" s="1" t="str">
        <f aca="false">TRIM(PROPER(C708))</f>
        <v>Whitehat Jr</v>
      </c>
      <c r="AC708" s="1" t="str">
        <f aca="false">IF(O708=0,"No Discount",IF(O708&lt;=15,"Low (1-15%)",IF(O708&lt;=30,"Medium (16-30%)","High (&gt;30%)")))</f>
        <v>Low (1-15%)</v>
      </c>
      <c r="AD708" s="1" t="str">
        <f aca="false">IF(V708&lt;0,"Loss Making",IF(V708&lt;20,"Low Margin","Healthy Margin"))</f>
        <v>Healthy Margin</v>
      </c>
      <c r="AE708" s="1" t="str">
        <f aca="false">TEXT(DATE(VALUE(RIGHT(B708,4)),VALUE(MID(B708,4,2)),VALUE(LEFT(B708,2))),"MMM-YYYY")</f>
        <v>Oct-2023</v>
      </c>
      <c r="AF708" s="1" t="n">
        <f aca="false">VALUE(RIGHT(B708,4))</f>
        <v>2023</v>
      </c>
      <c r="AG708" s="1" t="str">
        <f aca="false">CHOOSE(ROUNDUP(VALUE(MID(B708,4,2))/3,0),"Q1","Q2","Q3","Q4")</f>
        <v>Q4</v>
      </c>
    </row>
    <row r="709" customFormat="false" ht="15" hidden="false" customHeight="true" outlineLevel="0" collapsed="false">
      <c r="A709" s="1" t="s">
        <v>1334</v>
      </c>
      <c r="B709" s="1" t="s">
        <v>620</v>
      </c>
      <c r="C709" s="1" t="s">
        <v>139</v>
      </c>
      <c r="D709" s="1" t="s">
        <v>168</v>
      </c>
      <c r="E709" s="1" t="s">
        <v>172</v>
      </c>
      <c r="F709" s="1" t="s">
        <v>125</v>
      </c>
      <c r="G709" s="1" t="s">
        <v>108</v>
      </c>
      <c r="H709" s="1" t="s">
        <v>69</v>
      </c>
      <c r="I709" s="1" t="s">
        <v>83</v>
      </c>
      <c r="J709" s="1" t="s">
        <v>131</v>
      </c>
      <c r="K709" s="1" t="s">
        <v>90</v>
      </c>
      <c r="L709" s="1" t="s">
        <v>49</v>
      </c>
      <c r="M709" s="1" t="s">
        <v>62</v>
      </c>
      <c r="N709" s="1" t="n">
        <v>6999</v>
      </c>
      <c r="O709" s="1" t="n">
        <v>0</v>
      </c>
      <c r="P709" s="1" t="n">
        <v>0</v>
      </c>
      <c r="Q709" s="1" t="n">
        <v>6999</v>
      </c>
      <c r="R709" s="1" t="n">
        <v>1259.82</v>
      </c>
      <c r="S709" s="1" t="n">
        <v>5739.18</v>
      </c>
      <c r="T709" s="1" t="n">
        <v>2165.16</v>
      </c>
      <c r="U709" s="1" t="n">
        <v>3574.02</v>
      </c>
      <c r="V709" s="1" t="n">
        <v>62.27</v>
      </c>
      <c r="W709" s="1" t="s">
        <v>40</v>
      </c>
      <c r="Y709" s="1" t="s">
        <v>39</v>
      </c>
      <c r="Z709" s="1" t="n">
        <v>0</v>
      </c>
      <c r="AA709" s="1" t="str">
        <f aca="false">TRIM(PROPER(F709))</f>
        <v>Chennai</v>
      </c>
      <c r="AB709" s="1" t="str">
        <f aca="false">TRIM(PROPER(C709))</f>
        <v>Extramarks</v>
      </c>
      <c r="AC709" s="1" t="str">
        <f aca="false">IF(O709=0,"No Discount",IF(O709&lt;=15,"Low (1-15%)",IF(O709&lt;=30,"Medium (16-30%)","High (&gt;30%)")))</f>
        <v>No Discount</v>
      </c>
      <c r="AD709" s="1" t="str">
        <f aca="false">IF(V709&lt;0,"Loss Making",IF(V709&lt;20,"Low Margin","Healthy Margin"))</f>
        <v>Healthy Margin</v>
      </c>
      <c r="AE709" s="1" t="str">
        <f aca="false">TEXT(DATE(VALUE(RIGHT(B709,4)),VALUE(MID(B709,4,2)),VALUE(LEFT(B709,2))),"MMM-YYYY")</f>
        <v>Jan-2024</v>
      </c>
      <c r="AF709" s="1" t="n">
        <f aca="false">VALUE(RIGHT(B709,4))</f>
        <v>2024</v>
      </c>
      <c r="AG709" s="1" t="str">
        <f aca="false">CHOOSE(ROUNDUP(VALUE(MID(B709,4,2))/3,0),"Q1","Q2","Q3","Q4")</f>
        <v>Q1</v>
      </c>
    </row>
    <row r="710" customFormat="false" ht="15" hidden="false" customHeight="true" outlineLevel="0" collapsed="false">
      <c r="A710" s="1" t="s">
        <v>1335</v>
      </c>
      <c r="B710" s="1" t="s">
        <v>1066</v>
      </c>
      <c r="C710" s="1" t="s">
        <v>65</v>
      </c>
      <c r="D710" s="1" t="s">
        <v>80</v>
      </c>
      <c r="E710" s="1" t="s">
        <v>175</v>
      </c>
      <c r="F710" s="1" t="s">
        <v>31</v>
      </c>
      <c r="G710" s="1" t="s">
        <v>32</v>
      </c>
      <c r="H710" s="1" t="s">
        <v>33</v>
      </c>
      <c r="I710" s="1" t="s">
        <v>83</v>
      </c>
      <c r="J710" s="1" t="s">
        <v>59</v>
      </c>
      <c r="K710" s="1" t="s">
        <v>90</v>
      </c>
      <c r="L710" s="1" t="s">
        <v>136</v>
      </c>
      <c r="M710" s="1" t="s">
        <v>38</v>
      </c>
      <c r="N710" s="1" t="n">
        <v>19999</v>
      </c>
      <c r="O710" s="1" t="n">
        <v>0</v>
      </c>
      <c r="P710" s="1" t="n">
        <v>0</v>
      </c>
      <c r="Q710" s="1" t="n">
        <v>19999</v>
      </c>
      <c r="R710" s="1" t="n">
        <v>3599.82</v>
      </c>
      <c r="S710" s="1" t="n">
        <v>16399.18</v>
      </c>
      <c r="T710" s="1" t="n">
        <v>8375.48</v>
      </c>
      <c r="U710" s="1" t="n">
        <v>8023.7</v>
      </c>
      <c r="V710" s="1" t="n">
        <v>48.93</v>
      </c>
      <c r="W710" s="1" t="s">
        <v>40</v>
      </c>
      <c r="Y710" s="1" t="s">
        <v>40</v>
      </c>
      <c r="Z710" s="1" t="n">
        <v>0</v>
      </c>
      <c r="AA710" s="1" t="str">
        <f aca="false">TRIM(PROPER(F710))</f>
        <v>Jodhpur</v>
      </c>
      <c r="AB710" s="1" t="str">
        <f aca="false">TRIM(PROPER(C710))</f>
        <v>Toppr</v>
      </c>
      <c r="AC710" s="1" t="str">
        <f aca="false">IF(O710=0,"No Discount",IF(O710&lt;=15,"Low (1-15%)",IF(O710&lt;=30,"Medium (16-30%)","High (&gt;30%)")))</f>
        <v>No Discount</v>
      </c>
      <c r="AD710" s="1" t="str">
        <f aca="false">IF(V710&lt;0,"Loss Making",IF(V710&lt;20,"Low Margin","Healthy Margin"))</f>
        <v>Healthy Margin</v>
      </c>
      <c r="AE710" s="1" t="str">
        <f aca="false">TEXT(DATE(VALUE(RIGHT(B710,4)),VALUE(MID(B710,4,2)),VALUE(LEFT(B710,2))),"MMM-YYYY")</f>
        <v>Jan-2024</v>
      </c>
      <c r="AF710" s="1" t="n">
        <f aca="false">VALUE(RIGHT(B710,4))</f>
        <v>2024</v>
      </c>
      <c r="AG710" s="1" t="str">
        <f aca="false">CHOOSE(ROUNDUP(VALUE(MID(B710,4,2))/3,0),"Q1","Q2","Q3","Q4")</f>
        <v>Q1</v>
      </c>
    </row>
    <row r="711" customFormat="false" ht="15" hidden="false" customHeight="true" outlineLevel="0" collapsed="false">
      <c r="A711" s="1" t="s">
        <v>1336</v>
      </c>
      <c r="B711" s="1" t="s">
        <v>1337</v>
      </c>
      <c r="C711" s="1" t="s">
        <v>134</v>
      </c>
      <c r="D711" s="1" t="s">
        <v>168</v>
      </c>
      <c r="E711" s="1" t="s">
        <v>172</v>
      </c>
      <c r="F711" s="1" t="s">
        <v>205</v>
      </c>
      <c r="G711" s="1" t="s">
        <v>56</v>
      </c>
      <c r="H711" s="1" t="s">
        <v>69</v>
      </c>
      <c r="I711" s="1" t="s">
        <v>83</v>
      </c>
      <c r="J711" s="1" t="s">
        <v>131</v>
      </c>
      <c r="K711" s="1" t="s">
        <v>71</v>
      </c>
      <c r="L711" s="1" t="s">
        <v>49</v>
      </c>
      <c r="M711" s="1" t="s">
        <v>50</v>
      </c>
      <c r="N711" s="1" t="n">
        <v>6999</v>
      </c>
      <c r="O711" s="1" t="n">
        <v>0</v>
      </c>
      <c r="P711" s="1" t="n">
        <v>0</v>
      </c>
      <c r="Q711" s="1" t="n">
        <v>6999</v>
      </c>
      <c r="R711" s="1" t="n">
        <v>1259.82</v>
      </c>
      <c r="S711" s="1" t="n">
        <v>5739.18</v>
      </c>
      <c r="T711" s="1" t="n">
        <v>2234.11</v>
      </c>
      <c r="U711" s="1" t="n">
        <v>3505.07</v>
      </c>
      <c r="V711" s="1" t="n">
        <v>61.07</v>
      </c>
      <c r="W711" s="1" t="s">
        <v>40</v>
      </c>
      <c r="Y711" s="1" t="s">
        <v>40</v>
      </c>
      <c r="Z711" s="1" t="n">
        <v>0</v>
      </c>
      <c r="AA711" s="1" t="str">
        <f aca="false">TRIM(PROPER(F711))</f>
        <v>New Delhi</v>
      </c>
      <c r="AB711" s="1" t="str">
        <f aca="false">TRIM(PROPER(C711))</f>
        <v>Doubtnut</v>
      </c>
      <c r="AC711" s="1" t="str">
        <f aca="false">IF(O711=0,"No Discount",IF(O711&lt;=15,"Low (1-15%)",IF(O711&lt;=30,"Medium (16-30%)","High (&gt;30%)")))</f>
        <v>No Discount</v>
      </c>
      <c r="AD711" s="1" t="str">
        <f aca="false">IF(V711&lt;0,"Loss Making",IF(V711&lt;20,"Low Margin","Healthy Margin"))</f>
        <v>Healthy Margin</v>
      </c>
      <c r="AE711" s="1" t="str">
        <f aca="false">TEXT(DATE(VALUE(RIGHT(B711,4)),VALUE(MID(B711,4,2)),VALUE(LEFT(B711,2))),"MMM-YYYY")</f>
        <v>Dec-2023</v>
      </c>
      <c r="AF711" s="1" t="n">
        <f aca="false">VALUE(RIGHT(B711,4))</f>
        <v>2023</v>
      </c>
      <c r="AG711" s="1" t="str">
        <f aca="false">CHOOSE(ROUNDUP(VALUE(MID(B711,4,2))/3,0),"Q1","Q2","Q3","Q4")</f>
        <v>Q4</v>
      </c>
    </row>
    <row r="712" customFormat="false" ht="15" hidden="false" customHeight="true" outlineLevel="0" collapsed="false">
      <c r="A712" s="1" t="s">
        <v>1338</v>
      </c>
      <c r="B712" s="1" t="s">
        <v>1339</v>
      </c>
      <c r="C712" s="1" t="s">
        <v>134</v>
      </c>
      <c r="D712" s="1" t="s">
        <v>53</v>
      </c>
      <c r="E712" s="1" t="s">
        <v>54</v>
      </c>
      <c r="F712" s="1" t="s">
        <v>102</v>
      </c>
      <c r="G712" s="1" t="s">
        <v>103</v>
      </c>
      <c r="H712" s="1" t="s">
        <v>33</v>
      </c>
      <c r="I712" s="1" t="s">
        <v>83</v>
      </c>
      <c r="J712" s="1" t="s">
        <v>77</v>
      </c>
      <c r="K712" s="1" t="s">
        <v>112</v>
      </c>
      <c r="L712" s="1" t="s">
        <v>85</v>
      </c>
      <c r="M712" s="1" t="s">
        <v>38</v>
      </c>
      <c r="N712" s="1" t="n">
        <v>11999</v>
      </c>
      <c r="O712" s="1" t="n">
        <v>5</v>
      </c>
      <c r="P712" s="1" t="n">
        <v>599.95</v>
      </c>
      <c r="Q712" s="1" t="n">
        <v>11399.05</v>
      </c>
      <c r="R712" s="1" t="n">
        <v>2051.83</v>
      </c>
      <c r="S712" s="1" t="n">
        <v>9347.22</v>
      </c>
      <c r="T712" s="1" t="n">
        <v>4984.31</v>
      </c>
      <c r="U712" s="1" t="n">
        <v>4362.91</v>
      </c>
      <c r="V712" s="1" t="n">
        <v>46.68</v>
      </c>
      <c r="W712" s="1" t="s">
        <v>40</v>
      </c>
      <c r="Y712" s="1" t="s">
        <v>40</v>
      </c>
      <c r="Z712" s="1" t="n">
        <v>1</v>
      </c>
      <c r="AA712" s="1" t="str">
        <f aca="false">TRIM(PROPER(F712))</f>
        <v>Warangal</v>
      </c>
      <c r="AB712" s="1" t="str">
        <f aca="false">TRIM(PROPER(C712))</f>
        <v>Doubtnut</v>
      </c>
      <c r="AC712" s="1" t="str">
        <f aca="false">IF(O712=0,"No Discount",IF(O712&lt;=15,"Low (1-15%)",IF(O712&lt;=30,"Medium (16-30%)","High (&gt;30%)")))</f>
        <v>Low (1-15%)</v>
      </c>
      <c r="AD712" s="1" t="str">
        <f aca="false">IF(V712&lt;0,"Loss Making",IF(V712&lt;20,"Low Margin","Healthy Margin"))</f>
        <v>Healthy Margin</v>
      </c>
      <c r="AE712" s="1" t="str">
        <f aca="false">TEXT(DATE(VALUE(RIGHT(B712,4)),VALUE(MID(B712,4,2)),VALUE(LEFT(B712,2))),"MMM-YYYY")</f>
        <v>May-2024</v>
      </c>
      <c r="AF712" s="1" t="n">
        <f aca="false">VALUE(RIGHT(B712,4))</f>
        <v>2024</v>
      </c>
      <c r="AG712" s="1" t="str">
        <f aca="false">CHOOSE(ROUNDUP(VALUE(MID(B712,4,2))/3,0),"Q1","Q2","Q3","Q4")</f>
        <v>Q2</v>
      </c>
    </row>
    <row r="713" customFormat="false" ht="15" hidden="false" customHeight="true" outlineLevel="0" collapsed="false">
      <c r="A713" s="1" t="s">
        <v>1340</v>
      </c>
      <c r="B713" s="1" t="s">
        <v>694</v>
      </c>
      <c r="C713" s="1" t="s">
        <v>93</v>
      </c>
      <c r="D713" s="1" t="s">
        <v>168</v>
      </c>
      <c r="E713" s="1" t="s">
        <v>197</v>
      </c>
      <c r="F713" s="1" t="s">
        <v>150</v>
      </c>
      <c r="G713" s="1" t="s">
        <v>32</v>
      </c>
      <c r="H713" s="1" t="s">
        <v>57</v>
      </c>
      <c r="I713" s="1" t="s">
        <v>34</v>
      </c>
      <c r="J713" s="1" t="s">
        <v>35</v>
      </c>
      <c r="K713" s="1" t="s">
        <v>84</v>
      </c>
      <c r="L713" s="1" t="s">
        <v>85</v>
      </c>
      <c r="M713" s="1" t="s">
        <v>50</v>
      </c>
      <c r="N713" s="1" t="n">
        <v>8499</v>
      </c>
      <c r="O713" s="1" t="n">
        <v>40</v>
      </c>
      <c r="P713" s="1" t="n">
        <v>3399.6</v>
      </c>
      <c r="Q713" s="1" t="n">
        <v>5099.4</v>
      </c>
      <c r="R713" s="1" t="n">
        <v>917.89</v>
      </c>
      <c r="S713" s="1" t="n">
        <v>4181.51</v>
      </c>
      <c r="T713" s="1" t="n">
        <v>2084.52</v>
      </c>
      <c r="U713" s="1" t="n">
        <v>2096.99</v>
      </c>
      <c r="V713" s="1" t="n">
        <v>50.15</v>
      </c>
      <c r="W713" s="1" t="s">
        <v>40</v>
      </c>
      <c r="Y713" s="1" t="s">
        <v>40</v>
      </c>
      <c r="Z713" s="1" t="n">
        <v>1</v>
      </c>
      <c r="AA713" s="1" t="str">
        <f aca="false">TRIM(PROPER(F713))</f>
        <v>Jaipur</v>
      </c>
      <c r="AB713" s="1" t="str">
        <f aca="false">TRIM(PROPER(C713))</f>
        <v>Upgrad</v>
      </c>
      <c r="AC713" s="1" t="str">
        <f aca="false">IF(O713=0,"No Discount",IF(O713&lt;=15,"Low (1-15%)",IF(O713&lt;=30,"Medium (16-30%)","High (&gt;30%)")))</f>
        <v>High (&gt;30%)</v>
      </c>
      <c r="AD713" s="1" t="str">
        <f aca="false">IF(V713&lt;0,"Loss Making",IF(V713&lt;20,"Low Margin","Healthy Margin"))</f>
        <v>Healthy Margin</v>
      </c>
      <c r="AE713" s="1" t="str">
        <f aca="false">TEXT(DATE(VALUE(RIGHT(B713,4)),VALUE(MID(B713,4,2)),VALUE(LEFT(B713,2))),"MMM-YYYY")</f>
        <v>Jan-2024</v>
      </c>
      <c r="AF713" s="1" t="n">
        <f aca="false">VALUE(RIGHT(B713,4))</f>
        <v>2024</v>
      </c>
      <c r="AG713" s="1" t="str">
        <f aca="false">CHOOSE(ROUNDUP(VALUE(MID(B713,4,2))/3,0),"Q1","Q2","Q3","Q4")</f>
        <v>Q1</v>
      </c>
    </row>
    <row r="714" customFormat="false" ht="15" hidden="false" customHeight="true" outlineLevel="0" collapsed="false">
      <c r="A714" s="1" t="s">
        <v>1341</v>
      </c>
      <c r="B714" s="1" t="s">
        <v>1305</v>
      </c>
      <c r="C714" s="1" t="s">
        <v>119</v>
      </c>
      <c r="D714" s="1" t="s">
        <v>94</v>
      </c>
      <c r="E714" s="1" t="s">
        <v>135</v>
      </c>
      <c r="F714" s="1" t="s">
        <v>187</v>
      </c>
      <c r="G714" s="1" t="s">
        <v>97</v>
      </c>
      <c r="H714" s="1" t="s">
        <v>69</v>
      </c>
      <c r="I714" s="1" t="s">
        <v>58</v>
      </c>
      <c r="J714" s="1" t="s">
        <v>131</v>
      </c>
      <c r="K714" s="1" t="s">
        <v>84</v>
      </c>
      <c r="L714" s="1" t="s">
        <v>136</v>
      </c>
      <c r="M714" s="1" t="s">
        <v>50</v>
      </c>
      <c r="N714" s="1" t="n">
        <v>9999</v>
      </c>
      <c r="O714" s="1" t="n">
        <v>10</v>
      </c>
      <c r="P714" s="1" t="n">
        <v>999.9</v>
      </c>
      <c r="Q714" s="1" t="n">
        <v>8999.1</v>
      </c>
      <c r="R714" s="1" t="n">
        <v>1619.84</v>
      </c>
      <c r="S714" s="1" t="n">
        <v>7379.26</v>
      </c>
      <c r="T714" s="1" t="n">
        <v>2977.51</v>
      </c>
      <c r="U714" s="1" t="n">
        <v>4401.75</v>
      </c>
      <c r="V714" s="1" t="n">
        <v>59.65</v>
      </c>
      <c r="W714" s="1" t="s">
        <v>40</v>
      </c>
      <c r="Y714" s="1" t="s">
        <v>40</v>
      </c>
      <c r="Z714" s="1" t="n">
        <v>0</v>
      </c>
      <c r="AA714" s="1" t="str">
        <f aca="false">TRIM(PROPER(F714))</f>
        <v>Mumbai</v>
      </c>
      <c r="AB714" s="1" t="str">
        <f aca="false">TRIM(PROPER(C714))</f>
        <v>Simplilearn</v>
      </c>
      <c r="AC714" s="1" t="str">
        <f aca="false">IF(O714=0,"No Discount",IF(O714&lt;=15,"Low (1-15%)",IF(O714&lt;=30,"Medium (16-30%)","High (&gt;30%)")))</f>
        <v>Low (1-15%)</v>
      </c>
      <c r="AD714" s="1" t="str">
        <f aca="false">IF(V714&lt;0,"Loss Making",IF(V714&lt;20,"Low Margin","Healthy Margin"))</f>
        <v>Healthy Margin</v>
      </c>
      <c r="AE714" s="1" t="str">
        <f aca="false">TEXT(DATE(VALUE(RIGHT(B714,4)),VALUE(MID(B714,4,2)),VALUE(LEFT(B714,2))),"MMM-YYYY")</f>
        <v>Feb-2023</v>
      </c>
      <c r="AF714" s="1" t="n">
        <f aca="false">VALUE(RIGHT(B714,4))</f>
        <v>2023</v>
      </c>
      <c r="AG714" s="1" t="str">
        <f aca="false">CHOOSE(ROUNDUP(VALUE(MID(B714,4,2))/3,0),"Q1","Q2","Q3","Q4")</f>
        <v>Q1</v>
      </c>
    </row>
    <row r="715" customFormat="false" ht="15" hidden="false" customHeight="true" outlineLevel="0" collapsed="false">
      <c r="A715" s="1" t="s">
        <v>1342</v>
      </c>
      <c r="B715" s="1" t="s">
        <v>1148</v>
      </c>
      <c r="C715" s="1" t="s">
        <v>119</v>
      </c>
      <c r="D715" s="1" t="s">
        <v>53</v>
      </c>
      <c r="E715" s="1" t="s">
        <v>116</v>
      </c>
      <c r="F715" s="1" t="s">
        <v>46</v>
      </c>
      <c r="G715" s="1" t="s">
        <v>47</v>
      </c>
      <c r="H715" s="1" t="s">
        <v>33</v>
      </c>
      <c r="I715" s="1" t="s">
        <v>34</v>
      </c>
      <c r="J715" s="1" t="s">
        <v>35</v>
      </c>
      <c r="K715" s="1" t="s">
        <v>104</v>
      </c>
      <c r="L715" s="1" t="s">
        <v>113</v>
      </c>
      <c r="M715" s="1" t="s">
        <v>50</v>
      </c>
      <c r="N715" s="1" t="n">
        <v>9999</v>
      </c>
      <c r="O715" s="1" t="n">
        <v>15</v>
      </c>
      <c r="P715" s="1" t="n">
        <v>1499.85</v>
      </c>
      <c r="Q715" s="1" t="n">
        <v>8499.15</v>
      </c>
      <c r="R715" s="1" t="n">
        <v>1529.85</v>
      </c>
      <c r="S715" s="1" t="n">
        <v>6969.3</v>
      </c>
      <c r="T715" s="1" t="n">
        <v>3463.27</v>
      </c>
      <c r="U715" s="1" t="n">
        <v>3506.03</v>
      </c>
      <c r="V715" s="1" t="n">
        <v>50.31</v>
      </c>
      <c r="W715" s="1" t="s">
        <v>40</v>
      </c>
      <c r="Y715" s="1" t="s">
        <v>40</v>
      </c>
      <c r="Z715" s="1" t="n">
        <v>0</v>
      </c>
      <c r="AA715" s="1" t="str">
        <f aca="false">TRIM(PROPER(F715))</f>
        <v>Mangaluru</v>
      </c>
      <c r="AB715" s="1" t="str">
        <f aca="false">TRIM(PROPER(C715))</f>
        <v>Simplilearn</v>
      </c>
      <c r="AC715" s="1" t="str">
        <f aca="false">IF(O715=0,"No Discount",IF(O715&lt;=15,"Low (1-15%)",IF(O715&lt;=30,"Medium (16-30%)","High (&gt;30%)")))</f>
        <v>Low (1-15%)</v>
      </c>
      <c r="AD715" s="1" t="str">
        <f aca="false">IF(V715&lt;0,"Loss Making",IF(V715&lt;20,"Low Margin","Healthy Margin"))</f>
        <v>Healthy Margin</v>
      </c>
      <c r="AE715" s="1" t="str">
        <f aca="false">TEXT(DATE(VALUE(RIGHT(B715,4)),VALUE(MID(B715,4,2)),VALUE(LEFT(B715,2))),"MMM-YYYY")</f>
        <v>Oct-2024</v>
      </c>
      <c r="AF715" s="1" t="n">
        <f aca="false">VALUE(RIGHT(B715,4))</f>
        <v>2024</v>
      </c>
      <c r="AG715" s="1" t="str">
        <f aca="false">CHOOSE(ROUNDUP(VALUE(MID(B715,4,2))/3,0),"Q1","Q2","Q3","Q4")</f>
        <v>Q4</v>
      </c>
    </row>
    <row r="716" customFormat="false" ht="15" hidden="false" customHeight="true" outlineLevel="0" collapsed="false">
      <c r="A716" s="1" t="s">
        <v>1343</v>
      </c>
      <c r="B716" s="1" t="s">
        <v>1316</v>
      </c>
      <c r="C716" s="1" t="s">
        <v>134</v>
      </c>
      <c r="D716" s="1" t="s">
        <v>44</v>
      </c>
      <c r="E716" s="1" t="s">
        <v>66</v>
      </c>
      <c r="F716" s="1" t="s">
        <v>96</v>
      </c>
      <c r="G716" s="1" t="s">
        <v>97</v>
      </c>
      <c r="H716" s="1" t="s">
        <v>69</v>
      </c>
      <c r="I716" s="1" t="s">
        <v>34</v>
      </c>
      <c r="J716" s="1" t="s">
        <v>77</v>
      </c>
      <c r="K716" s="1" t="s">
        <v>90</v>
      </c>
      <c r="L716" s="1" t="s">
        <v>49</v>
      </c>
      <c r="M716" s="1" t="s">
        <v>50</v>
      </c>
      <c r="N716" s="1" t="n">
        <v>12999</v>
      </c>
      <c r="O716" s="1" t="n">
        <v>25</v>
      </c>
      <c r="P716" s="1" t="n">
        <v>3249.75</v>
      </c>
      <c r="Q716" s="1" t="n">
        <v>9749.25</v>
      </c>
      <c r="R716" s="1" t="n">
        <v>1754.87</v>
      </c>
      <c r="S716" s="1" t="n">
        <v>7994.38</v>
      </c>
      <c r="T716" s="1" t="n">
        <v>3203.19</v>
      </c>
      <c r="U716" s="1" t="n">
        <v>4791.19</v>
      </c>
      <c r="V716" s="1" t="n">
        <v>59.93</v>
      </c>
      <c r="W716" s="1" t="s">
        <v>39</v>
      </c>
      <c r="Y716" s="1" t="s">
        <v>40</v>
      </c>
      <c r="Z716" s="1" t="n">
        <v>0</v>
      </c>
      <c r="AA716" s="1" t="str">
        <f aca="false">TRIM(PROPER(F716))</f>
        <v>Pune</v>
      </c>
      <c r="AB716" s="1" t="str">
        <f aca="false">TRIM(PROPER(C716))</f>
        <v>Doubtnut</v>
      </c>
      <c r="AC716" s="1" t="str">
        <f aca="false">IF(O716=0,"No Discount",IF(O716&lt;=15,"Low (1-15%)",IF(O716&lt;=30,"Medium (16-30%)","High (&gt;30%)")))</f>
        <v>Medium (16-30%)</v>
      </c>
      <c r="AD716" s="1" t="str">
        <f aca="false">IF(V716&lt;0,"Loss Making",IF(V716&lt;20,"Low Margin","Healthy Margin"))</f>
        <v>Healthy Margin</v>
      </c>
      <c r="AE716" s="1" t="str">
        <f aca="false">TEXT(DATE(VALUE(RIGHT(B716,4)),VALUE(MID(B716,4,2)),VALUE(LEFT(B716,2))),"MMM-YYYY")</f>
        <v>Jun-2023</v>
      </c>
      <c r="AF716" s="1" t="n">
        <f aca="false">VALUE(RIGHT(B716,4))</f>
        <v>2023</v>
      </c>
      <c r="AG716" s="1" t="str">
        <f aca="false">CHOOSE(ROUNDUP(VALUE(MID(B716,4,2))/3,0),"Q1","Q2","Q3","Q4")</f>
        <v>Q2</v>
      </c>
    </row>
    <row r="717" customFormat="false" ht="15" hidden="false" customHeight="true" outlineLevel="0" collapsed="false">
      <c r="A717" s="1" t="s">
        <v>1344</v>
      </c>
      <c r="B717" s="1" t="s">
        <v>435</v>
      </c>
      <c r="C717" s="1" t="s">
        <v>65</v>
      </c>
      <c r="D717" s="1" t="s">
        <v>168</v>
      </c>
      <c r="E717" s="1" t="s">
        <v>328</v>
      </c>
      <c r="F717" s="1" t="s">
        <v>120</v>
      </c>
      <c r="G717" s="1" t="s">
        <v>47</v>
      </c>
      <c r="H717" s="1" t="s">
        <v>57</v>
      </c>
      <c r="I717" s="1" t="s">
        <v>58</v>
      </c>
      <c r="J717" s="1" t="s">
        <v>35</v>
      </c>
      <c r="K717" s="1" t="s">
        <v>48</v>
      </c>
      <c r="L717" s="1" t="s">
        <v>49</v>
      </c>
      <c r="M717" s="1" t="s">
        <v>50</v>
      </c>
      <c r="N717" s="1" t="n">
        <v>8999</v>
      </c>
      <c r="O717" s="1" t="n">
        <v>10</v>
      </c>
      <c r="P717" s="1" t="n">
        <v>899.9</v>
      </c>
      <c r="Q717" s="1" t="n">
        <v>8099.1</v>
      </c>
      <c r="R717" s="1" t="n">
        <v>1457.84</v>
      </c>
      <c r="S717" s="1" t="n">
        <v>6641.26</v>
      </c>
      <c r="T717" s="1" t="n">
        <v>2403.06</v>
      </c>
      <c r="U717" s="1" t="n">
        <v>4238.2</v>
      </c>
      <c r="V717" s="1" t="n">
        <v>63.82</v>
      </c>
      <c r="W717" s="1" t="s">
        <v>40</v>
      </c>
      <c r="Y717" s="1" t="s">
        <v>40</v>
      </c>
      <c r="Z717" s="1" t="n">
        <v>0</v>
      </c>
      <c r="AA717" s="1" t="str">
        <f aca="false">TRIM(PROPER(F717))</f>
        <v>Mysuru</v>
      </c>
      <c r="AB717" s="1" t="str">
        <f aca="false">TRIM(PROPER(C717))</f>
        <v>Toppr</v>
      </c>
      <c r="AC717" s="1" t="str">
        <f aca="false">IF(O717=0,"No Discount",IF(O717&lt;=15,"Low (1-15%)",IF(O717&lt;=30,"Medium (16-30%)","High (&gt;30%)")))</f>
        <v>Low (1-15%)</v>
      </c>
      <c r="AD717" s="1" t="str">
        <f aca="false">IF(V717&lt;0,"Loss Making",IF(V717&lt;20,"Low Margin","Healthy Margin"))</f>
        <v>Healthy Margin</v>
      </c>
      <c r="AE717" s="1" t="str">
        <f aca="false">TEXT(DATE(VALUE(RIGHT(B717,4)),VALUE(MID(B717,4,2)),VALUE(LEFT(B717,2))),"MMM-YYYY")</f>
        <v>Feb-2024</v>
      </c>
      <c r="AF717" s="1" t="n">
        <f aca="false">VALUE(RIGHT(B717,4))</f>
        <v>2024</v>
      </c>
      <c r="AG717" s="1" t="str">
        <f aca="false">CHOOSE(ROUNDUP(VALUE(MID(B717,4,2))/3,0),"Q1","Q2","Q3","Q4")</f>
        <v>Q1</v>
      </c>
    </row>
    <row r="718" customFormat="false" ht="15" hidden="false" customHeight="true" outlineLevel="0" collapsed="false">
      <c r="A718" s="1" t="s">
        <v>1345</v>
      </c>
      <c r="B718" s="1" t="s">
        <v>1346</v>
      </c>
      <c r="C718" s="1" t="s">
        <v>93</v>
      </c>
      <c r="D718" s="1" t="s">
        <v>53</v>
      </c>
      <c r="E718" s="1" t="s">
        <v>216</v>
      </c>
      <c r="F718" s="1" t="s">
        <v>96</v>
      </c>
      <c r="G718" s="1" t="s">
        <v>97</v>
      </c>
      <c r="H718" s="1" t="s">
        <v>69</v>
      </c>
      <c r="I718" s="1" t="s">
        <v>83</v>
      </c>
      <c r="J718" s="1" t="s">
        <v>35</v>
      </c>
      <c r="K718" s="1" t="s">
        <v>112</v>
      </c>
      <c r="L718" s="1" t="s">
        <v>37</v>
      </c>
      <c r="M718" s="1" t="s">
        <v>38</v>
      </c>
      <c r="N718" s="1" t="n">
        <v>7499</v>
      </c>
      <c r="O718" s="1" t="n">
        <v>30</v>
      </c>
      <c r="P718" s="1" t="n">
        <v>2249.7</v>
      </c>
      <c r="Q718" s="1" t="n">
        <v>5249.3</v>
      </c>
      <c r="R718" s="1" t="n">
        <v>944.87</v>
      </c>
      <c r="S718" s="1" t="n">
        <v>4304.43</v>
      </c>
      <c r="T718" s="1" t="n">
        <v>1532.71</v>
      </c>
      <c r="U718" s="1" t="n">
        <v>2771.72</v>
      </c>
      <c r="V718" s="1" t="n">
        <v>64.39</v>
      </c>
      <c r="W718" s="1" t="s">
        <v>39</v>
      </c>
      <c r="X718" s="1" t="n">
        <v>3.4</v>
      </c>
      <c r="Y718" s="1" t="s">
        <v>40</v>
      </c>
      <c r="Z718" s="1" t="n">
        <v>0</v>
      </c>
      <c r="AA718" s="1" t="str">
        <f aca="false">TRIM(PROPER(F718))</f>
        <v>Pune</v>
      </c>
      <c r="AB718" s="1" t="str">
        <f aca="false">TRIM(PROPER(C718))</f>
        <v>Upgrad</v>
      </c>
      <c r="AC718" s="1" t="str">
        <f aca="false">IF(O718=0,"No Discount",IF(O718&lt;=15,"Low (1-15%)",IF(O718&lt;=30,"Medium (16-30%)","High (&gt;30%)")))</f>
        <v>Medium (16-30%)</v>
      </c>
      <c r="AD718" s="1" t="str">
        <f aca="false">IF(V718&lt;0,"Loss Making",IF(V718&lt;20,"Low Margin","Healthy Margin"))</f>
        <v>Healthy Margin</v>
      </c>
      <c r="AE718" s="1" t="str">
        <f aca="false">TEXT(DATE(VALUE(RIGHT(B718,4)),VALUE(MID(B718,4,2)),VALUE(LEFT(B718,2))),"MMM-YYYY")</f>
        <v>Aug-2024</v>
      </c>
      <c r="AF718" s="1" t="n">
        <f aca="false">VALUE(RIGHT(B718,4))</f>
        <v>2024</v>
      </c>
      <c r="AG718" s="1" t="str">
        <f aca="false">CHOOSE(ROUNDUP(VALUE(MID(B718,4,2))/3,0),"Q1","Q2","Q3","Q4")</f>
        <v>Q3</v>
      </c>
    </row>
    <row r="719" customFormat="false" ht="15" hidden="false" customHeight="true" outlineLevel="0" collapsed="false">
      <c r="A719" s="1" t="s">
        <v>1347</v>
      </c>
      <c r="B719" s="1" t="s">
        <v>1348</v>
      </c>
      <c r="C719" s="1" t="s">
        <v>88</v>
      </c>
      <c r="D719" s="1" t="s">
        <v>80</v>
      </c>
      <c r="E719" s="1" t="s">
        <v>81</v>
      </c>
      <c r="F719" s="1" t="s">
        <v>120</v>
      </c>
      <c r="G719" s="1" t="s">
        <v>47</v>
      </c>
      <c r="H719" s="1" t="s">
        <v>57</v>
      </c>
      <c r="I719" s="1" t="s">
        <v>34</v>
      </c>
      <c r="J719" s="1" t="s">
        <v>70</v>
      </c>
      <c r="K719" s="1" t="s">
        <v>90</v>
      </c>
      <c r="L719" s="1" t="s">
        <v>85</v>
      </c>
      <c r="M719" s="1" t="s">
        <v>50</v>
      </c>
      <c r="N719" s="1" t="n">
        <v>12999</v>
      </c>
      <c r="O719" s="1" t="n">
        <v>50</v>
      </c>
      <c r="P719" s="1" t="n">
        <v>6499.5</v>
      </c>
      <c r="Q719" s="1" t="n">
        <v>6499.5</v>
      </c>
      <c r="R719" s="1" t="n">
        <v>1169.91</v>
      </c>
      <c r="S719" s="1" t="n">
        <v>5329.59</v>
      </c>
      <c r="T719" s="1" t="n">
        <v>2709.96</v>
      </c>
      <c r="U719" s="1" t="n">
        <v>2619.63</v>
      </c>
      <c r="V719" s="1" t="n">
        <v>49.15</v>
      </c>
      <c r="W719" s="1" t="s">
        <v>39</v>
      </c>
      <c r="X719" s="1" t="n">
        <v>4</v>
      </c>
      <c r="Y719" s="1" t="s">
        <v>40</v>
      </c>
      <c r="Z719" s="1" t="n">
        <v>1</v>
      </c>
      <c r="AA719" s="1" t="str">
        <f aca="false">TRIM(PROPER(F719))</f>
        <v>Mysuru</v>
      </c>
      <c r="AB719" s="1" t="str">
        <f aca="false">TRIM(PROPER(C719))</f>
        <v>Byju'S</v>
      </c>
      <c r="AC719" s="1" t="str">
        <f aca="false">IF(O719=0,"No Discount",IF(O719&lt;=15,"Low (1-15%)",IF(O719&lt;=30,"Medium (16-30%)","High (&gt;30%)")))</f>
        <v>High (&gt;30%)</v>
      </c>
      <c r="AD719" s="1" t="str">
        <f aca="false">IF(V719&lt;0,"Loss Making",IF(V719&lt;20,"Low Margin","Healthy Margin"))</f>
        <v>Healthy Margin</v>
      </c>
      <c r="AE719" s="1" t="str">
        <f aca="false">TEXT(DATE(VALUE(RIGHT(B719,4)),VALUE(MID(B719,4,2)),VALUE(LEFT(B719,2))),"MMM-YYYY")</f>
        <v>Jul-2024</v>
      </c>
      <c r="AF719" s="1" t="n">
        <f aca="false">VALUE(RIGHT(B719,4))</f>
        <v>2024</v>
      </c>
      <c r="AG719" s="1" t="str">
        <f aca="false">CHOOSE(ROUNDUP(VALUE(MID(B719,4,2))/3,0),"Q1","Q2","Q3","Q4")</f>
        <v>Q3</v>
      </c>
    </row>
    <row r="720" customFormat="false" ht="15" hidden="false" customHeight="true" outlineLevel="0" collapsed="false">
      <c r="A720" s="1" t="s">
        <v>1349</v>
      </c>
      <c r="B720" s="1" t="s">
        <v>1350</v>
      </c>
      <c r="C720" s="1" t="s">
        <v>139</v>
      </c>
      <c r="D720" s="1" t="s">
        <v>168</v>
      </c>
      <c r="E720" s="1" t="s">
        <v>169</v>
      </c>
      <c r="F720" s="1" t="s">
        <v>130</v>
      </c>
      <c r="G720" s="1" t="s">
        <v>47</v>
      </c>
      <c r="H720" s="1" t="s">
        <v>69</v>
      </c>
      <c r="I720" s="1" t="s">
        <v>83</v>
      </c>
      <c r="J720" s="1" t="s">
        <v>77</v>
      </c>
      <c r="K720" s="1" t="s">
        <v>60</v>
      </c>
      <c r="L720" s="1" t="s">
        <v>136</v>
      </c>
      <c r="M720" s="1" t="s">
        <v>50</v>
      </c>
      <c r="N720" s="1" t="n">
        <v>4999</v>
      </c>
      <c r="O720" s="1" t="n">
        <v>15</v>
      </c>
      <c r="P720" s="1" t="n">
        <v>749.85</v>
      </c>
      <c r="Q720" s="1" t="n">
        <v>4249.15</v>
      </c>
      <c r="R720" s="1" t="n">
        <v>764.85</v>
      </c>
      <c r="S720" s="1" t="n">
        <v>3484.3</v>
      </c>
      <c r="T720" s="1" t="n">
        <v>1442.61</v>
      </c>
      <c r="U720" s="1" t="n">
        <v>2041.69</v>
      </c>
      <c r="V720" s="1" t="n">
        <v>58.6</v>
      </c>
      <c r="W720" s="1" t="s">
        <v>39</v>
      </c>
      <c r="X720" s="1" t="n">
        <v>3.7</v>
      </c>
      <c r="Y720" s="1" t="s">
        <v>40</v>
      </c>
      <c r="Z720" s="1" t="n">
        <v>0</v>
      </c>
      <c r="AA720" s="1" t="str">
        <f aca="false">TRIM(PROPER(F720))</f>
        <v>Bengaluru</v>
      </c>
      <c r="AB720" s="1" t="str">
        <f aca="false">TRIM(PROPER(C720))</f>
        <v>Extramarks</v>
      </c>
      <c r="AC720" s="1" t="str">
        <f aca="false">IF(O720=0,"No Discount",IF(O720&lt;=15,"Low (1-15%)",IF(O720&lt;=30,"Medium (16-30%)","High (&gt;30%)")))</f>
        <v>Low (1-15%)</v>
      </c>
      <c r="AD720" s="1" t="str">
        <f aca="false">IF(V720&lt;0,"Loss Making",IF(V720&lt;20,"Low Margin","Healthy Margin"))</f>
        <v>Healthy Margin</v>
      </c>
      <c r="AE720" s="1" t="str">
        <f aca="false">TEXT(DATE(VALUE(RIGHT(B720,4)),VALUE(MID(B720,4,2)),VALUE(LEFT(B720,2))),"MMM-YYYY")</f>
        <v>Mar-2024</v>
      </c>
      <c r="AF720" s="1" t="n">
        <f aca="false">VALUE(RIGHT(B720,4))</f>
        <v>2024</v>
      </c>
      <c r="AG720" s="1" t="str">
        <f aca="false">CHOOSE(ROUNDUP(VALUE(MID(B720,4,2))/3,0),"Q1","Q2","Q3","Q4")</f>
        <v>Q1</v>
      </c>
    </row>
    <row r="721" customFormat="false" ht="15" hidden="false" customHeight="true" outlineLevel="0" collapsed="false">
      <c r="A721" s="1" t="s">
        <v>1351</v>
      </c>
      <c r="B721" s="1" t="s">
        <v>1352</v>
      </c>
      <c r="C721" s="1" t="s">
        <v>65</v>
      </c>
      <c r="D721" s="1" t="s">
        <v>94</v>
      </c>
      <c r="E721" s="1" t="s">
        <v>101</v>
      </c>
      <c r="F721" s="1" t="s">
        <v>107</v>
      </c>
      <c r="G721" s="1" t="s">
        <v>108</v>
      </c>
      <c r="H721" s="1" t="s">
        <v>33</v>
      </c>
      <c r="I721" s="1" t="s">
        <v>34</v>
      </c>
      <c r="J721" s="1" t="s">
        <v>131</v>
      </c>
      <c r="K721" s="1" t="s">
        <v>104</v>
      </c>
      <c r="L721" s="1" t="s">
        <v>61</v>
      </c>
      <c r="M721" s="1" t="s">
        <v>38</v>
      </c>
      <c r="N721" s="1" t="n">
        <v>14999</v>
      </c>
      <c r="O721" s="1" t="n">
        <v>40</v>
      </c>
      <c r="P721" s="1" t="n">
        <v>5999.6</v>
      </c>
      <c r="Q721" s="1" t="n">
        <v>8999.4</v>
      </c>
      <c r="R721" s="1" t="n">
        <v>1619.89</v>
      </c>
      <c r="S721" s="1" t="n">
        <v>7379.51</v>
      </c>
      <c r="T721" s="1" t="n">
        <v>3785.77</v>
      </c>
      <c r="U721" s="1" t="n">
        <v>3593.74</v>
      </c>
      <c r="V721" s="1" t="n">
        <v>48.7</v>
      </c>
      <c r="W721" s="1" t="s">
        <v>40</v>
      </c>
      <c r="Y721" s="1" t="s">
        <v>40</v>
      </c>
      <c r="Z721" s="1" t="n">
        <v>1</v>
      </c>
      <c r="AA721" s="1" t="str">
        <f aca="false">TRIM(PROPER(F721))</f>
        <v>Madurai</v>
      </c>
      <c r="AB721" s="1" t="str">
        <f aca="false">TRIM(PROPER(C721))</f>
        <v>Toppr</v>
      </c>
      <c r="AC721" s="1" t="str">
        <f aca="false">IF(O721=0,"No Discount",IF(O721&lt;=15,"Low (1-15%)",IF(O721&lt;=30,"Medium (16-30%)","High (&gt;30%)")))</f>
        <v>High (&gt;30%)</v>
      </c>
      <c r="AD721" s="1" t="str">
        <f aca="false">IF(V721&lt;0,"Loss Making",IF(V721&lt;20,"Low Margin","Healthy Margin"))</f>
        <v>Healthy Margin</v>
      </c>
      <c r="AE721" s="1" t="str">
        <f aca="false">TEXT(DATE(VALUE(RIGHT(B721,4)),VALUE(MID(B721,4,2)),VALUE(LEFT(B721,2))),"MMM-YYYY")</f>
        <v>Jul-2023</v>
      </c>
      <c r="AF721" s="1" t="n">
        <f aca="false">VALUE(RIGHT(B721,4))</f>
        <v>2023</v>
      </c>
      <c r="AG721" s="1" t="str">
        <f aca="false">CHOOSE(ROUNDUP(VALUE(MID(B721,4,2))/3,0),"Q1","Q2","Q3","Q4")</f>
        <v>Q3</v>
      </c>
    </row>
    <row r="722" customFormat="false" ht="15" hidden="false" customHeight="true" outlineLevel="0" collapsed="false">
      <c r="A722" s="1" t="s">
        <v>1353</v>
      </c>
      <c r="B722" s="1" t="s">
        <v>158</v>
      </c>
      <c r="C722" s="1" t="s">
        <v>264</v>
      </c>
      <c r="D722" s="1" t="s">
        <v>80</v>
      </c>
      <c r="E722" s="1" t="s">
        <v>190</v>
      </c>
      <c r="F722" s="1" t="s">
        <v>244</v>
      </c>
      <c r="G722" s="1" t="s">
        <v>97</v>
      </c>
      <c r="H722" s="1" t="s">
        <v>57</v>
      </c>
      <c r="I722" s="1" t="s">
        <v>34</v>
      </c>
      <c r="J722" s="1" t="s">
        <v>70</v>
      </c>
      <c r="K722" s="1" t="s">
        <v>112</v>
      </c>
      <c r="L722" s="1" t="s">
        <v>113</v>
      </c>
      <c r="M722" s="1" t="s">
        <v>50</v>
      </c>
      <c r="N722" s="1" t="n">
        <v>15999</v>
      </c>
      <c r="O722" s="1" t="n">
        <v>15</v>
      </c>
      <c r="P722" s="1" t="n">
        <v>2399.85</v>
      </c>
      <c r="Q722" s="1" t="n">
        <v>13599.15</v>
      </c>
      <c r="R722" s="1" t="n">
        <v>2447.85</v>
      </c>
      <c r="S722" s="1" t="n">
        <v>11151.3</v>
      </c>
      <c r="T722" s="1" t="n">
        <v>4879.42</v>
      </c>
      <c r="U722" s="1" t="n">
        <v>6271.88</v>
      </c>
      <c r="V722" s="1" t="n">
        <v>56.24</v>
      </c>
      <c r="W722" s="1" t="s">
        <v>39</v>
      </c>
      <c r="X722" s="1" t="n">
        <v>4.2</v>
      </c>
      <c r="Y722" s="1" t="s">
        <v>40</v>
      </c>
      <c r="Z722" s="1" t="n">
        <v>1</v>
      </c>
      <c r="AA722" s="1" t="str">
        <f aca="false">TRIM(PROPER(F722))</f>
        <v>Nagpur</v>
      </c>
      <c r="AB722" s="1" t="str">
        <f aca="false">TRIM(PROPER(C722))</f>
        <v>Unacademy</v>
      </c>
      <c r="AC722" s="1" t="str">
        <f aca="false">IF(O722=0,"No Discount",IF(O722&lt;=15,"Low (1-15%)",IF(O722&lt;=30,"Medium (16-30%)","High (&gt;30%)")))</f>
        <v>Low (1-15%)</v>
      </c>
      <c r="AD722" s="1" t="str">
        <f aca="false">IF(V722&lt;0,"Loss Making",IF(V722&lt;20,"Low Margin","Healthy Margin"))</f>
        <v>Healthy Margin</v>
      </c>
      <c r="AE722" s="1" t="str">
        <f aca="false">TEXT(DATE(VALUE(RIGHT(B722,4)),VALUE(MID(B722,4,2)),VALUE(LEFT(B722,2))),"MMM-YYYY")</f>
        <v>Jan-2024</v>
      </c>
      <c r="AF722" s="1" t="n">
        <f aca="false">VALUE(RIGHT(B722,4))</f>
        <v>2024</v>
      </c>
      <c r="AG722" s="1" t="str">
        <f aca="false">CHOOSE(ROUNDUP(VALUE(MID(B722,4,2))/3,0),"Q1","Q2","Q3","Q4")</f>
        <v>Q1</v>
      </c>
    </row>
    <row r="723" customFormat="false" ht="15" hidden="false" customHeight="true" outlineLevel="0" collapsed="false">
      <c r="A723" s="1" t="s">
        <v>1354</v>
      </c>
      <c r="B723" s="1" t="s">
        <v>1355</v>
      </c>
      <c r="C723" s="1" t="s">
        <v>134</v>
      </c>
      <c r="D723" s="1" t="s">
        <v>44</v>
      </c>
      <c r="E723" s="1" t="s">
        <v>66</v>
      </c>
      <c r="F723" s="1" t="s">
        <v>120</v>
      </c>
      <c r="G723" s="1" t="s">
        <v>47</v>
      </c>
      <c r="H723" s="1" t="s">
        <v>57</v>
      </c>
      <c r="I723" s="1" t="s">
        <v>34</v>
      </c>
      <c r="J723" s="1" t="s">
        <v>131</v>
      </c>
      <c r="K723" s="1" t="s">
        <v>60</v>
      </c>
      <c r="L723" s="1" t="s">
        <v>113</v>
      </c>
      <c r="M723" s="1" t="s">
        <v>38</v>
      </c>
      <c r="N723" s="1" t="n">
        <v>12999</v>
      </c>
      <c r="O723" s="1" t="n">
        <v>25</v>
      </c>
      <c r="P723" s="1" t="n">
        <v>3249.75</v>
      </c>
      <c r="Q723" s="1" t="n">
        <v>9749.25</v>
      </c>
      <c r="R723" s="1" t="n">
        <v>1754.87</v>
      </c>
      <c r="S723" s="1" t="n">
        <v>7994.38</v>
      </c>
      <c r="T723" s="1" t="n">
        <v>3620.83</v>
      </c>
      <c r="U723" s="1" t="n">
        <v>4373.55</v>
      </c>
      <c r="V723" s="1" t="n">
        <v>54.71</v>
      </c>
      <c r="W723" s="1" t="s">
        <v>40</v>
      </c>
      <c r="Y723" s="1" t="s">
        <v>40</v>
      </c>
      <c r="Z723" s="1" t="n">
        <v>0</v>
      </c>
      <c r="AA723" s="1" t="str">
        <f aca="false">TRIM(PROPER(F723))</f>
        <v>Mysuru</v>
      </c>
      <c r="AB723" s="1" t="str">
        <f aca="false">TRIM(PROPER(C723))</f>
        <v>Doubtnut</v>
      </c>
      <c r="AC723" s="1" t="str">
        <f aca="false">IF(O723=0,"No Discount",IF(O723&lt;=15,"Low (1-15%)",IF(O723&lt;=30,"Medium (16-30%)","High (&gt;30%)")))</f>
        <v>Medium (16-30%)</v>
      </c>
      <c r="AD723" s="1" t="str">
        <f aca="false">IF(V723&lt;0,"Loss Making",IF(V723&lt;20,"Low Margin","Healthy Margin"))</f>
        <v>Healthy Margin</v>
      </c>
      <c r="AE723" s="1" t="str">
        <f aca="false">TEXT(DATE(VALUE(RIGHT(B723,4)),VALUE(MID(B723,4,2)),VALUE(LEFT(B723,2))),"MMM-YYYY")</f>
        <v>Aug-2024</v>
      </c>
      <c r="AF723" s="1" t="n">
        <f aca="false">VALUE(RIGHT(B723,4))</f>
        <v>2024</v>
      </c>
      <c r="AG723" s="1" t="str">
        <f aca="false">CHOOSE(ROUNDUP(VALUE(MID(B723,4,2))/3,0),"Q1","Q2","Q3","Q4")</f>
        <v>Q3</v>
      </c>
    </row>
    <row r="724" customFormat="false" ht="15" hidden="false" customHeight="true" outlineLevel="0" collapsed="false">
      <c r="A724" s="1" t="s">
        <v>1356</v>
      </c>
      <c r="B724" s="1" t="s">
        <v>539</v>
      </c>
      <c r="C724" s="1" t="s">
        <v>264</v>
      </c>
      <c r="D724" s="1" t="s">
        <v>53</v>
      </c>
      <c r="E724" s="1" t="s">
        <v>54</v>
      </c>
      <c r="F724" s="1" t="s">
        <v>102</v>
      </c>
      <c r="G724" s="1" t="s">
        <v>103</v>
      </c>
      <c r="H724" s="1" t="s">
        <v>33</v>
      </c>
      <c r="I724" s="1" t="s">
        <v>34</v>
      </c>
      <c r="J724" s="1" t="s">
        <v>131</v>
      </c>
      <c r="K724" s="1" t="s">
        <v>71</v>
      </c>
      <c r="L724" s="1" t="s">
        <v>49</v>
      </c>
      <c r="M724" s="1" t="s">
        <v>62</v>
      </c>
      <c r="N724" s="1" t="n">
        <v>11999</v>
      </c>
      <c r="O724" s="1" t="n">
        <v>0</v>
      </c>
      <c r="P724" s="1" t="n">
        <v>0</v>
      </c>
      <c r="Q724" s="1" t="n">
        <v>11999</v>
      </c>
      <c r="R724" s="1" t="n">
        <v>2159.82</v>
      </c>
      <c r="S724" s="1" t="n">
        <v>9839.18</v>
      </c>
      <c r="T724" s="1" t="n">
        <v>4028.9</v>
      </c>
      <c r="U724" s="1" t="n">
        <v>5810.28</v>
      </c>
      <c r="V724" s="1" t="n">
        <v>59.05</v>
      </c>
      <c r="W724" s="1" t="s">
        <v>40</v>
      </c>
      <c r="Y724" s="1" t="s">
        <v>39</v>
      </c>
      <c r="Z724" s="1" t="n">
        <v>0</v>
      </c>
      <c r="AA724" s="1" t="str">
        <f aca="false">TRIM(PROPER(F724))</f>
        <v>Warangal</v>
      </c>
      <c r="AB724" s="1" t="str">
        <f aca="false">TRIM(PROPER(C724))</f>
        <v>Unacademy</v>
      </c>
      <c r="AC724" s="1" t="str">
        <f aca="false">IF(O724=0,"No Discount",IF(O724&lt;=15,"Low (1-15%)",IF(O724&lt;=30,"Medium (16-30%)","High (&gt;30%)")))</f>
        <v>No Discount</v>
      </c>
      <c r="AD724" s="1" t="str">
        <f aca="false">IF(V724&lt;0,"Loss Making",IF(V724&lt;20,"Low Margin","Healthy Margin"))</f>
        <v>Healthy Margin</v>
      </c>
      <c r="AE724" s="1" t="str">
        <f aca="false">TEXT(DATE(VALUE(RIGHT(B724,4)),VALUE(MID(B724,4,2)),VALUE(LEFT(B724,2))),"MMM-YYYY")</f>
        <v>Feb-2023</v>
      </c>
      <c r="AF724" s="1" t="n">
        <f aca="false">VALUE(RIGHT(B724,4))</f>
        <v>2023</v>
      </c>
      <c r="AG724" s="1" t="str">
        <f aca="false">CHOOSE(ROUNDUP(VALUE(MID(B724,4,2))/3,0),"Q1","Q2","Q3","Q4")</f>
        <v>Q1</v>
      </c>
    </row>
    <row r="725" customFormat="false" ht="15" hidden="false" customHeight="true" outlineLevel="0" collapsed="false">
      <c r="A725" s="1" t="s">
        <v>1357</v>
      </c>
      <c r="B725" s="1" t="s">
        <v>520</v>
      </c>
      <c r="C725" s="1" t="s">
        <v>249</v>
      </c>
      <c r="D725" s="1" t="s">
        <v>80</v>
      </c>
      <c r="E725" s="1" t="s">
        <v>81</v>
      </c>
      <c r="F725" s="1" t="s">
        <v>82</v>
      </c>
      <c r="G725" s="1" t="s">
        <v>56</v>
      </c>
      <c r="H725" s="1" t="s">
        <v>69</v>
      </c>
      <c r="I725" s="1" t="s">
        <v>34</v>
      </c>
      <c r="J725" s="1" t="s">
        <v>77</v>
      </c>
      <c r="K725" s="1" t="s">
        <v>36</v>
      </c>
      <c r="L725" s="1" t="s">
        <v>113</v>
      </c>
      <c r="M725" s="1" t="s">
        <v>38</v>
      </c>
      <c r="N725" s="1" t="n">
        <v>12999</v>
      </c>
      <c r="O725" s="1" t="n">
        <v>30</v>
      </c>
      <c r="P725" s="1" t="n">
        <v>3899.7</v>
      </c>
      <c r="Q725" s="1" t="n">
        <v>9099.3</v>
      </c>
      <c r="R725" s="1" t="n">
        <v>1637.87</v>
      </c>
      <c r="S725" s="1" t="n">
        <v>7461.43</v>
      </c>
      <c r="T725" s="1" t="n">
        <v>2988.26</v>
      </c>
      <c r="U725" s="1" t="n">
        <v>4473.17</v>
      </c>
      <c r="V725" s="1" t="n">
        <v>59.95</v>
      </c>
      <c r="W725" s="1" t="s">
        <v>40</v>
      </c>
      <c r="Y725" s="1" t="s">
        <v>40</v>
      </c>
      <c r="Z725" s="1" t="n">
        <v>2</v>
      </c>
      <c r="AA725" s="1" t="str">
        <f aca="false">TRIM(PROPER(F725))</f>
        <v>Gurugram</v>
      </c>
      <c r="AB725" s="1" t="str">
        <f aca="false">TRIM(PROPER(C725))</f>
        <v>Whitehat Jr</v>
      </c>
      <c r="AC725" s="1" t="str">
        <f aca="false">IF(O725=0,"No Discount",IF(O725&lt;=15,"Low (1-15%)",IF(O725&lt;=30,"Medium (16-30%)","High (&gt;30%)")))</f>
        <v>Medium (16-30%)</v>
      </c>
      <c r="AD725" s="1" t="str">
        <f aca="false">IF(V725&lt;0,"Loss Making",IF(V725&lt;20,"Low Margin","Healthy Margin"))</f>
        <v>Healthy Margin</v>
      </c>
      <c r="AE725" s="1" t="str">
        <f aca="false">TEXT(DATE(VALUE(RIGHT(B725,4)),VALUE(MID(B725,4,2)),VALUE(LEFT(B725,2))),"MMM-YYYY")</f>
        <v>Jul-2024</v>
      </c>
      <c r="AF725" s="1" t="n">
        <f aca="false">VALUE(RIGHT(B725,4))</f>
        <v>2024</v>
      </c>
      <c r="AG725" s="1" t="str">
        <f aca="false">CHOOSE(ROUNDUP(VALUE(MID(B725,4,2))/3,0),"Q1","Q2","Q3","Q4")</f>
        <v>Q3</v>
      </c>
    </row>
    <row r="726" customFormat="false" ht="15" hidden="false" customHeight="true" outlineLevel="0" collapsed="false">
      <c r="A726" s="1" t="s">
        <v>1358</v>
      </c>
      <c r="B726" s="1" t="s">
        <v>1163</v>
      </c>
      <c r="C726" s="1" t="s">
        <v>139</v>
      </c>
      <c r="D726" s="1" t="s">
        <v>29</v>
      </c>
      <c r="E726" s="1" t="s">
        <v>30</v>
      </c>
      <c r="F726" s="1" t="s">
        <v>107</v>
      </c>
      <c r="G726" s="1" t="s">
        <v>108</v>
      </c>
      <c r="H726" s="1" t="s">
        <v>33</v>
      </c>
      <c r="I726" s="1" t="s">
        <v>83</v>
      </c>
      <c r="J726" s="1" t="s">
        <v>131</v>
      </c>
      <c r="K726" s="1" t="s">
        <v>104</v>
      </c>
      <c r="L726" s="1" t="s">
        <v>113</v>
      </c>
      <c r="M726" s="1" t="s">
        <v>50</v>
      </c>
      <c r="N726" s="1" t="n">
        <v>7999</v>
      </c>
      <c r="O726" s="1" t="n">
        <v>0</v>
      </c>
      <c r="P726" s="1" t="n">
        <v>0</v>
      </c>
      <c r="Q726" s="1" t="n">
        <v>7999</v>
      </c>
      <c r="R726" s="1" t="n">
        <v>1439.82</v>
      </c>
      <c r="S726" s="1" t="n">
        <v>6559.18</v>
      </c>
      <c r="T726" s="1" t="n">
        <v>3004.17</v>
      </c>
      <c r="U726" s="1" t="n">
        <v>3555.01</v>
      </c>
      <c r="V726" s="1" t="n">
        <v>54.2</v>
      </c>
      <c r="W726" s="1" t="s">
        <v>39</v>
      </c>
      <c r="X726" s="1" t="n">
        <v>4.5</v>
      </c>
      <c r="Y726" s="1" t="s">
        <v>40</v>
      </c>
      <c r="Z726" s="1" t="n">
        <v>0</v>
      </c>
      <c r="AA726" s="1" t="str">
        <f aca="false">TRIM(PROPER(F726))</f>
        <v>Madurai</v>
      </c>
      <c r="AB726" s="1" t="str">
        <f aca="false">TRIM(PROPER(C726))</f>
        <v>Extramarks</v>
      </c>
      <c r="AC726" s="1" t="str">
        <f aca="false">IF(O726=0,"No Discount",IF(O726&lt;=15,"Low (1-15%)",IF(O726&lt;=30,"Medium (16-30%)","High (&gt;30%)")))</f>
        <v>No Discount</v>
      </c>
      <c r="AD726" s="1" t="str">
        <f aca="false">IF(V726&lt;0,"Loss Making",IF(V726&lt;20,"Low Margin","Healthy Margin"))</f>
        <v>Healthy Margin</v>
      </c>
      <c r="AE726" s="1" t="str">
        <f aca="false">TEXT(DATE(VALUE(RIGHT(B726,4)),VALUE(MID(B726,4,2)),VALUE(LEFT(B726,2))),"MMM-YYYY")</f>
        <v>May-2024</v>
      </c>
      <c r="AF726" s="1" t="n">
        <f aca="false">VALUE(RIGHT(B726,4))</f>
        <v>2024</v>
      </c>
      <c r="AG726" s="1" t="str">
        <f aca="false">CHOOSE(ROUNDUP(VALUE(MID(B726,4,2))/3,0),"Q1","Q2","Q3","Q4")</f>
        <v>Q2</v>
      </c>
    </row>
    <row r="727" customFormat="false" ht="15" hidden="false" customHeight="true" outlineLevel="0" collapsed="false">
      <c r="A727" s="1" t="s">
        <v>1359</v>
      </c>
      <c r="B727" s="1" t="s">
        <v>933</v>
      </c>
      <c r="C727" s="1" t="s">
        <v>134</v>
      </c>
      <c r="D727" s="1" t="s">
        <v>53</v>
      </c>
      <c r="E727" s="1" t="s">
        <v>116</v>
      </c>
      <c r="F727" s="1" t="s">
        <v>285</v>
      </c>
      <c r="G727" s="1" t="s">
        <v>47</v>
      </c>
      <c r="H727" s="1" t="s">
        <v>33</v>
      </c>
      <c r="I727" s="1" t="s">
        <v>83</v>
      </c>
      <c r="J727" s="1" t="s">
        <v>77</v>
      </c>
      <c r="K727" s="1" t="s">
        <v>36</v>
      </c>
      <c r="L727" s="1" t="s">
        <v>37</v>
      </c>
      <c r="M727" s="1" t="s">
        <v>62</v>
      </c>
      <c r="N727" s="1" t="n">
        <v>9999</v>
      </c>
      <c r="O727" s="1" t="n">
        <v>50</v>
      </c>
      <c r="P727" s="1" t="n">
        <v>4999.5</v>
      </c>
      <c r="Q727" s="1" t="n">
        <v>4999.5</v>
      </c>
      <c r="R727" s="1" t="n">
        <v>899.91</v>
      </c>
      <c r="S727" s="1" t="n">
        <v>4099.59</v>
      </c>
      <c r="T727" s="1" t="n">
        <v>2343.93</v>
      </c>
      <c r="U727" s="1" t="n">
        <v>1755.66</v>
      </c>
      <c r="V727" s="1" t="n">
        <v>42.83</v>
      </c>
      <c r="W727" s="1" t="s">
        <v>39</v>
      </c>
      <c r="X727" s="1" t="n">
        <v>4</v>
      </c>
      <c r="Y727" s="1" t="s">
        <v>40</v>
      </c>
      <c r="Z727" s="1" t="n">
        <v>0</v>
      </c>
      <c r="AA727" s="1" t="str">
        <f aca="false">TRIM(PROPER(F727))</f>
        <v>Mangaluru</v>
      </c>
      <c r="AB727" s="1" t="str">
        <f aca="false">TRIM(PROPER(C727))</f>
        <v>Doubtnut</v>
      </c>
      <c r="AC727" s="1" t="str">
        <f aca="false">IF(O727=0,"No Discount",IF(O727&lt;=15,"Low (1-15%)",IF(O727&lt;=30,"Medium (16-30%)","High (&gt;30%)")))</f>
        <v>High (&gt;30%)</v>
      </c>
      <c r="AD727" s="1" t="str">
        <f aca="false">IF(V727&lt;0,"Loss Making",IF(V727&lt;20,"Low Margin","Healthy Margin"))</f>
        <v>Healthy Margin</v>
      </c>
      <c r="AE727" s="1" t="str">
        <f aca="false">TEXT(DATE(VALUE(RIGHT(B727,4)),VALUE(MID(B727,4,2)),VALUE(LEFT(B727,2))),"MMM-YYYY")</f>
        <v>Sep-2023</v>
      </c>
      <c r="AF727" s="1" t="n">
        <f aca="false">VALUE(RIGHT(B727,4))</f>
        <v>2023</v>
      </c>
      <c r="AG727" s="1" t="str">
        <f aca="false">CHOOSE(ROUNDUP(VALUE(MID(B727,4,2))/3,0),"Q1","Q2","Q3","Q4")</f>
        <v>Q3</v>
      </c>
    </row>
    <row r="728" customFormat="false" ht="15" hidden="false" customHeight="true" outlineLevel="0" collapsed="false">
      <c r="A728" s="1" t="s">
        <v>1360</v>
      </c>
      <c r="B728" s="1" t="s">
        <v>127</v>
      </c>
      <c r="C728" s="1" t="s">
        <v>93</v>
      </c>
      <c r="D728" s="1" t="s">
        <v>44</v>
      </c>
      <c r="E728" s="1" t="s">
        <v>66</v>
      </c>
      <c r="F728" s="1" t="s">
        <v>31</v>
      </c>
      <c r="G728" s="1" t="s">
        <v>32</v>
      </c>
      <c r="H728" s="1" t="s">
        <v>33</v>
      </c>
      <c r="I728" s="1" t="s">
        <v>34</v>
      </c>
      <c r="J728" s="1" t="s">
        <v>35</v>
      </c>
      <c r="K728" s="1" t="s">
        <v>60</v>
      </c>
      <c r="L728" s="1" t="s">
        <v>85</v>
      </c>
      <c r="M728" s="1" t="s">
        <v>50</v>
      </c>
      <c r="N728" s="1" t="n">
        <v>12999</v>
      </c>
      <c r="O728" s="1" t="n">
        <v>40</v>
      </c>
      <c r="P728" s="1" t="n">
        <v>5199.6</v>
      </c>
      <c r="Q728" s="1" t="n">
        <v>7799.4</v>
      </c>
      <c r="R728" s="1" t="n">
        <v>1403.89</v>
      </c>
      <c r="S728" s="1" t="n">
        <v>6395.51</v>
      </c>
      <c r="T728" s="1" t="n">
        <v>3576.63</v>
      </c>
      <c r="U728" s="1" t="n">
        <v>2818.88</v>
      </c>
      <c r="V728" s="1" t="n">
        <v>44.08</v>
      </c>
      <c r="W728" s="1" t="s">
        <v>40</v>
      </c>
      <c r="Y728" s="1" t="s">
        <v>40</v>
      </c>
      <c r="Z728" s="1" t="n">
        <v>0</v>
      </c>
      <c r="AA728" s="1" t="str">
        <f aca="false">TRIM(PROPER(F728))</f>
        <v>Jodhpur</v>
      </c>
      <c r="AB728" s="1" t="str">
        <f aca="false">TRIM(PROPER(C728))</f>
        <v>Upgrad</v>
      </c>
      <c r="AC728" s="1" t="str">
        <f aca="false">IF(O728=0,"No Discount",IF(O728&lt;=15,"Low (1-15%)",IF(O728&lt;=30,"Medium (16-30%)","High (&gt;30%)")))</f>
        <v>High (&gt;30%)</v>
      </c>
      <c r="AD728" s="1" t="str">
        <f aca="false">IF(V728&lt;0,"Loss Making",IF(V728&lt;20,"Low Margin","Healthy Margin"))</f>
        <v>Healthy Margin</v>
      </c>
      <c r="AE728" s="1" t="str">
        <f aca="false">TEXT(DATE(VALUE(RIGHT(B728,4)),VALUE(MID(B728,4,2)),VALUE(LEFT(B728,2))),"MMM-YYYY")</f>
        <v>Dec-2024</v>
      </c>
      <c r="AF728" s="1" t="n">
        <f aca="false">VALUE(RIGHT(B728,4))</f>
        <v>2024</v>
      </c>
      <c r="AG728" s="1" t="str">
        <f aca="false">CHOOSE(ROUNDUP(VALUE(MID(B728,4,2))/3,0),"Q1","Q2","Q3","Q4")</f>
        <v>Q4</v>
      </c>
    </row>
    <row r="729" customFormat="false" ht="15" hidden="false" customHeight="true" outlineLevel="0" collapsed="false">
      <c r="A729" s="1" t="s">
        <v>1361</v>
      </c>
      <c r="B729" s="1" t="s">
        <v>1294</v>
      </c>
      <c r="C729" s="1" t="s">
        <v>264</v>
      </c>
      <c r="D729" s="1" t="s">
        <v>80</v>
      </c>
      <c r="E729" s="1" t="s">
        <v>175</v>
      </c>
      <c r="F729" s="1" t="s">
        <v>96</v>
      </c>
      <c r="G729" s="1" t="s">
        <v>97</v>
      </c>
      <c r="H729" s="1" t="s">
        <v>69</v>
      </c>
      <c r="I729" s="1" t="s">
        <v>34</v>
      </c>
      <c r="J729" s="1" t="s">
        <v>70</v>
      </c>
      <c r="K729" s="1" t="s">
        <v>71</v>
      </c>
      <c r="L729" s="1" t="s">
        <v>113</v>
      </c>
      <c r="M729" s="1" t="s">
        <v>38</v>
      </c>
      <c r="N729" s="1" t="n">
        <v>19999</v>
      </c>
      <c r="O729" s="1" t="n">
        <v>40</v>
      </c>
      <c r="P729" s="1" t="n">
        <v>7999.6</v>
      </c>
      <c r="Q729" s="1" t="n">
        <v>11999.4</v>
      </c>
      <c r="R729" s="1" t="n">
        <v>2159.89</v>
      </c>
      <c r="S729" s="1" t="n">
        <v>9839.51</v>
      </c>
      <c r="T729" s="1" t="n">
        <v>4677.32</v>
      </c>
      <c r="U729" s="1" t="n">
        <v>5162.19</v>
      </c>
      <c r="V729" s="1" t="n">
        <v>52.46</v>
      </c>
      <c r="W729" s="1" t="s">
        <v>39</v>
      </c>
      <c r="X729" s="1" t="n">
        <v>4.1</v>
      </c>
      <c r="Y729" s="1" t="s">
        <v>40</v>
      </c>
      <c r="Z729" s="1" t="n">
        <v>0</v>
      </c>
      <c r="AA729" s="1" t="str">
        <f aca="false">TRIM(PROPER(F729))</f>
        <v>Pune</v>
      </c>
      <c r="AB729" s="1" t="str">
        <f aca="false">TRIM(PROPER(C729))</f>
        <v>Unacademy</v>
      </c>
      <c r="AC729" s="1" t="str">
        <f aca="false">IF(O729=0,"No Discount",IF(O729&lt;=15,"Low (1-15%)",IF(O729&lt;=30,"Medium (16-30%)","High (&gt;30%)")))</f>
        <v>High (&gt;30%)</v>
      </c>
      <c r="AD729" s="1" t="str">
        <f aca="false">IF(V729&lt;0,"Loss Making",IF(V729&lt;20,"Low Margin","Healthy Margin"))</f>
        <v>Healthy Margin</v>
      </c>
      <c r="AE729" s="1" t="str">
        <f aca="false">TEXT(DATE(VALUE(RIGHT(B729,4)),VALUE(MID(B729,4,2)),VALUE(LEFT(B729,2))),"MMM-YYYY")</f>
        <v>Apr-2024</v>
      </c>
      <c r="AF729" s="1" t="n">
        <f aca="false">VALUE(RIGHT(B729,4))</f>
        <v>2024</v>
      </c>
      <c r="AG729" s="1" t="str">
        <f aca="false">CHOOSE(ROUNDUP(VALUE(MID(B729,4,2))/3,0),"Q1","Q2","Q3","Q4")</f>
        <v>Q2</v>
      </c>
    </row>
    <row r="730" customFormat="false" ht="15" hidden="false" customHeight="true" outlineLevel="0" collapsed="false">
      <c r="A730" s="1" t="s">
        <v>1362</v>
      </c>
      <c r="B730" s="1" t="s">
        <v>42</v>
      </c>
      <c r="C730" s="1" t="s">
        <v>43</v>
      </c>
      <c r="D730" s="1" t="s">
        <v>44</v>
      </c>
      <c r="E730" s="1" t="s">
        <v>221</v>
      </c>
      <c r="F730" s="1" t="s">
        <v>1363</v>
      </c>
      <c r="G730" s="1" t="s">
        <v>68</v>
      </c>
      <c r="H730" s="1" t="s">
        <v>33</v>
      </c>
      <c r="I730" s="1" t="s">
        <v>34</v>
      </c>
      <c r="J730" s="1" t="s">
        <v>70</v>
      </c>
      <c r="K730" s="1" t="s">
        <v>84</v>
      </c>
      <c r="L730" s="1" t="s">
        <v>37</v>
      </c>
      <c r="M730" s="1" t="s">
        <v>38</v>
      </c>
      <c r="N730" s="1" t="n">
        <v>16999</v>
      </c>
      <c r="O730" s="1" t="n">
        <v>50</v>
      </c>
      <c r="P730" s="1" t="n">
        <v>8499.5</v>
      </c>
      <c r="Q730" s="1" t="n">
        <v>8499.5</v>
      </c>
      <c r="R730" s="1" t="n">
        <v>1529.91</v>
      </c>
      <c r="S730" s="1" t="n">
        <v>6969.59</v>
      </c>
      <c r="T730" s="1" t="n">
        <v>4073.43</v>
      </c>
      <c r="U730" s="1" t="n">
        <v>2896.16</v>
      </c>
      <c r="V730" s="1" t="n">
        <v>41.55</v>
      </c>
      <c r="W730" s="1" t="s">
        <v>40</v>
      </c>
      <c r="Y730" s="1" t="s">
        <v>39</v>
      </c>
      <c r="Z730" s="1" t="n">
        <v>0</v>
      </c>
      <c r="AA730" s="1" t="str">
        <f aca="false">TRIM(PROPER(F730))</f>
        <v>Vadodara</v>
      </c>
      <c r="AB730" s="1" t="str">
        <f aca="false">TRIM(PROPER(C730))</f>
        <v>Meritnation</v>
      </c>
      <c r="AC730" s="1" t="str">
        <f aca="false">IF(O730=0,"No Discount",IF(O730&lt;=15,"Low (1-15%)",IF(O730&lt;=30,"Medium (16-30%)","High (&gt;30%)")))</f>
        <v>High (&gt;30%)</v>
      </c>
      <c r="AD730" s="1" t="str">
        <f aca="false">IF(V730&lt;0,"Loss Making",IF(V730&lt;20,"Low Margin","Healthy Margin"))</f>
        <v>Healthy Margin</v>
      </c>
      <c r="AE730" s="1" t="str">
        <f aca="false">TEXT(DATE(VALUE(RIGHT(B730,4)),VALUE(MID(B730,4,2)),VALUE(LEFT(B730,2))),"MMM-YYYY")</f>
        <v>Dec-2023</v>
      </c>
      <c r="AF730" s="1" t="n">
        <f aca="false">VALUE(RIGHT(B730,4))</f>
        <v>2023</v>
      </c>
      <c r="AG730" s="1" t="str">
        <f aca="false">CHOOSE(ROUNDUP(VALUE(MID(B730,4,2))/3,0),"Q1","Q2","Q3","Q4")</f>
        <v>Q4</v>
      </c>
    </row>
    <row r="731" customFormat="false" ht="15" hidden="false" customHeight="true" outlineLevel="0" collapsed="false">
      <c r="A731" s="1" t="s">
        <v>1364</v>
      </c>
      <c r="B731" s="1" t="s">
        <v>373</v>
      </c>
      <c r="C731" s="1" t="s">
        <v>249</v>
      </c>
      <c r="D731" s="1" t="s">
        <v>123</v>
      </c>
      <c r="E731" s="1" t="s">
        <v>147</v>
      </c>
      <c r="F731" s="1" t="s">
        <v>150</v>
      </c>
      <c r="G731" s="1" t="s">
        <v>32</v>
      </c>
      <c r="H731" s="1" t="s">
        <v>57</v>
      </c>
      <c r="I731" s="1" t="s">
        <v>83</v>
      </c>
      <c r="J731" s="1" t="s">
        <v>131</v>
      </c>
      <c r="K731" s="1" t="s">
        <v>60</v>
      </c>
      <c r="L731" s="1" t="s">
        <v>113</v>
      </c>
      <c r="M731" s="1" t="s">
        <v>62</v>
      </c>
      <c r="N731" s="1" t="n">
        <v>6999</v>
      </c>
      <c r="O731" s="1" t="n">
        <v>25</v>
      </c>
      <c r="P731" s="1" t="n">
        <v>1749.75</v>
      </c>
      <c r="Q731" s="1" t="n">
        <v>5249.25</v>
      </c>
      <c r="R731" s="1" t="n">
        <v>944.87</v>
      </c>
      <c r="S731" s="1" t="n">
        <v>4304.38</v>
      </c>
      <c r="T731" s="1" t="n">
        <v>1636.21</v>
      </c>
      <c r="U731" s="1" t="n">
        <v>2668.17</v>
      </c>
      <c r="V731" s="1" t="n">
        <v>61.99</v>
      </c>
      <c r="W731" s="1" t="s">
        <v>40</v>
      </c>
      <c r="Y731" s="1" t="s">
        <v>40</v>
      </c>
      <c r="Z731" s="1" t="n">
        <v>2</v>
      </c>
      <c r="AA731" s="1" t="str">
        <f aca="false">TRIM(PROPER(F731))</f>
        <v>Jaipur</v>
      </c>
      <c r="AB731" s="1" t="str">
        <f aca="false">TRIM(PROPER(C731))</f>
        <v>Whitehat Jr</v>
      </c>
      <c r="AC731" s="1" t="str">
        <f aca="false">IF(O731=0,"No Discount",IF(O731&lt;=15,"Low (1-15%)",IF(O731&lt;=30,"Medium (16-30%)","High (&gt;30%)")))</f>
        <v>Medium (16-30%)</v>
      </c>
      <c r="AD731" s="1" t="str">
        <f aca="false">IF(V731&lt;0,"Loss Making",IF(V731&lt;20,"Low Margin","Healthy Margin"))</f>
        <v>Healthy Margin</v>
      </c>
      <c r="AE731" s="1" t="str">
        <f aca="false">TEXT(DATE(VALUE(RIGHT(B731,4)),VALUE(MID(B731,4,2)),VALUE(LEFT(B731,2))),"MMM-YYYY")</f>
        <v>Oct-2024</v>
      </c>
      <c r="AF731" s="1" t="n">
        <f aca="false">VALUE(RIGHT(B731,4))</f>
        <v>2024</v>
      </c>
      <c r="AG731" s="1" t="str">
        <f aca="false">CHOOSE(ROUNDUP(VALUE(MID(B731,4,2))/3,0),"Q1","Q2","Q3","Q4")</f>
        <v>Q4</v>
      </c>
    </row>
    <row r="732" customFormat="false" ht="15" hidden="false" customHeight="true" outlineLevel="0" collapsed="false">
      <c r="A732" s="1" t="s">
        <v>1365</v>
      </c>
      <c r="B732" s="1" t="s">
        <v>601</v>
      </c>
      <c r="C732" s="1" t="s">
        <v>139</v>
      </c>
      <c r="D732" s="1" t="s">
        <v>123</v>
      </c>
      <c r="E732" s="1" t="s">
        <v>124</v>
      </c>
      <c r="F732" s="1" t="s">
        <v>194</v>
      </c>
      <c r="G732" s="1" t="s">
        <v>103</v>
      </c>
      <c r="H732" s="1" t="s">
        <v>69</v>
      </c>
      <c r="I732" s="1" t="s">
        <v>34</v>
      </c>
      <c r="J732" s="1" t="s">
        <v>77</v>
      </c>
      <c r="K732" s="1" t="s">
        <v>71</v>
      </c>
      <c r="L732" s="1" t="s">
        <v>49</v>
      </c>
      <c r="M732" s="1" t="s">
        <v>38</v>
      </c>
      <c r="N732" s="1" t="n">
        <v>4999</v>
      </c>
      <c r="O732" s="1" t="n">
        <v>40</v>
      </c>
      <c r="P732" s="1" t="n">
        <v>1999.6</v>
      </c>
      <c r="Q732" s="1" t="n">
        <v>2999.4</v>
      </c>
      <c r="R732" s="1" t="n">
        <v>539.89</v>
      </c>
      <c r="S732" s="1" t="n">
        <v>2459.51</v>
      </c>
      <c r="T732" s="1" t="n">
        <v>1193.67</v>
      </c>
      <c r="U732" s="1" t="n">
        <v>1265.84</v>
      </c>
      <c r="V732" s="1" t="n">
        <v>51.47</v>
      </c>
      <c r="W732" s="1" t="s">
        <v>40</v>
      </c>
      <c r="Y732" s="1" t="s">
        <v>40</v>
      </c>
      <c r="Z732" s="1" t="n">
        <v>0</v>
      </c>
      <c r="AA732" s="1" t="str">
        <f aca="false">TRIM(PROPER(F732))</f>
        <v>Hyderabad</v>
      </c>
      <c r="AB732" s="1" t="str">
        <f aca="false">TRIM(PROPER(C732))</f>
        <v>Extramarks</v>
      </c>
      <c r="AC732" s="1" t="str">
        <f aca="false">IF(O732=0,"No Discount",IF(O732&lt;=15,"Low (1-15%)",IF(O732&lt;=30,"Medium (16-30%)","High (&gt;30%)")))</f>
        <v>High (&gt;30%)</v>
      </c>
      <c r="AD732" s="1" t="str">
        <f aca="false">IF(V732&lt;0,"Loss Making",IF(V732&lt;20,"Low Margin","Healthy Margin"))</f>
        <v>Healthy Margin</v>
      </c>
      <c r="AE732" s="1" t="str">
        <f aca="false">TEXT(DATE(VALUE(RIGHT(B732,4)),VALUE(MID(B732,4,2)),VALUE(LEFT(B732,2))),"MMM-YYYY")</f>
        <v>Jun-2023</v>
      </c>
      <c r="AF732" s="1" t="n">
        <f aca="false">VALUE(RIGHT(B732,4))</f>
        <v>2023</v>
      </c>
      <c r="AG732" s="1" t="str">
        <f aca="false">CHOOSE(ROUNDUP(VALUE(MID(B732,4,2))/3,0),"Q1","Q2","Q3","Q4")</f>
        <v>Q2</v>
      </c>
    </row>
    <row r="733" customFormat="false" ht="15" hidden="false" customHeight="true" outlineLevel="0" collapsed="false">
      <c r="A733" s="1" t="s">
        <v>1366</v>
      </c>
      <c r="B733" s="1" t="s">
        <v>1367</v>
      </c>
      <c r="C733" s="1" t="s">
        <v>249</v>
      </c>
      <c r="D733" s="1" t="s">
        <v>168</v>
      </c>
      <c r="E733" s="1" t="s">
        <v>169</v>
      </c>
      <c r="F733" s="1" t="s">
        <v>75</v>
      </c>
      <c r="G733" s="1" t="s">
        <v>76</v>
      </c>
      <c r="H733" s="1" t="s">
        <v>69</v>
      </c>
      <c r="I733" s="1" t="s">
        <v>83</v>
      </c>
      <c r="J733" s="1" t="s">
        <v>77</v>
      </c>
      <c r="K733" s="1" t="s">
        <v>60</v>
      </c>
      <c r="L733" s="1" t="s">
        <v>37</v>
      </c>
      <c r="M733" s="1" t="s">
        <v>62</v>
      </c>
      <c r="N733" s="1" t="n">
        <v>4999</v>
      </c>
      <c r="O733" s="1" t="n">
        <v>5</v>
      </c>
      <c r="P733" s="1" t="n">
        <v>249.95</v>
      </c>
      <c r="Q733" s="1" t="n">
        <v>4749.05</v>
      </c>
      <c r="R733" s="1" t="n">
        <v>854.83</v>
      </c>
      <c r="S733" s="1" t="n">
        <v>3894.22</v>
      </c>
      <c r="T733" s="1" t="n">
        <v>1686.26</v>
      </c>
      <c r="U733" s="1" t="n">
        <v>2207.96</v>
      </c>
      <c r="V733" s="1" t="n">
        <v>56.7</v>
      </c>
      <c r="W733" s="1" t="s">
        <v>40</v>
      </c>
      <c r="Y733" s="1" t="s">
        <v>39</v>
      </c>
      <c r="Z733" s="1" t="n">
        <v>1</v>
      </c>
      <c r="AA733" s="1" t="str">
        <f aca="false">TRIM(PROPER(F733))</f>
        <v>Kolkata</v>
      </c>
      <c r="AB733" s="1" t="str">
        <f aca="false">TRIM(PROPER(C733))</f>
        <v>Whitehat Jr</v>
      </c>
      <c r="AC733" s="1" t="str">
        <f aca="false">IF(O733=0,"No Discount",IF(O733&lt;=15,"Low (1-15%)",IF(O733&lt;=30,"Medium (16-30%)","High (&gt;30%)")))</f>
        <v>Low (1-15%)</v>
      </c>
      <c r="AD733" s="1" t="str">
        <f aca="false">IF(V733&lt;0,"Loss Making",IF(V733&lt;20,"Low Margin","Healthy Margin"))</f>
        <v>Healthy Margin</v>
      </c>
      <c r="AE733" s="1" t="str">
        <f aca="false">TEXT(DATE(VALUE(RIGHT(B733,4)),VALUE(MID(B733,4,2)),VALUE(LEFT(B733,2))),"MMM-YYYY")</f>
        <v>Apr-2023</v>
      </c>
      <c r="AF733" s="1" t="n">
        <f aca="false">VALUE(RIGHT(B733,4))</f>
        <v>2023</v>
      </c>
      <c r="AG733" s="1" t="str">
        <f aca="false">CHOOSE(ROUNDUP(VALUE(MID(B733,4,2))/3,0),"Q1","Q2","Q3","Q4")</f>
        <v>Q2</v>
      </c>
    </row>
    <row r="734" customFormat="false" ht="15" hidden="false" customHeight="true" outlineLevel="0" collapsed="false">
      <c r="A734" s="1" t="s">
        <v>1368</v>
      </c>
      <c r="B734" s="1" t="s">
        <v>1369</v>
      </c>
      <c r="C734" s="1" t="s">
        <v>128</v>
      </c>
      <c r="D734" s="1" t="s">
        <v>29</v>
      </c>
      <c r="E734" s="1" t="s">
        <v>129</v>
      </c>
      <c r="F734" s="1" t="s">
        <v>184</v>
      </c>
      <c r="G734" s="1" t="s">
        <v>56</v>
      </c>
      <c r="H734" s="1" t="s">
        <v>57</v>
      </c>
      <c r="I734" s="1" t="s">
        <v>58</v>
      </c>
      <c r="J734" s="1" t="s">
        <v>59</v>
      </c>
      <c r="K734" s="1" t="s">
        <v>60</v>
      </c>
      <c r="L734" s="1" t="s">
        <v>61</v>
      </c>
      <c r="M734" s="1" t="s">
        <v>38</v>
      </c>
      <c r="N734" s="1" t="n">
        <v>29999</v>
      </c>
      <c r="O734" s="1" t="n">
        <v>30</v>
      </c>
      <c r="P734" s="1" t="n">
        <v>8999.7</v>
      </c>
      <c r="Q734" s="1" t="n">
        <v>20999.3</v>
      </c>
      <c r="R734" s="1" t="n">
        <v>3779.87</v>
      </c>
      <c r="S734" s="1" t="n">
        <v>17219.43</v>
      </c>
      <c r="T734" s="1" t="n">
        <v>7816.53</v>
      </c>
      <c r="U734" s="1" t="n">
        <v>9402.9</v>
      </c>
      <c r="V734" s="1" t="n">
        <v>54.61</v>
      </c>
      <c r="W734" s="1" t="s">
        <v>39</v>
      </c>
      <c r="X734" s="1" t="n">
        <v>3.8</v>
      </c>
      <c r="Y734" s="1" t="s">
        <v>40</v>
      </c>
      <c r="Z734" s="1" t="n">
        <v>0</v>
      </c>
      <c r="AA734" s="1" t="str">
        <f aca="false">TRIM(PROPER(F734))</f>
        <v>Faridabad</v>
      </c>
      <c r="AB734" s="1" t="str">
        <f aca="false">TRIM(PROPER(C734))</f>
        <v>Great Learning</v>
      </c>
      <c r="AC734" s="1" t="str">
        <f aca="false">IF(O734=0,"No Discount",IF(O734&lt;=15,"Low (1-15%)",IF(O734&lt;=30,"Medium (16-30%)","High (&gt;30%)")))</f>
        <v>Medium (16-30%)</v>
      </c>
      <c r="AD734" s="1" t="str">
        <f aca="false">IF(V734&lt;0,"Loss Making",IF(V734&lt;20,"Low Margin","Healthy Margin"))</f>
        <v>Healthy Margin</v>
      </c>
      <c r="AE734" s="1" t="str">
        <f aca="false">TEXT(DATE(VALUE(RIGHT(B734,4)),VALUE(MID(B734,4,2)),VALUE(LEFT(B734,2))),"MMM-YYYY")</f>
        <v>Oct-2023</v>
      </c>
      <c r="AF734" s="1" t="n">
        <f aca="false">VALUE(RIGHT(B734,4))</f>
        <v>2023</v>
      </c>
      <c r="AG734" s="1" t="str">
        <f aca="false">CHOOSE(ROUNDUP(VALUE(MID(B734,4,2))/3,0),"Q1","Q2","Q3","Q4")</f>
        <v>Q4</v>
      </c>
    </row>
    <row r="735" customFormat="false" ht="15" hidden="false" customHeight="true" outlineLevel="0" collapsed="false">
      <c r="A735" s="1" t="s">
        <v>1370</v>
      </c>
      <c r="B735" s="1" t="s">
        <v>1054</v>
      </c>
      <c r="C735" s="1" t="s">
        <v>204</v>
      </c>
      <c r="D735" s="1" t="s">
        <v>29</v>
      </c>
      <c r="E735" s="1" t="s">
        <v>30</v>
      </c>
      <c r="F735" s="1" t="s">
        <v>75</v>
      </c>
      <c r="G735" s="1" t="s">
        <v>76</v>
      </c>
      <c r="H735" s="1" t="s">
        <v>69</v>
      </c>
      <c r="I735" s="1" t="s">
        <v>83</v>
      </c>
      <c r="J735" s="1" t="s">
        <v>70</v>
      </c>
      <c r="K735" s="1" t="s">
        <v>112</v>
      </c>
      <c r="L735" s="1" t="s">
        <v>113</v>
      </c>
      <c r="M735" s="1" t="s">
        <v>50</v>
      </c>
      <c r="N735" s="1" t="n">
        <v>7999</v>
      </c>
      <c r="O735" s="1" t="n">
        <v>15</v>
      </c>
      <c r="P735" s="1" t="n">
        <v>1199.85</v>
      </c>
      <c r="Q735" s="1" t="n">
        <v>6799.15</v>
      </c>
      <c r="R735" s="1" t="n">
        <v>1223.85</v>
      </c>
      <c r="S735" s="1" t="n">
        <v>5575.3</v>
      </c>
      <c r="T735" s="1" t="n">
        <v>2181.58</v>
      </c>
      <c r="U735" s="1" t="n">
        <v>3393.72</v>
      </c>
      <c r="V735" s="1" t="n">
        <v>60.87</v>
      </c>
      <c r="W735" s="1" t="s">
        <v>39</v>
      </c>
      <c r="X735" s="1" t="n">
        <v>3.7</v>
      </c>
      <c r="Y735" s="1" t="s">
        <v>40</v>
      </c>
      <c r="Z735" s="1" t="n">
        <v>0</v>
      </c>
      <c r="AA735" s="1" t="str">
        <f aca="false">TRIM(PROPER(F735))</f>
        <v>Kolkata</v>
      </c>
      <c r="AB735" s="1" t="str">
        <f aca="false">TRIM(PROPER(C735))</f>
        <v>Byju'S</v>
      </c>
      <c r="AC735" s="1" t="str">
        <f aca="false">IF(O735=0,"No Discount",IF(O735&lt;=15,"Low (1-15%)",IF(O735&lt;=30,"Medium (16-30%)","High (&gt;30%)")))</f>
        <v>Low (1-15%)</v>
      </c>
      <c r="AD735" s="1" t="str">
        <f aca="false">IF(V735&lt;0,"Loss Making",IF(V735&lt;20,"Low Margin","Healthy Margin"))</f>
        <v>Healthy Margin</v>
      </c>
      <c r="AE735" s="1" t="str">
        <f aca="false">TEXT(DATE(VALUE(RIGHT(B735,4)),VALUE(MID(B735,4,2)),VALUE(LEFT(B735,2))),"MMM-YYYY")</f>
        <v>Nov-2024</v>
      </c>
      <c r="AF735" s="1" t="n">
        <f aca="false">VALUE(RIGHT(B735,4))</f>
        <v>2024</v>
      </c>
      <c r="AG735" s="1" t="str">
        <f aca="false">CHOOSE(ROUNDUP(VALUE(MID(B735,4,2))/3,0),"Q1","Q2","Q3","Q4")</f>
        <v>Q4</v>
      </c>
    </row>
    <row r="736" customFormat="false" ht="15" hidden="false" customHeight="true" outlineLevel="0" collapsed="false">
      <c r="A736" s="1" t="s">
        <v>1371</v>
      </c>
      <c r="B736" s="1" t="s">
        <v>1372</v>
      </c>
      <c r="C736" s="1" t="s">
        <v>65</v>
      </c>
      <c r="D736" s="1" t="s">
        <v>44</v>
      </c>
      <c r="E736" s="1" t="s">
        <v>66</v>
      </c>
      <c r="F736" s="1" t="s">
        <v>153</v>
      </c>
      <c r="G736" s="1" t="s">
        <v>76</v>
      </c>
      <c r="H736" s="1" t="s">
        <v>33</v>
      </c>
      <c r="I736" s="1" t="s">
        <v>34</v>
      </c>
      <c r="J736" s="1" t="s">
        <v>70</v>
      </c>
      <c r="K736" s="1" t="s">
        <v>112</v>
      </c>
      <c r="L736" s="1" t="s">
        <v>61</v>
      </c>
      <c r="M736" s="1" t="s">
        <v>38</v>
      </c>
      <c r="N736" s="1" t="n">
        <v>12999</v>
      </c>
      <c r="O736" s="1" t="n">
        <v>10</v>
      </c>
      <c r="P736" s="1" t="n">
        <v>1299.9</v>
      </c>
      <c r="Q736" s="1" t="n">
        <v>11699.1</v>
      </c>
      <c r="R736" s="1" t="n">
        <v>2105.84</v>
      </c>
      <c r="S736" s="1" t="n">
        <v>9593.26</v>
      </c>
      <c r="T736" s="1" t="n">
        <v>3720.03</v>
      </c>
      <c r="U736" s="1" t="n">
        <v>5873.23</v>
      </c>
      <c r="V736" s="1" t="n">
        <v>61.22</v>
      </c>
      <c r="W736" s="1" t="s">
        <v>39</v>
      </c>
      <c r="Y736" s="1" t="s">
        <v>40</v>
      </c>
      <c r="Z736" s="1" t="n">
        <v>2</v>
      </c>
      <c r="AA736" s="1" t="str">
        <f aca="false">TRIM(PROPER(F736))</f>
        <v>Howrah</v>
      </c>
      <c r="AB736" s="1" t="str">
        <f aca="false">TRIM(PROPER(C736))</f>
        <v>Toppr</v>
      </c>
      <c r="AC736" s="1" t="str">
        <f aca="false">IF(O736=0,"No Discount",IF(O736&lt;=15,"Low (1-15%)",IF(O736&lt;=30,"Medium (16-30%)","High (&gt;30%)")))</f>
        <v>Low (1-15%)</v>
      </c>
      <c r="AD736" s="1" t="str">
        <f aca="false">IF(V736&lt;0,"Loss Making",IF(V736&lt;20,"Low Margin","Healthy Margin"))</f>
        <v>Healthy Margin</v>
      </c>
      <c r="AE736" s="1" t="str">
        <f aca="false">TEXT(DATE(VALUE(RIGHT(B736,4)),VALUE(MID(B736,4,2)),VALUE(LEFT(B736,2))),"MMM-YYYY")</f>
        <v>Dec-2023</v>
      </c>
      <c r="AF736" s="1" t="n">
        <f aca="false">VALUE(RIGHT(B736,4))</f>
        <v>2023</v>
      </c>
      <c r="AG736" s="1" t="str">
        <f aca="false">CHOOSE(ROUNDUP(VALUE(MID(B736,4,2))/3,0),"Q1","Q2","Q3","Q4")</f>
        <v>Q4</v>
      </c>
    </row>
    <row r="737" customFormat="false" ht="15" hidden="false" customHeight="true" outlineLevel="0" collapsed="false">
      <c r="A737" s="1" t="s">
        <v>1373</v>
      </c>
      <c r="B737" s="1" t="s">
        <v>805</v>
      </c>
      <c r="C737" s="1" t="s">
        <v>167</v>
      </c>
      <c r="D737" s="1" t="s">
        <v>44</v>
      </c>
      <c r="E737" s="1" t="s">
        <v>45</v>
      </c>
      <c r="F737" s="1" t="s">
        <v>96</v>
      </c>
      <c r="G737" s="1" t="s">
        <v>97</v>
      </c>
      <c r="H737" s="1" t="s">
        <v>69</v>
      </c>
      <c r="I737" s="1" t="s">
        <v>58</v>
      </c>
      <c r="J737" s="1" t="s">
        <v>77</v>
      </c>
      <c r="K737" s="1" t="s">
        <v>104</v>
      </c>
      <c r="L737" s="1" t="s">
        <v>113</v>
      </c>
      <c r="M737" s="1" t="s">
        <v>62</v>
      </c>
      <c r="N737" s="1" t="n">
        <v>11999</v>
      </c>
      <c r="O737" s="1" t="n">
        <v>0</v>
      </c>
      <c r="P737" s="1" t="n">
        <v>0</v>
      </c>
      <c r="Q737" s="1" t="n">
        <v>11999</v>
      </c>
      <c r="R737" s="1" t="n">
        <v>2159.82</v>
      </c>
      <c r="S737" s="1" t="n">
        <v>9839.18</v>
      </c>
      <c r="T737" s="1" t="n">
        <v>3118.55</v>
      </c>
      <c r="U737" s="1" t="n">
        <v>6720.63</v>
      </c>
      <c r="V737" s="1" t="n">
        <v>68.3</v>
      </c>
      <c r="W737" s="1" t="s">
        <v>39</v>
      </c>
      <c r="X737" s="1" t="n">
        <v>3.8</v>
      </c>
      <c r="Y737" s="1" t="s">
        <v>40</v>
      </c>
      <c r="Z737" s="1" t="n">
        <v>0</v>
      </c>
      <c r="AA737" s="1" t="str">
        <f aca="false">TRIM(PROPER(F737))</f>
        <v>Pune</v>
      </c>
      <c r="AB737" s="1" t="str">
        <f aca="false">TRIM(PROPER(C737))</f>
        <v>Scaler</v>
      </c>
      <c r="AC737" s="1" t="str">
        <f aca="false">IF(O737=0,"No Discount",IF(O737&lt;=15,"Low (1-15%)",IF(O737&lt;=30,"Medium (16-30%)","High (&gt;30%)")))</f>
        <v>No Discount</v>
      </c>
      <c r="AD737" s="1" t="str">
        <f aca="false">IF(V737&lt;0,"Loss Making",IF(V737&lt;20,"Low Margin","Healthy Margin"))</f>
        <v>Healthy Margin</v>
      </c>
      <c r="AE737" s="1" t="str">
        <f aca="false">TEXT(DATE(VALUE(RIGHT(B737,4)),VALUE(MID(B737,4,2)),VALUE(LEFT(B737,2))),"MMM-YYYY")</f>
        <v>Jan-2023</v>
      </c>
      <c r="AF737" s="1" t="n">
        <f aca="false">VALUE(RIGHT(B737,4))</f>
        <v>2023</v>
      </c>
      <c r="AG737" s="1" t="str">
        <f aca="false">CHOOSE(ROUNDUP(VALUE(MID(B737,4,2))/3,0),"Q1","Q2","Q3","Q4")</f>
        <v>Q1</v>
      </c>
    </row>
    <row r="738" customFormat="false" ht="15" hidden="false" customHeight="true" outlineLevel="0" collapsed="false">
      <c r="A738" s="1" t="s">
        <v>1374</v>
      </c>
      <c r="B738" s="1" t="s">
        <v>1375</v>
      </c>
      <c r="C738" s="1" t="s">
        <v>134</v>
      </c>
      <c r="D738" s="1" t="s">
        <v>53</v>
      </c>
      <c r="E738" s="1" t="s">
        <v>54</v>
      </c>
      <c r="F738" s="1" t="s">
        <v>194</v>
      </c>
      <c r="G738" s="1" t="s">
        <v>103</v>
      </c>
      <c r="H738" s="1" t="s">
        <v>69</v>
      </c>
      <c r="I738" s="1" t="s">
        <v>58</v>
      </c>
      <c r="J738" s="1" t="s">
        <v>35</v>
      </c>
      <c r="K738" s="1" t="s">
        <v>90</v>
      </c>
      <c r="L738" s="1" t="s">
        <v>85</v>
      </c>
      <c r="M738" s="1" t="s">
        <v>62</v>
      </c>
      <c r="N738" s="1" t="n">
        <v>11999</v>
      </c>
      <c r="O738" s="1" t="n">
        <v>25</v>
      </c>
      <c r="P738" s="1" t="n">
        <v>2999.75</v>
      </c>
      <c r="Q738" s="1" t="n">
        <v>8999.25</v>
      </c>
      <c r="R738" s="1" t="n">
        <v>1619.87</v>
      </c>
      <c r="S738" s="1" t="n">
        <v>7379.38</v>
      </c>
      <c r="T738" s="1" t="n">
        <v>2825.87</v>
      </c>
      <c r="U738" s="1" t="n">
        <v>4553.51</v>
      </c>
      <c r="V738" s="1" t="n">
        <v>61.71</v>
      </c>
      <c r="W738" s="1" t="s">
        <v>39</v>
      </c>
      <c r="X738" s="1" t="n">
        <v>3.1</v>
      </c>
      <c r="Y738" s="1" t="s">
        <v>40</v>
      </c>
      <c r="Z738" s="1" t="n">
        <v>0</v>
      </c>
      <c r="AA738" s="1" t="str">
        <f aca="false">TRIM(PROPER(F738))</f>
        <v>Hyderabad</v>
      </c>
      <c r="AB738" s="1" t="str">
        <f aca="false">TRIM(PROPER(C738))</f>
        <v>Doubtnut</v>
      </c>
      <c r="AC738" s="1" t="str">
        <f aca="false">IF(O738=0,"No Discount",IF(O738&lt;=15,"Low (1-15%)",IF(O738&lt;=30,"Medium (16-30%)","High (&gt;30%)")))</f>
        <v>Medium (16-30%)</v>
      </c>
      <c r="AD738" s="1" t="str">
        <f aca="false">IF(V738&lt;0,"Loss Making",IF(V738&lt;20,"Low Margin","Healthy Margin"))</f>
        <v>Healthy Margin</v>
      </c>
      <c r="AE738" s="1" t="str">
        <f aca="false">TEXT(DATE(VALUE(RIGHT(B738,4)),VALUE(MID(B738,4,2)),VALUE(LEFT(B738,2))),"MMM-YYYY")</f>
        <v>Oct-2023</v>
      </c>
      <c r="AF738" s="1" t="n">
        <f aca="false">VALUE(RIGHT(B738,4))</f>
        <v>2023</v>
      </c>
      <c r="AG738" s="1" t="str">
        <f aca="false">CHOOSE(ROUNDUP(VALUE(MID(B738,4,2))/3,0),"Q1","Q2","Q3","Q4")</f>
        <v>Q4</v>
      </c>
    </row>
    <row r="739" customFormat="false" ht="15" hidden="false" customHeight="true" outlineLevel="0" collapsed="false">
      <c r="A739" s="1" t="s">
        <v>1376</v>
      </c>
      <c r="B739" s="1" t="s">
        <v>452</v>
      </c>
      <c r="C739" s="1" t="s">
        <v>139</v>
      </c>
      <c r="D739" s="1" t="s">
        <v>53</v>
      </c>
      <c r="E739" s="1" t="s">
        <v>116</v>
      </c>
      <c r="F739" s="1" t="s">
        <v>187</v>
      </c>
      <c r="G739" s="1" t="s">
        <v>97</v>
      </c>
      <c r="H739" s="1" t="s">
        <v>69</v>
      </c>
      <c r="I739" s="1" t="s">
        <v>58</v>
      </c>
      <c r="J739" s="1" t="s">
        <v>35</v>
      </c>
      <c r="K739" s="1" t="s">
        <v>104</v>
      </c>
      <c r="L739" s="1" t="s">
        <v>113</v>
      </c>
      <c r="M739" s="1" t="s">
        <v>38</v>
      </c>
      <c r="N739" s="1" t="n">
        <v>9999</v>
      </c>
      <c r="O739" s="1" t="n">
        <v>30</v>
      </c>
      <c r="P739" s="1" t="n">
        <v>2999.7</v>
      </c>
      <c r="Q739" s="1" t="n">
        <v>6999.3</v>
      </c>
      <c r="R739" s="1" t="n">
        <v>1259.87</v>
      </c>
      <c r="S739" s="1" t="n">
        <v>5739.43</v>
      </c>
      <c r="T739" s="1" t="n">
        <v>2076.71</v>
      </c>
      <c r="U739" s="1" t="n">
        <v>3662.72</v>
      </c>
      <c r="V739" s="1" t="n">
        <v>63.82</v>
      </c>
      <c r="W739" s="1" t="s">
        <v>39</v>
      </c>
      <c r="X739" s="1" t="n">
        <v>4.1</v>
      </c>
      <c r="Y739" s="1" t="s">
        <v>40</v>
      </c>
      <c r="Z739" s="1" t="n">
        <v>0</v>
      </c>
      <c r="AA739" s="1" t="str">
        <f aca="false">TRIM(PROPER(F739))</f>
        <v>Mumbai</v>
      </c>
      <c r="AB739" s="1" t="str">
        <f aca="false">TRIM(PROPER(C739))</f>
        <v>Extramarks</v>
      </c>
      <c r="AC739" s="1" t="str">
        <f aca="false">IF(O739=0,"No Discount",IF(O739&lt;=15,"Low (1-15%)",IF(O739&lt;=30,"Medium (16-30%)","High (&gt;30%)")))</f>
        <v>Medium (16-30%)</v>
      </c>
      <c r="AD739" s="1" t="str">
        <f aca="false">IF(V739&lt;0,"Loss Making",IF(V739&lt;20,"Low Margin","Healthy Margin"))</f>
        <v>Healthy Margin</v>
      </c>
      <c r="AE739" s="1" t="str">
        <f aca="false">TEXT(DATE(VALUE(RIGHT(B739,4)),VALUE(MID(B739,4,2)),VALUE(LEFT(B739,2))),"MMM-YYYY")</f>
        <v>Jul-2023</v>
      </c>
      <c r="AF739" s="1" t="n">
        <f aca="false">VALUE(RIGHT(B739,4))</f>
        <v>2023</v>
      </c>
      <c r="AG739" s="1" t="str">
        <f aca="false">CHOOSE(ROUNDUP(VALUE(MID(B739,4,2))/3,0),"Q1","Q2","Q3","Q4")</f>
        <v>Q3</v>
      </c>
    </row>
    <row r="740" customFormat="false" ht="15" hidden="false" customHeight="true" outlineLevel="0" collapsed="false">
      <c r="A740" s="1" t="s">
        <v>1377</v>
      </c>
      <c r="B740" s="1" t="s">
        <v>1378</v>
      </c>
      <c r="C740" s="1" t="s">
        <v>128</v>
      </c>
      <c r="D740" s="1" t="s">
        <v>94</v>
      </c>
      <c r="E740" s="1" t="s">
        <v>101</v>
      </c>
      <c r="F740" s="1" t="s">
        <v>244</v>
      </c>
      <c r="G740" s="1" t="s">
        <v>97</v>
      </c>
      <c r="H740" s="1" t="s">
        <v>57</v>
      </c>
      <c r="I740" s="1" t="s">
        <v>83</v>
      </c>
      <c r="J740" s="1" t="s">
        <v>131</v>
      </c>
      <c r="K740" s="1" t="s">
        <v>71</v>
      </c>
      <c r="L740" s="1" t="s">
        <v>61</v>
      </c>
      <c r="M740" s="1" t="s">
        <v>50</v>
      </c>
      <c r="N740" s="1" t="n">
        <v>14999</v>
      </c>
      <c r="O740" s="1" t="n">
        <v>15</v>
      </c>
      <c r="P740" s="1" t="n">
        <v>2249.85</v>
      </c>
      <c r="Q740" s="1" t="n">
        <v>12749.15</v>
      </c>
      <c r="R740" s="1" t="n">
        <v>2294.85</v>
      </c>
      <c r="S740" s="1" t="n">
        <v>10454.3</v>
      </c>
      <c r="T740" s="1" t="n">
        <v>5315.27</v>
      </c>
      <c r="U740" s="1" t="n">
        <v>5139.03</v>
      </c>
      <c r="V740" s="1" t="n">
        <v>49.16</v>
      </c>
      <c r="W740" s="1" t="s">
        <v>39</v>
      </c>
      <c r="X740" s="1" t="n">
        <v>3.5</v>
      </c>
      <c r="Y740" s="1" t="s">
        <v>40</v>
      </c>
      <c r="Z740" s="1" t="n">
        <v>1</v>
      </c>
      <c r="AA740" s="1" t="str">
        <f aca="false">TRIM(PROPER(F740))</f>
        <v>Nagpur</v>
      </c>
      <c r="AB740" s="1" t="str">
        <f aca="false">TRIM(PROPER(C740))</f>
        <v>Great Learning</v>
      </c>
      <c r="AC740" s="1" t="str">
        <f aca="false">IF(O740=0,"No Discount",IF(O740&lt;=15,"Low (1-15%)",IF(O740&lt;=30,"Medium (16-30%)","High (&gt;30%)")))</f>
        <v>Low (1-15%)</v>
      </c>
      <c r="AD740" s="1" t="str">
        <f aca="false">IF(V740&lt;0,"Loss Making",IF(V740&lt;20,"Low Margin","Healthy Margin"))</f>
        <v>Healthy Margin</v>
      </c>
      <c r="AE740" s="1" t="str">
        <f aca="false">TEXT(DATE(VALUE(RIGHT(B740,4)),VALUE(MID(B740,4,2)),VALUE(LEFT(B740,2))),"MMM-YYYY")</f>
        <v>Jun-2023</v>
      </c>
      <c r="AF740" s="1" t="n">
        <f aca="false">VALUE(RIGHT(B740,4))</f>
        <v>2023</v>
      </c>
      <c r="AG740" s="1" t="str">
        <f aca="false">CHOOSE(ROUNDUP(VALUE(MID(B740,4,2))/3,0),"Q1","Q2","Q3","Q4")</f>
        <v>Q2</v>
      </c>
    </row>
    <row r="741" customFormat="false" ht="15" hidden="false" customHeight="true" outlineLevel="0" collapsed="false">
      <c r="A741" s="1" t="s">
        <v>1379</v>
      </c>
      <c r="B741" s="1" t="s">
        <v>177</v>
      </c>
      <c r="C741" s="1" t="s">
        <v>249</v>
      </c>
      <c r="D741" s="1" t="s">
        <v>168</v>
      </c>
      <c r="E741" s="1" t="s">
        <v>197</v>
      </c>
      <c r="F741" s="1" t="s">
        <v>150</v>
      </c>
      <c r="G741" s="1" t="s">
        <v>32</v>
      </c>
      <c r="H741" s="1" t="s">
        <v>57</v>
      </c>
      <c r="I741" s="1" t="s">
        <v>83</v>
      </c>
      <c r="J741" s="1" t="s">
        <v>59</v>
      </c>
      <c r="K741" s="1" t="s">
        <v>112</v>
      </c>
      <c r="L741" s="1" t="s">
        <v>113</v>
      </c>
      <c r="M741" s="1" t="s">
        <v>50</v>
      </c>
      <c r="N741" s="1" t="n">
        <v>8499</v>
      </c>
      <c r="O741" s="1" t="n">
        <v>10</v>
      </c>
      <c r="P741" s="1" t="n">
        <v>849.9</v>
      </c>
      <c r="Q741" s="1" t="n">
        <v>7649.1</v>
      </c>
      <c r="R741" s="1" t="n">
        <v>1376.84</v>
      </c>
      <c r="S741" s="1" t="n">
        <v>6272.26</v>
      </c>
      <c r="T741" s="1" t="n">
        <v>3143.02</v>
      </c>
      <c r="U741" s="1" t="n">
        <v>3129.24</v>
      </c>
      <c r="V741" s="1" t="n">
        <v>49.89</v>
      </c>
      <c r="W741" s="1" t="s">
        <v>40</v>
      </c>
      <c r="Y741" s="1" t="s">
        <v>40</v>
      </c>
      <c r="Z741" s="1" t="n">
        <v>1</v>
      </c>
      <c r="AA741" s="1" t="str">
        <f aca="false">TRIM(PROPER(F741))</f>
        <v>Jaipur</v>
      </c>
      <c r="AB741" s="1" t="str">
        <f aca="false">TRIM(PROPER(C741))</f>
        <v>Whitehat Jr</v>
      </c>
      <c r="AC741" s="1" t="str">
        <f aca="false">IF(O741=0,"No Discount",IF(O741&lt;=15,"Low (1-15%)",IF(O741&lt;=30,"Medium (16-30%)","High (&gt;30%)")))</f>
        <v>Low (1-15%)</v>
      </c>
      <c r="AD741" s="1" t="str">
        <f aca="false">IF(V741&lt;0,"Loss Making",IF(V741&lt;20,"Low Margin","Healthy Margin"))</f>
        <v>Healthy Margin</v>
      </c>
      <c r="AE741" s="1" t="str">
        <f aca="false">TEXT(DATE(VALUE(RIGHT(B741,4)),VALUE(MID(B741,4,2)),VALUE(LEFT(B741,2))),"MMM-YYYY")</f>
        <v>Jul-2024</v>
      </c>
      <c r="AF741" s="1" t="n">
        <f aca="false">VALUE(RIGHT(B741,4))</f>
        <v>2024</v>
      </c>
      <c r="AG741" s="1" t="str">
        <f aca="false">CHOOSE(ROUNDUP(VALUE(MID(B741,4,2))/3,0),"Q1","Q2","Q3","Q4")</f>
        <v>Q3</v>
      </c>
    </row>
    <row r="742" customFormat="false" ht="15" hidden="false" customHeight="true" outlineLevel="0" collapsed="false">
      <c r="A742" s="1" t="s">
        <v>1380</v>
      </c>
      <c r="B742" s="1" t="s">
        <v>1381</v>
      </c>
      <c r="C742" s="1" t="s">
        <v>65</v>
      </c>
      <c r="D742" s="1" t="s">
        <v>123</v>
      </c>
      <c r="E742" s="1" t="s">
        <v>124</v>
      </c>
      <c r="F742" s="1" t="s">
        <v>96</v>
      </c>
      <c r="G742" s="1" t="s">
        <v>97</v>
      </c>
      <c r="H742" s="1" t="s">
        <v>69</v>
      </c>
      <c r="I742" s="1" t="s">
        <v>83</v>
      </c>
      <c r="J742" s="1" t="s">
        <v>77</v>
      </c>
      <c r="K742" s="1" t="s">
        <v>84</v>
      </c>
      <c r="L742" s="1" t="s">
        <v>49</v>
      </c>
      <c r="M742" s="1" t="s">
        <v>38</v>
      </c>
      <c r="N742" s="1" t="n">
        <v>4999</v>
      </c>
      <c r="O742" s="1" t="n">
        <v>40</v>
      </c>
      <c r="P742" s="1" t="n">
        <v>1999.6</v>
      </c>
      <c r="Q742" s="1" t="n">
        <v>2999.4</v>
      </c>
      <c r="R742" s="1" t="n">
        <v>539.89</v>
      </c>
      <c r="S742" s="1" t="n">
        <v>2459.51</v>
      </c>
      <c r="T742" s="1" t="n">
        <v>1323.25</v>
      </c>
      <c r="U742" s="1" t="n">
        <v>1136.26</v>
      </c>
      <c r="V742" s="1" t="n">
        <v>46.2</v>
      </c>
      <c r="W742" s="1" t="s">
        <v>39</v>
      </c>
      <c r="X742" s="1" t="n">
        <v>4.4</v>
      </c>
      <c r="Y742" s="1" t="s">
        <v>40</v>
      </c>
      <c r="Z742" s="1" t="n">
        <v>0</v>
      </c>
      <c r="AA742" s="1" t="str">
        <f aca="false">TRIM(PROPER(F742))</f>
        <v>Pune</v>
      </c>
      <c r="AB742" s="1" t="str">
        <f aca="false">TRIM(PROPER(C742))</f>
        <v>Toppr</v>
      </c>
      <c r="AC742" s="1" t="str">
        <f aca="false">IF(O742=0,"No Discount",IF(O742&lt;=15,"Low (1-15%)",IF(O742&lt;=30,"Medium (16-30%)","High (&gt;30%)")))</f>
        <v>High (&gt;30%)</v>
      </c>
      <c r="AD742" s="1" t="str">
        <f aca="false">IF(V742&lt;0,"Loss Making",IF(V742&lt;20,"Low Margin","Healthy Margin"))</f>
        <v>Healthy Margin</v>
      </c>
      <c r="AE742" s="1" t="str">
        <f aca="false">TEXT(DATE(VALUE(RIGHT(B742,4)),VALUE(MID(B742,4,2)),VALUE(LEFT(B742,2))),"MMM-YYYY")</f>
        <v>Oct-2024</v>
      </c>
      <c r="AF742" s="1" t="n">
        <f aca="false">VALUE(RIGHT(B742,4))</f>
        <v>2024</v>
      </c>
      <c r="AG742" s="1" t="str">
        <f aca="false">CHOOSE(ROUNDUP(VALUE(MID(B742,4,2))/3,0),"Q1","Q2","Q3","Q4")</f>
        <v>Q4</v>
      </c>
    </row>
    <row r="743" customFormat="false" ht="15" hidden="false" customHeight="true" outlineLevel="0" collapsed="false">
      <c r="A743" s="1" t="s">
        <v>1382</v>
      </c>
      <c r="B743" s="1" t="s">
        <v>1383</v>
      </c>
      <c r="C743" s="1" t="s">
        <v>264</v>
      </c>
      <c r="D743" s="1" t="s">
        <v>94</v>
      </c>
      <c r="E743" s="1" t="s">
        <v>135</v>
      </c>
      <c r="F743" s="1" t="s">
        <v>194</v>
      </c>
      <c r="G743" s="1" t="s">
        <v>103</v>
      </c>
      <c r="H743" s="1" t="s">
        <v>69</v>
      </c>
      <c r="I743" s="1" t="s">
        <v>83</v>
      </c>
      <c r="J743" s="1" t="s">
        <v>35</v>
      </c>
      <c r="K743" s="1" t="s">
        <v>71</v>
      </c>
      <c r="L743" s="1" t="s">
        <v>136</v>
      </c>
      <c r="M743" s="1" t="s">
        <v>50</v>
      </c>
      <c r="N743" s="1" t="n">
        <v>9999</v>
      </c>
      <c r="O743" s="1" t="n">
        <v>5</v>
      </c>
      <c r="P743" s="1" t="n">
        <v>499.95</v>
      </c>
      <c r="Q743" s="1" t="n">
        <v>9499.05</v>
      </c>
      <c r="R743" s="1" t="n">
        <v>1709.83</v>
      </c>
      <c r="S743" s="1" t="n">
        <v>7789.22</v>
      </c>
      <c r="T743" s="1" t="n">
        <v>2674.11</v>
      </c>
      <c r="U743" s="1" t="n">
        <v>5115.11</v>
      </c>
      <c r="V743" s="1" t="n">
        <v>65.67</v>
      </c>
      <c r="W743" s="1" t="s">
        <v>40</v>
      </c>
      <c r="Y743" s="1" t="s">
        <v>40</v>
      </c>
      <c r="Z743" s="1" t="n">
        <v>1</v>
      </c>
      <c r="AA743" s="1" t="str">
        <f aca="false">TRIM(PROPER(F743))</f>
        <v>Hyderabad</v>
      </c>
      <c r="AB743" s="1" t="str">
        <f aca="false">TRIM(PROPER(C743))</f>
        <v>Unacademy</v>
      </c>
      <c r="AC743" s="1" t="str">
        <f aca="false">IF(O743=0,"No Discount",IF(O743&lt;=15,"Low (1-15%)",IF(O743&lt;=30,"Medium (16-30%)","High (&gt;30%)")))</f>
        <v>Low (1-15%)</v>
      </c>
      <c r="AD743" s="1" t="str">
        <f aca="false">IF(V743&lt;0,"Loss Making",IF(V743&lt;20,"Low Margin","Healthy Margin"))</f>
        <v>Healthy Margin</v>
      </c>
      <c r="AE743" s="1" t="str">
        <f aca="false">TEXT(DATE(VALUE(RIGHT(B743,4)),VALUE(MID(B743,4,2)),VALUE(LEFT(B743,2))),"MMM-YYYY")</f>
        <v>Aug-2024</v>
      </c>
      <c r="AF743" s="1" t="n">
        <f aca="false">VALUE(RIGHT(B743,4))</f>
        <v>2024</v>
      </c>
      <c r="AG743" s="1" t="str">
        <f aca="false">CHOOSE(ROUNDUP(VALUE(MID(B743,4,2))/3,0),"Q1","Q2","Q3","Q4")</f>
        <v>Q3</v>
      </c>
    </row>
    <row r="744" customFormat="false" ht="15" hidden="false" customHeight="true" outlineLevel="0" collapsed="false">
      <c r="A744" s="1" t="s">
        <v>1384</v>
      </c>
      <c r="B744" s="1" t="s">
        <v>1025</v>
      </c>
      <c r="C744" s="1" t="s">
        <v>128</v>
      </c>
      <c r="D744" s="1" t="s">
        <v>44</v>
      </c>
      <c r="E744" s="1" t="s">
        <v>221</v>
      </c>
      <c r="F744" s="1" t="s">
        <v>194</v>
      </c>
      <c r="G744" s="1" t="s">
        <v>103</v>
      </c>
      <c r="H744" s="1" t="s">
        <v>69</v>
      </c>
      <c r="I744" s="1" t="s">
        <v>83</v>
      </c>
      <c r="J744" s="1" t="s">
        <v>35</v>
      </c>
      <c r="K744" s="1" t="s">
        <v>90</v>
      </c>
      <c r="L744" s="1" t="s">
        <v>136</v>
      </c>
      <c r="M744" s="1" t="s">
        <v>50</v>
      </c>
      <c r="N744" s="1" t="n">
        <v>16999</v>
      </c>
      <c r="O744" s="1" t="n">
        <v>0</v>
      </c>
      <c r="P744" s="1" t="n">
        <v>0</v>
      </c>
      <c r="Q744" s="1" t="n">
        <v>16999</v>
      </c>
      <c r="R744" s="1" t="n">
        <v>3059.82</v>
      </c>
      <c r="S744" s="1" t="n">
        <v>13939.18</v>
      </c>
      <c r="T744" s="1" t="n">
        <v>5445.11</v>
      </c>
      <c r="U744" s="1" t="n">
        <v>8494.07</v>
      </c>
      <c r="V744" s="1" t="n">
        <v>60.94</v>
      </c>
      <c r="W744" s="1" t="s">
        <v>39</v>
      </c>
      <c r="X744" s="1" t="n">
        <v>3.6</v>
      </c>
      <c r="Y744" s="1" t="s">
        <v>40</v>
      </c>
      <c r="Z744" s="1" t="n">
        <v>0</v>
      </c>
      <c r="AA744" s="1" t="str">
        <f aca="false">TRIM(PROPER(F744))</f>
        <v>Hyderabad</v>
      </c>
      <c r="AB744" s="1" t="str">
        <f aca="false">TRIM(PROPER(C744))</f>
        <v>Great Learning</v>
      </c>
      <c r="AC744" s="1" t="str">
        <f aca="false">IF(O744=0,"No Discount",IF(O744&lt;=15,"Low (1-15%)",IF(O744&lt;=30,"Medium (16-30%)","High (&gt;30%)")))</f>
        <v>No Discount</v>
      </c>
      <c r="AD744" s="1" t="str">
        <f aca="false">IF(V744&lt;0,"Loss Making",IF(V744&lt;20,"Low Margin","Healthy Margin"))</f>
        <v>Healthy Margin</v>
      </c>
      <c r="AE744" s="1" t="str">
        <f aca="false">TEXT(DATE(VALUE(RIGHT(B744,4)),VALUE(MID(B744,4,2)),VALUE(LEFT(B744,2))),"MMM-YYYY")</f>
        <v>Aug-2024</v>
      </c>
      <c r="AF744" s="1" t="n">
        <f aca="false">VALUE(RIGHT(B744,4))</f>
        <v>2024</v>
      </c>
      <c r="AG744" s="1" t="str">
        <f aca="false">CHOOSE(ROUNDUP(VALUE(MID(B744,4,2))/3,0),"Q1","Q2","Q3","Q4")</f>
        <v>Q3</v>
      </c>
    </row>
    <row r="745" customFormat="false" ht="15" hidden="false" customHeight="true" outlineLevel="0" collapsed="false">
      <c r="A745" s="1" t="s">
        <v>1385</v>
      </c>
      <c r="B745" s="1" t="s">
        <v>186</v>
      </c>
      <c r="C745" s="1" t="s">
        <v>100</v>
      </c>
      <c r="D745" s="1" t="s">
        <v>29</v>
      </c>
      <c r="E745" s="1" t="s">
        <v>129</v>
      </c>
      <c r="F745" s="1" t="s">
        <v>269</v>
      </c>
      <c r="G745" s="1" t="s">
        <v>108</v>
      </c>
      <c r="H745" s="1" t="s">
        <v>57</v>
      </c>
      <c r="I745" s="1" t="s">
        <v>83</v>
      </c>
      <c r="J745" s="1" t="s">
        <v>59</v>
      </c>
      <c r="K745" s="1" t="s">
        <v>84</v>
      </c>
      <c r="L745" s="1" t="s">
        <v>136</v>
      </c>
      <c r="M745" s="1" t="s">
        <v>50</v>
      </c>
      <c r="N745" s="1" t="n">
        <v>29999</v>
      </c>
      <c r="O745" s="1" t="n">
        <v>50</v>
      </c>
      <c r="P745" s="1" t="n">
        <v>14999.5</v>
      </c>
      <c r="Q745" s="1" t="n">
        <v>14999.5</v>
      </c>
      <c r="R745" s="1" t="n">
        <v>2699.91</v>
      </c>
      <c r="S745" s="1" t="n">
        <v>12299.59</v>
      </c>
      <c r="T745" s="1" t="n">
        <v>6777.01</v>
      </c>
      <c r="U745" s="1" t="n">
        <v>5522.58</v>
      </c>
      <c r="V745" s="1" t="n">
        <v>44.9</v>
      </c>
      <c r="W745" s="1" t="s">
        <v>39</v>
      </c>
      <c r="X745" s="1" t="n">
        <v>5</v>
      </c>
      <c r="Y745" s="1" t="s">
        <v>40</v>
      </c>
      <c r="Z745" s="1" t="n">
        <v>0</v>
      </c>
      <c r="AA745" s="1" t="str">
        <f aca="false">TRIM(PROPER(F745))</f>
        <v>Coimbatore</v>
      </c>
      <c r="AB745" s="1" t="str">
        <f aca="false">TRIM(PROPER(C745))</f>
        <v>Physics Wallah</v>
      </c>
      <c r="AC745" s="1" t="str">
        <f aca="false">IF(O745=0,"No Discount",IF(O745&lt;=15,"Low (1-15%)",IF(O745&lt;=30,"Medium (16-30%)","High (&gt;30%)")))</f>
        <v>High (&gt;30%)</v>
      </c>
      <c r="AD745" s="1" t="str">
        <f aca="false">IF(V745&lt;0,"Loss Making",IF(V745&lt;20,"Low Margin","Healthy Margin"))</f>
        <v>Healthy Margin</v>
      </c>
      <c r="AE745" s="1" t="str">
        <f aca="false">TEXT(DATE(VALUE(RIGHT(B745,4)),VALUE(MID(B745,4,2)),VALUE(LEFT(B745,2))),"MMM-YYYY")</f>
        <v>Mar-2024</v>
      </c>
      <c r="AF745" s="1" t="n">
        <f aca="false">VALUE(RIGHT(B745,4))</f>
        <v>2024</v>
      </c>
      <c r="AG745" s="1" t="str">
        <f aca="false">CHOOSE(ROUNDUP(VALUE(MID(B745,4,2))/3,0),"Q1","Q2","Q3","Q4")</f>
        <v>Q1</v>
      </c>
    </row>
    <row r="746" customFormat="false" ht="15" hidden="false" customHeight="true" outlineLevel="0" collapsed="false">
      <c r="A746" s="1" t="s">
        <v>1386</v>
      </c>
      <c r="B746" s="1" t="s">
        <v>1092</v>
      </c>
      <c r="C746" s="1" t="s">
        <v>134</v>
      </c>
      <c r="D746" s="1" t="s">
        <v>168</v>
      </c>
      <c r="E746" s="1" t="s">
        <v>172</v>
      </c>
      <c r="F746" s="1" t="s">
        <v>153</v>
      </c>
      <c r="G746" s="1" t="s">
        <v>76</v>
      </c>
      <c r="H746" s="1" t="s">
        <v>33</v>
      </c>
      <c r="I746" s="1" t="s">
        <v>34</v>
      </c>
      <c r="J746" s="1" t="s">
        <v>70</v>
      </c>
      <c r="K746" s="1" t="s">
        <v>60</v>
      </c>
      <c r="L746" s="1" t="s">
        <v>49</v>
      </c>
      <c r="M746" s="1" t="s">
        <v>62</v>
      </c>
      <c r="N746" s="1" t="n">
        <v>6999</v>
      </c>
      <c r="O746" s="1" t="n">
        <v>25</v>
      </c>
      <c r="P746" s="1" t="n">
        <v>1749.75</v>
      </c>
      <c r="Q746" s="1" t="n">
        <v>5249.25</v>
      </c>
      <c r="R746" s="1" t="n">
        <v>944.87</v>
      </c>
      <c r="S746" s="1" t="n">
        <v>4304.38</v>
      </c>
      <c r="T746" s="1" t="n">
        <v>2094.77</v>
      </c>
      <c r="U746" s="1" t="n">
        <v>2209.61</v>
      </c>
      <c r="V746" s="1" t="n">
        <v>51.33</v>
      </c>
      <c r="W746" s="1" t="s">
        <v>40</v>
      </c>
      <c r="Y746" s="1" t="s">
        <v>39</v>
      </c>
      <c r="Z746" s="1" t="n">
        <v>0</v>
      </c>
      <c r="AA746" s="1" t="str">
        <f aca="false">TRIM(PROPER(F746))</f>
        <v>Howrah</v>
      </c>
      <c r="AB746" s="1" t="str">
        <f aca="false">TRIM(PROPER(C746))</f>
        <v>Doubtnut</v>
      </c>
      <c r="AC746" s="1" t="str">
        <f aca="false">IF(O746=0,"No Discount",IF(O746&lt;=15,"Low (1-15%)",IF(O746&lt;=30,"Medium (16-30%)","High (&gt;30%)")))</f>
        <v>Medium (16-30%)</v>
      </c>
      <c r="AD746" s="1" t="str">
        <f aca="false">IF(V746&lt;0,"Loss Making",IF(V746&lt;20,"Low Margin","Healthy Margin"))</f>
        <v>Healthy Margin</v>
      </c>
      <c r="AE746" s="1" t="str">
        <f aca="false">TEXT(DATE(VALUE(RIGHT(B746,4)),VALUE(MID(B746,4,2)),VALUE(LEFT(B746,2))),"MMM-YYYY")</f>
        <v>Dec-2024</v>
      </c>
      <c r="AF746" s="1" t="n">
        <f aca="false">VALUE(RIGHT(B746,4))</f>
        <v>2024</v>
      </c>
      <c r="AG746" s="1" t="str">
        <f aca="false">CHOOSE(ROUNDUP(VALUE(MID(B746,4,2))/3,0),"Q1","Q2","Q3","Q4")</f>
        <v>Q4</v>
      </c>
    </row>
    <row r="747" customFormat="false" ht="15" hidden="false" customHeight="true" outlineLevel="0" collapsed="false">
      <c r="A747" s="1" t="s">
        <v>1387</v>
      </c>
      <c r="B747" s="1" t="s">
        <v>591</v>
      </c>
      <c r="C747" s="1" t="s">
        <v>119</v>
      </c>
      <c r="D747" s="1" t="s">
        <v>94</v>
      </c>
      <c r="E747" s="1" t="s">
        <v>95</v>
      </c>
      <c r="F747" s="1" t="s">
        <v>96</v>
      </c>
      <c r="G747" s="1" t="s">
        <v>97</v>
      </c>
      <c r="H747" s="1" t="s">
        <v>69</v>
      </c>
      <c r="I747" s="1" t="s">
        <v>34</v>
      </c>
      <c r="J747" s="1" t="s">
        <v>35</v>
      </c>
      <c r="K747" s="1" t="s">
        <v>48</v>
      </c>
      <c r="L747" s="1" t="s">
        <v>61</v>
      </c>
      <c r="M747" s="1" t="s">
        <v>62</v>
      </c>
      <c r="N747" s="1" t="n">
        <v>6999</v>
      </c>
      <c r="O747" s="1" t="n">
        <v>20</v>
      </c>
      <c r="P747" s="1" t="n">
        <v>1399.8</v>
      </c>
      <c r="Q747" s="1" t="n">
        <v>5599.2</v>
      </c>
      <c r="R747" s="1" t="n">
        <v>1007.86</v>
      </c>
      <c r="S747" s="1" t="n">
        <v>4591.34</v>
      </c>
      <c r="T747" s="1" t="n">
        <v>2109.3</v>
      </c>
      <c r="U747" s="1" t="n">
        <v>2482.04</v>
      </c>
      <c r="V747" s="1" t="n">
        <v>54.06</v>
      </c>
      <c r="W747" s="1" t="s">
        <v>40</v>
      </c>
      <c r="Y747" s="1" t="s">
        <v>40</v>
      </c>
      <c r="Z747" s="1" t="n">
        <v>0</v>
      </c>
      <c r="AA747" s="1" t="str">
        <f aca="false">TRIM(PROPER(F747))</f>
        <v>Pune</v>
      </c>
      <c r="AB747" s="1" t="str">
        <f aca="false">TRIM(PROPER(C747))</f>
        <v>Simplilearn</v>
      </c>
      <c r="AC747" s="1" t="str">
        <f aca="false">IF(O747=0,"No Discount",IF(O747&lt;=15,"Low (1-15%)",IF(O747&lt;=30,"Medium (16-30%)","High (&gt;30%)")))</f>
        <v>Medium (16-30%)</v>
      </c>
      <c r="AD747" s="1" t="str">
        <f aca="false">IF(V747&lt;0,"Loss Making",IF(V747&lt;20,"Low Margin","Healthy Margin"))</f>
        <v>Healthy Margin</v>
      </c>
      <c r="AE747" s="1" t="str">
        <f aca="false">TEXT(DATE(VALUE(RIGHT(B747,4)),VALUE(MID(B747,4,2)),VALUE(LEFT(B747,2))),"MMM-YYYY")</f>
        <v>May-2024</v>
      </c>
      <c r="AF747" s="1" t="n">
        <f aca="false">VALUE(RIGHT(B747,4))</f>
        <v>2024</v>
      </c>
      <c r="AG747" s="1" t="str">
        <f aca="false">CHOOSE(ROUNDUP(VALUE(MID(B747,4,2))/3,0),"Q1","Q2","Q3","Q4")</f>
        <v>Q2</v>
      </c>
    </row>
    <row r="748" customFormat="false" ht="15" hidden="false" customHeight="true" outlineLevel="0" collapsed="false">
      <c r="A748" s="1" t="s">
        <v>1388</v>
      </c>
      <c r="B748" s="1" t="s">
        <v>1348</v>
      </c>
      <c r="C748" s="1" t="s">
        <v>119</v>
      </c>
      <c r="D748" s="1" t="s">
        <v>143</v>
      </c>
      <c r="E748" s="1" t="s">
        <v>144</v>
      </c>
      <c r="F748" s="1" t="s">
        <v>1389</v>
      </c>
      <c r="G748" s="1" t="s">
        <v>32</v>
      </c>
      <c r="H748" s="1" t="s">
        <v>57</v>
      </c>
      <c r="I748" s="1" t="s">
        <v>58</v>
      </c>
      <c r="J748" s="1" t="s">
        <v>59</v>
      </c>
      <c r="K748" s="1" t="s">
        <v>112</v>
      </c>
      <c r="L748" s="1" t="s">
        <v>37</v>
      </c>
      <c r="M748" s="1" t="s">
        <v>50</v>
      </c>
      <c r="N748" s="1" t="n">
        <v>12999</v>
      </c>
      <c r="O748" s="1" t="n">
        <v>0</v>
      </c>
      <c r="P748" s="1" t="n">
        <v>0</v>
      </c>
      <c r="Q748" s="1" t="n">
        <v>12999</v>
      </c>
      <c r="R748" s="1" t="n">
        <v>2339.82</v>
      </c>
      <c r="S748" s="1" t="n">
        <v>10659.18</v>
      </c>
      <c r="T748" s="1" t="n">
        <v>4904.06</v>
      </c>
      <c r="U748" s="1" t="n">
        <v>5755.12</v>
      </c>
      <c r="V748" s="1" t="n">
        <v>53.99</v>
      </c>
      <c r="W748" s="1" t="s">
        <v>40</v>
      </c>
      <c r="Y748" s="1" t="s">
        <v>40</v>
      </c>
      <c r="Z748" s="1" t="n">
        <v>1</v>
      </c>
      <c r="AA748" s="1" t="str">
        <f aca="false">TRIM(PROPER(F748))</f>
        <v>Jaipur</v>
      </c>
      <c r="AB748" s="1" t="str">
        <f aca="false">TRIM(PROPER(C748))</f>
        <v>Simplilearn</v>
      </c>
      <c r="AC748" s="1" t="str">
        <f aca="false">IF(O748=0,"No Discount",IF(O748&lt;=15,"Low (1-15%)",IF(O748&lt;=30,"Medium (16-30%)","High (&gt;30%)")))</f>
        <v>No Discount</v>
      </c>
      <c r="AD748" s="1" t="str">
        <f aca="false">IF(V748&lt;0,"Loss Making",IF(V748&lt;20,"Low Margin","Healthy Margin"))</f>
        <v>Healthy Margin</v>
      </c>
      <c r="AE748" s="1" t="str">
        <f aca="false">TEXT(DATE(VALUE(RIGHT(B748,4)),VALUE(MID(B748,4,2)),VALUE(LEFT(B748,2))),"MMM-YYYY")</f>
        <v>Jul-2024</v>
      </c>
      <c r="AF748" s="1" t="n">
        <f aca="false">VALUE(RIGHT(B748,4))</f>
        <v>2024</v>
      </c>
      <c r="AG748" s="1" t="str">
        <f aca="false">CHOOSE(ROUNDUP(VALUE(MID(B748,4,2))/3,0),"Q1","Q2","Q3","Q4")</f>
        <v>Q3</v>
      </c>
    </row>
    <row r="749" customFormat="false" ht="15" hidden="false" customHeight="true" outlineLevel="0" collapsed="false">
      <c r="A749" s="1" t="s">
        <v>1390</v>
      </c>
      <c r="B749" s="1" t="s">
        <v>1196</v>
      </c>
      <c r="C749" s="1" t="s">
        <v>119</v>
      </c>
      <c r="D749" s="1" t="s">
        <v>29</v>
      </c>
      <c r="E749" s="1" t="s">
        <v>129</v>
      </c>
      <c r="F749" s="1" t="s">
        <v>107</v>
      </c>
      <c r="G749" s="1" t="s">
        <v>108</v>
      </c>
      <c r="H749" s="1" t="s">
        <v>33</v>
      </c>
      <c r="I749" s="1" t="s">
        <v>34</v>
      </c>
      <c r="J749" s="1" t="s">
        <v>35</v>
      </c>
      <c r="K749" s="1" t="s">
        <v>60</v>
      </c>
      <c r="L749" s="1" t="s">
        <v>136</v>
      </c>
      <c r="M749" s="1" t="s">
        <v>38</v>
      </c>
      <c r="N749" s="1" t="n">
        <v>29999</v>
      </c>
      <c r="O749" s="1" t="n">
        <v>30</v>
      </c>
      <c r="P749" s="1" t="n">
        <v>8999.7</v>
      </c>
      <c r="Q749" s="1" t="n">
        <v>20999.3</v>
      </c>
      <c r="R749" s="1" t="n">
        <v>3779.87</v>
      </c>
      <c r="S749" s="1" t="n">
        <v>17219.43</v>
      </c>
      <c r="T749" s="1" t="n">
        <v>8249.62</v>
      </c>
      <c r="U749" s="1" t="n">
        <v>8969.81</v>
      </c>
      <c r="V749" s="1" t="n">
        <v>52.09</v>
      </c>
      <c r="W749" s="1" t="s">
        <v>39</v>
      </c>
      <c r="Y749" s="1" t="s">
        <v>40</v>
      </c>
      <c r="Z749" s="1" t="n">
        <v>0</v>
      </c>
      <c r="AA749" s="1" t="str">
        <f aca="false">TRIM(PROPER(F749))</f>
        <v>Madurai</v>
      </c>
      <c r="AB749" s="1" t="str">
        <f aca="false">TRIM(PROPER(C749))</f>
        <v>Simplilearn</v>
      </c>
      <c r="AC749" s="1" t="str">
        <f aca="false">IF(O749=0,"No Discount",IF(O749&lt;=15,"Low (1-15%)",IF(O749&lt;=30,"Medium (16-30%)","High (&gt;30%)")))</f>
        <v>Medium (16-30%)</v>
      </c>
      <c r="AD749" s="1" t="str">
        <f aca="false">IF(V749&lt;0,"Loss Making",IF(V749&lt;20,"Low Margin","Healthy Margin"))</f>
        <v>Healthy Margin</v>
      </c>
      <c r="AE749" s="1" t="str">
        <f aca="false">TEXT(DATE(VALUE(RIGHT(B749,4)),VALUE(MID(B749,4,2)),VALUE(LEFT(B749,2))),"MMM-YYYY")</f>
        <v>Jun-2024</v>
      </c>
      <c r="AF749" s="1" t="n">
        <f aca="false">VALUE(RIGHT(B749,4))</f>
        <v>2024</v>
      </c>
      <c r="AG749" s="1" t="str">
        <f aca="false">CHOOSE(ROUNDUP(VALUE(MID(B749,4,2))/3,0),"Q1","Q2","Q3","Q4")</f>
        <v>Q2</v>
      </c>
    </row>
    <row r="750" customFormat="false" ht="15" hidden="false" customHeight="true" outlineLevel="0" collapsed="false">
      <c r="A750" s="1" t="s">
        <v>1391</v>
      </c>
      <c r="B750" s="1" t="s">
        <v>528</v>
      </c>
      <c r="C750" s="1" t="s">
        <v>128</v>
      </c>
      <c r="D750" s="1" t="s">
        <v>29</v>
      </c>
      <c r="E750" s="1" t="s">
        <v>305</v>
      </c>
      <c r="F750" s="1" t="s">
        <v>75</v>
      </c>
      <c r="G750" s="1" t="s">
        <v>76</v>
      </c>
      <c r="H750" s="1" t="s">
        <v>69</v>
      </c>
      <c r="I750" s="1" t="s">
        <v>34</v>
      </c>
      <c r="J750" s="1" t="s">
        <v>35</v>
      </c>
      <c r="K750" s="1" t="s">
        <v>36</v>
      </c>
      <c r="L750" s="1" t="s">
        <v>37</v>
      </c>
      <c r="M750" s="1" t="s">
        <v>38</v>
      </c>
      <c r="N750" s="1" t="n">
        <v>24999</v>
      </c>
      <c r="O750" s="1" t="n">
        <v>25</v>
      </c>
      <c r="P750" s="1" t="n">
        <v>6249.75</v>
      </c>
      <c r="Q750" s="1" t="n">
        <v>18749.25</v>
      </c>
      <c r="R750" s="1" t="n">
        <v>3374.86</v>
      </c>
      <c r="S750" s="1" t="n">
        <v>15374.39</v>
      </c>
      <c r="T750" s="1" t="n">
        <v>4935.36</v>
      </c>
      <c r="U750" s="1" t="n">
        <v>10439.03</v>
      </c>
      <c r="V750" s="1" t="n">
        <v>67.9</v>
      </c>
      <c r="W750" s="1" t="s">
        <v>40</v>
      </c>
      <c r="Y750" s="1" t="s">
        <v>39</v>
      </c>
      <c r="Z750" s="1" t="n">
        <v>1</v>
      </c>
      <c r="AA750" s="1" t="str">
        <f aca="false">TRIM(PROPER(F750))</f>
        <v>Kolkata</v>
      </c>
      <c r="AB750" s="1" t="str">
        <f aca="false">TRIM(PROPER(C750))</f>
        <v>Great Learning</v>
      </c>
      <c r="AC750" s="1" t="str">
        <f aca="false">IF(O750=0,"No Discount",IF(O750&lt;=15,"Low (1-15%)",IF(O750&lt;=30,"Medium (16-30%)","High (&gt;30%)")))</f>
        <v>Medium (16-30%)</v>
      </c>
      <c r="AD750" s="1" t="str">
        <f aca="false">IF(V750&lt;0,"Loss Making",IF(V750&lt;20,"Low Margin","Healthy Margin"))</f>
        <v>Healthy Margin</v>
      </c>
      <c r="AE750" s="1" t="str">
        <f aca="false">TEXT(DATE(VALUE(RIGHT(B750,4)),VALUE(MID(B750,4,2)),VALUE(LEFT(B750,2))),"MMM-YYYY")</f>
        <v>Aug-2024</v>
      </c>
      <c r="AF750" s="1" t="n">
        <f aca="false">VALUE(RIGHT(B750,4))</f>
        <v>2024</v>
      </c>
      <c r="AG750" s="1" t="str">
        <f aca="false">CHOOSE(ROUNDUP(VALUE(MID(B750,4,2))/3,0),"Q1","Q2","Q3","Q4")</f>
        <v>Q3</v>
      </c>
    </row>
    <row r="751" customFormat="false" ht="15" hidden="false" customHeight="true" outlineLevel="0" collapsed="false">
      <c r="A751" s="1" t="s">
        <v>1392</v>
      </c>
      <c r="B751" s="1" t="s">
        <v>753</v>
      </c>
      <c r="C751" s="1" t="s">
        <v>264</v>
      </c>
      <c r="D751" s="1" t="s">
        <v>123</v>
      </c>
      <c r="E751" s="1" t="s">
        <v>147</v>
      </c>
      <c r="F751" s="1" t="s">
        <v>156</v>
      </c>
      <c r="G751" s="1" t="s">
        <v>68</v>
      </c>
      <c r="H751" s="1" t="s">
        <v>57</v>
      </c>
      <c r="I751" s="1" t="s">
        <v>83</v>
      </c>
      <c r="J751" s="1" t="s">
        <v>35</v>
      </c>
      <c r="K751" s="1" t="s">
        <v>104</v>
      </c>
      <c r="L751" s="1" t="s">
        <v>61</v>
      </c>
      <c r="M751" s="1" t="s">
        <v>38</v>
      </c>
      <c r="N751" s="1" t="n">
        <v>6999</v>
      </c>
      <c r="O751" s="1" t="n">
        <v>30</v>
      </c>
      <c r="P751" s="1" t="n">
        <v>2099.7</v>
      </c>
      <c r="Q751" s="1" t="n">
        <v>4899.3</v>
      </c>
      <c r="R751" s="1" t="n">
        <v>881.87</v>
      </c>
      <c r="S751" s="1" t="n">
        <v>4017.43</v>
      </c>
      <c r="T751" s="1" t="n">
        <v>1769.88</v>
      </c>
      <c r="U751" s="1" t="n">
        <v>2247.55</v>
      </c>
      <c r="V751" s="1" t="n">
        <v>55.94</v>
      </c>
      <c r="W751" s="1" t="s">
        <v>39</v>
      </c>
      <c r="X751" s="1" t="n">
        <v>4.5</v>
      </c>
      <c r="Y751" s="1" t="s">
        <v>40</v>
      </c>
      <c r="Z751" s="1" t="n">
        <v>0</v>
      </c>
      <c r="AA751" s="1" t="str">
        <f aca="false">TRIM(PROPER(F751))</f>
        <v>Surat</v>
      </c>
      <c r="AB751" s="1" t="str">
        <f aca="false">TRIM(PROPER(C751))</f>
        <v>Unacademy</v>
      </c>
      <c r="AC751" s="1" t="str">
        <f aca="false">IF(O751=0,"No Discount",IF(O751&lt;=15,"Low (1-15%)",IF(O751&lt;=30,"Medium (16-30%)","High (&gt;30%)")))</f>
        <v>Medium (16-30%)</v>
      </c>
      <c r="AD751" s="1" t="str">
        <f aca="false">IF(V751&lt;0,"Loss Making",IF(V751&lt;20,"Low Margin","Healthy Margin"))</f>
        <v>Healthy Margin</v>
      </c>
      <c r="AE751" s="1" t="str">
        <f aca="false">TEXT(DATE(VALUE(RIGHT(B751,4)),VALUE(MID(B751,4,2)),VALUE(LEFT(B751,2))),"MMM-YYYY")</f>
        <v>Jun-2024</v>
      </c>
      <c r="AF751" s="1" t="n">
        <f aca="false">VALUE(RIGHT(B751,4))</f>
        <v>2024</v>
      </c>
      <c r="AG751" s="1" t="str">
        <f aca="false">CHOOSE(ROUNDUP(VALUE(MID(B751,4,2))/3,0),"Q1","Q2","Q3","Q4")</f>
        <v>Q2</v>
      </c>
    </row>
    <row r="752" customFormat="false" ht="15" hidden="false" customHeight="true" outlineLevel="0" collapsed="false">
      <c r="A752" s="1" t="s">
        <v>1393</v>
      </c>
      <c r="B752" s="1" t="s">
        <v>1394</v>
      </c>
      <c r="C752" s="1" t="s">
        <v>134</v>
      </c>
      <c r="D752" s="1" t="s">
        <v>53</v>
      </c>
      <c r="E752" s="1" t="s">
        <v>116</v>
      </c>
      <c r="F752" s="1" t="s">
        <v>125</v>
      </c>
      <c r="G752" s="1" t="s">
        <v>108</v>
      </c>
      <c r="H752" s="1" t="s">
        <v>69</v>
      </c>
      <c r="I752" s="1" t="s">
        <v>83</v>
      </c>
      <c r="J752" s="1" t="s">
        <v>131</v>
      </c>
      <c r="K752" s="1" t="s">
        <v>36</v>
      </c>
      <c r="L752" s="1" t="s">
        <v>113</v>
      </c>
      <c r="M752" s="1" t="s">
        <v>50</v>
      </c>
      <c r="N752" s="1" t="n">
        <v>9999</v>
      </c>
      <c r="O752" s="1" t="n">
        <v>20</v>
      </c>
      <c r="P752" s="1" t="n">
        <v>1999.8</v>
      </c>
      <c r="Q752" s="1" t="n">
        <v>7999.2</v>
      </c>
      <c r="R752" s="1" t="n">
        <v>1439.86</v>
      </c>
      <c r="S752" s="1" t="n">
        <v>6559.34</v>
      </c>
      <c r="T752" s="1" t="n">
        <v>2612.4</v>
      </c>
      <c r="U752" s="1" t="n">
        <v>3946.94</v>
      </c>
      <c r="V752" s="1" t="n">
        <v>60.17</v>
      </c>
      <c r="W752" s="1" t="s">
        <v>40</v>
      </c>
      <c r="Y752" s="1" t="s">
        <v>40</v>
      </c>
      <c r="Z752" s="1" t="n">
        <v>1</v>
      </c>
      <c r="AA752" s="1" t="str">
        <f aca="false">TRIM(PROPER(F752))</f>
        <v>Chennai</v>
      </c>
      <c r="AB752" s="1" t="str">
        <f aca="false">TRIM(PROPER(C752))</f>
        <v>Doubtnut</v>
      </c>
      <c r="AC752" s="1" t="str">
        <f aca="false">IF(O752=0,"No Discount",IF(O752&lt;=15,"Low (1-15%)",IF(O752&lt;=30,"Medium (16-30%)","High (&gt;30%)")))</f>
        <v>Medium (16-30%)</v>
      </c>
      <c r="AD752" s="1" t="str">
        <f aca="false">IF(V752&lt;0,"Loss Making",IF(V752&lt;20,"Low Margin","Healthy Margin"))</f>
        <v>Healthy Margin</v>
      </c>
      <c r="AE752" s="1" t="str">
        <f aca="false">TEXT(DATE(VALUE(RIGHT(B752,4)),VALUE(MID(B752,4,2)),VALUE(LEFT(B752,2))),"MMM-YYYY")</f>
        <v>Feb-2024</v>
      </c>
      <c r="AF752" s="1" t="n">
        <f aca="false">VALUE(RIGHT(B752,4))</f>
        <v>2024</v>
      </c>
      <c r="AG752" s="1" t="str">
        <f aca="false">CHOOSE(ROUNDUP(VALUE(MID(B752,4,2))/3,0),"Q1","Q2","Q3","Q4")</f>
        <v>Q1</v>
      </c>
    </row>
    <row r="753" customFormat="false" ht="15" hidden="false" customHeight="true" outlineLevel="0" collapsed="false">
      <c r="A753" s="1" t="s">
        <v>1395</v>
      </c>
      <c r="B753" s="1" t="s">
        <v>1396</v>
      </c>
      <c r="C753" s="1" t="s">
        <v>88</v>
      </c>
      <c r="D753" s="1" t="s">
        <v>53</v>
      </c>
      <c r="E753" s="1" t="s">
        <v>54</v>
      </c>
      <c r="F753" s="1" t="s">
        <v>107</v>
      </c>
      <c r="G753" s="1" t="s">
        <v>108</v>
      </c>
      <c r="H753" s="1" t="s">
        <v>33</v>
      </c>
      <c r="I753" s="1" t="s">
        <v>83</v>
      </c>
      <c r="J753" s="1" t="s">
        <v>131</v>
      </c>
      <c r="K753" s="1" t="s">
        <v>112</v>
      </c>
      <c r="L753" s="1" t="s">
        <v>136</v>
      </c>
      <c r="M753" s="1" t="s">
        <v>38</v>
      </c>
      <c r="N753" s="1" t="n">
        <v>11999</v>
      </c>
      <c r="O753" s="1" t="n">
        <v>5</v>
      </c>
      <c r="P753" s="1" t="n">
        <v>599.95</v>
      </c>
      <c r="Q753" s="1" t="n">
        <v>11399.05</v>
      </c>
      <c r="R753" s="1" t="n">
        <v>2051.83</v>
      </c>
      <c r="S753" s="1" t="n">
        <v>9347.22</v>
      </c>
      <c r="T753" s="1" t="n">
        <v>3782.44</v>
      </c>
      <c r="U753" s="1" t="n">
        <v>5564.78</v>
      </c>
      <c r="V753" s="1" t="n">
        <v>59.53</v>
      </c>
      <c r="W753" s="1" t="s">
        <v>39</v>
      </c>
      <c r="X753" s="1" t="n">
        <v>3.2</v>
      </c>
      <c r="Y753" s="1" t="s">
        <v>40</v>
      </c>
      <c r="Z753" s="1" t="n">
        <v>0</v>
      </c>
      <c r="AA753" s="1" t="str">
        <f aca="false">TRIM(PROPER(F753))</f>
        <v>Madurai</v>
      </c>
      <c r="AB753" s="1" t="str">
        <f aca="false">TRIM(PROPER(C753))</f>
        <v>Byju'S</v>
      </c>
      <c r="AC753" s="1" t="str">
        <f aca="false">IF(O753=0,"No Discount",IF(O753&lt;=15,"Low (1-15%)",IF(O753&lt;=30,"Medium (16-30%)","High (&gt;30%)")))</f>
        <v>Low (1-15%)</v>
      </c>
      <c r="AD753" s="1" t="str">
        <f aca="false">IF(V753&lt;0,"Loss Making",IF(V753&lt;20,"Low Margin","Healthy Margin"))</f>
        <v>Healthy Margin</v>
      </c>
      <c r="AE753" s="1" t="str">
        <f aca="false">TEXT(DATE(VALUE(RIGHT(B753,4)),VALUE(MID(B753,4,2)),VALUE(LEFT(B753,2))),"MMM-YYYY")</f>
        <v>Aug-2023</v>
      </c>
      <c r="AF753" s="1" t="n">
        <f aca="false">VALUE(RIGHT(B753,4))</f>
        <v>2023</v>
      </c>
      <c r="AG753" s="1" t="str">
        <f aca="false">CHOOSE(ROUNDUP(VALUE(MID(B753,4,2))/3,0),"Q1","Q2","Q3","Q4")</f>
        <v>Q3</v>
      </c>
    </row>
    <row r="754" customFormat="false" ht="15" hidden="false" customHeight="true" outlineLevel="0" collapsed="false">
      <c r="A754" s="1" t="s">
        <v>1397</v>
      </c>
      <c r="B754" s="1" t="s">
        <v>1398</v>
      </c>
      <c r="C754" s="1" t="s">
        <v>43</v>
      </c>
      <c r="D754" s="1" t="s">
        <v>123</v>
      </c>
      <c r="E754" s="1" t="s">
        <v>124</v>
      </c>
      <c r="F754" s="1" t="s">
        <v>96</v>
      </c>
      <c r="G754" s="1" t="s">
        <v>97</v>
      </c>
      <c r="H754" s="1" t="s">
        <v>69</v>
      </c>
      <c r="I754" s="1" t="s">
        <v>83</v>
      </c>
      <c r="J754" s="1" t="s">
        <v>59</v>
      </c>
      <c r="K754" s="1" t="s">
        <v>112</v>
      </c>
      <c r="L754" s="1" t="s">
        <v>136</v>
      </c>
      <c r="M754" s="1" t="s">
        <v>62</v>
      </c>
      <c r="N754" s="1" t="n">
        <v>4999</v>
      </c>
      <c r="O754" s="1" t="n">
        <v>30</v>
      </c>
      <c r="P754" s="1" t="n">
        <v>1499.7</v>
      </c>
      <c r="Q754" s="1" t="n">
        <v>3499.3</v>
      </c>
      <c r="R754" s="1" t="n">
        <v>629.87</v>
      </c>
      <c r="S754" s="1" t="n">
        <v>2869.43</v>
      </c>
      <c r="T754" s="1" t="n">
        <v>1173.33</v>
      </c>
      <c r="U754" s="1" t="n">
        <v>1696.1</v>
      </c>
      <c r="V754" s="1" t="n">
        <v>59.11</v>
      </c>
      <c r="W754" s="1" t="s">
        <v>39</v>
      </c>
      <c r="X754" s="1" t="n">
        <v>3.8</v>
      </c>
      <c r="Y754" s="1" t="s">
        <v>40</v>
      </c>
      <c r="Z754" s="1" t="n">
        <v>1</v>
      </c>
      <c r="AA754" s="1" t="str">
        <f aca="false">TRIM(PROPER(F754))</f>
        <v>Pune</v>
      </c>
      <c r="AB754" s="1" t="str">
        <f aca="false">TRIM(PROPER(C754))</f>
        <v>Meritnation</v>
      </c>
      <c r="AC754" s="1" t="str">
        <f aca="false">IF(O754=0,"No Discount",IF(O754&lt;=15,"Low (1-15%)",IF(O754&lt;=30,"Medium (16-30%)","High (&gt;30%)")))</f>
        <v>Medium (16-30%)</v>
      </c>
      <c r="AD754" s="1" t="str">
        <f aca="false">IF(V754&lt;0,"Loss Making",IF(V754&lt;20,"Low Margin","Healthy Margin"))</f>
        <v>Healthy Margin</v>
      </c>
      <c r="AE754" s="1" t="str">
        <f aca="false">TEXT(DATE(VALUE(RIGHT(B754,4)),VALUE(MID(B754,4,2)),VALUE(LEFT(B754,2))),"MMM-YYYY")</f>
        <v>Jul-2023</v>
      </c>
      <c r="AF754" s="1" t="n">
        <f aca="false">VALUE(RIGHT(B754,4))</f>
        <v>2023</v>
      </c>
      <c r="AG754" s="1" t="str">
        <f aca="false">CHOOSE(ROUNDUP(VALUE(MID(B754,4,2))/3,0),"Q1","Q2","Q3","Q4")</f>
        <v>Q3</v>
      </c>
    </row>
    <row r="755" customFormat="false" ht="15" hidden="false" customHeight="true" outlineLevel="0" collapsed="false">
      <c r="A755" s="1" t="s">
        <v>1399</v>
      </c>
      <c r="B755" s="1" t="s">
        <v>320</v>
      </c>
      <c r="C755" s="1" t="s">
        <v>134</v>
      </c>
      <c r="D755" s="1" t="s">
        <v>168</v>
      </c>
      <c r="E755" s="1" t="s">
        <v>328</v>
      </c>
      <c r="F755" s="1" t="s">
        <v>89</v>
      </c>
      <c r="G755" s="1" t="s">
        <v>68</v>
      </c>
      <c r="H755" s="1" t="s">
        <v>33</v>
      </c>
      <c r="I755" s="1" t="s">
        <v>34</v>
      </c>
      <c r="J755" s="1" t="s">
        <v>70</v>
      </c>
      <c r="K755" s="1" t="s">
        <v>48</v>
      </c>
      <c r="L755" s="1" t="s">
        <v>113</v>
      </c>
      <c r="M755" s="1" t="s">
        <v>50</v>
      </c>
      <c r="N755" s="1" t="n">
        <v>8999</v>
      </c>
      <c r="O755" s="1" t="n">
        <v>50</v>
      </c>
      <c r="P755" s="1" t="n">
        <v>4499.5</v>
      </c>
      <c r="Q755" s="1" t="n">
        <v>4499.5</v>
      </c>
      <c r="R755" s="1" t="n">
        <v>809.91</v>
      </c>
      <c r="S755" s="1" t="n">
        <v>3689.59</v>
      </c>
      <c r="T755" s="1" t="n">
        <v>1858.26</v>
      </c>
      <c r="U755" s="1" t="n">
        <v>1831.33</v>
      </c>
      <c r="V755" s="1" t="n">
        <v>49.64</v>
      </c>
      <c r="W755" s="1" t="s">
        <v>40</v>
      </c>
      <c r="Y755" s="1" t="s">
        <v>40</v>
      </c>
      <c r="Z755" s="1" t="n">
        <v>0</v>
      </c>
      <c r="AA755" s="1" t="str">
        <f aca="false">TRIM(PROPER(F755))</f>
        <v>Vadodara</v>
      </c>
      <c r="AB755" s="1" t="str">
        <f aca="false">TRIM(PROPER(C755))</f>
        <v>Doubtnut</v>
      </c>
      <c r="AC755" s="1" t="str">
        <f aca="false">IF(O755=0,"No Discount",IF(O755&lt;=15,"Low (1-15%)",IF(O755&lt;=30,"Medium (16-30%)","High (&gt;30%)")))</f>
        <v>High (&gt;30%)</v>
      </c>
      <c r="AD755" s="1" t="str">
        <f aca="false">IF(V755&lt;0,"Loss Making",IF(V755&lt;20,"Low Margin","Healthy Margin"))</f>
        <v>Healthy Margin</v>
      </c>
      <c r="AE755" s="1" t="str">
        <f aca="false">TEXT(DATE(VALUE(RIGHT(B755,4)),VALUE(MID(B755,4,2)),VALUE(LEFT(B755,2))),"MMM-YYYY")</f>
        <v>Jun-2023</v>
      </c>
      <c r="AF755" s="1" t="n">
        <f aca="false">VALUE(RIGHT(B755,4))</f>
        <v>2023</v>
      </c>
      <c r="AG755" s="1" t="str">
        <f aca="false">CHOOSE(ROUNDUP(VALUE(MID(B755,4,2))/3,0),"Q1","Q2","Q3","Q4")</f>
        <v>Q2</v>
      </c>
    </row>
    <row r="756" customFormat="false" ht="15" hidden="false" customHeight="true" outlineLevel="0" collapsed="false">
      <c r="A756" s="1" t="s">
        <v>1400</v>
      </c>
      <c r="B756" s="1" t="s">
        <v>201</v>
      </c>
      <c r="C756" s="1" t="s">
        <v>134</v>
      </c>
      <c r="D756" s="1" t="s">
        <v>44</v>
      </c>
      <c r="E756" s="1" t="s">
        <v>221</v>
      </c>
      <c r="F756" s="1" t="s">
        <v>269</v>
      </c>
      <c r="G756" s="1" t="s">
        <v>108</v>
      </c>
      <c r="H756" s="1" t="s">
        <v>57</v>
      </c>
      <c r="I756" s="1" t="s">
        <v>83</v>
      </c>
      <c r="J756" s="1" t="s">
        <v>77</v>
      </c>
      <c r="K756" s="1" t="s">
        <v>90</v>
      </c>
      <c r="L756" s="1" t="s">
        <v>37</v>
      </c>
      <c r="M756" s="1" t="s">
        <v>50</v>
      </c>
      <c r="N756" s="1" t="n">
        <v>16999</v>
      </c>
      <c r="O756" s="1" t="n">
        <v>0</v>
      </c>
      <c r="P756" s="1" t="n">
        <v>0</v>
      </c>
      <c r="Q756" s="1" t="n">
        <v>16999</v>
      </c>
      <c r="R756" s="1" t="n">
        <v>3059.82</v>
      </c>
      <c r="S756" s="1" t="n">
        <v>13939.18</v>
      </c>
      <c r="T756" s="1" t="n">
        <v>7533.79</v>
      </c>
      <c r="U756" s="1" t="n">
        <v>6405.39</v>
      </c>
      <c r="V756" s="1" t="n">
        <v>45.95</v>
      </c>
      <c r="W756" s="1" t="s">
        <v>40</v>
      </c>
      <c r="Y756" s="1" t="s">
        <v>40</v>
      </c>
      <c r="Z756" s="1" t="n">
        <v>1</v>
      </c>
      <c r="AA756" s="1" t="str">
        <f aca="false">TRIM(PROPER(F756))</f>
        <v>Coimbatore</v>
      </c>
      <c r="AB756" s="1" t="str">
        <f aca="false">TRIM(PROPER(C756))</f>
        <v>Doubtnut</v>
      </c>
      <c r="AC756" s="1" t="str">
        <f aca="false">IF(O756=0,"No Discount",IF(O756&lt;=15,"Low (1-15%)",IF(O756&lt;=30,"Medium (16-30%)","High (&gt;30%)")))</f>
        <v>No Discount</v>
      </c>
      <c r="AD756" s="1" t="str">
        <f aca="false">IF(V756&lt;0,"Loss Making",IF(V756&lt;20,"Low Margin","Healthy Margin"))</f>
        <v>Healthy Margin</v>
      </c>
      <c r="AE756" s="1" t="str">
        <f aca="false">TEXT(DATE(VALUE(RIGHT(B756,4)),VALUE(MID(B756,4,2)),VALUE(LEFT(B756,2))),"MMM-YYYY")</f>
        <v>Aug-2024</v>
      </c>
      <c r="AF756" s="1" t="n">
        <f aca="false">VALUE(RIGHT(B756,4))</f>
        <v>2024</v>
      </c>
      <c r="AG756" s="1" t="str">
        <f aca="false">CHOOSE(ROUNDUP(VALUE(MID(B756,4,2))/3,0),"Q1","Q2","Q3","Q4")</f>
        <v>Q3</v>
      </c>
    </row>
    <row r="757" customFormat="false" ht="15" hidden="false" customHeight="true" outlineLevel="0" collapsed="false">
      <c r="A757" s="1" t="s">
        <v>1401</v>
      </c>
      <c r="B757" s="1" t="s">
        <v>1402</v>
      </c>
      <c r="C757" s="1" t="s">
        <v>167</v>
      </c>
      <c r="D757" s="1" t="s">
        <v>94</v>
      </c>
      <c r="E757" s="1" t="s">
        <v>135</v>
      </c>
      <c r="F757" s="1" t="s">
        <v>130</v>
      </c>
      <c r="G757" s="1" t="s">
        <v>47</v>
      </c>
      <c r="H757" s="1" t="s">
        <v>69</v>
      </c>
      <c r="I757" s="1" t="s">
        <v>34</v>
      </c>
      <c r="J757" s="1" t="s">
        <v>70</v>
      </c>
      <c r="K757" s="1" t="s">
        <v>71</v>
      </c>
      <c r="L757" s="1" t="s">
        <v>37</v>
      </c>
      <c r="M757" s="1" t="s">
        <v>38</v>
      </c>
      <c r="N757" s="1" t="n">
        <v>9999</v>
      </c>
      <c r="O757" s="1" t="n">
        <v>0</v>
      </c>
      <c r="P757" s="1" t="n">
        <v>0</v>
      </c>
      <c r="Q757" s="1" t="n">
        <v>9999</v>
      </c>
      <c r="R757" s="1" t="n">
        <v>1799.82</v>
      </c>
      <c r="S757" s="1" t="n">
        <v>8199.18</v>
      </c>
      <c r="T757" s="1" t="n">
        <v>3069.23</v>
      </c>
      <c r="U757" s="1" t="n">
        <v>5129.95</v>
      </c>
      <c r="V757" s="1" t="n">
        <v>62.57</v>
      </c>
      <c r="W757" s="1" t="s">
        <v>40</v>
      </c>
      <c r="Y757" s="1" t="s">
        <v>40</v>
      </c>
      <c r="Z757" s="1" t="n">
        <v>0</v>
      </c>
      <c r="AA757" s="1" t="str">
        <f aca="false">TRIM(PROPER(F757))</f>
        <v>Bengaluru</v>
      </c>
      <c r="AB757" s="1" t="str">
        <f aca="false">TRIM(PROPER(C757))</f>
        <v>Scaler</v>
      </c>
      <c r="AC757" s="1" t="str">
        <f aca="false">IF(O757=0,"No Discount",IF(O757&lt;=15,"Low (1-15%)",IF(O757&lt;=30,"Medium (16-30%)","High (&gt;30%)")))</f>
        <v>No Discount</v>
      </c>
      <c r="AD757" s="1" t="str">
        <f aca="false">IF(V757&lt;0,"Loss Making",IF(V757&lt;20,"Low Margin","Healthy Margin"))</f>
        <v>Healthy Margin</v>
      </c>
      <c r="AE757" s="1" t="str">
        <f aca="false">TEXT(DATE(VALUE(RIGHT(B757,4)),VALUE(MID(B757,4,2)),VALUE(LEFT(B757,2))),"MMM-YYYY")</f>
        <v>Apr-2023</v>
      </c>
      <c r="AF757" s="1" t="n">
        <f aca="false">VALUE(RIGHT(B757,4))</f>
        <v>2023</v>
      </c>
      <c r="AG757" s="1" t="str">
        <f aca="false">CHOOSE(ROUNDUP(VALUE(MID(B757,4,2))/3,0),"Q1","Q2","Q3","Q4")</f>
        <v>Q2</v>
      </c>
    </row>
    <row r="758" customFormat="false" ht="15" hidden="false" customHeight="true" outlineLevel="0" collapsed="false">
      <c r="A758" s="1" t="s">
        <v>1403</v>
      </c>
      <c r="B758" s="1" t="s">
        <v>596</v>
      </c>
      <c r="C758" s="1" t="s">
        <v>249</v>
      </c>
      <c r="D758" s="1" t="s">
        <v>44</v>
      </c>
      <c r="E758" s="1" t="s">
        <v>221</v>
      </c>
      <c r="F758" s="1" t="s">
        <v>46</v>
      </c>
      <c r="G758" s="1" t="s">
        <v>47</v>
      </c>
      <c r="H758" s="1" t="s">
        <v>33</v>
      </c>
      <c r="I758" s="1" t="s">
        <v>83</v>
      </c>
      <c r="J758" s="1" t="s">
        <v>131</v>
      </c>
      <c r="K758" s="1" t="s">
        <v>112</v>
      </c>
      <c r="L758" s="1" t="s">
        <v>37</v>
      </c>
      <c r="M758" s="1" t="s">
        <v>62</v>
      </c>
      <c r="N758" s="1" t="n">
        <v>16999</v>
      </c>
      <c r="O758" s="1" t="n">
        <v>30</v>
      </c>
      <c r="P758" s="1" t="n">
        <v>5099.7</v>
      </c>
      <c r="Q758" s="1" t="n">
        <v>11899.3</v>
      </c>
      <c r="R758" s="1" t="n">
        <v>2141.87</v>
      </c>
      <c r="S758" s="1" t="n">
        <v>9757.43</v>
      </c>
      <c r="T758" s="1" t="n">
        <v>4154.66</v>
      </c>
      <c r="U758" s="1" t="n">
        <v>5602.77</v>
      </c>
      <c r="V758" s="1" t="n">
        <v>57.42</v>
      </c>
      <c r="W758" s="1" t="s">
        <v>39</v>
      </c>
      <c r="X758" s="1" t="n">
        <v>4</v>
      </c>
      <c r="Y758" s="1" t="s">
        <v>40</v>
      </c>
      <c r="Z758" s="1" t="n">
        <v>0</v>
      </c>
      <c r="AA758" s="1" t="str">
        <f aca="false">TRIM(PROPER(F758))</f>
        <v>Mangaluru</v>
      </c>
      <c r="AB758" s="1" t="str">
        <f aca="false">TRIM(PROPER(C758))</f>
        <v>Whitehat Jr</v>
      </c>
      <c r="AC758" s="1" t="str">
        <f aca="false">IF(O758=0,"No Discount",IF(O758&lt;=15,"Low (1-15%)",IF(O758&lt;=30,"Medium (16-30%)","High (&gt;30%)")))</f>
        <v>Medium (16-30%)</v>
      </c>
      <c r="AD758" s="1" t="str">
        <f aca="false">IF(V758&lt;0,"Loss Making",IF(V758&lt;20,"Low Margin","Healthy Margin"))</f>
        <v>Healthy Margin</v>
      </c>
      <c r="AE758" s="1" t="str">
        <f aca="false">TEXT(DATE(VALUE(RIGHT(B758,4)),VALUE(MID(B758,4,2)),VALUE(LEFT(B758,2))),"MMM-YYYY")</f>
        <v>Dec-2024</v>
      </c>
      <c r="AF758" s="1" t="n">
        <f aca="false">VALUE(RIGHT(B758,4))</f>
        <v>2024</v>
      </c>
      <c r="AG758" s="1" t="str">
        <f aca="false">CHOOSE(ROUNDUP(VALUE(MID(B758,4,2))/3,0),"Q1","Q2","Q3","Q4")</f>
        <v>Q4</v>
      </c>
    </row>
    <row r="759" customFormat="false" ht="15" hidden="false" customHeight="true" outlineLevel="0" collapsed="false">
      <c r="A759" s="1" t="s">
        <v>1404</v>
      </c>
      <c r="B759" s="1" t="s">
        <v>585</v>
      </c>
      <c r="C759" s="1" t="s">
        <v>178</v>
      </c>
      <c r="D759" s="1" t="s">
        <v>143</v>
      </c>
      <c r="E759" s="1" t="s">
        <v>162</v>
      </c>
      <c r="F759" s="1" t="s">
        <v>102</v>
      </c>
      <c r="G759" s="1" t="s">
        <v>103</v>
      </c>
      <c r="H759" s="1" t="s">
        <v>33</v>
      </c>
      <c r="I759" s="1" t="s">
        <v>58</v>
      </c>
      <c r="J759" s="1" t="s">
        <v>131</v>
      </c>
      <c r="K759" s="1" t="s">
        <v>48</v>
      </c>
      <c r="L759" s="1" t="s">
        <v>61</v>
      </c>
      <c r="M759" s="1" t="s">
        <v>38</v>
      </c>
      <c r="N759" s="1" t="n">
        <v>14999</v>
      </c>
      <c r="O759" s="1" t="n">
        <v>20</v>
      </c>
      <c r="P759" s="1" t="n">
        <v>2999.8</v>
      </c>
      <c r="Q759" s="1" t="n">
        <v>11999.2</v>
      </c>
      <c r="R759" s="1" t="n">
        <v>2159.86</v>
      </c>
      <c r="S759" s="1" t="n">
        <v>9839.34</v>
      </c>
      <c r="T759" s="1" t="n">
        <v>4829.56</v>
      </c>
      <c r="U759" s="1" t="n">
        <v>5009.78</v>
      </c>
      <c r="V759" s="1" t="n">
        <v>50.92</v>
      </c>
      <c r="W759" s="1" t="s">
        <v>39</v>
      </c>
      <c r="X759" s="1" t="n">
        <v>3.2</v>
      </c>
      <c r="Y759" s="1" t="s">
        <v>40</v>
      </c>
      <c r="Z759" s="1" t="n">
        <v>0</v>
      </c>
      <c r="AA759" s="1" t="str">
        <f aca="false">TRIM(PROPER(F759))</f>
        <v>Warangal</v>
      </c>
      <c r="AB759" s="1" t="str">
        <f aca="false">TRIM(PROPER(C759))</f>
        <v>Leverage Edu</v>
      </c>
      <c r="AC759" s="1" t="str">
        <f aca="false">IF(O759=0,"No Discount",IF(O759&lt;=15,"Low (1-15%)",IF(O759&lt;=30,"Medium (16-30%)","High (&gt;30%)")))</f>
        <v>Medium (16-30%)</v>
      </c>
      <c r="AD759" s="1" t="str">
        <f aca="false">IF(V759&lt;0,"Loss Making",IF(V759&lt;20,"Low Margin","Healthy Margin"))</f>
        <v>Healthy Margin</v>
      </c>
      <c r="AE759" s="1" t="str">
        <f aca="false">TEXT(DATE(VALUE(RIGHT(B759,4)),VALUE(MID(B759,4,2)),VALUE(LEFT(B759,2))),"MMM-YYYY")</f>
        <v>Feb-2023</v>
      </c>
      <c r="AF759" s="1" t="n">
        <f aca="false">VALUE(RIGHT(B759,4))</f>
        <v>2023</v>
      </c>
      <c r="AG759" s="1" t="str">
        <f aca="false">CHOOSE(ROUNDUP(VALUE(MID(B759,4,2))/3,0),"Q1","Q2","Q3","Q4")</f>
        <v>Q1</v>
      </c>
    </row>
    <row r="760" customFormat="false" ht="15" hidden="false" customHeight="true" outlineLevel="0" collapsed="false">
      <c r="A760" s="1" t="s">
        <v>1405</v>
      </c>
      <c r="B760" s="1" t="s">
        <v>1406</v>
      </c>
      <c r="C760" s="1" t="s">
        <v>264</v>
      </c>
      <c r="D760" s="1" t="s">
        <v>143</v>
      </c>
      <c r="E760" s="1" t="s">
        <v>159</v>
      </c>
      <c r="F760" s="1" t="s">
        <v>244</v>
      </c>
      <c r="G760" s="1" t="s">
        <v>97</v>
      </c>
      <c r="H760" s="1" t="s">
        <v>57</v>
      </c>
      <c r="I760" s="1" t="s">
        <v>58</v>
      </c>
      <c r="J760" s="1" t="s">
        <v>131</v>
      </c>
      <c r="K760" s="1" t="s">
        <v>84</v>
      </c>
      <c r="L760" s="1" t="s">
        <v>85</v>
      </c>
      <c r="M760" s="1" t="s">
        <v>38</v>
      </c>
      <c r="N760" s="1" t="n">
        <v>24999</v>
      </c>
      <c r="O760" s="1" t="n">
        <v>0</v>
      </c>
      <c r="P760" s="1" t="n">
        <v>0</v>
      </c>
      <c r="Q760" s="1" t="n">
        <v>24999</v>
      </c>
      <c r="R760" s="1" t="n">
        <v>4499.82</v>
      </c>
      <c r="S760" s="1" t="n">
        <v>20499.18</v>
      </c>
      <c r="T760" s="1" t="n">
        <v>8479.3</v>
      </c>
      <c r="U760" s="1" t="n">
        <v>12019.88</v>
      </c>
      <c r="V760" s="1" t="n">
        <v>58.64</v>
      </c>
      <c r="W760" s="1" t="s">
        <v>40</v>
      </c>
      <c r="Y760" s="1" t="s">
        <v>39</v>
      </c>
      <c r="Z760" s="1" t="n">
        <v>1</v>
      </c>
      <c r="AA760" s="1" t="str">
        <f aca="false">TRIM(PROPER(F760))</f>
        <v>Nagpur</v>
      </c>
      <c r="AB760" s="1" t="str">
        <f aca="false">TRIM(PROPER(C760))</f>
        <v>Unacademy</v>
      </c>
      <c r="AC760" s="1" t="str">
        <f aca="false">IF(O760=0,"No Discount",IF(O760&lt;=15,"Low (1-15%)",IF(O760&lt;=30,"Medium (16-30%)","High (&gt;30%)")))</f>
        <v>No Discount</v>
      </c>
      <c r="AD760" s="1" t="str">
        <f aca="false">IF(V760&lt;0,"Loss Making",IF(V760&lt;20,"Low Margin","Healthy Margin"))</f>
        <v>Healthy Margin</v>
      </c>
      <c r="AE760" s="1" t="str">
        <f aca="false">TEXT(DATE(VALUE(RIGHT(B760,4)),VALUE(MID(B760,4,2)),VALUE(LEFT(B760,2))),"MMM-YYYY")</f>
        <v>Dec-2023</v>
      </c>
      <c r="AF760" s="1" t="n">
        <f aca="false">VALUE(RIGHT(B760,4))</f>
        <v>2023</v>
      </c>
      <c r="AG760" s="1" t="str">
        <f aca="false">CHOOSE(ROUNDUP(VALUE(MID(B760,4,2))/3,0),"Q1","Q2","Q3","Q4")</f>
        <v>Q4</v>
      </c>
    </row>
    <row r="761" customFormat="false" ht="15" hidden="false" customHeight="true" outlineLevel="0" collapsed="false">
      <c r="A761" s="1" t="s">
        <v>1407</v>
      </c>
      <c r="B761" s="1" t="s">
        <v>1408</v>
      </c>
      <c r="C761" s="1" t="s">
        <v>100</v>
      </c>
      <c r="D761" s="1" t="s">
        <v>53</v>
      </c>
      <c r="E761" s="1" t="s">
        <v>54</v>
      </c>
      <c r="F761" s="1" t="s">
        <v>120</v>
      </c>
      <c r="G761" s="1" t="s">
        <v>47</v>
      </c>
      <c r="H761" s="1" t="s">
        <v>57</v>
      </c>
      <c r="I761" s="1" t="s">
        <v>58</v>
      </c>
      <c r="J761" s="1" t="s">
        <v>131</v>
      </c>
      <c r="K761" s="1" t="s">
        <v>60</v>
      </c>
      <c r="L761" s="1" t="s">
        <v>37</v>
      </c>
      <c r="M761" s="1" t="s">
        <v>38</v>
      </c>
      <c r="N761" s="1" t="n">
        <v>11999</v>
      </c>
      <c r="O761" s="1" t="n">
        <v>0</v>
      </c>
      <c r="P761" s="1" t="n">
        <v>0</v>
      </c>
      <c r="Q761" s="1" t="n">
        <v>11999</v>
      </c>
      <c r="R761" s="1" t="n">
        <v>2159.82</v>
      </c>
      <c r="S761" s="1" t="n">
        <v>9839.18</v>
      </c>
      <c r="T761" s="1" t="n">
        <v>4138.49</v>
      </c>
      <c r="U761" s="1" t="n">
        <v>5700.69</v>
      </c>
      <c r="V761" s="1" t="n">
        <v>57.94</v>
      </c>
      <c r="W761" s="1" t="s">
        <v>39</v>
      </c>
      <c r="Y761" s="1" t="s">
        <v>40</v>
      </c>
      <c r="Z761" s="1" t="n">
        <v>1</v>
      </c>
      <c r="AA761" s="1" t="str">
        <f aca="false">TRIM(PROPER(F761))</f>
        <v>Mysuru</v>
      </c>
      <c r="AB761" s="1" t="str">
        <f aca="false">TRIM(PROPER(C761))</f>
        <v>Physics Wallah</v>
      </c>
      <c r="AC761" s="1" t="str">
        <f aca="false">IF(O761=0,"No Discount",IF(O761&lt;=15,"Low (1-15%)",IF(O761&lt;=30,"Medium (16-30%)","High (&gt;30%)")))</f>
        <v>No Discount</v>
      </c>
      <c r="AD761" s="1" t="str">
        <f aca="false">IF(V761&lt;0,"Loss Making",IF(V761&lt;20,"Low Margin","Healthy Margin"))</f>
        <v>Healthy Margin</v>
      </c>
      <c r="AE761" s="1" t="str">
        <f aca="false">TEXT(DATE(VALUE(RIGHT(B761,4)),VALUE(MID(B761,4,2)),VALUE(LEFT(B761,2))),"MMM-YYYY")</f>
        <v>Jun-2024</v>
      </c>
      <c r="AF761" s="1" t="n">
        <f aca="false">VALUE(RIGHT(B761,4))</f>
        <v>2024</v>
      </c>
      <c r="AG761" s="1" t="str">
        <f aca="false">CHOOSE(ROUNDUP(VALUE(MID(B761,4,2))/3,0),"Q1","Q2","Q3","Q4")</f>
        <v>Q2</v>
      </c>
    </row>
    <row r="762" customFormat="false" ht="15" hidden="false" customHeight="true" outlineLevel="0" collapsed="false">
      <c r="A762" s="1" t="s">
        <v>1409</v>
      </c>
      <c r="B762" s="1" t="s">
        <v>1410</v>
      </c>
      <c r="C762" s="1" t="s">
        <v>178</v>
      </c>
      <c r="D762" s="1" t="s">
        <v>29</v>
      </c>
      <c r="E762" s="1" t="s">
        <v>305</v>
      </c>
      <c r="F762" s="1" t="s">
        <v>125</v>
      </c>
      <c r="G762" s="1" t="s">
        <v>108</v>
      </c>
      <c r="H762" s="1" t="s">
        <v>69</v>
      </c>
      <c r="I762" s="1" t="s">
        <v>58</v>
      </c>
      <c r="J762" s="1" t="s">
        <v>35</v>
      </c>
      <c r="K762" s="1" t="s">
        <v>71</v>
      </c>
      <c r="L762" s="1" t="s">
        <v>37</v>
      </c>
      <c r="M762" s="1" t="s">
        <v>50</v>
      </c>
      <c r="N762" s="1" t="n">
        <v>24999</v>
      </c>
      <c r="O762" s="1" t="n">
        <v>50</v>
      </c>
      <c r="P762" s="1" t="n">
        <v>12499.5</v>
      </c>
      <c r="Q762" s="1" t="n">
        <v>12499.5</v>
      </c>
      <c r="R762" s="1" t="n">
        <v>2249.91</v>
      </c>
      <c r="S762" s="1" t="n">
        <v>10249.59</v>
      </c>
      <c r="T762" s="1" t="n">
        <v>4469.11</v>
      </c>
      <c r="U762" s="1" t="n">
        <v>5780.48</v>
      </c>
      <c r="V762" s="1" t="n">
        <v>56.4</v>
      </c>
      <c r="W762" s="1" t="s">
        <v>40</v>
      </c>
      <c r="Y762" s="1" t="s">
        <v>39</v>
      </c>
      <c r="Z762" s="1" t="n">
        <v>0</v>
      </c>
      <c r="AA762" s="1" t="str">
        <f aca="false">TRIM(PROPER(F762))</f>
        <v>Chennai</v>
      </c>
      <c r="AB762" s="1" t="str">
        <f aca="false">TRIM(PROPER(C762))</f>
        <v>Leverage Edu</v>
      </c>
      <c r="AC762" s="1" t="str">
        <f aca="false">IF(O762=0,"No Discount",IF(O762&lt;=15,"Low (1-15%)",IF(O762&lt;=30,"Medium (16-30%)","High (&gt;30%)")))</f>
        <v>High (&gt;30%)</v>
      </c>
      <c r="AD762" s="1" t="str">
        <f aca="false">IF(V762&lt;0,"Loss Making",IF(V762&lt;20,"Low Margin","Healthy Margin"))</f>
        <v>Healthy Margin</v>
      </c>
      <c r="AE762" s="1" t="str">
        <f aca="false">TEXT(DATE(VALUE(RIGHT(B762,4)),VALUE(MID(B762,4,2)),VALUE(LEFT(B762,2))),"MMM-YYYY")</f>
        <v>Nov-2024</v>
      </c>
      <c r="AF762" s="1" t="n">
        <f aca="false">VALUE(RIGHT(B762,4))</f>
        <v>2024</v>
      </c>
      <c r="AG762" s="1" t="str">
        <f aca="false">CHOOSE(ROUNDUP(VALUE(MID(B762,4,2))/3,0),"Q1","Q2","Q3","Q4")</f>
        <v>Q4</v>
      </c>
    </row>
    <row r="763" customFormat="false" ht="15" hidden="false" customHeight="true" outlineLevel="0" collapsed="false">
      <c r="A763" s="1" t="s">
        <v>1411</v>
      </c>
      <c r="B763" s="1" t="s">
        <v>1412</v>
      </c>
      <c r="C763" s="1" t="s">
        <v>139</v>
      </c>
      <c r="D763" s="1" t="s">
        <v>53</v>
      </c>
      <c r="E763" s="1" t="s">
        <v>54</v>
      </c>
      <c r="F763" s="1" t="s">
        <v>96</v>
      </c>
      <c r="G763" s="1" t="s">
        <v>97</v>
      </c>
      <c r="H763" s="1" t="s">
        <v>69</v>
      </c>
      <c r="I763" s="1" t="s">
        <v>58</v>
      </c>
      <c r="J763" s="1" t="s">
        <v>77</v>
      </c>
      <c r="K763" s="1" t="s">
        <v>36</v>
      </c>
      <c r="L763" s="1" t="s">
        <v>37</v>
      </c>
      <c r="M763" s="1" t="s">
        <v>62</v>
      </c>
      <c r="N763" s="1" t="n">
        <v>11999</v>
      </c>
      <c r="O763" s="1" t="n">
        <v>40</v>
      </c>
      <c r="P763" s="1" t="n">
        <v>4799.6</v>
      </c>
      <c r="Q763" s="1" t="n">
        <v>7199.4</v>
      </c>
      <c r="R763" s="1" t="n">
        <v>1295.89</v>
      </c>
      <c r="S763" s="1" t="n">
        <v>5903.51</v>
      </c>
      <c r="T763" s="1" t="n">
        <v>3347.43</v>
      </c>
      <c r="U763" s="1" t="n">
        <v>2556.08</v>
      </c>
      <c r="V763" s="1" t="n">
        <v>43.3</v>
      </c>
      <c r="W763" s="1" t="s">
        <v>39</v>
      </c>
      <c r="X763" s="1" t="n">
        <v>3.1</v>
      </c>
      <c r="Y763" s="1" t="s">
        <v>40</v>
      </c>
      <c r="Z763" s="1" t="n">
        <v>0</v>
      </c>
      <c r="AA763" s="1" t="str">
        <f aca="false">TRIM(PROPER(F763))</f>
        <v>Pune</v>
      </c>
      <c r="AB763" s="1" t="str">
        <f aca="false">TRIM(PROPER(C763))</f>
        <v>Extramarks</v>
      </c>
      <c r="AC763" s="1" t="str">
        <f aca="false">IF(O763=0,"No Discount",IF(O763&lt;=15,"Low (1-15%)",IF(O763&lt;=30,"Medium (16-30%)","High (&gt;30%)")))</f>
        <v>High (&gt;30%)</v>
      </c>
      <c r="AD763" s="1" t="str">
        <f aca="false">IF(V763&lt;0,"Loss Making",IF(V763&lt;20,"Low Margin","Healthy Margin"))</f>
        <v>Healthy Margin</v>
      </c>
      <c r="AE763" s="1" t="str">
        <f aca="false">TEXT(DATE(VALUE(RIGHT(B763,4)),VALUE(MID(B763,4,2)),VALUE(LEFT(B763,2))),"MMM-YYYY")</f>
        <v>Nov-2023</v>
      </c>
      <c r="AF763" s="1" t="n">
        <f aca="false">VALUE(RIGHT(B763,4))</f>
        <v>2023</v>
      </c>
      <c r="AG763" s="1" t="str">
        <f aca="false">CHOOSE(ROUNDUP(VALUE(MID(B763,4,2))/3,0),"Q1","Q2","Q3","Q4")</f>
        <v>Q4</v>
      </c>
    </row>
    <row r="764" customFormat="false" ht="15" hidden="false" customHeight="true" outlineLevel="0" collapsed="false">
      <c r="A764" s="1" t="s">
        <v>1413</v>
      </c>
      <c r="B764" s="1" t="s">
        <v>1414</v>
      </c>
      <c r="C764" s="1" t="s">
        <v>74</v>
      </c>
      <c r="D764" s="1" t="s">
        <v>29</v>
      </c>
      <c r="E764" s="1" t="s">
        <v>30</v>
      </c>
      <c r="F764" s="1" t="s">
        <v>156</v>
      </c>
      <c r="G764" s="1" t="s">
        <v>68</v>
      </c>
      <c r="H764" s="1" t="s">
        <v>57</v>
      </c>
      <c r="I764" s="1" t="s">
        <v>58</v>
      </c>
      <c r="J764" s="1" t="s">
        <v>59</v>
      </c>
      <c r="K764" s="1" t="s">
        <v>36</v>
      </c>
      <c r="L764" s="1" t="s">
        <v>136</v>
      </c>
      <c r="M764" s="1" t="s">
        <v>50</v>
      </c>
      <c r="N764" s="1" t="n">
        <v>7999</v>
      </c>
      <c r="O764" s="1" t="n">
        <v>50</v>
      </c>
      <c r="P764" s="1" t="n">
        <v>3999.5</v>
      </c>
      <c r="Q764" s="1" t="n">
        <v>3999.5</v>
      </c>
      <c r="R764" s="1" t="n">
        <v>719.91</v>
      </c>
      <c r="S764" s="1" t="n">
        <v>3279.59</v>
      </c>
      <c r="T764" s="1" t="n">
        <v>1620.78</v>
      </c>
      <c r="U764" s="1" t="n">
        <v>1658.81</v>
      </c>
      <c r="V764" s="1" t="n">
        <v>50.58</v>
      </c>
      <c r="W764" s="1" t="s">
        <v>40</v>
      </c>
      <c r="Y764" s="1" t="s">
        <v>40</v>
      </c>
      <c r="Z764" s="1" t="n">
        <v>2</v>
      </c>
      <c r="AA764" s="1" t="str">
        <f aca="false">TRIM(PROPER(F764))</f>
        <v>Surat</v>
      </c>
      <c r="AB764" s="1" t="str">
        <f aca="false">TRIM(PROPER(C764))</f>
        <v>Vedantu</v>
      </c>
      <c r="AC764" s="1" t="str">
        <f aca="false">IF(O764=0,"No Discount",IF(O764&lt;=15,"Low (1-15%)",IF(O764&lt;=30,"Medium (16-30%)","High (&gt;30%)")))</f>
        <v>High (&gt;30%)</v>
      </c>
      <c r="AD764" s="1" t="str">
        <f aca="false">IF(V764&lt;0,"Loss Making",IF(V764&lt;20,"Low Margin","Healthy Margin"))</f>
        <v>Healthy Margin</v>
      </c>
      <c r="AE764" s="1" t="str">
        <f aca="false">TEXT(DATE(VALUE(RIGHT(B764,4)),VALUE(MID(B764,4,2)),VALUE(LEFT(B764,2))),"MMM-YYYY")</f>
        <v>Jun-2023</v>
      </c>
      <c r="AF764" s="1" t="n">
        <f aca="false">VALUE(RIGHT(B764,4))</f>
        <v>2023</v>
      </c>
      <c r="AG764" s="1" t="str">
        <f aca="false">CHOOSE(ROUNDUP(VALUE(MID(B764,4,2))/3,0),"Q1","Q2","Q3","Q4")</f>
        <v>Q2</v>
      </c>
    </row>
    <row r="765" customFormat="false" ht="15" hidden="false" customHeight="true" outlineLevel="0" collapsed="false">
      <c r="A765" s="1" t="s">
        <v>1415</v>
      </c>
      <c r="B765" s="1" t="s">
        <v>1305</v>
      </c>
      <c r="C765" s="1" t="s">
        <v>264</v>
      </c>
      <c r="D765" s="1" t="s">
        <v>168</v>
      </c>
      <c r="E765" s="1" t="s">
        <v>197</v>
      </c>
      <c r="F765" s="1" t="s">
        <v>75</v>
      </c>
      <c r="G765" s="1" t="s">
        <v>76</v>
      </c>
      <c r="H765" s="1" t="s">
        <v>69</v>
      </c>
      <c r="I765" s="1" t="s">
        <v>34</v>
      </c>
      <c r="J765" s="1" t="s">
        <v>77</v>
      </c>
      <c r="K765" s="1" t="s">
        <v>71</v>
      </c>
      <c r="L765" s="1" t="s">
        <v>85</v>
      </c>
      <c r="M765" s="1" t="s">
        <v>38</v>
      </c>
      <c r="N765" s="1" t="n">
        <v>8499</v>
      </c>
      <c r="O765" s="1" t="n">
        <v>15</v>
      </c>
      <c r="P765" s="1" t="n">
        <v>1274.85</v>
      </c>
      <c r="Q765" s="1" t="n">
        <v>7224.15</v>
      </c>
      <c r="R765" s="1" t="n">
        <v>1300.35</v>
      </c>
      <c r="S765" s="1" t="n">
        <v>5923.8</v>
      </c>
      <c r="T765" s="1" t="n">
        <v>2912.03</v>
      </c>
      <c r="U765" s="1" t="n">
        <v>3011.77</v>
      </c>
      <c r="V765" s="1" t="n">
        <v>50.84</v>
      </c>
      <c r="W765" s="1" t="s">
        <v>39</v>
      </c>
      <c r="X765" s="1" t="n">
        <v>3.9</v>
      </c>
      <c r="Y765" s="1" t="s">
        <v>40</v>
      </c>
      <c r="Z765" s="1" t="n">
        <v>0</v>
      </c>
      <c r="AA765" s="1" t="str">
        <f aca="false">TRIM(PROPER(F765))</f>
        <v>Kolkata</v>
      </c>
      <c r="AB765" s="1" t="str">
        <f aca="false">TRIM(PROPER(C765))</f>
        <v>Unacademy</v>
      </c>
      <c r="AC765" s="1" t="str">
        <f aca="false">IF(O765=0,"No Discount",IF(O765&lt;=15,"Low (1-15%)",IF(O765&lt;=30,"Medium (16-30%)","High (&gt;30%)")))</f>
        <v>Low (1-15%)</v>
      </c>
      <c r="AD765" s="1" t="str">
        <f aca="false">IF(V765&lt;0,"Loss Making",IF(V765&lt;20,"Low Margin","Healthy Margin"))</f>
        <v>Healthy Margin</v>
      </c>
      <c r="AE765" s="1" t="str">
        <f aca="false">TEXT(DATE(VALUE(RIGHT(B765,4)),VALUE(MID(B765,4,2)),VALUE(LEFT(B765,2))),"MMM-YYYY")</f>
        <v>Feb-2023</v>
      </c>
      <c r="AF765" s="1" t="n">
        <f aca="false">VALUE(RIGHT(B765,4))</f>
        <v>2023</v>
      </c>
      <c r="AG765" s="1" t="str">
        <f aca="false">CHOOSE(ROUNDUP(VALUE(MID(B765,4,2))/3,0),"Q1","Q2","Q3","Q4")</f>
        <v>Q1</v>
      </c>
    </row>
    <row r="766" customFormat="false" ht="15" hidden="false" customHeight="true" outlineLevel="0" collapsed="false">
      <c r="A766" s="1" t="s">
        <v>1416</v>
      </c>
      <c r="B766" s="1" t="s">
        <v>566</v>
      </c>
      <c r="C766" s="1" t="s">
        <v>139</v>
      </c>
      <c r="D766" s="1" t="s">
        <v>29</v>
      </c>
      <c r="E766" s="1" t="s">
        <v>305</v>
      </c>
      <c r="F766" s="1" t="s">
        <v>89</v>
      </c>
      <c r="G766" s="1" t="s">
        <v>68</v>
      </c>
      <c r="H766" s="1" t="s">
        <v>33</v>
      </c>
      <c r="I766" s="1" t="s">
        <v>58</v>
      </c>
      <c r="J766" s="1" t="s">
        <v>59</v>
      </c>
      <c r="K766" s="1" t="s">
        <v>84</v>
      </c>
      <c r="L766" s="1" t="s">
        <v>49</v>
      </c>
      <c r="M766" s="1" t="s">
        <v>62</v>
      </c>
      <c r="N766" s="1" t="n">
        <v>24999</v>
      </c>
      <c r="O766" s="1" t="n">
        <v>25</v>
      </c>
      <c r="P766" s="1" t="n">
        <v>6249.75</v>
      </c>
      <c r="Q766" s="1" t="n">
        <v>18749.25</v>
      </c>
      <c r="R766" s="1" t="n">
        <v>3374.86</v>
      </c>
      <c r="S766" s="1" t="n">
        <v>15374.39</v>
      </c>
      <c r="T766" s="1" t="n">
        <v>6734.29</v>
      </c>
      <c r="U766" s="1" t="n">
        <v>8640.1</v>
      </c>
      <c r="V766" s="1" t="n">
        <v>56.2</v>
      </c>
      <c r="W766" s="1" t="s">
        <v>40</v>
      </c>
      <c r="Y766" s="1" t="s">
        <v>40</v>
      </c>
      <c r="Z766" s="1" t="n">
        <v>0</v>
      </c>
      <c r="AA766" s="1" t="str">
        <f aca="false">TRIM(PROPER(F766))</f>
        <v>Vadodara</v>
      </c>
      <c r="AB766" s="1" t="str">
        <f aca="false">TRIM(PROPER(C766))</f>
        <v>Extramarks</v>
      </c>
      <c r="AC766" s="1" t="str">
        <f aca="false">IF(O766=0,"No Discount",IF(O766&lt;=15,"Low (1-15%)",IF(O766&lt;=30,"Medium (16-30%)","High (&gt;30%)")))</f>
        <v>Medium (16-30%)</v>
      </c>
      <c r="AD766" s="1" t="str">
        <f aca="false">IF(V766&lt;0,"Loss Making",IF(V766&lt;20,"Low Margin","Healthy Margin"))</f>
        <v>Healthy Margin</v>
      </c>
      <c r="AE766" s="1" t="str">
        <f aca="false">TEXT(DATE(VALUE(RIGHT(B766,4)),VALUE(MID(B766,4,2)),VALUE(LEFT(B766,2))),"MMM-YYYY")</f>
        <v>Nov-2024</v>
      </c>
      <c r="AF766" s="1" t="n">
        <f aca="false">VALUE(RIGHT(B766,4))</f>
        <v>2024</v>
      </c>
      <c r="AG766" s="1" t="str">
        <f aca="false">CHOOSE(ROUNDUP(VALUE(MID(B766,4,2))/3,0),"Q1","Q2","Q3","Q4")</f>
        <v>Q4</v>
      </c>
    </row>
    <row r="767" customFormat="false" ht="15" hidden="false" customHeight="true" outlineLevel="0" collapsed="false">
      <c r="A767" s="1" t="s">
        <v>1417</v>
      </c>
      <c r="B767" s="1" t="s">
        <v>1143</v>
      </c>
      <c r="C767" s="1" t="s">
        <v>134</v>
      </c>
      <c r="D767" s="1" t="s">
        <v>80</v>
      </c>
      <c r="E767" s="1" t="s">
        <v>190</v>
      </c>
      <c r="F767" s="1" t="s">
        <v>194</v>
      </c>
      <c r="G767" s="1" t="s">
        <v>103</v>
      </c>
      <c r="H767" s="1" t="s">
        <v>69</v>
      </c>
      <c r="I767" s="1" t="s">
        <v>83</v>
      </c>
      <c r="J767" s="1" t="s">
        <v>59</v>
      </c>
      <c r="K767" s="1" t="s">
        <v>104</v>
      </c>
      <c r="L767" s="1" t="s">
        <v>61</v>
      </c>
      <c r="M767" s="1" t="s">
        <v>38</v>
      </c>
      <c r="N767" s="1" t="n">
        <v>15999</v>
      </c>
      <c r="O767" s="1" t="n">
        <v>40</v>
      </c>
      <c r="P767" s="1" t="n">
        <v>6399.6</v>
      </c>
      <c r="Q767" s="1" t="n">
        <v>9599.4</v>
      </c>
      <c r="R767" s="1" t="n">
        <v>1727.89</v>
      </c>
      <c r="S767" s="1" t="n">
        <v>7871.51</v>
      </c>
      <c r="T767" s="1" t="n">
        <v>4591.75</v>
      </c>
      <c r="U767" s="1" t="n">
        <v>3279.76</v>
      </c>
      <c r="V767" s="1" t="n">
        <v>41.67</v>
      </c>
      <c r="W767" s="1" t="s">
        <v>39</v>
      </c>
      <c r="X767" s="1" t="n">
        <v>4.2</v>
      </c>
      <c r="Y767" s="1" t="s">
        <v>40</v>
      </c>
      <c r="Z767" s="1" t="n">
        <v>0</v>
      </c>
      <c r="AA767" s="1" t="str">
        <f aca="false">TRIM(PROPER(F767))</f>
        <v>Hyderabad</v>
      </c>
      <c r="AB767" s="1" t="str">
        <f aca="false">TRIM(PROPER(C767))</f>
        <v>Doubtnut</v>
      </c>
      <c r="AC767" s="1" t="str">
        <f aca="false">IF(O767=0,"No Discount",IF(O767&lt;=15,"Low (1-15%)",IF(O767&lt;=30,"Medium (16-30%)","High (&gt;30%)")))</f>
        <v>High (&gt;30%)</v>
      </c>
      <c r="AD767" s="1" t="str">
        <f aca="false">IF(V767&lt;0,"Loss Making",IF(V767&lt;20,"Low Margin","Healthy Margin"))</f>
        <v>Healthy Margin</v>
      </c>
      <c r="AE767" s="1" t="str">
        <f aca="false">TEXT(DATE(VALUE(RIGHT(B767,4)),VALUE(MID(B767,4,2)),VALUE(LEFT(B767,2))),"MMM-YYYY")</f>
        <v>Nov-2024</v>
      </c>
      <c r="AF767" s="1" t="n">
        <f aca="false">VALUE(RIGHT(B767,4))</f>
        <v>2024</v>
      </c>
      <c r="AG767" s="1" t="str">
        <f aca="false">CHOOSE(ROUNDUP(VALUE(MID(B767,4,2))/3,0),"Q1","Q2","Q3","Q4")</f>
        <v>Q4</v>
      </c>
    </row>
    <row r="768" customFormat="false" ht="15" hidden="false" customHeight="true" outlineLevel="0" collapsed="false">
      <c r="A768" s="1" t="s">
        <v>1418</v>
      </c>
      <c r="B768" s="1" t="s">
        <v>430</v>
      </c>
      <c r="C768" s="1" t="s">
        <v>74</v>
      </c>
      <c r="D768" s="1" t="s">
        <v>80</v>
      </c>
      <c r="E768" s="1" t="s">
        <v>190</v>
      </c>
      <c r="F768" s="1" t="s">
        <v>269</v>
      </c>
      <c r="G768" s="1" t="s">
        <v>108</v>
      </c>
      <c r="H768" s="1" t="s">
        <v>57</v>
      </c>
      <c r="I768" s="1" t="s">
        <v>58</v>
      </c>
      <c r="J768" s="1" t="s">
        <v>77</v>
      </c>
      <c r="K768" s="1" t="s">
        <v>36</v>
      </c>
      <c r="L768" s="1" t="s">
        <v>113</v>
      </c>
      <c r="M768" s="1" t="s">
        <v>50</v>
      </c>
      <c r="N768" s="1" t="n">
        <v>15999</v>
      </c>
      <c r="O768" s="1" t="n">
        <v>30</v>
      </c>
      <c r="P768" s="1" t="n">
        <v>4799.7</v>
      </c>
      <c r="Q768" s="1" t="n">
        <v>11199.3</v>
      </c>
      <c r="R768" s="1" t="n">
        <v>2015.87</v>
      </c>
      <c r="S768" s="1" t="n">
        <v>9183.43</v>
      </c>
      <c r="T768" s="1" t="n">
        <v>4475.2</v>
      </c>
      <c r="U768" s="1" t="n">
        <v>4708.23</v>
      </c>
      <c r="V768" s="1" t="n">
        <v>51.27</v>
      </c>
      <c r="W768" s="1" t="s">
        <v>39</v>
      </c>
      <c r="Y768" s="1" t="s">
        <v>40</v>
      </c>
      <c r="Z768" s="1" t="n">
        <v>0</v>
      </c>
      <c r="AA768" s="1" t="str">
        <f aca="false">TRIM(PROPER(F768))</f>
        <v>Coimbatore</v>
      </c>
      <c r="AB768" s="1" t="str">
        <f aca="false">TRIM(PROPER(C768))</f>
        <v>Vedantu</v>
      </c>
      <c r="AC768" s="1" t="str">
        <f aca="false">IF(O768=0,"No Discount",IF(O768&lt;=15,"Low (1-15%)",IF(O768&lt;=30,"Medium (16-30%)","High (&gt;30%)")))</f>
        <v>Medium (16-30%)</v>
      </c>
      <c r="AD768" s="1" t="str">
        <f aca="false">IF(V768&lt;0,"Loss Making",IF(V768&lt;20,"Low Margin","Healthy Margin"))</f>
        <v>Healthy Margin</v>
      </c>
      <c r="AE768" s="1" t="str">
        <f aca="false">TEXT(DATE(VALUE(RIGHT(B768,4)),VALUE(MID(B768,4,2)),VALUE(LEFT(B768,2))),"MMM-YYYY")</f>
        <v>Nov-2023</v>
      </c>
      <c r="AF768" s="1" t="n">
        <f aca="false">VALUE(RIGHT(B768,4))</f>
        <v>2023</v>
      </c>
      <c r="AG768" s="1" t="str">
        <f aca="false">CHOOSE(ROUNDUP(VALUE(MID(B768,4,2))/3,0),"Q1","Q2","Q3","Q4")</f>
        <v>Q4</v>
      </c>
    </row>
    <row r="769" customFormat="false" ht="15" hidden="false" customHeight="true" outlineLevel="0" collapsed="false">
      <c r="A769" s="1" t="s">
        <v>1419</v>
      </c>
      <c r="B769" s="1" t="s">
        <v>1420</v>
      </c>
      <c r="C769" s="1" t="s">
        <v>88</v>
      </c>
      <c r="D769" s="1" t="s">
        <v>53</v>
      </c>
      <c r="E769" s="1" t="s">
        <v>216</v>
      </c>
      <c r="F769" s="1" t="s">
        <v>130</v>
      </c>
      <c r="G769" s="1" t="s">
        <v>47</v>
      </c>
      <c r="H769" s="1" t="s">
        <v>69</v>
      </c>
      <c r="I769" s="1" t="s">
        <v>58</v>
      </c>
      <c r="J769" s="1" t="s">
        <v>131</v>
      </c>
      <c r="K769" s="1" t="s">
        <v>90</v>
      </c>
      <c r="L769" s="1" t="s">
        <v>37</v>
      </c>
      <c r="M769" s="1" t="s">
        <v>62</v>
      </c>
      <c r="N769" s="1" t="n">
        <v>7499</v>
      </c>
      <c r="O769" s="1" t="n">
        <v>30</v>
      </c>
      <c r="P769" s="1" t="n">
        <v>2249.7</v>
      </c>
      <c r="Q769" s="1" t="n">
        <v>5249.3</v>
      </c>
      <c r="R769" s="1" t="n">
        <v>944.87</v>
      </c>
      <c r="S769" s="1" t="n">
        <v>4304.43</v>
      </c>
      <c r="T769" s="1" t="n">
        <v>1266.11</v>
      </c>
      <c r="U769" s="1" t="n">
        <v>3038.32</v>
      </c>
      <c r="V769" s="1" t="n">
        <v>70.59</v>
      </c>
      <c r="W769" s="1" t="s">
        <v>39</v>
      </c>
      <c r="X769" s="1" t="n">
        <v>3.5</v>
      </c>
      <c r="Y769" s="1" t="s">
        <v>40</v>
      </c>
      <c r="Z769" s="1" t="n">
        <v>1</v>
      </c>
      <c r="AA769" s="1" t="str">
        <f aca="false">TRIM(PROPER(F769))</f>
        <v>Bengaluru</v>
      </c>
      <c r="AB769" s="1" t="str">
        <f aca="false">TRIM(PROPER(C769))</f>
        <v>Byju'S</v>
      </c>
      <c r="AC769" s="1" t="str">
        <f aca="false">IF(O769=0,"No Discount",IF(O769&lt;=15,"Low (1-15%)",IF(O769&lt;=30,"Medium (16-30%)","High (&gt;30%)")))</f>
        <v>Medium (16-30%)</v>
      </c>
      <c r="AD769" s="1" t="str">
        <f aca="false">IF(V769&lt;0,"Loss Making",IF(V769&lt;20,"Low Margin","Healthy Margin"))</f>
        <v>Healthy Margin</v>
      </c>
      <c r="AE769" s="1" t="str">
        <f aca="false">TEXT(DATE(VALUE(RIGHT(B769,4)),VALUE(MID(B769,4,2)),VALUE(LEFT(B769,2))),"MMM-YYYY")</f>
        <v>Nov-2023</v>
      </c>
      <c r="AF769" s="1" t="n">
        <f aca="false">VALUE(RIGHT(B769,4))</f>
        <v>2023</v>
      </c>
      <c r="AG769" s="1" t="str">
        <f aca="false">CHOOSE(ROUNDUP(VALUE(MID(B769,4,2))/3,0),"Q1","Q2","Q3","Q4")</f>
        <v>Q4</v>
      </c>
    </row>
    <row r="770" customFormat="false" ht="15" hidden="false" customHeight="true" outlineLevel="0" collapsed="false">
      <c r="A770" s="1" t="s">
        <v>1421</v>
      </c>
      <c r="B770" s="1" t="s">
        <v>1210</v>
      </c>
      <c r="C770" s="1" t="s">
        <v>128</v>
      </c>
      <c r="D770" s="1" t="s">
        <v>168</v>
      </c>
      <c r="E770" s="1" t="s">
        <v>197</v>
      </c>
      <c r="F770" s="1" t="s">
        <v>46</v>
      </c>
      <c r="G770" s="1" t="s">
        <v>47</v>
      </c>
      <c r="H770" s="1" t="s">
        <v>33</v>
      </c>
      <c r="I770" s="1" t="s">
        <v>34</v>
      </c>
      <c r="J770" s="1" t="s">
        <v>70</v>
      </c>
      <c r="K770" s="1" t="s">
        <v>84</v>
      </c>
      <c r="L770" s="1" t="s">
        <v>37</v>
      </c>
      <c r="M770" s="1" t="s">
        <v>50</v>
      </c>
      <c r="N770" s="1" t="n">
        <v>8499</v>
      </c>
      <c r="O770" s="1" t="n">
        <v>30</v>
      </c>
      <c r="P770" s="1" t="n">
        <v>2549.7</v>
      </c>
      <c r="Q770" s="1" t="n">
        <v>5949.3</v>
      </c>
      <c r="R770" s="1" t="n">
        <v>1070.87</v>
      </c>
      <c r="S770" s="1" t="n">
        <v>4878.43</v>
      </c>
      <c r="T770" s="1" t="n">
        <v>2166.06</v>
      </c>
      <c r="U770" s="1" t="n">
        <v>2712.37</v>
      </c>
      <c r="V770" s="1" t="n">
        <v>55.6</v>
      </c>
      <c r="W770" s="1" t="s">
        <v>40</v>
      </c>
      <c r="Y770" s="1" t="s">
        <v>40</v>
      </c>
      <c r="Z770" s="1" t="n">
        <v>1</v>
      </c>
      <c r="AA770" s="1" t="str">
        <f aca="false">TRIM(PROPER(F770))</f>
        <v>Mangaluru</v>
      </c>
      <c r="AB770" s="1" t="str">
        <f aca="false">TRIM(PROPER(C770))</f>
        <v>Great Learning</v>
      </c>
      <c r="AC770" s="1" t="str">
        <f aca="false">IF(O770=0,"No Discount",IF(O770&lt;=15,"Low (1-15%)",IF(O770&lt;=30,"Medium (16-30%)","High (&gt;30%)")))</f>
        <v>Medium (16-30%)</v>
      </c>
      <c r="AD770" s="1" t="str">
        <f aca="false">IF(V770&lt;0,"Loss Making",IF(V770&lt;20,"Low Margin","Healthy Margin"))</f>
        <v>Healthy Margin</v>
      </c>
      <c r="AE770" s="1" t="str">
        <f aca="false">TEXT(DATE(VALUE(RIGHT(B770,4)),VALUE(MID(B770,4,2)),VALUE(LEFT(B770,2))),"MMM-YYYY")</f>
        <v>Mar-2024</v>
      </c>
      <c r="AF770" s="1" t="n">
        <f aca="false">VALUE(RIGHT(B770,4))</f>
        <v>2024</v>
      </c>
      <c r="AG770" s="1" t="str">
        <f aca="false">CHOOSE(ROUNDUP(VALUE(MID(B770,4,2))/3,0),"Q1","Q2","Q3","Q4")</f>
        <v>Q1</v>
      </c>
    </row>
    <row r="771" customFormat="false" ht="15" hidden="false" customHeight="true" outlineLevel="0" collapsed="false">
      <c r="A771" s="1" t="s">
        <v>1422</v>
      </c>
      <c r="B771" s="1" t="s">
        <v>1423</v>
      </c>
      <c r="C771" s="1" t="s">
        <v>74</v>
      </c>
      <c r="D771" s="1" t="s">
        <v>53</v>
      </c>
      <c r="E771" s="1" t="s">
        <v>116</v>
      </c>
      <c r="F771" s="1" t="s">
        <v>194</v>
      </c>
      <c r="G771" s="1" t="s">
        <v>103</v>
      </c>
      <c r="H771" s="1" t="s">
        <v>69</v>
      </c>
      <c r="I771" s="1" t="s">
        <v>58</v>
      </c>
      <c r="J771" s="1" t="s">
        <v>70</v>
      </c>
      <c r="K771" s="1" t="s">
        <v>48</v>
      </c>
      <c r="L771" s="1" t="s">
        <v>37</v>
      </c>
      <c r="M771" s="1" t="s">
        <v>50</v>
      </c>
      <c r="N771" s="1" t="n">
        <v>9999</v>
      </c>
      <c r="O771" s="1" t="n">
        <v>20</v>
      </c>
      <c r="P771" s="1" t="n">
        <v>1999.8</v>
      </c>
      <c r="Q771" s="1" t="n">
        <v>7999.2</v>
      </c>
      <c r="R771" s="1" t="n">
        <v>1439.86</v>
      </c>
      <c r="S771" s="1" t="n">
        <v>6559.34</v>
      </c>
      <c r="T771" s="1" t="n">
        <v>2670.67</v>
      </c>
      <c r="U771" s="1" t="n">
        <v>3888.67</v>
      </c>
      <c r="V771" s="1" t="n">
        <v>59.28</v>
      </c>
      <c r="W771" s="1" t="s">
        <v>39</v>
      </c>
      <c r="X771" s="1" t="n">
        <v>3.8</v>
      </c>
      <c r="Y771" s="1" t="s">
        <v>40</v>
      </c>
      <c r="Z771" s="1" t="n">
        <v>2</v>
      </c>
      <c r="AA771" s="1" t="str">
        <f aca="false">TRIM(PROPER(F771))</f>
        <v>Hyderabad</v>
      </c>
      <c r="AB771" s="1" t="str">
        <f aca="false">TRIM(PROPER(C771))</f>
        <v>Vedantu</v>
      </c>
      <c r="AC771" s="1" t="str">
        <f aca="false">IF(O771=0,"No Discount",IF(O771&lt;=15,"Low (1-15%)",IF(O771&lt;=30,"Medium (16-30%)","High (&gt;30%)")))</f>
        <v>Medium (16-30%)</v>
      </c>
      <c r="AD771" s="1" t="str">
        <f aca="false">IF(V771&lt;0,"Loss Making",IF(V771&lt;20,"Low Margin","Healthy Margin"))</f>
        <v>Healthy Margin</v>
      </c>
      <c r="AE771" s="1" t="str">
        <f aca="false">TEXT(DATE(VALUE(RIGHT(B771,4)),VALUE(MID(B771,4,2)),VALUE(LEFT(B771,2))),"MMM-YYYY")</f>
        <v>Apr-2023</v>
      </c>
      <c r="AF771" s="1" t="n">
        <f aca="false">VALUE(RIGHT(B771,4))</f>
        <v>2023</v>
      </c>
      <c r="AG771" s="1" t="str">
        <f aca="false">CHOOSE(ROUNDUP(VALUE(MID(B771,4,2))/3,0),"Q1","Q2","Q3","Q4")</f>
        <v>Q2</v>
      </c>
    </row>
    <row r="772" customFormat="false" ht="15" hidden="false" customHeight="true" outlineLevel="0" collapsed="false">
      <c r="A772" s="1" t="s">
        <v>1424</v>
      </c>
      <c r="B772" s="1" t="s">
        <v>432</v>
      </c>
      <c r="C772" s="1" t="s">
        <v>100</v>
      </c>
      <c r="D772" s="1" t="s">
        <v>44</v>
      </c>
      <c r="E772" s="1" t="s">
        <v>221</v>
      </c>
      <c r="F772" s="1" t="s">
        <v>187</v>
      </c>
      <c r="G772" s="1" t="s">
        <v>97</v>
      </c>
      <c r="H772" s="1" t="s">
        <v>69</v>
      </c>
      <c r="I772" s="1" t="s">
        <v>58</v>
      </c>
      <c r="J772" s="1" t="s">
        <v>59</v>
      </c>
      <c r="K772" s="1" t="s">
        <v>104</v>
      </c>
      <c r="L772" s="1" t="s">
        <v>85</v>
      </c>
      <c r="M772" s="1" t="s">
        <v>38</v>
      </c>
      <c r="N772" s="1" t="n">
        <v>16999</v>
      </c>
      <c r="O772" s="1" t="n">
        <v>50</v>
      </c>
      <c r="P772" s="1" t="n">
        <v>8499.5</v>
      </c>
      <c r="Q772" s="1" t="n">
        <v>8499.5</v>
      </c>
      <c r="R772" s="1" t="n">
        <v>1529.91</v>
      </c>
      <c r="S772" s="1" t="n">
        <v>6969.59</v>
      </c>
      <c r="T772" s="1" t="n">
        <v>3089.68</v>
      </c>
      <c r="U772" s="1" t="n">
        <v>3879.91</v>
      </c>
      <c r="V772" s="1" t="n">
        <v>55.67</v>
      </c>
      <c r="W772" s="1" t="s">
        <v>40</v>
      </c>
      <c r="Y772" s="1" t="s">
        <v>40</v>
      </c>
      <c r="Z772" s="1" t="n">
        <v>0</v>
      </c>
      <c r="AA772" s="1" t="str">
        <f aca="false">TRIM(PROPER(F772))</f>
        <v>Mumbai</v>
      </c>
      <c r="AB772" s="1" t="str">
        <f aca="false">TRIM(PROPER(C772))</f>
        <v>Physics Wallah</v>
      </c>
      <c r="AC772" s="1" t="str">
        <f aca="false">IF(O772=0,"No Discount",IF(O772&lt;=15,"Low (1-15%)",IF(O772&lt;=30,"Medium (16-30%)","High (&gt;30%)")))</f>
        <v>High (&gt;30%)</v>
      </c>
      <c r="AD772" s="1" t="str">
        <f aca="false">IF(V772&lt;0,"Loss Making",IF(V772&lt;20,"Low Margin","Healthy Margin"))</f>
        <v>Healthy Margin</v>
      </c>
      <c r="AE772" s="1" t="str">
        <f aca="false">TEXT(DATE(VALUE(RIGHT(B772,4)),VALUE(MID(B772,4,2)),VALUE(LEFT(B772,2))),"MMM-YYYY")</f>
        <v>Aug-2023</v>
      </c>
      <c r="AF772" s="1" t="n">
        <f aca="false">VALUE(RIGHT(B772,4))</f>
        <v>2023</v>
      </c>
      <c r="AG772" s="1" t="str">
        <f aca="false">CHOOSE(ROUNDUP(VALUE(MID(B772,4,2))/3,0),"Q1","Q2","Q3","Q4")</f>
        <v>Q3</v>
      </c>
    </row>
    <row r="773" customFormat="false" ht="15" hidden="false" customHeight="true" outlineLevel="0" collapsed="false">
      <c r="A773" s="1" t="s">
        <v>1425</v>
      </c>
      <c r="B773" s="1" t="s">
        <v>653</v>
      </c>
      <c r="C773" s="1" t="s">
        <v>167</v>
      </c>
      <c r="D773" s="1" t="s">
        <v>29</v>
      </c>
      <c r="E773" s="1" t="s">
        <v>182</v>
      </c>
      <c r="F773" s="1" t="s">
        <v>150</v>
      </c>
      <c r="G773" s="1" t="s">
        <v>32</v>
      </c>
      <c r="H773" s="1" t="s">
        <v>57</v>
      </c>
      <c r="I773" s="1" t="s">
        <v>34</v>
      </c>
      <c r="J773" s="1" t="s">
        <v>35</v>
      </c>
      <c r="K773" s="1" t="s">
        <v>84</v>
      </c>
      <c r="L773" s="1" t="s">
        <v>113</v>
      </c>
      <c r="M773" s="1" t="s">
        <v>50</v>
      </c>
      <c r="N773" s="1" t="n">
        <v>34999</v>
      </c>
      <c r="O773" s="1" t="n">
        <v>0</v>
      </c>
      <c r="P773" s="1" t="n">
        <v>0</v>
      </c>
      <c r="Q773" s="1" t="n">
        <v>34999</v>
      </c>
      <c r="R773" s="1" t="n">
        <v>6299.82</v>
      </c>
      <c r="S773" s="1" t="n">
        <v>28699.18</v>
      </c>
      <c r="T773" s="1" t="n">
        <v>12451.13</v>
      </c>
      <c r="U773" s="1" t="n">
        <v>16248.05</v>
      </c>
      <c r="V773" s="1" t="n">
        <v>56.62</v>
      </c>
      <c r="W773" s="1" t="s">
        <v>40</v>
      </c>
      <c r="Y773" s="1" t="s">
        <v>40</v>
      </c>
      <c r="Z773" s="1" t="n">
        <v>2</v>
      </c>
      <c r="AA773" s="1" t="str">
        <f aca="false">TRIM(PROPER(F773))</f>
        <v>Jaipur</v>
      </c>
      <c r="AB773" s="1" t="str">
        <f aca="false">TRIM(PROPER(C773))</f>
        <v>Scaler</v>
      </c>
      <c r="AC773" s="1" t="str">
        <f aca="false">IF(O773=0,"No Discount",IF(O773&lt;=15,"Low (1-15%)",IF(O773&lt;=30,"Medium (16-30%)","High (&gt;30%)")))</f>
        <v>No Discount</v>
      </c>
      <c r="AD773" s="1" t="str">
        <f aca="false">IF(V773&lt;0,"Loss Making",IF(V773&lt;20,"Low Margin","Healthy Margin"))</f>
        <v>Healthy Margin</v>
      </c>
      <c r="AE773" s="1" t="str">
        <f aca="false">TEXT(DATE(VALUE(RIGHT(B773,4)),VALUE(MID(B773,4,2)),VALUE(LEFT(B773,2))),"MMM-YYYY")</f>
        <v>Aug-2024</v>
      </c>
      <c r="AF773" s="1" t="n">
        <f aca="false">VALUE(RIGHT(B773,4))</f>
        <v>2024</v>
      </c>
      <c r="AG773" s="1" t="str">
        <f aca="false">CHOOSE(ROUNDUP(VALUE(MID(B773,4,2))/3,0),"Q1","Q2","Q3","Q4")</f>
        <v>Q3</v>
      </c>
    </row>
    <row r="774" customFormat="false" ht="15" hidden="false" customHeight="true" outlineLevel="0" collapsed="false">
      <c r="A774" s="1" t="s">
        <v>1426</v>
      </c>
      <c r="B774" s="1" t="s">
        <v>166</v>
      </c>
      <c r="C774" s="1" t="s">
        <v>100</v>
      </c>
      <c r="D774" s="1" t="s">
        <v>123</v>
      </c>
      <c r="E774" s="1" t="s">
        <v>147</v>
      </c>
      <c r="F774" s="1" t="s">
        <v>150</v>
      </c>
      <c r="G774" s="1" t="s">
        <v>32</v>
      </c>
      <c r="H774" s="1" t="s">
        <v>57</v>
      </c>
      <c r="I774" s="1" t="s">
        <v>58</v>
      </c>
      <c r="J774" s="1" t="s">
        <v>77</v>
      </c>
      <c r="K774" s="1" t="s">
        <v>104</v>
      </c>
      <c r="L774" s="1" t="s">
        <v>85</v>
      </c>
      <c r="M774" s="1" t="s">
        <v>62</v>
      </c>
      <c r="N774" s="1" t="n">
        <v>6999</v>
      </c>
      <c r="O774" s="1" t="n">
        <v>0</v>
      </c>
      <c r="P774" s="1" t="n">
        <v>0</v>
      </c>
      <c r="Q774" s="1" t="n">
        <v>6999</v>
      </c>
      <c r="R774" s="1" t="n">
        <v>1259.82</v>
      </c>
      <c r="S774" s="1" t="n">
        <v>5739.18</v>
      </c>
      <c r="T774" s="1" t="n">
        <v>2678.52</v>
      </c>
      <c r="U774" s="1" t="n">
        <v>3060.66</v>
      </c>
      <c r="V774" s="1" t="n">
        <v>53.33</v>
      </c>
      <c r="W774" s="1" t="s">
        <v>39</v>
      </c>
      <c r="X774" s="1" t="n">
        <v>4.4</v>
      </c>
      <c r="Y774" s="1" t="s">
        <v>40</v>
      </c>
      <c r="Z774" s="1" t="n">
        <v>0</v>
      </c>
      <c r="AA774" s="1" t="str">
        <f aca="false">TRIM(PROPER(F774))</f>
        <v>Jaipur</v>
      </c>
      <c r="AB774" s="1" t="str">
        <f aca="false">TRIM(PROPER(C774))</f>
        <v>Physics Wallah</v>
      </c>
      <c r="AC774" s="1" t="str">
        <f aca="false">IF(O774=0,"No Discount",IF(O774&lt;=15,"Low (1-15%)",IF(O774&lt;=30,"Medium (16-30%)","High (&gt;30%)")))</f>
        <v>No Discount</v>
      </c>
      <c r="AD774" s="1" t="str">
        <f aca="false">IF(V774&lt;0,"Loss Making",IF(V774&lt;20,"Low Margin","Healthy Margin"))</f>
        <v>Healthy Margin</v>
      </c>
      <c r="AE774" s="1" t="str">
        <f aca="false">TEXT(DATE(VALUE(RIGHT(B774,4)),VALUE(MID(B774,4,2)),VALUE(LEFT(B774,2))),"MMM-YYYY")</f>
        <v>May-2024</v>
      </c>
      <c r="AF774" s="1" t="n">
        <f aca="false">VALUE(RIGHT(B774,4))</f>
        <v>2024</v>
      </c>
      <c r="AG774" s="1" t="str">
        <f aca="false">CHOOSE(ROUNDUP(VALUE(MID(B774,4,2))/3,0),"Q1","Q2","Q3","Q4")</f>
        <v>Q2</v>
      </c>
    </row>
    <row r="775" customFormat="false" ht="15" hidden="false" customHeight="true" outlineLevel="0" collapsed="false">
      <c r="A775" s="1" t="s">
        <v>1427</v>
      </c>
      <c r="B775" s="1" t="s">
        <v>444</v>
      </c>
      <c r="C775" s="1" t="s">
        <v>119</v>
      </c>
      <c r="D775" s="1" t="s">
        <v>29</v>
      </c>
      <c r="E775" s="1" t="s">
        <v>30</v>
      </c>
      <c r="F775" s="1" t="s">
        <v>244</v>
      </c>
      <c r="G775" s="1" t="s">
        <v>97</v>
      </c>
      <c r="H775" s="1" t="s">
        <v>57</v>
      </c>
      <c r="I775" s="1" t="s">
        <v>34</v>
      </c>
      <c r="J775" s="1" t="s">
        <v>131</v>
      </c>
      <c r="K775" s="1" t="s">
        <v>36</v>
      </c>
      <c r="L775" s="1" t="s">
        <v>85</v>
      </c>
      <c r="M775" s="1" t="s">
        <v>50</v>
      </c>
      <c r="N775" s="1" t="n">
        <v>7999</v>
      </c>
      <c r="O775" s="1" t="n">
        <v>10</v>
      </c>
      <c r="P775" s="1" t="n">
        <v>799.9</v>
      </c>
      <c r="Q775" s="1" t="n">
        <v>7199.1</v>
      </c>
      <c r="R775" s="1" t="n">
        <v>1295.84</v>
      </c>
      <c r="S775" s="1" t="n">
        <v>5903.26</v>
      </c>
      <c r="T775" s="1" t="n">
        <v>2828.71</v>
      </c>
      <c r="U775" s="1" t="n">
        <v>3074.55</v>
      </c>
      <c r="V775" s="1" t="n">
        <v>52.08</v>
      </c>
      <c r="W775" s="1" t="s">
        <v>39</v>
      </c>
      <c r="X775" s="1" t="n">
        <v>3.4</v>
      </c>
      <c r="Y775" s="1" t="s">
        <v>40</v>
      </c>
      <c r="Z775" s="1" t="n">
        <v>0</v>
      </c>
      <c r="AA775" s="1" t="str">
        <f aca="false">TRIM(PROPER(F775))</f>
        <v>Nagpur</v>
      </c>
      <c r="AB775" s="1" t="str">
        <f aca="false">TRIM(PROPER(C775))</f>
        <v>Simplilearn</v>
      </c>
      <c r="AC775" s="1" t="str">
        <f aca="false">IF(O775=0,"No Discount",IF(O775&lt;=15,"Low (1-15%)",IF(O775&lt;=30,"Medium (16-30%)","High (&gt;30%)")))</f>
        <v>Low (1-15%)</v>
      </c>
      <c r="AD775" s="1" t="str">
        <f aca="false">IF(V775&lt;0,"Loss Making",IF(V775&lt;20,"Low Margin","Healthy Margin"))</f>
        <v>Healthy Margin</v>
      </c>
      <c r="AE775" s="1" t="str">
        <f aca="false">TEXT(DATE(VALUE(RIGHT(B775,4)),VALUE(MID(B775,4,2)),VALUE(LEFT(B775,2))),"MMM-YYYY")</f>
        <v>Oct-2024</v>
      </c>
      <c r="AF775" s="1" t="n">
        <f aca="false">VALUE(RIGHT(B775,4))</f>
        <v>2024</v>
      </c>
      <c r="AG775" s="1" t="str">
        <f aca="false">CHOOSE(ROUNDUP(VALUE(MID(B775,4,2))/3,0),"Q1","Q2","Q3","Q4")</f>
        <v>Q4</v>
      </c>
    </row>
    <row r="776" customFormat="false" ht="15" hidden="false" customHeight="true" outlineLevel="0" collapsed="false">
      <c r="A776" s="1" t="s">
        <v>1428</v>
      </c>
      <c r="B776" s="1" t="s">
        <v>1322</v>
      </c>
      <c r="C776" s="1" t="s">
        <v>93</v>
      </c>
      <c r="D776" s="1" t="s">
        <v>44</v>
      </c>
      <c r="E776" s="1" t="s">
        <v>221</v>
      </c>
      <c r="F776" s="1" t="s">
        <v>194</v>
      </c>
      <c r="G776" s="1" t="s">
        <v>103</v>
      </c>
      <c r="H776" s="1" t="s">
        <v>69</v>
      </c>
      <c r="I776" s="1" t="s">
        <v>34</v>
      </c>
      <c r="J776" s="1" t="s">
        <v>131</v>
      </c>
      <c r="K776" s="1" t="s">
        <v>60</v>
      </c>
      <c r="L776" s="1" t="s">
        <v>136</v>
      </c>
      <c r="M776" s="1" t="s">
        <v>62</v>
      </c>
      <c r="N776" s="1" t="n">
        <v>16999</v>
      </c>
      <c r="O776" s="1" t="n">
        <v>0</v>
      </c>
      <c r="P776" s="1" t="n">
        <v>0</v>
      </c>
      <c r="Q776" s="1" t="n">
        <v>16999</v>
      </c>
      <c r="R776" s="1" t="n">
        <v>3059.82</v>
      </c>
      <c r="S776" s="1" t="n">
        <v>13939.18</v>
      </c>
      <c r="T776" s="1" t="n">
        <v>6403.46</v>
      </c>
      <c r="U776" s="1" t="n">
        <v>7535.72</v>
      </c>
      <c r="V776" s="1" t="n">
        <v>54.06</v>
      </c>
      <c r="W776" s="1" t="s">
        <v>39</v>
      </c>
      <c r="Y776" s="1" t="s">
        <v>40</v>
      </c>
      <c r="Z776" s="1" t="n">
        <v>1</v>
      </c>
      <c r="AA776" s="1" t="str">
        <f aca="false">TRIM(PROPER(F776))</f>
        <v>Hyderabad</v>
      </c>
      <c r="AB776" s="1" t="str">
        <f aca="false">TRIM(PROPER(C776))</f>
        <v>Upgrad</v>
      </c>
      <c r="AC776" s="1" t="str">
        <f aca="false">IF(O776=0,"No Discount",IF(O776&lt;=15,"Low (1-15%)",IF(O776&lt;=30,"Medium (16-30%)","High (&gt;30%)")))</f>
        <v>No Discount</v>
      </c>
      <c r="AD776" s="1" t="str">
        <f aca="false">IF(V776&lt;0,"Loss Making",IF(V776&lt;20,"Low Margin","Healthy Margin"))</f>
        <v>Healthy Margin</v>
      </c>
      <c r="AE776" s="1" t="str">
        <f aca="false">TEXT(DATE(VALUE(RIGHT(B776,4)),VALUE(MID(B776,4,2)),VALUE(LEFT(B776,2))),"MMM-YYYY")</f>
        <v>Feb-2024</v>
      </c>
      <c r="AF776" s="1" t="n">
        <f aca="false">VALUE(RIGHT(B776,4))</f>
        <v>2024</v>
      </c>
      <c r="AG776" s="1" t="str">
        <f aca="false">CHOOSE(ROUNDUP(VALUE(MID(B776,4,2))/3,0),"Q1","Q2","Q3","Q4")</f>
        <v>Q1</v>
      </c>
    </row>
    <row r="777" customFormat="false" ht="15" hidden="false" customHeight="true" outlineLevel="0" collapsed="false">
      <c r="A777" s="1" t="s">
        <v>1429</v>
      </c>
      <c r="B777" s="1" t="s">
        <v>1430</v>
      </c>
      <c r="C777" s="1" t="s">
        <v>28</v>
      </c>
      <c r="D777" s="1" t="s">
        <v>123</v>
      </c>
      <c r="E777" s="1" t="s">
        <v>233</v>
      </c>
      <c r="F777" s="1" t="s">
        <v>156</v>
      </c>
      <c r="G777" s="1" t="s">
        <v>68</v>
      </c>
      <c r="H777" s="1" t="s">
        <v>57</v>
      </c>
      <c r="I777" s="1" t="s">
        <v>58</v>
      </c>
      <c r="J777" s="1" t="s">
        <v>70</v>
      </c>
      <c r="K777" s="1" t="s">
        <v>48</v>
      </c>
      <c r="L777" s="1" t="s">
        <v>136</v>
      </c>
      <c r="M777" s="1" t="s">
        <v>62</v>
      </c>
      <c r="N777" s="1" t="n">
        <v>8999</v>
      </c>
      <c r="O777" s="1" t="n">
        <v>40</v>
      </c>
      <c r="P777" s="1" t="n">
        <v>3599.6</v>
      </c>
      <c r="Q777" s="1" t="n">
        <v>5399.4</v>
      </c>
      <c r="R777" s="1" t="n">
        <v>971.89</v>
      </c>
      <c r="S777" s="1" t="n">
        <v>4427.51</v>
      </c>
      <c r="T777" s="1" t="n">
        <v>2333.32</v>
      </c>
      <c r="U777" s="1" t="n">
        <v>2094.19</v>
      </c>
      <c r="V777" s="1" t="n">
        <v>47.3</v>
      </c>
      <c r="W777" s="1" t="s">
        <v>40</v>
      </c>
      <c r="Y777" s="1" t="s">
        <v>39</v>
      </c>
      <c r="Z777" s="1" t="n">
        <v>0</v>
      </c>
      <c r="AA777" s="1" t="str">
        <f aca="false">TRIM(PROPER(F777))</f>
        <v>Surat</v>
      </c>
      <c r="AB777" s="1" t="str">
        <f aca="false">TRIM(PROPER(C777))</f>
        <v>Embibe</v>
      </c>
      <c r="AC777" s="1" t="str">
        <f aca="false">IF(O777=0,"No Discount",IF(O777&lt;=15,"Low (1-15%)",IF(O777&lt;=30,"Medium (16-30%)","High (&gt;30%)")))</f>
        <v>High (&gt;30%)</v>
      </c>
      <c r="AD777" s="1" t="str">
        <f aca="false">IF(V777&lt;0,"Loss Making",IF(V777&lt;20,"Low Margin","Healthy Margin"))</f>
        <v>Healthy Margin</v>
      </c>
      <c r="AE777" s="1" t="str">
        <f aca="false">TEXT(DATE(VALUE(RIGHT(B777,4)),VALUE(MID(B777,4,2)),VALUE(LEFT(B777,2))),"MMM-YYYY")</f>
        <v>Oct-2023</v>
      </c>
      <c r="AF777" s="1" t="n">
        <f aca="false">VALUE(RIGHT(B777,4))</f>
        <v>2023</v>
      </c>
      <c r="AG777" s="1" t="str">
        <f aca="false">CHOOSE(ROUNDUP(VALUE(MID(B777,4,2))/3,0),"Q1","Q2","Q3","Q4")</f>
        <v>Q4</v>
      </c>
    </row>
    <row r="778" customFormat="false" ht="15" hidden="false" customHeight="true" outlineLevel="0" collapsed="false">
      <c r="A778" s="1" t="s">
        <v>1431</v>
      </c>
      <c r="B778" s="1" t="s">
        <v>1432</v>
      </c>
      <c r="C778" s="1" t="s">
        <v>139</v>
      </c>
      <c r="D778" s="1" t="s">
        <v>143</v>
      </c>
      <c r="E778" s="1" t="s">
        <v>243</v>
      </c>
      <c r="F778" s="1" t="s">
        <v>96</v>
      </c>
      <c r="G778" s="1" t="s">
        <v>97</v>
      </c>
      <c r="H778" s="1" t="s">
        <v>69</v>
      </c>
      <c r="I778" s="1" t="s">
        <v>83</v>
      </c>
      <c r="J778" s="1" t="s">
        <v>77</v>
      </c>
      <c r="K778" s="1" t="s">
        <v>71</v>
      </c>
      <c r="L778" s="1" t="s">
        <v>49</v>
      </c>
      <c r="M778" s="1" t="s">
        <v>38</v>
      </c>
      <c r="N778" s="1" t="n">
        <v>22999</v>
      </c>
      <c r="O778" s="1" t="n">
        <v>30</v>
      </c>
      <c r="P778" s="1" t="n">
        <v>6899.7</v>
      </c>
      <c r="Q778" s="1" t="n">
        <v>16099.3</v>
      </c>
      <c r="R778" s="1" t="n">
        <v>2897.87</v>
      </c>
      <c r="S778" s="1" t="n">
        <v>13201.43</v>
      </c>
      <c r="T778" s="1" t="n">
        <v>6083.51</v>
      </c>
      <c r="U778" s="1" t="n">
        <v>7117.92</v>
      </c>
      <c r="V778" s="1" t="n">
        <v>53.92</v>
      </c>
      <c r="W778" s="1" t="s">
        <v>39</v>
      </c>
      <c r="X778" s="1" t="n">
        <v>3.1</v>
      </c>
      <c r="Y778" s="1" t="s">
        <v>40</v>
      </c>
      <c r="Z778" s="1" t="n">
        <v>0</v>
      </c>
      <c r="AA778" s="1" t="str">
        <f aca="false">TRIM(PROPER(F778))</f>
        <v>Pune</v>
      </c>
      <c r="AB778" s="1" t="str">
        <f aca="false">TRIM(PROPER(C778))</f>
        <v>Extramarks</v>
      </c>
      <c r="AC778" s="1" t="str">
        <f aca="false">IF(O778=0,"No Discount",IF(O778&lt;=15,"Low (1-15%)",IF(O778&lt;=30,"Medium (16-30%)","High (&gt;30%)")))</f>
        <v>Medium (16-30%)</v>
      </c>
      <c r="AD778" s="1" t="str">
        <f aca="false">IF(V778&lt;0,"Loss Making",IF(V778&lt;20,"Low Margin","Healthy Margin"))</f>
        <v>Healthy Margin</v>
      </c>
      <c r="AE778" s="1" t="str">
        <f aca="false">TEXT(DATE(VALUE(RIGHT(B778,4)),VALUE(MID(B778,4,2)),VALUE(LEFT(B778,2))),"MMM-YYYY")</f>
        <v>Feb-2024</v>
      </c>
      <c r="AF778" s="1" t="n">
        <f aca="false">VALUE(RIGHT(B778,4))</f>
        <v>2024</v>
      </c>
      <c r="AG778" s="1" t="str">
        <f aca="false">CHOOSE(ROUNDUP(VALUE(MID(B778,4,2))/3,0),"Q1","Q2","Q3","Q4")</f>
        <v>Q1</v>
      </c>
    </row>
    <row r="779" customFormat="false" ht="15" hidden="false" customHeight="true" outlineLevel="0" collapsed="false">
      <c r="A779" s="1" t="s">
        <v>1433</v>
      </c>
      <c r="B779" s="1" t="s">
        <v>1434</v>
      </c>
      <c r="C779" s="1" t="s">
        <v>249</v>
      </c>
      <c r="D779" s="1" t="s">
        <v>168</v>
      </c>
      <c r="E779" s="1" t="s">
        <v>169</v>
      </c>
      <c r="F779" s="1" t="s">
        <v>89</v>
      </c>
      <c r="G779" s="1" t="s">
        <v>68</v>
      </c>
      <c r="H779" s="1" t="s">
        <v>33</v>
      </c>
      <c r="I779" s="1" t="s">
        <v>83</v>
      </c>
      <c r="J779" s="1" t="s">
        <v>35</v>
      </c>
      <c r="K779" s="1" t="s">
        <v>104</v>
      </c>
      <c r="L779" s="1" t="s">
        <v>113</v>
      </c>
      <c r="M779" s="1" t="s">
        <v>62</v>
      </c>
      <c r="N779" s="1" t="n">
        <v>4999</v>
      </c>
      <c r="O779" s="1" t="n">
        <v>40</v>
      </c>
      <c r="P779" s="1" t="n">
        <v>1999.6</v>
      </c>
      <c r="Q779" s="1" t="n">
        <v>2999.4</v>
      </c>
      <c r="R779" s="1" t="n">
        <v>539.89</v>
      </c>
      <c r="S779" s="1" t="n">
        <v>2459.51</v>
      </c>
      <c r="T779" s="1" t="n">
        <v>1484.95</v>
      </c>
      <c r="U779" s="1" t="n">
        <v>974.56</v>
      </c>
      <c r="V779" s="1" t="n">
        <v>39.62</v>
      </c>
      <c r="W779" s="1" t="s">
        <v>39</v>
      </c>
      <c r="Y779" s="1" t="s">
        <v>40</v>
      </c>
      <c r="Z779" s="1" t="n">
        <v>0</v>
      </c>
      <c r="AA779" s="1" t="str">
        <f aca="false">TRIM(PROPER(F779))</f>
        <v>Vadodara</v>
      </c>
      <c r="AB779" s="1" t="str">
        <f aca="false">TRIM(PROPER(C779))</f>
        <v>Whitehat Jr</v>
      </c>
      <c r="AC779" s="1" t="str">
        <f aca="false">IF(O779=0,"No Discount",IF(O779&lt;=15,"Low (1-15%)",IF(O779&lt;=30,"Medium (16-30%)","High (&gt;30%)")))</f>
        <v>High (&gt;30%)</v>
      </c>
      <c r="AD779" s="1" t="str">
        <f aca="false">IF(V779&lt;0,"Loss Making",IF(V779&lt;20,"Low Margin","Healthy Margin"))</f>
        <v>Healthy Margin</v>
      </c>
      <c r="AE779" s="1" t="str">
        <f aca="false">TEXT(DATE(VALUE(RIGHT(B779,4)),VALUE(MID(B779,4,2)),VALUE(LEFT(B779,2))),"MMM-YYYY")</f>
        <v>Jun-2023</v>
      </c>
      <c r="AF779" s="1" t="n">
        <f aca="false">VALUE(RIGHT(B779,4))</f>
        <v>2023</v>
      </c>
      <c r="AG779" s="1" t="str">
        <f aca="false">CHOOSE(ROUNDUP(VALUE(MID(B779,4,2))/3,0),"Q1","Q2","Q3","Q4")</f>
        <v>Q2</v>
      </c>
    </row>
    <row r="780" customFormat="false" ht="15" hidden="false" customHeight="true" outlineLevel="0" collapsed="false">
      <c r="A780" s="1" t="s">
        <v>1435</v>
      </c>
      <c r="B780" s="1" t="s">
        <v>1436</v>
      </c>
      <c r="C780" s="1" t="s">
        <v>134</v>
      </c>
      <c r="D780" s="1" t="s">
        <v>29</v>
      </c>
      <c r="E780" s="1" t="s">
        <v>182</v>
      </c>
      <c r="F780" s="1" t="s">
        <v>89</v>
      </c>
      <c r="G780" s="1" t="s">
        <v>68</v>
      </c>
      <c r="H780" s="1" t="s">
        <v>33</v>
      </c>
      <c r="I780" s="1" t="s">
        <v>83</v>
      </c>
      <c r="J780" s="1" t="s">
        <v>35</v>
      </c>
      <c r="K780" s="1" t="s">
        <v>90</v>
      </c>
      <c r="L780" s="1" t="s">
        <v>49</v>
      </c>
      <c r="M780" s="1" t="s">
        <v>62</v>
      </c>
      <c r="N780" s="1" t="n">
        <v>34999</v>
      </c>
      <c r="O780" s="1" t="n">
        <v>10</v>
      </c>
      <c r="P780" s="1" t="n">
        <v>3499.9</v>
      </c>
      <c r="Q780" s="1" t="n">
        <v>31499.1</v>
      </c>
      <c r="R780" s="1" t="n">
        <v>5669.84</v>
      </c>
      <c r="S780" s="1" t="n">
        <v>25829.26</v>
      </c>
      <c r="T780" s="1" t="n">
        <v>12322.95</v>
      </c>
      <c r="U780" s="1" t="n">
        <v>13506.31</v>
      </c>
      <c r="V780" s="1" t="n">
        <v>52.29</v>
      </c>
      <c r="W780" s="1" t="s">
        <v>40</v>
      </c>
      <c r="Y780" s="1" t="s">
        <v>40</v>
      </c>
      <c r="Z780" s="1" t="n">
        <v>0</v>
      </c>
      <c r="AA780" s="1" t="str">
        <f aca="false">TRIM(PROPER(F780))</f>
        <v>Vadodara</v>
      </c>
      <c r="AB780" s="1" t="str">
        <f aca="false">TRIM(PROPER(C780))</f>
        <v>Doubtnut</v>
      </c>
      <c r="AC780" s="1" t="str">
        <f aca="false">IF(O780=0,"No Discount",IF(O780&lt;=15,"Low (1-15%)",IF(O780&lt;=30,"Medium (16-30%)","High (&gt;30%)")))</f>
        <v>Low (1-15%)</v>
      </c>
      <c r="AD780" s="1" t="str">
        <f aca="false">IF(V780&lt;0,"Loss Making",IF(V780&lt;20,"Low Margin","Healthy Margin"))</f>
        <v>Healthy Margin</v>
      </c>
      <c r="AE780" s="1" t="str">
        <f aca="false">TEXT(DATE(VALUE(RIGHT(B780,4)),VALUE(MID(B780,4,2)),VALUE(LEFT(B780,2))),"MMM-YYYY")</f>
        <v>Jun-2023</v>
      </c>
      <c r="AF780" s="1" t="n">
        <f aca="false">VALUE(RIGHT(B780,4))</f>
        <v>2023</v>
      </c>
      <c r="AG780" s="1" t="str">
        <f aca="false">CHOOSE(ROUNDUP(VALUE(MID(B780,4,2))/3,0),"Q1","Q2","Q3","Q4")</f>
        <v>Q2</v>
      </c>
    </row>
    <row r="781" customFormat="false" ht="15" hidden="false" customHeight="true" outlineLevel="0" collapsed="false">
      <c r="A781" s="1" t="s">
        <v>1437</v>
      </c>
      <c r="B781" s="1" t="s">
        <v>1156</v>
      </c>
      <c r="C781" s="1" t="s">
        <v>119</v>
      </c>
      <c r="D781" s="1" t="s">
        <v>53</v>
      </c>
      <c r="E781" s="1" t="s">
        <v>116</v>
      </c>
      <c r="F781" s="1" t="s">
        <v>107</v>
      </c>
      <c r="G781" s="1" t="s">
        <v>108</v>
      </c>
      <c r="H781" s="1" t="s">
        <v>33</v>
      </c>
      <c r="I781" s="1" t="s">
        <v>58</v>
      </c>
      <c r="J781" s="1" t="s">
        <v>59</v>
      </c>
      <c r="K781" s="1" t="s">
        <v>90</v>
      </c>
      <c r="L781" s="1" t="s">
        <v>85</v>
      </c>
      <c r="M781" s="1" t="s">
        <v>50</v>
      </c>
      <c r="N781" s="1" t="n">
        <v>9999</v>
      </c>
      <c r="O781" s="1" t="n">
        <v>25</v>
      </c>
      <c r="P781" s="1" t="n">
        <v>2499.75</v>
      </c>
      <c r="Q781" s="1" t="n">
        <v>7499.25</v>
      </c>
      <c r="R781" s="1" t="n">
        <v>1349.87</v>
      </c>
      <c r="S781" s="1" t="n">
        <v>6149.38</v>
      </c>
      <c r="T781" s="1" t="n">
        <v>2665.18</v>
      </c>
      <c r="U781" s="1" t="n">
        <v>3484.2</v>
      </c>
      <c r="V781" s="1" t="n">
        <v>56.66</v>
      </c>
      <c r="W781" s="1" t="s">
        <v>39</v>
      </c>
      <c r="Y781" s="1" t="s">
        <v>40</v>
      </c>
      <c r="Z781" s="1" t="n">
        <v>0</v>
      </c>
      <c r="AA781" s="1" t="str">
        <f aca="false">TRIM(PROPER(F781))</f>
        <v>Madurai</v>
      </c>
      <c r="AB781" s="1" t="str">
        <f aca="false">TRIM(PROPER(C781))</f>
        <v>Simplilearn</v>
      </c>
      <c r="AC781" s="1" t="str">
        <f aca="false">IF(O781=0,"No Discount",IF(O781&lt;=15,"Low (1-15%)",IF(O781&lt;=30,"Medium (16-30%)","High (&gt;30%)")))</f>
        <v>Medium (16-30%)</v>
      </c>
      <c r="AD781" s="1" t="str">
        <f aca="false">IF(V781&lt;0,"Loss Making",IF(V781&lt;20,"Low Margin","Healthy Margin"))</f>
        <v>Healthy Margin</v>
      </c>
      <c r="AE781" s="1" t="str">
        <f aca="false">TEXT(DATE(VALUE(RIGHT(B781,4)),VALUE(MID(B781,4,2)),VALUE(LEFT(B781,2))),"MMM-YYYY")</f>
        <v>Jan-2024</v>
      </c>
      <c r="AF781" s="1" t="n">
        <f aca="false">VALUE(RIGHT(B781,4))</f>
        <v>2024</v>
      </c>
      <c r="AG781" s="1" t="str">
        <f aca="false">CHOOSE(ROUNDUP(VALUE(MID(B781,4,2))/3,0),"Q1","Q2","Q3","Q4")</f>
        <v>Q1</v>
      </c>
    </row>
    <row r="782" customFormat="false" ht="15" hidden="false" customHeight="true" outlineLevel="0" collapsed="false">
      <c r="A782" s="1" t="s">
        <v>1438</v>
      </c>
      <c r="B782" s="1" t="s">
        <v>1253</v>
      </c>
      <c r="C782" s="1" t="s">
        <v>264</v>
      </c>
      <c r="D782" s="1" t="s">
        <v>44</v>
      </c>
      <c r="E782" s="1" t="s">
        <v>221</v>
      </c>
      <c r="F782" s="1" t="s">
        <v>46</v>
      </c>
      <c r="G782" s="1" t="s">
        <v>47</v>
      </c>
      <c r="H782" s="1" t="s">
        <v>33</v>
      </c>
      <c r="I782" s="1" t="s">
        <v>34</v>
      </c>
      <c r="J782" s="1" t="s">
        <v>131</v>
      </c>
      <c r="K782" s="1" t="s">
        <v>48</v>
      </c>
      <c r="L782" s="1" t="s">
        <v>61</v>
      </c>
      <c r="M782" s="1" t="s">
        <v>50</v>
      </c>
      <c r="N782" s="1" t="n">
        <v>16999</v>
      </c>
      <c r="O782" s="1" t="n">
        <v>0</v>
      </c>
      <c r="P782" s="1" t="n">
        <v>0</v>
      </c>
      <c r="Q782" s="1" t="n">
        <v>16999</v>
      </c>
      <c r="R782" s="1" t="n">
        <v>3059.82</v>
      </c>
      <c r="S782" s="1" t="n">
        <v>13939.18</v>
      </c>
      <c r="T782" s="1" t="n">
        <v>5716.08</v>
      </c>
      <c r="U782" s="1" t="n">
        <v>8223.1</v>
      </c>
      <c r="V782" s="1" t="n">
        <v>58.99</v>
      </c>
      <c r="W782" s="1" t="s">
        <v>39</v>
      </c>
      <c r="X782" s="1" t="n">
        <v>3.9</v>
      </c>
      <c r="Y782" s="1" t="s">
        <v>40</v>
      </c>
      <c r="Z782" s="1" t="n">
        <v>1</v>
      </c>
      <c r="AA782" s="1" t="str">
        <f aca="false">TRIM(PROPER(F782))</f>
        <v>Mangaluru</v>
      </c>
      <c r="AB782" s="1" t="str">
        <f aca="false">TRIM(PROPER(C782))</f>
        <v>Unacademy</v>
      </c>
      <c r="AC782" s="1" t="str">
        <f aca="false">IF(O782=0,"No Discount",IF(O782&lt;=15,"Low (1-15%)",IF(O782&lt;=30,"Medium (16-30%)","High (&gt;30%)")))</f>
        <v>No Discount</v>
      </c>
      <c r="AD782" s="1" t="str">
        <f aca="false">IF(V782&lt;0,"Loss Making",IF(V782&lt;20,"Low Margin","Healthy Margin"))</f>
        <v>Healthy Margin</v>
      </c>
      <c r="AE782" s="1" t="str">
        <f aca="false">TEXT(DATE(VALUE(RIGHT(B782,4)),VALUE(MID(B782,4,2)),VALUE(LEFT(B782,2))),"MMM-YYYY")</f>
        <v>Jun-2024</v>
      </c>
      <c r="AF782" s="1" t="n">
        <f aca="false">VALUE(RIGHT(B782,4))</f>
        <v>2024</v>
      </c>
      <c r="AG782" s="1" t="str">
        <f aca="false">CHOOSE(ROUNDUP(VALUE(MID(B782,4,2))/3,0),"Q1","Q2","Q3","Q4")</f>
        <v>Q2</v>
      </c>
    </row>
    <row r="783" customFormat="false" ht="15" hidden="false" customHeight="true" outlineLevel="0" collapsed="false">
      <c r="A783" s="1" t="s">
        <v>1439</v>
      </c>
      <c r="B783" s="1" t="s">
        <v>166</v>
      </c>
      <c r="C783" s="1" t="s">
        <v>139</v>
      </c>
      <c r="D783" s="1" t="s">
        <v>94</v>
      </c>
      <c r="E783" s="1" t="s">
        <v>101</v>
      </c>
      <c r="F783" s="1" t="s">
        <v>184</v>
      </c>
      <c r="G783" s="1" t="s">
        <v>56</v>
      </c>
      <c r="H783" s="1" t="s">
        <v>57</v>
      </c>
      <c r="I783" s="1" t="s">
        <v>34</v>
      </c>
      <c r="J783" s="1" t="s">
        <v>59</v>
      </c>
      <c r="K783" s="1" t="s">
        <v>60</v>
      </c>
      <c r="L783" s="1" t="s">
        <v>37</v>
      </c>
      <c r="M783" s="1" t="s">
        <v>38</v>
      </c>
      <c r="N783" s="1" t="n">
        <v>14999</v>
      </c>
      <c r="O783" s="1" t="n">
        <v>10</v>
      </c>
      <c r="P783" s="1" t="n">
        <v>1499.9</v>
      </c>
      <c r="Q783" s="1" t="n">
        <v>13499.1</v>
      </c>
      <c r="R783" s="1" t="n">
        <v>2429.84</v>
      </c>
      <c r="S783" s="1" t="n">
        <v>11069.26</v>
      </c>
      <c r="T783" s="1" t="n">
        <v>5152.64</v>
      </c>
      <c r="U783" s="1" t="n">
        <v>5916.62</v>
      </c>
      <c r="V783" s="1" t="n">
        <v>53.45</v>
      </c>
      <c r="W783" s="1" t="s">
        <v>39</v>
      </c>
      <c r="X783" s="1" t="n">
        <v>3.9</v>
      </c>
      <c r="Y783" s="1" t="s">
        <v>40</v>
      </c>
      <c r="Z783" s="1" t="n">
        <v>0</v>
      </c>
      <c r="AA783" s="1" t="str">
        <f aca="false">TRIM(PROPER(F783))</f>
        <v>Faridabad</v>
      </c>
      <c r="AB783" s="1" t="str">
        <f aca="false">TRIM(PROPER(C783))</f>
        <v>Extramarks</v>
      </c>
      <c r="AC783" s="1" t="str">
        <f aca="false">IF(O783=0,"No Discount",IF(O783&lt;=15,"Low (1-15%)",IF(O783&lt;=30,"Medium (16-30%)","High (&gt;30%)")))</f>
        <v>Low (1-15%)</v>
      </c>
      <c r="AD783" s="1" t="str">
        <f aca="false">IF(V783&lt;0,"Loss Making",IF(V783&lt;20,"Low Margin","Healthy Margin"))</f>
        <v>Healthy Margin</v>
      </c>
      <c r="AE783" s="1" t="str">
        <f aca="false">TEXT(DATE(VALUE(RIGHT(B783,4)),VALUE(MID(B783,4,2)),VALUE(LEFT(B783,2))),"MMM-YYYY")</f>
        <v>May-2024</v>
      </c>
      <c r="AF783" s="1" t="n">
        <f aca="false">VALUE(RIGHT(B783,4))</f>
        <v>2024</v>
      </c>
      <c r="AG783" s="1" t="str">
        <f aca="false">CHOOSE(ROUNDUP(VALUE(MID(B783,4,2))/3,0),"Q1","Q2","Q3","Q4")</f>
        <v>Q2</v>
      </c>
    </row>
    <row r="784" customFormat="false" ht="15" hidden="false" customHeight="true" outlineLevel="0" collapsed="false">
      <c r="A784" s="1" t="s">
        <v>1440</v>
      </c>
      <c r="B784" s="1" t="s">
        <v>1441</v>
      </c>
      <c r="C784" s="1" t="s">
        <v>88</v>
      </c>
      <c r="D784" s="1" t="s">
        <v>80</v>
      </c>
      <c r="E784" s="1" t="s">
        <v>193</v>
      </c>
      <c r="F784" s="1" t="s">
        <v>205</v>
      </c>
      <c r="G784" s="1" t="s">
        <v>56</v>
      </c>
      <c r="H784" s="1" t="s">
        <v>69</v>
      </c>
      <c r="I784" s="1" t="s">
        <v>83</v>
      </c>
      <c r="J784" s="1" t="s">
        <v>35</v>
      </c>
      <c r="K784" s="1" t="s">
        <v>48</v>
      </c>
      <c r="L784" s="1" t="s">
        <v>113</v>
      </c>
      <c r="M784" s="1" t="s">
        <v>62</v>
      </c>
      <c r="N784" s="1" t="n">
        <v>8999</v>
      </c>
      <c r="O784" s="1" t="n">
        <v>15</v>
      </c>
      <c r="P784" s="1" t="n">
        <v>1349.85</v>
      </c>
      <c r="Q784" s="1" t="n">
        <v>7649.15</v>
      </c>
      <c r="R784" s="1" t="n">
        <v>1376.85</v>
      </c>
      <c r="S784" s="1" t="n">
        <v>6272.3</v>
      </c>
      <c r="T784" s="1" t="n">
        <v>2975.91</v>
      </c>
      <c r="U784" s="1" t="n">
        <v>3296.39</v>
      </c>
      <c r="V784" s="1" t="n">
        <v>52.55</v>
      </c>
      <c r="W784" s="1" t="s">
        <v>39</v>
      </c>
      <c r="X784" s="1" t="n">
        <v>3.8</v>
      </c>
      <c r="Y784" s="1" t="s">
        <v>40</v>
      </c>
      <c r="Z784" s="1" t="n">
        <v>0</v>
      </c>
      <c r="AA784" s="1" t="str">
        <f aca="false">TRIM(PROPER(F784))</f>
        <v>New Delhi</v>
      </c>
      <c r="AB784" s="1" t="str">
        <f aca="false">TRIM(PROPER(C784))</f>
        <v>Byju'S</v>
      </c>
      <c r="AC784" s="1" t="str">
        <f aca="false">IF(O784=0,"No Discount",IF(O784&lt;=15,"Low (1-15%)",IF(O784&lt;=30,"Medium (16-30%)","High (&gt;30%)")))</f>
        <v>Low (1-15%)</v>
      </c>
      <c r="AD784" s="1" t="str">
        <f aca="false">IF(V784&lt;0,"Loss Making",IF(V784&lt;20,"Low Margin","Healthy Margin"))</f>
        <v>Healthy Margin</v>
      </c>
      <c r="AE784" s="1" t="str">
        <f aca="false">TEXT(DATE(VALUE(RIGHT(B784,4)),VALUE(MID(B784,4,2)),VALUE(LEFT(B784,2))),"MMM-YYYY")</f>
        <v>Oct-2024</v>
      </c>
      <c r="AF784" s="1" t="n">
        <f aca="false">VALUE(RIGHT(B784,4))</f>
        <v>2024</v>
      </c>
      <c r="AG784" s="1" t="str">
        <f aca="false">CHOOSE(ROUNDUP(VALUE(MID(B784,4,2))/3,0),"Q1","Q2","Q3","Q4")</f>
        <v>Q4</v>
      </c>
    </row>
    <row r="785" customFormat="false" ht="15" hidden="false" customHeight="true" outlineLevel="0" collapsed="false">
      <c r="A785" s="1" t="s">
        <v>1442</v>
      </c>
      <c r="B785" s="1" t="s">
        <v>506</v>
      </c>
      <c r="C785" s="1" t="s">
        <v>93</v>
      </c>
      <c r="D785" s="1" t="s">
        <v>123</v>
      </c>
      <c r="E785" s="1" t="s">
        <v>124</v>
      </c>
      <c r="F785" s="1" t="s">
        <v>46</v>
      </c>
      <c r="G785" s="1" t="s">
        <v>47</v>
      </c>
      <c r="H785" s="1" t="s">
        <v>33</v>
      </c>
      <c r="I785" s="1" t="s">
        <v>34</v>
      </c>
      <c r="J785" s="1" t="s">
        <v>131</v>
      </c>
      <c r="K785" s="1" t="s">
        <v>60</v>
      </c>
      <c r="L785" s="1" t="s">
        <v>49</v>
      </c>
      <c r="M785" s="1" t="s">
        <v>62</v>
      </c>
      <c r="N785" s="1" t="n">
        <v>4999</v>
      </c>
      <c r="O785" s="1" t="n">
        <v>10</v>
      </c>
      <c r="P785" s="1" t="n">
        <v>499.9</v>
      </c>
      <c r="Q785" s="1" t="n">
        <v>4499.1</v>
      </c>
      <c r="R785" s="1" t="n">
        <v>809.84</v>
      </c>
      <c r="S785" s="1" t="n">
        <v>3689.26</v>
      </c>
      <c r="T785" s="1" t="n">
        <v>1296.76</v>
      </c>
      <c r="U785" s="1" t="n">
        <v>2392.5</v>
      </c>
      <c r="V785" s="1" t="n">
        <v>64.85</v>
      </c>
      <c r="W785" s="1" t="s">
        <v>39</v>
      </c>
      <c r="X785" s="1" t="n">
        <v>3.1</v>
      </c>
      <c r="Y785" s="1" t="s">
        <v>40</v>
      </c>
      <c r="Z785" s="1" t="n">
        <v>0</v>
      </c>
      <c r="AA785" s="1" t="str">
        <f aca="false">TRIM(PROPER(F785))</f>
        <v>Mangaluru</v>
      </c>
      <c r="AB785" s="1" t="str">
        <f aca="false">TRIM(PROPER(C785))</f>
        <v>Upgrad</v>
      </c>
      <c r="AC785" s="1" t="str">
        <f aca="false">IF(O785=0,"No Discount",IF(O785&lt;=15,"Low (1-15%)",IF(O785&lt;=30,"Medium (16-30%)","High (&gt;30%)")))</f>
        <v>Low (1-15%)</v>
      </c>
      <c r="AD785" s="1" t="str">
        <f aca="false">IF(V785&lt;0,"Loss Making",IF(V785&lt;20,"Low Margin","Healthy Margin"))</f>
        <v>Healthy Margin</v>
      </c>
      <c r="AE785" s="1" t="str">
        <f aca="false">TEXT(DATE(VALUE(RIGHT(B785,4)),VALUE(MID(B785,4,2)),VALUE(LEFT(B785,2))),"MMM-YYYY")</f>
        <v>Oct-2023</v>
      </c>
      <c r="AF785" s="1" t="n">
        <f aca="false">VALUE(RIGHT(B785,4))</f>
        <v>2023</v>
      </c>
      <c r="AG785" s="1" t="str">
        <f aca="false">CHOOSE(ROUNDUP(VALUE(MID(B785,4,2))/3,0),"Q1","Q2","Q3","Q4")</f>
        <v>Q4</v>
      </c>
    </row>
    <row r="786" customFormat="false" ht="15" hidden="false" customHeight="true" outlineLevel="0" collapsed="false">
      <c r="A786" s="1" t="s">
        <v>1443</v>
      </c>
      <c r="B786" s="1" t="s">
        <v>872</v>
      </c>
      <c r="C786" s="1" t="s">
        <v>65</v>
      </c>
      <c r="D786" s="1" t="s">
        <v>143</v>
      </c>
      <c r="E786" s="1" t="s">
        <v>144</v>
      </c>
      <c r="F786" s="1" t="s">
        <v>31</v>
      </c>
      <c r="G786" s="1" t="s">
        <v>32</v>
      </c>
      <c r="H786" s="1" t="s">
        <v>33</v>
      </c>
      <c r="I786" s="1" t="s">
        <v>34</v>
      </c>
      <c r="J786" s="1" t="s">
        <v>131</v>
      </c>
      <c r="K786" s="1" t="s">
        <v>112</v>
      </c>
      <c r="L786" s="1" t="s">
        <v>61</v>
      </c>
      <c r="M786" s="1" t="s">
        <v>62</v>
      </c>
      <c r="N786" s="1" t="n">
        <v>12999</v>
      </c>
      <c r="O786" s="1" t="n">
        <v>30</v>
      </c>
      <c r="P786" s="1" t="n">
        <v>3899.7</v>
      </c>
      <c r="Q786" s="1" t="n">
        <v>9099.3</v>
      </c>
      <c r="R786" s="1" t="n">
        <v>1637.87</v>
      </c>
      <c r="S786" s="1" t="n">
        <v>7461.43</v>
      </c>
      <c r="T786" s="1" t="n">
        <v>2878.03</v>
      </c>
      <c r="U786" s="1" t="n">
        <v>4583.4</v>
      </c>
      <c r="V786" s="1" t="n">
        <v>61.43</v>
      </c>
      <c r="W786" s="1" t="s">
        <v>40</v>
      </c>
      <c r="Y786" s="1" t="s">
        <v>40</v>
      </c>
      <c r="Z786" s="1" t="n">
        <v>1</v>
      </c>
      <c r="AA786" s="1" t="str">
        <f aca="false">TRIM(PROPER(F786))</f>
        <v>Jodhpur</v>
      </c>
      <c r="AB786" s="1" t="str">
        <f aca="false">TRIM(PROPER(C786))</f>
        <v>Toppr</v>
      </c>
      <c r="AC786" s="1" t="str">
        <f aca="false">IF(O786=0,"No Discount",IF(O786&lt;=15,"Low (1-15%)",IF(O786&lt;=30,"Medium (16-30%)","High (&gt;30%)")))</f>
        <v>Medium (16-30%)</v>
      </c>
      <c r="AD786" s="1" t="str">
        <f aca="false">IF(V786&lt;0,"Loss Making",IF(V786&lt;20,"Low Margin","Healthy Margin"))</f>
        <v>Healthy Margin</v>
      </c>
      <c r="AE786" s="1" t="str">
        <f aca="false">TEXT(DATE(VALUE(RIGHT(B786,4)),VALUE(MID(B786,4,2)),VALUE(LEFT(B786,2))),"MMM-YYYY")</f>
        <v>Sep-2023</v>
      </c>
      <c r="AF786" s="1" t="n">
        <f aca="false">VALUE(RIGHT(B786,4))</f>
        <v>2023</v>
      </c>
      <c r="AG786" s="1" t="str">
        <f aca="false">CHOOSE(ROUNDUP(VALUE(MID(B786,4,2))/3,0),"Q1","Q2","Q3","Q4")</f>
        <v>Q3</v>
      </c>
    </row>
    <row r="787" customFormat="false" ht="15" hidden="false" customHeight="true" outlineLevel="0" collapsed="false">
      <c r="A787" s="1" t="s">
        <v>1444</v>
      </c>
      <c r="B787" s="1" t="s">
        <v>1170</v>
      </c>
      <c r="C787" s="1" t="s">
        <v>128</v>
      </c>
      <c r="D787" s="1" t="s">
        <v>123</v>
      </c>
      <c r="E787" s="1" t="s">
        <v>233</v>
      </c>
      <c r="F787" s="1" t="s">
        <v>125</v>
      </c>
      <c r="G787" s="1" t="s">
        <v>108</v>
      </c>
      <c r="H787" s="1" t="s">
        <v>69</v>
      </c>
      <c r="I787" s="1" t="s">
        <v>34</v>
      </c>
      <c r="J787" s="1" t="s">
        <v>59</v>
      </c>
      <c r="K787" s="1" t="s">
        <v>84</v>
      </c>
      <c r="L787" s="1" t="s">
        <v>113</v>
      </c>
      <c r="M787" s="1" t="s">
        <v>38</v>
      </c>
      <c r="N787" s="1" t="n">
        <v>8999</v>
      </c>
      <c r="O787" s="1" t="n">
        <v>50</v>
      </c>
      <c r="P787" s="1" t="n">
        <v>4499.5</v>
      </c>
      <c r="Q787" s="1" t="n">
        <v>4499.5</v>
      </c>
      <c r="R787" s="1" t="n">
        <v>809.91</v>
      </c>
      <c r="S787" s="1" t="n">
        <v>3689.59</v>
      </c>
      <c r="T787" s="1" t="n">
        <v>2005.58</v>
      </c>
      <c r="U787" s="1" t="n">
        <v>1684.01</v>
      </c>
      <c r="V787" s="1" t="n">
        <v>45.64</v>
      </c>
      <c r="W787" s="1" t="s">
        <v>40</v>
      </c>
      <c r="Y787" s="1" t="s">
        <v>40</v>
      </c>
      <c r="Z787" s="1" t="n">
        <v>1</v>
      </c>
      <c r="AA787" s="1" t="str">
        <f aca="false">TRIM(PROPER(F787))</f>
        <v>Chennai</v>
      </c>
      <c r="AB787" s="1" t="str">
        <f aca="false">TRIM(PROPER(C787))</f>
        <v>Great Learning</v>
      </c>
      <c r="AC787" s="1" t="str">
        <f aca="false">IF(O787=0,"No Discount",IF(O787&lt;=15,"Low (1-15%)",IF(O787&lt;=30,"Medium (16-30%)","High (&gt;30%)")))</f>
        <v>High (&gt;30%)</v>
      </c>
      <c r="AD787" s="1" t="str">
        <f aca="false">IF(V787&lt;0,"Loss Making",IF(V787&lt;20,"Low Margin","Healthy Margin"))</f>
        <v>Healthy Margin</v>
      </c>
      <c r="AE787" s="1" t="str">
        <f aca="false">TEXT(DATE(VALUE(RIGHT(B787,4)),VALUE(MID(B787,4,2)),VALUE(LEFT(B787,2))),"MMM-YYYY")</f>
        <v>Apr-2024</v>
      </c>
      <c r="AF787" s="1" t="n">
        <f aca="false">VALUE(RIGHT(B787,4))</f>
        <v>2024</v>
      </c>
      <c r="AG787" s="1" t="str">
        <f aca="false">CHOOSE(ROUNDUP(VALUE(MID(B787,4,2))/3,0),"Q1","Q2","Q3","Q4")</f>
        <v>Q2</v>
      </c>
    </row>
    <row r="788" customFormat="false" ht="15" hidden="false" customHeight="true" outlineLevel="0" collapsed="false">
      <c r="A788" s="1" t="s">
        <v>1445</v>
      </c>
      <c r="B788" s="1" t="s">
        <v>1432</v>
      </c>
      <c r="C788" s="1" t="s">
        <v>178</v>
      </c>
      <c r="D788" s="1" t="s">
        <v>29</v>
      </c>
      <c r="E788" s="1" t="s">
        <v>182</v>
      </c>
      <c r="F788" s="1" t="s">
        <v>46</v>
      </c>
      <c r="G788" s="1" t="s">
        <v>47</v>
      </c>
      <c r="H788" s="1" t="s">
        <v>33</v>
      </c>
      <c r="I788" s="1" t="s">
        <v>58</v>
      </c>
      <c r="J788" s="1" t="s">
        <v>77</v>
      </c>
      <c r="K788" s="1" t="s">
        <v>60</v>
      </c>
      <c r="L788" s="1" t="s">
        <v>49</v>
      </c>
      <c r="M788" s="1" t="s">
        <v>38</v>
      </c>
      <c r="N788" s="1" t="n">
        <v>34999</v>
      </c>
      <c r="O788" s="1" t="n">
        <v>10</v>
      </c>
      <c r="P788" s="1" t="n">
        <v>3499.9</v>
      </c>
      <c r="Q788" s="1" t="n">
        <v>31499.1</v>
      </c>
      <c r="R788" s="1" t="n">
        <v>5669.84</v>
      </c>
      <c r="S788" s="1" t="n">
        <v>25829.26</v>
      </c>
      <c r="T788" s="1" t="n">
        <v>10273.14</v>
      </c>
      <c r="U788" s="1" t="n">
        <v>15556.12</v>
      </c>
      <c r="V788" s="1" t="n">
        <v>60.23</v>
      </c>
      <c r="W788" s="1" t="s">
        <v>39</v>
      </c>
      <c r="X788" s="1" t="n">
        <v>4.6</v>
      </c>
      <c r="Y788" s="1" t="s">
        <v>40</v>
      </c>
      <c r="Z788" s="1" t="n">
        <v>0</v>
      </c>
      <c r="AA788" s="1" t="str">
        <f aca="false">TRIM(PROPER(F788))</f>
        <v>Mangaluru</v>
      </c>
      <c r="AB788" s="1" t="str">
        <f aca="false">TRIM(PROPER(C788))</f>
        <v>Leverage Edu</v>
      </c>
      <c r="AC788" s="1" t="str">
        <f aca="false">IF(O788=0,"No Discount",IF(O788&lt;=15,"Low (1-15%)",IF(O788&lt;=30,"Medium (16-30%)","High (&gt;30%)")))</f>
        <v>Low (1-15%)</v>
      </c>
      <c r="AD788" s="1" t="str">
        <f aca="false">IF(V788&lt;0,"Loss Making",IF(V788&lt;20,"Low Margin","Healthy Margin"))</f>
        <v>Healthy Margin</v>
      </c>
      <c r="AE788" s="1" t="str">
        <f aca="false">TEXT(DATE(VALUE(RIGHT(B788,4)),VALUE(MID(B788,4,2)),VALUE(LEFT(B788,2))),"MMM-YYYY")</f>
        <v>Feb-2024</v>
      </c>
      <c r="AF788" s="1" t="n">
        <f aca="false">VALUE(RIGHT(B788,4))</f>
        <v>2024</v>
      </c>
      <c r="AG788" s="1" t="str">
        <f aca="false">CHOOSE(ROUNDUP(VALUE(MID(B788,4,2))/3,0),"Q1","Q2","Q3","Q4")</f>
        <v>Q1</v>
      </c>
    </row>
    <row r="789" customFormat="false" ht="15" hidden="false" customHeight="true" outlineLevel="0" collapsed="false">
      <c r="A789" s="1" t="s">
        <v>1446</v>
      </c>
      <c r="B789" s="1" t="s">
        <v>52</v>
      </c>
      <c r="C789" s="1" t="s">
        <v>74</v>
      </c>
      <c r="D789" s="1" t="s">
        <v>168</v>
      </c>
      <c r="E789" s="1" t="s">
        <v>172</v>
      </c>
      <c r="F789" s="1" t="s">
        <v>244</v>
      </c>
      <c r="G789" s="1" t="s">
        <v>97</v>
      </c>
      <c r="H789" s="1" t="s">
        <v>57</v>
      </c>
      <c r="I789" s="1" t="s">
        <v>34</v>
      </c>
      <c r="J789" s="1" t="s">
        <v>59</v>
      </c>
      <c r="K789" s="1" t="s">
        <v>84</v>
      </c>
      <c r="L789" s="1" t="s">
        <v>37</v>
      </c>
      <c r="M789" s="1" t="s">
        <v>38</v>
      </c>
      <c r="N789" s="1" t="n">
        <v>6999</v>
      </c>
      <c r="O789" s="1" t="n">
        <v>20</v>
      </c>
      <c r="P789" s="1" t="n">
        <v>1399.8</v>
      </c>
      <c r="Q789" s="1" t="n">
        <v>5599.2</v>
      </c>
      <c r="R789" s="1" t="n">
        <v>1007.86</v>
      </c>
      <c r="S789" s="1" t="n">
        <v>4591.34</v>
      </c>
      <c r="T789" s="1" t="n">
        <v>2270.11</v>
      </c>
      <c r="U789" s="1" t="n">
        <v>2321.23</v>
      </c>
      <c r="V789" s="1" t="n">
        <v>50.56</v>
      </c>
      <c r="W789" s="1" t="s">
        <v>40</v>
      </c>
      <c r="Y789" s="1" t="s">
        <v>40</v>
      </c>
      <c r="Z789" s="1" t="n">
        <v>0</v>
      </c>
      <c r="AA789" s="1" t="str">
        <f aca="false">TRIM(PROPER(F789))</f>
        <v>Nagpur</v>
      </c>
      <c r="AB789" s="1" t="str">
        <f aca="false">TRIM(PROPER(C789))</f>
        <v>Vedantu</v>
      </c>
      <c r="AC789" s="1" t="str">
        <f aca="false">IF(O789=0,"No Discount",IF(O789&lt;=15,"Low (1-15%)",IF(O789&lt;=30,"Medium (16-30%)","High (&gt;30%)")))</f>
        <v>Medium (16-30%)</v>
      </c>
      <c r="AD789" s="1" t="str">
        <f aca="false">IF(V789&lt;0,"Loss Making",IF(V789&lt;20,"Low Margin","Healthy Margin"))</f>
        <v>Healthy Margin</v>
      </c>
      <c r="AE789" s="1" t="str">
        <f aca="false">TEXT(DATE(VALUE(RIGHT(B789,4)),VALUE(MID(B789,4,2)),VALUE(LEFT(B789,2))),"MMM-YYYY")</f>
        <v>Dec-2024</v>
      </c>
      <c r="AF789" s="1" t="n">
        <f aca="false">VALUE(RIGHT(B789,4))</f>
        <v>2024</v>
      </c>
      <c r="AG789" s="1" t="str">
        <f aca="false">CHOOSE(ROUNDUP(VALUE(MID(B789,4,2))/3,0),"Q1","Q2","Q3","Q4")</f>
        <v>Q4</v>
      </c>
    </row>
    <row r="790" customFormat="false" ht="15" hidden="false" customHeight="true" outlineLevel="0" collapsed="false">
      <c r="A790" s="1" t="s">
        <v>1447</v>
      </c>
      <c r="B790" s="1" t="s">
        <v>1448</v>
      </c>
      <c r="C790" s="1" t="s">
        <v>139</v>
      </c>
      <c r="D790" s="1" t="s">
        <v>53</v>
      </c>
      <c r="E790" s="1" t="s">
        <v>116</v>
      </c>
      <c r="F790" s="1" t="s">
        <v>184</v>
      </c>
      <c r="G790" s="1" t="s">
        <v>56</v>
      </c>
      <c r="H790" s="1" t="s">
        <v>57</v>
      </c>
      <c r="I790" s="1" t="s">
        <v>34</v>
      </c>
      <c r="J790" s="1" t="s">
        <v>77</v>
      </c>
      <c r="K790" s="1" t="s">
        <v>112</v>
      </c>
      <c r="L790" s="1" t="s">
        <v>61</v>
      </c>
      <c r="M790" s="1" t="s">
        <v>50</v>
      </c>
      <c r="N790" s="1" t="n">
        <v>9999</v>
      </c>
      <c r="O790" s="1" t="n">
        <v>20</v>
      </c>
      <c r="P790" s="1" t="n">
        <v>1999.8</v>
      </c>
      <c r="Q790" s="1" t="n">
        <v>7999.2</v>
      </c>
      <c r="R790" s="1" t="n">
        <v>1439.86</v>
      </c>
      <c r="S790" s="1" t="n">
        <v>6559.34</v>
      </c>
      <c r="T790" s="1" t="n">
        <v>2656.93</v>
      </c>
      <c r="U790" s="1" t="n">
        <v>3902.41</v>
      </c>
      <c r="V790" s="1" t="n">
        <v>59.49</v>
      </c>
      <c r="W790" s="1" t="s">
        <v>39</v>
      </c>
      <c r="Y790" s="1" t="s">
        <v>40</v>
      </c>
      <c r="Z790" s="1" t="n">
        <v>1</v>
      </c>
      <c r="AA790" s="1" t="str">
        <f aca="false">TRIM(PROPER(F790))</f>
        <v>Faridabad</v>
      </c>
      <c r="AB790" s="1" t="str">
        <f aca="false">TRIM(PROPER(C790))</f>
        <v>Extramarks</v>
      </c>
      <c r="AC790" s="1" t="str">
        <f aca="false">IF(O790=0,"No Discount",IF(O790&lt;=15,"Low (1-15%)",IF(O790&lt;=30,"Medium (16-30%)","High (&gt;30%)")))</f>
        <v>Medium (16-30%)</v>
      </c>
      <c r="AD790" s="1" t="str">
        <f aca="false">IF(V790&lt;0,"Loss Making",IF(V790&lt;20,"Low Margin","Healthy Margin"))</f>
        <v>Healthy Margin</v>
      </c>
      <c r="AE790" s="1" t="str">
        <f aca="false">TEXT(DATE(VALUE(RIGHT(B790,4)),VALUE(MID(B790,4,2)),VALUE(LEFT(B790,2))),"MMM-YYYY")</f>
        <v>Mar-2023</v>
      </c>
      <c r="AF790" s="1" t="n">
        <f aca="false">VALUE(RIGHT(B790,4))</f>
        <v>2023</v>
      </c>
      <c r="AG790" s="1" t="str">
        <f aca="false">CHOOSE(ROUNDUP(VALUE(MID(B790,4,2))/3,0),"Q1","Q2","Q3","Q4")</f>
        <v>Q1</v>
      </c>
    </row>
    <row r="791" customFormat="false" ht="15" hidden="false" customHeight="true" outlineLevel="0" collapsed="false">
      <c r="A791" s="1" t="s">
        <v>1449</v>
      </c>
      <c r="B791" s="1" t="s">
        <v>885</v>
      </c>
      <c r="C791" s="1" t="s">
        <v>264</v>
      </c>
      <c r="D791" s="1" t="s">
        <v>29</v>
      </c>
      <c r="E791" s="1" t="s">
        <v>129</v>
      </c>
      <c r="F791" s="1" t="s">
        <v>211</v>
      </c>
      <c r="G791" s="1" t="s">
        <v>56</v>
      </c>
      <c r="H791" s="1" t="s">
        <v>69</v>
      </c>
      <c r="I791" s="1" t="s">
        <v>58</v>
      </c>
      <c r="J791" s="1" t="s">
        <v>77</v>
      </c>
      <c r="K791" s="1" t="s">
        <v>48</v>
      </c>
      <c r="L791" s="1" t="s">
        <v>37</v>
      </c>
      <c r="M791" s="1" t="s">
        <v>62</v>
      </c>
      <c r="N791" s="1" t="n">
        <v>29999</v>
      </c>
      <c r="O791" s="1" t="n">
        <v>0</v>
      </c>
      <c r="P791" s="1" t="n">
        <v>0</v>
      </c>
      <c r="Q791" s="1" t="n">
        <v>29999</v>
      </c>
      <c r="R791" s="1" t="n">
        <v>5399.82</v>
      </c>
      <c r="S791" s="1" t="n">
        <v>24599.18</v>
      </c>
      <c r="T791" s="1" t="n">
        <v>9581.69</v>
      </c>
      <c r="U791" s="1" t="n">
        <v>15017.49</v>
      </c>
      <c r="V791" s="1" t="n">
        <v>61.05</v>
      </c>
      <c r="W791" s="1" t="s">
        <v>39</v>
      </c>
      <c r="X791" s="1" t="n">
        <v>4.1</v>
      </c>
      <c r="Y791" s="1" t="s">
        <v>40</v>
      </c>
      <c r="Z791" s="1" t="n">
        <v>0</v>
      </c>
      <c r="AA791" s="1" t="str">
        <f aca="false">TRIM(PROPER(F791))</f>
        <v>Noida</v>
      </c>
      <c r="AB791" s="1" t="str">
        <f aca="false">TRIM(PROPER(C791))</f>
        <v>Unacademy</v>
      </c>
      <c r="AC791" s="1" t="str">
        <f aca="false">IF(O791=0,"No Discount",IF(O791&lt;=15,"Low (1-15%)",IF(O791&lt;=30,"Medium (16-30%)","High (&gt;30%)")))</f>
        <v>No Discount</v>
      </c>
      <c r="AD791" s="1" t="str">
        <f aca="false">IF(V791&lt;0,"Loss Making",IF(V791&lt;20,"Low Margin","Healthy Margin"))</f>
        <v>Healthy Margin</v>
      </c>
      <c r="AE791" s="1" t="str">
        <f aca="false">TEXT(DATE(VALUE(RIGHT(B791,4)),VALUE(MID(B791,4,2)),VALUE(LEFT(B791,2))),"MMM-YYYY")</f>
        <v>Jan-2023</v>
      </c>
      <c r="AF791" s="1" t="n">
        <f aca="false">VALUE(RIGHT(B791,4))</f>
        <v>2023</v>
      </c>
      <c r="AG791" s="1" t="str">
        <f aca="false">CHOOSE(ROUNDUP(VALUE(MID(B791,4,2))/3,0),"Q1","Q2","Q3","Q4")</f>
        <v>Q1</v>
      </c>
    </row>
    <row r="792" customFormat="false" ht="15" hidden="false" customHeight="true" outlineLevel="0" collapsed="false">
      <c r="A792" s="1" t="s">
        <v>1450</v>
      </c>
      <c r="B792" s="1" t="s">
        <v>585</v>
      </c>
      <c r="C792" s="1" t="s">
        <v>43</v>
      </c>
      <c r="D792" s="1" t="s">
        <v>94</v>
      </c>
      <c r="E792" s="1" t="s">
        <v>135</v>
      </c>
      <c r="F792" s="1" t="s">
        <v>125</v>
      </c>
      <c r="G792" s="1" t="s">
        <v>108</v>
      </c>
      <c r="H792" s="1" t="s">
        <v>69</v>
      </c>
      <c r="I792" s="1" t="s">
        <v>83</v>
      </c>
      <c r="J792" s="1" t="s">
        <v>77</v>
      </c>
      <c r="K792" s="1" t="s">
        <v>90</v>
      </c>
      <c r="L792" s="1" t="s">
        <v>136</v>
      </c>
      <c r="M792" s="1" t="s">
        <v>38</v>
      </c>
      <c r="N792" s="1" t="n">
        <v>9999</v>
      </c>
      <c r="O792" s="1" t="n">
        <v>25</v>
      </c>
      <c r="P792" s="1" t="n">
        <v>2499.75</v>
      </c>
      <c r="Q792" s="1" t="n">
        <v>7499.25</v>
      </c>
      <c r="R792" s="1" t="n">
        <v>1349.87</v>
      </c>
      <c r="S792" s="1" t="n">
        <v>6149.38</v>
      </c>
      <c r="T792" s="1" t="n">
        <v>2646.68</v>
      </c>
      <c r="U792" s="1" t="n">
        <v>3502.7</v>
      </c>
      <c r="V792" s="1" t="n">
        <v>56.96</v>
      </c>
      <c r="W792" s="1" t="s">
        <v>40</v>
      </c>
      <c r="Y792" s="1" t="s">
        <v>40</v>
      </c>
      <c r="Z792" s="1" t="n">
        <v>1</v>
      </c>
      <c r="AA792" s="1" t="str">
        <f aca="false">TRIM(PROPER(F792))</f>
        <v>Chennai</v>
      </c>
      <c r="AB792" s="1" t="str">
        <f aca="false">TRIM(PROPER(C792))</f>
        <v>Meritnation</v>
      </c>
      <c r="AC792" s="1" t="str">
        <f aca="false">IF(O792=0,"No Discount",IF(O792&lt;=15,"Low (1-15%)",IF(O792&lt;=30,"Medium (16-30%)","High (&gt;30%)")))</f>
        <v>Medium (16-30%)</v>
      </c>
      <c r="AD792" s="1" t="str">
        <f aca="false">IF(V792&lt;0,"Loss Making",IF(V792&lt;20,"Low Margin","Healthy Margin"))</f>
        <v>Healthy Margin</v>
      </c>
      <c r="AE792" s="1" t="str">
        <f aca="false">TEXT(DATE(VALUE(RIGHT(B792,4)),VALUE(MID(B792,4,2)),VALUE(LEFT(B792,2))),"MMM-YYYY")</f>
        <v>Feb-2023</v>
      </c>
      <c r="AF792" s="1" t="n">
        <f aca="false">VALUE(RIGHT(B792,4))</f>
        <v>2023</v>
      </c>
      <c r="AG792" s="1" t="str">
        <f aca="false">CHOOSE(ROUNDUP(VALUE(MID(B792,4,2))/3,0),"Q1","Q2","Q3","Q4")</f>
        <v>Q1</v>
      </c>
    </row>
    <row r="793" customFormat="false" ht="15" hidden="false" customHeight="true" outlineLevel="0" collapsed="false">
      <c r="A793" s="1" t="s">
        <v>1451</v>
      </c>
      <c r="B793" s="1" t="s">
        <v>1040</v>
      </c>
      <c r="C793" s="1" t="s">
        <v>100</v>
      </c>
      <c r="D793" s="1" t="s">
        <v>94</v>
      </c>
      <c r="E793" s="1" t="s">
        <v>135</v>
      </c>
      <c r="F793" s="1" t="s">
        <v>187</v>
      </c>
      <c r="G793" s="1" t="s">
        <v>97</v>
      </c>
      <c r="H793" s="1" t="s">
        <v>69</v>
      </c>
      <c r="I793" s="1" t="s">
        <v>83</v>
      </c>
      <c r="J793" s="1" t="s">
        <v>35</v>
      </c>
      <c r="K793" s="1" t="s">
        <v>71</v>
      </c>
      <c r="L793" s="1" t="s">
        <v>113</v>
      </c>
      <c r="M793" s="1" t="s">
        <v>38</v>
      </c>
      <c r="N793" s="1" t="n">
        <v>9999</v>
      </c>
      <c r="O793" s="1" t="n">
        <v>0</v>
      </c>
      <c r="P793" s="1" t="n">
        <v>0</v>
      </c>
      <c r="Q793" s="1" t="n">
        <v>9999</v>
      </c>
      <c r="R793" s="1" t="n">
        <v>1799.82</v>
      </c>
      <c r="S793" s="1" t="n">
        <v>8199.18</v>
      </c>
      <c r="T793" s="1" t="n">
        <v>3164.98</v>
      </c>
      <c r="U793" s="1" t="n">
        <v>5034.2</v>
      </c>
      <c r="V793" s="1" t="n">
        <v>61.4</v>
      </c>
      <c r="W793" s="1" t="s">
        <v>40</v>
      </c>
      <c r="Y793" s="1" t="s">
        <v>40</v>
      </c>
      <c r="Z793" s="1" t="n">
        <v>3</v>
      </c>
      <c r="AA793" s="1" t="str">
        <f aca="false">TRIM(PROPER(F793))</f>
        <v>Mumbai</v>
      </c>
      <c r="AB793" s="1" t="str">
        <f aca="false">TRIM(PROPER(C793))</f>
        <v>Physics Wallah</v>
      </c>
      <c r="AC793" s="1" t="str">
        <f aca="false">IF(O793=0,"No Discount",IF(O793&lt;=15,"Low (1-15%)",IF(O793&lt;=30,"Medium (16-30%)","High (&gt;30%)")))</f>
        <v>No Discount</v>
      </c>
      <c r="AD793" s="1" t="str">
        <f aca="false">IF(V793&lt;0,"Loss Making",IF(V793&lt;20,"Low Margin","Healthy Margin"))</f>
        <v>Healthy Margin</v>
      </c>
      <c r="AE793" s="1" t="str">
        <f aca="false">TEXT(DATE(VALUE(RIGHT(B793,4)),VALUE(MID(B793,4,2)),VALUE(LEFT(B793,2))),"MMM-YYYY")</f>
        <v>Sep-2023</v>
      </c>
      <c r="AF793" s="1" t="n">
        <f aca="false">VALUE(RIGHT(B793,4))</f>
        <v>2023</v>
      </c>
      <c r="AG793" s="1" t="str">
        <f aca="false">CHOOSE(ROUNDUP(VALUE(MID(B793,4,2))/3,0),"Q1","Q2","Q3","Q4")</f>
        <v>Q3</v>
      </c>
    </row>
    <row r="794" customFormat="false" ht="15" hidden="false" customHeight="true" outlineLevel="0" collapsed="false">
      <c r="A794" s="1" t="s">
        <v>1452</v>
      </c>
      <c r="B794" s="1" t="s">
        <v>1453</v>
      </c>
      <c r="C794" s="1" t="s">
        <v>264</v>
      </c>
      <c r="D794" s="1" t="s">
        <v>53</v>
      </c>
      <c r="E794" s="1" t="s">
        <v>54</v>
      </c>
      <c r="F794" s="1" t="s">
        <v>67</v>
      </c>
      <c r="G794" s="1" t="s">
        <v>68</v>
      </c>
      <c r="H794" s="1" t="s">
        <v>69</v>
      </c>
      <c r="I794" s="1" t="s">
        <v>34</v>
      </c>
      <c r="J794" s="1" t="s">
        <v>70</v>
      </c>
      <c r="K794" s="1" t="s">
        <v>90</v>
      </c>
      <c r="L794" s="1" t="s">
        <v>49</v>
      </c>
      <c r="M794" s="1" t="s">
        <v>38</v>
      </c>
      <c r="N794" s="1" t="n">
        <v>11999</v>
      </c>
      <c r="O794" s="1" t="n">
        <v>20</v>
      </c>
      <c r="P794" s="1" t="n">
        <v>2399.8</v>
      </c>
      <c r="Q794" s="1" t="n">
        <v>9599.2</v>
      </c>
      <c r="R794" s="1" t="n">
        <v>1727.86</v>
      </c>
      <c r="S794" s="1" t="n">
        <v>7871.34</v>
      </c>
      <c r="T794" s="1" t="n">
        <v>3377.75</v>
      </c>
      <c r="U794" s="1" t="n">
        <v>4493.59</v>
      </c>
      <c r="V794" s="1" t="n">
        <v>57.09</v>
      </c>
      <c r="W794" s="1" t="s">
        <v>39</v>
      </c>
      <c r="X794" s="1" t="n">
        <v>3</v>
      </c>
      <c r="Y794" s="1" t="s">
        <v>40</v>
      </c>
      <c r="Z794" s="1" t="n">
        <v>0</v>
      </c>
      <c r="AA794" s="1" t="str">
        <f aca="false">TRIM(PROPER(F794))</f>
        <v>Ahmedabad</v>
      </c>
      <c r="AB794" s="1" t="str">
        <f aca="false">TRIM(PROPER(C794))</f>
        <v>Unacademy</v>
      </c>
      <c r="AC794" s="1" t="str">
        <f aca="false">IF(O794=0,"No Discount",IF(O794&lt;=15,"Low (1-15%)",IF(O794&lt;=30,"Medium (16-30%)","High (&gt;30%)")))</f>
        <v>Medium (16-30%)</v>
      </c>
      <c r="AD794" s="1" t="str">
        <f aca="false">IF(V794&lt;0,"Loss Making",IF(V794&lt;20,"Low Margin","Healthy Margin"))</f>
        <v>Healthy Margin</v>
      </c>
      <c r="AE794" s="1" t="str">
        <f aca="false">TEXT(DATE(VALUE(RIGHT(B794,4)),VALUE(MID(B794,4,2)),VALUE(LEFT(B794,2))),"MMM-YYYY")</f>
        <v>Jan-2024</v>
      </c>
      <c r="AF794" s="1" t="n">
        <f aca="false">VALUE(RIGHT(B794,4))</f>
        <v>2024</v>
      </c>
      <c r="AG794" s="1" t="str">
        <f aca="false">CHOOSE(ROUNDUP(VALUE(MID(B794,4,2))/3,0),"Q1","Q2","Q3","Q4")</f>
        <v>Q1</v>
      </c>
    </row>
    <row r="795" customFormat="false" ht="15" hidden="false" customHeight="true" outlineLevel="0" collapsed="false">
      <c r="A795" s="1" t="s">
        <v>1454</v>
      </c>
      <c r="B795" s="1" t="s">
        <v>566</v>
      </c>
      <c r="C795" s="1" t="s">
        <v>249</v>
      </c>
      <c r="D795" s="1" t="s">
        <v>168</v>
      </c>
      <c r="E795" s="1" t="s">
        <v>197</v>
      </c>
      <c r="F795" s="1" t="s">
        <v>187</v>
      </c>
      <c r="G795" s="1" t="s">
        <v>97</v>
      </c>
      <c r="H795" s="1" t="s">
        <v>69</v>
      </c>
      <c r="I795" s="1" t="s">
        <v>34</v>
      </c>
      <c r="J795" s="1" t="s">
        <v>131</v>
      </c>
      <c r="K795" s="1" t="s">
        <v>112</v>
      </c>
      <c r="L795" s="1" t="s">
        <v>85</v>
      </c>
      <c r="M795" s="1" t="s">
        <v>50</v>
      </c>
      <c r="N795" s="1" t="n">
        <v>8499</v>
      </c>
      <c r="O795" s="1" t="n">
        <v>25</v>
      </c>
      <c r="P795" s="1" t="n">
        <v>2124.75</v>
      </c>
      <c r="Q795" s="1" t="n">
        <v>6374.25</v>
      </c>
      <c r="R795" s="1" t="n">
        <v>1147.37</v>
      </c>
      <c r="S795" s="1" t="n">
        <v>5226.88</v>
      </c>
      <c r="T795" s="1" t="n">
        <v>1878.56</v>
      </c>
      <c r="U795" s="1" t="n">
        <v>3348.32</v>
      </c>
      <c r="V795" s="1" t="n">
        <v>64.06</v>
      </c>
      <c r="W795" s="1" t="s">
        <v>40</v>
      </c>
      <c r="Y795" s="1" t="s">
        <v>40</v>
      </c>
      <c r="Z795" s="1" t="n">
        <v>1</v>
      </c>
      <c r="AA795" s="1" t="str">
        <f aca="false">TRIM(PROPER(F795))</f>
        <v>Mumbai</v>
      </c>
      <c r="AB795" s="1" t="str">
        <f aca="false">TRIM(PROPER(C795))</f>
        <v>Whitehat Jr</v>
      </c>
      <c r="AC795" s="1" t="str">
        <f aca="false">IF(O795=0,"No Discount",IF(O795&lt;=15,"Low (1-15%)",IF(O795&lt;=30,"Medium (16-30%)","High (&gt;30%)")))</f>
        <v>Medium (16-30%)</v>
      </c>
      <c r="AD795" s="1" t="str">
        <f aca="false">IF(V795&lt;0,"Loss Making",IF(V795&lt;20,"Low Margin","Healthy Margin"))</f>
        <v>Healthy Margin</v>
      </c>
      <c r="AE795" s="1" t="str">
        <f aca="false">TEXT(DATE(VALUE(RIGHT(B795,4)),VALUE(MID(B795,4,2)),VALUE(LEFT(B795,2))),"MMM-YYYY")</f>
        <v>Nov-2024</v>
      </c>
      <c r="AF795" s="1" t="n">
        <f aca="false">VALUE(RIGHT(B795,4))</f>
        <v>2024</v>
      </c>
      <c r="AG795" s="1" t="str">
        <f aca="false">CHOOSE(ROUNDUP(VALUE(MID(B795,4,2))/3,0),"Q1","Q2","Q3","Q4")</f>
        <v>Q4</v>
      </c>
    </row>
    <row r="796" customFormat="false" ht="15" hidden="false" customHeight="true" outlineLevel="0" collapsed="false">
      <c r="A796" s="1" t="s">
        <v>1455</v>
      </c>
      <c r="B796" s="1" t="s">
        <v>1456</v>
      </c>
      <c r="C796" s="1" t="s">
        <v>28</v>
      </c>
      <c r="D796" s="1" t="s">
        <v>80</v>
      </c>
      <c r="E796" s="1" t="s">
        <v>81</v>
      </c>
      <c r="F796" s="1" t="s">
        <v>184</v>
      </c>
      <c r="G796" s="1" t="s">
        <v>56</v>
      </c>
      <c r="H796" s="1" t="s">
        <v>57</v>
      </c>
      <c r="I796" s="1" t="s">
        <v>83</v>
      </c>
      <c r="J796" s="1" t="s">
        <v>35</v>
      </c>
      <c r="K796" s="1" t="s">
        <v>112</v>
      </c>
      <c r="L796" s="1" t="s">
        <v>61</v>
      </c>
      <c r="M796" s="1" t="s">
        <v>62</v>
      </c>
      <c r="N796" s="1" t="n">
        <v>12999</v>
      </c>
      <c r="O796" s="1" t="n">
        <v>5</v>
      </c>
      <c r="P796" s="1" t="n">
        <v>649.95</v>
      </c>
      <c r="Q796" s="1" t="n">
        <v>12349.05</v>
      </c>
      <c r="R796" s="1" t="n">
        <v>2222.83</v>
      </c>
      <c r="S796" s="1" t="n">
        <v>10126.22</v>
      </c>
      <c r="T796" s="1" t="n">
        <v>3438.68</v>
      </c>
      <c r="U796" s="1" t="n">
        <v>6687.54</v>
      </c>
      <c r="V796" s="1" t="n">
        <v>66.04</v>
      </c>
      <c r="W796" s="1" t="s">
        <v>40</v>
      </c>
      <c r="Y796" s="1" t="s">
        <v>40</v>
      </c>
      <c r="Z796" s="1" t="n">
        <v>0</v>
      </c>
      <c r="AA796" s="1" t="str">
        <f aca="false">TRIM(PROPER(F796))</f>
        <v>Faridabad</v>
      </c>
      <c r="AB796" s="1" t="str">
        <f aca="false">TRIM(PROPER(C796))</f>
        <v>Embibe</v>
      </c>
      <c r="AC796" s="1" t="str">
        <f aca="false">IF(O796=0,"No Discount",IF(O796&lt;=15,"Low (1-15%)",IF(O796&lt;=30,"Medium (16-30%)","High (&gt;30%)")))</f>
        <v>Low (1-15%)</v>
      </c>
      <c r="AD796" s="1" t="str">
        <f aca="false">IF(V796&lt;0,"Loss Making",IF(V796&lt;20,"Low Margin","Healthy Margin"))</f>
        <v>Healthy Margin</v>
      </c>
      <c r="AE796" s="1" t="str">
        <f aca="false">TEXT(DATE(VALUE(RIGHT(B796,4)),VALUE(MID(B796,4,2)),VALUE(LEFT(B796,2))),"MMM-YYYY")</f>
        <v>Jan-2024</v>
      </c>
      <c r="AF796" s="1" t="n">
        <f aca="false">VALUE(RIGHT(B796,4))</f>
        <v>2024</v>
      </c>
      <c r="AG796" s="1" t="str">
        <f aca="false">CHOOSE(ROUNDUP(VALUE(MID(B796,4,2))/3,0),"Q1","Q2","Q3","Q4")</f>
        <v>Q1</v>
      </c>
    </row>
    <row r="797" customFormat="false" ht="15" hidden="false" customHeight="true" outlineLevel="0" collapsed="false">
      <c r="A797" s="1" t="s">
        <v>1457</v>
      </c>
      <c r="B797" s="1" t="s">
        <v>1458</v>
      </c>
      <c r="C797" s="1" t="s">
        <v>28</v>
      </c>
      <c r="D797" s="1" t="s">
        <v>80</v>
      </c>
      <c r="E797" s="1" t="s">
        <v>193</v>
      </c>
      <c r="F797" s="1" t="s">
        <v>184</v>
      </c>
      <c r="G797" s="1" t="s">
        <v>56</v>
      </c>
      <c r="H797" s="1" t="s">
        <v>57</v>
      </c>
      <c r="I797" s="1" t="s">
        <v>58</v>
      </c>
      <c r="J797" s="1" t="s">
        <v>35</v>
      </c>
      <c r="K797" s="1" t="s">
        <v>104</v>
      </c>
      <c r="L797" s="1" t="s">
        <v>113</v>
      </c>
      <c r="M797" s="1" t="s">
        <v>50</v>
      </c>
      <c r="N797" s="1" t="n">
        <v>8999</v>
      </c>
      <c r="O797" s="1" t="n">
        <v>0</v>
      </c>
      <c r="P797" s="1" t="n">
        <v>0</v>
      </c>
      <c r="Q797" s="1" t="n">
        <v>8999</v>
      </c>
      <c r="R797" s="1" t="n">
        <v>1619.82</v>
      </c>
      <c r="S797" s="1" t="n">
        <v>7379.18</v>
      </c>
      <c r="T797" s="1" t="n">
        <v>3014.37</v>
      </c>
      <c r="U797" s="1" t="n">
        <v>4364.81</v>
      </c>
      <c r="V797" s="1" t="n">
        <v>59.15</v>
      </c>
      <c r="W797" s="1" t="s">
        <v>40</v>
      </c>
      <c r="Y797" s="1" t="s">
        <v>40</v>
      </c>
      <c r="Z797" s="1" t="n">
        <v>1</v>
      </c>
      <c r="AA797" s="1" t="str">
        <f aca="false">TRIM(PROPER(F797))</f>
        <v>Faridabad</v>
      </c>
      <c r="AB797" s="1" t="str">
        <f aca="false">TRIM(PROPER(C797))</f>
        <v>Embibe</v>
      </c>
      <c r="AC797" s="1" t="str">
        <f aca="false">IF(O797=0,"No Discount",IF(O797&lt;=15,"Low (1-15%)",IF(O797&lt;=30,"Medium (16-30%)","High (&gt;30%)")))</f>
        <v>No Discount</v>
      </c>
      <c r="AD797" s="1" t="str">
        <f aca="false">IF(V797&lt;0,"Loss Making",IF(V797&lt;20,"Low Margin","Healthy Margin"))</f>
        <v>Healthy Margin</v>
      </c>
      <c r="AE797" s="1" t="str">
        <f aca="false">TEXT(DATE(VALUE(RIGHT(B797,4)),VALUE(MID(B797,4,2)),VALUE(LEFT(B797,2))),"MMM-YYYY")</f>
        <v>Apr-2023</v>
      </c>
      <c r="AF797" s="1" t="n">
        <f aca="false">VALUE(RIGHT(B797,4))</f>
        <v>2023</v>
      </c>
      <c r="AG797" s="1" t="str">
        <f aca="false">CHOOSE(ROUNDUP(VALUE(MID(B797,4,2))/3,0),"Q1","Q2","Q3","Q4")</f>
        <v>Q2</v>
      </c>
    </row>
    <row r="798" customFormat="false" ht="15" hidden="false" customHeight="true" outlineLevel="0" collapsed="false">
      <c r="A798" s="1" t="s">
        <v>1459</v>
      </c>
      <c r="B798" s="1" t="s">
        <v>649</v>
      </c>
      <c r="C798" s="1" t="s">
        <v>100</v>
      </c>
      <c r="D798" s="1" t="s">
        <v>44</v>
      </c>
      <c r="E798" s="1" t="s">
        <v>45</v>
      </c>
      <c r="F798" s="1" t="s">
        <v>130</v>
      </c>
      <c r="G798" s="1" t="s">
        <v>47</v>
      </c>
      <c r="H798" s="1" t="s">
        <v>69</v>
      </c>
      <c r="I798" s="1" t="s">
        <v>34</v>
      </c>
      <c r="J798" s="1" t="s">
        <v>70</v>
      </c>
      <c r="K798" s="1" t="s">
        <v>112</v>
      </c>
      <c r="L798" s="1" t="s">
        <v>85</v>
      </c>
      <c r="M798" s="1" t="s">
        <v>62</v>
      </c>
      <c r="N798" s="1" t="n">
        <v>11999</v>
      </c>
      <c r="O798" s="1" t="n">
        <v>40</v>
      </c>
      <c r="P798" s="1" t="n">
        <v>4799.6</v>
      </c>
      <c r="Q798" s="1" t="n">
        <v>7199.4</v>
      </c>
      <c r="R798" s="1" t="n">
        <v>1295.89</v>
      </c>
      <c r="S798" s="1" t="n">
        <v>5903.51</v>
      </c>
      <c r="T798" s="1" t="n">
        <v>3545.14</v>
      </c>
      <c r="U798" s="1" t="n">
        <v>2358.37</v>
      </c>
      <c r="V798" s="1" t="n">
        <v>39.95</v>
      </c>
      <c r="W798" s="1" t="s">
        <v>40</v>
      </c>
      <c r="Y798" s="1" t="s">
        <v>39</v>
      </c>
      <c r="Z798" s="1" t="n">
        <v>0</v>
      </c>
      <c r="AA798" s="1" t="str">
        <f aca="false">TRIM(PROPER(F798))</f>
        <v>Bengaluru</v>
      </c>
      <c r="AB798" s="1" t="str">
        <f aca="false">TRIM(PROPER(C798))</f>
        <v>Physics Wallah</v>
      </c>
      <c r="AC798" s="1" t="str">
        <f aca="false">IF(O798=0,"No Discount",IF(O798&lt;=15,"Low (1-15%)",IF(O798&lt;=30,"Medium (16-30%)","High (&gt;30%)")))</f>
        <v>High (&gt;30%)</v>
      </c>
      <c r="AD798" s="1" t="str">
        <f aca="false">IF(V798&lt;0,"Loss Making",IF(V798&lt;20,"Low Margin","Healthy Margin"))</f>
        <v>Healthy Margin</v>
      </c>
      <c r="AE798" s="1" t="str">
        <f aca="false">TEXT(DATE(VALUE(RIGHT(B798,4)),VALUE(MID(B798,4,2)),VALUE(LEFT(B798,2))),"MMM-YYYY")</f>
        <v>Nov-2023</v>
      </c>
      <c r="AF798" s="1" t="n">
        <f aca="false">VALUE(RIGHT(B798,4))</f>
        <v>2023</v>
      </c>
      <c r="AG798" s="1" t="str">
        <f aca="false">CHOOSE(ROUNDUP(VALUE(MID(B798,4,2))/3,0),"Q1","Q2","Q3","Q4")</f>
        <v>Q4</v>
      </c>
    </row>
    <row r="799" customFormat="false" ht="15" hidden="false" customHeight="true" outlineLevel="0" collapsed="false">
      <c r="A799" s="1" t="s">
        <v>1460</v>
      </c>
      <c r="B799" s="1" t="s">
        <v>1461</v>
      </c>
      <c r="C799" s="1" t="s">
        <v>74</v>
      </c>
      <c r="D799" s="1" t="s">
        <v>80</v>
      </c>
      <c r="E799" s="1" t="s">
        <v>190</v>
      </c>
      <c r="F799" s="1" t="s">
        <v>269</v>
      </c>
      <c r="G799" s="1" t="s">
        <v>108</v>
      </c>
      <c r="H799" s="1" t="s">
        <v>57</v>
      </c>
      <c r="I799" s="1" t="s">
        <v>34</v>
      </c>
      <c r="J799" s="1" t="s">
        <v>35</v>
      </c>
      <c r="K799" s="1" t="s">
        <v>60</v>
      </c>
      <c r="L799" s="1" t="s">
        <v>113</v>
      </c>
      <c r="M799" s="1" t="s">
        <v>62</v>
      </c>
      <c r="N799" s="1" t="n">
        <v>15999</v>
      </c>
      <c r="O799" s="1" t="n">
        <v>50</v>
      </c>
      <c r="P799" s="1" t="n">
        <v>7999.5</v>
      </c>
      <c r="Q799" s="1" t="n">
        <v>7999.5</v>
      </c>
      <c r="R799" s="1" t="n">
        <v>1439.91</v>
      </c>
      <c r="S799" s="1" t="n">
        <v>6559.59</v>
      </c>
      <c r="T799" s="1" t="n">
        <v>3864.93</v>
      </c>
      <c r="U799" s="1" t="n">
        <v>2694.66</v>
      </c>
      <c r="V799" s="1" t="n">
        <v>41.08</v>
      </c>
      <c r="W799" s="1" t="s">
        <v>40</v>
      </c>
      <c r="Y799" s="1" t="s">
        <v>40</v>
      </c>
      <c r="Z799" s="1" t="n">
        <v>2</v>
      </c>
      <c r="AA799" s="1" t="str">
        <f aca="false">TRIM(PROPER(F799))</f>
        <v>Coimbatore</v>
      </c>
      <c r="AB799" s="1" t="str">
        <f aca="false">TRIM(PROPER(C799))</f>
        <v>Vedantu</v>
      </c>
      <c r="AC799" s="1" t="str">
        <f aca="false">IF(O799=0,"No Discount",IF(O799&lt;=15,"Low (1-15%)",IF(O799&lt;=30,"Medium (16-30%)","High (&gt;30%)")))</f>
        <v>High (&gt;30%)</v>
      </c>
      <c r="AD799" s="1" t="str">
        <f aca="false">IF(V799&lt;0,"Loss Making",IF(V799&lt;20,"Low Margin","Healthy Margin"))</f>
        <v>Healthy Margin</v>
      </c>
      <c r="AE799" s="1" t="str">
        <f aca="false">TEXT(DATE(VALUE(RIGHT(B799,4)),VALUE(MID(B799,4,2)),VALUE(LEFT(B799,2))),"MMM-YYYY")</f>
        <v>May-2023</v>
      </c>
      <c r="AF799" s="1" t="n">
        <f aca="false">VALUE(RIGHT(B799,4))</f>
        <v>2023</v>
      </c>
      <c r="AG799" s="1" t="str">
        <f aca="false">CHOOSE(ROUNDUP(VALUE(MID(B799,4,2))/3,0),"Q1","Q2","Q3","Q4")</f>
        <v>Q2</v>
      </c>
    </row>
    <row r="800" customFormat="false" ht="15" hidden="false" customHeight="true" outlineLevel="0" collapsed="false">
      <c r="A800" s="1" t="s">
        <v>1462</v>
      </c>
      <c r="B800" s="1" t="s">
        <v>309</v>
      </c>
      <c r="C800" s="1" t="s">
        <v>139</v>
      </c>
      <c r="D800" s="1" t="s">
        <v>44</v>
      </c>
      <c r="E800" s="1" t="s">
        <v>221</v>
      </c>
      <c r="F800" s="1" t="s">
        <v>130</v>
      </c>
      <c r="G800" s="1" t="s">
        <v>47</v>
      </c>
      <c r="H800" s="1" t="s">
        <v>69</v>
      </c>
      <c r="I800" s="1" t="s">
        <v>58</v>
      </c>
      <c r="J800" s="1" t="s">
        <v>70</v>
      </c>
      <c r="K800" s="1" t="s">
        <v>48</v>
      </c>
      <c r="L800" s="1" t="s">
        <v>61</v>
      </c>
      <c r="M800" s="1" t="s">
        <v>38</v>
      </c>
      <c r="N800" s="1" t="n">
        <v>16999</v>
      </c>
      <c r="O800" s="1" t="n">
        <v>10</v>
      </c>
      <c r="P800" s="1" t="n">
        <v>1699.9</v>
      </c>
      <c r="Q800" s="1" t="n">
        <v>15299.1</v>
      </c>
      <c r="R800" s="1" t="n">
        <v>2753.84</v>
      </c>
      <c r="S800" s="1" t="n">
        <v>12545.26</v>
      </c>
      <c r="T800" s="1" t="n">
        <v>4494.8</v>
      </c>
      <c r="U800" s="1" t="n">
        <v>8050.46</v>
      </c>
      <c r="V800" s="1" t="n">
        <v>64.17</v>
      </c>
      <c r="W800" s="1" t="s">
        <v>40</v>
      </c>
      <c r="Y800" s="1" t="s">
        <v>40</v>
      </c>
      <c r="Z800" s="1" t="n">
        <v>0</v>
      </c>
      <c r="AA800" s="1" t="str">
        <f aca="false">TRIM(PROPER(F800))</f>
        <v>Bengaluru</v>
      </c>
      <c r="AB800" s="1" t="str">
        <f aca="false">TRIM(PROPER(C800))</f>
        <v>Extramarks</v>
      </c>
      <c r="AC800" s="1" t="str">
        <f aca="false">IF(O800=0,"No Discount",IF(O800&lt;=15,"Low (1-15%)",IF(O800&lt;=30,"Medium (16-30%)","High (&gt;30%)")))</f>
        <v>Low (1-15%)</v>
      </c>
      <c r="AD800" s="1" t="str">
        <f aca="false">IF(V800&lt;0,"Loss Making",IF(V800&lt;20,"Low Margin","Healthy Margin"))</f>
        <v>Healthy Margin</v>
      </c>
      <c r="AE800" s="1" t="str">
        <f aca="false">TEXT(DATE(VALUE(RIGHT(B800,4)),VALUE(MID(B800,4,2)),VALUE(LEFT(B800,2))),"MMM-YYYY")</f>
        <v>Oct-2024</v>
      </c>
      <c r="AF800" s="1" t="n">
        <f aca="false">VALUE(RIGHT(B800,4))</f>
        <v>2024</v>
      </c>
      <c r="AG800" s="1" t="str">
        <f aca="false">CHOOSE(ROUNDUP(VALUE(MID(B800,4,2))/3,0),"Q1","Q2","Q3","Q4")</f>
        <v>Q4</v>
      </c>
    </row>
    <row r="801" customFormat="false" ht="15" hidden="false" customHeight="true" outlineLevel="0" collapsed="false">
      <c r="A801" s="1" t="s">
        <v>1463</v>
      </c>
      <c r="B801" s="1" t="s">
        <v>539</v>
      </c>
      <c r="C801" s="1" t="s">
        <v>134</v>
      </c>
      <c r="D801" s="1" t="s">
        <v>80</v>
      </c>
      <c r="E801" s="1" t="s">
        <v>190</v>
      </c>
      <c r="F801" s="1" t="s">
        <v>125</v>
      </c>
      <c r="G801" s="1" t="s">
        <v>108</v>
      </c>
      <c r="H801" s="1" t="s">
        <v>69</v>
      </c>
      <c r="I801" s="1" t="s">
        <v>58</v>
      </c>
      <c r="J801" s="1" t="s">
        <v>35</v>
      </c>
      <c r="K801" s="1" t="s">
        <v>104</v>
      </c>
      <c r="L801" s="1" t="s">
        <v>113</v>
      </c>
      <c r="M801" s="1" t="s">
        <v>50</v>
      </c>
      <c r="N801" s="1" t="n">
        <v>15999</v>
      </c>
      <c r="O801" s="1" t="n">
        <v>50</v>
      </c>
      <c r="P801" s="1" t="n">
        <v>7999.5</v>
      </c>
      <c r="Q801" s="1" t="n">
        <v>7999.5</v>
      </c>
      <c r="R801" s="1" t="n">
        <v>1439.91</v>
      </c>
      <c r="S801" s="1" t="n">
        <v>6559.59</v>
      </c>
      <c r="T801" s="1" t="n">
        <v>3024.78</v>
      </c>
      <c r="U801" s="1" t="n">
        <v>3534.81</v>
      </c>
      <c r="V801" s="1" t="n">
        <v>53.89</v>
      </c>
      <c r="W801" s="1" t="s">
        <v>39</v>
      </c>
      <c r="X801" s="1" t="n">
        <v>4.4</v>
      </c>
      <c r="Y801" s="1" t="s">
        <v>40</v>
      </c>
      <c r="Z801" s="1" t="n">
        <v>1</v>
      </c>
      <c r="AA801" s="1" t="str">
        <f aca="false">TRIM(PROPER(F801))</f>
        <v>Chennai</v>
      </c>
      <c r="AB801" s="1" t="str">
        <f aca="false">TRIM(PROPER(C801))</f>
        <v>Doubtnut</v>
      </c>
      <c r="AC801" s="1" t="str">
        <f aca="false">IF(O801=0,"No Discount",IF(O801&lt;=15,"Low (1-15%)",IF(O801&lt;=30,"Medium (16-30%)","High (&gt;30%)")))</f>
        <v>High (&gt;30%)</v>
      </c>
      <c r="AD801" s="1" t="str">
        <f aca="false">IF(V801&lt;0,"Loss Making",IF(V801&lt;20,"Low Margin","Healthy Margin"))</f>
        <v>Healthy Margin</v>
      </c>
      <c r="AE801" s="1" t="str">
        <f aca="false">TEXT(DATE(VALUE(RIGHT(B801,4)),VALUE(MID(B801,4,2)),VALUE(LEFT(B801,2))),"MMM-YYYY")</f>
        <v>Feb-2023</v>
      </c>
      <c r="AF801" s="1" t="n">
        <f aca="false">VALUE(RIGHT(B801,4))</f>
        <v>2023</v>
      </c>
      <c r="AG801" s="1" t="str">
        <f aca="false">CHOOSE(ROUNDUP(VALUE(MID(B801,4,2))/3,0),"Q1","Q2","Q3","Q4")</f>
        <v>Q1</v>
      </c>
    </row>
    <row r="802" customFormat="false" ht="15" hidden="false" customHeight="true" outlineLevel="0" collapsed="false">
      <c r="A802" s="1" t="s">
        <v>1464</v>
      </c>
      <c r="B802" s="1" t="s">
        <v>1465</v>
      </c>
      <c r="C802" s="1" t="s">
        <v>249</v>
      </c>
      <c r="D802" s="1" t="s">
        <v>123</v>
      </c>
      <c r="E802" s="1" t="s">
        <v>147</v>
      </c>
      <c r="F802" s="1" t="s">
        <v>140</v>
      </c>
      <c r="G802" s="1" t="s">
        <v>97</v>
      </c>
      <c r="H802" s="1" t="s">
        <v>57</v>
      </c>
      <c r="I802" s="1" t="s">
        <v>83</v>
      </c>
      <c r="J802" s="1" t="s">
        <v>77</v>
      </c>
      <c r="K802" s="1" t="s">
        <v>104</v>
      </c>
      <c r="L802" s="1" t="s">
        <v>113</v>
      </c>
      <c r="M802" s="1" t="s">
        <v>62</v>
      </c>
      <c r="N802" s="1" t="n">
        <v>6999</v>
      </c>
      <c r="O802" s="1" t="n">
        <v>0</v>
      </c>
      <c r="P802" s="1" t="n">
        <v>0</v>
      </c>
      <c r="Q802" s="1" t="n">
        <v>6999</v>
      </c>
      <c r="R802" s="1" t="n">
        <v>1259.82</v>
      </c>
      <c r="S802" s="1" t="n">
        <v>5739.18</v>
      </c>
      <c r="T802" s="1" t="n">
        <v>2858.52</v>
      </c>
      <c r="U802" s="1" t="n">
        <v>2880.66</v>
      </c>
      <c r="V802" s="1" t="n">
        <v>50.19</v>
      </c>
      <c r="W802" s="1" t="s">
        <v>40</v>
      </c>
      <c r="Y802" s="1" t="s">
        <v>40</v>
      </c>
      <c r="Z802" s="1" t="n">
        <v>0</v>
      </c>
      <c r="AA802" s="1" t="str">
        <f aca="false">TRIM(PROPER(F802))</f>
        <v>Nashik</v>
      </c>
      <c r="AB802" s="1" t="str">
        <f aca="false">TRIM(PROPER(C802))</f>
        <v>Whitehat Jr</v>
      </c>
      <c r="AC802" s="1" t="str">
        <f aca="false">IF(O802=0,"No Discount",IF(O802&lt;=15,"Low (1-15%)",IF(O802&lt;=30,"Medium (16-30%)","High (&gt;30%)")))</f>
        <v>No Discount</v>
      </c>
      <c r="AD802" s="1" t="str">
        <f aca="false">IF(V802&lt;0,"Loss Making",IF(V802&lt;20,"Low Margin","Healthy Margin"))</f>
        <v>Healthy Margin</v>
      </c>
      <c r="AE802" s="1" t="str">
        <f aca="false">TEXT(DATE(VALUE(RIGHT(B802,4)),VALUE(MID(B802,4,2)),VALUE(LEFT(B802,2))),"MMM-YYYY")</f>
        <v>Sep-2024</v>
      </c>
      <c r="AF802" s="1" t="n">
        <f aca="false">VALUE(RIGHT(B802,4))</f>
        <v>2024</v>
      </c>
      <c r="AG802" s="1" t="str">
        <f aca="false">CHOOSE(ROUNDUP(VALUE(MID(B802,4,2))/3,0),"Q1","Q2","Q3","Q4")</f>
        <v>Q3</v>
      </c>
    </row>
    <row r="803" customFormat="false" ht="15" hidden="false" customHeight="true" outlineLevel="0" collapsed="false">
      <c r="A803" s="1" t="s">
        <v>1466</v>
      </c>
      <c r="B803" s="1" t="s">
        <v>858</v>
      </c>
      <c r="C803" s="1" t="s">
        <v>119</v>
      </c>
      <c r="D803" s="1" t="s">
        <v>143</v>
      </c>
      <c r="E803" s="1" t="s">
        <v>144</v>
      </c>
      <c r="F803" s="1" t="s">
        <v>244</v>
      </c>
      <c r="G803" s="1" t="s">
        <v>97</v>
      </c>
      <c r="H803" s="1" t="s">
        <v>57</v>
      </c>
      <c r="I803" s="1" t="s">
        <v>58</v>
      </c>
      <c r="J803" s="1" t="s">
        <v>59</v>
      </c>
      <c r="K803" s="1" t="s">
        <v>90</v>
      </c>
      <c r="L803" s="1" t="s">
        <v>37</v>
      </c>
      <c r="M803" s="1" t="s">
        <v>38</v>
      </c>
      <c r="N803" s="1" t="n">
        <v>12999</v>
      </c>
      <c r="O803" s="1" t="n">
        <v>15</v>
      </c>
      <c r="P803" s="1" t="n">
        <v>1949.85</v>
      </c>
      <c r="Q803" s="1" t="n">
        <v>11049.15</v>
      </c>
      <c r="R803" s="1" t="n">
        <v>1988.85</v>
      </c>
      <c r="S803" s="1" t="n">
        <v>9060.3</v>
      </c>
      <c r="T803" s="1" t="n">
        <v>3191.37</v>
      </c>
      <c r="U803" s="1" t="n">
        <v>5868.93</v>
      </c>
      <c r="V803" s="1" t="n">
        <v>64.78</v>
      </c>
      <c r="W803" s="1" t="s">
        <v>39</v>
      </c>
      <c r="X803" s="1" t="n">
        <v>2.6</v>
      </c>
      <c r="Y803" s="1" t="s">
        <v>40</v>
      </c>
      <c r="Z803" s="1" t="n">
        <v>1</v>
      </c>
      <c r="AA803" s="1" t="str">
        <f aca="false">TRIM(PROPER(F803))</f>
        <v>Nagpur</v>
      </c>
      <c r="AB803" s="1" t="str">
        <f aca="false">TRIM(PROPER(C803))</f>
        <v>Simplilearn</v>
      </c>
      <c r="AC803" s="1" t="str">
        <f aca="false">IF(O803=0,"No Discount",IF(O803&lt;=15,"Low (1-15%)",IF(O803&lt;=30,"Medium (16-30%)","High (&gt;30%)")))</f>
        <v>Low (1-15%)</v>
      </c>
      <c r="AD803" s="1" t="str">
        <f aca="false">IF(V803&lt;0,"Loss Making",IF(V803&lt;20,"Low Margin","Healthy Margin"))</f>
        <v>Healthy Margin</v>
      </c>
      <c r="AE803" s="1" t="str">
        <f aca="false">TEXT(DATE(VALUE(RIGHT(B803,4)),VALUE(MID(B803,4,2)),VALUE(LEFT(B803,2))),"MMM-YYYY")</f>
        <v>Sep-2024</v>
      </c>
      <c r="AF803" s="1" t="n">
        <f aca="false">VALUE(RIGHT(B803,4))</f>
        <v>2024</v>
      </c>
      <c r="AG803" s="1" t="str">
        <f aca="false">CHOOSE(ROUNDUP(VALUE(MID(B803,4,2))/3,0),"Q1","Q2","Q3","Q4")</f>
        <v>Q3</v>
      </c>
    </row>
    <row r="804" customFormat="false" ht="15" hidden="false" customHeight="true" outlineLevel="0" collapsed="false">
      <c r="A804" s="1" t="s">
        <v>1467</v>
      </c>
      <c r="B804" s="1" t="s">
        <v>257</v>
      </c>
      <c r="C804" s="1" t="s">
        <v>93</v>
      </c>
      <c r="D804" s="1" t="s">
        <v>53</v>
      </c>
      <c r="E804" s="1" t="s">
        <v>116</v>
      </c>
      <c r="F804" s="1" t="s">
        <v>89</v>
      </c>
      <c r="G804" s="1" t="s">
        <v>68</v>
      </c>
      <c r="H804" s="1" t="s">
        <v>33</v>
      </c>
      <c r="I804" s="1" t="s">
        <v>34</v>
      </c>
      <c r="J804" s="1" t="s">
        <v>59</v>
      </c>
      <c r="K804" s="1" t="s">
        <v>84</v>
      </c>
      <c r="L804" s="1" t="s">
        <v>37</v>
      </c>
      <c r="M804" s="1" t="s">
        <v>38</v>
      </c>
      <c r="N804" s="1" t="n">
        <v>9999</v>
      </c>
      <c r="O804" s="1" t="n">
        <v>10</v>
      </c>
      <c r="P804" s="1" t="n">
        <v>999.9</v>
      </c>
      <c r="Q804" s="1" t="n">
        <v>8999.1</v>
      </c>
      <c r="R804" s="1" t="n">
        <v>1619.84</v>
      </c>
      <c r="S804" s="1" t="n">
        <v>7379.26</v>
      </c>
      <c r="T804" s="1" t="n">
        <v>2875.18</v>
      </c>
      <c r="U804" s="1" t="n">
        <v>4504.08</v>
      </c>
      <c r="V804" s="1" t="n">
        <v>61.04</v>
      </c>
      <c r="W804" s="1" t="s">
        <v>39</v>
      </c>
      <c r="X804" s="1" t="n">
        <v>3.6</v>
      </c>
      <c r="Y804" s="1" t="s">
        <v>40</v>
      </c>
      <c r="Z804" s="1" t="n">
        <v>1</v>
      </c>
      <c r="AA804" s="1" t="str">
        <f aca="false">TRIM(PROPER(F804))</f>
        <v>Vadodara</v>
      </c>
      <c r="AB804" s="1" t="str">
        <f aca="false">TRIM(PROPER(C804))</f>
        <v>Upgrad</v>
      </c>
      <c r="AC804" s="1" t="str">
        <f aca="false">IF(O804=0,"No Discount",IF(O804&lt;=15,"Low (1-15%)",IF(O804&lt;=30,"Medium (16-30%)","High (&gt;30%)")))</f>
        <v>Low (1-15%)</v>
      </c>
      <c r="AD804" s="1" t="str">
        <f aca="false">IF(V804&lt;0,"Loss Making",IF(V804&lt;20,"Low Margin","Healthy Margin"))</f>
        <v>Healthy Margin</v>
      </c>
      <c r="AE804" s="1" t="str">
        <f aca="false">TEXT(DATE(VALUE(RIGHT(B804,4)),VALUE(MID(B804,4,2)),VALUE(LEFT(B804,2))),"MMM-YYYY")</f>
        <v>Jun-2023</v>
      </c>
      <c r="AF804" s="1" t="n">
        <f aca="false">VALUE(RIGHT(B804,4))</f>
        <v>2023</v>
      </c>
      <c r="AG804" s="1" t="str">
        <f aca="false">CHOOSE(ROUNDUP(VALUE(MID(B804,4,2))/3,0),"Q1","Q2","Q3","Q4")</f>
        <v>Q2</v>
      </c>
    </row>
    <row r="805" customFormat="false" ht="15" hidden="false" customHeight="true" outlineLevel="0" collapsed="false">
      <c r="A805" s="1" t="s">
        <v>1468</v>
      </c>
      <c r="B805" s="1" t="s">
        <v>174</v>
      </c>
      <c r="C805" s="1" t="s">
        <v>167</v>
      </c>
      <c r="D805" s="1" t="s">
        <v>29</v>
      </c>
      <c r="E805" s="1" t="s">
        <v>305</v>
      </c>
      <c r="F805" s="1" t="s">
        <v>641</v>
      </c>
      <c r="G805" s="1" t="s">
        <v>103</v>
      </c>
      <c r="H805" s="1" t="s">
        <v>33</v>
      </c>
      <c r="I805" s="1" t="s">
        <v>83</v>
      </c>
      <c r="J805" s="1" t="s">
        <v>70</v>
      </c>
      <c r="K805" s="1" t="s">
        <v>60</v>
      </c>
      <c r="L805" s="1" t="s">
        <v>37</v>
      </c>
      <c r="M805" s="1" t="s">
        <v>50</v>
      </c>
      <c r="N805" s="1" t="n">
        <v>24999</v>
      </c>
      <c r="O805" s="1" t="n">
        <v>10</v>
      </c>
      <c r="P805" s="1" t="n">
        <v>2499.9</v>
      </c>
      <c r="Q805" s="1" t="n">
        <v>22499.1</v>
      </c>
      <c r="R805" s="1" t="n">
        <v>4049.84</v>
      </c>
      <c r="S805" s="1" t="n">
        <v>18449.26</v>
      </c>
      <c r="T805" s="1" t="n">
        <v>8017.48</v>
      </c>
      <c r="U805" s="1" t="n">
        <v>10431.78</v>
      </c>
      <c r="V805" s="1" t="n">
        <v>56.54</v>
      </c>
      <c r="W805" s="1" t="s">
        <v>40</v>
      </c>
      <c r="Y805" s="1" t="s">
        <v>40</v>
      </c>
      <c r="Z805" s="1" t="n">
        <v>3</v>
      </c>
      <c r="AA805" s="1" t="str">
        <f aca="false">TRIM(PROPER(F805))</f>
        <v>Warangal</v>
      </c>
      <c r="AB805" s="1" t="str">
        <f aca="false">TRIM(PROPER(C805))</f>
        <v>Scaler</v>
      </c>
      <c r="AC805" s="1" t="str">
        <f aca="false">IF(O805=0,"No Discount",IF(O805&lt;=15,"Low (1-15%)",IF(O805&lt;=30,"Medium (16-30%)","High (&gt;30%)")))</f>
        <v>Low (1-15%)</v>
      </c>
      <c r="AD805" s="1" t="str">
        <f aca="false">IF(V805&lt;0,"Loss Making",IF(V805&lt;20,"Low Margin","Healthy Margin"))</f>
        <v>Healthy Margin</v>
      </c>
      <c r="AE805" s="1" t="str">
        <f aca="false">TEXT(DATE(VALUE(RIGHT(B805,4)),VALUE(MID(B805,4,2)),VALUE(LEFT(B805,2))),"MMM-YYYY")</f>
        <v>Jun-2023</v>
      </c>
      <c r="AF805" s="1" t="n">
        <f aca="false">VALUE(RIGHT(B805,4))</f>
        <v>2023</v>
      </c>
      <c r="AG805" s="1" t="str">
        <f aca="false">CHOOSE(ROUNDUP(VALUE(MID(B805,4,2))/3,0),"Q1","Q2","Q3","Q4")</f>
        <v>Q2</v>
      </c>
    </row>
    <row r="806" customFormat="false" ht="15" hidden="false" customHeight="true" outlineLevel="0" collapsed="false">
      <c r="A806" s="1" t="s">
        <v>1469</v>
      </c>
      <c r="B806" s="1" t="s">
        <v>456</v>
      </c>
      <c r="C806" s="1" t="s">
        <v>74</v>
      </c>
      <c r="D806" s="1" t="s">
        <v>80</v>
      </c>
      <c r="E806" s="1" t="s">
        <v>190</v>
      </c>
      <c r="F806" s="1" t="s">
        <v>184</v>
      </c>
      <c r="G806" s="1" t="s">
        <v>56</v>
      </c>
      <c r="H806" s="1" t="s">
        <v>57</v>
      </c>
      <c r="I806" s="1" t="s">
        <v>83</v>
      </c>
      <c r="J806" s="1" t="s">
        <v>35</v>
      </c>
      <c r="K806" s="1" t="s">
        <v>71</v>
      </c>
      <c r="L806" s="1" t="s">
        <v>136</v>
      </c>
      <c r="M806" s="1" t="s">
        <v>50</v>
      </c>
      <c r="N806" s="1" t="n">
        <v>15999</v>
      </c>
      <c r="O806" s="1" t="n">
        <v>30</v>
      </c>
      <c r="P806" s="1" t="n">
        <v>4799.7</v>
      </c>
      <c r="Q806" s="1" t="n">
        <v>11199.3</v>
      </c>
      <c r="R806" s="1" t="n">
        <v>2015.87</v>
      </c>
      <c r="S806" s="1" t="n">
        <v>9183.43</v>
      </c>
      <c r="T806" s="1" t="n">
        <v>4457.45</v>
      </c>
      <c r="U806" s="1" t="n">
        <v>4725.98</v>
      </c>
      <c r="V806" s="1" t="n">
        <v>51.46</v>
      </c>
      <c r="W806" s="1" t="s">
        <v>39</v>
      </c>
      <c r="Y806" s="1" t="s">
        <v>40</v>
      </c>
      <c r="Z806" s="1" t="n">
        <v>0</v>
      </c>
      <c r="AA806" s="1" t="str">
        <f aca="false">TRIM(PROPER(F806))</f>
        <v>Faridabad</v>
      </c>
      <c r="AB806" s="1" t="str">
        <f aca="false">TRIM(PROPER(C806))</f>
        <v>Vedantu</v>
      </c>
      <c r="AC806" s="1" t="str">
        <f aca="false">IF(O806=0,"No Discount",IF(O806&lt;=15,"Low (1-15%)",IF(O806&lt;=30,"Medium (16-30%)","High (&gt;30%)")))</f>
        <v>Medium (16-30%)</v>
      </c>
      <c r="AD806" s="1" t="str">
        <f aca="false">IF(V806&lt;0,"Loss Making",IF(V806&lt;20,"Low Margin","Healthy Margin"))</f>
        <v>Healthy Margin</v>
      </c>
      <c r="AE806" s="1" t="str">
        <f aca="false">TEXT(DATE(VALUE(RIGHT(B806,4)),VALUE(MID(B806,4,2)),VALUE(LEFT(B806,2))),"MMM-YYYY")</f>
        <v>Dec-2023</v>
      </c>
      <c r="AF806" s="1" t="n">
        <f aca="false">VALUE(RIGHT(B806,4))</f>
        <v>2023</v>
      </c>
      <c r="AG806" s="1" t="str">
        <f aca="false">CHOOSE(ROUNDUP(VALUE(MID(B806,4,2))/3,0),"Q1","Q2","Q3","Q4")</f>
        <v>Q4</v>
      </c>
    </row>
    <row r="807" customFormat="false" ht="15" hidden="false" customHeight="true" outlineLevel="0" collapsed="false">
      <c r="A807" s="1" t="s">
        <v>1470</v>
      </c>
      <c r="B807" s="1" t="s">
        <v>366</v>
      </c>
      <c r="C807" s="1" t="s">
        <v>178</v>
      </c>
      <c r="D807" s="1" t="s">
        <v>168</v>
      </c>
      <c r="E807" s="1" t="s">
        <v>169</v>
      </c>
      <c r="F807" s="1" t="s">
        <v>187</v>
      </c>
      <c r="G807" s="1" t="s">
        <v>97</v>
      </c>
      <c r="H807" s="1" t="s">
        <v>69</v>
      </c>
      <c r="I807" s="1" t="s">
        <v>34</v>
      </c>
      <c r="J807" s="1" t="s">
        <v>77</v>
      </c>
      <c r="K807" s="1" t="s">
        <v>71</v>
      </c>
      <c r="L807" s="1" t="s">
        <v>136</v>
      </c>
      <c r="M807" s="1" t="s">
        <v>38</v>
      </c>
      <c r="N807" s="1" t="n">
        <v>4999</v>
      </c>
      <c r="O807" s="1" t="n">
        <v>50</v>
      </c>
      <c r="P807" s="1" t="n">
        <v>2499.5</v>
      </c>
      <c r="Q807" s="1" t="n">
        <v>2499.5</v>
      </c>
      <c r="R807" s="1" t="n">
        <v>449.91</v>
      </c>
      <c r="S807" s="1" t="n">
        <v>2049.59</v>
      </c>
      <c r="T807" s="1" t="n">
        <v>726.89</v>
      </c>
      <c r="U807" s="1" t="n">
        <v>1322.7</v>
      </c>
      <c r="V807" s="1" t="n">
        <v>64.53</v>
      </c>
      <c r="W807" s="1" t="s">
        <v>39</v>
      </c>
      <c r="X807" s="1" t="n">
        <v>3.2</v>
      </c>
      <c r="Y807" s="1" t="s">
        <v>40</v>
      </c>
      <c r="Z807" s="1" t="n">
        <v>0</v>
      </c>
      <c r="AA807" s="1" t="str">
        <f aca="false">TRIM(PROPER(F807))</f>
        <v>Mumbai</v>
      </c>
      <c r="AB807" s="1" t="str">
        <f aca="false">TRIM(PROPER(C807))</f>
        <v>Leverage Edu</v>
      </c>
      <c r="AC807" s="1" t="str">
        <f aca="false">IF(O807=0,"No Discount",IF(O807&lt;=15,"Low (1-15%)",IF(O807&lt;=30,"Medium (16-30%)","High (&gt;30%)")))</f>
        <v>High (&gt;30%)</v>
      </c>
      <c r="AD807" s="1" t="str">
        <f aca="false">IF(V807&lt;0,"Loss Making",IF(V807&lt;20,"Low Margin","Healthy Margin"))</f>
        <v>Healthy Margin</v>
      </c>
      <c r="AE807" s="1" t="str">
        <f aca="false">TEXT(DATE(VALUE(RIGHT(B807,4)),VALUE(MID(B807,4,2)),VALUE(LEFT(B807,2))),"MMM-YYYY")</f>
        <v>Apr-2023</v>
      </c>
      <c r="AF807" s="1" t="n">
        <f aca="false">VALUE(RIGHT(B807,4))</f>
        <v>2023</v>
      </c>
      <c r="AG807" s="1" t="str">
        <f aca="false">CHOOSE(ROUNDUP(VALUE(MID(B807,4,2))/3,0),"Q1","Q2","Q3","Q4")</f>
        <v>Q2</v>
      </c>
    </row>
    <row r="808" customFormat="false" ht="15" hidden="false" customHeight="true" outlineLevel="0" collapsed="false">
      <c r="A808" s="1" t="s">
        <v>1471</v>
      </c>
      <c r="B808" s="1" t="s">
        <v>1337</v>
      </c>
      <c r="C808" s="1" t="s">
        <v>88</v>
      </c>
      <c r="D808" s="1" t="s">
        <v>80</v>
      </c>
      <c r="E808" s="1" t="s">
        <v>81</v>
      </c>
      <c r="F808" s="1" t="s">
        <v>187</v>
      </c>
      <c r="G808" s="1" t="s">
        <v>97</v>
      </c>
      <c r="H808" s="1" t="s">
        <v>69</v>
      </c>
      <c r="I808" s="1" t="s">
        <v>34</v>
      </c>
      <c r="J808" s="1" t="s">
        <v>35</v>
      </c>
      <c r="K808" s="1" t="s">
        <v>112</v>
      </c>
      <c r="L808" s="1" t="s">
        <v>49</v>
      </c>
      <c r="M808" s="1" t="s">
        <v>38</v>
      </c>
      <c r="N808" s="1" t="n">
        <v>12999</v>
      </c>
      <c r="O808" s="1" t="n">
        <v>10</v>
      </c>
      <c r="P808" s="1" t="n">
        <v>1299.9</v>
      </c>
      <c r="Q808" s="1" t="n">
        <v>11699.1</v>
      </c>
      <c r="R808" s="1" t="n">
        <v>2105.84</v>
      </c>
      <c r="S808" s="1" t="n">
        <v>9593.26</v>
      </c>
      <c r="T808" s="1" t="n">
        <v>4174.38</v>
      </c>
      <c r="U808" s="1" t="n">
        <v>5418.88</v>
      </c>
      <c r="V808" s="1" t="n">
        <v>56.49</v>
      </c>
      <c r="W808" s="1" t="s">
        <v>39</v>
      </c>
      <c r="X808" s="1" t="n">
        <v>3</v>
      </c>
      <c r="Y808" s="1" t="s">
        <v>40</v>
      </c>
      <c r="Z808" s="1" t="n">
        <v>1</v>
      </c>
      <c r="AA808" s="1" t="str">
        <f aca="false">TRIM(PROPER(F808))</f>
        <v>Mumbai</v>
      </c>
      <c r="AB808" s="1" t="str">
        <f aca="false">TRIM(PROPER(C808))</f>
        <v>Byju'S</v>
      </c>
      <c r="AC808" s="1" t="str">
        <f aca="false">IF(O808=0,"No Discount",IF(O808&lt;=15,"Low (1-15%)",IF(O808&lt;=30,"Medium (16-30%)","High (&gt;30%)")))</f>
        <v>Low (1-15%)</v>
      </c>
      <c r="AD808" s="1" t="str">
        <f aca="false">IF(V808&lt;0,"Loss Making",IF(V808&lt;20,"Low Margin","Healthy Margin"))</f>
        <v>Healthy Margin</v>
      </c>
      <c r="AE808" s="1" t="str">
        <f aca="false">TEXT(DATE(VALUE(RIGHT(B808,4)),VALUE(MID(B808,4,2)),VALUE(LEFT(B808,2))),"MMM-YYYY")</f>
        <v>Dec-2023</v>
      </c>
      <c r="AF808" s="1" t="n">
        <f aca="false">VALUE(RIGHT(B808,4))</f>
        <v>2023</v>
      </c>
      <c r="AG808" s="1" t="str">
        <f aca="false">CHOOSE(ROUNDUP(VALUE(MID(B808,4,2))/3,0),"Q1","Q2","Q3","Q4")</f>
        <v>Q4</v>
      </c>
    </row>
    <row r="809" customFormat="false" ht="15" hidden="false" customHeight="true" outlineLevel="0" collapsed="false">
      <c r="A809" s="1" t="s">
        <v>1472</v>
      </c>
      <c r="B809" s="1" t="s">
        <v>385</v>
      </c>
      <c r="C809" s="1" t="s">
        <v>167</v>
      </c>
      <c r="D809" s="1" t="s">
        <v>80</v>
      </c>
      <c r="E809" s="1" t="s">
        <v>193</v>
      </c>
      <c r="F809" s="1" t="s">
        <v>156</v>
      </c>
      <c r="G809" s="1" t="s">
        <v>68</v>
      </c>
      <c r="H809" s="1" t="s">
        <v>57</v>
      </c>
      <c r="I809" s="1" t="s">
        <v>58</v>
      </c>
      <c r="J809" s="1" t="s">
        <v>35</v>
      </c>
      <c r="K809" s="1" t="s">
        <v>60</v>
      </c>
      <c r="L809" s="1" t="s">
        <v>49</v>
      </c>
      <c r="M809" s="1" t="s">
        <v>38</v>
      </c>
      <c r="N809" s="1" t="n">
        <v>8999</v>
      </c>
      <c r="O809" s="1" t="n">
        <v>40</v>
      </c>
      <c r="P809" s="1" t="n">
        <v>3599.6</v>
      </c>
      <c r="Q809" s="1" t="n">
        <v>5399.4</v>
      </c>
      <c r="R809" s="1" t="n">
        <v>971.89</v>
      </c>
      <c r="S809" s="1" t="n">
        <v>4427.51</v>
      </c>
      <c r="T809" s="1" t="n">
        <v>2484.81</v>
      </c>
      <c r="U809" s="1" t="n">
        <v>1942.7</v>
      </c>
      <c r="V809" s="1" t="n">
        <v>43.88</v>
      </c>
      <c r="W809" s="1" t="s">
        <v>39</v>
      </c>
      <c r="X809" s="1" t="n">
        <v>3.8</v>
      </c>
      <c r="Y809" s="1" t="s">
        <v>40</v>
      </c>
      <c r="Z809" s="1" t="n">
        <v>0</v>
      </c>
      <c r="AA809" s="1" t="str">
        <f aca="false">TRIM(PROPER(F809))</f>
        <v>Surat</v>
      </c>
      <c r="AB809" s="1" t="str">
        <f aca="false">TRIM(PROPER(C809))</f>
        <v>Scaler</v>
      </c>
      <c r="AC809" s="1" t="str">
        <f aca="false">IF(O809=0,"No Discount",IF(O809&lt;=15,"Low (1-15%)",IF(O809&lt;=30,"Medium (16-30%)","High (&gt;30%)")))</f>
        <v>High (&gt;30%)</v>
      </c>
      <c r="AD809" s="1" t="str">
        <f aca="false">IF(V809&lt;0,"Loss Making",IF(V809&lt;20,"Low Margin","Healthy Margin"))</f>
        <v>Healthy Margin</v>
      </c>
      <c r="AE809" s="1" t="str">
        <f aca="false">TEXT(DATE(VALUE(RIGHT(B809,4)),VALUE(MID(B809,4,2)),VALUE(LEFT(B809,2))),"MMM-YYYY")</f>
        <v>Jul-2023</v>
      </c>
      <c r="AF809" s="1" t="n">
        <f aca="false">VALUE(RIGHT(B809,4))</f>
        <v>2023</v>
      </c>
      <c r="AG809" s="1" t="str">
        <f aca="false">CHOOSE(ROUNDUP(VALUE(MID(B809,4,2))/3,0),"Q1","Q2","Q3","Q4")</f>
        <v>Q3</v>
      </c>
    </row>
    <row r="810" customFormat="false" ht="15" hidden="false" customHeight="true" outlineLevel="0" collapsed="false">
      <c r="A810" s="1" t="s">
        <v>1473</v>
      </c>
      <c r="B810" s="1" t="s">
        <v>382</v>
      </c>
      <c r="C810" s="1" t="s">
        <v>88</v>
      </c>
      <c r="D810" s="1" t="s">
        <v>53</v>
      </c>
      <c r="E810" s="1" t="s">
        <v>116</v>
      </c>
      <c r="F810" s="1" t="s">
        <v>125</v>
      </c>
      <c r="G810" s="1" t="s">
        <v>108</v>
      </c>
      <c r="H810" s="1" t="s">
        <v>69</v>
      </c>
      <c r="I810" s="1" t="s">
        <v>83</v>
      </c>
      <c r="J810" s="1" t="s">
        <v>59</v>
      </c>
      <c r="K810" s="1" t="s">
        <v>112</v>
      </c>
      <c r="L810" s="1" t="s">
        <v>49</v>
      </c>
      <c r="M810" s="1" t="s">
        <v>50</v>
      </c>
      <c r="N810" s="1" t="n">
        <v>9999</v>
      </c>
      <c r="O810" s="1" t="n">
        <v>0</v>
      </c>
      <c r="P810" s="1" t="n">
        <v>0</v>
      </c>
      <c r="Q810" s="1" t="n">
        <v>9999</v>
      </c>
      <c r="R810" s="1" t="n">
        <v>1799.82</v>
      </c>
      <c r="S810" s="1" t="n">
        <v>8199.18</v>
      </c>
      <c r="T810" s="1" t="n">
        <v>3230.63</v>
      </c>
      <c r="U810" s="1" t="n">
        <v>4968.55</v>
      </c>
      <c r="V810" s="1" t="n">
        <v>60.6</v>
      </c>
      <c r="W810" s="1" t="s">
        <v>39</v>
      </c>
      <c r="X810" s="1" t="n">
        <v>4</v>
      </c>
      <c r="Y810" s="1" t="s">
        <v>40</v>
      </c>
      <c r="Z810" s="1" t="n">
        <v>0</v>
      </c>
      <c r="AA810" s="1" t="str">
        <f aca="false">TRIM(PROPER(F810))</f>
        <v>Chennai</v>
      </c>
      <c r="AB810" s="1" t="str">
        <f aca="false">TRIM(PROPER(C810))</f>
        <v>Byju'S</v>
      </c>
      <c r="AC810" s="1" t="str">
        <f aca="false">IF(O810=0,"No Discount",IF(O810&lt;=15,"Low (1-15%)",IF(O810&lt;=30,"Medium (16-30%)","High (&gt;30%)")))</f>
        <v>No Discount</v>
      </c>
      <c r="AD810" s="1" t="str">
        <f aca="false">IF(V810&lt;0,"Loss Making",IF(V810&lt;20,"Low Margin","Healthy Margin"))</f>
        <v>Healthy Margin</v>
      </c>
      <c r="AE810" s="1" t="str">
        <f aca="false">TEXT(DATE(VALUE(RIGHT(B810,4)),VALUE(MID(B810,4,2)),VALUE(LEFT(B810,2))),"MMM-YYYY")</f>
        <v>Jan-2024</v>
      </c>
      <c r="AF810" s="1" t="n">
        <f aca="false">VALUE(RIGHT(B810,4))</f>
        <v>2024</v>
      </c>
      <c r="AG810" s="1" t="str">
        <f aca="false">CHOOSE(ROUNDUP(VALUE(MID(B810,4,2))/3,0),"Q1","Q2","Q3","Q4")</f>
        <v>Q1</v>
      </c>
    </row>
    <row r="811" customFormat="false" ht="15" hidden="false" customHeight="true" outlineLevel="0" collapsed="false">
      <c r="A811" s="1" t="s">
        <v>1474</v>
      </c>
      <c r="B811" s="1" t="s">
        <v>225</v>
      </c>
      <c r="C811" s="1" t="s">
        <v>74</v>
      </c>
      <c r="D811" s="1" t="s">
        <v>94</v>
      </c>
      <c r="E811" s="1" t="s">
        <v>95</v>
      </c>
      <c r="F811" s="1" t="s">
        <v>150</v>
      </c>
      <c r="G811" s="1" t="s">
        <v>32</v>
      </c>
      <c r="H811" s="1" t="s">
        <v>57</v>
      </c>
      <c r="I811" s="1" t="s">
        <v>83</v>
      </c>
      <c r="J811" s="1" t="s">
        <v>77</v>
      </c>
      <c r="K811" s="1" t="s">
        <v>112</v>
      </c>
      <c r="L811" s="1" t="s">
        <v>37</v>
      </c>
      <c r="M811" s="1" t="s">
        <v>50</v>
      </c>
      <c r="N811" s="1" t="n">
        <v>6999</v>
      </c>
      <c r="O811" s="1" t="n">
        <v>10</v>
      </c>
      <c r="P811" s="1" t="n">
        <v>699.9</v>
      </c>
      <c r="Q811" s="1" t="n">
        <v>6299.1</v>
      </c>
      <c r="R811" s="1" t="n">
        <v>1133.84</v>
      </c>
      <c r="S811" s="1" t="n">
        <v>5165.26</v>
      </c>
      <c r="T811" s="1" t="n">
        <v>2701.87</v>
      </c>
      <c r="U811" s="1" t="n">
        <v>2463.39</v>
      </c>
      <c r="V811" s="1" t="n">
        <v>47.69</v>
      </c>
      <c r="W811" s="1" t="s">
        <v>39</v>
      </c>
      <c r="X811" s="1" t="n">
        <v>4.4</v>
      </c>
      <c r="Y811" s="1" t="s">
        <v>40</v>
      </c>
      <c r="Z811" s="1" t="n">
        <v>0</v>
      </c>
      <c r="AA811" s="1" t="str">
        <f aca="false">TRIM(PROPER(F811))</f>
        <v>Jaipur</v>
      </c>
      <c r="AB811" s="1" t="str">
        <f aca="false">TRIM(PROPER(C811))</f>
        <v>Vedantu</v>
      </c>
      <c r="AC811" s="1" t="str">
        <f aca="false">IF(O811=0,"No Discount",IF(O811&lt;=15,"Low (1-15%)",IF(O811&lt;=30,"Medium (16-30%)","High (&gt;30%)")))</f>
        <v>Low (1-15%)</v>
      </c>
      <c r="AD811" s="1" t="str">
        <f aca="false">IF(V811&lt;0,"Loss Making",IF(V811&lt;20,"Low Margin","Healthy Margin"))</f>
        <v>Healthy Margin</v>
      </c>
      <c r="AE811" s="1" t="str">
        <f aca="false">TEXT(DATE(VALUE(RIGHT(B811,4)),VALUE(MID(B811,4,2)),VALUE(LEFT(B811,2))),"MMM-YYYY")</f>
        <v>May-2024</v>
      </c>
      <c r="AF811" s="1" t="n">
        <f aca="false">VALUE(RIGHT(B811,4))</f>
        <v>2024</v>
      </c>
      <c r="AG811" s="1" t="str">
        <f aca="false">CHOOSE(ROUNDUP(VALUE(MID(B811,4,2))/3,0),"Q1","Q2","Q3","Q4")</f>
        <v>Q2</v>
      </c>
    </row>
    <row r="812" customFormat="false" ht="15" hidden="false" customHeight="true" outlineLevel="0" collapsed="false">
      <c r="A812" s="1" t="s">
        <v>1475</v>
      </c>
      <c r="B812" s="1" t="s">
        <v>1271</v>
      </c>
      <c r="C812" s="1" t="s">
        <v>128</v>
      </c>
      <c r="D812" s="1" t="s">
        <v>168</v>
      </c>
      <c r="E812" s="1" t="s">
        <v>328</v>
      </c>
      <c r="F812" s="1" t="s">
        <v>211</v>
      </c>
      <c r="G812" s="1" t="s">
        <v>56</v>
      </c>
      <c r="H812" s="1" t="s">
        <v>69</v>
      </c>
      <c r="I812" s="1" t="s">
        <v>83</v>
      </c>
      <c r="J812" s="1" t="s">
        <v>131</v>
      </c>
      <c r="K812" s="1" t="s">
        <v>48</v>
      </c>
      <c r="L812" s="1" t="s">
        <v>113</v>
      </c>
      <c r="M812" s="1" t="s">
        <v>50</v>
      </c>
      <c r="N812" s="1" t="n">
        <v>8999</v>
      </c>
      <c r="O812" s="1" t="n">
        <v>15</v>
      </c>
      <c r="P812" s="1" t="n">
        <v>1349.85</v>
      </c>
      <c r="Q812" s="1" t="n">
        <v>7649.15</v>
      </c>
      <c r="R812" s="1" t="n">
        <v>1376.85</v>
      </c>
      <c r="S812" s="1" t="n">
        <v>6272.3</v>
      </c>
      <c r="T812" s="1" t="n">
        <v>2760.87</v>
      </c>
      <c r="U812" s="1" t="n">
        <v>3511.43</v>
      </c>
      <c r="V812" s="1" t="n">
        <v>55.98</v>
      </c>
      <c r="W812" s="1" t="s">
        <v>39</v>
      </c>
      <c r="X812" s="1" t="n">
        <v>5</v>
      </c>
      <c r="Y812" s="1" t="s">
        <v>40</v>
      </c>
      <c r="Z812" s="1" t="n">
        <v>0</v>
      </c>
      <c r="AA812" s="1" t="str">
        <f aca="false">TRIM(PROPER(F812))</f>
        <v>Noida</v>
      </c>
      <c r="AB812" s="1" t="str">
        <f aca="false">TRIM(PROPER(C812))</f>
        <v>Great Learning</v>
      </c>
      <c r="AC812" s="1" t="str">
        <f aca="false">IF(O812=0,"No Discount",IF(O812&lt;=15,"Low (1-15%)",IF(O812&lt;=30,"Medium (16-30%)","High (&gt;30%)")))</f>
        <v>Low (1-15%)</v>
      </c>
      <c r="AD812" s="1" t="str">
        <f aca="false">IF(V812&lt;0,"Loss Making",IF(V812&lt;20,"Low Margin","Healthy Margin"))</f>
        <v>Healthy Margin</v>
      </c>
      <c r="AE812" s="1" t="str">
        <f aca="false">TEXT(DATE(VALUE(RIGHT(B812,4)),VALUE(MID(B812,4,2)),VALUE(LEFT(B812,2))),"MMM-YYYY")</f>
        <v>Feb-2023</v>
      </c>
      <c r="AF812" s="1" t="n">
        <f aca="false">VALUE(RIGHT(B812,4))</f>
        <v>2023</v>
      </c>
      <c r="AG812" s="1" t="str">
        <f aca="false">CHOOSE(ROUNDUP(VALUE(MID(B812,4,2))/3,0),"Q1","Q2","Q3","Q4")</f>
        <v>Q1</v>
      </c>
    </row>
    <row r="813" customFormat="false" ht="15" hidden="false" customHeight="true" outlineLevel="0" collapsed="false">
      <c r="A813" s="1" t="s">
        <v>1476</v>
      </c>
      <c r="B813" s="1" t="s">
        <v>42</v>
      </c>
      <c r="C813" s="1" t="s">
        <v>88</v>
      </c>
      <c r="D813" s="1" t="s">
        <v>168</v>
      </c>
      <c r="E813" s="1" t="s">
        <v>169</v>
      </c>
      <c r="F813" s="1" t="s">
        <v>184</v>
      </c>
      <c r="G813" s="1" t="s">
        <v>56</v>
      </c>
      <c r="H813" s="1" t="s">
        <v>57</v>
      </c>
      <c r="I813" s="1" t="s">
        <v>83</v>
      </c>
      <c r="J813" s="1" t="s">
        <v>70</v>
      </c>
      <c r="K813" s="1" t="s">
        <v>112</v>
      </c>
      <c r="L813" s="1" t="s">
        <v>61</v>
      </c>
      <c r="M813" s="1" t="s">
        <v>62</v>
      </c>
      <c r="N813" s="1" t="n">
        <v>4999</v>
      </c>
      <c r="O813" s="1" t="n">
        <v>30</v>
      </c>
      <c r="P813" s="1" t="n">
        <v>1499.7</v>
      </c>
      <c r="Q813" s="1" t="n">
        <v>3499.3</v>
      </c>
      <c r="R813" s="1" t="n">
        <v>629.87</v>
      </c>
      <c r="S813" s="1" t="n">
        <v>2869.43</v>
      </c>
      <c r="T813" s="1" t="n">
        <v>1259.45</v>
      </c>
      <c r="U813" s="1" t="n">
        <v>1609.98</v>
      </c>
      <c r="V813" s="1" t="n">
        <v>56.11</v>
      </c>
      <c r="W813" s="1" t="s">
        <v>39</v>
      </c>
      <c r="Y813" s="1" t="s">
        <v>40</v>
      </c>
      <c r="Z813" s="1" t="n">
        <v>0</v>
      </c>
      <c r="AA813" s="1" t="str">
        <f aca="false">TRIM(PROPER(F813))</f>
        <v>Faridabad</v>
      </c>
      <c r="AB813" s="1" t="str">
        <f aca="false">TRIM(PROPER(C813))</f>
        <v>Byju'S</v>
      </c>
      <c r="AC813" s="1" t="str">
        <f aca="false">IF(O813=0,"No Discount",IF(O813&lt;=15,"Low (1-15%)",IF(O813&lt;=30,"Medium (16-30%)","High (&gt;30%)")))</f>
        <v>Medium (16-30%)</v>
      </c>
      <c r="AD813" s="1" t="str">
        <f aca="false">IF(V813&lt;0,"Loss Making",IF(V813&lt;20,"Low Margin","Healthy Margin"))</f>
        <v>Healthy Margin</v>
      </c>
      <c r="AE813" s="1" t="str">
        <f aca="false">TEXT(DATE(VALUE(RIGHT(B813,4)),VALUE(MID(B813,4,2)),VALUE(LEFT(B813,2))),"MMM-YYYY")</f>
        <v>Dec-2023</v>
      </c>
      <c r="AF813" s="1" t="n">
        <f aca="false">VALUE(RIGHT(B813,4))</f>
        <v>2023</v>
      </c>
      <c r="AG813" s="1" t="str">
        <f aca="false">CHOOSE(ROUNDUP(VALUE(MID(B813,4,2))/3,0),"Q1","Q2","Q3","Q4")</f>
        <v>Q4</v>
      </c>
    </row>
    <row r="814" customFormat="false" ht="15" hidden="false" customHeight="true" outlineLevel="0" collapsed="false">
      <c r="A814" s="1" t="s">
        <v>1477</v>
      </c>
      <c r="B814" s="1" t="s">
        <v>680</v>
      </c>
      <c r="C814" s="1" t="s">
        <v>119</v>
      </c>
      <c r="D814" s="1" t="s">
        <v>168</v>
      </c>
      <c r="E814" s="1" t="s">
        <v>328</v>
      </c>
      <c r="F814" s="1" t="s">
        <v>211</v>
      </c>
      <c r="G814" s="1" t="s">
        <v>56</v>
      </c>
      <c r="H814" s="1" t="s">
        <v>69</v>
      </c>
      <c r="I814" s="1" t="s">
        <v>83</v>
      </c>
      <c r="J814" s="1" t="s">
        <v>35</v>
      </c>
      <c r="K814" s="1" t="s">
        <v>60</v>
      </c>
      <c r="L814" s="1" t="s">
        <v>49</v>
      </c>
      <c r="M814" s="1" t="s">
        <v>50</v>
      </c>
      <c r="N814" s="1" t="n">
        <v>8999</v>
      </c>
      <c r="O814" s="1" t="n">
        <v>10</v>
      </c>
      <c r="P814" s="1" t="n">
        <v>899.9</v>
      </c>
      <c r="Q814" s="1" t="n">
        <v>8099.1</v>
      </c>
      <c r="R814" s="1" t="n">
        <v>1457.84</v>
      </c>
      <c r="S814" s="1" t="n">
        <v>6641.26</v>
      </c>
      <c r="T814" s="1" t="n">
        <v>3393.28</v>
      </c>
      <c r="U814" s="1" t="n">
        <v>3247.98</v>
      </c>
      <c r="V814" s="1" t="n">
        <v>48.91</v>
      </c>
      <c r="W814" s="1" t="s">
        <v>39</v>
      </c>
      <c r="X814" s="1" t="n">
        <v>3.8</v>
      </c>
      <c r="Y814" s="1" t="s">
        <v>40</v>
      </c>
      <c r="Z814" s="1" t="n">
        <v>0</v>
      </c>
      <c r="AA814" s="1" t="str">
        <f aca="false">TRIM(PROPER(F814))</f>
        <v>Noida</v>
      </c>
      <c r="AB814" s="1" t="str">
        <f aca="false">TRIM(PROPER(C814))</f>
        <v>Simplilearn</v>
      </c>
      <c r="AC814" s="1" t="str">
        <f aca="false">IF(O814=0,"No Discount",IF(O814&lt;=15,"Low (1-15%)",IF(O814&lt;=30,"Medium (16-30%)","High (&gt;30%)")))</f>
        <v>Low (1-15%)</v>
      </c>
      <c r="AD814" s="1" t="str">
        <f aca="false">IF(V814&lt;0,"Loss Making",IF(V814&lt;20,"Low Margin","Healthy Margin"))</f>
        <v>Healthy Margin</v>
      </c>
      <c r="AE814" s="1" t="str">
        <f aca="false">TEXT(DATE(VALUE(RIGHT(B814,4)),VALUE(MID(B814,4,2)),VALUE(LEFT(B814,2))),"MMM-YYYY")</f>
        <v>May-2023</v>
      </c>
      <c r="AF814" s="1" t="n">
        <f aca="false">VALUE(RIGHT(B814,4))</f>
        <v>2023</v>
      </c>
      <c r="AG814" s="1" t="str">
        <f aca="false">CHOOSE(ROUNDUP(VALUE(MID(B814,4,2))/3,0),"Q1","Q2","Q3","Q4")</f>
        <v>Q2</v>
      </c>
    </row>
    <row r="815" customFormat="false" ht="15" hidden="false" customHeight="true" outlineLevel="0" collapsed="false">
      <c r="A815" s="1" t="s">
        <v>1478</v>
      </c>
      <c r="B815" s="1" t="s">
        <v>683</v>
      </c>
      <c r="C815" s="1" t="s">
        <v>88</v>
      </c>
      <c r="D815" s="1" t="s">
        <v>123</v>
      </c>
      <c r="E815" s="1" t="s">
        <v>147</v>
      </c>
      <c r="F815" s="1" t="s">
        <v>211</v>
      </c>
      <c r="G815" s="1" t="s">
        <v>56</v>
      </c>
      <c r="H815" s="1" t="s">
        <v>69</v>
      </c>
      <c r="I815" s="1" t="s">
        <v>58</v>
      </c>
      <c r="J815" s="1" t="s">
        <v>70</v>
      </c>
      <c r="K815" s="1" t="s">
        <v>84</v>
      </c>
      <c r="L815" s="1" t="s">
        <v>85</v>
      </c>
      <c r="M815" s="1" t="s">
        <v>62</v>
      </c>
      <c r="N815" s="1" t="n">
        <v>6999</v>
      </c>
      <c r="O815" s="1" t="n">
        <v>15</v>
      </c>
      <c r="P815" s="1" t="n">
        <v>1049.85</v>
      </c>
      <c r="Q815" s="1" t="n">
        <v>5949.15</v>
      </c>
      <c r="R815" s="1" t="n">
        <v>1070.85</v>
      </c>
      <c r="S815" s="1" t="n">
        <v>4878.3</v>
      </c>
      <c r="T815" s="1" t="n">
        <v>2570.96</v>
      </c>
      <c r="U815" s="1" t="n">
        <v>2307.34</v>
      </c>
      <c r="V815" s="1" t="n">
        <v>47.3</v>
      </c>
      <c r="W815" s="1" t="s">
        <v>39</v>
      </c>
      <c r="X815" s="1" t="n">
        <v>3</v>
      </c>
      <c r="Y815" s="1" t="s">
        <v>40</v>
      </c>
      <c r="Z815" s="1" t="n">
        <v>0</v>
      </c>
      <c r="AA815" s="1" t="str">
        <f aca="false">TRIM(PROPER(F815))</f>
        <v>Noida</v>
      </c>
      <c r="AB815" s="1" t="str">
        <f aca="false">TRIM(PROPER(C815))</f>
        <v>Byju'S</v>
      </c>
      <c r="AC815" s="1" t="str">
        <f aca="false">IF(O815=0,"No Discount",IF(O815&lt;=15,"Low (1-15%)",IF(O815&lt;=30,"Medium (16-30%)","High (&gt;30%)")))</f>
        <v>Low (1-15%)</v>
      </c>
      <c r="AD815" s="1" t="str">
        <f aca="false">IF(V815&lt;0,"Loss Making",IF(V815&lt;20,"Low Margin","Healthy Margin"))</f>
        <v>Healthy Margin</v>
      </c>
      <c r="AE815" s="1" t="str">
        <f aca="false">TEXT(DATE(VALUE(RIGHT(B815,4)),VALUE(MID(B815,4,2)),VALUE(LEFT(B815,2))),"MMM-YYYY")</f>
        <v>Oct-2023</v>
      </c>
      <c r="AF815" s="1" t="n">
        <f aca="false">VALUE(RIGHT(B815,4))</f>
        <v>2023</v>
      </c>
      <c r="AG815" s="1" t="str">
        <f aca="false">CHOOSE(ROUNDUP(VALUE(MID(B815,4,2))/3,0),"Q1","Q2","Q3","Q4")</f>
        <v>Q4</v>
      </c>
    </row>
    <row r="816" customFormat="false" ht="15" hidden="false" customHeight="true" outlineLevel="0" collapsed="false">
      <c r="A816" s="1" t="s">
        <v>1479</v>
      </c>
      <c r="B816" s="1" t="s">
        <v>1480</v>
      </c>
      <c r="C816" s="1" t="s">
        <v>178</v>
      </c>
      <c r="D816" s="1" t="s">
        <v>44</v>
      </c>
      <c r="E816" s="1" t="s">
        <v>221</v>
      </c>
      <c r="F816" s="1" t="s">
        <v>46</v>
      </c>
      <c r="G816" s="1" t="s">
        <v>47</v>
      </c>
      <c r="H816" s="1" t="s">
        <v>33</v>
      </c>
      <c r="I816" s="1" t="s">
        <v>58</v>
      </c>
      <c r="J816" s="1" t="s">
        <v>59</v>
      </c>
      <c r="K816" s="1" t="s">
        <v>84</v>
      </c>
      <c r="L816" s="1" t="s">
        <v>113</v>
      </c>
      <c r="M816" s="1" t="s">
        <v>62</v>
      </c>
      <c r="N816" s="1" t="n">
        <v>16999</v>
      </c>
      <c r="O816" s="1" t="n">
        <v>30</v>
      </c>
      <c r="P816" s="1" t="n">
        <v>5099.7</v>
      </c>
      <c r="Q816" s="1" t="n">
        <v>11899.3</v>
      </c>
      <c r="R816" s="1" t="n">
        <v>2141.87</v>
      </c>
      <c r="S816" s="1" t="n">
        <v>9757.43</v>
      </c>
      <c r="T816" s="1" t="n">
        <v>4963.7</v>
      </c>
      <c r="U816" s="1" t="n">
        <v>4793.73</v>
      </c>
      <c r="V816" s="1" t="n">
        <v>49.13</v>
      </c>
      <c r="W816" s="1" t="s">
        <v>39</v>
      </c>
      <c r="Y816" s="1" t="s">
        <v>40</v>
      </c>
      <c r="Z816" s="1" t="n">
        <v>0</v>
      </c>
      <c r="AA816" s="1" t="str">
        <f aca="false">TRIM(PROPER(F816))</f>
        <v>Mangaluru</v>
      </c>
      <c r="AB816" s="1" t="str">
        <f aca="false">TRIM(PROPER(C816))</f>
        <v>Leverage Edu</v>
      </c>
      <c r="AC816" s="1" t="str">
        <f aca="false">IF(O816=0,"No Discount",IF(O816&lt;=15,"Low (1-15%)",IF(O816&lt;=30,"Medium (16-30%)","High (&gt;30%)")))</f>
        <v>Medium (16-30%)</v>
      </c>
      <c r="AD816" s="1" t="str">
        <f aca="false">IF(V816&lt;0,"Loss Making",IF(V816&lt;20,"Low Margin","Healthy Margin"))</f>
        <v>Healthy Margin</v>
      </c>
      <c r="AE816" s="1" t="str">
        <f aca="false">TEXT(DATE(VALUE(RIGHT(B816,4)),VALUE(MID(B816,4,2)),VALUE(LEFT(B816,2))),"MMM-YYYY")</f>
        <v>Apr-2024</v>
      </c>
      <c r="AF816" s="1" t="n">
        <f aca="false">VALUE(RIGHT(B816,4))</f>
        <v>2024</v>
      </c>
      <c r="AG816" s="1" t="str">
        <f aca="false">CHOOSE(ROUNDUP(VALUE(MID(B816,4,2))/3,0),"Q1","Q2","Q3","Q4")</f>
        <v>Q2</v>
      </c>
    </row>
    <row r="817" customFormat="false" ht="15" hidden="false" customHeight="true" outlineLevel="0" collapsed="false">
      <c r="A817" s="1" t="s">
        <v>1481</v>
      </c>
      <c r="B817" s="1" t="s">
        <v>435</v>
      </c>
      <c r="C817" s="1" t="s">
        <v>128</v>
      </c>
      <c r="D817" s="1" t="s">
        <v>29</v>
      </c>
      <c r="E817" s="1" t="s">
        <v>30</v>
      </c>
      <c r="F817" s="1" t="s">
        <v>194</v>
      </c>
      <c r="G817" s="1" t="s">
        <v>103</v>
      </c>
      <c r="H817" s="1" t="s">
        <v>69</v>
      </c>
      <c r="I817" s="1" t="s">
        <v>83</v>
      </c>
      <c r="J817" s="1" t="s">
        <v>35</v>
      </c>
      <c r="K817" s="1" t="s">
        <v>71</v>
      </c>
      <c r="L817" s="1" t="s">
        <v>136</v>
      </c>
      <c r="M817" s="1" t="s">
        <v>62</v>
      </c>
      <c r="N817" s="1" t="n">
        <v>7999</v>
      </c>
      <c r="O817" s="1" t="n">
        <v>40</v>
      </c>
      <c r="P817" s="1" t="n">
        <v>3199.6</v>
      </c>
      <c r="Q817" s="1" t="n">
        <v>4799.4</v>
      </c>
      <c r="R817" s="1" t="n">
        <v>863.89</v>
      </c>
      <c r="S817" s="1" t="n">
        <v>3935.51</v>
      </c>
      <c r="T817" s="1" t="n">
        <v>1932.71</v>
      </c>
      <c r="U817" s="1" t="n">
        <v>2002.8</v>
      </c>
      <c r="V817" s="1" t="n">
        <v>50.89</v>
      </c>
      <c r="W817" s="1" t="s">
        <v>39</v>
      </c>
      <c r="X817" s="1" t="n">
        <v>4.2</v>
      </c>
      <c r="Y817" s="1" t="s">
        <v>40</v>
      </c>
      <c r="Z817" s="1" t="n">
        <v>0</v>
      </c>
      <c r="AA817" s="1" t="str">
        <f aca="false">TRIM(PROPER(F817))</f>
        <v>Hyderabad</v>
      </c>
      <c r="AB817" s="1" t="str">
        <f aca="false">TRIM(PROPER(C817))</f>
        <v>Great Learning</v>
      </c>
      <c r="AC817" s="1" t="str">
        <f aca="false">IF(O817=0,"No Discount",IF(O817&lt;=15,"Low (1-15%)",IF(O817&lt;=30,"Medium (16-30%)","High (&gt;30%)")))</f>
        <v>High (&gt;30%)</v>
      </c>
      <c r="AD817" s="1" t="str">
        <f aca="false">IF(V817&lt;0,"Loss Making",IF(V817&lt;20,"Low Margin","Healthy Margin"))</f>
        <v>Healthy Margin</v>
      </c>
      <c r="AE817" s="1" t="str">
        <f aca="false">TEXT(DATE(VALUE(RIGHT(B817,4)),VALUE(MID(B817,4,2)),VALUE(LEFT(B817,2))),"MMM-YYYY")</f>
        <v>Feb-2024</v>
      </c>
      <c r="AF817" s="1" t="n">
        <f aca="false">VALUE(RIGHT(B817,4))</f>
        <v>2024</v>
      </c>
      <c r="AG817" s="1" t="str">
        <f aca="false">CHOOSE(ROUNDUP(VALUE(MID(B817,4,2))/3,0),"Q1","Q2","Q3","Q4")</f>
        <v>Q1</v>
      </c>
    </row>
    <row r="818" customFormat="false" ht="15" hidden="false" customHeight="true" outlineLevel="0" collapsed="false">
      <c r="A818" s="1" t="s">
        <v>1482</v>
      </c>
      <c r="B818" s="1" t="s">
        <v>839</v>
      </c>
      <c r="C818" s="1" t="s">
        <v>100</v>
      </c>
      <c r="D818" s="1" t="s">
        <v>80</v>
      </c>
      <c r="E818" s="1" t="s">
        <v>193</v>
      </c>
      <c r="F818" s="1" t="s">
        <v>82</v>
      </c>
      <c r="G818" s="1" t="s">
        <v>56</v>
      </c>
      <c r="H818" s="1" t="s">
        <v>69</v>
      </c>
      <c r="I818" s="1" t="s">
        <v>34</v>
      </c>
      <c r="J818" s="1" t="s">
        <v>59</v>
      </c>
      <c r="K818" s="1" t="s">
        <v>36</v>
      </c>
      <c r="L818" s="1" t="s">
        <v>136</v>
      </c>
      <c r="M818" s="1" t="s">
        <v>38</v>
      </c>
      <c r="N818" s="1" t="n">
        <v>8999</v>
      </c>
      <c r="O818" s="1" t="n">
        <v>10</v>
      </c>
      <c r="P818" s="1" t="n">
        <v>899.9</v>
      </c>
      <c r="Q818" s="1" t="n">
        <v>8099.1</v>
      </c>
      <c r="R818" s="1" t="n">
        <v>1457.84</v>
      </c>
      <c r="S818" s="1" t="n">
        <v>6641.26</v>
      </c>
      <c r="T818" s="1" t="n">
        <v>2531.85</v>
      </c>
      <c r="U818" s="1" t="n">
        <v>4109.41</v>
      </c>
      <c r="V818" s="1" t="n">
        <v>61.88</v>
      </c>
      <c r="W818" s="1" t="s">
        <v>40</v>
      </c>
      <c r="Y818" s="1" t="s">
        <v>40</v>
      </c>
      <c r="Z818" s="1" t="n">
        <v>1</v>
      </c>
      <c r="AA818" s="1" t="str">
        <f aca="false">TRIM(PROPER(F818))</f>
        <v>Gurugram</v>
      </c>
      <c r="AB818" s="1" t="str">
        <f aca="false">TRIM(PROPER(C818))</f>
        <v>Physics Wallah</v>
      </c>
      <c r="AC818" s="1" t="str">
        <f aca="false">IF(O818=0,"No Discount",IF(O818&lt;=15,"Low (1-15%)",IF(O818&lt;=30,"Medium (16-30%)","High (&gt;30%)")))</f>
        <v>Low (1-15%)</v>
      </c>
      <c r="AD818" s="1" t="str">
        <f aca="false">IF(V818&lt;0,"Loss Making",IF(V818&lt;20,"Low Margin","Healthy Margin"))</f>
        <v>Healthy Margin</v>
      </c>
      <c r="AE818" s="1" t="str">
        <f aca="false">TEXT(DATE(VALUE(RIGHT(B818,4)),VALUE(MID(B818,4,2)),VALUE(LEFT(B818,2))),"MMM-YYYY")</f>
        <v>Dec-2023</v>
      </c>
      <c r="AF818" s="1" t="n">
        <f aca="false">VALUE(RIGHT(B818,4))</f>
        <v>2023</v>
      </c>
      <c r="AG818" s="1" t="str">
        <f aca="false">CHOOSE(ROUNDUP(VALUE(MID(B818,4,2))/3,0),"Q1","Q2","Q3","Q4")</f>
        <v>Q4</v>
      </c>
    </row>
    <row r="819" customFormat="false" ht="15" hidden="false" customHeight="true" outlineLevel="0" collapsed="false">
      <c r="A819" s="1" t="s">
        <v>1483</v>
      </c>
      <c r="B819" s="1" t="s">
        <v>533</v>
      </c>
      <c r="C819" s="1" t="s">
        <v>134</v>
      </c>
      <c r="D819" s="1" t="s">
        <v>168</v>
      </c>
      <c r="E819" s="1" t="s">
        <v>172</v>
      </c>
      <c r="F819" s="1" t="s">
        <v>107</v>
      </c>
      <c r="G819" s="1" t="s">
        <v>108</v>
      </c>
      <c r="H819" s="1" t="s">
        <v>33</v>
      </c>
      <c r="I819" s="1" t="s">
        <v>83</v>
      </c>
      <c r="J819" s="1" t="s">
        <v>59</v>
      </c>
      <c r="K819" s="1" t="s">
        <v>48</v>
      </c>
      <c r="L819" s="1" t="s">
        <v>113</v>
      </c>
      <c r="M819" s="1" t="s">
        <v>62</v>
      </c>
      <c r="N819" s="1" t="n">
        <v>6999</v>
      </c>
      <c r="O819" s="1" t="n">
        <v>40</v>
      </c>
      <c r="P819" s="1" t="n">
        <v>2799.6</v>
      </c>
      <c r="Q819" s="1" t="n">
        <v>4199.4</v>
      </c>
      <c r="R819" s="1" t="n">
        <v>755.89</v>
      </c>
      <c r="S819" s="1" t="n">
        <v>3443.51</v>
      </c>
      <c r="T819" s="1" t="n">
        <v>1930.28</v>
      </c>
      <c r="U819" s="1" t="n">
        <v>1513.23</v>
      </c>
      <c r="V819" s="1" t="n">
        <v>43.94</v>
      </c>
      <c r="W819" s="1" t="s">
        <v>40</v>
      </c>
      <c r="Y819" s="1" t="s">
        <v>40</v>
      </c>
      <c r="Z819" s="1" t="n">
        <v>1</v>
      </c>
      <c r="AA819" s="1" t="str">
        <f aca="false">TRIM(PROPER(F819))</f>
        <v>Madurai</v>
      </c>
      <c r="AB819" s="1" t="str">
        <f aca="false">TRIM(PROPER(C819))</f>
        <v>Doubtnut</v>
      </c>
      <c r="AC819" s="1" t="str">
        <f aca="false">IF(O819=0,"No Discount",IF(O819&lt;=15,"Low (1-15%)",IF(O819&lt;=30,"Medium (16-30%)","High (&gt;30%)")))</f>
        <v>High (&gt;30%)</v>
      </c>
      <c r="AD819" s="1" t="str">
        <f aca="false">IF(V819&lt;0,"Loss Making",IF(V819&lt;20,"Low Margin","Healthy Margin"))</f>
        <v>Healthy Margin</v>
      </c>
      <c r="AE819" s="1" t="str">
        <f aca="false">TEXT(DATE(VALUE(RIGHT(B819,4)),VALUE(MID(B819,4,2)),VALUE(LEFT(B819,2))),"MMM-YYYY")</f>
        <v>Feb-2024</v>
      </c>
      <c r="AF819" s="1" t="n">
        <f aca="false">VALUE(RIGHT(B819,4))</f>
        <v>2024</v>
      </c>
      <c r="AG819" s="1" t="str">
        <f aca="false">CHOOSE(ROUNDUP(VALUE(MID(B819,4,2))/3,0),"Q1","Q2","Q3","Q4")</f>
        <v>Q1</v>
      </c>
    </row>
    <row r="820" customFormat="false" ht="15" hidden="false" customHeight="true" outlineLevel="0" collapsed="false">
      <c r="A820" s="1" t="s">
        <v>1484</v>
      </c>
      <c r="B820" s="1" t="s">
        <v>1402</v>
      </c>
      <c r="C820" s="1" t="s">
        <v>93</v>
      </c>
      <c r="D820" s="1" t="s">
        <v>143</v>
      </c>
      <c r="E820" s="1" t="s">
        <v>210</v>
      </c>
      <c r="F820" s="1" t="s">
        <v>46</v>
      </c>
      <c r="G820" s="1" t="s">
        <v>47</v>
      </c>
      <c r="H820" s="1" t="s">
        <v>33</v>
      </c>
      <c r="I820" s="1" t="s">
        <v>58</v>
      </c>
      <c r="J820" s="1" t="s">
        <v>35</v>
      </c>
      <c r="K820" s="1" t="s">
        <v>36</v>
      </c>
      <c r="L820" s="1" t="s">
        <v>61</v>
      </c>
      <c r="M820" s="1" t="s">
        <v>38</v>
      </c>
      <c r="N820" s="1" t="n">
        <v>18999</v>
      </c>
      <c r="O820" s="1" t="n">
        <v>40</v>
      </c>
      <c r="P820" s="1" t="n">
        <v>7599.6</v>
      </c>
      <c r="Q820" s="1" t="n">
        <v>11399.4</v>
      </c>
      <c r="R820" s="1" t="n">
        <v>2051.89</v>
      </c>
      <c r="S820" s="1" t="n">
        <v>9347.51</v>
      </c>
      <c r="T820" s="1" t="n">
        <v>5555.25</v>
      </c>
      <c r="U820" s="1" t="n">
        <v>3792.26</v>
      </c>
      <c r="V820" s="1" t="n">
        <v>40.57</v>
      </c>
      <c r="W820" s="1" t="s">
        <v>40</v>
      </c>
      <c r="Y820" s="1" t="s">
        <v>40</v>
      </c>
      <c r="Z820" s="1" t="n">
        <v>0</v>
      </c>
      <c r="AA820" s="1" t="str">
        <f aca="false">TRIM(PROPER(F820))</f>
        <v>Mangaluru</v>
      </c>
      <c r="AB820" s="1" t="str">
        <f aca="false">TRIM(PROPER(C820))</f>
        <v>Upgrad</v>
      </c>
      <c r="AC820" s="1" t="str">
        <f aca="false">IF(O820=0,"No Discount",IF(O820&lt;=15,"Low (1-15%)",IF(O820&lt;=30,"Medium (16-30%)","High (&gt;30%)")))</f>
        <v>High (&gt;30%)</v>
      </c>
      <c r="AD820" s="1" t="str">
        <f aca="false">IF(V820&lt;0,"Loss Making",IF(V820&lt;20,"Low Margin","Healthy Margin"))</f>
        <v>Healthy Margin</v>
      </c>
      <c r="AE820" s="1" t="str">
        <f aca="false">TEXT(DATE(VALUE(RIGHT(B820,4)),VALUE(MID(B820,4,2)),VALUE(LEFT(B820,2))),"MMM-YYYY")</f>
        <v>Apr-2023</v>
      </c>
      <c r="AF820" s="1" t="n">
        <f aca="false">VALUE(RIGHT(B820,4))</f>
        <v>2023</v>
      </c>
      <c r="AG820" s="1" t="str">
        <f aca="false">CHOOSE(ROUNDUP(VALUE(MID(B820,4,2))/3,0),"Q1","Q2","Q3","Q4")</f>
        <v>Q2</v>
      </c>
    </row>
    <row r="821" customFormat="false" ht="15" hidden="false" customHeight="true" outlineLevel="0" collapsed="false">
      <c r="A821" s="1" t="s">
        <v>1485</v>
      </c>
      <c r="B821" s="1" t="s">
        <v>1486</v>
      </c>
      <c r="C821" s="1" t="s">
        <v>139</v>
      </c>
      <c r="D821" s="1" t="s">
        <v>143</v>
      </c>
      <c r="E821" s="1" t="s">
        <v>162</v>
      </c>
      <c r="F821" s="1" t="s">
        <v>55</v>
      </c>
      <c r="G821" s="1" t="s">
        <v>56</v>
      </c>
      <c r="H821" s="1" t="s">
        <v>57</v>
      </c>
      <c r="I821" s="1" t="s">
        <v>34</v>
      </c>
      <c r="J821" s="1" t="s">
        <v>59</v>
      </c>
      <c r="K821" s="1" t="s">
        <v>84</v>
      </c>
      <c r="L821" s="1" t="s">
        <v>49</v>
      </c>
      <c r="M821" s="1" t="s">
        <v>38</v>
      </c>
      <c r="N821" s="1" t="n">
        <v>14999</v>
      </c>
      <c r="O821" s="1" t="n">
        <v>25</v>
      </c>
      <c r="P821" s="1" t="n">
        <v>3749.75</v>
      </c>
      <c r="Q821" s="1" t="n">
        <v>11249.25</v>
      </c>
      <c r="R821" s="1" t="n">
        <v>2024.87</v>
      </c>
      <c r="S821" s="1" t="n">
        <v>9224.38</v>
      </c>
      <c r="T821" s="1" t="n">
        <v>5007.88</v>
      </c>
      <c r="U821" s="1" t="n">
        <v>4216.5</v>
      </c>
      <c r="V821" s="1" t="n">
        <v>45.71</v>
      </c>
      <c r="W821" s="1" t="s">
        <v>40</v>
      </c>
      <c r="Y821" s="1" t="s">
        <v>39</v>
      </c>
      <c r="Z821" s="1" t="n">
        <v>0</v>
      </c>
      <c r="AA821" s="1" t="str">
        <f aca="false">TRIM(PROPER(F821))</f>
        <v>Ghaziabad</v>
      </c>
      <c r="AB821" s="1" t="str">
        <f aca="false">TRIM(PROPER(C821))</f>
        <v>Extramarks</v>
      </c>
      <c r="AC821" s="1" t="str">
        <f aca="false">IF(O821=0,"No Discount",IF(O821&lt;=15,"Low (1-15%)",IF(O821&lt;=30,"Medium (16-30%)","High (&gt;30%)")))</f>
        <v>Medium (16-30%)</v>
      </c>
      <c r="AD821" s="1" t="str">
        <f aca="false">IF(V821&lt;0,"Loss Making",IF(V821&lt;20,"Low Margin","Healthy Margin"))</f>
        <v>Healthy Margin</v>
      </c>
      <c r="AE821" s="1" t="str">
        <f aca="false">TEXT(DATE(VALUE(RIGHT(B821,4)),VALUE(MID(B821,4,2)),VALUE(LEFT(B821,2))),"MMM-YYYY")</f>
        <v>Jun-2024</v>
      </c>
      <c r="AF821" s="1" t="n">
        <f aca="false">VALUE(RIGHT(B821,4))</f>
        <v>2024</v>
      </c>
      <c r="AG821" s="1" t="str">
        <f aca="false">CHOOSE(ROUNDUP(VALUE(MID(B821,4,2))/3,0),"Q1","Q2","Q3","Q4")</f>
        <v>Q2</v>
      </c>
    </row>
    <row r="822" customFormat="false" ht="15" hidden="false" customHeight="true" outlineLevel="0" collapsed="false">
      <c r="A822" s="1" t="s">
        <v>1487</v>
      </c>
      <c r="B822" s="1" t="s">
        <v>1488</v>
      </c>
      <c r="C822" s="1" t="s">
        <v>167</v>
      </c>
      <c r="D822" s="1" t="s">
        <v>94</v>
      </c>
      <c r="E822" s="1" t="s">
        <v>95</v>
      </c>
      <c r="F822" s="1" t="s">
        <v>125</v>
      </c>
      <c r="G822" s="1" t="s">
        <v>108</v>
      </c>
      <c r="H822" s="1" t="s">
        <v>69</v>
      </c>
      <c r="I822" s="1" t="s">
        <v>34</v>
      </c>
      <c r="J822" s="1" t="s">
        <v>131</v>
      </c>
      <c r="K822" s="1" t="s">
        <v>60</v>
      </c>
      <c r="L822" s="1" t="s">
        <v>85</v>
      </c>
      <c r="M822" s="1" t="s">
        <v>50</v>
      </c>
      <c r="N822" s="1" t="n">
        <v>6999</v>
      </c>
      <c r="O822" s="1" t="n">
        <v>30</v>
      </c>
      <c r="P822" s="1" t="n">
        <v>2099.7</v>
      </c>
      <c r="Q822" s="1" t="n">
        <v>4899.3</v>
      </c>
      <c r="R822" s="1" t="n">
        <v>881.87</v>
      </c>
      <c r="S822" s="1" t="n">
        <v>4017.43</v>
      </c>
      <c r="T822" s="1" t="n">
        <v>2183.15</v>
      </c>
      <c r="U822" s="1" t="n">
        <v>1834.28</v>
      </c>
      <c r="V822" s="1" t="n">
        <v>45.66</v>
      </c>
      <c r="W822" s="1" t="s">
        <v>39</v>
      </c>
      <c r="X822" s="1" t="n">
        <v>3.3</v>
      </c>
      <c r="Y822" s="1" t="s">
        <v>40</v>
      </c>
      <c r="Z822" s="1" t="n">
        <v>0</v>
      </c>
      <c r="AA822" s="1" t="str">
        <f aca="false">TRIM(PROPER(F822))</f>
        <v>Chennai</v>
      </c>
      <c r="AB822" s="1" t="str">
        <f aca="false">TRIM(PROPER(C822))</f>
        <v>Scaler</v>
      </c>
      <c r="AC822" s="1" t="str">
        <f aca="false">IF(O822=0,"No Discount",IF(O822&lt;=15,"Low (1-15%)",IF(O822&lt;=30,"Medium (16-30%)","High (&gt;30%)")))</f>
        <v>Medium (16-30%)</v>
      </c>
      <c r="AD822" s="1" t="str">
        <f aca="false">IF(V822&lt;0,"Loss Making",IF(V822&lt;20,"Low Margin","Healthy Margin"))</f>
        <v>Healthy Margin</v>
      </c>
      <c r="AE822" s="1" t="str">
        <f aca="false">TEXT(DATE(VALUE(RIGHT(B822,4)),VALUE(MID(B822,4,2)),VALUE(LEFT(B822,2))),"MMM-YYYY")</f>
        <v>Jun-2024</v>
      </c>
      <c r="AF822" s="1" t="n">
        <f aca="false">VALUE(RIGHT(B822,4))</f>
        <v>2024</v>
      </c>
      <c r="AG822" s="1" t="str">
        <f aca="false">CHOOSE(ROUNDUP(VALUE(MID(B822,4,2))/3,0),"Q1","Q2","Q3","Q4")</f>
        <v>Q2</v>
      </c>
    </row>
    <row r="823" customFormat="false" ht="15" hidden="false" customHeight="true" outlineLevel="0" collapsed="false">
      <c r="A823" s="1" t="s">
        <v>1489</v>
      </c>
      <c r="B823" s="1" t="s">
        <v>988</v>
      </c>
      <c r="C823" s="1" t="s">
        <v>100</v>
      </c>
      <c r="D823" s="1" t="s">
        <v>29</v>
      </c>
      <c r="E823" s="1" t="s">
        <v>30</v>
      </c>
      <c r="F823" s="1" t="s">
        <v>75</v>
      </c>
      <c r="G823" s="1" t="s">
        <v>76</v>
      </c>
      <c r="H823" s="1" t="s">
        <v>69</v>
      </c>
      <c r="I823" s="1" t="s">
        <v>58</v>
      </c>
      <c r="J823" s="1" t="s">
        <v>131</v>
      </c>
      <c r="K823" s="1" t="s">
        <v>48</v>
      </c>
      <c r="L823" s="1" t="s">
        <v>49</v>
      </c>
      <c r="M823" s="1" t="s">
        <v>62</v>
      </c>
      <c r="N823" s="1" t="n">
        <v>7999</v>
      </c>
      <c r="O823" s="1" t="n">
        <v>10</v>
      </c>
      <c r="P823" s="1" t="n">
        <v>799.9</v>
      </c>
      <c r="Q823" s="1" t="n">
        <v>7199.1</v>
      </c>
      <c r="R823" s="1" t="n">
        <v>1295.84</v>
      </c>
      <c r="S823" s="1" t="n">
        <v>5903.26</v>
      </c>
      <c r="T823" s="1" t="n">
        <v>2025.95</v>
      </c>
      <c r="U823" s="1" t="n">
        <v>3877.31</v>
      </c>
      <c r="V823" s="1" t="n">
        <v>65.68</v>
      </c>
      <c r="W823" s="1" t="s">
        <v>40</v>
      </c>
      <c r="Y823" s="1" t="s">
        <v>40</v>
      </c>
      <c r="Z823" s="1" t="n">
        <v>1</v>
      </c>
      <c r="AA823" s="1" t="str">
        <f aca="false">TRIM(PROPER(F823))</f>
        <v>Kolkata</v>
      </c>
      <c r="AB823" s="1" t="str">
        <f aca="false">TRIM(PROPER(C823))</f>
        <v>Physics Wallah</v>
      </c>
      <c r="AC823" s="1" t="str">
        <f aca="false">IF(O823=0,"No Discount",IF(O823&lt;=15,"Low (1-15%)",IF(O823&lt;=30,"Medium (16-30%)","High (&gt;30%)")))</f>
        <v>Low (1-15%)</v>
      </c>
      <c r="AD823" s="1" t="str">
        <f aca="false">IF(V823&lt;0,"Loss Making",IF(V823&lt;20,"Low Margin","Healthy Margin"))</f>
        <v>Healthy Margin</v>
      </c>
      <c r="AE823" s="1" t="str">
        <f aca="false">TEXT(DATE(VALUE(RIGHT(B823,4)),VALUE(MID(B823,4,2)),VALUE(LEFT(B823,2))),"MMM-YYYY")</f>
        <v>Dec-2024</v>
      </c>
      <c r="AF823" s="1" t="n">
        <f aca="false">VALUE(RIGHT(B823,4))</f>
        <v>2024</v>
      </c>
      <c r="AG823" s="1" t="str">
        <f aca="false">CHOOSE(ROUNDUP(VALUE(MID(B823,4,2))/3,0),"Q1","Q2","Q3","Q4")</f>
        <v>Q4</v>
      </c>
    </row>
    <row r="824" customFormat="false" ht="15" hidden="false" customHeight="true" outlineLevel="0" collapsed="false">
      <c r="A824" s="1" t="s">
        <v>1490</v>
      </c>
      <c r="B824" s="1" t="s">
        <v>196</v>
      </c>
      <c r="C824" s="1" t="s">
        <v>74</v>
      </c>
      <c r="D824" s="1" t="s">
        <v>44</v>
      </c>
      <c r="E824" s="1" t="s">
        <v>221</v>
      </c>
      <c r="F824" s="1" t="s">
        <v>67</v>
      </c>
      <c r="G824" s="1" t="s">
        <v>68</v>
      </c>
      <c r="H824" s="1" t="s">
        <v>69</v>
      </c>
      <c r="I824" s="1" t="s">
        <v>83</v>
      </c>
      <c r="J824" s="1" t="s">
        <v>59</v>
      </c>
      <c r="K824" s="1" t="s">
        <v>71</v>
      </c>
      <c r="L824" s="1" t="s">
        <v>136</v>
      </c>
      <c r="M824" s="1" t="s">
        <v>50</v>
      </c>
      <c r="N824" s="1" t="n">
        <v>16999</v>
      </c>
      <c r="O824" s="1" t="n">
        <v>15</v>
      </c>
      <c r="P824" s="1" t="n">
        <v>2549.85</v>
      </c>
      <c r="Q824" s="1" t="n">
        <v>14449.15</v>
      </c>
      <c r="R824" s="1" t="n">
        <v>2600.85</v>
      </c>
      <c r="S824" s="1" t="n">
        <v>11848.3</v>
      </c>
      <c r="T824" s="1" t="n">
        <v>4659.19</v>
      </c>
      <c r="U824" s="1" t="n">
        <v>7189.11</v>
      </c>
      <c r="V824" s="1" t="n">
        <v>60.68</v>
      </c>
      <c r="W824" s="1" t="s">
        <v>39</v>
      </c>
      <c r="X824" s="1" t="n">
        <v>4.9</v>
      </c>
      <c r="Y824" s="1" t="s">
        <v>40</v>
      </c>
      <c r="Z824" s="1" t="n">
        <v>1</v>
      </c>
      <c r="AA824" s="1" t="str">
        <f aca="false">TRIM(PROPER(F824))</f>
        <v>Ahmedabad</v>
      </c>
      <c r="AB824" s="1" t="str">
        <f aca="false">TRIM(PROPER(C824))</f>
        <v>Vedantu</v>
      </c>
      <c r="AC824" s="1" t="str">
        <f aca="false">IF(O824=0,"No Discount",IF(O824&lt;=15,"Low (1-15%)",IF(O824&lt;=30,"Medium (16-30%)","High (&gt;30%)")))</f>
        <v>Low (1-15%)</v>
      </c>
      <c r="AD824" s="1" t="str">
        <f aca="false">IF(V824&lt;0,"Loss Making",IF(V824&lt;20,"Low Margin","Healthy Margin"))</f>
        <v>Healthy Margin</v>
      </c>
      <c r="AE824" s="1" t="str">
        <f aca="false">TEXT(DATE(VALUE(RIGHT(B824,4)),VALUE(MID(B824,4,2)),VALUE(LEFT(B824,2))),"MMM-YYYY")</f>
        <v>Mar-2024</v>
      </c>
      <c r="AF824" s="1" t="n">
        <f aca="false">VALUE(RIGHT(B824,4))</f>
        <v>2024</v>
      </c>
      <c r="AG824" s="1" t="str">
        <f aca="false">CHOOSE(ROUNDUP(VALUE(MID(B824,4,2))/3,0),"Q1","Q2","Q3","Q4")</f>
        <v>Q1</v>
      </c>
    </row>
    <row r="825" customFormat="false" ht="15" hidden="false" customHeight="true" outlineLevel="0" collapsed="false">
      <c r="A825" s="1" t="s">
        <v>1491</v>
      </c>
      <c r="B825" s="1" t="s">
        <v>1492</v>
      </c>
      <c r="C825" s="1" t="s">
        <v>93</v>
      </c>
      <c r="D825" s="1" t="s">
        <v>168</v>
      </c>
      <c r="E825" s="1" t="s">
        <v>169</v>
      </c>
      <c r="F825" s="1" t="s">
        <v>140</v>
      </c>
      <c r="G825" s="1" t="s">
        <v>97</v>
      </c>
      <c r="H825" s="1" t="s">
        <v>57</v>
      </c>
      <c r="I825" s="1" t="s">
        <v>34</v>
      </c>
      <c r="J825" s="1" t="s">
        <v>59</v>
      </c>
      <c r="K825" s="1" t="s">
        <v>71</v>
      </c>
      <c r="L825" s="1" t="s">
        <v>37</v>
      </c>
      <c r="M825" s="1" t="s">
        <v>62</v>
      </c>
      <c r="N825" s="1" t="n">
        <v>4999</v>
      </c>
      <c r="O825" s="1" t="n">
        <v>25</v>
      </c>
      <c r="P825" s="1" t="n">
        <v>1249.75</v>
      </c>
      <c r="Q825" s="1" t="n">
        <v>3749.25</v>
      </c>
      <c r="R825" s="1" t="n">
        <v>674.87</v>
      </c>
      <c r="S825" s="1" t="n">
        <v>3074.38</v>
      </c>
      <c r="T825" s="1" t="n">
        <v>1540.11</v>
      </c>
      <c r="U825" s="1" t="n">
        <v>1534.27</v>
      </c>
      <c r="V825" s="1" t="n">
        <v>49.91</v>
      </c>
      <c r="W825" s="1" t="s">
        <v>39</v>
      </c>
      <c r="X825" s="1" t="n">
        <v>4.3</v>
      </c>
      <c r="Y825" s="1" t="s">
        <v>40</v>
      </c>
      <c r="Z825" s="1" t="n">
        <v>0</v>
      </c>
      <c r="AA825" s="1" t="str">
        <f aca="false">TRIM(PROPER(F825))</f>
        <v>Nashik</v>
      </c>
      <c r="AB825" s="1" t="str">
        <f aca="false">TRIM(PROPER(C825))</f>
        <v>Upgrad</v>
      </c>
      <c r="AC825" s="1" t="str">
        <f aca="false">IF(O825=0,"No Discount",IF(O825&lt;=15,"Low (1-15%)",IF(O825&lt;=30,"Medium (16-30%)","High (&gt;30%)")))</f>
        <v>Medium (16-30%)</v>
      </c>
      <c r="AD825" s="1" t="str">
        <f aca="false">IF(V825&lt;0,"Loss Making",IF(V825&lt;20,"Low Margin","Healthy Margin"))</f>
        <v>Healthy Margin</v>
      </c>
      <c r="AE825" s="1" t="str">
        <f aca="false">TEXT(DATE(VALUE(RIGHT(B825,4)),VALUE(MID(B825,4,2)),VALUE(LEFT(B825,2))),"MMM-YYYY")</f>
        <v>Sep-2023</v>
      </c>
      <c r="AF825" s="1" t="n">
        <f aca="false">VALUE(RIGHT(B825,4))</f>
        <v>2023</v>
      </c>
      <c r="AG825" s="1" t="str">
        <f aca="false">CHOOSE(ROUNDUP(VALUE(MID(B825,4,2))/3,0),"Q1","Q2","Q3","Q4")</f>
        <v>Q3</v>
      </c>
    </row>
    <row r="826" customFormat="false" ht="15" hidden="false" customHeight="true" outlineLevel="0" collapsed="false">
      <c r="A826" s="1" t="s">
        <v>1493</v>
      </c>
      <c r="B826" s="1" t="s">
        <v>275</v>
      </c>
      <c r="C826" s="1" t="s">
        <v>65</v>
      </c>
      <c r="D826" s="1" t="s">
        <v>53</v>
      </c>
      <c r="E826" s="1" t="s">
        <v>216</v>
      </c>
      <c r="F826" s="1" t="s">
        <v>205</v>
      </c>
      <c r="G826" s="1" t="s">
        <v>56</v>
      </c>
      <c r="H826" s="1" t="s">
        <v>69</v>
      </c>
      <c r="I826" s="1" t="s">
        <v>83</v>
      </c>
      <c r="J826" s="1" t="s">
        <v>70</v>
      </c>
      <c r="K826" s="1" t="s">
        <v>112</v>
      </c>
      <c r="L826" s="1" t="s">
        <v>49</v>
      </c>
      <c r="M826" s="1" t="s">
        <v>38</v>
      </c>
      <c r="N826" s="1" t="n">
        <v>7499</v>
      </c>
      <c r="O826" s="1" t="n">
        <v>5</v>
      </c>
      <c r="P826" s="1" t="n">
        <v>374.95</v>
      </c>
      <c r="Q826" s="1" t="n">
        <v>7124.05</v>
      </c>
      <c r="R826" s="1" t="n">
        <v>1282.33</v>
      </c>
      <c r="S826" s="1" t="n">
        <v>5841.72</v>
      </c>
      <c r="T826" s="1" t="n">
        <v>2647.08</v>
      </c>
      <c r="U826" s="1" t="n">
        <v>3194.64</v>
      </c>
      <c r="V826" s="1" t="n">
        <v>54.69</v>
      </c>
      <c r="W826" s="1" t="s">
        <v>40</v>
      </c>
      <c r="Y826" s="1" t="s">
        <v>40</v>
      </c>
      <c r="Z826" s="1" t="n">
        <v>1</v>
      </c>
      <c r="AA826" s="1" t="str">
        <f aca="false">TRIM(PROPER(F826))</f>
        <v>New Delhi</v>
      </c>
      <c r="AB826" s="1" t="str">
        <f aca="false">TRIM(PROPER(C826))</f>
        <v>Toppr</v>
      </c>
      <c r="AC826" s="1" t="str">
        <f aca="false">IF(O826=0,"No Discount",IF(O826&lt;=15,"Low (1-15%)",IF(O826&lt;=30,"Medium (16-30%)","High (&gt;30%)")))</f>
        <v>Low (1-15%)</v>
      </c>
      <c r="AD826" s="1" t="str">
        <f aca="false">IF(V826&lt;0,"Loss Making",IF(V826&lt;20,"Low Margin","Healthy Margin"))</f>
        <v>Healthy Margin</v>
      </c>
      <c r="AE826" s="1" t="str">
        <f aca="false">TEXT(DATE(VALUE(RIGHT(B826,4)),VALUE(MID(B826,4,2)),VALUE(LEFT(B826,2))),"MMM-YYYY")</f>
        <v>Aug-2024</v>
      </c>
      <c r="AF826" s="1" t="n">
        <f aca="false">VALUE(RIGHT(B826,4))</f>
        <v>2024</v>
      </c>
      <c r="AG826" s="1" t="str">
        <f aca="false">CHOOSE(ROUNDUP(VALUE(MID(B826,4,2))/3,0),"Q1","Q2","Q3","Q4")</f>
        <v>Q3</v>
      </c>
    </row>
    <row r="827" customFormat="false" ht="15" hidden="false" customHeight="true" outlineLevel="0" collapsed="false">
      <c r="A827" s="1" t="s">
        <v>1494</v>
      </c>
      <c r="B827" s="1" t="s">
        <v>304</v>
      </c>
      <c r="C827" s="1" t="s">
        <v>249</v>
      </c>
      <c r="D827" s="1" t="s">
        <v>53</v>
      </c>
      <c r="E827" s="1" t="s">
        <v>54</v>
      </c>
      <c r="F827" s="1" t="s">
        <v>89</v>
      </c>
      <c r="G827" s="1" t="s">
        <v>68</v>
      </c>
      <c r="H827" s="1" t="s">
        <v>33</v>
      </c>
      <c r="I827" s="1" t="s">
        <v>83</v>
      </c>
      <c r="J827" s="1" t="s">
        <v>131</v>
      </c>
      <c r="K827" s="1" t="s">
        <v>36</v>
      </c>
      <c r="L827" s="1" t="s">
        <v>85</v>
      </c>
      <c r="M827" s="1" t="s">
        <v>62</v>
      </c>
      <c r="N827" s="1" t="n">
        <v>11999</v>
      </c>
      <c r="O827" s="1" t="n">
        <v>0</v>
      </c>
      <c r="P827" s="1" t="n">
        <v>0</v>
      </c>
      <c r="Q827" s="1" t="n">
        <v>11999</v>
      </c>
      <c r="R827" s="1" t="n">
        <v>2159.82</v>
      </c>
      <c r="S827" s="1" t="n">
        <v>9839.18</v>
      </c>
      <c r="T827" s="1" t="n">
        <v>4731.84</v>
      </c>
      <c r="U827" s="1" t="n">
        <v>5107.34</v>
      </c>
      <c r="V827" s="1" t="n">
        <v>51.91</v>
      </c>
      <c r="W827" s="1" t="s">
        <v>39</v>
      </c>
      <c r="Y827" s="1" t="s">
        <v>40</v>
      </c>
      <c r="Z827" s="1" t="n">
        <v>0</v>
      </c>
      <c r="AA827" s="1" t="str">
        <f aca="false">TRIM(PROPER(F827))</f>
        <v>Vadodara</v>
      </c>
      <c r="AB827" s="1" t="str">
        <f aca="false">TRIM(PROPER(C827))</f>
        <v>Whitehat Jr</v>
      </c>
      <c r="AC827" s="1" t="str">
        <f aca="false">IF(O827=0,"No Discount",IF(O827&lt;=15,"Low (1-15%)",IF(O827&lt;=30,"Medium (16-30%)","High (&gt;30%)")))</f>
        <v>No Discount</v>
      </c>
      <c r="AD827" s="1" t="str">
        <f aca="false">IF(V827&lt;0,"Loss Making",IF(V827&lt;20,"Low Margin","Healthy Margin"))</f>
        <v>Healthy Margin</v>
      </c>
      <c r="AE827" s="1" t="str">
        <f aca="false">TEXT(DATE(VALUE(RIGHT(B827,4)),VALUE(MID(B827,4,2)),VALUE(LEFT(B827,2))),"MMM-YYYY")</f>
        <v>Oct-2023</v>
      </c>
      <c r="AF827" s="1" t="n">
        <f aca="false">VALUE(RIGHT(B827,4))</f>
        <v>2023</v>
      </c>
      <c r="AG827" s="1" t="str">
        <f aca="false">CHOOSE(ROUNDUP(VALUE(MID(B827,4,2))/3,0),"Q1","Q2","Q3","Q4")</f>
        <v>Q4</v>
      </c>
    </row>
    <row r="828" customFormat="false" ht="15" hidden="false" customHeight="true" outlineLevel="0" collapsed="false">
      <c r="A828" s="1" t="s">
        <v>1495</v>
      </c>
      <c r="B828" s="1" t="s">
        <v>281</v>
      </c>
      <c r="C828" s="1" t="s">
        <v>43</v>
      </c>
      <c r="D828" s="1" t="s">
        <v>143</v>
      </c>
      <c r="E828" s="1" t="s">
        <v>159</v>
      </c>
      <c r="F828" s="1" t="s">
        <v>153</v>
      </c>
      <c r="G828" s="1" t="s">
        <v>76</v>
      </c>
      <c r="H828" s="1" t="s">
        <v>33</v>
      </c>
      <c r="I828" s="1" t="s">
        <v>34</v>
      </c>
      <c r="J828" s="1" t="s">
        <v>131</v>
      </c>
      <c r="K828" s="1" t="s">
        <v>60</v>
      </c>
      <c r="L828" s="1" t="s">
        <v>136</v>
      </c>
      <c r="M828" s="1" t="s">
        <v>62</v>
      </c>
      <c r="N828" s="1" t="n">
        <v>24999</v>
      </c>
      <c r="O828" s="1" t="n">
        <v>20</v>
      </c>
      <c r="P828" s="1" t="n">
        <v>4999.8</v>
      </c>
      <c r="Q828" s="1" t="n">
        <v>19999.2</v>
      </c>
      <c r="R828" s="1" t="n">
        <v>3599.86</v>
      </c>
      <c r="S828" s="1" t="n">
        <v>16399.34</v>
      </c>
      <c r="T828" s="1" t="n">
        <v>5848</v>
      </c>
      <c r="U828" s="1" t="n">
        <v>10551.34</v>
      </c>
      <c r="V828" s="1" t="n">
        <v>64.34</v>
      </c>
      <c r="W828" s="1" t="s">
        <v>39</v>
      </c>
      <c r="X828" s="1" t="n">
        <v>3.8</v>
      </c>
      <c r="Y828" s="1" t="s">
        <v>40</v>
      </c>
      <c r="Z828" s="1" t="n">
        <v>0</v>
      </c>
      <c r="AA828" s="1" t="str">
        <f aca="false">TRIM(PROPER(F828))</f>
        <v>Howrah</v>
      </c>
      <c r="AB828" s="1" t="str">
        <f aca="false">TRIM(PROPER(C828))</f>
        <v>Meritnation</v>
      </c>
      <c r="AC828" s="1" t="str">
        <f aca="false">IF(O828=0,"No Discount",IF(O828&lt;=15,"Low (1-15%)",IF(O828&lt;=30,"Medium (16-30%)","High (&gt;30%)")))</f>
        <v>Medium (16-30%)</v>
      </c>
      <c r="AD828" s="1" t="str">
        <f aca="false">IF(V828&lt;0,"Loss Making",IF(V828&lt;20,"Low Margin","Healthy Margin"))</f>
        <v>Healthy Margin</v>
      </c>
      <c r="AE828" s="1" t="str">
        <f aca="false">TEXT(DATE(VALUE(RIGHT(B828,4)),VALUE(MID(B828,4,2)),VALUE(LEFT(B828,2))),"MMM-YYYY")</f>
        <v>Oct-2024</v>
      </c>
      <c r="AF828" s="1" t="n">
        <f aca="false">VALUE(RIGHT(B828,4))</f>
        <v>2024</v>
      </c>
      <c r="AG828" s="1" t="str">
        <f aca="false">CHOOSE(ROUNDUP(VALUE(MID(B828,4,2))/3,0),"Q1","Q2","Q3","Q4")</f>
        <v>Q4</v>
      </c>
    </row>
    <row r="829" customFormat="false" ht="15" hidden="false" customHeight="true" outlineLevel="0" collapsed="false">
      <c r="A829" s="1" t="s">
        <v>1496</v>
      </c>
      <c r="B829" s="1" t="s">
        <v>360</v>
      </c>
      <c r="C829" s="1" t="s">
        <v>65</v>
      </c>
      <c r="D829" s="1" t="s">
        <v>44</v>
      </c>
      <c r="E829" s="1" t="s">
        <v>66</v>
      </c>
      <c r="F829" s="1" t="s">
        <v>82</v>
      </c>
      <c r="G829" s="1" t="s">
        <v>56</v>
      </c>
      <c r="H829" s="1" t="s">
        <v>69</v>
      </c>
      <c r="I829" s="1" t="s">
        <v>83</v>
      </c>
      <c r="J829" s="1" t="s">
        <v>77</v>
      </c>
      <c r="K829" s="1" t="s">
        <v>112</v>
      </c>
      <c r="L829" s="1" t="s">
        <v>49</v>
      </c>
      <c r="M829" s="1" t="s">
        <v>50</v>
      </c>
      <c r="N829" s="1" t="n">
        <v>12999</v>
      </c>
      <c r="O829" s="1" t="n">
        <v>0</v>
      </c>
      <c r="P829" s="1" t="n">
        <v>0</v>
      </c>
      <c r="Q829" s="1" t="n">
        <v>12999</v>
      </c>
      <c r="R829" s="1" t="n">
        <v>2339.82</v>
      </c>
      <c r="S829" s="1" t="n">
        <v>10659.18</v>
      </c>
      <c r="T829" s="1" t="n">
        <v>4787.84</v>
      </c>
      <c r="U829" s="1" t="n">
        <v>5871.34</v>
      </c>
      <c r="V829" s="1" t="n">
        <v>55.08</v>
      </c>
      <c r="W829" s="1" t="s">
        <v>39</v>
      </c>
      <c r="Y829" s="1" t="s">
        <v>40</v>
      </c>
      <c r="Z829" s="1" t="n">
        <v>0</v>
      </c>
      <c r="AA829" s="1" t="str">
        <f aca="false">TRIM(PROPER(F829))</f>
        <v>Gurugram</v>
      </c>
      <c r="AB829" s="1" t="str">
        <f aca="false">TRIM(PROPER(C829))</f>
        <v>Toppr</v>
      </c>
      <c r="AC829" s="1" t="str">
        <f aca="false">IF(O829=0,"No Discount",IF(O829&lt;=15,"Low (1-15%)",IF(O829&lt;=30,"Medium (16-30%)","High (&gt;30%)")))</f>
        <v>No Discount</v>
      </c>
      <c r="AD829" s="1" t="str">
        <f aca="false">IF(V829&lt;0,"Loss Making",IF(V829&lt;20,"Low Margin","Healthy Margin"))</f>
        <v>Healthy Margin</v>
      </c>
      <c r="AE829" s="1" t="str">
        <f aca="false">TEXT(DATE(VALUE(RIGHT(B829,4)),VALUE(MID(B829,4,2)),VALUE(LEFT(B829,2))),"MMM-YYYY")</f>
        <v>Feb-2023</v>
      </c>
      <c r="AF829" s="1" t="n">
        <f aca="false">VALUE(RIGHT(B829,4))</f>
        <v>2023</v>
      </c>
      <c r="AG829" s="1" t="str">
        <f aca="false">CHOOSE(ROUNDUP(VALUE(MID(B829,4,2))/3,0),"Q1","Q2","Q3","Q4")</f>
        <v>Q1</v>
      </c>
    </row>
    <row r="830" customFormat="false" ht="15" hidden="false" customHeight="true" outlineLevel="0" collapsed="false">
      <c r="A830" s="1" t="s">
        <v>1497</v>
      </c>
      <c r="B830" s="1" t="s">
        <v>1346</v>
      </c>
      <c r="C830" s="1" t="s">
        <v>119</v>
      </c>
      <c r="D830" s="1" t="s">
        <v>168</v>
      </c>
      <c r="E830" s="1" t="s">
        <v>197</v>
      </c>
      <c r="F830" s="1" t="s">
        <v>269</v>
      </c>
      <c r="G830" s="1" t="s">
        <v>108</v>
      </c>
      <c r="H830" s="1" t="s">
        <v>57</v>
      </c>
      <c r="I830" s="1" t="s">
        <v>34</v>
      </c>
      <c r="J830" s="1" t="s">
        <v>59</v>
      </c>
      <c r="K830" s="1" t="s">
        <v>71</v>
      </c>
      <c r="L830" s="1" t="s">
        <v>136</v>
      </c>
      <c r="M830" s="1" t="s">
        <v>62</v>
      </c>
      <c r="N830" s="1" t="n">
        <v>8499</v>
      </c>
      <c r="O830" s="1" t="n">
        <v>40</v>
      </c>
      <c r="P830" s="1" t="n">
        <v>3399.6</v>
      </c>
      <c r="Q830" s="1" t="n">
        <v>5099.4</v>
      </c>
      <c r="R830" s="1" t="n">
        <v>917.89</v>
      </c>
      <c r="S830" s="1" t="n">
        <v>4181.51</v>
      </c>
      <c r="T830" s="1" t="n">
        <v>2564.93</v>
      </c>
      <c r="U830" s="1" t="n">
        <v>1616.58</v>
      </c>
      <c r="V830" s="1" t="n">
        <v>38.66</v>
      </c>
      <c r="W830" s="1" t="s">
        <v>39</v>
      </c>
      <c r="X830" s="1" t="n">
        <v>3.7</v>
      </c>
      <c r="Y830" s="1" t="s">
        <v>40</v>
      </c>
      <c r="Z830" s="1" t="n">
        <v>1</v>
      </c>
      <c r="AA830" s="1" t="str">
        <f aca="false">TRIM(PROPER(F830))</f>
        <v>Coimbatore</v>
      </c>
      <c r="AB830" s="1" t="str">
        <f aca="false">TRIM(PROPER(C830))</f>
        <v>Simplilearn</v>
      </c>
      <c r="AC830" s="1" t="str">
        <f aca="false">IF(O830=0,"No Discount",IF(O830&lt;=15,"Low (1-15%)",IF(O830&lt;=30,"Medium (16-30%)","High (&gt;30%)")))</f>
        <v>High (&gt;30%)</v>
      </c>
      <c r="AD830" s="1" t="str">
        <f aca="false">IF(V830&lt;0,"Loss Making",IF(V830&lt;20,"Low Margin","Healthy Margin"))</f>
        <v>Healthy Margin</v>
      </c>
      <c r="AE830" s="1" t="str">
        <f aca="false">TEXT(DATE(VALUE(RIGHT(B830,4)),VALUE(MID(B830,4,2)),VALUE(LEFT(B830,2))),"MMM-YYYY")</f>
        <v>Aug-2024</v>
      </c>
      <c r="AF830" s="1" t="n">
        <f aca="false">VALUE(RIGHT(B830,4))</f>
        <v>2024</v>
      </c>
      <c r="AG830" s="1" t="str">
        <f aca="false">CHOOSE(ROUNDUP(VALUE(MID(B830,4,2))/3,0),"Q1","Q2","Q3","Q4")</f>
        <v>Q3</v>
      </c>
    </row>
    <row r="831" customFormat="false" ht="15" hidden="false" customHeight="true" outlineLevel="0" collapsed="false">
      <c r="A831" s="1" t="s">
        <v>1498</v>
      </c>
      <c r="B831" s="1" t="s">
        <v>986</v>
      </c>
      <c r="C831" s="1" t="s">
        <v>93</v>
      </c>
      <c r="D831" s="1" t="s">
        <v>168</v>
      </c>
      <c r="E831" s="1" t="s">
        <v>197</v>
      </c>
      <c r="F831" s="1" t="s">
        <v>102</v>
      </c>
      <c r="G831" s="1" t="s">
        <v>103</v>
      </c>
      <c r="H831" s="1" t="s">
        <v>33</v>
      </c>
      <c r="I831" s="1" t="s">
        <v>83</v>
      </c>
      <c r="J831" s="1" t="s">
        <v>77</v>
      </c>
      <c r="K831" s="1" t="s">
        <v>60</v>
      </c>
      <c r="L831" s="1" t="s">
        <v>37</v>
      </c>
      <c r="M831" s="1" t="s">
        <v>62</v>
      </c>
      <c r="N831" s="1" t="n">
        <v>8499</v>
      </c>
      <c r="O831" s="1" t="n">
        <v>0</v>
      </c>
      <c r="P831" s="1" t="n">
        <v>0</v>
      </c>
      <c r="Q831" s="1" t="n">
        <v>8499</v>
      </c>
      <c r="R831" s="1" t="n">
        <v>1529.82</v>
      </c>
      <c r="S831" s="1" t="n">
        <v>6969.18</v>
      </c>
      <c r="T831" s="1" t="n">
        <v>3455.78</v>
      </c>
      <c r="U831" s="1" t="n">
        <v>3513.4</v>
      </c>
      <c r="V831" s="1" t="n">
        <v>50.41</v>
      </c>
      <c r="W831" s="1" t="s">
        <v>39</v>
      </c>
      <c r="Y831" s="1" t="s">
        <v>40</v>
      </c>
      <c r="Z831" s="1" t="n">
        <v>1</v>
      </c>
      <c r="AA831" s="1" t="str">
        <f aca="false">TRIM(PROPER(F831))</f>
        <v>Warangal</v>
      </c>
      <c r="AB831" s="1" t="str">
        <f aca="false">TRIM(PROPER(C831))</f>
        <v>Upgrad</v>
      </c>
      <c r="AC831" s="1" t="str">
        <f aca="false">IF(O831=0,"No Discount",IF(O831&lt;=15,"Low (1-15%)",IF(O831&lt;=30,"Medium (16-30%)","High (&gt;30%)")))</f>
        <v>No Discount</v>
      </c>
      <c r="AD831" s="1" t="str">
        <f aca="false">IF(V831&lt;0,"Loss Making",IF(V831&lt;20,"Low Margin","Healthy Margin"))</f>
        <v>Healthy Margin</v>
      </c>
      <c r="AE831" s="1" t="str">
        <f aca="false">TEXT(DATE(VALUE(RIGHT(B831,4)),VALUE(MID(B831,4,2)),VALUE(LEFT(B831,2))),"MMM-YYYY")</f>
        <v>Mar-2023</v>
      </c>
      <c r="AF831" s="1" t="n">
        <f aca="false">VALUE(RIGHT(B831,4))</f>
        <v>2023</v>
      </c>
      <c r="AG831" s="1" t="str">
        <f aca="false">CHOOSE(ROUNDUP(VALUE(MID(B831,4,2))/3,0),"Q1","Q2","Q3","Q4")</f>
        <v>Q1</v>
      </c>
    </row>
    <row r="832" customFormat="false" ht="15" hidden="false" customHeight="true" outlineLevel="0" collapsed="false">
      <c r="A832" s="1" t="s">
        <v>1499</v>
      </c>
      <c r="B832" s="1" t="s">
        <v>1500</v>
      </c>
      <c r="C832" s="1" t="s">
        <v>264</v>
      </c>
      <c r="D832" s="1" t="s">
        <v>123</v>
      </c>
      <c r="E832" s="1" t="s">
        <v>124</v>
      </c>
      <c r="F832" s="1" t="s">
        <v>107</v>
      </c>
      <c r="G832" s="1" t="s">
        <v>108</v>
      </c>
      <c r="H832" s="1" t="s">
        <v>33</v>
      </c>
      <c r="I832" s="1" t="s">
        <v>34</v>
      </c>
      <c r="J832" s="1" t="s">
        <v>131</v>
      </c>
      <c r="K832" s="1" t="s">
        <v>90</v>
      </c>
      <c r="L832" s="1" t="s">
        <v>49</v>
      </c>
      <c r="M832" s="1" t="s">
        <v>38</v>
      </c>
      <c r="N832" s="1" t="n">
        <v>4999</v>
      </c>
      <c r="O832" s="1" t="n">
        <v>0</v>
      </c>
      <c r="P832" s="1" t="n">
        <v>0</v>
      </c>
      <c r="Q832" s="1" t="n">
        <v>4999</v>
      </c>
      <c r="R832" s="1" t="n">
        <v>899.82</v>
      </c>
      <c r="S832" s="1" t="n">
        <v>4099.18</v>
      </c>
      <c r="T832" s="1" t="n">
        <v>1755.16</v>
      </c>
      <c r="U832" s="1" t="n">
        <v>2344.02</v>
      </c>
      <c r="V832" s="1" t="n">
        <v>57.18</v>
      </c>
      <c r="W832" s="1" t="s">
        <v>40</v>
      </c>
      <c r="Y832" s="1" t="s">
        <v>40</v>
      </c>
      <c r="Z832" s="1" t="n">
        <v>0</v>
      </c>
      <c r="AA832" s="1" t="str">
        <f aca="false">TRIM(PROPER(F832))</f>
        <v>Madurai</v>
      </c>
      <c r="AB832" s="1" t="str">
        <f aca="false">TRIM(PROPER(C832))</f>
        <v>Unacademy</v>
      </c>
      <c r="AC832" s="1" t="str">
        <f aca="false">IF(O832=0,"No Discount",IF(O832&lt;=15,"Low (1-15%)",IF(O832&lt;=30,"Medium (16-30%)","High (&gt;30%)")))</f>
        <v>No Discount</v>
      </c>
      <c r="AD832" s="1" t="str">
        <f aca="false">IF(V832&lt;0,"Loss Making",IF(V832&lt;20,"Low Margin","Healthy Margin"))</f>
        <v>Healthy Margin</v>
      </c>
      <c r="AE832" s="1" t="str">
        <f aca="false">TEXT(DATE(VALUE(RIGHT(B832,4)),VALUE(MID(B832,4,2)),VALUE(LEFT(B832,2))),"MMM-YYYY")</f>
        <v>Aug-2023</v>
      </c>
      <c r="AF832" s="1" t="n">
        <f aca="false">VALUE(RIGHT(B832,4))</f>
        <v>2023</v>
      </c>
      <c r="AG832" s="1" t="str">
        <f aca="false">CHOOSE(ROUNDUP(VALUE(MID(B832,4,2))/3,0),"Q1","Q2","Q3","Q4")</f>
        <v>Q3</v>
      </c>
    </row>
    <row r="833" customFormat="false" ht="15" hidden="false" customHeight="true" outlineLevel="0" collapsed="false">
      <c r="A833" s="1" t="s">
        <v>1501</v>
      </c>
      <c r="B833" s="1" t="s">
        <v>692</v>
      </c>
      <c r="C833" s="1" t="s">
        <v>167</v>
      </c>
      <c r="D833" s="1" t="s">
        <v>143</v>
      </c>
      <c r="E833" s="1" t="s">
        <v>243</v>
      </c>
      <c r="F833" s="1" t="s">
        <v>140</v>
      </c>
      <c r="G833" s="1" t="s">
        <v>97</v>
      </c>
      <c r="H833" s="1" t="s">
        <v>57</v>
      </c>
      <c r="I833" s="1" t="s">
        <v>34</v>
      </c>
      <c r="J833" s="1" t="s">
        <v>131</v>
      </c>
      <c r="K833" s="1" t="s">
        <v>36</v>
      </c>
      <c r="L833" s="1" t="s">
        <v>136</v>
      </c>
      <c r="M833" s="1" t="s">
        <v>50</v>
      </c>
      <c r="N833" s="1" t="n">
        <v>22999</v>
      </c>
      <c r="O833" s="1" t="n">
        <v>0</v>
      </c>
      <c r="P833" s="1" t="n">
        <v>0</v>
      </c>
      <c r="Q833" s="1" t="n">
        <v>22999</v>
      </c>
      <c r="R833" s="1" t="n">
        <v>4139.82</v>
      </c>
      <c r="S833" s="1" t="n">
        <v>18859.18</v>
      </c>
      <c r="T833" s="1" t="n">
        <v>8015.73</v>
      </c>
      <c r="U833" s="1" t="n">
        <v>10843.45</v>
      </c>
      <c r="V833" s="1" t="n">
        <v>57.5</v>
      </c>
      <c r="W833" s="1" t="s">
        <v>39</v>
      </c>
      <c r="X833" s="1" t="n">
        <v>3</v>
      </c>
      <c r="Y833" s="1" t="s">
        <v>40</v>
      </c>
      <c r="Z833" s="1" t="n">
        <v>1</v>
      </c>
      <c r="AA833" s="1" t="str">
        <f aca="false">TRIM(PROPER(F833))</f>
        <v>Nashik</v>
      </c>
      <c r="AB833" s="1" t="str">
        <f aca="false">TRIM(PROPER(C833))</f>
        <v>Scaler</v>
      </c>
      <c r="AC833" s="1" t="str">
        <f aca="false">IF(O833=0,"No Discount",IF(O833&lt;=15,"Low (1-15%)",IF(O833&lt;=30,"Medium (16-30%)","High (&gt;30%)")))</f>
        <v>No Discount</v>
      </c>
      <c r="AD833" s="1" t="str">
        <f aca="false">IF(V833&lt;0,"Loss Making",IF(V833&lt;20,"Low Margin","Healthy Margin"))</f>
        <v>Healthy Margin</v>
      </c>
      <c r="AE833" s="1" t="str">
        <f aca="false">TEXT(DATE(VALUE(RIGHT(B833,4)),VALUE(MID(B833,4,2)),VALUE(LEFT(B833,2))),"MMM-YYYY")</f>
        <v>Jan-2024</v>
      </c>
      <c r="AF833" s="1" t="n">
        <f aca="false">VALUE(RIGHT(B833,4))</f>
        <v>2024</v>
      </c>
      <c r="AG833" s="1" t="str">
        <f aca="false">CHOOSE(ROUNDUP(VALUE(MID(B833,4,2))/3,0),"Q1","Q2","Q3","Q4")</f>
        <v>Q1</v>
      </c>
    </row>
    <row r="834" customFormat="false" ht="15" hidden="false" customHeight="true" outlineLevel="0" collapsed="false">
      <c r="A834" s="1" t="s">
        <v>1502</v>
      </c>
      <c r="B834" s="1" t="s">
        <v>487</v>
      </c>
      <c r="C834" s="1" t="s">
        <v>88</v>
      </c>
      <c r="D834" s="1" t="s">
        <v>29</v>
      </c>
      <c r="E834" s="1" t="s">
        <v>129</v>
      </c>
      <c r="F834" s="1" t="s">
        <v>140</v>
      </c>
      <c r="G834" s="1" t="s">
        <v>97</v>
      </c>
      <c r="H834" s="1" t="s">
        <v>57</v>
      </c>
      <c r="I834" s="1" t="s">
        <v>34</v>
      </c>
      <c r="J834" s="1" t="s">
        <v>70</v>
      </c>
      <c r="K834" s="1" t="s">
        <v>36</v>
      </c>
      <c r="L834" s="1" t="s">
        <v>113</v>
      </c>
      <c r="M834" s="1" t="s">
        <v>62</v>
      </c>
      <c r="N834" s="1" t="n">
        <v>29999</v>
      </c>
      <c r="O834" s="1" t="n">
        <v>0</v>
      </c>
      <c r="P834" s="1" t="n">
        <v>0</v>
      </c>
      <c r="Q834" s="1" t="n">
        <v>29999</v>
      </c>
      <c r="R834" s="1" t="n">
        <v>5399.82</v>
      </c>
      <c r="S834" s="1" t="n">
        <v>24599.18</v>
      </c>
      <c r="T834" s="1" t="n">
        <v>10957.07</v>
      </c>
      <c r="U834" s="1" t="n">
        <v>13642.11</v>
      </c>
      <c r="V834" s="1" t="n">
        <v>55.46</v>
      </c>
      <c r="W834" s="1" t="s">
        <v>40</v>
      </c>
      <c r="Y834" s="1" t="s">
        <v>40</v>
      </c>
      <c r="Z834" s="1" t="n">
        <v>1</v>
      </c>
      <c r="AA834" s="1" t="str">
        <f aca="false">TRIM(PROPER(F834))</f>
        <v>Nashik</v>
      </c>
      <c r="AB834" s="1" t="str">
        <f aca="false">TRIM(PROPER(C834))</f>
        <v>Byju'S</v>
      </c>
      <c r="AC834" s="1" t="str">
        <f aca="false">IF(O834=0,"No Discount",IF(O834&lt;=15,"Low (1-15%)",IF(O834&lt;=30,"Medium (16-30%)","High (&gt;30%)")))</f>
        <v>No Discount</v>
      </c>
      <c r="AD834" s="1" t="str">
        <f aca="false">IF(V834&lt;0,"Loss Making",IF(V834&lt;20,"Low Margin","Healthy Margin"))</f>
        <v>Healthy Margin</v>
      </c>
      <c r="AE834" s="1" t="str">
        <f aca="false">TEXT(DATE(VALUE(RIGHT(B834,4)),VALUE(MID(B834,4,2)),VALUE(LEFT(B834,2))),"MMM-YYYY")</f>
        <v>Mar-2023</v>
      </c>
      <c r="AF834" s="1" t="n">
        <f aca="false">VALUE(RIGHT(B834,4))</f>
        <v>2023</v>
      </c>
      <c r="AG834" s="1" t="str">
        <f aca="false">CHOOSE(ROUNDUP(VALUE(MID(B834,4,2))/3,0),"Q1","Q2","Q3","Q4")</f>
        <v>Q1</v>
      </c>
    </row>
    <row r="835" customFormat="false" ht="15" hidden="false" customHeight="true" outlineLevel="0" collapsed="false">
      <c r="A835" s="1" t="s">
        <v>1503</v>
      </c>
      <c r="B835" s="1" t="s">
        <v>1300</v>
      </c>
      <c r="C835" s="1" t="s">
        <v>139</v>
      </c>
      <c r="D835" s="1" t="s">
        <v>80</v>
      </c>
      <c r="E835" s="1" t="s">
        <v>190</v>
      </c>
      <c r="F835" s="1" t="s">
        <v>107</v>
      </c>
      <c r="G835" s="1" t="s">
        <v>108</v>
      </c>
      <c r="H835" s="1" t="s">
        <v>33</v>
      </c>
      <c r="I835" s="1" t="s">
        <v>58</v>
      </c>
      <c r="J835" s="1" t="s">
        <v>131</v>
      </c>
      <c r="K835" s="1" t="s">
        <v>48</v>
      </c>
      <c r="L835" s="1" t="s">
        <v>136</v>
      </c>
      <c r="M835" s="1" t="s">
        <v>38</v>
      </c>
      <c r="N835" s="1" t="n">
        <v>15999</v>
      </c>
      <c r="O835" s="1" t="n">
        <v>0</v>
      </c>
      <c r="P835" s="1" t="n">
        <v>0</v>
      </c>
      <c r="Q835" s="1" t="n">
        <v>15999</v>
      </c>
      <c r="R835" s="1" t="n">
        <v>2879.82</v>
      </c>
      <c r="S835" s="1" t="n">
        <v>13119.18</v>
      </c>
      <c r="T835" s="1" t="n">
        <v>5703.42</v>
      </c>
      <c r="U835" s="1" t="n">
        <v>7415.76</v>
      </c>
      <c r="V835" s="1" t="n">
        <v>56.53</v>
      </c>
      <c r="W835" s="1" t="s">
        <v>40</v>
      </c>
      <c r="Y835" s="1" t="s">
        <v>39</v>
      </c>
      <c r="Z835" s="1" t="n">
        <v>0</v>
      </c>
      <c r="AA835" s="1" t="str">
        <f aca="false">TRIM(PROPER(F835))</f>
        <v>Madurai</v>
      </c>
      <c r="AB835" s="1" t="str">
        <f aca="false">TRIM(PROPER(C835))</f>
        <v>Extramarks</v>
      </c>
      <c r="AC835" s="1" t="str">
        <f aca="false">IF(O835=0,"No Discount",IF(O835&lt;=15,"Low (1-15%)",IF(O835&lt;=30,"Medium (16-30%)","High (&gt;30%)")))</f>
        <v>No Discount</v>
      </c>
      <c r="AD835" s="1" t="str">
        <f aca="false">IF(V835&lt;0,"Loss Making",IF(V835&lt;20,"Low Margin","Healthy Margin"))</f>
        <v>Healthy Margin</v>
      </c>
      <c r="AE835" s="1" t="str">
        <f aca="false">TEXT(DATE(VALUE(RIGHT(B835,4)),VALUE(MID(B835,4,2)),VALUE(LEFT(B835,2))),"MMM-YYYY")</f>
        <v>Aug-2023</v>
      </c>
      <c r="AF835" s="1" t="n">
        <f aca="false">VALUE(RIGHT(B835,4))</f>
        <v>2023</v>
      </c>
      <c r="AG835" s="1" t="str">
        <f aca="false">CHOOSE(ROUNDUP(VALUE(MID(B835,4,2))/3,0),"Q1","Q2","Q3","Q4")</f>
        <v>Q3</v>
      </c>
    </row>
    <row r="836" customFormat="false" ht="15" hidden="false" customHeight="true" outlineLevel="0" collapsed="false">
      <c r="A836" s="1" t="s">
        <v>1504</v>
      </c>
      <c r="B836" s="1" t="s">
        <v>207</v>
      </c>
      <c r="C836" s="1" t="s">
        <v>167</v>
      </c>
      <c r="D836" s="1" t="s">
        <v>44</v>
      </c>
      <c r="E836" s="1" t="s">
        <v>66</v>
      </c>
      <c r="F836" s="1" t="s">
        <v>194</v>
      </c>
      <c r="G836" s="1" t="s">
        <v>103</v>
      </c>
      <c r="H836" s="1" t="s">
        <v>69</v>
      </c>
      <c r="I836" s="1" t="s">
        <v>58</v>
      </c>
      <c r="J836" s="1" t="s">
        <v>35</v>
      </c>
      <c r="K836" s="1" t="s">
        <v>71</v>
      </c>
      <c r="L836" s="1" t="s">
        <v>136</v>
      </c>
      <c r="M836" s="1" t="s">
        <v>50</v>
      </c>
      <c r="N836" s="1" t="n">
        <v>12999</v>
      </c>
      <c r="O836" s="1" t="n">
        <v>30</v>
      </c>
      <c r="P836" s="1" t="n">
        <v>3899.7</v>
      </c>
      <c r="Q836" s="1" t="n">
        <v>9099.3</v>
      </c>
      <c r="R836" s="1" t="n">
        <v>1637.87</v>
      </c>
      <c r="S836" s="1" t="n">
        <v>7461.43</v>
      </c>
      <c r="T836" s="1" t="n">
        <v>3458.42</v>
      </c>
      <c r="U836" s="1" t="n">
        <v>4003.01</v>
      </c>
      <c r="V836" s="1" t="n">
        <v>53.65</v>
      </c>
      <c r="W836" s="1" t="s">
        <v>40</v>
      </c>
      <c r="Y836" s="1" t="s">
        <v>39</v>
      </c>
      <c r="Z836" s="1" t="n">
        <v>1</v>
      </c>
      <c r="AA836" s="1" t="str">
        <f aca="false">TRIM(PROPER(F836))</f>
        <v>Hyderabad</v>
      </c>
      <c r="AB836" s="1" t="str">
        <f aca="false">TRIM(PROPER(C836))</f>
        <v>Scaler</v>
      </c>
      <c r="AC836" s="1" t="str">
        <f aca="false">IF(O836=0,"No Discount",IF(O836&lt;=15,"Low (1-15%)",IF(O836&lt;=30,"Medium (16-30%)","High (&gt;30%)")))</f>
        <v>Medium (16-30%)</v>
      </c>
      <c r="AD836" s="1" t="str">
        <f aca="false">IF(V836&lt;0,"Loss Making",IF(V836&lt;20,"Low Margin","Healthy Margin"))</f>
        <v>Healthy Margin</v>
      </c>
      <c r="AE836" s="1" t="str">
        <f aca="false">TEXT(DATE(VALUE(RIGHT(B836,4)),VALUE(MID(B836,4,2)),VALUE(LEFT(B836,2))),"MMM-YYYY")</f>
        <v>Dec-2023</v>
      </c>
      <c r="AF836" s="1" t="n">
        <f aca="false">VALUE(RIGHT(B836,4))</f>
        <v>2023</v>
      </c>
      <c r="AG836" s="1" t="str">
        <f aca="false">CHOOSE(ROUNDUP(VALUE(MID(B836,4,2))/3,0),"Q1","Q2","Q3","Q4")</f>
        <v>Q4</v>
      </c>
    </row>
    <row r="837" customFormat="false" ht="15" hidden="false" customHeight="true" outlineLevel="0" collapsed="false">
      <c r="A837" s="1" t="s">
        <v>1505</v>
      </c>
      <c r="B837" s="1" t="s">
        <v>1355</v>
      </c>
      <c r="C837" s="1" t="s">
        <v>128</v>
      </c>
      <c r="D837" s="1" t="s">
        <v>44</v>
      </c>
      <c r="E837" s="1" t="s">
        <v>221</v>
      </c>
      <c r="F837" s="1" t="s">
        <v>156</v>
      </c>
      <c r="G837" s="1" t="s">
        <v>68</v>
      </c>
      <c r="H837" s="1" t="s">
        <v>57</v>
      </c>
      <c r="I837" s="1" t="s">
        <v>34</v>
      </c>
      <c r="J837" s="1" t="s">
        <v>59</v>
      </c>
      <c r="K837" s="1" t="s">
        <v>90</v>
      </c>
      <c r="L837" s="1" t="s">
        <v>49</v>
      </c>
      <c r="M837" s="1" t="s">
        <v>38</v>
      </c>
      <c r="N837" s="1" t="n">
        <v>16999</v>
      </c>
      <c r="O837" s="1" t="n">
        <v>20</v>
      </c>
      <c r="P837" s="1" t="n">
        <v>3399.8</v>
      </c>
      <c r="Q837" s="1" t="n">
        <v>13599.2</v>
      </c>
      <c r="R837" s="1" t="n">
        <v>2447.86</v>
      </c>
      <c r="S837" s="1" t="n">
        <v>11151.34</v>
      </c>
      <c r="T837" s="1" t="n">
        <v>5534.55</v>
      </c>
      <c r="U837" s="1" t="n">
        <v>5616.79</v>
      </c>
      <c r="V837" s="1" t="n">
        <v>50.37</v>
      </c>
      <c r="W837" s="1" t="s">
        <v>39</v>
      </c>
      <c r="X837" s="1" t="n">
        <v>3.8</v>
      </c>
      <c r="Y837" s="1" t="s">
        <v>40</v>
      </c>
      <c r="Z837" s="1" t="n">
        <v>0</v>
      </c>
      <c r="AA837" s="1" t="str">
        <f aca="false">TRIM(PROPER(F837))</f>
        <v>Surat</v>
      </c>
      <c r="AB837" s="1" t="str">
        <f aca="false">TRIM(PROPER(C837))</f>
        <v>Great Learning</v>
      </c>
      <c r="AC837" s="1" t="str">
        <f aca="false">IF(O837=0,"No Discount",IF(O837&lt;=15,"Low (1-15%)",IF(O837&lt;=30,"Medium (16-30%)","High (&gt;30%)")))</f>
        <v>Medium (16-30%)</v>
      </c>
      <c r="AD837" s="1" t="str">
        <f aca="false">IF(V837&lt;0,"Loss Making",IF(V837&lt;20,"Low Margin","Healthy Margin"))</f>
        <v>Healthy Margin</v>
      </c>
      <c r="AE837" s="1" t="str">
        <f aca="false">TEXT(DATE(VALUE(RIGHT(B837,4)),VALUE(MID(B837,4,2)),VALUE(LEFT(B837,2))),"MMM-YYYY")</f>
        <v>Aug-2024</v>
      </c>
      <c r="AF837" s="1" t="n">
        <f aca="false">VALUE(RIGHT(B837,4))</f>
        <v>2024</v>
      </c>
      <c r="AG837" s="1" t="str">
        <f aca="false">CHOOSE(ROUNDUP(VALUE(MID(B837,4,2))/3,0),"Q1","Q2","Q3","Q4")</f>
        <v>Q3</v>
      </c>
    </row>
    <row r="838" customFormat="false" ht="15" hidden="false" customHeight="true" outlineLevel="0" collapsed="false">
      <c r="A838" s="1" t="s">
        <v>1506</v>
      </c>
      <c r="B838" s="1" t="s">
        <v>1507</v>
      </c>
      <c r="C838" s="1" t="s">
        <v>264</v>
      </c>
      <c r="D838" s="1" t="s">
        <v>44</v>
      </c>
      <c r="E838" s="1" t="s">
        <v>66</v>
      </c>
      <c r="F838" s="1" t="s">
        <v>269</v>
      </c>
      <c r="G838" s="1" t="s">
        <v>108</v>
      </c>
      <c r="H838" s="1" t="s">
        <v>57</v>
      </c>
      <c r="I838" s="1" t="s">
        <v>58</v>
      </c>
      <c r="J838" s="1" t="s">
        <v>77</v>
      </c>
      <c r="K838" s="1" t="s">
        <v>90</v>
      </c>
      <c r="L838" s="1" t="s">
        <v>113</v>
      </c>
      <c r="M838" s="1" t="s">
        <v>38</v>
      </c>
      <c r="N838" s="1" t="n">
        <v>12999</v>
      </c>
      <c r="O838" s="1" t="n">
        <v>10</v>
      </c>
      <c r="P838" s="1" t="n">
        <v>1299.9</v>
      </c>
      <c r="Q838" s="1" t="n">
        <v>11699.1</v>
      </c>
      <c r="R838" s="1" t="n">
        <v>2105.84</v>
      </c>
      <c r="S838" s="1" t="n">
        <v>9593.26</v>
      </c>
      <c r="T838" s="1" t="n">
        <v>4698.97</v>
      </c>
      <c r="U838" s="1" t="n">
        <v>4894.29</v>
      </c>
      <c r="V838" s="1" t="n">
        <v>51.02</v>
      </c>
      <c r="W838" s="1" t="s">
        <v>39</v>
      </c>
      <c r="X838" s="1" t="n">
        <v>3.7</v>
      </c>
      <c r="Y838" s="1" t="s">
        <v>40</v>
      </c>
      <c r="Z838" s="1" t="n">
        <v>0</v>
      </c>
      <c r="AA838" s="1" t="str">
        <f aca="false">TRIM(PROPER(F838))</f>
        <v>Coimbatore</v>
      </c>
      <c r="AB838" s="1" t="str">
        <f aca="false">TRIM(PROPER(C838))</f>
        <v>Unacademy</v>
      </c>
      <c r="AC838" s="1" t="str">
        <f aca="false">IF(O838=0,"No Discount",IF(O838&lt;=15,"Low (1-15%)",IF(O838&lt;=30,"Medium (16-30%)","High (&gt;30%)")))</f>
        <v>Low (1-15%)</v>
      </c>
      <c r="AD838" s="1" t="str">
        <f aca="false">IF(V838&lt;0,"Loss Making",IF(V838&lt;20,"Low Margin","Healthy Margin"))</f>
        <v>Healthy Margin</v>
      </c>
      <c r="AE838" s="1" t="str">
        <f aca="false">TEXT(DATE(VALUE(RIGHT(B838,4)),VALUE(MID(B838,4,2)),VALUE(LEFT(B838,2))),"MMM-YYYY")</f>
        <v>Feb-2023</v>
      </c>
      <c r="AF838" s="1" t="n">
        <f aca="false">VALUE(RIGHT(B838,4))</f>
        <v>2023</v>
      </c>
      <c r="AG838" s="1" t="str">
        <f aca="false">CHOOSE(ROUNDUP(VALUE(MID(B838,4,2))/3,0),"Q1","Q2","Q3","Q4")</f>
        <v>Q1</v>
      </c>
    </row>
    <row r="839" customFormat="false" ht="15" hidden="false" customHeight="true" outlineLevel="0" collapsed="false">
      <c r="A839" s="1" t="s">
        <v>1508</v>
      </c>
      <c r="B839" s="1" t="s">
        <v>27</v>
      </c>
      <c r="C839" s="1" t="s">
        <v>167</v>
      </c>
      <c r="D839" s="1" t="s">
        <v>94</v>
      </c>
      <c r="E839" s="1" t="s">
        <v>95</v>
      </c>
      <c r="F839" s="1" t="s">
        <v>187</v>
      </c>
      <c r="G839" s="1" t="s">
        <v>97</v>
      </c>
      <c r="H839" s="1" t="s">
        <v>69</v>
      </c>
      <c r="I839" s="1" t="s">
        <v>34</v>
      </c>
      <c r="J839" s="1" t="s">
        <v>59</v>
      </c>
      <c r="K839" s="1" t="s">
        <v>90</v>
      </c>
      <c r="L839" s="1" t="s">
        <v>85</v>
      </c>
      <c r="M839" s="1" t="s">
        <v>50</v>
      </c>
      <c r="N839" s="1" t="n">
        <v>6999</v>
      </c>
      <c r="O839" s="1" t="n">
        <v>10</v>
      </c>
      <c r="P839" s="1" t="n">
        <v>699.9</v>
      </c>
      <c r="Q839" s="1" t="n">
        <v>6299.1</v>
      </c>
      <c r="R839" s="1" t="n">
        <v>1133.84</v>
      </c>
      <c r="S839" s="1" t="n">
        <v>5165.26</v>
      </c>
      <c r="T839" s="1" t="n">
        <v>2310</v>
      </c>
      <c r="U839" s="1" t="n">
        <v>2855.26</v>
      </c>
      <c r="V839" s="1" t="n">
        <v>55.28</v>
      </c>
      <c r="W839" s="1" t="s">
        <v>40</v>
      </c>
      <c r="Y839" s="1" t="s">
        <v>40</v>
      </c>
      <c r="Z839" s="1" t="n">
        <v>0</v>
      </c>
      <c r="AA839" s="1" t="str">
        <f aca="false">TRIM(PROPER(F839))</f>
        <v>Mumbai</v>
      </c>
      <c r="AB839" s="1" t="str">
        <f aca="false">TRIM(PROPER(C839))</f>
        <v>Scaler</v>
      </c>
      <c r="AC839" s="1" t="str">
        <f aca="false">IF(O839=0,"No Discount",IF(O839&lt;=15,"Low (1-15%)",IF(O839&lt;=30,"Medium (16-30%)","High (&gt;30%)")))</f>
        <v>Low (1-15%)</v>
      </c>
      <c r="AD839" s="1" t="str">
        <f aca="false">IF(V839&lt;0,"Loss Making",IF(V839&lt;20,"Low Margin","Healthy Margin"))</f>
        <v>Healthy Margin</v>
      </c>
      <c r="AE839" s="1" t="str">
        <f aca="false">TEXT(DATE(VALUE(RIGHT(B839,4)),VALUE(MID(B839,4,2)),VALUE(LEFT(B839,2))),"MMM-YYYY")</f>
        <v>Nov-2023</v>
      </c>
      <c r="AF839" s="1" t="n">
        <f aca="false">VALUE(RIGHT(B839,4))</f>
        <v>2023</v>
      </c>
      <c r="AG839" s="1" t="str">
        <f aca="false">CHOOSE(ROUNDUP(VALUE(MID(B839,4,2))/3,0),"Q1","Q2","Q3","Q4")</f>
        <v>Q4</v>
      </c>
    </row>
    <row r="840" customFormat="false" ht="15" hidden="false" customHeight="true" outlineLevel="0" collapsed="false">
      <c r="A840" s="1" t="s">
        <v>1509</v>
      </c>
      <c r="B840" s="1" t="s">
        <v>1510</v>
      </c>
      <c r="C840" s="1" t="s">
        <v>93</v>
      </c>
      <c r="D840" s="1" t="s">
        <v>44</v>
      </c>
      <c r="E840" s="1" t="s">
        <v>221</v>
      </c>
      <c r="F840" s="1" t="s">
        <v>153</v>
      </c>
      <c r="G840" s="1" t="s">
        <v>76</v>
      </c>
      <c r="H840" s="1" t="s">
        <v>33</v>
      </c>
      <c r="I840" s="1" t="s">
        <v>34</v>
      </c>
      <c r="J840" s="1" t="s">
        <v>131</v>
      </c>
      <c r="K840" s="1" t="s">
        <v>112</v>
      </c>
      <c r="L840" s="1" t="s">
        <v>49</v>
      </c>
      <c r="M840" s="1" t="s">
        <v>50</v>
      </c>
      <c r="N840" s="1" t="n">
        <v>16999</v>
      </c>
      <c r="O840" s="1" t="n">
        <v>50</v>
      </c>
      <c r="P840" s="1" t="n">
        <v>8499.5</v>
      </c>
      <c r="Q840" s="1" t="n">
        <v>8499.5</v>
      </c>
      <c r="R840" s="1" t="n">
        <v>1529.91</v>
      </c>
      <c r="S840" s="1" t="n">
        <v>6969.59</v>
      </c>
      <c r="T840" s="1" t="n">
        <v>3736.26</v>
      </c>
      <c r="U840" s="1" t="n">
        <v>3233.33</v>
      </c>
      <c r="V840" s="1" t="n">
        <v>46.39</v>
      </c>
      <c r="W840" s="1" t="s">
        <v>39</v>
      </c>
      <c r="X840" s="1" t="n">
        <v>2.9</v>
      </c>
      <c r="Y840" s="1" t="s">
        <v>40</v>
      </c>
      <c r="Z840" s="1" t="n">
        <v>0</v>
      </c>
      <c r="AA840" s="1" t="str">
        <f aca="false">TRIM(PROPER(F840))</f>
        <v>Howrah</v>
      </c>
      <c r="AB840" s="1" t="str">
        <f aca="false">TRIM(PROPER(C840))</f>
        <v>Upgrad</v>
      </c>
      <c r="AC840" s="1" t="str">
        <f aca="false">IF(O840=0,"No Discount",IF(O840&lt;=15,"Low (1-15%)",IF(O840&lt;=30,"Medium (16-30%)","High (&gt;30%)")))</f>
        <v>High (&gt;30%)</v>
      </c>
      <c r="AD840" s="1" t="str">
        <f aca="false">IF(V840&lt;0,"Loss Making",IF(V840&lt;20,"Low Margin","Healthy Margin"))</f>
        <v>Healthy Margin</v>
      </c>
      <c r="AE840" s="1" t="str">
        <f aca="false">TEXT(DATE(VALUE(RIGHT(B840,4)),VALUE(MID(B840,4,2)),VALUE(LEFT(B840,2))),"MMM-YYYY")</f>
        <v>Nov-2024</v>
      </c>
      <c r="AF840" s="1" t="n">
        <f aca="false">VALUE(RIGHT(B840,4))</f>
        <v>2024</v>
      </c>
      <c r="AG840" s="1" t="str">
        <f aca="false">CHOOSE(ROUNDUP(VALUE(MID(B840,4,2))/3,0),"Q1","Q2","Q3","Q4")</f>
        <v>Q4</v>
      </c>
    </row>
    <row r="841" customFormat="false" ht="15" hidden="false" customHeight="true" outlineLevel="0" collapsed="false">
      <c r="A841" s="1" t="s">
        <v>1511</v>
      </c>
      <c r="B841" s="1" t="s">
        <v>192</v>
      </c>
      <c r="C841" s="1" t="s">
        <v>139</v>
      </c>
      <c r="D841" s="1" t="s">
        <v>44</v>
      </c>
      <c r="E841" s="1" t="s">
        <v>45</v>
      </c>
      <c r="F841" s="1" t="s">
        <v>96</v>
      </c>
      <c r="G841" s="1" t="s">
        <v>97</v>
      </c>
      <c r="H841" s="1" t="s">
        <v>69</v>
      </c>
      <c r="I841" s="1" t="s">
        <v>34</v>
      </c>
      <c r="J841" s="1" t="s">
        <v>77</v>
      </c>
      <c r="K841" s="1" t="s">
        <v>71</v>
      </c>
      <c r="L841" s="1" t="s">
        <v>49</v>
      </c>
      <c r="M841" s="1" t="s">
        <v>50</v>
      </c>
      <c r="N841" s="1" t="n">
        <v>11999</v>
      </c>
      <c r="O841" s="1" t="n">
        <v>30</v>
      </c>
      <c r="P841" s="1" t="n">
        <v>3599.7</v>
      </c>
      <c r="Q841" s="1" t="n">
        <v>8399.3</v>
      </c>
      <c r="R841" s="1" t="n">
        <v>1511.87</v>
      </c>
      <c r="S841" s="1" t="n">
        <v>6887.43</v>
      </c>
      <c r="T841" s="1" t="n">
        <v>2598.75</v>
      </c>
      <c r="U841" s="1" t="n">
        <v>4288.68</v>
      </c>
      <c r="V841" s="1" t="n">
        <v>62.27</v>
      </c>
      <c r="W841" s="1" t="s">
        <v>39</v>
      </c>
      <c r="Y841" s="1" t="s">
        <v>40</v>
      </c>
      <c r="Z841" s="1" t="n">
        <v>1</v>
      </c>
      <c r="AA841" s="1" t="str">
        <f aca="false">TRIM(PROPER(F841))</f>
        <v>Pune</v>
      </c>
      <c r="AB841" s="1" t="str">
        <f aca="false">TRIM(PROPER(C841))</f>
        <v>Extramarks</v>
      </c>
      <c r="AC841" s="1" t="str">
        <f aca="false">IF(O841=0,"No Discount",IF(O841&lt;=15,"Low (1-15%)",IF(O841&lt;=30,"Medium (16-30%)","High (&gt;30%)")))</f>
        <v>Medium (16-30%)</v>
      </c>
      <c r="AD841" s="1" t="str">
        <f aca="false">IF(V841&lt;0,"Loss Making",IF(V841&lt;20,"Low Margin","Healthy Margin"))</f>
        <v>Healthy Margin</v>
      </c>
      <c r="AE841" s="1" t="str">
        <f aca="false">TEXT(DATE(VALUE(RIGHT(B841,4)),VALUE(MID(B841,4,2)),VALUE(LEFT(B841,2))),"MMM-YYYY")</f>
        <v>Oct-2023</v>
      </c>
      <c r="AF841" s="1" t="n">
        <f aca="false">VALUE(RIGHT(B841,4))</f>
        <v>2023</v>
      </c>
      <c r="AG841" s="1" t="str">
        <f aca="false">CHOOSE(ROUNDUP(VALUE(MID(B841,4,2))/3,0),"Q1","Q2","Q3","Q4")</f>
        <v>Q4</v>
      </c>
    </row>
    <row r="842" customFormat="false" ht="15" hidden="false" customHeight="true" outlineLevel="0" collapsed="false">
      <c r="A842" s="1" t="s">
        <v>1512</v>
      </c>
      <c r="B842" s="1" t="s">
        <v>52</v>
      </c>
      <c r="C842" s="1" t="s">
        <v>65</v>
      </c>
      <c r="D842" s="1" t="s">
        <v>44</v>
      </c>
      <c r="E842" s="1" t="s">
        <v>45</v>
      </c>
      <c r="F842" s="1" t="s">
        <v>67</v>
      </c>
      <c r="G842" s="1" t="s">
        <v>68</v>
      </c>
      <c r="H842" s="1" t="s">
        <v>69</v>
      </c>
      <c r="I842" s="1" t="s">
        <v>34</v>
      </c>
      <c r="J842" s="1" t="s">
        <v>131</v>
      </c>
      <c r="K842" s="1" t="s">
        <v>84</v>
      </c>
      <c r="L842" s="1" t="s">
        <v>49</v>
      </c>
      <c r="M842" s="1" t="s">
        <v>62</v>
      </c>
      <c r="N842" s="1" t="n">
        <v>11999</v>
      </c>
      <c r="O842" s="1" t="n">
        <v>10</v>
      </c>
      <c r="P842" s="1" t="n">
        <v>1199.9</v>
      </c>
      <c r="Q842" s="1" t="n">
        <v>10799.1</v>
      </c>
      <c r="R842" s="1" t="n">
        <v>1943.84</v>
      </c>
      <c r="S842" s="1" t="n">
        <v>8855.26</v>
      </c>
      <c r="T842" s="1" t="n">
        <v>4069.51</v>
      </c>
      <c r="U842" s="1" t="n">
        <v>4785.75</v>
      </c>
      <c r="V842" s="1" t="n">
        <v>54.04</v>
      </c>
      <c r="W842" s="1" t="s">
        <v>40</v>
      </c>
      <c r="Y842" s="1" t="s">
        <v>40</v>
      </c>
      <c r="Z842" s="1" t="n">
        <v>1</v>
      </c>
      <c r="AA842" s="1" t="str">
        <f aca="false">TRIM(PROPER(F842))</f>
        <v>Ahmedabad</v>
      </c>
      <c r="AB842" s="1" t="str">
        <f aca="false">TRIM(PROPER(C842))</f>
        <v>Toppr</v>
      </c>
      <c r="AC842" s="1" t="str">
        <f aca="false">IF(O842=0,"No Discount",IF(O842&lt;=15,"Low (1-15%)",IF(O842&lt;=30,"Medium (16-30%)","High (&gt;30%)")))</f>
        <v>Low (1-15%)</v>
      </c>
      <c r="AD842" s="1" t="str">
        <f aca="false">IF(V842&lt;0,"Loss Making",IF(V842&lt;20,"Low Margin","Healthy Margin"))</f>
        <v>Healthy Margin</v>
      </c>
      <c r="AE842" s="1" t="str">
        <f aca="false">TEXT(DATE(VALUE(RIGHT(B842,4)),VALUE(MID(B842,4,2)),VALUE(LEFT(B842,2))),"MMM-YYYY")</f>
        <v>Dec-2024</v>
      </c>
      <c r="AF842" s="1" t="n">
        <f aca="false">VALUE(RIGHT(B842,4))</f>
        <v>2024</v>
      </c>
      <c r="AG842" s="1" t="str">
        <f aca="false">CHOOSE(ROUNDUP(VALUE(MID(B842,4,2))/3,0),"Q1","Q2","Q3","Q4")</f>
        <v>Q4</v>
      </c>
    </row>
    <row r="843" customFormat="false" ht="15" hidden="false" customHeight="true" outlineLevel="0" collapsed="false">
      <c r="A843" s="1" t="s">
        <v>1513</v>
      </c>
      <c r="B843" s="1" t="s">
        <v>899</v>
      </c>
      <c r="C843" s="1" t="s">
        <v>119</v>
      </c>
      <c r="D843" s="1" t="s">
        <v>29</v>
      </c>
      <c r="E843" s="1" t="s">
        <v>182</v>
      </c>
      <c r="F843" s="1" t="s">
        <v>1213</v>
      </c>
      <c r="G843" s="1" t="s">
        <v>47</v>
      </c>
      <c r="H843" s="1" t="s">
        <v>57</v>
      </c>
      <c r="I843" s="1" t="s">
        <v>58</v>
      </c>
      <c r="J843" s="1" t="s">
        <v>131</v>
      </c>
      <c r="K843" s="1" t="s">
        <v>48</v>
      </c>
      <c r="L843" s="1" t="s">
        <v>136</v>
      </c>
      <c r="M843" s="1" t="s">
        <v>62</v>
      </c>
      <c r="N843" s="1" t="n">
        <v>34999</v>
      </c>
      <c r="O843" s="1" t="n">
        <v>20</v>
      </c>
      <c r="P843" s="1" t="n">
        <v>6999.8</v>
      </c>
      <c r="Q843" s="1" t="n">
        <v>27999.2</v>
      </c>
      <c r="R843" s="1" t="n">
        <v>5039.86</v>
      </c>
      <c r="S843" s="1" t="n">
        <v>22959.34</v>
      </c>
      <c r="T843" s="1" t="n">
        <v>8683.97</v>
      </c>
      <c r="U843" s="1" t="n">
        <v>14275.37</v>
      </c>
      <c r="V843" s="1" t="n">
        <v>62.18</v>
      </c>
      <c r="W843" s="1" t="s">
        <v>39</v>
      </c>
      <c r="X843" s="1" t="n">
        <v>3.4</v>
      </c>
      <c r="Y843" s="1" t="s">
        <v>40</v>
      </c>
      <c r="Z843" s="1" t="n">
        <v>0</v>
      </c>
      <c r="AA843" s="1" t="str">
        <f aca="false">TRIM(PROPER(F843))</f>
        <v>Mysuru</v>
      </c>
      <c r="AB843" s="1" t="str">
        <f aca="false">TRIM(PROPER(C843))</f>
        <v>Simplilearn</v>
      </c>
      <c r="AC843" s="1" t="str">
        <f aca="false">IF(O843=0,"No Discount",IF(O843&lt;=15,"Low (1-15%)",IF(O843&lt;=30,"Medium (16-30%)","High (&gt;30%)")))</f>
        <v>Medium (16-30%)</v>
      </c>
      <c r="AD843" s="1" t="str">
        <f aca="false">IF(V843&lt;0,"Loss Making",IF(V843&lt;20,"Low Margin","Healthy Margin"))</f>
        <v>Healthy Margin</v>
      </c>
      <c r="AE843" s="1" t="str">
        <f aca="false">TEXT(DATE(VALUE(RIGHT(B843,4)),VALUE(MID(B843,4,2)),VALUE(LEFT(B843,2))),"MMM-YYYY")</f>
        <v>Mar-2024</v>
      </c>
      <c r="AF843" s="1" t="n">
        <f aca="false">VALUE(RIGHT(B843,4))</f>
        <v>2024</v>
      </c>
      <c r="AG843" s="1" t="str">
        <f aca="false">CHOOSE(ROUNDUP(VALUE(MID(B843,4,2))/3,0),"Q1","Q2","Q3","Q4")</f>
        <v>Q1</v>
      </c>
    </row>
    <row r="844" customFormat="false" ht="15" hidden="false" customHeight="true" outlineLevel="0" collapsed="false">
      <c r="A844" s="1" t="s">
        <v>1514</v>
      </c>
      <c r="B844" s="1" t="s">
        <v>1515</v>
      </c>
      <c r="C844" s="1" t="s">
        <v>178</v>
      </c>
      <c r="D844" s="1" t="s">
        <v>123</v>
      </c>
      <c r="E844" s="1" t="s">
        <v>233</v>
      </c>
      <c r="F844" s="1" t="s">
        <v>156</v>
      </c>
      <c r="G844" s="1" t="s">
        <v>68</v>
      </c>
      <c r="H844" s="1" t="s">
        <v>57</v>
      </c>
      <c r="I844" s="1" t="s">
        <v>34</v>
      </c>
      <c r="J844" s="1" t="s">
        <v>35</v>
      </c>
      <c r="K844" s="1" t="s">
        <v>48</v>
      </c>
      <c r="L844" s="1" t="s">
        <v>61</v>
      </c>
      <c r="M844" s="1" t="s">
        <v>62</v>
      </c>
      <c r="N844" s="1" t="n">
        <v>8999</v>
      </c>
      <c r="O844" s="1" t="n">
        <v>5</v>
      </c>
      <c r="P844" s="1" t="n">
        <v>449.95</v>
      </c>
      <c r="Q844" s="1" t="n">
        <v>8549.05</v>
      </c>
      <c r="R844" s="1" t="n">
        <v>1538.83</v>
      </c>
      <c r="S844" s="1" t="n">
        <v>7010.22</v>
      </c>
      <c r="T844" s="1" t="n">
        <v>3487.71</v>
      </c>
      <c r="U844" s="1" t="n">
        <v>3522.51</v>
      </c>
      <c r="V844" s="1" t="n">
        <v>50.25</v>
      </c>
      <c r="W844" s="1" t="s">
        <v>40</v>
      </c>
      <c r="Y844" s="1" t="s">
        <v>39</v>
      </c>
      <c r="Z844" s="1" t="n">
        <v>0</v>
      </c>
      <c r="AA844" s="1" t="str">
        <f aca="false">TRIM(PROPER(F844))</f>
        <v>Surat</v>
      </c>
      <c r="AB844" s="1" t="str">
        <f aca="false">TRIM(PROPER(C844))</f>
        <v>Leverage Edu</v>
      </c>
      <c r="AC844" s="1" t="str">
        <f aca="false">IF(O844=0,"No Discount",IF(O844&lt;=15,"Low (1-15%)",IF(O844&lt;=30,"Medium (16-30%)","High (&gt;30%)")))</f>
        <v>Low (1-15%)</v>
      </c>
      <c r="AD844" s="1" t="str">
        <f aca="false">IF(V844&lt;0,"Loss Making",IF(V844&lt;20,"Low Margin","Healthy Margin"))</f>
        <v>Healthy Margin</v>
      </c>
      <c r="AE844" s="1" t="str">
        <f aca="false">TEXT(DATE(VALUE(RIGHT(B844,4)),VALUE(MID(B844,4,2)),VALUE(LEFT(B844,2))),"MMM-YYYY")</f>
        <v>Oct-2023</v>
      </c>
      <c r="AF844" s="1" t="n">
        <f aca="false">VALUE(RIGHT(B844,4))</f>
        <v>2023</v>
      </c>
      <c r="AG844" s="1" t="str">
        <f aca="false">CHOOSE(ROUNDUP(VALUE(MID(B844,4,2))/3,0),"Q1","Q2","Q3","Q4")</f>
        <v>Q4</v>
      </c>
    </row>
    <row r="845" customFormat="false" ht="15" hidden="false" customHeight="true" outlineLevel="0" collapsed="false">
      <c r="A845" s="1" t="s">
        <v>1516</v>
      </c>
      <c r="B845" s="1" t="s">
        <v>918</v>
      </c>
      <c r="C845" s="1" t="s">
        <v>93</v>
      </c>
      <c r="D845" s="1" t="s">
        <v>143</v>
      </c>
      <c r="E845" s="1" t="s">
        <v>210</v>
      </c>
      <c r="F845" s="1" t="s">
        <v>269</v>
      </c>
      <c r="G845" s="1" t="s">
        <v>108</v>
      </c>
      <c r="H845" s="1" t="s">
        <v>57</v>
      </c>
      <c r="I845" s="1" t="s">
        <v>34</v>
      </c>
      <c r="J845" s="1" t="s">
        <v>70</v>
      </c>
      <c r="K845" s="1" t="s">
        <v>36</v>
      </c>
      <c r="L845" s="1" t="s">
        <v>136</v>
      </c>
      <c r="M845" s="1" t="s">
        <v>50</v>
      </c>
      <c r="N845" s="1" t="n">
        <v>18999</v>
      </c>
      <c r="O845" s="1" t="n">
        <v>10</v>
      </c>
      <c r="P845" s="1" t="n">
        <v>1899.9</v>
      </c>
      <c r="Q845" s="1" t="n">
        <v>17099.1</v>
      </c>
      <c r="R845" s="1" t="n">
        <v>3077.84</v>
      </c>
      <c r="S845" s="1" t="n">
        <v>14021.26</v>
      </c>
      <c r="T845" s="1" t="n">
        <v>4276.83</v>
      </c>
      <c r="U845" s="1" t="n">
        <v>9744.43</v>
      </c>
      <c r="V845" s="1" t="n">
        <v>69.5</v>
      </c>
      <c r="W845" s="1" t="s">
        <v>40</v>
      </c>
      <c r="Y845" s="1" t="s">
        <v>39</v>
      </c>
      <c r="Z845" s="1" t="n">
        <v>3</v>
      </c>
      <c r="AA845" s="1" t="str">
        <f aca="false">TRIM(PROPER(F845))</f>
        <v>Coimbatore</v>
      </c>
      <c r="AB845" s="1" t="str">
        <f aca="false">TRIM(PROPER(C845))</f>
        <v>Upgrad</v>
      </c>
      <c r="AC845" s="1" t="str">
        <f aca="false">IF(O845=0,"No Discount",IF(O845&lt;=15,"Low (1-15%)",IF(O845&lt;=30,"Medium (16-30%)","High (&gt;30%)")))</f>
        <v>Low (1-15%)</v>
      </c>
      <c r="AD845" s="1" t="str">
        <f aca="false">IF(V845&lt;0,"Loss Making",IF(V845&lt;20,"Low Margin","Healthy Margin"))</f>
        <v>Healthy Margin</v>
      </c>
      <c r="AE845" s="1" t="str">
        <f aca="false">TEXT(DATE(VALUE(RIGHT(B845,4)),VALUE(MID(B845,4,2)),VALUE(LEFT(B845,2))),"MMM-YYYY")</f>
        <v>Feb-2024</v>
      </c>
      <c r="AF845" s="1" t="n">
        <f aca="false">VALUE(RIGHT(B845,4))</f>
        <v>2024</v>
      </c>
      <c r="AG845" s="1" t="str">
        <f aca="false">CHOOSE(ROUNDUP(VALUE(MID(B845,4,2))/3,0),"Q1","Q2","Q3","Q4")</f>
        <v>Q1</v>
      </c>
    </row>
    <row r="846" customFormat="false" ht="15" hidden="false" customHeight="true" outlineLevel="0" collapsed="false">
      <c r="A846" s="1" t="s">
        <v>1517</v>
      </c>
      <c r="B846" s="1" t="s">
        <v>849</v>
      </c>
      <c r="C846" s="1" t="s">
        <v>119</v>
      </c>
      <c r="D846" s="1" t="s">
        <v>123</v>
      </c>
      <c r="E846" s="1" t="s">
        <v>147</v>
      </c>
      <c r="F846" s="1" t="s">
        <v>140</v>
      </c>
      <c r="G846" s="1" t="s">
        <v>97</v>
      </c>
      <c r="H846" s="1" t="s">
        <v>57</v>
      </c>
      <c r="I846" s="1" t="s">
        <v>83</v>
      </c>
      <c r="J846" s="1" t="s">
        <v>77</v>
      </c>
      <c r="K846" s="1" t="s">
        <v>90</v>
      </c>
      <c r="L846" s="1" t="s">
        <v>61</v>
      </c>
      <c r="M846" s="1" t="s">
        <v>62</v>
      </c>
      <c r="N846" s="1" t="n">
        <v>6999</v>
      </c>
      <c r="O846" s="1" t="n">
        <v>5</v>
      </c>
      <c r="P846" s="1" t="n">
        <v>349.95</v>
      </c>
      <c r="Q846" s="1" t="n">
        <v>6649.05</v>
      </c>
      <c r="R846" s="1" t="n">
        <v>1196.83</v>
      </c>
      <c r="S846" s="1" t="n">
        <v>5452.22</v>
      </c>
      <c r="T846" s="1" t="n">
        <v>2084.79</v>
      </c>
      <c r="U846" s="1" t="n">
        <v>3367.43</v>
      </c>
      <c r="V846" s="1" t="n">
        <v>61.76</v>
      </c>
      <c r="W846" s="1" t="s">
        <v>39</v>
      </c>
      <c r="X846" s="1" t="n">
        <v>3.6</v>
      </c>
      <c r="Y846" s="1" t="s">
        <v>40</v>
      </c>
      <c r="Z846" s="1" t="n">
        <v>0</v>
      </c>
      <c r="AA846" s="1" t="str">
        <f aca="false">TRIM(PROPER(F846))</f>
        <v>Nashik</v>
      </c>
      <c r="AB846" s="1" t="str">
        <f aca="false">TRIM(PROPER(C846))</f>
        <v>Simplilearn</v>
      </c>
      <c r="AC846" s="1" t="str">
        <f aca="false">IF(O846=0,"No Discount",IF(O846&lt;=15,"Low (1-15%)",IF(O846&lt;=30,"Medium (16-30%)","High (&gt;30%)")))</f>
        <v>Low (1-15%)</v>
      </c>
      <c r="AD846" s="1" t="str">
        <f aca="false">IF(V846&lt;0,"Loss Making",IF(V846&lt;20,"Low Margin","Healthy Margin"))</f>
        <v>Healthy Margin</v>
      </c>
      <c r="AE846" s="1" t="str">
        <f aca="false">TEXT(DATE(VALUE(RIGHT(B846,4)),VALUE(MID(B846,4,2)),VALUE(LEFT(B846,2))),"MMM-YYYY")</f>
        <v>Apr-2024</v>
      </c>
      <c r="AF846" s="1" t="n">
        <f aca="false">VALUE(RIGHT(B846,4))</f>
        <v>2024</v>
      </c>
      <c r="AG846" s="1" t="str">
        <f aca="false">CHOOSE(ROUNDUP(VALUE(MID(B846,4,2))/3,0),"Q1","Q2","Q3","Q4")</f>
        <v>Q2</v>
      </c>
    </row>
    <row r="847" customFormat="false" ht="15" hidden="false" customHeight="true" outlineLevel="0" collapsed="false">
      <c r="A847" s="1" t="s">
        <v>1518</v>
      </c>
      <c r="B847" s="1" t="s">
        <v>371</v>
      </c>
      <c r="C847" s="1" t="s">
        <v>65</v>
      </c>
      <c r="D847" s="1" t="s">
        <v>53</v>
      </c>
      <c r="E847" s="1" t="s">
        <v>116</v>
      </c>
      <c r="F847" s="1" t="s">
        <v>96</v>
      </c>
      <c r="G847" s="1" t="s">
        <v>97</v>
      </c>
      <c r="H847" s="1" t="s">
        <v>69</v>
      </c>
      <c r="I847" s="1" t="s">
        <v>58</v>
      </c>
      <c r="J847" s="1" t="s">
        <v>70</v>
      </c>
      <c r="K847" s="1" t="s">
        <v>48</v>
      </c>
      <c r="L847" s="1" t="s">
        <v>136</v>
      </c>
      <c r="M847" s="1" t="s">
        <v>50</v>
      </c>
      <c r="N847" s="1" t="n">
        <v>9999</v>
      </c>
      <c r="O847" s="1" t="n">
        <v>0</v>
      </c>
      <c r="P847" s="1" t="n">
        <v>0</v>
      </c>
      <c r="Q847" s="1" t="n">
        <v>9999</v>
      </c>
      <c r="R847" s="1" t="n">
        <v>1799.82</v>
      </c>
      <c r="S847" s="1" t="n">
        <v>8199.18</v>
      </c>
      <c r="T847" s="1" t="n">
        <v>3535.05</v>
      </c>
      <c r="U847" s="1" t="n">
        <v>4664.13</v>
      </c>
      <c r="V847" s="1" t="n">
        <v>56.89</v>
      </c>
      <c r="W847" s="1" t="s">
        <v>39</v>
      </c>
      <c r="X847" s="1" t="n">
        <v>4</v>
      </c>
      <c r="Y847" s="1" t="s">
        <v>40</v>
      </c>
      <c r="Z847" s="1" t="n">
        <v>0</v>
      </c>
      <c r="AA847" s="1" t="str">
        <f aca="false">TRIM(PROPER(F847))</f>
        <v>Pune</v>
      </c>
      <c r="AB847" s="1" t="str">
        <f aca="false">TRIM(PROPER(C847))</f>
        <v>Toppr</v>
      </c>
      <c r="AC847" s="1" t="str">
        <f aca="false">IF(O847=0,"No Discount",IF(O847&lt;=15,"Low (1-15%)",IF(O847&lt;=30,"Medium (16-30%)","High (&gt;30%)")))</f>
        <v>No Discount</v>
      </c>
      <c r="AD847" s="1" t="str">
        <f aca="false">IF(V847&lt;0,"Loss Making",IF(V847&lt;20,"Low Margin","Healthy Margin"))</f>
        <v>Healthy Margin</v>
      </c>
      <c r="AE847" s="1" t="str">
        <f aca="false">TEXT(DATE(VALUE(RIGHT(B847,4)),VALUE(MID(B847,4,2)),VALUE(LEFT(B847,2))),"MMM-YYYY")</f>
        <v>Jan-2023</v>
      </c>
      <c r="AF847" s="1" t="n">
        <f aca="false">VALUE(RIGHT(B847,4))</f>
        <v>2023</v>
      </c>
      <c r="AG847" s="1" t="str">
        <f aca="false">CHOOSE(ROUNDUP(VALUE(MID(B847,4,2))/3,0),"Q1","Q2","Q3","Q4")</f>
        <v>Q1</v>
      </c>
    </row>
    <row r="848" customFormat="false" ht="15" hidden="false" customHeight="true" outlineLevel="0" collapsed="false">
      <c r="A848" s="1" t="s">
        <v>1519</v>
      </c>
      <c r="B848" s="1" t="s">
        <v>215</v>
      </c>
      <c r="C848" s="1" t="s">
        <v>134</v>
      </c>
      <c r="D848" s="1" t="s">
        <v>80</v>
      </c>
      <c r="E848" s="1" t="s">
        <v>81</v>
      </c>
      <c r="F848" s="1" t="s">
        <v>31</v>
      </c>
      <c r="G848" s="1" t="s">
        <v>32</v>
      </c>
      <c r="H848" s="1" t="s">
        <v>33</v>
      </c>
      <c r="I848" s="1" t="s">
        <v>83</v>
      </c>
      <c r="J848" s="1" t="s">
        <v>131</v>
      </c>
      <c r="K848" s="1" t="s">
        <v>104</v>
      </c>
      <c r="L848" s="1" t="s">
        <v>49</v>
      </c>
      <c r="M848" s="1" t="s">
        <v>38</v>
      </c>
      <c r="N848" s="1" t="n">
        <v>12999</v>
      </c>
      <c r="O848" s="1" t="n">
        <v>0</v>
      </c>
      <c r="P848" s="1" t="n">
        <v>0</v>
      </c>
      <c r="Q848" s="1" t="n">
        <v>12999</v>
      </c>
      <c r="R848" s="1" t="n">
        <v>2339.82</v>
      </c>
      <c r="S848" s="1" t="n">
        <v>10659.18</v>
      </c>
      <c r="T848" s="1" t="n">
        <v>6252.07</v>
      </c>
      <c r="U848" s="1" t="n">
        <v>4407.11</v>
      </c>
      <c r="V848" s="1" t="n">
        <v>41.35</v>
      </c>
      <c r="W848" s="1" t="s">
        <v>39</v>
      </c>
      <c r="X848" s="1" t="n">
        <v>4.3</v>
      </c>
      <c r="Y848" s="1" t="s">
        <v>40</v>
      </c>
      <c r="Z848" s="1" t="n">
        <v>0</v>
      </c>
      <c r="AA848" s="1" t="str">
        <f aca="false">TRIM(PROPER(F848))</f>
        <v>Jodhpur</v>
      </c>
      <c r="AB848" s="1" t="str">
        <f aca="false">TRIM(PROPER(C848))</f>
        <v>Doubtnut</v>
      </c>
      <c r="AC848" s="1" t="str">
        <f aca="false">IF(O848=0,"No Discount",IF(O848&lt;=15,"Low (1-15%)",IF(O848&lt;=30,"Medium (16-30%)","High (&gt;30%)")))</f>
        <v>No Discount</v>
      </c>
      <c r="AD848" s="1" t="str">
        <f aca="false">IF(V848&lt;0,"Loss Making",IF(V848&lt;20,"Low Margin","Healthy Margin"))</f>
        <v>Healthy Margin</v>
      </c>
      <c r="AE848" s="1" t="str">
        <f aca="false">TEXT(DATE(VALUE(RIGHT(B848,4)),VALUE(MID(B848,4,2)),VALUE(LEFT(B848,2))),"MMM-YYYY")</f>
        <v>Aug-2023</v>
      </c>
      <c r="AF848" s="1" t="n">
        <f aca="false">VALUE(RIGHT(B848,4))</f>
        <v>2023</v>
      </c>
      <c r="AG848" s="1" t="str">
        <f aca="false">CHOOSE(ROUNDUP(VALUE(MID(B848,4,2))/3,0),"Q1","Q2","Q3","Q4")</f>
        <v>Q3</v>
      </c>
    </row>
    <row r="849" customFormat="false" ht="15" hidden="false" customHeight="true" outlineLevel="0" collapsed="false">
      <c r="A849" s="1" t="s">
        <v>1520</v>
      </c>
      <c r="B849" s="1" t="s">
        <v>906</v>
      </c>
      <c r="C849" s="1" t="s">
        <v>93</v>
      </c>
      <c r="D849" s="1" t="s">
        <v>44</v>
      </c>
      <c r="E849" s="1" t="s">
        <v>66</v>
      </c>
      <c r="F849" s="1" t="s">
        <v>67</v>
      </c>
      <c r="G849" s="1" t="s">
        <v>68</v>
      </c>
      <c r="H849" s="1" t="s">
        <v>69</v>
      </c>
      <c r="I849" s="1" t="s">
        <v>83</v>
      </c>
      <c r="J849" s="1" t="s">
        <v>35</v>
      </c>
      <c r="K849" s="1" t="s">
        <v>71</v>
      </c>
      <c r="L849" s="1" t="s">
        <v>49</v>
      </c>
      <c r="M849" s="1" t="s">
        <v>38</v>
      </c>
      <c r="N849" s="1" t="n">
        <v>12999</v>
      </c>
      <c r="O849" s="1" t="n">
        <v>0</v>
      </c>
      <c r="P849" s="1" t="n">
        <v>0</v>
      </c>
      <c r="Q849" s="1" t="n">
        <v>12999</v>
      </c>
      <c r="R849" s="1" t="n">
        <v>2339.82</v>
      </c>
      <c r="S849" s="1" t="n">
        <v>10659.18</v>
      </c>
      <c r="T849" s="1" t="n">
        <v>3913.5</v>
      </c>
      <c r="U849" s="1" t="n">
        <v>6745.68</v>
      </c>
      <c r="V849" s="1" t="n">
        <v>63.29</v>
      </c>
      <c r="W849" s="1" t="s">
        <v>40</v>
      </c>
      <c r="Y849" s="1" t="s">
        <v>40</v>
      </c>
      <c r="Z849" s="1" t="n">
        <v>0</v>
      </c>
      <c r="AA849" s="1" t="str">
        <f aca="false">TRIM(PROPER(F849))</f>
        <v>Ahmedabad</v>
      </c>
      <c r="AB849" s="1" t="str">
        <f aca="false">TRIM(PROPER(C849))</f>
        <v>Upgrad</v>
      </c>
      <c r="AC849" s="1" t="str">
        <f aca="false">IF(O849=0,"No Discount",IF(O849&lt;=15,"Low (1-15%)",IF(O849&lt;=30,"Medium (16-30%)","High (&gt;30%)")))</f>
        <v>No Discount</v>
      </c>
      <c r="AD849" s="1" t="str">
        <f aca="false">IF(V849&lt;0,"Loss Making",IF(V849&lt;20,"Low Margin","Healthy Margin"))</f>
        <v>Healthy Margin</v>
      </c>
      <c r="AE849" s="1" t="str">
        <f aca="false">TEXT(DATE(VALUE(RIGHT(B849,4)),VALUE(MID(B849,4,2)),VALUE(LEFT(B849,2))),"MMM-YYYY")</f>
        <v>Sep-2023</v>
      </c>
      <c r="AF849" s="1" t="n">
        <f aca="false">VALUE(RIGHT(B849,4))</f>
        <v>2023</v>
      </c>
      <c r="AG849" s="1" t="str">
        <f aca="false">CHOOSE(ROUNDUP(VALUE(MID(B849,4,2))/3,0),"Q1","Q2","Q3","Q4")</f>
        <v>Q3</v>
      </c>
    </row>
    <row r="850" customFormat="false" ht="15" hidden="false" customHeight="true" outlineLevel="0" collapsed="false">
      <c r="A850" s="1" t="s">
        <v>1521</v>
      </c>
      <c r="B850" s="1" t="s">
        <v>1522</v>
      </c>
      <c r="C850" s="1" t="s">
        <v>43</v>
      </c>
      <c r="D850" s="1" t="s">
        <v>168</v>
      </c>
      <c r="E850" s="1" t="s">
        <v>172</v>
      </c>
      <c r="F850" s="1" t="s">
        <v>46</v>
      </c>
      <c r="G850" s="1" t="s">
        <v>47</v>
      </c>
      <c r="H850" s="1" t="s">
        <v>33</v>
      </c>
      <c r="I850" s="1" t="s">
        <v>58</v>
      </c>
      <c r="J850" s="1" t="s">
        <v>131</v>
      </c>
      <c r="K850" s="1" t="s">
        <v>60</v>
      </c>
      <c r="L850" s="1" t="s">
        <v>136</v>
      </c>
      <c r="M850" s="1" t="s">
        <v>62</v>
      </c>
      <c r="N850" s="1" t="n">
        <v>6999</v>
      </c>
      <c r="O850" s="1" t="n">
        <v>10</v>
      </c>
      <c r="P850" s="1" t="n">
        <v>699.9</v>
      </c>
      <c r="Q850" s="1" t="n">
        <v>6299.1</v>
      </c>
      <c r="R850" s="1" t="n">
        <v>1133.84</v>
      </c>
      <c r="S850" s="1" t="n">
        <v>5165.26</v>
      </c>
      <c r="T850" s="1" t="n">
        <v>2468.64</v>
      </c>
      <c r="U850" s="1" t="n">
        <v>2696.62</v>
      </c>
      <c r="V850" s="1" t="n">
        <v>52.21</v>
      </c>
      <c r="W850" s="1" t="s">
        <v>39</v>
      </c>
      <c r="X850" s="1" t="n">
        <v>3.1</v>
      </c>
      <c r="Y850" s="1" t="s">
        <v>40</v>
      </c>
      <c r="Z850" s="1" t="n">
        <v>0</v>
      </c>
      <c r="AA850" s="1" t="str">
        <f aca="false">TRIM(PROPER(F850))</f>
        <v>Mangaluru</v>
      </c>
      <c r="AB850" s="1" t="str">
        <f aca="false">TRIM(PROPER(C850))</f>
        <v>Meritnation</v>
      </c>
      <c r="AC850" s="1" t="str">
        <f aca="false">IF(O850=0,"No Discount",IF(O850&lt;=15,"Low (1-15%)",IF(O850&lt;=30,"Medium (16-30%)","High (&gt;30%)")))</f>
        <v>Low (1-15%)</v>
      </c>
      <c r="AD850" s="1" t="str">
        <f aca="false">IF(V850&lt;0,"Loss Making",IF(V850&lt;20,"Low Margin","Healthy Margin"))</f>
        <v>Healthy Margin</v>
      </c>
      <c r="AE850" s="1" t="str">
        <f aca="false">TEXT(DATE(VALUE(RIGHT(B850,4)),VALUE(MID(B850,4,2)),VALUE(LEFT(B850,2))),"MMM-YYYY")</f>
        <v>Jun-2023</v>
      </c>
      <c r="AF850" s="1" t="n">
        <f aca="false">VALUE(RIGHT(B850,4))</f>
        <v>2023</v>
      </c>
      <c r="AG850" s="1" t="str">
        <f aca="false">CHOOSE(ROUNDUP(VALUE(MID(B850,4,2))/3,0),"Q1","Q2","Q3","Q4")</f>
        <v>Q2</v>
      </c>
    </row>
    <row r="851" customFormat="false" ht="15" hidden="false" customHeight="true" outlineLevel="0" collapsed="false">
      <c r="A851" s="1" t="s">
        <v>1523</v>
      </c>
      <c r="B851" s="1" t="s">
        <v>1291</v>
      </c>
      <c r="C851" s="1" t="s">
        <v>134</v>
      </c>
      <c r="D851" s="1" t="s">
        <v>80</v>
      </c>
      <c r="E851" s="1" t="s">
        <v>193</v>
      </c>
      <c r="F851" s="1" t="s">
        <v>55</v>
      </c>
      <c r="G851" s="1" t="s">
        <v>56</v>
      </c>
      <c r="H851" s="1" t="s">
        <v>57</v>
      </c>
      <c r="I851" s="1" t="s">
        <v>34</v>
      </c>
      <c r="J851" s="1" t="s">
        <v>59</v>
      </c>
      <c r="K851" s="1" t="s">
        <v>84</v>
      </c>
      <c r="L851" s="1" t="s">
        <v>61</v>
      </c>
      <c r="M851" s="1" t="s">
        <v>62</v>
      </c>
      <c r="N851" s="1" t="n">
        <v>8999</v>
      </c>
      <c r="O851" s="1" t="n">
        <v>30</v>
      </c>
      <c r="P851" s="1" t="n">
        <v>2699.7</v>
      </c>
      <c r="Q851" s="1" t="n">
        <v>6299.3</v>
      </c>
      <c r="R851" s="1" t="n">
        <v>1133.87</v>
      </c>
      <c r="S851" s="1" t="n">
        <v>5165.43</v>
      </c>
      <c r="T851" s="1" t="n">
        <v>2501.88</v>
      </c>
      <c r="U851" s="1" t="n">
        <v>2663.55</v>
      </c>
      <c r="V851" s="1" t="n">
        <v>51.56</v>
      </c>
      <c r="W851" s="1" t="s">
        <v>40</v>
      </c>
      <c r="Y851" s="1" t="s">
        <v>40</v>
      </c>
      <c r="Z851" s="1" t="n">
        <v>2</v>
      </c>
      <c r="AA851" s="1" t="str">
        <f aca="false">TRIM(PROPER(F851))</f>
        <v>Ghaziabad</v>
      </c>
      <c r="AB851" s="1" t="str">
        <f aca="false">TRIM(PROPER(C851))</f>
        <v>Doubtnut</v>
      </c>
      <c r="AC851" s="1" t="str">
        <f aca="false">IF(O851=0,"No Discount",IF(O851&lt;=15,"Low (1-15%)",IF(O851&lt;=30,"Medium (16-30%)","High (&gt;30%)")))</f>
        <v>Medium (16-30%)</v>
      </c>
      <c r="AD851" s="1" t="str">
        <f aca="false">IF(V851&lt;0,"Loss Making",IF(V851&lt;20,"Low Margin","Healthy Margin"))</f>
        <v>Healthy Margin</v>
      </c>
      <c r="AE851" s="1" t="str">
        <f aca="false">TEXT(DATE(VALUE(RIGHT(B851,4)),VALUE(MID(B851,4,2)),VALUE(LEFT(B851,2))),"MMM-YYYY")</f>
        <v>Jun-2023</v>
      </c>
      <c r="AF851" s="1" t="n">
        <f aca="false">VALUE(RIGHT(B851,4))</f>
        <v>2023</v>
      </c>
      <c r="AG851" s="1" t="str">
        <f aca="false">CHOOSE(ROUNDUP(VALUE(MID(B851,4,2))/3,0),"Q1","Q2","Q3","Q4")</f>
        <v>Q2</v>
      </c>
    </row>
    <row r="852" customFormat="false" ht="15" hidden="false" customHeight="true" outlineLevel="0" collapsed="false">
      <c r="A852" s="1" t="s">
        <v>1524</v>
      </c>
      <c r="B852" s="1" t="s">
        <v>1525</v>
      </c>
      <c r="C852" s="1" t="s">
        <v>28</v>
      </c>
      <c r="D852" s="1" t="s">
        <v>143</v>
      </c>
      <c r="E852" s="1" t="s">
        <v>162</v>
      </c>
      <c r="F852" s="1" t="s">
        <v>140</v>
      </c>
      <c r="G852" s="1" t="s">
        <v>97</v>
      </c>
      <c r="H852" s="1" t="s">
        <v>57</v>
      </c>
      <c r="I852" s="1" t="s">
        <v>34</v>
      </c>
      <c r="J852" s="1" t="s">
        <v>131</v>
      </c>
      <c r="K852" s="1" t="s">
        <v>48</v>
      </c>
      <c r="L852" s="1" t="s">
        <v>49</v>
      </c>
      <c r="M852" s="1" t="s">
        <v>50</v>
      </c>
      <c r="N852" s="1" t="n">
        <v>14999</v>
      </c>
      <c r="O852" s="1" t="n">
        <v>0</v>
      </c>
      <c r="P852" s="1" t="n">
        <v>0</v>
      </c>
      <c r="Q852" s="1" t="n">
        <v>14999</v>
      </c>
      <c r="R852" s="1" t="n">
        <v>2699.82</v>
      </c>
      <c r="S852" s="1" t="n">
        <v>12299.18</v>
      </c>
      <c r="T852" s="1" t="n">
        <v>4611.9</v>
      </c>
      <c r="U852" s="1" t="n">
        <v>7687.28</v>
      </c>
      <c r="V852" s="1" t="n">
        <v>62.5</v>
      </c>
      <c r="W852" s="1" t="s">
        <v>39</v>
      </c>
      <c r="X852" s="1" t="n">
        <v>3.5</v>
      </c>
      <c r="Y852" s="1" t="s">
        <v>40</v>
      </c>
      <c r="Z852" s="1" t="n">
        <v>0</v>
      </c>
      <c r="AA852" s="1" t="str">
        <f aca="false">TRIM(PROPER(F852))</f>
        <v>Nashik</v>
      </c>
      <c r="AB852" s="1" t="str">
        <f aca="false">TRIM(PROPER(C852))</f>
        <v>Embibe</v>
      </c>
      <c r="AC852" s="1" t="str">
        <f aca="false">IF(O852=0,"No Discount",IF(O852&lt;=15,"Low (1-15%)",IF(O852&lt;=30,"Medium (16-30%)","High (&gt;30%)")))</f>
        <v>No Discount</v>
      </c>
      <c r="AD852" s="1" t="str">
        <f aca="false">IF(V852&lt;0,"Loss Making",IF(V852&lt;20,"Low Margin","Healthy Margin"))</f>
        <v>Healthy Margin</v>
      </c>
      <c r="AE852" s="1" t="str">
        <f aca="false">TEXT(DATE(VALUE(RIGHT(B852,4)),VALUE(MID(B852,4,2)),VALUE(LEFT(B852,2))),"MMM-YYYY")</f>
        <v>Feb-2024</v>
      </c>
      <c r="AF852" s="1" t="n">
        <f aca="false">VALUE(RIGHT(B852,4))</f>
        <v>2024</v>
      </c>
      <c r="AG852" s="1" t="str">
        <f aca="false">CHOOSE(ROUNDUP(VALUE(MID(B852,4,2))/3,0),"Q1","Q2","Q3","Q4")</f>
        <v>Q1</v>
      </c>
    </row>
    <row r="853" customFormat="false" ht="15" hidden="false" customHeight="true" outlineLevel="0" collapsed="false">
      <c r="A853" s="1" t="s">
        <v>1526</v>
      </c>
      <c r="B853" s="1" t="s">
        <v>464</v>
      </c>
      <c r="C853" s="1" t="s">
        <v>43</v>
      </c>
      <c r="D853" s="1" t="s">
        <v>44</v>
      </c>
      <c r="E853" s="1" t="s">
        <v>45</v>
      </c>
      <c r="F853" s="1" t="s">
        <v>696</v>
      </c>
      <c r="G853" s="1" t="s">
        <v>56</v>
      </c>
      <c r="H853" s="1" t="s">
        <v>69</v>
      </c>
      <c r="I853" s="1" t="s">
        <v>34</v>
      </c>
      <c r="J853" s="1" t="s">
        <v>77</v>
      </c>
      <c r="K853" s="1" t="s">
        <v>36</v>
      </c>
      <c r="L853" s="1" t="s">
        <v>49</v>
      </c>
      <c r="M853" s="1" t="s">
        <v>50</v>
      </c>
      <c r="N853" s="1" t="n">
        <v>11999</v>
      </c>
      <c r="O853" s="1" t="n">
        <v>10</v>
      </c>
      <c r="P853" s="1" t="n">
        <v>1199.9</v>
      </c>
      <c r="Q853" s="1" t="n">
        <v>10799.1</v>
      </c>
      <c r="R853" s="1" t="n">
        <v>1943.84</v>
      </c>
      <c r="S853" s="1" t="n">
        <v>8855.26</v>
      </c>
      <c r="T853" s="1" t="n">
        <v>4017.2</v>
      </c>
      <c r="U853" s="1" t="n">
        <v>4838.06</v>
      </c>
      <c r="V853" s="1" t="n">
        <v>54.63</v>
      </c>
      <c r="W853" s="1" t="s">
        <v>39</v>
      </c>
      <c r="X853" s="1" t="n">
        <v>3.3</v>
      </c>
      <c r="Y853" s="1" t="s">
        <v>40</v>
      </c>
      <c r="Z853" s="1" t="n">
        <v>0</v>
      </c>
      <c r="AA853" s="1" t="str">
        <f aca="false">TRIM(PROPER(F853))</f>
        <v>New Delhi</v>
      </c>
      <c r="AB853" s="1" t="str">
        <f aca="false">TRIM(PROPER(C853))</f>
        <v>Meritnation</v>
      </c>
      <c r="AC853" s="1" t="str">
        <f aca="false">IF(O853=0,"No Discount",IF(O853&lt;=15,"Low (1-15%)",IF(O853&lt;=30,"Medium (16-30%)","High (&gt;30%)")))</f>
        <v>Low (1-15%)</v>
      </c>
      <c r="AD853" s="1" t="str">
        <f aca="false">IF(V853&lt;0,"Loss Making",IF(V853&lt;20,"Low Margin","Healthy Margin"))</f>
        <v>Healthy Margin</v>
      </c>
      <c r="AE853" s="1" t="str">
        <f aca="false">TEXT(DATE(VALUE(RIGHT(B853,4)),VALUE(MID(B853,4,2)),VALUE(LEFT(B853,2))),"MMM-YYYY")</f>
        <v>Mar-2023</v>
      </c>
      <c r="AF853" s="1" t="n">
        <f aca="false">VALUE(RIGHT(B853,4))</f>
        <v>2023</v>
      </c>
      <c r="AG853" s="1" t="str">
        <f aca="false">CHOOSE(ROUNDUP(VALUE(MID(B853,4,2))/3,0),"Q1","Q2","Q3","Q4")</f>
        <v>Q1</v>
      </c>
    </row>
    <row r="854" customFormat="false" ht="15" hidden="false" customHeight="true" outlineLevel="0" collapsed="false">
      <c r="A854" s="1" t="s">
        <v>1527</v>
      </c>
      <c r="B854" s="1" t="s">
        <v>1528</v>
      </c>
      <c r="C854" s="1" t="s">
        <v>100</v>
      </c>
      <c r="D854" s="1" t="s">
        <v>143</v>
      </c>
      <c r="E854" s="1" t="s">
        <v>210</v>
      </c>
      <c r="F854" s="1" t="s">
        <v>211</v>
      </c>
      <c r="G854" s="1" t="s">
        <v>56</v>
      </c>
      <c r="H854" s="1" t="s">
        <v>69</v>
      </c>
      <c r="I854" s="1" t="s">
        <v>83</v>
      </c>
      <c r="J854" s="1" t="s">
        <v>131</v>
      </c>
      <c r="K854" s="1" t="s">
        <v>71</v>
      </c>
      <c r="L854" s="1" t="s">
        <v>61</v>
      </c>
      <c r="M854" s="1" t="s">
        <v>62</v>
      </c>
      <c r="N854" s="1" t="n">
        <v>18999</v>
      </c>
      <c r="O854" s="1" t="n">
        <v>25</v>
      </c>
      <c r="P854" s="1" t="n">
        <v>4749.75</v>
      </c>
      <c r="Q854" s="1" t="n">
        <v>14249.25</v>
      </c>
      <c r="R854" s="1" t="n">
        <v>2564.86</v>
      </c>
      <c r="S854" s="1" t="n">
        <v>11684.39</v>
      </c>
      <c r="T854" s="1" t="n">
        <v>4710.13</v>
      </c>
      <c r="U854" s="1" t="n">
        <v>6974.26</v>
      </c>
      <c r="V854" s="1" t="n">
        <v>59.69</v>
      </c>
      <c r="W854" s="1" t="s">
        <v>39</v>
      </c>
      <c r="X854" s="1" t="n">
        <v>3.3</v>
      </c>
      <c r="Y854" s="1" t="s">
        <v>40</v>
      </c>
      <c r="Z854" s="1" t="n">
        <v>0</v>
      </c>
      <c r="AA854" s="1" t="str">
        <f aca="false">TRIM(PROPER(F854))</f>
        <v>Noida</v>
      </c>
      <c r="AB854" s="1" t="str">
        <f aca="false">TRIM(PROPER(C854))</f>
        <v>Physics Wallah</v>
      </c>
      <c r="AC854" s="1" t="str">
        <f aca="false">IF(O854=0,"No Discount",IF(O854&lt;=15,"Low (1-15%)",IF(O854&lt;=30,"Medium (16-30%)","High (&gt;30%)")))</f>
        <v>Medium (16-30%)</v>
      </c>
      <c r="AD854" s="1" t="str">
        <f aca="false">IF(V854&lt;0,"Loss Making",IF(V854&lt;20,"Low Margin","Healthy Margin"))</f>
        <v>Healthy Margin</v>
      </c>
      <c r="AE854" s="1" t="str">
        <f aca="false">TEXT(DATE(VALUE(RIGHT(B854,4)),VALUE(MID(B854,4,2)),VALUE(LEFT(B854,2))),"MMM-YYYY")</f>
        <v>Jul-2024</v>
      </c>
      <c r="AF854" s="1" t="n">
        <f aca="false">VALUE(RIGHT(B854,4))</f>
        <v>2024</v>
      </c>
      <c r="AG854" s="1" t="str">
        <f aca="false">CHOOSE(ROUNDUP(VALUE(MID(B854,4,2))/3,0),"Q1","Q2","Q3","Q4")</f>
        <v>Q3</v>
      </c>
    </row>
    <row r="855" customFormat="false" ht="15" hidden="false" customHeight="true" outlineLevel="0" collapsed="false">
      <c r="A855" s="1" t="s">
        <v>1529</v>
      </c>
      <c r="B855" s="1" t="s">
        <v>561</v>
      </c>
      <c r="C855" s="1" t="s">
        <v>65</v>
      </c>
      <c r="D855" s="1" t="s">
        <v>143</v>
      </c>
      <c r="E855" s="1" t="s">
        <v>210</v>
      </c>
      <c r="F855" s="1" t="s">
        <v>244</v>
      </c>
      <c r="G855" s="1" t="s">
        <v>97</v>
      </c>
      <c r="H855" s="1" t="s">
        <v>57</v>
      </c>
      <c r="I855" s="1" t="s">
        <v>58</v>
      </c>
      <c r="J855" s="1" t="s">
        <v>70</v>
      </c>
      <c r="K855" s="1" t="s">
        <v>90</v>
      </c>
      <c r="L855" s="1" t="s">
        <v>61</v>
      </c>
      <c r="M855" s="1" t="s">
        <v>62</v>
      </c>
      <c r="N855" s="1" t="n">
        <v>18999</v>
      </c>
      <c r="O855" s="1" t="n">
        <v>0</v>
      </c>
      <c r="P855" s="1" t="n">
        <v>0</v>
      </c>
      <c r="Q855" s="1" t="n">
        <v>18999</v>
      </c>
      <c r="R855" s="1" t="n">
        <v>3419.82</v>
      </c>
      <c r="S855" s="1" t="n">
        <v>15579.18</v>
      </c>
      <c r="T855" s="1" t="n">
        <v>5480.53</v>
      </c>
      <c r="U855" s="1" t="n">
        <v>10098.65</v>
      </c>
      <c r="V855" s="1" t="n">
        <v>64.82</v>
      </c>
      <c r="W855" s="1" t="s">
        <v>39</v>
      </c>
      <c r="X855" s="1" t="n">
        <v>3.1</v>
      </c>
      <c r="Y855" s="1" t="s">
        <v>40</v>
      </c>
      <c r="Z855" s="1" t="n">
        <v>0</v>
      </c>
      <c r="AA855" s="1" t="str">
        <f aca="false">TRIM(PROPER(F855))</f>
        <v>Nagpur</v>
      </c>
      <c r="AB855" s="1" t="str">
        <f aca="false">TRIM(PROPER(C855))</f>
        <v>Toppr</v>
      </c>
      <c r="AC855" s="1" t="str">
        <f aca="false">IF(O855=0,"No Discount",IF(O855&lt;=15,"Low (1-15%)",IF(O855&lt;=30,"Medium (16-30%)","High (&gt;30%)")))</f>
        <v>No Discount</v>
      </c>
      <c r="AD855" s="1" t="str">
        <f aca="false">IF(V855&lt;0,"Loss Making",IF(V855&lt;20,"Low Margin","Healthy Margin"))</f>
        <v>Healthy Margin</v>
      </c>
      <c r="AE855" s="1" t="str">
        <f aca="false">TEXT(DATE(VALUE(RIGHT(B855,4)),VALUE(MID(B855,4,2)),VALUE(LEFT(B855,2))),"MMM-YYYY")</f>
        <v>Mar-2024</v>
      </c>
      <c r="AF855" s="1" t="n">
        <f aca="false">VALUE(RIGHT(B855,4))</f>
        <v>2024</v>
      </c>
      <c r="AG855" s="1" t="str">
        <f aca="false">CHOOSE(ROUNDUP(VALUE(MID(B855,4,2))/3,0),"Q1","Q2","Q3","Q4")</f>
        <v>Q1</v>
      </c>
    </row>
    <row r="856" customFormat="false" ht="15" hidden="false" customHeight="true" outlineLevel="0" collapsed="false">
      <c r="A856" s="1" t="s">
        <v>1530</v>
      </c>
      <c r="B856" s="1" t="s">
        <v>352</v>
      </c>
      <c r="C856" s="1" t="s">
        <v>134</v>
      </c>
      <c r="D856" s="1" t="s">
        <v>143</v>
      </c>
      <c r="E856" s="1" t="s">
        <v>159</v>
      </c>
      <c r="F856" s="1" t="s">
        <v>67</v>
      </c>
      <c r="G856" s="1" t="s">
        <v>68</v>
      </c>
      <c r="H856" s="1" t="s">
        <v>69</v>
      </c>
      <c r="I856" s="1" t="s">
        <v>58</v>
      </c>
      <c r="J856" s="1" t="s">
        <v>131</v>
      </c>
      <c r="K856" s="1" t="s">
        <v>36</v>
      </c>
      <c r="L856" s="1" t="s">
        <v>85</v>
      </c>
      <c r="M856" s="1" t="s">
        <v>50</v>
      </c>
      <c r="N856" s="1" t="n">
        <v>24999</v>
      </c>
      <c r="O856" s="1" t="n">
        <v>5</v>
      </c>
      <c r="P856" s="1" t="n">
        <v>1249.95</v>
      </c>
      <c r="Q856" s="1" t="n">
        <v>23749.05</v>
      </c>
      <c r="R856" s="1" t="n">
        <v>4274.83</v>
      </c>
      <c r="S856" s="1" t="n">
        <v>19474.22</v>
      </c>
      <c r="T856" s="1" t="n">
        <v>6313.79</v>
      </c>
      <c r="U856" s="1" t="n">
        <v>13160.43</v>
      </c>
      <c r="V856" s="1" t="n">
        <v>67.58</v>
      </c>
      <c r="W856" s="1" t="s">
        <v>40</v>
      </c>
      <c r="Y856" s="1" t="s">
        <v>40</v>
      </c>
      <c r="Z856" s="1" t="n">
        <v>1</v>
      </c>
      <c r="AA856" s="1" t="str">
        <f aca="false">TRIM(PROPER(F856))</f>
        <v>Ahmedabad</v>
      </c>
      <c r="AB856" s="1" t="str">
        <f aca="false">TRIM(PROPER(C856))</f>
        <v>Doubtnut</v>
      </c>
      <c r="AC856" s="1" t="str">
        <f aca="false">IF(O856=0,"No Discount",IF(O856&lt;=15,"Low (1-15%)",IF(O856&lt;=30,"Medium (16-30%)","High (&gt;30%)")))</f>
        <v>Low (1-15%)</v>
      </c>
      <c r="AD856" s="1" t="str">
        <f aca="false">IF(V856&lt;0,"Loss Making",IF(V856&lt;20,"Low Margin","Healthy Margin"))</f>
        <v>Healthy Margin</v>
      </c>
      <c r="AE856" s="1" t="str">
        <f aca="false">TEXT(DATE(VALUE(RIGHT(B856,4)),VALUE(MID(B856,4,2)),VALUE(LEFT(B856,2))),"MMM-YYYY")</f>
        <v>Jul-2024</v>
      </c>
      <c r="AF856" s="1" t="n">
        <f aca="false">VALUE(RIGHT(B856,4))</f>
        <v>2024</v>
      </c>
      <c r="AG856" s="1" t="str">
        <f aca="false">CHOOSE(ROUNDUP(VALUE(MID(B856,4,2))/3,0),"Q1","Q2","Q3","Q4")</f>
        <v>Q3</v>
      </c>
    </row>
    <row r="857" customFormat="false" ht="15" hidden="false" customHeight="true" outlineLevel="0" collapsed="false">
      <c r="A857" s="1" t="s">
        <v>1531</v>
      </c>
      <c r="B857" s="1" t="s">
        <v>441</v>
      </c>
      <c r="C857" s="1" t="s">
        <v>178</v>
      </c>
      <c r="D857" s="1" t="s">
        <v>80</v>
      </c>
      <c r="E857" s="1" t="s">
        <v>175</v>
      </c>
      <c r="F857" s="1" t="s">
        <v>130</v>
      </c>
      <c r="G857" s="1" t="s">
        <v>47</v>
      </c>
      <c r="H857" s="1" t="s">
        <v>69</v>
      </c>
      <c r="I857" s="1" t="s">
        <v>58</v>
      </c>
      <c r="J857" s="1" t="s">
        <v>35</v>
      </c>
      <c r="K857" s="1" t="s">
        <v>90</v>
      </c>
      <c r="L857" s="1" t="s">
        <v>49</v>
      </c>
      <c r="M857" s="1" t="s">
        <v>62</v>
      </c>
      <c r="N857" s="1" t="n">
        <v>19999</v>
      </c>
      <c r="O857" s="1" t="n">
        <v>20</v>
      </c>
      <c r="P857" s="1" t="n">
        <v>3999.8</v>
      </c>
      <c r="Q857" s="1" t="n">
        <v>15999.2</v>
      </c>
      <c r="R857" s="1" t="n">
        <v>2879.86</v>
      </c>
      <c r="S857" s="1" t="n">
        <v>13119.34</v>
      </c>
      <c r="T857" s="1" t="n">
        <v>6269</v>
      </c>
      <c r="U857" s="1" t="n">
        <v>6850.34</v>
      </c>
      <c r="V857" s="1" t="n">
        <v>52.22</v>
      </c>
      <c r="W857" s="1" t="s">
        <v>39</v>
      </c>
      <c r="Y857" s="1" t="s">
        <v>40</v>
      </c>
      <c r="Z857" s="1" t="n">
        <v>0</v>
      </c>
      <c r="AA857" s="1" t="str">
        <f aca="false">TRIM(PROPER(F857))</f>
        <v>Bengaluru</v>
      </c>
      <c r="AB857" s="1" t="str">
        <f aca="false">TRIM(PROPER(C857))</f>
        <v>Leverage Edu</v>
      </c>
      <c r="AC857" s="1" t="str">
        <f aca="false">IF(O857=0,"No Discount",IF(O857&lt;=15,"Low (1-15%)",IF(O857&lt;=30,"Medium (16-30%)","High (&gt;30%)")))</f>
        <v>Medium (16-30%)</v>
      </c>
      <c r="AD857" s="1" t="str">
        <f aca="false">IF(V857&lt;0,"Loss Making",IF(V857&lt;20,"Low Margin","Healthy Margin"))</f>
        <v>Healthy Margin</v>
      </c>
      <c r="AE857" s="1" t="str">
        <f aca="false">TEXT(DATE(VALUE(RIGHT(B857,4)),VALUE(MID(B857,4,2)),VALUE(LEFT(B857,2))),"MMM-YYYY")</f>
        <v>Aug-2024</v>
      </c>
      <c r="AF857" s="1" t="n">
        <f aca="false">VALUE(RIGHT(B857,4))</f>
        <v>2024</v>
      </c>
      <c r="AG857" s="1" t="str">
        <f aca="false">CHOOSE(ROUNDUP(VALUE(MID(B857,4,2))/3,0),"Q1","Q2","Q3","Q4")</f>
        <v>Q3</v>
      </c>
    </row>
    <row r="858" customFormat="false" ht="15" hidden="false" customHeight="true" outlineLevel="0" collapsed="false">
      <c r="A858" s="1" t="s">
        <v>1532</v>
      </c>
      <c r="B858" s="1" t="s">
        <v>387</v>
      </c>
      <c r="C858" s="1" t="s">
        <v>93</v>
      </c>
      <c r="D858" s="1" t="s">
        <v>143</v>
      </c>
      <c r="E858" s="1" t="s">
        <v>144</v>
      </c>
      <c r="F858" s="1" t="s">
        <v>120</v>
      </c>
      <c r="G858" s="1" t="s">
        <v>47</v>
      </c>
      <c r="H858" s="1" t="s">
        <v>57</v>
      </c>
      <c r="I858" s="1" t="s">
        <v>34</v>
      </c>
      <c r="J858" s="1" t="s">
        <v>70</v>
      </c>
      <c r="K858" s="1" t="s">
        <v>71</v>
      </c>
      <c r="L858" s="1" t="s">
        <v>85</v>
      </c>
      <c r="M858" s="1" t="s">
        <v>50</v>
      </c>
      <c r="N858" s="1" t="n">
        <v>12999</v>
      </c>
      <c r="O858" s="1" t="n">
        <v>40</v>
      </c>
      <c r="P858" s="1" t="n">
        <v>5199.6</v>
      </c>
      <c r="Q858" s="1" t="n">
        <v>7799.4</v>
      </c>
      <c r="R858" s="1" t="n">
        <v>1403.89</v>
      </c>
      <c r="S858" s="1" t="n">
        <v>6395.51</v>
      </c>
      <c r="T858" s="1" t="n">
        <v>3723.66</v>
      </c>
      <c r="U858" s="1" t="n">
        <v>2671.85</v>
      </c>
      <c r="V858" s="1" t="n">
        <v>41.78</v>
      </c>
      <c r="W858" s="1" t="s">
        <v>39</v>
      </c>
      <c r="X858" s="1" t="n">
        <v>3.7</v>
      </c>
      <c r="Y858" s="1" t="s">
        <v>40</v>
      </c>
      <c r="Z858" s="1" t="n">
        <v>1</v>
      </c>
      <c r="AA858" s="1" t="str">
        <f aca="false">TRIM(PROPER(F858))</f>
        <v>Mysuru</v>
      </c>
      <c r="AB858" s="1" t="str">
        <f aca="false">TRIM(PROPER(C858))</f>
        <v>Upgrad</v>
      </c>
      <c r="AC858" s="1" t="str">
        <f aca="false">IF(O858=0,"No Discount",IF(O858&lt;=15,"Low (1-15%)",IF(O858&lt;=30,"Medium (16-30%)","High (&gt;30%)")))</f>
        <v>High (&gt;30%)</v>
      </c>
      <c r="AD858" s="1" t="str">
        <f aca="false">IF(V858&lt;0,"Loss Making",IF(V858&lt;20,"Low Margin","Healthy Margin"))</f>
        <v>Healthy Margin</v>
      </c>
      <c r="AE858" s="1" t="str">
        <f aca="false">TEXT(DATE(VALUE(RIGHT(B858,4)),VALUE(MID(B858,4,2)),VALUE(LEFT(B858,2))),"MMM-YYYY")</f>
        <v>Dec-2023</v>
      </c>
      <c r="AF858" s="1" t="n">
        <f aca="false">VALUE(RIGHT(B858,4))</f>
        <v>2023</v>
      </c>
      <c r="AG858" s="1" t="str">
        <f aca="false">CHOOSE(ROUNDUP(VALUE(MID(B858,4,2))/3,0),"Q1","Q2","Q3","Q4")</f>
        <v>Q4</v>
      </c>
    </row>
    <row r="859" customFormat="false" ht="15" hidden="false" customHeight="true" outlineLevel="0" collapsed="false">
      <c r="A859" s="1" t="s">
        <v>1533</v>
      </c>
      <c r="B859" s="1" t="s">
        <v>999</v>
      </c>
      <c r="C859" s="1" t="s">
        <v>43</v>
      </c>
      <c r="D859" s="1" t="s">
        <v>44</v>
      </c>
      <c r="E859" s="1" t="s">
        <v>45</v>
      </c>
      <c r="F859" s="1" t="s">
        <v>156</v>
      </c>
      <c r="G859" s="1" t="s">
        <v>68</v>
      </c>
      <c r="H859" s="1" t="s">
        <v>57</v>
      </c>
      <c r="I859" s="1" t="s">
        <v>83</v>
      </c>
      <c r="J859" s="1" t="s">
        <v>70</v>
      </c>
      <c r="K859" s="1" t="s">
        <v>36</v>
      </c>
      <c r="L859" s="1" t="s">
        <v>37</v>
      </c>
      <c r="M859" s="1" t="s">
        <v>62</v>
      </c>
      <c r="N859" s="1" t="n">
        <v>11999</v>
      </c>
      <c r="O859" s="1" t="n">
        <v>10</v>
      </c>
      <c r="P859" s="1" t="n">
        <v>1199.9</v>
      </c>
      <c r="Q859" s="1" t="n">
        <v>10799.1</v>
      </c>
      <c r="R859" s="1" t="n">
        <v>1943.84</v>
      </c>
      <c r="S859" s="1" t="n">
        <v>8855.26</v>
      </c>
      <c r="T859" s="1" t="n">
        <v>3062.1</v>
      </c>
      <c r="U859" s="1" t="n">
        <v>5793.16</v>
      </c>
      <c r="V859" s="1" t="n">
        <v>65.42</v>
      </c>
      <c r="W859" s="1" t="s">
        <v>39</v>
      </c>
      <c r="X859" s="1" t="n">
        <v>3.6</v>
      </c>
      <c r="Y859" s="1" t="s">
        <v>40</v>
      </c>
      <c r="Z859" s="1" t="n">
        <v>0</v>
      </c>
      <c r="AA859" s="1" t="str">
        <f aca="false">TRIM(PROPER(F859))</f>
        <v>Surat</v>
      </c>
      <c r="AB859" s="1" t="str">
        <f aca="false">TRIM(PROPER(C859))</f>
        <v>Meritnation</v>
      </c>
      <c r="AC859" s="1" t="str">
        <f aca="false">IF(O859=0,"No Discount",IF(O859&lt;=15,"Low (1-15%)",IF(O859&lt;=30,"Medium (16-30%)","High (&gt;30%)")))</f>
        <v>Low (1-15%)</v>
      </c>
      <c r="AD859" s="1" t="str">
        <f aca="false">IF(V859&lt;0,"Loss Making",IF(V859&lt;20,"Low Margin","Healthy Margin"))</f>
        <v>Healthy Margin</v>
      </c>
      <c r="AE859" s="1" t="str">
        <f aca="false">TEXT(DATE(VALUE(RIGHT(B859,4)),VALUE(MID(B859,4,2)),VALUE(LEFT(B859,2))),"MMM-YYYY")</f>
        <v>Mar-2023</v>
      </c>
      <c r="AF859" s="1" t="n">
        <f aca="false">VALUE(RIGHT(B859,4))</f>
        <v>2023</v>
      </c>
      <c r="AG859" s="1" t="str">
        <f aca="false">CHOOSE(ROUNDUP(VALUE(MID(B859,4,2))/3,0),"Q1","Q2","Q3","Q4")</f>
        <v>Q1</v>
      </c>
    </row>
    <row r="860" customFormat="false" ht="15" hidden="false" customHeight="true" outlineLevel="0" collapsed="false">
      <c r="A860" s="1" t="s">
        <v>1534</v>
      </c>
      <c r="B860" s="1" t="s">
        <v>177</v>
      </c>
      <c r="C860" s="1" t="s">
        <v>264</v>
      </c>
      <c r="D860" s="1" t="s">
        <v>29</v>
      </c>
      <c r="E860" s="1" t="s">
        <v>305</v>
      </c>
      <c r="F860" s="1" t="s">
        <v>883</v>
      </c>
      <c r="G860" s="1" t="s">
        <v>68</v>
      </c>
      <c r="H860" s="1" t="s">
        <v>69</v>
      </c>
      <c r="I860" s="1" t="s">
        <v>58</v>
      </c>
      <c r="J860" s="1" t="s">
        <v>77</v>
      </c>
      <c r="K860" s="1" t="s">
        <v>71</v>
      </c>
      <c r="L860" s="1" t="s">
        <v>61</v>
      </c>
      <c r="M860" s="1" t="s">
        <v>38</v>
      </c>
      <c r="N860" s="1" t="n">
        <v>24999</v>
      </c>
      <c r="O860" s="1" t="n">
        <v>15</v>
      </c>
      <c r="P860" s="1" t="n">
        <v>3749.85</v>
      </c>
      <c r="Q860" s="1" t="n">
        <v>21249.15</v>
      </c>
      <c r="R860" s="1" t="n">
        <v>3824.85</v>
      </c>
      <c r="S860" s="1" t="n">
        <v>17424.3</v>
      </c>
      <c r="T860" s="1" t="n">
        <v>6188.89</v>
      </c>
      <c r="U860" s="1" t="n">
        <v>11235.41</v>
      </c>
      <c r="V860" s="1" t="n">
        <v>64.48</v>
      </c>
      <c r="W860" s="1" t="s">
        <v>39</v>
      </c>
      <c r="X860" s="1" t="n">
        <v>5</v>
      </c>
      <c r="Y860" s="1" t="s">
        <v>40</v>
      </c>
      <c r="Z860" s="1" t="n">
        <v>0</v>
      </c>
      <c r="AA860" s="1" t="str">
        <f aca="false">TRIM(PROPER(F860))</f>
        <v>Ahmedabad</v>
      </c>
      <c r="AB860" s="1" t="str">
        <f aca="false">TRIM(PROPER(C860))</f>
        <v>Unacademy</v>
      </c>
      <c r="AC860" s="1" t="str">
        <f aca="false">IF(O860=0,"No Discount",IF(O860&lt;=15,"Low (1-15%)",IF(O860&lt;=30,"Medium (16-30%)","High (&gt;30%)")))</f>
        <v>Low (1-15%)</v>
      </c>
      <c r="AD860" s="1" t="str">
        <f aca="false">IF(V860&lt;0,"Loss Making",IF(V860&lt;20,"Low Margin","Healthy Margin"))</f>
        <v>Healthy Margin</v>
      </c>
      <c r="AE860" s="1" t="str">
        <f aca="false">TEXT(DATE(VALUE(RIGHT(B860,4)),VALUE(MID(B860,4,2)),VALUE(LEFT(B860,2))),"MMM-YYYY")</f>
        <v>Jul-2024</v>
      </c>
      <c r="AF860" s="1" t="n">
        <f aca="false">VALUE(RIGHT(B860,4))</f>
        <v>2024</v>
      </c>
      <c r="AG860" s="1" t="str">
        <f aca="false">CHOOSE(ROUNDUP(VALUE(MID(B860,4,2))/3,0),"Q1","Q2","Q3","Q4")</f>
        <v>Q3</v>
      </c>
    </row>
    <row r="861" customFormat="false" ht="15" hidden="false" customHeight="true" outlineLevel="0" collapsed="false">
      <c r="A861" s="1" t="s">
        <v>1535</v>
      </c>
      <c r="B861" s="1" t="s">
        <v>298</v>
      </c>
      <c r="C861" s="1" t="s">
        <v>167</v>
      </c>
      <c r="D861" s="1" t="s">
        <v>168</v>
      </c>
      <c r="E861" s="1" t="s">
        <v>172</v>
      </c>
      <c r="F861" s="1" t="s">
        <v>120</v>
      </c>
      <c r="G861" s="1" t="s">
        <v>47</v>
      </c>
      <c r="H861" s="1" t="s">
        <v>57</v>
      </c>
      <c r="I861" s="1" t="s">
        <v>34</v>
      </c>
      <c r="J861" s="1" t="s">
        <v>131</v>
      </c>
      <c r="K861" s="1" t="s">
        <v>36</v>
      </c>
      <c r="L861" s="1" t="s">
        <v>136</v>
      </c>
      <c r="M861" s="1" t="s">
        <v>62</v>
      </c>
      <c r="N861" s="1" t="n">
        <v>6999</v>
      </c>
      <c r="O861" s="1" t="n">
        <v>10</v>
      </c>
      <c r="P861" s="1" t="n">
        <v>699.9</v>
      </c>
      <c r="Q861" s="1" t="n">
        <v>6299.1</v>
      </c>
      <c r="R861" s="1" t="n">
        <v>1133.84</v>
      </c>
      <c r="S861" s="1" t="n">
        <v>5165.26</v>
      </c>
      <c r="T861" s="1" t="n">
        <v>2363.97</v>
      </c>
      <c r="U861" s="1" t="n">
        <v>2801.29</v>
      </c>
      <c r="V861" s="1" t="n">
        <v>54.23</v>
      </c>
      <c r="W861" s="1" t="s">
        <v>40</v>
      </c>
      <c r="Y861" s="1" t="s">
        <v>40</v>
      </c>
      <c r="Z861" s="1" t="n">
        <v>2</v>
      </c>
      <c r="AA861" s="1" t="str">
        <f aca="false">TRIM(PROPER(F861))</f>
        <v>Mysuru</v>
      </c>
      <c r="AB861" s="1" t="str">
        <f aca="false">TRIM(PROPER(C861))</f>
        <v>Scaler</v>
      </c>
      <c r="AC861" s="1" t="str">
        <f aca="false">IF(O861=0,"No Discount",IF(O861&lt;=15,"Low (1-15%)",IF(O861&lt;=30,"Medium (16-30%)","High (&gt;30%)")))</f>
        <v>Low (1-15%)</v>
      </c>
      <c r="AD861" s="1" t="str">
        <f aca="false">IF(V861&lt;0,"Loss Making",IF(V861&lt;20,"Low Margin","Healthy Margin"))</f>
        <v>Healthy Margin</v>
      </c>
      <c r="AE861" s="1" t="str">
        <f aca="false">TEXT(DATE(VALUE(RIGHT(B861,4)),VALUE(MID(B861,4,2)),VALUE(LEFT(B861,2))),"MMM-YYYY")</f>
        <v>Mar-2024</v>
      </c>
      <c r="AF861" s="1" t="n">
        <f aca="false">VALUE(RIGHT(B861,4))</f>
        <v>2024</v>
      </c>
      <c r="AG861" s="1" t="str">
        <f aca="false">CHOOSE(ROUNDUP(VALUE(MID(B861,4,2))/3,0),"Q1","Q2","Q3","Q4")</f>
        <v>Q1</v>
      </c>
    </row>
    <row r="862" customFormat="false" ht="15" hidden="false" customHeight="true" outlineLevel="0" collapsed="false">
      <c r="A862" s="1" t="s">
        <v>1536</v>
      </c>
      <c r="B862" s="1" t="s">
        <v>1465</v>
      </c>
      <c r="C862" s="1" t="s">
        <v>43</v>
      </c>
      <c r="D862" s="1" t="s">
        <v>80</v>
      </c>
      <c r="E862" s="1" t="s">
        <v>190</v>
      </c>
      <c r="F862" s="1" t="s">
        <v>75</v>
      </c>
      <c r="G862" s="1" t="s">
        <v>76</v>
      </c>
      <c r="H862" s="1" t="s">
        <v>69</v>
      </c>
      <c r="I862" s="1" t="s">
        <v>58</v>
      </c>
      <c r="J862" s="1" t="s">
        <v>77</v>
      </c>
      <c r="K862" s="1" t="s">
        <v>112</v>
      </c>
      <c r="L862" s="1" t="s">
        <v>85</v>
      </c>
      <c r="M862" s="1" t="s">
        <v>38</v>
      </c>
      <c r="N862" s="1" t="n">
        <v>15999</v>
      </c>
      <c r="O862" s="1" t="n">
        <v>10</v>
      </c>
      <c r="P862" s="1" t="n">
        <v>1599.9</v>
      </c>
      <c r="Q862" s="1" t="n">
        <v>14399.1</v>
      </c>
      <c r="R862" s="1" t="n">
        <v>2591.84</v>
      </c>
      <c r="S862" s="1" t="n">
        <v>11807.26</v>
      </c>
      <c r="T862" s="1" t="n">
        <v>4693.86</v>
      </c>
      <c r="U862" s="1" t="n">
        <v>7113.4</v>
      </c>
      <c r="V862" s="1" t="n">
        <v>60.25</v>
      </c>
      <c r="W862" s="1" t="s">
        <v>39</v>
      </c>
      <c r="X862" s="1" t="n">
        <v>4.1</v>
      </c>
      <c r="Y862" s="1" t="s">
        <v>40</v>
      </c>
      <c r="Z862" s="1" t="n">
        <v>0</v>
      </c>
      <c r="AA862" s="1" t="str">
        <f aca="false">TRIM(PROPER(F862))</f>
        <v>Kolkata</v>
      </c>
      <c r="AB862" s="1" t="str">
        <f aca="false">TRIM(PROPER(C862))</f>
        <v>Meritnation</v>
      </c>
      <c r="AC862" s="1" t="str">
        <f aca="false">IF(O862=0,"No Discount",IF(O862&lt;=15,"Low (1-15%)",IF(O862&lt;=30,"Medium (16-30%)","High (&gt;30%)")))</f>
        <v>Low (1-15%)</v>
      </c>
      <c r="AD862" s="1" t="str">
        <f aca="false">IF(V862&lt;0,"Loss Making",IF(V862&lt;20,"Low Margin","Healthy Margin"))</f>
        <v>Healthy Margin</v>
      </c>
      <c r="AE862" s="1" t="str">
        <f aca="false">TEXT(DATE(VALUE(RIGHT(B862,4)),VALUE(MID(B862,4,2)),VALUE(LEFT(B862,2))),"MMM-YYYY")</f>
        <v>Sep-2024</v>
      </c>
      <c r="AF862" s="1" t="n">
        <f aca="false">VALUE(RIGHT(B862,4))</f>
        <v>2024</v>
      </c>
      <c r="AG862" s="1" t="str">
        <f aca="false">CHOOSE(ROUNDUP(VALUE(MID(B862,4,2))/3,0),"Q1","Q2","Q3","Q4")</f>
        <v>Q3</v>
      </c>
    </row>
    <row r="863" customFormat="false" ht="15" hidden="false" customHeight="true" outlineLevel="0" collapsed="false">
      <c r="A863" s="1" t="s">
        <v>1537</v>
      </c>
      <c r="B863" s="1" t="s">
        <v>1198</v>
      </c>
      <c r="C863" s="1" t="s">
        <v>93</v>
      </c>
      <c r="D863" s="1" t="s">
        <v>123</v>
      </c>
      <c r="E863" s="1" t="s">
        <v>147</v>
      </c>
      <c r="F863" s="1" t="s">
        <v>75</v>
      </c>
      <c r="G863" s="1" t="s">
        <v>76</v>
      </c>
      <c r="H863" s="1" t="s">
        <v>69</v>
      </c>
      <c r="I863" s="1" t="s">
        <v>83</v>
      </c>
      <c r="J863" s="1" t="s">
        <v>35</v>
      </c>
      <c r="K863" s="1" t="s">
        <v>104</v>
      </c>
      <c r="L863" s="1" t="s">
        <v>136</v>
      </c>
      <c r="M863" s="1" t="s">
        <v>50</v>
      </c>
      <c r="N863" s="1" t="n">
        <v>6999</v>
      </c>
      <c r="O863" s="1" t="n">
        <v>0</v>
      </c>
      <c r="P863" s="1" t="n">
        <v>0</v>
      </c>
      <c r="Q863" s="1" t="n">
        <v>6999</v>
      </c>
      <c r="R863" s="1" t="n">
        <v>1259.82</v>
      </c>
      <c r="S863" s="1" t="n">
        <v>5739.18</v>
      </c>
      <c r="T863" s="1" t="n">
        <v>1879.42</v>
      </c>
      <c r="U863" s="1" t="n">
        <v>3859.76</v>
      </c>
      <c r="V863" s="1" t="n">
        <v>67.25</v>
      </c>
      <c r="W863" s="1" t="s">
        <v>39</v>
      </c>
      <c r="X863" s="1" t="n">
        <v>4.2</v>
      </c>
      <c r="Y863" s="1" t="s">
        <v>40</v>
      </c>
      <c r="Z863" s="1" t="n">
        <v>0</v>
      </c>
      <c r="AA863" s="1" t="str">
        <f aca="false">TRIM(PROPER(F863))</f>
        <v>Kolkata</v>
      </c>
      <c r="AB863" s="1" t="str">
        <f aca="false">TRIM(PROPER(C863))</f>
        <v>Upgrad</v>
      </c>
      <c r="AC863" s="1" t="str">
        <f aca="false">IF(O863=0,"No Discount",IF(O863&lt;=15,"Low (1-15%)",IF(O863&lt;=30,"Medium (16-30%)","High (&gt;30%)")))</f>
        <v>No Discount</v>
      </c>
      <c r="AD863" s="1" t="str">
        <f aca="false">IF(V863&lt;0,"Loss Making",IF(V863&lt;20,"Low Margin","Healthy Margin"))</f>
        <v>Healthy Margin</v>
      </c>
      <c r="AE863" s="1" t="str">
        <f aca="false">TEXT(DATE(VALUE(RIGHT(B863,4)),VALUE(MID(B863,4,2)),VALUE(LEFT(B863,2))),"MMM-YYYY")</f>
        <v>Nov-2024</v>
      </c>
      <c r="AF863" s="1" t="n">
        <f aca="false">VALUE(RIGHT(B863,4))</f>
        <v>2024</v>
      </c>
      <c r="AG863" s="1" t="str">
        <f aca="false">CHOOSE(ROUNDUP(VALUE(MID(B863,4,2))/3,0),"Q1","Q2","Q3","Q4")</f>
        <v>Q4</v>
      </c>
    </row>
    <row r="864" customFormat="false" ht="15" hidden="false" customHeight="true" outlineLevel="0" collapsed="false">
      <c r="A864" s="1" t="s">
        <v>1538</v>
      </c>
      <c r="B864" s="1" t="s">
        <v>1539</v>
      </c>
      <c r="C864" s="1" t="s">
        <v>119</v>
      </c>
      <c r="D864" s="1" t="s">
        <v>143</v>
      </c>
      <c r="E864" s="1" t="s">
        <v>162</v>
      </c>
      <c r="F864" s="1" t="s">
        <v>153</v>
      </c>
      <c r="G864" s="1" t="s">
        <v>76</v>
      </c>
      <c r="H864" s="1" t="s">
        <v>33</v>
      </c>
      <c r="I864" s="1" t="s">
        <v>58</v>
      </c>
      <c r="J864" s="1" t="s">
        <v>59</v>
      </c>
      <c r="K864" s="1" t="s">
        <v>84</v>
      </c>
      <c r="L864" s="1" t="s">
        <v>49</v>
      </c>
      <c r="M864" s="1" t="s">
        <v>62</v>
      </c>
      <c r="N864" s="1" t="n">
        <v>14999</v>
      </c>
      <c r="O864" s="1" t="n">
        <v>0</v>
      </c>
      <c r="P864" s="1" t="n">
        <v>0</v>
      </c>
      <c r="Q864" s="1" t="n">
        <v>14999</v>
      </c>
      <c r="R864" s="1" t="n">
        <v>2699.82</v>
      </c>
      <c r="S864" s="1" t="n">
        <v>12299.18</v>
      </c>
      <c r="T864" s="1" t="n">
        <v>5542.1</v>
      </c>
      <c r="U864" s="1" t="n">
        <v>6757.08</v>
      </c>
      <c r="V864" s="1" t="n">
        <v>54.94</v>
      </c>
      <c r="W864" s="1" t="s">
        <v>39</v>
      </c>
      <c r="X864" s="1" t="n">
        <v>3.4</v>
      </c>
      <c r="Y864" s="1" t="s">
        <v>40</v>
      </c>
      <c r="Z864" s="1" t="n">
        <v>1</v>
      </c>
      <c r="AA864" s="1" t="str">
        <f aca="false">TRIM(PROPER(F864))</f>
        <v>Howrah</v>
      </c>
      <c r="AB864" s="1" t="str">
        <f aca="false">TRIM(PROPER(C864))</f>
        <v>Simplilearn</v>
      </c>
      <c r="AC864" s="1" t="str">
        <f aca="false">IF(O864=0,"No Discount",IF(O864&lt;=15,"Low (1-15%)",IF(O864&lt;=30,"Medium (16-30%)","High (&gt;30%)")))</f>
        <v>No Discount</v>
      </c>
      <c r="AD864" s="1" t="str">
        <f aca="false">IF(V864&lt;0,"Loss Making",IF(V864&lt;20,"Low Margin","Healthy Margin"))</f>
        <v>Healthy Margin</v>
      </c>
      <c r="AE864" s="1" t="str">
        <f aca="false">TEXT(DATE(VALUE(RIGHT(B864,4)),VALUE(MID(B864,4,2)),VALUE(LEFT(B864,2))),"MMM-YYYY")</f>
        <v>May-2024</v>
      </c>
      <c r="AF864" s="1" t="n">
        <f aca="false">VALUE(RIGHT(B864,4))</f>
        <v>2024</v>
      </c>
      <c r="AG864" s="1" t="str">
        <f aca="false">CHOOSE(ROUNDUP(VALUE(MID(B864,4,2))/3,0),"Q1","Q2","Q3","Q4")</f>
        <v>Q2</v>
      </c>
    </row>
    <row r="865" customFormat="false" ht="15" hidden="false" customHeight="true" outlineLevel="0" collapsed="false">
      <c r="A865" s="1" t="s">
        <v>1540</v>
      </c>
      <c r="B865" s="1" t="s">
        <v>893</v>
      </c>
      <c r="C865" s="1" t="s">
        <v>43</v>
      </c>
      <c r="D865" s="1" t="s">
        <v>123</v>
      </c>
      <c r="E865" s="1" t="s">
        <v>124</v>
      </c>
      <c r="F865" s="1" t="s">
        <v>89</v>
      </c>
      <c r="G865" s="1" t="s">
        <v>68</v>
      </c>
      <c r="H865" s="1" t="s">
        <v>33</v>
      </c>
      <c r="I865" s="1" t="s">
        <v>34</v>
      </c>
      <c r="J865" s="1" t="s">
        <v>131</v>
      </c>
      <c r="K865" s="1" t="s">
        <v>48</v>
      </c>
      <c r="L865" s="1" t="s">
        <v>37</v>
      </c>
      <c r="M865" s="1" t="s">
        <v>62</v>
      </c>
      <c r="N865" s="1" t="n">
        <v>4999</v>
      </c>
      <c r="O865" s="1" t="n">
        <v>5</v>
      </c>
      <c r="P865" s="1" t="n">
        <v>249.95</v>
      </c>
      <c r="Q865" s="1" t="n">
        <v>4749.05</v>
      </c>
      <c r="R865" s="1" t="n">
        <v>854.83</v>
      </c>
      <c r="S865" s="1" t="n">
        <v>3894.22</v>
      </c>
      <c r="T865" s="1" t="n">
        <v>1806.93</v>
      </c>
      <c r="U865" s="1" t="n">
        <v>2087.29</v>
      </c>
      <c r="V865" s="1" t="n">
        <v>53.6</v>
      </c>
      <c r="W865" s="1" t="s">
        <v>39</v>
      </c>
      <c r="X865" s="1" t="n">
        <v>2.8</v>
      </c>
      <c r="Y865" s="1" t="s">
        <v>39</v>
      </c>
      <c r="Z865" s="1" t="n">
        <v>0</v>
      </c>
      <c r="AA865" s="1" t="str">
        <f aca="false">TRIM(PROPER(F865))</f>
        <v>Vadodara</v>
      </c>
      <c r="AB865" s="1" t="str">
        <f aca="false">TRIM(PROPER(C865))</f>
        <v>Meritnation</v>
      </c>
      <c r="AC865" s="1" t="str">
        <f aca="false">IF(O865=0,"No Discount",IF(O865&lt;=15,"Low (1-15%)",IF(O865&lt;=30,"Medium (16-30%)","High (&gt;30%)")))</f>
        <v>Low (1-15%)</v>
      </c>
      <c r="AD865" s="1" t="str">
        <f aca="false">IF(V865&lt;0,"Loss Making",IF(V865&lt;20,"Low Margin","Healthy Margin"))</f>
        <v>Healthy Margin</v>
      </c>
      <c r="AE865" s="1" t="str">
        <f aca="false">TEXT(DATE(VALUE(RIGHT(B865,4)),VALUE(MID(B865,4,2)),VALUE(LEFT(B865,2))),"MMM-YYYY")</f>
        <v>Jun-2024</v>
      </c>
      <c r="AF865" s="1" t="n">
        <f aca="false">VALUE(RIGHT(B865,4))</f>
        <v>2024</v>
      </c>
      <c r="AG865" s="1" t="str">
        <f aca="false">CHOOSE(ROUNDUP(VALUE(MID(B865,4,2))/3,0),"Q1","Q2","Q3","Q4")</f>
        <v>Q2</v>
      </c>
    </row>
    <row r="866" customFormat="false" ht="15" hidden="false" customHeight="true" outlineLevel="0" collapsed="false">
      <c r="A866" s="1" t="s">
        <v>1541</v>
      </c>
      <c r="B866" s="1" t="s">
        <v>651</v>
      </c>
      <c r="C866" s="1" t="s">
        <v>100</v>
      </c>
      <c r="D866" s="1" t="s">
        <v>80</v>
      </c>
      <c r="E866" s="1" t="s">
        <v>175</v>
      </c>
      <c r="F866" s="1" t="s">
        <v>150</v>
      </c>
      <c r="G866" s="1" t="s">
        <v>32</v>
      </c>
      <c r="H866" s="1" t="s">
        <v>57</v>
      </c>
      <c r="I866" s="1" t="s">
        <v>83</v>
      </c>
      <c r="J866" s="1" t="s">
        <v>77</v>
      </c>
      <c r="K866" s="1" t="s">
        <v>90</v>
      </c>
      <c r="L866" s="1" t="s">
        <v>113</v>
      </c>
      <c r="M866" s="1" t="s">
        <v>38</v>
      </c>
      <c r="N866" s="1" t="n">
        <v>19999</v>
      </c>
      <c r="O866" s="1" t="n">
        <v>50</v>
      </c>
      <c r="P866" s="1" t="n">
        <v>9999.5</v>
      </c>
      <c r="Q866" s="1" t="n">
        <v>9999.5</v>
      </c>
      <c r="R866" s="1" t="n">
        <v>1799.91</v>
      </c>
      <c r="S866" s="1" t="n">
        <v>8199.59</v>
      </c>
      <c r="T866" s="1" t="n">
        <v>4325.73</v>
      </c>
      <c r="U866" s="1" t="n">
        <v>3873.86</v>
      </c>
      <c r="V866" s="1" t="n">
        <v>47.24</v>
      </c>
      <c r="W866" s="1" t="s">
        <v>39</v>
      </c>
      <c r="X866" s="1" t="n">
        <v>4</v>
      </c>
      <c r="Y866" s="1" t="s">
        <v>40</v>
      </c>
      <c r="Z866" s="1" t="n">
        <v>0</v>
      </c>
      <c r="AA866" s="1" t="str">
        <f aca="false">TRIM(PROPER(F866))</f>
        <v>Jaipur</v>
      </c>
      <c r="AB866" s="1" t="str">
        <f aca="false">TRIM(PROPER(C866))</f>
        <v>Physics Wallah</v>
      </c>
      <c r="AC866" s="1" t="str">
        <f aca="false">IF(O866=0,"No Discount",IF(O866&lt;=15,"Low (1-15%)",IF(O866&lt;=30,"Medium (16-30%)","High (&gt;30%)")))</f>
        <v>High (&gt;30%)</v>
      </c>
      <c r="AD866" s="1" t="str">
        <f aca="false">IF(V866&lt;0,"Loss Making",IF(V866&lt;20,"Low Margin","Healthy Margin"))</f>
        <v>Healthy Margin</v>
      </c>
      <c r="AE866" s="1" t="str">
        <f aca="false">TEXT(DATE(VALUE(RIGHT(B866,4)),VALUE(MID(B866,4,2)),VALUE(LEFT(B866,2))),"MMM-YYYY")</f>
        <v>Jun-2023</v>
      </c>
      <c r="AF866" s="1" t="n">
        <f aca="false">VALUE(RIGHT(B866,4))</f>
        <v>2023</v>
      </c>
      <c r="AG866" s="1" t="str">
        <f aca="false">CHOOSE(ROUNDUP(VALUE(MID(B866,4,2))/3,0),"Q1","Q2","Q3","Q4")</f>
        <v>Q2</v>
      </c>
    </row>
    <row r="867" customFormat="false" ht="15" hidden="false" customHeight="true" outlineLevel="0" collapsed="false">
      <c r="A867" s="1" t="s">
        <v>1542</v>
      </c>
      <c r="B867" s="1" t="s">
        <v>1543</v>
      </c>
      <c r="C867" s="1" t="s">
        <v>119</v>
      </c>
      <c r="D867" s="1" t="s">
        <v>168</v>
      </c>
      <c r="E867" s="1" t="s">
        <v>172</v>
      </c>
      <c r="F867" s="1" t="s">
        <v>140</v>
      </c>
      <c r="G867" s="1" t="s">
        <v>97</v>
      </c>
      <c r="H867" s="1" t="s">
        <v>57</v>
      </c>
      <c r="I867" s="1" t="s">
        <v>34</v>
      </c>
      <c r="J867" s="1" t="s">
        <v>35</v>
      </c>
      <c r="K867" s="1" t="s">
        <v>112</v>
      </c>
      <c r="L867" s="1" t="s">
        <v>61</v>
      </c>
      <c r="M867" s="1" t="s">
        <v>62</v>
      </c>
      <c r="N867" s="1" t="n">
        <v>6999</v>
      </c>
      <c r="O867" s="1" t="n">
        <v>40</v>
      </c>
      <c r="P867" s="1" t="n">
        <v>2799.6</v>
      </c>
      <c r="Q867" s="1" t="n">
        <v>4199.4</v>
      </c>
      <c r="R867" s="1" t="n">
        <v>755.89</v>
      </c>
      <c r="S867" s="1" t="n">
        <v>3443.51</v>
      </c>
      <c r="T867" s="1" t="n">
        <v>1945.31</v>
      </c>
      <c r="U867" s="1" t="n">
        <v>1498.2</v>
      </c>
      <c r="V867" s="1" t="n">
        <v>43.51</v>
      </c>
      <c r="W867" s="1" t="s">
        <v>40</v>
      </c>
      <c r="Y867" s="1" t="s">
        <v>40</v>
      </c>
      <c r="Z867" s="1" t="n">
        <v>1</v>
      </c>
      <c r="AA867" s="1" t="str">
        <f aca="false">TRIM(PROPER(F867))</f>
        <v>Nashik</v>
      </c>
      <c r="AB867" s="1" t="str">
        <f aca="false">TRIM(PROPER(C867))</f>
        <v>Simplilearn</v>
      </c>
      <c r="AC867" s="1" t="str">
        <f aca="false">IF(O867=0,"No Discount",IF(O867&lt;=15,"Low (1-15%)",IF(O867&lt;=30,"Medium (16-30%)","High (&gt;30%)")))</f>
        <v>High (&gt;30%)</v>
      </c>
      <c r="AD867" s="1" t="str">
        <f aca="false">IF(V867&lt;0,"Loss Making",IF(V867&lt;20,"Low Margin","Healthy Margin"))</f>
        <v>Healthy Margin</v>
      </c>
      <c r="AE867" s="1" t="str">
        <f aca="false">TEXT(DATE(VALUE(RIGHT(B867,4)),VALUE(MID(B867,4,2)),VALUE(LEFT(B867,2))),"MMM-YYYY")</f>
        <v>May-2023</v>
      </c>
      <c r="AF867" s="1" t="n">
        <f aca="false">VALUE(RIGHT(B867,4))</f>
        <v>2023</v>
      </c>
      <c r="AG867" s="1" t="str">
        <f aca="false">CHOOSE(ROUNDUP(VALUE(MID(B867,4,2))/3,0),"Q1","Q2","Q3","Q4")</f>
        <v>Q2</v>
      </c>
    </row>
    <row r="868" customFormat="false" ht="15" hidden="false" customHeight="true" outlineLevel="0" collapsed="false">
      <c r="A868" s="1" t="s">
        <v>1544</v>
      </c>
      <c r="B868" s="1" t="s">
        <v>1410</v>
      </c>
      <c r="C868" s="1" t="s">
        <v>74</v>
      </c>
      <c r="D868" s="1" t="s">
        <v>44</v>
      </c>
      <c r="E868" s="1" t="s">
        <v>66</v>
      </c>
      <c r="F868" s="1" t="s">
        <v>156</v>
      </c>
      <c r="G868" s="1" t="s">
        <v>68</v>
      </c>
      <c r="H868" s="1" t="s">
        <v>57</v>
      </c>
      <c r="I868" s="1" t="s">
        <v>83</v>
      </c>
      <c r="J868" s="1" t="s">
        <v>131</v>
      </c>
      <c r="K868" s="1" t="s">
        <v>36</v>
      </c>
      <c r="L868" s="1" t="s">
        <v>37</v>
      </c>
      <c r="M868" s="1" t="s">
        <v>50</v>
      </c>
      <c r="N868" s="1" t="n">
        <v>12999</v>
      </c>
      <c r="O868" s="1" t="n">
        <v>20</v>
      </c>
      <c r="P868" s="1" t="n">
        <v>2599.8</v>
      </c>
      <c r="Q868" s="1" t="n">
        <v>10399.2</v>
      </c>
      <c r="R868" s="1" t="n">
        <v>1871.86</v>
      </c>
      <c r="S868" s="1" t="n">
        <v>8527.34</v>
      </c>
      <c r="T868" s="1" t="n">
        <v>4203.8</v>
      </c>
      <c r="U868" s="1" t="n">
        <v>4323.54</v>
      </c>
      <c r="V868" s="1" t="n">
        <v>50.7</v>
      </c>
      <c r="W868" s="1" t="s">
        <v>39</v>
      </c>
      <c r="Y868" s="1" t="s">
        <v>40</v>
      </c>
      <c r="Z868" s="1" t="n">
        <v>0</v>
      </c>
      <c r="AA868" s="1" t="str">
        <f aca="false">TRIM(PROPER(F868))</f>
        <v>Surat</v>
      </c>
      <c r="AB868" s="1" t="str">
        <f aca="false">TRIM(PROPER(C868))</f>
        <v>Vedantu</v>
      </c>
      <c r="AC868" s="1" t="str">
        <f aca="false">IF(O868=0,"No Discount",IF(O868&lt;=15,"Low (1-15%)",IF(O868&lt;=30,"Medium (16-30%)","High (&gt;30%)")))</f>
        <v>Medium (16-30%)</v>
      </c>
      <c r="AD868" s="1" t="str">
        <f aca="false">IF(V868&lt;0,"Loss Making",IF(V868&lt;20,"Low Margin","Healthy Margin"))</f>
        <v>Healthy Margin</v>
      </c>
      <c r="AE868" s="1" t="str">
        <f aca="false">TEXT(DATE(VALUE(RIGHT(B868,4)),VALUE(MID(B868,4,2)),VALUE(LEFT(B868,2))),"MMM-YYYY")</f>
        <v>Nov-2024</v>
      </c>
      <c r="AF868" s="1" t="n">
        <f aca="false">VALUE(RIGHT(B868,4))</f>
        <v>2024</v>
      </c>
      <c r="AG868" s="1" t="str">
        <f aca="false">CHOOSE(ROUNDUP(VALUE(MID(B868,4,2))/3,0),"Q1","Q2","Q3","Q4")</f>
        <v>Q4</v>
      </c>
    </row>
    <row r="869" customFormat="false" ht="15" hidden="false" customHeight="true" outlineLevel="0" collapsed="false">
      <c r="A869" s="1" t="s">
        <v>1545</v>
      </c>
      <c r="B869" s="1" t="s">
        <v>528</v>
      </c>
      <c r="C869" s="1" t="s">
        <v>178</v>
      </c>
      <c r="D869" s="1" t="s">
        <v>29</v>
      </c>
      <c r="E869" s="1" t="s">
        <v>30</v>
      </c>
      <c r="F869" s="1" t="s">
        <v>184</v>
      </c>
      <c r="G869" s="1" t="s">
        <v>56</v>
      </c>
      <c r="H869" s="1" t="s">
        <v>57</v>
      </c>
      <c r="I869" s="1" t="s">
        <v>34</v>
      </c>
      <c r="J869" s="1" t="s">
        <v>35</v>
      </c>
      <c r="K869" s="1" t="s">
        <v>112</v>
      </c>
      <c r="L869" s="1" t="s">
        <v>136</v>
      </c>
      <c r="M869" s="1" t="s">
        <v>38</v>
      </c>
      <c r="N869" s="1" t="n">
        <v>7999</v>
      </c>
      <c r="O869" s="1" t="n">
        <v>50</v>
      </c>
      <c r="P869" s="1" t="n">
        <v>3999.5</v>
      </c>
      <c r="Q869" s="1" t="n">
        <v>3999.5</v>
      </c>
      <c r="R869" s="1" t="n">
        <v>719.91</v>
      </c>
      <c r="S869" s="1" t="n">
        <v>3279.59</v>
      </c>
      <c r="T869" s="1" t="n">
        <v>1694.98</v>
      </c>
      <c r="U869" s="1" t="n">
        <v>1584.61</v>
      </c>
      <c r="V869" s="1" t="n">
        <v>48.32</v>
      </c>
      <c r="W869" s="1" t="s">
        <v>40</v>
      </c>
      <c r="Y869" s="1" t="s">
        <v>40</v>
      </c>
      <c r="Z869" s="1" t="n">
        <v>2</v>
      </c>
      <c r="AA869" s="1" t="str">
        <f aca="false">TRIM(PROPER(F869))</f>
        <v>Faridabad</v>
      </c>
      <c r="AB869" s="1" t="str">
        <f aca="false">TRIM(PROPER(C869))</f>
        <v>Leverage Edu</v>
      </c>
      <c r="AC869" s="1" t="str">
        <f aca="false">IF(O869=0,"No Discount",IF(O869&lt;=15,"Low (1-15%)",IF(O869&lt;=30,"Medium (16-30%)","High (&gt;30%)")))</f>
        <v>High (&gt;30%)</v>
      </c>
      <c r="AD869" s="1" t="str">
        <f aca="false">IF(V869&lt;0,"Loss Making",IF(V869&lt;20,"Low Margin","Healthy Margin"))</f>
        <v>Healthy Margin</v>
      </c>
      <c r="AE869" s="1" t="str">
        <f aca="false">TEXT(DATE(VALUE(RIGHT(B869,4)),VALUE(MID(B869,4,2)),VALUE(LEFT(B869,2))),"MMM-YYYY")</f>
        <v>Aug-2024</v>
      </c>
      <c r="AF869" s="1" t="n">
        <f aca="false">VALUE(RIGHT(B869,4))</f>
        <v>2024</v>
      </c>
      <c r="AG869" s="1" t="str">
        <f aca="false">CHOOSE(ROUNDUP(VALUE(MID(B869,4,2))/3,0),"Q1","Q2","Q3","Q4")</f>
        <v>Q3</v>
      </c>
    </row>
    <row r="870" customFormat="false" ht="15" hidden="false" customHeight="true" outlineLevel="0" collapsed="false">
      <c r="A870" s="1" t="s">
        <v>1546</v>
      </c>
      <c r="B870" s="1" t="s">
        <v>1094</v>
      </c>
      <c r="C870" s="1" t="s">
        <v>119</v>
      </c>
      <c r="D870" s="1" t="s">
        <v>44</v>
      </c>
      <c r="E870" s="1" t="s">
        <v>221</v>
      </c>
      <c r="F870" s="1" t="s">
        <v>156</v>
      </c>
      <c r="G870" s="1" t="s">
        <v>68</v>
      </c>
      <c r="H870" s="1" t="s">
        <v>57</v>
      </c>
      <c r="I870" s="1" t="s">
        <v>34</v>
      </c>
      <c r="J870" s="1" t="s">
        <v>77</v>
      </c>
      <c r="K870" s="1" t="s">
        <v>112</v>
      </c>
      <c r="L870" s="1" t="s">
        <v>136</v>
      </c>
      <c r="M870" s="1" t="s">
        <v>62</v>
      </c>
      <c r="N870" s="1" t="n">
        <v>16999</v>
      </c>
      <c r="O870" s="1" t="n">
        <v>15</v>
      </c>
      <c r="P870" s="1" t="n">
        <v>2549.85</v>
      </c>
      <c r="Q870" s="1" t="n">
        <v>14449.15</v>
      </c>
      <c r="R870" s="1" t="n">
        <v>2600.85</v>
      </c>
      <c r="S870" s="1" t="n">
        <v>11848.3</v>
      </c>
      <c r="T870" s="1" t="n">
        <v>5333.73</v>
      </c>
      <c r="U870" s="1" t="n">
        <v>6514.57</v>
      </c>
      <c r="V870" s="1" t="n">
        <v>54.98</v>
      </c>
      <c r="W870" s="1" t="s">
        <v>39</v>
      </c>
      <c r="X870" s="1" t="n">
        <v>3.7</v>
      </c>
      <c r="Y870" s="1" t="s">
        <v>40</v>
      </c>
      <c r="Z870" s="1" t="n">
        <v>0</v>
      </c>
      <c r="AA870" s="1" t="str">
        <f aca="false">TRIM(PROPER(F870))</f>
        <v>Surat</v>
      </c>
      <c r="AB870" s="1" t="str">
        <f aca="false">TRIM(PROPER(C870))</f>
        <v>Simplilearn</v>
      </c>
      <c r="AC870" s="1" t="str">
        <f aca="false">IF(O870=0,"No Discount",IF(O870&lt;=15,"Low (1-15%)",IF(O870&lt;=30,"Medium (16-30%)","High (&gt;30%)")))</f>
        <v>Low (1-15%)</v>
      </c>
      <c r="AD870" s="1" t="str">
        <f aca="false">IF(V870&lt;0,"Loss Making",IF(V870&lt;20,"Low Margin","Healthy Margin"))</f>
        <v>Healthy Margin</v>
      </c>
      <c r="AE870" s="1" t="str">
        <f aca="false">TEXT(DATE(VALUE(RIGHT(B870,4)),VALUE(MID(B870,4,2)),VALUE(LEFT(B870,2))),"MMM-YYYY")</f>
        <v>Sep-2024</v>
      </c>
      <c r="AF870" s="1" t="n">
        <f aca="false">VALUE(RIGHT(B870,4))</f>
        <v>2024</v>
      </c>
      <c r="AG870" s="1" t="str">
        <f aca="false">CHOOSE(ROUNDUP(VALUE(MID(B870,4,2))/3,0),"Q1","Q2","Q3","Q4")</f>
        <v>Q3</v>
      </c>
    </row>
    <row r="871" customFormat="false" ht="15" hidden="false" customHeight="true" outlineLevel="0" collapsed="false">
      <c r="A871" s="1" t="s">
        <v>1547</v>
      </c>
      <c r="B871" s="1" t="s">
        <v>933</v>
      </c>
      <c r="C871" s="1" t="s">
        <v>119</v>
      </c>
      <c r="D871" s="1" t="s">
        <v>143</v>
      </c>
      <c r="E871" s="1" t="s">
        <v>210</v>
      </c>
      <c r="F871" s="1" t="s">
        <v>55</v>
      </c>
      <c r="G871" s="1" t="s">
        <v>56</v>
      </c>
      <c r="H871" s="1" t="s">
        <v>57</v>
      </c>
      <c r="I871" s="1" t="s">
        <v>58</v>
      </c>
      <c r="J871" s="1" t="s">
        <v>131</v>
      </c>
      <c r="K871" s="1" t="s">
        <v>60</v>
      </c>
      <c r="L871" s="1" t="s">
        <v>61</v>
      </c>
      <c r="M871" s="1" t="s">
        <v>62</v>
      </c>
      <c r="N871" s="1" t="n">
        <v>18999</v>
      </c>
      <c r="O871" s="1" t="n">
        <v>0</v>
      </c>
      <c r="P871" s="1" t="n">
        <v>0</v>
      </c>
      <c r="Q871" s="1" t="n">
        <v>18999</v>
      </c>
      <c r="R871" s="1" t="n">
        <v>3419.82</v>
      </c>
      <c r="S871" s="1" t="n">
        <v>15579.18</v>
      </c>
      <c r="T871" s="1" t="n">
        <v>6252.89</v>
      </c>
      <c r="U871" s="1" t="n">
        <v>9326.29</v>
      </c>
      <c r="V871" s="1" t="n">
        <v>59.86</v>
      </c>
      <c r="W871" s="1" t="s">
        <v>40</v>
      </c>
      <c r="Y871" s="1" t="s">
        <v>40</v>
      </c>
      <c r="Z871" s="1" t="n">
        <v>1</v>
      </c>
      <c r="AA871" s="1" t="str">
        <f aca="false">TRIM(PROPER(F871))</f>
        <v>Ghaziabad</v>
      </c>
      <c r="AB871" s="1" t="str">
        <f aca="false">TRIM(PROPER(C871))</f>
        <v>Simplilearn</v>
      </c>
      <c r="AC871" s="1" t="str">
        <f aca="false">IF(O871=0,"No Discount",IF(O871&lt;=15,"Low (1-15%)",IF(O871&lt;=30,"Medium (16-30%)","High (&gt;30%)")))</f>
        <v>No Discount</v>
      </c>
      <c r="AD871" s="1" t="str">
        <f aca="false">IF(V871&lt;0,"Loss Making",IF(V871&lt;20,"Low Margin","Healthy Margin"))</f>
        <v>Healthy Margin</v>
      </c>
      <c r="AE871" s="1" t="str">
        <f aca="false">TEXT(DATE(VALUE(RIGHT(B871,4)),VALUE(MID(B871,4,2)),VALUE(LEFT(B871,2))),"MMM-YYYY")</f>
        <v>Sep-2023</v>
      </c>
      <c r="AF871" s="1" t="n">
        <f aca="false">VALUE(RIGHT(B871,4))</f>
        <v>2023</v>
      </c>
      <c r="AG871" s="1" t="str">
        <f aca="false">CHOOSE(ROUNDUP(VALUE(MID(B871,4,2))/3,0),"Q1","Q2","Q3","Q4")</f>
        <v>Q3</v>
      </c>
    </row>
    <row r="872" customFormat="false" ht="15" hidden="false" customHeight="true" outlineLevel="0" collapsed="false">
      <c r="A872" s="1" t="s">
        <v>1548</v>
      </c>
      <c r="B872" s="1" t="s">
        <v>1089</v>
      </c>
      <c r="C872" s="1" t="s">
        <v>139</v>
      </c>
      <c r="D872" s="1" t="s">
        <v>80</v>
      </c>
      <c r="E872" s="1" t="s">
        <v>175</v>
      </c>
      <c r="F872" s="1" t="s">
        <v>55</v>
      </c>
      <c r="G872" s="1" t="s">
        <v>56</v>
      </c>
      <c r="H872" s="1" t="s">
        <v>57</v>
      </c>
      <c r="I872" s="1" t="s">
        <v>58</v>
      </c>
      <c r="J872" s="1" t="s">
        <v>59</v>
      </c>
      <c r="K872" s="1" t="s">
        <v>36</v>
      </c>
      <c r="L872" s="1" t="s">
        <v>85</v>
      </c>
      <c r="M872" s="1" t="s">
        <v>38</v>
      </c>
      <c r="N872" s="1" t="n">
        <v>19999</v>
      </c>
      <c r="O872" s="1" t="n">
        <v>5</v>
      </c>
      <c r="P872" s="1" t="n">
        <v>999.95</v>
      </c>
      <c r="Q872" s="1" t="n">
        <v>18999.05</v>
      </c>
      <c r="R872" s="1" t="n">
        <v>3419.83</v>
      </c>
      <c r="S872" s="1" t="n">
        <v>15579.22</v>
      </c>
      <c r="T872" s="1" t="n">
        <v>6627.6</v>
      </c>
      <c r="U872" s="1" t="n">
        <v>8951.62</v>
      </c>
      <c r="V872" s="1" t="n">
        <v>57.46</v>
      </c>
      <c r="W872" s="1" t="s">
        <v>40</v>
      </c>
      <c r="Y872" s="1" t="s">
        <v>40</v>
      </c>
      <c r="Z872" s="1" t="n">
        <v>0</v>
      </c>
      <c r="AA872" s="1" t="str">
        <f aca="false">TRIM(PROPER(F872))</f>
        <v>Ghaziabad</v>
      </c>
      <c r="AB872" s="1" t="str">
        <f aca="false">TRIM(PROPER(C872))</f>
        <v>Extramarks</v>
      </c>
      <c r="AC872" s="1" t="str">
        <f aca="false">IF(O872=0,"No Discount",IF(O872&lt;=15,"Low (1-15%)",IF(O872&lt;=30,"Medium (16-30%)","High (&gt;30%)")))</f>
        <v>Low (1-15%)</v>
      </c>
      <c r="AD872" s="1" t="str">
        <f aca="false">IF(V872&lt;0,"Loss Making",IF(V872&lt;20,"Low Margin","Healthy Margin"))</f>
        <v>Healthy Margin</v>
      </c>
      <c r="AE872" s="1" t="str">
        <f aca="false">TEXT(DATE(VALUE(RIGHT(B872,4)),VALUE(MID(B872,4,2)),VALUE(LEFT(B872,2))),"MMM-YYYY")</f>
        <v>Jul-2023</v>
      </c>
      <c r="AF872" s="1" t="n">
        <f aca="false">VALUE(RIGHT(B872,4))</f>
        <v>2023</v>
      </c>
      <c r="AG872" s="1" t="str">
        <f aca="false">CHOOSE(ROUNDUP(VALUE(MID(B872,4,2))/3,0),"Q1","Q2","Q3","Q4")</f>
        <v>Q3</v>
      </c>
    </row>
    <row r="873" customFormat="false" ht="15" hidden="false" customHeight="true" outlineLevel="0" collapsed="false">
      <c r="A873" s="1" t="s">
        <v>1549</v>
      </c>
      <c r="B873" s="1" t="s">
        <v>1550</v>
      </c>
      <c r="C873" s="1" t="s">
        <v>119</v>
      </c>
      <c r="D873" s="1" t="s">
        <v>29</v>
      </c>
      <c r="E873" s="1" t="s">
        <v>129</v>
      </c>
      <c r="F873" s="1" t="s">
        <v>205</v>
      </c>
      <c r="G873" s="1" t="s">
        <v>56</v>
      </c>
      <c r="H873" s="1" t="s">
        <v>69</v>
      </c>
      <c r="I873" s="1" t="s">
        <v>58</v>
      </c>
      <c r="J873" s="1" t="s">
        <v>35</v>
      </c>
      <c r="K873" s="1" t="s">
        <v>60</v>
      </c>
      <c r="L873" s="1" t="s">
        <v>113</v>
      </c>
      <c r="M873" s="1" t="s">
        <v>50</v>
      </c>
      <c r="N873" s="1" t="n">
        <v>29999</v>
      </c>
      <c r="O873" s="1" t="n">
        <v>10</v>
      </c>
      <c r="P873" s="1" t="n">
        <v>2999.9</v>
      </c>
      <c r="Q873" s="1" t="n">
        <v>26999.1</v>
      </c>
      <c r="R873" s="1" t="n">
        <v>4859.84</v>
      </c>
      <c r="S873" s="1" t="n">
        <v>22139.26</v>
      </c>
      <c r="T873" s="1" t="n">
        <v>6518.85</v>
      </c>
      <c r="U873" s="1" t="n">
        <v>15620.41</v>
      </c>
      <c r="V873" s="1" t="n">
        <v>70.56</v>
      </c>
      <c r="W873" s="1" t="s">
        <v>39</v>
      </c>
      <c r="Y873" s="1" t="s">
        <v>40</v>
      </c>
      <c r="Z873" s="1" t="n">
        <v>0</v>
      </c>
      <c r="AA873" s="1" t="str">
        <f aca="false">TRIM(PROPER(F873))</f>
        <v>New Delhi</v>
      </c>
      <c r="AB873" s="1" t="str">
        <f aca="false">TRIM(PROPER(C873))</f>
        <v>Simplilearn</v>
      </c>
      <c r="AC873" s="1" t="str">
        <f aca="false">IF(O873=0,"No Discount",IF(O873&lt;=15,"Low (1-15%)",IF(O873&lt;=30,"Medium (16-30%)","High (&gt;30%)")))</f>
        <v>Low (1-15%)</v>
      </c>
      <c r="AD873" s="1" t="str">
        <f aca="false">IF(V873&lt;0,"Loss Making",IF(V873&lt;20,"Low Margin","Healthy Margin"))</f>
        <v>Healthy Margin</v>
      </c>
      <c r="AE873" s="1" t="str">
        <f aca="false">TEXT(DATE(VALUE(RIGHT(B873,4)),VALUE(MID(B873,4,2)),VALUE(LEFT(B873,2))),"MMM-YYYY")</f>
        <v>Jul-2023</v>
      </c>
      <c r="AF873" s="1" t="n">
        <f aca="false">VALUE(RIGHT(B873,4))</f>
        <v>2023</v>
      </c>
      <c r="AG873" s="1" t="str">
        <f aca="false">CHOOSE(ROUNDUP(VALUE(MID(B873,4,2))/3,0),"Q1","Q2","Q3","Q4")</f>
        <v>Q3</v>
      </c>
    </row>
    <row r="874" customFormat="false" ht="15" hidden="false" customHeight="true" outlineLevel="0" collapsed="false">
      <c r="A874" s="1" t="s">
        <v>1551</v>
      </c>
      <c r="B874" s="1" t="s">
        <v>1111</v>
      </c>
      <c r="C874" s="1" t="s">
        <v>65</v>
      </c>
      <c r="D874" s="1" t="s">
        <v>80</v>
      </c>
      <c r="E874" s="1" t="s">
        <v>193</v>
      </c>
      <c r="F874" s="1" t="s">
        <v>153</v>
      </c>
      <c r="G874" s="1" t="s">
        <v>76</v>
      </c>
      <c r="H874" s="1" t="s">
        <v>33</v>
      </c>
      <c r="I874" s="1" t="s">
        <v>34</v>
      </c>
      <c r="J874" s="1" t="s">
        <v>131</v>
      </c>
      <c r="K874" s="1" t="s">
        <v>71</v>
      </c>
      <c r="L874" s="1" t="s">
        <v>85</v>
      </c>
      <c r="M874" s="1" t="s">
        <v>38</v>
      </c>
      <c r="N874" s="1" t="n">
        <v>8999</v>
      </c>
      <c r="O874" s="1" t="n">
        <v>20</v>
      </c>
      <c r="P874" s="1" t="n">
        <v>1799.8</v>
      </c>
      <c r="Q874" s="1" t="n">
        <v>7199.2</v>
      </c>
      <c r="R874" s="1" t="n">
        <v>1295.86</v>
      </c>
      <c r="S874" s="1" t="n">
        <v>5903.34</v>
      </c>
      <c r="T874" s="1" t="n">
        <v>2688.29</v>
      </c>
      <c r="U874" s="1" t="n">
        <v>3215.05</v>
      </c>
      <c r="V874" s="1" t="n">
        <v>54.46</v>
      </c>
      <c r="W874" s="1" t="s">
        <v>39</v>
      </c>
      <c r="Y874" s="1" t="s">
        <v>40</v>
      </c>
      <c r="Z874" s="1" t="n">
        <v>0</v>
      </c>
      <c r="AA874" s="1" t="str">
        <f aca="false">TRIM(PROPER(F874))</f>
        <v>Howrah</v>
      </c>
      <c r="AB874" s="1" t="str">
        <f aca="false">TRIM(PROPER(C874))</f>
        <v>Toppr</v>
      </c>
      <c r="AC874" s="1" t="str">
        <f aca="false">IF(O874=0,"No Discount",IF(O874&lt;=15,"Low (1-15%)",IF(O874&lt;=30,"Medium (16-30%)","High (&gt;30%)")))</f>
        <v>Medium (16-30%)</v>
      </c>
      <c r="AD874" s="1" t="str">
        <f aca="false">IF(V874&lt;0,"Loss Making",IF(V874&lt;20,"Low Margin","Healthy Margin"))</f>
        <v>Healthy Margin</v>
      </c>
      <c r="AE874" s="1" t="str">
        <f aca="false">TEXT(DATE(VALUE(RIGHT(B874,4)),VALUE(MID(B874,4,2)),VALUE(LEFT(B874,2))),"MMM-YYYY")</f>
        <v>Dec-2024</v>
      </c>
      <c r="AF874" s="1" t="n">
        <f aca="false">VALUE(RIGHT(B874,4))</f>
        <v>2024</v>
      </c>
      <c r="AG874" s="1" t="str">
        <f aca="false">CHOOSE(ROUNDUP(VALUE(MID(B874,4,2))/3,0),"Q1","Q2","Q3","Q4")</f>
        <v>Q4</v>
      </c>
    </row>
    <row r="875" customFormat="false" ht="15" hidden="false" customHeight="true" outlineLevel="0" collapsed="false">
      <c r="A875" s="1" t="s">
        <v>1552</v>
      </c>
      <c r="B875" s="1" t="s">
        <v>1553</v>
      </c>
      <c r="C875" s="1" t="s">
        <v>43</v>
      </c>
      <c r="D875" s="1" t="s">
        <v>168</v>
      </c>
      <c r="E875" s="1" t="s">
        <v>172</v>
      </c>
      <c r="F875" s="1" t="s">
        <v>244</v>
      </c>
      <c r="G875" s="1" t="s">
        <v>97</v>
      </c>
      <c r="H875" s="1" t="s">
        <v>57</v>
      </c>
      <c r="I875" s="1" t="s">
        <v>58</v>
      </c>
      <c r="J875" s="1" t="s">
        <v>131</v>
      </c>
      <c r="K875" s="1" t="s">
        <v>71</v>
      </c>
      <c r="L875" s="1" t="s">
        <v>37</v>
      </c>
      <c r="M875" s="1" t="s">
        <v>50</v>
      </c>
      <c r="N875" s="1" t="n">
        <v>6999</v>
      </c>
      <c r="O875" s="1" t="n">
        <v>0</v>
      </c>
      <c r="P875" s="1" t="n">
        <v>0</v>
      </c>
      <c r="Q875" s="1" t="n">
        <v>6999</v>
      </c>
      <c r="R875" s="1" t="n">
        <v>1259.82</v>
      </c>
      <c r="S875" s="1" t="n">
        <v>5739.18</v>
      </c>
      <c r="T875" s="1" t="n">
        <v>2556.65</v>
      </c>
      <c r="U875" s="1" t="n">
        <v>3182.53</v>
      </c>
      <c r="V875" s="1" t="n">
        <v>55.45</v>
      </c>
      <c r="W875" s="1" t="s">
        <v>39</v>
      </c>
      <c r="X875" s="1" t="n">
        <v>4.1</v>
      </c>
      <c r="Y875" s="1" t="s">
        <v>40</v>
      </c>
      <c r="Z875" s="1" t="n">
        <v>1</v>
      </c>
      <c r="AA875" s="1" t="str">
        <f aca="false">TRIM(PROPER(F875))</f>
        <v>Nagpur</v>
      </c>
      <c r="AB875" s="1" t="str">
        <f aca="false">TRIM(PROPER(C875))</f>
        <v>Meritnation</v>
      </c>
      <c r="AC875" s="1" t="str">
        <f aca="false">IF(O875=0,"No Discount",IF(O875&lt;=15,"Low (1-15%)",IF(O875&lt;=30,"Medium (16-30%)","High (&gt;30%)")))</f>
        <v>No Discount</v>
      </c>
      <c r="AD875" s="1" t="str">
        <f aca="false">IF(V875&lt;0,"Loss Making",IF(V875&lt;20,"Low Margin","Healthy Margin"))</f>
        <v>Healthy Margin</v>
      </c>
      <c r="AE875" s="1" t="str">
        <f aca="false">TEXT(DATE(VALUE(RIGHT(B875,4)),VALUE(MID(B875,4,2)),VALUE(LEFT(B875,2))),"MMM-YYYY")</f>
        <v>May-2023</v>
      </c>
      <c r="AF875" s="1" t="n">
        <f aca="false">VALUE(RIGHT(B875,4))</f>
        <v>2023</v>
      </c>
      <c r="AG875" s="1" t="str">
        <f aca="false">CHOOSE(ROUNDUP(VALUE(MID(B875,4,2))/3,0),"Q1","Q2","Q3","Q4")</f>
        <v>Q2</v>
      </c>
    </row>
    <row r="876" customFormat="false" ht="15" hidden="false" customHeight="true" outlineLevel="0" collapsed="false">
      <c r="A876" s="1" t="s">
        <v>1554</v>
      </c>
      <c r="B876" s="1" t="s">
        <v>515</v>
      </c>
      <c r="C876" s="1" t="s">
        <v>128</v>
      </c>
      <c r="D876" s="1" t="s">
        <v>143</v>
      </c>
      <c r="E876" s="1" t="s">
        <v>159</v>
      </c>
      <c r="F876" s="1" t="s">
        <v>125</v>
      </c>
      <c r="G876" s="1" t="s">
        <v>108</v>
      </c>
      <c r="H876" s="1" t="s">
        <v>69</v>
      </c>
      <c r="I876" s="1" t="s">
        <v>83</v>
      </c>
      <c r="J876" s="1" t="s">
        <v>35</v>
      </c>
      <c r="K876" s="1" t="s">
        <v>60</v>
      </c>
      <c r="L876" s="1" t="s">
        <v>136</v>
      </c>
      <c r="M876" s="1" t="s">
        <v>50</v>
      </c>
      <c r="N876" s="1" t="n">
        <v>24999</v>
      </c>
      <c r="O876" s="1" t="n">
        <v>0</v>
      </c>
      <c r="P876" s="1" t="n">
        <v>0</v>
      </c>
      <c r="Q876" s="1" t="n">
        <v>24999</v>
      </c>
      <c r="R876" s="1" t="n">
        <v>4499.82</v>
      </c>
      <c r="S876" s="1" t="n">
        <v>20499.18</v>
      </c>
      <c r="T876" s="1" t="n">
        <v>7632.95</v>
      </c>
      <c r="U876" s="1" t="n">
        <v>12866.23</v>
      </c>
      <c r="V876" s="1" t="n">
        <v>62.76</v>
      </c>
      <c r="W876" s="1" t="s">
        <v>39</v>
      </c>
      <c r="X876" s="1" t="n">
        <v>3.3</v>
      </c>
      <c r="Y876" s="1" t="s">
        <v>40</v>
      </c>
      <c r="Z876" s="1" t="n">
        <v>0</v>
      </c>
      <c r="AA876" s="1" t="str">
        <f aca="false">TRIM(PROPER(F876))</f>
        <v>Chennai</v>
      </c>
      <c r="AB876" s="1" t="str">
        <f aca="false">TRIM(PROPER(C876))</f>
        <v>Great Learning</v>
      </c>
      <c r="AC876" s="1" t="str">
        <f aca="false">IF(O876=0,"No Discount",IF(O876&lt;=15,"Low (1-15%)",IF(O876&lt;=30,"Medium (16-30%)","High (&gt;30%)")))</f>
        <v>No Discount</v>
      </c>
      <c r="AD876" s="1" t="str">
        <f aca="false">IF(V876&lt;0,"Loss Making",IF(V876&lt;20,"Low Margin","Healthy Margin"))</f>
        <v>Healthy Margin</v>
      </c>
      <c r="AE876" s="1" t="str">
        <f aca="false">TEXT(DATE(VALUE(RIGHT(B876,4)),VALUE(MID(B876,4,2)),VALUE(LEFT(B876,2))),"MMM-YYYY")</f>
        <v>Sep-2024</v>
      </c>
      <c r="AF876" s="1" t="n">
        <f aca="false">VALUE(RIGHT(B876,4))</f>
        <v>2024</v>
      </c>
      <c r="AG876" s="1" t="str">
        <f aca="false">CHOOSE(ROUNDUP(VALUE(MID(B876,4,2))/3,0),"Q1","Q2","Q3","Q4")</f>
        <v>Q3</v>
      </c>
    </row>
    <row r="877" customFormat="false" ht="15" hidden="false" customHeight="true" outlineLevel="0" collapsed="false">
      <c r="A877" s="1" t="s">
        <v>1555</v>
      </c>
      <c r="B877" s="1" t="s">
        <v>1556</v>
      </c>
      <c r="C877" s="1" t="s">
        <v>264</v>
      </c>
      <c r="D877" s="1" t="s">
        <v>143</v>
      </c>
      <c r="E877" s="1" t="s">
        <v>243</v>
      </c>
      <c r="F877" s="1" t="s">
        <v>55</v>
      </c>
      <c r="G877" s="1" t="s">
        <v>56</v>
      </c>
      <c r="H877" s="1" t="s">
        <v>57</v>
      </c>
      <c r="I877" s="1" t="s">
        <v>83</v>
      </c>
      <c r="J877" s="1" t="s">
        <v>77</v>
      </c>
      <c r="K877" s="1" t="s">
        <v>71</v>
      </c>
      <c r="L877" s="1" t="s">
        <v>136</v>
      </c>
      <c r="M877" s="1" t="s">
        <v>62</v>
      </c>
      <c r="N877" s="1" t="n">
        <v>22999</v>
      </c>
      <c r="O877" s="1" t="n">
        <v>15</v>
      </c>
      <c r="P877" s="1" t="n">
        <v>3449.85</v>
      </c>
      <c r="Q877" s="1" t="n">
        <v>19549.15</v>
      </c>
      <c r="R877" s="1" t="n">
        <v>3518.85</v>
      </c>
      <c r="S877" s="1" t="n">
        <v>16030.3</v>
      </c>
      <c r="T877" s="1" t="n">
        <v>8479.58</v>
      </c>
      <c r="U877" s="1" t="n">
        <v>7550.72</v>
      </c>
      <c r="V877" s="1" t="n">
        <v>47.1</v>
      </c>
      <c r="W877" s="1" t="s">
        <v>40</v>
      </c>
      <c r="Y877" s="1" t="s">
        <v>40</v>
      </c>
      <c r="Z877" s="1" t="n">
        <v>1</v>
      </c>
      <c r="AA877" s="1" t="str">
        <f aca="false">TRIM(PROPER(F877))</f>
        <v>Ghaziabad</v>
      </c>
      <c r="AB877" s="1" t="str">
        <f aca="false">TRIM(PROPER(C877))</f>
        <v>Unacademy</v>
      </c>
      <c r="AC877" s="1" t="str">
        <f aca="false">IF(O877=0,"No Discount",IF(O877&lt;=15,"Low (1-15%)",IF(O877&lt;=30,"Medium (16-30%)","High (&gt;30%)")))</f>
        <v>Low (1-15%)</v>
      </c>
      <c r="AD877" s="1" t="str">
        <f aca="false">IF(V877&lt;0,"Loss Making",IF(V877&lt;20,"Low Margin","Healthy Margin"))</f>
        <v>Healthy Margin</v>
      </c>
      <c r="AE877" s="1" t="str">
        <f aca="false">TEXT(DATE(VALUE(RIGHT(B877,4)),VALUE(MID(B877,4,2)),VALUE(LEFT(B877,2))),"MMM-YYYY")</f>
        <v>Aug-2023</v>
      </c>
      <c r="AF877" s="1" t="n">
        <f aca="false">VALUE(RIGHT(B877,4))</f>
        <v>2023</v>
      </c>
      <c r="AG877" s="1" t="str">
        <f aca="false">CHOOSE(ROUNDUP(VALUE(MID(B877,4,2))/3,0),"Q1","Q2","Q3","Q4")</f>
        <v>Q3</v>
      </c>
    </row>
    <row r="878" customFormat="false" ht="15" hidden="false" customHeight="true" outlineLevel="0" collapsed="false">
      <c r="A878" s="1" t="s">
        <v>1557</v>
      </c>
      <c r="B878" s="1" t="s">
        <v>1558</v>
      </c>
      <c r="C878" s="1" t="s">
        <v>139</v>
      </c>
      <c r="D878" s="1" t="s">
        <v>80</v>
      </c>
      <c r="E878" s="1" t="s">
        <v>190</v>
      </c>
      <c r="F878" s="1" t="s">
        <v>153</v>
      </c>
      <c r="G878" s="1" t="s">
        <v>76</v>
      </c>
      <c r="H878" s="1" t="s">
        <v>33</v>
      </c>
      <c r="I878" s="1" t="s">
        <v>58</v>
      </c>
      <c r="J878" s="1" t="s">
        <v>70</v>
      </c>
      <c r="K878" s="1" t="s">
        <v>71</v>
      </c>
      <c r="L878" s="1" t="s">
        <v>49</v>
      </c>
      <c r="M878" s="1" t="s">
        <v>38</v>
      </c>
      <c r="N878" s="1" t="n">
        <v>15999</v>
      </c>
      <c r="O878" s="1" t="n">
        <v>10</v>
      </c>
      <c r="P878" s="1" t="n">
        <v>1599.9</v>
      </c>
      <c r="Q878" s="1" t="n">
        <v>14399.1</v>
      </c>
      <c r="R878" s="1" t="n">
        <v>2591.84</v>
      </c>
      <c r="S878" s="1" t="n">
        <v>11807.26</v>
      </c>
      <c r="T878" s="1" t="n">
        <v>5973.4</v>
      </c>
      <c r="U878" s="1" t="n">
        <v>5833.86</v>
      </c>
      <c r="V878" s="1" t="n">
        <v>49.41</v>
      </c>
      <c r="W878" s="1" t="s">
        <v>39</v>
      </c>
      <c r="X878" s="1" t="n">
        <v>3.2</v>
      </c>
      <c r="Y878" s="1" t="s">
        <v>40</v>
      </c>
      <c r="Z878" s="1" t="n">
        <v>1</v>
      </c>
      <c r="AA878" s="1" t="str">
        <f aca="false">TRIM(PROPER(F878))</f>
        <v>Howrah</v>
      </c>
      <c r="AB878" s="1" t="str">
        <f aca="false">TRIM(PROPER(C878))</f>
        <v>Extramarks</v>
      </c>
      <c r="AC878" s="1" t="str">
        <f aca="false">IF(O878=0,"No Discount",IF(O878&lt;=15,"Low (1-15%)",IF(O878&lt;=30,"Medium (16-30%)","High (&gt;30%)")))</f>
        <v>Low (1-15%)</v>
      </c>
      <c r="AD878" s="1" t="str">
        <f aca="false">IF(V878&lt;0,"Loss Making",IF(V878&lt;20,"Low Margin","Healthy Margin"))</f>
        <v>Healthy Margin</v>
      </c>
      <c r="AE878" s="1" t="str">
        <f aca="false">TEXT(DATE(VALUE(RIGHT(B878,4)),VALUE(MID(B878,4,2)),VALUE(LEFT(B878,2))),"MMM-YYYY")</f>
        <v>Mar-2024</v>
      </c>
      <c r="AF878" s="1" t="n">
        <f aca="false">VALUE(RIGHT(B878,4))</f>
        <v>2024</v>
      </c>
      <c r="AG878" s="1" t="str">
        <f aca="false">CHOOSE(ROUNDUP(VALUE(MID(B878,4,2))/3,0),"Q1","Q2","Q3","Q4")</f>
        <v>Q1</v>
      </c>
    </row>
    <row r="879" customFormat="false" ht="15" hidden="false" customHeight="true" outlineLevel="0" collapsed="false">
      <c r="A879" s="1" t="s">
        <v>1559</v>
      </c>
      <c r="B879" s="1" t="s">
        <v>1346</v>
      </c>
      <c r="C879" s="1" t="s">
        <v>249</v>
      </c>
      <c r="D879" s="1" t="s">
        <v>94</v>
      </c>
      <c r="E879" s="1" t="s">
        <v>135</v>
      </c>
      <c r="F879" s="1" t="s">
        <v>31</v>
      </c>
      <c r="G879" s="1" t="s">
        <v>32</v>
      </c>
      <c r="H879" s="1" t="s">
        <v>33</v>
      </c>
      <c r="I879" s="1" t="s">
        <v>83</v>
      </c>
      <c r="J879" s="1" t="s">
        <v>131</v>
      </c>
      <c r="K879" s="1" t="s">
        <v>112</v>
      </c>
      <c r="L879" s="1" t="s">
        <v>113</v>
      </c>
      <c r="M879" s="1" t="s">
        <v>38</v>
      </c>
      <c r="N879" s="1" t="n">
        <v>9999</v>
      </c>
      <c r="O879" s="1" t="n">
        <v>10</v>
      </c>
      <c r="P879" s="1" t="n">
        <v>999.9</v>
      </c>
      <c r="Q879" s="1" t="n">
        <v>8999.1</v>
      </c>
      <c r="R879" s="1" t="n">
        <v>1619.84</v>
      </c>
      <c r="S879" s="1" t="n">
        <v>7379.26</v>
      </c>
      <c r="T879" s="1" t="n">
        <v>3287.38</v>
      </c>
      <c r="U879" s="1" t="n">
        <v>4091.88</v>
      </c>
      <c r="V879" s="1" t="n">
        <v>55.45</v>
      </c>
      <c r="W879" s="1" t="s">
        <v>39</v>
      </c>
      <c r="Y879" s="1" t="s">
        <v>39</v>
      </c>
      <c r="Z879" s="1" t="n">
        <v>1</v>
      </c>
      <c r="AA879" s="1" t="str">
        <f aca="false">TRIM(PROPER(F879))</f>
        <v>Jodhpur</v>
      </c>
      <c r="AB879" s="1" t="str">
        <f aca="false">TRIM(PROPER(C879))</f>
        <v>Whitehat Jr</v>
      </c>
      <c r="AC879" s="1" t="str">
        <f aca="false">IF(O879=0,"No Discount",IF(O879&lt;=15,"Low (1-15%)",IF(O879&lt;=30,"Medium (16-30%)","High (&gt;30%)")))</f>
        <v>Low (1-15%)</v>
      </c>
      <c r="AD879" s="1" t="str">
        <f aca="false">IF(V879&lt;0,"Loss Making",IF(V879&lt;20,"Low Margin","Healthy Margin"))</f>
        <v>Healthy Margin</v>
      </c>
      <c r="AE879" s="1" t="str">
        <f aca="false">TEXT(DATE(VALUE(RIGHT(B879,4)),VALUE(MID(B879,4,2)),VALUE(LEFT(B879,2))),"MMM-YYYY")</f>
        <v>Aug-2024</v>
      </c>
      <c r="AF879" s="1" t="n">
        <f aca="false">VALUE(RIGHT(B879,4))</f>
        <v>2024</v>
      </c>
      <c r="AG879" s="1" t="str">
        <f aca="false">CHOOSE(ROUNDUP(VALUE(MID(B879,4,2))/3,0),"Q1","Q2","Q3","Q4")</f>
        <v>Q3</v>
      </c>
    </row>
    <row r="880" customFormat="false" ht="15" hidden="false" customHeight="true" outlineLevel="0" collapsed="false">
      <c r="A880" s="1" t="s">
        <v>1560</v>
      </c>
      <c r="B880" s="1" t="s">
        <v>389</v>
      </c>
      <c r="C880" s="1" t="s">
        <v>93</v>
      </c>
      <c r="D880" s="1" t="s">
        <v>94</v>
      </c>
      <c r="E880" s="1" t="s">
        <v>101</v>
      </c>
      <c r="F880" s="1" t="s">
        <v>244</v>
      </c>
      <c r="G880" s="1" t="s">
        <v>97</v>
      </c>
      <c r="H880" s="1" t="s">
        <v>57</v>
      </c>
      <c r="I880" s="1" t="s">
        <v>83</v>
      </c>
      <c r="J880" s="1" t="s">
        <v>131</v>
      </c>
      <c r="K880" s="1" t="s">
        <v>60</v>
      </c>
      <c r="L880" s="1" t="s">
        <v>49</v>
      </c>
      <c r="M880" s="1" t="s">
        <v>62</v>
      </c>
      <c r="N880" s="1" t="n">
        <v>14999</v>
      </c>
      <c r="O880" s="1" t="n">
        <v>10</v>
      </c>
      <c r="P880" s="1" t="n">
        <v>1499.9</v>
      </c>
      <c r="Q880" s="1" t="n">
        <v>13499.1</v>
      </c>
      <c r="R880" s="1" t="n">
        <v>2429.84</v>
      </c>
      <c r="S880" s="1" t="n">
        <v>11069.26</v>
      </c>
      <c r="T880" s="1" t="n">
        <v>5741.87</v>
      </c>
      <c r="U880" s="1" t="n">
        <v>5327.39</v>
      </c>
      <c r="V880" s="1" t="n">
        <v>48.13</v>
      </c>
      <c r="W880" s="1" t="s">
        <v>40</v>
      </c>
      <c r="Y880" s="1" t="s">
        <v>40</v>
      </c>
      <c r="Z880" s="1" t="n">
        <v>1</v>
      </c>
      <c r="AA880" s="1" t="str">
        <f aca="false">TRIM(PROPER(F880))</f>
        <v>Nagpur</v>
      </c>
      <c r="AB880" s="1" t="str">
        <f aca="false">TRIM(PROPER(C880))</f>
        <v>Upgrad</v>
      </c>
      <c r="AC880" s="1" t="str">
        <f aca="false">IF(O880=0,"No Discount",IF(O880&lt;=15,"Low (1-15%)",IF(O880&lt;=30,"Medium (16-30%)","High (&gt;30%)")))</f>
        <v>Low (1-15%)</v>
      </c>
      <c r="AD880" s="1" t="str">
        <f aca="false">IF(V880&lt;0,"Loss Making",IF(V880&lt;20,"Low Margin","Healthy Margin"))</f>
        <v>Healthy Margin</v>
      </c>
      <c r="AE880" s="1" t="str">
        <f aca="false">TEXT(DATE(VALUE(RIGHT(B880,4)),VALUE(MID(B880,4,2)),VALUE(LEFT(B880,2))),"MMM-YYYY")</f>
        <v>Feb-2023</v>
      </c>
      <c r="AF880" s="1" t="n">
        <f aca="false">VALUE(RIGHT(B880,4))</f>
        <v>2023</v>
      </c>
      <c r="AG880" s="1" t="str">
        <f aca="false">CHOOSE(ROUNDUP(VALUE(MID(B880,4,2))/3,0),"Q1","Q2","Q3","Q4")</f>
        <v>Q1</v>
      </c>
    </row>
    <row r="881" customFormat="false" ht="15" hidden="false" customHeight="true" outlineLevel="0" collapsed="false">
      <c r="A881" s="1" t="s">
        <v>1561</v>
      </c>
      <c r="B881" s="1" t="s">
        <v>346</v>
      </c>
      <c r="C881" s="1" t="s">
        <v>65</v>
      </c>
      <c r="D881" s="1" t="s">
        <v>94</v>
      </c>
      <c r="E881" s="1" t="s">
        <v>101</v>
      </c>
      <c r="F881" s="1" t="s">
        <v>205</v>
      </c>
      <c r="G881" s="1" t="s">
        <v>56</v>
      </c>
      <c r="H881" s="1" t="s">
        <v>69</v>
      </c>
      <c r="I881" s="1" t="s">
        <v>58</v>
      </c>
      <c r="J881" s="1" t="s">
        <v>59</v>
      </c>
      <c r="K881" s="1" t="s">
        <v>84</v>
      </c>
      <c r="L881" s="1" t="s">
        <v>113</v>
      </c>
      <c r="M881" s="1" t="s">
        <v>50</v>
      </c>
      <c r="N881" s="1" t="n">
        <v>14999</v>
      </c>
      <c r="O881" s="1" t="n">
        <v>0</v>
      </c>
      <c r="P881" s="1" t="n">
        <v>0</v>
      </c>
      <c r="Q881" s="1" t="n">
        <v>14999</v>
      </c>
      <c r="R881" s="1" t="n">
        <v>2699.82</v>
      </c>
      <c r="S881" s="1" t="n">
        <v>12299.18</v>
      </c>
      <c r="T881" s="1" t="n">
        <v>5347.07</v>
      </c>
      <c r="U881" s="1" t="n">
        <v>6952.11</v>
      </c>
      <c r="V881" s="1" t="n">
        <v>56.52</v>
      </c>
      <c r="W881" s="1" t="s">
        <v>39</v>
      </c>
      <c r="X881" s="1" t="n">
        <v>3.6</v>
      </c>
      <c r="Y881" s="1" t="s">
        <v>40</v>
      </c>
      <c r="Z881" s="1" t="n">
        <v>0</v>
      </c>
      <c r="AA881" s="1" t="str">
        <f aca="false">TRIM(PROPER(F881))</f>
        <v>New Delhi</v>
      </c>
      <c r="AB881" s="1" t="str">
        <f aca="false">TRIM(PROPER(C881))</f>
        <v>Toppr</v>
      </c>
      <c r="AC881" s="1" t="str">
        <f aca="false">IF(O881=0,"No Discount",IF(O881&lt;=15,"Low (1-15%)",IF(O881&lt;=30,"Medium (16-30%)","High (&gt;30%)")))</f>
        <v>No Discount</v>
      </c>
      <c r="AD881" s="1" t="str">
        <f aca="false">IF(V881&lt;0,"Loss Making",IF(V881&lt;20,"Low Margin","Healthy Margin"))</f>
        <v>Healthy Margin</v>
      </c>
      <c r="AE881" s="1" t="str">
        <f aca="false">TEXT(DATE(VALUE(RIGHT(B881,4)),VALUE(MID(B881,4,2)),VALUE(LEFT(B881,2))),"MMM-YYYY")</f>
        <v>Oct-2024</v>
      </c>
      <c r="AF881" s="1" t="n">
        <f aca="false">VALUE(RIGHT(B881,4))</f>
        <v>2024</v>
      </c>
      <c r="AG881" s="1" t="str">
        <f aca="false">CHOOSE(ROUNDUP(VALUE(MID(B881,4,2))/3,0),"Q1","Q2","Q3","Q4")</f>
        <v>Q4</v>
      </c>
    </row>
    <row r="882" customFormat="false" ht="15" hidden="false" customHeight="true" outlineLevel="0" collapsed="false">
      <c r="A882" s="1" t="s">
        <v>1562</v>
      </c>
      <c r="B882" s="1" t="s">
        <v>1563</v>
      </c>
      <c r="C882" s="1" t="s">
        <v>28</v>
      </c>
      <c r="D882" s="1" t="s">
        <v>53</v>
      </c>
      <c r="E882" s="1" t="s">
        <v>216</v>
      </c>
      <c r="F882" s="1" t="s">
        <v>194</v>
      </c>
      <c r="G882" s="1" t="s">
        <v>103</v>
      </c>
      <c r="H882" s="1" t="s">
        <v>69</v>
      </c>
      <c r="I882" s="1" t="s">
        <v>58</v>
      </c>
      <c r="J882" s="1" t="s">
        <v>77</v>
      </c>
      <c r="K882" s="1" t="s">
        <v>71</v>
      </c>
      <c r="L882" s="1" t="s">
        <v>61</v>
      </c>
      <c r="M882" s="1" t="s">
        <v>62</v>
      </c>
      <c r="N882" s="1" t="n">
        <v>7499</v>
      </c>
      <c r="O882" s="1" t="n">
        <v>5</v>
      </c>
      <c r="P882" s="1" t="n">
        <v>374.95</v>
      </c>
      <c r="Q882" s="1" t="n">
        <v>7124.05</v>
      </c>
      <c r="R882" s="1" t="n">
        <v>1282.33</v>
      </c>
      <c r="S882" s="1" t="n">
        <v>5841.72</v>
      </c>
      <c r="T882" s="1" t="n">
        <v>2045.82</v>
      </c>
      <c r="U882" s="1" t="n">
        <v>3795.9</v>
      </c>
      <c r="V882" s="1" t="n">
        <v>64.98</v>
      </c>
      <c r="W882" s="1" t="s">
        <v>39</v>
      </c>
      <c r="Y882" s="1" t="s">
        <v>40</v>
      </c>
      <c r="Z882" s="1" t="n">
        <v>0</v>
      </c>
      <c r="AA882" s="1" t="str">
        <f aca="false">TRIM(PROPER(F882))</f>
        <v>Hyderabad</v>
      </c>
      <c r="AB882" s="1" t="str">
        <f aca="false">TRIM(PROPER(C882))</f>
        <v>Embibe</v>
      </c>
      <c r="AC882" s="1" t="str">
        <f aca="false">IF(O882=0,"No Discount",IF(O882&lt;=15,"Low (1-15%)",IF(O882&lt;=30,"Medium (16-30%)","High (&gt;30%)")))</f>
        <v>Low (1-15%)</v>
      </c>
      <c r="AD882" s="1" t="str">
        <f aca="false">IF(V882&lt;0,"Loss Making",IF(V882&lt;20,"Low Margin","Healthy Margin"))</f>
        <v>Healthy Margin</v>
      </c>
      <c r="AE882" s="1" t="str">
        <f aca="false">TEXT(DATE(VALUE(RIGHT(B882,4)),VALUE(MID(B882,4,2)),VALUE(LEFT(B882,2))),"MMM-YYYY")</f>
        <v>Jan-2024</v>
      </c>
      <c r="AF882" s="1" t="n">
        <f aca="false">VALUE(RIGHT(B882,4))</f>
        <v>2024</v>
      </c>
      <c r="AG882" s="1" t="str">
        <f aca="false">CHOOSE(ROUNDUP(VALUE(MID(B882,4,2))/3,0),"Q1","Q2","Q3","Q4")</f>
        <v>Q1</v>
      </c>
    </row>
    <row r="883" customFormat="false" ht="15" hidden="false" customHeight="true" outlineLevel="0" collapsed="false">
      <c r="A883" s="1" t="s">
        <v>1564</v>
      </c>
      <c r="B883" s="1" t="s">
        <v>1565</v>
      </c>
      <c r="C883" s="1" t="s">
        <v>28</v>
      </c>
      <c r="D883" s="1" t="s">
        <v>94</v>
      </c>
      <c r="E883" s="1" t="s">
        <v>101</v>
      </c>
      <c r="F883" s="1" t="s">
        <v>244</v>
      </c>
      <c r="G883" s="1" t="s">
        <v>97</v>
      </c>
      <c r="H883" s="1" t="s">
        <v>57</v>
      </c>
      <c r="I883" s="1" t="s">
        <v>34</v>
      </c>
      <c r="J883" s="1" t="s">
        <v>131</v>
      </c>
      <c r="K883" s="1" t="s">
        <v>90</v>
      </c>
      <c r="L883" s="1" t="s">
        <v>113</v>
      </c>
      <c r="M883" s="1" t="s">
        <v>62</v>
      </c>
      <c r="N883" s="1" t="n">
        <v>14999</v>
      </c>
      <c r="O883" s="1" t="n">
        <v>30</v>
      </c>
      <c r="P883" s="1" t="n">
        <v>4499.7</v>
      </c>
      <c r="Q883" s="1" t="n">
        <v>10499.3</v>
      </c>
      <c r="R883" s="1" t="n">
        <v>1889.87</v>
      </c>
      <c r="S883" s="1" t="n">
        <v>8609.43</v>
      </c>
      <c r="T883" s="1" t="n">
        <v>3923.69</v>
      </c>
      <c r="U883" s="1" t="n">
        <v>4685.74</v>
      </c>
      <c r="V883" s="1" t="n">
        <v>54.43</v>
      </c>
      <c r="W883" s="1" t="s">
        <v>39</v>
      </c>
      <c r="X883" s="1" t="n">
        <v>3.8</v>
      </c>
      <c r="Y883" s="1" t="s">
        <v>40</v>
      </c>
      <c r="Z883" s="1" t="n">
        <v>0</v>
      </c>
      <c r="AA883" s="1" t="str">
        <f aca="false">TRIM(PROPER(F883))</f>
        <v>Nagpur</v>
      </c>
      <c r="AB883" s="1" t="str">
        <f aca="false">TRIM(PROPER(C883))</f>
        <v>Embibe</v>
      </c>
      <c r="AC883" s="1" t="str">
        <f aca="false">IF(O883=0,"No Discount",IF(O883&lt;=15,"Low (1-15%)",IF(O883&lt;=30,"Medium (16-30%)","High (&gt;30%)")))</f>
        <v>Medium (16-30%)</v>
      </c>
      <c r="AD883" s="1" t="str">
        <f aca="false">IF(V883&lt;0,"Loss Making",IF(V883&lt;20,"Low Margin","Healthy Margin"))</f>
        <v>Healthy Margin</v>
      </c>
      <c r="AE883" s="1" t="str">
        <f aca="false">TEXT(DATE(VALUE(RIGHT(B883,4)),VALUE(MID(B883,4,2)),VALUE(LEFT(B883,2))),"MMM-YYYY")</f>
        <v>Aug-2024</v>
      </c>
      <c r="AF883" s="1" t="n">
        <f aca="false">VALUE(RIGHT(B883,4))</f>
        <v>2024</v>
      </c>
      <c r="AG883" s="1" t="str">
        <f aca="false">CHOOSE(ROUNDUP(VALUE(MID(B883,4,2))/3,0),"Q1","Q2","Q3","Q4")</f>
        <v>Q3</v>
      </c>
    </row>
    <row r="884" customFormat="false" ht="15" hidden="false" customHeight="true" outlineLevel="0" collapsed="false">
      <c r="A884" s="1" t="s">
        <v>1566</v>
      </c>
      <c r="B884" s="1" t="s">
        <v>680</v>
      </c>
      <c r="C884" s="1" t="s">
        <v>249</v>
      </c>
      <c r="D884" s="1" t="s">
        <v>143</v>
      </c>
      <c r="E884" s="1" t="s">
        <v>159</v>
      </c>
      <c r="F884" s="1" t="s">
        <v>46</v>
      </c>
      <c r="G884" s="1" t="s">
        <v>47</v>
      </c>
      <c r="H884" s="1" t="s">
        <v>33</v>
      </c>
      <c r="I884" s="1" t="s">
        <v>83</v>
      </c>
      <c r="J884" s="1" t="s">
        <v>131</v>
      </c>
      <c r="K884" s="1" t="s">
        <v>71</v>
      </c>
      <c r="L884" s="1" t="s">
        <v>49</v>
      </c>
      <c r="M884" s="1" t="s">
        <v>38</v>
      </c>
      <c r="N884" s="1" t="n">
        <v>24999</v>
      </c>
      <c r="O884" s="1" t="n">
        <v>30</v>
      </c>
      <c r="P884" s="1" t="n">
        <v>7499.7</v>
      </c>
      <c r="Q884" s="1" t="n">
        <v>17499.3</v>
      </c>
      <c r="R884" s="1" t="n">
        <v>3149.87</v>
      </c>
      <c r="S884" s="1" t="n">
        <v>14349.43</v>
      </c>
      <c r="T884" s="1" t="n">
        <v>5870.56</v>
      </c>
      <c r="U884" s="1" t="n">
        <v>8478.87</v>
      </c>
      <c r="V884" s="1" t="n">
        <v>59.09</v>
      </c>
      <c r="W884" s="1" t="s">
        <v>39</v>
      </c>
      <c r="X884" s="1" t="n">
        <v>4.3</v>
      </c>
      <c r="Y884" s="1" t="s">
        <v>40</v>
      </c>
      <c r="Z884" s="1" t="n">
        <v>0</v>
      </c>
      <c r="AA884" s="1" t="str">
        <f aca="false">TRIM(PROPER(F884))</f>
        <v>Mangaluru</v>
      </c>
      <c r="AB884" s="1" t="str">
        <f aca="false">TRIM(PROPER(C884))</f>
        <v>Whitehat Jr</v>
      </c>
      <c r="AC884" s="1" t="str">
        <f aca="false">IF(O884=0,"No Discount",IF(O884&lt;=15,"Low (1-15%)",IF(O884&lt;=30,"Medium (16-30%)","High (&gt;30%)")))</f>
        <v>Medium (16-30%)</v>
      </c>
      <c r="AD884" s="1" t="str">
        <f aca="false">IF(V884&lt;0,"Loss Making",IF(V884&lt;20,"Low Margin","Healthy Margin"))</f>
        <v>Healthy Margin</v>
      </c>
      <c r="AE884" s="1" t="str">
        <f aca="false">TEXT(DATE(VALUE(RIGHT(B884,4)),VALUE(MID(B884,4,2)),VALUE(LEFT(B884,2))),"MMM-YYYY")</f>
        <v>May-2023</v>
      </c>
      <c r="AF884" s="1" t="n">
        <f aca="false">VALUE(RIGHT(B884,4))</f>
        <v>2023</v>
      </c>
      <c r="AG884" s="1" t="str">
        <f aca="false">CHOOSE(ROUNDUP(VALUE(MID(B884,4,2))/3,0),"Q1","Q2","Q3","Q4")</f>
        <v>Q2</v>
      </c>
    </row>
    <row r="885" customFormat="false" ht="15" hidden="false" customHeight="true" outlineLevel="0" collapsed="false">
      <c r="A885" s="1" t="s">
        <v>1567</v>
      </c>
      <c r="B885" s="1" t="s">
        <v>1285</v>
      </c>
      <c r="C885" s="1" t="s">
        <v>93</v>
      </c>
      <c r="D885" s="1" t="s">
        <v>94</v>
      </c>
      <c r="E885" s="1" t="s">
        <v>135</v>
      </c>
      <c r="F885" s="1" t="s">
        <v>156</v>
      </c>
      <c r="G885" s="1" t="s">
        <v>68</v>
      </c>
      <c r="H885" s="1" t="s">
        <v>57</v>
      </c>
      <c r="I885" s="1" t="s">
        <v>83</v>
      </c>
      <c r="J885" s="1" t="s">
        <v>131</v>
      </c>
      <c r="K885" s="1" t="s">
        <v>104</v>
      </c>
      <c r="L885" s="1" t="s">
        <v>85</v>
      </c>
      <c r="M885" s="1" t="s">
        <v>38</v>
      </c>
      <c r="N885" s="1" t="n">
        <v>9999</v>
      </c>
      <c r="O885" s="1" t="n">
        <v>10</v>
      </c>
      <c r="P885" s="1" t="n">
        <v>999.9</v>
      </c>
      <c r="Q885" s="1" t="n">
        <v>8999.1</v>
      </c>
      <c r="R885" s="1" t="n">
        <v>1619.84</v>
      </c>
      <c r="S885" s="1" t="n">
        <v>7379.26</v>
      </c>
      <c r="T885" s="1" t="n">
        <v>3109.55</v>
      </c>
      <c r="U885" s="1" t="n">
        <v>4269.71</v>
      </c>
      <c r="V885" s="1" t="n">
        <v>57.86</v>
      </c>
      <c r="W885" s="1" t="s">
        <v>39</v>
      </c>
      <c r="X885" s="1" t="n">
        <v>3.4</v>
      </c>
      <c r="Y885" s="1" t="s">
        <v>40</v>
      </c>
      <c r="Z885" s="1" t="n">
        <v>0</v>
      </c>
      <c r="AA885" s="1" t="str">
        <f aca="false">TRIM(PROPER(F885))</f>
        <v>Surat</v>
      </c>
      <c r="AB885" s="1" t="str">
        <f aca="false">TRIM(PROPER(C885))</f>
        <v>Upgrad</v>
      </c>
      <c r="AC885" s="1" t="str">
        <f aca="false">IF(O885=0,"No Discount",IF(O885&lt;=15,"Low (1-15%)",IF(O885&lt;=30,"Medium (16-30%)","High (&gt;30%)")))</f>
        <v>Low (1-15%)</v>
      </c>
      <c r="AD885" s="1" t="str">
        <f aca="false">IF(V885&lt;0,"Loss Making",IF(V885&lt;20,"Low Margin","Healthy Margin"))</f>
        <v>Healthy Margin</v>
      </c>
      <c r="AE885" s="1" t="str">
        <f aca="false">TEXT(DATE(VALUE(RIGHT(B885,4)),VALUE(MID(B885,4,2)),VALUE(LEFT(B885,2))),"MMM-YYYY")</f>
        <v>Feb-2023</v>
      </c>
      <c r="AF885" s="1" t="n">
        <f aca="false">VALUE(RIGHT(B885,4))</f>
        <v>2023</v>
      </c>
      <c r="AG885" s="1" t="str">
        <f aca="false">CHOOSE(ROUNDUP(VALUE(MID(B885,4,2))/3,0),"Q1","Q2","Q3","Q4")</f>
        <v>Q1</v>
      </c>
    </row>
    <row r="886" customFormat="false" ht="15" hidden="false" customHeight="true" outlineLevel="0" collapsed="false">
      <c r="A886" s="1" t="s">
        <v>1568</v>
      </c>
      <c r="B886" s="1" t="s">
        <v>913</v>
      </c>
      <c r="C886" s="1" t="s">
        <v>167</v>
      </c>
      <c r="D886" s="1" t="s">
        <v>80</v>
      </c>
      <c r="E886" s="1" t="s">
        <v>81</v>
      </c>
      <c r="F886" s="1" t="s">
        <v>150</v>
      </c>
      <c r="G886" s="1" t="s">
        <v>32</v>
      </c>
      <c r="H886" s="1" t="s">
        <v>57</v>
      </c>
      <c r="I886" s="1" t="s">
        <v>34</v>
      </c>
      <c r="J886" s="1" t="s">
        <v>35</v>
      </c>
      <c r="K886" s="1" t="s">
        <v>104</v>
      </c>
      <c r="L886" s="1" t="s">
        <v>85</v>
      </c>
      <c r="M886" s="1" t="s">
        <v>50</v>
      </c>
      <c r="N886" s="1" t="n">
        <v>12999</v>
      </c>
      <c r="O886" s="1" t="n">
        <v>10</v>
      </c>
      <c r="P886" s="1" t="n">
        <v>1299.9</v>
      </c>
      <c r="Q886" s="1" t="n">
        <v>11699.1</v>
      </c>
      <c r="R886" s="1" t="n">
        <v>2105.84</v>
      </c>
      <c r="S886" s="1" t="n">
        <v>9593.26</v>
      </c>
      <c r="T886" s="1" t="n">
        <v>3474.95</v>
      </c>
      <c r="U886" s="1" t="n">
        <v>6118.31</v>
      </c>
      <c r="V886" s="1" t="n">
        <v>63.78</v>
      </c>
      <c r="W886" s="1" t="s">
        <v>39</v>
      </c>
      <c r="X886" s="1" t="n">
        <v>4.2</v>
      </c>
      <c r="Y886" s="1" t="s">
        <v>40</v>
      </c>
      <c r="Z886" s="1" t="n">
        <v>0</v>
      </c>
      <c r="AA886" s="1" t="str">
        <f aca="false">TRIM(PROPER(F886))</f>
        <v>Jaipur</v>
      </c>
      <c r="AB886" s="1" t="str">
        <f aca="false">TRIM(PROPER(C886))</f>
        <v>Scaler</v>
      </c>
      <c r="AC886" s="1" t="str">
        <f aca="false">IF(O886=0,"No Discount",IF(O886&lt;=15,"Low (1-15%)",IF(O886&lt;=30,"Medium (16-30%)","High (&gt;30%)")))</f>
        <v>Low (1-15%)</v>
      </c>
      <c r="AD886" s="1" t="str">
        <f aca="false">IF(V886&lt;0,"Loss Making",IF(V886&lt;20,"Low Margin","Healthy Margin"))</f>
        <v>Healthy Margin</v>
      </c>
      <c r="AE886" s="1" t="str">
        <f aca="false">TEXT(DATE(VALUE(RIGHT(B886,4)),VALUE(MID(B886,4,2)),VALUE(LEFT(B886,2))),"MMM-YYYY")</f>
        <v>Jan-2023</v>
      </c>
      <c r="AF886" s="1" t="n">
        <f aca="false">VALUE(RIGHT(B886,4))</f>
        <v>2023</v>
      </c>
      <c r="AG886" s="1" t="str">
        <f aca="false">CHOOSE(ROUNDUP(VALUE(MID(B886,4,2))/3,0),"Q1","Q2","Q3","Q4")</f>
        <v>Q1</v>
      </c>
    </row>
    <row r="887" customFormat="false" ht="15" hidden="false" customHeight="true" outlineLevel="0" collapsed="false">
      <c r="A887" s="1" t="s">
        <v>1569</v>
      </c>
      <c r="B887" s="1" t="s">
        <v>1570</v>
      </c>
      <c r="C887" s="1" t="s">
        <v>442</v>
      </c>
      <c r="D887" s="1" t="s">
        <v>123</v>
      </c>
      <c r="E887" s="1" t="s">
        <v>124</v>
      </c>
      <c r="F887" s="1" t="s">
        <v>140</v>
      </c>
      <c r="G887" s="1" t="s">
        <v>97</v>
      </c>
      <c r="H887" s="1" t="s">
        <v>57</v>
      </c>
      <c r="I887" s="1" t="s">
        <v>34</v>
      </c>
      <c r="J887" s="1" t="s">
        <v>131</v>
      </c>
      <c r="K887" s="1" t="s">
        <v>104</v>
      </c>
      <c r="L887" s="1" t="s">
        <v>61</v>
      </c>
      <c r="M887" s="1" t="s">
        <v>50</v>
      </c>
      <c r="N887" s="1" t="n">
        <v>4999</v>
      </c>
      <c r="O887" s="1" t="n">
        <v>40</v>
      </c>
      <c r="P887" s="1" t="n">
        <v>1999.6</v>
      </c>
      <c r="Q887" s="1" t="n">
        <v>2999.4</v>
      </c>
      <c r="R887" s="1" t="n">
        <v>539.89</v>
      </c>
      <c r="S887" s="1" t="n">
        <v>2459.51</v>
      </c>
      <c r="T887" s="1" t="n">
        <v>1582.35</v>
      </c>
      <c r="U887" s="1" t="n">
        <v>877.16</v>
      </c>
      <c r="V887" s="1" t="n">
        <v>35.66</v>
      </c>
      <c r="W887" s="1" t="s">
        <v>39</v>
      </c>
      <c r="Y887" s="1" t="s">
        <v>40</v>
      </c>
      <c r="Z887" s="1" t="n">
        <v>1</v>
      </c>
      <c r="AA887" s="1" t="str">
        <f aca="false">TRIM(PROPER(F887))</f>
        <v>Nashik</v>
      </c>
      <c r="AB887" s="1" t="str">
        <f aca="false">TRIM(PROPER(C887))</f>
        <v>Embibe</v>
      </c>
      <c r="AC887" s="1" t="str">
        <f aca="false">IF(O887=0,"No Discount",IF(O887&lt;=15,"Low (1-15%)",IF(O887&lt;=30,"Medium (16-30%)","High (&gt;30%)")))</f>
        <v>High (&gt;30%)</v>
      </c>
      <c r="AD887" s="1" t="str">
        <f aca="false">IF(V887&lt;0,"Loss Making",IF(V887&lt;20,"Low Margin","Healthy Margin"))</f>
        <v>Healthy Margin</v>
      </c>
      <c r="AE887" s="1" t="str">
        <f aca="false">TEXT(DATE(VALUE(RIGHT(B887,4)),VALUE(MID(B887,4,2)),VALUE(LEFT(B887,2))),"MMM-YYYY")</f>
        <v>Nov-2024</v>
      </c>
      <c r="AF887" s="1" t="n">
        <f aca="false">VALUE(RIGHT(B887,4))</f>
        <v>2024</v>
      </c>
      <c r="AG887" s="1" t="str">
        <f aca="false">CHOOSE(ROUNDUP(VALUE(MID(B887,4,2))/3,0),"Q1","Q2","Q3","Q4")</f>
        <v>Q4</v>
      </c>
    </row>
    <row r="888" customFormat="false" ht="15" hidden="false" customHeight="true" outlineLevel="0" collapsed="false">
      <c r="A888" s="1" t="s">
        <v>1571</v>
      </c>
      <c r="B888" s="1" t="s">
        <v>1107</v>
      </c>
      <c r="C888" s="1" t="s">
        <v>74</v>
      </c>
      <c r="D888" s="1" t="s">
        <v>123</v>
      </c>
      <c r="E888" s="1" t="s">
        <v>147</v>
      </c>
      <c r="F888" s="1" t="s">
        <v>67</v>
      </c>
      <c r="G888" s="1" t="s">
        <v>68</v>
      </c>
      <c r="H888" s="1" t="s">
        <v>69</v>
      </c>
      <c r="I888" s="1" t="s">
        <v>83</v>
      </c>
      <c r="J888" s="1" t="s">
        <v>70</v>
      </c>
      <c r="K888" s="1" t="s">
        <v>48</v>
      </c>
      <c r="L888" s="1" t="s">
        <v>37</v>
      </c>
      <c r="M888" s="1" t="s">
        <v>62</v>
      </c>
      <c r="N888" s="1" t="n">
        <v>6999</v>
      </c>
      <c r="O888" s="1" t="n">
        <v>40</v>
      </c>
      <c r="P888" s="1" t="n">
        <v>2799.6</v>
      </c>
      <c r="Q888" s="1" t="n">
        <v>4199.4</v>
      </c>
      <c r="R888" s="1" t="n">
        <v>755.89</v>
      </c>
      <c r="S888" s="1" t="n">
        <v>3443.51</v>
      </c>
      <c r="T888" s="1" t="n">
        <v>1856.74</v>
      </c>
      <c r="U888" s="1" t="n">
        <v>1586.77</v>
      </c>
      <c r="V888" s="1" t="n">
        <v>46.08</v>
      </c>
      <c r="W888" s="1" t="s">
        <v>39</v>
      </c>
      <c r="X888" s="1" t="n">
        <v>4.2</v>
      </c>
      <c r="Y888" s="1" t="s">
        <v>40</v>
      </c>
      <c r="Z888" s="1" t="n">
        <v>0</v>
      </c>
      <c r="AA888" s="1" t="str">
        <f aca="false">TRIM(PROPER(F888))</f>
        <v>Ahmedabad</v>
      </c>
      <c r="AB888" s="1" t="str">
        <f aca="false">TRIM(PROPER(C888))</f>
        <v>Vedantu</v>
      </c>
      <c r="AC888" s="1" t="str">
        <f aca="false">IF(O888=0,"No Discount",IF(O888&lt;=15,"Low (1-15%)",IF(O888&lt;=30,"Medium (16-30%)","High (&gt;30%)")))</f>
        <v>High (&gt;30%)</v>
      </c>
      <c r="AD888" s="1" t="str">
        <f aca="false">IF(V888&lt;0,"Loss Making",IF(V888&lt;20,"Low Margin","Healthy Margin"))</f>
        <v>Healthy Margin</v>
      </c>
      <c r="AE888" s="1" t="str">
        <f aca="false">TEXT(DATE(VALUE(RIGHT(B888,4)),VALUE(MID(B888,4,2)),VALUE(LEFT(B888,2))),"MMM-YYYY")</f>
        <v>Jul-2023</v>
      </c>
      <c r="AF888" s="1" t="n">
        <f aca="false">VALUE(RIGHT(B888,4))</f>
        <v>2023</v>
      </c>
      <c r="AG888" s="1" t="str">
        <f aca="false">CHOOSE(ROUNDUP(VALUE(MID(B888,4,2))/3,0),"Q1","Q2","Q3","Q4")</f>
        <v>Q3</v>
      </c>
    </row>
    <row r="889" customFormat="false" ht="15" hidden="false" customHeight="true" outlineLevel="0" collapsed="false">
      <c r="A889" s="1" t="s">
        <v>1572</v>
      </c>
      <c r="B889" s="1" t="s">
        <v>1573</v>
      </c>
      <c r="C889" s="1" t="s">
        <v>43</v>
      </c>
      <c r="D889" s="1" t="s">
        <v>29</v>
      </c>
      <c r="E889" s="1" t="s">
        <v>129</v>
      </c>
      <c r="F889" s="1" t="s">
        <v>75</v>
      </c>
      <c r="G889" s="1" t="s">
        <v>76</v>
      </c>
      <c r="H889" s="1" t="s">
        <v>69</v>
      </c>
      <c r="I889" s="1" t="s">
        <v>83</v>
      </c>
      <c r="J889" s="1" t="s">
        <v>59</v>
      </c>
      <c r="K889" s="1" t="s">
        <v>112</v>
      </c>
      <c r="L889" s="1" t="s">
        <v>113</v>
      </c>
      <c r="M889" s="1" t="s">
        <v>62</v>
      </c>
      <c r="N889" s="1" t="n">
        <v>29999</v>
      </c>
      <c r="O889" s="1" t="n">
        <v>20</v>
      </c>
      <c r="P889" s="1" t="n">
        <v>5999.8</v>
      </c>
      <c r="Q889" s="1" t="n">
        <v>23999.2</v>
      </c>
      <c r="R889" s="1" t="n">
        <v>4319.86</v>
      </c>
      <c r="S889" s="1" t="n">
        <v>19679.34</v>
      </c>
      <c r="T889" s="1" t="n">
        <v>4919.84</v>
      </c>
      <c r="U889" s="1" t="n">
        <v>14759.5</v>
      </c>
      <c r="V889" s="1" t="n">
        <v>75</v>
      </c>
      <c r="W889" s="1" t="s">
        <v>39</v>
      </c>
      <c r="X889" s="1" t="n">
        <v>3.7</v>
      </c>
      <c r="Y889" s="1" t="s">
        <v>40</v>
      </c>
      <c r="Z889" s="1" t="n">
        <v>0</v>
      </c>
      <c r="AA889" s="1" t="str">
        <f aca="false">TRIM(PROPER(F889))</f>
        <v>Kolkata</v>
      </c>
      <c r="AB889" s="1" t="str">
        <f aca="false">TRIM(PROPER(C889))</f>
        <v>Meritnation</v>
      </c>
      <c r="AC889" s="1" t="str">
        <f aca="false">IF(O889=0,"No Discount",IF(O889&lt;=15,"Low (1-15%)",IF(O889&lt;=30,"Medium (16-30%)","High (&gt;30%)")))</f>
        <v>Medium (16-30%)</v>
      </c>
      <c r="AD889" s="1" t="str">
        <f aca="false">IF(V889&lt;0,"Loss Making",IF(V889&lt;20,"Low Margin","Healthy Margin"))</f>
        <v>Healthy Margin</v>
      </c>
      <c r="AE889" s="1" t="str">
        <f aca="false">TEXT(DATE(VALUE(RIGHT(B889,4)),VALUE(MID(B889,4,2)),VALUE(LEFT(B889,2))),"MMM-YYYY")</f>
        <v>Nov-2024</v>
      </c>
      <c r="AF889" s="1" t="n">
        <f aca="false">VALUE(RIGHT(B889,4))</f>
        <v>2024</v>
      </c>
      <c r="AG889" s="1" t="str">
        <f aca="false">CHOOSE(ROUNDUP(VALUE(MID(B889,4,2))/3,0),"Q1","Q2","Q3","Q4")</f>
        <v>Q4</v>
      </c>
    </row>
    <row r="890" customFormat="false" ht="15" hidden="false" customHeight="true" outlineLevel="0" collapsed="false">
      <c r="A890" s="1" t="s">
        <v>1574</v>
      </c>
      <c r="B890" s="1" t="s">
        <v>701</v>
      </c>
      <c r="C890" s="1" t="s">
        <v>65</v>
      </c>
      <c r="D890" s="1" t="s">
        <v>168</v>
      </c>
      <c r="E890" s="1" t="s">
        <v>172</v>
      </c>
      <c r="F890" s="1" t="s">
        <v>82</v>
      </c>
      <c r="G890" s="1" t="s">
        <v>56</v>
      </c>
      <c r="H890" s="1" t="s">
        <v>69</v>
      </c>
      <c r="I890" s="1" t="s">
        <v>34</v>
      </c>
      <c r="J890" s="1" t="s">
        <v>77</v>
      </c>
      <c r="K890" s="1" t="s">
        <v>90</v>
      </c>
      <c r="L890" s="1" t="s">
        <v>61</v>
      </c>
      <c r="M890" s="1" t="s">
        <v>38</v>
      </c>
      <c r="N890" s="1" t="n">
        <v>6999</v>
      </c>
      <c r="O890" s="1" t="n">
        <v>20</v>
      </c>
      <c r="P890" s="1" t="n">
        <v>1399.8</v>
      </c>
      <c r="Q890" s="1" t="n">
        <v>5599.2</v>
      </c>
      <c r="R890" s="1" t="n">
        <v>1007.86</v>
      </c>
      <c r="S890" s="1" t="n">
        <v>4591.34</v>
      </c>
      <c r="T890" s="1" t="n">
        <v>2085.43</v>
      </c>
      <c r="U890" s="1" t="n">
        <v>2505.91</v>
      </c>
      <c r="V890" s="1" t="n">
        <v>54.58</v>
      </c>
      <c r="W890" s="1" t="s">
        <v>39</v>
      </c>
      <c r="X890" s="1" t="n">
        <v>3.8</v>
      </c>
      <c r="Y890" s="1" t="s">
        <v>40</v>
      </c>
      <c r="Z890" s="1" t="n">
        <v>0</v>
      </c>
      <c r="AA890" s="1" t="str">
        <f aca="false">TRIM(PROPER(F890))</f>
        <v>Gurugram</v>
      </c>
      <c r="AB890" s="1" t="str">
        <f aca="false">TRIM(PROPER(C890))</f>
        <v>Toppr</v>
      </c>
      <c r="AC890" s="1" t="str">
        <f aca="false">IF(O890=0,"No Discount",IF(O890&lt;=15,"Low (1-15%)",IF(O890&lt;=30,"Medium (16-30%)","High (&gt;30%)")))</f>
        <v>Medium (16-30%)</v>
      </c>
      <c r="AD890" s="1" t="str">
        <f aca="false">IF(V890&lt;0,"Loss Making",IF(V890&lt;20,"Low Margin","Healthy Margin"))</f>
        <v>Healthy Margin</v>
      </c>
      <c r="AE890" s="1" t="str">
        <f aca="false">TEXT(DATE(VALUE(RIGHT(B890,4)),VALUE(MID(B890,4,2)),VALUE(LEFT(B890,2))),"MMM-YYYY")</f>
        <v>Mar-2024</v>
      </c>
      <c r="AF890" s="1" t="n">
        <f aca="false">VALUE(RIGHT(B890,4))</f>
        <v>2024</v>
      </c>
      <c r="AG890" s="1" t="str">
        <f aca="false">CHOOSE(ROUNDUP(VALUE(MID(B890,4,2))/3,0),"Q1","Q2","Q3","Q4")</f>
        <v>Q1</v>
      </c>
    </row>
    <row r="891" customFormat="false" ht="15" hidden="false" customHeight="true" outlineLevel="0" collapsed="false">
      <c r="A891" s="1" t="s">
        <v>1575</v>
      </c>
      <c r="B891" s="1" t="s">
        <v>1576</v>
      </c>
      <c r="C891" s="1" t="s">
        <v>264</v>
      </c>
      <c r="D891" s="1" t="s">
        <v>80</v>
      </c>
      <c r="E891" s="1" t="s">
        <v>81</v>
      </c>
      <c r="F891" s="1" t="s">
        <v>803</v>
      </c>
      <c r="G891" s="1" t="s">
        <v>108</v>
      </c>
      <c r="H891" s="1" t="s">
        <v>33</v>
      </c>
      <c r="I891" s="1" t="s">
        <v>83</v>
      </c>
      <c r="J891" s="1" t="s">
        <v>131</v>
      </c>
      <c r="K891" s="1" t="s">
        <v>90</v>
      </c>
      <c r="L891" s="1" t="s">
        <v>37</v>
      </c>
      <c r="M891" s="1" t="s">
        <v>62</v>
      </c>
      <c r="N891" s="1" t="n">
        <v>12999</v>
      </c>
      <c r="O891" s="1" t="n">
        <v>5</v>
      </c>
      <c r="P891" s="1" t="n">
        <v>649.95</v>
      </c>
      <c r="Q891" s="1" t="n">
        <v>12349.05</v>
      </c>
      <c r="R891" s="1" t="n">
        <v>2222.83</v>
      </c>
      <c r="S891" s="1" t="n">
        <v>10126.22</v>
      </c>
      <c r="T891" s="1" t="n">
        <v>4659.07</v>
      </c>
      <c r="U891" s="1" t="n">
        <v>5467.15</v>
      </c>
      <c r="V891" s="1" t="n">
        <v>53.99</v>
      </c>
      <c r="W891" s="1" t="s">
        <v>40</v>
      </c>
      <c r="Y891" s="1" t="s">
        <v>40</v>
      </c>
      <c r="Z891" s="1" t="n">
        <v>0</v>
      </c>
      <c r="AA891" s="1" t="str">
        <f aca="false">TRIM(PROPER(F891))</f>
        <v>Madurai</v>
      </c>
      <c r="AB891" s="1" t="str">
        <f aca="false">TRIM(PROPER(C891))</f>
        <v>Unacademy</v>
      </c>
      <c r="AC891" s="1" t="str">
        <f aca="false">IF(O891=0,"No Discount",IF(O891&lt;=15,"Low (1-15%)",IF(O891&lt;=30,"Medium (16-30%)","High (&gt;30%)")))</f>
        <v>Low (1-15%)</v>
      </c>
      <c r="AD891" s="1" t="str">
        <f aca="false">IF(V891&lt;0,"Loss Making",IF(V891&lt;20,"Low Margin","Healthy Margin"))</f>
        <v>Healthy Margin</v>
      </c>
      <c r="AE891" s="1" t="str">
        <f aca="false">TEXT(DATE(VALUE(RIGHT(B891,4)),VALUE(MID(B891,4,2)),VALUE(LEFT(B891,2))),"MMM-YYYY")</f>
        <v>Jan-2024</v>
      </c>
      <c r="AF891" s="1" t="n">
        <f aca="false">VALUE(RIGHT(B891,4))</f>
        <v>2024</v>
      </c>
      <c r="AG891" s="1" t="str">
        <f aca="false">CHOOSE(ROUNDUP(VALUE(MID(B891,4,2))/3,0),"Q1","Q2","Q3","Q4")</f>
        <v>Q1</v>
      </c>
    </row>
    <row r="892" customFormat="false" ht="15" hidden="false" customHeight="true" outlineLevel="0" collapsed="false">
      <c r="A892" s="1" t="s">
        <v>1577</v>
      </c>
      <c r="B892" s="1" t="s">
        <v>344</v>
      </c>
      <c r="C892" s="1" t="s">
        <v>100</v>
      </c>
      <c r="D892" s="1" t="s">
        <v>168</v>
      </c>
      <c r="E892" s="1" t="s">
        <v>197</v>
      </c>
      <c r="F892" s="1" t="s">
        <v>130</v>
      </c>
      <c r="G892" s="1" t="s">
        <v>47</v>
      </c>
      <c r="H892" s="1" t="s">
        <v>69</v>
      </c>
      <c r="I892" s="1" t="s">
        <v>58</v>
      </c>
      <c r="J892" s="1" t="s">
        <v>131</v>
      </c>
      <c r="K892" s="1" t="s">
        <v>60</v>
      </c>
      <c r="L892" s="1" t="s">
        <v>49</v>
      </c>
      <c r="M892" s="1" t="s">
        <v>50</v>
      </c>
      <c r="N892" s="1" t="n">
        <v>8499</v>
      </c>
      <c r="O892" s="1" t="n">
        <v>20</v>
      </c>
      <c r="P892" s="1" t="n">
        <v>1699.8</v>
      </c>
      <c r="Q892" s="1" t="n">
        <v>6799.2</v>
      </c>
      <c r="R892" s="1" t="n">
        <v>1223.86</v>
      </c>
      <c r="S892" s="1" t="n">
        <v>5575.34</v>
      </c>
      <c r="T892" s="1" t="n">
        <v>2484.49</v>
      </c>
      <c r="U892" s="1" t="n">
        <v>3090.85</v>
      </c>
      <c r="V892" s="1" t="n">
        <v>55.44</v>
      </c>
      <c r="W892" s="1" t="s">
        <v>39</v>
      </c>
      <c r="X892" s="1" t="n">
        <v>3.6</v>
      </c>
      <c r="Y892" s="1" t="s">
        <v>40</v>
      </c>
      <c r="Z892" s="1" t="n">
        <v>1</v>
      </c>
      <c r="AA892" s="1" t="str">
        <f aca="false">TRIM(PROPER(F892))</f>
        <v>Bengaluru</v>
      </c>
      <c r="AB892" s="1" t="str">
        <f aca="false">TRIM(PROPER(C892))</f>
        <v>Physics Wallah</v>
      </c>
      <c r="AC892" s="1" t="str">
        <f aca="false">IF(O892=0,"No Discount",IF(O892&lt;=15,"Low (1-15%)",IF(O892&lt;=30,"Medium (16-30%)","High (&gt;30%)")))</f>
        <v>Medium (16-30%)</v>
      </c>
      <c r="AD892" s="1" t="str">
        <f aca="false">IF(V892&lt;0,"Loss Making",IF(V892&lt;20,"Low Margin","Healthy Margin"))</f>
        <v>Healthy Margin</v>
      </c>
      <c r="AE892" s="1" t="str">
        <f aca="false">TEXT(DATE(VALUE(RIGHT(B892,4)),VALUE(MID(B892,4,2)),VALUE(LEFT(B892,2))),"MMM-YYYY")</f>
        <v>Dec-2024</v>
      </c>
      <c r="AF892" s="1" t="n">
        <f aca="false">VALUE(RIGHT(B892,4))</f>
        <v>2024</v>
      </c>
      <c r="AG892" s="1" t="str">
        <f aca="false">CHOOSE(ROUNDUP(VALUE(MID(B892,4,2))/3,0),"Q1","Q2","Q3","Q4")</f>
        <v>Q4</v>
      </c>
    </row>
    <row r="893" customFormat="false" ht="15" hidden="false" customHeight="true" outlineLevel="0" collapsed="false">
      <c r="A893" s="1" t="s">
        <v>1578</v>
      </c>
      <c r="B893" s="1" t="s">
        <v>360</v>
      </c>
      <c r="C893" s="1" t="s">
        <v>93</v>
      </c>
      <c r="D893" s="1" t="s">
        <v>53</v>
      </c>
      <c r="E893" s="1" t="s">
        <v>116</v>
      </c>
      <c r="F893" s="1" t="s">
        <v>120</v>
      </c>
      <c r="G893" s="1" t="s">
        <v>47</v>
      </c>
      <c r="H893" s="1" t="s">
        <v>57</v>
      </c>
      <c r="I893" s="1" t="s">
        <v>83</v>
      </c>
      <c r="J893" s="1" t="s">
        <v>77</v>
      </c>
      <c r="K893" s="1" t="s">
        <v>36</v>
      </c>
      <c r="L893" s="1" t="s">
        <v>49</v>
      </c>
      <c r="M893" s="1" t="s">
        <v>50</v>
      </c>
      <c r="N893" s="1" t="n">
        <v>9999</v>
      </c>
      <c r="O893" s="1" t="n">
        <v>30</v>
      </c>
      <c r="P893" s="1" t="n">
        <v>2999.7</v>
      </c>
      <c r="Q893" s="1" t="n">
        <v>6999.3</v>
      </c>
      <c r="R893" s="1" t="n">
        <v>1259.87</v>
      </c>
      <c r="S893" s="1" t="n">
        <v>5739.43</v>
      </c>
      <c r="T893" s="1" t="n">
        <v>2565.21</v>
      </c>
      <c r="U893" s="1" t="n">
        <v>3174.22</v>
      </c>
      <c r="V893" s="1" t="n">
        <v>55.31</v>
      </c>
      <c r="W893" s="1" t="s">
        <v>39</v>
      </c>
      <c r="Y893" s="1" t="s">
        <v>40</v>
      </c>
      <c r="Z893" s="1" t="n">
        <v>1</v>
      </c>
      <c r="AA893" s="1" t="str">
        <f aca="false">TRIM(PROPER(F893))</f>
        <v>Mysuru</v>
      </c>
      <c r="AB893" s="1" t="str">
        <f aca="false">TRIM(PROPER(C893))</f>
        <v>Upgrad</v>
      </c>
      <c r="AC893" s="1" t="str">
        <f aca="false">IF(O893=0,"No Discount",IF(O893&lt;=15,"Low (1-15%)",IF(O893&lt;=30,"Medium (16-30%)","High (&gt;30%)")))</f>
        <v>Medium (16-30%)</v>
      </c>
      <c r="AD893" s="1" t="str">
        <f aca="false">IF(V893&lt;0,"Loss Making",IF(V893&lt;20,"Low Margin","Healthy Margin"))</f>
        <v>Healthy Margin</v>
      </c>
      <c r="AE893" s="1" t="str">
        <f aca="false">TEXT(DATE(VALUE(RIGHT(B893,4)),VALUE(MID(B893,4,2)),VALUE(LEFT(B893,2))),"MMM-YYYY")</f>
        <v>Feb-2023</v>
      </c>
      <c r="AF893" s="1" t="n">
        <f aca="false">VALUE(RIGHT(B893,4))</f>
        <v>2023</v>
      </c>
      <c r="AG893" s="1" t="str">
        <f aca="false">CHOOSE(ROUNDUP(VALUE(MID(B893,4,2))/3,0),"Q1","Q2","Q3","Q4")</f>
        <v>Q1</v>
      </c>
    </row>
    <row r="894" customFormat="false" ht="15" hidden="false" customHeight="true" outlineLevel="0" collapsed="false">
      <c r="A894" s="1" t="s">
        <v>1579</v>
      </c>
      <c r="B894" s="1" t="s">
        <v>1580</v>
      </c>
      <c r="C894" s="1" t="s">
        <v>134</v>
      </c>
      <c r="D894" s="1" t="s">
        <v>29</v>
      </c>
      <c r="E894" s="1" t="s">
        <v>30</v>
      </c>
      <c r="F894" s="1" t="s">
        <v>82</v>
      </c>
      <c r="G894" s="1" t="s">
        <v>56</v>
      </c>
      <c r="H894" s="1" t="s">
        <v>69</v>
      </c>
      <c r="I894" s="1" t="s">
        <v>83</v>
      </c>
      <c r="J894" s="1" t="s">
        <v>77</v>
      </c>
      <c r="K894" s="1" t="s">
        <v>60</v>
      </c>
      <c r="L894" s="1" t="s">
        <v>136</v>
      </c>
      <c r="M894" s="1" t="s">
        <v>50</v>
      </c>
      <c r="N894" s="1" t="n">
        <v>7999</v>
      </c>
      <c r="O894" s="1" t="n">
        <v>0</v>
      </c>
      <c r="P894" s="1" t="n">
        <v>0</v>
      </c>
      <c r="Q894" s="1" t="n">
        <v>7999</v>
      </c>
      <c r="R894" s="1" t="n">
        <v>1439.82</v>
      </c>
      <c r="S894" s="1" t="n">
        <v>6559.18</v>
      </c>
      <c r="T894" s="1" t="n">
        <v>2496.85</v>
      </c>
      <c r="U894" s="1" t="n">
        <v>4062.33</v>
      </c>
      <c r="V894" s="1" t="n">
        <v>61.93</v>
      </c>
      <c r="W894" s="1" t="s">
        <v>39</v>
      </c>
      <c r="X894" s="1" t="n">
        <v>4</v>
      </c>
      <c r="Y894" s="1" t="s">
        <v>40</v>
      </c>
      <c r="Z894" s="1" t="n">
        <v>0</v>
      </c>
      <c r="AA894" s="1" t="str">
        <f aca="false">TRIM(PROPER(F894))</f>
        <v>Gurugram</v>
      </c>
      <c r="AB894" s="1" t="str">
        <f aca="false">TRIM(PROPER(C894))</f>
        <v>Doubtnut</v>
      </c>
      <c r="AC894" s="1" t="str">
        <f aca="false">IF(O894=0,"No Discount",IF(O894&lt;=15,"Low (1-15%)",IF(O894&lt;=30,"Medium (16-30%)","High (&gt;30%)")))</f>
        <v>No Discount</v>
      </c>
      <c r="AD894" s="1" t="str">
        <f aca="false">IF(V894&lt;0,"Loss Making",IF(V894&lt;20,"Low Margin","Healthy Margin"))</f>
        <v>Healthy Margin</v>
      </c>
      <c r="AE894" s="1" t="str">
        <f aca="false">TEXT(DATE(VALUE(RIGHT(B894,4)),VALUE(MID(B894,4,2)),VALUE(LEFT(B894,2))),"MMM-YYYY")</f>
        <v>Dec-2023</v>
      </c>
      <c r="AF894" s="1" t="n">
        <f aca="false">VALUE(RIGHT(B894,4))</f>
        <v>2023</v>
      </c>
      <c r="AG894" s="1" t="str">
        <f aca="false">CHOOSE(ROUNDUP(VALUE(MID(B894,4,2))/3,0),"Q1","Q2","Q3","Q4")</f>
        <v>Q4</v>
      </c>
    </row>
    <row r="895" customFormat="false" ht="15" hidden="false" customHeight="true" outlineLevel="0" collapsed="false">
      <c r="A895" s="1" t="s">
        <v>1581</v>
      </c>
      <c r="B895" s="1" t="s">
        <v>201</v>
      </c>
      <c r="C895" s="1" t="s">
        <v>1582</v>
      </c>
      <c r="D895" s="1" t="s">
        <v>168</v>
      </c>
      <c r="E895" s="1" t="s">
        <v>328</v>
      </c>
      <c r="F895" s="1" t="s">
        <v>89</v>
      </c>
      <c r="G895" s="1" t="s">
        <v>68</v>
      </c>
      <c r="H895" s="1" t="s">
        <v>33</v>
      </c>
      <c r="I895" s="1" t="s">
        <v>83</v>
      </c>
      <c r="J895" s="1" t="s">
        <v>59</v>
      </c>
      <c r="K895" s="1" t="s">
        <v>60</v>
      </c>
      <c r="L895" s="1" t="s">
        <v>49</v>
      </c>
      <c r="M895" s="1" t="s">
        <v>50</v>
      </c>
      <c r="N895" s="1" t="n">
        <v>8999</v>
      </c>
      <c r="O895" s="1" t="n">
        <v>25</v>
      </c>
      <c r="P895" s="1" t="n">
        <v>2249.75</v>
      </c>
      <c r="Q895" s="1" t="n">
        <v>6749.25</v>
      </c>
      <c r="R895" s="1" t="n">
        <v>1214.87</v>
      </c>
      <c r="S895" s="1" t="n">
        <v>5534.38</v>
      </c>
      <c r="T895" s="1" t="n">
        <v>2692.86</v>
      </c>
      <c r="U895" s="1" t="n">
        <v>2841.52</v>
      </c>
      <c r="V895" s="1" t="n">
        <v>51.34</v>
      </c>
      <c r="W895" s="1" t="s">
        <v>39</v>
      </c>
      <c r="X895" s="1" t="n">
        <v>3.6</v>
      </c>
      <c r="Y895" s="1" t="s">
        <v>40</v>
      </c>
      <c r="Z895" s="1" t="n">
        <v>1</v>
      </c>
      <c r="AA895" s="1" t="str">
        <f aca="false">TRIM(PROPER(F895))</f>
        <v>Vadodara</v>
      </c>
      <c r="AB895" s="1" t="str">
        <f aca="false">TRIM(PROPER(C895))</f>
        <v>Scaler</v>
      </c>
      <c r="AC895" s="1" t="str">
        <f aca="false">IF(O895=0,"No Discount",IF(O895&lt;=15,"Low (1-15%)",IF(O895&lt;=30,"Medium (16-30%)","High (&gt;30%)")))</f>
        <v>Medium (16-30%)</v>
      </c>
      <c r="AD895" s="1" t="str">
        <f aca="false">IF(V895&lt;0,"Loss Making",IF(V895&lt;20,"Low Margin","Healthy Margin"))</f>
        <v>Healthy Margin</v>
      </c>
      <c r="AE895" s="1" t="str">
        <f aca="false">TEXT(DATE(VALUE(RIGHT(B895,4)),VALUE(MID(B895,4,2)),VALUE(LEFT(B895,2))),"MMM-YYYY")</f>
        <v>Aug-2024</v>
      </c>
      <c r="AF895" s="1" t="n">
        <f aca="false">VALUE(RIGHT(B895,4))</f>
        <v>2024</v>
      </c>
      <c r="AG895" s="1" t="str">
        <f aca="false">CHOOSE(ROUNDUP(VALUE(MID(B895,4,2))/3,0),"Q1","Q2","Q3","Q4")</f>
        <v>Q3</v>
      </c>
    </row>
    <row r="896" customFormat="false" ht="15" hidden="false" customHeight="true" outlineLevel="0" collapsed="false">
      <c r="A896" s="1" t="s">
        <v>1583</v>
      </c>
      <c r="B896" s="1" t="s">
        <v>290</v>
      </c>
      <c r="C896" s="1" t="s">
        <v>167</v>
      </c>
      <c r="D896" s="1" t="s">
        <v>143</v>
      </c>
      <c r="E896" s="1" t="s">
        <v>159</v>
      </c>
      <c r="F896" s="1" t="s">
        <v>641</v>
      </c>
      <c r="G896" s="1" t="s">
        <v>103</v>
      </c>
      <c r="H896" s="1" t="s">
        <v>33</v>
      </c>
      <c r="I896" s="1" t="s">
        <v>34</v>
      </c>
      <c r="J896" s="1" t="s">
        <v>131</v>
      </c>
      <c r="K896" s="1" t="s">
        <v>48</v>
      </c>
      <c r="L896" s="1" t="s">
        <v>136</v>
      </c>
      <c r="M896" s="1" t="s">
        <v>50</v>
      </c>
      <c r="N896" s="1" t="n">
        <v>24999</v>
      </c>
      <c r="O896" s="1" t="n">
        <v>10</v>
      </c>
      <c r="P896" s="1" t="n">
        <v>2499.9</v>
      </c>
      <c r="Q896" s="1" t="n">
        <v>22499.1</v>
      </c>
      <c r="R896" s="1" t="n">
        <v>4049.84</v>
      </c>
      <c r="S896" s="1" t="n">
        <v>18449.26</v>
      </c>
      <c r="T896" s="1" t="n">
        <v>6666.45</v>
      </c>
      <c r="U896" s="1" t="n">
        <v>11782.81</v>
      </c>
      <c r="V896" s="1" t="n">
        <v>63.87</v>
      </c>
      <c r="W896" s="1" t="s">
        <v>39</v>
      </c>
      <c r="X896" s="1" t="n">
        <v>3.4</v>
      </c>
      <c r="Y896" s="1" t="s">
        <v>40</v>
      </c>
      <c r="Z896" s="1" t="n">
        <v>2</v>
      </c>
      <c r="AA896" s="1" t="str">
        <f aca="false">TRIM(PROPER(F896))</f>
        <v>Warangal</v>
      </c>
      <c r="AB896" s="1" t="str">
        <f aca="false">TRIM(PROPER(C896))</f>
        <v>Scaler</v>
      </c>
      <c r="AC896" s="1" t="str">
        <f aca="false">IF(O896=0,"No Discount",IF(O896&lt;=15,"Low (1-15%)",IF(O896&lt;=30,"Medium (16-30%)","High (&gt;30%)")))</f>
        <v>Low (1-15%)</v>
      </c>
      <c r="AD896" s="1" t="str">
        <f aca="false">IF(V896&lt;0,"Loss Making",IF(V896&lt;20,"Low Margin","Healthy Margin"))</f>
        <v>Healthy Margin</v>
      </c>
      <c r="AE896" s="1" t="str">
        <f aca="false">TEXT(DATE(VALUE(RIGHT(B896,4)),VALUE(MID(B896,4,2)),VALUE(LEFT(B896,2))),"MMM-YYYY")</f>
        <v>Jan-2023</v>
      </c>
      <c r="AF896" s="1" t="n">
        <f aca="false">VALUE(RIGHT(B896,4))</f>
        <v>2023</v>
      </c>
      <c r="AG896" s="1" t="str">
        <f aca="false">CHOOSE(ROUNDUP(VALUE(MID(B896,4,2))/3,0),"Q1","Q2","Q3","Q4")</f>
        <v>Q1</v>
      </c>
    </row>
    <row r="897" customFormat="false" ht="15" hidden="false" customHeight="true" outlineLevel="0" collapsed="false">
      <c r="A897" s="1" t="s">
        <v>1584</v>
      </c>
      <c r="B897" s="1" t="s">
        <v>1585</v>
      </c>
      <c r="C897" s="1" t="s">
        <v>128</v>
      </c>
      <c r="D897" s="1" t="s">
        <v>53</v>
      </c>
      <c r="E897" s="1" t="s">
        <v>54</v>
      </c>
      <c r="F897" s="1" t="s">
        <v>67</v>
      </c>
      <c r="G897" s="1" t="s">
        <v>68</v>
      </c>
      <c r="H897" s="1" t="s">
        <v>69</v>
      </c>
      <c r="I897" s="1" t="s">
        <v>83</v>
      </c>
      <c r="J897" s="1" t="s">
        <v>70</v>
      </c>
      <c r="K897" s="1" t="s">
        <v>90</v>
      </c>
      <c r="L897" s="1" t="s">
        <v>113</v>
      </c>
      <c r="M897" s="1" t="s">
        <v>38</v>
      </c>
      <c r="N897" s="1" t="n">
        <v>11999</v>
      </c>
      <c r="O897" s="1" t="n">
        <v>30</v>
      </c>
      <c r="P897" s="1" t="n">
        <v>3599.7</v>
      </c>
      <c r="Q897" s="1" t="n">
        <v>8399.3</v>
      </c>
      <c r="R897" s="1" t="n">
        <v>1511.87</v>
      </c>
      <c r="S897" s="1" t="n">
        <v>6887.43</v>
      </c>
      <c r="T897" s="1" t="n">
        <v>3089.32</v>
      </c>
      <c r="U897" s="1" t="n">
        <v>3798.11</v>
      </c>
      <c r="V897" s="1" t="n">
        <v>55.15</v>
      </c>
      <c r="W897" s="1" t="s">
        <v>39</v>
      </c>
      <c r="Y897" s="1" t="s">
        <v>40</v>
      </c>
      <c r="Z897" s="1" t="n">
        <v>0</v>
      </c>
      <c r="AA897" s="1" t="str">
        <f aca="false">TRIM(PROPER(F897))</f>
        <v>Ahmedabad</v>
      </c>
      <c r="AB897" s="1" t="str">
        <f aca="false">TRIM(PROPER(C897))</f>
        <v>Great Learning</v>
      </c>
      <c r="AC897" s="1" t="str">
        <f aca="false">IF(O897=0,"No Discount",IF(O897&lt;=15,"Low (1-15%)",IF(O897&lt;=30,"Medium (16-30%)","High (&gt;30%)")))</f>
        <v>Medium (16-30%)</v>
      </c>
      <c r="AD897" s="1" t="str">
        <f aca="false">IF(V897&lt;0,"Loss Making",IF(V897&lt;20,"Low Margin","Healthy Margin"))</f>
        <v>Healthy Margin</v>
      </c>
      <c r="AE897" s="1" t="str">
        <f aca="false">TEXT(DATE(VALUE(RIGHT(B897,4)),VALUE(MID(B897,4,2)),VALUE(LEFT(B897,2))),"MMM-YYYY")</f>
        <v>May-2024</v>
      </c>
      <c r="AF897" s="1" t="n">
        <f aca="false">VALUE(RIGHT(B897,4))</f>
        <v>2024</v>
      </c>
      <c r="AG897" s="1" t="str">
        <f aca="false">CHOOSE(ROUNDUP(VALUE(MID(B897,4,2))/3,0),"Q1","Q2","Q3","Q4")</f>
        <v>Q2</v>
      </c>
    </row>
    <row r="898" customFormat="false" ht="15" hidden="false" customHeight="true" outlineLevel="0" collapsed="false">
      <c r="A898" s="1" t="s">
        <v>1586</v>
      </c>
      <c r="B898" s="1" t="s">
        <v>1313</v>
      </c>
      <c r="C898" s="1" t="s">
        <v>119</v>
      </c>
      <c r="D898" s="1" t="s">
        <v>123</v>
      </c>
      <c r="E898" s="1" t="s">
        <v>147</v>
      </c>
      <c r="F898" s="1" t="s">
        <v>269</v>
      </c>
      <c r="G898" s="1" t="s">
        <v>108</v>
      </c>
      <c r="H898" s="1" t="s">
        <v>57</v>
      </c>
      <c r="I898" s="1" t="s">
        <v>34</v>
      </c>
      <c r="J898" s="1" t="s">
        <v>59</v>
      </c>
      <c r="K898" s="1" t="s">
        <v>36</v>
      </c>
      <c r="L898" s="1" t="s">
        <v>113</v>
      </c>
      <c r="M898" s="1" t="s">
        <v>38</v>
      </c>
      <c r="N898" s="1" t="n">
        <v>6999</v>
      </c>
      <c r="O898" s="1" t="n">
        <v>30</v>
      </c>
      <c r="P898" s="1" t="n">
        <v>2099.7</v>
      </c>
      <c r="Q898" s="1" t="n">
        <v>4899.3</v>
      </c>
      <c r="R898" s="1" t="n">
        <v>881.87</v>
      </c>
      <c r="S898" s="1" t="n">
        <v>4017.43</v>
      </c>
      <c r="T898" s="1" t="n">
        <v>2118.19</v>
      </c>
      <c r="U898" s="1" t="n">
        <v>1899.24</v>
      </c>
      <c r="V898" s="1" t="n">
        <v>47.27</v>
      </c>
      <c r="W898" s="1" t="s">
        <v>39</v>
      </c>
      <c r="X898" s="1" t="n">
        <v>3.1</v>
      </c>
      <c r="Y898" s="1" t="s">
        <v>40</v>
      </c>
      <c r="Z898" s="1" t="n">
        <v>1</v>
      </c>
      <c r="AA898" s="1" t="str">
        <f aca="false">TRIM(PROPER(F898))</f>
        <v>Coimbatore</v>
      </c>
      <c r="AB898" s="1" t="str">
        <f aca="false">TRIM(PROPER(C898))</f>
        <v>Simplilearn</v>
      </c>
      <c r="AC898" s="1" t="str">
        <f aca="false">IF(O898=0,"No Discount",IF(O898&lt;=15,"Low (1-15%)",IF(O898&lt;=30,"Medium (16-30%)","High (&gt;30%)")))</f>
        <v>Medium (16-30%)</v>
      </c>
      <c r="AD898" s="1" t="str">
        <f aca="false">IF(V898&lt;0,"Loss Making",IF(V898&lt;20,"Low Margin","Healthy Margin"))</f>
        <v>Healthy Margin</v>
      </c>
      <c r="AE898" s="1" t="str">
        <f aca="false">TEXT(DATE(VALUE(RIGHT(B898,4)),VALUE(MID(B898,4,2)),VALUE(LEFT(B898,2))),"MMM-YYYY")</f>
        <v>Dec-2024</v>
      </c>
      <c r="AF898" s="1" t="n">
        <f aca="false">VALUE(RIGHT(B898,4))</f>
        <v>2024</v>
      </c>
      <c r="AG898" s="1" t="str">
        <f aca="false">CHOOSE(ROUNDUP(VALUE(MID(B898,4,2))/3,0),"Q1","Q2","Q3","Q4")</f>
        <v>Q4</v>
      </c>
    </row>
    <row r="899" customFormat="false" ht="15" hidden="false" customHeight="true" outlineLevel="0" collapsed="false">
      <c r="A899" s="1" t="s">
        <v>1587</v>
      </c>
      <c r="B899" s="1" t="s">
        <v>1588</v>
      </c>
      <c r="C899" s="1" t="s">
        <v>249</v>
      </c>
      <c r="D899" s="1" t="s">
        <v>143</v>
      </c>
      <c r="E899" s="1" t="s">
        <v>159</v>
      </c>
      <c r="F899" s="1" t="s">
        <v>269</v>
      </c>
      <c r="G899" s="1" t="s">
        <v>108</v>
      </c>
      <c r="H899" s="1" t="s">
        <v>57</v>
      </c>
      <c r="I899" s="1" t="s">
        <v>58</v>
      </c>
      <c r="J899" s="1" t="s">
        <v>70</v>
      </c>
      <c r="K899" s="1" t="s">
        <v>104</v>
      </c>
      <c r="L899" s="1" t="s">
        <v>37</v>
      </c>
      <c r="M899" s="1" t="s">
        <v>50</v>
      </c>
      <c r="N899" s="1" t="n">
        <v>24999</v>
      </c>
      <c r="O899" s="1" t="n">
        <v>30</v>
      </c>
      <c r="P899" s="1" t="n">
        <v>7499.7</v>
      </c>
      <c r="Q899" s="1" t="n">
        <v>17499.3</v>
      </c>
      <c r="R899" s="1" t="n">
        <v>3149.87</v>
      </c>
      <c r="S899" s="1" t="n">
        <v>14349.43</v>
      </c>
      <c r="T899" s="1" t="n">
        <v>6468.17</v>
      </c>
      <c r="U899" s="1" t="n">
        <v>7881.26</v>
      </c>
      <c r="V899" s="1" t="n">
        <v>54.92</v>
      </c>
      <c r="W899" s="1" t="s">
        <v>39</v>
      </c>
      <c r="X899" s="1" t="n">
        <v>3.1</v>
      </c>
      <c r="Y899" s="1" t="s">
        <v>39</v>
      </c>
      <c r="Z899" s="1" t="n">
        <v>1</v>
      </c>
      <c r="AA899" s="1" t="str">
        <f aca="false">TRIM(PROPER(F899))</f>
        <v>Coimbatore</v>
      </c>
      <c r="AB899" s="1" t="str">
        <f aca="false">TRIM(PROPER(C899))</f>
        <v>Whitehat Jr</v>
      </c>
      <c r="AC899" s="1" t="str">
        <f aca="false">IF(O899=0,"No Discount",IF(O899&lt;=15,"Low (1-15%)",IF(O899&lt;=30,"Medium (16-30%)","High (&gt;30%)")))</f>
        <v>Medium (16-30%)</v>
      </c>
      <c r="AD899" s="1" t="str">
        <f aca="false">IF(V899&lt;0,"Loss Making",IF(V899&lt;20,"Low Margin","Healthy Margin"))</f>
        <v>Healthy Margin</v>
      </c>
      <c r="AE899" s="1" t="str">
        <f aca="false">TEXT(DATE(VALUE(RIGHT(B899,4)),VALUE(MID(B899,4,2)),VALUE(LEFT(B899,2))),"MMM-YYYY")</f>
        <v>Jan-2024</v>
      </c>
      <c r="AF899" s="1" t="n">
        <f aca="false">VALUE(RIGHT(B899,4))</f>
        <v>2024</v>
      </c>
      <c r="AG899" s="1" t="str">
        <f aca="false">CHOOSE(ROUNDUP(VALUE(MID(B899,4,2))/3,0),"Q1","Q2","Q3","Q4")</f>
        <v>Q1</v>
      </c>
    </row>
    <row r="900" customFormat="false" ht="15" hidden="false" customHeight="true" outlineLevel="0" collapsed="false">
      <c r="A900" s="1" t="s">
        <v>1589</v>
      </c>
      <c r="B900" s="1" t="s">
        <v>1331</v>
      </c>
      <c r="C900" s="1" t="s">
        <v>119</v>
      </c>
      <c r="D900" s="1" t="s">
        <v>29</v>
      </c>
      <c r="E900" s="1" t="s">
        <v>30</v>
      </c>
      <c r="F900" s="1" t="s">
        <v>55</v>
      </c>
      <c r="G900" s="1" t="s">
        <v>56</v>
      </c>
      <c r="H900" s="1" t="s">
        <v>57</v>
      </c>
      <c r="I900" s="1" t="s">
        <v>34</v>
      </c>
      <c r="J900" s="1" t="s">
        <v>59</v>
      </c>
      <c r="K900" s="1" t="s">
        <v>48</v>
      </c>
      <c r="L900" s="1" t="s">
        <v>85</v>
      </c>
      <c r="M900" s="1" t="s">
        <v>50</v>
      </c>
      <c r="N900" s="1" t="n">
        <v>7999</v>
      </c>
      <c r="O900" s="1" t="n">
        <v>20</v>
      </c>
      <c r="P900" s="1" t="n">
        <v>1599.8</v>
      </c>
      <c r="Q900" s="1" t="n">
        <v>6399.2</v>
      </c>
      <c r="R900" s="1" t="n">
        <v>1151.86</v>
      </c>
      <c r="S900" s="1" t="n">
        <v>5247.34</v>
      </c>
      <c r="T900" s="1" t="n">
        <v>2318</v>
      </c>
      <c r="U900" s="1" t="n">
        <v>2929.34</v>
      </c>
      <c r="V900" s="1" t="n">
        <v>55.83</v>
      </c>
      <c r="W900" s="1" t="s">
        <v>39</v>
      </c>
      <c r="X900" s="1" t="n">
        <v>4.1</v>
      </c>
      <c r="Y900" s="1" t="s">
        <v>40</v>
      </c>
      <c r="Z900" s="1" t="n">
        <v>0</v>
      </c>
      <c r="AA900" s="1" t="str">
        <f aca="false">TRIM(PROPER(F900))</f>
        <v>Ghaziabad</v>
      </c>
      <c r="AB900" s="1" t="str">
        <f aca="false">TRIM(PROPER(C900))</f>
        <v>Simplilearn</v>
      </c>
      <c r="AC900" s="1" t="str">
        <f aca="false">IF(O900=0,"No Discount",IF(O900&lt;=15,"Low (1-15%)",IF(O900&lt;=30,"Medium (16-30%)","High (&gt;30%)")))</f>
        <v>Medium (16-30%)</v>
      </c>
      <c r="AD900" s="1" t="str">
        <f aca="false">IF(V900&lt;0,"Loss Making",IF(V900&lt;20,"Low Margin","Healthy Margin"))</f>
        <v>Healthy Margin</v>
      </c>
      <c r="AE900" s="1" t="str">
        <f aca="false">TEXT(DATE(VALUE(RIGHT(B900,4)),VALUE(MID(B900,4,2)),VALUE(LEFT(B900,2))),"MMM-YYYY")</f>
        <v>Sep-2024</v>
      </c>
      <c r="AF900" s="1" t="n">
        <f aca="false">VALUE(RIGHT(B900,4))</f>
        <v>2024</v>
      </c>
      <c r="AG900" s="1" t="str">
        <f aca="false">CHOOSE(ROUNDUP(VALUE(MID(B900,4,2))/3,0),"Q1","Q2","Q3","Q4")</f>
        <v>Q3</v>
      </c>
    </row>
    <row r="901" customFormat="false" ht="15" hidden="false" customHeight="true" outlineLevel="0" collapsed="false">
      <c r="A901" s="1" t="s">
        <v>1590</v>
      </c>
      <c r="B901" s="1" t="s">
        <v>1591</v>
      </c>
      <c r="C901" s="1" t="s">
        <v>139</v>
      </c>
      <c r="D901" s="1" t="s">
        <v>53</v>
      </c>
      <c r="E901" s="1" t="s">
        <v>54</v>
      </c>
      <c r="F901" s="1" t="s">
        <v>102</v>
      </c>
      <c r="G901" s="1" t="s">
        <v>103</v>
      </c>
      <c r="H901" s="1" t="s">
        <v>33</v>
      </c>
      <c r="I901" s="1" t="s">
        <v>83</v>
      </c>
      <c r="J901" s="1" t="s">
        <v>35</v>
      </c>
      <c r="K901" s="1" t="s">
        <v>90</v>
      </c>
      <c r="L901" s="1" t="s">
        <v>37</v>
      </c>
      <c r="M901" s="1" t="s">
        <v>62</v>
      </c>
      <c r="N901" s="1" t="n">
        <v>11999</v>
      </c>
      <c r="O901" s="1" t="n">
        <v>40</v>
      </c>
      <c r="P901" s="1" t="n">
        <v>4799.6</v>
      </c>
      <c r="Q901" s="1" t="n">
        <v>7199.4</v>
      </c>
      <c r="R901" s="1" t="n">
        <v>1295.89</v>
      </c>
      <c r="S901" s="1" t="n">
        <v>5903.51</v>
      </c>
      <c r="T901" s="1" t="n">
        <v>3617.6</v>
      </c>
      <c r="U901" s="1" t="n">
        <v>2285.91</v>
      </c>
      <c r="V901" s="1" t="n">
        <v>38.72</v>
      </c>
      <c r="W901" s="1" t="s">
        <v>39</v>
      </c>
      <c r="X901" s="1" t="n">
        <v>3.7</v>
      </c>
      <c r="Y901" s="1" t="s">
        <v>40</v>
      </c>
      <c r="Z901" s="1" t="n">
        <v>0</v>
      </c>
      <c r="AA901" s="1" t="str">
        <f aca="false">TRIM(PROPER(F901))</f>
        <v>Warangal</v>
      </c>
      <c r="AB901" s="1" t="str">
        <f aca="false">TRIM(PROPER(C901))</f>
        <v>Extramarks</v>
      </c>
      <c r="AC901" s="1" t="str">
        <f aca="false">IF(O901=0,"No Discount",IF(O901&lt;=15,"Low (1-15%)",IF(O901&lt;=30,"Medium (16-30%)","High (&gt;30%)")))</f>
        <v>High (&gt;30%)</v>
      </c>
      <c r="AD901" s="1" t="str">
        <f aca="false">IF(V901&lt;0,"Loss Making",IF(V901&lt;20,"Low Margin","Healthy Margin"))</f>
        <v>Healthy Margin</v>
      </c>
      <c r="AE901" s="1" t="str">
        <f aca="false">TEXT(DATE(VALUE(RIGHT(B901,4)),VALUE(MID(B901,4,2)),VALUE(LEFT(B901,2))),"MMM-YYYY")</f>
        <v>Feb-2024</v>
      </c>
      <c r="AF901" s="1" t="n">
        <f aca="false">VALUE(RIGHT(B901,4))</f>
        <v>2024</v>
      </c>
      <c r="AG901" s="1" t="str">
        <f aca="false">CHOOSE(ROUNDUP(VALUE(MID(B901,4,2))/3,0),"Q1","Q2","Q3","Q4")</f>
        <v>Q1</v>
      </c>
    </row>
    <row r="902" customFormat="false" ht="15" hidden="false" customHeight="true" outlineLevel="0" collapsed="false">
      <c r="A902" s="1" t="s">
        <v>1592</v>
      </c>
      <c r="B902" s="1" t="s">
        <v>177</v>
      </c>
      <c r="C902" s="1" t="s">
        <v>264</v>
      </c>
      <c r="D902" s="1" t="s">
        <v>168</v>
      </c>
      <c r="E902" s="1" t="s">
        <v>169</v>
      </c>
      <c r="F902" s="1" t="s">
        <v>184</v>
      </c>
      <c r="G902" s="1" t="s">
        <v>56</v>
      </c>
      <c r="H902" s="1" t="s">
        <v>57</v>
      </c>
      <c r="I902" s="1" t="s">
        <v>34</v>
      </c>
      <c r="J902" s="1" t="s">
        <v>77</v>
      </c>
      <c r="K902" s="1" t="s">
        <v>36</v>
      </c>
      <c r="L902" s="1" t="s">
        <v>61</v>
      </c>
      <c r="M902" s="1" t="s">
        <v>38</v>
      </c>
      <c r="N902" s="1" t="n">
        <v>4999</v>
      </c>
      <c r="O902" s="1" t="n">
        <v>5</v>
      </c>
      <c r="P902" s="1" t="n">
        <v>249.95</v>
      </c>
      <c r="Q902" s="1" t="n">
        <v>4749.05</v>
      </c>
      <c r="R902" s="1" t="n">
        <v>854.83</v>
      </c>
      <c r="S902" s="1" t="n">
        <v>3894.22</v>
      </c>
      <c r="T902" s="1" t="n">
        <v>1476.15</v>
      </c>
      <c r="U902" s="1" t="n">
        <v>2418.07</v>
      </c>
      <c r="V902" s="1" t="n">
        <v>62.09</v>
      </c>
      <c r="W902" s="1" t="s">
        <v>39</v>
      </c>
      <c r="X902" s="1" t="n">
        <v>4.2</v>
      </c>
      <c r="Y902" s="1" t="s">
        <v>40</v>
      </c>
      <c r="Z902" s="1" t="n">
        <v>0</v>
      </c>
      <c r="AA902" s="1" t="str">
        <f aca="false">TRIM(PROPER(F902))</f>
        <v>Faridabad</v>
      </c>
      <c r="AB902" s="1" t="str">
        <f aca="false">TRIM(PROPER(C902))</f>
        <v>Unacademy</v>
      </c>
      <c r="AC902" s="1" t="str">
        <f aca="false">IF(O902=0,"No Discount",IF(O902&lt;=15,"Low (1-15%)",IF(O902&lt;=30,"Medium (16-30%)","High (&gt;30%)")))</f>
        <v>Low (1-15%)</v>
      </c>
      <c r="AD902" s="1" t="str">
        <f aca="false">IF(V902&lt;0,"Loss Making",IF(V902&lt;20,"Low Margin","Healthy Margin"))</f>
        <v>Healthy Margin</v>
      </c>
      <c r="AE902" s="1" t="str">
        <f aca="false">TEXT(DATE(VALUE(RIGHT(B902,4)),VALUE(MID(B902,4,2)),VALUE(LEFT(B902,2))),"MMM-YYYY")</f>
        <v>Jul-2024</v>
      </c>
      <c r="AF902" s="1" t="n">
        <f aca="false">VALUE(RIGHT(B902,4))</f>
        <v>2024</v>
      </c>
      <c r="AG902" s="1" t="str">
        <f aca="false">CHOOSE(ROUNDUP(VALUE(MID(B902,4,2))/3,0),"Q1","Q2","Q3","Q4")</f>
        <v>Q3</v>
      </c>
    </row>
    <row r="903" customFormat="false" ht="15" hidden="false" customHeight="true" outlineLevel="0" collapsed="false">
      <c r="A903" s="1" t="s">
        <v>1593</v>
      </c>
      <c r="B903" s="1" t="s">
        <v>1594</v>
      </c>
      <c r="C903" s="1" t="s">
        <v>43</v>
      </c>
      <c r="D903" s="1" t="s">
        <v>80</v>
      </c>
      <c r="E903" s="1" t="s">
        <v>190</v>
      </c>
      <c r="F903" s="1" t="s">
        <v>96</v>
      </c>
      <c r="G903" s="1" t="s">
        <v>97</v>
      </c>
      <c r="H903" s="1" t="s">
        <v>69</v>
      </c>
      <c r="I903" s="1" t="s">
        <v>34</v>
      </c>
      <c r="J903" s="1" t="s">
        <v>131</v>
      </c>
      <c r="K903" s="1" t="s">
        <v>104</v>
      </c>
      <c r="L903" s="1" t="s">
        <v>37</v>
      </c>
      <c r="M903" s="1" t="s">
        <v>38</v>
      </c>
      <c r="N903" s="1" t="n">
        <v>15999</v>
      </c>
      <c r="O903" s="1" t="n">
        <v>50</v>
      </c>
      <c r="P903" s="1" t="n">
        <v>7999.5</v>
      </c>
      <c r="Q903" s="1" t="n">
        <v>7999.5</v>
      </c>
      <c r="R903" s="1" t="n">
        <v>1439.91</v>
      </c>
      <c r="S903" s="1" t="n">
        <v>6559.59</v>
      </c>
      <c r="T903" s="1" t="n">
        <v>3476.25</v>
      </c>
      <c r="U903" s="1" t="n">
        <v>3083.34</v>
      </c>
      <c r="V903" s="1" t="n">
        <v>47.01</v>
      </c>
      <c r="W903" s="1" t="s">
        <v>39</v>
      </c>
      <c r="X903" s="1" t="n">
        <v>3.8</v>
      </c>
      <c r="Y903" s="1" t="s">
        <v>40</v>
      </c>
      <c r="Z903" s="1" t="n">
        <v>0</v>
      </c>
      <c r="AA903" s="1" t="str">
        <f aca="false">TRIM(PROPER(F903))</f>
        <v>Pune</v>
      </c>
      <c r="AB903" s="1" t="str">
        <f aca="false">TRIM(PROPER(C903))</f>
        <v>Meritnation</v>
      </c>
      <c r="AC903" s="1" t="str">
        <f aca="false">IF(O903=0,"No Discount",IF(O903&lt;=15,"Low (1-15%)",IF(O903&lt;=30,"Medium (16-30%)","High (&gt;30%)")))</f>
        <v>High (&gt;30%)</v>
      </c>
      <c r="AD903" s="1" t="str">
        <f aca="false">IF(V903&lt;0,"Loss Making",IF(V903&lt;20,"Low Margin","Healthy Margin"))</f>
        <v>Healthy Margin</v>
      </c>
      <c r="AE903" s="1" t="str">
        <f aca="false">TEXT(DATE(VALUE(RIGHT(B903,4)),VALUE(MID(B903,4,2)),VALUE(LEFT(B903,2))),"MMM-YYYY")</f>
        <v>Jul-2023</v>
      </c>
      <c r="AF903" s="1" t="n">
        <f aca="false">VALUE(RIGHT(B903,4))</f>
        <v>2023</v>
      </c>
      <c r="AG903" s="1" t="str">
        <f aca="false">CHOOSE(ROUNDUP(VALUE(MID(B903,4,2))/3,0),"Q1","Q2","Q3","Q4")</f>
        <v>Q3</v>
      </c>
    </row>
    <row r="904" customFormat="false" ht="15" hidden="false" customHeight="true" outlineLevel="0" collapsed="false">
      <c r="A904" s="1" t="s">
        <v>1595</v>
      </c>
      <c r="B904" s="1" t="s">
        <v>1596</v>
      </c>
      <c r="C904" s="1" t="s">
        <v>74</v>
      </c>
      <c r="D904" s="1" t="s">
        <v>143</v>
      </c>
      <c r="E904" s="1" t="s">
        <v>243</v>
      </c>
      <c r="F904" s="1" t="s">
        <v>107</v>
      </c>
      <c r="G904" s="1" t="s">
        <v>108</v>
      </c>
      <c r="H904" s="1" t="s">
        <v>33</v>
      </c>
      <c r="I904" s="1" t="s">
        <v>34</v>
      </c>
      <c r="J904" s="1" t="s">
        <v>77</v>
      </c>
      <c r="K904" s="1" t="s">
        <v>90</v>
      </c>
      <c r="L904" s="1" t="s">
        <v>85</v>
      </c>
      <c r="M904" s="1" t="s">
        <v>38</v>
      </c>
      <c r="N904" s="1" t="n">
        <v>22999</v>
      </c>
      <c r="O904" s="1" t="n">
        <v>0</v>
      </c>
      <c r="P904" s="1" t="n">
        <v>0</v>
      </c>
      <c r="Q904" s="1" t="n">
        <v>22999</v>
      </c>
      <c r="R904" s="1" t="n">
        <v>4139.82</v>
      </c>
      <c r="S904" s="1" t="n">
        <v>18859.18</v>
      </c>
      <c r="T904" s="1" t="n">
        <v>6043.38</v>
      </c>
      <c r="U904" s="1" t="n">
        <v>12815.8</v>
      </c>
      <c r="V904" s="1" t="n">
        <v>67.96</v>
      </c>
      <c r="W904" s="1" t="s">
        <v>40</v>
      </c>
      <c r="Y904" s="1" t="s">
        <v>39</v>
      </c>
      <c r="Z904" s="1" t="n">
        <v>0</v>
      </c>
      <c r="AA904" s="1" t="str">
        <f aca="false">TRIM(PROPER(F904))</f>
        <v>Madurai</v>
      </c>
      <c r="AB904" s="1" t="str">
        <f aca="false">TRIM(PROPER(C904))</f>
        <v>Vedantu</v>
      </c>
      <c r="AC904" s="1" t="str">
        <f aca="false">IF(O904=0,"No Discount",IF(O904&lt;=15,"Low (1-15%)",IF(O904&lt;=30,"Medium (16-30%)","High (&gt;30%)")))</f>
        <v>No Discount</v>
      </c>
      <c r="AD904" s="1" t="str">
        <f aca="false">IF(V904&lt;0,"Loss Making",IF(V904&lt;20,"Low Margin","Healthy Margin"))</f>
        <v>Healthy Margin</v>
      </c>
      <c r="AE904" s="1" t="str">
        <f aca="false">TEXT(DATE(VALUE(RIGHT(B904,4)),VALUE(MID(B904,4,2)),VALUE(LEFT(B904,2))),"MMM-YYYY")</f>
        <v>Oct-2023</v>
      </c>
      <c r="AF904" s="1" t="n">
        <f aca="false">VALUE(RIGHT(B904,4))</f>
        <v>2023</v>
      </c>
      <c r="AG904" s="1" t="str">
        <f aca="false">CHOOSE(ROUNDUP(VALUE(MID(B904,4,2))/3,0),"Q1","Q2","Q3","Q4")</f>
        <v>Q4</v>
      </c>
    </row>
    <row r="905" customFormat="false" ht="15" hidden="false" customHeight="true" outlineLevel="0" collapsed="false">
      <c r="A905" s="1" t="s">
        <v>1597</v>
      </c>
      <c r="B905" s="1" t="s">
        <v>1598</v>
      </c>
      <c r="C905" s="1" t="s">
        <v>74</v>
      </c>
      <c r="D905" s="1" t="s">
        <v>94</v>
      </c>
      <c r="E905" s="1" t="s">
        <v>101</v>
      </c>
      <c r="F905" s="1" t="s">
        <v>102</v>
      </c>
      <c r="G905" s="1" t="s">
        <v>103</v>
      </c>
      <c r="H905" s="1" t="s">
        <v>33</v>
      </c>
      <c r="I905" s="1" t="s">
        <v>34</v>
      </c>
      <c r="J905" s="1" t="s">
        <v>35</v>
      </c>
      <c r="K905" s="1" t="s">
        <v>112</v>
      </c>
      <c r="L905" s="1" t="s">
        <v>37</v>
      </c>
      <c r="M905" s="1" t="s">
        <v>38</v>
      </c>
      <c r="N905" s="1" t="n">
        <v>14999</v>
      </c>
      <c r="O905" s="1" t="n">
        <v>25</v>
      </c>
      <c r="P905" s="1" t="n">
        <v>3749.75</v>
      </c>
      <c r="Q905" s="1" t="n">
        <v>11249.25</v>
      </c>
      <c r="R905" s="1" t="n">
        <v>2024.87</v>
      </c>
      <c r="S905" s="1" t="n">
        <v>9224.38</v>
      </c>
      <c r="T905" s="1" t="n">
        <v>5101.34</v>
      </c>
      <c r="U905" s="1" t="n">
        <v>4123.04</v>
      </c>
      <c r="V905" s="1" t="n">
        <v>44.7</v>
      </c>
      <c r="W905" s="1" t="s">
        <v>39</v>
      </c>
      <c r="X905" s="1" t="n">
        <v>3.7</v>
      </c>
      <c r="Y905" s="1" t="s">
        <v>40</v>
      </c>
      <c r="Z905" s="1" t="n">
        <v>0</v>
      </c>
      <c r="AA905" s="1" t="str">
        <f aca="false">TRIM(PROPER(F905))</f>
        <v>Warangal</v>
      </c>
      <c r="AB905" s="1" t="str">
        <f aca="false">TRIM(PROPER(C905))</f>
        <v>Vedantu</v>
      </c>
      <c r="AC905" s="1" t="str">
        <f aca="false">IF(O905=0,"No Discount",IF(O905&lt;=15,"Low (1-15%)",IF(O905&lt;=30,"Medium (16-30%)","High (&gt;30%)")))</f>
        <v>Medium (16-30%)</v>
      </c>
      <c r="AD905" s="1" t="str">
        <f aca="false">IF(V905&lt;0,"Loss Making",IF(V905&lt;20,"Low Margin","Healthy Margin"))</f>
        <v>Healthy Margin</v>
      </c>
      <c r="AE905" s="1" t="str">
        <f aca="false">TEXT(DATE(VALUE(RIGHT(B905,4)),VALUE(MID(B905,4,2)),VALUE(LEFT(B905,2))),"MMM-YYYY")</f>
        <v>Mar-2023</v>
      </c>
      <c r="AF905" s="1" t="n">
        <f aca="false">VALUE(RIGHT(B905,4))</f>
        <v>2023</v>
      </c>
      <c r="AG905" s="1" t="str">
        <f aca="false">CHOOSE(ROUNDUP(VALUE(MID(B905,4,2))/3,0),"Q1","Q2","Q3","Q4")</f>
        <v>Q1</v>
      </c>
    </row>
    <row r="906" customFormat="false" ht="15" hidden="false" customHeight="true" outlineLevel="0" collapsed="false">
      <c r="A906" s="1" t="s">
        <v>1599</v>
      </c>
      <c r="B906" s="1" t="s">
        <v>845</v>
      </c>
      <c r="C906" s="1" t="s">
        <v>100</v>
      </c>
      <c r="D906" s="1" t="s">
        <v>80</v>
      </c>
      <c r="E906" s="1" t="s">
        <v>175</v>
      </c>
      <c r="F906" s="1" t="s">
        <v>184</v>
      </c>
      <c r="G906" s="1" t="s">
        <v>56</v>
      </c>
      <c r="H906" s="1" t="s">
        <v>57</v>
      </c>
      <c r="I906" s="1" t="s">
        <v>58</v>
      </c>
      <c r="J906" s="1" t="s">
        <v>35</v>
      </c>
      <c r="K906" s="1" t="s">
        <v>36</v>
      </c>
      <c r="L906" s="1" t="s">
        <v>136</v>
      </c>
      <c r="M906" s="1" t="s">
        <v>62</v>
      </c>
      <c r="N906" s="1" t="n">
        <v>19999</v>
      </c>
      <c r="O906" s="1" t="n">
        <v>10</v>
      </c>
      <c r="P906" s="1" t="n">
        <v>1999.9</v>
      </c>
      <c r="Q906" s="1" t="n">
        <v>17999.1</v>
      </c>
      <c r="R906" s="1" t="n">
        <v>3239.84</v>
      </c>
      <c r="S906" s="1" t="n">
        <v>14759.26</v>
      </c>
      <c r="T906" s="1" t="n">
        <v>7191.45</v>
      </c>
      <c r="U906" s="1" t="n">
        <v>7567.81</v>
      </c>
      <c r="V906" s="1" t="n">
        <v>51.27</v>
      </c>
      <c r="W906" s="1" t="s">
        <v>39</v>
      </c>
      <c r="X906" s="1" t="n">
        <v>4.1</v>
      </c>
      <c r="Y906" s="1" t="s">
        <v>39</v>
      </c>
      <c r="Z906" s="1" t="n">
        <v>0</v>
      </c>
      <c r="AA906" s="1" t="str">
        <f aca="false">TRIM(PROPER(F906))</f>
        <v>Faridabad</v>
      </c>
      <c r="AB906" s="1" t="str">
        <f aca="false">TRIM(PROPER(C906))</f>
        <v>Physics Wallah</v>
      </c>
      <c r="AC906" s="1" t="str">
        <f aca="false">IF(O906=0,"No Discount",IF(O906&lt;=15,"Low (1-15%)",IF(O906&lt;=30,"Medium (16-30%)","High (&gt;30%)")))</f>
        <v>Low (1-15%)</v>
      </c>
      <c r="AD906" s="1" t="str">
        <f aca="false">IF(V906&lt;0,"Loss Making",IF(V906&lt;20,"Low Margin","Healthy Margin"))</f>
        <v>Healthy Margin</v>
      </c>
      <c r="AE906" s="1" t="str">
        <f aca="false">TEXT(DATE(VALUE(RIGHT(B906,4)),VALUE(MID(B906,4,2)),VALUE(LEFT(B906,2))),"MMM-YYYY")</f>
        <v>Mar-2024</v>
      </c>
      <c r="AF906" s="1" t="n">
        <f aca="false">VALUE(RIGHT(B906,4))</f>
        <v>2024</v>
      </c>
      <c r="AG906" s="1" t="str">
        <f aca="false">CHOOSE(ROUNDUP(VALUE(MID(B906,4,2))/3,0),"Q1","Q2","Q3","Q4")</f>
        <v>Q1</v>
      </c>
    </row>
    <row r="907" customFormat="false" ht="15" hidden="false" customHeight="true" outlineLevel="0" collapsed="false">
      <c r="A907" s="1" t="s">
        <v>1600</v>
      </c>
      <c r="B907" s="1" t="s">
        <v>1111</v>
      </c>
      <c r="C907" s="1" t="s">
        <v>65</v>
      </c>
      <c r="D907" s="1" t="s">
        <v>53</v>
      </c>
      <c r="E907" s="1" t="s">
        <v>116</v>
      </c>
      <c r="F907" s="1" t="s">
        <v>89</v>
      </c>
      <c r="G907" s="1" t="s">
        <v>68</v>
      </c>
      <c r="H907" s="1" t="s">
        <v>33</v>
      </c>
      <c r="I907" s="1" t="s">
        <v>58</v>
      </c>
      <c r="J907" s="1" t="s">
        <v>35</v>
      </c>
      <c r="K907" s="1" t="s">
        <v>48</v>
      </c>
      <c r="L907" s="1" t="s">
        <v>85</v>
      </c>
      <c r="M907" s="1" t="s">
        <v>38</v>
      </c>
      <c r="N907" s="1" t="n">
        <v>9999</v>
      </c>
      <c r="O907" s="1" t="n">
        <v>5</v>
      </c>
      <c r="P907" s="1" t="n">
        <v>499.95</v>
      </c>
      <c r="Q907" s="1" t="n">
        <v>9499.05</v>
      </c>
      <c r="R907" s="1" t="n">
        <v>1709.83</v>
      </c>
      <c r="S907" s="1" t="n">
        <v>7789.22</v>
      </c>
      <c r="T907" s="1" t="n">
        <v>3408.23</v>
      </c>
      <c r="U907" s="1" t="n">
        <v>4380.99</v>
      </c>
      <c r="V907" s="1" t="n">
        <v>56.24</v>
      </c>
      <c r="W907" s="1" t="s">
        <v>39</v>
      </c>
      <c r="X907" s="1" t="n">
        <v>4.3</v>
      </c>
      <c r="Y907" s="1" t="s">
        <v>40</v>
      </c>
      <c r="Z907" s="1" t="n">
        <v>0</v>
      </c>
      <c r="AA907" s="1" t="str">
        <f aca="false">TRIM(PROPER(F907))</f>
        <v>Vadodara</v>
      </c>
      <c r="AB907" s="1" t="str">
        <f aca="false">TRIM(PROPER(C907))</f>
        <v>Toppr</v>
      </c>
      <c r="AC907" s="1" t="str">
        <f aca="false">IF(O907=0,"No Discount",IF(O907&lt;=15,"Low (1-15%)",IF(O907&lt;=30,"Medium (16-30%)","High (&gt;30%)")))</f>
        <v>Low (1-15%)</v>
      </c>
      <c r="AD907" s="1" t="str">
        <f aca="false">IF(V907&lt;0,"Loss Making",IF(V907&lt;20,"Low Margin","Healthy Margin"))</f>
        <v>Healthy Margin</v>
      </c>
      <c r="AE907" s="1" t="str">
        <f aca="false">TEXT(DATE(VALUE(RIGHT(B907,4)),VALUE(MID(B907,4,2)),VALUE(LEFT(B907,2))),"MMM-YYYY")</f>
        <v>Dec-2024</v>
      </c>
      <c r="AF907" s="1" t="n">
        <f aca="false">VALUE(RIGHT(B907,4))</f>
        <v>2024</v>
      </c>
      <c r="AG907" s="1" t="str">
        <f aca="false">CHOOSE(ROUNDUP(VALUE(MID(B907,4,2))/3,0),"Q1","Q2","Q3","Q4")</f>
        <v>Q4</v>
      </c>
    </row>
    <row r="908" customFormat="false" ht="15" hidden="false" customHeight="true" outlineLevel="0" collapsed="false">
      <c r="A908" s="1" t="s">
        <v>1601</v>
      </c>
      <c r="B908" s="1" t="s">
        <v>770</v>
      </c>
      <c r="C908" s="1" t="s">
        <v>1602</v>
      </c>
      <c r="D908" s="1" t="s">
        <v>44</v>
      </c>
      <c r="E908" s="1" t="s">
        <v>45</v>
      </c>
      <c r="F908" s="1" t="s">
        <v>120</v>
      </c>
      <c r="G908" s="1" t="s">
        <v>47</v>
      </c>
      <c r="H908" s="1" t="s">
        <v>57</v>
      </c>
      <c r="I908" s="1" t="s">
        <v>83</v>
      </c>
      <c r="J908" s="1" t="s">
        <v>35</v>
      </c>
      <c r="K908" s="1" t="s">
        <v>84</v>
      </c>
      <c r="L908" s="1" t="s">
        <v>113</v>
      </c>
      <c r="M908" s="1" t="s">
        <v>62</v>
      </c>
      <c r="N908" s="1" t="n">
        <v>11999</v>
      </c>
      <c r="O908" s="1" t="n">
        <v>15</v>
      </c>
      <c r="P908" s="1" t="n">
        <v>1799.85</v>
      </c>
      <c r="Q908" s="1" t="n">
        <v>10199.15</v>
      </c>
      <c r="R908" s="1" t="n">
        <v>1835.85</v>
      </c>
      <c r="S908" s="1" t="n">
        <v>8363.3</v>
      </c>
      <c r="T908" s="1" t="n">
        <v>3649.27</v>
      </c>
      <c r="U908" s="1" t="n">
        <v>4714.03</v>
      </c>
      <c r="V908" s="1" t="n">
        <v>56.37</v>
      </c>
      <c r="W908" s="1" t="s">
        <v>39</v>
      </c>
      <c r="X908" s="1" t="n">
        <v>3.4</v>
      </c>
      <c r="Y908" s="1" t="s">
        <v>40</v>
      </c>
      <c r="Z908" s="1" t="n">
        <v>1</v>
      </c>
      <c r="AA908" s="1" t="str">
        <f aca="false">TRIM(PROPER(F908))</f>
        <v>Mysuru</v>
      </c>
      <c r="AB908" s="1" t="str">
        <f aca="false">TRIM(PROPER(C908))</f>
        <v>Upgrad</v>
      </c>
      <c r="AC908" s="1" t="str">
        <f aca="false">IF(O908=0,"No Discount",IF(O908&lt;=15,"Low (1-15%)",IF(O908&lt;=30,"Medium (16-30%)","High (&gt;30%)")))</f>
        <v>Low (1-15%)</v>
      </c>
      <c r="AD908" s="1" t="str">
        <f aca="false">IF(V908&lt;0,"Loss Making",IF(V908&lt;20,"Low Margin","Healthy Margin"))</f>
        <v>Healthy Margin</v>
      </c>
      <c r="AE908" s="1" t="str">
        <f aca="false">TEXT(DATE(VALUE(RIGHT(B908,4)),VALUE(MID(B908,4,2)),VALUE(LEFT(B908,2))),"MMM-YYYY")</f>
        <v>Sep-2024</v>
      </c>
      <c r="AF908" s="1" t="n">
        <f aca="false">VALUE(RIGHT(B908,4))</f>
        <v>2024</v>
      </c>
      <c r="AG908" s="1" t="str">
        <f aca="false">CHOOSE(ROUNDUP(VALUE(MID(B908,4,2))/3,0),"Q1","Q2","Q3","Q4")</f>
        <v>Q3</v>
      </c>
    </row>
    <row r="909" customFormat="false" ht="15" hidden="false" customHeight="true" outlineLevel="0" collapsed="false">
      <c r="A909" s="1" t="s">
        <v>1603</v>
      </c>
      <c r="B909" s="1" t="s">
        <v>1604</v>
      </c>
      <c r="C909" s="1" t="s">
        <v>119</v>
      </c>
      <c r="D909" s="1" t="s">
        <v>44</v>
      </c>
      <c r="E909" s="1" t="s">
        <v>45</v>
      </c>
      <c r="F909" s="1" t="s">
        <v>75</v>
      </c>
      <c r="G909" s="1" t="s">
        <v>76</v>
      </c>
      <c r="H909" s="1" t="s">
        <v>69</v>
      </c>
      <c r="I909" s="1" t="s">
        <v>34</v>
      </c>
      <c r="J909" s="1" t="s">
        <v>35</v>
      </c>
      <c r="K909" s="1" t="s">
        <v>84</v>
      </c>
      <c r="L909" s="1" t="s">
        <v>61</v>
      </c>
      <c r="M909" s="1" t="s">
        <v>62</v>
      </c>
      <c r="N909" s="1" t="n">
        <v>11999</v>
      </c>
      <c r="O909" s="1" t="n">
        <v>0</v>
      </c>
      <c r="P909" s="1" t="n">
        <v>0</v>
      </c>
      <c r="Q909" s="1" t="n">
        <v>11999</v>
      </c>
      <c r="R909" s="1" t="n">
        <v>2159.82</v>
      </c>
      <c r="S909" s="1" t="n">
        <v>9839.18</v>
      </c>
      <c r="T909" s="1" t="n">
        <v>4468.92</v>
      </c>
      <c r="U909" s="1" t="n">
        <v>5370.26</v>
      </c>
      <c r="V909" s="1" t="n">
        <v>54.58</v>
      </c>
      <c r="W909" s="1" t="s">
        <v>39</v>
      </c>
      <c r="Y909" s="1" t="s">
        <v>40</v>
      </c>
      <c r="Z909" s="1" t="n">
        <v>0</v>
      </c>
      <c r="AA909" s="1" t="str">
        <f aca="false">TRIM(PROPER(F909))</f>
        <v>Kolkata</v>
      </c>
      <c r="AB909" s="1" t="str">
        <f aca="false">TRIM(PROPER(C909))</f>
        <v>Simplilearn</v>
      </c>
      <c r="AC909" s="1" t="str">
        <f aca="false">IF(O909=0,"No Discount",IF(O909&lt;=15,"Low (1-15%)",IF(O909&lt;=30,"Medium (16-30%)","High (&gt;30%)")))</f>
        <v>No Discount</v>
      </c>
      <c r="AD909" s="1" t="str">
        <f aca="false">IF(V909&lt;0,"Loss Making",IF(V909&lt;20,"Low Margin","Healthy Margin"))</f>
        <v>Healthy Margin</v>
      </c>
      <c r="AE909" s="1" t="str">
        <f aca="false">TEXT(DATE(VALUE(RIGHT(B909,4)),VALUE(MID(B909,4,2)),VALUE(LEFT(B909,2))),"MMM-YYYY")</f>
        <v>Oct-2023</v>
      </c>
      <c r="AF909" s="1" t="n">
        <f aca="false">VALUE(RIGHT(B909,4))</f>
        <v>2023</v>
      </c>
      <c r="AG909" s="1" t="str">
        <f aca="false">CHOOSE(ROUNDUP(VALUE(MID(B909,4,2))/3,0),"Q1","Q2","Q3","Q4")</f>
        <v>Q4</v>
      </c>
    </row>
    <row r="910" customFormat="false" ht="15" hidden="false" customHeight="true" outlineLevel="0" collapsed="false">
      <c r="A910" s="1" t="s">
        <v>1605</v>
      </c>
      <c r="B910" s="1" t="s">
        <v>1606</v>
      </c>
      <c r="C910" s="1" t="s">
        <v>249</v>
      </c>
      <c r="D910" s="1" t="s">
        <v>53</v>
      </c>
      <c r="E910" s="1" t="s">
        <v>116</v>
      </c>
      <c r="F910" s="1" t="s">
        <v>211</v>
      </c>
      <c r="G910" s="1" t="s">
        <v>56</v>
      </c>
      <c r="H910" s="1" t="s">
        <v>69</v>
      </c>
      <c r="I910" s="1" t="s">
        <v>83</v>
      </c>
      <c r="J910" s="1" t="s">
        <v>35</v>
      </c>
      <c r="K910" s="1" t="s">
        <v>112</v>
      </c>
      <c r="L910" s="1" t="s">
        <v>49</v>
      </c>
      <c r="M910" s="1" t="s">
        <v>50</v>
      </c>
      <c r="N910" s="1" t="n">
        <v>9999</v>
      </c>
      <c r="O910" s="1" t="n">
        <v>0</v>
      </c>
      <c r="P910" s="1" t="n">
        <v>0</v>
      </c>
      <c r="Q910" s="1" t="n">
        <v>9999</v>
      </c>
      <c r="R910" s="1" t="n">
        <v>1799.82</v>
      </c>
      <c r="S910" s="1" t="n">
        <v>8199.18</v>
      </c>
      <c r="T910" s="1" t="n">
        <v>3003.24</v>
      </c>
      <c r="U910" s="1" t="n">
        <v>5195.94</v>
      </c>
      <c r="V910" s="1" t="n">
        <v>63.37</v>
      </c>
      <c r="W910" s="1" t="s">
        <v>39</v>
      </c>
      <c r="X910" s="1" t="n">
        <v>4.4</v>
      </c>
      <c r="Y910" s="1" t="s">
        <v>40</v>
      </c>
      <c r="Z910" s="1" t="n">
        <v>0</v>
      </c>
      <c r="AA910" s="1" t="str">
        <f aca="false">TRIM(PROPER(F910))</f>
        <v>Noida</v>
      </c>
      <c r="AB910" s="1" t="str">
        <f aca="false">TRIM(PROPER(C910))</f>
        <v>Whitehat Jr</v>
      </c>
      <c r="AC910" s="1" t="str">
        <f aca="false">IF(O910=0,"No Discount",IF(O910&lt;=15,"Low (1-15%)",IF(O910&lt;=30,"Medium (16-30%)","High (&gt;30%)")))</f>
        <v>No Discount</v>
      </c>
      <c r="AD910" s="1" t="str">
        <f aca="false">IF(V910&lt;0,"Loss Making",IF(V910&lt;20,"Low Margin","Healthy Margin"))</f>
        <v>Healthy Margin</v>
      </c>
      <c r="AE910" s="1" t="str">
        <f aca="false">TEXT(DATE(VALUE(RIGHT(B910,4)),VALUE(MID(B910,4,2)),VALUE(LEFT(B910,2))),"MMM-YYYY")</f>
        <v>May-2024</v>
      </c>
      <c r="AF910" s="1" t="n">
        <f aca="false">VALUE(RIGHT(B910,4))</f>
        <v>2024</v>
      </c>
      <c r="AG910" s="1" t="str">
        <f aca="false">CHOOSE(ROUNDUP(VALUE(MID(B910,4,2))/3,0),"Q1","Q2","Q3","Q4")</f>
        <v>Q2</v>
      </c>
    </row>
    <row r="911" customFormat="false" ht="15" hidden="false" customHeight="true" outlineLevel="0" collapsed="false">
      <c r="A911" s="1" t="s">
        <v>1607</v>
      </c>
      <c r="B911" s="1" t="s">
        <v>891</v>
      </c>
      <c r="C911" s="1" t="s">
        <v>74</v>
      </c>
      <c r="D911" s="1" t="s">
        <v>53</v>
      </c>
      <c r="E911" s="1" t="s">
        <v>54</v>
      </c>
      <c r="F911" s="1" t="s">
        <v>156</v>
      </c>
      <c r="G911" s="1" t="s">
        <v>68</v>
      </c>
      <c r="H911" s="1" t="s">
        <v>57</v>
      </c>
      <c r="I911" s="1" t="s">
        <v>34</v>
      </c>
      <c r="J911" s="1" t="s">
        <v>59</v>
      </c>
      <c r="K911" s="1" t="s">
        <v>60</v>
      </c>
      <c r="L911" s="1" t="s">
        <v>49</v>
      </c>
      <c r="M911" s="1" t="s">
        <v>50</v>
      </c>
      <c r="N911" s="1" t="n">
        <v>11999</v>
      </c>
      <c r="O911" s="1" t="n">
        <v>50</v>
      </c>
      <c r="P911" s="1" t="n">
        <v>5999.5</v>
      </c>
      <c r="Q911" s="1" t="n">
        <v>5999.5</v>
      </c>
      <c r="R911" s="1" t="n">
        <v>1079.91</v>
      </c>
      <c r="S911" s="1" t="n">
        <v>4919.59</v>
      </c>
      <c r="T911" s="1" t="n">
        <v>3152.98</v>
      </c>
      <c r="U911" s="1" t="n">
        <v>1766.61</v>
      </c>
      <c r="V911" s="1" t="n">
        <v>35.91</v>
      </c>
      <c r="W911" s="1" t="s">
        <v>39</v>
      </c>
      <c r="X911" s="1" t="n">
        <v>4.3</v>
      </c>
      <c r="Y911" s="1" t="s">
        <v>40</v>
      </c>
      <c r="Z911" s="1" t="n">
        <v>1</v>
      </c>
      <c r="AA911" s="1" t="str">
        <f aca="false">TRIM(PROPER(F911))</f>
        <v>Surat</v>
      </c>
      <c r="AB911" s="1" t="str">
        <f aca="false">TRIM(PROPER(C911))</f>
        <v>Vedantu</v>
      </c>
      <c r="AC911" s="1" t="str">
        <f aca="false">IF(O911=0,"No Discount",IF(O911&lt;=15,"Low (1-15%)",IF(O911&lt;=30,"Medium (16-30%)","High (&gt;30%)")))</f>
        <v>High (&gt;30%)</v>
      </c>
      <c r="AD911" s="1" t="str">
        <f aca="false">IF(V911&lt;0,"Loss Making",IF(V911&lt;20,"Low Margin","Healthy Margin"))</f>
        <v>Healthy Margin</v>
      </c>
      <c r="AE911" s="1" t="str">
        <f aca="false">TEXT(DATE(VALUE(RIGHT(B911,4)),VALUE(MID(B911,4,2)),VALUE(LEFT(B911,2))),"MMM-YYYY")</f>
        <v>Apr-2024</v>
      </c>
      <c r="AF911" s="1" t="n">
        <f aca="false">VALUE(RIGHT(B911,4))</f>
        <v>2024</v>
      </c>
      <c r="AG911" s="1" t="str">
        <f aca="false">CHOOSE(ROUNDUP(VALUE(MID(B911,4,2))/3,0),"Q1","Q2","Q3","Q4")</f>
        <v>Q2</v>
      </c>
    </row>
    <row r="912" customFormat="false" ht="15" hidden="false" customHeight="true" outlineLevel="0" collapsed="false">
      <c r="A912" s="1" t="s">
        <v>1608</v>
      </c>
      <c r="B912" s="1" t="s">
        <v>885</v>
      </c>
      <c r="C912" s="1" t="s">
        <v>43</v>
      </c>
      <c r="D912" s="1" t="s">
        <v>168</v>
      </c>
      <c r="E912" s="1" t="s">
        <v>169</v>
      </c>
      <c r="F912" s="1" t="s">
        <v>150</v>
      </c>
      <c r="G912" s="1" t="s">
        <v>32</v>
      </c>
      <c r="H912" s="1" t="s">
        <v>57</v>
      </c>
      <c r="I912" s="1" t="s">
        <v>58</v>
      </c>
      <c r="J912" s="1" t="s">
        <v>35</v>
      </c>
      <c r="K912" s="1" t="s">
        <v>84</v>
      </c>
      <c r="L912" s="1" t="s">
        <v>37</v>
      </c>
      <c r="M912" s="1" t="s">
        <v>62</v>
      </c>
      <c r="N912" s="1" t="n">
        <v>4999</v>
      </c>
      <c r="O912" s="1" t="n">
        <v>25</v>
      </c>
      <c r="P912" s="1" t="n">
        <v>1249.75</v>
      </c>
      <c r="Q912" s="1" t="n">
        <v>3749.25</v>
      </c>
      <c r="R912" s="1" t="n">
        <v>674.87</v>
      </c>
      <c r="S912" s="1" t="n">
        <v>3074.38</v>
      </c>
      <c r="T912" s="1" t="n">
        <v>1326.16</v>
      </c>
      <c r="U912" s="1" t="n">
        <v>1748.22</v>
      </c>
      <c r="V912" s="1" t="n">
        <v>56.86</v>
      </c>
      <c r="W912" s="1" t="s">
        <v>39</v>
      </c>
      <c r="X912" s="1" t="n">
        <v>3.5</v>
      </c>
      <c r="Y912" s="1" t="s">
        <v>40</v>
      </c>
      <c r="Z912" s="1" t="n">
        <v>1</v>
      </c>
      <c r="AA912" s="1" t="str">
        <f aca="false">TRIM(PROPER(F912))</f>
        <v>Jaipur</v>
      </c>
      <c r="AB912" s="1" t="str">
        <f aca="false">TRIM(PROPER(C912))</f>
        <v>Meritnation</v>
      </c>
      <c r="AC912" s="1" t="str">
        <f aca="false">IF(O912=0,"No Discount",IF(O912&lt;=15,"Low (1-15%)",IF(O912&lt;=30,"Medium (16-30%)","High (&gt;30%)")))</f>
        <v>Medium (16-30%)</v>
      </c>
      <c r="AD912" s="1" t="str">
        <f aca="false">IF(V912&lt;0,"Loss Making",IF(V912&lt;20,"Low Margin","Healthy Margin"))</f>
        <v>Healthy Margin</v>
      </c>
      <c r="AE912" s="1" t="str">
        <f aca="false">TEXT(DATE(VALUE(RIGHT(B912,4)),VALUE(MID(B912,4,2)),VALUE(LEFT(B912,2))),"MMM-YYYY")</f>
        <v>Jan-2023</v>
      </c>
      <c r="AF912" s="1" t="n">
        <f aca="false">VALUE(RIGHT(B912,4))</f>
        <v>2023</v>
      </c>
      <c r="AG912" s="1" t="str">
        <f aca="false">CHOOSE(ROUNDUP(VALUE(MID(B912,4,2))/3,0),"Q1","Q2","Q3","Q4")</f>
        <v>Q1</v>
      </c>
    </row>
    <row r="913" customFormat="false" ht="15" hidden="false" customHeight="true" outlineLevel="0" collapsed="false">
      <c r="A913" s="1" t="s">
        <v>1609</v>
      </c>
      <c r="B913" s="1" t="s">
        <v>1610</v>
      </c>
      <c r="C913" s="1" t="s">
        <v>74</v>
      </c>
      <c r="D913" s="1" t="s">
        <v>80</v>
      </c>
      <c r="E913" s="1" t="s">
        <v>193</v>
      </c>
      <c r="F913" s="1" t="s">
        <v>153</v>
      </c>
      <c r="G913" s="1" t="s">
        <v>76</v>
      </c>
      <c r="H913" s="1" t="s">
        <v>33</v>
      </c>
      <c r="I913" s="1" t="s">
        <v>83</v>
      </c>
      <c r="J913" s="1" t="s">
        <v>77</v>
      </c>
      <c r="K913" s="1" t="s">
        <v>48</v>
      </c>
      <c r="L913" s="1" t="s">
        <v>49</v>
      </c>
      <c r="M913" s="1" t="s">
        <v>62</v>
      </c>
      <c r="N913" s="1" t="n">
        <v>8999</v>
      </c>
      <c r="O913" s="1" t="n">
        <v>40</v>
      </c>
      <c r="P913" s="1" t="n">
        <v>3599.6</v>
      </c>
      <c r="Q913" s="1" t="n">
        <v>5399.4</v>
      </c>
      <c r="R913" s="1" t="n">
        <v>971.89</v>
      </c>
      <c r="S913" s="1" t="n">
        <v>4427.51</v>
      </c>
      <c r="T913" s="1" t="n">
        <v>2312.5</v>
      </c>
      <c r="U913" s="1" t="n">
        <v>2115.01</v>
      </c>
      <c r="V913" s="1" t="n">
        <v>47.77</v>
      </c>
      <c r="W913" s="1" t="s">
        <v>40</v>
      </c>
      <c r="Y913" s="1" t="s">
        <v>40</v>
      </c>
      <c r="Z913" s="1" t="n">
        <v>0</v>
      </c>
      <c r="AA913" s="1" t="str">
        <f aca="false">TRIM(PROPER(F913))</f>
        <v>Howrah</v>
      </c>
      <c r="AB913" s="1" t="str">
        <f aca="false">TRIM(PROPER(C913))</f>
        <v>Vedantu</v>
      </c>
      <c r="AC913" s="1" t="str">
        <f aca="false">IF(O913=0,"No Discount",IF(O913&lt;=15,"Low (1-15%)",IF(O913&lt;=30,"Medium (16-30%)","High (&gt;30%)")))</f>
        <v>High (&gt;30%)</v>
      </c>
      <c r="AD913" s="1" t="str">
        <f aca="false">IF(V913&lt;0,"Loss Making",IF(V913&lt;20,"Low Margin","Healthy Margin"))</f>
        <v>Healthy Margin</v>
      </c>
      <c r="AE913" s="1" t="str">
        <f aca="false">TEXT(DATE(VALUE(RIGHT(B913,4)),VALUE(MID(B913,4,2)),VALUE(LEFT(B913,2))),"MMM-YYYY")</f>
        <v>Mar-2023</v>
      </c>
      <c r="AF913" s="1" t="n">
        <f aca="false">VALUE(RIGHT(B913,4))</f>
        <v>2023</v>
      </c>
      <c r="AG913" s="1" t="str">
        <f aca="false">CHOOSE(ROUNDUP(VALUE(MID(B913,4,2))/3,0),"Q1","Q2","Q3","Q4")</f>
        <v>Q1</v>
      </c>
    </row>
    <row r="914" customFormat="false" ht="15" hidden="false" customHeight="true" outlineLevel="0" collapsed="false">
      <c r="A914" s="1" t="s">
        <v>1611</v>
      </c>
      <c r="B914" s="1" t="s">
        <v>290</v>
      </c>
      <c r="C914" s="1" t="s">
        <v>139</v>
      </c>
      <c r="D914" s="1" t="s">
        <v>123</v>
      </c>
      <c r="E914" s="1" t="s">
        <v>124</v>
      </c>
      <c r="F914" s="1" t="s">
        <v>156</v>
      </c>
      <c r="G914" s="1" t="s">
        <v>68</v>
      </c>
      <c r="H914" s="1" t="s">
        <v>57</v>
      </c>
      <c r="I914" s="1" t="s">
        <v>58</v>
      </c>
      <c r="J914" s="1" t="s">
        <v>35</v>
      </c>
      <c r="K914" s="1" t="s">
        <v>104</v>
      </c>
      <c r="L914" s="1" t="s">
        <v>61</v>
      </c>
      <c r="M914" s="1" t="s">
        <v>50</v>
      </c>
      <c r="N914" s="1" t="n">
        <v>4999</v>
      </c>
      <c r="O914" s="1" t="n">
        <v>40</v>
      </c>
      <c r="P914" s="1" t="n">
        <v>1999.6</v>
      </c>
      <c r="Q914" s="1" t="n">
        <v>2999.4</v>
      </c>
      <c r="R914" s="1" t="n">
        <v>539.89</v>
      </c>
      <c r="S914" s="1" t="n">
        <v>2459.51</v>
      </c>
      <c r="T914" s="1" t="n">
        <v>1122.8</v>
      </c>
      <c r="U914" s="1" t="n">
        <v>1336.71</v>
      </c>
      <c r="V914" s="1" t="n">
        <v>54.35</v>
      </c>
      <c r="W914" s="1" t="s">
        <v>39</v>
      </c>
      <c r="X914" s="1" t="n">
        <v>3.8</v>
      </c>
      <c r="Y914" s="1" t="s">
        <v>39</v>
      </c>
      <c r="Z914" s="1" t="n">
        <v>0</v>
      </c>
      <c r="AA914" s="1" t="str">
        <f aca="false">TRIM(PROPER(F914))</f>
        <v>Surat</v>
      </c>
      <c r="AB914" s="1" t="str">
        <f aca="false">TRIM(PROPER(C914))</f>
        <v>Extramarks</v>
      </c>
      <c r="AC914" s="1" t="str">
        <f aca="false">IF(O914=0,"No Discount",IF(O914&lt;=15,"Low (1-15%)",IF(O914&lt;=30,"Medium (16-30%)","High (&gt;30%)")))</f>
        <v>High (&gt;30%)</v>
      </c>
      <c r="AD914" s="1" t="str">
        <f aca="false">IF(V914&lt;0,"Loss Making",IF(V914&lt;20,"Low Margin","Healthy Margin"))</f>
        <v>Healthy Margin</v>
      </c>
      <c r="AE914" s="1" t="str">
        <f aca="false">TEXT(DATE(VALUE(RIGHT(B914,4)),VALUE(MID(B914,4,2)),VALUE(LEFT(B914,2))),"MMM-YYYY")</f>
        <v>Jan-2023</v>
      </c>
      <c r="AF914" s="1" t="n">
        <f aca="false">VALUE(RIGHT(B914,4))</f>
        <v>2023</v>
      </c>
      <c r="AG914" s="1" t="str">
        <f aca="false">CHOOSE(ROUNDUP(VALUE(MID(B914,4,2))/3,0),"Q1","Q2","Q3","Q4")</f>
        <v>Q1</v>
      </c>
    </row>
    <row r="915" customFormat="false" ht="15" hidden="false" customHeight="true" outlineLevel="0" collapsed="false">
      <c r="A915" s="1" t="s">
        <v>1612</v>
      </c>
      <c r="B915" s="1" t="s">
        <v>358</v>
      </c>
      <c r="C915" s="1" t="s">
        <v>100</v>
      </c>
      <c r="D915" s="1" t="s">
        <v>123</v>
      </c>
      <c r="E915" s="1" t="s">
        <v>124</v>
      </c>
      <c r="F915" s="1" t="s">
        <v>269</v>
      </c>
      <c r="G915" s="1" t="s">
        <v>108</v>
      </c>
      <c r="H915" s="1" t="s">
        <v>57</v>
      </c>
      <c r="I915" s="1" t="s">
        <v>34</v>
      </c>
      <c r="J915" s="1" t="s">
        <v>131</v>
      </c>
      <c r="K915" s="1" t="s">
        <v>112</v>
      </c>
      <c r="L915" s="1" t="s">
        <v>113</v>
      </c>
      <c r="M915" s="1" t="s">
        <v>50</v>
      </c>
      <c r="N915" s="1" t="n">
        <v>4999</v>
      </c>
      <c r="O915" s="1" t="n">
        <v>15</v>
      </c>
      <c r="P915" s="1" t="n">
        <v>749.85</v>
      </c>
      <c r="Q915" s="1" t="n">
        <v>4249.15</v>
      </c>
      <c r="R915" s="1" t="n">
        <v>764.85</v>
      </c>
      <c r="S915" s="1" t="n">
        <v>3484.3</v>
      </c>
      <c r="T915" s="1" t="n">
        <v>1733.46</v>
      </c>
      <c r="U915" s="1" t="n">
        <v>1750.84</v>
      </c>
      <c r="V915" s="1" t="n">
        <v>50.25</v>
      </c>
      <c r="W915" s="1" t="s">
        <v>40</v>
      </c>
      <c r="Y915" s="1" t="s">
        <v>40</v>
      </c>
      <c r="Z915" s="1" t="n">
        <v>1</v>
      </c>
      <c r="AA915" s="1" t="str">
        <f aca="false">TRIM(PROPER(F915))</f>
        <v>Coimbatore</v>
      </c>
      <c r="AB915" s="1" t="str">
        <f aca="false">TRIM(PROPER(C915))</f>
        <v>Physics Wallah</v>
      </c>
      <c r="AC915" s="1" t="str">
        <f aca="false">IF(O915=0,"No Discount",IF(O915&lt;=15,"Low (1-15%)",IF(O915&lt;=30,"Medium (16-30%)","High (&gt;30%)")))</f>
        <v>Low (1-15%)</v>
      </c>
      <c r="AD915" s="1" t="str">
        <f aca="false">IF(V915&lt;0,"Loss Making",IF(V915&lt;20,"Low Margin","Healthy Margin"))</f>
        <v>Healthy Margin</v>
      </c>
      <c r="AE915" s="1" t="str">
        <f aca="false">TEXT(DATE(VALUE(RIGHT(B915,4)),VALUE(MID(B915,4,2)),VALUE(LEFT(B915,2))),"MMM-YYYY")</f>
        <v>Nov-2024</v>
      </c>
      <c r="AF915" s="1" t="n">
        <f aca="false">VALUE(RIGHT(B915,4))</f>
        <v>2024</v>
      </c>
      <c r="AG915" s="1" t="str">
        <f aca="false">CHOOSE(ROUNDUP(VALUE(MID(B915,4,2))/3,0),"Q1","Q2","Q3","Q4")</f>
        <v>Q4</v>
      </c>
    </row>
    <row r="916" customFormat="false" ht="15" hidden="false" customHeight="true" outlineLevel="0" collapsed="false">
      <c r="A916" s="1" t="s">
        <v>1613</v>
      </c>
      <c r="B916" s="1" t="s">
        <v>1614</v>
      </c>
      <c r="C916" s="1" t="s">
        <v>28</v>
      </c>
      <c r="D916" s="1" t="s">
        <v>53</v>
      </c>
      <c r="E916" s="1" t="s">
        <v>116</v>
      </c>
      <c r="F916" s="1" t="s">
        <v>55</v>
      </c>
      <c r="G916" s="1" t="s">
        <v>56</v>
      </c>
      <c r="H916" s="1" t="s">
        <v>57</v>
      </c>
      <c r="I916" s="1" t="s">
        <v>83</v>
      </c>
      <c r="J916" s="1" t="s">
        <v>77</v>
      </c>
      <c r="K916" s="1" t="s">
        <v>71</v>
      </c>
      <c r="L916" s="1" t="s">
        <v>37</v>
      </c>
      <c r="M916" s="1" t="s">
        <v>38</v>
      </c>
      <c r="N916" s="1" t="n">
        <v>9999</v>
      </c>
      <c r="O916" s="1" t="n">
        <v>10</v>
      </c>
      <c r="P916" s="1" t="n">
        <v>999.9</v>
      </c>
      <c r="Q916" s="1" t="n">
        <v>8999.1</v>
      </c>
      <c r="R916" s="1" t="n">
        <v>1619.84</v>
      </c>
      <c r="S916" s="1" t="n">
        <v>7379.26</v>
      </c>
      <c r="T916" s="1" t="n">
        <v>3030.08</v>
      </c>
      <c r="U916" s="1" t="n">
        <v>4349.18</v>
      </c>
      <c r="V916" s="1" t="n">
        <v>58.94</v>
      </c>
      <c r="W916" s="1" t="s">
        <v>40</v>
      </c>
      <c r="Y916" s="1" t="s">
        <v>40</v>
      </c>
      <c r="Z916" s="1" t="n">
        <v>1</v>
      </c>
      <c r="AA916" s="1" t="str">
        <f aca="false">TRIM(PROPER(F916))</f>
        <v>Ghaziabad</v>
      </c>
      <c r="AB916" s="1" t="str">
        <f aca="false">TRIM(PROPER(C916))</f>
        <v>Embibe</v>
      </c>
      <c r="AC916" s="1" t="str">
        <f aca="false">IF(O916=0,"No Discount",IF(O916&lt;=15,"Low (1-15%)",IF(O916&lt;=30,"Medium (16-30%)","High (&gt;30%)")))</f>
        <v>Low (1-15%)</v>
      </c>
      <c r="AD916" s="1" t="str">
        <f aca="false">IF(V916&lt;0,"Loss Making",IF(V916&lt;20,"Low Margin","Healthy Margin"))</f>
        <v>Healthy Margin</v>
      </c>
      <c r="AE916" s="1" t="str">
        <f aca="false">TEXT(DATE(VALUE(RIGHT(B916,4)),VALUE(MID(B916,4,2)),VALUE(LEFT(B916,2))),"MMM-YYYY")</f>
        <v>Jan-2024</v>
      </c>
      <c r="AF916" s="1" t="n">
        <f aca="false">VALUE(RIGHT(B916,4))</f>
        <v>2024</v>
      </c>
      <c r="AG916" s="1" t="str">
        <f aca="false">CHOOSE(ROUNDUP(VALUE(MID(B916,4,2))/3,0),"Q1","Q2","Q3","Q4")</f>
        <v>Q1</v>
      </c>
    </row>
    <row r="917" customFormat="false" ht="15" hidden="false" customHeight="true" outlineLevel="0" collapsed="false">
      <c r="A917" s="1" t="s">
        <v>1615</v>
      </c>
      <c r="B917" s="1" t="s">
        <v>149</v>
      </c>
      <c r="C917" s="1" t="s">
        <v>264</v>
      </c>
      <c r="D917" s="1" t="s">
        <v>94</v>
      </c>
      <c r="E917" s="1" t="s">
        <v>95</v>
      </c>
      <c r="F917" s="1" t="s">
        <v>130</v>
      </c>
      <c r="G917" s="1" t="s">
        <v>47</v>
      </c>
      <c r="H917" s="1" t="s">
        <v>69</v>
      </c>
      <c r="I917" s="1" t="s">
        <v>83</v>
      </c>
      <c r="J917" s="1" t="s">
        <v>35</v>
      </c>
      <c r="K917" s="1" t="s">
        <v>84</v>
      </c>
      <c r="L917" s="1" t="s">
        <v>49</v>
      </c>
      <c r="M917" s="1" t="s">
        <v>50</v>
      </c>
      <c r="N917" s="1" t="n">
        <v>6999</v>
      </c>
      <c r="O917" s="1" t="n">
        <v>30</v>
      </c>
      <c r="P917" s="1" t="n">
        <v>2099.7</v>
      </c>
      <c r="Q917" s="1" t="n">
        <v>4899.3</v>
      </c>
      <c r="R917" s="1" t="n">
        <v>881.87</v>
      </c>
      <c r="S917" s="1" t="n">
        <v>4017.43</v>
      </c>
      <c r="T917" s="1" t="n">
        <v>1640.41</v>
      </c>
      <c r="U917" s="1" t="n">
        <v>2377.02</v>
      </c>
      <c r="V917" s="1" t="n">
        <v>59.17</v>
      </c>
      <c r="W917" s="1" t="s">
        <v>39</v>
      </c>
      <c r="X917" s="1" t="n">
        <v>3.8</v>
      </c>
      <c r="Y917" s="1" t="s">
        <v>40</v>
      </c>
      <c r="Z917" s="1" t="n">
        <v>0</v>
      </c>
      <c r="AA917" s="1" t="str">
        <f aca="false">TRIM(PROPER(F917))</f>
        <v>Bengaluru</v>
      </c>
      <c r="AB917" s="1" t="str">
        <f aca="false">TRIM(PROPER(C917))</f>
        <v>Unacademy</v>
      </c>
      <c r="AC917" s="1" t="str">
        <f aca="false">IF(O917=0,"No Discount",IF(O917&lt;=15,"Low (1-15%)",IF(O917&lt;=30,"Medium (16-30%)","High (&gt;30%)")))</f>
        <v>Medium (16-30%)</v>
      </c>
      <c r="AD917" s="1" t="str">
        <f aca="false">IF(V917&lt;0,"Loss Making",IF(V917&lt;20,"Low Margin","Healthy Margin"))</f>
        <v>Healthy Margin</v>
      </c>
      <c r="AE917" s="1" t="str">
        <f aca="false">TEXT(DATE(VALUE(RIGHT(B917,4)),VALUE(MID(B917,4,2)),VALUE(LEFT(B917,2))),"MMM-YYYY")</f>
        <v>May-2023</v>
      </c>
      <c r="AF917" s="1" t="n">
        <f aca="false">VALUE(RIGHT(B917,4))</f>
        <v>2023</v>
      </c>
      <c r="AG917" s="1" t="str">
        <f aca="false">CHOOSE(ROUNDUP(VALUE(MID(B917,4,2))/3,0),"Q1","Q2","Q3","Q4")</f>
        <v>Q2</v>
      </c>
    </row>
    <row r="918" customFormat="false" ht="15" hidden="false" customHeight="true" outlineLevel="0" collapsed="false">
      <c r="A918" s="1" t="s">
        <v>1616</v>
      </c>
      <c r="B918" s="1" t="s">
        <v>237</v>
      </c>
      <c r="C918" s="1" t="s">
        <v>249</v>
      </c>
      <c r="D918" s="1" t="s">
        <v>53</v>
      </c>
      <c r="E918" s="1" t="s">
        <v>54</v>
      </c>
      <c r="F918" s="1" t="s">
        <v>194</v>
      </c>
      <c r="G918" s="1" t="s">
        <v>103</v>
      </c>
      <c r="H918" s="1" t="s">
        <v>69</v>
      </c>
      <c r="I918" s="1" t="s">
        <v>83</v>
      </c>
      <c r="J918" s="1" t="s">
        <v>35</v>
      </c>
      <c r="K918" s="1" t="s">
        <v>112</v>
      </c>
      <c r="L918" s="1" t="s">
        <v>113</v>
      </c>
      <c r="M918" s="1" t="s">
        <v>62</v>
      </c>
      <c r="N918" s="1" t="n">
        <v>11999</v>
      </c>
      <c r="O918" s="1" t="n">
        <v>30</v>
      </c>
      <c r="P918" s="1" t="n">
        <v>3599.7</v>
      </c>
      <c r="Q918" s="1" t="n">
        <v>8399.3</v>
      </c>
      <c r="R918" s="1" t="n">
        <v>1511.87</v>
      </c>
      <c r="S918" s="1" t="n">
        <v>6887.43</v>
      </c>
      <c r="T918" s="1" t="n">
        <v>3364.28</v>
      </c>
      <c r="U918" s="1" t="n">
        <v>3523.15</v>
      </c>
      <c r="V918" s="1" t="n">
        <v>51.15</v>
      </c>
      <c r="W918" s="1" t="s">
        <v>39</v>
      </c>
      <c r="X918" s="1" t="n">
        <v>4.7</v>
      </c>
      <c r="Y918" s="1" t="s">
        <v>40</v>
      </c>
      <c r="Z918" s="1" t="n">
        <v>0</v>
      </c>
      <c r="AA918" s="1" t="str">
        <f aca="false">TRIM(PROPER(F918))</f>
        <v>Hyderabad</v>
      </c>
      <c r="AB918" s="1" t="str">
        <f aca="false">TRIM(PROPER(C918))</f>
        <v>Whitehat Jr</v>
      </c>
      <c r="AC918" s="1" t="str">
        <f aca="false">IF(O918=0,"No Discount",IF(O918&lt;=15,"Low (1-15%)",IF(O918&lt;=30,"Medium (16-30%)","High (&gt;30%)")))</f>
        <v>Medium (16-30%)</v>
      </c>
      <c r="AD918" s="1" t="str">
        <f aca="false">IF(V918&lt;0,"Loss Making",IF(V918&lt;20,"Low Margin","Healthy Margin"))</f>
        <v>Healthy Margin</v>
      </c>
      <c r="AE918" s="1" t="str">
        <f aca="false">TEXT(DATE(VALUE(RIGHT(B918,4)),VALUE(MID(B918,4,2)),VALUE(LEFT(B918,2))),"MMM-YYYY")</f>
        <v>Apr-2024</v>
      </c>
      <c r="AF918" s="1" t="n">
        <f aca="false">VALUE(RIGHT(B918,4))</f>
        <v>2024</v>
      </c>
      <c r="AG918" s="1" t="str">
        <f aca="false">CHOOSE(ROUNDUP(VALUE(MID(B918,4,2))/3,0),"Q1","Q2","Q3","Q4")</f>
        <v>Q2</v>
      </c>
    </row>
    <row r="919" customFormat="false" ht="15" hidden="false" customHeight="true" outlineLevel="0" collapsed="false">
      <c r="A919" s="1" t="s">
        <v>1617</v>
      </c>
      <c r="B919" s="1" t="s">
        <v>127</v>
      </c>
      <c r="C919" s="1" t="s">
        <v>100</v>
      </c>
      <c r="D919" s="1" t="s">
        <v>94</v>
      </c>
      <c r="E919" s="1" t="s">
        <v>135</v>
      </c>
      <c r="F919" s="1" t="s">
        <v>107</v>
      </c>
      <c r="G919" s="1" t="s">
        <v>108</v>
      </c>
      <c r="H919" s="1" t="s">
        <v>33</v>
      </c>
      <c r="I919" s="1" t="s">
        <v>58</v>
      </c>
      <c r="J919" s="1" t="s">
        <v>70</v>
      </c>
      <c r="K919" s="1" t="s">
        <v>104</v>
      </c>
      <c r="L919" s="1" t="s">
        <v>113</v>
      </c>
      <c r="M919" s="1" t="s">
        <v>50</v>
      </c>
      <c r="N919" s="1" t="n">
        <v>9999</v>
      </c>
      <c r="O919" s="1" t="n">
        <v>0</v>
      </c>
      <c r="P919" s="1" t="n">
        <v>0</v>
      </c>
      <c r="Q919" s="1" t="n">
        <v>9999</v>
      </c>
      <c r="R919" s="1" t="n">
        <v>1799.82</v>
      </c>
      <c r="S919" s="1" t="n">
        <v>8199.18</v>
      </c>
      <c r="T919" s="1" t="n">
        <v>3115.66</v>
      </c>
      <c r="U919" s="1" t="n">
        <v>5083.52</v>
      </c>
      <c r="V919" s="1" t="n">
        <v>62</v>
      </c>
      <c r="W919" s="1" t="s">
        <v>39</v>
      </c>
      <c r="X919" s="1" t="n">
        <v>4.3</v>
      </c>
      <c r="Y919" s="1" t="s">
        <v>40</v>
      </c>
      <c r="Z919" s="1" t="n">
        <v>0</v>
      </c>
      <c r="AA919" s="1" t="str">
        <f aca="false">TRIM(PROPER(F919))</f>
        <v>Madurai</v>
      </c>
      <c r="AB919" s="1" t="str">
        <f aca="false">TRIM(PROPER(C919))</f>
        <v>Physics Wallah</v>
      </c>
      <c r="AC919" s="1" t="str">
        <f aca="false">IF(O919=0,"No Discount",IF(O919&lt;=15,"Low (1-15%)",IF(O919&lt;=30,"Medium (16-30%)","High (&gt;30%)")))</f>
        <v>No Discount</v>
      </c>
      <c r="AD919" s="1" t="str">
        <f aca="false">IF(V919&lt;0,"Loss Making",IF(V919&lt;20,"Low Margin","Healthy Margin"))</f>
        <v>Healthy Margin</v>
      </c>
      <c r="AE919" s="1" t="str">
        <f aca="false">TEXT(DATE(VALUE(RIGHT(B919,4)),VALUE(MID(B919,4,2)),VALUE(LEFT(B919,2))),"MMM-YYYY")</f>
        <v>Dec-2024</v>
      </c>
      <c r="AF919" s="1" t="n">
        <f aca="false">VALUE(RIGHT(B919,4))</f>
        <v>2024</v>
      </c>
      <c r="AG919" s="1" t="str">
        <f aca="false">CHOOSE(ROUNDUP(VALUE(MID(B919,4,2))/3,0),"Q1","Q2","Q3","Q4")</f>
        <v>Q4</v>
      </c>
    </row>
    <row r="920" customFormat="false" ht="15" hidden="false" customHeight="true" outlineLevel="0" collapsed="false">
      <c r="A920" s="1" t="s">
        <v>1618</v>
      </c>
      <c r="B920" s="1" t="s">
        <v>1619</v>
      </c>
      <c r="C920" s="1" t="s">
        <v>74</v>
      </c>
      <c r="D920" s="1" t="s">
        <v>168</v>
      </c>
      <c r="E920" s="1" t="s">
        <v>169</v>
      </c>
      <c r="F920" s="1" t="s">
        <v>150</v>
      </c>
      <c r="G920" s="1" t="s">
        <v>32</v>
      </c>
      <c r="H920" s="1" t="s">
        <v>57</v>
      </c>
      <c r="I920" s="1" t="s">
        <v>83</v>
      </c>
      <c r="J920" s="1" t="s">
        <v>131</v>
      </c>
      <c r="K920" s="1" t="s">
        <v>36</v>
      </c>
      <c r="L920" s="1" t="s">
        <v>85</v>
      </c>
      <c r="M920" s="1" t="s">
        <v>62</v>
      </c>
      <c r="N920" s="1" t="n">
        <v>4999</v>
      </c>
      <c r="O920" s="1" t="n">
        <v>10</v>
      </c>
      <c r="P920" s="1" t="n">
        <v>499.9</v>
      </c>
      <c r="Q920" s="1" t="n">
        <v>4499.1</v>
      </c>
      <c r="R920" s="1" t="n">
        <v>809.84</v>
      </c>
      <c r="S920" s="1" t="n">
        <v>3689.26</v>
      </c>
      <c r="T920" s="1" t="n">
        <v>1793.64</v>
      </c>
      <c r="U920" s="1" t="n">
        <v>1895.62</v>
      </c>
      <c r="V920" s="1" t="n">
        <v>51.38</v>
      </c>
      <c r="W920" s="1" t="s">
        <v>39</v>
      </c>
      <c r="X920" s="1" t="n">
        <v>3.5</v>
      </c>
      <c r="Y920" s="1" t="s">
        <v>40</v>
      </c>
      <c r="Z920" s="1" t="n">
        <v>1</v>
      </c>
      <c r="AA920" s="1" t="str">
        <f aca="false">TRIM(PROPER(F920))</f>
        <v>Jaipur</v>
      </c>
      <c r="AB920" s="1" t="str">
        <f aca="false">TRIM(PROPER(C920))</f>
        <v>Vedantu</v>
      </c>
      <c r="AC920" s="1" t="str">
        <f aca="false">IF(O920=0,"No Discount",IF(O920&lt;=15,"Low (1-15%)",IF(O920&lt;=30,"Medium (16-30%)","High (&gt;30%)")))</f>
        <v>Low (1-15%)</v>
      </c>
      <c r="AD920" s="1" t="str">
        <f aca="false">IF(V920&lt;0,"Loss Making",IF(V920&lt;20,"Low Margin","Healthy Margin"))</f>
        <v>Healthy Margin</v>
      </c>
      <c r="AE920" s="1" t="str">
        <f aca="false">TEXT(DATE(VALUE(RIGHT(B920,4)),VALUE(MID(B920,4,2)),VALUE(LEFT(B920,2))),"MMM-YYYY")</f>
        <v>Apr-2024</v>
      </c>
      <c r="AF920" s="1" t="n">
        <f aca="false">VALUE(RIGHT(B920,4))</f>
        <v>2024</v>
      </c>
      <c r="AG920" s="1" t="str">
        <f aca="false">CHOOSE(ROUNDUP(VALUE(MID(B920,4,2))/3,0),"Q1","Q2","Q3","Q4")</f>
        <v>Q2</v>
      </c>
    </row>
    <row r="921" customFormat="false" ht="15" hidden="false" customHeight="true" outlineLevel="0" collapsed="false">
      <c r="A921" s="1" t="s">
        <v>1620</v>
      </c>
      <c r="B921" s="1" t="s">
        <v>1621</v>
      </c>
      <c r="C921" s="1" t="s">
        <v>134</v>
      </c>
      <c r="D921" s="1" t="s">
        <v>53</v>
      </c>
      <c r="E921" s="1" t="s">
        <v>116</v>
      </c>
      <c r="F921" s="1" t="s">
        <v>75</v>
      </c>
      <c r="G921" s="1" t="s">
        <v>76</v>
      </c>
      <c r="H921" s="1" t="s">
        <v>69</v>
      </c>
      <c r="I921" s="1" t="s">
        <v>58</v>
      </c>
      <c r="J921" s="1" t="s">
        <v>35</v>
      </c>
      <c r="K921" s="1" t="s">
        <v>48</v>
      </c>
      <c r="L921" s="1" t="s">
        <v>113</v>
      </c>
      <c r="M921" s="1" t="s">
        <v>62</v>
      </c>
      <c r="N921" s="1" t="n">
        <v>9999</v>
      </c>
      <c r="O921" s="1" t="n">
        <v>10</v>
      </c>
      <c r="P921" s="1" t="n">
        <v>999.9</v>
      </c>
      <c r="Q921" s="1" t="n">
        <v>8999.1</v>
      </c>
      <c r="R921" s="1" t="n">
        <v>1619.84</v>
      </c>
      <c r="S921" s="1" t="n">
        <v>7379.26</v>
      </c>
      <c r="T921" s="1" t="n">
        <v>2962.21</v>
      </c>
      <c r="U921" s="1" t="n">
        <v>4417.05</v>
      </c>
      <c r="V921" s="1" t="n">
        <v>59.86</v>
      </c>
      <c r="W921" s="1" t="s">
        <v>39</v>
      </c>
      <c r="X921" s="1" t="n">
        <v>2.3</v>
      </c>
      <c r="Y921" s="1" t="s">
        <v>40</v>
      </c>
      <c r="Z921" s="1" t="n">
        <v>0</v>
      </c>
      <c r="AA921" s="1" t="str">
        <f aca="false">TRIM(PROPER(F921))</f>
        <v>Kolkata</v>
      </c>
      <c r="AB921" s="1" t="str">
        <f aca="false">TRIM(PROPER(C921))</f>
        <v>Doubtnut</v>
      </c>
      <c r="AC921" s="1" t="str">
        <f aca="false">IF(O921=0,"No Discount",IF(O921&lt;=15,"Low (1-15%)",IF(O921&lt;=30,"Medium (16-30%)","High (&gt;30%)")))</f>
        <v>Low (1-15%)</v>
      </c>
      <c r="AD921" s="1" t="str">
        <f aca="false">IF(V921&lt;0,"Loss Making",IF(V921&lt;20,"Low Margin","Healthy Margin"))</f>
        <v>Healthy Margin</v>
      </c>
      <c r="AE921" s="1" t="str">
        <f aca="false">TEXT(DATE(VALUE(RIGHT(B921,4)),VALUE(MID(B921,4,2)),VALUE(LEFT(B921,2))),"MMM-YYYY")</f>
        <v>Mar-2024</v>
      </c>
      <c r="AF921" s="1" t="n">
        <f aca="false">VALUE(RIGHT(B921,4))</f>
        <v>2024</v>
      </c>
      <c r="AG921" s="1" t="str">
        <f aca="false">CHOOSE(ROUNDUP(VALUE(MID(B921,4,2))/3,0),"Q1","Q2","Q3","Q4")</f>
        <v>Q1</v>
      </c>
    </row>
    <row r="922" customFormat="false" ht="15" hidden="false" customHeight="true" outlineLevel="0" collapsed="false">
      <c r="A922" s="1" t="s">
        <v>1622</v>
      </c>
      <c r="B922" s="1" t="s">
        <v>1623</v>
      </c>
      <c r="C922" s="1" t="s">
        <v>134</v>
      </c>
      <c r="D922" s="1" t="s">
        <v>168</v>
      </c>
      <c r="E922" s="1" t="s">
        <v>328</v>
      </c>
      <c r="F922" s="1" t="s">
        <v>269</v>
      </c>
      <c r="G922" s="1" t="s">
        <v>108</v>
      </c>
      <c r="H922" s="1" t="s">
        <v>57</v>
      </c>
      <c r="I922" s="1" t="s">
        <v>83</v>
      </c>
      <c r="J922" s="1" t="s">
        <v>131</v>
      </c>
      <c r="K922" s="1" t="s">
        <v>71</v>
      </c>
      <c r="L922" s="1" t="s">
        <v>49</v>
      </c>
      <c r="M922" s="1" t="s">
        <v>62</v>
      </c>
      <c r="N922" s="1" t="n">
        <v>8999</v>
      </c>
      <c r="O922" s="1" t="n">
        <v>0</v>
      </c>
      <c r="P922" s="1" t="n">
        <v>0</v>
      </c>
      <c r="Q922" s="1" t="n">
        <v>8999</v>
      </c>
      <c r="R922" s="1" t="n">
        <v>1619.82</v>
      </c>
      <c r="S922" s="1" t="n">
        <v>7379.18</v>
      </c>
      <c r="T922" s="1" t="n">
        <v>3732.91</v>
      </c>
      <c r="U922" s="1" t="n">
        <v>3646.27</v>
      </c>
      <c r="V922" s="1" t="n">
        <v>49.41</v>
      </c>
      <c r="W922" s="1" t="s">
        <v>39</v>
      </c>
      <c r="X922" s="1" t="n">
        <v>3.5</v>
      </c>
      <c r="Y922" s="1" t="s">
        <v>39</v>
      </c>
      <c r="Z922" s="1" t="n">
        <v>1</v>
      </c>
      <c r="AA922" s="1" t="str">
        <f aca="false">TRIM(PROPER(F922))</f>
        <v>Coimbatore</v>
      </c>
      <c r="AB922" s="1" t="str">
        <f aca="false">TRIM(PROPER(C922))</f>
        <v>Doubtnut</v>
      </c>
      <c r="AC922" s="1" t="str">
        <f aca="false">IF(O922=0,"No Discount",IF(O922&lt;=15,"Low (1-15%)",IF(O922&lt;=30,"Medium (16-30%)","High (&gt;30%)")))</f>
        <v>No Discount</v>
      </c>
      <c r="AD922" s="1" t="str">
        <f aca="false">IF(V922&lt;0,"Loss Making",IF(V922&lt;20,"Low Margin","Healthy Margin"))</f>
        <v>Healthy Margin</v>
      </c>
      <c r="AE922" s="1" t="str">
        <f aca="false">TEXT(DATE(VALUE(RIGHT(B922,4)),VALUE(MID(B922,4,2)),VALUE(LEFT(B922,2))),"MMM-YYYY")</f>
        <v>Mar-2024</v>
      </c>
      <c r="AF922" s="1" t="n">
        <f aca="false">VALUE(RIGHT(B922,4))</f>
        <v>2024</v>
      </c>
      <c r="AG922" s="1" t="str">
        <f aca="false">CHOOSE(ROUNDUP(VALUE(MID(B922,4,2))/3,0),"Q1","Q2","Q3","Q4")</f>
        <v>Q1</v>
      </c>
    </row>
    <row r="923" customFormat="false" ht="15" hidden="false" customHeight="true" outlineLevel="0" collapsed="false">
      <c r="A923" s="1" t="s">
        <v>1624</v>
      </c>
      <c r="B923" s="1" t="s">
        <v>1625</v>
      </c>
      <c r="C923" s="1" t="s">
        <v>134</v>
      </c>
      <c r="D923" s="1" t="s">
        <v>123</v>
      </c>
      <c r="E923" s="1" t="s">
        <v>124</v>
      </c>
      <c r="F923" s="1" t="s">
        <v>211</v>
      </c>
      <c r="G923" s="1" t="s">
        <v>56</v>
      </c>
      <c r="H923" s="1" t="s">
        <v>69</v>
      </c>
      <c r="I923" s="1" t="s">
        <v>83</v>
      </c>
      <c r="J923" s="1" t="s">
        <v>59</v>
      </c>
      <c r="K923" s="1" t="s">
        <v>112</v>
      </c>
      <c r="L923" s="1" t="s">
        <v>136</v>
      </c>
      <c r="M923" s="1" t="s">
        <v>62</v>
      </c>
      <c r="N923" s="1" t="n">
        <v>4999</v>
      </c>
      <c r="O923" s="1" t="n">
        <v>25</v>
      </c>
      <c r="P923" s="1" t="n">
        <v>1249.75</v>
      </c>
      <c r="Q923" s="1" t="n">
        <v>3749.25</v>
      </c>
      <c r="R923" s="1" t="n">
        <v>674.87</v>
      </c>
      <c r="S923" s="1" t="n">
        <v>3074.38</v>
      </c>
      <c r="T923" s="1" t="n">
        <v>1310.29</v>
      </c>
      <c r="U923" s="1" t="n">
        <v>1764.09</v>
      </c>
      <c r="V923" s="1" t="n">
        <v>57.38</v>
      </c>
      <c r="W923" s="1" t="s">
        <v>40</v>
      </c>
      <c r="Y923" s="1" t="s">
        <v>40</v>
      </c>
      <c r="Z923" s="1" t="n">
        <v>3</v>
      </c>
      <c r="AA923" s="1" t="str">
        <f aca="false">TRIM(PROPER(F923))</f>
        <v>Noida</v>
      </c>
      <c r="AB923" s="1" t="str">
        <f aca="false">TRIM(PROPER(C923))</f>
        <v>Doubtnut</v>
      </c>
      <c r="AC923" s="1" t="str">
        <f aca="false">IF(O923=0,"No Discount",IF(O923&lt;=15,"Low (1-15%)",IF(O923&lt;=30,"Medium (16-30%)","High (&gt;30%)")))</f>
        <v>Medium (16-30%)</v>
      </c>
      <c r="AD923" s="1" t="str">
        <f aca="false">IF(V923&lt;0,"Loss Making",IF(V923&lt;20,"Low Margin","Healthy Margin"))</f>
        <v>Healthy Margin</v>
      </c>
      <c r="AE923" s="1" t="str">
        <f aca="false">TEXT(DATE(VALUE(RIGHT(B923,4)),VALUE(MID(B923,4,2)),VALUE(LEFT(B923,2))),"MMM-YYYY")</f>
        <v>Sep-2023</v>
      </c>
      <c r="AF923" s="1" t="n">
        <f aca="false">VALUE(RIGHT(B923,4))</f>
        <v>2023</v>
      </c>
      <c r="AG923" s="1" t="str">
        <f aca="false">CHOOSE(ROUNDUP(VALUE(MID(B923,4,2))/3,0),"Q1","Q2","Q3","Q4")</f>
        <v>Q3</v>
      </c>
    </row>
    <row r="924" customFormat="false" ht="15" hidden="false" customHeight="true" outlineLevel="0" collapsed="false">
      <c r="A924" s="1" t="s">
        <v>1626</v>
      </c>
      <c r="B924" s="1" t="s">
        <v>983</v>
      </c>
      <c r="C924" s="1" t="s">
        <v>264</v>
      </c>
      <c r="D924" s="1" t="s">
        <v>143</v>
      </c>
      <c r="E924" s="1" t="s">
        <v>162</v>
      </c>
      <c r="F924" s="1" t="s">
        <v>150</v>
      </c>
      <c r="G924" s="1" t="s">
        <v>32</v>
      </c>
      <c r="H924" s="1" t="s">
        <v>57</v>
      </c>
      <c r="I924" s="1" t="s">
        <v>83</v>
      </c>
      <c r="J924" s="1" t="s">
        <v>59</v>
      </c>
      <c r="K924" s="1" t="s">
        <v>84</v>
      </c>
      <c r="L924" s="1" t="s">
        <v>37</v>
      </c>
      <c r="M924" s="1" t="s">
        <v>62</v>
      </c>
      <c r="N924" s="1" t="n">
        <v>14999</v>
      </c>
      <c r="O924" s="1" t="n">
        <v>0</v>
      </c>
      <c r="P924" s="1" t="n">
        <v>0</v>
      </c>
      <c r="Q924" s="1" t="n">
        <v>14999</v>
      </c>
      <c r="R924" s="1" t="n">
        <v>2699.82</v>
      </c>
      <c r="S924" s="1" t="n">
        <v>12299.18</v>
      </c>
      <c r="T924" s="1" t="n">
        <v>6404.3</v>
      </c>
      <c r="U924" s="1" t="n">
        <v>5894.88</v>
      </c>
      <c r="V924" s="1" t="n">
        <v>47.93</v>
      </c>
      <c r="W924" s="1" t="s">
        <v>40</v>
      </c>
      <c r="Y924" s="1" t="s">
        <v>40</v>
      </c>
      <c r="Z924" s="1" t="n">
        <v>0</v>
      </c>
      <c r="AA924" s="1" t="str">
        <f aca="false">TRIM(PROPER(F924))</f>
        <v>Jaipur</v>
      </c>
      <c r="AB924" s="1" t="str">
        <f aca="false">TRIM(PROPER(C924))</f>
        <v>Unacademy</v>
      </c>
      <c r="AC924" s="1" t="str">
        <f aca="false">IF(O924=0,"No Discount",IF(O924&lt;=15,"Low (1-15%)",IF(O924&lt;=30,"Medium (16-30%)","High (&gt;30%)")))</f>
        <v>No Discount</v>
      </c>
      <c r="AD924" s="1" t="str">
        <f aca="false">IF(V924&lt;0,"Loss Making",IF(V924&lt;20,"Low Margin","Healthy Margin"))</f>
        <v>Healthy Margin</v>
      </c>
      <c r="AE924" s="1" t="str">
        <f aca="false">TEXT(DATE(VALUE(RIGHT(B924,4)),VALUE(MID(B924,4,2)),VALUE(LEFT(B924,2))),"MMM-YYYY")</f>
        <v>Jul-2023</v>
      </c>
      <c r="AF924" s="1" t="n">
        <f aca="false">VALUE(RIGHT(B924,4))</f>
        <v>2023</v>
      </c>
      <c r="AG924" s="1" t="str">
        <f aca="false">CHOOSE(ROUNDUP(VALUE(MID(B924,4,2))/3,0),"Q1","Q2","Q3","Q4")</f>
        <v>Q3</v>
      </c>
    </row>
    <row r="925" customFormat="false" ht="15" hidden="false" customHeight="true" outlineLevel="0" collapsed="false">
      <c r="A925" s="1" t="s">
        <v>1627</v>
      </c>
      <c r="B925" s="1" t="s">
        <v>1458</v>
      </c>
      <c r="C925" s="1" t="s">
        <v>65</v>
      </c>
      <c r="D925" s="1" t="s">
        <v>80</v>
      </c>
      <c r="E925" s="1" t="s">
        <v>190</v>
      </c>
      <c r="F925" s="1" t="s">
        <v>211</v>
      </c>
      <c r="G925" s="1" t="s">
        <v>56</v>
      </c>
      <c r="H925" s="1" t="s">
        <v>69</v>
      </c>
      <c r="I925" s="1" t="s">
        <v>83</v>
      </c>
      <c r="J925" s="1" t="s">
        <v>131</v>
      </c>
      <c r="K925" s="1" t="s">
        <v>90</v>
      </c>
      <c r="L925" s="1" t="s">
        <v>49</v>
      </c>
      <c r="M925" s="1" t="s">
        <v>50</v>
      </c>
      <c r="N925" s="1" t="n">
        <v>15999</v>
      </c>
      <c r="O925" s="1" t="n">
        <v>0</v>
      </c>
      <c r="P925" s="1" t="n">
        <v>0</v>
      </c>
      <c r="Q925" s="1" t="n">
        <v>15999</v>
      </c>
      <c r="R925" s="1" t="n">
        <v>2879.82</v>
      </c>
      <c r="S925" s="1" t="n">
        <v>13119.18</v>
      </c>
      <c r="T925" s="1" t="n">
        <v>5243.05</v>
      </c>
      <c r="U925" s="1" t="n">
        <v>7876.13</v>
      </c>
      <c r="V925" s="1" t="n">
        <v>60.04</v>
      </c>
      <c r="W925" s="1" t="s">
        <v>39</v>
      </c>
      <c r="X925" s="1" t="n">
        <v>4.6</v>
      </c>
      <c r="Y925" s="1" t="s">
        <v>40</v>
      </c>
      <c r="Z925" s="1" t="n">
        <v>0</v>
      </c>
      <c r="AA925" s="1" t="str">
        <f aca="false">TRIM(PROPER(F925))</f>
        <v>Noida</v>
      </c>
      <c r="AB925" s="1" t="str">
        <f aca="false">TRIM(PROPER(C925))</f>
        <v>Toppr</v>
      </c>
      <c r="AC925" s="1" t="str">
        <f aca="false">IF(O925=0,"No Discount",IF(O925&lt;=15,"Low (1-15%)",IF(O925&lt;=30,"Medium (16-30%)","High (&gt;30%)")))</f>
        <v>No Discount</v>
      </c>
      <c r="AD925" s="1" t="str">
        <f aca="false">IF(V925&lt;0,"Loss Making",IF(V925&lt;20,"Low Margin","Healthy Margin"))</f>
        <v>Healthy Margin</v>
      </c>
      <c r="AE925" s="1" t="str">
        <f aca="false">TEXT(DATE(VALUE(RIGHT(B925,4)),VALUE(MID(B925,4,2)),VALUE(LEFT(B925,2))),"MMM-YYYY")</f>
        <v>Apr-2023</v>
      </c>
      <c r="AF925" s="1" t="n">
        <f aca="false">VALUE(RIGHT(B925,4))</f>
        <v>2023</v>
      </c>
      <c r="AG925" s="1" t="str">
        <f aca="false">CHOOSE(ROUNDUP(VALUE(MID(B925,4,2))/3,0),"Q1","Q2","Q3","Q4")</f>
        <v>Q2</v>
      </c>
    </row>
    <row r="926" customFormat="false" ht="15" hidden="false" customHeight="true" outlineLevel="0" collapsed="false">
      <c r="A926" s="1" t="s">
        <v>1628</v>
      </c>
      <c r="B926" s="1" t="s">
        <v>926</v>
      </c>
      <c r="C926" s="1" t="s">
        <v>28</v>
      </c>
      <c r="D926" s="1" t="s">
        <v>29</v>
      </c>
      <c r="E926" s="1" t="s">
        <v>129</v>
      </c>
      <c r="F926" s="1" t="s">
        <v>46</v>
      </c>
      <c r="G926" s="1" t="s">
        <v>47</v>
      </c>
      <c r="H926" s="1" t="s">
        <v>33</v>
      </c>
      <c r="I926" s="1" t="s">
        <v>58</v>
      </c>
      <c r="J926" s="1" t="s">
        <v>131</v>
      </c>
      <c r="K926" s="1" t="s">
        <v>48</v>
      </c>
      <c r="L926" s="1" t="s">
        <v>113</v>
      </c>
      <c r="M926" s="1" t="s">
        <v>38</v>
      </c>
      <c r="N926" s="1" t="n">
        <v>29999</v>
      </c>
      <c r="O926" s="1" t="n">
        <v>25</v>
      </c>
      <c r="P926" s="1" t="n">
        <v>7499.75</v>
      </c>
      <c r="Q926" s="1" t="n">
        <v>22499.25</v>
      </c>
      <c r="R926" s="1" t="n">
        <v>4049.86</v>
      </c>
      <c r="S926" s="1" t="n">
        <v>18449.39</v>
      </c>
      <c r="T926" s="1" t="n">
        <v>6114.99</v>
      </c>
      <c r="U926" s="1" t="n">
        <v>12334.4</v>
      </c>
      <c r="V926" s="1" t="n">
        <v>66.86</v>
      </c>
      <c r="W926" s="1" t="s">
        <v>40</v>
      </c>
      <c r="Y926" s="1" t="s">
        <v>40</v>
      </c>
      <c r="Z926" s="1" t="n">
        <v>0</v>
      </c>
      <c r="AA926" s="1" t="str">
        <f aca="false">TRIM(PROPER(F926))</f>
        <v>Mangaluru</v>
      </c>
      <c r="AB926" s="1" t="str">
        <f aca="false">TRIM(PROPER(C926))</f>
        <v>Embibe</v>
      </c>
      <c r="AC926" s="1" t="str">
        <f aca="false">IF(O926=0,"No Discount",IF(O926&lt;=15,"Low (1-15%)",IF(O926&lt;=30,"Medium (16-30%)","High (&gt;30%)")))</f>
        <v>Medium (16-30%)</v>
      </c>
      <c r="AD926" s="1" t="str">
        <f aca="false">IF(V926&lt;0,"Loss Making",IF(V926&lt;20,"Low Margin","Healthy Margin"))</f>
        <v>Healthy Margin</v>
      </c>
      <c r="AE926" s="1" t="str">
        <f aca="false">TEXT(DATE(VALUE(RIGHT(B926,4)),VALUE(MID(B926,4,2)),VALUE(LEFT(B926,2))),"MMM-YYYY")</f>
        <v>Nov-2023</v>
      </c>
      <c r="AF926" s="1" t="n">
        <f aca="false">VALUE(RIGHT(B926,4))</f>
        <v>2023</v>
      </c>
      <c r="AG926" s="1" t="str">
        <f aca="false">CHOOSE(ROUNDUP(VALUE(MID(B926,4,2))/3,0),"Q1","Q2","Q3","Q4")</f>
        <v>Q4</v>
      </c>
    </row>
    <row r="927" customFormat="false" ht="15" hidden="false" customHeight="true" outlineLevel="0" collapsed="false">
      <c r="A927" s="1" t="s">
        <v>1629</v>
      </c>
      <c r="B927" s="1" t="s">
        <v>776</v>
      </c>
      <c r="C927" s="1" t="s">
        <v>100</v>
      </c>
      <c r="D927" s="1" t="s">
        <v>123</v>
      </c>
      <c r="E927" s="1" t="s">
        <v>124</v>
      </c>
      <c r="F927" s="1" t="s">
        <v>130</v>
      </c>
      <c r="G927" s="1" t="s">
        <v>47</v>
      </c>
      <c r="H927" s="1" t="s">
        <v>69</v>
      </c>
      <c r="I927" s="1" t="s">
        <v>34</v>
      </c>
      <c r="J927" s="1" t="s">
        <v>59</v>
      </c>
      <c r="K927" s="1" t="s">
        <v>71</v>
      </c>
      <c r="L927" s="1" t="s">
        <v>61</v>
      </c>
      <c r="M927" s="1" t="s">
        <v>50</v>
      </c>
      <c r="N927" s="1" t="n">
        <v>4999</v>
      </c>
      <c r="O927" s="1" t="n">
        <v>15</v>
      </c>
      <c r="P927" s="1" t="n">
        <v>749.85</v>
      </c>
      <c r="Q927" s="1" t="n">
        <v>4249.15</v>
      </c>
      <c r="R927" s="1" t="n">
        <v>764.85</v>
      </c>
      <c r="S927" s="1" t="n">
        <v>3484.3</v>
      </c>
      <c r="T927" s="1" t="n">
        <v>1595.43</v>
      </c>
      <c r="U927" s="1" t="n">
        <v>1888.87</v>
      </c>
      <c r="V927" s="1" t="n">
        <v>54.21</v>
      </c>
      <c r="W927" s="1" t="s">
        <v>40</v>
      </c>
      <c r="Y927" s="1" t="s">
        <v>40</v>
      </c>
      <c r="Z927" s="1" t="n">
        <v>0</v>
      </c>
      <c r="AA927" s="1" t="str">
        <f aca="false">TRIM(PROPER(F927))</f>
        <v>Bengaluru</v>
      </c>
      <c r="AB927" s="1" t="str">
        <f aca="false">TRIM(PROPER(C927))</f>
        <v>Physics Wallah</v>
      </c>
      <c r="AC927" s="1" t="str">
        <f aca="false">IF(O927=0,"No Discount",IF(O927&lt;=15,"Low (1-15%)",IF(O927&lt;=30,"Medium (16-30%)","High (&gt;30%)")))</f>
        <v>Low (1-15%)</v>
      </c>
      <c r="AD927" s="1" t="str">
        <f aca="false">IF(V927&lt;0,"Loss Making",IF(V927&lt;20,"Low Margin","Healthy Margin"))</f>
        <v>Healthy Margin</v>
      </c>
      <c r="AE927" s="1" t="str">
        <f aca="false">TEXT(DATE(VALUE(RIGHT(B927,4)),VALUE(MID(B927,4,2)),VALUE(LEFT(B927,2))),"MMM-YYYY")</f>
        <v>Mar-2023</v>
      </c>
      <c r="AF927" s="1" t="n">
        <f aca="false">VALUE(RIGHT(B927,4))</f>
        <v>2023</v>
      </c>
      <c r="AG927" s="1" t="str">
        <f aca="false">CHOOSE(ROUNDUP(VALUE(MID(B927,4,2))/3,0),"Q1","Q2","Q3","Q4")</f>
        <v>Q1</v>
      </c>
    </row>
    <row r="928" customFormat="false" ht="15" hidden="false" customHeight="true" outlineLevel="0" collapsed="false">
      <c r="A928" s="1" t="s">
        <v>1630</v>
      </c>
      <c r="B928" s="1" t="s">
        <v>309</v>
      </c>
      <c r="C928" s="1" t="s">
        <v>119</v>
      </c>
      <c r="D928" s="1" t="s">
        <v>44</v>
      </c>
      <c r="E928" s="1" t="s">
        <v>221</v>
      </c>
      <c r="F928" s="1" t="s">
        <v>153</v>
      </c>
      <c r="G928" s="1" t="s">
        <v>76</v>
      </c>
      <c r="H928" s="1" t="s">
        <v>33</v>
      </c>
      <c r="I928" s="1" t="s">
        <v>34</v>
      </c>
      <c r="J928" s="1" t="s">
        <v>77</v>
      </c>
      <c r="K928" s="1" t="s">
        <v>90</v>
      </c>
      <c r="L928" s="1" t="s">
        <v>113</v>
      </c>
      <c r="M928" s="1" t="s">
        <v>50</v>
      </c>
      <c r="N928" s="1" t="n">
        <v>16999</v>
      </c>
      <c r="O928" s="1" t="n">
        <v>50</v>
      </c>
      <c r="P928" s="1" t="n">
        <v>8499.5</v>
      </c>
      <c r="Q928" s="1" t="n">
        <v>8499.5</v>
      </c>
      <c r="R928" s="1" t="n">
        <v>1529.91</v>
      </c>
      <c r="S928" s="1" t="n">
        <v>6969.59</v>
      </c>
      <c r="T928" s="1" t="n">
        <v>3625.36</v>
      </c>
      <c r="U928" s="1" t="n">
        <v>3344.23</v>
      </c>
      <c r="V928" s="1" t="n">
        <v>47.98</v>
      </c>
      <c r="W928" s="1" t="s">
        <v>40</v>
      </c>
      <c r="Y928" s="1" t="s">
        <v>40</v>
      </c>
      <c r="Z928" s="1" t="n">
        <v>1</v>
      </c>
      <c r="AA928" s="1" t="str">
        <f aca="false">TRIM(PROPER(F928))</f>
        <v>Howrah</v>
      </c>
      <c r="AB928" s="1" t="str">
        <f aca="false">TRIM(PROPER(C928))</f>
        <v>Simplilearn</v>
      </c>
      <c r="AC928" s="1" t="str">
        <f aca="false">IF(O928=0,"No Discount",IF(O928&lt;=15,"Low (1-15%)",IF(O928&lt;=30,"Medium (16-30%)","High (&gt;30%)")))</f>
        <v>High (&gt;30%)</v>
      </c>
      <c r="AD928" s="1" t="str">
        <f aca="false">IF(V928&lt;0,"Loss Making",IF(V928&lt;20,"Low Margin","Healthy Margin"))</f>
        <v>Healthy Margin</v>
      </c>
      <c r="AE928" s="1" t="str">
        <f aca="false">TEXT(DATE(VALUE(RIGHT(B928,4)),VALUE(MID(B928,4,2)),VALUE(LEFT(B928,2))),"MMM-YYYY")</f>
        <v>Oct-2024</v>
      </c>
      <c r="AF928" s="1" t="n">
        <f aca="false">VALUE(RIGHT(B928,4))</f>
        <v>2024</v>
      </c>
      <c r="AG928" s="1" t="str">
        <f aca="false">CHOOSE(ROUNDUP(VALUE(MID(B928,4,2))/3,0),"Q1","Q2","Q3","Q4")</f>
        <v>Q4</v>
      </c>
    </row>
    <row r="929" customFormat="false" ht="15" hidden="false" customHeight="true" outlineLevel="0" collapsed="false">
      <c r="A929" s="1" t="s">
        <v>1631</v>
      </c>
      <c r="B929" s="1" t="s">
        <v>1056</v>
      </c>
      <c r="C929" s="1" t="s">
        <v>134</v>
      </c>
      <c r="D929" s="1" t="s">
        <v>53</v>
      </c>
      <c r="E929" s="1" t="s">
        <v>216</v>
      </c>
      <c r="F929" s="1" t="s">
        <v>55</v>
      </c>
      <c r="G929" s="1" t="s">
        <v>56</v>
      </c>
      <c r="H929" s="1" t="s">
        <v>57</v>
      </c>
      <c r="I929" s="1" t="s">
        <v>83</v>
      </c>
      <c r="J929" s="1" t="s">
        <v>35</v>
      </c>
      <c r="K929" s="1" t="s">
        <v>84</v>
      </c>
      <c r="L929" s="1" t="s">
        <v>136</v>
      </c>
      <c r="M929" s="1" t="s">
        <v>38</v>
      </c>
      <c r="N929" s="1" t="n">
        <v>7499</v>
      </c>
      <c r="O929" s="1" t="n">
        <v>0</v>
      </c>
      <c r="P929" s="1" t="n">
        <v>0</v>
      </c>
      <c r="Q929" s="1" t="n">
        <v>7499</v>
      </c>
      <c r="R929" s="1" t="n">
        <v>1349.82</v>
      </c>
      <c r="S929" s="1" t="n">
        <v>6149.18</v>
      </c>
      <c r="T929" s="1" t="n">
        <v>2725.85</v>
      </c>
      <c r="U929" s="1" t="n">
        <v>3423.33</v>
      </c>
      <c r="V929" s="1" t="n">
        <v>55.67</v>
      </c>
      <c r="W929" s="1" t="s">
        <v>39</v>
      </c>
      <c r="X929" s="1" t="n">
        <v>3.2</v>
      </c>
      <c r="Y929" s="1" t="s">
        <v>40</v>
      </c>
      <c r="Z929" s="1" t="n">
        <v>0</v>
      </c>
      <c r="AA929" s="1" t="str">
        <f aca="false">TRIM(PROPER(F929))</f>
        <v>Ghaziabad</v>
      </c>
      <c r="AB929" s="1" t="str">
        <f aca="false">TRIM(PROPER(C929))</f>
        <v>Doubtnut</v>
      </c>
      <c r="AC929" s="1" t="str">
        <f aca="false">IF(O929=0,"No Discount",IF(O929&lt;=15,"Low (1-15%)",IF(O929&lt;=30,"Medium (16-30%)","High (&gt;30%)")))</f>
        <v>No Discount</v>
      </c>
      <c r="AD929" s="1" t="str">
        <f aca="false">IF(V929&lt;0,"Loss Making",IF(V929&lt;20,"Low Margin","Healthy Margin"))</f>
        <v>Healthy Margin</v>
      </c>
      <c r="AE929" s="1" t="str">
        <f aca="false">TEXT(DATE(VALUE(RIGHT(B929,4)),VALUE(MID(B929,4,2)),VALUE(LEFT(B929,2))),"MMM-YYYY")</f>
        <v>Apr-2024</v>
      </c>
      <c r="AF929" s="1" t="n">
        <f aca="false">VALUE(RIGHT(B929,4))</f>
        <v>2024</v>
      </c>
      <c r="AG929" s="1" t="str">
        <f aca="false">CHOOSE(ROUNDUP(VALUE(MID(B929,4,2))/3,0),"Q1","Q2","Q3","Q4")</f>
        <v>Q2</v>
      </c>
    </row>
    <row r="930" customFormat="false" ht="15" hidden="false" customHeight="true" outlineLevel="0" collapsed="false">
      <c r="A930" s="1" t="s">
        <v>1632</v>
      </c>
      <c r="B930" s="1" t="s">
        <v>1633</v>
      </c>
      <c r="C930" s="1" t="s">
        <v>28</v>
      </c>
      <c r="D930" s="1" t="s">
        <v>143</v>
      </c>
      <c r="E930" s="1" t="s">
        <v>144</v>
      </c>
      <c r="F930" s="1" t="s">
        <v>55</v>
      </c>
      <c r="G930" s="1" t="s">
        <v>56</v>
      </c>
      <c r="H930" s="1" t="s">
        <v>57</v>
      </c>
      <c r="I930" s="1" t="s">
        <v>58</v>
      </c>
      <c r="J930" s="1" t="s">
        <v>77</v>
      </c>
      <c r="K930" s="1" t="s">
        <v>48</v>
      </c>
      <c r="L930" s="1" t="s">
        <v>37</v>
      </c>
      <c r="M930" s="1" t="s">
        <v>38</v>
      </c>
      <c r="N930" s="1" t="n">
        <v>12999</v>
      </c>
      <c r="O930" s="1" t="n">
        <v>10</v>
      </c>
      <c r="P930" s="1" t="n">
        <v>1299.9</v>
      </c>
      <c r="Q930" s="1" t="n">
        <v>11699.1</v>
      </c>
      <c r="R930" s="1" t="n">
        <v>2105.84</v>
      </c>
      <c r="S930" s="1" t="n">
        <v>9593.26</v>
      </c>
      <c r="T930" s="1" t="n">
        <v>3987.18</v>
      </c>
      <c r="U930" s="1" t="n">
        <v>5606.08</v>
      </c>
      <c r="V930" s="1" t="n">
        <v>58.44</v>
      </c>
      <c r="W930" s="1" t="s">
        <v>40</v>
      </c>
      <c r="Y930" s="1" t="s">
        <v>40</v>
      </c>
      <c r="Z930" s="1" t="n">
        <v>1</v>
      </c>
      <c r="AA930" s="1" t="str">
        <f aca="false">TRIM(PROPER(F930))</f>
        <v>Ghaziabad</v>
      </c>
      <c r="AB930" s="1" t="str">
        <f aca="false">TRIM(PROPER(C930))</f>
        <v>Embibe</v>
      </c>
      <c r="AC930" s="1" t="str">
        <f aca="false">IF(O930=0,"No Discount",IF(O930&lt;=15,"Low (1-15%)",IF(O930&lt;=30,"Medium (16-30%)","High (&gt;30%)")))</f>
        <v>Low (1-15%)</v>
      </c>
      <c r="AD930" s="1" t="str">
        <f aca="false">IF(V930&lt;0,"Loss Making",IF(V930&lt;20,"Low Margin","Healthy Margin"))</f>
        <v>Healthy Margin</v>
      </c>
      <c r="AE930" s="1" t="str">
        <f aca="false">TEXT(DATE(VALUE(RIGHT(B930,4)),VALUE(MID(B930,4,2)),VALUE(LEFT(B930,2))),"MMM-YYYY")</f>
        <v>Dec-2024</v>
      </c>
      <c r="AF930" s="1" t="n">
        <f aca="false">VALUE(RIGHT(B930,4))</f>
        <v>2024</v>
      </c>
      <c r="AG930" s="1" t="str">
        <f aca="false">CHOOSE(ROUNDUP(VALUE(MID(B930,4,2))/3,0),"Q1","Q2","Q3","Q4")</f>
        <v>Q4</v>
      </c>
    </row>
    <row r="931" customFormat="false" ht="15" hidden="false" customHeight="true" outlineLevel="0" collapsed="false">
      <c r="A931" s="1" t="s">
        <v>1634</v>
      </c>
      <c r="B931" s="1" t="s">
        <v>27</v>
      </c>
      <c r="C931" s="1" t="s">
        <v>43</v>
      </c>
      <c r="D931" s="1" t="s">
        <v>143</v>
      </c>
      <c r="E931" s="1" t="s">
        <v>243</v>
      </c>
      <c r="F931" s="1" t="s">
        <v>205</v>
      </c>
      <c r="G931" s="1" t="s">
        <v>56</v>
      </c>
      <c r="H931" s="1" t="s">
        <v>69</v>
      </c>
      <c r="I931" s="1" t="s">
        <v>34</v>
      </c>
      <c r="J931" s="1" t="s">
        <v>35</v>
      </c>
      <c r="K931" s="1" t="s">
        <v>71</v>
      </c>
      <c r="L931" s="1" t="s">
        <v>61</v>
      </c>
      <c r="M931" s="1" t="s">
        <v>62</v>
      </c>
      <c r="N931" s="1" t="n">
        <v>22999</v>
      </c>
      <c r="O931" s="1" t="n">
        <v>0</v>
      </c>
      <c r="P931" s="1" t="n">
        <v>0</v>
      </c>
      <c r="Q931" s="1" t="n">
        <v>22999</v>
      </c>
      <c r="R931" s="1" t="n">
        <v>4139.82</v>
      </c>
      <c r="S931" s="1" t="n">
        <v>18859.18</v>
      </c>
      <c r="T931" s="1" t="n">
        <v>8412.75</v>
      </c>
      <c r="U931" s="1" t="n">
        <v>10446.43</v>
      </c>
      <c r="V931" s="1" t="n">
        <v>55.39</v>
      </c>
      <c r="W931" s="1" t="s">
        <v>40</v>
      </c>
      <c r="Y931" s="1" t="s">
        <v>39</v>
      </c>
      <c r="Z931" s="1" t="n">
        <v>1</v>
      </c>
      <c r="AA931" s="1" t="str">
        <f aca="false">TRIM(PROPER(F931))</f>
        <v>New Delhi</v>
      </c>
      <c r="AB931" s="1" t="str">
        <f aca="false">TRIM(PROPER(C931))</f>
        <v>Meritnation</v>
      </c>
      <c r="AC931" s="1" t="str">
        <f aca="false">IF(O931=0,"No Discount",IF(O931&lt;=15,"Low (1-15%)",IF(O931&lt;=30,"Medium (16-30%)","High (&gt;30%)")))</f>
        <v>No Discount</v>
      </c>
      <c r="AD931" s="1" t="str">
        <f aca="false">IF(V931&lt;0,"Loss Making",IF(V931&lt;20,"Low Margin","Healthy Margin"))</f>
        <v>Healthy Margin</v>
      </c>
      <c r="AE931" s="1" t="str">
        <f aca="false">TEXT(DATE(VALUE(RIGHT(B931,4)),VALUE(MID(B931,4,2)),VALUE(LEFT(B931,2))),"MMM-YYYY")</f>
        <v>Nov-2023</v>
      </c>
      <c r="AF931" s="1" t="n">
        <f aca="false">VALUE(RIGHT(B931,4))</f>
        <v>2023</v>
      </c>
      <c r="AG931" s="1" t="str">
        <f aca="false">CHOOSE(ROUNDUP(VALUE(MID(B931,4,2))/3,0),"Q1","Q2","Q3","Q4")</f>
        <v>Q4</v>
      </c>
    </row>
    <row r="932" customFormat="false" ht="15" hidden="false" customHeight="true" outlineLevel="0" collapsed="false">
      <c r="A932" s="1" t="s">
        <v>1635</v>
      </c>
      <c r="B932" s="1" t="s">
        <v>1636</v>
      </c>
      <c r="C932" s="1" t="s">
        <v>119</v>
      </c>
      <c r="D932" s="1" t="s">
        <v>168</v>
      </c>
      <c r="E932" s="1" t="s">
        <v>328</v>
      </c>
      <c r="F932" s="1" t="s">
        <v>55</v>
      </c>
      <c r="G932" s="1" t="s">
        <v>56</v>
      </c>
      <c r="H932" s="1" t="s">
        <v>57</v>
      </c>
      <c r="I932" s="1" t="s">
        <v>58</v>
      </c>
      <c r="J932" s="1" t="s">
        <v>70</v>
      </c>
      <c r="K932" s="1" t="s">
        <v>84</v>
      </c>
      <c r="L932" s="1" t="s">
        <v>136</v>
      </c>
      <c r="M932" s="1" t="s">
        <v>38</v>
      </c>
      <c r="N932" s="1" t="n">
        <v>8999</v>
      </c>
      <c r="O932" s="1" t="n">
        <v>0</v>
      </c>
      <c r="P932" s="1" t="n">
        <v>0</v>
      </c>
      <c r="Q932" s="1" t="n">
        <v>8999</v>
      </c>
      <c r="R932" s="1" t="n">
        <v>1619.82</v>
      </c>
      <c r="S932" s="1" t="n">
        <v>7379.18</v>
      </c>
      <c r="T932" s="1" t="n">
        <v>2643.2</v>
      </c>
      <c r="U932" s="1" t="n">
        <v>4735.98</v>
      </c>
      <c r="V932" s="1" t="n">
        <v>64.18</v>
      </c>
      <c r="W932" s="1" t="s">
        <v>40</v>
      </c>
      <c r="Y932" s="1" t="s">
        <v>40</v>
      </c>
      <c r="Z932" s="1" t="n">
        <v>2</v>
      </c>
      <c r="AA932" s="1" t="str">
        <f aca="false">TRIM(PROPER(F932))</f>
        <v>Ghaziabad</v>
      </c>
      <c r="AB932" s="1" t="str">
        <f aca="false">TRIM(PROPER(C932))</f>
        <v>Simplilearn</v>
      </c>
      <c r="AC932" s="1" t="str">
        <f aca="false">IF(O932=0,"No Discount",IF(O932&lt;=15,"Low (1-15%)",IF(O932&lt;=30,"Medium (16-30%)","High (&gt;30%)")))</f>
        <v>No Discount</v>
      </c>
      <c r="AD932" s="1" t="str">
        <f aca="false">IF(V932&lt;0,"Loss Making",IF(V932&lt;20,"Low Margin","Healthy Margin"))</f>
        <v>Healthy Margin</v>
      </c>
      <c r="AE932" s="1" t="str">
        <f aca="false">TEXT(DATE(VALUE(RIGHT(B932,4)),VALUE(MID(B932,4,2)),VALUE(LEFT(B932,2))),"MMM-YYYY")</f>
        <v>May-2023</v>
      </c>
      <c r="AF932" s="1" t="n">
        <f aca="false">VALUE(RIGHT(B932,4))</f>
        <v>2023</v>
      </c>
      <c r="AG932" s="1" t="str">
        <f aca="false">CHOOSE(ROUNDUP(VALUE(MID(B932,4,2))/3,0),"Q1","Q2","Q3","Q4")</f>
        <v>Q2</v>
      </c>
    </row>
    <row r="933" customFormat="false" ht="15" hidden="false" customHeight="true" outlineLevel="0" collapsed="false">
      <c r="A933" s="1" t="s">
        <v>1637</v>
      </c>
      <c r="B933" s="1" t="s">
        <v>510</v>
      </c>
      <c r="C933" s="1" t="s">
        <v>43</v>
      </c>
      <c r="D933" s="1" t="s">
        <v>94</v>
      </c>
      <c r="E933" s="1" t="s">
        <v>101</v>
      </c>
      <c r="F933" s="1" t="s">
        <v>102</v>
      </c>
      <c r="G933" s="1" t="s">
        <v>103</v>
      </c>
      <c r="H933" s="1" t="s">
        <v>33</v>
      </c>
      <c r="I933" s="1" t="s">
        <v>58</v>
      </c>
      <c r="J933" s="1" t="s">
        <v>35</v>
      </c>
      <c r="K933" s="1" t="s">
        <v>71</v>
      </c>
      <c r="L933" s="1" t="s">
        <v>85</v>
      </c>
      <c r="M933" s="1" t="s">
        <v>38</v>
      </c>
      <c r="N933" s="1" t="n">
        <v>14999</v>
      </c>
      <c r="O933" s="1" t="n">
        <v>0</v>
      </c>
      <c r="P933" s="1" t="n">
        <v>0</v>
      </c>
      <c r="Q933" s="1" t="n">
        <v>14999</v>
      </c>
      <c r="R933" s="1" t="n">
        <v>2699.82</v>
      </c>
      <c r="S933" s="1" t="n">
        <v>12299.18</v>
      </c>
      <c r="T933" s="1" t="n">
        <v>5904.18</v>
      </c>
      <c r="U933" s="1" t="n">
        <v>6395</v>
      </c>
      <c r="V933" s="1" t="n">
        <v>52</v>
      </c>
      <c r="W933" s="1" t="s">
        <v>39</v>
      </c>
      <c r="X933" s="1" t="n">
        <v>4.6</v>
      </c>
      <c r="Y933" s="1" t="s">
        <v>40</v>
      </c>
      <c r="Z933" s="1" t="n">
        <v>0</v>
      </c>
      <c r="AA933" s="1" t="str">
        <f aca="false">TRIM(PROPER(F933))</f>
        <v>Warangal</v>
      </c>
      <c r="AB933" s="1" t="str">
        <f aca="false">TRIM(PROPER(C933))</f>
        <v>Meritnation</v>
      </c>
      <c r="AC933" s="1" t="str">
        <f aca="false">IF(O933=0,"No Discount",IF(O933&lt;=15,"Low (1-15%)",IF(O933&lt;=30,"Medium (16-30%)","High (&gt;30%)")))</f>
        <v>No Discount</v>
      </c>
      <c r="AD933" s="1" t="str">
        <f aca="false">IF(V933&lt;0,"Loss Making",IF(V933&lt;20,"Low Margin","Healthy Margin"))</f>
        <v>Healthy Margin</v>
      </c>
      <c r="AE933" s="1" t="str">
        <f aca="false">TEXT(DATE(VALUE(RIGHT(B933,4)),VALUE(MID(B933,4,2)),VALUE(LEFT(B933,2))),"MMM-YYYY")</f>
        <v>Mar-2024</v>
      </c>
      <c r="AF933" s="1" t="n">
        <f aca="false">VALUE(RIGHT(B933,4))</f>
        <v>2024</v>
      </c>
      <c r="AG933" s="1" t="str">
        <f aca="false">CHOOSE(ROUNDUP(VALUE(MID(B933,4,2))/3,0),"Q1","Q2","Q3","Q4")</f>
        <v>Q1</v>
      </c>
    </row>
    <row r="934" customFormat="false" ht="15" hidden="false" customHeight="true" outlineLevel="0" collapsed="false">
      <c r="A934" s="1" t="s">
        <v>1638</v>
      </c>
      <c r="B934" s="1" t="s">
        <v>1441</v>
      </c>
      <c r="C934" s="1" t="s">
        <v>249</v>
      </c>
      <c r="D934" s="1" t="s">
        <v>168</v>
      </c>
      <c r="E934" s="1" t="s">
        <v>197</v>
      </c>
      <c r="F934" s="1" t="s">
        <v>244</v>
      </c>
      <c r="G934" s="1" t="s">
        <v>97</v>
      </c>
      <c r="H934" s="1" t="s">
        <v>57</v>
      </c>
      <c r="I934" s="1" t="s">
        <v>34</v>
      </c>
      <c r="J934" s="1" t="s">
        <v>131</v>
      </c>
      <c r="K934" s="1" t="s">
        <v>71</v>
      </c>
      <c r="L934" s="1" t="s">
        <v>37</v>
      </c>
      <c r="M934" s="1" t="s">
        <v>50</v>
      </c>
      <c r="N934" s="1" t="n">
        <v>8499</v>
      </c>
      <c r="O934" s="1" t="n">
        <v>25</v>
      </c>
      <c r="P934" s="1" t="n">
        <v>2124.75</v>
      </c>
      <c r="Q934" s="1" t="n">
        <v>6374.25</v>
      </c>
      <c r="R934" s="1" t="n">
        <v>1147.37</v>
      </c>
      <c r="S934" s="1" t="n">
        <v>5226.88</v>
      </c>
      <c r="T934" s="1" t="n">
        <v>2549.88</v>
      </c>
      <c r="U934" s="1" t="n">
        <v>2677</v>
      </c>
      <c r="V934" s="1" t="n">
        <v>51.22</v>
      </c>
      <c r="W934" s="1" t="s">
        <v>40</v>
      </c>
      <c r="Y934" s="1" t="s">
        <v>40</v>
      </c>
      <c r="Z934" s="1" t="n">
        <v>2</v>
      </c>
      <c r="AA934" s="1" t="str">
        <f aca="false">TRIM(PROPER(F934))</f>
        <v>Nagpur</v>
      </c>
      <c r="AB934" s="1" t="str">
        <f aca="false">TRIM(PROPER(C934))</f>
        <v>Whitehat Jr</v>
      </c>
      <c r="AC934" s="1" t="str">
        <f aca="false">IF(O934=0,"No Discount",IF(O934&lt;=15,"Low (1-15%)",IF(O934&lt;=30,"Medium (16-30%)","High (&gt;30%)")))</f>
        <v>Medium (16-30%)</v>
      </c>
      <c r="AD934" s="1" t="str">
        <f aca="false">IF(V934&lt;0,"Loss Making",IF(V934&lt;20,"Low Margin","Healthy Margin"))</f>
        <v>Healthy Margin</v>
      </c>
      <c r="AE934" s="1" t="str">
        <f aca="false">TEXT(DATE(VALUE(RIGHT(B934,4)),VALUE(MID(B934,4,2)),VALUE(LEFT(B934,2))),"MMM-YYYY")</f>
        <v>Oct-2024</v>
      </c>
      <c r="AF934" s="1" t="n">
        <f aca="false">VALUE(RIGHT(B934,4))</f>
        <v>2024</v>
      </c>
      <c r="AG934" s="1" t="str">
        <f aca="false">CHOOSE(ROUNDUP(VALUE(MID(B934,4,2))/3,0),"Q1","Q2","Q3","Q4")</f>
        <v>Q4</v>
      </c>
    </row>
    <row r="935" customFormat="false" ht="15" hidden="false" customHeight="true" outlineLevel="0" collapsed="false">
      <c r="A935" s="1" t="s">
        <v>1639</v>
      </c>
      <c r="B935" s="1" t="s">
        <v>1640</v>
      </c>
      <c r="C935" s="1" t="s">
        <v>128</v>
      </c>
      <c r="D935" s="1" t="s">
        <v>94</v>
      </c>
      <c r="E935" s="1" t="s">
        <v>101</v>
      </c>
      <c r="F935" s="1" t="s">
        <v>120</v>
      </c>
      <c r="G935" s="1" t="s">
        <v>47</v>
      </c>
      <c r="H935" s="1" t="s">
        <v>57</v>
      </c>
      <c r="I935" s="1" t="s">
        <v>34</v>
      </c>
      <c r="J935" s="1" t="s">
        <v>35</v>
      </c>
      <c r="K935" s="1" t="s">
        <v>112</v>
      </c>
      <c r="L935" s="1" t="s">
        <v>49</v>
      </c>
      <c r="M935" s="1" t="s">
        <v>38</v>
      </c>
      <c r="N935" s="1" t="n">
        <v>14999</v>
      </c>
      <c r="O935" s="1" t="n">
        <v>50</v>
      </c>
      <c r="P935" s="1" t="n">
        <v>7499.5</v>
      </c>
      <c r="Q935" s="1" t="n">
        <v>7499.5</v>
      </c>
      <c r="R935" s="1" t="n">
        <v>1349.91</v>
      </c>
      <c r="S935" s="1" t="n">
        <v>6149.59</v>
      </c>
      <c r="T935" s="1" t="n">
        <v>3945.75</v>
      </c>
      <c r="U935" s="1" t="n">
        <v>2203.84</v>
      </c>
      <c r="V935" s="1" t="n">
        <v>35.84</v>
      </c>
      <c r="W935" s="1" t="s">
        <v>40</v>
      </c>
      <c r="Y935" s="1" t="s">
        <v>40</v>
      </c>
      <c r="Z935" s="1" t="n">
        <v>0</v>
      </c>
      <c r="AA935" s="1" t="str">
        <f aca="false">TRIM(PROPER(F935))</f>
        <v>Mysuru</v>
      </c>
      <c r="AB935" s="1" t="str">
        <f aca="false">TRIM(PROPER(C935))</f>
        <v>Great Learning</v>
      </c>
      <c r="AC935" s="1" t="str">
        <f aca="false">IF(O935=0,"No Discount",IF(O935&lt;=15,"Low (1-15%)",IF(O935&lt;=30,"Medium (16-30%)","High (&gt;30%)")))</f>
        <v>High (&gt;30%)</v>
      </c>
      <c r="AD935" s="1" t="str">
        <f aca="false">IF(V935&lt;0,"Loss Making",IF(V935&lt;20,"Low Margin","Healthy Margin"))</f>
        <v>Healthy Margin</v>
      </c>
      <c r="AE935" s="1" t="str">
        <f aca="false">TEXT(DATE(VALUE(RIGHT(B935,4)),VALUE(MID(B935,4,2)),VALUE(LEFT(B935,2))),"MMM-YYYY")</f>
        <v>May-2024</v>
      </c>
      <c r="AF935" s="1" t="n">
        <f aca="false">VALUE(RIGHT(B935,4))</f>
        <v>2024</v>
      </c>
      <c r="AG935" s="1" t="str">
        <f aca="false">CHOOSE(ROUNDUP(VALUE(MID(B935,4,2))/3,0),"Q1","Q2","Q3","Q4")</f>
        <v>Q2</v>
      </c>
    </row>
    <row r="936" customFormat="false" ht="15" hidden="false" customHeight="true" outlineLevel="0" collapsed="false">
      <c r="A936" s="1" t="s">
        <v>1641</v>
      </c>
      <c r="B936" s="1" t="s">
        <v>1423</v>
      </c>
      <c r="C936" s="1" t="s">
        <v>28</v>
      </c>
      <c r="D936" s="1" t="s">
        <v>94</v>
      </c>
      <c r="E936" s="1" t="s">
        <v>135</v>
      </c>
      <c r="F936" s="1" t="s">
        <v>107</v>
      </c>
      <c r="G936" s="1" t="s">
        <v>108</v>
      </c>
      <c r="H936" s="1" t="s">
        <v>33</v>
      </c>
      <c r="I936" s="1" t="s">
        <v>83</v>
      </c>
      <c r="J936" s="1" t="s">
        <v>35</v>
      </c>
      <c r="K936" s="1" t="s">
        <v>104</v>
      </c>
      <c r="L936" s="1" t="s">
        <v>49</v>
      </c>
      <c r="M936" s="1" t="s">
        <v>38</v>
      </c>
      <c r="N936" s="1" t="n">
        <v>9999</v>
      </c>
      <c r="O936" s="1" t="n">
        <v>30</v>
      </c>
      <c r="P936" s="1" t="n">
        <v>2999.7</v>
      </c>
      <c r="Q936" s="1" t="n">
        <v>6999.3</v>
      </c>
      <c r="R936" s="1" t="n">
        <v>1259.87</v>
      </c>
      <c r="S936" s="1" t="n">
        <v>5739.43</v>
      </c>
      <c r="T936" s="1" t="n">
        <v>2849.32</v>
      </c>
      <c r="U936" s="1" t="n">
        <v>2890.11</v>
      </c>
      <c r="V936" s="1" t="n">
        <v>50.36</v>
      </c>
      <c r="W936" s="1" t="s">
        <v>40</v>
      </c>
      <c r="Y936" s="1" t="s">
        <v>39</v>
      </c>
      <c r="Z936" s="1" t="n">
        <v>2</v>
      </c>
      <c r="AA936" s="1" t="str">
        <f aca="false">TRIM(PROPER(F936))</f>
        <v>Madurai</v>
      </c>
      <c r="AB936" s="1" t="str">
        <f aca="false">TRIM(PROPER(C936))</f>
        <v>Embibe</v>
      </c>
      <c r="AC936" s="1" t="str">
        <f aca="false">IF(O936=0,"No Discount",IF(O936&lt;=15,"Low (1-15%)",IF(O936&lt;=30,"Medium (16-30%)","High (&gt;30%)")))</f>
        <v>Medium (16-30%)</v>
      </c>
      <c r="AD936" s="1" t="str">
        <f aca="false">IF(V936&lt;0,"Loss Making",IF(V936&lt;20,"Low Margin","Healthy Margin"))</f>
        <v>Healthy Margin</v>
      </c>
      <c r="AE936" s="1" t="str">
        <f aca="false">TEXT(DATE(VALUE(RIGHT(B936,4)),VALUE(MID(B936,4,2)),VALUE(LEFT(B936,2))),"MMM-YYYY")</f>
        <v>Apr-2023</v>
      </c>
      <c r="AF936" s="1" t="n">
        <f aca="false">VALUE(RIGHT(B936,4))</f>
        <v>2023</v>
      </c>
      <c r="AG936" s="1" t="str">
        <f aca="false">CHOOSE(ROUNDUP(VALUE(MID(B936,4,2))/3,0),"Q1","Q2","Q3","Q4")</f>
        <v>Q2</v>
      </c>
    </row>
    <row r="937" customFormat="false" ht="15" hidden="false" customHeight="true" outlineLevel="0" collapsed="false">
      <c r="A937" s="1" t="s">
        <v>1642</v>
      </c>
      <c r="B937" s="1" t="s">
        <v>1480</v>
      </c>
      <c r="C937" s="1" t="s">
        <v>178</v>
      </c>
      <c r="D937" s="1" t="s">
        <v>53</v>
      </c>
      <c r="E937" s="1" t="s">
        <v>54</v>
      </c>
      <c r="F937" s="1" t="s">
        <v>125</v>
      </c>
      <c r="G937" s="1" t="s">
        <v>108</v>
      </c>
      <c r="H937" s="1" t="s">
        <v>69</v>
      </c>
      <c r="I937" s="1" t="s">
        <v>58</v>
      </c>
      <c r="J937" s="1" t="s">
        <v>59</v>
      </c>
      <c r="K937" s="1" t="s">
        <v>60</v>
      </c>
      <c r="L937" s="1" t="s">
        <v>49</v>
      </c>
      <c r="M937" s="1" t="s">
        <v>50</v>
      </c>
      <c r="N937" s="1" t="n">
        <v>11999</v>
      </c>
      <c r="O937" s="1" t="n">
        <v>0</v>
      </c>
      <c r="P937" s="1" t="n">
        <v>0</v>
      </c>
      <c r="Q937" s="1" t="n">
        <v>11999</v>
      </c>
      <c r="R937" s="1" t="n">
        <v>2159.82</v>
      </c>
      <c r="S937" s="1" t="n">
        <v>9839.18</v>
      </c>
      <c r="T937" s="1" t="n">
        <v>3849.75</v>
      </c>
      <c r="U937" s="1" t="n">
        <v>5989.43</v>
      </c>
      <c r="V937" s="1" t="n">
        <v>60.87</v>
      </c>
      <c r="W937" s="1" t="s">
        <v>39</v>
      </c>
      <c r="X937" s="1" t="n">
        <v>3.6</v>
      </c>
      <c r="Y937" s="1" t="s">
        <v>40</v>
      </c>
      <c r="Z937" s="1" t="n">
        <v>0</v>
      </c>
      <c r="AA937" s="1" t="str">
        <f aca="false">TRIM(PROPER(F937))</f>
        <v>Chennai</v>
      </c>
      <c r="AB937" s="1" t="str">
        <f aca="false">TRIM(PROPER(C937))</f>
        <v>Leverage Edu</v>
      </c>
      <c r="AC937" s="1" t="str">
        <f aca="false">IF(O937=0,"No Discount",IF(O937&lt;=15,"Low (1-15%)",IF(O937&lt;=30,"Medium (16-30%)","High (&gt;30%)")))</f>
        <v>No Discount</v>
      </c>
      <c r="AD937" s="1" t="str">
        <f aca="false">IF(V937&lt;0,"Loss Making",IF(V937&lt;20,"Low Margin","Healthy Margin"))</f>
        <v>Healthy Margin</v>
      </c>
      <c r="AE937" s="1" t="str">
        <f aca="false">TEXT(DATE(VALUE(RIGHT(B937,4)),VALUE(MID(B937,4,2)),VALUE(LEFT(B937,2))),"MMM-YYYY")</f>
        <v>Apr-2024</v>
      </c>
      <c r="AF937" s="1" t="n">
        <f aca="false">VALUE(RIGHT(B937,4))</f>
        <v>2024</v>
      </c>
      <c r="AG937" s="1" t="str">
        <f aca="false">CHOOSE(ROUNDUP(VALUE(MID(B937,4,2))/3,0),"Q1","Q2","Q3","Q4")</f>
        <v>Q2</v>
      </c>
    </row>
    <row r="938" customFormat="false" ht="15" hidden="false" customHeight="true" outlineLevel="0" collapsed="false">
      <c r="A938" s="1" t="s">
        <v>1643</v>
      </c>
      <c r="B938" s="1" t="s">
        <v>1644</v>
      </c>
      <c r="C938" s="1" t="s">
        <v>178</v>
      </c>
      <c r="D938" s="1" t="s">
        <v>44</v>
      </c>
      <c r="E938" s="1" t="s">
        <v>66</v>
      </c>
      <c r="F938" s="1" t="s">
        <v>46</v>
      </c>
      <c r="G938" s="1" t="s">
        <v>47</v>
      </c>
      <c r="H938" s="1" t="s">
        <v>33</v>
      </c>
      <c r="I938" s="1" t="s">
        <v>34</v>
      </c>
      <c r="J938" s="1" t="s">
        <v>35</v>
      </c>
      <c r="K938" s="1" t="s">
        <v>90</v>
      </c>
      <c r="L938" s="1" t="s">
        <v>61</v>
      </c>
      <c r="M938" s="1" t="s">
        <v>50</v>
      </c>
      <c r="N938" s="1" t="n">
        <v>12999</v>
      </c>
      <c r="O938" s="1" t="n">
        <v>30</v>
      </c>
      <c r="P938" s="1" t="n">
        <v>3899.7</v>
      </c>
      <c r="Q938" s="1" t="n">
        <v>9099.3</v>
      </c>
      <c r="R938" s="1" t="n">
        <v>1637.87</v>
      </c>
      <c r="S938" s="1" t="n">
        <v>7461.43</v>
      </c>
      <c r="T938" s="1" t="n">
        <v>3404.8</v>
      </c>
      <c r="U938" s="1" t="n">
        <v>4056.63</v>
      </c>
      <c r="V938" s="1" t="n">
        <v>54.37</v>
      </c>
      <c r="W938" s="1" t="s">
        <v>40</v>
      </c>
      <c r="Y938" s="1" t="s">
        <v>40</v>
      </c>
      <c r="Z938" s="1" t="n">
        <v>1</v>
      </c>
      <c r="AA938" s="1" t="str">
        <f aca="false">TRIM(PROPER(F938))</f>
        <v>Mangaluru</v>
      </c>
      <c r="AB938" s="1" t="str">
        <f aca="false">TRIM(PROPER(C938))</f>
        <v>Leverage Edu</v>
      </c>
      <c r="AC938" s="1" t="str">
        <f aca="false">IF(O938=0,"No Discount",IF(O938&lt;=15,"Low (1-15%)",IF(O938&lt;=30,"Medium (16-30%)","High (&gt;30%)")))</f>
        <v>Medium (16-30%)</v>
      </c>
      <c r="AD938" s="1" t="str">
        <f aca="false">IF(V938&lt;0,"Loss Making",IF(V938&lt;20,"Low Margin","Healthy Margin"))</f>
        <v>Healthy Margin</v>
      </c>
      <c r="AE938" s="1" t="str">
        <f aca="false">TEXT(DATE(VALUE(RIGHT(B938,4)),VALUE(MID(B938,4,2)),VALUE(LEFT(B938,2))),"MMM-YYYY")</f>
        <v>Mar-2023</v>
      </c>
      <c r="AF938" s="1" t="n">
        <f aca="false">VALUE(RIGHT(B938,4))</f>
        <v>2023</v>
      </c>
      <c r="AG938" s="1" t="str">
        <f aca="false">CHOOSE(ROUNDUP(VALUE(MID(B938,4,2))/3,0),"Q1","Q2","Q3","Q4")</f>
        <v>Q1</v>
      </c>
    </row>
    <row r="939" customFormat="false" ht="15" hidden="false" customHeight="true" outlineLevel="0" collapsed="false">
      <c r="A939" s="1" t="s">
        <v>1645</v>
      </c>
      <c r="B939" s="1" t="s">
        <v>598</v>
      </c>
      <c r="C939" s="1" t="s">
        <v>119</v>
      </c>
      <c r="D939" s="1" t="s">
        <v>94</v>
      </c>
      <c r="E939" s="1" t="s">
        <v>95</v>
      </c>
      <c r="F939" s="1" t="s">
        <v>82</v>
      </c>
      <c r="G939" s="1" t="s">
        <v>56</v>
      </c>
      <c r="H939" s="1" t="s">
        <v>69</v>
      </c>
      <c r="I939" s="1" t="s">
        <v>83</v>
      </c>
      <c r="J939" s="1" t="s">
        <v>35</v>
      </c>
      <c r="K939" s="1" t="s">
        <v>84</v>
      </c>
      <c r="L939" s="1" t="s">
        <v>37</v>
      </c>
      <c r="M939" s="1" t="s">
        <v>38</v>
      </c>
      <c r="N939" s="1" t="n">
        <v>6999</v>
      </c>
      <c r="O939" s="1" t="n">
        <v>0</v>
      </c>
      <c r="P939" s="1" t="n">
        <v>0</v>
      </c>
      <c r="Q939" s="1" t="n">
        <v>6999</v>
      </c>
      <c r="R939" s="1" t="n">
        <v>1259.82</v>
      </c>
      <c r="S939" s="1" t="n">
        <v>5739.18</v>
      </c>
      <c r="T939" s="1" t="n">
        <v>2118.92</v>
      </c>
      <c r="U939" s="1" t="n">
        <v>3620.26</v>
      </c>
      <c r="V939" s="1" t="n">
        <v>63.08</v>
      </c>
      <c r="W939" s="1" t="s">
        <v>39</v>
      </c>
      <c r="X939" s="1" t="n">
        <v>3.3</v>
      </c>
      <c r="Y939" s="1" t="s">
        <v>40</v>
      </c>
      <c r="Z939" s="1" t="n">
        <v>0</v>
      </c>
      <c r="AA939" s="1" t="str">
        <f aca="false">TRIM(PROPER(F939))</f>
        <v>Gurugram</v>
      </c>
      <c r="AB939" s="1" t="str">
        <f aca="false">TRIM(PROPER(C939))</f>
        <v>Simplilearn</v>
      </c>
      <c r="AC939" s="1" t="str">
        <f aca="false">IF(O939=0,"No Discount",IF(O939&lt;=15,"Low (1-15%)",IF(O939&lt;=30,"Medium (16-30%)","High (&gt;30%)")))</f>
        <v>No Discount</v>
      </c>
      <c r="AD939" s="1" t="str">
        <f aca="false">IF(V939&lt;0,"Loss Making",IF(V939&lt;20,"Low Margin","Healthy Margin"))</f>
        <v>Healthy Margin</v>
      </c>
      <c r="AE939" s="1" t="str">
        <f aca="false">TEXT(DATE(VALUE(RIGHT(B939,4)),VALUE(MID(B939,4,2)),VALUE(LEFT(B939,2))),"MMM-YYYY")</f>
        <v>Feb-2024</v>
      </c>
      <c r="AF939" s="1" t="n">
        <f aca="false">VALUE(RIGHT(B939,4))</f>
        <v>2024</v>
      </c>
      <c r="AG939" s="1" t="str">
        <f aca="false">CHOOSE(ROUNDUP(VALUE(MID(B939,4,2))/3,0),"Q1","Q2","Q3","Q4")</f>
        <v>Q1</v>
      </c>
    </row>
    <row r="940" customFormat="false" ht="15" hidden="false" customHeight="true" outlineLevel="0" collapsed="false">
      <c r="A940" s="1" t="s">
        <v>1646</v>
      </c>
      <c r="B940" s="1" t="s">
        <v>1647</v>
      </c>
      <c r="C940" s="1" t="s">
        <v>167</v>
      </c>
      <c r="D940" s="1" t="s">
        <v>80</v>
      </c>
      <c r="E940" s="1" t="s">
        <v>175</v>
      </c>
      <c r="F940" s="1" t="s">
        <v>67</v>
      </c>
      <c r="G940" s="1" t="s">
        <v>68</v>
      </c>
      <c r="H940" s="1" t="s">
        <v>69</v>
      </c>
      <c r="I940" s="1" t="s">
        <v>34</v>
      </c>
      <c r="J940" s="1" t="s">
        <v>59</v>
      </c>
      <c r="K940" s="1" t="s">
        <v>48</v>
      </c>
      <c r="L940" s="1" t="s">
        <v>85</v>
      </c>
      <c r="M940" s="1" t="s">
        <v>50</v>
      </c>
      <c r="N940" s="1" t="n">
        <v>19999</v>
      </c>
      <c r="O940" s="1" t="n">
        <v>15</v>
      </c>
      <c r="P940" s="1" t="n">
        <v>2999.85</v>
      </c>
      <c r="Q940" s="1" t="n">
        <v>16999.15</v>
      </c>
      <c r="R940" s="1" t="n">
        <v>3059.85</v>
      </c>
      <c r="S940" s="1" t="n">
        <v>13939.3</v>
      </c>
      <c r="T940" s="1" t="n">
        <v>5432.93</v>
      </c>
      <c r="U940" s="1" t="n">
        <v>8506.37</v>
      </c>
      <c r="V940" s="1" t="n">
        <v>61.02</v>
      </c>
      <c r="W940" s="1" t="s">
        <v>39</v>
      </c>
      <c r="X940" s="1" t="n">
        <v>4.1</v>
      </c>
      <c r="Y940" s="1" t="s">
        <v>40</v>
      </c>
      <c r="Z940" s="1" t="n">
        <v>0</v>
      </c>
      <c r="AA940" s="1" t="str">
        <f aca="false">TRIM(PROPER(F940))</f>
        <v>Ahmedabad</v>
      </c>
      <c r="AB940" s="1" t="str">
        <f aca="false">TRIM(PROPER(C940))</f>
        <v>Scaler</v>
      </c>
      <c r="AC940" s="1" t="str">
        <f aca="false">IF(O940=0,"No Discount",IF(O940&lt;=15,"Low (1-15%)",IF(O940&lt;=30,"Medium (16-30%)","High (&gt;30%)")))</f>
        <v>Low (1-15%)</v>
      </c>
      <c r="AD940" s="1" t="str">
        <f aca="false">IF(V940&lt;0,"Loss Making",IF(V940&lt;20,"Low Margin","Healthy Margin"))</f>
        <v>Healthy Margin</v>
      </c>
      <c r="AE940" s="1" t="str">
        <f aca="false">TEXT(DATE(VALUE(RIGHT(B940,4)),VALUE(MID(B940,4,2)),VALUE(LEFT(B940,2))),"MMM-YYYY")</f>
        <v>Jun-2024</v>
      </c>
      <c r="AF940" s="1" t="n">
        <f aca="false">VALUE(RIGHT(B940,4))</f>
        <v>2024</v>
      </c>
      <c r="AG940" s="1" t="str">
        <f aca="false">CHOOSE(ROUNDUP(VALUE(MID(B940,4,2))/3,0),"Q1","Q2","Q3","Q4")</f>
        <v>Q2</v>
      </c>
    </row>
    <row r="941" customFormat="false" ht="15" hidden="false" customHeight="true" outlineLevel="0" collapsed="false">
      <c r="A941" s="1" t="s">
        <v>1648</v>
      </c>
      <c r="B941" s="1" t="s">
        <v>1649</v>
      </c>
      <c r="C941" s="1" t="s">
        <v>178</v>
      </c>
      <c r="D941" s="1" t="s">
        <v>53</v>
      </c>
      <c r="E941" s="1" t="s">
        <v>216</v>
      </c>
      <c r="F941" s="1" t="s">
        <v>96</v>
      </c>
      <c r="G941" s="1" t="s">
        <v>97</v>
      </c>
      <c r="H941" s="1" t="s">
        <v>69</v>
      </c>
      <c r="I941" s="1" t="s">
        <v>58</v>
      </c>
      <c r="J941" s="1" t="s">
        <v>131</v>
      </c>
      <c r="K941" s="1" t="s">
        <v>71</v>
      </c>
      <c r="L941" s="1" t="s">
        <v>113</v>
      </c>
      <c r="M941" s="1" t="s">
        <v>50</v>
      </c>
      <c r="N941" s="1" t="n">
        <v>7499</v>
      </c>
      <c r="O941" s="1" t="n">
        <v>10</v>
      </c>
      <c r="P941" s="1" t="n">
        <v>749.9</v>
      </c>
      <c r="Q941" s="1" t="n">
        <v>6749.1</v>
      </c>
      <c r="R941" s="1" t="n">
        <v>1214.84</v>
      </c>
      <c r="S941" s="1" t="n">
        <v>5534.26</v>
      </c>
      <c r="T941" s="1" t="n">
        <v>2303.86</v>
      </c>
      <c r="U941" s="1" t="n">
        <v>3230.4</v>
      </c>
      <c r="V941" s="1" t="n">
        <v>58.37</v>
      </c>
      <c r="W941" s="1" t="s">
        <v>39</v>
      </c>
      <c r="X941" s="1" t="n">
        <v>4</v>
      </c>
      <c r="Y941" s="1" t="s">
        <v>40</v>
      </c>
      <c r="Z941" s="1" t="n">
        <v>1</v>
      </c>
      <c r="AA941" s="1" t="str">
        <f aca="false">TRIM(PROPER(F941))</f>
        <v>Pune</v>
      </c>
      <c r="AB941" s="1" t="str">
        <f aca="false">TRIM(PROPER(C941))</f>
        <v>Leverage Edu</v>
      </c>
      <c r="AC941" s="1" t="str">
        <f aca="false">IF(O941=0,"No Discount",IF(O941&lt;=15,"Low (1-15%)",IF(O941&lt;=30,"Medium (16-30%)","High (&gt;30%)")))</f>
        <v>Low (1-15%)</v>
      </c>
      <c r="AD941" s="1" t="str">
        <f aca="false">IF(V941&lt;0,"Loss Making",IF(V941&lt;20,"Low Margin","Healthy Margin"))</f>
        <v>Healthy Margin</v>
      </c>
      <c r="AE941" s="1" t="str">
        <f aca="false">TEXT(DATE(VALUE(RIGHT(B941,4)),VALUE(MID(B941,4,2)),VALUE(LEFT(B941,2))),"MMM-YYYY")</f>
        <v>May-2024</v>
      </c>
      <c r="AF941" s="1" t="n">
        <f aca="false">VALUE(RIGHT(B941,4))</f>
        <v>2024</v>
      </c>
      <c r="AG941" s="1" t="str">
        <f aca="false">CHOOSE(ROUNDUP(VALUE(MID(B941,4,2))/3,0),"Q1","Q2","Q3","Q4")</f>
        <v>Q2</v>
      </c>
    </row>
    <row r="942" customFormat="false" ht="15" hidden="false" customHeight="true" outlineLevel="0" collapsed="false">
      <c r="A942" s="1" t="s">
        <v>1650</v>
      </c>
      <c r="B942" s="1" t="s">
        <v>360</v>
      </c>
      <c r="C942" s="1" t="s">
        <v>65</v>
      </c>
      <c r="D942" s="1" t="s">
        <v>44</v>
      </c>
      <c r="E942" s="1" t="s">
        <v>221</v>
      </c>
      <c r="F942" s="1" t="s">
        <v>130</v>
      </c>
      <c r="G942" s="1" t="s">
        <v>47</v>
      </c>
      <c r="H942" s="1" t="s">
        <v>69</v>
      </c>
      <c r="I942" s="1" t="s">
        <v>58</v>
      </c>
      <c r="J942" s="1" t="s">
        <v>59</v>
      </c>
      <c r="K942" s="1" t="s">
        <v>112</v>
      </c>
      <c r="L942" s="1" t="s">
        <v>136</v>
      </c>
      <c r="M942" s="1" t="s">
        <v>38</v>
      </c>
      <c r="N942" s="1" t="n">
        <v>16999</v>
      </c>
      <c r="O942" s="1" t="n">
        <v>25</v>
      </c>
      <c r="P942" s="1" t="n">
        <v>4249.75</v>
      </c>
      <c r="Q942" s="1" t="n">
        <v>12749.25</v>
      </c>
      <c r="R942" s="1" t="n">
        <v>2294.86</v>
      </c>
      <c r="S942" s="1" t="n">
        <v>10454.39</v>
      </c>
      <c r="T942" s="1" t="n">
        <v>3902.55</v>
      </c>
      <c r="U942" s="1" t="n">
        <v>6551.84</v>
      </c>
      <c r="V942" s="1" t="n">
        <v>62.67</v>
      </c>
      <c r="W942" s="1" t="s">
        <v>40</v>
      </c>
      <c r="Y942" s="1" t="s">
        <v>40</v>
      </c>
      <c r="Z942" s="1" t="n">
        <v>0</v>
      </c>
      <c r="AA942" s="1" t="str">
        <f aca="false">TRIM(PROPER(F942))</f>
        <v>Bengaluru</v>
      </c>
      <c r="AB942" s="1" t="str">
        <f aca="false">TRIM(PROPER(C942))</f>
        <v>Toppr</v>
      </c>
      <c r="AC942" s="1" t="str">
        <f aca="false">IF(O942=0,"No Discount",IF(O942&lt;=15,"Low (1-15%)",IF(O942&lt;=30,"Medium (16-30%)","High (&gt;30%)")))</f>
        <v>Medium (16-30%)</v>
      </c>
      <c r="AD942" s="1" t="str">
        <f aca="false">IF(V942&lt;0,"Loss Making",IF(V942&lt;20,"Low Margin","Healthy Margin"))</f>
        <v>Healthy Margin</v>
      </c>
      <c r="AE942" s="1" t="str">
        <f aca="false">TEXT(DATE(VALUE(RIGHT(B942,4)),VALUE(MID(B942,4,2)),VALUE(LEFT(B942,2))),"MMM-YYYY")</f>
        <v>Feb-2023</v>
      </c>
      <c r="AF942" s="1" t="n">
        <f aca="false">VALUE(RIGHT(B942,4))</f>
        <v>2023</v>
      </c>
      <c r="AG942" s="1" t="str">
        <f aca="false">CHOOSE(ROUNDUP(VALUE(MID(B942,4,2))/3,0),"Q1","Q2","Q3","Q4")</f>
        <v>Q1</v>
      </c>
    </row>
    <row r="943" customFormat="false" ht="15" hidden="false" customHeight="true" outlineLevel="0" collapsed="false">
      <c r="A943" s="1" t="s">
        <v>1651</v>
      </c>
      <c r="B943" s="1" t="s">
        <v>464</v>
      </c>
      <c r="C943" s="1" t="s">
        <v>74</v>
      </c>
      <c r="D943" s="1" t="s">
        <v>94</v>
      </c>
      <c r="E943" s="1" t="s">
        <v>135</v>
      </c>
      <c r="F943" s="1" t="s">
        <v>107</v>
      </c>
      <c r="G943" s="1" t="s">
        <v>108</v>
      </c>
      <c r="H943" s="1" t="s">
        <v>33</v>
      </c>
      <c r="I943" s="1" t="s">
        <v>58</v>
      </c>
      <c r="J943" s="1" t="s">
        <v>59</v>
      </c>
      <c r="K943" s="1" t="s">
        <v>90</v>
      </c>
      <c r="L943" s="1" t="s">
        <v>37</v>
      </c>
      <c r="M943" s="1" t="s">
        <v>50</v>
      </c>
      <c r="N943" s="1" t="n">
        <v>9999</v>
      </c>
      <c r="O943" s="1" t="n">
        <v>25</v>
      </c>
      <c r="P943" s="1" t="n">
        <v>2499.75</v>
      </c>
      <c r="Q943" s="1" t="n">
        <v>7499.25</v>
      </c>
      <c r="R943" s="1" t="n">
        <v>1349.87</v>
      </c>
      <c r="S943" s="1" t="n">
        <v>6149.38</v>
      </c>
      <c r="T943" s="1" t="n">
        <v>2557.43</v>
      </c>
      <c r="U943" s="1" t="n">
        <v>3591.95</v>
      </c>
      <c r="V943" s="1" t="n">
        <v>58.41</v>
      </c>
      <c r="W943" s="1" t="s">
        <v>39</v>
      </c>
      <c r="X943" s="1" t="n">
        <v>4</v>
      </c>
      <c r="Y943" s="1" t="s">
        <v>40</v>
      </c>
      <c r="Z943" s="1" t="n">
        <v>0</v>
      </c>
      <c r="AA943" s="1" t="str">
        <f aca="false">TRIM(PROPER(F943))</f>
        <v>Madurai</v>
      </c>
      <c r="AB943" s="1" t="str">
        <f aca="false">TRIM(PROPER(C943))</f>
        <v>Vedantu</v>
      </c>
      <c r="AC943" s="1" t="str">
        <f aca="false">IF(O943=0,"No Discount",IF(O943&lt;=15,"Low (1-15%)",IF(O943&lt;=30,"Medium (16-30%)","High (&gt;30%)")))</f>
        <v>Medium (16-30%)</v>
      </c>
      <c r="AD943" s="1" t="str">
        <f aca="false">IF(V943&lt;0,"Loss Making",IF(V943&lt;20,"Low Margin","Healthy Margin"))</f>
        <v>Healthy Margin</v>
      </c>
      <c r="AE943" s="1" t="str">
        <f aca="false">TEXT(DATE(VALUE(RIGHT(B943,4)),VALUE(MID(B943,4,2)),VALUE(LEFT(B943,2))),"MMM-YYYY")</f>
        <v>Mar-2023</v>
      </c>
      <c r="AF943" s="1" t="n">
        <f aca="false">VALUE(RIGHT(B943,4))</f>
        <v>2023</v>
      </c>
      <c r="AG943" s="1" t="str">
        <f aca="false">CHOOSE(ROUNDUP(VALUE(MID(B943,4,2))/3,0),"Q1","Q2","Q3","Q4")</f>
        <v>Q1</v>
      </c>
    </row>
    <row r="944" customFormat="false" ht="15" hidden="false" customHeight="true" outlineLevel="0" collapsed="false">
      <c r="A944" s="1" t="s">
        <v>1652</v>
      </c>
      <c r="B944" s="1" t="s">
        <v>1148</v>
      </c>
      <c r="C944" s="1" t="s">
        <v>74</v>
      </c>
      <c r="D944" s="1" t="s">
        <v>80</v>
      </c>
      <c r="E944" s="1" t="s">
        <v>175</v>
      </c>
      <c r="F944" s="1" t="s">
        <v>156</v>
      </c>
      <c r="G944" s="1" t="s">
        <v>68</v>
      </c>
      <c r="H944" s="1" t="s">
        <v>57</v>
      </c>
      <c r="I944" s="1" t="s">
        <v>34</v>
      </c>
      <c r="J944" s="1" t="s">
        <v>59</v>
      </c>
      <c r="K944" s="1" t="s">
        <v>84</v>
      </c>
      <c r="L944" s="1" t="s">
        <v>113</v>
      </c>
      <c r="M944" s="1" t="s">
        <v>50</v>
      </c>
      <c r="N944" s="1" t="n">
        <v>19999</v>
      </c>
      <c r="O944" s="1" t="n">
        <v>0</v>
      </c>
      <c r="P944" s="1" t="n">
        <v>0</v>
      </c>
      <c r="Q944" s="1" t="n">
        <v>19999</v>
      </c>
      <c r="R944" s="1" t="n">
        <v>3599.82</v>
      </c>
      <c r="S944" s="1" t="n">
        <v>16399.18</v>
      </c>
      <c r="T944" s="1" t="n">
        <v>6824.52</v>
      </c>
      <c r="U944" s="1" t="n">
        <v>9574.66</v>
      </c>
      <c r="V944" s="1" t="n">
        <v>58.38</v>
      </c>
      <c r="W944" s="1" t="s">
        <v>39</v>
      </c>
      <c r="X944" s="1" t="n">
        <v>4.2</v>
      </c>
      <c r="Y944" s="1" t="s">
        <v>40</v>
      </c>
      <c r="Z944" s="1" t="n">
        <v>0</v>
      </c>
      <c r="AA944" s="1" t="str">
        <f aca="false">TRIM(PROPER(F944))</f>
        <v>Surat</v>
      </c>
      <c r="AB944" s="1" t="str">
        <f aca="false">TRIM(PROPER(C944))</f>
        <v>Vedantu</v>
      </c>
      <c r="AC944" s="1" t="str">
        <f aca="false">IF(O944=0,"No Discount",IF(O944&lt;=15,"Low (1-15%)",IF(O944&lt;=30,"Medium (16-30%)","High (&gt;30%)")))</f>
        <v>No Discount</v>
      </c>
      <c r="AD944" s="1" t="str">
        <f aca="false">IF(V944&lt;0,"Loss Making",IF(V944&lt;20,"Low Margin","Healthy Margin"))</f>
        <v>Healthy Margin</v>
      </c>
      <c r="AE944" s="1" t="str">
        <f aca="false">TEXT(DATE(VALUE(RIGHT(B944,4)),VALUE(MID(B944,4,2)),VALUE(LEFT(B944,2))),"MMM-YYYY")</f>
        <v>Oct-2024</v>
      </c>
      <c r="AF944" s="1" t="n">
        <f aca="false">VALUE(RIGHT(B944,4))</f>
        <v>2024</v>
      </c>
      <c r="AG944" s="1" t="str">
        <f aca="false">CHOOSE(ROUNDUP(VALUE(MID(B944,4,2))/3,0),"Q1","Q2","Q3","Q4")</f>
        <v>Q4</v>
      </c>
    </row>
    <row r="945" customFormat="false" ht="15" hidden="false" customHeight="true" outlineLevel="0" collapsed="false">
      <c r="A945" s="1" t="s">
        <v>1653</v>
      </c>
      <c r="B945" s="1" t="s">
        <v>1539</v>
      </c>
      <c r="C945" s="1" t="s">
        <v>178</v>
      </c>
      <c r="D945" s="1" t="s">
        <v>29</v>
      </c>
      <c r="E945" s="1" t="s">
        <v>30</v>
      </c>
      <c r="F945" s="1" t="s">
        <v>205</v>
      </c>
      <c r="G945" s="1" t="s">
        <v>56</v>
      </c>
      <c r="H945" s="1" t="s">
        <v>69</v>
      </c>
      <c r="I945" s="1" t="s">
        <v>34</v>
      </c>
      <c r="J945" s="1" t="s">
        <v>35</v>
      </c>
      <c r="K945" s="1" t="s">
        <v>90</v>
      </c>
      <c r="L945" s="1" t="s">
        <v>49</v>
      </c>
      <c r="M945" s="1" t="s">
        <v>62</v>
      </c>
      <c r="N945" s="1" t="n">
        <v>7999</v>
      </c>
      <c r="O945" s="1" t="n">
        <v>40</v>
      </c>
      <c r="P945" s="1" t="n">
        <v>3199.6</v>
      </c>
      <c r="Q945" s="1" t="n">
        <v>4799.4</v>
      </c>
      <c r="R945" s="1" t="n">
        <v>863.89</v>
      </c>
      <c r="S945" s="1" t="n">
        <v>3935.51</v>
      </c>
      <c r="T945" s="1" t="n">
        <v>1951.41</v>
      </c>
      <c r="U945" s="1" t="n">
        <v>1984.1</v>
      </c>
      <c r="V945" s="1" t="n">
        <v>50.42</v>
      </c>
      <c r="W945" s="1" t="s">
        <v>39</v>
      </c>
      <c r="X945" s="1" t="n">
        <v>4</v>
      </c>
      <c r="Y945" s="1" t="s">
        <v>40</v>
      </c>
      <c r="Z945" s="1" t="n">
        <v>1</v>
      </c>
      <c r="AA945" s="1" t="str">
        <f aca="false">TRIM(PROPER(F945))</f>
        <v>New Delhi</v>
      </c>
      <c r="AB945" s="1" t="str">
        <f aca="false">TRIM(PROPER(C945))</f>
        <v>Leverage Edu</v>
      </c>
      <c r="AC945" s="1" t="str">
        <f aca="false">IF(O945=0,"No Discount",IF(O945&lt;=15,"Low (1-15%)",IF(O945&lt;=30,"Medium (16-30%)","High (&gt;30%)")))</f>
        <v>High (&gt;30%)</v>
      </c>
      <c r="AD945" s="1" t="str">
        <f aca="false">IF(V945&lt;0,"Loss Making",IF(V945&lt;20,"Low Margin","Healthy Margin"))</f>
        <v>Healthy Margin</v>
      </c>
      <c r="AE945" s="1" t="str">
        <f aca="false">TEXT(DATE(VALUE(RIGHT(B945,4)),VALUE(MID(B945,4,2)),VALUE(LEFT(B945,2))),"MMM-YYYY")</f>
        <v>May-2024</v>
      </c>
      <c r="AF945" s="1" t="n">
        <f aca="false">VALUE(RIGHT(B945,4))</f>
        <v>2024</v>
      </c>
      <c r="AG945" s="1" t="str">
        <f aca="false">CHOOSE(ROUNDUP(VALUE(MID(B945,4,2))/3,0),"Q1","Q2","Q3","Q4")</f>
        <v>Q2</v>
      </c>
    </row>
    <row r="946" customFormat="false" ht="15" hidden="false" customHeight="true" outlineLevel="0" collapsed="false">
      <c r="A946" s="1" t="s">
        <v>1654</v>
      </c>
      <c r="B946" s="1" t="s">
        <v>1655</v>
      </c>
      <c r="C946" s="1" t="s">
        <v>139</v>
      </c>
      <c r="D946" s="1" t="s">
        <v>44</v>
      </c>
      <c r="E946" s="1" t="s">
        <v>66</v>
      </c>
      <c r="F946" s="1" t="s">
        <v>194</v>
      </c>
      <c r="G946" s="1" t="s">
        <v>103</v>
      </c>
      <c r="H946" s="1" t="s">
        <v>69</v>
      </c>
      <c r="I946" s="1" t="s">
        <v>58</v>
      </c>
      <c r="J946" s="1" t="s">
        <v>59</v>
      </c>
      <c r="K946" s="1" t="s">
        <v>90</v>
      </c>
      <c r="L946" s="1" t="s">
        <v>61</v>
      </c>
      <c r="M946" s="1" t="s">
        <v>50</v>
      </c>
      <c r="N946" s="1" t="n">
        <v>12999</v>
      </c>
      <c r="O946" s="1" t="n">
        <v>5</v>
      </c>
      <c r="P946" s="1" t="n">
        <v>649.95</v>
      </c>
      <c r="Q946" s="1" t="n">
        <v>12349.05</v>
      </c>
      <c r="R946" s="1" t="n">
        <v>2222.83</v>
      </c>
      <c r="S946" s="1" t="n">
        <v>10126.22</v>
      </c>
      <c r="T946" s="1" t="n">
        <v>4040.55</v>
      </c>
      <c r="U946" s="1" t="n">
        <v>6085.67</v>
      </c>
      <c r="V946" s="1" t="n">
        <v>60.1</v>
      </c>
      <c r="W946" s="1" t="s">
        <v>40</v>
      </c>
      <c r="Y946" s="1" t="s">
        <v>40</v>
      </c>
      <c r="Z946" s="1" t="n">
        <v>1</v>
      </c>
      <c r="AA946" s="1" t="str">
        <f aca="false">TRIM(PROPER(F946))</f>
        <v>Hyderabad</v>
      </c>
      <c r="AB946" s="1" t="str">
        <f aca="false">TRIM(PROPER(C946))</f>
        <v>Extramarks</v>
      </c>
      <c r="AC946" s="1" t="str">
        <f aca="false">IF(O946=0,"No Discount",IF(O946&lt;=15,"Low (1-15%)",IF(O946&lt;=30,"Medium (16-30%)","High (&gt;30%)")))</f>
        <v>Low (1-15%)</v>
      </c>
      <c r="AD946" s="1" t="str">
        <f aca="false">IF(V946&lt;0,"Loss Making",IF(V946&lt;20,"Low Margin","Healthy Margin"))</f>
        <v>Healthy Margin</v>
      </c>
      <c r="AE946" s="1" t="str">
        <f aca="false">TEXT(DATE(VALUE(RIGHT(B946,4)),VALUE(MID(B946,4,2)),VALUE(LEFT(B946,2))),"MMM-YYYY")</f>
        <v>Sep-2024</v>
      </c>
      <c r="AF946" s="1" t="n">
        <f aca="false">VALUE(RIGHT(B946,4))</f>
        <v>2024</v>
      </c>
      <c r="AG946" s="1" t="str">
        <f aca="false">CHOOSE(ROUNDUP(VALUE(MID(B946,4,2))/3,0),"Q1","Q2","Q3","Q4")</f>
        <v>Q3</v>
      </c>
    </row>
    <row r="947" customFormat="false" ht="15" hidden="false" customHeight="true" outlineLevel="0" collapsed="false">
      <c r="A947" s="1" t="s">
        <v>1656</v>
      </c>
      <c r="B947" s="1" t="s">
        <v>825</v>
      </c>
      <c r="C947" s="1" t="s">
        <v>134</v>
      </c>
      <c r="D947" s="1" t="s">
        <v>94</v>
      </c>
      <c r="E947" s="1" t="s">
        <v>95</v>
      </c>
      <c r="F947" s="1" t="s">
        <v>184</v>
      </c>
      <c r="G947" s="1" t="s">
        <v>56</v>
      </c>
      <c r="H947" s="1" t="s">
        <v>57</v>
      </c>
      <c r="I947" s="1" t="s">
        <v>34</v>
      </c>
      <c r="J947" s="1" t="s">
        <v>70</v>
      </c>
      <c r="K947" s="1" t="s">
        <v>36</v>
      </c>
      <c r="L947" s="1" t="s">
        <v>136</v>
      </c>
      <c r="M947" s="1" t="s">
        <v>50</v>
      </c>
      <c r="N947" s="1" t="n">
        <v>6999</v>
      </c>
      <c r="O947" s="1" t="n">
        <v>15</v>
      </c>
      <c r="P947" s="1" t="n">
        <v>1049.85</v>
      </c>
      <c r="Q947" s="1" t="n">
        <v>5949.15</v>
      </c>
      <c r="R947" s="1" t="n">
        <v>1070.85</v>
      </c>
      <c r="S947" s="1" t="n">
        <v>4878.3</v>
      </c>
      <c r="T947" s="1" t="n">
        <v>2283.44</v>
      </c>
      <c r="U947" s="1" t="n">
        <v>2594.86</v>
      </c>
      <c r="V947" s="1" t="n">
        <v>53.19</v>
      </c>
      <c r="W947" s="1" t="s">
        <v>39</v>
      </c>
      <c r="X947" s="1" t="n">
        <v>3.9</v>
      </c>
      <c r="Y947" s="1" t="s">
        <v>40</v>
      </c>
      <c r="Z947" s="1" t="n">
        <v>1</v>
      </c>
      <c r="AA947" s="1" t="str">
        <f aca="false">TRIM(PROPER(F947))</f>
        <v>Faridabad</v>
      </c>
      <c r="AB947" s="1" t="str">
        <f aca="false">TRIM(PROPER(C947))</f>
        <v>Doubtnut</v>
      </c>
      <c r="AC947" s="1" t="str">
        <f aca="false">IF(O947=0,"No Discount",IF(O947&lt;=15,"Low (1-15%)",IF(O947&lt;=30,"Medium (16-30%)","High (&gt;30%)")))</f>
        <v>Low (1-15%)</v>
      </c>
      <c r="AD947" s="1" t="str">
        <f aca="false">IF(V947&lt;0,"Loss Making",IF(V947&lt;20,"Low Margin","Healthy Margin"))</f>
        <v>Healthy Margin</v>
      </c>
      <c r="AE947" s="1" t="str">
        <f aca="false">TEXT(DATE(VALUE(RIGHT(B947,4)),VALUE(MID(B947,4,2)),VALUE(LEFT(B947,2))),"MMM-YYYY")</f>
        <v>Apr-2023</v>
      </c>
      <c r="AF947" s="1" t="n">
        <f aca="false">VALUE(RIGHT(B947,4))</f>
        <v>2023</v>
      </c>
      <c r="AG947" s="1" t="str">
        <f aca="false">CHOOSE(ROUNDUP(VALUE(MID(B947,4,2))/3,0),"Q1","Q2","Q3","Q4")</f>
        <v>Q2</v>
      </c>
    </row>
    <row r="948" customFormat="false" ht="15" hidden="false" customHeight="true" outlineLevel="0" collapsed="false">
      <c r="A948" s="1" t="s">
        <v>1657</v>
      </c>
      <c r="B948" s="1" t="s">
        <v>261</v>
      </c>
      <c r="C948" s="1" t="s">
        <v>249</v>
      </c>
      <c r="D948" s="1" t="s">
        <v>168</v>
      </c>
      <c r="E948" s="1" t="s">
        <v>172</v>
      </c>
      <c r="F948" s="1" t="s">
        <v>211</v>
      </c>
      <c r="G948" s="1" t="s">
        <v>56</v>
      </c>
      <c r="H948" s="1" t="s">
        <v>69</v>
      </c>
      <c r="I948" s="1" t="s">
        <v>83</v>
      </c>
      <c r="J948" s="1" t="s">
        <v>70</v>
      </c>
      <c r="K948" s="1" t="s">
        <v>71</v>
      </c>
      <c r="L948" s="1" t="s">
        <v>61</v>
      </c>
      <c r="M948" s="1" t="s">
        <v>38</v>
      </c>
      <c r="N948" s="1" t="n">
        <v>6999</v>
      </c>
      <c r="O948" s="1" t="n">
        <v>0</v>
      </c>
      <c r="P948" s="1" t="n">
        <v>0</v>
      </c>
      <c r="Q948" s="1" t="n">
        <v>6999</v>
      </c>
      <c r="R948" s="1" t="n">
        <v>1259.82</v>
      </c>
      <c r="S948" s="1" t="n">
        <v>5739.18</v>
      </c>
      <c r="T948" s="1" t="n">
        <v>2363.9</v>
      </c>
      <c r="U948" s="1" t="n">
        <v>3375.28</v>
      </c>
      <c r="V948" s="1" t="n">
        <v>58.81</v>
      </c>
      <c r="W948" s="1" t="s">
        <v>39</v>
      </c>
      <c r="X948" s="1" t="n">
        <v>3</v>
      </c>
      <c r="Y948" s="1" t="s">
        <v>40</v>
      </c>
      <c r="Z948" s="1" t="n">
        <v>0</v>
      </c>
      <c r="AA948" s="1" t="str">
        <f aca="false">TRIM(PROPER(F948))</f>
        <v>Noida</v>
      </c>
      <c r="AB948" s="1" t="str">
        <f aca="false">TRIM(PROPER(C948))</f>
        <v>Whitehat Jr</v>
      </c>
      <c r="AC948" s="1" t="str">
        <f aca="false">IF(O948=0,"No Discount",IF(O948&lt;=15,"Low (1-15%)",IF(O948&lt;=30,"Medium (16-30%)","High (&gt;30%)")))</f>
        <v>No Discount</v>
      </c>
      <c r="AD948" s="1" t="str">
        <f aca="false">IF(V948&lt;0,"Loss Making",IF(V948&lt;20,"Low Margin","Healthy Margin"))</f>
        <v>Healthy Margin</v>
      </c>
      <c r="AE948" s="1" t="str">
        <f aca="false">TEXT(DATE(VALUE(RIGHT(B948,4)),VALUE(MID(B948,4,2)),VALUE(LEFT(B948,2))),"MMM-YYYY")</f>
        <v>Feb-2024</v>
      </c>
      <c r="AF948" s="1" t="n">
        <f aca="false">VALUE(RIGHT(B948,4))</f>
        <v>2024</v>
      </c>
      <c r="AG948" s="1" t="str">
        <f aca="false">CHOOSE(ROUNDUP(VALUE(MID(B948,4,2))/3,0),"Q1","Q2","Q3","Q4")</f>
        <v>Q1</v>
      </c>
    </row>
    <row r="949" customFormat="false" ht="15" hidden="false" customHeight="true" outlineLevel="0" collapsed="false">
      <c r="A949" s="1" t="s">
        <v>1658</v>
      </c>
      <c r="B949" s="1" t="s">
        <v>1659</v>
      </c>
      <c r="C949" s="1" t="s">
        <v>43</v>
      </c>
      <c r="D949" s="1" t="s">
        <v>80</v>
      </c>
      <c r="E949" s="1" t="s">
        <v>193</v>
      </c>
      <c r="F949" s="1" t="s">
        <v>187</v>
      </c>
      <c r="G949" s="1" t="s">
        <v>97</v>
      </c>
      <c r="H949" s="1" t="s">
        <v>69</v>
      </c>
      <c r="I949" s="1" t="s">
        <v>58</v>
      </c>
      <c r="J949" s="1" t="s">
        <v>70</v>
      </c>
      <c r="K949" s="1" t="s">
        <v>90</v>
      </c>
      <c r="L949" s="1" t="s">
        <v>37</v>
      </c>
      <c r="M949" s="1" t="s">
        <v>38</v>
      </c>
      <c r="N949" s="1" t="n">
        <v>8999</v>
      </c>
      <c r="O949" s="1" t="n">
        <v>10</v>
      </c>
      <c r="P949" s="1" t="n">
        <v>899.9</v>
      </c>
      <c r="Q949" s="1" t="n">
        <v>8099.1</v>
      </c>
      <c r="R949" s="1" t="n">
        <v>1457.84</v>
      </c>
      <c r="S949" s="1" t="n">
        <v>6641.26</v>
      </c>
      <c r="T949" s="1" t="n">
        <v>2642.51</v>
      </c>
      <c r="U949" s="1" t="n">
        <v>3998.75</v>
      </c>
      <c r="V949" s="1" t="n">
        <v>60.21</v>
      </c>
      <c r="W949" s="1" t="s">
        <v>39</v>
      </c>
      <c r="X949" s="1" t="n">
        <v>4.2</v>
      </c>
      <c r="Y949" s="1" t="s">
        <v>39</v>
      </c>
      <c r="Z949" s="1" t="n">
        <v>0</v>
      </c>
      <c r="AA949" s="1" t="str">
        <f aca="false">TRIM(PROPER(F949))</f>
        <v>Mumbai</v>
      </c>
      <c r="AB949" s="1" t="str">
        <f aca="false">TRIM(PROPER(C949))</f>
        <v>Meritnation</v>
      </c>
      <c r="AC949" s="1" t="str">
        <f aca="false">IF(O949=0,"No Discount",IF(O949&lt;=15,"Low (1-15%)",IF(O949&lt;=30,"Medium (16-30%)","High (&gt;30%)")))</f>
        <v>Low (1-15%)</v>
      </c>
      <c r="AD949" s="1" t="str">
        <f aca="false">IF(V949&lt;0,"Loss Making",IF(V949&lt;20,"Low Margin","Healthy Margin"))</f>
        <v>Healthy Margin</v>
      </c>
      <c r="AE949" s="1" t="str">
        <f aca="false">TEXT(DATE(VALUE(RIGHT(B949,4)),VALUE(MID(B949,4,2)),VALUE(LEFT(B949,2))),"MMM-YYYY")</f>
        <v>Sep-2023</v>
      </c>
      <c r="AF949" s="1" t="n">
        <f aca="false">VALUE(RIGHT(B949,4))</f>
        <v>2023</v>
      </c>
      <c r="AG949" s="1" t="str">
        <f aca="false">CHOOSE(ROUNDUP(VALUE(MID(B949,4,2))/3,0),"Q1","Q2","Q3","Q4")</f>
        <v>Q3</v>
      </c>
    </row>
    <row r="950" customFormat="false" ht="15" hidden="false" customHeight="true" outlineLevel="0" collapsed="false">
      <c r="A950" s="1" t="s">
        <v>1660</v>
      </c>
      <c r="B950" s="1" t="s">
        <v>1558</v>
      </c>
      <c r="C950" s="1" t="s">
        <v>134</v>
      </c>
      <c r="D950" s="1" t="s">
        <v>80</v>
      </c>
      <c r="E950" s="1" t="s">
        <v>175</v>
      </c>
      <c r="F950" s="1" t="s">
        <v>96</v>
      </c>
      <c r="G950" s="1" t="s">
        <v>97</v>
      </c>
      <c r="H950" s="1" t="s">
        <v>69</v>
      </c>
      <c r="I950" s="1" t="s">
        <v>58</v>
      </c>
      <c r="J950" s="1" t="s">
        <v>77</v>
      </c>
      <c r="K950" s="1" t="s">
        <v>112</v>
      </c>
      <c r="L950" s="1" t="s">
        <v>85</v>
      </c>
      <c r="M950" s="1" t="s">
        <v>50</v>
      </c>
      <c r="N950" s="1" t="n">
        <v>19999</v>
      </c>
      <c r="O950" s="1" t="n">
        <v>15</v>
      </c>
      <c r="P950" s="1" t="n">
        <v>2999.85</v>
      </c>
      <c r="Q950" s="1" t="n">
        <v>16999.15</v>
      </c>
      <c r="R950" s="1" t="n">
        <v>3059.85</v>
      </c>
      <c r="S950" s="1" t="n">
        <v>13939.3</v>
      </c>
      <c r="T950" s="1" t="n">
        <v>5817.22</v>
      </c>
      <c r="U950" s="1" t="n">
        <v>8122.08</v>
      </c>
      <c r="V950" s="1" t="n">
        <v>58.27</v>
      </c>
      <c r="W950" s="1" t="s">
        <v>40</v>
      </c>
      <c r="Y950" s="1" t="s">
        <v>40</v>
      </c>
      <c r="Z950" s="1" t="n">
        <v>0</v>
      </c>
      <c r="AA950" s="1" t="str">
        <f aca="false">TRIM(PROPER(F950))</f>
        <v>Pune</v>
      </c>
      <c r="AB950" s="1" t="str">
        <f aca="false">TRIM(PROPER(C950))</f>
        <v>Doubtnut</v>
      </c>
      <c r="AC950" s="1" t="str">
        <f aca="false">IF(O950=0,"No Discount",IF(O950&lt;=15,"Low (1-15%)",IF(O950&lt;=30,"Medium (16-30%)","High (&gt;30%)")))</f>
        <v>Low (1-15%)</v>
      </c>
      <c r="AD950" s="1" t="str">
        <f aca="false">IF(V950&lt;0,"Loss Making",IF(V950&lt;20,"Low Margin","Healthy Margin"))</f>
        <v>Healthy Margin</v>
      </c>
      <c r="AE950" s="1" t="str">
        <f aca="false">TEXT(DATE(VALUE(RIGHT(B950,4)),VALUE(MID(B950,4,2)),VALUE(LEFT(B950,2))),"MMM-YYYY")</f>
        <v>Mar-2024</v>
      </c>
      <c r="AF950" s="1" t="n">
        <f aca="false">VALUE(RIGHT(B950,4))</f>
        <v>2024</v>
      </c>
      <c r="AG950" s="1" t="str">
        <f aca="false">CHOOSE(ROUNDUP(VALUE(MID(B950,4,2))/3,0),"Q1","Q2","Q3","Q4")</f>
        <v>Q1</v>
      </c>
    </row>
    <row r="951" customFormat="false" ht="15" hidden="false" customHeight="true" outlineLevel="0" collapsed="false">
      <c r="A951" s="1" t="s">
        <v>1661</v>
      </c>
      <c r="B951" s="1" t="s">
        <v>196</v>
      </c>
      <c r="C951" s="1" t="s">
        <v>43</v>
      </c>
      <c r="D951" s="1" t="s">
        <v>143</v>
      </c>
      <c r="E951" s="1" t="s">
        <v>144</v>
      </c>
      <c r="F951" s="1" t="s">
        <v>140</v>
      </c>
      <c r="G951" s="1" t="s">
        <v>97</v>
      </c>
      <c r="H951" s="1" t="s">
        <v>57</v>
      </c>
      <c r="I951" s="1" t="s">
        <v>58</v>
      </c>
      <c r="J951" s="1" t="s">
        <v>35</v>
      </c>
      <c r="K951" s="1" t="s">
        <v>112</v>
      </c>
      <c r="L951" s="1" t="s">
        <v>113</v>
      </c>
      <c r="M951" s="1" t="s">
        <v>62</v>
      </c>
      <c r="N951" s="1" t="n">
        <v>12999</v>
      </c>
      <c r="O951" s="1" t="n">
        <v>20</v>
      </c>
      <c r="P951" s="1" t="n">
        <v>2599.8</v>
      </c>
      <c r="Q951" s="1" t="n">
        <v>10399.2</v>
      </c>
      <c r="R951" s="1" t="n">
        <v>1871.86</v>
      </c>
      <c r="S951" s="1" t="n">
        <v>8527.34</v>
      </c>
      <c r="T951" s="1" t="n">
        <v>4379.6</v>
      </c>
      <c r="U951" s="1" t="n">
        <v>4147.74</v>
      </c>
      <c r="V951" s="1" t="n">
        <v>48.64</v>
      </c>
      <c r="W951" s="1" t="s">
        <v>39</v>
      </c>
      <c r="X951" s="1" t="n">
        <v>3.7</v>
      </c>
      <c r="Y951" s="1" t="s">
        <v>40</v>
      </c>
      <c r="Z951" s="1" t="n">
        <v>0</v>
      </c>
      <c r="AA951" s="1" t="str">
        <f aca="false">TRIM(PROPER(F951))</f>
        <v>Nashik</v>
      </c>
      <c r="AB951" s="1" t="str">
        <f aca="false">TRIM(PROPER(C951))</f>
        <v>Meritnation</v>
      </c>
      <c r="AC951" s="1" t="str">
        <f aca="false">IF(O951=0,"No Discount",IF(O951&lt;=15,"Low (1-15%)",IF(O951&lt;=30,"Medium (16-30%)","High (&gt;30%)")))</f>
        <v>Medium (16-30%)</v>
      </c>
      <c r="AD951" s="1" t="str">
        <f aca="false">IF(V951&lt;0,"Loss Making",IF(V951&lt;20,"Low Margin","Healthy Margin"))</f>
        <v>Healthy Margin</v>
      </c>
      <c r="AE951" s="1" t="str">
        <f aca="false">TEXT(DATE(VALUE(RIGHT(B951,4)),VALUE(MID(B951,4,2)),VALUE(LEFT(B951,2))),"MMM-YYYY")</f>
        <v>Mar-2024</v>
      </c>
      <c r="AF951" s="1" t="n">
        <f aca="false">VALUE(RIGHT(B951,4))</f>
        <v>2024</v>
      </c>
      <c r="AG951" s="1" t="str">
        <f aca="false">CHOOSE(ROUNDUP(VALUE(MID(B951,4,2))/3,0),"Q1","Q2","Q3","Q4")</f>
        <v>Q1</v>
      </c>
    </row>
    <row r="952" customFormat="false" ht="15" hidden="false" customHeight="true" outlineLevel="0" collapsed="false">
      <c r="A952" s="1" t="s">
        <v>1662</v>
      </c>
      <c r="B952" s="1" t="s">
        <v>1663</v>
      </c>
      <c r="C952" s="1" t="s">
        <v>43</v>
      </c>
      <c r="D952" s="1" t="s">
        <v>80</v>
      </c>
      <c r="E952" s="1" t="s">
        <v>81</v>
      </c>
      <c r="F952" s="1" t="s">
        <v>150</v>
      </c>
      <c r="G952" s="1" t="s">
        <v>32</v>
      </c>
      <c r="H952" s="1" t="s">
        <v>57</v>
      </c>
      <c r="I952" s="1" t="s">
        <v>83</v>
      </c>
      <c r="J952" s="1" t="s">
        <v>59</v>
      </c>
      <c r="K952" s="1" t="s">
        <v>71</v>
      </c>
      <c r="L952" s="1" t="s">
        <v>85</v>
      </c>
      <c r="M952" s="1" t="s">
        <v>50</v>
      </c>
      <c r="N952" s="1" t="n">
        <v>12999</v>
      </c>
      <c r="O952" s="1" t="n">
        <v>5</v>
      </c>
      <c r="P952" s="1" t="n">
        <v>649.95</v>
      </c>
      <c r="Q952" s="1" t="n">
        <v>12349.05</v>
      </c>
      <c r="R952" s="1" t="n">
        <v>2222.83</v>
      </c>
      <c r="S952" s="1" t="n">
        <v>10126.22</v>
      </c>
      <c r="T952" s="1" t="n">
        <v>5311.57</v>
      </c>
      <c r="U952" s="1" t="n">
        <v>4814.65</v>
      </c>
      <c r="V952" s="1" t="n">
        <v>47.55</v>
      </c>
      <c r="W952" s="1" t="s">
        <v>39</v>
      </c>
      <c r="X952" s="1" t="n">
        <v>3.8</v>
      </c>
      <c r="Y952" s="1" t="s">
        <v>40</v>
      </c>
      <c r="Z952" s="1" t="n">
        <v>0</v>
      </c>
      <c r="AA952" s="1" t="str">
        <f aca="false">TRIM(PROPER(F952))</f>
        <v>Jaipur</v>
      </c>
      <c r="AB952" s="1" t="str">
        <f aca="false">TRIM(PROPER(C952))</f>
        <v>Meritnation</v>
      </c>
      <c r="AC952" s="1" t="str">
        <f aca="false">IF(O952=0,"No Discount",IF(O952&lt;=15,"Low (1-15%)",IF(O952&lt;=30,"Medium (16-30%)","High (&gt;30%)")))</f>
        <v>Low (1-15%)</v>
      </c>
      <c r="AD952" s="1" t="str">
        <f aca="false">IF(V952&lt;0,"Loss Making",IF(V952&lt;20,"Low Margin","Healthy Margin"))</f>
        <v>Healthy Margin</v>
      </c>
      <c r="AE952" s="1" t="str">
        <f aca="false">TEXT(DATE(VALUE(RIGHT(B952,4)),VALUE(MID(B952,4,2)),VALUE(LEFT(B952,2))),"MMM-YYYY")</f>
        <v>Nov-2023</v>
      </c>
      <c r="AF952" s="1" t="n">
        <f aca="false">VALUE(RIGHT(B952,4))</f>
        <v>2023</v>
      </c>
      <c r="AG952" s="1" t="str">
        <f aca="false">CHOOSE(ROUNDUP(VALUE(MID(B952,4,2))/3,0),"Q1","Q2","Q3","Q4")</f>
        <v>Q4</v>
      </c>
    </row>
    <row r="953" customFormat="false" ht="15" hidden="false" customHeight="true" outlineLevel="0" collapsed="false">
      <c r="A953" s="1" t="s">
        <v>1664</v>
      </c>
      <c r="B953" s="1" t="s">
        <v>1665</v>
      </c>
      <c r="C953" s="1" t="s">
        <v>74</v>
      </c>
      <c r="D953" s="1" t="s">
        <v>168</v>
      </c>
      <c r="E953" s="1" t="s">
        <v>328</v>
      </c>
      <c r="F953" s="1" t="s">
        <v>194</v>
      </c>
      <c r="G953" s="1" t="s">
        <v>103</v>
      </c>
      <c r="H953" s="1" t="s">
        <v>69</v>
      </c>
      <c r="I953" s="1" t="s">
        <v>34</v>
      </c>
      <c r="J953" s="1" t="s">
        <v>35</v>
      </c>
      <c r="K953" s="1" t="s">
        <v>36</v>
      </c>
      <c r="L953" s="1" t="s">
        <v>113</v>
      </c>
      <c r="M953" s="1" t="s">
        <v>38</v>
      </c>
      <c r="N953" s="1" t="n">
        <v>8999</v>
      </c>
      <c r="O953" s="1" t="n">
        <v>25</v>
      </c>
      <c r="P953" s="1" t="n">
        <v>2249.75</v>
      </c>
      <c r="Q953" s="1" t="n">
        <v>6749.25</v>
      </c>
      <c r="R953" s="1" t="n">
        <v>1214.87</v>
      </c>
      <c r="S953" s="1" t="n">
        <v>5534.38</v>
      </c>
      <c r="T953" s="1" t="n">
        <v>2449.4</v>
      </c>
      <c r="U953" s="1" t="n">
        <v>3084.98</v>
      </c>
      <c r="V953" s="1" t="n">
        <v>55.74</v>
      </c>
      <c r="W953" s="1" t="s">
        <v>40</v>
      </c>
      <c r="Y953" s="1" t="s">
        <v>40</v>
      </c>
      <c r="Z953" s="1" t="n">
        <v>0</v>
      </c>
      <c r="AA953" s="1" t="str">
        <f aca="false">TRIM(PROPER(F953))</f>
        <v>Hyderabad</v>
      </c>
      <c r="AB953" s="1" t="str">
        <f aca="false">TRIM(PROPER(C953))</f>
        <v>Vedantu</v>
      </c>
      <c r="AC953" s="1" t="str">
        <f aca="false">IF(O953=0,"No Discount",IF(O953&lt;=15,"Low (1-15%)",IF(O953&lt;=30,"Medium (16-30%)","High (&gt;30%)")))</f>
        <v>Medium (16-30%)</v>
      </c>
      <c r="AD953" s="1" t="str">
        <f aca="false">IF(V953&lt;0,"Loss Making",IF(V953&lt;20,"Low Margin","Healthy Margin"))</f>
        <v>Healthy Margin</v>
      </c>
      <c r="AE953" s="1" t="str">
        <f aca="false">TEXT(DATE(VALUE(RIGHT(B953,4)),VALUE(MID(B953,4,2)),VALUE(LEFT(B953,2))),"MMM-YYYY")</f>
        <v>Sep-2024</v>
      </c>
      <c r="AF953" s="1" t="n">
        <f aca="false">VALUE(RIGHT(B953,4))</f>
        <v>2024</v>
      </c>
      <c r="AG953" s="1" t="str">
        <f aca="false">CHOOSE(ROUNDUP(VALUE(MID(B953,4,2))/3,0),"Q1","Q2","Q3","Q4")</f>
        <v>Q3</v>
      </c>
    </row>
    <row r="954" customFormat="false" ht="15" hidden="false" customHeight="true" outlineLevel="0" collapsed="false">
      <c r="A954" s="1" t="s">
        <v>1666</v>
      </c>
      <c r="B954" s="1" t="s">
        <v>988</v>
      </c>
      <c r="C954" s="1" t="s">
        <v>65</v>
      </c>
      <c r="D954" s="1" t="s">
        <v>168</v>
      </c>
      <c r="E954" s="1" t="s">
        <v>169</v>
      </c>
      <c r="F954" s="1" t="s">
        <v>55</v>
      </c>
      <c r="G954" s="1" t="s">
        <v>56</v>
      </c>
      <c r="H954" s="1" t="s">
        <v>57</v>
      </c>
      <c r="I954" s="1" t="s">
        <v>83</v>
      </c>
      <c r="J954" s="1" t="s">
        <v>131</v>
      </c>
      <c r="K954" s="1" t="s">
        <v>48</v>
      </c>
      <c r="L954" s="1" t="s">
        <v>61</v>
      </c>
      <c r="M954" s="1" t="s">
        <v>38</v>
      </c>
      <c r="N954" s="1" t="n">
        <v>4999</v>
      </c>
      <c r="O954" s="1" t="n">
        <v>50</v>
      </c>
      <c r="P954" s="1" t="n">
        <v>2499.5</v>
      </c>
      <c r="Q954" s="1" t="n">
        <v>2499.5</v>
      </c>
      <c r="R954" s="1" t="n">
        <v>449.91</v>
      </c>
      <c r="S954" s="1" t="n">
        <v>2049.59</v>
      </c>
      <c r="T954" s="1" t="n">
        <v>1146.2</v>
      </c>
      <c r="U954" s="1" t="n">
        <v>903.39</v>
      </c>
      <c r="V954" s="1" t="n">
        <v>44.08</v>
      </c>
      <c r="W954" s="1" t="s">
        <v>39</v>
      </c>
      <c r="X954" s="1" t="n">
        <v>3.7</v>
      </c>
      <c r="Y954" s="1" t="s">
        <v>40</v>
      </c>
      <c r="Z954" s="1" t="n">
        <v>0</v>
      </c>
      <c r="AA954" s="1" t="str">
        <f aca="false">TRIM(PROPER(F954))</f>
        <v>Ghaziabad</v>
      </c>
      <c r="AB954" s="1" t="str">
        <f aca="false">TRIM(PROPER(C954))</f>
        <v>Toppr</v>
      </c>
      <c r="AC954" s="1" t="str">
        <f aca="false">IF(O954=0,"No Discount",IF(O954&lt;=15,"Low (1-15%)",IF(O954&lt;=30,"Medium (16-30%)","High (&gt;30%)")))</f>
        <v>High (&gt;30%)</v>
      </c>
      <c r="AD954" s="1" t="str">
        <f aca="false">IF(V954&lt;0,"Loss Making",IF(V954&lt;20,"Low Margin","Healthy Margin"))</f>
        <v>Healthy Margin</v>
      </c>
      <c r="AE954" s="1" t="str">
        <f aca="false">TEXT(DATE(VALUE(RIGHT(B954,4)),VALUE(MID(B954,4,2)),VALUE(LEFT(B954,2))),"MMM-YYYY")</f>
        <v>Dec-2024</v>
      </c>
      <c r="AF954" s="1" t="n">
        <f aca="false">VALUE(RIGHT(B954,4))</f>
        <v>2024</v>
      </c>
      <c r="AG954" s="1" t="str">
        <f aca="false">CHOOSE(ROUNDUP(VALUE(MID(B954,4,2))/3,0),"Q1","Q2","Q3","Q4")</f>
        <v>Q4</v>
      </c>
    </row>
    <row r="955" customFormat="false" ht="15" hidden="false" customHeight="true" outlineLevel="0" collapsed="false">
      <c r="A955" s="1" t="s">
        <v>1667</v>
      </c>
      <c r="B955" s="1" t="s">
        <v>872</v>
      </c>
      <c r="C955" s="1" t="s">
        <v>28</v>
      </c>
      <c r="D955" s="1" t="s">
        <v>123</v>
      </c>
      <c r="E955" s="1" t="s">
        <v>233</v>
      </c>
      <c r="F955" s="1" t="s">
        <v>46</v>
      </c>
      <c r="G955" s="1" t="s">
        <v>47</v>
      </c>
      <c r="H955" s="1" t="s">
        <v>33</v>
      </c>
      <c r="I955" s="1" t="s">
        <v>58</v>
      </c>
      <c r="J955" s="1" t="s">
        <v>77</v>
      </c>
      <c r="K955" s="1" t="s">
        <v>48</v>
      </c>
      <c r="L955" s="1" t="s">
        <v>113</v>
      </c>
      <c r="M955" s="1" t="s">
        <v>62</v>
      </c>
      <c r="N955" s="1" t="n">
        <v>8999</v>
      </c>
      <c r="O955" s="1" t="n">
        <v>0</v>
      </c>
      <c r="P955" s="1" t="n">
        <v>0</v>
      </c>
      <c r="Q955" s="1" t="n">
        <v>8999</v>
      </c>
      <c r="R955" s="1" t="n">
        <v>1619.82</v>
      </c>
      <c r="S955" s="1" t="n">
        <v>7379.18</v>
      </c>
      <c r="T955" s="1" t="n">
        <v>2928.42</v>
      </c>
      <c r="U955" s="1" t="n">
        <v>4450.76</v>
      </c>
      <c r="V955" s="1" t="n">
        <v>60.32</v>
      </c>
      <c r="W955" s="1" t="s">
        <v>40</v>
      </c>
      <c r="Y955" s="1" t="s">
        <v>40</v>
      </c>
      <c r="Z955" s="1" t="n">
        <v>0</v>
      </c>
      <c r="AA955" s="1" t="str">
        <f aca="false">TRIM(PROPER(F955))</f>
        <v>Mangaluru</v>
      </c>
      <c r="AB955" s="1" t="str">
        <f aca="false">TRIM(PROPER(C955))</f>
        <v>Embibe</v>
      </c>
      <c r="AC955" s="1" t="str">
        <f aca="false">IF(O955=0,"No Discount",IF(O955&lt;=15,"Low (1-15%)",IF(O955&lt;=30,"Medium (16-30%)","High (&gt;30%)")))</f>
        <v>No Discount</v>
      </c>
      <c r="AD955" s="1" t="str">
        <f aca="false">IF(V955&lt;0,"Loss Making",IF(V955&lt;20,"Low Margin","Healthy Margin"))</f>
        <v>Healthy Margin</v>
      </c>
      <c r="AE955" s="1" t="str">
        <f aca="false">TEXT(DATE(VALUE(RIGHT(B955,4)),VALUE(MID(B955,4,2)),VALUE(LEFT(B955,2))),"MMM-YYYY")</f>
        <v>Sep-2023</v>
      </c>
      <c r="AF955" s="1" t="n">
        <f aca="false">VALUE(RIGHT(B955,4))</f>
        <v>2023</v>
      </c>
      <c r="AG955" s="1" t="str">
        <f aca="false">CHOOSE(ROUNDUP(VALUE(MID(B955,4,2))/3,0),"Q1","Q2","Q3","Q4")</f>
        <v>Q3</v>
      </c>
    </row>
    <row r="956" customFormat="false" ht="15" hidden="false" customHeight="true" outlineLevel="0" collapsed="false">
      <c r="A956" s="1" t="s">
        <v>1668</v>
      </c>
      <c r="B956" s="1" t="s">
        <v>1669</v>
      </c>
      <c r="C956" s="1" t="s">
        <v>43</v>
      </c>
      <c r="D956" s="1" t="s">
        <v>29</v>
      </c>
      <c r="E956" s="1" t="s">
        <v>182</v>
      </c>
      <c r="F956" s="1" t="s">
        <v>46</v>
      </c>
      <c r="G956" s="1" t="s">
        <v>47</v>
      </c>
      <c r="H956" s="1" t="s">
        <v>33</v>
      </c>
      <c r="I956" s="1" t="s">
        <v>83</v>
      </c>
      <c r="J956" s="1" t="s">
        <v>77</v>
      </c>
      <c r="K956" s="1" t="s">
        <v>90</v>
      </c>
      <c r="L956" s="1" t="s">
        <v>61</v>
      </c>
      <c r="M956" s="1" t="s">
        <v>50</v>
      </c>
      <c r="N956" s="1" t="n">
        <v>34999</v>
      </c>
      <c r="O956" s="1" t="n">
        <v>50</v>
      </c>
      <c r="P956" s="1" t="n">
        <v>17499.5</v>
      </c>
      <c r="Q956" s="1" t="n">
        <v>17499.5</v>
      </c>
      <c r="R956" s="1" t="n">
        <v>3149.91</v>
      </c>
      <c r="S956" s="1" t="n">
        <v>14349.59</v>
      </c>
      <c r="T956" s="1" t="n">
        <v>6861.93</v>
      </c>
      <c r="U956" s="1" t="n">
        <v>7487.66</v>
      </c>
      <c r="V956" s="1" t="n">
        <v>52.18</v>
      </c>
      <c r="W956" s="1" t="s">
        <v>39</v>
      </c>
      <c r="X956" s="1" t="n">
        <v>4</v>
      </c>
      <c r="Y956" s="1" t="s">
        <v>40</v>
      </c>
      <c r="Z956" s="1" t="n">
        <v>0</v>
      </c>
      <c r="AA956" s="1" t="str">
        <f aca="false">TRIM(PROPER(F956))</f>
        <v>Mangaluru</v>
      </c>
      <c r="AB956" s="1" t="str">
        <f aca="false">TRIM(PROPER(C956))</f>
        <v>Meritnation</v>
      </c>
      <c r="AC956" s="1" t="str">
        <f aca="false">IF(O956=0,"No Discount",IF(O956&lt;=15,"Low (1-15%)",IF(O956&lt;=30,"Medium (16-30%)","High (&gt;30%)")))</f>
        <v>High (&gt;30%)</v>
      </c>
      <c r="AD956" s="1" t="str">
        <f aca="false">IF(V956&lt;0,"Loss Making",IF(V956&lt;20,"Low Margin","Healthy Margin"))</f>
        <v>Healthy Margin</v>
      </c>
      <c r="AE956" s="1" t="str">
        <f aca="false">TEXT(DATE(VALUE(RIGHT(B956,4)),VALUE(MID(B956,4,2)),VALUE(LEFT(B956,2))),"MMM-YYYY")</f>
        <v>Jul-2024</v>
      </c>
      <c r="AF956" s="1" t="n">
        <f aca="false">VALUE(RIGHT(B956,4))</f>
        <v>2024</v>
      </c>
      <c r="AG956" s="1" t="str">
        <f aca="false">CHOOSE(ROUNDUP(VALUE(MID(B956,4,2))/3,0),"Q1","Q2","Q3","Q4")</f>
        <v>Q3</v>
      </c>
    </row>
    <row r="957" customFormat="false" ht="15" hidden="false" customHeight="true" outlineLevel="0" collapsed="false">
      <c r="A957" s="1" t="s">
        <v>1670</v>
      </c>
      <c r="B957" s="1" t="s">
        <v>1671</v>
      </c>
      <c r="C957" s="1" t="s">
        <v>134</v>
      </c>
      <c r="D957" s="1" t="s">
        <v>94</v>
      </c>
      <c r="E957" s="1" t="s">
        <v>95</v>
      </c>
      <c r="F957" s="1" t="s">
        <v>153</v>
      </c>
      <c r="G957" s="1" t="s">
        <v>76</v>
      </c>
      <c r="H957" s="1" t="s">
        <v>33</v>
      </c>
      <c r="I957" s="1" t="s">
        <v>58</v>
      </c>
      <c r="J957" s="1" t="s">
        <v>59</v>
      </c>
      <c r="K957" s="1" t="s">
        <v>104</v>
      </c>
      <c r="L957" s="1" t="s">
        <v>85</v>
      </c>
      <c r="M957" s="1" t="s">
        <v>38</v>
      </c>
      <c r="N957" s="1" t="n">
        <v>6999</v>
      </c>
      <c r="O957" s="1" t="n">
        <v>40</v>
      </c>
      <c r="P957" s="1" t="n">
        <v>2799.6</v>
      </c>
      <c r="Q957" s="1" t="n">
        <v>4199.4</v>
      </c>
      <c r="R957" s="1" t="n">
        <v>755.89</v>
      </c>
      <c r="S957" s="1" t="n">
        <v>3443.51</v>
      </c>
      <c r="T957" s="1" t="n">
        <v>1737.17</v>
      </c>
      <c r="U957" s="1" t="n">
        <v>1706.34</v>
      </c>
      <c r="V957" s="1" t="n">
        <v>49.55</v>
      </c>
      <c r="W957" s="1" t="s">
        <v>39</v>
      </c>
      <c r="X957" s="1" t="n">
        <v>3.4</v>
      </c>
      <c r="Y957" s="1" t="s">
        <v>40</v>
      </c>
      <c r="Z957" s="1" t="n">
        <v>0</v>
      </c>
      <c r="AA957" s="1" t="str">
        <f aca="false">TRIM(PROPER(F957))</f>
        <v>Howrah</v>
      </c>
      <c r="AB957" s="1" t="str">
        <f aca="false">TRIM(PROPER(C957))</f>
        <v>Doubtnut</v>
      </c>
      <c r="AC957" s="1" t="str">
        <f aca="false">IF(O957=0,"No Discount",IF(O957&lt;=15,"Low (1-15%)",IF(O957&lt;=30,"Medium (16-30%)","High (&gt;30%)")))</f>
        <v>High (&gt;30%)</v>
      </c>
      <c r="AD957" s="1" t="str">
        <f aca="false">IF(V957&lt;0,"Loss Making",IF(V957&lt;20,"Low Margin","Healthy Margin"))</f>
        <v>Healthy Margin</v>
      </c>
      <c r="AE957" s="1" t="str">
        <f aca="false">TEXT(DATE(VALUE(RIGHT(B957,4)),VALUE(MID(B957,4,2)),VALUE(LEFT(B957,2))),"MMM-YYYY")</f>
        <v>May-2024</v>
      </c>
      <c r="AF957" s="1" t="n">
        <f aca="false">VALUE(RIGHT(B957,4))</f>
        <v>2024</v>
      </c>
      <c r="AG957" s="1" t="str">
        <f aca="false">CHOOSE(ROUNDUP(VALUE(MID(B957,4,2))/3,0),"Q1","Q2","Q3","Q4")</f>
        <v>Q2</v>
      </c>
    </row>
    <row r="958" customFormat="false" ht="15" hidden="false" customHeight="true" outlineLevel="0" collapsed="false">
      <c r="A958" s="1" t="s">
        <v>1672</v>
      </c>
      <c r="B958" s="1" t="s">
        <v>906</v>
      </c>
      <c r="C958" s="1" t="s">
        <v>128</v>
      </c>
      <c r="D958" s="1" t="s">
        <v>53</v>
      </c>
      <c r="E958" s="1" t="s">
        <v>54</v>
      </c>
      <c r="F958" s="1" t="s">
        <v>184</v>
      </c>
      <c r="G958" s="1" t="s">
        <v>56</v>
      </c>
      <c r="H958" s="1" t="s">
        <v>57</v>
      </c>
      <c r="I958" s="1" t="s">
        <v>83</v>
      </c>
      <c r="J958" s="1" t="s">
        <v>77</v>
      </c>
      <c r="K958" s="1" t="s">
        <v>84</v>
      </c>
      <c r="L958" s="1" t="s">
        <v>85</v>
      </c>
      <c r="M958" s="1" t="s">
        <v>38</v>
      </c>
      <c r="N958" s="1" t="n">
        <v>11999</v>
      </c>
      <c r="O958" s="1" t="n">
        <v>40</v>
      </c>
      <c r="P958" s="1" t="n">
        <v>4799.6</v>
      </c>
      <c r="Q958" s="1" t="n">
        <v>7199.4</v>
      </c>
      <c r="R958" s="1" t="n">
        <v>1295.89</v>
      </c>
      <c r="S958" s="1" t="n">
        <v>5903.51</v>
      </c>
      <c r="T958" s="1" t="n">
        <v>3036.07</v>
      </c>
      <c r="U958" s="1" t="n">
        <v>2867.44</v>
      </c>
      <c r="V958" s="1" t="n">
        <v>48.57</v>
      </c>
      <c r="W958" s="1" t="s">
        <v>40</v>
      </c>
      <c r="Y958" s="1" t="s">
        <v>40</v>
      </c>
      <c r="Z958" s="1" t="n">
        <v>2</v>
      </c>
      <c r="AA958" s="1" t="str">
        <f aca="false">TRIM(PROPER(F958))</f>
        <v>Faridabad</v>
      </c>
      <c r="AB958" s="1" t="str">
        <f aca="false">TRIM(PROPER(C958))</f>
        <v>Great Learning</v>
      </c>
      <c r="AC958" s="1" t="str">
        <f aca="false">IF(O958=0,"No Discount",IF(O958&lt;=15,"Low (1-15%)",IF(O958&lt;=30,"Medium (16-30%)","High (&gt;30%)")))</f>
        <v>High (&gt;30%)</v>
      </c>
      <c r="AD958" s="1" t="str">
        <f aca="false">IF(V958&lt;0,"Loss Making",IF(V958&lt;20,"Low Margin","Healthy Margin"))</f>
        <v>Healthy Margin</v>
      </c>
      <c r="AE958" s="1" t="str">
        <f aca="false">TEXT(DATE(VALUE(RIGHT(B958,4)),VALUE(MID(B958,4,2)),VALUE(LEFT(B958,2))),"MMM-YYYY")</f>
        <v>Sep-2023</v>
      </c>
      <c r="AF958" s="1" t="n">
        <f aca="false">VALUE(RIGHT(B958,4))</f>
        <v>2023</v>
      </c>
      <c r="AG958" s="1" t="str">
        <f aca="false">CHOOSE(ROUNDUP(VALUE(MID(B958,4,2))/3,0),"Q1","Q2","Q3","Q4")</f>
        <v>Q3</v>
      </c>
    </row>
    <row r="959" customFormat="false" ht="15" hidden="false" customHeight="true" outlineLevel="0" collapsed="false">
      <c r="A959" s="1" t="s">
        <v>1673</v>
      </c>
      <c r="B959" s="1" t="s">
        <v>1456</v>
      </c>
      <c r="C959" s="1" t="s">
        <v>134</v>
      </c>
      <c r="D959" s="1" t="s">
        <v>53</v>
      </c>
      <c r="E959" s="1" t="s">
        <v>216</v>
      </c>
      <c r="F959" s="1" t="s">
        <v>194</v>
      </c>
      <c r="G959" s="1" t="s">
        <v>103</v>
      </c>
      <c r="H959" s="1" t="s">
        <v>69</v>
      </c>
      <c r="I959" s="1" t="s">
        <v>34</v>
      </c>
      <c r="J959" s="1" t="s">
        <v>70</v>
      </c>
      <c r="K959" s="1" t="s">
        <v>112</v>
      </c>
      <c r="L959" s="1" t="s">
        <v>61</v>
      </c>
      <c r="M959" s="1" t="s">
        <v>38</v>
      </c>
      <c r="N959" s="1" t="n">
        <v>7499</v>
      </c>
      <c r="O959" s="1" t="n">
        <v>20</v>
      </c>
      <c r="P959" s="1" t="n">
        <v>1499.8</v>
      </c>
      <c r="Q959" s="1" t="n">
        <v>5999.2</v>
      </c>
      <c r="R959" s="1" t="n">
        <v>1079.86</v>
      </c>
      <c r="S959" s="1" t="n">
        <v>4919.34</v>
      </c>
      <c r="T959" s="1" t="n">
        <v>2039.29</v>
      </c>
      <c r="U959" s="1" t="n">
        <v>2880.05</v>
      </c>
      <c r="V959" s="1" t="n">
        <v>58.55</v>
      </c>
      <c r="W959" s="1" t="s">
        <v>39</v>
      </c>
      <c r="X959" s="1" t="n">
        <v>3.1</v>
      </c>
      <c r="Y959" s="1" t="s">
        <v>40</v>
      </c>
      <c r="Z959" s="1" t="n">
        <v>0</v>
      </c>
      <c r="AA959" s="1" t="str">
        <f aca="false">TRIM(PROPER(F959))</f>
        <v>Hyderabad</v>
      </c>
      <c r="AB959" s="1" t="str">
        <f aca="false">TRIM(PROPER(C959))</f>
        <v>Doubtnut</v>
      </c>
      <c r="AC959" s="1" t="str">
        <f aca="false">IF(O959=0,"No Discount",IF(O959&lt;=15,"Low (1-15%)",IF(O959&lt;=30,"Medium (16-30%)","High (&gt;30%)")))</f>
        <v>Medium (16-30%)</v>
      </c>
      <c r="AD959" s="1" t="str">
        <f aca="false">IF(V959&lt;0,"Loss Making",IF(V959&lt;20,"Low Margin","Healthy Margin"))</f>
        <v>Healthy Margin</v>
      </c>
      <c r="AE959" s="1" t="str">
        <f aca="false">TEXT(DATE(VALUE(RIGHT(B959,4)),VALUE(MID(B959,4,2)),VALUE(LEFT(B959,2))),"MMM-YYYY")</f>
        <v>Jan-2024</v>
      </c>
      <c r="AF959" s="1" t="n">
        <f aca="false">VALUE(RIGHT(B959,4))</f>
        <v>2024</v>
      </c>
      <c r="AG959" s="1" t="str">
        <f aca="false">CHOOSE(ROUNDUP(VALUE(MID(B959,4,2))/3,0),"Q1","Q2","Q3","Q4")</f>
        <v>Q1</v>
      </c>
    </row>
    <row r="960" customFormat="false" ht="15" hidden="false" customHeight="true" outlineLevel="0" collapsed="false">
      <c r="A960" s="1" t="s">
        <v>1674</v>
      </c>
      <c r="B960" s="1" t="s">
        <v>1659</v>
      </c>
      <c r="C960" s="1" t="s">
        <v>249</v>
      </c>
      <c r="D960" s="1" t="s">
        <v>53</v>
      </c>
      <c r="E960" s="1" t="s">
        <v>54</v>
      </c>
      <c r="F960" s="1" t="s">
        <v>96</v>
      </c>
      <c r="G960" s="1" t="s">
        <v>97</v>
      </c>
      <c r="H960" s="1" t="s">
        <v>69</v>
      </c>
      <c r="I960" s="1" t="s">
        <v>83</v>
      </c>
      <c r="J960" s="1" t="s">
        <v>59</v>
      </c>
      <c r="K960" s="1" t="s">
        <v>36</v>
      </c>
      <c r="L960" s="1" t="s">
        <v>85</v>
      </c>
      <c r="M960" s="1" t="s">
        <v>62</v>
      </c>
      <c r="N960" s="1" t="n">
        <v>11999</v>
      </c>
      <c r="O960" s="1" t="n">
        <v>5</v>
      </c>
      <c r="P960" s="1" t="n">
        <v>599.95</v>
      </c>
      <c r="Q960" s="1" t="n">
        <v>11399.05</v>
      </c>
      <c r="R960" s="1" t="n">
        <v>2051.83</v>
      </c>
      <c r="S960" s="1" t="n">
        <v>9347.22</v>
      </c>
      <c r="T960" s="1" t="n">
        <v>3929.57</v>
      </c>
      <c r="U960" s="1" t="n">
        <v>5417.65</v>
      </c>
      <c r="V960" s="1" t="n">
        <v>57.96</v>
      </c>
      <c r="W960" s="1" t="s">
        <v>39</v>
      </c>
      <c r="X960" s="1" t="n">
        <v>4.2</v>
      </c>
      <c r="Y960" s="1" t="s">
        <v>40</v>
      </c>
      <c r="Z960" s="1" t="n">
        <v>0</v>
      </c>
      <c r="AA960" s="1" t="str">
        <f aca="false">TRIM(PROPER(F960))</f>
        <v>Pune</v>
      </c>
      <c r="AB960" s="1" t="str">
        <f aca="false">TRIM(PROPER(C960))</f>
        <v>Whitehat Jr</v>
      </c>
      <c r="AC960" s="1" t="str">
        <f aca="false">IF(O960=0,"No Discount",IF(O960&lt;=15,"Low (1-15%)",IF(O960&lt;=30,"Medium (16-30%)","High (&gt;30%)")))</f>
        <v>Low (1-15%)</v>
      </c>
      <c r="AD960" s="1" t="str">
        <f aca="false">IF(V960&lt;0,"Loss Making",IF(V960&lt;20,"Low Margin","Healthy Margin"))</f>
        <v>Healthy Margin</v>
      </c>
      <c r="AE960" s="1" t="str">
        <f aca="false">TEXT(DATE(VALUE(RIGHT(B960,4)),VALUE(MID(B960,4,2)),VALUE(LEFT(B960,2))),"MMM-YYYY")</f>
        <v>Sep-2023</v>
      </c>
      <c r="AF960" s="1" t="n">
        <f aca="false">VALUE(RIGHT(B960,4))</f>
        <v>2023</v>
      </c>
      <c r="AG960" s="1" t="str">
        <f aca="false">CHOOSE(ROUNDUP(VALUE(MID(B960,4,2))/3,0),"Q1","Q2","Q3","Q4")</f>
        <v>Q3</v>
      </c>
    </row>
    <row r="961" customFormat="false" ht="15" hidden="false" customHeight="true" outlineLevel="0" collapsed="false">
      <c r="A961" s="1" t="s">
        <v>1675</v>
      </c>
      <c r="B961" s="1" t="s">
        <v>874</v>
      </c>
      <c r="C961" s="1" t="s">
        <v>74</v>
      </c>
      <c r="D961" s="1" t="s">
        <v>94</v>
      </c>
      <c r="E961" s="1" t="s">
        <v>101</v>
      </c>
      <c r="F961" s="1" t="s">
        <v>82</v>
      </c>
      <c r="G961" s="1" t="s">
        <v>56</v>
      </c>
      <c r="H961" s="1" t="s">
        <v>69</v>
      </c>
      <c r="I961" s="1" t="s">
        <v>83</v>
      </c>
      <c r="J961" s="1" t="s">
        <v>131</v>
      </c>
      <c r="K961" s="1" t="s">
        <v>48</v>
      </c>
      <c r="L961" s="1" t="s">
        <v>136</v>
      </c>
      <c r="M961" s="1" t="s">
        <v>50</v>
      </c>
      <c r="N961" s="1" t="n">
        <v>14999</v>
      </c>
      <c r="O961" s="1" t="n">
        <v>0</v>
      </c>
      <c r="P961" s="1" t="n">
        <v>0</v>
      </c>
      <c r="Q961" s="1" t="n">
        <v>14999</v>
      </c>
      <c r="R961" s="1" t="n">
        <v>2699.82</v>
      </c>
      <c r="S961" s="1" t="n">
        <v>12299.18</v>
      </c>
      <c r="T961" s="1" t="n">
        <v>5516.5</v>
      </c>
      <c r="U961" s="1" t="n">
        <v>6782.68</v>
      </c>
      <c r="V961" s="1" t="n">
        <v>55.15</v>
      </c>
      <c r="W961" s="1" t="s">
        <v>40</v>
      </c>
      <c r="Y961" s="1" t="s">
        <v>40</v>
      </c>
      <c r="Z961" s="1" t="n">
        <v>2</v>
      </c>
      <c r="AA961" s="1" t="str">
        <f aca="false">TRIM(PROPER(F961))</f>
        <v>Gurugram</v>
      </c>
      <c r="AB961" s="1" t="str">
        <f aca="false">TRIM(PROPER(C961))</f>
        <v>Vedantu</v>
      </c>
      <c r="AC961" s="1" t="str">
        <f aca="false">IF(O961=0,"No Discount",IF(O961&lt;=15,"Low (1-15%)",IF(O961&lt;=30,"Medium (16-30%)","High (&gt;30%)")))</f>
        <v>No Discount</v>
      </c>
      <c r="AD961" s="1" t="str">
        <f aca="false">IF(V961&lt;0,"Loss Making",IF(V961&lt;20,"Low Margin","Healthy Margin"))</f>
        <v>Healthy Margin</v>
      </c>
      <c r="AE961" s="1" t="str">
        <f aca="false">TEXT(DATE(VALUE(RIGHT(B961,4)),VALUE(MID(B961,4,2)),VALUE(LEFT(B961,2))),"MMM-YYYY")</f>
        <v>Sep-2023</v>
      </c>
      <c r="AF961" s="1" t="n">
        <f aca="false">VALUE(RIGHT(B961,4))</f>
        <v>2023</v>
      </c>
      <c r="AG961" s="1" t="str">
        <f aca="false">CHOOSE(ROUNDUP(VALUE(MID(B961,4,2))/3,0),"Q1","Q2","Q3","Q4")</f>
        <v>Q3</v>
      </c>
    </row>
    <row r="962" customFormat="false" ht="15" hidden="false" customHeight="true" outlineLevel="0" collapsed="false">
      <c r="A962" s="1" t="s">
        <v>1676</v>
      </c>
      <c r="B962" s="1" t="s">
        <v>251</v>
      </c>
      <c r="C962" s="1" t="s">
        <v>28</v>
      </c>
      <c r="D962" s="1" t="s">
        <v>29</v>
      </c>
      <c r="E962" s="1" t="s">
        <v>30</v>
      </c>
      <c r="F962" s="1" t="s">
        <v>187</v>
      </c>
      <c r="G962" s="1" t="s">
        <v>97</v>
      </c>
      <c r="H962" s="1" t="s">
        <v>69</v>
      </c>
      <c r="I962" s="1" t="s">
        <v>34</v>
      </c>
      <c r="J962" s="1" t="s">
        <v>59</v>
      </c>
      <c r="K962" s="1" t="s">
        <v>112</v>
      </c>
      <c r="L962" s="1" t="s">
        <v>136</v>
      </c>
      <c r="M962" s="1" t="s">
        <v>50</v>
      </c>
      <c r="N962" s="1" t="n">
        <v>7999</v>
      </c>
      <c r="O962" s="1" t="n">
        <v>5</v>
      </c>
      <c r="P962" s="1" t="n">
        <v>399.95</v>
      </c>
      <c r="Q962" s="1" t="n">
        <v>7599.05</v>
      </c>
      <c r="R962" s="1" t="n">
        <v>1367.83</v>
      </c>
      <c r="S962" s="1" t="n">
        <v>6231.22</v>
      </c>
      <c r="T962" s="1" t="n">
        <v>2765.58</v>
      </c>
      <c r="U962" s="1" t="n">
        <v>3465.64</v>
      </c>
      <c r="V962" s="1" t="n">
        <v>55.62</v>
      </c>
      <c r="W962" s="1" t="s">
        <v>40</v>
      </c>
      <c r="Y962" s="1" t="s">
        <v>40</v>
      </c>
      <c r="Z962" s="1" t="n">
        <v>1</v>
      </c>
      <c r="AA962" s="1" t="str">
        <f aca="false">TRIM(PROPER(F962))</f>
        <v>Mumbai</v>
      </c>
      <c r="AB962" s="1" t="str">
        <f aca="false">TRIM(PROPER(C962))</f>
        <v>Embibe</v>
      </c>
      <c r="AC962" s="1" t="str">
        <f aca="false">IF(O962=0,"No Discount",IF(O962&lt;=15,"Low (1-15%)",IF(O962&lt;=30,"Medium (16-30%)","High (&gt;30%)")))</f>
        <v>Low (1-15%)</v>
      </c>
      <c r="AD962" s="1" t="str">
        <f aca="false">IF(V962&lt;0,"Loss Making",IF(V962&lt;20,"Low Margin","Healthy Margin"))</f>
        <v>Healthy Margin</v>
      </c>
      <c r="AE962" s="1" t="str">
        <f aca="false">TEXT(DATE(VALUE(RIGHT(B962,4)),VALUE(MID(B962,4,2)),VALUE(LEFT(B962,2))),"MMM-YYYY")</f>
        <v>Apr-2023</v>
      </c>
      <c r="AF962" s="1" t="n">
        <f aca="false">VALUE(RIGHT(B962,4))</f>
        <v>2023</v>
      </c>
      <c r="AG962" s="1" t="str">
        <f aca="false">CHOOSE(ROUNDUP(VALUE(MID(B962,4,2))/3,0),"Q1","Q2","Q3","Q4")</f>
        <v>Q2</v>
      </c>
    </row>
    <row r="963" customFormat="false" ht="15" hidden="false" customHeight="true" outlineLevel="0" collapsed="false">
      <c r="A963" s="1" t="s">
        <v>1677</v>
      </c>
      <c r="B963" s="1" t="s">
        <v>1678</v>
      </c>
      <c r="C963" s="1" t="s">
        <v>28</v>
      </c>
      <c r="D963" s="1" t="s">
        <v>53</v>
      </c>
      <c r="E963" s="1" t="s">
        <v>54</v>
      </c>
      <c r="F963" s="1" t="s">
        <v>96</v>
      </c>
      <c r="G963" s="1" t="s">
        <v>97</v>
      </c>
      <c r="H963" s="1" t="s">
        <v>69</v>
      </c>
      <c r="I963" s="1" t="s">
        <v>83</v>
      </c>
      <c r="J963" s="1" t="s">
        <v>70</v>
      </c>
      <c r="K963" s="1" t="s">
        <v>36</v>
      </c>
      <c r="L963" s="1" t="s">
        <v>61</v>
      </c>
      <c r="M963" s="1" t="s">
        <v>50</v>
      </c>
      <c r="N963" s="1" t="n">
        <v>11999</v>
      </c>
      <c r="O963" s="1" t="n">
        <v>50</v>
      </c>
      <c r="P963" s="1" t="n">
        <v>5999.5</v>
      </c>
      <c r="Q963" s="1" t="n">
        <v>5999.5</v>
      </c>
      <c r="R963" s="1" t="n">
        <v>1079.91</v>
      </c>
      <c r="S963" s="1" t="n">
        <v>4919.59</v>
      </c>
      <c r="T963" s="1" t="n">
        <v>2379.39</v>
      </c>
      <c r="U963" s="1" t="n">
        <v>2540.2</v>
      </c>
      <c r="V963" s="1" t="n">
        <v>51.63</v>
      </c>
      <c r="W963" s="1" t="s">
        <v>39</v>
      </c>
      <c r="X963" s="1" t="n">
        <v>3.7</v>
      </c>
      <c r="Y963" s="1" t="s">
        <v>40</v>
      </c>
      <c r="Z963" s="1" t="n">
        <v>1</v>
      </c>
      <c r="AA963" s="1" t="str">
        <f aca="false">TRIM(PROPER(F963))</f>
        <v>Pune</v>
      </c>
      <c r="AB963" s="1" t="str">
        <f aca="false">TRIM(PROPER(C963))</f>
        <v>Embibe</v>
      </c>
      <c r="AC963" s="1" t="str">
        <f aca="false">IF(O963=0,"No Discount",IF(O963&lt;=15,"Low (1-15%)",IF(O963&lt;=30,"Medium (16-30%)","High (&gt;30%)")))</f>
        <v>High (&gt;30%)</v>
      </c>
      <c r="AD963" s="1" t="str">
        <f aca="false">IF(V963&lt;0,"Loss Making",IF(V963&lt;20,"Low Margin","Healthy Margin"))</f>
        <v>Healthy Margin</v>
      </c>
      <c r="AE963" s="1" t="str">
        <f aca="false">TEXT(DATE(VALUE(RIGHT(B963,4)),VALUE(MID(B963,4,2)),VALUE(LEFT(B963,2))),"MMM-YYYY")</f>
        <v>Sep-2024</v>
      </c>
      <c r="AF963" s="1" t="n">
        <f aca="false">VALUE(RIGHT(B963,4))</f>
        <v>2024</v>
      </c>
      <c r="AG963" s="1" t="str">
        <f aca="false">CHOOSE(ROUNDUP(VALUE(MID(B963,4,2))/3,0),"Q1","Q2","Q3","Q4")</f>
        <v>Q3</v>
      </c>
    </row>
    <row r="964" customFormat="false" ht="15" hidden="false" customHeight="true" outlineLevel="0" collapsed="false">
      <c r="A964" s="1" t="s">
        <v>1679</v>
      </c>
      <c r="B964" s="1" t="s">
        <v>239</v>
      </c>
      <c r="C964" s="1" t="s">
        <v>119</v>
      </c>
      <c r="D964" s="1" t="s">
        <v>44</v>
      </c>
      <c r="E964" s="1" t="s">
        <v>221</v>
      </c>
      <c r="F964" s="1" t="s">
        <v>153</v>
      </c>
      <c r="G964" s="1" t="s">
        <v>76</v>
      </c>
      <c r="H964" s="1" t="s">
        <v>33</v>
      </c>
      <c r="I964" s="1" t="s">
        <v>34</v>
      </c>
      <c r="J964" s="1" t="s">
        <v>131</v>
      </c>
      <c r="K964" s="1" t="s">
        <v>84</v>
      </c>
      <c r="L964" s="1" t="s">
        <v>85</v>
      </c>
      <c r="M964" s="1" t="s">
        <v>38</v>
      </c>
      <c r="N964" s="1" t="n">
        <v>16999</v>
      </c>
      <c r="O964" s="1" t="n">
        <v>40</v>
      </c>
      <c r="P964" s="1" t="n">
        <v>6799.6</v>
      </c>
      <c r="Q964" s="1" t="n">
        <v>10199.4</v>
      </c>
      <c r="R964" s="1" t="n">
        <v>1835.89</v>
      </c>
      <c r="S964" s="1" t="n">
        <v>8363.51</v>
      </c>
      <c r="T964" s="1" t="n">
        <v>4491.66</v>
      </c>
      <c r="U964" s="1" t="n">
        <v>3871.85</v>
      </c>
      <c r="V964" s="1" t="n">
        <v>46.29</v>
      </c>
      <c r="W964" s="1" t="s">
        <v>39</v>
      </c>
      <c r="X964" s="1" t="n">
        <v>4.1</v>
      </c>
      <c r="Y964" s="1" t="s">
        <v>40</v>
      </c>
      <c r="Z964" s="1" t="n">
        <v>0</v>
      </c>
      <c r="AA964" s="1" t="str">
        <f aca="false">TRIM(PROPER(F964))</f>
        <v>Howrah</v>
      </c>
      <c r="AB964" s="1" t="str">
        <f aca="false">TRIM(PROPER(C964))</f>
        <v>Simplilearn</v>
      </c>
      <c r="AC964" s="1" t="str">
        <f aca="false">IF(O964=0,"No Discount",IF(O964&lt;=15,"Low (1-15%)",IF(O964&lt;=30,"Medium (16-30%)","High (&gt;30%)")))</f>
        <v>High (&gt;30%)</v>
      </c>
      <c r="AD964" s="1" t="str">
        <f aca="false">IF(V964&lt;0,"Loss Making",IF(V964&lt;20,"Low Margin","Healthy Margin"))</f>
        <v>Healthy Margin</v>
      </c>
      <c r="AE964" s="1" t="str">
        <f aca="false">TEXT(DATE(VALUE(RIGHT(B964,4)),VALUE(MID(B964,4,2)),VALUE(LEFT(B964,2))),"MMM-YYYY")</f>
        <v>Oct-2024</v>
      </c>
      <c r="AF964" s="1" t="n">
        <f aca="false">VALUE(RIGHT(B964,4))</f>
        <v>2024</v>
      </c>
      <c r="AG964" s="1" t="str">
        <f aca="false">CHOOSE(ROUNDUP(VALUE(MID(B964,4,2))/3,0),"Q1","Q2","Q3","Q4")</f>
        <v>Q4</v>
      </c>
    </row>
    <row r="965" customFormat="false" ht="15" hidden="false" customHeight="true" outlineLevel="0" collapsed="false">
      <c r="A965" s="1" t="s">
        <v>1680</v>
      </c>
      <c r="B965" s="1" t="s">
        <v>196</v>
      </c>
      <c r="C965" s="1" t="s">
        <v>264</v>
      </c>
      <c r="D965" s="1" t="s">
        <v>143</v>
      </c>
      <c r="E965" s="1" t="s">
        <v>159</v>
      </c>
      <c r="F965" s="1" t="s">
        <v>130</v>
      </c>
      <c r="G965" s="1" t="s">
        <v>47</v>
      </c>
      <c r="H965" s="1" t="s">
        <v>69</v>
      </c>
      <c r="I965" s="1" t="s">
        <v>58</v>
      </c>
      <c r="J965" s="1" t="s">
        <v>35</v>
      </c>
      <c r="K965" s="1" t="s">
        <v>84</v>
      </c>
      <c r="L965" s="1" t="s">
        <v>61</v>
      </c>
      <c r="M965" s="1" t="s">
        <v>38</v>
      </c>
      <c r="N965" s="1" t="n">
        <v>24999</v>
      </c>
      <c r="O965" s="1" t="n">
        <v>10</v>
      </c>
      <c r="P965" s="1" t="n">
        <v>2499.9</v>
      </c>
      <c r="Q965" s="1" t="n">
        <v>22499.1</v>
      </c>
      <c r="R965" s="1" t="n">
        <v>4049.84</v>
      </c>
      <c r="S965" s="1" t="n">
        <v>18449.26</v>
      </c>
      <c r="T965" s="1" t="n">
        <v>8272.74</v>
      </c>
      <c r="U965" s="1" t="n">
        <v>10176.52</v>
      </c>
      <c r="V965" s="1" t="n">
        <v>55.16</v>
      </c>
      <c r="W965" s="1" t="s">
        <v>39</v>
      </c>
      <c r="X965" s="1" t="n">
        <v>5</v>
      </c>
      <c r="Y965" s="1" t="s">
        <v>40</v>
      </c>
      <c r="Z965" s="1" t="n">
        <v>0</v>
      </c>
      <c r="AA965" s="1" t="str">
        <f aca="false">TRIM(PROPER(F965))</f>
        <v>Bengaluru</v>
      </c>
      <c r="AB965" s="1" t="str">
        <f aca="false">TRIM(PROPER(C965))</f>
        <v>Unacademy</v>
      </c>
      <c r="AC965" s="1" t="str">
        <f aca="false">IF(O965=0,"No Discount",IF(O965&lt;=15,"Low (1-15%)",IF(O965&lt;=30,"Medium (16-30%)","High (&gt;30%)")))</f>
        <v>Low (1-15%)</v>
      </c>
      <c r="AD965" s="1" t="str">
        <f aca="false">IF(V965&lt;0,"Loss Making",IF(V965&lt;20,"Low Margin","Healthy Margin"))</f>
        <v>Healthy Margin</v>
      </c>
      <c r="AE965" s="1" t="str">
        <f aca="false">TEXT(DATE(VALUE(RIGHT(B965,4)),VALUE(MID(B965,4,2)),VALUE(LEFT(B965,2))),"MMM-YYYY")</f>
        <v>Mar-2024</v>
      </c>
      <c r="AF965" s="1" t="n">
        <f aca="false">VALUE(RIGHT(B965,4))</f>
        <v>2024</v>
      </c>
      <c r="AG965" s="1" t="str">
        <f aca="false">CHOOSE(ROUNDUP(VALUE(MID(B965,4,2))/3,0),"Q1","Q2","Q3","Q4")</f>
        <v>Q1</v>
      </c>
    </row>
    <row r="966" customFormat="false" ht="15" hidden="false" customHeight="true" outlineLevel="0" collapsed="false">
      <c r="A966" s="1" t="s">
        <v>1681</v>
      </c>
      <c r="B966" s="1" t="s">
        <v>965</v>
      </c>
      <c r="C966" s="1" t="s">
        <v>100</v>
      </c>
      <c r="D966" s="1" t="s">
        <v>53</v>
      </c>
      <c r="E966" s="1" t="s">
        <v>216</v>
      </c>
      <c r="F966" s="1" t="s">
        <v>269</v>
      </c>
      <c r="G966" s="1" t="s">
        <v>108</v>
      </c>
      <c r="H966" s="1" t="s">
        <v>57</v>
      </c>
      <c r="I966" s="1" t="s">
        <v>83</v>
      </c>
      <c r="J966" s="1" t="s">
        <v>70</v>
      </c>
      <c r="K966" s="1" t="s">
        <v>112</v>
      </c>
      <c r="L966" s="1" t="s">
        <v>37</v>
      </c>
      <c r="M966" s="1" t="s">
        <v>62</v>
      </c>
      <c r="N966" s="1" t="n">
        <v>7499</v>
      </c>
      <c r="O966" s="1" t="n">
        <v>10</v>
      </c>
      <c r="P966" s="1" t="n">
        <v>749.9</v>
      </c>
      <c r="Q966" s="1" t="n">
        <v>6749.1</v>
      </c>
      <c r="R966" s="1" t="n">
        <v>1214.84</v>
      </c>
      <c r="S966" s="1" t="n">
        <v>5534.26</v>
      </c>
      <c r="T966" s="1" t="n">
        <v>2150.82</v>
      </c>
      <c r="U966" s="1" t="n">
        <v>3383.44</v>
      </c>
      <c r="V966" s="1" t="n">
        <v>61.14</v>
      </c>
      <c r="W966" s="1" t="s">
        <v>39</v>
      </c>
      <c r="X966" s="1" t="n">
        <v>4.1</v>
      </c>
      <c r="Y966" s="1" t="s">
        <v>40</v>
      </c>
      <c r="Z966" s="1" t="n">
        <v>0</v>
      </c>
      <c r="AA966" s="1" t="str">
        <f aca="false">TRIM(PROPER(F966))</f>
        <v>Coimbatore</v>
      </c>
      <c r="AB966" s="1" t="str">
        <f aca="false">TRIM(PROPER(C966))</f>
        <v>Physics Wallah</v>
      </c>
      <c r="AC966" s="1" t="str">
        <f aca="false">IF(O966=0,"No Discount",IF(O966&lt;=15,"Low (1-15%)",IF(O966&lt;=30,"Medium (16-30%)","High (&gt;30%)")))</f>
        <v>Low (1-15%)</v>
      </c>
      <c r="AD966" s="1" t="str">
        <f aca="false">IF(V966&lt;0,"Loss Making",IF(V966&lt;20,"Low Margin","Healthy Margin"))</f>
        <v>Healthy Margin</v>
      </c>
      <c r="AE966" s="1" t="str">
        <f aca="false">TEXT(DATE(VALUE(RIGHT(B966,4)),VALUE(MID(B966,4,2)),VALUE(LEFT(B966,2))),"MMM-YYYY")</f>
        <v>Jan-2023</v>
      </c>
      <c r="AF966" s="1" t="n">
        <f aca="false">VALUE(RIGHT(B966,4))</f>
        <v>2023</v>
      </c>
      <c r="AG966" s="1" t="str">
        <f aca="false">CHOOSE(ROUNDUP(VALUE(MID(B966,4,2))/3,0),"Q1","Q2","Q3","Q4")</f>
        <v>Q1</v>
      </c>
    </row>
    <row r="967" customFormat="false" ht="15" hidden="false" customHeight="true" outlineLevel="0" collapsed="false">
      <c r="A967" s="1" t="s">
        <v>1682</v>
      </c>
      <c r="B967" s="1" t="s">
        <v>1683</v>
      </c>
      <c r="C967" s="1" t="s">
        <v>249</v>
      </c>
      <c r="D967" s="1" t="s">
        <v>168</v>
      </c>
      <c r="E967" s="1" t="s">
        <v>172</v>
      </c>
      <c r="F967" s="1" t="s">
        <v>46</v>
      </c>
      <c r="G967" s="1" t="s">
        <v>47</v>
      </c>
      <c r="H967" s="1" t="s">
        <v>33</v>
      </c>
      <c r="I967" s="1" t="s">
        <v>83</v>
      </c>
      <c r="J967" s="1" t="s">
        <v>70</v>
      </c>
      <c r="K967" s="1" t="s">
        <v>112</v>
      </c>
      <c r="L967" s="1" t="s">
        <v>61</v>
      </c>
      <c r="M967" s="1" t="s">
        <v>62</v>
      </c>
      <c r="N967" s="1" t="n">
        <v>6999</v>
      </c>
      <c r="O967" s="1" t="n">
        <v>0</v>
      </c>
      <c r="P967" s="1" t="n">
        <v>0</v>
      </c>
      <c r="Q967" s="1" t="n">
        <v>6999</v>
      </c>
      <c r="R967" s="1" t="n">
        <v>1259.82</v>
      </c>
      <c r="S967" s="1" t="n">
        <v>5739.18</v>
      </c>
      <c r="T967" s="1" t="n">
        <v>2451.17</v>
      </c>
      <c r="U967" s="1" t="n">
        <v>3288.01</v>
      </c>
      <c r="V967" s="1" t="n">
        <v>57.29</v>
      </c>
      <c r="W967" s="1" t="s">
        <v>39</v>
      </c>
      <c r="X967" s="1" t="n">
        <v>3.5</v>
      </c>
      <c r="Y967" s="1" t="s">
        <v>40</v>
      </c>
      <c r="Z967" s="1" t="n">
        <v>0</v>
      </c>
      <c r="AA967" s="1" t="str">
        <f aca="false">TRIM(PROPER(F967))</f>
        <v>Mangaluru</v>
      </c>
      <c r="AB967" s="1" t="str">
        <f aca="false">TRIM(PROPER(C967))</f>
        <v>Whitehat Jr</v>
      </c>
      <c r="AC967" s="1" t="str">
        <f aca="false">IF(O967=0,"No Discount",IF(O967&lt;=15,"Low (1-15%)",IF(O967&lt;=30,"Medium (16-30%)","High (&gt;30%)")))</f>
        <v>No Discount</v>
      </c>
      <c r="AD967" s="1" t="str">
        <f aca="false">IF(V967&lt;0,"Loss Making",IF(V967&lt;20,"Low Margin","Healthy Margin"))</f>
        <v>Healthy Margin</v>
      </c>
      <c r="AE967" s="1" t="str">
        <f aca="false">TEXT(DATE(VALUE(RIGHT(B967,4)),VALUE(MID(B967,4,2)),VALUE(LEFT(B967,2))),"MMM-YYYY")</f>
        <v>Apr-2024</v>
      </c>
      <c r="AF967" s="1" t="n">
        <f aca="false">VALUE(RIGHT(B967,4))</f>
        <v>2024</v>
      </c>
      <c r="AG967" s="1" t="str">
        <f aca="false">CHOOSE(ROUNDUP(VALUE(MID(B967,4,2))/3,0),"Q1","Q2","Q3","Q4")</f>
        <v>Q2</v>
      </c>
    </row>
    <row r="968" customFormat="false" ht="15" hidden="false" customHeight="true" outlineLevel="0" collapsed="false">
      <c r="A968" s="1" t="s">
        <v>1684</v>
      </c>
      <c r="B968" s="1" t="s">
        <v>1034</v>
      </c>
      <c r="C968" s="1" t="s">
        <v>249</v>
      </c>
      <c r="D968" s="1" t="s">
        <v>53</v>
      </c>
      <c r="E968" s="1" t="s">
        <v>116</v>
      </c>
      <c r="F968" s="1" t="s">
        <v>150</v>
      </c>
      <c r="G968" s="1" t="s">
        <v>32</v>
      </c>
      <c r="H968" s="1" t="s">
        <v>57</v>
      </c>
      <c r="I968" s="1" t="s">
        <v>58</v>
      </c>
      <c r="J968" s="1" t="s">
        <v>59</v>
      </c>
      <c r="K968" s="1" t="s">
        <v>104</v>
      </c>
      <c r="L968" s="1" t="s">
        <v>37</v>
      </c>
      <c r="M968" s="1" t="s">
        <v>38</v>
      </c>
      <c r="N968" s="1" t="n">
        <v>9999</v>
      </c>
      <c r="O968" s="1" t="n">
        <v>5</v>
      </c>
      <c r="P968" s="1" t="n">
        <v>499.95</v>
      </c>
      <c r="Q968" s="1" t="n">
        <v>9499.05</v>
      </c>
      <c r="R968" s="1" t="n">
        <v>1709.83</v>
      </c>
      <c r="S968" s="1" t="n">
        <v>7789.22</v>
      </c>
      <c r="T968" s="1" t="n">
        <v>2767.33</v>
      </c>
      <c r="U968" s="1" t="n">
        <v>5021.89</v>
      </c>
      <c r="V968" s="1" t="n">
        <v>64.47</v>
      </c>
      <c r="W968" s="1" t="s">
        <v>39</v>
      </c>
      <c r="X968" s="1" t="n">
        <v>3.6</v>
      </c>
      <c r="Y968" s="1" t="s">
        <v>40</v>
      </c>
      <c r="Z968" s="1" t="n">
        <v>0</v>
      </c>
      <c r="AA968" s="1" t="str">
        <f aca="false">TRIM(PROPER(F968))</f>
        <v>Jaipur</v>
      </c>
      <c r="AB968" s="1" t="str">
        <f aca="false">TRIM(PROPER(C968))</f>
        <v>Whitehat Jr</v>
      </c>
      <c r="AC968" s="1" t="str">
        <f aca="false">IF(O968=0,"No Discount",IF(O968&lt;=15,"Low (1-15%)",IF(O968&lt;=30,"Medium (16-30%)","High (&gt;30%)")))</f>
        <v>Low (1-15%)</v>
      </c>
      <c r="AD968" s="1" t="str">
        <f aca="false">IF(V968&lt;0,"Loss Making",IF(V968&lt;20,"Low Margin","Healthy Margin"))</f>
        <v>Healthy Margin</v>
      </c>
      <c r="AE968" s="1" t="str">
        <f aca="false">TEXT(DATE(VALUE(RIGHT(B968,4)),VALUE(MID(B968,4,2)),VALUE(LEFT(B968,2))),"MMM-YYYY")</f>
        <v>Dec-2024</v>
      </c>
      <c r="AF968" s="1" t="n">
        <f aca="false">VALUE(RIGHT(B968,4))</f>
        <v>2024</v>
      </c>
      <c r="AG968" s="1" t="str">
        <f aca="false">CHOOSE(ROUNDUP(VALUE(MID(B968,4,2))/3,0),"Q1","Q2","Q3","Q4")</f>
        <v>Q4</v>
      </c>
    </row>
    <row r="969" customFormat="false" ht="15" hidden="false" customHeight="true" outlineLevel="0" collapsed="false">
      <c r="A969" s="1" t="s">
        <v>1685</v>
      </c>
      <c r="B969" s="1" t="s">
        <v>1686</v>
      </c>
      <c r="C969" s="1" t="s">
        <v>264</v>
      </c>
      <c r="D969" s="1" t="s">
        <v>29</v>
      </c>
      <c r="E969" s="1" t="s">
        <v>30</v>
      </c>
      <c r="F969" s="1" t="s">
        <v>82</v>
      </c>
      <c r="G969" s="1" t="s">
        <v>56</v>
      </c>
      <c r="H969" s="1" t="s">
        <v>69</v>
      </c>
      <c r="I969" s="1" t="s">
        <v>83</v>
      </c>
      <c r="J969" s="1" t="s">
        <v>59</v>
      </c>
      <c r="K969" s="1" t="s">
        <v>84</v>
      </c>
      <c r="L969" s="1" t="s">
        <v>85</v>
      </c>
      <c r="M969" s="1" t="s">
        <v>50</v>
      </c>
      <c r="N969" s="1" t="n">
        <v>7999</v>
      </c>
      <c r="O969" s="1" t="n">
        <v>0</v>
      </c>
      <c r="P969" s="1" t="n">
        <v>0</v>
      </c>
      <c r="Q969" s="1" t="n">
        <v>7999</v>
      </c>
      <c r="R969" s="1" t="n">
        <v>1439.82</v>
      </c>
      <c r="S969" s="1" t="n">
        <v>6559.18</v>
      </c>
      <c r="T969" s="1" t="n">
        <v>2410.35</v>
      </c>
      <c r="U969" s="1" t="n">
        <v>4148.83</v>
      </c>
      <c r="V969" s="1" t="n">
        <v>63.25</v>
      </c>
      <c r="W969" s="1" t="s">
        <v>39</v>
      </c>
      <c r="Y969" s="1" t="s">
        <v>40</v>
      </c>
      <c r="Z969" s="1" t="n">
        <v>2</v>
      </c>
      <c r="AA969" s="1" t="str">
        <f aca="false">TRIM(PROPER(F969))</f>
        <v>Gurugram</v>
      </c>
      <c r="AB969" s="1" t="str">
        <f aca="false">TRIM(PROPER(C969))</f>
        <v>Unacademy</v>
      </c>
      <c r="AC969" s="1" t="str">
        <f aca="false">IF(O969=0,"No Discount",IF(O969&lt;=15,"Low (1-15%)",IF(O969&lt;=30,"Medium (16-30%)","High (&gt;30%)")))</f>
        <v>No Discount</v>
      </c>
      <c r="AD969" s="1" t="str">
        <f aca="false">IF(V969&lt;0,"Loss Making",IF(V969&lt;20,"Low Margin","Healthy Margin"))</f>
        <v>Healthy Margin</v>
      </c>
      <c r="AE969" s="1" t="str">
        <f aca="false">TEXT(DATE(VALUE(RIGHT(B969,4)),VALUE(MID(B969,4,2)),VALUE(LEFT(B969,2))),"MMM-YYYY")</f>
        <v>Aug-2023</v>
      </c>
      <c r="AF969" s="1" t="n">
        <f aca="false">VALUE(RIGHT(B969,4))</f>
        <v>2023</v>
      </c>
      <c r="AG969" s="1" t="str">
        <f aca="false">CHOOSE(ROUNDUP(VALUE(MID(B969,4,2))/3,0),"Q1","Q2","Q3","Q4")</f>
        <v>Q3</v>
      </c>
    </row>
    <row r="970" customFormat="false" ht="15" hidden="false" customHeight="true" outlineLevel="0" collapsed="false">
      <c r="A970" s="1" t="s">
        <v>1687</v>
      </c>
      <c r="B970" s="1" t="s">
        <v>1688</v>
      </c>
      <c r="C970" s="1" t="s">
        <v>65</v>
      </c>
      <c r="D970" s="1" t="s">
        <v>143</v>
      </c>
      <c r="E970" s="1" t="s">
        <v>159</v>
      </c>
      <c r="F970" s="1" t="s">
        <v>96</v>
      </c>
      <c r="G970" s="1" t="s">
        <v>97</v>
      </c>
      <c r="H970" s="1" t="s">
        <v>69</v>
      </c>
      <c r="I970" s="1" t="s">
        <v>83</v>
      </c>
      <c r="J970" s="1" t="s">
        <v>70</v>
      </c>
      <c r="K970" s="1" t="s">
        <v>60</v>
      </c>
      <c r="L970" s="1" t="s">
        <v>37</v>
      </c>
      <c r="M970" s="1" t="s">
        <v>62</v>
      </c>
      <c r="N970" s="1" t="n">
        <v>24999</v>
      </c>
      <c r="O970" s="1" t="n">
        <v>0</v>
      </c>
      <c r="P970" s="1" t="n">
        <v>0</v>
      </c>
      <c r="Q970" s="1" t="n">
        <v>24999</v>
      </c>
      <c r="R970" s="1" t="n">
        <v>4499.82</v>
      </c>
      <c r="S970" s="1" t="n">
        <v>20499.18</v>
      </c>
      <c r="T970" s="1" t="n">
        <v>8013.76</v>
      </c>
      <c r="U970" s="1" t="n">
        <v>12485.42</v>
      </c>
      <c r="V970" s="1" t="n">
        <v>60.91</v>
      </c>
      <c r="W970" s="1" t="s">
        <v>39</v>
      </c>
      <c r="X970" s="1" t="n">
        <v>3.1</v>
      </c>
      <c r="Y970" s="1" t="s">
        <v>40</v>
      </c>
      <c r="Z970" s="1" t="n">
        <v>0</v>
      </c>
      <c r="AA970" s="1" t="str">
        <f aca="false">TRIM(PROPER(F970))</f>
        <v>Pune</v>
      </c>
      <c r="AB970" s="1" t="str">
        <f aca="false">TRIM(PROPER(C970))</f>
        <v>Toppr</v>
      </c>
      <c r="AC970" s="1" t="str">
        <f aca="false">IF(O970=0,"No Discount",IF(O970&lt;=15,"Low (1-15%)",IF(O970&lt;=30,"Medium (16-30%)","High (&gt;30%)")))</f>
        <v>No Discount</v>
      </c>
      <c r="AD970" s="1" t="str">
        <f aca="false">IF(V970&lt;0,"Loss Making",IF(V970&lt;20,"Low Margin","Healthy Margin"))</f>
        <v>Healthy Margin</v>
      </c>
      <c r="AE970" s="1" t="str">
        <f aca="false">TEXT(DATE(VALUE(RIGHT(B970,4)),VALUE(MID(B970,4,2)),VALUE(LEFT(B970,2))),"MMM-YYYY")</f>
        <v>Mar-2024</v>
      </c>
      <c r="AF970" s="1" t="n">
        <f aca="false">VALUE(RIGHT(B970,4))</f>
        <v>2024</v>
      </c>
      <c r="AG970" s="1" t="str">
        <f aca="false">CHOOSE(ROUNDUP(VALUE(MID(B970,4,2))/3,0),"Q1","Q2","Q3","Q4")</f>
        <v>Q1</v>
      </c>
    </row>
    <row r="971" customFormat="false" ht="15" hidden="false" customHeight="true" outlineLevel="0" collapsed="false">
      <c r="A971" s="1" t="s">
        <v>1689</v>
      </c>
      <c r="B971" s="1" t="s">
        <v>703</v>
      </c>
      <c r="C971" s="1" t="s">
        <v>167</v>
      </c>
      <c r="D971" s="1" t="s">
        <v>94</v>
      </c>
      <c r="E971" s="1" t="s">
        <v>95</v>
      </c>
      <c r="F971" s="1" t="s">
        <v>184</v>
      </c>
      <c r="G971" s="1" t="s">
        <v>56</v>
      </c>
      <c r="H971" s="1" t="s">
        <v>57</v>
      </c>
      <c r="I971" s="1" t="s">
        <v>34</v>
      </c>
      <c r="J971" s="1" t="s">
        <v>59</v>
      </c>
      <c r="K971" s="1" t="s">
        <v>36</v>
      </c>
      <c r="L971" s="1" t="s">
        <v>37</v>
      </c>
      <c r="M971" s="1" t="s">
        <v>50</v>
      </c>
      <c r="N971" s="1" t="n">
        <v>6999</v>
      </c>
      <c r="O971" s="1" t="n">
        <v>0</v>
      </c>
      <c r="P971" s="1" t="n">
        <v>0</v>
      </c>
      <c r="Q971" s="1" t="n">
        <v>6999</v>
      </c>
      <c r="R971" s="1" t="n">
        <v>1259.82</v>
      </c>
      <c r="S971" s="1" t="n">
        <v>5739.18</v>
      </c>
      <c r="T971" s="1" t="n">
        <v>2844.76</v>
      </c>
      <c r="U971" s="1" t="n">
        <v>2894.42</v>
      </c>
      <c r="V971" s="1" t="n">
        <v>50.43</v>
      </c>
      <c r="W971" s="1" t="s">
        <v>39</v>
      </c>
      <c r="X971" s="1" t="n">
        <v>3.9</v>
      </c>
      <c r="Y971" s="1" t="s">
        <v>40</v>
      </c>
      <c r="Z971" s="1" t="n">
        <v>0</v>
      </c>
      <c r="AA971" s="1" t="str">
        <f aca="false">TRIM(PROPER(F971))</f>
        <v>Faridabad</v>
      </c>
      <c r="AB971" s="1" t="str">
        <f aca="false">TRIM(PROPER(C971))</f>
        <v>Scaler</v>
      </c>
      <c r="AC971" s="1" t="str">
        <f aca="false">IF(O971=0,"No Discount",IF(O971&lt;=15,"Low (1-15%)",IF(O971&lt;=30,"Medium (16-30%)","High (&gt;30%)")))</f>
        <v>No Discount</v>
      </c>
      <c r="AD971" s="1" t="str">
        <f aca="false">IF(V971&lt;0,"Loss Making",IF(V971&lt;20,"Low Margin","Healthy Margin"))</f>
        <v>Healthy Margin</v>
      </c>
      <c r="AE971" s="1" t="str">
        <f aca="false">TEXT(DATE(VALUE(RIGHT(B971,4)),VALUE(MID(B971,4,2)),VALUE(LEFT(B971,2))),"MMM-YYYY")</f>
        <v>Jun-2024</v>
      </c>
      <c r="AF971" s="1" t="n">
        <f aca="false">VALUE(RIGHT(B971,4))</f>
        <v>2024</v>
      </c>
      <c r="AG971" s="1" t="str">
        <f aca="false">CHOOSE(ROUNDUP(VALUE(MID(B971,4,2))/3,0),"Q1","Q2","Q3","Q4")</f>
        <v>Q2</v>
      </c>
    </row>
    <row r="972" customFormat="false" ht="15" hidden="false" customHeight="true" outlineLevel="0" collapsed="false">
      <c r="A972" s="1" t="s">
        <v>1690</v>
      </c>
      <c r="B972" s="1" t="s">
        <v>1691</v>
      </c>
      <c r="C972" s="1" t="s">
        <v>43</v>
      </c>
      <c r="D972" s="1" t="s">
        <v>143</v>
      </c>
      <c r="E972" s="1" t="s">
        <v>159</v>
      </c>
      <c r="F972" s="1" t="s">
        <v>269</v>
      </c>
      <c r="G972" s="1" t="s">
        <v>108</v>
      </c>
      <c r="H972" s="1" t="s">
        <v>57</v>
      </c>
      <c r="I972" s="1" t="s">
        <v>34</v>
      </c>
      <c r="J972" s="1" t="s">
        <v>59</v>
      </c>
      <c r="K972" s="1" t="s">
        <v>48</v>
      </c>
      <c r="L972" s="1" t="s">
        <v>113</v>
      </c>
      <c r="M972" s="1" t="s">
        <v>50</v>
      </c>
      <c r="N972" s="1" t="n">
        <v>24999</v>
      </c>
      <c r="O972" s="1" t="n">
        <v>0</v>
      </c>
      <c r="P972" s="1" t="n">
        <v>0</v>
      </c>
      <c r="Q972" s="1" t="n">
        <v>24999</v>
      </c>
      <c r="R972" s="1" t="n">
        <v>4499.82</v>
      </c>
      <c r="S972" s="1" t="n">
        <v>20499.18</v>
      </c>
      <c r="T972" s="1" t="n">
        <v>9212.24</v>
      </c>
      <c r="U972" s="1" t="n">
        <v>11286.94</v>
      </c>
      <c r="V972" s="1" t="n">
        <v>55.06</v>
      </c>
      <c r="W972" s="1" t="s">
        <v>40</v>
      </c>
      <c r="Y972" s="1" t="s">
        <v>40</v>
      </c>
      <c r="Z972" s="1" t="n">
        <v>0</v>
      </c>
      <c r="AA972" s="1" t="str">
        <f aca="false">TRIM(PROPER(F972))</f>
        <v>Coimbatore</v>
      </c>
      <c r="AB972" s="1" t="str">
        <f aca="false">TRIM(PROPER(C972))</f>
        <v>Meritnation</v>
      </c>
      <c r="AC972" s="1" t="str">
        <f aca="false">IF(O972=0,"No Discount",IF(O972&lt;=15,"Low (1-15%)",IF(O972&lt;=30,"Medium (16-30%)","High (&gt;30%)")))</f>
        <v>No Discount</v>
      </c>
      <c r="AD972" s="1" t="str">
        <f aca="false">IF(V972&lt;0,"Loss Making",IF(V972&lt;20,"Low Margin","Healthy Margin"))</f>
        <v>Healthy Margin</v>
      </c>
      <c r="AE972" s="1" t="str">
        <f aca="false">TEXT(DATE(VALUE(RIGHT(B972,4)),VALUE(MID(B972,4,2)),VALUE(LEFT(B972,2))),"MMM-YYYY")</f>
        <v>Mar-2023</v>
      </c>
      <c r="AF972" s="1" t="n">
        <f aca="false">VALUE(RIGHT(B972,4))</f>
        <v>2023</v>
      </c>
      <c r="AG972" s="1" t="str">
        <f aca="false">CHOOSE(ROUNDUP(VALUE(MID(B972,4,2))/3,0),"Q1","Q2","Q3","Q4")</f>
        <v>Q1</v>
      </c>
    </row>
    <row r="973" customFormat="false" ht="15" hidden="false" customHeight="true" outlineLevel="0" collapsed="false">
      <c r="A973" s="1" t="s">
        <v>1692</v>
      </c>
      <c r="B973" s="1" t="s">
        <v>1659</v>
      </c>
      <c r="C973" s="1" t="s">
        <v>249</v>
      </c>
      <c r="D973" s="1" t="s">
        <v>94</v>
      </c>
      <c r="E973" s="1" t="s">
        <v>135</v>
      </c>
      <c r="F973" s="1" t="s">
        <v>107</v>
      </c>
      <c r="G973" s="1" t="s">
        <v>108</v>
      </c>
      <c r="H973" s="1" t="s">
        <v>33</v>
      </c>
      <c r="I973" s="1" t="s">
        <v>34</v>
      </c>
      <c r="J973" s="1" t="s">
        <v>131</v>
      </c>
      <c r="K973" s="1" t="s">
        <v>48</v>
      </c>
      <c r="L973" s="1" t="s">
        <v>136</v>
      </c>
      <c r="M973" s="1" t="s">
        <v>38</v>
      </c>
      <c r="N973" s="1" t="n">
        <v>9999</v>
      </c>
      <c r="O973" s="1" t="n">
        <v>50</v>
      </c>
      <c r="P973" s="1" t="n">
        <v>4999.5</v>
      </c>
      <c r="Q973" s="1" t="n">
        <v>4999.5</v>
      </c>
      <c r="R973" s="1" t="n">
        <v>899.91</v>
      </c>
      <c r="S973" s="1" t="n">
        <v>4099.59</v>
      </c>
      <c r="T973" s="1" t="n">
        <v>1988.81</v>
      </c>
      <c r="U973" s="1" t="n">
        <v>2110.78</v>
      </c>
      <c r="V973" s="1" t="n">
        <v>51.49</v>
      </c>
      <c r="W973" s="1" t="s">
        <v>40</v>
      </c>
      <c r="Y973" s="1" t="s">
        <v>40</v>
      </c>
      <c r="Z973" s="1" t="n">
        <v>0</v>
      </c>
      <c r="AA973" s="1" t="str">
        <f aca="false">TRIM(PROPER(F973))</f>
        <v>Madurai</v>
      </c>
      <c r="AB973" s="1" t="str">
        <f aca="false">TRIM(PROPER(C973))</f>
        <v>Whitehat Jr</v>
      </c>
      <c r="AC973" s="1" t="str">
        <f aca="false">IF(O973=0,"No Discount",IF(O973&lt;=15,"Low (1-15%)",IF(O973&lt;=30,"Medium (16-30%)","High (&gt;30%)")))</f>
        <v>High (&gt;30%)</v>
      </c>
      <c r="AD973" s="1" t="str">
        <f aca="false">IF(V973&lt;0,"Loss Making",IF(V973&lt;20,"Low Margin","Healthy Margin"))</f>
        <v>Healthy Margin</v>
      </c>
      <c r="AE973" s="1" t="str">
        <f aca="false">TEXT(DATE(VALUE(RIGHT(B973,4)),VALUE(MID(B973,4,2)),VALUE(LEFT(B973,2))),"MMM-YYYY")</f>
        <v>Sep-2023</v>
      </c>
      <c r="AF973" s="1" t="n">
        <f aca="false">VALUE(RIGHT(B973,4))</f>
        <v>2023</v>
      </c>
      <c r="AG973" s="1" t="str">
        <f aca="false">CHOOSE(ROUNDUP(VALUE(MID(B973,4,2))/3,0),"Q1","Q2","Q3","Q4")</f>
        <v>Q3</v>
      </c>
    </row>
    <row r="974" customFormat="false" ht="15" hidden="false" customHeight="true" outlineLevel="0" collapsed="false">
      <c r="A974" s="1" t="s">
        <v>1693</v>
      </c>
      <c r="B974" s="1" t="s">
        <v>537</v>
      </c>
      <c r="C974" s="1" t="s">
        <v>119</v>
      </c>
      <c r="D974" s="1" t="s">
        <v>168</v>
      </c>
      <c r="E974" s="1" t="s">
        <v>197</v>
      </c>
      <c r="F974" s="1" t="s">
        <v>102</v>
      </c>
      <c r="G974" s="1" t="s">
        <v>103</v>
      </c>
      <c r="H974" s="1" t="s">
        <v>33</v>
      </c>
      <c r="I974" s="1" t="s">
        <v>83</v>
      </c>
      <c r="J974" s="1" t="s">
        <v>59</v>
      </c>
      <c r="K974" s="1" t="s">
        <v>60</v>
      </c>
      <c r="L974" s="1" t="s">
        <v>61</v>
      </c>
      <c r="M974" s="1" t="s">
        <v>62</v>
      </c>
      <c r="N974" s="1" t="n">
        <v>8499</v>
      </c>
      <c r="O974" s="1" t="n">
        <v>10</v>
      </c>
      <c r="P974" s="1" t="n">
        <v>849.9</v>
      </c>
      <c r="Q974" s="1" t="n">
        <v>7649.1</v>
      </c>
      <c r="R974" s="1" t="n">
        <v>1376.84</v>
      </c>
      <c r="S974" s="1" t="n">
        <v>6272.26</v>
      </c>
      <c r="T974" s="1" t="n">
        <v>2585.32</v>
      </c>
      <c r="U974" s="1" t="n">
        <v>3686.94</v>
      </c>
      <c r="V974" s="1" t="n">
        <v>58.78</v>
      </c>
      <c r="W974" s="1" t="s">
        <v>39</v>
      </c>
      <c r="Y974" s="1" t="s">
        <v>40</v>
      </c>
      <c r="Z974" s="1" t="n">
        <v>0</v>
      </c>
      <c r="AA974" s="1" t="str">
        <f aca="false">TRIM(PROPER(F974))</f>
        <v>Warangal</v>
      </c>
      <c r="AB974" s="1" t="str">
        <f aca="false">TRIM(PROPER(C974))</f>
        <v>Simplilearn</v>
      </c>
      <c r="AC974" s="1" t="str">
        <f aca="false">IF(O974=0,"No Discount",IF(O974&lt;=15,"Low (1-15%)",IF(O974&lt;=30,"Medium (16-30%)","High (&gt;30%)")))</f>
        <v>Low (1-15%)</v>
      </c>
      <c r="AD974" s="1" t="str">
        <f aca="false">IF(V974&lt;0,"Loss Making",IF(V974&lt;20,"Low Margin","Healthy Margin"))</f>
        <v>Healthy Margin</v>
      </c>
      <c r="AE974" s="1" t="str">
        <f aca="false">TEXT(DATE(VALUE(RIGHT(B974,4)),VALUE(MID(B974,4,2)),VALUE(LEFT(B974,2))),"MMM-YYYY")</f>
        <v>Mar-2024</v>
      </c>
      <c r="AF974" s="1" t="n">
        <f aca="false">VALUE(RIGHT(B974,4))</f>
        <v>2024</v>
      </c>
      <c r="AG974" s="1" t="str">
        <f aca="false">CHOOSE(ROUNDUP(VALUE(MID(B974,4,2))/3,0),"Q1","Q2","Q3","Q4")</f>
        <v>Q1</v>
      </c>
    </row>
    <row r="975" customFormat="false" ht="15" hidden="false" customHeight="true" outlineLevel="0" collapsed="false">
      <c r="A975" s="1" t="s">
        <v>1694</v>
      </c>
      <c r="B975" s="1" t="s">
        <v>1327</v>
      </c>
      <c r="C975" s="1" t="s">
        <v>119</v>
      </c>
      <c r="D975" s="1" t="s">
        <v>44</v>
      </c>
      <c r="E975" s="1" t="s">
        <v>45</v>
      </c>
      <c r="F975" s="1" t="s">
        <v>107</v>
      </c>
      <c r="G975" s="1" t="s">
        <v>108</v>
      </c>
      <c r="H975" s="1" t="s">
        <v>33</v>
      </c>
      <c r="I975" s="1" t="s">
        <v>58</v>
      </c>
      <c r="J975" s="1" t="s">
        <v>59</v>
      </c>
      <c r="K975" s="1" t="s">
        <v>60</v>
      </c>
      <c r="L975" s="1" t="s">
        <v>85</v>
      </c>
      <c r="M975" s="1" t="s">
        <v>62</v>
      </c>
      <c r="N975" s="1" t="n">
        <v>11999</v>
      </c>
      <c r="O975" s="1" t="n">
        <v>20</v>
      </c>
      <c r="P975" s="1" t="n">
        <v>2399.8</v>
      </c>
      <c r="Q975" s="1" t="n">
        <v>9599.2</v>
      </c>
      <c r="R975" s="1" t="n">
        <v>1727.86</v>
      </c>
      <c r="S975" s="1" t="n">
        <v>7871.34</v>
      </c>
      <c r="T975" s="1" t="n">
        <v>3855.66</v>
      </c>
      <c r="U975" s="1" t="n">
        <v>4015.68</v>
      </c>
      <c r="V975" s="1" t="n">
        <v>51.02</v>
      </c>
      <c r="W975" s="1" t="s">
        <v>39</v>
      </c>
      <c r="X975" s="1" t="n">
        <v>3.7</v>
      </c>
      <c r="Y975" s="1" t="s">
        <v>40</v>
      </c>
      <c r="Z975" s="1" t="n">
        <v>1</v>
      </c>
      <c r="AA975" s="1" t="str">
        <f aca="false">TRIM(PROPER(F975))</f>
        <v>Madurai</v>
      </c>
      <c r="AB975" s="1" t="str">
        <f aca="false">TRIM(PROPER(C975))</f>
        <v>Simplilearn</v>
      </c>
      <c r="AC975" s="1" t="str">
        <f aca="false">IF(O975=0,"No Discount",IF(O975&lt;=15,"Low (1-15%)",IF(O975&lt;=30,"Medium (16-30%)","High (&gt;30%)")))</f>
        <v>Medium (16-30%)</v>
      </c>
      <c r="AD975" s="1" t="str">
        <f aca="false">IF(V975&lt;0,"Loss Making",IF(V975&lt;20,"Low Margin","Healthy Margin"))</f>
        <v>Healthy Margin</v>
      </c>
      <c r="AE975" s="1" t="str">
        <f aca="false">TEXT(DATE(VALUE(RIGHT(B975,4)),VALUE(MID(B975,4,2)),VALUE(LEFT(B975,2))),"MMM-YYYY")</f>
        <v>Nov-2023</v>
      </c>
      <c r="AF975" s="1" t="n">
        <f aca="false">VALUE(RIGHT(B975,4))</f>
        <v>2023</v>
      </c>
      <c r="AG975" s="1" t="str">
        <f aca="false">CHOOSE(ROUNDUP(VALUE(MID(B975,4,2))/3,0),"Q1","Q2","Q3","Q4")</f>
        <v>Q4</v>
      </c>
    </row>
    <row r="976" customFormat="false" ht="15" hidden="false" customHeight="true" outlineLevel="0" collapsed="false">
      <c r="A976" s="1" t="s">
        <v>1695</v>
      </c>
      <c r="B976" s="1" t="s">
        <v>1150</v>
      </c>
      <c r="C976" s="1" t="s">
        <v>28</v>
      </c>
      <c r="D976" s="1" t="s">
        <v>143</v>
      </c>
      <c r="E976" s="1" t="s">
        <v>162</v>
      </c>
      <c r="F976" s="1" t="s">
        <v>46</v>
      </c>
      <c r="G976" s="1" t="s">
        <v>47</v>
      </c>
      <c r="H976" s="1" t="s">
        <v>33</v>
      </c>
      <c r="I976" s="1" t="s">
        <v>34</v>
      </c>
      <c r="J976" s="1" t="s">
        <v>77</v>
      </c>
      <c r="K976" s="1" t="s">
        <v>112</v>
      </c>
      <c r="L976" s="1" t="s">
        <v>136</v>
      </c>
      <c r="M976" s="1" t="s">
        <v>50</v>
      </c>
      <c r="N976" s="1" t="n">
        <v>14999</v>
      </c>
      <c r="O976" s="1" t="n">
        <v>5</v>
      </c>
      <c r="P976" s="1" t="n">
        <v>749.95</v>
      </c>
      <c r="Q976" s="1" t="n">
        <v>14249.05</v>
      </c>
      <c r="R976" s="1" t="n">
        <v>2564.83</v>
      </c>
      <c r="S976" s="1" t="n">
        <v>11684.22</v>
      </c>
      <c r="T976" s="1" t="n">
        <v>5208.87</v>
      </c>
      <c r="U976" s="1" t="n">
        <v>6475.35</v>
      </c>
      <c r="V976" s="1" t="n">
        <v>55.42</v>
      </c>
      <c r="W976" s="1" t="s">
        <v>40</v>
      </c>
      <c r="Y976" s="1" t="s">
        <v>39</v>
      </c>
      <c r="Z976" s="1" t="n">
        <v>0</v>
      </c>
      <c r="AA976" s="1" t="str">
        <f aca="false">TRIM(PROPER(F976))</f>
        <v>Mangaluru</v>
      </c>
      <c r="AB976" s="1" t="str">
        <f aca="false">TRIM(PROPER(C976))</f>
        <v>Embibe</v>
      </c>
      <c r="AC976" s="1" t="str">
        <f aca="false">IF(O976=0,"No Discount",IF(O976&lt;=15,"Low (1-15%)",IF(O976&lt;=30,"Medium (16-30%)","High (&gt;30%)")))</f>
        <v>Low (1-15%)</v>
      </c>
      <c r="AD976" s="1" t="str">
        <f aca="false">IF(V976&lt;0,"Loss Making",IF(V976&lt;20,"Low Margin","Healthy Margin"))</f>
        <v>Healthy Margin</v>
      </c>
      <c r="AE976" s="1" t="str">
        <f aca="false">TEXT(DATE(VALUE(RIGHT(B976,4)),VALUE(MID(B976,4,2)),VALUE(LEFT(B976,2))),"MMM-YYYY")</f>
        <v>Feb-2024</v>
      </c>
      <c r="AF976" s="1" t="n">
        <f aca="false">VALUE(RIGHT(B976,4))</f>
        <v>2024</v>
      </c>
      <c r="AG976" s="1" t="str">
        <f aca="false">CHOOSE(ROUNDUP(VALUE(MID(B976,4,2))/3,0),"Q1","Q2","Q3","Q4")</f>
        <v>Q1</v>
      </c>
    </row>
    <row r="977" customFormat="false" ht="15" hidden="false" customHeight="true" outlineLevel="0" collapsed="false">
      <c r="A977" s="1" t="s">
        <v>1696</v>
      </c>
      <c r="B977" s="1" t="s">
        <v>1198</v>
      </c>
      <c r="C977" s="1" t="s">
        <v>74</v>
      </c>
      <c r="D977" s="1" t="s">
        <v>168</v>
      </c>
      <c r="E977" s="1" t="s">
        <v>172</v>
      </c>
      <c r="F977" s="1" t="s">
        <v>75</v>
      </c>
      <c r="G977" s="1" t="s">
        <v>76</v>
      </c>
      <c r="H977" s="1" t="s">
        <v>69</v>
      </c>
      <c r="I977" s="1" t="s">
        <v>83</v>
      </c>
      <c r="J977" s="1" t="s">
        <v>35</v>
      </c>
      <c r="K977" s="1" t="s">
        <v>60</v>
      </c>
      <c r="L977" s="1" t="s">
        <v>61</v>
      </c>
      <c r="M977" s="1" t="s">
        <v>38</v>
      </c>
      <c r="N977" s="1" t="n">
        <v>6999</v>
      </c>
      <c r="O977" s="1" t="n">
        <v>0</v>
      </c>
      <c r="P977" s="1" t="n">
        <v>0</v>
      </c>
      <c r="Q977" s="1" t="n">
        <v>6999</v>
      </c>
      <c r="R977" s="1" t="n">
        <v>1259.82</v>
      </c>
      <c r="S977" s="1" t="n">
        <v>5739.18</v>
      </c>
      <c r="T977" s="1" t="n">
        <v>2101.45</v>
      </c>
      <c r="U977" s="1" t="n">
        <v>3637.73</v>
      </c>
      <c r="V977" s="1" t="n">
        <v>63.38</v>
      </c>
      <c r="W977" s="1" t="s">
        <v>39</v>
      </c>
      <c r="X977" s="1" t="n">
        <v>3.9</v>
      </c>
      <c r="Y977" s="1" t="s">
        <v>40</v>
      </c>
      <c r="Z977" s="1" t="n">
        <v>0</v>
      </c>
      <c r="AA977" s="1" t="str">
        <f aca="false">TRIM(PROPER(F977))</f>
        <v>Kolkata</v>
      </c>
      <c r="AB977" s="1" t="str">
        <f aca="false">TRIM(PROPER(C977))</f>
        <v>Vedantu</v>
      </c>
      <c r="AC977" s="1" t="str">
        <f aca="false">IF(O977=0,"No Discount",IF(O977&lt;=15,"Low (1-15%)",IF(O977&lt;=30,"Medium (16-30%)","High (&gt;30%)")))</f>
        <v>No Discount</v>
      </c>
      <c r="AD977" s="1" t="str">
        <f aca="false">IF(V977&lt;0,"Loss Making",IF(V977&lt;20,"Low Margin","Healthy Margin"))</f>
        <v>Healthy Margin</v>
      </c>
      <c r="AE977" s="1" t="str">
        <f aca="false">TEXT(DATE(VALUE(RIGHT(B977,4)),VALUE(MID(B977,4,2)),VALUE(LEFT(B977,2))),"MMM-YYYY")</f>
        <v>Nov-2024</v>
      </c>
      <c r="AF977" s="1" t="n">
        <f aca="false">VALUE(RIGHT(B977,4))</f>
        <v>2024</v>
      </c>
      <c r="AG977" s="1" t="str">
        <f aca="false">CHOOSE(ROUNDUP(VALUE(MID(B977,4,2))/3,0),"Q1","Q2","Q3","Q4")</f>
        <v>Q4</v>
      </c>
    </row>
    <row r="978" customFormat="false" ht="15" hidden="false" customHeight="true" outlineLevel="0" collapsed="false">
      <c r="A978" s="1" t="s">
        <v>1697</v>
      </c>
      <c r="B978" s="1" t="s">
        <v>1698</v>
      </c>
      <c r="C978" s="1" t="s">
        <v>249</v>
      </c>
      <c r="D978" s="1" t="s">
        <v>80</v>
      </c>
      <c r="E978" s="1" t="s">
        <v>190</v>
      </c>
      <c r="F978" s="1" t="s">
        <v>46</v>
      </c>
      <c r="G978" s="1" t="s">
        <v>47</v>
      </c>
      <c r="H978" s="1" t="s">
        <v>33</v>
      </c>
      <c r="I978" s="1" t="s">
        <v>34</v>
      </c>
      <c r="J978" s="1" t="s">
        <v>35</v>
      </c>
      <c r="K978" s="1" t="s">
        <v>60</v>
      </c>
      <c r="L978" s="1" t="s">
        <v>85</v>
      </c>
      <c r="M978" s="1" t="s">
        <v>50</v>
      </c>
      <c r="N978" s="1" t="n">
        <v>15999</v>
      </c>
      <c r="O978" s="1" t="n">
        <v>25</v>
      </c>
      <c r="P978" s="1" t="n">
        <v>3999.75</v>
      </c>
      <c r="Q978" s="1" t="n">
        <v>11999.25</v>
      </c>
      <c r="R978" s="1" t="n">
        <v>2159.86</v>
      </c>
      <c r="S978" s="1" t="n">
        <v>9839.39</v>
      </c>
      <c r="T978" s="1" t="n">
        <v>4490.25</v>
      </c>
      <c r="U978" s="1" t="n">
        <v>5349.14</v>
      </c>
      <c r="V978" s="1" t="n">
        <v>54.36</v>
      </c>
      <c r="W978" s="1" t="s">
        <v>39</v>
      </c>
      <c r="X978" s="1" t="n">
        <v>4.8</v>
      </c>
      <c r="Y978" s="1" t="s">
        <v>40</v>
      </c>
      <c r="Z978" s="1" t="n">
        <v>0</v>
      </c>
      <c r="AA978" s="1" t="str">
        <f aca="false">TRIM(PROPER(F978))</f>
        <v>Mangaluru</v>
      </c>
      <c r="AB978" s="1" t="str">
        <f aca="false">TRIM(PROPER(C978))</f>
        <v>Whitehat Jr</v>
      </c>
      <c r="AC978" s="1" t="str">
        <f aca="false">IF(O978=0,"No Discount",IF(O978&lt;=15,"Low (1-15%)",IF(O978&lt;=30,"Medium (16-30%)","High (&gt;30%)")))</f>
        <v>Medium (16-30%)</v>
      </c>
      <c r="AD978" s="1" t="str">
        <f aca="false">IF(V978&lt;0,"Loss Making",IF(V978&lt;20,"Low Margin","Healthy Margin"))</f>
        <v>Healthy Margin</v>
      </c>
      <c r="AE978" s="1" t="str">
        <f aca="false">TEXT(DATE(VALUE(RIGHT(B978,4)),VALUE(MID(B978,4,2)),VALUE(LEFT(B978,2))),"MMM-YYYY")</f>
        <v>Jan-2024</v>
      </c>
      <c r="AF978" s="1" t="n">
        <f aca="false">VALUE(RIGHT(B978,4))</f>
        <v>2024</v>
      </c>
      <c r="AG978" s="1" t="str">
        <f aca="false">CHOOSE(ROUNDUP(VALUE(MID(B978,4,2))/3,0),"Q1","Q2","Q3","Q4")</f>
        <v>Q1</v>
      </c>
    </row>
    <row r="979" customFormat="false" ht="15" hidden="false" customHeight="true" outlineLevel="0" collapsed="false">
      <c r="A979" s="1" t="s">
        <v>1699</v>
      </c>
      <c r="B979" s="1" t="s">
        <v>1337</v>
      </c>
      <c r="C979" s="1" t="s">
        <v>178</v>
      </c>
      <c r="D979" s="1" t="s">
        <v>44</v>
      </c>
      <c r="E979" s="1" t="s">
        <v>45</v>
      </c>
      <c r="F979" s="1" t="s">
        <v>194</v>
      </c>
      <c r="G979" s="1" t="s">
        <v>103</v>
      </c>
      <c r="H979" s="1" t="s">
        <v>69</v>
      </c>
      <c r="I979" s="1" t="s">
        <v>83</v>
      </c>
      <c r="J979" s="1" t="s">
        <v>59</v>
      </c>
      <c r="K979" s="1" t="s">
        <v>90</v>
      </c>
      <c r="L979" s="1" t="s">
        <v>61</v>
      </c>
      <c r="M979" s="1" t="s">
        <v>38</v>
      </c>
      <c r="N979" s="1" t="n">
        <v>11999</v>
      </c>
      <c r="O979" s="1" t="n">
        <v>10</v>
      </c>
      <c r="P979" s="1" t="n">
        <v>1199.9</v>
      </c>
      <c r="Q979" s="1" t="n">
        <v>10799.1</v>
      </c>
      <c r="R979" s="1" t="n">
        <v>1943.84</v>
      </c>
      <c r="S979" s="1" t="n">
        <v>8855.26</v>
      </c>
      <c r="T979" s="1" t="n">
        <v>3473.11</v>
      </c>
      <c r="U979" s="1" t="n">
        <v>5382.15</v>
      </c>
      <c r="V979" s="1" t="n">
        <v>60.78</v>
      </c>
      <c r="W979" s="1" t="s">
        <v>39</v>
      </c>
      <c r="X979" s="1" t="n">
        <v>3.7</v>
      </c>
      <c r="Y979" s="1" t="s">
        <v>40</v>
      </c>
      <c r="Z979" s="1" t="n">
        <v>0</v>
      </c>
      <c r="AA979" s="1" t="str">
        <f aca="false">TRIM(PROPER(F979))</f>
        <v>Hyderabad</v>
      </c>
      <c r="AB979" s="1" t="str">
        <f aca="false">TRIM(PROPER(C979))</f>
        <v>Leverage Edu</v>
      </c>
      <c r="AC979" s="1" t="str">
        <f aca="false">IF(O979=0,"No Discount",IF(O979&lt;=15,"Low (1-15%)",IF(O979&lt;=30,"Medium (16-30%)","High (&gt;30%)")))</f>
        <v>Low (1-15%)</v>
      </c>
      <c r="AD979" s="1" t="str">
        <f aca="false">IF(V979&lt;0,"Loss Making",IF(V979&lt;20,"Low Margin","Healthy Margin"))</f>
        <v>Healthy Margin</v>
      </c>
      <c r="AE979" s="1" t="str">
        <f aca="false">TEXT(DATE(VALUE(RIGHT(B979,4)),VALUE(MID(B979,4,2)),VALUE(LEFT(B979,2))),"MMM-YYYY")</f>
        <v>Dec-2023</v>
      </c>
      <c r="AF979" s="1" t="n">
        <f aca="false">VALUE(RIGHT(B979,4))</f>
        <v>2023</v>
      </c>
      <c r="AG979" s="1" t="str">
        <f aca="false">CHOOSE(ROUNDUP(VALUE(MID(B979,4,2))/3,0),"Q1","Q2","Q3","Q4")</f>
        <v>Q4</v>
      </c>
    </row>
    <row r="980" customFormat="false" ht="15" hidden="false" customHeight="true" outlineLevel="0" collapsed="false">
      <c r="A980" s="1" t="s">
        <v>1700</v>
      </c>
      <c r="B980" s="1" t="s">
        <v>999</v>
      </c>
      <c r="C980" s="1" t="s">
        <v>249</v>
      </c>
      <c r="D980" s="1" t="s">
        <v>29</v>
      </c>
      <c r="E980" s="1" t="s">
        <v>30</v>
      </c>
      <c r="F980" s="1" t="s">
        <v>150</v>
      </c>
      <c r="G980" s="1" t="s">
        <v>32</v>
      </c>
      <c r="H980" s="1" t="s">
        <v>57</v>
      </c>
      <c r="I980" s="1" t="s">
        <v>83</v>
      </c>
      <c r="J980" s="1" t="s">
        <v>35</v>
      </c>
      <c r="K980" s="1" t="s">
        <v>104</v>
      </c>
      <c r="L980" s="1" t="s">
        <v>85</v>
      </c>
      <c r="M980" s="1" t="s">
        <v>50</v>
      </c>
      <c r="N980" s="1" t="n">
        <v>7999</v>
      </c>
      <c r="O980" s="1" t="n">
        <v>20</v>
      </c>
      <c r="P980" s="1" t="n">
        <v>1599.8</v>
      </c>
      <c r="Q980" s="1" t="n">
        <v>6399.2</v>
      </c>
      <c r="R980" s="1" t="n">
        <v>1151.86</v>
      </c>
      <c r="S980" s="1" t="n">
        <v>5247.34</v>
      </c>
      <c r="T980" s="1" t="n">
        <v>1920.16</v>
      </c>
      <c r="U980" s="1" t="n">
        <v>3327.18</v>
      </c>
      <c r="V980" s="1" t="n">
        <v>63.41</v>
      </c>
      <c r="W980" s="1" t="s">
        <v>39</v>
      </c>
      <c r="X980" s="1" t="n">
        <v>4.3</v>
      </c>
      <c r="Y980" s="1" t="s">
        <v>40</v>
      </c>
      <c r="Z980" s="1" t="n">
        <v>0</v>
      </c>
      <c r="AA980" s="1" t="str">
        <f aca="false">TRIM(PROPER(F980))</f>
        <v>Jaipur</v>
      </c>
      <c r="AB980" s="1" t="str">
        <f aca="false">TRIM(PROPER(C980))</f>
        <v>Whitehat Jr</v>
      </c>
      <c r="AC980" s="1" t="str">
        <f aca="false">IF(O980=0,"No Discount",IF(O980&lt;=15,"Low (1-15%)",IF(O980&lt;=30,"Medium (16-30%)","High (&gt;30%)")))</f>
        <v>Medium (16-30%)</v>
      </c>
      <c r="AD980" s="1" t="str">
        <f aca="false">IF(V980&lt;0,"Loss Making",IF(V980&lt;20,"Low Margin","Healthy Margin"))</f>
        <v>Healthy Margin</v>
      </c>
      <c r="AE980" s="1" t="str">
        <f aca="false">TEXT(DATE(VALUE(RIGHT(B980,4)),VALUE(MID(B980,4,2)),VALUE(LEFT(B980,2))),"MMM-YYYY")</f>
        <v>Mar-2023</v>
      </c>
      <c r="AF980" s="1" t="n">
        <f aca="false">VALUE(RIGHT(B980,4))</f>
        <v>2023</v>
      </c>
      <c r="AG980" s="1" t="str">
        <f aca="false">CHOOSE(ROUNDUP(VALUE(MID(B980,4,2))/3,0),"Q1","Q2","Q3","Q4")</f>
        <v>Q1</v>
      </c>
    </row>
    <row r="981" customFormat="false" ht="15" hidden="false" customHeight="true" outlineLevel="0" collapsed="false">
      <c r="A981" s="1" t="s">
        <v>1701</v>
      </c>
      <c r="B981" s="1" t="s">
        <v>909</v>
      </c>
      <c r="C981" s="1" t="s">
        <v>28</v>
      </c>
      <c r="D981" s="1" t="s">
        <v>53</v>
      </c>
      <c r="E981" s="1" t="s">
        <v>116</v>
      </c>
      <c r="F981" s="1" t="s">
        <v>125</v>
      </c>
      <c r="G981" s="1" t="s">
        <v>108</v>
      </c>
      <c r="H981" s="1" t="s">
        <v>69</v>
      </c>
      <c r="I981" s="1" t="s">
        <v>58</v>
      </c>
      <c r="J981" s="1" t="s">
        <v>77</v>
      </c>
      <c r="K981" s="1" t="s">
        <v>84</v>
      </c>
      <c r="L981" s="1" t="s">
        <v>49</v>
      </c>
      <c r="M981" s="1" t="s">
        <v>38</v>
      </c>
      <c r="N981" s="1" t="n">
        <v>9999</v>
      </c>
      <c r="O981" s="1" t="n">
        <v>30</v>
      </c>
      <c r="P981" s="1" t="n">
        <v>2999.7</v>
      </c>
      <c r="Q981" s="1" t="n">
        <v>6999.3</v>
      </c>
      <c r="R981" s="1" t="n">
        <v>1259.87</v>
      </c>
      <c r="S981" s="1" t="n">
        <v>5739.43</v>
      </c>
      <c r="T981" s="1" t="n">
        <v>2239.26</v>
      </c>
      <c r="U981" s="1" t="n">
        <v>3500.17</v>
      </c>
      <c r="V981" s="1" t="n">
        <v>60.98</v>
      </c>
      <c r="W981" s="1" t="s">
        <v>40</v>
      </c>
      <c r="Y981" s="1" t="s">
        <v>40</v>
      </c>
      <c r="Z981" s="1" t="n">
        <v>0</v>
      </c>
      <c r="AA981" s="1" t="str">
        <f aca="false">TRIM(PROPER(F981))</f>
        <v>Chennai</v>
      </c>
      <c r="AB981" s="1" t="str">
        <f aca="false">TRIM(PROPER(C981))</f>
        <v>Embibe</v>
      </c>
      <c r="AC981" s="1" t="str">
        <f aca="false">IF(O981=0,"No Discount",IF(O981&lt;=15,"Low (1-15%)",IF(O981&lt;=30,"Medium (16-30%)","High (&gt;30%)")))</f>
        <v>Medium (16-30%)</v>
      </c>
      <c r="AD981" s="1" t="str">
        <f aca="false">IF(V981&lt;0,"Loss Making",IF(V981&lt;20,"Low Margin","Healthy Margin"))</f>
        <v>Healthy Margin</v>
      </c>
      <c r="AE981" s="1" t="str">
        <f aca="false">TEXT(DATE(VALUE(RIGHT(B981,4)),VALUE(MID(B981,4,2)),VALUE(LEFT(B981,2))),"MMM-YYYY")</f>
        <v>Jul-2023</v>
      </c>
      <c r="AF981" s="1" t="n">
        <f aca="false">VALUE(RIGHT(B981,4))</f>
        <v>2023</v>
      </c>
      <c r="AG981" s="1" t="str">
        <f aca="false">CHOOSE(ROUNDUP(VALUE(MID(B981,4,2))/3,0),"Q1","Q2","Q3","Q4")</f>
        <v>Q3</v>
      </c>
    </row>
    <row r="982" customFormat="false" ht="15" hidden="false" customHeight="true" outlineLevel="0" collapsed="false">
      <c r="A982" s="1" t="s">
        <v>1702</v>
      </c>
      <c r="B982" s="1" t="s">
        <v>1198</v>
      </c>
      <c r="C982" s="1" t="s">
        <v>100</v>
      </c>
      <c r="D982" s="1" t="s">
        <v>29</v>
      </c>
      <c r="E982" s="1" t="s">
        <v>182</v>
      </c>
      <c r="F982" s="1" t="s">
        <v>31</v>
      </c>
      <c r="G982" s="1" t="s">
        <v>32</v>
      </c>
      <c r="H982" s="1" t="s">
        <v>33</v>
      </c>
      <c r="I982" s="1" t="s">
        <v>58</v>
      </c>
      <c r="J982" s="1" t="s">
        <v>131</v>
      </c>
      <c r="K982" s="1" t="s">
        <v>60</v>
      </c>
      <c r="L982" s="1" t="s">
        <v>113</v>
      </c>
      <c r="M982" s="1" t="s">
        <v>62</v>
      </c>
      <c r="N982" s="1" t="n">
        <v>34999</v>
      </c>
      <c r="O982" s="1" t="n">
        <v>10</v>
      </c>
      <c r="P982" s="1" t="n">
        <v>3499.9</v>
      </c>
      <c r="Q982" s="1" t="n">
        <v>31499.1</v>
      </c>
      <c r="R982" s="1" t="n">
        <v>5669.84</v>
      </c>
      <c r="S982" s="1" t="n">
        <v>25829.26</v>
      </c>
      <c r="T982" s="1" t="n">
        <v>9900.15</v>
      </c>
      <c r="U982" s="1" t="n">
        <v>15929.11</v>
      </c>
      <c r="V982" s="1" t="n">
        <v>61.67</v>
      </c>
      <c r="W982" s="1" t="s">
        <v>39</v>
      </c>
      <c r="X982" s="1" t="n">
        <v>3.2</v>
      </c>
      <c r="Y982" s="1" t="s">
        <v>40</v>
      </c>
      <c r="Z982" s="1" t="n">
        <v>1</v>
      </c>
      <c r="AA982" s="1" t="str">
        <f aca="false">TRIM(PROPER(F982))</f>
        <v>Jodhpur</v>
      </c>
      <c r="AB982" s="1" t="str">
        <f aca="false">TRIM(PROPER(C982))</f>
        <v>Physics Wallah</v>
      </c>
      <c r="AC982" s="1" t="str">
        <f aca="false">IF(O982=0,"No Discount",IF(O982&lt;=15,"Low (1-15%)",IF(O982&lt;=30,"Medium (16-30%)","High (&gt;30%)")))</f>
        <v>Low (1-15%)</v>
      </c>
      <c r="AD982" s="1" t="str">
        <f aca="false">IF(V982&lt;0,"Loss Making",IF(V982&lt;20,"Low Margin","Healthy Margin"))</f>
        <v>Healthy Margin</v>
      </c>
      <c r="AE982" s="1" t="str">
        <f aca="false">TEXT(DATE(VALUE(RIGHT(B982,4)),VALUE(MID(B982,4,2)),VALUE(LEFT(B982,2))),"MMM-YYYY")</f>
        <v>Nov-2024</v>
      </c>
      <c r="AF982" s="1" t="n">
        <f aca="false">VALUE(RIGHT(B982,4))</f>
        <v>2024</v>
      </c>
      <c r="AG982" s="1" t="str">
        <f aca="false">CHOOSE(ROUNDUP(VALUE(MID(B982,4,2))/3,0),"Q1","Q2","Q3","Q4")</f>
        <v>Q4</v>
      </c>
    </row>
    <row r="983" customFormat="false" ht="15" hidden="false" customHeight="true" outlineLevel="0" collapsed="false">
      <c r="A983" s="1" t="s">
        <v>1703</v>
      </c>
      <c r="B983" s="1" t="s">
        <v>330</v>
      </c>
      <c r="C983" s="1" t="s">
        <v>28</v>
      </c>
      <c r="D983" s="1" t="s">
        <v>80</v>
      </c>
      <c r="E983" s="1" t="s">
        <v>81</v>
      </c>
      <c r="F983" s="1" t="s">
        <v>150</v>
      </c>
      <c r="G983" s="1" t="s">
        <v>32</v>
      </c>
      <c r="H983" s="1" t="s">
        <v>57</v>
      </c>
      <c r="I983" s="1" t="s">
        <v>83</v>
      </c>
      <c r="J983" s="1" t="s">
        <v>59</v>
      </c>
      <c r="K983" s="1" t="s">
        <v>90</v>
      </c>
      <c r="L983" s="1" t="s">
        <v>85</v>
      </c>
      <c r="M983" s="1" t="s">
        <v>62</v>
      </c>
      <c r="N983" s="1" t="n">
        <v>12999</v>
      </c>
      <c r="O983" s="1" t="n">
        <v>40</v>
      </c>
      <c r="P983" s="1" t="n">
        <v>5199.6</v>
      </c>
      <c r="Q983" s="1" t="n">
        <v>7799.4</v>
      </c>
      <c r="R983" s="1" t="n">
        <v>1403.89</v>
      </c>
      <c r="S983" s="1" t="n">
        <v>6395.51</v>
      </c>
      <c r="T983" s="1" t="n">
        <v>3915.15</v>
      </c>
      <c r="U983" s="1" t="n">
        <v>2480.36</v>
      </c>
      <c r="V983" s="1" t="n">
        <v>38.78</v>
      </c>
      <c r="W983" s="1" t="s">
        <v>40</v>
      </c>
      <c r="Y983" s="1" t="s">
        <v>40</v>
      </c>
      <c r="Z983" s="1" t="n">
        <v>0</v>
      </c>
      <c r="AA983" s="1" t="str">
        <f aca="false">TRIM(PROPER(F983))</f>
        <v>Jaipur</v>
      </c>
      <c r="AB983" s="1" t="str">
        <f aca="false">TRIM(PROPER(C983))</f>
        <v>Embibe</v>
      </c>
      <c r="AC983" s="1" t="str">
        <f aca="false">IF(O983=0,"No Discount",IF(O983&lt;=15,"Low (1-15%)",IF(O983&lt;=30,"Medium (16-30%)","High (&gt;30%)")))</f>
        <v>High (&gt;30%)</v>
      </c>
      <c r="AD983" s="1" t="str">
        <f aca="false">IF(V983&lt;0,"Loss Making",IF(V983&lt;20,"Low Margin","Healthy Margin"))</f>
        <v>Healthy Margin</v>
      </c>
      <c r="AE983" s="1" t="str">
        <f aca="false">TEXT(DATE(VALUE(RIGHT(B983,4)),VALUE(MID(B983,4,2)),VALUE(LEFT(B983,2))),"MMM-YYYY")</f>
        <v>Feb-2024</v>
      </c>
      <c r="AF983" s="1" t="n">
        <f aca="false">VALUE(RIGHT(B983,4))</f>
        <v>2024</v>
      </c>
      <c r="AG983" s="1" t="str">
        <f aca="false">CHOOSE(ROUNDUP(VALUE(MID(B983,4,2))/3,0),"Q1","Q2","Q3","Q4")</f>
        <v>Q1</v>
      </c>
    </row>
    <row r="984" customFormat="false" ht="15" hidden="false" customHeight="true" outlineLevel="0" collapsed="false">
      <c r="A984" s="1" t="s">
        <v>1704</v>
      </c>
      <c r="B984" s="1" t="s">
        <v>1705</v>
      </c>
      <c r="C984" s="1" t="s">
        <v>74</v>
      </c>
      <c r="D984" s="1" t="s">
        <v>143</v>
      </c>
      <c r="E984" s="1" t="s">
        <v>162</v>
      </c>
      <c r="F984" s="1" t="s">
        <v>125</v>
      </c>
      <c r="G984" s="1" t="s">
        <v>108</v>
      </c>
      <c r="H984" s="1" t="s">
        <v>69</v>
      </c>
      <c r="I984" s="1" t="s">
        <v>83</v>
      </c>
      <c r="J984" s="1" t="s">
        <v>59</v>
      </c>
      <c r="K984" s="1" t="s">
        <v>36</v>
      </c>
      <c r="L984" s="1" t="s">
        <v>37</v>
      </c>
      <c r="M984" s="1" t="s">
        <v>50</v>
      </c>
      <c r="N984" s="1" t="n">
        <v>14999</v>
      </c>
      <c r="O984" s="1" t="n">
        <v>20</v>
      </c>
      <c r="P984" s="1" t="n">
        <v>2999.8</v>
      </c>
      <c r="Q984" s="1" t="n">
        <v>11999.2</v>
      </c>
      <c r="R984" s="1" t="n">
        <v>2159.86</v>
      </c>
      <c r="S984" s="1" t="n">
        <v>9839.34</v>
      </c>
      <c r="T984" s="1" t="n">
        <v>3650.86</v>
      </c>
      <c r="U984" s="1" t="n">
        <v>6188.48</v>
      </c>
      <c r="V984" s="1" t="n">
        <v>62.9</v>
      </c>
      <c r="W984" s="1" t="s">
        <v>39</v>
      </c>
      <c r="X984" s="1" t="n">
        <v>3.2</v>
      </c>
      <c r="Y984" s="1" t="s">
        <v>40</v>
      </c>
      <c r="Z984" s="1" t="n">
        <v>1</v>
      </c>
      <c r="AA984" s="1" t="str">
        <f aca="false">TRIM(PROPER(F984))</f>
        <v>Chennai</v>
      </c>
      <c r="AB984" s="1" t="str">
        <f aca="false">TRIM(PROPER(C984))</f>
        <v>Vedantu</v>
      </c>
      <c r="AC984" s="1" t="str">
        <f aca="false">IF(O984=0,"No Discount",IF(O984&lt;=15,"Low (1-15%)",IF(O984&lt;=30,"Medium (16-30%)","High (&gt;30%)")))</f>
        <v>Medium (16-30%)</v>
      </c>
      <c r="AD984" s="1" t="str">
        <f aca="false">IF(V984&lt;0,"Loss Making",IF(V984&lt;20,"Low Margin","Healthy Margin"))</f>
        <v>Healthy Margin</v>
      </c>
      <c r="AE984" s="1" t="str">
        <f aca="false">TEXT(DATE(VALUE(RIGHT(B984,4)),VALUE(MID(B984,4,2)),VALUE(LEFT(B984,2))),"MMM-YYYY")</f>
        <v>Aug-2023</v>
      </c>
      <c r="AF984" s="1" t="n">
        <f aca="false">VALUE(RIGHT(B984,4))</f>
        <v>2023</v>
      </c>
      <c r="AG984" s="1" t="str">
        <f aca="false">CHOOSE(ROUNDUP(VALUE(MID(B984,4,2))/3,0),"Q1","Q2","Q3","Q4")</f>
        <v>Q3</v>
      </c>
    </row>
    <row r="985" customFormat="false" ht="15" hidden="false" customHeight="true" outlineLevel="0" collapsed="false">
      <c r="A985" s="1" t="s">
        <v>1706</v>
      </c>
      <c r="B985" s="1" t="s">
        <v>1262</v>
      </c>
      <c r="C985" s="1" t="s">
        <v>119</v>
      </c>
      <c r="D985" s="1" t="s">
        <v>123</v>
      </c>
      <c r="E985" s="1" t="s">
        <v>233</v>
      </c>
      <c r="F985" s="1" t="s">
        <v>107</v>
      </c>
      <c r="G985" s="1" t="s">
        <v>108</v>
      </c>
      <c r="H985" s="1" t="s">
        <v>33</v>
      </c>
      <c r="I985" s="1" t="s">
        <v>83</v>
      </c>
      <c r="J985" s="1" t="s">
        <v>70</v>
      </c>
      <c r="K985" s="1" t="s">
        <v>71</v>
      </c>
      <c r="L985" s="1" t="s">
        <v>113</v>
      </c>
      <c r="M985" s="1" t="s">
        <v>38</v>
      </c>
      <c r="N985" s="1" t="n">
        <v>8999</v>
      </c>
      <c r="O985" s="1" t="n">
        <v>0</v>
      </c>
      <c r="P985" s="1" t="n">
        <v>0</v>
      </c>
      <c r="Q985" s="1" t="n">
        <v>8999</v>
      </c>
      <c r="R985" s="1" t="n">
        <v>1619.82</v>
      </c>
      <c r="S985" s="1" t="n">
        <v>7379.18</v>
      </c>
      <c r="T985" s="1" t="n">
        <v>3264.52</v>
      </c>
      <c r="U985" s="1" t="n">
        <v>4114.66</v>
      </c>
      <c r="V985" s="1" t="n">
        <v>55.76</v>
      </c>
      <c r="W985" s="1" t="s">
        <v>39</v>
      </c>
      <c r="X985" s="1" t="n">
        <v>3.3</v>
      </c>
      <c r="Y985" s="1" t="s">
        <v>40</v>
      </c>
      <c r="Z985" s="1" t="n">
        <v>1</v>
      </c>
      <c r="AA985" s="1" t="str">
        <f aca="false">TRIM(PROPER(F985))</f>
        <v>Madurai</v>
      </c>
      <c r="AB985" s="1" t="str">
        <f aca="false">TRIM(PROPER(C985))</f>
        <v>Simplilearn</v>
      </c>
      <c r="AC985" s="1" t="str">
        <f aca="false">IF(O985=0,"No Discount",IF(O985&lt;=15,"Low (1-15%)",IF(O985&lt;=30,"Medium (16-30%)","High (&gt;30%)")))</f>
        <v>No Discount</v>
      </c>
      <c r="AD985" s="1" t="str">
        <f aca="false">IF(V985&lt;0,"Loss Making",IF(V985&lt;20,"Low Margin","Healthy Margin"))</f>
        <v>Healthy Margin</v>
      </c>
      <c r="AE985" s="1" t="str">
        <f aca="false">TEXT(DATE(VALUE(RIGHT(B985,4)),VALUE(MID(B985,4,2)),VALUE(LEFT(B985,2))),"MMM-YYYY")</f>
        <v>May-2023</v>
      </c>
      <c r="AF985" s="1" t="n">
        <f aca="false">VALUE(RIGHT(B985,4))</f>
        <v>2023</v>
      </c>
      <c r="AG985" s="1" t="str">
        <f aca="false">CHOOSE(ROUNDUP(VALUE(MID(B985,4,2))/3,0),"Q1","Q2","Q3","Q4")</f>
        <v>Q2</v>
      </c>
    </row>
    <row r="986" customFormat="false" ht="15" hidden="false" customHeight="true" outlineLevel="0" collapsed="false">
      <c r="A986" s="1" t="s">
        <v>1707</v>
      </c>
      <c r="B986" s="1" t="s">
        <v>1640</v>
      </c>
      <c r="C986" s="1" t="s">
        <v>249</v>
      </c>
      <c r="D986" s="1" t="s">
        <v>44</v>
      </c>
      <c r="E986" s="1" t="s">
        <v>66</v>
      </c>
      <c r="F986" s="1" t="s">
        <v>150</v>
      </c>
      <c r="G986" s="1" t="s">
        <v>32</v>
      </c>
      <c r="H986" s="1" t="s">
        <v>57</v>
      </c>
      <c r="I986" s="1" t="s">
        <v>34</v>
      </c>
      <c r="J986" s="1" t="s">
        <v>35</v>
      </c>
      <c r="K986" s="1" t="s">
        <v>112</v>
      </c>
      <c r="L986" s="1" t="s">
        <v>136</v>
      </c>
      <c r="M986" s="1" t="s">
        <v>50</v>
      </c>
      <c r="N986" s="1" t="n">
        <v>12999</v>
      </c>
      <c r="O986" s="1" t="n">
        <v>0</v>
      </c>
      <c r="P986" s="1" t="n">
        <v>0</v>
      </c>
      <c r="Q986" s="1" t="n">
        <v>12999</v>
      </c>
      <c r="R986" s="1" t="n">
        <v>2339.82</v>
      </c>
      <c r="S986" s="1" t="n">
        <v>10659.18</v>
      </c>
      <c r="T986" s="1" t="n">
        <v>4646.22</v>
      </c>
      <c r="U986" s="1" t="n">
        <v>6012.96</v>
      </c>
      <c r="V986" s="1" t="n">
        <v>56.41</v>
      </c>
      <c r="W986" s="1" t="s">
        <v>39</v>
      </c>
      <c r="X986" s="1" t="n">
        <v>4.4</v>
      </c>
      <c r="Y986" s="1" t="s">
        <v>40</v>
      </c>
      <c r="Z986" s="1" t="n">
        <v>2</v>
      </c>
      <c r="AA986" s="1" t="str">
        <f aca="false">TRIM(PROPER(F986))</f>
        <v>Jaipur</v>
      </c>
      <c r="AB986" s="1" t="str">
        <f aca="false">TRIM(PROPER(C986))</f>
        <v>Whitehat Jr</v>
      </c>
      <c r="AC986" s="1" t="str">
        <f aca="false">IF(O986=0,"No Discount",IF(O986&lt;=15,"Low (1-15%)",IF(O986&lt;=30,"Medium (16-30%)","High (&gt;30%)")))</f>
        <v>No Discount</v>
      </c>
      <c r="AD986" s="1" t="str">
        <f aca="false">IF(V986&lt;0,"Loss Making",IF(V986&lt;20,"Low Margin","Healthy Margin"))</f>
        <v>Healthy Margin</v>
      </c>
      <c r="AE986" s="1" t="str">
        <f aca="false">TEXT(DATE(VALUE(RIGHT(B986,4)),VALUE(MID(B986,4,2)),VALUE(LEFT(B986,2))),"MMM-YYYY")</f>
        <v>May-2024</v>
      </c>
      <c r="AF986" s="1" t="n">
        <f aca="false">VALUE(RIGHT(B986,4))</f>
        <v>2024</v>
      </c>
      <c r="AG986" s="1" t="str">
        <f aca="false">CHOOSE(ROUNDUP(VALUE(MID(B986,4,2))/3,0),"Q1","Q2","Q3","Q4")</f>
        <v>Q2</v>
      </c>
    </row>
    <row r="987" customFormat="false" ht="15" hidden="false" customHeight="true" outlineLevel="0" collapsed="false">
      <c r="A987" s="1" t="s">
        <v>1708</v>
      </c>
      <c r="B987" s="1" t="s">
        <v>354</v>
      </c>
      <c r="C987" s="1" t="s">
        <v>74</v>
      </c>
      <c r="D987" s="1" t="s">
        <v>143</v>
      </c>
      <c r="E987" s="1" t="s">
        <v>162</v>
      </c>
      <c r="F987" s="1" t="s">
        <v>1709</v>
      </c>
      <c r="G987" s="1" t="s">
        <v>97</v>
      </c>
      <c r="H987" s="1" t="s">
        <v>69</v>
      </c>
      <c r="I987" s="1" t="s">
        <v>83</v>
      </c>
      <c r="J987" s="1" t="s">
        <v>35</v>
      </c>
      <c r="K987" s="1" t="s">
        <v>71</v>
      </c>
      <c r="L987" s="1" t="s">
        <v>61</v>
      </c>
      <c r="M987" s="1" t="s">
        <v>62</v>
      </c>
      <c r="N987" s="1" t="n">
        <v>14999</v>
      </c>
      <c r="O987" s="1" t="n">
        <v>40</v>
      </c>
      <c r="P987" s="1" t="n">
        <v>5999.6</v>
      </c>
      <c r="Q987" s="1" t="n">
        <v>8999.4</v>
      </c>
      <c r="R987" s="1" t="n">
        <v>1619.89</v>
      </c>
      <c r="S987" s="1" t="n">
        <v>7379.51</v>
      </c>
      <c r="T987" s="1" t="n">
        <v>3414.75</v>
      </c>
      <c r="U987" s="1" t="n">
        <v>3964.76</v>
      </c>
      <c r="V987" s="1" t="n">
        <v>53.73</v>
      </c>
      <c r="W987" s="1" t="s">
        <v>39</v>
      </c>
      <c r="X987" s="1" t="n">
        <v>4.5</v>
      </c>
      <c r="Y987" s="1" t="s">
        <v>40</v>
      </c>
      <c r="Z987" s="1" t="n">
        <v>0</v>
      </c>
      <c r="AA987" s="1" t="str">
        <f aca="false">TRIM(PROPER(F987))</f>
        <v>Mumbai</v>
      </c>
      <c r="AB987" s="1" t="str">
        <f aca="false">TRIM(PROPER(C987))</f>
        <v>Vedantu</v>
      </c>
      <c r="AC987" s="1" t="str">
        <f aca="false">IF(O987=0,"No Discount",IF(O987&lt;=15,"Low (1-15%)",IF(O987&lt;=30,"Medium (16-30%)","High (&gt;30%)")))</f>
        <v>High (&gt;30%)</v>
      </c>
      <c r="AD987" s="1" t="str">
        <f aca="false">IF(V987&lt;0,"Loss Making",IF(V987&lt;20,"Low Margin","Healthy Margin"))</f>
        <v>Healthy Margin</v>
      </c>
      <c r="AE987" s="1" t="str">
        <f aca="false">TEXT(DATE(VALUE(RIGHT(B987,4)),VALUE(MID(B987,4,2)),VALUE(LEFT(B987,2))),"MMM-YYYY")</f>
        <v>May-2024</v>
      </c>
      <c r="AF987" s="1" t="n">
        <f aca="false">VALUE(RIGHT(B987,4))</f>
        <v>2024</v>
      </c>
      <c r="AG987" s="1" t="str">
        <f aca="false">CHOOSE(ROUNDUP(VALUE(MID(B987,4,2))/3,0),"Q1","Q2","Q3","Q4")</f>
        <v>Q2</v>
      </c>
    </row>
    <row r="988" customFormat="false" ht="15" hidden="false" customHeight="true" outlineLevel="0" collapsed="false">
      <c r="A988" s="1" t="s">
        <v>1710</v>
      </c>
      <c r="B988" s="1" t="s">
        <v>1711</v>
      </c>
      <c r="C988" s="1" t="s">
        <v>119</v>
      </c>
      <c r="D988" s="1" t="s">
        <v>168</v>
      </c>
      <c r="E988" s="1" t="s">
        <v>169</v>
      </c>
      <c r="F988" s="1" t="s">
        <v>107</v>
      </c>
      <c r="G988" s="1" t="s">
        <v>108</v>
      </c>
      <c r="H988" s="1" t="s">
        <v>33</v>
      </c>
      <c r="I988" s="1" t="s">
        <v>83</v>
      </c>
      <c r="J988" s="1" t="s">
        <v>35</v>
      </c>
      <c r="K988" s="1" t="s">
        <v>90</v>
      </c>
      <c r="L988" s="1" t="s">
        <v>61</v>
      </c>
      <c r="M988" s="1" t="s">
        <v>50</v>
      </c>
      <c r="N988" s="1" t="n">
        <v>4999</v>
      </c>
      <c r="O988" s="1" t="n">
        <v>40</v>
      </c>
      <c r="P988" s="1" t="n">
        <v>1999.6</v>
      </c>
      <c r="Q988" s="1" t="n">
        <v>2999.4</v>
      </c>
      <c r="R988" s="1" t="n">
        <v>539.89</v>
      </c>
      <c r="S988" s="1" t="n">
        <v>2459.51</v>
      </c>
      <c r="T988" s="1" t="n">
        <v>1217.72</v>
      </c>
      <c r="U988" s="1" t="n">
        <v>1241.79</v>
      </c>
      <c r="V988" s="1" t="n">
        <v>50.49</v>
      </c>
      <c r="W988" s="1" t="s">
        <v>39</v>
      </c>
      <c r="X988" s="1" t="n">
        <v>4.3</v>
      </c>
      <c r="Y988" s="1" t="s">
        <v>40</v>
      </c>
      <c r="Z988" s="1" t="n">
        <v>1</v>
      </c>
      <c r="AA988" s="1" t="str">
        <f aca="false">TRIM(PROPER(F988))</f>
        <v>Madurai</v>
      </c>
      <c r="AB988" s="1" t="str">
        <f aca="false">TRIM(PROPER(C988))</f>
        <v>Simplilearn</v>
      </c>
      <c r="AC988" s="1" t="str">
        <f aca="false">IF(O988=0,"No Discount",IF(O988&lt;=15,"Low (1-15%)",IF(O988&lt;=30,"Medium (16-30%)","High (&gt;30%)")))</f>
        <v>High (&gt;30%)</v>
      </c>
      <c r="AD988" s="1" t="str">
        <f aca="false">IF(V988&lt;0,"Loss Making",IF(V988&lt;20,"Low Margin","Healthy Margin"))</f>
        <v>Healthy Margin</v>
      </c>
      <c r="AE988" s="1" t="str">
        <f aca="false">TEXT(DATE(VALUE(RIGHT(B988,4)),VALUE(MID(B988,4,2)),VALUE(LEFT(B988,2))),"MMM-YYYY")</f>
        <v>Jun-2024</v>
      </c>
      <c r="AF988" s="1" t="n">
        <f aca="false">VALUE(RIGHT(B988,4))</f>
        <v>2024</v>
      </c>
      <c r="AG988" s="1" t="str">
        <f aca="false">CHOOSE(ROUNDUP(VALUE(MID(B988,4,2))/3,0),"Q1","Q2","Q3","Q4")</f>
        <v>Q2</v>
      </c>
    </row>
    <row r="989" customFormat="false" ht="15" hidden="false" customHeight="true" outlineLevel="0" collapsed="false">
      <c r="A989" s="1" t="s">
        <v>1712</v>
      </c>
      <c r="B989" s="1" t="s">
        <v>1713</v>
      </c>
      <c r="C989" s="1" t="s">
        <v>74</v>
      </c>
      <c r="D989" s="1" t="s">
        <v>29</v>
      </c>
      <c r="E989" s="1" t="s">
        <v>182</v>
      </c>
      <c r="F989" s="1" t="s">
        <v>82</v>
      </c>
      <c r="G989" s="1" t="s">
        <v>56</v>
      </c>
      <c r="H989" s="1" t="s">
        <v>69</v>
      </c>
      <c r="I989" s="1" t="s">
        <v>34</v>
      </c>
      <c r="J989" s="1" t="s">
        <v>131</v>
      </c>
      <c r="K989" s="1" t="s">
        <v>36</v>
      </c>
      <c r="L989" s="1" t="s">
        <v>61</v>
      </c>
      <c r="M989" s="1" t="s">
        <v>62</v>
      </c>
      <c r="N989" s="1" t="n">
        <v>34999</v>
      </c>
      <c r="O989" s="1" t="n">
        <v>0</v>
      </c>
      <c r="P989" s="1" t="n">
        <v>0</v>
      </c>
      <c r="Q989" s="1" t="n">
        <v>34999</v>
      </c>
      <c r="R989" s="1" t="n">
        <v>6299.82</v>
      </c>
      <c r="S989" s="1" t="n">
        <v>28699.18</v>
      </c>
      <c r="T989" s="1" t="n">
        <v>9519.34</v>
      </c>
      <c r="U989" s="1" t="n">
        <v>19179.84</v>
      </c>
      <c r="V989" s="1" t="n">
        <v>66.83</v>
      </c>
      <c r="W989" s="1" t="s">
        <v>39</v>
      </c>
      <c r="X989" s="1" t="n">
        <v>4.2</v>
      </c>
      <c r="Y989" s="1" t="s">
        <v>40</v>
      </c>
      <c r="Z989" s="1" t="n">
        <v>0</v>
      </c>
      <c r="AA989" s="1" t="str">
        <f aca="false">TRIM(PROPER(F989))</f>
        <v>Gurugram</v>
      </c>
      <c r="AB989" s="1" t="str">
        <f aca="false">TRIM(PROPER(C989))</f>
        <v>Vedantu</v>
      </c>
      <c r="AC989" s="1" t="str">
        <f aca="false">IF(O989=0,"No Discount",IF(O989&lt;=15,"Low (1-15%)",IF(O989&lt;=30,"Medium (16-30%)","High (&gt;30%)")))</f>
        <v>No Discount</v>
      </c>
      <c r="AD989" s="1" t="str">
        <f aca="false">IF(V989&lt;0,"Loss Making",IF(V989&lt;20,"Low Margin","Healthy Margin"))</f>
        <v>Healthy Margin</v>
      </c>
      <c r="AE989" s="1" t="str">
        <f aca="false">TEXT(DATE(VALUE(RIGHT(B989,4)),VALUE(MID(B989,4,2)),VALUE(LEFT(B989,2))),"MMM-YYYY")</f>
        <v>Mar-2023</v>
      </c>
      <c r="AF989" s="1" t="n">
        <f aca="false">VALUE(RIGHT(B989,4))</f>
        <v>2023</v>
      </c>
      <c r="AG989" s="1" t="str">
        <f aca="false">CHOOSE(ROUNDUP(VALUE(MID(B989,4,2))/3,0),"Q1","Q2","Q3","Q4")</f>
        <v>Q1</v>
      </c>
    </row>
    <row r="990" customFormat="false" ht="15" hidden="false" customHeight="true" outlineLevel="0" collapsed="false">
      <c r="A990" s="1" t="s">
        <v>1714</v>
      </c>
      <c r="B990" s="1" t="s">
        <v>1184</v>
      </c>
      <c r="C990" s="1" t="s">
        <v>93</v>
      </c>
      <c r="D990" s="1" t="s">
        <v>44</v>
      </c>
      <c r="E990" s="1" t="s">
        <v>66</v>
      </c>
      <c r="F990" s="1" t="s">
        <v>46</v>
      </c>
      <c r="G990" s="1" t="s">
        <v>47</v>
      </c>
      <c r="H990" s="1" t="s">
        <v>33</v>
      </c>
      <c r="I990" s="1" t="s">
        <v>58</v>
      </c>
      <c r="J990" s="1" t="s">
        <v>131</v>
      </c>
      <c r="K990" s="1" t="s">
        <v>104</v>
      </c>
      <c r="L990" s="1" t="s">
        <v>61</v>
      </c>
      <c r="M990" s="1" t="s">
        <v>50</v>
      </c>
      <c r="N990" s="1" t="n">
        <v>12999</v>
      </c>
      <c r="O990" s="1" t="n">
        <v>5</v>
      </c>
      <c r="P990" s="1" t="n">
        <v>649.95</v>
      </c>
      <c r="Q990" s="1" t="n">
        <v>12349.05</v>
      </c>
      <c r="R990" s="1" t="n">
        <v>2222.83</v>
      </c>
      <c r="S990" s="1" t="n">
        <v>10126.22</v>
      </c>
      <c r="T990" s="1" t="n">
        <v>4395.71</v>
      </c>
      <c r="U990" s="1" t="n">
        <v>5730.51</v>
      </c>
      <c r="V990" s="1" t="n">
        <v>56.59</v>
      </c>
      <c r="W990" s="1" t="s">
        <v>39</v>
      </c>
      <c r="Y990" s="1" t="s">
        <v>40</v>
      </c>
      <c r="Z990" s="1" t="n">
        <v>1</v>
      </c>
      <c r="AA990" s="1" t="str">
        <f aca="false">TRIM(PROPER(F990))</f>
        <v>Mangaluru</v>
      </c>
      <c r="AB990" s="1" t="str">
        <f aca="false">TRIM(PROPER(C990))</f>
        <v>Upgrad</v>
      </c>
      <c r="AC990" s="1" t="str">
        <f aca="false">IF(O990=0,"No Discount",IF(O990&lt;=15,"Low (1-15%)",IF(O990&lt;=30,"Medium (16-30%)","High (&gt;30%)")))</f>
        <v>Low (1-15%)</v>
      </c>
      <c r="AD990" s="1" t="str">
        <f aca="false">IF(V990&lt;0,"Loss Making",IF(V990&lt;20,"Low Margin","Healthy Margin"))</f>
        <v>Healthy Margin</v>
      </c>
      <c r="AE990" s="1" t="str">
        <f aca="false">TEXT(DATE(VALUE(RIGHT(B990,4)),VALUE(MID(B990,4,2)),VALUE(LEFT(B990,2))),"MMM-YYYY")</f>
        <v>Sep-2024</v>
      </c>
      <c r="AF990" s="1" t="n">
        <f aca="false">VALUE(RIGHT(B990,4))</f>
        <v>2024</v>
      </c>
      <c r="AG990" s="1" t="str">
        <f aca="false">CHOOSE(ROUNDUP(VALUE(MID(B990,4,2))/3,0),"Q1","Q2","Q3","Q4")</f>
        <v>Q3</v>
      </c>
    </row>
    <row r="991" customFormat="false" ht="15" hidden="false" customHeight="true" outlineLevel="0" collapsed="false">
      <c r="A991" s="1" t="s">
        <v>1715</v>
      </c>
      <c r="B991" s="1" t="s">
        <v>1275</v>
      </c>
      <c r="C991" s="1" t="s">
        <v>167</v>
      </c>
      <c r="D991" s="1" t="s">
        <v>143</v>
      </c>
      <c r="E991" s="1" t="s">
        <v>210</v>
      </c>
      <c r="F991" s="1" t="s">
        <v>140</v>
      </c>
      <c r="G991" s="1" t="s">
        <v>97</v>
      </c>
      <c r="H991" s="1" t="s">
        <v>57</v>
      </c>
      <c r="I991" s="1" t="s">
        <v>58</v>
      </c>
      <c r="J991" s="1" t="s">
        <v>35</v>
      </c>
      <c r="K991" s="1" t="s">
        <v>48</v>
      </c>
      <c r="L991" s="1" t="s">
        <v>49</v>
      </c>
      <c r="M991" s="1" t="s">
        <v>62</v>
      </c>
      <c r="N991" s="1" t="n">
        <v>18999</v>
      </c>
      <c r="O991" s="1" t="n">
        <v>0</v>
      </c>
      <c r="P991" s="1" t="n">
        <v>0</v>
      </c>
      <c r="Q991" s="1" t="n">
        <v>18999</v>
      </c>
      <c r="R991" s="1" t="n">
        <v>3419.82</v>
      </c>
      <c r="S991" s="1" t="n">
        <v>15579.18</v>
      </c>
      <c r="T991" s="1" t="n">
        <v>6102.99</v>
      </c>
      <c r="U991" s="1" t="n">
        <v>9476.19</v>
      </c>
      <c r="V991" s="1" t="n">
        <v>60.83</v>
      </c>
      <c r="W991" s="1" t="s">
        <v>40</v>
      </c>
      <c r="Y991" s="1" t="s">
        <v>40</v>
      </c>
      <c r="Z991" s="1" t="n">
        <v>2</v>
      </c>
      <c r="AA991" s="1" t="str">
        <f aca="false">TRIM(PROPER(F991))</f>
        <v>Nashik</v>
      </c>
      <c r="AB991" s="1" t="str">
        <f aca="false">TRIM(PROPER(C991))</f>
        <v>Scaler</v>
      </c>
      <c r="AC991" s="1" t="str">
        <f aca="false">IF(O991=0,"No Discount",IF(O991&lt;=15,"Low (1-15%)",IF(O991&lt;=30,"Medium (16-30%)","High (&gt;30%)")))</f>
        <v>No Discount</v>
      </c>
      <c r="AD991" s="1" t="str">
        <f aca="false">IF(V991&lt;0,"Loss Making",IF(V991&lt;20,"Low Margin","Healthy Margin"))</f>
        <v>Healthy Margin</v>
      </c>
      <c r="AE991" s="1" t="str">
        <f aca="false">TEXT(DATE(VALUE(RIGHT(B991,4)),VALUE(MID(B991,4,2)),VALUE(LEFT(B991,2))),"MMM-YYYY")</f>
        <v>Dec-2024</v>
      </c>
      <c r="AF991" s="1" t="n">
        <f aca="false">VALUE(RIGHT(B991,4))</f>
        <v>2024</v>
      </c>
      <c r="AG991" s="1" t="str">
        <f aca="false">CHOOSE(ROUNDUP(VALUE(MID(B991,4,2))/3,0),"Q1","Q2","Q3","Q4")</f>
        <v>Q4</v>
      </c>
    </row>
    <row r="992" customFormat="false" ht="15" hidden="false" customHeight="true" outlineLevel="0" collapsed="false">
      <c r="A992" s="1" t="s">
        <v>1716</v>
      </c>
      <c r="B992" s="1" t="s">
        <v>1688</v>
      </c>
      <c r="C992" s="1" t="s">
        <v>128</v>
      </c>
      <c r="D992" s="1" t="s">
        <v>29</v>
      </c>
      <c r="E992" s="1" t="s">
        <v>182</v>
      </c>
      <c r="F992" s="1" t="s">
        <v>31</v>
      </c>
      <c r="G992" s="1" t="s">
        <v>32</v>
      </c>
      <c r="H992" s="1" t="s">
        <v>33</v>
      </c>
      <c r="I992" s="1" t="s">
        <v>58</v>
      </c>
      <c r="J992" s="1" t="s">
        <v>131</v>
      </c>
      <c r="K992" s="1" t="s">
        <v>84</v>
      </c>
      <c r="L992" s="1" t="s">
        <v>136</v>
      </c>
      <c r="M992" s="1" t="s">
        <v>50</v>
      </c>
      <c r="N992" s="1" t="n">
        <v>34999</v>
      </c>
      <c r="O992" s="1" t="n">
        <v>40</v>
      </c>
      <c r="P992" s="1" t="n">
        <v>13999.6</v>
      </c>
      <c r="Q992" s="1" t="n">
        <v>20999.4</v>
      </c>
      <c r="R992" s="1" t="n">
        <v>3779.89</v>
      </c>
      <c r="S992" s="1" t="n">
        <v>17219.51</v>
      </c>
      <c r="T992" s="1" t="n">
        <v>8239.15</v>
      </c>
      <c r="U992" s="1" t="n">
        <v>8980.36</v>
      </c>
      <c r="V992" s="1" t="n">
        <v>52.15</v>
      </c>
      <c r="W992" s="1" t="s">
        <v>40</v>
      </c>
      <c r="Y992" s="1" t="s">
        <v>40</v>
      </c>
      <c r="Z992" s="1" t="n">
        <v>2</v>
      </c>
      <c r="AA992" s="1" t="str">
        <f aca="false">TRIM(PROPER(F992))</f>
        <v>Jodhpur</v>
      </c>
      <c r="AB992" s="1" t="str">
        <f aca="false">TRIM(PROPER(C992))</f>
        <v>Great Learning</v>
      </c>
      <c r="AC992" s="1" t="str">
        <f aca="false">IF(O992=0,"No Discount",IF(O992&lt;=15,"Low (1-15%)",IF(O992&lt;=30,"Medium (16-30%)","High (&gt;30%)")))</f>
        <v>High (&gt;30%)</v>
      </c>
      <c r="AD992" s="1" t="str">
        <f aca="false">IF(V992&lt;0,"Loss Making",IF(V992&lt;20,"Low Margin","Healthy Margin"))</f>
        <v>Healthy Margin</v>
      </c>
      <c r="AE992" s="1" t="str">
        <f aca="false">TEXT(DATE(VALUE(RIGHT(B992,4)),VALUE(MID(B992,4,2)),VALUE(LEFT(B992,2))),"MMM-YYYY")</f>
        <v>Mar-2024</v>
      </c>
      <c r="AF992" s="1" t="n">
        <f aca="false">VALUE(RIGHT(B992,4))</f>
        <v>2024</v>
      </c>
      <c r="AG992" s="1" t="str">
        <f aca="false">CHOOSE(ROUNDUP(VALUE(MID(B992,4,2))/3,0),"Q1","Q2","Q3","Q4")</f>
        <v>Q1</v>
      </c>
    </row>
    <row r="993" customFormat="false" ht="15" hidden="false" customHeight="true" outlineLevel="0" collapsed="false">
      <c r="A993" s="1" t="s">
        <v>1717</v>
      </c>
      <c r="B993" s="1" t="s">
        <v>936</v>
      </c>
      <c r="C993" s="1" t="s">
        <v>264</v>
      </c>
      <c r="D993" s="1" t="s">
        <v>143</v>
      </c>
      <c r="E993" s="1" t="s">
        <v>243</v>
      </c>
      <c r="F993" s="1" t="s">
        <v>184</v>
      </c>
      <c r="G993" s="1" t="s">
        <v>56</v>
      </c>
      <c r="H993" s="1" t="s">
        <v>57</v>
      </c>
      <c r="I993" s="1" t="s">
        <v>34</v>
      </c>
      <c r="J993" s="1" t="s">
        <v>70</v>
      </c>
      <c r="K993" s="1" t="s">
        <v>112</v>
      </c>
      <c r="L993" s="1" t="s">
        <v>113</v>
      </c>
      <c r="M993" s="1" t="s">
        <v>62</v>
      </c>
      <c r="N993" s="1" t="n">
        <v>22999</v>
      </c>
      <c r="O993" s="1" t="n">
        <v>25</v>
      </c>
      <c r="P993" s="1" t="n">
        <v>5749.75</v>
      </c>
      <c r="Q993" s="1" t="n">
        <v>17249.25</v>
      </c>
      <c r="R993" s="1" t="n">
        <v>3104.86</v>
      </c>
      <c r="S993" s="1" t="n">
        <v>14144.39</v>
      </c>
      <c r="T993" s="1" t="n">
        <v>6717.66</v>
      </c>
      <c r="U993" s="1" t="n">
        <v>7426.73</v>
      </c>
      <c r="V993" s="1" t="n">
        <v>52.51</v>
      </c>
      <c r="W993" s="1" t="s">
        <v>40</v>
      </c>
      <c r="Y993" s="1" t="s">
        <v>40</v>
      </c>
      <c r="Z993" s="1" t="n">
        <v>0</v>
      </c>
      <c r="AA993" s="1" t="str">
        <f aca="false">TRIM(PROPER(F993))</f>
        <v>Faridabad</v>
      </c>
      <c r="AB993" s="1" t="str">
        <f aca="false">TRIM(PROPER(C993))</f>
        <v>Unacademy</v>
      </c>
      <c r="AC993" s="1" t="str">
        <f aca="false">IF(O993=0,"No Discount",IF(O993&lt;=15,"Low (1-15%)",IF(O993&lt;=30,"Medium (16-30%)","High (&gt;30%)")))</f>
        <v>Medium (16-30%)</v>
      </c>
      <c r="AD993" s="1" t="str">
        <f aca="false">IF(V993&lt;0,"Loss Making",IF(V993&lt;20,"Low Margin","Healthy Margin"))</f>
        <v>Healthy Margin</v>
      </c>
      <c r="AE993" s="1" t="str">
        <f aca="false">TEXT(DATE(VALUE(RIGHT(B993,4)),VALUE(MID(B993,4,2)),VALUE(LEFT(B993,2))),"MMM-YYYY")</f>
        <v>Jun-2024</v>
      </c>
      <c r="AF993" s="1" t="n">
        <f aca="false">VALUE(RIGHT(B993,4))</f>
        <v>2024</v>
      </c>
      <c r="AG993" s="1" t="str">
        <f aca="false">CHOOSE(ROUNDUP(VALUE(MID(B993,4,2))/3,0),"Q1","Q2","Q3","Q4")</f>
        <v>Q2</v>
      </c>
    </row>
    <row r="994" customFormat="false" ht="15" hidden="false" customHeight="true" outlineLevel="0" collapsed="false">
      <c r="A994" s="1" t="s">
        <v>1718</v>
      </c>
      <c r="B994" s="1" t="s">
        <v>1719</v>
      </c>
      <c r="C994" s="1" t="s">
        <v>167</v>
      </c>
      <c r="D994" s="1" t="s">
        <v>143</v>
      </c>
      <c r="E994" s="1" t="s">
        <v>210</v>
      </c>
      <c r="F994" s="1" t="s">
        <v>125</v>
      </c>
      <c r="G994" s="1" t="s">
        <v>108</v>
      </c>
      <c r="H994" s="1" t="s">
        <v>69</v>
      </c>
      <c r="I994" s="1" t="s">
        <v>34</v>
      </c>
      <c r="J994" s="1" t="s">
        <v>70</v>
      </c>
      <c r="K994" s="1" t="s">
        <v>112</v>
      </c>
      <c r="L994" s="1" t="s">
        <v>61</v>
      </c>
      <c r="M994" s="1" t="s">
        <v>62</v>
      </c>
      <c r="N994" s="1" t="n">
        <v>18999</v>
      </c>
      <c r="O994" s="1" t="n">
        <v>0</v>
      </c>
      <c r="P994" s="1" t="n">
        <v>0</v>
      </c>
      <c r="Q994" s="1" t="n">
        <v>18999</v>
      </c>
      <c r="R994" s="1" t="n">
        <v>3419.82</v>
      </c>
      <c r="S994" s="1" t="n">
        <v>15579.18</v>
      </c>
      <c r="T994" s="1" t="n">
        <v>6587.41</v>
      </c>
      <c r="U994" s="1" t="n">
        <v>8991.77</v>
      </c>
      <c r="V994" s="1" t="n">
        <v>57.72</v>
      </c>
      <c r="W994" s="1" t="s">
        <v>40</v>
      </c>
      <c r="Y994" s="1" t="s">
        <v>40</v>
      </c>
      <c r="Z994" s="1" t="n">
        <v>2</v>
      </c>
      <c r="AA994" s="1" t="str">
        <f aca="false">TRIM(PROPER(F994))</f>
        <v>Chennai</v>
      </c>
      <c r="AB994" s="1" t="str">
        <f aca="false">TRIM(PROPER(C994))</f>
        <v>Scaler</v>
      </c>
      <c r="AC994" s="1" t="str">
        <f aca="false">IF(O994=0,"No Discount",IF(O994&lt;=15,"Low (1-15%)",IF(O994&lt;=30,"Medium (16-30%)","High (&gt;30%)")))</f>
        <v>No Discount</v>
      </c>
      <c r="AD994" s="1" t="str">
        <f aca="false">IF(V994&lt;0,"Loss Making",IF(V994&lt;20,"Low Margin","Healthy Margin"))</f>
        <v>Healthy Margin</v>
      </c>
      <c r="AE994" s="1" t="str">
        <f aca="false">TEXT(DATE(VALUE(RIGHT(B994,4)),VALUE(MID(B994,4,2)),VALUE(LEFT(B994,2))),"MMM-YYYY")</f>
        <v>Jan-2024</v>
      </c>
      <c r="AF994" s="1" t="n">
        <f aca="false">VALUE(RIGHT(B994,4))</f>
        <v>2024</v>
      </c>
      <c r="AG994" s="1" t="str">
        <f aca="false">CHOOSE(ROUNDUP(VALUE(MID(B994,4,2))/3,0),"Q1","Q2","Q3","Q4")</f>
        <v>Q1</v>
      </c>
    </row>
    <row r="995" customFormat="false" ht="15" hidden="false" customHeight="true" outlineLevel="0" collapsed="false">
      <c r="A995" s="1" t="s">
        <v>1720</v>
      </c>
      <c r="B995" s="1" t="s">
        <v>1721</v>
      </c>
      <c r="C995" s="1" t="s">
        <v>134</v>
      </c>
      <c r="D995" s="1" t="s">
        <v>94</v>
      </c>
      <c r="E995" s="1" t="s">
        <v>95</v>
      </c>
      <c r="F995" s="1" t="s">
        <v>211</v>
      </c>
      <c r="G995" s="1" t="s">
        <v>56</v>
      </c>
      <c r="H995" s="1" t="s">
        <v>69</v>
      </c>
      <c r="I995" s="1" t="s">
        <v>83</v>
      </c>
      <c r="J995" s="1" t="s">
        <v>35</v>
      </c>
      <c r="K995" s="1" t="s">
        <v>90</v>
      </c>
      <c r="L995" s="1" t="s">
        <v>49</v>
      </c>
      <c r="M995" s="1" t="s">
        <v>38</v>
      </c>
      <c r="N995" s="1" t="n">
        <v>6999</v>
      </c>
      <c r="O995" s="1" t="n">
        <v>0</v>
      </c>
      <c r="P995" s="1" t="n">
        <v>0</v>
      </c>
      <c r="Q995" s="1" t="n">
        <v>6999</v>
      </c>
      <c r="R995" s="1" t="n">
        <v>1259.82</v>
      </c>
      <c r="S995" s="1" t="n">
        <v>5739.18</v>
      </c>
      <c r="T995" s="1" t="n">
        <v>2471.23</v>
      </c>
      <c r="U995" s="1" t="n">
        <v>3267.95</v>
      </c>
      <c r="V995" s="1" t="n">
        <v>56.94</v>
      </c>
      <c r="W995" s="1" t="s">
        <v>39</v>
      </c>
      <c r="X995" s="1" t="n">
        <v>4.3</v>
      </c>
      <c r="Y995" s="1" t="s">
        <v>39</v>
      </c>
      <c r="Z995" s="1" t="n">
        <v>1</v>
      </c>
      <c r="AA995" s="1" t="str">
        <f aca="false">TRIM(PROPER(F995))</f>
        <v>Noida</v>
      </c>
      <c r="AB995" s="1" t="str">
        <f aca="false">TRIM(PROPER(C995))</f>
        <v>Doubtnut</v>
      </c>
      <c r="AC995" s="1" t="str">
        <f aca="false">IF(O995=0,"No Discount",IF(O995&lt;=15,"Low (1-15%)",IF(O995&lt;=30,"Medium (16-30%)","High (&gt;30%)")))</f>
        <v>No Discount</v>
      </c>
      <c r="AD995" s="1" t="str">
        <f aca="false">IF(V995&lt;0,"Loss Making",IF(V995&lt;20,"Low Margin","Healthy Margin"))</f>
        <v>Healthy Margin</v>
      </c>
      <c r="AE995" s="1" t="str">
        <f aca="false">TEXT(DATE(VALUE(RIGHT(B995,4)),VALUE(MID(B995,4,2)),VALUE(LEFT(B995,2))),"MMM-YYYY")</f>
        <v>Apr-2024</v>
      </c>
      <c r="AF995" s="1" t="n">
        <f aca="false">VALUE(RIGHT(B995,4))</f>
        <v>2024</v>
      </c>
      <c r="AG995" s="1" t="str">
        <f aca="false">CHOOSE(ROUNDUP(VALUE(MID(B995,4,2))/3,0),"Q1","Q2","Q3","Q4")</f>
        <v>Q2</v>
      </c>
    </row>
    <row r="996" customFormat="false" ht="15" hidden="false" customHeight="true" outlineLevel="0" collapsed="false">
      <c r="A996" s="1" t="s">
        <v>1722</v>
      </c>
      <c r="B996" s="1" t="s">
        <v>1156</v>
      </c>
      <c r="C996" s="1" t="s">
        <v>43</v>
      </c>
      <c r="D996" s="1" t="s">
        <v>80</v>
      </c>
      <c r="E996" s="1" t="s">
        <v>175</v>
      </c>
      <c r="F996" s="1" t="s">
        <v>107</v>
      </c>
      <c r="G996" s="1" t="s">
        <v>108</v>
      </c>
      <c r="H996" s="1" t="s">
        <v>33</v>
      </c>
      <c r="I996" s="1" t="s">
        <v>34</v>
      </c>
      <c r="J996" s="1" t="s">
        <v>77</v>
      </c>
      <c r="K996" s="1" t="s">
        <v>112</v>
      </c>
      <c r="L996" s="1" t="s">
        <v>37</v>
      </c>
      <c r="M996" s="1" t="s">
        <v>50</v>
      </c>
      <c r="N996" s="1" t="n">
        <v>19999</v>
      </c>
      <c r="O996" s="1" t="n">
        <v>15</v>
      </c>
      <c r="P996" s="1" t="n">
        <v>2999.85</v>
      </c>
      <c r="Q996" s="1" t="n">
        <v>16999.15</v>
      </c>
      <c r="R996" s="1" t="n">
        <v>3059.85</v>
      </c>
      <c r="S996" s="1" t="n">
        <v>13939.3</v>
      </c>
      <c r="T996" s="1" t="n">
        <v>5206.01</v>
      </c>
      <c r="U996" s="1" t="n">
        <v>8733.29</v>
      </c>
      <c r="V996" s="1" t="n">
        <v>62.65</v>
      </c>
      <c r="W996" s="1" t="s">
        <v>39</v>
      </c>
      <c r="X996" s="1" t="n">
        <v>4.4</v>
      </c>
      <c r="Y996" s="1" t="s">
        <v>40</v>
      </c>
      <c r="Z996" s="1" t="n">
        <v>0</v>
      </c>
      <c r="AA996" s="1" t="str">
        <f aca="false">TRIM(PROPER(F996))</f>
        <v>Madurai</v>
      </c>
      <c r="AB996" s="1" t="str">
        <f aca="false">TRIM(PROPER(C996))</f>
        <v>Meritnation</v>
      </c>
      <c r="AC996" s="1" t="str">
        <f aca="false">IF(O996=0,"No Discount",IF(O996&lt;=15,"Low (1-15%)",IF(O996&lt;=30,"Medium (16-30%)","High (&gt;30%)")))</f>
        <v>Low (1-15%)</v>
      </c>
      <c r="AD996" s="1" t="str">
        <f aca="false">IF(V996&lt;0,"Loss Making",IF(V996&lt;20,"Low Margin","Healthy Margin"))</f>
        <v>Healthy Margin</v>
      </c>
      <c r="AE996" s="1" t="str">
        <f aca="false">TEXT(DATE(VALUE(RIGHT(B996,4)),VALUE(MID(B996,4,2)),VALUE(LEFT(B996,2))),"MMM-YYYY")</f>
        <v>Jan-2024</v>
      </c>
      <c r="AF996" s="1" t="n">
        <f aca="false">VALUE(RIGHT(B996,4))</f>
        <v>2024</v>
      </c>
      <c r="AG996" s="1" t="str">
        <f aca="false">CHOOSE(ROUNDUP(VALUE(MID(B996,4,2))/3,0),"Q1","Q2","Q3","Q4")</f>
        <v>Q1</v>
      </c>
    </row>
    <row r="997" customFormat="false" ht="15" hidden="false" customHeight="true" outlineLevel="0" collapsed="false">
      <c r="A997" s="1" t="s">
        <v>1723</v>
      </c>
      <c r="B997" s="1" t="s">
        <v>1056</v>
      </c>
      <c r="C997" s="1" t="s">
        <v>88</v>
      </c>
      <c r="D997" s="1" t="s">
        <v>53</v>
      </c>
      <c r="E997" s="1" t="s">
        <v>54</v>
      </c>
      <c r="F997" s="1" t="s">
        <v>96</v>
      </c>
      <c r="G997" s="1" t="s">
        <v>97</v>
      </c>
      <c r="H997" s="1" t="s">
        <v>69</v>
      </c>
      <c r="I997" s="1" t="s">
        <v>58</v>
      </c>
      <c r="J997" s="1" t="s">
        <v>59</v>
      </c>
      <c r="K997" s="1" t="s">
        <v>71</v>
      </c>
      <c r="L997" s="1" t="s">
        <v>136</v>
      </c>
      <c r="M997" s="1" t="s">
        <v>50</v>
      </c>
      <c r="N997" s="1" t="n">
        <v>11999</v>
      </c>
      <c r="O997" s="1" t="n">
        <v>20</v>
      </c>
      <c r="P997" s="1" t="n">
        <v>2399.8</v>
      </c>
      <c r="Q997" s="1" t="n">
        <v>9599.2</v>
      </c>
      <c r="R997" s="1" t="n">
        <v>1727.86</v>
      </c>
      <c r="S997" s="1" t="n">
        <v>7871.34</v>
      </c>
      <c r="T997" s="1" t="n">
        <v>3642.6</v>
      </c>
      <c r="U997" s="1" t="n">
        <v>4228.74</v>
      </c>
      <c r="V997" s="1" t="n">
        <v>53.72</v>
      </c>
      <c r="W997" s="1" t="s">
        <v>40</v>
      </c>
      <c r="Y997" s="1" t="s">
        <v>40</v>
      </c>
      <c r="Z997" s="1" t="n">
        <v>0</v>
      </c>
      <c r="AA997" s="1" t="str">
        <f aca="false">TRIM(PROPER(F997))</f>
        <v>Pune</v>
      </c>
      <c r="AB997" s="1" t="str">
        <f aca="false">TRIM(PROPER(C997))</f>
        <v>Byju'S</v>
      </c>
      <c r="AC997" s="1" t="str">
        <f aca="false">IF(O997=0,"No Discount",IF(O997&lt;=15,"Low (1-15%)",IF(O997&lt;=30,"Medium (16-30%)","High (&gt;30%)")))</f>
        <v>Medium (16-30%)</v>
      </c>
      <c r="AD997" s="1" t="str">
        <f aca="false">IF(V997&lt;0,"Loss Making",IF(V997&lt;20,"Low Margin","Healthy Margin"))</f>
        <v>Healthy Margin</v>
      </c>
      <c r="AE997" s="1" t="str">
        <f aca="false">TEXT(DATE(VALUE(RIGHT(B997,4)),VALUE(MID(B997,4,2)),VALUE(LEFT(B997,2))),"MMM-YYYY")</f>
        <v>Apr-2024</v>
      </c>
      <c r="AF997" s="1" t="n">
        <f aca="false">VALUE(RIGHT(B997,4))</f>
        <v>2024</v>
      </c>
      <c r="AG997" s="1" t="str">
        <f aca="false">CHOOSE(ROUNDUP(VALUE(MID(B997,4,2))/3,0),"Q1","Q2","Q3","Q4")</f>
        <v>Q2</v>
      </c>
    </row>
    <row r="998" customFormat="false" ht="15" hidden="false" customHeight="true" outlineLevel="0" collapsed="false">
      <c r="A998" s="1" t="s">
        <v>1724</v>
      </c>
      <c r="B998" s="1" t="s">
        <v>284</v>
      </c>
      <c r="C998" s="1" t="s">
        <v>43</v>
      </c>
      <c r="D998" s="1" t="s">
        <v>53</v>
      </c>
      <c r="E998" s="1" t="s">
        <v>216</v>
      </c>
      <c r="F998" s="1" t="s">
        <v>125</v>
      </c>
      <c r="G998" s="1" t="s">
        <v>108</v>
      </c>
      <c r="H998" s="1" t="s">
        <v>69</v>
      </c>
      <c r="I998" s="1" t="s">
        <v>34</v>
      </c>
      <c r="J998" s="1" t="s">
        <v>35</v>
      </c>
      <c r="K998" s="1" t="s">
        <v>60</v>
      </c>
      <c r="L998" s="1" t="s">
        <v>61</v>
      </c>
      <c r="M998" s="1" t="s">
        <v>62</v>
      </c>
      <c r="N998" s="1" t="n">
        <v>7499</v>
      </c>
      <c r="O998" s="1" t="n">
        <v>0</v>
      </c>
      <c r="P998" s="1" t="n">
        <v>0</v>
      </c>
      <c r="Q998" s="1" t="n">
        <v>7499</v>
      </c>
      <c r="R998" s="1" t="n">
        <v>1349.82</v>
      </c>
      <c r="S998" s="1" t="n">
        <v>6149.18</v>
      </c>
      <c r="T998" s="1" t="n">
        <v>2482.95</v>
      </c>
      <c r="U998" s="1" t="n">
        <v>3666.23</v>
      </c>
      <c r="V998" s="1" t="n">
        <v>59.62</v>
      </c>
      <c r="W998" s="1" t="s">
        <v>40</v>
      </c>
      <c r="Y998" s="1" t="s">
        <v>40</v>
      </c>
      <c r="Z998" s="1" t="n">
        <v>3</v>
      </c>
      <c r="AA998" s="1" t="str">
        <f aca="false">TRIM(PROPER(F998))</f>
        <v>Chennai</v>
      </c>
      <c r="AB998" s="1" t="str">
        <f aca="false">TRIM(PROPER(C998))</f>
        <v>Meritnation</v>
      </c>
      <c r="AC998" s="1" t="str">
        <f aca="false">IF(O998=0,"No Discount",IF(O998&lt;=15,"Low (1-15%)",IF(O998&lt;=30,"Medium (16-30%)","High (&gt;30%)")))</f>
        <v>No Discount</v>
      </c>
      <c r="AD998" s="1" t="str">
        <f aca="false">IF(V998&lt;0,"Loss Making",IF(V998&lt;20,"Low Margin","Healthy Margin"))</f>
        <v>Healthy Margin</v>
      </c>
      <c r="AE998" s="1" t="str">
        <f aca="false">TEXT(DATE(VALUE(RIGHT(B998,4)),VALUE(MID(B998,4,2)),VALUE(LEFT(B998,2))),"MMM-YYYY")</f>
        <v>Oct-2024</v>
      </c>
      <c r="AF998" s="1" t="n">
        <f aca="false">VALUE(RIGHT(B998,4))</f>
        <v>2024</v>
      </c>
      <c r="AG998" s="1" t="str">
        <f aca="false">CHOOSE(ROUNDUP(VALUE(MID(B998,4,2))/3,0),"Q1","Q2","Q3","Q4")</f>
        <v>Q4</v>
      </c>
    </row>
    <row r="999" customFormat="false" ht="15" hidden="false" customHeight="true" outlineLevel="0" collapsed="false">
      <c r="A999" s="1" t="s">
        <v>1725</v>
      </c>
      <c r="B999" s="1" t="s">
        <v>360</v>
      </c>
      <c r="C999" s="1" t="s">
        <v>178</v>
      </c>
      <c r="D999" s="1" t="s">
        <v>29</v>
      </c>
      <c r="E999" s="1" t="s">
        <v>129</v>
      </c>
      <c r="F999" s="1" t="s">
        <v>205</v>
      </c>
      <c r="G999" s="1" t="s">
        <v>56</v>
      </c>
      <c r="H999" s="1" t="s">
        <v>69</v>
      </c>
      <c r="I999" s="1" t="s">
        <v>83</v>
      </c>
      <c r="J999" s="1" t="s">
        <v>70</v>
      </c>
      <c r="K999" s="1" t="s">
        <v>36</v>
      </c>
      <c r="L999" s="1" t="s">
        <v>37</v>
      </c>
      <c r="M999" s="1" t="s">
        <v>62</v>
      </c>
      <c r="N999" s="1" t="n">
        <v>29999</v>
      </c>
      <c r="O999" s="1" t="n">
        <v>50</v>
      </c>
      <c r="P999" s="1" t="n">
        <v>14999.5</v>
      </c>
      <c r="Q999" s="1" t="n">
        <v>14999.5</v>
      </c>
      <c r="R999" s="1" t="n">
        <v>2699.91</v>
      </c>
      <c r="S999" s="1" t="n">
        <v>12299.59</v>
      </c>
      <c r="T999" s="1" t="n">
        <v>5605.52</v>
      </c>
      <c r="U999" s="1" t="n">
        <v>6694.07</v>
      </c>
      <c r="V999" s="1" t="n">
        <v>54.43</v>
      </c>
      <c r="W999" s="1" t="s">
        <v>40</v>
      </c>
      <c r="Y999" s="1" t="s">
        <v>40</v>
      </c>
      <c r="Z999" s="1" t="n">
        <v>1</v>
      </c>
      <c r="AA999" s="1" t="str">
        <f aca="false">TRIM(PROPER(F999))</f>
        <v>New Delhi</v>
      </c>
      <c r="AB999" s="1" t="str">
        <f aca="false">TRIM(PROPER(C999))</f>
        <v>Leverage Edu</v>
      </c>
      <c r="AC999" s="1" t="str">
        <f aca="false">IF(O999=0,"No Discount",IF(O999&lt;=15,"Low (1-15%)",IF(O999&lt;=30,"Medium (16-30%)","High (&gt;30%)")))</f>
        <v>High (&gt;30%)</v>
      </c>
      <c r="AD999" s="1" t="str">
        <f aca="false">IF(V999&lt;0,"Loss Making",IF(V999&lt;20,"Low Margin","Healthy Margin"))</f>
        <v>Healthy Margin</v>
      </c>
      <c r="AE999" s="1" t="str">
        <f aca="false">TEXT(DATE(VALUE(RIGHT(B999,4)),VALUE(MID(B999,4,2)),VALUE(LEFT(B999,2))),"MMM-YYYY")</f>
        <v>Feb-2023</v>
      </c>
      <c r="AF999" s="1" t="n">
        <f aca="false">VALUE(RIGHT(B999,4))</f>
        <v>2023</v>
      </c>
      <c r="AG999" s="1" t="str">
        <f aca="false">CHOOSE(ROUNDUP(VALUE(MID(B999,4,2))/3,0),"Q1","Q2","Q3","Q4")</f>
        <v>Q1</v>
      </c>
    </row>
    <row r="1000" customFormat="false" ht="15" hidden="false" customHeight="true" outlineLevel="0" collapsed="false">
      <c r="A1000" s="1" t="s">
        <v>1726</v>
      </c>
      <c r="B1000" s="1" t="s">
        <v>1727</v>
      </c>
      <c r="C1000" s="1" t="s">
        <v>128</v>
      </c>
      <c r="D1000" s="1" t="s">
        <v>29</v>
      </c>
      <c r="E1000" s="1" t="s">
        <v>129</v>
      </c>
      <c r="F1000" s="1" t="s">
        <v>140</v>
      </c>
      <c r="G1000" s="1" t="s">
        <v>97</v>
      </c>
      <c r="H1000" s="1" t="s">
        <v>57</v>
      </c>
      <c r="I1000" s="1" t="s">
        <v>34</v>
      </c>
      <c r="J1000" s="1" t="s">
        <v>70</v>
      </c>
      <c r="K1000" s="1" t="s">
        <v>84</v>
      </c>
      <c r="L1000" s="1" t="s">
        <v>61</v>
      </c>
      <c r="M1000" s="1" t="s">
        <v>38</v>
      </c>
      <c r="N1000" s="1" t="n">
        <v>29999</v>
      </c>
      <c r="O1000" s="1" t="n">
        <v>15</v>
      </c>
      <c r="P1000" s="1" t="n">
        <v>4499.85</v>
      </c>
      <c r="Q1000" s="1" t="n">
        <v>25499.15</v>
      </c>
      <c r="R1000" s="1" t="n">
        <v>4589.85</v>
      </c>
      <c r="S1000" s="1" t="n">
        <v>20909.3</v>
      </c>
      <c r="T1000" s="1" t="n">
        <v>9834.41</v>
      </c>
      <c r="U1000" s="1" t="n">
        <v>11074.89</v>
      </c>
      <c r="V1000" s="1" t="n">
        <v>52.97</v>
      </c>
      <c r="W1000" s="1" t="s">
        <v>39</v>
      </c>
      <c r="X1000" s="1" t="n">
        <v>3.7</v>
      </c>
      <c r="Y1000" s="1" t="s">
        <v>40</v>
      </c>
      <c r="Z1000" s="1" t="n">
        <v>0</v>
      </c>
      <c r="AA1000" s="1" t="str">
        <f aca="false">TRIM(PROPER(F1000))</f>
        <v>Nashik</v>
      </c>
      <c r="AB1000" s="1" t="str">
        <f aca="false">TRIM(PROPER(C1000))</f>
        <v>Great Learning</v>
      </c>
      <c r="AC1000" s="1" t="str">
        <f aca="false">IF(O1000=0,"No Discount",IF(O1000&lt;=15,"Low (1-15%)",IF(O1000&lt;=30,"Medium (16-30%)","High (&gt;30%)")))</f>
        <v>Low (1-15%)</v>
      </c>
      <c r="AD1000" s="1" t="str">
        <f aca="false">IF(V1000&lt;0,"Loss Making",IF(V1000&lt;20,"Low Margin","Healthy Margin"))</f>
        <v>Healthy Margin</v>
      </c>
      <c r="AE1000" s="1" t="str">
        <f aca="false">TEXT(DATE(VALUE(RIGHT(B1000,4)),VALUE(MID(B1000,4,2)),VALUE(LEFT(B1000,2))),"MMM-YYYY")</f>
        <v>Jun-2024</v>
      </c>
      <c r="AF1000" s="1" t="n">
        <f aca="false">VALUE(RIGHT(B1000,4))</f>
        <v>2024</v>
      </c>
      <c r="AG1000" s="1" t="str">
        <f aca="false">CHOOSE(ROUNDUP(VALUE(MID(B1000,4,2))/3,0),"Q1","Q2","Q3","Q4")</f>
        <v>Q2</v>
      </c>
    </row>
    <row r="1001" customFormat="false" ht="15" hidden="false" customHeight="true" outlineLevel="0" collapsed="false">
      <c r="A1001" s="1" t="s">
        <v>1728</v>
      </c>
      <c r="B1001" s="1" t="s">
        <v>239</v>
      </c>
      <c r="C1001" s="1" t="s">
        <v>88</v>
      </c>
      <c r="D1001" s="1" t="s">
        <v>29</v>
      </c>
      <c r="E1001" s="1" t="s">
        <v>305</v>
      </c>
      <c r="F1001" s="1" t="s">
        <v>125</v>
      </c>
      <c r="G1001" s="1" t="s">
        <v>108</v>
      </c>
      <c r="H1001" s="1" t="s">
        <v>69</v>
      </c>
      <c r="I1001" s="1" t="s">
        <v>58</v>
      </c>
      <c r="J1001" s="1" t="s">
        <v>131</v>
      </c>
      <c r="K1001" s="1" t="s">
        <v>71</v>
      </c>
      <c r="L1001" s="1" t="s">
        <v>113</v>
      </c>
      <c r="M1001" s="1" t="s">
        <v>50</v>
      </c>
      <c r="N1001" s="1" t="n">
        <v>24999</v>
      </c>
      <c r="O1001" s="1" t="n">
        <v>0</v>
      </c>
      <c r="P1001" s="1" t="n">
        <v>0</v>
      </c>
      <c r="Q1001" s="1" t="n">
        <v>24999</v>
      </c>
      <c r="R1001" s="1" t="n">
        <v>4499.82</v>
      </c>
      <c r="S1001" s="1" t="n">
        <v>20499.18</v>
      </c>
      <c r="T1001" s="1" t="n">
        <v>7420.32</v>
      </c>
      <c r="U1001" s="1" t="n">
        <v>13078.86</v>
      </c>
      <c r="V1001" s="1" t="n">
        <v>63.8</v>
      </c>
      <c r="W1001" s="1" t="s">
        <v>39</v>
      </c>
      <c r="X1001" s="1" t="n">
        <v>4</v>
      </c>
      <c r="Y1001" s="1" t="s">
        <v>40</v>
      </c>
      <c r="Z1001" s="1" t="n">
        <v>0</v>
      </c>
      <c r="AA1001" s="1" t="str">
        <f aca="false">TRIM(PROPER(F1001))</f>
        <v>Chennai</v>
      </c>
      <c r="AB1001" s="1" t="str">
        <f aca="false">TRIM(PROPER(C1001))</f>
        <v>Byju'S</v>
      </c>
      <c r="AC1001" s="1" t="str">
        <f aca="false">IF(O1001=0,"No Discount",IF(O1001&lt;=15,"Low (1-15%)",IF(O1001&lt;=30,"Medium (16-30%)","High (&gt;30%)")))</f>
        <v>No Discount</v>
      </c>
      <c r="AD1001" s="1" t="str">
        <f aca="false">IF(V1001&lt;0,"Loss Making",IF(V1001&lt;20,"Low Margin","Healthy Margin"))</f>
        <v>Healthy Margin</v>
      </c>
      <c r="AE1001" s="1" t="str">
        <f aca="false">TEXT(DATE(VALUE(RIGHT(B1001,4)),VALUE(MID(B1001,4,2)),VALUE(LEFT(B1001,2))),"MMM-YYYY")</f>
        <v>Oct-2024</v>
      </c>
      <c r="AF1001" s="1" t="n">
        <f aca="false">VALUE(RIGHT(B1001,4))</f>
        <v>2024</v>
      </c>
      <c r="AG1001" s="1" t="str">
        <f aca="false">CHOOSE(ROUNDUP(VALUE(MID(B1001,4,2))/3,0),"Q1","Q2","Q3","Q4")</f>
        <v>Q4</v>
      </c>
    </row>
    <row r="1002" customFormat="false" ht="15" hidden="false" customHeight="true" outlineLevel="0" collapsed="false">
      <c r="A1002" s="1" t="s">
        <v>1729</v>
      </c>
      <c r="B1002" s="1" t="s">
        <v>330</v>
      </c>
      <c r="C1002" s="1" t="s">
        <v>128</v>
      </c>
      <c r="D1002" s="1" t="s">
        <v>94</v>
      </c>
      <c r="E1002" s="1" t="s">
        <v>135</v>
      </c>
      <c r="F1002" s="1" t="s">
        <v>269</v>
      </c>
      <c r="G1002" s="1" t="s">
        <v>108</v>
      </c>
      <c r="H1002" s="1" t="s">
        <v>57</v>
      </c>
      <c r="I1002" s="1" t="s">
        <v>34</v>
      </c>
      <c r="J1002" s="1" t="s">
        <v>35</v>
      </c>
      <c r="K1002" s="1" t="s">
        <v>60</v>
      </c>
      <c r="L1002" s="1" t="s">
        <v>113</v>
      </c>
      <c r="M1002" s="1" t="s">
        <v>50</v>
      </c>
      <c r="N1002" s="1" t="n">
        <v>9999</v>
      </c>
      <c r="O1002" s="1" t="n">
        <v>0</v>
      </c>
      <c r="P1002" s="1" t="n">
        <v>0</v>
      </c>
      <c r="Q1002" s="1" t="n">
        <v>9999</v>
      </c>
      <c r="R1002" s="1" t="n">
        <v>1799.82</v>
      </c>
      <c r="S1002" s="1" t="n">
        <v>8199.18</v>
      </c>
      <c r="T1002" s="1" t="n">
        <v>3360.16</v>
      </c>
      <c r="U1002" s="1" t="n">
        <v>4839.02</v>
      </c>
      <c r="V1002" s="1" t="n">
        <v>59.02</v>
      </c>
      <c r="W1002" s="1" t="s">
        <v>39</v>
      </c>
      <c r="X1002" s="1" t="n">
        <v>4.5</v>
      </c>
      <c r="Y1002" s="1" t="s">
        <v>40</v>
      </c>
      <c r="Z1002" s="1" t="n">
        <v>0</v>
      </c>
      <c r="AA1002" s="1" t="str">
        <f aca="false">TRIM(PROPER(F1002))</f>
        <v>Coimbatore</v>
      </c>
      <c r="AB1002" s="1" t="str">
        <f aca="false">TRIM(PROPER(C1002))</f>
        <v>Great Learning</v>
      </c>
      <c r="AC1002" s="1" t="str">
        <f aca="false">IF(O1002=0,"No Discount",IF(O1002&lt;=15,"Low (1-15%)",IF(O1002&lt;=30,"Medium (16-30%)","High (&gt;30%)")))</f>
        <v>No Discount</v>
      </c>
      <c r="AD1002" s="1" t="str">
        <f aca="false">IF(V1002&lt;0,"Loss Making",IF(V1002&lt;20,"Low Margin","Healthy Margin"))</f>
        <v>Healthy Margin</v>
      </c>
      <c r="AE1002" s="1" t="str">
        <f aca="false">TEXT(DATE(VALUE(RIGHT(B1002,4)),VALUE(MID(B1002,4,2)),VALUE(LEFT(B1002,2))),"MMM-YYYY")</f>
        <v>Feb-2024</v>
      </c>
      <c r="AF1002" s="1" t="n">
        <f aca="false">VALUE(RIGHT(B1002,4))</f>
        <v>2024</v>
      </c>
      <c r="AG1002" s="1" t="str">
        <f aca="false">CHOOSE(ROUNDUP(VALUE(MID(B1002,4,2))/3,0),"Q1","Q2","Q3","Q4")</f>
        <v>Q1</v>
      </c>
    </row>
    <row r="1003" customFormat="false" ht="15" hidden="false" customHeight="true" outlineLevel="0" collapsed="false">
      <c r="A1003" s="1" t="s">
        <v>1730</v>
      </c>
      <c r="B1003" s="1" t="s">
        <v>1731</v>
      </c>
      <c r="C1003" s="1" t="s">
        <v>264</v>
      </c>
      <c r="D1003" s="1" t="s">
        <v>53</v>
      </c>
      <c r="E1003" s="1" t="s">
        <v>54</v>
      </c>
      <c r="F1003" s="1" t="s">
        <v>67</v>
      </c>
      <c r="G1003" s="1" t="s">
        <v>68</v>
      </c>
      <c r="H1003" s="1" t="s">
        <v>69</v>
      </c>
      <c r="I1003" s="1" t="s">
        <v>83</v>
      </c>
      <c r="J1003" s="1" t="s">
        <v>35</v>
      </c>
      <c r="K1003" s="1" t="s">
        <v>36</v>
      </c>
      <c r="L1003" s="1" t="s">
        <v>85</v>
      </c>
      <c r="M1003" s="1" t="s">
        <v>38</v>
      </c>
      <c r="N1003" s="1" t="n">
        <v>11999</v>
      </c>
      <c r="O1003" s="1" t="n">
        <v>20</v>
      </c>
      <c r="P1003" s="1" t="n">
        <v>2399.8</v>
      </c>
      <c r="Q1003" s="1" t="n">
        <v>9599.2</v>
      </c>
      <c r="R1003" s="1" t="n">
        <v>1727.86</v>
      </c>
      <c r="S1003" s="1" t="n">
        <v>7871.34</v>
      </c>
      <c r="T1003" s="1" t="n">
        <v>3827.71</v>
      </c>
      <c r="U1003" s="1" t="n">
        <v>4043.63</v>
      </c>
      <c r="V1003" s="1" t="n">
        <v>51.37</v>
      </c>
      <c r="W1003" s="1" t="s">
        <v>40</v>
      </c>
      <c r="Y1003" s="1" t="s">
        <v>40</v>
      </c>
      <c r="Z1003" s="1" t="n">
        <v>2</v>
      </c>
      <c r="AA1003" s="1" t="str">
        <f aca="false">TRIM(PROPER(F1003))</f>
        <v>Ahmedabad</v>
      </c>
      <c r="AB1003" s="1" t="str">
        <f aca="false">TRIM(PROPER(C1003))</f>
        <v>Unacademy</v>
      </c>
      <c r="AC1003" s="1" t="str">
        <f aca="false">IF(O1003=0,"No Discount",IF(O1003&lt;=15,"Low (1-15%)",IF(O1003&lt;=30,"Medium (16-30%)","High (&gt;30%)")))</f>
        <v>Medium (16-30%)</v>
      </c>
      <c r="AD1003" s="1" t="str">
        <f aca="false">IF(V1003&lt;0,"Loss Making",IF(V1003&lt;20,"Low Margin","Healthy Margin"))</f>
        <v>Healthy Margin</v>
      </c>
      <c r="AE1003" s="1" t="str">
        <f aca="false">TEXT(DATE(VALUE(RIGHT(B1003,4)),VALUE(MID(B1003,4,2)),VALUE(LEFT(B1003,2))),"MMM-YYYY")</f>
        <v>Jan-2024</v>
      </c>
      <c r="AF1003" s="1" t="n">
        <f aca="false">VALUE(RIGHT(B1003,4))</f>
        <v>2024</v>
      </c>
      <c r="AG1003" s="1" t="str">
        <f aca="false">CHOOSE(ROUNDUP(VALUE(MID(B1003,4,2))/3,0),"Q1","Q2","Q3","Q4")</f>
        <v>Q1</v>
      </c>
    </row>
    <row r="1004" customFormat="false" ht="15" hidden="false" customHeight="true" outlineLevel="0" collapsed="false">
      <c r="A1004" s="1" t="s">
        <v>1732</v>
      </c>
      <c r="B1004" s="1" t="s">
        <v>1591</v>
      </c>
      <c r="C1004" s="1" t="s">
        <v>249</v>
      </c>
      <c r="D1004" s="1" t="s">
        <v>29</v>
      </c>
      <c r="E1004" s="1" t="s">
        <v>30</v>
      </c>
      <c r="F1004" s="1" t="s">
        <v>120</v>
      </c>
      <c r="G1004" s="1" t="s">
        <v>47</v>
      </c>
      <c r="H1004" s="1" t="s">
        <v>57</v>
      </c>
      <c r="I1004" s="1" t="s">
        <v>58</v>
      </c>
      <c r="J1004" s="1" t="s">
        <v>77</v>
      </c>
      <c r="K1004" s="1" t="s">
        <v>71</v>
      </c>
      <c r="L1004" s="1" t="s">
        <v>136</v>
      </c>
      <c r="M1004" s="1" t="s">
        <v>50</v>
      </c>
      <c r="N1004" s="1" t="n">
        <v>7999</v>
      </c>
      <c r="O1004" s="1" t="n">
        <v>10</v>
      </c>
      <c r="P1004" s="1" t="n">
        <v>799.9</v>
      </c>
      <c r="Q1004" s="1" t="n">
        <v>7199.1</v>
      </c>
      <c r="R1004" s="1" t="n">
        <v>1295.84</v>
      </c>
      <c r="S1004" s="1" t="n">
        <v>5903.26</v>
      </c>
      <c r="T1004" s="1" t="n">
        <v>2293.5</v>
      </c>
      <c r="U1004" s="1" t="n">
        <v>3609.76</v>
      </c>
      <c r="V1004" s="1" t="n">
        <v>61.15</v>
      </c>
      <c r="W1004" s="1" t="s">
        <v>39</v>
      </c>
      <c r="X1004" s="1" t="n">
        <v>4.3</v>
      </c>
      <c r="Y1004" s="1" t="s">
        <v>40</v>
      </c>
      <c r="Z1004" s="1" t="n">
        <v>2</v>
      </c>
      <c r="AA1004" s="1" t="str">
        <f aca="false">TRIM(PROPER(F1004))</f>
        <v>Mysuru</v>
      </c>
      <c r="AB1004" s="1" t="str">
        <f aca="false">TRIM(PROPER(C1004))</f>
        <v>Whitehat Jr</v>
      </c>
      <c r="AC1004" s="1" t="str">
        <f aca="false">IF(O1004=0,"No Discount",IF(O1004&lt;=15,"Low (1-15%)",IF(O1004&lt;=30,"Medium (16-30%)","High (&gt;30%)")))</f>
        <v>Low (1-15%)</v>
      </c>
      <c r="AD1004" s="1" t="str">
        <f aca="false">IF(V1004&lt;0,"Loss Making",IF(V1004&lt;20,"Low Margin","Healthy Margin"))</f>
        <v>Healthy Margin</v>
      </c>
      <c r="AE1004" s="1" t="str">
        <f aca="false">TEXT(DATE(VALUE(RIGHT(B1004,4)),VALUE(MID(B1004,4,2)),VALUE(LEFT(B1004,2))),"MMM-YYYY")</f>
        <v>Feb-2024</v>
      </c>
      <c r="AF1004" s="1" t="n">
        <f aca="false">VALUE(RIGHT(B1004,4))</f>
        <v>2024</v>
      </c>
      <c r="AG1004" s="1" t="str">
        <f aca="false">CHOOSE(ROUNDUP(VALUE(MID(B1004,4,2))/3,0),"Q1","Q2","Q3","Q4")</f>
        <v>Q1</v>
      </c>
    </row>
    <row r="1005" customFormat="false" ht="15" hidden="false" customHeight="true" outlineLevel="0" collapsed="false">
      <c r="A1005" s="1" t="s">
        <v>1733</v>
      </c>
      <c r="B1005" s="1" t="s">
        <v>1734</v>
      </c>
      <c r="C1005" s="1" t="s">
        <v>264</v>
      </c>
      <c r="D1005" s="1" t="s">
        <v>143</v>
      </c>
      <c r="E1005" s="1" t="s">
        <v>210</v>
      </c>
      <c r="F1005" s="1" t="s">
        <v>125</v>
      </c>
      <c r="G1005" s="1" t="s">
        <v>108</v>
      </c>
      <c r="H1005" s="1" t="s">
        <v>69</v>
      </c>
      <c r="I1005" s="1" t="s">
        <v>83</v>
      </c>
      <c r="J1005" s="1" t="s">
        <v>35</v>
      </c>
      <c r="K1005" s="1" t="s">
        <v>60</v>
      </c>
      <c r="L1005" s="1" t="s">
        <v>61</v>
      </c>
      <c r="M1005" s="1" t="s">
        <v>50</v>
      </c>
      <c r="N1005" s="1" t="n">
        <v>18999</v>
      </c>
      <c r="O1005" s="1" t="n">
        <v>25</v>
      </c>
      <c r="P1005" s="1" t="n">
        <v>4749.75</v>
      </c>
      <c r="Q1005" s="1" t="n">
        <v>14249.25</v>
      </c>
      <c r="R1005" s="1" t="n">
        <v>2564.86</v>
      </c>
      <c r="S1005" s="1" t="n">
        <v>11684.39</v>
      </c>
      <c r="T1005" s="1" t="n">
        <v>4167.16</v>
      </c>
      <c r="U1005" s="1" t="n">
        <v>7517.23</v>
      </c>
      <c r="V1005" s="1" t="n">
        <v>64.34</v>
      </c>
      <c r="W1005" s="1" t="s">
        <v>40</v>
      </c>
      <c r="Y1005" s="1" t="s">
        <v>40</v>
      </c>
      <c r="Z1005" s="1" t="n">
        <v>0</v>
      </c>
      <c r="AA1005" s="1" t="str">
        <f aca="false">TRIM(PROPER(F1005))</f>
        <v>Chennai</v>
      </c>
      <c r="AB1005" s="1" t="str">
        <f aca="false">TRIM(PROPER(C1005))</f>
        <v>Unacademy</v>
      </c>
      <c r="AC1005" s="1" t="str">
        <f aca="false">IF(O1005=0,"No Discount",IF(O1005&lt;=15,"Low (1-15%)",IF(O1005&lt;=30,"Medium (16-30%)","High (&gt;30%)")))</f>
        <v>Medium (16-30%)</v>
      </c>
      <c r="AD1005" s="1" t="str">
        <f aca="false">IF(V1005&lt;0,"Loss Making",IF(V1005&lt;20,"Low Margin","Healthy Margin"))</f>
        <v>Healthy Margin</v>
      </c>
      <c r="AE1005" s="1" t="str">
        <f aca="false">TEXT(DATE(VALUE(RIGHT(B1005,4)),VALUE(MID(B1005,4,2)),VALUE(LEFT(B1005,2))),"MMM-YYYY")</f>
        <v>Nov-2023</v>
      </c>
      <c r="AF1005" s="1" t="n">
        <f aca="false">VALUE(RIGHT(B1005,4))</f>
        <v>2023</v>
      </c>
      <c r="AG1005" s="1" t="str">
        <f aca="false">CHOOSE(ROUNDUP(VALUE(MID(B1005,4,2))/3,0),"Q1","Q2","Q3","Q4")</f>
        <v>Q4</v>
      </c>
    </row>
    <row r="1006" customFormat="false" ht="15" hidden="false" customHeight="true" outlineLevel="0" collapsed="false">
      <c r="A1006" s="1" t="s">
        <v>1735</v>
      </c>
      <c r="B1006" s="1" t="s">
        <v>1081</v>
      </c>
      <c r="C1006" s="1" t="s">
        <v>100</v>
      </c>
      <c r="D1006" s="1" t="s">
        <v>29</v>
      </c>
      <c r="E1006" s="1" t="s">
        <v>30</v>
      </c>
      <c r="F1006" s="1" t="s">
        <v>125</v>
      </c>
      <c r="G1006" s="1" t="s">
        <v>108</v>
      </c>
      <c r="H1006" s="1" t="s">
        <v>69</v>
      </c>
      <c r="I1006" s="1" t="s">
        <v>58</v>
      </c>
      <c r="J1006" s="1" t="s">
        <v>35</v>
      </c>
      <c r="K1006" s="1" t="s">
        <v>36</v>
      </c>
      <c r="L1006" s="1" t="s">
        <v>113</v>
      </c>
      <c r="M1006" s="1" t="s">
        <v>50</v>
      </c>
      <c r="N1006" s="1" t="n">
        <v>7999</v>
      </c>
      <c r="O1006" s="1" t="n">
        <v>15</v>
      </c>
      <c r="P1006" s="1" t="n">
        <v>1199.85</v>
      </c>
      <c r="Q1006" s="1" t="n">
        <v>6799.15</v>
      </c>
      <c r="R1006" s="1" t="n">
        <v>1223.85</v>
      </c>
      <c r="S1006" s="1" t="n">
        <v>5575.3</v>
      </c>
      <c r="T1006" s="1" t="n">
        <v>1921.5</v>
      </c>
      <c r="U1006" s="1" t="n">
        <v>3653.8</v>
      </c>
      <c r="V1006" s="1" t="n">
        <v>65.54</v>
      </c>
      <c r="W1006" s="1" t="s">
        <v>39</v>
      </c>
      <c r="X1006" s="1" t="n">
        <v>4.6</v>
      </c>
      <c r="Y1006" s="1" t="s">
        <v>40</v>
      </c>
      <c r="Z1006" s="1" t="n">
        <v>0</v>
      </c>
      <c r="AA1006" s="1" t="str">
        <f aca="false">TRIM(PROPER(F1006))</f>
        <v>Chennai</v>
      </c>
      <c r="AB1006" s="1" t="str">
        <f aca="false">TRIM(PROPER(C1006))</f>
        <v>Physics Wallah</v>
      </c>
      <c r="AC1006" s="1" t="str">
        <f aca="false">IF(O1006=0,"No Discount",IF(O1006&lt;=15,"Low (1-15%)",IF(O1006&lt;=30,"Medium (16-30%)","High (&gt;30%)")))</f>
        <v>Low (1-15%)</v>
      </c>
      <c r="AD1006" s="1" t="str">
        <f aca="false">IF(V1006&lt;0,"Loss Making",IF(V1006&lt;20,"Low Margin","Healthy Margin"))</f>
        <v>Healthy Margin</v>
      </c>
      <c r="AE1006" s="1" t="str">
        <f aca="false">TEXT(DATE(VALUE(RIGHT(B1006,4)),VALUE(MID(B1006,4,2)),VALUE(LEFT(B1006,2))),"MMM-YYYY")</f>
        <v>Jul-2024</v>
      </c>
      <c r="AF1006" s="1" t="n">
        <f aca="false">VALUE(RIGHT(B1006,4))</f>
        <v>2024</v>
      </c>
      <c r="AG1006" s="1" t="str">
        <f aca="false">CHOOSE(ROUNDUP(VALUE(MID(B1006,4,2))/3,0),"Q1","Q2","Q3","Q4")</f>
        <v>Q3</v>
      </c>
    </row>
    <row r="1007" customFormat="false" ht="15" hidden="false" customHeight="true" outlineLevel="0" collapsed="false">
      <c r="A1007" s="1" t="s">
        <v>1736</v>
      </c>
      <c r="B1007" s="1" t="s">
        <v>1570</v>
      </c>
      <c r="C1007" s="1" t="s">
        <v>249</v>
      </c>
      <c r="D1007" s="1" t="s">
        <v>44</v>
      </c>
      <c r="E1007" s="1" t="s">
        <v>66</v>
      </c>
      <c r="F1007" s="1" t="s">
        <v>194</v>
      </c>
      <c r="G1007" s="1" t="s">
        <v>103</v>
      </c>
      <c r="H1007" s="1" t="s">
        <v>69</v>
      </c>
      <c r="I1007" s="1" t="s">
        <v>83</v>
      </c>
      <c r="J1007" s="1" t="s">
        <v>131</v>
      </c>
      <c r="K1007" s="1" t="s">
        <v>112</v>
      </c>
      <c r="L1007" s="1" t="s">
        <v>136</v>
      </c>
      <c r="M1007" s="1" t="s">
        <v>38</v>
      </c>
      <c r="N1007" s="1" t="n">
        <v>12999</v>
      </c>
      <c r="O1007" s="1" t="n">
        <v>40</v>
      </c>
      <c r="P1007" s="1" t="n">
        <v>5199.6</v>
      </c>
      <c r="Q1007" s="1" t="n">
        <v>7799.4</v>
      </c>
      <c r="R1007" s="1" t="n">
        <v>1403.89</v>
      </c>
      <c r="S1007" s="1" t="n">
        <v>6395.51</v>
      </c>
      <c r="T1007" s="1" t="n">
        <v>3066.39</v>
      </c>
      <c r="U1007" s="1" t="n">
        <v>3329.12</v>
      </c>
      <c r="V1007" s="1" t="n">
        <v>52.05</v>
      </c>
      <c r="W1007" s="1" t="s">
        <v>39</v>
      </c>
      <c r="X1007" s="1" t="n">
        <v>3.5</v>
      </c>
      <c r="Y1007" s="1" t="s">
        <v>40</v>
      </c>
      <c r="Z1007" s="1" t="n">
        <v>0</v>
      </c>
      <c r="AA1007" s="1" t="str">
        <f aca="false">TRIM(PROPER(F1007))</f>
        <v>Hyderabad</v>
      </c>
      <c r="AB1007" s="1" t="str">
        <f aca="false">TRIM(PROPER(C1007))</f>
        <v>Whitehat Jr</v>
      </c>
      <c r="AC1007" s="1" t="str">
        <f aca="false">IF(O1007=0,"No Discount",IF(O1007&lt;=15,"Low (1-15%)",IF(O1007&lt;=30,"Medium (16-30%)","High (&gt;30%)")))</f>
        <v>High (&gt;30%)</v>
      </c>
      <c r="AD1007" s="1" t="str">
        <f aca="false">IF(V1007&lt;0,"Loss Making",IF(V1007&lt;20,"Low Margin","Healthy Margin"))</f>
        <v>Healthy Margin</v>
      </c>
      <c r="AE1007" s="1" t="str">
        <f aca="false">TEXT(DATE(VALUE(RIGHT(B1007,4)),VALUE(MID(B1007,4,2)),VALUE(LEFT(B1007,2))),"MMM-YYYY")</f>
        <v>Nov-2024</v>
      </c>
      <c r="AF1007" s="1" t="n">
        <f aca="false">VALUE(RIGHT(B1007,4))</f>
        <v>2024</v>
      </c>
      <c r="AG1007" s="1" t="str">
        <f aca="false">CHOOSE(ROUNDUP(VALUE(MID(B1007,4,2))/3,0),"Q1","Q2","Q3","Q4")</f>
        <v>Q4</v>
      </c>
    </row>
    <row r="1008" customFormat="false" ht="15" hidden="false" customHeight="true" outlineLevel="0" collapsed="false">
      <c r="A1008" s="1" t="s">
        <v>1737</v>
      </c>
      <c r="B1008" s="1" t="s">
        <v>458</v>
      </c>
      <c r="C1008" s="1" t="s">
        <v>249</v>
      </c>
      <c r="D1008" s="1" t="s">
        <v>168</v>
      </c>
      <c r="E1008" s="1" t="s">
        <v>172</v>
      </c>
      <c r="F1008" s="1" t="s">
        <v>102</v>
      </c>
      <c r="G1008" s="1" t="s">
        <v>103</v>
      </c>
      <c r="H1008" s="1" t="s">
        <v>33</v>
      </c>
      <c r="I1008" s="1" t="s">
        <v>58</v>
      </c>
      <c r="J1008" s="1" t="s">
        <v>131</v>
      </c>
      <c r="K1008" s="1" t="s">
        <v>104</v>
      </c>
      <c r="L1008" s="1" t="s">
        <v>113</v>
      </c>
      <c r="M1008" s="1" t="s">
        <v>50</v>
      </c>
      <c r="N1008" s="1" t="n">
        <v>6999</v>
      </c>
      <c r="O1008" s="1" t="n">
        <v>20</v>
      </c>
      <c r="P1008" s="1" t="n">
        <v>1399.8</v>
      </c>
      <c r="Q1008" s="1" t="n">
        <v>5599.2</v>
      </c>
      <c r="R1008" s="1" t="n">
        <v>1007.86</v>
      </c>
      <c r="S1008" s="1" t="n">
        <v>4591.34</v>
      </c>
      <c r="T1008" s="1" t="n">
        <v>2131.26</v>
      </c>
      <c r="U1008" s="1" t="n">
        <v>2460.08</v>
      </c>
      <c r="V1008" s="1" t="n">
        <v>53.58</v>
      </c>
      <c r="W1008" s="1" t="s">
        <v>39</v>
      </c>
      <c r="X1008" s="1" t="n">
        <v>4</v>
      </c>
      <c r="Y1008" s="1" t="s">
        <v>40</v>
      </c>
      <c r="Z1008" s="1" t="n">
        <v>0</v>
      </c>
      <c r="AA1008" s="1" t="str">
        <f aca="false">TRIM(PROPER(F1008))</f>
        <v>Warangal</v>
      </c>
      <c r="AB1008" s="1" t="str">
        <f aca="false">TRIM(PROPER(C1008))</f>
        <v>Whitehat Jr</v>
      </c>
      <c r="AC1008" s="1" t="str">
        <f aca="false">IF(O1008=0,"No Discount",IF(O1008&lt;=15,"Low (1-15%)",IF(O1008&lt;=30,"Medium (16-30%)","High (&gt;30%)")))</f>
        <v>Medium (16-30%)</v>
      </c>
      <c r="AD1008" s="1" t="str">
        <f aca="false">IF(V1008&lt;0,"Loss Making",IF(V1008&lt;20,"Low Margin","Healthy Margin"))</f>
        <v>Healthy Margin</v>
      </c>
      <c r="AE1008" s="1" t="str">
        <f aca="false">TEXT(DATE(VALUE(RIGHT(B1008,4)),VALUE(MID(B1008,4,2)),VALUE(LEFT(B1008,2))),"MMM-YYYY")</f>
        <v>Jan-2023</v>
      </c>
      <c r="AF1008" s="1" t="n">
        <f aca="false">VALUE(RIGHT(B1008,4))</f>
        <v>2023</v>
      </c>
      <c r="AG1008" s="1" t="str">
        <f aca="false">CHOOSE(ROUNDUP(VALUE(MID(B1008,4,2))/3,0),"Q1","Q2","Q3","Q4")</f>
        <v>Q1</v>
      </c>
    </row>
    <row r="1009" customFormat="false" ht="15" hidden="false" customHeight="true" outlineLevel="0" collapsed="false">
      <c r="A1009" s="1" t="s">
        <v>1738</v>
      </c>
      <c r="B1009" s="1" t="s">
        <v>1739</v>
      </c>
      <c r="C1009" s="1" t="s">
        <v>139</v>
      </c>
      <c r="D1009" s="1" t="s">
        <v>29</v>
      </c>
      <c r="E1009" s="1" t="s">
        <v>305</v>
      </c>
      <c r="F1009" s="1" t="s">
        <v>67</v>
      </c>
      <c r="G1009" s="1" t="s">
        <v>68</v>
      </c>
      <c r="H1009" s="1" t="s">
        <v>69</v>
      </c>
      <c r="I1009" s="1" t="s">
        <v>58</v>
      </c>
      <c r="J1009" s="1" t="s">
        <v>35</v>
      </c>
      <c r="K1009" s="1" t="s">
        <v>60</v>
      </c>
      <c r="L1009" s="1" t="s">
        <v>61</v>
      </c>
      <c r="M1009" s="1" t="s">
        <v>50</v>
      </c>
      <c r="N1009" s="1" t="n">
        <v>24999</v>
      </c>
      <c r="O1009" s="1" t="n">
        <v>30</v>
      </c>
      <c r="P1009" s="1" t="n">
        <v>7499.7</v>
      </c>
      <c r="Q1009" s="1" t="n">
        <v>17499.3</v>
      </c>
      <c r="R1009" s="1" t="n">
        <v>3149.87</v>
      </c>
      <c r="S1009" s="1" t="n">
        <v>14349.43</v>
      </c>
      <c r="T1009" s="1" t="n">
        <v>4596.05</v>
      </c>
      <c r="U1009" s="1" t="n">
        <v>9753.38</v>
      </c>
      <c r="V1009" s="1" t="n">
        <v>67.97</v>
      </c>
      <c r="W1009" s="1" t="s">
        <v>39</v>
      </c>
      <c r="X1009" s="1" t="n">
        <v>3</v>
      </c>
      <c r="Y1009" s="1" t="s">
        <v>40</v>
      </c>
      <c r="Z1009" s="1" t="n">
        <v>1</v>
      </c>
      <c r="AA1009" s="1" t="str">
        <f aca="false">TRIM(PROPER(F1009))</f>
        <v>Ahmedabad</v>
      </c>
      <c r="AB1009" s="1" t="str">
        <f aca="false">TRIM(PROPER(C1009))</f>
        <v>Extramarks</v>
      </c>
      <c r="AC1009" s="1" t="str">
        <f aca="false">IF(O1009=0,"No Discount",IF(O1009&lt;=15,"Low (1-15%)",IF(O1009&lt;=30,"Medium (16-30%)","High (&gt;30%)")))</f>
        <v>Medium (16-30%)</v>
      </c>
      <c r="AD1009" s="1" t="str">
        <f aca="false">IF(V1009&lt;0,"Loss Making",IF(V1009&lt;20,"Low Margin","Healthy Margin"))</f>
        <v>Healthy Margin</v>
      </c>
      <c r="AE1009" s="1" t="str">
        <f aca="false">TEXT(DATE(VALUE(RIGHT(B1009,4)),VALUE(MID(B1009,4,2)),VALUE(LEFT(B1009,2))),"MMM-YYYY")</f>
        <v>Oct-2024</v>
      </c>
      <c r="AF1009" s="1" t="n">
        <f aca="false">VALUE(RIGHT(B1009,4))</f>
        <v>2024</v>
      </c>
      <c r="AG1009" s="1" t="str">
        <f aca="false">CHOOSE(ROUNDUP(VALUE(MID(B1009,4,2))/3,0),"Q1","Q2","Q3","Q4")</f>
        <v>Q4</v>
      </c>
    </row>
    <row r="1010" customFormat="false" ht="15" hidden="false" customHeight="true" outlineLevel="0" collapsed="false">
      <c r="A1010" s="1" t="s">
        <v>1740</v>
      </c>
      <c r="B1010" s="1" t="s">
        <v>334</v>
      </c>
      <c r="C1010" s="1" t="s">
        <v>93</v>
      </c>
      <c r="D1010" s="1" t="s">
        <v>44</v>
      </c>
      <c r="E1010" s="1" t="s">
        <v>221</v>
      </c>
      <c r="F1010" s="1" t="s">
        <v>102</v>
      </c>
      <c r="G1010" s="1" t="s">
        <v>103</v>
      </c>
      <c r="H1010" s="1" t="s">
        <v>33</v>
      </c>
      <c r="I1010" s="1" t="s">
        <v>34</v>
      </c>
      <c r="J1010" s="1" t="s">
        <v>77</v>
      </c>
      <c r="K1010" s="1" t="s">
        <v>112</v>
      </c>
      <c r="L1010" s="1" t="s">
        <v>85</v>
      </c>
      <c r="M1010" s="1" t="s">
        <v>38</v>
      </c>
      <c r="N1010" s="1" t="n">
        <v>16999</v>
      </c>
      <c r="O1010" s="1" t="n">
        <v>20</v>
      </c>
      <c r="P1010" s="1" t="n">
        <v>3399.8</v>
      </c>
      <c r="Q1010" s="1" t="n">
        <v>13599.2</v>
      </c>
      <c r="R1010" s="1" t="n">
        <v>2447.86</v>
      </c>
      <c r="S1010" s="1" t="n">
        <v>11151.34</v>
      </c>
      <c r="T1010" s="1" t="n">
        <v>4340.77</v>
      </c>
      <c r="U1010" s="1" t="n">
        <v>6810.57</v>
      </c>
      <c r="V1010" s="1" t="n">
        <v>61.07</v>
      </c>
      <c r="W1010" s="1" t="s">
        <v>39</v>
      </c>
      <c r="Y1010" s="1" t="s">
        <v>40</v>
      </c>
      <c r="Z1010" s="1" t="n">
        <v>0</v>
      </c>
      <c r="AA1010" s="1" t="str">
        <f aca="false">TRIM(PROPER(F1010))</f>
        <v>Warangal</v>
      </c>
      <c r="AB1010" s="1" t="str">
        <f aca="false">TRIM(PROPER(C1010))</f>
        <v>Upgrad</v>
      </c>
      <c r="AC1010" s="1" t="str">
        <f aca="false">IF(O1010=0,"No Discount",IF(O1010&lt;=15,"Low (1-15%)",IF(O1010&lt;=30,"Medium (16-30%)","High (&gt;30%)")))</f>
        <v>Medium (16-30%)</v>
      </c>
      <c r="AD1010" s="1" t="str">
        <f aca="false">IF(V1010&lt;0,"Loss Making",IF(V1010&lt;20,"Low Margin","Healthy Margin"))</f>
        <v>Healthy Margin</v>
      </c>
      <c r="AE1010" s="1" t="str">
        <f aca="false">TEXT(DATE(VALUE(RIGHT(B1010,4)),VALUE(MID(B1010,4,2)),VALUE(LEFT(B1010,2))),"MMM-YYYY")</f>
        <v>Aug-2024</v>
      </c>
      <c r="AF1010" s="1" t="n">
        <f aca="false">VALUE(RIGHT(B1010,4))</f>
        <v>2024</v>
      </c>
      <c r="AG1010" s="1" t="str">
        <f aca="false">CHOOSE(ROUNDUP(VALUE(MID(B1010,4,2))/3,0),"Q1","Q2","Q3","Q4")</f>
        <v>Q3</v>
      </c>
    </row>
    <row r="1011" customFormat="false" ht="15" hidden="false" customHeight="true" outlineLevel="0" collapsed="false">
      <c r="A1011" s="1" t="s">
        <v>1741</v>
      </c>
      <c r="B1011" s="1" t="s">
        <v>945</v>
      </c>
      <c r="C1011" s="1" t="s">
        <v>43</v>
      </c>
      <c r="D1011" s="1" t="s">
        <v>80</v>
      </c>
      <c r="E1011" s="1" t="s">
        <v>190</v>
      </c>
      <c r="F1011" s="1" t="s">
        <v>75</v>
      </c>
      <c r="G1011" s="1" t="s">
        <v>76</v>
      </c>
      <c r="H1011" s="1" t="s">
        <v>69</v>
      </c>
      <c r="I1011" s="1" t="s">
        <v>34</v>
      </c>
      <c r="J1011" s="1" t="s">
        <v>77</v>
      </c>
      <c r="K1011" s="1" t="s">
        <v>104</v>
      </c>
      <c r="L1011" s="1" t="s">
        <v>61</v>
      </c>
      <c r="M1011" s="1" t="s">
        <v>38</v>
      </c>
      <c r="N1011" s="1" t="n">
        <v>15999</v>
      </c>
      <c r="O1011" s="1" t="n">
        <v>40</v>
      </c>
      <c r="P1011" s="1" t="n">
        <v>6399.6</v>
      </c>
      <c r="Q1011" s="1" t="n">
        <v>9599.4</v>
      </c>
      <c r="R1011" s="1" t="n">
        <v>1727.89</v>
      </c>
      <c r="S1011" s="1" t="n">
        <v>7871.51</v>
      </c>
      <c r="T1011" s="1" t="n">
        <v>3635.19</v>
      </c>
      <c r="U1011" s="1" t="n">
        <v>4236.32</v>
      </c>
      <c r="V1011" s="1" t="n">
        <v>53.82</v>
      </c>
      <c r="W1011" s="1" t="s">
        <v>40</v>
      </c>
      <c r="Y1011" s="1" t="s">
        <v>40</v>
      </c>
      <c r="Z1011" s="1" t="n">
        <v>1</v>
      </c>
      <c r="AA1011" s="1" t="str">
        <f aca="false">TRIM(PROPER(F1011))</f>
        <v>Kolkata</v>
      </c>
      <c r="AB1011" s="1" t="str">
        <f aca="false">TRIM(PROPER(C1011))</f>
        <v>Meritnation</v>
      </c>
      <c r="AC1011" s="1" t="str">
        <f aca="false">IF(O1011=0,"No Discount",IF(O1011&lt;=15,"Low (1-15%)",IF(O1011&lt;=30,"Medium (16-30%)","High (&gt;30%)")))</f>
        <v>High (&gt;30%)</v>
      </c>
      <c r="AD1011" s="1" t="str">
        <f aca="false">IF(V1011&lt;0,"Loss Making",IF(V1011&lt;20,"Low Margin","Healthy Margin"))</f>
        <v>Healthy Margin</v>
      </c>
      <c r="AE1011" s="1" t="str">
        <f aca="false">TEXT(DATE(VALUE(RIGHT(B1011,4)),VALUE(MID(B1011,4,2)),VALUE(LEFT(B1011,2))),"MMM-YYYY")</f>
        <v>Oct-2023</v>
      </c>
      <c r="AF1011" s="1" t="n">
        <f aca="false">VALUE(RIGHT(B1011,4))</f>
        <v>2023</v>
      </c>
      <c r="AG1011" s="1" t="str">
        <f aca="false">CHOOSE(ROUNDUP(VALUE(MID(B1011,4,2))/3,0),"Q1","Q2","Q3","Q4")</f>
        <v>Q4</v>
      </c>
    </row>
    <row r="1012" customFormat="false" ht="15" hidden="false" customHeight="true" outlineLevel="0" collapsed="false">
      <c r="A1012" s="1" t="s">
        <v>1742</v>
      </c>
      <c r="B1012" s="1" t="s">
        <v>1420</v>
      </c>
      <c r="C1012" s="1" t="s">
        <v>65</v>
      </c>
      <c r="D1012" s="1" t="s">
        <v>94</v>
      </c>
      <c r="E1012" s="1" t="s">
        <v>95</v>
      </c>
      <c r="F1012" s="1" t="s">
        <v>125</v>
      </c>
      <c r="G1012" s="1" t="s">
        <v>108</v>
      </c>
      <c r="H1012" s="1" t="s">
        <v>69</v>
      </c>
      <c r="I1012" s="1" t="s">
        <v>58</v>
      </c>
      <c r="J1012" s="1" t="s">
        <v>59</v>
      </c>
      <c r="K1012" s="1" t="s">
        <v>36</v>
      </c>
      <c r="L1012" s="1" t="s">
        <v>49</v>
      </c>
      <c r="M1012" s="1" t="s">
        <v>38</v>
      </c>
      <c r="N1012" s="1" t="n">
        <v>6999</v>
      </c>
      <c r="O1012" s="1" t="n">
        <v>0</v>
      </c>
      <c r="P1012" s="1" t="n">
        <v>0</v>
      </c>
      <c r="Q1012" s="1" t="n">
        <v>6999</v>
      </c>
      <c r="R1012" s="1" t="n">
        <v>1259.82</v>
      </c>
      <c r="S1012" s="1" t="n">
        <v>5739.18</v>
      </c>
      <c r="T1012" s="1" t="n">
        <v>2112.77</v>
      </c>
      <c r="U1012" s="1" t="n">
        <v>3626.41</v>
      </c>
      <c r="V1012" s="1" t="n">
        <v>63.19</v>
      </c>
      <c r="W1012" s="1" t="s">
        <v>40</v>
      </c>
      <c r="Y1012" s="1" t="s">
        <v>40</v>
      </c>
      <c r="Z1012" s="1" t="n">
        <v>0</v>
      </c>
      <c r="AA1012" s="1" t="str">
        <f aca="false">TRIM(PROPER(F1012))</f>
        <v>Chennai</v>
      </c>
      <c r="AB1012" s="1" t="str">
        <f aca="false">TRIM(PROPER(C1012))</f>
        <v>Toppr</v>
      </c>
      <c r="AC1012" s="1" t="str">
        <f aca="false">IF(O1012=0,"No Discount",IF(O1012&lt;=15,"Low (1-15%)",IF(O1012&lt;=30,"Medium (16-30%)","High (&gt;30%)")))</f>
        <v>No Discount</v>
      </c>
      <c r="AD1012" s="1" t="str">
        <f aca="false">IF(V1012&lt;0,"Loss Making",IF(V1012&lt;20,"Low Margin","Healthy Margin"))</f>
        <v>Healthy Margin</v>
      </c>
      <c r="AE1012" s="1" t="str">
        <f aca="false">TEXT(DATE(VALUE(RIGHT(B1012,4)),VALUE(MID(B1012,4,2)),VALUE(LEFT(B1012,2))),"MMM-YYYY")</f>
        <v>Nov-2023</v>
      </c>
      <c r="AF1012" s="1" t="n">
        <f aca="false">VALUE(RIGHT(B1012,4))</f>
        <v>2023</v>
      </c>
      <c r="AG1012" s="1" t="str">
        <f aca="false">CHOOSE(ROUNDUP(VALUE(MID(B1012,4,2))/3,0),"Q1","Q2","Q3","Q4")</f>
        <v>Q4</v>
      </c>
    </row>
    <row r="1013" customFormat="false" ht="15" hidden="false" customHeight="true" outlineLevel="0" collapsed="false">
      <c r="A1013" s="1" t="s">
        <v>1743</v>
      </c>
      <c r="B1013" s="1" t="s">
        <v>1118</v>
      </c>
      <c r="C1013" s="1" t="s">
        <v>119</v>
      </c>
      <c r="D1013" s="1" t="s">
        <v>29</v>
      </c>
      <c r="E1013" s="1" t="s">
        <v>305</v>
      </c>
      <c r="F1013" s="1" t="s">
        <v>211</v>
      </c>
      <c r="G1013" s="1" t="s">
        <v>56</v>
      </c>
      <c r="H1013" s="1" t="s">
        <v>69</v>
      </c>
      <c r="I1013" s="1" t="s">
        <v>83</v>
      </c>
      <c r="J1013" s="1" t="s">
        <v>59</v>
      </c>
      <c r="K1013" s="1" t="s">
        <v>90</v>
      </c>
      <c r="L1013" s="1" t="s">
        <v>61</v>
      </c>
      <c r="M1013" s="1" t="s">
        <v>62</v>
      </c>
      <c r="N1013" s="1" t="n">
        <v>24999</v>
      </c>
      <c r="O1013" s="1" t="n">
        <v>50</v>
      </c>
      <c r="P1013" s="1" t="n">
        <v>12499.5</v>
      </c>
      <c r="Q1013" s="1" t="n">
        <v>12499.5</v>
      </c>
      <c r="R1013" s="1" t="n">
        <v>2249.91</v>
      </c>
      <c r="S1013" s="1" t="n">
        <v>10249.59</v>
      </c>
      <c r="T1013" s="1" t="n">
        <v>4707.92</v>
      </c>
      <c r="U1013" s="1" t="n">
        <v>5541.67</v>
      </c>
      <c r="V1013" s="1" t="n">
        <v>54.07</v>
      </c>
      <c r="W1013" s="1" t="s">
        <v>40</v>
      </c>
      <c r="Y1013" s="1" t="s">
        <v>40</v>
      </c>
      <c r="Z1013" s="1" t="n">
        <v>1</v>
      </c>
      <c r="AA1013" s="1" t="str">
        <f aca="false">TRIM(PROPER(F1013))</f>
        <v>Noida</v>
      </c>
      <c r="AB1013" s="1" t="str">
        <f aca="false">TRIM(PROPER(C1013))</f>
        <v>Simplilearn</v>
      </c>
      <c r="AC1013" s="1" t="str">
        <f aca="false">IF(O1013=0,"No Discount",IF(O1013&lt;=15,"Low (1-15%)",IF(O1013&lt;=30,"Medium (16-30%)","High (&gt;30%)")))</f>
        <v>High (&gt;30%)</v>
      </c>
      <c r="AD1013" s="1" t="str">
        <f aca="false">IF(V1013&lt;0,"Loss Making",IF(V1013&lt;20,"Low Margin","Healthy Margin"))</f>
        <v>Healthy Margin</v>
      </c>
      <c r="AE1013" s="1" t="str">
        <f aca="false">TEXT(DATE(VALUE(RIGHT(B1013,4)),VALUE(MID(B1013,4,2)),VALUE(LEFT(B1013,2))),"MMM-YYYY")</f>
        <v>Jul-2023</v>
      </c>
      <c r="AF1013" s="1" t="n">
        <f aca="false">VALUE(RIGHT(B1013,4))</f>
        <v>2023</v>
      </c>
      <c r="AG1013" s="1" t="str">
        <f aca="false">CHOOSE(ROUNDUP(VALUE(MID(B1013,4,2))/3,0),"Q1","Q2","Q3","Q4")</f>
        <v>Q3</v>
      </c>
    </row>
    <row r="1014" customFormat="false" ht="15" hidden="false" customHeight="true" outlineLevel="0" collapsed="false">
      <c r="A1014" s="1" t="s">
        <v>1744</v>
      </c>
      <c r="B1014" s="1" t="s">
        <v>1154</v>
      </c>
      <c r="C1014" s="1" t="s">
        <v>139</v>
      </c>
      <c r="D1014" s="1" t="s">
        <v>80</v>
      </c>
      <c r="E1014" s="1" t="s">
        <v>81</v>
      </c>
      <c r="F1014" s="1" t="s">
        <v>184</v>
      </c>
      <c r="G1014" s="1" t="s">
        <v>56</v>
      </c>
      <c r="H1014" s="1" t="s">
        <v>57</v>
      </c>
      <c r="I1014" s="1" t="s">
        <v>83</v>
      </c>
      <c r="J1014" s="1" t="s">
        <v>35</v>
      </c>
      <c r="K1014" s="1" t="s">
        <v>84</v>
      </c>
      <c r="L1014" s="1" t="s">
        <v>85</v>
      </c>
      <c r="M1014" s="1" t="s">
        <v>50</v>
      </c>
      <c r="N1014" s="1" t="n">
        <v>12999</v>
      </c>
      <c r="O1014" s="1" t="n">
        <v>10</v>
      </c>
      <c r="P1014" s="1" t="n">
        <v>1299.9</v>
      </c>
      <c r="Q1014" s="1" t="n">
        <v>11699.1</v>
      </c>
      <c r="R1014" s="1" t="n">
        <v>2105.84</v>
      </c>
      <c r="S1014" s="1" t="n">
        <v>9593.26</v>
      </c>
      <c r="T1014" s="1" t="n">
        <v>5433.92</v>
      </c>
      <c r="U1014" s="1" t="n">
        <v>4159.34</v>
      </c>
      <c r="V1014" s="1" t="n">
        <v>43.36</v>
      </c>
      <c r="W1014" s="1" t="s">
        <v>40</v>
      </c>
      <c r="Y1014" s="1" t="s">
        <v>40</v>
      </c>
      <c r="Z1014" s="1" t="n">
        <v>2</v>
      </c>
      <c r="AA1014" s="1" t="str">
        <f aca="false">TRIM(PROPER(F1014))</f>
        <v>Faridabad</v>
      </c>
      <c r="AB1014" s="1" t="str">
        <f aca="false">TRIM(PROPER(C1014))</f>
        <v>Extramarks</v>
      </c>
      <c r="AC1014" s="1" t="str">
        <f aca="false">IF(O1014=0,"No Discount",IF(O1014&lt;=15,"Low (1-15%)",IF(O1014&lt;=30,"Medium (16-30%)","High (&gt;30%)")))</f>
        <v>Low (1-15%)</v>
      </c>
      <c r="AD1014" s="1" t="str">
        <f aca="false">IF(V1014&lt;0,"Loss Making",IF(V1014&lt;20,"Low Margin","Healthy Margin"))</f>
        <v>Healthy Margin</v>
      </c>
      <c r="AE1014" s="1" t="str">
        <f aca="false">TEXT(DATE(VALUE(RIGHT(B1014,4)),VALUE(MID(B1014,4,2)),VALUE(LEFT(B1014,2))),"MMM-YYYY")</f>
        <v>Dec-2024</v>
      </c>
      <c r="AF1014" s="1" t="n">
        <f aca="false">VALUE(RIGHT(B1014,4))</f>
        <v>2024</v>
      </c>
      <c r="AG1014" s="1" t="str">
        <f aca="false">CHOOSE(ROUNDUP(VALUE(MID(B1014,4,2))/3,0),"Q1","Q2","Q3","Q4")</f>
        <v>Q4</v>
      </c>
    </row>
    <row r="1015" customFormat="false" ht="15" hidden="false" customHeight="true" outlineLevel="0" collapsed="false">
      <c r="A1015" s="1" t="s">
        <v>1745</v>
      </c>
      <c r="B1015" s="1" t="s">
        <v>1746</v>
      </c>
      <c r="C1015" s="1" t="s">
        <v>100</v>
      </c>
      <c r="D1015" s="1" t="s">
        <v>123</v>
      </c>
      <c r="E1015" s="1" t="s">
        <v>147</v>
      </c>
      <c r="F1015" s="1" t="s">
        <v>156</v>
      </c>
      <c r="G1015" s="1" t="s">
        <v>68</v>
      </c>
      <c r="H1015" s="1" t="s">
        <v>57</v>
      </c>
      <c r="I1015" s="1" t="s">
        <v>58</v>
      </c>
      <c r="J1015" s="1" t="s">
        <v>70</v>
      </c>
      <c r="K1015" s="1" t="s">
        <v>48</v>
      </c>
      <c r="L1015" s="1" t="s">
        <v>136</v>
      </c>
      <c r="M1015" s="1" t="s">
        <v>50</v>
      </c>
      <c r="N1015" s="1" t="n">
        <v>6999</v>
      </c>
      <c r="O1015" s="1" t="n">
        <v>50</v>
      </c>
      <c r="P1015" s="1" t="n">
        <v>3499.5</v>
      </c>
      <c r="Q1015" s="1" t="n">
        <v>3499.5</v>
      </c>
      <c r="R1015" s="1" t="n">
        <v>629.91</v>
      </c>
      <c r="S1015" s="1" t="n">
        <v>2869.59</v>
      </c>
      <c r="T1015" s="1" t="n">
        <v>1542.5</v>
      </c>
      <c r="U1015" s="1" t="n">
        <v>1327.09</v>
      </c>
      <c r="V1015" s="1" t="n">
        <v>46.25</v>
      </c>
      <c r="W1015" s="1" t="s">
        <v>39</v>
      </c>
      <c r="X1015" s="1" t="n">
        <v>2.7</v>
      </c>
      <c r="Y1015" s="1" t="s">
        <v>40</v>
      </c>
      <c r="Z1015" s="1" t="n">
        <v>0</v>
      </c>
      <c r="AA1015" s="1" t="str">
        <f aca="false">TRIM(PROPER(F1015))</f>
        <v>Surat</v>
      </c>
      <c r="AB1015" s="1" t="str">
        <f aca="false">TRIM(PROPER(C1015))</f>
        <v>Physics Wallah</v>
      </c>
      <c r="AC1015" s="1" t="str">
        <f aca="false">IF(O1015=0,"No Discount",IF(O1015&lt;=15,"Low (1-15%)",IF(O1015&lt;=30,"Medium (16-30%)","High (&gt;30%)")))</f>
        <v>High (&gt;30%)</v>
      </c>
      <c r="AD1015" s="1" t="str">
        <f aca="false">IF(V1015&lt;0,"Loss Making",IF(V1015&lt;20,"Low Margin","Healthy Margin"))</f>
        <v>Healthy Margin</v>
      </c>
      <c r="AE1015" s="1" t="str">
        <f aca="false">TEXT(DATE(VALUE(RIGHT(B1015,4)),VALUE(MID(B1015,4,2)),VALUE(LEFT(B1015,2))),"MMM-YYYY")</f>
        <v>Nov-2023</v>
      </c>
      <c r="AF1015" s="1" t="n">
        <f aca="false">VALUE(RIGHT(B1015,4))</f>
        <v>2023</v>
      </c>
      <c r="AG1015" s="1" t="str">
        <f aca="false">CHOOSE(ROUNDUP(VALUE(MID(B1015,4,2))/3,0),"Q1","Q2","Q3","Q4")</f>
        <v>Q4</v>
      </c>
    </row>
    <row r="1016" customFormat="false" ht="15" hidden="false" customHeight="true" outlineLevel="0" collapsed="false">
      <c r="A1016" s="1" t="s">
        <v>1747</v>
      </c>
      <c r="B1016" s="1" t="s">
        <v>974</v>
      </c>
      <c r="C1016" s="1" t="s">
        <v>28</v>
      </c>
      <c r="D1016" s="1" t="s">
        <v>44</v>
      </c>
      <c r="E1016" s="1" t="s">
        <v>221</v>
      </c>
      <c r="F1016" s="1" t="s">
        <v>140</v>
      </c>
      <c r="G1016" s="1" t="s">
        <v>97</v>
      </c>
      <c r="H1016" s="1" t="s">
        <v>57</v>
      </c>
      <c r="I1016" s="1" t="s">
        <v>58</v>
      </c>
      <c r="J1016" s="1" t="s">
        <v>131</v>
      </c>
      <c r="K1016" s="1" t="s">
        <v>104</v>
      </c>
      <c r="L1016" s="1" t="s">
        <v>37</v>
      </c>
      <c r="M1016" s="1" t="s">
        <v>50</v>
      </c>
      <c r="N1016" s="1" t="n">
        <v>16999</v>
      </c>
      <c r="O1016" s="1" t="n">
        <v>40</v>
      </c>
      <c r="P1016" s="1" t="n">
        <v>6799.6</v>
      </c>
      <c r="Q1016" s="1" t="n">
        <v>10199.4</v>
      </c>
      <c r="R1016" s="1" t="n">
        <v>1835.89</v>
      </c>
      <c r="S1016" s="1" t="n">
        <v>8363.51</v>
      </c>
      <c r="T1016" s="1" t="n">
        <v>4547.86</v>
      </c>
      <c r="U1016" s="1" t="n">
        <v>3815.65</v>
      </c>
      <c r="V1016" s="1" t="n">
        <v>45.62</v>
      </c>
      <c r="W1016" s="1" t="s">
        <v>40</v>
      </c>
      <c r="Y1016" s="1" t="s">
        <v>40</v>
      </c>
      <c r="Z1016" s="1" t="n">
        <v>1</v>
      </c>
      <c r="AA1016" s="1" t="str">
        <f aca="false">TRIM(PROPER(F1016))</f>
        <v>Nashik</v>
      </c>
      <c r="AB1016" s="1" t="str">
        <f aca="false">TRIM(PROPER(C1016))</f>
        <v>Embibe</v>
      </c>
      <c r="AC1016" s="1" t="str">
        <f aca="false">IF(O1016=0,"No Discount",IF(O1016&lt;=15,"Low (1-15%)",IF(O1016&lt;=30,"Medium (16-30%)","High (&gt;30%)")))</f>
        <v>High (&gt;30%)</v>
      </c>
      <c r="AD1016" s="1" t="str">
        <f aca="false">IF(V1016&lt;0,"Loss Making",IF(V1016&lt;20,"Low Margin","Healthy Margin"))</f>
        <v>Healthy Margin</v>
      </c>
      <c r="AE1016" s="1" t="str">
        <f aca="false">TEXT(DATE(VALUE(RIGHT(B1016,4)),VALUE(MID(B1016,4,2)),VALUE(LEFT(B1016,2))),"MMM-YYYY")</f>
        <v>Feb-2023</v>
      </c>
      <c r="AF1016" s="1" t="n">
        <f aca="false">VALUE(RIGHT(B1016,4))</f>
        <v>2023</v>
      </c>
      <c r="AG1016" s="1" t="str">
        <f aca="false">CHOOSE(ROUNDUP(VALUE(MID(B1016,4,2))/3,0),"Q1","Q2","Q3","Q4")</f>
        <v>Q1</v>
      </c>
    </row>
    <row r="1017" customFormat="false" ht="15" hidden="false" customHeight="true" outlineLevel="0" collapsed="false">
      <c r="A1017" s="1" t="s">
        <v>1748</v>
      </c>
      <c r="B1017" s="1" t="s">
        <v>671</v>
      </c>
      <c r="C1017" s="1" t="s">
        <v>100</v>
      </c>
      <c r="D1017" s="1" t="s">
        <v>53</v>
      </c>
      <c r="E1017" s="1" t="s">
        <v>216</v>
      </c>
      <c r="F1017" s="1" t="s">
        <v>89</v>
      </c>
      <c r="G1017" s="1" t="s">
        <v>68</v>
      </c>
      <c r="H1017" s="1" t="s">
        <v>33</v>
      </c>
      <c r="I1017" s="1" t="s">
        <v>34</v>
      </c>
      <c r="J1017" s="1" t="s">
        <v>70</v>
      </c>
      <c r="K1017" s="1" t="s">
        <v>84</v>
      </c>
      <c r="L1017" s="1" t="s">
        <v>61</v>
      </c>
      <c r="M1017" s="1" t="s">
        <v>62</v>
      </c>
      <c r="N1017" s="1" t="n">
        <v>7499</v>
      </c>
      <c r="O1017" s="1" t="n">
        <v>0</v>
      </c>
      <c r="P1017" s="1" t="n">
        <v>0</v>
      </c>
      <c r="Q1017" s="1" t="n">
        <v>7499</v>
      </c>
      <c r="R1017" s="1" t="n">
        <v>1349.82</v>
      </c>
      <c r="S1017" s="1" t="n">
        <v>6149.18</v>
      </c>
      <c r="T1017" s="1" t="n">
        <v>2683.38</v>
      </c>
      <c r="U1017" s="1" t="n">
        <v>3465.8</v>
      </c>
      <c r="V1017" s="1" t="n">
        <v>56.36</v>
      </c>
      <c r="W1017" s="1" t="s">
        <v>39</v>
      </c>
      <c r="X1017" s="1" t="n">
        <v>3.3</v>
      </c>
      <c r="Y1017" s="1" t="s">
        <v>40</v>
      </c>
      <c r="Z1017" s="1" t="n">
        <v>0</v>
      </c>
      <c r="AA1017" s="1" t="str">
        <f aca="false">TRIM(PROPER(F1017))</f>
        <v>Vadodara</v>
      </c>
      <c r="AB1017" s="1" t="str">
        <f aca="false">TRIM(PROPER(C1017))</f>
        <v>Physics Wallah</v>
      </c>
      <c r="AC1017" s="1" t="str">
        <f aca="false">IF(O1017=0,"No Discount",IF(O1017&lt;=15,"Low (1-15%)",IF(O1017&lt;=30,"Medium (16-30%)","High (&gt;30%)")))</f>
        <v>No Discount</v>
      </c>
      <c r="AD1017" s="1" t="str">
        <f aca="false">IF(V1017&lt;0,"Loss Making",IF(V1017&lt;20,"Low Margin","Healthy Margin"))</f>
        <v>Healthy Margin</v>
      </c>
      <c r="AE1017" s="1" t="str">
        <f aca="false">TEXT(DATE(VALUE(RIGHT(B1017,4)),VALUE(MID(B1017,4,2)),VALUE(LEFT(B1017,2))),"MMM-YYYY")</f>
        <v>May-2023</v>
      </c>
      <c r="AF1017" s="1" t="n">
        <f aca="false">VALUE(RIGHT(B1017,4))</f>
        <v>2023</v>
      </c>
      <c r="AG1017" s="1" t="str">
        <f aca="false">CHOOSE(ROUNDUP(VALUE(MID(B1017,4,2))/3,0),"Q1","Q2","Q3","Q4")</f>
        <v>Q2</v>
      </c>
    </row>
    <row r="1018" customFormat="false" ht="15" hidden="false" customHeight="true" outlineLevel="0" collapsed="false">
      <c r="A1018" s="1" t="s">
        <v>1749</v>
      </c>
      <c r="B1018" s="1" t="s">
        <v>785</v>
      </c>
      <c r="C1018" s="1" t="s">
        <v>139</v>
      </c>
      <c r="D1018" s="1" t="s">
        <v>44</v>
      </c>
      <c r="E1018" s="1" t="s">
        <v>221</v>
      </c>
      <c r="F1018" s="1" t="s">
        <v>205</v>
      </c>
      <c r="G1018" s="1" t="s">
        <v>56</v>
      </c>
      <c r="H1018" s="1" t="s">
        <v>69</v>
      </c>
      <c r="I1018" s="1" t="s">
        <v>58</v>
      </c>
      <c r="J1018" s="1" t="s">
        <v>131</v>
      </c>
      <c r="K1018" s="1" t="s">
        <v>48</v>
      </c>
      <c r="L1018" s="1" t="s">
        <v>113</v>
      </c>
      <c r="M1018" s="1" t="s">
        <v>38</v>
      </c>
      <c r="N1018" s="1" t="n">
        <v>16999</v>
      </c>
      <c r="O1018" s="1" t="n">
        <v>40</v>
      </c>
      <c r="P1018" s="1" t="n">
        <v>6799.6</v>
      </c>
      <c r="Q1018" s="1" t="n">
        <v>10199.4</v>
      </c>
      <c r="R1018" s="1" t="n">
        <v>1835.89</v>
      </c>
      <c r="S1018" s="1" t="n">
        <v>8363.51</v>
      </c>
      <c r="T1018" s="1" t="n">
        <v>3893.68</v>
      </c>
      <c r="U1018" s="1" t="n">
        <v>4469.83</v>
      </c>
      <c r="V1018" s="1" t="n">
        <v>53.44</v>
      </c>
      <c r="W1018" s="1" t="s">
        <v>40</v>
      </c>
      <c r="Y1018" s="1" t="s">
        <v>40</v>
      </c>
      <c r="Z1018" s="1" t="n">
        <v>0</v>
      </c>
      <c r="AA1018" s="1" t="str">
        <f aca="false">TRIM(PROPER(F1018))</f>
        <v>New Delhi</v>
      </c>
      <c r="AB1018" s="1" t="str">
        <f aca="false">TRIM(PROPER(C1018))</f>
        <v>Extramarks</v>
      </c>
      <c r="AC1018" s="1" t="str">
        <f aca="false">IF(O1018=0,"No Discount",IF(O1018&lt;=15,"Low (1-15%)",IF(O1018&lt;=30,"Medium (16-30%)","High (&gt;30%)")))</f>
        <v>High (&gt;30%)</v>
      </c>
      <c r="AD1018" s="1" t="str">
        <f aca="false">IF(V1018&lt;0,"Loss Making",IF(V1018&lt;20,"Low Margin","Healthy Margin"))</f>
        <v>Healthy Margin</v>
      </c>
      <c r="AE1018" s="1" t="str">
        <f aca="false">TEXT(DATE(VALUE(RIGHT(B1018,4)),VALUE(MID(B1018,4,2)),VALUE(LEFT(B1018,2))),"MMM-YYYY")</f>
        <v>Aug-2024</v>
      </c>
      <c r="AF1018" s="1" t="n">
        <f aca="false">VALUE(RIGHT(B1018,4))</f>
        <v>2024</v>
      </c>
      <c r="AG1018" s="1" t="str">
        <f aca="false">CHOOSE(ROUNDUP(VALUE(MID(B1018,4,2))/3,0),"Q1","Q2","Q3","Q4")</f>
        <v>Q3</v>
      </c>
    </row>
    <row r="1019" customFormat="false" ht="15" hidden="false" customHeight="true" outlineLevel="0" collapsed="false">
      <c r="A1019" s="1" t="s">
        <v>1750</v>
      </c>
      <c r="B1019" s="1" t="s">
        <v>1751</v>
      </c>
      <c r="C1019" s="1" t="s">
        <v>139</v>
      </c>
      <c r="D1019" s="1" t="s">
        <v>29</v>
      </c>
      <c r="E1019" s="1" t="s">
        <v>182</v>
      </c>
      <c r="F1019" s="1" t="s">
        <v>156</v>
      </c>
      <c r="G1019" s="1" t="s">
        <v>68</v>
      </c>
      <c r="H1019" s="1" t="s">
        <v>57</v>
      </c>
      <c r="I1019" s="1" t="s">
        <v>58</v>
      </c>
      <c r="J1019" s="1" t="s">
        <v>77</v>
      </c>
      <c r="K1019" s="1" t="s">
        <v>112</v>
      </c>
      <c r="L1019" s="1" t="s">
        <v>85</v>
      </c>
      <c r="M1019" s="1" t="s">
        <v>50</v>
      </c>
      <c r="N1019" s="1" t="n">
        <v>34999</v>
      </c>
      <c r="O1019" s="1" t="n">
        <v>30</v>
      </c>
      <c r="P1019" s="1" t="n">
        <v>10499.7</v>
      </c>
      <c r="Q1019" s="1" t="n">
        <v>24499.3</v>
      </c>
      <c r="R1019" s="1" t="n">
        <v>4409.87</v>
      </c>
      <c r="S1019" s="1" t="n">
        <v>20089.43</v>
      </c>
      <c r="T1019" s="1" t="n">
        <v>9175.72</v>
      </c>
      <c r="U1019" s="1" t="n">
        <v>10913.71</v>
      </c>
      <c r="V1019" s="1" t="n">
        <v>54.33</v>
      </c>
      <c r="W1019" s="1" t="s">
        <v>39</v>
      </c>
      <c r="X1019" s="1" t="n">
        <v>3.4</v>
      </c>
      <c r="Y1019" s="1" t="s">
        <v>40</v>
      </c>
      <c r="Z1019" s="1" t="n">
        <v>2</v>
      </c>
      <c r="AA1019" s="1" t="str">
        <f aca="false">TRIM(PROPER(F1019))</f>
        <v>Surat</v>
      </c>
      <c r="AB1019" s="1" t="str">
        <f aca="false">TRIM(PROPER(C1019))</f>
        <v>Extramarks</v>
      </c>
      <c r="AC1019" s="1" t="str">
        <f aca="false">IF(O1019=0,"No Discount",IF(O1019&lt;=15,"Low (1-15%)",IF(O1019&lt;=30,"Medium (16-30%)","High (&gt;30%)")))</f>
        <v>Medium (16-30%)</v>
      </c>
      <c r="AD1019" s="1" t="str">
        <f aca="false">IF(V1019&lt;0,"Loss Making",IF(V1019&lt;20,"Low Margin","Healthy Margin"))</f>
        <v>Healthy Margin</v>
      </c>
      <c r="AE1019" s="1" t="str">
        <f aca="false">TEXT(DATE(VALUE(RIGHT(B1019,4)),VALUE(MID(B1019,4,2)),VALUE(LEFT(B1019,2))),"MMM-YYYY")</f>
        <v>Jun-2024</v>
      </c>
      <c r="AF1019" s="1" t="n">
        <f aca="false">VALUE(RIGHT(B1019,4))</f>
        <v>2024</v>
      </c>
      <c r="AG1019" s="1" t="str">
        <f aca="false">CHOOSE(ROUNDUP(VALUE(MID(B1019,4,2))/3,0),"Q1","Q2","Q3","Q4")</f>
        <v>Q2</v>
      </c>
    </row>
    <row r="1020" customFormat="false" ht="15" hidden="false" customHeight="true" outlineLevel="0" collapsed="false">
      <c r="A1020" s="1" t="s">
        <v>1752</v>
      </c>
      <c r="B1020" s="1" t="s">
        <v>1727</v>
      </c>
      <c r="C1020" s="1" t="s">
        <v>43</v>
      </c>
      <c r="D1020" s="1" t="s">
        <v>80</v>
      </c>
      <c r="E1020" s="1" t="s">
        <v>190</v>
      </c>
      <c r="F1020" s="1" t="s">
        <v>140</v>
      </c>
      <c r="G1020" s="1" t="s">
        <v>97</v>
      </c>
      <c r="H1020" s="1" t="s">
        <v>57</v>
      </c>
      <c r="I1020" s="1" t="s">
        <v>83</v>
      </c>
      <c r="J1020" s="1" t="s">
        <v>131</v>
      </c>
      <c r="K1020" s="1" t="s">
        <v>84</v>
      </c>
      <c r="L1020" s="1" t="s">
        <v>49</v>
      </c>
      <c r="M1020" s="1" t="s">
        <v>62</v>
      </c>
      <c r="N1020" s="1" t="n">
        <v>15999</v>
      </c>
      <c r="O1020" s="1" t="n">
        <v>20</v>
      </c>
      <c r="P1020" s="1" t="n">
        <v>3199.8</v>
      </c>
      <c r="Q1020" s="1" t="n">
        <v>12799.2</v>
      </c>
      <c r="R1020" s="1" t="n">
        <v>2303.86</v>
      </c>
      <c r="S1020" s="1" t="n">
        <v>10495.34</v>
      </c>
      <c r="T1020" s="1" t="n">
        <v>4688.97</v>
      </c>
      <c r="U1020" s="1" t="n">
        <v>5806.37</v>
      </c>
      <c r="V1020" s="1" t="n">
        <v>55.32</v>
      </c>
      <c r="W1020" s="1" t="s">
        <v>39</v>
      </c>
      <c r="X1020" s="1" t="n">
        <v>3.8</v>
      </c>
      <c r="Y1020" s="1" t="s">
        <v>40</v>
      </c>
      <c r="Z1020" s="1" t="n">
        <v>1</v>
      </c>
      <c r="AA1020" s="1" t="str">
        <f aca="false">TRIM(PROPER(F1020))</f>
        <v>Nashik</v>
      </c>
      <c r="AB1020" s="1" t="str">
        <f aca="false">TRIM(PROPER(C1020))</f>
        <v>Meritnation</v>
      </c>
      <c r="AC1020" s="1" t="str">
        <f aca="false">IF(O1020=0,"No Discount",IF(O1020&lt;=15,"Low (1-15%)",IF(O1020&lt;=30,"Medium (16-30%)","High (&gt;30%)")))</f>
        <v>Medium (16-30%)</v>
      </c>
      <c r="AD1020" s="1" t="str">
        <f aca="false">IF(V1020&lt;0,"Loss Making",IF(V1020&lt;20,"Low Margin","Healthy Margin"))</f>
        <v>Healthy Margin</v>
      </c>
      <c r="AE1020" s="1" t="str">
        <f aca="false">TEXT(DATE(VALUE(RIGHT(B1020,4)),VALUE(MID(B1020,4,2)),VALUE(LEFT(B1020,2))),"MMM-YYYY")</f>
        <v>Jun-2024</v>
      </c>
      <c r="AF1020" s="1" t="n">
        <f aca="false">VALUE(RIGHT(B1020,4))</f>
        <v>2024</v>
      </c>
      <c r="AG1020" s="1" t="str">
        <f aca="false">CHOOSE(ROUNDUP(VALUE(MID(B1020,4,2))/3,0),"Q1","Q2","Q3","Q4")</f>
        <v>Q2</v>
      </c>
    </row>
    <row r="1021" customFormat="false" ht="15" hidden="false" customHeight="true" outlineLevel="0" collapsed="false">
      <c r="A1021" s="1" t="s">
        <v>1753</v>
      </c>
      <c r="B1021" s="1" t="s">
        <v>1166</v>
      </c>
      <c r="C1021" s="1" t="s">
        <v>128</v>
      </c>
      <c r="D1021" s="1" t="s">
        <v>29</v>
      </c>
      <c r="E1021" s="1" t="s">
        <v>30</v>
      </c>
      <c r="F1021" s="1" t="s">
        <v>150</v>
      </c>
      <c r="G1021" s="1" t="s">
        <v>32</v>
      </c>
      <c r="H1021" s="1" t="s">
        <v>57</v>
      </c>
      <c r="I1021" s="1" t="s">
        <v>58</v>
      </c>
      <c r="J1021" s="1" t="s">
        <v>131</v>
      </c>
      <c r="K1021" s="1" t="s">
        <v>104</v>
      </c>
      <c r="L1021" s="1" t="s">
        <v>49</v>
      </c>
      <c r="M1021" s="1" t="s">
        <v>50</v>
      </c>
      <c r="N1021" s="1" t="n">
        <v>7999</v>
      </c>
      <c r="O1021" s="1" t="n">
        <v>20</v>
      </c>
      <c r="P1021" s="1" t="n">
        <v>1599.8</v>
      </c>
      <c r="Q1021" s="1" t="n">
        <v>6399.2</v>
      </c>
      <c r="R1021" s="1" t="n">
        <v>1151.86</v>
      </c>
      <c r="S1021" s="1" t="n">
        <v>5247.34</v>
      </c>
      <c r="T1021" s="1" t="n">
        <v>1896.06</v>
      </c>
      <c r="U1021" s="1" t="n">
        <v>3351.28</v>
      </c>
      <c r="V1021" s="1" t="n">
        <v>63.87</v>
      </c>
      <c r="W1021" s="1" t="s">
        <v>39</v>
      </c>
      <c r="Y1021" s="1" t="s">
        <v>40</v>
      </c>
      <c r="Z1021" s="1" t="n">
        <v>1</v>
      </c>
      <c r="AA1021" s="1" t="str">
        <f aca="false">TRIM(PROPER(F1021))</f>
        <v>Jaipur</v>
      </c>
      <c r="AB1021" s="1" t="str">
        <f aca="false">TRIM(PROPER(C1021))</f>
        <v>Great Learning</v>
      </c>
      <c r="AC1021" s="1" t="str">
        <f aca="false">IF(O1021=0,"No Discount",IF(O1021&lt;=15,"Low (1-15%)",IF(O1021&lt;=30,"Medium (16-30%)","High (&gt;30%)")))</f>
        <v>Medium (16-30%)</v>
      </c>
      <c r="AD1021" s="1" t="str">
        <f aca="false">IF(V1021&lt;0,"Loss Making",IF(V1021&lt;20,"Low Margin","Healthy Margin"))</f>
        <v>Healthy Margin</v>
      </c>
      <c r="AE1021" s="1" t="str">
        <f aca="false">TEXT(DATE(VALUE(RIGHT(B1021,4)),VALUE(MID(B1021,4,2)),VALUE(LEFT(B1021,2))),"MMM-YYYY")</f>
        <v>Sep-2023</v>
      </c>
      <c r="AF1021" s="1" t="n">
        <f aca="false">VALUE(RIGHT(B1021,4))</f>
        <v>2023</v>
      </c>
      <c r="AG1021" s="1" t="str">
        <f aca="false">CHOOSE(ROUNDUP(VALUE(MID(B1021,4,2))/3,0),"Q1","Q2","Q3","Q4")</f>
        <v>Q3</v>
      </c>
    </row>
    <row r="1022" customFormat="false" ht="15" hidden="false" customHeight="true" outlineLevel="0" collapsed="false">
      <c r="A1022" s="1" t="s">
        <v>1754</v>
      </c>
      <c r="B1022" s="1" t="s">
        <v>401</v>
      </c>
      <c r="C1022" s="1" t="s">
        <v>74</v>
      </c>
      <c r="D1022" s="1" t="s">
        <v>53</v>
      </c>
      <c r="E1022" s="1" t="s">
        <v>216</v>
      </c>
      <c r="F1022" s="1" t="s">
        <v>130</v>
      </c>
      <c r="G1022" s="1" t="s">
        <v>47</v>
      </c>
      <c r="H1022" s="1" t="s">
        <v>69</v>
      </c>
      <c r="I1022" s="1" t="s">
        <v>83</v>
      </c>
      <c r="J1022" s="1" t="s">
        <v>131</v>
      </c>
      <c r="K1022" s="1" t="s">
        <v>36</v>
      </c>
      <c r="L1022" s="1" t="s">
        <v>85</v>
      </c>
      <c r="M1022" s="1" t="s">
        <v>62</v>
      </c>
      <c r="N1022" s="1" t="n">
        <v>7499</v>
      </c>
      <c r="O1022" s="1" t="n">
        <v>10</v>
      </c>
      <c r="P1022" s="1" t="n">
        <v>749.9</v>
      </c>
      <c r="Q1022" s="1" t="n">
        <v>6749.1</v>
      </c>
      <c r="R1022" s="1" t="n">
        <v>1214.84</v>
      </c>
      <c r="S1022" s="1" t="n">
        <v>5534.26</v>
      </c>
      <c r="T1022" s="1" t="n">
        <v>2491.95</v>
      </c>
      <c r="U1022" s="1" t="n">
        <v>3042.31</v>
      </c>
      <c r="V1022" s="1" t="n">
        <v>54.97</v>
      </c>
      <c r="W1022" s="1" t="s">
        <v>40</v>
      </c>
      <c r="Y1022" s="1" t="s">
        <v>40</v>
      </c>
      <c r="Z1022" s="1" t="n">
        <v>2</v>
      </c>
      <c r="AA1022" s="1" t="str">
        <f aca="false">TRIM(PROPER(F1022))</f>
        <v>Bengaluru</v>
      </c>
      <c r="AB1022" s="1" t="str">
        <f aca="false">TRIM(PROPER(C1022))</f>
        <v>Vedantu</v>
      </c>
      <c r="AC1022" s="1" t="str">
        <f aca="false">IF(O1022=0,"No Discount",IF(O1022&lt;=15,"Low (1-15%)",IF(O1022&lt;=30,"Medium (16-30%)","High (&gt;30%)")))</f>
        <v>Low (1-15%)</v>
      </c>
      <c r="AD1022" s="1" t="str">
        <f aca="false">IF(V1022&lt;0,"Loss Making",IF(V1022&lt;20,"Low Margin","Healthy Margin"))</f>
        <v>Healthy Margin</v>
      </c>
      <c r="AE1022" s="1" t="str">
        <f aca="false">TEXT(DATE(VALUE(RIGHT(B1022,4)),VALUE(MID(B1022,4,2)),VALUE(LEFT(B1022,2))),"MMM-YYYY")</f>
        <v>May-2024</v>
      </c>
      <c r="AF1022" s="1" t="n">
        <f aca="false">VALUE(RIGHT(B1022,4))</f>
        <v>2024</v>
      </c>
      <c r="AG1022" s="1" t="str">
        <f aca="false">CHOOSE(ROUNDUP(VALUE(MID(B1022,4,2))/3,0),"Q1","Q2","Q3","Q4")</f>
        <v>Q2</v>
      </c>
    </row>
    <row r="1023" customFormat="false" ht="15" hidden="false" customHeight="true" outlineLevel="0" collapsed="false">
      <c r="A1023" s="1" t="s">
        <v>1755</v>
      </c>
      <c r="B1023" s="1" t="s">
        <v>1756</v>
      </c>
      <c r="C1023" s="1" t="s">
        <v>119</v>
      </c>
      <c r="D1023" s="1" t="s">
        <v>94</v>
      </c>
      <c r="E1023" s="1" t="s">
        <v>135</v>
      </c>
      <c r="F1023" s="1" t="s">
        <v>130</v>
      </c>
      <c r="G1023" s="1" t="s">
        <v>47</v>
      </c>
      <c r="H1023" s="1" t="s">
        <v>69</v>
      </c>
      <c r="I1023" s="1" t="s">
        <v>34</v>
      </c>
      <c r="J1023" s="1" t="s">
        <v>131</v>
      </c>
      <c r="K1023" s="1" t="s">
        <v>48</v>
      </c>
      <c r="L1023" s="1" t="s">
        <v>61</v>
      </c>
      <c r="M1023" s="1" t="s">
        <v>50</v>
      </c>
      <c r="N1023" s="1" t="n">
        <v>9999</v>
      </c>
      <c r="O1023" s="1" t="n">
        <v>50</v>
      </c>
      <c r="P1023" s="1" t="n">
        <v>4999.5</v>
      </c>
      <c r="Q1023" s="1" t="n">
        <v>4999.5</v>
      </c>
      <c r="R1023" s="1" t="n">
        <v>899.91</v>
      </c>
      <c r="S1023" s="1" t="n">
        <v>4099.59</v>
      </c>
      <c r="T1023" s="1" t="n">
        <v>1820.68</v>
      </c>
      <c r="U1023" s="1" t="n">
        <v>2278.91</v>
      </c>
      <c r="V1023" s="1" t="n">
        <v>55.59</v>
      </c>
      <c r="W1023" s="1" t="s">
        <v>40</v>
      </c>
      <c r="Y1023" s="1" t="s">
        <v>40</v>
      </c>
      <c r="Z1023" s="1" t="n">
        <v>1</v>
      </c>
      <c r="AA1023" s="1" t="str">
        <f aca="false">TRIM(PROPER(F1023))</f>
        <v>Bengaluru</v>
      </c>
      <c r="AB1023" s="1" t="str">
        <f aca="false">TRIM(PROPER(C1023))</f>
        <v>Simplilearn</v>
      </c>
      <c r="AC1023" s="1" t="str">
        <f aca="false">IF(O1023=0,"No Discount",IF(O1023&lt;=15,"Low (1-15%)",IF(O1023&lt;=30,"Medium (16-30%)","High (&gt;30%)")))</f>
        <v>High (&gt;30%)</v>
      </c>
      <c r="AD1023" s="1" t="str">
        <f aca="false">IF(V1023&lt;0,"Loss Making",IF(V1023&lt;20,"Low Margin","Healthy Margin"))</f>
        <v>Healthy Margin</v>
      </c>
      <c r="AE1023" s="1" t="str">
        <f aca="false">TEXT(DATE(VALUE(RIGHT(B1023,4)),VALUE(MID(B1023,4,2)),VALUE(LEFT(B1023,2))),"MMM-YYYY")</f>
        <v>Dec-2023</v>
      </c>
      <c r="AF1023" s="1" t="n">
        <f aca="false">VALUE(RIGHT(B1023,4))</f>
        <v>2023</v>
      </c>
      <c r="AG1023" s="1" t="str">
        <f aca="false">CHOOSE(ROUNDUP(VALUE(MID(B1023,4,2))/3,0),"Q1","Q2","Q3","Q4")</f>
        <v>Q4</v>
      </c>
    </row>
    <row r="1024" customFormat="false" ht="15" hidden="false" customHeight="true" outlineLevel="0" collapsed="false">
      <c r="A1024" s="1" t="s">
        <v>1757</v>
      </c>
      <c r="B1024" s="1" t="s">
        <v>1128</v>
      </c>
      <c r="C1024" s="1" t="s">
        <v>139</v>
      </c>
      <c r="D1024" s="1" t="s">
        <v>80</v>
      </c>
      <c r="E1024" s="1" t="s">
        <v>81</v>
      </c>
      <c r="F1024" s="1" t="s">
        <v>55</v>
      </c>
      <c r="G1024" s="1" t="s">
        <v>56</v>
      </c>
      <c r="H1024" s="1" t="s">
        <v>57</v>
      </c>
      <c r="I1024" s="1" t="s">
        <v>58</v>
      </c>
      <c r="J1024" s="1" t="s">
        <v>131</v>
      </c>
      <c r="K1024" s="1" t="s">
        <v>104</v>
      </c>
      <c r="L1024" s="1" t="s">
        <v>49</v>
      </c>
      <c r="M1024" s="1" t="s">
        <v>50</v>
      </c>
      <c r="N1024" s="1" t="n">
        <v>12999</v>
      </c>
      <c r="O1024" s="1" t="n">
        <v>40</v>
      </c>
      <c r="P1024" s="1" t="n">
        <v>5199.6</v>
      </c>
      <c r="Q1024" s="1" t="n">
        <v>7799.4</v>
      </c>
      <c r="R1024" s="1" t="n">
        <v>1403.89</v>
      </c>
      <c r="S1024" s="1" t="n">
        <v>6395.51</v>
      </c>
      <c r="T1024" s="1" t="n">
        <v>3549.9</v>
      </c>
      <c r="U1024" s="1" t="n">
        <v>2845.61</v>
      </c>
      <c r="V1024" s="1" t="n">
        <v>44.49</v>
      </c>
      <c r="W1024" s="1" t="s">
        <v>40</v>
      </c>
      <c r="Y1024" s="1" t="s">
        <v>40</v>
      </c>
      <c r="Z1024" s="1" t="n">
        <v>1</v>
      </c>
      <c r="AA1024" s="1" t="str">
        <f aca="false">TRIM(PROPER(F1024))</f>
        <v>Ghaziabad</v>
      </c>
      <c r="AB1024" s="1" t="str">
        <f aca="false">TRIM(PROPER(C1024))</f>
        <v>Extramarks</v>
      </c>
      <c r="AC1024" s="1" t="str">
        <f aca="false">IF(O1024=0,"No Discount",IF(O1024&lt;=15,"Low (1-15%)",IF(O1024&lt;=30,"Medium (16-30%)","High (&gt;30%)")))</f>
        <v>High (&gt;30%)</v>
      </c>
      <c r="AD1024" s="1" t="str">
        <f aca="false">IF(V1024&lt;0,"Loss Making",IF(V1024&lt;20,"Low Margin","Healthy Margin"))</f>
        <v>Healthy Margin</v>
      </c>
      <c r="AE1024" s="1" t="str">
        <f aca="false">TEXT(DATE(VALUE(RIGHT(B1024,4)),VALUE(MID(B1024,4,2)),VALUE(LEFT(B1024,2))),"MMM-YYYY")</f>
        <v>Oct-2024</v>
      </c>
      <c r="AF1024" s="1" t="n">
        <f aca="false">VALUE(RIGHT(B1024,4))</f>
        <v>2024</v>
      </c>
      <c r="AG1024" s="1" t="str">
        <f aca="false">CHOOSE(ROUNDUP(VALUE(MID(B1024,4,2))/3,0),"Q1","Q2","Q3","Q4")</f>
        <v>Q4</v>
      </c>
    </row>
    <row r="1025" customFormat="false" ht="15" hidden="false" customHeight="true" outlineLevel="0" collapsed="false">
      <c r="A1025" s="1" t="s">
        <v>1758</v>
      </c>
      <c r="B1025" s="1" t="s">
        <v>1275</v>
      </c>
      <c r="C1025" s="1" t="s">
        <v>43</v>
      </c>
      <c r="D1025" s="1" t="s">
        <v>168</v>
      </c>
      <c r="E1025" s="1" t="s">
        <v>328</v>
      </c>
      <c r="F1025" s="1" t="s">
        <v>102</v>
      </c>
      <c r="G1025" s="1" t="s">
        <v>103</v>
      </c>
      <c r="H1025" s="1" t="s">
        <v>33</v>
      </c>
      <c r="I1025" s="1" t="s">
        <v>34</v>
      </c>
      <c r="J1025" s="1" t="s">
        <v>35</v>
      </c>
      <c r="K1025" s="1" t="s">
        <v>104</v>
      </c>
      <c r="L1025" s="1" t="s">
        <v>113</v>
      </c>
      <c r="M1025" s="1" t="s">
        <v>62</v>
      </c>
      <c r="N1025" s="1" t="n">
        <v>8999</v>
      </c>
      <c r="O1025" s="1" t="n">
        <v>15</v>
      </c>
      <c r="P1025" s="1" t="n">
        <v>1349.85</v>
      </c>
      <c r="Q1025" s="1" t="n">
        <v>7649.15</v>
      </c>
      <c r="R1025" s="1" t="n">
        <v>1376.85</v>
      </c>
      <c r="S1025" s="1" t="n">
        <v>6272.3</v>
      </c>
      <c r="T1025" s="1" t="n">
        <v>3068.98</v>
      </c>
      <c r="U1025" s="1" t="n">
        <v>3203.32</v>
      </c>
      <c r="V1025" s="1" t="n">
        <v>51.07</v>
      </c>
      <c r="W1025" s="1" t="s">
        <v>40</v>
      </c>
      <c r="Y1025" s="1" t="s">
        <v>40</v>
      </c>
      <c r="Z1025" s="1" t="n">
        <v>3</v>
      </c>
      <c r="AA1025" s="1" t="str">
        <f aca="false">TRIM(PROPER(F1025))</f>
        <v>Warangal</v>
      </c>
      <c r="AB1025" s="1" t="str">
        <f aca="false">TRIM(PROPER(C1025))</f>
        <v>Meritnation</v>
      </c>
      <c r="AC1025" s="1" t="str">
        <f aca="false">IF(O1025=0,"No Discount",IF(O1025&lt;=15,"Low (1-15%)",IF(O1025&lt;=30,"Medium (16-30%)","High (&gt;30%)")))</f>
        <v>Low (1-15%)</v>
      </c>
      <c r="AD1025" s="1" t="str">
        <f aca="false">IF(V1025&lt;0,"Loss Making",IF(V1025&lt;20,"Low Margin","Healthy Margin"))</f>
        <v>Healthy Margin</v>
      </c>
      <c r="AE1025" s="1" t="str">
        <f aca="false">TEXT(DATE(VALUE(RIGHT(B1025,4)),VALUE(MID(B1025,4,2)),VALUE(LEFT(B1025,2))),"MMM-YYYY")</f>
        <v>Dec-2024</v>
      </c>
      <c r="AF1025" s="1" t="n">
        <f aca="false">VALUE(RIGHT(B1025,4))</f>
        <v>2024</v>
      </c>
      <c r="AG1025" s="1" t="str">
        <f aca="false">CHOOSE(ROUNDUP(VALUE(MID(B1025,4,2))/3,0),"Q1","Q2","Q3","Q4")</f>
        <v>Q4</v>
      </c>
    </row>
    <row r="1026" customFormat="false" ht="15" hidden="false" customHeight="true" outlineLevel="0" collapsed="false">
      <c r="A1026" s="1" t="s">
        <v>1759</v>
      </c>
      <c r="B1026" s="1" t="s">
        <v>1040</v>
      </c>
      <c r="C1026" s="1" t="s">
        <v>74</v>
      </c>
      <c r="D1026" s="1" t="s">
        <v>29</v>
      </c>
      <c r="E1026" s="1" t="s">
        <v>305</v>
      </c>
      <c r="F1026" s="1" t="s">
        <v>211</v>
      </c>
      <c r="G1026" s="1" t="s">
        <v>56</v>
      </c>
      <c r="H1026" s="1" t="s">
        <v>69</v>
      </c>
      <c r="I1026" s="1" t="s">
        <v>83</v>
      </c>
      <c r="J1026" s="1" t="s">
        <v>59</v>
      </c>
      <c r="K1026" s="1" t="s">
        <v>36</v>
      </c>
      <c r="L1026" s="1" t="s">
        <v>49</v>
      </c>
      <c r="M1026" s="1" t="s">
        <v>62</v>
      </c>
      <c r="N1026" s="1" t="n">
        <v>24999</v>
      </c>
      <c r="O1026" s="1" t="n">
        <v>40</v>
      </c>
      <c r="P1026" s="1" t="n">
        <v>9999.6</v>
      </c>
      <c r="Q1026" s="1" t="n">
        <v>14999.4</v>
      </c>
      <c r="R1026" s="1" t="n">
        <v>2699.89</v>
      </c>
      <c r="S1026" s="1" t="n">
        <v>12299.51</v>
      </c>
      <c r="T1026" s="1" t="n">
        <v>5995.8</v>
      </c>
      <c r="U1026" s="1" t="n">
        <v>6303.71</v>
      </c>
      <c r="V1026" s="1" t="n">
        <v>51.25</v>
      </c>
      <c r="W1026" s="1" t="s">
        <v>39</v>
      </c>
      <c r="X1026" s="1" t="n">
        <v>4</v>
      </c>
      <c r="Y1026" s="1" t="s">
        <v>40</v>
      </c>
      <c r="Z1026" s="1" t="n">
        <v>0</v>
      </c>
      <c r="AA1026" s="1" t="str">
        <f aca="false">TRIM(PROPER(F1026))</f>
        <v>Noida</v>
      </c>
      <c r="AB1026" s="1" t="str">
        <f aca="false">TRIM(PROPER(C1026))</f>
        <v>Vedantu</v>
      </c>
      <c r="AC1026" s="1" t="str">
        <f aca="false">IF(O1026=0,"No Discount",IF(O1026&lt;=15,"Low (1-15%)",IF(O1026&lt;=30,"Medium (16-30%)","High (&gt;30%)")))</f>
        <v>High (&gt;30%)</v>
      </c>
      <c r="AD1026" s="1" t="str">
        <f aca="false">IF(V1026&lt;0,"Loss Making",IF(V1026&lt;20,"Low Margin","Healthy Margin"))</f>
        <v>Healthy Margin</v>
      </c>
      <c r="AE1026" s="1" t="str">
        <f aca="false">TEXT(DATE(VALUE(RIGHT(B1026,4)),VALUE(MID(B1026,4,2)),VALUE(LEFT(B1026,2))),"MMM-YYYY")</f>
        <v>Sep-2023</v>
      </c>
      <c r="AF1026" s="1" t="n">
        <f aca="false">VALUE(RIGHT(B1026,4))</f>
        <v>2023</v>
      </c>
      <c r="AG1026" s="1" t="str">
        <f aca="false">CHOOSE(ROUNDUP(VALUE(MID(B1026,4,2))/3,0),"Q1","Q2","Q3","Q4")</f>
        <v>Q3</v>
      </c>
    </row>
    <row r="1027" customFormat="false" ht="15" hidden="false" customHeight="true" outlineLevel="0" collapsed="false">
      <c r="A1027" s="1" t="s">
        <v>1760</v>
      </c>
      <c r="B1027" s="1" t="s">
        <v>1580</v>
      </c>
      <c r="C1027" s="1" t="s">
        <v>128</v>
      </c>
      <c r="D1027" s="1" t="s">
        <v>44</v>
      </c>
      <c r="E1027" s="1" t="s">
        <v>66</v>
      </c>
      <c r="F1027" s="1" t="s">
        <v>156</v>
      </c>
      <c r="G1027" s="1" t="s">
        <v>68</v>
      </c>
      <c r="H1027" s="1" t="s">
        <v>57</v>
      </c>
      <c r="I1027" s="1" t="s">
        <v>34</v>
      </c>
      <c r="J1027" s="1" t="s">
        <v>35</v>
      </c>
      <c r="K1027" s="1" t="s">
        <v>71</v>
      </c>
      <c r="L1027" s="1" t="s">
        <v>136</v>
      </c>
      <c r="M1027" s="1" t="s">
        <v>38</v>
      </c>
      <c r="N1027" s="1" t="n">
        <v>12999</v>
      </c>
      <c r="O1027" s="1" t="n">
        <v>20</v>
      </c>
      <c r="P1027" s="1" t="n">
        <v>2599.8</v>
      </c>
      <c r="Q1027" s="1" t="n">
        <v>10399.2</v>
      </c>
      <c r="R1027" s="1" t="n">
        <v>1871.86</v>
      </c>
      <c r="S1027" s="1" t="n">
        <v>8527.34</v>
      </c>
      <c r="T1027" s="1" t="n">
        <v>4130.46</v>
      </c>
      <c r="U1027" s="1" t="n">
        <v>4396.88</v>
      </c>
      <c r="V1027" s="1" t="n">
        <v>51.56</v>
      </c>
      <c r="W1027" s="1" t="s">
        <v>39</v>
      </c>
      <c r="X1027" s="1" t="n">
        <v>3.6</v>
      </c>
      <c r="Y1027" s="1" t="s">
        <v>40</v>
      </c>
      <c r="Z1027" s="1" t="n">
        <v>0</v>
      </c>
      <c r="AA1027" s="1" t="str">
        <f aca="false">TRIM(PROPER(F1027))</f>
        <v>Surat</v>
      </c>
      <c r="AB1027" s="1" t="str">
        <f aca="false">TRIM(PROPER(C1027))</f>
        <v>Great Learning</v>
      </c>
      <c r="AC1027" s="1" t="str">
        <f aca="false">IF(O1027=0,"No Discount",IF(O1027&lt;=15,"Low (1-15%)",IF(O1027&lt;=30,"Medium (16-30%)","High (&gt;30%)")))</f>
        <v>Medium (16-30%)</v>
      </c>
      <c r="AD1027" s="1" t="str">
        <f aca="false">IF(V1027&lt;0,"Loss Making",IF(V1027&lt;20,"Low Margin","Healthy Margin"))</f>
        <v>Healthy Margin</v>
      </c>
      <c r="AE1027" s="1" t="str">
        <f aca="false">TEXT(DATE(VALUE(RIGHT(B1027,4)),VALUE(MID(B1027,4,2)),VALUE(LEFT(B1027,2))),"MMM-YYYY")</f>
        <v>Dec-2023</v>
      </c>
      <c r="AF1027" s="1" t="n">
        <f aca="false">VALUE(RIGHT(B1027,4))</f>
        <v>2023</v>
      </c>
      <c r="AG1027" s="1" t="str">
        <f aca="false">CHOOSE(ROUNDUP(VALUE(MID(B1027,4,2))/3,0),"Q1","Q2","Q3","Q4")</f>
        <v>Q4</v>
      </c>
    </row>
    <row r="1028" customFormat="false" ht="15" hidden="false" customHeight="true" outlineLevel="0" collapsed="false">
      <c r="A1028" s="1" t="s">
        <v>1761</v>
      </c>
      <c r="B1028" s="1" t="s">
        <v>454</v>
      </c>
      <c r="C1028" s="1" t="s">
        <v>139</v>
      </c>
      <c r="D1028" s="1" t="s">
        <v>123</v>
      </c>
      <c r="E1028" s="1" t="s">
        <v>233</v>
      </c>
      <c r="F1028" s="1" t="s">
        <v>46</v>
      </c>
      <c r="G1028" s="1" t="s">
        <v>47</v>
      </c>
      <c r="H1028" s="1" t="s">
        <v>33</v>
      </c>
      <c r="I1028" s="1" t="s">
        <v>58</v>
      </c>
      <c r="J1028" s="1" t="s">
        <v>70</v>
      </c>
      <c r="K1028" s="1" t="s">
        <v>84</v>
      </c>
      <c r="L1028" s="1" t="s">
        <v>113</v>
      </c>
      <c r="M1028" s="1" t="s">
        <v>50</v>
      </c>
      <c r="N1028" s="1" t="n">
        <v>8999</v>
      </c>
      <c r="O1028" s="1" t="n">
        <v>10</v>
      </c>
      <c r="P1028" s="1" t="n">
        <v>899.9</v>
      </c>
      <c r="Q1028" s="1" t="n">
        <v>8099.1</v>
      </c>
      <c r="R1028" s="1" t="n">
        <v>1457.84</v>
      </c>
      <c r="S1028" s="1" t="n">
        <v>6641.26</v>
      </c>
      <c r="T1028" s="1" t="n">
        <v>2833.92</v>
      </c>
      <c r="U1028" s="1" t="n">
        <v>3807.34</v>
      </c>
      <c r="V1028" s="1" t="n">
        <v>57.33</v>
      </c>
      <c r="W1028" s="1" t="s">
        <v>40</v>
      </c>
      <c r="Y1028" s="1" t="s">
        <v>40</v>
      </c>
      <c r="Z1028" s="1" t="n">
        <v>0</v>
      </c>
      <c r="AA1028" s="1" t="str">
        <f aca="false">TRIM(PROPER(F1028))</f>
        <v>Mangaluru</v>
      </c>
      <c r="AB1028" s="1" t="str">
        <f aca="false">TRIM(PROPER(C1028))</f>
        <v>Extramarks</v>
      </c>
      <c r="AC1028" s="1" t="str">
        <f aca="false">IF(O1028=0,"No Discount",IF(O1028&lt;=15,"Low (1-15%)",IF(O1028&lt;=30,"Medium (16-30%)","High (&gt;30%)")))</f>
        <v>Low (1-15%)</v>
      </c>
      <c r="AD1028" s="1" t="str">
        <f aca="false">IF(V1028&lt;0,"Loss Making",IF(V1028&lt;20,"Low Margin","Healthy Margin"))</f>
        <v>Healthy Margin</v>
      </c>
      <c r="AE1028" s="1" t="str">
        <f aca="false">TEXT(DATE(VALUE(RIGHT(B1028,4)),VALUE(MID(B1028,4,2)),VALUE(LEFT(B1028,2))),"MMM-YYYY")</f>
        <v>Apr-2023</v>
      </c>
      <c r="AF1028" s="1" t="n">
        <f aca="false">VALUE(RIGHT(B1028,4))</f>
        <v>2023</v>
      </c>
      <c r="AG1028" s="1" t="str">
        <f aca="false">CHOOSE(ROUNDUP(VALUE(MID(B1028,4,2))/3,0),"Q1","Q2","Q3","Q4")</f>
        <v>Q2</v>
      </c>
    </row>
    <row r="1029" customFormat="false" ht="15" hidden="false" customHeight="true" outlineLevel="0" collapsed="false">
      <c r="A1029" s="1" t="s">
        <v>1762</v>
      </c>
      <c r="B1029" s="1" t="s">
        <v>1763</v>
      </c>
      <c r="C1029" s="1" t="s">
        <v>178</v>
      </c>
      <c r="D1029" s="1" t="s">
        <v>94</v>
      </c>
      <c r="E1029" s="1" t="s">
        <v>95</v>
      </c>
      <c r="F1029" s="1" t="s">
        <v>120</v>
      </c>
      <c r="G1029" s="1" t="s">
        <v>47</v>
      </c>
      <c r="H1029" s="1" t="s">
        <v>57</v>
      </c>
      <c r="I1029" s="1" t="s">
        <v>83</v>
      </c>
      <c r="J1029" s="1" t="s">
        <v>77</v>
      </c>
      <c r="K1029" s="1" t="s">
        <v>60</v>
      </c>
      <c r="L1029" s="1" t="s">
        <v>37</v>
      </c>
      <c r="M1029" s="1" t="s">
        <v>50</v>
      </c>
      <c r="N1029" s="1" t="n">
        <v>6999</v>
      </c>
      <c r="O1029" s="1" t="n">
        <v>0</v>
      </c>
      <c r="P1029" s="1" t="n">
        <v>0</v>
      </c>
      <c r="Q1029" s="1" t="n">
        <v>6999</v>
      </c>
      <c r="R1029" s="1" t="n">
        <v>1259.82</v>
      </c>
      <c r="S1029" s="1" t="n">
        <v>5739.18</v>
      </c>
      <c r="T1029" s="1" t="n">
        <v>2750.65</v>
      </c>
      <c r="U1029" s="1" t="n">
        <v>2988.53</v>
      </c>
      <c r="V1029" s="1" t="n">
        <v>52.07</v>
      </c>
      <c r="W1029" s="1" t="s">
        <v>40</v>
      </c>
      <c r="Y1029" s="1" t="s">
        <v>40</v>
      </c>
      <c r="Z1029" s="1" t="n">
        <v>3</v>
      </c>
      <c r="AA1029" s="1" t="str">
        <f aca="false">TRIM(PROPER(F1029))</f>
        <v>Mysuru</v>
      </c>
      <c r="AB1029" s="1" t="str">
        <f aca="false">TRIM(PROPER(C1029))</f>
        <v>Leverage Edu</v>
      </c>
      <c r="AC1029" s="1" t="str">
        <f aca="false">IF(O1029=0,"No Discount",IF(O1029&lt;=15,"Low (1-15%)",IF(O1029&lt;=30,"Medium (16-30%)","High (&gt;30%)")))</f>
        <v>No Discount</v>
      </c>
      <c r="AD1029" s="1" t="str">
        <f aca="false">IF(V1029&lt;0,"Loss Making",IF(V1029&lt;20,"Low Margin","Healthy Margin"))</f>
        <v>Healthy Margin</v>
      </c>
      <c r="AE1029" s="1" t="str">
        <f aca="false">TEXT(DATE(VALUE(RIGHT(B1029,4)),VALUE(MID(B1029,4,2)),VALUE(LEFT(B1029,2))),"MMM-YYYY")</f>
        <v>Mar-2023</v>
      </c>
      <c r="AF1029" s="1" t="n">
        <f aca="false">VALUE(RIGHT(B1029,4))</f>
        <v>2023</v>
      </c>
      <c r="AG1029" s="1" t="str">
        <f aca="false">CHOOSE(ROUNDUP(VALUE(MID(B1029,4,2))/3,0),"Q1","Q2","Q3","Q4")</f>
        <v>Q1</v>
      </c>
    </row>
    <row r="1030" customFormat="false" ht="15" hidden="false" customHeight="true" outlineLevel="0" collapsed="false">
      <c r="A1030" s="1" t="s">
        <v>1764</v>
      </c>
      <c r="B1030" s="1" t="s">
        <v>1350</v>
      </c>
      <c r="C1030" s="1" t="s">
        <v>93</v>
      </c>
      <c r="D1030" s="1" t="s">
        <v>143</v>
      </c>
      <c r="E1030" s="1" t="s">
        <v>144</v>
      </c>
      <c r="F1030" s="1" t="s">
        <v>156</v>
      </c>
      <c r="G1030" s="1" t="s">
        <v>68</v>
      </c>
      <c r="H1030" s="1" t="s">
        <v>57</v>
      </c>
      <c r="I1030" s="1" t="s">
        <v>34</v>
      </c>
      <c r="J1030" s="1" t="s">
        <v>70</v>
      </c>
      <c r="K1030" s="1" t="s">
        <v>104</v>
      </c>
      <c r="L1030" s="1" t="s">
        <v>61</v>
      </c>
      <c r="M1030" s="1" t="s">
        <v>62</v>
      </c>
      <c r="N1030" s="1" t="n">
        <v>12999</v>
      </c>
      <c r="O1030" s="1" t="n">
        <v>0</v>
      </c>
      <c r="P1030" s="1" t="n">
        <v>0</v>
      </c>
      <c r="Q1030" s="1" t="n">
        <v>12999</v>
      </c>
      <c r="R1030" s="1" t="n">
        <v>2339.82</v>
      </c>
      <c r="S1030" s="1" t="n">
        <v>10659.18</v>
      </c>
      <c r="T1030" s="1" t="n">
        <v>5676.67</v>
      </c>
      <c r="U1030" s="1" t="n">
        <v>4982.51</v>
      </c>
      <c r="V1030" s="1" t="n">
        <v>46.74</v>
      </c>
      <c r="W1030" s="1" t="s">
        <v>39</v>
      </c>
      <c r="X1030" s="1" t="n">
        <v>3.6</v>
      </c>
      <c r="Y1030" s="1" t="s">
        <v>40</v>
      </c>
      <c r="Z1030" s="1" t="n">
        <v>0</v>
      </c>
      <c r="AA1030" s="1" t="str">
        <f aca="false">TRIM(PROPER(F1030))</f>
        <v>Surat</v>
      </c>
      <c r="AB1030" s="1" t="str">
        <f aca="false">TRIM(PROPER(C1030))</f>
        <v>Upgrad</v>
      </c>
      <c r="AC1030" s="1" t="str">
        <f aca="false">IF(O1030=0,"No Discount",IF(O1030&lt;=15,"Low (1-15%)",IF(O1030&lt;=30,"Medium (16-30%)","High (&gt;30%)")))</f>
        <v>No Discount</v>
      </c>
      <c r="AD1030" s="1" t="str">
        <f aca="false">IF(V1030&lt;0,"Loss Making",IF(V1030&lt;20,"Low Margin","Healthy Margin"))</f>
        <v>Healthy Margin</v>
      </c>
      <c r="AE1030" s="1" t="str">
        <f aca="false">TEXT(DATE(VALUE(RIGHT(B1030,4)),VALUE(MID(B1030,4,2)),VALUE(LEFT(B1030,2))),"MMM-YYYY")</f>
        <v>Mar-2024</v>
      </c>
      <c r="AF1030" s="1" t="n">
        <f aca="false">VALUE(RIGHT(B1030,4))</f>
        <v>2024</v>
      </c>
      <c r="AG1030" s="1" t="str">
        <f aca="false">CHOOSE(ROUNDUP(VALUE(MID(B1030,4,2))/3,0),"Q1","Q2","Q3","Q4")</f>
        <v>Q1</v>
      </c>
    </row>
    <row r="1031" customFormat="false" ht="15" hidden="false" customHeight="true" outlineLevel="0" collapsed="false">
      <c r="A1031" s="1" t="s">
        <v>1765</v>
      </c>
      <c r="B1031" s="1" t="s">
        <v>1550</v>
      </c>
      <c r="C1031" s="1" t="s">
        <v>139</v>
      </c>
      <c r="D1031" s="1" t="s">
        <v>44</v>
      </c>
      <c r="E1031" s="1" t="s">
        <v>66</v>
      </c>
      <c r="F1031" s="1" t="s">
        <v>184</v>
      </c>
      <c r="G1031" s="1" t="s">
        <v>56</v>
      </c>
      <c r="H1031" s="1" t="s">
        <v>57</v>
      </c>
      <c r="I1031" s="1" t="s">
        <v>34</v>
      </c>
      <c r="J1031" s="1" t="s">
        <v>70</v>
      </c>
      <c r="K1031" s="1" t="s">
        <v>112</v>
      </c>
      <c r="L1031" s="1" t="s">
        <v>61</v>
      </c>
      <c r="M1031" s="1" t="s">
        <v>62</v>
      </c>
      <c r="N1031" s="1" t="n">
        <v>12999</v>
      </c>
      <c r="O1031" s="1" t="n">
        <v>40</v>
      </c>
      <c r="P1031" s="1" t="n">
        <v>5199.6</v>
      </c>
      <c r="Q1031" s="1" t="n">
        <v>7799.4</v>
      </c>
      <c r="R1031" s="1" t="n">
        <v>1403.89</v>
      </c>
      <c r="S1031" s="1" t="n">
        <v>6395.51</v>
      </c>
      <c r="T1031" s="1" t="n">
        <v>3829.73</v>
      </c>
      <c r="U1031" s="1" t="n">
        <v>2565.78</v>
      </c>
      <c r="V1031" s="1" t="n">
        <v>40.12</v>
      </c>
      <c r="W1031" s="1" t="s">
        <v>39</v>
      </c>
      <c r="X1031" s="1" t="n">
        <v>3</v>
      </c>
      <c r="Y1031" s="1" t="s">
        <v>40</v>
      </c>
      <c r="Z1031" s="1" t="n">
        <v>0</v>
      </c>
      <c r="AA1031" s="1" t="str">
        <f aca="false">TRIM(PROPER(F1031))</f>
        <v>Faridabad</v>
      </c>
      <c r="AB1031" s="1" t="str">
        <f aca="false">TRIM(PROPER(C1031))</f>
        <v>Extramarks</v>
      </c>
      <c r="AC1031" s="1" t="str">
        <f aca="false">IF(O1031=0,"No Discount",IF(O1031&lt;=15,"Low (1-15%)",IF(O1031&lt;=30,"Medium (16-30%)","High (&gt;30%)")))</f>
        <v>High (&gt;30%)</v>
      </c>
      <c r="AD1031" s="1" t="str">
        <f aca="false">IF(V1031&lt;0,"Loss Making",IF(V1031&lt;20,"Low Margin","Healthy Margin"))</f>
        <v>Healthy Margin</v>
      </c>
      <c r="AE1031" s="1" t="str">
        <f aca="false">TEXT(DATE(VALUE(RIGHT(B1031,4)),VALUE(MID(B1031,4,2)),VALUE(LEFT(B1031,2))),"MMM-YYYY")</f>
        <v>Jul-2023</v>
      </c>
      <c r="AF1031" s="1" t="n">
        <f aca="false">VALUE(RIGHT(B1031,4))</f>
        <v>2023</v>
      </c>
      <c r="AG1031" s="1" t="str">
        <f aca="false">CHOOSE(ROUNDUP(VALUE(MID(B1031,4,2))/3,0),"Q1","Q2","Q3","Q4")</f>
        <v>Q3</v>
      </c>
    </row>
    <row r="1032" customFormat="false" ht="15" hidden="false" customHeight="true" outlineLevel="0" collapsed="false">
      <c r="A1032" s="1" t="s">
        <v>1766</v>
      </c>
      <c r="B1032" s="1" t="s">
        <v>1686</v>
      </c>
      <c r="C1032" s="1" t="s">
        <v>178</v>
      </c>
      <c r="D1032" s="1" t="s">
        <v>168</v>
      </c>
      <c r="E1032" s="1" t="s">
        <v>197</v>
      </c>
      <c r="F1032" s="1" t="s">
        <v>55</v>
      </c>
      <c r="G1032" s="1" t="s">
        <v>56</v>
      </c>
      <c r="H1032" s="1" t="s">
        <v>57</v>
      </c>
      <c r="I1032" s="1" t="s">
        <v>83</v>
      </c>
      <c r="J1032" s="1" t="s">
        <v>35</v>
      </c>
      <c r="K1032" s="1" t="s">
        <v>104</v>
      </c>
      <c r="L1032" s="1" t="s">
        <v>37</v>
      </c>
      <c r="M1032" s="1" t="s">
        <v>50</v>
      </c>
      <c r="N1032" s="1" t="n">
        <v>8499</v>
      </c>
      <c r="O1032" s="1" t="n">
        <v>40</v>
      </c>
      <c r="P1032" s="1" t="n">
        <v>3399.6</v>
      </c>
      <c r="Q1032" s="1" t="n">
        <v>5099.4</v>
      </c>
      <c r="R1032" s="1" t="n">
        <v>917.89</v>
      </c>
      <c r="S1032" s="1" t="n">
        <v>4181.51</v>
      </c>
      <c r="T1032" s="1" t="n">
        <v>2130.37</v>
      </c>
      <c r="U1032" s="1" t="n">
        <v>2051.14</v>
      </c>
      <c r="V1032" s="1" t="n">
        <v>49.05</v>
      </c>
      <c r="W1032" s="1" t="s">
        <v>39</v>
      </c>
      <c r="X1032" s="1" t="n">
        <v>3.7</v>
      </c>
      <c r="Y1032" s="1" t="s">
        <v>40</v>
      </c>
      <c r="Z1032" s="1" t="n">
        <v>1</v>
      </c>
      <c r="AA1032" s="1" t="str">
        <f aca="false">TRIM(PROPER(F1032))</f>
        <v>Ghaziabad</v>
      </c>
      <c r="AB1032" s="1" t="str">
        <f aca="false">TRIM(PROPER(C1032))</f>
        <v>Leverage Edu</v>
      </c>
      <c r="AC1032" s="1" t="str">
        <f aca="false">IF(O1032=0,"No Discount",IF(O1032&lt;=15,"Low (1-15%)",IF(O1032&lt;=30,"Medium (16-30%)","High (&gt;30%)")))</f>
        <v>High (&gt;30%)</v>
      </c>
      <c r="AD1032" s="1" t="str">
        <f aca="false">IF(V1032&lt;0,"Loss Making",IF(V1032&lt;20,"Low Margin","Healthy Margin"))</f>
        <v>Healthy Margin</v>
      </c>
      <c r="AE1032" s="1" t="str">
        <f aca="false">TEXT(DATE(VALUE(RIGHT(B1032,4)),VALUE(MID(B1032,4,2)),VALUE(LEFT(B1032,2))),"MMM-YYYY")</f>
        <v>Aug-2023</v>
      </c>
      <c r="AF1032" s="1" t="n">
        <f aca="false">VALUE(RIGHT(B1032,4))</f>
        <v>2023</v>
      </c>
      <c r="AG1032" s="1" t="str">
        <f aca="false">CHOOSE(ROUNDUP(VALUE(MID(B1032,4,2))/3,0),"Q1","Q2","Q3","Q4")</f>
        <v>Q3</v>
      </c>
    </row>
    <row r="1033" customFormat="false" ht="15" hidden="false" customHeight="true" outlineLevel="0" collapsed="false">
      <c r="A1033" s="1" t="s">
        <v>1767</v>
      </c>
      <c r="B1033" s="1" t="s">
        <v>174</v>
      </c>
      <c r="C1033" s="1" t="s">
        <v>178</v>
      </c>
      <c r="D1033" s="1" t="s">
        <v>80</v>
      </c>
      <c r="E1033" s="1" t="s">
        <v>193</v>
      </c>
      <c r="F1033" s="1" t="s">
        <v>46</v>
      </c>
      <c r="G1033" s="1" t="s">
        <v>47</v>
      </c>
      <c r="H1033" s="1" t="s">
        <v>33</v>
      </c>
      <c r="I1033" s="1" t="s">
        <v>34</v>
      </c>
      <c r="J1033" s="1" t="s">
        <v>59</v>
      </c>
      <c r="K1033" s="1" t="s">
        <v>84</v>
      </c>
      <c r="L1033" s="1" t="s">
        <v>136</v>
      </c>
      <c r="M1033" s="1" t="s">
        <v>38</v>
      </c>
      <c r="N1033" s="1" t="n">
        <v>8999</v>
      </c>
      <c r="O1033" s="1" t="n">
        <v>20</v>
      </c>
      <c r="P1033" s="1" t="n">
        <v>1799.8</v>
      </c>
      <c r="Q1033" s="1" t="n">
        <v>7199.2</v>
      </c>
      <c r="R1033" s="1" t="n">
        <v>1295.86</v>
      </c>
      <c r="S1033" s="1" t="n">
        <v>5903.34</v>
      </c>
      <c r="T1033" s="1" t="n">
        <v>2763.28</v>
      </c>
      <c r="U1033" s="1" t="n">
        <v>3140.06</v>
      </c>
      <c r="V1033" s="1" t="n">
        <v>53.19</v>
      </c>
      <c r="W1033" s="1" t="s">
        <v>40</v>
      </c>
      <c r="Y1033" s="1" t="s">
        <v>40</v>
      </c>
      <c r="Z1033" s="1" t="n">
        <v>1</v>
      </c>
      <c r="AA1033" s="1" t="str">
        <f aca="false">TRIM(PROPER(F1033))</f>
        <v>Mangaluru</v>
      </c>
      <c r="AB1033" s="1" t="str">
        <f aca="false">TRIM(PROPER(C1033))</f>
        <v>Leverage Edu</v>
      </c>
      <c r="AC1033" s="1" t="str">
        <f aca="false">IF(O1033=0,"No Discount",IF(O1033&lt;=15,"Low (1-15%)",IF(O1033&lt;=30,"Medium (16-30%)","High (&gt;30%)")))</f>
        <v>Medium (16-30%)</v>
      </c>
      <c r="AD1033" s="1" t="str">
        <f aca="false">IF(V1033&lt;0,"Loss Making",IF(V1033&lt;20,"Low Margin","Healthy Margin"))</f>
        <v>Healthy Margin</v>
      </c>
      <c r="AE1033" s="1" t="str">
        <f aca="false">TEXT(DATE(VALUE(RIGHT(B1033,4)),VALUE(MID(B1033,4,2)),VALUE(LEFT(B1033,2))),"MMM-YYYY")</f>
        <v>Jun-2023</v>
      </c>
      <c r="AF1033" s="1" t="n">
        <f aca="false">VALUE(RIGHT(B1033,4))</f>
        <v>2023</v>
      </c>
      <c r="AG1033" s="1" t="str">
        <f aca="false">CHOOSE(ROUNDUP(VALUE(MID(B1033,4,2))/3,0),"Q1","Q2","Q3","Q4")</f>
        <v>Q2</v>
      </c>
    </row>
    <row r="1034" customFormat="false" ht="15" hidden="false" customHeight="true" outlineLevel="0" collapsed="false">
      <c r="A1034" s="1" t="s">
        <v>1768</v>
      </c>
      <c r="B1034" s="1" t="s">
        <v>1166</v>
      </c>
      <c r="C1034" s="1" t="s">
        <v>119</v>
      </c>
      <c r="D1034" s="1" t="s">
        <v>143</v>
      </c>
      <c r="E1034" s="1" t="s">
        <v>159</v>
      </c>
      <c r="F1034" s="1" t="s">
        <v>205</v>
      </c>
      <c r="G1034" s="1" t="s">
        <v>56</v>
      </c>
      <c r="H1034" s="1" t="s">
        <v>69</v>
      </c>
      <c r="I1034" s="1" t="s">
        <v>83</v>
      </c>
      <c r="J1034" s="1" t="s">
        <v>35</v>
      </c>
      <c r="K1034" s="1" t="s">
        <v>60</v>
      </c>
      <c r="L1034" s="1" t="s">
        <v>49</v>
      </c>
      <c r="M1034" s="1" t="s">
        <v>50</v>
      </c>
      <c r="N1034" s="1" t="n">
        <v>24999</v>
      </c>
      <c r="O1034" s="1" t="n">
        <v>0</v>
      </c>
      <c r="P1034" s="1" t="n">
        <v>0</v>
      </c>
      <c r="Q1034" s="1" t="n">
        <v>24999</v>
      </c>
      <c r="R1034" s="1" t="n">
        <v>4499.82</v>
      </c>
      <c r="S1034" s="1" t="n">
        <v>20499.18</v>
      </c>
      <c r="T1034" s="1" t="n">
        <v>8215.07</v>
      </c>
      <c r="U1034" s="1" t="n">
        <v>12284.11</v>
      </c>
      <c r="V1034" s="1" t="n">
        <v>59.92</v>
      </c>
      <c r="W1034" s="1" t="s">
        <v>39</v>
      </c>
      <c r="X1034" s="1" t="n">
        <v>3.6</v>
      </c>
      <c r="Y1034" s="1" t="s">
        <v>40</v>
      </c>
      <c r="Z1034" s="1" t="n">
        <v>0</v>
      </c>
      <c r="AA1034" s="1" t="str">
        <f aca="false">TRIM(PROPER(F1034))</f>
        <v>New Delhi</v>
      </c>
      <c r="AB1034" s="1" t="str">
        <f aca="false">TRIM(PROPER(C1034))</f>
        <v>Simplilearn</v>
      </c>
      <c r="AC1034" s="1" t="str">
        <f aca="false">IF(O1034=0,"No Discount",IF(O1034&lt;=15,"Low (1-15%)",IF(O1034&lt;=30,"Medium (16-30%)","High (&gt;30%)")))</f>
        <v>No Discount</v>
      </c>
      <c r="AD1034" s="1" t="str">
        <f aca="false">IF(V1034&lt;0,"Loss Making",IF(V1034&lt;20,"Low Margin","Healthy Margin"))</f>
        <v>Healthy Margin</v>
      </c>
      <c r="AE1034" s="1" t="str">
        <f aca="false">TEXT(DATE(VALUE(RIGHT(B1034,4)),VALUE(MID(B1034,4,2)),VALUE(LEFT(B1034,2))),"MMM-YYYY")</f>
        <v>Sep-2023</v>
      </c>
      <c r="AF1034" s="1" t="n">
        <f aca="false">VALUE(RIGHT(B1034,4))</f>
        <v>2023</v>
      </c>
      <c r="AG1034" s="1" t="str">
        <f aca="false">CHOOSE(ROUNDUP(VALUE(MID(B1034,4,2))/3,0),"Q1","Q2","Q3","Q4")</f>
        <v>Q3</v>
      </c>
    </row>
    <row r="1035" customFormat="false" ht="15" hidden="false" customHeight="true" outlineLevel="0" collapsed="false">
      <c r="A1035" s="1" t="s">
        <v>1769</v>
      </c>
      <c r="B1035" s="1" t="s">
        <v>735</v>
      </c>
      <c r="C1035" s="1" t="s">
        <v>167</v>
      </c>
      <c r="D1035" s="1" t="s">
        <v>29</v>
      </c>
      <c r="E1035" s="1" t="s">
        <v>30</v>
      </c>
      <c r="F1035" s="1" t="s">
        <v>150</v>
      </c>
      <c r="G1035" s="1" t="s">
        <v>32</v>
      </c>
      <c r="H1035" s="1" t="s">
        <v>57</v>
      </c>
      <c r="I1035" s="1" t="s">
        <v>34</v>
      </c>
      <c r="J1035" s="1" t="s">
        <v>59</v>
      </c>
      <c r="K1035" s="1" t="s">
        <v>84</v>
      </c>
      <c r="L1035" s="1" t="s">
        <v>113</v>
      </c>
      <c r="M1035" s="1" t="s">
        <v>50</v>
      </c>
      <c r="N1035" s="1" t="n">
        <v>7999</v>
      </c>
      <c r="O1035" s="1" t="n">
        <v>30</v>
      </c>
      <c r="P1035" s="1" t="n">
        <v>2399.7</v>
      </c>
      <c r="Q1035" s="1" t="n">
        <v>5599.3</v>
      </c>
      <c r="R1035" s="1" t="n">
        <v>1007.87</v>
      </c>
      <c r="S1035" s="1" t="n">
        <v>4591.43</v>
      </c>
      <c r="T1035" s="1" t="n">
        <v>1534.01</v>
      </c>
      <c r="U1035" s="1" t="n">
        <v>3057.42</v>
      </c>
      <c r="V1035" s="1" t="n">
        <v>66.59</v>
      </c>
      <c r="W1035" s="1" t="s">
        <v>39</v>
      </c>
      <c r="X1035" s="1" t="n">
        <v>4.6</v>
      </c>
      <c r="Y1035" s="1" t="s">
        <v>40</v>
      </c>
      <c r="Z1035" s="1" t="n">
        <v>1</v>
      </c>
      <c r="AA1035" s="1" t="str">
        <f aca="false">TRIM(PROPER(F1035))</f>
        <v>Jaipur</v>
      </c>
      <c r="AB1035" s="1" t="str">
        <f aca="false">TRIM(PROPER(C1035))</f>
        <v>Scaler</v>
      </c>
      <c r="AC1035" s="1" t="str">
        <f aca="false">IF(O1035=0,"No Discount",IF(O1035&lt;=15,"Low (1-15%)",IF(O1035&lt;=30,"Medium (16-30%)","High (&gt;30%)")))</f>
        <v>Medium (16-30%)</v>
      </c>
      <c r="AD1035" s="1" t="str">
        <f aca="false">IF(V1035&lt;0,"Loss Making",IF(V1035&lt;20,"Low Margin","Healthy Margin"))</f>
        <v>Healthy Margin</v>
      </c>
      <c r="AE1035" s="1" t="str">
        <f aca="false">TEXT(DATE(VALUE(RIGHT(B1035,4)),VALUE(MID(B1035,4,2)),VALUE(LEFT(B1035,2))),"MMM-YYYY")</f>
        <v>Feb-2024</v>
      </c>
      <c r="AF1035" s="1" t="n">
        <f aca="false">VALUE(RIGHT(B1035,4))</f>
        <v>2024</v>
      </c>
      <c r="AG1035" s="1" t="str">
        <f aca="false">CHOOSE(ROUNDUP(VALUE(MID(B1035,4,2))/3,0),"Q1","Q2","Q3","Q4")</f>
        <v>Q1</v>
      </c>
    </row>
    <row r="1036" customFormat="false" ht="15" hidden="false" customHeight="true" outlineLevel="0" collapsed="false">
      <c r="A1036" s="1" t="s">
        <v>1770</v>
      </c>
      <c r="B1036" s="1" t="s">
        <v>1052</v>
      </c>
      <c r="C1036" s="1" t="s">
        <v>139</v>
      </c>
      <c r="D1036" s="1" t="s">
        <v>123</v>
      </c>
      <c r="E1036" s="1" t="s">
        <v>147</v>
      </c>
      <c r="F1036" s="1" t="s">
        <v>211</v>
      </c>
      <c r="G1036" s="1" t="s">
        <v>56</v>
      </c>
      <c r="H1036" s="1" t="s">
        <v>69</v>
      </c>
      <c r="I1036" s="1" t="s">
        <v>83</v>
      </c>
      <c r="J1036" s="1" t="s">
        <v>77</v>
      </c>
      <c r="K1036" s="1" t="s">
        <v>60</v>
      </c>
      <c r="L1036" s="1" t="s">
        <v>136</v>
      </c>
      <c r="M1036" s="1" t="s">
        <v>38</v>
      </c>
      <c r="N1036" s="1" t="n">
        <v>6999</v>
      </c>
      <c r="O1036" s="1" t="n">
        <v>20</v>
      </c>
      <c r="P1036" s="1" t="n">
        <v>1399.8</v>
      </c>
      <c r="Q1036" s="1" t="n">
        <v>5599.2</v>
      </c>
      <c r="R1036" s="1" t="n">
        <v>1007.86</v>
      </c>
      <c r="S1036" s="1" t="n">
        <v>4591.34</v>
      </c>
      <c r="T1036" s="1" t="n">
        <v>1875.61</v>
      </c>
      <c r="U1036" s="1" t="n">
        <v>2715.73</v>
      </c>
      <c r="V1036" s="1" t="n">
        <v>59.15</v>
      </c>
      <c r="W1036" s="1" t="s">
        <v>40</v>
      </c>
      <c r="Y1036" s="1" t="s">
        <v>40</v>
      </c>
      <c r="Z1036" s="1" t="n">
        <v>1</v>
      </c>
      <c r="AA1036" s="1" t="str">
        <f aca="false">TRIM(PROPER(F1036))</f>
        <v>Noida</v>
      </c>
      <c r="AB1036" s="1" t="str">
        <f aca="false">TRIM(PROPER(C1036))</f>
        <v>Extramarks</v>
      </c>
      <c r="AC1036" s="1" t="str">
        <f aca="false">IF(O1036=0,"No Discount",IF(O1036&lt;=15,"Low (1-15%)",IF(O1036&lt;=30,"Medium (16-30%)","High (&gt;30%)")))</f>
        <v>Medium (16-30%)</v>
      </c>
      <c r="AD1036" s="1" t="str">
        <f aca="false">IF(V1036&lt;0,"Loss Making",IF(V1036&lt;20,"Low Margin","Healthy Margin"))</f>
        <v>Healthy Margin</v>
      </c>
      <c r="AE1036" s="1" t="str">
        <f aca="false">TEXT(DATE(VALUE(RIGHT(B1036,4)),VALUE(MID(B1036,4,2)),VALUE(LEFT(B1036,2))),"MMM-YYYY")</f>
        <v>May-2023</v>
      </c>
      <c r="AF1036" s="1" t="n">
        <f aca="false">VALUE(RIGHT(B1036,4))</f>
        <v>2023</v>
      </c>
      <c r="AG1036" s="1" t="str">
        <f aca="false">CHOOSE(ROUNDUP(VALUE(MID(B1036,4,2))/3,0),"Q1","Q2","Q3","Q4")</f>
        <v>Q2</v>
      </c>
    </row>
    <row r="1037" customFormat="false" ht="15" hidden="false" customHeight="true" outlineLevel="0" collapsed="false">
      <c r="A1037" s="1" t="s">
        <v>1771</v>
      </c>
      <c r="B1037" s="1" t="s">
        <v>1135</v>
      </c>
      <c r="C1037" s="1" t="s">
        <v>119</v>
      </c>
      <c r="D1037" s="1" t="s">
        <v>80</v>
      </c>
      <c r="E1037" s="1" t="s">
        <v>190</v>
      </c>
      <c r="F1037" s="1" t="s">
        <v>269</v>
      </c>
      <c r="G1037" s="1" t="s">
        <v>108</v>
      </c>
      <c r="H1037" s="1" t="s">
        <v>57</v>
      </c>
      <c r="I1037" s="1" t="s">
        <v>83</v>
      </c>
      <c r="J1037" s="1" t="s">
        <v>77</v>
      </c>
      <c r="K1037" s="1" t="s">
        <v>60</v>
      </c>
      <c r="L1037" s="1" t="s">
        <v>85</v>
      </c>
      <c r="M1037" s="1" t="s">
        <v>38</v>
      </c>
      <c r="N1037" s="1" t="n">
        <v>15999</v>
      </c>
      <c r="O1037" s="1" t="n">
        <v>40</v>
      </c>
      <c r="P1037" s="1" t="n">
        <v>6399.6</v>
      </c>
      <c r="Q1037" s="1" t="n">
        <v>9599.4</v>
      </c>
      <c r="R1037" s="1" t="n">
        <v>1727.89</v>
      </c>
      <c r="S1037" s="1" t="n">
        <v>7871.51</v>
      </c>
      <c r="T1037" s="1" t="n">
        <v>4134.78</v>
      </c>
      <c r="U1037" s="1" t="n">
        <v>3736.73</v>
      </c>
      <c r="V1037" s="1" t="n">
        <v>47.47</v>
      </c>
      <c r="W1037" s="1" t="s">
        <v>40</v>
      </c>
      <c r="Y1037" s="1" t="s">
        <v>40</v>
      </c>
      <c r="Z1037" s="1" t="n">
        <v>0</v>
      </c>
      <c r="AA1037" s="1" t="str">
        <f aca="false">TRIM(PROPER(F1037))</f>
        <v>Coimbatore</v>
      </c>
      <c r="AB1037" s="1" t="str">
        <f aca="false">TRIM(PROPER(C1037))</f>
        <v>Simplilearn</v>
      </c>
      <c r="AC1037" s="1" t="str">
        <f aca="false">IF(O1037=0,"No Discount",IF(O1037&lt;=15,"Low (1-15%)",IF(O1037&lt;=30,"Medium (16-30%)","High (&gt;30%)")))</f>
        <v>High (&gt;30%)</v>
      </c>
      <c r="AD1037" s="1" t="str">
        <f aca="false">IF(V1037&lt;0,"Loss Making",IF(V1037&lt;20,"Low Margin","Healthy Margin"))</f>
        <v>Healthy Margin</v>
      </c>
      <c r="AE1037" s="1" t="str">
        <f aca="false">TEXT(DATE(VALUE(RIGHT(B1037,4)),VALUE(MID(B1037,4,2)),VALUE(LEFT(B1037,2))),"MMM-YYYY")</f>
        <v>Jun-2024</v>
      </c>
      <c r="AF1037" s="1" t="n">
        <f aca="false">VALUE(RIGHT(B1037,4))</f>
        <v>2024</v>
      </c>
      <c r="AG1037" s="1" t="str">
        <f aca="false">CHOOSE(ROUNDUP(VALUE(MID(B1037,4,2))/3,0),"Q1","Q2","Q3","Q4")</f>
        <v>Q2</v>
      </c>
    </row>
    <row r="1038" customFormat="false" ht="15" hidden="false" customHeight="true" outlineLevel="0" collapsed="false">
      <c r="A1038" s="1" t="s">
        <v>1772</v>
      </c>
      <c r="B1038" s="1" t="s">
        <v>1773</v>
      </c>
      <c r="C1038" s="1" t="s">
        <v>128</v>
      </c>
      <c r="D1038" s="1" t="s">
        <v>94</v>
      </c>
      <c r="E1038" s="1" t="s">
        <v>135</v>
      </c>
      <c r="F1038" s="1" t="s">
        <v>244</v>
      </c>
      <c r="G1038" s="1" t="s">
        <v>97</v>
      </c>
      <c r="H1038" s="1" t="s">
        <v>57</v>
      </c>
      <c r="I1038" s="1" t="s">
        <v>83</v>
      </c>
      <c r="J1038" s="1" t="s">
        <v>70</v>
      </c>
      <c r="K1038" s="1" t="s">
        <v>104</v>
      </c>
      <c r="L1038" s="1" t="s">
        <v>113</v>
      </c>
      <c r="M1038" s="1" t="s">
        <v>38</v>
      </c>
      <c r="N1038" s="1" t="n">
        <v>9999</v>
      </c>
      <c r="O1038" s="1" t="n">
        <v>10</v>
      </c>
      <c r="P1038" s="1" t="n">
        <v>999.9</v>
      </c>
      <c r="Q1038" s="1" t="n">
        <v>8999.1</v>
      </c>
      <c r="R1038" s="1" t="n">
        <v>1619.84</v>
      </c>
      <c r="S1038" s="1" t="n">
        <v>7379.26</v>
      </c>
      <c r="T1038" s="1" t="n">
        <v>3212.83</v>
      </c>
      <c r="U1038" s="1" t="n">
        <v>4166.43</v>
      </c>
      <c r="V1038" s="1" t="n">
        <v>56.46</v>
      </c>
      <c r="W1038" s="1" t="s">
        <v>39</v>
      </c>
      <c r="X1038" s="1" t="n">
        <v>3.8</v>
      </c>
      <c r="Y1038" s="1" t="s">
        <v>40</v>
      </c>
      <c r="Z1038" s="1" t="n">
        <v>0</v>
      </c>
      <c r="AA1038" s="1" t="str">
        <f aca="false">TRIM(PROPER(F1038))</f>
        <v>Nagpur</v>
      </c>
      <c r="AB1038" s="1" t="str">
        <f aca="false">TRIM(PROPER(C1038))</f>
        <v>Great Learning</v>
      </c>
      <c r="AC1038" s="1" t="str">
        <f aca="false">IF(O1038=0,"No Discount",IF(O1038&lt;=15,"Low (1-15%)",IF(O1038&lt;=30,"Medium (16-30%)","High (&gt;30%)")))</f>
        <v>Low (1-15%)</v>
      </c>
      <c r="AD1038" s="1" t="str">
        <f aca="false">IF(V1038&lt;0,"Loss Making",IF(V1038&lt;20,"Low Margin","Healthy Margin"))</f>
        <v>Healthy Margin</v>
      </c>
      <c r="AE1038" s="1" t="str">
        <f aca="false">TEXT(DATE(VALUE(RIGHT(B1038,4)),VALUE(MID(B1038,4,2)),VALUE(LEFT(B1038,2))),"MMM-YYYY")</f>
        <v>Aug-2024</v>
      </c>
      <c r="AF1038" s="1" t="n">
        <f aca="false">VALUE(RIGHT(B1038,4))</f>
        <v>2024</v>
      </c>
      <c r="AG1038" s="1" t="str">
        <f aca="false">CHOOSE(ROUNDUP(VALUE(MID(B1038,4,2))/3,0),"Q1","Q2","Q3","Q4")</f>
        <v>Q3</v>
      </c>
    </row>
    <row r="1039" customFormat="false" ht="15" hidden="false" customHeight="true" outlineLevel="0" collapsed="false">
      <c r="A1039" s="1" t="s">
        <v>1774</v>
      </c>
      <c r="B1039" s="1" t="s">
        <v>601</v>
      </c>
      <c r="C1039" s="1" t="s">
        <v>119</v>
      </c>
      <c r="D1039" s="1" t="s">
        <v>143</v>
      </c>
      <c r="E1039" s="1" t="s">
        <v>162</v>
      </c>
      <c r="F1039" s="1" t="s">
        <v>55</v>
      </c>
      <c r="G1039" s="1" t="s">
        <v>56</v>
      </c>
      <c r="H1039" s="1" t="s">
        <v>57</v>
      </c>
      <c r="I1039" s="1" t="s">
        <v>83</v>
      </c>
      <c r="J1039" s="1" t="s">
        <v>70</v>
      </c>
      <c r="K1039" s="1" t="s">
        <v>84</v>
      </c>
      <c r="L1039" s="1" t="s">
        <v>85</v>
      </c>
      <c r="M1039" s="1" t="s">
        <v>38</v>
      </c>
      <c r="N1039" s="1" t="n">
        <v>14999</v>
      </c>
      <c r="O1039" s="1" t="n">
        <v>30</v>
      </c>
      <c r="P1039" s="1" t="n">
        <v>4499.7</v>
      </c>
      <c r="Q1039" s="1" t="n">
        <v>10499.3</v>
      </c>
      <c r="R1039" s="1" t="n">
        <v>1889.87</v>
      </c>
      <c r="S1039" s="1" t="n">
        <v>8609.43</v>
      </c>
      <c r="T1039" s="1" t="n">
        <v>4032.35</v>
      </c>
      <c r="U1039" s="1" t="n">
        <v>4577.08</v>
      </c>
      <c r="V1039" s="1" t="n">
        <v>53.16</v>
      </c>
      <c r="W1039" s="1" t="s">
        <v>39</v>
      </c>
      <c r="X1039" s="1" t="n">
        <v>3.6</v>
      </c>
      <c r="Y1039" s="1" t="s">
        <v>40</v>
      </c>
      <c r="Z1039" s="1" t="n">
        <v>0</v>
      </c>
      <c r="AA1039" s="1" t="str">
        <f aca="false">TRIM(PROPER(F1039))</f>
        <v>Ghaziabad</v>
      </c>
      <c r="AB1039" s="1" t="str">
        <f aca="false">TRIM(PROPER(C1039))</f>
        <v>Simplilearn</v>
      </c>
      <c r="AC1039" s="1" t="str">
        <f aca="false">IF(O1039=0,"No Discount",IF(O1039&lt;=15,"Low (1-15%)",IF(O1039&lt;=30,"Medium (16-30%)","High (&gt;30%)")))</f>
        <v>Medium (16-30%)</v>
      </c>
      <c r="AD1039" s="1" t="str">
        <f aca="false">IF(V1039&lt;0,"Loss Making",IF(V1039&lt;20,"Low Margin","Healthy Margin"))</f>
        <v>Healthy Margin</v>
      </c>
      <c r="AE1039" s="1" t="str">
        <f aca="false">TEXT(DATE(VALUE(RIGHT(B1039,4)),VALUE(MID(B1039,4,2)),VALUE(LEFT(B1039,2))),"MMM-YYYY")</f>
        <v>Jun-2023</v>
      </c>
      <c r="AF1039" s="1" t="n">
        <f aca="false">VALUE(RIGHT(B1039,4))</f>
        <v>2023</v>
      </c>
      <c r="AG1039" s="1" t="str">
        <f aca="false">CHOOSE(ROUNDUP(VALUE(MID(B1039,4,2))/3,0),"Q1","Q2","Q3","Q4")</f>
        <v>Q2</v>
      </c>
    </row>
    <row r="1040" customFormat="false" ht="15" hidden="false" customHeight="true" outlineLevel="0" collapsed="false">
      <c r="A1040" s="1" t="s">
        <v>1775</v>
      </c>
      <c r="B1040" s="1" t="s">
        <v>307</v>
      </c>
      <c r="C1040" s="1" t="s">
        <v>134</v>
      </c>
      <c r="D1040" s="1" t="s">
        <v>80</v>
      </c>
      <c r="E1040" s="1" t="s">
        <v>81</v>
      </c>
      <c r="F1040" s="1" t="s">
        <v>89</v>
      </c>
      <c r="G1040" s="1" t="s">
        <v>68</v>
      </c>
      <c r="H1040" s="1" t="s">
        <v>33</v>
      </c>
      <c r="I1040" s="1" t="s">
        <v>58</v>
      </c>
      <c r="J1040" s="1" t="s">
        <v>35</v>
      </c>
      <c r="K1040" s="1" t="s">
        <v>36</v>
      </c>
      <c r="L1040" s="1" t="s">
        <v>85</v>
      </c>
      <c r="M1040" s="1" t="s">
        <v>50</v>
      </c>
      <c r="N1040" s="1" t="n">
        <v>12999</v>
      </c>
      <c r="O1040" s="1" t="n">
        <v>0</v>
      </c>
      <c r="P1040" s="1" t="n">
        <v>0</v>
      </c>
      <c r="Q1040" s="1" t="n">
        <v>12999</v>
      </c>
      <c r="R1040" s="1" t="n">
        <v>2339.82</v>
      </c>
      <c r="S1040" s="1" t="n">
        <v>10659.18</v>
      </c>
      <c r="T1040" s="1" t="n">
        <v>5903.77</v>
      </c>
      <c r="U1040" s="1" t="n">
        <v>4755.41</v>
      </c>
      <c r="V1040" s="1" t="n">
        <v>44.61</v>
      </c>
      <c r="W1040" s="1" t="s">
        <v>40</v>
      </c>
      <c r="Y1040" s="1" t="s">
        <v>40</v>
      </c>
      <c r="Z1040" s="1" t="n">
        <v>1</v>
      </c>
      <c r="AA1040" s="1" t="str">
        <f aca="false">TRIM(PROPER(F1040))</f>
        <v>Vadodara</v>
      </c>
      <c r="AB1040" s="1" t="str">
        <f aca="false">TRIM(PROPER(C1040))</f>
        <v>Doubtnut</v>
      </c>
      <c r="AC1040" s="1" t="str">
        <f aca="false">IF(O1040=0,"No Discount",IF(O1040&lt;=15,"Low (1-15%)",IF(O1040&lt;=30,"Medium (16-30%)","High (&gt;30%)")))</f>
        <v>No Discount</v>
      </c>
      <c r="AD1040" s="1" t="str">
        <f aca="false">IF(V1040&lt;0,"Loss Making",IF(V1040&lt;20,"Low Margin","Healthy Margin"))</f>
        <v>Healthy Margin</v>
      </c>
      <c r="AE1040" s="1" t="str">
        <f aca="false">TEXT(DATE(VALUE(RIGHT(B1040,4)),VALUE(MID(B1040,4,2)),VALUE(LEFT(B1040,2))),"MMM-YYYY")</f>
        <v>Oct-2023</v>
      </c>
      <c r="AF1040" s="1" t="n">
        <f aca="false">VALUE(RIGHT(B1040,4))</f>
        <v>2023</v>
      </c>
      <c r="AG1040" s="1" t="str">
        <f aca="false">CHOOSE(ROUNDUP(VALUE(MID(B1040,4,2))/3,0),"Q1","Q2","Q3","Q4")</f>
        <v>Q4</v>
      </c>
    </row>
    <row r="1041" customFormat="false" ht="15" hidden="false" customHeight="true" outlineLevel="0" collapsed="false">
      <c r="A1041" s="1" t="s">
        <v>1776</v>
      </c>
      <c r="B1041" s="1" t="s">
        <v>1275</v>
      </c>
      <c r="C1041" s="1" t="s">
        <v>65</v>
      </c>
      <c r="D1041" s="1" t="s">
        <v>44</v>
      </c>
      <c r="E1041" s="1" t="s">
        <v>221</v>
      </c>
      <c r="F1041" s="1" t="s">
        <v>153</v>
      </c>
      <c r="G1041" s="1" t="s">
        <v>76</v>
      </c>
      <c r="H1041" s="1" t="s">
        <v>33</v>
      </c>
      <c r="I1041" s="1" t="s">
        <v>34</v>
      </c>
      <c r="J1041" s="1" t="s">
        <v>77</v>
      </c>
      <c r="K1041" s="1" t="s">
        <v>48</v>
      </c>
      <c r="L1041" s="1" t="s">
        <v>136</v>
      </c>
      <c r="M1041" s="1" t="s">
        <v>50</v>
      </c>
      <c r="N1041" s="1" t="n">
        <v>16999</v>
      </c>
      <c r="O1041" s="1" t="n">
        <v>30</v>
      </c>
      <c r="P1041" s="1" t="n">
        <v>5099.7</v>
      </c>
      <c r="Q1041" s="1" t="n">
        <v>11899.3</v>
      </c>
      <c r="R1041" s="1" t="n">
        <v>2141.87</v>
      </c>
      <c r="S1041" s="1" t="n">
        <v>9757.43</v>
      </c>
      <c r="T1041" s="1" t="n">
        <v>4761.11</v>
      </c>
      <c r="U1041" s="1" t="n">
        <v>4996.32</v>
      </c>
      <c r="V1041" s="1" t="n">
        <v>51.21</v>
      </c>
      <c r="W1041" s="1" t="s">
        <v>39</v>
      </c>
      <c r="X1041" s="1" t="n">
        <v>3.5</v>
      </c>
      <c r="Y1041" s="1" t="s">
        <v>40</v>
      </c>
      <c r="Z1041" s="1" t="n">
        <v>0</v>
      </c>
      <c r="AA1041" s="1" t="str">
        <f aca="false">TRIM(PROPER(F1041))</f>
        <v>Howrah</v>
      </c>
      <c r="AB1041" s="1" t="str">
        <f aca="false">TRIM(PROPER(C1041))</f>
        <v>Toppr</v>
      </c>
      <c r="AC1041" s="1" t="str">
        <f aca="false">IF(O1041=0,"No Discount",IF(O1041&lt;=15,"Low (1-15%)",IF(O1041&lt;=30,"Medium (16-30%)","High (&gt;30%)")))</f>
        <v>Medium (16-30%)</v>
      </c>
      <c r="AD1041" s="1" t="str">
        <f aca="false">IF(V1041&lt;0,"Loss Making",IF(V1041&lt;20,"Low Margin","Healthy Margin"))</f>
        <v>Healthy Margin</v>
      </c>
      <c r="AE1041" s="1" t="str">
        <f aca="false">TEXT(DATE(VALUE(RIGHT(B1041,4)),VALUE(MID(B1041,4,2)),VALUE(LEFT(B1041,2))),"MMM-YYYY")</f>
        <v>Dec-2024</v>
      </c>
      <c r="AF1041" s="1" t="n">
        <f aca="false">VALUE(RIGHT(B1041,4))</f>
        <v>2024</v>
      </c>
      <c r="AG1041" s="1" t="str">
        <f aca="false">CHOOSE(ROUNDUP(VALUE(MID(B1041,4,2))/3,0),"Q1","Q2","Q3","Q4")</f>
        <v>Q4</v>
      </c>
    </row>
    <row r="1042" customFormat="false" ht="15" hidden="false" customHeight="true" outlineLevel="0" collapsed="false">
      <c r="A1042" s="1" t="s">
        <v>1777</v>
      </c>
      <c r="B1042" s="1" t="s">
        <v>1458</v>
      </c>
      <c r="C1042" s="1" t="s">
        <v>128</v>
      </c>
      <c r="D1042" s="1" t="s">
        <v>143</v>
      </c>
      <c r="E1042" s="1" t="s">
        <v>144</v>
      </c>
      <c r="F1042" s="1" t="s">
        <v>244</v>
      </c>
      <c r="G1042" s="1" t="s">
        <v>97</v>
      </c>
      <c r="H1042" s="1" t="s">
        <v>57</v>
      </c>
      <c r="I1042" s="1" t="s">
        <v>83</v>
      </c>
      <c r="J1042" s="1" t="s">
        <v>131</v>
      </c>
      <c r="K1042" s="1" t="s">
        <v>36</v>
      </c>
      <c r="L1042" s="1" t="s">
        <v>136</v>
      </c>
      <c r="M1042" s="1" t="s">
        <v>38</v>
      </c>
      <c r="N1042" s="1" t="n">
        <v>12999</v>
      </c>
      <c r="O1042" s="1" t="n">
        <v>30</v>
      </c>
      <c r="P1042" s="1" t="n">
        <v>3899.7</v>
      </c>
      <c r="Q1042" s="1" t="n">
        <v>9099.3</v>
      </c>
      <c r="R1042" s="1" t="n">
        <v>1637.87</v>
      </c>
      <c r="S1042" s="1" t="n">
        <v>7461.43</v>
      </c>
      <c r="T1042" s="1" t="n">
        <v>2842.95</v>
      </c>
      <c r="U1042" s="1" t="n">
        <v>4618.48</v>
      </c>
      <c r="V1042" s="1" t="n">
        <v>61.9</v>
      </c>
      <c r="W1042" s="1" t="s">
        <v>39</v>
      </c>
      <c r="X1042" s="1" t="n">
        <v>4</v>
      </c>
      <c r="Y1042" s="1" t="s">
        <v>40</v>
      </c>
      <c r="Z1042" s="1" t="n">
        <v>0</v>
      </c>
      <c r="AA1042" s="1" t="str">
        <f aca="false">TRIM(PROPER(F1042))</f>
        <v>Nagpur</v>
      </c>
      <c r="AB1042" s="1" t="str">
        <f aca="false">TRIM(PROPER(C1042))</f>
        <v>Great Learning</v>
      </c>
      <c r="AC1042" s="1" t="str">
        <f aca="false">IF(O1042=0,"No Discount",IF(O1042&lt;=15,"Low (1-15%)",IF(O1042&lt;=30,"Medium (16-30%)","High (&gt;30%)")))</f>
        <v>Medium (16-30%)</v>
      </c>
      <c r="AD1042" s="1" t="str">
        <f aca="false">IF(V1042&lt;0,"Loss Making",IF(V1042&lt;20,"Low Margin","Healthy Margin"))</f>
        <v>Healthy Margin</v>
      </c>
      <c r="AE1042" s="1" t="str">
        <f aca="false">TEXT(DATE(VALUE(RIGHT(B1042,4)),VALUE(MID(B1042,4,2)),VALUE(LEFT(B1042,2))),"MMM-YYYY")</f>
        <v>Apr-2023</v>
      </c>
      <c r="AF1042" s="1" t="n">
        <f aca="false">VALUE(RIGHT(B1042,4))</f>
        <v>2023</v>
      </c>
      <c r="AG1042" s="1" t="str">
        <f aca="false">CHOOSE(ROUNDUP(VALUE(MID(B1042,4,2))/3,0),"Q1","Q2","Q3","Q4")</f>
        <v>Q2</v>
      </c>
    </row>
    <row r="1043" customFormat="false" ht="15" hidden="false" customHeight="true" outlineLevel="0" collapsed="false">
      <c r="A1043" s="1" t="s">
        <v>1778</v>
      </c>
      <c r="B1043" s="1" t="s">
        <v>215</v>
      </c>
      <c r="C1043" s="1" t="s">
        <v>167</v>
      </c>
      <c r="D1043" s="1" t="s">
        <v>29</v>
      </c>
      <c r="E1043" s="1" t="s">
        <v>305</v>
      </c>
      <c r="F1043" s="1" t="s">
        <v>269</v>
      </c>
      <c r="G1043" s="1" t="s">
        <v>108</v>
      </c>
      <c r="H1043" s="1" t="s">
        <v>57</v>
      </c>
      <c r="I1043" s="1" t="s">
        <v>34</v>
      </c>
      <c r="J1043" s="1" t="s">
        <v>77</v>
      </c>
      <c r="K1043" s="1" t="s">
        <v>36</v>
      </c>
      <c r="L1043" s="1" t="s">
        <v>136</v>
      </c>
      <c r="M1043" s="1" t="s">
        <v>50</v>
      </c>
      <c r="N1043" s="1" t="n">
        <v>24999</v>
      </c>
      <c r="O1043" s="1" t="n">
        <v>10</v>
      </c>
      <c r="P1043" s="1" t="n">
        <v>2499.9</v>
      </c>
      <c r="Q1043" s="1" t="n">
        <v>22499.1</v>
      </c>
      <c r="R1043" s="1" t="n">
        <v>4049.84</v>
      </c>
      <c r="S1043" s="1" t="n">
        <v>18449.26</v>
      </c>
      <c r="T1043" s="1" t="n">
        <v>7920.65</v>
      </c>
      <c r="U1043" s="1" t="n">
        <v>10528.61</v>
      </c>
      <c r="V1043" s="1" t="n">
        <v>57.07</v>
      </c>
      <c r="W1043" s="1" t="s">
        <v>40</v>
      </c>
      <c r="Y1043" s="1" t="s">
        <v>40</v>
      </c>
      <c r="Z1043" s="1" t="n">
        <v>2</v>
      </c>
      <c r="AA1043" s="1" t="str">
        <f aca="false">TRIM(PROPER(F1043))</f>
        <v>Coimbatore</v>
      </c>
      <c r="AB1043" s="1" t="str">
        <f aca="false">TRIM(PROPER(C1043))</f>
        <v>Scaler</v>
      </c>
      <c r="AC1043" s="1" t="str">
        <f aca="false">IF(O1043=0,"No Discount",IF(O1043&lt;=15,"Low (1-15%)",IF(O1043&lt;=30,"Medium (16-30%)","High (&gt;30%)")))</f>
        <v>Low (1-15%)</v>
      </c>
      <c r="AD1043" s="1" t="str">
        <f aca="false">IF(V1043&lt;0,"Loss Making",IF(V1043&lt;20,"Low Margin","Healthy Margin"))</f>
        <v>Healthy Margin</v>
      </c>
      <c r="AE1043" s="1" t="str">
        <f aca="false">TEXT(DATE(VALUE(RIGHT(B1043,4)),VALUE(MID(B1043,4,2)),VALUE(LEFT(B1043,2))),"MMM-YYYY")</f>
        <v>Aug-2023</v>
      </c>
      <c r="AF1043" s="1" t="n">
        <f aca="false">VALUE(RIGHT(B1043,4))</f>
        <v>2023</v>
      </c>
      <c r="AG1043" s="1" t="str">
        <f aca="false">CHOOSE(ROUNDUP(VALUE(MID(B1043,4,2))/3,0),"Q1","Q2","Q3","Q4")</f>
        <v>Q3</v>
      </c>
    </row>
    <row r="1044" customFormat="false" ht="15" hidden="false" customHeight="true" outlineLevel="0" collapsed="false">
      <c r="A1044" s="1" t="s">
        <v>1779</v>
      </c>
      <c r="B1044" s="1" t="s">
        <v>1186</v>
      </c>
      <c r="C1044" s="1" t="s">
        <v>93</v>
      </c>
      <c r="D1044" s="1" t="s">
        <v>53</v>
      </c>
      <c r="E1044" s="1" t="s">
        <v>216</v>
      </c>
      <c r="F1044" s="1" t="s">
        <v>89</v>
      </c>
      <c r="G1044" s="1" t="s">
        <v>68</v>
      </c>
      <c r="H1044" s="1" t="s">
        <v>33</v>
      </c>
      <c r="I1044" s="1" t="s">
        <v>58</v>
      </c>
      <c r="J1044" s="1" t="s">
        <v>70</v>
      </c>
      <c r="K1044" s="1" t="s">
        <v>48</v>
      </c>
      <c r="L1044" s="1" t="s">
        <v>113</v>
      </c>
      <c r="M1044" s="1" t="s">
        <v>38</v>
      </c>
      <c r="N1044" s="1" t="n">
        <v>7499</v>
      </c>
      <c r="O1044" s="1" t="n">
        <v>0</v>
      </c>
      <c r="P1044" s="1" t="n">
        <v>0</v>
      </c>
      <c r="Q1044" s="1" t="n">
        <v>7499</v>
      </c>
      <c r="R1044" s="1" t="n">
        <v>1349.82</v>
      </c>
      <c r="S1044" s="1" t="n">
        <v>6149.18</v>
      </c>
      <c r="T1044" s="1" t="n">
        <v>2608.9</v>
      </c>
      <c r="U1044" s="1" t="n">
        <v>3540.28</v>
      </c>
      <c r="V1044" s="1" t="n">
        <v>57.57</v>
      </c>
      <c r="W1044" s="1" t="s">
        <v>39</v>
      </c>
      <c r="Y1044" s="1" t="s">
        <v>40</v>
      </c>
      <c r="Z1044" s="1" t="n">
        <v>0</v>
      </c>
      <c r="AA1044" s="1" t="str">
        <f aca="false">TRIM(PROPER(F1044))</f>
        <v>Vadodara</v>
      </c>
      <c r="AB1044" s="1" t="str">
        <f aca="false">TRIM(PROPER(C1044))</f>
        <v>Upgrad</v>
      </c>
      <c r="AC1044" s="1" t="str">
        <f aca="false">IF(O1044=0,"No Discount",IF(O1044&lt;=15,"Low (1-15%)",IF(O1044&lt;=30,"Medium (16-30%)","High (&gt;30%)")))</f>
        <v>No Discount</v>
      </c>
      <c r="AD1044" s="1" t="str">
        <f aca="false">IF(V1044&lt;0,"Loss Making",IF(V1044&lt;20,"Low Margin","Healthy Margin"))</f>
        <v>Healthy Margin</v>
      </c>
      <c r="AE1044" s="1" t="str">
        <f aca="false">TEXT(DATE(VALUE(RIGHT(B1044,4)),VALUE(MID(B1044,4,2)),VALUE(LEFT(B1044,2))),"MMM-YYYY")</f>
        <v>May-2024</v>
      </c>
      <c r="AF1044" s="1" t="n">
        <f aca="false">VALUE(RIGHT(B1044,4))</f>
        <v>2024</v>
      </c>
      <c r="AG1044" s="1" t="str">
        <f aca="false">CHOOSE(ROUNDUP(VALUE(MID(B1044,4,2))/3,0),"Q1","Q2","Q3","Q4")</f>
        <v>Q2</v>
      </c>
    </row>
    <row r="1045" customFormat="false" ht="15" hidden="false" customHeight="true" outlineLevel="0" collapsed="false">
      <c r="A1045" s="1" t="s">
        <v>1780</v>
      </c>
      <c r="B1045" s="1" t="s">
        <v>322</v>
      </c>
      <c r="C1045" s="1" t="s">
        <v>74</v>
      </c>
      <c r="D1045" s="1" t="s">
        <v>123</v>
      </c>
      <c r="E1045" s="1" t="s">
        <v>147</v>
      </c>
      <c r="F1045" s="1" t="s">
        <v>140</v>
      </c>
      <c r="G1045" s="1" t="s">
        <v>97</v>
      </c>
      <c r="H1045" s="1" t="s">
        <v>57</v>
      </c>
      <c r="I1045" s="1" t="s">
        <v>34</v>
      </c>
      <c r="J1045" s="1" t="s">
        <v>70</v>
      </c>
      <c r="K1045" s="1" t="s">
        <v>90</v>
      </c>
      <c r="L1045" s="1" t="s">
        <v>61</v>
      </c>
      <c r="M1045" s="1" t="s">
        <v>50</v>
      </c>
      <c r="N1045" s="1" t="n">
        <v>6999</v>
      </c>
      <c r="O1045" s="1" t="n">
        <v>25</v>
      </c>
      <c r="P1045" s="1" t="n">
        <v>1749.75</v>
      </c>
      <c r="Q1045" s="1" t="n">
        <v>5249.25</v>
      </c>
      <c r="R1045" s="1" t="n">
        <v>944.87</v>
      </c>
      <c r="S1045" s="1" t="n">
        <v>4304.38</v>
      </c>
      <c r="T1045" s="1" t="n">
        <v>1800.46</v>
      </c>
      <c r="U1045" s="1" t="n">
        <v>2503.92</v>
      </c>
      <c r="V1045" s="1" t="n">
        <v>58.17</v>
      </c>
      <c r="W1045" s="1" t="s">
        <v>40</v>
      </c>
      <c r="Y1045" s="1" t="s">
        <v>40</v>
      </c>
      <c r="Z1045" s="1" t="n">
        <v>1</v>
      </c>
      <c r="AA1045" s="1" t="str">
        <f aca="false">TRIM(PROPER(F1045))</f>
        <v>Nashik</v>
      </c>
      <c r="AB1045" s="1" t="str">
        <f aca="false">TRIM(PROPER(C1045))</f>
        <v>Vedantu</v>
      </c>
      <c r="AC1045" s="1" t="str">
        <f aca="false">IF(O1045=0,"No Discount",IF(O1045&lt;=15,"Low (1-15%)",IF(O1045&lt;=30,"Medium (16-30%)","High (&gt;30%)")))</f>
        <v>Medium (16-30%)</v>
      </c>
      <c r="AD1045" s="1" t="str">
        <f aca="false">IF(V1045&lt;0,"Loss Making",IF(V1045&lt;20,"Low Margin","Healthy Margin"))</f>
        <v>Healthy Margin</v>
      </c>
      <c r="AE1045" s="1" t="str">
        <f aca="false">TEXT(DATE(VALUE(RIGHT(B1045,4)),VALUE(MID(B1045,4,2)),VALUE(LEFT(B1045,2))),"MMM-YYYY")</f>
        <v>Feb-2023</v>
      </c>
      <c r="AF1045" s="1" t="n">
        <f aca="false">VALUE(RIGHT(B1045,4))</f>
        <v>2023</v>
      </c>
      <c r="AG1045" s="1" t="str">
        <f aca="false">CHOOSE(ROUNDUP(VALUE(MID(B1045,4,2))/3,0),"Q1","Q2","Q3","Q4")</f>
        <v>Q1</v>
      </c>
    </row>
    <row r="1046" customFormat="false" ht="15" hidden="false" customHeight="true" outlineLevel="0" collapsed="false">
      <c r="A1046" s="1" t="s">
        <v>1781</v>
      </c>
      <c r="B1046" s="1" t="s">
        <v>986</v>
      </c>
      <c r="C1046" s="1" t="s">
        <v>88</v>
      </c>
      <c r="D1046" s="1" t="s">
        <v>44</v>
      </c>
      <c r="E1046" s="1" t="s">
        <v>45</v>
      </c>
      <c r="F1046" s="1" t="s">
        <v>96</v>
      </c>
      <c r="G1046" s="1" t="s">
        <v>97</v>
      </c>
      <c r="H1046" s="1" t="s">
        <v>69</v>
      </c>
      <c r="I1046" s="1" t="s">
        <v>34</v>
      </c>
      <c r="J1046" s="1" t="s">
        <v>77</v>
      </c>
      <c r="K1046" s="1" t="s">
        <v>90</v>
      </c>
      <c r="L1046" s="1" t="s">
        <v>113</v>
      </c>
      <c r="M1046" s="1" t="s">
        <v>38</v>
      </c>
      <c r="N1046" s="1" t="n">
        <v>11999</v>
      </c>
      <c r="O1046" s="1" t="n">
        <v>10</v>
      </c>
      <c r="P1046" s="1" t="n">
        <v>1199.9</v>
      </c>
      <c r="Q1046" s="1" t="n">
        <v>10799.1</v>
      </c>
      <c r="R1046" s="1" t="n">
        <v>1943.84</v>
      </c>
      <c r="S1046" s="1" t="n">
        <v>8855.26</v>
      </c>
      <c r="T1046" s="1" t="n">
        <v>3139.33</v>
      </c>
      <c r="U1046" s="1" t="n">
        <v>5715.93</v>
      </c>
      <c r="V1046" s="1" t="n">
        <v>64.55</v>
      </c>
      <c r="W1046" s="1" t="s">
        <v>40</v>
      </c>
      <c r="Y1046" s="1" t="s">
        <v>40</v>
      </c>
      <c r="Z1046" s="1" t="n">
        <v>0</v>
      </c>
      <c r="AA1046" s="1" t="str">
        <f aca="false">TRIM(PROPER(F1046))</f>
        <v>Pune</v>
      </c>
      <c r="AB1046" s="1" t="str">
        <f aca="false">TRIM(PROPER(C1046))</f>
        <v>Byju'S</v>
      </c>
      <c r="AC1046" s="1" t="str">
        <f aca="false">IF(O1046=0,"No Discount",IF(O1046&lt;=15,"Low (1-15%)",IF(O1046&lt;=30,"Medium (16-30%)","High (&gt;30%)")))</f>
        <v>Low (1-15%)</v>
      </c>
      <c r="AD1046" s="1" t="str">
        <f aca="false">IF(V1046&lt;0,"Loss Making",IF(V1046&lt;20,"Low Margin","Healthy Margin"))</f>
        <v>Healthy Margin</v>
      </c>
      <c r="AE1046" s="1" t="str">
        <f aca="false">TEXT(DATE(VALUE(RIGHT(B1046,4)),VALUE(MID(B1046,4,2)),VALUE(LEFT(B1046,2))),"MMM-YYYY")</f>
        <v>Mar-2023</v>
      </c>
      <c r="AF1046" s="1" t="n">
        <f aca="false">VALUE(RIGHT(B1046,4))</f>
        <v>2023</v>
      </c>
      <c r="AG1046" s="1" t="str">
        <f aca="false">CHOOSE(ROUNDUP(VALUE(MID(B1046,4,2))/3,0),"Q1","Q2","Q3","Q4")</f>
        <v>Q1</v>
      </c>
    </row>
    <row r="1047" customFormat="false" ht="15" hidden="false" customHeight="true" outlineLevel="0" collapsed="false">
      <c r="A1047" s="1" t="s">
        <v>1782</v>
      </c>
      <c r="B1047" s="1" t="s">
        <v>545</v>
      </c>
      <c r="C1047" s="1" t="s">
        <v>119</v>
      </c>
      <c r="D1047" s="1" t="s">
        <v>123</v>
      </c>
      <c r="E1047" s="1" t="s">
        <v>147</v>
      </c>
      <c r="F1047" s="1" t="s">
        <v>102</v>
      </c>
      <c r="G1047" s="1" t="s">
        <v>103</v>
      </c>
      <c r="H1047" s="1" t="s">
        <v>33</v>
      </c>
      <c r="I1047" s="1" t="s">
        <v>83</v>
      </c>
      <c r="J1047" s="1" t="s">
        <v>77</v>
      </c>
      <c r="K1047" s="1" t="s">
        <v>36</v>
      </c>
      <c r="L1047" s="1" t="s">
        <v>49</v>
      </c>
      <c r="M1047" s="1" t="s">
        <v>50</v>
      </c>
      <c r="N1047" s="1" t="n">
        <v>6999</v>
      </c>
      <c r="O1047" s="1" t="n">
        <v>40</v>
      </c>
      <c r="P1047" s="1" t="n">
        <v>2799.6</v>
      </c>
      <c r="Q1047" s="1" t="n">
        <v>4199.4</v>
      </c>
      <c r="R1047" s="1" t="n">
        <v>755.89</v>
      </c>
      <c r="S1047" s="1" t="n">
        <v>3443.51</v>
      </c>
      <c r="T1047" s="1" t="n">
        <v>1844.52</v>
      </c>
      <c r="U1047" s="1" t="n">
        <v>1598.99</v>
      </c>
      <c r="V1047" s="1" t="n">
        <v>46.43</v>
      </c>
      <c r="W1047" s="1" t="s">
        <v>40</v>
      </c>
      <c r="Y1047" s="1" t="s">
        <v>39</v>
      </c>
      <c r="Z1047" s="1" t="n">
        <v>2</v>
      </c>
      <c r="AA1047" s="1" t="str">
        <f aca="false">TRIM(PROPER(F1047))</f>
        <v>Warangal</v>
      </c>
      <c r="AB1047" s="1" t="str">
        <f aca="false">TRIM(PROPER(C1047))</f>
        <v>Simplilearn</v>
      </c>
      <c r="AC1047" s="1" t="str">
        <f aca="false">IF(O1047=0,"No Discount",IF(O1047&lt;=15,"Low (1-15%)",IF(O1047&lt;=30,"Medium (16-30%)","High (&gt;30%)")))</f>
        <v>High (&gt;30%)</v>
      </c>
      <c r="AD1047" s="1" t="str">
        <f aca="false">IF(V1047&lt;0,"Loss Making",IF(V1047&lt;20,"Low Margin","Healthy Margin"))</f>
        <v>Healthy Margin</v>
      </c>
      <c r="AE1047" s="1" t="str">
        <f aca="false">TEXT(DATE(VALUE(RIGHT(B1047,4)),VALUE(MID(B1047,4,2)),VALUE(LEFT(B1047,2))),"MMM-YYYY")</f>
        <v>May-2023</v>
      </c>
      <c r="AF1047" s="1" t="n">
        <f aca="false">VALUE(RIGHT(B1047,4))</f>
        <v>2023</v>
      </c>
      <c r="AG1047" s="1" t="str">
        <f aca="false">CHOOSE(ROUNDUP(VALUE(MID(B1047,4,2))/3,0),"Q1","Q2","Q3","Q4")</f>
        <v>Q2</v>
      </c>
    </row>
    <row r="1048" customFormat="false" ht="15" hidden="false" customHeight="true" outlineLevel="0" collapsed="false">
      <c r="A1048" s="1" t="s">
        <v>1783</v>
      </c>
      <c r="B1048" s="1" t="s">
        <v>515</v>
      </c>
      <c r="C1048" s="1" t="s">
        <v>74</v>
      </c>
      <c r="D1048" s="1" t="s">
        <v>143</v>
      </c>
      <c r="E1048" s="1" t="s">
        <v>162</v>
      </c>
      <c r="F1048" s="1" t="s">
        <v>140</v>
      </c>
      <c r="G1048" s="1" t="s">
        <v>97</v>
      </c>
      <c r="H1048" s="1" t="s">
        <v>57</v>
      </c>
      <c r="I1048" s="1" t="s">
        <v>83</v>
      </c>
      <c r="J1048" s="1" t="s">
        <v>35</v>
      </c>
      <c r="K1048" s="1" t="s">
        <v>71</v>
      </c>
      <c r="L1048" s="1" t="s">
        <v>49</v>
      </c>
      <c r="M1048" s="1" t="s">
        <v>38</v>
      </c>
      <c r="N1048" s="1" t="n">
        <v>14999</v>
      </c>
      <c r="O1048" s="1" t="n">
        <v>30</v>
      </c>
      <c r="P1048" s="1" t="n">
        <v>4499.7</v>
      </c>
      <c r="Q1048" s="1" t="n">
        <v>10499.3</v>
      </c>
      <c r="R1048" s="1" t="n">
        <v>1889.87</v>
      </c>
      <c r="S1048" s="1" t="n">
        <v>8609.43</v>
      </c>
      <c r="T1048" s="1" t="n">
        <v>3444.2</v>
      </c>
      <c r="U1048" s="1" t="n">
        <v>5165.23</v>
      </c>
      <c r="V1048" s="1" t="n">
        <v>60</v>
      </c>
      <c r="W1048" s="1" t="s">
        <v>39</v>
      </c>
      <c r="X1048" s="1" t="n">
        <v>2.7</v>
      </c>
      <c r="Y1048" s="1" t="s">
        <v>40</v>
      </c>
      <c r="Z1048" s="1" t="n">
        <v>0</v>
      </c>
      <c r="AA1048" s="1" t="str">
        <f aca="false">TRIM(PROPER(F1048))</f>
        <v>Nashik</v>
      </c>
      <c r="AB1048" s="1" t="str">
        <f aca="false">TRIM(PROPER(C1048))</f>
        <v>Vedantu</v>
      </c>
      <c r="AC1048" s="1" t="str">
        <f aca="false">IF(O1048=0,"No Discount",IF(O1048&lt;=15,"Low (1-15%)",IF(O1048&lt;=30,"Medium (16-30%)","High (&gt;30%)")))</f>
        <v>Medium (16-30%)</v>
      </c>
      <c r="AD1048" s="1" t="str">
        <f aca="false">IF(V1048&lt;0,"Loss Making",IF(V1048&lt;20,"Low Margin","Healthy Margin"))</f>
        <v>Healthy Margin</v>
      </c>
      <c r="AE1048" s="1" t="str">
        <f aca="false">TEXT(DATE(VALUE(RIGHT(B1048,4)),VALUE(MID(B1048,4,2)),VALUE(LEFT(B1048,2))),"MMM-YYYY")</f>
        <v>Sep-2024</v>
      </c>
      <c r="AF1048" s="1" t="n">
        <f aca="false">VALUE(RIGHT(B1048,4))</f>
        <v>2024</v>
      </c>
      <c r="AG1048" s="1" t="str">
        <f aca="false">CHOOSE(ROUNDUP(VALUE(MID(B1048,4,2))/3,0),"Q1","Q2","Q3","Q4")</f>
        <v>Q3</v>
      </c>
    </row>
    <row r="1049" customFormat="false" ht="15" hidden="false" customHeight="true" outlineLevel="0" collapsed="false">
      <c r="A1049" s="1" t="s">
        <v>1784</v>
      </c>
      <c r="B1049" s="1" t="s">
        <v>1785</v>
      </c>
      <c r="C1049" s="1" t="s">
        <v>93</v>
      </c>
      <c r="D1049" s="1" t="s">
        <v>168</v>
      </c>
      <c r="E1049" s="1" t="s">
        <v>328</v>
      </c>
      <c r="F1049" s="1" t="s">
        <v>82</v>
      </c>
      <c r="G1049" s="1" t="s">
        <v>56</v>
      </c>
      <c r="H1049" s="1" t="s">
        <v>69</v>
      </c>
      <c r="I1049" s="1" t="s">
        <v>83</v>
      </c>
      <c r="J1049" s="1" t="s">
        <v>35</v>
      </c>
      <c r="K1049" s="1" t="s">
        <v>84</v>
      </c>
      <c r="L1049" s="1" t="s">
        <v>113</v>
      </c>
      <c r="M1049" s="1" t="s">
        <v>50</v>
      </c>
      <c r="N1049" s="1" t="n">
        <v>8999</v>
      </c>
      <c r="O1049" s="1" t="n">
        <v>20</v>
      </c>
      <c r="P1049" s="1" t="n">
        <v>1799.8</v>
      </c>
      <c r="Q1049" s="1" t="n">
        <v>7199.2</v>
      </c>
      <c r="R1049" s="1" t="n">
        <v>1295.86</v>
      </c>
      <c r="S1049" s="1" t="n">
        <v>5903.34</v>
      </c>
      <c r="T1049" s="1" t="n">
        <v>2351.6</v>
      </c>
      <c r="U1049" s="1" t="n">
        <v>3551.74</v>
      </c>
      <c r="V1049" s="1" t="n">
        <v>60.16</v>
      </c>
      <c r="W1049" s="1" t="s">
        <v>39</v>
      </c>
      <c r="X1049" s="1" t="n">
        <v>4.4</v>
      </c>
      <c r="Y1049" s="1" t="s">
        <v>39</v>
      </c>
      <c r="Z1049" s="1" t="n">
        <v>1</v>
      </c>
      <c r="AA1049" s="1" t="str">
        <f aca="false">TRIM(PROPER(F1049))</f>
        <v>Gurugram</v>
      </c>
      <c r="AB1049" s="1" t="str">
        <f aca="false">TRIM(PROPER(C1049))</f>
        <v>Upgrad</v>
      </c>
      <c r="AC1049" s="1" t="str">
        <f aca="false">IF(O1049=0,"No Discount",IF(O1049&lt;=15,"Low (1-15%)",IF(O1049&lt;=30,"Medium (16-30%)","High (&gt;30%)")))</f>
        <v>Medium (16-30%)</v>
      </c>
      <c r="AD1049" s="1" t="str">
        <f aca="false">IF(V1049&lt;0,"Loss Making",IF(V1049&lt;20,"Low Margin","Healthy Margin"))</f>
        <v>Healthy Margin</v>
      </c>
      <c r="AE1049" s="1" t="str">
        <f aca="false">TEXT(DATE(VALUE(RIGHT(B1049,4)),VALUE(MID(B1049,4,2)),VALUE(LEFT(B1049,2))),"MMM-YYYY")</f>
        <v>Dec-2024</v>
      </c>
      <c r="AF1049" s="1" t="n">
        <f aca="false">VALUE(RIGHT(B1049,4))</f>
        <v>2024</v>
      </c>
      <c r="AG1049" s="1" t="str">
        <f aca="false">CHOOSE(ROUNDUP(VALUE(MID(B1049,4,2))/3,0),"Q1","Q2","Q3","Q4")</f>
        <v>Q4</v>
      </c>
    </row>
    <row r="1050" customFormat="false" ht="15" hidden="false" customHeight="true" outlineLevel="0" collapsed="false">
      <c r="A1050" s="1" t="s">
        <v>1786</v>
      </c>
      <c r="B1050" s="1" t="s">
        <v>1688</v>
      </c>
      <c r="C1050" s="1" t="s">
        <v>100</v>
      </c>
      <c r="D1050" s="1" t="s">
        <v>53</v>
      </c>
      <c r="E1050" s="1" t="s">
        <v>116</v>
      </c>
      <c r="F1050" s="1" t="s">
        <v>244</v>
      </c>
      <c r="G1050" s="1" t="s">
        <v>97</v>
      </c>
      <c r="H1050" s="1" t="s">
        <v>57</v>
      </c>
      <c r="I1050" s="1" t="s">
        <v>34</v>
      </c>
      <c r="J1050" s="1" t="s">
        <v>35</v>
      </c>
      <c r="K1050" s="1" t="s">
        <v>60</v>
      </c>
      <c r="L1050" s="1" t="s">
        <v>85</v>
      </c>
      <c r="M1050" s="1" t="s">
        <v>62</v>
      </c>
      <c r="N1050" s="1" t="n">
        <v>9999</v>
      </c>
      <c r="O1050" s="1" t="n">
        <v>0</v>
      </c>
      <c r="P1050" s="1" t="n">
        <v>0</v>
      </c>
      <c r="Q1050" s="1" t="n">
        <v>9999</v>
      </c>
      <c r="R1050" s="1" t="n">
        <v>1799.82</v>
      </c>
      <c r="S1050" s="1" t="n">
        <v>8199.18</v>
      </c>
      <c r="T1050" s="1" t="n">
        <v>4123.29</v>
      </c>
      <c r="U1050" s="1" t="n">
        <v>4075.89</v>
      </c>
      <c r="V1050" s="1" t="n">
        <v>49.71</v>
      </c>
      <c r="W1050" s="1" t="s">
        <v>40</v>
      </c>
      <c r="Y1050" s="1" t="s">
        <v>40</v>
      </c>
      <c r="Z1050" s="1" t="n">
        <v>0</v>
      </c>
      <c r="AA1050" s="1" t="str">
        <f aca="false">TRIM(PROPER(F1050))</f>
        <v>Nagpur</v>
      </c>
      <c r="AB1050" s="1" t="str">
        <f aca="false">TRIM(PROPER(C1050))</f>
        <v>Physics Wallah</v>
      </c>
      <c r="AC1050" s="1" t="str">
        <f aca="false">IF(O1050=0,"No Discount",IF(O1050&lt;=15,"Low (1-15%)",IF(O1050&lt;=30,"Medium (16-30%)","High (&gt;30%)")))</f>
        <v>No Discount</v>
      </c>
      <c r="AD1050" s="1" t="str">
        <f aca="false">IF(V1050&lt;0,"Loss Making",IF(V1050&lt;20,"Low Margin","Healthy Margin"))</f>
        <v>Healthy Margin</v>
      </c>
      <c r="AE1050" s="1" t="str">
        <f aca="false">TEXT(DATE(VALUE(RIGHT(B1050,4)),VALUE(MID(B1050,4,2)),VALUE(LEFT(B1050,2))),"MMM-YYYY")</f>
        <v>Mar-2024</v>
      </c>
      <c r="AF1050" s="1" t="n">
        <f aca="false">VALUE(RIGHT(B1050,4))</f>
        <v>2024</v>
      </c>
      <c r="AG1050" s="1" t="str">
        <f aca="false">CHOOSE(ROUNDUP(VALUE(MID(B1050,4,2))/3,0),"Q1","Q2","Q3","Q4")</f>
        <v>Q1</v>
      </c>
    </row>
    <row r="1051" customFormat="false" ht="15" hidden="false" customHeight="true" outlineLevel="0" collapsed="false">
      <c r="A1051" s="1" t="s">
        <v>1787</v>
      </c>
      <c r="B1051" s="1" t="s">
        <v>1788</v>
      </c>
      <c r="C1051" s="1" t="s">
        <v>100</v>
      </c>
      <c r="D1051" s="1" t="s">
        <v>80</v>
      </c>
      <c r="E1051" s="1" t="s">
        <v>81</v>
      </c>
      <c r="F1051" s="1" t="s">
        <v>211</v>
      </c>
      <c r="G1051" s="1" t="s">
        <v>56</v>
      </c>
      <c r="H1051" s="1" t="s">
        <v>69</v>
      </c>
      <c r="I1051" s="1" t="s">
        <v>58</v>
      </c>
      <c r="J1051" s="1" t="s">
        <v>77</v>
      </c>
      <c r="K1051" s="1" t="s">
        <v>104</v>
      </c>
      <c r="L1051" s="1" t="s">
        <v>49</v>
      </c>
      <c r="M1051" s="1" t="s">
        <v>62</v>
      </c>
      <c r="N1051" s="1" t="n">
        <v>12999</v>
      </c>
      <c r="O1051" s="1" t="n">
        <v>10</v>
      </c>
      <c r="P1051" s="1" t="n">
        <v>1299.9</v>
      </c>
      <c r="Q1051" s="1" t="n">
        <v>11699.1</v>
      </c>
      <c r="R1051" s="1" t="n">
        <v>2105.84</v>
      </c>
      <c r="S1051" s="1" t="n">
        <v>9593.26</v>
      </c>
      <c r="T1051" s="1" t="n">
        <v>3889.1</v>
      </c>
      <c r="U1051" s="1" t="n">
        <v>5704.16</v>
      </c>
      <c r="V1051" s="1" t="n">
        <v>59.46</v>
      </c>
      <c r="W1051" s="1" t="s">
        <v>40</v>
      </c>
      <c r="Y1051" s="1" t="s">
        <v>40</v>
      </c>
      <c r="Z1051" s="1" t="n">
        <v>1</v>
      </c>
      <c r="AA1051" s="1" t="str">
        <f aca="false">TRIM(PROPER(F1051))</f>
        <v>Noida</v>
      </c>
      <c r="AB1051" s="1" t="str">
        <f aca="false">TRIM(PROPER(C1051))</f>
        <v>Physics Wallah</v>
      </c>
      <c r="AC1051" s="1" t="str">
        <f aca="false">IF(O1051=0,"No Discount",IF(O1051&lt;=15,"Low (1-15%)",IF(O1051&lt;=30,"Medium (16-30%)","High (&gt;30%)")))</f>
        <v>Low (1-15%)</v>
      </c>
      <c r="AD1051" s="1" t="str">
        <f aca="false">IF(V1051&lt;0,"Loss Making",IF(V1051&lt;20,"Low Margin","Healthy Margin"))</f>
        <v>Healthy Margin</v>
      </c>
      <c r="AE1051" s="1" t="str">
        <f aca="false">TEXT(DATE(VALUE(RIGHT(B1051,4)),VALUE(MID(B1051,4,2)),VALUE(LEFT(B1051,2))),"MMM-YYYY")</f>
        <v>Feb-2023</v>
      </c>
      <c r="AF1051" s="1" t="n">
        <f aca="false">VALUE(RIGHT(B1051,4))</f>
        <v>2023</v>
      </c>
      <c r="AG1051" s="1" t="str">
        <f aca="false">CHOOSE(ROUNDUP(VALUE(MID(B1051,4,2))/3,0),"Q1","Q2","Q3","Q4")</f>
        <v>Q1</v>
      </c>
    </row>
    <row r="1052" customFormat="false" ht="15" hidden="false" customHeight="true" outlineLevel="0" collapsed="false">
      <c r="A1052" s="1" t="s">
        <v>1789</v>
      </c>
      <c r="B1052" s="1" t="s">
        <v>815</v>
      </c>
      <c r="C1052" s="1" t="s">
        <v>119</v>
      </c>
      <c r="D1052" s="1" t="s">
        <v>44</v>
      </c>
      <c r="E1052" s="1" t="s">
        <v>221</v>
      </c>
      <c r="F1052" s="1" t="s">
        <v>75</v>
      </c>
      <c r="G1052" s="1" t="s">
        <v>76</v>
      </c>
      <c r="H1052" s="1" t="s">
        <v>69</v>
      </c>
      <c r="I1052" s="1" t="s">
        <v>34</v>
      </c>
      <c r="J1052" s="1" t="s">
        <v>70</v>
      </c>
      <c r="K1052" s="1" t="s">
        <v>48</v>
      </c>
      <c r="L1052" s="1" t="s">
        <v>61</v>
      </c>
      <c r="M1052" s="1" t="s">
        <v>50</v>
      </c>
      <c r="N1052" s="1" t="n">
        <v>16999</v>
      </c>
      <c r="O1052" s="1" t="n">
        <v>0</v>
      </c>
      <c r="P1052" s="1" t="n">
        <v>0</v>
      </c>
      <c r="Q1052" s="1" t="n">
        <v>16999</v>
      </c>
      <c r="R1052" s="1" t="n">
        <v>3059.82</v>
      </c>
      <c r="S1052" s="1" t="n">
        <v>13939.18</v>
      </c>
      <c r="T1052" s="1" t="n">
        <v>5328.26</v>
      </c>
      <c r="U1052" s="1" t="n">
        <v>8610.92</v>
      </c>
      <c r="V1052" s="1" t="n">
        <v>61.77</v>
      </c>
      <c r="W1052" s="1" t="s">
        <v>39</v>
      </c>
      <c r="X1052" s="1" t="n">
        <v>3.8</v>
      </c>
      <c r="Y1052" s="1" t="s">
        <v>40</v>
      </c>
      <c r="Z1052" s="1" t="n">
        <v>1</v>
      </c>
      <c r="AA1052" s="1" t="str">
        <f aca="false">TRIM(PROPER(F1052))</f>
        <v>Kolkata</v>
      </c>
      <c r="AB1052" s="1" t="str">
        <f aca="false">TRIM(PROPER(C1052))</f>
        <v>Simplilearn</v>
      </c>
      <c r="AC1052" s="1" t="str">
        <f aca="false">IF(O1052=0,"No Discount",IF(O1052&lt;=15,"Low (1-15%)",IF(O1052&lt;=30,"Medium (16-30%)","High (&gt;30%)")))</f>
        <v>No Discount</v>
      </c>
      <c r="AD1052" s="1" t="str">
        <f aca="false">IF(V1052&lt;0,"Loss Making",IF(V1052&lt;20,"Low Margin","Healthy Margin"))</f>
        <v>Healthy Margin</v>
      </c>
      <c r="AE1052" s="1" t="str">
        <f aca="false">TEXT(DATE(VALUE(RIGHT(B1052,4)),VALUE(MID(B1052,4,2)),VALUE(LEFT(B1052,2))),"MMM-YYYY")</f>
        <v>Oct-2023</v>
      </c>
      <c r="AF1052" s="1" t="n">
        <f aca="false">VALUE(RIGHT(B1052,4))</f>
        <v>2023</v>
      </c>
      <c r="AG1052" s="1" t="str">
        <f aca="false">CHOOSE(ROUNDUP(VALUE(MID(B1052,4,2))/3,0),"Q1","Q2","Q3","Q4")</f>
        <v>Q4</v>
      </c>
    </row>
    <row r="1053" customFormat="false" ht="15" hidden="false" customHeight="true" outlineLevel="0" collapsed="false">
      <c r="A1053" s="1" t="s">
        <v>1790</v>
      </c>
      <c r="B1053" s="1" t="s">
        <v>1791</v>
      </c>
      <c r="C1053" s="1" t="s">
        <v>119</v>
      </c>
      <c r="D1053" s="1" t="s">
        <v>168</v>
      </c>
      <c r="E1053" s="1" t="s">
        <v>197</v>
      </c>
      <c r="F1053" s="1" t="s">
        <v>89</v>
      </c>
      <c r="G1053" s="1" t="s">
        <v>68</v>
      </c>
      <c r="H1053" s="1" t="s">
        <v>33</v>
      </c>
      <c r="I1053" s="1" t="s">
        <v>83</v>
      </c>
      <c r="J1053" s="1" t="s">
        <v>35</v>
      </c>
      <c r="K1053" s="1" t="s">
        <v>71</v>
      </c>
      <c r="L1053" s="1" t="s">
        <v>85</v>
      </c>
      <c r="M1053" s="1" t="s">
        <v>38</v>
      </c>
      <c r="N1053" s="1" t="n">
        <v>8499</v>
      </c>
      <c r="O1053" s="1" t="n">
        <v>0</v>
      </c>
      <c r="P1053" s="1" t="n">
        <v>0</v>
      </c>
      <c r="Q1053" s="1" t="n">
        <v>8499</v>
      </c>
      <c r="R1053" s="1" t="n">
        <v>1529.82</v>
      </c>
      <c r="S1053" s="1" t="n">
        <v>6969.18</v>
      </c>
      <c r="T1053" s="1" t="n">
        <v>3750.46</v>
      </c>
      <c r="U1053" s="1" t="n">
        <v>3218.72</v>
      </c>
      <c r="V1053" s="1" t="n">
        <v>46.19</v>
      </c>
      <c r="W1053" s="1" t="s">
        <v>39</v>
      </c>
      <c r="X1053" s="1" t="n">
        <v>2.8</v>
      </c>
      <c r="Y1053" s="1" t="s">
        <v>40</v>
      </c>
      <c r="Z1053" s="1" t="n">
        <v>0</v>
      </c>
      <c r="AA1053" s="1" t="str">
        <f aca="false">TRIM(PROPER(F1053))</f>
        <v>Vadodara</v>
      </c>
      <c r="AB1053" s="1" t="str">
        <f aca="false">TRIM(PROPER(C1053))</f>
        <v>Simplilearn</v>
      </c>
      <c r="AC1053" s="1" t="str">
        <f aca="false">IF(O1053=0,"No Discount",IF(O1053&lt;=15,"Low (1-15%)",IF(O1053&lt;=30,"Medium (16-30%)","High (&gt;30%)")))</f>
        <v>No Discount</v>
      </c>
      <c r="AD1053" s="1" t="str">
        <f aca="false">IF(V1053&lt;0,"Loss Making",IF(V1053&lt;20,"Low Margin","Healthy Margin"))</f>
        <v>Healthy Margin</v>
      </c>
      <c r="AE1053" s="1" t="str">
        <f aca="false">TEXT(DATE(VALUE(RIGHT(B1053,4)),VALUE(MID(B1053,4,2)),VALUE(LEFT(B1053,2))),"MMM-YYYY")</f>
        <v>Sep-2023</v>
      </c>
      <c r="AF1053" s="1" t="n">
        <f aca="false">VALUE(RIGHT(B1053,4))</f>
        <v>2023</v>
      </c>
      <c r="AG1053" s="1" t="str">
        <f aca="false">CHOOSE(ROUNDUP(VALUE(MID(B1053,4,2))/3,0),"Q1","Q2","Q3","Q4")</f>
        <v>Q3</v>
      </c>
    </row>
    <row r="1054" customFormat="false" ht="15" hidden="false" customHeight="true" outlineLevel="0" collapsed="false">
      <c r="A1054" s="1" t="s">
        <v>1792</v>
      </c>
      <c r="B1054" s="1" t="s">
        <v>636</v>
      </c>
      <c r="C1054" s="1" t="s">
        <v>74</v>
      </c>
      <c r="D1054" s="1" t="s">
        <v>44</v>
      </c>
      <c r="E1054" s="1" t="s">
        <v>45</v>
      </c>
      <c r="F1054" s="1" t="s">
        <v>140</v>
      </c>
      <c r="G1054" s="1" t="s">
        <v>97</v>
      </c>
      <c r="H1054" s="1" t="s">
        <v>57</v>
      </c>
      <c r="I1054" s="1" t="s">
        <v>58</v>
      </c>
      <c r="J1054" s="1" t="s">
        <v>131</v>
      </c>
      <c r="K1054" s="1" t="s">
        <v>60</v>
      </c>
      <c r="L1054" s="1" t="s">
        <v>136</v>
      </c>
      <c r="M1054" s="1" t="s">
        <v>50</v>
      </c>
      <c r="N1054" s="1" t="n">
        <v>11999</v>
      </c>
      <c r="O1054" s="1" t="n">
        <v>0</v>
      </c>
      <c r="P1054" s="1" t="n">
        <v>0</v>
      </c>
      <c r="Q1054" s="1" t="n">
        <v>11999</v>
      </c>
      <c r="R1054" s="1" t="n">
        <v>2159.82</v>
      </c>
      <c r="S1054" s="1" t="n">
        <v>9839.18</v>
      </c>
      <c r="T1054" s="1" t="n">
        <v>4796.89</v>
      </c>
      <c r="U1054" s="1" t="n">
        <v>5042.29</v>
      </c>
      <c r="V1054" s="1" t="n">
        <v>51.25</v>
      </c>
      <c r="W1054" s="1" t="s">
        <v>39</v>
      </c>
      <c r="X1054" s="1" t="n">
        <v>3.5</v>
      </c>
      <c r="Y1054" s="1" t="s">
        <v>40</v>
      </c>
      <c r="Z1054" s="1" t="n">
        <v>0</v>
      </c>
      <c r="AA1054" s="1" t="str">
        <f aca="false">TRIM(PROPER(F1054))</f>
        <v>Nashik</v>
      </c>
      <c r="AB1054" s="1" t="str">
        <f aca="false">TRIM(PROPER(C1054))</f>
        <v>Vedantu</v>
      </c>
      <c r="AC1054" s="1" t="str">
        <f aca="false">IF(O1054=0,"No Discount",IF(O1054&lt;=15,"Low (1-15%)",IF(O1054&lt;=30,"Medium (16-30%)","High (&gt;30%)")))</f>
        <v>No Discount</v>
      </c>
      <c r="AD1054" s="1" t="str">
        <f aca="false">IF(V1054&lt;0,"Loss Making",IF(V1054&lt;20,"Low Margin","Healthy Margin"))</f>
        <v>Healthy Margin</v>
      </c>
      <c r="AE1054" s="1" t="str">
        <f aca="false">TEXT(DATE(VALUE(RIGHT(B1054,4)),VALUE(MID(B1054,4,2)),VALUE(LEFT(B1054,2))),"MMM-YYYY")</f>
        <v>Nov-2024</v>
      </c>
      <c r="AF1054" s="1" t="n">
        <f aca="false">VALUE(RIGHT(B1054,4))</f>
        <v>2024</v>
      </c>
      <c r="AG1054" s="1" t="str">
        <f aca="false">CHOOSE(ROUNDUP(VALUE(MID(B1054,4,2))/3,0),"Q1","Q2","Q3","Q4")</f>
        <v>Q4</v>
      </c>
    </row>
    <row r="1055" customFormat="false" ht="15" hidden="false" customHeight="true" outlineLevel="0" collapsed="false">
      <c r="A1055" s="1" t="s">
        <v>1793</v>
      </c>
      <c r="B1055" s="1" t="s">
        <v>1719</v>
      </c>
      <c r="C1055" s="1" t="s">
        <v>264</v>
      </c>
      <c r="D1055" s="1" t="s">
        <v>53</v>
      </c>
      <c r="E1055" s="1" t="s">
        <v>216</v>
      </c>
      <c r="F1055" s="1" t="s">
        <v>31</v>
      </c>
      <c r="G1055" s="1" t="s">
        <v>32</v>
      </c>
      <c r="H1055" s="1" t="s">
        <v>33</v>
      </c>
      <c r="I1055" s="1" t="s">
        <v>34</v>
      </c>
      <c r="J1055" s="1" t="s">
        <v>70</v>
      </c>
      <c r="K1055" s="1" t="s">
        <v>104</v>
      </c>
      <c r="L1055" s="1" t="s">
        <v>61</v>
      </c>
      <c r="M1055" s="1" t="s">
        <v>38</v>
      </c>
      <c r="N1055" s="1" t="n">
        <v>7499</v>
      </c>
      <c r="O1055" s="1" t="n">
        <v>10</v>
      </c>
      <c r="P1055" s="1" t="n">
        <v>749.9</v>
      </c>
      <c r="Q1055" s="1" t="n">
        <v>6749.1</v>
      </c>
      <c r="R1055" s="1" t="n">
        <v>1214.84</v>
      </c>
      <c r="S1055" s="1" t="n">
        <v>5534.26</v>
      </c>
      <c r="T1055" s="1" t="n">
        <v>2229.72</v>
      </c>
      <c r="U1055" s="1" t="n">
        <v>3304.54</v>
      </c>
      <c r="V1055" s="1" t="n">
        <v>59.71</v>
      </c>
      <c r="W1055" s="1" t="s">
        <v>39</v>
      </c>
      <c r="X1055" s="1" t="n">
        <v>4.7</v>
      </c>
      <c r="Y1055" s="1" t="s">
        <v>40</v>
      </c>
      <c r="Z1055" s="1" t="n">
        <v>0</v>
      </c>
      <c r="AA1055" s="1" t="str">
        <f aca="false">TRIM(PROPER(F1055))</f>
        <v>Jodhpur</v>
      </c>
      <c r="AB1055" s="1" t="str">
        <f aca="false">TRIM(PROPER(C1055))</f>
        <v>Unacademy</v>
      </c>
      <c r="AC1055" s="1" t="str">
        <f aca="false">IF(O1055=0,"No Discount",IF(O1055&lt;=15,"Low (1-15%)",IF(O1055&lt;=30,"Medium (16-30%)","High (&gt;30%)")))</f>
        <v>Low (1-15%)</v>
      </c>
      <c r="AD1055" s="1" t="str">
        <f aca="false">IF(V1055&lt;0,"Loss Making",IF(V1055&lt;20,"Low Margin","Healthy Margin"))</f>
        <v>Healthy Margin</v>
      </c>
      <c r="AE1055" s="1" t="str">
        <f aca="false">TEXT(DATE(VALUE(RIGHT(B1055,4)),VALUE(MID(B1055,4,2)),VALUE(LEFT(B1055,2))),"MMM-YYYY")</f>
        <v>Jan-2024</v>
      </c>
      <c r="AF1055" s="1" t="n">
        <f aca="false">VALUE(RIGHT(B1055,4))</f>
        <v>2024</v>
      </c>
      <c r="AG1055" s="1" t="str">
        <f aca="false">CHOOSE(ROUNDUP(VALUE(MID(B1055,4,2))/3,0),"Q1","Q2","Q3","Q4")</f>
        <v>Q1</v>
      </c>
    </row>
    <row r="1056" customFormat="false" ht="15" hidden="false" customHeight="true" outlineLevel="0" collapsed="false">
      <c r="A1056" s="1" t="s">
        <v>1794</v>
      </c>
      <c r="B1056" s="1" t="s">
        <v>1795</v>
      </c>
      <c r="C1056" s="1" t="s">
        <v>134</v>
      </c>
      <c r="D1056" s="1" t="s">
        <v>44</v>
      </c>
      <c r="E1056" s="1" t="s">
        <v>221</v>
      </c>
      <c r="F1056" s="1" t="s">
        <v>184</v>
      </c>
      <c r="G1056" s="1" t="s">
        <v>56</v>
      </c>
      <c r="H1056" s="1" t="s">
        <v>57</v>
      </c>
      <c r="I1056" s="1" t="s">
        <v>34</v>
      </c>
      <c r="J1056" s="1" t="s">
        <v>35</v>
      </c>
      <c r="K1056" s="1" t="s">
        <v>36</v>
      </c>
      <c r="L1056" s="1" t="s">
        <v>61</v>
      </c>
      <c r="M1056" s="1" t="s">
        <v>62</v>
      </c>
      <c r="N1056" s="1" t="n">
        <v>16999</v>
      </c>
      <c r="O1056" s="1" t="n">
        <v>20</v>
      </c>
      <c r="P1056" s="1" t="n">
        <v>3399.8</v>
      </c>
      <c r="Q1056" s="1" t="n">
        <v>13599.2</v>
      </c>
      <c r="R1056" s="1" t="n">
        <v>2447.86</v>
      </c>
      <c r="S1056" s="1" t="n">
        <v>11151.34</v>
      </c>
      <c r="T1056" s="1" t="n">
        <v>5184.68</v>
      </c>
      <c r="U1056" s="1" t="n">
        <v>5966.66</v>
      </c>
      <c r="V1056" s="1" t="n">
        <v>53.51</v>
      </c>
      <c r="W1056" s="1" t="s">
        <v>39</v>
      </c>
      <c r="Y1056" s="1" t="s">
        <v>40</v>
      </c>
      <c r="Z1056" s="1" t="n">
        <v>2</v>
      </c>
      <c r="AA1056" s="1" t="str">
        <f aca="false">TRIM(PROPER(F1056))</f>
        <v>Faridabad</v>
      </c>
      <c r="AB1056" s="1" t="str">
        <f aca="false">TRIM(PROPER(C1056))</f>
        <v>Doubtnut</v>
      </c>
      <c r="AC1056" s="1" t="str">
        <f aca="false">IF(O1056=0,"No Discount",IF(O1056&lt;=15,"Low (1-15%)",IF(O1056&lt;=30,"Medium (16-30%)","High (&gt;30%)")))</f>
        <v>Medium (16-30%)</v>
      </c>
      <c r="AD1056" s="1" t="str">
        <f aca="false">IF(V1056&lt;0,"Loss Making",IF(V1056&lt;20,"Low Margin","Healthy Margin"))</f>
        <v>Healthy Margin</v>
      </c>
      <c r="AE1056" s="1" t="str">
        <f aca="false">TEXT(DATE(VALUE(RIGHT(B1056,4)),VALUE(MID(B1056,4,2)),VALUE(LEFT(B1056,2))),"MMM-YYYY")</f>
        <v>Oct-2023</v>
      </c>
      <c r="AF1056" s="1" t="n">
        <f aca="false">VALUE(RIGHT(B1056,4))</f>
        <v>2023</v>
      </c>
      <c r="AG1056" s="1" t="str">
        <f aca="false">CHOOSE(ROUNDUP(VALUE(MID(B1056,4,2))/3,0),"Q1","Q2","Q3","Q4")</f>
        <v>Q4</v>
      </c>
    </row>
    <row r="1057" customFormat="false" ht="15" hidden="false" customHeight="true" outlineLevel="0" collapsed="false">
      <c r="A1057" s="1" t="s">
        <v>1796</v>
      </c>
      <c r="B1057" s="1" t="s">
        <v>1797</v>
      </c>
      <c r="C1057" s="1" t="s">
        <v>128</v>
      </c>
      <c r="D1057" s="1" t="s">
        <v>53</v>
      </c>
      <c r="E1057" s="1" t="s">
        <v>116</v>
      </c>
      <c r="F1057" s="1" t="s">
        <v>205</v>
      </c>
      <c r="G1057" s="1" t="s">
        <v>56</v>
      </c>
      <c r="H1057" s="1" t="s">
        <v>69</v>
      </c>
      <c r="I1057" s="1" t="s">
        <v>34</v>
      </c>
      <c r="J1057" s="1" t="s">
        <v>59</v>
      </c>
      <c r="K1057" s="1" t="s">
        <v>90</v>
      </c>
      <c r="L1057" s="1" t="s">
        <v>61</v>
      </c>
      <c r="M1057" s="1" t="s">
        <v>50</v>
      </c>
      <c r="N1057" s="1" t="n">
        <v>9999</v>
      </c>
      <c r="O1057" s="1" t="n">
        <v>20</v>
      </c>
      <c r="P1057" s="1" t="n">
        <v>1999.8</v>
      </c>
      <c r="Q1057" s="1" t="n">
        <v>7999.2</v>
      </c>
      <c r="R1057" s="1" t="n">
        <v>1439.86</v>
      </c>
      <c r="S1057" s="1" t="n">
        <v>6559.34</v>
      </c>
      <c r="T1057" s="1" t="n">
        <v>2346.46</v>
      </c>
      <c r="U1057" s="1" t="n">
        <v>4212.88</v>
      </c>
      <c r="V1057" s="1" t="n">
        <v>64.23</v>
      </c>
      <c r="W1057" s="1" t="s">
        <v>40</v>
      </c>
      <c r="Y1057" s="1" t="s">
        <v>40</v>
      </c>
      <c r="Z1057" s="1" t="n">
        <v>0</v>
      </c>
      <c r="AA1057" s="1" t="str">
        <f aca="false">TRIM(PROPER(F1057))</f>
        <v>New Delhi</v>
      </c>
      <c r="AB1057" s="1" t="str">
        <f aca="false">TRIM(PROPER(C1057))</f>
        <v>Great Learning</v>
      </c>
      <c r="AC1057" s="1" t="str">
        <f aca="false">IF(O1057=0,"No Discount",IF(O1057&lt;=15,"Low (1-15%)",IF(O1057&lt;=30,"Medium (16-30%)","High (&gt;30%)")))</f>
        <v>Medium (16-30%)</v>
      </c>
      <c r="AD1057" s="1" t="str">
        <f aca="false">IF(V1057&lt;0,"Loss Making",IF(V1057&lt;20,"Low Margin","Healthy Margin"))</f>
        <v>Healthy Margin</v>
      </c>
      <c r="AE1057" s="1" t="str">
        <f aca="false">TEXT(DATE(VALUE(RIGHT(B1057,4)),VALUE(MID(B1057,4,2)),VALUE(LEFT(B1057,2))),"MMM-YYYY")</f>
        <v>Apr-2024</v>
      </c>
      <c r="AF1057" s="1" t="n">
        <f aca="false">VALUE(RIGHT(B1057,4))</f>
        <v>2024</v>
      </c>
      <c r="AG1057" s="1" t="str">
        <f aca="false">CHOOSE(ROUNDUP(VALUE(MID(B1057,4,2))/3,0),"Q1","Q2","Q3","Q4")</f>
        <v>Q2</v>
      </c>
    </row>
    <row r="1058" customFormat="false" ht="15" hidden="false" customHeight="true" outlineLevel="0" collapsed="false">
      <c r="A1058" s="1" t="s">
        <v>1798</v>
      </c>
      <c r="B1058" s="1" t="s">
        <v>410</v>
      </c>
      <c r="C1058" s="1" t="s">
        <v>264</v>
      </c>
      <c r="D1058" s="1" t="s">
        <v>44</v>
      </c>
      <c r="E1058" s="1" t="s">
        <v>66</v>
      </c>
      <c r="F1058" s="1" t="s">
        <v>75</v>
      </c>
      <c r="G1058" s="1" t="s">
        <v>76</v>
      </c>
      <c r="H1058" s="1" t="s">
        <v>69</v>
      </c>
      <c r="I1058" s="1" t="s">
        <v>83</v>
      </c>
      <c r="J1058" s="1" t="s">
        <v>131</v>
      </c>
      <c r="K1058" s="1" t="s">
        <v>36</v>
      </c>
      <c r="L1058" s="1" t="s">
        <v>49</v>
      </c>
      <c r="M1058" s="1" t="s">
        <v>50</v>
      </c>
      <c r="N1058" s="1" t="n">
        <v>12999</v>
      </c>
      <c r="O1058" s="1" t="n">
        <v>10</v>
      </c>
      <c r="P1058" s="1" t="n">
        <v>1299.9</v>
      </c>
      <c r="Q1058" s="1" t="n">
        <v>11699.1</v>
      </c>
      <c r="R1058" s="1" t="n">
        <v>2105.84</v>
      </c>
      <c r="S1058" s="1" t="n">
        <v>9593.26</v>
      </c>
      <c r="T1058" s="1" t="n">
        <v>4598.06</v>
      </c>
      <c r="U1058" s="1" t="n">
        <v>4995.2</v>
      </c>
      <c r="V1058" s="1" t="n">
        <v>52.07</v>
      </c>
      <c r="W1058" s="1" t="s">
        <v>39</v>
      </c>
      <c r="X1058" s="1" t="n">
        <v>4.8</v>
      </c>
      <c r="Y1058" s="1" t="s">
        <v>40</v>
      </c>
      <c r="Z1058" s="1" t="n">
        <v>1</v>
      </c>
      <c r="AA1058" s="1" t="str">
        <f aca="false">TRIM(PROPER(F1058))</f>
        <v>Kolkata</v>
      </c>
      <c r="AB1058" s="1" t="str">
        <f aca="false">TRIM(PROPER(C1058))</f>
        <v>Unacademy</v>
      </c>
      <c r="AC1058" s="1" t="str">
        <f aca="false">IF(O1058=0,"No Discount",IF(O1058&lt;=15,"Low (1-15%)",IF(O1058&lt;=30,"Medium (16-30%)","High (&gt;30%)")))</f>
        <v>Low (1-15%)</v>
      </c>
      <c r="AD1058" s="1" t="str">
        <f aca="false">IF(V1058&lt;0,"Loss Making",IF(V1058&lt;20,"Low Margin","Healthy Margin"))</f>
        <v>Healthy Margin</v>
      </c>
      <c r="AE1058" s="1" t="str">
        <f aca="false">TEXT(DATE(VALUE(RIGHT(B1058,4)),VALUE(MID(B1058,4,2)),VALUE(LEFT(B1058,2))),"MMM-YYYY")</f>
        <v>Feb-2024</v>
      </c>
      <c r="AF1058" s="1" t="n">
        <f aca="false">VALUE(RIGHT(B1058,4))</f>
        <v>2024</v>
      </c>
      <c r="AG1058" s="1" t="str">
        <f aca="false">CHOOSE(ROUNDUP(VALUE(MID(B1058,4,2))/3,0),"Q1","Q2","Q3","Q4")</f>
        <v>Q1</v>
      </c>
    </row>
    <row r="1059" customFormat="false" ht="15" hidden="false" customHeight="true" outlineLevel="0" collapsed="false">
      <c r="A1059" s="1" t="s">
        <v>1799</v>
      </c>
      <c r="B1059" s="1" t="s">
        <v>1461</v>
      </c>
      <c r="C1059" s="1" t="s">
        <v>249</v>
      </c>
      <c r="D1059" s="1" t="s">
        <v>143</v>
      </c>
      <c r="E1059" s="1" t="s">
        <v>243</v>
      </c>
      <c r="F1059" s="1" t="s">
        <v>46</v>
      </c>
      <c r="G1059" s="1" t="s">
        <v>47</v>
      </c>
      <c r="H1059" s="1" t="s">
        <v>33</v>
      </c>
      <c r="I1059" s="1" t="s">
        <v>58</v>
      </c>
      <c r="J1059" s="1" t="s">
        <v>35</v>
      </c>
      <c r="K1059" s="1" t="s">
        <v>36</v>
      </c>
      <c r="L1059" s="1" t="s">
        <v>49</v>
      </c>
      <c r="M1059" s="1" t="s">
        <v>50</v>
      </c>
      <c r="N1059" s="1" t="n">
        <v>22999</v>
      </c>
      <c r="O1059" s="1" t="n">
        <v>10</v>
      </c>
      <c r="P1059" s="1" t="n">
        <v>2299.9</v>
      </c>
      <c r="Q1059" s="1" t="n">
        <v>20699.1</v>
      </c>
      <c r="R1059" s="1" t="n">
        <v>3725.84</v>
      </c>
      <c r="S1059" s="1" t="n">
        <v>16973.26</v>
      </c>
      <c r="T1059" s="1" t="n">
        <v>7438.88</v>
      </c>
      <c r="U1059" s="1" t="n">
        <v>9534.38</v>
      </c>
      <c r="V1059" s="1" t="n">
        <v>56.17</v>
      </c>
      <c r="W1059" s="1" t="s">
        <v>39</v>
      </c>
      <c r="X1059" s="1" t="n">
        <v>3.6</v>
      </c>
      <c r="Y1059" s="1" t="s">
        <v>40</v>
      </c>
      <c r="Z1059" s="1" t="n">
        <v>0</v>
      </c>
      <c r="AA1059" s="1" t="str">
        <f aca="false">TRIM(PROPER(F1059))</f>
        <v>Mangaluru</v>
      </c>
      <c r="AB1059" s="1" t="str">
        <f aca="false">TRIM(PROPER(C1059))</f>
        <v>Whitehat Jr</v>
      </c>
      <c r="AC1059" s="1" t="str">
        <f aca="false">IF(O1059=0,"No Discount",IF(O1059&lt;=15,"Low (1-15%)",IF(O1059&lt;=30,"Medium (16-30%)","High (&gt;30%)")))</f>
        <v>Low (1-15%)</v>
      </c>
      <c r="AD1059" s="1" t="str">
        <f aca="false">IF(V1059&lt;0,"Loss Making",IF(V1059&lt;20,"Low Margin","Healthy Margin"))</f>
        <v>Healthy Margin</v>
      </c>
      <c r="AE1059" s="1" t="str">
        <f aca="false">TEXT(DATE(VALUE(RIGHT(B1059,4)),VALUE(MID(B1059,4,2)),VALUE(LEFT(B1059,2))),"MMM-YYYY")</f>
        <v>May-2023</v>
      </c>
      <c r="AF1059" s="1" t="n">
        <f aca="false">VALUE(RIGHT(B1059,4))</f>
        <v>2023</v>
      </c>
      <c r="AG1059" s="1" t="str">
        <f aca="false">CHOOSE(ROUNDUP(VALUE(MID(B1059,4,2))/3,0),"Q1","Q2","Q3","Q4")</f>
        <v>Q2</v>
      </c>
    </row>
    <row r="1060" customFormat="false" ht="15" hidden="false" customHeight="true" outlineLevel="0" collapsed="false">
      <c r="A1060" s="1" t="s">
        <v>1800</v>
      </c>
      <c r="B1060" s="1" t="s">
        <v>438</v>
      </c>
      <c r="C1060" s="1" t="s">
        <v>139</v>
      </c>
      <c r="D1060" s="1" t="s">
        <v>44</v>
      </c>
      <c r="E1060" s="1" t="s">
        <v>66</v>
      </c>
      <c r="F1060" s="1" t="s">
        <v>211</v>
      </c>
      <c r="G1060" s="1" t="s">
        <v>56</v>
      </c>
      <c r="H1060" s="1" t="s">
        <v>69</v>
      </c>
      <c r="I1060" s="1" t="s">
        <v>83</v>
      </c>
      <c r="J1060" s="1" t="s">
        <v>77</v>
      </c>
      <c r="K1060" s="1" t="s">
        <v>60</v>
      </c>
      <c r="L1060" s="1" t="s">
        <v>61</v>
      </c>
      <c r="M1060" s="1" t="s">
        <v>62</v>
      </c>
      <c r="N1060" s="1" t="n">
        <v>12999</v>
      </c>
      <c r="O1060" s="1" t="n">
        <v>20</v>
      </c>
      <c r="P1060" s="1" t="n">
        <v>2599.8</v>
      </c>
      <c r="Q1060" s="1" t="n">
        <v>10399.2</v>
      </c>
      <c r="R1060" s="1" t="n">
        <v>1871.86</v>
      </c>
      <c r="S1060" s="1" t="n">
        <v>8527.34</v>
      </c>
      <c r="T1060" s="1" t="n">
        <v>3179.56</v>
      </c>
      <c r="U1060" s="1" t="n">
        <v>5347.78</v>
      </c>
      <c r="V1060" s="1" t="n">
        <v>62.71</v>
      </c>
      <c r="W1060" s="1" t="s">
        <v>39</v>
      </c>
      <c r="X1060" s="1" t="n">
        <v>3.3</v>
      </c>
      <c r="Y1060" s="1" t="s">
        <v>40</v>
      </c>
      <c r="Z1060" s="1" t="n">
        <v>1</v>
      </c>
      <c r="AA1060" s="1" t="str">
        <f aca="false">TRIM(PROPER(F1060))</f>
        <v>Noida</v>
      </c>
      <c r="AB1060" s="1" t="str">
        <f aca="false">TRIM(PROPER(C1060))</f>
        <v>Extramarks</v>
      </c>
      <c r="AC1060" s="1" t="str">
        <f aca="false">IF(O1060=0,"No Discount",IF(O1060&lt;=15,"Low (1-15%)",IF(O1060&lt;=30,"Medium (16-30%)","High (&gt;30%)")))</f>
        <v>Medium (16-30%)</v>
      </c>
      <c r="AD1060" s="1" t="str">
        <f aca="false">IF(V1060&lt;0,"Loss Making",IF(V1060&lt;20,"Low Margin","Healthy Margin"))</f>
        <v>Healthy Margin</v>
      </c>
      <c r="AE1060" s="1" t="str">
        <f aca="false">TEXT(DATE(VALUE(RIGHT(B1060,4)),VALUE(MID(B1060,4,2)),VALUE(LEFT(B1060,2))),"MMM-YYYY")</f>
        <v>May-2023</v>
      </c>
      <c r="AF1060" s="1" t="n">
        <f aca="false">VALUE(RIGHT(B1060,4))</f>
        <v>2023</v>
      </c>
      <c r="AG1060" s="1" t="str">
        <f aca="false">CHOOSE(ROUNDUP(VALUE(MID(B1060,4,2))/3,0),"Q1","Q2","Q3","Q4")</f>
        <v>Q2</v>
      </c>
    </row>
    <row r="1061" customFormat="false" ht="15" hidden="false" customHeight="true" outlineLevel="0" collapsed="false">
      <c r="A1061" s="1" t="s">
        <v>1801</v>
      </c>
      <c r="B1061" s="1" t="s">
        <v>1802</v>
      </c>
      <c r="C1061" s="1" t="s">
        <v>178</v>
      </c>
      <c r="D1061" s="1" t="s">
        <v>94</v>
      </c>
      <c r="E1061" s="1" t="s">
        <v>95</v>
      </c>
      <c r="F1061" s="1" t="s">
        <v>107</v>
      </c>
      <c r="G1061" s="1" t="s">
        <v>108</v>
      </c>
      <c r="H1061" s="1" t="s">
        <v>33</v>
      </c>
      <c r="I1061" s="1" t="s">
        <v>58</v>
      </c>
      <c r="J1061" s="1" t="s">
        <v>77</v>
      </c>
      <c r="K1061" s="1" t="s">
        <v>90</v>
      </c>
      <c r="L1061" s="1" t="s">
        <v>49</v>
      </c>
      <c r="M1061" s="1" t="s">
        <v>50</v>
      </c>
      <c r="N1061" s="1" t="n">
        <v>6999</v>
      </c>
      <c r="O1061" s="1" t="n">
        <v>0</v>
      </c>
      <c r="P1061" s="1" t="n">
        <v>0</v>
      </c>
      <c r="Q1061" s="1" t="n">
        <v>6999</v>
      </c>
      <c r="R1061" s="1" t="n">
        <v>1259.82</v>
      </c>
      <c r="S1061" s="1" t="n">
        <v>5739.18</v>
      </c>
      <c r="T1061" s="1" t="n">
        <v>2077.23</v>
      </c>
      <c r="U1061" s="1" t="n">
        <v>3661.95</v>
      </c>
      <c r="V1061" s="1" t="n">
        <v>63.81</v>
      </c>
      <c r="W1061" s="1" t="s">
        <v>40</v>
      </c>
      <c r="Y1061" s="1" t="s">
        <v>40</v>
      </c>
      <c r="Z1061" s="1" t="n">
        <v>0</v>
      </c>
      <c r="AA1061" s="1" t="str">
        <f aca="false">TRIM(PROPER(F1061))</f>
        <v>Madurai</v>
      </c>
      <c r="AB1061" s="1" t="str">
        <f aca="false">TRIM(PROPER(C1061))</f>
        <v>Leverage Edu</v>
      </c>
      <c r="AC1061" s="1" t="str">
        <f aca="false">IF(O1061=0,"No Discount",IF(O1061&lt;=15,"Low (1-15%)",IF(O1061&lt;=30,"Medium (16-30%)","High (&gt;30%)")))</f>
        <v>No Discount</v>
      </c>
      <c r="AD1061" s="1" t="str">
        <f aca="false">IF(V1061&lt;0,"Loss Making",IF(V1061&lt;20,"Low Margin","Healthy Margin"))</f>
        <v>Healthy Margin</v>
      </c>
      <c r="AE1061" s="1" t="str">
        <f aca="false">TEXT(DATE(VALUE(RIGHT(B1061,4)),VALUE(MID(B1061,4,2)),VALUE(LEFT(B1061,2))),"MMM-YYYY")</f>
        <v>Mar-2023</v>
      </c>
      <c r="AF1061" s="1" t="n">
        <f aca="false">VALUE(RIGHT(B1061,4))</f>
        <v>2023</v>
      </c>
      <c r="AG1061" s="1" t="str">
        <f aca="false">CHOOSE(ROUNDUP(VALUE(MID(B1061,4,2))/3,0),"Q1","Q2","Q3","Q4")</f>
        <v>Q1</v>
      </c>
    </row>
    <row r="1062" customFormat="false" ht="15" hidden="false" customHeight="true" outlineLevel="0" collapsed="false">
      <c r="A1062" s="1" t="s">
        <v>1803</v>
      </c>
      <c r="B1062" s="1" t="s">
        <v>438</v>
      </c>
      <c r="C1062" s="1" t="s">
        <v>88</v>
      </c>
      <c r="D1062" s="1" t="s">
        <v>29</v>
      </c>
      <c r="E1062" s="1" t="s">
        <v>305</v>
      </c>
      <c r="F1062" s="1" t="s">
        <v>153</v>
      </c>
      <c r="G1062" s="1" t="s">
        <v>76</v>
      </c>
      <c r="H1062" s="1" t="s">
        <v>33</v>
      </c>
      <c r="I1062" s="1" t="s">
        <v>34</v>
      </c>
      <c r="J1062" s="1" t="s">
        <v>59</v>
      </c>
      <c r="K1062" s="1" t="s">
        <v>90</v>
      </c>
      <c r="L1062" s="1" t="s">
        <v>136</v>
      </c>
      <c r="M1062" s="1" t="s">
        <v>38</v>
      </c>
      <c r="N1062" s="1" t="n">
        <v>24999</v>
      </c>
      <c r="O1062" s="1" t="n">
        <v>40</v>
      </c>
      <c r="P1062" s="1" t="n">
        <v>9999.6</v>
      </c>
      <c r="Q1062" s="1" t="n">
        <v>14999.4</v>
      </c>
      <c r="R1062" s="1" t="n">
        <v>2699.89</v>
      </c>
      <c r="S1062" s="1" t="n">
        <v>12299.51</v>
      </c>
      <c r="T1062" s="1" t="n">
        <v>6957.8</v>
      </c>
      <c r="U1062" s="1" t="n">
        <v>5341.71</v>
      </c>
      <c r="V1062" s="1" t="n">
        <v>43.43</v>
      </c>
      <c r="W1062" s="1" t="s">
        <v>39</v>
      </c>
      <c r="X1062" s="1" t="n">
        <v>4.3</v>
      </c>
      <c r="Y1062" s="1" t="s">
        <v>39</v>
      </c>
      <c r="Z1062" s="1" t="n">
        <v>1</v>
      </c>
      <c r="AA1062" s="1" t="str">
        <f aca="false">TRIM(PROPER(F1062))</f>
        <v>Howrah</v>
      </c>
      <c r="AB1062" s="1" t="str">
        <f aca="false">TRIM(PROPER(C1062))</f>
        <v>Byju'S</v>
      </c>
      <c r="AC1062" s="1" t="str">
        <f aca="false">IF(O1062=0,"No Discount",IF(O1062&lt;=15,"Low (1-15%)",IF(O1062&lt;=30,"Medium (16-30%)","High (&gt;30%)")))</f>
        <v>High (&gt;30%)</v>
      </c>
      <c r="AD1062" s="1" t="str">
        <f aca="false">IF(V1062&lt;0,"Loss Making",IF(V1062&lt;20,"Low Margin","Healthy Margin"))</f>
        <v>Healthy Margin</v>
      </c>
      <c r="AE1062" s="1" t="str">
        <f aca="false">TEXT(DATE(VALUE(RIGHT(B1062,4)),VALUE(MID(B1062,4,2)),VALUE(LEFT(B1062,2))),"MMM-YYYY")</f>
        <v>May-2023</v>
      </c>
      <c r="AF1062" s="1" t="n">
        <f aca="false">VALUE(RIGHT(B1062,4))</f>
        <v>2023</v>
      </c>
      <c r="AG1062" s="1" t="str">
        <f aca="false">CHOOSE(ROUNDUP(VALUE(MID(B1062,4,2))/3,0),"Q1","Q2","Q3","Q4")</f>
        <v>Q2</v>
      </c>
    </row>
    <row r="1063" customFormat="false" ht="15" hidden="false" customHeight="true" outlineLevel="0" collapsed="false">
      <c r="A1063" s="1" t="s">
        <v>1804</v>
      </c>
      <c r="B1063" s="1" t="s">
        <v>1688</v>
      </c>
      <c r="C1063" s="1" t="s">
        <v>28</v>
      </c>
      <c r="D1063" s="1" t="s">
        <v>94</v>
      </c>
      <c r="E1063" s="1" t="s">
        <v>101</v>
      </c>
      <c r="F1063" s="1" t="s">
        <v>75</v>
      </c>
      <c r="G1063" s="1" t="s">
        <v>76</v>
      </c>
      <c r="H1063" s="1" t="s">
        <v>69</v>
      </c>
      <c r="I1063" s="1" t="s">
        <v>58</v>
      </c>
      <c r="J1063" s="1" t="s">
        <v>131</v>
      </c>
      <c r="K1063" s="1" t="s">
        <v>90</v>
      </c>
      <c r="L1063" s="1" t="s">
        <v>61</v>
      </c>
      <c r="M1063" s="1" t="s">
        <v>50</v>
      </c>
      <c r="N1063" s="1" t="n">
        <v>14999</v>
      </c>
      <c r="O1063" s="1" t="n">
        <v>0</v>
      </c>
      <c r="P1063" s="1" t="n">
        <v>0</v>
      </c>
      <c r="Q1063" s="1" t="n">
        <v>14999</v>
      </c>
      <c r="R1063" s="1" t="n">
        <v>2699.82</v>
      </c>
      <c r="S1063" s="1" t="n">
        <v>12299.18</v>
      </c>
      <c r="T1063" s="1" t="n">
        <v>5467.79</v>
      </c>
      <c r="U1063" s="1" t="n">
        <v>6831.39</v>
      </c>
      <c r="V1063" s="1" t="n">
        <v>55.54</v>
      </c>
      <c r="W1063" s="1" t="s">
        <v>39</v>
      </c>
      <c r="X1063" s="1" t="n">
        <v>4</v>
      </c>
      <c r="Y1063" s="1" t="s">
        <v>40</v>
      </c>
      <c r="Z1063" s="1" t="n">
        <v>1</v>
      </c>
      <c r="AA1063" s="1" t="str">
        <f aca="false">TRIM(PROPER(F1063))</f>
        <v>Kolkata</v>
      </c>
      <c r="AB1063" s="1" t="str">
        <f aca="false">TRIM(PROPER(C1063))</f>
        <v>Embibe</v>
      </c>
      <c r="AC1063" s="1" t="str">
        <f aca="false">IF(O1063=0,"No Discount",IF(O1063&lt;=15,"Low (1-15%)",IF(O1063&lt;=30,"Medium (16-30%)","High (&gt;30%)")))</f>
        <v>No Discount</v>
      </c>
      <c r="AD1063" s="1" t="str">
        <f aca="false">IF(V1063&lt;0,"Loss Making",IF(V1063&lt;20,"Low Margin","Healthy Margin"))</f>
        <v>Healthy Margin</v>
      </c>
      <c r="AE1063" s="1" t="str">
        <f aca="false">TEXT(DATE(VALUE(RIGHT(B1063,4)),VALUE(MID(B1063,4,2)),VALUE(LEFT(B1063,2))),"MMM-YYYY")</f>
        <v>Mar-2024</v>
      </c>
      <c r="AF1063" s="1" t="n">
        <f aca="false">VALUE(RIGHT(B1063,4))</f>
        <v>2024</v>
      </c>
      <c r="AG1063" s="1" t="str">
        <f aca="false">CHOOSE(ROUNDUP(VALUE(MID(B1063,4,2))/3,0),"Q1","Q2","Q3","Q4")</f>
        <v>Q1</v>
      </c>
    </row>
    <row r="1064" customFormat="false" ht="15" hidden="false" customHeight="true" outlineLevel="0" collapsed="false">
      <c r="A1064" s="1" t="s">
        <v>1805</v>
      </c>
      <c r="B1064" s="1" t="s">
        <v>815</v>
      </c>
      <c r="C1064" s="1" t="s">
        <v>88</v>
      </c>
      <c r="D1064" s="1" t="s">
        <v>123</v>
      </c>
      <c r="E1064" s="1" t="s">
        <v>233</v>
      </c>
      <c r="F1064" s="1" t="s">
        <v>194</v>
      </c>
      <c r="G1064" s="1" t="s">
        <v>103</v>
      </c>
      <c r="H1064" s="1" t="s">
        <v>69</v>
      </c>
      <c r="I1064" s="1" t="s">
        <v>58</v>
      </c>
      <c r="J1064" s="1" t="s">
        <v>77</v>
      </c>
      <c r="K1064" s="1" t="s">
        <v>48</v>
      </c>
      <c r="L1064" s="1" t="s">
        <v>37</v>
      </c>
      <c r="M1064" s="1" t="s">
        <v>50</v>
      </c>
      <c r="N1064" s="1" t="n">
        <v>8999</v>
      </c>
      <c r="O1064" s="1" t="n">
        <v>20</v>
      </c>
      <c r="P1064" s="1" t="n">
        <v>1799.8</v>
      </c>
      <c r="Q1064" s="1" t="n">
        <v>7199.2</v>
      </c>
      <c r="R1064" s="1" t="n">
        <v>1295.86</v>
      </c>
      <c r="S1064" s="1" t="n">
        <v>5903.34</v>
      </c>
      <c r="T1064" s="1" t="n">
        <v>2169.66</v>
      </c>
      <c r="U1064" s="1" t="n">
        <v>3733.68</v>
      </c>
      <c r="V1064" s="1" t="n">
        <v>63.25</v>
      </c>
      <c r="W1064" s="1" t="s">
        <v>39</v>
      </c>
      <c r="Y1064" s="1" t="s">
        <v>40</v>
      </c>
      <c r="Z1064" s="1" t="n">
        <v>2</v>
      </c>
      <c r="AA1064" s="1" t="str">
        <f aca="false">TRIM(PROPER(F1064))</f>
        <v>Hyderabad</v>
      </c>
      <c r="AB1064" s="1" t="str">
        <f aca="false">TRIM(PROPER(C1064))</f>
        <v>Byju'S</v>
      </c>
      <c r="AC1064" s="1" t="str">
        <f aca="false">IF(O1064=0,"No Discount",IF(O1064&lt;=15,"Low (1-15%)",IF(O1064&lt;=30,"Medium (16-30%)","High (&gt;30%)")))</f>
        <v>Medium (16-30%)</v>
      </c>
      <c r="AD1064" s="1" t="str">
        <f aca="false">IF(V1064&lt;0,"Loss Making",IF(V1064&lt;20,"Low Margin","Healthy Margin"))</f>
        <v>Healthy Margin</v>
      </c>
      <c r="AE1064" s="1" t="str">
        <f aca="false">TEXT(DATE(VALUE(RIGHT(B1064,4)),VALUE(MID(B1064,4,2)),VALUE(LEFT(B1064,2))),"MMM-YYYY")</f>
        <v>Oct-2023</v>
      </c>
      <c r="AF1064" s="1" t="n">
        <f aca="false">VALUE(RIGHT(B1064,4))</f>
        <v>2023</v>
      </c>
      <c r="AG1064" s="1" t="str">
        <f aca="false">CHOOSE(ROUNDUP(VALUE(MID(B1064,4,2))/3,0),"Q1","Q2","Q3","Q4")</f>
        <v>Q4</v>
      </c>
    </row>
    <row r="1065" customFormat="false" ht="15" hidden="false" customHeight="true" outlineLevel="0" collapsed="false">
      <c r="A1065" s="1" t="s">
        <v>1806</v>
      </c>
      <c r="B1065" s="1" t="s">
        <v>425</v>
      </c>
      <c r="C1065" s="1" t="s">
        <v>128</v>
      </c>
      <c r="D1065" s="1" t="s">
        <v>53</v>
      </c>
      <c r="E1065" s="1" t="s">
        <v>116</v>
      </c>
      <c r="F1065" s="1" t="s">
        <v>46</v>
      </c>
      <c r="G1065" s="1" t="s">
        <v>47</v>
      </c>
      <c r="H1065" s="1" t="s">
        <v>33</v>
      </c>
      <c r="I1065" s="1" t="s">
        <v>83</v>
      </c>
      <c r="J1065" s="1" t="s">
        <v>131</v>
      </c>
      <c r="K1065" s="1" t="s">
        <v>90</v>
      </c>
      <c r="L1065" s="1" t="s">
        <v>49</v>
      </c>
      <c r="M1065" s="1" t="s">
        <v>62</v>
      </c>
      <c r="N1065" s="1" t="n">
        <v>9999</v>
      </c>
      <c r="O1065" s="1" t="n">
        <v>40</v>
      </c>
      <c r="P1065" s="1" t="n">
        <v>3999.6</v>
      </c>
      <c r="Q1065" s="1" t="n">
        <v>5999.4</v>
      </c>
      <c r="R1065" s="1" t="n">
        <v>1079.89</v>
      </c>
      <c r="S1065" s="1" t="n">
        <v>4919.51</v>
      </c>
      <c r="T1065" s="1" t="n">
        <v>2691.61</v>
      </c>
      <c r="U1065" s="1" t="n">
        <v>2227.9</v>
      </c>
      <c r="V1065" s="1" t="n">
        <v>45.29</v>
      </c>
      <c r="W1065" s="1" t="s">
        <v>39</v>
      </c>
      <c r="X1065" s="1" t="n">
        <v>4.1</v>
      </c>
      <c r="Y1065" s="1" t="s">
        <v>40</v>
      </c>
      <c r="Z1065" s="1" t="n">
        <v>0</v>
      </c>
      <c r="AA1065" s="1" t="str">
        <f aca="false">TRIM(PROPER(F1065))</f>
        <v>Mangaluru</v>
      </c>
      <c r="AB1065" s="1" t="str">
        <f aca="false">TRIM(PROPER(C1065))</f>
        <v>Great Learning</v>
      </c>
      <c r="AC1065" s="1" t="str">
        <f aca="false">IF(O1065=0,"No Discount",IF(O1065&lt;=15,"Low (1-15%)",IF(O1065&lt;=30,"Medium (16-30%)","High (&gt;30%)")))</f>
        <v>High (&gt;30%)</v>
      </c>
      <c r="AD1065" s="1" t="str">
        <f aca="false">IF(V1065&lt;0,"Loss Making",IF(V1065&lt;20,"Low Margin","Healthy Margin"))</f>
        <v>Healthy Margin</v>
      </c>
      <c r="AE1065" s="1" t="str">
        <f aca="false">TEXT(DATE(VALUE(RIGHT(B1065,4)),VALUE(MID(B1065,4,2)),VALUE(LEFT(B1065,2))),"MMM-YYYY")</f>
        <v>Feb-2023</v>
      </c>
      <c r="AF1065" s="1" t="n">
        <f aca="false">VALUE(RIGHT(B1065,4))</f>
        <v>2023</v>
      </c>
      <c r="AG1065" s="1" t="str">
        <f aca="false">CHOOSE(ROUNDUP(VALUE(MID(B1065,4,2))/3,0),"Q1","Q2","Q3","Q4")</f>
        <v>Q1</v>
      </c>
    </row>
    <row r="1066" customFormat="false" ht="15" hidden="false" customHeight="true" outlineLevel="0" collapsed="false">
      <c r="A1066" s="1" t="s">
        <v>1807</v>
      </c>
      <c r="B1066" s="1" t="s">
        <v>1465</v>
      </c>
      <c r="C1066" s="1" t="s">
        <v>119</v>
      </c>
      <c r="D1066" s="1" t="s">
        <v>29</v>
      </c>
      <c r="E1066" s="1" t="s">
        <v>182</v>
      </c>
      <c r="F1066" s="1" t="s">
        <v>89</v>
      </c>
      <c r="G1066" s="1" t="s">
        <v>68</v>
      </c>
      <c r="H1066" s="1" t="s">
        <v>33</v>
      </c>
      <c r="I1066" s="1" t="s">
        <v>83</v>
      </c>
      <c r="J1066" s="1" t="s">
        <v>35</v>
      </c>
      <c r="K1066" s="1" t="s">
        <v>36</v>
      </c>
      <c r="L1066" s="1" t="s">
        <v>49</v>
      </c>
      <c r="M1066" s="1" t="s">
        <v>38</v>
      </c>
      <c r="N1066" s="1" t="n">
        <v>34999</v>
      </c>
      <c r="O1066" s="1" t="n">
        <v>0</v>
      </c>
      <c r="P1066" s="1" t="n">
        <v>0</v>
      </c>
      <c r="Q1066" s="1" t="n">
        <v>34999</v>
      </c>
      <c r="R1066" s="1" t="n">
        <v>6299.82</v>
      </c>
      <c r="S1066" s="1" t="n">
        <v>28699.18</v>
      </c>
      <c r="T1066" s="1" t="n">
        <v>14456.48</v>
      </c>
      <c r="U1066" s="1" t="n">
        <v>14242.7</v>
      </c>
      <c r="V1066" s="1" t="n">
        <v>49.63</v>
      </c>
      <c r="W1066" s="1" t="s">
        <v>39</v>
      </c>
      <c r="X1066" s="1" t="n">
        <v>3.7</v>
      </c>
      <c r="Y1066" s="1" t="s">
        <v>40</v>
      </c>
      <c r="Z1066" s="1" t="n">
        <v>0</v>
      </c>
      <c r="AA1066" s="1" t="str">
        <f aca="false">TRIM(PROPER(F1066))</f>
        <v>Vadodara</v>
      </c>
      <c r="AB1066" s="1" t="str">
        <f aca="false">TRIM(PROPER(C1066))</f>
        <v>Simplilearn</v>
      </c>
      <c r="AC1066" s="1" t="str">
        <f aca="false">IF(O1066=0,"No Discount",IF(O1066&lt;=15,"Low (1-15%)",IF(O1066&lt;=30,"Medium (16-30%)","High (&gt;30%)")))</f>
        <v>No Discount</v>
      </c>
      <c r="AD1066" s="1" t="str">
        <f aca="false">IF(V1066&lt;0,"Loss Making",IF(V1066&lt;20,"Low Margin","Healthy Margin"))</f>
        <v>Healthy Margin</v>
      </c>
      <c r="AE1066" s="1" t="str">
        <f aca="false">TEXT(DATE(VALUE(RIGHT(B1066,4)),VALUE(MID(B1066,4,2)),VALUE(LEFT(B1066,2))),"MMM-YYYY")</f>
        <v>Sep-2024</v>
      </c>
      <c r="AF1066" s="1" t="n">
        <f aca="false">VALUE(RIGHT(B1066,4))</f>
        <v>2024</v>
      </c>
      <c r="AG1066" s="1" t="str">
        <f aca="false">CHOOSE(ROUNDUP(VALUE(MID(B1066,4,2))/3,0),"Q1","Q2","Q3","Q4")</f>
        <v>Q3</v>
      </c>
    </row>
    <row r="1067" customFormat="false" ht="15" hidden="false" customHeight="true" outlineLevel="0" collapsed="false">
      <c r="A1067" s="1" t="s">
        <v>1808</v>
      </c>
      <c r="B1067" s="1" t="s">
        <v>707</v>
      </c>
      <c r="C1067" s="1" t="s">
        <v>128</v>
      </c>
      <c r="D1067" s="1" t="s">
        <v>168</v>
      </c>
      <c r="E1067" s="1" t="s">
        <v>172</v>
      </c>
      <c r="F1067" s="1" t="s">
        <v>130</v>
      </c>
      <c r="G1067" s="1" t="s">
        <v>47</v>
      </c>
      <c r="H1067" s="1" t="s">
        <v>69</v>
      </c>
      <c r="I1067" s="1" t="s">
        <v>83</v>
      </c>
      <c r="J1067" s="1" t="s">
        <v>131</v>
      </c>
      <c r="K1067" s="1" t="s">
        <v>60</v>
      </c>
      <c r="L1067" s="1" t="s">
        <v>113</v>
      </c>
      <c r="M1067" s="1" t="s">
        <v>50</v>
      </c>
      <c r="N1067" s="1" t="n">
        <v>6999</v>
      </c>
      <c r="O1067" s="1" t="n">
        <v>20</v>
      </c>
      <c r="P1067" s="1" t="n">
        <v>1399.8</v>
      </c>
      <c r="Q1067" s="1" t="n">
        <v>5599.2</v>
      </c>
      <c r="R1067" s="1" t="n">
        <v>1007.86</v>
      </c>
      <c r="S1067" s="1" t="n">
        <v>4591.34</v>
      </c>
      <c r="T1067" s="1" t="n">
        <v>2103.28</v>
      </c>
      <c r="U1067" s="1" t="n">
        <v>2488.06</v>
      </c>
      <c r="V1067" s="1" t="n">
        <v>54.19</v>
      </c>
      <c r="W1067" s="1" t="s">
        <v>39</v>
      </c>
      <c r="X1067" s="1" t="n">
        <v>3</v>
      </c>
      <c r="Y1067" s="1" t="s">
        <v>40</v>
      </c>
      <c r="Z1067" s="1" t="n">
        <v>2</v>
      </c>
      <c r="AA1067" s="1" t="str">
        <f aca="false">TRIM(PROPER(F1067))</f>
        <v>Bengaluru</v>
      </c>
      <c r="AB1067" s="1" t="str">
        <f aca="false">TRIM(PROPER(C1067))</f>
        <v>Great Learning</v>
      </c>
      <c r="AC1067" s="1" t="str">
        <f aca="false">IF(O1067=0,"No Discount",IF(O1067&lt;=15,"Low (1-15%)",IF(O1067&lt;=30,"Medium (16-30%)","High (&gt;30%)")))</f>
        <v>Medium (16-30%)</v>
      </c>
      <c r="AD1067" s="1" t="str">
        <f aca="false">IF(V1067&lt;0,"Loss Making",IF(V1067&lt;20,"Low Margin","Healthy Margin"))</f>
        <v>Healthy Margin</v>
      </c>
      <c r="AE1067" s="1" t="str">
        <f aca="false">TEXT(DATE(VALUE(RIGHT(B1067,4)),VALUE(MID(B1067,4,2)),VALUE(LEFT(B1067,2))),"MMM-YYYY")</f>
        <v>Dec-2023</v>
      </c>
      <c r="AF1067" s="1" t="n">
        <f aca="false">VALUE(RIGHT(B1067,4))</f>
        <v>2023</v>
      </c>
      <c r="AG1067" s="1" t="str">
        <f aca="false">CHOOSE(ROUNDUP(VALUE(MID(B1067,4,2))/3,0),"Q1","Q2","Q3","Q4")</f>
        <v>Q4</v>
      </c>
    </row>
    <row r="1068" customFormat="false" ht="15" hidden="false" customHeight="true" outlineLevel="0" collapsed="false">
      <c r="A1068" s="1" t="s">
        <v>1809</v>
      </c>
      <c r="B1068" s="1" t="s">
        <v>1081</v>
      </c>
      <c r="C1068" s="1" t="s">
        <v>128</v>
      </c>
      <c r="D1068" s="1" t="s">
        <v>44</v>
      </c>
      <c r="E1068" s="1" t="s">
        <v>66</v>
      </c>
      <c r="F1068" s="1" t="s">
        <v>194</v>
      </c>
      <c r="G1068" s="1" t="s">
        <v>103</v>
      </c>
      <c r="H1068" s="1" t="s">
        <v>69</v>
      </c>
      <c r="I1068" s="1" t="s">
        <v>34</v>
      </c>
      <c r="J1068" s="1" t="s">
        <v>59</v>
      </c>
      <c r="K1068" s="1" t="s">
        <v>90</v>
      </c>
      <c r="L1068" s="1" t="s">
        <v>61</v>
      </c>
      <c r="M1068" s="1" t="s">
        <v>62</v>
      </c>
      <c r="N1068" s="1" t="n">
        <v>12999</v>
      </c>
      <c r="O1068" s="1" t="n">
        <v>50</v>
      </c>
      <c r="P1068" s="1" t="n">
        <v>6499.5</v>
      </c>
      <c r="Q1068" s="1" t="n">
        <v>6499.5</v>
      </c>
      <c r="R1068" s="1" t="n">
        <v>1169.91</v>
      </c>
      <c r="S1068" s="1" t="n">
        <v>5329.59</v>
      </c>
      <c r="T1068" s="1" t="n">
        <v>2234.33</v>
      </c>
      <c r="U1068" s="1" t="n">
        <v>3095.26</v>
      </c>
      <c r="V1068" s="1" t="n">
        <v>58.08</v>
      </c>
      <c r="W1068" s="1" t="s">
        <v>40</v>
      </c>
      <c r="Y1068" s="1" t="s">
        <v>39</v>
      </c>
      <c r="Z1068" s="1" t="n">
        <v>2</v>
      </c>
      <c r="AA1068" s="1" t="str">
        <f aca="false">TRIM(PROPER(F1068))</f>
        <v>Hyderabad</v>
      </c>
      <c r="AB1068" s="1" t="str">
        <f aca="false">TRIM(PROPER(C1068))</f>
        <v>Great Learning</v>
      </c>
      <c r="AC1068" s="1" t="str">
        <f aca="false">IF(O1068=0,"No Discount",IF(O1068&lt;=15,"Low (1-15%)",IF(O1068&lt;=30,"Medium (16-30%)","High (&gt;30%)")))</f>
        <v>High (&gt;30%)</v>
      </c>
      <c r="AD1068" s="1" t="str">
        <f aca="false">IF(V1068&lt;0,"Loss Making",IF(V1068&lt;20,"Low Margin","Healthy Margin"))</f>
        <v>Healthy Margin</v>
      </c>
      <c r="AE1068" s="1" t="str">
        <f aca="false">TEXT(DATE(VALUE(RIGHT(B1068,4)),VALUE(MID(B1068,4,2)),VALUE(LEFT(B1068,2))),"MMM-YYYY")</f>
        <v>Jul-2024</v>
      </c>
      <c r="AF1068" s="1" t="n">
        <f aca="false">VALUE(RIGHT(B1068,4))</f>
        <v>2024</v>
      </c>
      <c r="AG1068" s="1" t="str">
        <f aca="false">CHOOSE(ROUNDUP(VALUE(MID(B1068,4,2))/3,0),"Q1","Q2","Q3","Q4")</f>
        <v>Q3</v>
      </c>
    </row>
    <row r="1069" customFormat="false" ht="15" hidden="false" customHeight="true" outlineLevel="0" collapsed="false">
      <c r="A1069" s="1" t="s">
        <v>1810</v>
      </c>
      <c r="B1069" s="1" t="s">
        <v>362</v>
      </c>
      <c r="C1069" s="1" t="s">
        <v>1811</v>
      </c>
      <c r="D1069" s="1" t="s">
        <v>53</v>
      </c>
      <c r="E1069" s="1" t="s">
        <v>216</v>
      </c>
      <c r="F1069" s="1" t="s">
        <v>31</v>
      </c>
      <c r="G1069" s="1" t="s">
        <v>32</v>
      </c>
      <c r="H1069" s="1" t="s">
        <v>33</v>
      </c>
      <c r="I1069" s="1" t="s">
        <v>83</v>
      </c>
      <c r="J1069" s="1" t="s">
        <v>70</v>
      </c>
      <c r="K1069" s="1" t="s">
        <v>48</v>
      </c>
      <c r="L1069" s="1" t="s">
        <v>136</v>
      </c>
      <c r="M1069" s="1" t="s">
        <v>62</v>
      </c>
      <c r="N1069" s="1" t="n">
        <v>7499</v>
      </c>
      <c r="O1069" s="1" t="n">
        <v>25</v>
      </c>
      <c r="P1069" s="1" t="n">
        <v>1874.75</v>
      </c>
      <c r="Q1069" s="1" t="n">
        <v>5624.25</v>
      </c>
      <c r="R1069" s="1" t="n">
        <v>1012.37</v>
      </c>
      <c r="S1069" s="1" t="n">
        <v>4611.88</v>
      </c>
      <c r="T1069" s="1" t="n">
        <v>2281.31</v>
      </c>
      <c r="U1069" s="1" t="n">
        <v>2330.57</v>
      </c>
      <c r="V1069" s="1" t="n">
        <v>50.53</v>
      </c>
      <c r="W1069" s="1" t="s">
        <v>39</v>
      </c>
      <c r="X1069" s="1" t="n">
        <v>3.2</v>
      </c>
      <c r="Y1069" s="1" t="s">
        <v>39</v>
      </c>
      <c r="Z1069" s="1" t="n">
        <v>0</v>
      </c>
      <c r="AA1069" s="1" t="str">
        <f aca="false">TRIM(PROPER(F1069))</f>
        <v>Jodhpur</v>
      </c>
      <c r="AB1069" s="1" t="str">
        <f aca="false">TRIM(PROPER(C1069))</f>
        <v>Doubtnut</v>
      </c>
      <c r="AC1069" s="1" t="str">
        <f aca="false">IF(O1069=0,"No Discount",IF(O1069&lt;=15,"Low (1-15%)",IF(O1069&lt;=30,"Medium (16-30%)","High (&gt;30%)")))</f>
        <v>Medium (16-30%)</v>
      </c>
      <c r="AD1069" s="1" t="str">
        <f aca="false">IF(V1069&lt;0,"Loss Making",IF(V1069&lt;20,"Low Margin","Healthy Margin"))</f>
        <v>Healthy Margin</v>
      </c>
      <c r="AE1069" s="1" t="str">
        <f aca="false">TEXT(DATE(VALUE(RIGHT(B1069,4)),VALUE(MID(B1069,4,2)),VALUE(LEFT(B1069,2))),"MMM-YYYY")</f>
        <v>Aug-2024</v>
      </c>
      <c r="AF1069" s="1" t="n">
        <f aca="false">VALUE(RIGHT(B1069,4))</f>
        <v>2024</v>
      </c>
      <c r="AG1069" s="1" t="str">
        <f aca="false">CHOOSE(ROUNDUP(VALUE(MID(B1069,4,2))/3,0),"Q1","Q2","Q3","Q4")</f>
        <v>Q3</v>
      </c>
    </row>
    <row r="1070" customFormat="false" ht="15" hidden="false" customHeight="true" outlineLevel="0" collapsed="false">
      <c r="A1070" s="1" t="s">
        <v>1812</v>
      </c>
      <c r="B1070" s="1" t="s">
        <v>1408</v>
      </c>
      <c r="C1070" s="1" t="s">
        <v>119</v>
      </c>
      <c r="D1070" s="1" t="s">
        <v>168</v>
      </c>
      <c r="E1070" s="1" t="s">
        <v>169</v>
      </c>
      <c r="F1070" s="1" t="s">
        <v>89</v>
      </c>
      <c r="G1070" s="1" t="s">
        <v>68</v>
      </c>
      <c r="H1070" s="1" t="s">
        <v>33</v>
      </c>
      <c r="I1070" s="1" t="s">
        <v>83</v>
      </c>
      <c r="J1070" s="1" t="s">
        <v>35</v>
      </c>
      <c r="K1070" s="1" t="s">
        <v>71</v>
      </c>
      <c r="L1070" s="1" t="s">
        <v>49</v>
      </c>
      <c r="M1070" s="1" t="s">
        <v>50</v>
      </c>
      <c r="N1070" s="1" t="n">
        <v>4999</v>
      </c>
      <c r="O1070" s="1" t="n">
        <v>15</v>
      </c>
      <c r="P1070" s="1" t="n">
        <v>749.85</v>
      </c>
      <c r="Q1070" s="1" t="n">
        <v>4249.15</v>
      </c>
      <c r="R1070" s="1" t="n">
        <v>764.85</v>
      </c>
      <c r="S1070" s="1" t="n">
        <v>3484.3</v>
      </c>
      <c r="T1070" s="1" t="n">
        <v>1536.64</v>
      </c>
      <c r="U1070" s="1" t="n">
        <v>1947.66</v>
      </c>
      <c r="V1070" s="1" t="n">
        <v>55.9</v>
      </c>
      <c r="W1070" s="1" t="s">
        <v>39</v>
      </c>
      <c r="X1070" s="1" t="n">
        <v>2.9</v>
      </c>
      <c r="Y1070" s="1" t="s">
        <v>40</v>
      </c>
      <c r="Z1070" s="1" t="n">
        <v>1</v>
      </c>
      <c r="AA1070" s="1" t="str">
        <f aca="false">TRIM(PROPER(F1070))</f>
        <v>Vadodara</v>
      </c>
      <c r="AB1070" s="1" t="str">
        <f aca="false">TRIM(PROPER(C1070))</f>
        <v>Simplilearn</v>
      </c>
      <c r="AC1070" s="1" t="str">
        <f aca="false">IF(O1070=0,"No Discount",IF(O1070&lt;=15,"Low (1-15%)",IF(O1070&lt;=30,"Medium (16-30%)","High (&gt;30%)")))</f>
        <v>Low (1-15%)</v>
      </c>
      <c r="AD1070" s="1" t="str">
        <f aca="false">IF(V1070&lt;0,"Loss Making",IF(V1070&lt;20,"Low Margin","Healthy Margin"))</f>
        <v>Healthy Margin</v>
      </c>
      <c r="AE1070" s="1" t="str">
        <f aca="false">TEXT(DATE(VALUE(RIGHT(B1070,4)),VALUE(MID(B1070,4,2)),VALUE(LEFT(B1070,2))),"MMM-YYYY")</f>
        <v>Jun-2024</v>
      </c>
      <c r="AF1070" s="1" t="n">
        <f aca="false">VALUE(RIGHT(B1070,4))</f>
        <v>2024</v>
      </c>
      <c r="AG1070" s="1" t="str">
        <f aca="false">CHOOSE(ROUNDUP(VALUE(MID(B1070,4,2))/3,0),"Q1","Q2","Q3","Q4")</f>
        <v>Q2</v>
      </c>
    </row>
    <row r="1071" customFormat="false" ht="15" hidden="false" customHeight="true" outlineLevel="0" collapsed="false">
      <c r="A1071" s="1" t="s">
        <v>1813</v>
      </c>
      <c r="B1071" s="1" t="s">
        <v>1289</v>
      </c>
      <c r="C1071" s="1" t="s">
        <v>249</v>
      </c>
      <c r="D1071" s="1" t="s">
        <v>53</v>
      </c>
      <c r="E1071" s="1" t="s">
        <v>54</v>
      </c>
      <c r="F1071" s="1" t="s">
        <v>140</v>
      </c>
      <c r="G1071" s="1" t="s">
        <v>97</v>
      </c>
      <c r="H1071" s="1" t="s">
        <v>57</v>
      </c>
      <c r="I1071" s="1" t="s">
        <v>58</v>
      </c>
      <c r="J1071" s="1" t="s">
        <v>131</v>
      </c>
      <c r="K1071" s="1" t="s">
        <v>60</v>
      </c>
      <c r="L1071" s="1" t="s">
        <v>85</v>
      </c>
      <c r="M1071" s="1" t="s">
        <v>62</v>
      </c>
      <c r="N1071" s="1" t="n">
        <v>11999</v>
      </c>
      <c r="O1071" s="1" t="n">
        <v>5</v>
      </c>
      <c r="P1071" s="1" t="n">
        <v>599.95</v>
      </c>
      <c r="Q1071" s="1" t="n">
        <v>11399.05</v>
      </c>
      <c r="R1071" s="1" t="n">
        <v>2051.83</v>
      </c>
      <c r="S1071" s="1" t="n">
        <v>9347.22</v>
      </c>
      <c r="T1071" s="1" t="n">
        <v>4877.55</v>
      </c>
      <c r="U1071" s="1" t="n">
        <v>4469.67</v>
      </c>
      <c r="V1071" s="1" t="n">
        <v>47.82</v>
      </c>
      <c r="W1071" s="1" t="s">
        <v>40</v>
      </c>
      <c r="Y1071" s="1" t="s">
        <v>40</v>
      </c>
      <c r="Z1071" s="1" t="n">
        <v>0</v>
      </c>
      <c r="AA1071" s="1" t="str">
        <f aca="false">TRIM(PROPER(F1071))</f>
        <v>Nashik</v>
      </c>
      <c r="AB1071" s="1" t="str">
        <f aca="false">TRIM(PROPER(C1071))</f>
        <v>Whitehat Jr</v>
      </c>
      <c r="AC1071" s="1" t="str">
        <f aca="false">IF(O1071=0,"No Discount",IF(O1071&lt;=15,"Low (1-15%)",IF(O1071&lt;=30,"Medium (16-30%)","High (&gt;30%)")))</f>
        <v>Low (1-15%)</v>
      </c>
      <c r="AD1071" s="1" t="str">
        <f aca="false">IF(V1071&lt;0,"Loss Making",IF(V1071&lt;20,"Low Margin","Healthy Margin"))</f>
        <v>Healthy Margin</v>
      </c>
      <c r="AE1071" s="1" t="str">
        <f aca="false">TEXT(DATE(VALUE(RIGHT(B1071,4)),VALUE(MID(B1071,4,2)),VALUE(LEFT(B1071,2))),"MMM-YYYY")</f>
        <v>Jun-2024</v>
      </c>
      <c r="AF1071" s="1" t="n">
        <f aca="false">VALUE(RIGHT(B1071,4))</f>
        <v>2024</v>
      </c>
      <c r="AG1071" s="1" t="str">
        <f aca="false">CHOOSE(ROUNDUP(VALUE(MID(B1071,4,2))/3,0),"Q1","Q2","Q3","Q4")</f>
        <v>Q2</v>
      </c>
    </row>
    <row r="1072" customFormat="false" ht="15" hidden="false" customHeight="true" outlineLevel="0" collapsed="false">
      <c r="A1072" s="1" t="s">
        <v>1814</v>
      </c>
      <c r="B1072" s="1" t="s">
        <v>561</v>
      </c>
      <c r="C1072" s="1" t="s">
        <v>249</v>
      </c>
      <c r="D1072" s="1" t="s">
        <v>53</v>
      </c>
      <c r="E1072" s="1" t="s">
        <v>116</v>
      </c>
      <c r="F1072" s="1" t="s">
        <v>156</v>
      </c>
      <c r="G1072" s="1" t="s">
        <v>68</v>
      </c>
      <c r="H1072" s="1" t="s">
        <v>57</v>
      </c>
      <c r="I1072" s="1" t="s">
        <v>83</v>
      </c>
      <c r="J1072" s="1" t="s">
        <v>77</v>
      </c>
      <c r="K1072" s="1" t="s">
        <v>84</v>
      </c>
      <c r="L1072" s="1" t="s">
        <v>85</v>
      </c>
      <c r="M1072" s="1" t="s">
        <v>50</v>
      </c>
      <c r="N1072" s="1" t="n">
        <v>9999</v>
      </c>
      <c r="O1072" s="1" t="n">
        <v>30</v>
      </c>
      <c r="P1072" s="1" t="n">
        <v>2999.7</v>
      </c>
      <c r="Q1072" s="1" t="n">
        <v>6999.3</v>
      </c>
      <c r="R1072" s="1" t="n">
        <v>1259.87</v>
      </c>
      <c r="S1072" s="1" t="n">
        <v>5739.43</v>
      </c>
      <c r="T1072" s="1" t="n">
        <v>2618.3</v>
      </c>
      <c r="U1072" s="1" t="n">
        <v>3121.13</v>
      </c>
      <c r="V1072" s="1" t="n">
        <v>54.38</v>
      </c>
      <c r="W1072" s="1" t="s">
        <v>39</v>
      </c>
      <c r="X1072" s="1" t="n">
        <v>3.6</v>
      </c>
      <c r="Y1072" s="1" t="s">
        <v>40</v>
      </c>
      <c r="Z1072" s="1" t="n">
        <v>0</v>
      </c>
      <c r="AA1072" s="1" t="str">
        <f aca="false">TRIM(PROPER(F1072))</f>
        <v>Surat</v>
      </c>
      <c r="AB1072" s="1" t="str">
        <f aca="false">TRIM(PROPER(C1072))</f>
        <v>Whitehat Jr</v>
      </c>
      <c r="AC1072" s="1" t="str">
        <f aca="false">IF(O1072=0,"No Discount",IF(O1072&lt;=15,"Low (1-15%)",IF(O1072&lt;=30,"Medium (16-30%)","High (&gt;30%)")))</f>
        <v>Medium (16-30%)</v>
      </c>
      <c r="AD1072" s="1" t="str">
        <f aca="false">IF(V1072&lt;0,"Loss Making",IF(V1072&lt;20,"Low Margin","Healthy Margin"))</f>
        <v>Healthy Margin</v>
      </c>
      <c r="AE1072" s="1" t="str">
        <f aca="false">TEXT(DATE(VALUE(RIGHT(B1072,4)),VALUE(MID(B1072,4,2)),VALUE(LEFT(B1072,2))),"MMM-YYYY")</f>
        <v>Mar-2024</v>
      </c>
      <c r="AF1072" s="1" t="n">
        <f aca="false">VALUE(RIGHT(B1072,4))</f>
        <v>2024</v>
      </c>
      <c r="AG1072" s="1" t="str">
        <f aca="false">CHOOSE(ROUNDUP(VALUE(MID(B1072,4,2))/3,0),"Q1","Q2","Q3","Q4")</f>
        <v>Q1</v>
      </c>
    </row>
    <row r="1073" customFormat="false" ht="15" hidden="false" customHeight="true" outlineLevel="0" collapsed="false">
      <c r="A1073" s="1" t="s">
        <v>1815</v>
      </c>
      <c r="B1073" s="1" t="s">
        <v>1182</v>
      </c>
      <c r="C1073" s="1" t="s">
        <v>134</v>
      </c>
      <c r="D1073" s="1" t="s">
        <v>29</v>
      </c>
      <c r="E1073" s="1" t="s">
        <v>30</v>
      </c>
      <c r="F1073" s="1" t="s">
        <v>55</v>
      </c>
      <c r="G1073" s="1" t="s">
        <v>56</v>
      </c>
      <c r="H1073" s="1" t="s">
        <v>57</v>
      </c>
      <c r="I1073" s="1" t="s">
        <v>34</v>
      </c>
      <c r="J1073" s="1" t="s">
        <v>70</v>
      </c>
      <c r="K1073" s="1" t="s">
        <v>104</v>
      </c>
      <c r="L1073" s="1" t="s">
        <v>136</v>
      </c>
      <c r="M1073" s="1" t="s">
        <v>50</v>
      </c>
      <c r="N1073" s="1" t="n">
        <v>7999</v>
      </c>
      <c r="O1073" s="1" t="n">
        <v>25</v>
      </c>
      <c r="P1073" s="1" t="n">
        <v>1999.75</v>
      </c>
      <c r="Q1073" s="1" t="n">
        <v>5999.25</v>
      </c>
      <c r="R1073" s="1" t="n">
        <v>1079.87</v>
      </c>
      <c r="S1073" s="1" t="n">
        <v>4919.38</v>
      </c>
      <c r="T1073" s="1" t="n">
        <v>1972.41</v>
      </c>
      <c r="U1073" s="1" t="n">
        <v>2946.97</v>
      </c>
      <c r="V1073" s="1" t="n">
        <v>59.91</v>
      </c>
      <c r="W1073" s="1" t="s">
        <v>40</v>
      </c>
      <c r="Y1073" s="1" t="s">
        <v>40</v>
      </c>
      <c r="Z1073" s="1" t="n">
        <v>0</v>
      </c>
      <c r="AA1073" s="1" t="str">
        <f aca="false">TRIM(PROPER(F1073))</f>
        <v>Ghaziabad</v>
      </c>
      <c r="AB1073" s="1" t="str">
        <f aca="false">TRIM(PROPER(C1073))</f>
        <v>Doubtnut</v>
      </c>
      <c r="AC1073" s="1" t="str">
        <f aca="false">IF(O1073=0,"No Discount",IF(O1073&lt;=15,"Low (1-15%)",IF(O1073&lt;=30,"Medium (16-30%)","High (&gt;30%)")))</f>
        <v>Medium (16-30%)</v>
      </c>
      <c r="AD1073" s="1" t="str">
        <f aca="false">IF(V1073&lt;0,"Loss Making",IF(V1073&lt;20,"Low Margin","Healthy Margin"))</f>
        <v>Healthy Margin</v>
      </c>
      <c r="AE1073" s="1" t="str">
        <f aca="false">TEXT(DATE(VALUE(RIGHT(B1073,4)),VALUE(MID(B1073,4,2)),VALUE(LEFT(B1073,2))),"MMM-YYYY")</f>
        <v>Apr-2024</v>
      </c>
      <c r="AF1073" s="1" t="n">
        <f aca="false">VALUE(RIGHT(B1073,4))</f>
        <v>2024</v>
      </c>
      <c r="AG1073" s="1" t="str">
        <f aca="false">CHOOSE(ROUNDUP(VALUE(MID(B1073,4,2))/3,0),"Q1","Q2","Q3","Q4")</f>
        <v>Q2</v>
      </c>
    </row>
    <row r="1074" customFormat="false" ht="15" hidden="false" customHeight="true" outlineLevel="0" collapsed="false">
      <c r="A1074" s="1" t="s">
        <v>1816</v>
      </c>
      <c r="B1074" s="1" t="s">
        <v>1124</v>
      </c>
      <c r="C1074" s="1" t="s">
        <v>167</v>
      </c>
      <c r="D1074" s="1" t="s">
        <v>123</v>
      </c>
      <c r="E1074" s="1" t="s">
        <v>124</v>
      </c>
      <c r="F1074" s="1" t="s">
        <v>75</v>
      </c>
      <c r="G1074" s="1" t="s">
        <v>76</v>
      </c>
      <c r="H1074" s="1" t="s">
        <v>69</v>
      </c>
      <c r="I1074" s="1" t="s">
        <v>58</v>
      </c>
      <c r="J1074" s="1" t="s">
        <v>59</v>
      </c>
      <c r="K1074" s="1" t="s">
        <v>104</v>
      </c>
      <c r="L1074" s="1" t="s">
        <v>136</v>
      </c>
      <c r="M1074" s="1" t="s">
        <v>62</v>
      </c>
      <c r="N1074" s="1" t="n">
        <v>4999</v>
      </c>
      <c r="O1074" s="1" t="n">
        <v>0</v>
      </c>
      <c r="P1074" s="1" t="n">
        <v>0</v>
      </c>
      <c r="Q1074" s="1" t="n">
        <v>4999</v>
      </c>
      <c r="R1074" s="1" t="n">
        <v>899.82</v>
      </c>
      <c r="S1074" s="1" t="n">
        <v>4099.18</v>
      </c>
      <c r="T1074" s="1" t="n">
        <v>1493.07</v>
      </c>
      <c r="U1074" s="1" t="n">
        <v>2606.11</v>
      </c>
      <c r="V1074" s="1" t="n">
        <v>63.58</v>
      </c>
      <c r="W1074" s="1" t="s">
        <v>40</v>
      </c>
      <c r="Y1074" s="1" t="s">
        <v>40</v>
      </c>
      <c r="Z1074" s="1" t="n">
        <v>0</v>
      </c>
      <c r="AA1074" s="1" t="str">
        <f aca="false">TRIM(PROPER(F1074))</f>
        <v>Kolkata</v>
      </c>
      <c r="AB1074" s="1" t="str">
        <f aca="false">TRIM(PROPER(C1074))</f>
        <v>Scaler</v>
      </c>
      <c r="AC1074" s="1" t="str">
        <f aca="false">IF(O1074=0,"No Discount",IF(O1074&lt;=15,"Low (1-15%)",IF(O1074&lt;=30,"Medium (16-30%)","High (&gt;30%)")))</f>
        <v>No Discount</v>
      </c>
      <c r="AD1074" s="1" t="str">
        <f aca="false">IF(V1074&lt;0,"Loss Making",IF(V1074&lt;20,"Low Margin","Healthy Margin"))</f>
        <v>Healthy Margin</v>
      </c>
      <c r="AE1074" s="1" t="str">
        <f aca="false">TEXT(DATE(VALUE(RIGHT(B1074,4)),VALUE(MID(B1074,4,2)),VALUE(LEFT(B1074,2))),"MMM-YYYY")</f>
        <v>Mar-2024</v>
      </c>
      <c r="AF1074" s="1" t="n">
        <f aca="false">VALUE(RIGHT(B1074,4))</f>
        <v>2024</v>
      </c>
      <c r="AG1074" s="1" t="str">
        <f aca="false">CHOOSE(ROUNDUP(VALUE(MID(B1074,4,2))/3,0),"Q1","Q2","Q3","Q4")</f>
        <v>Q1</v>
      </c>
    </row>
    <row r="1075" customFormat="false" ht="15" hidden="false" customHeight="true" outlineLevel="0" collapsed="false">
      <c r="A1075" s="1" t="s">
        <v>1817</v>
      </c>
      <c r="B1075" s="1" t="s">
        <v>854</v>
      </c>
      <c r="C1075" s="1" t="s">
        <v>128</v>
      </c>
      <c r="D1075" s="1" t="s">
        <v>29</v>
      </c>
      <c r="E1075" s="1" t="s">
        <v>30</v>
      </c>
      <c r="F1075" s="1" t="s">
        <v>153</v>
      </c>
      <c r="G1075" s="1" t="s">
        <v>76</v>
      </c>
      <c r="H1075" s="1" t="s">
        <v>33</v>
      </c>
      <c r="I1075" s="1" t="s">
        <v>83</v>
      </c>
      <c r="J1075" s="1" t="s">
        <v>77</v>
      </c>
      <c r="K1075" s="1" t="s">
        <v>36</v>
      </c>
      <c r="L1075" s="1" t="s">
        <v>37</v>
      </c>
      <c r="M1075" s="1" t="s">
        <v>38</v>
      </c>
      <c r="N1075" s="1" t="n">
        <v>7999</v>
      </c>
      <c r="O1075" s="1" t="n">
        <v>15</v>
      </c>
      <c r="P1075" s="1" t="n">
        <v>1199.85</v>
      </c>
      <c r="Q1075" s="1" t="n">
        <v>6799.15</v>
      </c>
      <c r="R1075" s="1" t="n">
        <v>1223.85</v>
      </c>
      <c r="S1075" s="1" t="n">
        <v>5575.3</v>
      </c>
      <c r="T1075" s="1" t="n">
        <v>2452.41</v>
      </c>
      <c r="U1075" s="1" t="n">
        <v>3122.89</v>
      </c>
      <c r="V1075" s="1" t="n">
        <v>56.01</v>
      </c>
      <c r="W1075" s="1" t="s">
        <v>40</v>
      </c>
      <c r="Y1075" s="1" t="s">
        <v>40</v>
      </c>
      <c r="Z1075" s="1" t="n">
        <v>0</v>
      </c>
      <c r="AA1075" s="1" t="str">
        <f aca="false">TRIM(PROPER(F1075))</f>
        <v>Howrah</v>
      </c>
      <c r="AB1075" s="1" t="str">
        <f aca="false">TRIM(PROPER(C1075))</f>
        <v>Great Learning</v>
      </c>
      <c r="AC1075" s="1" t="str">
        <f aca="false">IF(O1075=0,"No Discount",IF(O1075&lt;=15,"Low (1-15%)",IF(O1075&lt;=30,"Medium (16-30%)","High (&gt;30%)")))</f>
        <v>Low (1-15%)</v>
      </c>
      <c r="AD1075" s="1" t="str">
        <f aca="false">IF(V1075&lt;0,"Loss Making",IF(V1075&lt;20,"Low Margin","Healthy Margin"))</f>
        <v>Healthy Margin</v>
      </c>
      <c r="AE1075" s="1" t="str">
        <f aca="false">TEXT(DATE(VALUE(RIGHT(B1075,4)),VALUE(MID(B1075,4,2)),VALUE(LEFT(B1075,2))),"MMM-YYYY")</f>
        <v>Apr-2024</v>
      </c>
      <c r="AF1075" s="1" t="n">
        <f aca="false">VALUE(RIGHT(B1075,4))</f>
        <v>2024</v>
      </c>
      <c r="AG1075" s="1" t="str">
        <f aca="false">CHOOSE(ROUNDUP(VALUE(MID(B1075,4,2))/3,0),"Q1","Q2","Q3","Q4")</f>
        <v>Q2</v>
      </c>
    </row>
    <row r="1076" customFormat="false" ht="15" hidden="false" customHeight="true" outlineLevel="0" collapsed="false">
      <c r="A1076" s="1" t="s">
        <v>1818</v>
      </c>
      <c r="B1076" s="1" t="s">
        <v>1819</v>
      </c>
      <c r="C1076" s="1" t="s">
        <v>178</v>
      </c>
      <c r="D1076" s="1" t="s">
        <v>53</v>
      </c>
      <c r="E1076" s="1" t="s">
        <v>54</v>
      </c>
      <c r="F1076" s="1" t="s">
        <v>107</v>
      </c>
      <c r="G1076" s="1" t="s">
        <v>108</v>
      </c>
      <c r="H1076" s="1" t="s">
        <v>33</v>
      </c>
      <c r="I1076" s="1" t="s">
        <v>34</v>
      </c>
      <c r="J1076" s="1" t="s">
        <v>70</v>
      </c>
      <c r="K1076" s="1" t="s">
        <v>60</v>
      </c>
      <c r="L1076" s="1" t="s">
        <v>49</v>
      </c>
      <c r="M1076" s="1" t="s">
        <v>38</v>
      </c>
      <c r="N1076" s="1" t="n">
        <v>11999</v>
      </c>
      <c r="O1076" s="1" t="n">
        <v>50</v>
      </c>
      <c r="P1076" s="1" t="n">
        <v>5999.5</v>
      </c>
      <c r="Q1076" s="1" t="n">
        <v>5999.5</v>
      </c>
      <c r="R1076" s="1" t="n">
        <v>1079.91</v>
      </c>
      <c r="S1076" s="1" t="n">
        <v>4919.59</v>
      </c>
      <c r="T1076" s="1" t="n">
        <v>2711.31</v>
      </c>
      <c r="U1076" s="1" t="n">
        <v>2208.28</v>
      </c>
      <c r="V1076" s="1" t="n">
        <v>44.89</v>
      </c>
      <c r="W1076" s="1" t="s">
        <v>40</v>
      </c>
      <c r="Y1076" s="1" t="s">
        <v>40</v>
      </c>
      <c r="Z1076" s="1" t="n">
        <v>0</v>
      </c>
      <c r="AA1076" s="1" t="str">
        <f aca="false">TRIM(PROPER(F1076))</f>
        <v>Madurai</v>
      </c>
      <c r="AB1076" s="1" t="str">
        <f aca="false">TRIM(PROPER(C1076))</f>
        <v>Leverage Edu</v>
      </c>
      <c r="AC1076" s="1" t="str">
        <f aca="false">IF(O1076=0,"No Discount",IF(O1076&lt;=15,"Low (1-15%)",IF(O1076&lt;=30,"Medium (16-30%)","High (&gt;30%)")))</f>
        <v>High (&gt;30%)</v>
      </c>
      <c r="AD1076" s="1" t="str">
        <f aca="false">IF(V1076&lt;0,"Loss Making",IF(V1076&lt;20,"Low Margin","Healthy Margin"))</f>
        <v>Healthy Margin</v>
      </c>
      <c r="AE1076" s="1" t="str">
        <f aca="false">TEXT(DATE(VALUE(RIGHT(B1076,4)),VALUE(MID(B1076,4,2)),VALUE(LEFT(B1076,2))),"MMM-YYYY")</f>
        <v>Sep-2023</v>
      </c>
      <c r="AF1076" s="1" t="n">
        <f aca="false">VALUE(RIGHT(B1076,4))</f>
        <v>2023</v>
      </c>
      <c r="AG1076" s="1" t="str">
        <f aca="false">CHOOSE(ROUNDUP(VALUE(MID(B1076,4,2))/3,0),"Q1","Q2","Q3","Q4")</f>
        <v>Q3</v>
      </c>
    </row>
    <row r="1077" customFormat="false" ht="15" hidden="false" customHeight="true" outlineLevel="0" collapsed="false">
      <c r="A1077" s="1" t="s">
        <v>1820</v>
      </c>
      <c r="B1077" s="1" t="s">
        <v>1266</v>
      </c>
      <c r="C1077" s="1" t="s">
        <v>134</v>
      </c>
      <c r="D1077" s="1" t="s">
        <v>94</v>
      </c>
      <c r="E1077" s="1" t="s">
        <v>135</v>
      </c>
      <c r="F1077" s="1" t="s">
        <v>187</v>
      </c>
      <c r="G1077" s="1" t="s">
        <v>97</v>
      </c>
      <c r="H1077" s="1" t="s">
        <v>69</v>
      </c>
      <c r="I1077" s="1" t="s">
        <v>34</v>
      </c>
      <c r="J1077" s="1" t="s">
        <v>77</v>
      </c>
      <c r="K1077" s="1" t="s">
        <v>48</v>
      </c>
      <c r="L1077" s="1" t="s">
        <v>136</v>
      </c>
      <c r="M1077" s="1" t="s">
        <v>62</v>
      </c>
      <c r="N1077" s="1" t="n">
        <v>9999</v>
      </c>
      <c r="O1077" s="1" t="n">
        <v>0</v>
      </c>
      <c r="P1077" s="1" t="n">
        <v>0</v>
      </c>
      <c r="Q1077" s="1" t="n">
        <v>9999</v>
      </c>
      <c r="R1077" s="1" t="n">
        <v>1799.82</v>
      </c>
      <c r="S1077" s="1" t="n">
        <v>8199.18</v>
      </c>
      <c r="T1077" s="1" t="n">
        <v>3550.12</v>
      </c>
      <c r="U1077" s="1" t="n">
        <v>4649.06</v>
      </c>
      <c r="V1077" s="1" t="n">
        <v>56.7</v>
      </c>
      <c r="W1077" s="1" t="s">
        <v>40</v>
      </c>
      <c r="Y1077" s="1" t="s">
        <v>40</v>
      </c>
      <c r="Z1077" s="1" t="n">
        <v>0</v>
      </c>
      <c r="AA1077" s="1" t="str">
        <f aca="false">TRIM(PROPER(F1077))</f>
        <v>Mumbai</v>
      </c>
      <c r="AB1077" s="1" t="str">
        <f aca="false">TRIM(PROPER(C1077))</f>
        <v>Doubtnut</v>
      </c>
      <c r="AC1077" s="1" t="str">
        <f aca="false">IF(O1077=0,"No Discount",IF(O1077&lt;=15,"Low (1-15%)",IF(O1077&lt;=30,"Medium (16-30%)","High (&gt;30%)")))</f>
        <v>No Discount</v>
      </c>
      <c r="AD1077" s="1" t="str">
        <f aca="false">IF(V1077&lt;0,"Loss Making",IF(V1077&lt;20,"Low Margin","Healthy Margin"))</f>
        <v>Healthy Margin</v>
      </c>
      <c r="AE1077" s="1" t="str">
        <f aca="false">TEXT(DATE(VALUE(RIGHT(B1077,4)),VALUE(MID(B1077,4,2)),VALUE(LEFT(B1077,2))),"MMM-YYYY")</f>
        <v>Jun-2024</v>
      </c>
      <c r="AF1077" s="1" t="n">
        <f aca="false">VALUE(RIGHT(B1077,4))</f>
        <v>2024</v>
      </c>
      <c r="AG1077" s="1" t="str">
        <f aca="false">CHOOSE(ROUNDUP(VALUE(MID(B1077,4,2))/3,0),"Q1","Q2","Q3","Q4")</f>
        <v>Q2</v>
      </c>
    </row>
    <row r="1078" customFormat="false" ht="15" hidden="false" customHeight="true" outlineLevel="0" collapsed="false">
      <c r="A1078" s="1" t="s">
        <v>1821</v>
      </c>
      <c r="B1078" s="1" t="s">
        <v>332</v>
      </c>
      <c r="C1078" s="1" t="s">
        <v>264</v>
      </c>
      <c r="D1078" s="1" t="s">
        <v>94</v>
      </c>
      <c r="E1078" s="1" t="s">
        <v>101</v>
      </c>
      <c r="F1078" s="1" t="s">
        <v>156</v>
      </c>
      <c r="G1078" s="1" t="s">
        <v>68</v>
      </c>
      <c r="H1078" s="1" t="s">
        <v>57</v>
      </c>
      <c r="I1078" s="1" t="s">
        <v>58</v>
      </c>
      <c r="J1078" s="1" t="s">
        <v>70</v>
      </c>
      <c r="K1078" s="1" t="s">
        <v>48</v>
      </c>
      <c r="L1078" s="1" t="s">
        <v>85</v>
      </c>
      <c r="M1078" s="1" t="s">
        <v>38</v>
      </c>
      <c r="N1078" s="1" t="n">
        <v>14999</v>
      </c>
      <c r="O1078" s="1" t="n">
        <v>15</v>
      </c>
      <c r="P1078" s="1" t="n">
        <v>2249.85</v>
      </c>
      <c r="Q1078" s="1" t="n">
        <v>12749.15</v>
      </c>
      <c r="R1078" s="1" t="n">
        <v>2294.85</v>
      </c>
      <c r="S1078" s="1" t="n">
        <v>10454.3</v>
      </c>
      <c r="T1078" s="1" t="n">
        <v>4072.37</v>
      </c>
      <c r="U1078" s="1" t="n">
        <v>6381.93</v>
      </c>
      <c r="V1078" s="1" t="n">
        <v>61.05</v>
      </c>
      <c r="W1078" s="1" t="s">
        <v>40</v>
      </c>
      <c r="Y1078" s="1" t="s">
        <v>40</v>
      </c>
      <c r="Z1078" s="1" t="n">
        <v>3</v>
      </c>
      <c r="AA1078" s="1" t="str">
        <f aca="false">TRIM(PROPER(F1078))</f>
        <v>Surat</v>
      </c>
      <c r="AB1078" s="1" t="str">
        <f aca="false">TRIM(PROPER(C1078))</f>
        <v>Unacademy</v>
      </c>
      <c r="AC1078" s="1" t="str">
        <f aca="false">IF(O1078=0,"No Discount",IF(O1078&lt;=15,"Low (1-15%)",IF(O1078&lt;=30,"Medium (16-30%)","High (&gt;30%)")))</f>
        <v>Low (1-15%)</v>
      </c>
      <c r="AD1078" s="1" t="str">
        <f aca="false">IF(V1078&lt;0,"Loss Making",IF(V1078&lt;20,"Low Margin","Healthy Margin"))</f>
        <v>Healthy Margin</v>
      </c>
      <c r="AE1078" s="1" t="str">
        <f aca="false">TEXT(DATE(VALUE(RIGHT(B1078,4)),VALUE(MID(B1078,4,2)),VALUE(LEFT(B1078,2))),"MMM-YYYY")</f>
        <v>Jan-2023</v>
      </c>
      <c r="AF1078" s="1" t="n">
        <f aca="false">VALUE(RIGHT(B1078,4))</f>
        <v>2023</v>
      </c>
      <c r="AG1078" s="1" t="str">
        <f aca="false">CHOOSE(ROUNDUP(VALUE(MID(B1078,4,2))/3,0),"Q1","Q2","Q3","Q4")</f>
        <v>Q1</v>
      </c>
    </row>
    <row r="1079" customFormat="false" ht="15" hidden="false" customHeight="true" outlineLevel="0" collapsed="false">
      <c r="A1079" s="1" t="s">
        <v>1822</v>
      </c>
      <c r="B1079" s="1" t="s">
        <v>460</v>
      </c>
      <c r="C1079" s="1" t="s">
        <v>28</v>
      </c>
      <c r="D1079" s="1" t="s">
        <v>29</v>
      </c>
      <c r="E1079" s="1" t="s">
        <v>30</v>
      </c>
      <c r="F1079" s="1" t="s">
        <v>102</v>
      </c>
      <c r="G1079" s="1" t="s">
        <v>103</v>
      </c>
      <c r="H1079" s="1" t="s">
        <v>33</v>
      </c>
      <c r="I1079" s="1" t="s">
        <v>34</v>
      </c>
      <c r="J1079" s="1" t="s">
        <v>35</v>
      </c>
      <c r="K1079" s="1" t="s">
        <v>60</v>
      </c>
      <c r="L1079" s="1" t="s">
        <v>61</v>
      </c>
      <c r="M1079" s="1" t="s">
        <v>38</v>
      </c>
      <c r="N1079" s="1" t="n">
        <v>7999</v>
      </c>
      <c r="O1079" s="1" t="n">
        <v>30</v>
      </c>
      <c r="P1079" s="1" t="n">
        <v>2399.7</v>
      </c>
      <c r="Q1079" s="1" t="n">
        <v>5599.3</v>
      </c>
      <c r="R1079" s="1" t="n">
        <v>1007.87</v>
      </c>
      <c r="S1079" s="1" t="n">
        <v>4591.43</v>
      </c>
      <c r="T1079" s="1" t="n">
        <v>1843.46</v>
      </c>
      <c r="U1079" s="1" t="n">
        <v>2747.97</v>
      </c>
      <c r="V1079" s="1" t="n">
        <v>59.85</v>
      </c>
      <c r="W1079" s="1" t="s">
        <v>40</v>
      </c>
      <c r="Y1079" s="1" t="s">
        <v>40</v>
      </c>
      <c r="Z1079" s="1" t="n">
        <v>1</v>
      </c>
      <c r="AA1079" s="1" t="str">
        <f aca="false">TRIM(PROPER(F1079))</f>
        <v>Warangal</v>
      </c>
      <c r="AB1079" s="1" t="str">
        <f aca="false">TRIM(PROPER(C1079))</f>
        <v>Embibe</v>
      </c>
      <c r="AC1079" s="1" t="str">
        <f aca="false">IF(O1079=0,"No Discount",IF(O1079&lt;=15,"Low (1-15%)",IF(O1079&lt;=30,"Medium (16-30%)","High (&gt;30%)")))</f>
        <v>Medium (16-30%)</v>
      </c>
      <c r="AD1079" s="1" t="str">
        <f aca="false">IF(V1079&lt;0,"Loss Making",IF(V1079&lt;20,"Low Margin","Healthy Margin"))</f>
        <v>Healthy Margin</v>
      </c>
      <c r="AE1079" s="1" t="str">
        <f aca="false">TEXT(DATE(VALUE(RIGHT(B1079,4)),VALUE(MID(B1079,4,2)),VALUE(LEFT(B1079,2))),"MMM-YYYY")</f>
        <v>Apr-2023</v>
      </c>
      <c r="AF1079" s="1" t="n">
        <f aca="false">VALUE(RIGHT(B1079,4))</f>
        <v>2023</v>
      </c>
      <c r="AG1079" s="1" t="str">
        <f aca="false">CHOOSE(ROUNDUP(VALUE(MID(B1079,4,2))/3,0),"Q1","Q2","Q3","Q4")</f>
        <v>Q2</v>
      </c>
    </row>
    <row r="1080" customFormat="false" ht="15" hidden="false" customHeight="true" outlineLevel="0" collapsed="false">
      <c r="A1080" s="1" t="s">
        <v>1823</v>
      </c>
      <c r="B1080" s="1" t="s">
        <v>868</v>
      </c>
      <c r="C1080" s="1" t="s">
        <v>88</v>
      </c>
      <c r="D1080" s="1" t="s">
        <v>29</v>
      </c>
      <c r="E1080" s="1" t="s">
        <v>129</v>
      </c>
      <c r="F1080" s="1" t="s">
        <v>184</v>
      </c>
      <c r="G1080" s="1" t="s">
        <v>56</v>
      </c>
      <c r="H1080" s="1" t="s">
        <v>57</v>
      </c>
      <c r="I1080" s="1" t="s">
        <v>34</v>
      </c>
      <c r="J1080" s="1" t="s">
        <v>35</v>
      </c>
      <c r="K1080" s="1" t="s">
        <v>112</v>
      </c>
      <c r="L1080" s="1" t="s">
        <v>37</v>
      </c>
      <c r="M1080" s="1" t="s">
        <v>50</v>
      </c>
      <c r="N1080" s="1" t="n">
        <v>29999</v>
      </c>
      <c r="O1080" s="1" t="n">
        <v>10</v>
      </c>
      <c r="P1080" s="1" t="n">
        <v>2999.9</v>
      </c>
      <c r="Q1080" s="1" t="n">
        <v>26999.1</v>
      </c>
      <c r="R1080" s="1" t="n">
        <v>4859.84</v>
      </c>
      <c r="S1080" s="1" t="n">
        <v>22139.26</v>
      </c>
      <c r="T1080" s="1" t="n">
        <v>8224.31</v>
      </c>
      <c r="U1080" s="1" t="n">
        <v>13914.95</v>
      </c>
      <c r="V1080" s="1" t="n">
        <v>62.85</v>
      </c>
      <c r="W1080" s="1" t="s">
        <v>39</v>
      </c>
      <c r="X1080" s="1" t="n">
        <v>4.5</v>
      </c>
      <c r="Y1080" s="1" t="s">
        <v>40</v>
      </c>
      <c r="Z1080" s="1" t="n">
        <v>0</v>
      </c>
      <c r="AA1080" s="1" t="str">
        <f aca="false">TRIM(PROPER(F1080))</f>
        <v>Faridabad</v>
      </c>
      <c r="AB1080" s="1" t="str">
        <f aca="false">TRIM(PROPER(C1080))</f>
        <v>Byju'S</v>
      </c>
      <c r="AC1080" s="1" t="str">
        <f aca="false">IF(O1080=0,"No Discount",IF(O1080&lt;=15,"Low (1-15%)",IF(O1080&lt;=30,"Medium (16-30%)","High (&gt;30%)")))</f>
        <v>Low (1-15%)</v>
      </c>
      <c r="AD1080" s="1" t="str">
        <f aca="false">IF(V1080&lt;0,"Loss Making",IF(V1080&lt;20,"Low Margin","Healthy Margin"))</f>
        <v>Healthy Margin</v>
      </c>
      <c r="AE1080" s="1" t="str">
        <f aca="false">TEXT(DATE(VALUE(RIGHT(B1080,4)),VALUE(MID(B1080,4,2)),VALUE(LEFT(B1080,2))),"MMM-YYYY")</f>
        <v>Mar-2024</v>
      </c>
      <c r="AF1080" s="1" t="n">
        <f aca="false">VALUE(RIGHT(B1080,4))</f>
        <v>2024</v>
      </c>
      <c r="AG1080" s="1" t="str">
        <f aca="false">CHOOSE(ROUNDUP(VALUE(MID(B1080,4,2))/3,0),"Q1","Q2","Q3","Q4")</f>
        <v>Q1</v>
      </c>
    </row>
    <row r="1081" customFormat="false" ht="15" hidden="false" customHeight="true" outlineLevel="0" collapsed="false">
      <c r="A1081" s="1" t="s">
        <v>1824</v>
      </c>
      <c r="B1081" s="1" t="s">
        <v>487</v>
      </c>
      <c r="C1081" s="1" t="s">
        <v>100</v>
      </c>
      <c r="D1081" s="1" t="s">
        <v>53</v>
      </c>
      <c r="E1081" s="1" t="s">
        <v>216</v>
      </c>
      <c r="F1081" s="1" t="s">
        <v>102</v>
      </c>
      <c r="G1081" s="1" t="s">
        <v>103</v>
      </c>
      <c r="H1081" s="1" t="s">
        <v>33</v>
      </c>
      <c r="I1081" s="1" t="s">
        <v>34</v>
      </c>
      <c r="J1081" s="1" t="s">
        <v>59</v>
      </c>
      <c r="K1081" s="1" t="s">
        <v>48</v>
      </c>
      <c r="L1081" s="1" t="s">
        <v>61</v>
      </c>
      <c r="M1081" s="1" t="s">
        <v>62</v>
      </c>
      <c r="N1081" s="1" t="n">
        <v>7499</v>
      </c>
      <c r="O1081" s="1" t="n">
        <v>25</v>
      </c>
      <c r="P1081" s="1" t="n">
        <v>1874.75</v>
      </c>
      <c r="Q1081" s="1" t="n">
        <v>5624.25</v>
      </c>
      <c r="R1081" s="1" t="n">
        <v>1012.37</v>
      </c>
      <c r="S1081" s="1" t="n">
        <v>4611.88</v>
      </c>
      <c r="T1081" s="1" t="n">
        <v>2027.08</v>
      </c>
      <c r="U1081" s="1" t="n">
        <v>2584.8</v>
      </c>
      <c r="V1081" s="1" t="n">
        <v>56.05</v>
      </c>
      <c r="W1081" s="1" t="s">
        <v>40</v>
      </c>
      <c r="Y1081" s="1" t="s">
        <v>39</v>
      </c>
      <c r="Z1081" s="1" t="n">
        <v>1</v>
      </c>
      <c r="AA1081" s="1" t="str">
        <f aca="false">TRIM(PROPER(F1081))</f>
        <v>Warangal</v>
      </c>
      <c r="AB1081" s="1" t="str">
        <f aca="false">TRIM(PROPER(C1081))</f>
        <v>Physics Wallah</v>
      </c>
      <c r="AC1081" s="1" t="str">
        <f aca="false">IF(O1081=0,"No Discount",IF(O1081&lt;=15,"Low (1-15%)",IF(O1081&lt;=30,"Medium (16-30%)","High (&gt;30%)")))</f>
        <v>Medium (16-30%)</v>
      </c>
      <c r="AD1081" s="1" t="str">
        <f aca="false">IF(V1081&lt;0,"Loss Making",IF(V1081&lt;20,"Low Margin","Healthy Margin"))</f>
        <v>Healthy Margin</v>
      </c>
      <c r="AE1081" s="1" t="str">
        <f aca="false">TEXT(DATE(VALUE(RIGHT(B1081,4)),VALUE(MID(B1081,4,2)),VALUE(LEFT(B1081,2))),"MMM-YYYY")</f>
        <v>Mar-2023</v>
      </c>
      <c r="AF1081" s="1" t="n">
        <f aca="false">VALUE(RIGHT(B1081,4))</f>
        <v>2023</v>
      </c>
      <c r="AG1081" s="1" t="str">
        <f aca="false">CHOOSE(ROUNDUP(VALUE(MID(B1081,4,2))/3,0),"Q1","Q2","Q3","Q4")</f>
        <v>Q1</v>
      </c>
    </row>
    <row r="1082" customFormat="false" ht="15" hidden="false" customHeight="true" outlineLevel="0" collapsed="false">
      <c r="A1082" s="1" t="s">
        <v>1825</v>
      </c>
      <c r="B1082" s="1" t="s">
        <v>557</v>
      </c>
      <c r="C1082" s="1" t="s">
        <v>74</v>
      </c>
      <c r="D1082" s="1" t="s">
        <v>29</v>
      </c>
      <c r="E1082" s="1" t="s">
        <v>182</v>
      </c>
      <c r="F1082" s="1" t="s">
        <v>269</v>
      </c>
      <c r="G1082" s="1" t="s">
        <v>108</v>
      </c>
      <c r="H1082" s="1" t="s">
        <v>57</v>
      </c>
      <c r="I1082" s="1" t="s">
        <v>58</v>
      </c>
      <c r="J1082" s="1" t="s">
        <v>131</v>
      </c>
      <c r="K1082" s="1" t="s">
        <v>60</v>
      </c>
      <c r="L1082" s="1" t="s">
        <v>37</v>
      </c>
      <c r="M1082" s="1" t="s">
        <v>50</v>
      </c>
      <c r="N1082" s="1" t="n">
        <v>34999</v>
      </c>
      <c r="O1082" s="1" t="n">
        <v>15</v>
      </c>
      <c r="P1082" s="1" t="n">
        <v>5249.85</v>
      </c>
      <c r="Q1082" s="1" t="n">
        <v>29749.15</v>
      </c>
      <c r="R1082" s="1" t="n">
        <v>5354.85</v>
      </c>
      <c r="S1082" s="1" t="n">
        <v>24394.3</v>
      </c>
      <c r="T1082" s="1" t="n">
        <v>11198.29</v>
      </c>
      <c r="U1082" s="1" t="n">
        <v>13196.01</v>
      </c>
      <c r="V1082" s="1" t="n">
        <v>54.09</v>
      </c>
      <c r="W1082" s="1" t="s">
        <v>39</v>
      </c>
      <c r="X1082" s="1" t="n">
        <v>4.5</v>
      </c>
      <c r="Y1082" s="1" t="s">
        <v>40</v>
      </c>
      <c r="Z1082" s="1" t="n">
        <v>0</v>
      </c>
      <c r="AA1082" s="1" t="str">
        <f aca="false">TRIM(PROPER(F1082))</f>
        <v>Coimbatore</v>
      </c>
      <c r="AB1082" s="1" t="str">
        <f aca="false">TRIM(PROPER(C1082))</f>
        <v>Vedantu</v>
      </c>
      <c r="AC1082" s="1" t="str">
        <f aca="false">IF(O1082=0,"No Discount",IF(O1082&lt;=15,"Low (1-15%)",IF(O1082&lt;=30,"Medium (16-30%)","High (&gt;30%)")))</f>
        <v>Low (1-15%)</v>
      </c>
      <c r="AD1082" s="1" t="str">
        <f aca="false">IF(V1082&lt;0,"Loss Making",IF(V1082&lt;20,"Low Margin","Healthy Margin"))</f>
        <v>Healthy Margin</v>
      </c>
      <c r="AE1082" s="1" t="str">
        <f aca="false">TEXT(DATE(VALUE(RIGHT(B1082,4)),VALUE(MID(B1082,4,2)),VALUE(LEFT(B1082,2))),"MMM-YYYY")</f>
        <v>Apr-2023</v>
      </c>
      <c r="AF1082" s="1" t="n">
        <f aca="false">VALUE(RIGHT(B1082,4))</f>
        <v>2023</v>
      </c>
      <c r="AG1082" s="1" t="str">
        <f aca="false">CHOOSE(ROUNDUP(VALUE(MID(B1082,4,2))/3,0),"Q1","Q2","Q3","Q4")</f>
        <v>Q2</v>
      </c>
    </row>
    <row r="1083" customFormat="false" ht="15" hidden="false" customHeight="true" outlineLevel="0" collapsed="false">
      <c r="A1083" s="1" t="s">
        <v>1826</v>
      </c>
      <c r="B1083" s="1" t="s">
        <v>369</v>
      </c>
      <c r="C1083" s="1" t="s">
        <v>74</v>
      </c>
      <c r="D1083" s="1" t="s">
        <v>123</v>
      </c>
      <c r="E1083" s="1" t="s">
        <v>233</v>
      </c>
      <c r="F1083" s="1" t="s">
        <v>75</v>
      </c>
      <c r="G1083" s="1" t="s">
        <v>76</v>
      </c>
      <c r="H1083" s="1" t="s">
        <v>69</v>
      </c>
      <c r="I1083" s="1" t="s">
        <v>58</v>
      </c>
      <c r="J1083" s="1" t="s">
        <v>70</v>
      </c>
      <c r="K1083" s="1" t="s">
        <v>71</v>
      </c>
      <c r="L1083" s="1" t="s">
        <v>136</v>
      </c>
      <c r="M1083" s="1" t="s">
        <v>62</v>
      </c>
      <c r="N1083" s="1" t="n">
        <v>8999</v>
      </c>
      <c r="O1083" s="1" t="n">
        <v>10</v>
      </c>
      <c r="P1083" s="1" t="n">
        <v>899.9</v>
      </c>
      <c r="Q1083" s="1" t="n">
        <v>8099.1</v>
      </c>
      <c r="R1083" s="1" t="n">
        <v>1457.84</v>
      </c>
      <c r="S1083" s="1" t="n">
        <v>6641.26</v>
      </c>
      <c r="T1083" s="1" t="n">
        <v>2424.02</v>
      </c>
      <c r="U1083" s="1" t="n">
        <v>4217.24</v>
      </c>
      <c r="V1083" s="1" t="n">
        <v>63.5</v>
      </c>
      <c r="W1083" s="1" t="s">
        <v>39</v>
      </c>
      <c r="X1083" s="1" t="n">
        <v>3.8</v>
      </c>
      <c r="Y1083" s="1" t="s">
        <v>40</v>
      </c>
      <c r="Z1083" s="1" t="n">
        <v>3</v>
      </c>
      <c r="AA1083" s="1" t="str">
        <f aca="false">TRIM(PROPER(F1083))</f>
        <v>Kolkata</v>
      </c>
      <c r="AB1083" s="1" t="str">
        <f aca="false">TRIM(PROPER(C1083))</f>
        <v>Vedantu</v>
      </c>
      <c r="AC1083" s="1" t="str">
        <f aca="false">IF(O1083=0,"No Discount",IF(O1083&lt;=15,"Low (1-15%)",IF(O1083&lt;=30,"Medium (16-30%)","High (&gt;30%)")))</f>
        <v>Low (1-15%)</v>
      </c>
      <c r="AD1083" s="1" t="str">
        <f aca="false">IF(V1083&lt;0,"Loss Making",IF(V1083&lt;20,"Low Margin","Healthy Margin"))</f>
        <v>Healthy Margin</v>
      </c>
      <c r="AE1083" s="1" t="str">
        <f aca="false">TEXT(DATE(VALUE(RIGHT(B1083,4)),VALUE(MID(B1083,4,2)),VALUE(LEFT(B1083,2))),"MMM-YYYY")</f>
        <v>Sep-2024</v>
      </c>
      <c r="AF1083" s="1" t="n">
        <f aca="false">VALUE(RIGHT(B1083,4))</f>
        <v>2024</v>
      </c>
      <c r="AG1083" s="1" t="str">
        <f aca="false">CHOOSE(ROUNDUP(VALUE(MID(B1083,4,2))/3,0),"Q1","Q2","Q3","Q4")</f>
        <v>Q3</v>
      </c>
    </row>
    <row r="1084" customFormat="false" ht="15" hidden="false" customHeight="true" outlineLevel="0" collapsed="false">
      <c r="A1084" s="1" t="s">
        <v>1827</v>
      </c>
      <c r="B1084" s="1" t="s">
        <v>255</v>
      </c>
      <c r="C1084" s="1" t="s">
        <v>167</v>
      </c>
      <c r="D1084" s="1" t="s">
        <v>143</v>
      </c>
      <c r="E1084" s="1" t="s">
        <v>210</v>
      </c>
      <c r="F1084" s="1" t="s">
        <v>187</v>
      </c>
      <c r="G1084" s="1" t="s">
        <v>97</v>
      </c>
      <c r="H1084" s="1" t="s">
        <v>69</v>
      </c>
      <c r="I1084" s="1" t="s">
        <v>34</v>
      </c>
      <c r="J1084" s="1" t="s">
        <v>77</v>
      </c>
      <c r="K1084" s="1" t="s">
        <v>90</v>
      </c>
      <c r="L1084" s="1" t="s">
        <v>49</v>
      </c>
      <c r="M1084" s="1" t="s">
        <v>50</v>
      </c>
      <c r="N1084" s="1" t="n">
        <v>18999</v>
      </c>
      <c r="O1084" s="1" t="n">
        <v>5</v>
      </c>
      <c r="P1084" s="1" t="n">
        <v>949.95</v>
      </c>
      <c r="Q1084" s="1" t="n">
        <v>18049.05</v>
      </c>
      <c r="R1084" s="1" t="n">
        <v>3248.83</v>
      </c>
      <c r="S1084" s="1" t="n">
        <v>14800.22</v>
      </c>
      <c r="T1084" s="1" t="n">
        <v>5196.52</v>
      </c>
      <c r="U1084" s="1" t="n">
        <v>9603.7</v>
      </c>
      <c r="V1084" s="1" t="n">
        <v>64.89</v>
      </c>
      <c r="W1084" s="1" t="s">
        <v>39</v>
      </c>
      <c r="X1084" s="1" t="n">
        <v>3.3</v>
      </c>
      <c r="Y1084" s="1" t="s">
        <v>40</v>
      </c>
      <c r="Z1084" s="1" t="n">
        <v>1</v>
      </c>
      <c r="AA1084" s="1" t="str">
        <f aca="false">TRIM(PROPER(F1084))</f>
        <v>Mumbai</v>
      </c>
      <c r="AB1084" s="1" t="str">
        <f aca="false">TRIM(PROPER(C1084))</f>
        <v>Scaler</v>
      </c>
      <c r="AC1084" s="1" t="str">
        <f aca="false">IF(O1084=0,"No Discount",IF(O1084&lt;=15,"Low (1-15%)",IF(O1084&lt;=30,"Medium (16-30%)","High (&gt;30%)")))</f>
        <v>Low (1-15%)</v>
      </c>
      <c r="AD1084" s="1" t="str">
        <f aca="false">IF(V1084&lt;0,"Loss Making",IF(V1084&lt;20,"Low Margin","Healthy Margin"))</f>
        <v>Healthy Margin</v>
      </c>
      <c r="AE1084" s="1" t="str">
        <f aca="false">TEXT(DATE(VALUE(RIGHT(B1084,4)),VALUE(MID(B1084,4,2)),VALUE(LEFT(B1084,2))),"MMM-YYYY")</f>
        <v>Nov-2024</v>
      </c>
      <c r="AF1084" s="1" t="n">
        <f aca="false">VALUE(RIGHT(B1084,4))</f>
        <v>2024</v>
      </c>
      <c r="AG1084" s="1" t="str">
        <f aca="false">CHOOSE(ROUNDUP(VALUE(MID(B1084,4,2))/3,0),"Q1","Q2","Q3","Q4")</f>
        <v>Q4</v>
      </c>
    </row>
    <row r="1085" customFormat="false" ht="15" hidden="false" customHeight="true" outlineLevel="0" collapsed="false">
      <c r="A1085" s="1" t="s">
        <v>1828</v>
      </c>
      <c r="B1085" s="1" t="s">
        <v>1486</v>
      </c>
      <c r="C1085" s="1" t="s">
        <v>93</v>
      </c>
      <c r="D1085" s="1" t="s">
        <v>123</v>
      </c>
      <c r="E1085" s="1" t="s">
        <v>233</v>
      </c>
      <c r="F1085" s="1" t="s">
        <v>211</v>
      </c>
      <c r="G1085" s="1" t="s">
        <v>56</v>
      </c>
      <c r="H1085" s="1" t="s">
        <v>69</v>
      </c>
      <c r="I1085" s="1" t="s">
        <v>58</v>
      </c>
      <c r="J1085" s="1" t="s">
        <v>59</v>
      </c>
      <c r="K1085" s="1" t="s">
        <v>71</v>
      </c>
      <c r="L1085" s="1" t="s">
        <v>136</v>
      </c>
      <c r="M1085" s="1" t="s">
        <v>62</v>
      </c>
      <c r="N1085" s="1" t="n">
        <v>8999</v>
      </c>
      <c r="O1085" s="1" t="n">
        <v>0</v>
      </c>
      <c r="P1085" s="1" t="n">
        <v>0</v>
      </c>
      <c r="Q1085" s="1" t="n">
        <v>8999</v>
      </c>
      <c r="R1085" s="1" t="n">
        <v>1619.82</v>
      </c>
      <c r="S1085" s="1" t="n">
        <v>7379.18</v>
      </c>
      <c r="T1085" s="1" t="n">
        <v>2544.63</v>
      </c>
      <c r="U1085" s="1" t="n">
        <v>4834.55</v>
      </c>
      <c r="V1085" s="1" t="n">
        <v>65.52</v>
      </c>
      <c r="W1085" s="1" t="s">
        <v>40</v>
      </c>
      <c r="Y1085" s="1" t="s">
        <v>40</v>
      </c>
      <c r="Z1085" s="1" t="n">
        <v>2</v>
      </c>
      <c r="AA1085" s="1" t="str">
        <f aca="false">TRIM(PROPER(F1085))</f>
        <v>Noida</v>
      </c>
      <c r="AB1085" s="1" t="str">
        <f aca="false">TRIM(PROPER(C1085))</f>
        <v>Upgrad</v>
      </c>
      <c r="AC1085" s="1" t="str">
        <f aca="false">IF(O1085=0,"No Discount",IF(O1085&lt;=15,"Low (1-15%)",IF(O1085&lt;=30,"Medium (16-30%)","High (&gt;30%)")))</f>
        <v>No Discount</v>
      </c>
      <c r="AD1085" s="1" t="str">
        <f aca="false">IF(V1085&lt;0,"Loss Making",IF(V1085&lt;20,"Low Margin","Healthy Margin"))</f>
        <v>Healthy Margin</v>
      </c>
      <c r="AE1085" s="1" t="str">
        <f aca="false">TEXT(DATE(VALUE(RIGHT(B1085,4)),VALUE(MID(B1085,4,2)),VALUE(LEFT(B1085,2))),"MMM-YYYY")</f>
        <v>Jun-2024</v>
      </c>
      <c r="AF1085" s="1" t="n">
        <f aca="false">VALUE(RIGHT(B1085,4))</f>
        <v>2024</v>
      </c>
      <c r="AG1085" s="1" t="str">
        <f aca="false">CHOOSE(ROUNDUP(VALUE(MID(B1085,4,2))/3,0),"Q1","Q2","Q3","Q4")</f>
        <v>Q2</v>
      </c>
    </row>
    <row r="1086" customFormat="false" ht="15" hidden="false" customHeight="true" outlineLevel="0" collapsed="false">
      <c r="A1086" s="1" t="s">
        <v>1829</v>
      </c>
      <c r="B1086" s="1" t="s">
        <v>1830</v>
      </c>
      <c r="C1086" s="1" t="s">
        <v>74</v>
      </c>
      <c r="D1086" s="1" t="s">
        <v>94</v>
      </c>
      <c r="E1086" s="1" t="s">
        <v>135</v>
      </c>
      <c r="F1086" s="1" t="s">
        <v>120</v>
      </c>
      <c r="G1086" s="1" t="s">
        <v>47</v>
      </c>
      <c r="H1086" s="1" t="s">
        <v>57</v>
      </c>
      <c r="I1086" s="1" t="s">
        <v>34</v>
      </c>
      <c r="J1086" s="1" t="s">
        <v>35</v>
      </c>
      <c r="K1086" s="1" t="s">
        <v>104</v>
      </c>
      <c r="L1086" s="1" t="s">
        <v>49</v>
      </c>
      <c r="M1086" s="1" t="s">
        <v>62</v>
      </c>
      <c r="N1086" s="1" t="n">
        <v>9999</v>
      </c>
      <c r="O1086" s="1" t="n">
        <v>50</v>
      </c>
      <c r="P1086" s="1" t="n">
        <v>4999.5</v>
      </c>
      <c r="Q1086" s="1" t="n">
        <v>4999.5</v>
      </c>
      <c r="R1086" s="1" t="n">
        <v>899.91</v>
      </c>
      <c r="S1086" s="1" t="n">
        <v>4099.59</v>
      </c>
      <c r="T1086" s="1" t="n">
        <v>2356.38</v>
      </c>
      <c r="U1086" s="1" t="n">
        <v>1743.21</v>
      </c>
      <c r="V1086" s="1" t="n">
        <v>42.52</v>
      </c>
      <c r="W1086" s="1" t="s">
        <v>39</v>
      </c>
      <c r="X1086" s="1" t="n">
        <v>3.7</v>
      </c>
      <c r="Y1086" s="1" t="s">
        <v>40</v>
      </c>
      <c r="Z1086" s="1" t="n">
        <v>1</v>
      </c>
      <c r="AA1086" s="1" t="str">
        <f aca="false">TRIM(PROPER(F1086))</f>
        <v>Mysuru</v>
      </c>
      <c r="AB1086" s="1" t="str">
        <f aca="false">TRIM(PROPER(C1086))</f>
        <v>Vedantu</v>
      </c>
      <c r="AC1086" s="1" t="str">
        <f aca="false">IF(O1086=0,"No Discount",IF(O1086&lt;=15,"Low (1-15%)",IF(O1086&lt;=30,"Medium (16-30%)","High (&gt;30%)")))</f>
        <v>High (&gt;30%)</v>
      </c>
      <c r="AD1086" s="1" t="str">
        <f aca="false">IF(V1086&lt;0,"Loss Making",IF(V1086&lt;20,"Low Margin","Healthy Margin"))</f>
        <v>Healthy Margin</v>
      </c>
      <c r="AE1086" s="1" t="str">
        <f aca="false">TEXT(DATE(VALUE(RIGHT(B1086,4)),VALUE(MID(B1086,4,2)),VALUE(LEFT(B1086,2))),"MMM-YYYY")</f>
        <v>Mar-2023</v>
      </c>
      <c r="AF1086" s="1" t="n">
        <f aca="false">VALUE(RIGHT(B1086,4))</f>
        <v>2023</v>
      </c>
      <c r="AG1086" s="1" t="str">
        <f aca="false">CHOOSE(ROUNDUP(VALUE(MID(B1086,4,2))/3,0),"Q1","Q2","Q3","Q4")</f>
        <v>Q1</v>
      </c>
    </row>
    <row r="1087" customFormat="false" ht="15" hidden="false" customHeight="true" outlineLevel="0" collapsed="false">
      <c r="A1087" s="1" t="s">
        <v>1831</v>
      </c>
      <c r="B1087" s="1" t="s">
        <v>1434</v>
      </c>
      <c r="C1087" s="1" t="s">
        <v>74</v>
      </c>
      <c r="D1087" s="1" t="s">
        <v>80</v>
      </c>
      <c r="E1087" s="1" t="s">
        <v>193</v>
      </c>
      <c r="F1087" s="1" t="s">
        <v>153</v>
      </c>
      <c r="G1087" s="1" t="s">
        <v>76</v>
      </c>
      <c r="H1087" s="1" t="s">
        <v>33</v>
      </c>
      <c r="I1087" s="1" t="s">
        <v>58</v>
      </c>
      <c r="J1087" s="1" t="s">
        <v>131</v>
      </c>
      <c r="K1087" s="1" t="s">
        <v>36</v>
      </c>
      <c r="L1087" s="1" t="s">
        <v>85</v>
      </c>
      <c r="M1087" s="1" t="s">
        <v>62</v>
      </c>
      <c r="N1087" s="1" t="n">
        <v>8999</v>
      </c>
      <c r="O1087" s="1" t="n">
        <v>0</v>
      </c>
      <c r="P1087" s="1" t="n">
        <v>0</v>
      </c>
      <c r="Q1087" s="1" t="n">
        <v>8999</v>
      </c>
      <c r="R1087" s="1" t="n">
        <v>1619.82</v>
      </c>
      <c r="S1087" s="1" t="n">
        <v>7379.18</v>
      </c>
      <c r="T1087" s="1" t="n">
        <v>3812.11</v>
      </c>
      <c r="U1087" s="1" t="n">
        <v>3567.07</v>
      </c>
      <c r="V1087" s="1" t="n">
        <v>48.34</v>
      </c>
      <c r="W1087" s="1" t="s">
        <v>40</v>
      </c>
      <c r="Y1087" s="1" t="s">
        <v>40</v>
      </c>
      <c r="Z1087" s="1" t="n">
        <v>2</v>
      </c>
      <c r="AA1087" s="1" t="str">
        <f aca="false">TRIM(PROPER(F1087))</f>
        <v>Howrah</v>
      </c>
      <c r="AB1087" s="1" t="str">
        <f aca="false">TRIM(PROPER(C1087))</f>
        <v>Vedantu</v>
      </c>
      <c r="AC1087" s="1" t="str">
        <f aca="false">IF(O1087=0,"No Discount",IF(O1087&lt;=15,"Low (1-15%)",IF(O1087&lt;=30,"Medium (16-30%)","High (&gt;30%)")))</f>
        <v>No Discount</v>
      </c>
      <c r="AD1087" s="1" t="str">
        <f aca="false">IF(V1087&lt;0,"Loss Making",IF(V1087&lt;20,"Low Margin","Healthy Margin"))</f>
        <v>Healthy Margin</v>
      </c>
      <c r="AE1087" s="1" t="str">
        <f aca="false">TEXT(DATE(VALUE(RIGHT(B1087,4)),VALUE(MID(B1087,4,2)),VALUE(LEFT(B1087,2))),"MMM-YYYY")</f>
        <v>Jun-2023</v>
      </c>
      <c r="AF1087" s="1" t="n">
        <f aca="false">VALUE(RIGHT(B1087,4))</f>
        <v>2023</v>
      </c>
      <c r="AG1087" s="1" t="str">
        <f aca="false">CHOOSE(ROUNDUP(VALUE(MID(B1087,4,2))/3,0),"Q1","Q2","Q3","Q4")</f>
        <v>Q2</v>
      </c>
    </row>
    <row r="1088" customFormat="false" ht="15" hidden="false" customHeight="true" outlineLevel="0" collapsed="false">
      <c r="A1088" s="1" t="s">
        <v>1832</v>
      </c>
      <c r="B1088" s="1" t="s">
        <v>142</v>
      </c>
      <c r="C1088" s="1" t="s">
        <v>134</v>
      </c>
      <c r="D1088" s="1" t="s">
        <v>143</v>
      </c>
      <c r="E1088" s="1" t="s">
        <v>243</v>
      </c>
      <c r="F1088" s="1" t="s">
        <v>194</v>
      </c>
      <c r="G1088" s="1" t="s">
        <v>103</v>
      </c>
      <c r="H1088" s="1" t="s">
        <v>69</v>
      </c>
      <c r="I1088" s="1" t="s">
        <v>58</v>
      </c>
      <c r="J1088" s="1" t="s">
        <v>77</v>
      </c>
      <c r="K1088" s="1" t="s">
        <v>48</v>
      </c>
      <c r="L1088" s="1" t="s">
        <v>49</v>
      </c>
      <c r="M1088" s="1" t="s">
        <v>50</v>
      </c>
      <c r="N1088" s="1" t="n">
        <v>22999</v>
      </c>
      <c r="O1088" s="1" t="n">
        <v>5</v>
      </c>
      <c r="P1088" s="1" t="n">
        <v>1149.95</v>
      </c>
      <c r="Q1088" s="1" t="n">
        <v>21849.05</v>
      </c>
      <c r="R1088" s="1" t="n">
        <v>3932.83</v>
      </c>
      <c r="S1088" s="1" t="n">
        <v>17916.22</v>
      </c>
      <c r="T1088" s="1" t="n">
        <v>7286.82</v>
      </c>
      <c r="U1088" s="1" t="n">
        <v>10629.4</v>
      </c>
      <c r="V1088" s="1" t="n">
        <v>59.33</v>
      </c>
      <c r="W1088" s="1" t="s">
        <v>39</v>
      </c>
      <c r="X1088" s="1" t="n">
        <v>4.1</v>
      </c>
      <c r="Y1088" s="1" t="s">
        <v>40</v>
      </c>
      <c r="Z1088" s="1" t="n">
        <v>0</v>
      </c>
      <c r="AA1088" s="1" t="str">
        <f aca="false">TRIM(PROPER(F1088))</f>
        <v>Hyderabad</v>
      </c>
      <c r="AB1088" s="1" t="str">
        <f aca="false">TRIM(PROPER(C1088))</f>
        <v>Doubtnut</v>
      </c>
      <c r="AC1088" s="1" t="str">
        <f aca="false">IF(O1088=0,"No Discount",IF(O1088&lt;=15,"Low (1-15%)",IF(O1088&lt;=30,"Medium (16-30%)","High (&gt;30%)")))</f>
        <v>Low (1-15%)</v>
      </c>
      <c r="AD1088" s="1" t="str">
        <f aca="false">IF(V1088&lt;0,"Loss Making",IF(V1088&lt;20,"Low Margin","Healthy Margin"))</f>
        <v>Healthy Margin</v>
      </c>
      <c r="AE1088" s="1" t="str">
        <f aca="false">TEXT(DATE(VALUE(RIGHT(B1088,4)),VALUE(MID(B1088,4,2)),VALUE(LEFT(B1088,2))),"MMM-YYYY")</f>
        <v>Nov-2023</v>
      </c>
      <c r="AF1088" s="1" t="n">
        <f aca="false">VALUE(RIGHT(B1088,4))</f>
        <v>2023</v>
      </c>
      <c r="AG1088" s="1" t="str">
        <f aca="false">CHOOSE(ROUNDUP(VALUE(MID(B1088,4,2))/3,0),"Q1","Q2","Q3","Q4")</f>
        <v>Q4</v>
      </c>
    </row>
    <row r="1089" customFormat="false" ht="15" hidden="false" customHeight="true" outlineLevel="0" collapsed="false">
      <c r="A1089" s="1" t="s">
        <v>1833</v>
      </c>
      <c r="B1089" s="1" t="s">
        <v>680</v>
      </c>
      <c r="C1089" s="1" t="s">
        <v>119</v>
      </c>
      <c r="D1089" s="1" t="s">
        <v>94</v>
      </c>
      <c r="E1089" s="1" t="s">
        <v>135</v>
      </c>
      <c r="F1089" s="1" t="s">
        <v>269</v>
      </c>
      <c r="G1089" s="1" t="s">
        <v>108</v>
      </c>
      <c r="H1089" s="1" t="s">
        <v>57</v>
      </c>
      <c r="I1089" s="1" t="s">
        <v>83</v>
      </c>
      <c r="J1089" s="1" t="s">
        <v>59</v>
      </c>
      <c r="K1089" s="1" t="s">
        <v>90</v>
      </c>
      <c r="L1089" s="1" t="s">
        <v>136</v>
      </c>
      <c r="M1089" s="1" t="s">
        <v>50</v>
      </c>
      <c r="N1089" s="1" t="n">
        <v>9999</v>
      </c>
      <c r="O1089" s="1" t="n">
        <v>50</v>
      </c>
      <c r="P1089" s="1" t="n">
        <v>4999.5</v>
      </c>
      <c r="Q1089" s="1" t="n">
        <v>4999.5</v>
      </c>
      <c r="R1089" s="1" t="n">
        <v>899.91</v>
      </c>
      <c r="S1089" s="1" t="n">
        <v>4099.59</v>
      </c>
      <c r="T1089" s="1" t="n">
        <v>2244.31</v>
      </c>
      <c r="U1089" s="1" t="n">
        <v>1855.28</v>
      </c>
      <c r="V1089" s="1" t="n">
        <v>45.26</v>
      </c>
      <c r="W1089" s="1" t="s">
        <v>40</v>
      </c>
      <c r="Y1089" s="1" t="s">
        <v>40</v>
      </c>
      <c r="Z1089" s="1" t="n">
        <v>1</v>
      </c>
      <c r="AA1089" s="1" t="str">
        <f aca="false">TRIM(PROPER(F1089))</f>
        <v>Coimbatore</v>
      </c>
      <c r="AB1089" s="1" t="str">
        <f aca="false">TRIM(PROPER(C1089))</f>
        <v>Simplilearn</v>
      </c>
      <c r="AC1089" s="1" t="str">
        <f aca="false">IF(O1089=0,"No Discount",IF(O1089&lt;=15,"Low (1-15%)",IF(O1089&lt;=30,"Medium (16-30%)","High (&gt;30%)")))</f>
        <v>High (&gt;30%)</v>
      </c>
      <c r="AD1089" s="1" t="str">
        <f aca="false">IF(V1089&lt;0,"Loss Making",IF(V1089&lt;20,"Low Margin","Healthy Margin"))</f>
        <v>Healthy Margin</v>
      </c>
      <c r="AE1089" s="1" t="str">
        <f aca="false">TEXT(DATE(VALUE(RIGHT(B1089,4)),VALUE(MID(B1089,4,2)),VALUE(LEFT(B1089,2))),"MMM-YYYY")</f>
        <v>May-2023</v>
      </c>
      <c r="AF1089" s="1" t="n">
        <f aca="false">VALUE(RIGHT(B1089,4))</f>
        <v>2023</v>
      </c>
      <c r="AG1089" s="1" t="str">
        <f aca="false">CHOOSE(ROUNDUP(VALUE(MID(B1089,4,2))/3,0),"Q1","Q2","Q3","Q4")</f>
        <v>Q2</v>
      </c>
    </row>
    <row r="1090" customFormat="false" ht="15" hidden="false" customHeight="true" outlineLevel="0" collapsed="false">
      <c r="A1090" s="1" t="s">
        <v>1834</v>
      </c>
      <c r="B1090" s="1" t="s">
        <v>425</v>
      </c>
      <c r="C1090" s="1" t="s">
        <v>74</v>
      </c>
      <c r="D1090" s="1" t="s">
        <v>123</v>
      </c>
      <c r="E1090" s="1" t="s">
        <v>124</v>
      </c>
      <c r="F1090" s="1" t="s">
        <v>130</v>
      </c>
      <c r="G1090" s="1" t="s">
        <v>47</v>
      </c>
      <c r="H1090" s="1" t="s">
        <v>69</v>
      </c>
      <c r="I1090" s="1" t="s">
        <v>58</v>
      </c>
      <c r="J1090" s="1" t="s">
        <v>131</v>
      </c>
      <c r="K1090" s="1" t="s">
        <v>60</v>
      </c>
      <c r="L1090" s="1" t="s">
        <v>113</v>
      </c>
      <c r="M1090" s="1" t="s">
        <v>38</v>
      </c>
      <c r="N1090" s="1" t="n">
        <v>4999</v>
      </c>
      <c r="O1090" s="1" t="n">
        <v>10</v>
      </c>
      <c r="P1090" s="1" t="n">
        <v>499.9</v>
      </c>
      <c r="Q1090" s="1" t="n">
        <v>4499.1</v>
      </c>
      <c r="R1090" s="1" t="n">
        <v>809.84</v>
      </c>
      <c r="S1090" s="1" t="n">
        <v>3689.26</v>
      </c>
      <c r="T1090" s="1" t="n">
        <v>1698.27</v>
      </c>
      <c r="U1090" s="1" t="n">
        <v>1990.99</v>
      </c>
      <c r="V1090" s="1" t="n">
        <v>53.97</v>
      </c>
      <c r="W1090" s="1" t="s">
        <v>39</v>
      </c>
      <c r="X1090" s="1" t="n">
        <v>2.8</v>
      </c>
      <c r="Y1090" s="1" t="s">
        <v>40</v>
      </c>
      <c r="Z1090" s="1" t="n">
        <v>0</v>
      </c>
      <c r="AA1090" s="1" t="str">
        <f aca="false">TRIM(PROPER(F1090))</f>
        <v>Bengaluru</v>
      </c>
      <c r="AB1090" s="1" t="str">
        <f aca="false">TRIM(PROPER(C1090))</f>
        <v>Vedantu</v>
      </c>
      <c r="AC1090" s="1" t="str">
        <f aca="false">IF(O1090=0,"No Discount",IF(O1090&lt;=15,"Low (1-15%)",IF(O1090&lt;=30,"Medium (16-30%)","High (&gt;30%)")))</f>
        <v>Low (1-15%)</v>
      </c>
      <c r="AD1090" s="1" t="str">
        <f aca="false">IF(V1090&lt;0,"Loss Making",IF(V1090&lt;20,"Low Margin","Healthy Margin"))</f>
        <v>Healthy Margin</v>
      </c>
      <c r="AE1090" s="1" t="str">
        <f aca="false">TEXT(DATE(VALUE(RIGHT(B1090,4)),VALUE(MID(B1090,4,2)),VALUE(LEFT(B1090,2))),"MMM-YYYY")</f>
        <v>Feb-2023</v>
      </c>
      <c r="AF1090" s="1" t="n">
        <f aca="false">VALUE(RIGHT(B1090,4))</f>
        <v>2023</v>
      </c>
      <c r="AG1090" s="1" t="str">
        <f aca="false">CHOOSE(ROUNDUP(VALUE(MID(B1090,4,2))/3,0),"Q1","Q2","Q3","Q4")</f>
        <v>Q1</v>
      </c>
    </row>
    <row r="1091" customFormat="false" ht="15" hidden="false" customHeight="true" outlineLevel="0" collapsed="false">
      <c r="A1091" s="1" t="s">
        <v>1835</v>
      </c>
      <c r="B1091" s="1" t="s">
        <v>692</v>
      </c>
      <c r="C1091" s="1" t="s">
        <v>134</v>
      </c>
      <c r="D1091" s="1" t="s">
        <v>29</v>
      </c>
      <c r="E1091" s="1" t="s">
        <v>182</v>
      </c>
      <c r="F1091" s="1" t="s">
        <v>75</v>
      </c>
      <c r="G1091" s="1" t="s">
        <v>76</v>
      </c>
      <c r="H1091" s="1" t="s">
        <v>69</v>
      </c>
      <c r="I1091" s="1" t="s">
        <v>83</v>
      </c>
      <c r="J1091" s="1" t="s">
        <v>35</v>
      </c>
      <c r="K1091" s="1" t="s">
        <v>90</v>
      </c>
      <c r="L1091" s="1" t="s">
        <v>37</v>
      </c>
      <c r="M1091" s="1" t="s">
        <v>50</v>
      </c>
      <c r="N1091" s="1" t="n">
        <v>34999</v>
      </c>
      <c r="O1091" s="1" t="n">
        <v>40</v>
      </c>
      <c r="P1091" s="1" t="n">
        <v>13999.6</v>
      </c>
      <c r="Q1091" s="1" t="n">
        <v>20999.4</v>
      </c>
      <c r="R1091" s="1" t="n">
        <v>3779.89</v>
      </c>
      <c r="S1091" s="1" t="n">
        <v>17219.51</v>
      </c>
      <c r="T1091" s="1" t="n">
        <v>8368.49</v>
      </c>
      <c r="U1091" s="1" t="n">
        <v>8851.02</v>
      </c>
      <c r="V1091" s="1" t="n">
        <v>51.4</v>
      </c>
      <c r="W1091" s="1" t="s">
        <v>39</v>
      </c>
      <c r="X1091" s="1" t="n">
        <v>4.3</v>
      </c>
      <c r="Y1091" s="1" t="s">
        <v>40</v>
      </c>
      <c r="Z1091" s="1" t="n">
        <v>1</v>
      </c>
      <c r="AA1091" s="1" t="str">
        <f aca="false">TRIM(PROPER(F1091))</f>
        <v>Kolkata</v>
      </c>
      <c r="AB1091" s="1" t="str">
        <f aca="false">TRIM(PROPER(C1091))</f>
        <v>Doubtnut</v>
      </c>
      <c r="AC1091" s="1" t="str">
        <f aca="false">IF(O1091=0,"No Discount",IF(O1091&lt;=15,"Low (1-15%)",IF(O1091&lt;=30,"Medium (16-30%)","High (&gt;30%)")))</f>
        <v>High (&gt;30%)</v>
      </c>
      <c r="AD1091" s="1" t="str">
        <f aca="false">IF(V1091&lt;0,"Loss Making",IF(V1091&lt;20,"Low Margin","Healthy Margin"))</f>
        <v>Healthy Margin</v>
      </c>
      <c r="AE1091" s="1" t="str">
        <f aca="false">TEXT(DATE(VALUE(RIGHT(B1091,4)),VALUE(MID(B1091,4,2)),VALUE(LEFT(B1091,2))),"MMM-YYYY")</f>
        <v>Jan-2024</v>
      </c>
      <c r="AF1091" s="1" t="n">
        <f aca="false">VALUE(RIGHT(B1091,4))</f>
        <v>2024</v>
      </c>
      <c r="AG1091" s="1" t="str">
        <f aca="false">CHOOSE(ROUNDUP(VALUE(MID(B1091,4,2))/3,0),"Q1","Q2","Q3","Q4")</f>
        <v>Q1</v>
      </c>
    </row>
    <row r="1092" customFormat="false" ht="15" hidden="false" customHeight="true" outlineLevel="0" collapsed="false">
      <c r="A1092" s="1" t="s">
        <v>1836</v>
      </c>
      <c r="B1092" s="1" t="s">
        <v>1111</v>
      </c>
      <c r="C1092" s="1" t="s">
        <v>128</v>
      </c>
      <c r="D1092" s="1" t="s">
        <v>29</v>
      </c>
      <c r="E1092" s="1" t="s">
        <v>129</v>
      </c>
      <c r="F1092" s="1" t="s">
        <v>125</v>
      </c>
      <c r="G1092" s="1" t="s">
        <v>108</v>
      </c>
      <c r="H1092" s="1" t="s">
        <v>69</v>
      </c>
      <c r="I1092" s="1" t="s">
        <v>83</v>
      </c>
      <c r="J1092" s="1" t="s">
        <v>77</v>
      </c>
      <c r="K1092" s="1" t="s">
        <v>112</v>
      </c>
      <c r="L1092" s="1" t="s">
        <v>85</v>
      </c>
      <c r="M1092" s="1" t="s">
        <v>50</v>
      </c>
      <c r="N1092" s="1" t="n">
        <v>29999</v>
      </c>
      <c r="O1092" s="1" t="n">
        <v>25</v>
      </c>
      <c r="P1092" s="1" t="n">
        <v>7499.75</v>
      </c>
      <c r="Q1092" s="1" t="n">
        <v>22499.25</v>
      </c>
      <c r="R1092" s="1" t="n">
        <v>4049.86</v>
      </c>
      <c r="S1092" s="1" t="n">
        <v>18449.39</v>
      </c>
      <c r="T1092" s="1" t="n">
        <v>5343.35</v>
      </c>
      <c r="U1092" s="1" t="n">
        <v>13106.04</v>
      </c>
      <c r="V1092" s="1" t="n">
        <v>71.04</v>
      </c>
      <c r="W1092" s="1" t="s">
        <v>40</v>
      </c>
      <c r="Y1092" s="1" t="s">
        <v>39</v>
      </c>
      <c r="Z1092" s="1" t="n">
        <v>0</v>
      </c>
      <c r="AA1092" s="1" t="str">
        <f aca="false">TRIM(PROPER(F1092))</f>
        <v>Chennai</v>
      </c>
      <c r="AB1092" s="1" t="str">
        <f aca="false">TRIM(PROPER(C1092))</f>
        <v>Great Learning</v>
      </c>
      <c r="AC1092" s="1" t="str">
        <f aca="false">IF(O1092=0,"No Discount",IF(O1092&lt;=15,"Low (1-15%)",IF(O1092&lt;=30,"Medium (16-30%)","High (&gt;30%)")))</f>
        <v>Medium (16-30%)</v>
      </c>
      <c r="AD1092" s="1" t="str">
        <f aca="false">IF(V1092&lt;0,"Loss Making",IF(V1092&lt;20,"Low Margin","Healthy Margin"))</f>
        <v>Healthy Margin</v>
      </c>
      <c r="AE1092" s="1" t="str">
        <f aca="false">TEXT(DATE(VALUE(RIGHT(B1092,4)),VALUE(MID(B1092,4,2)),VALUE(LEFT(B1092,2))),"MMM-YYYY")</f>
        <v>Dec-2024</v>
      </c>
      <c r="AF1092" s="1" t="n">
        <f aca="false">VALUE(RIGHT(B1092,4))</f>
        <v>2024</v>
      </c>
      <c r="AG1092" s="1" t="str">
        <f aca="false">CHOOSE(ROUNDUP(VALUE(MID(B1092,4,2))/3,0),"Q1","Q2","Q3","Q4")</f>
        <v>Q4</v>
      </c>
    </row>
    <row r="1093" customFormat="false" ht="15" hidden="false" customHeight="true" outlineLevel="0" collapsed="false">
      <c r="A1093" s="1" t="s">
        <v>1837</v>
      </c>
      <c r="B1093" s="1" t="s">
        <v>849</v>
      </c>
      <c r="C1093" s="1" t="s">
        <v>264</v>
      </c>
      <c r="D1093" s="1" t="s">
        <v>44</v>
      </c>
      <c r="E1093" s="1" t="s">
        <v>221</v>
      </c>
      <c r="F1093" s="1" t="s">
        <v>153</v>
      </c>
      <c r="G1093" s="1" t="s">
        <v>76</v>
      </c>
      <c r="H1093" s="1" t="s">
        <v>33</v>
      </c>
      <c r="I1093" s="1" t="s">
        <v>34</v>
      </c>
      <c r="J1093" s="1" t="s">
        <v>59</v>
      </c>
      <c r="K1093" s="1" t="s">
        <v>48</v>
      </c>
      <c r="L1093" s="1" t="s">
        <v>113</v>
      </c>
      <c r="M1093" s="1" t="s">
        <v>38</v>
      </c>
      <c r="N1093" s="1" t="n">
        <v>16999</v>
      </c>
      <c r="O1093" s="1" t="n">
        <v>10</v>
      </c>
      <c r="P1093" s="1" t="n">
        <v>1699.9</v>
      </c>
      <c r="Q1093" s="1" t="n">
        <v>15299.1</v>
      </c>
      <c r="R1093" s="1" t="n">
        <v>2753.84</v>
      </c>
      <c r="S1093" s="1" t="n">
        <v>12545.26</v>
      </c>
      <c r="T1093" s="1" t="n">
        <v>6997.27</v>
      </c>
      <c r="U1093" s="1" t="n">
        <v>5547.99</v>
      </c>
      <c r="V1093" s="1" t="n">
        <v>44.22</v>
      </c>
      <c r="W1093" s="1" t="s">
        <v>40</v>
      </c>
      <c r="Y1093" s="1" t="s">
        <v>40</v>
      </c>
      <c r="Z1093" s="1" t="n">
        <v>0</v>
      </c>
      <c r="AA1093" s="1" t="str">
        <f aca="false">TRIM(PROPER(F1093))</f>
        <v>Howrah</v>
      </c>
      <c r="AB1093" s="1" t="str">
        <f aca="false">TRIM(PROPER(C1093))</f>
        <v>Unacademy</v>
      </c>
      <c r="AC1093" s="1" t="str">
        <f aca="false">IF(O1093=0,"No Discount",IF(O1093&lt;=15,"Low (1-15%)",IF(O1093&lt;=30,"Medium (16-30%)","High (&gt;30%)")))</f>
        <v>Low (1-15%)</v>
      </c>
      <c r="AD1093" s="1" t="str">
        <f aca="false">IF(V1093&lt;0,"Loss Making",IF(V1093&lt;20,"Low Margin","Healthy Margin"))</f>
        <v>Healthy Margin</v>
      </c>
      <c r="AE1093" s="1" t="str">
        <f aca="false">TEXT(DATE(VALUE(RIGHT(B1093,4)),VALUE(MID(B1093,4,2)),VALUE(LEFT(B1093,2))),"MMM-YYYY")</f>
        <v>Apr-2024</v>
      </c>
      <c r="AF1093" s="1" t="n">
        <f aca="false">VALUE(RIGHT(B1093,4))</f>
        <v>2024</v>
      </c>
      <c r="AG1093" s="1" t="str">
        <f aca="false">CHOOSE(ROUNDUP(VALUE(MID(B1093,4,2))/3,0),"Q1","Q2","Q3","Q4")</f>
        <v>Q2</v>
      </c>
    </row>
    <row r="1094" customFormat="false" ht="15" hidden="false" customHeight="true" outlineLevel="0" collapsed="false">
      <c r="A1094" s="1" t="s">
        <v>1838</v>
      </c>
      <c r="B1094" s="1" t="s">
        <v>1018</v>
      </c>
      <c r="C1094" s="1" t="s">
        <v>134</v>
      </c>
      <c r="D1094" s="1" t="s">
        <v>29</v>
      </c>
      <c r="E1094" s="1" t="s">
        <v>305</v>
      </c>
      <c r="F1094" s="1" t="s">
        <v>96</v>
      </c>
      <c r="G1094" s="1" t="s">
        <v>97</v>
      </c>
      <c r="H1094" s="1" t="s">
        <v>69</v>
      </c>
      <c r="I1094" s="1" t="s">
        <v>34</v>
      </c>
      <c r="J1094" s="1" t="s">
        <v>77</v>
      </c>
      <c r="K1094" s="1" t="s">
        <v>90</v>
      </c>
      <c r="L1094" s="1" t="s">
        <v>113</v>
      </c>
      <c r="M1094" s="1" t="s">
        <v>62</v>
      </c>
      <c r="N1094" s="1" t="n">
        <v>24999</v>
      </c>
      <c r="O1094" s="1" t="n">
        <v>10</v>
      </c>
      <c r="P1094" s="1" t="n">
        <v>2499.9</v>
      </c>
      <c r="Q1094" s="1" t="n">
        <v>22499.1</v>
      </c>
      <c r="R1094" s="1" t="n">
        <v>4049.84</v>
      </c>
      <c r="S1094" s="1" t="n">
        <v>18449.26</v>
      </c>
      <c r="T1094" s="1" t="n">
        <v>7063.81</v>
      </c>
      <c r="U1094" s="1" t="n">
        <v>11385.45</v>
      </c>
      <c r="V1094" s="1" t="n">
        <v>61.71</v>
      </c>
      <c r="W1094" s="1" t="s">
        <v>40</v>
      </c>
      <c r="Y1094" s="1" t="s">
        <v>40</v>
      </c>
      <c r="Z1094" s="1" t="n">
        <v>1</v>
      </c>
      <c r="AA1094" s="1" t="str">
        <f aca="false">TRIM(PROPER(F1094))</f>
        <v>Pune</v>
      </c>
      <c r="AB1094" s="1" t="str">
        <f aca="false">TRIM(PROPER(C1094))</f>
        <v>Doubtnut</v>
      </c>
      <c r="AC1094" s="1" t="str">
        <f aca="false">IF(O1094=0,"No Discount",IF(O1094&lt;=15,"Low (1-15%)",IF(O1094&lt;=30,"Medium (16-30%)","High (&gt;30%)")))</f>
        <v>Low (1-15%)</v>
      </c>
      <c r="AD1094" s="1" t="str">
        <f aca="false">IF(V1094&lt;0,"Loss Making",IF(V1094&lt;20,"Low Margin","Healthy Margin"))</f>
        <v>Healthy Margin</v>
      </c>
      <c r="AE1094" s="1" t="str">
        <f aca="false">TEXT(DATE(VALUE(RIGHT(B1094,4)),VALUE(MID(B1094,4,2)),VALUE(LEFT(B1094,2))),"MMM-YYYY")</f>
        <v>Dec-2023</v>
      </c>
      <c r="AF1094" s="1" t="n">
        <f aca="false">VALUE(RIGHT(B1094,4))</f>
        <v>2023</v>
      </c>
      <c r="AG1094" s="1" t="str">
        <f aca="false">CHOOSE(ROUNDUP(VALUE(MID(B1094,4,2))/3,0),"Q1","Q2","Q3","Q4")</f>
        <v>Q4</v>
      </c>
    </row>
    <row r="1095" customFormat="false" ht="15" hidden="false" customHeight="true" outlineLevel="0" collapsed="false">
      <c r="A1095" s="1" t="s">
        <v>1839</v>
      </c>
      <c r="B1095" s="1" t="s">
        <v>385</v>
      </c>
      <c r="C1095" s="1" t="s">
        <v>128</v>
      </c>
      <c r="D1095" s="1" t="s">
        <v>94</v>
      </c>
      <c r="E1095" s="1" t="s">
        <v>135</v>
      </c>
      <c r="F1095" s="1" t="s">
        <v>55</v>
      </c>
      <c r="G1095" s="1" t="s">
        <v>56</v>
      </c>
      <c r="H1095" s="1" t="s">
        <v>57</v>
      </c>
      <c r="I1095" s="1" t="s">
        <v>34</v>
      </c>
      <c r="J1095" s="1" t="s">
        <v>70</v>
      </c>
      <c r="K1095" s="1" t="s">
        <v>48</v>
      </c>
      <c r="L1095" s="1" t="s">
        <v>37</v>
      </c>
      <c r="M1095" s="1" t="s">
        <v>62</v>
      </c>
      <c r="N1095" s="1" t="n">
        <v>9999</v>
      </c>
      <c r="O1095" s="1" t="n">
        <v>40</v>
      </c>
      <c r="P1095" s="1" t="n">
        <v>3999.6</v>
      </c>
      <c r="Q1095" s="1" t="n">
        <v>5999.4</v>
      </c>
      <c r="R1095" s="1" t="n">
        <v>1079.89</v>
      </c>
      <c r="S1095" s="1" t="n">
        <v>4919.51</v>
      </c>
      <c r="T1095" s="1" t="n">
        <v>3117.38</v>
      </c>
      <c r="U1095" s="1" t="n">
        <v>1802.13</v>
      </c>
      <c r="V1095" s="1" t="n">
        <v>36.63</v>
      </c>
      <c r="W1095" s="1" t="s">
        <v>39</v>
      </c>
      <c r="Y1095" s="1" t="s">
        <v>40</v>
      </c>
      <c r="Z1095" s="1" t="n">
        <v>0</v>
      </c>
      <c r="AA1095" s="1" t="str">
        <f aca="false">TRIM(PROPER(F1095))</f>
        <v>Ghaziabad</v>
      </c>
      <c r="AB1095" s="1" t="str">
        <f aca="false">TRIM(PROPER(C1095))</f>
        <v>Great Learning</v>
      </c>
      <c r="AC1095" s="1" t="str">
        <f aca="false">IF(O1095=0,"No Discount",IF(O1095&lt;=15,"Low (1-15%)",IF(O1095&lt;=30,"Medium (16-30%)","High (&gt;30%)")))</f>
        <v>High (&gt;30%)</v>
      </c>
      <c r="AD1095" s="1" t="str">
        <f aca="false">IF(V1095&lt;0,"Loss Making",IF(V1095&lt;20,"Low Margin","Healthy Margin"))</f>
        <v>Healthy Margin</v>
      </c>
      <c r="AE1095" s="1" t="str">
        <f aca="false">TEXT(DATE(VALUE(RIGHT(B1095,4)),VALUE(MID(B1095,4,2)),VALUE(LEFT(B1095,2))),"MMM-YYYY")</f>
        <v>Jul-2023</v>
      </c>
      <c r="AF1095" s="1" t="n">
        <f aca="false">VALUE(RIGHT(B1095,4))</f>
        <v>2023</v>
      </c>
      <c r="AG1095" s="1" t="str">
        <f aca="false">CHOOSE(ROUNDUP(VALUE(MID(B1095,4,2))/3,0),"Q1","Q2","Q3","Q4")</f>
        <v>Q3</v>
      </c>
    </row>
    <row r="1096" customFormat="false" ht="15" hidden="false" customHeight="true" outlineLevel="0" collapsed="false">
      <c r="A1096" s="1" t="s">
        <v>1840</v>
      </c>
      <c r="B1096" s="1" t="s">
        <v>1350</v>
      </c>
      <c r="C1096" s="1" t="s">
        <v>128</v>
      </c>
      <c r="D1096" s="1" t="s">
        <v>143</v>
      </c>
      <c r="E1096" s="1" t="s">
        <v>162</v>
      </c>
      <c r="F1096" s="1" t="s">
        <v>156</v>
      </c>
      <c r="G1096" s="1" t="s">
        <v>68</v>
      </c>
      <c r="H1096" s="1" t="s">
        <v>57</v>
      </c>
      <c r="I1096" s="1" t="s">
        <v>34</v>
      </c>
      <c r="J1096" s="1" t="s">
        <v>70</v>
      </c>
      <c r="K1096" s="1" t="s">
        <v>112</v>
      </c>
      <c r="L1096" s="1" t="s">
        <v>113</v>
      </c>
      <c r="M1096" s="1" t="s">
        <v>62</v>
      </c>
      <c r="N1096" s="1" t="n">
        <v>14999</v>
      </c>
      <c r="O1096" s="1" t="n">
        <v>15</v>
      </c>
      <c r="P1096" s="1" t="n">
        <v>2249.85</v>
      </c>
      <c r="Q1096" s="1" t="n">
        <v>12749.15</v>
      </c>
      <c r="R1096" s="1" t="n">
        <v>2294.85</v>
      </c>
      <c r="S1096" s="1" t="n">
        <v>10454.3</v>
      </c>
      <c r="T1096" s="1" t="n">
        <v>5251.9</v>
      </c>
      <c r="U1096" s="1" t="n">
        <v>5202.4</v>
      </c>
      <c r="V1096" s="1" t="n">
        <v>49.76</v>
      </c>
      <c r="W1096" s="1" t="s">
        <v>39</v>
      </c>
      <c r="X1096" s="1" t="n">
        <v>3.7</v>
      </c>
      <c r="Y1096" s="1" t="s">
        <v>40</v>
      </c>
      <c r="Z1096" s="1" t="n">
        <v>0</v>
      </c>
      <c r="AA1096" s="1" t="str">
        <f aca="false">TRIM(PROPER(F1096))</f>
        <v>Surat</v>
      </c>
      <c r="AB1096" s="1" t="str">
        <f aca="false">TRIM(PROPER(C1096))</f>
        <v>Great Learning</v>
      </c>
      <c r="AC1096" s="1" t="str">
        <f aca="false">IF(O1096=0,"No Discount",IF(O1096&lt;=15,"Low (1-15%)",IF(O1096&lt;=30,"Medium (16-30%)","High (&gt;30%)")))</f>
        <v>Low (1-15%)</v>
      </c>
      <c r="AD1096" s="1" t="str">
        <f aca="false">IF(V1096&lt;0,"Loss Making",IF(V1096&lt;20,"Low Margin","Healthy Margin"))</f>
        <v>Healthy Margin</v>
      </c>
      <c r="AE1096" s="1" t="str">
        <f aca="false">TEXT(DATE(VALUE(RIGHT(B1096,4)),VALUE(MID(B1096,4,2)),VALUE(LEFT(B1096,2))),"MMM-YYYY")</f>
        <v>Mar-2024</v>
      </c>
      <c r="AF1096" s="1" t="n">
        <f aca="false">VALUE(RIGHT(B1096,4))</f>
        <v>2024</v>
      </c>
      <c r="AG1096" s="1" t="str">
        <f aca="false">CHOOSE(ROUNDUP(VALUE(MID(B1096,4,2))/3,0),"Q1","Q2","Q3","Q4")</f>
        <v>Q1</v>
      </c>
    </row>
    <row r="1097" customFormat="false" ht="15" hidden="false" customHeight="true" outlineLevel="0" collapsed="false">
      <c r="A1097" s="1" t="s">
        <v>1841</v>
      </c>
      <c r="B1097" s="1" t="s">
        <v>1333</v>
      </c>
      <c r="C1097" s="1" t="s">
        <v>93</v>
      </c>
      <c r="D1097" s="1" t="s">
        <v>168</v>
      </c>
      <c r="E1097" s="1" t="s">
        <v>328</v>
      </c>
      <c r="F1097" s="1" t="s">
        <v>1842</v>
      </c>
      <c r="G1097" s="1" t="s">
        <v>76</v>
      </c>
      <c r="H1097" s="1" t="s">
        <v>33</v>
      </c>
      <c r="I1097" s="1" t="s">
        <v>58</v>
      </c>
      <c r="J1097" s="1" t="s">
        <v>131</v>
      </c>
      <c r="K1097" s="1" t="s">
        <v>60</v>
      </c>
      <c r="L1097" s="1" t="s">
        <v>85</v>
      </c>
      <c r="M1097" s="1" t="s">
        <v>62</v>
      </c>
      <c r="N1097" s="1" t="n">
        <v>8999</v>
      </c>
      <c r="O1097" s="1" t="n">
        <v>25</v>
      </c>
      <c r="P1097" s="1" t="n">
        <v>2249.75</v>
      </c>
      <c r="Q1097" s="1" t="n">
        <v>6749.25</v>
      </c>
      <c r="R1097" s="1" t="n">
        <v>1214.87</v>
      </c>
      <c r="S1097" s="1" t="n">
        <v>5534.38</v>
      </c>
      <c r="T1097" s="1" t="n">
        <v>2445.77</v>
      </c>
      <c r="U1097" s="1" t="n">
        <v>3088.61</v>
      </c>
      <c r="V1097" s="1" t="n">
        <v>55.81</v>
      </c>
      <c r="W1097" s="1" t="s">
        <v>39</v>
      </c>
      <c r="X1097" s="1" t="n">
        <v>3.2</v>
      </c>
      <c r="Y1097" s="1" t="s">
        <v>40</v>
      </c>
      <c r="Z1097" s="1" t="n">
        <v>1</v>
      </c>
      <c r="AA1097" s="1" t="str">
        <f aca="false">TRIM(PROPER(F1097))</f>
        <v>Howrah</v>
      </c>
      <c r="AB1097" s="1" t="str">
        <f aca="false">TRIM(PROPER(C1097))</f>
        <v>Upgrad</v>
      </c>
      <c r="AC1097" s="1" t="str">
        <f aca="false">IF(O1097=0,"No Discount",IF(O1097&lt;=15,"Low (1-15%)",IF(O1097&lt;=30,"Medium (16-30%)","High (&gt;30%)")))</f>
        <v>Medium (16-30%)</v>
      </c>
      <c r="AD1097" s="1" t="str">
        <f aca="false">IF(V1097&lt;0,"Loss Making",IF(V1097&lt;20,"Low Margin","Healthy Margin"))</f>
        <v>Healthy Margin</v>
      </c>
      <c r="AE1097" s="1" t="str">
        <f aca="false">TEXT(DATE(VALUE(RIGHT(B1097,4)),VALUE(MID(B1097,4,2)),VALUE(LEFT(B1097,2))),"MMM-YYYY")</f>
        <v>Oct-2023</v>
      </c>
      <c r="AF1097" s="1" t="n">
        <f aca="false">VALUE(RIGHT(B1097,4))</f>
        <v>2023</v>
      </c>
      <c r="AG1097" s="1" t="str">
        <f aca="false">CHOOSE(ROUNDUP(VALUE(MID(B1097,4,2))/3,0),"Q1","Q2","Q3","Q4")</f>
        <v>Q4</v>
      </c>
    </row>
    <row r="1098" customFormat="false" ht="15" hidden="false" customHeight="true" outlineLevel="0" collapsed="false">
      <c r="A1098" s="1" t="s">
        <v>1843</v>
      </c>
      <c r="B1098" s="1" t="s">
        <v>819</v>
      </c>
      <c r="C1098" s="1" t="s">
        <v>43</v>
      </c>
      <c r="D1098" s="1" t="s">
        <v>80</v>
      </c>
      <c r="E1098" s="1" t="s">
        <v>175</v>
      </c>
      <c r="F1098" s="1" t="s">
        <v>130</v>
      </c>
      <c r="G1098" s="1" t="s">
        <v>47</v>
      </c>
      <c r="H1098" s="1" t="s">
        <v>69</v>
      </c>
      <c r="I1098" s="1" t="s">
        <v>34</v>
      </c>
      <c r="J1098" s="1" t="s">
        <v>35</v>
      </c>
      <c r="K1098" s="1" t="s">
        <v>48</v>
      </c>
      <c r="L1098" s="1" t="s">
        <v>113</v>
      </c>
      <c r="M1098" s="1" t="s">
        <v>62</v>
      </c>
      <c r="N1098" s="1" t="n">
        <v>19999</v>
      </c>
      <c r="O1098" s="1" t="n">
        <v>10</v>
      </c>
      <c r="P1098" s="1" t="n">
        <v>1999.9</v>
      </c>
      <c r="Q1098" s="1" t="n">
        <v>17999.1</v>
      </c>
      <c r="R1098" s="1" t="n">
        <v>3239.84</v>
      </c>
      <c r="S1098" s="1" t="n">
        <v>14759.26</v>
      </c>
      <c r="T1098" s="1" t="n">
        <v>5649.36</v>
      </c>
      <c r="U1098" s="1" t="n">
        <v>9109.9</v>
      </c>
      <c r="V1098" s="1" t="n">
        <v>61.72</v>
      </c>
      <c r="W1098" s="1" t="s">
        <v>40</v>
      </c>
      <c r="Y1098" s="1" t="s">
        <v>40</v>
      </c>
      <c r="Z1098" s="1" t="n">
        <v>0</v>
      </c>
      <c r="AA1098" s="1" t="str">
        <f aca="false">TRIM(PROPER(F1098))</f>
        <v>Bengaluru</v>
      </c>
      <c r="AB1098" s="1" t="str">
        <f aca="false">TRIM(PROPER(C1098))</f>
        <v>Meritnation</v>
      </c>
      <c r="AC1098" s="1" t="str">
        <f aca="false">IF(O1098=0,"No Discount",IF(O1098&lt;=15,"Low (1-15%)",IF(O1098&lt;=30,"Medium (16-30%)","High (&gt;30%)")))</f>
        <v>Low (1-15%)</v>
      </c>
      <c r="AD1098" s="1" t="str">
        <f aca="false">IF(V1098&lt;0,"Loss Making",IF(V1098&lt;20,"Low Margin","Healthy Margin"))</f>
        <v>Healthy Margin</v>
      </c>
      <c r="AE1098" s="1" t="str">
        <f aca="false">TEXT(DATE(VALUE(RIGHT(B1098,4)),VALUE(MID(B1098,4,2)),VALUE(LEFT(B1098,2))),"MMM-YYYY")</f>
        <v>Mar-2023</v>
      </c>
      <c r="AF1098" s="1" t="n">
        <f aca="false">VALUE(RIGHT(B1098,4))</f>
        <v>2023</v>
      </c>
      <c r="AG1098" s="1" t="str">
        <f aca="false">CHOOSE(ROUNDUP(VALUE(MID(B1098,4,2))/3,0),"Q1","Q2","Q3","Q4")</f>
        <v>Q1</v>
      </c>
    </row>
    <row r="1099" customFormat="false" ht="15" hidden="false" customHeight="true" outlineLevel="0" collapsed="false">
      <c r="A1099" s="1" t="s">
        <v>1844</v>
      </c>
      <c r="B1099" s="1" t="s">
        <v>1845</v>
      </c>
      <c r="C1099" s="1" t="s">
        <v>249</v>
      </c>
      <c r="D1099" s="1" t="s">
        <v>44</v>
      </c>
      <c r="E1099" s="1" t="s">
        <v>221</v>
      </c>
      <c r="F1099" s="1" t="s">
        <v>102</v>
      </c>
      <c r="G1099" s="1" t="s">
        <v>103</v>
      </c>
      <c r="H1099" s="1" t="s">
        <v>33</v>
      </c>
      <c r="I1099" s="1" t="s">
        <v>83</v>
      </c>
      <c r="J1099" s="1" t="s">
        <v>59</v>
      </c>
      <c r="K1099" s="1" t="s">
        <v>60</v>
      </c>
      <c r="L1099" s="1" t="s">
        <v>61</v>
      </c>
      <c r="M1099" s="1" t="s">
        <v>62</v>
      </c>
      <c r="N1099" s="1" t="n">
        <v>16999</v>
      </c>
      <c r="O1099" s="1" t="n">
        <v>0</v>
      </c>
      <c r="P1099" s="1" t="n">
        <v>0</v>
      </c>
      <c r="Q1099" s="1" t="n">
        <v>16999</v>
      </c>
      <c r="R1099" s="1" t="n">
        <v>3059.82</v>
      </c>
      <c r="S1099" s="1" t="n">
        <v>13939.18</v>
      </c>
      <c r="T1099" s="1" t="n">
        <v>6628.17</v>
      </c>
      <c r="U1099" s="1" t="n">
        <v>7311.01</v>
      </c>
      <c r="V1099" s="1" t="n">
        <v>52.45</v>
      </c>
      <c r="W1099" s="1" t="s">
        <v>39</v>
      </c>
      <c r="Y1099" s="1" t="s">
        <v>40</v>
      </c>
      <c r="Z1099" s="1" t="n">
        <v>0</v>
      </c>
      <c r="AA1099" s="1" t="str">
        <f aca="false">TRIM(PROPER(F1099))</f>
        <v>Warangal</v>
      </c>
      <c r="AB1099" s="1" t="str">
        <f aca="false">TRIM(PROPER(C1099))</f>
        <v>Whitehat Jr</v>
      </c>
      <c r="AC1099" s="1" t="str">
        <f aca="false">IF(O1099=0,"No Discount",IF(O1099&lt;=15,"Low (1-15%)",IF(O1099&lt;=30,"Medium (16-30%)","High (&gt;30%)")))</f>
        <v>No Discount</v>
      </c>
      <c r="AD1099" s="1" t="str">
        <f aca="false">IF(V1099&lt;0,"Loss Making",IF(V1099&lt;20,"Low Margin","Healthy Margin"))</f>
        <v>Healthy Margin</v>
      </c>
      <c r="AE1099" s="1" t="str">
        <f aca="false">TEXT(DATE(VALUE(RIGHT(B1099,4)),VALUE(MID(B1099,4,2)),VALUE(LEFT(B1099,2))),"MMM-YYYY")</f>
        <v>Apr-2024</v>
      </c>
      <c r="AF1099" s="1" t="n">
        <f aca="false">VALUE(RIGHT(B1099,4))</f>
        <v>2024</v>
      </c>
      <c r="AG1099" s="1" t="str">
        <f aca="false">CHOOSE(ROUNDUP(VALUE(MID(B1099,4,2))/3,0),"Q1","Q2","Q3","Q4")</f>
        <v>Q2</v>
      </c>
    </row>
    <row r="1100" customFormat="false" ht="15" hidden="false" customHeight="true" outlineLevel="0" collapsed="false">
      <c r="A1100" s="1" t="s">
        <v>1846</v>
      </c>
      <c r="B1100" s="1" t="s">
        <v>1847</v>
      </c>
      <c r="C1100" s="1" t="s">
        <v>65</v>
      </c>
      <c r="D1100" s="1" t="s">
        <v>168</v>
      </c>
      <c r="E1100" s="1" t="s">
        <v>169</v>
      </c>
      <c r="F1100" s="1" t="s">
        <v>55</v>
      </c>
      <c r="G1100" s="1" t="s">
        <v>56</v>
      </c>
      <c r="H1100" s="1" t="s">
        <v>57</v>
      </c>
      <c r="I1100" s="1" t="s">
        <v>83</v>
      </c>
      <c r="J1100" s="1" t="s">
        <v>77</v>
      </c>
      <c r="K1100" s="1" t="s">
        <v>71</v>
      </c>
      <c r="L1100" s="1" t="s">
        <v>136</v>
      </c>
      <c r="M1100" s="1" t="s">
        <v>50</v>
      </c>
      <c r="N1100" s="1" t="n">
        <v>4999</v>
      </c>
      <c r="O1100" s="1" t="n">
        <v>40</v>
      </c>
      <c r="P1100" s="1" t="n">
        <v>1999.6</v>
      </c>
      <c r="Q1100" s="1" t="n">
        <v>2999.4</v>
      </c>
      <c r="R1100" s="1" t="n">
        <v>539.89</v>
      </c>
      <c r="S1100" s="1" t="n">
        <v>2459.51</v>
      </c>
      <c r="T1100" s="1" t="n">
        <v>1189.36</v>
      </c>
      <c r="U1100" s="1" t="n">
        <v>1270.15</v>
      </c>
      <c r="V1100" s="1" t="n">
        <v>51.64</v>
      </c>
      <c r="W1100" s="1" t="s">
        <v>40</v>
      </c>
      <c r="Y1100" s="1" t="s">
        <v>40</v>
      </c>
      <c r="Z1100" s="1" t="n">
        <v>2</v>
      </c>
      <c r="AA1100" s="1" t="str">
        <f aca="false">TRIM(PROPER(F1100))</f>
        <v>Ghaziabad</v>
      </c>
      <c r="AB1100" s="1" t="str">
        <f aca="false">TRIM(PROPER(C1100))</f>
        <v>Toppr</v>
      </c>
      <c r="AC1100" s="1" t="str">
        <f aca="false">IF(O1100=0,"No Discount",IF(O1100&lt;=15,"Low (1-15%)",IF(O1100&lt;=30,"Medium (16-30%)","High (&gt;30%)")))</f>
        <v>High (&gt;30%)</v>
      </c>
      <c r="AD1100" s="1" t="str">
        <f aca="false">IF(V1100&lt;0,"Loss Making",IF(V1100&lt;20,"Low Margin","Healthy Margin"))</f>
        <v>Healthy Margin</v>
      </c>
      <c r="AE1100" s="1" t="str">
        <f aca="false">TEXT(DATE(VALUE(RIGHT(B1100,4)),VALUE(MID(B1100,4,2)),VALUE(LEFT(B1100,2))),"MMM-YYYY")</f>
        <v>Jul-2023</v>
      </c>
      <c r="AF1100" s="1" t="n">
        <f aca="false">VALUE(RIGHT(B1100,4))</f>
        <v>2023</v>
      </c>
      <c r="AG1100" s="1" t="str">
        <f aca="false">CHOOSE(ROUNDUP(VALUE(MID(B1100,4,2))/3,0),"Q1","Q2","Q3","Q4")</f>
        <v>Q3</v>
      </c>
    </row>
    <row r="1101" customFormat="false" ht="15" hidden="false" customHeight="true" outlineLevel="0" collapsed="false">
      <c r="A1101" s="1" t="s">
        <v>1848</v>
      </c>
      <c r="B1101" s="1" t="s">
        <v>1081</v>
      </c>
      <c r="C1101" s="1" t="s">
        <v>43</v>
      </c>
      <c r="D1101" s="1" t="s">
        <v>94</v>
      </c>
      <c r="E1101" s="1" t="s">
        <v>135</v>
      </c>
      <c r="F1101" s="1" t="s">
        <v>153</v>
      </c>
      <c r="G1101" s="1" t="s">
        <v>76</v>
      </c>
      <c r="H1101" s="1" t="s">
        <v>33</v>
      </c>
      <c r="I1101" s="1" t="s">
        <v>83</v>
      </c>
      <c r="J1101" s="1" t="s">
        <v>59</v>
      </c>
      <c r="K1101" s="1" t="s">
        <v>71</v>
      </c>
      <c r="L1101" s="1" t="s">
        <v>37</v>
      </c>
      <c r="M1101" s="1" t="s">
        <v>62</v>
      </c>
      <c r="N1101" s="1" t="n">
        <v>9999</v>
      </c>
      <c r="O1101" s="1" t="n">
        <v>40</v>
      </c>
      <c r="P1101" s="1" t="n">
        <v>3999.6</v>
      </c>
      <c r="Q1101" s="1" t="n">
        <v>5999.4</v>
      </c>
      <c r="R1101" s="1" t="n">
        <v>1079.89</v>
      </c>
      <c r="S1101" s="1" t="n">
        <v>4919.51</v>
      </c>
      <c r="T1101" s="1" t="n">
        <v>2640.53</v>
      </c>
      <c r="U1101" s="1" t="n">
        <v>2278.98</v>
      </c>
      <c r="V1101" s="1" t="n">
        <v>46.33</v>
      </c>
      <c r="W1101" s="1" t="s">
        <v>40</v>
      </c>
      <c r="Y1101" s="1" t="s">
        <v>40</v>
      </c>
      <c r="Z1101" s="1" t="n">
        <v>3</v>
      </c>
      <c r="AA1101" s="1" t="str">
        <f aca="false">TRIM(PROPER(F1101))</f>
        <v>Howrah</v>
      </c>
      <c r="AB1101" s="1" t="str">
        <f aca="false">TRIM(PROPER(C1101))</f>
        <v>Meritnation</v>
      </c>
      <c r="AC1101" s="1" t="str">
        <f aca="false">IF(O1101=0,"No Discount",IF(O1101&lt;=15,"Low (1-15%)",IF(O1101&lt;=30,"Medium (16-30%)","High (&gt;30%)")))</f>
        <v>High (&gt;30%)</v>
      </c>
      <c r="AD1101" s="1" t="str">
        <f aca="false">IF(V1101&lt;0,"Loss Making",IF(V1101&lt;20,"Low Margin","Healthy Margin"))</f>
        <v>Healthy Margin</v>
      </c>
      <c r="AE1101" s="1" t="str">
        <f aca="false">TEXT(DATE(VALUE(RIGHT(B1101,4)),VALUE(MID(B1101,4,2)),VALUE(LEFT(B1101,2))),"MMM-YYYY")</f>
        <v>Jul-2024</v>
      </c>
      <c r="AF1101" s="1" t="n">
        <f aca="false">VALUE(RIGHT(B1101,4))</f>
        <v>2024</v>
      </c>
      <c r="AG1101" s="1" t="str">
        <f aca="false">CHOOSE(ROUNDUP(VALUE(MID(B1101,4,2))/3,0),"Q1","Q2","Q3","Q4")</f>
        <v>Q3</v>
      </c>
    </row>
    <row r="1102" customFormat="false" ht="15" hidden="false" customHeight="true" outlineLevel="0" collapsed="false">
      <c r="A1102" s="1" t="s">
        <v>1849</v>
      </c>
      <c r="B1102" s="1" t="s">
        <v>1316</v>
      </c>
      <c r="C1102" s="1" t="s">
        <v>128</v>
      </c>
      <c r="D1102" s="1" t="s">
        <v>143</v>
      </c>
      <c r="E1102" s="1" t="s">
        <v>162</v>
      </c>
      <c r="F1102" s="1" t="s">
        <v>102</v>
      </c>
      <c r="G1102" s="1" t="s">
        <v>103</v>
      </c>
      <c r="H1102" s="1" t="s">
        <v>33</v>
      </c>
      <c r="I1102" s="1" t="s">
        <v>83</v>
      </c>
      <c r="J1102" s="1" t="s">
        <v>70</v>
      </c>
      <c r="K1102" s="1" t="s">
        <v>60</v>
      </c>
      <c r="L1102" s="1" t="s">
        <v>113</v>
      </c>
      <c r="M1102" s="1" t="s">
        <v>50</v>
      </c>
      <c r="N1102" s="1" t="n">
        <v>14999</v>
      </c>
      <c r="O1102" s="1" t="n">
        <v>0</v>
      </c>
      <c r="P1102" s="1" t="n">
        <v>0</v>
      </c>
      <c r="Q1102" s="1" t="n">
        <v>14999</v>
      </c>
      <c r="R1102" s="1" t="n">
        <v>2699.82</v>
      </c>
      <c r="S1102" s="1" t="n">
        <v>12299.18</v>
      </c>
      <c r="T1102" s="1" t="n">
        <v>6512.66</v>
      </c>
      <c r="U1102" s="1" t="n">
        <v>5786.52</v>
      </c>
      <c r="V1102" s="1" t="n">
        <v>47.05</v>
      </c>
      <c r="W1102" s="1" t="s">
        <v>40</v>
      </c>
      <c r="Y1102" s="1" t="s">
        <v>39</v>
      </c>
      <c r="Z1102" s="1" t="n">
        <v>1</v>
      </c>
      <c r="AA1102" s="1" t="str">
        <f aca="false">TRIM(PROPER(F1102))</f>
        <v>Warangal</v>
      </c>
      <c r="AB1102" s="1" t="str">
        <f aca="false">TRIM(PROPER(C1102))</f>
        <v>Great Learning</v>
      </c>
      <c r="AC1102" s="1" t="str">
        <f aca="false">IF(O1102=0,"No Discount",IF(O1102&lt;=15,"Low (1-15%)",IF(O1102&lt;=30,"Medium (16-30%)","High (&gt;30%)")))</f>
        <v>No Discount</v>
      </c>
      <c r="AD1102" s="1" t="str">
        <f aca="false">IF(V1102&lt;0,"Loss Making",IF(V1102&lt;20,"Low Margin","Healthy Margin"))</f>
        <v>Healthy Margin</v>
      </c>
      <c r="AE1102" s="1" t="str">
        <f aca="false">TEXT(DATE(VALUE(RIGHT(B1102,4)),VALUE(MID(B1102,4,2)),VALUE(LEFT(B1102,2))),"MMM-YYYY")</f>
        <v>Jun-2023</v>
      </c>
      <c r="AF1102" s="1" t="n">
        <f aca="false">VALUE(RIGHT(B1102,4))</f>
        <v>2023</v>
      </c>
      <c r="AG1102" s="1" t="str">
        <f aca="false">CHOOSE(ROUNDUP(VALUE(MID(B1102,4,2))/3,0),"Q1","Q2","Q3","Q4")</f>
        <v>Q2</v>
      </c>
    </row>
    <row r="1103" customFormat="false" ht="15" hidden="false" customHeight="true" outlineLevel="0" collapsed="false">
      <c r="A1103" s="1" t="s">
        <v>1850</v>
      </c>
      <c r="B1103" s="1" t="s">
        <v>968</v>
      </c>
      <c r="C1103" s="1" t="s">
        <v>65</v>
      </c>
      <c r="D1103" s="1" t="s">
        <v>44</v>
      </c>
      <c r="E1103" s="1" t="s">
        <v>66</v>
      </c>
      <c r="F1103" s="1" t="s">
        <v>140</v>
      </c>
      <c r="G1103" s="1" t="s">
        <v>97</v>
      </c>
      <c r="H1103" s="1" t="s">
        <v>57</v>
      </c>
      <c r="I1103" s="1" t="s">
        <v>34</v>
      </c>
      <c r="J1103" s="1" t="s">
        <v>77</v>
      </c>
      <c r="K1103" s="1" t="s">
        <v>60</v>
      </c>
      <c r="L1103" s="1" t="s">
        <v>113</v>
      </c>
      <c r="M1103" s="1" t="s">
        <v>62</v>
      </c>
      <c r="N1103" s="1" t="n">
        <v>12999</v>
      </c>
      <c r="O1103" s="1" t="n">
        <v>40</v>
      </c>
      <c r="P1103" s="1" t="n">
        <v>5199.6</v>
      </c>
      <c r="Q1103" s="1" t="n">
        <v>7799.4</v>
      </c>
      <c r="R1103" s="1" t="n">
        <v>1403.89</v>
      </c>
      <c r="S1103" s="1" t="n">
        <v>6395.51</v>
      </c>
      <c r="T1103" s="1" t="n">
        <v>3275.14</v>
      </c>
      <c r="U1103" s="1" t="n">
        <v>3120.37</v>
      </c>
      <c r="V1103" s="1" t="n">
        <v>48.79</v>
      </c>
      <c r="W1103" s="1" t="s">
        <v>40</v>
      </c>
      <c r="Y1103" s="1" t="s">
        <v>40</v>
      </c>
      <c r="Z1103" s="1" t="n">
        <v>2</v>
      </c>
      <c r="AA1103" s="1" t="str">
        <f aca="false">TRIM(PROPER(F1103))</f>
        <v>Nashik</v>
      </c>
      <c r="AB1103" s="1" t="str">
        <f aca="false">TRIM(PROPER(C1103))</f>
        <v>Toppr</v>
      </c>
      <c r="AC1103" s="1" t="str">
        <f aca="false">IF(O1103=0,"No Discount",IF(O1103&lt;=15,"Low (1-15%)",IF(O1103&lt;=30,"Medium (16-30%)","High (&gt;30%)")))</f>
        <v>High (&gt;30%)</v>
      </c>
      <c r="AD1103" s="1" t="str">
        <f aca="false">IF(V1103&lt;0,"Loss Making",IF(V1103&lt;20,"Low Margin","Healthy Margin"))</f>
        <v>Healthy Margin</v>
      </c>
      <c r="AE1103" s="1" t="str">
        <f aca="false">TEXT(DATE(VALUE(RIGHT(B1103,4)),VALUE(MID(B1103,4,2)),VALUE(LEFT(B1103,2))),"MMM-YYYY")</f>
        <v>Jun-2023</v>
      </c>
      <c r="AF1103" s="1" t="n">
        <f aca="false">VALUE(RIGHT(B1103,4))</f>
        <v>2023</v>
      </c>
      <c r="AG1103" s="1" t="str">
        <f aca="false">CHOOSE(ROUNDUP(VALUE(MID(B1103,4,2))/3,0),"Q1","Q2","Q3","Q4")</f>
        <v>Q2</v>
      </c>
    </row>
    <row r="1104" customFormat="false" ht="15" hidden="false" customHeight="true" outlineLevel="0" collapsed="false">
      <c r="A1104" s="1" t="s">
        <v>1851</v>
      </c>
      <c r="B1104" s="1" t="s">
        <v>836</v>
      </c>
      <c r="C1104" s="1" t="s">
        <v>139</v>
      </c>
      <c r="D1104" s="1" t="s">
        <v>94</v>
      </c>
      <c r="E1104" s="1" t="s">
        <v>135</v>
      </c>
      <c r="F1104" s="1" t="s">
        <v>89</v>
      </c>
      <c r="G1104" s="1" t="s">
        <v>68</v>
      </c>
      <c r="H1104" s="1" t="s">
        <v>33</v>
      </c>
      <c r="I1104" s="1" t="s">
        <v>58</v>
      </c>
      <c r="J1104" s="1" t="s">
        <v>131</v>
      </c>
      <c r="K1104" s="1" t="s">
        <v>71</v>
      </c>
      <c r="L1104" s="1" t="s">
        <v>61</v>
      </c>
      <c r="M1104" s="1" t="s">
        <v>50</v>
      </c>
      <c r="N1104" s="1" t="n">
        <v>9999</v>
      </c>
      <c r="O1104" s="1" t="n">
        <v>20</v>
      </c>
      <c r="P1104" s="1" t="n">
        <v>1999.8</v>
      </c>
      <c r="Q1104" s="1" t="n">
        <v>7999.2</v>
      </c>
      <c r="R1104" s="1" t="n">
        <v>1439.86</v>
      </c>
      <c r="S1104" s="1" t="n">
        <v>6559.34</v>
      </c>
      <c r="T1104" s="1" t="n">
        <v>3371.13</v>
      </c>
      <c r="U1104" s="1" t="n">
        <v>3188.21</v>
      </c>
      <c r="V1104" s="1" t="n">
        <v>48.61</v>
      </c>
      <c r="W1104" s="1" t="s">
        <v>40</v>
      </c>
      <c r="Y1104" s="1" t="s">
        <v>40</v>
      </c>
      <c r="Z1104" s="1" t="n">
        <v>1</v>
      </c>
      <c r="AA1104" s="1" t="str">
        <f aca="false">TRIM(PROPER(F1104))</f>
        <v>Vadodara</v>
      </c>
      <c r="AB1104" s="1" t="str">
        <f aca="false">TRIM(PROPER(C1104))</f>
        <v>Extramarks</v>
      </c>
      <c r="AC1104" s="1" t="str">
        <f aca="false">IF(O1104=0,"No Discount",IF(O1104&lt;=15,"Low (1-15%)",IF(O1104&lt;=30,"Medium (16-30%)","High (&gt;30%)")))</f>
        <v>Medium (16-30%)</v>
      </c>
      <c r="AD1104" s="1" t="str">
        <f aca="false">IF(V1104&lt;0,"Loss Making",IF(V1104&lt;20,"Low Margin","Healthy Margin"))</f>
        <v>Healthy Margin</v>
      </c>
      <c r="AE1104" s="1" t="str">
        <f aca="false">TEXT(DATE(VALUE(RIGHT(B1104,4)),VALUE(MID(B1104,4,2)),VALUE(LEFT(B1104,2))),"MMM-YYYY")</f>
        <v>Sep-2023</v>
      </c>
      <c r="AF1104" s="1" t="n">
        <f aca="false">VALUE(RIGHT(B1104,4))</f>
        <v>2023</v>
      </c>
      <c r="AG1104" s="1" t="str">
        <f aca="false">CHOOSE(ROUNDUP(VALUE(MID(B1104,4,2))/3,0),"Q1","Q2","Q3","Q4")</f>
        <v>Q3</v>
      </c>
    </row>
    <row r="1105" customFormat="false" ht="15" hidden="false" customHeight="true" outlineLevel="0" collapsed="false">
      <c r="A1105" s="1" t="s">
        <v>1852</v>
      </c>
      <c r="B1105" s="1" t="s">
        <v>1739</v>
      </c>
      <c r="C1105" s="1" t="s">
        <v>28</v>
      </c>
      <c r="D1105" s="1" t="s">
        <v>80</v>
      </c>
      <c r="E1105" s="1" t="s">
        <v>81</v>
      </c>
      <c r="F1105" s="1" t="s">
        <v>130</v>
      </c>
      <c r="G1105" s="1" t="s">
        <v>47</v>
      </c>
      <c r="H1105" s="1" t="s">
        <v>69</v>
      </c>
      <c r="I1105" s="1" t="s">
        <v>83</v>
      </c>
      <c r="J1105" s="1" t="s">
        <v>131</v>
      </c>
      <c r="K1105" s="1" t="s">
        <v>60</v>
      </c>
      <c r="L1105" s="1" t="s">
        <v>113</v>
      </c>
      <c r="M1105" s="1" t="s">
        <v>62</v>
      </c>
      <c r="N1105" s="1" t="n">
        <v>12999</v>
      </c>
      <c r="O1105" s="1" t="n">
        <v>20</v>
      </c>
      <c r="P1105" s="1" t="n">
        <v>2599.8</v>
      </c>
      <c r="Q1105" s="1" t="n">
        <v>10399.2</v>
      </c>
      <c r="R1105" s="1" t="n">
        <v>1871.86</v>
      </c>
      <c r="S1105" s="1" t="n">
        <v>8527.34</v>
      </c>
      <c r="T1105" s="1" t="n">
        <v>3195.3</v>
      </c>
      <c r="U1105" s="1" t="n">
        <v>5332.04</v>
      </c>
      <c r="V1105" s="1" t="n">
        <v>62.53</v>
      </c>
      <c r="W1105" s="1" t="s">
        <v>40</v>
      </c>
      <c r="Y1105" s="1" t="s">
        <v>39</v>
      </c>
      <c r="Z1105" s="1" t="n">
        <v>0</v>
      </c>
      <c r="AA1105" s="1" t="str">
        <f aca="false">TRIM(PROPER(F1105))</f>
        <v>Bengaluru</v>
      </c>
      <c r="AB1105" s="1" t="str">
        <f aca="false">TRIM(PROPER(C1105))</f>
        <v>Embibe</v>
      </c>
      <c r="AC1105" s="1" t="str">
        <f aca="false">IF(O1105=0,"No Discount",IF(O1105&lt;=15,"Low (1-15%)",IF(O1105&lt;=30,"Medium (16-30%)","High (&gt;30%)")))</f>
        <v>Medium (16-30%)</v>
      </c>
      <c r="AD1105" s="1" t="str">
        <f aca="false">IF(V1105&lt;0,"Loss Making",IF(V1105&lt;20,"Low Margin","Healthy Margin"))</f>
        <v>Healthy Margin</v>
      </c>
      <c r="AE1105" s="1" t="str">
        <f aca="false">TEXT(DATE(VALUE(RIGHT(B1105,4)),VALUE(MID(B1105,4,2)),VALUE(LEFT(B1105,2))),"MMM-YYYY")</f>
        <v>Oct-2024</v>
      </c>
      <c r="AF1105" s="1" t="n">
        <f aca="false">VALUE(RIGHT(B1105,4))</f>
        <v>2024</v>
      </c>
      <c r="AG1105" s="1" t="str">
        <f aca="false">CHOOSE(ROUNDUP(VALUE(MID(B1105,4,2))/3,0),"Q1","Q2","Q3","Q4")</f>
        <v>Q4</v>
      </c>
    </row>
    <row r="1106" customFormat="false" ht="15" hidden="false" customHeight="true" outlineLevel="0" collapsed="false">
      <c r="A1106" s="1" t="s">
        <v>1853</v>
      </c>
      <c r="B1106" s="1" t="s">
        <v>1465</v>
      </c>
      <c r="C1106" s="1" t="s">
        <v>100</v>
      </c>
      <c r="D1106" s="1" t="s">
        <v>53</v>
      </c>
      <c r="E1106" s="1" t="s">
        <v>216</v>
      </c>
      <c r="F1106" s="1" t="s">
        <v>96</v>
      </c>
      <c r="G1106" s="1" t="s">
        <v>97</v>
      </c>
      <c r="H1106" s="1" t="s">
        <v>69</v>
      </c>
      <c r="I1106" s="1" t="s">
        <v>83</v>
      </c>
      <c r="J1106" s="1" t="s">
        <v>77</v>
      </c>
      <c r="K1106" s="1" t="s">
        <v>48</v>
      </c>
      <c r="L1106" s="1" t="s">
        <v>85</v>
      </c>
      <c r="M1106" s="1" t="s">
        <v>50</v>
      </c>
      <c r="N1106" s="1" t="n">
        <v>7499</v>
      </c>
      <c r="O1106" s="1" t="n">
        <v>10</v>
      </c>
      <c r="P1106" s="1" t="n">
        <v>749.9</v>
      </c>
      <c r="Q1106" s="1" t="n">
        <v>6749.1</v>
      </c>
      <c r="R1106" s="1" t="n">
        <v>1214.84</v>
      </c>
      <c r="S1106" s="1" t="n">
        <v>5534.26</v>
      </c>
      <c r="T1106" s="1" t="n">
        <v>1887.55</v>
      </c>
      <c r="U1106" s="1" t="n">
        <v>3646.71</v>
      </c>
      <c r="V1106" s="1" t="n">
        <v>65.89</v>
      </c>
      <c r="W1106" s="1" t="s">
        <v>39</v>
      </c>
      <c r="X1106" s="1" t="n">
        <v>3.3</v>
      </c>
      <c r="Y1106" s="1" t="s">
        <v>40</v>
      </c>
      <c r="Z1106" s="1" t="n">
        <v>0</v>
      </c>
      <c r="AA1106" s="1" t="str">
        <f aca="false">TRIM(PROPER(F1106))</f>
        <v>Pune</v>
      </c>
      <c r="AB1106" s="1" t="str">
        <f aca="false">TRIM(PROPER(C1106))</f>
        <v>Physics Wallah</v>
      </c>
      <c r="AC1106" s="1" t="str">
        <f aca="false">IF(O1106=0,"No Discount",IF(O1106&lt;=15,"Low (1-15%)",IF(O1106&lt;=30,"Medium (16-30%)","High (&gt;30%)")))</f>
        <v>Low (1-15%)</v>
      </c>
      <c r="AD1106" s="1" t="str">
        <f aca="false">IF(V1106&lt;0,"Loss Making",IF(V1106&lt;20,"Low Margin","Healthy Margin"))</f>
        <v>Healthy Margin</v>
      </c>
      <c r="AE1106" s="1" t="str">
        <f aca="false">TEXT(DATE(VALUE(RIGHT(B1106,4)),VALUE(MID(B1106,4,2)),VALUE(LEFT(B1106,2))),"MMM-YYYY")</f>
        <v>Sep-2024</v>
      </c>
      <c r="AF1106" s="1" t="n">
        <f aca="false">VALUE(RIGHT(B1106,4))</f>
        <v>2024</v>
      </c>
      <c r="AG1106" s="1" t="str">
        <f aca="false">CHOOSE(ROUNDUP(VALUE(MID(B1106,4,2))/3,0),"Q1","Q2","Q3","Q4")</f>
        <v>Q3</v>
      </c>
    </row>
    <row r="1107" customFormat="false" ht="15" hidden="false" customHeight="true" outlineLevel="0" collapsed="false">
      <c r="A1107" s="1" t="s">
        <v>1854</v>
      </c>
      <c r="B1107" s="1" t="s">
        <v>1855</v>
      </c>
      <c r="C1107" s="1" t="s">
        <v>167</v>
      </c>
      <c r="D1107" s="1" t="s">
        <v>44</v>
      </c>
      <c r="E1107" s="1" t="s">
        <v>221</v>
      </c>
      <c r="F1107" s="1" t="s">
        <v>125</v>
      </c>
      <c r="G1107" s="1" t="s">
        <v>108</v>
      </c>
      <c r="H1107" s="1" t="s">
        <v>69</v>
      </c>
      <c r="I1107" s="1" t="s">
        <v>83</v>
      </c>
      <c r="J1107" s="1" t="s">
        <v>70</v>
      </c>
      <c r="K1107" s="1" t="s">
        <v>90</v>
      </c>
      <c r="L1107" s="1" t="s">
        <v>113</v>
      </c>
      <c r="M1107" s="1" t="s">
        <v>62</v>
      </c>
      <c r="N1107" s="1" t="n">
        <v>16999</v>
      </c>
      <c r="O1107" s="1" t="n">
        <v>20</v>
      </c>
      <c r="P1107" s="1" t="n">
        <v>3399.8</v>
      </c>
      <c r="Q1107" s="1" t="n">
        <v>13599.2</v>
      </c>
      <c r="R1107" s="1" t="n">
        <v>2447.86</v>
      </c>
      <c r="S1107" s="1" t="n">
        <v>11151.34</v>
      </c>
      <c r="T1107" s="1" t="n">
        <v>5198.86</v>
      </c>
      <c r="U1107" s="1" t="n">
        <v>5952.48</v>
      </c>
      <c r="V1107" s="1" t="n">
        <v>53.38</v>
      </c>
      <c r="W1107" s="1" t="s">
        <v>39</v>
      </c>
      <c r="X1107" s="1" t="n">
        <v>3.8</v>
      </c>
      <c r="Y1107" s="1" t="s">
        <v>40</v>
      </c>
      <c r="Z1107" s="1" t="n">
        <v>0</v>
      </c>
      <c r="AA1107" s="1" t="str">
        <f aca="false">TRIM(PROPER(F1107))</f>
        <v>Chennai</v>
      </c>
      <c r="AB1107" s="1" t="str">
        <f aca="false">TRIM(PROPER(C1107))</f>
        <v>Scaler</v>
      </c>
      <c r="AC1107" s="1" t="str">
        <f aca="false">IF(O1107=0,"No Discount",IF(O1107&lt;=15,"Low (1-15%)",IF(O1107&lt;=30,"Medium (16-30%)","High (&gt;30%)")))</f>
        <v>Medium (16-30%)</v>
      </c>
      <c r="AD1107" s="1" t="str">
        <f aca="false">IF(V1107&lt;0,"Loss Making",IF(V1107&lt;20,"Low Margin","Healthy Margin"))</f>
        <v>Healthy Margin</v>
      </c>
      <c r="AE1107" s="1" t="str">
        <f aca="false">TEXT(DATE(VALUE(RIGHT(B1107,4)),VALUE(MID(B1107,4,2)),VALUE(LEFT(B1107,2))),"MMM-YYYY")</f>
        <v>May-2024</v>
      </c>
      <c r="AF1107" s="1" t="n">
        <f aca="false">VALUE(RIGHT(B1107,4))</f>
        <v>2024</v>
      </c>
      <c r="AG1107" s="1" t="str">
        <f aca="false">CHOOSE(ROUNDUP(VALUE(MID(B1107,4,2))/3,0),"Q1","Q2","Q3","Q4")</f>
        <v>Q2</v>
      </c>
    </row>
    <row r="1108" customFormat="false" ht="15" hidden="false" customHeight="true" outlineLevel="0" collapsed="false">
      <c r="A1108" s="1" t="s">
        <v>1856</v>
      </c>
      <c r="B1108" s="1" t="s">
        <v>92</v>
      </c>
      <c r="C1108" s="1" t="s">
        <v>178</v>
      </c>
      <c r="D1108" s="1" t="s">
        <v>123</v>
      </c>
      <c r="E1108" s="1" t="s">
        <v>124</v>
      </c>
      <c r="F1108" s="1" t="s">
        <v>89</v>
      </c>
      <c r="G1108" s="1" t="s">
        <v>68</v>
      </c>
      <c r="H1108" s="1" t="s">
        <v>33</v>
      </c>
      <c r="I1108" s="1" t="s">
        <v>34</v>
      </c>
      <c r="J1108" s="1" t="s">
        <v>77</v>
      </c>
      <c r="K1108" s="1" t="s">
        <v>104</v>
      </c>
      <c r="L1108" s="1" t="s">
        <v>85</v>
      </c>
      <c r="M1108" s="1" t="s">
        <v>50</v>
      </c>
      <c r="N1108" s="1" t="n">
        <v>4999</v>
      </c>
      <c r="O1108" s="1" t="n">
        <v>0</v>
      </c>
      <c r="P1108" s="1" t="n">
        <v>0</v>
      </c>
      <c r="Q1108" s="1" t="n">
        <v>4999</v>
      </c>
      <c r="R1108" s="1" t="n">
        <v>899.82</v>
      </c>
      <c r="S1108" s="1" t="n">
        <v>4099.18</v>
      </c>
      <c r="T1108" s="1" t="n">
        <v>1622.88</v>
      </c>
      <c r="U1108" s="1" t="n">
        <v>2476.3</v>
      </c>
      <c r="V1108" s="1" t="n">
        <v>60.41</v>
      </c>
      <c r="W1108" s="1" t="s">
        <v>39</v>
      </c>
      <c r="X1108" s="1" t="n">
        <v>3.5</v>
      </c>
      <c r="Y1108" s="1" t="s">
        <v>40</v>
      </c>
      <c r="Z1108" s="1" t="n">
        <v>2</v>
      </c>
      <c r="AA1108" s="1" t="str">
        <f aca="false">TRIM(PROPER(F1108))</f>
        <v>Vadodara</v>
      </c>
      <c r="AB1108" s="1" t="str">
        <f aca="false">TRIM(PROPER(C1108))</f>
        <v>Leverage Edu</v>
      </c>
      <c r="AC1108" s="1" t="str">
        <f aca="false">IF(O1108=0,"No Discount",IF(O1108&lt;=15,"Low (1-15%)",IF(O1108&lt;=30,"Medium (16-30%)","High (&gt;30%)")))</f>
        <v>No Discount</v>
      </c>
      <c r="AD1108" s="1" t="str">
        <f aca="false">IF(V1108&lt;0,"Loss Making",IF(V1108&lt;20,"Low Margin","Healthy Margin"))</f>
        <v>Healthy Margin</v>
      </c>
      <c r="AE1108" s="1" t="str">
        <f aca="false">TEXT(DATE(VALUE(RIGHT(B1108,4)),VALUE(MID(B1108,4,2)),VALUE(LEFT(B1108,2))),"MMM-YYYY")</f>
        <v>Jan-2024</v>
      </c>
      <c r="AF1108" s="1" t="n">
        <f aca="false">VALUE(RIGHT(B1108,4))</f>
        <v>2024</v>
      </c>
      <c r="AG1108" s="1" t="str">
        <f aca="false">CHOOSE(ROUNDUP(VALUE(MID(B1108,4,2))/3,0),"Q1","Q2","Q3","Q4")</f>
        <v>Q1</v>
      </c>
    </row>
    <row r="1109" customFormat="false" ht="15" hidden="false" customHeight="true" outlineLevel="0" collapsed="false">
      <c r="A1109" s="1" t="s">
        <v>1857</v>
      </c>
      <c r="B1109" s="1" t="s">
        <v>1858</v>
      </c>
      <c r="C1109" s="1" t="s">
        <v>167</v>
      </c>
      <c r="D1109" s="1" t="s">
        <v>94</v>
      </c>
      <c r="E1109" s="1" t="s">
        <v>101</v>
      </c>
      <c r="F1109" s="1" t="s">
        <v>96</v>
      </c>
      <c r="G1109" s="1" t="s">
        <v>97</v>
      </c>
      <c r="H1109" s="1" t="s">
        <v>69</v>
      </c>
      <c r="I1109" s="1" t="s">
        <v>83</v>
      </c>
      <c r="J1109" s="1" t="s">
        <v>77</v>
      </c>
      <c r="K1109" s="1" t="s">
        <v>36</v>
      </c>
      <c r="L1109" s="1" t="s">
        <v>49</v>
      </c>
      <c r="M1109" s="1" t="s">
        <v>62</v>
      </c>
      <c r="N1109" s="1" t="n">
        <v>14999</v>
      </c>
      <c r="O1109" s="1" t="n">
        <v>15</v>
      </c>
      <c r="P1109" s="1" t="n">
        <v>2249.85</v>
      </c>
      <c r="Q1109" s="1" t="n">
        <v>12749.15</v>
      </c>
      <c r="R1109" s="1" t="n">
        <v>2294.85</v>
      </c>
      <c r="S1109" s="1" t="n">
        <v>10454.3</v>
      </c>
      <c r="T1109" s="1" t="n">
        <v>4659.62</v>
      </c>
      <c r="U1109" s="1" t="n">
        <v>5794.68</v>
      </c>
      <c r="V1109" s="1" t="n">
        <v>55.43</v>
      </c>
      <c r="W1109" s="1" t="s">
        <v>39</v>
      </c>
      <c r="Y1109" s="1" t="s">
        <v>40</v>
      </c>
      <c r="Z1109" s="1" t="n">
        <v>0</v>
      </c>
      <c r="AA1109" s="1" t="str">
        <f aca="false">TRIM(PROPER(F1109))</f>
        <v>Pune</v>
      </c>
      <c r="AB1109" s="1" t="str">
        <f aca="false">TRIM(PROPER(C1109))</f>
        <v>Scaler</v>
      </c>
      <c r="AC1109" s="1" t="str">
        <f aca="false">IF(O1109=0,"No Discount",IF(O1109&lt;=15,"Low (1-15%)",IF(O1109&lt;=30,"Medium (16-30%)","High (&gt;30%)")))</f>
        <v>Low (1-15%)</v>
      </c>
      <c r="AD1109" s="1" t="str">
        <f aca="false">IF(V1109&lt;0,"Loss Making",IF(V1109&lt;20,"Low Margin","Healthy Margin"))</f>
        <v>Healthy Margin</v>
      </c>
      <c r="AE1109" s="1" t="str">
        <f aca="false">TEXT(DATE(VALUE(RIGHT(B1109,4)),VALUE(MID(B1109,4,2)),VALUE(LEFT(B1109,2))),"MMM-YYYY")</f>
        <v>Jul-2023</v>
      </c>
      <c r="AF1109" s="1" t="n">
        <f aca="false">VALUE(RIGHT(B1109,4))</f>
        <v>2023</v>
      </c>
      <c r="AG1109" s="1" t="str">
        <f aca="false">CHOOSE(ROUNDUP(VALUE(MID(B1109,4,2))/3,0),"Q1","Q2","Q3","Q4")</f>
        <v>Q3</v>
      </c>
    </row>
    <row r="1110" customFormat="false" ht="15" hidden="false" customHeight="true" outlineLevel="0" collapsed="false">
      <c r="A1110" s="1" t="s">
        <v>1859</v>
      </c>
      <c r="B1110" s="1" t="s">
        <v>227</v>
      </c>
      <c r="C1110" s="1" t="s">
        <v>65</v>
      </c>
      <c r="D1110" s="1" t="s">
        <v>143</v>
      </c>
      <c r="E1110" s="1" t="s">
        <v>159</v>
      </c>
      <c r="F1110" s="1" t="s">
        <v>205</v>
      </c>
      <c r="G1110" s="1" t="s">
        <v>56</v>
      </c>
      <c r="H1110" s="1" t="s">
        <v>69</v>
      </c>
      <c r="I1110" s="1" t="s">
        <v>83</v>
      </c>
      <c r="J1110" s="1" t="s">
        <v>59</v>
      </c>
      <c r="K1110" s="1" t="s">
        <v>48</v>
      </c>
      <c r="L1110" s="1" t="s">
        <v>37</v>
      </c>
      <c r="M1110" s="1" t="s">
        <v>62</v>
      </c>
      <c r="N1110" s="1" t="n">
        <v>24999</v>
      </c>
      <c r="O1110" s="1" t="n">
        <v>20</v>
      </c>
      <c r="P1110" s="1" t="n">
        <v>4999.8</v>
      </c>
      <c r="Q1110" s="1" t="n">
        <v>19999.2</v>
      </c>
      <c r="R1110" s="1" t="n">
        <v>3599.86</v>
      </c>
      <c r="S1110" s="1" t="n">
        <v>16399.34</v>
      </c>
      <c r="T1110" s="1" t="n">
        <v>6284.91</v>
      </c>
      <c r="U1110" s="1" t="n">
        <v>10114.43</v>
      </c>
      <c r="V1110" s="1" t="n">
        <v>61.68</v>
      </c>
      <c r="W1110" s="1" t="s">
        <v>39</v>
      </c>
      <c r="X1110" s="1" t="n">
        <v>3.4</v>
      </c>
      <c r="Y1110" s="1" t="s">
        <v>40</v>
      </c>
      <c r="Z1110" s="1" t="n">
        <v>2</v>
      </c>
      <c r="AA1110" s="1" t="str">
        <f aca="false">TRIM(PROPER(F1110))</f>
        <v>New Delhi</v>
      </c>
      <c r="AB1110" s="1" t="str">
        <f aca="false">TRIM(PROPER(C1110))</f>
        <v>Toppr</v>
      </c>
      <c r="AC1110" s="1" t="str">
        <f aca="false">IF(O1110=0,"No Discount",IF(O1110&lt;=15,"Low (1-15%)",IF(O1110&lt;=30,"Medium (16-30%)","High (&gt;30%)")))</f>
        <v>Medium (16-30%)</v>
      </c>
      <c r="AD1110" s="1" t="str">
        <f aca="false">IF(V1110&lt;0,"Loss Making",IF(V1110&lt;20,"Low Margin","Healthy Margin"))</f>
        <v>Healthy Margin</v>
      </c>
      <c r="AE1110" s="1" t="str">
        <f aca="false">TEXT(DATE(VALUE(RIGHT(B1110,4)),VALUE(MID(B1110,4,2)),VALUE(LEFT(B1110,2))),"MMM-YYYY")</f>
        <v>Aug-2023</v>
      </c>
      <c r="AF1110" s="1" t="n">
        <f aca="false">VALUE(RIGHT(B1110,4))</f>
        <v>2023</v>
      </c>
      <c r="AG1110" s="1" t="str">
        <f aca="false">CHOOSE(ROUNDUP(VALUE(MID(B1110,4,2))/3,0),"Q1","Q2","Q3","Q4")</f>
        <v>Q3</v>
      </c>
    </row>
    <row r="1111" customFormat="false" ht="15" hidden="false" customHeight="true" outlineLevel="0" collapsed="false">
      <c r="A1111" s="1" t="s">
        <v>1860</v>
      </c>
      <c r="B1111" s="1" t="s">
        <v>1333</v>
      </c>
      <c r="C1111" s="1" t="s">
        <v>43</v>
      </c>
      <c r="D1111" s="1" t="s">
        <v>80</v>
      </c>
      <c r="E1111" s="1" t="s">
        <v>190</v>
      </c>
      <c r="F1111" s="1" t="s">
        <v>156</v>
      </c>
      <c r="G1111" s="1" t="s">
        <v>68</v>
      </c>
      <c r="H1111" s="1" t="s">
        <v>57</v>
      </c>
      <c r="I1111" s="1" t="s">
        <v>58</v>
      </c>
      <c r="J1111" s="1" t="s">
        <v>59</v>
      </c>
      <c r="K1111" s="1" t="s">
        <v>84</v>
      </c>
      <c r="L1111" s="1" t="s">
        <v>61</v>
      </c>
      <c r="M1111" s="1" t="s">
        <v>38</v>
      </c>
      <c r="N1111" s="1" t="n">
        <v>15999</v>
      </c>
      <c r="O1111" s="1" t="n">
        <v>30</v>
      </c>
      <c r="P1111" s="1" t="n">
        <v>4799.7</v>
      </c>
      <c r="Q1111" s="1" t="n">
        <v>11199.3</v>
      </c>
      <c r="R1111" s="1" t="n">
        <v>2015.87</v>
      </c>
      <c r="S1111" s="1" t="n">
        <v>9183.43</v>
      </c>
      <c r="T1111" s="1" t="n">
        <v>4165.92</v>
      </c>
      <c r="U1111" s="1" t="n">
        <v>5017.51</v>
      </c>
      <c r="V1111" s="1" t="n">
        <v>54.64</v>
      </c>
      <c r="W1111" s="1" t="s">
        <v>39</v>
      </c>
      <c r="Y1111" s="1" t="s">
        <v>40</v>
      </c>
      <c r="Z1111" s="1" t="n">
        <v>0</v>
      </c>
      <c r="AA1111" s="1" t="str">
        <f aca="false">TRIM(PROPER(F1111))</f>
        <v>Surat</v>
      </c>
      <c r="AB1111" s="1" t="str">
        <f aca="false">TRIM(PROPER(C1111))</f>
        <v>Meritnation</v>
      </c>
      <c r="AC1111" s="1" t="str">
        <f aca="false">IF(O1111=0,"No Discount",IF(O1111&lt;=15,"Low (1-15%)",IF(O1111&lt;=30,"Medium (16-30%)","High (&gt;30%)")))</f>
        <v>Medium (16-30%)</v>
      </c>
      <c r="AD1111" s="1" t="str">
        <f aca="false">IF(V1111&lt;0,"Loss Making",IF(V1111&lt;20,"Low Margin","Healthy Margin"))</f>
        <v>Healthy Margin</v>
      </c>
      <c r="AE1111" s="1" t="str">
        <f aca="false">TEXT(DATE(VALUE(RIGHT(B1111,4)),VALUE(MID(B1111,4,2)),VALUE(LEFT(B1111,2))),"MMM-YYYY")</f>
        <v>Oct-2023</v>
      </c>
      <c r="AF1111" s="1" t="n">
        <f aca="false">VALUE(RIGHT(B1111,4))</f>
        <v>2023</v>
      </c>
      <c r="AG1111" s="1" t="str">
        <f aca="false">CHOOSE(ROUNDUP(VALUE(MID(B1111,4,2))/3,0),"Q1","Q2","Q3","Q4")</f>
        <v>Q4</v>
      </c>
    </row>
    <row r="1112" customFormat="false" ht="15" hidden="false" customHeight="true" outlineLevel="0" collapsed="false">
      <c r="A1112" s="1" t="s">
        <v>1861</v>
      </c>
      <c r="B1112" s="1" t="s">
        <v>983</v>
      </c>
      <c r="C1112" s="1" t="s">
        <v>43</v>
      </c>
      <c r="D1112" s="1" t="s">
        <v>44</v>
      </c>
      <c r="E1112" s="1" t="s">
        <v>66</v>
      </c>
      <c r="F1112" s="1" t="s">
        <v>244</v>
      </c>
      <c r="G1112" s="1" t="s">
        <v>97</v>
      </c>
      <c r="H1112" s="1" t="s">
        <v>57</v>
      </c>
      <c r="I1112" s="1" t="s">
        <v>83</v>
      </c>
      <c r="J1112" s="1" t="s">
        <v>131</v>
      </c>
      <c r="K1112" s="1" t="s">
        <v>104</v>
      </c>
      <c r="L1112" s="1" t="s">
        <v>61</v>
      </c>
      <c r="M1112" s="1" t="s">
        <v>50</v>
      </c>
      <c r="N1112" s="1" t="n">
        <v>12999</v>
      </c>
      <c r="O1112" s="1" t="n">
        <v>40</v>
      </c>
      <c r="P1112" s="1" t="n">
        <v>5199.6</v>
      </c>
      <c r="Q1112" s="1" t="n">
        <v>7799.4</v>
      </c>
      <c r="R1112" s="1" t="n">
        <v>1403.89</v>
      </c>
      <c r="S1112" s="1" t="n">
        <v>6395.51</v>
      </c>
      <c r="T1112" s="1" t="n">
        <v>3127.63</v>
      </c>
      <c r="U1112" s="1" t="n">
        <v>3267.88</v>
      </c>
      <c r="V1112" s="1" t="n">
        <v>51.1</v>
      </c>
      <c r="W1112" s="1" t="s">
        <v>39</v>
      </c>
      <c r="X1112" s="1" t="n">
        <v>3.4</v>
      </c>
      <c r="Y1112" s="1" t="s">
        <v>40</v>
      </c>
      <c r="Z1112" s="1" t="n">
        <v>0</v>
      </c>
      <c r="AA1112" s="1" t="str">
        <f aca="false">TRIM(PROPER(F1112))</f>
        <v>Nagpur</v>
      </c>
      <c r="AB1112" s="1" t="str">
        <f aca="false">TRIM(PROPER(C1112))</f>
        <v>Meritnation</v>
      </c>
      <c r="AC1112" s="1" t="str">
        <f aca="false">IF(O1112=0,"No Discount",IF(O1112&lt;=15,"Low (1-15%)",IF(O1112&lt;=30,"Medium (16-30%)","High (&gt;30%)")))</f>
        <v>High (&gt;30%)</v>
      </c>
      <c r="AD1112" s="1" t="str">
        <f aca="false">IF(V1112&lt;0,"Loss Making",IF(V1112&lt;20,"Low Margin","Healthy Margin"))</f>
        <v>Healthy Margin</v>
      </c>
      <c r="AE1112" s="1" t="str">
        <f aca="false">TEXT(DATE(VALUE(RIGHT(B1112,4)),VALUE(MID(B1112,4,2)),VALUE(LEFT(B1112,2))),"MMM-YYYY")</f>
        <v>Jul-2023</v>
      </c>
      <c r="AF1112" s="1" t="n">
        <f aca="false">VALUE(RIGHT(B1112,4))</f>
        <v>2023</v>
      </c>
      <c r="AG1112" s="1" t="str">
        <f aca="false">CHOOSE(ROUNDUP(VALUE(MID(B1112,4,2))/3,0),"Q1","Q2","Q3","Q4")</f>
        <v>Q3</v>
      </c>
    </row>
    <row r="1113" customFormat="false" ht="15" hidden="false" customHeight="true" outlineLevel="0" collapsed="false">
      <c r="A1113" s="1" t="s">
        <v>1862</v>
      </c>
      <c r="B1113" s="1" t="s">
        <v>1528</v>
      </c>
      <c r="C1113" s="1" t="s">
        <v>249</v>
      </c>
      <c r="D1113" s="1" t="s">
        <v>29</v>
      </c>
      <c r="E1113" s="1" t="s">
        <v>30</v>
      </c>
      <c r="F1113" s="1" t="s">
        <v>153</v>
      </c>
      <c r="G1113" s="1" t="s">
        <v>76</v>
      </c>
      <c r="H1113" s="1" t="s">
        <v>33</v>
      </c>
      <c r="I1113" s="1" t="s">
        <v>83</v>
      </c>
      <c r="J1113" s="1" t="s">
        <v>131</v>
      </c>
      <c r="K1113" s="1" t="s">
        <v>104</v>
      </c>
      <c r="L1113" s="1" t="s">
        <v>113</v>
      </c>
      <c r="M1113" s="1" t="s">
        <v>62</v>
      </c>
      <c r="N1113" s="1" t="n">
        <v>7999</v>
      </c>
      <c r="O1113" s="1" t="n">
        <v>15</v>
      </c>
      <c r="P1113" s="1" t="n">
        <v>1199.85</v>
      </c>
      <c r="Q1113" s="1" t="n">
        <v>6799.15</v>
      </c>
      <c r="R1113" s="1" t="n">
        <v>1223.85</v>
      </c>
      <c r="S1113" s="1" t="n">
        <v>5575.3</v>
      </c>
      <c r="T1113" s="1" t="n">
        <v>2049.94</v>
      </c>
      <c r="U1113" s="1" t="n">
        <v>3525.36</v>
      </c>
      <c r="V1113" s="1" t="n">
        <v>63.23</v>
      </c>
      <c r="W1113" s="1" t="s">
        <v>39</v>
      </c>
      <c r="X1113" s="1" t="n">
        <v>4.5</v>
      </c>
      <c r="Y1113" s="1" t="s">
        <v>40</v>
      </c>
      <c r="Z1113" s="1" t="n">
        <v>1</v>
      </c>
      <c r="AA1113" s="1" t="str">
        <f aca="false">TRIM(PROPER(F1113))</f>
        <v>Howrah</v>
      </c>
      <c r="AB1113" s="1" t="str">
        <f aca="false">TRIM(PROPER(C1113))</f>
        <v>Whitehat Jr</v>
      </c>
      <c r="AC1113" s="1" t="str">
        <f aca="false">IF(O1113=0,"No Discount",IF(O1113&lt;=15,"Low (1-15%)",IF(O1113&lt;=30,"Medium (16-30%)","High (&gt;30%)")))</f>
        <v>Low (1-15%)</v>
      </c>
      <c r="AD1113" s="1" t="str">
        <f aca="false">IF(V1113&lt;0,"Loss Making",IF(V1113&lt;20,"Low Margin","Healthy Margin"))</f>
        <v>Healthy Margin</v>
      </c>
      <c r="AE1113" s="1" t="str">
        <f aca="false">TEXT(DATE(VALUE(RIGHT(B1113,4)),VALUE(MID(B1113,4,2)),VALUE(LEFT(B1113,2))),"MMM-YYYY")</f>
        <v>Jul-2024</v>
      </c>
      <c r="AF1113" s="1" t="n">
        <f aca="false">VALUE(RIGHT(B1113,4))</f>
        <v>2024</v>
      </c>
      <c r="AG1113" s="1" t="str">
        <f aca="false">CHOOSE(ROUNDUP(VALUE(MID(B1113,4,2))/3,0),"Q1","Q2","Q3","Q4")</f>
        <v>Q3</v>
      </c>
    </row>
    <row r="1114" customFormat="false" ht="15" hidden="false" customHeight="true" outlineLevel="0" collapsed="false">
      <c r="A1114" s="1" t="s">
        <v>1863</v>
      </c>
      <c r="B1114" s="1" t="s">
        <v>537</v>
      </c>
      <c r="C1114" s="1" t="s">
        <v>134</v>
      </c>
      <c r="D1114" s="1" t="s">
        <v>94</v>
      </c>
      <c r="E1114" s="1" t="s">
        <v>135</v>
      </c>
      <c r="F1114" s="1" t="s">
        <v>211</v>
      </c>
      <c r="G1114" s="1" t="s">
        <v>56</v>
      </c>
      <c r="H1114" s="1" t="s">
        <v>69</v>
      </c>
      <c r="I1114" s="1" t="s">
        <v>83</v>
      </c>
      <c r="J1114" s="1" t="s">
        <v>70</v>
      </c>
      <c r="K1114" s="1" t="s">
        <v>48</v>
      </c>
      <c r="L1114" s="1" t="s">
        <v>136</v>
      </c>
      <c r="M1114" s="1" t="s">
        <v>50</v>
      </c>
      <c r="N1114" s="1" t="n">
        <v>9999</v>
      </c>
      <c r="O1114" s="1" t="n">
        <v>40</v>
      </c>
      <c r="P1114" s="1" t="n">
        <v>3999.6</v>
      </c>
      <c r="Q1114" s="1" t="n">
        <v>5999.4</v>
      </c>
      <c r="R1114" s="1" t="n">
        <v>1079.89</v>
      </c>
      <c r="S1114" s="1" t="n">
        <v>4919.51</v>
      </c>
      <c r="T1114" s="1" t="n">
        <v>2105.54</v>
      </c>
      <c r="U1114" s="1" t="n">
        <v>2813.97</v>
      </c>
      <c r="V1114" s="1" t="n">
        <v>57.2</v>
      </c>
      <c r="W1114" s="1" t="s">
        <v>39</v>
      </c>
      <c r="Y1114" s="1" t="s">
        <v>40</v>
      </c>
      <c r="Z1114" s="1" t="n">
        <v>0</v>
      </c>
      <c r="AA1114" s="1" t="str">
        <f aca="false">TRIM(PROPER(F1114))</f>
        <v>Noida</v>
      </c>
      <c r="AB1114" s="1" t="str">
        <f aca="false">TRIM(PROPER(C1114))</f>
        <v>Doubtnut</v>
      </c>
      <c r="AC1114" s="1" t="str">
        <f aca="false">IF(O1114=0,"No Discount",IF(O1114&lt;=15,"Low (1-15%)",IF(O1114&lt;=30,"Medium (16-30%)","High (&gt;30%)")))</f>
        <v>High (&gt;30%)</v>
      </c>
      <c r="AD1114" s="1" t="str">
        <f aca="false">IF(V1114&lt;0,"Loss Making",IF(V1114&lt;20,"Low Margin","Healthy Margin"))</f>
        <v>Healthy Margin</v>
      </c>
      <c r="AE1114" s="1" t="str">
        <f aca="false">TEXT(DATE(VALUE(RIGHT(B1114,4)),VALUE(MID(B1114,4,2)),VALUE(LEFT(B1114,2))),"MMM-YYYY")</f>
        <v>Mar-2024</v>
      </c>
      <c r="AF1114" s="1" t="n">
        <f aca="false">VALUE(RIGHT(B1114,4))</f>
        <v>2024</v>
      </c>
      <c r="AG1114" s="1" t="str">
        <f aca="false">CHOOSE(ROUNDUP(VALUE(MID(B1114,4,2))/3,0),"Q1","Q2","Q3","Q4")</f>
        <v>Q1</v>
      </c>
    </row>
    <row r="1115" customFormat="false" ht="15" hidden="false" customHeight="true" outlineLevel="0" collapsed="false">
      <c r="A1115" s="1" t="s">
        <v>1864</v>
      </c>
      <c r="B1115" s="1" t="s">
        <v>458</v>
      </c>
      <c r="C1115" s="1" t="s">
        <v>100</v>
      </c>
      <c r="D1115" s="1" t="s">
        <v>143</v>
      </c>
      <c r="E1115" s="1" t="s">
        <v>159</v>
      </c>
      <c r="F1115" s="1" t="s">
        <v>130</v>
      </c>
      <c r="G1115" s="1" t="s">
        <v>47</v>
      </c>
      <c r="H1115" s="1" t="s">
        <v>69</v>
      </c>
      <c r="I1115" s="1" t="s">
        <v>83</v>
      </c>
      <c r="J1115" s="1" t="s">
        <v>77</v>
      </c>
      <c r="K1115" s="1" t="s">
        <v>112</v>
      </c>
      <c r="L1115" s="1" t="s">
        <v>49</v>
      </c>
      <c r="M1115" s="1" t="s">
        <v>50</v>
      </c>
      <c r="N1115" s="1" t="n">
        <v>24999</v>
      </c>
      <c r="O1115" s="1" t="n">
        <v>5</v>
      </c>
      <c r="P1115" s="1" t="n">
        <v>1249.95</v>
      </c>
      <c r="Q1115" s="1" t="n">
        <v>23749.05</v>
      </c>
      <c r="R1115" s="1" t="n">
        <v>4274.83</v>
      </c>
      <c r="S1115" s="1" t="n">
        <v>19474.22</v>
      </c>
      <c r="T1115" s="1" t="n">
        <v>7937.46</v>
      </c>
      <c r="U1115" s="1" t="n">
        <v>11536.76</v>
      </c>
      <c r="V1115" s="1" t="n">
        <v>59.24</v>
      </c>
      <c r="W1115" s="1" t="s">
        <v>40</v>
      </c>
      <c r="Y1115" s="1" t="s">
        <v>40</v>
      </c>
      <c r="Z1115" s="1" t="n">
        <v>2</v>
      </c>
      <c r="AA1115" s="1" t="str">
        <f aca="false">TRIM(PROPER(F1115))</f>
        <v>Bengaluru</v>
      </c>
      <c r="AB1115" s="1" t="str">
        <f aca="false">TRIM(PROPER(C1115))</f>
        <v>Physics Wallah</v>
      </c>
      <c r="AC1115" s="1" t="str">
        <f aca="false">IF(O1115=0,"No Discount",IF(O1115&lt;=15,"Low (1-15%)",IF(O1115&lt;=30,"Medium (16-30%)","High (&gt;30%)")))</f>
        <v>Low (1-15%)</v>
      </c>
      <c r="AD1115" s="1" t="str">
        <f aca="false">IF(V1115&lt;0,"Loss Making",IF(V1115&lt;20,"Low Margin","Healthy Margin"))</f>
        <v>Healthy Margin</v>
      </c>
      <c r="AE1115" s="1" t="str">
        <f aca="false">TEXT(DATE(VALUE(RIGHT(B1115,4)),VALUE(MID(B1115,4,2)),VALUE(LEFT(B1115,2))),"MMM-YYYY")</f>
        <v>Jan-2023</v>
      </c>
      <c r="AF1115" s="1" t="n">
        <f aca="false">VALUE(RIGHT(B1115,4))</f>
        <v>2023</v>
      </c>
      <c r="AG1115" s="1" t="str">
        <f aca="false">CHOOSE(ROUNDUP(VALUE(MID(B1115,4,2))/3,0),"Q1","Q2","Q3","Q4")</f>
        <v>Q1</v>
      </c>
    </row>
    <row r="1116" customFormat="false" ht="15" hidden="false" customHeight="true" outlineLevel="0" collapsed="false">
      <c r="A1116" s="1" t="s">
        <v>1865</v>
      </c>
      <c r="B1116" s="1" t="s">
        <v>608</v>
      </c>
      <c r="C1116" s="1" t="s">
        <v>249</v>
      </c>
      <c r="D1116" s="1" t="s">
        <v>143</v>
      </c>
      <c r="E1116" s="1" t="s">
        <v>144</v>
      </c>
      <c r="F1116" s="1" t="s">
        <v>46</v>
      </c>
      <c r="G1116" s="1" t="s">
        <v>47</v>
      </c>
      <c r="H1116" s="1" t="s">
        <v>33</v>
      </c>
      <c r="I1116" s="1" t="s">
        <v>83</v>
      </c>
      <c r="J1116" s="1" t="s">
        <v>35</v>
      </c>
      <c r="K1116" s="1" t="s">
        <v>90</v>
      </c>
      <c r="L1116" s="1" t="s">
        <v>113</v>
      </c>
      <c r="M1116" s="1" t="s">
        <v>62</v>
      </c>
      <c r="N1116" s="1" t="n">
        <v>12999</v>
      </c>
      <c r="O1116" s="1" t="n">
        <v>5</v>
      </c>
      <c r="P1116" s="1" t="n">
        <v>649.95</v>
      </c>
      <c r="Q1116" s="1" t="n">
        <v>12349.05</v>
      </c>
      <c r="R1116" s="1" t="n">
        <v>2222.83</v>
      </c>
      <c r="S1116" s="1" t="n">
        <v>10126.22</v>
      </c>
      <c r="T1116" s="1" t="n">
        <v>4650.82</v>
      </c>
      <c r="U1116" s="1" t="n">
        <v>5475.4</v>
      </c>
      <c r="V1116" s="1" t="n">
        <v>54.07</v>
      </c>
      <c r="W1116" s="1" t="s">
        <v>40</v>
      </c>
      <c r="Y1116" s="1" t="s">
        <v>40</v>
      </c>
      <c r="Z1116" s="1" t="n">
        <v>1</v>
      </c>
      <c r="AA1116" s="1" t="str">
        <f aca="false">TRIM(PROPER(F1116))</f>
        <v>Mangaluru</v>
      </c>
      <c r="AB1116" s="1" t="str">
        <f aca="false">TRIM(PROPER(C1116))</f>
        <v>Whitehat Jr</v>
      </c>
      <c r="AC1116" s="1" t="str">
        <f aca="false">IF(O1116=0,"No Discount",IF(O1116&lt;=15,"Low (1-15%)",IF(O1116&lt;=30,"Medium (16-30%)","High (&gt;30%)")))</f>
        <v>Low (1-15%)</v>
      </c>
      <c r="AD1116" s="1" t="str">
        <f aca="false">IF(V1116&lt;0,"Loss Making",IF(V1116&lt;20,"Low Margin","Healthy Margin"))</f>
        <v>Healthy Margin</v>
      </c>
      <c r="AE1116" s="1" t="str">
        <f aca="false">TEXT(DATE(VALUE(RIGHT(B1116,4)),VALUE(MID(B1116,4,2)),VALUE(LEFT(B1116,2))),"MMM-YYYY")</f>
        <v>Dec-2024</v>
      </c>
      <c r="AF1116" s="1" t="n">
        <f aca="false">VALUE(RIGHT(B1116,4))</f>
        <v>2024</v>
      </c>
      <c r="AG1116" s="1" t="str">
        <f aca="false">CHOOSE(ROUNDUP(VALUE(MID(B1116,4,2))/3,0),"Q1","Q2","Q3","Q4")</f>
        <v>Q4</v>
      </c>
    </row>
    <row r="1117" customFormat="false" ht="15" hidden="false" customHeight="true" outlineLevel="0" collapsed="false">
      <c r="A1117" s="1" t="s">
        <v>1866</v>
      </c>
      <c r="B1117" s="1" t="s">
        <v>241</v>
      </c>
      <c r="C1117" s="1" t="s">
        <v>88</v>
      </c>
      <c r="D1117" s="1" t="s">
        <v>94</v>
      </c>
      <c r="E1117" s="1" t="s">
        <v>135</v>
      </c>
      <c r="F1117" s="1" t="s">
        <v>883</v>
      </c>
      <c r="G1117" s="1" t="s">
        <v>68</v>
      </c>
      <c r="H1117" s="1" t="s">
        <v>69</v>
      </c>
      <c r="I1117" s="1" t="s">
        <v>58</v>
      </c>
      <c r="J1117" s="1" t="s">
        <v>59</v>
      </c>
      <c r="K1117" s="1" t="s">
        <v>48</v>
      </c>
      <c r="L1117" s="1" t="s">
        <v>37</v>
      </c>
      <c r="M1117" s="1" t="s">
        <v>38</v>
      </c>
      <c r="N1117" s="1" t="n">
        <v>9999</v>
      </c>
      <c r="O1117" s="1" t="n">
        <v>30</v>
      </c>
      <c r="P1117" s="1" t="n">
        <v>2999.7</v>
      </c>
      <c r="Q1117" s="1" t="n">
        <v>6999.3</v>
      </c>
      <c r="R1117" s="1" t="n">
        <v>1259.87</v>
      </c>
      <c r="S1117" s="1" t="n">
        <v>5739.43</v>
      </c>
      <c r="T1117" s="1" t="n">
        <v>2584.58</v>
      </c>
      <c r="U1117" s="1" t="n">
        <v>3154.85</v>
      </c>
      <c r="V1117" s="1" t="n">
        <v>54.97</v>
      </c>
      <c r="W1117" s="1" t="s">
        <v>40</v>
      </c>
      <c r="Y1117" s="1" t="s">
        <v>39</v>
      </c>
      <c r="Z1117" s="1" t="n">
        <v>0</v>
      </c>
      <c r="AA1117" s="1" t="str">
        <f aca="false">TRIM(PROPER(F1117))</f>
        <v>Ahmedabad</v>
      </c>
      <c r="AB1117" s="1" t="str">
        <f aca="false">TRIM(PROPER(C1117))</f>
        <v>Byju'S</v>
      </c>
      <c r="AC1117" s="1" t="str">
        <f aca="false">IF(O1117=0,"No Discount",IF(O1117&lt;=15,"Low (1-15%)",IF(O1117&lt;=30,"Medium (16-30%)","High (&gt;30%)")))</f>
        <v>Medium (16-30%)</v>
      </c>
      <c r="AD1117" s="1" t="str">
        <f aca="false">IF(V1117&lt;0,"Loss Making",IF(V1117&lt;20,"Low Margin","Healthy Margin"))</f>
        <v>Healthy Margin</v>
      </c>
      <c r="AE1117" s="1" t="str">
        <f aca="false">TEXT(DATE(VALUE(RIGHT(B1117,4)),VALUE(MID(B1117,4,2)),VALUE(LEFT(B1117,2))),"MMM-YYYY")</f>
        <v>Nov-2023</v>
      </c>
      <c r="AF1117" s="1" t="n">
        <f aca="false">VALUE(RIGHT(B1117,4))</f>
        <v>2023</v>
      </c>
      <c r="AG1117" s="1" t="str">
        <f aca="false">CHOOSE(ROUNDUP(VALUE(MID(B1117,4,2))/3,0),"Q1","Q2","Q3","Q4")</f>
        <v>Q4</v>
      </c>
    </row>
    <row r="1118" customFormat="false" ht="15" hidden="false" customHeight="true" outlineLevel="0" collapsed="false">
      <c r="A1118" s="1" t="s">
        <v>1867</v>
      </c>
      <c r="B1118" s="1" t="s">
        <v>227</v>
      </c>
      <c r="C1118" s="1" t="s">
        <v>134</v>
      </c>
      <c r="D1118" s="1" t="s">
        <v>53</v>
      </c>
      <c r="E1118" s="1" t="s">
        <v>116</v>
      </c>
      <c r="F1118" s="1" t="s">
        <v>67</v>
      </c>
      <c r="G1118" s="1" t="s">
        <v>68</v>
      </c>
      <c r="H1118" s="1" t="s">
        <v>69</v>
      </c>
      <c r="I1118" s="1" t="s">
        <v>34</v>
      </c>
      <c r="J1118" s="1" t="s">
        <v>77</v>
      </c>
      <c r="K1118" s="1" t="s">
        <v>90</v>
      </c>
      <c r="L1118" s="1" t="s">
        <v>113</v>
      </c>
      <c r="M1118" s="1" t="s">
        <v>50</v>
      </c>
      <c r="N1118" s="1" t="n">
        <v>9999</v>
      </c>
      <c r="O1118" s="1" t="n">
        <v>10</v>
      </c>
      <c r="P1118" s="1" t="n">
        <v>999.9</v>
      </c>
      <c r="Q1118" s="1" t="n">
        <v>8999.1</v>
      </c>
      <c r="R1118" s="1" t="n">
        <v>1619.84</v>
      </c>
      <c r="S1118" s="1" t="n">
        <v>7379.26</v>
      </c>
      <c r="T1118" s="1" t="n">
        <v>2921.02</v>
      </c>
      <c r="U1118" s="1" t="n">
        <v>4458.24</v>
      </c>
      <c r="V1118" s="1" t="n">
        <v>60.42</v>
      </c>
      <c r="W1118" s="1" t="s">
        <v>40</v>
      </c>
      <c r="Y1118" s="1" t="s">
        <v>40</v>
      </c>
      <c r="Z1118" s="1" t="n">
        <v>1</v>
      </c>
      <c r="AA1118" s="1" t="str">
        <f aca="false">TRIM(PROPER(F1118))</f>
        <v>Ahmedabad</v>
      </c>
      <c r="AB1118" s="1" t="str">
        <f aca="false">TRIM(PROPER(C1118))</f>
        <v>Doubtnut</v>
      </c>
      <c r="AC1118" s="1" t="str">
        <f aca="false">IF(O1118=0,"No Discount",IF(O1118&lt;=15,"Low (1-15%)",IF(O1118&lt;=30,"Medium (16-30%)","High (&gt;30%)")))</f>
        <v>Low (1-15%)</v>
      </c>
      <c r="AD1118" s="1" t="str">
        <f aca="false">IF(V1118&lt;0,"Loss Making",IF(V1118&lt;20,"Low Margin","Healthy Margin"))</f>
        <v>Healthy Margin</v>
      </c>
      <c r="AE1118" s="1" t="str">
        <f aca="false">TEXT(DATE(VALUE(RIGHT(B1118,4)),VALUE(MID(B1118,4,2)),VALUE(LEFT(B1118,2))),"MMM-YYYY")</f>
        <v>Aug-2023</v>
      </c>
      <c r="AF1118" s="1" t="n">
        <f aca="false">VALUE(RIGHT(B1118,4))</f>
        <v>2023</v>
      </c>
      <c r="AG1118" s="1" t="str">
        <f aca="false">CHOOSE(ROUNDUP(VALUE(MID(B1118,4,2))/3,0),"Q1","Q2","Q3","Q4")</f>
        <v>Q3</v>
      </c>
    </row>
    <row r="1119" customFormat="false" ht="15" hidden="false" customHeight="true" outlineLevel="0" collapsed="false">
      <c r="A1119" s="1" t="s">
        <v>1868</v>
      </c>
      <c r="B1119" s="1" t="s">
        <v>1046</v>
      </c>
      <c r="C1119" s="1" t="s">
        <v>264</v>
      </c>
      <c r="D1119" s="1" t="s">
        <v>44</v>
      </c>
      <c r="E1119" s="1" t="s">
        <v>45</v>
      </c>
      <c r="F1119" s="1" t="s">
        <v>474</v>
      </c>
      <c r="G1119" s="1" t="s">
        <v>108</v>
      </c>
      <c r="H1119" s="1" t="s">
        <v>69</v>
      </c>
      <c r="I1119" s="1" t="s">
        <v>58</v>
      </c>
      <c r="J1119" s="1" t="s">
        <v>70</v>
      </c>
      <c r="K1119" s="1" t="s">
        <v>48</v>
      </c>
      <c r="L1119" s="1" t="s">
        <v>61</v>
      </c>
      <c r="M1119" s="1" t="s">
        <v>50</v>
      </c>
      <c r="N1119" s="1" t="n">
        <v>11999</v>
      </c>
      <c r="O1119" s="1" t="n">
        <v>15</v>
      </c>
      <c r="P1119" s="1" t="n">
        <v>1799.85</v>
      </c>
      <c r="Q1119" s="1" t="n">
        <v>10199.15</v>
      </c>
      <c r="R1119" s="1" t="n">
        <v>1835.85</v>
      </c>
      <c r="S1119" s="1" t="n">
        <v>8363.3</v>
      </c>
      <c r="T1119" s="1" t="n">
        <v>3175.44</v>
      </c>
      <c r="U1119" s="1" t="n">
        <v>5187.86</v>
      </c>
      <c r="V1119" s="1" t="n">
        <v>62.03</v>
      </c>
      <c r="W1119" s="1" t="s">
        <v>39</v>
      </c>
      <c r="X1119" s="1" t="n">
        <v>4</v>
      </c>
      <c r="Y1119" s="1" t="s">
        <v>40</v>
      </c>
      <c r="Z1119" s="1" t="n">
        <v>0</v>
      </c>
      <c r="AA1119" s="1" t="str">
        <f aca="false">TRIM(PROPER(F1119))</f>
        <v>Chennai</v>
      </c>
      <c r="AB1119" s="1" t="str">
        <f aca="false">TRIM(PROPER(C1119))</f>
        <v>Unacademy</v>
      </c>
      <c r="AC1119" s="1" t="str">
        <f aca="false">IF(O1119=0,"No Discount",IF(O1119&lt;=15,"Low (1-15%)",IF(O1119&lt;=30,"Medium (16-30%)","High (&gt;30%)")))</f>
        <v>Low (1-15%)</v>
      </c>
      <c r="AD1119" s="1" t="str">
        <f aca="false">IF(V1119&lt;0,"Loss Making",IF(V1119&lt;20,"Low Margin","Healthy Margin"))</f>
        <v>Healthy Margin</v>
      </c>
      <c r="AE1119" s="1" t="str">
        <f aca="false">TEXT(DATE(VALUE(RIGHT(B1119,4)),VALUE(MID(B1119,4,2)),VALUE(LEFT(B1119,2))),"MMM-YYYY")</f>
        <v>Aug-2023</v>
      </c>
      <c r="AF1119" s="1" t="n">
        <f aca="false">VALUE(RIGHT(B1119,4))</f>
        <v>2023</v>
      </c>
      <c r="AG1119" s="1" t="str">
        <f aca="false">CHOOSE(ROUNDUP(VALUE(MID(B1119,4,2))/3,0),"Q1","Q2","Q3","Q4")</f>
        <v>Q3</v>
      </c>
    </row>
    <row r="1120" customFormat="false" ht="15" hidden="false" customHeight="true" outlineLevel="0" collapsed="false">
      <c r="A1120" s="1" t="s">
        <v>1869</v>
      </c>
      <c r="B1120" s="1" t="s">
        <v>854</v>
      </c>
      <c r="C1120" s="1" t="s">
        <v>65</v>
      </c>
      <c r="D1120" s="1" t="s">
        <v>53</v>
      </c>
      <c r="E1120" s="1" t="s">
        <v>54</v>
      </c>
      <c r="F1120" s="1" t="s">
        <v>96</v>
      </c>
      <c r="G1120" s="1" t="s">
        <v>97</v>
      </c>
      <c r="H1120" s="1" t="s">
        <v>69</v>
      </c>
      <c r="I1120" s="1" t="s">
        <v>83</v>
      </c>
      <c r="J1120" s="1" t="s">
        <v>70</v>
      </c>
      <c r="K1120" s="1" t="s">
        <v>104</v>
      </c>
      <c r="L1120" s="1" t="s">
        <v>49</v>
      </c>
      <c r="M1120" s="1" t="s">
        <v>38</v>
      </c>
      <c r="N1120" s="1" t="n">
        <v>11999</v>
      </c>
      <c r="O1120" s="1" t="n">
        <v>10</v>
      </c>
      <c r="P1120" s="1" t="n">
        <v>1199.9</v>
      </c>
      <c r="Q1120" s="1" t="n">
        <v>10799.1</v>
      </c>
      <c r="R1120" s="1" t="n">
        <v>1943.84</v>
      </c>
      <c r="S1120" s="1" t="n">
        <v>8855.26</v>
      </c>
      <c r="T1120" s="1" t="n">
        <v>3417.19</v>
      </c>
      <c r="U1120" s="1" t="n">
        <v>5438.07</v>
      </c>
      <c r="V1120" s="1" t="n">
        <v>61.41</v>
      </c>
      <c r="W1120" s="1" t="s">
        <v>39</v>
      </c>
      <c r="X1120" s="1" t="n">
        <v>3.2</v>
      </c>
      <c r="Y1120" s="1" t="s">
        <v>40</v>
      </c>
      <c r="Z1120" s="1" t="n">
        <v>0</v>
      </c>
      <c r="AA1120" s="1" t="str">
        <f aca="false">TRIM(PROPER(F1120))</f>
        <v>Pune</v>
      </c>
      <c r="AB1120" s="1" t="str">
        <f aca="false">TRIM(PROPER(C1120))</f>
        <v>Toppr</v>
      </c>
      <c r="AC1120" s="1" t="str">
        <f aca="false">IF(O1120=0,"No Discount",IF(O1120&lt;=15,"Low (1-15%)",IF(O1120&lt;=30,"Medium (16-30%)","High (&gt;30%)")))</f>
        <v>Low (1-15%)</v>
      </c>
      <c r="AD1120" s="1" t="str">
        <f aca="false">IF(V1120&lt;0,"Loss Making",IF(V1120&lt;20,"Low Margin","Healthy Margin"))</f>
        <v>Healthy Margin</v>
      </c>
      <c r="AE1120" s="1" t="str">
        <f aca="false">TEXT(DATE(VALUE(RIGHT(B1120,4)),VALUE(MID(B1120,4,2)),VALUE(LEFT(B1120,2))),"MMM-YYYY")</f>
        <v>Apr-2024</v>
      </c>
      <c r="AF1120" s="1" t="n">
        <f aca="false">VALUE(RIGHT(B1120,4))</f>
        <v>2024</v>
      </c>
      <c r="AG1120" s="1" t="str">
        <f aca="false">CHOOSE(ROUNDUP(VALUE(MID(B1120,4,2))/3,0),"Q1","Q2","Q3","Q4")</f>
        <v>Q2</v>
      </c>
    </row>
    <row r="1121" customFormat="false" ht="15" hidden="false" customHeight="true" outlineLevel="0" collapsed="false">
      <c r="A1121" s="1" t="s">
        <v>1870</v>
      </c>
      <c r="B1121" s="1" t="s">
        <v>458</v>
      </c>
      <c r="C1121" s="1" t="s">
        <v>249</v>
      </c>
      <c r="D1121" s="1" t="s">
        <v>168</v>
      </c>
      <c r="E1121" s="1" t="s">
        <v>197</v>
      </c>
      <c r="F1121" s="1" t="s">
        <v>205</v>
      </c>
      <c r="G1121" s="1" t="s">
        <v>56</v>
      </c>
      <c r="H1121" s="1" t="s">
        <v>69</v>
      </c>
      <c r="I1121" s="1" t="s">
        <v>34</v>
      </c>
      <c r="J1121" s="1" t="s">
        <v>59</v>
      </c>
      <c r="K1121" s="1" t="s">
        <v>60</v>
      </c>
      <c r="L1121" s="1" t="s">
        <v>37</v>
      </c>
      <c r="M1121" s="1" t="s">
        <v>62</v>
      </c>
      <c r="N1121" s="1" t="n">
        <v>8499</v>
      </c>
      <c r="O1121" s="1" t="n">
        <v>0</v>
      </c>
      <c r="P1121" s="1" t="n">
        <v>0</v>
      </c>
      <c r="Q1121" s="1" t="n">
        <v>8499</v>
      </c>
      <c r="R1121" s="1" t="n">
        <v>1529.82</v>
      </c>
      <c r="S1121" s="1" t="n">
        <v>6969.18</v>
      </c>
      <c r="T1121" s="1" t="n">
        <v>2353.04</v>
      </c>
      <c r="U1121" s="1" t="n">
        <v>4616.14</v>
      </c>
      <c r="V1121" s="1" t="n">
        <v>66.24</v>
      </c>
      <c r="W1121" s="1" t="s">
        <v>39</v>
      </c>
      <c r="X1121" s="1" t="n">
        <v>4</v>
      </c>
      <c r="Y1121" s="1" t="s">
        <v>40</v>
      </c>
      <c r="Z1121" s="1" t="n">
        <v>0</v>
      </c>
      <c r="AA1121" s="1" t="str">
        <f aca="false">TRIM(PROPER(F1121))</f>
        <v>New Delhi</v>
      </c>
      <c r="AB1121" s="1" t="str">
        <f aca="false">TRIM(PROPER(C1121))</f>
        <v>Whitehat Jr</v>
      </c>
      <c r="AC1121" s="1" t="str">
        <f aca="false">IF(O1121=0,"No Discount",IF(O1121&lt;=15,"Low (1-15%)",IF(O1121&lt;=30,"Medium (16-30%)","High (&gt;30%)")))</f>
        <v>No Discount</v>
      </c>
      <c r="AD1121" s="1" t="str">
        <f aca="false">IF(V1121&lt;0,"Loss Making",IF(V1121&lt;20,"Low Margin","Healthy Margin"))</f>
        <v>Healthy Margin</v>
      </c>
      <c r="AE1121" s="1" t="str">
        <f aca="false">TEXT(DATE(VALUE(RIGHT(B1121,4)),VALUE(MID(B1121,4,2)),VALUE(LEFT(B1121,2))),"MMM-YYYY")</f>
        <v>Jan-2023</v>
      </c>
      <c r="AF1121" s="1" t="n">
        <f aca="false">VALUE(RIGHT(B1121,4))</f>
        <v>2023</v>
      </c>
      <c r="AG1121" s="1" t="str">
        <f aca="false">CHOOSE(ROUNDUP(VALUE(MID(B1121,4,2))/3,0),"Q1","Q2","Q3","Q4")</f>
        <v>Q1</v>
      </c>
    </row>
    <row r="1122" customFormat="false" ht="15" hidden="false" customHeight="true" outlineLevel="0" collapsed="false">
      <c r="A1122" s="1" t="s">
        <v>1871</v>
      </c>
      <c r="B1122" s="1" t="s">
        <v>1465</v>
      </c>
      <c r="C1122" s="1" t="s">
        <v>167</v>
      </c>
      <c r="D1122" s="1" t="s">
        <v>80</v>
      </c>
      <c r="E1122" s="1" t="s">
        <v>193</v>
      </c>
      <c r="F1122" s="1" t="s">
        <v>89</v>
      </c>
      <c r="G1122" s="1" t="s">
        <v>68</v>
      </c>
      <c r="H1122" s="1" t="s">
        <v>33</v>
      </c>
      <c r="I1122" s="1" t="s">
        <v>58</v>
      </c>
      <c r="J1122" s="1" t="s">
        <v>77</v>
      </c>
      <c r="K1122" s="1" t="s">
        <v>90</v>
      </c>
      <c r="L1122" s="1" t="s">
        <v>49</v>
      </c>
      <c r="M1122" s="1" t="s">
        <v>62</v>
      </c>
      <c r="N1122" s="1" t="n">
        <v>8999</v>
      </c>
      <c r="O1122" s="1" t="n">
        <v>50</v>
      </c>
      <c r="P1122" s="1" t="n">
        <v>4499.5</v>
      </c>
      <c r="Q1122" s="1" t="n">
        <v>4499.5</v>
      </c>
      <c r="R1122" s="1" t="n">
        <v>809.91</v>
      </c>
      <c r="S1122" s="1" t="n">
        <v>3689.59</v>
      </c>
      <c r="T1122" s="1" t="n">
        <v>2232.11</v>
      </c>
      <c r="U1122" s="1" t="n">
        <v>1457.48</v>
      </c>
      <c r="V1122" s="1" t="n">
        <v>39.5</v>
      </c>
      <c r="W1122" s="1" t="s">
        <v>40</v>
      </c>
      <c r="Y1122" s="1" t="s">
        <v>40</v>
      </c>
      <c r="Z1122" s="1" t="n">
        <v>1</v>
      </c>
      <c r="AA1122" s="1" t="str">
        <f aca="false">TRIM(PROPER(F1122))</f>
        <v>Vadodara</v>
      </c>
      <c r="AB1122" s="1" t="str">
        <f aca="false">TRIM(PROPER(C1122))</f>
        <v>Scaler</v>
      </c>
      <c r="AC1122" s="1" t="str">
        <f aca="false">IF(O1122=0,"No Discount",IF(O1122&lt;=15,"Low (1-15%)",IF(O1122&lt;=30,"Medium (16-30%)","High (&gt;30%)")))</f>
        <v>High (&gt;30%)</v>
      </c>
      <c r="AD1122" s="1" t="str">
        <f aca="false">IF(V1122&lt;0,"Loss Making",IF(V1122&lt;20,"Low Margin","Healthy Margin"))</f>
        <v>Healthy Margin</v>
      </c>
      <c r="AE1122" s="1" t="str">
        <f aca="false">TEXT(DATE(VALUE(RIGHT(B1122,4)),VALUE(MID(B1122,4,2)),VALUE(LEFT(B1122,2))),"MMM-YYYY")</f>
        <v>Sep-2024</v>
      </c>
      <c r="AF1122" s="1" t="n">
        <f aca="false">VALUE(RIGHT(B1122,4))</f>
        <v>2024</v>
      </c>
      <c r="AG1122" s="1" t="str">
        <f aca="false">CHOOSE(ROUNDUP(VALUE(MID(B1122,4,2))/3,0),"Q1","Q2","Q3","Q4")</f>
        <v>Q3</v>
      </c>
    </row>
    <row r="1123" customFormat="false" ht="15" hidden="false" customHeight="true" outlineLevel="0" collapsed="false">
      <c r="A1123" s="1" t="s">
        <v>1872</v>
      </c>
      <c r="B1123" s="1" t="s">
        <v>115</v>
      </c>
      <c r="C1123" s="1" t="s">
        <v>100</v>
      </c>
      <c r="D1123" s="1" t="s">
        <v>29</v>
      </c>
      <c r="E1123" s="1" t="s">
        <v>129</v>
      </c>
      <c r="F1123" s="1" t="s">
        <v>140</v>
      </c>
      <c r="G1123" s="1" t="s">
        <v>97</v>
      </c>
      <c r="H1123" s="1" t="s">
        <v>57</v>
      </c>
      <c r="I1123" s="1" t="s">
        <v>34</v>
      </c>
      <c r="J1123" s="1" t="s">
        <v>131</v>
      </c>
      <c r="K1123" s="1" t="s">
        <v>60</v>
      </c>
      <c r="L1123" s="1" t="s">
        <v>49</v>
      </c>
      <c r="M1123" s="1" t="s">
        <v>50</v>
      </c>
      <c r="N1123" s="1" t="n">
        <v>29999</v>
      </c>
      <c r="O1123" s="1" t="n">
        <v>15</v>
      </c>
      <c r="P1123" s="1" t="n">
        <v>4499.85</v>
      </c>
      <c r="Q1123" s="1" t="n">
        <v>25499.15</v>
      </c>
      <c r="R1123" s="1" t="n">
        <v>4589.85</v>
      </c>
      <c r="S1123" s="1" t="n">
        <v>20909.3</v>
      </c>
      <c r="T1123" s="1" t="n">
        <v>9556.12</v>
      </c>
      <c r="U1123" s="1" t="n">
        <v>11353.18</v>
      </c>
      <c r="V1123" s="1" t="n">
        <v>54.3</v>
      </c>
      <c r="W1123" s="1" t="s">
        <v>39</v>
      </c>
      <c r="X1123" s="1" t="n">
        <v>4</v>
      </c>
      <c r="Y1123" s="1" t="s">
        <v>40</v>
      </c>
      <c r="Z1123" s="1" t="n">
        <v>0</v>
      </c>
      <c r="AA1123" s="1" t="str">
        <f aca="false">TRIM(PROPER(F1123))</f>
        <v>Nashik</v>
      </c>
      <c r="AB1123" s="1" t="str">
        <f aca="false">TRIM(PROPER(C1123))</f>
        <v>Physics Wallah</v>
      </c>
      <c r="AC1123" s="1" t="str">
        <f aca="false">IF(O1123=0,"No Discount",IF(O1123&lt;=15,"Low (1-15%)",IF(O1123&lt;=30,"Medium (16-30%)","High (&gt;30%)")))</f>
        <v>Low (1-15%)</v>
      </c>
      <c r="AD1123" s="1" t="str">
        <f aca="false">IF(V1123&lt;0,"Loss Making",IF(V1123&lt;20,"Low Margin","Healthy Margin"))</f>
        <v>Healthy Margin</v>
      </c>
      <c r="AE1123" s="1" t="str">
        <f aca="false">TEXT(DATE(VALUE(RIGHT(B1123,4)),VALUE(MID(B1123,4,2)),VALUE(LEFT(B1123,2))),"MMM-YYYY")</f>
        <v>Feb-2024</v>
      </c>
      <c r="AF1123" s="1" t="n">
        <f aca="false">VALUE(RIGHT(B1123,4))</f>
        <v>2024</v>
      </c>
      <c r="AG1123" s="1" t="str">
        <f aca="false">CHOOSE(ROUNDUP(VALUE(MID(B1123,4,2))/3,0),"Q1","Q2","Q3","Q4")</f>
        <v>Q1</v>
      </c>
    </row>
    <row r="1124" customFormat="false" ht="15" hidden="false" customHeight="true" outlineLevel="0" collapsed="false">
      <c r="A1124" s="1" t="s">
        <v>1873</v>
      </c>
      <c r="B1124" s="1" t="s">
        <v>758</v>
      </c>
      <c r="C1124" s="1" t="s">
        <v>178</v>
      </c>
      <c r="D1124" s="1" t="s">
        <v>53</v>
      </c>
      <c r="E1124" s="1" t="s">
        <v>54</v>
      </c>
      <c r="F1124" s="1" t="s">
        <v>205</v>
      </c>
      <c r="G1124" s="1" t="s">
        <v>56</v>
      </c>
      <c r="H1124" s="1" t="s">
        <v>69</v>
      </c>
      <c r="I1124" s="1" t="s">
        <v>83</v>
      </c>
      <c r="J1124" s="1" t="s">
        <v>59</v>
      </c>
      <c r="K1124" s="1" t="s">
        <v>84</v>
      </c>
      <c r="L1124" s="1" t="s">
        <v>113</v>
      </c>
      <c r="M1124" s="1" t="s">
        <v>50</v>
      </c>
      <c r="N1124" s="1" t="n">
        <v>11999</v>
      </c>
      <c r="O1124" s="1" t="n">
        <v>0</v>
      </c>
      <c r="P1124" s="1" t="n">
        <v>0</v>
      </c>
      <c r="Q1124" s="1" t="n">
        <v>11999</v>
      </c>
      <c r="R1124" s="1" t="n">
        <v>2159.82</v>
      </c>
      <c r="S1124" s="1" t="n">
        <v>9839.18</v>
      </c>
      <c r="T1124" s="1" t="n">
        <v>3261.41</v>
      </c>
      <c r="U1124" s="1" t="n">
        <v>6577.77</v>
      </c>
      <c r="V1124" s="1" t="n">
        <v>66.85</v>
      </c>
      <c r="W1124" s="1" t="s">
        <v>40</v>
      </c>
      <c r="Y1124" s="1" t="s">
        <v>40</v>
      </c>
      <c r="Z1124" s="1" t="n">
        <v>1</v>
      </c>
      <c r="AA1124" s="1" t="str">
        <f aca="false">TRIM(PROPER(F1124))</f>
        <v>New Delhi</v>
      </c>
      <c r="AB1124" s="1" t="str">
        <f aca="false">TRIM(PROPER(C1124))</f>
        <v>Leverage Edu</v>
      </c>
      <c r="AC1124" s="1" t="str">
        <f aca="false">IF(O1124=0,"No Discount",IF(O1124&lt;=15,"Low (1-15%)",IF(O1124&lt;=30,"Medium (16-30%)","High (&gt;30%)")))</f>
        <v>No Discount</v>
      </c>
      <c r="AD1124" s="1" t="str">
        <f aca="false">IF(V1124&lt;0,"Loss Making",IF(V1124&lt;20,"Low Margin","Healthy Margin"))</f>
        <v>Healthy Margin</v>
      </c>
      <c r="AE1124" s="1" t="str">
        <f aca="false">TEXT(DATE(VALUE(RIGHT(B1124,4)),VALUE(MID(B1124,4,2)),VALUE(LEFT(B1124,2))),"MMM-YYYY")</f>
        <v>Jan-2024</v>
      </c>
      <c r="AF1124" s="1" t="n">
        <f aca="false">VALUE(RIGHT(B1124,4))</f>
        <v>2024</v>
      </c>
      <c r="AG1124" s="1" t="str">
        <f aca="false">CHOOSE(ROUNDUP(VALUE(MID(B1124,4,2))/3,0),"Q1","Q2","Q3","Q4")</f>
        <v>Q1</v>
      </c>
    </row>
    <row r="1125" customFormat="false" ht="15" hidden="false" customHeight="true" outlineLevel="0" collapsed="false">
      <c r="A1125" s="1" t="s">
        <v>1874</v>
      </c>
      <c r="B1125" s="1" t="s">
        <v>1275</v>
      </c>
      <c r="C1125" s="1" t="s">
        <v>178</v>
      </c>
      <c r="D1125" s="1" t="s">
        <v>143</v>
      </c>
      <c r="E1125" s="1" t="s">
        <v>162</v>
      </c>
      <c r="F1125" s="1" t="s">
        <v>46</v>
      </c>
      <c r="G1125" s="1" t="s">
        <v>47</v>
      </c>
      <c r="H1125" s="1" t="s">
        <v>33</v>
      </c>
      <c r="I1125" s="1" t="s">
        <v>34</v>
      </c>
      <c r="J1125" s="1" t="s">
        <v>131</v>
      </c>
      <c r="K1125" s="1" t="s">
        <v>112</v>
      </c>
      <c r="L1125" s="1" t="s">
        <v>37</v>
      </c>
      <c r="M1125" s="1" t="s">
        <v>50</v>
      </c>
      <c r="N1125" s="1" t="n">
        <v>14999</v>
      </c>
      <c r="O1125" s="1" t="n">
        <v>0</v>
      </c>
      <c r="P1125" s="1" t="n">
        <v>0</v>
      </c>
      <c r="Q1125" s="1" t="n">
        <v>14999</v>
      </c>
      <c r="R1125" s="1" t="n">
        <v>2699.82</v>
      </c>
      <c r="S1125" s="1" t="n">
        <v>12299.18</v>
      </c>
      <c r="T1125" s="1" t="n">
        <v>4665.86</v>
      </c>
      <c r="U1125" s="1" t="n">
        <v>7633.32</v>
      </c>
      <c r="V1125" s="1" t="n">
        <v>62.06</v>
      </c>
      <c r="W1125" s="1" t="s">
        <v>40</v>
      </c>
      <c r="Y1125" s="1" t="s">
        <v>40</v>
      </c>
      <c r="Z1125" s="1" t="n">
        <v>0</v>
      </c>
      <c r="AA1125" s="1" t="str">
        <f aca="false">TRIM(PROPER(F1125))</f>
        <v>Mangaluru</v>
      </c>
      <c r="AB1125" s="1" t="str">
        <f aca="false">TRIM(PROPER(C1125))</f>
        <v>Leverage Edu</v>
      </c>
      <c r="AC1125" s="1" t="str">
        <f aca="false">IF(O1125=0,"No Discount",IF(O1125&lt;=15,"Low (1-15%)",IF(O1125&lt;=30,"Medium (16-30%)","High (&gt;30%)")))</f>
        <v>No Discount</v>
      </c>
      <c r="AD1125" s="1" t="str">
        <f aca="false">IF(V1125&lt;0,"Loss Making",IF(V1125&lt;20,"Low Margin","Healthy Margin"))</f>
        <v>Healthy Margin</v>
      </c>
      <c r="AE1125" s="1" t="str">
        <f aca="false">TEXT(DATE(VALUE(RIGHT(B1125,4)),VALUE(MID(B1125,4,2)),VALUE(LEFT(B1125,2))),"MMM-YYYY")</f>
        <v>Dec-2024</v>
      </c>
      <c r="AF1125" s="1" t="n">
        <f aca="false">VALUE(RIGHT(B1125,4))</f>
        <v>2024</v>
      </c>
      <c r="AG1125" s="1" t="str">
        <f aca="false">CHOOSE(ROUNDUP(VALUE(MID(B1125,4,2))/3,0),"Q1","Q2","Q3","Q4")</f>
        <v>Q4</v>
      </c>
    </row>
    <row r="1126" customFormat="false" ht="15" hidden="false" customHeight="true" outlineLevel="0" collapsed="false">
      <c r="A1126" s="1" t="s">
        <v>1875</v>
      </c>
      <c r="B1126" s="1" t="s">
        <v>1402</v>
      </c>
      <c r="C1126" s="1" t="s">
        <v>74</v>
      </c>
      <c r="D1126" s="1" t="s">
        <v>44</v>
      </c>
      <c r="E1126" s="1" t="s">
        <v>66</v>
      </c>
      <c r="F1126" s="1" t="s">
        <v>89</v>
      </c>
      <c r="G1126" s="1" t="s">
        <v>68</v>
      </c>
      <c r="H1126" s="1" t="s">
        <v>33</v>
      </c>
      <c r="I1126" s="1" t="s">
        <v>83</v>
      </c>
      <c r="J1126" s="1" t="s">
        <v>77</v>
      </c>
      <c r="K1126" s="1" t="s">
        <v>71</v>
      </c>
      <c r="L1126" s="1" t="s">
        <v>113</v>
      </c>
      <c r="M1126" s="1" t="s">
        <v>50</v>
      </c>
      <c r="N1126" s="1" t="n">
        <v>12999</v>
      </c>
      <c r="O1126" s="1" t="n">
        <v>0</v>
      </c>
      <c r="P1126" s="1" t="n">
        <v>0</v>
      </c>
      <c r="Q1126" s="1" t="n">
        <v>12999</v>
      </c>
      <c r="R1126" s="1" t="n">
        <v>2339.82</v>
      </c>
      <c r="S1126" s="1" t="n">
        <v>10659.18</v>
      </c>
      <c r="T1126" s="1" t="n">
        <v>5104.34</v>
      </c>
      <c r="U1126" s="1" t="n">
        <v>5554.84</v>
      </c>
      <c r="V1126" s="1" t="n">
        <v>52.11</v>
      </c>
      <c r="W1126" s="1" t="s">
        <v>39</v>
      </c>
      <c r="X1126" s="1" t="n">
        <v>4.4</v>
      </c>
      <c r="Y1126" s="1" t="s">
        <v>40</v>
      </c>
      <c r="Z1126" s="1" t="n">
        <v>0</v>
      </c>
      <c r="AA1126" s="1" t="str">
        <f aca="false">TRIM(PROPER(F1126))</f>
        <v>Vadodara</v>
      </c>
      <c r="AB1126" s="1" t="str">
        <f aca="false">TRIM(PROPER(C1126))</f>
        <v>Vedantu</v>
      </c>
      <c r="AC1126" s="1" t="str">
        <f aca="false">IF(O1126=0,"No Discount",IF(O1126&lt;=15,"Low (1-15%)",IF(O1126&lt;=30,"Medium (16-30%)","High (&gt;30%)")))</f>
        <v>No Discount</v>
      </c>
      <c r="AD1126" s="1" t="str">
        <f aca="false">IF(V1126&lt;0,"Loss Making",IF(V1126&lt;20,"Low Margin","Healthy Margin"))</f>
        <v>Healthy Margin</v>
      </c>
      <c r="AE1126" s="1" t="str">
        <f aca="false">TEXT(DATE(VALUE(RIGHT(B1126,4)),VALUE(MID(B1126,4,2)),VALUE(LEFT(B1126,2))),"MMM-YYYY")</f>
        <v>Apr-2023</v>
      </c>
      <c r="AF1126" s="1" t="n">
        <f aca="false">VALUE(RIGHT(B1126,4))</f>
        <v>2023</v>
      </c>
      <c r="AG1126" s="1" t="str">
        <f aca="false">CHOOSE(ROUNDUP(VALUE(MID(B1126,4,2))/3,0),"Q1","Q2","Q3","Q4")</f>
        <v>Q2</v>
      </c>
    </row>
    <row r="1127" customFormat="false" ht="15" hidden="false" customHeight="true" outlineLevel="0" collapsed="false">
      <c r="A1127" s="1" t="s">
        <v>1876</v>
      </c>
      <c r="B1127" s="1" t="s">
        <v>327</v>
      </c>
      <c r="C1127" s="1" t="s">
        <v>178</v>
      </c>
      <c r="D1127" s="1" t="s">
        <v>94</v>
      </c>
      <c r="E1127" s="1" t="s">
        <v>135</v>
      </c>
      <c r="F1127" s="1" t="s">
        <v>120</v>
      </c>
      <c r="G1127" s="1" t="s">
        <v>47</v>
      </c>
      <c r="H1127" s="1" t="s">
        <v>57</v>
      </c>
      <c r="I1127" s="1" t="s">
        <v>58</v>
      </c>
      <c r="J1127" s="1" t="s">
        <v>70</v>
      </c>
      <c r="K1127" s="1" t="s">
        <v>104</v>
      </c>
      <c r="L1127" s="1" t="s">
        <v>37</v>
      </c>
      <c r="M1127" s="1" t="s">
        <v>62</v>
      </c>
      <c r="N1127" s="1" t="n">
        <v>9999</v>
      </c>
      <c r="O1127" s="1" t="n">
        <v>30</v>
      </c>
      <c r="P1127" s="1" t="n">
        <v>2999.7</v>
      </c>
      <c r="Q1127" s="1" t="n">
        <v>6999.3</v>
      </c>
      <c r="R1127" s="1" t="n">
        <v>1259.87</v>
      </c>
      <c r="S1127" s="1" t="n">
        <v>5739.43</v>
      </c>
      <c r="T1127" s="1" t="n">
        <v>2245.87</v>
      </c>
      <c r="U1127" s="1" t="n">
        <v>3493.56</v>
      </c>
      <c r="V1127" s="1" t="n">
        <v>60.87</v>
      </c>
      <c r="W1127" s="1" t="s">
        <v>39</v>
      </c>
      <c r="X1127" s="1" t="n">
        <v>3.4</v>
      </c>
      <c r="Y1127" s="1" t="s">
        <v>39</v>
      </c>
      <c r="Z1127" s="1" t="n">
        <v>0</v>
      </c>
      <c r="AA1127" s="1" t="str">
        <f aca="false">TRIM(PROPER(F1127))</f>
        <v>Mysuru</v>
      </c>
      <c r="AB1127" s="1" t="str">
        <f aca="false">TRIM(PROPER(C1127))</f>
        <v>Leverage Edu</v>
      </c>
      <c r="AC1127" s="1" t="str">
        <f aca="false">IF(O1127=0,"No Discount",IF(O1127&lt;=15,"Low (1-15%)",IF(O1127&lt;=30,"Medium (16-30%)","High (&gt;30%)")))</f>
        <v>Medium (16-30%)</v>
      </c>
      <c r="AD1127" s="1" t="str">
        <f aca="false">IF(V1127&lt;0,"Loss Making",IF(V1127&lt;20,"Low Margin","Healthy Margin"))</f>
        <v>Healthy Margin</v>
      </c>
      <c r="AE1127" s="1" t="str">
        <f aca="false">TEXT(DATE(VALUE(RIGHT(B1127,4)),VALUE(MID(B1127,4,2)),VALUE(LEFT(B1127,2))),"MMM-YYYY")</f>
        <v>Sep-2024</v>
      </c>
      <c r="AF1127" s="1" t="n">
        <f aca="false">VALUE(RIGHT(B1127,4))</f>
        <v>2024</v>
      </c>
      <c r="AG1127" s="1" t="str">
        <f aca="false">CHOOSE(ROUNDUP(VALUE(MID(B1127,4,2))/3,0),"Q1","Q2","Q3","Q4")</f>
        <v>Q3</v>
      </c>
    </row>
    <row r="1128" customFormat="false" ht="15" hidden="false" customHeight="true" outlineLevel="0" collapsed="false">
      <c r="A1128" s="1" t="s">
        <v>1877</v>
      </c>
      <c r="B1128" s="1" t="s">
        <v>327</v>
      </c>
      <c r="C1128" s="1" t="s">
        <v>1602</v>
      </c>
      <c r="D1128" s="1" t="s">
        <v>168</v>
      </c>
      <c r="E1128" s="1" t="s">
        <v>172</v>
      </c>
      <c r="F1128" s="1" t="s">
        <v>187</v>
      </c>
      <c r="G1128" s="1" t="s">
        <v>97</v>
      </c>
      <c r="H1128" s="1" t="s">
        <v>69</v>
      </c>
      <c r="I1128" s="1" t="s">
        <v>58</v>
      </c>
      <c r="J1128" s="1" t="s">
        <v>70</v>
      </c>
      <c r="K1128" s="1" t="s">
        <v>112</v>
      </c>
      <c r="L1128" s="1" t="s">
        <v>61</v>
      </c>
      <c r="M1128" s="1" t="s">
        <v>38</v>
      </c>
      <c r="N1128" s="1" t="n">
        <v>6999</v>
      </c>
      <c r="O1128" s="1" t="n">
        <v>25</v>
      </c>
      <c r="P1128" s="1" t="n">
        <v>1749.75</v>
      </c>
      <c r="Q1128" s="1" t="n">
        <v>5249.25</v>
      </c>
      <c r="R1128" s="1" t="n">
        <v>944.87</v>
      </c>
      <c r="S1128" s="1" t="n">
        <v>4304.38</v>
      </c>
      <c r="T1128" s="1" t="n">
        <v>1925.52</v>
      </c>
      <c r="U1128" s="1" t="n">
        <v>2378.86</v>
      </c>
      <c r="V1128" s="1" t="n">
        <v>55.27</v>
      </c>
      <c r="W1128" s="1" t="s">
        <v>39</v>
      </c>
      <c r="X1128" s="1" t="n">
        <v>3.9</v>
      </c>
      <c r="Y1128" s="1" t="s">
        <v>40</v>
      </c>
      <c r="Z1128" s="1" t="n">
        <v>1</v>
      </c>
      <c r="AA1128" s="1" t="str">
        <f aca="false">TRIM(PROPER(F1128))</f>
        <v>Mumbai</v>
      </c>
      <c r="AB1128" s="1" t="str">
        <f aca="false">TRIM(PROPER(C1128))</f>
        <v>Upgrad</v>
      </c>
      <c r="AC1128" s="1" t="str">
        <f aca="false">IF(O1128=0,"No Discount",IF(O1128&lt;=15,"Low (1-15%)",IF(O1128&lt;=30,"Medium (16-30%)","High (&gt;30%)")))</f>
        <v>Medium (16-30%)</v>
      </c>
      <c r="AD1128" s="1" t="str">
        <f aca="false">IF(V1128&lt;0,"Loss Making",IF(V1128&lt;20,"Low Margin","Healthy Margin"))</f>
        <v>Healthy Margin</v>
      </c>
      <c r="AE1128" s="1" t="str">
        <f aca="false">TEXT(DATE(VALUE(RIGHT(B1128,4)),VALUE(MID(B1128,4,2)),VALUE(LEFT(B1128,2))),"MMM-YYYY")</f>
        <v>Sep-2024</v>
      </c>
      <c r="AF1128" s="1" t="n">
        <f aca="false">VALUE(RIGHT(B1128,4))</f>
        <v>2024</v>
      </c>
      <c r="AG1128" s="1" t="str">
        <f aca="false">CHOOSE(ROUNDUP(VALUE(MID(B1128,4,2))/3,0),"Q1","Q2","Q3","Q4")</f>
        <v>Q3</v>
      </c>
    </row>
    <row r="1129" customFormat="false" ht="15" hidden="false" customHeight="true" outlineLevel="0" collapsed="false">
      <c r="A1129" s="1" t="s">
        <v>1878</v>
      </c>
      <c r="B1129" s="1" t="s">
        <v>1596</v>
      </c>
      <c r="C1129" s="1" t="s">
        <v>93</v>
      </c>
      <c r="D1129" s="1" t="s">
        <v>80</v>
      </c>
      <c r="E1129" s="1" t="s">
        <v>190</v>
      </c>
      <c r="F1129" s="1" t="s">
        <v>244</v>
      </c>
      <c r="G1129" s="1" t="s">
        <v>97</v>
      </c>
      <c r="H1129" s="1" t="s">
        <v>57</v>
      </c>
      <c r="I1129" s="1" t="s">
        <v>58</v>
      </c>
      <c r="J1129" s="1" t="s">
        <v>35</v>
      </c>
      <c r="K1129" s="1" t="s">
        <v>84</v>
      </c>
      <c r="L1129" s="1" t="s">
        <v>49</v>
      </c>
      <c r="M1129" s="1" t="s">
        <v>50</v>
      </c>
      <c r="N1129" s="1" t="n">
        <v>15999</v>
      </c>
      <c r="O1129" s="1" t="n">
        <v>40</v>
      </c>
      <c r="P1129" s="1" t="n">
        <v>6399.6</v>
      </c>
      <c r="Q1129" s="1" t="n">
        <v>9599.4</v>
      </c>
      <c r="R1129" s="1" t="n">
        <v>1727.89</v>
      </c>
      <c r="S1129" s="1" t="n">
        <v>7871.51</v>
      </c>
      <c r="T1129" s="1" t="n">
        <v>4166.18</v>
      </c>
      <c r="U1129" s="1" t="n">
        <v>3705.33</v>
      </c>
      <c r="V1129" s="1" t="n">
        <v>47.07</v>
      </c>
      <c r="W1129" s="1" t="s">
        <v>39</v>
      </c>
      <c r="X1129" s="1" t="n">
        <v>3.6</v>
      </c>
      <c r="Y1129" s="1" t="s">
        <v>40</v>
      </c>
      <c r="Z1129" s="1" t="n">
        <v>0</v>
      </c>
      <c r="AA1129" s="1" t="str">
        <f aca="false">TRIM(PROPER(F1129))</f>
        <v>Nagpur</v>
      </c>
      <c r="AB1129" s="1" t="str">
        <f aca="false">TRIM(PROPER(C1129))</f>
        <v>Upgrad</v>
      </c>
      <c r="AC1129" s="1" t="str">
        <f aca="false">IF(O1129=0,"No Discount",IF(O1129&lt;=15,"Low (1-15%)",IF(O1129&lt;=30,"Medium (16-30%)","High (&gt;30%)")))</f>
        <v>High (&gt;30%)</v>
      </c>
      <c r="AD1129" s="1" t="str">
        <f aca="false">IF(V1129&lt;0,"Loss Making",IF(V1129&lt;20,"Low Margin","Healthy Margin"))</f>
        <v>Healthy Margin</v>
      </c>
      <c r="AE1129" s="1" t="str">
        <f aca="false">TEXT(DATE(VALUE(RIGHT(B1129,4)),VALUE(MID(B1129,4,2)),VALUE(LEFT(B1129,2))),"MMM-YYYY")</f>
        <v>Oct-2023</v>
      </c>
      <c r="AF1129" s="1" t="n">
        <f aca="false">VALUE(RIGHT(B1129,4))</f>
        <v>2023</v>
      </c>
      <c r="AG1129" s="1" t="str">
        <f aca="false">CHOOSE(ROUNDUP(VALUE(MID(B1129,4,2))/3,0),"Q1","Q2","Q3","Q4")</f>
        <v>Q4</v>
      </c>
    </row>
    <row r="1130" customFormat="false" ht="15" hidden="false" customHeight="true" outlineLevel="0" collapsed="false">
      <c r="A1130" s="1" t="s">
        <v>1879</v>
      </c>
      <c r="B1130" s="1" t="s">
        <v>177</v>
      </c>
      <c r="C1130" s="1" t="s">
        <v>43</v>
      </c>
      <c r="D1130" s="1" t="s">
        <v>123</v>
      </c>
      <c r="E1130" s="1" t="s">
        <v>233</v>
      </c>
      <c r="F1130" s="1" t="s">
        <v>211</v>
      </c>
      <c r="G1130" s="1" t="s">
        <v>56</v>
      </c>
      <c r="H1130" s="1" t="s">
        <v>69</v>
      </c>
      <c r="I1130" s="1" t="s">
        <v>34</v>
      </c>
      <c r="J1130" s="1" t="s">
        <v>70</v>
      </c>
      <c r="K1130" s="1" t="s">
        <v>84</v>
      </c>
      <c r="L1130" s="1" t="s">
        <v>85</v>
      </c>
      <c r="M1130" s="1" t="s">
        <v>50</v>
      </c>
      <c r="N1130" s="1" t="n">
        <v>8999</v>
      </c>
      <c r="O1130" s="1" t="n">
        <v>50</v>
      </c>
      <c r="P1130" s="1" t="n">
        <v>4499.5</v>
      </c>
      <c r="Q1130" s="1" t="n">
        <v>4499.5</v>
      </c>
      <c r="R1130" s="1" t="n">
        <v>809.91</v>
      </c>
      <c r="S1130" s="1" t="n">
        <v>3689.59</v>
      </c>
      <c r="T1130" s="1" t="n">
        <v>1865.3</v>
      </c>
      <c r="U1130" s="1" t="n">
        <v>1824.29</v>
      </c>
      <c r="V1130" s="1" t="n">
        <v>49.44</v>
      </c>
      <c r="W1130" s="1" t="s">
        <v>40</v>
      </c>
      <c r="Y1130" s="1" t="s">
        <v>40</v>
      </c>
      <c r="Z1130" s="1" t="n">
        <v>0</v>
      </c>
      <c r="AA1130" s="1" t="str">
        <f aca="false">TRIM(PROPER(F1130))</f>
        <v>Noida</v>
      </c>
      <c r="AB1130" s="1" t="str">
        <f aca="false">TRIM(PROPER(C1130))</f>
        <v>Meritnation</v>
      </c>
      <c r="AC1130" s="1" t="str">
        <f aca="false">IF(O1130=0,"No Discount",IF(O1130&lt;=15,"Low (1-15%)",IF(O1130&lt;=30,"Medium (16-30%)","High (&gt;30%)")))</f>
        <v>High (&gt;30%)</v>
      </c>
      <c r="AD1130" s="1" t="str">
        <f aca="false">IF(V1130&lt;0,"Loss Making",IF(V1130&lt;20,"Low Margin","Healthy Margin"))</f>
        <v>Healthy Margin</v>
      </c>
      <c r="AE1130" s="1" t="str">
        <f aca="false">TEXT(DATE(VALUE(RIGHT(B1130,4)),VALUE(MID(B1130,4,2)),VALUE(LEFT(B1130,2))),"MMM-YYYY")</f>
        <v>Jul-2024</v>
      </c>
      <c r="AF1130" s="1" t="n">
        <f aca="false">VALUE(RIGHT(B1130,4))</f>
        <v>2024</v>
      </c>
      <c r="AG1130" s="1" t="str">
        <f aca="false">CHOOSE(ROUNDUP(VALUE(MID(B1130,4,2))/3,0),"Q1","Q2","Q3","Q4")</f>
        <v>Q3</v>
      </c>
    </row>
    <row r="1131" customFormat="false" ht="15" hidden="false" customHeight="true" outlineLevel="0" collapsed="false">
      <c r="A1131" s="1" t="s">
        <v>1880</v>
      </c>
      <c r="B1131" s="1" t="s">
        <v>839</v>
      </c>
      <c r="C1131" s="1" t="s">
        <v>65</v>
      </c>
      <c r="D1131" s="1" t="s">
        <v>44</v>
      </c>
      <c r="E1131" s="1" t="s">
        <v>221</v>
      </c>
      <c r="F1131" s="1" t="s">
        <v>82</v>
      </c>
      <c r="G1131" s="1" t="s">
        <v>56</v>
      </c>
      <c r="H1131" s="1" t="s">
        <v>69</v>
      </c>
      <c r="I1131" s="1" t="s">
        <v>58</v>
      </c>
      <c r="J1131" s="1" t="s">
        <v>70</v>
      </c>
      <c r="K1131" s="1" t="s">
        <v>36</v>
      </c>
      <c r="L1131" s="1" t="s">
        <v>37</v>
      </c>
      <c r="M1131" s="1" t="s">
        <v>38</v>
      </c>
      <c r="N1131" s="1" t="n">
        <v>16999</v>
      </c>
      <c r="O1131" s="1" t="n">
        <v>0</v>
      </c>
      <c r="P1131" s="1" t="n">
        <v>0</v>
      </c>
      <c r="Q1131" s="1" t="n">
        <v>16999</v>
      </c>
      <c r="R1131" s="1" t="n">
        <v>3059.82</v>
      </c>
      <c r="S1131" s="1" t="n">
        <v>13939.18</v>
      </c>
      <c r="T1131" s="1" t="n">
        <v>4158.75</v>
      </c>
      <c r="U1131" s="1" t="n">
        <v>9780.43</v>
      </c>
      <c r="V1131" s="1" t="n">
        <v>70.17</v>
      </c>
      <c r="W1131" s="1" t="s">
        <v>39</v>
      </c>
      <c r="X1131" s="1" t="n">
        <v>3.3</v>
      </c>
      <c r="Y1131" s="1" t="s">
        <v>40</v>
      </c>
      <c r="Z1131" s="1" t="n">
        <v>0</v>
      </c>
      <c r="AA1131" s="1" t="str">
        <f aca="false">TRIM(PROPER(F1131))</f>
        <v>Gurugram</v>
      </c>
      <c r="AB1131" s="1" t="str">
        <f aca="false">TRIM(PROPER(C1131))</f>
        <v>Toppr</v>
      </c>
      <c r="AC1131" s="1" t="str">
        <f aca="false">IF(O1131=0,"No Discount",IF(O1131&lt;=15,"Low (1-15%)",IF(O1131&lt;=30,"Medium (16-30%)","High (&gt;30%)")))</f>
        <v>No Discount</v>
      </c>
      <c r="AD1131" s="1" t="str">
        <f aca="false">IF(V1131&lt;0,"Loss Making",IF(V1131&lt;20,"Low Margin","Healthy Margin"))</f>
        <v>Healthy Margin</v>
      </c>
      <c r="AE1131" s="1" t="str">
        <f aca="false">TEXT(DATE(VALUE(RIGHT(B1131,4)),VALUE(MID(B1131,4,2)),VALUE(LEFT(B1131,2))),"MMM-YYYY")</f>
        <v>Dec-2023</v>
      </c>
      <c r="AF1131" s="1" t="n">
        <f aca="false">VALUE(RIGHT(B1131,4))</f>
        <v>2023</v>
      </c>
      <c r="AG1131" s="1" t="str">
        <f aca="false">CHOOSE(ROUNDUP(VALUE(MID(B1131,4,2))/3,0),"Q1","Q2","Q3","Q4")</f>
        <v>Q4</v>
      </c>
    </row>
    <row r="1132" customFormat="false" ht="15" hidden="false" customHeight="true" outlineLevel="0" collapsed="false">
      <c r="A1132" s="1" t="s">
        <v>1881</v>
      </c>
      <c r="B1132" s="1" t="s">
        <v>1558</v>
      </c>
      <c r="C1132" s="1" t="s">
        <v>178</v>
      </c>
      <c r="D1132" s="1" t="s">
        <v>123</v>
      </c>
      <c r="E1132" s="1" t="s">
        <v>147</v>
      </c>
      <c r="F1132" s="1" t="s">
        <v>89</v>
      </c>
      <c r="G1132" s="1" t="s">
        <v>68</v>
      </c>
      <c r="H1132" s="1" t="s">
        <v>33</v>
      </c>
      <c r="I1132" s="1" t="s">
        <v>83</v>
      </c>
      <c r="J1132" s="1" t="s">
        <v>77</v>
      </c>
      <c r="K1132" s="1" t="s">
        <v>71</v>
      </c>
      <c r="L1132" s="1" t="s">
        <v>49</v>
      </c>
      <c r="M1132" s="1" t="s">
        <v>50</v>
      </c>
      <c r="N1132" s="1" t="n">
        <v>6999</v>
      </c>
      <c r="O1132" s="1" t="n">
        <v>5</v>
      </c>
      <c r="P1132" s="1" t="n">
        <v>349.95</v>
      </c>
      <c r="Q1132" s="1" t="n">
        <v>6649.05</v>
      </c>
      <c r="R1132" s="1" t="n">
        <v>1196.83</v>
      </c>
      <c r="S1132" s="1" t="n">
        <v>5452.22</v>
      </c>
      <c r="T1132" s="1" t="n">
        <v>2383.54</v>
      </c>
      <c r="U1132" s="1" t="n">
        <v>3068.68</v>
      </c>
      <c r="V1132" s="1" t="n">
        <v>56.28</v>
      </c>
      <c r="W1132" s="1" t="s">
        <v>40</v>
      </c>
      <c r="Y1132" s="1" t="s">
        <v>40</v>
      </c>
      <c r="Z1132" s="1" t="n">
        <v>0</v>
      </c>
      <c r="AA1132" s="1" t="str">
        <f aca="false">TRIM(PROPER(F1132))</f>
        <v>Vadodara</v>
      </c>
      <c r="AB1132" s="1" t="str">
        <f aca="false">TRIM(PROPER(C1132))</f>
        <v>Leverage Edu</v>
      </c>
      <c r="AC1132" s="1" t="str">
        <f aca="false">IF(O1132=0,"No Discount",IF(O1132&lt;=15,"Low (1-15%)",IF(O1132&lt;=30,"Medium (16-30%)","High (&gt;30%)")))</f>
        <v>Low (1-15%)</v>
      </c>
      <c r="AD1132" s="1" t="str">
        <f aca="false">IF(V1132&lt;0,"Loss Making",IF(V1132&lt;20,"Low Margin","Healthy Margin"))</f>
        <v>Healthy Margin</v>
      </c>
      <c r="AE1132" s="1" t="str">
        <f aca="false">TEXT(DATE(VALUE(RIGHT(B1132,4)),VALUE(MID(B1132,4,2)),VALUE(LEFT(B1132,2))),"MMM-YYYY")</f>
        <v>Mar-2024</v>
      </c>
      <c r="AF1132" s="1" t="n">
        <f aca="false">VALUE(RIGHT(B1132,4))</f>
        <v>2024</v>
      </c>
      <c r="AG1132" s="1" t="str">
        <f aca="false">CHOOSE(ROUNDUP(VALUE(MID(B1132,4,2))/3,0),"Q1","Q2","Q3","Q4")</f>
        <v>Q1</v>
      </c>
    </row>
    <row r="1133" customFormat="false" ht="15" hidden="false" customHeight="true" outlineLevel="0" collapsed="false">
      <c r="A1133" s="1" t="s">
        <v>1882</v>
      </c>
      <c r="B1133" s="1" t="s">
        <v>438</v>
      </c>
      <c r="C1133" s="1" t="s">
        <v>249</v>
      </c>
      <c r="D1133" s="1" t="s">
        <v>94</v>
      </c>
      <c r="E1133" s="1" t="s">
        <v>135</v>
      </c>
      <c r="F1133" s="1" t="s">
        <v>89</v>
      </c>
      <c r="G1133" s="1" t="s">
        <v>68</v>
      </c>
      <c r="H1133" s="1" t="s">
        <v>33</v>
      </c>
      <c r="I1133" s="1" t="s">
        <v>34</v>
      </c>
      <c r="J1133" s="1" t="s">
        <v>35</v>
      </c>
      <c r="K1133" s="1" t="s">
        <v>90</v>
      </c>
      <c r="L1133" s="1" t="s">
        <v>49</v>
      </c>
      <c r="M1133" s="1" t="s">
        <v>62</v>
      </c>
      <c r="N1133" s="1" t="n">
        <v>9999</v>
      </c>
      <c r="O1133" s="1" t="n">
        <v>15</v>
      </c>
      <c r="P1133" s="1" t="n">
        <v>1499.85</v>
      </c>
      <c r="Q1133" s="1" t="n">
        <v>8499.15</v>
      </c>
      <c r="R1133" s="1" t="n">
        <v>1529.85</v>
      </c>
      <c r="S1133" s="1" t="n">
        <v>6969.3</v>
      </c>
      <c r="T1133" s="1" t="n">
        <v>2900.23</v>
      </c>
      <c r="U1133" s="1" t="n">
        <v>4069.07</v>
      </c>
      <c r="V1133" s="1" t="n">
        <v>58.39</v>
      </c>
      <c r="W1133" s="1" t="s">
        <v>39</v>
      </c>
      <c r="X1133" s="1" t="n">
        <v>2.9</v>
      </c>
      <c r="Y1133" s="1" t="s">
        <v>40</v>
      </c>
      <c r="Z1133" s="1" t="n">
        <v>1</v>
      </c>
      <c r="AA1133" s="1" t="str">
        <f aca="false">TRIM(PROPER(F1133))</f>
        <v>Vadodara</v>
      </c>
      <c r="AB1133" s="1" t="str">
        <f aca="false">TRIM(PROPER(C1133))</f>
        <v>Whitehat Jr</v>
      </c>
      <c r="AC1133" s="1" t="str">
        <f aca="false">IF(O1133=0,"No Discount",IF(O1133&lt;=15,"Low (1-15%)",IF(O1133&lt;=30,"Medium (16-30%)","High (&gt;30%)")))</f>
        <v>Low (1-15%)</v>
      </c>
      <c r="AD1133" s="1" t="str">
        <f aca="false">IF(V1133&lt;0,"Loss Making",IF(V1133&lt;20,"Low Margin","Healthy Margin"))</f>
        <v>Healthy Margin</v>
      </c>
      <c r="AE1133" s="1" t="str">
        <f aca="false">TEXT(DATE(VALUE(RIGHT(B1133,4)),VALUE(MID(B1133,4,2)),VALUE(LEFT(B1133,2))),"MMM-YYYY")</f>
        <v>May-2023</v>
      </c>
      <c r="AF1133" s="1" t="n">
        <f aca="false">VALUE(RIGHT(B1133,4))</f>
        <v>2023</v>
      </c>
      <c r="AG1133" s="1" t="str">
        <f aca="false">CHOOSE(ROUNDUP(VALUE(MID(B1133,4,2))/3,0),"Q1","Q2","Q3","Q4")</f>
        <v>Q2</v>
      </c>
    </row>
    <row r="1134" customFormat="false" ht="15" hidden="false" customHeight="true" outlineLevel="0" collapsed="false">
      <c r="A1134" s="1" t="s">
        <v>1883</v>
      </c>
      <c r="B1134" s="1" t="s">
        <v>209</v>
      </c>
      <c r="C1134" s="1" t="s">
        <v>88</v>
      </c>
      <c r="D1134" s="1" t="s">
        <v>168</v>
      </c>
      <c r="E1134" s="1" t="s">
        <v>197</v>
      </c>
      <c r="F1134" s="1" t="s">
        <v>102</v>
      </c>
      <c r="G1134" s="1" t="s">
        <v>103</v>
      </c>
      <c r="H1134" s="1" t="s">
        <v>33</v>
      </c>
      <c r="I1134" s="1" t="s">
        <v>34</v>
      </c>
      <c r="J1134" s="1" t="s">
        <v>70</v>
      </c>
      <c r="K1134" s="1" t="s">
        <v>104</v>
      </c>
      <c r="L1134" s="1" t="s">
        <v>37</v>
      </c>
      <c r="M1134" s="1" t="s">
        <v>50</v>
      </c>
      <c r="N1134" s="1" t="n">
        <v>8499</v>
      </c>
      <c r="O1134" s="1" t="n">
        <v>10</v>
      </c>
      <c r="P1134" s="1" t="n">
        <v>849.9</v>
      </c>
      <c r="Q1134" s="1" t="n">
        <v>7649.1</v>
      </c>
      <c r="R1134" s="1" t="n">
        <v>1376.84</v>
      </c>
      <c r="S1134" s="1" t="n">
        <v>6272.26</v>
      </c>
      <c r="T1134" s="1" t="n">
        <v>2820.47</v>
      </c>
      <c r="U1134" s="1" t="n">
        <v>3451.79</v>
      </c>
      <c r="V1134" s="1" t="n">
        <v>55.03</v>
      </c>
      <c r="W1134" s="1" t="s">
        <v>40</v>
      </c>
      <c r="Y1134" s="1" t="s">
        <v>40</v>
      </c>
      <c r="Z1134" s="1" t="n">
        <v>1</v>
      </c>
      <c r="AA1134" s="1" t="str">
        <f aca="false">TRIM(PROPER(F1134))</f>
        <v>Warangal</v>
      </c>
      <c r="AB1134" s="1" t="str">
        <f aca="false">TRIM(PROPER(C1134))</f>
        <v>Byju'S</v>
      </c>
      <c r="AC1134" s="1" t="str">
        <f aca="false">IF(O1134=0,"No Discount",IF(O1134&lt;=15,"Low (1-15%)",IF(O1134&lt;=30,"Medium (16-30%)","High (&gt;30%)")))</f>
        <v>Low (1-15%)</v>
      </c>
      <c r="AD1134" s="1" t="str">
        <f aca="false">IF(V1134&lt;0,"Loss Making",IF(V1134&lt;20,"Low Margin","Healthy Margin"))</f>
        <v>Healthy Margin</v>
      </c>
      <c r="AE1134" s="1" t="str">
        <f aca="false">TEXT(DATE(VALUE(RIGHT(B1134,4)),VALUE(MID(B1134,4,2)),VALUE(LEFT(B1134,2))),"MMM-YYYY")</f>
        <v>Mar-2024</v>
      </c>
      <c r="AF1134" s="1" t="n">
        <f aca="false">VALUE(RIGHT(B1134,4))</f>
        <v>2024</v>
      </c>
      <c r="AG1134" s="1" t="str">
        <f aca="false">CHOOSE(ROUNDUP(VALUE(MID(B1134,4,2))/3,0),"Q1","Q2","Q3","Q4")</f>
        <v>Q1</v>
      </c>
    </row>
    <row r="1135" customFormat="false" ht="15" hidden="false" customHeight="true" outlineLevel="0" collapsed="false">
      <c r="A1135" s="1" t="s">
        <v>1884</v>
      </c>
      <c r="B1135" s="1" t="s">
        <v>1588</v>
      </c>
      <c r="C1135" s="1" t="s">
        <v>28</v>
      </c>
      <c r="D1135" s="1" t="s">
        <v>53</v>
      </c>
      <c r="E1135" s="1" t="s">
        <v>116</v>
      </c>
      <c r="F1135" s="1" t="s">
        <v>120</v>
      </c>
      <c r="G1135" s="1" t="s">
        <v>47</v>
      </c>
      <c r="H1135" s="1" t="s">
        <v>57</v>
      </c>
      <c r="I1135" s="1" t="s">
        <v>58</v>
      </c>
      <c r="J1135" s="1" t="s">
        <v>59</v>
      </c>
      <c r="K1135" s="1" t="s">
        <v>84</v>
      </c>
      <c r="L1135" s="1" t="s">
        <v>85</v>
      </c>
      <c r="M1135" s="1" t="s">
        <v>38</v>
      </c>
      <c r="N1135" s="1" t="n">
        <v>9999</v>
      </c>
      <c r="O1135" s="1" t="n">
        <v>0</v>
      </c>
      <c r="P1135" s="1" t="n">
        <v>0</v>
      </c>
      <c r="Q1135" s="1" t="n">
        <v>9999</v>
      </c>
      <c r="R1135" s="1" t="n">
        <v>1799.82</v>
      </c>
      <c r="S1135" s="1" t="n">
        <v>8199.18</v>
      </c>
      <c r="T1135" s="1" t="n">
        <v>4233.22</v>
      </c>
      <c r="U1135" s="1" t="n">
        <v>3965.96</v>
      </c>
      <c r="V1135" s="1" t="n">
        <v>48.37</v>
      </c>
      <c r="W1135" s="1" t="s">
        <v>40</v>
      </c>
      <c r="Y1135" s="1" t="s">
        <v>40</v>
      </c>
      <c r="Z1135" s="1" t="n">
        <v>0</v>
      </c>
      <c r="AA1135" s="1" t="str">
        <f aca="false">TRIM(PROPER(F1135))</f>
        <v>Mysuru</v>
      </c>
      <c r="AB1135" s="1" t="str">
        <f aca="false">TRIM(PROPER(C1135))</f>
        <v>Embibe</v>
      </c>
      <c r="AC1135" s="1" t="str">
        <f aca="false">IF(O1135=0,"No Discount",IF(O1135&lt;=15,"Low (1-15%)",IF(O1135&lt;=30,"Medium (16-30%)","High (&gt;30%)")))</f>
        <v>No Discount</v>
      </c>
      <c r="AD1135" s="1" t="str">
        <f aca="false">IF(V1135&lt;0,"Loss Making",IF(V1135&lt;20,"Low Margin","Healthy Margin"))</f>
        <v>Healthy Margin</v>
      </c>
      <c r="AE1135" s="1" t="str">
        <f aca="false">TEXT(DATE(VALUE(RIGHT(B1135,4)),VALUE(MID(B1135,4,2)),VALUE(LEFT(B1135,2))),"MMM-YYYY")</f>
        <v>Jan-2024</v>
      </c>
      <c r="AF1135" s="1" t="n">
        <f aca="false">VALUE(RIGHT(B1135,4))</f>
        <v>2024</v>
      </c>
      <c r="AG1135" s="1" t="str">
        <f aca="false">CHOOSE(ROUNDUP(VALUE(MID(B1135,4,2))/3,0),"Q1","Q2","Q3","Q4")</f>
        <v>Q1</v>
      </c>
    </row>
    <row r="1136" customFormat="false" ht="15" hidden="false" customHeight="true" outlineLevel="0" collapsed="false">
      <c r="A1136" s="1" t="s">
        <v>1885</v>
      </c>
      <c r="B1136" s="1" t="s">
        <v>360</v>
      </c>
      <c r="C1136" s="1" t="s">
        <v>128</v>
      </c>
      <c r="D1136" s="1" t="s">
        <v>53</v>
      </c>
      <c r="E1136" s="1" t="s">
        <v>216</v>
      </c>
      <c r="F1136" s="1" t="s">
        <v>187</v>
      </c>
      <c r="G1136" s="1" t="s">
        <v>97</v>
      </c>
      <c r="H1136" s="1" t="s">
        <v>69</v>
      </c>
      <c r="I1136" s="1" t="s">
        <v>58</v>
      </c>
      <c r="J1136" s="1" t="s">
        <v>59</v>
      </c>
      <c r="K1136" s="1" t="s">
        <v>60</v>
      </c>
      <c r="L1136" s="1" t="s">
        <v>113</v>
      </c>
      <c r="M1136" s="1" t="s">
        <v>38</v>
      </c>
      <c r="N1136" s="1" t="n">
        <v>7499</v>
      </c>
      <c r="O1136" s="1" t="n">
        <v>50</v>
      </c>
      <c r="P1136" s="1" t="n">
        <v>3749.5</v>
      </c>
      <c r="Q1136" s="1" t="n">
        <v>3749.5</v>
      </c>
      <c r="R1136" s="1" t="n">
        <v>674.91</v>
      </c>
      <c r="S1136" s="1" t="n">
        <v>3074.59</v>
      </c>
      <c r="T1136" s="1" t="n">
        <v>1618.72</v>
      </c>
      <c r="U1136" s="1" t="n">
        <v>1455.87</v>
      </c>
      <c r="V1136" s="1" t="n">
        <v>47.35</v>
      </c>
      <c r="W1136" s="1" t="s">
        <v>40</v>
      </c>
      <c r="Y1136" s="1" t="s">
        <v>39</v>
      </c>
      <c r="Z1136" s="1" t="n">
        <v>0</v>
      </c>
      <c r="AA1136" s="1" t="str">
        <f aca="false">TRIM(PROPER(F1136))</f>
        <v>Mumbai</v>
      </c>
      <c r="AB1136" s="1" t="str">
        <f aca="false">TRIM(PROPER(C1136))</f>
        <v>Great Learning</v>
      </c>
      <c r="AC1136" s="1" t="str">
        <f aca="false">IF(O1136=0,"No Discount",IF(O1136&lt;=15,"Low (1-15%)",IF(O1136&lt;=30,"Medium (16-30%)","High (&gt;30%)")))</f>
        <v>High (&gt;30%)</v>
      </c>
      <c r="AD1136" s="1" t="str">
        <f aca="false">IF(V1136&lt;0,"Loss Making",IF(V1136&lt;20,"Low Margin","Healthy Margin"))</f>
        <v>Healthy Margin</v>
      </c>
      <c r="AE1136" s="1" t="str">
        <f aca="false">TEXT(DATE(VALUE(RIGHT(B1136,4)),VALUE(MID(B1136,4,2)),VALUE(LEFT(B1136,2))),"MMM-YYYY")</f>
        <v>Feb-2023</v>
      </c>
      <c r="AF1136" s="1" t="n">
        <f aca="false">VALUE(RIGHT(B1136,4))</f>
        <v>2023</v>
      </c>
      <c r="AG1136" s="1" t="str">
        <f aca="false">CHOOSE(ROUNDUP(VALUE(MID(B1136,4,2))/3,0),"Q1","Q2","Q3","Q4")</f>
        <v>Q1</v>
      </c>
    </row>
    <row r="1137" customFormat="false" ht="15" hidden="false" customHeight="true" outlineLevel="0" collapsed="false">
      <c r="A1137" s="1" t="s">
        <v>1886</v>
      </c>
      <c r="B1137" s="1" t="s">
        <v>1830</v>
      </c>
      <c r="C1137" s="1" t="s">
        <v>65</v>
      </c>
      <c r="D1137" s="1" t="s">
        <v>94</v>
      </c>
      <c r="E1137" s="1" t="s">
        <v>101</v>
      </c>
      <c r="F1137" s="1" t="s">
        <v>194</v>
      </c>
      <c r="G1137" s="1" t="s">
        <v>103</v>
      </c>
      <c r="H1137" s="1" t="s">
        <v>69</v>
      </c>
      <c r="I1137" s="1" t="s">
        <v>58</v>
      </c>
      <c r="J1137" s="1" t="s">
        <v>131</v>
      </c>
      <c r="K1137" s="1" t="s">
        <v>60</v>
      </c>
      <c r="L1137" s="1" t="s">
        <v>113</v>
      </c>
      <c r="M1137" s="1" t="s">
        <v>62</v>
      </c>
      <c r="N1137" s="1" t="n">
        <v>14999</v>
      </c>
      <c r="O1137" s="1" t="n">
        <v>0</v>
      </c>
      <c r="P1137" s="1" t="n">
        <v>0</v>
      </c>
      <c r="Q1137" s="1" t="n">
        <v>14999</v>
      </c>
      <c r="R1137" s="1" t="n">
        <v>2699.82</v>
      </c>
      <c r="S1137" s="1" t="n">
        <v>12299.18</v>
      </c>
      <c r="T1137" s="1" t="n">
        <v>3504.36</v>
      </c>
      <c r="U1137" s="1" t="n">
        <v>8794.82</v>
      </c>
      <c r="V1137" s="1" t="n">
        <v>71.51</v>
      </c>
      <c r="W1137" s="1" t="s">
        <v>40</v>
      </c>
      <c r="Y1137" s="1" t="s">
        <v>40</v>
      </c>
      <c r="Z1137" s="1" t="n">
        <v>0</v>
      </c>
      <c r="AA1137" s="1" t="str">
        <f aca="false">TRIM(PROPER(F1137))</f>
        <v>Hyderabad</v>
      </c>
      <c r="AB1137" s="1" t="str">
        <f aca="false">TRIM(PROPER(C1137))</f>
        <v>Toppr</v>
      </c>
      <c r="AC1137" s="1" t="str">
        <f aca="false">IF(O1137=0,"No Discount",IF(O1137&lt;=15,"Low (1-15%)",IF(O1137&lt;=30,"Medium (16-30%)","High (&gt;30%)")))</f>
        <v>No Discount</v>
      </c>
      <c r="AD1137" s="1" t="str">
        <f aca="false">IF(V1137&lt;0,"Loss Making",IF(V1137&lt;20,"Low Margin","Healthy Margin"))</f>
        <v>Healthy Margin</v>
      </c>
      <c r="AE1137" s="1" t="str">
        <f aca="false">TEXT(DATE(VALUE(RIGHT(B1137,4)),VALUE(MID(B1137,4,2)),VALUE(LEFT(B1137,2))),"MMM-YYYY")</f>
        <v>Mar-2023</v>
      </c>
      <c r="AF1137" s="1" t="n">
        <f aca="false">VALUE(RIGHT(B1137,4))</f>
        <v>2023</v>
      </c>
      <c r="AG1137" s="1" t="str">
        <f aca="false">CHOOSE(ROUNDUP(VALUE(MID(B1137,4,2))/3,0),"Q1","Q2","Q3","Q4")</f>
        <v>Q1</v>
      </c>
    </row>
    <row r="1138" customFormat="false" ht="15" hidden="false" customHeight="true" outlineLevel="0" collapsed="false">
      <c r="A1138" s="1" t="s">
        <v>1887</v>
      </c>
      <c r="B1138" s="1" t="s">
        <v>1058</v>
      </c>
      <c r="C1138" s="1" t="s">
        <v>65</v>
      </c>
      <c r="D1138" s="1" t="s">
        <v>44</v>
      </c>
      <c r="E1138" s="1" t="s">
        <v>221</v>
      </c>
      <c r="F1138" s="1" t="s">
        <v>205</v>
      </c>
      <c r="G1138" s="1" t="s">
        <v>56</v>
      </c>
      <c r="H1138" s="1" t="s">
        <v>69</v>
      </c>
      <c r="I1138" s="1" t="s">
        <v>83</v>
      </c>
      <c r="J1138" s="1" t="s">
        <v>131</v>
      </c>
      <c r="K1138" s="1" t="s">
        <v>71</v>
      </c>
      <c r="L1138" s="1" t="s">
        <v>49</v>
      </c>
      <c r="M1138" s="1" t="s">
        <v>50</v>
      </c>
      <c r="N1138" s="1" t="n">
        <v>16999</v>
      </c>
      <c r="O1138" s="1" t="n">
        <v>30</v>
      </c>
      <c r="P1138" s="1" t="n">
        <v>5099.7</v>
      </c>
      <c r="Q1138" s="1" t="n">
        <v>11899.3</v>
      </c>
      <c r="R1138" s="1" t="n">
        <v>2141.87</v>
      </c>
      <c r="S1138" s="1" t="n">
        <v>9757.43</v>
      </c>
      <c r="T1138" s="1" t="n">
        <v>4428.96</v>
      </c>
      <c r="U1138" s="1" t="n">
        <v>5328.47</v>
      </c>
      <c r="V1138" s="1" t="n">
        <v>54.61</v>
      </c>
      <c r="W1138" s="1" t="s">
        <v>39</v>
      </c>
      <c r="X1138" s="1" t="n">
        <v>3.6</v>
      </c>
      <c r="Y1138" s="1" t="s">
        <v>40</v>
      </c>
      <c r="Z1138" s="1" t="n">
        <v>0</v>
      </c>
      <c r="AA1138" s="1" t="str">
        <f aca="false">TRIM(PROPER(F1138))</f>
        <v>New Delhi</v>
      </c>
      <c r="AB1138" s="1" t="str">
        <f aca="false">TRIM(PROPER(C1138))</f>
        <v>Toppr</v>
      </c>
      <c r="AC1138" s="1" t="str">
        <f aca="false">IF(O1138=0,"No Discount",IF(O1138&lt;=15,"Low (1-15%)",IF(O1138&lt;=30,"Medium (16-30%)","High (&gt;30%)")))</f>
        <v>Medium (16-30%)</v>
      </c>
      <c r="AD1138" s="1" t="str">
        <f aca="false">IF(V1138&lt;0,"Loss Making",IF(V1138&lt;20,"Low Margin","Healthy Margin"))</f>
        <v>Healthy Margin</v>
      </c>
      <c r="AE1138" s="1" t="str">
        <f aca="false">TEXT(DATE(VALUE(RIGHT(B1138,4)),VALUE(MID(B1138,4,2)),VALUE(LEFT(B1138,2))),"MMM-YYYY")</f>
        <v>Nov-2024</v>
      </c>
      <c r="AF1138" s="1" t="n">
        <f aca="false">VALUE(RIGHT(B1138,4))</f>
        <v>2024</v>
      </c>
      <c r="AG1138" s="1" t="str">
        <f aca="false">CHOOSE(ROUNDUP(VALUE(MID(B1138,4,2))/3,0),"Q1","Q2","Q3","Q4")</f>
        <v>Q4</v>
      </c>
    </row>
    <row r="1139" customFormat="false" ht="15" hidden="false" customHeight="true" outlineLevel="0" collapsed="false">
      <c r="A1139" s="1" t="s">
        <v>1888</v>
      </c>
      <c r="B1139" s="1" t="s">
        <v>614</v>
      </c>
      <c r="C1139" s="1" t="s">
        <v>167</v>
      </c>
      <c r="D1139" s="1" t="s">
        <v>29</v>
      </c>
      <c r="E1139" s="1" t="s">
        <v>305</v>
      </c>
      <c r="F1139" s="1" t="s">
        <v>31</v>
      </c>
      <c r="G1139" s="1" t="s">
        <v>32</v>
      </c>
      <c r="H1139" s="1" t="s">
        <v>33</v>
      </c>
      <c r="I1139" s="1" t="s">
        <v>34</v>
      </c>
      <c r="J1139" s="1" t="s">
        <v>131</v>
      </c>
      <c r="K1139" s="1" t="s">
        <v>104</v>
      </c>
      <c r="L1139" s="1" t="s">
        <v>113</v>
      </c>
      <c r="M1139" s="1" t="s">
        <v>62</v>
      </c>
      <c r="N1139" s="1" t="n">
        <v>24999</v>
      </c>
      <c r="O1139" s="1" t="n">
        <v>30</v>
      </c>
      <c r="P1139" s="1" t="n">
        <v>7499.7</v>
      </c>
      <c r="Q1139" s="1" t="n">
        <v>17499.3</v>
      </c>
      <c r="R1139" s="1" t="n">
        <v>3149.87</v>
      </c>
      <c r="S1139" s="1" t="n">
        <v>14349.43</v>
      </c>
      <c r="T1139" s="1" t="n">
        <v>5817.48</v>
      </c>
      <c r="U1139" s="1" t="n">
        <v>8531.95</v>
      </c>
      <c r="V1139" s="1" t="n">
        <v>59.46</v>
      </c>
      <c r="W1139" s="1" t="s">
        <v>39</v>
      </c>
      <c r="Y1139" s="1" t="s">
        <v>40</v>
      </c>
      <c r="Z1139" s="1" t="n">
        <v>0</v>
      </c>
      <c r="AA1139" s="1" t="str">
        <f aca="false">TRIM(PROPER(F1139))</f>
        <v>Jodhpur</v>
      </c>
      <c r="AB1139" s="1" t="str">
        <f aca="false">TRIM(PROPER(C1139))</f>
        <v>Scaler</v>
      </c>
      <c r="AC1139" s="1" t="str">
        <f aca="false">IF(O1139=0,"No Discount",IF(O1139&lt;=15,"Low (1-15%)",IF(O1139&lt;=30,"Medium (16-30%)","High (&gt;30%)")))</f>
        <v>Medium (16-30%)</v>
      </c>
      <c r="AD1139" s="1" t="str">
        <f aca="false">IF(V1139&lt;0,"Loss Making",IF(V1139&lt;20,"Low Margin","Healthy Margin"))</f>
        <v>Healthy Margin</v>
      </c>
      <c r="AE1139" s="1" t="str">
        <f aca="false">TEXT(DATE(VALUE(RIGHT(B1139,4)),VALUE(MID(B1139,4,2)),VALUE(LEFT(B1139,2))),"MMM-YYYY")</f>
        <v>Sep-2023</v>
      </c>
      <c r="AF1139" s="1" t="n">
        <f aca="false">VALUE(RIGHT(B1139,4))</f>
        <v>2023</v>
      </c>
      <c r="AG1139" s="1" t="str">
        <f aca="false">CHOOSE(ROUNDUP(VALUE(MID(B1139,4,2))/3,0),"Q1","Q2","Q3","Q4")</f>
        <v>Q3</v>
      </c>
    </row>
    <row r="1140" customFormat="false" ht="15" hidden="false" customHeight="true" outlineLevel="0" collapsed="false">
      <c r="A1140" s="1" t="s">
        <v>1889</v>
      </c>
      <c r="B1140" s="1" t="s">
        <v>970</v>
      </c>
      <c r="C1140" s="1" t="s">
        <v>167</v>
      </c>
      <c r="D1140" s="1" t="s">
        <v>80</v>
      </c>
      <c r="E1140" s="1" t="s">
        <v>190</v>
      </c>
      <c r="F1140" s="1" t="s">
        <v>187</v>
      </c>
      <c r="G1140" s="1" t="s">
        <v>97</v>
      </c>
      <c r="H1140" s="1" t="s">
        <v>69</v>
      </c>
      <c r="I1140" s="1" t="s">
        <v>58</v>
      </c>
      <c r="J1140" s="1" t="s">
        <v>131</v>
      </c>
      <c r="K1140" s="1" t="s">
        <v>60</v>
      </c>
      <c r="L1140" s="1" t="s">
        <v>61</v>
      </c>
      <c r="M1140" s="1" t="s">
        <v>38</v>
      </c>
      <c r="N1140" s="1" t="n">
        <v>15999</v>
      </c>
      <c r="O1140" s="1" t="n">
        <v>15</v>
      </c>
      <c r="P1140" s="1" t="n">
        <v>2399.85</v>
      </c>
      <c r="Q1140" s="1" t="n">
        <v>13599.15</v>
      </c>
      <c r="R1140" s="1" t="n">
        <v>2447.85</v>
      </c>
      <c r="S1140" s="1" t="n">
        <v>11151.3</v>
      </c>
      <c r="T1140" s="1" t="n">
        <v>4805.13</v>
      </c>
      <c r="U1140" s="1" t="n">
        <v>6346.17</v>
      </c>
      <c r="V1140" s="1" t="n">
        <v>56.91</v>
      </c>
      <c r="W1140" s="1" t="s">
        <v>39</v>
      </c>
      <c r="X1140" s="1" t="n">
        <v>3.5</v>
      </c>
      <c r="Y1140" s="1" t="s">
        <v>40</v>
      </c>
      <c r="Z1140" s="1" t="n">
        <v>0</v>
      </c>
      <c r="AA1140" s="1" t="str">
        <f aca="false">TRIM(PROPER(F1140))</f>
        <v>Mumbai</v>
      </c>
      <c r="AB1140" s="1" t="str">
        <f aca="false">TRIM(PROPER(C1140))</f>
        <v>Scaler</v>
      </c>
      <c r="AC1140" s="1" t="str">
        <f aca="false">IF(O1140=0,"No Discount",IF(O1140&lt;=15,"Low (1-15%)",IF(O1140&lt;=30,"Medium (16-30%)","High (&gt;30%)")))</f>
        <v>Low (1-15%)</v>
      </c>
      <c r="AD1140" s="1" t="str">
        <f aca="false">IF(V1140&lt;0,"Loss Making",IF(V1140&lt;20,"Low Margin","Healthy Margin"))</f>
        <v>Healthy Margin</v>
      </c>
      <c r="AE1140" s="1" t="str">
        <f aca="false">TEXT(DATE(VALUE(RIGHT(B1140,4)),VALUE(MID(B1140,4,2)),VALUE(LEFT(B1140,2))),"MMM-YYYY")</f>
        <v>Nov-2024</v>
      </c>
      <c r="AF1140" s="1" t="n">
        <f aca="false">VALUE(RIGHT(B1140,4))</f>
        <v>2024</v>
      </c>
      <c r="AG1140" s="1" t="str">
        <f aca="false">CHOOSE(ROUNDUP(VALUE(MID(B1140,4,2))/3,0),"Q1","Q2","Q3","Q4")</f>
        <v>Q4</v>
      </c>
    </row>
    <row r="1141" customFormat="false" ht="15" hidden="false" customHeight="true" outlineLevel="0" collapsed="false">
      <c r="A1141" s="1" t="s">
        <v>1890</v>
      </c>
      <c r="B1141" s="1" t="s">
        <v>636</v>
      </c>
      <c r="C1141" s="1" t="s">
        <v>93</v>
      </c>
      <c r="D1141" s="1" t="s">
        <v>123</v>
      </c>
      <c r="E1141" s="1" t="s">
        <v>147</v>
      </c>
      <c r="F1141" s="1" t="s">
        <v>156</v>
      </c>
      <c r="G1141" s="1" t="s">
        <v>68</v>
      </c>
      <c r="H1141" s="1" t="s">
        <v>57</v>
      </c>
      <c r="I1141" s="1" t="s">
        <v>58</v>
      </c>
      <c r="J1141" s="1" t="s">
        <v>131</v>
      </c>
      <c r="K1141" s="1" t="s">
        <v>60</v>
      </c>
      <c r="L1141" s="1" t="s">
        <v>136</v>
      </c>
      <c r="M1141" s="1" t="s">
        <v>38</v>
      </c>
      <c r="N1141" s="1" t="n">
        <v>6999</v>
      </c>
      <c r="O1141" s="1" t="n">
        <v>0</v>
      </c>
      <c r="P1141" s="1" t="n">
        <v>0</v>
      </c>
      <c r="Q1141" s="1" t="n">
        <v>6999</v>
      </c>
      <c r="R1141" s="1" t="n">
        <v>1259.82</v>
      </c>
      <c r="S1141" s="1" t="n">
        <v>5739.18</v>
      </c>
      <c r="T1141" s="1" t="n">
        <v>2629.89</v>
      </c>
      <c r="U1141" s="1" t="n">
        <v>3109.29</v>
      </c>
      <c r="V1141" s="1" t="n">
        <v>54.18</v>
      </c>
      <c r="W1141" s="1" t="s">
        <v>39</v>
      </c>
      <c r="X1141" s="1" t="n">
        <v>4.2</v>
      </c>
      <c r="Y1141" s="1" t="s">
        <v>40</v>
      </c>
      <c r="Z1141" s="1" t="n">
        <v>0</v>
      </c>
      <c r="AA1141" s="1" t="str">
        <f aca="false">TRIM(PROPER(F1141))</f>
        <v>Surat</v>
      </c>
      <c r="AB1141" s="1" t="str">
        <f aca="false">TRIM(PROPER(C1141))</f>
        <v>Upgrad</v>
      </c>
      <c r="AC1141" s="1" t="str">
        <f aca="false">IF(O1141=0,"No Discount",IF(O1141&lt;=15,"Low (1-15%)",IF(O1141&lt;=30,"Medium (16-30%)","High (&gt;30%)")))</f>
        <v>No Discount</v>
      </c>
      <c r="AD1141" s="1" t="str">
        <f aca="false">IF(V1141&lt;0,"Loss Making",IF(V1141&lt;20,"Low Margin","Healthy Margin"))</f>
        <v>Healthy Margin</v>
      </c>
      <c r="AE1141" s="1" t="str">
        <f aca="false">TEXT(DATE(VALUE(RIGHT(B1141,4)),VALUE(MID(B1141,4,2)),VALUE(LEFT(B1141,2))),"MMM-YYYY")</f>
        <v>Nov-2024</v>
      </c>
      <c r="AF1141" s="1" t="n">
        <f aca="false">VALUE(RIGHT(B1141,4))</f>
        <v>2024</v>
      </c>
      <c r="AG1141" s="1" t="str">
        <f aca="false">CHOOSE(ROUNDUP(VALUE(MID(B1141,4,2))/3,0),"Q1","Q2","Q3","Q4")</f>
        <v>Q4</v>
      </c>
    </row>
    <row r="1142" customFormat="false" ht="15" hidden="false" customHeight="true" outlineLevel="0" collapsed="false">
      <c r="A1142" s="1" t="s">
        <v>1891</v>
      </c>
      <c r="B1142" s="1" t="s">
        <v>1166</v>
      </c>
      <c r="C1142" s="1" t="s">
        <v>178</v>
      </c>
      <c r="D1142" s="1" t="s">
        <v>123</v>
      </c>
      <c r="E1142" s="1" t="s">
        <v>124</v>
      </c>
      <c r="F1142" s="1" t="s">
        <v>102</v>
      </c>
      <c r="G1142" s="1" t="s">
        <v>103</v>
      </c>
      <c r="H1142" s="1" t="s">
        <v>33</v>
      </c>
      <c r="I1142" s="1" t="s">
        <v>58</v>
      </c>
      <c r="J1142" s="1" t="s">
        <v>77</v>
      </c>
      <c r="K1142" s="1" t="s">
        <v>104</v>
      </c>
      <c r="L1142" s="1" t="s">
        <v>61</v>
      </c>
      <c r="M1142" s="1" t="s">
        <v>50</v>
      </c>
      <c r="N1142" s="1" t="n">
        <v>4999</v>
      </c>
      <c r="O1142" s="1" t="n">
        <v>30</v>
      </c>
      <c r="P1142" s="1" t="n">
        <v>1499.7</v>
      </c>
      <c r="Q1142" s="1" t="n">
        <v>3499.3</v>
      </c>
      <c r="R1142" s="1" t="n">
        <v>629.87</v>
      </c>
      <c r="S1142" s="1" t="n">
        <v>2869.43</v>
      </c>
      <c r="T1142" s="1" t="n">
        <v>1434.8</v>
      </c>
      <c r="U1142" s="1" t="n">
        <v>1434.63</v>
      </c>
      <c r="V1142" s="1" t="n">
        <v>50</v>
      </c>
      <c r="W1142" s="1" t="s">
        <v>39</v>
      </c>
      <c r="X1142" s="1" t="n">
        <v>4.4</v>
      </c>
      <c r="Y1142" s="1" t="s">
        <v>40</v>
      </c>
      <c r="Z1142" s="1" t="n">
        <v>1</v>
      </c>
      <c r="AA1142" s="1" t="str">
        <f aca="false">TRIM(PROPER(F1142))</f>
        <v>Warangal</v>
      </c>
      <c r="AB1142" s="1" t="str">
        <f aca="false">TRIM(PROPER(C1142))</f>
        <v>Leverage Edu</v>
      </c>
      <c r="AC1142" s="1" t="str">
        <f aca="false">IF(O1142=0,"No Discount",IF(O1142&lt;=15,"Low (1-15%)",IF(O1142&lt;=30,"Medium (16-30%)","High (&gt;30%)")))</f>
        <v>Medium (16-30%)</v>
      </c>
      <c r="AD1142" s="1" t="str">
        <f aca="false">IF(V1142&lt;0,"Loss Making",IF(V1142&lt;20,"Low Margin","Healthy Margin"))</f>
        <v>Healthy Margin</v>
      </c>
      <c r="AE1142" s="1" t="str">
        <f aca="false">TEXT(DATE(VALUE(RIGHT(B1142,4)),VALUE(MID(B1142,4,2)),VALUE(LEFT(B1142,2))),"MMM-YYYY")</f>
        <v>Sep-2023</v>
      </c>
      <c r="AF1142" s="1" t="n">
        <f aca="false">VALUE(RIGHT(B1142,4))</f>
        <v>2023</v>
      </c>
      <c r="AG1142" s="1" t="str">
        <f aca="false">CHOOSE(ROUNDUP(VALUE(MID(B1142,4,2))/3,0),"Q1","Q2","Q3","Q4")</f>
        <v>Q3</v>
      </c>
    </row>
    <row r="1143" customFormat="false" ht="15" hidden="false" customHeight="true" outlineLevel="0" collapsed="false">
      <c r="A1143" s="1" t="s">
        <v>1892</v>
      </c>
      <c r="B1143" s="1" t="s">
        <v>1893</v>
      </c>
      <c r="C1143" s="1" t="s">
        <v>249</v>
      </c>
      <c r="D1143" s="1" t="s">
        <v>44</v>
      </c>
      <c r="E1143" s="1" t="s">
        <v>66</v>
      </c>
      <c r="F1143" s="1" t="s">
        <v>107</v>
      </c>
      <c r="G1143" s="1" t="s">
        <v>108</v>
      </c>
      <c r="H1143" s="1" t="s">
        <v>33</v>
      </c>
      <c r="I1143" s="1" t="s">
        <v>83</v>
      </c>
      <c r="J1143" s="1" t="s">
        <v>35</v>
      </c>
      <c r="K1143" s="1" t="s">
        <v>48</v>
      </c>
      <c r="L1143" s="1" t="s">
        <v>113</v>
      </c>
      <c r="M1143" s="1" t="s">
        <v>38</v>
      </c>
      <c r="N1143" s="1" t="n">
        <v>12999</v>
      </c>
      <c r="O1143" s="1" t="n">
        <v>10</v>
      </c>
      <c r="P1143" s="1" t="n">
        <v>1299.9</v>
      </c>
      <c r="Q1143" s="1" t="n">
        <v>11699.1</v>
      </c>
      <c r="R1143" s="1" t="n">
        <v>2105.84</v>
      </c>
      <c r="S1143" s="1" t="n">
        <v>9593.26</v>
      </c>
      <c r="T1143" s="1" t="n">
        <v>3685.19</v>
      </c>
      <c r="U1143" s="1" t="n">
        <v>5908.07</v>
      </c>
      <c r="V1143" s="1" t="n">
        <v>61.59</v>
      </c>
      <c r="W1143" s="1" t="s">
        <v>39</v>
      </c>
      <c r="X1143" s="1" t="n">
        <v>3.2</v>
      </c>
      <c r="Y1143" s="1" t="s">
        <v>40</v>
      </c>
      <c r="Z1143" s="1" t="n">
        <v>0</v>
      </c>
      <c r="AA1143" s="1" t="str">
        <f aca="false">TRIM(PROPER(F1143))</f>
        <v>Madurai</v>
      </c>
      <c r="AB1143" s="1" t="str">
        <f aca="false">TRIM(PROPER(C1143))</f>
        <v>Whitehat Jr</v>
      </c>
      <c r="AC1143" s="1" t="str">
        <f aca="false">IF(O1143=0,"No Discount",IF(O1143&lt;=15,"Low (1-15%)",IF(O1143&lt;=30,"Medium (16-30%)","High (&gt;30%)")))</f>
        <v>Low (1-15%)</v>
      </c>
      <c r="AD1143" s="1" t="str">
        <f aca="false">IF(V1143&lt;0,"Loss Making",IF(V1143&lt;20,"Low Margin","Healthy Margin"))</f>
        <v>Healthy Margin</v>
      </c>
      <c r="AE1143" s="1" t="str">
        <f aca="false">TEXT(DATE(VALUE(RIGHT(B1143,4)),VALUE(MID(B1143,4,2)),VALUE(LEFT(B1143,2))),"MMM-YYYY")</f>
        <v>Feb-2023</v>
      </c>
      <c r="AF1143" s="1" t="n">
        <f aca="false">VALUE(RIGHT(B1143,4))</f>
        <v>2023</v>
      </c>
      <c r="AG1143" s="1" t="str">
        <f aca="false">CHOOSE(ROUNDUP(VALUE(MID(B1143,4,2))/3,0),"Q1","Q2","Q3","Q4")</f>
        <v>Q1</v>
      </c>
    </row>
    <row r="1144" customFormat="false" ht="15" hidden="false" customHeight="true" outlineLevel="0" collapsed="false">
      <c r="A1144" s="1" t="s">
        <v>1894</v>
      </c>
      <c r="B1144" s="1" t="s">
        <v>1895</v>
      </c>
      <c r="C1144" s="1" t="s">
        <v>178</v>
      </c>
      <c r="D1144" s="1" t="s">
        <v>123</v>
      </c>
      <c r="E1144" s="1" t="s">
        <v>233</v>
      </c>
      <c r="F1144" s="1" t="s">
        <v>96</v>
      </c>
      <c r="G1144" s="1" t="s">
        <v>97</v>
      </c>
      <c r="H1144" s="1" t="s">
        <v>69</v>
      </c>
      <c r="I1144" s="1" t="s">
        <v>58</v>
      </c>
      <c r="J1144" s="1" t="s">
        <v>35</v>
      </c>
      <c r="K1144" s="1" t="s">
        <v>112</v>
      </c>
      <c r="L1144" s="1" t="s">
        <v>85</v>
      </c>
      <c r="M1144" s="1" t="s">
        <v>50</v>
      </c>
      <c r="N1144" s="1" t="n">
        <v>8999</v>
      </c>
      <c r="O1144" s="1" t="n">
        <v>0</v>
      </c>
      <c r="P1144" s="1" t="n">
        <v>0</v>
      </c>
      <c r="Q1144" s="1" t="n">
        <v>8999</v>
      </c>
      <c r="R1144" s="1" t="n">
        <v>1619.82</v>
      </c>
      <c r="S1144" s="1" t="n">
        <v>7379.18</v>
      </c>
      <c r="T1144" s="1" t="n">
        <v>3001.75</v>
      </c>
      <c r="U1144" s="1" t="n">
        <v>4377.43</v>
      </c>
      <c r="V1144" s="1" t="n">
        <v>59.32</v>
      </c>
      <c r="W1144" s="1" t="s">
        <v>40</v>
      </c>
      <c r="Y1144" s="1" t="s">
        <v>40</v>
      </c>
      <c r="Z1144" s="1" t="n">
        <v>3</v>
      </c>
      <c r="AA1144" s="1" t="str">
        <f aca="false">TRIM(PROPER(F1144))</f>
        <v>Pune</v>
      </c>
      <c r="AB1144" s="1" t="str">
        <f aca="false">TRIM(PROPER(C1144))</f>
        <v>Leverage Edu</v>
      </c>
      <c r="AC1144" s="1" t="str">
        <f aca="false">IF(O1144=0,"No Discount",IF(O1144&lt;=15,"Low (1-15%)",IF(O1144&lt;=30,"Medium (16-30%)","High (&gt;30%)")))</f>
        <v>No Discount</v>
      </c>
      <c r="AD1144" s="1" t="str">
        <f aca="false">IF(V1144&lt;0,"Loss Making",IF(V1144&lt;20,"Low Margin","Healthy Margin"))</f>
        <v>Healthy Margin</v>
      </c>
      <c r="AE1144" s="1" t="str">
        <f aca="false">TEXT(DATE(VALUE(RIGHT(B1144,4)),VALUE(MID(B1144,4,2)),VALUE(LEFT(B1144,2))),"MMM-YYYY")</f>
        <v>Dec-2023</v>
      </c>
      <c r="AF1144" s="1" t="n">
        <f aca="false">VALUE(RIGHT(B1144,4))</f>
        <v>2023</v>
      </c>
      <c r="AG1144" s="1" t="str">
        <f aca="false">CHOOSE(ROUNDUP(VALUE(MID(B1144,4,2))/3,0),"Q1","Q2","Q3","Q4")</f>
        <v>Q4</v>
      </c>
    </row>
    <row r="1145" customFormat="false" ht="15" hidden="false" customHeight="true" outlineLevel="0" collapsed="false">
      <c r="A1145" s="1" t="s">
        <v>1896</v>
      </c>
      <c r="B1145" s="1" t="s">
        <v>1897</v>
      </c>
      <c r="C1145" s="1" t="s">
        <v>178</v>
      </c>
      <c r="D1145" s="1" t="s">
        <v>168</v>
      </c>
      <c r="E1145" s="1" t="s">
        <v>328</v>
      </c>
      <c r="F1145" s="1" t="s">
        <v>130</v>
      </c>
      <c r="G1145" s="1" t="s">
        <v>47</v>
      </c>
      <c r="H1145" s="1" t="s">
        <v>69</v>
      </c>
      <c r="I1145" s="1" t="s">
        <v>34</v>
      </c>
      <c r="J1145" s="1" t="s">
        <v>35</v>
      </c>
      <c r="K1145" s="1" t="s">
        <v>36</v>
      </c>
      <c r="L1145" s="1" t="s">
        <v>49</v>
      </c>
      <c r="M1145" s="1" t="s">
        <v>38</v>
      </c>
      <c r="N1145" s="1" t="n">
        <v>8999</v>
      </c>
      <c r="O1145" s="1" t="n">
        <v>10</v>
      </c>
      <c r="P1145" s="1" t="n">
        <v>899.9</v>
      </c>
      <c r="Q1145" s="1" t="n">
        <v>8099.1</v>
      </c>
      <c r="R1145" s="1" t="n">
        <v>1457.84</v>
      </c>
      <c r="S1145" s="1" t="n">
        <v>6641.26</v>
      </c>
      <c r="T1145" s="1" t="n">
        <v>2219.26</v>
      </c>
      <c r="U1145" s="1" t="n">
        <v>4422</v>
      </c>
      <c r="V1145" s="1" t="n">
        <v>66.58</v>
      </c>
      <c r="W1145" s="1" t="s">
        <v>39</v>
      </c>
      <c r="X1145" s="1" t="n">
        <v>3.6</v>
      </c>
      <c r="Y1145" s="1" t="s">
        <v>40</v>
      </c>
      <c r="Z1145" s="1" t="n">
        <v>0</v>
      </c>
      <c r="AA1145" s="1" t="str">
        <f aca="false">TRIM(PROPER(F1145))</f>
        <v>Bengaluru</v>
      </c>
      <c r="AB1145" s="1" t="str">
        <f aca="false">TRIM(PROPER(C1145))</f>
        <v>Leverage Edu</v>
      </c>
      <c r="AC1145" s="1" t="str">
        <f aca="false">IF(O1145=0,"No Discount",IF(O1145&lt;=15,"Low (1-15%)",IF(O1145&lt;=30,"Medium (16-30%)","High (&gt;30%)")))</f>
        <v>Low (1-15%)</v>
      </c>
      <c r="AD1145" s="1" t="str">
        <f aca="false">IF(V1145&lt;0,"Loss Making",IF(V1145&lt;20,"Low Margin","Healthy Margin"))</f>
        <v>Healthy Margin</v>
      </c>
      <c r="AE1145" s="1" t="str">
        <f aca="false">TEXT(DATE(VALUE(RIGHT(B1145,4)),VALUE(MID(B1145,4,2)),VALUE(LEFT(B1145,2))),"MMM-YYYY")</f>
        <v>Feb-2023</v>
      </c>
      <c r="AF1145" s="1" t="n">
        <f aca="false">VALUE(RIGHT(B1145,4))</f>
        <v>2023</v>
      </c>
      <c r="AG1145" s="1" t="str">
        <f aca="false">CHOOSE(ROUNDUP(VALUE(MID(B1145,4,2))/3,0),"Q1","Q2","Q3","Q4")</f>
        <v>Q1</v>
      </c>
    </row>
    <row r="1146" customFormat="false" ht="15" hidden="false" customHeight="true" outlineLevel="0" collapsed="false">
      <c r="A1146" s="1" t="s">
        <v>1898</v>
      </c>
      <c r="B1146" s="1" t="s">
        <v>1899</v>
      </c>
      <c r="C1146" s="1" t="s">
        <v>128</v>
      </c>
      <c r="D1146" s="1" t="s">
        <v>123</v>
      </c>
      <c r="E1146" s="1" t="s">
        <v>124</v>
      </c>
      <c r="F1146" s="1" t="s">
        <v>153</v>
      </c>
      <c r="G1146" s="1" t="s">
        <v>76</v>
      </c>
      <c r="H1146" s="1" t="s">
        <v>33</v>
      </c>
      <c r="I1146" s="1" t="s">
        <v>34</v>
      </c>
      <c r="J1146" s="1" t="s">
        <v>131</v>
      </c>
      <c r="K1146" s="1" t="s">
        <v>84</v>
      </c>
      <c r="L1146" s="1" t="s">
        <v>49</v>
      </c>
      <c r="M1146" s="1" t="s">
        <v>38</v>
      </c>
      <c r="N1146" s="1" t="n">
        <v>4999</v>
      </c>
      <c r="O1146" s="1" t="n">
        <v>40</v>
      </c>
      <c r="P1146" s="1" t="n">
        <v>1999.6</v>
      </c>
      <c r="Q1146" s="1" t="n">
        <v>2999.4</v>
      </c>
      <c r="R1146" s="1" t="n">
        <v>539.89</v>
      </c>
      <c r="S1146" s="1" t="n">
        <v>2459.51</v>
      </c>
      <c r="T1146" s="1" t="n">
        <v>1686.03</v>
      </c>
      <c r="U1146" s="1" t="n">
        <v>773.48</v>
      </c>
      <c r="V1146" s="1" t="n">
        <v>31.45</v>
      </c>
      <c r="W1146" s="1" t="s">
        <v>40</v>
      </c>
      <c r="Y1146" s="1" t="s">
        <v>40</v>
      </c>
      <c r="Z1146" s="1" t="n">
        <v>2</v>
      </c>
      <c r="AA1146" s="1" t="str">
        <f aca="false">TRIM(PROPER(F1146))</f>
        <v>Howrah</v>
      </c>
      <c r="AB1146" s="1" t="str">
        <f aca="false">TRIM(PROPER(C1146))</f>
        <v>Great Learning</v>
      </c>
      <c r="AC1146" s="1" t="str">
        <f aca="false">IF(O1146=0,"No Discount",IF(O1146&lt;=15,"Low (1-15%)",IF(O1146&lt;=30,"Medium (16-30%)","High (&gt;30%)")))</f>
        <v>High (&gt;30%)</v>
      </c>
      <c r="AD1146" s="1" t="str">
        <f aca="false">IF(V1146&lt;0,"Loss Making",IF(V1146&lt;20,"Low Margin","Healthy Margin"))</f>
        <v>Healthy Margin</v>
      </c>
      <c r="AE1146" s="1" t="str">
        <f aca="false">TEXT(DATE(VALUE(RIGHT(B1146,4)),VALUE(MID(B1146,4,2)),VALUE(LEFT(B1146,2))),"MMM-YYYY")</f>
        <v>Jun-2024</v>
      </c>
      <c r="AF1146" s="1" t="n">
        <f aca="false">VALUE(RIGHT(B1146,4))</f>
        <v>2024</v>
      </c>
      <c r="AG1146" s="1" t="str">
        <f aca="false">CHOOSE(ROUNDUP(VALUE(MID(B1146,4,2))/3,0),"Q1","Q2","Q3","Q4")</f>
        <v>Q2</v>
      </c>
    </row>
    <row r="1147" customFormat="false" ht="15" hidden="false" customHeight="true" outlineLevel="0" collapsed="false">
      <c r="A1147" s="1" t="s">
        <v>1900</v>
      </c>
      <c r="B1147" s="1" t="s">
        <v>428</v>
      </c>
      <c r="C1147" s="1" t="s">
        <v>100</v>
      </c>
      <c r="D1147" s="1" t="s">
        <v>168</v>
      </c>
      <c r="E1147" s="1" t="s">
        <v>169</v>
      </c>
      <c r="F1147" s="1" t="s">
        <v>153</v>
      </c>
      <c r="G1147" s="1" t="s">
        <v>76</v>
      </c>
      <c r="H1147" s="1" t="s">
        <v>33</v>
      </c>
      <c r="I1147" s="1" t="s">
        <v>34</v>
      </c>
      <c r="J1147" s="1" t="s">
        <v>35</v>
      </c>
      <c r="K1147" s="1" t="s">
        <v>48</v>
      </c>
      <c r="L1147" s="1" t="s">
        <v>85</v>
      </c>
      <c r="M1147" s="1" t="s">
        <v>62</v>
      </c>
      <c r="N1147" s="1" t="n">
        <v>4999</v>
      </c>
      <c r="O1147" s="1" t="n">
        <v>50</v>
      </c>
      <c r="P1147" s="1" t="n">
        <v>2499.5</v>
      </c>
      <c r="Q1147" s="1" t="n">
        <v>2499.5</v>
      </c>
      <c r="R1147" s="1" t="n">
        <v>449.91</v>
      </c>
      <c r="S1147" s="1" t="n">
        <v>2049.59</v>
      </c>
      <c r="T1147" s="1" t="n">
        <v>1078.17</v>
      </c>
      <c r="U1147" s="1" t="n">
        <v>971.42</v>
      </c>
      <c r="V1147" s="1" t="n">
        <v>47.4</v>
      </c>
      <c r="W1147" s="1" t="s">
        <v>40</v>
      </c>
      <c r="Y1147" s="1" t="s">
        <v>40</v>
      </c>
      <c r="Z1147" s="1" t="n">
        <v>0</v>
      </c>
      <c r="AA1147" s="1" t="str">
        <f aca="false">TRIM(PROPER(F1147))</f>
        <v>Howrah</v>
      </c>
      <c r="AB1147" s="1" t="str">
        <f aca="false">TRIM(PROPER(C1147))</f>
        <v>Physics Wallah</v>
      </c>
      <c r="AC1147" s="1" t="str">
        <f aca="false">IF(O1147=0,"No Discount",IF(O1147&lt;=15,"Low (1-15%)",IF(O1147&lt;=30,"Medium (16-30%)","High (&gt;30%)")))</f>
        <v>High (&gt;30%)</v>
      </c>
      <c r="AD1147" s="1" t="str">
        <f aca="false">IF(V1147&lt;0,"Loss Making",IF(V1147&lt;20,"Low Margin","Healthy Margin"))</f>
        <v>Healthy Margin</v>
      </c>
      <c r="AE1147" s="1" t="str">
        <f aca="false">TEXT(DATE(VALUE(RIGHT(B1147,4)),VALUE(MID(B1147,4,2)),VALUE(LEFT(B1147,2))),"MMM-YYYY")</f>
        <v>Aug-2023</v>
      </c>
      <c r="AF1147" s="1" t="n">
        <f aca="false">VALUE(RIGHT(B1147,4))</f>
        <v>2023</v>
      </c>
      <c r="AG1147" s="1" t="str">
        <f aca="false">CHOOSE(ROUNDUP(VALUE(MID(B1147,4,2))/3,0),"Q1","Q2","Q3","Q4")</f>
        <v>Q3</v>
      </c>
    </row>
    <row r="1148" customFormat="false" ht="15" hidden="false" customHeight="true" outlineLevel="0" collapsed="false">
      <c r="A1148" s="1" t="s">
        <v>1901</v>
      </c>
      <c r="B1148" s="1" t="s">
        <v>1785</v>
      </c>
      <c r="C1148" s="1" t="s">
        <v>802</v>
      </c>
      <c r="D1148" s="1" t="s">
        <v>29</v>
      </c>
      <c r="E1148" s="1" t="s">
        <v>305</v>
      </c>
      <c r="F1148" s="1" t="s">
        <v>55</v>
      </c>
      <c r="G1148" s="1" t="s">
        <v>56</v>
      </c>
      <c r="H1148" s="1" t="s">
        <v>57</v>
      </c>
      <c r="I1148" s="1" t="s">
        <v>34</v>
      </c>
      <c r="J1148" s="1" t="s">
        <v>131</v>
      </c>
      <c r="K1148" s="1" t="s">
        <v>90</v>
      </c>
      <c r="L1148" s="1" t="s">
        <v>61</v>
      </c>
      <c r="M1148" s="1" t="s">
        <v>50</v>
      </c>
      <c r="N1148" s="1" t="n">
        <v>24999</v>
      </c>
      <c r="O1148" s="1" t="n">
        <v>10</v>
      </c>
      <c r="P1148" s="1" t="n">
        <v>2499.9</v>
      </c>
      <c r="Q1148" s="1" t="n">
        <v>22499.1</v>
      </c>
      <c r="R1148" s="1" t="n">
        <v>4049.84</v>
      </c>
      <c r="S1148" s="1" t="n">
        <v>18449.26</v>
      </c>
      <c r="T1148" s="1" t="n">
        <v>6929.75</v>
      </c>
      <c r="U1148" s="1" t="n">
        <v>11519.51</v>
      </c>
      <c r="V1148" s="1" t="n">
        <v>62.44</v>
      </c>
      <c r="W1148" s="1" t="s">
        <v>39</v>
      </c>
      <c r="X1148" s="1" t="n">
        <v>4.3</v>
      </c>
      <c r="Y1148" s="1" t="s">
        <v>39</v>
      </c>
      <c r="Z1148" s="1" t="n">
        <v>2</v>
      </c>
      <c r="AA1148" s="1" t="str">
        <f aca="false">TRIM(PROPER(F1148))</f>
        <v>Ghaziabad</v>
      </c>
      <c r="AB1148" s="1" t="str">
        <f aca="false">TRIM(PROPER(C1148))</f>
        <v>Vedantu</v>
      </c>
      <c r="AC1148" s="1" t="str">
        <f aca="false">IF(O1148=0,"No Discount",IF(O1148&lt;=15,"Low (1-15%)",IF(O1148&lt;=30,"Medium (16-30%)","High (&gt;30%)")))</f>
        <v>Low (1-15%)</v>
      </c>
      <c r="AD1148" s="1" t="str">
        <f aca="false">IF(V1148&lt;0,"Loss Making",IF(V1148&lt;20,"Low Margin","Healthy Margin"))</f>
        <v>Healthy Margin</v>
      </c>
      <c r="AE1148" s="1" t="str">
        <f aca="false">TEXT(DATE(VALUE(RIGHT(B1148,4)),VALUE(MID(B1148,4,2)),VALUE(LEFT(B1148,2))),"MMM-YYYY")</f>
        <v>Dec-2024</v>
      </c>
      <c r="AF1148" s="1" t="n">
        <f aca="false">VALUE(RIGHT(B1148,4))</f>
        <v>2024</v>
      </c>
      <c r="AG1148" s="1" t="str">
        <f aca="false">CHOOSE(ROUNDUP(VALUE(MID(B1148,4,2))/3,0),"Q1","Q2","Q3","Q4")</f>
        <v>Q4</v>
      </c>
    </row>
    <row r="1149" customFormat="false" ht="15" hidden="false" customHeight="true" outlineLevel="0" collapsed="false">
      <c r="A1149" s="1" t="s">
        <v>1902</v>
      </c>
      <c r="B1149" s="1" t="s">
        <v>847</v>
      </c>
      <c r="C1149" s="1" t="s">
        <v>139</v>
      </c>
      <c r="D1149" s="1" t="s">
        <v>80</v>
      </c>
      <c r="E1149" s="1" t="s">
        <v>193</v>
      </c>
      <c r="F1149" s="1" t="s">
        <v>244</v>
      </c>
      <c r="G1149" s="1" t="s">
        <v>97</v>
      </c>
      <c r="H1149" s="1" t="s">
        <v>57</v>
      </c>
      <c r="I1149" s="1" t="s">
        <v>58</v>
      </c>
      <c r="J1149" s="1" t="s">
        <v>70</v>
      </c>
      <c r="K1149" s="1" t="s">
        <v>84</v>
      </c>
      <c r="L1149" s="1" t="s">
        <v>61</v>
      </c>
      <c r="M1149" s="1" t="s">
        <v>62</v>
      </c>
      <c r="N1149" s="1" t="n">
        <v>8999</v>
      </c>
      <c r="O1149" s="1" t="n">
        <v>30</v>
      </c>
      <c r="P1149" s="1" t="n">
        <v>2699.7</v>
      </c>
      <c r="Q1149" s="1" t="n">
        <v>6299.3</v>
      </c>
      <c r="R1149" s="1" t="n">
        <v>1133.87</v>
      </c>
      <c r="S1149" s="1" t="n">
        <v>5165.43</v>
      </c>
      <c r="T1149" s="1" t="n">
        <v>2807.17</v>
      </c>
      <c r="U1149" s="1" t="n">
        <v>2358.26</v>
      </c>
      <c r="V1149" s="1" t="n">
        <v>45.65</v>
      </c>
      <c r="W1149" s="1" t="s">
        <v>39</v>
      </c>
      <c r="X1149" s="1" t="n">
        <v>3.2</v>
      </c>
      <c r="Y1149" s="1" t="s">
        <v>40</v>
      </c>
      <c r="Z1149" s="1" t="n">
        <v>0</v>
      </c>
      <c r="AA1149" s="1" t="str">
        <f aca="false">TRIM(PROPER(F1149))</f>
        <v>Nagpur</v>
      </c>
      <c r="AB1149" s="1" t="str">
        <f aca="false">TRIM(PROPER(C1149))</f>
        <v>Extramarks</v>
      </c>
      <c r="AC1149" s="1" t="str">
        <f aca="false">IF(O1149=0,"No Discount",IF(O1149&lt;=15,"Low (1-15%)",IF(O1149&lt;=30,"Medium (16-30%)","High (&gt;30%)")))</f>
        <v>Medium (16-30%)</v>
      </c>
      <c r="AD1149" s="1" t="str">
        <f aca="false">IF(V1149&lt;0,"Loss Making",IF(V1149&lt;20,"Low Margin","Healthy Margin"))</f>
        <v>Healthy Margin</v>
      </c>
      <c r="AE1149" s="1" t="str">
        <f aca="false">TEXT(DATE(VALUE(RIGHT(B1149,4)),VALUE(MID(B1149,4,2)),VALUE(LEFT(B1149,2))),"MMM-YYYY")</f>
        <v>Jun-2023</v>
      </c>
      <c r="AF1149" s="1" t="n">
        <f aca="false">VALUE(RIGHT(B1149,4))</f>
        <v>2023</v>
      </c>
      <c r="AG1149" s="1" t="str">
        <f aca="false">CHOOSE(ROUNDUP(VALUE(MID(B1149,4,2))/3,0),"Q1","Q2","Q3","Q4")</f>
        <v>Q2</v>
      </c>
    </row>
    <row r="1150" customFormat="false" ht="15" hidden="false" customHeight="true" outlineLevel="0" collapsed="false">
      <c r="A1150" s="1" t="s">
        <v>1903</v>
      </c>
      <c r="B1150" s="1" t="s">
        <v>1904</v>
      </c>
      <c r="C1150" s="1" t="s">
        <v>28</v>
      </c>
      <c r="D1150" s="1" t="s">
        <v>29</v>
      </c>
      <c r="E1150" s="1" t="s">
        <v>129</v>
      </c>
      <c r="F1150" s="1" t="s">
        <v>211</v>
      </c>
      <c r="G1150" s="1" t="s">
        <v>56</v>
      </c>
      <c r="H1150" s="1" t="s">
        <v>69</v>
      </c>
      <c r="I1150" s="1" t="s">
        <v>83</v>
      </c>
      <c r="J1150" s="1" t="s">
        <v>35</v>
      </c>
      <c r="K1150" s="1" t="s">
        <v>104</v>
      </c>
      <c r="L1150" s="1" t="s">
        <v>49</v>
      </c>
      <c r="M1150" s="1" t="s">
        <v>62</v>
      </c>
      <c r="N1150" s="1" t="n">
        <v>29999</v>
      </c>
      <c r="O1150" s="1" t="n">
        <v>30</v>
      </c>
      <c r="P1150" s="1" t="n">
        <v>8999.7</v>
      </c>
      <c r="Q1150" s="1" t="n">
        <v>20999.3</v>
      </c>
      <c r="R1150" s="1" t="n">
        <v>3779.87</v>
      </c>
      <c r="S1150" s="1" t="n">
        <v>17219.43</v>
      </c>
      <c r="T1150" s="1" t="n">
        <v>6165.18</v>
      </c>
      <c r="U1150" s="1" t="n">
        <v>11054.25</v>
      </c>
      <c r="V1150" s="1" t="n">
        <v>64.2</v>
      </c>
      <c r="W1150" s="1" t="s">
        <v>39</v>
      </c>
      <c r="X1150" s="1" t="n">
        <v>3.3</v>
      </c>
      <c r="Y1150" s="1" t="s">
        <v>40</v>
      </c>
      <c r="Z1150" s="1" t="n">
        <v>0</v>
      </c>
      <c r="AA1150" s="1" t="str">
        <f aca="false">TRIM(PROPER(F1150))</f>
        <v>Noida</v>
      </c>
      <c r="AB1150" s="1" t="str">
        <f aca="false">TRIM(PROPER(C1150))</f>
        <v>Embibe</v>
      </c>
      <c r="AC1150" s="1" t="str">
        <f aca="false">IF(O1150=0,"No Discount",IF(O1150&lt;=15,"Low (1-15%)",IF(O1150&lt;=30,"Medium (16-30%)","High (&gt;30%)")))</f>
        <v>Medium (16-30%)</v>
      </c>
      <c r="AD1150" s="1" t="str">
        <f aca="false">IF(V1150&lt;0,"Loss Making",IF(V1150&lt;20,"Low Margin","Healthy Margin"))</f>
        <v>Healthy Margin</v>
      </c>
      <c r="AE1150" s="1" t="str">
        <f aca="false">TEXT(DATE(VALUE(RIGHT(B1150,4)),VALUE(MID(B1150,4,2)),VALUE(LEFT(B1150,2))),"MMM-YYYY")</f>
        <v>Aug-2024</v>
      </c>
      <c r="AF1150" s="1" t="n">
        <f aca="false">VALUE(RIGHT(B1150,4))</f>
        <v>2024</v>
      </c>
      <c r="AG1150" s="1" t="str">
        <f aca="false">CHOOSE(ROUNDUP(VALUE(MID(B1150,4,2))/3,0),"Q1","Q2","Q3","Q4")</f>
        <v>Q3</v>
      </c>
    </row>
    <row r="1151" customFormat="false" ht="15" hidden="false" customHeight="true" outlineLevel="0" collapsed="false">
      <c r="A1151" s="1" t="s">
        <v>1905</v>
      </c>
      <c r="B1151" s="1" t="s">
        <v>1396</v>
      </c>
      <c r="C1151" s="1" t="s">
        <v>134</v>
      </c>
      <c r="D1151" s="1" t="s">
        <v>143</v>
      </c>
      <c r="E1151" s="1" t="s">
        <v>210</v>
      </c>
      <c r="F1151" s="1" t="s">
        <v>130</v>
      </c>
      <c r="G1151" s="1" t="s">
        <v>47</v>
      </c>
      <c r="H1151" s="1" t="s">
        <v>69</v>
      </c>
      <c r="I1151" s="1" t="s">
        <v>58</v>
      </c>
      <c r="J1151" s="1" t="s">
        <v>70</v>
      </c>
      <c r="K1151" s="1" t="s">
        <v>48</v>
      </c>
      <c r="L1151" s="1" t="s">
        <v>49</v>
      </c>
      <c r="M1151" s="1" t="s">
        <v>62</v>
      </c>
      <c r="N1151" s="1" t="n">
        <v>18999</v>
      </c>
      <c r="O1151" s="1" t="n">
        <v>15</v>
      </c>
      <c r="P1151" s="1" t="n">
        <v>2849.85</v>
      </c>
      <c r="Q1151" s="1" t="n">
        <v>16149.15</v>
      </c>
      <c r="R1151" s="1" t="n">
        <v>2906.85</v>
      </c>
      <c r="S1151" s="1" t="n">
        <v>13242.3</v>
      </c>
      <c r="T1151" s="1" t="n">
        <v>5745.41</v>
      </c>
      <c r="U1151" s="1" t="n">
        <v>7496.89</v>
      </c>
      <c r="V1151" s="1" t="n">
        <v>56.61</v>
      </c>
      <c r="W1151" s="1" t="s">
        <v>40</v>
      </c>
      <c r="Y1151" s="1" t="s">
        <v>40</v>
      </c>
      <c r="Z1151" s="1" t="n">
        <v>0</v>
      </c>
      <c r="AA1151" s="1" t="str">
        <f aca="false">TRIM(PROPER(F1151))</f>
        <v>Bengaluru</v>
      </c>
      <c r="AB1151" s="1" t="str">
        <f aca="false">TRIM(PROPER(C1151))</f>
        <v>Doubtnut</v>
      </c>
      <c r="AC1151" s="1" t="str">
        <f aca="false">IF(O1151=0,"No Discount",IF(O1151&lt;=15,"Low (1-15%)",IF(O1151&lt;=30,"Medium (16-30%)","High (&gt;30%)")))</f>
        <v>Low (1-15%)</v>
      </c>
      <c r="AD1151" s="1" t="str">
        <f aca="false">IF(V1151&lt;0,"Loss Making",IF(V1151&lt;20,"Low Margin","Healthy Margin"))</f>
        <v>Healthy Margin</v>
      </c>
      <c r="AE1151" s="1" t="str">
        <f aca="false">TEXT(DATE(VALUE(RIGHT(B1151,4)),VALUE(MID(B1151,4,2)),VALUE(LEFT(B1151,2))),"MMM-YYYY")</f>
        <v>Aug-2023</v>
      </c>
      <c r="AF1151" s="1" t="n">
        <f aca="false">VALUE(RIGHT(B1151,4))</f>
        <v>2023</v>
      </c>
      <c r="AG1151" s="1" t="str">
        <f aca="false">CHOOSE(ROUNDUP(VALUE(MID(B1151,4,2))/3,0),"Q1","Q2","Q3","Q4")</f>
        <v>Q3</v>
      </c>
    </row>
    <row r="1152" customFormat="false" ht="15" hidden="false" customHeight="true" outlineLevel="0" collapsed="false">
      <c r="A1152" s="1" t="s">
        <v>1906</v>
      </c>
      <c r="B1152" s="1" t="s">
        <v>1145</v>
      </c>
      <c r="C1152" s="1" t="s">
        <v>88</v>
      </c>
      <c r="D1152" s="1" t="s">
        <v>80</v>
      </c>
      <c r="E1152" s="1" t="s">
        <v>175</v>
      </c>
      <c r="F1152" s="1" t="s">
        <v>156</v>
      </c>
      <c r="G1152" s="1" t="s">
        <v>68</v>
      </c>
      <c r="H1152" s="1" t="s">
        <v>57</v>
      </c>
      <c r="I1152" s="1" t="s">
        <v>34</v>
      </c>
      <c r="J1152" s="1" t="s">
        <v>70</v>
      </c>
      <c r="K1152" s="1" t="s">
        <v>48</v>
      </c>
      <c r="L1152" s="1" t="s">
        <v>37</v>
      </c>
      <c r="M1152" s="1" t="s">
        <v>38</v>
      </c>
      <c r="N1152" s="1" t="n">
        <v>19999</v>
      </c>
      <c r="O1152" s="1" t="n">
        <v>0</v>
      </c>
      <c r="P1152" s="1" t="n">
        <v>0</v>
      </c>
      <c r="Q1152" s="1" t="n">
        <v>19999</v>
      </c>
      <c r="R1152" s="1" t="n">
        <v>3599.82</v>
      </c>
      <c r="S1152" s="1" t="n">
        <v>16399.18</v>
      </c>
      <c r="T1152" s="1" t="n">
        <v>8102.93</v>
      </c>
      <c r="U1152" s="1" t="n">
        <v>8296.25</v>
      </c>
      <c r="V1152" s="1" t="n">
        <v>50.59</v>
      </c>
      <c r="W1152" s="1" t="s">
        <v>39</v>
      </c>
      <c r="X1152" s="1" t="n">
        <v>3.9</v>
      </c>
      <c r="Y1152" s="1" t="s">
        <v>40</v>
      </c>
      <c r="Z1152" s="1" t="n">
        <v>0</v>
      </c>
      <c r="AA1152" s="1" t="str">
        <f aca="false">TRIM(PROPER(F1152))</f>
        <v>Surat</v>
      </c>
      <c r="AB1152" s="1" t="str">
        <f aca="false">TRIM(PROPER(C1152))</f>
        <v>Byju'S</v>
      </c>
      <c r="AC1152" s="1" t="str">
        <f aca="false">IF(O1152=0,"No Discount",IF(O1152&lt;=15,"Low (1-15%)",IF(O1152&lt;=30,"Medium (16-30%)","High (&gt;30%)")))</f>
        <v>No Discount</v>
      </c>
      <c r="AD1152" s="1" t="str">
        <f aca="false">IF(V1152&lt;0,"Loss Making",IF(V1152&lt;20,"Low Margin","Healthy Margin"))</f>
        <v>Healthy Margin</v>
      </c>
      <c r="AE1152" s="1" t="str">
        <f aca="false">TEXT(DATE(VALUE(RIGHT(B1152,4)),VALUE(MID(B1152,4,2)),VALUE(LEFT(B1152,2))),"MMM-YYYY")</f>
        <v>Jul-2024</v>
      </c>
      <c r="AF1152" s="1" t="n">
        <f aca="false">VALUE(RIGHT(B1152,4))</f>
        <v>2024</v>
      </c>
      <c r="AG1152" s="1" t="str">
        <f aca="false">CHOOSE(ROUNDUP(VALUE(MID(B1152,4,2))/3,0),"Q1","Q2","Q3","Q4")</f>
        <v>Q3</v>
      </c>
    </row>
    <row r="1153" customFormat="false" ht="15" hidden="false" customHeight="true" outlineLevel="0" collapsed="false">
      <c r="A1153" s="1" t="s">
        <v>1907</v>
      </c>
      <c r="B1153" s="1" t="s">
        <v>968</v>
      </c>
      <c r="C1153" s="1" t="s">
        <v>249</v>
      </c>
      <c r="D1153" s="1" t="s">
        <v>29</v>
      </c>
      <c r="E1153" s="1" t="s">
        <v>182</v>
      </c>
      <c r="F1153" s="1" t="s">
        <v>187</v>
      </c>
      <c r="G1153" s="1" t="s">
        <v>97</v>
      </c>
      <c r="H1153" s="1" t="s">
        <v>69</v>
      </c>
      <c r="I1153" s="1" t="s">
        <v>58</v>
      </c>
      <c r="J1153" s="1" t="s">
        <v>77</v>
      </c>
      <c r="K1153" s="1" t="s">
        <v>90</v>
      </c>
      <c r="L1153" s="1" t="s">
        <v>113</v>
      </c>
      <c r="M1153" s="1" t="s">
        <v>62</v>
      </c>
      <c r="N1153" s="1" t="n">
        <v>34999</v>
      </c>
      <c r="O1153" s="1" t="n">
        <v>10</v>
      </c>
      <c r="P1153" s="1" t="n">
        <v>3499.9</v>
      </c>
      <c r="Q1153" s="1" t="n">
        <v>31499.1</v>
      </c>
      <c r="R1153" s="1" t="n">
        <v>5669.84</v>
      </c>
      <c r="S1153" s="1" t="n">
        <v>25829.26</v>
      </c>
      <c r="T1153" s="1" t="n">
        <v>8079.41</v>
      </c>
      <c r="U1153" s="1" t="n">
        <v>17749.85</v>
      </c>
      <c r="V1153" s="1" t="n">
        <v>68.72</v>
      </c>
      <c r="W1153" s="1" t="s">
        <v>39</v>
      </c>
      <c r="X1153" s="1" t="n">
        <v>4.8</v>
      </c>
      <c r="Y1153" s="1" t="s">
        <v>40</v>
      </c>
      <c r="Z1153" s="1" t="n">
        <v>0</v>
      </c>
      <c r="AA1153" s="1" t="str">
        <f aca="false">TRIM(PROPER(F1153))</f>
        <v>Mumbai</v>
      </c>
      <c r="AB1153" s="1" t="str">
        <f aca="false">TRIM(PROPER(C1153))</f>
        <v>Whitehat Jr</v>
      </c>
      <c r="AC1153" s="1" t="str">
        <f aca="false">IF(O1153=0,"No Discount",IF(O1153&lt;=15,"Low (1-15%)",IF(O1153&lt;=30,"Medium (16-30%)","High (&gt;30%)")))</f>
        <v>Low (1-15%)</v>
      </c>
      <c r="AD1153" s="1" t="str">
        <f aca="false">IF(V1153&lt;0,"Loss Making",IF(V1153&lt;20,"Low Margin","Healthy Margin"))</f>
        <v>Healthy Margin</v>
      </c>
      <c r="AE1153" s="1" t="str">
        <f aca="false">TEXT(DATE(VALUE(RIGHT(B1153,4)),VALUE(MID(B1153,4,2)),VALUE(LEFT(B1153,2))),"MMM-YYYY")</f>
        <v>Jun-2023</v>
      </c>
      <c r="AF1153" s="1" t="n">
        <f aca="false">VALUE(RIGHT(B1153,4))</f>
        <v>2023</v>
      </c>
      <c r="AG1153" s="1" t="str">
        <f aca="false">CHOOSE(ROUNDUP(VALUE(MID(B1153,4,2))/3,0),"Q1","Q2","Q3","Q4")</f>
        <v>Q2</v>
      </c>
    </row>
    <row r="1154" customFormat="false" ht="15" hidden="false" customHeight="true" outlineLevel="0" collapsed="false">
      <c r="A1154" s="1" t="s">
        <v>1908</v>
      </c>
      <c r="B1154" s="1" t="s">
        <v>1215</v>
      </c>
      <c r="C1154" s="1" t="s">
        <v>249</v>
      </c>
      <c r="D1154" s="1" t="s">
        <v>53</v>
      </c>
      <c r="E1154" s="1" t="s">
        <v>54</v>
      </c>
      <c r="F1154" s="1" t="s">
        <v>96</v>
      </c>
      <c r="G1154" s="1" t="s">
        <v>97</v>
      </c>
      <c r="H1154" s="1" t="s">
        <v>69</v>
      </c>
      <c r="I1154" s="1" t="s">
        <v>58</v>
      </c>
      <c r="J1154" s="1" t="s">
        <v>77</v>
      </c>
      <c r="K1154" s="1" t="s">
        <v>48</v>
      </c>
      <c r="L1154" s="1" t="s">
        <v>61</v>
      </c>
      <c r="M1154" s="1" t="s">
        <v>62</v>
      </c>
      <c r="N1154" s="1" t="n">
        <v>11999</v>
      </c>
      <c r="O1154" s="1" t="n">
        <v>0</v>
      </c>
      <c r="P1154" s="1" t="n">
        <v>0</v>
      </c>
      <c r="Q1154" s="1" t="n">
        <v>11999</v>
      </c>
      <c r="R1154" s="1" t="n">
        <v>2159.82</v>
      </c>
      <c r="S1154" s="1" t="n">
        <v>9839.18</v>
      </c>
      <c r="T1154" s="1" t="n">
        <v>3389.62</v>
      </c>
      <c r="U1154" s="1" t="n">
        <v>6449.56</v>
      </c>
      <c r="V1154" s="1" t="n">
        <v>65.55</v>
      </c>
      <c r="W1154" s="1" t="s">
        <v>39</v>
      </c>
      <c r="X1154" s="1" t="n">
        <v>3.8</v>
      </c>
      <c r="Y1154" s="1" t="s">
        <v>40</v>
      </c>
      <c r="Z1154" s="1" t="n">
        <v>0</v>
      </c>
      <c r="AA1154" s="1" t="str">
        <f aca="false">TRIM(PROPER(F1154))</f>
        <v>Pune</v>
      </c>
      <c r="AB1154" s="1" t="str">
        <f aca="false">TRIM(PROPER(C1154))</f>
        <v>Whitehat Jr</v>
      </c>
      <c r="AC1154" s="1" t="str">
        <f aca="false">IF(O1154=0,"No Discount",IF(O1154&lt;=15,"Low (1-15%)",IF(O1154&lt;=30,"Medium (16-30%)","High (&gt;30%)")))</f>
        <v>No Discount</v>
      </c>
      <c r="AD1154" s="1" t="str">
        <f aca="false">IF(V1154&lt;0,"Loss Making",IF(V1154&lt;20,"Low Margin","Healthy Margin"))</f>
        <v>Healthy Margin</v>
      </c>
      <c r="AE1154" s="1" t="str">
        <f aca="false">TEXT(DATE(VALUE(RIGHT(B1154,4)),VALUE(MID(B1154,4,2)),VALUE(LEFT(B1154,2))),"MMM-YYYY")</f>
        <v>Oct-2024</v>
      </c>
      <c r="AF1154" s="1" t="n">
        <f aca="false">VALUE(RIGHT(B1154,4))</f>
        <v>2024</v>
      </c>
      <c r="AG1154" s="1" t="str">
        <f aca="false">CHOOSE(ROUNDUP(VALUE(MID(B1154,4,2))/3,0),"Q1","Q2","Q3","Q4")</f>
        <v>Q4</v>
      </c>
    </row>
    <row r="1155" customFormat="false" ht="15" hidden="false" customHeight="true" outlineLevel="0" collapsed="false">
      <c r="A1155" s="1" t="s">
        <v>1909</v>
      </c>
      <c r="B1155" s="1" t="s">
        <v>947</v>
      </c>
      <c r="C1155" s="1" t="s">
        <v>264</v>
      </c>
      <c r="D1155" s="1" t="s">
        <v>29</v>
      </c>
      <c r="E1155" s="1" t="s">
        <v>182</v>
      </c>
      <c r="F1155" s="1" t="s">
        <v>102</v>
      </c>
      <c r="G1155" s="1" t="s">
        <v>103</v>
      </c>
      <c r="H1155" s="1" t="s">
        <v>33</v>
      </c>
      <c r="I1155" s="1" t="s">
        <v>34</v>
      </c>
      <c r="J1155" s="1" t="s">
        <v>131</v>
      </c>
      <c r="K1155" s="1" t="s">
        <v>36</v>
      </c>
      <c r="L1155" s="1" t="s">
        <v>113</v>
      </c>
      <c r="M1155" s="1" t="s">
        <v>50</v>
      </c>
      <c r="N1155" s="1" t="n">
        <v>34999</v>
      </c>
      <c r="O1155" s="1" t="n">
        <v>0</v>
      </c>
      <c r="P1155" s="1" t="n">
        <v>0</v>
      </c>
      <c r="Q1155" s="1" t="n">
        <v>34999</v>
      </c>
      <c r="R1155" s="1" t="n">
        <v>6299.82</v>
      </c>
      <c r="S1155" s="1" t="n">
        <v>28699.18</v>
      </c>
      <c r="T1155" s="1" t="n">
        <v>13261.33</v>
      </c>
      <c r="U1155" s="1" t="n">
        <v>15437.85</v>
      </c>
      <c r="V1155" s="1" t="n">
        <v>53.79</v>
      </c>
      <c r="W1155" s="1" t="s">
        <v>39</v>
      </c>
      <c r="X1155" s="1" t="n">
        <v>3.3</v>
      </c>
      <c r="Y1155" s="1" t="s">
        <v>40</v>
      </c>
      <c r="Z1155" s="1" t="n">
        <v>0</v>
      </c>
      <c r="AA1155" s="1" t="str">
        <f aca="false">TRIM(PROPER(F1155))</f>
        <v>Warangal</v>
      </c>
      <c r="AB1155" s="1" t="str">
        <f aca="false">TRIM(PROPER(C1155))</f>
        <v>Unacademy</v>
      </c>
      <c r="AC1155" s="1" t="str">
        <f aca="false">IF(O1155=0,"No Discount",IF(O1155&lt;=15,"Low (1-15%)",IF(O1155&lt;=30,"Medium (16-30%)","High (&gt;30%)")))</f>
        <v>No Discount</v>
      </c>
      <c r="AD1155" s="1" t="str">
        <f aca="false">IF(V1155&lt;0,"Loss Making",IF(V1155&lt;20,"Low Margin","Healthy Margin"))</f>
        <v>Healthy Margin</v>
      </c>
      <c r="AE1155" s="1" t="str">
        <f aca="false">TEXT(DATE(VALUE(RIGHT(B1155,4)),VALUE(MID(B1155,4,2)),VALUE(LEFT(B1155,2))),"MMM-YYYY")</f>
        <v>Jun-2023</v>
      </c>
      <c r="AF1155" s="1" t="n">
        <f aca="false">VALUE(RIGHT(B1155,4))</f>
        <v>2023</v>
      </c>
      <c r="AG1155" s="1" t="str">
        <f aca="false">CHOOSE(ROUNDUP(VALUE(MID(B1155,4,2))/3,0),"Q1","Q2","Q3","Q4")</f>
        <v>Q2</v>
      </c>
    </row>
    <row r="1156" customFormat="false" ht="15" hidden="false" customHeight="true" outlineLevel="0" collapsed="false">
      <c r="A1156" s="1" t="s">
        <v>1910</v>
      </c>
      <c r="B1156" s="1" t="s">
        <v>196</v>
      </c>
      <c r="C1156" s="1" t="s">
        <v>74</v>
      </c>
      <c r="D1156" s="1" t="s">
        <v>29</v>
      </c>
      <c r="E1156" s="1" t="s">
        <v>182</v>
      </c>
      <c r="F1156" s="1" t="s">
        <v>46</v>
      </c>
      <c r="G1156" s="1" t="s">
        <v>47</v>
      </c>
      <c r="H1156" s="1" t="s">
        <v>33</v>
      </c>
      <c r="I1156" s="1" t="s">
        <v>83</v>
      </c>
      <c r="J1156" s="1" t="s">
        <v>35</v>
      </c>
      <c r="K1156" s="1" t="s">
        <v>84</v>
      </c>
      <c r="L1156" s="1" t="s">
        <v>113</v>
      </c>
      <c r="M1156" s="1" t="s">
        <v>50</v>
      </c>
      <c r="N1156" s="1" t="n">
        <v>34999</v>
      </c>
      <c r="O1156" s="1" t="n">
        <v>10</v>
      </c>
      <c r="P1156" s="1" t="n">
        <v>3499.9</v>
      </c>
      <c r="Q1156" s="1" t="n">
        <v>31499.1</v>
      </c>
      <c r="R1156" s="1" t="n">
        <v>5669.84</v>
      </c>
      <c r="S1156" s="1" t="n">
        <v>25829.26</v>
      </c>
      <c r="T1156" s="1" t="n">
        <v>10961.26</v>
      </c>
      <c r="U1156" s="1" t="n">
        <v>14868</v>
      </c>
      <c r="V1156" s="1" t="n">
        <v>57.56</v>
      </c>
      <c r="W1156" s="1" t="s">
        <v>40</v>
      </c>
      <c r="Y1156" s="1" t="s">
        <v>40</v>
      </c>
      <c r="Z1156" s="1" t="n">
        <v>0</v>
      </c>
      <c r="AA1156" s="1" t="str">
        <f aca="false">TRIM(PROPER(F1156))</f>
        <v>Mangaluru</v>
      </c>
      <c r="AB1156" s="1" t="str">
        <f aca="false">TRIM(PROPER(C1156))</f>
        <v>Vedantu</v>
      </c>
      <c r="AC1156" s="1" t="str">
        <f aca="false">IF(O1156=0,"No Discount",IF(O1156&lt;=15,"Low (1-15%)",IF(O1156&lt;=30,"Medium (16-30%)","High (&gt;30%)")))</f>
        <v>Low (1-15%)</v>
      </c>
      <c r="AD1156" s="1" t="str">
        <f aca="false">IF(V1156&lt;0,"Loss Making",IF(V1156&lt;20,"Low Margin","Healthy Margin"))</f>
        <v>Healthy Margin</v>
      </c>
      <c r="AE1156" s="1" t="str">
        <f aca="false">TEXT(DATE(VALUE(RIGHT(B1156,4)),VALUE(MID(B1156,4,2)),VALUE(LEFT(B1156,2))),"MMM-YYYY")</f>
        <v>Mar-2024</v>
      </c>
      <c r="AF1156" s="1" t="n">
        <f aca="false">VALUE(RIGHT(B1156,4))</f>
        <v>2024</v>
      </c>
      <c r="AG1156" s="1" t="str">
        <f aca="false">CHOOSE(ROUNDUP(VALUE(MID(B1156,4,2))/3,0),"Q1","Q2","Q3","Q4")</f>
        <v>Q1</v>
      </c>
    </row>
    <row r="1157" customFormat="false" ht="15" hidden="false" customHeight="true" outlineLevel="0" collapsed="false">
      <c r="A1157" s="1" t="s">
        <v>1911</v>
      </c>
      <c r="B1157" s="1" t="s">
        <v>389</v>
      </c>
      <c r="C1157" s="1" t="s">
        <v>178</v>
      </c>
      <c r="D1157" s="1" t="s">
        <v>44</v>
      </c>
      <c r="E1157" s="1" t="s">
        <v>45</v>
      </c>
      <c r="F1157" s="1" t="s">
        <v>96</v>
      </c>
      <c r="G1157" s="1" t="s">
        <v>97</v>
      </c>
      <c r="H1157" s="1" t="s">
        <v>69</v>
      </c>
      <c r="I1157" s="1" t="s">
        <v>34</v>
      </c>
      <c r="J1157" s="1" t="s">
        <v>59</v>
      </c>
      <c r="K1157" s="1" t="s">
        <v>104</v>
      </c>
      <c r="L1157" s="1" t="s">
        <v>85</v>
      </c>
      <c r="M1157" s="1" t="s">
        <v>50</v>
      </c>
      <c r="N1157" s="1" t="n">
        <v>11999</v>
      </c>
      <c r="O1157" s="1" t="n">
        <v>5</v>
      </c>
      <c r="P1157" s="1" t="n">
        <v>599.95</v>
      </c>
      <c r="Q1157" s="1" t="n">
        <v>11399.05</v>
      </c>
      <c r="R1157" s="1" t="n">
        <v>2051.83</v>
      </c>
      <c r="S1157" s="1" t="n">
        <v>9347.22</v>
      </c>
      <c r="T1157" s="1" t="n">
        <v>3981.87</v>
      </c>
      <c r="U1157" s="1" t="n">
        <v>5365.35</v>
      </c>
      <c r="V1157" s="1" t="n">
        <v>57.4</v>
      </c>
      <c r="W1157" s="1" t="s">
        <v>40</v>
      </c>
      <c r="Y1157" s="1" t="s">
        <v>40</v>
      </c>
      <c r="Z1157" s="1" t="n">
        <v>2</v>
      </c>
      <c r="AA1157" s="1" t="str">
        <f aca="false">TRIM(PROPER(F1157))</f>
        <v>Pune</v>
      </c>
      <c r="AB1157" s="1" t="str">
        <f aca="false">TRIM(PROPER(C1157))</f>
        <v>Leverage Edu</v>
      </c>
      <c r="AC1157" s="1" t="str">
        <f aca="false">IF(O1157=0,"No Discount",IF(O1157&lt;=15,"Low (1-15%)",IF(O1157&lt;=30,"Medium (16-30%)","High (&gt;30%)")))</f>
        <v>Low (1-15%)</v>
      </c>
      <c r="AD1157" s="1" t="str">
        <f aca="false">IF(V1157&lt;0,"Loss Making",IF(V1157&lt;20,"Low Margin","Healthy Margin"))</f>
        <v>Healthy Margin</v>
      </c>
      <c r="AE1157" s="1" t="str">
        <f aca="false">TEXT(DATE(VALUE(RIGHT(B1157,4)),VALUE(MID(B1157,4,2)),VALUE(LEFT(B1157,2))),"MMM-YYYY")</f>
        <v>Feb-2023</v>
      </c>
      <c r="AF1157" s="1" t="n">
        <f aca="false">VALUE(RIGHT(B1157,4))</f>
        <v>2023</v>
      </c>
      <c r="AG1157" s="1" t="str">
        <f aca="false">CHOOSE(ROUNDUP(VALUE(MID(B1157,4,2))/3,0),"Q1","Q2","Q3","Q4")</f>
        <v>Q1</v>
      </c>
    </row>
    <row r="1158" customFormat="false" ht="15" hidden="false" customHeight="true" outlineLevel="0" collapsed="false">
      <c r="A1158" s="1" t="s">
        <v>1912</v>
      </c>
      <c r="B1158" s="1" t="s">
        <v>1913</v>
      </c>
      <c r="C1158" s="1" t="s">
        <v>249</v>
      </c>
      <c r="D1158" s="1" t="s">
        <v>44</v>
      </c>
      <c r="E1158" s="1" t="s">
        <v>45</v>
      </c>
      <c r="F1158" s="1" t="s">
        <v>55</v>
      </c>
      <c r="G1158" s="1" t="s">
        <v>56</v>
      </c>
      <c r="H1158" s="1" t="s">
        <v>57</v>
      </c>
      <c r="I1158" s="1" t="s">
        <v>83</v>
      </c>
      <c r="J1158" s="1" t="s">
        <v>131</v>
      </c>
      <c r="K1158" s="1" t="s">
        <v>48</v>
      </c>
      <c r="L1158" s="1" t="s">
        <v>136</v>
      </c>
      <c r="M1158" s="1" t="s">
        <v>38</v>
      </c>
      <c r="N1158" s="1" t="n">
        <v>11999</v>
      </c>
      <c r="O1158" s="1" t="n">
        <v>25</v>
      </c>
      <c r="P1158" s="1" t="n">
        <v>2999.75</v>
      </c>
      <c r="Q1158" s="1" t="n">
        <v>8999.25</v>
      </c>
      <c r="R1158" s="1" t="n">
        <v>1619.87</v>
      </c>
      <c r="S1158" s="1" t="n">
        <v>7379.38</v>
      </c>
      <c r="T1158" s="1" t="n">
        <v>3793.12</v>
      </c>
      <c r="U1158" s="1" t="n">
        <v>3586.26</v>
      </c>
      <c r="V1158" s="1" t="n">
        <v>48.6</v>
      </c>
      <c r="W1158" s="1" t="s">
        <v>39</v>
      </c>
      <c r="Y1158" s="1" t="s">
        <v>40</v>
      </c>
      <c r="Z1158" s="1" t="n">
        <v>0</v>
      </c>
      <c r="AA1158" s="1" t="str">
        <f aca="false">TRIM(PROPER(F1158))</f>
        <v>Ghaziabad</v>
      </c>
      <c r="AB1158" s="1" t="str">
        <f aca="false">TRIM(PROPER(C1158))</f>
        <v>Whitehat Jr</v>
      </c>
      <c r="AC1158" s="1" t="str">
        <f aca="false">IF(O1158=0,"No Discount",IF(O1158&lt;=15,"Low (1-15%)",IF(O1158&lt;=30,"Medium (16-30%)","High (&gt;30%)")))</f>
        <v>Medium (16-30%)</v>
      </c>
      <c r="AD1158" s="1" t="str">
        <f aca="false">IF(V1158&lt;0,"Loss Making",IF(V1158&lt;20,"Low Margin","Healthy Margin"))</f>
        <v>Healthy Margin</v>
      </c>
      <c r="AE1158" s="1" t="str">
        <f aca="false">TEXT(DATE(VALUE(RIGHT(B1158,4)),VALUE(MID(B1158,4,2)),VALUE(LEFT(B1158,2))),"MMM-YYYY")</f>
        <v>Jul-2023</v>
      </c>
      <c r="AF1158" s="1" t="n">
        <f aca="false">VALUE(RIGHT(B1158,4))</f>
        <v>2023</v>
      </c>
      <c r="AG1158" s="1" t="str">
        <f aca="false">CHOOSE(ROUNDUP(VALUE(MID(B1158,4,2))/3,0),"Q1","Q2","Q3","Q4")</f>
        <v>Q3</v>
      </c>
    </row>
    <row r="1159" customFormat="false" ht="15" hidden="false" customHeight="true" outlineLevel="0" collapsed="false">
      <c r="A1159" s="1" t="s">
        <v>1914</v>
      </c>
      <c r="B1159" s="1" t="s">
        <v>1453</v>
      </c>
      <c r="C1159" s="1" t="s">
        <v>74</v>
      </c>
      <c r="D1159" s="1" t="s">
        <v>168</v>
      </c>
      <c r="E1159" s="1" t="s">
        <v>172</v>
      </c>
      <c r="F1159" s="1" t="s">
        <v>153</v>
      </c>
      <c r="G1159" s="1" t="s">
        <v>76</v>
      </c>
      <c r="H1159" s="1" t="s">
        <v>33</v>
      </c>
      <c r="I1159" s="1" t="s">
        <v>34</v>
      </c>
      <c r="J1159" s="1" t="s">
        <v>59</v>
      </c>
      <c r="K1159" s="1" t="s">
        <v>71</v>
      </c>
      <c r="L1159" s="1" t="s">
        <v>113</v>
      </c>
      <c r="M1159" s="1" t="s">
        <v>50</v>
      </c>
      <c r="N1159" s="1" t="n">
        <v>6999</v>
      </c>
      <c r="O1159" s="1" t="n">
        <v>0</v>
      </c>
      <c r="P1159" s="1" t="n">
        <v>0</v>
      </c>
      <c r="Q1159" s="1" t="n">
        <v>6999</v>
      </c>
      <c r="R1159" s="1" t="n">
        <v>1259.82</v>
      </c>
      <c r="S1159" s="1" t="n">
        <v>5739.18</v>
      </c>
      <c r="T1159" s="1" t="n">
        <v>2812.09</v>
      </c>
      <c r="U1159" s="1" t="n">
        <v>2927.09</v>
      </c>
      <c r="V1159" s="1" t="n">
        <v>51</v>
      </c>
      <c r="W1159" s="1" t="s">
        <v>40</v>
      </c>
      <c r="Y1159" s="1" t="s">
        <v>40</v>
      </c>
      <c r="Z1159" s="1" t="n">
        <v>0</v>
      </c>
      <c r="AA1159" s="1" t="str">
        <f aca="false">TRIM(PROPER(F1159))</f>
        <v>Howrah</v>
      </c>
      <c r="AB1159" s="1" t="str">
        <f aca="false">TRIM(PROPER(C1159))</f>
        <v>Vedantu</v>
      </c>
      <c r="AC1159" s="1" t="str">
        <f aca="false">IF(O1159=0,"No Discount",IF(O1159&lt;=15,"Low (1-15%)",IF(O1159&lt;=30,"Medium (16-30%)","High (&gt;30%)")))</f>
        <v>No Discount</v>
      </c>
      <c r="AD1159" s="1" t="str">
        <f aca="false">IF(V1159&lt;0,"Loss Making",IF(V1159&lt;20,"Low Margin","Healthy Margin"))</f>
        <v>Healthy Margin</v>
      </c>
      <c r="AE1159" s="1" t="str">
        <f aca="false">TEXT(DATE(VALUE(RIGHT(B1159,4)),VALUE(MID(B1159,4,2)),VALUE(LEFT(B1159,2))),"MMM-YYYY")</f>
        <v>Jan-2024</v>
      </c>
      <c r="AF1159" s="1" t="n">
        <f aca="false">VALUE(RIGHT(B1159,4))</f>
        <v>2024</v>
      </c>
      <c r="AG1159" s="1" t="str">
        <f aca="false">CHOOSE(ROUNDUP(VALUE(MID(B1159,4,2))/3,0),"Q1","Q2","Q3","Q4")</f>
        <v>Q1</v>
      </c>
    </row>
    <row r="1160" customFormat="false" ht="15" hidden="false" customHeight="true" outlineLevel="0" collapsed="false">
      <c r="A1160" s="1" t="s">
        <v>1915</v>
      </c>
      <c r="B1160" s="1" t="s">
        <v>1242</v>
      </c>
      <c r="C1160" s="1" t="s">
        <v>264</v>
      </c>
      <c r="D1160" s="1" t="s">
        <v>80</v>
      </c>
      <c r="E1160" s="1" t="s">
        <v>81</v>
      </c>
      <c r="F1160" s="1" t="s">
        <v>130</v>
      </c>
      <c r="G1160" s="1" t="s">
        <v>47</v>
      </c>
      <c r="H1160" s="1" t="s">
        <v>69</v>
      </c>
      <c r="I1160" s="1" t="s">
        <v>83</v>
      </c>
      <c r="J1160" s="1" t="s">
        <v>35</v>
      </c>
      <c r="K1160" s="1" t="s">
        <v>104</v>
      </c>
      <c r="L1160" s="1" t="s">
        <v>136</v>
      </c>
      <c r="M1160" s="1" t="s">
        <v>50</v>
      </c>
      <c r="N1160" s="1" t="n">
        <v>12999</v>
      </c>
      <c r="O1160" s="1" t="n">
        <v>10</v>
      </c>
      <c r="P1160" s="1" t="n">
        <v>1299.9</v>
      </c>
      <c r="Q1160" s="1" t="n">
        <v>11699.1</v>
      </c>
      <c r="R1160" s="1" t="n">
        <v>2105.84</v>
      </c>
      <c r="S1160" s="1" t="n">
        <v>9593.26</v>
      </c>
      <c r="T1160" s="1" t="n">
        <v>4440.28</v>
      </c>
      <c r="U1160" s="1" t="n">
        <v>5152.98</v>
      </c>
      <c r="V1160" s="1" t="n">
        <v>53.71</v>
      </c>
      <c r="W1160" s="1" t="s">
        <v>39</v>
      </c>
      <c r="X1160" s="1" t="n">
        <v>4.1</v>
      </c>
      <c r="Y1160" s="1" t="s">
        <v>40</v>
      </c>
      <c r="Z1160" s="1" t="n">
        <v>0</v>
      </c>
      <c r="AA1160" s="1" t="str">
        <f aca="false">TRIM(PROPER(F1160))</f>
        <v>Bengaluru</v>
      </c>
      <c r="AB1160" s="1" t="str">
        <f aca="false">TRIM(PROPER(C1160))</f>
        <v>Unacademy</v>
      </c>
      <c r="AC1160" s="1" t="str">
        <f aca="false">IF(O1160=0,"No Discount",IF(O1160&lt;=15,"Low (1-15%)",IF(O1160&lt;=30,"Medium (16-30%)","High (&gt;30%)")))</f>
        <v>Low (1-15%)</v>
      </c>
      <c r="AD1160" s="1" t="str">
        <f aca="false">IF(V1160&lt;0,"Loss Making",IF(V1160&lt;20,"Low Margin","Healthy Margin"))</f>
        <v>Healthy Margin</v>
      </c>
      <c r="AE1160" s="1" t="str">
        <f aca="false">TEXT(DATE(VALUE(RIGHT(B1160,4)),VALUE(MID(B1160,4,2)),VALUE(LEFT(B1160,2))),"MMM-YYYY")</f>
        <v>Jan-2023</v>
      </c>
      <c r="AF1160" s="1" t="n">
        <f aca="false">VALUE(RIGHT(B1160,4))</f>
        <v>2023</v>
      </c>
      <c r="AG1160" s="1" t="str">
        <f aca="false">CHOOSE(ROUNDUP(VALUE(MID(B1160,4,2))/3,0),"Q1","Q2","Q3","Q4")</f>
        <v>Q1</v>
      </c>
    </row>
    <row r="1161" customFormat="false" ht="15" hidden="false" customHeight="true" outlineLevel="0" collapsed="false">
      <c r="A1161" s="1" t="s">
        <v>1916</v>
      </c>
      <c r="B1161" s="1" t="s">
        <v>1205</v>
      </c>
      <c r="C1161" s="1" t="s">
        <v>88</v>
      </c>
      <c r="D1161" s="1" t="s">
        <v>168</v>
      </c>
      <c r="E1161" s="1" t="s">
        <v>172</v>
      </c>
      <c r="F1161" s="1" t="s">
        <v>96</v>
      </c>
      <c r="G1161" s="1" t="s">
        <v>97</v>
      </c>
      <c r="H1161" s="1" t="s">
        <v>69</v>
      </c>
      <c r="I1161" s="1" t="s">
        <v>58</v>
      </c>
      <c r="J1161" s="1" t="s">
        <v>35</v>
      </c>
      <c r="K1161" s="1" t="s">
        <v>36</v>
      </c>
      <c r="L1161" s="1" t="s">
        <v>37</v>
      </c>
      <c r="M1161" s="1" t="s">
        <v>62</v>
      </c>
      <c r="N1161" s="1" t="n">
        <v>6999</v>
      </c>
      <c r="O1161" s="1" t="n">
        <v>40</v>
      </c>
      <c r="P1161" s="1" t="n">
        <v>2799.6</v>
      </c>
      <c r="Q1161" s="1" t="n">
        <v>4199.4</v>
      </c>
      <c r="R1161" s="1" t="n">
        <v>755.89</v>
      </c>
      <c r="S1161" s="1" t="n">
        <v>3443.51</v>
      </c>
      <c r="T1161" s="1" t="n">
        <v>1651.04</v>
      </c>
      <c r="U1161" s="1" t="n">
        <v>1792.47</v>
      </c>
      <c r="V1161" s="1" t="n">
        <v>52.05</v>
      </c>
      <c r="W1161" s="1" t="s">
        <v>39</v>
      </c>
      <c r="X1161" s="1" t="n">
        <v>3.5</v>
      </c>
      <c r="Y1161" s="1" t="s">
        <v>40</v>
      </c>
      <c r="Z1161" s="1" t="n">
        <v>0</v>
      </c>
      <c r="AA1161" s="1" t="str">
        <f aca="false">TRIM(PROPER(F1161))</f>
        <v>Pune</v>
      </c>
      <c r="AB1161" s="1" t="str">
        <f aca="false">TRIM(PROPER(C1161))</f>
        <v>Byju'S</v>
      </c>
      <c r="AC1161" s="1" t="str">
        <f aca="false">IF(O1161=0,"No Discount",IF(O1161&lt;=15,"Low (1-15%)",IF(O1161&lt;=30,"Medium (16-30%)","High (&gt;30%)")))</f>
        <v>High (&gt;30%)</v>
      </c>
      <c r="AD1161" s="1" t="str">
        <f aca="false">IF(V1161&lt;0,"Loss Making",IF(V1161&lt;20,"Low Margin","Healthy Margin"))</f>
        <v>Healthy Margin</v>
      </c>
      <c r="AE1161" s="1" t="str">
        <f aca="false">TEXT(DATE(VALUE(RIGHT(B1161,4)),VALUE(MID(B1161,4,2)),VALUE(LEFT(B1161,2))),"MMM-YYYY")</f>
        <v>May-2024</v>
      </c>
      <c r="AF1161" s="1" t="n">
        <f aca="false">VALUE(RIGHT(B1161,4))</f>
        <v>2024</v>
      </c>
      <c r="AG1161" s="1" t="str">
        <f aca="false">CHOOSE(ROUNDUP(VALUE(MID(B1161,4,2))/3,0),"Q1","Q2","Q3","Q4")</f>
        <v>Q2</v>
      </c>
    </row>
    <row r="1162" customFormat="false" ht="15" hidden="false" customHeight="true" outlineLevel="0" collapsed="false">
      <c r="A1162" s="1" t="s">
        <v>1917</v>
      </c>
      <c r="B1162" s="1" t="s">
        <v>526</v>
      </c>
      <c r="C1162" s="1" t="s">
        <v>249</v>
      </c>
      <c r="D1162" s="1" t="s">
        <v>143</v>
      </c>
      <c r="E1162" s="1" t="s">
        <v>243</v>
      </c>
      <c r="F1162" s="1" t="s">
        <v>67</v>
      </c>
      <c r="G1162" s="1" t="s">
        <v>68</v>
      </c>
      <c r="H1162" s="1" t="s">
        <v>69</v>
      </c>
      <c r="I1162" s="1" t="s">
        <v>34</v>
      </c>
      <c r="J1162" s="1" t="s">
        <v>131</v>
      </c>
      <c r="K1162" s="1" t="s">
        <v>112</v>
      </c>
      <c r="L1162" s="1" t="s">
        <v>37</v>
      </c>
      <c r="M1162" s="1" t="s">
        <v>62</v>
      </c>
      <c r="N1162" s="1" t="n">
        <v>22999</v>
      </c>
      <c r="O1162" s="1" t="n">
        <v>40</v>
      </c>
      <c r="P1162" s="1" t="n">
        <v>9199.6</v>
      </c>
      <c r="Q1162" s="1" t="n">
        <v>13799.4</v>
      </c>
      <c r="R1162" s="1" t="n">
        <v>2483.89</v>
      </c>
      <c r="S1162" s="1" t="n">
        <v>11315.51</v>
      </c>
      <c r="T1162" s="1" t="n">
        <v>5452.75</v>
      </c>
      <c r="U1162" s="1" t="n">
        <v>5862.76</v>
      </c>
      <c r="V1162" s="1" t="n">
        <v>51.81</v>
      </c>
      <c r="W1162" s="1" t="s">
        <v>39</v>
      </c>
      <c r="Y1162" s="1" t="s">
        <v>40</v>
      </c>
      <c r="Z1162" s="1" t="n">
        <v>0</v>
      </c>
      <c r="AA1162" s="1" t="str">
        <f aca="false">TRIM(PROPER(F1162))</f>
        <v>Ahmedabad</v>
      </c>
      <c r="AB1162" s="1" t="str">
        <f aca="false">TRIM(PROPER(C1162))</f>
        <v>Whitehat Jr</v>
      </c>
      <c r="AC1162" s="1" t="str">
        <f aca="false">IF(O1162=0,"No Discount",IF(O1162&lt;=15,"Low (1-15%)",IF(O1162&lt;=30,"Medium (16-30%)","High (&gt;30%)")))</f>
        <v>High (&gt;30%)</v>
      </c>
      <c r="AD1162" s="1" t="str">
        <f aca="false">IF(V1162&lt;0,"Loss Making",IF(V1162&lt;20,"Low Margin","Healthy Margin"))</f>
        <v>Healthy Margin</v>
      </c>
      <c r="AE1162" s="1" t="str">
        <f aca="false">TEXT(DATE(VALUE(RIGHT(B1162,4)),VALUE(MID(B1162,4,2)),VALUE(LEFT(B1162,2))),"MMM-YYYY")</f>
        <v>Oct-2024</v>
      </c>
      <c r="AF1162" s="1" t="n">
        <f aca="false">VALUE(RIGHT(B1162,4))</f>
        <v>2024</v>
      </c>
      <c r="AG1162" s="1" t="str">
        <f aca="false">CHOOSE(ROUNDUP(VALUE(MID(B1162,4,2))/3,0),"Q1","Q2","Q3","Q4")</f>
        <v>Q4</v>
      </c>
    </row>
    <row r="1163" customFormat="false" ht="15" hidden="false" customHeight="true" outlineLevel="0" collapsed="false">
      <c r="A1163" s="1" t="s">
        <v>1918</v>
      </c>
      <c r="B1163" s="1" t="s">
        <v>1606</v>
      </c>
      <c r="C1163" s="1" t="s">
        <v>65</v>
      </c>
      <c r="D1163" s="1" t="s">
        <v>53</v>
      </c>
      <c r="E1163" s="1" t="s">
        <v>54</v>
      </c>
      <c r="F1163" s="1" t="s">
        <v>75</v>
      </c>
      <c r="G1163" s="1" t="s">
        <v>76</v>
      </c>
      <c r="H1163" s="1" t="s">
        <v>69</v>
      </c>
      <c r="I1163" s="1" t="s">
        <v>34</v>
      </c>
      <c r="J1163" s="1" t="s">
        <v>70</v>
      </c>
      <c r="K1163" s="1" t="s">
        <v>104</v>
      </c>
      <c r="L1163" s="1" t="s">
        <v>113</v>
      </c>
      <c r="M1163" s="1" t="s">
        <v>38</v>
      </c>
      <c r="N1163" s="1" t="n">
        <v>11999</v>
      </c>
      <c r="O1163" s="1" t="n">
        <v>0</v>
      </c>
      <c r="P1163" s="1" t="n">
        <v>0</v>
      </c>
      <c r="Q1163" s="1" t="n">
        <v>11999</v>
      </c>
      <c r="R1163" s="1" t="n">
        <v>2159.82</v>
      </c>
      <c r="S1163" s="1" t="n">
        <v>9839.18</v>
      </c>
      <c r="T1163" s="1" t="n">
        <v>4537.09</v>
      </c>
      <c r="U1163" s="1" t="n">
        <v>5302.09</v>
      </c>
      <c r="V1163" s="1" t="n">
        <v>53.89</v>
      </c>
      <c r="W1163" s="1" t="s">
        <v>39</v>
      </c>
      <c r="X1163" s="1" t="n">
        <v>4.3</v>
      </c>
      <c r="Y1163" s="1" t="s">
        <v>40</v>
      </c>
      <c r="Z1163" s="1" t="n">
        <v>1</v>
      </c>
      <c r="AA1163" s="1" t="str">
        <f aca="false">TRIM(PROPER(F1163))</f>
        <v>Kolkata</v>
      </c>
      <c r="AB1163" s="1" t="str">
        <f aca="false">TRIM(PROPER(C1163))</f>
        <v>Toppr</v>
      </c>
      <c r="AC1163" s="1" t="str">
        <f aca="false">IF(O1163=0,"No Discount",IF(O1163&lt;=15,"Low (1-15%)",IF(O1163&lt;=30,"Medium (16-30%)","High (&gt;30%)")))</f>
        <v>No Discount</v>
      </c>
      <c r="AD1163" s="1" t="str">
        <f aca="false">IF(V1163&lt;0,"Loss Making",IF(V1163&lt;20,"Low Margin","Healthy Margin"))</f>
        <v>Healthy Margin</v>
      </c>
      <c r="AE1163" s="1" t="str">
        <f aca="false">TEXT(DATE(VALUE(RIGHT(B1163,4)),VALUE(MID(B1163,4,2)),VALUE(LEFT(B1163,2))),"MMM-YYYY")</f>
        <v>May-2024</v>
      </c>
      <c r="AF1163" s="1" t="n">
        <f aca="false">VALUE(RIGHT(B1163,4))</f>
        <v>2024</v>
      </c>
      <c r="AG1163" s="1" t="str">
        <f aca="false">CHOOSE(ROUNDUP(VALUE(MID(B1163,4,2))/3,0),"Q1","Q2","Q3","Q4")</f>
        <v>Q2</v>
      </c>
    </row>
    <row r="1164" customFormat="false" ht="15" hidden="false" customHeight="true" outlineLevel="0" collapsed="false">
      <c r="A1164" s="1" t="s">
        <v>1919</v>
      </c>
      <c r="B1164" s="1" t="s">
        <v>876</v>
      </c>
      <c r="C1164" s="1" t="s">
        <v>264</v>
      </c>
      <c r="D1164" s="1" t="s">
        <v>53</v>
      </c>
      <c r="E1164" s="1" t="s">
        <v>116</v>
      </c>
      <c r="F1164" s="1" t="s">
        <v>96</v>
      </c>
      <c r="G1164" s="1" t="s">
        <v>97</v>
      </c>
      <c r="H1164" s="1" t="s">
        <v>69</v>
      </c>
      <c r="I1164" s="1" t="s">
        <v>83</v>
      </c>
      <c r="J1164" s="1" t="s">
        <v>131</v>
      </c>
      <c r="K1164" s="1" t="s">
        <v>48</v>
      </c>
      <c r="L1164" s="1" t="s">
        <v>49</v>
      </c>
      <c r="M1164" s="1" t="s">
        <v>62</v>
      </c>
      <c r="N1164" s="1" t="n">
        <v>9999</v>
      </c>
      <c r="O1164" s="1" t="n">
        <v>10</v>
      </c>
      <c r="P1164" s="1" t="n">
        <v>999.9</v>
      </c>
      <c r="Q1164" s="1" t="n">
        <v>8999.1</v>
      </c>
      <c r="R1164" s="1" t="n">
        <v>1619.84</v>
      </c>
      <c r="S1164" s="1" t="n">
        <v>7379.26</v>
      </c>
      <c r="T1164" s="1" t="n">
        <v>2799.1</v>
      </c>
      <c r="U1164" s="1" t="n">
        <v>4580.16</v>
      </c>
      <c r="V1164" s="1" t="n">
        <v>62.07</v>
      </c>
      <c r="W1164" s="1" t="s">
        <v>40</v>
      </c>
      <c r="Y1164" s="1" t="s">
        <v>40</v>
      </c>
      <c r="Z1164" s="1" t="n">
        <v>0</v>
      </c>
      <c r="AA1164" s="1" t="str">
        <f aca="false">TRIM(PROPER(F1164))</f>
        <v>Pune</v>
      </c>
      <c r="AB1164" s="1" t="str">
        <f aca="false">TRIM(PROPER(C1164))</f>
        <v>Unacademy</v>
      </c>
      <c r="AC1164" s="1" t="str">
        <f aca="false">IF(O1164=0,"No Discount",IF(O1164&lt;=15,"Low (1-15%)",IF(O1164&lt;=30,"Medium (16-30%)","High (&gt;30%)")))</f>
        <v>Low (1-15%)</v>
      </c>
      <c r="AD1164" s="1" t="str">
        <f aca="false">IF(V1164&lt;0,"Loss Making",IF(V1164&lt;20,"Low Margin","Healthy Margin"))</f>
        <v>Healthy Margin</v>
      </c>
      <c r="AE1164" s="1" t="str">
        <f aca="false">TEXT(DATE(VALUE(RIGHT(B1164,4)),VALUE(MID(B1164,4,2)),VALUE(LEFT(B1164,2))),"MMM-YYYY")</f>
        <v>Jul-2023</v>
      </c>
      <c r="AF1164" s="1" t="n">
        <f aca="false">VALUE(RIGHT(B1164,4))</f>
        <v>2023</v>
      </c>
      <c r="AG1164" s="1" t="str">
        <f aca="false">CHOOSE(ROUNDUP(VALUE(MID(B1164,4,2))/3,0),"Q1","Q2","Q3","Q4")</f>
        <v>Q3</v>
      </c>
    </row>
    <row r="1165" customFormat="false" ht="15" hidden="false" customHeight="true" outlineLevel="0" collapsed="false">
      <c r="A1165" s="1" t="s">
        <v>1920</v>
      </c>
      <c r="B1165" s="1" t="s">
        <v>510</v>
      </c>
      <c r="C1165" s="1" t="s">
        <v>264</v>
      </c>
      <c r="D1165" s="1" t="s">
        <v>80</v>
      </c>
      <c r="E1165" s="1" t="s">
        <v>175</v>
      </c>
      <c r="F1165" s="1" t="s">
        <v>55</v>
      </c>
      <c r="G1165" s="1" t="s">
        <v>56</v>
      </c>
      <c r="H1165" s="1" t="s">
        <v>57</v>
      </c>
      <c r="I1165" s="1" t="s">
        <v>58</v>
      </c>
      <c r="J1165" s="1" t="s">
        <v>35</v>
      </c>
      <c r="K1165" s="1" t="s">
        <v>60</v>
      </c>
      <c r="L1165" s="1" t="s">
        <v>49</v>
      </c>
      <c r="M1165" s="1" t="s">
        <v>38</v>
      </c>
      <c r="N1165" s="1" t="n">
        <v>19999</v>
      </c>
      <c r="O1165" s="1" t="n">
        <v>5</v>
      </c>
      <c r="P1165" s="1" t="n">
        <v>999.95</v>
      </c>
      <c r="Q1165" s="1" t="n">
        <v>18999.05</v>
      </c>
      <c r="R1165" s="1" t="n">
        <v>3419.83</v>
      </c>
      <c r="S1165" s="1" t="n">
        <v>15579.22</v>
      </c>
      <c r="T1165" s="1" t="n">
        <v>6845.77</v>
      </c>
      <c r="U1165" s="1" t="n">
        <v>8733.45</v>
      </c>
      <c r="V1165" s="1" t="n">
        <v>56.06</v>
      </c>
      <c r="W1165" s="1" t="s">
        <v>39</v>
      </c>
      <c r="X1165" s="1" t="n">
        <v>4.1</v>
      </c>
      <c r="Y1165" s="1" t="s">
        <v>40</v>
      </c>
      <c r="Z1165" s="1" t="n">
        <v>0</v>
      </c>
      <c r="AA1165" s="1" t="str">
        <f aca="false">TRIM(PROPER(F1165))</f>
        <v>Ghaziabad</v>
      </c>
      <c r="AB1165" s="1" t="str">
        <f aca="false">TRIM(PROPER(C1165))</f>
        <v>Unacademy</v>
      </c>
      <c r="AC1165" s="1" t="str">
        <f aca="false">IF(O1165=0,"No Discount",IF(O1165&lt;=15,"Low (1-15%)",IF(O1165&lt;=30,"Medium (16-30%)","High (&gt;30%)")))</f>
        <v>Low (1-15%)</v>
      </c>
      <c r="AD1165" s="1" t="str">
        <f aca="false">IF(V1165&lt;0,"Loss Making",IF(V1165&lt;20,"Low Margin","Healthy Margin"))</f>
        <v>Healthy Margin</v>
      </c>
      <c r="AE1165" s="1" t="str">
        <f aca="false">TEXT(DATE(VALUE(RIGHT(B1165,4)),VALUE(MID(B1165,4,2)),VALUE(LEFT(B1165,2))),"MMM-YYYY")</f>
        <v>Mar-2024</v>
      </c>
      <c r="AF1165" s="1" t="n">
        <f aca="false">VALUE(RIGHT(B1165,4))</f>
        <v>2024</v>
      </c>
      <c r="AG1165" s="1" t="str">
        <f aca="false">CHOOSE(ROUNDUP(VALUE(MID(B1165,4,2))/3,0),"Q1","Q2","Q3","Q4")</f>
        <v>Q1</v>
      </c>
    </row>
    <row r="1166" customFormat="false" ht="15" hidden="false" customHeight="true" outlineLevel="0" collapsed="false">
      <c r="A1166" s="1" t="s">
        <v>1921</v>
      </c>
      <c r="B1166" s="1" t="s">
        <v>1550</v>
      </c>
      <c r="C1166" s="1" t="s">
        <v>134</v>
      </c>
      <c r="D1166" s="1" t="s">
        <v>123</v>
      </c>
      <c r="E1166" s="1" t="s">
        <v>233</v>
      </c>
      <c r="F1166" s="1" t="s">
        <v>89</v>
      </c>
      <c r="G1166" s="1" t="s">
        <v>68</v>
      </c>
      <c r="H1166" s="1" t="s">
        <v>33</v>
      </c>
      <c r="I1166" s="1" t="s">
        <v>83</v>
      </c>
      <c r="J1166" s="1" t="s">
        <v>131</v>
      </c>
      <c r="K1166" s="1" t="s">
        <v>71</v>
      </c>
      <c r="L1166" s="1" t="s">
        <v>113</v>
      </c>
      <c r="M1166" s="1" t="s">
        <v>50</v>
      </c>
      <c r="N1166" s="1" t="n">
        <v>8999</v>
      </c>
      <c r="O1166" s="1" t="n">
        <v>25</v>
      </c>
      <c r="P1166" s="1" t="n">
        <v>2249.75</v>
      </c>
      <c r="Q1166" s="1" t="n">
        <v>6749.25</v>
      </c>
      <c r="R1166" s="1" t="n">
        <v>1214.87</v>
      </c>
      <c r="S1166" s="1" t="n">
        <v>5534.38</v>
      </c>
      <c r="T1166" s="1" t="n">
        <v>2708.34</v>
      </c>
      <c r="U1166" s="1" t="n">
        <v>2826.04</v>
      </c>
      <c r="V1166" s="1" t="n">
        <v>51.06</v>
      </c>
      <c r="W1166" s="1" t="s">
        <v>39</v>
      </c>
      <c r="X1166" s="1" t="n">
        <v>3.7</v>
      </c>
      <c r="Y1166" s="1" t="s">
        <v>40</v>
      </c>
      <c r="Z1166" s="1" t="n">
        <v>0</v>
      </c>
      <c r="AA1166" s="1" t="str">
        <f aca="false">TRIM(PROPER(F1166))</f>
        <v>Vadodara</v>
      </c>
      <c r="AB1166" s="1" t="str">
        <f aca="false">TRIM(PROPER(C1166))</f>
        <v>Doubtnut</v>
      </c>
      <c r="AC1166" s="1" t="str">
        <f aca="false">IF(O1166=0,"No Discount",IF(O1166&lt;=15,"Low (1-15%)",IF(O1166&lt;=30,"Medium (16-30%)","High (&gt;30%)")))</f>
        <v>Medium (16-30%)</v>
      </c>
      <c r="AD1166" s="1" t="str">
        <f aca="false">IF(V1166&lt;0,"Loss Making",IF(V1166&lt;20,"Low Margin","Healthy Margin"))</f>
        <v>Healthy Margin</v>
      </c>
      <c r="AE1166" s="1" t="str">
        <f aca="false">TEXT(DATE(VALUE(RIGHT(B1166,4)),VALUE(MID(B1166,4,2)),VALUE(LEFT(B1166,2))),"MMM-YYYY")</f>
        <v>Jul-2023</v>
      </c>
      <c r="AF1166" s="1" t="n">
        <f aca="false">VALUE(RIGHT(B1166,4))</f>
        <v>2023</v>
      </c>
      <c r="AG1166" s="1" t="str">
        <f aca="false">CHOOSE(ROUNDUP(VALUE(MID(B1166,4,2))/3,0),"Q1","Q2","Q3","Q4")</f>
        <v>Q3</v>
      </c>
    </row>
    <row r="1167" customFormat="false" ht="15" hidden="false" customHeight="true" outlineLevel="0" collapsed="false">
      <c r="A1167" s="1" t="s">
        <v>1922</v>
      </c>
      <c r="B1167" s="1" t="s">
        <v>158</v>
      </c>
      <c r="C1167" s="1" t="s">
        <v>139</v>
      </c>
      <c r="D1167" s="1" t="s">
        <v>168</v>
      </c>
      <c r="E1167" s="1" t="s">
        <v>172</v>
      </c>
      <c r="F1167" s="1" t="s">
        <v>244</v>
      </c>
      <c r="G1167" s="1" t="s">
        <v>97</v>
      </c>
      <c r="H1167" s="1" t="s">
        <v>57</v>
      </c>
      <c r="I1167" s="1" t="s">
        <v>83</v>
      </c>
      <c r="J1167" s="1" t="s">
        <v>59</v>
      </c>
      <c r="K1167" s="1" t="s">
        <v>60</v>
      </c>
      <c r="L1167" s="1" t="s">
        <v>136</v>
      </c>
      <c r="M1167" s="1" t="s">
        <v>50</v>
      </c>
      <c r="N1167" s="1" t="n">
        <v>6999</v>
      </c>
      <c r="O1167" s="1" t="n">
        <v>15</v>
      </c>
      <c r="P1167" s="1" t="n">
        <v>1049.85</v>
      </c>
      <c r="Q1167" s="1" t="n">
        <v>5949.15</v>
      </c>
      <c r="R1167" s="1" t="n">
        <v>1070.85</v>
      </c>
      <c r="S1167" s="1" t="n">
        <v>4878.3</v>
      </c>
      <c r="T1167" s="1" t="n">
        <v>2307.08</v>
      </c>
      <c r="U1167" s="1" t="n">
        <v>2571.22</v>
      </c>
      <c r="V1167" s="1" t="n">
        <v>52.71</v>
      </c>
      <c r="W1167" s="1" t="s">
        <v>39</v>
      </c>
      <c r="X1167" s="1" t="n">
        <v>3.8</v>
      </c>
      <c r="Y1167" s="1" t="s">
        <v>40</v>
      </c>
      <c r="Z1167" s="1" t="n">
        <v>0</v>
      </c>
      <c r="AA1167" s="1" t="str">
        <f aca="false">TRIM(PROPER(F1167))</f>
        <v>Nagpur</v>
      </c>
      <c r="AB1167" s="1" t="str">
        <f aca="false">TRIM(PROPER(C1167))</f>
        <v>Extramarks</v>
      </c>
      <c r="AC1167" s="1" t="str">
        <f aca="false">IF(O1167=0,"No Discount",IF(O1167&lt;=15,"Low (1-15%)",IF(O1167&lt;=30,"Medium (16-30%)","High (&gt;30%)")))</f>
        <v>Low (1-15%)</v>
      </c>
      <c r="AD1167" s="1" t="str">
        <f aca="false">IF(V1167&lt;0,"Loss Making",IF(V1167&lt;20,"Low Margin","Healthy Margin"))</f>
        <v>Healthy Margin</v>
      </c>
      <c r="AE1167" s="1" t="str">
        <f aca="false">TEXT(DATE(VALUE(RIGHT(B1167,4)),VALUE(MID(B1167,4,2)),VALUE(LEFT(B1167,2))),"MMM-YYYY")</f>
        <v>Jan-2024</v>
      </c>
      <c r="AF1167" s="1" t="n">
        <f aca="false">VALUE(RIGHT(B1167,4))</f>
        <v>2024</v>
      </c>
      <c r="AG1167" s="1" t="str">
        <f aca="false">CHOOSE(ROUNDUP(VALUE(MID(B1167,4,2))/3,0),"Q1","Q2","Q3","Q4")</f>
        <v>Q1</v>
      </c>
    </row>
    <row r="1168" customFormat="false" ht="15" hidden="false" customHeight="true" outlineLevel="0" collapsed="false">
      <c r="A1168" s="1" t="s">
        <v>1923</v>
      </c>
      <c r="B1168" s="1" t="s">
        <v>1410</v>
      </c>
      <c r="C1168" s="1" t="s">
        <v>167</v>
      </c>
      <c r="D1168" s="1" t="s">
        <v>53</v>
      </c>
      <c r="E1168" s="1" t="s">
        <v>54</v>
      </c>
      <c r="F1168" s="1" t="s">
        <v>153</v>
      </c>
      <c r="G1168" s="1" t="s">
        <v>76</v>
      </c>
      <c r="H1168" s="1" t="s">
        <v>33</v>
      </c>
      <c r="I1168" s="1" t="s">
        <v>83</v>
      </c>
      <c r="J1168" s="1" t="s">
        <v>131</v>
      </c>
      <c r="K1168" s="1" t="s">
        <v>104</v>
      </c>
      <c r="L1168" s="1" t="s">
        <v>85</v>
      </c>
      <c r="M1168" s="1" t="s">
        <v>62</v>
      </c>
      <c r="N1168" s="1" t="n">
        <v>11999</v>
      </c>
      <c r="O1168" s="1" t="n">
        <v>0</v>
      </c>
      <c r="P1168" s="1" t="n">
        <v>0</v>
      </c>
      <c r="Q1168" s="1" t="n">
        <v>11999</v>
      </c>
      <c r="R1168" s="1" t="n">
        <v>2159.82</v>
      </c>
      <c r="S1168" s="1" t="n">
        <v>9839.18</v>
      </c>
      <c r="T1168" s="1" t="n">
        <v>4454.19</v>
      </c>
      <c r="U1168" s="1" t="n">
        <v>5384.99</v>
      </c>
      <c r="V1168" s="1" t="n">
        <v>54.73</v>
      </c>
      <c r="W1168" s="1" t="s">
        <v>39</v>
      </c>
      <c r="Y1168" s="1" t="s">
        <v>40</v>
      </c>
      <c r="Z1168" s="1" t="n">
        <v>0</v>
      </c>
      <c r="AA1168" s="1" t="str">
        <f aca="false">TRIM(PROPER(F1168))</f>
        <v>Howrah</v>
      </c>
      <c r="AB1168" s="1" t="str">
        <f aca="false">TRIM(PROPER(C1168))</f>
        <v>Scaler</v>
      </c>
      <c r="AC1168" s="1" t="str">
        <f aca="false">IF(O1168=0,"No Discount",IF(O1168&lt;=15,"Low (1-15%)",IF(O1168&lt;=30,"Medium (16-30%)","High (&gt;30%)")))</f>
        <v>No Discount</v>
      </c>
      <c r="AD1168" s="1" t="str">
        <f aca="false">IF(V1168&lt;0,"Loss Making",IF(V1168&lt;20,"Low Margin","Healthy Margin"))</f>
        <v>Healthy Margin</v>
      </c>
      <c r="AE1168" s="1" t="str">
        <f aca="false">TEXT(DATE(VALUE(RIGHT(B1168,4)),VALUE(MID(B1168,4,2)),VALUE(LEFT(B1168,2))),"MMM-YYYY")</f>
        <v>Nov-2024</v>
      </c>
      <c r="AF1168" s="1" t="n">
        <f aca="false">VALUE(RIGHT(B1168,4))</f>
        <v>2024</v>
      </c>
      <c r="AG1168" s="1" t="str">
        <f aca="false">CHOOSE(ROUNDUP(VALUE(MID(B1168,4,2))/3,0),"Q1","Q2","Q3","Q4")</f>
        <v>Q4</v>
      </c>
    </row>
    <row r="1169" customFormat="false" ht="15" hidden="false" customHeight="true" outlineLevel="0" collapsed="false">
      <c r="A1169" s="1" t="s">
        <v>1924</v>
      </c>
      <c r="B1169" s="1" t="s">
        <v>391</v>
      </c>
      <c r="C1169" s="1" t="s">
        <v>28</v>
      </c>
      <c r="D1169" s="1" t="s">
        <v>80</v>
      </c>
      <c r="E1169" s="1" t="s">
        <v>193</v>
      </c>
      <c r="F1169" s="1" t="s">
        <v>140</v>
      </c>
      <c r="G1169" s="1" t="s">
        <v>97</v>
      </c>
      <c r="H1169" s="1" t="s">
        <v>57</v>
      </c>
      <c r="I1169" s="1" t="s">
        <v>83</v>
      </c>
      <c r="J1169" s="1" t="s">
        <v>59</v>
      </c>
      <c r="K1169" s="1" t="s">
        <v>48</v>
      </c>
      <c r="L1169" s="1" t="s">
        <v>113</v>
      </c>
      <c r="M1169" s="1" t="s">
        <v>62</v>
      </c>
      <c r="N1169" s="1" t="n">
        <v>8999</v>
      </c>
      <c r="O1169" s="1" t="n">
        <v>0</v>
      </c>
      <c r="P1169" s="1" t="n">
        <v>0</v>
      </c>
      <c r="Q1169" s="1" t="n">
        <v>8999</v>
      </c>
      <c r="R1169" s="1" t="n">
        <v>1619.82</v>
      </c>
      <c r="S1169" s="1" t="n">
        <v>7379.18</v>
      </c>
      <c r="T1169" s="1" t="n">
        <v>3233.04</v>
      </c>
      <c r="U1169" s="1" t="n">
        <v>4146.14</v>
      </c>
      <c r="V1169" s="1" t="n">
        <v>56.19</v>
      </c>
      <c r="W1169" s="1" t="s">
        <v>39</v>
      </c>
      <c r="X1169" s="1" t="n">
        <v>4</v>
      </c>
      <c r="Y1169" s="1" t="s">
        <v>40</v>
      </c>
      <c r="Z1169" s="1" t="n">
        <v>0</v>
      </c>
      <c r="AA1169" s="1" t="str">
        <f aca="false">TRIM(PROPER(F1169))</f>
        <v>Nashik</v>
      </c>
      <c r="AB1169" s="1" t="str">
        <f aca="false">TRIM(PROPER(C1169))</f>
        <v>Embibe</v>
      </c>
      <c r="AC1169" s="1" t="str">
        <f aca="false">IF(O1169=0,"No Discount",IF(O1169&lt;=15,"Low (1-15%)",IF(O1169&lt;=30,"Medium (16-30%)","High (&gt;30%)")))</f>
        <v>No Discount</v>
      </c>
      <c r="AD1169" s="1" t="str">
        <f aca="false">IF(V1169&lt;0,"Loss Making",IF(V1169&lt;20,"Low Margin","Healthy Margin"))</f>
        <v>Healthy Margin</v>
      </c>
      <c r="AE1169" s="1" t="str">
        <f aca="false">TEXT(DATE(VALUE(RIGHT(B1169,4)),VALUE(MID(B1169,4,2)),VALUE(LEFT(B1169,2))),"MMM-YYYY")</f>
        <v>Aug-2023</v>
      </c>
      <c r="AF1169" s="1" t="n">
        <f aca="false">VALUE(RIGHT(B1169,4))</f>
        <v>2023</v>
      </c>
      <c r="AG1169" s="1" t="str">
        <f aca="false">CHOOSE(ROUNDUP(VALUE(MID(B1169,4,2))/3,0),"Q1","Q2","Q3","Q4")</f>
        <v>Q3</v>
      </c>
    </row>
    <row r="1170" customFormat="false" ht="15" hidden="false" customHeight="true" outlineLevel="0" collapsed="false">
      <c r="A1170" s="1" t="s">
        <v>1925</v>
      </c>
      <c r="B1170" s="1" t="s">
        <v>1614</v>
      </c>
      <c r="C1170" s="1" t="s">
        <v>128</v>
      </c>
      <c r="D1170" s="1" t="s">
        <v>80</v>
      </c>
      <c r="E1170" s="1" t="s">
        <v>190</v>
      </c>
      <c r="F1170" s="1" t="s">
        <v>153</v>
      </c>
      <c r="G1170" s="1" t="s">
        <v>76</v>
      </c>
      <c r="H1170" s="1" t="s">
        <v>33</v>
      </c>
      <c r="I1170" s="1" t="s">
        <v>34</v>
      </c>
      <c r="J1170" s="1" t="s">
        <v>77</v>
      </c>
      <c r="K1170" s="1" t="s">
        <v>48</v>
      </c>
      <c r="L1170" s="1" t="s">
        <v>37</v>
      </c>
      <c r="M1170" s="1" t="s">
        <v>62</v>
      </c>
      <c r="N1170" s="1" t="n">
        <v>15999</v>
      </c>
      <c r="O1170" s="1" t="n">
        <v>20</v>
      </c>
      <c r="P1170" s="1" t="n">
        <v>3199.8</v>
      </c>
      <c r="Q1170" s="1" t="n">
        <v>12799.2</v>
      </c>
      <c r="R1170" s="1" t="n">
        <v>2303.86</v>
      </c>
      <c r="S1170" s="1" t="n">
        <v>10495.34</v>
      </c>
      <c r="T1170" s="1" t="n">
        <v>3706.24</v>
      </c>
      <c r="U1170" s="1" t="n">
        <v>6789.1</v>
      </c>
      <c r="V1170" s="1" t="n">
        <v>64.69</v>
      </c>
      <c r="W1170" s="1" t="s">
        <v>40</v>
      </c>
      <c r="Y1170" s="1" t="s">
        <v>40</v>
      </c>
      <c r="Z1170" s="1" t="n">
        <v>0</v>
      </c>
      <c r="AA1170" s="1" t="str">
        <f aca="false">TRIM(PROPER(F1170))</f>
        <v>Howrah</v>
      </c>
      <c r="AB1170" s="1" t="str">
        <f aca="false">TRIM(PROPER(C1170))</f>
        <v>Great Learning</v>
      </c>
      <c r="AC1170" s="1" t="str">
        <f aca="false">IF(O1170=0,"No Discount",IF(O1170&lt;=15,"Low (1-15%)",IF(O1170&lt;=30,"Medium (16-30%)","High (&gt;30%)")))</f>
        <v>Medium (16-30%)</v>
      </c>
      <c r="AD1170" s="1" t="str">
        <f aca="false">IF(V1170&lt;0,"Loss Making",IF(V1170&lt;20,"Low Margin","Healthy Margin"))</f>
        <v>Healthy Margin</v>
      </c>
      <c r="AE1170" s="1" t="str">
        <f aca="false">TEXT(DATE(VALUE(RIGHT(B1170,4)),VALUE(MID(B1170,4,2)),VALUE(LEFT(B1170,2))),"MMM-YYYY")</f>
        <v>Jan-2024</v>
      </c>
      <c r="AF1170" s="1" t="n">
        <f aca="false">VALUE(RIGHT(B1170,4))</f>
        <v>2024</v>
      </c>
      <c r="AG1170" s="1" t="str">
        <f aca="false">CHOOSE(ROUNDUP(VALUE(MID(B1170,4,2))/3,0),"Q1","Q2","Q3","Q4")</f>
        <v>Q1</v>
      </c>
    </row>
    <row r="1171" customFormat="false" ht="15" hidden="false" customHeight="true" outlineLevel="0" collapsed="false">
      <c r="A1171" s="1" t="s">
        <v>1926</v>
      </c>
      <c r="B1171" s="1" t="s">
        <v>1927</v>
      </c>
      <c r="C1171" s="1" t="s">
        <v>88</v>
      </c>
      <c r="D1171" s="1" t="s">
        <v>143</v>
      </c>
      <c r="E1171" s="1" t="s">
        <v>144</v>
      </c>
      <c r="F1171" s="1" t="s">
        <v>46</v>
      </c>
      <c r="G1171" s="1" t="s">
        <v>47</v>
      </c>
      <c r="H1171" s="1" t="s">
        <v>33</v>
      </c>
      <c r="I1171" s="1" t="s">
        <v>34</v>
      </c>
      <c r="J1171" s="1" t="s">
        <v>131</v>
      </c>
      <c r="K1171" s="1" t="s">
        <v>36</v>
      </c>
      <c r="L1171" s="1" t="s">
        <v>136</v>
      </c>
      <c r="M1171" s="1" t="s">
        <v>62</v>
      </c>
      <c r="N1171" s="1" t="n">
        <v>12999</v>
      </c>
      <c r="O1171" s="1" t="n">
        <v>10</v>
      </c>
      <c r="P1171" s="1" t="n">
        <v>1299.9</v>
      </c>
      <c r="Q1171" s="1" t="n">
        <v>11699.1</v>
      </c>
      <c r="R1171" s="1" t="n">
        <v>2105.84</v>
      </c>
      <c r="S1171" s="1" t="n">
        <v>9593.26</v>
      </c>
      <c r="T1171" s="1" t="n">
        <v>3295.01</v>
      </c>
      <c r="U1171" s="1" t="n">
        <v>6298.25</v>
      </c>
      <c r="V1171" s="1" t="n">
        <v>65.65</v>
      </c>
      <c r="W1171" s="1" t="s">
        <v>39</v>
      </c>
      <c r="X1171" s="1" t="n">
        <v>3.7</v>
      </c>
      <c r="Y1171" s="1" t="s">
        <v>40</v>
      </c>
      <c r="Z1171" s="1" t="n">
        <v>0</v>
      </c>
      <c r="AA1171" s="1" t="str">
        <f aca="false">TRIM(PROPER(F1171))</f>
        <v>Mangaluru</v>
      </c>
      <c r="AB1171" s="1" t="str">
        <f aca="false">TRIM(PROPER(C1171))</f>
        <v>Byju'S</v>
      </c>
      <c r="AC1171" s="1" t="str">
        <f aca="false">IF(O1171=0,"No Discount",IF(O1171&lt;=15,"Low (1-15%)",IF(O1171&lt;=30,"Medium (16-30%)","High (&gt;30%)")))</f>
        <v>Low (1-15%)</v>
      </c>
      <c r="AD1171" s="1" t="str">
        <f aca="false">IF(V1171&lt;0,"Loss Making",IF(V1171&lt;20,"Low Margin","Healthy Margin"))</f>
        <v>Healthy Margin</v>
      </c>
      <c r="AE1171" s="1" t="str">
        <f aca="false">TEXT(DATE(VALUE(RIGHT(B1171,4)),VALUE(MID(B1171,4,2)),VALUE(LEFT(B1171,2))),"MMM-YYYY")</f>
        <v>May-2023</v>
      </c>
      <c r="AF1171" s="1" t="n">
        <f aca="false">VALUE(RIGHT(B1171,4))</f>
        <v>2023</v>
      </c>
      <c r="AG1171" s="1" t="str">
        <f aca="false">CHOOSE(ROUNDUP(VALUE(MID(B1171,4,2))/3,0),"Q1","Q2","Q3","Q4")</f>
        <v>Q2</v>
      </c>
    </row>
    <row r="1172" customFormat="false" ht="15" hidden="false" customHeight="true" outlineLevel="0" collapsed="false">
      <c r="A1172" s="1" t="s">
        <v>1928</v>
      </c>
      <c r="B1172" s="1" t="s">
        <v>1550</v>
      </c>
      <c r="C1172" s="1" t="s">
        <v>93</v>
      </c>
      <c r="D1172" s="1" t="s">
        <v>123</v>
      </c>
      <c r="E1172" s="1" t="s">
        <v>147</v>
      </c>
      <c r="F1172" s="1" t="s">
        <v>125</v>
      </c>
      <c r="G1172" s="1" t="s">
        <v>108</v>
      </c>
      <c r="H1172" s="1" t="s">
        <v>69</v>
      </c>
      <c r="I1172" s="1" t="s">
        <v>58</v>
      </c>
      <c r="J1172" s="1" t="s">
        <v>131</v>
      </c>
      <c r="K1172" s="1" t="s">
        <v>60</v>
      </c>
      <c r="L1172" s="1" t="s">
        <v>113</v>
      </c>
      <c r="M1172" s="1" t="s">
        <v>38</v>
      </c>
      <c r="N1172" s="1" t="n">
        <v>6999</v>
      </c>
      <c r="O1172" s="1" t="n">
        <v>40</v>
      </c>
      <c r="P1172" s="1" t="n">
        <v>2799.6</v>
      </c>
      <c r="Q1172" s="1" t="n">
        <v>4199.4</v>
      </c>
      <c r="R1172" s="1" t="n">
        <v>755.89</v>
      </c>
      <c r="S1172" s="1" t="n">
        <v>3443.51</v>
      </c>
      <c r="T1172" s="1" t="n">
        <v>1693.26</v>
      </c>
      <c r="U1172" s="1" t="n">
        <v>1750.25</v>
      </c>
      <c r="V1172" s="1" t="n">
        <v>50.83</v>
      </c>
      <c r="W1172" s="1" t="s">
        <v>40</v>
      </c>
      <c r="Y1172" s="1" t="s">
        <v>39</v>
      </c>
      <c r="Z1172" s="1" t="n">
        <v>0</v>
      </c>
      <c r="AA1172" s="1" t="str">
        <f aca="false">TRIM(PROPER(F1172))</f>
        <v>Chennai</v>
      </c>
      <c r="AB1172" s="1" t="str">
        <f aca="false">TRIM(PROPER(C1172))</f>
        <v>Upgrad</v>
      </c>
      <c r="AC1172" s="1" t="str">
        <f aca="false">IF(O1172=0,"No Discount",IF(O1172&lt;=15,"Low (1-15%)",IF(O1172&lt;=30,"Medium (16-30%)","High (&gt;30%)")))</f>
        <v>High (&gt;30%)</v>
      </c>
      <c r="AD1172" s="1" t="str">
        <f aca="false">IF(V1172&lt;0,"Loss Making",IF(V1172&lt;20,"Low Margin","Healthy Margin"))</f>
        <v>Healthy Margin</v>
      </c>
      <c r="AE1172" s="1" t="str">
        <f aca="false">TEXT(DATE(VALUE(RIGHT(B1172,4)),VALUE(MID(B1172,4,2)),VALUE(LEFT(B1172,2))),"MMM-YYYY")</f>
        <v>Jul-2023</v>
      </c>
      <c r="AF1172" s="1" t="n">
        <f aca="false">VALUE(RIGHT(B1172,4))</f>
        <v>2023</v>
      </c>
      <c r="AG1172" s="1" t="str">
        <f aca="false">CHOOSE(ROUNDUP(VALUE(MID(B1172,4,2))/3,0),"Q1","Q2","Q3","Q4")</f>
        <v>Q3</v>
      </c>
    </row>
    <row r="1173" customFormat="false" ht="15" hidden="false" customHeight="true" outlineLevel="0" collapsed="false">
      <c r="A1173" s="1" t="s">
        <v>1929</v>
      </c>
      <c r="B1173" s="1" t="s">
        <v>315</v>
      </c>
      <c r="C1173" s="1" t="s">
        <v>43</v>
      </c>
      <c r="D1173" s="1" t="s">
        <v>80</v>
      </c>
      <c r="E1173" s="1" t="s">
        <v>190</v>
      </c>
      <c r="F1173" s="1" t="s">
        <v>184</v>
      </c>
      <c r="G1173" s="1" t="s">
        <v>56</v>
      </c>
      <c r="H1173" s="1" t="s">
        <v>57</v>
      </c>
      <c r="I1173" s="1" t="s">
        <v>58</v>
      </c>
      <c r="J1173" s="1" t="s">
        <v>131</v>
      </c>
      <c r="K1173" s="1" t="s">
        <v>84</v>
      </c>
      <c r="L1173" s="1" t="s">
        <v>37</v>
      </c>
      <c r="M1173" s="1" t="s">
        <v>50</v>
      </c>
      <c r="N1173" s="1" t="n">
        <v>15999</v>
      </c>
      <c r="O1173" s="1" t="n">
        <v>0</v>
      </c>
      <c r="P1173" s="1" t="n">
        <v>0</v>
      </c>
      <c r="Q1173" s="1" t="n">
        <v>15999</v>
      </c>
      <c r="R1173" s="1" t="n">
        <v>2879.82</v>
      </c>
      <c r="S1173" s="1" t="n">
        <v>13119.18</v>
      </c>
      <c r="T1173" s="1" t="n">
        <v>6319.07</v>
      </c>
      <c r="U1173" s="1" t="n">
        <v>6800.11</v>
      </c>
      <c r="V1173" s="1" t="n">
        <v>51.83</v>
      </c>
      <c r="W1173" s="1" t="s">
        <v>39</v>
      </c>
      <c r="X1173" s="1" t="n">
        <v>4</v>
      </c>
      <c r="Y1173" s="1" t="s">
        <v>40</v>
      </c>
      <c r="Z1173" s="1" t="n">
        <v>0</v>
      </c>
      <c r="AA1173" s="1" t="str">
        <f aca="false">TRIM(PROPER(F1173))</f>
        <v>Faridabad</v>
      </c>
      <c r="AB1173" s="1" t="str">
        <f aca="false">TRIM(PROPER(C1173))</f>
        <v>Meritnation</v>
      </c>
      <c r="AC1173" s="1" t="str">
        <f aca="false">IF(O1173=0,"No Discount",IF(O1173&lt;=15,"Low (1-15%)",IF(O1173&lt;=30,"Medium (16-30%)","High (&gt;30%)")))</f>
        <v>No Discount</v>
      </c>
      <c r="AD1173" s="1" t="str">
        <f aca="false">IF(V1173&lt;0,"Loss Making",IF(V1173&lt;20,"Low Margin","Healthy Margin"))</f>
        <v>Healthy Margin</v>
      </c>
      <c r="AE1173" s="1" t="str">
        <f aca="false">TEXT(DATE(VALUE(RIGHT(B1173,4)),VALUE(MID(B1173,4,2)),VALUE(LEFT(B1173,2))),"MMM-YYYY")</f>
        <v>Jun-2023</v>
      </c>
      <c r="AF1173" s="1" t="n">
        <f aca="false">VALUE(RIGHT(B1173,4))</f>
        <v>2023</v>
      </c>
      <c r="AG1173" s="1" t="str">
        <f aca="false">CHOOSE(ROUNDUP(VALUE(MID(B1173,4,2))/3,0),"Q1","Q2","Q3","Q4")</f>
        <v>Q2</v>
      </c>
    </row>
    <row r="1174" customFormat="false" ht="15" hidden="false" customHeight="true" outlineLevel="0" collapsed="false">
      <c r="A1174" s="1" t="s">
        <v>1930</v>
      </c>
      <c r="B1174" s="1" t="s">
        <v>1931</v>
      </c>
      <c r="C1174" s="1" t="s">
        <v>100</v>
      </c>
      <c r="D1174" s="1" t="s">
        <v>80</v>
      </c>
      <c r="E1174" s="1" t="s">
        <v>175</v>
      </c>
      <c r="F1174" s="1" t="s">
        <v>211</v>
      </c>
      <c r="G1174" s="1" t="s">
        <v>56</v>
      </c>
      <c r="H1174" s="1" t="s">
        <v>69</v>
      </c>
      <c r="I1174" s="1" t="s">
        <v>34</v>
      </c>
      <c r="J1174" s="1" t="s">
        <v>70</v>
      </c>
      <c r="K1174" s="1" t="s">
        <v>48</v>
      </c>
      <c r="L1174" s="1" t="s">
        <v>37</v>
      </c>
      <c r="M1174" s="1" t="s">
        <v>62</v>
      </c>
      <c r="N1174" s="1" t="n">
        <v>19999</v>
      </c>
      <c r="O1174" s="1" t="n">
        <v>10</v>
      </c>
      <c r="P1174" s="1" t="n">
        <v>1999.9</v>
      </c>
      <c r="Q1174" s="1" t="n">
        <v>17999.1</v>
      </c>
      <c r="R1174" s="1" t="n">
        <v>3239.84</v>
      </c>
      <c r="S1174" s="1" t="n">
        <v>14759.26</v>
      </c>
      <c r="T1174" s="1" t="n">
        <v>7312.69</v>
      </c>
      <c r="U1174" s="1" t="n">
        <v>7446.57</v>
      </c>
      <c r="V1174" s="1" t="n">
        <v>50.45</v>
      </c>
      <c r="W1174" s="1" t="s">
        <v>40</v>
      </c>
      <c r="Y1174" s="1" t="s">
        <v>40</v>
      </c>
      <c r="Z1174" s="1" t="n">
        <v>1</v>
      </c>
      <c r="AA1174" s="1" t="str">
        <f aca="false">TRIM(PROPER(F1174))</f>
        <v>Noida</v>
      </c>
      <c r="AB1174" s="1" t="str">
        <f aca="false">TRIM(PROPER(C1174))</f>
        <v>Physics Wallah</v>
      </c>
      <c r="AC1174" s="1" t="str">
        <f aca="false">IF(O1174=0,"No Discount",IF(O1174&lt;=15,"Low (1-15%)",IF(O1174&lt;=30,"Medium (16-30%)","High (&gt;30%)")))</f>
        <v>Low (1-15%)</v>
      </c>
      <c r="AD1174" s="1" t="str">
        <f aca="false">IF(V1174&lt;0,"Loss Making",IF(V1174&lt;20,"Low Margin","Healthy Margin"))</f>
        <v>Healthy Margin</v>
      </c>
      <c r="AE1174" s="1" t="str">
        <f aca="false">TEXT(DATE(VALUE(RIGHT(B1174,4)),VALUE(MID(B1174,4,2)),VALUE(LEFT(B1174,2))),"MMM-YYYY")</f>
        <v>Feb-2024</v>
      </c>
      <c r="AF1174" s="1" t="n">
        <f aca="false">VALUE(RIGHT(B1174,4))</f>
        <v>2024</v>
      </c>
      <c r="AG1174" s="1" t="str">
        <f aca="false">CHOOSE(ROUNDUP(VALUE(MID(B1174,4,2))/3,0),"Q1","Q2","Q3","Q4")</f>
        <v>Q1</v>
      </c>
    </row>
    <row r="1175" customFormat="false" ht="15" hidden="false" customHeight="true" outlineLevel="0" collapsed="false">
      <c r="A1175" s="1" t="s">
        <v>1932</v>
      </c>
      <c r="B1175" s="1" t="s">
        <v>1576</v>
      </c>
      <c r="C1175" s="1" t="s">
        <v>43</v>
      </c>
      <c r="D1175" s="1" t="s">
        <v>53</v>
      </c>
      <c r="E1175" s="1" t="s">
        <v>116</v>
      </c>
      <c r="F1175" s="1" t="s">
        <v>153</v>
      </c>
      <c r="G1175" s="1" t="s">
        <v>76</v>
      </c>
      <c r="H1175" s="1" t="s">
        <v>33</v>
      </c>
      <c r="I1175" s="1" t="s">
        <v>83</v>
      </c>
      <c r="J1175" s="1" t="s">
        <v>59</v>
      </c>
      <c r="K1175" s="1" t="s">
        <v>36</v>
      </c>
      <c r="L1175" s="1" t="s">
        <v>61</v>
      </c>
      <c r="M1175" s="1" t="s">
        <v>50</v>
      </c>
      <c r="N1175" s="1" t="n">
        <v>9999</v>
      </c>
      <c r="O1175" s="1" t="n">
        <v>30</v>
      </c>
      <c r="P1175" s="1" t="n">
        <v>2999.7</v>
      </c>
      <c r="Q1175" s="1" t="n">
        <v>6999.3</v>
      </c>
      <c r="R1175" s="1" t="n">
        <v>1259.87</v>
      </c>
      <c r="S1175" s="1" t="n">
        <v>5739.43</v>
      </c>
      <c r="T1175" s="1" t="n">
        <v>2509.44</v>
      </c>
      <c r="U1175" s="1" t="n">
        <v>3229.99</v>
      </c>
      <c r="V1175" s="1" t="n">
        <v>56.28</v>
      </c>
      <c r="W1175" s="1" t="s">
        <v>39</v>
      </c>
      <c r="X1175" s="1" t="n">
        <v>3.7</v>
      </c>
      <c r="Y1175" s="1" t="s">
        <v>40</v>
      </c>
      <c r="Z1175" s="1" t="n">
        <v>0</v>
      </c>
      <c r="AA1175" s="1" t="str">
        <f aca="false">TRIM(PROPER(F1175))</f>
        <v>Howrah</v>
      </c>
      <c r="AB1175" s="1" t="str">
        <f aca="false">TRIM(PROPER(C1175))</f>
        <v>Meritnation</v>
      </c>
      <c r="AC1175" s="1" t="str">
        <f aca="false">IF(O1175=0,"No Discount",IF(O1175&lt;=15,"Low (1-15%)",IF(O1175&lt;=30,"Medium (16-30%)","High (&gt;30%)")))</f>
        <v>Medium (16-30%)</v>
      </c>
      <c r="AD1175" s="1" t="str">
        <f aca="false">IF(V1175&lt;0,"Loss Making",IF(V1175&lt;20,"Low Margin","Healthy Margin"))</f>
        <v>Healthy Margin</v>
      </c>
      <c r="AE1175" s="1" t="str">
        <f aca="false">TEXT(DATE(VALUE(RIGHT(B1175,4)),VALUE(MID(B1175,4,2)),VALUE(LEFT(B1175,2))),"MMM-YYYY")</f>
        <v>Jan-2024</v>
      </c>
      <c r="AF1175" s="1" t="n">
        <f aca="false">VALUE(RIGHT(B1175,4))</f>
        <v>2024</v>
      </c>
      <c r="AG1175" s="1" t="str">
        <f aca="false">CHOOSE(ROUNDUP(VALUE(MID(B1175,4,2))/3,0),"Q1","Q2","Q3","Q4")</f>
        <v>Q1</v>
      </c>
    </row>
    <row r="1176" customFormat="false" ht="15" hidden="false" customHeight="true" outlineLevel="0" collapsed="false">
      <c r="A1176" s="1" t="s">
        <v>1933</v>
      </c>
      <c r="B1176" s="1" t="s">
        <v>1773</v>
      </c>
      <c r="C1176" s="1" t="s">
        <v>100</v>
      </c>
      <c r="D1176" s="1" t="s">
        <v>168</v>
      </c>
      <c r="E1176" s="1" t="s">
        <v>328</v>
      </c>
      <c r="F1176" s="1" t="s">
        <v>244</v>
      </c>
      <c r="G1176" s="1" t="s">
        <v>97</v>
      </c>
      <c r="H1176" s="1" t="s">
        <v>57</v>
      </c>
      <c r="I1176" s="1" t="s">
        <v>83</v>
      </c>
      <c r="J1176" s="1" t="s">
        <v>77</v>
      </c>
      <c r="K1176" s="1" t="s">
        <v>48</v>
      </c>
      <c r="L1176" s="1" t="s">
        <v>49</v>
      </c>
      <c r="M1176" s="1" t="s">
        <v>62</v>
      </c>
      <c r="N1176" s="1" t="n">
        <v>8999</v>
      </c>
      <c r="O1176" s="1" t="n">
        <v>40</v>
      </c>
      <c r="P1176" s="1" t="n">
        <v>3599.6</v>
      </c>
      <c r="Q1176" s="1" t="n">
        <v>5399.4</v>
      </c>
      <c r="R1176" s="1" t="n">
        <v>971.89</v>
      </c>
      <c r="S1176" s="1" t="n">
        <v>4427.51</v>
      </c>
      <c r="T1176" s="1" t="n">
        <v>2823.04</v>
      </c>
      <c r="U1176" s="1" t="n">
        <v>1604.47</v>
      </c>
      <c r="V1176" s="1" t="n">
        <v>36.24</v>
      </c>
      <c r="W1176" s="1" t="s">
        <v>39</v>
      </c>
      <c r="X1176" s="1" t="n">
        <v>3.3</v>
      </c>
      <c r="Y1176" s="1" t="s">
        <v>40</v>
      </c>
      <c r="Z1176" s="1" t="n">
        <v>0</v>
      </c>
      <c r="AA1176" s="1" t="str">
        <f aca="false">TRIM(PROPER(F1176))</f>
        <v>Nagpur</v>
      </c>
      <c r="AB1176" s="1" t="str">
        <f aca="false">TRIM(PROPER(C1176))</f>
        <v>Physics Wallah</v>
      </c>
      <c r="AC1176" s="1" t="str">
        <f aca="false">IF(O1176=0,"No Discount",IF(O1176&lt;=15,"Low (1-15%)",IF(O1176&lt;=30,"Medium (16-30%)","High (&gt;30%)")))</f>
        <v>High (&gt;30%)</v>
      </c>
      <c r="AD1176" s="1" t="str">
        <f aca="false">IF(V1176&lt;0,"Loss Making",IF(V1176&lt;20,"Low Margin","Healthy Margin"))</f>
        <v>Healthy Margin</v>
      </c>
      <c r="AE1176" s="1" t="str">
        <f aca="false">TEXT(DATE(VALUE(RIGHT(B1176,4)),VALUE(MID(B1176,4,2)),VALUE(LEFT(B1176,2))),"MMM-YYYY")</f>
        <v>Aug-2024</v>
      </c>
      <c r="AF1176" s="1" t="n">
        <f aca="false">VALUE(RIGHT(B1176,4))</f>
        <v>2024</v>
      </c>
      <c r="AG1176" s="1" t="str">
        <f aca="false">CHOOSE(ROUNDUP(VALUE(MID(B1176,4,2))/3,0),"Q1","Q2","Q3","Q4")</f>
        <v>Q3</v>
      </c>
    </row>
    <row r="1177" customFormat="false" ht="15" hidden="false" customHeight="true" outlineLevel="0" collapsed="false">
      <c r="A1177" s="1" t="s">
        <v>1934</v>
      </c>
      <c r="B1177" s="1" t="s">
        <v>1819</v>
      </c>
      <c r="C1177" s="1" t="s">
        <v>178</v>
      </c>
      <c r="D1177" s="1" t="s">
        <v>29</v>
      </c>
      <c r="E1177" s="1" t="s">
        <v>129</v>
      </c>
      <c r="F1177" s="1" t="s">
        <v>130</v>
      </c>
      <c r="G1177" s="1" t="s">
        <v>47</v>
      </c>
      <c r="H1177" s="1" t="s">
        <v>69</v>
      </c>
      <c r="I1177" s="1" t="s">
        <v>58</v>
      </c>
      <c r="J1177" s="1" t="s">
        <v>59</v>
      </c>
      <c r="K1177" s="1" t="s">
        <v>60</v>
      </c>
      <c r="L1177" s="1" t="s">
        <v>37</v>
      </c>
      <c r="M1177" s="1" t="s">
        <v>62</v>
      </c>
      <c r="N1177" s="1" t="n">
        <v>29999</v>
      </c>
      <c r="O1177" s="1" t="n">
        <v>30</v>
      </c>
      <c r="P1177" s="1" t="n">
        <v>8999.7</v>
      </c>
      <c r="Q1177" s="1" t="n">
        <v>20999.3</v>
      </c>
      <c r="R1177" s="1" t="n">
        <v>3779.87</v>
      </c>
      <c r="S1177" s="1" t="n">
        <v>17219.43</v>
      </c>
      <c r="T1177" s="1" t="n">
        <v>6351.37</v>
      </c>
      <c r="U1177" s="1" t="n">
        <v>10868.06</v>
      </c>
      <c r="V1177" s="1" t="n">
        <v>63.12</v>
      </c>
      <c r="W1177" s="1" t="s">
        <v>39</v>
      </c>
      <c r="X1177" s="1" t="n">
        <v>3.9</v>
      </c>
      <c r="Y1177" s="1" t="s">
        <v>40</v>
      </c>
      <c r="Z1177" s="1" t="n">
        <v>0</v>
      </c>
      <c r="AA1177" s="1" t="str">
        <f aca="false">TRIM(PROPER(F1177))</f>
        <v>Bengaluru</v>
      </c>
      <c r="AB1177" s="1" t="str">
        <f aca="false">TRIM(PROPER(C1177))</f>
        <v>Leverage Edu</v>
      </c>
      <c r="AC1177" s="1" t="str">
        <f aca="false">IF(O1177=0,"No Discount",IF(O1177&lt;=15,"Low (1-15%)",IF(O1177&lt;=30,"Medium (16-30%)","High (&gt;30%)")))</f>
        <v>Medium (16-30%)</v>
      </c>
      <c r="AD1177" s="1" t="str">
        <f aca="false">IF(V1177&lt;0,"Loss Making",IF(V1177&lt;20,"Low Margin","Healthy Margin"))</f>
        <v>Healthy Margin</v>
      </c>
      <c r="AE1177" s="1" t="str">
        <f aca="false">TEXT(DATE(VALUE(RIGHT(B1177,4)),VALUE(MID(B1177,4,2)),VALUE(LEFT(B1177,2))),"MMM-YYYY")</f>
        <v>Sep-2023</v>
      </c>
      <c r="AF1177" s="1" t="n">
        <f aca="false">VALUE(RIGHT(B1177,4))</f>
        <v>2023</v>
      </c>
      <c r="AG1177" s="1" t="str">
        <f aca="false">CHOOSE(ROUNDUP(VALUE(MID(B1177,4,2))/3,0),"Q1","Q2","Q3","Q4")</f>
        <v>Q3</v>
      </c>
    </row>
    <row r="1178" customFormat="false" ht="15" hidden="false" customHeight="true" outlineLevel="0" collapsed="false">
      <c r="A1178" s="1" t="s">
        <v>1935</v>
      </c>
      <c r="B1178" s="1" t="s">
        <v>1550</v>
      </c>
      <c r="C1178" s="1" t="s">
        <v>28</v>
      </c>
      <c r="D1178" s="1" t="s">
        <v>143</v>
      </c>
      <c r="E1178" s="1" t="s">
        <v>162</v>
      </c>
      <c r="F1178" s="1" t="s">
        <v>194</v>
      </c>
      <c r="G1178" s="1" t="s">
        <v>103</v>
      </c>
      <c r="H1178" s="1" t="s">
        <v>69</v>
      </c>
      <c r="I1178" s="1" t="s">
        <v>58</v>
      </c>
      <c r="J1178" s="1" t="s">
        <v>131</v>
      </c>
      <c r="K1178" s="1" t="s">
        <v>36</v>
      </c>
      <c r="L1178" s="1" t="s">
        <v>49</v>
      </c>
      <c r="M1178" s="1" t="s">
        <v>62</v>
      </c>
      <c r="N1178" s="1" t="n">
        <v>14999</v>
      </c>
      <c r="O1178" s="1" t="n">
        <v>25</v>
      </c>
      <c r="P1178" s="1" t="n">
        <v>3749.75</v>
      </c>
      <c r="Q1178" s="1" t="n">
        <v>11249.25</v>
      </c>
      <c r="R1178" s="1" t="n">
        <v>2024.87</v>
      </c>
      <c r="S1178" s="1" t="n">
        <v>9224.38</v>
      </c>
      <c r="T1178" s="1" t="n">
        <v>3448.27</v>
      </c>
      <c r="U1178" s="1" t="n">
        <v>5776.11</v>
      </c>
      <c r="V1178" s="1" t="n">
        <v>62.62</v>
      </c>
      <c r="W1178" s="1" t="s">
        <v>40</v>
      </c>
      <c r="Y1178" s="1" t="s">
        <v>39</v>
      </c>
      <c r="Z1178" s="1" t="n">
        <v>0</v>
      </c>
      <c r="AA1178" s="1" t="str">
        <f aca="false">TRIM(PROPER(F1178))</f>
        <v>Hyderabad</v>
      </c>
      <c r="AB1178" s="1" t="str">
        <f aca="false">TRIM(PROPER(C1178))</f>
        <v>Embibe</v>
      </c>
      <c r="AC1178" s="1" t="str">
        <f aca="false">IF(O1178=0,"No Discount",IF(O1178&lt;=15,"Low (1-15%)",IF(O1178&lt;=30,"Medium (16-30%)","High (&gt;30%)")))</f>
        <v>Medium (16-30%)</v>
      </c>
      <c r="AD1178" s="1" t="str">
        <f aca="false">IF(V1178&lt;0,"Loss Making",IF(V1178&lt;20,"Low Margin","Healthy Margin"))</f>
        <v>Healthy Margin</v>
      </c>
      <c r="AE1178" s="1" t="str">
        <f aca="false">TEXT(DATE(VALUE(RIGHT(B1178,4)),VALUE(MID(B1178,4,2)),VALUE(LEFT(B1178,2))),"MMM-YYYY")</f>
        <v>Jul-2023</v>
      </c>
      <c r="AF1178" s="1" t="n">
        <f aca="false">VALUE(RIGHT(B1178,4))</f>
        <v>2023</v>
      </c>
      <c r="AG1178" s="1" t="str">
        <f aca="false">CHOOSE(ROUNDUP(VALUE(MID(B1178,4,2))/3,0),"Q1","Q2","Q3","Q4")</f>
        <v>Q3</v>
      </c>
    </row>
    <row r="1179" customFormat="false" ht="15" hidden="false" customHeight="true" outlineLevel="0" collapsed="false">
      <c r="A1179" s="1" t="s">
        <v>1936</v>
      </c>
      <c r="B1179" s="1" t="s">
        <v>1698</v>
      </c>
      <c r="C1179" s="1" t="s">
        <v>43</v>
      </c>
      <c r="D1179" s="1" t="s">
        <v>168</v>
      </c>
      <c r="E1179" s="1" t="s">
        <v>169</v>
      </c>
      <c r="F1179" s="1" t="s">
        <v>107</v>
      </c>
      <c r="G1179" s="1" t="s">
        <v>108</v>
      </c>
      <c r="H1179" s="1" t="s">
        <v>33</v>
      </c>
      <c r="I1179" s="1" t="s">
        <v>58</v>
      </c>
      <c r="J1179" s="1" t="s">
        <v>70</v>
      </c>
      <c r="K1179" s="1" t="s">
        <v>90</v>
      </c>
      <c r="L1179" s="1" t="s">
        <v>37</v>
      </c>
      <c r="M1179" s="1" t="s">
        <v>50</v>
      </c>
      <c r="N1179" s="1" t="n">
        <v>4999</v>
      </c>
      <c r="O1179" s="1" t="n">
        <v>25</v>
      </c>
      <c r="P1179" s="1" t="n">
        <v>1249.75</v>
      </c>
      <c r="Q1179" s="1" t="n">
        <v>3749.25</v>
      </c>
      <c r="R1179" s="1" t="n">
        <v>674.87</v>
      </c>
      <c r="S1179" s="1" t="n">
        <v>3074.38</v>
      </c>
      <c r="T1179" s="1" t="n">
        <v>1194.02</v>
      </c>
      <c r="U1179" s="1" t="n">
        <v>1880.36</v>
      </c>
      <c r="V1179" s="1" t="n">
        <v>61.16</v>
      </c>
      <c r="W1179" s="1" t="s">
        <v>39</v>
      </c>
      <c r="X1179" s="1" t="n">
        <v>4.5</v>
      </c>
      <c r="Y1179" s="1" t="s">
        <v>40</v>
      </c>
      <c r="Z1179" s="1" t="n">
        <v>0</v>
      </c>
      <c r="AA1179" s="1" t="str">
        <f aca="false">TRIM(PROPER(F1179))</f>
        <v>Madurai</v>
      </c>
      <c r="AB1179" s="1" t="str">
        <f aca="false">TRIM(PROPER(C1179))</f>
        <v>Meritnation</v>
      </c>
      <c r="AC1179" s="1" t="str">
        <f aca="false">IF(O1179=0,"No Discount",IF(O1179&lt;=15,"Low (1-15%)",IF(O1179&lt;=30,"Medium (16-30%)","High (&gt;30%)")))</f>
        <v>Medium (16-30%)</v>
      </c>
      <c r="AD1179" s="1" t="str">
        <f aca="false">IF(V1179&lt;0,"Loss Making",IF(V1179&lt;20,"Low Margin","Healthy Margin"))</f>
        <v>Healthy Margin</v>
      </c>
      <c r="AE1179" s="1" t="str">
        <f aca="false">TEXT(DATE(VALUE(RIGHT(B1179,4)),VALUE(MID(B1179,4,2)),VALUE(LEFT(B1179,2))),"MMM-YYYY")</f>
        <v>Jan-2024</v>
      </c>
      <c r="AF1179" s="1" t="n">
        <f aca="false">VALUE(RIGHT(B1179,4))</f>
        <v>2024</v>
      </c>
      <c r="AG1179" s="1" t="str">
        <f aca="false">CHOOSE(ROUNDUP(VALUE(MID(B1179,4,2))/3,0),"Q1","Q2","Q3","Q4")</f>
        <v>Q1</v>
      </c>
    </row>
    <row r="1180" customFormat="false" ht="15" hidden="false" customHeight="true" outlineLevel="0" collapsed="false">
      <c r="A1180" s="1" t="s">
        <v>1937</v>
      </c>
      <c r="B1180" s="1" t="s">
        <v>779</v>
      </c>
      <c r="C1180" s="1" t="s">
        <v>128</v>
      </c>
      <c r="D1180" s="1" t="s">
        <v>143</v>
      </c>
      <c r="E1180" s="1" t="s">
        <v>243</v>
      </c>
      <c r="F1180" s="1" t="s">
        <v>55</v>
      </c>
      <c r="G1180" s="1" t="s">
        <v>56</v>
      </c>
      <c r="H1180" s="1" t="s">
        <v>57</v>
      </c>
      <c r="I1180" s="1" t="s">
        <v>34</v>
      </c>
      <c r="J1180" s="1" t="s">
        <v>35</v>
      </c>
      <c r="K1180" s="1" t="s">
        <v>112</v>
      </c>
      <c r="L1180" s="1" t="s">
        <v>37</v>
      </c>
      <c r="M1180" s="1" t="s">
        <v>62</v>
      </c>
      <c r="N1180" s="1" t="n">
        <v>22999</v>
      </c>
      <c r="O1180" s="1" t="n">
        <v>15</v>
      </c>
      <c r="P1180" s="1" t="n">
        <v>3449.85</v>
      </c>
      <c r="Q1180" s="1" t="n">
        <v>19549.15</v>
      </c>
      <c r="R1180" s="1" t="n">
        <v>3518.85</v>
      </c>
      <c r="S1180" s="1" t="n">
        <v>16030.3</v>
      </c>
      <c r="T1180" s="1" t="n">
        <v>7728.79</v>
      </c>
      <c r="U1180" s="1" t="n">
        <v>8301.51</v>
      </c>
      <c r="V1180" s="1" t="n">
        <v>51.79</v>
      </c>
      <c r="W1180" s="1" t="s">
        <v>39</v>
      </c>
      <c r="X1180" s="1" t="n">
        <v>3.8</v>
      </c>
      <c r="Y1180" s="1" t="s">
        <v>40</v>
      </c>
      <c r="Z1180" s="1" t="n">
        <v>1</v>
      </c>
      <c r="AA1180" s="1" t="str">
        <f aca="false">TRIM(PROPER(F1180))</f>
        <v>Ghaziabad</v>
      </c>
      <c r="AB1180" s="1" t="str">
        <f aca="false">TRIM(PROPER(C1180))</f>
        <v>Great Learning</v>
      </c>
      <c r="AC1180" s="1" t="str">
        <f aca="false">IF(O1180=0,"No Discount",IF(O1180&lt;=15,"Low (1-15%)",IF(O1180&lt;=30,"Medium (16-30%)","High (&gt;30%)")))</f>
        <v>Low (1-15%)</v>
      </c>
      <c r="AD1180" s="1" t="str">
        <f aca="false">IF(V1180&lt;0,"Loss Making",IF(V1180&lt;20,"Low Margin","Healthy Margin"))</f>
        <v>Healthy Margin</v>
      </c>
      <c r="AE1180" s="1" t="str">
        <f aca="false">TEXT(DATE(VALUE(RIGHT(B1180,4)),VALUE(MID(B1180,4,2)),VALUE(LEFT(B1180,2))),"MMM-YYYY")</f>
        <v>Dec-2024</v>
      </c>
      <c r="AF1180" s="1" t="n">
        <f aca="false">VALUE(RIGHT(B1180,4))</f>
        <v>2024</v>
      </c>
      <c r="AG1180" s="1" t="str">
        <f aca="false">CHOOSE(ROUNDUP(VALUE(MID(B1180,4,2))/3,0),"Q1","Q2","Q3","Q4")</f>
        <v>Q4</v>
      </c>
    </row>
    <row r="1181" customFormat="false" ht="15" hidden="false" customHeight="true" outlineLevel="0" collapsed="false">
      <c r="A1181" s="1" t="s">
        <v>1938</v>
      </c>
      <c r="B1181" s="1" t="s">
        <v>1939</v>
      </c>
      <c r="C1181" s="1" t="s">
        <v>74</v>
      </c>
      <c r="D1181" s="1" t="s">
        <v>123</v>
      </c>
      <c r="E1181" s="1" t="s">
        <v>124</v>
      </c>
      <c r="F1181" s="1" t="s">
        <v>269</v>
      </c>
      <c r="G1181" s="1" t="s">
        <v>108</v>
      </c>
      <c r="H1181" s="1" t="s">
        <v>57</v>
      </c>
      <c r="I1181" s="1" t="s">
        <v>58</v>
      </c>
      <c r="J1181" s="1" t="s">
        <v>131</v>
      </c>
      <c r="K1181" s="1" t="s">
        <v>71</v>
      </c>
      <c r="L1181" s="1" t="s">
        <v>85</v>
      </c>
      <c r="M1181" s="1" t="s">
        <v>50</v>
      </c>
      <c r="N1181" s="1" t="n">
        <v>4999</v>
      </c>
      <c r="O1181" s="1" t="n">
        <v>10</v>
      </c>
      <c r="P1181" s="1" t="n">
        <v>499.9</v>
      </c>
      <c r="Q1181" s="1" t="n">
        <v>4499.1</v>
      </c>
      <c r="R1181" s="1" t="n">
        <v>809.84</v>
      </c>
      <c r="S1181" s="1" t="n">
        <v>3689.26</v>
      </c>
      <c r="T1181" s="1" t="n">
        <v>1759.42</v>
      </c>
      <c r="U1181" s="1" t="n">
        <v>1929.84</v>
      </c>
      <c r="V1181" s="1" t="n">
        <v>52.31</v>
      </c>
      <c r="W1181" s="1" t="s">
        <v>39</v>
      </c>
      <c r="Y1181" s="1" t="s">
        <v>40</v>
      </c>
      <c r="Z1181" s="1" t="n">
        <v>0</v>
      </c>
      <c r="AA1181" s="1" t="str">
        <f aca="false">TRIM(PROPER(F1181))</f>
        <v>Coimbatore</v>
      </c>
      <c r="AB1181" s="1" t="str">
        <f aca="false">TRIM(PROPER(C1181))</f>
        <v>Vedantu</v>
      </c>
      <c r="AC1181" s="1" t="str">
        <f aca="false">IF(O1181=0,"No Discount",IF(O1181&lt;=15,"Low (1-15%)",IF(O1181&lt;=30,"Medium (16-30%)","High (&gt;30%)")))</f>
        <v>Low (1-15%)</v>
      </c>
      <c r="AD1181" s="1" t="str">
        <f aca="false">IF(V1181&lt;0,"Loss Making",IF(V1181&lt;20,"Low Margin","Healthy Margin"))</f>
        <v>Healthy Margin</v>
      </c>
      <c r="AE1181" s="1" t="str">
        <f aca="false">TEXT(DATE(VALUE(RIGHT(B1181,4)),VALUE(MID(B1181,4,2)),VALUE(LEFT(B1181,2))),"MMM-YYYY")</f>
        <v>Apr-2024</v>
      </c>
      <c r="AF1181" s="1" t="n">
        <f aca="false">VALUE(RIGHT(B1181,4))</f>
        <v>2024</v>
      </c>
      <c r="AG1181" s="1" t="str">
        <f aca="false">CHOOSE(ROUNDUP(VALUE(MID(B1181,4,2))/3,0),"Q1","Q2","Q3","Q4")</f>
        <v>Q2</v>
      </c>
    </row>
    <row r="1182" customFormat="false" ht="15" hidden="false" customHeight="true" outlineLevel="0" collapsed="false">
      <c r="A1182" s="1" t="s">
        <v>1940</v>
      </c>
      <c r="B1182" s="1" t="s">
        <v>1941</v>
      </c>
      <c r="C1182" s="1" t="s">
        <v>93</v>
      </c>
      <c r="D1182" s="1" t="s">
        <v>44</v>
      </c>
      <c r="E1182" s="1" t="s">
        <v>45</v>
      </c>
      <c r="F1182" s="1" t="s">
        <v>82</v>
      </c>
      <c r="G1182" s="1" t="s">
        <v>56</v>
      </c>
      <c r="H1182" s="1" t="s">
        <v>69</v>
      </c>
      <c r="I1182" s="1" t="s">
        <v>83</v>
      </c>
      <c r="J1182" s="1" t="s">
        <v>35</v>
      </c>
      <c r="K1182" s="1" t="s">
        <v>71</v>
      </c>
      <c r="L1182" s="1" t="s">
        <v>37</v>
      </c>
      <c r="M1182" s="1" t="s">
        <v>62</v>
      </c>
      <c r="N1182" s="1" t="n">
        <v>11999</v>
      </c>
      <c r="O1182" s="1" t="n">
        <v>40</v>
      </c>
      <c r="P1182" s="1" t="n">
        <v>4799.6</v>
      </c>
      <c r="Q1182" s="1" t="n">
        <v>7199.4</v>
      </c>
      <c r="R1182" s="1" t="n">
        <v>1295.89</v>
      </c>
      <c r="S1182" s="1" t="n">
        <v>5903.51</v>
      </c>
      <c r="T1182" s="1" t="n">
        <v>2981.66</v>
      </c>
      <c r="U1182" s="1" t="n">
        <v>2921.85</v>
      </c>
      <c r="V1182" s="1" t="n">
        <v>49.49</v>
      </c>
      <c r="W1182" s="1" t="s">
        <v>39</v>
      </c>
      <c r="X1182" s="1" t="n">
        <v>3.2</v>
      </c>
      <c r="Y1182" s="1" t="s">
        <v>40</v>
      </c>
      <c r="Z1182" s="1" t="n">
        <v>2</v>
      </c>
      <c r="AA1182" s="1" t="str">
        <f aca="false">TRIM(PROPER(F1182))</f>
        <v>Gurugram</v>
      </c>
      <c r="AB1182" s="1" t="str">
        <f aca="false">TRIM(PROPER(C1182))</f>
        <v>Upgrad</v>
      </c>
      <c r="AC1182" s="1" t="str">
        <f aca="false">IF(O1182=0,"No Discount",IF(O1182&lt;=15,"Low (1-15%)",IF(O1182&lt;=30,"Medium (16-30%)","High (&gt;30%)")))</f>
        <v>High (&gt;30%)</v>
      </c>
      <c r="AD1182" s="1" t="str">
        <f aca="false">IF(V1182&lt;0,"Loss Making",IF(V1182&lt;20,"Low Margin","Healthy Margin"))</f>
        <v>Healthy Margin</v>
      </c>
      <c r="AE1182" s="1" t="str">
        <f aca="false">TEXT(DATE(VALUE(RIGHT(B1182,4)),VALUE(MID(B1182,4,2)),VALUE(LEFT(B1182,2))),"MMM-YYYY")</f>
        <v>Sep-2024</v>
      </c>
      <c r="AF1182" s="1" t="n">
        <f aca="false">VALUE(RIGHT(B1182,4))</f>
        <v>2024</v>
      </c>
      <c r="AG1182" s="1" t="str">
        <f aca="false">CHOOSE(ROUNDUP(VALUE(MID(B1182,4,2))/3,0),"Q1","Q2","Q3","Q4")</f>
        <v>Q3</v>
      </c>
    </row>
    <row r="1183" customFormat="false" ht="15" hidden="false" customHeight="true" outlineLevel="0" collapsed="false">
      <c r="A1183" s="1" t="s">
        <v>1942</v>
      </c>
      <c r="B1183" s="1" t="s">
        <v>1604</v>
      </c>
      <c r="C1183" s="1" t="s">
        <v>249</v>
      </c>
      <c r="D1183" s="1" t="s">
        <v>143</v>
      </c>
      <c r="E1183" s="1" t="s">
        <v>159</v>
      </c>
      <c r="F1183" s="1" t="s">
        <v>96</v>
      </c>
      <c r="G1183" s="1" t="s">
        <v>97</v>
      </c>
      <c r="H1183" s="1" t="s">
        <v>69</v>
      </c>
      <c r="I1183" s="1" t="s">
        <v>34</v>
      </c>
      <c r="J1183" s="1" t="s">
        <v>59</v>
      </c>
      <c r="K1183" s="1" t="s">
        <v>60</v>
      </c>
      <c r="L1183" s="1" t="s">
        <v>113</v>
      </c>
      <c r="M1183" s="1" t="s">
        <v>62</v>
      </c>
      <c r="N1183" s="1" t="n">
        <v>24999</v>
      </c>
      <c r="O1183" s="1" t="n">
        <v>40</v>
      </c>
      <c r="P1183" s="1" t="n">
        <v>9999.6</v>
      </c>
      <c r="Q1183" s="1" t="n">
        <v>14999.4</v>
      </c>
      <c r="R1183" s="1" t="n">
        <v>2699.89</v>
      </c>
      <c r="S1183" s="1" t="n">
        <v>12299.51</v>
      </c>
      <c r="T1183" s="1" t="n">
        <v>7146.34</v>
      </c>
      <c r="U1183" s="1" t="n">
        <v>5153.17</v>
      </c>
      <c r="V1183" s="1" t="n">
        <v>41.9</v>
      </c>
      <c r="W1183" s="1" t="s">
        <v>39</v>
      </c>
      <c r="X1183" s="1" t="n">
        <v>3.2</v>
      </c>
      <c r="Y1183" s="1" t="s">
        <v>40</v>
      </c>
      <c r="Z1183" s="1" t="n">
        <v>1</v>
      </c>
      <c r="AA1183" s="1" t="str">
        <f aca="false">TRIM(PROPER(F1183))</f>
        <v>Pune</v>
      </c>
      <c r="AB1183" s="1" t="str">
        <f aca="false">TRIM(PROPER(C1183))</f>
        <v>Whitehat Jr</v>
      </c>
      <c r="AC1183" s="1" t="str">
        <f aca="false">IF(O1183=0,"No Discount",IF(O1183&lt;=15,"Low (1-15%)",IF(O1183&lt;=30,"Medium (16-30%)","High (&gt;30%)")))</f>
        <v>High (&gt;30%)</v>
      </c>
      <c r="AD1183" s="1" t="str">
        <f aca="false">IF(V1183&lt;0,"Loss Making",IF(V1183&lt;20,"Low Margin","Healthy Margin"))</f>
        <v>Healthy Margin</v>
      </c>
      <c r="AE1183" s="1" t="str">
        <f aca="false">TEXT(DATE(VALUE(RIGHT(B1183,4)),VALUE(MID(B1183,4,2)),VALUE(LEFT(B1183,2))),"MMM-YYYY")</f>
        <v>Oct-2023</v>
      </c>
      <c r="AF1183" s="1" t="n">
        <f aca="false">VALUE(RIGHT(B1183,4))</f>
        <v>2023</v>
      </c>
      <c r="AG1183" s="1" t="str">
        <f aca="false">CHOOSE(ROUNDUP(VALUE(MID(B1183,4,2))/3,0),"Q1","Q2","Q3","Q4")</f>
        <v>Q4</v>
      </c>
    </row>
    <row r="1184" customFormat="false" ht="15" hidden="false" customHeight="true" outlineLevel="0" collapsed="false">
      <c r="A1184" s="1" t="s">
        <v>1943</v>
      </c>
      <c r="B1184" s="1" t="s">
        <v>1944</v>
      </c>
      <c r="C1184" s="1" t="s">
        <v>264</v>
      </c>
      <c r="D1184" s="1" t="s">
        <v>168</v>
      </c>
      <c r="E1184" s="1" t="s">
        <v>197</v>
      </c>
      <c r="F1184" s="1" t="s">
        <v>244</v>
      </c>
      <c r="G1184" s="1" t="s">
        <v>97</v>
      </c>
      <c r="H1184" s="1" t="s">
        <v>57</v>
      </c>
      <c r="I1184" s="1" t="s">
        <v>58</v>
      </c>
      <c r="J1184" s="1" t="s">
        <v>59</v>
      </c>
      <c r="K1184" s="1" t="s">
        <v>84</v>
      </c>
      <c r="L1184" s="1" t="s">
        <v>49</v>
      </c>
      <c r="M1184" s="1" t="s">
        <v>62</v>
      </c>
      <c r="N1184" s="1" t="n">
        <v>8499</v>
      </c>
      <c r="O1184" s="1" t="n">
        <v>25</v>
      </c>
      <c r="P1184" s="1" t="n">
        <v>2124.75</v>
      </c>
      <c r="Q1184" s="1" t="n">
        <v>6374.25</v>
      </c>
      <c r="R1184" s="1" t="n">
        <v>1147.37</v>
      </c>
      <c r="S1184" s="1" t="n">
        <v>5226.88</v>
      </c>
      <c r="T1184" s="1" t="n">
        <v>2146.14</v>
      </c>
      <c r="U1184" s="1" t="n">
        <v>3080.74</v>
      </c>
      <c r="V1184" s="1" t="n">
        <v>58.94</v>
      </c>
      <c r="W1184" s="1" t="s">
        <v>39</v>
      </c>
      <c r="X1184" s="1" t="n">
        <v>3.4</v>
      </c>
      <c r="Y1184" s="1" t="s">
        <v>40</v>
      </c>
      <c r="Z1184" s="1" t="n">
        <v>0</v>
      </c>
      <c r="AA1184" s="1" t="str">
        <f aca="false">TRIM(PROPER(F1184))</f>
        <v>Nagpur</v>
      </c>
      <c r="AB1184" s="1" t="str">
        <f aca="false">TRIM(PROPER(C1184))</f>
        <v>Unacademy</v>
      </c>
      <c r="AC1184" s="1" t="str">
        <f aca="false">IF(O1184=0,"No Discount",IF(O1184&lt;=15,"Low (1-15%)",IF(O1184&lt;=30,"Medium (16-30%)","High (&gt;30%)")))</f>
        <v>Medium (16-30%)</v>
      </c>
      <c r="AD1184" s="1" t="str">
        <f aca="false">IF(V1184&lt;0,"Loss Making",IF(V1184&lt;20,"Low Margin","Healthy Margin"))</f>
        <v>Healthy Margin</v>
      </c>
      <c r="AE1184" s="1" t="str">
        <f aca="false">TEXT(DATE(VALUE(RIGHT(B1184,4)),VALUE(MID(B1184,4,2)),VALUE(LEFT(B1184,2))),"MMM-YYYY")</f>
        <v>Jul-2024</v>
      </c>
      <c r="AF1184" s="1" t="n">
        <f aca="false">VALUE(RIGHT(B1184,4))</f>
        <v>2024</v>
      </c>
      <c r="AG1184" s="1" t="str">
        <f aca="false">CHOOSE(ROUNDUP(VALUE(MID(B1184,4,2))/3,0),"Q1","Q2","Q3","Q4")</f>
        <v>Q3</v>
      </c>
    </row>
    <row r="1185" customFormat="false" ht="15" hidden="false" customHeight="true" outlineLevel="0" collapsed="false">
      <c r="A1185" s="1" t="s">
        <v>1945</v>
      </c>
      <c r="B1185" s="1" t="s">
        <v>1946</v>
      </c>
      <c r="C1185" s="1" t="s">
        <v>100</v>
      </c>
      <c r="D1185" s="1" t="s">
        <v>168</v>
      </c>
      <c r="E1185" s="1" t="s">
        <v>197</v>
      </c>
      <c r="F1185" s="1" t="s">
        <v>75</v>
      </c>
      <c r="G1185" s="1" t="s">
        <v>76</v>
      </c>
      <c r="H1185" s="1" t="s">
        <v>69</v>
      </c>
      <c r="I1185" s="1" t="s">
        <v>34</v>
      </c>
      <c r="J1185" s="1" t="s">
        <v>35</v>
      </c>
      <c r="K1185" s="1" t="s">
        <v>112</v>
      </c>
      <c r="L1185" s="1" t="s">
        <v>37</v>
      </c>
      <c r="M1185" s="1" t="s">
        <v>38</v>
      </c>
      <c r="N1185" s="1" t="n">
        <v>8499</v>
      </c>
      <c r="O1185" s="1" t="n">
        <v>20</v>
      </c>
      <c r="P1185" s="1" t="n">
        <v>1699.8</v>
      </c>
      <c r="Q1185" s="1" t="n">
        <v>6799.2</v>
      </c>
      <c r="R1185" s="1" t="n">
        <v>1223.86</v>
      </c>
      <c r="S1185" s="1" t="n">
        <v>5575.34</v>
      </c>
      <c r="T1185" s="1" t="n">
        <v>2231.91</v>
      </c>
      <c r="U1185" s="1" t="n">
        <v>3343.43</v>
      </c>
      <c r="V1185" s="1" t="n">
        <v>59.97</v>
      </c>
      <c r="W1185" s="1" t="s">
        <v>40</v>
      </c>
      <c r="Y1185" s="1" t="s">
        <v>40</v>
      </c>
      <c r="Z1185" s="1" t="n">
        <v>1</v>
      </c>
      <c r="AA1185" s="1" t="str">
        <f aca="false">TRIM(PROPER(F1185))</f>
        <v>Kolkata</v>
      </c>
      <c r="AB1185" s="1" t="str">
        <f aca="false">TRIM(PROPER(C1185))</f>
        <v>Physics Wallah</v>
      </c>
      <c r="AC1185" s="1" t="str">
        <f aca="false">IF(O1185=0,"No Discount",IF(O1185&lt;=15,"Low (1-15%)",IF(O1185&lt;=30,"Medium (16-30%)","High (&gt;30%)")))</f>
        <v>Medium (16-30%)</v>
      </c>
      <c r="AD1185" s="1" t="str">
        <f aca="false">IF(V1185&lt;0,"Loss Making",IF(V1185&lt;20,"Low Margin","Healthy Margin"))</f>
        <v>Healthy Margin</v>
      </c>
      <c r="AE1185" s="1" t="str">
        <f aca="false">TEXT(DATE(VALUE(RIGHT(B1185,4)),VALUE(MID(B1185,4,2)),VALUE(LEFT(B1185,2))),"MMM-YYYY")</f>
        <v>Jun-2024</v>
      </c>
      <c r="AF1185" s="1" t="n">
        <f aca="false">VALUE(RIGHT(B1185,4))</f>
        <v>2024</v>
      </c>
      <c r="AG1185" s="1" t="str">
        <f aca="false">CHOOSE(ROUNDUP(VALUE(MID(B1185,4,2))/3,0),"Q1","Q2","Q3","Q4")</f>
        <v>Q2</v>
      </c>
    </row>
    <row r="1186" customFormat="false" ht="15" hidden="false" customHeight="true" outlineLevel="0" collapsed="false">
      <c r="A1186" s="1" t="s">
        <v>1947</v>
      </c>
      <c r="B1186" s="1" t="s">
        <v>1948</v>
      </c>
      <c r="C1186" s="1" t="s">
        <v>100</v>
      </c>
      <c r="D1186" s="1" t="s">
        <v>94</v>
      </c>
      <c r="E1186" s="1" t="s">
        <v>135</v>
      </c>
      <c r="F1186" s="1" t="s">
        <v>31</v>
      </c>
      <c r="G1186" s="1" t="s">
        <v>32</v>
      </c>
      <c r="H1186" s="1" t="s">
        <v>33</v>
      </c>
      <c r="I1186" s="1" t="s">
        <v>58</v>
      </c>
      <c r="J1186" s="1" t="s">
        <v>59</v>
      </c>
      <c r="K1186" s="1" t="s">
        <v>84</v>
      </c>
      <c r="L1186" s="1" t="s">
        <v>49</v>
      </c>
      <c r="M1186" s="1" t="s">
        <v>62</v>
      </c>
      <c r="N1186" s="1" t="n">
        <v>9999</v>
      </c>
      <c r="O1186" s="1" t="n">
        <v>5</v>
      </c>
      <c r="P1186" s="1" t="n">
        <v>499.95</v>
      </c>
      <c r="Q1186" s="1" t="n">
        <v>9499.05</v>
      </c>
      <c r="R1186" s="1" t="n">
        <v>1709.83</v>
      </c>
      <c r="S1186" s="1" t="n">
        <v>7789.22</v>
      </c>
      <c r="T1186" s="1" t="n">
        <v>3324.2</v>
      </c>
      <c r="U1186" s="1" t="n">
        <v>4465.02</v>
      </c>
      <c r="V1186" s="1" t="n">
        <v>57.32</v>
      </c>
      <c r="W1186" s="1" t="s">
        <v>39</v>
      </c>
      <c r="X1186" s="1" t="n">
        <v>3.8</v>
      </c>
      <c r="Y1186" s="1" t="s">
        <v>40</v>
      </c>
      <c r="Z1186" s="1" t="n">
        <v>0</v>
      </c>
      <c r="AA1186" s="1" t="str">
        <f aca="false">TRIM(PROPER(F1186))</f>
        <v>Jodhpur</v>
      </c>
      <c r="AB1186" s="1" t="str">
        <f aca="false">TRIM(PROPER(C1186))</f>
        <v>Physics Wallah</v>
      </c>
      <c r="AC1186" s="1" t="str">
        <f aca="false">IF(O1186=0,"No Discount",IF(O1186&lt;=15,"Low (1-15%)",IF(O1186&lt;=30,"Medium (16-30%)","High (&gt;30%)")))</f>
        <v>Low (1-15%)</v>
      </c>
      <c r="AD1186" s="1" t="str">
        <f aca="false">IF(V1186&lt;0,"Loss Making",IF(V1186&lt;20,"Low Margin","Healthy Margin"))</f>
        <v>Healthy Margin</v>
      </c>
      <c r="AE1186" s="1" t="str">
        <f aca="false">TEXT(DATE(VALUE(RIGHT(B1186,4)),VALUE(MID(B1186,4,2)),VALUE(LEFT(B1186,2))),"MMM-YYYY")</f>
        <v>Apr-2023</v>
      </c>
      <c r="AF1186" s="1" t="n">
        <f aca="false">VALUE(RIGHT(B1186,4))</f>
        <v>2023</v>
      </c>
      <c r="AG1186" s="1" t="str">
        <f aca="false">CHOOSE(ROUNDUP(VALUE(MID(B1186,4,2))/3,0),"Q1","Q2","Q3","Q4")</f>
        <v>Q2</v>
      </c>
    </row>
    <row r="1187" customFormat="false" ht="15" hidden="false" customHeight="true" outlineLevel="0" collapsed="false">
      <c r="A1187" s="1" t="s">
        <v>291</v>
      </c>
      <c r="B1187" s="1" t="s">
        <v>292</v>
      </c>
      <c r="C1187" s="1" t="s">
        <v>134</v>
      </c>
      <c r="D1187" s="1" t="s">
        <v>168</v>
      </c>
      <c r="E1187" s="1" t="s">
        <v>172</v>
      </c>
      <c r="F1187" s="1" t="s">
        <v>150</v>
      </c>
      <c r="G1187" s="1" t="s">
        <v>32</v>
      </c>
      <c r="H1187" s="1" t="s">
        <v>57</v>
      </c>
      <c r="I1187" s="1" t="s">
        <v>58</v>
      </c>
      <c r="J1187" s="1" t="s">
        <v>59</v>
      </c>
      <c r="K1187" s="1" t="s">
        <v>48</v>
      </c>
      <c r="L1187" s="1" t="s">
        <v>37</v>
      </c>
      <c r="M1187" s="1" t="s">
        <v>38</v>
      </c>
      <c r="N1187" s="1" t="n">
        <v>6999</v>
      </c>
      <c r="O1187" s="1" t="n">
        <v>0</v>
      </c>
      <c r="P1187" s="1" t="n">
        <v>0</v>
      </c>
      <c r="Q1187" s="1" t="n">
        <v>6999</v>
      </c>
      <c r="R1187" s="1" t="n">
        <v>1259.82</v>
      </c>
      <c r="S1187" s="1" t="n">
        <v>5739.18</v>
      </c>
      <c r="T1187" s="1" t="n">
        <v>2768.27</v>
      </c>
      <c r="U1187" s="1" t="n">
        <v>2970.91</v>
      </c>
      <c r="V1187" s="1" t="n">
        <v>51.77</v>
      </c>
      <c r="W1187" s="1" t="s">
        <v>39</v>
      </c>
      <c r="X1187" s="1" t="n">
        <v>3</v>
      </c>
      <c r="Y1187" s="1" t="s">
        <v>40</v>
      </c>
      <c r="Z1187" s="1" t="n">
        <v>1</v>
      </c>
      <c r="AA1187" s="1" t="str">
        <f aca="false">TRIM(PROPER(F1187))</f>
        <v>Jaipur</v>
      </c>
      <c r="AB1187" s="1" t="str">
        <f aca="false">TRIM(PROPER(C1187))</f>
        <v>Doubtnut</v>
      </c>
      <c r="AC1187" s="1" t="str">
        <f aca="false">IF(O1187=0,"No Discount",IF(O1187&lt;=15,"Low (1-15%)",IF(O1187&lt;=30,"Medium (16-30%)","High (&gt;30%)")))</f>
        <v>No Discount</v>
      </c>
      <c r="AD1187" s="1" t="str">
        <f aca="false">IF(V1187&lt;0,"Loss Making",IF(V1187&lt;20,"Low Margin","Healthy Margin"))</f>
        <v>Healthy Margin</v>
      </c>
      <c r="AE1187" s="1" t="str">
        <f aca="false">TEXT(DATE(VALUE(RIGHT(B1187,4)),VALUE(MID(B1187,4,2)),VALUE(LEFT(B1187,2))),"MMM-YYYY")</f>
        <v>Oct-2023</v>
      </c>
      <c r="AF1187" s="1" t="n">
        <f aca="false">VALUE(RIGHT(B1187,4))</f>
        <v>2023</v>
      </c>
      <c r="AG1187" s="1" t="str">
        <f aca="false">CHOOSE(ROUNDUP(VALUE(MID(B1187,4,2))/3,0),"Q1","Q2","Q3","Q4")</f>
        <v>Q4</v>
      </c>
    </row>
    <row r="1188" customFormat="false" ht="15" hidden="false" customHeight="true" outlineLevel="0" collapsed="false">
      <c r="A1188" s="1" t="s">
        <v>1162</v>
      </c>
      <c r="B1188" s="1" t="s">
        <v>1163</v>
      </c>
      <c r="C1188" s="1" t="s">
        <v>43</v>
      </c>
      <c r="D1188" s="1" t="s">
        <v>44</v>
      </c>
      <c r="E1188" s="1" t="s">
        <v>221</v>
      </c>
      <c r="F1188" s="1" t="s">
        <v>120</v>
      </c>
      <c r="G1188" s="1" t="s">
        <v>47</v>
      </c>
      <c r="H1188" s="1" t="s">
        <v>57</v>
      </c>
      <c r="I1188" s="1" t="s">
        <v>34</v>
      </c>
      <c r="J1188" s="1" t="s">
        <v>35</v>
      </c>
      <c r="K1188" s="1" t="s">
        <v>90</v>
      </c>
      <c r="L1188" s="1" t="s">
        <v>136</v>
      </c>
      <c r="M1188" s="1" t="s">
        <v>50</v>
      </c>
      <c r="N1188" s="1" t="n">
        <v>16999</v>
      </c>
      <c r="O1188" s="1" t="n">
        <v>0</v>
      </c>
      <c r="P1188" s="1" t="n">
        <v>0</v>
      </c>
      <c r="Q1188" s="1" t="n">
        <v>16999</v>
      </c>
      <c r="R1188" s="1" t="n">
        <v>3059.82</v>
      </c>
      <c r="S1188" s="1" t="n">
        <v>13939.18</v>
      </c>
      <c r="T1188" s="1" t="n">
        <v>5702.28</v>
      </c>
      <c r="U1188" s="1" t="n">
        <v>8236.9</v>
      </c>
      <c r="V1188" s="1" t="n">
        <v>59.09</v>
      </c>
      <c r="W1188" s="1" t="s">
        <v>39</v>
      </c>
      <c r="X1188" s="1" t="n">
        <v>4.4</v>
      </c>
      <c r="Y1188" s="1" t="s">
        <v>40</v>
      </c>
      <c r="Z1188" s="1" t="n">
        <v>0</v>
      </c>
      <c r="AA1188" s="1" t="str">
        <f aca="false">TRIM(PROPER(F1188))</f>
        <v>Mysuru</v>
      </c>
      <c r="AB1188" s="1" t="str">
        <f aca="false">TRIM(PROPER(C1188))</f>
        <v>Meritnation</v>
      </c>
      <c r="AC1188" s="1" t="str">
        <f aca="false">IF(O1188=0,"No Discount",IF(O1188&lt;=15,"Low (1-15%)",IF(O1188&lt;=30,"Medium (16-30%)","High (&gt;30%)")))</f>
        <v>No Discount</v>
      </c>
      <c r="AD1188" s="1" t="str">
        <f aca="false">IF(V1188&lt;0,"Loss Making",IF(V1188&lt;20,"Low Margin","Healthy Margin"))</f>
        <v>Healthy Margin</v>
      </c>
      <c r="AE1188" s="1" t="str">
        <f aca="false">TEXT(DATE(VALUE(RIGHT(B1188,4)),VALUE(MID(B1188,4,2)),VALUE(LEFT(B1188,2))),"MMM-YYYY")</f>
        <v>May-2024</v>
      </c>
      <c r="AF1188" s="1" t="n">
        <f aca="false">VALUE(RIGHT(B1188,4))</f>
        <v>2024</v>
      </c>
      <c r="AG1188" s="1" t="str">
        <f aca="false">CHOOSE(ROUNDUP(VALUE(MID(B1188,4,2))/3,0),"Q1","Q2","Q3","Q4")</f>
        <v>Q2</v>
      </c>
    </row>
    <row r="1189" customFormat="false" ht="15" hidden="false" customHeight="true" outlineLevel="0" collapsed="false">
      <c r="A1189" s="1" t="s">
        <v>1949</v>
      </c>
      <c r="B1189" s="1" t="s">
        <v>1588</v>
      </c>
      <c r="C1189" s="1" t="s">
        <v>93</v>
      </c>
      <c r="D1189" s="1" t="s">
        <v>123</v>
      </c>
      <c r="E1189" s="1" t="s">
        <v>124</v>
      </c>
      <c r="F1189" s="1" t="s">
        <v>46</v>
      </c>
      <c r="G1189" s="1" t="s">
        <v>47</v>
      </c>
      <c r="H1189" s="1" t="s">
        <v>33</v>
      </c>
      <c r="I1189" s="1" t="s">
        <v>58</v>
      </c>
      <c r="J1189" s="1" t="s">
        <v>131</v>
      </c>
      <c r="K1189" s="1" t="s">
        <v>90</v>
      </c>
      <c r="L1189" s="1" t="s">
        <v>49</v>
      </c>
      <c r="M1189" s="1" t="s">
        <v>62</v>
      </c>
      <c r="N1189" s="1" t="n">
        <v>4999</v>
      </c>
      <c r="O1189" s="1" t="n">
        <v>5</v>
      </c>
      <c r="P1189" s="1" t="n">
        <v>249.95</v>
      </c>
      <c r="Q1189" s="1" t="n">
        <v>4749.05</v>
      </c>
      <c r="R1189" s="1" t="n">
        <v>854.83</v>
      </c>
      <c r="S1189" s="1" t="n">
        <v>3894.22</v>
      </c>
      <c r="T1189" s="1" t="n">
        <v>1862.35</v>
      </c>
      <c r="U1189" s="1" t="n">
        <v>2031.87</v>
      </c>
      <c r="V1189" s="1" t="n">
        <v>52.18</v>
      </c>
      <c r="W1189" s="1" t="s">
        <v>39</v>
      </c>
      <c r="X1189" s="1" t="n">
        <v>3.7</v>
      </c>
      <c r="Y1189" s="1" t="s">
        <v>40</v>
      </c>
      <c r="Z1189" s="1" t="n">
        <v>0</v>
      </c>
      <c r="AA1189" s="1" t="str">
        <f aca="false">TRIM(PROPER(F1189))</f>
        <v>Mangaluru</v>
      </c>
      <c r="AB1189" s="1" t="str">
        <f aca="false">TRIM(PROPER(C1189))</f>
        <v>Upgrad</v>
      </c>
      <c r="AC1189" s="1" t="str">
        <f aca="false">IF(O1189=0,"No Discount",IF(O1189&lt;=15,"Low (1-15%)",IF(O1189&lt;=30,"Medium (16-30%)","High (&gt;30%)")))</f>
        <v>Low (1-15%)</v>
      </c>
      <c r="AD1189" s="1" t="str">
        <f aca="false">IF(V1189&lt;0,"Loss Making",IF(V1189&lt;20,"Low Margin","Healthy Margin"))</f>
        <v>Healthy Margin</v>
      </c>
      <c r="AE1189" s="1" t="str">
        <f aca="false">TEXT(DATE(VALUE(RIGHT(B1189,4)),VALUE(MID(B1189,4,2)),VALUE(LEFT(B1189,2))),"MMM-YYYY")</f>
        <v>Jan-2024</v>
      </c>
      <c r="AF1189" s="1" t="n">
        <f aca="false">VALUE(RIGHT(B1189,4))</f>
        <v>2024</v>
      </c>
      <c r="AG1189" s="1" t="str">
        <f aca="false">CHOOSE(ROUNDUP(VALUE(MID(B1189,4,2))/3,0),"Q1","Q2","Q3","Q4")</f>
        <v>Q1</v>
      </c>
    </row>
    <row r="1190" customFormat="false" ht="15" hidden="false" customHeight="true" outlineLevel="0" collapsed="false">
      <c r="A1190" s="1" t="s">
        <v>1950</v>
      </c>
      <c r="B1190" s="1" t="s">
        <v>1050</v>
      </c>
      <c r="C1190" s="1" t="s">
        <v>178</v>
      </c>
      <c r="D1190" s="1" t="s">
        <v>94</v>
      </c>
      <c r="E1190" s="1" t="s">
        <v>101</v>
      </c>
      <c r="F1190" s="1" t="s">
        <v>211</v>
      </c>
      <c r="G1190" s="1" t="s">
        <v>56</v>
      </c>
      <c r="H1190" s="1" t="s">
        <v>69</v>
      </c>
      <c r="I1190" s="1" t="s">
        <v>83</v>
      </c>
      <c r="J1190" s="1" t="s">
        <v>59</v>
      </c>
      <c r="K1190" s="1" t="s">
        <v>104</v>
      </c>
      <c r="L1190" s="1" t="s">
        <v>49</v>
      </c>
      <c r="M1190" s="1" t="s">
        <v>50</v>
      </c>
      <c r="N1190" s="1" t="n">
        <v>14999</v>
      </c>
      <c r="O1190" s="1" t="n">
        <v>5</v>
      </c>
      <c r="P1190" s="1" t="n">
        <v>749.95</v>
      </c>
      <c r="Q1190" s="1" t="n">
        <v>14249.05</v>
      </c>
      <c r="R1190" s="1" t="n">
        <v>2564.83</v>
      </c>
      <c r="S1190" s="1" t="n">
        <v>11684.22</v>
      </c>
      <c r="T1190" s="1" t="n">
        <v>3343.44</v>
      </c>
      <c r="U1190" s="1" t="n">
        <v>8340.78</v>
      </c>
      <c r="V1190" s="1" t="n">
        <v>71.38</v>
      </c>
      <c r="W1190" s="1" t="s">
        <v>40</v>
      </c>
      <c r="Y1190" s="1" t="s">
        <v>40</v>
      </c>
      <c r="Z1190" s="1" t="n">
        <v>0</v>
      </c>
      <c r="AA1190" s="1" t="str">
        <f aca="false">TRIM(PROPER(F1190))</f>
        <v>Noida</v>
      </c>
      <c r="AB1190" s="1" t="str">
        <f aca="false">TRIM(PROPER(C1190))</f>
        <v>Leverage Edu</v>
      </c>
      <c r="AC1190" s="1" t="str">
        <f aca="false">IF(O1190=0,"No Discount",IF(O1190&lt;=15,"Low (1-15%)",IF(O1190&lt;=30,"Medium (16-30%)","High (&gt;30%)")))</f>
        <v>Low (1-15%)</v>
      </c>
      <c r="AD1190" s="1" t="str">
        <f aca="false">IF(V1190&lt;0,"Loss Making",IF(V1190&lt;20,"Low Margin","Healthy Margin"))</f>
        <v>Healthy Margin</v>
      </c>
      <c r="AE1190" s="1" t="str">
        <f aca="false">TEXT(DATE(VALUE(RIGHT(B1190,4)),VALUE(MID(B1190,4,2)),VALUE(LEFT(B1190,2))),"MMM-YYYY")</f>
        <v>Nov-2023</v>
      </c>
      <c r="AF1190" s="1" t="n">
        <f aca="false">VALUE(RIGHT(B1190,4))</f>
        <v>2023</v>
      </c>
      <c r="AG1190" s="1" t="str">
        <f aca="false">CHOOSE(ROUNDUP(VALUE(MID(B1190,4,2))/3,0),"Q1","Q2","Q3","Q4")</f>
        <v>Q4</v>
      </c>
    </row>
    <row r="1191" customFormat="false" ht="15" hidden="false" customHeight="true" outlineLevel="0" collapsed="false">
      <c r="A1191" s="1" t="s">
        <v>1951</v>
      </c>
      <c r="B1191" s="1" t="s">
        <v>1556</v>
      </c>
      <c r="C1191" s="1" t="s">
        <v>74</v>
      </c>
      <c r="D1191" s="1" t="s">
        <v>44</v>
      </c>
      <c r="E1191" s="1" t="s">
        <v>45</v>
      </c>
      <c r="F1191" s="1" t="s">
        <v>156</v>
      </c>
      <c r="G1191" s="1" t="s">
        <v>68</v>
      </c>
      <c r="H1191" s="1" t="s">
        <v>57</v>
      </c>
      <c r="I1191" s="1" t="s">
        <v>58</v>
      </c>
      <c r="J1191" s="1" t="s">
        <v>131</v>
      </c>
      <c r="K1191" s="1" t="s">
        <v>60</v>
      </c>
      <c r="L1191" s="1" t="s">
        <v>85</v>
      </c>
      <c r="M1191" s="1" t="s">
        <v>38</v>
      </c>
      <c r="N1191" s="1" t="n">
        <v>11999</v>
      </c>
      <c r="O1191" s="1" t="n">
        <v>0</v>
      </c>
      <c r="P1191" s="1" t="n">
        <v>0</v>
      </c>
      <c r="Q1191" s="1" t="n">
        <v>11999</v>
      </c>
      <c r="R1191" s="1" t="n">
        <v>2159.82</v>
      </c>
      <c r="S1191" s="1" t="n">
        <v>9839.18</v>
      </c>
      <c r="T1191" s="1" t="n">
        <v>3763.52</v>
      </c>
      <c r="U1191" s="1" t="n">
        <v>6075.66</v>
      </c>
      <c r="V1191" s="1" t="n">
        <v>61.75</v>
      </c>
      <c r="W1191" s="1" t="s">
        <v>39</v>
      </c>
      <c r="X1191" s="1" t="n">
        <v>3</v>
      </c>
      <c r="Y1191" s="1" t="s">
        <v>40</v>
      </c>
      <c r="Z1191" s="1" t="n">
        <v>0</v>
      </c>
      <c r="AA1191" s="1" t="str">
        <f aca="false">TRIM(PROPER(F1191))</f>
        <v>Surat</v>
      </c>
      <c r="AB1191" s="1" t="str">
        <f aca="false">TRIM(PROPER(C1191))</f>
        <v>Vedantu</v>
      </c>
      <c r="AC1191" s="1" t="str">
        <f aca="false">IF(O1191=0,"No Discount",IF(O1191&lt;=15,"Low (1-15%)",IF(O1191&lt;=30,"Medium (16-30%)","High (&gt;30%)")))</f>
        <v>No Discount</v>
      </c>
      <c r="AD1191" s="1" t="str">
        <f aca="false">IF(V1191&lt;0,"Loss Making",IF(V1191&lt;20,"Low Margin","Healthy Margin"))</f>
        <v>Healthy Margin</v>
      </c>
      <c r="AE1191" s="1" t="str">
        <f aca="false">TEXT(DATE(VALUE(RIGHT(B1191,4)),VALUE(MID(B1191,4,2)),VALUE(LEFT(B1191,2))),"MMM-YYYY")</f>
        <v>Aug-2023</v>
      </c>
      <c r="AF1191" s="1" t="n">
        <f aca="false">VALUE(RIGHT(B1191,4))</f>
        <v>2023</v>
      </c>
      <c r="AG1191" s="1" t="str">
        <f aca="false">CHOOSE(ROUNDUP(VALUE(MID(B1191,4,2))/3,0),"Q1","Q2","Q3","Q4")</f>
        <v>Q3</v>
      </c>
    </row>
    <row r="1192" customFormat="false" ht="15" hidden="false" customHeight="true" outlineLevel="0" collapsed="false">
      <c r="A1192" s="1" t="s">
        <v>1952</v>
      </c>
      <c r="B1192" s="1" t="s">
        <v>452</v>
      </c>
      <c r="C1192" s="1" t="s">
        <v>74</v>
      </c>
      <c r="D1192" s="1" t="s">
        <v>143</v>
      </c>
      <c r="E1192" s="1" t="s">
        <v>210</v>
      </c>
      <c r="F1192" s="1" t="s">
        <v>31</v>
      </c>
      <c r="G1192" s="1" t="s">
        <v>32</v>
      </c>
      <c r="H1192" s="1" t="s">
        <v>33</v>
      </c>
      <c r="I1192" s="1" t="s">
        <v>34</v>
      </c>
      <c r="J1192" s="1" t="s">
        <v>70</v>
      </c>
      <c r="K1192" s="1" t="s">
        <v>84</v>
      </c>
      <c r="L1192" s="1" t="s">
        <v>113</v>
      </c>
      <c r="M1192" s="1" t="s">
        <v>50</v>
      </c>
      <c r="N1192" s="1" t="n">
        <v>18999</v>
      </c>
      <c r="O1192" s="1" t="n">
        <v>0</v>
      </c>
      <c r="P1192" s="1" t="n">
        <v>0</v>
      </c>
      <c r="Q1192" s="1" t="n">
        <v>18999</v>
      </c>
      <c r="R1192" s="1" t="n">
        <v>3419.82</v>
      </c>
      <c r="S1192" s="1" t="n">
        <v>15579.18</v>
      </c>
      <c r="T1192" s="1" t="n">
        <v>6040.8</v>
      </c>
      <c r="U1192" s="1" t="n">
        <v>9538.38</v>
      </c>
      <c r="V1192" s="1" t="n">
        <v>61.23</v>
      </c>
      <c r="W1192" s="1" t="s">
        <v>39</v>
      </c>
      <c r="X1192" s="1" t="n">
        <v>4.2</v>
      </c>
      <c r="Y1192" s="1" t="s">
        <v>40</v>
      </c>
      <c r="Z1192" s="1" t="n">
        <v>0</v>
      </c>
      <c r="AA1192" s="1" t="str">
        <f aca="false">TRIM(PROPER(F1192))</f>
        <v>Jodhpur</v>
      </c>
      <c r="AB1192" s="1" t="str">
        <f aca="false">TRIM(PROPER(C1192))</f>
        <v>Vedantu</v>
      </c>
      <c r="AC1192" s="1" t="str">
        <f aca="false">IF(O1192=0,"No Discount",IF(O1192&lt;=15,"Low (1-15%)",IF(O1192&lt;=30,"Medium (16-30%)","High (&gt;30%)")))</f>
        <v>No Discount</v>
      </c>
      <c r="AD1192" s="1" t="str">
        <f aca="false">IF(V1192&lt;0,"Loss Making",IF(V1192&lt;20,"Low Margin","Healthy Margin"))</f>
        <v>Healthy Margin</v>
      </c>
      <c r="AE1192" s="1" t="str">
        <f aca="false">TEXT(DATE(VALUE(RIGHT(B1192,4)),VALUE(MID(B1192,4,2)),VALUE(LEFT(B1192,2))),"MMM-YYYY")</f>
        <v>Jul-2023</v>
      </c>
      <c r="AF1192" s="1" t="n">
        <f aca="false">VALUE(RIGHT(B1192,4))</f>
        <v>2023</v>
      </c>
      <c r="AG1192" s="1" t="str">
        <f aca="false">CHOOSE(ROUNDUP(VALUE(MID(B1192,4,2))/3,0),"Q1","Q2","Q3","Q4")</f>
        <v>Q3</v>
      </c>
    </row>
    <row r="1193" customFormat="false" ht="15" hidden="false" customHeight="true" outlineLevel="0" collapsed="false">
      <c r="A1193" s="1" t="s">
        <v>1953</v>
      </c>
      <c r="B1193" s="1" t="s">
        <v>1954</v>
      </c>
      <c r="C1193" s="1" t="s">
        <v>167</v>
      </c>
      <c r="D1193" s="1" t="s">
        <v>94</v>
      </c>
      <c r="E1193" s="1" t="s">
        <v>135</v>
      </c>
      <c r="F1193" s="1" t="s">
        <v>335</v>
      </c>
      <c r="G1193" s="1" t="s">
        <v>103</v>
      </c>
      <c r="H1193" s="1" t="s">
        <v>69</v>
      </c>
      <c r="I1193" s="1" t="s">
        <v>83</v>
      </c>
      <c r="J1193" s="1" t="s">
        <v>131</v>
      </c>
      <c r="K1193" s="1" t="s">
        <v>48</v>
      </c>
      <c r="L1193" s="1" t="s">
        <v>85</v>
      </c>
      <c r="M1193" s="1" t="s">
        <v>38</v>
      </c>
      <c r="N1193" s="1" t="n">
        <v>9999</v>
      </c>
      <c r="O1193" s="1" t="n">
        <v>40</v>
      </c>
      <c r="P1193" s="1" t="n">
        <v>3999.6</v>
      </c>
      <c r="Q1193" s="1" t="n">
        <v>5999.4</v>
      </c>
      <c r="R1193" s="1" t="n">
        <v>1079.89</v>
      </c>
      <c r="S1193" s="1" t="n">
        <v>4919.51</v>
      </c>
      <c r="T1193" s="1" t="n">
        <v>2571.69</v>
      </c>
      <c r="U1193" s="1" t="n">
        <v>2347.82</v>
      </c>
      <c r="V1193" s="1" t="n">
        <v>47.72</v>
      </c>
      <c r="W1193" s="1" t="s">
        <v>39</v>
      </c>
      <c r="X1193" s="1" t="n">
        <v>3.2</v>
      </c>
      <c r="Y1193" s="1" t="s">
        <v>40</v>
      </c>
      <c r="Z1193" s="1" t="n">
        <v>0</v>
      </c>
      <c r="AA1193" s="1" t="str">
        <f aca="false">TRIM(PROPER(F1193))</f>
        <v>Hyderabad</v>
      </c>
      <c r="AB1193" s="1" t="str">
        <f aca="false">TRIM(PROPER(C1193))</f>
        <v>Scaler</v>
      </c>
      <c r="AC1193" s="1" t="str">
        <f aca="false">IF(O1193=0,"No Discount",IF(O1193&lt;=15,"Low (1-15%)",IF(O1193&lt;=30,"Medium (16-30%)","High (&gt;30%)")))</f>
        <v>High (&gt;30%)</v>
      </c>
      <c r="AD1193" s="1" t="str">
        <f aca="false">IF(V1193&lt;0,"Loss Making",IF(V1193&lt;20,"Low Margin","Healthy Margin"))</f>
        <v>Healthy Margin</v>
      </c>
      <c r="AE1193" s="1" t="str">
        <f aca="false">TEXT(DATE(VALUE(RIGHT(B1193,4)),VALUE(MID(B1193,4,2)),VALUE(LEFT(B1193,2))),"MMM-YYYY")</f>
        <v>Mar-2024</v>
      </c>
      <c r="AF1193" s="1" t="n">
        <f aca="false">VALUE(RIGHT(B1193,4))</f>
        <v>2024</v>
      </c>
      <c r="AG1193" s="1" t="str">
        <f aca="false">CHOOSE(ROUNDUP(VALUE(MID(B1193,4,2))/3,0),"Q1","Q2","Q3","Q4")</f>
        <v>Q1</v>
      </c>
    </row>
    <row r="1194" customFormat="false" ht="15" hidden="false" customHeight="true" outlineLevel="0" collapsed="false">
      <c r="A1194" s="1" t="s">
        <v>1955</v>
      </c>
      <c r="B1194" s="1" t="s">
        <v>1956</v>
      </c>
      <c r="C1194" s="1" t="s">
        <v>74</v>
      </c>
      <c r="D1194" s="1" t="s">
        <v>44</v>
      </c>
      <c r="E1194" s="1" t="s">
        <v>45</v>
      </c>
      <c r="F1194" s="1" t="s">
        <v>67</v>
      </c>
      <c r="G1194" s="1" t="s">
        <v>68</v>
      </c>
      <c r="H1194" s="1" t="s">
        <v>69</v>
      </c>
      <c r="I1194" s="1" t="s">
        <v>58</v>
      </c>
      <c r="J1194" s="1" t="s">
        <v>35</v>
      </c>
      <c r="K1194" s="1" t="s">
        <v>71</v>
      </c>
      <c r="L1194" s="1" t="s">
        <v>85</v>
      </c>
      <c r="M1194" s="1" t="s">
        <v>50</v>
      </c>
      <c r="N1194" s="1" t="n">
        <v>11999</v>
      </c>
      <c r="O1194" s="1" t="n">
        <v>0</v>
      </c>
      <c r="P1194" s="1" t="n">
        <v>0</v>
      </c>
      <c r="Q1194" s="1" t="n">
        <v>11999</v>
      </c>
      <c r="R1194" s="1" t="n">
        <v>2159.82</v>
      </c>
      <c r="S1194" s="1" t="n">
        <v>9839.18</v>
      </c>
      <c r="T1194" s="1" t="n">
        <v>4753.58</v>
      </c>
      <c r="U1194" s="1" t="n">
        <v>5085.6</v>
      </c>
      <c r="V1194" s="1" t="n">
        <v>51.69</v>
      </c>
      <c r="W1194" s="1" t="s">
        <v>39</v>
      </c>
      <c r="X1194" s="1" t="n">
        <v>4.3</v>
      </c>
      <c r="Y1194" s="1" t="s">
        <v>40</v>
      </c>
      <c r="Z1194" s="1" t="n">
        <v>0</v>
      </c>
      <c r="AA1194" s="1" t="str">
        <f aca="false">TRIM(PROPER(F1194))</f>
        <v>Ahmedabad</v>
      </c>
      <c r="AB1194" s="1" t="str">
        <f aca="false">TRIM(PROPER(C1194))</f>
        <v>Vedantu</v>
      </c>
      <c r="AC1194" s="1" t="str">
        <f aca="false">IF(O1194=0,"No Discount",IF(O1194&lt;=15,"Low (1-15%)",IF(O1194&lt;=30,"Medium (16-30%)","High (&gt;30%)")))</f>
        <v>No Discount</v>
      </c>
      <c r="AD1194" s="1" t="str">
        <f aca="false">IF(V1194&lt;0,"Loss Making",IF(V1194&lt;20,"Low Margin","Healthy Margin"))</f>
        <v>Healthy Margin</v>
      </c>
      <c r="AE1194" s="1" t="str">
        <f aca="false">TEXT(DATE(VALUE(RIGHT(B1194,4)),VALUE(MID(B1194,4,2)),VALUE(LEFT(B1194,2))),"MMM-YYYY")</f>
        <v>Mar-2024</v>
      </c>
      <c r="AF1194" s="1" t="n">
        <f aca="false">VALUE(RIGHT(B1194,4))</f>
        <v>2024</v>
      </c>
      <c r="AG1194" s="1" t="str">
        <f aca="false">CHOOSE(ROUNDUP(VALUE(MID(B1194,4,2))/3,0),"Q1","Q2","Q3","Q4")</f>
        <v>Q1</v>
      </c>
    </row>
    <row r="1195" customFormat="false" ht="15" hidden="false" customHeight="true" outlineLevel="0" collapsed="false">
      <c r="A1195" s="1" t="s">
        <v>1957</v>
      </c>
      <c r="B1195" s="1" t="s">
        <v>419</v>
      </c>
      <c r="C1195" s="1" t="s">
        <v>93</v>
      </c>
      <c r="D1195" s="1" t="s">
        <v>44</v>
      </c>
      <c r="E1195" s="1" t="s">
        <v>221</v>
      </c>
      <c r="F1195" s="1" t="s">
        <v>140</v>
      </c>
      <c r="G1195" s="1" t="s">
        <v>97</v>
      </c>
      <c r="H1195" s="1" t="s">
        <v>57</v>
      </c>
      <c r="I1195" s="1" t="s">
        <v>58</v>
      </c>
      <c r="J1195" s="1" t="s">
        <v>59</v>
      </c>
      <c r="K1195" s="1" t="s">
        <v>60</v>
      </c>
      <c r="L1195" s="1" t="s">
        <v>136</v>
      </c>
      <c r="M1195" s="1" t="s">
        <v>50</v>
      </c>
      <c r="N1195" s="1" t="n">
        <v>16999</v>
      </c>
      <c r="O1195" s="1" t="n">
        <v>10</v>
      </c>
      <c r="P1195" s="1" t="n">
        <v>1699.9</v>
      </c>
      <c r="Q1195" s="1" t="n">
        <v>15299.1</v>
      </c>
      <c r="R1195" s="1" t="n">
        <v>2753.84</v>
      </c>
      <c r="S1195" s="1" t="n">
        <v>12545.26</v>
      </c>
      <c r="T1195" s="1" t="n">
        <v>5002.94</v>
      </c>
      <c r="U1195" s="1" t="n">
        <v>7542.32</v>
      </c>
      <c r="V1195" s="1" t="n">
        <v>60.12</v>
      </c>
      <c r="W1195" s="1" t="s">
        <v>39</v>
      </c>
      <c r="X1195" s="1" t="n">
        <v>4.1</v>
      </c>
      <c r="Y1195" s="1" t="s">
        <v>40</v>
      </c>
      <c r="Z1195" s="1" t="n">
        <v>1</v>
      </c>
      <c r="AA1195" s="1" t="str">
        <f aca="false">TRIM(PROPER(F1195))</f>
        <v>Nashik</v>
      </c>
      <c r="AB1195" s="1" t="str">
        <f aca="false">TRIM(PROPER(C1195))</f>
        <v>Upgrad</v>
      </c>
      <c r="AC1195" s="1" t="str">
        <f aca="false">IF(O1195=0,"No Discount",IF(O1195&lt;=15,"Low (1-15%)",IF(O1195&lt;=30,"Medium (16-30%)","High (&gt;30%)")))</f>
        <v>Low (1-15%)</v>
      </c>
      <c r="AD1195" s="1" t="str">
        <f aca="false">IF(V1195&lt;0,"Loss Making",IF(V1195&lt;20,"Low Margin","Healthy Margin"))</f>
        <v>Healthy Margin</v>
      </c>
      <c r="AE1195" s="1" t="str">
        <f aca="false">TEXT(DATE(VALUE(RIGHT(B1195,4)),VALUE(MID(B1195,4,2)),VALUE(LEFT(B1195,2))),"MMM-YYYY")</f>
        <v>Jul-2023</v>
      </c>
      <c r="AF1195" s="1" t="n">
        <f aca="false">VALUE(RIGHT(B1195,4))</f>
        <v>2023</v>
      </c>
      <c r="AG1195" s="1" t="str">
        <f aca="false">CHOOSE(ROUNDUP(VALUE(MID(B1195,4,2))/3,0),"Q1","Q2","Q3","Q4")</f>
        <v>Q3</v>
      </c>
    </row>
    <row r="1196" customFormat="false" ht="15" hidden="false" customHeight="true" outlineLevel="0" collapsed="false">
      <c r="A1196" s="1" t="s">
        <v>1958</v>
      </c>
      <c r="B1196" s="1" t="s">
        <v>1959</v>
      </c>
      <c r="C1196" s="1" t="s">
        <v>167</v>
      </c>
      <c r="D1196" s="1" t="s">
        <v>123</v>
      </c>
      <c r="E1196" s="1" t="s">
        <v>233</v>
      </c>
      <c r="F1196" s="1" t="s">
        <v>153</v>
      </c>
      <c r="G1196" s="1" t="s">
        <v>76</v>
      </c>
      <c r="H1196" s="1" t="s">
        <v>33</v>
      </c>
      <c r="I1196" s="1" t="s">
        <v>83</v>
      </c>
      <c r="J1196" s="1" t="s">
        <v>35</v>
      </c>
      <c r="K1196" s="1" t="s">
        <v>48</v>
      </c>
      <c r="L1196" s="1" t="s">
        <v>113</v>
      </c>
      <c r="M1196" s="1" t="s">
        <v>38</v>
      </c>
      <c r="N1196" s="1" t="n">
        <v>8999</v>
      </c>
      <c r="O1196" s="1" t="n">
        <v>0</v>
      </c>
      <c r="P1196" s="1" t="n">
        <v>0</v>
      </c>
      <c r="Q1196" s="1" t="n">
        <v>8999</v>
      </c>
      <c r="R1196" s="1" t="n">
        <v>1619.82</v>
      </c>
      <c r="S1196" s="1" t="n">
        <v>7379.18</v>
      </c>
      <c r="T1196" s="1" t="n">
        <v>2814.1</v>
      </c>
      <c r="U1196" s="1" t="n">
        <v>4565.08</v>
      </c>
      <c r="V1196" s="1" t="n">
        <v>61.86</v>
      </c>
      <c r="W1196" s="1" t="s">
        <v>39</v>
      </c>
      <c r="X1196" s="1" t="n">
        <v>2.7</v>
      </c>
      <c r="Y1196" s="1" t="s">
        <v>40</v>
      </c>
      <c r="Z1196" s="1" t="n">
        <v>0</v>
      </c>
      <c r="AA1196" s="1" t="str">
        <f aca="false">TRIM(PROPER(F1196))</f>
        <v>Howrah</v>
      </c>
      <c r="AB1196" s="1" t="str">
        <f aca="false">TRIM(PROPER(C1196))</f>
        <v>Scaler</v>
      </c>
      <c r="AC1196" s="1" t="str">
        <f aca="false">IF(O1196=0,"No Discount",IF(O1196&lt;=15,"Low (1-15%)",IF(O1196&lt;=30,"Medium (16-30%)","High (&gt;30%)")))</f>
        <v>No Discount</v>
      </c>
      <c r="AD1196" s="1" t="str">
        <f aca="false">IF(V1196&lt;0,"Loss Making",IF(V1196&lt;20,"Low Margin","Healthy Margin"))</f>
        <v>Healthy Margin</v>
      </c>
      <c r="AE1196" s="1" t="str">
        <f aca="false">TEXT(DATE(VALUE(RIGHT(B1196,4)),VALUE(MID(B1196,4,2)),VALUE(LEFT(B1196,2))),"MMM-YYYY")</f>
        <v>Feb-2023</v>
      </c>
      <c r="AF1196" s="1" t="n">
        <f aca="false">VALUE(RIGHT(B1196,4))</f>
        <v>2023</v>
      </c>
      <c r="AG1196" s="1" t="str">
        <f aca="false">CHOOSE(ROUNDUP(VALUE(MID(B1196,4,2))/3,0),"Q1","Q2","Q3","Q4")</f>
        <v>Q1</v>
      </c>
    </row>
    <row r="1197" customFormat="false" ht="15" hidden="false" customHeight="true" outlineLevel="0" collapsed="false">
      <c r="A1197" s="1" t="s">
        <v>1960</v>
      </c>
      <c r="B1197" s="1" t="s">
        <v>1961</v>
      </c>
      <c r="C1197" s="1" t="s">
        <v>134</v>
      </c>
      <c r="D1197" s="1" t="s">
        <v>143</v>
      </c>
      <c r="E1197" s="1" t="s">
        <v>144</v>
      </c>
      <c r="F1197" s="1" t="s">
        <v>187</v>
      </c>
      <c r="G1197" s="1" t="s">
        <v>97</v>
      </c>
      <c r="H1197" s="1" t="s">
        <v>69</v>
      </c>
      <c r="I1197" s="1" t="s">
        <v>83</v>
      </c>
      <c r="J1197" s="1" t="s">
        <v>131</v>
      </c>
      <c r="K1197" s="1" t="s">
        <v>48</v>
      </c>
      <c r="L1197" s="1" t="s">
        <v>136</v>
      </c>
      <c r="M1197" s="1" t="s">
        <v>62</v>
      </c>
      <c r="N1197" s="1" t="n">
        <v>12999</v>
      </c>
      <c r="O1197" s="1" t="n">
        <v>20</v>
      </c>
      <c r="P1197" s="1" t="n">
        <v>2599.8</v>
      </c>
      <c r="Q1197" s="1" t="n">
        <v>10399.2</v>
      </c>
      <c r="R1197" s="1" t="n">
        <v>1871.86</v>
      </c>
      <c r="S1197" s="1" t="n">
        <v>8527.34</v>
      </c>
      <c r="T1197" s="1" t="n">
        <v>3519.12</v>
      </c>
      <c r="U1197" s="1" t="n">
        <v>5008.22</v>
      </c>
      <c r="V1197" s="1" t="n">
        <v>58.73</v>
      </c>
      <c r="W1197" s="1" t="s">
        <v>39</v>
      </c>
      <c r="X1197" s="1" t="n">
        <v>4.2</v>
      </c>
      <c r="Y1197" s="1" t="s">
        <v>40</v>
      </c>
      <c r="Z1197" s="1" t="n">
        <v>0</v>
      </c>
      <c r="AA1197" s="1" t="str">
        <f aca="false">TRIM(PROPER(F1197))</f>
        <v>Mumbai</v>
      </c>
      <c r="AB1197" s="1" t="str">
        <f aca="false">TRIM(PROPER(C1197))</f>
        <v>Doubtnut</v>
      </c>
      <c r="AC1197" s="1" t="str">
        <f aca="false">IF(O1197=0,"No Discount",IF(O1197&lt;=15,"Low (1-15%)",IF(O1197&lt;=30,"Medium (16-30%)","High (&gt;30%)")))</f>
        <v>Medium (16-30%)</v>
      </c>
      <c r="AD1197" s="1" t="str">
        <f aca="false">IF(V1197&lt;0,"Loss Making",IF(V1197&lt;20,"Low Margin","Healthy Margin"))</f>
        <v>Healthy Margin</v>
      </c>
      <c r="AE1197" s="1" t="str">
        <f aca="false">TEXT(DATE(VALUE(RIGHT(B1197,4)),VALUE(MID(B1197,4,2)),VALUE(LEFT(B1197,2))),"MMM-YYYY")</f>
        <v>Aug-2023</v>
      </c>
      <c r="AF1197" s="1" t="n">
        <f aca="false">VALUE(RIGHT(B1197,4))</f>
        <v>2023</v>
      </c>
      <c r="AG1197" s="1" t="str">
        <f aca="false">CHOOSE(ROUNDUP(VALUE(MID(B1197,4,2))/3,0),"Q1","Q2","Q3","Q4")</f>
        <v>Q3</v>
      </c>
    </row>
    <row r="1198" customFormat="false" ht="15" hidden="false" customHeight="true" outlineLevel="0" collapsed="false">
      <c r="A1198" s="1" t="s">
        <v>1962</v>
      </c>
      <c r="B1198" s="1" t="s">
        <v>1963</v>
      </c>
      <c r="C1198" s="1" t="s">
        <v>43</v>
      </c>
      <c r="D1198" s="1" t="s">
        <v>123</v>
      </c>
      <c r="E1198" s="1" t="s">
        <v>147</v>
      </c>
      <c r="F1198" s="1" t="s">
        <v>102</v>
      </c>
      <c r="G1198" s="1" t="s">
        <v>103</v>
      </c>
      <c r="H1198" s="1" t="s">
        <v>33</v>
      </c>
      <c r="I1198" s="1" t="s">
        <v>58</v>
      </c>
      <c r="J1198" s="1" t="s">
        <v>131</v>
      </c>
      <c r="K1198" s="1" t="s">
        <v>71</v>
      </c>
      <c r="L1198" s="1" t="s">
        <v>61</v>
      </c>
      <c r="M1198" s="1" t="s">
        <v>62</v>
      </c>
      <c r="N1198" s="1" t="n">
        <v>6999</v>
      </c>
      <c r="O1198" s="1" t="n">
        <v>30</v>
      </c>
      <c r="P1198" s="1" t="n">
        <v>2099.7</v>
      </c>
      <c r="Q1198" s="1" t="n">
        <v>4899.3</v>
      </c>
      <c r="R1198" s="1" t="n">
        <v>881.87</v>
      </c>
      <c r="S1198" s="1" t="n">
        <v>4017.43</v>
      </c>
      <c r="T1198" s="1" t="n">
        <v>1817.13</v>
      </c>
      <c r="U1198" s="1" t="n">
        <v>2200.3</v>
      </c>
      <c r="V1198" s="1" t="n">
        <v>54.77</v>
      </c>
      <c r="W1198" s="1" t="s">
        <v>39</v>
      </c>
      <c r="X1198" s="1" t="n">
        <v>3.7</v>
      </c>
      <c r="Y1198" s="1" t="s">
        <v>40</v>
      </c>
      <c r="Z1198" s="1" t="n">
        <v>1</v>
      </c>
      <c r="AA1198" s="1" t="str">
        <f aca="false">TRIM(PROPER(F1198))</f>
        <v>Warangal</v>
      </c>
      <c r="AB1198" s="1" t="str">
        <f aca="false">TRIM(PROPER(C1198))</f>
        <v>Meritnation</v>
      </c>
      <c r="AC1198" s="1" t="str">
        <f aca="false">IF(O1198=0,"No Discount",IF(O1198&lt;=15,"Low (1-15%)",IF(O1198&lt;=30,"Medium (16-30%)","High (&gt;30%)")))</f>
        <v>Medium (16-30%)</v>
      </c>
      <c r="AD1198" s="1" t="str">
        <f aca="false">IF(V1198&lt;0,"Loss Making",IF(V1198&lt;20,"Low Margin","Healthy Margin"))</f>
        <v>Healthy Margin</v>
      </c>
      <c r="AE1198" s="1" t="str">
        <f aca="false">TEXT(DATE(VALUE(RIGHT(B1198,4)),VALUE(MID(B1198,4,2)),VALUE(LEFT(B1198,2))),"MMM-YYYY")</f>
        <v>Mar-2023</v>
      </c>
      <c r="AF1198" s="1" t="n">
        <f aca="false">VALUE(RIGHT(B1198,4))</f>
        <v>2023</v>
      </c>
      <c r="AG1198" s="1" t="str">
        <f aca="false">CHOOSE(ROUNDUP(VALUE(MID(B1198,4,2))/3,0),"Q1","Q2","Q3","Q4")</f>
        <v>Q1</v>
      </c>
    </row>
    <row r="1199" customFormat="false" ht="15" hidden="false" customHeight="true" outlineLevel="0" collapsed="false">
      <c r="A1199" s="1" t="s">
        <v>1964</v>
      </c>
      <c r="B1199" s="1" t="s">
        <v>1965</v>
      </c>
      <c r="C1199" s="1" t="s">
        <v>28</v>
      </c>
      <c r="D1199" s="1" t="s">
        <v>123</v>
      </c>
      <c r="E1199" s="1" t="s">
        <v>147</v>
      </c>
      <c r="F1199" s="1" t="s">
        <v>130</v>
      </c>
      <c r="G1199" s="1" t="s">
        <v>47</v>
      </c>
      <c r="H1199" s="1" t="s">
        <v>69</v>
      </c>
      <c r="I1199" s="1" t="s">
        <v>58</v>
      </c>
      <c r="J1199" s="1" t="s">
        <v>77</v>
      </c>
      <c r="K1199" s="1" t="s">
        <v>60</v>
      </c>
      <c r="L1199" s="1" t="s">
        <v>49</v>
      </c>
      <c r="M1199" s="1" t="s">
        <v>38</v>
      </c>
      <c r="N1199" s="1" t="n">
        <v>6999</v>
      </c>
      <c r="O1199" s="1" t="n">
        <v>5</v>
      </c>
      <c r="P1199" s="1" t="n">
        <v>349.95</v>
      </c>
      <c r="Q1199" s="1" t="n">
        <v>6649.05</v>
      </c>
      <c r="R1199" s="1" t="n">
        <v>1196.83</v>
      </c>
      <c r="S1199" s="1" t="n">
        <v>5452.22</v>
      </c>
      <c r="T1199" s="1" t="n">
        <v>2009.51</v>
      </c>
      <c r="U1199" s="1" t="n">
        <v>3442.71</v>
      </c>
      <c r="V1199" s="1" t="n">
        <v>63.14</v>
      </c>
      <c r="W1199" s="1" t="s">
        <v>40</v>
      </c>
      <c r="Y1199" s="1" t="s">
        <v>39</v>
      </c>
      <c r="Z1199" s="1" t="n">
        <v>0</v>
      </c>
      <c r="AA1199" s="1" t="str">
        <f aca="false">TRIM(PROPER(F1199))</f>
        <v>Bengaluru</v>
      </c>
      <c r="AB1199" s="1" t="str">
        <f aca="false">TRIM(PROPER(C1199))</f>
        <v>Embibe</v>
      </c>
      <c r="AC1199" s="1" t="str">
        <f aca="false">IF(O1199=0,"No Discount",IF(O1199&lt;=15,"Low (1-15%)",IF(O1199&lt;=30,"Medium (16-30%)","High (&gt;30%)")))</f>
        <v>Low (1-15%)</v>
      </c>
      <c r="AD1199" s="1" t="str">
        <f aca="false">IF(V1199&lt;0,"Loss Making",IF(V1199&lt;20,"Low Margin","Healthy Margin"))</f>
        <v>Healthy Margin</v>
      </c>
      <c r="AE1199" s="1" t="str">
        <f aca="false">TEXT(DATE(VALUE(RIGHT(B1199,4)),VALUE(MID(B1199,4,2)),VALUE(LEFT(B1199,2))),"MMM-YYYY")</f>
        <v>Apr-2023</v>
      </c>
      <c r="AF1199" s="1" t="n">
        <f aca="false">VALUE(RIGHT(B1199,4))</f>
        <v>2023</v>
      </c>
      <c r="AG1199" s="1" t="str">
        <f aca="false">CHOOSE(ROUNDUP(VALUE(MID(B1199,4,2))/3,0),"Q1","Q2","Q3","Q4")</f>
        <v>Q2</v>
      </c>
    </row>
    <row r="1200" customFormat="false" ht="15" hidden="false" customHeight="true" outlineLevel="0" collapsed="false">
      <c r="A1200" s="1" t="s">
        <v>1966</v>
      </c>
      <c r="B1200" s="1" t="s">
        <v>1967</v>
      </c>
      <c r="C1200" s="1" t="s">
        <v>88</v>
      </c>
      <c r="D1200" s="1" t="s">
        <v>94</v>
      </c>
      <c r="E1200" s="1" t="s">
        <v>135</v>
      </c>
      <c r="F1200" s="1" t="s">
        <v>55</v>
      </c>
      <c r="G1200" s="1" t="s">
        <v>56</v>
      </c>
      <c r="H1200" s="1" t="s">
        <v>57</v>
      </c>
      <c r="I1200" s="1" t="s">
        <v>58</v>
      </c>
      <c r="J1200" s="1" t="s">
        <v>59</v>
      </c>
      <c r="K1200" s="1" t="s">
        <v>48</v>
      </c>
      <c r="L1200" s="1" t="s">
        <v>85</v>
      </c>
      <c r="M1200" s="1" t="s">
        <v>38</v>
      </c>
      <c r="N1200" s="1" t="n">
        <v>9999</v>
      </c>
      <c r="O1200" s="1" t="n">
        <v>0</v>
      </c>
      <c r="P1200" s="1" t="n">
        <v>0</v>
      </c>
      <c r="Q1200" s="1" t="n">
        <v>9999</v>
      </c>
      <c r="R1200" s="1" t="n">
        <v>1799.82</v>
      </c>
      <c r="S1200" s="1" t="n">
        <v>8199.18</v>
      </c>
      <c r="T1200" s="1" t="n">
        <v>4435.66</v>
      </c>
      <c r="U1200" s="1" t="n">
        <v>3763.52</v>
      </c>
      <c r="V1200" s="1" t="n">
        <v>45.9</v>
      </c>
      <c r="W1200" s="1" t="s">
        <v>39</v>
      </c>
      <c r="X1200" s="1" t="n">
        <v>4.9</v>
      </c>
      <c r="Y1200" s="1" t="s">
        <v>40</v>
      </c>
      <c r="Z1200" s="1" t="n">
        <v>1</v>
      </c>
      <c r="AA1200" s="1" t="str">
        <f aca="false">TRIM(PROPER(F1200))</f>
        <v>Ghaziabad</v>
      </c>
      <c r="AB1200" s="1" t="str">
        <f aca="false">TRIM(PROPER(C1200))</f>
        <v>Byju'S</v>
      </c>
      <c r="AC1200" s="1" t="str">
        <f aca="false">IF(O1200=0,"No Discount",IF(O1200&lt;=15,"Low (1-15%)",IF(O1200&lt;=30,"Medium (16-30%)","High (&gt;30%)")))</f>
        <v>No Discount</v>
      </c>
      <c r="AD1200" s="1" t="str">
        <f aca="false">IF(V1200&lt;0,"Loss Making",IF(V1200&lt;20,"Low Margin","Healthy Margin"))</f>
        <v>Healthy Margin</v>
      </c>
      <c r="AE1200" s="1" t="str">
        <f aca="false">TEXT(DATE(VALUE(RIGHT(B1200,4)),VALUE(MID(B1200,4,2)),VALUE(LEFT(B1200,2))),"MMM-YYYY")</f>
        <v>May-2024</v>
      </c>
      <c r="AF1200" s="1" t="n">
        <f aca="false">VALUE(RIGHT(B1200,4))</f>
        <v>2024</v>
      </c>
      <c r="AG1200" s="1" t="str">
        <f aca="false">CHOOSE(ROUNDUP(VALUE(MID(B1200,4,2))/3,0),"Q1","Q2","Q3","Q4")</f>
        <v>Q2</v>
      </c>
    </row>
    <row r="1201" customFormat="false" ht="15" hidden="false" customHeight="true" outlineLevel="0" collapsed="false">
      <c r="A1201" s="1" t="s">
        <v>1968</v>
      </c>
      <c r="B1201" s="1" t="s">
        <v>1655</v>
      </c>
      <c r="C1201" s="1" t="s">
        <v>128</v>
      </c>
      <c r="D1201" s="1" t="s">
        <v>94</v>
      </c>
      <c r="E1201" s="1" t="s">
        <v>95</v>
      </c>
      <c r="F1201" s="1" t="s">
        <v>31</v>
      </c>
      <c r="G1201" s="1" t="s">
        <v>32</v>
      </c>
      <c r="H1201" s="1" t="s">
        <v>33</v>
      </c>
      <c r="I1201" s="1" t="s">
        <v>83</v>
      </c>
      <c r="J1201" s="1" t="s">
        <v>70</v>
      </c>
      <c r="K1201" s="1" t="s">
        <v>48</v>
      </c>
      <c r="L1201" s="1" t="s">
        <v>37</v>
      </c>
      <c r="M1201" s="1" t="s">
        <v>50</v>
      </c>
      <c r="N1201" s="1" t="n">
        <v>6999</v>
      </c>
      <c r="O1201" s="1" t="n">
        <v>0</v>
      </c>
      <c r="P1201" s="1" t="n">
        <v>0</v>
      </c>
      <c r="Q1201" s="1" t="n">
        <v>6999</v>
      </c>
      <c r="R1201" s="1" t="n">
        <v>1259.82</v>
      </c>
      <c r="S1201" s="1" t="n">
        <v>5739.18</v>
      </c>
      <c r="T1201" s="1" t="n">
        <v>2506.41</v>
      </c>
      <c r="U1201" s="1" t="n">
        <v>3232.77</v>
      </c>
      <c r="V1201" s="1" t="n">
        <v>56.33</v>
      </c>
      <c r="W1201" s="1" t="s">
        <v>39</v>
      </c>
      <c r="X1201" s="1" t="n">
        <v>3.6</v>
      </c>
      <c r="Y1201" s="1" t="s">
        <v>40</v>
      </c>
      <c r="Z1201" s="1" t="n">
        <v>0</v>
      </c>
      <c r="AA1201" s="1" t="str">
        <f aca="false">TRIM(PROPER(F1201))</f>
        <v>Jodhpur</v>
      </c>
      <c r="AB1201" s="1" t="str">
        <f aca="false">TRIM(PROPER(C1201))</f>
        <v>Great Learning</v>
      </c>
      <c r="AC1201" s="1" t="str">
        <f aca="false">IF(O1201=0,"No Discount",IF(O1201&lt;=15,"Low (1-15%)",IF(O1201&lt;=30,"Medium (16-30%)","High (&gt;30%)")))</f>
        <v>No Discount</v>
      </c>
      <c r="AD1201" s="1" t="str">
        <f aca="false">IF(V1201&lt;0,"Loss Making",IF(V1201&lt;20,"Low Margin","Healthy Margin"))</f>
        <v>Healthy Margin</v>
      </c>
      <c r="AE1201" s="1" t="str">
        <f aca="false">TEXT(DATE(VALUE(RIGHT(B1201,4)),VALUE(MID(B1201,4,2)),VALUE(LEFT(B1201,2))),"MMM-YYYY")</f>
        <v>Sep-2024</v>
      </c>
      <c r="AF1201" s="1" t="n">
        <f aca="false">VALUE(RIGHT(B1201,4))</f>
        <v>2024</v>
      </c>
      <c r="AG1201" s="1" t="str">
        <f aca="false">CHOOSE(ROUNDUP(VALUE(MID(B1201,4,2))/3,0),"Q1","Q2","Q3","Q4")</f>
        <v>Q3</v>
      </c>
    </row>
    <row r="1202" customFormat="false" ht="15" hidden="false" customHeight="true" outlineLevel="0" collapsed="false">
      <c r="A1202" s="1" t="s">
        <v>1969</v>
      </c>
      <c r="B1202" s="1" t="s">
        <v>815</v>
      </c>
      <c r="C1202" s="1" t="s">
        <v>264</v>
      </c>
      <c r="D1202" s="1" t="s">
        <v>123</v>
      </c>
      <c r="E1202" s="1" t="s">
        <v>147</v>
      </c>
      <c r="F1202" s="1" t="s">
        <v>194</v>
      </c>
      <c r="G1202" s="1" t="s">
        <v>103</v>
      </c>
      <c r="H1202" s="1" t="s">
        <v>69</v>
      </c>
      <c r="I1202" s="1" t="s">
        <v>58</v>
      </c>
      <c r="J1202" s="1" t="s">
        <v>70</v>
      </c>
      <c r="K1202" s="1" t="s">
        <v>112</v>
      </c>
      <c r="L1202" s="1" t="s">
        <v>113</v>
      </c>
      <c r="M1202" s="1" t="s">
        <v>38</v>
      </c>
      <c r="N1202" s="1" t="n">
        <v>6999</v>
      </c>
      <c r="O1202" s="1" t="n">
        <v>10</v>
      </c>
      <c r="P1202" s="1" t="n">
        <v>699.9</v>
      </c>
      <c r="Q1202" s="1" t="n">
        <v>6299.1</v>
      </c>
      <c r="R1202" s="1" t="n">
        <v>1133.84</v>
      </c>
      <c r="S1202" s="1" t="n">
        <v>5165.26</v>
      </c>
      <c r="T1202" s="1" t="n">
        <v>1797.88</v>
      </c>
      <c r="U1202" s="1" t="n">
        <v>3367.38</v>
      </c>
      <c r="V1202" s="1" t="n">
        <v>65.19</v>
      </c>
      <c r="W1202" s="1" t="s">
        <v>39</v>
      </c>
      <c r="X1202" s="1" t="n">
        <v>4</v>
      </c>
      <c r="Y1202" s="1" t="s">
        <v>40</v>
      </c>
      <c r="Z1202" s="1" t="n">
        <v>1</v>
      </c>
      <c r="AA1202" s="1" t="str">
        <f aca="false">TRIM(PROPER(F1202))</f>
        <v>Hyderabad</v>
      </c>
      <c r="AB1202" s="1" t="str">
        <f aca="false">TRIM(PROPER(C1202))</f>
        <v>Unacademy</v>
      </c>
      <c r="AC1202" s="1" t="str">
        <f aca="false">IF(O1202=0,"No Discount",IF(O1202&lt;=15,"Low (1-15%)",IF(O1202&lt;=30,"Medium (16-30%)","High (&gt;30%)")))</f>
        <v>Low (1-15%)</v>
      </c>
      <c r="AD1202" s="1" t="str">
        <f aca="false">IF(V1202&lt;0,"Loss Making",IF(V1202&lt;20,"Low Margin","Healthy Margin"))</f>
        <v>Healthy Margin</v>
      </c>
      <c r="AE1202" s="1" t="str">
        <f aca="false">TEXT(DATE(VALUE(RIGHT(B1202,4)),VALUE(MID(B1202,4,2)),VALUE(LEFT(B1202,2))),"MMM-YYYY")</f>
        <v>Oct-2023</v>
      </c>
      <c r="AF1202" s="1" t="n">
        <f aca="false">VALUE(RIGHT(B1202,4))</f>
        <v>2023</v>
      </c>
      <c r="AG1202" s="1" t="str">
        <f aca="false">CHOOSE(ROUNDUP(VALUE(MID(B1202,4,2))/3,0),"Q1","Q2","Q3","Q4")</f>
        <v>Q4</v>
      </c>
    </row>
    <row r="1203" customFormat="false" ht="15" hidden="false" customHeight="true" outlineLevel="0" collapsed="false">
      <c r="A1203" s="1" t="s">
        <v>1970</v>
      </c>
      <c r="B1203" s="1" t="s">
        <v>1897</v>
      </c>
      <c r="C1203" s="1" t="s">
        <v>100</v>
      </c>
      <c r="D1203" s="1" t="s">
        <v>53</v>
      </c>
      <c r="E1203" s="1" t="s">
        <v>116</v>
      </c>
      <c r="F1203" s="1" t="s">
        <v>153</v>
      </c>
      <c r="G1203" s="1" t="s">
        <v>76</v>
      </c>
      <c r="H1203" s="1" t="s">
        <v>33</v>
      </c>
      <c r="I1203" s="1" t="s">
        <v>34</v>
      </c>
      <c r="J1203" s="1" t="s">
        <v>70</v>
      </c>
      <c r="K1203" s="1" t="s">
        <v>71</v>
      </c>
      <c r="L1203" s="1" t="s">
        <v>61</v>
      </c>
      <c r="M1203" s="1" t="s">
        <v>38</v>
      </c>
      <c r="N1203" s="1" t="n">
        <v>9999</v>
      </c>
      <c r="O1203" s="1" t="n">
        <v>10</v>
      </c>
      <c r="P1203" s="1" t="n">
        <v>999.9</v>
      </c>
      <c r="Q1203" s="1" t="n">
        <v>8999.1</v>
      </c>
      <c r="R1203" s="1" t="n">
        <v>1619.84</v>
      </c>
      <c r="S1203" s="1" t="n">
        <v>7379.26</v>
      </c>
      <c r="T1203" s="1" t="n">
        <v>3299.28</v>
      </c>
      <c r="U1203" s="1" t="n">
        <v>4079.98</v>
      </c>
      <c r="V1203" s="1" t="n">
        <v>55.29</v>
      </c>
      <c r="W1203" s="1" t="s">
        <v>40</v>
      </c>
      <c r="Y1203" s="1" t="s">
        <v>40</v>
      </c>
      <c r="Z1203" s="1" t="n">
        <v>2</v>
      </c>
      <c r="AA1203" s="1" t="str">
        <f aca="false">TRIM(PROPER(F1203))</f>
        <v>Howrah</v>
      </c>
      <c r="AB1203" s="1" t="str">
        <f aca="false">TRIM(PROPER(C1203))</f>
        <v>Physics Wallah</v>
      </c>
      <c r="AC1203" s="1" t="str">
        <f aca="false">IF(O1203=0,"No Discount",IF(O1203&lt;=15,"Low (1-15%)",IF(O1203&lt;=30,"Medium (16-30%)","High (&gt;30%)")))</f>
        <v>Low (1-15%)</v>
      </c>
      <c r="AD1203" s="1" t="str">
        <f aca="false">IF(V1203&lt;0,"Loss Making",IF(V1203&lt;20,"Low Margin","Healthy Margin"))</f>
        <v>Healthy Margin</v>
      </c>
      <c r="AE1203" s="1" t="str">
        <f aca="false">TEXT(DATE(VALUE(RIGHT(B1203,4)),VALUE(MID(B1203,4,2)),VALUE(LEFT(B1203,2))),"MMM-YYYY")</f>
        <v>Feb-2023</v>
      </c>
      <c r="AF1203" s="1" t="n">
        <f aca="false">VALUE(RIGHT(B1203,4))</f>
        <v>2023</v>
      </c>
      <c r="AG1203" s="1" t="str">
        <f aca="false">CHOOSE(ROUNDUP(VALUE(MID(B1203,4,2))/3,0),"Q1","Q2","Q3","Q4")</f>
        <v>Q1</v>
      </c>
    </row>
    <row r="1204" customFormat="false" ht="15" hidden="false" customHeight="true" outlineLevel="0" collapsed="false">
      <c r="A1204" s="1" t="s">
        <v>1971</v>
      </c>
      <c r="B1204" s="1" t="s">
        <v>1972</v>
      </c>
      <c r="C1204" s="1" t="s">
        <v>119</v>
      </c>
      <c r="D1204" s="1" t="s">
        <v>29</v>
      </c>
      <c r="E1204" s="1" t="s">
        <v>182</v>
      </c>
      <c r="F1204" s="1" t="s">
        <v>156</v>
      </c>
      <c r="G1204" s="1" t="s">
        <v>68</v>
      </c>
      <c r="H1204" s="1" t="s">
        <v>57</v>
      </c>
      <c r="I1204" s="1" t="s">
        <v>83</v>
      </c>
      <c r="J1204" s="1" t="s">
        <v>59</v>
      </c>
      <c r="K1204" s="1" t="s">
        <v>36</v>
      </c>
      <c r="L1204" s="1" t="s">
        <v>61</v>
      </c>
      <c r="M1204" s="1" t="s">
        <v>50</v>
      </c>
      <c r="N1204" s="1" t="n">
        <v>34999</v>
      </c>
      <c r="O1204" s="1" t="n">
        <v>25</v>
      </c>
      <c r="P1204" s="1" t="n">
        <v>8749.75</v>
      </c>
      <c r="Q1204" s="1" t="n">
        <v>26249.25</v>
      </c>
      <c r="R1204" s="1" t="n">
        <v>4724.86</v>
      </c>
      <c r="S1204" s="1" t="n">
        <v>21524.39</v>
      </c>
      <c r="T1204" s="1" t="n">
        <v>7854.81</v>
      </c>
      <c r="U1204" s="1" t="n">
        <v>13669.58</v>
      </c>
      <c r="V1204" s="1" t="n">
        <v>63.51</v>
      </c>
      <c r="W1204" s="1" t="s">
        <v>39</v>
      </c>
      <c r="Y1204" s="1" t="s">
        <v>40</v>
      </c>
      <c r="Z1204" s="1" t="n">
        <v>0</v>
      </c>
      <c r="AA1204" s="1" t="str">
        <f aca="false">TRIM(PROPER(F1204))</f>
        <v>Surat</v>
      </c>
      <c r="AB1204" s="1" t="str">
        <f aca="false">TRIM(PROPER(C1204))</f>
        <v>Simplilearn</v>
      </c>
      <c r="AC1204" s="1" t="str">
        <f aca="false">IF(O1204=0,"No Discount",IF(O1204&lt;=15,"Low (1-15%)",IF(O1204&lt;=30,"Medium (16-30%)","High (&gt;30%)")))</f>
        <v>Medium (16-30%)</v>
      </c>
      <c r="AD1204" s="1" t="str">
        <f aca="false">IF(V1204&lt;0,"Loss Making",IF(V1204&lt;20,"Low Margin","Healthy Margin"))</f>
        <v>Healthy Margin</v>
      </c>
      <c r="AE1204" s="1" t="str">
        <f aca="false">TEXT(DATE(VALUE(RIGHT(B1204,4)),VALUE(MID(B1204,4,2)),VALUE(LEFT(B1204,2))),"MMM-YYYY")</f>
        <v>Jul-2024</v>
      </c>
      <c r="AF1204" s="1" t="n">
        <f aca="false">VALUE(RIGHT(B1204,4))</f>
        <v>2024</v>
      </c>
      <c r="AG1204" s="1" t="str">
        <f aca="false">CHOOSE(ROUNDUP(VALUE(MID(B1204,4,2))/3,0),"Q1","Q2","Q3","Q4")</f>
        <v>Q3</v>
      </c>
    </row>
    <row r="1205" customFormat="false" ht="15" hidden="false" customHeight="true" outlineLevel="0" collapsed="false">
      <c r="A1205" s="1" t="s">
        <v>1973</v>
      </c>
      <c r="B1205" s="1" t="s">
        <v>1154</v>
      </c>
      <c r="C1205" s="1" t="s">
        <v>139</v>
      </c>
      <c r="D1205" s="1" t="s">
        <v>94</v>
      </c>
      <c r="E1205" s="1" t="s">
        <v>95</v>
      </c>
      <c r="F1205" s="1" t="s">
        <v>130</v>
      </c>
      <c r="G1205" s="1" t="s">
        <v>47</v>
      </c>
      <c r="H1205" s="1" t="s">
        <v>69</v>
      </c>
      <c r="I1205" s="1" t="s">
        <v>58</v>
      </c>
      <c r="J1205" s="1" t="s">
        <v>59</v>
      </c>
      <c r="K1205" s="1" t="s">
        <v>84</v>
      </c>
      <c r="L1205" s="1" t="s">
        <v>37</v>
      </c>
      <c r="M1205" s="1" t="s">
        <v>38</v>
      </c>
      <c r="N1205" s="1" t="n">
        <v>6999</v>
      </c>
      <c r="O1205" s="1" t="n">
        <v>10</v>
      </c>
      <c r="P1205" s="1" t="n">
        <v>699.9</v>
      </c>
      <c r="Q1205" s="1" t="n">
        <v>6299.1</v>
      </c>
      <c r="R1205" s="1" t="n">
        <v>1133.84</v>
      </c>
      <c r="S1205" s="1" t="n">
        <v>5165.26</v>
      </c>
      <c r="T1205" s="1" t="n">
        <v>2353.47</v>
      </c>
      <c r="U1205" s="1" t="n">
        <v>2811.79</v>
      </c>
      <c r="V1205" s="1" t="n">
        <v>54.44</v>
      </c>
      <c r="W1205" s="1" t="s">
        <v>40</v>
      </c>
      <c r="Y1205" s="1" t="s">
        <v>40</v>
      </c>
      <c r="Z1205" s="1" t="n">
        <v>1</v>
      </c>
      <c r="AA1205" s="1" t="str">
        <f aca="false">TRIM(PROPER(F1205))</f>
        <v>Bengaluru</v>
      </c>
      <c r="AB1205" s="1" t="str">
        <f aca="false">TRIM(PROPER(C1205))</f>
        <v>Extramarks</v>
      </c>
      <c r="AC1205" s="1" t="str">
        <f aca="false">IF(O1205=0,"No Discount",IF(O1205&lt;=15,"Low (1-15%)",IF(O1205&lt;=30,"Medium (16-30%)","High (&gt;30%)")))</f>
        <v>Low (1-15%)</v>
      </c>
      <c r="AD1205" s="1" t="str">
        <f aca="false">IF(V1205&lt;0,"Loss Making",IF(V1205&lt;20,"Low Margin","Healthy Margin"))</f>
        <v>Healthy Margin</v>
      </c>
      <c r="AE1205" s="1" t="str">
        <f aca="false">TEXT(DATE(VALUE(RIGHT(B1205,4)),VALUE(MID(B1205,4,2)),VALUE(LEFT(B1205,2))),"MMM-YYYY")</f>
        <v>Dec-2024</v>
      </c>
      <c r="AF1205" s="1" t="n">
        <f aca="false">VALUE(RIGHT(B1205,4))</f>
        <v>2024</v>
      </c>
      <c r="AG1205" s="1" t="str">
        <f aca="false">CHOOSE(ROUNDUP(VALUE(MID(B1205,4,2))/3,0),"Q1","Q2","Q3","Q4")</f>
        <v>Q4</v>
      </c>
    </row>
    <row r="1206" customFormat="false" ht="15" hidden="false" customHeight="true" outlineLevel="0" collapsed="false">
      <c r="A1206" s="1" t="s">
        <v>1974</v>
      </c>
      <c r="B1206" s="1" t="s">
        <v>275</v>
      </c>
      <c r="C1206" s="1" t="s">
        <v>93</v>
      </c>
      <c r="D1206" s="1" t="s">
        <v>80</v>
      </c>
      <c r="E1206" s="1" t="s">
        <v>81</v>
      </c>
      <c r="F1206" s="1" t="s">
        <v>187</v>
      </c>
      <c r="G1206" s="1" t="s">
        <v>97</v>
      </c>
      <c r="H1206" s="1" t="s">
        <v>69</v>
      </c>
      <c r="I1206" s="1" t="s">
        <v>83</v>
      </c>
      <c r="J1206" s="1" t="s">
        <v>70</v>
      </c>
      <c r="K1206" s="1" t="s">
        <v>60</v>
      </c>
      <c r="L1206" s="1" t="s">
        <v>85</v>
      </c>
      <c r="M1206" s="1" t="s">
        <v>62</v>
      </c>
      <c r="N1206" s="1" t="n">
        <v>12999</v>
      </c>
      <c r="O1206" s="1" t="n">
        <v>10</v>
      </c>
      <c r="P1206" s="1" t="n">
        <v>1299.9</v>
      </c>
      <c r="Q1206" s="1" t="n">
        <v>11699.1</v>
      </c>
      <c r="R1206" s="1" t="n">
        <v>2105.84</v>
      </c>
      <c r="S1206" s="1" t="n">
        <v>9593.26</v>
      </c>
      <c r="T1206" s="1" t="n">
        <v>3479.87</v>
      </c>
      <c r="U1206" s="1" t="n">
        <v>6113.39</v>
      </c>
      <c r="V1206" s="1" t="n">
        <v>63.73</v>
      </c>
      <c r="W1206" s="1" t="s">
        <v>39</v>
      </c>
      <c r="X1206" s="1" t="n">
        <v>4.3</v>
      </c>
      <c r="Y1206" s="1" t="s">
        <v>40</v>
      </c>
      <c r="Z1206" s="1" t="n">
        <v>0</v>
      </c>
      <c r="AA1206" s="1" t="str">
        <f aca="false">TRIM(PROPER(F1206))</f>
        <v>Mumbai</v>
      </c>
      <c r="AB1206" s="1" t="str">
        <f aca="false">TRIM(PROPER(C1206))</f>
        <v>Upgrad</v>
      </c>
      <c r="AC1206" s="1" t="str">
        <f aca="false">IF(O1206=0,"No Discount",IF(O1206&lt;=15,"Low (1-15%)",IF(O1206&lt;=30,"Medium (16-30%)","High (&gt;30%)")))</f>
        <v>Low (1-15%)</v>
      </c>
      <c r="AD1206" s="1" t="str">
        <f aca="false">IF(V1206&lt;0,"Loss Making",IF(V1206&lt;20,"Low Margin","Healthy Margin"))</f>
        <v>Healthy Margin</v>
      </c>
      <c r="AE1206" s="1" t="str">
        <f aca="false">TEXT(DATE(VALUE(RIGHT(B1206,4)),VALUE(MID(B1206,4,2)),VALUE(LEFT(B1206,2))),"MMM-YYYY")</f>
        <v>Aug-2024</v>
      </c>
      <c r="AF1206" s="1" t="n">
        <f aca="false">VALUE(RIGHT(B1206,4))</f>
        <v>2024</v>
      </c>
      <c r="AG1206" s="1" t="str">
        <f aca="false">CHOOSE(ROUNDUP(VALUE(MID(B1206,4,2))/3,0),"Q1","Q2","Q3","Q4")</f>
        <v>Q3</v>
      </c>
    </row>
    <row r="1207" customFormat="false" ht="15" hidden="false" customHeight="true" outlineLevel="0" collapsed="false">
      <c r="A1207" s="1" t="s">
        <v>1975</v>
      </c>
      <c r="B1207" s="1" t="s">
        <v>1705</v>
      </c>
      <c r="C1207" s="1" t="s">
        <v>178</v>
      </c>
      <c r="D1207" s="1" t="s">
        <v>80</v>
      </c>
      <c r="E1207" s="1" t="s">
        <v>81</v>
      </c>
      <c r="F1207" s="1" t="s">
        <v>31</v>
      </c>
      <c r="G1207" s="1" t="s">
        <v>32</v>
      </c>
      <c r="H1207" s="1" t="s">
        <v>33</v>
      </c>
      <c r="I1207" s="1" t="s">
        <v>83</v>
      </c>
      <c r="J1207" s="1" t="s">
        <v>59</v>
      </c>
      <c r="K1207" s="1" t="s">
        <v>48</v>
      </c>
      <c r="L1207" s="1" t="s">
        <v>61</v>
      </c>
      <c r="M1207" s="1" t="s">
        <v>50</v>
      </c>
      <c r="N1207" s="1" t="n">
        <v>12999</v>
      </c>
      <c r="O1207" s="1" t="n">
        <v>20</v>
      </c>
      <c r="P1207" s="1" t="n">
        <v>2599.8</v>
      </c>
      <c r="Q1207" s="1" t="n">
        <v>10399.2</v>
      </c>
      <c r="R1207" s="1" t="n">
        <v>1871.86</v>
      </c>
      <c r="S1207" s="1" t="n">
        <v>8527.34</v>
      </c>
      <c r="T1207" s="1" t="n">
        <v>4448.89</v>
      </c>
      <c r="U1207" s="1" t="n">
        <v>4078.45</v>
      </c>
      <c r="V1207" s="1" t="n">
        <v>47.83</v>
      </c>
      <c r="W1207" s="1" t="s">
        <v>40</v>
      </c>
      <c r="Y1207" s="1" t="s">
        <v>40</v>
      </c>
      <c r="Z1207" s="1" t="n">
        <v>1</v>
      </c>
      <c r="AA1207" s="1" t="str">
        <f aca="false">TRIM(PROPER(F1207))</f>
        <v>Jodhpur</v>
      </c>
      <c r="AB1207" s="1" t="str">
        <f aca="false">TRIM(PROPER(C1207))</f>
        <v>Leverage Edu</v>
      </c>
      <c r="AC1207" s="1" t="str">
        <f aca="false">IF(O1207=0,"No Discount",IF(O1207&lt;=15,"Low (1-15%)",IF(O1207&lt;=30,"Medium (16-30%)","High (&gt;30%)")))</f>
        <v>Medium (16-30%)</v>
      </c>
      <c r="AD1207" s="1" t="str">
        <f aca="false">IF(V1207&lt;0,"Loss Making",IF(V1207&lt;20,"Low Margin","Healthy Margin"))</f>
        <v>Healthy Margin</v>
      </c>
      <c r="AE1207" s="1" t="str">
        <f aca="false">TEXT(DATE(VALUE(RIGHT(B1207,4)),VALUE(MID(B1207,4,2)),VALUE(LEFT(B1207,2))),"MMM-YYYY")</f>
        <v>Aug-2023</v>
      </c>
      <c r="AF1207" s="1" t="n">
        <f aca="false">VALUE(RIGHT(B1207,4))</f>
        <v>2023</v>
      </c>
      <c r="AG1207" s="1" t="str">
        <f aca="false">CHOOSE(ROUNDUP(VALUE(MID(B1207,4,2))/3,0),"Q1","Q2","Q3","Q4")</f>
        <v>Q3</v>
      </c>
    </row>
    <row r="1208" customFormat="false" ht="15" hidden="false" customHeight="true" outlineLevel="0" collapsed="false">
      <c r="A1208" s="1" t="s">
        <v>1976</v>
      </c>
      <c r="B1208" s="1" t="s">
        <v>847</v>
      </c>
      <c r="C1208" s="1" t="s">
        <v>88</v>
      </c>
      <c r="D1208" s="1" t="s">
        <v>44</v>
      </c>
      <c r="E1208" s="1" t="s">
        <v>221</v>
      </c>
      <c r="F1208" s="1" t="s">
        <v>156</v>
      </c>
      <c r="G1208" s="1" t="s">
        <v>68</v>
      </c>
      <c r="H1208" s="1" t="s">
        <v>57</v>
      </c>
      <c r="I1208" s="1" t="s">
        <v>34</v>
      </c>
      <c r="J1208" s="1" t="s">
        <v>35</v>
      </c>
      <c r="K1208" s="1" t="s">
        <v>84</v>
      </c>
      <c r="L1208" s="1" t="s">
        <v>61</v>
      </c>
      <c r="M1208" s="1" t="s">
        <v>50</v>
      </c>
      <c r="N1208" s="1" t="n">
        <v>16999</v>
      </c>
      <c r="O1208" s="1" t="n">
        <v>25</v>
      </c>
      <c r="P1208" s="1" t="n">
        <v>4249.75</v>
      </c>
      <c r="Q1208" s="1" t="n">
        <v>12749.25</v>
      </c>
      <c r="R1208" s="1" t="n">
        <v>2294.86</v>
      </c>
      <c r="S1208" s="1" t="n">
        <v>10454.39</v>
      </c>
      <c r="T1208" s="1" t="n">
        <v>4458.76</v>
      </c>
      <c r="U1208" s="1" t="n">
        <v>5995.63</v>
      </c>
      <c r="V1208" s="1" t="n">
        <v>57.35</v>
      </c>
      <c r="W1208" s="1" t="s">
        <v>40</v>
      </c>
      <c r="Y1208" s="1" t="s">
        <v>39</v>
      </c>
      <c r="Z1208" s="1" t="n">
        <v>1</v>
      </c>
      <c r="AA1208" s="1" t="str">
        <f aca="false">TRIM(PROPER(F1208))</f>
        <v>Surat</v>
      </c>
      <c r="AB1208" s="1" t="str">
        <f aca="false">TRIM(PROPER(C1208))</f>
        <v>Byju'S</v>
      </c>
      <c r="AC1208" s="1" t="str">
        <f aca="false">IF(O1208=0,"No Discount",IF(O1208&lt;=15,"Low (1-15%)",IF(O1208&lt;=30,"Medium (16-30%)","High (&gt;30%)")))</f>
        <v>Medium (16-30%)</v>
      </c>
      <c r="AD1208" s="1" t="str">
        <f aca="false">IF(V1208&lt;0,"Loss Making",IF(V1208&lt;20,"Low Margin","Healthy Margin"))</f>
        <v>Healthy Margin</v>
      </c>
      <c r="AE1208" s="1" t="str">
        <f aca="false">TEXT(DATE(VALUE(RIGHT(B1208,4)),VALUE(MID(B1208,4,2)),VALUE(LEFT(B1208,2))),"MMM-YYYY")</f>
        <v>Jun-2023</v>
      </c>
      <c r="AF1208" s="1" t="n">
        <f aca="false">VALUE(RIGHT(B1208,4))</f>
        <v>2023</v>
      </c>
      <c r="AG1208" s="1" t="str">
        <f aca="false">CHOOSE(ROUNDUP(VALUE(MID(B1208,4,2))/3,0),"Q1","Q2","Q3","Q4")</f>
        <v>Q2</v>
      </c>
    </row>
    <row r="1209" customFormat="false" ht="15" hidden="false" customHeight="true" outlineLevel="0" collapsed="false">
      <c r="A1209" s="1" t="s">
        <v>1977</v>
      </c>
      <c r="B1209" s="1" t="s">
        <v>358</v>
      </c>
      <c r="C1209" s="1" t="s">
        <v>119</v>
      </c>
      <c r="D1209" s="1" t="s">
        <v>94</v>
      </c>
      <c r="E1209" s="1" t="s">
        <v>95</v>
      </c>
      <c r="F1209" s="1" t="s">
        <v>31</v>
      </c>
      <c r="G1209" s="1" t="s">
        <v>32</v>
      </c>
      <c r="H1209" s="1" t="s">
        <v>33</v>
      </c>
      <c r="I1209" s="1" t="s">
        <v>83</v>
      </c>
      <c r="J1209" s="1" t="s">
        <v>77</v>
      </c>
      <c r="K1209" s="1" t="s">
        <v>112</v>
      </c>
      <c r="L1209" s="1" t="s">
        <v>37</v>
      </c>
      <c r="M1209" s="1" t="s">
        <v>38</v>
      </c>
      <c r="N1209" s="1" t="n">
        <v>6999</v>
      </c>
      <c r="O1209" s="1" t="n">
        <v>0</v>
      </c>
      <c r="P1209" s="1" t="n">
        <v>0</v>
      </c>
      <c r="Q1209" s="1" t="n">
        <v>6999</v>
      </c>
      <c r="R1209" s="1" t="n">
        <v>1259.82</v>
      </c>
      <c r="S1209" s="1" t="n">
        <v>5739.18</v>
      </c>
      <c r="T1209" s="1" t="n">
        <v>2746.9</v>
      </c>
      <c r="U1209" s="1" t="n">
        <v>2992.28</v>
      </c>
      <c r="V1209" s="1" t="n">
        <v>52.14</v>
      </c>
      <c r="W1209" s="1" t="s">
        <v>40</v>
      </c>
      <c r="Y1209" s="1" t="s">
        <v>40</v>
      </c>
      <c r="Z1209" s="1" t="n">
        <v>2</v>
      </c>
      <c r="AA1209" s="1" t="str">
        <f aca="false">TRIM(PROPER(F1209))</f>
        <v>Jodhpur</v>
      </c>
      <c r="AB1209" s="1" t="str">
        <f aca="false">TRIM(PROPER(C1209))</f>
        <v>Simplilearn</v>
      </c>
      <c r="AC1209" s="1" t="str">
        <f aca="false">IF(O1209=0,"No Discount",IF(O1209&lt;=15,"Low (1-15%)",IF(O1209&lt;=30,"Medium (16-30%)","High (&gt;30%)")))</f>
        <v>No Discount</v>
      </c>
      <c r="AD1209" s="1" t="str">
        <f aca="false">IF(V1209&lt;0,"Loss Making",IF(V1209&lt;20,"Low Margin","Healthy Margin"))</f>
        <v>Healthy Margin</v>
      </c>
      <c r="AE1209" s="1" t="str">
        <f aca="false">TEXT(DATE(VALUE(RIGHT(B1209,4)),VALUE(MID(B1209,4,2)),VALUE(LEFT(B1209,2))),"MMM-YYYY")</f>
        <v>Nov-2024</v>
      </c>
      <c r="AF1209" s="1" t="n">
        <f aca="false">VALUE(RIGHT(B1209,4))</f>
        <v>2024</v>
      </c>
      <c r="AG1209" s="1" t="str">
        <f aca="false">CHOOSE(ROUNDUP(VALUE(MID(B1209,4,2))/3,0),"Q1","Q2","Q3","Q4")</f>
        <v>Q4</v>
      </c>
    </row>
    <row r="1210" customFormat="false" ht="15" hidden="false" customHeight="true" outlineLevel="0" collapsed="false">
      <c r="A1210" s="1" t="s">
        <v>1978</v>
      </c>
      <c r="B1210" s="1" t="s">
        <v>1979</v>
      </c>
      <c r="C1210" s="1" t="s">
        <v>74</v>
      </c>
      <c r="D1210" s="1" t="s">
        <v>80</v>
      </c>
      <c r="E1210" s="1" t="s">
        <v>193</v>
      </c>
      <c r="F1210" s="1" t="s">
        <v>156</v>
      </c>
      <c r="G1210" s="1" t="s">
        <v>68</v>
      </c>
      <c r="H1210" s="1" t="s">
        <v>57</v>
      </c>
      <c r="I1210" s="1" t="s">
        <v>34</v>
      </c>
      <c r="J1210" s="1" t="s">
        <v>35</v>
      </c>
      <c r="K1210" s="1" t="s">
        <v>104</v>
      </c>
      <c r="L1210" s="1" t="s">
        <v>61</v>
      </c>
      <c r="M1210" s="1" t="s">
        <v>38</v>
      </c>
      <c r="N1210" s="1" t="n">
        <v>8999</v>
      </c>
      <c r="O1210" s="1" t="n">
        <v>40</v>
      </c>
      <c r="P1210" s="1" t="n">
        <v>3599.6</v>
      </c>
      <c r="Q1210" s="1" t="n">
        <v>5399.4</v>
      </c>
      <c r="R1210" s="1" t="n">
        <v>971.89</v>
      </c>
      <c r="S1210" s="1" t="n">
        <v>4427.51</v>
      </c>
      <c r="T1210" s="1" t="n">
        <v>2372.92</v>
      </c>
      <c r="U1210" s="1" t="n">
        <v>2054.59</v>
      </c>
      <c r="V1210" s="1" t="n">
        <v>46.41</v>
      </c>
      <c r="W1210" s="1" t="s">
        <v>40</v>
      </c>
      <c r="Y1210" s="1" t="s">
        <v>40</v>
      </c>
      <c r="Z1210" s="1" t="n">
        <v>0</v>
      </c>
      <c r="AA1210" s="1" t="str">
        <f aca="false">TRIM(PROPER(F1210))</f>
        <v>Surat</v>
      </c>
      <c r="AB1210" s="1" t="str">
        <f aca="false">TRIM(PROPER(C1210))</f>
        <v>Vedantu</v>
      </c>
      <c r="AC1210" s="1" t="str">
        <f aca="false">IF(O1210=0,"No Discount",IF(O1210&lt;=15,"Low (1-15%)",IF(O1210&lt;=30,"Medium (16-30%)","High (&gt;30%)")))</f>
        <v>High (&gt;30%)</v>
      </c>
      <c r="AD1210" s="1" t="str">
        <f aca="false">IF(V1210&lt;0,"Loss Making",IF(V1210&lt;20,"Low Margin","Healthy Margin"))</f>
        <v>Healthy Margin</v>
      </c>
      <c r="AE1210" s="1" t="str">
        <f aca="false">TEXT(DATE(VALUE(RIGHT(B1210,4)),VALUE(MID(B1210,4,2)),VALUE(LEFT(B1210,2))),"MMM-YYYY")</f>
        <v>May-2024</v>
      </c>
      <c r="AF1210" s="1" t="n">
        <f aca="false">VALUE(RIGHT(B1210,4))</f>
        <v>2024</v>
      </c>
      <c r="AG1210" s="1" t="str">
        <f aca="false">CHOOSE(ROUNDUP(VALUE(MID(B1210,4,2))/3,0),"Q1","Q2","Q3","Q4")</f>
        <v>Q2</v>
      </c>
    </row>
    <row r="1211" customFormat="false" ht="15" hidden="false" customHeight="true" outlineLevel="0" collapsed="false">
      <c r="A1211" s="1" t="s">
        <v>1980</v>
      </c>
      <c r="B1211" s="1" t="s">
        <v>589</v>
      </c>
      <c r="C1211" s="1" t="s">
        <v>93</v>
      </c>
      <c r="D1211" s="1" t="s">
        <v>44</v>
      </c>
      <c r="E1211" s="1" t="s">
        <v>66</v>
      </c>
      <c r="F1211" s="1" t="s">
        <v>323</v>
      </c>
      <c r="G1211" s="1" t="s">
        <v>47</v>
      </c>
      <c r="H1211" s="1" t="s">
        <v>69</v>
      </c>
      <c r="I1211" s="1" t="s">
        <v>34</v>
      </c>
      <c r="J1211" s="1" t="s">
        <v>59</v>
      </c>
      <c r="K1211" s="1" t="s">
        <v>36</v>
      </c>
      <c r="L1211" s="1" t="s">
        <v>113</v>
      </c>
      <c r="M1211" s="1" t="s">
        <v>50</v>
      </c>
      <c r="N1211" s="1" t="n">
        <v>12999</v>
      </c>
      <c r="O1211" s="1" t="n">
        <v>10</v>
      </c>
      <c r="P1211" s="1" t="n">
        <v>1299.9</v>
      </c>
      <c r="Q1211" s="1" t="n">
        <v>11699.1</v>
      </c>
      <c r="R1211" s="1" t="n">
        <v>2105.84</v>
      </c>
      <c r="S1211" s="1" t="n">
        <v>9593.26</v>
      </c>
      <c r="T1211" s="1" t="n">
        <v>2949.62</v>
      </c>
      <c r="U1211" s="1" t="n">
        <v>6643.64</v>
      </c>
      <c r="V1211" s="1" t="n">
        <v>69.25</v>
      </c>
      <c r="W1211" s="1" t="s">
        <v>39</v>
      </c>
      <c r="X1211" s="1" t="n">
        <v>4.7</v>
      </c>
      <c r="Y1211" s="1" t="s">
        <v>40</v>
      </c>
      <c r="Z1211" s="1" t="n">
        <v>0</v>
      </c>
      <c r="AA1211" s="1" t="str">
        <f aca="false">TRIM(PROPER(F1211))</f>
        <v>Bengaluru</v>
      </c>
      <c r="AB1211" s="1" t="str">
        <f aca="false">TRIM(PROPER(C1211))</f>
        <v>Upgrad</v>
      </c>
      <c r="AC1211" s="1" t="str">
        <f aca="false">IF(O1211=0,"No Discount",IF(O1211&lt;=15,"Low (1-15%)",IF(O1211&lt;=30,"Medium (16-30%)","High (&gt;30%)")))</f>
        <v>Low (1-15%)</v>
      </c>
      <c r="AD1211" s="1" t="str">
        <f aca="false">IF(V1211&lt;0,"Loss Making",IF(V1211&lt;20,"Low Margin","Healthy Margin"))</f>
        <v>Healthy Margin</v>
      </c>
      <c r="AE1211" s="1" t="str">
        <f aca="false">TEXT(DATE(VALUE(RIGHT(B1211,4)),VALUE(MID(B1211,4,2)),VALUE(LEFT(B1211,2))),"MMM-YYYY")</f>
        <v>Apr-2024</v>
      </c>
      <c r="AF1211" s="1" t="n">
        <f aca="false">VALUE(RIGHT(B1211,4))</f>
        <v>2024</v>
      </c>
      <c r="AG1211" s="1" t="str">
        <f aca="false">CHOOSE(ROUNDUP(VALUE(MID(B1211,4,2))/3,0),"Q1","Q2","Q3","Q4")</f>
        <v>Q2</v>
      </c>
    </row>
    <row r="1212" customFormat="false" ht="15" hidden="false" customHeight="true" outlineLevel="0" collapsed="false">
      <c r="A1212" s="1" t="s">
        <v>1981</v>
      </c>
      <c r="B1212" s="1" t="s">
        <v>758</v>
      </c>
      <c r="C1212" s="1" t="s">
        <v>28</v>
      </c>
      <c r="D1212" s="1" t="s">
        <v>168</v>
      </c>
      <c r="E1212" s="1" t="s">
        <v>328</v>
      </c>
      <c r="F1212" s="1" t="s">
        <v>130</v>
      </c>
      <c r="G1212" s="1" t="s">
        <v>47</v>
      </c>
      <c r="H1212" s="1" t="s">
        <v>69</v>
      </c>
      <c r="I1212" s="1" t="s">
        <v>58</v>
      </c>
      <c r="J1212" s="1" t="s">
        <v>59</v>
      </c>
      <c r="K1212" s="1" t="s">
        <v>90</v>
      </c>
      <c r="L1212" s="1" t="s">
        <v>61</v>
      </c>
      <c r="M1212" s="1" t="s">
        <v>62</v>
      </c>
      <c r="N1212" s="1" t="n">
        <v>8999</v>
      </c>
      <c r="O1212" s="1" t="n">
        <v>10</v>
      </c>
      <c r="P1212" s="1" t="n">
        <v>899.9</v>
      </c>
      <c r="Q1212" s="1" t="n">
        <v>8099.1</v>
      </c>
      <c r="R1212" s="1" t="n">
        <v>1457.84</v>
      </c>
      <c r="S1212" s="1" t="n">
        <v>6641.26</v>
      </c>
      <c r="T1212" s="1" t="n">
        <v>2935.94</v>
      </c>
      <c r="U1212" s="1" t="n">
        <v>3705.32</v>
      </c>
      <c r="V1212" s="1" t="n">
        <v>55.79</v>
      </c>
      <c r="W1212" s="1" t="s">
        <v>39</v>
      </c>
      <c r="X1212" s="1" t="n">
        <v>4.8</v>
      </c>
      <c r="Y1212" s="1" t="s">
        <v>40</v>
      </c>
      <c r="Z1212" s="1" t="n">
        <v>0</v>
      </c>
      <c r="AA1212" s="1" t="str">
        <f aca="false">TRIM(PROPER(F1212))</f>
        <v>Bengaluru</v>
      </c>
      <c r="AB1212" s="1" t="str">
        <f aca="false">TRIM(PROPER(C1212))</f>
        <v>Embibe</v>
      </c>
      <c r="AC1212" s="1" t="str">
        <f aca="false">IF(O1212=0,"No Discount",IF(O1212&lt;=15,"Low (1-15%)",IF(O1212&lt;=30,"Medium (16-30%)","High (&gt;30%)")))</f>
        <v>Low (1-15%)</v>
      </c>
      <c r="AD1212" s="1" t="str">
        <f aca="false">IF(V1212&lt;0,"Loss Making",IF(V1212&lt;20,"Low Margin","Healthy Margin"))</f>
        <v>Healthy Margin</v>
      </c>
      <c r="AE1212" s="1" t="str">
        <f aca="false">TEXT(DATE(VALUE(RIGHT(B1212,4)),VALUE(MID(B1212,4,2)),VALUE(LEFT(B1212,2))),"MMM-YYYY")</f>
        <v>Jan-2024</v>
      </c>
      <c r="AF1212" s="1" t="n">
        <f aca="false">VALUE(RIGHT(B1212,4))</f>
        <v>2024</v>
      </c>
      <c r="AG1212" s="1" t="str">
        <f aca="false">CHOOSE(ROUNDUP(VALUE(MID(B1212,4,2))/3,0),"Q1","Q2","Q3","Q4")</f>
        <v>Q1</v>
      </c>
    </row>
    <row r="1213" customFormat="false" ht="15" hidden="false" customHeight="true" outlineLevel="0" collapsed="false">
      <c r="A1213" s="1" t="s">
        <v>1982</v>
      </c>
      <c r="B1213" s="1" t="s">
        <v>712</v>
      </c>
      <c r="C1213" s="1" t="s">
        <v>28</v>
      </c>
      <c r="D1213" s="1" t="s">
        <v>80</v>
      </c>
      <c r="E1213" s="1" t="s">
        <v>81</v>
      </c>
      <c r="F1213" s="1" t="s">
        <v>89</v>
      </c>
      <c r="G1213" s="1" t="s">
        <v>68</v>
      </c>
      <c r="H1213" s="1" t="s">
        <v>33</v>
      </c>
      <c r="I1213" s="1" t="s">
        <v>58</v>
      </c>
      <c r="J1213" s="1" t="s">
        <v>35</v>
      </c>
      <c r="K1213" s="1" t="s">
        <v>48</v>
      </c>
      <c r="L1213" s="1" t="s">
        <v>49</v>
      </c>
      <c r="M1213" s="1" t="s">
        <v>50</v>
      </c>
      <c r="N1213" s="1" t="n">
        <v>12999</v>
      </c>
      <c r="O1213" s="1" t="n">
        <v>20</v>
      </c>
      <c r="P1213" s="1" t="n">
        <v>2599.8</v>
      </c>
      <c r="Q1213" s="1" t="n">
        <v>10399.2</v>
      </c>
      <c r="R1213" s="1" t="n">
        <v>1871.86</v>
      </c>
      <c r="S1213" s="1" t="n">
        <v>8527.34</v>
      </c>
      <c r="T1213" s="1" t="n">
        <v>2931.7</v>
      </c>
      <c r="U1213" s="1" t="n">
        <v>5595.64</v>
      </c>
      <c r="V1213" s="1" t="n">
        <v>65.62</v>
      </c>
      <c r="W1213" s="1" t="s">
        <v>39</v>
      </c>
      <c r="X1213" s="1" t="n">
        <v>5</v>
      </c>
      <c r="Y1213" s="1" t="s">
        <v>40</v>
      </c>
      <c r="Z1213" s="1" t="n">
        <v>0</v>
      </c>
      <c r="AA1213" s="1" t="str">
        <f aca="false">TRIM(PROPER(F1213))</f>
        <v>Vadodara</v>
      </c>
      <c r="AB1213" s="1" t="str">
        <f aca="false">TRIM(PROPER(C1213))</f>
        <v>Embibe</v>
      </c>
      <c r="AC1213" s="1" t="str">
        <f aca="false">IF(O1213=0,"No Discount",IF(O1213&lt;=15,"Low (1-15%)",IF(O1213&lt;=30,"Medium (16-30%)","High (&gt;30%)")))</f>
        <v>Medium (16-30%)</v>
      </c>
      <c r="AD1213" s="1" t="str">
        <f aca="false">IF(V1213&lt;0,"Loss Making",IF(V1213&lt;20,"Low Margin","Healthy Margin"))</f>
        <v>Healthy Margin</v>
      </c>
      <c r="AE1213" s="1" t="str">
        <f aca="false">TEXT(DATE(VALUE(RIGHT(B1213,4)),VALUE(MID(B1213,4,2)),VALUE(LEFT(B1213,2))),"MMM-YYYY")</f>
        <v>Jan-2024</v>
      </c>
      <c r="AF1213" s="1" t="n">
        <f aca="false">VALUE(RIGHT(B1213,4))</f>
        <v>2024</v>
      </c>
      <c r="AG1213" s="1" t="str">
        <f aca="false">CHOOSE(ROUNDUP(VALUE(MID(B1213,4,2))/3,0),"Q1","Q2","Q3","Q4")</f>
        <v>Q1</v>
      </c>
    </row>
    <row r="1214" customFormat="false" ht="15" hidden="false" customHeight="true" outlineLevel="0" collapsed="false">
      <c r="A1214" s="1" t="s">
        <v>1983</v>
      </c>
      <c r="B1214" s="1" t="s">
        <v>1984</v>
      </c>
      <c r="C1214" s="1" t="s">
        <v>181</v>
      </c>
      <c r="D1214" s="1" t="s">
        <v>143</v>
      </c>
      <c r="E1214" s="1" t="s">
        <v>243</v>
      </c>
      <c r="F1214" s="1" t="s">
        <v>153</v>
      </c>
      <c r="G1214" s="1" t="s">
        <v>76</v>
      </c>
      <c r="H1214" s="1" t="s">
        <v>33</v>
      </c>
      <c r="I1214" s="1" t="s">
        <v>34</v>
      </c>
      <c r="J1214" s="1" t="s">
        <v>70</v>
      </c>
      <c r="K1214" s="1" t="s">
        <v>104</v>
      </c>
      <c r="L1214" s="1" t="s">
        <v>136</v>
      </c>
      <c r="M1214" s="1" t="s">
        <v>38</v>
      </c>
      <c r="N1214" s="1" t="n">
        <v>22999</v>
      </c>
      <c r="O1214" s="1" t="n">
        <v>5</v>
      </c>
      <c r="P1214" s="1" t="n">
        <v>1149.95</v>
      </c>
      <c r="Q1214" s="1" t="n">
        <v>21849.05</v>
      </c>
      <c r="R1214" s="1" t="n">
        <v>3932.83</v>
      </c>
      <c r="S1214" s="1" t="n">
        <v>17916.22</v>
      </c>
      <c r="T1214" s="1" t="n">
        <v>8242.37</v>
      </c>
      <c r="U1214" s="1" t="n">
        <v>9673.85</v>
      </c>
      <c r="V1214" s="1" t="n">
        <v>53.99</v>
      </c>
      <c r="W1214" s="1" t="s">
        <v>39</v>
      </c>
      <c r="X1214" s="1" t="n">
        <v>4.1</v>
      </c>
      <c r="Y1214" s="1" t="s">
        <v>40</v>
      </c>
      <c r="Z1214" s="1" t="n">
        <v>0</v>
      </c>
      <c r="AA1214" s="1" t="str">
        <f aca="false">TRIM(PROPER(F1214))</f>
        <v>Howrah</v>
      </c>
      <c r="AB1214" s="1" t="str">
        <f aca="false">TRIM(PROPER(C1214))</f>
        <v>Great Learning</v>
      </c>
      <c r="AC1214" s="1" t="str">
        <f aca="false">IF(O1214=0,"No Discount",IF(O1214&lt;=15,"Low (1-15%)",IF(O1214&lt;=30,"Medium (16-30%)","High (&gt;30%)")))</f>
        <v>Low (1-15%)</v>
      </c>
      <c r="AD1214" s="1" t="str">
        <f aca="false">IF(V1214&lt;0,"Loss Making",IF(V1214&lt;20,"Low Margin","Healthy Margin"))</f>
        <v>Healthy Margin</v>
      </c>
      <c r="AE1214" s="1" t="str">
        <f aca="false">TEXT(DATE(VALUE(RIGHT(B1214,4)),VALUE(MID(B1214,4,2)),VALUE(LEFT(B1214,2))),"MMM-YYYY")</f>
        <v>Dec-2024</v>
      </c>
      <c r="AF1214" s="1" t="n">
        <f aca="false">VALUE(RIGHT(B1214,4))</f>
        <v>2024</v>
      </c>
      <c r="AG1214" s="1" t="str">
        <f aca="false">CHOOSE(ROUNDUP(VALUE(MID(B1214,4,2))/3,0),"Q1","Q2","Q3","Q4")</f>
        <v>Q4</v>
      </c>
    </row>
    <row r="1215" customFormat="false" ht="15" hidden="false" customHeight="true" outlineLevel="0" collapsed="false">
      <c r="A1215" s="1" t="s">
        <v>1985</v>
      </c>
      <c r="B1215" s="1" t="s">
        <v>1986</v>
      </c>
      <c r="C1215" s="1" t="s">
        <v>178</v>
      </c>
      <c r="D1215" s="1" t="s">
        <v>44</v>
      </c>
      <c r="E1215" s="1" t="s">
        <v>45</v>
      </c>
      <c r="F1215" s="1" t="s">
        <v>244</v>
      </c>
      <c r="G1215" s="1" t="s">
        <v>97</v>
      </c>
      <c r="H1215" s="1" t="s">
        <v>57</v>
      </c>
      <c r="I1215" s="1" t="s">
        <v>83</v>
      </c>
      <c r="J1215" s="1" t="s">
        <v>70</v>
      </c>
      <c r="K1215" s="1" t="s">
        <v>60</v>
      </c>
      <c r="L1215" s="1" t="s">
        <v>136</v>
      </c>
      <c r="M1215" s="1" t="s">
        <v>62</v>
      </c>
      <c r="N1215" s="1" t="n">
        <v>11999</v>
      </c>
      <c r="O1215" s="1" t="n">
        <v>0</v>
      </c>
      <c r="P1215" s="1" t="n">
        <v>0</v>
      </c>
      <c r="Q1215" s="1" t="n">
        <v>11999</v>
      </c>
      <c r="R1215" s="1" t="n">
        <v>2159.82</v>
      </c>
      <c r="S1215" s="1" t="n">
        <v>9839.18</v>
      </c>
      <c r="T1215" s="1" t="n">
        <v>4556.63</v>
      </c>
      <c r="U1215" s="1" t="n">
        <v>5282.55</v>
      </c>
      <c r="V1215" s="1" t="n">
        <v>53.69</v>
      </c>
      <c r="W1215" s="1" t="s">
        <v>39</v>
      </c>
      <c r="X1215" s="1" t="n">
        <v>3.8</v>
      </c>
      <c r="Y1215" s="1" t="s">
        <v>40</v>
      </c>
      <c r="Z1215" s="1" t="n">
        <v>0</v>
      </c>
      <c r="AA1215" s="1" t="str">
        <f aca="false">TRIM(PROPER(F1215))</f>
        <v>Nagpur</v>
      </c>
      <c r="AB1215" s="1" t="str">
        <f aca="false">TRIM(PROPER(C1215))</f>
        <v>Leverage Edu</v>
      </c>
      <c r="AC1215" s="1" t="str">
        <f aca="false">IF(O1215=0,"No Discount",IF(O1215&lt;=15,"Low (1-15%)",IF(O1215&lt;=30,"Medium (16-30%)","High (&gt;30%)")))</f>
        <v>No Discount</v>
      </c>
      <c r="AD1215" s="1" t="str">
        <f aca="false">IF(V1215&lt;0,"Loss Making",IF(V1215&lt;20,"Low Margin","Healthy Margin"))</f>
        <v>Healthy Margin</v>
      </c>
      <c r="AE1215" s="1" t="str">
        <f aca="false">TEXT(DATE(VALUE(RIGHT(B1215,4)),VALUE(MID(B1215,4,2)),VALUE(LEFT(B1215,2))),"MMM-YYYY")</f>
        <v>Aug-2023</v>
      </c>
      <c r="AF1215" s="1" t="n">
        <f aca="false">VALUE(RIGHT(B1215,4))</f>
        <v>2023</v>
      </c>
      <c r="AG1215" s="1" t="str">
        <f aca="false">CHOOSE(ROUNDUP(VALUE(MID(B1215,4,2))/3,0),"Q1","Q2","Q3","Q4")</f>
        <v>Q3</v>
      </c>
    </row>
    <row r="1216" customFormat="false" ht="15" hidden="false" customHeight="true" outlineLevel="0" collapsed="false">
      <c r="A1216" s="1" t="s">
        <v>1987</v>
      </c>
      <c r="B1216" s="1" t="s">
        <v>724</v>
      </c>
      <c r="C1216" s="1" t="s">
        <v>128</v>
      </c>
      <c r="D1216" s="1" t="s">
        <v>143</v>
      </c>
      <c r="E1216" s="1" t="s">
        <v>144</v>
      </c>
      <c r="F1216" s="1" t="s">
        <v>75</v>
      </c>
      <c r="G1216" s="1" t="s">
        <v>76</v>
      </c>
      <c r="H1216" s="1" t="s">
        <v>69</v>
      </c>
      <c r="I1216" s="1" t="s">
        <v>34</v>
      </c>
      <c r="J1216" s="1" t="s">
        <v>59</v>
      </c>
      <c r="K1216" s="1" t="s">
        <v>48</v>
      </c>
      <c r="L1216" s="1" t="s">
        <v>85</v>
      </c>
      <c r="M1216" s="1" t="s">
        <v>38</v>
      </c>
      <c r="N1216" s="1" t="n">
        <v>12999</v>
      </c>
      <c r="O1216" s="1" t="n">
        <v>0</v>
      </c>
      <c r="P1216" s="1" t="n">
        <v>0</v>
      </c>
      <c r="Q1216" s="1" t="n">
        <v>12999</v>
      </c>
      <c r="R1216" s="1" t="n">
        <v>2339.82</v>
      </c>
      <c r="S1216" s="1" t="n">
        <v>10659.18</v>
      </c>
      <c r="T1216" s="1" t="n">
        <v>3102.9</v>
      </c>
      <c r="U1216" s="1" t="n">
        <v>7556.28</v>
      </c>
      <c r="V1216" s="1" t="n">
        <v>70.89</v>
      </c>
      <c r="W1216" s="1" t="s">
        <v>40</v>
      </c>
      <c r="Y1216" s="1" t="s">
        <v>39</v>
      </c>
      <c r="Z1216" s="1" t="n">
        <v>0</v>
      </c>
      <c r="AA1216" s="1" t="str">
        <f aca="false">TRIM(PROPER(F1216))</f>
        <v>Kolkata</v>
      </c>
      <c r="AB1216" s="1" t="str">
        <f aca="false">TRIM(PROPER(C1216))</f>
        <v>Great Learning</v>
      </c>
      <c r="AC1216" s="1" t="str">
        <f aca="false">IF(O1216=0,"No Discount",IF(O1216&lt;=15,"Low (1-15%)",IF(O1216&lt;=30,"Medium (16-30%)","High (&gt;30%)")))</f>
        <v>No Discount</v>
      </c>
      <c r="AD1216" s="1" t="str">
        <f aca="false">IF(V1216&lt;0,"Loss Making",IF(V1216&lt;20,"Low Margin","Healthy Margin"))</f>
        <v>Healthy Margin</v>
      </c>
      <c r="AE1216" s="1" t="str">
        <f aca="false">TEXT(DATE(VALUE(RIGHT(B1216,4)),VALUE(MID(B1216,4,2)),VALUE(LEFT(B1216,2))),"MMM-YYYY")</f>
        <v>Jan-2024</v>
      </c>
      <c r="AF1216" s="1" t="n">
        <f aca="false">VALUE(RIGHT(B1216,4))</f>
        <v>2024</v>
      </c>
      <c r="AG1216" s="1" t="str">
        <f aca="false">CHOOSE(ROUNDUP(VALUE(MID(B1216,4,2))/3,0),"Q1","Q2","Q3","Q4")</f>
        <v>Q1</v>
      </c>
    </row>
    <row r="1217" customFormat="false" ht="15" hidden="false" customHeight="true" outlineLevel="0" collapsed="false">
      <c r="A1217" s="1" t="s">
        <v>1988</v>
      </c>
      <c r="B1217" s="1" t="s">
        <v>841</v>
      </c>
      <c r="C1217" s="1" t="s">
        <v>93</v>
      </c>
      <c r="D1217" s="1" t="s">
        <v>168</v>
      </c>
      <c r="E1217" s="1" t="s">
        <v>328</v>
      </c>
      <c r="F1217" s="1" t="s">
        <v>269</v>
      </c>
      <c r="G1217" s="1" t="s">
        <v>108</v>
      </c>
      <c r="H1217" s="1" t="s">
        <v>57</v>
      </c>
      <c r="I1217" s="1" t="s">
        <v>34</v>
      </c>
      <c r="J1217" s="1" t="s">
        <v>35</v>
      </c>
      <c r="K1217" s="1" t="s">
        <v>84</v>
      </c>
      <c r="L1217" s="1" t="s">
        <v>113</v>
      </c>
      <c r="M1217" s="1" t="s">
        <v>38</v>
      </c>
      <c r="N1217" s="1" t="n">
        <v>8999</v>
      </c>
      <c r="O1217" s="1" t="n">
        <v>15</v>
      </c>
      <c r="P1217" s="1" t="n">
        <v>1349.85</v>
      </c>
      <c r="Q1217" s="1" t="n">
        <v>7649.15</v>
      </c>
      <c r="R1217" s="1" t="n">
        <v>1376.85</v>
      </c>
      <c r="S1217" s="1" t="n">
        <v>6272.3</v>
      </c>
      <c r="T1217" s="1" t="n">
        <v>2316.89</v>
      </c>
      <c r="U1217" s="1" t="n">
        <v>3955.41</v>
      </c>
      <c r="V1217" s="1" t="n">
        <v>63.06</v>
      </c>
      <c r="W1217" s="1" t="s">
        <v>39</v>
      </c>
      <c r="X1217" s="1" t="n">
        <v>2.8</v>
      </c>
      <c r="Y1217" s="1" t="s">
        <v>40</v>
      </c>
      <c r="Z1217" s="1" t="n">
        <v>0</v>
      </c>
      <c r="AA1217" s="1" t="str">
        <f aca="false">TRIM(PROPER(F1217))</f>
        <v>Coimbatore</v>
      </c>
      <c r="AB1217" s="1" t="str">
        <f aca="false">TRIM(PROPER(C1217))</f>
        <v>Upgrad</v>
      </c>
      <c r="AC1217" s="1" t="str">
        <f aca="false">IF(O1217=0,"No Discount",IF(O1217&lt;=15,"Low (1-15%)",IF(O1217&lt;=30,"Medium (16-30%)","High (&gt;30%)")))</f>
        <v>Low (1-15%)</v>
      </c>
      <c r="AD1217" s="1" t="str">
        <f aca="false">IF(V1217&lt;0,"Loss Making",IF(V1217&lt;20,"Low Margin","Healthy Margin"))</f>
        <v>Healthy Margin</v>
      </c>
      <c r="AE1217" s="1" t="str">
        <f aca="false">TEXT(DATE(VALUE(RIGHT(B1217,4)),VALUE(MID(B1217,4,2)),VALUE(LEFT(B1217,2))),"MMM-YYYY")</f>
        <v>Dec-2024</v>
      </c>
      <c r="AF1217" s="1" t="n">
        <f aca="false">VALUE(RIGHT(B1217,4))</f>
        <v>2024</v>
      </c>
      <c r="AG1217" s="1" t="str">
        <f aca="false">CHOOSE(ROUNDUP(VALUE(MID(B1217,4,2))/3,0),"Q1","Q2","Q3","Q4")</f>
        <v>Q4</v>
      </c>
    </row>
    <row r="1218" customFormat="false" ht="15" hidden="false" customHeight="true" outlineLevel="0" collapsed="false">
      <c r="A1218" s="1" t="s">
        <v>1989</v>
      </c>
      <c r="B1218" s="1" t="s">
        <v>1598</v>
      </c>
      <c r="C1218" s="1" t="s">
        <v>119</v>
      </c>
      <c r="D1218" s="1" t="s">
        <v>80</v>
      </c>
      <c r="E1218" s="1" t="s">
        <v>190</v>
      </c>
      <c r="F1218" s="1" t="s">
        <v>46</v>
      </c>
      <c r="G1218" s="1" t="s">
        <v>47</v>
      </c>
      <c r="H1218" s="1" t="s">
        <v>33</v>
      </c>
      <c r="I1218" s="1" t="s">
        <v>34</v>
      </c>
      <c r="J1218" s="1" t="s">
        <v>131</v>
      </c>
      <c r="K1218" s="1" t="s">
        <v>90</v>
      </c>
      <c r="L1218" s="1" t="s">
        <v>113</v>
      </c>
      <c r="M1218" s="1" t="s">
        <v>62</v>
      </c>
      <c r="N1218" s="1" t="n">
        <v>15999</v>
      </c>
      <c r="O1218" s="1" t="n">
        <v>25</v>
      </c>
      <c r="P1218" s="1" t="n">
        <v>3999.75</v>
      </c>
      <c r="Q1218" s="1" t="n">
        <v>11999.25</v>
      </c>
      <c r="R1218" s="1" t="n">
        <v>2159.86</v>
      </c>
      <c r="S1218" s="1" t="n">
        <v>9839.39</v>
      </c>
      <c r="T1218" s="1" t="n">
        <v>5677.02</v>
      </c>
      <c r="U1218" s="1" t="n">
        <v>4162.37</v>
      </c>
      <c r="V1218" s="1" t="n">
        <v>42.3</v>
      </c>
      <c r="W1218" s="1" t="s">
        <v>39</v>
      </c>
      <c r="X1218" s="1" t="n">
        <v>4</v>
      </c>
      <c r="Y1218" s="1" t="s">
        <v>40</v>
      </c>
      <c r="Z1218" s="1" t="n">
        <v>0</v>
      </c>
      <c r="AA1218" s="1" t="str">
        <f aca="false">TRIM(PROPER(F1218))</f>
        <v>Mangaluru</v>
      </c>
      <c r="AB1218" s="1" t="str">
        <f aca="false">TRIM(PROPER(C1218))</f>
        <v>Simplilearn</v>
      </c>
      <c r="AC1218" s="1" t="str">
        <f aca="false">IF(O1218=0,"No Discount",IF(O1218&lt;=15,"Low (1-15%)",IF(O1218&lt;=30,"Medium (16-30%)","High (&gt;30%)")))</f>
        <v>Medium (16-30%)</v>
      </c>
      <c r="AD1218" s="1" t="str">
        <f aca="false">IF(V1218&lt;0,"Loss Making",IF(V1218&lt;20,"Low Margin","Healthy Margin"))</f>
        <v>Healthy Margin</v>
      </c>
      <c r="AE1218" s="1" t="str">
        <f aca="false">TEXT(DATE(VALUE(RIGHT(B1218,4)),VALUE(MID(B1218,4,2)),VALUE(LEFT(B1218,2))),"MMM-YYYY")</f>
        <v>Mar-2023</v>
      </c>
      <c r="AF1218" s="1" t="n">
        <f aca="false">VALUE(RIGHT(B1218,4))</f>
        <v>2023</v>
      </c>
      <c r="AG1218" s="1" t="str">
        <f aca="false">CHOOSE(ROUNDUP(VALUE(MID(B1218,4,2))/3,0),"Q1","Q2","Q3","Q4")</f>
        <v>Q1</v>
      </c>
    </row>
    <row r="1219" customFormat="false" ht="15" hidden="false" customHeight="true" outlineLevel="0" collapsed="false">
      <c r="A1219" s="1" t="s">
        <v>1990</v>
      </c>
      <c r="B1219" s="1" t="s">
        <v>776</v>
      </c>
      <c r="C1219" s="1" t="s">
        <v>119</v>
      </c>
      <c r="D1219" s="1" t="s">
        <v>143</v>
      </c>
      <c r="E1219" s="1" t="s">
        <v>144</v>
      </c>
      <c r="F1219" s="1" t="s">
        <v>102</v>
      </c>
      <c r="G1219" s="1" t="s">
        <v>103</v>
      </c>
      <c r="H1219" s="1" t="s">
        <v>33</v>
      </c>
      <c r="I1219" s="1" t="s">
        <v>58</v>
      </c>
      <c r="J1219" s="1" t="s">
        <v>70</v>
      </c>
      <c r="K1219" s="1" t="s">
        <v>84</v>
      </c>
      <c r="L1219" s="1" t="s">
        <v>136</v>
      </c>
      <c r="M1219" s="1" t="s">
        <v>62</v>
      </c>
      <c r="N1219" s="1" t="n">
        <v>12999</v>
      </c>
      <c r="O1219" s="1" t="n">
        <v>25</v>
      </c>
      <c r="P1219" s="1" t="n">
        <v>3249.75</v>
      </c>
      <c r="Q1219" s="1" t="n">
        <v>9749.25</v>
      </c>
      <c r="R1219" s="1" t="n">
        <v>1754.87</v>
      </c>
      <c r="S1219" s="1" t="n">
        <v>7994.38</v>
      </c>
      <c r="T1219" s="1" t="n">
        <v>3292.38</v>
      </c>
      <c r="U1219" s="1" t="n">
        <v>4702</v>
      </c>
      <c r="V1219" s="1" t="n">
        <v>58.82</v>
      </c>
      <c r="W1219" s="1" t="s">
        <v>40</v>
      </c>
      <c r="Y1219" s="1" t="s">
        <v>40</v>
      </c>
      <c r="Z1219" s="1" t="n">
        <v>1</v>
      </c>
      <c r="AA1219" s="1" t="str">
        <f aca="false">TRIM(PROPER(F1219))</f>
        <v>Warangal</v>
      </c>
      <c r="AB1219" s="1" t="str">
        <f aca="false">TRIM(PROPER(C1219))</f>
        <v>Simplilearn</v>
      </c>
      <c r="AC1219" s="1" t="str">
        <f aca="false">IF(O1219=0,"No Discount",IF(O1219&lt;=15,"Low (1-15%)",IF(O1219&lt;=30,"Medium (16-30%)","High (&gt;30%)")))</f>
        <v>Medium (16-30%)</v>
      </c>
      <c r="AD1219" s="1" t="str">
        <f aca="false">IF(V1219&lt;0,"Loss Making",IF(V1219&lt;20,"Low Margin","Healthy Margin"))</f>
        <v>Healthy Margin</v>
      </c>
      <c r="AE1219" s="1" t="str">
        <f aca="false">TEXT(DATE(VALUE(RIGHT(B1219,4)),VALUE(MID(B1219,4,2)),VALUE(LEFT(B1219,2))),"MMM-YYYY")</f>
        <v>Mar-2023</v>
      </c>
      <c r="AF1219" s="1" t="n">
        <f aca="false">VALUE(RIGHT(B1219,4))</f>
        <v>2023</v>
      </c>
      <c r="AG1219" s="1" t="str">
        <f aca="false">CHOOSE(ROUNDUP(VALUE(MID(B1219,4,2))/3,0),"Q1","Q2","Q3","Q4")</f>
        <v>Q1</v>
      </c>
    </row>
    <row r="1220" customFormat="false" ht="15" hidden="false" customHeight="true" outlineLevel="0" collapsed="false">
      <c r="A1220" s="1" t="s">
        <v>1991</v>
      </c>
      <c r="B1220" s="1" t="s">
        <v>876</v>
      </c>
      <c r="C1220" s="1" t="s">
        <v>1602</v>
      </c>
      <c r="D1220" s="1" t="s">
        <v>44</v>
      </c>
      <c r="E1220" s="1" t="s">
        <v>66</v>
      </c>
      <c r="F1220" s="1" t="s">
        <v>107</v>
      </c>
      <c r="G1220" s="1" t="s">
        <v>108</v>
      </c>
      <c r="H1220" s="1" t="s">
        <v>33</v>
      </c>
      <c r="I1220" s="1" t="s">
        <v>34</v>
      </c>
      <c r="J1220" s="1" t="s">
        <v>131</v>
      </c>
      <c r="K1220" s="1" t="s">
        <v>84</v>
      </c>
      <c r="L1220" s="1" t="s">
        <v>61</v>
      </c>
      <c r="M1220" s="1" t="s">
        <v>38</v>
      </c>
      <c r="N1220" s="1" t="n">
        <v>12999</v>
      </c>
      <c r="O1220" s="1" t="n">
        <v>5</v>
      </c>
      <c r="P1220" s="1" t="n">
        <v>649.95</v>
      </c>
      <c r="Q1220" s="1" t="n">
        <v>12349.05</v>
      </c>
      <c r="R1220" s="1" t="n">
        <v>2222.83</v>
      </c>
      <c r="S1220" s="1" t="n">
        <v>10126.22</v>
      </c>
      <c r="T1220" s="1" t="n">
        <v>4579.95</v>
      </c>
      <c r="U1220" s="1" t="n">
        <v>5546.27</v>
      </c>
      <c r="V1220" s="1" t="n">
        <v>54.77</v>
      </c>
      <c r="W1220" s="1" t="s">
        <v>39</v>
      </c>
      <c r="X1220" s="1" t="n">
        <v>4.4</v>
      </c>
      <c r="Y1220" s="1" t="s">
        <v>40</v>
      </c>
      <c r="Z1220" s="1" t="n">
        <v>0</v>
      </c>
      <c r="AA1220" s="1" t="str">
        <f aca="false">TRIM(PROPER(F1220))</f>
        <v>Madurai</v>
      </c>
      <c r="AB1220" s="1" t="str">
        <f aca="false">TRIM(PROPER(C1220))</f>
        <v>Upgrad</v>
      </c>
      <c r="AC1220" s="1" t="str">
        <f aca="false">IF(O1220=0,"No Discount",IF(O1220&lt;=15,"Low (1-15%)",IF(O1220&lt;=30,"Medium (16-30%)","High (&gt;30%)")))</f>
        <v>Low (1-15%)</v>
      </c>
      <c r="AD1220" s="1" t="str">
        <f aca="false">IF(V1220&lt;0,"Loss Making",IF(V1220&lt;20,"Low Margin","Healthy Margin"))</f>
        <v>Healthy Margin</v>
      </c>
      <c r="AE1220" s="1" t="str">
        <f aca="false">TEXT(DATE(VALUE(RIGHT(B1220,4)),VALUE(MID(B1220,4,2)),VALUE(LEFT(B1220,2))),"MMM-YYYY")</f>
        <v>Jul-2023</v>
      </c>
      <c r="AF1220" s="1" t="n">
        <f aca="false">VALUE(RIGHT(B1220,4))</f>
        <v>2023</v>
      </c>
      <c r="AG1220" s="1" t="str">
        <f aca="false">CHOOSE(ROUNDUP(VALUE(MID(B1220,4,2))/3,0),"Q1","Q2","Q3","Q4")</f>
        <v>Q3</v>
      </c>
    </row>
    <row r="1221" customFormat="false" ht="15" hidden="false" customHeight="true" outlineLevel="0" collapsed="false">
      <c r="A1221" s="1" t="s">
        <v>1992</v>
      </c>
      <c r="B1221" s="1" t="s">
        <v>649</v>
      </c>
      <c r="C1221" s="1" t="s">
        <v>65</v>
      </c>
      <c r="D1221" s="1" t="s">
        <v>53</v>
      </c>
      <c r="E1221" s="1" t="s">
        <v>116</v>
      </c>
      <c r="F1221" s="1" t="s">
        <v>125</v>
      </c>
      <c r="G1221" s="1" t="s">
        <v>108</v>
      </c>
      <c r="H1221" s="1" t="s">
        <v>69</v>
      </c>
      <c r="I1221" s="1" t="s">
        <v>83</v>
      </c>
      <c r="J1221" s="1" t="s">
        <v>70</v>
      </c>
      <c r="K1221" s="1" t="s">
        <v>104</v>
      </c>
      <c r="L1221" s="1" t="s">
        <v>85</v>
      </c>
      <c r="M1221" s="1" t="s">
        <v>38</v>
      </c>
      <c r="N1221" s="1" t="n">
        <v>9999</v>
      </c>
      <c r="O1221" s="1" t="n">
        <v>10</v>
      </c>
      <c r="P1221" s="1" t="n">
        <v>999.9</v>
      </c>
      <c r="Q1221" s="1" t="n">
        <v>8999.1</v>
      </c>
      <c r="R1221" s="1" t="n">
        <v>1619.84</v>
      </c>
      <c r="S1221" s="1" t="n">
        <v>7379.26</v>
      </c>
      <c r="T1221" s="1" t="n">
        <v>2478.33</v>
      </c>
      <c r="U1221" s="1" t="n">
        <v>4900.93</v>
      </c>
      <c r="V1221" s="1" t="n">
        <v>66.41</v>
      </c>
      <c r="W1221" s="1" t="s">
        <v>39</v>
      </c>
      <c r="Y1221" s="1" t="s">
        <v>39</v>
      </c>
      <c r="Z1221" s="1" t="n">
        <v>0</v>
      </c>
      <c r="AA1221" s="1" t="str">
        <f aca="false">TRIM(PROPER(F1221))</f>
        <v>Chennai</v>
      </c>
      <c r="AB1221" s="1" t="str">
        <f aca="false">TRIM(PROPER(C1221))</f>
        <v>Toppr</v>
      </c>
      <c r="AC1221" s="1" t="str">
        <f aca="false">IF(O1221=0,"No Discount",IF(O1221&lt;=15,"Low (1-15%)",IF(O1221&lt;=30,"Medium (16-30%)","High (&gt;30%)")))</f>
        <v>Low (1-15%)</v>
      </c>
      <c r="AD1221" s="1" t="str">
        <f aca="false">IF(V1221&lt;0,"Loss Making",IF(V1221&lt;20,"Low Margin","Healthy Margin"))</f>
        <v>Healthy Margin</v>
      </c>
      <c r="AE1221" s="1" t="str">
        <f aca="false">TEXT(DATE(VALUE(RIGHT(B1221,4)),VALUE(MID(B1221,4,2)),VALUE(LEFT(B1221,2))),"MMM-YYYY")</f>
        <v>Nov-2023</v>
      </c>
      <c r="AF1221" s="1" t="n">
        <f aca="false">VALUE(RIGHT(B1221,4))</f>
        <v>2023</v>
      </c>
      <c r="AG1221" s="1" t="str">
        <f aca="false">CHOOSE(ROUNDUP(VALUE(MID(B1221,4,2))/3,0),"Q1","Q2","Q3","Q4")</f>
        <v>Q4</v>
      </c>
    </row>
    <row r="1222" customFormat="false" ht="15" hidden="false" customHeight="true" outlineLevel="0" collapsed="false">
      <c r="A1222" s="1" t="s">
        <v>1993</v>
      </c>
      <c r="B1222" s="1" t="s">
        <v>724</v>
      </c>
      <c r="C1222" s="1" t="s">
        <v>178</v>
      </c>
      <c r="D1222" s="1" t="s">
        <v>29</v>
      </c>
      <c r="E1222" s="1" t="s">
        <v>182</v>
      </c>
      <c r="F1222" s="1" t="s">
        <v>153</v>
      </c>
      <c r="G1222" s="1" t="s">
        <v>76</v>
      </c>
      <c r="H1222" s="1" t="s">
        <v>33</v>
      </c>
      <c r="I1222" s="1" t="s">
        <v>83</v>
      </c>
      <c r="J1222" s="1" t="s">
        <v>77</v>
      </c>
      <c r="K1222" s="1" t="s">
        <v>104</v>
      </c>
      <c r="L1222" s="1" t="s">
        <v>61</v>
      </c>
      <c r="M1222" s="1" t="s">
        <v>50</v>
      </c>
      <c r="N1222" s="1" t="n">
        <v>34999</v>
      </c>
      <c r="O1222" s="1" t="n">
        <v>30</v>
      </c>
      <c r="P1222" s="1" t="n">
        <v>10499.7</v>
      </c>
      <c r="Q1222" s="1" t="n">
        <v>24499.3</v>
      </c>
      <c r="R1222" s="1" t="n">
        <v>4409.87</v>
      </c>
      <c r="S1222" s="1" t="n">
        <v>20089.43</v>
      </c>
      <c r="T1222" s="1" t="n">
        <v>7092.08</v>
      </c>
      <c r="U1222" s="1" t="n">
        <v>12997.35</v>
      </c>
      <c r="V1222" s="1" t="n">
        <v>64.7</v>
      </c>
      <c r="W1222" s="1" t="s">
        <v>40</v>
      </c>
      <c r="Y1222" s="1" t="s">
        <v>40</v>
      </c>
      <c r="Z1222" s="1" t="n">
        <v>1</v>
      </c>
      <c r="AA1222" s="1" t="str">
        <f aca="false">TRIM(PROPER(F1222))</f>
        <v>Howrah</v>
      </c>
      <c r="AB1222" s="1" t="str">
        <f aca="false">TRIM(PROPER(C1222))</f>
        <v>Leverage Edu</v>
      </c>
      <c r="AC1222" s="1" t="str">
        <f aca="false">IF(O1222=0,"No Discount",IF(O1222&lt;=15,"Low (1-15%)",IF(O1222&lt;=30,"Medium (16-30%)","High (&gt;30%)")))</f>
        <v>Medium (16-30%)</v>
      </c>
      <c r="AD1222" s="1" t="str">
        <f aca="false">IF(V1222&lt;0,"Loss Making",IF(V1222&lt;20,"Low Margin","Healthy Margin"))</f>
        <v>Healthy Margin</v>
      </c>
      <c r="AE1222" s="1" t="str">
        <f aca="false">TEXT(DATE(VALUE(RIGHT(B1222,4)),VALUE(MID(B1222,4,2)),VALUE(LEFT(B1222,2))),"MMM-YYYY")</f>
        <v>Jan-2024</v>
      </c>
      <c r="AF1222" s="1" t="n">
        <f aca="false">VALUE(RIGHT(B1222,4))</f>
        <v>2024</v>
      </c>
      <c r="AG1222" s="1" t="str">
        <f aca="false">CHOOSE(ROUNDUP(VALUE(MID(B1222,4,2))/3,0),"Q1","Q2","Q3","Q4")</f>
        <v>Q1</v>
      </c>
    </row>
    <row r="1223" customFormat="false" ht="15" hidden="false" customHeight="true" outlineLevel="0" collapsed="false">
      <c r="A1223" s="1" t="s">
        <v>1994</v>
      </c>
      <c r="B1223" s="1" t="s">
        <v>1858</v>
      </c>
      <c r="C1223" s="1" t="s">
        <v>134</v>
      </c>
      <c r="D1223" s="1" t="s">
        <v>143</v>
      </c>
      <c r="E1223" s="1" t="s">
        <v>144</v>
      </c>
      <c r="F1223" s="1" t="s">
        <v>194</v>
      </c>
      <c r="G1223" s="1" t="s">
        <v>103</v>
      </c>
      <c r="H1223" s="1" t="s">
        <v>69</v>
      </c>
      <c r="I1223" s="1" t="s">
        <v>58</v>
      </c>
      <c r="J1223" s="1" t="s">
        <v>77</v>
      </c>
      <c r="K1223" s="1" t="s">
        <v>60</v>
      </c>
      <c r="L1223" s="1" t="s">
        <v>85</v>
      </c>
      <c r="M1223" s="1" t="s">
        <v>50</v>
      </c>
      <c r="N1223" s="1" t="n">
        <v>12999</v>
      </c>
      <c r="O1223" s="1" t="n">
        <v>5</v>
      </c>
      <c r="P1223" s="1" t="n">
        <v>649.95</v>
      </c>
      <c r="Q1223" s="1" t="n">
        <v>12349.05</v>
      </c>
      <c r="R1223" s="1" t="n">
        <v>2222.83</v>
      </c>
      <c r="S1223" s="1" t="n">
        <v>10126.22</v>
      </c>
      <c r="T1223" s="1" t="n">
        <v>3808.05</v>
      </c>
      <c r="U1223" s="1" t="n">
        <v>6318.17</v>
      </c>
      <c r="V1223" s="1" t="n">
        <v>62.39</v>
      </c>
      <c r="W1223" s="1" t="s">
        <v>39</v>
      </c>
      <c r="X1223" s="1" t="n">
        <v>4</v>
      </c>
      <c r="Y1223" s="1" t="s">
        <v>39</v>
      </c>
      <c r="Z1223" s="1" t="n">
        <v>0</v>
      </c>
      <c r="AA1223" s="1" t="str">
        <f aca="false">TRIM(PROPER(F1223))</f>
        <v>Hyderabad</v>
      </c>
      <c r="AB1223" s="1" t="str">
        <f aca="false">TRIM(PROPER(C1223))</f>
        <v>Doubtnut</v>
      </c>
      <c r="AC1223" s="1" t="str">
        <f aca="false">IF(O1223=0,"No Discount",IF(O1223&lt;=15,"Low (1-15%)",IF(O1223&lt;=30,"Medium (16-30%)","High (&gt;30%)")))</f>
        <v>Low (1-15%)</v>
      </c>
      <c r="AD1223" s="1" t="str">
        <f aca="false">IF(V1223&lt;0,"Loss Making",IF(V1223&lt;20,"Low Margin","Healthy Margin"))</f>
        <v>Healthy Margin</v>
      </c>
      <c r="AE1223" s="1" t="str">
        <f aca="false">TEXT(DATE(VALUE(RIGHT(B1223,4)),VALUE(MID(B1223,4,2)),VALUE(LEFT(B1223,2))),"MMM-YYYY")</f>
        <v>Jul-2023</v>
      </c>
      <c r="AF1223" s="1" t="n">
        <f aca="false">VALUE(RIGHT(B1223,4))</f>
        <v>2023</v>
      </c>
      <c r="AG1223" s="1" t="str">
        <f aca="false">CHOOSE(ROUNDUP(VALUE(MID(B1223,4,2))/3,0),"Q1","Q2","Q3","Q4")</f>
        <v>Q3</v>
      </c>
    </row>
    <row r="1224" customFormat="false" ht="15" hidden="false" customHeight="true" outlineLevel="0" collapsed="false">
      <c r="A1224" s="1" t="s">
        <v>1995</v>
      </c>
      <c r="B1224" s="1" t="s">
        <v>1996</v>
      </c>
      <c r="C1224" s="1" t="s">
        <v>43</v>
      </c>
      <c r="D1224" s="1" t="s">
        <v>53</v>
      </c>
      <c r="E1224" s="1" t="s">
        <v>54</v>
      </c>
      <c r="F1224" s="1" t="s">
        <v>184</v>
      </c>
      <c r="G1224" s="1" t="s">
        <v>56</v>
      </c>
      <c r="H1224" s="1" t="s">
        <v>57</v>
      </c>
      <c r="I1224" s="1" t="s">
        <v>83</v>
      </c>
      <c r="J1224" s="1" t="s">
        <v>131</v>
      </c>
      <c r="K1224" s="1" t="s">
        <v>112</v>
      </c>
      <c r="L1224" s="1" t="s">
        <v>136</v>
      </c>
      <c r="M1224" s="1" t="s">
        <v>62</v>
      </c>
      <c r="N1224" s="1" t="n">
        <v>11999</v>
      </c>
      <c r="O1224" s="1" t="n">
        <v>5</v>
      </c>
      <c r="P1224" s="1" t="n">
        <v>599.95</v>
      </c>
      <c r="Q1224" s="1" t="n">
        <v>11399.05</v>
      </c>
      <c r="R1224" s="1" t="n">
        <v>2051.83</v>
      </c>
      <c r="S1224" s="1" t="n">
        <v>9347.22</v>
      </c>
      <c r="T1224" s="1" t="n">
        <v>4892.27</v>
      </c>
      <c r="U1224" s="1" t="n">
        <v>4454.95</v>
      </c>
      <c r="V1224" s="1" t="n">
        <v>47.66</v>
      </c>
      <c r="W1224" s="1" t="s">
        <v>40</v>
      </c>
      <c r="Y1224" s="1" t="s">
        <v>40</v>
      </c>
      <c r="Z1224" s="1" t="n">
        <v>1</v>
      </c>
      <c r="AA1224" s="1" t="str">
        <f aca="false">TRIM(PROPER(F1224))</f>
        <v>Faridabad</v>
      </c>
      <c r="AB1224" s="1" t="str">
        <f aca="false">TRIM(PROPER(C1224))</f>
        <v>Meritnation</v>
      </c>
      <c r="AC1224" s="1" t="str">
        <f aca="false">IF(O1224=0,"No Discount",IF(O1224&lt;=15,"Low (1-15%)",IF(O1224&lt;=30,"Medium (16-30%)","High (&gt;30%)")))</f>
        <v>Low (1-15%)</v>
      </c>
      <c r="AD1224" s="1" t="str">
        <f aca="false">IF(V1224&lt;0,"Loss Making",IF(V1224&lt;20,"Low Margin","Healthy Margin"))</f>
        <v>Healthy Margin</v>
      </c>
      <c r="AE1224" s="1" t="str">
        <f aca="false">TEXT(DATE(VALUE(RIGHT(B1224,4)),VALUE(MID(B1224,4,2)),VALUE(LEFT(B1224,2))),"MMM-YYYY")</f>
        <v>Sep-2023</v>
      </c>
      <c r="AF1224" s="1" t="n">
        <f aca="false">VALUE(RIGHT(B1224,4))</f>
        <v>2023</v>
      </c>
      <c r="AG1224" s="1" t="str">
        <f aca="false">CHOOSE(ROUNDUP(VALUE(MID(B1224,4,2))/3,0),"Q1","Q2","Q3","Q4")</f>
        <v>Q3</v>
      </c>
    </row>
    <row r="1225" customFormat="false" ht="15" hidden="false" customHeight="true" outlineLevel="0" collapsed="false">
      <c r="A1225" s="1" t="s">
        <v>1997</v>
      </c>
      <c r="B1225" s="1" t="s">
        <v>854</v>
      </c>
      <c r="C1225" s="1" t="s">
        <v>249</v>
      </c>
      <c r="D1225" s="1" t="s">
        <v>29</v>
      </c>
      <c r="E1225" s="1" t="s">
        <v>182</v>
      </c>
      <c r="F1225" s="1" t="s">
        <v>211</v>
      </c>
      <c r="G1225" s="1" t="s">
        <v>56</v>
      </c>
      <c r="H1225" s="1" t="s">
        <v>69</v>
      </c>
      <c r="I1225" s="1" t="s">
        <v>34</v>
      </c>
      <c r="J1225" s="1" t="s">
        <v>131</v>
      </c>
      <c r="K1225" s="1" t="s">
        <v>112</v>
      </c>
      <c r="L1225" s="1" t="s">
        <v>113</v>
      </c>
      <c r="M1225" s="1" t="s">
        <v>62</v>
      </c>
      <c r="N1225" s="1" t="n">
        <v>34999</v>
      </c>
      <c r="O1225" s="1" t="n">
        <v>10</v>
      </c>
      <c r="P1225" s="1" t="n">
        <v>3499.9</v>
      </c>
      <c r="Q1225" s="1" t="n">
        <v>31499.1</v>
      </c>
      <c r="R1225" s="1" t="n">
        <v>5669.84</v>
      </c>
      <c r="S1225" s="1" t="n">
        <v>25829.26</v>
      </c>
      <c r="T1225" s="1" t="n">
        <v>8027.94</v>
      </c>
      <c r="U1225" s="1" t="n">
        <v>17801.32</v>
      </c>
      <c r="V1225" s="1" t="n">
        <v>68.92</v>
      </c>
      <c r="W1225" s="1" t="s">
        <v>39</v>
      </c>
      <c r="X1225" s="1" t="n">
        <v>3.8</v>
      </c>
      <c r="Y1225" s="1" t="s">
        <v>40</v>
      </c>
      <c r="Z1225" s="1" t="n">
        <v>0</v>
      </c>
      <c r="AA1225" s="1" t="str">
        <f aca="false">TRIM(PROPER(F1225))</f>
        <v>Noida</v>
      </c>
      <c r="AB1225" s="1" t="str">
        <f aca="false">TRIM(PROPER(C1225))</f>
        <v>Whitehat Jr</v>
      </c>
      <c r="AC1225" s="1" t="str">
        <f aca="false">IF(O1225=0,"No Discount",IF(O1225&lt;=15,"Low (1-15%)",IF(O1225&lt;=30,"Medium (16-30%)","High (&gt;30%)")))</f>
        <v>Low (1-15%)</v>
      </c>
      <c r="AD1225" s="1" t="str">
        <f aca="false">IF(V1225&lt;0,"Loss Making",IF(V1225&lt;20,"Low Margin","Healthy Margin"))</f>
        <v>Healthy Margin</v>
      </c>
      <c r="AE1225" s="1" t="str">
        <f aca="false">TEXT(DATE(VALUE(RIGHT(B1225,4)),VALUE(MID(B1225,4,2)),VALUE(LEFT(B1225,2))),"MMM-YYYY")</f>
        <v>Apr-2024</v>
      </c>
      <c r="AF1225" s="1" t="n">
        <f aca="false">VALUE(RIGHT(B1225,4))</f>
        <v>2024</v>
      </c>
      <c r="AG1225" s="1" t="str">
        <f aca="false">CHOOSE(ROUNDUP(VALUE(MID(B1225,4,2))/3,0),"Q1","Q2","Q3","Q4")</f>
        <v>Q2</v>
      </c>
    </row>
    <row r="1226" customFormat="false" ht="15" hidden="false" customHeight="true" outlineLevel="0" collapsed="false">
      <c r="A1226" s="1" t="s">
        <v>1998</v>
      </c>
      <c r="B1226" s="1" t="s">
        <v>583</v>
      </c>
      <c r="C1226" s="1" t="s">
        <v>28</v>
      </c>
      <c r="D1226" s="1" t="s">
        <v>143</v>
      </c>
      <c r="E1226" s="1" t="s">
        <v>210</v>
      </c>
      <c r="F1226" s="1" t="s">
        <v>96</v>
      </c>
      <c r="G1226" s="1" t="s">
        <v>97</v>
      </c>
      <c r="H1226" s="1" t="s">
        <v>69</v>
      </c>
      <c r="I1226" s="1" t="s">
        <v>83</v>
      </c>
      <c r="J1226" s="1" t="s">
        <v>131</v>
      </c>
      <c r="K1226" s="1" t="s">
        <v>112</v>
      </c>
      <c r="L1226" s="1" t="s">
        <v>85</v>
      </c>
      <c r="M1226" s="1" t="s">
        <v>50</v>
      </c>
      <c r="N1226" s="1" t="n">
        <v>18999</v>
      </c>
      <c r="O1226" s="1" t="n">
        <v>5</v>
      </c>
      <c r="P1226" s="1" t="n">
        <v>949.95</v>
      </c>
      <c r="Q1226" s="1" t="n">
        <v>18049.05</v>
      </c>
      <c r="R1226" s="1" t="n">
        <v>3248.83</v>
      </c>
      <c r="S1226" s="1" t="n">
        <v>14800.22</v>
      </c>
      <c r="T1226" s="1" t="n">
        <v>4774.09</v>
      </c>
      <c r="U1226" s="1" t="n">
        <v>10026.13</v>
      </c>
      <c r="V1226" s="1" t="n">
        <v>67.74</v>
      </c>
      <c r="W1226" s="1" t="s">
        <v>40</v>
      </c>
      <c r="Y1226" s="1" t="s">
        <v>40</v>
      </c>
      <c r="Z1226" s="1" t="n">
        <v>1</v>
      </c>
      <c r="AA1226" s="1" t="str">
        <f aca="false">TRIM(PROPER(F1226))</f>
        <v>Pune</v>
      </c>
      <c r="AB1226" s="1" t="str">
        <f aca="false">TRIM(PROPER(C1226))</f>
        <v>Embibe</v>
      </c>
      <c r="AC1226" s="1" t="str">
        <f aca="false">IF(O1226=0,"No Discount",IF(O1226&lt;=15,"Low (1-15%)",IF(O1226&lt;=30,"Medium (16-30%)","High (&gt;30%)")))</f>
        <v>Low (1-15%)</v>
      </c>
      <c r="AD1226" s="1" t="str">
        <f aca="false">IF(V1226&lt;0,"Loss Making",IF(V1226&lt;20,"Low Margin","Healthy Margin"))</f>
        <v>Healthy Margin</v>
      </c>
      <c r="AE1226" s="1" t="str">
        <f aca="false">TEXT(DATE(VALUE(RIGHT(B1226,4)),VALUE(MID(B1226,4,2)),VALUE(LEFT(B1226,2))),"MMM-YYYY")</f>
        <v>Oct-2024</v>
      </c>
      <c r="AF1226" s="1" t="n">
        <f aca="false">VALUE(RIGHT(B1226,4))</f>
        <v>2024</v>
      </c>
      <c r="AG1226" s="1" t="str">
        <f aca="false">CHOOSE(ROUNDUP(VALUE(MID(B1226,4,2))/3,0),"Q1","Q2","Q3","Q4")</f>
        <v>Q4</v>
      </c>
    </row>
    <row r="1227" customFormat="false" ht="15" hidden="false" customHeight="true" outlineLevel="0" collapsed="false">
      <c r="A1227" s="1" t="s">
        <v>1999</v>
      </c>
      <c r="B1227" s="1" t="s">
        <v>448</v>
      </c>
      <c r="C1227" s="1" t="s">
        <v>74</v>
      </c>
      <c r="D1227" s="1" t="s">
        <v>123</v>
      </c>
      <c r="E1227" s="1" t="s">
        <v>147</v>
      </c>
      <c r="F1227" s="1" t="s">
        <v>205</v>
      </c>
      <c r="G1227" s="1" t="s">
        <v>56</v>
      </c>
      <c r="H1227" s="1" t="s">
        <v>69</v>
      </c>
      <c r="I1227" s="1" t="s">
        <v>83</v>
      </c>
      <c r="J1227" s="1" t="s">
        <v>77</v>
      </c>
      <c r="K1227" s="1" t="s">
        <v>90</v>
      </c>
      <c r="L1227" s="1" t="s">
        <v>49</v>
      </c>
      <c r="M1227" s="1" t="s">
        <v>38</v>
      </c>
      <c r="N1227" s="1" t="n">
        <v>6999</v>
      </c>
      <c r="O1227" s="1" t="n">
        <v>0</v>
      </c>
      <c r="P1227" s="1" t="n">
        <v>0</v>
      </c>
      <c r="Q1227" s="1" t="n">
        <v>6999</v>
      </c>
      <c r="R1227" s="1" t="n">
        <v>1259.82</v>
      </c>
      <c r="S1227" s="1" t="n">
        <v>5739.18</v>
      </c>
      <c r="T1227" s="1" t="n">
        <v>2297.4</v>
      </c>
      <c r="U1227" s="1" t="n">
        <v>3441.78</v>
      </c>
      <c r="V1227" s="1" t="n">
        <v>59.97</v>
      </c>
      <c r="W1227" s="1" t="s">
        <v>39</v>
      </c>
      <c r="X1227" s="1" t="n">
        <v>3.5</v>
      </c>
      <c r="Y1227" s="1" t="s">
        <v>40</v>
      </c>
      <c r="Z1227" s="1" t="n">
        <v>0</v>
      </c>
      <c r="AA1227" s="1" t="str">
        <f aca="false">TRIM(PROPER(F1227))</f>
        <v>New Delhi</v>
      </c>
      <c r="AB1227" s="1" t="str">
        <f aca="false">TRIM(PROPER(C1227))</f>
        <v>Vedantu</v>
      </c>
      <c r="AC1227" s="1" t="str">
        <f aca="false">IF(O1227=0,"No Discount",IF(O1227&lt;=15,"Low (1-15%)",IF(O1227&lt;=30,"Medium (16-30%)","High (&gt;30%)")))</f>
        <v>No Discount</v>
      </c>
      <c r="AD1227" s="1" t="str">
        <f aca="false">IF(V1227&lt;0,"Loss Making",IF(V1227&lt;20,"Low Margin","Healthy Margin"))</f>
        <v>Healthy Margin</v>
      </c>
      <c r="AE1227" s="1" t="str">
        <f aca="false">TEXT(DATE(VALUE(RIGHT(B1227,4)),VALUE(MID(B1227,4,2)),VALUE(LEFT(B1227,2))),"MMM-YYYY")</f>
        <v>Oct-2024</v>
      </c>
      <c r="AF1227" s="1" t="n">
        <f aca="false">VALUE(RIGHT(B1227,4))</f>
        <v>2024</v>
      </c>
      <c r="AG1227" s="1" t="str">
        <f aca="false">CHOOSE(ROUNDUP(VALUE(MID(B1227,4,2))/3,0),"Q1","Q2","Q3","Q4")</f>
        <v>Q4</v>
      </c>
    </row>
    <row r="1228" customFormat="false" ht="15" hidden="false" customHeight="true" outlineLevel="0" collapsed="false">
      <c r="A1228" s="1" t="s">
        <v>2000</v>
      </c>
      <c r="B1228" s="1" t="s">
        <v>1659</v>
      </c>
      <c r="C1228" s="1" t="s">
        <v>28</v>
      </c>
      <c r="D1228" s="1" t="s">
        <v>94</v>
      </c>
      <c r="E1228" s="1" t="s">
        <v>135</v>
      </c>
      <c r="F1228" s="1" t="s">
        <v>55</v>
      </c>
      <c r="G1228" s="1" t="s">
        <v>56</v>
      </c>
      <c r="H1228" s="1" t="s">
        <v>57</v>
      </c>
      <c r="I1228" s="1" t="s">
        <v>83</v>
      </c>
      <c r="J1228" s="1" t="s">
        <v>77</v>
      </c>
      <c r="K1228" s="1" t="s">
        <v>112</v>
      </c>
      <c r="L1228" s="1" t="s">
        <v>113</v>
      </c>
      <c r="M1228" s="1" t="s">
        <v>38</v>
      </c>
      <c r="N1228" s="1" t="n">
        <v>9999</v>
      </c>
      <c r="O1228" s="1" t="n">
        <v>0</v>
      </c>
      <c r="P1228" s="1" t="n">
        <v>0</v>
      </c>
      <c r="Q1228" s="1" t="n">
        <v>9999</v>
      </c>
      <c r="R1228" s="1" t="n">
        <v>1799.82</v>
      </c>
      <c r="S1228" s="1" t="n">
        <v>8199.18</v>
      </c>
      <c r="T1228" s="1" t="n">
        <v>4037.45</v>
      </c>
      <c r="U1228" s="1" t="n">
        <v>4161.73</v>
      </c>
      <c r="V1228" s="1" t="n">
        <v>50.76</v>
      </c>
      <c r="W1228" s="1" t="s">
        <v>40</v>
      </c>
      <c r="Y1228" s="1" t="s">
        <v>40</v>
      </c>
      <c r="Z1228" s="1" t="n">
        <v>1</v>
      </c>
      <c r="AA1228" s="1" t="str">
        <f aca="false">TRIM(PROPER(F1228))</f>
        <v>Ghaziabad</v>
      </c>
      <c r="AB1228" s="1" t="str">
        <f aca="false">TRIM(PROPER(C1228))</f>
        <v>Embibe</v>
      </c>
      <c r="AC1228" s="1" t="str">
        <f aca="false">IF(O1228=0,"No Discount",IF(O1228&lt;=15,"Low (1-15%)",IF(O1228&lt;=30,"Medium (16-30%)","High (&gt;30%)")))</f>
        <v>No Discount</v>
      </c>
      <c r="AD1228" s="1" t="str">
        <f aca="false">IF(V1228&lt;0,"Loss Making",IF(V1228&lt;20,"Low Margin","Healthy Margin"))</f>
        <v>Healthy Margin</v>
      </c>
      <c r="AE1228" s="1" t="str">
        <f aca="false">TEXT(DATE(VALUE(RIGHT(B1228,4)),VALUE(MID(B1228,4,2)),VALUE(LEFT(B1228,2))),"MMM-YYYY")</f>
        <v>Sep-2023</v>
      </c>
      <c r="AF1228" s="1" t="n">
        <f aca="false">VALUE(RIGHT(B1228,4))</f>
        <v>2023</v>
      </c>
      <c r="AG1228" s="1" t="str">
        <f aca="false">CHOOSE(ROUNDUP(VALUE(MID(B1228,4,2))/3,0),"Q1","Q2","Q3","Q4")</f>
        <v>Q3</v>
      </c>
    </row>
    <row r="1229" customFormat="false" ht="15" hidden="false" customHeight="true" outlineLevel="0" collapsed="false">
      <c r="A1229" s="1" t="s">
        <v>2001</v>
      </c>
      <c r="B1229" s="1" t="s">
        <v>1058</v>
      </c>
      <c r="C1229" s="1" t="s">
        <v>119</v>
      </c>
      <c r="D1229" s="1" t="s">
        <v>143</v>
      </c>
      <c r="E1229" s="1" t="s">
        <v>243</v>
      </c>
      <c r="F1229" s="1" t="s">
        <v>187</v>
      </c>
      <c r="G1229" s="1" t="s">
        <v>97</v>
      </c>
      <c r="H1229" s="1" t="s">
        <v>69</v>
      </c>
      <c r="I1229" s="1" t="s">
        <v>58</v>
      </c>
      <c r="J1229" s="1" t="s">
        <v>35</v>
      </c>
      <c r="K1229" s="1" t="s">
        <v>90</v>
      </c>
      <c r="L1229" s="1" t="s">
        <v>85</v>
      </c>
      <c r="M1229" s="1" t="s">
        <v>38</v>
      </c>
      <c r="N1229" s="1" t="n">
        <v>22999</v>
      </c>
      <c r="O1229" s="1" t="n">
        <v>0</v>
      </c>
      <c r="P1229" s="1" t="n">
        <v>0</v>
      </c>
      <c r="Q1229" s="1" t="n">
        <v>22999</v>
      </c>
      <c r="R1229" s="1" t="n">
        <v>4139.82</v>
      </c>
      <c r="S1229" s="1" t="n">
        <v>18859.18</v>
      </c>
      <c r="T1229" s="1" t="n">
        <v>7875.87</v>
      </c>
      <c r="U1229" s="1" t="n">
        <v>10983.31</v>
      </c>
      <c r="V1229" s="1" t="n">
        <v>58.24</v>
      </c>
      <c r="W1229" s="1" t="s">
        <v>39</v>
      </c>
      <c r="Y1229" s="1" t="s">
        <v>40</v>
      </c>
      <c r="Z1229" s="1" t="n">
        <v>0</v>
      </c>
      <c r="AA1229" s="1" t="str">
        <f aca="false">TRIM(PROPER(F1229))</f>
        <v>Mumbai</v>
      </c>
      <c r="AB1229" s="1" t="str">
        <f aca="false">TRIM(PROPER(C1229))</f>
        <v>Simplilearn</v>
      </c>
      <c r="AC1229" s="1" t="str">
        <f aca="false">IF(O1229=0,"No Discount",IF(O1229&lt;=15,"Low (1-15%)",IF(O1229&lt;=30,"Medium (16-30%)","High (&gt;30%)")))</f>
        <v>No Discount</v>
      </c>
      <c r="AD1229" s="1" t="str">
        <f aca="false">IF(V1229&lt;0,"Loss Making",IF(V1229&lt;20,"Low Margin","Healthy Margin"))</f>
        <v>Healthy Margin</v>
      </c>
      <c r="AE1229" s="1" t="str">
        <f aca="false">TEXT(DATE(VALUE(RIGHT(B1229,4)),VALUE(MID(B1229,4,2)),VALUE(LEFT(B1229,2))),"MMM-YYYY")</f>
        <v>Nov-2024</v>
      </c>
      <c r="AF1229" s="1" t="n">
        <f aca="false">VALUE(RIGHT(B1229,4))</f>
        <v>2024</v>
      </c>
      <c r="AG1229" s="1" t="str">
        <f aca="false">CHOOSE(ROUNDUP(VALUE(MID(B1229,4,2))/3,0),"Q1","Q2","Q3","Q4")</f>
        <v>Q4</v>
      </c>
    </row>
    <row r="1230" customFormat="false" ht="15" hidden="false" customHeight="true" outlineLevel="0" collapsed="false">
      <c r="A1230" s="1" t="s">
        <v>2002</v>
      </c>
      <c r="B1230" s="1" t="s">
        <v>1131</v>
      </c>
      <c r="C1230" s="1" t="s">
        <v>74</v>
      </c>
      <c r="D1230" s="1" t="s">
        <v>94</v>
      </c>
      <c r="E1230" s="1" t="s">
        <v>135</v>
      </c>
      <c r="F1230" s="1" t="s">
        <v>150</v>
      </c>
      <c r="G1230" s="1" t="s">
        <v>32</v>
      </c>
      <c r="H1230" s="1" t="s">
        <v>57</v>
      </c>
      <c r="I1230" s="1" t="s">
        <v>58</v>
      </c>
      <c r="J1230" s="1" t="s">
        <v>131</v>
      </c>
      <c r="K1230" s="1" t="s">
        <v>104</v>
      </c>
      <c r="L1230" s="1" t="s">
        <v>136</v>
      </c>
      <c r="M1230" s="1" t="s">
        <v>38</v>
      </c>
      <c r="N1230" s="1" t="n">
        <v>9999</v>
      </c>
      <c r="O1230" s="1" t="n">
        <v>50</v>
      </c>
      <c r="P1230" s="1" t="n">
        <v>4999.5</v>
      </c>
      <c r="Q1230" s="1" t="n">
        <v>4999.5</v>
      </c>
      <c r="R1230" s="1" t="n">
        <v>899.91</v>
      </c>
      <c r="S1230" s="1" t="n">
        <v>4099.59</v>
      </c>
      <c r="T1230" s="1" t="n">
        <v>2259.68</v>
      </c>
      <c r="U1230" s="1" t="n">
        <v>1839.91</v>
      </c>
      <c r="V1230" s="1" t="n">
        <v>44.88</v>
      </c>
      <c r="W1230" s="1" t="s">
        <v>39</v>
      </c>
      <c r="X1230" s="1" t="n">
        <v>4.4</v>
      </c>
      <c r="Y1230" s="1" t="s">
        <v>40</v>
      </c>
      <c r="Z1230" s="1" t="n">
        <v>0</v>
      </c>
      <c r="AA1230" s="1" t="str">
        <f aca="false">TRIM(PROPER(F1230))</f>
        <v>Jaipur</v>
      </c>
      <c r="AB1230" s="1" t="str">
        <f aca="false">TRIM(PROPER(C1230))</f>
        <v>Vedantu</v>
      </c>
      <c r="AC1230" s="1" t="str">
        <f aca="false">IF(O1230=0,"No Discount",IF(O1230&lt;=15,"Low (1-15%)",IF(O1230&lt;=30,"Medium (16-30%)","High (&gt;30%)")))</f>
        <v>High (&gt;30%)</v>
      </c>
      <c r="AD1230" s="1" t="str">
        <f aca="false">IF(V1230&lt;0,"Loss Making",IF(V1230&lt;20,"Low Margin","Healthy Margin"))</f>
        <v>Healthy Margin</v>
      </c>
      <c r="AE1230" s="1" t="str">
        <f aca="false">TEXT(DATE(VALUE(RIGHT(B1230,4)),VALUE(MID(B1230,4,2)),VALUE(LEFT(B1230,2))),"MMM-YYYY")</f>
        <v>Apr-2024</v>
      </c>
      <c r="AF1230" s="1" t="n">
        <f aca="false">VALUE(RIGHT(B1230,4))</f>
        <v>2024</v>
      </c>
      <c r="AG1230" s="1" t="str">
        <f aca="false">CHOOSE(ROUNDUP(VALUE(MID(B1230,4,2))/3,0),"Q1","Q2","Q3","Q4")</f>
        <v>Q2</v>
      </c>
    </row>
    <row r="1231" customFormat="false" ht="15" hidden="false" customHeight="true" outlineLevel="0" collapsed="false">
      <c r="A1231" s="1" t="s">
        <v>2003</v>
      </c>
      <c r="B1231" s="1" t="s">
        <v>979</v>
      </c>
      <c r="C1231" s="1" t="s">
        <v>264</v>
      </c>
      <c r="D1231" s="1" t="s">
        <v>44</v>
      </c>
      <c r="E1231" s="1" t="s">
        <v>221</v>
      </c>
      <c r="F1231" s="1" t="s">
        <v>184</v>
      </c>
      <c r="G1231" s="1" t="s">
        <v>56</v>
      </c>
      <c r="H1231" s="1" t="s">
        <v>57</v>
      </c>
      <c r="I1231" s="1" t="s">
        <v>58</v>
      </c>
      <c r="J1231" s="1" t="s">
        <v>70</v>
      </c>
      <c r="K1231" s="1" t="s">
        <v>60</v>
      </c>
      <c r="L1231" s="1" t="s">
        <v>113</v>
      </c>
      <c r="M1231" s="1" t="s">
        <v>62</v>
      </c>
      <c r="N1231" s="1" t="n">
        <v>16999</v>
      </c>
      <c r="O1231" s="1" t="n">
        <v>50</v>
      </c>
      <c r="P1231" s="1" t="n">
        <v>8499.5</v>
      </c>
      <c r="Q1231" s="1" t="n">
        <v>8499.5</v>
      </c>
      <c r="R1231" s="1" t="n">
        <v>1529.91</v>
      </c>
      <c r="S1231" s="1" t="n">
        <v>6969.59</v>
      </c>
      <c r="T1231" s="1" t="n">
        <v>3757.82</v>
      </c>
      <c r="U1231" s="1" t="n">
        <v>3211.77</v>
      </c>
      <c r="V1231" s="1" t="n">
        <v>46.08</v>
      </c>
      <c r="W1231" s="1" t="s">
        <v>39</v>
      </c>
      <c r="X1231" s="1" t="n">
        <v>4.4</v>
      </c>
      <c r="Y1231" s="1" t="s">
        <v>39</v>
      </c>
      <c r="Z1231" s="1" t="n">
        <v>0</v>
      </c>
      <c r="AA1231" s="1" t="str">
        <f aca="false">TRIM(PROPER(F1231))</f>
        <v>Faridabad</v>
      </c>
      <c r="AB1231" s="1" t="str">
        <f aca="false">TRIM(PROPER(C1231))</f>
        <v>Unacademy</v>
      </c>
      <c r="AC1231" s="1" t="str">
        <f aca="false">IF(O1231=0,"No Discount",IF(O1231&lt;=15,"Low (1-15%)",IF(O1231&lt;=30,"Medium (16-30%)","High (&gt;30%)")))</f>
        <v>High (&gt;30%)</v>
      </c>
      <c r="AD1231" s="1" t="str">
        <f aca="false">IF(V1231&lt;0,"Loss Making",IF(V1231&lt;20,"Low Margin","Healthy Margin"))</f>
        <v>Healthy Margin</v>
      </c>
      <c r="AE1231" s="1" t="str">
        <f aca="false">TEXT(DATE(VALUE(RIGHT(B1231,4)),VALUE(MID(B1231,4,2)),VALUE(LEFT(B1231,2))),"MMM-YYYY")</f>
        <v>Nov-2023</v>
      </c>
      <c r="AF1231" s="1" t="n">
        <f aca="false">VALUE(RIGHT(B1231,4))</f>
        <v>2023</v>
      </c>
      <c r="AG1231" s="1" t="str">
        <f aca="false">CHOOSE(ROUNDUP(VALUE(MID(B1231,4,2))/3,0),"Q1","Q2","Q3","Q4")</f>
        <v>Q4</v>
      </c>
    </row>
    <row r="1232" customFormat="false" ht="15" hidden="false" customHeight="true" outlineLevel="0" collapsed="false">
      <c r="A1232" s="1" t="s">
        <v>2004</v>
      </c>
      <c r="B1232" s="1" t="s">
        <v>92</v>
      </c>
      <c r="C1232" s="1" t="s">
        <v>167</v>
      </c>
      <c r="D1232" s="1" t="s">
        <v>123</v>
      </c>
      <c r="E1232" s="1" t="s">
        <v>124</v>
      </c>
      <c r="F1232" s="1" t="s">
        <v>120</v>
      </c>
      <c r="G1232" s="1" t="s">
        <v>47</v>
      </c>
      <c r="H1232" s="1" t="s">
        <v>57</v>
      </c>
      <c r="I1232" s="1" t="s">
        <v>34</v>
      </c>
      <c r="J1232" s="1" t="s">
        <v>70</v>
      </c>
      <c r="K1232" s="1" t="s">
        <v>36</v>
      </c>
      <c r="L1232" s="1" t="s">
        <v>61</v>
      </c>
      <c r="M1232" s="1" t="s">
        <v>50</v>
      </c>
      <c r="N1232" s="1" t="n">
        <v>4999</v>
      </c>
      <c r="O1232" s="1" t="n">
        <v>5</v>
      </c>
      <c r="P1232" s="1" t="n">
        <v>249.95</v>
      </c>
      <c r="Q1232" s="1" t="n">
        <v>4749.05</v>
      </c>
      <c r="R1232" s="1" t="n">
        <v>854.83</v>
      </c>
      <c r="S1232" s="1" t="n">
        <v>3894.22</v>
      </c>
      <c r="T1232" s="1" t="n">
        <v>1555.33</v>
      </c>
      <c r="U1232" s="1" t="n">
        <v>2338.89</v>
      </c>
      <c r="V1232" s="1" t="n">
        <v>60.06</v>
      </c>
      <c r="W1232" s="1" t="s">
        <v>40</v>
      </c>
      <c r="Y1232" s="1" t="s">
        <v>40</v>
      </c>
      <c r="Z1232" s="1" t="n">
        <v>2</v>
      </c>
      <c r="AA1232" s="1" t="str">
        <f aca="false">TRIM(PROPER(F1232))</f>
        <v>Mysuru</v>
      </c>
      <c r="AB1232" s="1" t="str">
        <f aca="false">TRIM(PROPER(C1232))</f>
        <v>Scaler</v>
      </c>
      <c r="AC1232" s="1" t="str">
        <f aca="false">IF(O1232=0,"No Discount",IF(O1232&lt;=15,"Low (1-15%)",IF(O1232&lt;=30,"Medium (16-30%)","High (&gt;30%)")))</f>
        <v>Low (1-15%)</v>
      </c>
      <c r="AD1232" s="1" t="str">
        <f aca="false">IF(V1232&lt;0,"Loss Making",IF(V1232&lt;20,"Low Margin","Healthy Margin"))</f>
        <v>Healthy Margin</v>
      </c>
      <c r="AE1232" s="1" t="str">
        <f aca="false">TEXT(DATE(VALUE(RIGHT(B1232,4)),VALUE(MID(B1232,4,2)),VALUE(LEFT(B1232,2))),"MMM-YYYY")</f>
        <v>Jan-2024</v>
      </c>
      <c r="AF1232" s="1" t="n">
        <f aca="false">VALUE(RIGHT(B1232,4))</f>
        <v>2024</v>
      </c>
      <c r="AG1232" s="1" t="str">
        <f aca="false">CHOOSE(ROUNDUP(VALUE(MID(B1232,4,2))/3,0),"Q1","Q2","Q3","Q4")</f>
        <v>Q1</v>
      </c>
    </row>
    <row r="1233" customFormat="false" ht="15" hidden="false" customHeight="true" outlineLevel="0" collapsed="false">
      <c r="A1233" s="1" t="s">
        <v>2005</v>
      </c>
      <c r="B1233" s="1" t="s">
        <v>1621</v>
      </c>
      <c r="C1233" s="1" t="s">
        <v>28</v>
      </c>
      <c r="D1233" s="1" t="s">
        <v>143</v>
      </c>
      <c r="E1233" s="1" t="s">
        <v>210</v>
      </c>
      <c r="F1233" s="1" t="s">
        <v>82</v>
      </c>
      <c r="G1233" s="1" t="s">
        <v>56</v>
      </c>
      <c r="H1233" s="1" t="s">
        <v>69</v>
      </c>
      <c r="I1233" s="1" t="s">
        <v>34</v>
      </c>
      <c r="J1233" s="1" t="s">
        <v>35</v>
      </c>
      <c r="K1233" s="1" t="s">
        <v>36</v>
      </c>
      <c r="L1233" s="1" t="s">
        <v>49</v>
      </c>
      <c r="M1233" s="1" t="s">
        <v>50</v>
      </c>
      <c r="N1233" s="1" t="n">
        <v>18999</v>
      </c>
      <c r="O1233" s="1" t="n">
        <v>20</v>
      </c>
      <c r="P1233" s="1" t="n">
        <v>3799.8</v>
      </c>
      <c r="Q1233" s="1" t="n">
        <v>15199.2</v>
      </c>
      <c r="R1233" s="1" t="n">
        <v>2735.86</v>
      </c>
      <c r="S1233" s="1" t="n">
        <v>12463.34</v>
      </c>
      <c r="T1233" s="1" t="n">
        <v>5491.34</v>
      </c>
      <c r="U1233" s="1" t="n">
        <v>6972</v>
      </c>
      <c r="V1233" s="1" t="n">
        <v>55.94</v>
      </c>
      <c r="W1233" s="1" t="s">
        <v>40</v>
      </c>
      <c r="Y1233" s="1" t="s">
        <v>40</v>
      </c>
      <c r="Z1233" s="1" t="n">
        <v>1</v>
      </c>
      <c r="AA1233" s="1" t="str">
        <f aca="false">TRIM(PROPER(F1233))</f>
        <v>Gurugram</v>
      </c>
      <c r="AB1233" s="1" t="str">
        <f aca="false">TRIM(PROPER(C1233))</f>
        <v>Embibe</v>
      </c>
      <c r="AC1233" s="1" t="str">
        <f aca="false">IF(O1233=0,"No Discount",IF(O1233&lt;=15,"Low (1-15%)",IF(O1233&lt;=30,"Medium (16-30%)","High (&gt;30%)")))</f>
        <v>Medium (16-30%)</v>
      </c>
      <c r="AD1233" s="1" t="str">
        <f aca="false">IF(V1233&lt;0,"Loss Making",IF(V1233&lt;20,"Low Margin","Healthy Margin"))</f>
        <v>Healthy Margin</v>
      </c>
      <c r="AE1233" s="1" t="str">
        <f aca="false">TEXT(DATE(VALUE(RIGHT(B1233,4)),VALUE(MID(B1233,4,2)),VALUE(LEFT(B1233,2))),"MMM-YYYY")</f>
        <v>Mar-2024</v>
      </c>
      <c r="AF1233" s="1" t="n">
        <f aca="false">VALUE(RIGHT(B1233,4))</f>
        <v>2024</v>
      </c>
      <c r="AG1233" s="1" t="str">
        <f aca="false">CHOOSE(ROUNDUP(VALUE(MID(B1233,4,2))/3,0),"Q1","Q2","Q3","Q4")</f>
        <v>Q1</v>
      </c>
    </row>
    <row r="1234" customFormat="false" ht="15" hidden="false" customHeight="true" outlineLevel="0" collapsed="false">
      <c r="A1234" s="1" t="s">
        <v>2006</v>
      </c>
      <c r="B1234" s="1" t="s">
        <v>2007</v>
      </c>
      <c r="C1234" s="1" t="s">
        <v>128</v>
      </c>
      <c r="D1234" s="1" t="s">
        <v>94</v>
      </c>
      <c r="E1234" s="1" t="s">
        <v>101</v>
      </c>
      <c r="F1234" s="1" t="s">
        <v>130</v>
      </c>
      <c r="G1234" s="1" t="s">
        <v>47</v>
      </c>
      <c r="H1234" s="1" t="s">
        <v>69</v>
      </c>
      <c r="I1234" s="1" t="s">
        <v>34</v>
      </c>
      <c r="J1234" s="1" t="s">
        <v>35</v>
      </c>
      <c r="K1234" s="1" t="s">
        <v>48</v>
      </c>
      <c r="L1234" s="1" t="s">
        <v>61</v>
      </c>
      <c r="M1234" s="1" t="s">
        <v>62</v>
      </c>
      <c r="N1234" s="1" t="n">
        <v>14999</v>
      </c>
      <c r="O1234" s="1" t="n">
        <v>10</v>
      </c>
      <c r="P1234" s="1" t="n">
        <v>1499.9</v>
      </c>
      <c r="Q1234" s="1" t="n">
        <v>13499.1</v>
      </c>
      <c r="R1234" s="1" t="n">
        <v>2429.84</v>
      </c>
      <c r="S1234" s="1" t="n">
        <v>11069.26</v>
      </c>
      <c r="T1234" s="1" t="n">
        <v>5183.82</v>
      </c>
      <c r="U1234" s="1" t="n">
        <v>5885.44</v>
      </c>
      <c r="V1234" s="1" t="n">
        <v>53.17</v>
      </c>
      <c r="W1234" s="1" t="s">
        <v>39</v>
      </c>
      <c r="X1234" s="1" t="n">
        <v>3.2</v>
      </c>
      <c r="Y1234" s="1" t="s">
        <v>40</v>
      </c>
      <c r="Z1234" s="1" t="n">
        <v>0</v>
      </c>
      <c r="AA1234" s="1" t="str">
        <f aca="false">TRIM(PROPER(F1234))</f>
        <v>Bengaluru</v>
      </c>
      <c r="AB1234" s="1" t="str">
        <f aca="false">TRIM(PROPER(C1234))</f>
        <v>Great Learning</v>
      </c>
      <c r="AC1234" s="1" t="str">
        <f aca="false">IF(O1234=0,"No Discount",IF(O1234&lt;=15,"Low (1-15%)",IF(O1234&lt;=30,"Medium (16-30%)","High (&gt;30%)")))</f>
        <v>Low (1-15%)</v>
      </c>
      <c r="AD1234" s="1" t="str">
        <f aca="false">IF(V1234&lt;0,"Loss Making",IF(V1234&lt;20,"Low Margin","Healthy Margin"))</f>
        <v>Healthy Margin</v>
      </c>
      <c r="AE1234" s="1" t="str">
        <f aca="false">TEXT(DATE(VALUE(RIGHT(B1234,4)),VALUE(MID(B1234,4,2)),VALUE(LEFT(B1234,2))),"MMM-YYYY")</f>
        <v>Dec-2024</v>
      </c>
      <c r="AF1234" s="1" t="n">
        <f aca="false">VALUE(RIGHT(B1234,4))</f>
        <v>2024</v>
      </c>
      <c r="AG1234" s="1" t="str">
        <f aca="false">CHOOSE(ROUNDUP(VALUE(MID(B1234,4,2))/3,0),"Q1","Q2","Q3","Q4")</f>
        <v>Q4</v>
      </c>
    </row>
    <row r="1235" customFormat="false" ht="15" hidden="false" customHeight="true" outlineLevel="0" collapsed="false">
      <c r="A1235" s="1" t="s">
        <v>2008</v>
      </c>
      <c r="B1235" s="1" t="s">
        <v>841</v>
      </c>
      <c r="C1235" s="1" t="s">
        <v>264</v>
      </c>
      <c r="D1235" s="1" t="s">
        <v>53</v>
      </c>
      <c r="E1235" s="1" t="s">
        <v>116</v>
      </c>
      <c r="F1235" s="1" t="s">
        <v>75</v>
      </c>
      <c r="G1235" s="1" t="s">
        <v>76</v>
      </c>
      <c r="H1235" s="1" t="s">
        <v>69</v>
      </c>
      <c r="I1235" s="1" t="s">
        <v>34</v>
      </c>
      <c r="J1235" s="1" t="s">
        <v>59</v>
      </c>
      <c r="K1235" s="1" t="s">
        <v>84</v>
      </c>
      <c r="L1235" s="1" t="s">
        <v>136</v>
      </c>
      <c r="M1235" s="1" t="s">
        <v>50</v>
      </c>
      <c r="N1235" s="1" t="n">
        <v>9999</v>
      </c>
      <c r="O1235" s="1" t="n">
        <v>10</v>
      </c>
      <c r="P1235" s="1" t="n">
        <v>999.9</v>
      </c>
      <c r="Q1235" s="1" t="n">
        <v>8999.1</v>
      </c>
      <c r="R1235" s="1" t="n">
        <v>1619.84</v>
      </c>
      <c r="S1235" s="1" t="n">
        <v>7379.26</v>
      </c>
      <c r="T1235" s="1" t="n">
        <v>2923.79</v>
      </c>
      <c r="U1235" s="1" t="n">
        <v>4455.47</v>
      </c>
      <c r="V1235" s="1" t="n">
        <v>60.38</v>
      </c>
      <c r="W1235" s="1" t="s">
        <v>39</v>
      </c>
      <c r="X1235" s="1" t="n">
        <v>3.8</v>
      </c>
      <c r="Y1235" s="1" t="s">
        <v>40</v>
      </c>
      <c r="Z1235" s="1" t="n">
        <v>1</v>
      </c>
      <c r="AA1235" s="1" t="str">
        <f aca="false">TRIM(PROPER(F1235))</f>
        <v>Kolkata</v>
      </c>
      <c r="AB1235" s="1" t="str">
        <f aca="false">TRIM(PROPER(C1235))</f>
        <v>Unacademy</v>
      </c>
      <c r="AC1235" s="1" t="str">
        <f aca="false">IF(O1235=0,"No Discount",IF(O1235&lt;=15,"Low (1-15%)",IF(O1235&lt;=30,"Medium (16-30%)","High (&gt;30%)")))</f>
        <v>Low (1-15%)</v>
      </c>
      <c r="AD1235" s="1" t="str">
        <f aca="false">IF(V1235&lt;0,"Loss Making",IF(V1235&lt;20,"Low Margin","Healthy Margin"))</f>
        <v>Healthy Margin</v>
      </c>
      <c r="AE1235" s="1" t="str">
        <f aca="false">TEXT(DATE(VALUE(RIGHT(B1235,4)),VALUE(MID(B1235,4,2)),VALUE(LEFT(B1235,2))),"MMM-YYYY")</f>
        <v>Dec-2024</v>
      </c>
      <c r="AF1235" s="1" t="n">
        <f aca="false">VALUE(RIGHT(B1235,4))</f>
        <v>2024</v>
      </c>
      <c r="AG1235" s="1" t="str">
        <f aca="false">CHOOSE(ROUNDUP(VALUE(MID(B1235,4,2))/3,0),"Q1","Q2","Q3","Q4")</f>
        <v>Q4</v>
      </c>
    </row>
    <row r="1236" customFormat="false" ht="15" hidden="false" customHeight="true" outlineLevel="0" collapsed="false">
      <c r="A1236" s="1" t="s">
        <v>2009</v>
      </c>
      <c r="B1236" s="1" t="s">
        <v>366</v>
      </c>
      <c r="C1236" s="1" t="s">
        <v>128</v>
      </c>
      <c r="D1236" s="1" t="s">
        <v>44</v>
      </c>
      <c r="E1236" s="1" t="s">
        <v>221</v>
      </c>
      <c r="F1236" s="1" t="s">
        <v>46</v>
      </c>
      <c r="G1236" s="1" t="s">
        <v>47</v>
      </c>
      <c r="H1236" s="1" t="s">
        <v>33</v>
      </c>
      <c r="I1236" s="1" t="s">
        <v>34</v>
      </c>
      <c r="J1236" s="1" t="s">
        <v>59</v>
      </c>
      <c r="K1236" s="1" t="s">
        <v>48</v>
      </c>
      <c r="L1236" s="1" t="s">
        <v>136</v>
      </c>
      <c r="M1236" s="1" t="s">
        <v>38</v>
      </c>
      <c r="N1236" s="1" t="n">
        <v>16999</v>
      </c>
      <c r="O1236" s="1" t="n">
        <v>25</v>
      </c>
      <c r="P1236" s="1" t="n">
        <v>4249.75</v>
      </c>
      <c r="Q1236" s="1" t="n">
        <v>12749.25</v>
      </c>
      <c r="R1236" s="1" t="n">
        <v>2294.86</v>
      </c>
      <c r="S1236" s="1" t="n">
        <v>10454.39</v>
      </c>
      <c r="T1236" s="1" t="n">
        <v>5333.03</v>
      </c>
      <c r="U1236" s="1" t="n">
        <v>5121.36</v>
      </c>
      <c r="V1236" s="1" t="n">
        <v>48.99</v>
      </c>
      <c r="W1236" s="1" t="s">
        <v>40</v>
      </c>
      <c r="Y1236" s="1" t="s">
        <v>40</v>
      </c>
      <c r="Z1236" s="1" t="n">
        <v>0</v>
      </c>
      <c r="AA1236" s="1" t="str">
        <f aca="false">TRIM(PROPER(F1236))</f>
        <v>Mangaluru</v>
      </c>
      <c r="AB1236" s="1" t="str">
        <f aca="false">TRIM(PROPER(C1236))</f>
        <v>Great Learning</v>
      </c>
      <c r="AC1236" s="1" t="str">
        <f aca="false">IF(O1236=0,"No Discount",IF(O1236&lt;=15,"Low (1-15%)",IF(O1236&lt;=30,"Medium (16-30%)","High (&gt;30%)")))</f>
        <v>Medium (16-30%)</v>
      </c>
      <c r="AD1236" s="1" t="str">
        <f aca="false">IF(V1236&lt;0,"Loss Making",IF(V1236&lt;20,"Low Margin","Healthy Margin"))</f>
        <v>Healthy Margin</v>
      </c>
      <c r="AE1236" s="1" t="str">
        <f aca="false">TEXT(DATE(VALUE(RIGHT(B1236,4)),VALUE(MID(B1236,4,2)),VALUE(LEFT(B1236,2))),"MMM-YYYY")</f>
        <v>Apr-2023</v>
      </c>
      <c r="AF1236" s="1" t="n">
        <f aca="false">VALUE(RIGHT(B1236,4))</f>
        <v>2023</v>
      </c>
      <c r="AG1236" s="1" t="str">
        <f aca="false">CHOOSE(ROUNDUP(VALUE(MID(B1236,4,2))/3,0),"Q1","Q2","Q3","Q4")</f>
        <v>Q2</v>
      </c>
    </row>
    <row r="1237" customFormat="false" ht="15" hidden="false" customHeight="true" outlineLevel="0" collapsed="false">
      <c r="A1237" s="1" t="s">
        <v>2010</v>
      </c>
      <c r="B1237" s="1" t="s">
        <v>2011</v>
      </c>
      <c r="C1237" s="1" t="s">
        <v>167</v>
      </c>
      <c r="D1237" s="1" t="s">
        <v>29</v>
      </c>
      <c r="E1237" s="1" t="s">
        <v>182</v>
      </c>
      <c r="F1237" s="1" t="s">
        <v>153</v>
      </c>
      <c r="G1237" s="1" t="s">
        <v>76</v>
      </c>
      <c r="H1237" s="1" t="s">
        <v>33</v>
      </c>
      <c r="I1237" s="1" t="s">
        <v>34</v>
      </c>
      <c r="J1237" s="1" t="s">
        <v>77</v>
      </c>
      <c r="K1237" s="1" t="s">
        <v>104</v>
      </c>
      <c r="L1237" s="1" t="s">
        <v>61</v>
      </c>
      <c r="M1237" s="1" t="s">
        <v>50</v>
      </c>
      <c r="N1237" s="1" t="n">
        <v>34999</v>
      </c>
      <c r="O1237" s="1" t="n">
        <v>10</v>
      </c>
      <c r="P1237" s="1" t="n">
        <v>3499.9</v>
      </c>
      <c r="Q1237" s="1" t="n">
        <v>31499.1</v>
      </c>
      <c r="R1237" s="1" t="n">
        <v>5669.84</v>
      </c>
      <c r="S1237" s="1" t="n">
        <v>25829.26</v>
      </c>
      <c r="T1237" s="1" t="n">
        <v>11723.71</v>
      </c>
      <c r="U1237" s="1" t="n">
        <v>14105.55</v>
      </c>
      <c r="V1237" s="1" t="n">
        <v>54.61</v>
      </c>
      <c r="W1237" s="1" t="s">
        <v>39</v>
      </c>
      <c r="X1237" s="1" t="n">
        <v>4.5</v>
      </c>
      <c r="Y1237" s="1" t="s">
        <v>40</v>
      </c>
      <c r="Z1237" s="1" t="n">
        <v>0</v>
      </c>
      <c r="AA1237" s="1" t="str">
        <f aca="false">TRIM(PROPER(F1237))</f>
        <v>Howrah</v>
      </c>
      <c r="AB1237" s="1" t="str">
        <f aca="false">TRIM(PROPER(C1237))</f>
        <v>Scaler</v>
      </c>
      <c r="AC1237" s="1" t="str">
        <f aca="false">IF(O1237=0,"No Discount",IF(O1237&lt;=15,"Low (1-15%)",IF(O1237&lt;=30,"Medium (16-30%)","High (&gt;30%)")))</f>
        <v>Low (1-15%)</v>
      </c>
      <c r="AD1237" s="1" t="str">
        <f aca="false">IF(V1237&lt;0,"Loss Making",IF(V1237&lt;20,"Low Margin","Healthy Margin"))</f>
        <v>Healthy Margin</v>
      </c>
      <c r="AE1237" s="1" t="str">
        <f aca="false">TEXT(DATE(VALUE(RIGHT(B1237,4)),VALUE(MID(B1237,4,2)),VALUE(LEFT(B1237,2))),"MMM-YYYY")</f>
        <v>Dec-2023</v>
      </c>
      <c r="AF1237" s="1" t="n">
        <f aca="false">VALUE(RIGHT(B1237,4))</f>
        <v>2023</v>
      </c>
      <c r="AG1237" s="1" t="str">
        <f aca="false">CHOOSE(ROUNDUP(VALUE(MID(B1237,4,2))/3,0),"Q1","Q2","Q3","Q4")</f>
        <v>Q4</v>
      </c>
    </row>
    <row r="1238" customFormat="false" ht="15" hidden="false" customHeight="true" outlineLevel="0" collapsed="false">
      <c r="A1238" s="1" t="s">
        <v>2012</v>
      </c>
      <c r="B1238" s="1" t="s">
        <v>1141</v>
      </c>
      <c r="C1238" s="1" t="s">
        <v>28</v>
      </c>
      <c r="D1238" s="1" t="s">
        <v>123</v>
      </c>
      <c r="E1238" s="1" t="s">
        <v>124</v>
      </c>
      <c r="F1238" s="1" t="s">
        <v>130</v>
      </c>
      <c r="G1238" s="1" t="s">
        <v>47</v>
      </c>
      <c r="H1238" s="1" t="s">
        <v>69</v>
      </c>
      <c r="I1238" s="1" t="s">
        <v>58</v>
      </c>
      <c r="J1238" s="1" t="s">
        <v>59</v>
      </c>
      <c r="K1238" s="1" t="s">
        <v>60</v>
      </c>
      <c r="L1238" s="1" t="s">
        <v>49</v>
      </c>
      <c r="M1238" s="1" t="s">
        <v>62</v>
      </c>
      <c r="N1238" s="1" t="n">
        <v>4999</v>
      </c>
      <c r="O1238" s="1" t="n">
        <v>0</v>
      </c>
      <c r="P1238" s="1" t="n">
        <v>0</v>
      </c>
      <c r="Q1238" s="1" t="n">
        <v>4999</v>
      </c>
      <c r="R1238" s="1" t="n">
        <v>899.82</v>
      </c>
      <c r="S1238" s="1" t="n">
        <v>4099.18</v>
      </c>
      <c r="T1238" s="1" t="n">
        <v>1636.71</v>
      </c>
      <c r="U1238" s="1" t="n">
        <v>2462.47</v>
      </c>
      <c r="V1238" s="1" t="n">
        <v>60.07</v>
      </c>
      <c r="W1238" s="1" t="s">
        <v>40</v>
      </c>
      <c r="Y1238" s="1" t="s">
        <v>40</v>
      </c>
      <c r="Z1238" s="1" t="n">
        <v>0</v>
      </c>
      <c r="AA1238" s="1" t="str">
        <f aca="false">TRIM(PROPER(F1238))</f>
        <v>Bengaluru</v>
      </c>
      <c r="AB1238" s="1" t="str">
        <f aca="false">TRIM(PROPER(C1238))</f>
        <v>Embibe</v>
      </c>
      <c r="AC1238" s="1" t="str">
        <f aca="false">IF(O1238=0,"No Discount",IF(O1238&lt;=15,"Low (1-15%)",IF(O1238&lt;=30,"Medium (16-30%)","High (&gt;30%)")))</f>
        <v>No Discount</v>
      </c>
      <c r="AD1238" s="1" t="str">
        <f aca="false">IF(V1238&lt;0,"Loss Making",IF(V1238&lt;20,"Low Margin","Healthy Margin"))</f>
        <v>Healthy Margin</v>
      </c>
      <c r="AE1238" s="1" t="str">
        <f aca="false">TEXT(DATE(VALUE(RIGHT(B1238,4)),VALUE(MID(B1238,4,2)),VALUE(LEFT(B1238,2))),"MMM-YYYY")</f>
        <v>Jun-2024</v>
      </c>
      <c r="AF1238" s="1" t="n">
        <f aca="false">VALUE(RIGHT(B1238,4))</f>
        <v>2024</v>
      </c>
      <c r="AG1238" s="1" t="str">
        <f aca="false">CHOOSE(ROUNDUP(VALUE(MID(B1238,4,2))/3,0),"Q1","Q2","Q3","Q4")</f>
        <v>Q2</v>
      </c>
    </row>
    <row r="1239" customFormat="false" ht="15" hidden="false" customHeight="true" outlineLevel="0" collapsed="false">
      <c r="A1239" s="1" t="s">
        <v>2013</v>
      </c>
      <c r="B1239" s="1" t="s">
        <v>2014</v>
      </c>
      <c r="C1239" s="1" t="s">
        <v>134</v>
      </c>
      <c r="D1239" s="1" t="s">
        <v>44</v>
      </c>
      <c r="E1239" s="1" t="s">
        <v>45</v>
      </c>
      <c r="F1239" s="1" t="s">
        <v>184</v>
      </c>
      <c r="G1239" s="1" t="s">
        <v>56</v>
      </c>
      <c r="H1239" s="1" t="s">
        <v>57</v>
      </c>
      <c r="I1239" s="1" t="s">
        <v>58</v>
      </c>
      <c r="J1239" s="1" t="s">
        <v>59</v>
      </c>
      <c r="K1239" s="1" t="s">
        <v>36</v>
      </c>
      <c r="L1239" s="1" t="s">
        <v>37</v>
      </c>
      <c r="M1239" s="1" t="s">
        <v>38</v>
      </c>
      <c r="N1239" s="1" t="n">
        <v>11999</v>
      </c>
      <c r="O1239" s="1" t="n">
        <v>10</v>
      </c>
      <c r="P1239" s="1" t="n">
        <v>1199.9</v>
      </c>
      <c r="Q1239" s="1" t="n">
        <v>10799.1</v>
      </c>
      <c r="R1239" s="1" t="n">
        <v>1943.84</v>
      </c>
      <c r="S1239" s="1" t="n">
        <v>8855.26</v>
      </c>
      <c r="T1239" s="1" t="n">
        <v>3808.78</v>
      </c>
      <c r="U1239" s="1" t="n">
        <v>5046.48</v>
      </c>
      <c r="V1239" s="1" t="n">
        <v>56.99</v>
      </c>
      <c r="W1239" s="1" t="s">
        <v>39</v>
      </c>
      <c r="X1239" s="1" t="n">
        <v>4.2</v>
      </c>
      <c r="Y1239" s="1" t="s">
        <v>39</v>
      </c>
      <c r="Z1239" s="1" t="n">
        <v>0</v>
      </c>
      <c r="AA1239" s="1" t="str">
        <f aca="false">TRIM(PROPER(F1239))</f>
        <v>Faridabad</v>
      </c>
      <c r="AB1239" s="1" t="str">
        <f aca="false">TRIM(PROPER(C1239))</f>
        <v>Doubtnut</v>
      </c>
      <c r="AC1239" s="1" t="str">
        <f aca="false">IF(O1239=0,"No Discount",IF(O1239&lt;=15,"Low (1-15%)",IF(O1239&lt;=30,"Medium (16-30%)","High (&gt;30%)")))</f>
        <v>Low (1-15%)</v>
      </c>
      <c r="AD1239" s="1" t="str">
        <f aca="false">IF(V1239&lt;0,"Loss Making",IF(V1239&lt;20,"Low Margin","Healthy Margin"))</f>
        <v>Healthy Margin</v>
      </c>
      <c r="AE1239" s="1" t="str">
        <f aca="false">TEXT(DATE(VALUE(RIGHT(B1239,4)),VALUE(MID(B1239,4,2)),VALUE(LEFT(B1239,2))),"MMM-YYYY")</f>
        <v>Oct-2023</v>
      </c>
      <c r="AF1239" s="1" t="n">
        <f aca="false">VALUE(RIGHT(B1239,4))</f>
        <v>2023</v>
      </c>
      <c r="AG1239" s="1" t="str">
        <f aca="false">CHOOSE(ROUNDUP(VALUE(MID(B1239,4,2))/3,0),"Q1","Q2","Q3","Q4")</f>
        <v>Q4</v>
      </c>
    </row>
    <row r="1240" customFormat="false" ht="15" hidden="false" customHeight="true" outlineLevel="0" collapsed="false">
      <c r="A1240" s="1" t="s">
        <v>2015</v>
      </c>
      <c r="B1240" s="1" t="s">
        <v>1636</v>
      </c>
      <c r="C1240" s="1" t="s">
        <v>88</v>
      </c>
      <c r="D1240" s="1" t="s">
        <v>123</v>
      </c>
      <c r="E1240" s="1" t="s">
        <v>147</v>
      </c>
      <c r="F1240" s="1" t="s">
        <v>130</v>
      </c>
      <c r="G1240" s="1" t="s">
        <v>47</v>
      </c>
      <c r="H1240" s="1" t="s">
        <v>69</v>
      </c>
      <c r="I1240" s="1" t="s">
        <v>34</v>
      </c>
      <c r="J1240" s="1" t="s">
        <v>35</v>
      </c>
      <c r="K1240" s="1" t="s">
        <v>112</v>
      </c>
      <c r="L1240" s="1" t="s">
        <v>37</v>
      </c>
      <c r="M1240" s="1" t="s">
        <v>38</v>
      </c>
      <c r="N1240" s="1" t="n">
        <v>6999</v>
      </c>
      <c r="O1240" s="1" t="n">
        <v>5</v>
      </c>
      <c r="P1240" s="1" t="n">
        <v>349.95</v>
      </c>
      <c r="Q1240" s="1" t="n">
        <v>6649.05</v>
      </c>
      <c r="R1240" s="1" t="n">
        <v>1196.83</v>
      </c>
      <c r="S1240" s="1" t="n">
        <v>5452.22</v>
      </c>
      <c r="T1240" s="1" t="n">
        <v>2311.64</v>
      </c>
      <c r="U1240" s="1" t="n">
        <v>3140.58</v>
      </c>
      <c r="V1240" s="1" t="n">
        <v>57.6</v>
      </c>
      <c r="W1240" s="1" t="s">
        <v>40</v>
      </c>
      <c r="Y1240" s="1" t="s">
        <v>40</v>
      </c>
      <c r="Z1240" s="1" t="n">
        <v>0</v>
      </c>
      <c r="AA1240" s="1" t="str">
        <f aca="false">TRIM(PROPER(F1240))</f>
        <v>Bengaluru</v>
      </c>
      <c r="AB1240" s="1" t="str">
        <f aca="false">TRIM(PROPER(C1240))</f>
        <v>Byju'S</v>
      </c>
      <c r="AC1240" s="1" t="str">
        <f aca="false">IF(O1240=0,"No Discount",IF(O1240&lt;=15,"Low (1-15%)",IF(O1240&lt;=30,"Medium (16-30%)","High (&gt;30%)")))</f>
        <v>Low (1-15%)</v>
      </c>
      <c r="AD1240" s="1" t="str">
        <f aca="false">IF(V1240&lt;0,"Loss Making",IF(V1240&lt;20,"Low Margin","Healthy Margin"))</f>
        <v>Healthy Margin</v>
      </c>
      <c r="AE1240" s="1" t="str">
        <f aca="false">TEXT(DATE(VALUE(RIGHT(B1240,4)),VALUE(MID(B1240,4,2)),VALUE(LEFT(B1240,2))),"MMM-YYYY")</f>
        <v>May-2023</v>
      </c>
      <c r="AF1240" s="1" t="n">
        <f aca="false">VALUE(RIGHT(B1240,4))</f>
        <v>2023</v>
      </c>
      <c r="AG1240" s="1" t="str">
        <f aca="false">CHOOSE(ROUNDUP(VALUE(MID(B1240,4,2))/3,0),"Q1","Q2","Q3","Q4")</f>
        <v>Q2</v>
      </c>
    </row>
    <row r="1241" customFormat="false" ht="15" hidden="false" customHeight="true" outlineLevel="0" collapsed="false">
      <c r="A1241" s="1" t="s">
        <v>2016</v>
      </c>
      <c r="B1241" s="1" t="s">
        <v>1250</v>
      </c>
      <c r="C1241" s="1" t="s">
        <v>264</v>
      </c>
      <c r="D1241" s="1" t="s">
        <v>80</v>
      </c>
      <c r="E1241" s="1" t="s">
        <v>193</v>
      </c>
      <c r="F1241" s="1" t="s">
        <v>31</v>
      </c>
      <c r="G1241" s="1" t="s">
        <v>32</v>
      </c>
      <c r="H1241" s="1" t="s">
        <v>33</v>
      </c>
      <c r="I1241" s="1" t="s">
        <v>83</v>
      </c>
      <c r="J1241" s="1" t="s">
        <v>35</v>
      </c>
      <c r="K1241" s="1" t="s">
        <v>48</v>
      </c>
      <c r="L1241" s="1" t="s">
        <v>37</v>
      </c>
      <c r="M1241" s="1" t="s">
        <v>38</v>
      </c>
      <c r="N1241" s="1" t="n">
        <v>8999</v>
      </c>
      <c r="O1241" s="1" t="n">
        <v>10</v>
      </c>
      <c r="P1241" s="1" t="n">
        <v>899.9</v>
      </c>
      <c r="Q1241" s="1" t="n">
        <v>8099.1</v>
      </c>
      <c r="R1241" s="1" t="n">
        <v>1457.84</v>
      </c>
      <c r="S1241" s="1" t="n">
        <v>6641.26</v>
      </c>
      <c r="T1241" s="1" t="n">
        <v>2518.29</v>
      </c>
      <c r="U1241" s="1" t="n">
        <v>4122.97</v>
      </c>
      <c r="V1241" s="1" t="n">
        <v>62.08</v>
      </c>
      <c r="W1241" s="1" t="s">
        <v>39</v>
      </c>
      <c r="X1241" s="1" t="n">
        <v>3.9</v>
      </c>
      <c r="Y1241" s="1" t="s">
        <v>39</v>
      </c>
      <c r="Z1241" s="1" t="n">
        <v>0</v>
      </c>
      <c r="AA1241" s="1" t="str">
        <f aca="false">TRIM(PROPER(F1241))</f>
        <v>Jodhpur</v>
      </c>
      <c r="AB1241" s="1" t="str">
        <f aca="false">TRIM(PROPER(C1241))</f>
        <v>Unacademy</v>
      </c>
      <c r="AC1241" s="1" t="str">
        <f aca="false">IF(O1241=0,"No Discount",IF(O1241&lt;=15,"Low (1-15%)",IF(O1241&lt;=30,"Medium (16-30%)","High (&gt;30%)")))</f>
        <v>Low (1-15%)</v>
      </c>
      <c r="AD1241" s="1" t="str">
        <f aca="false">IF(V1241&lt;0,"Loss Making",IF(V1241&lt;20,"Low Margin","Healthy Margin"))</f>
        <v>Healthy Margin</v>
      </c>
      <c r="AE1241" s="1" t="str">
        <f aca="false">TEXT(DATE(VALUE(RIGHT(B1241,4)),VALUE(MID(B1241,4,2)),VALUE(LEFT(B1241,2))),"MMM-YYYY")</f>
        <v>Jul-2023</v>
      </c>
      <c r="AF1241" s="1" t="n">
        <f aca="false">VALUE(RIGHT(B1241,4))</f>
        <v>2023</v>
      </c>
      <c r="AG1241" s="1" t="str">
        <f aca="false">CHOOSE(ROUNDUP(VALUE(MID(B1241,4,2))/3,0),"Q1","Q2","Q3","Q4")</f>
        <v>Q3</v>
      </c>
    </row>
    <row r="1242" customFormat="false" ht="15" hidden="false" customHeight="true" outlineLevel="0" collapsed="false">
      <c r="A1242" s="1" t="s">
        <v>2017</v>
      </c>
      <c r="B1242" s="1" t="s">
        <v>2018</v>
      </c>
      <c r="C1242" s="1" t="s">
        <v>93</v>
      </c>
      <c r="D1242" s="1" t="s">
        <v>29</v>
      </c>
      <c r="E1242" s="1" t="s">
        <v>305</v>
      </c>
      <c r="F1242" s="1" t="s">
        <v>120</v>
      </c>
      <c r="G1242" s="1" t="s">
        <v>47</v>
      </c>
      <c r="H1242" s="1" t="s">
        <v>57</v>
      </c>
      <c r="I1242" s="1" t="s">
        <v>34</v>
      </c>
      <c r="J1242" s="1" t="s">
        <v>70</v>
      </c>
      <c r="K1242" s="1" t="s">
        <v>90</v>
      </c>
      <c r="L1242" s="1" t="s">
        <v>37</v>
      </c>
      <c r="M1242" s="1" t="s">
        <v>62</v>
      </c>
      <c r="N1242" s="1" t="n">
        <v>24999</v>
      </c>
      <c r="O1242" s="1" t="n">
        <v>50</v>
      </c>
      <c r="P1242" s="1" t="n">
        <v>12499.5</v>
      </c>
      <c r="Q1242" s="1" t="n">
        <v>12499.5</v>
      </c>
      <c r="R1242" s="1" t="n">
        <v>2249.91</v>
      </c>
      <c r="S1242" s="1" t="n">
        <v>10249.59</v>
      </c>
      <c r="T1242" s="1" t="n">
        <v>5124.18</v>
      </c>
      <c r="U1242" s="1" t="n">
        <v>5125.41</v>
      </c>
      <c r="V1242" s="1" t="n">
        <v>50.01</v>
      </c>
      <c r="W1242" s="1" t="s">
        <v>39</v>
      </c>
      <c r="X1242" s="1" t="n">
        <v>4.5</v>
      </c>
      <c r="Y1242" s="1" t="s">
        <v>40</v>
      </c>
      <c r="Z1242" s="1" t="n">
        <v>1</v>
      </c>
      <c r="AA1242" s="1" t="str">
        <f aca="false">TRIM(PROPER(F1242))</f>
        <v>Mysuru</v>
      </c>
      <c r="AB1242" s="1" t="str">
        <f aca="false">TRIM(PROPER(C1242))</f>
        <v>Upgrad</v>
      </c>
      <c r="AC1242" s="1" t="str">
        <f aca="false">IF(O1242=0,"No Discount",IF(O1242&lt;=15,"Low (1-15%)",IF(O1242&lt;=30,"Medium (16-30%)","High (&gt;30%)")))</f>
        <v>High (&gt;30%)</v>
      </c>
      <c r="AD1242" s="1" t="str">
        <f aca="false">IF(V1242&lt;0,"Loss Making",IF(V1242&lt;20,"Low Margin","Healthy Margin"))</f>
        <v>Healthy Margin</v>
      </c>
      <c r="AE1242" s="1" t="str">
        <f aca="false">TEXT(DATE(VALUE(RIGHT(B1242,4)),VALUE(MID(B1242,4,2)),VALUE(LEFT(B1242,2))),"MMM-YYYY")</f>
        <v>Oct-2023</v>
      </c>
      <c r="AF1242" s="1" t="n">
        <f aca="false">VALUE(RIGHT(B1242,4))</f>
        <v>2023</v>
      </c>
      <c r="AG1242" s="1" t="str">
        <f aca="false">CHOOSE(ROUNDUP(VALUE(MID(B1242,4,2))/3,0),"Q1","Q2","Q3","Q4")</f>
        <v>Q4</v>
      </c>
    </row>
    <row r="1243" customFormat="false" ht="15" hidden="false" customHeight="true" outlineLevel="0" collapsed="false">
      <c r="A1243" s="1" t="s">
        <v>2019</v>
      </c>
      <c r="B1243" s="1" t="s">
        <v>415</v>
      </c>
      <c r="C1243" s="1" t="s">
        <v>134</v>
      </c>
      <c r="D1243" s="1" t="s">
        <v>80</v>
      </c>
      <c r="E1243" s="1" t="s">
        <v>193</v>
      </c>
      <c r="F1243" s="1" t="s">
        <v>89</v>
      </c>
      <c r="G1243" s="1" t="s">
        <v>68</v>
      </c>
      <c r="H1243" s="1" t="s">
        <v>33</v>
      </c>
      <c r="I1243" s="1" t="s">
        <v>58</v>
      </c>
      <c r="J1243" s="1" t="s">
        <v>77</v>
      </c>
      <c r="K1243" s="1" t="s">
        <v>48</v>
      </c>
      <c r="L1243" s="1" t="s">
        <v>49</v>
      </c>
      <c r="M1243" s="1" t="s">
        <v>50</v>
      </c>
      <c r="N1243" s="1" t="n">
        <v>8999</v>
      </c>
      <c r="O1243" s="1" t="n">
        <v>0</v>
      </c>
      <c r="P1243" s="1" t="n">
        <v>0</v>
      </c>
      <c r="Q1243" s="1" t="n">
        <v>8999</v>
      </c>
      <c r="R1243" s="1" t="n">
        <v>1619.82</v>
      </c>
      <c r="S1243" s="1" t="n">
        <v>7379.18</v>
      </c>
      <c r="T1243" s="1" t="n">
        <v>3288.04</v>
      </c>
      <c r="U1243" s="1" t="n">
        <v>4091.14</v>
      </c>
      <c r="V1243" s="1" t="n">
        <v>55.44</v>
      </c>
      <c r="W1243" s="1" t="s">
        <v>39</v>
      </c>
      <c r="X1243" s="1" t="n">
        <v>4.7</v>
      </c>
      <c r="Y1243" s="1" t="s">
        <v>40</v>
      </c>
      <c r="Z1243" s="1" t="n">
        <v>1</v>
      </c>
      <c r="AA1243" s="1" t="str">
        <f aca="false">TRIM(PROPER(F1243))</f>
        <v>Vadodara</v>
      </c>
      <c r="AB1243" s="1" t="str">
        <f aca="false">TRIM(PROPER(C1243))</f>
        <v>Doubtnut</v>
      </c>
      <c r="AC1243" s="1" t="str">
        <f aca="false">IF(O1243=0,"No Discount",IF(O1243&lt;=15,"Low (1-15%)",IF(O1243&lt;=30,"Medium (16-30%)","High (&gt;30%)")))</f>
        <v>No Discount</v>
      </c>
      <c r="AD1243" s="1" t="str">
        <f aca="false">IF(V1243&lt;0,"Loss Making",IF(V1243&lt;20,"Low Margin","Healthy Margin"))</f>
        <v>Healthy Margin</v>
      </c>
      <c r="AE1243" s="1" t="str">
        <f aca="false">TEXT(DATE(VALUE(RIGHT(B1243,4)),VALUE(MID(B1243,4,2)),VALUE(LEFT(B1243,2))),"MMM-YYYY")</f>
        <v>Aug-2023</v>
      </c>
      <c r="AF1243" s="1" t="n">
        <f aca="false">VALUE(RIGHT(B1243,4))</f>
        <v>2023</v>
      </c>
      <c r="AG1243" s="1" t="str">
        <f aca="false">CHOOSE(ROUNDUP(VALUE(MID(B1243,4,2))/3,0),"Q1","Q2","Q3","Q4")</f>
        <v>Q3</v>
      </c>
    </row>
    <row r="1244" customFormat="false" ht="15" hidden="false" customHeight="true" outlineLevel="0" collapsed="false">
      <c r="A1244" s="1" t="s">
        <v>2020</v>
      </c>
      <c r="B1244" s="1" t="s">
        <v>2021</v>
      </c>
      <c r="C1244" s="1" t="s">
        <v>264</v>
      </c>
      <c r="D1244" s="1" t="s">
        <v>80</v>
      </c>
      <c r="E1244" s="1" t="s">
        <v>190</v>
      </c>
      <c r="F1244" s="1" t="s">
        <v>211</v>
      </c>
      <c r="G1244" s="1" t="s">
        <v>56</v>
      </c>
      <c r="H1244" s="1" t="s">
        <v>69</v>
      </c>
      <c r="I1244" s="1" t="s">
        <v>58</v>
      </c>
      <c r="J1244" s="1" t="s">
        <v>131</v>
      </c>
      <c r="K1244" s="1" t="s">
        <v>71</v>
      </c>
      <c r="L1244" s="1" t="s">
        <v>113</v>
      </c>
      <c r="M1244" s="1" t="s">
        <v>50</v>
      </c>
      <c r="N1244" s="1" t="n">
        <v>15999</v>
      </c>
      <c r="O1244" s="1" t="n">
        <v>15</v>
      </c>
      <c r="P1244" s="1" t="n">
        <v>2399.85</v>
      </c>
      <c r="Q1244" s="1" t="n">
        <v>13599.15</v>
      </c>
      <c r="R1244" s="1" t="n">
        <v>2447.85</v>
      </c>
      <c r="S1244" s="1" t="n">
        <v>11151.3</v>
      </c>
      <c r="T1244" s="1" t="n">
        <v>4192.46</v>
      </c>
      <c r="U1244" s="1" t="n">
        <v>6958.84</v>
      </c>
      <c r="V1244" s="1" t="n">
        <v>62.4</v>
      </c>
      <c r="W1244" s="1" t="s">
        <v>39</v>
      </c>
      <c r="X1244" s="1" t="n">
        <v>3.7</v>
      </c>
      <c r="Y1244" s="1" t="s">
        <v>40</v>
      </c>
      <c r="Z1244" s="1" t="n">
        <v>0</v>
      </c>
      <c r="AA1244" s="1" t="str">
        <f aca="false">TRIM(PROPER(F1244))</f>
        <v>Noida</v>
      </c>
      <c r="AB1244" s="1" t="str">
        <f aca="false">TRIM(PROPER(C1244))</f>
        <v>Unacademy</v>
      </c>
      <c r="AC1244" s="1" t="str">
        <f aca="false">IF(O1244=0,"No Discount",IF(O1244&lt;=15,"Low (1-15%)",IF(O1244&lt;=30,"Medium (16-30%)","High (&gt;30%)")))</f>
        <v>Low (1-15%)</v>
      </c>
      <c r="AD1244" s="1" t="str">
        <f aca="false">IF(V1244&lt;0,"Loss Making",IF(V1244&lt;20,"Low Margin","Healthy Margin"))</f>
        <v>Healthy Margin</v>
      </c>
      <c r="AE1244" s="1" t="str">
        <f aca="false">TEXT(DATE(VALUE(RIGHT(B1244,4)),VALUE(MID(B1244,4,2)),VALUE(LEFT(B1244,2))),"MMM-YYYY")</f>
        <v>Nov-2024</v>
      </c>
      <c r="AF1244" s="1" t="n">
        <f aca="false">VALUE(RIGHT(B1244,4))</f>
        <v>2024</v>
      </c>
      <c r="AG1244" s="1" t="str">
        <f aca="false">CHOOSE(ROUNDUP(VALUE(MID(B1244,4,2))/3,0),"Q1","Q2","Q3","Q4")</f>
        <v>Q4</v>
      </c>
    </row>
    <row r="1245" customFormat="false" ht="15" hidden="false" customHeight="true" outlineLevel="0" collapsed="false">
      <c r="A1245" s="1" t="s">
        <v>2022</v>
      </c>
      <c r="B1245" s="1" t="s">
        <v>1226</v>
      </c>
      <c r="C1245" s="1" t="s">
        <v>139</v>
      </c>
      <c r="D1245" s="1" t="s">
        <v>168</v>
      </c>
      <c r="E1245" s="1" t="s">
        <v>197</v>
      </c>
      <c r="F1245" s="1" t="s">
        <v>107</v>
      </c>
      <c r="G1245" s="1" t="s">
        <v>108</v>
      </c>
      <c r="H1245" s="1" t="s">
        <v>33</v>
      </c>
      <c r="I1245" s="1" t="s">
        <v>34</v>
      </c>
      <c r="J1245" s="1" t="s">
        <v>70</v>
      </c>
      <c r="K1245" s="1" t="s">
        <v>112</v>
      </c>
      <c r="L1245" s="1" t="s">
        <v>49</v>
      </c>
      <c r="M1245" s="1" t="s">
        <v>50</v>
      </c>
      <c r="N1245" s="1" t="n">
        <v>8499</v>
      </c>
      <c r="O1245" s="1" t="n">
        <v>50</v>
      </c>
      <c r="P1245" s="1" t="n">
        <v>4249.5</v>
      </c>
      <c r="Q1245" s="1" t="n">
        <v>4249.5</v>
      </c>
      <c r="R1245" s="1" t="n">
        <v>764.91</v>
      </c>
      <c r="S1245" s="1" t="n">
        <v>3484.59</v>
      </c>
      <c r="T1245" s="1" t="n">
        <v>1853.05</v>
      </c>
      <c r="U1245" s="1" t="n">
        <v>1631.54</v>
      </c>
      <c r="V1245" s="1" t="n">
        <v>46.82</v>
      </c>
      <c r="W1245" s="1" t="s">
        <v>39</v>
      </c>
      <c r="X1245" s="1" t="n">
        <v>4.2</v>
      </c>
      <c r="Y1245" s="1" t="s">
        <v>40</v>
      </c>
      <c r="Z1245" s="1" t="n">
        <v>1</v>
      </c>
      <c r="AA1245" s="1" t="str">
        <f aca="false">TRIM(PROPER(F1245))</f>
        <v>Madurai</v>
      </c>
      <c r="AB1245" s="1" t="str">
        <f aca="false">TRIM(PROPER(C1245))</f>
        <v>Extramarks</v>
      </c>
      <c r="AC1245" s="1" t="str">
        <f aca="false">IF(O1245=0,"No Discount",IF(O1245&lt;=15,"Low (1-15%)",IF(O1245&lt;=30,"Medium (16-30%)","High (&gt;30%)")))</f>
        <v>High (&gt;30%)</v>
      </c>
      <c r="AD1245" s="1" t="str">
        <f aca="false">IF(V1245&lt;0,"Loss Making",IF(V1245&lt;20,"Low Margin","Healthy Margin"))</f>
        <v>Healthy Margin</v>
      </c>
      <c r="AE1245" s="1" t="str">
        <f aca="false">TEXT(DATE(VALUE(RIGHT(B1245,4)),VALUE(MID(B1245,4,2)),VALUE(LEFT(B1245,2))),"MMM-YYYY")</f>
        <v>Sep-2023</v>
      </c>
      <c r="AF1245" s="1" t="n">
        <f aca="false">VALUE(RIGHT(B1245,4))</f>
        <v>2023</v>
      </c>
      <c r="AG1245" s="1" t="str">
        <f aca="false">CHOOSE(ROUNDUP(VALUE(MID(B1245,4,2))/3,0),"Q1","Q2","Q3","Q4")</f>
        <v>Q3</v>
      </c>
    </row>
    <row r="1246" customFormat="false" ht="15" hidden="false" customHeight="true" outlineLevel="0" collapsed="false">
      <c r="A1246" s="1" t="s">
        <v>2023</v>
      </c>
      <c r="B1246" s="1" t="s">
        <v>988</v>
      </c>
      <c r="C1246" s="1" t="s">
        <v>178</v>
      </c>
      <c r="D1246" s="1" t="s">
        <v>80</v>
      </c>
      <c r="E1246" s="1" t="s">
        <v>175</v>
      </c>
      <c r="F1246" s="1" t="s">
        <v>67</v>
      </c>
      <c r="G1246" s="1" t="s">
        <v>68</v>
      </c>
      <c r="H1246" s="1" t="s">
        <v>69</v>
      </c>
      <c r="I1246" s="1" t="s">
        <v>83</v>
      </c>
      <c r="J1246" s="1" t="s">
        <v>59</v>
      </c>
      <c r="K1246" s="1" t="s">
        <v>71</v>
      </c>
      <c r="L1246" s="1" t="s">
        <v>85</v>
      </c>
      <c r="M1246" s="1" t="s">
        <v>62</v>
      </c>
      <c r="N1246" s="1" t="n">
        <v>19999</v>
      </c>
      <c r="O1246" s="1" t="n">
        <v>5</v>
      </c>
      <c r="P1246" s="1" t="n">
        <v>999.95</v>
      </c>
      <c r="Q1246" s="1" t="n">
        <v>18999.05</v>
      </c>
      <c r="R1246" s="1" t="n">
        <v>3419.83</v>
      </c>
      <c r="S1246" s="1" t="n">
        <v>15579.22</v>
      </c>
      <c r="T1246" s="1" t="n">
        <v>4690.11</v>
      </c>
      <c r="U1246" s="1" t="n">
        <v>10889.11</v>
      </c>
      <c r="V1246" s="1" t="n">
        <v>69.9</v>
      </c>
      <c r="W1246" s="1" t="s">
        <v>39</v>
      </c>
      <c r="Y1246" s="1" t="s">
        <v>40</v>
      </c>
      <c r="Z1246" s="1" t="n">
        <v>0</v>
      </c>
      <c r="AA1246" s="1" t="str">
        <f aca="false">TRIM(PROPER(F1246))</f>
        <v>Ahmedabad</v>
      </c>
      <c r="AB1246" s="1" t="str">
        <f aca="false">TRIM(PROPER(C1246))</f>
        <v>Leverage Edu</v>
      </c>
      <c r="AC1246" s="1" t="str">
        <f aca="false">IF(O1246=0,"No Discount",IF(O1246&lt;=15,"Low (1-15%)",IF(O1246&lt;=30,"Medium (16-30%)","High (&gt;30%)")))</f>
        <v>Low (1-15%)</v>
      </c>
      <c r="AD1246" s="1" t="str">
        <f aca="false">IF(V1246&lt;0,"Loss Making",IF(V1246&lt;20,"Low Margin","Healthy Margin"))</f>
        <v>Healthy Margin</v>
      </c>
      <c r="AE1246" s="1" t="str">
        <f aca="false">TEXT(DATE(VALUE(RIGHT(B1246,4)),VALUE(MID(B1246,4,2)),VALUE(LEFT(B1246,2))),"MMM-YYYY")</f>
        <v>Dec-2024</v>
      </c>
      <c r="AF1246" s="1" t="n">
        <f aca="false">VALUE(RIGHT(B1246,4))</f>
        <v>2024</v>
      </c>
      <c r="AG1246" s="1" t="str">
        <f aca="false">CHOOSE(ROUNDUP(VALUE(MID(B1246,4,2))/3,0),"Q1","Q2","Q3","Q4")</f>
        <v>Q4</v>
      </c>
    </row>
    <row r="1247" customFormat="false" ht="15" hidden="false" customHeight="true" outlineLevel="0" collapsed="false">
      <c r="A1247" s="1" t="s">
        <v>2024</v>
      </c>
      <c r="B1247" s="1" t="s">
        <v>225</v>
      </c>
      <c r="C1247" s="1" t="s">
        <v>43</v>
      </c>
      <c r="D1247" s="1" t="s">
        <v>94</v>
      </c>
      <c r="E1247" s="1" t="s">
        <v>135</v>
      </c>
      <c r="F1247" s="1" t="s">
        <v>130</v>
      </c>
      <c r="G1247" s="1" t="s">
        <v>47</v>
      </c>
      <c r="H1247" s="1" t="s">
        <v>69</v>
      </c>
      <c r="I1247" s="1" t="s">
        <v>58</v>
      </c>
      <c r="J1247" s="1" t="s">
        <v>59</v>
      </c>
      <c r="K1247" s="1" t="s">
        <v>36</v>
      </c>
      <c r="L1247" s="1" t="s">
        <v>61</v>
      </c>
      <c r="M1247" s="1" t="s">
        <v>38</v>
      </c>
      <c r="N1247" s="1" t="n">
        <v>9999</v>
      </c>
      <c r="O1247" s="1" t="n">
        <v>10</v>
      </c>
      <c r="P1247" s="1" t="n">
        <v>999.9</v>
      </c>
      <c r="Q1247" s="1" t="n">
        <v>8999.1</v>
      </c>
      <c r="R1247" s="1" t="n">
        <v>1619.84</v>
      </c>
      <c r="S1247" s="1" t="n">
        <v>7379.26</v>
      </c>
      <c r="T1247" s="1" t="n">
        <v>3327.37</v>
      </c>
      <c r="U1247" s="1" t="n">
        <v>4051.89</v>
      </c>
      <c r="V1247" s="1" t="n">
        <v>54.91</v>
      </c>
      <c r="W1247" s="1" t="s">
        <v>39</v>
      </c>
      <c r="X1247" s="1" t="n">
        <v>3.7</v>
      </c>
      <c r="Y1247" s="1" t="s">
        <v>40</v>
      </c>
      <c r="Z1247" s="1" t="n">
        <v>1</v>
      </c>
      <c r="AA1247" s="1" t="str">
        <f aca="false">TRIM(PROPER(F1247))</f>
        <v>Bengaluru</v>
      </c>
      <c r="AB1247" s="1" t="str">
        <f aca="false">TRIM(PROPER(C1247))</f>
        <v>Meritnation</v>
      </c>
      <c r="AC1247" s="1" t="str">
        <f aca="false">IF(O1247=0,"No Discount",IF(O1247&lt;=15,"Low (1-15%)",IF(O1247&lt;=30,"Medium (16-30%)","High (&gt;30%)")))</f>
        <v>Low (1-15%)</v>
      </c>
      <c r="AD1247" s="1" t="str">
        <f aca="false">IF(V1247&lt;0,"Loss Making",IF(V1247&lt;20,"Low Margin","Healthy Margin"))</f>
        <v>Healthy Margin</v>
      </c>
      <c r="AE1247" s="1" t="str">
        <f aca="false">TEXT(DATE(VALUE(RIGHT(B1247,4)),VALUE(MID(B1247,4,2)),VALUE(LEFT(B1247,2))),"MMM-YYYY")</f>
        <v>May-2024</v>
      </c>
      <c r="AF1247" s="1" t="n">
        <f aca="false">VALUE(RIGHT(B1247,4))</f>
        <v>2024</v>
      </c>
      <c r="AG1247" s="1" t="str">
        <f aca="false">CHOOSE(ROUNDUP(VALUE(MID(B1247,4,2))/3,0),"Q1","Q2","Q3","Q4")</f>
        <v>Q2</v>
      </c>
    </row>
    <row r="1248" customFormat="false" ht="15" hidden="false" customHeight="true" outlineLevel="0" collapsed="false">
      <c r="A1248" s="1" t="s">
        <v>2025</v>
      </c>
      <c r="B1248" s="1" t="s">
        <v>547</v>
      </c>
      <c r="C1248" s="1" t="s">
        <v>139</v>
      </c>
      <c r="D1248" s="1" t="s">
        <v>143</v>
      </c>
      <c r="E1248" s="1" t="s">
        <v>144</v>
      </c>
      <c r="F1248" s="1" t="s">
        <v>150</v>
      </c>
      <c r="G1248" s="1" t="s">
        <v>32</v>
      </c>
      <c r="H1248" s="1" t="s">
        <v>57</v>
      </c>
      <c r="I1248" s="1" t="s">
        <v>58</v>
      </c>
      <c r="J1248" s="1" t="s">
        <v>77</v>
      </c>
      <c r="K1248" s="1" t="s">
        <v>84</v>
      </c>
      <c r="L1248" s="1" t="s">
        <v>61</v>
      </c>
      <c r="M1248" s="1" t="s">
        <v>38</v>
      </c>
      <c r="N1248" s="1" t="n">
        <v>12999</v>
      </c>
      <c r="O1248" s="1" t="n">
        <v>10</v>
      </c>
      <c r="P1248" s="1" t="n">
        <v>1299.9</v>
      </c>
      <c r="Q1248" s="1" t="n">
        <v>11699.1</v>
      </c>
      <c r="R1248" s="1" t="n">
        <v>2105.84</v>
      </c>
      <c r="S1248" s="1" t="n">
        <v>9593.26</v>
      </c>
      <c r="T1248" s="1" t="n">
        <v>4128.93</v>
      </c>
      <c r="U1248" s="1" t="n">
        <v>5464.33</v>
      </c>
      <c r="V1248" s="1" t="n">
        <v>56.96</v>
      </c>
      <c r="W1248" s="1" t="s">
        <v>39</v>
      </c>
      <c r="X1248" s="1" t="n">
        <v>4.1</v>
      </c>
      <c r="Y1248" s="1" t="s">
        <v>40</v>
      </c>
      <c r="Z1248" s="1" t="n">
        <v>0</v>
      </c>
      <c r="AA1248" s="1" t="str">
        <f aca="false">TRIM(PROPER(F1248))</f>
        <v>Jaipur</v>
      </c>
      <c r="AB1248" s="1" t="str">
        <f aca="false">TRIM(PROPER(C1248))</f>
        <v>Extramarks</v>
      </c>
      <c r="AC1248" s="1" t="str">
        <f aca="false">IF(O1248=0,"No Discount",IF(O1248&lt;=15,"Low (1-15%)",IF(O1248&lt;=30,"Medium (16-30%)","High (&gt;30%)")))</f>
        <v>Low (1-15%)</v>
      </c>
      <c r="AD1248" s="1" t="str">
        <f aca="false">IF(V1248&lt;0,"Loss Making",IF(V1248&lt;20,"Low Margin","Healthy Margin"))</f>
        <v>Healthy Margin</v>
      </c>
      <c r="AE1248" s="1" t="str">
        <f aca="false">TEXT(DATE(VALUE(RIGHT(B1248,4)),VALUE(MID(B1248,4,2)),VALUE(LEFT(B1248,2))),"MMM-YYYY")</f>
        <v>Apr-2023</v>
      </c>
      <c r="AF1248" s="1" t="n">
        <f aca="false">VALUE(RIGHT(B1248,4))</f>
        <v>2023</v>
      </c>
      <c r="AG1248" s="1" t="str">
        <f aca="false">CHOOSE(ROUNDUP(VALUE(MID(B1248,4,2))/3,0),"Q1","Q2","Q3","Q4")</f>
        <v>Q2</v>
      </c>
    </row>
    <row r="1249" customFormat="false" ht="15" hidden="false" customHeight="true" outlineLevel="0" collapsed="false">
      <c r="A1249" s="1" t="s">
        <v>2026</v>
      </c>
      <c r="B1249" s="1" t="s">
        <v>2027</v>
      </c>
      <c r="C1249" s="1" t="s">
        <v>178</v>
      </c>
      <c r="D1249" s="1" t="s">
        <v>53</v>
      </c>
      <c r="E1249" s="1" t="s">
        <v>116</v>
      </c>
      <c r="F1249" s="1" t="s">
        <v>75</v>
      </c>
      <c r="G1249" s="1" t="s">
        <v>76</v>
      </c>
      <c r="H1249" s="1" t="s">
        <v>69</v>
      </c>
      <c r="I1249" s="1" t="s">
        <v>34</v>
      </c>
      <c r="J1249" s="1" t="s">
        <v>131</v>
      </c>
      <c r="K1249" s="1" t="s">
        <v>60</v>
      </c>
      <c r="L1249" s="1" t="s">
        <v>136</v>
      </c>
      <c r="M1249" s="1" t="s">
        <v>62</v>
      </c>
      <c r="N1249" s="1" t="n">
        <v>9999</v>
      </c>
      <c r="O1249" s="1" t="n">
        <v>0</v>
      </c>
      <c r="P1249" s="1" t="n">
        <v>0</v>
      </c>
      <c r="Q1249" s="1" t="n">
        <v>9999</v>
      </c>
      <c r="R1249" s="1" t="n">
        <v>1799.82</v>
      </c>
      <c r="S1249" s="1" t="n">
        <v>8199.18</v>
      </c>
      <c r="T1249" s="1" t="n">
        <v>2745.67</v>
      </c>
      <c r="U1249" s="1" t="n">
        <v>5453.51</v>
      </c>
      <c r="V1249" s="1" t="n">
        <v>66.51</v>
      </c>
      <c r="W1249" s="1" t="s">
        <v>39</v>
      </c>
      <c r="Y1249" s="1" t="s">
        <v>40</v>
      </c>
      <c r="Z1249" s="1" t="n">
        <v>0</v>
      </c>
      <c r="AA1249" s="1" t="str">
        <f aca="false">TRIM(PROPER(F1249))</f>
        <v>Kolkata</v>
      </c>
      <c r="AB1249" s="1" t="str">
        <f aca="false">TRIM(PROPER(C1249))</f>
        <v>Leverage Edu</v>
      </c>
      <c r="AC1249" s="1" t="str">
        <f aca="false">IF(O1249=0,"No Discount",IF(O1249&lt;=15,"Low (1-15%)",IF(O1249&lt;=30,"Medium (16-30%)","High (&gt;30%)")))</f>
        <v>No Discount</v>
      </c>
      <c r="AD1249" s="1" t="str">
        <f aca="false">IF(V1249&lt;0,"Loss Making",IF(V1249&lt;20,"Low Margin","Healthy Margin"))</f>
        <v>Healthy Margin</v>
      </c>
      <c r="AE1249" s="1" t="str">
        <f aca="false">TEXT(DATE(VALUE(RIGHT(B1249,4)),VALUE(MID(B1249,4,2)),VALUE(LEFT(B1249,2))),"MMM-YYYY")</f>
        <v>Jul-2023</v>
      </c>
      <c r="AF1249" s="1" t="n">
        <f aca="false">VALUE(RIGHT(B1249,4))</f>
        <v>2023</v>
      </c>
      <c r="AG1249" s="1" t="str">
        <f aca="false">CHOOSE(ROUNDUP(VALUE(MID(B1249,4,2))/3,0),"Q1","Q2","Q3","Q4")</f>
        <v>Q3</v>
      </c>
    </row>
    <row r="1250" customFormat="false" ht="15" hidden="false" customHeight="true" outlineLevel="0" collapsed="false">
      <c r="A1250" s="1" t="s">
        <v>2028</v>
      </c>
      <c r="B1250" s="1" t="s">
        <v>983</v>
      </c>
      <c r="C1250" s="1" t="s">
        <v>178</v>
      </c>
      <c r="D1250" s="1" t="s">
        <v>44</v>
      </c>
      <c r="E1250" s="1" t="s">
        <v>221</v>
      </c>
      <c r="F1250" s="1" t="s">
        <v>120</v>
      </c>
      <c r="G1250" s="1" t="s">
        <v>47</v>
      </c>
      <c r="H1250" s="1" t="s">
        <v>57</v>
      </c>
      <c r="I1250" s="1" t="s">
        <v>83</v>
      </c>
      <c r="J1250" s="1" t="s">
        <v>70</v>
      </c>
      <c r="K1250" s="1" t="s">
        <v>71</v>
      </c>
      <c r="L1250" s="1" t="s">
        <v>113</v>
      </c>
      <c r="M1250" s="1" t="s">
        <v>62</v>
      </c>
      <c r="N1250" s="1" t="n">
        <v>16999</v>
      </c>
      <c r="O1250" s="1" t="n">
        <v>0</v>
      </c>
      <c r="P1250" s="1" t="n">
        <v>0</v>
      </c>
      <c r="Q1250" s="1" t="n">
        <v>16999</v>
      </c>
      <c r="R1250" s="1" t="n">
        <v>3059.82</v>
      </c>
      <c r="S1250" s="1" t="n">
        <v>13939.18</v>
      </c>
      <c r="T1250" s="1" t="n">
        <v>6421.77</v>
      </c>
      <c r="U1250" s="1" t="n">
        <v>7517.41</v>
      </c>
      <c r="V1250" s="1" t="n">
        <v>53.93</v>
      </c>
      <c r="W1250" s="1" t="s">
        <v>40</v>
      </c>
      <c r="Y1250" s="1" t="s">
        <v>40</v>
      </c>
      <c r="Z1250" s="1" t="n">
        <v>1</v>
      </c>
      <c r="AA1250" s="1" t="str">
        <f aca="false">TRIM(PROPER(F1250))</f>
        <v>Mysuru</v>
      </c>
      <c r="AB1250" s="1" t="str">
        <f aca="false">TRIM(PROPER(C1250))</f>
        <v>Leverage Edu</v>
      </c>
      <c r="AC1250" s="1" t="str">
        <f aca="false">IF(O1250=0,"No Discount",IF(O1250&lt;=15,"Low (1-15%)",IF(O1250&lt;=30,"Medium (16-30%)","High (&gt;30%)")))</f>
        <v>No Discount</v>
      </c>
      <c r="AD1250" s="1" t="str">
        <f aca="false">IF(V1250&lt;0,"Loss Making",IF(V1250&lt;20,"Low Margin","Healthy Margin"))</f>
        <v>Healthy Margin</v>
      </c>
      <c r="AE1250" s="1" t="str">
        <f aca="false">TEXT(DATE(VALUE(RIGHT(B1250,4)),VALUE(MID(B1250,4,2)),VALUE(LEFT(B1250,2))),"MMM-YYYY")</f>
        <v>Jul-2023</v>
      </c>
      <c r="AF1250" s="1" t="n">
        <f aca="false">VALUE(RIGHT(B1250,4))</f>
        <v>2023</v>
      </c>
      <c r="AG1250" s="1" t="str">
        <f aca="false">CHOOSE(ROUNDUP(VALUE(MID(B1250,4,2))/3,0),"Q1","Q2","Q3","Q4")</f>
        <v>Q3</v>
      </c>
    </row>
    <row r="1251" customFormat="false" ht="15" hidden="false" customHeight="true" outlineLevel="0" collapsed="false">
      <c r="A1251" s="1" t="s">
        <v>2029</v>
      </c>
      <c r="B1251" s="1" t="s">
        <v>849</v>
      </c>
      <c r="C1251" s="1" t="s">
        <v>65</v>
      </c>
      <c r="D1251" s="1" t="s">
        <v>44</v>
      </c>
      <c r="E1251" s="1" t="s">
        <v>66</v>
      </c>
      <c r="F1251" s="1" t="s">
        <v>130</v>
      </c>
      <c r="G1251" s="1" t="s">
        <v>47</v>
      </c>
      <c r="H1251" s="1" t="s">
        <v>69</v>
      </c>
      <c r="I1251" s="1" t="s">
        <v>83</v>
      </c>
      <c r="J1251" s="1" t="s">
        <v>35</v>
      </c>
      <c r="K1251" s="1" t="s">
        <v>112</v>
      </c>
      <c r="L1251" s="1" t="s">
        <v>136</v>
      </c>
      <c r="M1251" s="1" t="s">
        <v>50</v>
      </c>
      <c r="N1251" s="1" t="n">
        <v>12999</v>
      </c>
      <c r="O1251" s="1" t="n">
        <v>0</v>
      </c>
      <c r="P1251" s="1" t="n">
        <v>0</v>
      </c>
      <c r="Q1251" s="1" t="n">
        <v>12999</v>
      </c>
      <c r="R1251" s="1" t="n">
        <v>2339.82</v>
      </c>
      <c r="S1251" s="1" t="n">
        <v>10659.18</v>
      </c>
      <c r="T1251" s="1" t="n">
        <v>4845.3</v>
      </c>
      <c r="U1251" s="1" t="n">
        <v>5813.88</v>
      </c>
      <c r="V1251" s="1" t="n">
        <v>54.54</v>
      </c>
      <c r="W1251" s="1" t="s">
        <v>40</v>
      </c>
      <c r="Y1251" s="1" t="s">
        <v>40</v>
      </c>
      <c r="Z1251" s="1" t="n">
        <v>1</v>
      </c>
      <c r="AA1251" s="1" t="str">
        <f aca="false">TRIM(PROPER(F1251))</f>
        <v>Bengaluru</v>
      </c>
      <c r="AB1251" s="1" t="str">
        <f aca="false">TRIM(PROPER(C1251))</f>
        <v>Toppr</v>
      </c>
      <c r="AC1251" s="1" t="str">
        <f aca="false">IF(O1251=0,"No Discount",IF(O1251&lt;=15,"Low (1-15%)",IF(O1251&lt;=30,"Medium (16-30%)","High (&gt;30%)")))</f>
        <v>No Discount</v>
      </c>
      <c r="AD1251" s="1" t="str">
        <f aca="false">IF(V1251&lt;0,"Loss Making",IF(V1251&lt;20,"Low Margin","Healthy Margin"))</f>
        <v>Healthy Margin</v>
      </c>
      <c r="AE1251" s="1" t="str">
        <f aca="false">TEXT(DATE(VALUE(RIGHT(B1251,4)),VALUE(MID(B1251,4,2)),VALUE(LEFT(B1251,2))),"MMM-YYYY")</f>
        <v>Apr-2024</v>
      </c>
      <c r="AF1251" s="1" t="n">
        <f aca="false">VALUE(RIGHT(B1251,4))</f>
        <v>2024</v>
      </c>
      <c r="AG1251" s="1" t="str">
        <f aca="false">CHOOSE(ROUNDUP(VALUE(MID(B1251,4,2))/3,0),"Q1","Q2","Q3","Q4")</f>
        <v>Q2</v>
      </c>
    </row>
    <row r="1252" customFormat="false" ht="15" hidden="false" customHeight="true" outlineLevel="0" collapsed="false">
      <c r="A1252" s="1" t="s">
        <v>2030</v>
      </c>
      <c r="B1252" s="1" t="s">
        <v>1619</v>
      </c>
      <c r="C1252" s="1" t="s">
        <v>167</v>
      </c>
      <c r="D1252" s="1" t="s">
        <v>123</v>
      </c>
      <c r="E1252" s="1" t="s">
        <v>147</v>
      </c>
      <c r="F1252" s="1" t="s">
        <v>244</v>
      </c>
      <c r="G1252" s="1" t="s">
        <v>97</v>
      </c>
      <c r="H1252" s="1" t="s">
        <v>57</v>
      </c>
      <c r="I1252" s="1" t="s">
        <v>58</v>
      </c>
      <c r="J1252" s="1" t="s">
        <v>70</v>
      </c>
      <c r="K1252" s="1" t="s">
        <v>48</v>
      </c>
      <c r="L1252" s="1" t="s">
        <v>85</v>
      </c>
      <c r="M1252" s="1" t="s">
        <v>62</v>
      </c>
      <c r="N1252" s="1" t="n">
        <v>6999</v>
      </c>
      <c r="O1252" s="1" t="n">
        <v>5</v>
      </c>
      <c r="P1252" s="1" t="n">
        <v>349.95</v>
      </c>
      <c r="Q1252" s="1" t="n">
        <v>6649.05</v>
      </c>
      <c r="R1252" s="1" t="n">
        <v>1196.83</v>
      </c>
      <c r="S1252" s="1" t="n">
        <v>5452.22</v>
      </c>
      <c r="T1252" s="1" t="n">
        <v>2378.58</v>
      </c>
      <c r="U1252" s="1" t="n">
        <v>3073.64</v>
      </c>
      <c r="V1252" s="1" t="n">
        <v>56.37</v>
      </c>
      <c r="W1252" s="1" t="s">
        <v>39</v>
      </c>
      <c r="X1252" s="1" t="n">
        <v>2.7</v>
      </c>
      <c r="Y1252" s="1" t="s">
        <v>40</v>
      </c>
      <c r="Z1252" s="1" t="n">
        <v>0</v>
      </c>
      <c r="AA1252" s="1" t="str">
        <f aca="false">TRIM(PROPER(F1252))</f>
        <v>Nagpur</v>
      </c>
      <c r="AB1252" s="1" t="str">
        <f aca="false">TRIM(PROPER(C1252))</f>
        <v>Scaler</v>
      </c>
      <c r="AC1252" s="1" t="str">
        <f aca="false">IF(O1252=0,"No Discount",IF(O1252&lt;=15,"Low (1-15%)",IF(O1252&lt;=30,"Medium (16-30%)","High (&gt;30%)")))</f>
        <v>Low (1-15%)</v>
      </c>
      <c r="AD1252" s="1" t="str">
        <f aca="false">IF(V1252&lt;0,"Loss Making",IF(V1252&lt;20,"Low Margin","Healthy Margin"))</f>
        <v>Healthy Margin</v>
      </c>
      <c r="AE1252" s="1" t="str">
        <f aca="false">TEXT(DATE(VALUE(RIGHT(B1252,4)),VALUE(MID(B1252,4,2)),VALUE(LEFT(B1252,2))),"MMM-YYYY")</f>
        <v>Apr-2024</v>
      </c>
      <c r="AF1252" s="1" t="n">
        <f aca="false">VALUE(RIGHT(B1252,4))</f>
        <v>2024</v>
      </c>
      <c r="AG1252" s="1" t="str">
        <f aca="false">CHOOSE(ROUNDUP(VALUE(MID(B1252,4,2))/3,0),"Q1","Q2","Q3","Q4")</f>
        <v>Q2</v>
      </c>
    </row>
    <row r="1253" customFormat="false" ht="15" hidden="false" customHeight="true" outlineLevel="0" collapsed="false">
      <c r="A1253" s="1" t="s">
        <v>2031</v>
      </c>
      <c r="B1253" s="1" t="s">
        <v>1488</v>
      </c>
      <c r="C1253" s="1" t="s">
        <v>139</v>
      </c>
      <c r="D1253" s="1" t="s">
        <v>94</v>
      </c>
      <c r="E1253" s="1" t="s">
        <v>101</v>
      </c>
      <c r="F1253" s="1" t="s">
        <v>125</v>
      </c>
      <c r="G1253" s="1" t="s">
        <v>108</v>
      </c>
      <c r="H1253" s="1" t="s">
        <v>69</v>
      </c>
      <c r="I1253" s="1" t="s">
        <v>83</v>
      </c>
      <c r="J1253" s="1" t="s">
        <v>59</v>
      </c>
      <c r="K1253" s="1" t="s">
        <v>71</v>
      </c>
      <c r="L1253" s="1" t="s">
        <v>37</v>
      </c>
      <c r="M1253" s="1" t="s">
        <v>62</v>
      </c>
      <c r="N1253" s="1" t="n">
        <v>14999</v>
      </c>
      <c r="O1253" s="1" t="n">
        <v>15</v>
      </c>
      <c r="P1253" s="1" t="n">
        <v>2249.85</v>
      </c>
      <c r="Q1253" s="1" t="n">
        <v>12749.15</v>
      </c>
      <c r="R1253" s="1" t="n">
        <v>2294.85</v>
      </c>
      <c r="S1253" s="1" t="n">
        <v>10454.3</v>
      </c>
      <c r="T1253" s="1" t="n">
        <v>3599.14</v>
      </c>
      <c r="U1253" s="1" t="n">
        <v>6855.16</v>
      </c>
      <c r="V1253" s="1" t="n">
        <v>65.57</v>
      </c>
      <c r="W1253" s="1" t="s">
        <v>40</v>
      </c>
      <c r="Y1253" s="1" t="s">
        <v>40</v>
      </c>
      <c r="Z1253" s="1" t="n">
        <v>0</v>
      </c>
      <c r="AA1253" s="1" t="str">
        <f aca="false">TRIM(PROPER(F1253))</f>
        <v>Chennai</v>
      </c>
      <c r="AB1253" s="1" t="str">
        <f aca="false">TRIM(PROPER(C1253))</f>
        <v>Extramarks</v>
      </c>
      <c r="AC1253" s="1" t="str">
        <f aca="false">IF(O1253=0,"No Discount",IF(O1253&lt;=15,"Low (1-15%)",IF(O1253&lt;=30,"Medium (16-30%)","High (&gt;30%)")))</f>
        <v>Low (1-15%)</v>
      </c>
      <c r="AD1253" s="1" t="str">
        <f aca="false">IF(V1253&lt;0,"Loss Making",IF(V1253&lt;20,"Low Margin","Healthy Margin"))</f>
        <v>Healthy Margin</v>
      </c>
      <c r="AE1253" s="1" t="str">
        <f aca="false">TEXT(DATE(VALUE(RIGHT(B1253,4)),VALUE(MID(B1253,4,2)),VALUE(LEFT(B1253,2))),"MMM-YYYY")</f>
        <v>Jun-2024</v>
      </c>
      <c r="AF1253" s="1" t="n">
        <f aca="false">VALUE(RIGHT(B1253,4))</f>
        <v>2024</v>
      </c>
      <c r="AG1253" s="1" t="str">
        <f aca="false">CHOOSE(ROUNDUP(VALUE(MID(B1253,4,2))/3,0),"Q1","Q2","Q3","Q4")</f>
        <v>Q2</v>
      </c>
    </row>
    <row r="1254" customFormat="false" ht="15" hidden="false" customHeight="true" outlineLevel="0" collapsed="false">
      <c r="A1254" s="1" t="s">
        <v>2032</v>
      </c>
      <c r="B1254" s="1" t="s">
        <v>2033</v>
      </c>
      <c r="C1254" s="1" t="s">
        <v>264</v>
      </c>
      <c r="D1254" s="1" t="s">
        <v>94</v>
      </c>
      <c r="E1254" s="1" t="s">
        <v>95</v>
      </c>
      <c r="F1254" s="1" t="s">
        <v>140</v>
      </c>
      <c r="G1254" s="1" t="s">
        <v>97</v>
      </c>
      <c r="H1254" s="1" t="s">
        <v>57</v>
      </c>
      <c r="I1254" s="1" t="s">
        <v>83</v>
      </c>
      <c r="J1254" s="1" t="s">
        <v>59</v>
      </c>
      <c r="K1254" s="1" t="s">
        <v>104</v>
      </c>
      <c r="L1254" s="1" t="s">
        <v>49</v>
      </c>
      <c r="M1254" s="1" t="s">
        <v>62</v>
      </c>
      <c r="N1254" s="1" t="n">
        <v>6999</v>
      </c>
      <c r="O1254" s="1" t="n">
        <v>40</v>
      </c>
      <c r="P1254" s="1" t="n">
        <v>2799.6</v>
      </c>
      <c r="Q1254" s="1" t="n">
        <v>4199.4</v>
      </c>
      <c r="R1254" s="1" t="n">
        <v>755.89</v>
      </c>
      <c r="S1254" s="1" t="n">
        <v>3443.51</v>
      </c>
      <c r="T1254" s="1" t="n">
        <v>2158.42</v>
      </c>
      <c r="U1254" s="1" t="n">
        <v>1285.09</v>
      </c>
      <c r="V1254" s="1" t="n">
        <v>37.32</v>
      </c>
      <c r="W1254" s="1" t="s">
        <v>39</v>
      </c>
      <c r="X1254" s="1" t="n">
        <v>3.4</v>
      </c>
      <c r="Y1254" s="1" t="s">
        <v>40</v>
      </c>
      <c r="Z1254" s="1" t="n">
        <v>1</v>
      </c>
      <c r="AA1254" s="1" t="str">
        <f aca="false">TRIM(PROPER(F1254))</f>
        <v>Nashik</v>
      </c>
      <c r="AB1254" s="1" t="str">
        <f aca="false">TRIM(PROPER(C1254))</f>
        <v>Unacademy</v>
      </c>
      <c r="AC1254" s="1" t="str">
        <f aca="false">IF(O1254=0,"No Discount",IF(O1254&lt;=15,"Low (1-15%)",IF(O1254&lt;=30,"Medium (16-30%)","High (&gt;30%)")))</f>
        <v>High (&gt;30%)</v>
      </c>
      <c r="AD1254" s="1" t="str">
        <f aca="false">IF(V1254&lt;0,"Loss Making",IF(V1254&lt;20,"Low Margin","Healthy Margin"))</f>
        <v>Healthy Margin</v>
      </c>
      <c r="AE1254" s="1" t="str">
        <f aca="false">TEXT(DATE(VALUE(RIGHT(B1254,4)),VALUE(MID(B1254,4,2)),VALUE(LEFT(B1254,2))),"MMM-YYYY")</f>
        <v>Jul-2023</v>
      </c>
      <c r="AF1254" s="1" t="n">
        <f aca="false">VALUE(RIGHT(B1254,4))</f>
        <v>2023</v>
      </c>
      <c r="AG1254" s="1" t="str">
        <f aca="false">CHOOSE(ROUNDUP(VALUE(MID(B1254,4,2))/3,0),"Q1","Q2","Q3","Q4")</f>
        <v>Q3</v>
      </c>
    </row>
    <row r="1255" customFormat="false" ht="15" hidden="false" customHeight="true" outlineLevel="0" collapsed="false">
      <c r="A1255" s="1" t="s">
        <v>2034</v>
      </c>
      <c r="B1255" s="1" t="s">
        <v>618</v>
      </c>
      <c r="C1255" s="1" t="s">
        <v>28</v>
      </c>
      <c r="D1255" s="1" t="s">
        <v>94</v>
      </c>
      <c r="E1255" s="1" t="s">
        <v>135</v>
      </c>
      <c r="F1255" s="1" t="s">
        <v>120</v>
      </c>
      <c r="G1255" s="1" t="s">
        <v>47</v>
      </c>
      <c r="H1255" s="1" t="s">
        <v>57</v>
      </c>
      <c r="I1255" s="1" t="s">
        <v>34</v>
      </c>
      <c r="J1255" s="1" t="s">
        <v>77</v>
      </c>
      <c r="K1255" s="1" t="s">
        <v>71</v>
      </c>
      <c r="L1255" s="1" t="s">
        <v>85</v>
      </c>
      <c r="M1255" s="1" t="s">
        <v>50</v>
      </c>
      <c r="N1255" s="1" t="n">
        <v>9999</v>
      </c>
      <c r="O1255" s="1" t="n">
        <v>15</v>
      </c>
      <c r="P1255" s="1" t="n">
        <v>1499.85</v>
      </c>
      <c r="Q1255" s="1" t="n">
        <v>8499.15</v>
      </c>
      <c r="R1255" s="1" t="n">
        <v>1529.85</v>
      </c>
      <c r="S1255" s="1" t="n">
        <v>6969.3</v>
      </c>
      <c r="T1255" s="1" t="n">
        <v>3374.77</v>
      </c>
      <c r="U1255" s="1" t="n">
        <v>3594.53</v>
      </c>
      <c r="V1255" s="1" t="n">
        <v>51.58</v>
      </c>
      <c r="W1255" s="1" t="s">
        <v>39</v>
      </c>
      <c r="X1255" s="1" t="n">
        <v>4.1</v>
      </c>
      <c r="Y1255" s="1" t="s">
        <v>40</v>
      </c>
      <c r="Z1255" s="1" t="n">
        <v>0</v>
      </c>
      <c r="AA1255" s="1" t="str">
        <f aca="false">TRIM(PROPER(F1255))</f>
        <v>Mysuru</v>
      </c>
      <c r="AB1255" s="1" t="str">
        <f aca="false">TRIM(PROPER(C1255))</f>
        <v>Embibe</v>
      </c>
      <c r="AC1255" s="1" t="str">
        <f aca="false">IF(O1255=0,"No Discount",IF(O1255&lt;=15,"Low (1-15%)",IF(O1255&lt;=30,"Medium (16-30%)","High (&gt;30%)")))</f>
        <v>Low (1-15%)</v>
      </c>
      <c r="AD1255" s="1" t="str">
        <f aca="false">IF(V1255&lt;0,"Loss Making",IF(V1255&lt;20,"Low Margin","Healthy Margin"))</f>
        <v>Healthy Margin</v>
      </c>
      <c r="AE1255" s="1" t="str">
        <f aca="false">TEXT(DATE(VALUE(RIGHT(B1255,4)),VALUE(MID(B1255,4,2)),VALUE(LEFT(B1255,2))),"MMM-YYYY")</f>
        <v>Nov-2023</v>
      </c>
      <c r="AF1255" s="1" t="n">
        <f aca="false">VALUE(RIGHT(B1255,4))</f>
        <v>2023</v>
      </c>
      <c r="AG1255" s="1" t="str">
        <f aca="false">CHOOSE(ROUNDUP(VALUE(MID(B1255,4,2))/3,0),"Q1","Q2","Q3","Q4")</f>
        <v>Q4</v>
      </c>
    </row>
    <row r="1256" customFormat="false" ht="15" hidden="false" customHeight="true" outlineLevel="0" collapsed="false">
      <c r="A1256" s="1" t="s">
        <v>2035</v>
      </c>
      <c r="B1256" s="1" t="s">
        <v>1963</v>
      </c>
      <c r="C1256" s="1" t="s">
        <v>74</v>
      </c>
      <c r="D1256" s="1" t="s">
        <v>168</v>
      </c>
      <c r="E1256" s="1" t="s">
        <v>197</v>
      </c>
      <c r="F1256" s="1" t="s">
        <v>107</v>
      </c>
      <c r="G1256" s="1" t="s">
        <v>108</v>
      </c>
      <c r="H1256" s="1" t="s">
        <v>33</v>
      </c>
      <c r="I1256" s="1" t="s">
        <v>58</v>
      </c>
      <c r="J1256" s="1" t="s">
        <v>131</v>
      </c>
      <c r="K1256" s="1" t="s">
        <v>112</v>
      </c>
      <c r="L1256" s="1" t="s">
        <v>136</v>
      </c>
      <c r="M1256" s="1" t="s">
        <v>62</v>
      </c>
      <c r="N1256" s="1" t="n">
        <v>8499</v>
      </c>
      <c r="O1256" s="1" t="n">
        <v>30</v>
      </c>
      <c r="P1256" s="1" t="n">
        <v>2549.7</v>
      </c>
      <c r="Q1256" s="1" t="n">
        <v>5949.3</v>
      </c>
      <c r="R1256" s="1" t="n">
        <v>1070.87</v>
      </c>
      <c r="S1256" s="1" t="n">
        <v>4878.43</v>
      </c>
      <c r="T1256" s="1" t="n">
        <v>1822.75</v>
      </c>
      <c r="U1256" s="1" t="n">
        <v>3055.68</v>
      </c>
      <c r="V1256" s="1" t="n">
        <v>62.64</v>
      </c>
      <c r="W1256" s="1" t="s">
        <v>39</v>
      </c>
      <c r="X1256" s="1" t="n">
        <v>3.4</v>
      </c>
      <c r="Y1256" s="1" t="s">
        <v>40</v>
      </c>
      <c r="Z1256" s="1" t="n">
        <v>0</v>
      </c>
      <c r="AA1256" s="1" t="str">
        <f aca="false">TRIM(PROPER(F1256))</f>
        <v>Madurai</v>
      </c>
      <c r="AB1256" s="1" t="str">
        <f aca="false">TRIM(PROPER(C1256))</f>
        <v>Vedantu</v>
      </c>
      <c r="AC1256" s="1" t="str">
        <f aca="false">IF(O1256=0,"No Discount",IF(O1256&lt;=15,"Low (1-15%)",IF(O1256&lt;=30,"Medium (16-30%)","High (&gt;30%)")))</f>
        <v>Medium (16-30%)</v>
      </c>
      <c r="AD1256" s="1" t="str">
        <f aca="false">IF(V1256&lt;0,"Loss Making",IF(V1256&lt;20,"Low Margin","Healthy Margin"))</f>
        <v>Healthy Margin</v>
      </c>
      <c r="AE1256" s="1" t="str">
        <f aca="false">TEXT(DATE(VALUE(RIGHT(B1256,4)),VALUE(MID(B1256,4,2)),VALUE(LEFT(B1256,2))),"MMM-YYYY")</f>
        <v>Mar-2023</v>
      </c>
      <c r="AF1256" s="1" t="n">
        <f aca="false">VALUE(RIGHT(B1256,4))</f>
        <v>2023</v>
      </c>
      <c r="AG1256" s="1" t="str">
        <f aca="false">CHOOSE(ROUNDUP(VALUE(MID(B1256,4,2))/3,0),"Q1","Q2","Q3","Q4")</f>
        <v>Q1</v>
      </c>
    </row>
    <row r="1257" customFormat="false" ht="15" hidden="false" customHeight="true" outlineLevel="0" collapsed="false">
      <c r="A1257" s="1" t="s">
        <v>2036</v>
      </c>
      <c r="B1257" s="1" t="s">
        <v>1688</v>
      </c>
      <c r="C1257" s="1" t="s">
        <v>93</v>
      </c>
      <c r="D1257" s="1" t="s">
        <v>143</v>
      </c>
      <c r="E1257" s="1" t="s">
        <v>210</v>
      </c>
      <c r="F1257" s="1" t="s">
        <v>67</v>
      </c>
      <c r="G1257" s="1" t="s">
        <v>68</v>
      </c>
      <c r="H1257" s="1" t="s">
        <v>69</v>
      </c>
      <c r="I1257" s="1" t="s">
        <v>34</v>
      </c>
      <c r="J1257" s="1" t="s">
        <v>59</v>
      </c>
      <c r="K1257" s="1" t="s">
        <v>71</v>
      </c>
      <c r="L1257" s="1" t="s">
        <v>61</v>
      </c>
      <c r="M1257" s="1" t="s">
        <v>38</v>
      </c>
      <c r="N1257" s="1" t="n">
        <v>18999</v>
      </c>
      <c r="O1257" s="1" t="n">
        <v>20</v>
      </c>
      <c r="P1257" s="1" t="n">
        <v>3799.8</v>
      </c>
      <c r="Q1257" s="1" t="n">
        <v>15199.2</v>
      </c>
      <c r="R1257" s="1" t="n">
        <v>2735.86</v>
      </c>
      <c r="S1257" s="1" t="n">
        <v>12463.34</v>
      </c>
      <c r="T1257" s="1" t="n">
        <v>4834.09</v>
      </c>
      <c r="U1257" s="1" t="n">
        <v>7629.25</v>
      </c>
      <c r="V1257" s="1" t="n">
        <v>61.21</v>
      </c>
      <c r="W1257" s="1" t="s">
        <v>40</v>
      </c>
      <c r="Y1257" s="1" t="s">
        <v>40</v>
      </c>
      <c r="Z1257" s="1" t="n">
        <v>0</v>
      </c>
      <c r="AA1257" s="1" t="str">
        <f aca="false">TRIM(PROPER(F1257))</f>
        <v>Ahmedabad</v>
      </c>
      <c r="AB1257" s="1" t="str">
        <f aca="false">TRIM(PROPER(C1257))</f>
        <v>Upgrad</v>
      </c>
      <c r="AC1257" s="1" t="str">
        <f aca="false">IF(O1257=0,"No Discount",IF(O1257&lt;=15,"Low (1-15%)",IF(O1257&lt;=30,"Medium (16-30%)","High (&gt;30%)")))</f>
        <v>Medium (16-30%)</v>
      </c>
      <c r="AD1257" s="1" t="str">
        <f aca="false">IF(V1257&lt;0,"Loss Making",IF(V1257&lt;20,"Low Margin","Healthy Margin"))</f>
        <v>Healthy Margin</v>
      </c>
      <c r="AE1257" s="1" t="str">
        <f aca="false">TEXT(DATE(VALUE(RIGHT(B1257,4)),VALUE(MID(B1257,4,2)),VALUE(LEFT(B1257,2))),"MMM-YYYY")</f>
        <v>Mar-2024</v>
      </c>
      <c r="AF1257" s="1" t="n">
        <f aca="false">VALUE(RIGHT(B1257,4))</f>
        <v>2024</v>
      </c>
      <c r="AG1257" s="1" t="str">
        <f aca="false">CHOOSE(ROUNDUP(VALUE(MID(B1257,4,2))/3,0),"Q1","Q2","Q3","Q4")</f>
        <v>Q1</v>
      </c>
    </row>
    <row r="1258" customFormat="false" ht="15" hidden="false" customHeight="true" outlineLevel="0" collapsed="false">
      <c r="A1258" s="1" t="s">
        <v>2037</v>
      </c>
      <c r="B1258" s="1" t="s">
        <v>419</v>
      </c>
      <c r="C1258" s="1" t="s">
        <v>139</v>
      </c>
      <c r="D1258" s="1" t="s">
        <v>44</v>
      </c>
      <c r="E1258" s="1" t="s">
        <v>66</v>
      </c>
      <c r="F1258" s="1" t="s">
        <v>244</v>
      </c>
      <c r="G1258" s="1" t="s">
        <v>97</v>
      </c>
      <c r="H1258" s="1" t="s">
        <v>57</v>
      </c>
      <c r="I1258" s="1" t="s">
        <v>34</v>
      </c>
      <c r="J1258" s="1" t="s">
        <v>77</v>
      </c>
      <c r="K1258" s="1" t="s">
        <v>36</v>
      </c>
      <c r="L1258" s="1" t="s">
        <v>37</v>
      </c>
      <c r="M1258" s="1" t="s">
        <v>38</v>
      </c>
      <c r="N1258" s="1" t="n">
        <v>12999</v>
      </c>
      <c r="O1258" s="1" t="n">
        <v>25</v>
      </c>
      <c r="P1258" s="1" t="n">
        <v>3249.75</v>
      </c>
      <c r="Q1258" s="1" t="n">
        <v>9749.25</v>
      </c>
      <c r="R1258" s="1" t="n">
        <v>1754.87</v>
      </c>
      <c r="S1258" s="1" t="n">
        <v>7994.38</v>
      </c>
      <c r="T1258" s="1" t="n">
        <v>3844.45</v>
      </c>
      <c r="U1258" s="1" t="n">
        <v>4149.93</v>
      </c>
      <c r="V1258" s="1" t="n">
        <v>51.91</v>
      </c>
      <c r="W1258" s="1" t="s">
        <v>40</v>
      </c>
      <c r="Y1258" s="1" t="s">
        <v>40</v>
      </c>
      <c r="Z1258" s="1" t="n">
        <v>0</v>
      </c>
      <c r="AA1258" s="1" t="str">
        <f aca="false">TRIM(PROPER(F1258))</f>
        <v>Nagpur</v>
      </c>
      <c r="AB1258" s="1" t="str">
        <f aca="false">TRIM(PROPER(C1258))</f>
        <v>Extramarks</v>
      </c>
      <c r="AC1258" s="1" t="str">
        <f aca="false">IF(O1258=0,"No Discount",IF(O1258&lt;=15,"Low (1-15%)",IF(O1258&lt;=30,"Medium (16-30%)","High (&gt;30%)")))</f>
        <v>Medium (16-30%)</v>
      </c>
      <c r="AD1258" s="1" t="str">
        <f aca="false">IF(V1258&lt;0,"Loss Making",IF(V1258&lt;20,"Low Margin","Healthy Margin"))</f>
        <v>Healthy Margin</v>
      </c>
      <c r="AE1258" s="1" t="str">
        <f aca="false">TEXT(DATE(VALUE(RIGHT(B1258,4)),VALUE(MID(B1258,4,2)),VALUE(LEFT(B1258,2))),"MMM-YYYY")</f>
        <v>Jul-2023</v>
      </c>
      <c r="AF1258" s="1" t="n">
        <f aca="false">VALUE(RIGHT(B1258,4))</f>
        <v>2023</v>
      </c>
      <c r="AG1258" s="1" t="str">
        <f aca="false">CHOOSE(ROUNDUP(VALUE(MID(B1258,4,2))/3,0),"Q1","Q2","Q3","Q4")</f>
        <v>Q3</v>
      </c>
    </row>
    <row r="1259" customFormat="false" ht="15" hidden="false" customHeight="true" outlineLevel="0" collapsed="false">
      <c r="A1259" s="1" t="s">
        <v>2038</v>
      </c>
      <c r="B1259" s="1" t="s">
        <v>1580</v>
      </c>
      <c r="C1259" s="1" t="s">
        <v>65</v>
      </c>
      <c r="D1259" s="1" t="s">
        <v>44</v>
      </c>
      <c r="E1259" s="1" t="s">
        <v>221</v>
      </c>
      <c r="F1259" s="1" t="s">
        <v>46</v>
      </c>
      <c r="G1259" s="1" t="s">
        <v>47</v>
      </c>
      <c r="H1259" s="1" t="s">
        <v>33</v>
      </c>
      <c r="I1259" s="1" t="s">
        <v>58</v>
      </c>
      <c r="J1259" s="1" t="s">
        <v>77</v>
      </c>
      <c r="K1259" s="1" t="s">
        <v>104</v>
      </c>
      <c r="L1259" s="1" t="s">
        <v>37</v>
      </c>
      <c r="M1259" s="1" t="s">
        <v>62</v>
      </c>
      <c r="N1259" s="1" t="n">
        <v>16999</v>
      </c>
      <c r="O1259" s="1" t="n">
        <v>0</v>
      </c>
      <c r="P1259" s="1" t="n">
        <v>0</v>
      </c>
      <c r="Q1259" s="1" t="n">
        <v>16999</v>
      </c>
      <c r="R1259" s="1" t="n">
        <v>3059.82</v>
      </c>
      <c r="S1259" s="1" t="n">
        <v>13939.18</v>
      </c>
      <c r="T1259" s="1" t="n">
        <v>6520.48</v>
      </c>
      <c r="U1259" s="1" t="n">
        <v>7418.7</v>
      </c>
      <c r="V1259" s="1" t="n">
        <v>53.22</v>
      </c>
      <c r="W1259" s="1" t="s">
        <v>39</v>
      </c>
      <c r="X1259" s="1" t="n">
        <v>3.6</v>
      </c>
      <c r="Y1259" s="1" t="s">
        <v>40</v>
      </c>
      <c r="Z1259" s="1" t="n">
        <v>0</v>
      </c>
      <c r="AA1259" s="1" t="str">
        <f aca="false">TRIM(PROPER(F1259))</f>
        <v>Mangaluru</v>
      </c>
      <c r="AB1259" s="1" t="str">
        <f aca="false">TRIM(PROPER(C1259))</f>
        <v>Toppr</v>
      </c>
      <c r="AC1259" s="1" t="str">
        <f aca="false">IF(O1259=0,"No Discount",IF(O1259&lt;=15,"Low (1-15%)",IF(O1259&lt;=30,"Medium (16-30%)","High (&gt;30%)")))</f>
        <v>No Discount</v>
      </c>
      <c r="AD1259" s="1" t="str">
        <f aca="false">IF(V1259&lt;0,"Loss Making",IF(V1259&lt;20,"Low Margin","Healthy Margin"))</f>
        <v>Healthy Margin</v>
      </c>
      <c r="AE1259" s="1" t="str">
        <f aca="false">TEXT(DATE(VALUE(RIGHT(B1259,4)),VALUE(MID(B1259,4,2)),VALUE(LEFT(B1259,2))),"MMM-YYYY")</f>
        <v>Dec-2023</v>
      </c>
      <c r="AF1259" s="1" t="n">
        <f aca="false">VALUE(RIGHT(B1259,4))</f>
        <v>2023</v>
      </c>
      <c r="AG1259" s="1" t="str">
        <f aca="false">CHOOSE(ROUNDUP(VALUE(MID(B1259,4,2))/3,0),"Q1","Q2","Q3","Q4")</f>
        <v>Q4</v>
      </c>
    </row>
    <row r="1260" customFormat="false" ht="15" hidden="false" customHeight="true" outlineLevel="0" collapsed="false">
      <c r="A1260" s="1" t="s">
        <v>2039</v>
      </c>
      <c r="B1260" s="1" t="s">
        <v>774</v>
      </c>
      <c r="C1260" s="1" t="s">
        <v>65</v>
      </c>
      <c r="D1260" s="1" t="s">
        <v>53</v>
      </c>
      <c r="E1260" s="1" t="s">
        <v>116</v>
      </c>
      <c r="F1260" s="1" t="s">
        <v>150</v>
      </c>
      <c r="G1260" s="1" t="s">
        <v>32</v>
      </c>
      <c r="H1260" s="1" t="s">
        <v>57</v>
      </c>
      <c r="I1260" s="1" t="s">
        <v>58</v>
      </c>
      <c r="J1260" s="1" t="s">
        <v>70</v>
      </c>
      <c r="K1260" s="1" t="s">
        <v>71</v>
      </c>
      <c r="L1260" s="1" t="s">
        <v>113</v>
      </c>
      <c r="M1260" s="1" t="s">
        <v>62</v>
      </c>
      <c r="N1260" s="1" t="n">
        <v>9999</v>
      </c>
      <c r="O1260" s="1" t="n">
        <v>20</v>
      </c>
      <c r="P1260" s="1" t="n">
        <v>1999.8</v>
      </c>
      <c r="Q1260" s="1" t="n">
        <v>7999.2</v>
      </c>
      <c r="R1260" s="1" t="n">
        <v>1439.86</v>
      </c>
      <c r="S1260" s="1" t="n">
        <v>6559.34</v>
      </c>
      <c r="T1260" s="1" t="n">
        <v>2648.64</v>
      </c>
      <c r="U1260" s="1" t="n">
        <v>3910.7</v>
      </c>
      <c r="V1260" s="1" t="n">
        <v>59.62</v>
      </c>
      <c r="W1260" s="1" t="s">
        <v>39</v>
      </c>
      <c r="X1260" s="1" t="n">
        <v>3.7</v>
      </c>
      <c r="Y1260" s="1" t="s">
        <v>40</v>
      </c>
      <c r="Z1260" s="1" t="n">
        <v>0</v>
      </c>
      <c r="AA1260" s="1" t="str">
        <f aca="false">TRIM(PROPER(F1260))</f>
        <v>Jaipur</v>
      </c>
      <c r="AB1260" s="1" t="str">
        <f aca="false">TRIM(PROPER(C1260))</f>
        <v>Toppr</v>
      </c>
      <c r="AC1260" s="1" t="str">
        <f aca="false">IF(O1260=0,"No Discount",IF(O1260&lt;=15,"Low (1-15%)",IF(O1260&lt;=30,"Medium (16-30%)","High (&gt;30%)")))</f>
        <v>Medium (16-30%)</v>
      </c>
      <c r="AD1260" s="1" t="str">
        <f aca="false">IF(V1260&lt;0,"Loss Making",IF(V1260&lt;20,"Low Margin","Healthy Margin"))</f>
        <v>Healthy Margin</v>
      </c>
      <c r="AE1260" s="1" t="str">
        <f aca="false">TEXT(DATE(VALUE(RIGHT(B1260,4)),VALUE(MID(B1260,4,2)),VALUE(LEFT(B1260,2))),"MMM-YYYY")</f>
        <v>Oct-2023</v>
      </c>
      <c r="AF1260" s="1" t="n">
        <f aca="false">VALUE(RIGHT(B1260,4))</f>
        <v>2023</v>
      </c>
      <c r="AG1260" s="1" t="str">
        <f aca="false">CHOOSE(ROUNDUP(VALUE(MID(B1260,4,2))/3,0),"Q1","Q2","Q3","Q4")</f>
        <v>Q4</v>
      </c>
    </row>
    <row r="1261" customFormat="false" ht="15" hidden="false" customHeight="true" outlineLevel="0" collapsed="false">
      <c r="A1261" s="1" t="s">
        <v>2040</v>
      </c>
      <c r="B1261" s="1" t="s">
        <v>2041</v>
      </c>
      <c r="C1261" s="1" t="s">
        <v>93</v>
      </c>
      <c r="D1261" s="1" t="s">
        <v>53</v>
      </c>
      <c r="E1261" s="1" t="s">
        <v>216</v>
      </c>
      <c r="F1261" s="1" t="s">
        <v>102</v>
      </c>
      <c r="G1261" s="1" t="s">
        <v>103</v>
      </c>
      <c r="H1261" s="1" t="s">
        <v>33</v>
      </c>
      <c r="I1261" s="1" t="s">
        <v>58</v>
      </c>
      <c r="J1261" s="1" t="s">
        <v>70</v>
      </c>
      <c r="K1261" s="1" t="s">
        <v>112</v>
      </c>
      <c r="L1261" s="1" t="s">
        <v>85</v>
      </c>
      <c r="M1261" s="1" t="s">
        <v>62</v>
      </c>
      <c r="N1261" s="1" t="n">
        <v>7499</v>
      </c>
      <c r="O1261" s="1" t="n">
        <v>40</v>
      </c>
      <c r="P1261" s="1" t="n">
        <v>2999.6</v>
      </c>
      <c r="Q1261" s="1" t="n">
        <v>4499.4</v>
      </c>
      <c r="R1261" s="1" t="n">
        <v>809.89</v>
      </c>
      <c r="S1261" s="1" t="n">
        <v>3689.51</v>
      </c>
      <c r="T1261" s="1" t="n">
        <v>2296.69</v>
      </c>
      <c r="U1261" s="1" t="n">
        <v>1392.82</v>
      </c>
      <c r="V1261" s="1" t="n">
        <v>37.75</v>
      </c>
      <c r="W1261" s="1" t="s">
        <v>40</v>
      </c>
      <c r="Y1261" s="1" t="s">
        <v>40</v>
      </c>
      <c r="Z1261" s="1" t="n">
        <v>0</v>
      </c>
      <c r="AA1261" s="1" t="str">
        <f aca="false">TRIM(PROPER(F1261))</f>
        <v>Warangal</v>
      </c>
      <c r="AB1261" s="1" t="str">
        <f aca="false">TRIM(PROPER(C1261))</f>
        <v>Upgrad</v>
      </c>
      <c r="AC1261" s="1" t="str">
        <f aca="false">IF(O1261=0,"No Discount",IF(O1261&lt;=15,"Low (1-15%)",IF(O1261&lt;=30,"Medium (16-30%)","High (&gt;30%)")))</f>
        <v>High (&gt;30%)</v>
      </c>
      <c r="AD1261" s="1" t="str">
        <f aca="false">IF(V1261&lt;0,"Loss Making",IF(V1261&lt;20,"Low Margin","Healthy Margin"))</f>
        <v>Healthy Margin</v>
      </c>
      <c r="AE1261" s="1" t="str">
        <f aca="false">TEXT(DATE(VALUE(RIGHT(B1261,4)),VALUE(MID(B1261,4,2)),VALUE(LEFT(B1261,2))),"MMM-YYYY")</f>
        <v>Aug-2024</v>
      </c>
      <c r="AF1261" s="1" t="n">
        <f aca="false">VALUE(RIGHT(B1261,4))</f>
        <v>2024</v>
      </c>
      <c r="AG1261" s="1" t="str">
        <f aca="false">CHOOSE(ROUNDUP(VALUE(MID(B1261,4,2))/3,0),"Q1","Q2","Q3","Q4")</f>
        <v>Q3</v>
      </c>
    </row>
    <row r="1262" customFormat="false" ht="15" hidden="false" customHeight="true" outlineLevel="0" collapsed="false">
      <c r="A1262" s="1" t="s">
        <v>2042</v>
      </c>
      <c r="B1262" s="1" t="s">
        <v>994</v>
      </c>
      <c r="C1262" s="1" t="s">
        <v>128</v>
      </c>
      <c r="D1262" s="1" t="s">
        <v>29</v>
      </c>
      <c r="E1262" s="1" t="s">
        <v>182</v>
      </c>
      <c r="F1262" s="1" t="s">
        <v>130</v>
      </c>
      <c r="G1262" s="1" t="s">
        <v>47</v>
      </c>
      <c r="H1262" s="1" t="s">
        <v>69</v>
      </c>
      <c r="I1262" s="1" t="s">
        <v>83</v>
      </c>
      <c r="J1262" s="1" t="s">
        <v>59</v>
      </c>
      <c r="K1262" s="1" t="s">
        <v>90</v>
      </c>
      <c r="L1262" s="1" t="s">
        <v>49</v>
      </c>
      <c r="M1262" s="1" t="s">
        <v>50</v>
      </c>
      <c r="N1262" s="1" t="n">
        <v>34999</v>
      </c>
      <c r="O1262" s="1" t="n">
        <v>5</v>
      </c>
      <c r="P1262" s="1" t="n">
        <v>1749.95</v>
      </c>
      <c r="Q1262" s="1" t="n">
        <v>33249.05</v>
      </c>
      <c r="R1262" s="1" t="n">
        <v>5984.83</v>
      </c>
      <c r="S1262" s="1" t="n">
        <v>27264.22</v>
      </c>
      <c r="T1262" s="1" t="n">
        <v>10303.22</v>
      </c>
      <c r="U1262" s="1" t="n">
        <v>16961</v>
      </c>
      <c r="V1262" s="1" t="n">
        <v>62.21</v>
      </c>
      <c r="W1262" s="1" t="s">
        <v>39</v>
      </c>
      <c r="Y1262" s="1" t="s">
        <v>40</v>
      </c>
      <c r="Z1262" s="1" t="n">
        <v>0</v>
      </c>
      <c r="AA1262" s="1" t="str">
        <f aca="false">TRIM(PROPER(F1262))</f>
        <v>Bengaluru</v>
      </c>
      <c r="AB1262" s="1" t="str">
        <f aca="false">TRIM(PROPER(C1262))</f>
        <v>Great Learning</v>
      </c>
      <c r="AC1262" s="1" t="str">
        <f aca="false">IF(O1262=0,"No Discount",IF(O1262&lt;=15,"Low (1-15%)",IF(O1262&lt;=30,"Medium (16-30%)","High (&gt;30%)")))</f>
        <v>Low (1-15%)</v>
      </c>
      <c r="AD1262" s="1" t="str">
        <f aca="false">IF(V1262&lt;0,"Loss Making",IF(V1262&lt;20,"Low Margin","Healthy Margin"))</f>
        <v>Healthy Margin</v>
      </c>
      <c r="AE1262" s="1" t="str">
        <f aca="false">TEXT(DATE(VALUE(RIGHT(B1262,4)),VALUE(MID(B1262,4,2)),VALUE(LEFT(B1262,2))),"MMM-YYYY")</f>
        <v>Oct-2023</v>
      </c>
      <c r="AF1262" s="1" t="n">
        <f aca="false">VALUE(RIGHT(B1262,4))</f>
        <v>2023</v>
      </c>
      <c r="AG1262" s="1" t="str">
        <f aca="false">CHOOSE(ROUNDUP(VALUE(MID(B1262,4,2))/3,0),"Q1","Q2","Q3","Q4")</f>
        <v>Q4</v>
      </c>
    </row>
    <row r="1263" customFormat="false" ht="15" hidden="false" customHeight="true" outlineLevel="0" collapsed="false">
      <c r="A1263" s="1" t="s">
        <v>2043</v>
      </c>
      <c r="B1263" s="1" t="s">
        <v>1210</v>
      </c>
      <c r="C1263" s="1" t="s">
        <v>100</v>
      </c>
      <c r="D1263" s="1" t="s">
        <v>80</v>
      </c>
      <c r="E1263" s="1" t="s">
        <v>193</v>
      </c>
      <c r="F1263" s="1" t="s">
        <v>82</v>
      </c>
      <c r="G1263" s="1" t="s">
        <v>56</v>
      </c>
      <c r="H1263" s="1" t="s">
        <v>69</v>
      </c>
      <c r="I1263" s="1" t="s">
        <v>58</v>
      </c>
      <c r="J1263" s="1" t="s">
        <v>35</v>
      </c>
      <c r="K1263" s="1" t="s">
        <v>36</v>
      </c>
      <c r="L1263" s="1" t="s">
        <v>85</v>
      </c>
      <c r="M1263" s="1" t="s">
        <v>38</v>
      </c>
      <c r="N1263" s="1" t="n">
        <v>8999</v>
      </c>
      <c r="O1263" s="1" t="n">
        <v>0</v>
      </c>
      <c r="P1263" s="1" t="n">
        <v>0</v>
      </c>
      <c r="Q1263" s="1" t="n">
        <v>8999</v>
      </c>
      <c r="R1263" s="1" t="n">
        <v>1619.82</v>
      </c>
      <c r="S1263" s="1" t="n">
        <v>7379.18</v>
      </c>
      <c r="T1263" s="1" t="n">
        <v>2622.85</v>
      </c>
      <c r="U1263" s="1" t="n">
        <v>4756.33</v>
      </c>
      <c r="V1263" s="1" t="n">
        <v>64.46</v>
      </c>
      <c r="W1263" s="1" t="s">
        <v>39</v>
      </c>
      <c r="X1263" s="1" t="n">
        <v>4.2</v>
      </c>
      <c r="Y1263" s="1" t="s">
        <v>40</v>
      </c>
      <c r="Z1263" s="1" t="n">
        <v>0</v>
      </c>
      <c r="AA1263" s="1" t="str">
        <f aca="false">TRIM(PROPER(F1263))</f>
        <v>Gurugram</v>
      </c>
      <c r="AB1263" s="1" t="str">
        <f aca="false">TRIM(PROPER(C1263))</f>
        <v>Physics Wallah</v>
      </c>
      <c r="AC1263" s="1" t="str">
        <f aca="false">IF(O1263=0,"No Discount",IF(O1263&lt;=15,"Low (1-15%)",IF(O1263&lt;=30,"Medium (16-30%)","High (&gt;30%)")))</f>
        <v>No Discount</v>
      </c>
      <c r="AD1263" s="1" t="str">
        <f aca="false">IF(V1263&lt;0,"Loss Making",IF(V1263&lt;20,"Low Margin","Healthy Margin"))</f>
        <v>Healthy Margin</v>
      </c>
      <c r="AE1263" s="1" t="str">
        <f aca="false">TEXT(DATE(VALUE(RIGHT(B1263,4)),VALUE(MID(B1263,4,2)),VALUE(LEFT(B1263,2))),"MMM-YYYY")</f>
        <v>Mar-2024</v>
      </c>
      <c r="AF1263" s="1" t="n">
        <f aca="false">VALUE(RIGHT(B1263,4))</f>
        <v>2024</v>
      </c>
      <c r="AG1263" s="1" t="str">
        <f aca="false">CHOOSE(ROUNDUP(VALUE(MID(B1263,4,2))/3,0),"Q1","Q2","Q3","Q4")</f>
        <v>Q1</v>
      </c>
    </row>
    <row r="1264" customFormat="false" ht="15" hidden="false" customHeight="true" outlineLevel="0" collapsed="false">
      <c r="A1264" s="1" t="s">
        <v>2044</v>
      </c>
      <c r="B1264" s="1" t="s">
        <v>753</v>
      </c>
      <c r="C1264" s="1" t="s">
        <v>249</v>
      </c>
      <c r="D1264" s="1" t="s">
        <v>80</v>
      </c>
      <c r="E1264" s="1" t="s">
        <v>81</v>
      </c>
      <c r="F1264" s="1" t="s">
        <v>107</v>
      </c>
      <c r="G1264" s="1" t="s">
        <v>108</v>
      </c>
      <c r="H1264" s="1" t="s">
        <v>33</v>
      </c>
      <c r="I1264" s="1" t="s">
        <v>83</v>
      </c>
      <c r="J1264" s="1" t="s">
        <v>131</v>
      </c>
      <c r="K1264" s="1" t="s">
        <v>60</v>
      </c>
      <c r="L1264" s="1" t="s">
        <v>136</v>
      </c>
      <c r="M1264" s="1" t="s">
        <v>38</v>
      </c>
      <c r="N1264" s="1" t="n">
        <v>12999</v>
      </c>
      <c r="O1264" s="1" t="n">
        <v>30</v>
      </c>
      <c r="P1264" s="1" t="n">
        <v>3899.7</v>
      </c>
      <c r="Q1264" s="1" t="n">
        <v>9099.3</v>
      </c>
      <c r="R1264" s="1" t="n">
        <v>1637.87</v>
      </c>
      <c r="S1264" s="1" t="n">
        <v>7461.43</v>
      </c>
      <c r="T1264" s="1" t="n">
        <v>3426.4</v>
      </c>
      <c r="U1264" s="1" t="n">
        <v>4035.03</v>
      </c>
      <c r="V1264" s="1" t="n">
        <v>54.08</v>
      </c>
      <c r="W1264" s="1" t="s">
        <v>40</v>
      </c>
      <c r="Y1264" s="1" t="s">
        <v>40</v>
      </c>
      <c r="Z1264" s="1" t="n">
        <v>1</v>
      </c>
      <c r="AA1264" s="1" t="str">
        <f aca="false">TRIM(PROPER(F1264))</f>
        <v>Madurai</v>
      </c>
      <c r="AB1264" s="1" t="str">
        <f aca="false">TRIM(PROPER(C1264))</f>
        <v>Whitehat Jr</v>
      </c>
      <c r="AC1264" s="1" t="str">
        <f aca="false">IF(O1264=0,"No Discount",IF(O1264&lt;=15,"Low (1-15%)",IF(O1264&lt;=30,"Medium (16-30%)","High (&gt;30%)")))</f>
        <v>Medium (16-30%)</v>
      </c>
      <c r="AD1264" s="1" t="str">
        <f aca="false">IF(V1264&lt;0,"Loss Making",IF(V1264&lt;20,"Low Margin","Healthy Margin"))</f>
        <v>Healthy Margin</v>
      </c>
      <c r="AE1264" s="1" t="str">
        <f aca="false">TEXT(DATE(VALUE(RIGHT(B1264,4)),VALUE(MID(B1264,4,2)),VALUE(LEFT(B1264,2))),"MMM-YYYY")</f>
        <v>Jun-2024</v>
      </c>
      <c r="AF1264" s="1" t="n">
        <f aca="false">VALUE(RIGHT(B1264,4))</f>
        <v>2024</v>
      </c>
      <c r="AG1264" s="1" t="str">
        <f aca="false">CHOOSE(ROUNDUP(VALUE(MID(B1264,4,2))/3,0),"Q1","Q2","Q3","Q4")</f>
        <v>Q2</v>
      </c>
    </row>
    <row r="1265" customFormat="false" ht="15" hidden="false" customHeight="true" outlineLevel="0" collapsed="false">
      <c r="A1265" s="1" t="s">
        <v>2045</v>
      </c>
      <c r="B1265" s="1" t="s">
        <v>485</v>
      </c>
      <c r="C1265" s="1" t="s">
        <v>88</v>
      </c>
      <c r="D1265" s="1" t="s">
        <v>94</v>
      </c>
      <c r="E1265" s="1" t="s">
        <v>101</v>
      </c>
      <c r="F1265" s="1" t="s">
        <v>67</v>
      </c>
      <c r="G1265" s="1" t="s">
        <v>68</v>
      </c>
      <c r="H1265" s="1" t="s">
        <v>69</v>
      </c>
      <c r="I1265" s="1" t="s">
        <v>58</v>
      </c>
      <c r="J1265" s="1" t="s">
        <v>59</v>
      </c>
      <c r="K1265" s="1" t="s">
        <v>71</v>
      </c>
      <c r="L1265" s="1" t="s">
        <v>113</v>
      </c>
      <c r="M1265" s="1" t="s">
        <v>50</v>
      </c>
      <c r="N1265" s="1" t="n">
        <v>14999</v>
      </c>
      <c r="O1265" s="1" t="n">
        <v>0</v>
      </c>
      <c r="P1265" s="1" t="n">
        <v>0</v>
      </c>
      <c r="Q1265" s="1" t="n">
        <v>14999</v>
      </c>
      <c r="R1265" s="1" t="n">
        <v>2699.82</v>
      </c>
      <c r="S1265" s="1" t="n">
        <v>12299.18</v>
      </c>
      <c r="T1265" s="1" t="n">
        <v>4589.04</v>
      </c>
      <c r="U1265" s="1" t="n">
        <v>7710.14</v>
      </c>
      <c r="V1265" s="1" t="n">
        <v>62.69</v>
      </c>
      <c r="W1265" s="1" t="s">
        <v>40</v>
      </c>
      <c r="Y1265" s="1" t="s">
        <v>40</v>
      </c>
      <c r="Z1265" s="1" t="n">
        <v>1</v>
      </c>
      <c r="AA1265" s="1" t="str">
        <f aca="false">TRIM(PROPER(F1265))</f>
        <v>Ahmedabad</v>
      </c>
      <c r="AB1265" s="1" t="str">
        <f aca="false">TRIM(PROPER(C1265))</f>
        <v>Byju'S</v>
      </c>
      <c r="AC1265" s="1" t="str">
        <f aca="false">IF(O1265=0,"No Discount",IF(O1265&lt;=15,"Low (1-15%)",IF(O1265&lt;=30,"Medium (16-30%)","High (&gt;30%)")))</f>
        <v>No Discount</v>
      </c>
      <c r="AD1265" s="1" t="str">
        <f aca="false">IF(V1265&lt;0,"Loss Making",IF(V1265&lt;20,"Low Margin","Healthy Margin"))</f>
        <v>Healthy Margin</v>
      </c>
      <c r="AE1265" s="1" t="str">
        <f aca="false">TEXT(DATE(VALUE(RIGHT(B1265,4)),VALUE(MID(B1265,4,2)),VALUE(LEFT(B1265,2))),"MMM-YYYY")</f>
        <v>Mar-2023</v>
      </c>
      <c r="AF1265" s="1" t="n">
        <f aca="false">VALUE(RIGHT(B1265,4))</f>
        <v>2023</v>
      </c>
      <c r="AG1265" s="1" t="str">
        <f aca="false">CHOOSE(ROUNDUP(VALUE(MID(B1265,4,2))/3,0),"Q1","Q2","Q3","Q4")</f>
        <v>Q1</v>
      </c>
    </row>
    <row r="1266" customFormat="false" ht="15" hidden="false" customHeight="true" outlineLevel="0" collapsed="false">
      <c r="A1266" s="1" t="s">
        <v>2046</v>
      </c>
      <c r="B1266" s="1" t="s">
        <v>1394</v>
      </c>
      <c r="C1266" s="1" t="s">
        <v>264</v>
      </c>
      <c r="D1266" s="1" t="s">
        <v>168</v>
      </c>
      <c r="E1266" s="1" t="s">
        <v>169</v>
      </c>
      <c r="F1266" s="1" t="s">
        <v>244</v>
      </c>
      <c r="G1266" s="1" t="s">
        <v>97</v>
      </c>
      <c r="H1266" s="1" t="s">
        <v>57</v>
      </c>
      <c r="I1266" s="1" t="s">
        <v>58</v>
      </c>
      <c r="J1266" s="1" t="s">
        <v>35</v>
      </c>
      <c r="K1266" s="1" t="s">
        <v>60</v>
      </c>
      <c r="L1266" s="1" t="s">
        <v>61</v>
      </c>
      <c r="M1266" s="1" t="s">
        <v>38</v>
      </c>
      <c r="N1266" s="1" t="n">
        <v>4999</v>
      </c>
      <c r="O1266" s="1" t="n">
        <v>30</v>
      </c>
      <c r="P1266" s="1" t="n">
        <v>1499.7</v>
      </c>
      <c r="Q1266" s="1" t="n">
        <v>3499.3</v>
      </c>
      <c r="R1266" s="1" t="n">
        <v>629.87</v>
      </c>
      <c r="S1266" s="1" t="n">
        <v>2869.43</v>
      </c>
      <c r="T1266" s="1" t="n">
        <v>1510.99</v>
      </c>
      <c r="U1266" s="1" t="n">
        <v>1358.44</v>
      </c>
      <c r="V1266" s="1" t="n">
        <v>47.34</v>
      </c>
      <c r="W1266" s="1" t="s">
        <v>40</v>
      </c>
      <c r="Y1266" s="1" t="s">
        <v>40</v>
      </c>
      <c r="Z1266" s="1" t="n">
        <v>2</v>
      </c>
      <c r="AA1266" s="1" t="str">
        <f aca="false">TRIM(PROPER(F1266))</f>
        <v>Nagpur</v>
      </c>
      <c r="AB1266" s="1" t="str">
        <f aca="false">TRIM(PROPER(C1266))</f>
        <v>Unacademy</v>
      </c>
      <c r="AC1266" s="1" t="str">
        <f aca="false">IF(O1266=0,"No Discount",IF(O1266&lt;=15,"Low (1-15%)",IF(O1266&lt;=30,"Medium (16-30%)","High (&gt;30%)")))</f>
        <v>Medium (16-30%)</v>
      </c>
      <c r="AD1266" s="1" t="str">
        <f aca="false">IF(V1266&lt;0,"Loss Making",IF(V1266&lt;20,"Low Margin","Healthy Margin"))</f>
        <v>Healthy Margin</v>
      </c>
      <c r="AE1266" s="1" t="str">
        <f aca="false">TEXT(DATE(VALUE(RIGHT(B1266,4)),VALUE(MID(B1266,4,2)),VALUE(LEFT(B1266,2))),"MMM-YYYY")</f>
        <v>Feb-2024</v>
      </c>
      <c r="AF1266" s="1" t="n">
        <f aca="false">VALUE(RIGHT(B1266,4))</f>
        <v>2024</v>
      </c>
      <c r="AG1266" s="1" t="str">
        <f aca="false">CHOOSE(ROUNDUP(VALUE(MID(B1266,4,2))/3,0),"Q1","Q2","Q3","Q4")</f>
        <v>Q1</v>
      </c>
    </row>
    <row r="1267" customFormat="false" ht="15" hidden="false" customHeight="true" outlineLevel="0" collapsed="false">
      <c r="A1267" s="1" t="s">
        <v>2047</v>
      </c>
      <c r="B1267" s="1" t="s">
        <v>110</v>
      </c>
      <c r="C1267" s="1" t="s">
        <v>88</v>
      </c>
      <c r="D1267" s="1" t="s">
        <v>80</v>
      </c>
      <c r="E1267" s="1" t="s">
        <v>175</v>
      </c>
      <c r="F1267" s="1" t="s">
        <v>75</v>
      </c>
      <c r="G1267" s="1" t="s">
        <v>76</v>
      </c>
      <c r="H1267" s="1" t="s">
        <v>69</v>
      </c>
      <c r="I1267" s="1" t="s">
        <v>83</v>
      </c>
      <c r="J1267" s="1" t="s">
        <v>131</v>
      </c>
      <c r="K1267" s="1" t="s">
        <v>84</v>
      </c>
      <c r="L1267" s="1" t="s">
        <v>61</v>
      </c>
      <c r="M1267" s="1" t="s">
        <v>50</v>
      </c>
      <c r="N1267" s="1" t="n">
        <v>19999</v>
      </c>
      <c r="O1267" s="1" t="n">
        <v>0</v>
      </c>
      <c r="P1267" s="1" t="n">
        <v>0</v>
      </c>
      <c r="Q1267" s="1" t="n">
        <v>19999</v>
      </c>
      <c r="R1267" s="1" t="n">
        <v>3599.82</v>
      </c>
      <c r="S1267" s="1" t="n">
        <v>16399.18</v>
      </c>
      <c r="T1267" s="1" t="n">
        <v>7543.05</v>
      </c>
      <c r="U1267" s="1" t="n">
        <v>8856.13</v>
      </c>
      <c r="V1267" s="1" t="n">
        <v>54</v>
      </c>
      <c r="W1267" s="1" t="s">
        <v>39</v>
      </c>
      <c r="X1267" s="1" t="n">
        <v>4</v>
      </c>
      <c r="Y1267" s="1" t="s">
        <v>40</v>
      </c>
      <c r="Z1267" s="1" t="n">
        <v>0</v>
      </c>
      <c r="AA1267" s="1" t="str">
        <f aca="false">TRIM(PROPER(F1267))</f>
        <v>Kolkata</v>
      </c>
      <c r="AB1267" s="1" t="str">
        <f aca="false">TRIM(PROPER(C1267))</f>
        <v>Byju'S</v>
      </c>
      <c r="AC1267" s="1" t="str">
        <f aca="false">IF(O1267=0,"No Discount",IF(O1267&lt;=15,"Low (1-15%)",IF(O1267&lt;=30,"Medium (16-30%)","High (&gt;30%)")))</f>
        <v>No Discount</v>
      </c>
      <c r="AD1267" s="1" t="str">
        <f aca="false">IF(V1267&lt;0,"Loss Making",IF(V1267&lt;20,"Low Margin","Healthy Margin"))</f>
        <v>Healthy Margin</v>
      </c>
      <c r="AE1267" s="1" t="str">
        <f aca="false">TEXT(DATE(VALUE(RIGHT(B1267,4)),VALUE(MID(B1267,4,2)),VALUE(LEFT(B1267,2))),"MMM-YYYY")</f>
        <v>Nov-2023</v>
      </c>
      <c r="AF1267" s="1" t="n">
        <f aca="false">VALUE(RIGHT(B1267,4))</f>
        <v>2023</v>
      </c>
      <c r="AG1267" s="1" t="str">
        <f aca="false">CHOOSE(ROUNDUP(VALUE(MID(B1267,4,2))/3,0),"Q1","Q2","Q3","Q4")</f>
        <v>Q4</v>
      </c>
    </row>
    <row r="1268" customFormat="false" ht="15" hidden="false" customHeight="true" outlineLevel="0" collapsed="false">
      <c r="A1268" s="1" t="s">
        <v>2048</v>
      </c>
      <c r="B1268" s="1" t="s">
        <v>2049</v>
      </c>
      <c r="C1268" s="1" t="s">
        <v>28</v>
      </c>
      <c r="D1268" s="1" t="s">
        <v>94</v>
      </c>
      <c r="E1268" s="1" t="s">
        <v>95</v>
      </c>
      <c r="F1268" s="1" t="s">
        <v>102</v>
      </c>
      <c r="G1268" s="1" t="s">
        <v>103</v>
      </c>
      <c r="H1268" s="1" t="s">
        <v>33</v>
      </c>
      <c r="I1268" s="1" t="s">
        <v>58</v>
      </c>
      <c r="J1268" s="1" t="s">
        <v>59</v>
      </c>
      <c r="K1268" s="1" t="s">
        <v>104</v>
      </c>
      <c r="L1268" s="1" t="s">
        <v>113</v>
      </c>
      <c r="M1268" s="1" t="s">
        <v>50</v>
      </c>
      <c r="N1268" s="1" t="n">
        <v>6999</v>
      </c>
      <c r="O1268" s="1" t="n">
        <v>25</v>
      </c>
      <c r="P1268" s="1" t="n">
        <v>1749.75</v>
      </c>
      <c r="Q1268" s="1" t="n">
        <v>5249.25</v>
      </c>
      <c r="R1268" s="1" t="n">
        <v>944.87</v>
      </c>
      <c r="S1268" s="1" t="n">
        <v>4304.38</v>
      </c>
      <c r="T1268" s="1" t="n">
        <v>2130.71</v>
      </c>
      <c r="U1268" s="1" t="n">
        <v>2173.67</v>
      </c>
      <c r="V1268" s="1" t="n">
        <v>50.5</v>
      </c>
      <c r="W1268" s="1" t="s">
        <v>39</v>
      </c>
      <c r="X1268" s="1" t="n">
        <v>3.9</v>
      </c>
      <c r="Y1268" s="1" t="s">
        <v>40</v>
      </c>
      <c r="Z1268" s="1" t="n">
        <v>0</v>
      </c>
      <c r="AA1268" s="1" t="str">
        <f aca="false">TRIM(PROPER(F1268))</f>
        <v>Warangal</v>
      </c>
      <c r="AB1268" s="1" t="str">
        <f aca="false">TRIM(PROPER(C1268))</f>
        <v>Embibe</v>
      </c>
      <c r="AC1268" s="1" t="str">
        <f aca="false">IF(O1268=0,"No Discount",IF(O1268&lt;=15,"Low (1-15%)",IF(O1268&lt;=30,"Medium (16-30%)","High (&gt;30%)")))</f>
        <v>Medium (16-30%)</v>
      </c>
      <c r="AD1268" s="1" t="str">
        <f aca="false">IF(V1268&lt;0,"Loss Making",IF(V1268&lt;20,"Low Margin","Healthy Margin"))</f>
        <v>Healthy Margin</v>
      </c>
      <c r="AE1268" s="1" t="str">
        <f aca="false">TEXT(DATE(VALUE(RIGHT(B1268,4)),VALUE(MID(B1268,4,2)),VALUE(LEFT(B1268,2))),"MMM-YYYY")</f>
        <v>Feb-2023</v>
      </c>
      <c r="AF1268" s="1" t="n">
        <f aca="false">VALUE(RIGHT(B1268,4))</f>
        <v>2023</v>
      </c>
      <c r="AG1268" s="1" t="str">
        <f aca="false">CHOOSE(ROUNDUP(VALUE(MID(B1268,4,2))/3,0),"Q1","Q2","Q3","Q4")</f>
        <v>Q1</v>
      </c>
    </row>
    <row r="1269" customFormat="false" ht="15" hidden="false" customHeight="true" outlineLevel="0" collapsed="false">
      <c r="A1269" s="1" t="s">
        <v>2050</v>
      </c>
      <c r="B1269" s="1" t="s">
        <v>273</v>
      </c>
      <c r="C1269" s="1" t="s">
        <v>28</v>
      </c>
      <c r="D1269" s="1" t="s">
        <v>143</v>
      </c>
      <c r="E1269" s="1" t="s">
        <v>162</v>
      </c>
      <c r="F1269" s="1" t="s">
        <v>31</v>
      </c>
      <c r="G1269" s="1" t="s">
        <v>32</v>
      </c>
      <c r="H1269" s="1" t="s">
        <v>33</v>
      </c>
      <c r="I1269" s="1" t="s">
        <v>83</v>
      </c>
      <c r="J1269" s="1" t="s">
        <v>77</v>
      </c>
      <c r="K1269" s="1" t="s">
        <v>48</v>
      </c>
      <c r="L1269" s="1" t="s">
        <v>85</v>
      </c>
      <c r="M1269" s="1" t="s">
        <v>50</v>
      </c>
      <c r="N1269" s="1" t="n">
        <v>14999</v>
      </c>
      <c r="O1269" s="1" t="n">
        <v>40</v>
      </c>
      <c r="P1269" s="1" t="n">
        <v>5999.6</v>
      </c>
      <c r="Q1269" s="1" t="n">
        <v>8999.4</v>
      </c>
      <c r="R1269" s="1" t="n">
        <v>1619.89</v>
      </c>
      <c r="S1269" s="1" t="n">
        <v>7379.51</v>
      </c>
      <c r="T1269" s="1" t="n">
        <v>4729.07</v>
      </c>
      <c r="U1269" s="1" t="n">
        <v>2650.44</v>
      </c>
      <c r="V1269" s="1" t="n">
        <v>35.92</v>
      </c>
      <c r="W1269" s="1" t="s">
        <v>40</v>
      </c>
      <c r="Y1269" s="1" t="s">
        <v>40</v>
      </c>
      <c r="Z1269" s="1" t="n">
        <v>1</v>
      </c>
      <c r="AA1269" s="1" t="str">
        <f aca="false">TRIM(PROPER(F1269))</f>
        <v>Jodhpur</v>
      </c>
      <c r="AB1269" s="1" t="str">
        <f aca="false">TRIM(PROPER(C1269))</f>
        <v>Embibe</v>
      </c>
      <c r="AC1269" s="1" t="str">
        <f aca="false">IF(O1269=0,"No Discount",IF(O1269&lt;=15,"Low (1-15%)",IF(O1269&lt;=30,"Medium (16-30%)","High (&gt;30%)")))</f>
        <v>High (&gt;30%)</v>
      </c>
      <c r="AD1269" s="1" t="str">
        <f aca="false">IF(V1269&lt;0,"Loss Making",IF(V1269&lt;20,"Low Margin","Healthy Margin"))</f>
        <v>Healthy Margin</v>
      </c>
      <c r="AE1269" s="1" t="str">
        <f aca="false">TEXT(DATE(VALUE(RIGHT(B1269,4)),VALUE(MID(B1269,4,2)),VALUE(LEFT(B1269,2))),"MMM-YYYY")</f>
        <v>Apr-2024</v>
      </c>
      <c r="AF1269" s="1" t="n">
        <f aca="false">VALUE(RIGHT(B1269,4))</f>
        <v>2024</v>
      </c>
      <c r="AG1269" s="1" t="str">
        <f aca="false">CHOOSE(ROUNDUP(VALUE(MID(B1269,4,2))/3,0),"Q1","Q2","Q3","Q4")</f>
        <v>Q2</v>
      </c>
    </row>
    <row r="1270" customFormat="false" ht="15" hidden="false" customHeight="true" outlineLevel="0" collapsed="false">
      <c r="A1270" s="1" t="s">
        <v>2051</v>
      </c>
      <c r="B1270" s="1" t="s">
        <v>1596</v>
      </c>
      <c r="C1270" s="1" t="s">
        <v>134</v>
      </c>
      <c r="D1270" s="1" t="s">
        <v>44</v>
      </c>
      <c r="E1270" s="1" t="s">
        <v>66</v>
      </c>
      <c r="F1270" s="1" t="s">
        <v>89</v>
      </c>
      <c r="G1270" s="1" t="s">
        <v>68</v>
      </c>
      <c r="H1270" s="1" t="s">
        <v>33</v>
      </c>
      <c r="I1270" s="1" t="s">
        <v>83</v>
      </c>
      <c r="J1270" s="1" t="s">
        <v>70</v>
      </c>
      <c r="K1270" s="1" t="s">
        <v>104</v>
      </c>
      <c r="L1270" s="1" t="s">
        <v>113</v>
      </c>
      <c r="M1270" s="1" t="s">
        <v>38</v>
      </c>
      <c r="N1270" s="1" t="n">
        <v>12999</v>
      </c>
      <c r="O1270" s="1" t="n">
        <v>0</v>
      </c>
      <c r="P1270" s="1" t="n">
        <v>0</v>
      </c>
      <c r="Q1270" s="1" t="n">
        <v>12999</v>
      </c>
      <c r="R1270" s="1" t="n">
        <v>2339.82</v>
      </c>
      <c r="S1270" s="1" t="n">
        <v>10659.18</v>
      </c>
      <c r="T1270" s="1" t="n">
        <v>4762.45</v>
      </c>
      <c r="U1270" s="1" t="n">
        <v>5896.73</v>
      </c>
      <c r="V1270" s="1" t="n">
        <v>55.32</v>
      </c>
      <c r="W1270" s="1" t="s">
        <v>39</v>
      </c>
      <c r="X1270" s="1" t="n">
        <v>3.9</v>
      </c>
      <c r="Y1270" s="1" t="s">
        <v>40</v>
      </c>
      <c r="Z1270" s="1" t="n">
        <v>0</v>
      </c>
      <c r="AA1270" s="1" t="str">
        <f aca="false">TRIM(PROPER(F1270))</f>
        <v>Vadodara</v>
      </c>
      <c r="AB1270" s="1" t="str">
        <f aca="false">TRIM(PROPER(C1270))</f>
        <v>Doubtnut</v>
      </c>
      <c r="AC1270" s="1" t="str">
        <f aca="false">IF(O1270=0,"No Discount",IF(O1270&lt;=15,"Low (1-15%)",IF(O1270&lt;=30,"Medium (16-30%)","High (&gt;30%)")))</f>
        <v>No Discount</v>
      </c>
      <c r="AD1270" s="1" t="str">
        <f aca="false">IF(V1270&lt;0,"Loss Making",IF(V1270&lt;20,"Low Margin","Healthy Margin"))</f>
        <v>Healthy Margin</v>
      </c>
      <c r="AE1270" s="1" t="str">
        <f aca="false">TEXT(DATE(VALUE(RIGHT(B1270,4)),VALUE(MID(B1270,4,2)),VALUE(LEFT(B1270,2))),"MMM-YYYY")</f>
        <v>Oct-2023</v>
      </c>
      <c r="AF1270" s="1" t="n">
        <f aca="false">VALUE(RIGHT(B1270,4))</f>
        <v>2023</v>
      </c>
      <c r="AG1270" s="1" t="str">
        <f aca="false">CHOOSE(ROUNDUP(VALUE(MID(B1270,4,2))/3,0),"Q1","Q2","Q3","Q4")</f>
        <v>Q4</v>
      </c>
    </row>
    <row r="1271" customFormat="false" ht="15" hidden="false" customHeight="true" outlineLevel="0" collapsed="false">
      <c r="A1271" s="1" t="s">
        <v>2052</v>
      </c>
      <c r="B1271" s="1" t="s">
        <v>2053</v>
      </c>
      <c r="C1271" s="1" t="s">
        <v>167</v>
      </c>
      <c r="D1271" s="1" t="s">
        <v>123</v>
      </c>
      <c r="E1271" s="1" t="s">
        <v>147</v>
      </c>
      <c r="F1271" s="1" t="s">
        <v>211</v>
      </c>
      <c r="G1271" s="1" t="s">
        <v>56</v>
      </c>
      <c r="H1271" s="1" t="s">
        <v>69</v>
      </c>
      <c r="I1271" s="1" t="s">
        <v>83</v>
      </c>
      <c r="J1271" s="1" t="s">
        <v>77</v>
      </c>
      <c r="K1271" s="1" t="s">
        <v>48</v>
      </c>
      <c r="L1271" s="1" t="s">
        <v>37</v>
      </c>
      <c r="M1271" s="1" t="s">
        <v>50</v>
      </c>
      <c r="N1271" s="1" t="n">
        <v>6999</v>
      </c>
      <c r="O1271" s="1" t="n">
        <v>30</v>
      </c>
      <c r="P1271" s="1" t="n">
        <v>2099.7</v>
      </c>
      <c r="Q1271" s="1" t="n">
        <v>4899.3</v>
      </c>
      <c r="R1271" s="1" t="n">
        <v>881.87</v>
      </c>
      <c r="S1271" s="1" t="n">
        <v>4017.43</v>
      </c>
      <c r="T1271" s="1" t="n">
        <v>1358.08</v>
      </c>
      <c r="U1271" s="1" t="n">
        <v>2659.35</v>
      </c>
      <c r="V1271" s="1" t="n">
        <v>66.2</v>
      </c>
      <c r="W1271" s="1" t="s">
        <v>39</v>
      </c>
      <c r="X1271" s="1" t="n">
        <v>3.9</v>
      </c>
      <c r="Y1271" s="1" t="s">
        <v>40</v>
      </c>
      <c r="Z1271" s="1" t="n">
        <v>1</v>
      </c>
      <c r="AA1271" s="1" t="str">
        <f aca="false">TRIM(PROPER(F1271))</f>
        <v>Noida</v>
      </c>
      <c r="AB1271" s="1" t="str">
        <f aca="false">TRIM(PROPER(C1271))</f>
        <v>Scaler</v>
      </c>
      <c r="AC1271" s="1" t="str">
        <f aca="false">IF(O1271=0,"No Discount",IF(O1271&lt;=15,"Low (1-15%)",IF(O1271&lt;=30,"Medium (16-30%)","High (&gt;30%)")))</f>
        <v>Medium (16-30%)</v>
      </c>
      <c r="AD1271" s="1" t="str">
        <f aca="false">IF(V1271&lt;0,"Loss Making",IF(V1271&lt;20,"Low Margin","Healthy Margin"))</f>
        <v>Healthy Margin</v>
      </c>
      <c r="AE1271" s="1" t="str">
        <f aca="false">TEXT(DATE(VALUE(RIGHT(B1271,4)),VALUE(MID(B1271,4,2)),VALUE(LEFT(B1271,2))),"MMM-YYYY")</f>
        <v>Feb-2024</v>
      </c>
      <c r="AF1271" s="1" t="n">
        <f aca="false">VALUE(RIGHT(B1271,4))</f>
        <v>2024</v>
      </c>
      <c r="AG1271" s="1" t="str">
        <f aca="false">CHOOSE(ROUNDUP(VALUE(MID(B1271,4,2))/3,0),"Q1","Q2","Q3","Q4")</f>
        <v>Q1</v>
      </c>
    </row>
    <row r="1272" customFormat="false" ht="15" hidden="false" customHeight="true" outlineLevel="0" collapsed="false">
      <c r="A1272" s="1" t="s">
        <v>2054</v>
      </c>
      <c r="B1272" s="1" t="s">
        <v>1931</v>
      </c>
      <c r="C1272" s="1" t="s">
        <v>249</v>
      </c>
      <c r="D1272" s="1" t="s">
        <v>44</v>
      </c>
      <c r="E1272" s="1" t="s">
        <v>66</v>
      </c>
      <c r="F1272" s="1" t="s">
        <v>55</v>
      </c>
      <c r="G1272" s="1" t="s">
        <v>56</v>
      </c>
      <c r="H1272" s="1" t="s">
        <v>57</v>
      </c>
      <c r="I1272" s="1" t="s">
        <v>58</v>
      </c>
      <c r="J1272" s="1" t="s">
        <v>77</v>
      </c>
      <c r="K1272" s="1" t="s">
        <v>60</v>
      </c>
      <c r="L1272" s="1" t="s">
        <v>61</v>
      </c>
      <c r="M1272" s="1" t="s">
        <v>38</v>
      </c>
      <c r="N1272" s="1" t="n">
        <v>12999</v>
      </c>
      <c r="O1272" s="1" t="n">
        <v>5</v>
      </c>
      <c r="P1272" s="1" t="n">
        <v>649.95</v>
      </c>
      <c r="Q1272" s="1" t="n">
        <v>12349.05</v>
      </c>
      <c r="R1272" s="1" t="n">
        <v>2222.83</v>
      </c>
      <c r="S1272" s="1" t="n">
        <v>10126.22</v>
      </c>
      <c r="T1272" s="1" t="n">
        <v>5146.18</v>
      </c>
      <c r="U1272" s="1" t="n">
        <v>4980.04</v>
      </c>
      <c r="V1272" s="1" t="n">
        <v>49.18</v>
      </c>
      <c r="W1272" s="1" t="s">
        <v>40</v>
      </c>
      <c r="Y1272" s="1" t="s">
        <v>40</v>
      </c>
      <c r="Z1272" s="1" t="n">
        <v>1</v>
      </c>
      <c r="AA1272" s="1" t="str">
        <f aca="false">TRIM(PROPER(F1272))</f>
        <v>Ghaziabad</v>
      </c>
      <c r="AB1272" s="1" t="str">
        <f aca="false">TRIM(PROPER(C1272))</f>
        <v>Whitehat Jr</v>
      </c>
      <c r="AC1272" s="1" t="str">
        <f aca="false">IF(O1272=0,"No Discount",IF(O1272&lt;=15,"Low (1-15%)",IF(O1272&lt;=30,"Medium (16-30%)","High (&gt;30%)")))</f>
        <v>Low (1-15%)</v>
      </c>
      <c r="AD1272" s="1" t="str">
        <f aca="false">IF(V1272&lt;0,"Loss Making",IF(V1272&lt;20,"Low Margin","Healthy Margin"))</f>
        <v>Healthy Margin</v>
      </c>
      <c r="AE1272" s="1" t="str">
        <f aca="false">TEXT(DATE(VALUE(RIGHT(B1272,4)),VALUE(MID(B1272,4,2)),VALUE(LEFT(B1272,2))),"MMM-YYYY")</f>
        <v>Feb-2024</v>
      </c>
      <c r="AF1272" s="1" t="n">
        <f aca="false">VALUE(RIGHT(B1272,4))</f>
        <v>2024</v>
      </c>
      <c r="AG1272" s="1" t="str">
        <f aca="false">CHOOSE(ROUNDUP(VALUE(MID(B1272,4,2))/3,0),"Q1","Q2","Q3","Q4")</f>
        <v>Q1</v>
      </c>
    </row>
    <row r="1273" customFormat="false" ht="15" hidden="false" customHeight="true" outlineLevel="0" collapsed="false">
      <c r="A1273" s="1" t="s">
        <v>2055</v>
      </c>
      <c r="B1273" s="1" t="s">
        <v>1963</v>
      </c>
      <c r="C1273" s="1" t="s">
        <v>93</v>
      </c>
      <c r="D1273" s="1" t="s">
        <v>143</v>
      </c>
      <c r="E1273" s="1" t="s">
        <v>144</v>
      </c>
      <c r="F1273" s="1" t="s">
        <v>130</v>
      </c>
      <c r="G1273" s="1" t="s">
        <v>47</v>
      </c>
      <c r="H1273" s="1" t="s">
        <v>69</v>
      </c>
      <c r="I1273" s="1" t="s">
        <v>83</v>
      </c>
      <c r="J1273" s="1" t="s">
        <v>77</v>
      </c>
      <c r="K1273" s="1" t="s">
        <v>104</v>
      </c>
      <c r="L1273" s="1" t="s">
        <v>136</v>
      </c>
      <c r="M1273" s="1" t="s">
        <v>38</v>
      </c>
      <c r="N1273" s="1" t="n">
        <v>12999</v>
      </c>
      <c r="O1273" s="1" t="n">
        <v>30</v>
      </c>
      <c r="P1273" s="1" t="n">
        <v>3899.7</v>
      </c>
      <c r="Q1273" s="1" t="n">
        <v>9099.3</v>
      </c>
      <c r="R1273" s="1" t="n">
        <v>1637.87</v>
      </c>
      <c r="S1273" s="1" t="n">
        <v>7461.43</v>
      </c>
      <c r="T1273" s="1" t="n">
        <v>3846.84</v>
      </c>
      <c r="U1273" s="1" t="n">
        <v>3614.59</v>
      </c>
      <c r="V1273" s="1" t="n">
        <v>48.44</v>
      </c>
      <c r="W1273" s="1" t="s">
        <v>39</v>
      </c>
      <c r="X1273" s="1" t="n">
        <v>3.5</v>
      </c>
      <c r="Y1273" s="1" t="s">
        <v>40</v>
      </c>
      <c r="Z1273" s="1" t="n">
        <v>0</v>
      </c>
      <c r="AA1273" s="1" t="str">
        <f aca="false">TRIM(PROPER(F1273))</f>
        <v>Bengaluru</v>
      </c>
      <c r="AB1273" s="1" t="str">
        <f aca="false">TRIM(PROPER(C1273))</f>
        <v>Upgrad</v>
      </c>
      <c r="AC1273" s="1" t="str">
        <f aca="false">IF(O1273=0,"No Discount",IF(O1273&lt;=15,"Low (1-15%)",IF(O1273&lt;=30,"Medium (16-30%)","High (&gt;30%)")))</f>
        <v>Medium (16-30%)</v>
      </c>
      <c r="AD1273" s="1" t="str">
        <f aca="false">IF(V1273&lt;0,"Loss Making",IF(V1273&lt;20,"Low Margin","Healthy Margin"))</f>
        <v>Healthy Margin</v>
      </c>
      <c r="AE1273" s="1" t="str">
        <f aca="false">TEXT(DATE(VALUE(RIGHT(B1273,4)),VALUE(MID(B1273,4,2)),VALUE(LEFT(B1273,2))),"MMM-YYYY")</f>
        <v>Mar-2023</v>
      </c>
      <c r="AF1273" s="1" t="n">
        <f aca="false">VALUE(RIGHT(B1273,4))</f>
        <v>2023</v>
      </c>
      <c r="AG1273" s="1" t="str">
        <f aca="false">CHOOSE(ROUNDUP(VALUE(MID(B1273,4,2))/3,0),"Q1","Q2","Q3","Q4")</f>
        <v>Q1</v>
      </c>
    </row>
    <row r="1274" customFormat="false" ht="15" hidden="false" customHeight="true" outlineLevel="0" collapsed="false">
      <c r="A1274" s="1" t="s">
        <v>2056</v>
      </c>
      <c r="B1274" s="1" t="s">
        <v>942</v>
      </c>
      <c r="C1274" s="1" t="s">
        <v>264</v>
      </c>
      <c r="D1274" s="1" t="s">
        <v>143</v>
      </c>
      <c r="E1274" s="1" t="s">
        <v>210</v>
      </c>
      <c r="F1274" s="1" t="s">
        <v>46</v>
      </c>
      <c r="G1274" s="1" t="s">
        <v>47</v>
      </c>
      <c r="H1274" s="1" t="s">
        <v>33</v>
      </c>
      <c r="I1274" s="1" t="s">
        <v>83</v>
      </c>
      <c r="J1274" s="1" t="s">
        <v>59</v>
      </c>
      <c r="K1274" s="1" t="s">
        <v>112</v>
      </c>
      <c r="L1274" s="1" t="s">
        <v>113</v>
      </c>
      <c r="M1274" s="1" t="s">
        <v>62</v>
      </c>
      <c r="N1274" s="1" t="n">
        <v>18999</v>
      </c>
      <c r="O1274" s="1" t="n">
        <v>0</v>
      </c>
      <c r="P1274" s="1" t="n">
        <v>0</v>
      </c>
      <c r="Q1274" s="1" t="n">
        <v>18999</v>
      </c>
      <c r="R1274" s="1" t="n">
        <v>3419.82</v>
      </c>
      <c r="S1274" s="1" t="n">
        <v>15579.18</v>
      </c>
      <c r="T1274" s="1" t="n">
        <v>7151.95</v>
      </c>
      <c r="U1274" s="1" t="n">
        <v>8427.23</v>
      </c>
      <c r="V1274" s="1" t="n">
        <v>54.09</v>
      </c>
      <c r="W1274" s="1" t="s">
        <v>39</v>
      </c>
      <c r="Y1274" s="1" t="s">
        <v>40</v>
      </c>
      <c r="Z1274" s="1" t="n">
        <v>0</v>
      </c>
      <c r="AA1274" s="1" t="str">
        <f aca="false">TRIM(PROPER(F1274))</f>
        <v>Mangaluru</v>
      </c>
      <c r="AB1274" s="1" t="str">
        <f aca="false">TRIM(PROPER(C1274))</f>
        <v>Unacademy</v>
      </c>
      <c r="AC1274" s="1" t="str">
        <f aca="false">IF(O1274=0,"No Discount",IF(O1274&lt;=15,"Low (1-15%)",IF(O1274&lt;=30,"Medium (16-30%)","High (&gt;30%)")))</f>
        <v>No Discount</v>
      </c>
      <c r="AD1274" s="1" t="str">
        <f aca="false">IF(V1274&lt;0,"Loss Making",IF(V1274&lt;20,"Low Margin","Healthy Margin"))</f>
        <v>Healthy Margin</v>
      </c>
      <c r="AE1274" s="1" t="str">
        <f aca="false">TEXT(DATE(VALUE(RIGHT(B1274,4)),VALUE(MID(B1274,4,2)),VALUE(LEFT(B1274,2))),"MMM-YYYY")</f>
        <v>Jan-2023</v>
      </c>
      <c r="AF1274" s="1" t="n">
        <f aca="false">VALUE(RIGHT(B1274,4))</f>
        <v>2023</v>
      </c>
      <c r="AG1274" s="1" t="str">
        <f aca="false">CHOOSE(ROUNDUP(VALUE(MID(B1274,4,2))/3,0),"Q1","Q2","Q3","Q4")</f>
        <v>Q1</v>
      </c>
    </row>
    <row r="1275" customFormat="false" ht="15" hidden="false" customHeight="true" outlineLevel="0" collapsed="false">
      <c r="A1275" s="1" t="s">
        <v>2057</v>
      </c>
      <c r="B1275" s="1" t="s">
        <v>300</v>
      </c>
      <c r="C1275" s="1" t="s">
        <v>139</v>
      </c>
      <c r="D1275" s="1" t="s">
        <v>53</v>
      </c>
      <c r="E1275" s="1" t="s">
        <v>216</v>
      </c>
      <c r="F1275" s="1" t="s">
        <v>211</v>
      </c>
      <c r="G1275" s="1" t="s">
        <v>56</v>
      </c>
      <c r="H1275" s="1" t="s">
        <v>69</v>
      </c>
      <c r="I1275" s="1" t="s">
        <v>34</v>
      </c>
      <c r="J1275" s="1" t="s">
        <v>70</v>
      </c>
      <c r="K1275" s="1" t="s">
        <v>90</v>
      </c>
      <c r="L1275" s="1" t="s">
        <v>37</v>
      </c>
      <c r="M1275" s="1" t="s">
        <v>38</v>
      </c>
      <c r="N1275" s="1" t="n">
        <v>7499</v>
      </c>
      <c r="O1275" s="1" t="n">
        <v>30</v>
      </c>
      <c r="P1275" s="1" t="n">
        <v>2249.7</v>
      </c>
      <c r="Q1275" s="1" t="n">
        <v>5249.3</v>
      </c>
      <c r="R1275" s="1" t="n">
        <v>944.87</v>
      </c>
      <c r="S1275" s="1" t="n">
        <v>4304.43</v>
      </c>
      <c r="T1275" s="1" t="n">
        <v>1486.51</v>
      </c>
      <c r="U1275" s="1" t="n">
        <v>2817.92</v>
      </c>
      <c r="V1275" s="1" t="n">
        <v>65.47</v>
      </c>
      <c r="W1275" s="1" t="s">
        <v>40</v>
      </c>
      <c r="Y1275" s="1" t="s">
        <v>39</v>
      </c>
      <c r="Z1275" s="1" t="n">
        <v>1</v>
      </c>
      <c r="AA1275" s="1" t="str">
        <f aca="false">TRIM(PROPER(F1275))</f>
        <v>Noida</v>
      </c>
      <c r="AB1275" s="1" t="str">
        <f aca="false">TRIM(PROPER(C1275))</f>
        <v>Extramarks</v>
      </c>
      <c r="AC1275" s="1" t="str">
        <f aca="false">IF(O1275=0,"No Discount",IF(O1275&lt;=15,"Low (1-15%)",IF(O1275&lt;=30,"Medium (16-30%)","High (&gt;30%)")))</f>
        <v>Medium (16-30%)</v>
      </c>
      <c r="AD1275" s="1" t="str">
        <f aca="false">IF(V1275&lt;0,"Loss Making",IF(V1275&lt;20,"Low Margin","Healthy Margin"))</f>
        <v>Healthy Margin</v>
      </c>
      <c r="AE1275" s="1" t="str">
        <f aca="false">TEXT(DATE(VALUE(RIGHT(B1275,4)),VALUE(MID(B1275,4,2)),VALUE(LEFT(B1275,2))),"MMM-YYYY")</f>
        <v>Dec-2024</v>
      </c>
      <c r="AF1275" s="1" t="n">
        <f aca="false">VALUE(RIGHT(B1275,4))</f>
        <v>2024</v>
      </c>
      <c r="AG1275" s="1" t="str">
        <f aca="false">CHOOSE(ROUNDUP(VALUE(MID(B1275,4,2))/3,0),"Q1","Q2","Q3","Q4")</f>
        <v>Q4</v>
      </c>
    </row>
    <row r="1276" customFormat="false" ht="15" hidden="false" customHeight="true" outlineLevel="0" collapsed="false">
      <c r="A1276" s="1" t="s">
        <v>2058</v>
      </c>
      <c r="B1276" s="1" t="s">
        <v>947</v>
      </c>
      <c r="C1276" s="1" t="s">
        <v>128</v>
      </c>
      <c r="D1276" s="1" t="s">
        <v>143</v>
      </c>
      <c r="E1276" s="1" t="s">
        <v>162</v>
      </c>
      <c r="F1276" s="1" t="s">
        <v>67</v>
      </c>
      <c r="G1276" s="1" t="s">
        <v>68</v>
      </c>
      <c r="H1276" s="1" t="s">
        <v>69</v>
      </c>
      <c r="I1276" s="1" t="s">
        <v>34</v>
      </c>
      <c r="J1276" s="1" t="s">
        <v>70</v>
      </c>
      <c r="K1276" s="1" t="s">
        <v>112</v>
      </c>
      <c r="L1276" s="1" t="s">
        <v>37</v>
      </c>
      <c r="M1276" s="1" t="s">
        <v>38</v>
      </c>
      <c r="N1276" s="1" t="n">
        <v>14999</v>
      </c>
      <c r="O1276" s="1" t="n">
        <v>20</v>
      </c>
      <c r="P1276" s="1" t="n">
        <v>2999.8</v>
      </c>
      <c r="Q1276" s="1" t="n">
        <v>11999.2</v>
      </c>
      <c r="R1276" s="1" t="n">
        <v>2159.86</v>
      </c>
      <c r="S1276" s="1" t="n">
        <v>9839.34</v>
      </c>
      <c r="T1276" s="1" t="n">
        <v>3820.31</v>
      </c>
      <c r="U1276" s="1" t="n">
        <v>6019.03</v>
      </c>
      <c r="V1276" s="1" t="n">
        <v>61.17</v>
      </c>
      <c r="W1276" s="1" t="s">
        <v>39</v>
      </c>
      <c r="X1276" s="1" t="n">
        <v>3.8</v>
      </c>
      <c r="Y1276" s="1" t="s">
        <v>40</v>
      </c>
      <c r="Z1276" s="1" t="n">
        <v>0</v>
      </c>
      <c r="AA1276" s="1" t="str">
        <f aca="false">TRIM(PROPER(F1276))</f>
        <v>Ahmedabad</v>
      </c>
      <c r="AB1276" s="1" t="str">
        <f aca="false">TRIM(PROPER(C1276))</f>
        <v>Great Learning</v>
      </c>
      <c r="AC1276" s="1" t="str">
        <f aca="false">IF(O1276=0,"No Discount",IF(O1276&lt;=15,"Low (1-15%)",IF(O1276&lt;=30,"Medium (16-30%)","High (&gt;30%)")))</f>
        <v>Medium (16-30%)</v>
      </c>
      <c r="AD1276" s="1" t="str">
        <f aca="false">IF(V1276&lt;0,"Loss Making",IF(V1276&lt;20,"Low Margin","Healthy Margin"))</f>
        <v>Healthy Margin</v>
      </c>
      <c r="AE1276" s="1" t="str">
        <f aca="false">TEXT(DATE(VALUE(RIGHT(B1276,4)),VALUE(MID(B1276,4,2)),VALUE(LEFT(B1276,2))),"MMM-YYYY")</f>
        <v>Jun-2023</v>
      </c>
      <c r="AF1276" s="1" t="n">
        <f aca="false">VALUE(RIGHT(B1276,4))</f>
        <v>2023</v>
      </c>
      <c r="AG1276" s="1" t="str">
        <f aca="false">CHOOSE(ROUNDUP(VALUE(MID(B1276,4,2))/3,0),"Q1","Q2","Q3","Q4")</f>
        <v>Q2</v>
      </c>
    </row>
    <row r="1277" customFormat="false" ht="15" hidden="false" customHeight="true" outlineLevel="0" collapsed="false">
      <c r="A1277" s="1" t="s">
        <v>2059</v>
      </c>
      <c r="B1277" s="1" t="s">
        <v>986</v>
      </c>
      <c r="C1277" s="1" t="s">
        <v>264</v>
      </c>
      <c r="D1277" s="1" t="s">
        <v>123</v>
      </c>
      <c r="E1277" s="1" t="s">
        <v>124</v>
      </c>
      <c r="F1277" s="1" t="s">
        <v>75</v>
      </c>
      <c r="G1277" s="1" t="s">
        <v>76</v>
      </c>
      <c r="H1277" s="1" t="s">
        <v>69</v>
      </c>
      <c r="I1277" s="1" t="s">
        <v>34</v>
      </c>
      <c r="J1277" s="1" t="s">
        <v>70</v>
      </c>
      <c r="K1277" s="1" t="s">
        <v>112</v>
      </c>
      <c r="L1277" s="1" t="s">
        <v>136</v>
      </c>
      <c r="M1277" s="1" t="s">
        <v>38</v>
      </c>
      <c r="N1277" s="1" t="n">
        <v>4999</v>
      </c>
      <c r="O1277" s="1" t="n">
        <v>0</v>
      </c>
      <c r="P1277" s="1" t="n">
        <v>0</v>
      </c>
      <c r="Q1277" s="1" t="n">
        <v>4999</v>
      </c>
      <c r="R1277" s="1" t="n">
        <v>899.82</v>
      </c>
      <c r="S1277" s="1" t="n">
        <v>4099.18</v>
      </c>
      <c r="T1277" s="1" t="n">
        <v>1535.84</v>
      </c>
      <c r="U1277" s="1" t="n">
        <v>2563.34</v>
      </c>
      <c r="V1277" s="1" t="n">
        <v>62.53</v>
      </c>
      <c r="W1277" s="1" t="s">
        <v>39</v>
      </c>
      <c r="X1277" s="1" t="n">
        <v>3.6</v>
      </c>
      <c r="Y1277" s="1" t="s">
        <v>40</v>
      </c>
      <c r="Z1277" s="1" t="n">
        <v>1</v>
      </c>
      <c r="AA1277" s="1" t="str">
        <f aca="false">TRIM(PROPER(F1277))</f>
        <v>Kolkata</v>
      </c>
      <c r="AB1277" s="1" t="str">
        <f aca="false">TRIM(PROPER(C1277))</f>
        <v>Unacademy</v>
      </c>
      <c r="AC1277" s="1" t="str">
        <f aca="false">IF(O1277=0,"No Discount",IF(O1277&lt;=15,"Low (1-15%)",IF(O1277&lt;=30,"Medium (16-30%)","High (&gt;30%)")))</f>
        <v>No Discount</v>
      </c>
      <c r="AD1277" s="1" t="str">
        <f aca="false">IF(V1277&lt;0,"Loss Making",IF(V1277&lt;20,"Low Margin","Healthy Margin"))</f>
        <v>Healthy Margin</v>
      </c>
      <c r="AE1277" s="1" t="str">
        <f aca="false">TEXT(DATE(VALUE(RIGHT(B1277,4)),VALUE(MID(B1277,4,2)),VALUE(LEFT(B1277,2))),"MMM-YYYY")</f>
        <v>Mar-2023</v>
      </c>
      <c r="AF1277" s="1" t="n">
        <f aca="false">VALUE(RIGHT(B1277,4))</f>
        <v>2023</v>
      </c>
      <c r="AG1277" s="1" t="str">
        <f aca="false">CHOOSE(ROUNDUP(VALUE(MID(B1277,4,2))/3,0),"Q1","Q2","Q3","Q4")</f>
        <v>Q1</v>
      </c>
    </row>
    <row r="1278" customFormat="false" ht="15" hidden="false" customHeight="true" outlineLevel="0" collapsed="false">
      <c r="A1278" s="1" t="s">
        <v>2060</v>
      </c>
      <c r="B1278" s="1" t="s">
        <v>1141</v>
      </c>
      <c r="C1278" s="1" t="s">
        <v>249</v>
      </c>
      <c r="D1278" s="1" t="s">
        <v>53</v>
      </c>
      <c r="E1278" s="1" t="s">
        <v>216</v>
      </c>
      <c r="F1278" s="1" t="s">
        <v>194</v>
      </c>
      <c r="G1278" s="1" t="s">
        <v>103</v>
      </c>
      <c r="H1278" s="1" t="s">
        <v>69</v>
      </c>
      <c r="I1278" s="1" t="s">
        <v>83</v>
      </c>
      <c r="J1278" s="1" t="s">
        <v>59</v>
      </c>
      <c r="K1278" s="1" t="s">
        <v>104</v>
      </c>
      <c r="L1278" s="1" t="s">
        <v>49</v>
      </c>
      <c r="M1278" s="1" t="s">
        <v>38</v>
      </c>
      <c r="N1278" s="1" t="n">
        <v>7499</v>
      </c>
      <c r="O1278" s="1" t="n">
        <v>20</v>
      </c>
      <c r="P1278" s="1" t="n">
        <v>1499.8</v>
      </c>
      <c r="Q1278" s="1" t="n">
        <v>5999.2</v>
      </c>
      <c r="R1278" s="1" t="n">
        <v>1079.86</v>
      </c>
      <c r="S1278" s="1" t="n">
        <v>4919.34</v>
      </c>
      <c r="T1278" s="1" t="n">
        <v>2025.45</v>
      </c>
      <c r="U1278" s="1" t="n">
        <v>2893.89</v>
      </c>
      <c r="V1278" s="1" t="n">
        <v>58.83</v>
      </c>
      <c r="W1278" s="1" t="s">
        <v>39</v>
      </c>
      <c r="X1278" s="1" t="n">
        <v>4.5</v>
      </c>
      <c r="Y1278" s="1" t="s">
        <v>40</v>
      </c>
      <c r="Z1278" s="1" t="n">
        <v>0</v>
      </c>
      <c r="AA1278" s="1" t="str">
        <f aca="false">TRIM(PROPER(F1278))</f>
        <v>Hyderabad</v>
      </c>
      <c r="AB1278" s="1" t="str">
        <f aca="false">TRIM(PROPER(C1278))</f>
        <v>Whitehat Jr</v>
      </c>
      <c r="AC1278" s="1" t="str">
        <f aca="false">IF(O1278=0,"No Discount",IF(O1278&lt;=15,"Low (1-15%)",IF(O1278&lt;=30,"Medium (16-30%)","High (&gt;30%)")))</f>
        <v>Medium (16-30%)</v>
      </c>
      <c r="AD1278" s="1" t="str">
        <f aca="false">IF(V1278&lt;0,"Loss Making",IF(V1278&lt;20,"Low Margin","Healthy Margin"))</f>
        <v>Healthy Margin</v>
      </c>
      <c r="AE1278" s="1" t="str">
        <f aca="false">TEXT(DATE(VALUE(RIGHT(B1278,4)),VALUE(MID(B1278,4,2)),VALUE(LEFT(B1278,2))),"MMM-YYYY")</f>
        <v>Jun-2024</v>
      </c>
      <c r="AF1278" s="1" t="n">
        <f aca="false">VALUE(RIGHT(B1278,4))</f>
        <v>2024</v>
      </c>
      <c r="AG1278" s="1" t="str">
        <f aca="false">CHOOSE(ROUNDUP(VALUE(MID(B1278,4,2))/3,0),"Q1","Q2","Q3","Q4")</f>
        <v>Q2</v>
      </c>
    </row>
    <row r="1279" customFormat="false" ht="15" hidden="false" customHeight="true" outlineLevel="0" collapsed="false">
      <c r="A1279" s="1" t="s">
        <v>2061</v>
      </c>
      <c r="B1279" s="1" t="s">
        <v>1948</v>
      </c>
      <c r="C1279" s="1" t="s">
        <v>28</v>
      </c>
      <c r="D1279" s="1" t="s">
        <v>80</v>
      </c>
      <c r="E1279" s="1" t="s">
        <v>81</v>
      </c>
      <c r="F1279" s="1" t="s">
        <v>194</v>
      </c>
      <c r="G1279" s="1" t="s">
        <v>103</v>
      </c>
      <c r="H1279" s="1" t="s">
        <v>69</v>
      </c>
      <c r="I1279" s="1" t="s">
        <v>83</v>
      </c>
      <c r="J1279" s="1" t="s">
        <v>70</v>
      </c>
      <c r="K1279" s="1" t="s">
        <v>112</v>
      </c>
      <c r="L1279" s="1" t="s">
        <v>37</v>
      </c>
      <c r="M1279" s="1" t="s">
        <v>62</v>
      </c>
      <c r="N1279" s="1" t="n">
        <v>12999</v>
      </c>
      <c r="O1279" s="1" t="n">
        <v>20</v>
      </c>
      <c r="P1279" s="1" t="n">
        <v>2599.8</v>
      </c>
      <c r="Q1279" s="1" t="n">
        <v>10399.2</v>
      </c>
      <c r="R1279" s="1" t="n">
        <v>1871.86</v>
      </c>
      <c r="S1279" s="1" t="n">
        <v>8527.34</v>
      </c>
      <c r="T1279" s="1" t="n">
        <v>3329.64</v>
      </c>
      <c r="U1279" s="1" t="n">
        <v>5197.7</v>
      </c>
      <c r="V1279" s="1" t="n">
        <v>60.95</v>
      </c>
      <c r="W1279" s="1" t="s">
        <v>39</v>
      </c>
      <c r="X1279" s="1" t="n">
        <v>4.4</v>
      </c>
      <c r="Y1279" s="1" t="s">
        <v>40</v>
      </c>
      <c r="Z1279" s="1" t="n">
        <v>1</v>
      </c>
      <c r="AA1279" s="1" t="str">
        <f aca="false">TRIM(PROPER(F1279))</f>
        <v>Hyderabad</v>
      </c>
      <c r="AB1279" s="1" t="str">
        <f aca="false">TRIM(PROPER(C1279))</f>
        <v>Embibe</v>
      </c>
      <c r="AC1279" s="1" t="str">
        <f aca="false">IF(O1279=0,"No Discount",IF(O1279&lt;=15,"Low (1-15%)",IF(O1279&lt;=30,"Medium (16-30%)","High (&gt;30%)")))</f>
        <v>Medium (16-30%)</v>
      </c>
      <c r="AD1279" s="1" t="str">
        <f aca="false">IF(V1279&lt;0,"Loss Making",IF(V1279&lt;20,"Low Margin","Healthy Margin"))</f>
        <v>Healthy Margin</v>
      </c>
      <c r="AE1279" s="1" t="str">
        <f aca="false">TEXT(DATE(VALUE(RIGHT(B1279,4)),VALUE(MID(B1279,4,2)),VALUE(LEFT(B1279,2))),"MMM-YYYY")</f>
        <v>Apr-2023</v>
      </c>
      <c r="AF1279" s="1" t="n">
        <f aca="false">VALUE(RIGHT(B1279,4))</f>
        <v>2023</v>
      </c>
      <c r="AG1279" s="1" t="str">
        <f aca="false">CHOOSE(ROUNDUP(VALUE(MID(B1279,4,2))/3,0),"Q1","Q2","Q3","Q4")</f>
        <v>Q2</v>
      </c>
    </row>
    <row r="1280" customFormat="false" ht="15" hidden="false" customHeight="true" outlineLevel="0" collapsed="false">
      <c r="A1280" s="1" t="s">
        <v>2062</v>
      </c>
      <c r="B1280" s="1" t="s">
        <v>553</v>
      </c>
      <c r="C1280" s="1" t="s">
        <v>43</v>
      </c>
      <c r="D1280" s="1" t="s">
        <v>143</v>
      </c>
      <c r="E1280" s="1" t="s">
        <v>162</v>
      </c>
      <c r="F1280" s="1" t="s">
        <v>96</v>
      </c>
      <c r="G1280" s="1" t="s">
        <v>97</v>
      </c>
      <c r="H1280" s="1" t="s">
        <v>69</v>
      </c>
      <c r="I1280" s="1" t="s">
        <v>83</v>
      </c>
      <c r="J1280" s="1" t="s">
        <v>59</v>
      </c>
      <c r="K1280" s="1" t="s">
        <v>112</v>
      </c>
      <c r="L1280" s="1" t="s">
        <v>37</v>
      </c>
      <c r="M1280" s="1" t="s">
        <v>38</v>
      </c>
      <c r="N1280" s="1" t="n">
        <v>14999</v>
      </c>
      <c r="O1280" s="1" t="n">
        <v>5</v>
      </c>
      <c r="P1280" s="1" t="n">
        <v>749.95</v>
      </c>
      <c r="Q1280" s="1" t="n">
        <v>14249.05</v>
      </c>
      <c r="R1280" s="1" t="n">
        <v>2564.83</v>
      </c>
      <c r="S1280" s="1" t="n">
        <v>11684.22</v>
      </c>
      <c r="T1280" s="1" t="n">
        <v>4262.88</v>
      </c>
      <c r="U1280" s="1" t="n">
        <v>7421.34</v>
      </c>
      <c r="V1280" s="1" t="n">
        <v>63.52</v>
      </c>
      <c r="W1280" s="1" t="s">
        <v>40</v>
      </c>
      <c r="Y1280" s="1" t="s">
        <v>40</v>
      </c>
      <c r="Z1280" s="1" t="n">
        <v>1</v>
      </c>
      <c r="AA1280" s="1" t="str">
        <f aca="false">TRIM(PROPER(F1280))</f>
        <v>Pune</v>
      </c>
      <c r="AB1280" s="1" t="str">
        <f aca="false">TRIM(PROPER(C1280))</f>
        <v>Meritnation</v>
      </c>
      <c r="AC1280" s="1" t="str">
        <f aca="false">IF(O1280=0,"No Discount",IF(O1280&lt;=15,"Low (1-15%)",IF(O1280&lt;=30,"Medium (16-30%)","High (&gt;30%)")))</f>
        <v>Low (1-15%)</v>
      </c>
      <c r="AD1280" s="1" t="str">
        <f aca="false">IF(V1280&lt;0,"Loss Making",IF(V1280&lt;20,"Low Margin","Healthy Margin"))</f>
        <v>Healthy Margin</v>
      </c>
      <c r="AE1280" s="1" t="str">
        <f aca="false">TEXT(DATE(VALUE(RIGHT(B1280,4)),VALUE(MID(B1280,4,2)),VALUE(LEFT(B1280,2))),"MMM-YYYY")</f>
        <v>Aug-2023</v>
      </c>
      <c r="AF1280" s="1" t="n">
        <f aca="false">VALUE(RIGHT(B1280,4))</f>
        <v>2023</v>
      </c>
      <c r="AG1280" s="1" t="str">
        <f aca="false">CHOOSE(ROUNDUP(VALUE(MID(B1280,4,2))/3,0),"Q1","Q2","Q3","Q4")</f>
        <v>Q3</v>
      </c>
    </row>
    <row r="1281" customFormat="false" ht="15" hidden="false" customHeight="true" outlineLevel="0" collapsed="false">
      <c r="A1281" s="1" t="s">
        <v>2063</v>
      </c>
      <c r="B1281" s="1" t="s">
        <v>876</v>
      </c>
      <c r="C1281" s="1" t="s">
        <v>134</v>
      </c>
      <c r="D1281" s="1" t="s">
        <v>80</v>
      </c>
      <c r="E1281" s="1" t="s">
        <v>190</v>
      </c>
      <c r="F1281" s="1" t="s">
        <v>89</v>
      </c>
      <c r="G1281" s="1" t="s">
        <v>68</v>
      </c>
      <c r="H1281" s="1" t="s">
        <v>33</v>
      </c>
      <c r="I1281" s="1" t="s">
        <v>58</v>
      </c>
      <c r="J1281" s="1" t="s">
        <v>35</v>
      </c>
      <c r="K1281" s="1" t="s">
        <v>84</v>
      </c>
      <c r="L1281" s="1" t="s">
        <v>136</v>
      </c>
      <c r="M1281" s="1" t="s">
        <v>50</v>
      </c>
      <c r="N1281" s="1" t="n">
        <v>15999</v>
      </c>
      <c r="O1281" s="1" t="n">
        <v>0</v>
      </c>
      <c r="P1281" s="1" t="n">
        <v>0</v>
      </c>
      <c r="Q1281" s="1" t="n">
        <v>15999</v>
      </c>
      <c r="R1281" s="1" t="n">
        <v>2879.82</v>
      </c>
      <c r="S1281" s="1" t="n">
        <v>13119.18</v>
      </c>
      <c r="T1281" s="1" t="n">
        <v>5679.41</v>
      </c>
      <c r="U1281" s="1" t="n">
        <v>7439.77</v>
      </c>
      <c r="V1281" s="1" t="n">
        <v>56.71</v>
      </c>
      <c r="W1281" s="1" t="s">
        <v>40</v>
      </c>
      <c r="Y1281" s="1" t="s">
        <v>40</v>
      </c>
      <c r="Z1281" s="1" t="n">
        <v>0</v>
      </c>
      <c r="AA1281" s="1" t="str">
        <f aca="false">TRIM(PROPER(F1281))</f>
        <v>Vadodara</v>
      </c>
      <c r="AB1281" s="1" t="str">
        <f aca="false">TRIM(PROPER(C1281))</f>
        <v>Doubtnut</v>
      </c>
      <c r="AC1281" s="1" t="str">
        <f aca="false">IF(O1281=0,"No Discount",IF(O1281&lt;=15,"Low (1-15%)",IF(O1281&lt;=30,"Medium (16-30%)","High (&gt;30%)")))</f>
        <v>No Discount</v>
      </c>
      <c r="AD1281" s="1" t="str">
        <f aca="false">IF(V1281&lt;0,"Loss Making",IF(V1281&lt;20,"Low Margin","Healthy Margin"))</f>
        <v>Healthy Margin</v>
      </c>
      <c r="AE1281" s="1" t="str">
        <f aca="false">TEXT(DATE(VALUE(RIGHT(B1281,4)),VALUE(MID(B1281,4,2)),VALUE(LEFT(B1281,2))),"MMM-YYYY")</f>
        <v>Jul-2023</v>
      </c>
      <c r="AF1281" s="1" t="n">
        <f aca="false">VALUE(RIGHT(B1281,4))</f>
        <v>2023</v>
      </c>
      <c r="AG1281" s="1" t="str">
        <f aca="false">CHOOSE(ROUNDUP(VALUE(MID(B1281,4,2))/3,0),"Q1","Q2","Q3","Q4")</f>
        <v>Q3</v>
      </c>
    </row>
    <row r="1282" customFormat="false" ht="15" hidden="false" customHeight="true" outlineLevel="0" collapsed="false">
      <c r="A1282" s="1" t="s">
        <v>2064</v>
      </c>
      <c r="B1282" s="1" t="s">
        <v>1355</v>
      </c>
      <c r="C1282" s="1" t="s">
        <v>74</v>
      </c>
      <c r="D1282" s="1" t="s">
        <v>123</v>
      </c>
      <c r="E1282" s="1" t="s">
        <v>147</v>
      </c>
      <c r="F1282" s="1" t="s">
        <v>1363</v>
      </c>
      <c r="G1282" s="1" t="s">
        <v>68</v>
      </c>
      <c r="H1282" s="1" t="s">
        <v>33</v>
      </c>
      <c r="I1282" s="1" t="s">
        <v>58</v>
      </c>
      <c r="J1282" s="1" t="s">
        <v>70</v>
      </c>
      <c r="K1282" s="1" t="s">
        <v>90</v>
      </c>
      <c r="L1282" s="1" t="s">
        <v>85</v>
      </c>
      <c r="M1282" s="1" t="s">
        <v>38</v>
      </c>
      <c r="N1282" s="1" t="n">
        <v>6999</v>
      </c>
      <c r="O1282" s="1" t="n">
        <v>40</v>
      </c>
      <c r="P1282" s="1" t="n">
        <v>2799.6</v>
      </c>
      <c r="Q1282" s="1" t="n">
        <v>4199.4</v>
      </c>
      <c r="R1282" s="1" t="n">
        <v>755.89</v>
      </c>
      <c r="S1282" s="1" t="n">
        <v>3443.51</v>
      </c>
      <c r="T1282" s="1" t="n">
        <v>2040.52</v>
      </c>
      <c r="U1282" s="1" t="n">
        <v>1402.99</v>
      </c>
      <c r="V1282" s="1" t="n">
        <v>40.74</v>
      </c>
      <c r="W1282" s="1" t="s">
        <v>40</v>
      </c>
      <c r="Y1282" s="1" t="s">
        <v>40</v>
      </c>
      <c r="Z1282" s="1" t="n">
        <v>2</v>
      </c>
      <c r="AA1282" s="1" t="str">
        <f aca="false">TRIM(PROPER(F1282))</f>
        <v>Vadodara</v>
      </c>
      <c r="AB1282" s="1" t="str">
        <f aca="false">TRIM(PROPER(C1282))</f>
        <v>Vedantu</v>
      </c>
      <c r="AC1282" s="1" t="str">
        <f aca="false">IF(O1282=0,"No Discount",IF(O1282&lt;=15,"Low (1-15%)",IF(O1282&lt;=30,"Medium (16-30%)","High (&gt;30%)")))</f>
        <v>High (&gt;30%)</v>
      </c>
      <c r="AD1282" s="1" t="str">
        <f aca="false">IF(V1282&lt;0,"Loss Making",IF(V1282&lt;20,"Low Margin","Healthy Margin"))</f>
        <v>Healthy Margin</v>
      </c>
      <c r="AE1282" s="1" t="str">
        <f aca="false">TEXT(DATE(VALUE(RIGHT(B1282,4)),VALUE(MID(B1282,4,2)),VALUE(LEFT(B1282,2))),"MMM-YYYY")</f>
        <v>Aug-2024</v>
      </c>
      <c r="AF1282" s="1" t="n">
        <f aca="false">VALUE(RIGHT(B1282,4))</f>
        <v>2024</v>
      </c>
      <c r="AG1282" s="1" t="str">
        <f aca="false">CHOOSE(ROUNDUP(VALUE(MID(B1282,4,2))/3,0),"Q1","Q2","Q3","Q4")</f>
        <v>Q3</v>
      </c>
    </row>
    <row r="1283" customFormat="false" ht="15" hidden="false" customHeight="true" outlineLevel="0" collapsed="false">
      <c r="A1283" s="1" t="s">
        <v>2065</v>
      </c>
      <c r="B1283" s="1" t="s">
        <v>866</v>
      </c>
      <c r="C1283" s="1" t="s">
        <v>167</v>
      </c>
      <c r="D1283" s="1" t="s">
        <v>168</v>
      </c>
      <c r="E1283" s="1" t="s">
        <v>169</v>
      </c>
      <c r="F1283" s="1" t="s">
        <v>120</v>
      </c>
      <c r="G1283" s="1" t="s">
        <v>47</v>
      </c>
      <c r="H1283" s="1" t="s">
        <v>57</v>
      </c>
      <c r="I1283" s="1" t="s">
        <v>34</v>
      </c>
      <c r="J1283" s="1" t="s">
        <v>77</v>
      </c>
      <c r="K1283" s="1" t="s">
        <v>112</v>
      </c>
      <c r="L1283" s="1" t="s">
        <v>61</v>
      </c>
      <c r="M1283" s="1" t="s">
        <v>50</v>
      </c>
      <c r="N1283" s="1" t="n">
        <v>4999</v>
      </c>
      <c r="O1283" s="1" t="n">
        <v>0</v>
      </c>
      <c r="P1283" s="1" t="n">
        <v>0</v>
      </c>
      <c r="Q1283" s="1" t="n">
        <v>4999</v>
      </c>
      <c r="R1283" s="1" t="n">
        <v>899.82</v>
      </c>
      <c r="S1283" s="1" t="n">
        <v>4099.18</v>
      </c>
      <c r="T1283" s="1" t="n">
        <v>1817.47</v>
      </c>
      <c r="U1283" s="1" t="n">
        <v>2281.71</v>
      </c>
      <c r="V1283" s="1" t="n">
        <v>55.66</v>
      </c>
      <c r="W1283" s="1" t="s">
        <v>39</v>
      </c>
      <c r="X1283" s="1" t="n">
        <v>3.8</v>
      </c>
      <c r="Y1283" s="1" t="s">
        <v>40</v>
      </c>
      <c r="Z1283" s="1" t="n">
        <v>0</v>
      </c>
      <c r="AA1283" s="1" t="str">
        <f aca="false">TRIM(PROPER(F1283))</f>
        <v>Mysuru</v>
      </c>
      <c r="AB1283" s="1" t="str">
        <f aca="false">TRIM(PROPER(C1283))</f>
        <v>Scaler</v>
      </c>
      <c r="AC1283" s="1" t="str">
        <f aca="false">IF(O1283=0,"No Discount",IF(O1283&lt;=15,"Low (1-15%)",IF(O1283&lt;=30,"Medium (16-30%)","High (&gt;30%)")))</f>
        <v>No Discount</v>
      </c>
      <c r="AD1283" s="1" t="str">
        <f aca="false">IF(V1283&lt;0,"Loss Making",IF(V1283&lt;20,"Low Margin","Healthy Margin"))</f>
        <v>Healthy Margin</v>
      </c>
      <c r="AE1283" s="1" t="str">
        <f aca="false">TEXT(DATE(VALUE(RIGHT(B1283,4)),VALUE(MID(B1283,4,2)),VALUE(LEFT(B1283,2))),"MMM-YYYY")</f>
        <v>Jul-2023</v>
      </c>
      <c r="AF1283" s="1" t="n">
        <f aca="false">VALUE(RIGHT(B1283,4))</f>
        <v>2023</v>
      </c>
      <c r="AG1283" s="1" t="str">
        <f aca="false">CHOOSE(ROUNDUP(VALUE(MID(B1283,4,2))/3,0),"Q1","Q2","Q3","Q4")</f>
        <v>Q3</v>
      </c>
    </row>
    <row r="1284" customFormat="false" ht="15" hidden="false" customHeight="true" outlineLevel="0" collapsed="false">
      <c r="A1284" s="1" t="s">
        <v>2066</v>
      </c>
      <c r="B1284" s="1" t="s">
        <v>732</v>
      </c>
      <c r="C1284" s="1" t="s">
        <v>134</v>
      </c>
      <c r="D1284" s="1" t="s">
        <v>143</v>
      </c>
      <c r="E1284" s="1" t="s">
        <v>162</v>
      </c>
      <c r="F1284" s="1" t="s">
        <v>120</v>
      </c>
      <c r="G1284" s="1" t="s">
        <v>47</v>
      </c>
      <c r="H1284" s="1" t="s">
        <v>57</v>
      </c>
      <c r="I1284" s="1" t="s">
        <v>34</v>
      </c>
      <c r="J1284" s="1" t="s">
        <v>70</v>
      </c>
      <c r="K1284" s="1" t="s">
        <v>90</v>
      </c>
      <c r="L1284" s="1" t="s">
        <v>136</v>
      </c>
      <c r="M1284" s="1" t="s">
        <v>50</v>
      </c>
      <c r="N1284" s="1" t="n">
        <v>14999</v>
      </c>
      <c r="O1284" s="1" t="n">
        <v>10</v>
      </c>
      <c r="P1284" s="1" t="n">
        <v>1499.9</v>
      </c>
      <c r="Q1284" s="1" t="n">
        <v>13499.1</v>
      </c>
      <c r="R1284" s="1" t="n">
        <v>2429.84</v>
      </c>
      <c r="S1284" s="1" t="n">
        <v>11069.26</v>
      </c>
      <c r="T1284" s="1" t="n">
        <v>5317.43</v>
      </c>
      <c r="U1284" s="1" t="n">
        <v>5751.83</v>
      </c>
      <c r="V1284" s="1" t="n">
        <v>51.96</v>
      </c>
      <c r="W1284" s="1" t="s">
        <v>39</v>
      </c>
      <c r="X1284" s="1" t="n">
        <v>3.7</v>
      </c>
      <c r="Y1284" s="1" t="s">
        <v>40</v>
      </c>
      <c r="Z1284" s="1" t="n">
        <v>0</v>
      </c>
      <c r="AA1284" s="1" t="str">
        <f aca="false">TRIM(PROPER(F1284))</f>
        <v>Mysuru</v>
      </c>
      <c r="AB1284" s="1" t="str">
        <f aca="false">TRIM(PROPER(C1284))</f>
        <v>Doubtnut</v>
      </c>
      <c r="AC1284" s="1" t="str">
        <f aca="false">IF(O1284=0,"No Discount",IF(O1284&lt;=15,"Low (1-15%)",IF(O1284&lt;=30,"Medium (16-30%)","High (&gt;30%)")))</f>
        <v>Low (1-15%)</v>
      </c>
      <c r="AD1284" s="1" t="str">
        <f aca="false">IF(V1284&lt;0,"Loss Making",IF(V1284&lt;20,"Low Margin","Healthy Margin"))</f>
        <v>Healthy Margin</v>
      </c>
      <c r="AE1284" s="1" t="str">
        <f aca="false">TEXT(DATE(VALUE(RIGHT(B1284,4)),VALUE(MID(B1284,4,2)),VALUE(LEFT(B1284,2))),"MMM-YYYY")</f>
        <v>Jul-2023</v>
      </c>
      <c r="AF1284" s="1" t="n">
        <f aca="false">VALUE(RIGHT(B1284,4))</f>
        <v>2023</v>
      </c>
      <c r="AG1284" s="1" t="str">
        <f aca="false">CHOOSE(ROUNDUP(VALUE(MID(B1284,4,2))/3,0),"Q1","Q2","Q3","Q4")</f>
        <v>Q3</v>
      </c>
    </row>
    <row r="1285" customFormat="false" ht="15" hidden="false" customHeight="true" outlineLevel="0" collapsed="false">
      <c r="A1285" s="1" t="s">
        <v>2067</v>
      </c>
      <c r="B1285" s="1" t="s">
        <v>1398</v>
      </c>
      <c r="C1285" s="1" t="s">
        <v>859</v>
      </c>
      <c r="D1285" s="1" t="s">
        <v>44</v>
      </c>
      <c r="E1285" s="1" t="s">
        <v>45</v>
      </c>
      <c r="F1285" s="1" t="s">
        <v>140</v>
      </c>
      <c r="G1285" s="1" t="s">
        <v>97</v>
      </c>
      <c r="H1285" s="1" t="s">
        <v>57</v>
      </c>
      <c r="I1285" s="1" t="s">
        <v>58</v>
      </c>
      <c r="J1285" s="1" t="s">
        <v>77</v>
      </c>
      <c r="K1285" s="1" t="s">
        <v>60</v>
      </c>
      <c r="L1285" s="1" t="s">
        <v>37</v>
      </c>
      <c r="M1285" s="1" t="s">
        <v>62</v>
      </c>
      <c r="N1285" s="1" t="n">
        <v>11999</v>
      </c>
      <c r="O1285" s="1" t="n">
        <v>25</v>
      </c>
      <c r="P1285" s="1" t="n">
        <v>2999.75</v>
      </c>
      <c r="Q1285" s="1" t="n">
        <v>8999.25</v>
      </c>
      <c r="R1285" s="1" t="n">
        <v>1619.87</v>
      </c>
      <c r="S1285" s="1" t="n">
        <v>7379.38</v>
      </c>
      <c r="T1285" s="1" t="n">
        <v>3243.12</v>
      </c>
      <c r="U1285" s="1" t="n">
        <v>4136.26</v>
      </c>
      <c r="V1285" s="1" t="n">
        <v>56.05</v>
      </c>
      <c r="W1285" s="1" t="s">
        <v>40</v>
      </c>
      <c r="Y1285" s="1" t="s">
        <v>40</v>
      </c>
      <c r="Z1285" s="1" t="n">
        <v>0</v>
      </c>
      <c r="AA1285" s="1" t="str">
        <f aca="false">TRIM(PROPER(F1285))</f>
        <v>Nashik</v>
      </c>
      <c r="AB1285" s="1" t="str">
        <f aca="false">TRIM(PROPER(C1285))</f>
        <v>Whitehat Jr</v>
      </c>
      <c r="AC1285" s="1" t="str">
        <f aca="false">IF(O1285=0,"No Discount",IF(O1285&lt;=15,"Low (1-15%)",IF(O1285&lt;=30,"Medium (16-30%)","High (&gt;30%)")))</f>
        <v>Medium (16-30%)</v>
      </c>
      <c r="AD1285" s="1" t="str">
        <f aca="false">IF(V1285&lt;0,"Loss Making",IF(V1285&lt;20,"Low Margin","Healthy Margin"))</f>
        <v>Healthy Margin</v>
      </c>
      <c r="AE1285" s="1" t="str">
        <f aca="false">TEXT(DATE(VALUE(RIGHT(B1285,4)),VALUE(MID(B1285,4,2)),VALUE(LEFT(B1285,2))),"MMM-YYYY")</f>
        <v>Jul-2023</v>
      </c>
      <c r="AF1285" s="1" t="n">
        <f aca="false">VALUE(RIGHT(B1285,4))</f>
        <v>2023</v>
      </c>
      <c r="AG1285" s="1" t="str">
        <f aca="false">CHOOSE(ROUNDUP(VALUE(MID(B1285,4,2))/3,0),"Q1","Q2","Q3","Q4")</f>
        <v>Q3</v>
      </c>
    </row>
    <row r="1286" customFormat="false" ht="15" hidden="false" customHeight="true" outlineLevel="0" collapsed="false">
      <c r="A1286" s="1" t="s">
        <v>2068</v>
      </c>
      <c r="B1286" s="1" t="s">
        <v>2069</v>
      </c>
      <c r="C1286" s="1" t="s">
        <v>249</v>
      </c>
      <c r="D1286" s="1" t="s">
        <v>123</v>
      </c>
      <c r="E1286" s="1" t="s">
        <v>147</v>
      </c>
      <c r="F1286" s="1" t="s">
        <v>107</v>
      </c>
      <c r="G1286" s="1" t="s">
        <v>108</v>
      </c>
      <c r="H1286" s="1" t="s">
        <v>33</v>
      </c>
      <c r="I1286" s="1" t="s">
        <v>34</v>
      </c>
      <c r="J1286" s="1" t="s">
        <v>59</v>
      </c>
      <c r="K1286" s="1" t="s">
        <v>104</v>
      </c>
      <c r="L1286" s="1" t="s">
        <v>136</v>
      </c>
      <c r="M1286" s="1" t="s">
        <v>50</v>
      </c>
      <c r="N1286" s="1" t="n">
        <v>6999</v>
      </c>
      <c r="O1286" s="1" t="n">
        <v>20</v>
      </c>
      <c r="P1286" s="1" t="n">
        <v>1399.8</v>
      </c>
      <c r="Q1286" s="1" t="n">
        <v>5599.2</v>
      </c>
      <c r="R1286" s="1" t="n">
        <v>1007.86</v>
      </c>
      <c r="S1286" s="1" t="n">
        <v>4591.34</v>
      </c>
      <c r="T1286" s="1" t="n">
        <v>2183.36</v>
      </c>
      <c r="U1286" s="1" t="n">
        <v>2407.98</v>
      </c>
      <c r="V1286" s="1" t="n">
        <v>52.45</v>
      </c>
      <c r="W1286" s="1" t="s">
        <v>40</v>
      </c>
      <c r="Y1286" s="1" t="s">
        <v>40</v>
      </c>
      <c r="Z1286" s="1" t="n">
        <v>1</v>
      </c>
      <c r="AA1286" s="1" t="str">
        <f aca="false">TRIM(PROPER(F1286))</f>
        <v>Madurai</v>
      </c>
      <c r="AB1286" s="1" t="str">
        <f aca="false">TRIM(PROPER(C1286))</f>
        <v>Whitehat Jr</v>
      </c>
      <c r="AC1286" s="1" t="str">
        <f aca="false">IF(O1286=0,"No Discount",IF(O1286&lt;=15,"Low (1-15%)",IF(O1286&lt;=30,"Medium (16-30%)","High (&gt;30%)")))</f>
        <v>Medium (16-30%)</v>
      </c>
      <c r="AD1286" s="1" t="str">
        <f aca="false">IF(V1286&lt;0,"Loss Making",IF(V1286&lt;20,"Low Margin","Healthy Margin"))</f>
        <v>Healthy Margin</v>
      </c>
      <c r="AE1286" s="1" t="str">
        <f aca="false">TEXT(DATE(VALUE(RIGHT(B1286,4)),VALUE(MID(B1286,4,2)),VALUE(LEFT(B1286,2))),"MMM-YYYY")</f>
        <v>Aug-2024</v>
      </c>
      <c r="AF1286" s="1" t="n">
        <f aca="false">VALUE(RIGHT(B1286,4))</f>
        <v>2024</v>
      </c>
      <c r="AG1286" s="1" t="str">
        <f aca="false">CHOOSE(ROUNDUP(VALUE(MID(B1286,4,2))/3,0),"Q1","Q2","Q3","Q4")</f>
        <v>Q3</v>
      </c>
    </row>
    <row r="1287" customFormat="false" ht="15" hidden="false" customHeight="true" outlineLevel="0" collapsed="false">
      <c r="A1287" s="1" t="s">
        <v>2070</v>
      </c>
      <c r="B1287" s="1" t="s">
        <v>1044</v>
      </c>
      <c r="C1287" s="1" t="s">
        <v>264</v>
      </c>
      <c r="D1287" s="1" t="s">
        <v>44</v>
      </c>
      <c r="E1287" s="1" t="s">
        <v>66</v>
      </c>
      <c r="F1287" s="1" t="s">
        <v>244</v>
      </c>
      <c r="G1287" s="1" t="s">
        <v>97</v>
      </c>
      <c r="H1287" s="1" t="s">
        <v>57</v>
      </c>
      <c r="I1287" s="1" t="s">
        <v>83</v>
      </c>
      <c r="J1287" s="1" t="s">
        <v>35</v>
      </c>
      <c r="K1287" s="1" t="s">
        <v>90</v>
      </c>
      <c r="L1287" s="1" t="s">
        <v>113</v>
      </c>
      <c r="M1287" s="1" t="s">
        <v>50</v>
      </c>
      <c r="N1287" s="1" t="n">
        <v>12999</v>
      </c>
      <c r="O1287" s="1" t="n">
        <v>10</v>
      </c>
      <c r="P1287" s="1" t="n">
        <v>1299.9</v>
      </c>
      <c r="Q1287" s="1" t="n">
        <v>11699.1</v>
      </c>
      <c r="R1287" s="1" t="n">
        <v>2105.84</v>
      </c>
      <c r="S1287" s="1" t="n">
        <v>9593.26</v>
      </c>
      <c r="T1287" s="1" t="n">
        <v>4766.03</v>
      </c>
      <c r="U1287" s="1" t="n">
        <v>4827.23</v>
      </c>
      <c r="V1287" s="1" t="n">
        <v>50.32</v>
      </c>
      <c r="W1287" s="1" t="s">
        <v>39</v>
      </c>
      <c r="X1287" s="1" t="n">
        <v>4.3</v>
      </c>
      <c r="Y1287" s="1" t="s">
        <v>40</v>
      </c>
      <c r="Z1287" s="1" t="n">
        <v>0</v>
      </c>
      <c r="AA1287" s="1" t="str">
        <f aca="false">TRIM(PROPER(F1287))</f>
        <v>Nagpur</v>
      </c>
      <c r="AB1287" s="1" t="str">
        <f aca="false">TRIM(PROPER(C1287))</f>
        <v>Unacademy</v>
      </c>
      <c r="AC1287" s="1" t="str">
        <f aca="false">IF(O1287=0,"No Discount",IF(O1287&lt;=15,"Low (1-15%)",IF(O1287&lt;=30,"Medium (16-30%)","High (&gt;30%)")))</f>
        <v>Low (1-15%)</v>
      </c>
      <c r="AD1287" s="1" t="str">
        <f aca="false">IF(V1287&lt;0,"Loss Making",IF(V1287&lt;20,"Low Margin","Healthy Margin"))</f>
        <v>Healthy Margin</v>
      </c>
      <c r="AE1287" s="1" t="str">
        <f aca="false">TEXT(DATE(VALUE(RIGHT(B1287,4)),VALUE(MID(B1287,4,2)),VALUE(LEFT(B1287,2))),"MMM-YYYY")</f>
        <v>Apr-2023</v>
      </c>
      <c r="AF1287" s="1" t="n">
        <f aca="false">VALUE(RIGHT(B1287,4))</f>
        <v>2023</v>
      </c>
      <c r="AG1287" s="1" t="str">
        <f aca="false">CHOOSE(ROUNDUP(VALUE(MID(B1287,4,2))/3,0),"Q1","Q2","Q3","Q4")</f>
        <v>Q2</v>
      </c>
    </row>
    <row r="1288" customFormat="false" ht="15" hidden="false" customHeight="true" outlineLevel="0" collapsed="false">
      <c r="A1288" s="1" t="s">
        <v>2071</v>
      </c>
      <c r="B1288" s="1" t="s">
        <v>1625</v>
      </c>
      <c r="C1288" s="1" t="s">
        <v>264</v>
      </c>
      <c r="D1288" s="1" t="s">
        <v>143</v>
      </c>
      <c r="E1288" s="1" t="s">
        <v>210</v>
      </c>
      <c r="F1288" s="1" t="s">
        <v>89</v>
      </c>
      <c r="G1288" s="1" t="s">
        <v>68</v>
      </c>
      <c r="H1288" s="1" t="s">
        <v>33</v>
      </c>
      <c r="I1288" s="1" t="s">
        <v>83</v>
      </c>
      <c r="J1288" s="1" t="s">
        <v>77</v>
      </c>
      <c r="K1288" s="1" t="s">
        <v>36</v>
      </c>
      <c r="L1288" s="1" t="s">
        <v>136</v>
      </c>
      <c r="M1288" s="1" t="s">
        <v>38</v>
      </c>
      <c r="N1288" s="1" t="n">
        <v>18999</v>
      </c>
      <c r="O1288" s="1" t="n">
        <v>5</v>
      </c>
      <c r="P1288" s="1" t="n">
        <v>949.95</v>
      </c>
      <c r="Q1288" s="1" t="n">
        <v>18049.05</v>
      </c>
      <c r="R1288" s="1" t="n">
        <v>3248.83</v>
      </c>
      <c r="S1288" s="1" t="n">
        <v>14800.22</v>
      </c>
      <c r="T1288" s="1" t="n">
        <v>6861.56</v>
      </c>
      <c r="U1288" s="1" t="n">
        <v>7938.66</v>
      </c>
      <c r="V1288" s="1" t="n">
        <v>53.64</v>
      </c>
      <c r="W1288" s="1" t="s">
        <v>39</v>
      </c>
      <c r="X1288" s="1" t="n">
        <v>4</v>
      </c>
      <c r="Y1288" s="1" t="s">
        <v>40</v>
      </c>
      <c r="Z1288" s="1" t="n">
        <v>0</v>
      </c>
      <c r="AA1288" s="1" t="str">
        <f aca="false">TRIM(PROPER(F1288))</f>
        <v>Vadodara</v>
      </c>
      <c r="AB1288" s="1" t="str">
        <f aca="false">TRIM(PROPER(C1288))</f>
        <v>Unacademy</v>
      </c>
      <c r="AC1288" s="1" t="str">
        <f aca="false">IF(O1288=0,"No Discount",IF(O1288&lt;=15,"Low (1-15%)",IF(O1288&lt;=30,"Medium (16-30%)","High (&gt;30%)")))</f>
        <v>Low (1-15%)</v>
      </c>
      <c r="AD1288" s="1" t="str">
        <f aca="false">IF(V1288&lt;0,"Loss Making",IF(V1288&lt;20,"Low Margin","Healthy Margin"))</f>
        <v>Healthy Margin</v>
      </c>
      <c r="AE1288" s="1" t="str">
        <f aca="false">TEXT(DATE(VALUE(RIGHT(B1288,4)),VALUE(MID(B1288,4,2)),VALUE(LEFT(B1288,2))),"MMM-YYYY")</f>
        <v>Sep-2023</v>
      </c>
      <c r="AF1288" s="1" t="n">
        <f aca="false">VALUE(RIGHT(B1288,4))</f>
        <v>2023</v>
      </c>
      <c r="AG1288" s="1" t="str">
        <f aca="false">CHOOSE(ROUNDUP(VALUE(MID(B1288,4,2))/3,0),"Q1","Q2","Q3","Q4")</f>
        <v>Q3</v>
      </c>
    </row>
    <row r="1289" customFormat="false" ht="15" hidden="false" customHeight="true" outlineLevel="0" collapsed="false">
      <c r="A1289" s="1" t="s">
        <v>2072</v>
      </c>
      <c r="B1289" s="1" t="s">
        <v>868</v>
      </c>
      <c r="C1289" s="1" t="s">
        <v>264</v>
      </c>
      <c r="D1289" s="1" t="s">
        <v>80</v>
      </c>
      <c r="E1289" s="1" t="s">
        <v>175</v>
      </c>
      <c r="F1289" s="1" t="s">
        <v>474</v>
      </c>
      <c r="G1289" s="1" t="s">
        <v>108</v>
      </c>
      <c r="H1289" s="1" t="s">
        <v>69</v>
      </c>
      <c r="I1289" s="1" t="s">
        <v>58</v>
      </c>
      <c r="J1289" s="1" t="s">
        <v>77</v>
      </c>
      <c r="K1289" s="1" t="s">
        <v>48</v>
      </c>
      <c r="L1289" s="1" t="s">
        <v>37</v>
      </c>
      <c r="M1289" s="1" t="s">
        <v>50</v>
      </c>
      <c r="N1289" s="1" t="n">
        <v>19999</v>
      </c>
      <c r="O1289" s="1" t="n">
        <v>10</v>
      </c>
      <c r="P1289" s="1" t="n">
        <v>1999.9</v>
      </c>
      <c r="Q1289" s="1" t="n">
        <v>17999.1</v>
      </c>
      <c r="R1289" s="1" t="n">
        <v>3239.84</v>
      </c>
      <c r="S1289" s="1" t="n">
        <v>14759.26</v>
      </c>
      <c r="T1289" s="1" t="n">
        <v>5875.98</v>
      </c>
      <c r="U1289" s="1" t="n">
        <v>8883.28</v>
      </c>
      <c r="V1289" s="1" t="n">
        <v>60.19</v>
      </c>
      <c r="W1289" s="1" t="s">
        <v>39</v>
      </c>
      <c r="X1289" s="1" t="n">
        <v>4</v>
      </c>
      <c r="Y1289" s="1" t="s">
        <v>40</v>
      </c>
      <c r="Z1289" s="1" t="n">
        <v>0</v>
      </c>
      <c r="AA1289" s="1" t="str">
        <f aca="false">TRIM(PROPER(F1289))</f>
        <v>Chennai</v>
      </c>
      <c r="AB1289" s="1" t="str">
        <f aca="false">TRIM(PROPER(C1289))</f>
        <v>Unacademy</v>
      </c>
      <c r="AC1289" s="1" t="str">
        <f aca="false">IF(O1289=0,"No Discount",IF(O1289&lt;=15,"Low (1-15%)",IF(O1289&lt;=30,"Medium (16-30%)","High (&gt;30%)")))</f>
        <v>Low (1-15%)</v>
      </c>
      <c r="AD1289" s="1" t="str">
        <f aca="false">IF(V1289&lt;0,"Loss Making",IF(V1289&lt;20,"Low Margin","Healthy Margin"))</f>
        <v>Healthy Margin</v>
      </c>
      <c r="AE1289" s="1" t="str">
        <f aca="false">TEXT(DATE(VALUE(RIGHT(B1289,4)),VALUE(MID(B1289,4,2)),VALUE(LEFT(B1289,2))),"MMM-YYYY")</f>
        <v>Mar-2024</v>
      </c>
      <c r="AF1289" s="1" t="n">
        <f aca="false">VALUE(RIGHT(B1289,4))</f>
        <v>2024</v>
      </c>
      <c r="AG1289" s="1" t="str">
        <f aca="false">CHOOSE(ROUNDUP(VALUE(MID(B1289,4,2))/3,0),"Q1","Q2","Q3","Q4")</f>
        <v>Q1</v>
      </c>
    </row>
    <row r="1290" customFormat="false" ht="15" hidden="false" customHeight="true" outlineLevel="0" collapsed="false">
      <c r="A1290" s="1" t="s">
        <v>2073</v>
      </c>
      <c r="B1290" s="1" t="s">
        <v>724</v>
      </c>
      <c r="C1290" s="1" t="s">
        <v>74</v>
      </c>
      <c r="D1290" s="1" t="s">
        <v>94</v>
      </c>
      <c r="E1290" s="1" t="s">
        <v>135</v>
      </c>
      <c r="F1290" s="1" t="s">
        <v>269</v>
      </c>
      <c r="G1290" s="1" t="s">
        <v>108</v>
      </c>
      <c r="H1290" s="1" t="s">
        <v>57</v>
      </c>
      <c r="I1290" s="1" t="s">
        <v>34</v>
      </c>
      <c r="J1290" s="1" t="s">
        <v>70</v>
      </c>
      <c r="K1290" s="1" t="s">
        <v>90</v>
      </c>
      <c r="L1290" s="1" t="s">
        <v>61</v>
      </c>
      <c r="M1290" s="1" t="s">
        <v>38</v>
      </c>
      <c r="N1290" s="1" t="n">
        <v>9999</v>
      </c>
      <c r="O1290" s="1" t="n">
        <v>30</v>
      </c>
      <c r="P1290" s="1" t="n">
        <v>2999.7</v>
      </c>
      <c r="Q1290" s="1" t="n">
        <v>6999.3</v>
      </c>
      <c r="R1290" s="1" t="n">
        <v>1259.87</v>
      </c>
      <c r="S1290" s="1" t="n">
        <v>5739.43</v>
      </c>
      <c r="T1290" s="1" t="n">
        <v>2888.51</v>
      </c>
      <c r="U1290" s="1" t="n">
        <v>2850.92</v>
      </c>
      <c r="V1290" s="1" t="n">
        <v>49.67</v>
      </c>
      <c r="W1290" s="1" t="s">
        <v>39</v>
      </c>
      <c r="X1290" s="1" t="n">
        <v>4.4</v>
      </c>
      <c r="Y1290" s="1" t="s">
        <v>40</v>
      </c>
      <c r="Z1290" s="1" t="n">
        <v>0</v>
      </c>
      <c r="AA1290" s="1" t="str">
        <f aca="false">TRIM(PROPER(F1290))</f>
        <v>Coimbatore</v>
      </c>
      <c r="AB1290" s="1" t="str">
        <f aca="false">TRIM(PROPER(C1290))</f>
        <v>Vedantu</v>
      </c>
      <c r="AC1290" s="1" t="str">
        <f aca="false">IF(O1290=0,"No Discount",IF(O1290&lt;=15,"Low (1-15%)",IF(O1290&lt;=30,"Medium (16-30%)","High (&gt;30%)")))</f>
        <v>Medium (16-30%)</v>
      </c>
      <c r="AD1290" s="1" t="str">
        <f aca="false">IF(V1290&lt;0,"Loss Making",IF(V1290&lt;20,"Low Margin","Healthy Margin"))</f>
        <v>Healthy Margin</v>
      </c>
      <c r="AE1290" s="1" t="str">
        <f aca="false">TEXT(DATE(VALUE(RIGHT(B1290,4)),VALUE(MID(B1290,4,2)),VALUE(LEFT(B1290,2))),"MMM-YYYY")</f>
        <v>Jan-2024</v>
      </c>
      <c r="AF1290" s="1" t="n">
        <f aca="false">VALUE(RIGHT(B1290,4))</f>
        <v>2024</v>
      </c>
      <c r="AG1290" s="1" t="str">
        <f aca="false">CHOOSE(ROUNDUP(VALUE(MID(B1290,4,2))/3,0),"Q1","Q2","Q3","Q4")</f>
        <v>Q1</v>
      </c>
    </row>
    <row r="1291" customFormat="false" ht="15" hidden="false" customHeight="true" outlineLevel="0" collapsed="false">
      <c r="A1291" s="1" t="s">
        <v>2074</v>
      </c>
      <c r="B1291" s="1" t="s">
        <v>1042</v>
      </c>
      <c r="C1291" s="1" t="s">
        <v>249</v>
      </c>
      <c r="D1291" s="1" t="s">
        <v>123</v>
      </c>
      <c r="E1291" s="1" t="s">
        <v>233</v>
      </c>
      <c r="F1291" s="1" t="s">
        <v>153</v>
      </c>
      <c r="G1291" s="1" t="s">
        <v>76</v>
      </c>
      <c r="H1291" s="1" t="s">
        <v>33</v>
      </c>
      <c r="I1291" s="1" t="s">
        <v>34</v>
      </c>
      <c r="J1291" s="1" t="s">
        <v>131</v>
      </c>
      <c r="K1291" s="1" t="s">
        <v>90</v>
      </c>
      <c r="L1291" s="1" t="s">
        <v>37</v>
      </c>
      <c r="M1291" s="1" t="s">
        <v>50</v>
      </c>
      <c r="N1291" s="1" t="n">
        <v>8999</v>
      </c>
      <c r="O1291" s="1" t="n">
        <v>0</v>
      </c>
      <c r="P1291" s="1" t="n">
        <v>0</v>
      </c>
      <c r="Q1291" s="1" t="n">
        <v>8999</v>
      </c>
      <c r="R1291" s="1" t="n">
        <v>1619.82</v>
      </c>
      <c r="S1291" s="1" t="n">
        <v>7379.18</v>
      </c>
      <c r="T1291" s="1" t="n">
        <v>3341.63</v>
      </c>
      <c r="U1291" s="1" t="n">
        <v>4037.55</v>
      </c>
      <c r="V1291" s="1" t="n">
        <v>54.72</v>
      </c>
      <c r="W1291" s="1" t="s">
        <v>39</v>
      </c>
      <c r="X1291" s="1" t="n">
        <v>4.2</v>
      </c>
      <c r="Y1291" s="1" t="s">
        <v>40</v>
      </c>
      <c r="Z1291" s="1" t="n">
        <v>0</v>
      </c>
      <c r="AA1291" s="1" t="str">
        <f aca="false">TRIM(PROPER(F1291))</f>
        <v>Howrah</v>
      </c>
      <c r="AB1291" s="1" t="str">
        <f aca="false">TRIM(PROPER(C1291))</f>
        <v>Whitehat Jr</v>
      </c>
      <c r="AC1291" s="1" t="str">
        <f aca="false">IF(O1291=0,"No Discount",IF(O1291&lt;=15,"Low (1-15%)",IF(O1291&lt;=30,"Medium (16-30%)","High (&gt;30%)")))</f>
        <v>No Discount</v>
      </c>
      <c r="AD1291" s="1" t="str">
        <f aca="false">IF(V1291&lt;0,"Loss Making",IF(V1291&lt;20,"Low Margin","Healthy Margin"))</f>
        <v>Healthy Margin</v>
      </c>
      <c r="AE1291" s="1" t="str">
        <f aca="false">TEXT(DATE(VALUE(RIGHT(B1291,4)),VALUE(MID(B1291,4,2)),VALUE(LEFT(B1291,2))),"MMM-YYYY")</f>
        <v>Mar-2023</v>
      </c>
      <c r="AF1291" s="1" t="n">
        <f aca="false">VALUE(RIGHT(B1291,4))</f>
        <v>2023</v>
      </c>
      <c r="AG1291" s="1" t="str">
        <f aca="false">CHOOSE(ROUNDUP(VALUE(MID(B1291,4,2))/3,0),"Q1","Q2","Q3","Q4")</f>
        <v>Q1</v>
      </c>
    </row>
    <row r="1292" customFormat="false" ht="15" hidden="false" customHeight="true" outlineLevel="0" collapsed="false">
      <c r="A1292" s="1" t="s">
        <v>2075</v>
      </c>
      <c r="B1292" s="1" t="s">
        <v>1927</v>
      </c>
      <c r="C1292" s="1" t="s">
        <v>28</v>
      </c>
      <c r="D1292" s="1" t="s">
        <v>53</v>
      </c>
      <c r="E1292" s="1" t="s">
        <v>116</v>
      </c>
      <c r="F1292" s="1" t="s">
        <v>96</v>
      </c>
      <c r="G1292" s="1" t="s">
        <v>97</v>
      </c>
      <c r="H1292" s="1" t="s">
        <v>69</v>
      </c>
      <c r="I1292" s="1" t="s">
        <v>83</v>
      </c>
      <c r="J1292" s="1" t="s">
        <v>77</v>
      </c>
      <c r="K1292" s="1" t="s">
        <v>71</v>
      </c>
      <c r="L1292" s="1" t="s">
        <v>85</v>
      </c>
      <c r="M1292" s="1" t="s">
        <v>62</v>
      </c>
      <c r="N1292" s="1" t="n">
        <v>9999</v>
      </c>
      <c r="O1292" s="1" t="n">
        <v>20</v>
      </c>
      <c r="P1292" s="1" t="n">
        <v>1999.8</v>
      </c>
      <c r="Q1292" s="1" t="n">
        <v>7999.2</v>
      </c>
      <c r="R1292" s="1" t="n">
        <v>1439.86</v>
      </c>
      <c r="S1292" s="1" t="n">
        <v>6559.34</v>
      </c>
      <c r="T1292" s="1" t="n">
        <v>2655.1</v>
      </c>
      <c r="U1292" s="1" t="n">
        <v>3904.24</v>
      </c>
      <c r="V1292" s="1" t="n">
        <v>59.52</v>
      </c>
      <c r="W1292" s="1" t="s">
        <v>39</v>
      </c>
      <c r="X1292" s="1" t="n">
        <v>4.3</v>
      </c>
      <c r="Y1292" s="1" t="s">
        <v>40</v>
      </c>
      <c r="Z1292" s="1" t="n">
        <v>0</v>
      </c>
      <c r="AA1292" s="1" t="str">
        <f aca="false">TRIM(PROPER(F1292))</f>
        <v>Pune</v>
      </c>
      <c r="AB1292" s="1" t="str">
        <f aca="false">TRIM(PROPER(C1292))</f>
        <v>Embibe</v>
      </c>
      <c r="AC1292" s="1" t="str">
        <f aca="false">IF(O1292=0,"No Discount",IF(O1292&lt;=15,"Low (1-15%)",IF(O1292&lt;=30,"Medium (16-30%)","High (&gt;30%)")))</f>
        <v>Medium (16-30%)</v>
      </c>
      <c r="AD1292" s="1" t="str">
        <f aca="false">IF(V1292&lt;0,"Loss Making",IF(V1292&lt;20,"Low Margin","Healthy Margin"))</f>
        <v>Healthy Margin</v>
      </c>
      <c r="AE1292" s="1" t="str">
        <f aca="false">TEXT(DATE(VALUE(RIGHT(B1292,4)),VALUE(MID(B1292,4,2)),VALUE(LEFT(B1292,2))),"MMM-YYYY")</f>
        <v>May-2023</v>
      </c>
      <c r="AF1292" s="1" t="n">
        <f aca="false">VALUE(RIGHT(B1292,4))</f>
        <v>2023</v>
      </c>
      <c r="AG1292" s="1" t="str">
        <f aca="false">CHOOSE(ROUNDUP(VALUE(MID(B1292,4,2))/3,0),"Q1","Q2","Q3","Q4")</f>
        <v>Q2</v>
      </c>
    </row>
    <row r="1293" customFormat="false" ht="15" hidden="false" customHeight="true" outlineLevel="0" collapsed="false">
      <c r="A1293" s="1" t="s">
        <v>2076</v>
      </c>
      <c r="B1293" s="1" t="s">
        <v>73</v>
      </c>
      <c r="C1293" s="1" t="s">
        <v>65</v>
      </c>
      <c r="D1293" s="1" t="s">
        <v>53</v>
      </c>
      <c r="E1293" s="1" t="s">
        <v>54</v>
      </c>
      <c r="F1293" s="1" t="s">
        <v>120</v>
      </c>
      <c r="G1293" s="1" t="s">
        <v>47</v>
      </c>
      <c r="H1293" s="1" t="s">
        <v>57</v>
      </c>
      <c r="I1293" s="1" t="s">
        <v>58</v>
      </c>
      <c r="J1293" s="1" t="s">
        <v>70</v>
      </c>
      <c r="K1293" s="1" t="s">
        <v>71</v>
      </c>
      <c r="L1293" s="1" t="s">
        <v>136</v>
      </c>
      <c r="M1293" s="1" t="s">
        <v>62</v>
      </c>
      <c r="N1293" s="1" t="n">
        <v>11999</v>
      </c>
      <c r="O1293" s="1" t="n">
        <v>10</v>
      </c>
      <c r="P1293" s="1" t="n">
        <v>1199.9</v>
      </c>
      <c r="Q1293" s="1" t="n">
        <v>10799.1</v>
      </c>
      <c r="R1293" s="1" t="n">
        <v>1943.84</v>
      </c>
      <c r="S1293" s="1" t="n">
        <v>8855.26</v>
      </c>
      <c r="T1293" s="1" t="n">
        <v>3842.22</v>
      </c>
      <c r="U1293" s="1" t="n">
        <v>5013.04</v>
      </c>
      <c r="V1293" s="1" t="n">
        <v>56.61</v>
      </c>
      <c r="W1293" s="1" t="s">
        <v>40</v>
      </c>
      <c r="Y1293" s="1" t="s">
        <v>40</v>
      </c>
      <c r="Z1293" s="1" t="n">
        <v>1</v>
      </c>
      <c r="AA1293" s="1" t="str">
        <f aca="false">TRIM(PROPER(F1293))</f>
        <v>Mysuru</v>
      </c>
      <c r="AB1293" s="1" t="str">
        <f aca="false">TRIM(PROPER(C1293))</f>
        <v>Toppr</v>
      </c>
      <c r="AC1293" s="1" t="str">
        <f aca="false">IF(O1293=0,"No Discount",IF(O1293&lt;=15,"Low (1-15%)",IF(O1293&lt;=30,"Medium (16-30%)","High (&gt;30%)")))</f>
        <v>Low (1-15%)</v>
      </c>
      <c r="AD1293" s="1" t="str">
        <f aca="false">IF(V1293&lt;0,"Loss Making",IF(V1293&lt;20,"Low Margin","Healthy Margin"))</f>
        <v>Healthy Margin</v>
      </c>
      <c r="AE1293" s="1" t="str">
        <f aca="false">TEXT(DATE(VALUE(RIGHT(B1293,4)),VALUE(MID(B1293,4,2)),VALUE(LEFT(B1293,2))),"MMM-YYYY")</f>
        <v>Feb-2023</v>
      </c>
      <c r="AF1293" s="1" t="n">
        <f aca="false">VALUE(RIGHT(B1293,4))</f>
        <v>2023</v>
      </c>
      <c r="AG1293" s="1" t="str">
        <f aca="false">CHOOSE(ROUNDUP(VALUE(MID(B1293,4,2))/3,0),"Q1","Q2","Q3","Q4")</f>
        <v>Q1</v>
      </c>
    </row>
    <row r="1294" customFormat="false" ht="15" hidden="false" customHeight="true" outlineLevel="0" collapsed="false">
      <c r="A1294" s="1" t="s">
        <v>2077</v>
      </c>
      <c r="B1294" s="1" t="s">
        <v>841</v>
      </c>
      <c r="C1294" s="1" t="s">
        <v>167</v>
      </c>
      <c r="D1294" s="1" t="s">
        <v>44</v>
      </c>
      <c r="E1294" s="1" t="s">
        <v>66</v>
      </c>
      <c r="F1294" s="1" t="s">
        <v>205</v>
      </c>
      <c r="G1294" s="1" t="s">
        <v>56</v>
      </c>
      <c r="H1294" s="1" t="s">
        <v>69</v>
      </c>
      <c r="I1294" s="1" t="s">
        <v>83</v>
      </c>
      <c r="J1294" s="1" t="s">
        <v>70</v>
      </c>
      <c r="K1294" s="1" t="s">
        <v>104</v>
      </c>
      <c r="L1294" s="1" t="s">
        <v>61</v>
      </c>
      <c r="M1294" s="1" t="s">
        <v>50</v>
      </c>
      <c r="N1294" s="1" t="n">
        <v>12999</v>
      </c>
      <c r="O1294" s="1" t="n">
        <v>15</v>
      </c>
      <c r="P1294" s="1" t="n">
        <v>1949.85</v>
      </c>
      <c r="Q1294" s="1" t="n">
        <v>11049.15</v>
      </c>
      <c r="R1294" s="1" t="n">
        <v>1988.85</v>
      </c>
      <c r="S1294" s="1" t="n">
        <v>9060.3</v>
      </c>
      <c r="T1294" s="1" t="n">
        <v>2790.84</v>
      </c>
      <c r="U1294" s="1" t="n">
        <v>6269.46</v>
      </c>
      <c r="V1294" s="1" t="n">
        <v>69.2</v>
      </c>
      <c r="W1294" s="1" t="s">
        <v>40</v>
      </c>
      <c r="Y1294" s="1" t="s">
        <v>40</v>
      </c>
      <c r="Z1294" s="1" t="n">
        <v>0</v>
      </c>
      <c r="AA1294" s="1" t="str">
        <f aca="false">TRIM(PROPER(F1294))</f>
        <v>New Delhi</v>
      </c>
      <c r="AB1294" s="1" t="str">
        <f aca="false">TRIM(PROPER(C1294))</f>
        <v>Scaler</v>
      </c>
      <c r="AC1294" s="1" t="str">
        <f aca="false">IF(O1294=0,"No Discount",IF(O1294&lt;=15,"Low (1-15%)",IF(O1294&lt;=30,"Medium (16-30%)","High (&gt;30%)")))</f>
        <v>Low (1-15%)</v>
      </c>
      <c r="AD1294" s="1" t="str">
        <f aca="false">IF(V1294&lt;0,"Loss Making",IF(V1294&lt;20,"Low Margin","Healthy Margin"))</f>
        <v>Healthy Margin</v>
      </c>
      <c r="AE1294" s="1" t="str">
        <f aca="false">TEXT(DATE(VALUE(RIGHT(B1294,4)),VALUE(MID(B1294,4,2)),VALUE(LEFT(B1294,2))),"MMM-YYYY")</f>
        <v>Dec-2024</v>
      </c>
      <c r="AF1294" s="1" t="n">
        <f aca="false">VALUE(RIGHT(B1294,4))</f>
        <v>2024</v>
      </c>
      <c r="AG1294" s="1" t="str">
        <f aca="false">CHOOSE(ROUNDUP(VALUE(MID(B1294,4,2))/3,0),"Q1","Q2","Q3","Q4")</f>
        <v>Q4</v>
      </c>
    </row>
    <row r="1295" customFormat="false" ht="15" hidden="false" customHeight="true" outlineLevel="0" collapsed="false">
      <c r="A1295" s="1" t="s">
        <v>2078</v>
      </c>
      <c r="B1295" s="1" t="s">
        <v>302</v>
      </c>
      <c r="C1295" s="1" t="s">
        <v>128</v>
      </c>
      <c r="D1295" s="1" t="s">
        <v>143</v>
      </c>
      <c r="E1295" s="1" t="s">
        <v>144</v>
      </c>
      <c r="F1295" s="1" t="s">
        <v>130</v>
      </c>
      <c r="G1295" s="1" t="s">
        <v>47</v>
      </c>
      <c r="H1295" s="1" t="s">
        <v>69</v>
      </c>
      <c r="I1295" s="1" t="s">
        <v>58</v>
      </c>
      <c r="J1295" s="1" t="s">
        <v>131</v>
      </c>
      <c r="K1295" s="1" t="s">
        <v>104</v>
      </c>
      <c r="L1295" s="1" t="s">
        <v>113</v>
      </c>
      <c r="M1295" s="1" t="s">
        <v>38</v>
      </c>
      <c r="N1295" s="1" t="n">
        <v>12999</v>
      </c>
      <c r="O1295" s="1" t="n">
        <v>15</v>
      </c>
      <c r="P1295" s="1" t="n">
        <v>1949.85</v>
      </c>
      <c r="Q1295" s="1" t="n">
        <v>11049.15</v>
      </c>
      <c r="R1295" s="1" t="n">
        <v>1988.85</v>
      </c>
      <c r="S1295" s="1" t="n">
        <v>9060.3</v>
      </c>
      <c r="T1295" s="1" t="n">
        <v>4004.41</v>
      </c>
      <c r="U1295" s="1" t="n">
        <v>5055.89</v>
      </c>
      <c r="V1295" s="1" t="n">
        <v>55.8</v>
      </c>
      <c r="W1295" s="1" t="s">
        <v>39</v>
      </c>
      <c r="X1295" s="1" t="n">
        <v>4.2</v>
      </c>
      <c r="Y1295" s="1" t="s">
        <v>40</v>
      </c>
      <c r="Z1295" s="1" t="n">
        <v>0</v>
      </c>
      <c r="AA1295" s="1" t="str">
        <f aca="false">TRIM(PROPER(F1295))</f>
        <v>Bengaluru</v>
      </c>
      <c r="AB1295" s="1" t="str">
        <f aca="false">TRIM(PROPER(C1295))</f>
        <v>Great Learning</v>
      </c>
      <c r="AC1295" s="1" t="str">
        <f aca="false">IF(O1295=0,"No Discount",IF(O1295&lt;=15,"Low (1-15%)",IF(O1295&lt;=30,"Medium (16-30%)","High (&gt;30%)")))</f>
        <v>Low (1-15%)</v>
      </c>
      <c r="AD1295" s="1" t="str">
        <f aca="false">IF(V1295&lt;0,"Loss Making",IF(V1295&lt;20,"Low Margin","Healthy Margin"))</f>
        <v>Healthy Margin</v>
      </c>
      <c r="AE1295" s="1" t="str">
        <f aca="false">TEXT(DATE(VALUE(RIGHT(B1295,4)),VALUE(MID(B1295,4,2)),VALUE(LEFT(B1295,2))),"MMM-YYYY")</f>
        <v>Jan-2023</v>
      </c>
      <c r="AF1295" s="1" t="n">
        <f aca="false">VALUE(RIGHT(B1295,4))</f>
        <v>2023</v>
      </c>
      <c r="AG1295" s="1" t="str">
        <f aca="false">CHOOSE(ROUNDUP(VALUE(MID(B1295,4,2))/3,0),"Q1","Q2","Q3","Q4")</f>
        <v>Q1</v>
      </c>
    </row>
    <row r="1296" customFormat="false" ht="15" hidden="false" customHeight="true" outlineLevel="0" collapsed="false">
      <c r="A1296" s="1" t="s">
        <v>2079</v>
      </c>
      <c r="B1296" s="1" t="s">
        <v>203</v>
      </c>
      <c r="C1296" s="1" t="s">
        <v>264</v>
      </c>
      <c r="D1296" s="1" t="s">
        <v>53</v>
      </c>
      <c r="E1296" s="1" t="s">
        <v>54</v>
      </c>
      <c r="F1296" s="1" t="s">
        <v>107</v>
      </c>
      <c r="G1296" s="1" t="s">
        <v>108</v>
      </c>
      <c r="H1296" s="1" t="s">
        <v>33</v>
      </c>
      <c r="I1296" s="1" t="s">
        <v>83</v>
      </c>
      <c r="J1296" s="1" t="s">
        <v>70</v>
      </c>
      <c r="K1296" s="1" t="s">
        <v>90</v>
      </c>
      <c r="L1296" s="1" t="s">
        <v>37</v>
      </c>
      <c r="M1296" s="1" t="s">
        <v>50</v>
      </c>
      <c r="N1296" s="1" t="n">
        <v>11999</v>
      </c>
      <c r="O1296" s="1" t="n">
        <v>30</v>
      </c>
      <c r="P1296" s="1" t="n">
        <v>3599.7</v>
      </c>
      <c r="Q1296" s="1" t="n">
        <v>8399.3</v>
      </c>
      <c r="R1296" s="1" t="n">
        <v>1511.87</v>
      </c>
      <c r="S1296" s="1" t="n">
        <v>6887.43</v>
      </c>
      <c r="T1296" s="1" t="n">
        <v>2554.83</v>
      </c>
      <c r="U1296" s="1" t="n">
        <v>4332.6</v>
      </c>
      <c r="V1296" s="1" t="n">
        <v>62.91</v>
      </c>
      <c r="W1296" s="1" t="s">
        <v>40</v>
      </c>
      <c r="Y1296" s="1" t="s">
        <v>40</v>
      </c>
      <c r="Z1296" s="1" t="n">
        <v>3</v>
      </c>
      <c r="AA1296" s="1" t="str">
        <f aca="false">TRIM(PROPER(F1296))</f>
        <v>Madurai</v>
      </c>
      <c r="AB1296" s="1" t="str">
        <f aca="false">TRIM(PROPER(C1296))</f>
        <v>Unacademy</v>
      </c>
      <c r="AC1296" s="1" t="str">
        <f aca="false">IF(O1296=0,"No Discount",IF(O1296&lt;=15,"Low (1-15%)",IF(O1296&lt;=30,"Medium (16-30%)","High (&gt;30%)")))</f>
        <v>Medium (16-30%)</v>
      </c>
      <c r="AD1296" s="1" t="str">
        <f aca="false">IF(V1296&lt;0,"Loss Making",IF(V1296&lt;20,"Low Margin","Healthy Margin"))</f>
        <v>Healthy Margin</v>
      </c>
      <c r="AE1296" s="1" t="str">
        <f aca="false">TEXT(DATE(VALUE(RIGHT(B1296,4)),VALUE(MID(B1296,4,2)),VALUE(LEFT(B1296,2))),"MMM-YYYY")</f>
        <v>Nov-2023</v>
      </c>
      <c r="AF1296" s="1" t="n">
        <f aca="false">VALUE(RIGHT(B1296,4))</f>
        <v>2023</v>
      </c>
      <c r="AG1296" s="1" t="str">
        <f aca="false">CHOOSE(ROUNDUP(VALUE(MID(B1296,4,2))/3,0),"Q1","Q2","Q3","Q4")</f>
        <v>Q4</v>
      </c>
    </row>
    <row r="1297" customFormat="false" ht="15" hidden="false" customHeight="true" outlineLevel="0" collapsed="false">
      <c r="A1297" s="1" t="s">
        <v>2080</v>
      </c>
      <c r="B1297" s="1" t="s">
        <v>2081</v>
      </c>
      <c r="C1297" s="1" t="s">
        <v>128</v>
      </c>
      <c r="D1297" s="1" t="s">
        <v>29</v>
      </c>
      <c r="E1297" s="1" t="s">
        <v>129</v>
      </c>
      <c r="F1297" s="1" t="s">
        <v>194</v>
      </c>
      <c r="G1297" s="1" t="s">
        <v>103</v>
      </c>
      <c r="H1297" s="1" t="s">
        <v>69</v>
      </c>
      <c r="I1297" s="1" t="s">
        <v>34</v>
      </c>
      <c r="J1297" s="1" t="s">
        <v>131</v>
      </c>
      <c r="K1297" s="1" t="s">
        <v>36</v>
      </c>
      <c r="L1297" s="1" t="s">
        <v>113</v>
      </c>
      <c r="M1297" s="1" t="s">
        <v>38</v>
      </c>
      <c r="N1297" s="1" t="n">
        <v>29999</v>
      </c>
      <c r="O1297" s="1" t="n">
        <v>0</v>
      </c>
      <c r="P1297" s="1" t="n">
        <v>0</v>
      </c>
      <c r="Q1297" s="1" t="n">
        <v>29999</v>
      </c>
      <c r="R1297" s="1" t="n">
        <v>5399.82</v>
      </c>
      <c r="S1297" s="1" t="n">
        <v>24599.18</v>
      </c>
      <c r="T1297" s="1" t="n">
        <v>10170.12</v>
      </c>
      <c r="U1297" s="1" t="n">
        <v>14429.06</v>
      </c>
      <c r="V1297" s="1" t="n">
        <v>58.66</v>
      </c>
      <c r="W1297" s="1" t="s">
        <v>40</v>
      </c>
      <c r="Y1297" s="1" t="s">
        <v>40</v>
      </c>
      <c r="Z1297" s="1" t="n">
        <v>0</v>
      </c>
      <c r="AA1297" s="1" t="str">
        <f aca="false">TRIM(PROPER(F1297))</f>
        <v>Hyderabad</v>
      </c>
      <c r="AB1297" s="1" t="str">
        <f aca="false">TRIM(PROPER(C1297))</f>
        <v>Great Learning</v>
      </c>
      <c r="AC1297" s="1" t="str">
        <f aca="false">IF(O1297=0,"No Discount",IF(O1297&lt;=15,"Low (1-15%)",IF(O1297&lt;=30,"Medium (16-30%)","High (&gt;30%)")))</f>
        <v>No Discount</v>
      </c>
      <c r="AD1297" s="1" t="str">
        <f aca="false">IF(V1297&lt;0,"Loss Making",IF(V1297&lt;20,"Low Margin","Healthy Margin"))</f>
        <v>Healthy Margin</v>
      </c>
      <c r="AE1297" s="1" t="str">
        <f aca="false">TEXT(DATE(VALUE(RIGHT(B1297,4)),VALUE(MID(B1297,4,2)),VALUE(LEFT(B1297,2))),"MMM-YYYY")</f>
        <v>Jun-2023</v>
      </c>
      <c r="AF1297" s="1" t="n">
        <f aca="false">VALUE(RIGHT(B1297,4))</f>
        <v>2023</v>
      </c>
      <c r="AG1297" s="1" t="str">
        <f aca="false">CHOOSE(ROUNDUP(VALUE(MID(B1297,4,2))/3,0),"Q1","Q2","Q3","Q4")</f>
        <v>Q2</v>
      </c>
    </row>
    <row r="1298" customFormat="false" ht="15" hidden="false" customHeight="true" outlineLevel="0" collapsed="false">
      <c r="A1298" s="1" t="s">
        <v>2082</v>
      </c>
      <c r="B1298" s="1" t="s">
        <v>1352</v>
      </c>
      <c r="C1298" s="1" t="s">
        <v>249</v>
      </c>
      <c r="D1298" s="1" t="s">
        <v>29</v>
      </c>
      <c r="E1298" s="1" t="s">
        <v>30</v>
      </c>
      <c r="F1298" s="1" t="s">
        <v>96</v>
      </c>
      <c r="G1298" s="1" t="s">
        <v>97</v>
      </c>
      <c r="H1298" s="1" t="s">
        <v>69</v>
      </c>
      <c r="I1298" s="1" t="s">
        <v>58</v>
      </c>
      <c r="J1298" s="1" t="s">
        <v>70</v>
      </c>
      <c r="K1298" s="1" t="s">
        <v>90</v>
      </c>
      <c r="L1298" s="1" t="s">
        <v>37</v>
      </c>
      <c r="M1298" s="1" t="s">
        <v>50</v>
      </c>
      <c r="N1298" s="1" t="n">
        <v>7999</v>
      </c>
      <c r="O1298" s="1" t="n">
        <v>0</v>
      </c>
      <c r="P1298" s="1" t="n">
        <v>0</v>
      </c>
      <c r="Q1298" s="1" t="n">
        <v>7999</v>
      </c>
      <c r="R1298" s="1" t="n">
        <v>1439.82</v>
      </c>
      <c r="S1298" s="1" t="n">
        <v>6559.18</v>
      </c>
      <c r="T1298" s="1" t="n">
        <v>1812.06</v>
      </c>
      <c r="U1298" s="1" t="n">
        <v>4747.12</v>
      </c>
      <c r="V1298" s="1" t="n">
        <v>72.37</v>
      </c>
      <c r="W1298" s="1" t="s">
        <v>40</v>
      </c>
      <c r="Y1298" s="1" t="s">
        <v>40</v>
      </c>
      <c r="Z1298" s="1" t="n">
        <v>1</v>
      </c>
      <c r="AA1298" s="1" t="str">
        <f aca="false">TRIM(PROPER(F1298))</f>
        <v>Pune</v>
      </c>
      <c r="AB1298" s="1" t="str">
        <f aca="false">TRIM(PROPER(C1298))</f>
        <v>Whitehat Jr</v>
      </c>
      <c r="AC1298" s="1" t="str">
        <f aca="false">IF(O1298=0,"No Discount",IF(O1298&lt;=15,"Low (1-15%)",IF(O1298&lt;=30,"Medium (16-30%)","High (&gt;30%)")))</f>
        <v>No Discount</v>
      </c>
      <c r="AD1298" s="1" t="str">
        <f aca="false">IF(V1298&lt;0,"Loss Making",IF(V1298&lt;20,"Low Margin","Healthy Margin"))</f>
        <v>Healthy Margin</v>
      </c>
      <c r="AE1298" s="1" t="str">
        <f aca="false">TEXT(DATE(VALUE(RIGHT(B1298,4)),VALUE(MID(B1298,4,2)),VALUE(LEFT(B1298,2))),"MMM-YYYY")</f>
        <v>Jul-2023</v>
      </c>
      <c r="AF1298" s="1" t="n">
        <f aca="false">VALUE(RIGHT(B1298,4))</f>
        <v>2023</v>
      </c>
      <c r="AG1298" s="1" t="str">
        <f aca="false">CHOOSE(ROUNDUP(VALUE(MID(B1298,4,2))/3,0),"Q1","Q2","Q3","Q4")</f>
        <v>Q3</v>
      </c>
    </row>
    <row r="1299" customFormat="false" ht="15" hidden="false" customHeight="true" outlineLevel="0" collapsed="false">
      <c r="A1299" s="1" t="s">
        <v>2083</v>
      </c>
      <c r="B1299" s="1" t="s">
        <v>155</v>
      </c>
      <c r="C1299" s="1" t="s">
        <v>134</v>
      </c>
      <c r="D1299" s="1" t="s">
        <v>123</v>
      </c>
      <c r="E1299" s="1" t="s">
        <v>124</v>
      </c>
      <c r="F1299" s="1" t="s">
        <v>31</v>
      </c>
      <c r="G1299" s="1" t="s">
        <v>32</v>
      </c>
      <c r="H1299" s="1" t="s">
        <v>33</v>
      </c>
      <c r="I1299" s="1" t="s">
        <v>34</v>
      </c>
      <c r="J1299" s="1" t="s">
        <v>59</v>
      </c>
      <c r="K1299" s="1" t="s">
        <v>71</v>
      </c>
      <c r="L1299" s="1" t="s">
        <v>61</v>
      </c>
      <c r="M1299" s="1" t="s">
        <v>50</v>
      </c>
      <c r="N1299" s="1" t="n">
        <v>4999</v>
      </c>
      <c r="O1299" s="1" t="n">
        <v>0</v>
      </c>
      <c r="P1299" s="1" t="n">
        <v>0</v>
      </c>
      <c r="Q1299" s="1" t="n">
        <v>4999</v>
      </c>
      <c r="R1299" s="1" t="n">
        <v>899.82</v>
      </c>
      <c r="S1299" s="1" t="n">
        <v>4099.18</v>
      </c>
      <c r="T1299" s="1" t="n">
        <v>1810.9</v>
      </c>
      <c r="U1299" s="1" t="n">
        <v>2288.28</v>
      </c>
      <c r="V1299" s="1" t="n">
        <v>55.82</v>
      </c>
      <c r="W1299" s="1" t="s">
        <v>40</v>
      </c>
      <c r="Y1299" s="1" t="s">
        <v>40</v>
      </c>
      <c r="Z1299" s="1" t="n">
        <v>3</v>
      </c>
      <c r="AA1299" s="1" t="str">
        <f aca="false">TRIM(PROPER(F1299))</f>
        <v>Jodhpur</v>
      </c>
      <c r="AB1299" s="1" t="str">
        <f aca="false">TRIM(PROPER(C1299))</f>
        <v>Doubtnut</v>
      </c>
      <c r="AC1299" s="1" t="str">
        <f aca="false">IF(O1299=0,"No Discount",IF(O1299&lt;=15,"Low (1-15%)",IF(O1299&lt;=30,"Medium (16-30%)","High (&gt;30%)")))</f>
        <v>No Discount</v>
      </c>
      <c r="AD1299" s="1" t="str">
        <f aca="false">IF(V1299&lt;0,"Loss Making",IF(V1299&lt;20,"Low Margin","Healthy Margin"))</f>
        <v>Healthy Margin</v>
      </c>
      <c r="AE1299" s="1" t="str">
        <f aca="false">TEXT(DATE(VALUE(RIGHT(B1299,4)),VALUE(MID(B1299,4,2)),VALUE(LEFT(B1299,2))),"MMM-YYYY")</f>
        <v>Oct-2023</v>
      </c>
      <c r="AF1299" s="1" t="n">
        <f aca="false">VALUE(RIGHT(B1299,4))</f>
        <v>2023</v>
      </c>
      <c r="AG1299" s="1" t="str">
        <f aca="false">CHOOSE(ROUNDUP(VALUE(MID(B1299,4,2))/3,0),"Q1","Q2","Q3","Q4")</f>
        <v>Q4</v>
      </c>
    </row>
    <row r="1300" customFormat="false" ht="15" hidden="false" customHeight="true" outlineLevel="0" collapsed="false">
      <c r="A1300" s="1" t="s">
        <v>2084</v>
      </c>
      <c r="B1300" s="1" t="s">
        <v>1553</v>
      </c>
      <c r="C1300" s="1" t="s">
        <v>65</v>
      </c>
      <c r="D1300" s="1" t="s">
        <v>168</v>
      </c>
      <c r="E1300" s="1" t="s">
        <v>328</v>
      </c>
      <c r="F1300" s="1" t="s">
        <v>140</v>
      </c>
      <c r="G1300" s="1" t="s">
        <v>97</v>
      </c>
      <c r="H1300" s="1" t="s">
        <v>57</v>
      </c>
      <c r="I1300" s="1" t="s">
        <v>34</v>
      </c>
      <c r="J1300" s="1" t="s">
        <v>77</v>
      </c>
      <c r="K1300" s="1" t="s">
        <v>90</v>
      </c>
      <c r="L1300" s="1" t="s">
        <v>136</v>
      </c>
      <c r="M1300" s="1" t="s">
        <v>38</v>
      </c>
      <c r="N1300" s="1" t="n">
        <v>8999</v>
      </c>
      <c r="O1300" s="1" t="n">
        <v>5</v>
      </c>
      <c r="P1300" s="1" t="n">
        <v>449.95</v>
      </c>
      <c r="Q1300" s="1" t="n">
        <v>8549.05</v>
      </c>
      <c r="R1300" s="1" t="n">
        <v>1538.83</v>
      </c>
      <c r="S1300" s="1" t="n">
        <v>7010.22</v>
      </c>
      <c r="T1300" s="1" t="n">
        <v>3259.81</v>
      </c>
      <c r="U1300" s="1" t="n">
        <v>3750.41</v>
      </c>
      <c r="V1300" s="1" t="n">
        <v>53.5</v>
      </c>
      <c r="W1300" s="1" t="s">
        <v>39</v>
      </c>
      <c r="X1300" s="1" t="n">
        <v>4</v>
      </c>
      <c r="Y1300" s="1" t="s">
        <v>40</v>
      </c>
      <c r="Z1300" s="1" t="n">
        <v>0</v>
      </c>
      <c r="AA1300" s="1" t="str">
        <f aca="false">TRIM(PROPER(F1300))</f>
        <v>Nashik</v>
      </c>
      <c r="AB1300" s="1" t="str">
        <f aca="false">TRIM(PROPER(C1300))</f>
        <v>Toppr</v>
      </c>
      <c r="AC1300" s="1" t="str">
        <f aca="false">IF(O1300=0,"No Discount",IF(O1300&lt;=15,"Low (1-15%)",IF(O1300&lt;=30,"Medium (16-30%)","High (&gt;30%)")))</f>
        <v>Low (1-15%)</v>
      </c>
      <c r="AD1300" s="1" t="str">
        <f aca="false">IF(V1300&lt;0,"Loss Making",IF(V1300&lt;20,"Low Margin","Healthy Margin"))</f>
        <v>Healthy Margin</v>
      </c>
      <c r="AE1300" s="1" t="str">
        <f aca="false">TEXT(DATE(VALUE(RIGHT(B1300,4)),VALUE(MID(B1300,4,2)),VALUE(LEFT(B1300,2))),"MMM-YYYY")</f>
        <v>May-2023</v>
      </c>
      <c r="AF1300" s="1" t="n">
        <f aca="false">VALUE(RIGHT(B1300,4))</f>
        <v>2023</v>
      </c>
      <c r="AG1300" s="1" t="str">
        <f aca="false">CHOOSE(ROUNDUP(VALUE(MID(B1300,4,2))/3,0),"Q1","Q2","Q3","Q4")</f>
        <v>Q2</v>
      </c>
    </row>
    <row r="1301" customFormat="false" ht="15" hidden="false" customHeight="true" outlineLevel="0" collapsed="false">
      <c r="A1301" s="1" t="s">
        <v>2085</v>
      </c>
      <c r="B1301" s="1" t="s">
        <v>2086</v>
      </c>
      <c r="C1301" s="1" t="s">
        <v>167</v>
      </c>
      <c r="D1301" s="1" t="s">
        <v>168</v>
      </c>
      <c r="E1301" s="1" t="s">
        <v>328</v>
      </c>
      <c r="F1301" s="1" t="s">
        <v>55</v>
      </c>
      <c r="G1301" s="1" t="s">
        <v>56</v>
      </c>
      <c r="H1301" s="1" t="s">
        <v>57</v>
      </c>
      <c r="I1301" s="1" t="s">
        <v>58</v>
      </c>
      <c r="J1301" s="1" t="s">
        <v>59</v>
      </c>
      <c r="K1301" s="1" t="s">
        <v>36</v>
      </c>
      <c r="L1301" s="1" t="s">
        <v>136</v>
      </c>
      <c r="M1301" s="1" t="s">
        <v>62</v>
      </c>
      <c r="N1301" s="1" t="n">
        <v>8999</v>
      </c>
      <c r="O1301" s="1" t="n">
        <v>0</v>
      </c>
      <c r="P1301" s="1" t="n">
        <v>0</v>
      </c>
      <c r="Q1301" s="1" t="n">
        <v>8999</v>
      </c>
      <c r="R1301" s="1" t="n">
        <v>1619.82</v>
      </c>
      <c r="S1301" s="1" t="n">
        <v>7379.18</v>
      </c>
      <c r="T1301" s="1" t="n">
        <v>3163.85</v>
      </c>
      <c r="U1301" s="1" t="n">
        <v>4215.33</v>
      </c>
      <c r="V1301" s="1" t="n">
        <v>57.12</v>
      </c>
      <c r="W1301" s="1" t="s">
        <v>40</v>
      </c>
      <c r="Y1301" s="1" t="s">
        <v>40</v>
      </c>
      <c r="Z1301" s="1" t="n">
        <v>2</v>
      </c>
      <c r="AA1301" s="1" t="str">
        <f aca="false">TRIM(PROPER(F1301))</f>
        <v>Ghaziabad</v>
      </c>
      <c r="AB1301" s="1" t="str">
        <f aca="false">TRIM(PROPER(C1301))</f>
        <v>Scaler</v>
      </c>
      <c r="AC1301" s="1" t="str">
        <f aca="false">IF(O1301=0,"No Discount",IF(O1301&lt;=15,"Low (1-15%)",IF(O1301&lt;=30,"Medium (16-30%)","High (&gt;30%)")))</f>
        <v>No Discount</v>
      </c>
      <c r="AD1301" s="1" t="str">
        <f aca="false">IF(V1301&lt;0,"Loss Making",IF(V1301&lt;20,"Low Margin","Healthy Margin"))</f>
        <v>Healthy Margin</v>
      </c>
      <c r="AE1301" s="1" t="str">
        <f aca="false">TEXT(DATE(VALUE(RIGHT(B1301,4)),VALUE(MID(B1301,4,2)),VALUE(LEFT(B1301,2))),"MMM-YYYY")</f>
        <v>Oct-2024</v>
      </c>
      <c r="AF1301" s="1" t="n">
        <f aca="false">VALUE(RIGHT(B1301,4))</f>
        <v>2024</v>
      </c>
      <c r="AG1301" s="1" t="str">
        <f aca="false">CHOOSE(ROUNDUP(VALUE(MID(B1301,4,2))/3,0),"Q1","Q2","Q3","Q4")</f>
        <v>Q4</v>
      </c>
    </row>
    <row r="1302" customFormat="false" ht="15" hidden="false" customHeight="true" outlineLevel="0" collapsed="false">
      <c r="A1302" s="1" t="s">
        <v>2087</v>
      </c>
      <c r="B1302" s="1" t="s">
        <v>1727</v>
      </c>
      <c r="C1302" s="1" t="s">
        <v>88</v>
      </c>
      <c r="D1302" s="1" t="s">
        <v>94</v>
      </c>
      <c r="E1302" s="1" t="s">
        <v>95</v>
      </c>
      <c r="F1302" s="1" t="s">
        <v>156</v>
      </c>
      <c r="G1302" s="1" t="s">
        <v>68</v>
      </c>
      <c r="H1302" s="1" t="s">
        <v>57</v>
      </c>
      <c r="I1302" s="1" t="s">
        <v>34</v>
      </c>
      <c r="J1302" s="1" t="s">
        <v>59</v>
      </c>
      <c r="K1302" s="1" t="s">
        <v>36</v>
      </c>
      <c r="L1302" s="1" t="s">
        <v>85</v>
      </c>
      <c r="M1302" s="1" t="s">
        <v>62</v>
      </c>
      <c r="N1302" s="1" t="n">
        <v>6999</v>
      </c>
      <c r="O1302" s="1" t="n">
        <v>0</v>
      </c>
      <c r="P1302" s="1" t="n">
        <v>0</v>
      </c>
      <c r="Q1302" s="1" t="n">
        <v>6999</v>
      </c>
      <c r="R1302" s="1" t="n">
        <v>1259.82</v>
      </c>
      <c r="S1302" s="1" t="n">
        <v>5739.18</v>
      </c>
      <c r="T1302" s="1" t="n">
        <v>2176.22</v>
      </c>
      <c r="U1302" s="1" t="n">
        <v>3562.96</v>
      </c>
      <c r="V1302" s="1" t="n">
        <v>62.08</v>
      </c>
      <c r="W1302" s="1" t="s">
        <v>40</v>
      </c>
      <c r="Y1302" s="1" t="s">
        <v>40</v>
      </c>
      <c r="Z1302" s="1" t="n">
        <v>0</v>
      </c>
      <c r="AA1302" s="1" t="str">
        <f aca="false">TRIM(PROPER(F1302))</f>
        <v>Surat</v>
      </c>
      <c r="AB1302" s="1" t="str">
        <f aca="false">TRIM(PROPER(C1302))</f>
        <v>Byju'S</v>
      </c>
      <c r="AC1302" s="1" t="str">
        <f aca="false">IF(O1302=0,"No Discount",IF(O1302&lt;=15,"Low (1-15%)",IF(O1302&lt;=30,"Medium (16-30%)","High (&gt;30%)")))</f>
        <v>No Discount</v>
      </c>
      <c r="AD1302" s="1" t="str">
        <f aca="false">IF(V1302&lt;0,"Loss Making",IF(V1302&lt;20,"Low Margin","Healthy Margin"))</f>
        <v>Healthy Margin</v>
      </c>
      <c r="AE1302" s="1" t="str">
        <f aca="false">TEXT(DATE(VALUE(RIGHT(B1302,4)),VALUE(MID(B1302,4,2)),VALUE(LEFT(B1302,2))),"MMM-YYYY")</f>
        <v>Jun-2024</v>
      </c>
      <c r="AF1302" s="1" t="n">
        <f aca="false">VALUE(RIGHT(B1302,4))</f>
        <v>2024</v>
      </c>
      <c r="AG1302" s="1" t="str">
        <f aca="false">CHOOSE(ROUNDUP(VALUE(MID(B1302,4,2))/3,0),"Q1","Q2","Q3","Q4")</f>
        <v>Q2</v>
      </c>
    </row>
    <row r="1303" customFormat="false" ht="15" hidden="false" customHeight="true" outlineLevel="0" collapsed="false">
      <c r="A1303" s="1" t="s">
        <v>2088</v>
      </c>
      <c r="B1303" s="1" t="s">
        <v>441</v>
      </c>
      <c r="C1303" s="1" t="s">
        <v>178</v>
      </c>
      <c r="D1303" s="1" t="s">
        <v>123</v>
      </c>
      <c r="E1303" s="1" t="s">
        <v>124</v>
      </c>
      <c r="F1303" s="1" t="s">
        <v>102</v>
      </c>
      <c r="G1303" s="1" t="s">
        <v>103</v>
      </c>
      <c r="H1303" s="1" t="s">
        <v>33</v>
      </c>
      <c r="I1303" s="1" t="s">
        <v>34</v>
      </c>
      <c r="J1303" s="1" t="s">
        <v>70</v>
      </c>
      <c r="K1303" s="1" t="s">
        <v>71</v>
      </c>
      <c r="L1303" s="1" t="s">
        <v>49</v>
      </c>
      <c r="M1303" s="1" t="s">
        <v>50</v>
      </c>
      <c r="N1303" s="1" t="n">
        <v>4999</v>
      </c>
      <c r="O1303" s="1" t="n">
        <v>40</v>
      </c>
      <c r="P1303" s="1" t="n">
        <v>1999.6</v>
      </c>
      <c r="Q1303" s="1" t="n">
        <v>2999.4</v>
      </c>
      <c r="R1303" s="1" t="n">
        <v>539.89</v>
      </c>
      <c r="S1303" s="1" t="n">
        <v>2459.51</v>
      </c>
      <c r="T1303" s="1" t="n">
        <v>1248.59</v>
      </c>
      <c r="U1303" s="1" t="n">
        <v>1210.92</v>
      </c>
      <c r="V1303" s="1" t="n">
        <v>49.23</v>
      </c>
      <c r="W1303" s="1" t="s">
        <v>39</v>
      </c>
      <c r="X1303" s="1" t="n">
        <v>4.1</v>
      </c>
      <c r="Y1303" s="1" t="s">
        <v>40</v>
      </c>
      <c r="Z1303" s="1" t="n">
        <v>0</v>
      </c>
      <c r="AA1303" s="1" t="str">
        <f aca="false">TRIM(PROPER(F1303))</f>
        <v>Warangal</v>
      </c>
      <c r="AB1303" s="1" t="str">
        <f aca="false">TRIM(PROPER(C1303))</f>
        <v>Leverage Edu</v>
      </c>
      <c r="AC1303" s="1" t="str">
        <f aca="false">IF(O1303=0,"No Discount",IF(O1303&lt;=15,"Low (1-15%)",IF(O1303&lt;=30,"Medium (16-30%)","High (&gt;30%)")))</f>
        <v>High (&gt;30%)</v>
      </c>
      <c r="AD1303" s="1" t="str">
        <f aca="false">IF(V1303&lt;0,"Loss Making",IF(V1303&lt;20,"Low Margin","Healthy Margin"))</f>
        <v>Healthy Margin</v>
      </c>
      <c r="AE1303" s="1" t="str">
        <f aca="false">TEXT(DATE(VALUE(RIGHT(B1303,4)),VALUE(MID(B1303,4,2)),VALUE(LEFT(B1303,2))),"MMM-YYYY")</f>
        <v>Aug-2024</v>
      </c>
      <c r="AF1303" s="1" t="n">
        <f aca="false">VALUE(RIGHT(B1303,4))</f>
        <v>2024</v>
      </c>
      <c r="AG1303" s="1" t="str">
        <f aca="false">CHOOSE(ROUNDUP(VALUE(MID(B1303,4,2))/3,0),"Q1","Q2","Q3","Q4")</f>
        <v>Q3</v>
      </c>
    </row>
    <row r="1304" customFormat="false" ht="15" hidden="false" customHeight="true" outlineLevel="0" collapsed="false">
      <c r="A1304" s="1" t="s">
        <v>2089</v>
      </c>
      <c r="B1304" s="1" t="s">
        <v>616</v>
      </c>
      <c r="C1304" s="1" t="s">
        <v>93</v>
      </c>
      <c r="D1304" s="1" t="s">
        <v>123</v>
      </c>
      <c r="E1304" s="1" t="s">
        <v>124</v>
      </c>
      <c r="F1304" s="1" t="s">
        <v>55</v>
      </c>
      <c r="G1304" s="1" t="s">
        <v>56</v>
      </c>
      <c r="H1304" s="1" t="s">
        <v>57</v>
      </c>
      <c r="I1304" s="1" t="s">
        <v>83</v>
      </c>
      <c r="J1304" s="1" t="s">
        <v>35</v>
      </c>
      <c r="K1304" s="1" t="s">
        <v>84</v>
      </c>
      <c r="L1304" s="1" t="s">
        <v>49</v>
      </c>
      <c r="M1304" s="1" t="s">
        <v>50</v>
      </c>
      <c r="N1304" s="1" t="n">
        <v>4999</v>
      </c>
      <c r="O1304" s="1" t="n">
        <v>30</v>
      </c>
      <c r="P1304" s="1" t="n">
        <v>1499.7</v>
      </c>
      <c r="Q1304" s="1" t="n">
        <v>3499.3</v>
      </c>
      <c r="R1304" s="1" t="n">
        <v>629.87</v>
      </c>
      <c r="S1304" s="1" t="n">
        <v>2869.43</v>
      </c>
      <c r="T1304" s="1" t="n">
        <v>1441.67</v>
      </c>
      <c r="U1304" s="1" t="n">
        <v>1427.76</v>
      </c>
      <c r="V1304" s="1" t="n">
        <v>49.76</v>
      </c>
      <c r="W1304" s="1" t="s">
        <v>40</v>
      </c>
      <c r="Y1304" s="1" t="s">
        <v>39</v>
      </c>
      <c r="Z1304" s="1" t="n">
        <v>0</v>
      </c>
      <c r="AA1304" s="1" t="str">
        <f aca="false">TRIM(PROPER(F1304))</f>
        <v>Ghaziabad</v>
      </c>
      <c r="AB1304" s="1" t="str">
        <f aca="false">TRIM(PROPER(C1304))</f>
        <v>Upgrad</v>
      </c>
      <c r="AC1304" s="1" t="str">
        <f aca="false">IF(O1304=0,"No Discount",IF(O1304&lt;=15,"Low (1-15%)",IF(O1304&lt;=30,"Medium (16-30%)","High (&gt;30%)")))</f>
        <v>Medium (16-30%)</v>
      </c>
      <c r="AD1304" s="1" t="str">
        <f aca="false">IF(V1304&lt;0,"Loss Making",IF(V1304&lt;20,"Low Margin","Healthy Margin"))</f>
        <v>Healthy Margin</v>
      </c>
      <c r="AE1304" s="1" t="str">
        <f aca="false">TEXT(DATE(VALUE(RIGHT(B1304,4)),VALUE(MID(B1304,4,2)),VALUE(LEFT(B1304,2))),"MMM-YYYY")</f>
        <v>Jan-2023</v>
      </c>
      <c r="AF1304" s="1" t="n">
        <f aca="false">VALUE(RIGHT(B1304,4))</f>
        <v>2023</v>
      </c>
      <c r="AG1304" s="1" t="str">
        <f aca="false">CHOOSE(ROUNDUP(VALUE(MID(B1304,4,2))/3,0),"Q1","Q2","Q3","Q4")</f>
        <v>Q1</v>
      </c>
    </row>
    <row r="1305" customFormat="false" ht="15" hidden="false" customHeight="true" outlineLevel="0" collapsed="false">
      <c r="A1305" s="1" t="s">
        <v>2090</v>
      </c>
      <c r="B1305" s="1" t="s">
        <v>1107</v>
      </c>
      <c r="C1305" s="1" t="s">
        <v>43</v>
      </c>
      <c r="D1305" s="1" t="s">
        <v>53</v>
      </c>
      <c r="E1305" s="1" t="s">
        <v>54</v>
      </c>
      <c r="F1305" s="1" t="s">
        <v>140</v>
      </c>
      <c r="G1305" s="1" t="s">
        <v>97</v>
      </c>
      <c r="H1305" s="1" t="s">
        <v>57</v>
      </c>
      <c r="I1305" s="1" t="s">
        <v>34</v>
      </c>
      <c r="J1305" s="1" t="s">
        <v>35</v>
      </c>
      <c r="K1305" s="1" t="s">
        <v>112</v>
      </c>
      <c r="L1305" s="1" t="s">
        <v>85</v>
      </c>
      <c r="M1305" s="1" t="s">
        <v>38</v>
      </c>
      <c r="N1305" s="1" t="n">
        <v>11999</v>
      </c>
      <c r="O1305" s="1" t="n">
        <v>0</v>
      </c>
      <c r="P1305" s="1" t="n">
        <v>0</v>
      </c>
      <c r="Q1305" s="1" t="n">
        <v>11999</v>
      </c>
      <c r="R1305" s="1" t="n">
        <v>2159.82</v>
      </c>
      <c r="S1305" s="1" t="n">
        <v>9839.18</v>
      </c>
      <c r="T1305" s="1" t="n">
        <v>4252.93</v>
      </c>
      <c r="U1305" s="1" t="n">
        <v>5586.25</v>
      </c>
      <c r="V1305" s="1" t="n">
        <v>56.78</v>
      </c>
      <c r="W1305" s="1" t="s">
        <v>39</v>
      </c>
      <c r="X1305" s="1" t="n">
        <v>3.5</v>
      </c>
      <c r="Y1305" s="1" t="s">
        <v>40</v>
      </c>
      <c r="Z1305" s="1" t="n">
        <v>0</v>
      </c>
      <c r="AA1305" s="1" t="str">
        <f aca="false">TRIM(PROPER(F1305))</f>
        <v>Nashik</v>
      </c>
      <c r="AB1305" s="1" t="str">
        <f aca="false">TRIM(PROPER(C1305))</f>
        <v>Meritnation</v>
      </c>
      <c r="AC1305" s="1" t="str">
        <f aca="false">IF(O1305=0,"No Discount",IF(O1305&lt;=15,"Low (1-15%)",IF(O1305&lt;=30,"Medium (16-30%)","High (&gt;30%)")))</f>
        <v>No Discount</v>
      </c>
      <c r="AD1305" s="1" t="str">
        <f aca="false">IF(V1305&lt;0,"Loss Making",IF(V1305&lt;20,"Low Margin","Healthy Margin"))</f>
        <v>Healthy Margin</v>
      </c>
      <c r="AE1305" s="1" t="str">
        <f aca="false">TEXT(DATE(VALUE(RIGHT(B1305,4)),VALUE(MID(B1305,4,2)),VALUE(LEFT(B1305,2))),"MMM-YYYY")</f>
        <v>Jul-2023</v>
      </c>
      <c r="AF1305" s="1" t="n">
        <f aca="false">VALUE(RIGHT(B1305,4))</f>
        <v>2023</v>
      </c>
      <c r="AG1305" s="1" t="str">
        <f aca="false">CHOOSE(ROUNDUP(VALUE(MID(B1305,4,2))/3,0),"Q1","Q2","Q3","Q4")</f>
        <v>Q3</v>
      </c>
    </row>
    <row r="1306" customFormat="false" ht="15" hidden="false" customHeight="true" outlineLevel="0" collapsed="false">
      <c r="A1306" s="1" t="s">
        <v>2091</v>
      </c>
      <c r="B1306" s="1" t="s">
        <v>1246</v>
      </c>
      <c r="C1306" s="1" t="s">
        <v>178</v>
      </c>
      <c r="D1306" s="1" t="s">
        <v>29</v>
      </c>
      <c r="E1306" s="1" t="s">
        <v>182</v>
      </c>
      <c r="F1306" s="1" t="s">
        <v>55</v>
      </c>
      <c r="G1306" s="1" t="s">
        <v>56</v>
      </c>
      <c r="H1306" s="1" t="s">
        <v>57</v>
      </c>
      <c r="I1306" s="1" t="s">
        <v>83</v>
      </c>
      <c r="J1306" s="1" t="s">
        <v>131</v>
      </c>
      <c r="K1306" s="1" t="s">
        <v>71</v>
      </c>
      <c r="L1306" s="1" t="s">
        <v>85</v>
      </c>
      <c r="M1306" s="1" t="s">
        <v>38</v>
      </c>
      <c r="N1306" s="1" t="n">
        <v>34999</v>
      </c>
      <c r="O1306" s="1" t="n">
        <v>10</v>
      </c>
      <c r="P1306" s="1" t="n">
        <v>3499.9</v>
      </c>
      <c r="Q1306" s="1" t="n">
        <v>31499.1</v>
      </c>
      <c r="R1306" s="1" t="n">
        <v>5669.84</v>
      </c>
      <c r="S1306" s="1" t="n">
        <v>25829.26</v>
      </c>
      <c r="T1306" s="1" t="n">
        <v>10660.93</v>
      </c>
      <c r="U1306" s="1" t="n">
        <v>15168.33</v>
      </c>
      <c r="V1306" s="1" t="n">
        <v>58.73</v>
      </c>
      <c r="W1306" s="1" t="s">
        <v>39</v>
      </c>
      <c r="X1306" s="1" t="n">
        <v>3.4</v>
      </c>
      <c r="Y1306" s="1" t="s">
        <v>40</v>
      </c>
      <c r="Z1306" s="1" t="n">
        <v>0</v>
      </c>
      <c r="AA1306" s="1" t="str">
        <f aca="false">TRIM(PROPER(F1306))</f>
        <v>Ghaziabad</v>
      </c>
      <c r="AB1306" s="1" t="str">
        <f aca="false">TRIM(PROPER(C1306))</f>
        <v>Leverage Edu</v>
      </c>
      <c r="AC1306" s="1" t="str">
        <f aca="false">IF(O1306=0,"No Discount",IF(O1306&lt;=15,"Low (1-15%)",IF(O1306&lt;=30,"Medium (16-30%)","High (&gt;30%)")))</f>
        <v>Low (1-15%)</v>
      </c>
      <c r="AD1306" s="1" t="str">
        <f aca="false">IF(V1306&lt;0,"Loss Making",IF(V1306&lt;20,"Low Margin","Healthy Margin"))</f>
        <v>Healthy Margin</v>
      </c>
      <c r="AE1306" s="1" t="str">
        <f aca="false">TEXT(DATE(VALUE(RIGHT(B1306,4)),VALUE(MID(B1306,4,2)),VALUE(LEFT(B1306,2))),"MMM-YYYY")</f>
        <v>Nov-2024</v>
      </c>
      <c r="AF1306" s="1" t="n">
        <f aca="false">VALUE(RIGHT(B1306,4))</f>
        <v>2024</v>
      </c>
      <c r="AG1306" s="1" t="str">
        <f aca="false">CHOOSE(ROUNDUP(VALUE(MID(B1306,4,2))/3,0),"Q1","Q2","Q3","Q4")</f>
        <v>Q4</v>
      </c>
    </row>
    <row r="1307" customFormat="false" ht="15" hidden="false" customHeight="true" outlineLevel="0" collapsed="false">
      <c r="A1307" s="1" t="s">
        <v>2092</v>
      </c>
      <c r="B1307" s="1" t="s">
        <v>1316</v>
      </c>
      <c r="C1307" s="1" t="s">
        <v>134</v>
      </c>
      <c r="D1307" s="1" t="s">
        <v>168</v>
      </c>
      <c r="E1307" s="1" t="s">
        <v>172</v>
      </c>
      <c r="F1307" s="1" t="s">
        <v>184</v>
      </c>
      <c r="G1307" s="1" t="s">
        <v>56</v>
      </c>
      <c r="H1307" s="1" t="s">
        <v>57</v>
      </c>
      <c r="I1307" s="1" t="s">
        <v>58</v>
      </c>
      <c r="J1307" s="1" t="s">
        <v>131</v>
      </c>
      <c r="K1307" s="1" t="s">
        <v>84</v>
      </c>
      <c r="L1307" s="1" t="s">
        <v>61</v>
      </c>
      <c r="M1307" s="1" t="s">
        <v>50</v>
      </c>
      <c r="N1307" s="1" t="n">
        <v>6999</v>
      </c>
      <c r="O1307" s="1" t="n">
        <v>30</v>
      </c>
      <c r="P1307" s="1" t="n">
        <v>2099.7</v>
      </c>
      <c r="Q1307" s="1" t="n">
        <v>4899.3</v>
      </c>
      <c r="R1307" s="1" t="n">
        <v>881.87</v>
      </c>
      <c r="S1307" s="1" t="n">
        <v>4017.43</v>
      </c>
      <c r="T1307" s="1" t="n">
        <v>1622.19</v>
      </c>
      <c r="U1307" s="1" t="n">
        <v>2395.24</v>
      </c>
      <c r="V1307" s="1" t="n">
        <v>59.62</v>
      </c>
      <c r="W1307" s="1" t="s">
        <v>40</v>
      </c>
      <c r="Y1307" s="1" t="s">
        <v>40</v>
      </c>
      <c r="Z1307" s="1" t="n">
        <v>0</v>
      </c>
      <c r="AA1307" s="1" t="str">
        <f aca="false">TRIM(PROPER(F1307))</f>
        <v>Faridabad</v>
      </c>
      <c r="AB1307" s="1" t="str">
        <f aca="false">TRIM(PROPER(C1307))</f>
        <v>Doubtnut</v>
      </c>
      <c r="AC1307" s="1" t="str">
        <f aca="false">IF(O1307=0,"No Discount",IF(O1307&lt;=15,"Low (1-15%)",IF(O1307&lt;=30,"Medium (16-30%)","High (&gt;30%)")))</f>
        <v>Medium (16-30%)</v>
      </c>
      <c r="AD1307" s="1" t="str">
        <f aca="false">IF(V1307&lt;0,"Loss Making",IF(V1307&lt;20,"Low Margin","Healthy Margin"))</f>
        <v>Healthy Margin</v>
      </c>
      <c r="AE1307" s="1" t="str">
        <f aca="false">TEXT(DATE(VALUE(RIGHT(B1307,4)),VALUE(MID(B1307,4,2)),VALUE(LEFT(B1307,2))),"MMM-YYYY")</f>
        <v>Jun-2023</v>
      </c>
      <c r="AF1307" s="1" t="n">
        <f aca="false">VALUE(RIGHT(B1307,4))</f>
        <v>2023</v>
      </c>
      <c r="AG1307" s="1" t="str">
        <f aca="false">CHOOSE(ROUNDUP(VALUE(MID(B1307,4,2))/3,0),"Q1","Q2","Q3","Q4")</f>
        <v>Q2</v>
      </c>
    </row>
    <row r="1308" customFormat="false" ht="15" hidden="false" customHeight="true" outlineLevel="0" collapsed="false">
      <c r="A1308" s="1" t="s">
        <v>2093</v>
      </c>
      <c r="B1308" s="1" t="s">
        <v>787</v>
      </c>
      <c r="C1308" s="1" t="s">
        <v>88</v>
      </c>
      <c r="D1308" s="1" t="s">
        <v>53</v>
      </c>
      <c r="E1308" s="1" t="s">
        <v>216</v>
      </c>
      <c r="F1308" s="1" t="s">
        <v>102</v>
      </c>
      <c r="G1308" s="1" t="s">
        <v>103</v>
      </c>
      <c r="H1308" s="1" t="s">
        <v>33</v>
      </c>
      <c r="I1308" s="1" t="s">
        <v>83</v>
      </c>
      <c r="J1308" s="1" t="s">
        <v>77</v>
      </c>
      <c r="K1308" s="1" t="s">
        <v>71</v>
      </c>
      <c r="L1308" s="1" t="s">
        <v>37</v>
      </c>
      <c r="M1308" s="1" t="s">
        <v>50</v>
      </c>
      <c r="N1308" s="1" t="n">
        <v>7499</v>
      </c>
      <c r="O1308" s="1" t="n">
        <v>0</v>
      </c>
      <c r="P1308" s="1" t="n">
        <v>0</v>
      </c>
      <c r="Q1308" s="1" t="n">
        <v>7499</v>
      </c>
      <c r="R1308" s="1" t="n">
        <v>1349.82</v>
      </c>
      <c r="S1308" s="1" t="n">
        <v>6149.18</v>
      </c>
      <c r="T1308" s="1" t="n">
        <v>3054.03</v>
      </c>
      <c r="U1308" s="1" t="n">
        <v>3095.15</v>
      </c>
      <c r="V1308" s="1" t="n">
        <v>50.33</v>
      </c>
      <c r="W1308" s="1" t="s">
        <v>39</v>
      </c>
      <c r="X1308" s="1" t="n">
        <v>4.2</v>
      </c>
      <c r="Y1308" s="1" t="s">
        <v>40</v>
      </c>
      <c r="Z1308" s="1" t="n">
        <v>0</v>
      </c>
      <c r="AA1308" s="1" t="str">
        <f aca="false">TRIM(PROPER(F1308))</f>
        <v>Warangal</v>
      </c>
      <c r="AB1308" s="1" t="str">
        <f aca="false">TRIM(PROPER(C1308))</f>
        <v>Byju'S</v>
      </c>
      <c r="AC1308" s="1" t="str">
        <f aca="false">IF(O1308=0,"No Discount",IF(O1308&lt;=15,"Low (1-15%)",IF(O1308&lt;=30,"Medium (16-30%)","High (&gt;30%)")))</f>
        <v>No Discount</v>
      </c>
      <c r="AD1308" s="1" t="str">
        <f aca="false">IF(V1308&lt;0,"Loss Making",IF(V1308&lt;20,"Low Margin","Healthy Margin"))</f>
        <v>Healthy Margin</v>
      </c>
      <c r="AE1308" s="1" t="str">
        <f aca="false">TEXT(DATE(VALUE(RIGHT(B1308,4)),VALUE(MID(B1308,4,2)),VALUE(LEFT(B1308,2))),"MMM-YYYY")</f>
        <v>Feb-2024</v>
      </c>
      <c r="AF1308" s="1" t="n">
        <f aca="false">VALUE(RIGHT(B1308,4))</f>
        <v>2024</v>
      </c>
      <c r="AG1308" s="1" t="str">
        <f aca="false">CHOOSE(ROUNDUP(VALUE(MID(B1308,4,2))/3,0),"Q1","Q2","Q3","Q4")</f>
        <v>Q1</v>
      </c>
    </row>
    <row r="1309" customFormat="false" ht="15" hidden="false" customHeight="true" outlineLevel="0" collapsed="false">
      <c r="A1309" s="1" t="s">
        <v>2094</v>
      </c>
      <c r="B1309" s="1" t="s">
        <v>1585</v>
      </c>
      <c r="C1309" s="1" t="s">
        <v>134</v>
      </c>
      <c r="D1309" s="1" t="s">
        <v>94</v>
      </c>
      <c r="E1309" s="1" t="s">
        <v>101</v>
      </c>
      <c r="F1309" s="1" t="s">
        <v>156</v>
      </c>
      <c r="G1309" s="1" t="s">
        <v>68</v>
      </c>
      <c r="H1309" s="1" t="s">
        <v>57</v>
      </c>
      <c r="I1309" s="1" t="s">
        <v>58</v>
      </c>
      <c r="J1309" s="1" t="s">
        <v>35</v>
      </c>
      <c r="K1309" s="1" t="s">
        <v>90</v>
      </c>
      <c r="L1309" s="1" t="s">
        <v>61</v>
      </c>
      <c r="M1309" s="1" t="s">
        <v>38</v>
      </c>
      <c r="N1309" s="1" t="n">
        <v>14999</v>
      </c>
      <c r="O1309" s="1" t="n">
        <v>0</v>
      </c>
      <c r="P1309" s="1" t="n">
        <v>0</v>
      </c>
      <c r="Q1309" s="1" t="n">
        <v>14999</v>
      </c>
      <c r="R1309" s="1" t="n">
        <v>2699.82</v>
      </c>
      <c r="S1309" s="1" t="n">
        <v>12299.18</v>
      </c>
      <c r="T1309" s="1" t="n">
        <v>5778.38</v>
      </c>
      <c r="U1309" s="1" t="n">
        <v>6520.8</v>
      </c>
      <c r="V1309" s="1" t="n">
        <v>53.02</v>
      </c>
      <c r="W1309" s="1" t="s">
        <v>39</v>
      </c>
      <c r="Y1309" s="1" t="s">
        <v>40</v>
      </c>
      <c r="Z1309" s="1" t="n">
        <v>0</v>
      </c>
      <c r="AA1309" s="1" t="str">
        <f aca="false">TRIM(PROPER(F1309))</f>
        <v>Surat</v>
      </c>
      <c r="AB1309" s="1" t="str">
        <f aca="false">TRIM(PROPER(C1309))</f>
        <v>Doubtnut</v>
      </c>
      <c r="AC1309" s="1" t="str">
        <f aca="false">IF(O1309=0,"No Discount",IF(O1309&lt;=15,"Low (1-15%)",IF(O1309&lt;=30,"Medium (16-30%)","High (&gt;30%)")))</f>
        <v>No Discount</v>
      </c>
      <c r="AD1309" s="1" t="str">
        <f aca="false">IF(V1309&lt;0,"Loss Making",IF(V1309&lt;20,"Low Margin","Healthy Margin"))</f>
        <v>Healthy Margin</v>
      </c>
      <c r="AE1309" s="1" t="str">
        <f aca="false">TEXT(DATE(VALUE(RIGHT(B1309,4)),VALUE(MID(B1309,4,2)),VALUE(LEFT(B1309,2))),"MMM-YYYY")</f>
        <v>May-2024</v>
      </c>
      <c r="AF1309" s="1" t="n">
        <f aca="false">VALUE(RIGHT(B1309,4))</f>
        <v>2024</v>
      </c>
      <c r="AG1309" s="1" t="str">
        <f aca="false">CHOOSE(ROUNDUP(VALUE(MID(B1309,4,2))/3,0),"Q1","Q2","Q3","Q4")</f>
        <v>Q2</v>
      </c>
    </row>
    <row r="1310" customFormat="false" ht="15" hidden="false" customHeight="true" outlineLevel="0" collapsed="false">
      <c r="A1310" s="1" t="s">
        <v>2095</v>
      </c>
      <c r="B1310" s="1" t="s">
        <v>891</v>
      </c>
      <c r="C1310" s="1" t="s">
        <v>167</v>
      </c>
      <c r="D1310" s="1" t="s">
        <v>44</v>
      </c>
      <c r="E1310" s="1" t="s">
        <v>221</v>
      </c>
      <c r="F1310" s="1" t="s">
        <v>102</v>
      </c>
      <c r="G1310" s="1" t="s">
        <v>103</v>
      </c>
      <c r="H1310" s="1" t="s">
        <v>33</v>
      </c>
      <c r="I1310" s="1" t="s">
        <v>58</v>
      </c>
      <c r="J1310" s="1" t="s">
        <v>70</v>
      </c>
      <c r="K1310" s="1" t="s">
        <v>90</v>
      </c>
      <c r="L1310" s="1" t="s">
        <v>113</v>
      </c>
      <c r="M1310" s="1" t="s">
        <v>50</v>
      </c>
      <c r="N1310" s="1" t="n">
        <v>16999</v>
      </c>
      <c r="O1310" s="1" t="n">
        <v>10</v>
      </c>
      <c r="P1310" s="1" t="n">
        <v>1699.9</v>
      </c>
      <c r="Q1310" s="1" t="n">
        <v>15299.1</v>
      </c>
      <c r="R1310" s="1" t="n">
        <v>2753.84</v>
      </c>
      <c r="S1310" s="1" t="n">
        <v>12545.26</v>
      </c>
      <c r="T1310" s="1" t="n">
        <v>5173.74</v>
      </c>
      <c r="U1310" s="1" t="n">
        <v>7371.52</v>
      </c>
      <c r="V1310" s="1" t="n">
        <v>58.76</v>
      </c>
      <c r="W1310" s="1" t="s">
        <v>39</v>
      </c>
      <c r="X1310" s="1" t="n">
        <v>3.6</v>
      </c>
      <c r="Y1310" s="1" t="s">
        <v>40</v>
      </c>
      <c r="Z1310" s="1" t="n">
        <v>1</v>
      </c>
      <c r="AA1310" s="1" t="str">
        <f aca="false">TRIM(PROPER(F1310))</f>
        <v>Warangal</v>
      </c>
      <c r="AB1310" s="1" t="str">
        <f aca="false">TRIM(PROPER(C1310))</f>
        <v>Scaler</v>
      </c>
      <c r="AC1310" s="1" t="str">
        <f aca="false">IF(O1310=0,"No Discount",IF(O1310&lt;=15,"Low (1-15%)",IF(O1310&lt;=30,"Medium (16-30%)","High (&gt;30%)")))</f>
        <v>Low (1-15%)</v>
      </c>
      <c r="AD1310" s="1" t="str">
        <f aca="false">IF(V1310&lt;0,"Loss Making",IF(V1310&lt;20,"Low Margin","Healthy Margin"))</f>
        <v>Healthy Margin</v>
      </c>
      <c r="AE1310" s="1" t="str">
        <f aca="false">TEXT(DATE(VALUE(RIGHT(B1310,4)),VALUE(MID(B1310,4,2)),VALUE(LEFT(B1310,2))),"MMM-YYYY")</f>
        <v>Apr-2024</v>
      </c>
      <c r="AF1310" s="1" t="n">
        <f aca="false">VALUE(RIGHT(B1310,4))</f>
        <v>2024</v>
      </c>
      <c r="AG1310" s="1" t="str">
        <f aca="false">CHOOSE(ROUNDUP(VALUE(MID(B1310,4,2))/3,0),"Q1","Q2","Q3","Q4")</f>
        <v>Q2</v>
      </c>
    </row>
    <row r="1311" customFormat="false" ht="15" hidden="false" customHeight="true" outlineLevel="0" collapsed="false">
      <c r="A1311" s="1" t="s">
        <v>2096</v>
      </c>
      <c r="B1311" s="1" t="s">
        <v>378</v>
      </c>
      <c r="C1311" s="1" t="s">
        <v>249</v>
      </c>
      <c r="D1311" s="1" t="s">
        <v>53</v>
      </c>
      <c r="E1311" s="1" t="s">
        <v>54</v>
      </c>
      <c r="F1311" s="1" t="s">
        <v>205</v>
      </c>
      <c r="G1311" s="1" t="s">
        <v>56</v>
      </c>
      <c r="H1311" s="1" t="s">
        <v>69</v>
      </c>
      <c r="I1311" s="1" t="s">
        <v>58</v>
      </c>
      <c r="J1311" s="1" t="s">
        <v>131</v>
      </c>
      <c r="K1311" s="1" t="s">
        <v>60</v>
      </c>
      <c r="L1311" s="1" t="s">
        <v>61</v>
      </c>
      <c r="M1311" s="1" t="s">
        <v>38</v>
      </c>
      <c r="N1311" s="1" t="n">
        <v>11999</v>
      </c>
      <c r="O1311" s="1" t="n">
        <v>0</v>
      </c>
      <c r="P1311" s="1" t="n">
        <v>0</v>
      </c>
      <c r="Q1311" s="1" t="n">
        <v>11999</v>
      </c>
      <c r="R1311" s="1" t="n">
        <v>2159.82</v>
      </c>
      <c r="S1311" s="1" t="n">
        <v>9839.18</v>
      </c>
      <c r="T1311" s="1" t="n">
        <v>3947.68</v>
      </c>
      <c r="U1311" s="1" t="n">
        <v>5891.5</v>
      </c>
      <c r="V1311" s="1" t="n">
        <v>59.88</v>
      </c>
      <c r="W1311" s="1" t="s">
        <v>40</v>
      </c>
      <c r="Y1311" s="1" t="s">
        <v>40</v>
      </c>
      <c r="Z1311" s="1" t="n">
        <v>1</v>
      </c>
      <c r="AA1311" s="1" t="str">
        <f aca="false">TRIM(PROPER(F1311))</f>
        <v>New Delhi</v>
      </c>
      <c r="AB1311" s="1" t="str">
        <f aca="false">TRIM(PROPER(C1311))</f>
        <v>Whitehat Jr</v>
      </c>
      <c r="AC1311" s="1" t="str">
        <f aca="false">IF(O1311=0,"No Discount",IF(O1311&lt;=15,"Low (1-15%)",IF(O1311&lt;=30,"Medium (16-30%)","High (&gt;30%)")))</f>
        <v>No Discount</v>
      </c>
      <c r="AD1311" s="1" t="str">
        <f aca="false">IF(V1311&lt;0,"Loss Making",IF(V1311&lt;20,"Low Margin","Healthy Margin"))</f>
        <v>Healthy Margin</v>
      </c>
      <c r="AE1311" s="1" t="str">
        <f aca="false">TEXT(DATE(VALUE(RIGHT(B1311,4)),VALUE(MID(B1311,4,2)),VALUE(LEFT(B1311,2))),"MMM-YYYY")</f>
        <v>Oct-2024</v>
      </c>
      <c r="AF1311" s="1" t="n">
        <f aca="false">VALUE(RIGHT(B1311,4))</f>
        <v>2024</v>
      </c>
      <c r="AG1311" s="1" t="str">
        <f aca="false">CHOOSE(ROUNDUP(VALUE(MID(B1311,4,2))/3,0),"Q1","Q2","Q3","Q4")</f>
        <v>Q4</v>
      </c>
    </row>
    <row r="1312" customFormat="false" ht="15" hidden="false" customHeight="true" outlineLevel="0" collapsed="false">
      <c r="A1312" s="1" t="s">
        <v>2097</v>
      </c>
      <c r="B1312" s="1" t="s">
        <v>768</v>
      </c>
      <c r="C1312" s="1" t="s">
        <v>128</v>
      </c>
      <c r="D1312" s="1" t="s">
        <v>123</v>
      </c>
      <c r="E1312" s="1" t="s">
        <v>124</v>
      </c>
      <c r="F1312" s="1" t="s">
        <v>102</v>
      </c>
      <c r="G1312" s="1" t="s">
        <v>103</v>
      </c>
      <c r="H1312" s="1" t="s">
        <v>33</v>
      </c>
      <c r="I1312" s="1" t="s">
        <v>58</v>
      </c>
      <c r="J1312" s="1" t="s">
        <v>59</v>
      </c>
      <c r="K1312" s="1" t="s">
        <v>71</v>
      </c>
      <c r="L1312" s="1" t="s">
        <v>61</v>
      </c>
      <c r="M1312" s="1" t="s">
        <v>38</v>
      </c>
      <c r="N1312" s="1" t="n">
        <v>4999</v>
      </c>
      <c r="O1312" s="1" t="n">
        <v>30</v>
      </c>
      <c r="P1312" s="1" t="n">
        <v>1499.7</v>
      </c>
      <c r="Q1312" s="1" t="n">
        <v>3499.3</v>
      </c>
      <c r="R1312" s="1" t="n">
        <v>629.87</v>
      </c>
      <c r="S1312" s="1" t="n">
        <v>2869.43</v>
      </c>
      <c r="T1312" s="1" t="n">
        <v>1277.37</v>
      </c>
      <c r="U1312" s="1" t="n">
        <v>1592.06</v>
      </c>
      <c r="V1312" s="1" t="n">
        <v>55.48</v>
      </c>
      <c r="W1312" s="1" t="s">
        <v>39</v>
      </c>
      <c r="X1312" s="1" t="n">
        <v>4.3</v>
      </c>
      <c r="Y1312" s="1" t="s">
        <v>40</v>
      </c>
      <c r="Z1312" s="1" t="n">
        <v>1</v>
      </c>
      <c r="AA1312" s="1" t="str">
        <f aca="false">TRIM(PROPER(F1312))</f>
        <v>Warangal</v>
      </c>
      <c r="AB1312" s="1" t="str">
        <f aca="false">TRIM(PROPER(C1312))</f>
        <v>Great Learning</v>
      </c>
      <c r="AC1312" s="1" t="str">
        <f aca="false">IF(O1312=0,"No Discount",IF(O1312&lt;=15,"Low (1-15%)",IF(O1312&lt;=30,"Medium (16-30%)","High (&gt;30%)")))</f>
        <v>Medium (16-30%)</v>
      </c>
      <c r="AD1312" s="1" t="str">
        <f aca="false">IF(V1312&lt;0,"Loss Making",IF(V1312&lt;20,"Low Margin","Healthy Margin"))</f>
        <v>Healthy Margin</v>
      </c>
      <c r="AE1312" s="1" t="str">
        <f aca="false">TEXT(DATE(VALUE(RIGHT(B1312,4)),VALUE(MID(B1312,4,2)),VALUE(LEFT(B1312,2))),"MMM-YYYY")</f>
        <v>Mar-2023</v>
      </c>
      <c r="AF1312" s="1" t="n">
        <f aca="false">VALUE(RIGHT(B1312,4))</f>
        <v>2023</v>
      </c>
      <c r="AG1312" s="1" t="str">
        <f aca="false">CHOOSE(ROUNDUP(VALUE(MID(B1312,4,2))/3,0),"Q1","Q2","Q3","Q4")</f>
        <v>Q1</v>
      </c>
    </row>
    <row r="1313" customFormat="false" ht="15" hidden="false" customHeight="true" outlineLevel="0" collapsed="false">
      <c r="A1313" s="1" t="s">
        <v>2098</v>
      </c>
      <c r="B1313" s="1" t="s">
        <v>180</v>
      </c>
      <c r="C1313" s="1" t="s">
        <v>119</v>
      </c>
      <c r="D1313" s="1" t="s">
        <v>168</v>
      </c>
      <c r="E1313" s="1" t="s">
        <v>169</v>
      </c>
      <c r="F1313" s="1" t="s">
        <v>194</v>
      </c>
      <c r="G1313" s="1" t="s">
        <v>103</v>
      </c>
      <c r="H1313" s="1" t="s">
        <v>69</v>
      </c>
      <c r="I1313" s="1" t="s">
        <v>58</v>
      </c>
      <c r="J1313" s="1" t="s">
        <v>35</v>
      </c>
      <c r="K1313" s="1" t="s">
        <v>48</v>
      </c>
      <c r="L1313" s="1" t="s">
        <v>85</v>
      </c>
      <c r="M1313" s="1" t="s">
        <v>38</v>
      </c>
      <c r="N1313" s="1" t="n">
        <v>4999</v>
      </c>
      <c r="O1313" s="1" t="n">
        <v>50</v>
      </c>
      <c r="P1313" s="1" t="n">
        <v>2499.5</v>
      </c>
      <c r="Q1313" s="1" t="n">
        <v>2499.5</v>
      </c>
      <c r="R1313" s="1" t="n">
        <v>449.91</v>
      </c>
      <c r="S1313" s="1" t="n">
        <v>2049.59</v>
      </c>
      <c r="T1313" s="1" t="n">
        <v>1217.58</v>
      </c>
      <c r="U1313" s="1" t="n">
        <v>832.01</v>
      </c>
      <c r="V1313" s="1" t="n">
        <v>40.59</v>
      </c>
      <c r="W1313" s="1" t="s">
        <v>40</v>
      </c>
      <c r="Y1313" s="1" t="s">
        <v>40</v>
      </c>
      <c r="Z1313" s="1" t="n">
        <v>2</v>
      </c>
      <c r="AA1313" s="1" t="str">
        <f aca="false">TRIM(PROPER(F1313))</f>
        <v>Hyderabad</v>
      </c>
      <c r="AB1313" s="1" t="str">
        <f aca="false">TRIM(PROPER(C1313))</f>
        <v>Simplilearn</v>
      </c>
      <c r="AC1313" s="1" t="str">
        <f aca="false">IF(O1313=0,"No Discount",IF(O1313&lt;=15,"Low (1-15%)",IF(O1313&lt;=30,"Medium (16-30%)","High (&gt;30%)")))</f>
        <v>High (&gt;30%)</v>
      </c>
      <c r="AD1313" s="1" t="str">
        <f aca="false">IF(V1313&lt;0,"Loss Making",IF(V1313&lt;20,"Low Margin","Healthy Margin"))</f>
        <v>Healthy Margin</v>
      </c>
      <c r="AE1313" s="1" t="str">
        <f aca="false">TEXT(DATE(VALUE(RIGHT(B1313,4)),VALUE(MID(B1313,4,2)),VALUE(LEFT(B1313,2))),"MMM-YYYY")</f>
        <v>Apr-2024</v>
      </c>
      <c r="AF1313" s="1" t="n">
        <f aca="false">VALUE(RIGHT(B1313,4))</f>
        <v>2024</v>
      </c>
      <c r="AG1313" s="1" t="str">
        <f aca="false">CHOOSE(ROUNDUP(VALUE(MID(B1313,4,2))/3,0),"Q1","Q2","Q3","Q4")</f>
        <v>Q2</v>
      </c>
    </row>
    <row r="1314" customFormat="false" ht="15" hidden="false" customHeight="true" outlineLevel="0" collapsed="false">
      <c r="A1314" s="1" t="s">
        <v>2099</v>
      </c>
      <c r="B1314" s="1" t="s">
        <v>42</v>
      </c>
      <c r="C1314" s="1" t="s">
        <v>93</v>
      </c>
      <c r="D1314" s="1" t="s">
        <v>53</v>
      </c>
      <c r="E1314" s="1" t="s">
        <v>116</v>
      </c>
      <c r="F1314" s="1" t="s">
        <v>125</v>
      </c>
      <c r="G1314" s="1" t="s">
        <v>108</v>
      </c>
      <c r="H1314" s="1" t="s">
        <v>69</v>
      </c>
      <c r="I1314" s="1" t="s">
        <v>34</v>
      </c>
      <c r="J1314" s="1" t="s">
        <v>77</v>
      </c>
      <c r="K1314" s="1" t="s">
        <v>104</v>
      </c>
      <c r="L1314" s="1" t="s">
        <v>113</v>
      </c>
      <c r="M1314" s="1" t="s">
        <v>38</v>
      </c>
      <c r="N1314" s="1" t="n">
        <v>9999</v>
      </c>
      <c r="O1314" s="1" t="n">
        <v>30</v>
      </c>
      <c r="P1314" s="1" t="n">
        <v>2999.7</v>
      </c>
      <c r="Q1314" s="1" t="n">
        <v>6999.3</v>
      </c>
      <c r="R1314" s="1" t="n">
        <v>1259.87</v>
      </c>
      <c r="S1314" s="1" t="n">
        <v>5739.43</v>
      </c>
      <c r="T1314" s="1" t="n">
        <v>2336.41</v>
      </c>
      <c r="U1314" s="1" t="n">
        <v>3403.02</v>
      </c>
      <c r="V1314" s="1" t="n">
        <v>59.29</v>
      </c>
      <c r="W1314" s="1" t="s">
        <v>40</v>
      </c>
      <c r="Y1314" s="1" t="s">
        <v>40</v>
      </c>
      <c r="Z1314" s="1" t="n">
        <v>0</v>
      </c>
      <c r="AA1314" s="1" t="str">
        <f aca="false">TRIM(PROPER(F1314))</f>
        <v>Chennai</v>
      </c>
      <c r="AB1314" s="1" t="str">
        <f aca="false">TRIM(PROPER(C1314))</f>
        <v>Upgrad</v>
      </c>
      <c r="AC1314" s="1" t="str">
        <f aca="false">IF(O1314=0,"No Discount",IF(O1314&lt;=15,"Low (1-15%)",IF(O1314&lt;=30,"Medium (16-30%)","High (&gt;30%)")))</f>
        <v>Medium (16-30%)</v>
      </c>
      <c r="AD1314" s="1" t="str">
        <f aca="false">IF(V1314&lt;0,"Loss Making",IF(V1314&lt;20,"Low Margin","Healthy Margin"))</f>
        <v>Healthy Margin</v>
      </c>
      <c r="AE1314" s="1" t="str">
        <f aca="false">TEXT(DATE(VALUE(RIGHT(B1314,4)),VALUE(MID(B1314,4,2)),VALUE(LEFT(B1314,2))),"MMM-YYYY")</f>
        <v>Dec-2023</v>
      </c>
      <c r="AF1314" s="1" t="n">
        <f aca="false">VALUE(RIGHT(B1314,4))</f>
        <v>2023</v>
      </c>
      <c r="AG1314" s="1" t="str">
        <f aca="false">CHOOSE(ROUNDUP(VALUE(MID(B1314,4,2))/3,0),"Q1","Q2","Q3","Q4")</f>
        <v>Q4</v>
      </c>
    </row>
    <row r="1315" customFormat="false" ht="15" hidden="false" customHeight="true" outlineLevel="0" collapsed="false">
      <c r="A1315" s="1" t="s">
        <v>2100</v>
      </c>
      <c r="B1315" s="1" t="s">
        <v>555</v>
      </c>
      <c r="C1315" s="1" t="s">
        <v>1811</v>
      </c>
      <c r="D1315" s="1" t="s">
        <v>143</v>
      </c>
      <c r="E1315" s="1" t="s">
        <v>144</v>
      </c>
      <c r="F1315" s="1" t="s">
        <v>82</v>
      </c>
      <c r="G1315" s="1" t="s">
        <v>56</v>
      </c>
      <c r="H1315" s="1" t="s">
        <v>69</v>
      </c>
      <c r="I1315" s="1" t="s">
        <v>58</v>
      </c>
      <c r="J1315" s="1" t="s">
        <v>35</v>
      </c>
      <c r="K1315" s="1" t="s">
        <v>60</v>
      </c>
      <c r="L1315" s="1" t="s">
        <v>113</v>
      </c>
      <c r="M1315" s="1" t="s">
        <v>62</v>
      </c>
      <c r="N1315" s="1" t="n">
        <v>12999</v>
      </c>
      <c r="O1315" s="1" t="n">
        <v>50</v>
      </c>
      <c r="P1315" s="1" t="n">
        <v>6499.5</v>
      </c>
      <c r="Q1315" s="1" t="n">
        <v>6499.5</v>
      </c>
      <c r="R1315" s="1" t="n">
        <v>1169.91</v>
      </c>
      <c r="S1315" s="1" t="n">
        <v>5329.59</v>
      </c>
      <c r="T1315" s="1" t="n">
        <v>2649.12</v>
      </c>
      <c r="U1315" s="1" t="n">
        <v>2680.47</v>
      </c>
      <c r="V1315" s="1" t="n">
        <v>50.29</v>
      </c>
      <c r="W1315" s="1" t="s">
        <v>40</v>
      </c>
      <c r="Y1315" s="1" t="s">
        <v>40</v>
      </c>
      <c r="Z1315" s="1" t="n">
        <v>0</v>
      </c>
      <c r="AA1315" s="1" t="str">
        <f aca="false">TRIM(PROPER(F1315))</f>
        <v>Gurugram</v>
      </c>
      <c r="AB1315" s="1" t="str">
        <f aca="false">TRIM(PROPER(C1315))</f>
        <v>Doubtnut</v>
      </c>
      <c r="AC1315" s="1" t="str">
        <f aca="false">IF(O1315=0,"No Discount",IF(O1315&lt;=15,"Low (1-15%)",IF(O1315&lt;=30,"Medium (16-30%)","High (&gt;30%)")))</f>
        <v>High (&gt;30%)</v>
      </c>
      <c r="AD1315" s="1" t="str">
        <f aca="false">IF(V1315&lt;0,"Loss Making",IF(V1315&lt;20,"Low Margin","Healthy Margin"))</f>
        <v>Healthy Margin</v>
      </c>
      <c r="AE1315" s="1" t="str">
        <f aca="false">TEXT(DATE(VALUE(RIGHT(B1315,4)),VALUE(MID(B1315,4,2)),VALUE(LEFT(B1315,2))),"MMM-YYYY")</f>
        <v>Jun-2023</v>
      </c>
      <c r="AF1315" s="1" t="n">
        <f aca="false">VALUE(RIGHT(B1315,4))</f>
        <v>2023</v>
      </c>
      <c r="AG1315" s="1" t="str">
        <f aca="false">CHOOSE(ROUNDUP(VALUE(MID(B1315,4,2))/3,0),"Q1","Q2","Q3","Q4")</f>
        <v>Q2</v>
      </c>
    </row>
    <row r="1316" customFormat="false" ht="15" hidden="false" customHeight="true" outlineLevel="0" collapsed="false">
      <c r="A1316" s="1" t="s">
        <v>2101</v>
      </c>
      <c r="B1316" s="1" t="s">
        <v>2102</v>
      </c>
      <c r="C1316" s="1" t="s">
        <v>43</v>
      </c>
      <c r="D1316" s="1" t="s">
        <v>29</v>
      </c>
      <c r="E1316" s="1" t="s">
        <v>182</v>
      </c>
      <c r="F1316" s="1" t="s">
        <v>96</v>
      </c>
      <c r="G1316" s="1" t="s">
        <v>97</v>
      </c>
      <c r="H1316" s="1" t="s">
        <v>69</v>
      </c>
      <c r="I1316" s="1" t="s">
        <v>34</v>
      </c>
      <c r="J1316" s="1" t="s">
        <v>131</v>
      </c>
      <c r="K1316" s="1" t="s">
        <v>60</v>
      </c>
      <c r="L1316" s="1" t="s">
        <v>113</v>
      </c>
      <c r="M1316" s="1" t="s">
        <v>38</v>
      </c>
      <c r="N1316" s="1" t="n">
        <v>34999</v>
      </c>
      <c r="O1316" s="1" t="n">
        <v>5</v>
      </c>
      <c r="P1316" s="1" t="n">
        <v>1749.95</v>
      </c>
      <c r="Q1316" s="1" t="n">
        <v>33249.05</v>
      </c>
      <c r="R1316" s="1" t="n">
        <v>5984.83</v>
      </c>
      <c r="S1316" s="1" t="n">
        <v>27264.22</v>
      </c>
      <c r="T1316" s="1" t="n">
        <v>12276.55</v>
      </c>
      <c r="U1316" s="1" t="n">
        <v>14987.67</v>
      </c>
      <c r="V1316" s="1" t="n">
        <v>54.97</v>
      </c>
      <c r="W1316" s="1" t="s">
        <v>39</v>
      </c>
      <c r="Y1316" s="1" t="s">
        <v>40</v>
      </c>
      <c r="Z1316" s="1" t="n">
        <v>0</v>
      </c>
      <c r="AA1316" s="1" t="str">
        <f aca="false">TRIM(PROPER(F1316))</f>
        <v>Pune</v>
      </c>
      <c r="AB1316" s="1" t="str">
        <f aca="false">TRIM(PROPER(C1316))</f>
        <v>Meritnation</v>
      </c>
      <c r="AC1316" s="1" t="str">
        <f aca="false">IF(O1316=0,"No Discount",IF(O1316&lt;=15,"Low (1-15%)",IF(O1316&lt;=30,"Medium (16-30%)","High (&gt;30%)")))</f>
        <v>Low (1-15%)</v>
      </c>
      <c r="AD1316" s="1" t="str">
        <f aca="false">IF(V1316&lt;0,"Loss Making",IF(V1316&lt;20,"Low Margin","Healthy Margin"))</f>
        <v>Healthy Margin</v>
      </c>
      <c r="AE1316" s="1" t="str">
        <f aca="false">TEXT(DATE(VALUE(RIGHT(B1316,4)),VALUE(MID(B1316,4,2)),VALUE(LEFT(B1316,2))),"MMM-YYYY")</f>
        <v>Apr-2023</v>
      </c>
      <c r="AF1316" s="1" t="n">
        <f aca="false">VALUE(RIGHT(B1316,4))</f>
        <v>2023</v>
      </c>
      <c r="AG1316" s="1" t="str">
        <f aca="false">CHOOSE(ROUNDUP(VALUE(MID(B1316,4,2))/3,0),"Q1","Q2","Q3","Q4")</f>
        <v>Q2</v>
      </c>
    </row>
    <row r="1317" customFormat="false" ht="15" hidden="false" customHeight="true" outlineLevel="0" collapsed="false">
      <c r="A1317" s="1" t="s">
        <v>2103</v>
      </c>
      <c r="B1317" s="1" t="s">
        <v>201</v>
      </c>
      <c r="C1317" s="1" t="s">
        <v>74</v>
      </c>
      <c r="D1317" s="1" t="s">
        <v>143</v>
      </c>
      <c r="E1317" s="1" t="s">
        <v>243</v>
      </c>
      <c r="F1317" s="1" t="s">
        <v>244</v>
      </c>
      <c r="G1317" s="1" t="s">
        <v>97</v>
      </c>
      <c r="H1317" s="1" t="s">
        <v>57</v>
      </c>
      <c r="I1317" s="1" t="s">
        <v>58</v>
      </c>
      <c r="J1317" s="1" t="s">
        <v>70</v>
      </c>
      <c r="K1317" s="1" t="s">
        <v>60</v>
      </c>
      <c r="L1317" s="1" t="s">
        <v>85</v>
      </c>
      <c r="M1317" s="1" t="s">
        <v>38</v>
      </c>
      <c r="N1317" s="1" t="n">
        <v>22999</v>
      </c>
      <c r="O1317" s="1" t="n">
        <v>40</v>
      </c>
      <c r="P1317" s="1" t="n">
        <v>9199.6</v>
      </c>
      <c r="Q1317" s="1" t="n">
        <v>13799.4</v>
      </c>
      <c r="R1317" s="1" t="n">
        <v>2483.89</v>
      </c>
      <c r="S1317" s="1" t="n">
        <v>11315.51</v>
      </c>
      <c r="T1317" s="1" t="n">
        <v>7072.62</v>
      </c>
      <c r="U1317" s="1" t="n">
        <v>4242.89</v>
      </c>
      <c r="V1317" s="1" t="n">
        <v>37.5</v>
      </c>
      <c r="W1317" s="1" t="s">
        <v>39</v>
      </c>
      <c r="X1317" s="1" t="n">
        <v>3.5</v>
      </c>
      <c r="Y1317" s="1" t="s">
        <v>40</v>
      </c>
      <c r="Z1317" s="1" t="n">
        <v>0</v>
      </c>
      <c r="AA1317" s="1" t="str">
        <f aca="false">TRIM(PROPER(F1317))</f>
        <v>Nagpur</v>
      </c>
      <c r="AB1317" s="1" t="str">
        <f aca="false">TRIM(PROPER(C1317))</f>
        <v>Vedantu</v>
      </c>
      <c r="AC1317" s="1" t="str">
        <f aca="false">IF(O1317=0,"No Discount",IF(O1317&lt;=15,"Low (1-15%)",IF(O1317&lt;=30,"Medium (16-30%)","High (&gt;30%)")))</f>
        <v>High (&gt;30%)</v>
      </c>
      <c r="AD1317" s="1" t="str">
        <f aca="false">IF(V1317&lt;0,"Loss Making",IF(V1317&lt;20,"Low Margin","Healthy Margin"))</f>
        <v>Healthy Margin</v>
      </c>
      <c r="AE1317" s="1" t="str">
        <f aca="false">TEXT(DATE(VALUE(RIGHT(B1317,4)),VALUE(MID(B1317,4,2)),VALUE(LEFT(B1317,2))),"MMM-YYYY")</f>
        <v>Aug-2024</v>
      </c>
      <c r="AF1317" s="1" t="n">
        <f aca="false">VALUE(RIGHT(B1317,4))</f>
        <v>2024</v>
      </c>
      <c r="AG1317" s="1" t="str">
        <f aca="false">CHOOSE(ROUNDUP(VALUE(MID(B1317,4,2))/3,0),"Q1","Q2","Q3","Q4")</f>
        <v>Q3</v>
      </c>
    </row>
    <row r="1318" customFormat="false" ht="15" hidden="false" customHeight="true" outlineLevel="0" collapsed="false">
      <c r="A1318" s="1" t="s">
        <v>2104</v>
      </c>
      <c r="B1318" s="1" t="s">
        <v>1756</v>
      </c>
      <c r="C1318" s="1" t="s">
        <v>139</v>
      </c>
      <c r="D1318" s="1" t="s">
        <v>143</v>
      </c>
      <c r="E1318" s="1" t="s">
        <v>243</v>
      </c>
      <c r="F1318" s="1" t="s">
        <v>102</v>
      </c>
      <c r="G1318" s="1" t="s">
        <v>103</v>
      </c>
      <c r="H1318" s="1" t="s">
        <v>33</v>
      </c>
      <c r="I1318" s="1" t="s">
        <v>58</v>
      </c>
      <c r="J1318" s="1" t="s">
        <v>35</v>
      </c>
      <c r="K1318" s="1" t="s">
        <v>84</v>
      </c>
      <c r="L1318" s="1" t="s">
        <v>136</v>
      </c>
      <c r="M1318" s="1" t="s">
        <v>50</v>
      </c>
      <c r="N1318" s="1" t="n">
        <v>22999</v>
      </c>
      <c r="O1318" s="1" t="n">
        <v>0</v>
      </c>
      <c r="P1318" s="1" t="n">
        <v>0</v>
      </c>
      <c r="Q1318" s="1" t="n">
        <v>22999</v>
      </c>
      <c r="R1318" s="1" t="n">
        <v>4139.82</v>
      </c>
      <c r="S1318" s="1" t="n">
        <v>18859.18</v>
      </c>
      <c r="T1318" s="1" t="n">
        <v>9301.58</v>
      </c>
      <c r="U1318" s="1" t="n">
        <v>9557.6</v>
      </c>
      <c r="V1318" s="1" t="n">
        <v>50.68</v>
      </c>
      <c r="W1318" s="1" t="s">
        <v>39</v>
      </c>
      <c r="X1318" s="1" t="n">
        <v>3.3</v>
      </c>
      <c r="Y1318" s="1" t="s">
        <v>40</v>
      </c>
      <c r="Z1318" s="1" t="n">
        <v>0</v>
      </c>
      <c r="AA1318" s="1" t="str">
        <f aca="false">TRIM(PROPER(F1318))</f>
        <v>Warangal</v>
      </c>
      <c r="AB1318" s="1" t="str">
        <f aca="false">TRIM(PROPER(C1318))</f>
        <v>Extramarks</v>
      </c>
      <c r="AC1318" s="1" t="str">
        <f aca="false">IF(O1318=0,"No Discount",IF(O1318&lt;=15,"Low (1-15%)",IF(O1318&lt;=30,"Medium (16-30%)","High (&gt;30%)")))</f>
        <v>No Discount</v>
      </c>
      <c r="AD1318" s="1" t="str">
        <f aca="false">IF(V1318&lt;0,"Loss Making",IF(V1318&lt;20,"Low Margin","Healthy Margin"))</f>
        <v>Healthy Margin</v>
      </c>
      <c r="AE1318" s="1" t="str">
        <f aca="false">TEXT(DATE(VALUE(RIGHT(B1318,4)),VALUE(MID(B1318,4,2)),VALUE(LEFT(B1318,2))),"MMM-YYYY")</f>
        <v>Dec-2023</v>
      </c>
      <c r="AF1318" s="1" t="n">
        <f aca="false">VALUE(RIGHT(B1318,4))</f>
        <v>2023</v>
      </c>
      <c r="AG1318" s="1" t="str">
        <f aca="false">CHOOSE(ROUNDUP(VALUE(MID(B1318,4,2))/3,0),"Q1","Q2","Q3","Q4")</f>
        <v>Q4</v>
      </c>
    </row>
    <row r="1319" customFormat="false" ht="15" hidden="false" customHeight="true" outlineLevel="0" collapsed="false">
      <c r="A1319" s="1" t="s">
        <v>2105</v>
      </c>
      <c r="B1319" s="1" t="s">
        <v>406</v>
      </c>
      <c r="C1319" s="1" t="s">
        <v>93</v>
      </c>
      <c r="D1319" s="1" t="s">
        <v>29</v>
      </c>
      <c r="E1319" s="1" t="s">
        <v>129</v>
      </c>
      <c r="F1319" s="1" t="s">
        <v>184</v>
      </c>
      <c r="G1319" s="1" t="s">
        <v>56</v>
      </c>
      <c r="H1319" s="1" t="s">
        <v>57</v>
      </c>
      <c r="I1319" s="1" t="s">
        <v>58</v>
      </c>
      <c r="J1319" s="1" t="s">
        <v>59</v>
      </c>
      <c r="K1319" s="1" t="s">
        <v>60</v>
      </c>
      <c r="L1319" s="1" t="s">
        <v>136</v>
      </c>
      <c r="M1319" s="1" t="s">
        <v>38</v>
      </c>
      <c r="N1319" s="1" t="n">
        <v>29999</v>
      </c>
      <c r="O1319" s="1" t="n">
        <v>15</v>
      </c>
      <c r="P1319" s="1" t="n">
        <v>4499.85</v>
      </c>
      <c r="Q1319" s="1" t="n">
        <v>25499.15</v>
      </c>
      <c r="R1319" s="1" t="n">
        <v>4589.85</v>
      </c>
      <c r="S1319" s="1" t="n">
        <v>20909.3</v>
      </c>
      <c r="T1319" s="1" t="n">
        <v>8492.43</v>
      </c>
      <c r="U1319" s="1" t="n">
        <v>12416.87</v>
      </c>
      <c r="V1319" s="1" t="n">
        <v>59.38</v>
      </c>
      <c r="W1319" s="1" t="s">
        <v>40</v>
      </c>
      <c r="Y1319" s="1" t="s">
        <v>40</v>
      </c>
      <c r="Z1319" s="1" t="n">
        <v>0</v>
      </c>
      <c r="AA1319" s="1" t="str">
        <f aca="false">TRIM(PROPER(F1319))</f>
        <v>Faridabad</v>
      </c>
      <c r="AB1319" s="1" t="str">
        <f aca="false">TRIM(PROPER(C1319))</f>
        <v>Upgrad</v>
      </c>
      <c r="AC1319" s="1" t="str">
        <f aca="false">IF(O1319=0,"No Discount",IF(O1319&lt;=15,"Low (1-15%)",IF(O1319&lt;=30,"Medium (16-30%)","High (&gt;30%)")))</f>
        <v>Low (1-15%)</v>
      </c>
      <c r="AD1319" s="1" t="str">
        <f aca="false">IF(V1319&lt;0,"Loss Making",IF(V1319&lt;20,"Low Margin","Healthy Margin"))</f>
        <v>Healthy Margin</v>
      </c>
      <c r="AE1319" s="1" t="str">
        <f aca="false">TEXT(DATE(VALUE(RIGHT(B1319,4)),VALUE(MID(B1319,4,2)),VALUE(LEFT(B1319,2))),"MMM-YYYY")</f>
        <v>Apr-2023</v>
      </c>
      <c r="AF1319" s="1" t="n">
        <f aca="false">VALUE(RIGHT(B1319,4))</f>
        <v>2023</v>
      </c>
      <c r="AG1319" s="1" t="str">
        <f aca="false">CHOOSE(ROUNDUP(VALUE(MID(B1319,4,2))/3,0),"Q1","Q2","Q3","Q4")</f>
        <v>Q2</v>
      </c>
    </row>
    <row r="1320" customFormat="false" ht="15" hidden="false" customHeight="true" outlineLevel="0" collapsed="false">
      <c r="A1320" s="1" t="s">
        <v>2106</v>
      </c>
      <c r="B1320" s="1" t="s">
        <v>683</v>
      </c>
      <c r="C1320" s="1" t="s">
        <v>65</v>
      </c>
      <c r="D1320" s="1" t="s">
        <v>29</v>
      </c>
      <c r="E1320" s="1" t="s">
        <v>305</v>
      </c>
      <c r="F1320" s="1" t="s">
        <v>89</v>
      </c>
      <c r="G1320" s="1" t="s">
        <v>68</v>
      </c>
      <c r="H1320" s="1" t="s">
        <v>33</v>
      </c>
      <c r="I1320" s="1" t="s">
        <v>83</v>
      </c>
      <c r="J1320" s="1" t="s">
        <v>70</v>
      </c>
      <c r="K1320" s="1" t="s">
        <v>36</v>
      </c>
      <c r="L1320" s="1" t="s">
        <v>113</v>
      </c>
      <c r="M1320" s="1" t="s">
        <v>62</v>
      </c>
      <c r="N1320" s="1" t="n">
        <v>24999</v>
      </c>
      <c r="O1320" s="1" t="n">
        <v>40</v>
      </c>
      <c r="P1320" s="1" t="n">
        <v>9999.6</v>
      </c>
      <c r="Q1320" s="1" t="n">
        <v>14999.4</v>
      </c>
      <c r="R1320" s="1" t="n">
        <v>2699.89</v>
      </c>
      <c r="S1320" s="1" t="n">
        <v>12299.51</v>
      </c>
      <c r="T1320" s="1" t="n">
        <v>6058.64</v>
      </c>
      <c r="U1320" s="1" t="n">
        <v>6240.87</v>
      </c>
      <c r="V1320" s="1" t="n">
        <v>50.74</v>
      </c>
      <c r="W1320" s="1" t="s">
        <v>39</v>
      </c>
      <c r="X1320" s="1" t="n">
        <v>3.7</v>
      </c>
      <c r="Y1320" s="1" t="s">
        <v>40</v>
      </c>
      <c r="Z1320" s="1" t="n">
        <v>0</v>
      </c>
      <c r="AA1320" s="1" t="str">
        <f aca="false">TRIM(PROPER(F1320))</f>
        <v>Vadodara</v>
      </c>
      <c r="AB1320" s="1" t="str">
        <f aca="false">TRIM(PROPER(C1320))</f>
        <v>Toppr</v>
      </c>
      <c r="AC1320" s="1" t="str">
        <f aca="false">IF(O1320=0,"No Discount",IF(O1320&lt;=15,"Low (1-15%)",IF(O1320&lt;=30,"Medium (16-30%)","High (&gt;30%)")))</f>
        <v>High (&gt;30%)</v>
      </c>
      <c r="AD1320" s="1" t="str">
        <f aca="false">IF(V1320&lt;0,"Loss Making",IF(V1320&lt;20,"Low Margin","Healthy Margin"))</f>
        <v>Healthy Margin</v>
      </c>
      <c r="AE1320" s="1" t="str">
        <f aca="false">TEXT(DATE(VALUE(RIGHT(B1320,4)),VALUE(MID(B1320,4,2)),VALUE(LEFT(B1320,2))),"MMM-YYYY")</f>
        <v>Oct-2023</v>
      </c>
      <c r="AF1320" s="1" t="n">
        <f aca="false">VALUE(RIGHT(B1320,4))</f>
        <v>2023</v>
      </c>
      <c r="AG1320" s="1" t="str">
        <f aca="false">CHOOSE(ROUNDUP(VALUE(MID(B1320,4,2))/3,0),"Q1","Q2","Q3","Q4")</f>
        <v>Q4</v>
      </c>
    </row>
    <row r="1321" customFormat="false" ht="15" hidden="false" customHeight="true" outlineLevel="0" collapsed="false">
      <c r="A1321" s="1" t="s">
        <v>2107</v>
      </c>
      <c r="B1321" s="1" t="s">
        <v>1773</v>
      </c>
      <c r="C1321" s="1" t="s">
        <v>119</v>
      </c>
      <c r="D1321" s="1" t="s">
        <v>168</v>
      </c>
      <c r="E1321" s="1" t="s">
        <v>169</v>
      </c>
      <c r="F1321" s="1" t="s">
        <v>55</v>
      </c>
      <c r="G1321" s="1" t="s">
        <v>56</v>
      </c>
      <c r="H1321" s="1" t="s">
        <v>57</v>
      </c>
      <c r="I1321" s="1" t="s">
        <v>83</v>
      </c>
      <c r="J1321" s="1" t="s">
        <v>59</v>
      </c>
      <c r="K1321" s="1" t="s">
        <v>112</v>
      </c>
      <c r="L1321" s="1" t="s">
        <v>49</v>
      </c>
      <c r="M1321" s="1" t="s">
        <v>38</v>
      </c>
      <c r="N1321" s="1" t="n">
        <v>4999</v>
      </c>
      <c r="O1321" s="1" t="n">
        <v>0</v>
      </c>
      <c r="P1321" s="1" t="n">
        <v>0</v>
      </c>
      <c r="Q1321" s="1" t="n">
        <v>4999</v>
      </c>
      <c r="R1321" s="1" t="n">
        <v>899.82</v>
      </c>
      <c r="S1321" s="1" t="n">
        <v>4099.18</v>
      </c>
      <c r="T1321" s="1" t="n">
        <v>2107.42</v>
      </c>
      <c r="U1321" s="1" t="n">
        <v>1991.76</v>
      </c>
      <c r="V1321" s="1" t="n">
        <v>48.59</v>
      </c>
      <c r="W1321" s="1" t="s">
        <v>40</v>
      </c>
      <c r="Y1321" s="1" t="s">
        <v>40</v>
      </c>
      <c r="Z1321" s="1" t="n">
        <v>0</v>
      </c>
      <c r="AA1321" s="1" t="str">
        <f aca="false">TRIM(PROPER(F1321))</f>
        <v>Ghaziabad</v>
      </c>
      <c r="AB1321" s="1" t="str">
        <f aca="false">TRIM(PROPER(C1321))</f>
        <v>Simplilearn</v>
      </c>
      <c r="AC1321" s="1" t="str">
        <f aca="false">IF(O1321=0,"No Discount",IF(O1321&lt;=15,"Low (1-15%)",IF(O1321&lt;=30,"Medium (16-30%)","High (&gt;30%)")))</f>
        <v>No Discount</v>
      </c>
      <c r="AD1321" s="1" t="str">
        <f aca="false">IF(V1321&lt;0,"Loss Making",IF(V1321&lt;20,"Low Margin","Healthy Margin"))</f>
        <v>Healthy Margin</v>
      </c>
      <c r="AE1321" s="1" t="str">
        <f aca="false">TEXT(DATE(VALUE(RIGHT(B1321,4)),VALUE(MID(B1321,4,2)),VALUE(LEFT(B1321,2))),"MMM-YYYY")</f>
        <v>Aug-2024</v>
      </c>
      <c r="AF1321" s="1" t="n">
        <f aca="false">VALUE(RIGHT(B1321,4))</f>
        <v>2024</v>
      </c>
      <c r="AG1321" s="1" t="str">
        <f aca="false">CHOOSE(ROUNDUP(VALUE(MID(B1321,4,2))/3,0),"Q1","Q2","Q3","Q4")</f>
        <v>Q3</v>
      </c>
    </row>
    <row r="1322" customFormat="false" ht="15" hidden="false" customHeight="true" outlineLevel="0" collapsed="false">
      <c r="A1322" s="1" t="s">
        <v>2108</v>
      </c>
      <c r="B1322" s="1" t="s">
        <v>1369</v>
      </c>
      <c r="C1322" s="1" t="s">
        <v>43</v>
      </c>
      <c r="D1322" s="1" t="s">
        <v>80</v>
      </c>
      <c r="E1322" s="1" t="s">
        <v>81</v>
      </c>
      <c r="F1322" s="1" t="s">
        <v>46</v>
      </c>
      <c r="G1322" s="1" t="s">
        <v>47</v>
      </c>
      <c r="H1322" s="1" t="s">
        <v>33</v>
      </c>
      <c r="I1322" s="1" t="s">
        <v>58</v>
      </c>
      <c r="J1322" s="1" t="s">
        <v>77</v>
      </c>
      <c r="K1322" s="1" t="s">
        <v>104</v>
      </c>
      <c r="L1322" s="1" t="s">
        <v>85</v>
      </c>
      <c r="M1322" s="1" t="s">
        <v>62</v>
      </c>
      <c r="N1322" s="1" t="n">
        <v>12999</v>
      </c>
      <c r="O1322" s="1" t="n">
        <v>50</v>
      </c>
      <c r="P1322" s="1" t="n">
        <v>6499.5</v>
      </c>
      <c r="Q1322" s="1" t="n">
        <v>6499.5</v>
      </c>
      <c r="R1322" s="1" t="n">
        <v>1169.91</v>
      </c>
      <c r="S1322" s="1" t="n">
        <v>5329.59</v>
      </c>
      <c r="T1322" s="1" t="n">
        <v>3056.68</v>
      </c>
      <c r="U1322" s="1" t="n">
        <v>2272.91</v>
      </c>
      <c r="V1322" s="1" t="n">
        <v>42.65</v>
      </c>
      <c r="W1322" s="1" t="s">
        <v>39</v>
      </c>
      <c r="X1322" s="1" t="n">
        <v>4</v>
      </c>
      <c r="Y1322" s="1" t="s">
        <v>40</v>
      </c>
      <c r="Z1322" s="1" t="n">
        <v>0</v>
      </c>
      <c r="AA1322" s="1" t="str">
        <f aca="false">TRIM(PROPER(F1322))</f>
        <v>Mangaluru</v>
      </c>
      <c r="AB1322" s="1" t="str">
        <f aca="false">TRIM(PROPER(C1322))</f>
        <v>Meritnation</v>
      </c>
      <c r="AC1322" s="1" t="str">
        <f aca="false">IF(O1322=0,"No Discount",IF(O1322&lt;=15,"Low (1-15%)",IF(O1322&lt;=30,"Medium (16-30%)","High (&gt;30%)")))</f>
        <v>High (&gt;30%)</v>
      </c>
      <c r="AD1322" s="1" t="str">
        <f aca="false">IF(V1322&lt;0,"Loss Making",IF(V1322&lt;20,"Low Margin","Healthy Margin"))</f>
        <v>Healthy Margin</v>
      </c>
      <c r="AE1322" s="1" t="str">
        <f aca="false">TEXT(DATE(VALUE(RIGHT(B1322,4)),VALUE(MID(B1322,4,2)),VALUE(LEFT(B1322,2))),"MMM-YYYY")</f>
        <v>Oct-2023</v>
      </c>
      <c r="AF1322" s="1" t="n">
        <f aca="false">VALUE(RIGHT(B1322,4))</f>
        <v>2023</v>
      </c>
      <c r="AG1322" s="1" t="str">
        <f aca="false">CHOOSE(ROUNDUP(VALUE(MID(B1322,4,2))/3,0),"Q1","Q2","Q3","Q4")</f>
        <v>Q4</v>
      </c>
    </row>
    <row r="1323" customFormat="false" ht="15" hidden="false" customHeight="true" outlineLevel="0" collapsed="false">
      <c r="A1323" s="1" t="s">
        <v>2109</v>
      </c>
      <c r="B1323" s="1" t="s">
        <v>2110</v>
      </c>
      <c r="C1323" s="1" t="s">
        <v>249</v>
      </c>
      <c r="D1323" s="1" t="s">
        <v>44</v>
      </c>
      <c r="E1323" s="1" t="s">
        <v>66</v>
      </c>
      <c r="F1323" s="1" t="s">
        <v>31</v>
      </c>
      <c r="G1323" s="1" t="s">
        <v>32</v>
      </c>
      <c r="H1323" s="1" t="s">
        <v>33</v>
      </c>
      <c r="I1323" s="1" t="s">
        <v>83</v>
      </c>
      <c r="J1323" s="1" t="s">
        <v>35</v>
      </c>
      <c r="K1323" s="1" t="s">
        <v>71</v>
      </c>
      <c r="L1323" s="1" t="s">
        <v>113</v>
      </c>
      <c r="M1323" s="1" t="s">
        <v>38</v>
      </c>
      <c r="N1323" s="1" t="n">
        <v>12999</v>
      </c>
      <c r="O1323" s="1" t="n">
        <v>5</v>
      </c>
      <c r="P1323" s="1" t="n">
        <v>649.95</v>
      </c>
      <c r="Q1323" s="1" t="n">
        <v>12349.05</v>
      </c>
      <c r="R1323" s="1" t="n">
        <v>2222.83</v>
      </c>
      <c r="S1323" s="1" t="n">
        <v>10126.22</v>
      </c>
      <c r="T1323" s="1" t="n">
        <v>3718.67</v>
      </c>
      <c r="U1323" s="1" t="n">
        <v>6407.55</v>
      </c>
      <c r="V1323" s="1" t="n">
        <v>63.28</v>
      </c>
      <c r="W1323" s="1" t="s">
        <v>39</v>
      </c>
      <c r="X1323" s="1" t="n">
        <v>3.7</v>
      </c>
      <c r="Y1323" s="1" t="s">
        <v>40</v>
      </c>
      <c r="Z1323" s="1" t="n">
        <v>0</v>
      </c>
      <c r="AA1323" s="1" t="str">
        <f aca="false">TRIM(PROPER(F1323))</f>
        <v>Jodhpur</v>
      </c>
      <c r="AB1323" s="1" t="str">
        <f aca="false">TRIM(PROPER(C1323))</f>
        <v>Whitehat Jr</v>
      </c>
      <c r="AC1323" s="1" t="str">
        <f aca="false">IF(O1323=0,"No Discount",IF(O1323&lt;=15,"Low (1-15%)",IF(O1323&lt;=30,"Medium (16-30%)","High (&gt;30%)")))</f>
        <v>Low (1-15%)</v>
      </c>
      <c r="AD1323" s="1" t="str">
        <f aca="false">IF(V1323&lt;0,"Loss Making",IF(V1323&lt;20,"Low Margin","Healthy Margin"))</f>
        <v>Healthy Margin</v>
      </c>
      <c r="AE1323" s="1" t="str">
        <f aca="false">TEXT(DATE(VALUE(RIGHT(B1323,4)),VALUE(MID(B1323,4,2)),VALUE(LEFT(B1323,2))),"MMM-YYYY")</f>
        <v>Nov-2024</v>
      </c>
      <c r="AF1323" s="1" t="n">
        <f aca="false">VALUE(RIGHT(B1323,4))</f>
        <v>2024</v>
      </c>
      <c r="AG1323" s="1" t="str">
        <f aca="false">CHOOSE(ROUNDUP(VALUE(MID(B1323,4,2))/3,0),"Q1","Q2","Q3","Q4")</f>
        <v>Q4</v>
      </c>
    </row>
    <row r="1324" customFormat="false" ht="15" hidden="false" customHeight="true" outlineLevel="0" collapsed="false">
      <c r="A1324" s="1" t="s">
        <v>2111</v>
      </c>
      <c r="B1324" s="1" t="s">
        <v>913</v>
      </c>
      <c r="C1324" s="1" t="s">
        <v>100</v>
      </c>
      <c r="D1324" s="1" t="s">
        <v>53</v>
      </c>
      <c r="E1324" s="1" t="s">
        <v>116</v>
      </c>
      <c r="F1324" s="1" t="s">
        <v>194</v>
      </c>
      <c r="G1324" s="1" t="s">
        <v>103</v>
      </c>
      <c r="H1324" s="1" t="s">
        <v>69</v>
      </c>
      <c r="I1324" s="1" t="s">
        <v>83</v>
      </c>
      <c r="J1324" s="1" t="s">
        <v>35</v>
      </c>
      <c r="K1324" s="1" t="s">
        <v>60</v>
      </c>
      <c r="L1324" s="1" t="s">
        <v>49</v>
      </c>
      <c r="M1324" s="1" t="s">
        <v>38</v>
      </c>
      <c r="N1324" s="1" t="n">
        <v>9999</v>
      </c>
      <c r="O1324" s="1" t="n">
        <v>50</v>
      </c>
      <c r="P1324" s="1" t="n">
        <v>4999.5</v>
      </c>
      <c r="Q1324" s="1" t="n">
        <v>4999.5</v>
      </c>
      <c r="R1324" s="1" t="n">
        <v>899.91</v>
      </c>
      <c r="S1324" s="1" t="n">
        <v>4099.59</v>
      </c>
      <c r="T1324" s="1" t="n">
        <v>2118.78</v>
      </c>
      <c r="U1324" s="1" t="n">
        <v>1980.81</v>
      </c>
      <c r="V1324" s="1" t="n">
        <v>48.32</v>
      </c>
      <c r="W1324" s="1" t="s">
        <v>39</v>
      </c>
      <c r="Y1324" s="1" t="s">
        <v>40</v>
      </c>
      <c r="Z1324" s="1" t="n">
        <v>0</v>
      </c>
      <c r="AA1324" s="1" t="str">
        <f aca="false">TRIM(PROPER(F1324))</f>
        <v>Hyderabad</v>
      </c>
      <c r="AB1324" s="1" t="str">
        <f aca="false">TRIM(PROPER(C1324))</f>
        <v>Physics Wallah</v>
      </c>
      <c r="AC1324" s="1" t="str">
        <f aca="false">IF(O1324=0,"No Discount",IF(O1324&lt;=15,"Low (1-15%)",IF(O1324&lt;=30,"Medium (16-30%)","High (&gt;30%)")))</f>
        <v>High (&gt;30%)</v>
      </c>
      <c r="AD1324" s="1" t="str">
        <f aca="false">IF(V1324&lt;0,"Loss Making",IF(V1324&lt;20,"Low Margin","Healthy Margin"))</f>
        <v>Healthy Margin</v>
      </c>
      <c r="AE1324" s="1" t="str">
        <f aca="false">TEXT(DATE(VALUE(RIGHT(B1324,4)),VALUE(MID(B1324,4,2)),VALUE(LEFT(B1324,2))),"MMM-YYYY")</f>
        <v>Jan-2023</v>
      </c>
      <c r="AF1324" s="1" t="n">
        <f aca="false">VALUE(RIGHT(B1324,4))</f>
        <v>2023</v>
      </c>
      <c r="AG1324" s="1" t="str">
        <f aca="false">CHOOSE(ROUNDUP(VALUE(MID(B1324,4,2))/3,0),"Q1","Q2","Q3","Q4")</f>
        <v>Q1</v>
      </c>
    </row>
    <row r="1325" customFormat="false" ht="15" hidden="false" customHeight="true" outlineLevel="0" collapsed="false">
      <c r="A1325" s="1" t="s">
        <v>2112</v>
      </c>
      <c r="B1325" s="1" t="s">
        <v>785</v>
      </c>
      <c r="C1325" s="1" t="s">
        <v>100</v>
      </c>
      <c r="D1325" s="1" t="s">
        <v>29</v>
      </c>
      <c r="E1325" s="1" t="s">
        <v>305</v>
      </c>
      <c r="F1325" s="1" t="s">
        <v>150</v>
      </c>
      <c r="G1325" s="1" t="s">
        <v>32</v>
      </c>
      <c r="H1325" s="1" t="s">
        <v>57</v>
      </c>
      <c r="I1325" s="1" t="s">
        <v>34</v>
      </c>
      <c r="J1325" s="1" t="s">
        <v>59</v>
      </c>
      <c r="K1325" s="1" t="s">
        <v>112</v>
      </c>
      <c r="L1325" s="1" t="s">
        <v>37</v>
      </c>
      <c r="M1325" s="1" t="s">
        <v>50</v>
      </c>
      <c r="N1325" s="1" t="n">
        <v>24999</v>
      </c>
      <c r="O1325" s="1" t="n">
        <v>10</v>
      </c>
      <c r="P1325" s="1" t="n">
        <v>2499.9</v>
      </c>
      <c r="Q1325" s="1" t="n">
        <v>22499.1</v>
      </c>
      <c r="R1325" s="1" t="n">
        <v>4049.84</v>
      </c>
      <c r="S1325" s="1" t="n">
        <v>18449.26</v>
      </c>
      <c r="T1325" s="1" t="n">
        <v>5862.66</v>
      </c>
      <c r="U1325" s="1" t="n">
        <v>12586.6</v>
      </c>
      <c r="V1325" s="1" t="n">
        <v>68.22</v>
      </c>
      <c r="W1325" s="1" t="s">
        <v>39</v>
      </c>
      <c r="Y1325" s="1" t="s">
        <v>40</v>
      </c>
      <c r="Z1325" s="1" t="n">
        <v>0</v>
      </c>
      <c r="AA1325" s="1" t="str">
        <f aca="false">TRIM(PROPER(F1325))</f>
        <v>Jaipur</v>
      </c>
      <c r="AB1325" s="1" t="str">
        <f aca="false">TRIM(PROPER(C1325))</f>
        <v>Physics Wallah</v>
      </c>
      <c r="AC1325" s="1" t="str">
        <f aca="false">IF(O1325=0,"No Discount",IF(O1325&lt;=15,"Low (1-15%)",IF(O1325&lt;=30,"Medium (16-30%)","High (&gt;30%)")))</f>
        <v>Low (1-15%)</v>
      </c>
      <c r="AD1325" s="1" t="str">
        <f aca="false">IF(V1325&lt;0,"Loss Making",IF(V1325&lt;20,"Low Margin","Healthy Margin"))</f>
        <v>Healthy Margin</v>
      </c>
      <c r="AE1325" s="1" t="str">
        <f aca="false">TEXT(DATE(VALUE(RIGHT(B1325,4)),VALUE(MID(B1325,4,2)),VALUE(LEFT(B1325,2))),"MMM-YYYY")</f>
        <v>Aug-2024</v>
      </c>
      <c r="AF1325" s="1" t="n">
        <f aca="false">VALUE(RIGHT(B1325,4))</f>
        <v>2024</v>
      </c>
      <c r="AG1325" s="1" t="str">
        <f aca="false">CHOOSE(ROUNDUP(VALUE(MID(B1325,4,2))/3,0),"Q1","Q2","Q3","Q4")</f>
        <v>Q3</v>
      </c>
    </row>
    <row r="1326" customFormat="false" ht="15" hidden="false" customHeight="true" outlineLevel="0" collapsed="false">
      <c r="A1326" s="1" t="s">
        <v>2113</v>
      </c>
      <c r="B1326" s="1" t="s">
        <v>1576</v>
      </c>
      <c r="C1326" s="1" t="s">
        <v>88</v>
      </c>
      <c r="D1326" s="1" t="s">
        <v>143</v>
      </c>
      <c r="E1326" s="1" t="s">
        <v>144</v>
      </c>
      <c r="F1326" s="1" t="s">
        <v>130</v>
      </c>
      <c r="G1326" s="1" t="s">
        <v>47</v>
      </c>
      <c r="H1326" s="1" t="s">
        <v>69</v>
      </c>
      <c r="I1326" s="1" t="s">
        <v>58</v>
      </c>
      <c r="J1326" s="1" t="s">
        <v>70</v>
      </c>
      <c r="K1326" s="1" t="s">
        <v>104</v>
      </c>
      <c r="L1326" s="1" t="s">
        <v>85</v>
      </c>
      <c r="M1326" s="1" t="s">
        <v>50</v>
      </c>
      <c r="N1326" s="1" t="n">
        <v>12999</v>
      </c>
      <c r="O1326" s="1" t="n">
        <v>30</v>
      </c>
      <c r="P1326" s="1" t="n">
        <v>3899.7</v>
      </c>
      <c r="Q1326" s="1" t="n">
        <v>9099.3</v>
      </c>
      <c r="R1326" s="1" t="n">
        <v>1637.87</v>
      </c>
      <c r="S1326" s="1" t="n">
        <v>7461.43</v>
      </c>
      <c r="T1326" s="1" t="n">
        <v>3717.55</v>
      </c>
      <c r="U1326" s="1" t="n">
        <v>3743.88</v>
      </c>
      <c r="V1326" s="1" t="n">
        <v>50.18</v>
      </c>
      <c r="W1326" s="1" t="s">
        <v>39</v>
      </c>
      <c r="X1326" s="1" t="n">
        <v>3.4</v>
      </c>
      <c r="Y1326" s="1" t="s">
        <v>40</v>
      </c>
      <c r="Z1326" s="1" t="n">
        <v>2</v>
      </c>
      <c r="AA1326" s="1" t="str">
        <f aca="false">TRIM(PROPER(F1326))</f>
        <v>Bengaluru</v>
      </c>
      <c r="AB1326" s="1" t="str">
        <f aca="false">TRIM(PROPER(C1326))</f>
        <v>Byju'S</v>
      </c>
      <c r="AC1326" s="1" t="str">
        <f aca="false">IF(O1326=0,"No Discount",IF(O1326&lt;=15,"Low (1-15%)",IF(O1326&lt;=30,"Medium (16-30%)","High (&gt;30%)")))</f>
        <v>Medium (16-30%)</v>
      </c>
      <c r="AD1326" s="1" t="str">
        <f aca="false">IF(V1326&lt;0,"Loss Making",IF(V1326&lt;20,"Low Margin","Healthy Margin"))</f>
        <v>Healthy Margin</v>
      </c>
      <c r="AE1326" s="1" t="str">
        <f aca="false">TEXT(DATE(VALUE(RIGHT(B1326,4)),VALUE(MID(B1326,4,2)),VALUE(LEFT(B1326,2))),"MMM-YYYY")</f>
        <v>Jan-2024</v>
      </c>
      <c r="AF1326" s="1" t="n">
        <f aca="false">VALUE(RIGHT(B1326,4))</f>
        <v>2024</v>
      </c>
      <c r="AG1326" s="1" t="str">
        <f aca="false">CHOOSE(ROUNDUP(VALUE(MID(B1326,4,2))/3,0),"Q1","Q2","Q3","Q4")</f>
        <v>Q1</v>
      </c>
    </row>
    <row r="1327" customFormat="false" ht="15" hidden="false" customHeight="true" outlineLevel="0" collapsed="false">
      <c r="A1327" s="1" t="s">
        <v>2114</v>
      </c>
      <c r="B1327" s="1" t="s">
        <v>376</v>
      </c>
      <c r="C1327" s="1" t="s">
        <v>74</v>
      </c>
      <c r="D1327" s="1" t="s">
        <v>168</v>
      </c>
      <c r="E1327" s="1" t="s">
        <v>172</v>
      </c>
      <c r="F1327" s="1" t="s">
        <v>75</v>
      </c>
      <c r="G1327" s="1" t="s">
        <v>76</v>
      </c>
      <c r="H1327" s="1" t="s">
        <v>69</v>
      </c>
      <c r="I1327" s="1" t="s">
        <v>83</v>
      </c>
      <c r="J1327" s="1" t="s">
        <v>77</v>
      </c>
      <c r="K1327" s="1" t="s">
        <v>104</v>
      </c>
      <c r="L1327" s="1" t="s">
        <v>61</v>
      </c>
      <c r="M1327" s="1" t="s">
        <v>38</v>
      </c>
      <c r="N1327" s="1" t="n">
        <v>6999</v>
      </c>
      <c r="O1327" s="1" t="n">
        <v>30</v>
      </c>
      <c r="P1327" s="1" t="n">
        <v>2099.7</v>
      </c>
      <c r="Q1327" s="1" t="n">
        <v>4899.3</v>
      </c>
      <c r="R1327" s="1" t="n">
        <v>881.87</v>
      </c>
      <c r="S1327" s="1" t="n">
        <v>4017.43</v>
      </c>
      <c r="T1327" s="1" t="n">
        <v>1584.18</v>
      </c>
      <c r="U1327" s="1" t="n">
        <v>2433.25</v>
      </c>
      <c r="V1327" s="1" t="n">
        <v>60.57</v>
      </c>
      <c r="W1327" s="1" t="s">
        <v>39</v>
      </c>
      <c r="X1327" s="1" t="n">
        <v>4.3</v>
      </c>
      <c r="Y1327" s="1" t="s">
        <v>40</v>
      </c>
      <c r="Z1327" s="1" t="n">
        <v>1</v>
      </c>
      <c r="AA1327" s="1" t="str">
        <f aca="false">TRIM(PROPER(F1327))</f>
        <v>Kolkata</v>
      </c>
      <c r="AB1327" s="1" t="str">
        <f aca="false">TRIM(PROPER(C1327))</f>
        <v>Vedantu</v>
      </c>
      <c r="AC1327" s="1" t="str">
        <f aca="false">IF(O1327=0,"No Discount",IF(O1327&lt;=15,"Low (1-15%)",IF(O1327&lt;=30,"Medium (16-30%)","High (&gt;30%)")))</f>
        <v>Medium (16-30%)</v>
      </c>
      <c r="AD1327" s="1" t="str">
        <f aca="false">IF(V1327&lt;0,"Loss Making",IF(V1327&lt;20,"Low Margin","Healthy Margin"))</f>
        <v>Healthy Margin</v>
      </c>
      <c r="AE1327" s="1" t="str">
        <f aca="false">TEXT(DATE(VALUE(RIGHT(B1327,4)),VALUE(MID(B1327,4,2)),VALUE(LEFT(B1327,2))),"MMM-YYYY")</f>
        <v>Apr-2024</v>
      </c>
      <c r="AF1327" s="1" t="n">
        <f aca="false">VALUE(RIGHT(B1327,4))</f>
        <v>2024</v>
      </c>
      <c r="AG1327" s="1" t="str">
        <f aca="false">CHOOSE(ROUNDUP(VALUE(MID(B1327,4,2))/3,0),"Q1","Q2","Q3","Q4")</f>
        <v>Q2</v>
      </c>
    </row>
    <row r="1328" customFormat="false" ht="15" hidden="false" customHeight="true" outlineLevel="0" collapsed="false">
      <c r="A1328" s="1" t="s">
        <v>2115</v>
      </c>
      <c r="B1328" s="1" t="s">
        <v>1515</v>
      </c>
      <c r="C1328" s="1" t="s">
        <v>264</v>
      </c>
      <c r="D1328" s="1" t="s">
        <v>29</v>
      </c>
      <c r="E1328" s="1" t="s">
        <v>182</v>
      </c>
      <c r="F1328" s="1" t="s">
        <v>187</v>
      </c>
      <c r="G1328" s="1" t="s">
        <v>97</v>
      </c>
      <c r="H1328" s="1" t="s">
        <v>69</v>
      </c>
      <c r="I1328" s="1" t="s">
        <v>34</v>
      </c>
      <c r="J1328" s="1" t="s">
        <v>59</v>
      </c>
      <c r="K1328" s="1" t="s">
        <v>104</v>
      </c>
      <c r="L1328" s="1" t="s">
        <v>136</v>
      </c>
      <c r="M1328" s="1" t="s">
        <v>62</v>
      </c>
      <c r="N1328" s="1" t="n">
        <v>34999</v>
      </c>
      <c r="O1328" s="1" t="n">
        <v>15</v>
      </c>
      <c r="P1328" s="1" t="n">
        <v>5249.85</v>
      </c>
      <c r="Q1328" s="1" t="n">
        <v>29749.15</v>
      </c>
      <c r="R1328" s="1" t="n">
        <v>5354.85</v>
      </c>
      <c r="S1328" s="1" t="n">
        <v>24394.3</v>
      </c>
      <c r="T1328" s="1" t="n">
        <v>9318.87</v>
      </c>
      <c r="U1328" s="1" t="n">
        <v>15075.43</v>
      </c>
      <c r="V1328" s="1" t="n">
        <v>61.8</v>
      </c>
      <c r="W1328" s="1" t="s">
        <v>39</v>
      </c>
      <c r="Y1328" s="1" t="s">
        <v>40</v>
      </c>
      <c r="Z1328" s="1" t="n">
        <v>0</v>
      </c>
      <c r="AA1328" s="1" t="str">
        <f aca="false">TRIM(PROPER(F1328))</f>
        <v>Mumbai</v>
      </c>
      <c r="AB1328" s="1" t="str">
        <f aca="false">TRIM(PROPER(C1328))</f>
        <v>Unacademy</v>
      </c>
      <c r="AC1328" s="1" t="str">
        <f aca="false">IF(O1328=0,"No Discount",IF(O1328&lt;=15,"Low (1-15%)",IF(O1328&lt;=30,"Medium (16-30%)","High (&gt;30%)")))</f>
        <v>Low (1-15%)</v>
      </c>
      <c r="AD1328" s="1" t="str">
        <f aca="false">IF(V1328&lt;0,"Loss Making",IF(V1328&lt;20,"Low Margin","Healthy Margin"))</f>
        <v>Healthy Margin</v>
      </c>
      <c r="AE1328" s="1" t="str">
        <f aca="false">TEXT(DATE(VALUE(RIGHT(B1328,4)),VALUE(MID(B1328,4,2)),VALUE(LEFT(B1328,2))),"MMM-YYYY")</f>
        <v>Oct-2023</v>
      </c>
      <c r="AF1328" s="1" t="n">
        <f aca="false">VALUE(RIGHT(B1328,4))</f>
        <v>2023</v>
      </c>
      <c r="AG1328" s="1" t="str">
        <f aca="false">CHOOSE(ROUNDUP(VALUE(MID(B1328,4,2))/3,0),"Q1","Q2","Q3","Q4")</f>
        <v>Q4</v>
      </c>
    </row>
    <row r="1329" customFormat="false" ht="15" hidden="false" customHeight="true" outlineLevel="0" collapsed="false">
      <c r="A1329" s="1" t="s">
        <v>2116</v>
      </c>
      <c r="B1329" s="1" t="s">
        <v>2117</v>
      </c>
      <c r="C1329" s="1" t="s">
        <v>74</v>
      </c>
      <c r="D1329" s="1" t="s">
        <v>143</v>
      </c>
      <c r="E1329" s="1" t="s">
        <v>162</v>
      </c>
      <c r="F1329" s="1" t="s">
        <v>153</v>
      </c>
      <c r="G1329" s="1" t="s">
        <v>76</v>
      </c>
      <c r="H1329" s="1" t="s">
        <v>33</v>
      </c>
      <c r="I1329" s="1" t="s">
        <v>58</v>
      </c>
      <c r="J1329" s="1" t="s">
        <v>131</v>
      </c>
      <c r="K1329" s="1" t="s">
        <v>60</v>
      </c>
      <c r="L1329" s="1" t="s">
        <v>136</v>
      </c>
      <c r="M1329" s="1" t="s">
        <v>50</v>
      </c>
      <c r="N1329" s="1" t="n">
        <v>14999</v>
      </c>
      <c r="O1329" s="1" t="n">
        <v>10</v>
      </c>
      <c r="P1329" s="1" t="n">
        <v>1499.9</v>
      </c>
      <c r="Q1329" s="1" t="n">
        <v>13499.1</v>
      </c>
      <c r="R1329" s="1" t="n">
        <v>2429.84</v>
      </c>
      <c r="S1329" s="1" t="n">
        <v>11069.26</v>
      </c>
      <c r="T1329" s="1" t="n">
        <v>4886.44</v>
      </c>
      <c r="U1329" s="1" t="n">
        <v>6182.82</v>
      </c>
      <c r="V1329" s="1" t="n">
        <v>55.86</v>
      </c>
      <c r="W1329" s="1" t="s">
        <v>39</v>
      </c>
      <c r="X1329" s="1" t="n">
        <v>3.4</v>
      </c>
      <c r="Y1329" s="1" t="s">
        <v>40</v>
      </c>
      <c r="Z1329" s="1" t="n">
        <v>1</v>
      </c>
      <c r="AA1329" s="1" t="str">
        <f aca="false">TRIM(PROPER(F1329))</f>
        <v>Howrah</v>
      </c>
      <c r="AB1329" s="1" t="str">
        <f aca="false">TRIM(PROPER(C1329))</f>
        <v>Vedantu</v>
      </c>
      <c r="AC1329" s="1" t="str">
        <f aca="false">IF(O1329=0,"No Discount",IF(O1329&lt;=15,"Low (1-15%)",IF(O1329&lt;=30,"Medium (16-30%)","High (&gt;30%)")))</f>
        <v>Low (1-15%)</v>
      </c>
      <c r="AD1329" s="1" t="str">
        <f aca="false">IF(V1329&lt;0,"Loss Making",IF(V1329&lt;20,"Low Margin","Healthy Margin"))</f>
        <v>Healthy Margin</v>
      </c>
      <c r="AE1329" s="1" t="str">
        <f aca="false">TEXT(DATE(VALUE(RIGHT(B1329,4)),VALUE(MID(B1329,4,2)),VALUE(LEFT(B1329,2))),"MMM-YYYY")</f>
        <v>Sep-2024</v>
      </c>
      <c r="AF1329" s="1" t="n">
        <f aca="false">VALUE(RIGHT(B1329,4))</f>
        <v>2024</v>
      </c>
      <c r="AG1329" s="1" t="str">
        <f aca="false">CHOOSE(ROUNDUP(VALUE(MID(B1329,4,2))/3,0),"Q1","Q2","Q3","Q4")</f>
        <v>Q3</v>
      </c>
    </row>
    <row r="1330" customFormat="false" ht="15" hidden="false" customHeight="true" outlineLevel="0" collapsed="false">
      <c r="A1330" s="1" t="s">
        <v>2118</v>
      </c>
      <c r="B1330" s="1" t="s">
        <v>737</v>
      </c>
      <c r="C1330" s="1" t="s">
        <v>167</v>
      </c>
      <c r="D1330" s="1" t="s">
        <v>53</v>
      </c>
      <c r="E1330" s="1" t="s">
        <v>116</v>
      </c>
      <c r="F1330" s="1" t="s">
        <v>150</v>
      </c>
      <c r="G1330" s="1" t="s">
        <v>32</v>
      </c>
      <c r="H1330" s="1" t="s">
        <v>57</v>
      </c>
      <c r="I1330" s="1" t="s">
        <v>34</v>
      </c>
      <c r="J1330" s="1" t="s">
        <v>131</v>
      </c>
      <c r="K1330" s="1" t="s">
        <v>84</v>
      </c>
      <c r="L1330" s="1" t="s">
        <v>136</v>
      </c>
      <c r="M1330" s="1" t="s">
        <v>62</v>
      </c>
      <c r="N1330" s="1" t="n">
        <v>9999</v>
      </c>
      <c r="O1330" s="1" t="n">
        <v>0</v>
      </c>
      <c r="P1330" s="1" t="n">
        <v>0</v>
      </c>
      <c r="Q1330" s="1" t="n">
        <v>9999</v>
      </c>
      <c r="R1330" s="1" t="n">
        <v>1799.82</v>
      </c>
      <c r="S1330" s="1" t="n">
        <v>8199.18</v>
      </c>
      <c r="T1330" s="1" t="n">
        <v>4396.02</v>
      </c>
      <c r="U1330" s="1" t="n">
        <v>3803.16</v>
      </c>
      <c r="V1330" s="1" t="n">
        <v>46.38</v>
      </c>
      <c r="W1330" s="1" t="s">
        <v>40</v>
      </c>
      <c r="Y1330" s="1" t="s">
        <v>39</v>
      </c>
      <c r="Z1330" s="1" t="n">
        <v>1</v>
      </c>
      <c r="AA1330" s="1" t="str">
        <f aca="false">TRIM(PROPER(F1330))</f>
        <v>Jaipur</v>
      </c>
      <c r="AB1330" s="1" t="str">
        <f aca="false">TRIM(PROPER(C1330))</f>
        <v>Scaler</v>
      </c>
      <c r="AC1330" s="1" t="str">
        <f aca="false">IF(O1330=0,"No Discount",IF(O1330&lt;=15,"Low (1-15%)",IF(O1330&lt;=30,"Medium (16-30%)","High (&gt;30%)")))</f>
        <v>No Discount</v>
      </c>
      <c r="AD1330" s="1" t="str">
        <f aca="false">IF(V1330&lt;0,"Loss Making",IF(V1330&lt;20,"Low Margin","Healthy Margin"))</f>
        <v>Healthy Margin</v>
      </c>
      <c r="AE1330" s="1" t="str">
        <f aca="false">TEXT(DATE(VALUE(RIGHT(B1330,4)),VALUE(MID(B1330,4,2)),VALUE(LEFT(B1330,2))),"MMM-YYYY")</f>
        <v>Sep-2024</v>
      </c>
      <c r="AF1330" s="1" t="n">
        <f aca="false">VALUE(RIGHT(B1330,4))</f>
        <v>2024</v>
      </c>
      <c r="AG1330" s="1" t="str">
        <f aca="false">CHOOSE(ROUNDUP(VALUE(MID(B1330,4,2))/3,0),"Q1","Q2","Q3","Q4")</f>
        <v>Q3</v>
      </c>
    </row>
    <row r="1331" customFormat="false" ht="15" hidden="false" customHeight="true" outlineLevel="0" collapsed="false">
      <c r="A1331" s="1" t="s">
        <v>2119</v>
      </c>
      <c r="B1331" s="1" t="s">
        <v>1621</v>
      </c>
      <c r="C1331" s="1" t="s">
        <v>100</v>
      </c>
      <c r="D1331" s="1" t="s">
        <v>80</v>
      </c>
      <c r="E1331" s="1" t="s">
        <v>175</v>
      </c>
      <c r="F1331" s="1" t="s">
        <v>244</v>
      </c>
      <c r="G1331" s="1" t="s">
        <v>97</v>
      </c>
      <c r="H1331" s="1" t="s">
        <v>57</v>
      </c>
      <c r="I1331" s="1" t="s">
        <v>58</v>
      </c>
      <c r="J1331" s="1" t="s">
        <v>59</v>
      </c>
      <c r="K1331" s="1" t="s">
        <v>84</v>
      </c>
      <c r="L1331" s="1" t="s">
        <v>49</v>
      </c>
      <c r="M1331" s="1" t="s">
        <v>62</v>
      </c>
      <c r="N1331" s="1" t="n">
        <v>19999</v>
      </c>
      <c r="O1331" s="1" t="n">
        <v>50</v>
      </c>
      <c r="P1331" s="1" t="n">
        <v>9999.5</v>
      </c>
      <c r="Q1331" s="1" t="n">
        <v>9999.5</v>
      </c>
      <c r="R1331" s="1" t="n">
        <v>1799.91</v>
      </c>
      <c r="S1331" s="1" t="n">
        <v>8199.59</v>
      </c>
      <c r="T1331" s="1" t="n">
        <v>4779.28</v>
      </c>
      <c r="U1331" s="1" t="n">
        <v>3420.31</v>
      </c>
      <c r="V1331" s="1" t="n">
        <v>41.71</v>
      </c>
      <c r="W1331" s="1" t="s">
        <v>39</v>
      </c>
      <c r="X1331" s="1" t="n">
        <v>5</v>
      </c>
      <c r="Y1331" s="1" t="s">
        <v>40</v>
      </c>
      <c r="Z1331" s="1" t="n">
        <v>0</v>
      </c>
      <c r="AA1331" s="1" t="str">
        <f aca="false">TRIM(PROPER(F1331))</f>
        <v>Nagpur</v>
      </c>
      <c r="AB1331" s="1" t="str">
        <f aca="false">TRIM(PROPER(C1331))</f>
        <v>Physics Wallah</v>
      </c>
      <c r="AC1331" s="1" t="str">
        <f aca="false">IF(O1331=0,"No Discount",IF(O1331&lt;=15,"Low (1-15%)",IF(O1331&lt;=30,"Medium (16-30%)","High (&gt;30%)")))</f>
        <v>High (&gt;30%)</v>
      </c>
      <c r="AD1331" s="1" t="str">
        <f aca="false">IF(V1331&lt;0,"Loss Making",IF(V1331&lt;20,"Low Margin","Healthy Margin"))</f>
        <v>Healthy Margin</v>
      </c>
      <c r="AE1331" s="1" t="str">
        <f aca="false">TEXT(DATE(VALUE(RIGHT(B1331,4)),VALUE(MID(B1331,4,2)),VALUE(LEFT(B1331,2))),"MMM-YYYY")</f>
        <v>Mar-2024</v>
      </c>
      <c r="AF1331" s="1" t="n">
        <f aca="false">VALUE(RIGHT(B1331,4))</f>
        <v>2024</v>
      </c>
      <c r="AG1331" s="1" t="str">
        <f aca="false">CHOOSE(ROUNDUP(VALUE(MID(B1331,4,2))/3,0),"Q1","Q2","Q3","Q4")</f>
        <v>Q1</v>
      </c>
    </row>
    <row r="1332" customFormat="false" ht="15" hidden="false" customHeight="true" outlineLevel="0" collapsed="false">
      <c r="A1332" s="1" t="s">
        <v>2120</v>
      </c>
      <c r="B1332" s="1" t="s">
        <v>1644</v>
      </c>
      <c r="C1332" s="1" t="s">
        <v>74</v>
      </c>
      <c r="D1332" s="1" t="s">
        <v>168</v>
      </c>
      <c r="E1332" s="1" t="s">
        <v>169</v>
      </c>
      <c r="F1332" s="1" t="s">
        <v>89</v>
      </c>
      <c r="G1332" s="1" t="s">
        <v>68</v>
      </c>
      <c r="H1332" s="1" t="s">
        <v>33</v>
      </c>
      <c r="I1332" s="1" t="s">
        <v>83</v>
      </c>
      <c r="J1332" s="1" t="s">
        <v>131</v>
      </c>
      <c r="K1332" s="1" t="s">
        <v>112</v>
      </c>
      <c r="L1332" s="1" t="s">
        <v>113</v>
      </c>
      <c r="M1332" s="1" t="s">
        <v>62</v>
      </c>
      <c r="N1332" s="1" t="n">
        <v>4999</v>
      </c>
      <c r="O1332" s="1" t="n">
        <v>40</v>
      </c>
      <c r="P1332" s="1" t="n">
        <v>1999.6</v>
      </c>
      <c r="Q1332" s="1" t="n">
        <v>2999.4</v>
      </c>
      <c r="R1332" s="1" t="n">
        <v>539.89</v>
      </c>
      <c r="S1332" s="1" t="n">
        <v>2459.51</v>
      </c>
      <c r="T1332" s="1" t="n">
        <v>1202.03</v>
      </c>
      <c r="U1332" s="1" t="n">
        <v>1257.48</v>
      </c>
      <c r="V1332" s="1" t="n">
        <v>51.13</v>
      </c>
      <c r="W1332" s="1" t="s">
        <v>39</v>
      </c>
      <c r="X1332" s="1" t="n">
        <v>3.7</v>
      </c>
      <c r="Y1332" s="1" t="s">
        <v>40</v>
      </c>
      <c r="Z1332" s="1" t="n">
        <v>0</v>
      </c>
      <c r="AA1332" s="1" t="str">
        <f aca="false">TRIM(PROPER(F1332))</f>
        <v>Vadodara</v>
      </c>
      <c r="AB1332" s="1" t="str">
        <f aca="false">TRIM(PROPER(C1332))</f>
        <v>Vedantu</v>
      </c>
      <c r="AC1332" s="1" t="str">
        <f aca="false">IF(O1332=0,"No Discount",IF(O1332&lt;=15,"Low (1-15%)",IF(O1332&lt;=30,"Medium (16-30%)","High (&gt;30%)")))</f>
        <v>High (&gt;30%)</v>
      </c>
      <c r="AD1332" s="1" t="str">
        <f aca="false">IF(V1332&lt;0,"Loss Making",IF(V1332&lt;20,"Low Margin","Healthy Margin"))</f>
        <v>Healthy Margin</v>
      </c>
      <c r="AE1332" s="1" t="str">
        <f aca="false">TEXT(DATE(VALUE(RIGHT(B1332,4)),VALUE(MID(B1332,4,2)),VALUE(LEFT(B1332,2))),"MMM-YYYY")</f>
        <v>Mar-2023</v>
      </c>
      <c r="AF1332" s="1" t="n">
        <f aca="false">VALUE(RIGHT(B1332,4))</f>
        <v>2023</v>
      </c>
      <c r="AG1332" s="1" t="str">
        <f aca="false">CHOOSE(ROUNDUP(VALUE(MID(B1332,4,2))/3,0),"Q1","Q2","Q3","Q4")</f>
        <v>Q1</v>
      </c>
    </row>
    <row r="1333" customFormat="false" ht="15" hidden="false" customHeight="true" outlineLevel="0" collapsed="false">
      <c r="A1333" s="1" t="s">
        <v>2121</v>
      </c>
      <c r="B1333" s="1" t="s">
        <v>399</v>
      </c>
      <c r="C1333" s="1" t="s">
        <v>178</v>
      </c>
      <c r="D1333" s="1" t="s">
        <v>168</v>
      </c>
      <c r="E1333" s="1" t="s">
        <v>169</v>
      </c>
      <c r="F1333" s="1" t="s">
        <v>75</v>
      </c>
      <c r="G1333" s="1" t="s">
        <v>76</v>
      </c>
      <c r="H1333" s="1" t="s">
        <v>69</v>
      </c>
      <c r="I1333" s="1" t="s">
        <v>34</v>
      </c>
      <c r="J1333" s="1" t="s">
        <v>35</v>
      </c>
      <c r="K1333" s="1" t="s">
        <v>48</v>
      </c>
      <c r="L1333" s="1" t="s">
        <v>136</v>
      </c>
      <c r="M1333" s="1" t="s">
        <v>38</v>
      </c>
      <c r="N1333" s="1" t="n">
        <v>4999</v>
      </c>
      <c r="O1333" s="1" t="n">
        <v>15</v>
      </c>
      <c r="P1333" s="1" t="n">
        <v>749.85</v>
      </c>
      <c r="Q1333" s="1" t="n">
        <v>4249.15</v>
      </c>
      <c r="R1333" s="1" t="n">
        <v>764.85</v>
      </c>
      <c r="S1333" s="1" t="n">
        <v>3484.3</v>
      </c>
      <c r="T1333" s="1" t="n">
        <v>1592.9</v>
      </c>
      <c r="U1333" s="1" t="n">
        <v>1891.4</v>
      </c>
      <c r="V1333" s="1" t="n">
        <v>54.28</v>
      </c>
      <c r="W1333" s="1" t="s">
        <v>39</v>
      </c>
      <c r="X1333" s="1" t="n">
        <v>3.4</v>
      </c>
      <c r="Y1333" s="1" t="s">
        <v>40</v>
      </c>
      <c r="Z1333" s="1" t="n">
        <v>1</v>
      </c>
      <c r="AA1333" s="1" t="str">
        <f aca="false">TRIM(PROPER(F1333))</f>
        <v>Kolkata</v>
      </c>
      <c r="AB1333" s="1" t="str">
        <f aca="false">TRIM(PROPER(C1333))</f>
        <v>Leverage Edu</v>
      </c>
      <c r="AC1333" s="1" t="str">
        <f aca="false">IF(O1333=0,"No Discount",IF(O1333&lt;=15,"Low (1-15%)",IF(O1333&lt;=30,"Medium (16-30%)","High (&gt;30%)")))</f>
        <v>Low (1-15%)</v>
      </c>
      <c r="AD1333" s="1" t="str">
        <f aca="false">IF(V1333&lt;0,"Loss Making",IF(V1333&lt;20,"Low Margin","Healthy Margin"))</f>
        <v>Healthy Margin</v>
      </c>
      <c r="AE1333" s="1" t="str">
        <f aca="false">TEXT(DATE(VALUE(RIGHT(B1333,4)),VALUE(MID(B1333,4,2)),VALUE(LEFT(B1333,2))),"MMM-YYYY")</f>
        <v>Aug-2024</v>
      </c>
      <c r="AF1333" s="1" t="n">
        <f aca="false">VALUE(RIGHT(B1333,4))</f>
        <v>2024</v>
      </c>
      <c r="AG1333" s="1" t="str">
        <f aca="false">CHOOSE(ROUNDUP(VALUE(MID(B1333,4,2))/3,0),"Q1","Q2","Q3","Q4")</f>
        <v>Q3</v>
      </c>
    </row>
    <row r="1334" customFormat="false" ht="15" hidden="false" customHeight="true" outlineLevel="0" collapsed="false">
      <c r="A1334" s="1" t="s">
        <v>2122</v>
      </c>
      <c r="B1334" s="1" t="s">
        <v>1313</v>
      </c>
      <c r="C1334" s="1" t="s">
        <v>119</v>
      </c>
      <c r="D1334" s="1" t="s">
        <v>44</v>
      </c>
      <c r="E1334" s="1" t="s">
        <v>45</v>
      </c>
      <c r="F1334" s="1" t="s">
        <v>55</v>
      </c>
      <c r="G1334" s="1" t="s">
        <v>56</v>
      </c>
      <c r="H1334" s="1" t="s">
        <v>57</v>
      </c>
      <c r="I1334" s="1" t="s">
        <v>34</v>
      </c>
      <c r="J1334" s="1" t="s">
        <v>77</v>
      </c>
      <c r="K1334" s="1" t="s">
        <v>71</v>
      </c>
      <c r="L1334" s="1" t="s">
        <v>136</v>
      </c>
      <c r="M1334" s="1" t="s">
        <v>38</v>
      </c>
      <c r="N1334" s="1" t="n">
        <v>11999</v>
      </c>
      <c r="O1334" s="1" t="n">
        <v>20</v>
      </c>
      <c r="P1334" s="1" t="n">
        <v>2399.8</v>
      </c>
      <c r="Q1334" s="1" t="n">
        <v>9599.2</v>
      </c>
      <c r="R1334" s="1" t="n">
        <v>1727.86</v>
      </c>
      <c r="S1334" s="1" t="n">
        <v>7871.34</v>
      </c>
      <c r="T1334" s="1" t="n">
        <v>3655.19</v>
      </c>
      <c r="U1334" s="1" t="n">
        <v>4216.15</v>
      </c>
      <c r="V1334" s="1" t="n">
        <v>53.56</v>
      </c>
      <c r="W1334" s="1" t="s">
        <v>39</v>
      </c>
      <c r="X1334" s="1" t="n">
        <v>3.5</v>
      </c>
      <c r="Y1334" s="1" t="s">
        <v>40</v>
      </c>
      <c r="Z1334" s="1" t="n">
        <v>0</v>
      </c>
      <c r="AA1334" s="1" t="str">
        <f aca="false">TRIM(PROPER(F1334))</f>
        <v>Ghaziabad</v>
      </c>
      <c r="AB1334" s="1" t="str">
        <f aca="false">TRIM(PROPER(C1334))</f>
        <v>Simplilearn</v>
      </c>
      <c r="AC1334" s="1" t="str">
        <f aca="false">IF(O1334=0,"No Discount",IF(O1334&lt;=15,"Low (1-15%)",IF(O1334&lt;=30,"Medium (16-30%)","High (&gt;30%)")))</f>
        <v>Medium (16-30%)</v>
      </c>
      <c r="AD1334" s="1" t="str">
        <f aca="false">IF(V1334&lt;0,"Loss Making",IF(V1334&lt;20,"Low Margin","Healthy Margin"))</f>
        <v>Healthy Margin</v>
      </c>
      <c r="AE1334" s="1" t="str">
        <f aca="false">TEXT(DATE(VALUE(RIGHT(B1334,4)),VALUE(MID(B1334,4,2)),VALUE(LEFT(B1334,2))),"MMM-YYYY")</f>
        <v>Dec-2024</v>
      </c>
      <c r="AF1334" s="1" t="n">
        <f aca="false">VALUE(RIGHT(B1334,4))</f>
        <v>2024</v>
      </c>
      <c r="AG1334" s="1" t="str">
        <f aca="false">CHOOSE(ROUNDUP(VALUE(MID(B1334,4,2))/3,0),"Q1","Q2","Q3","Q4")</f>
        <v>Q4</v>
      </c>
    </row>
    <row r="1335" customFormat="false" ht="15" hidden="false" customHeight="true" outlineLevel="0" collapsed="false">
      <c r="A1335" s="1" t="s">
        <v>2123</v>
      </c>
      <c r="B1335" s="1" t="s">
        <v>587</v>
      </c>
      <c r="C1335" s="1" t="s">
        <v>128</v>
      </c>
      <c r="D1335" s="1" t="s">
        <v>80</v>
      </c>
      <c r="E1335" s="1" t="s">
        <v>81</v>
      </c>
      <c r="F1335" s="1" t="s">
        <v>194</v>
      </c>
      <c r="G1335" s="1" t="s">
        <v>103</v>
      </c>
      <c r="H1335" s="1" t="s">
        <v>69</v>
      </c>
      <c r="I1335" s="1" t="s">
        <v>34</v>
      </c>
      <c r="J1335" s="1" t="s">
        <v>59</v>
      </c>
      <c r="K1335" s="1" t="s">
        <v>48</v>
      </c>
      <c r="L1335" s="1" t="s">
        <v>49</v>
      </c>
      <c r="M1335" s="1" t="s">
        <v>62</v>
      </c>
      <c r="N1335" s="1" t="n">
        <v>12999</v>
      </c>
      <c r="O1335" s="1" t="n">
        <v>5</v>
      </c>
      <c r="P1335" s="1" t="n">
        <v>649.95</v>
      </c>
      <c r="Q1335" s="1" t="n">
        <v>12349.05</v>
      </c>
      <c r="R1335" s="1" t="n">
        <v>2222.83</v>
      </c>
      <c r="S1335" s="1" t="n">
        <v>10126.22</v>
      </c>
      <c r="T1335" s="1" t="n">
        <v>2941.12</v>
      </c>
      <c r="U1335" s="1" t="n">
        <v>7185.1</v>
      </c>
      <c r="V1335" s="1" t="n">
        <v>70.96</v>
      </c>
      <c r="W1335" s="1" t="s">
        <v>39</v>
      </c>
      <c r="Y1335" s="1" t="s">
        <v>40</v>
      </c>
      <c r="Z1335" s="1" t="n">
        <v>0</v>
      </c>
      <c r="AA1335" s="1" t="str">
        <f aca="false">TRIM(PROPER(F1335))</f>
        <v>Hyderabad</v>
      </c>
      <c r="AB1335" s="1" t="str">
        <f aca="false">TRIM(PROPER(C1335))</f>
        <v>Great Learning</v>
      </c>
      <c r="AC1335" s="1" t="str">
        <f aca="false">IF(O1335=0,"No Discount",IF(O1335&lt;=15,"Low (1-15%)",IF(O1335&lt;=30,"Medium (16-30%)","High (&gt;30%)")))</f>
        <v>Low (1-15%)</v>
      </c>
      <c r="AD1335" s="1" t="str">
        <f aca="false">IF(V1335&lt;0,"Loss Making",IF(V1335&lt;20,"Low Margin","Healthy Margin"))</f>
        <v>Healthy Margin</v>
      </c>
      <c r="AE1335" s="1" t="str">
        <f aca="false">TEXT(DATE(VALUE(RIGHT(B1335,4)),VALUE(MID(B1335,4,2)),VALUE(LEFT(B1335,2))),"MMM-YYYY")</f>
        <v>Apr-2023</v>
      </c>
      <c r="AF1335" s="1" t="n">
        <f aca="false">VALUE(RIGHT(B1335,4))</f>
        <v>2023</v>
      </c>
      <c r="AG1335" s="1" t="str">
        <f aca="false">CHOOSE(ROUNDUP(VALUE(MID(B1335,4,2))/3,0),"Q1","Q2","Q3","Q4")</f>
        <v>Q2</v>
      </c>
    </row>
    <row r="1336" customFormat="false" ht="15" hidden="false" customHeight="true" outlineLevel="0" collapsed="false">
      <c r="A1336" s="1" t="s">
        <v>2124</v>
      </c>
      <c r="B1336" s="1" t="s">
        <v>712</v>
      </c>
      <c r="C1336" s="1" t="s">
        <v>28</v>
      </c>
      <c r="D1336" s="1" t="s">
        <v>94</v>
      </c>
      <c r="E1336" s="1" t="s">
        <v>95</v>
      </c>
      <c r="F1336" s="1" t="s">
        <v>211</v>
      </c>
      <c r="G1336" s="1" t="s">
        <v>56</v>
      </c>
      <c r="H1336" s="1" t="s">
        <v>69</v>
      </c>
      <c r="I1336" s="1" t="s">
        <v>58</v>
      </c>
      <c r="J1336" s="1" t="s">
        <v>131</v>
      </c>
      <c r="K1336" s="1" t="s">
        <v>36</v>
      </c>
      <c r="L1336" s="1" t="s">
        <v>136</v>
      </c>
      <c r="M1336" s="1" t="s">
        <v>38</v>
      </c>
      <c r="N1336" s="1" t="n">
        <v>6999</v>
      </c>
      <c r="O1336" s="1" t="n">
        <v>50</v>
      </c>
      <c r="P1336" s="1" t="n">
        <v>3499.5</v>
      </c>
      <c r="Q1336" s="1" t="n">
        <v>3499.5</v>
      </c>
      <c r="R1336" s="1" t="n">
        <v>629.91</v>
      </c>
      <c r="S1336" s="1" t="n">
        <v>2869.59</v>
      </c>
      <c r="T1336" s="1" t="n">
        <v>1312.67</v>
      </c>
      <c r="U1336" s="1" t="n">
        <v>1556.92</v>
      </c>
      <c r="V1336" s="1" t="n">
        <v>54.26</v>
      </c>
      <c r="W1336" s="1" t="s">
        <v>40</v>
      </c>
      <c r="Y1336" s="1" t="s">
        <v>40</v>
      </c>
      <c r="Z1336" s="1" t="n">
        <v>1</v>
      </c>
      <c r="AA1336" s="1" t="str">
        <f aca="false">TRIM(PROPER(F1336))</f>
        <v>Noida</v>
      </c>
      <c r="AB1336" s="1" t="str">
        <f aca="false">TRIM(PROPER(C1336))</f>
        <v>Embibe</v>
      </c>
      <c r="AC1336" s="1" t="str">
        <f aca="false">IF(O1336=0,"No Discount",IF(O1336&lt;=15,"Low (1-15%)",IF(O1336&lt;=30,"Medium (16-30%)","High (&gt;30%)")))</f>
        <v>High (&gt;30%)</v>
      </c>
      <c r="AD1336" s="1" t="str">
        <f aca="false">IF(V1336&lt;0,"Loss Making",IF(V1336&lt;20,"Low Margin","Healthy Margin"))</f>
        <v>Healthy Margin</v>
      </c>
      <c r="AE1336" s="1" t="str">
        <f aca="false">TEXT(DATE(VALUE(RIGHT(B1336,4)),VALUE(MID(B1336,4,2)),VALUE(LEFT(B1336,2))),"MMM-YYYY")</f>
        <v>Jan-2024</v>
      </c>
      <c r="AF1336" s="1" t="n">
        <f aca="false">VALUE(RIGHT(B1336,4))</f>
        <v>2024</v>
      </c>
      <c r="AG1336" s="1" t="str">
        <f aca="false">CHOOSE(ROUNDUP(VALUE(MID(B1336,4,2))/3,0),"Q1","Q2","Q3","Q4")</f>
        <v>Q1</v>
      </c>
    </row>
    <row r="1337" customFormat="false" ht="15" hidden="false" customHeight="true" outlineLevel="0" collapsed="false">
      <c r="A1337" s="1" t="s">
        <v>2125</v>
      </c>
      <c r="B1337" s="1" t="s">
        <v>947</v>
      </c>
      <c r="C1337" s="1" t="s">
        <v>93</v>
      </c>
      <c r="D1337" s="1" t="s">
        <v>44</v>
      </c>
      <c r="E1337" s="1" t="s">
        <v>221</v>
      </c>
      <c r="F1337" s="1" t="s">
        <v>205</v>
      </c>
      <c r="G1337" s="1" t="s">
        <v>56</v>
      </c>
      <c r="H1337" s="1" t="s">
        <v>69</v>
      </c>
      <c r="I1337" s="1" t="s">
        <v>83</v>
      </c>
      <c r="J1337" s="1" t="s">
        <v>35</v>
      </c>
      <c r="K1337" s="1" t="s">
        <v>104</v>
      </c>
      <c r="L1337" s="1" t="s">
        <v>113</v>
      </c>
      <c r="M1337" s="1" t="s">
        <v>50</v>
      </c>
      <c r="N1337" s="1" t="n">
        <v>16999</v>
      </c>
      <c r="O1337" s="1" t="n">
        <v>30</v>
      </c>
      <c r="P1337" s="1" t="n">
        <v>5099.7</v>
      </c>
      <c r="Q1337" s="1" t="n">
        <v>11899.3</v>
      </c>
      <c r="R1337" s="1" t="n">
        <v>2141.87</v>
      </c>
      <c r="S1337" s="1" t="n">
        <v>9757.43</v>
      </c>
      <c r="T1337" s="1" t="n">
        <v>4406.68</v>
      </c>
      <c r="U1337" s="1" t="n">
        <v>5350.75</v>
      </c>
      <c r="V1337" s="1" t="n">
        <v>54.84</v>
      </c>
      <c r="W1337" s="1" t="s">
        <v>39</v>
      </c>
      <c r="X1337" s="1" t="n">
        <v>3.1</v>
      </c>
      <c r="Y1337" s="1" t="s">
        <v>39</v>
      </c>
      <c r="Z1337" s="1" t="n">
        <v>1</v>
      </c>
      <c r="AA1337" s="1" t="str">
        <f aca="false">TRIM(PROPER(F1337))</f>
        <v>New Delhi</v>
      </c>
      <c r="AB1337" s="1" t="str">
        <f aca="false">TRIM(PROPER(C1337))</f>
        <v>Upgrad</v>
      </c>
      <c r="AC1337" s="1" t="str">
        <f aca="false">IF(O1337=0,"No Discount",IF(O1337&lt;=15,"Low (1-15%)",IF(O1337&lt;=30,"Medium (16-30%)","High (&gt;30%)")))</f>
        <v>Medium (16-30%)</v>
      </c>
      <c r="AD1337" s="1" t="str">
        <f aca="false">IF(V1337&lt;0,"Loss Making",IF(V1337&lt;20,"Low Margin","Healthy Margin"))</f>
        <v>Healthy Margin</v>
      </c>
      <c r="AE1337" s="1" t="str">
        <f aca="false">TEXT(DATE(VALUE(RIGHT(B1337,4)),VALUE(MID(B1337,4,2)),VALUE(LEFT(B1337,2))),"MMM-YYYY")</f>
        <v>Jun-2023</v>
      </c>
      <c r="AF1337" s="1" t="n">
        <f aca="false">VALUE(RIGHT(B1337,4))</f>
        <v>2023</v>
      </c>
      <c r="AG1337" s="1" t="str">
        <f aca="false">CHOOSE(ROUNDUP(VALUE(MID(B1337,4,2))/3,0),"Q1","Q2","Q3","Q4")</f>
        <v>Q2</v>
      </c>
    </row>
    <row r="1338" customFormat="false" ht="15" hidden="false" customHeight="true" outlineLevel="0" collapsed="false">
      <c r="A1338" s="1" t="s">
        <v>2126</v>
      </c>
      <c r="B1338" s="1" t="s">
        <v>712</v>
      </c>
      <c r="C1338" s="1" t="s">
        <v>249</v>
      </c>
      <c r="D1338" s="1" t="s">
        <v>29</v>
      </c>
      <c r="E1338" s="1" t="s">
        <v>30</v>
      </c>
      <c r="F1338" s="1" t="s">
        <v>184</v>
      </c>
      <c r="G1338" s="1" t="s">
        <v>56</v>
      </c>
      <c r="H1338" s="1" t="s">
        <v>57</v>
      </c>
      <c r="I1338" s="1" t="s">
        <v>58</v>
      </c>
      <c r="J1338" s="1" t="s">
        <v>59</v>
      </c>
      <c r="K1338" s="1" t="s">
        <v>60</v>
      </c>
      <c r="L1338" s="1" t="s">
        <v>61</v>
      </c>
      <c r="M1338" s="1" t="s">
        <v>38</v>
      </c>
      <c r="N1338" s="1" t="n">
        <v>7999</v>
      </c>
      <c r="O1338" s="1" t="n">
        <v>40</v>
      </c>
      <c r="P1338" s="1" t="n">
        <v>3199.6</v>
      </c>
      <c r="Q1338" s="1" t="n">
        <v>4799.4</v>
      </c>
      <c r="R1338" s="1" t="n">
        <v>863.89</v>
      </c>
      <c r="S1338" s="1" t="n">
        <v>3935.51</v>
      </c>
      <c r="T1338" s="1" t="n">
        <v>2312.66</v>
      </c>
      <c r="U1338" s="1" t="n">
        <v>1622.85</v>
      </c>
      <c r="V1338" s="1" t="n">
        <v>41.24</v>
      </c>
      <c r="W1338" s="1" t="s">
        <v>40</v>
      </c>
      <c r="Y1338" s="1" t="s">
        <v>40</v>
      </c>
      <c r="Z1338" s="1" t="n">
        <v>1</v>
      </c>
      <c r="AA1338" s="1" t="str">
        <f aca="false">TRIM(PROPER(F1338))</f>
        <v>Faridabad</v>
      </c>
      <c r="AB1338" s="1" t="str">
        <f aca="false">TRIM(PROPER(C1338))</f>
        <v>Whitehat Jr</v>
      </c>
      <c r="AC1338" s="1" t="str">
        <f aca="false">IF(O1338=0,"No Discount",IF(O1338&lt;=15,"Low (1-15%)",IF(O1338&lt;=30,"Medium (16-30%)","High (&gt;30%)")))</f>
        <v>High (&gt;30%)</v>
      </c>
      <c r="AD1338" s="1" t="str">
        <f aca="false">IF(V1338&lt;0,"Loss Making",IF(V1338&lt;20,"Low Margin","Healthy Margin"))</f>
        <v>Healthy Margin</v>
      </c>
      <c r="AE1338" s="1" t="str">
        <f aca="false">TEXT(DATE(VALUE(RIGHT(B1338,4)),VALUE(MID(B1338,4,2)),VALUE(LEFT(B1338,2))),"MMM-YYYY")</f>
        <v>Jan-2024</v>
      </c>
      <c r="AF1338" s="1" t="n">
        <f aca="false">VALUE(RIGHT(B1338,4))</f>
        <v>2024</v>
      </c>
      <c r="AG1338" s="1" t="str">
        <f aca="false">CHOOSE(ROUNDUP(VALUE(MID(B1338,4,2))/3,0),"Q1","Q2","Q3","Q4")</f>
        <v>Q1</v>
      </c>
    </row>
    <row r="1339" customFormat="false" ht="15" hidden="false" customHeight="true" outlineLevel="0" collapsed="false">
      <c r="A1339" s="1" t="s">
        <v>2127</v>
      </c>
      <c r="B1339" s="1" t="s">
        <v>533</v>
      </c>
      <c r="C1339" s="1" t="s">
        <v>74</v>
      </c>
      <c r="D1339" s="1" t="s">
        <v>168</v>
      </c>
      <c r="E1339" s="1" t="s">
        <v>172</v>
      </c>
      <c r="F1339" s="1" t="s">
        <v>130</v>
      </c>
      <c r="G1339" s="1" t="s">
        <v>47</v>
      </c>
      <c r="H1339" s="1" t="s">
        <v>69</v>
      </c>
      <c r="I1339" s="1" t="s">
        <v>34</v>
      </c>
      <c r="J1339" s="1" t="s">
        <v>70</v>
      </c>
      <c r="K1339" s="1" t="s">
        <v>36</v>
      </c>
      <c r="L1339" s="1" t="s">
        <v>49</v>
      </c>
      <c r="M1339" s="1" t="s">
        <v>62</v>
      </c>
      <c r="N1339" s="1" t="n">
        <v>6999</v>
      </c>
      <c r="O1339" s="1" t="n">
        <v>5</v>
      </c>
      <c r="P1339" s="1" t="n">
        <v>349.95</v>
      </c>
      <c r="Q1339" s="1" t="n">
        <v>6649.05</v>
      </c>
      <c r="R1339" s="1" t="n">
        <v>1196.83</v>
      </c>
      <c r="S1339" s="1" t="n">
        <v>5452.22</v>
      </c>
      <c r="T1339" s="1" t="n">
        <v>1910.81</v>
      </c>
      <c r="U1339" s="1" t="n">
        <v>3541.41</v>
      </c>
      <c r="V1339" s="1" t="n">
        <v>64.95</v>
      </c>
      <c r="W1339" s="1" t="s">
        <v>40</v>
      </c>
      <c r="Y1339" s="1" t="s">
        <v>40</v>
      </c>
      <c r="Z1339" s="1" t="n">
        <v>1</v>
      </c>
      <c r="AA1339" s="1" t="str">
        <f aca="false">TRIM(PROPER(F1339))</f>
        <v>Bengaluru</v>
      </c>
      <c r="AB1339" s="1" t="str">
        <f aca="false">TRIM(PROPER(C1339))</f>
        <v>Vedantu</v>
      </c>
      <c r="AC1339" s="1" t="str">
        <f aca="false">IF(O1339=0,"No Discount",IF(O1339&lt;=15,"Low (1-15%)",IF(O1339&lt;=30,"Medium (16-30%)","High (&gt;30%)")))</f>
        <v>Low (1-15%)</v>
      </c>
      <c r="AD1339" s="1" t="str">
        <f aca="false">IF(V1339&lt;0,"Loss Making",IF(V1339&lt;20,"Low Margin","Healthy Margin"))</f>
        <v>Healthy Margin</v>
      </c>
      <c r="AE1339" s="1" t="str">
        <f aca="false">TEXT(DATE(VALUE(RIGHT(B1339,4)),VALUE(MID(B1339,4,2)),VALUE(LEFT(B1339,2))),"MMM-YYYY")</f>
        <v>Feb-2024</v>
      </c>
      <c r="AF1339" s="1" t="n">
        <f aca="false">VALUE(RIGHT(B1339,4))</f>
        <v>2024</v>
      </c>
      <c r="AG1339" s="1" t="str">
        <f aca="false">CHOOSE(ROUNDUP(VALUE(MID(B1339,4,2))/3,0),"Q1","Q2","Q3","Q4")</f>
        <v>Q1</v>
      </c>
    </row>
    <row r="1340" customFormat="false" ht="15" hidden="false" customHeight="true" outlineLevel="0" collapsed="false">
      <c r="A1340" s="1" t="s">
        <v>2128</v>
      </c>
      <c r="B1340" s="1" t="s">
        <v>1222</v>
      </c>
      <c r="C1340" s="1" t="s">
        <v>74</v>
      </c>
      <c r="D1340" s="1" t="s">
        <v>143</v>
      </c>
      <c r="E1340" s="1" t="s">
        <v>162</v>
      </c>
      <c r="F1340" s="1" t="s">
        <v>120</v>
      </c>
      <c r="G1340" s="1" t="s">
        <v>47</v>
      </c>
      <c r="H1340" s="1" t="s">
        <v>57</v>
      </c>
      <c r="I1340" s="1" t="s">
        <v>83</v>
      </c>
      <c r="J1340" s="1" t="s">
        <v>77</v>
      </c>
      <c r="K1340" s="1" t="s">
        <v>84</v>
      </c>
      <c r="L1340" s="1" t="s">
        <v>49</v>
      </c>
      <c r="M1340" s="1" t="s">
        <v>62</v>
      </c>
      <c r="N1340" s="1" t="n">
        <v>14999</v>
      </c>
      <c r="O1340" s="1" t="n">
        <v>15</v>
      </c>
      <c r="P1340" s="1" t="n">
        <v>2249.85</v>
      </c>
      <c r="Q1340" s="1" t="n">
        <v>12749.15</v>
      </c>
      <c r="R1340" s="1" t="n">
        <v>2294.85</v>
      </c>
      <c r="S1340" s="1" t="n">
        <v>10454.3</v>
      </c>
      <c r="T1340" s="1" t="n">
        <v>5916.78</v>
      </c>
      <c r="U1340" s="1" t="n">
        <v>4537.52</v>
      </c>
      <c r="V1340" s="1" t="n">
        <v>43.4</v>
      </c>
      <c r="W1340" s="1" t="s">
        <v>40</v>
      </c>
      <c r="Y1340" s="1" t="s">
        <v>40</v>
      </c>
      <c r="Z1340" s="1" t="n">
        <v>0</v>
      </c>
      <c r="AA1340" s="1" t="str">
        <f aca="false">TRIM(PROPER(F1340))</f>
        <v>Mysuru</v>
      </c>
      <c r="AB1340" s="1" t="str">
        <f aca="false">TRIM(PROPER(C1340))</f>
        <v>Vedantu</v>
      </c>
      <c r="AC1340" s="1" t="str">
        <f aca="false">IF(O1340=0,"No Discount",IF(O1340&lt;=15,"Low (1-15%)",IF(O1340&lt;=30,"Medium (16-30%)","High (&gt;30%)")))</f>
        <v>Low (1-15%)</v>
      </c>
      <c r="AD1340" s="1" t="str">
        <f aca="false">IF(V1340&lt;0,"Loss Making",IF(V1340&lt;20,"Low Margin","Healthy Margin"))</f>
        <v>Healthy Margin</v>
      </c>
      <c r="AE1340" s="1" t="str">
        <f aca="false">TEXT(DATE(VALUE(RIGHT(B1340,4)),VALUE(MID(B1340,4,2)),VALUE(LEFT(B1340,2))),"MMM-YYYY")</f>
        <v>Jan-2024</v>
      </c>
      <c r="AF1340" s="1" t="n">
        <f aca="false">VALUE(RIGHT(B1340,4))</f>
        <v>2024</v>
      </c>
      <c r="AG1340" s="1" t="str">
        <f aca="false">CHOOSE(ROUNDUP(VALUE(MID(B1340,4,2))/3,0),"Q1","Q2","Q3","Q4")</f>
        <v>Q1</v>
      </c>
    </row>
    <row r="1341" customFormat="false" ht="15" hidden="false" customHeight="true" outlineLevel="0" collapsed="false">
      <c r="A1341" s="1" t="s">
        <v>2129</v>
      </c>
      <c r="B1341" s="1" t="s">
        <v>122</v>
      </c>
      <c r="C1341" s="1" t="s">
        <v>249</v>
      </c>
      <c r="D1341" s="1" t="s">
        <v>53</v>
      </c>
      <c r="E1341" s="1" t="s">
        <v>216</v>
      </c>
      <c r="F1341" s="1" t="s">
        <v>205</v>
      </c>
      <c r="G1341" s="1" t="s">
        <v>56</v>
      </c>
      <c r="H1341" s="1" t="s">
        <v>69</v>
      </c>
      <c r="I1341" s="1" t="s">
        <v>34</v>
      </c>
      <c r="J1341" s="1" t="s">
        <v>35</v>
      </c>
      <c r="K1341" s="1" t="s">
        <v>112</v>
      </c>
      <c r="L1341" s="1" t="s">
        <v>136</v>
      </c>
      <c r="M1341" s="1" t="s">
        <v>50</v>
      </c>
      <c r="N1341" s="1" t="n">
        <v>7499</v>
      </c>
      <c r="O1341" s="1" t="n">
        <v>30</v>
      </c>
      <c r="P1341" s="1" t="n">
        <v>2249.7</v>
      </c>
      <c r="Q1341" s="1" t="n">
        <v>5249.3</v>
      </c>
      <c r="R1341" s="1" t="n">
        <v>944.87</v>
      </c>
      <c r="S1341" s="1" t="n">
        <v>4304.43</v>
      </c>
      <c r="T1341" s="1" t="n">
        <v>1652.16</v>
      </c>
      <c r="U1341" s="1" t="n">
        <v>2652.27</v>
      </c>
      <c r="V1341" s="1" t="n">
        <v>61.62</v>
      </c>
      <c r="W1341" s="1" t="s">
        <v>40</v>
      </c>
      <c r="Y1341" s="1" t="s">
        <v>40</v>
      </c>
      <c r="Z1341" s="1" t="n">
        <v>0</v>
      </c>
      <c r="AA1341" s="1" t="str">
        <f aca="false">TRIM(PROPER(F1341))</f>
        <v>New Delhi</v>
      </c>
      <c r="AB1341" s="1" t="str">
        <f aca="false">TRIM(PROPER(C1341))</f>
        <v>Whitehat Jr</v>
      </c>
      <c r="AC1341" s="1" t="str">
        <f aca="false">IF(O1341=0,"No Discount",IF(O1341&lt;=15,"Low (1-15%)",IF(O1341&lt;=30,"Medium (16-30%)","High (&gt;30%)")))</f>
        <v>Medium (16-30%)</v>
      </c>
      <c r="AD1341" s="1" t="str">
        <f aca="false">IF(V1341&lt;0,"Loss Making",IF(V1341&lt;20,"Low Margin","Healthy Margin"))</f>
        <v>Healthy Margin</v>
      </c>
      <c r="AE1341" s="1" t="str">
        <f aca="false">TEXT(DATE(VALUE(RIGHT(B1341,4)),VALUE(MID(B1341,4,2)),VALUE(LEFT(B1341,2))),"MMM-YYYY")</f>
        <v>Nov-2023</v>
      </c>
      <c r="AF1341" s="1" t="n">
        <f aca="false">VALUE(RIGHT(B1341,4))</f>
        <v>2023</v>
      </c>
      <c r="AG1341" s="1" t="str">
        <f aca="false">CHOOSE(ROUNDUP(VALUE(MID(B1341,4,2))/3,0),"Q1","Q2","Q3","Q4")</f>
        <v>Q4</v>
      </c>
    </row>
    <row r="1342" customFormat="false" ht="15" hidden="false" customHeight="true" outlineLevel="0" collapsed="false">
      <c r="A1342" s="1" t="s">
        <v>2130</v>
      </c>
      <c r="B1342" s="1" t="s">
        <v>259</v>
      </c>
      <c r="C1342" s="1" t="s">
        <v>28</v>
      </c>
      <c r="D1342" s="1" t="s">
        <v>123</v>
      </c>
      <c r="E1342" s="1" t="s">
        <v>233</v>
      </c>
      <c r="F1342" s="1" t="s">
        <v>211</v>
      </c>
      <c r="G1342" s="1" t="s">
        <v>56</v>
      </c>
      <c r="H1342" s="1" t="s">
        <v>69</v>
      </c>
      <c r="I1342" s="1" t="s">
        <v>58</v>
      </c>
      <c r="J1342" s="1" t="s">
        <v>131</v>
      </c>
      <c r="K1342" s="1" t="s">
        <v>48</v>
      </c>
      <c r="L1342" s="1" t="s">
        <v>49</v>
      </c>
      <c r="M1342" s="1" t="s">
        <v>50</v>
      </c>
      <c r="N1342" s="1" t="n">
        <v>8999</v>
      </c>
      <c r="O1342" s="1" t="n">
        <v>0</v>
      </c>
      <c r="P1342" s="1" t="n">
        <v>0</v>
      </c>
      <c r="Q1342" s="1" t="n">
        <v>8999</v>
      </c>
      <c r="R1342" s="1" t="n">
        <v>1619.82</v>
      </c>
      <c r="S1342" s="1" t="n">
        <v>7379.18</v>
      </c>
      <c r="T1342" s="1" t="n">
        <v>3502.04</v>
      </c>
      <c r="U1342" s="1" t="n">
        <v>3877.14</v>
      </c>
      <c r="V1342" s="1" t="n">
        <v>52.54</v>
      </c>
      <c r="W1342" s="1" t="s">
        <v>40</v>
      </c>
      <c r="Y1342" s="1" t="s">
        <v>39</v>
      </c>
      <c r="Z1342" s="1" t="n">
        <v>0</v>
      </c>
      <c r="AA1342" s="1" t="str">
        <f aca="false">TRIM(PROPER(F1342))</f>
        <v>Noida</v>
      </c>
      <c r="AB1342" s="1" t="str">
        <f aca="false">TRIM(PROPER(C1342))</f>
        <v>Embibe</v>
      </c>
      <c r="AC1342" s="1" t="str">
        <f aca="false">IF(O1342=0,"No Discount",IF(O1342&lt;=15,"Low (1-15%)",IF(O1342&lt;=30,"Medium (16-30%)","High (&gt;30%)")))</f>
        <v>No Discount</v>
      </c>
      <c r="AD1342" s="1" t="str">
        <f aca="false">IF(V1342&lt;0,"Loss Making",IF(V1342&lt;20,"Low Margin","Healthy Margin"))</f>
        <v>Healthy Margin</v>
      </c>
      <c r="AE1342" s="1" t="str">
        <f aca="false">TEXT(DATE(VALUE(RIGHT(B1342,4)),VALUE(MID(B1342,4,2)),VALUE(LEFT(B1342,2))),"MMM-YYYY")</f>
        <v>Dec-2024</v>
      </c>
      <c r="AF1342" s="1" t="n">
        <f aca="false">VALUE(RIGHT(B1342,4))</f>
        <v>2024</v>
      </c>
      <c r="AG1342" s="1" t="str">
        <f aca="false">CHOOSE(ROUNDUP(VALUE(MID(B1342,4,2))/3,0),"Q1","Q2","Q3","Q4")</f>
        <v>Q4</v>
      </c>
    </row>
    <row r="1343" customFormat="false" ht="15" hidden="false" customHeight="true" outlineLevel="0" collapsed="false">
      <c r="A1343" s="1" t="s">
        <v>2131</v>
      </c>
      <c r="B1343" s="1" t="s">
        <v>92</v>
      </c>
      <c r="C1343" s="1" t="s">
        <v>139</v>
      </c>
      <c r="D1343" s="1" t="s">
        <v>94</v>
      </c>
      <c r="E1343" s="1" t="s">
        <v>95</v>
      </c>
      <c r="F1343" s="1" t="s">
        <v>187</v>
      </c>
      <c r="G1343" s="1" t="s">
        <v>97</v>
      </c>
      <c r="H1343" s="1" t="s">
        <v>69</v>
      </c>
      <c r="I1343" s="1" t="s">
        <v>34</v>
      </c>
      <c r="J1343" s="1" t="s">
        <v>77</v>
      </c>
      <c r="K1343" s="1" t="s">
        <v>36</v>
      </c>
      <c r="L1343" s="1" t="s">
        <v>37</v>
      </c>
      <c r="M1343" s="1" t="s">
        <v>38</v>
      </c>
      <c r="N1343" s="1" t="n">
        <v>6999</v>
      </c>
      <c r="O1343" s="1" t="n">
        <v>20</v>
      </c>
      <c r="P1343" s="1" t="n">
        <v>1399.8</v>
      </c>
      <c r="Q1343" s="1" t="n">
        <v>5599.2</v>
      </c>
      <c r="R1343" s="1" t="n">
        <v>1007.86</v>
      </c>
      <c r="S1343" s="1" t="n">
        <v>4591.34</v>
      </c>
      <c r="T1343" s="1" t="n">
        <v>2085.5</v>
      </c>
      <c r="U1343" s="1" t="n">
        <v>2505.84</v>
      </c>
      <c r="V1343" s="1" t="n">
        <v>54.58</v>
      </c>
      <c r="W1343" s="1" t="s">
        <v>39</v>
      </c>
      <c r="X1343" s="1" t="n">
        <v>3.9</v>
      </c>
      <c r="Y1343" s="1" t="s">
        <v>40</v>
      </c>
      <c r="Z1343" s="1" t="n">
        <v>0</v>
      </c>
      <c r="AA1343" s="1" t="str">
        <f aca="false">TRIM(PROPER(F1343))</f>
        <v>Mumbai</v>
      </c>
      <c r="AB1343" s="1" t="str">
        <f aca="false">TRIM(PROPER(C1343))</f>
        <v>Extramarks</v>
      </c>
      <c r="AC1343" s="1" t="str">
        <f aca="false">IF(O1343=0,"No Discount",IF(O1343&lt;=15,"Low (1-15%)",IF(O1343&lt;=30,"Medium (16-30%)","High (&gt;30%)")))</f>
        <v>Medium (16-30%)</v>
      </c>
      <c r="AD1343" s="1" t="str">
        <f aca="false">IF(V1343&lt;0,"Loss Making",IF(V1343&lt;20,"Low Margin","Healthy Margin"))</f>
        <v>Healthy Margin</v>
      </c>
      <c r="AE1343" s="1" t="str">
        <f aca="false">TEXT(DATE(VALUE(RIGHT(B1343,4)),VALUE(MID(B1343,4,2)),VALUE(LEFT(B1343,2))),"MMM-YYYY")</f>
        <v>Jan-2024</v>
      </c>
      <c r="AF1343" s="1" t="n">
        <f aca="false">VALUE(RIGHT(B1343,4))</f>
        <v>2024</v>
      </c>
      <c r="AG1343" s="1" t="str">
        <f aca="false">CHOOSE(ROUNDUP(VALUE(MID(B1343,4,2))/3,0),"Q1","Q2","Q3","Q4")</f>
        <v>Q1</v>
      </c>
    </row>
    <row r="1344" customFormat="false" ht="15" hidden="false" customHeight="true" outlineLevel="0" collapsed="false">
      <c r="A1344" s="1" t="s">
        <v>2132</v>
      </c>
      <c r="B1344" s="1" t="s">
        <v>1163</v>
      </c>
      <c r="C1344" s="1" t="s">
        <v>28</v>
      </c>
      <c r="D1344" s="1" t="s">
        <v>168</v>
      </c>
      <c r="E1344" s="1" t="s">
        <v>197</v>
      </c>
      <c r="F1344" s="1" t="s">
        <v>153</v>
      </c>
      <c r="G1344" s="1" t="s">
        <v>76</v>
      </c>
      <c r="H1344" s="1" t="s">
        <v>33</v>
      </c>
      <c r="I1344" s="1" t="s">
        <v>58</v>
      </c>
      <c r="J1344" s="1" t="s">
        <v>77</v>
      </c>
      <c r="K1344" s="1" t="s">
        <v>48</v>
      </c>
      <c r="L1344" s="1" t="s">
        <v>61</v>
      </c>
      <c r="M1344" s="1" t="s">
        <v>38</v>
      </c>
      <c r="N1344" s="1" t="n">
        <v>8499</v>
      </c>
      <c r="O1344" s="1" t="n">
        <v>15</v>
      </c>
      <c r="P1344" s="1" t="n">
        <v>1274.85</v>
      </c>
      <c r="Q1344" s="1" t="n">
        <v>7224.15</v>
      </c>
      <c r="R1344" s="1" t="n">
        <v>1300.35</v>
      </c>
      <c r="S1344" s="1" t="n">
        <v>5923.8</v>
      </c>
      <c r="T1344" s="1" t="n">
        <v>2871.68</v>
      </c>
      <c r="U1344" s="1" t="n">
        <v>3052.12</v>
      </c>
      <c r="V1344" s="1" t="n">
        <v>51.52</v>
      </c>
      <c r="W1344" s="1" t="s">
        <v>39</v>
      </c>
      <c r="X1344" s="1" t="n">
        <v>3.6</v>
      </c>
      <c r="Y1344" s="1" t="s">
        <v>40</v>
      </c>
      <c r="Z1344" s="1" t="n">
        <v>0</v>
      </c>
      <c r="AA1344" s="1" t="str">
        <f aca="false">TRIM(PROPER(F1344))</f>
        <v>Howrah</v>
      </c>
      <c r="AB1344" s="1" t="str">
        <f aca="false">TRIM(PROPER(C1344))</f>
        <v>Embibe</v>
      </c>
      <c r="AC1344" s="1" t="str">
        <f aca="false">IF(O1344=0,"No Discount",IF(O1344&lt;=15,"Low (1-15%)",IF(O1344&lt;=30,"Medium (16-30%)","High (&gt;30%)")))</f>
        <v>Low (1-15%)</v>
      </c>
      <c r="AD1344" s="1" t="str">
        <f aca="false">IF(V1344&lt;0,"Loss Making",IF(V1344&lt;20,"Low Margin","Healthy Margin"))</f>
        <v>Healthy Margin</v>
      </c>
      <c r="AE1344" s="1" t="str">
        <f aca="false">TEXT(DATE(VALUE(RIGHT(B1344,4)),VALUE(MID(B1344,4,2)),VALUE(LEFT(B1344,2))),"MMM-YYYY")</f>
        <v>May-2024</v>
      </c>
      <c r="AF1344" s="1" t="n">
        <f aca="false">VALUE(RIGHT(B1344,4))</f>
        <v>2024</v>
      </c>
      <c r="AG1344" s="1" t="str">
        <f aca="false">CHOOSE(ROUNDUP(VALUE(MID(B1344,4,2))/3,0),"Q1","Q2","Q3","Q4")</f>
        <v>Q2</v>
      </c>
    </row>
    <row r="1345" customFormat="false" ht="15" hidden="false" customHeight="true" outlineLevel="0" collapsed="false">
      <c r="A1345" s="1" t="s">
        <v>2133</v>
      </c>
      <c r="B1345" s="1" t="s">
        <v>1956</v>
      </c>
      <c r="C1345" s="1" t="s">
        <v>178</v>
      </c>
      <c r="D1345" s="1" t="s">
        <v>168</v>
      </c>
      <c r="E1345" s="1" t="s">
        <v>197</v>
      </c>
      <c r="F1345" s="1" t="s">
        <v>82</v>
      </c>
      <c r="G1345" s="1" t="s">
        <v>56</v>
      </c>
      <c r="H1345" s="1" t="s">
        <v>69</v>
      </c>
      <c r="I1345" s="1" t="s">
        <v>58</v>
      </c>
      <c r="J1345" s="1" t="s">
        <v>70</v>
      </c>
      <c r="K1345" s="1" t="s">
        <v>36</v>
      </c>
      <c r="L1345" s="1" t="s">
        <v>37</v>
      </c>
      <c r="M1345" s="1" t="s">
        <v>38</v>
      </c>
      <c r="N1345" s="1" t="n">
        <v>8499</v>
      </c>
      <c r="O1345" s="1" t="n">
        <v>25</v>
      </c>
      <c r="P1345" s="1" t="n">
        <v>2124.75</v>
      </c>
      <c r="Q1345" s="1" t="n">
        <v>6374.25</v>
      </c>
      <c r="R1345" s="1" t="n">
        <v>1147.37</v>
      </c>
      <c r="S1345" s="1" t="n">
        <v>5226.88</v>
      </c>
      <c r="T1345" s="1" t="n">
        <v>1939.58</v>
      </c>
      <c r="U1345" s="1" t="n">
        <v>3287.3</v>
      </c>
      <c r="V1345" s="1" t="n">
        <v>62.89</v>
      </c>
      <c r="W1345" s="1" t="s">
        <v>40</v>
      </c>
      <c r="Y1345" s="1" t="s">
        <v>40</v>
      </c>
      <c r="Z1345" s="1" t="n">
        <v>1</v>
      </c>
      <c r="AA1345" s="1" t="str">
        <f aca="false">TRIM(PROPER(F1345))</f>
        <v>Gurugram</v>
      </c>
      <c r="AB1345" s="1" t="str">
        <f aca="false">TRIM(PROPER(C1345))</f>
        <v>Leverage Edu</v>
      </c>
      <c r="AC1345" s="1" t="str">
        <f aca="false">IF(O1345=0,"No Discount",IF(O1345&lt;=15,"Low (1-15%)",IF(O1345&lt;=30,"Medium (16-30%)","High (&gt;30%)")))</f>
        <v>Medium (16-30%)</v>
      </c>
      <c r="AD1345" s="1" t="str">
        <f aca="false">IF(V1345&lt;0,"Loss Making",IF(V1345&lt;20,"Low Margin","Healthy Margin"))</f>
        <v>Healthy Margin</v>
      </c>
      <c r="AE1345" s="1" t="str">
        <f aca="false">TEXT(DATE(VALUE(RIGHT(B1345,4)),VALUE(MID(B1345,4,2)),VALUE(LEFT(B1345,2))),"MMM-YYYY")</f>
        <v>Mar-2024</v>
      </c>
      <c r="AF1345" s="1" t="n">
        <f aca="false">VALUE(RIGHT(B1345,4))</f>
        <v>2024</v>
      </c>
      <c r="AG1345" s="1" t="str">
        <f aca="false">CHOOSE(ROUNDUP(VALUE(MID(B1345,4,2))/3,0),"Q1","Q2","Q3","Q4")</f>
        <v>Q1</v>
      </c>
    </row>
    <row r="1346" customFormat="false" ht="15" hidden="false" customHeight="true" outlineLevel="0" collapsed="false">
      <c r="A1346" s="1" t="s">
        <v>2134</v>
      </c>
      <c r="B1346" s="1" t="s">
        <v>257</v>
      </c>
      <c r="C1346" s="1" t="s">
        <v>74</v>
      </c>
      <c r="D1346" s="1" t="s">
        <v>143</v>
      </c>
      <c r="E1346" s="1" t="s">
        <v>210</v>
      </c>
      <c r="F1346" s="1" t="s">
        <v>130</v>
      </c>
      <c r="G1346" s="1" t="s">
        <v>47</v>
      </c>
      <c r="H1346" s="1" t="s">
        <v>69</v>
      </c>
      <c r="I1346" s="1" t="s">
        <v>34</v>
      </c>
      <c r="J1346" s="1" t="s">
        <v>77</v>
      </c>
      <c r="K1346" s="1" t="s">
        <v>90</v>
      </c>
      <c r="L1346" s="1" t="s">
        <v>136</v>
      </c>
      <c r="M1346" s="1" t="s">
        <v>38</v>
      </c>
      <c r="N1346" s="1" t="n">
        <v>18999</v>
      </c>
      <c r="O1346" s="1" t="n">
        <v>30</v>
      </c>
      <c r="P1346" s="1" t="n">
        <v>5699.7</v>
      </c>
      <c r="Q1346" s="1" t="n">
        <v>13299.3</v>
      </c>
      <c r="R1346" s="1" t="n">
        <v>2393.87</v>
      </c>
      <c r="S1346" s="1" t="n">
        <v>10905.43</v>
      </c>
      <c r="T1346" s="1" t="n">
        <v>4501.21</v>
      </c>
      <c r="U1346" s="1" t="n">
        <v>6404.22</v>
      </c>
      <c r="V1346" s="1" t="n">
        <v>58.73</v>
      </c>
      <c r="W1346" s="1" t="s">
        <v>39</v>
      </c>
      <c r="X1346" s="1" t="n">
        <v>3.4</v>
      </c>
      <c r="Y1346" s="1" t="s">
        <v>40</v>
      </c>
      <c r="Z1346" s="1" t="n">
        <v>0</v>
      </c>
      <c r="AA1346" s="1" t="str">
        <f aca="false">TRIM(PROPER(F1346))</f>
        <v>Bengaluru</v>
      </c>
      <c r="AB1346" s="1" t="str">
        <f aca="false">TRIM(PROPER(C1346))</f>
        <v>Vedantu</v>
      </c>
      <c r="AC1346" s="1" t="str">
        <f aca="false">IF(O1346=0,"No Discount",IF(O1346&lt;=15,"Low (1-15%)",IF(O1346&lt;=30,"Medium (16-30%)","High (&gt;30%)")))</f>
        <v>Medium (16-30%)</v>
      </c>
      <c r="AD1346" s="1" t="str">
        <f aca="false">IF(V1346&lt;0,"Loss Making",IF(V1346&lt;20,"Low Margin","Healthy Margin"))</f>
        <v>Healthy Margin</v>
      </c>
      <c r="AE1346" s="1" t="str">
        <f aca="false">TEXT(DATE(VALUE(RIGHT(B1346,4)),VALUE(MID(B1346,4,2)),VALUE(LEFT(B1346,2))),"MMM-YYYY")</f>
        <v>Jun-2023</v>
      </c>
      <c r="AF1346" s="1" t="n">
        <f aca="false">VALUE(RIGHT(B1346,4))</f>
        <v>2023</v>
      </c>
      <c r="AG1346" s="1" t="str">
        <f aca="false">CHOOSE(ROUNDUP(VALUE(MID(B1346,4,2))/3,0),"Q1","Q2","Q3","Q4")</f>
        <v>Q2</v>
      </c>
    </row>
    <row r="1347" customFormat="false" ht="15" hidden="false" customHeight="true" outlineLevel="0" collapsed="false">
      <c r="A1347" s="1" t="s">
        <v>2135</v>
      </c>
      <c r="B1347" s="1" t="s">
        <v>259</v>
      </c>
      <c r="C1347" s="1" t="s">
        <v>249</v>
      </c>
      <c r="D1347" s="1" t="s">
        <v>53</v>
      </c>
      <c r="E1347" s="1" t="s">
        <v>54</v>
      </c>
      <c r="F1347" s="1" t="s">
        <v>102</v>
      </c>
      <c r="G1347" s="1" t="s">
        <v>103</v>
      </c>
      <c r="H1347" s="1" t="s">
        <v>33</v>
      </c>
      <c r="I1347" s="1" t="s">
        <v>34</v>
      </c>
      <c r="J1347" s="1" t="s">
        <v>59</v>
      </c>
      <c r="K1347" s="1" t="s">
        <v>71</v>
      </c>
      <c r="L1347" s="1" t="s">
        <v>136</v>
      </c>
      <c r="M1347" s="1" t="s">
        <v>38</v>
      </c>
      <c r="N1347" s="1" t="n">
        <v>11999</v>
      </c>
      <c r="O1347" s="1" t="n">
        <v>40</v>
      </c>
      <c r="P1347" s="1" t="n">
        <v>4799.6</v>
      </c>
      <c r="Q1347" s="1" t="n">
        <v>7199.4</v>
      </c>
      <c r="R1347" s="1" t="n">
        <v>1295.89</v>
      </c>
      <c r="S1347" s="1" t="n">
        <v>5903.51</v>
      </c>
      <c r="T1347" s="1" t="n">
        <v>2800.12</v>
      </c>
      <c r="U1347" s="1" t="n">
        <v>3103.39</v>
      </c>
      <c r="V1347" s="1" t="n">
        <v>52.57</v>
      </c>
      <c r="W1347" s="1" t="s">
        <v>39</v>
      </c>
      <c r="X1347" s="1" t="n">
        <v>3.6</v>
      </c>
      <c r="Y1347" s="1" t="s">
        <v>40</v>
      </c>
      <c r="Z1347" s="1" t="n">
        <v>0</v>
      </c>
      <c r="AA1347" s="1" t="str">
        <f aca="false">TRIM(PROPER(F1347))</f>
        <v>Warangal</v>
      </c>
      <c r="AB1347" s="1" t="str">
        <f aca="false">TRIM(PROPER(C1347))</f>
        <v>Whitehat Jr</v>
      </c>
      <c r="AC1347" s="1" t="str">
        <f aca="false">IF(O1347=0,"No Discount",IF(O1347&lt;=15,"Low (1-15%)",IF(O1347&lt;=30,"Medium (16-30%)","High (&gt;30%)")))</f>
        <v>High (&gt;30%)</v>
      </c>
      <c r="AD1347" s="1" t="str">
        <f aca="false">IF(V1347&lt;0,"Loss Making",IF(V1347&lt;20,"Low Margin","Healthy Margin"))</f>
        <v>Healthy Margin</v>
      </c>
      <c r="AE1347" s="1" t="str">
        <f aca="false">TEXT(DATE(VALUE(RIGHT(B1347,4)),VALUE(MID(B1347,4,2)),VALUE(LEFT(B1347,2))),"MMM-YYYY")</f>
        <v>Dec-2024</v>
      </c>
      <c r="AF1347" s="1" t="n">
        <f aca="false">VALUE(RIGHT(B1347,4))</f>
        <v>2024</v>
      </c>
      <c r="AG1347" s="1" t="str">
        <f aca="false">CHOOSE(ROUNDUP(VALUE(MID(B1347,4,2))/3,0),"Q1","Q2","Q3","Q4")</f>
        <v>Q4</v>
      </c>
    </row>
    <row r="1348" customFormat="false" ht="15" hidden="false" customHeight="true" outlineLevel="0" collapsed="false">
      <c r="A1348" s="1" t="s">
        <v>2136</v>
      </c>
      <c r="B1348" s="1" t="s">
        <v>2137</v>
      </c>
      <c r="C1348" s="1" t="s">
        <v>178</v>
      </c>
      <c r="D1348" s="1" t="s">
        <v>29</v>
      </c>
      <c r="E1348" s="1" t="s">
        <v>305</v>
      </c>
      <c r="F1348" s="1" t="s">
        <v>31</v>
      </c>
      <c r="G1348" s="1" t="s">
        <v>32</v>
      </c>
      <c r="H1348" s="1" t="s">
        <v>33</v>
      </c>
      <c r="I1348" s="1" t="s">
        <v>34</v>
      </c>
      <c r="J1348" s="1" t="s">
        <v>59</v>
      </c>
      <c r="K1348" s="1" t="s">
        <v>104</v>
      </c>
      <c r="L1348" s="1" t="s">
        <v>85</v>
      </c>
      <c r="M1348" s="1" t="s">
        <v>62</v>
      </c>
      <c r="N1348" s="1" t="n">
        <v>24999</v>
      </c>
      <c r="O1348" s="1" t="n">
        <v>0</v>
      </c>
      <c r="P1348" s="1" t="n">
        <v>0</v>
      </c>
      <c r="Q1348" s="1" t="n">
        <v>24999</v>
      </c>
      <c r="R1348" s="1" t="n">
        <v>4499.82</v>
      </c>
      <c r="S1348" s="1" t="n">
        <v>20499.18</v>
      </c>
      <c r="T1348" s="1" t="n">
        <v>7905.8</v>
      </c>
      <c r="U1348" s="1" t="n">
        <v>12593.38</v>
      </c>
      <c r="V1348" s="1" t="n">
        <v>61.43</v>
      </c>
      <c r="W1348" s="1" t="s">
        <v>39</v>
      </c>
      <c r="X1348" s="1" t="n">
        <v>3.2</v>
      </c>
      <c r="Y1348" s="1" t="s">
        <v>40</v>
      </c>
      <c r="Z1348" s="1" t="n">
        <v>0</v>
      </c>
      <c r="AA1348" s="1" t="str">
        <f aca="false">TRIM(PROPER(F1348))</f>
        <v>Jodhpur</v>
      </c>
      <c r="AB1348" s="1" t="str">
        <f aca="false">TRIM(PROPER(C1348))</f>
        <v>Leverage Edu</v>
      </c>
      <c r="AC1348" s="1" t="str">
        <f aca="false">IF(O1348=0,"No Discount",IF(O1348&lt;=15,"Low (1-15%)",IF(O1348&lt;=30,"Medium (16-30%)","High (&gt;30%)")))</f>
        <v>No Discount</v>
      </c>
      <c r="AD1348" s="1" t="str">
        <f aca="false">IF(V1348&lt;0,"Loss Making",IF(V1348&lt;20,"Low Margin","Healthy Margin"))</f>
        <v>Healthy Margin</v>
      </c>
      <c r="AE1348" s="1" t="str">
        <f aca="false">TEXT(DATE(VALUE(RIGHT(B1348,4)),VALUE(MID(B1348,4,2)),VALUE(LEFT(B1348,2))),"MMM-YYYY")</f>
        <v>Aug-2024</v>
      </c>
      <c r="AF1348" s="1" t="n">
        <f aca="false">VALUE(RIGHT(B1348,4))</f>
        <v>2024</v>
      </c>
      <c r="AG1348" s="1" t="str">
        <f aca="false">CHOOSE(ROUNDUP(VALUE(MID(B1348,4,2))/3,0),"Q1","Q2","Q3","Q4")</f>
        <v>Q3</v>
      </c>
    </row>
    <row r="1349" customFormat="false" ht="15" hidden="false" customHeight="true" outlineLevel="0" collapsed="false">
      <c r="A1349" s="1" t="s">
        <v>2138</v>
      </c>
      <c r="B1349" s="1" t="s">
        <v>730</v>
      </c>
      <c r="C1349" s="1" t="s">
        <v>167</v>
      </c>
      <c r="D1349" s="1" t="s">
        <v>168</v>
      </c>
      <c r="E1349" s="1" t="s">
        <v>172</v>
      </c>
      <c r="F1349" s="1" t="s">
        <v>205</v>
      </c>
      <c r="G1349" s="1" t="s">
        <v>56</v>
      </c>
      <c r="H1349" s="1" t="s">
        <v>69</v>
      </c>
      <c r="I1349" s="1" t="s">
        <v>34</v>
      </c>
      <c r="J1349" s="1" t="s">
        <v>59</v>
      </c>
      <c r="K1349" s="1" t="s">
        <v>112</v>
      </c>
      <c r="L1349" s="1" t="s">
        <v>85</v>
      </c>
      <c r="M1349" s="1" t="s">
        <v>38</v>
      </c>
      <c r="N1349" s="1" t="n">
        <v>6999</v>
      </c>
      <c r="O1349" s="1" t="n">
        <v>0</v>
      </c>
      <c r="P1349" s="1" t="n">
        <v>0</v>
      </c>
      <c r="Q1349" s="1" t="n">
        <v>6999</v>
      </c>
      <c r="R1349" s="1" t="n">
        <v>1259.82</v>
      </c>
      <c r="S1349" s="1" t="n">
        <v>5739.18</v>
      </c>
      <c r="T1349" s="1" t="n">
        <v>2570.09</v>
      </c>
      <c r="U1349" s="1" t="n">
        <v>3169.09</v>
      </c>
      <c r="V1349" s="1" t="n">
        <v>55.22</v>
      </c>
      <c r="W1349" s="1" t="s">
        <v>39</v>
      </c>
      <c r="X1349" s="1" t="n">
        <v>3.7</v>
      </c>
      <c r="Y1349" s="1" t="s">
        <v>40</v>
      </c>
      <c r="Z1349" s="1" t="n">
        <v>0</v>
      </c>
      <c r="AA1349" s="1" t="str">
        <f aca="false">TRIM(PROPER(F1349))</f>
        <v>New Delhi</v>
      </c>
      <c r="AB1349" s="1" t="str">
        <f aca="false">TRIM(PROPER(C1349))</f>
        <v>Scaler</v>
      </c>
      <c r="AC1349" s="1" t="str">
        <f aca="false">IF(O1349=0,"No Discount",IF(O1349&lt;=15,"Low (1-15%)",IF(O1349&lt;=30,"Medium (16-30%)","High (&gt;30%)")))</f>
        <v>No Discount</v>
      </c>
      <c r="AD1349" s="1" t="str">
        <f aca="false">IF(V1349&lt;0,"Loss Making",IF(V1349&lt;20,"Low Margin","Healthy Margin"))</f>
        <v>Healthy Margin</v>
      </c>
      <c r="AE1349" s="1" t="str">
        <f aca="false">TEXT(DATE(VALUE(RIGHT(B1349,4)),VALUE(MID(B1349,4,2)),VALUE(LEFT(B1349,2))),"MMM-YYYY")</f>
        <v>Jun-2024</v>
      </c>
      <c r="AF1349" s="1" t="n">
        <f aca="false">VALUE(RIGHT(B1349,4))</f>
        <v>2024</v>
      </c>
      <c r="AG1349" s="1" t="str">
        <f aca="false">CHOOSE(ROUNDUP(VALUE(MID(B1349,4,2))/3,0),"Q1","Q2","Q3","Q4")</f>
        <v>Q2</v>
      </c>
    </row>
    <row r="1350" customFormat="false" ht="15" hidden="false" customHeight="true" outlineLevel="0" collapsed="false">
      <c r="A1350" s="1" t="s">
        <v>2139</v>
      </c>
      <c r="B1350" s="1" t="s">
        <v>248</v>
      </c>
      <c r="C1350" s="1" t="s">
        <v>134</v>
      </c>
      <c r="D1350" s="1" t="s">
        <v>94</v>
      </c>
      <c r="E1350" s="1" t="s">
        <v>95</v>
      </c>
      <c r="F1350" s="1" t="s">
        <v>31</v>
      </c>
      <c r="G1350" s="1" t="s">
        <v>32</v>
      </c>
      <c r="H1350" s="1" t="s">
        <v>33</v>
      </c>
      <c r="I1350" s="1" t="s">
        <v>83</v>
      </c>
      <c r="J1350" s="1" t="s">
        <v>70</v>
      </c>
      <c r="K1350" s="1" t="s">
        <v>84</v>
      </c>
      <c r="L1350" s="1" t="s">
        <v>136</v>
      </c>
      <c r="M1350" s="1" t="s">
        <v>62</v>
      </c>
      <c r="N1350" s="1" t="n">
        <v>6999</v>
      </c>
      <c r="O1350" s="1" t="n">
        <v>40</v>
      </c>
      <c r="P1350" s="1" t="n">
        <v>2799.6</v>
      </c>
      <c r="Q1350" s="1" t="n">
        <v>4199.4</v>
      </c>
      <c r="R1350" s="1" t="n">
        <v>755.89</v>
      </c>
      <c r="S1350" s="1" t="n">
        <v>3443.51</v>
      </c>
      <c r="T1350" s="1" t="n">
        <v>2127.95</v>
      </c>
      <c r="U1350" s="1" t="n">
        <v>1315.56</v>
      </c>
      <c r="V1350" s="1" t="n">
        <v>38.2</v>
      </c>
      <c r="W1350" s="1" t="s">
        <v>40</v>
      </c>
      <c r="Y1350" s="1" t="s">
        <v>39</v>
      </c>
      <c r="Z1350" s="1" t="n">
        <v>0</v>
      </c>
      <c r="AA1350" s="1" t="str">
        <f aca="false">TRIM(PROPER(F1350))</f>
        <v>Jodhpur</v>
      </c>
      <c r="AB1350" s="1" t="str">
        <f aca="false">TRIM(PROPER(C1350))</f>
        <v>Doubtnut</v>
      </c>
      <c r="AC1350" s="1" t="str">
        <f aca="false">IF(O1350=0,"No Discount",IF(O1350&lt;=15,"Low (1-15%)",IF(O1350&lt;=30,"Medium (16-30%)","High (&gt;30%)")))</f>
        <v>High (&gt;30%)</v>
      </c>
      <c r="AD1350" s="1" t="str">
        <f aca="false">IF(V1350&lt;0,"Loss Making",IF(V1350&lt;20,"Low Margin","Healthy Margin"))</f>
        <v>Healthy Margin</v>
      </c>
      <c r="AE1350" s="1" t="str">
        <f aca="false">TEXT(DATE(VALUE(RIGHT(B1350,4)),VALUE(MID(B1350,4,2)),VALUE(LEFT(B1350,2))),"MMM-YYYY")</f>
        <v>Jul-2024</v>
      </c>
      <c r="AF1350" s="1" t="n">
        <f aca="false">VALUE(RIGHT(B1350,4))</f>
        <v>2024</v>
      </c>
      <c r="AG1350" s="1" t="str">
        <f aca="false">CHOOSE(ROUNDUP(VALUE(MID(B1350,4,2))/3,0),"Q1","Q2","Q3","Q4")</f>
        <v>Q3</v>
      </c>
    </row>
    <row r="1351" customFormat="false" ht="15" hidden="false" customHeight="true" outlineLevel="0" collapsed="false">
      <c r="A1351" s="1" t="s">
        <v>2140</v>
      </c>
      <c r="B1351" s="1" t="s">
        <v>915</v>
      </c>
      <c r="C1351" s="1" t="s">
        <v>28</v>
      </c>
      <c r="D1351" s="1" t="s">
        <v>44</v>
      </c>
      <c r="E1351" s="1" t="s">
        <v>45</v>
      </c>
      <c r="F1351" s="1" t="s">
        <v>194</v>
      </c>
      <c r="G1351" s="1" t="s">
        <v>103</v>
      </c>
      <c r="H1351" s="1" t="s">
        <v>69</v>
      </c>
      <c r="I1351" s="1" t="s">
        <v>34</v>
      </c>
      <c r="J1351" s="1" t="s">
        <v>70</v>
      </c>
      <c r="K1351" s="1" t="s">
        <v>90</v>
      </c>
      <c r="L1351" s="1" t="s">
        <v>61</v>
      </c>
      <c r="M1351" s="1" t="s">
        <v>38</v>
      </c>
      <c r="N1351" s="1" t="n">
        <v>11999</v>
      </c>
      <c r="O1351" s="1" t="n">
        <v>20</v>
      </c>
      <c r="P1351" s="1" t="n">
        <v>2399.8</v>
      </c>
      <c r="Q1351" s="1" t="n">
        <v>9599.2</v>
      </c>
      <c r="R1351" s="1" t="n">
        <v>1727.86</v>
      </c>
      <c r="S1351" s="1" t="n">
        <v>7871.34</v>
      </c>
      <c r="T1351" s="1" t="n">
        <v>2970.37</v>
      </c>
      <c r="U1351" s="1" t="n">
        <v>4900.97</v>
      </c>
      <c r="V1351" s="1" t="n">
        <v>62.26</v>
      </c>
      <c r="W1351" s="1" t="s">
        <v>40</v>
      </c>
      <c r="Y1351" s="1" t="s">
        <v>40</v>
      </c>
      <c r="Z1351" s="1" t="n">
        <v>2</v>
      </c>
      <c r="AA1351" s="1" t="str">
        <f aca="false">TRIM(PROPER(F1351))</f>
        <v>Hyderabad</v>
      </c>
      <c r="AB1351" s="1" t="str">
        <f aca="false">TRIM(PROPER(C1351))</f>
        <v>Embibe</v>
      </c>
      <c r="AC1351" s="1" t="str">
        <f aca="false">IF(O1351=0,"No Discount",IF(O1351&lt;=15,"Low (1-15%)",IF(O1351&lt;=30,"Medium (16-30%)","High (&gt;30%)")))</f>
        <v>Medium (16-30%)</v>
      </c>
      <c r="AD1351" s="1" t="str">
        <f aca="false">IF(V1351&lt;0,"Loss Making",IF(V1351&lt;20,"Low Margin","Healthy Margin"))</f>
        <v>Healthy Margin</v>
      </c>
      <c r="AE1351" s="1" t="str">
        <f aca="false">TEXT(DATE(VALUE(RIGHT(B1351,4)),VALUE(MID(B1351,4,2)),VALUE(LEFT(B1351,2))),"MMM-YYYY")</f>
        <v>Jun-2023</v>
      </c>
      <c r="AF1351" s="1" t="n">
        <f aca="false">VALUE(RIGHT(B1351,4))</f>
        <v>2023</v>
      </c>
      <c r="AG1351" s="1" t="str">
        <f aca="false">CHOOSE(ROUNDUP(VALUE(MID(B1351,4,2))/3,0),"Q1","Q2","Q3","Q4")</f>
        <v>Q2</v>
      </c>
    </row>
    <row r="1352" customFormat="false" ht="15" hidden="false" customHeight="true" outlineLevel="0" collapsed="false">
      <c r="A1352" s="1" t="s">
        <v>2141</v>
      </c>
      <c r="B1352" s="1" t="s">
        <v>537</v>
      </c>
      <c r="C1352" s="1" t="s">
        <v>100</v>
      </c>
      <c r="D1352" s="1" t="s">
        <v>168</v>
      </c>
      <c r="E1352" s="1" t="s">
        <v>328</v>
      </c>
      <c r="F1352" s="1" t="s">
        <v>187</v>
      </c>
      <c r="G1352" s="1" t="s">
        <v>97</v>
      </c>
      <c r="H1352" s="1" t="s">
        <v>69</v>
      </c>
      <c r="I1352" s="1" t="s">
        <v>34</v>
      </c>
      <c r="J1352" s="1" t="s">
        <v>35</v>
      </c>
      <c r="K1352" s="1" t="s">
        <v>71</v>
      </c>
      <c r="L1352" s="1" t="s">
        <v>85</v>
      </c>
      <c r="M1352" s="1" t="s">
        <v>62</v>
      </c>
      <c r="N1352" s="1" t="n">
        <v>8999</v>
      </c>
      <c r="O1352" s="1" t="n">
        <v>30</v>
      </c>
      <c r="P1352" s="1" t="n">
        <v>2699.7</v>
      </c>
      <c r="Q1352" s="1" t="n">
        <v>6299.3</v>
      </c>
      <c r="R1352" s="1" t="n">
        <v>1133.87</v>
      </c>
      <c r="S1352" s="1" t="n">
        <v>5165.43</v>
      </c>
      <c r="T1352" s="1" t="n">
        <v>2152.55</v>
      </c>
      <c r="U1352" s="1" t="n">
        <v>3012.88</v>
      </c>
      <c r="V1352" s="1" t="n">
        <v>58.33</v>
      </c>
      <c r="W1352" s="1" t="s">
        <v>39</v>
      </c>
      <c r="X1352" s="1" t="n">
        <v>3.2</v>
      </c>
      <c r="Y1352" s="1" t="s">
        <v>40</v>
      </c>
      <c r="Z1352" s="1" t="n">
        <v>0</v>
      </c>
      <c r="AA1352" s="1" t="str">
        <f aca="false">TRIM(PROPER(F1352))</f>
        <v>Mumbai</v>
      </c>
      <c r="AB1352" s="1" t="str">
        <f aca="false">TRIM(PROPER(C1352))</f>
        <v>Physics Wallah</v>
      </c>
      <c r="AC1352" s="1" t="str">
        <f aca="false">IF(O1352=0,"No Discount",IF(O1352&lt;=15,"Low (1-15%)",IF(O1352&lt;=30,"Medium (16-30%)","High (&gt;30%)")))</f>
        <v>Medium (16-30%)</v>
      </c>
      <c r="AD1352" s="1" t="str">
        <f aca="false">IF(V1352&lt;0,"Loss Making",IF(V1352&lt;20,"Low Margin","Healthy Margin"))</f>
        <v>Healthy Margin</v>
      </c>
      <c r="AE1352" s="1" t="str">
        <f aca="false">TEXT(DATE(VALUE(RIGHT(B1352,4)),VALUE(MID(B1352,4,2)),VALUE(LEFT(B1352,2))),"MMM-YYYY")</f>
        <v>Mar-2024</v>
      </c>
      <c r="AF1352" s="1" t="n">
        <f aca="false">VALUE(RIGHT(B1352,4))</f>
        <v>2024</v>
      </c>
      <c r="AG1352" s="1" t="str">
        <f aca="false">CHOOSE(ROUNDUP(VALUE(MID(B1352,4,2))/3,0),"Q1","Q2","Q3","Q4")</f>
        <v>Q1</v>
      </c>
    </row>
    <row r="1353" customFormat="false" ht="15" hidden="false" customHeight="true" outlineLevel="0" collapsed="false">
      <c r="A1353" s="1" t="s">
        <v>2142</v>
      </c>
      <c r="B1353" s="1" t="s">
        <v>382</v>
      </c>
      <c r="C1353" s="1" t="s">
        <v>167</v>
      </c>
      <c r="D1353" s="1" t="s">
        <v>94</v>
      </c>
      <c r="E1353" s="1" t="s">
        <v>135</v>
      </c>
      <c r="F1353" s="1" t="s">
        <v>102</v>
      </c>
      <c r="G1353" s="1" t="s">
        <v>103</v>
      </c>
      <c r="H1353" s="1" t="s">
        <v>33</v>
      </c>
      <c r="I1353" s="1" t="s">
        <v>83</v>
      </c>
      <c r="J1353" s="1" t="s">
        <v>70</v>
      </c>
      <c r="K1353" s="1" t="s">
        <v>104</v>
      </c>
      <c r="L1353" s="1" t="s">
        <v>37</v>
      </c>
      <c r="M1353" s="1" t="s">
        <v>50</v>
      </c>
      <c r="N1353" s="1" t="n">
        <v>9999</v>
      </c>
      <c r="O1353" s="1" t="n">
        <v>5</v>
      </c>
      <c r="P1353" s="1" t="n">
        <v>499.95</v>
      </c>
      <c r="Q1353" s="1" t="n">
        <v>9499.05</v>
      </c>
      <c r="R1353" s="1" t="n">
        <v>1709.83</v>
      </c>
      <c r="S1353" s="1" t="n">
        <v>7789.22</v>
      </c>
      <c r="T1353" s="1" t="n">
        <v>3164.13</v>
      </c>
      <c r="U1353" s="1" t="n">
        <v>4625.09</v>
      </c>
      <c r="V1353" s="1" t="n">
        <v>59.38</v>
      </c>
      <c r="W1353" s="1" t="s">
        <v>40</v>
      </c>
      <c r="Y1353" s="1" t="s">
        <v>39</v>
      </c>
      <c r="Z1353" s="1" t="n">
        <v>1</v>
      </c>
      <c r="AA1353" s="1" t="str">
        <f aca="false">TRIM(PROPER(F1353))</f>
        <v>Warangal</v>
      </c>
      <c r="AB1353" s="1" t="str">
        <f aca="false">TRIM(PROPER(C1353))</f>
        <v>Scaler</v>
      </c>
      <c r="AC1353" s="1" t="str">
        <f aca="false">IF(O1353=0,"No Discount",IF(O1353&lt;=15,"Low (1-15%)",IF(O1353&lt;=30,"Medium (16-30%)","High (&gt;30%)")))</f>
        <v>Low (1-15%)</v>
      </c>
      <c r="AD1353" s="1" t="str">
        <f aca="false">IF(V1353&lt;0,"Loss Making",IF(V1353&lt;20,"Low Margin","Healthy Margin"))</f>
        <v>Healthy Margin</v>
      </c>
      <c r="AE1353" s="1" t="str">
        <f aca="false">TEXT(DATE(VALUE(RIGHT(B1353,4)),VALUE(MID(B1353,4,2)),VALUE(LEFT(B1353,2))),"MMM-YYYY")</f>
        <v>Jan-2024</v>
      </c>
      <c r="AF1353" s="1" t="n">
        <f aca="false">VALUE(RIGHT(B1353,4))</f>
        <v>2024</v>
      </c>
      <c r="AG1353" s="1" t="str">
        <f aca="false">CHOOSE(ROUNDUP(VALUE(MID(B1353,4,2))/3,0),"Q1","Q2","Q3","Q4")</f>
        <v>Q1</v>
      </c>
    </row>
    <row r="1354" customFormat="false" ht="15" hidden="false" customHeight="true" outlineLevel="0" collapsed="false">
      <c r="A1354" s="1" t="s">
        <v>2143</v>
      </c>
      <c r="B1354" s="1" t="s">
        <v>1355</v>
      </c>
      <c r="C1354" s="1" t="s">
        <v>128</v>
      </c>
      <c r="D1354" s="1" t="s">
        <v>143</v>
      </c>
      <c r="E1354" s="1" t="s">
        <v>162</v>
      </c>
      <c r="F1354" s="1" t="s">
        <v>156</v>
      </c>
      <c r="G1354" s="1" t="s">
        <v>68</v>
      </c>
      <c r="H1354" s="1" t="s">
        <v>57</v>
      </c>
      <c r="I1354" s="1" t="s">
        <v>83</v>
      </c>
      <c r="J1354" s="1" t="s">
        <v>77</v>
      </c>
      <c r="K1354" s="1" t="s">
        <v>104</v>
      </c>
      <c r="L1354" s="1" t="s">
        <v>136</v>
      </c>
      <c r="M1354" s="1" t="s">
        <v>38</v>
      </c>
      <c r="N1354" s="1" t="n">
        <v>14999</v>
      </c>
      <c r="O1354" s="1" t="n">
        <v>10</v>
      </c>
      <c r="P1354" s="1" t="n">
        <v>1499.9</v>
      </c>
      <c r="Q1354" s="1" t="n">
        <v>13499.1</v>
      </c>
      <c r="R1354" s="1" t="n">
        <v>2429.84</v>
      </c>
      <c r="S1354" s="1" t="n">
        <v>11069.26</v>
      </c>
      <c r="T1354" s="1" t="n">
        <v>4772.28</v>
      </c>
      <c r="U1354" s="1" t="n">
        <v>6296.98</v>
      </c>
      <c r="V1354" s="1" t="n">
        <v>56.89</v>
      </c>
      <c r="W1354" s="1" t="s">
        <v>40</v>
      </c>
      <c r="Y1354" s="1" t="s">
        <v>40</v>
      </c>
      <c r="Z1354" s="1" t="n">
        <v>1</v>
      </c>
      <c r="AA1354" s="1" t="str">
        <f aca="false">TRIM(PROPER(F1354))</f>
        <v>Surat</v>
      </c>
      <c r="AB1354" s="1" t="str">
        <f aca="false">TRIM(PROPER(C1354))</f>
        <v>Great Learning</v>
      </c>
      <c r="AC1354" s="1" t="str">
        <f aca="false">IF(O1354=0,"No Discount",IF(O1354&lt;=15,"Low (1-15%)",IF(O1354&lt;=30,"Medium (16-30%)","High (&gt;30%)")))</f>
        <v>Low (1-15%)</v>
      </c>
      <c r="AD1354" s="1" t="str">
        <f aca="false">IF(V1354&lt;0,"Loss Making",IF(V1354&lt;20,"Low Margin","Healthy Margin"))</f>
        <v>Healthy Margin</v>
      </c>
      <c r="AE1354" s="1" t="str">
        <f aca="false">TEXT(DATE(VALUE(RIGHT(B1354,4)),VALUE(MID(B1354,4,2)),VALUE(LEFT(B1354,2))),"MMM-YYYY")</f>
        <v>Aug-2024</v>
      </c>
      <c r="AF1354" s="1" t="n">
        <f aca="false">VALUE(RIGHT(B1354,4))</f>
        <v>2024</v>
      </c>
      <c r="AG1354" s="1" t="str">
        <f aca="false">CHOOSE(ROUNDUP(VALUE(MID(B1354,4,2))/3,0),"Q1","Q2","Q3","Q4")</f>
        <v>Q3</v>
      </c>
    </row>
    <row r="1355" customFormat="false" ht="15" hidden="false" customHeight="true" outlineLevel="0" collapsed="false">
      <c r="A1355" s="1" t="s">
        <v>2144</v>
      </c>
      <c r="B1355" s="1" t="s">
        <v>2145</v>
      </c>
      <c r="C1355" s="1" t="s">
        <v>128</v>
      </c>
      <c r="D1355" s="1" t="s">
        <v>94</v>
      </c>
      <c r="E1355" s="1" t="s">
        <v>135</v>
      </c>
      <c r="F1355" s="1" t="s">
        <v>156</v>
      </c>
      <c r="G1355" s="1" t="s">
        <v>68</v>
      </c>
      <c r="H1355" s="1" t="s">
        <v>57</v>
      </c>
      <c r="I1355" s="1" t="s">
        <v>34</v>
      </c>
      <c r="J1355" s="1" t="s">
        <v>35</v>
      </c>
      <c r="K1355" s="1" t="s">
        <v>112</v>
      </c>
      <c r="L1355" s="1" t="s">
        <v>85</v>
      </c>
      <c r="M1355" s="1" t="s">
        <v>38</v>
      </c>
      <c r="N1355" s="1" t="n">
        <v>9999</v>
      </c>
      <c r="O1355" s="1" t="n">
        <v>25</v>
      </c>
      <c r="P1355" s="1" t="n">
        <v>2499.75</v>
      </c>
      <c r="Q1355" s="1" t="n">
        <v>7499.25</v>
      </c>
      <c r="R1355" s="1" t="n">
        <v>1349.87</v>
      </c>
      <c r="S1355" s="1" t="n">
        <v>6149.38</v>
      </c>
      <c r="T1355" s="1" t="n">
        <v>3144.02</v>
      </c>
      <c r="U1355" s="1" t="n">
        <v>3005.36</v>
      </c>
      <c r="V1355" s="1" t="n">
        <v>48.87</v>
      </c>
      <c r="W1355" s="1" t="s">
        <v>39</v>
      </c>
      <c r="X1355" s="1" t="n">
        <v>3.2</v>
      </c>
      <c r="Y1355" s="1" t="s">
        <v>40</v>
      </c>
      <c r="Z1355" s="1" t="n">
        <v>0</v>
      </c>
      <c r="AA1355" s="1" t="str">
        <f aca="false">TRIM(PROPER(F1355))</f>
        <v>Surat</v>
      </c>
      <c r="AB1355" s="1" t="str">
        <f aca="false">TRIM(PROPER(C1355))</f>
        <v>Great Learning</v>
      </c>
      <c r="AC1355" s="1" t="str">
        <f aca="false">IF(O1355=0,"No Discount",IF(O1355&lt;=15,"Low (1-15%)",IF(O1355&lt;=30,"Medium (16-30%)","High (&gt;30%)")))</f>
        <v>Medium (16-30%)</v>
      </c>
      <c r="AD1355" s="1" t="str">
        <f aca="false">IF(V1355&lt;0,"Loss Making",IF(V1355&lt;20,"Low Margin","Healthy Margin"))</f>
        <v>Healthy Margin</v>
      </c>
      <c r="AE1355" s="1" t="str">
        <f aca="false">TEXT(DATE(VALUE(RIGHT(B1355,4)),VALUE(MID(B1355,4,2)),VALUE(LEFT(B1355,2))),"MMM-YYYY")</f>
        <v>Aug-2023</v>
      </c>
      <c r="AF1355" s="1" t="n">
        <f aca="false">VALUE(RIGHT(B1355,4))</f>
        <v>2023</v>
      </c>
      <c r="AG1355" s="1" t="str">
        <f aca="false">CHOOSE(ROUNDUP(VALUE(MID(B1355,4,2))/3,0),"Q1","Q2","Q3","Q4")</f>
        <v>Q3</v>
      </c>
    </row>
    <row r="1356" customFormat="false" ht="15" hidden="false" customHeight="true" outlineLevel="0" collapsed="false">
      <c r="A1356" s="1" t="s">
        <v>2146</v>
      </c>
      <c r="B1356" s="1" t="s">
        <v>1959</v>
      </c>
      <c r="C1356" s="1" t="s">
        <v>264</v>
      </c>
      <c r="D1356" s="1" t="s">
        <v>44</v>
      </c>
      <c r="E1356" s="1" t="s">
        <v>221</v>
      </c>
      <c r="F1356" s="1" t="s">
        <v>184</v>
      </c>
      <c r="G1356" s="1" t="s">
        <v>56</v>
      </c>
      <c r="H1356" s="1" t="s">
        <v>57</v>
      </c>
      <c r="I1356" s="1" t="s">
        <v>83</v>
      </c>
      <c r="J1356" s="1" t="s">
        <v>59</v>
      </c>
      <c r="K1356" s="1" t="s">
        <v>36</v>
      </c>
      <c r="L1356" s="1" t="s">
        <v>113</v>
      </c>
      <c r="M1356" s="1" t="s">
        <v>62</v>
      </c>
      <c r="N1356" s="1" t="n">
        <v>16999</v>
      </c>
      <c r="O1356" s="1" t="n">
        <v>5</v>
      </c>
      <c r="P1356" s="1" t="n">
        <v>849.95</v>
      </c>
      <c r="Q1356" s="1" t="n">
        <v>16149.05</v>
      </c>
      <c r="R1356" s="1" t="n">
        <v>2906.83</v>
      </c>
      <c r="S1356" s="1" t="n">
        <v>13242.22</v>
      </c>
      <c r="T1356" s="1" t="n">
        <v>6788.52</v>
      </c>
      <c r="U1356" s="1" t="n">
        <v>6453.7</v>
      </c>
      <c r="V1356" s="1" t="n">
        <v>48.74</v>
      </c>
      <c r="W1356" s="1" t="s">
        <v>40</v>
      </c>
      <c r="Y1356" s="1" t="s">
        <v>40</v>
      </c>
      <c r="Z1356" s="1" t="n">
        <v>0</v>
      </c>
      <c r="AA1356" s="1" t="str">
        <f aca="false">TRIM(PROPER(F1356))</f>
        <v>Faridabad</v>
      </c>
      <c r="AB1356" s="1" t="str">
        <f aca="false">TRIM(PROPER(C1356))</f>
        <v>Unacademy</v>
      </c>
      <c r="AC1356" s="1" t="str">
        <f aca="false">IF(O1356=0,"No Discount",IF(O1356&lt;=15,"Low (1-15%)",IF(O1356&lt;=30,"Medium (16-30%)","High (&gt;30%)")))</f>
        <v>Low (1-15%)</v>
      </c>
      <c r="AD1356" s="1" t="str">
        <f aca="false">IF(V1356&lt;0,"Loss Making",IF(V1356&lt;20,"Low Margin","Healthy Margin"))</f>
        <v>Healthy Margin</v>
      </c>
      <c r="AE1356" s="1" t="str">
        <f aca="false">TEXT(DATE(VALUE(RIGHT(B1356,4)),VALUE(MID(B1356,4,2)),VALUE(LEFT(B1356,2))),"MMM-YYYY")</f>
        <v>Feb-2023</v>
      </c>
      <c r="AF1356" s="1" t="n">
        <f aca="false">VALUE(RIGHT(B1356,4))</f>
        <v>2023</v>
      </c>
      <c r="AG1356" s="1" t="str">
        <f aca="false">CHOOSE(ROUNDUP(VALUE(MID(B1356,4,2))/3,0),"Q1","Q2","Q3","Q4")</f>
        <v>Q1</v>
      </c>
    </row>
    <row r="1357" customFormat="false" ht="15" hidden="false" customHeight="true" outlineLevel="0" collapsed="false">
      <c r="A1357" s="1" t="s">
        <v>2147</v>
      </c>
      <c r="B1357" s="1" t="s">
        <v>812</v>
      </c>
      <c r="C1357" s="1" t="s">
        <v>249</v>
      </c>
      <c r="D1357" s="1" t="s">
        <v>123</v>
      </c>
      <c r="E1357" s="1" t="s">
        <v>233</v>
      </c>
      <c r="F1357" s="1" t="s">
        <v>67</v>
      </c>
      <c r="G1357" s="1" t="s">
        <v>68</v>
      </c>
      <c r="H1357" s="1" t="s">
        <v>69</v>
      </c>
      <c r="I1357" s="1" t="s">
        <v>83</v>
      </c>
      <c r="J1357" s="1" t="s">
        <v>35</v>
      </c>
      <c r="K1357" s="1" t="s">
        <v>48</v>
      </c>
      <c r="L1357" s="1" t="s">
        <v>85</v>
      </c>
      <c r="M1357" s="1" t="s">
        <v>62</v>
      </c>
      <c r="N1357" s="1" t="n">
        <v>8999</v>
      </c>
      <c r="O1357" s="1" t="n">
        <v>20</v>
      </c>
      <c r="P1357" s="1" t="n">
        <v>1799.8</v>
      </c>
      <c r="Q1357" s="1" t="n">
        <v>7199.2</v>
      </c>
      <c r="R1357" s="1" t="n">
        <v>1295.86</v>
      </c>
      <c r="S1357" s="1" t="n">
        <v>5903.34</v>
      </c>
      <c r="T1357" s="1" t="n">
        <v>2489.28</v>
      </c>
      <c r="U1357" s="1" t="n">
        <v>3414.06</v>
      </c>
      <c r="V1357" s="1" t="n">
        <v>57.83</v>
      </c>
      <c r="W1357" s="1" t="s">
        <v>39</v>
      </c>
      <c r="X1357" s="1" t="n">
        <v>3.5</v>
      </c>
      <c r="Y1357" s="1" t="s">
        <v>40</v>
      </c>
      <c r="Z1357" s="1" t="n">
        <v>0</v>
      </c>
      <c r="AA1357" s="1" t="str">
        <f aca="false">TRIM(PROPER(F1357))</f>
        <v>Ahmedabad</v>
      </c>
      <c r="AB1357" s="1" t="str">
        <f aca="false">TRIM(PROPER(C1357))</f>
        <v>Whitehat Jr</v>
      </c>
      <c r="AC1357" s="1" t="str">
        <f aca="false">IF(O1357=0,"No Discount",IF(O1357&lt;=15,"Low (1-15%)",IF(O1357&lt;=30,"Medium (16-30%)","High (&gt;30%)")))</f>
        <v>Medium (16-30%)</v>
      </c>
      <c r="AD1357" s="1" t="str">
        <f aca="false">IF(V1357&lt;0,"Loss Making",IF(V1357&lt;20,"Low Margin","Healthy Margin"))</f>
        <v>Healthy Margin</v>
      </c>
      <c r="AE1357" s="1" t="str">
        <f aca="false">TEXT(DATE(VALUE(RIGHT(B1357,4)),VALUE(MID(B1357,4,2)),VALUE(LEFT(B1357,2))),"MMM-YYYY")</f>
        <v>Jan-2024</v>
      </c>
      <c r="AF1357" s="1" t="n">
        <f aca="false">VALUE(RIGHT(B1357,4))</f>
        <v>2024</v>
      </c>
      <c r="AG1357" s="1" t="str">
        <f aca="false">CHOOSE(ROUNDUP(VALUE(MID(B1357,4,2))/3,0),"Q1","Q2","Q3","Q4")</f>
        <v>Q1</v>
      </c>
    </row>
    <row r="1358" customFormat="false" ht="15" hidden="false" customHeight="true" outlineLevel="0" collapsed="false">
      <c r="A1358" s="1" t="s">
        <v>2148</v>
      </c>
      <c r="B1358" s="1" t="s">
        <v>2149</v>
      </c>
      <c r="C1358" s="1" t="s">
        <v>74</v>
      </c>
      <c r="D1358" s="1" t="s">
        <v>168</v>
      </c>
      <c r="E1358" s="1" t="s">
        <v>197</v>
      </c>
      <c r="F1358" s="1" t="s">
        <v>102</v>
      </c>
      <c r="G1358" s="1" t="s">
        <v>103</v>
      </c>
      <c r="H1358" s="1" t="s">
        <v>33</v>
      </c>
      <c r="I1358" s="1" t="s">
        <v>34</v>
      </c>
      <c r="J1358" s="1" t="s">
        <v>131</v>
      </c>
      <c r="K1358" s="1" t="s">
        <v>60</v>
      </c>
      <c r="L1358" s="1" t="s">
        <v>85</v>
      </c>
      <c r="M1358" s="1" t="s">
        <v>62</v>
      </c>
      <c r="N1358" s="1" t="n">
        <v>8499</v>
      </c>
      <c r="O1358" s="1" t="n">
        <v>30</v>
      </c>
      <c r="P1358" s="1" t="n">
        <v>2549.7</v>
      </c>
      <c r="Q1358" s="1" t="n">
        <v>5949.3</v>
      </c>
      <c r="R1358" s="1" t="n">
        <v>1070.87</v>
      </c>
      <c r="S1358" s="1" t="n">
        <v>4878.43</v>
      </c>
      <c r="T1358" s="1" t="n">
        <v>2139.34</v>
      </c>
      <c r="U1358" s="1" t="n">
        <v>2739.09</v>
      </c>
      <c r="V1358" s="1" t="n">
        <v>56.15</v>
      </c>
      <c r="W1358" s="1" t="s">
        <v>40</v>
      </c>
      <c r="Y1358" s="1" t="s">
        <v>39</v>
      </c>
      <c r="Z1358" s="1" t="n">
        <v>0</v>
      </c>
      <c r="AA1358" s="1" t="str">
        <f aca="false">TRIM(PROPER(F1358))</f>
        <v>Warangal</v>
      </c>
      <c r="AB1358" s="1" t="str">
        <f aca="false">TRIM(PROPER(C1358))</f>
        <v>Vedantu</v>
      </c>
      <c r="AC1358" s="1" t="str">
        <f aca="false">IF(O1358=0,"No Discount",IF(O1358&lt;=15,"Low (1-15%)",IF(O1358&lt;=30,"Medium (16-30%)","High (&gt;30%)")))</f>
        <v>Medium (16-30%)</v>
      </c>
      <c r="AD1358" s="1" t="str">
        <f aca="false">IF(V1358&lt;0,"Loss Making",IF(V1358&lt;20,"Low Margin","Healthy Margin"))</f>
        <v>Healthy Margin</v>
      </c>
      <c r="AE1358" s="1" t="str">
        <f aca="false">TEXT(DATE(VALUE(RIGHT(B1358,4)),VALUE(MID(B1358,4,2)),VALUE(LEFT(B1358,2))),"MMM-YYYY")</f>
        <v>Sep-2023</v>
      </c>
      <c r="AF1358" s="1" t="n">
        <f aca="false">VALUE(RIGHT(B1358,4))</f>
        <v>2023</v>
      </c>
      <c r="AG1358" s="1" t="str">
        <f aca="false">CHOOSE(ROUNDUP(VALUE(MID(B1358,4,2))/3,0),"Q1","Q2","Q3","Q4")</f>
        <v>Q3</v>
      </c>
    </row>
    <row r="1359" customFormat="false" ht="15" hidden="false" customHeight="true" outlineLevel="0" collapsed="false">
      <c r="A1359" s="1" t="s">
        <v>2150</v>
      </c>
      <c r="B1359" s="1" t="s">
        <v>1423</v>
      </c>
      <c r="C1359" s="1" t="s">
        <v>119</v>
      </c>
      <c r="D1359" s="1" t="s">
        <v>29</v>
      </c>
      <c r="E1359" s="1" t="s">
        <v>30</v>
      </c>
      <c r="F1359" s="1" t="s">
        <v>46</v>
      </c>
      <c r="G1359" s="1" t="s">
        <v>47</v>
      </c>
      <c r="H1359" s="1" t="s">
        <v>33</v>
      </c>
      <c r="I1359" s="1" t="s">
        <v>34</v>
      </c>
      <c r="J1359" s="1" t="s">
        <v>70</v>
      </c>
      <c r="K1359" s="1" t="s">
        <v>84</v>
      </c>
      <c r="L1359" s="1" t="s">
        <v>136</v>
      </c>
      <c r="M1359" s="1" t="s">
        <v>62</v>
      </c>
      <c r="N1359" s="1" t="n">
        <v>7999</v>
      </c>
      <c r="O1359" s="1" t="n">
        <v>15</v>
      </c>
      <c r="P1359" s="1" t="n">
        <v>1199.85</v>
      </c>
      <c r="Q1359" s="1" t="n">
        <v>6799.15</v>
      </c>
      <c r="R1359" s="1" t="n">
        <v>1223.85</v>
      </c>
      <c r="S1359" s="1" t="n">
        <v>5575.3</v>
      </c>
      <c r="T1359" s="1" t="n">
        <v>2682.3</v>
      </c>
      <c r="U1359" s="1" t="n">
        <v>2893</v>
      </c>
      <c r="V1359" s="1" t="n">
        <v>51.89</v>
      </c>
      <c r="W1359" s="1" t="s">
        <v>40</v>
      </c>
      <c r="Y1359" s="1" t="s">
        <v>40</v>
      </c>
      <c r="Z1359" s="1" t="n">
        <v>0</v>
      </c>
      <c r="AA1359" s="1" t="str">
        <f aca="false">TRIM(PROPER(F1359))</f>
        <v>Mangaluru</v>
      </c>
      <c r="AB1359" s="1" t="str">
        <f aca="false">TRIM(PROPER(C1359))</f>
        <v>Simplilearn</v>
      </c>
      <c r="AC1359" s="1" t="str">
        <f aca="false">IF(O1359=0,"No Discount",IF(O1359&lt;=15,"Low (1-15%)",IF(O1359&lt;=30,"Medium (16-30%)","High (&gt;30%)")))</f>
        <v>Low (1-15%)</v>
      </c>
      <c r="AD1359" s="1" t="str">
        <f aca="false">IF(V1359&lt;0,"Loss Making",IF(V1359&lt;20,"Low Margin","Healthy Margin"))</f>
        <v>Healthy Margin</v>
      </c>
      <c r="AE1359" s="1" t="str">
        <f aca="false">TEXT(DATE(VALUE(RIGHT(B1359,4)),VALUE(MID(B1359,4,2)),VALUE(LEFT(B1359,2))),"MMM-YYYY")</f>
        <v>Apr-2023</v>
      </c>
      <c r="AF1359" s="1" t="n">
        <f aca="false">VALUE(RIGHT(B1359,4))</f>
        <v>2023</v>
      </c>
      <c r="AG1359" s="1" t="str">
        <f aca="false">CHOOSE(ROUNDUP(VALUE(MID(B1359,4,2))/3,0),"Q1","Q2","Q3","Q4")</f>
        <v>Q2</v>
      </c>
    </row>
    <row r="1360" customFormat="false" ht="15" hidden="false" customHeight="true" outlineLevel="0" collapsed="false">
      <c r="A1360" s="1" t="s">
        <v>2151</v>
      </c>
      <c r="B1360" s="1" t="s">
        <v>395</v>
      </c>
      <c r="C1360" s="1" t="s">
        <v>93</v>
      </c>
      <c r="D1360" s="1" t="s">
        <v>94</v>
      </c>
      <c r="E1360" s="1" t="s">
        <v>95</v>
      </c>
      <c r="F1360" s="1" t="s">
        <v>140</v>
      </c>
      <c r="G1360" s="1" t="s">
        <v>97</v>
      </c>
      <c r="H1360" s="1" t="s">
        <v>57</v>
      </c>
      <c r="I1360" s="1" t="s">
        <v>34</v>
      </c>
      <c r="J1360" s="1" t="s">
        <v>59</v>
      </c>
      <c r="K1360" s="1" t="s">
        <v>60</v>
      </c>
      <c r="L1360" s="1" t="s">
        <v>61</v>
      </c>
      <c r="M1360" s="1" t="s">
        <v>50</v>
      </c>
      <c r="N1360" s="1" t="n">
        <v>6999</v>
      </c>
      <c r="O1360" s="1" t="n">
        <v>0</v>
      </c>
      <c r="P1360" s="1" t="n">
        <v>0</v>
      </c>
      <c r="Q1360" s="1" t="n">
        <v>6999</v>
      </c>
      <c r="R1360" s="1" t="n">
        <v>1259.82</v>
      </c>
      <c r="S1360" s="1" t="n">
        <v>5739.18</v>
      </c>
      <c r="T1360" s="1" t="n">
        <v>2700.48</v>
      </c>
      <c r="U1360" s="1" t="n">
        <v>3038.7</v>
      </c>
      <c r="V1360" s="1" t="n">
        <v>52.95</v>
      </c>
      <c r="W1360" s="1" t="s">
        <v>39</v>
      </c>
      <c r="X1360" s="1" t="n">
        <v>3.9</v>
      </c>
      <c r="Y1360" s="1" t="s">
        <v>40</v>
      </c>
      <c r="Z1360" s="1" t="n">
        <v>0</v>
      </c>
      <c r="AA1360" s="1" t="str">
        <f aca="false">TRIM(PROPER(F1360))</f>
        <v>Nashik</v>
      </c>
      <c r="AB1360" s="1" t="str">
        <f aca="false">TRIM(PROPER(C1360))</f>
        <v>Upgrad</v>
      </c>
      <c r="AC1360" s="1" t="str">
        <f aca="false">IF(O1360=0,"No Discount",IF(O1360&lt;=15,"Low (1-15%)",IF(O1360&lt;=30,"Medium (16-30%)","High (&gt;30%)")))</f>
        <v>No Discount</v>
      </c>
      <c r="AD1360" s="1" t="str">
        <f aca="false">IF(V1360&lt;0,"Loss Making",IF(V1360&lt;20,"Low Margin","Healthy Margin"))</f>
        <v>Healthy Margin</v>
      </c>
      <c r="AE1360" s="1" t="str">
        <f aca="false">TEXT(DATE(VALUE(RIGHT(B1360,4)),VALUE(MID(B1360,4,2)),VALUE(LEFT(B1360,2))),"MMM-YYYY")</f>
        <v>Sep-2024</v>
      </c>
      <c r="AF1360" s="1" t="n">
        <f aca="false">VALUE(RIGHT(B1360,4))</f>
        <v>2024</v>
      </c>
      <c r="AG1360" s="1" t="str">
        <f aca="false">CHOOSE(ROUNDUP(VALUE(MID(B1360,4,2))/3,0),"Q1","Q2","Q3","Q4")</f>
        <v>Q3</v>
      </c>
    </row>
    <row r="1361" customFormat="false" ht="15" hidden="false" customHeight="true" outlineLevel="0" collapsed="false">
      <c r="A1361" s="1" t="s">
        <v>2152</v>
      </c>
      <c r="B1361" s="1" t="s">
        <v>1410</v>
      </c>
      <c r="C1361" s="1" t="s">
        <v>100</v>
      </c>
      <c r="D1361" s="1" t="s">
        <v>80</v>
      </c>
      <c r="E1361" s="1" t="s">
        <v>193</v>
      </c>
      <c r="F1361" s="1" t="s">
        <v>130</v>
      </c>
      <c r="G1361" s="1" t="s">
        <v>47</v>
      </c>
      <c r="H1361" s="1" t="s">
        <v>69</v>
      </c>
      <c r="I1361" s="1" t="s">
        <v>34</v>
      </c>
      <c r="J1361" s="1" t="s">
        <v>77</v>
      </c>
      <c r="K1361" s="1" t="s">
        <v>84</v>
      </c>
      <c r="L1361" s="1" t="s">
        <v>113</v>
      </c>
      <c r="M1361" s="1" t="s">
        <v>62</v>
      </c>
      <c r="N1361" s="1" t="n">
        <v>8999</v>
      </c>
      <c r="O1361" s="1" t="n">
        <v>10</v>
      </c>
      <c r="P1361" s="1" t="n">
        <v>899.9</v>
      </c>
      <c r="Q1361" s="1" t="n">
        <v>8099.1</v>
      </c>
      <c r="R1361" s="1" t="n">
        <v>1457.84</v>
      </c>
      <c r="S1361" s="1" t="n">
        <v>6641.26</v>
      </c>
      <c r="T1361" s="1" t="n">
        <v>2506.31</v>
      </c>
      <c r="U1361" s="1" t="n">
        <v>4134.95</v>
      </c>
      <c r="V1361" s="1" t="n">
        <v>62.26</v>
      </c>
      <c r="W1361" s="1" t="s">
        <v>40</v>
      </c>
      <c r="Y1361" s="1" t="s">
        <v>40</v>
      </c>
      <c r="Z1361" s="1" t="n">
        <v>1</v>
      </c>
      <c r="AA1361" s="1" t="str">
        <f aca="false">TRIM(PROPER(F1361))</f>
        <v>Bengaluru</v>
      </c>
      <c r="AB1361" s="1" t="str">
        <f aca="false">TRIM(PROPER(C1361))</f>
        <v>Physics Wallah</v>
      </c>
      <c r="AC1361" s="1" t="str">
        <f aca="false">IF(O1361=0,"No Discount",IF(O1361&lt;=15,"Low (1-15%)",IF(O1361&lt;=30,"Medium (16-30%)","High (&gt;30%)")))</f>
        <v>Low (1-15%)</v>
      </c>
      <c r="AD1361" s="1" t="str">
        <f aca="false">IF(V1361&lt;0,"Loss Making",IF(V1361&lt;20,"Low Margin","Healthy Margin"))</f>
        <v>Healthy Margin</v>
      </c>
      <c r="AE1361" s="1" t="str">
        <f aca="false">TEXT(DATE(VALUE(RIGHT(B1361,4)),VALUE(MID(B1361,4,2)),VALUE(LEFT(B1361,2))),"MMM-YYYY")</f>
        <v>Nov-2024</v>
      </c>
      <c r="AF1361" s="1" t="n">
        <f aca="false">VALUE(RIGHT(B1361,4))</f>
        <v>2024</v>
      </c>
      <c r="AG1361" s="1" t="str">
        <f aca="false">CHOOSE(ROUNDUP(VALUE(MID(B1361,4,2))/3,0),"Q1","Q2","Q3","Q4")</f>
        <v>Q4</v>
      </c>
    </row>
    <row r="1362" customFormat="false" ht="15" hidden="false" customHeight="true" outlineLevel="0" collapsed="false">
      <c r="A1362" s="1" t="s">
        <v>2153</v>
      </c>
      <c r="B1362" s="1" t="s">
        <v>1671</v>
      </c>
      <c r="C1362" s="1" t="s">
        <v>74</v>
      </c>
      <c r="D1362" s="1" t="s">
        <v>80</v>
      </c>
      <c r="E1362" s="1" t="s">
        <v>81</v>
      </c>
      <c r="F1362" s="1" t="s">
        <v>150</v>
      </c>
      <c r="G1362" s="1" t="s">
        <v>32</v>
      </c>
      <c r="H1362" s="1" t="s">
        <v>57</v>
      </c>
      <c r="I1362" s="1" t="s">
        <v>34</v>
      </c>
      <c r="J1362" s="1" t="s">
        <v>59</v>
      </c>
      <c r="K1362" s="1" t="s">
        <v>36</v>
      </c>
      <c r="L1362" s="1" t="s">
        <v>85</v>
      </c>
      <c r="M1362" s="1" t="s">
        <v>62</v>
      </c>
      <c r="N1362" s="1" t="n">
        <v>12999</v>
      </c>
      <c r="O1362" s="1" t="n">
        <v>40</v>
      </c>
      <c r="P1362" s="1" t="n">
        <v>5199.6</v>
      </c>
      <c r="Q1362" s="1" t="n">
        <v>7799.4</v>
      </c>
      <c r="R1362" s="1" t="n">
        <v>1403.89</v>
      </c>
      <c r="S1362" s="1" t="n">
        <v>6395.51</v>
      </c>
      <c r="T1362" s="1" t="n">
        <v>3981.99</v>
      </c>
      <c r="U1362" s="1" t="n">
        <v>2413.52</v>
      </c>
      <c r="V1362" s="1" t="n">
        <v>37.74</v>
      </c>
      <c r="W1362" s="1" t="s">
        <v>39</v>
      </c>
      <c r="X1362" s="1" t="n">
        <v>3.4</v>
      </c>
      <c r="Y1362" s="1" t="s">
        <v>40</v>
      </c>
      <c r="Z1362" s="1" t="n">
        <v>0</v>
      </c>
      <c r="AA1362" s="1" t="str">
        <f aca="false">TRIM(PROPER(F1362))</f>
        <v>Jaipur</v>
      </c>
      <c r="AB1362" s="1" t="str">
        <f aca="false">TRIM(PROPER(C1362))</f>
        <v>Vedantu</v>
      </c>
      <c r="AC1362" s="1" t="str">
        <f aca="false">IF(O1362=0,"No Discount",IF(O1362&lt;=15,"Low (1-15%)",IF(O1362&lt;=30,"Medium (16-30%)","High (&gt;30%)")))</f>
        <v>High (&gt;30%)</v>
      </c>
      <c r="AD1362" s="1" t="str">
        <f aca="false">IF(V1362&lt;0,"Loss Making",IF(V1362&lt;20,"Low Margin","Healthy Margin"))</f>
        <v>Healthy Margin</v>
      </c>
      <c r="AE1362" s="1" t="str">
        <f aca="false">TEXT(DATE(VALUE(RIGHT(B1362,4)),VALUE(MID(B1362,4,2)),VALUE(LEFT(B1362,2))),"MMM-YYYY")</f>
        <v>May-2024</v>
      </c>
      <c r="AF1362" s="1" t="n">
        <f aca="false">VALUE(RIGHT(B1362,4))</f>
        <v>2024</v>
      </c>
      <c r="AG1362" s="1" t="str">
        <f aca="false">CHOOSE(ROUNDUP(VALUE(MID(B1362,4,2))/3,0),"Q1","Q2","Q3","Q4")</f>
        <v>Q2</v>
      </c>
    </row>
    <row r="1363" customFormat="false" ht="15" hidden="false" customHeight="true" outlineLevel="0" collapsed="false">
      <c r="A1363" s="1" t="s">
        <v>2154</v>
      </c>
      <c r="B1363" s="1" t="s">
        <v>549</v>
      </c>
      <c r="C1363" s="1" t="s">
        <v>28</v>
      </c>
      <c r="D1363" s="1" t="s">
        <v>53</v>
      </c>
      <c r="E1363" s="1" t="s">
        <v>116</v>
      </c>
      <c r="F1363" s="1" t="s">
        <v>156</v>
      </c>
      <c r="G1363" s="1" t="s">
        <v>68</v>
      </c>
      <c r="H1363" s="1" t="s">
        <v>57</v>
      </c>
      <c r="I1363" s="1" t="s">
        <v>34</v>
      </c>
      <c r="J1363" s="1" t="s">
        <v>131</v>
      </c>
      <c r="K1363" s="1" t="s">
        <v>104</v>
      </c>
      <c r="L1363" s="1" t="s">
        <v>49</v>
      </c>
      <c r="M1363" s="1" t="s">
        <v>62</v>
      </c>
      <c r="N1363" s="1" t="n">
        <v>9999</v>
      </c>
      <c r="O1363" s="1" t="n">
        <v>10</v>
      </c>
      <c r="P1363" s="1" t="n">
        <v>999.9</v>
      </c>
      <c r="Q1363" s="1" t="n">
        <v>8999.1</v>
      </c>
      <c r="R1363" s="1" t="n">
        <v>1619.84</v>
      </c>
      <c r="S1363" s="1" t="n">
        <v>7379.26</v>
      </c>
      <c r="T1363" s="1" t="n">
        <v>3489.3</v>
      </c>
      <c r="U1363" s="1" t="n">
        <v>3889.96</v>
      </c>
      <c r="V1363" s="1" t="n">
        <v>52.71</v>
      </c>
      <c r="W1363" s="1" t="s">
        <v>40</v>
      </c>
      <c r="Y1363" s="1" t="s">
        <v>40</v>
      </c>
      <c r="Z1363" s="1" t="n">
        <v>1</v>
      </c>
      <c r="AA1363" s="1" t="str">
        <f aca="false">TRIM(PROPER(F1363))</f>
        <v>Surat</v>
      </c>
      <c r="AB1363" s="1" t="str">
        <f aca="false">TRIM(PROPER(C1363))</f>
        <v>Embibe</v>
      </c>
      <c r="AC1363" s="1" t="str">
        <f aca="false">IF(O1363=0,"No Discount",IF(O1363&lt;=15,"Low (1-15%)",IF(O1363&lt;=30,"Medium (16-30%)","High (&gt;30%)")))</f>
        <v>Low (1-15%)</v>
      </c>
      <c r="AD1363" s="1" t="str">
        <f aca="false">IF(V1363&lt;0,"Loss Making",IF(V1363&lt;20,"Low Margin","Healthy Margin"))</f>
        <v>Healthy Margin</v>
      </c>
      <c r="AE1363" s="1" t="str">
        <f aca="false">TEXT(DATE(VALUE(RIGHT(B1363,4)),VALUE(MID(B1363,4,2)),VALUE(LEFT(B1363,2))),"MMM-YYYY")</f>
        <v>Apr-2023</v>
      </c>
      <c r="AF1363" s="1" t="n">
        <f aca="false">VALUE(RIGHT(B1363,4))</f>
        <v>2023</v>
      </c>
      <c r="AG1363" s="1" t="str">
        <f aca="false">CHOOSE(ROUNDUP(VALUE(MID(B1363,4,2))/3,0),"Q1","Q2","Q3","Q4")</f>
        <v>Q2</v>
      </c>
    </row>
    <row r="1364" customFormat="false" ht="15" hidden="false" customHeight="true" outlineLevel="0" collapsed="false">
      <c r="A1364" s="1" t="s">
        <v>2155</v>
      </c>
      <c r="B1364" s="1" t="s">
        <v>466</v>
      </c>
      <c r="C1364" s="1" t="s">
        <v>119</v>
      </c>
      <c r="D1364" s="1" t="s">
        <v>123</v>
      </c>
      <c r="E1364" s="1" t="s">
        <v>233</v>
      </c>
      <c r="F1364" s="1" t="s">
        <v>269</v>
      </c>
      <c r="G1364" s="1" t="s">
        <v>108</v>
      </c>
      <c r="H1364" s="1" t="s">
        <v>57</v>
      </c>
      <c r="I1364" s="1" t="s">
        <v>34</v>
      </c>
      <c r="J1364" s="1" t="s">
        <v>59</v>
      </c>
      <c r="K1364" s="1" t="s">
        <v>104</v>
      </c>
      <c r="L1364" s="1" t="s">
        <v>136</v>
      </c>
      <c r="M1364" s="1" t="s">
        <v>38</v>
      </c>
      <c r="N1364" s="1" t="n">
        <v>8999</v>
      </c>
      <c r="O1364" s="1" t="n">
        <v>15</v>
      </c>
      <c r="P1364" s="1" t="n">
        <v>1349.85</v>
      </c>
      <c r="Q1364" s="1" t="n">
        <v>7649.15</v>
      </c>
      <c r="R1364" s="1" t="n">
        <v>1376.85</v>
      </c>
      <c r="S1364" s="1" t="n">
        <v>6272.3</v>
      </c>
      <c r="T1364" s="1" t="n">
        <v>3167.93</v>
      </c>
      <c r="U1364" s="1" t="n">
        <v>3104.37</v>
      </c>
      <c r="V1364" s="1" t="n">
        <v>49.49</v>
      </c>
      <c r="W1364" s="1" t="s">
        <v>39</v>
      </c>
      <c r="Y1364" s="1" t="s">
        <v>40</v>
      </c>
      <c r="Z1364" s="1" t="n">
        <v>0</v>
      </c>
      <c r="AA1364" s="1" t="str">
        <f aca="false">TRIM(PROPER(F1364))</f>
        <v>Coimbatore</v>
      </c>
      <c r="AB1364" s="1" t="str">
        <f aca="false">TRIM(PROPER(C1364))</f>
        <v>Simplilearn</v>
      </c>
      <c r="AC1364" s="1" t="str">
        <f aca="false">IF(O1364=0,"No Discount",IF(O1364&lt;=15,"Low (1-15%)",IF(O1364&lt;=30,"Medium (16-30%)","High (&gt;30%)")))</f>
        <v>Low (1-15%)</v>
      </c>
      <c r="AD1364" s="1" t="str">
        <f aca="false">IF(V1364&lt;0,"Loss Making",IF(V1364&lt;20,"Low Margin","Healthy Margin"))</f>
        <v>Healthy Margin</v>
      </c>
      <c r="AE1364" s="1" t="str">
        <f aca="false">TEXT(DATE(VALUE(RIGHT(B1364,4)),VALUE(MID(B1364,4,2)),VALUE(LEFT(B1364,2))),"MMM-YYYY")</f>
        <v>Feb-2024</v>
      </c>
      <c r="AF1364" s="1" t="n">
        <f aca="false">VALUE(RIGHT(B1364,4))</f>
        <v>2024</v>
      </c>
      <c r="AG1364" s="1" t="str">
        <f aca="false">CHOOSE(ROUNDUP(VALUE(MID(B1364,4,2))/3,0),"Q1","Q2","Q3","Q4")</f>
        <v>Q1</v>
      </c>
    </row>
    <row r="1365" customFormat="false" ht="15" hidden="false" customHeight="true" outlineLevel="0" collapsed="false">
      <c r="A1365" s="1" t="s">
        <v>2156</v>
      </c>
      <c r="B1365" s="1" t="s">
        <v>441</v>
      </c>
      <c r="C1365" s="1" t="s">
        <v>93</v>
      </c>
      <c r="D1365" s="1" t="s">
        <v>29</v>
      </c>
      <c r="E1365" s="1" t="s">
        <v>182</v>
      </c>
      <c r="F1365" s="1" t="s">
        <v>187</v>
      </c>
      <c r="G1365" s="1" t="s">
        <v>97</v>
      </c>
      <c r="H1365" s="1" t="s">
        <v>69</v>
      </c>
      <c r="I1365" s="1" t="s">
        <v>58</v>
      </c>
      <c r="J1365" s="1" t="s">
        <v>131</v>
      </c>
      <c r="K1365" s="1" t="s">
        <v>84</v>
      </c>
      <c r="L1365" s="1" t="s">
        <v>85</v>
      </c>
      <c r="M1365" s="1" t="s">
        <v>62</v>
      </c>
      <c r="N1365" s="1" t="n">
        <v>34999</v>
      </c>
      <c r="O1365" s="1" t="n">
        <v>0</v>
      </c>
      <c r="P1365" s="1" t="n">
        <v>0</v>
      </c>
      <c r="Q1365" s="1" t="n">
        <v>34999</v>
      </c>
      <c r="R1365" s="1" t="n">
        <v>6299.82</v>
      </c>
      <c r="S1365" s="1" t="n">
        <v>28699.18</v>
      </c>
      <c r="T1365" s="1" t="n">
        <v>10632.03</v>
      </c>
      <c r="U1365" s="1" t="n">
        <v>18067.15</v>
      </c>
      <c r="V1365" s="1" t="n">
        <v>62.95</v>
      </c>
      <c r="W1365" s="1" t="s">
        <v>39</v>
      </c>
      <c r="X1365" s="1" t="n">
        <v>4.2</v>
      </c>
      <c r="Y1365" s="1" t="s">
        <v>39</v>
      </c>
      <c r="Z1365" s="1" t="n">
        <v>0</v>
      </c>
      <c r="AA1365" s="1" t="str">
        <f aca="false">TRIM(PROPER(F1365))</f>
        <v>Mumbai</v>
      </c>
      <c r="AB1365" s="1" t="str">
        <f aca="false">TRIM(PROPER(C1365))</f>
        <v>Upgrad</v>
      </c>
      <c r="AC1365" s="1" t="str">
        <f aca="false">IF(O1365=0,"No Discount",IF(O1365&lt;=15,"Low (1-15%)",IF(O1365&lt;=30,"Medium (16-30%)","High (&gt;30%)")))</f>
        <v>No Discount</v>
      </c>
      <c r="AD1365" s="1" t="str">
        <f aca="false">IF(V1365&lt;0,"Loss Making",IF(V1365&lt;20,"Low Margin","Healthy Margin"))</f>
        <v>Healthy Margin</v>
      </c>
      <c r="AE1365" s="1" t="str">
        <f aca="false">TEXT(DATE(VALUE(RIGHT(B1365,4)),VALUE(MID(B1365,4,2)),VALUE(LEFT(B1365,2))),"MMM-YYYY")</f>
        <v>Aug-2024</v>
      </c>
      <c r="AF1365" s="1" t="n">
        <f aca="false">VALUE(RIGHT(B1365,4))</f>
        <v>2024</v>
      </c>
      <c r="AG1365" s="1" t="str">
        <f aca="false">CHOOSE(ROUNDUP(VALUE(MID(B1365,4,2))/3,0),"Q1","Q2","Q3","Q4")</f>
        <v>Q3</v>
      </c>
    </row>
    <row r="1366" customFormat="false" ht="15" hidden="false" customHeight="true" outlineLevel="0" collapsed="false">
      <c r="A1366" s="1" t="s">
        <v>2157</v>
      </c>
      <c r="B1366" s="1" t="s">
        <v>360</v>
      </c>
      <c r="C1366" s="1" t="s">
        <v>28</v>
      </c>
      <c r="D1366" s="1" t="s">
        <v>44</v>
      </c>
      <c r="E1366" s="1" t="s">
        <v>66</v>
      </c>
      <c r="F1366" s="1" t="s">
        <v>89</v>
      </c>
      <c r="G1366" s="1" t="s">
        <v>68</v>
      </c>
      <c r="H1366" s="1" t="s">
        <v>33</v>
      </c>
      <c r="I1366" s="1" t="s">
        <v>83</v>
      </c>
      <c r="J1366" s="1" t="s">
        <v>35</v>
      </c>
      <c r="K1366" s="1" t="s">
        <v>84</v>
      </c>
      <c r="L1366" s="1" t="s">
        <v>49</v>
      </c>
      <c r="M1366" s="1" t="s">
        <v>38</v>
      </c>
      <c r="N1366" s="1" t="n">
        <v>12999</v>
      </c>
      <c r="O1366" s="1" t="n">
        <v>5</v>
      </c>
      <c r="P1366" s="1" t="n">
        <v>649.95</v>
      </c>
      <c r="Q1366" s="1" t="n">
        <v>12349.05</v>
      </c>
      <c r="R1366" s="1" t="n">
        <v>2222.83</v>
      </c>
      <c r="S1366" s="1" t="n">
        <v>10126.22</v>
      </c>
      <c r="T1366" s="1" t="n">
        <v>5756.4</v>
      </c>
      <c r="U1366" s="1" t="n">
        <v>4369.82</v>
      </c>
      <c r="V1366" s="1" t="n">
        <v>43.15</v>
      </c>
      <c r="W1366" s="1" t="s">
        <v>40</v>
      </c>
      <c r="Y1366" s="1" t="s">
        <v>39</v>
      </c>
      <c r="Z1366" s="1" t="n">
        <v>5</v>
      </c>
      <c r="AA1366" s="1" t="str">
        <f aca="false">TRIM(PROPER(F1366))</f>
        <v>Vadodara</v>
      </c>
      <c r="AB1366" s="1" t="str">
        <f aca="false">TRIM(PROPER(C1366))</f>
        <v>Embibe</v>
      </c>
      <c r="AC1366" s="1" t="str">
        <f aca="false">IF(O1366=0,"No Discount",IF(O1366&lt;=15,"Low (1-15%)",IF(O1366&lt;=30,"Medium (16-30%)","High (&gt;30%)")))</f>
        <v>Low (1-15%)</v>
      </c>
      <c r="AD1366" s="1" t="str">
        <f aca="false">IF(V1366&lt;0,"Loss Making",IF(V1366&lt;20,"Low Margin","Healthy Margin"))</f>
        <v>Healthy Margin</v>
      </c>
      <c r="AE1366" s="1" t="str">
        <f aca="false">TEXT(DATE(VALUE(RIGHT(B1366,4)),VALUE(MID(B1366,4,2)),VALUE(LEFT(B1366,2))),"MMM-YYYY")</f>
        <v>Feb-2023</v>
      </c>
      <c r="AF1366" s="1" t="n">
        <f aca="false">VALUE(RIGHT(B1366,4))</f>
        <v>2023</v>
      </c>
      <c r="AG1366" s="1" t="str">
        <f aca="false">CHOOSE(ROUNDUP(VALUE(MID(B1366,4,2))/3,0),"Q1","Q2","Q3","Q4")</f>
        <v>Q1</v>
      </c>
    </row>
    <row r="1367" customFormat="false" ht="15" hidden="false" customHeight="true" outlineLevel="0" collapsed="false">
      <c r="A1367" s="1" t="s">
        <v>2158</v>
      </c>
      <c r="B1367" s="1" t="s">
        <v>1576</v>
      </c>
      <c r="C1367" s="1" t="s">
        <v>264</v>
      </c>
      <c r="D1367" s="1" t="s">
        <v>94</v>
      </c>
      <c r="E1367" s="1" t="s">
        <v>95</v>
      </c>
      <c r="F1367" s="1" t="s">
        <v>150</v>
      </c>
      <c r="G1367" s="1" t="s">
        <v>32</v>
      </c>
      <c r="H1367" s="1" t="s">
        <v>57</v>
      </c>
      <c r="I1367" s="1" t="s">
        <v>83</v>
      </c>
      <c r="J1367" s="1" t="s">
        <v>70</v>
      </c>
      <c r="K1367" s="1" t="s">
        <v>71</v>
      </c>
      <c r="L1367" s="1" t="s">
        <v>37</v>
      </c>
      <c r="M1367" s="1" t="s">
        <v>50</v>
      </c>
      <c r="N1367" s="1" t="n">
        <v>6999</v>
      </c>
      <c r="O1367" s="1" t="n">
        <v>50</v>
      </c>
      <c r="P1367" s="1" t="n">
        <v>3499.5</v>
      </c>
      <c r="Q1367" s="1" t="n">
        <v>3499.5</v>
      </c>
      <c r="R1367" s="1" t="n">
        <v>629.91</v>
      </c>
      <c r="S1367" s="1" t="n">
        <v>2869.59</v>
      </c>
      <c r="T1367" s="1" t="n">
        <v>1606.94</v>
      </c>
      <c r="U1367" s="1" t="n">
        <v>1262.65</v>
      </c>
      <c r="V1367" s="1" t="n">
        <v>44</v>
      </c>
      <c r="W1367" s="1" t="s">
        <v>39</v>
      </c>
      <c r="X1367" s="1" t="n">
        <v>4.1</v>
      </c>
      <c r="Y1367" s="1" t="s">
        <v>40</v>
      </c>
      <c r="Z1367" s="1" t="n">
        <v>0</v>
      </c>
      <c r="AA1367" s="1" t="str">
        <f aca="false">TRIM(PROPER(F1367))</f>
        <v>Jaipur</v>
      </c>
      <c r="AB1367" s="1" t="str">
        <f aca="false">TRIM(PROPER(C1367))</f>
        <v>Unacademy</v>
      </c>
      <c r="AC1367" s="1" t="str">
        <f aca="false">IF(O1367=0,"No Discount",IF(O1367&lt;=15,"Low (1-15%)",IF(O1367&lt;=30,"Medium (16-30%)","High (&gt;30%)")))</f>
        <v>High (&gt;30%)</v>
      </c>
      <c r="AD1367" s="1" t="str">
        <f aca="false">IF(V1367&lt;0,"Loss Making",IF(V1367&lt;20,"Low Margin","Healthy Margin"))</f>
        <v>Healthy Margin</v>
      </c>
      <c r="AE1367" s="1" t="str">
        <f aca="false">TEXT(DATE(VALUE(RIGHT(B1367,4)),VALUE(MID(B1367,4,2)),VALUE(LEFT(B1367,2))),"MMM-YYYY")</f>
        <v>Jan-2024</v>
      </c>
      <c r="AF1367" s="1" t="n">
        <f aca="false">VALUE(RIGHT(B1367,4))</f>
        <v>2024</v>
      </c>
      <c r="AG1367" s="1" t="str">
        <f aca="false">CHOOSE(ROUNDUP(VALUE(MID(B1367,4,2))/3,0),"Q1","Q2","Q3","Q4")</f>
        <v>Q1</v>
      </c>
    </row>
    <row r="1368" customFormat="false" ht="15" hidden="false" customHeight="true" outlineLevel="0" collapsed="false">
      <c r="A1368" s="1" t="s">
        <v>2159</v>
      </c>
      <c r="B1368" s="1" t="s">
        <v>992</v>
      </c>
      <c r="C1368" s="1" t="s">
        <v>178</v>
      </c>
      <c r="D1368" s="1" t="s">
        <v>29</v>
      </c>
      <c r="E1368" s="1" t="s">
        <v>30</v>
      </c>
      <c r="F1368" s="1" t="s">
        <v>150</v>
      </c>
      <c r="G1368" s="1" t="s">
        <v>32</v>
      </c>
      <c r="H1368" s="1" t="s">
        <v>57</v>
      </c>
      <c r="I1368" s="1" t="s">
        <v>83</v>
      </c>
      <c r="J1368" s="1" t="s">
        <v>131</v>
      </c>
      <c r="K1368" s="1" t="s">
        <v>104</v>
      </c>
      <c r="L1368" s="1" t="s">
        <v>113</v>
      </c>
      <c r="M1368" s="1" t="s">
        <v>50</v>
      </c>
      <c r="N1368" s="1" t="n">
        <v>7999</v>
      </c>
      <c r="O1368" s="1" t="n">
        <v>40</v>
      </c>
      <c r="P1368" s="1" t="n">
        <v>3199.6</v>
      </c>
      <c r="Q1368" s="1" t="n">
        <v>4799.4</v>
      </c>
      <c r="R1368" s="1" t="n">
        <v>863.89</v>
      </c>
      <c r="S1368" s="1" t="n">
        <v>3935.51</v>
      </c>
      <c r="T1368" s="1" t="n">
        <v>1892.47</v>
      </c>
      <c r="U1368" s="1" t="n">
        <v>2043.04</v>
      </c>
      <c r="V1368" s="1" t="n">
        <v>51.91</v>
      </c>
      <c r="W1368" s="1" t="s">
        <v>40</v>
      </c>
      <c r="Y1368" s="1" t="s">
        <v>39</v>
      </c>
      <c r="Z1368" s="1" t="n">
        <v>1</v>
      </c>
      <c r="AA1368" s="1" t="str">
        <f aca="false">TRIM(PROPER(F1368))</f>
        <v>Jaipur</v>
      </c>
      <c r="AB1368" s="1" t="str">
        <f aca="false">TRIM(PROPER(C1368))</f>
        <v>Leverage Edu</v>
      </c>
      <c r="AC1368" s="1" t="str">
        <f aca="false">IF(O1368=0,"No Discount",IF(O1368&lt;=15,"Low (1-15%)",IF(O1368&lt;=30,"Medium (16-30%)","High (&gt;30%)")))</f>
        <v>High (&gt;30%)</v>
      </c>
      <c r="AD1368" s="1" t="str">
        <f aca="false">IF(V1368&lt;0,"Loss Making",IF(V1368&lt;20,"Low Margin","Healthy Margin"))</f>
        <v>Healthy Margin</v>
      </c>
      <c r="AE1368" s="1" t="str">
        <f aca="false">TEXT(DATE(VALUE(RIGHT(B1368,4)),VALUE(MID(B1368,4,2)),VALUE(LEFT(B1368,2))),"MMM-YYYY")</f>
        <v>May-2024</v>
      </c>
      <c r="AF1368" s="1" t="n">
        <f aca="false">VALUE(RIGHT(B1368,4))</f>
        <v>2024</v>
      </c>
      <c r="AG1368" s="1" t="str">
        <f aca="false">CHOOSE(ROUNDUP(VALUE(MID(B1368,4,2))/3,0),"Q1","Q2","Q3","Q4")</f>
        <v>Q2</v>
      </c>
    </row>
    <row r="1369" customFormat="false" ht="15" hidden="false" customHeight="true" outlineLevel="0" collapsed="false">
      <c r="A1369" s="1" t="s">
        <v>2160</v>
      </c>
      <c r="B1369" s="1" t="s">
        <v>551</v>
      </c>
      <c r="C1369" s="1" t="s">
        <v>178</v>
      </c>
      <c r="D1369" s="1" t="s">
        <v>80</v>
      </c>
      <c r="E1369" s="1" t="s">
        <v>175</v>
      </c>
      <c r="F1369" s="1" t="s">
        <v>211</v>
      </c>
      <c r="G1369" s="1" t="s">
        <v>56</v>
      </c>
      <c r="H1369" s="1" t="s">
        <v>69</v>
      </c>
      <c r="I1369" s="1" t="s">
        <v>58</v>
      </c>
      <c r="J1369" s="1" t="s">
        <v>70</v>
      </c>
      <c r="K1369" s="1" t="s">
        <v>36</v>
      </c>
      <c r="L1369" s="1" t="s">
        <v>37</v>
      </c>
      <c r="M1369" s="1" t="s">
        <v>50</v>
      </c>
      <c r="N1369" s="1" t="n">
        <v>19999</v>
      </c>
      <c r="O1369" s="1" t="n">
        <v>50</v>
      </c>
      <c r="P1369" s="1" t="n">
        <v>9999.5</v>
      </c>
      <c r="Q1369" s="1" t="n">
        <v>9999.5</v>
      </c>
      <c r="R1369" s="1" t="n">
        <v>1799.91</v>
      </c>
      <c r="S1369" s="1" t="n">
        <v>8199.59</v>
      </c>
      <c r="T1369" s="1" t="n">
        <v>4120.85</v>
      </c>
      <c r="U1369" s="1" t="n">
        <v>4078.74</v>
      </c>
      <c r="V1369" s="1" t="n">
        <v>49.74</v>
      </c>
      <c r="W1369" s="1" t="s">
        <v>40</v>
      </c>
      <c r="Y1369" s="1" t="s">
        <v>40</v>
      </c>
      <c r="Z1369" s="1" t="n">
        <v>0</v>
      </c>
      <c r="AA1369" s="1" t="str">
        <f aca="false">TRIM(PROPER(F1369))</f>
        <v>Noida</v>
      </c>
      <c r="AB1369" s="1" t="str">
        <f aca="false">TRIM(PROPER(C1369))</f>
        <v>Leverage Edu</v>
      </c>
      <c r="AC1369" s="1" t="str">
        <f aca="false">IF(O1369=0,"No Discount",IF(O1369&lt;=15,"Low (1-15%)",IF(O1369&lt;=30,"Medium (16-30%)","High (&gt;30%)")))</f>
        <v>High (&gt;30%)</v>
      </c>
      <c r="AD1369" s="1" t="str">
        <f aca="false">IF(V1369&lt;0,"Loss Making",IF(V1369&lt;20,"Low Margin","Healthy Margin"))</f>
        <v>Healthy Margin</v>
      </c>
      <c r="AE1369" s="1" t="str">
        <f aca="false">TEXT(DATE(VALUE(RIGHT(B1369,4)),VALUE(MID(B1369,4,2)),VALUE(LEFT(B1369,2))),"MMM-YYYY")</f>
        <v>Jul-2023</v>
      </c>
      <c r="AF1369" s="1" t="n">
        <f aca="false">VALUE(RIGHT(B1369,4))</f>
        <v>2023</v>
      </c>
      <c r="AG1369" s="1" t="str">
        <f aca="false">CHOOSE(ROUNDUP(VALUE(MID(B1369,4,2))/3,0),"Q1","Q2","Q3","Q4")</f>
        <v>Q3</v>
      </c>
    </row>
    <row r="1370" customFormat="false" ht="15" hidden="false" customHeight="true" outlineLevel="0" collapsed="false">
      <c r="A1370" s="1" t="s">
        <v>2161</v>
      </c>
      <c r="B1370" s="1" t="s">
        <v>389</v>
      </c>
      <c r="C1370" s="1" t="s">
        <v>167</v>
      </c>
      <c r="D1370" s="1" t="s">
        <v>94</v>
      </c>
      <c r="E1370" s="1" t="s">
        <v>95</v>
      </c>
      <c r="F1370" s="1" t="s">
        <v>211</v>
      </c>
      <c r="G1370" s="1" t="s">
        <v>56</v>
      </c>
      <c r="H1370" s="1" t="s">
        <v>69</v>
      </c>
      <c r="I1370" s="1" t="s">
        <v>34</v>
      </c>
      <c r="J1370" s="1" t="s">
        <v>77</v>
      </c>
      <c r="K1370" s="1" t="s">
        <v>112</v>
      </c>
      <c r="L1370" s="1" t="s">
        <v>85</v>
      </c>
      <c r="M1370" s="1" t="s">
        <v>50</v>
      </c>
      <c r="N1370" s="1" t="n">
        <v>6999</v>
      </c>
      <c r="O1370" s="1" t="n">
        <v>10</v>
      </c>
      <c r="P1370" s="1" t="n">
        <v>699.9</v>
      </c>
      <c r="Q1370" s="1" t="n">
        <v>6299.1</v>
      </c>
      <c r="R1370" s="1" t="n">
        <v>1133.84</v>
      </c>
      <c r="S1370" s="1" t="n">
        <v>5165.26</v>
      </c>
      <c r="T1370" s="1" t="n">
        <v>1961.83</v>
      </c>
      <c r="U1370" s="1" t="n">
        <v>3203.43</v>
      </c>
      <c r="V1370" s="1" t="n">
        <v>62.02</v>
      </c>
      <c r="W1370" s="1" t="s">
        <v>39</v>
      </c>
      <c r="X1370" s="1" t="n">
        <v>4.1</v>
      </c>
      <c r="Y1370" s="1" t="s">
        <v>40</v>
      </c>
      <c r="Z1370" s="1" t="n">
        <v>1</v>
      </c>
      <c r="AA1370" s="1" t="str">
        <f aca="false">TRIM(PROPER(F1370))</f>
        <v>Noida</v>
      </c>
      <c r="AB1370" s="1" t="str">
        <f aca="false">TRIM(PROPER(C1370))</f>
        <v>Scaler</v>
      </c>
      <c r="AC1370" s="1" t="str">
        <f aca="false">IF(O1370=0,"No Discount",IF(O1370&lt;=15,"Low (1-15%)",IF(O1370&lt;=30,"Medium (16-30%)","High (&gt;30%)")))</f>
        <v>Low (1-15%)</v>
      </c>
      <c r="AD1370" s="1" t="str">
        <f aca="false">IF(V1370&lt;0,"Loss Making",IF(V1370&lt;20,"Low Margin","Healthy Margin"))</f>
        <v>Healthy Margin</v>
      </c>
      <c r="AE1370" s="1" t="str">
        <f aca="false">TEXT(DATE(VALUE(RIGHT(B1370,4)),VALUE(MID(B1370,4,2)),VALUE(LEFT(B1370,2))),"MMM-YYYY")</f>
        <v>Feb-2023</v>
      </c>
      <c r="AF1370" s="1" t="n">
        <f aca="false">VALUE(RIGHT(B1370,4))</f>
        <v>2023</v>
      </c>
      <c r="AG1370" s="1" t="str">
        <f aca="false">CHOOSE(ROUNDUP(VALUE(MID(B1370,4,2))/3,0),"Q1","Q2","Q3","Q4")</f>
        <v>Q1</v>
      </c>
    </row>
    <row r="1371" customFormat="false" ht="15" hidden="false" customHeight="true" outlineLevel="0" collapsed="false">
      <c r="A1371" s="1" t="s">
        <v>2162</v>
      </c>
      <c r="B1371" s="1" t="s">
        <v>1913</v>
      </c>
      <c r="C1371" s="1" t="s">
        <v>119</v>
      </c>
      <c r="D1371" s="1" t="s">
        <v>29</v>
      </c>
      <c r="E1371" s="1" t="s">
        <v>129</v>
      </c>
      <c r="F1371" s="1" t="s">
        <v>156</v>
      </c>
      <c r="G1371" s="1" t="s">
        <v>68</v>
      </c>
      <c r="H1371" s="1" t="s">
        <v>57</v>
      </c>
      <c r="I1371" s="1" t="s">
        <v>34</v>
      </c>
      <c r="J1371" s="1" t="s">
        <v>35</v>
      </c>
      <c r="K1371" s="1" t="s">
        <v>71</v>
      </c>
      <c r="L1371" s="1" t="s">
        <v>113</v>
      </c>
      <c r="M1371" s="1" t="s">
        <v>38</v>
      </c>
      <c r="N1371" s="1" t="n">
        <v>29999</v>
      </c>
      <c r="O1371" s="1" t="n">
        <v>10</v>
      </c>
      <c r="P1371" s="1" t="n">
        <v>2999.9</v>
      </c>
      <c r="Q1371" s="1" t="n">
        <v>26999.1</v>
      </c>
      <c r="R1371" s="1" t="n">
        <v>4859.84</v>
      </c>
      <c r="S1371" s="1" t="n">
        <v>22139.26</v>
      </c>
      <c r="T1371" s="1" t="n">
        <v>8197.78</v>
      </c>
      <c r="U1371" s="1" t="n">
        <v>13941.48</v>
      </c>
      <c r="V1371" s="1" t="n">
        <v>62.97</v>
      </c>
      <c r="W1371" s="1" t="s">
        <v>39</v>
      </c>
      <c r="X1371" s="1" t="n">
        <v>4.4</v>
      </c>
      <c r="Y1371" s="1" t="s">
        <v>40</v>
      </c>
      <c r="Z1371" s="1" t="n">
        <v>0</v>
      </c>
      <c r="AA1371" s="1" t="str">
        <f aca="false">TRIM(PROPER(F1371))</f>
        <v>Surat</v>
      </c>
      <c r="AB1371" s="1" t="str">
        <f aca="false">TRIM(PROPER(C1371))</f>
        <v>Simplilearn</v>
      </c>
      <c r="AC1371" s="1" t="str">
        <f aca="false">IF(O1371=0,"No Discount",IF(O1371&lt;=15,"Low (1-15%)",IF(O1371&lt;=30,"Medium (16-30%)","High (&gt;30%)")))</f>
        <v>Low (1-15%)</v>
      </c>
      <c r="AD1371" s="1" t="str">
        <f aca="false">IF(V1371&lt;0,"Loss Making",IF(V1371&lt;20,"Low Margin","Healthy Margin"))</f>
        <v>Healthy Margin</v>
      </c>
      <c r="AE1371" s="1" t="str">
        <f aca="false">TEXT(DATE(VALUE(RIGHT(B1371,4)),VALUE(MID(B1371,4,2)),VALUE(LEFT(B1371,2))),"MMM-YYYY")</f>
        <v>Jul-2023</v>
      </c>
      <c r="AF1371" s="1" t="n">
        <f aca="false">VALUE(RIGHT(B1371,4))</f>
        <v>2023</v>
      </c>
      <c r="AG1371" s="1" t="str">
        <f aca="false">CHOOSE(ROUNDUP(VALUE(MID(B1371,4,2))/3,0),"Q1","Q2","Q3","Q4")</f>
        <v>Q3</v>
      </c>
    </row>
    <row r="1372" customFormat="false" ht="15" hidden="false" customHeight="true" outlineLevel="0" collapsed="false">
      <c r="A1372" s="1" t="s">
        <v>2163</v>
      </c>
      <c r="B1372" s="1" t="s">
        <v>901</v>
      </c>
      <c r="C1372" s="1" t="s">
        <v>100</v>
      </c>
      <c r="D1372" s="1" t="s">
        <v>44</v>
      </c>
      <c r="E1372" s="1" t="s">
        <v>221</v>
      </c>
      <c r="F1372" s="1" t="s">
        <v>82</v>
      </c>
      <c r="G1372" s="1" t="s">
        <v>56</v>
      </c>
      <c r="H1372" s="1" t="s">
        <v>69</v>
      </c>
      <c r="I1372" s="1" t="s">
        <v>58</v>
      </c>
      <c r="J1372" s="1" t="s">
        <v>59</v>
      </c>
      <c r="K1372" s="1" t="s">
        <v>84</v>
      </c>
      <c r="L1372" s="1" t="s">
        <v>136</v>
      </c>
      <c r="M1372" s="1" t="s">
        <v>38</v>
      </c>
      <c r="N1372" s="1" t="n">
        <v>16999</v>
      </c>
      <c r="O1372" s="1" t="n">
        <v>0</v>
      </c>
      <c r="P1372" s="1" t="n">
        <v>0</v>
      </c>
      <c r="Q1372" s="1" t="n">
        <v>16999</v>
      </c>
      <c r="R1372" s="1" t="n">
        <v>3059.82</v>
      </c>
      <c r="S1372" s="1" t="n">
        <v>13939.18</v>
      </c>
      <c r="T1372" s="1" t="n">
        <v>6120.57</v>
      </c>
      <c r="U1372" s="1" t="n">
        <v>7818.61</v>
      </c>
      <c r="V1372" s="1" t="n">
        <v>56.09</v>
      </c>
      <c r="W1372" s="1" t="s">
        <v>39</v>
      </c>
      <c r="X1372" s="1" t="n">
        <v>3.3</v>
      </c>
      <c r="Y1372" s="1" t="s">
        <v>40</v>
      </c>
      <c r="Z1372" s="1" t="n">
        <v>2</v>
      </c>
      <c r="AA1372" s="1" t="str">
        <f aca="false">TRIM(PROPER(F1372))</f>
        <v>Gurugram</v>
      </c>
      <c r="AB1372" s="1" t="str">
        <f aca="false">TRIM(PROPER(C1372))</f>
        <v>Physics Wallah</v>
      </c>
      <c r="AC1372" s="1" t="str">
        <f aca="false">IF(O1372=0,"No Discount",IF(O1372&lt;=15,"Low (1-15%)",IF(O1372&lt;=30,"Medium (16-30%)","High (&gt;30%)")))</f>
        <v>No Discount</v>
      </c>
      <c r="AD1372" s="1" t="str">
        <f aca="false">IF(V1372&lt;0,"Loss Making",IF(V1372&lt;20,"Low Margin","Healthy Margin"))</f>
        <v>Healthy Margin</v>
      </c>
      <c r="AE1372" s="1" t="str">
        <f aca="false">TEXT(DATE(VALUE(RIGHT(B1372,4)),VALUE(MID(B1372,4,2)),VALUE(LEFT(B1372,2))),"MMM-YYYY")</f>
        <v>Jan-2023</v>
      </c>
      <c r="AF1372" s="1" t="n">
        <f aca="false">VALUE(RIGHT(B1372,4))</f>
        <v>2023</v>
      </c>
      <c r="AG1372" s="1" t="str">
        <f aca="false">CHOOSE(ROUNDUP(VALUE(MID(B1372,4,2))/3,0),"Q1","Q2","Q3","Q4")</f>
        <v>Q1</v>
      </c>
    </row>
    <row r="1373" customFormat="false" ht="15" hidden="false" customHeight="true" outlineLevel="0" collapsed="false">
      <c r="A1373" s="1" t="s">
        <v>2164</v>
      </c>
      <c r="B1373" s="1" t="s">
        <v>466</v>
      </c>
      <c r="C1373" s="1" t="s">
        <v>139</v>
      </c>
      <c r="D1373" s="1" t="s">
        <v>143</v>
      </c>
      <c r="E1373" s="1" t="s">
        <v>243</v>
      </c>
      <c r="F1373" s="1" t="s">
        <v>102</v>
      </c>
      <c r="G1373" s="1" t="s">
        <v>103</v>
      </c>
      <c r="H1373" s="1" t="s">
        <v>33</v>
      </c>
      <c r="I1373" s="1" t="s">
        <v>58</v>
      </c>
      <c r="J1373" s="1" t="s">
        <v>77</v>
      </c>
      <c r="K1373" s="1" t="s">
        <v>90</v>
      </c>
      <c r="L1373" s="1" t="s">
        <v>85</v>
      </c>
      <c r="M1373" s="1" t="s">
        <v>38</v>
      </c>
      <c r="N1373" s="1" t="n">
        <v>22999</v>
      </c>
      <c r="O1373" s="1" t="n">
        <v>10</v>
      </c>
      <c r="P1373" s="1" t="n">
        <v>2299.9</v>
      </c>
      <c r="Q1373" s="1" t="n">
        <v>20699.1</v>
      </c>
      <c r="R1373" s="1" t="n">
        <v>3725.84</v>
      </c>
      <c r="S1373" s="1" t="n">
        <v>16973.26</v>
      </c>
      <c r="T1373" s="1" t="n">
        <v>7365.41</v>
      </c>
      <c r="U1373" s="1" t="n">
        <v>9607.85</v>
      </c>
      <c r="V1373" s="1" t="n">
        <v>56.61</v>
      </c>
      <c r="W1373" s="1" t="s">
        <v>40</v>
      </c>
      <c r="Y1373" s="1" t="s">
        <v>40</v>
      </c>
      <c r="Z1373" s="1" t="n">
        <v>0</v>
      </c>
      <c r="AA1373" s="1" t="str">
        <f aca="false">TRIM(PROPER(F1373))</f>
        <v>Warangal</v>
      </c>
      <c r="AB1373" s="1" t="str">
        <f aca="false">TRIM(PROPER(C1373))</f>
        <v>Extramarks</v>
      </c>
      <c r="AC1373" s="1" t="str">
        <f aca="false">IF(O1373=0,"No Discount",IF(O1373&lt;=15,"Low (1-15%)",IF(O1373&lt;=30,"Medium (16-30%)","High (&gt;30%)")))</f>
        <v>Low (1-15%)</v>
      </c>
      <c r="AD1373" s="1" t="str">
        <f aca="false">IF(V1373&lt;0,"Loss Making",IF(V1373&lt;20,"Low Margin","Healthy Margin"))</f>
        <v>Healthy Margin</v>
      </c>
      <c r="AE1373" s="1" t="str">
        <f aca="false">TEXT(DATE(VALUE(RIGHT(B1373,4)),VALUE(MID(B1373,4,2)),VALUE(LEFT(B1373,2))),"MMM-YYYY")</f>
        <v>Feb-2024</v>
      </c>
      <c r="AF1373" s="1" t="n">
        <f aca="false">VALUE(RIGHT(B1373,4))</f>
        <v>2024</v>
      </c>
      <c r="AG1373" s="1" t="str">
        <f aca="false">CHOOSE(ROUNDUP(VALUE(MID(B1373,4,2))/3,0),"Q1","Q2","Q3","Q4")</f>
        <v>Q1</v>
      </c>
    </row>
    <row r="1374" customFormat="false" ht="15" hidden="false" customHeight="true" outlineLevel="0" collapsed="false">
      <c r="A1374" s="1" t="s">
        <v>2165</v>
      </c>
      <c r="B1374" s="1" t="s">
        <v>1040</v>
      </c>
      <c r="C1374" s="1" t="s">
        <v>134</v>
      </c>
      <c r="D1374" s="1" t="s">
        <v>44</v>
      </c>
      <c r="E1374" s="1" t="s">
        <v>45</v>
      </c>
      <c r="F1374" s="1" t="s">
        <v>184</v>
      </c>
      <c r="G1374" s="1" t="s">
        <v>56</v>
      </c>
      <c r="H1374" s="1" t="s">
        <v>57</v>
      </c>
      <c r="I1374" s="1" t="s">
        <v>83</v>
      </c>
      <c r="J1374" s="1" t="s">
        <v>35</v>
      </c>
      <c r="K1374" s="1" t="s">
        <v>60</v>
      </c>
      <c r="L1374" s="1" t="s">
        <v>85</v>
      </c>
      <c r="M1374" s="1" t="s">
        <v>62</v>
      </c>
      <c r="N1374" s="1" t="n">
        <v>11999</v>
      </c>
      <c r="O1374" s="1" t="n">
        <v>30</v>
      </c>
      <c r="P1374" s="1" t="n">
        <v>3599.7</v>
      </c>
      <c r="Q1374" s="1" t="n">
        <v>8399.3</v>
      </c>
      <c r="R1374" s="1" t="n">
        <v>1511.87</v>
      </c>
      <c r="S1374" s="1" t="n">
        <v>6887.43</v>
      </c>
      <c r="T1374" s="1" t="n">
        <v>3254.28</v>
      </c>
      <c r="U1374" s="1" t="n">
        <v>3633.15</v>
      </c>
      <c r="V1374" s="1" t="n">
        <v>52.75</v>
      </c>
      <c r="W1374" s="1" t="s">
        <v>39</v>
      </c>
      <c r="Y1374" s="1" t="s">
        <v>40</v>
      </c>
      <c r="Z1374" s="1" t="n">
        <v>1</v>
      </c>
      <c r="AA1374" s="1" t="str">
        <f aca="false">TRIM(PROPER(F1374))</f>
        <v>Faridabad</v>
      </c>
      <c r="AB1374" s="1" t="str">
        <f aca="false">TRIM(PROPER(C1374))</f>
        <v>Doubtnut</v>
      </c>
      <c r="AC1374" s="1" t="str">
        <f aca="false">IF(O1374=0,"No Discount",IF(O1374&lt;=15,"Low (1-15%)",IF(O1374&lt;=30,"Medium (16-30%)","High (&gt;30%)")))</f>
        <v>Medium (16-30%)</v>
      </c>
      <c r="AD1374" s="1" t="str">
        <f aca="false">IF(V1374&lt;0,"Loss Making",IF(V1374&lt;20,"Low Margin","Healthy Margin"))</f>
        <v>Healthy Margin</v>
      </c>
      <c r="AE1374" s="1" t="str">
        <f aca="false">TEXT(DATE(VALUE(RIGHT(B1374,4)),VALUE(MID(B1374,4,2)),VALUE(LEFT(B1374,2))),"MMM-YYYY")</f>
        <v>Sep-2023</v>
      </c>
      <c r="AF1374" s="1" t="n">
        <f aca="false">VALUE(RIGHT(B1374,4))</f>
        <v>2023</v>
      </c>
      <c r="AG1374" s="1" t="str">
        <f aca="false">CHOOSE(ROUNDUP(VALUE(MID(B1374,4,2))/3,0),"Q1","Q2","Q3","Q4")</f>
        <v>Q3</v>
      </c>
    </row>
    <row r="1375" customFormat="false" ht="15" hidden="false" customHeight="true" outlineLevel="0" collapsed="false">
      <c r="A1375" s="1" t="s">
        <v>2166</v>
      </c>
      <c r="B1375" s="1" t="s">
        <v>1791</v>
      </c>
      <c r="C1375" s="1" t="s">
        <v>100</v>
      </c>
      <c r="D1375" s="1" t="s">
        <v>143</v>
      </c>
      <c r="E1375" s="1" t="s">
        <v>162</v>
      </c>
      <c r="F1375" s="1" t="s">
        <v>82</v>
      </c>
      <c r="G1375" s="1" t="s">
        <v>56</v>
      </c>
      <c r="H1375" s="1" t="s">
        <v>69</v>
      </c>
      <c r="I1375" s="1" t="s">
        <v>83</v>
      </c>
      <c r="J1375" s="1" t="s">
        <v>59</v>
      </c>
      <c r="K1375" s="1" t="s">
        <v>48</v>
      </c>
      <c r="L1375" s="1" t="s">
        <v>113</v>
      </c>
      <c r="M1375" s="1" t="s">
        <v>50</v>
      </c>
      <c r="N1375" s="1" t="n">
        <v>14999</v>
      </c>
      <c r="O1375" s="1" t="n">
        <v>0</v>
      </c>
      <c r="P1375" s="1" t="n">
        <v>0</v>
      </c>
      <c r="Q1375" s="1" t="n">
        <v>14999</v>
      </c>
      <c r="R1375" s="1" t="n">
        <v>2699.82</v>
      </c>
      <c r="S1375" s="1" t="n">
        <v>12299.18</v>
      </c>
      <c r="T1375" s="1" t="n">
        <v>4500.28</v>
      </c>
      <c r="U1375" s="1" t="n">
        <v>7798.9</v>
      </c>
      <c r="V1375" s="1" t="n">
        <v>63.41</v>
      </c>
      <c r="W1375" s="1" t="s">
        <v>39</v>
      </c>
      <c r="X1375" s="1" t="n">
        <v>3.3</v>
      </c>
      <c r="Y1375" s="1" t="s">
        <v>40</v>
      </c>
      <c r="Z1375" s="1" t="n">
        <v>0</v>
      </c>
      <c r="AA1375" s="1" t="str">
        <f aca="false">TRIM(PROPER(F1375))</f>
        <v>Gurugram</v>
      </c>
      <c r="AB1375" s="1" t="str">
        <f aca="false">TRIM(PROPER(C1375))</f>
        <v>Physics Wallah</v>
      </c>
      <c r="AC1375" s="1" t="str">
        <f aca="false">IF(O1375=0,"No Discount",IF(O1375&lt;=15,"Low (1-15%)",IF(O1375&lt;=30,"Medium (16-30%)","High (&gt;30%)")))</f>
        <v>No Discount</v>
      </c>
      <c r="AD1375" s="1" t="str">
        <f aca="false">IF(V1375&lt;0,"Loss Making",IF(V1375&lt;20,"Low Margin","Healthy Margin"))</f>
        <v>Healthy Margin</v>
      </c>
      <c r="AE1375" s="1" t="str">
        <f aca="false">TEXT(DATE(VALUE(RIGHT(B1375,4)),VALUE(MID(B1375,4,2)),VALUE(LEFT(B1375,2))),"MMM-YYYY")</f>
        <v>Sep-2023</v>
      </c>
      <c r="AF1375" s="1" t="n">
        <f aca="false">VALUE(RIGHT(B1375,4))</f>
        <v>2023</v>
      </c>
      <c r="AG1375" s="1" t="str">
        <f aca="false">CHOOSE(ROUNDUP(VALUE(MID(B1375,4,2))/3,0),"Q1","Q2","Q3","Q4")</f>
        <v>Q3</v>
      </c>
    </row>
    <row r="1376" customFormat="false" ht="15" hidden="false" customHeight="true" outlineLevel="0" collapsed="false">
      <c r="A1376" s="1" t="s">
        <v>2167</v>
      </c>
      <c r="B1376" s="1" t="s">
        <v>2168</v>
      </c>
      <c r="C1376" s="1" t="s">
        <v>28</v>
      </c>
      <c r="D1376" s="1" t="s">
        <v>53</v>
      </c>
      <c r="E1376" s="1" t="s">
        <v>116</v>
      </c>
      <c r="F1376" s="1" t="s">
        <v>269</v>
      </c>
      <c r="G1376" s="1" t="s">
        <v>108</v>
      </c>
      <c r="H1376" s="1" t="s">
        <v>57</v>
      </c>
      <c r="I1376" s="1" t="s">
        <v>58</v>
      </c>
      <c r="J1376" s="1" t="s">
        <v>77</v>
      </c>
      <c r="K1376" s="1" t="s">
        <v>84</v>
      </c>
      <c r="L1376" s="1" t="s">
        <v>37</v>
      </c>
      <c r="M1376" s="1" t="s">
        <v>38</v>
      </c>
      <c r="N1376" s="1" t="n">
        <v>9999</v>
      </c>
      <c r="O1376" s="1" t="n">
        <v>25</v>
      </c>
      <c r="P1376" s="1" t="n">
        <v>2499.75</v>
      </c>
      <c r="Q1376" s="1" t="n">
        <v>7499.25</v>
      </c>
      <c r="R1376" s="1" t="n">
        <v>1349.87</v>
      </c>
      <c r="S1376" s="1" t="n">
        <v>6149.38</v>
      </c>
      <c r="T1376" s="1" t="n">
        <v>2690.39</v>
      </c>
      <c r="U1376" s="1" t="n">
        <v>3458.99</v>
      </c>
      <c r="V1376" s="1" t="n">
        <v>56.25</v>
      </c>
      <c r="W1376" s="1" t="s">
        <v>39</v>
      </c>
      <c r="X1376" s="1" t="n">
        <v>4.1</v>
      </c>
      <c r="Y1376" s="1" t="s">
        <v>40</v>
      </c>
      <c r="Z1376" s="1" t="n">
        <v>0</v>
      </c>
      <c r="AA1376" s="1" t="str">
        <f aca="false">TRIM(PROPER(F1376))</f>
        <v>Coimbatore</v>
      </c>
      <c r="AB1376" s="1" t="str">
        <f aca="false">TRIM(PROPER(C1376))</f>
        <v>Embibe</v>
      </c>
      <c r="AC1376" s="1" t="str">
        <f aca="false">IF(O1376=0,"No Discount",IF(O1376&lt;=15,"Low (1-15%)",IF(O1376&lt;=30,"Medium (16-30%)","High (&gt;30%)")))</f>
        <v>Medium (16-30%)</v>
      </c>
      <c r="AD1376" s="1" t="str">
        <f aca="false">IF(V1376&lt;0,"Loss Making",IF(V1376&lt;20,"Low Margin","Healthy Margin"))</f>
        <v>Healthy Margin</v>
      </c>
      <c r="AE1376" s="1" t="str">
        <f aca="false">TEXT(DATE(VALUE(RIGHT(B1376,4)),VALUE(MID(B1376,4,2)),VALUE(LEFT(B1376,2))),"MMM-YYYY")</f>
        <v>Dec-2023</v>
      </c>
      <c r="AF1376" s="1" t="n">
        <f aca="false">VALUE(RIGHT(B1376,4))</f>
        <v>2023</v>
      </c>
      <c r="AG1376" s="1" t="str">
        <f aca="false">CHOOSE(ROUNDUP(VALUE(MID(B1376,4,2))/3,0),"Q1","Q2","Q3","Q4")</f>
        <v>Q4</v>
      </c>
    </row>
    <row r="1377" customFormat="false" ht="15" hidden="false" customHeight="true" outlineLevel="0" collapsed="false">
      <c r="A1377" s="1" t="s">
        <v>2169</v>
      </c>
      <c r="B1377" s="1" t="s">
        <v>2170</v>
      </c>
      <c r="C1377" s="1" t="s">
        <v>264</v>
      </c>
      <c r="D1377" s="1" t="s">
        <v>143</v>
      </c>
      <c r="E1377" s="1" t="s">
        <v>243</v>
      </c>
      <c r="F1377" s="1" t="s">
        <v>75</v>
      </c>
      <c r="G1377" s="1" t="s">
        <v>76</v>
      </c>
      <c r="H1377" s="1" t="s">
        <v>69</v>
      </c>
      <c r="I1377" s="1" t="s">
        <v>34</v>
      </c>
      <c r="J1377" s="1" t="s">
        <v>70</v>
      </c>
      <c r="K1377" s="1" t="s">
        <v>84</v>
      </c>
      <c r="L1377" s="1" t="s">
        <v>113</v>
      </c>
      <c r="M1377" s="1" t="s">
        <v>50</v>
      </c>
      <c r="N1377" s="1" t="n">
        <v>22999</v>
      </c>
      <c r="O1377" s="1" t="n">
        <v>40</v>
      </c>
      <c r="P1377" s="1" t="n">
        <v>9199.6</v>
      </c>
      <c r="Q1377" s="1" t="n">
        <v>13799.4</v>
      </c>
      <c r="R1377" s="1" t="n">
        <v>2483.89</v>
      </c>
      <c r="S1377" s="1" t="n">
        <v>11315.51</v>
      </c>
      <c r="T1377" s="1" t="n">
        <v>5310.88</v>
      </c>
      <c r="U1377" s="1" t="n">
        <v>6004.63</v>
      </c>
      <c r="V1377" s="1" t="n">
        <v>53.07</v>
      </c>
      <c r="W1377" s="1" t="s">
        <v>40</v>
      </c>
      <c r="Y1377" s="1" t="s">
        <v>40</v>
      </c>
      <c r="Z1377" s="1" t="n">
        <v>0</v>
      </c>
      <c r="AA1377" s="1" t="str">
        <f aca="false">TRIM(PROPER(F1377))</f>
        <v>Kolkata</v>
      </c>
      <c r="AB1377" s="1" t="str">
        <f aca="false">TRIM(PROPER(C1377))</f>
        <v>Unacademy</v>
      </c>
      <c r="AC1377" s="1" t="str">
        <f aca="false">IF(O1377=0,"No Discount",IF(O1377&lt;=15,"Low (1-15%)",IF(O1377&lt;=30,"Medium (16-30%)","High (&gt;30%)")))</f>
        <v>High (&gt;30%)</v>
      </c>
      <c r="AD1377" s="1" t="str">
        <f aca="false">IF(V1377&lt;0,"Loss Making",IF(V1377&lt;20,"Low Margin","Healthy Margin"))</f>
        <v>Healthy Margin</v>
      </c>
      <c r="AE1377" s="1" t="str">
        <f aca="false">TEXT(DATE(VALUE(RIGHT(B1377,4)),VALUE(MID(B1377,4,2)),VALUE(LEFT(B1377,2))),"MMM-YYYY")</f>
        <v>May-2024</v>
      </c>
      <c r="AF1377" s="1" t="n">
        <f aca="false">VALUE(RIGHT(B1377,4))</f>
        <v>2024</v>
      </c>
      <c r="AG1377" s="1" t="str">
        <f aca="false">CHOOSE(ROUNDUP(VALUE(MID(B1377,4,2))/3,0),"Q1","Q2","Q3","Q4")</f>
        <v>Q2</v>
      </c>
    </row>
    <row r="1378" customFormat="false" ht="15" hidden="false" customHeight="true" outlineLevel="0" collapsed="false">
      <c r="A1378" s="1" t="s">
        <v>2171</v>
      </c>
      <c r="B1378" s="1" t="s">
        <v>555</v>
      </c>
      <c r="C1378" s="1" t="s">
        <v>28</v>
      </c>
      <c r="D1378" s="1" t="s">
        <v>29</v>
      </c>
      <c r="E1378" s="1" t="s">
        <v>129</v>
      </c>
      <c r="F1378" s="1" t="s">
        <v>130</v>
      </c>
      <c r="G1378" s="1" t="s">
        <v>47</v>
      </c>
      <c r="H1378" s="1" t="s">
        <v>69</v>
      </c>
      <c r="I1378" s="1" t="s">
        <v>58</v>
      </c>
      <c r="J1378" s="1" t="s">
        <v>35</v>
      </c>
      <c r="K1378" s="1" t="s">
        <v>60</v>
      </c>
      <c r="L1378" s="1" t="s">
        <v>37</v>
      </c>
      <c r="M1378" s="1" t="s">
        <v>62</v>
      </c>
      <c r="N1378" s="1" t="n">
        <v>29999</v>
      </c>
      <c r="O1378" s="1" t="n">
        <v>40</v>
      </c>
      <c r="P1378" s="1" t="n">
        <v>11999.6</v>
      </c>
      <c r="Q1378" s="1" t="n">
        <v>17999.4</v>
      </c>
      <c r="R1378" s="1" t="n">
        <v>3239.89</v>
      </c>
      <c r="S1378" s="1" t="n">
        <v>14759.51</v>
      </c>
      <c r="T1378" s="1" t="n">
        <v>6729.96</v>
      </c>
      <c r="U1378" s="1" t="n">
        <v>8029.55</v>
      </c>
      <c r="V1378" s="1" t="n">
        <v>54.4</v>
      </c>
      <c r="W1378" s="1" t="s">
        <v>40</v>
      </c>
      <c r="Y1378" s="1" t="s">
        <v>39</v>
      </c>
      <c r="Z1378" s="1" t="n">
        <v>0</v>
      </c>
      <c r="AA1378" s="1" t="str">
        <f aca="false">TRIM(PROPER(F1378))</f>
        <v>Bengaluru</v>
      </c>
      <c r="AB1378" s="1" t="str">
        <f aca="false">TRIM(PROPER(C1378))</f>
        <v>Embibe</v>
      </c>
      <c r="AC1378" s="1" t="str">
        <f aca="false">IF(O1378=0,"No Discount",IF(O1378&lt;=15,"Low (1-15%)",IF(O1378&lt;=30,"Medium (16-30%)","High (&gt;30%)")))</f>
        <v>High (&gt;30%)</v>
      </c>
      <c r="AD1378" s="1" t="str">
        <f aca="false">IF(V1378&lt;0,"Loss Making",IF(V1378&lt;20,"Low Margin","Healthy Margin"))</f>
        <v>Healthy Margin</v>
      </c>
      <c r="AE1378" s="1" t="str">
        <f aca="false">TEXT(DATE(VALUE(RIGHT(B1378,4)),VALUE(MID(B1378,4,2)),VALUE(LEFT(B1378,2))),"MMM-YYYY")</f>
        <v>Jun-2023</v>
      </c>
      <c r="AF1378" s="1" t="n">
        <f aca="false">VALUE(RIGHT(B1378,4))</f>
        <v>2023</v>
      </c>
      <c r="AG1378" s="1" t="str">
        <f aca="false">CHOOSE(ROUNDUP(VALUE(MID(B1378,4,2))/3,0),"Q1","Q2","Q3","Q4")</f>
        <v>Q2</v>
      </c>
    </row>
    <row r="1379" customFormat="false" ht="15" hidden="false" customHeight="true" outlineLevel="0" collapsed="false">
      <c r="A1379" s="1" t="s">
        <v>2172</v>
      </c>
      <c r="B1379" s="1" t="s">
        <v>171</v>
      </c>
      <c r="C1379" s="1" t="s">
        <v>167</v>
      </c>
      <c r="D1379" s="1" t="s">
        <v>94</v>
      </c>
      <c r="E1379" s="1" t="s">
        <v>101</v>
      </c>
      <c r="F1379" s="1" t="s">
        <v>153</v>
      </c>
      <c r="G1379" s="1" t="s">
        <v>76</v>
      </c>
      <c r="H1379" s="1" t="s">
        <v>33</v>
      </c>
      <c r="I1379" s="1" t="s">
        <v>58</v>
      </c>
      <c r="J1379" s="1" t="s">
        <v>77</v>
      </c>
      <c r="K1379" s="1" t="s">
        <v>84</v>
      </c>
      <c r="L1379" s="1" t="s">
        <v>113</v>
      </c>
      <c r="M1379" s="1" t="s">
        <v>38</v>
      </c>
      <c r="N1379" s="1" t="n">
        <v>14999</v>
      </c>
      <c r="O1379" s="1" t="n">
        <v>20</v>
      </c>
      <c r="P1379" s="1" t="n">
        <v>2999.8</v>
      </c>
      <c r="Q1379" s="1" t="n">
        <v>11999.2</v>
      </c>
      <c r="R1379" s="1" t="n">
        <v>2159.86</v>
      </c>
      <c r="S1379" s="1" t="n">
        <v>9839.34</v>
      </c>
      <c r="T1379" s="1" t="n">
        <v>4308.12</v>
      </c>
      <c r="U1379" s="1" t="n">
        <v>5531.22</v>
      </c>
      <c r="V1379" s="1" t="n">
        <v>56.22</v>
      </c>
      <c r="W1379" s="1" t="s">
        <v>39</v>
      </c>
      <c r="X1379" s="1" t="n">
        <v>4.2</v>
      </c>
      <c r="Y1379" s="1" t="s">
        <v>40</v>
      </c>
      <c r="Z1379" s="1" t="n">
        <v>0</v>
      </c>
      <c r="AA1379" s="1" t="str">
        <f aca="false">TRIM(PROPER(F1379))</f>
        <v>Howrah</v>
      </c>
      <c r="AB1379" s="1" t="str">
        <f aca="false">TRIM(PROPER(C1379))</f>
        <v>Scaler</v>
      </c>
      <c r="AC1379" s="1" t="str">
        <f aca="false">IF(O1379=0,"No Discount",IF(O1379&lt;=15,"Low (1-15%)",IF(O1379&lt;=30,"Medium (16-30%)","High (&gt;30%)")))</f>
        <v>Medium (16-30%)</v>
      </c>
      <c r="AD1379" s="1" t="str">
        <f aca="false">IF(V1379&lt;0,"Loss Making",IF(V1379&lt;20,"Low Margin","Healthy Margin"))</f>
        <v>Healthy Margin</v>
      </c>
      <c r="AE1379" s="1" t="str">
        <f aca="false">TEXT(DATE(VALUE(RIGHT(B1379,4)),VALUE(MID(B1379,4,2)),VALUE(LEFT(B1379,2))),"MMM-YYYY")</f>
        <v>May-2023</v>
      </c>
      <c r="AF1379" s="1" t="n">
        <f aca="false">VALUE(RIGHT(B1379,4))</f>
        <v>2023</v>
      </c>
      <c r="AG1379" s="1" t="str">
        <f aca="false">CHOOSE(ROUNDUP(VALUE(MID(B1379,4,2))/3,0),"Q1","Q2","Q3","Q4")</f>
        <v>Q2</v>
      </c>
    </row>
    <row r="1380" customFormat="false" ht="15" hidden="false" customHeight="true" outlineLevel="0" collapsed="false">
      <c r="A1380" s="1" t="s">
        <v>2173</v>
      </c>
      <c r="B1380" s="1" t="s">
        <v>166</v>
      </c>
      <c r="C1380" s="1" t="s">
        <v>74</v>
      </c>
      <c r="D1380" s="1" t="s">
        <v>29</v>
      </c>
      <c r="E1380" s="1" t="s">
        <v>305</v>
      </c>
      <c r="F1380" s="1" t="s">
        <v>120</v>
      </c>
      <c r="G1380" s="1" t="s">
        <v>47</v>
      </c>
      <c r="H1380" s="1" t="s">
        <v>57</v>
      </c>
      <c r="I1380" s="1" t="s">
        <v>34</v>
      </c>
      <c r="J1380" s="1" t="s">
        <v>59</v>
      </c>
      <c r="K1380" s="1" t="s">
        <v>112</v>
      </c>
      <c r="L1380" s="1" t="s">
        <v>85</v>
      </c>
      <c r="M1380" s="1" t="s">
        <v>38</v>
      </c>
      <c r="N1380" s="1" t="n">
        <v>24999</v>
      </c>
      <c r="O1380" s="1" t="n">
        <v>10</v>
      </c>
      <c r="P1380" s="1" t="n">
        <v>2499.9</v>
      </c>
      <c r="Q1380" s="1" t="n">
        <v>22499.1</v>
      </c>
      <c r="R1380" s="1" t="n">
        <v>4049.84</v>
      </c>
      <c r="S1380" s="1" t="n">
        <v>18449.26</v>
      </c>
      <c r="T1380" s="1" t="n">
        <v>8277.07</v>
      </c>
      <c r="U1380" s="1" t="n">
        <v>10172.19</v>
      </c>
      <c r="V1380" s="1" t="n">
        <v>55.14</v>
      </c>
      <c r="W1380" s="1" t="s">
        <v>40</v>
      </c>
      <c r="Y1380" s="1" t="s">
        <v>40</v>
      </c>
      <c r="Z1380" s="1" t="n">
        <v>0</v>
      </c>
      <c r="AA1380" s="1" t="str">
        <f aca="false">TRIM(PROPER(F1380))</f>
        <v>Mysuru</v>
      </c>
      <c r="AB1380" s="1" t="str">
        <f aca="false">TRIM(PROPER(C1380))</f>
        <v>Vedantu</v>
      </c>
      <c r="AC1380" s="1" t="str">
        <f aca="false">IF(O1380=0,"No Discount",IF(O1380&lt;=15,"Low (1-15%)",IF(O1380&lt;=30,"Medium (16-30%)","High (&gt;30%)")))</f>
        <v>Low (1-15%)</v>
      </c>
      <c r="AD1380" s="1" t="str">
        <f aca="false">IF(V1380&lt;0,"Loss Making",IF(V1380&lt;20,"Low Margin","Healthy Margin"))</f>
        <v>Healthy Margin</v>
      </c>
      <c r="AE1380" s="1" t="str">
        <f aca="false">TEXT(DATE(VALUE(RIGHT(B1380,4)),VALUE(MID(B1380,4,2)),VALUE(LEFT(B1380,2))),"MMM-YYYY")</f>
        <v>May-2024</v>
      </c>
      <c r="AF1380" s="1" t="n">
        <f aca="false">VALUE(RIGHT(B1380,4))</f>
        <v>2024</v>
      </c>
      <c r="AG1380" s="1" t="str">
        <f aca="false">CHOOSE(ROUNDUP(VALUE(MID(B1380,4,2))/3,0),"Q1","Q2","Q3","Q4")</f>
        <v>Q2</v>
      </c>
    </row>
    <row r="1381" customFormat="false" ht="15" hidden="false" customHeight="true" outlineLevel="0" collapsed="false">
      <c r="A1381" s="1" t="s">
        <v>2174</v>
      </c>
      <c r="B1381" s="1" t="s">
        <v>73</v>
      </c>
      <c r="C1381" s="1" t="s">
        <v>134</v>
      </c>
      <c r="D1381" s="1" t="s">
        <v>53</v>
      </c>
      <c r="E1381" s="1" t="s">
        <v>216</v>
      </c>
      <c r="F1381" s="1" t="s">
        <v>89</v>
      </c>
      <c r="G1381" s="1" t="s">
        <v>68</v>
      </c>
      <c r="H1381" s="1" t="s">
        <v>33</v>
      </c>
      <c r="I1381" s="1" t="s">
        <v>58</v>
      </c>
      <c r="J1381" s="1" t="s">
        <v>70</v>
      </c>
      <c r="K1381" s="1" t="s">
        <v>112</v>
      </c>
      <c r="L1381" s="1" t="s">
        <v>113</v>
      </c>
      <c r="M1381" s="1" t="s">
        <v>38</v>
      </c>
      <c r="N1381" s="1" t="n">
        <v>7499</v>
      </c>
      <c r="O1381" s="1" t="n">
        <v>30</v>
      </c>
      <c r="P1381" s="1" t="n">
        <v>2249.7</v>
      </c>
      <c r="Q1381" s="1" t="n">
        <v>5249.3</v>
      </c>
      <c r="R1381" s="1" t="n">
        <v>944.87</v>
      </c>
      <c r="S1381" s="1" t="n">
        <v>4304.43</v>
      </c>
      <c r="T1381" s="1" t="n">
        <v>1986.4</v>
      </c>
      <c r="U1381" s="1" t="n">
        <v>2318.03</v>
      </c>
      <c r="V1381" s="1" t="n">
        <v>53.85</v>
      </c>
      <c r="W1381" s="1" t="s">
        <v>39</v>
      </c>
      <c r="X1381" s="1" t="n">
        <v>4.4</v>
      </c>
      <c r="Y1381" s="1" t="s">
        <v>40</v>
      </c>
      <c r="Z1381" s="1" t="n">
        <v>1</v>
      </c>
      <c r="AA1381" s="1" t="str">
        <f aca="false">TRIM(PROPER(F1381))</f>
        <v>Vadodara</v>
      </c>
      <c r="AB1381" s="1" t="str">
        <f aca="false">TRIM(PROPER(C1381))</f>
        <v>Doubtnut</v>
      </c>
      <c r="AC1381" s="1" t="str">
        <f aca="false">IF(O1381=0,"No Discount",IF(O1381&lt;=15,"Low (1-15%)",IF(O1381&lt;=30,"Medium (16-30%)","High (&gt;30%)")))</f>
        <v>Medium (16-30%)</v>
      </c>
      <c r="AD1381" s="1" t="str">
        <f aca="false">IF(V1381&lt;0,"Loss Making",IF(V1381&lt;20,"Low Margin","Healthy Margin"))</f>
        <v>Healthy Margin</v>
      </c>
      <c r="AE1381" s="1" t="str">
        <f aca="false">TEXT(DATE(VALUE(RIGHT(B1381,4)),VALUE(MID(B1381,4,2)),VALUE(LEFT(B1381,2))),"MMM-YYYY")</f>
        <v>Feb-2023</v>
      </c>
      <c r="AF1381" s="1" t="n">
        <f aca="false">VALUE(RIGHT(B1381,4))</f>
        <v>2023</v>
      </c>
      <c r="AG1381" s="1" t="str">
        <f aca="false">CHOOSE(ROUNDUP(VALUE(MID(B1381,4,2))/3,0),"Q1","Q2","Q3","Q4")</f>
        <v>Q1</v>
      </c>
    </row>
    <row r="1382" customFormat="false" ht="15" hidden="false" customHeight="true" outlineLevel="0" collapsed="false">
      <c r="A1382" s="1" t="s">
        <v>2175</v>
      </c>
      <c r="B1382" s="1" t="s">
        <v>2110</v>
      </c>
      <c r="C1382" s="1" t="s">
        <v>134</v>
      </c>
      <c r="D1382" s="1" t="s">
        <v>143</v>
      </c>
      <c r="E1382" s="1" t="s">
        <v>210</v>
      </c>
      <c r="F1382" s="1" t="s">
        <v>244</v>
      </c>
      <c r="G1382" s="1" t="s">
        <v>97</v>
      </c>
      <c r="H1382" s="1" t="s">
        <v>57</v>
      </c>
      <c r="I1382" s="1" t="s">
        <v>58</v>
      </c>
      <c r="J1382" s="1" t="s">
        <v>59</v>
      </c>
      <c r="K1382" s="1" t="s">
        <v>60</v>
      </c>
      <c r="L1382" s="1" t="s">
        <v>61</v>
      </c>
      <c r="M1382" s="1" t="s">
        <v>62</v>
      </c>
      <c r="N1382" s="1" t="n">
        <v>18999</v>
      </c>
      <c r="O1382" s="1" t="n">
        <v>25</v>
      </c>
      <c r="P1382" s="1" t="n">
        <v>4749.75</v>
      </c>
      <c r="Q1382" s="1" t="n">
        <v>14249.25</v>
      </c>
      <c r="R1382" s="1" t="n">
        <v>2564.86</v>
      </c>
      <c r="S1382" s="1" t="n">
        <v>11684.39</v>
      </c>
      <c r="T1382" s="1" t="n">
        <v>5237.7</v>
      </c>
      <c r="U1382" s="1" t="n">
        <v>6446.69</v>
      </c>
      <c r="V1382" s="1" t="n">
        <v>55.17</v>
      </c>
      <c r="W1382" s="1" t="s">
        <v>40</v>
      </c>
      <c r="Y1382" s="1" t="s">
        <v>40</v>
      </c>
      <c r="Z1382" s="1" t="n">
        <v>1</v>
      </c>
      <c r="AA1382" s="1" t="str">
        <f aca="false">TRIM(PROPER(F1382))</f>
        <v>Nagpur</v>
      </c>
      <c r="AB1382" s="1" t="str">
        <f aca="false">TRIM(PROPER(C1382))</f>
        <v>Doubtnut</v>
      </c>
      <c r="AC1382" s="1" t="str">
        <f aca="false">IF(O1382=0,"No Discount",IF(O1382&lt;=15,"Low (1-15%)",IF(O1382&lt;=30,"Medium (16-30%)","High (&gt;30%)")))</f>
        <v>Medium (16-30%)</v>
      </c>
      <c r="AD1382" s="1" t="str">
        <f aca="false">IF(V1382&lt;0,"Loss Making",IF(V1382&lt;20,"Low Margin","Healthy Margin"))</f>
        <v>Healthy Margin</v>
      </c>
      <c r="AE1382" s="1" t="str">
        <f aca="false">TEXT(DATE(VALUE(RIGHT(B1382,4)),VALUE(MID(B1382,4,2)),VALUE(LEFT(B1382,2))),"MMM-YYYY")</f>
        <v>Nov-2024</v>
      </c>
      <c r="AF1382" s="1" t="n">
        <f aca="false">VALUE(RIGHT(B1382,4))</f>
        <v>2024</v>
      </c>
      <c r="AG1382" s="1" t="str">
        <f aca="false">CHOOSE(ROUNDUP(VALUE(MID(B1382,4,2))/3,0),"Q1","Q2","Q3","Q4")</f>
        <v>Q4</v>
      </c>
    </row>
    <row r="1383" customFormat="false" ht="15" hidden="false" customHeight="true" outlineLevel="0" collapsed="false">
      <c r="A1383" s="1" t="s">
        <v>2176</v>
      </c>
      <c r="B1383" s="1" t="s">
        <v>742</v>
      </c>
      <c r="C1383" s="1" t="s">
        <v>43</v>
      </c>
      <c r="D1383" s="1" t="s">
        <v>29</v>
      </c>
      <c r="E1383" s="1" t="s">
        <v>305</v>
      </c>
      <c r="F1383" s="1" t="s">
        <v>107</v>
      </c>
      <c r="G1383" s="1" t="s">
        <v>108</v>
      </c>
      <c r="H1383" s="1" t="s">
        <v>33</v>
      </c>
      <c r="I1383" s="1" t="s">
        <v>58</v>
      </c>
      <c r="J1383" s="1" t="s">
        <v>59</v>
      </c>
      <c r="K1383" s="1" t="s">
        <v>112</v>
      </c>
      <c r="L1383" s="1" t="s">
        <v>37</v>
      </c>
      <c r="M1383" s="1" t="s">
        <v>62</v>
      </c>
      <c r="N1383" s="1" t="n">
        <v>24999</v>
      </c>
      <c r="O1383" s="1" t="n">
        <v>0</v>
      </c>
      <c r="P1383" s="1" t="n">
        <v>0</v>
      </c>
      <c r="Q1383" s="1" t="n">
        <v>24999</v>
      </c>
      <c r="R1383" s="1" t="n">
        <v>4499.82</v>
      </c>
      <c r="S1383" s="1" t="n">
        <v>20499.18</v>
      </c>
      <c r="T1383" s="1" t="n">
        <v>7608.89</v>
      </c>
      <c r="U1383" s="1" t="n">
        <v>12890.29</v>
      </c>
      <c r="V1383" s="1" t="n">
        <v>62.88</v>
      </c>
      <c r="W1383" s="1" t="s">
        <v>40</v>
      </c>
      <c r="Y1383" s="1" t="s">
        <v>39</v>
      </c>
      <c r="Z1383" s="1" t="n">
        <v>1</v>
      </c>
      <c r="AA1383" s="1" t="str">
        <f aca="false">TRIM(PROPER(F1383))</f>
        <v>Madurai</v>
      </c>
      <c r="AB1383" s="1" t="str">
        <f aca="false">TRIM(PROPER(C1383))</f>
        <v>Meritnation</v>
      </c>
      <c r="AC1383" s="1" t="str">
        <f aca="false">IF(O1383=0,"No Discount",IF(O1383&lt;=15,"Low (1-15%)",IF(O1383&lt;=30,"Medium (16-30%)","High (&gt;30%)")))</f>
        <v>No Discount</v>
      </c>
      <c r="AD1383" s="1" t="str">
        <f aca="false">IF(V1383&lt;0,"Loss Making",IF(V1383&lt;20,"Low Margin","Healthy Margin"))</f>
        <v>Healthy Margin</v>
      </c>
      <c r="AE1383" s="1" t="str">
        <f aca="false">TEXT(DATE(VALUE(RIGHT(B1383,4)),VALUE(MID(B1383,4,2)),VALUE(LEFT(B1383,2))),"MMM-YYYY")</f>
        <v>Oct-2024</v>
      </c>
      <c r="AF1383" s="1" t="n">
        <f aca="false">VALUE(RIGHT(B1383,4))</f>
        <v>2024</v>
      </c>
      <c r="AG1383" s="1" t="str">
        <f aca="false">CHOOSE(ROUNDUP(VALUE(MID(B1383,4,2))/3,0),"Q1","Q2","Q3","Q4")</f>
        <v>Q4</v>
      </c>
    </row>
    <row r="1384" customFormat="false" ht="15" hidden="false" customHeight="true" outlineLevel="0" collapsed="false">
      <c r="A1384" s="1" t="s">
        <v>2177</v>
      </c>
      <c r="B1384" s="1" t="s">
        <v>2011</v>
      </c>
      <c r="C1384" s="1" t="s">
        <v>134</v>
      </c>
      <c r="D1384" s="1" t="s">
        <v>168</v>
      </c>
      <c r="E1384" s="1" t="s">
        <v>328</v>
      </c>
      <c r="F1384" s="1" t="s">
        <v>150</v>
      </c>
      <c r="G1384" s="1" t="s">
        <v>32</v>
      </c>
      <c r="H1384" s="1" t="s">
        <v>57</v>
      </c>
      <c r="I1384" s="1" t="s">
        <v>58</v>
      </c>
      <c r="J1384" s="1" t="s">
        <v>35</v>
      </c>
      <c r="K1384" s="1" t="s">
        <v>60</v>
      </c>
      <c r="L1384" s="1" t="s">
        <v>85</v>
      </c>
      <c r="M1384" s="1" t="s">
        <v>62</v>
      </c>
      <c r="N1384" s="1" t="n">
        <v>8999</v>
      </c>
      <c r="O1384" s="1" t="n">
        <v>15</v>
      </c>
      <c r="P1384" s="1" t="n">
        <v>1349.85</v>
      </c>
      <c r="Q1384" s="1" t="n">
        <v>7649.15</v>
      </c>
      <c r="R1384" s="1" t="n">
        <v>1376.85</v>
      </c>
      <c r="S1384" s="1" t="n">
        <v>6272.3</v>
      </c>
      <c r="T1384" s="1" t="n">
        <v>2750.57</v>
      </c>
      <c r="U1384" s="1" t="n">
        <v>3521.73</v>
      </c>
      <c r="V1384" s="1" t="n">
        <v>56.15</v>
      </c>
      <c r="W1384" s="1" t="s">
        <v>39</v>
      </c>
      <c r="Y1384" s="1" t="s">
        <v>40</v>
      </c>
      <c r="Z1384" s="1" t="n">
        <v>0</v>
      </c>
      <c r="AA1384" s="1" t="str">
        <f aca="false">TRIM(PROPER(F1384))</f>
        <v>Jaipur</v>
      </c>
      <c r="AB1384" s="1" t="str">
        <f aca="false">TRIM(PROPER(C1384))</f>
        <v>Doubtnut</v>
      </c>
      <c r="AC1384" s="1" t="str">
        <f aca="false">IF(O1384=0,"No Discount",IF(O1384&lt;=15,"Low (1-15%)",IF(O1384&lt;=30,"Medium (16-30%)","High (&gt;30%)")))</f>
        <v>Low (1-15%)</v>
      </c>
      <c r="AD1384" s="1" t="str">
        <f aca="false">IF(V1384&lt;0,"Loss Making",IF(V1384&lt;20,"Low Margin","Healthy Margin"))</f>
        <v>Healthy Margin</v>
      </c>
      <c r="AE1384" s="1" t="str">
        <f aca="false">TEXT(DATE(VALUE(RIGHT(B1384,4)),VALUE(MID(B1384,4,2)),VALUE(LEFT(B1384,2))),"MMM-YYYY")</f>
        <v>Dec-2023</v>
      </c>
      <c r="AF1384" s="1" t="n">
        <f aca="false">VALUE(RIGHT(B1384,4))</f>
        <v>2023</v>
      </c>
      <c r="AG1384" s="1" t="str">
        <f aca="false">CHOOSE(ROUNDUP(VALUE(MID(B1384,4,2))/3,0),"Q1","Q2","Q3","Q4")</f>
        <v>Q4</v>
      </c>
    </row>
    <row r="1385" customFormat="false" ht="15" hidden="false" customHeight="true" outlineLevel="0" collapsed="false">
      <c r="A1385" s="1" t="s">
        <v>2178</v>
      </c>
      <c r="B1385" s="1" t="s">
        <v>2179</v>
      </c>
      <c r="C1385" s="1" t="s">
        <v>93</v>
      </c>
      <c r="D1385" s="1" t="s">
        <v>44</v>
      </c>
      <c r="E1385" s="1" t="s">
        <v>66</v>
      </c>
      <c r="F1385" s="1" t="s">
        <v>194</v>
      </c>
      <c r="G1385" s="1" t="s">
        <v>103</v>
      </c>
      <c r="H1385" s="1" t="s">
        <v>69</v>
      </c>
      <c r="I1385" s="1" t="s">
        <v>58</v>
      </c>
      <c r="J1385" s="1" t="s">
        <v>59</v>
      </c>
      <c r="K1385" s="1" t="s">
        <v>84</v>
      </c>
      <c r="L1385" s="1" t="s">
        <v>61</v>
      </c>
      <c r="M1385" s="1" t="s">
        <v>62</v>
      </c>
      <c r="N1385" s="1" t="n">
        <v>12999</v>
      </c>
      <c r="O1385" s="1" t="n">
        <v>15</v>
      </c>
      <c r="P1385" s="1" t="n">
        <v>1949.85</v>
      </c>
      <c r="Q1385" s="1" t="n">
        <v>11049.15</v>
      </c>
      <c r="R1385" s="1" t="n">
        <v>1988.85</v>
      </c>
      <c r="S1385" s="1" t="n">
        <v>9060.3</v>
      </c>
      <c r="T1385" s="1" t="n">
        <v>3109.2</v>
      </c>
      <c r="U1385" s="1" t="n">
        <v>5951.1</v>
      </c>
      <c r="V1385" s="1" t="n">
        <v>65.68</v>
      </c>
      <c r="W1385" s="1" t="s">
        <v>39</v>
      </c>
      <c r="X1385" s="1" t="n">
        <v>3.5</v>
      </c>
      <c r="Y1385" s="1" t="s">
        <v>40</v>
      </c>
      <c r="Z1385" s="1" t="n">
        <v>1</v>
      </c>
      <c r="AA1385" s="1" t="str">
        <f aca="false">TRIM(PROPER(F1385))</f>
        <v>Hyderabad</v>
      </c>
      <c r="AB1385" s="1" t="str">
        <f aca="false">TRIM(PROPER(C1385))</f>
        <v>Upgrad</v>
      </c>
      <c r="AC1385" s="1" t="str">
        <f aca="false">IF(O1385=0,"No Discount",IF(O1385&lt;=15,"Low (1-15%)",IF(O1385&lt;=30,"Medium (16-30%)","High (&gt;30%)")))</f>
        <v>Low (1-15%)</v>
      </c>
      <c r="AD1385" s="1" t="str">
        <f aca="false">IF(V1385&lt;0,"Loss Making",IF(V1385&lt;20,"Low Margin","Healthy Margin"))</f>
        <v>Healthy Margin</v>
      </c>
      <c r="AE1385" s="1" t="str">
        <f aca="false">TEXT(DATE(VALUE(RIGHT(B1385,4)),VALUE(MID(B1385,4,2)),VALUE(LEFT(B1385,2))),"MMM-YYYY")</f>
        <v>Feb-2024</v>
      </c>
      <c r="AF1385" s="1" t="n">
        <f aca="false">VALUE(RIGHT(B1385,4))</f>
        <v>2024</v>
      </c>
      <c r="AG1385" s="1" t="str">
        <f aca="false">CHOOSE(ROUNDUP(VALUE(MID(B1385,4,2))/3,0),"Q1","Q2","Q3","Q4")</f>
        <v>Q1</v>
      </c>
    </row>
    <row r="1386" customFormat="false" ht="15" hidden="false" customHeight="true" outlineLevel="0" collapsed="false">
      <c r="A1386" s="1" t="s">
        <v>2180</v>
      </c>
      <c r="B1386" s="1" t="s">
        <v>926</v>
      </c>
      <c r="C1386" s="1" t="s">
        <v>167</v>
      </c>
      <c r="D1386" s="1" t="s">
        <v>168</v>
      </c>
      <c r="E1386" s="1" t="s">
        <v>197</v>
      </c>
      <c r="F1386" s="1" t="s">
        <v>211</v>
      </c>
      <c r="G1386" s="1" t="s">
        <v>56</v>
      </c>
      <c r="H1386" s="1" t="s">
        <v>69</v>
      </c>
      <c r="I1386" s="1" t="s">
        <v>83</v>
      </c>
      <c r="J1386" s="1" t="s">
        <v>35</v>
      </c>
      <c r="K1386" s="1" t="s">
        <v>112</v>
      </c>
      <c r="L1386" s="1" t="s">
        <v>113</v>
      </c>
      <c r="M1386" s="1" t="s">
        <v>38</v>
      </c>
      <c r="N1386" s="1" t="n">
        <v>8499</v>
      </c>
      <c r="O1386" s="1" t="n">
        <v>0</v>
      </c>
      <c r="P1386" s="1" t="n">
        <v>0</v>
      </c>
      <c r="Q1386" s="1" t="n">
        <v>8499</v>
      </c>
      <c r="R1386" s="1" t="n">
        <v>1529.82</v>
      </c>
      <c r="S1386" s="1" t="n">
        <v>6969.18</v>
      </c>
      <c r="T1386" s="1" t="n">
        <v>2731.24</v>
      </c>
      <c r="U1386" s="1" t="n">
        <v>4237.94</v>
      </c>
      <c r="V1386" s="1" t="n">
        <v>60.81</v>
      </c>
      <c r="W1386" s="1" t="s">
        <v>40</v>
      </c>
      <c r="Y1386" s="1" t="s">
        <v>40</v>
      </c>
      <c r="Z1386" s="1" t="n">
        <v>1</v>
      </c>
      <c r="AA1386" s="1" t="str">
        <f aca="false">TRIM(PROPER(F1386))</f>
        <v>Noida</v>
      </c>
      <c r="AB1386" s="1" t="str">
        <f aca="false">TRIM(PROPER(C1386))</f>
        <v>Scaler</v>
      </c>
      <c r="AC1386" s="1" t="str">
        <f aca="false">IF(O1386=0,"No Discount",IF(O1386&lt;=15,"Low (1-15%)",IF(O1386&lt;=30,"Medium (16-30%)","High (&gt;30%)")))</f>
        <v>No Discount</v>
      </c>
      <c r="AD1386" s="1" t="str">
        <f aca="false">IF(V1386&lt;0,"Loss Making",IF(V1386&lt;20,"Low Margin","Healthy Margin"))</f>
        <v>Healthy Margin</v>
      </c>
      <c r="AE1386" s="1" t="str">
        <f aca="false">TEXT(DATE(VALUE(RIGHT(B1386,4)),VALUE(MID(B1386,4,2)),VALUE(LEFT(B1386,2))),"MMM-YYYY")</f>
        <v>Nov-2023</v>
      </c>
      <c r="AF1386" s="1" t="n">
        <f aca="false">VALUE(RIGHT(B1386,4))</f>
        <v>2023</v>
      </c>
      <c r="AG1386" s="1" t="str">
        <f aca="false">CHOOSE(ROUNDUP(VALUE(MID(B1386,4,2))/3,0),"Q1","Q2","Q3","Q4")</f>
        <v>Q4</v>
      </c>
    </row>
    <row r="1387" customFormat="false" ht="15" hidden="false" customHeight="true" outlineLevel="0" collapsed="false">
      <c r="A1387" s="1" t="s">
        <v>2181</v>
      </c>
      <c r="B1387" s="1" t="s">
        <v>1109</v>
      </c>
      <c r="C1387" s="1" t="s">
        <v>249</v>
      </c>
      <c r="D1387" s="1" t="s">
        <v>143</v>
      </c>
      <c r="E1387" s="1" t="s">
        <v>162</v>
      </c>
      <c r="F1387" s="1" t="s">
        <v>269</v>
      </c>
      <c r="G1387" s="1" t="s">
        <v>108</v>
      </c>
      <c r="H1387" s="1" t="s">
        <v>57</v>
      </c>
      <c r="I1387" s="1" t="s">
        <v>34</v>
      </c>
      <c r="J1387" s="1" t="s">
        <v>131</v>
      </c>
      <c r="K1387" s="1" t="s">
        <v>36</v>
      </c>
      <c r="L1387" s="1" t="s">
        <v>61</v>
      </c>
      <c r="M1387" s="1" t="s">
        <v>38</v>
      </c>
      <c r="N1387" s="1" t="n">
        <v>14999</v>
      </c>
      <c r="O1387" s="1" t="n">
        <v>25</v>
      </c>
      <c r="P1387" s="1" t="n">
        <v>3749.75</v>
      </c>
      <c r="Q1387" s="1" t="n">
        <v>11249.25</v>
      </c>
      <c r="R1387" s="1" t="n">
        <v>2024.87</v>
      </c>
      <c r="S1387" s="1" t="n">
        <v>9224.38</v>
      </c>
      <c r="T1387" s="1" t="n">
        <v>4207.9</v>
      </c>
      <c r="U1387" s="1" t="n">
        <v>5016.48</v>
      </c>
      <c r="V1387" s="1" t="n">
        <v>54.38</v>
      </c>
      <c r="W1387" s="1" t="s">
        <v>40</v>
      </c>
      <c r="Y1387" s="1" t="s">
        <v>40</v>
      </c>
      <c r="Z1387" s="1" t="n">
        <v>1</v>
      </c>
      <c r="AA1387" s="1" t="str">
        <f aca="false">TRIM(PROPER(F1387))</f>
        <v>Coimbatore</v>
      </c>
      <c r="AB1387" s="1" t="str">
        <f aca="false">TRIM(PROPER(C1387))</f>
        <v>Whitehat Jr</v>
      </c>
      <c r="AC1387" s="1" t="str">
        <f aca="false">IF(O1387=0,"No Discount",IF(O1387&lt;=15,"Low (1-15%)",IF(O1387&lt;=30,"Medium (16-30%)","High (&gt;30%)")))</f>
        <v>Medium (16-30%)</v>
      </c>
      <c r="AD1387" s="1" t="str">
        <f aca="false">IF(V1387&lt;0,"Loss Making",IF(V1387&lt;20,"Low Margin","Healthy Margin"))</f>
        <v>Healthy Margin</v>
      </c>
      <c r="AE1387" s="1" t="str">
        <f aca="false">TEXT(DATE(VALUE(RIGHT(B1387,4)),VALUE(MID(B1387,4,2)),VALUE(LEFT(B1387,2))),"MMM-YYYY")</f>
        <v>Mar-2024</v>
      </c>
      <c r="AF1387" s="1" t="n">
        <f aca="false">VALUE(RIGHT(B1387,4))</f>
        <v>2024</v>
      </c>
      <c r="AG1387" s="1" t="str">
        <f aca="false">CHOOSE(ROUNDUP(VALUE(MID(B1387,4,2))/3,0),"Q1","Q2","Q3","Q4")</f>
        <v>Q1</v>
      </c>
    </row>
    <row r="1388" customFormat="false" ht="15" hidden="false" customHeight="true" outlineLevel="0" collapsed="false">
      <c r="A1388" s="1" t="s">
        <v>2182</v>
      </c>
      <c r="B1388" s="1" t="s">
        <v>1610</v>
      </c>
      <c r="C1388" s="1" t="s">
        <v>65</v>
      </c>
      <c r="D1388" s="1" t="s">
        <v>143</v>
      </c>
      <c r="E1388" s="1" t="s">
        <v>210</v>
      </c>
      <c r="F1388" s="1" t="s">
        <v>55</v>
      </c>
      <c r="G1388" s="1" t="s">
        <v>56</v>
      </c>
      <c r="H1388" s="1" t="s">
        <v>57</v>
      </c>
      <c r="I1388" s="1" t="s">
        <v>34</v>
      </c>
      <c r="J1388" s="1" t="s">
        <v>35</v>
      </c>
      <c r="K1388" s="1" t="s">
        <v>71</v>
      </c>
      <c r="L1388" s="1" t="s">
        <v>85</v>
      </c>
      <c r="M1388" s="1" t="s">
        <v>38</v>
      </c>
      <c r="N1388" s="1" t="n">
        <v>18999</v>
      </c>
      <c r="O1388" s="1" t="n">
        <v>0</v>
      </c>
      <c r="P1388" s="1" t="n">
        <v>0</v>
      </c>
      <c r="Q1388" s="1" t="n">
        <v>18999</v>
      </c>
      <c r="R1388" s="1" t="n">
        <v>3419.82</v>
      </c>
      <c r="S1388" s="1" t="n">
        <v>15579.18</v>
      </c>
      <c r="T1388" s="1" t="n">
        <v>6704.46</v>
      </c>
      <c r="U1388" s="1" t="n">
        <v>8874.72</v>
      </c>
      <c r="V1388" s="1" t="n">
        <v>56.97</v>
      </c>
      <c r="W1388" s="1" t="s">
        <v>40</v>
      </c>
      <c r="Y1388" s="1" t="s">
        <v>40</v>
      </c>
      <c r="Z1388" s="1" t="n">
        <v>3</v>
      </c>
      <c r="AA1388" s="1" t="str">
        <f aca="false">TRIM(PROPER(F1388))</f>
        <v>Ghaziabad</v>
      </c>
      <c r="AB1388" s="1" t="str">
        <f aca="false">TRIM(PROPER(C1388))</f>
        <v>Toppr</v>
      </c>
      <c r="AC1388" s="1" t="str">
        <f aca="false">IF(O1388=0,"No Discount",IF(O1388&lt;=15,"Low (1-15%)",IF(O1388&lt;=30,"Medium (16-30%)","High (&gt;30%)")))</f>
        <v>No Discount</v>
      </c>
      <c r="AD1388" s="1" t="str">
        <f aca="false">IF(V1388&lt;0,"Loss Making",IF(V1388&lt;20,"Low Margin","Healthy Margin"))</f>
        <v>Healthy Margin</v>
      </c>
      <c r="AE1388" s="1" t="str">
        <f aca="false">TEXT(DATE(VALUE(RIGHT(B1388,4)),VALUE(MID(B1388,4,2)),VALUE(LEFT(B1388,2))),"MMM-YYYY")</f>
        <v>Mar-2023</v>
      </c>
      <c r="AF1388" s="1" t="n">
        <f aca="false">VALUE(RIGHT(B1388,4))</f>
        <v>2023</v>
      </c>
      <c r="AG1388" s="1" t="str">
        <f aca="false">CHOOSE(ROUNDUP(VALUE(MID(B1388,4,2))/3,0),"Q1","Q2","Q3","Q4")</f>
        <v>Q1</v>
      </c>
    </row>
    <row r="1389" customFormat="false" ht="15" hidden="false" customHeight="true" outlineLevel="0" collapsed="false">
      <c r="A1389" s="1" t="s">
        <v>2183</v>
      </c>
      <c r="B1389" s="1" t="s">
        <v>882</v>
      </c>
      <c r="C1389" s="1" t="s">
        <v>43</v>
      </c>
      <c r="D1389" s="1" t="s">
        <v>143</v>
      </c>
      <c r="E1389" s="1" t="s">
        <v>159</v>
      </c>
      <c r="F1389" s="1" t="s">
        <v>156</v>
      </c>
      <c r="G1389" s="1" t="s">
        <v>68</v>
      </c>
      <c r="H1389" s="1" t="s">
        <v>57</v>
      </c>
      <c r="I1389" s="1" t="s">
        <v>34</v>
      </c>
      <c r="J1389" s="1" t="s">
        <v>70</v>
      </c>
      <c r="K1389" s="1" t="s">
        <v>71</v>
      </c>
      <c r="L1389" s="1" t="s">
        <v>85</v>
      </c>
      <c r="M1389" s="1" t="s">
        <v>50</v>
      </c>
      <c r="N1389" s="1" t="n">
        <v>24999</v>
      </c>
      <c r="O1389" s="1" t="n">
        <v>0</v>
      </c>
      <c r="P1389" s="1" t="n">
        <v>0</v>
      </c>
      <c r="Q1389" s="1" t="n">
        <v>24999</v>
      </c>
      <c r="R1389" s="1" t="n">
        <v>4499.82</v>
      </c>
      <c r="S1389" s="1" t="n">
        <v>20499.18</v>
      </c>
      <c r="T1389" s="1" t="n">
        <v>10072.38</v>
      </c>
      <c r="U1389" s="1" t="n">
        <v>10426.8</v>
      </c>
      <c r="V1389" s="1" t="n">
        <v>50.86</v>
      </c>
      <c r="W1389" s="1" t="s">
        <v>40</v>
      </c>
      <c r="Y1389" s="1" t="s">
        <v>40</v>
      </c>
      <c r="Z1389" s="1" t="n">
        <v>4</v>
      </c>
      <c r="AA1389" s="1" t="str">
        <f aca="false">TRIM(PROPER(F1389))</f>
        <v>Surat</v>
      </c>
      <c r="AB1389" s="1" t="str">
        <f aca="false">TRIM(PROPER(C1389))</f>
        <v>Meritnation</v>
      </c>
      <c r="AC1389" s="1" t="str">
        <f aca="false">IF(O1389=0,"No Discount",IF(O1389&lt;=15,"Low (1-15%)",IF(O1389&lt;=30,"Medium (16-30%)","High (&gt;30%)")))</f>
        <v>No Discount</v>
      </c>
      <c r="AD1389" s="1" t="str">
        <f aca="false">IF(V1389&lt;0,"Loss Making",IF(V1389&lt;20,"Low Margin","Healthy Margin"))</f>
        <v>Healthy Margin</v>
      </c>
      <c r="AE1389" s="1" t="str">
        <f aca="false">TEXT(DATE(VALUE(RIGHT(B1389,4)),VALUE(MID(B1389,4,2)),VALUE(LEFT(B1389,2))),"MMM-YYYY")</f>
        <v>Aug-2024</v>
      </c>
      <c r="AF1389" s="1" t="n">
        <f aca="false">VALUE(RIGHT(B1389,4))</f>
        <v>2024</v>
      </c>
      <c r="AG1389" s="1" t="str">
        <f aca="false">CHOOSE(ROUNDUP(VALUE(MID(B1389,4,2))/3,0),"Q1","Q2","Q3","Q4")</f>
        <v>Q3</v>
      </c>
    </row>
    <row r="1390" customFormat="false" ht="15" hidden="false" customHeight="true" outlineLevel="0" collapsed="false">
      <c r="A1390" s="1" t="s">
        <v>2184</v>
      </c>
      <c r="B1390" s="1" t="s">
        <v>782</v>
      </c>
      <c r="C1390" s="1" t="s">
        <v>167</v>
      </c>
      <c r="D1390" s="1" t="s">
        <v>53</v>
      </c>
      <c r="E1390" s="1" t="s">
        <v>216</v>
      </c>
      <c r="F1390" s="1" t="s">
        <v>140</v>
      </c>
      <c r="G1390" s="1" t="s">
        <v>97</v>
      </c>
      <c r="H1390" s="1" t="s">
        <v>57</v>
      </c>
      <c r="I1390" s="1" t="s">
        <v>83</v>
      </c>
      <c r="J1390" s="1" t="s">
        <v>59</v>
      </c>
      <c r="K1390" s="1" t="s">
        <v>84</v>
      </c>
      <c r="L1390" s="1" t="s">
        <v>37</v>
      </c>
      <c r="M1390" s="1" t="s">
        <v>62</v>
      </c>
      <c r="N1390" s="1" t="n">
        <v>7499</v>
      </c>
      <c r="O1390" s="1" t="n">
        <v>50</v>
      </c>
      <c r="P1390" s="1" t="n">
        <v>3749.5</v>
      </c>
      <c r="Q1390" s="1" t="n">
        <v>3749.5</v>
      </c>
      <c r="R1390" s="1" t="n">
        <v>674.91</v>
      </c>
      <c r="S1390" s="1" t="n">
        <v>3074.59</v>
      </c>
      <c r="T1390" s="1" t="n">
        <v>1646.04</v>
      </c>
      <c r="U1390" s="1" t="n">
        <v>1428.55</v>
      </c>
      <c r="V1390" s="1" t="n">
        <v>46.46</v>
      </c>
      <c r="W1390" s="1" t="s">
        <v>40</v>
      </c>
      <c r="Y1390" s="1" t="s">
        <v>40</v>
      </c>
      <c r="Z1390" s="1" t="n">
        <v>1</v>
      </c>
      <c r="AA1390" s="1" t="str">
        <f aca="false">TRIM(PROPER(F1390))</f>
        <v>Nashik</v>
      </c>
      <c r="AB1390" s="1" t="str">
        <f aca="false">TRIM(PROPER(C1390))</f>
        <v>Scaler</v>
      </c>
      <c r="AC1390" s="1" t="str">
        <f aca="false">IF(O1390=0,"No Discount",IF(O1390&lt;=15,"Low (1-15%)",IF(O1390&lt;=30,"Medium (16-30%)","High (&gt;30%)")))</f>
        <v>High (&gt;30%)</v>
      </c>
      <c r="AD1390" s="1" t="str">
        <f aca="false">IF(V1390&lt;0,"Loss Making",IF(V1390&lt;20,"Low Margin","Healthy Margin"))</f>
        <v>Healthy Margin</v>
      </c>
      <c r="AE1390" s="1" t="str">
        <f aca="false">TEXT(DATE(VALUE(RIGHT(B1390,4)),VALUE(MID(B1390,4,2)),VALUE(LEFT(B1390,2))),"MMM-YYYY")</f>
        <v>Dec-2024</v>
      </c>
      <c r="AF1390" s="1" t="n">
        <f aca="false">VALUE(RIGHT(B1390,4))</f>
        <v>2024</v>
      </c>
      <c r="AG1390" s="1" t="str">
        <f aca="false">CHOOSE(ROUNDUP(VALUE(MID(B1390,4,2))/3,0),"Q1","Q2","Q3","Q4")</f>
        <v>Q4</v>
      </c>
    </row>
    <row r="1391" customFormat="false" ht="15" hidden="false" customHeight="true" outlineLevel="0" collapsed="false">
      <c r="A1391" s="1" t="s">
        <v>2185</v>
      </c>
      <c r="B1391" s="1" t="s">
        <v>330</v>
      </c>
      <c r="C1391" s="1" t="s">
        <v>93</v>
      </c>
      <c r="D1391" s="1" t="s">
        <v>143</v>
      </c>
      <c r="E1391" s="1" t="s">
        <v>162</v>
      </c>
      <c r="F1391" s="1" t="s">
        <v>269</v>
      </c>
      <c r="G1391" s="1" t="s">
        <v>108</v>
      </c>
      <c r="H1391" s="1" t="s">
        <v>57</v>
      </c>
      <c r="I1391" s="1" t="s">
        <v>83</v>
      </c>
      <c r="J1391" s="1" t="s">
        <v>131</v>
      </c>
      <c r="K1391" s="1" t="s">
        <v>84</v>
      </c>
      <c r="L1391" s="1" t="s">
        <v>37</v>
      </c>
      <c r="M1391" s="1" t="s">
        <v>38</v>
      </c>
      <c r="N1391" s="1" t="n">
        <v>14999</v>
      </c>
      <c r="O1391" s="1" t="n">
        <v>0</v>
      </c>
      <c r="P1391" s="1" t="n">
        <v>0</v>
      </c>
      <c r="Q1391" s="1" t="n">
        <v>14999</v>
      </c>
      <c r="R1391" s="1" t="n">
        <v>2699.82</v>
      </c>
      <c r="S1391" s="1" t="n">
        <v>12299.18</v>
      </c>
      <c r="T1391" s="1" t="n">
        <v>5794.01</v>
      </c>
      <c r="U1391" s="1" t="n">
        <v>6505.17</v>
      </c>
      <c r="V1391" s="1" t="n">
        <v>52.89</v>
      </c>
      <c r="W1391" s="1" t="s">
        <v>39</v>
      </c>
      <c r="X1391" s="1" t="n">
        <v>3.6</v>
      </c>
      <c r="Y1391" s="1" t="s">
        <v>40</v>
      </c>
      <c r="Z1391" s="1" t="n">
        <v>0</v>
      </c>
      <c r="AA1391" s="1" t="str">
        <f aca="false">TRIM(PROPER(F1391))</f>
        <v>Coimbatore</v>
      </c>
      <c r="AB1391" s="1" t="str">
        <f aca="false">TRIM(PROPER(C1391))</f>
        <v>Upgrad</v>
      </c>
      <c r="AC1391" s="1" t="str">
        <f aca="false">IF(O1391=0,"No Discount",IF(O1391&lt;=15,"Low (1-15%)",IF(O1391&lt;=30,"Medium (16-30%)","High (&gt;30%)")))</f>
        <v>No Discount</v>
      </c>
      <c r="AD1391" s="1" t="str">
        <f aca="false">IF(V1391&lt;0,"Loss Making",IF(V1391&lt;20,"Low Margin","Healthy Margin"))</f>
        <v>Healthy Margin</v>
      </c>
      <c r="AE1391" s="1" t="str">
        <f aca="false">TEXT(DATE(VALUE(RIGHT(B1391,4)),VALUE(MID(B1391,4,2)),VALUE(LEFT(B1391,2))),"MMM-YYYY")</f>
        <v>Feb-2024</v>
      </c>
      <c r="AF1391" s="1" t="n">
        <f aca="false">VALUE(RIGHT(B1391,4))</f>
        <v>2024</v>
      </c>
      <c r="AG1391" s="1" t="str">
        <f aca="false">CHOOSE(ROUNDUP(VALUE(MID(B1391,4,2))/3,0),"Q1","Q2","Q3","Q4")</f>
        <v>Q1</v>
      </c>
    </row>
    <row r="1392" customFormat="false" ht="15" hidden="false" customHeight="true" outlineLevel="0" collapsed="false">
      <c r="A1392" s="1" t="s">
        <v>2186</v>
      </c>
      <c r="B1392" s="1" t="s">
        <v>1163</v>
      </c>
      <c r="C1392" s="1" t="s">
        <v>119</v>
      </c>
      <c r="D1392" s="1" t="s">
        <v>94</v>
      </c>
      <c r="E1392" s="1" t="s">
        <v>135</v>
      </c>
      <c r="F1392" s="1" t="s">
        <v>244</v>
      </c>
      <c r="G1392" s="1" t="s">
        <v>97</v>
      </c>
      <c r="H1392" s="1" t="s">
        <v>57</v>
      </c>
      <c r="I1392" s="1" t="s">
        <v>34</v>
      </c>
      <c r="J1392" s="1" t="s">
        <v>59</v>
      </c>
      <c r="K1392" s="1" t="s">
        <v>104</v>
      </c>
      <c r="L1392" s="1" t="s">
        <v>37</v>
      </c>
      <c r="M1392" s="1" t="s">
        <v>50</v>
      </c>
      <c r="N1392" s="1" t="n">
        <v>9999</v>
      </c>
      <c r="O1392" s="1" t="n">
        <v>40</v>
      </c>
      <c r="P1392" s="1" t="n">
        <v>3999.6</v>
      </c>
      <c r="Q1392" s="1" t="n">
        <v>5999.4</v>
      </c>
      <c r="R1392" s="1" t="n">
        <v>1079.89</v>
      </c>
      <c r="S1392" s="1" t="n">
        <v>4919.51</v>
      </c>
      <c r="T1392" s="1" t="n">
        <v>3102.48</v>
      </c>
      <c r="U1392" s="1" t="n">
        <v>1817.03</v>
      </c>
      <c r="V1392" s="1" t="n">
        <v>36.94</v>
      </c>
      <c r="W1392" s="1" t="s">
        <v>40</v>
      </c>
      <c r="Y1392" s="1" t="s">
        <v>40</v>
      </c>
      <c r="Z1392" s="1" t="n">
        <v>1</v>
      </c>
      <c r="AA1392" s="1" t="str">
        <f aca="false">TRIM(PROPER(F1392))</f>
        <v>Nagpur</v>
      </c>
      <c r="AB1392" s="1" t="str">
        <f aca="false">TRIM(PROPER(C1392))</f>
        <v>Simplilearn</v>
      </c>
      <c r="AC1392" s="1" t="str">
        <f aca="false">IF(O1392=0,"No Discount",IF(O1392&lt;=15,"Low (1-15%)",IF(O1392&lt;=30,"Medium (16-30%)","High (&gt;30%)")))</f>
        <v>High (&gt;30%)</v>
      </c>
      <c r="AD1392" s="1" t="str">
        <f aca="false">IF(V1392&lt;0,"Loss Making",IF(V1392&lt;20,"Low Margin","Healthy Margin"))</f>
        <v>Healthy Margin</v>
      </c>
      <c r="AE1392" s="1" t="str">
        <f aca="false">TEXT(DATE(VALUE(RIGHT(B1392,4)),VALUE(MID(B1392,4,2)),VALUE(LEFT(B1392,2))),"MMM-YYYY")</f>
        <v>May-2024</v>
      </c>
      <c r="AF1392" s="1" t="n">
        <f aca="false">VALUE(RIGHT(B1392,4))</f>
        <v>2024</v>
      </c>
      <c r="AG1392" s="1" t="str">
        <f aca="false">CHOOSE(ROUNDUP(VALUE(MID(B1392,4,2))/3,0),"Q1","Q2","Q3","Q4")</f>
        <v>Q2</v>
      </c>
    </row>
    <row r="1393" customFormat="false" ht="15" hidden="false" customHeight="true" outlineLevel="0" collapsed="false">
      <c r="A1393" s="1" t="s">
        <v>2187</v>
      </c>
      <c r="B1393" s="1" t="s">
        <v>1946</v>
      </c>
      <c r="C1393" s="1" t="s">
        <v>249</v>
      </c>
      <c r="D1393" s="1" t="s">
        <v>94</v>
      </c>
      <c r="E1393" s="1" t="s">
        <v>101</v>
      </c>
      <c r="F1393" s="1" t="s">
        <v>205</v>
      </c>
      <c r="G1393" s="1" t="s">
        <v>56</v>
      </c>
      <c r="H1393" s="1" t="s">
        <v>69</v>
      </c>
      <c r="I1393" s="1" t="s">
        <v>83</v>
      </c>
      <c r="J1393" s="1" t="s">
        <v>59</v>
      </c>
      <c r="K1393" s="1" t="s">
        <v>104</v>
      </c>
      <c r="L1393" s="1" t="s">
        <v>61</v>
      </c>
      <c r="M1393" s="1" t="s">
        <v>62</v>
      </c>
      <c r="N1393" s="1" t="n">
        <v>14999</v>
      </c>
      <c r="O1393" s="1" t="n">
        <v>30</v>
      </c>
      <c r="P1393" s="1" t="n">
        <v>4499.7</v>
      </c>
      <c r="Q1393" s="1" t="n">
        <v>10499.3</v>
      </c>
      <c r="R1393" s="1" t="n">
        <v>1889.87</v>
      </c>
      <c r="S1393" s="1" t="n">
        <v>8609.43</v>
      </c>
      <c r="T1393" s="1" t="n">
        <v>3713.1</v>
      </c>
      <c r="U1393" s="1" t="n">
        <v>4896.33</v>
      </c>
      <c r="V1393" s="1" t="n">
        <v>56.87</v>
      </c>
      <c r="W1393" s="1" t="s">
        <v>40</v>
      </c>
      <c r="Y1393" s="1" t="s">
        <v>39</v>
      </c>
      <c r="Z1393" s="1" t="n">
        <v>0</v>
      </c>
      <c r="AA1393" s="1" t="str">
        <f aca="false">TRIM(PROPER(F1393))</f>
        <v>New Delhi</v>
      </c>
      <c r="AB1393" s="1" t="str">
        <f aca="false">TRIM(PROPER(C1393))</f>
        <v>Whitehat Jr</v>
      </c>
      <c r="AC1393" s="1" t="str">
        <f aca="false">IF(O1393=0,"No Discount",IF(O1393&lt;=15,"Low (1-15%)",IF(O1393&lt;=30,"Medium (16-30%)","High (&gt;30%)")))</f>
        <v>Medium (16-30%)</v>
      </c>
      <c r="AD1393" s="1" t="str">
        <f aca="false">IF(V1393&lt;0,"Loss Making",IF(V1393&lt;20,"Low Margin","Healthy Margin"))</f>
        <v>Healthy Margin</v>
      </c>
      <c r="AE1393" s="1" t="str">
        <f aca="false">TEXT(DATE(VALUE(RIGHT(B1393,4)),VALUE(MID(B1393,4,2)),VALUE(LEFT(B1393,2))),"MMM-YYYY")</f>
        <v>Jun-2024</v>
      </c>
      <c r="AF1393" s="1" t="n">
        <f aca="false">VALUE(RIGHT(B1393,4))</f>
        <v>2024</v>
      </c>
      <c r="AG1393" s="1" t="str">
        <f aca="false">CHOOSE(ROUNDUP(VALUE(MID(B1393,4,2))/3,0),"Q1","Q2","Q3","Q4")</f>
        <v>Q2</v>
      </c>
    </row>
    <row r="1394" customFormat="false" ht="15" hidden="false" customHeight="true" outlineLevel="0" collapsed="false">
      <c r="A1394" s="1" t="s">
        <v>2188</v>
      </c>
      <c r="B1394" s="1" t="s">
        <v>918</v>
      </c>
      <c r="C1394" s="1" t="s">
        <v>93</v>
      </c>
      <c r="D1394" s="1" t="s">
        <v>44</v>
      </c>
      <c r="E1394" s="1" t="s">
        <v>66</v>
      </c>
      <c r="F1394" s="1" t="s">
        <v>187</v>
      </c>
      <c r="G1394" s="1" t="s">
        <v>97</v>
      </c>
      <c r="H1394" s="1" t="s">
        <v>69</v>
      </c>
      <c r="I1394" s="1" t="s">
        <v>34</v>
      </c>
      <c r="J1394" s="1" t="s">
        <v>70</v>
      </c>
      <c r="K1394" s="1" t="s">
        <v>48</v>
      </c>
      <c r="L1394" s="1" t="s">
        <v>61</v>
      </c>
      <c r="M1394" s="1" t="s">
        <v>62</v>
      </c>
      <c r="N1394" s="1" t="n">
        <v>12999</v>
      </c>
      <c r="O1394" s="1" t="n">
        <v>5</v>
      </c>
      <c r="P1394" s="1" t="n">
        <v>649.95</v>
      </c>
      <c r="Q1394" s="1" t="n">
        <v>12349.05</v>
      </c>
      <c r="R1394" s="1" t="n">
        <v>2222.83</v>
      </c>
      <c r="S1394" s="1" t="n">
        <v>10126.22</v>
      </c>
      <c r="T1394" s="1" t="n">
        <v>4193.29</v>
      </c>
      <c r="U1394" s="1" t="n">
        <v>5932.93</v>
      </c>
      <c r="V1394" s="1" t="n">
        <v>58.59</v>
      </c>
      <c r="W1394" s="1" t="s">
        <v>39</v>
      </c>
      <c r="Y1394" s="1" t="s">
        <v>40</v>
      </c>
      <c r="Z1394" s="1" t="n">
        <v>0</v>
      </c>
      <c r="AA1394" s="1" t="str">
        <f aca="false">TRIM(PROPER(F1394))</f>
        <v>Mumbai</v>
      </c>
      <c r="AB1394" s="1" t="str">
        <f aca="false">TRIM(PROPER(C1394))</f>
        <v>Upgrad</v>
      </c>
      <c r="AC1394" s="1" t="str">
        <f aca="false">IF(O1394=0,"No Discount",IF(O1394&lt;=15,"Low (1-15%)",IF(O1394&lt;=30,"Medium (16-30%)","High (&gt;30%)")))</f>
        <v>Low (1-15%)</v>
      </c>
      <c r="AD1394" s="1" t="str">
        <f aca="false">IF(V1394&lt;0,"Loss Making",IF(V1394&lt;20,"Low Margin","Healthy Margin"))</f>
        <v>Healthy Margin</v>
      </c>
      <c r="AE1394" s="1" t="str">
        <f aca="false">TEXT(DATE(VALUE(RIGHT(B1394,4)),VALUE(MID(B1394,4,2)),VALUE(LEFT(B1394,2))),"MMM-YYYY")</f>
        <v>Feb-2024</v>
      </c>
      <c r="AF1394" s="1" t="n">
        <f aca="false">VALUE(RIGHT(B1394,4))</f>
        <v>2024</v>
      </c>
      <c r="AG1394" s="1" t="str">
        <f aca="false">CHOOSE(ROUNDUP(VALUE(MID(B1394,4,2))/3,0),"Q1","Q2","Q3","Q4")</f>
        <v>Q1</v>
      </c>
    </row>
    <row r="1395" customFormat="false" ht="15" hidden="false" customHeight="true" outlineLevel="0" collapsed="false">
      <c r="A1395" s="1" t="s">
        <v>2189</v>
      </c>
      <c r="B1395" s="1" t="s">
        <v>1412</v>
      </c>
      <c r="C1395" s="1" t="s">
        <v>100</v>
      </c>
      <c r="D1395" s="1" t="s">
        <v>123</v>
      </c>
      <c r="E1395" s="1" t="s">
        <v>147</v>
      </c>
      <c r="F1395" s="1" t="s">
        <v>187</v>
      </c>
      <c r="G1395" s="1" t="s">
        <v>97</v>
      </c>
      <c r="H1395" s="1" t="s">
        <v>69</v>
      </c>
      <c r="I1395" s="1" t="s">
        <v>34</v>
      </c>
      <c r="J1395" s="1" t="s">
        <v>77</v>
      </c>
      <c r="K1395" s="1" t="s">
        <v>112</v>
      </c>
      <c r="L1395" s="1" t="s">
        <v>49</v>
      </c>
      <c r="M1395" s="1" t="s">
        <v>50</v>
      </c>
      <c r="N1395" s="1" t="n">
        <v>6999</v>
      </c>
      <c r="O1395" s="1" t="n">
        <v>20</v>
      </c>
      <c r="P1395" s="1" t="n">
        <v>1399.8</v>
      </c>
      <c r="Q1395" s="1" t="n">
        <v>5599.2</v>
      </c>
      <c r="R1395" s="1" t="n">
        <v>1007.86</v>
      </c>
      <c r="S1395" s="1" t="n">
        <v>4591.34</v>
      </c>
      <c r="T1395" s="1" t="n">
        <v>2030.36</v>
      </c>
      <c r="U1395" s="1" t="n">
        <v>2560.98</v>
      </c>
      <c r="V1395" s="1" t="n">
        <v>55.78</v>
      </c>
      <c r="W1395" s="1" t="s">
        <v>39</v>
      </c>
      <c r="X1395" s="1" t="n">
        <v>3.3</v>
      </c>
      <c r="Y1395" s="1" t="s">
        <v>40</v>
      </c>
      <c r="Z1395" s="1" t="n">
        <v>0</v>
      </c>
      <c r="AA1395" s="1" t="str">
        <f aca="false">TRIM(PROPER(F1395))</f>
        <v>Mumbai</v>
      </c>
      <c r="AB1395" s="1" t="str">
        <f aca="false">TRIM(PROPER(C1395))</f>
        <v>Physics Wallah</v>
      </c>
      <c r="AC1395" s="1" t="str">
        <f aca="false">IF(O1395=0,"No Discount",IF(O1395&lt;=15,"Low (1-15%)",IF(O1395&lt;=30,"Medium (16-30%)","High (&gt;30%)")))</f>
        <v>Medium (16-30%)</v>
      </c>
      <c r="AD1395" s="1" t="str">
        <f aca="false">IF(V1395&lt;0,"Loss Making",IF(V1395&lt;20,"Low Margin","Healthy Margin"))</f>
        <v>Healthy Margin</v>
      </c>
      <c r="AE1395" s="1" t="str">
        <f aca="false">TEXT(DATE(VALUE(RIGHT(B1395,4)),VALUE(MID(B1395,4,2)),VALUE(LEFT(B1395,2))),"MMM-YYYY")</f>
        <v>Nov-2023</v>
      </c>
      <c r="AF1395" s="1" t="n">
        <f aca="false">VALUE(RIGHT(B1395,4))</f>
        <v>2023</v>
      </c>
      <c r="AG1395" s="1" t="str">
        <f aca="false">CHOOSE(ROUNDUP(VALUE(MID(B1395,4,2))/3,0),"Q1","Q2","Q3","Q4")</f>
        <v>Q4</v>
      </c>
    </row>
    <row r="1396" customFormat="false" ht="15" hidden="false" customHeight="true" outlineLevel="0" collapsed="false">
      <c r="A1396" s="1" t="s">
        <v>2190</v>
      </c>
      <c r="B1396" s="1" t="s">
        <v>464</v>
      </c>
      <c r="C1396" s="1" t="s">
        <v>93</v>
      </c>
      <c r="D1396" s="1" t="s">
        <v>44</v>
      </c>
      <c r="E1396" s="1" t="s">
        <v>221</v>
      </c>
      <c r="F1396" s="1" t="s">
        <v>130</v>
      </c>
      <c r="G1396" s="1" t="s">
        <v>47</v>
      </c>
      <c r="H1396" s="1" t="s">
        <v>69</v>
      </c>
      <c r="I1396" s="1" t="s">
        <v>34</v>
      </c>
      <c r="J1396" s="1" t="s">
        <v>59</v>
      </c>
      <c r="K1396" s="1" t="s">
        <v>112</v>
      </c>
      <c r="L1396" s="1" t="s">
        <v>49</v>
      </c>
      <c r="M1396" s="1" t="s">
        <v>62</v>
      </c>
      <c r="N1396" s="1" t="n">
        <v>16999</v>
      </c>
      <c r="O1396" s="1" t="n">
        <v>15</v>
      </c>
      <c r="P1396" s="1" t="n">
        <v>2549.85</v>
      </c>
      <c r="Q1396" s="1" t="n">
        <v>14449.15</v>
      </c>
      <c r="R1396" s="1" t="n">
        <v>2600.85</v>
      </c>
      <c r="S1396" s="1" t="n">
        <v>11848.3</v>
      </c>
      <c r="T1396" s="1" t="n">
        <v>5041.08</v>
      </c>
      <c r="U1396" s="1" t="n">
        <v>6807.22</v>
      </c>
      <c r="V1396" s="1" t="n">
        <v>57.45</v>
      </c>
      <c r="W1396" s="1" t="s">
        <v>40</v>
      </c>
      <c r="Y1396" s="1" t="s">
        <v>40</v>
      </c>
      <c r="Z1396" s="1" t="n">
        <v>2</v>
      </c>
      <c r="AA1396" s="1" t="str">
        <f aca="false">TRIM(PROPER(F1396))</f>
        <v>Bengaluru</v>
      </c>
      <c r="AB1396" s="1" t="str">
        <f aca="false">TRIM(PROPER(C1396))</f>
        <v>Upgrad</v>
      </c>
      <c r="AC1396" s="1" t="str">
        <f aca="false">IF(O1396=0,"No Discount",IF(O1396&lt;=15,"Low (1-15%)",IF(O1396&lt;=30,"Medium (16-30%)","High (&gt;30%)")))</f>
        <v>Low (1-15%)</v>
      </c>
      <c r="AD1396" s="1" t="str">
        <f aca="false">IF(V1396&lt;0,"Loss Making",IF(V1396&lt;20,"Low Margin","Healthy Margin"))</f>
        <v>Healthy Margin</v>
      </c>
      <c r="AE1396" s="1" t="str">
        <f aca="false">TEXT(DATE(VALUE(RIGHT(B1396,4)),VALUE(MID(B1396,4,2)),VALUE(LEFT(B1396,2))),"MMM-YYYY")</f>
        <v>Mar-2023</v>
      </c>
      <c r="AF1396" s="1" t="n">
        <f aca="false">VALUE(RIGHT(B1396,4))</f>
        <v>2023</v>
      </c>
      <c r="AG1396" s="1" t="str">
        <f aca="false">CHOOSE(ROUNDUP(VALUE(MID(B1396,4,2))/3,0),"Q1","Q2","Q3","Q4")</f>
        <v>Q1</v>
      </c>
    </row>
    <row r="1397" customFormat="false" ht="15" hidden="false" customHeight="true" outlineLevel="0" collapsed="false">
      <c r="A1397" s="1" t="s">
        <v>2191</v>
      </c>
      <c r="B1397" s="1" t="s">
        <v>823</v>
      </c>
      <c r="C1397" s="1" t="s">
        <v>74</v>
      </c>
      <c r="D1397" s="1" t="s">
        <v>123</v>
      </c>
      <c r="E1397" s="1" t="s">
        <v>233</v>
      </c>
      <c r="F1397" s="1" t="s">
        <v>194</v>
      </c>
      <c r="G1397" s="1" t="s">
        <v>103</v>
      </c>
      <c r="H1397" s="1" t="s">
        <v>69</v>
      </c>
      <c r="I1397" s="1" t="s">
        <v>58</v>
      </c>
      <c r="J1397" s="1" t="s">
        <v>35</v>
      </c>
      <c r="K1397" s="1" t="s">
        <v>84</v>
      </c>
      <c r="L1397" s="1" t="s">
        <v>49</v>
      </c>
      <c r="M1397" s="1" t="s">
        <v>62</v>
      </c>
      <c r="N1397" s="1" t="n">
        <v>8999</v>
      </c>
      <c r="O1397" s="1" t="n">
        <v>25</v>
      </c>
      <c r="P1397" s="1" t="n">
        <v>2249.75</v>
      </c>
      <c r="Q1397" s="1" t="n">
        <v>6749.25</v>
      </c>
      <c r="R1397" s="1" t="n">
        <v>1214.87</v>
      </c>
      <c r="S1397" s="1" t="n">
        <v>5534.38</v>
      </c>
      <c r="T1397" s="1" t="n">
        <v>2563.13</v>
      </c>
      <c r="U1397" s="1" t="n">
        <v>2971.25</v>
      </c>
      <c r="V1397" s="1" t="n">
        <v>53.69</v>
      </c>
      <c r="W1397" s="1" t="s">
        <v>39</v>
      </c>
      <c r="X1397" s="1" t="n">
        <v>5</v>
      </c>
      <c r="Y1397" s="1" t="s">
        <v>40</v>
      </c>
      <c r="Z1397" s="1" t="n">
        <v>0</v>
      </c>
      <c r="AA1397" s="1" t="str">
        <f aca="false">TRIM(PROPER(F1397))</f>
        <v>Hyderabad</v>
      </c>
      <c r="AB1397" s="1" t="str">
        <f aca="false">TRIM(PROPER(C1397))</f>
        <v>Vedantu</v>
      </c>
      <c r="AC1397" s="1" t="str">
        <f aca="false">IF(O1397=0,"No Discount",IF(O1397&lt;=15,"Low (1-15%)",IF(O1397&lt;=30,"Medium (16-30%)","High (&gt;30%)")))</f>
        <v>Medium (16-30%)</v>
      </c>
      <c r="AD1397" s="1" t="str">
        <f aca="false">IF(V1397&lt;0,"Loss Making",IF(V1397&lt;20,"Low Margin","Healthy Margin"))</f>
        <v>Healthy Margin</v>
      </c>
      <c r="AE1397" s="1" t="str">
        <f aca="false">TEXT(DATE(VALUE(RIGHT(B1397,4)),VALUE(MID(B1397,4,2)),VALUE(LEFT(B1397,2))),"MMM-YYYY")</f>
        <v>Jul-2024</v>
      </c>
      <c r="AF1397" s="1" t="n">
        <f aca="false">VALUE(RIGHT(B1397,4))</f>
        <v>2024</v>
      </c>
      <c r="AG1397" s="1" t="str">
        <f aca="false">CHOOSE(ROUNDUP(VALUE(MID(B1397,4,2))/3,0),"Q1","Q2","Q3","Q4")</f>
        <v>Q3</v>
      </c>
    </row>
    <row r="1398" customFormat="false" ht="15" hidden="false" customHeight="true" outlineLevel="0" collapsed="false">
      <c r="A1398" s="1" t="s">
        <v>2192</v>
      </c>
      <c r="B1398" s="1" t="s">
        <v>882</v>
      </c>
      <c r="C1398" s="1" t="s">
        <v>167</v>
      </c>
      <c r="D1398" s="1" t="s">
        <v>143</v>
      </c>
      <c r="E1398" s="1" t="s">
        <v>243</v>
      </c>
      <c r="F1398" s="1" t="s">
        <v>31</v>
      </c>
      <c r="G1398" s="1" t="s">
        <v>32</v>
      </c>
      <c r="H1398" s="1" t="s">
        <v>33</v>
      </c>
      <c r="I1398" s="1" t="s">
        <v>58</v>
      </c>
      <c r="J1398" s="1" t="s">
        <v>35</v>
      </c>
      <c r="K1398" s="1" t="s">
        <v>112</v>
      </c>
      <c r="L1398" s="1" t="s">
        <v>136</v>
      </c>
      <c r="M1398" s="1" t="s">
        <v>62</v>
      </c>
      <c r="N1398" s="1" t="n">
        <v>22999</v>
      </c>
      <c r="O1398" s="1" t="n">
        <v>5</v>
      </c>
      <c r="P1398" s="1" t="n">
        <v>1149.95</v>
      </c>
      <c r="Q1398" s="1" t="n">
        <v>21849.05</v>
      </c>
      <c r="R1398" s="1" t="n">
        <v>3932.83</v>
      </c>
      <c r="S1398" s="1" t="n">
        <v>17916.22</v>
      </c>
      <c r="T1398" s="1" t="n">
        <v>7928.44</v>
      </c>
      <c r="U1398" s="1" t="n">
        <v>9987.78</v>
      </c>
      <c r="V1398" s="1" t="n">
        <v>55.75</v>
      </c>
      <c r="W1398" s="1" t="s">
        <v>39</v>
      </c>
      <c r="X1398" s="1" t="n">
        <v>4.1</v>
      </c>
      <c r="Y1398" s="1" t="s">
        <v>40</v>
      </c>
      <c r="Z1398" s="1" t="n">
        <v>0</v>
      </c>
      <c r="AA1398" s="1" t="str">
        <f aca="false">TRIM(PROPER(F1398))</f>
        <v>Jodhpur</v>
      </c>
      <c r="AB1398" s="1" t="str">
        <f aca="false">TRIM(PROPER(C1398))</f>
        <v>Scaler</v>
      </c>
      <c r="AC1398" s="1" t="str">
        <f aca="false">IF(O1398=0,"No Discount",IF(O1398&lt;=15,"Low (1-15%)",IF(O1398&lt;=30,"Medium (16-30%)","High (&gt;30%)")))</f>
        <v>Low (1-15%)</v>
      </c>
      <c r="AD1398" s="1" t="str">
        <f aca="false">IF(V1398&lt;0,"Loss Making",IF(V1398&lt;20,"Low Margin","Healthy Margin"))</f>
        <v>Healthy Margin</v>
      </c>
      <c r="AE1398" s="1" t="str">
        <f aca="false">TEXT(DATE(VALUE(RIGHT(B1398,4)),VALUE(MID(B1398,4,2)),VALUE(LEFT(B1398,2))),"MMM-YYYY")</f>
        <v>Aug-2024</v>
      </c>
      <c r="AF1398" s="1" t="n">
        <f aca="false">VALUE(RIGHT(B1398,4))</f>
        <v>2024</v>
      </c>
      <c r="AG1398" s="1" t="str">
        <f aca="false">CHOOSE(ROUNDUP(VALUE(MID(B1398,4,2))/3,0),"Q1","Q2","Q3","Q4")</f>
        <v>Q3</v>
      </c>
    </row>
    <row r="1399" customFormat="false" ht="15" hidden="false" customHeight="true" outlineLevel="0" collapsed="false">
      <c r="A1399" s="1" t="s">
        <v>2193</v>
      </c>
      <c r="B1399" s="1" t="s">
        <v>1763</v>
      </c>
      <c r="C1399" s="1" t="s">
        <v>167</v>
      </c>
      <c r="D1399" s="1" t="s">
        <v>94</v>
      </c>
      <c r="E1399" s="1" t="s">
        <v>135</v>
      </c>
      <c r="F1399" s="1" t="s">
        <v>140</v>
      </c>
      <c r="G1399" s="1" t="s">
        <v>97</v>
      </c>
      <c r="H1399" s="1" t="s">
        <v>57</v>
      </c>
      <c r="I1399" s="1" t="s">
        <v>58</v>
      </c>
      <c r="J1399" s="1" t="s">
        <v>35</v>
      </c>
      <c r="K1399" s="1" t="s">
        <v>36</v>
      </c>
      <c r="L1399" s="1" t="s">
        <v>136</v>
      </c>
      <c r="M1399" s="1" t="s">
        <v>50</v>
      </c>
      <c r="N1399" s="1" t="n">
        <v>9999</v>
      </c>
      <c r="O1399" s="1" t="n">
        <v>25</v>
      </c>
      <c r="P1399" s="1" t="n">
        <v>2499.75</v>
      </c>
      <c r="Q1399" s="1" t="n">
        <v>7499.25</v>
      </c>
      <c r="R1399" s="1" t="n">
        <v>1349.87</v>
      </c>
      <c r="S1399" s="1" t="n">
        <v>6149.38</v>
      </c>
      <c r="T1399" s="1" t="n">
        <v>2621.7</v>
      </c>
      <c r="U1399" s="1" t="n">
        <v>3527.68</v>
      </c>
      <c r="V1399" s="1" t="n">
        <v>57.37</v>
      </c>
      <c r="W1399" s="1" t="s">
        <v>40</v>
      </c>
      <c r="Y1399" s="1" t="s">
        <v>40</v>
      </c>
      <c r="Z1399" s="1" t="n">
        <v>0</v>
      </c>
      <c r="AA1399" s="1" t="str">
        <f aca="false">TRIM(PROPER(F1399))</f>
        <v>Nashik</v>
      </c>
      <c r="AB1399" s="1" t="str">
        <f aca="false">TRIM(PROPER(C1399))</f>
        <v>Scaler</v>
      </c>
      <c r="AC1399" s="1" t="str">
        <f aca="false">IF(O1399=0,"No Discount",IF(O1399&lt;=15,"Low (1-15%)",IF(O1399&lt;=30,"Medium (16-30%)","High (&gt;30%)")))</f>
        <v>Medium (16-30%)</v>
      </c>
      <c r="AD1399" s="1" t="str">
        <f aca="false">IF(V1399&lt;0,"Loss Making",IF(V1399&lt;20,"Low Margin","Healthy Margin"))</f>
        <v>Healthy Margin</v>
      </c>
      <c r="AE1399" s="1" t="str">
        <f aca="false">TEXT(DATE(VALUE(RIGHT(B1399,4)),VALUE(MID(B1399,4,2)),VALUE(LEFT(B1399,2))),"MMM-YYYY")</f>
        <v>Mar-2023</v>
      </c>
      <c r="AF1399" s="1" t="n">
        <f aca="false">VALUE(RIGHT(B1399,4))</f>
        <v>2023</v>
      </c>
      <c r="AG1399" s="1" t="str">
        <f aca="false">CHOOSE(ROUNDUP(VALUE(MID(B1399,4,2))/3,0),"Q1","Q2","Q3","Q4")</f>
        <v>Q1</v>
      </c>
    </row>
    <row r="1400" customFormat="false" ht="15" hidden="false" customHeight="true" outlineLevel="0" collapsed="false">
      <c r="A1400" s="1" t="s">
        <v>2194</v>
      </c>
      <c r="B1400" s="1" t="s">
        <v>1196</v>
      </c>
      <c r="C1400" s="1" t="s">
        <v>242</v>
      </c>
      <c r="D1400" s="1" t="s">
        <v>29</v>
      </c>
      <c r="E1400" s="1" t="s">
        <v>129</v>
      </c>
      <c r="F1400" s="1" t="s">
        <v>102</v>
      </c>
      <c r="G1400" s="1" t="s">
        <v>103</v>
      </c>
      <c r="H1400" s="1" t="s">
        <v>33</v>
      </c>
      <c r="I1400" s="1" t="s">
        <v>58</v>
      </c>
      <c r="J1400" s="1" t="s">
        <v>70</v>
      </c>
      <c r="K1400" s="1" t="s">
        <v>84</v>
      </c>
      <c r="L1400" s="1" t="s">
        <v>49</v>
      </c>
      <c r="M1400" s="1" t="s">
        <v>62</v>
      </c>
      <c r="N1400" s="1" t="n">
        <v>29999</v>
      </c>
      <c r="O1400" s="1" t="n">
        <v>10</v>
      </c>
      <c r="P1400" s="1" t="n">
        <v>2999.9</v>
      </c>
      <c r="Q1400" s="1" t="n">
        <v>26999.1</v>
      </c>
      <c r="R1400" s="1" t="n">
        <v>4859.84</v>
      </c>
      <c r="S1400" s="1" t="n">
        <v>22139.26</v>
      </c>
      <c r="T1400" s="1" t="n">
        <v>8942.06</v>
      </c>
      <c r="U1400" s="1" t="n">
        <v>13197.2</v>
      </c>
      <c r="V1400" s="1" t="n">
        <v>59.61</v>
      </c>
      <c r="W1400" s="1" t="s">
        <v>39</v>
      </c>
      <c r="X1400" s="1" t="n">
        <v>4.5</v>
      </c>
      <c r="Y1400" s="1" t="s">
        <v>40</v>
      </c>
      <c r="Z1400" s="1" t="n">
        <v>1</v>
      </c>
      <c r="AA1400" s="1" t="str">
        <f aca="false">TRIM(PROPER(F1400))</f>
        <v>Warangal</v>
      </c>
      <c r="AB1400" s="1" t="str">
        <f aca="false">TRIM(PROPER(C1400))</f>
        <v>Leverage Edu</v>
      </c>
      <c r="AC1400" s="1" t="str">
        <f aca="false">IF(O1400=0,"No Discount",IF(O1400&lt;=15,"Low (1-15%)",IF(O1400&lt;=30,"Medium (16-30%)","High (&gt;30%)")))</f>
        <v>Low (1-15%)</v>
      </c>
      <c r="AD1400" s="1" t="str">
        <f aca="false">IF(V1400&lt;0,"Loss Making",IF(V1400&lt;20,"Low Margin","Healthy Margin"))</f>
        <v>Healthy Margin</v>
      </c>
      <c r="AE1400" s="1" t="str">
        <f aca="false">TEXT(DATE(VALUE(RIGHT(B1400,4)),VALUE(MID(B1400,4,2)),VALUE(LEFT(B1400,2))),"MMM-YYYY")</f>
        <v>Jun-2024</v>
      </c>
      <c r="AF1400" s="1" t="n">
        <f aca="false">VALUE(RIGHT(B1400,4))</f>
        <v>2024</v>
      </c>
      <c r="AG1400" s="1" t="str">
        <f aca="false">CHOOSE(ROUNDUP(VALUE(MID(B1400,4,2))/3,0),"Q1","Q2","Q3","Q4")</f>
        <v>Q2</v>
      </c>
    </row>
    <row r="1401" customFormat="false" ht="15" hidden="false" customHeight="true" outlineLevel="0" collapsed="false">
      <c r="A1401" s="1" t="s">
        <v>2195</v>
      </c>
      <c r="B1401" s="1" t="s">
        <v>849</v>
      </c>
      <c r="C1401" s="1" t="s">
        <v>119</v>
      </c>
      <c r="D1401" s="1" t="s">
        <v>80</v>
      </c>
      <c r="E1401" s="1" t="s">
        <v>190</v>
      </c>
      <c r="F1401" s="1" t="s">
        <v>205</v>
      </c>
      <c r="G1401" s="1" t="s">
        <v>56</v>
      </c>
      <c r="H1401" s="1" t="s">
        <v>69</v>
      </c>
      <c r="I1401" s="1" t="s">
        <v>34</v>
      </c>
      <c r="J1401" s="1" t="s">
        <v>77</v>
      </c>
      <c r="K1401" s="1" t="s">
        <v>112</v>
      </c>
      <c r="L1401" s="1" t="s">
        <v>85</v>
      </c>
      <c r="M1401" s="1" t="s">
        <v>38</v>
      </c>
      <c r="N1401" s="1" t="n">
        <v>15999</v>
      </c>
      <c r="O1401" s="1" t="n">
        <v>30</v>
      </c>
      <c r="P1401" s="1" t="n">
        <v>4799.7</v>
      </c>
      <c r="Q1401" s="1" t="n">
        <v>11199.3</v>
      </c>
      <c r="R1401" s="1" t="n">
        <v>2015.87</v>
      </c>
      <c r="S1401" s="1" t="n">
        <v>9183.43</v>
      </c>
      <c r="T1401" s="1" t="n">
        <v>5034.82</v>
      </c>
      <c r="U1401" s="1" t="n">
        <v>4148.61</v>
      </c>
      <c r="V1401" s="1" t="n">
        <v>45.17</v>
      </c>
      <c r="W1401" s="1" t="s">
        <v>40</v>
      </c>
      <c r="Y1401" s="1" t="s">
        <v>40</v>
      </c>
      <c r="Z1401" s="1" t="n">
        <v>1</v>
      </c>
      <c r="AA1401" s="1" t="str">
        <f aca="false">TRIM(PROPER(F1401))</f>
        <v>New Delhi</v>
      </c>
      <c r="AB1401" s="1" t="str">
        <f aca="false">TRIM(PROPER(C1401))</f>
        <v>Simplilearn</v>
      </c>
      <c r="AC1401" s="1" t="str">
        <f aca="false">IF(O1401=0,"No Discount",IF(O1401&lt;=15,"Low (1-15%)",IF(O1401&lt;=30,"Medium (16-30%)","High (&gt;30%)")))</f>
        <v>Medium (16-30%)</v>
      </c>
      <c r="AD1401" s="1" t="str">
        <f aca="false">IF(V1401&lt;0,"Loss Making",IF(V1401&lt;20,"Low Margin","Healthy Margin"))</f>
        <v>Healthy Margin</v>
      </c>
      <c r="AE1401" s="1" t="str">
        <f aca="false">TEXT(DATE(VALUE(RIGHT(B1401,4)),VALUE(MID(B1401,4,2)),VALUE(LEFT(B1401,2))),"MMM-YYYY")</f>
        <v>Apr-2024</v>
      </c>
      <c r="AF1401" s="1" t="n">
        <f aca="false">VALUE(RIGHT(B1401,4))</f>
        <v>2024</v>
      </c>
      <c r="AG1401" s="1" t="str">
        <f aca="false">CHOOSE(ROUNDUP(VALUE(MID(B1401,4,2))/3,0),"Q1","Q2","Q3","Q4")</f>
        <v>Q2</v>
      </c>
    </row>
    <row r="1402" customFormat="false" ht="15" hidden="false" customHeight="true" outlineLevel="0" collapsed="false">
      <c r="A1402" s="1" t="s">
        <v>2196</v>
      </c>
      <c r="B1402" s="1" t="s">
        <v>2197</v>
      </c>
      <c r="C1402" s="1" t="s">
        <v>264</v>
      </c>
      <c r="D1402" s="1" t="s">
        <v>53</v>
      </c>
      <c r="E1402" s="1" t="s">
        <v>216</v>
      </c>
      <c r="F1402" s="1" t="s">
        <v>244</v>
      </c>
      <c r="G1402" s="1" t="s">
        <v>97</v>
      </c>
      <c r="H1402" s="1" t="s">
        <v>57</v>
      </c>
      <c r="I1402" s="1" t="s">
        <v>34</v>
      </c>
      <c r="J1402" s="1" t="s">
        <v>131</v>
      </c>
      <c r="K1402" s="1" t="s">
        <v>71</v>
      </c>
      <c r="L1402" s="1" t="s">
        <v>113</v>
      </c>
      <c r="M1402" s="1" t="s">
        <v>62</v>
      </c>
      <c r="N1402" s="1" t="n">
        <v>7499</v>
      </c>
      <c r="O1402" s="1" t="n">
        <v>30</v>
      </c>
      <c r="P1402" s="1" t="n">
        <v>2249.7</v>
      </c>
      <c r="Q1402" s="1" t="n">
        <v>5249.3</v>
      </c>
      <c r="R1402" s="1" t="n">
        <v>944.87</v>
      </c>
      <c r="S1402" s="1" t="n">
        <v>4304.43</v>
      </c>
      <c r="T1402" s="1" t="n">
        <v>1953.87</v>
      </c>
      <c r="U1402" s="1" t="n">
        <v>2350.56</v>
      </c>
      <c r="V1402" s="1" t="n">
        <v>54.61</v>
      </c>
      <c r="W1402" s="1" t="s">
        <v>39</v>
      </c>
      <c r="X1402" s="1" t="n">
        <v>3.9</v>
      </c>
      <c r="Y1402" s="1" t="s">
        <v>40</v>
      </c>
      <c r="Z1402" s="1" t="n">
        <v>0</v>
      </c>
      <c r="AA1402" s="1" t="str">
        <f aca="false">TRIM(PROPER(F1402))</f>
        <v>Nagpur</v>
      </c>
      <c r="AB1402" s="1" t="str">
        <f aca="false">TRIM(PROPER(C1402))</f>
        <v>Unacademy</v>
      </c>
      <c r="AC1402" s="1" t="str">
        <f aca="false">IF(O1402=0,"No Discount",IF(O1402&lt;=15,"Low (1-15%)",IF(O1402&lt;=30,"Medium (16-30%)","High (&gt;30%)")))</f>
        <v>Medium (16-30%)</v>
      </c>
      <c r="AD1402" s="1" t="str">
        <f aca="false">IF(V1402&lt;0,"Loss Making",IF(V1402&lt;20,"Low Margin","Healthy Margin"))</f>
        <v>Healthy Margin</v>
      </c>
      <c r="AE1402" s="1" t="str">
        <f aca="false">TEXT(DATE(VALUE(RIGHT(B1402,4)),VALUE(MID(B1402,4,2)),VALUE(LEFT(B1402,2))),"MMM-YYYY")</f>
        <v>Jan-2023</v>
      </c>
      <c r="AF1402" s="1" t="n">
        <f aca="false">VALUE(RIGHT(B1402,4))</f>
        <v>2023</v>
      </c>
      <c r="AG1402" s="1" t="str">
        <f aca="false">CHOOSE(ROUNDUP(VALUE(MID(B1402,4,2))/3,0),"Q1","Q2","Q3","Q4")</f>
        <v>Q1</v>
      </c>
    </row>
    <row r="1403" customFormat="false" ht="15" hidden="false" customHeight="true" outlineLevel="0" collapsed="false">
      <c r="A1403" s="1" t="s">
        <v>2198</v>
      </c>
      <c r="B1403" s="1" t="s">
        <v>332</v>
      </c>
      <c r="C1403" s="1" t="s">
        <v>28</v>
      </c>
      <c r="D1403" s="1" t="s">
        <v>123</v>
      </c>
      <c r="E1403" s="1" t="s">
        <v>233</v>
      </c>
      <c r="F1403" s="1" t="s">
        <v>31</v>
      </c>
      <c r="G1403" s="1" t="s">
        <v>32</v>
      </c>
      <c r="H1403" s="1" t="s">
        <v>33</v>
      </c>
      <c r="I1403" s="1" t="s">
        <v>83</v>
      </c>
      <c r="J1403" s="1" t="s">
        <v>35</v>
      </c>
      <c r="K1403" s="1" t="s">
        <v>48</v>
      </c>
      <c r="L1403" s="1" t="s">
        <v>85</v>
      </c>
      <c r="M1403" s="1" t="s">
        <v>62</v>
      </c>
      <c r="N1403" s="1" t="n">
        <v>8999</v>
      </c>
      <c r="O1403" s="1" t="n">
        <v>0</v>
      </c>
      <c r="P1403" s="1" t="n">
        <v>0</v>
      </c>
      <c r="Q1403" s="1" t="n">
        <v>8999</v>
      </c>
      <c r="R1403" s="1" t="n">
        <v>1619.82</v>
      </c>
      <c r="S1403" s="1" t="n">
        <v>7379.18</v>
      </c>
      <c r="T1403" s="1" t="n">
        <v>3579.45</v>
      </c>
      <c r="U1403" s="1" t="n">
        <v>3799.73</v>
      </c>
      <c r="V1403" s="1" t="n">
        <v>51.49</v>
      </c>
      <c r="W1403" s="1" t="s">
        <v>39</v>
      </c>
      <c r="X1403" s="1" t="n">
        <v>3.9</v>
      </c>
      <c r="Y1403" s="1" t="s">
        <v>40</v>
      </c>
      <c r="Z1403" s="1" t="n">
        <v>0</v>
      </c>
      <c r="AA1403" s="1" t="str">
        <f aca="false">TRIM(PROPER(F1403))</f>
        <v>Jodhpur</v>
      </c>
      <c r="AB1403" s="1" t="str">
        <f aca="false">TRIM(PROPER(C1403))</f>
        <v>Embibe</v>
      </c>
      <c r="AC1403" s="1" t="str">
        <f aca="false">IF(O1403=0,"No Discount",IF(O1403&lt;=15,"Low (1-15%)",IF(O1403&lt;=30,"Medium (16-30%)","High (&gt;30%)")))</f>
        <v>No Discount</v>
      </c>
      <c r="AD1403" s="1" t="str">
        <f aca="false">IF(V1403&lt;0,"Loss Making",IF(V1403&lt;20,"Low Margin","Healthy Margin"))</f>
        <v>Healthy Margin</v>
      </c>
      <c r="AE1403" s="1" t="str">
        <f aca="false">TEXT(DATE(VALUE(RIGHT(B1403,4)),VALUE(MID(B1403,4,2)),VALUE(LEFT(B1403,2))),"MMM-YYYY")</f>
        <v>Jan-2023</v>
      </c>
      <c r="AF1403" s="1" t="n">
        <f aca="false">VALUE(RIGHT(B1403,4))</f>
        <v>2023</v>
      </c>
      <c r="AG1403" s="1" t="str">
        <f aca="false">CHOOSE(ROUNDUP(VALUE(MID(B1403,4,2))/3,0),"Q1","Q2","Q3","Q4")</f>
        <v>Q1</v>
      </c>
    </row>
    <row r="1404" customFormat="false" ht="15" hidden="false" customHeight="true" outlineLevel="0" collapsed="false">
      <c r="A1404" s="1" t="s">
        <v>2199</v>
      </c>
      <c r="B1404" s="1" t="s">
        <v>543</v>
      </c>
      <c r="C1404" s="1" t="s">
        <v>134</v>
      </c>
      <c r="D1404" s="1" t="s">
        <v>168</v>
      </c>
      <c r="E1404" s="1" t="s">
        <v>169</v>
      </c>
      <c r="F1404" s="1" t="s">
        <v>55</v>
      </c>
      <c r="G1404" s="1" t="s">
        <v>56</v>
      </c>
      <c r="H1404" s="1" t="s">
        <v>57</v>
      </c>
      <c r="I1404" s="1" t="s">
        <v>58</v>
      </c>
      <c r="J1404" s="1" t="s">
        <v>131</v>
      </c>
      <c r="K1404" s="1" t="s">
        <v>104</v>
      </c>
      <c r="L1404" s="1" t="s">
        <v>113</v>
      </c>
      <c r="M1404" s="1" t="s">
        <v>50</v>
      </c>
      <c r="N1404" s="1" t="n">
        <v>4999</v>
      </c>
      <c r="O1404" s="1" t="n">
        <v>15</v>
      </c>
      <c r="P1404" s="1" t="n">
        <v>749.85</v>
      </c>
      <c r="Q1404" s="1" t="n">
        <v>4249.15</v>
      </c>
      <c r="R1404" s="1" t="n">
        <v>764.85</v>
      </c>
      <c r="S1404" s="1" t="n">
        <v>3484.3</v>
      </c>
      <c r="T1404" s="1" t="n">
        <v>1449.46</v>
      </c>
      <c r="U1404" s="1" t="n">
        <v>2034.84</v>
      </c>
      <c r="V1404" s="1" t="n">
        <v>58.4</v>
      </c>
      <c r="W1404" s="1" t="s">
        <v>39</v>
      </c>
      <c r="X1404" s="1" t="n">
        <v>3.8</v>
      </c>
      <c r="Y1404" s="1" t="s">
        <v>40</v>
      </c>
      <c r="Z1404" s="1" t="n">
        <v>0</v>
      </c>
      <c r="AA1404" s="1" t="str">
        <f aca="false">TRIM(PROPER(F1404))</f>
        <v>Ghaziabad</v>
      </c>
      <c r="AB1404" s="1" t="str">
        <f aca="false">TRIM(PROPER(C1404))</f>
        <v>Doubtnut</v>
      </c>
      <c r="AC1404" s="1" t="str">
        <f aca="false">IF(O1404=0,"No Discount",IF(O1404&lt;=15,"Low (1-15%)",IF(O1404&lt;=30,"Medium (16-30%)","High (&gt;30%)")))</f>
        <v>Low (1-15%)</v>
      </c>
      <c r="AD1404" s="1" t="str">
        <f aca="false">IF(V1404&lt;0,"Loss Making",IF(V1404&lt;20,"Low Margin","Healthy Margin"))</f>
        <v>Healthy Margin</v>
      </c>
      <c r="AE1404" s="1" t="str">
        <f aca="false">TEXT(DATE(VALUE(RIGHT(B1404,4)),VALUE(MID(B1404,4,2)),VALUE(LEFT(B1404,2))),"MMM-YYYY")</f>
        <v>Sep-2023</v>
      </c>
      <c r="AF1404" s="1" t="n">
        <f aca="false">VALUE(RIGHT(B1404,4))</f>
        <v>2023</v>
      </c>
      <c r="AG1404" s="1" t="str">
        <f aca="false">CHOOSE(ROUNDUP(VALUE(MID(B1404,4,2))/3,0),"Q1","Q2","Q3","Q4")</f>
        <v>Q3</v>
      </c>
    </row>
    <row r="1405" customFormat="false" ht="15" hidden="false" customHeight="true" outlineLevel="0" collapsed="false">
      <c r="A1405" s="1" t="s">
        <v>2200</v>
      </c>
      <c r="B1405" s="1" t="s">
        <v>878</v>
      </c>
      <c r="C1405" s="1" t="s">
        <v>28</v>
      </c>
      <c r="D1405" s="1" t="s">
        <v>168</v>
      </c>
      <c r="E1405" s="1" t="s">
        <v>169</v>
      </c>
      <c r="F1405" s="1" t="s">
        <v>82</v>
      </c>
      <c r="G1405" s="1" t="s">
        <v>56</v>
      </c>
      <c r="H1405" s="1" t="s">
        <v>69</v>
      </c>
      <c r="I1405" s="1" t="s">
        <v>83</v>
      </c>
      <c r="J1405" s="1" t="s">
        <v>35</v>
      </c>
      <c r="K1405" s="1" t="s">
        <v>84</v>
      </c>
      <c r="L1405" s="1" t="s">
        <v>37</v>
      </c>
      <c r="M1405" s="1" t="s">
        <v>50</v>
      </c>
      <c r="N1405" s="1" t="n">
        <v>4999</v>
      </c>
      <c r="O1405" s="1" t="n">
        <v>30</v>
      </c>
      <c r="P1405" s="1" t="n">
        <v>1499.7</v>
      </c>
      <c r="Q1405" s="1" t="n">
        <v>3499.3</v>
      </c>
      <c r="R1405" s="1" t="n">
        <v>629.87</v>
      </c>
      <c r="S1405" s="1" t="n">
        <v>2869.43</v>
      </c>
      <c r="T1405" s="1" t="n">
        <v>1087.01</v>
      </c>
      <c r="U1405" s="1" t="n">
        <v>1782.42</v>
      </c>
      <c r="V1405" s="1" t="n">
        <v>62.12</v>
      </c>
      <c r="W1405" s="1" t="s">
        <v>40</v>
      </c>
      <c r="Y1405" s="1" t="s">
        <v>40</v>
      </c>
      <c r="Z1405" s="1" t="n">
        <v>1</v>
      </c>
      <c r="AA1405" s="1" t="str">
        <f aca="false">TRIM(PROPER(F1405))</f>
        <v>Gurugram</v>
      </c>
      <c r="AB1405" s="1" t="str">
        <f aca="false">TRIM(PROPER(C1405))</f>
        <v>Embibe</v>
      </c>
      <c r="AC1405" s="1" t="str">
        <f aca="false">IF(O1405=0,"No Discount",IF(O1405&lt;=15,"Low (1-15%)",IF(O1405&lt;=30,"Medium (16-30%)","High (&gt;30%)")))</f>
        <v>Medium (16-30%)</v>
      </c>
      <c r="AD1405" s="1" t="str">
        <f aca="false">IF(V1405&lt;0,"Loss Making",IF(V1405&lt;20,"Low Margin","Healthy Margin"))</f>
        <v>Healthy Margin</v>
      </c>
      <c r="AE1405" s="1" t="str">
        <f aca="false">TEXT(DATE(VALUE(RIGHT(B1405,4)),VALUE(MID(B1405,4,2)),VALUE(LEFT(B1405,2))),"MMM-YYYY")</f>
        <v>Aug-2024</v>
      </c>
      <c r="AF1405" s="1" t="n">
        <f aca="false">VALUE(RIGHT(B1405,4))</f>
        <v>2024</v>
      </c>
      <c r="AG1405" s="1" t="str">
        <f aca="false">CHOOSE(ROUNDUP(VALUE(MID(B1405,4,2))/3,0),"Q1","Q2","Q3","Q4")</f>
        <v>Q3</v>
      </c>
    </row>
    <row r="1406" customFormat="false" ht="15" hidden="false" customHeight="true" outlineLevel="0" collapsed="false">
      <c r="A1406" s="1" t="s">
        <v>2201</v>
      </c>
      <c r="B1406" s="1" t="s">
        <v>166</v>
      </c>
      <c r="C1406" s="1" t="s">
        <v>178</v>
      </c>
      <c r="D1406" s="1" t="s">
        <v>80</v>
      </c>
      <c r="E1406" s="1" t="s">
        <v>175</v>
      </c>
      <c r="F1406" s="1" t="s">
        <v>31</v>
      </c>
      <c r="G1406" s="1" t="s">
        <v>32</v>
      </c>
      <c r="H1406" s="1" t="s">
        <v>33</v>
      </c>
      <c r="I1406" s="1" t="s">
        <v>58</v>
      </c>
      <c r="J1406" s="1" t="s">
        <v>59</v>
      </c>
      <c r="K1406" s="1" t="s">
        <v>60</v>
      </c>
      <c r="L1406" s="1" t="s">
        <v>37</v>
      </c>
      <c r="M1406" s="1" t="s">
        <v>62</v>
      </c>
      <c r="N1406" s="1" t="n">
        <v>19999</v>
      </c>
      <c r="O1406" s="1" t="n">
        <v>0</v>
      </c>
      <c r="P1406" s="1" t="n">
        <v>0</v>
      </c>
      <c r="Q1406" s="1" t="n">
        <v>19999</v>
      </c>
      <c r="R1406" s="1" t="n">
        <v>3599.82</v>
      </c>
      <c r="S1406" s="1" t="n">
        <v>16399.18</v>
      </c>
      <c r="T1406" s="1" t="n">
        <v>6501.41</v>
      </c>
      <c r="U1406" s="1" t="n">
        <v>9897.77</v>
      </c>
      <c r="V1406" s="1" t="n">
        <v>60.36</v>
      </c>
      <c r="W1406" s="1" t="s">
        <v>40</v>
      </c>
      <c r="Y1406" s="1" t="s">
        <v>40</v>
      </c>
      <c r="Z1406" s="1" t="n">
        <v>0</v>
      </c>
      <c r="AA1406" s="1" t="str">
        <f aca="false">TRIM(PROPER(F1406))</f>
        <v>Jodhpur</v>
      </c>
      <c r="AB1406" s="1" t="str">
        <f aca="false">TRIM(PROPER(C1406))</f>
        <v>Leverage Edu</v>
      </c>
      <c r="AC1406" s="1" t="str">
        <f aca="false">IF(O1406=0,"No Discount",IF(O1406&lt;=15,"Low (1-15%)",IF(O1406&lt;=30,"Medium (16-30%)","High (&gt;30%)")))</f>
        <v>No Discount</v>
      </c>
      <c r="AD1406" s="1" t="str">
        <f aca="false">IF(V1406&lt;0,"Loss Making",IF(V1406&lt;20,"Low Margin","Healthy Margin"))</f>
        <v>Healthy Margin</v>
      </c>
      <c r="AE1406" s="1" t="str">
        <f aca="false">TEXT(DATE(VALUE(RIGHT(B1406,4)),VALUE(MID(B1406,4,2)),VALUE(LEFT(B1406,2))),"MMM-YYYY")</f>
        <v>May-2024</v>
      </c>
      <c r="AF1406" s="1" t="n">
        <f aca="false">VALUE(RIGHT(B1406,4))</f>
        <v>2024</v>
      </c>
      <c r="AG1406" s="1" t="str">
        <f aca="false">CHOOSE(ROUNDUP(VALUE(MID(B1406,4,2))/3,0),"Q1","Q2","Q3","Q4")</f>
        <v>Q2</v>
      </c>
    </row>
    <row r="1407" customFormat="false" ht="15" hidden="false" customHeight="true" outlineLevel="0" collapsed="false">
      <c r="A1407" s="1" t="s">
        <v>2202</v>
      </c>
      <c r="B1407" s="1" t="s">
        <v>669</v>
      </c>
      <c r="C1407" s="1" t="s">
        <v>88</v>
      </c>
      <c r="D1407" s="1" t="s">
        <v>53</v>
      </c>
      <c r="E1407" s="1" t="s">
        <v>216</v>
      </c>
      <c r="F1407" s="1" t="s">
        <v>75</v>
      </c>
      <c r="G1407" s="1" t="s">
        <v>76</v>
      </c>
      <c r="H1407" s="1" t="s">
        <v>69</v>
      </c>
      <c r="I1407" s="1" t="s">
        <v>83</v>
      </c>
      <c r="J1407" s="1" t="s">
        <v>35</v>
      </c>
      <c r="K1407" s="1" t="s">
        <v>104</v>
      </c>
      <c r="L1407" s="1" t="s">
        <v>49</v>
      </c>
      <c r="M1407" s="1" t="s">
        <v>50</v>
      </c>
      <c r="N1407" s="1" t="n">
        <v>7499</v>
      </c>
      <c r="O1407" s="1" t="n">
        <v>0</v>
      </c>
      <c r="P1407" s="1" t="n">
        <v>0</v>
      </c>
      <c r="Q1407" s="1" t="n">
        <v>7499</v>
      </c>
      <c r="R1407" s="1" t="n">
        <v>1349.82</v>
      </c>
      <c r="S1407" s="1" t="n">
        <v>6149.18</v>
      </c>
      <c r="T1407" s="1" t="n">
        <v>2463.62</v>
      </c>
      <c r="U1407" s="1" t="n">
        <v>3685.56</v>
      </c>
      <c r="V1407" s="1" t="n">
        <v>59.94</v>
      </c>
      <c r="W1407" s="1" t="s">
        <v>39</v>
      </c>
      <c r="X1407" s="1" t="n">
        <v>3.6</v>
      </c>
      <c r="Y1407" s="1" t="s">
        <v>40</v>
      </c>
      <c r="Z1407" s="1" t="n">
        <v>1</v>
      </c>
      <c r="AA1407" s="1" t="str">
        <f aca="false">TRIM(PROPER(F1407))</f>
        <v>Kolkata</v>
      </c>
      <c r="AB1407" s="1" t="str">
        <f aca="false">TRIM(PROPER(C1407))</f>
        <v>Byju'S</v>
      </c>
      <c r="AC1407" s="1" t="str">
        <f aca="false">IF(O1407=0,"No Discount",IF(O1407&lt;=15,"Low (1-15%)",IF(O1407&lt;=30,"Medium (16-30%)","High (&gt;30%)")))</f>
        <v>No Discount</v>
      </c>
      <c r="AD1407" s="1" t="str">
        <f aca="false">IF(V1407&lt;0,"Loss Making",IF(V1407&lt;20,"Low Margin","Healthy Margin"))</f>
        <v>Healthy Margin</v>
      </c>
      <c r="AE1407" s="1" t="str">
        <f aca="false">TEXT(DATE(VALUE(RIGHT(B1407,4)),VALUE(MID(B1407,4,2)),VALUE(LEFT(B1407,2))),"MMM-YYYY")</f>
        <v>Mar-2023</v>
      </c>
      <c r="AF1407" s="1" t="n">
        <f aca="false">VALUE(RIGHT(B1407,4))</f>
        <v>2023</v>
      </c>
      <c r="AG1407" s="1" t="str">
        <f aca="false">CHOOSE(ROUNDUP(VALUE(MID(B1407,4,2))/3,0),"Q1","Q2","Q3","Q4")</f>
        <v>Q1</v>
      </c>
    </row>
    <row r="1408" customFormat="false" ht="15" hidden="false" customHeight="true" outlineLevel="0" collapsed="false">
      <c r="A1408" s="1" t="s">
        <v>2203</v>
      </c>
      <c r="B1408" s="1" t="s">
        <v>118</v>
      </c>
      <c r="C1408" s="1" t="s">
        <v>178</v>
      </c>
      <c r="D1408" s="1" t="s">
        <v>53</v>
      </c>
      <c r="E1408" s="1" t="s">
        <v>216</v>
      </c>
      <c r="F1408" s="1" t="s">
        <v>102</v>
      </c>
      <c r="G1408" s="1" t="s">
        <v>103</v>
      </c>
      <c r="H1408" s="1" t="s">
        <v>33</v>
      </c>
      <c r="I1408" s="1" t="s">
        <v>58</v>
      </c>
      <c r="J1408" s="1" t="s">
        <v>131</v>
      </c>
      <c r="K1408" s="1" t="s">
        <v>104</v>
      </c>
      <c r="L1408" s="1" t="s">
        <v>49</v>
      </c>
      <c r="M1408" s="1" t="s">
        <v>38</v>
      </c>
      <c r="N1408" s="1" t="n">
        <v>7499</v>
      </c>
      <c r="O1408" s="1" t="n">
        <v>15</v>
      </c>
      <c r="P1408" s="1" t="n">
        <v>1124.85</v>
      </c>
      <c r="Q1408" s="1" t="n">
        <v>6374.15</v>
      </c>
      <c r="R1408" s="1" t="n">
        <v>1147.35</v>
      </c>
      <c r="S1408" s="1" t="n">
        <v>5226.8</v>
      </c>
      <c r="T1408" s="1" t="n">
        <v>2188.89</v>
      </c>
      <c r="U1408" s="1" t="n">
        <v>3037.91</v>
      </c>
      <c r="V1408" s="1" t="n">
        <v>58.12</v>
      </c>
      <c r="W1408" s="1" t="s">
        <v>39</v>
      </c>
      <c r="X1408" s="1" t="n">
        <v>3.4</v>
      </c>
      <c r="Y1408" s="1" t="s">
        <v>40</v>
      </c>
      <c r="Z1408" s="1" t="n">
        <v>0</v>
      </c>
      <c r="AA1408" s="1" t="str">
        <f aca="false">TRIM(PROPER(F1408))</f>
        <v>Warangal</v>
      </c>
      <c r="AB1408" s="1" t="str">
        <f aca="false">TRIM(PROPER(C1408))</f>
        <v>Leverage Edu</v>
      </c>
      <c r="AC1408" s="1" t="str">
        <f aca="false">IF(O1408=0,"No Discount",IF(O1408&lt;=15,"Low (1-15%)",IF(O1408&lt;=30,"Medium (16-30%)","High (&gt;30%)")))</f>
        <v>Low (1-15%)</v>
      </c>
      <c r="AD1408" s="1" t="str">
        <f aca="false">IF(V1408&lt;0,"Loss Making",IF(V1408&lt;20,"Low Margin","Healthy Margin"))</f>
        <v>Healthy Margin</v>
      </c>
      <c r="AE1408" s="1" t="str">
        <f aca="false">TEXT(DATE(VALUE(RIGHT(B1408,4)),VALUE(MID(B1408,4,2)),VALUE(LEFT(B1408,2))),"MMM-YYYY")</f>
        <v>Oct-2023</v>
      </c>
      <c r="AF1408" s="1" t="n">
        <f aca="false">VALUE(RIGHT(B1408,4))</f>
        <v>2023</v>
      </c>
      <c r="AG1408" s="1" t="str">
        <f aca="false">CHOOSE(ROUNDUP(VALUE(MID(B1408,4,2))/3,0),"Q1","Q2","Q3","Q4")</f>
        <v>Q4</v>
      </c>
    </row>
    <row r="1409" customFormat="false" ht="15" hidden="false" customHeight="true" outlineLevel="0" collapsed="false">
      <c r="A1409" s="1" t="s">
        <v>2204</v>
      </c>
      <c r="B1409" s="1" t="s">
        <v>1337</v>
      </c>
      <c r="C1409" s="1" t="s">
        <v>128</v>
      </c>
      <c r="D1409" s="1" t="s">
        <v>29</v>
      </c>
      <c r="E1409" s="1" t="s">
        <v>30</v>
      </c>
      <c r="F1409" s="1" t="s">
        <v>130</v>
      </c>
      <c r="G1409" s="1" t="s">
        <v>47</v>
      </c>
      <c r="H1409" s="1" t="s">
        <v>69</v>
      </c>
      <c r="I1409" s="1" t="s">
        <v>58</v>
      </c>
      <c r="J1409" s="1" t="s">
        <v>35</v>
      </c>
      <c r="K1409" s="1" t="s">
        <v>60</v>
      </c>
      <c r="L1409" s="1" t="s">
        <v>113</v>
      </c>
      <c r="M1409" s="1" t="s">
        <v>50</v>
      </c>
      <c r="N1409" s="1" t="n">
        <v>7999</v>
      </c>
      <c r="O1409" s="1" t="n">
        <v>50</v>
      </c>
      <c r="P1409" s="1" t="n">
        <v>3999.5</v>
      </c>
      <c r="Q1409" s="1" t="n">
        <v>3999.5</v>
      </c>
      <c r="R1409" s="1" t="n">
        <v>719.91</v>
      </c>
      <c r="S1409" s="1" t="n">
        <v>3279.59</v>
      </c>
      <c r="T1409" s="1" t="n">
        <v>1455.42</v>
      </c>
      <c r="U1409" s="1" t="n">
        <v>1824.17</v>
      </c>
      <c r="V1409" s="1" t="n">
        <v>55.62</v>
      </c>
      <c r="W1409" s="1" t="s">
        <v>39</v>
      </c>
      <c r="X1409" s="1" t="n">
        <v>4.6</v>
      </c>
      <c r="Y1409" s="1" t="s">
        <v>40</v>
      </c>
      <c r="Z1409" s="1" t="n">
        <v>1</v>
      </c>
      <c r="AA1409" s="1" t="str">
        <f aca="false">TRIM(PROPER(F1409))</f>
        <v>Bengaluru</v>
      </c>
      <c r="AB1409" s="1" t="str">
        <f aca="false">TRIM(PROPER(C1409))</f>
        <v>Great Learning</v>
      </c>
      <c r="AC1409" s="1" t="str">
        <f aca="false">IF(O1409=0,"No Discount",IF(O1409&lt;=15,"Low (1-15%)",IF(O1409&lt;=30,"Medium (16-30%)","High (&gt;30%)")))</f>
        <v>High (&gt;30%)</v>
      </c>
      <c r="AD1409" s="1" t="str">
        <f aca="false">IF(V1409&lt;0,"Loss Making",IF(V1409&lt;20,"Low Margin","Healthy Margin"))</f>
        <v>Healthy Margin</v>
      </c>
      <c r="AE1409" s="1" t="str">
        <f aca="false">TEXT(DATE(VALUE(RIGHT(B1409,4)),VALUE(MID(B1409,4,2)),VALUE(LEFT(B1409,2))),"MMM-YYYY")</f>
        <v>Dec-2023</v>
      </c>
      <c r="AF1409" s="1" t="n">
        <f aca="false">VALUE(RIGHT(B1409,4))</f>
        <v>2023</v>
      </c>
      <c r="AG1409" s="1" t="str">
        <f aca="false">CHOOSE(ROUNDUP(VALUE(MID(B1409,4,2))/3,0),"Q1","Q2","Q3","Q4")</f>
        <v>Q4</v>
      </c>
    </row>
    <row r="1410" customFormat="false" ht="15" hidden="false" customHeight="true" outlineLevel="0" collapsed="false">
      <c r="A1410" s="1" t="s">
        <v>2205</v>
      </c>
      <c r="B1410" s="1" t="s">
        <v>524</v>
      </c>
      <c r="C1410" s="1" t="s">
        <v>167</v>
      </c>
      <c r="D1410" s="1" t="s">
        <v>143</v>
      </c>
      <c r="E1410" s="1" t="s">
        <v>210</v>
      </c>
      <c r="F1410" s="1" t="s">
        <v>55</v>
      </c>
      <c r="G1410" s="1" t="s">
        <v>56</v>
      </c>
      <c r="H1410" s="1" t="s">
        <v>57</v>
      </c>
      <c r="I1410" s="1" t="s">
        <v>83</v>
      </c>
      <c r="J1410" s="1" t="s">
        <v>70</v>
      </c>
      <c r="K1410" s="1" t="s">
        <v>48</v>
      </c>
      <c r="L1410" s="1" t="s">
        <v>85</v>
      </c>
      <c r="M1410" s="1" t="s">
        <v>62</v>
      </c>
      <c r="N1410" s="1" t="n">
        <v>18999</v>
      </c>
      <c r="O1410" s="1" t="n">
        <v>10</v>
      </c>
      <c r="P1410" s="1" t="n">
        <v>1899.9</v>
      </c>
      <c r="Q1410" s="1" t="n">
        <v>17099.1</v>
      </c>
      <c r="R1410" s="1" t="n">
        <v>3077.84</v>
      </c>
      <c r="S1410" s="1" t="n">
        <v>14021.26</v>
      </c>
      <c r="T1410" s="1" t="n">
        <v>6806.13</v>
      </c>
      <c r="U1410" s="1" t="n">
        <v>7215.13</v>
      </c>
      <c r="V1410" s="1" t="n">
        <v>51.46</v>
      </c>
      <c r="W1410" s="1" t="s">
        <v>39</v>
      </c>
      <c r="X1410" s="1" t="n">
        <v>3.3</v>
      </c>
      <c r="Y1410" s="1" t="s">
        <v>40</v>
      </c>
      <c r="Z1410" s="1" t="n">
        <v>0</v>
      </c>
      <c r="AA1410" s="1" t="str">
        <f aca="false">TRIM(PROPER(F1410))</f>
        <v>Ghaziabad</v>
      </c>
      <c r="AB1410" s="1" t="str">
        <f aca="false">TRIM(PROPER(C1410))</f>
        <v>Scaler</v>
      </c>
      <c r="AC1410" s="1" t="str">
        <f aca="false">IF(O1410=0,"No Discount",IF(O1410&lt;=15,"Low (1-15%)",IF(O1410&lt;=30,"Medium (16-30%)","High (&gt;30%)")))</f>
        <v>Low (1-15%)</v>
      </c>
      <c r="AD1410" s="1" t="str">
        <f aca="false">IF(V1410&lt;0,"Loss Making",IF(V1410&lt;20,"Low Margin","Healthy Margin"))</f>
        <v>Healthy Margin</v>
      </c>
      <c r="AE1410" s="1" t="str">
        <f aca="false">TEXT(DATE(VALUE(RIGHT(B1410,4)),VALUE(MID(B1410,4,2)),VALUE(LEFT(B1410,2))),"MMM-YYYY")</f>
        <v>Mar-2023</v>
      </c>
      <c r="AF1410" s="1" t="n">
        <f aca="false">VALUE(RIGHT(B1410,4))</f>
        <v>2023</v>
      </c>
      <c r="AG1410" s="1" t="str">
        <f aca="false">CHOOSE(ROUNDUP(VALUE(MID(B1410,4,2))/3,0),"Q1","Q2","Q3","Q4")</f>
        <v>Q1</v>
      </c>
    </row>
    <row r="1411" customFormat="false" ht="15" hidden="false" customHeight="true" outlineLevel="0" collapsed="false">
      <c r="A1411" s="1" t="s">
        <v>2206</v>
      </c>
      <c r="B1411" s="1" t="s">
        <v>694</v>
      </c>
      <c r="C1411" s="1" t="s">
        <v>139</v>
      </c>
      <c r="D1411" s="1" t="s">
        <v>53</v>
      </c>
      <c r="E1411" s="1" t="s">
        <v>216</v>
      </c>
      <c r="F1411" s="1" t="s">
        <v>82</v>
      </c>
      <c r="G1411" s="1" t="s">
        <v>56</v>
      </c>
      <c r="H1411" s="1" t="s">
        <v>69</v>
      </c>
      <c r="I1411" s="1" t="s">
        <v>34</v>
      </c>
      <c r="J1411" s="1" t="s">
        <v>35</v>
      </c>
      <c r="K1411" s="1" t="s">
        <v>71</v>
      </c>
      <c r="L1411" s="1" t="s">
        <v>136</v>
      </c>
      <c r="M1411" s="1" t="s">
        <v>38</v>
      </c>
      <c r="N1411" s="1" t="n">
        <v>7499</v>
      </c>
      <c r="O1411" s="1" t="n">
        <v>0</v>
      </c>
      <c r="P1411" s="1" t="n">
        <v>0</v>
      </c>
      <c r="Q1411" s="1" t="n">
        <v>7499</v>
      </c>
      <c r="R1411" s="1" t="n">
        <v>1349.82</v>
      </c>
      <c r="S1411" s="1" t="n">
        <v>6149.18</v>
      </c>
      <c r="T1411" s="1" t="n">
        <v>2337.16</v>
      </c>
      <c r="U1411" s="1" t="n">
        <v>3812.02</v>
      </c>
      <c r="V1411" s="1" t="n">
        <v>61.99</v>
      </c>
      <c r="W1411" s="1" t="s">
        <v>40</v>
      </c>
      <c r="Y1411" s="1" t="s">
        <v>40</v>
      </c>
      <c r="Z1411" s="1" t="n">
        <v>1</v>
      </c>
      <c r="AA1411" s="1" t="str">
        <f aca="false">TRIM(PROPER(F1411))</f>
        <v>Gurugram</v>
      </c>
      <c r="AB1411" s="1" t="str">
        <f aca="false">TRIM(PROPER(C1411))</f>
        <v>Extramarks</v>
      </c>
      <c r="AC1411" s="1" t="str">
        <f aca="false">IF(O1411=0,"No Discount",IF(O1411&lt;=15,"Low (1-15%)",IF(O1411&lt;=30,"Medium (16-30%)","High (&gt;30%)")))</f>
        <v>No Discount</v>
      </c>
      <c r="AD1411" s="1" t="str">
        <f aca="false">IF(V1411&lt;0,"Loss Making",IF(V1411&lt;20,"Low Margin","Healthy Margin"))</f>
        <v>Healthy Margin</v>
      </c>
      <c r="AE1411" s="1" t="str">
        <f aca="false">TEXT(DATE(VALUE(RIGHT(B1411,4)),VALUE(MID(B1411,4,2)),VALUE(LEFT(B1411,2))),"MMM-YYYY")</f>
        <v>Jan-2024</v>
      </c>
      <c r="AF1411" s="1" t="n">
        <f aca="false">VALUE(RIGHT(B1411,4))</f>
        <v>2024</v>
      </c>
      <c r="AG1411" s="1" t="str">
        <f aca="false">CHOOSE(ROUNDUP(VALUE(MID(B1411,4,2))/3,0),"Q1","Q2","Q3","Q4")</f>
        <v>Q1</v>
      </c>
    </row>
    <row r="1412" customFormat="false" ht="15" hidden="false" customHeight="true" outlineLevel="0" collapsed="false">
      <c r="A1412" s="1" t="s">
        <v>2207</v>
      </c>
      <c r="B1412" s="1" t="s">
        <v>325</v>
      </c>
      <c r="C1412" s="1" t="s">
        <v>249</v>
      </c>
      <c r="D1412" s="1" t="s">
        <v>123</v>
      </c>
      <c r="E1412" s="1" t="s">
        <v>233</v>
      </c>
      <c r="F1412" s="1" t="s">
        <v>187</v>
      </c>
      <c r="G1412" s="1" t="s">
        <v>97</v>
      </c>
      <c r="H1412" s="1" t="s">
        <v>69</v>
      </c>
      <c r="I1412" s="1" t="s">
        <v>58</v>
      </c>
      <c r="J1412" s="1" t="s">
        <v>131</v>
      </c>
      <c r="K1412" s="1" t="s">
        <v>71</v>
      </c>
      <c r="L1412" s="1" t="s">
        <v>113</v>
      </c>
      <c r="M1412" s="1" t="s">
        <v>50</v>
      </c>
      <c r="N1412" s="1" t="n">
        <v>8999</v>
      </c>
      <c r="O1412" s="1" t="n">
        <v>5</v>
      </c>
      <c r="P1412" s="1" t="n">
        <v>449.95</v>
      </c>
      <c r="Q1412" s="1" t="n">
        <v>8549.05</v>
      </c>
      <c r="R1412" s="1" t="n">
        <v>1538.83</v>
      </c>
      <c r="S1412" s="1" t="n">
        <v>7010.22</v>
      </c>
      <c r="T1412" s="1" t="n">
        <v>2885.82</v>
      </c>
      <c r="U1412" s="1" t="n">
        <v>4124.4</v>
      </c>
      <c r="V1412" s="1" t="n">
        <v>58.83</v>
      </c>
      <c r="W1412" s="1" t="s">
        <v>40</v>
      </c>
      <c r="Y1412" s="1" t="s">
        <v>40</v>
      </c>
      <c r="Z1412" s="1" t="n">
        <v>0</v>
      </c>
      <c r="AA1412" s="1" t="str">
        <f aca="false">TRIM(PROPER(F1412))</f>
        <v>Mumbai</v>
      </c>
      <c r="AB1412" s="1" t="str">
        <f aca="false">TRIM(PROPER(C1412))</f>
        <v>Whitehat Jr</v>
      </c>
      <c r="AC1412" s="1" t="str">
        <f aca="false">IF(O1412=0,"No Discount",IF(O1412&lt;=15,"Low (1-15%)",IF(O1412&lt;=30,"Medium (16-30%)","High (&gt;30%)")))</f>
        <v>Low (1-15%)</v>
      </c>
      <c r="AD1412" s="1" t="str">
        <f aca="false">IF(V1412&lt;0,"Loss Making",IF(V1412&lt;20,"Low Margin","Healthy Margin"))</f>
        <v>Healthy Margin</v>
      </c>
      <c r="AE1412" s="1" t="str">
        <f aca="false">TEXT(DATE(VALUE(RIGHT(B1412,4)),VALUE(MID(B1412,4,2)),VALUE(LEFT(B1412,2))),"MMM-YYYY")</f>
        <v>May-2023</v>
      </c>
      <c r="AF1412" s="1" t="n">
        <f aca="false">VALUE(RIGHT(B1412,4))</f>
        <v>2023</v>
      </c>
      <c r="AG1412" s="1" t="str">
        <f aca="false">CHOOSE(ROUNDUP(VALUE(MID(B1412,4,2))/3,0),"Q1","Q2","Q3","Q4")</f>
        <v>Q2</v>
      </c>
    </row>
    <row r="1413" customFormat="false" ht="15" hidden="false" customHeight="true" outlineLevel="0" collapsed="false">
      <c r="A1413" s="1" t="s">
        <v>2208</v>
      </c>
      <c r="B1413" s="1" t="s">
        <v>1556</v>
      </c>
      <c r="C1413" s="1" t="s">
        <v>264</v>
      </c>
      <c r="D1413" s="1" t="s">
        <v>123</v>
      </c>
      <c r="E1413" s="1" t="s">
        <v>124</v>
      </c>
      <c r="F1413" s="1" t="s">
        <v>55</v>
      </c>
      <c r="G1413" s="1" t="s">
        <v>56</v>
      </c>
      <c r="H1413" s="1" t="s">
        <v>57</v>
      </c>
      <c r="I1413" s="1" t="s">
        <v>34</v>
      </c>
      <c r="J1413" s="1" t="s">
        <v>131</v>
      </c>
      <c r="K1413" s="1" t="s">
        <v>36</v>
      </c>
      <c r="L1413" s="1" t="s">
        <v>61</v>
      </c>
      <c r="M1413" s="1" t="s">
        <v>62</v>
      </c>
      <c r="N1413" s="1" t="n">
        <v>4999</v>
      </c>
      <c r="O1413" s="1" t="n">
        <v>0</v>
      </c>
      <c r="P1413" s="1" t="n">
        <v>0</v>
      </c>
      <c r="Q1413" s="1" t="n">
        <v>4999</v>
      </c>
      <c r="R1413" s="1" t="n">
        <v>899.82</v>
      </c>
      <c r="S1413" s="1" t="n">
        <v>4099.18</v>
      </c>
      <c r="T1413" s="1" t="n">
        <v>1850.75</v>
      </c>
      <c r="U1413" s="1" t="n">
        <v>2248.43</v>
      </c>
      <c r="V1413" s="1" t="n">
        <v>54.85</v>
      </c>
      <c r="W1413" s="1" t="s">
        <v>40</v>
      </c>
      <c r="Y1413" s="1" t="s">
        <v>40</v>
      </c>
      <c r="Z1413" s="1" t="n">
        <v>1</v>
      </c>
      <c r="AA1413" s="1" t="str">
        <f aca="false">TRIM(PROPER(F1413))</f>
        <v>Ghaziabad</v>
      </c>
      <c r="AB1413" s="1" t="str">
        <f aca="false">TRIM(PROPER(C1413))</f>
        <v>Unacademy</v>
      </c>
      <c r="AC1413" s="1" t="str">
        <f aca="false">IF(O1413=0,"No Discount",IF(O1413&lt;=15,"Low (1-15%)",IF(O1413&lt;=30,"Medium (16-30%)","High (&gt;30%)")))</f>
        <v>No Discount</v>
      </c>
      <c r="AD1413" s="1" t="str">
        <f aca="false">IF(V1413&lt;0,"Loss Making",IF(V1413&lt;20,"Low Margin","Healthy Margin"))</f>
        <v>Healthy Margin</v>
      </c>
      <c r="AE1413" s="1" t="str">
        <f aca="false">TEXT(DATE(VALUE(RIGHT(B1413,4)),VALUE(MID(B1413,4,2)),VALUE(LEFT(B1413,2))),"MMM-YYYY")</f>
        <v>Aug-2023</v>
      </c>
      <c r="AF1413" s="1" t="n">
        <f aca="false">VALUE(RIGHT(B1413,4))</f>
        <v>2023</v>
      </c>
      <c r="AG1413" s="1" t="str">
        <f aca="false">CHOOSE(ROUNDUP(VALUE(MID(B1413,4,2))/3,0),"Q1","Q2","Q3","Q4")</f>
        <v>Q3</v>
      </c>
    </row>
    <row r="1414" customFormat="false" ht="15" hidden="false" customHeight="true" outlineLevel="0" collapsed="false">
      <c r="A1414" s="1" t="s">
        <v>2209</v>
      </c>
      <c r="B1414" s="1" t="s">
        <v>1015</v>
      </c>
      <c r="C1414" s="1" t="s">
        <v>93</v>
      </c>
      <c r="D1414" s="1" t="s">
        <v>44</v>
      </c>
      <c r="E1414" s="1" t="s">
        <v>66</v>
      </c>
      <c r="F1414" s="1" t="s">
        <v>82</v>
      </c>
      <c r="G1414" s="1" t="s">
        <v>56</v>
      </c>
      <c r="H1414" s="1" t="s">
        <v>69</v>
      </c>
      <c r="I1414" s="1" t="s">
        <v>83</v>
      </c>
      <c r="J1414" s="1" t="s">
        <v>70</v>
      </c>
      <c r="K1414" s="1" t="s">
        <v>36</v>
      </c>
      <c r="L1414" s="1" t="s">
        <v>37</v>
      </c>
      <c r="M1414" s="1" t="s">
        <v>38</v>
      </c>
      <c r="N1414" s="1" t="n">
        <v>12999</v>
      </c>
      <c r="O1414" s="1" t="n">
        <v>5</v>
      </c>
      <c r="P1414" s="1" t="n">
        <v>649.95</v>
      </c>
      <c r="Q1414" s="1" t="n">
        <v>12349.05</v>
      </c>
      <c r="R1414" s="1" t="n">
        <v>2222.83</v>
      </c>
      <c r="S1414" s="1" t="n">
        <v>10126.22</v>
      </c>
      <c r="T1414" s="1" t="n">
        <v>3342.12</v>
      </c>
      <c r="U1414" s="1" t="n">
        <v>6784.1</v>
      </c>
      <c r="V1414" s="1" t="n">
        <v>67</v>
      </c>
      <c r="W1414" s="1" t="s">
        <v>39</v>
      </c>
      <c r="X1414" s="1" t="n">
        <v>3.9</v>
      </c>
      <c r="Y1414" s="1" t="s">
        <v>40</v>
      </c>
      <c r="Z1414" s="1" t="n">
        <v>0</v>
      </c>
      <c r="AA1414" s="1" t="str">
        <f aca="false">TRIM(PROPER(F1414))</f>
        <v>Gurugram</v>
      </c>
      <c r="AB1414" s="1" t="str">
        <f aca="false">TRIM(PROPER(C1414))</f>
        <v>Upgrad</v>
      </c>
      <c r="AC1414" s="1" t="str">
        <f aca="false">IF(O1414=0,"No Discount",IF(O1414&lt;=15,"Low (1-15%)",IF(O1414&lt;=30,"Medium (16-30%)","High (&gt;30%)")))</f>
        <v>Low (1-15%)</v>
      </c>
      <c r="AD1414" s="1" t="str">
        <f aca="false">IF(V1414&lt;0,"Loss Making",IF(V1414&lt;20,"Low Margin","Healthy Margin"))</f>
        <v>Healthy Margin</v>
      </c>
      <c r="AE1414" s="1" t="str">
        <f aca="false">TEXT(DATE(VALUE(RIGHT(B1414,4)),VALUE(MID(B1414,4,2)),VALUE(LEFT(B1414,2))),"MMM-YYYY")</f>
        <v>Jun-2024</v>
      </c>
      <c r="AF1414" s="1" t="n">
        <f aca="false">VALUE(RIGHT(B1414,4))</f>
        <v>2024</v>
      </c>
      <c r="AG1414" s="1" t="str">
        <f aca="false">CHOOSE(ROUNDUP(VALUE(MID(B1414,4,2))/3,0),"Q1","Q2","Q3","Q4")</f>
        <v>Q2</v>
      </c>
    </row>
    <row r="1415" customFormat="false" ht="15" hidden="false" customHeight="true" outlineLevel="0" collapsed="false">
      <c r="A1415" s="1" t="s">
        <v>2210</v>
      </c>
      <c r="B1415" s="1" t="s">
        <v>1219</v>
      </c>
      <c r="C1415" s="1" t="s">
        <v>167</v>
      </c>
      <c r="D1415" s="1" t="s">
        <v>123</v>
      </c>
      <c r="E1415" s="1" t="s">
        <v>233</v>
      </c>
      <c r="F1415" s="1" t="s">
        <v>125</v>
      </c>
      <c r="G1415" s="1" t="s">
        <v>108</v>
      </c>
      <c r="H1415" s="1" t="s">
        <v>69</v>
      </c>
      <c r="I1415" s="1" t="s">
        <v>58</v>
      </c>
      <c r="J1415" s="1" t="s">
        <v>35</v>
      </c>
      <c r="K1415" s="1" t="s">
        <v>112</v>
      </c>
      <c r="L1415" s="1" t="s">
        <v>85</v>
      </c>
      <c r="M1415" s="1" t="s">
        <v>50</v>
      </c>
      <c r="N1415" s="1" t="n">
        <v>8999</v>
      </c>
      <c r="O1415" s="1" t="n">
        <v>0</v>
      </c>
      <c r="P1415" s="1" t="n">
        <v>0</v>
      </c>
      <c r="Q1415" s="1" t="n">
        <v>8999</v>
      </c>
      <c r="R1415" s="1" t="n">
        <v>1619.82</v>
      </c>
      <c r="S1415" s="1" t="n">
        <v>7379.18</v>
      </c>
      <c r="T1415" s="1" t="n">
        <v>2850.02</v>
      </c>
      <c r="U1415" s="1" t="n">
        <v>4529.16</v>
      </c>
      <c r="V1415" s="1" t="n">
        <v>61.38</v>
      </c>
      <c r="W1415" s="1" t="s">
        <v>39</v>
      </c>
      <c r="Y1415" s="1" t="s">
        <v>40</v>
      </c>
      <c r="Z1415" s="1" t="n">
        <v>0</v>
      </c>
      <c r="AA1415" s="1" t="str">
        <f aca="false">TRIM(PROPER(F1415))</f>
        <v>Chennai</v>
      </c>
      <c r="AB1415" s="1" t="str">
        <f aca="false">TRIM(PROPER(C1415))</f>
        <v>Scaler</v>
      </c>
      <c r="AC1415" s="1" t="str">
        <f aca="false">IF(O1415=0,"No Discount",IF(O1415&lt;=15,"Low (1-15%)",IF(O1415&lt;=30,"Medium (16-30%)","High (&gt;30%)")))</f>
        <v>No Discount</v>
      </c>
      <c r="AD1415" s="1" t="str">
        <f aca="false">IF(V1415&lt;0,"Loss Making",IF(V1415&lt;20,"Low Margin","Healthy Margin"))</f>
        <v>Healthy Margin</v>
      </c>
      <c r="AE1415" s="1" t="str">
        <f aca="false">TEXT(DATE(VALUE(RIGHT(B1415,4)),VALUE(MID(B1415,4,2)),VALUE(LEFT(B1415,2))),"MMM-YYYY")</f>
        <v>Sep-2024</v>
      </c>
      <c r="AF1415" s="1" t="n">
        <f aca="false">VALUE(RIGHT(B1415,4))</f>
        <v>2024</v>
      </c>
      <c r="AG1415" s="1" t="str">
        <f aca="false">CHOOSE(ROUNDUP(VALUE(MID(B1415,4,2))/3,0),"Q1","Q2","Q3","Q4")</f>
        <v>Q3</v>
      </c>
    </row>
    <row r="1416" customFormat="false" ht="15" hidden="false" customHeight="true" outlineLevel="0" collapsed="false">
      <c r="A1416" s="1" t="s">
        <v>2211</v>
      </c>
      <c r="B1416" s="1" t="s">
        <v>1004</v>
      </c>
      <c r="C1416" s="1" t="s">
        <v>128</v>
      </c>
      <c r="D1416" s="1" t="s">
        <v>44</v>
      </c>
      <c r="E1416" s="1" t="s">
        <v>45</v>
      </c>
      <c r="F1416" s="1" t="s">
        <v>120</v>
      </c>
      <c r="G1416" s="1" t="s">
        <v>47</v>
      </c>
      <c r="H1416" s="1" t="s">
        <v>57</v>
      </c>
      <c r="I1416" s="1" t="s">
        <v>34</v>
      </c>
      <c r="J1416" s="1" t="s">
        <v>70</v>
      </c>
      <c r="K1416" s="1" t="s">
        <v>90</v>
      </c>
      <c r="L1416" s="1" t="s">
        <v>61</v>
      </c>
      <c r="M1416" s="1" t="s">
        <v>38</v>
      </c>
      <c r="N1416" s="1" t="n">
        <v>11999</v>
      </c>
      <c r="O1416" s="1" t="n">
        <v>0</v>
      </c>
      <c r="P1416" s="1" t="n">
        <v>0</v>
      </c>
      <c r="Q1416" s="1" t="n">
        <v>11999</v>
      </c>
      <c r="R1416" s="1" t="n">
        <v>2159.82</v>
      </c>
      <c r="S1416" s="1" t="n">
        <v>9839.18</v>
      </c>
      <c r="T1416" s="1" t="n">
        <v>4246.29</v>
      </c>
      <c r="U1416" s="1" t="n">
        <v>5592.89</v>
      </c>
      <c r="V1416" s="1" t="n">
        <v>56.84</v>
      </c>
      <c r="W1416" s="1" t="s">
        <v>39</v>
      </c>
      <c r="X1416" s="1" t="n">
        <v>4.3</v>
      </c>
      <c r="Y1416" s="1" t="s">
        <v>40</v>
      </c>
      <c r="Z1416" s="1" t="n">
        <v>0</v>
      </c>
      <c r="AA1416" s="1" t="str">
        <f aca="false">TRIM(PROPER(F1416))</f>
        <v>Mysuru</v>
      </c>
      <c r="AB1416" s="1" t="str">
        <f aca="false">TRIM(PROPER(C1416))</f>
        <v>Great Learning</v>
      </c>
      <c r="AC1416" s="1" t="str">
        <f aca="false">IF(O1416=0,"No Discount",IF(O1416&lt;=15,"Low (1-15%)",IF(O1416&lt;=30,"Medium (16-30%)","High (&gt;30%)")))</f>
        <v>No Discount</v>
      </c>
      <c r="AD1416" s="1" t="str">
        <f aca="false">IF(V1416&lt;0,"Loss Making",IF(V1416&lt;20,"Low Margin","Healthy Margin"))</f>
        <v>Healthy Margin</v>
      </c>
      <c r="AE1416" s="1" t="str">
        <f aca="false">TEXT(DATE(VALUE(RIGHT(B1416,4)),VALUE(MID(B1416,4,2)),VALUE(LEFT(B1416,2))),"MMM-YYYY")</f>
        <v>Aug-2024</v>
      </c>
      <c r="AF1416" s="1" t="n">
        <f aca="false">VALUE(RIGHT(B1416,4))</f>
        <v>2024</v>
      </c>
      <c r="AG1416" s="1" t="str">
        <f aca="false">CHOOSE(ROUNDUP(VALUE(MID(B1416,4,2))/3,0),"Q1","Q2","Q3","Q4")</f>
        <v>Q3</v>
      </c>
    </row>
    <row r="1417" customFormat="false" ht="15" hidden="false" customHeight="true" outlineLevel="0" collapsed="false">
      <c r="A1417" s="1" t="s">
        <v>2212</v>
      </c>
      <c r="B1417" s="1" t="s">
        <v>576</v>
      </c>
      <c r="C1417" s="1" t="s">
        <v>119</v>
      </c>
      <c r="D1417" s="1" t="s">
        <v>143</v>
      </c>
      <c r="E1417" s="1" t="s">
        <v>210</v>
      </c>
      <c r="F1417" s="1" t="s">
        <v>67</v>
      </c>
      <c r="G1417" s="1" t="s">
        <v>68</v>
      </c>
      <c r="H1417" s="1" t="s">
        <v>69</v>
      </c>
      <c r="I1417" s="1" t="s">
        <v>83</v>
      </c>
      <c r="J1417" s="1" t="s">
        <v>77</v>
      </c>
      <c r="K1417" s="1" t="s">
        <v>60</v>
      </c>
      <c r="L1417" s="1" t="s">
        <v>61</v>
      </c>
      <c r="M1417" s="1" t="s">
        <v>38</v>
      </c>
      <c r="N1417" s="1" t="n">
        <v>18999</v>
      </c>
      <c r="O1417" s="1" t="n">
        <v>10</v>
      </c>
      <c r="P1417" s="1" t="n">
        <v>1899.9</v>
      </c>
      <c r="Q1417" s="1" t="n">
        <v>17099.1</v>
      </c>
      <c r="R1417" s="1" t="n">
        <v>3077.84</v>
      </c>
      <c r="S1417" s="1" t="n">
        <v>14021.26</v>
      </c>
      <c r="T1417" s="1" t="n">
        <v>6274.52</v>
      </c>
      <c r="U1417" s="1" t="n">
        <v>7746.74</v>
      </c>
      <c r="V1417" s="1" t="n">
        <v>55.25</v>
      </c>
      <c r="W1417" s="1" t="s">
        <v>39</v>
      </c>
      <c r="X1417" s="1" t="n">
        <v>2.9</v>
      </c>
      <c r="Y1417" s="1" t="s">
        <v>40</v>
      </c>
      <c r="Z1417" s="1" t="n">
        <v>1</v>
      </c>
      <c r="AA1417" s="1" t="str">
        <f aca="false">TRIM(PROPER(F1417))</f>
        <v>Ahmedabad</v>
      </c>
      <c r="AB1417" s="1" t="str">
        <f aca="false">TRIM(PROPER(C1417))</f>
        <v>Simplilearn</v>
      </c>
      <c r="AC1417" s="1" t="str">
        <f aca="false">IF(O1417=0,"No Discount",IF(O1417&lt;=15,"Low (1-15%)",IF(O1417&lt;=30,"Medium (16-30%)","High (&gt;30%)")))</f>
        <v>Low (1-15%)</v>
      </c>
      <c r="AD1417" s="1" t="str">
        <f aca="false">IF(V1417&lt;0,"Loss Making",IF(V1417&lt;20,"Low Margin","Healthy Margin"))</f>
        <v>Healthy Margin</v>
      </c>
      <c r="AE1417" s="1" t="str">
        <f aca="false">TEXT(DATE(VALUE(RIGHT(B1417,4)),VALUE(MID(B1417,4,2)),VALUE(LEFT(B1417,2))),"MMM-YYYY")</f>
        <v>Aug-2024</v>
      </c>
      <c r="AF1417" s="1" t="n">
        <f aca="false">VALUE(RIGHT(B1417,4))</f>
        <v>2024</v>
      </c>
      <c r="AG1417" s="1" t="str">
        <f aca="false">CHOOSE(ROUNDUP(VALUE(MID(B1417,4,2))/3,0),"Q1","Q2","Q3","Q4")</f>
        <v>Q3</v>
      </c>
    </row>
    <row r="1418" customFormat="false" ht="15" hidden="false" customHeight="true" outlineLevel="0" collapsed="false">
      <c r="A1418" s="1" t="s">
        <v>2213</v>
      </c>
      <c r="B1418" s="1" t="s">
        <v>229</v>
      </c>
      <c r="C1418" s="1" t="s">
        <v>28</v>
      </c>
      <c r="D1418" s="1" t="s">
        <v>80</v>
      </c>
      <c r="E1418" s="1" t="s">
        <v>175</v>
      </c>
      <c r="F1418" s="1" t="s">
        <v>67</v>
      </c>
      <c r="G1418" s="1" t="s">
        <v>68</v>
      </c>
      <c r="H1418" s="1" t="s">
        <v>69</v>
      </c>
      <c r="I1418" s="1" t="s">
        <v>58</v>
      </c>
      <c r="J1418" s="1" t="s">
        <v>77</v>
      </c>
      <c r="K1418" s="1" t="s">
        <v>71</v>
      </c>
      <c r="L1418" s="1" t="s">
        <v>85</v>
      </c>
      <c r="M1418" s="1" t="s">
        <v>38</v>
      </c>
      <c r="N1418" s="1" t="n">
        <v>19999</v>
      </c>
      <c r="O1418" s="1" t="n">
        <v>50</v>
      </c>
      <c r="P1418" s="1" t="n">
        <v>9999.5</v>
      </c>
      <c r="Q1418" s="1" t="n">
        <v>9999.5</v>
      </c>
      <c r="R1418" s="1" t="n">
        <v>1799.91</v>
      </c>
      <c r="S1418" s="1" t="n">
        <v>8199.59</v>
      </c>
      <c r="T1418" s="1" t="n">
        <v>4226.7</v>
      </c>
      <c r="U1418" s="1" t="n">
        <v>3972.89</v>
      </c>
      <c r="V1418" s="1" t="n">
        <v>48.45</v>
      </c>
      <c r="W1418" s="1" t="s">
        <v>39</v>
      </c>
      <c r="X1418" s="1" t="n">
        <v>3.7</v>
      </c>
      <c r="Y1418" s="1" t="s">
        <v>40</v>
      </c>
      <c r="Z1418" s="1" t="n">
        <v>0</v>
      </c>
      <c r="AA1418" s="1" t="str">
        <f aca="false">TRIM(PROPER(F1418))</f>
        <v>Ahmedabad</v>
      </c>
      <c r="AB1418" s="1" t="str">
        <f aca="false">TRIM(PROPER(C1418))</f>
        <v>Embibe</v>
      </c>
      <c r="AC1418" s="1" t="str">
        <f aca="false">IF(O1418=0,"No Discount",IF(O1418&lt;=15,"Low (1-15%)",IF(O1418&lt;=30,"Medium (16-30%)","High (&gt;30%)")))</f>
        <v>High (&gt;30%)</v>
      </c>
      <c r="AD1418" s="1" t="str">
        <f aca="false">IF(V1418&lt;0,"Loss Making",IF(V1418&lt;20,"Low Margin","Healthy Margin"))</f>
        <v>Healthy Margin</v>
      </c>
      <c r="AE1418" s="1" t="str">
        <f aca="false">TEXT(DATE(VALUE(RIGHT(B1418,4)),VALUE(MID(B1418,4,2)),VALUE(LEFT(B1418,2))),"MMM-YYYY")</f>
        <v>Jun-2023</v>
      </c>
      <c r="AF1418" s="1" t="n">
        <f aca="false">VALUE(RIGHT(B1418,4))</f>
        <v>2023</v>
      </c>
      <c r="AG1418" s="1" t="str">
        <f aca="false">CHOOSE(ROUNDUP(VALUE(MID(B1418,4,2))/3,0),"Q1","Q2","Q3","Q4")</f>
        <v>Q2</v>
      </c>
    </row>
    <row r="1419" customFormat="false" ht="15" hidden="false" customHeight="true" outlineLevel="0" collapsed="false">
      <c r="A1419" s="1" t="s">
        <v>2214</v>
      </c>
      <c r="B1419" s="1" t="s">
        <v>1655</v>
      </c>
      <c r="C1419" s="1" t="s">
        <v>249</v>
      </c>
      <c r="D1419" s="1" t="s">
        <v>168</v>
      </c>
      <c r="E1419" s="1" t="s">
        <v>197</v>
      </c>
      <c r="F1419" s="1" t="s">
        <v>55</v>
      </c>
      <c r="G1419" s="1" t="s">
        <v>56</v>
      </c>
      <c r="H1419" s="1" t="s">
        <v>57</v>
      </c>
      <c r="I1419" s="1" t="s">
        <v>34</v>
      </c>
      <c r="J1419" s="1" t="s">
        <v>70</v>
      </c>
      <c r="K1419" s="1" t="s">
        <v>60</v>
      </c>
      <c r="L1419" s="1" t="s">
        <v>136</v>
      </c>
      <c r="M1419" s="1" t="s">
        <v>38</v>
      </c>
      <c r="N1419" s="1" t="n">
        <v>8499</v>
      </c>
      <c r="O1419" s="1" t="n">
        <v>30</v>
      </c>
      <c r="P1419" s="1" t="n">
        <v>2549.7</v>
      </c>
      <c r="Q1419" s="1" t="n">
        <v>5949.3</v>
      </c>
      <c r="R1419" s="1" t="n">
        <v>1070.87</v>
      </c>
      <c r="S1419" s="1" t="n">
        <v>4878.43</v>
      </c>
      <c r="T1419" s="1" t="n">
        <v>2070.33</v>
      </c>
      <c r="U1419" s="1" t="n">
        <v>2808.1</v>
      </c>
      <c r="V1419" s="1" t="n">
        <v>57.56</v>
      </c>
      <c r="W1419" s="1" t="s">
        <v>39</v>
      </c>
      <c r="X1419" s="1" t="n">
        <v>3.4</v>
      </c>
      <c r="Y1419" s="1" t="s">
        <v>40</v>
      </c>
      <c r="Z1419" s="1" t="n">
        <v>0</v>
      </c>
      <c r="AA1419" s="1" t="str">
        <f aca="false">TRIM(PROPER(F1419))</f>
        <v>Ghaziabad</v>
      </c>
      <c r="AB1419" s="1" t="str">
        <f aca="false">TRIM(PROPER(C1419))</f>
        <v>Whitehat Jr</v>
      </c>
      <c r="AC1419" s="1" t="str">
        <f aca="false">IF(O1419=0,"No Discount",IF(O1419&lt;=15,"Low (1-15%)",IF(O1419&lt;=30,"Medium (16-30%)","High (&gt;30%)")))</f>
        <v>Medium (16-30%)</v>
      </c>
      <c r="AD1419" s="1" t="str">
        <f aca="false">IF(V1419&lt;0,"Loss Making",IF(V1419&lt;20,"Low Margin","Healthy Margin"))</f>
        <v>Healthy Margin</v>
      </c>
      <c r="AE1419" s="1" t="str">
        <f aca="false">TEXT(DATE(VALUE(RIGHT(B1419,4)),VALUE(MID(B1419,4,2)),VALUE(LEFT(B1419,2))),"MMM-YYYY")</f>
        <v>Sep-2024</v>
      </c>
      <c r="AF1419" s="1" t="n">
        <f aca="false">VALUE(RIGHT(B1419,4))</f>
        <v>2024</v>
      </c>
      <c r="AG1419" s="1" t="str">
        <f aca="false">CHOOSE(ROUNDUP(VALUE(MID(B1419,4,2))/3,0),"Q1","Q2","Q3","Q4")</f>
        <v>Q3</v>
      </c>
    </row>
    <row r="1420" customFormat="false" ht="15" hidden="false" customHeight="true" outlineLevel="0" collapsed="false">
      <c r="A1420" s="1" t="s">
        <v>2215</v>
      </c>
      <c r="B1420" s="1" t="s">
        <v>2033</v>
      </c>
      <c r="C1420" s="1" t="s">
        <v>128</v>
      </c>
      <c r="D1420" s="1" t="s">
        <v>29</v>
      </c>
      <c r="E1420" s="1" t="s">
        <v>129</v>
      </c>
      <c r="F1420" s="1" t="s">
        <v>211</v>
      </c>
      <c r="G1420" s="1" t="s">
        <v>56</v>
      </c>
      <c r="H1420" s="1" t="s">
        <v>69</v>
      </c>
      <c r="I1420" s="1" t="s">
        <v>34</v>
      </c>
      <c r="J1420" s="1" t="s">
        <v>35</v>
      </c>
      <c r="K1420" s="1" t="s">
        <v>71</v>
      </c>
      <c r="L1420" s="1" t="s">
        <v>136</v>
      </c>
      <c r="M1420" s="1" t="s">
        <v>50</v>
      </c>
      <c r="N1420" s="1" t="n">
        <v>29999</v>
      </c>
      <c r="O1420" s="1" t="n">
        <v>50</v>
      </c>
      <c r="P1420" s="1" t="n">
        <v>14999.5</v>
      </c>
      <c r="Q1420" s="1" t="n">
        <v>14999.5</v>
      </c>
      <c r="R1420" s="1" t="n">
        <v>2699.91</v>
      </c>
      <c r="S1420" s="1" t="n">
        <v>12299.59</v>
      </c>
      <c r="T1420" s="1" t="n">
        <v>6936.89</v>
      </c>
      <c r="U1420" s="1" t="n">
        <v>5362.7</v>
      </c>
      <c r="V1420" s="1" t="n">
        <v>43.6</v>
      </c>
      <c r="W1420" s="1" t="s">
        <v>39</v>
      </c>
      <c r="X1420" s="1" t="n">
        <v>4.5</v>
      </c>
      <c r="Y1420" s="1" t="s">
        <v>40</v>
      </c>
      <c r="Z1420" s="1" t="n">
        <v>0</v>
      </c>
      <c r="AA1420" s="1" t="str">
        <f aca="false">TRIM(PROPER(F1420))</f>
        <v>Noida</v>
      </c>
      <c r="AB1420" s="1" t="str">
        <f aca="false">TRIM(PROPER(C1420))</f>
        <v>Great Learning</v>
      </c>
      <c r="AC1420" s="1" t="str">
        <f aca="false">IF(O1420=0,"No Discount",IF(O1420&lt;=15,"Low (1-15%)",IF(O1420&lt;=30,"Medium (16-30%)","High (&gt;30%)")))</f>
        <v>High (&gt;30%)</v>
      </c>
      <c r="AD1420" s="1" t="str">
        <f aca="false">IF(V1420&lt;0,"Loss Making",IF(V1420&lt;20,"Low Margin","Healthy Margin"))</f>
        <v>Healthy Margin</v>
      </c>
      <c r="AE1420" s="1" t="str">
        <f aca="false">TEXT(DATE(VALUE(RIGHT(B1420,4)),VALUE(MID(B1420,4,2)),VALUE(LEFT(B1420,2))),"MMM-YYYY")</f>
        <v>Jul-2023</v>
      </c>
      <c r="AF1420" s="1" t="n">
        <f aca="false">VALUE(RIGHT(B1420,4))</f>
        <v>2023</v>
      </c>
      <c r="AG1420" s="1" t="str">
        <f aca="false">CHOOSE(ROUNDUP(VALUE(MID(B1420,4,2))/3,0),"Q1","Q2","Q3","Q4")</f>
        <v>Q3</v>
      </c>
    </row>
    <row r="1421" customFormat="false" ht="15" hidden="false" customHeight="true" outlineLevel="0" collapsed="false">
      <c r="A1421" s="1" t="s">
        <v>2216</v>
      </c>
      <c r="B1421" s="1" t="s">
        <v>1318</v>
      </c>
      <c r="C1421" s="1" t="s">
        <v>134</v>
      </c>
      <c r="D1421" s="1" t="s">
        <v>94</v>
      </c>
      <c r="E1421" s="1" t="s">
        <v>101</v>
      </c>
      <c r="F1421" s="1" t="s">
        <v>194</v>
      </c>
      <c r="G1421" s="1" t="s">
        <v>103</v>
      </c>
      <c r="H1421" s="1" t="s">
        <v>69</v>
      </c>
      <c r="I1421" s="1" t="s">
        <v>34</v>
      </c>
      <c r="J1421" s="1" t="s">
        <v>131</v>
      </c>
      <c r="K1421" s="1" t="s">
        <v>84</v>
      </c>
      <c r="L1421" s="1" t="s">
        <v>37</v>
      </c>
      <c r="M1421" s="1" t="s">
        <v>62</v>
      </c>
      <c r="N1421" s="1" t="n">
        <v>14999</v>
      </c>
      <c r="O1421" s="1" t="n">
        <v>5</v>
      </c>
      <c r="P1421" s="1" t="n">
        <v>749.95</v>
      </c>
      <c r="Q1421" s="1" t="n">
        <v>14249.05</v>
      </c>
      <c r="R1421" s="1" t="n">
        <v>2564.83</v>
      </c>
      <c r="S1421" s="1" t="n">
        <v>11684.22</v>
      </c>
      <c r="T1421" s="1" t="n">
        <v>3053.19</v>
      </c>
      <c r="U1421" s="1" t="n">
        <v>8631.03</v>
      </c>
      <c r="V1421" s="1" t="n">
        <v>73.87</v>
      </c>
      <c r="W1421" s="1" t="s">
        <v>40</v>
      </c>
      <c r="Y1421" s="1" t="s">
        <v>40</v>
      </c>
      <c r="Z1421" s="1" t="n">
        <v>1</v>
      </c>
      <c r="AA1421" s="1" t="str">
        <f aca="false">TRIM(PROPER(F1421))</f>
        <v>Hyderabad</v>
      </c>
      <c r="AB1421" s="1" t="str">
        <f aca="false">TRIM(PROPER(C1421))</f>
        <v>Doubtnut</v>
      </c>
      <c r="AC1421" s="1" t="str">
        <f aca="false">IF(O1421=0,"No Discount",IF(O1421&lt;=15,"Low (1-15%)",IF(O1421&lt;=30,"Medium (16-30%)","High (&gt;30%)")))</f>
        <v>Low (1-15%)</v>
      </c>
      <c r="AD1421" s="1" t="str">
        <f aca="false">IF(V1421&lt;0,"Loss Making",IF(V1421&lt;20,"Low Margin","Healthy Margin"))</f>
        <v>Healthy Margin</v>
      </c>
      <c r="AE1421" s="1" t="str">
        <f aca="false">TEXT(DATE(VALUE(RIGHT(B1421,4)),VALUE(MID(B1421,4,2)),VALUE(LEFT(B1421,2))),"MMM-YYYY")</f>
        <v>Mar-2024</v>
      </c>
      <c r="AF1421" s="1" t="n">
        <f aca="false">VALUE(RIGHT(B1421,4))</f>
        <v>2024</v>
      </c>
      <c r="AG1421" s="1" t="str">
        <f aca="false">CHOOSE(ROUNDUP(VALUE(MID(B1421,4,2))/3,0),"Q1","Q2","Q3","Q4")</f>
        <v>Q1</v>
      </c>
    </row>
    <row r="1422" customFormat="false" ht="15" hidden="false" customHeight="true" outlineLevel="0" collapsed="false">
      <c r="A1422" s="1" t="s">
        <v>2217</v>
      </c>
      <c r="B1422" s="1" t="s">
        <v>1034</v>
      </c>
      <c r="C1422" s="1" t="s">
        <v>128</v>
      </c>
      <c r="D1422" s="1" t="s">
        <v>29</v>
      </c>
      <c r="E1422" s="1" t="s">
        <v>30</v>
      </c>
      <c r="F1422" s="1" t="s">
        <v>96</v>
      </c>
      <c r="G1422" s="1" t="s">
        <v>97</v>
      </c>
      <c r="H1422" s="1" t="s">
        <v>69</v>
      </c>
      <c r="I1422" s="1" t="s">
        <v>83</v>
      </c>
      <c r="J1422" s="1" t="s">
        <v>59</v>
      </c>
      <c r="K1422" s="1" t="s">
        <v>90</v>
      </c>
      <c r="L1422" s="1" t="s">
        <v>49</v>
      </c>
      <c r="M1422" s="1" t="s">
        <v>62</v>
      </c>
      <c r="N1422" s="1" t="n">
        <v>7999</v>
      </c>
      <c r="O1422" s="1" t="n">
        <v>15</v>
      </c>
      <c r="P1422" s="1" t="n">
        <v>1199.85</v>
      </c>
      <c r="Q1422" s="1" t="n">
        <v>6799.15</v>
      </c>
      <c r="R1422" s="1" t="n">
        <v>1223.85</v>
      </c>
      <c r="S1422" s="1" t="n">
        <v>5575.3</v>
      </c>
      <c r="T1422" s="1" t="n">
        <v>1958.77</v>
      </c>
      <c r="U1422" s="1" t="n">
        <v>3616.53</v>
      </c>
      <c r="V1422" s="1" t="n">
        <v>64.87</v>
      </c>
      <c r="W1422" s="1" t="s">
        <v>40</v>
      </c>
      <c r="Y1422" s="1" t="s">
        <v>39</v>
      </c>
      <c r="Z1422" s="1" t="n">
        <v>2</v>
      </c>
      <c r="AA1422" s="1" t="str">
        <f aca="false">TRIM(PROPER(F1422))</f>
        <v>Pune</v>
      </c>
      <c r="AB1422" s="1" t="str">
        <f aca="false">TRIM(PROPER(C1422))</f>
        <v>Great Learning</v>
      </c>
      <c r="AC1422" s="1" t="str">
        <f aca="false">IF(O1422=0,"No Discount",IF(O1422&lt;=15,"Low (1-15%)",IF(O1422&lt;=30,"Medium (16-30%)","High (&gt;30%)")))</f>
        <v>Low (1-15%)</v>
      </c>
      <c r="AD1422" s="1" t="str">
        <f aca="false">IF(V1422&lt;0,"Loss Making",IF(V1422&lt;20,"Low Margin","Healthy Margin"))</f>
        <v>Healthy Margin</v>
      </c>
      <c r="AE1422" s="1" t="str">
        <f aca="false">TEXT(DATE(VALUE(RIGHT(B1422,4)),VALUE(MID(B1422,4,2)),VALUE(LEFT(B1422,2))),"MMM-YYYY")</f>
        <v>Dec-2024</v>
      </c>
      <c r="AF1422" s="1" t="n">
        <f aca="false">VALUE(RIGHT(B1422,4))</f>
        <v>2024</v>
      </c>
      <c r="AG1422" s="1" t="str">
        <f aca="false">CHOOSE(ROUNDUP(VALUE(MID(B1422,4,2))/3,0),"Q1","Q2","Q3","Q4")</f>
        <v>Q4</v>
      </c>
    </row>
    <row r="1423" customFormat="false" ht="15" hidden="false" customHeight="true" outlineLevel="0" collapsed="false">
      <c r="A1423" s="1" t="s">
        <v>2218</v>
      </c>
      <c r="B1423" s="1" t="s">
        <v>1727</v>
      </c>
      <c r="C1423" s="1" t="s">
        <v>65</v>
      </c>
      <c r="D1423" s="1" t="s">
        <v>123</v>
      </c>
      <c r="E1423" s="1" t="s">
        <v>124</v>
      </c>
      <c r="F1423" s="1" t="s">
        <v>82</v>
      </c>
      <c r="G1423" s="1" t="s">
        <v>56</v>
      </c>
      <c r="H1423" s="1" t="s">
        <v>69</v>
      </c>
      <c r="I1423" s="1" t="s">
        <v>34</v>
      </c>
      <c r="J1423" s="1" t="s">
        <v>35</v>
      </c>
      <c r="K1423" s="1" t="s">
        <v>60</v>
      </c>
      <c r="L1423" s="1" t="s">
        <v>136</v>
      </c>
      <c r="M1423" s="1" t="s">
        <v>38</v>
      </c>
      <c r="N1423" s="1" t="n">
        <v>4999</v>
      </c>
      <c r="O1423" s="1" t="n">
        <v>40</v>
      </c>
      <c r="P1423" s="1" t="n">
        <v>1999.6</v>
      </c>
      <c r="Q1423" s="1" t="n">
        <v>2999.4</v>
      </c>
      <c r="R1423" s="1" t="n">
        <v>539.89</v>
      </c>
      <c r="S1423" s="1" t="n">
        <v>2459.51</v>
      </c>
      <c r="T1423" s="1" t="n">
        <v>1308.1</v>
      </c>
      <c r="U1423" s="1" t="n">
        <v>1151.41</v>
      </c>
      <c r="V1423" s="1" t="n">
        <v>46.81</v>
      </c>
      <c r="W1423" s="1" t="s">
        <v>39</v>
      </c>
      <c r="X1423" s="1" t="n">
        <v>4.2</v>
      </c>
      <c r="Y1423" s="1" t="s">
        <v>40</v>
      </c>
      <c r="Z1423" s="1" t="n">
        <v>0</v>
      </c>
      <c r="AA1423" s="1" t="str">
        <f aca="false">TRIM(PROPER(F1423))</f>
        <v>Gurugram</v>
      </c>
      <c r="AB1423" s="1" t="str">
        <f aca="false">TRIM(PROPER(C1423))</f>
        <v>Toppr</v>
      </c>
      <c r="AC1423" s="1" t="str">
        <f aca="false">IF(O1423=0,"No Discount",IF(O1423&lt;=15,"Low (1-15%)",IF(O1423&lt;=30,"Medium (16-30%)","High (&gt;30%)")))</f>
        <v>High (&gt;30%)</v>
      </c>
      <c r="AD1423" s="1" t="str">
        <f aca="false">IF(V1423&lt;0,"Loss Making",IF(V1423&lt;20,"Low Margin","Healthy Margin"))</f>
        <v>Healthy Margin</v>
      </c>
      <c r="AE1423" s="1" t="str">
        <f aca="false">TEXT(DATE(VALUE(RIGHT(B1423,4)),VALUE(MID(B1423,4,2)),VALUE(LEFT(B1423,2))),"MMM-YYYY")</f>
        <v>Jun-2024</v>
      </c>
      <c r="AF1423" s="1" t="n">
        <f aca="false">VALUE(RIGHT(B1423,4))</f>
        <v>2024</v>
      </c>
      <c r="AG1423" s="1" t="str">
        <f aca="false">CHOOSE(ROUNDUP(VALUE(MID(B1423,4,2))/3,0),"Q1","Q2","Q3","Q4")</f>
        <v>Q2</v>
      </c>
    </row>
    <row r="1424" customFormat="false" ht="15" hidden="false" customHeight="true" outlineLevel="0" collapsed="false">
      <c r="A1424" s="1" t="s">
        <v>2219</v>
      </c>
      <c r="B1424" s="1" t="s">
        <v>259</v>
      </c>
      <c r="C1424" s="1" t="s">
        <v>43</v>
      </c>
      <c r="D1424" s="1" t="s">
        <v>29</v>
      </c>
      <c r="E1424" s="1" t="s">
        <v>30</v>
      </c>
      <c r="F1424" s="1" t="s">
        <v>194</v>
      </c>
      <c r="G1424" s="1" t="s">
        <v>103</v>
      </c>
      <c r="H1424" s="1" t="s">
        <v>69</v>
      </c>
      <c r="I1424" s="1" t="s">
        <v>34</v>
      </c>
      <c r="J1424" s="1" t="s">
        <v>131</v>
      </c>
      <c r="K1424" s="1" t="s">
        <v>48</v>
      </c>
      <c r="L1424" s="1" t="s">
        <v>113</v>
      </c>
      <c r="M1424" s="1" t="s">
        <v>50</v>
      </c>
      <c r="N1424" s="1" t="n">
        <v>7999</v>
      </c>
      <c r="O1424" s="1" t="n">
        <v>30</v>
      </c>
      <c r="P1424" s="1" t="n">
        <v>2399.7</v>
      </c>
      <c r="Q1424" s="1" t="n">
        <v>5599.3</v>
      </c>
      <c r="R1424" s="1" t="n">
        <v>1007.87</v>
      </c>
      <c r="S1424" s="1" t="n">
        <v>4591.43</v>
      </c>
      <c r="T1424" s="1" t="n">
        <v>1338.08</v>
      </c>
      <c r="U1424" s="1" t="n">
        <v>3253.35</v>
      </c>
      <c r="V1424" s="1" t="n">
        <v>70.86</v>
      </c>
      <c r="W1424" s="1" t="s">
        <v>39</v>
      </c>
      <c r="X1424" s="1" t="n">
        <v>2.9</v>
      </c>
      <c r="Y1424" s="1" t="s">
        <v>40</v>
      </c>
      <c r="Z1424" s="1" t="n">
        <v>2</v>
      </c>
      <c r="AA1424" s="1" t="str">
        <f aca="false">TRIM(PROPER(F1424))</f>
        <v>Hyderabad</v>
      </c>
      <c r="AB1424" s="1" t="str">
        <f aca="false">TRIM(PROPER(C1424))</f>
        <v>Meritnation</v>
      </c>
      <c r="AC1424" s="1" t="str">
        <f aca="false">IF(O1424=0,"No Discount",IF(O1424&lt;=15,"Low (1-15%)",IF(O1424&lt;=30,"Medium (16-30%)","High (&gt;30%)")))</f>
        <v>Medium (16-30%)</v>
      </c>
      <c r="AD1424" s="1" t="str">
        <f aca="false">IF(V1424&lt;0,"Loss Making",IF(V1424&lt;20,"Low Margin","Healthy Margin"))</f>
        <v>Healthy Margin</v>
      </c>
      <c r="AE1424" s="1" t="str">
        <f aca="false">TEXT(DATE(VALUE(RIGHT(B1424,4)),VALUE(MID(B1424,4,2)),VALUE(LEFT(B1424,2))),"MMM-YYYY")</f>
        <v>Dec-2024</v>
      </c>
      <c r="AF1424" s="1" t="n">
        <f aca="false">VALUE(RIGHT(B1424,4))</f>
        <v>2024</v>
      </c>
      <c r="AG1424" s="1" t="str">
        <f aca="false">CHOOSE(ROUNDUP(VALUE(MID(B1424,4,2))/3,0),"Q1","Q2","Q3","Q4")</f>
        <v>Q4</v>
      </c>
    </row>
    <row r="1425" customFormat="false" ht="15" hidden="false" customHeight="true" outlineLevel="0" collapsed="false">
      <c r="A1425" s="1" t="s">
        <v>2220</v>
      </c>
      <c r="B1425" s="1" t="s">
        <v>1488</v>
      </c>
      <c r="C1425" s="1" t="s">
        <v>139</v>
      </c>
      <c r="D1425" s="1" t="s">
        <v>94</v>
      </c>
      <c r="E1425" s="1" t="s">
        <v>135</v>
      </c>
      <c r="F1425" s="1" t="s">
        <v>184</v>
      </c>
      <c r="G1425" s="1" t="s">
        <v>56</v>
      </c>
      <c r="H1425" s="1" t="s">
        <v>57</v>
      </c>
      <c r="I1425" s="1" t="s">
        <v>58</v>
      </c>
      <c r="J1425" s="1" t="s">
        <v>131</v>
      </c>
      <c r="K1425" s="1" t="s">
        <v>104</v>
      </c>
      <c r="L1425" s="1" t="s">
        <v>61</v>
      </c>
      <c r="M1425" s="1" t="s">
        <v>50</v>
      </c>
      <c r="N1425" s="1" t="n">
        <v>9999</v>
      </c>
      <c r="O1425" s="1" t="n">
        <v>40</v>
      </c>
      <c r="P1425" s="1" t="n">
        <v>3999.6</v>
      </c>
      <c r="Q1425" s="1" t="n">
        <v>5999.4</v>
      </c>
      <c r="R1425" s="1" t="n">
        <v>1079.89</v>
      </c>
      <c r="S1425" s="1" t="n">
        <v>4919.51</v>
      </c>
      <c r="T1425" s="1" t="n">
        <v>2693.13</v>
      </c>
      <c r="U1425" s="1" t="n">
        <v>2226.38</v>
      </c>
      <c r="V1425" s="1" t="n">
        <v>45.26</v>
      </c>
      <c r="W1425" s="1" t="s">
        <v>40</v>
      </c>
      <c r="Y1425" s="1" t="s">
        <v>40</v>
      </c>
      <c r="Z1425" s="1" t="n">
        <v>0</v>
      </c>
      <c r="AA1425" s="1" t="str">
        <f aca="false">TRIM(PROPER(F1425))</f>
        <v>Faridabad</v>
      </c>
      <c r="AB1425" s="1" t="str">
        <f aca="false">TRIM(PROPER(C1425))</f>
        <v>Extramarks</v>
      </c>
      <c r="AC1425" s="1" t="str">
        <f aca="false">IF(O1425=0,"No Discount",IF(O1425&lt;=15,"Low (1-15%)",IF(O1425&lt;=30,"Medium (16-30%)","High (&gt;30%)")))</f>
        <v>High (&gt;30%)</v>
      </c>
      <c r="AD1425" s="1" t="str">
        <f aca="false">IF(V1425&lt;0,"Loss Making",IF(V1425&lt;20,"Low Margin","Healthy Margin"))</f>
        <v>Healthy Margin</v>
      </c>
      <c r="AE1425" s="1" t="str">
        <f aca="false">TEXT(DATE(VALUE(RIGHT(B1425,4)),VALUE(MID(B1425,4,2)),VALUE(LEFT(B1425,2))),"MMM-YYYY")</f>
        <v>Jun-2024</v>
      </c>
      <c r="AF1425" s="1" t="n">
        <f aca="false">VALUE(RIGHT(B1425,4))</f>
        <v>2024</v>
      </c>
      <c r="AG1425" s="1" t="str">
        <f aca="false">CHOOSE(ROUNDUP(VALUE(MID(B1425,4,2))/3,0),"Q1","Q2","Q3","Q4")</f>
        <v>Q2</v>
      </c>
    </row>
    <row r="1426" customFormat="false" ht="15" hidden="false" customHeight="true" outlineLevel="0" collapsed="false">
      <c r="A1426" s="1" t="s">
        <v>2221</v>
      </c>
      <c r="B1426" s="1" t="s">
        <v>415</v>
      </c>
      <c r="C1426" s="1" t="s">
        <v>65</v>
      </c>
      <c r="D1426" s="1" t="s">
        <v>143</v>
      </c>
      <c r="E1426" s="1" t="s">
        <v>210</v>
      </c>
      <c r="F1426" s="1" t="s">
        <v>125</v>
      </c>
      <c r="G1426" s="1" t="s">
        <v>108</v>
      </c>
      <c r="H1426" s="1" t="s">
        <v>69</v>
      </c>
      <c r="I1426" s="1" t="s">
        <v>83</v>
      </c>
      <c r="J1426" s="1" t="s">
        <v>59</v>
      </c>
      <c r="K1426" s="1" t="s">
        <v>48</v>
      </c>
      <c r="L1426" s="1" t="s">
        <v>61</v>
      </c>
      <c r="M1426" s="1" t="s">
        <v>50</v>
      </c>
      <c r="N1426" s="1" t="n">
        <v>18999</v>
      </c>
      <c r="O1426" s="1" t="n">
        <v>10</v>
      </c>
      <c r="P1426" s="1" t="n">
        <v>1899.9</v>
      </c>
      <c r="Q1426" s="1" t="n">
        <v>17099.1</v>
      </c>
      <c r="R1426" s="1" t="n">
        <v>3077.84</v>
      </c>
      <c r="S1426" s="1" t="n">
        <v>14021.26</v>
      </c>
      <c r="T1426" s="1" t="n">
        <v>4882.1</v>
      </c>
      <c r="U1426" s="1" t="n">
        <v>9139.16</v>
      </c>
      <c r="V1426" s="1" t="n">
        <v>65.18</v>
      </c>
      <c r="W1426" s="1" t="s">
        <v>39</v>
      </c>
      <c r="X1426" s="1" t="n">
        <v>3.5</v>
      </c>
      <c r="Y1426" s="1" t="s">
        <v>40</v>
      </c>
      <c r="Z1426" s="1" t="n">
        <v>1</v>
      </c>
      <c r="AA1426" s="1" t="str">
        <f aca="false">TRIM(PROPER(F1426))</f>
        <v>Chennai</v>
      </c>
      <c r="AB1426" s="1" t="str">
        <f aca="false">TRIM(PROPER(C1426))</f>
        <v>Toppr</v>
      </c>
      <c r="AC1426" s="1" t="str">
        <f aca="false">IF(O1426=0,"No Discount",IF(O1426&lt;=15,"Low (1-15%)",IF(O1426&lt;=30,"Medium (16-30%)","High (&gt;30%)")))</f>
        <v>Low (1-15%)</v>
      </c>
      <c r="AD1426" s="1" t="str">
        <f aca="false">IF(V1426&lt;0,"Loss Making",IF(V1426&lt;20,"Low Margin","Healthy Margin"))</f>
        <v>Healthy Margin</v>
      </c>
      <c r="AE1426" s="1" t="str">
        <f aca="false">TEXT(DATE(VALUE(RIGHT(B1426,4)),VALUE(MID(B1426,4,2)),VALUE(LEFT(B1426,2))),"MMM-YYYY")</f>
        <v>Aug-2023</v>
      </c>
      <c r="AF1426" s="1" t="n">
        <f aca="false">VALUE(RIGHT(B1426,4))</f>
        <v>2023</v>
      </c>
      <c r="AG1426" s="1" t="str">
        <f aca="false">CHOOSE(ROUNDUP(VALUE(MID(B1426,4,2))/3,0),"Q1","Q2","Q3","Q4")</f>
        <v>Q3</v>
      </c>
    </row>
    <row r="1427" customFormat="false" ht="15" hidden="false" customHeight="true" outlineLevel="0" collapsed="false">
      <c r="A1427" s="1" t="s">
        <v>2222</v>
      </c>
      <c r="B1427" s="1" t="s">
        <v>764</v>
      </c>
      <c r="C1427" s="1" t="s">
        <v>74</v>
      </c>
      <c r="D1427" s="1" t="s">
        <v>80</v>
      </c>
      <c r="E1427" s="1" t="s">
        <v>190</v>
      </c>
      <c r="F1427" s="1" t="s">
        <v>107</v>
      </c>
      <c r="G1427" s="1" t="s">
        <v>108</v>
      </c>
      <c r="H1427" s="1" t="s">
        <v>33</v>
      </c>
      <c r="I1427" s="1" t="s">
        <v>34</v>
      </c>
      <c r="J1427" s="1" t="s">
        <v>70</v>
      </c>
      <c r="K1427" s="1" t="s">
        <v>112</v>
      </c>
      <c r="L1427" s="1" t="s">
        <v>49</v>
      </c>
      <c r="M1427" s="1" t="s">
        <v>62</v>
      </c>
      <c r="N1427" s="1" t="n">
        <v>15999</v>
      </c>
      <c r="O1427" s="1" t="n">
        <v>0</v>
      </c>
      <c r="P1427" s="1" t="n">
        <v>0</v>
      </c>
      <c r="Q1427" s="1" t="n">
        <v>15999</v>
      </c>
      <c r="R1427" s="1" t="n">
        <v>2879.82</v>
      </c>
      <c r="S1427" s="1" t="n">
        <v>13119.18</v>
      </c>
      <c r="T1427" s="1" t="n">
        <v>5807.22</v>
      </c>
      <c r="U1427" s="1" t="n">
        <v>7311.96</v>
      </c>
      <c r="V1427" s="1" t="n">
        <v>55.73</v>
      </c>
      <c r="W1427" s="1" t="s">
        <v>40</v>
      </c>
      <c r="Y1427" s="1" t="s">
        <v>40</v>
      </c>
      <c r="Z1427" s="1" t="n">
        <v>0</v>
      </c>
      <c r="AA1427" s="1" t="str">
        <f aca="false">TRIM(PROPER(F1427))</f>
        <v>Madurai</v>
      </c>
      <c r="AB1427" s="1" t="str">
        <f aca="false">TRIM(PROPER(C1427))</f>
        <v>Vedantu</v>
      </c>
      <c r="AC1427" s="1" t="str">
        <f aca="false">IF(O1427=0,"No Discount",IF(O1427&lt;=15,"Low (1-15%)",IF(O1427&lt;=30,"Medium (16-30%)","High (&gt;30%)")))</f>
        <v>No Discount</v>
      </c>
      <c r="AD1427" s="1" t="str">
        <f aca="false">IF(V1427&lt;0,"Loss Making",IF(V1427&lt;20,"Low Margin","Healthy Margin"))</f>
        <v>Healthy Margin</v>
      </c>
      <c r="AE1427" s="1" t="str">
        <f aca="false">TEXT(DATE(VALUE(RIGHT(B1427,4)),VALUE(MID(B1427,4,2)),VALUE(LEFT(B1427,2))),"MMM-YYYY")</f>
        <v>Nov-2023</v>
      </c>
      <c r="AF1427" s="1" t="n">
        <f aca="false">VALUE(RIGHT(B1427,4))</f>
        <v>2023</v>
      </c>
      <c r="AG1427" s="1" t="str">
        <f aca="false">CHOOSE(ROUNDUP(VALUE(MID(B1427,4,2))/3,0),"Q1","Q2","Q3","Q4")</f>
        <v>Q4</v>
      </c>
    </row>
    <row r="1428" customFormat="false" ht="15" hidden="false" customHeight="true" outlineLevel="0" collapsed="false">
      <c r="A1428" s="1" t="s">
        <v>2223</v>
      </c>
      <c r="B1428" s="1" t="s">
        <v>1979</v>
      </c>
      <c r="C1428" s="1" t="s">
        <v>88</v>
      </c>
      <c r="D1428" s="1" t="s">
        <v>123</v>
      </c>
      <c r="E1428" s="1" t="s">
        <v>124</v>
      </c>
      <c r="F1428" s="1" t="s">
        <v>89</v>
      </c>
      <c r="G1428" s="1" t="s">
        <v>68</v>
      </c>
      <c r="H1428" s="1" t="s">
        <v>33</v>
      </c>
      <c r="I1428" s="1" t="s">
        <v>83</v>
      </c>
      <c r="J1428" s="1" t="s">
        <v>77</v>
      </c>
      <c r="K1428" s="1" t="s">
        <v>36</v>
      </c>
      <c r="L1428" s="1" t="s">
        <v>37</v>
      </c>
      <c r="M1428" s="1" t="s">
        <v>38</v>
      </c>
      <c r="N1428" s="1" t="n">
        <v>4999</v>
      </c>
      <c r="O1428" s="1" t="n">
        <v>15</v>
      </c>
      <c r="P1428" s="1" t="n">
        <v>749.85</v>
      </c>
      <c r="Q1428" s="1" t="n">
        <v>4249.15</v>
      </c>
      <c r="R1428" s="1" t="n">
        <v>764.85</v>
      </c>
      <c r="S1428" s="1" t="n">
        <v>3484.3</v>
      </c>
      <c r="T1428" s="1" t="n">
        <v>1624.66</v>
      </c>
      <c r="U1428" s="1" t="n">
        <v>1859.64</v>
      </c>
      <c r="V1428" s="1" t="n">
        <v>53.37</v>
      </c>
      <c r="W1428" s="1" t="s">
        <v>39</v>
      </c>
      <c r="X1428" s="1" t="n">
        <v>3.9</v>
      </c>
      <c r="Y1428" s="1" t="s">
        <v>40</v>
      </c>
      <c r="Z1428" s="1" t="n">
        <v>2</v>
      </c>
      <c r="AA1428" s="1" t="str">
        <f aca="false">TRIM(PROPER(F1428))</f>
        <v>Vadodara</v>
      </c>
      <c r="AB1428" s="1" t="str">
        <f aca="false">TRIM(PROPER(C1428))</f>
        <v>Byju'S</v>
      </c>
      <c r="AC1428" s="1" t="str">
        <f aca="false">IF(O1428=0,"No Discount",IF(O1428&lt;=15,"Low (1-15%)",IF(O1428&lt;=30,"Medium (16-30%)","High (&gt;30%)")))</f>
        <v>Low (1-15%)</v>
      </c>
      <c r="AD1428" s="1" t="str">
        <f aca="false">IF(V1428&lt;0,"Loss Making",IF(V1428&lt;20,"Low Margin","Healthy Margin"))</f>
        <v>Healthy Margin</v>
      </c>
      <c r="AE1428" s="1" t="str">
        <f aca="false">TEXT(DATE(VALUE(RIGHT(B1428,4)),VALUE(MID(B1428,4,2)),VALUE(LEFT(B1428,2))),"MMM-YYYY")</f>
        <v>May-2024</v>
      </c>
      <c r="AF1428" s="1" t="n">
        <f aca="false">VALUE(RIGHT(B1428,4))</f>
        <v>2024</v>
      </c>
      <c r="AG1428" s="1" t="str">
        <f aca="false">CHOOSE(ROUNDUP(VALUE(MID(B1428,4,2))/3,0),"Q1","Q2","Q3","Q4")</f>
        <v>Q2</v>
      </c>
    </row>
    <row r="1429" customFormat="false" ht="15" hidden="false" customHeight="true" outlineLevel="0" collapsed="false">
      <c r="A1429" s="1" t="s">
        <v>2224</v>
      </c>
      <c r="B1429" s="1" t="s">
        <v>839</v>
      </c>
      <c r="C1429" s="1" t="s">
        <v>264</v>
      </c>
      <c r="D1429" s="1" t="s">
        <v>44</v>
      </c>
      <c r="E1429" s="1" t="s">
        <v>45</v>
      </c>
      <c r="F1429" s="1" t="s">
        <v>96</v>
      </c>
      <c r="G1429" s="1" t="s">
        <v>97</v>
      </c>
      <c r="H1429" s="1" t="s">
        <v>69</v>
      </c>
      <c r="I1429" s="1" t="s">
        <v>58</v>
      </c>
      <c r="J1429" s="1" t="s">
        <v>35</v>
      </c>
      <c r="K1429" s="1" t="s">
        <v>60</v>
      </c>
      <c r="L1429" s="1" t="s">
        <v>61</v>
      </c>
      <c r="M1429" s="1" t="s">
        <v>38</v>
      </c>
      <c r="N1429" s="1" t="n">
        <v>11999</v>
      </c>
      <c r="O1429" s="1" t="n">
        <v>0</v>
      </c>
      <c r="P1429" s="1" t="n">
        <v>0</v>
      </c>
      <c r="Q1429" s="1" t="n">
        <v>11999</v>
      </c>
      <c r="R1429" s="1" t="n">
        <v>2159.82</v>
      </c>
      <c r="S1429" s="1" t="n">
        <v>9839.18</v>
      </c>
      <c r="T1429" s="1" t="n">
        <v>2906.23</v>
      </c>
      <c r="U1429" s="1" t="n">
        <v>6932.95</v>
      </c>
      <c r="V1429" s="1" t="n">
        <v>70.46</v>
      </c>
      <c r="W1429" s="1" t="s">
        <v>39</v>
      </c>
      <c r="X1429" s="1" t="n">
        <v>4.4</v>
      </c>
      <c r="Y1429" s="1" t="s">
        <v>40</v>
      </c>
      <c r="Z1429" s="1" t="n">
        <v>0</v>
      </c>
      <c r="AA1429" s="1" t="str">
        <f aca="false">TRIM(PROPER(F1429))</f>
        <v>Pune</v>
      </c>
      <c r="AB1429" s="1" t="str">
        <f aca="false">TRIM(PROPER(C1429))</f>
        <v>Unacademy</v>
      </c>
      <c r="AC1429" s="1" t="str">
        <f aca="false">IF(O1429=0,"No Discount",IF(O1429&lt;=15,"Low (1-15%)",IF(O1429&lt;=30,"Medium (16-30%)","High (&gt;30%)")))</f>
        <v>No Discount</v>
      </c>
      <c r="AD1429" s="1" t="str">
        <f aca="false">IF(V1429&lt;0,"Loss Making",IF(V1429&lt;20,"Low Margin","Healthy Margin"))</f>
        <v>Healthy Margin</v>
      </c>
      <c r="AE1429" s="1" t="str">
        <f aca="false">TEXT(DATE(VALUE(RIGHT(B1429,4)),VALUE(MID(B1429,4,2)),VALUE(LEFT(B1429,2))),"MMM-YYYY")</f>
        <v>Dec-2023</v>
      </c>
      <c r="AF1429" s="1" t="n">
        <f aca="false">VALUE(RIGHT(B1429,4))</f>
        <v>2023</v>
      </c>
      <c r="AG1429" s="1" t="str">
        <f aca="false">CHOOSE(ROUNDUP(VALUE(MID(B1429,4,2))/3,0),"Q1","Q2","Q3","Q4")</f>
        <v>Q4</v>
      </c>
    </row>
    <row r="1430" customFormat="false" ht="15" hidden="false" customHeight="true" outlineLevel="0" collapsed="false">
      <c r="A1430" s="1" t="s">
        <v>2225</v>
      </c>
      <c r="B1430" s="1" t="s">
        <v>2226</v>
      </c>
      <c r="C1430" s="1" t="s">
        <v>100</v>
      </c>
      <c r="D1430" s="1" t="s">
        <v>94</v>
      </c>
      <c r="E1430" s="1" t="s">
        <v>135</v>
      </c>
      <c r="F1430" s="1" t="s">
        <v>244</v>
      </c>
      <c r="G1430" s="1" t="s">
        <v>97</v>
      </c>
      <c r="H1430" s="1" t="s">
        <v>57</v>
      </c>
      <c r="I1430" s="1" t="s">
        <v>58</v>
      </c>
      <c r="J1430" s="1" t="s">
        <v>131</v>
      </c>
      <c r="K1430" s="1" t="s">
        <v>60</v>
      </c>
      <c r="L1430" s="1" t="s">
        <v>85</v>
      </c>
      <c r="M1430" s="1" t="s">
        <v>50</v>
      </c>
      <c r="N1430" s="1" t="n">
        <v>9999</v>
      </c>
      <c r="O1430" s="1" t="n">
        <v>30</v>
      </c>
      <c r="P1430" s="1" t="n">
        <v>2999.7</v>
      </c>
      <c r="Q1430" s="1" t="n">
        <v>6999.3</v>
      </c>
      <c r="R1430" s="1" t="n">
        <v>1259.87</v>
      </c>
      <c r="S1430" s="1" t="n">
        <v>5739.43</v>
      </c>
      <c r="T1430" s="1" t="n">
        <v>2533.62</v>
      </c>
      <c r="U1430" s="1" t="n">
        <v>3205.81</v>
      </c>
      <c r="V1430" s="1" t="n">
        <v>55.86</v>
      </c>
      <c r="W1430" s="1" t="s">
        <v>39</v>
      </c>
      <c r="X1430" s="1" t="n">
        <v>2.8</v>
      </c>
      <c r="Y1430" s="1" t="s">
        <v>40</v>
      </c>
      <c r="Z1430" s="1" t="n">
        <v>0</v>
      </c>
      <c r="AA1430" s="1" t="str">
        <f aca="false">TRIM(PROPER(F1430))</f>
        <v>Nagpur</v>
      </c>
      <c r="AB1430" s="1" t="str">
        <f aca="false">TRIM(PROPER(C1430))</f>
        <v>Physics Wallah</v>
      </c>
      <c r="AC1430" s="1" t="str">
        <f aca="false">IF(O1430=0,"No Discount",IF(O1430&lt;=15,"Low (1-15%)",IF(O1430&lt;=30,"Medium (16-30%)","High (&gt;30%)")))</f>
        <v>Medium (16-30%)</v>
      </c>
      <c r="AD1430" s="1" t="str">
        <f aca="false">IF(V1430&lt;0,"Loss Making",IF(V1430&lt;20,"Low Margin","Healthy Margin"))</f>
        <v>Healthy Margin</v>
      </c>
      <c r="AE1430" s="1" t="str">
        <f aca="false">TEXT(DATE(VALUE(RIGHT(B1430,4)),VALUE(MID(B1430,4,2)),VALUE(LEFT(B1430,2))),"MMM-YYYY")</f>
        <v>Dec-2023</v>
      </c>
      <c r="AF1430" s="1" t="n">
        <f aca="false">VALUE(RIGHT(B1430,4))</f>
        <v>2023</v>
      </c>
      <c r="AG1430" s="1" t="str">
        <f aca="false">CHOOSE(ROUNDUP(VALUE(MID(B1430,4,2))/3,0),"Q1","Q2","Q3","Q4")</f>
        <v>Q4</v>
      </c>
    </row>
    <row r="1431" customFormat="false" ht="15" hidden="false" customHeight="true" outlineLevel="0" collapsed="false">
      <c r="A1431" s="1" t="s">
        <v>2227</v>
      </c>
      <c r="B1431" s="1" t="s">
        <v>675</v>
      </c>
      <c r="C1431" s="1" t="s">
        <v>139</v>
      </c>
      <c r="D1431" s="1" t="s">
        <v>29</v>
      </c>
      <c r="E1431" s="1" t="s">
        <v>30</v>
      </c>
      <c r="F1431" s="1" t="s">
        <v>244</v>
      </c>
      <c r="G1431" s="1" t="s">
        <v>97</v>
      </c>
      <c r="H1431" s="1" t="s">
        <v>57</v>
      </c>
      <c r="I1431" s="1" t="s">
        <v>58</v>
      </c>
      <c r="J1431" s="1" t="s">
        <v>70</v>
      </c>
      <c r="K1431" s="1" t="s">
        <v>60</v>
      </c>
      <c r="L1431" s="1" t="s">
        <v>113</v>
      </c>
      <c r="M1431" s="1" t="s">
        <v>38</v>
      </c>
      <c r="N1431" s="1" t="n">
        <v>7999</v>
      </c>
      <c r="O1431" s="1" t="n">
        <v>30</v>
      </c>
      <c r="P1431" s="1" t="n">
        <v>2399.7</v>
      </c>
      <c r="Q1431" s="1" t="n">
        <v>5599.3</v>
      </c>
      <c r="R1431" s="1" t="n">
        <v>1007.87</v>
      </c>
      <c r="S1431" s="1" t="n">
        <v>4591.43</v>
      </c>
      <c r="T1431" s="1" t="n">
        <v>1822.76</v>
      </c>
      <c r="U1431" s="1" t="n">
        <v>2768.67</v>
      </c>
      <c r="V1431" s="1" t="n">
        <v>60.3</v>
      </c>
      <c r="W1431" s="1" t="s">
        <v>39</v>
      </c>
      <c r="X1431" s="1" t="n">
        <v>4.6</v>
      </c>
      <c r="Y1431" s="1" t="s">
        <v>40</v>
      </c>
      <c r="Z1431" s="1" t="n">
        <v>1</v>
      </c>
      <c r="AA1431" s="1" t="str">
        <f aca="false">TRIM(PROPER(F1431))</f>
        <v>Nagpur</v>
      </c>
      <c r="AB1431" s="1" t="str">
        <f aca="false">TRIM(PROPER(C1431))</f>
        <v>Extramarks</v>
      </c>
      <c r="AC1431" s="1" t="str">
        <f aca="false">IF(O1431=0,"No Discount",IF(O1431&lt;=15,"Low (1-15%)",IF(O1431&lt;=30,"Medium (16-30%)","High (&gt;30%)")))</f>
        <v>Medium (16-30%)</v>
      </c>
      <c r="AD1431" s="1" t="str">
        <f aca="false">IF(V1431&lt;0,"Loss Making",IF(V1431&lt;20,"Low Margin","Healthy Margin"))</f>
        <v>Healthy Margin</v>
      </c>
      <c r="AE1431" s="1" t="str">
        <f aca="false">TEXT(DATE(VALUE(RIGHT(B1431,4)),VALUE(MID(B1431,4,2)),VALUE(LEFT(B1431,2))),"MMM-YYYY")</f>
        <v>Sep-2023</v>
      </c>
      <c r="AF1431" s="1" t="n">
        <f aca="false">VALUE(RIGHT(B1431,4))</f>
        <v>2023</v>
      </c>
      <c r="AG1431" s="1" t="str">
        <f aca="false">CHOOSE(ROUNDUP(VALUE(MID(B1431,4,2))/3,0),"Q1","Q2","Q3","Q4")</f>
        <v>Q3</v>
      </c>
    </row>
    <row r="1432" customFormat="false" ht="15" hidden="false" customHeight="true" outlineLevel="0" collapsed="false">
      <c r="A1432" s="1" t="s">
        <v>2228</v>
      </c>
      <c r="B1432" s="1" t="s">
        <v>284</v>
      </c>
      <c r="C1432" s="1" t="s">
        <v>128</v>
      </c>
      <c r="D1432" s="1" t="s">
        <v>44</v>
      </c>
      <c r="E1432" s="1" t="s">
        <v>66</v>
      </c>
      <c r="F1432" s="1" t="s">
        <v>31</v>
      </c>
      <c r="G1432" s="1" t="s">
        <v>32</v>
      </c>
      <c r="H1432" s="1" t="s">
        <v>33</v>
      </c>
      <c r="I1432" s="1" t="s">
        <v>58</v>
      </c>
      <c r="J1432" s="1" t="s">
        <v>131</v>
      </c>
      <c r="K1432" s="1" t="s">
        <v>104</v>
      </c>
      <c r="L1432" s="1" t="s">
        <v>61</v>
      </c>
      <c r="M1432" s="1" t="s">
        <v>50</v>
      </c>
      <c r="N1432" s="1" t="n">
        <v>12999</v>
      </c>
      <c r="O1432" s="1" t="n">
        <v>50</v>
      </c>
      <c r="P1432" s="1" t="n">
        <v>6499.5</v>
      </c>
      <c r="Q1432" s="1" t="n">
        <v>6499.5</v>
      </c>
      <c r="R1432" s="1" t="n">
        <v>1169.91</v>
      </c>
      <c r="S1432" s="1" t="n">
        <v>5329.59</v>
      </c>
      <c r="T1432" s="1" t="n">
        <v>3214.96</v>
      </c>
      <c r="U1432" s="1" t="n">
        <v>2114.63</v>
      </c>
      <c r="V1432" s="1" t="n">
        <v>39.68</v>
      </c>
      <c r="W1432" s="1" t="s">
        <v>40</v>
      </c>
      <c r="Y1432" s="1" t="s">
        <v>39</v>
      </c>
      <c r="Z1432" s="1" t="n">
        <v>2</v>
      </c>
      <c r="AA1432" s="1" t="str">
        <f aca="false">TRIM(PROPER(F1432))</f>
        <v>Jodhpur</v>
      </c>
      <c r="AB1432" s="1" t="str">
        <f aca="false">TRIM(PROPER(C1432))</f>
        <v>Great Learning</v>
      </c>
      <c r="AC1432" s="1" t="str">
        <f aca="false">IF(O1432=0,"No Discount",IF(O1432&lt;=15,"Low (1-15%)",IF(O1432&lt;=30,"Medium (16-30%)","High (&gt;30%)")))</f>
        <v>High (&gt;30%)</v>
      </c>
      <c r="AD1432" s="1" t="str">
        <f aca="false">IF(V1432&lt;0,"Loss Making",IF(V1432&lt;20,"Low Margin","Healthy Margin"))</f>
        <v>Healthy Margin</v>
      </c>
      <c r="AE1432" s="1" t="str">
        <f aca="false">TEXT(DATE(VALUE(RIGHT(B1432,4)),VALUE(MID(B1432,4,2)),VALUE(LEFT(B1432,2))),"MMM-YYYY")</f>
        <v>Oct-2024</v>
      </c>
      <c r="AF1432" s="1" t="n">
        <f aca="false">VALUE(RIGHT(B1432,4))</f>
        <v>2024</v>
      </c>
      <c r="AG1432" s="1" t="str">
        <f aca="false">CHOOSE(ROUNDUP(VALUE(MID(B1432,4,2))/3,0),"Q1","Q2","Q3","Q4")</f>
        <v>Q4</v>
      </c>
    </row>
    <row r="1433" customFormat="false" ht="15" hidden="false" customHeight="true" outlineLevel="0" collapsed="false">
      <c r="A1433" s="1" t="s">
        <v>2229</v>
      </c>
      <c r="B1433" s="1" t="s">
        <v>1327</v>
      </c>
      <c r="C1433" s="1" t="s">
        <v>88</v>
      </c>
      <c r="D1433" s="1" t="s">
        <v>123</v>
      </c>
      <c r="E1433" s="1" t="s">
        <v>233</v>
      </c>
      <c r="F1433" s="1" t="s">
        <v>89</v>
      </c>
      <c r="G1433" s="1" t="s">
        <v>68</v>
      </c>
      <c r="H1433" s="1" t="s">
        <v>33</v>
      </c>
      <c r="I1433" s="1" t="s">
        <v>83</v>
      </c>
      <c r="J1433" s="1" t="s">
        <v>77</v>
      </c>
      <c r="K1433" s="1" t="s">
        <v>84</v>
      </c>
      <c r="L1433" s="1" t="s">
        <v>49</v>
      </c>
      <c r="M1433" s="1" t="s">
        <v>62</v>
      </c>
      <c r="N1433" s="1" t="n">
        <v>8999</v>
      </c>
      <c r="O1433" s="1" t="n">
        <v>15</v>
      </c>
      <c r="P1433" s="1" t="n">
        <v>1349.85</v>
      </c>
      <c r="Q1433" s="1" t="n">
        <v>7649.15</v>
      </c>
      <c r="R1433" s="1" t="n">
        <v>1376.85</v>
      </c>
      <c r="S1433" s="1" t="n">
        <v>6272.3</v>
      </c>
      <c r="T1433" s="1" t="n">
        <v>2892.86</v>
      </c>
      <c r="U1433" s="1" t="n">
        <v>3379.44</v>
      </c>
      <c r="V1433" s="1" t="n">
        <v>53.88</v>
      </c>
      <c r="W1433" s="1" t="s">
        <v>40</v>
      </c>
      <c r="Y1433" s="1" t="s">
        <v>40</v>
      </c>
      <c r="Z1433" s="1" t="n">
        <v>0</v>
      </c>
      <c r="AA1433" s="1" t="str">
        <f aca="false">TRIM(PROPER(F1433))</f>
        <v>Vadodara</v>
      </c>
      <c r="AB1433" s="1" t="str">
        <f aca="false">TRIM(PROPER(C1433))</f>
        <v>Byju'S</v>
      </c>
      <c r="AC1433" s="1" t="str">
        <f aca="false">IF(O1433=0,"No Discount",IF(O1433&lt;=15,"Low (1-15%)",IF(O1433&lt;=30,"Medium (16-30%)","High (&gt;30%)")))</f>
        <v>Low (1-15%)</v>
      </c>
      <c r="AD1433" s="1" t="str">
        <f aca="false">IF(V1433&lt;0,"Loss Making",IF(V1433&lt;20,"Low Margin","Healthy Margin"))</f>
        <v>Healthy Margin</v>
      </c>
      <c r="AE1433" s="1" t="str">
        <f aca="false">TEXT(DATE(VALUE(RIGHT(B1433,4)),VALUE(MID(B1433,4,2)),VALUE(LEFT(B1433,2))),"MMM-YYYY")</f>
        <v>Nov-2023</v>
      </c>
      <c r="AF1433" s="1" t="n">
        <f aca="false">VALUE(RIGHT(B1433,4))</f>
        <v>2023</v>
      </c>
      <c r="AG1433" s="1" t="str">
        <f aca="false">CHOOSE(ROUNDUP(VALUE(MID(B1433,4,2))/3,0),"Q1","Q2","Q3","Q4")</f>
        <v>Q4</v>
      </c>
    </row>
    <row r="1434" customFormat="false" ht="15" hidden="false" customHeight="true" outlineLevel="0" collapsed="false">
      <c r="A1434" s="1" t="s">
        <v>2230</v>
      </c>
      <c r="B1434" s="1" t="s">
        <v>737</v>
      </c>
      <c r="C1434" s="1" t="s">
        <v>128</v>
      </c>
      <c r="D1434" s="1" t="s">
        <v>168</v>
      </c>
      <c r="E1434" s="1" t="s">
        <v>172</v>
      </c>
      <c r="F1434" s="1" t="s">
        <v>96</v>
      </c>
      <c r="G1434" s="1" t="s">
        <v>97</v>
      </c>
      <c r="H1434" s="1" t="s">
        <v>69</v>
      </c>
      <c r="I1434" s="1" t="s">
        <v>34</v>
      </c>
      <c r="J1434" s="1" t="s">
        <v>59</v>
      </c>
      <c r="K1434" s="1" t="s">
        <v>48</v>
      </c>
      <c r="L1434" s="1" t="s">
        <v>61</v>
      </c>
      <c r="M1434" s="1" t="s">
        <v>50</v>
      </c>
      <c r="N1434" s="1" t="n">
        <v>6999</v>
      </c>
      <c r="O1434" s="1" t="n">
        <v>5</v>
      </c>
      <c r="P1434" s="1" t="n">
        <v>349.95</v>
      </c>
      <c r="Q1434" s="1" t="n">
        <v>6649.05</v>
      </c>
      <c r="R1434" s="1" t="n">
        <v>1196.83</v>
      </c>
      <c r="S1434" s="1" t="n">
        <v>5452.22</v>
      </c>
      <c r="T1434" s="1" t="n">
        <v>2374.42</v>
      </c>
      <c r="U1434" s="1" t="n">
        <v>3077.8</v>
      </c>
      <c r="V1434" s="1" t="n">
        <v>56.45</v>
      </c>
      <c r="W1434" s="1" t="s">
        <v>40</v>
      </c>
      <c r="Y1434" s="1" t="s">
        <v>40</v>
      </c>
      <c r="Z1434" s="1" t="n">
        <v>2</v>
      </c>
      <c r="AA1434" s="1" t="str">
        <f aca="false">TRIM(PROPER(F1434))</f>
        <v>Pune</v>
      </c>
      <c r="AB1434" s="1" t="str">
        <f aca="false">TRIM(PROPER(C1434))</f>
        <v>Great Learning</v>
      </c>
      <c r="AC1434" s="1" t="str">
        <f aca="false">IF(O1434=0,"No Discount",IF(O1434&lt;=15,"Low (1-15%)",IF(O1434&lt;=30,"Medium (16-30%)","High (&gt;30%)")))</f>
        <v>Low (1-15%)</v>
      </c>
      <c r="AD1434" s="1" t="str">
        <f aca="false">IF(V1434&lt;0,"Loss Making",IF(V1434&lt;20,"Low Margin","Healthy Margin"))</f>
        <v>Healthy Margin</v>
      </c>
      <c r="AE1434" s="1" t="str">
        <f aca="false">TEXT(DATE(VALUE(RIGHT(B1434,4)),VALUE(MID(B1434,4,2)),VALUE(LEFT(B1434,2))),"MMM-YYYY")</f>
        <v>Sep-2024</v>
      </c>
      <c r="AF1434" s="1" t="n">
        <f aca="false">VALUE(RIGHT(B1434,4))</f>
        <v>2024</v>
      </c>
      <c r="AG1434" s="1" t="str">
        <f aca="false">CHOOSE(ROUNDUP(VALUE(MID(B1434,4,2))/3,0),"Q1","Q2","Q3","Q4")</f>
        <v>Q3</v>
      </c>
    </row>
    <row r="1435" customFormat="false" ht="15" hidden="false" customHeight="true" outlineLevel="0" collapsed="false">
      <c r="A1435" s="1" t="s">
        <v>2231</v>
      </c>
      <c r="B1435" s="1" t="s">
        <v>1606</v>
      </c>
      <c r="C1435" s="1" t="s">
        <v>93</v>
      </c>
      <c r="D1435" s="1" t="s">
        <v>94</v>
      </c>
      <c r="E1435" s="1" t="s">
        <v>101</v>
      </c>
      <c r="F1435" s="1" t="s">
        <v>125</v>
      </c>
      <c r="G1435" s="1" t="s">
        <v>108</v>
      </c>
      <c r="H1435" s="1" t="s">
        <v>69</v>
      </c>
      <c r="I1435" s="1" t="s">
        <v>58</v>
      </c>
      <c r="J1435" s="1" t="s">
        <v>59</v>
      </c>
      <c r="K1435" s="1" t="s">
        <v>84</v>
      </c>
      <c r="L1435" s="1" t="s">
        <v>113</v>
      </c>
      <c r="M1435" s="1" t="s">
        <v>62</v>
      </c>
      <c r="N1435" s="1" t="n">
        <v>14999</v>
      </c>
      <c r="O1435" s="1" t="n">
        <v>0</v>
      </c>
      <c r="P1435" s="1" t="n">
        <v>0</v>
      </c>
      <c r="Q1435" s="1" t="n">
        <v>14999</v>
      </c>
      <c r="R1435" s="1" t="n">
        <v>2699.82</v>
      </c>
      <c r="S1435" s="1" t="n">
        <v>12299.18</v>
      </c>
      <c r="T1435" s="1" t="n">
        <v>4662.86</v>
      </c>
      <c r="U1435" s="1" t="n">
        <v>7636.32</v>
      </c>
      <c r="V1435" s="1" t="n">
        <v>62.09</v>
      </c>
      <c r="W1435" s="1" t="s">
        <v>39</v>
      </c>
      <c r="X1435" s="1" t="n">
        <v>2.6</v>
      </c>
      <c r="Y1435" s="1" t="s">
        <v>40</v>
      </c>
      <c r="Z1435" s="1" t="n">
        <v>0</v>
      </c>
      <c r="AA1435" s="1" t="str">
        <f aca="false">TRIM(PROPER(F1435))</f>
        <v>Chennai</v>
      </c>
      <c r="AB1435" s="1" t="str">
        <f aca="false">TRIM(PROPER(C1435))</f>
        <v>Upgrad</v>
      </c>
      <c r="AC1435" s="1" t="str">
        <f aca="false">IF(O1435=0,"No Discount",IF(O1435&lt;=15,"Low (1-15%)",IF(O1435&lt;=30,"Medium (16-30%)","High (&gt;30%)")))</f>
        <v>No Discount</v>
      </c>
      <c r="AD1435" s="1" t="str">
        <f aca="false">IF(V1435&lt;0,"Loss Making",IF(V1435&lt;20,"Low Margin","Healthy Margin"))</f>
        <v>Healthy Margin</v>
      </c>
      <c r="AE1435" s="1" t="str">
        <f aca="false">TEXT(DATE(VALUE(RIGHT(B1435,4)),VALUE(MID(B1435,4,2)),VALUE(LEFT(B1435,2))),"MMM-YYYY")</f>
        <v>May-2024</v>
      </c>
      <c r="AF1435" s="1" t="n">
        <f aca="false">VALUE(RIGHT(B1435,4))</f>
        <v>2024</v>
      </c>
      <c r="AG1435" s="1" t="str">
        <f aca="false">CHOOSE(ROUNDUP(VALUE(MID(B1435,4,2))/3,0),"Q1","Q2","Q3","Q4")</f>
        <v>Q2</v>
      </c>
    </row>
    <row r="1436" customFormat="false" ht="15" hidden="false" customHeight="true" outlineLevel="0" collapsed="false">
      <c r="A1436" s="1" t="s">
        <v>2232</v>
      </c>
      <c r="B1436" s="1" t="s">
        <v>839</v>
      </c>
      <c r="C1436" s="1" t="s">
        <v>516</v>
      </c>
      <c r="D1436" s="1" t="s">
        <v>29</v>
      </c>
      <c r="E1436" s="1" t="s">
        <v>182</v>
      </c>
      <c r="F1436" s="1" t="s">
        <v>67</v>
      </c>
      <c r="G1436" s="1" t="s">
        <v>68</v>
      </c>
      <c r="H1436" s="1" t="s">
        <v>69</v>
      </c>
      <c r="I1436" s="1" t="s">
        <v>58</v>
      </c>
      <c r="J1436" s="1" t="s">
        <v>131</v>
      </c>
      <c r="K1436" s="1" t="s">
        <v>90</v>
      </c>
      <c r="L1436" s="1" t="s">
        <v>85</v>
      </c>
      <c r="M1436" s="1" t="s">
        <v>38</v>
      </c>
      <c r="N1436" s="1" t="n">
        <v>34999</v>
      </c>
      <c r="O1436" s="1" t="n">
        <v>15</v>
      </c>
      <c r="P1436" s="1" t="n">
        <v>5249.85</v>
      </c>
      <c r="Q1436" s="1" t="n">
        <v>29749.15</v>
      </c>
      <c r="R1436" s="1" t="n">
        <v>5354.85</v>
      </c>
      <c r="S1436" s="1" t="n">
        <v>24394.3</v>
      </c>
      <c r="T1436" s="1" t="n">
        <v>9309.46</v>
      </c>
      <c r="U1436" s="1" t="n">
        <v>15084.84</v>
      </c>
      <c r="V1436" s="1" t="n">
        <v>61.84</v>
      </c>
      <c r="W1436" s="1" t="s">
        <v>39</v>
      </c>
      <c r="X1436" s="1" t="n">
        <v>3.8</v>
      </c>
      <c r="Y1436" s="1" t="s">
        <v>40</v>
      </c>
      <c r="Z1436" s="1" t="n">
        <v>0</v>
      </c>
      <c r="AA1436" s="1" t="str">
        <f aca="false">TRIM(PROPER(F1436))</f>
        <v>Ahmedabad</v>
      </c>
      <c r="AB1436" s="1" t="str">
        <f aca="false">TRIM(PROPER(C1436))</f>
        <v>Meritnation</v>
      </c>
      <c r="AC1436" s="1" t="str">
        <f aca="false">IF(O1436=0,"No Discount",IF(O1436&lt;=15,"Low (1-15%)",IF(O1436&lt;=30,"Medium (16-30%)","High (&gt;30%)")))</f>
        <v>Low (1-15%)</v>
      </c>
      <c r="AD1436" s="1" t="str">
        <f aca="false">IF(V1436&lt;0,"Loss Making",IF(V1436&lt;20,"Low Margin","Healthy Margin"))</f>
        <v>Healthy Margin</v>
      </c>
      <c r="AE1436" s="1" t="str">
        <f aca="false">TEXT(DATE(VALUE(RIGHT(B1436,4)),VALUE(MID(B1436,4,2)),VALUE(LEFT(B1436,2))),"MMM-YYYY")</f>
        <v>Dec-2023</v>
      </c>
      <c r="AF1436" s="1" t="n">
        <f aca="false">VALUE(RIGHT(B1436,4))</f>
        <v>2023</v>
      </c>
      <c r="AG1436" s="1" t="str">
        <f aca="false">CHOOSE(ROUNDUP(VALUE(MID(B1436,4,2))/3,0),"Q1","Q2","Q3","Q4")</f>
        <v>Q4</v>
      </c>
    </row>
    <row r="1437" customFormat="false" ht="15" hidden="false" customHeight="true" outlineLevel="0" collapsed="false">
      <c r="A1437" s="1" t="s">
        <v>2233</v>
      </c>
      <c r="B1437" s="1" t="s">
        <v>758</v>
      </c>
      <c r="C1437" s="1" t="s">
        <v>178</v>
      </c>
      <c r="D1437" s="1" t="s">
        <v>29</v>
      </c>
      <c r="E1437" s="1" t="s">
        <v>305</v>
      </c>
      <c r="F1437" s="1" t="s">
        <v>102</v>
      </c>
      <c r="G1437" s="1" t="s">
        <v>103</v>
      </c>
      <c r="H1437" s="1" t="s">
        <v>33</v>
      </c>
      <c r="I1437" s="1" t="s">
        <v>58</v>
      </c>
      <c r="J1437" s="1" t="s">
        <v>59</v>
      </c>
      <c r="K1437" s="1" t="s">
        <v>71</v>
      </c>
      <c r="L1437" s="1" t="s">
        <v>85</v>
      </c>
      <c r="M1437" s="1" t="s">
        <v>50</v>
      </c>
      <c r="N1437" s="1" t="n">
        <v>24999</v>
      </c>
      <c r="O1437" s="1" t="n">
        <v>20</v>
      </c>
      <c r="P1437" s="1" t="n">
        <v>4999.8</v>
      </c>
      <c r="Q1437" s="1" t="n">
        <v>19999.2</v>
      </c>
      <c r="R1437" s="1" t="n">
        <v>3599.86</v>
      </c>
      <c r="S1437" s="1" t="n">
        <v>16399.34</v>
      </c>
      <c r="T1437" s="1" t="n">
        <v>5194.42</v>
      </c>
      <c r="U1437" s="1" t="n">
        <v>11204.92</v>
      </c>
      <c r="V1437" s="1" t="n">
        <v>68.33</v>
      </c>
      <c r="W1437" s="1" t="s">
        <v>39</v>
      </c>
      <c r="Y1437" s="1" t="s">
        <v>40</v>
      </c>
      <c r="Z1437" s="1" t="n">
        <v>1</v>
      </c>
      <c r="AA1437" s="1" t="str">
        <f aca="false">TRIM(PROPER(F1437))</f>
        <v>Warangal</v>
      </c>
      <c r="AB1437" s="1" t="str">
        <f aca="false">TRIM(PROPER(C1437))</f>
        <v>Leverage Edu</v>
      </c>
      <c r="AC1437" s="1" t="str">
        <f aca="false">IF(O1437=0,"No Discount",IF(O1437&lt;=15,"Low (1-15%)",IF(O1437&lt;=30,"Medium (16-30%)","High (&gt;30%)")))</f>
        <v>Medium (16-30%)</v>
      </c>
      <c r="AD1437" s="1" t="str">
        <f aca="false">IF(V1437&lt;0,"Loss Making",IF(V1437&lt;20,"Low Margin","Healthy Margin"))</f>
        <v>Healthy Margin</v>
      </c>
      <c r="AE1437" s="1" t="str">
        <f aca="false">TEXT(DATE(VALUE(RIGHT(B1437,4)),VALUE(MID(B1437,4,2)),VALUE(LEFT(B1437,2))),"MMM-YYYY")</f>
        <v>Jan-2024</v>
      </c>
      <c r="AF1437" s="1" t="n">
        <f aca="false">VALUE(RIGHT(B1437,4))</f>
        <v>2024</v>
      </c>
      <c r="AG1437" s="1" t="str">
        <f aca="false">CHOOSE(ROUNDUP(VALUE(MID(B1437,4,2))/3,0),"Q1","Q2","Q3","Q4")</f>
        <v>Q1</v>
      </c>
    </row>
    <row r="1438" customFormat="false" ht="15" hidden="false" customHeight="true" outlineLevel="0" collapsed="false">
      <c r="A1438" s="1" t="s">
        <v>2234</v>
      </c>
      <c r="B1438" s="1" t="s">
        <v>2235</v>
      </c>
      <c r="C1438" s="1" t="s">
        <v>139</v>
      </c>
      <c r="D1438" s="1" t="s">
        <v>123</v>
      </c>
      <c r="E1438" s="1" t="s">
        <v>124</v>
      </c>
      <c r="F1438" s="1" t="s">
        <v>55</v>
      </c>
      <c r="G1438" s="1" t="s">
        <v>56</v>
      </c>
      <c r="H1438" s="1" t="s">
        <v>57</v>
      </c>
      <c r="I1438" s="1" t="s">
        <v>34</v>
      </c>
      <c r="J1438" s="1" t="s">
        <v>77</v>
      </c>
      <c r="K1438" s="1" t="s">
        <v>112</v>
      </c>
      <c r="L1438" s="1" t="s">
        <v>85</v>
      </c>
      <c r="M1438" s="1" t="s">
        <v>62</v>
      </c>
      <c r="N1438" s="1" t="n">
        <v>4999</v>
      </c>
      <c r="O1438" s="1" t="n">
        <v>30</v>
      </c>
      <c r="P1438" s="1" t="n">
        <v>1499.7</v>
      </c>
      <c r="Q1438" s="1" t="n">
        <v>3499.3</v>
      </c>
      <c r="R1438" s="1" t="n">
        <v>629.87</v>
      </c>
      <c r="S1438" s="1" t="n">
        <v>2869.43</v>
      </c>
      <c r="T1438" s="1" t="n">
        <v>1134.58</v>
      </c>
      <c r="U1438" s="1" t="n">
        <v>1734.85</v>
      </c>
      <c r="V1438" s="1" t="n">
        <v>60.46</v>
      </c>
      <c r="W1438" s="1" t="s">
        <v>39</v>
      </c>
      <c r="X1438" s="1" t="n">
        <v>3.8</v>
      </c>
      <c r="Y1438" s="1" t="s">
        <v>40</v>
      </c>
      <c r="Z1438" s="1" t="n">
        <v>0</v>
      </c>
      <c r="AA1438" s="1" t="str">
        <f aca="false">TRIM(PROPER(F1438))</f>
        <v>Ghaziabad</v>
      </c>
      <c r="AB1438" s="1" t="str">
        <f aca="false">TRIM(PROPER(C1438))</f>
        <v>Extramarks</v>
      </c>
      <c r="AC1438" s="1" t="str">
        <f aca="false">IF(O1438=0,"No Discount",IF(O1438&lt;=15,"Low (1-15%)",IF(O1438&lt;=30,"Medium (16-30%)","High (&gt;30%)")))</f>
        <v>Medium (16-30%)</v>
      </c>
      <c r="AD1438" s="1" t="str">
        <f aca="false">IF(V1438&lt;0,"Loss Making",IF(V1438&lt;20,"Low Margin","Healthy Margin"))</f>
        <v>Healthy Margin</v>
      </c>
      <c r="AE1438" s="1" t="str">
        <f aca="false">TEXT(DATE(VALUE(RIGHT(B1438,4)),VALUE(MID(B1438,4,2)),VALUE(LEFT(B1438,2))),"MMM-YYYY")</f>
        <v>Apr-2024</v>
      </c>
      <c r="AF1438" s="1" t="n">
        <f aca="false">VALUE(RIGHT(B1438,4))</f>
        <v>2024</v>
      </c>
      <c r="AG1438" s="1" t="str">
        <f aca="false">CHOOSE(ROUNDUP(VALUE(MID(B1438,4,2))/3,0),"Q1","Q2","Q3","Q4")</f>
        <v>Q2</v>
      </c>
    </row>
    <row r="1439" customFormat="false" ht="15" hidden="false" customHeight="true" outlineLevel="0" collapsed="false">
      <c r="A1439" s="1" t="s">
        <v>2236</v>
      </c>
      <c r="B1439" s="1" t="s">
        <v>640</v>
      </c>
      <c r="C1439" s="1" t="s">
        <v>134</v>
      </c>
      <c r="D1439" s="1" t="s">
        <v>53</v>
      </c>
      <c r="E1439" s="1" t="s">
        <v>54</v>
      </c>
      <c r="F1439" s="1" t="s">
        <v>187</v>
      </c>
      <c r="G1439" s="1" t="s">
        <v>97</v>
      </c>
      <c r="H1439" s="1" t="s">
        <v>69</v>
      </c>
      <c r="I1439" s="1" t="s">
        <v>58</v>
      </c>
      <c r="J1439" s="1" t="s">
        <v>77</v>
      </c>
      <c r="K1439" s="1" t="s">
        <v>90</v>
      </c>
      <c r="L1439" s="1" t="s">
        <v>49</v>
      </c>
      <c r="M1439" s="1" t="s">
        <v>50</v>
      </c>
      <c r="N1439" s="1" t="n">
        <v>11999</v>
      </c>
      <c r="O1439" s="1" t="n">
        <v>0</v>
      </c>
      <c r="P1439" s="1" t="n">
        <v>0</v>
      </c>
      <c r="Q1439" s="1" t="n">
        <v>11999</v>
      </c>
      <c r="R1439" s="1" t="n">
        <v>2159.82</v>
      </c>
      <c r="S1439" s="1" t="n">
        <v>9839.18</v>
      </c>
      <c r="T1439" s="1" t="n">
        <v>4469.36</v>
      </c>
      <c r="U1439" s="1" t="n">
        <v>5369.82</v>
      </c>
      <c r="V1439" s="1" t="n">
        <v>54.58</v>
      </c>
      <c r="W1439" s="1" t="s">
        <v>40</v>
      </c>
      <c r="Y1439" s="1" t="s">
        <v>39</v>
      </c>
      <c r="Z1439" s="1" t="n">
        <v>1</v>
      </c>
      <c r="AA1439" s="1" t="str">
        <f aca="false">TRIM(PROPER(F1439))</f>
        <v>Mumbai</v>
      </c>
      <c r="AB1439" s="1" t="str">
        <f aca="false">TRIM(PROPER(C1439))</f>
        <v>Doubtnut</v>
      </c>
      <c r="AC1439" s="1" t="str">
        <f aca="false">IF(O1439=0,"No Discount",IF(O1439&lt;=15,"Low (1-15%)",IF(O1439&lt;=30,"Medium (16-30%)","High (&gt;30%)")))</f>
        <v>No Discount</v>
      </c>
      <c r="AD1439" s="1" t="str">
        <f aca="false">IF(V1439&lt;0,"Loss Making",IF(V1439&lt;20,"Low Margin","Healthy Margin"))</f>
        <v>Healthy Margin</v>
      </c>
      <c r="AE1439" s="1" t="str">
        <f aca="false">TEXT(DATE(VALUE(RIGHT(B1439,4)),VALUE(MID(B1439,4,2)),VALUE(LEFT(B1439,2))),"MMM-YYYY")</f>
        <v>Jun-2023</v>
      </c>
      <c r="AF1439" s="1" t="n">
        <f aca="false">VALUE(RIGHT(B1439,4))</f>
        <v>2023</v>
      </c>
      <c r="AG1439" s="1" t="str">
        <f aca="false">CHOOSE(ROUNDUP(VALUE(MID(B1439,4,2))/3,0),"Q1","Q2","Q3","Q4")</f>
        <v>Q2</v>
      </c>
    </row>
    <row r="1440" customFormat="false" ht="15" hidden="false" customHeight="true" outlineLevel="0" collapsed="false">
      <c r="A1440" s="1" t="s">
        <v>2237</v>
      </c>
      <c r="B1440" s="1" t="s">
        <v>338</v>
      </c>
      <c r="C1440" s="1" t="s">
        <v>139</v>
      </c>
      <c r="D1440" s="1" t="s">
        <v>94</v>
      </c>
      <c r="E1440" s="1" t="s">
        <v>101</v>
      </c>
      <c r="F1440" s="1" t="s">
        <v>244</v>
      </c>
      <c r="G1440" s="1" t="s">
        <v>97</v>
      </c>
      <c r="H1440" s="1" t="s">
        <v>57</v>
      </c>
      <c r="I1440" s="1" t="s">
        <v>58</v>
      </c>
      <c r="J1440" s="1" t="s">
        <v>59</v>
      </c>
      <c r="K1440" s="1" t="s">
        <v>48</v>
      </c>
      <c r="L1440" s="1" t="s">
        <v>37</v>
      </c>
      <c r="M1440" s="1" t="s">
        <v>50</v>
      </c>
      <c r="N1440" s="1" t="n">
        <v>14999</v>
      </c>
      <c r="O1440" s="1" t="n">
        <v>10</v>
      </c>
      <c r="P1440" s="1" t="n">
        <v>1499.9</v>
      </c>
      <c r="Q1440" s="1" t="n">
        <v>13499.1</v>
      </c>
      <c r="R1440" s="1" t="n">
        <v>2429.84</v>
      </c>
      <c r="S1440" s="1" t="n">
        <v>11069.26</v>
      </c>
      <c r="T1440" s="1" t="n">
        <v>4439.83</v>
      </c>
      <c r="U1440" s="1" t="n">
        <v>6629.43</v>
      </c>
      <c r="V1440" s="1" t="n">
        <v>59.89</v>
      </c>
      <c r="W1440" s="1" t="s">
        <v>40</v>
      </c>
      <c r="Y1440" s="1" t="s">
        <v>40</v>
      </c>
      <c r="Z1440" s="1" t="n">
        <v>1</v>
      </c>
      <c r="AA1440" s="1" t="str">
        <f aca="false">TRIM(PROPER(F1440))</f>
        <v>Nagpur</v>
      </c>
      <c r="AB1440" s="1" t="str">
        <f aca="false">TRIM(PROPER(C1440))</f>
        <v>Extramarks</v>
      </c>
      <c r="AC1440" s="1" t="str">
        <f aca="false">IF(O1440=0,"No Discount",IF(O1440&lt;=15,"Low (1-15%)",IF(O1440&lt;=30,"Medium (16-30%)","High (&gt;30%)")))</f>
        <v>Low (1-15%)</v>
      </c>
      <c r="AD1440" s="1" t="str">
        <f aca="false">IF(V1440&lt;0,"Loss Making",IF(V1440&lt;20,"Low Margin","Healthy Margin"))</f>
        <v>Healthy Margin</v>
      </c>
      <c r="AE1440" s="1" t="str">
        <f aca="false">TEXT(DATE(VALUE(RIGHT(B1440,4)),VALUE(MID(B1440,4,2)),VALUE(LEFT(B1440,2))),"MMM-YYYY")</f>
        <v>Jan-2023</v>
      </c>
      <c r="AF1440" s="1" t="n">
        <f aca="false">VALUE(RIGHT(B1440,4))</f>
        <v>2023</v>
      </c>
      <c r="AG1440" s="1" t="str">
        <f aca="false">CHOOSE(ROUNDUP(VALUE(MID(B1440,4,2))/3,0),"Q1","Q2","Q3","Q4")</f>
        <v>Q1</v>
      </c>
    </row>
    <row r="1441" customFormat="false" ht="15" hidden="false" customHeight="true" outlineLevel="0" collapsed="false">
      <c r="A1441" s="1" t="s">
        <v>2238</v>
      </c>
      <c r="B1441" s="1" t="s">
        <v>2239</v>
      </c>
      <c r="C1441" s="1" t="s">
        <v>128</v>
      </c>
      <c r="D1441" s="1" t="s">
        <v>143</v>
      </c>
      <c r="E1441" s="1" t="s">
        <v>243</v>
      </c>
      <c r="F1441" s="1" t="s">
        <v>125</v>
      </c>
      <c r="G1441" s="1" t="s">
        <v>108</v>
      </c>
      <c r="H1441" s="1" t="s">
        <v>69</v>
      </c>
      <c r="I1441" s="1" t="s">
        <v>58</v>
      </c>
      <c r="J1441" s="1" t="s">
        <v>59</v>
      </c>
      <c r="K1441" s="1" t="s">
        <v>71</v>
      </c>
      <c r="L1441" s="1" t="s">
        <v>113</v>
      </c>
      <c r="M1441" s="1" t="s">
        <v>62</v>
      </c>
      <c r="N1441" s="1" t="n">
        <v>22999</v>
      </c>
      <c r="O1441" s="1" t="n">
        <v>20</v>
      </c>
      <c r="P1441" s="1" t="n">
        <v>4599.8</v>
      </c>
      <c r="Q1441" s="1" t="n">
        <v>18399.2</v>
      </c>
      <c r="R1441" s="1" t="n">
        <v>3311.86</v>
      </c>
      <c r="S1441" s="1" t="n">
        <v>15087.34</v>
      </c>
      <c r="T1441" s="1" t="n">
        <v>6753.45</v>
      </c>
      <c r="U1441" s="1" t="n">
        <v>8333.89</v>
      </c>
      <c r="V1441" s="1" t="n">
        <v>55.24</v>
      </c>
      <c r="W1441" s="1" t="s">
        <v>40</v>
      </c>
      <c r="Y1441" s="1" t="s">
        <v>40</v>
      </c>
      <c r="Z1441" s="1" t="n">
        <v>0</v>
      </c>
      <c r="AA1441" s="1" t="str">
        <f aca="false">TRIM(PROPER(F1441))</f>
        <v>Chennai</v>
      </c>
      <c r="AB1441" s="1" t="str">
        <f aca="false">TRIM(PROPER(C1441))</f>
        <v>Great Learning</v>
      </c>
      <c r="AC1441" s="1" t="str">
        <f aca="false">IF(O1441=0,"No Discount",IF(O1441&lt;=15,"Low (1-15%)",IF(O1441&lt;=30,"Medium (16-30%)","High (&gt;30%)")))</f>
        <v>Medium (16-30%)</v>
      </c>
      <c r="AD1441" s="1" t="str">
        <f aca="false">IF(V1441&lt;0,"Loss Making",IF(V1441&lt;20,"Low Margin","Healthy Margin"))</f>
        <v>Healthy Margin</v>
      </c>
      <c r="AE1441" s="1" t="str">
        <f aca="false">TEXT(DATE(VALUE(RIGHT(B1441,4)),VALUE(MID(B1441,4,2)),VALUE(LEFT(B1441,2))),"MMM-YYYY")</f>
        <v>Apr-2023</v>
      </c>
      <c r="AF1441" s="1" t="n">
        <f aca="false">VALUE(RIGHT(B1441,4))</f>
        <v>2023</v>
      </c>
      <c r="AG1441" s="1" t="str">
        <f aca="false">CHOOSE(ROUNDUP(VALUE(MID(B1441,4,2))/3,0),"Q1","Q2","Q3","Q4")</f>
        <v>Q2</v>
      </c>
    </row>
    <row r="1442" customFormat="false" ht="15" hidden="false" customHeight="true" outlineLevel="0" collapsed="false">
      <c r="A1442" s="1" t="s">
        <v>2240</v>
      </c>
      <c r="B1442" s="1" t="s">
        <v>298</v>
      </c>
      <c r="C1442" s="1" t="s">
        <v>100</v>
      </c>
      <c r="D1442" s="1" t="s">
        <v>53</v>
      </c>
      <c r="E1442" s="1" t="s">
        <v>216</v>
      </c>
      <c r="F1442" s="1" t="s">
        <v>82</v>
      </c>
      <c r="G1442" s="1" t="s">
        <v>56</v>
      </c>
      <c r="H1442" s="1" t="s">
        <v>69</v>
      </c>
      <c r="I1442" s="1" t="s">
        <v>58</v>
      </c>
      <c r="J1442" s="1" t="s">
        <v>59</v>
      </c>
      <c r="K1442" s="1" t="s">
        <v>60</v>
      </c>
      <c r="L1442" s="1" t="s">
        <v>61</v>
      </c>
      <c r="M1442" s="1" t="s">
        <v>38</v>
      </c>
      <c r="N1442" s="1" t="n">
        <v>7499</v>
      </c>
      <c r="O1442" s="1" t="n">
        <v>10</v>
      </c>
      <c r="P1442" s="1" t="n">
        <v>749.9</v>
      </c>
      <c r="Q1442" s="1" t="n">
        <v>6749.1</v>
      </c>
      <c r="R1442" s="1" t="n">
        <v>1214.84</v>
      </c>
      <c r="S1442" s="1" t="n">
        <v>5534.26</v>
      </c>
      <c r="T1442" s="1" t="n">
        <v>2499.8</v>
      </c>
      <c r="U1442" s="1" t="n">
        <v>3034.46</v>
      </c>
      <c r="V1442" s="1" t="n">
        <v>54.83</v>
      </c>
      <c r="W1442" s="1" t="s">
        <v>39</v>
      </c>
      <c r="X1442" s="1" t="n">
        <v>4.2</v>
      </c>
      <c r="Y1442" s="1" t="s">
        <v>40</v>
      </c>
      <c r="Z1442" s="1" t="n">
        <v>0</v>
      </c>
      <c r="AA1442" s="1" t="str">
        <f aca="false">TRIM(PROPER(F1442))</f>
        <v>Gurugram</v>
      </c>
      <c r="AB1442" s="1" t="str">
        <f aca="false">TRIM(PROPER(C1442))</f>
        <v>Physics Wallah</v>
      </c>
      <c r="AC1442" s="1" t="str">
        <f aca="false">IF(O1442=0,"No Discount",IF(O1442&lt;=15,"Low (1-15%)",IF(O1442&lt;=30,"Medium (16-30%)","High (&gt;30%)")))</f>
        <v>Low (1-15%)</v>
      </c>
      <c r="AD1442" s="1" t="str">
        <f aca="false">IF(V1442&lt;0,"Loss Making",IF(V1442&lt;20,"Low Margin","Healthy Margin"))</f>
        <v>Healthy Margin</v>
      </c>
      <c r="AE1442" s="1" t="str">
        <f aca="false">TEXT(DATE(VALUE(RIGHT(B1442,4)),VALUE(MID(B1442,4,2)),VALUE(LEFT(B1442,2))),"MMM-YYYY")</f>
        <v>Mar-2024</v>
      </c>
      <c r="AF1442" s="1" t="n">
        <f aca="false">VALUE(RIGHT(B1442,4))</f>
        <v>2024</v>
      </c>
      <c r="AG1442" s="1" t="str">
        <f aca="false">CHOOSE(ROUNDUP(VALUE(MID(B1442,4,2))/3,0),"Q1","Q2","Q3","Q4")</f>
        <v>Q1</v>
      </c>
    </row>
    <row r="1443" customFormat="false" ht="15" hidden="false" customHeight="true" outlineLevel="0" collapsed="false">
      <c r="A1443" s="1" t="s">
        <v>2241</v>
      </c>
      <c r="B1443" s="1" t="s">
        <v>1830</v>
      </c>
      <c r="C1443" s="1" t="s">
        <v>28</v>
      </c>
      <c r="D1443" s="1" t="s">
        <v>123</v>
      </c>
      <c r="E1443" s="1" t="s">
        <v>233</v>
      </c>
      <c r="F1443" s="1" t="s">
        <v>130</v>
      </c>
      <c r="G1443" s="1" t="s">
        <v>47</v>
      </c>
      <c r="H1443" s="1" t="s">
        <v>69</v>
      </c>
      <c r="I1443" s="1" t="s">
        <v>83</v>
      </c>
      <c r="J1443" s="1" t="s">
        <v>77</v>
      </c>
      <c r="K1443" s="1" t="s">
        <v>48</v>
      </c>
      <c r="L1443" s="1" t="s">
        <v>49</v>
      </c>
      <c r="M1443" s="1" t="s">
        <v>50</v>
      </c>
      <c r="N1443" s="1" t="n">
        <v>8999</v>
      </c>
      <c r="O1443" s="1" t="n">
        <v>10</v>
      </c>
      <c r="P1443" s="1" t="n">
        <v>899.9</v>
      </c>
      <c r="Q1443" s="1" t="n">
        <v>8099.1</v>
      </c>
      <c r="R1443" s="1" t="n">
        <v>1457.84</v>
      </c>
      <c r="S1443" s="1" t="n">
        <v>6641.26</v>
      </c>
      <c r="T1443" s="1" t="n">
        <v>2727.5</v>
      </c>
      <c r="U1443" s="1" t="n">
        <v>3913.76</v>
      </c>
      <c r="V1443" s="1" t="n">
        <v>58.93</v>
      </c>
      <c r="W1443" s="1" t="s">
        <v>40</v>
      </c>
      <c r="Y1443" s="1" t="s">
        <v>40</v>
      </c>
      <c r="Z1443" s="1" t="n">
        <v>0</v>
      </c>
      <c r="AA1443" s="1" t="str">
        <f aca="false">TRIM(PROPER(F1443))</f>
        <v>Bengaluru</v>
      </c>
      <c r="AB1443" s="1" t="str">
        <f aca="false">TRIM(PROPER(C1443))</f>
        <v>Embibe</v>
      </c>
      <c r="AC1443" s="1" t="str">
        <f aca="false">IF(O1443=0,"No Discount",IF(O1443&lt;=15,"Low (1-15%)",IF(O1443&lt;=30,"Medium (16-30%)","High (&gt;30%)")))</f>
        <v>Low (1-15%)</v>
      </c>
      <c r="AD1443" s="1" t="str">
        <f aca="false">IF(V1443&lt;0,"Loss Making",IF(V1443&lt;20,"Low Margin","Healthy Margin"))</f>
        <v>Healthy Margin</v>
      </c>
      <c r="AE1443" s="1" t="str">
        <f aca="false">TEXT(DATE(VALUE(RIGHT(B1443,4)),VALUE(MID(B1443,4,2)),VALUE(LEFT(B1443,2))),"MMM-YYYY")</f>
        <v>Mar-2023</v>
      </c>
      <c r="AF1443" s="1" t="n">
        <f aca="false">VALUE(RIGHT(B1443,4))</f>
        <v>2023</v>
      </c>
      <c r="AG1443" s="1" t="str">
        <f aca="false">CHOOSE(ROUNDUP(VALUE(MID(B1443,4,2))/3,0),"Q1","Q2","Q3","Q4")</f>
        <v>Q1</v>
      </c>
    </row>
    <row r="1444" customFormat="false" ht="15" hidden="false" customHeight="true" outlineLevel="0" collapsed="false">
      <c r="A1444" s="1" t="s">
        <v>2242</v>
      </c>
      <c r="B1444" s="1" t="s">
        <v>1458</v>
      </c>
      <c r="C1444" s="1" t="s">
        <v>178</v>
      </c>
      <c r="D1444" s="1" t="s">
        <v>123</v>
      </c>
      <c r="E1444" s="1" t="s">
        <v>124</v>
      </c>
      <c r="F1444" s="1" t="s">
        <v>31</v>
      </c>
      <c r="G1444" s="1" t="s">
        <v>32</v>
      </c>
      <c r="H1444" s="1" t="s">
        <v>33</v>
      </c>
      <c r="I1444" s="1" t="s">
        <v>83</v>
      </c>
      <c r="J1444" s="1" t="s">
        <v>77</v>
      </c>
      <c r="K1444" s="1" t="s">
        <v>36</v>
      </c>
      <c r="L1444" s="1" t="s">
        <v>49</v>
      </c>
      <c r="M1444" s="1" t="s">
        <v>62</v>
      </c>
      <c r="N1444" s="1" t="n">
        <v>4999</v>
      </c>
      <c r="O1444" s="1" t="n">
        <v>40</v>
      </c>
      <c r="P1444" s="1" t="n">
        <v>1999.6</v>
      </c>
      <c r="Q1444" s="1" t="n">
        <v>2999.4</v>
      </c>
      <c r="R1444" s="1" t="n">
        <v>539.89</v>
      </c>
      <c r="S1444" s="1" t="n">
        <v>2459.51</v>
      </c>
      <c r="T1444" s="1" t="n">
        <v>1205.83</v>
      </c>
      <c r="U1444" s="1" t="n">
        <v>1253.68</v>
      </c>
      <c r="V1444" s="1" t="n">
        <v>50.97</v>
      </c>
      <c r="W1444" s="1" t="s">
        <v>39</v>
      </c>
      <c r="X1444" s="1" t="n">
        <v>3.3</v>
      </c>
      <c r="Y1444" s="1" t="s">
        <v>40</v>
      </c>
      <c r="Z1444" s="1" t="n">
        <v>0</v>
      </c>
      <c r="AA1444" s="1" t="str">
        <f aca="false">TRIM(PROPER(F1444))</f>
        <v>Jodhpur</v>
      </c>
      <c r="AB1444" s="1" t="str">
        <f aca="false">TRIM(PROPER(C1444))</f>
        <v>Leverage Edu</v>
      </c>
      <c r="AC1444" s="1" t="str">
        <f aca="false">IF(O1444=0,"No Discount",IF(O1444&lt;=15,"Low (1-15%)",IF(O1444&lt;=30,"Medium (16-30%)","High (&gt;30%)")))</f>
        <v>High (&gt;30%)</v>
      </c>
      <c r="AD1444" s="1" t="str">
        <f aca="false">IF(V1444&lt;0,"Loss Making",IF(V1444&lt;20,"Low Margin","Healthy Margin"))</f>
        <v>Healthy Margin</v>
      </c>
      <c r="AE1444" s="1" t="str">
        <f aca="false">TEXT(DATE(VALUE(RIGHT(B1444,4)),VALUE(MID(B1444,4,2)),VALUE(LEFT(B1444,2))),"MMM-YYYY")</f>
        <v>Apr-2023</v>
      </c>
      <c r="AF1444" s="1" t="n">
        <f aca="false">VALUE(RIGHT(B1444,4))</f>
        <v>2023</v>
      </c>
      <c r="AG1444" s="1" t="str">
        <f aca="false">CHOOSE(ROUNDUP(VALUE(MID(B1444,4,2))/3,0),"Q1","Q2","Q3","Q4")</f>
        <v>Q2</v>
      </c>
    </row>
    <row r="1445" customFormat="false" ht="15" hidden="false" customHeight="true" outlineLevel="0" collapsed="false">
      <c r="A1445" s="1" t="s">
        <v>2243</v>
      </c>
      <c r="B1445" s="1" t="s">
        <v>742</v>
      </c>
      <c r="C1445" s="1" t="s">
        <v>167</v>
      </c>
      <c r="D1445" s="1" t="s">
        <v>94</v>
      </c>
      <c r="E1445" s="1" t="s">
        <v>101</v>
      </c>
      <c r="F1445" s="1" t="s">
        <v>75</v>
      </c>
      <c r="G1445" s="1" t="s">
        <v>76</v>
      </c>
      <c r="H1445" s="1" t="s">
        <v>69</v>
      </c>
      <c r="I1445" s="1" t="s">
        <v>34</v>
      </c>
      <c r="J1445" s="1" t="s">
        <v>70</v>
      </c>
      <c r="K1445" s="1" t="s">
        <v>84</v>
      </c>
      <c r="L1445" s="1" t="s">
        <v>136</v>
      </c>
      <c r="M1445" s="1" t="s">
        <v>38</v>
      </c>
      <c r="N1445" s="1" t="n">
        <v>14999</v>
      </c>
      <c r="O1445" s="1" t="n">
        <v>10</v>
      </c>
      <c r="P1445" s="1" t="n">
        <v>1499.9</v>
      </c>
      <c r="Q1445" s="1" t="n">
        <v>13499.1</v>
      </c>
      <c r="R1445" s="1" t="n">
        <v>2429.84</v>
      </c>
      <c r="S1445" s="1" t="n">
        <v>11069.26</v>
      </c>
      <c r="T1445" s="1" t="n">
        <v>5051.84</v>
      </c>
      <c r="U1445" s="1" t="n">
        <v>6017.42</v>
      </c>
      <c r="V1445" s="1" t="n">
        <v>54.36</v>
      </c>
      <c r="W1445" s="1" t="s">
        <v>39</v>
      </c>
      <c r="X1445" s="1" t="n">
        <v>4.1</v>
      </c>
      <c r="Y1445" s="1" t="s">
        <v>40</v>
      </c>
      <c r="Z1445" s="1" t="n">
        <v>0</v>
      </c>
      <c r="AA1445" s="1" t="str">
        <f aca="false">TRIM(PROPER(F1445))</f>
        <v>Kolkata</v>
      </c>
      <c r="AB1445" s="1" t="str">
        <f aca="false">TRIM(PROPER(C1445))</f>
        <v>Scaler</v>
      </c>
      <c r="AC1445" s="1" t="str">
        <f aca="false">IF(O1445=0,"No Discount",IF(O1445&lt;=15,"Low (1-15%)",IF(O1445&lt;=30,"Medium (16-30%)","High (&gt;30%)")))</f>
        <v>Low (1-15%)</v>
      </c>
      <c r="AD1445" s="1" t="str">
        <f aca="false">IF(V1445&lt;0,"Loss Making",IF(V1445&lt;20,"Low Margin","Healthy Margin"))</f>
        <v>Healthy Margin</v>
      </c>
      <c r="AE1445" s="1" t="str">
        <f aca="false">TEXT(DATE(VALUE(RIGHT(B1445,4)),VALUE(MID(B1445,4,2)),VALUE(LEFT(B1445,2))),"MMM-YYYY")</f>
        <v>Oct-2024</v>
      </c>
      <c r="AF1445" s="1" t="n">
        <f aca="false">VALUE(RIGHT(B1445,4))</f>
        <v>2024</v>
      </c>
      <c r="AG1445" s="1" t="str">
        <f aca="false">CHOOSE(ROUNDUP(VALUE(MID(B1445,4,2))/3,0),"Q1","Q2","Q3","Q4")</f>
        <v>Q4</v>
      </c>
    </row>
    <row r="1446" customFormat="false" ht="15" hidden="false" customHeight="true" outlineLevel="0" collapsed="false">
      <c r="A1446" s="1" t="s">
        <v>2244</v>
      </c>
      <c r="B1446" s="1" t="s">
        <v>555</v>
      </c>
      <c r="C1446" s="1" t="s">
        <v>28</v>
      </c>
      <c r="D1446" s="1" t="s">
        <v>44</v>
      </c>
      <c r="E1446" s="1" t="s">
        <v>66</v>
      </c>
      <c r="F1446" s="1" t="s">
        <v>31</v>
      </c>
      <c r="G1446" s="1" t="s">
        <v>32</v>
      </c>
      <c r="H1446" s="1" t="s">
        <v>33</v>
      </c>
      <c r="I1446" s="1" t="s">
        <v>58</v>
      </c>
      <c r="J1446" s="1" t="s">
        <v>35</v>
      </c>
      <c r="K1446" s="1" t="s">
        <v>71</v>
      </c>
      <c r="L1446" s="1" t="s">
        <v>49</v>
      </c>
      <c r="M1446" s="1" t="s">
        <v>62</v>
      </c>
      <c r="N1446" s="1" t="n">
        <v>12999</v>
      </c>
      <c r="O1446" s="1" t="n">
        <v>0</v>
      </c>
      <c r="P1446" s="1" t="n">
        <v>0</v>
      </c>
      <c r="Q1446" s="1" t="n">
        <v>12999</v>
      </c>
      <c r="R1446" s="1" t="n">
        <v>2339.82</v>
      </c>
      <c r="S1446" s="1" t="n">
        <v>10659.18</v>
      </c>
      <c r="T1446" s="1" t="n">
        <v>5760</v>
      </c>
      <c r="U1446" s="1" t="n">
        <v>4899.18</v>
      </c>
      <c r="V1446" s="1" t="n">
        <v>45.96</v>
      </c>
      <c r="W1446" s="1" t="s">
        <v>39</v>
      </c>
      <c r="X1446" s="1" t="n">
        <v>3.6</v>
      </c>
      <c r="Y1446" s="1" t="s">
        <v>40</v>
      </c>
      <c r="Z1446" s="1" t="n">
        <v>1</v>
      </c>
      <c r="AA1446" s="1" t="str">
        <f aca="false">TRIM(PROPER(F1446))</f>
        <v>Jodhpur</v>
      </c>
      <c r="AB1446" s="1" t="str">
        <f aca="false">TRIM(PROPER(C1446))</f>
        <v>Embibe</v>
      </c>
      <c r="AC1446" s="1" t="str">
        <f aca="false">IF(O1446=0,"No Discount",IF(O1446&lt;=15,"Low (1-15%)",IF(O1446&lt;=30,"Medium (16-30%)","High (&gt;30%)")))</f>
        <v>No Discount</v>
      </c>
      <c r="AD1446" s="1" t="str">
        <f aca="false">IF(V1446&lt;0,"Loss Making",IF(V1446&lt;20,"Low Margin","Healthy Margin"))</f>
        <v>Healthy Margin</v>
      </c>
      <c r="AE1446" s="1" t="str">
        <f aca="false">TEXT(DATE(VALUE(RIGHT(B1446,4)),VALUE(MID(B1446,4,2)),VALUE(LEFT(B1446,2))),"MMM-YYYY")</f>
        <v>Jun-2023</v>
      </c>
      <c r="AF1446" s="1" t="n">
        <f aca="false">VALUE(RIGHT(B1446,4))</f>
        <v>2023</v>
      </c>
      <c r="AG1446" s="1" t="str">
        <f aca="false">CHOOSE(ROUNDUP(VALUE(MID(B1446,4,2))/3,0),"Q1","Q2","Q3","Q4")</f>
        <v>Q2</v>
      </c>
    </row>
    <row r="1447" customFormat="false" ht="15" hidden="false" customHeight="true" outlineLevel="0" collapsed="false">
      <c r="A1447" s="1" t="s">
        <v>2245</v>
      </c>
      <c r="B1447" s="1" t="s">
        <v>2246</v>
      </c>
      <c r="C1447" s="1" t="s">
        <v>128</v>
      </c>
      <c r="D1447" s="1" t="s">
        <v>94</v>
      </c>
      <c r="E1447" s="1" t="s">
        <v>95</v>
      </c>
      <c r="F1447" s="1" t="s">
        <v>130</v>
      </c>
      <c r="G1447" s="1" t="s">
        <v>47</v>
      </c>
      <c r="H1447" s="1" t="s">
        <v>69</v>
      </c>
      <c r="I1447" s="1" t="s">
        <v>83</v>
      </c>
      <c r="J1447" s="1" t="s">
        <v>131</v>
      </c>
      <c r="K1447" s="1" t="s">
        <v>60</v>
      </c>
      <c r="L1447" s="1" t="s">
        <v>85</v>
      </c>
      <c r="M1447" s="1" t="s">
        <v>38</v>
      </c>
      <c r="N1447" s="1" t="n">
        <v>6999</v>
      </c>
      <c r="O1447" s="1" t="n">
        <v>25</v>
      </c>
      <c r="P1447" s="1" t="n">
        <v>1749.75</v>
      </c>
      <c r="Q1447" s="1" t="n">
        <v>5249.25</v>
      </c>
      <c r="R1447" s="1" t="n">
        <v>944.87</v>
      </c>
      <c r="S1447" s="1" t="n">
        <v>4304.38</v>
      </c>
      <c r="T1447" s="1" t="n">
        <v>1855.46</v>
      </c>
      <c r="U1447" s="1" t="n">
        <v>2448.92</v>
      </c>
      <c r="V1447" s="1" t="n">
        <v>56.89</v>
      </c>
      <c r="W1447" s="1" t="s">
        <v>39</v>
      </c>
      <c r="Y1447" s="1" t="s">
        <v>40</v>
      </c>
      <c r="Z1447" s="1" t="n">
        <v>2</v>
      </c>
      <c r="AA1447" s="1" t="str">
        <f aca="false">TRIM(PROPER(F1447))</f>
        <v>Bengaluru</v>
      </c>
      <c r="AB1447" s="1" t="str">
        <f aca="false">TRIM(PROPER(C1447))</f>
        <v>Great Learning</v>
      </c>
      <c r="AC1447" s="1" t="str">
        <f aca="false">IF(O1447=0,"No Discount",IF(O1447&lt;=15,"Low (1-15%)",IF(O1447&lt;=30,"Medium (16-30%)","High (&gt;30%)")))</f>
        <v>Medium (16-30%)</v>
      </c>
      <c r="AD1447" s="1" t="str">
        <f aca="false">IF(V1447&lt;0,"Loss Making",IF(V1447&lt;20,"Low Margin","Healthy Margin"))</f>
        <v>Healthy Margin</v>
      </c>
      <c r="AE1447" s="1" t="str">
        <f aca="false">TEXT(DATE(VALUE(RIGHT(B1447,4)),VALUE(MID(B1447,4,2)),VALUE(LEFT(B1447,2))),"MMM-YYYY")</f>
        <v>May-2024</v>
      </c>
      <c r="AF1447" s="1" t="n">
        <f aca="false">VALUE(RIGHT(B1447,4))</f>
        <v>2024</v>
      </c>
      <c r="AG1447" s="1" t="str">
        <f aca="false">CHOOSE(ROUNDUP(VALUE(MID(B1447,4,2))/3,0),"Q1","Q2","Q3","Q4")</f>
        <v>Q2</v>
      </c>
    </row>
    <row r="1448" customFormat="false" ht="15" hidden="false" customHeight="true" outlineLevel="0" collapsed="false">
      <c r="A1448" s="1" t="s">
        <v>2247</v>
      </c>
      <c r="B1448" s="1" t="s">
        <v>787</v>
      </c>
      <c r="C1448" s="1" t="s">
        <v>88</v>
      </c>
      <c r="D1448" s="1" t="s">
        <v>143</v>
      </c>
      <c r="E1448" s="1" t="s">
        <v>243</v>
      </c>
      <c r="F1448" s="1" t="s">
        <v>205</v>
      </c>
      <c r="G1448" s="1" t="s">
        <v>56</v>
      </c>
      <c r="H1448" s="1" t="s">
        <v>69</v>
      </c>
      <c r="I1448" s="1" t="s">
        <v>83</v>
      </c>
      <c r="J1448" s="1" t="s">
        <v>131</v>
      </c>
      <c r="K1448" s="1" t="s">
        <v>90</v>
      </c>
      <c r="L1448" s="1" t="s">
        <v>85</v>
      </c>
      <c r="M1448" s="1" t="s">
        <v>50</v>
      </c>
      <c r="N1448" s="1" t="n">
        <v>22999</v>
      </c>
      <c r="O1448" s="1" t="n">
        <v>10</v>
      </c>
      <c r="P1448" s="1" t="n">
        <v>2299.9</v>
      </c>
      <c r="Q1448" s="1" t="n">
        <v>20699.1</v>
      </c>
      <c r="R1448" s="1" t="n">
        <v>3725.84</v>
      </c>
      <c r="S1448" s="1" t="n">
        <v>16973.26</v>
      </c>
      <c r="T1448" s="1" t="n">
        <v>7078.88</v>
      </c>
      <c r="U1448" s="1" t="n">
        <v>9894.38</v>
      </c>
      <c r="V1448" s="1" t="n">
        <v>58.29</v>
      </c>
      <c r="W1448" s="1" t="s">
        <v>39</v>
      </c>
      <c r="X1448" s="1" t="n">
        <v>3.7</v>
      </c>
      <c r="Y1448" s="1" t="s">
        <v>40</v>
      </c>
      <c r="Z1448" s="1" t="n">
        <v>0</v>
      </c>
      <c r="AA1448" s="1" t="str">
        <f aca="false">TRIM(PROPER(F1448))</f>
        <v>New Delhi</v>
      </c>
      <c r="AB1448" s="1" t="str">
        <f aca="false">TRIM(PROPER(C1448))</f>
        <v>Byju'S</v>
      </c>
      <c r="AC1448" s="1" t="str">
        <f aca="false">IF(O1448=0,"No Discount",IF(O1448&lt;=15,"Low (1-15%)",IF(O1448&lt;=30,"Medium (16-30%)","High (&gt;30%)")))</f>
        <v>Low (1-15%)</v>
      </c>
      <c r="AD1448" s="1" t="str">
        <f aca="false">IF(V1448&lt;0,"Loss Making",IF(V1448&lt;20,"Low Margin","Healthy Margin"))</f>
        <v>Healthy Margin</v>
      </c>
      <c r="AE1448" s="1" t="str">
        <f aca="false">TEXT(DATE(VALUE(RIGHT(B1448,4)),VALUE(MID(B1448,4,2)),VALUE(LEFT(B1448,2))),"MMM-YYYY")</f>
        <v>Feb-2024</v>
      </c>
      <c r="AF1448" s="1" t="n">
        <f aca="false">VALUE(RIGHT(B1448,4))</f>
        <v>2024</v>
      </c>
      <c r="AG1448" s="1" t="str">
        <f aca="false">CHOOSE(ROUNDUP(VALUE(MID(B1448,4,2))/3,0),"Q1","Q2","Q3","Q4")</f>
        <v>Q1</v>
      </c>
    </row>
    <row r="1449" customFormat="false" ht="15" hidden="false" customHeight="true" outlineLevel="0" collapsed="false">
      <c r="A1449" s="1" t="s">
        <v>2248</v>
      </c>
      <c r="B1449" s="1" t="s">
        <v>594</v>
      </c>
      <c r="C1449" s="1" t="s">
        <v>249</v>
      </c>
      <c r="D1449" s="1" t="s">
        <v>123</v>
      </c>
      <c r="E1449" s="1" t="s">
        <v>233</v>
      </c>
      <c r="F1449" s="1" t="s">
        <v>31</v>
      </c>
      <c r="G1449" s="1" t="s">
        <v>32</v>
      </c>
      <c r="H1449" s="1" t="s">
        <v>33</v>
      </c>
      <c r="I1449" s="1" t="s">
        <v>34</v>
      </c>
      <c r="J1449" s="1" t="s">
        <v>131</v>
      </c>
      <c r="K1449" s="1" t="s">
        <v>90</v>
      </c>
      <c r="L1449" s="1" t="s">
        <v>49</v>
      </c>
      <c r="M1449" s="1" t="s">
        <v>62</v>
      </c>
      <c r="N1449" s="1" t="n">
        <v>8999</v>
      </c>
      <c r="O1449" s="1" t="n">
        <v>0</v>
      </c>
      <c r="P1449" s="1" t="n">
        <v>0</v>
      </c>
      <c r="Q1449" s="1" t="n">
        <v>8999</v>
      </c>
      <c r="R1449" s="1" t="n">
        <v>1619.82</v>
      </c>
      <c r="S1449" s="1" t="n">
        <v>7379.18</v>
      </c>
      <c r="T1449" s="1" t="n">
        <v>3599.93</v>
      </c>
      <c r="U1449" s="1" t="n">
        <v>3779.25</v>
      </c>
      <c r="V1449" s="1" t="n">
        <v>51.22</v>
      </c>
      <c r="W1449" s="1" t="s">
        <v>40</v>
      </c>
      <c r="Y1449" s="1" t="s">
        <v>39</v>
      </c>
      <c r="Z1449" s="1" t="n">
        <v>2</v>
      </c>
      <c r="AA1449" s="1" t="str">
        <f aca="false">TRIM(PROPER(F1449))</f>
        <v>Jodhpur</v>
      </c>
      <c r="AB1449" s="1" t="str">
        <f aca="false">TRIM(PROPER(C1449))</f>
        <v>Whitehat Jr</v>
      </c>
      <c r="AC1449" s="1" t="str">
        <f aca="false">IF(O1449=0,"No Discount",IF(O1449&lt;=15,"Low (1-15%)",IF(O1449&lt;=30,"Medium (16-30%)","High (&gt;30%)")))</f>
        <v>No Discount</v>
      </c>
      <c r="AD1449" s="1" t="str">
        <f aca="false">IF(V1449&lt;0,"Loss Making",IF(V1449&lt;20,"Low Margin","Healthy Margin"))</f>
        <v>Healthy Margin</v>
      </c>
      <c r="AE1449" s="1" t="str">
        <f aca="false">TEXT(DATE(VALUE(RIGHT(B1449,4)),VALUE(MID(B1449,4,2)),VALUE(LEFT(B1449,2))),"MMM-YYYY")</f>
        <v>Oct-2024</v>
      </c>
      <c r="AF1449" s="1" t="n">
        <f aca="false">VALUE(RIGHT(B1449,4))</f>
        <v>2024</v>
      </c>
      <c r="AG1449" s="1" t="str">
        <f aca="false">CHOOSE(ROUNDUP(VALUE(MID(B1449,4,2))/3,0),"Q1","Q2","Q3","Q4")</f>
        <v>Q4</v>
      </c>
    </row>
    <row r="1450" customFormat="false" ht="15" hidden="false" customHeight="true" outlineLevel="0" collapsed="false">
      <c r="A1450" s="1" t="s">
        <v>2249</v>
      </c>
      <c r="B1450" s="1" t="s">
        <v>401</v>
      </c>
      <c r="C1450" s="1" t="s">
        <v>100</v>
      </c>
      <c r="D1450" s="1" t="s">
        <v>94</v>
      </c>
      <c r="E1450" s="1" t="s">
        <v>101</v>
      </c>
      <c r="F1450" s="1" t="s">
        <v>46</v>
      </c>
      <c r="G1450" s="1" t="s">
        <v>47</v>
      </c>
      <c r="H1450" s="1" t="s">
        <v>33</v>
      </c>
      <c r="I1450" s="1" t="s">
        <v>34</v>
      </c>
      <c r="J1450" s="1" t="s">
        <v>77</v>
      </c>
      <c r="K1450" s="1" t="s">
        <v>36</v>
      </c>
      <c r="L1450" s="1" t="s">
        <v>61</v>
      </c>
      <c r="M1450" s="1" t="s">
        <v>50</v>
      </c>
      <c r="N1450" s="1" t="n">
        <v>14999</v>
      </c>
      <c r="O1450" s="1" t="n">
        <v>0</v>
      </c>
      <c r="P1450" s="1" t="n">
        <v>0</v>
      </c>
      <c r="Q1450" s="1" t="n">
        <v>14999</v>
      </c>
      <c r="R1450" s="1" t="n">
        <v>2699.82</v>
      </c>
      <c r="S1450" s="1" t="n">
        <v>12299.18</v>
      </c>
      <c r="T1450" s="1" t="n">
        <v>5722.56</v>
      </c>
      <c r="U1450" s="1" t="n">
        <v>6576.62</v>
      </c>
      <c r="V1450" s="1" t="n">
        <v>53.47</v>
      </c>
      <c r="W1450" s="1" t="s">
        <v>39</v>
      </c>
      <c r="X1450" s="1" t="n">
        <v>3.9</v>
      </c>
      <c r="Y1450" s="1" t="s">
        <v>40</v>
      </c>
      <c r="Z1450" s="1" t="n">
        <v>0</v>
      </c>
      <c r="AA1450" s="1" t="str">
        <f aca="false">TRIM(PROPER(F1450))</f>
        <v>Mangaluru</v>
      </c>
      <c r="AB1450" s="1" t="str">
        <f aca="false">TRIM(PROPER(C1450))</f>
        <v>Physics Wallah</v>
      </c>
      <c r="AC1450" s="1" t="str">
        <f aca="false">IF(O1450=0,"No Discount",IF(O1450&lt;=15,"Low (1-15%)",IF(O1450&lt;=30,"Medium (16-30%)","High (&gt;30%)")))</f>
        <v>No Discount</v>
      </c>
      <c r="AD1450" s="1" t="str">
        <f aca="false">IF(V1450&lt;0,"Loss Making",IF(V1450&lt;20,"Low Margin","Healthy Margin"))</f>
        <v>Healthy Margin</v>
      </c>
      <c r="AE1450" s="1" t="str">
        <f aca="false">TEXT(DATE(VALUE(RIGHT(B1450,4)),VALUE(MID(B1450,4,2)),VALUE(LEFT(B1450,2))),"MMM-YYYY")</f>
        <v>May-2024</v>
      </c>
      <c r="AF1450" s="1" t="n">
        <f aca="false">VALUE(RIGHT(B1450,4))</f>
        <v>2024</v>
      </c>
      <c r="AG1450" s="1" t="str">
        <f aca="false">CHOOSE(ROUNDUP(VALUE(MID(B1450,4,2))/3,0),"Q1","Q2","Q3","Q4")</f>
        <v>Q2</v>
      </c>
    </row>
    <row r="1451" customFormat="false" ht="15" hidden="false" customHeight="true" outlineLevel="0" collapsed="false">
      <c r="A1451" s="1" t="s">
        <v>2250</v>
      </c>
      <c r="B1451" s="1" t="s">
        <v>404</v>
      </c>
      <c r="C1451" s="1" t="s">
        <v>100</v>
      </c>
      <c r="D1451" s="1" t="s">
        <v>143</v>
      </c>
      <c r="E1451" s="1" t="s">
        <v>159</v>
      </c>
      <c r="F1451" s="1" t="s">
        <v>211</v>
      </c>
      <c r="G1451" s="1" t="s">
        <v>56</v>
      </c>
      <c r="H1451" s="1" t="s">
        <v>69</v>
      </c>
      <c r="I1451" s="1" t="s">
        <v>83</v>
      </c>
      <c r="J1451" s="1" t="s">
        <v>35</v>
      </c>
      <c r="K1451" s="1" t="s">
        <v>71</v>
      </c>
      <c r="L1451" s="1" t="s">
        <v>49</v>
      </c>
      <c r="M1451" s="1" t="s">
        <v>38</v>
      </c>
      <c r="N1451" s="1" t="n">
        <v>24999</v>
      </c>
      <c r="O1451" s="1" t="n">
        <v>50</v>
      </c>
      <c r="P1451" s="1" t="n">
        <v>12499.5</v>
      </c>
      <c r="Q1451" s="1" t="n">
        <v>12499.5</v>
      </c>
      <c r="R1451" s="1" t="n">
        <v>2249.91</v>
      </c>
      <c r="S1451" s="1" t="n">
        <v>10249.59</v>
      </c>
      <c r="T1451" s="1" t="n">
        <v>5303.31</v>
      </c>
      <c r="U1451" s="1" t="n">
        <v>4946.28</v>
      </c>
      <c r="V1451" s="1" t="n">
        <v>48.26</v>
      </c>
      <c r="W1451" s="1" t="s">
        <v>40</v>
      </c>
      <c r="Y1451" s="1" t="s">
        <v>40</v>
      </c>
      <c r="Z1451" s="1" t="n">
        <v>0</v>
      </c>
      <c r="AA1451" s="1" t="str">
        <f aca="false">TRIM(PROPER(F1451))</f>
        <v>Noida</v>
      </c>
      <c r="AB1451" s="1" t="str">
        <f aca="false">TRIM(PROPER(C1451))</f>
        <v>Physics Wallah</v>
      </c>
      <c r="AC1451" s="1" t="str">
        <f aca="false">IF(O1451=0,"No Discount",IF(O1451&lt;=15,"Low (1-15%)",IF(O1451&lt;=30,"Medium (16-30%)","High (&gt;30%)")))</f>
        <v>High (&gt;30%)</v>
      </c>
      <c r="AD1451" s="1" t="str">
        <f aca="false">IF(V1451&lt;0,"Loss Making",IF(V1451&lt;20,"Low Margin","Healthy Margin"))</f>
        <v>Healthy Margin</v>
      </c>
      <c r="AE1451" s="1" t="str">
        <f aca="false">TEXT(DATE(VALUE(RIGHT(B1451,4)),VALUE(MID(B1451,4,2)),VALUE(LEFT(B1451,2))),"MMM-YYYY")</f>
        <v>Dec-2024</v>
      </c>
      <c r="AF1451" s="1" t="n">
        <f aca="false">VALUE(RIGHT(B1451,4))</f>
        <v>2024</v>
      </c>
      <c r="AG1451" s="1" t="str">
        <f aca="false">CHOOSE(ROUNDUP(VALUE(MID(B1451,4,2))/3,0),"Q1","Q2","Q3","Q4")</f>
        <v>Q4</v>
      </c>
    </row>
    <row r="1452" customFormat="false" ht="15" hidden="false" customHeight="true" outlineLevel="0" collapsed="false">
      <c r="A1452" s="1" t="s">
        <v>2251</v>
      </c>
      <c r="B1452" s="1" t="s">
        <v>1510</v>
      </c>
      <c r="C1452" s="1" t="s">
        <v>178</v>
      </c>
      <c r="D1452" s="1" t="s">
        <v>44</v>
      </c>
      <c r="E1452" s="1" t="s">
        <v>66</v>
      </c>
      <c r="F1452" s="1" t="s">
        <v>194</v>
      </c>
      <c r="G1452" s="1" t="s">
        <v>103</v>
      </c>
      <c r="H1452" s="1" t="s">
        <v>69</v>
      </c>
      <c r="I1452" s="1" t="s">
        <v>58</v>
      </c>
      <c r="J1452" s="1" t="s">
        <v>77</v>
      </c>
      <c r="K1452" s="1" t="s">
        <v>36</v>
      </c>
      <c r="L1452" s="1" t="s">
        <v>136</v>
      </c>
      <c r="M1452" s="1" t="s">
        <v>38</v>
      </c>
      <c r="N1452" s="1" t="n">
        <v>12999</v>
      </c>
      <c r="O1452" s="1" t="n">
        <v>0</v>
      </c>
      <c r="P1452" s="1" t="n">
        <v>0</v>
      </c>
      <c r="Q1452" s="1" t="n">
        <v>12999</v>
      </c>
      <c r="R1452" s="1" t="n">
        <v>2339.82</v>
      </c>
      <c r="S1452" s="1" t="n">
        <v>10659.18</v>
      </c>
      <c r="T1452" s="1" t="n">
        <v>3065</v>
      </c>
      <c r="U1452" s="1" t="n">
        <v>7594.18</v>
      </c>
      <c r="V1452" s="1" t="n">
        <v>71.25</v>
      </c>
      <c r="W1452" s="1" t="s">
        <v>39</v>
      </c>
      <c r="X1452" s="1" t="n">
        <v>3.7</v>
      </c>
      <c r="Y1452" s="1" t="s">
        <v>40</v>
      </c>
      <c r="Z1452" s="1" t="n">
        <v>0</v>
      </c>
      <c r="AA1452" s="1" t="str">
        <f aca="false">TRIM(PROPER(F1452))</f>
        <v>Hyderabad</v>
      </c>
      <c r="AB1452" s="1" t="str">
        <f aca="false">TRIM(PROPER(C1452))</f>
        <v>Leverage Edu</v>
      </c>
      <c r="AC1452" s="1" t="str">
        <f aca="false">IF(O1452=0,"No Discount",IF(O1452&lt;=15,"Low (1-15%)",IF(O1452&lt;=30,"Medium (16-30%)","High (&gt;30%)")))</f>
        <v>No Discount</v>
      </c>
      <c r="AD1452" s="1" t="str">
        <f aca="false">IF(V1452&lt;0,"Loss Making",IF(V1452&lt;20,"Low Margin","Healthy Margin"))</f>
        <v>Healthy Margin</v>
      </c>
      <c r="AE1452" s="1" t="str">
        <f aca="false">TEXT(DATE(VALUE(RIGHT(B1452,4)),VALUE(MID(B1452,4,2)),VALUE(LEFT(B1452,2))),"MMM-YYYY")</f>
        <v>Nov-2024</v>
      </c>
      <c r="AF1452" s="1" t="n">
        <f aca="false">VALUE(RIGHT(B1452,4))</f>
        <v>2024</v>
      </c>
      <c r="AG1452" s="1" t="str">
        <f aca="false">CHOOSE(ROUNDUP(VALUE(MID(B1452,4,2))/3,0),"Q1","Q2","Q3","Q4")</f>
        <v>Q4</v>
      </c>
    </row>
    <row r="1453" customFormat="false" ht="15" hidden="false" customHeight="true" outlineLevel="0" collapsed="false">
      <c r="A1453" s="1" t="s">
        <v>2252</v>
      </c>
      <c r="B1453" s="1" t="s">
        <v>1029</v>
      </c>
      <c r="C1453" s="1" t="s">
        <v>134</v>
      </c>
      <c r="D1453" s="1" t="s">
        <v>80</v>
      </c>
      <c r="E1453" s="1" t="s">
        <v>81</v>
      </c>
      <c r="F1453" s="1" t="s">
        <v>107</v>
      </c>
      <c r="G1453" s="1" t="s">
        <v>108</v>
      </c>
      <c r="H1453" s="1" t="s">
        <v>33</v>
      </c>
      <c r="I1453" s="1" t="s">
        <v>34</v>
      </c>
      <c r="J1453" s="1" t="s">
        <v>35</v>
      </c>
      <c r="K1453" s="1" t="s">
        <v>104</v>
      </c>
      <c r="L1453" s="1" t="s">
        <v>136</v>
      </c>
      <c r="M1453" s="1" t="s">
        <v>62</v>
      </c>
      <c r="N1453" s="1" t="n">
        <v>12999</v>
      </c>
      <c r="O1453" s="1" t="n">
        <v>20</v>
      </c>
      <c r="P1453" s="1" t="n">
        <v>2599.8</v>
      </c>
      <c r="Q1453" s="1" t="n">
        <v>10399.2</v>
      </c>
      <c r="R1453" s="1" t="n">
        <v>1871.86</v>
      </c>
      <c r="S1453" s="1" t="n">
        <v>8527.34</v>
      </c>
      <c r="T1453" s="1" t="n">
        <v>4284.55</v>
      </c>
      <c r="U1453" s="1" t="n">
        <v>4242.79</v>
      </c>
      <c r="V1453" s="1" t="n">
        <v>49.76</v>
      </c>
      <c r="W1453" s="1" t="s">
        <v>39</v>
      </c>
      <c r="X1453" s="1" t="n">
        <v>3.7</v>
      </c>
      <c r="Y1453" s="1" t="s">
        <v>40</v>
      </c>
      <c r="Z1453" s="1" t="n">
        <v>2</v>
      </c>
      <c r="AA1453" s="1" t="str">
        <f aca="false">TRIM(PROPER(F1453))</f>
        <v>Madurai</v>
      </c>
      <c r="AB1453" s="1" t="str">
        <f aca="false">TRIM(PROPER(C1453))</f>
        <v>Doubtnut</v>
      </c>
      <c r="AC1453" s="1" t="str">
        <f aca="false">IF(O1453=0,"No Discount",IF(O1453&lt;=15,"Low (1-15%)",IF(O1453&lt;=30,"Medium (16-30%)","High (&gt;30%)")))</f>
        <v>Medium (16-30%)</v>
      </c>
      <c r="AD1453" s="1" t="str">
        <f aca="false">IF(V1453&lt;0,"Loss Making",IF(V1453&lt;20,"Low Margin","Healthy Margin"))</f>
        <v>Healthy Margin</v>
      </c>
      <c r="AE1453" s="1" t="str">
        <f aca="false">TEXT(DATE(VALUE(RIGHT(B1453,4)),VALUE(MID(B1453,4,2)),VALUE(LEFT(B1453,2))),"MMM-YYYY")</f>
        <v>Dec-2023</v>
      </c>
      <c r="AF1453" s="1" t="n">
        <f aca="false">VALUE(RIGHT(B1453,4))</f>
        <v>2023</v>
      </c>
      <c r="AG1453" s="1" t="str">
        <f aca="false">CHOOSE(ROUNDUP(VALUE(MID(B1453,4,2))/3,0),"Q1","Q2","Q3","Q4")</f>
        <v>Q4</v>
      </c>
    </row>
    <row r="1454" customFormat="false" ht="15" hidden="false" customHeight="true" outlineLevel="0" collapsed="false">
      <c r="A1454" s="1" t="s">
        <v>2253</v>
      </c>
      <c r="B1454" s="1" t="s">
        <v>1458</v>
      </c>
      <c r="C1454" s="1" t="s">
        <v>178</v>
      </c>
      <c r="D1454" s="1" t="s">
        <v>80</v>
      </c>
      <c r="E1454" s="1" t="s">
        <v>190</v>
      </c>
      <c r="F1454" s="1" t="s">
        <v>102</v>
      </c>
      <c r="G1454" s="1" t="s">
        <v>103</v>
      </c>
      <c r="H1454" s="1" t="s">
        <v>33</v>
      </c>
      <c r="I1454" s="1" t="s">
        <v>83</v>
      </c>
      <c r="J1454" s="1" t="s">
        <v>77</v>
      </c>
      <c r="K1454" s="1" t="s">
        <v>71</v>
      </c>
      <c r="L1454" s="1" t="s">
        <v>113</v>
      </c>
      <c r="M1454" s="1" t="s">
        <v>50</v>
      </c>
      <c r="N1454" s="1" t="n">
        <v>15999</v>
      </c>
      <c r="O1454" s="1" t="n">
        <v>0</v>
      </c>
      <c r="P1454" s="1" t="n">
        <v>0</v>
      </c>
      <c r="Q1454" s="1" t="n">
        <v>15999</v>
      </c>
      <c r="R1454" s="1" t="n">
        <v>2879.82</v>
      </c>
      <c r="S1454" s="1" t="n">
        <v>13119.18</v>
      </c>
      <c r="T1454" s="1" t="n">
        <v>5688.68</v>
      </c>
      <c r="U1454" s="1" t="n">
        <v>7430.5</v>
      </c>
      <c r="V1454" s="1" t="n">
        <v>56.64</v>
      </c>
      <c r="W1454" s="1" t="s">
        <v>39</v>
      </c>
      <c r="X1454" s="1" t="n">
        <v>4.4</v>
      </c>
      <c r="Y1454" s="1" t="s">
        <v>40</v>
      </c>
      <c r="Z1454" s="1" t="n">
        <v>0</v>
      </c>
      <c r="AA1454" s="1" t="str">
        <f aca="false">TRIM(PROPER(F1454))</f>
        <v>Warangal</v>
      </c>
      <c r="AB1454" s="1" t="str">
        <f aca="false">TRIM(PROPER(C1454))</f>
        <v>Leverage Edu</v>
      </c>
      <c r="AC1454" s="1" t="str">
        <f aca="false">IF(O1454=0,"No Discount",IF(O1454&lt;=15,"Low (1-15%)",IF(O1454&lt;=30,"Medium (16-30%)","High (&gt;30%)")))</f>
        <v>No Discount</v>
      </c>
      <c r="AD1454" s="1" t="str">
        <f aca="false">IF(V1454&lt;0,"Loss Making",IF(V1454&lt;20,"Low Margin","Healthy Margin"))</f>
        <v>Healthy Margin</v>
      </c>
      <c r="AE1454" s="1" t="str">
        <f aca="false">TEXT(DATE(VALUE(RIGHT(B1454,4)),VALUE(MID(B1454,4,2)),VALUE(LEFT(B1454,2))),"MMM-YYYY")</f>
        <v>Apr-2023</v>
      </c>
      <c r="AF1454" s="1" t="n">
        <f aca="false">VALUE(RIGHT(B1454,4))</f>
        <v>2023</v>
      </c>
      <c r="AG1454" s="1" t="str">
        <f aca="false">CHOOSE(ROUNDUP(VALUE(MID(B1454,4,2))/3,0),"Q1","Q2","Q3","Q4")</f>
        <v>Q2</v>
      </c>
    </row>
    <row r="1455" customFormat="false" ht="15" hidden="false" customHeight="true" outlineLevel="0" collapsed="false">
      <c r="A1455" s="1" t="s">
        <v>2254</v>
      </c>
      <c r="B1455" s="1" t="s">
        <v>1486</v>
      </c>
      <c r="C1455" s="1" t="s">
        <v>43</v>
      </c>
      <c r="D1455" s="1" t="s">
        <v>80</v>
      </c>
      <c r="E1455" s="1" t="s">
        <v>81</v>
      </c>
      <c r="F1455" s="1" t="s">
        <v>102</v>
      </c>
      <c r="G1455" s="1" t="s">
        <v>103</v>
      </c>
      <c r="H1455" s="1" t="s">
        <v>33</v>
      </c>
      <c r="I1455" s="1" t="s">
        <v>34</v>
      </c>
      <c r="J1455" s="1" t="s">
        <v>59</v>
      </c>
      <c r="K1455" s="1" t="s">
        <v>48</v>
      </c>
      <c r="L1455" s="1" t="s">
        <v>37</v>
      </c>
      <c r="M1455" s="1" t="s">
        <v>38</v>
      </c>
      <c r="N1455" s="1" t="n">
        <v>12999</v>
      </c>
      <c r="O1455" s="1" t="n">
        <v>40</v>
      </c>
      <c r="P1455" s="1" t="n">
        <v>5199.6</v>
      </c>
      <c r="Q1455" s="1" t="n">
        <v>7799.4</v>
      </c>
      <c r="R1455" s="1" t="n">
        <v>1403.89</v>
      </c>
      <c r="S1455" s="1" t="n">
        <v>6395.51</v>
      </c>
      <c r="T1455" s="1" t="n">
        <v>3379.45</v>
      </c>
      <c r="U1455" s="1" t="n">
        <v>3016.06</v>
      </c>
      <c r="V1455" s="1" t="n">
        <v>47.16</v>
      </c>
      <c r="W1455" s="1" t="s">
        <v>39</v>
      </c>
      <c r="X1455" s="1" t="n">
        <v>3.6</v>
      </c>
      <c r="Y1455" s="1" t="s">
        <v>40</v>
      </c>
      <c r="Z1455" s="1" t="n">
        <v>0</v>
      </c>
      <c r="AA1455" s="1" t="str">
        <f aca="false">TRIM(PROPER(F1455))</f>
        <v>Warangal</v>
      </c>
      <c r="AB1455" s="1" t="str">
        <f aca="false">TRIM(PROPER(C1455))</f>
        <v>Meritnation</v>
      </c>
      <c r="AC1455" s="1" t="str">
        <f aca="false">IF(O1455=0,"No Discount",IF(O1455&lt;=15,"Low (1-15%)",IF(O1455&lt;=30,"Medium (16-30%)","High (&gt;30%)")))</f>
        <v>High (&gt;30%)</v>
      </c>
      <c r="AD1455" s="1" t="str">
        <f aca="false">IF(V1455&lt;0,"Loss Making",IF(V1455&lt;20,"Low Margin","Healthy Margin"))</f>
        <v>Healthy Margin</v>
      </c>
      <c r="AE1455" s="1" t="str">
        <f aca="false">TEXT(DATE(VALUE(RIGHT(B1455,4)),VALUE(MID(B1455,4,2)),VALUE(LEFT(B1455,2))),"MMM-YYYY")</f>
        <v>Jun-2024</v>
      </c>
      <c r="AF1455" s="1" t="n">
        <f aca="false">VALUE(RIGHT(B1455,4))</f>
        <v>2024</v>
      </c>
      <c r="AG1455" s="1" t="str">
        <f aca="false">CHOOSE(ROUNDUP(VALUE(MID(B1455,4,2))/3,0),"Q1","Q2","Q3","Q4")</f>
        <v>Q2</v>
      </c>
    </row>
    <row r="1456" customFormat="false" ht="15" hidden="false" customHeight="true" outlineLevel="0" collapsed="false">
      <c r="A1456" s="1" t="s">
        <v>2255</v>
      </c>
      <c r="B1456" s="1" t="s">
        <v>805</v>
      </c>
      <c r="C1456" s="1" t="s">
        <v>139</v>
      </c>
      <c r="D1456" s="1" t="s">
        <v>44</v>
      </c>
      <c r="E1456" s="1" t="s">
        <v>45</v>
      </c>
      <c r="F1456" s="1" t="s">
        <v>1075</v>
      </c>
      <c r="G1456" s="1" t="s">
        <v>76</v>
      </c>
      <c r="H1456" s="1" t="s">
        <v>69</v>
      </c>
      <c r="I1456" s="1" t="s">
        <v>34</v>
      </c>
      <c r="J1456" s="1" t="s">
        <v>77</v>
      </c>
      <c r="K1456" s="1" t="s">
        <v>104</v>
      </c>
      <c r="L1456" s="1" t="s">
        <v>61</v>
      </c>
      <c r="M1456" s="1" t="s">
        <v>50</v>
      </c>
      <c r="N1456" s="1" t="n">
        <v>11999</v>
      </c>
      <c r="O1456" s="1" t="n">
        <v>0</v>
      </c>
      <c r="P1456" s="1" t="n">
        <v>0</v>
      </c>
      <c r="Q1456" s="1" t="n">
        <v>11999</v>
      </c>
      <c r="R1456" s="1" t="n">
        <v>2159.82</v>
      </c>
      <c r="S1456" s="1" t="n">
        <v>9839.18</v>
      </c>
      <c r="T1456" s="1" t="n">
        <v>4091.85</v>
      </c>
      <c r="U1456" s="1" t="n">
        <v>5747.33</v>
      </c>
      <c r="V1456" s="1" t="n">
        <v>58.41</v>
      </c>
      <c r="W1456" s="1" t="s">
        <v>40</v>
      </c>
      <c r="Y1456" s="1" t="s">
        <v>40</v>
      </c>
      <c r="Z1456" s="1" t="n">
        <v>0</v>
      </c>
      <c r="AA1456" s="1" t="str">
        <f aca="false">TRIM(PROPER(F1456))</f>
        <v>Kolkata</v>
      </c>
      <c r="AB1456" s="1" t="str">
        <f aca="false">TRIM(PROPER(C1456))</f>
        <v>Extramarks</v>
      </c>
      <c r="AC1456" s="1" t="str">
        <f aca="false">IF(O1456=0,"No Discount",IF(O1456&lt;=15,"Low (1-15%)",IF(O1456&lt;=30,"Medium (16-30%)","High (&gt;30%)")))</f>
        <v>No Discount</v>
      </c>
      <c r="AD1456" s="1" t="str">
        <f aca="false">IF(V1456&lt;0,"Loss Making",IF(V1456&lt;20,"Low Margin","Healthy Margin"))</f>
        <v>Healthy Margin</v>
      </c>
      <c r="AE1456" s="1" t="str">
        <f aca="false">TEXT(DATE(VALUE(RIGHT(B1456,4)),VALUE(MID(B1456,4,2)),VALUE(LEFT(B1456,2))),"MMM-YYYY")</f>
        <v>Jan-2023</v>
      </c>
      <c r="AF1456" s="1" t="n">
        <f aca="false">VALUE(RIGHT(B1456,4))</f>
        <v>2023</v>
      </c>
      <c r="AG1456" s="1" t="str">
        <f aca="false">CHOOSE(ROUNDUP(VALUE(MID(B1456,4,2))/3,0),"Q1","Q2","Q3","Q4")</f>
        <v>Q1</v>
      </c>
    </row>
    <row r="1457" customFormat="false" ht="15" hidden="false" customHeight="true" outlineLevel="0" collapsed="false">
      <c r="A1457" s="1" t="s">
        <v>2256</v>
      </c>
      <c r="B1457" s="1" t="s">
        <v>1219</v>
      </c>
      <c r="C1457" s="1" t="s">
        <v>88</v>
      </c>
      <c r="D1457" s="1" t="s">
        <v>94</v>
      </c>
      <c r="E1457" s="1" t="s">
        <v>101</v>
      </c>
      <c r="F1457" s="1" t="s">
        <v>120</v>
      </c>
      <c r="G1457" s="1" t="s">
        <v>47</v>
      </c>
      <c r="H1457" s="1" t="s">
        <v>57</v>
      </c>
      <c r="I1457" s="1" t="s">
        <v>34</v>
      </c>
      <c r="J1457" s="1" t="s">
        <v>35</v>
      </c>
      <c r="K1457" s="1" t="s">
        <v>71</v>
      </c>
      <c r="L1457" s="1" t="s">
        <v>61</v>
      </c>
      <c r="M1457" s="1" t="s">
        <v>50</v>
      </c>
      <c r="N1457" s="1" t="n">
        <v>14999</v>
      </c>
      <c r="O1457" s="1" t="n">
        <v>20</v>
      </c>
      <c r="P1457" s="1" t="n">
        <v>2999.8</v>
      </c>
      <c r="Q1457" s="1" t="n">
        <v>11999.2</v>
      </c>
      <c r="R1457" s="1" t="n">
        <v>2159.86</v>
      </c>
      <c r="S1457" s="1" t="n">
        <v>9839.34</v>
      </c>
      <c r="T1457" s="1" t="n">
        <v>4355.29</v>
      </c>
      <c r="U1457" s="1" t="n">
        <v>5484.05</v>
      </c>
      <c r="V1457" s="1" t="n">
        <v>55.74</v>
      </c>
      <c r="W1457" s="1" t="s">
        <v>40</v>
      </c>
      <c r="Y1457" s="1" t="s">
        <v>40</v>
      </c>
      <c r="Z1457" s="1" t="n">
        <v>2</v>
      </c>
      <c r="AA1457" s="1" t="str">
        <f aca="false">TRIM(PROPER(F1457))</f>
        <v>Mysuru</v>
      </c>
      <c r="AB1457" s="1" t="str">
        <f aca="false">TRIM(PROPER(C1457))</f>
        <v>Byju'S</v>
      </c>
      <c r="AC1457" s="1" t="str">
        <f aca="false">IF(O1457=0,"No Discount",IF(O1457&lt;=15,"Low (1-15%)",IF(O1457&lt;=30,"Medium (16-30%)","High (&gt;30%)")))</f>
        <v>Medium (16-30%)</v>
      </c>
      <c r="AD1457" s="1" t="str">
        <f aca="false">IF(V1457&lt;0,"Loss Making",IF(V1457&lt;20,"Low Margin","Healthy Margin"))</f>
        <v>Healthy Margin</v>
      </c>
      <c r="AE1457" s="1" t="str">
        <f aca="false">TEXT(DATE(VALUE(RIGHT(B1457,4)),VALUE(MID(B1457,4,2)),VALUE(LEFT(B1457,2))),"MMM-YYYY")</f>
        <v>Sep-2024</v>
      </c>
      <c r="AF1457" s="1" t="n">
        <f aca="false">VALUE(RIGHT(B1457,4))</f>
        <v>2024</v>
      </c>
      <c r="AG1457" s="1" t="str">
        <f aca="false">CHOOSE(ROUNDUP(VALUE(MID(B1457,4,2))/3,0),"Q1","Q2","Q3","Q4")</f>
        <v>Q3</v>
      </c>
    </row>
    <row r="1458" customFormat="false" ht="15" hidden="false" customHeight="true" outlineLevel="0" collapsed="false">
      <c r="A1458" s="1" t="s">
        <v>2257</v>
      </c>
      <c r="B1458" s="1" t="s">
        <v>1448</v>
      </c>
      <c r="C1458" s="1" t="s">
        <v>139</v>
      </c>
      <c r="D1458" s="1" t="s">
        <v>29</v>
      </c>
      <c r="E1458" s="1" t="s">
        <v>182</v>
      </c>
      <c r="F1458" s="1" t="s">
        <v>156</v>
      </c>
      <c r="G1458" s="1" t="s">
        <v>68</v>
      </c>
      <c r="H1458" s="1" t="s">
        <v>57</v>
      </c>
      <c r="I1458" s="1" t="s">
        <v>83</v>
      </c>
      <c r="J1458" s="1" t="s">
        <v>77</v>
      </c>
      <c r="K1458" s="1" t="s">
        <v>90</v>
      </c>
      <c r="L1458" s="1" t="s">
        <v>85</v>
      </c>
      <c r="M1458" s="1" t="s">
        <v>50</v>
      </c>
      <c r="N1458" s="1" t="n">
        <v>34999</v>
      </c>
      <c r="O1458" s="1" t="n">
        <v>15</v>
      </c>
      <c r="P1458" s="1" t="n">
        <v>5249.85</v>
      </c>
      <c r="Q1458" s="1" t="n">
        <v>29749.15</v>
      </c>
      <c r="R1458" s="1" t="n">
        <v>5354.85</v>
      </c>
      <c r="S1458" s="1" t="n">
        <v>24394.3</v>
      </c>
      <c r="T1458" s="1" t="n">
        <v>11723.83</v>
      </c>
      <c r="U1458" s="1" t="n">
        <v>12670.47</v>
      </c>
      <c r="V1458" s="1" t="n">
        <v>51.94</v>
      </c>
      <c r="W1458" s="1" t="s">
        <v>39</v>
      </c>
      <c r="X1458" s="1" t="n">
        <v>3.8</v>
      </c>
      <c r="Y1458" s="1" t="s">
        <v>40</v>
      </c>
      <c r="Z1458" s="1" t="n">
        <v>0</v>
      </c>
      <c r="AA1458" s="1" t="str">
        <f aca="false">TRIM(PROPER(F1458))</f>
        <v>Surat</v>
      </c>
      <c r="AB1458" s="1" t="str">
        <f aca="false">TRIM(PROPER(C1458))</f>
        <v>Extramarks</v>
      </c>
      <c r="AC1458" s="1" t="str">
        <f aca="false">IF(O1458=0,"No Discount",IF(O1458&lt;=15,"Low (1-15%)",IF(O1458&lt;=30,"Medium (16-30%)","High (&gt;30%)")))</f>
        <v>Low (1-15%)</v>
      </c>
      <c r="AD1458" s="1" t="str">
        <f aca="false">IF(V1458&lt;0,"Loss Making",IF(V1458&lt;20,"Low Margin","Healthy Margin"))</f>
        <v>Healthy Margin</v>
      </c>
      <c r="AE1458" s="1" t="str">
        <f aca="false">TEXT(DATE(VALUE(RIGHT(B1458,4)),VALUE(MID(B1458,4,2)),VALUE(LEFT(B1458,2))),"MMM-YYYY")</f>
        <v>Mar-2023</v>
      </c>
      <c r="AF1458" s="1" t="n">
        <f aca="false">VALUE(RIGHT(B1458,4))</f>
        <v>2023</v>
      </c>
      <c r="AG1458" s="1" t="str">
        <f aca="false">CHOOSE(ROUNDUP(VALUE(MID(B1458,4,2))/3,0),"Q1","Q2","Q3","Q4")</f>
        <v>Q1</v>
      </c>
    </row>
    <row r="1459" customFormat="false" ht="15" hidden="false" customHeight="true" outlineLevel="0" collapsed="false">
      <c r="A1459" s="1" t="s">
        <v>2258</v>
      </c>
      <c r="B1459" s="1" t="s">
        <v>2259</v>
      </c>
      <c r="C1459" s="1" t="s">
        <v>134</v>
      </c>
      <c r="D1459" s="1" t="s">
        <v>123</v>
      </c>
      <c r="E1459" s="1" t="s">
        <v>124</v>
      </c>
      <c r="F1459" s="1" t="s">
        <v>120</v>
      </c>
      <c r="G1459" s="1" t="s">
        <v>47</v>
      </c>
      <c r="H1459" s="1" t="s">
        <v>57</v>
      </c>
      <c r="I1459" s="1" t="s">
        <v>58</v>
      </c>
      <c r="J1459" s="1" t="s">
        <v>35</v>
      </c>
      <c r="K1459" s="1" t="s">
        <v>36</v>
      </c>
      <c r="L1459" s="1" t="s">
        <v>49</v>
      </c>
      <c r="M1459" s="1" t="s">
        <v>38</v>
      </c>
      <c r="N1459" s="1" t="n">
        <v>4999</v>
      </c>
      <c r="O1459" s="1" t="n">
        <v>0</v>
      </c>
      <c r="P1459" s="1" t="n">
        <v>0</v>
      </c>
      <c r="Q1459" s="1" t="n">
        <v>4999</v>
      </c>
      <c r="R1459" s="1" t="n">
        <v>899.82</v>
      </c>
      <c r="S1459" s="1" t="n">
        <v>4099.18</v>
      </c>
      <c r="T1459" s="1" t="n">
        <v>1490.94</v>
      </c>
      <c r="U1459" s="1" t="n">
        <v>2608.24</v>
      </c>
      <c r="V1459" s="1" t="n">
        <v>63.63</v>
      </c>
      <c r="W1459" s="1" t="s">
        <v>39</v>
      </c>
      <c r="X1459" s="1" t="n">
        <v>3.3</v>
      </c>
      <c r="Y1459" s="1" t="s">
        <v>40</v>
      </c>
      <c r="Z1459" s="1" t="n">
        <v>1</v>
      </c>
      <c r="AA1459" s="1" t="str">
        <f aca="false">TRIM(PROPER(F1459))</f>
        <v>Mysuru</v>
      </c>
      <c r="AB1459" s="1" t="str">
        <f aca="false">TRIM(PROPER(C1459))</f>
        <v>Doubtnut</v>
      </c>
      <c r="AC1459" s="1" t="str">
        <f aca="false">IF(O1459=0,"No Discount",IF(O1459&lt;=15,"Low (1-15%)",IF(O1459&lt;=30,"Medium (16-30%)","High (&gt;30%)")))</f>
        <v>No Discount</v>
      </c>
      <c r="AD1459" s="1" t="str">
        <f aca="false">IF(V1459&lt;0,"Loss Making",IF(V1459&lt;20,"Low Margin","Healthy Margin"))</f>
        <v>Healthy Margin</v>
      </c>
      <c r="AE1459" s="1" t="str">
        <f aca="false">TEXT(DATE(VALUE(RIGHT(B1459,4)),VALUE(MID(B1459,4,2)),VALUE(LEFT(B1459,2))),"MMM-YYYY")</f>
        <v>Feb-2024</v>
      </c>
      <c r="AF1459" s="1" t="n">
        <f aca="false">VALUE(RIGHT(B1459,4))</f>
        <v>2024</v>
      </c>
      <c r="AG1459" s="1" t="str">
        <f aca="false">CHOOSE(ROUNDUP(VALUE(MID(B1459,4,2))/3,0),"Q1","Q2","Q3","Q4")</f>
        <v>Q1</v>
      </c>
    </row>
    <row r="1460" customFormat="false" ht="15" hidden="false" customHeight="true" outlineLevel="0" collapsed="false">
      <c r="A1460" s="1" t="s">
        <v>2260</v>
      </c>
      <c r="B1460" s="1" t="s">
        <v>1036</v>
      </c>
      <c r="C1460" s="1" t="s">
        <v>167</v>
      </c>
      <c r="D1460" s="1" t="s">
        <v>143</v>
      </c>
      <c r="E1460" s="1" t="s">
        <v>210</v>
      </c>
      <c r="F1460" s="1" t="s">
        <v>120</v>
      </c>
      <c r="G1460" s="1" t="s">
        <v>47</v>
      </c>
      <c r="H1460" s="1" t="s">
        <v>57</v>
      </c>
      <c r="I1460" s="1" t="s">
        <v>34</v>
      </c>
      <c r="J1460" s="1" t="s">
        <v>131</v>
      </c>
      <c r="K1460" s="1" t="s">
        <v>60</v>
      </c>
      <c r="L1460" s="1" t="s">
        <v>85</v>
      </c>
      <c r="M1460" s="1" t="s">
        <v>62</v>
      </c>
      <c r="N1460" s="1" t="n">
        <v>18999</v>
      </c>
      <c r="O1460" s="1" t="n">
        <v>25</v>
      </c>
      <c r="P1460" s="1" t="n">
        <v>4749.75</v>
      </c>
      <c r="Q1460" s="1" t="n">
        <v>14249.25</v>
      </c>
      <c r="R1460" s="1" t="n">
        <v>2564.86</v>
      </c>
      <c r="S1460" s="1" t="n">
        <v>11684.39</v>
      </c>
      <c r="T1460" s="1" t="n">
        <v>5090.89</v>
      </c>
      <c r="U1460" s="1" t="n">
        <v>6593.5</v>
      </c>
      <c r="V1460" s="1" t="n">
        <v>56.43</v>
      </c>
      <c r="W1460" s="1" t="s">
        <v>39</v>
      </c>
      <c r="X1460" s="1" t="n">
        <v>4.3</v>
      </c>
      <c r="Y1460" s="1" t="s">
        <v>40</v>
      </c>
      <c r="Z1460" s="1" t="n">
        <v>0</v>
      </c>
      <c r="AA1460" s="1" t="str">
        <f aca="false">TRIM(PROPER(F1460))</f>
        <v>Mysuru</v>
      </c>
      <c r="AB1460" s="1" t="str">
        <f aca="false">TRIM(PROPER(C1460))</f>
        <v>Scaler</v>
      </c>
      <c r="AC1460" s="1" t="str">
        <f aca="false">IF(O1460=0,"No Discount",IF(O1460&lt;=15,"Low (1-15%)",IF(O1460&lt;=30,"Medium (16-30%)","High (&gt;30%)")))</f>
        <v>Medium (16-30%)</v>
      </c>
      <c r="AD1460" s="1" t="str">
        <f aca="false">IF(V1460&lt;0,"Loss Making",IF(V1460&lt;20,"Low Margin","Healthy Margin"))</f>
        <v>Healthy Margin</v>
      </c>
      <c r="AE1460" s="1" t="str">
        <f aca="false">TEXT(DATE(VALUE(RIGHT(B1460,4)),VALUE(MID(B1460,4,2)),VALUE(LEFT(B1460,2))),"MMM-YYYY")</f>
        <v>Apr-2023</v>
      </c>
      <c r="AF1460" s="1" t="n">
        <f aca="false">VALUE(RIGHT(B1460,4))</f>
        <v>2023</v>
      </c>
      <c r="AG1460" s="1" t="str">
        <f aca="false">CHOOSE(ROUNDUP(VALUE(MID(B1460,4,2))/3,0),"Q1","Q2","Q3","Q4")</f>
        <v>Q2</v>
      </c>
    </row>
    <row r="1461" customFormat="false" ht="15" hidden="false" customHeight="true" outlineLevel="0" collapsed="false">
      <c r="A1461" s="1" t="s">
        <v>2261</v>
      </c>
      <c r="B1461" s="1" t="s">
        <v>1339</v>
      </c>
      <c r="C1461" s="1" t="s">
        <v>119</v>
      </c>
      <c r="D1461" s="1" t="s">
        <v>94</v>
      </c>
      <c r="E1461" s="1" t="s">
        <v>95</v>
      </c>
      <c r="F1461" s="1" t="s">
        <v>46</v>
      </c>
      <c r="G1461" s="1" t="s">
        <v>47</v>
      </c>
      <c r="H1461" s="1" t="s">
        <v>33</v>
      </c>
      <c r="I1461" s="1" t="s">
        <v>34</v>
      </c>
      <c r="J1461" s="1" t="s">
        <v>131</v>
      </c>
      <c r="K1461" s="1" t="s">
        <v>84</v>
      </c>
      <c r="L1461" s="1" t="s">
        <v>61</v>
      </c>
      <c r="M1461" s="1" t="s">
        <v>38</v>
      </c>
      <c r="N1461" s="1" t="n">
        <v>6999</v>
      </c>
      <c r="O1461" s="1" t="n">
        <v>10</v>
      </c>
      <c r="P1461" s="1" t="n">
        <v>699.9</v>
      </c>
      <c r="Q1461" s="1" t="n">
        <v>6299.1</v>
      </c>
      <c r="R1461" s="1" t="n">
        <v>1133.84</v>
      </c>
      <c r="S1461" s="1" t="n">
        <v>5165.26</v>
      </c>
      <c r="T1461" s="1" t="n">
        <v>2140.97</v>
      </c>
      <c r="U1461" s="1" t="n">
        <v>3024.29</v>
      </c>
      <c r="V1461" s="1" t="n">
        <v>58.55</v>
      </c>
      <c r="W1461" s="1" t="s">
        <v>40</v>
      </c>
      <c r="Y1461" s="1" t="s">
        <v>40</v>
      </c>
      <c r="Z1461" s="1" t="n">
        <v>0</v>
      </c>
      <c r="AA1461" s="1" t="str">
        <f aca="false">TRIM(PROPER(F1461))</f>
        <v>Mangaluru</v>
      </c>
      <c r="AB1461" s="1" t="str">
        <f aca="false">TRIM(PROPER(C1461))</f>
        <v>Simplilearn</v>
      </c>
      <c r="AC1461" s="1" t="str">
        <f aca="false">IF(O1461=0,"No Discount",IF(O1461&lt;=15,"Low (1-15%)",IF(O1461&lt;=30,"Medium (16-30%)","High (&gt;30%)")))</f>
        <v>Low (1-15%)</v>
      </c>
      <c r="AD1461" s="1" t="str">
        <f aca="false">IF(V1461&lt;0,"Loss Making",IF(V1461&lt;20,"Low Margin","Healthy Margin"))</f>
        <v>Healthy Margin</v>
      </c>
      <c r="AE1461" s="1" t="str">
        <f aca="false">TEXT(DATE(VALUE(RIGHT(B1461,4)),VALUE(MID(B1461,4,2)),VALUE(LEFT(B1461,2))),"MMM-YYYY")</f>
        <v>May-2024</v>
      </c>
      <c r="AF1461" s="1" t="n">
        <f aca="false">VALUE(RIGHT(B1461,4))</f>
        <v>2024</v>
      </c>
      <c r="AG1461" s="1" t="str">
        <f aca="false">CHOOSE(ROUNDUP(VALUE(MID(B1461,4,2))/3,0),"Q1","Q2","Q3","Q4")</f>
        <v>Q2</v>
      </c>
    </row>
    <row r="1462" customFormat="false" ht="15" hidden="false" customHeight="true" outlineLevel="0" collapsed="false">
      <c r="A1462" s="1" t="s">
        <v>2262</v>
      </c>
      <c r="B1462" s="1" t="s">
        <v>1200</v>
      </c>
      <c r="C1462" s="1" t="s">
        <v>100</v>
      </c>
      <c r="D1462" s="1" t="s">
        <v>80</v>
      </c>
      <c r="E1462" s="1" t="s">
        <v>81</v>
      </c>
      <c r="F1462" s="1" t="s">
        <v>82</v>
      </c>
      <c r="G1462" s="1" t="s">
        <v>56</v>
      </c>
      <c r="H1462" s="1" t="s">
        <v>69</v>
      </c>
      <c r="I1462" s="1" t="s">
        <v>83</v>
      </c>
      <c r="J1462" s="1" t="s">
        <v>77</v>
      </c>
      <c r="K1462" s="1" t="s">
        <v>84</v>
      </c>
      <c r="L1462" s="1" t="s">
        <v>85</v>
      </c>
      <c r="M1462" s="1" t="s">
        <v>62</v>
      </c>
      <c r="N1462" s="1" t="n">
        <v>12999</v>
      </c>
      <c r="O1462" s="1" t="n">
        <v>20</v>
      </c>
      <c r="P1462" s="1" t="n">
        <v>2599.8</v>
      </c>
      <c r="Q1462" s="1" t="n">
        <v>10399.2</v>
      </c>
      <c r="R1462" s="1" t="n">
        <v>1871.86</v>
      </c>
      <c r="S1462" s="1" t="n">
        <v>8527.34</v>
      </c>
      <c r="T1462" s="1" t="n">
        <v>2589.04</v>
      </c>
      <c r="U1462" s="1" t="n">
        <v>5938.3</v>
      </c>
      <c r="V1462" s="1" t="n">
        <v>69.64</v>
      </c>
      <c r="W1462" s="1" t="s">
        <v>40</v>
      </c>
      <c r="Y1462" s="1" t="s">
        <v>40</v>
      </c>
      <c r="Z1462" s="1" t="n">
        <v>1</v>
      </c>
      <c r="AA1462" s="1" t="str">
        <f aca="false">TRIM(PROPER(F1462))</f>
        <v>Gurugram</v>
      </c>
      <c r="AB1462" s="1" t="str">
        <f aca="false">TRIM(PROPER(C1462))</f>
        <v>Physics Wallah</v>
      </c>
      <c r="AC1462" s="1" t="str">
        <f aca="false">IF(O1462=0,"No Discount",IF(O1462&lt;=15,"Low (1-15%)",IF(O1462&lt;=30,"Medium (16-30%)","High (&gt;30%)")))</f>
        <v>Medium (16-30%)</v>
      </c>
      <c r="AD1462" s="1" t="str">
        <f aca="false">IF(V1462&lt;0,"Loss Making",IF(V1462&lt;20,"Low Margin","Healthy Margin"))</f>
        <v>Healthy Margin</v>
      </c>
      <c r="AE1462" s="1" t="str">
        <f aca="false">TEXT(DATE(VALUE(RIGHT(B1462,4)),VALUE(MID(B1462,4,2)),VALUE(LEFT(B1462,2))),"MMM-YYYY")</f>
        <v>Oct-2024</v>
      </c>
      <c r="AF1462" s="1" t="n">
        <f aca="false">VALUE(RIGHT(B1462,4))</f>
        <v>2024</v>
      </c>
      <c r="AG1462" s="1" t="str">
        <f aca="false">CHOOSE(ROUNDUP(VALUE(MID(B1462,4,2))/3,0),"Q1","Q2","Q3","Q4")</f>
        <v>Q4</v>
      </c>
    </row>
    <row r="1463" customFormat="false" ht="15" hidden="false" customHeight="true" outlineLevel="0" collapsed="false">
      <c r="A1463" s="1" t="s">
        <v>2263</v>
      </c>
      <c r="B1463" s="1" t="s">
        <v>1858</v>
      </c>
      <c r="C1463" s="1" t="s">
        <v>100</v>
      </c>
      <c r="D1463" s="1" t="s">
        <v>94</v>
      </c>
      <c r="E1463" s="1" t="s">
        <v>101</v>
      </c>
      <c r="F1463" s="1" t="s">
        <v>153</v>
      </c>
      <c r="G1463" s="1" t="s">
        <v>76</v>
      </c>
      <c r="H1463" s="1" t="s">
        <v>33</v>
      </c>
      <c r="I1463" s="1" t="s">
        <v>83</v>
      </c>
      <c r="J1463" s="1" t="s">
        <v>77</v>
      </c>
      <c r="K1463" s="1" t="s">
        <v>36</v>
      </c>
      <c r="L1463" s="1" t="s">
        <v>85</v>
      </c>
      <c r="M1463" s="1" t="s">
        <v>50</v>
      </c>
      <c r="N1463" s="1" t="n">
        <v>14999</v>
      </c>
      <c r="O1463" s="1" t="n">
        <v>15</v>
      </c>
      <c r="P1463" s="1" t="n">
        <v>2249.85</v>
      </c>
      <c r="Q1463" s="1" t="n">
        <v>12749.15</v>
      </c>
      <c r="R1463" s="1" t="n">
        <v>2294.85</v>
      </c>
      <c r="S1463" s="1" t="n">
        <v>10454.3</v>
      </c>
      <c r="T1463" s="1" t="n">
        <v>5007.05</v>
      </c>
      <c r="U1463" s="1" t="n">
        <v>5447.25</v>
      </c>
      <c r="V1463" s="1" t="n">
        <v>52.11</v>
      </c>
      <c r="W1463" s="1" t="s">
        <v>39</v>
      </c>
      <c r="X1463" s="1" t="n">
        <v>4.5</v>
      </c>
      <c r="Y1463" s="1" t="s">
        <v>40</v>
      </c>
      <c r="Z1463" s="1" t="n">
        <v>0</v>
      </c>
      <c r="AA1463" s="1" t="str">
        <f aca="false">TRIM(PROPER(F1463))</f>
        <v>Howrah</v>
      </c>
      <c r="AB1463" s="1" t="str">
        <f aca="false">TRIM(PROPER(C1463))</f>
        <v>Physics Wallah</v>
      </c>
      <c r="AC1463" s="1" t="str">
        <f aca="false">IF(O1463=0,"No Discount",IF(O1463&lt;=15,"Low (1-15%)",IF(O1463&lt;=30,"Medium (16-30%)","High (&gt;30%)")))</f>
        <v>Low (1-15%)</v>
      </c>
      <c r="AD1463" s="1" t="str">
        <f aca="false">IF(V1463&lt;0,"Loss Making",IF(V1463&lt;20,"Low Margin","Healthy Margin"))</f>
        <v>Healthy Margin</v>
      </c>
      <c r="AE1463" s="1" t="str">
        <f aca="false">TEXT(DATE(VALUE(RIGHT(B1463,4)),VALUE(MID(B1463,4,2)),VALUE(LEFT(B1463,2))),"MMM-YYYY")</f>
        <v>Jul-2023</v>
      </c>
      <c r="AF1463" s="1" t="n">
        <f aca="false">VALUE(RIGHT(B1463,4))</f>
        <v>2023</v>
      </c>
      <c r="AG1463" s="1" t="str">
        <f aca="false">CHOOSE(ROUNDUP(VALUE(MID(B1463,4,2))/3,0),"Q1","Q2","Q3","Q4")</f>
        <v>Q3</v>
      </c>
    </row>
    <row r="1464" customFormat="false" ht="15" hidden="false" customHeight="true" outlineLevel="0" collapsed="false">
      <c r="A1464" s="1" t="s">
        <v>2264</v>
      </c>
      <c r="B1464" s="1" t="s">
        <v>2265</v>
      </c>
      <c r="C1464" s="1" t="s">
        <v>119</v>
      </c>
      <c r="D1464" s="1" t="s">
        <v>94</v>
      </c>
      <c r="E1464" s="1" t="s">
        <v>135</v>
      </c>
      <c r="F1464" s="1" t="s">
        <v>107</v>
      </c>
      <c r="G1464" s="1" t="s">
        <v>108</v>
      </c>
      <c r="H1464" s="1" t="s">
        <v>33</v>
      </c>
      <c r="I1464" s="1" t="s">
        <v>83</v>
      </c>
      <c r="J1464" s="1" t="s">
        <v>35</v>
      </c>
      <c r="K1464" s="1" t="s">
        <v>104</v>
      </c>
      <c r="L1464" s="1" t="s">
        <v>37</v>
      </c>
      <c r="M1464" s="1" t="s">
        <v>62</v>
      </c>
      <c r="N1464" s="1" t="n">
        <v>9999</v>
      </c>
      <c r="O1464" s="1" t="n">
        <v>25</v>
      </c>
      <c r="P1464" s="1" t="n">
        <v>2499.75</v>
      </c>
      <c r="Q1464" s="1" t="n">
        <v>7499.25</v>
      </c>
      <c r="R1464" s="1" t="n">
        <v>1349.87</v>
      </c>
      <c r="S1464" s="1" t="n">
        <v>6149.38</v>
      </c>
      <c r="T1464" s="1" t="n">
        <v>3314.77</v>
      </c>
      <c r="U1464" s="1" t="n">
        <v>2834.61</v>
      </c>
      <c r="V1464" s="1" t="n">
        <v>46.1</v>
      </c>
      <c r="W1464" s="1" t="s">
        <v>39</v>
      </c>
      <c r="X1464" s="1" t="n">
        <v>2.9</v>
      </c>
      <c r="Y1464" s="1" t="s">
        <v>40</v>
      </c>
      <c r="Z1464" s="1" t="n">
        <v>1</v>
      </c>
      <c r="AA1464" s="1" t="str">
        <f aca="false">TRIM(PROPER(F1464))</f>
        <v>Madurai</v>
      </c>
      <c r="AB1464" s="1" t="str">
        <f aca="false">TRIM(PROPER(C1464))</f>
        <v>Simplilearn</v>
      </c>
      <c r="AC1464" s="1" t="str">
        <f aca="false">IF(O1464=0,"No Discount",IF(O1464&lt;=15,"Low (1-15%)",IF(O1464&lt;=30,"Medium (16-30%)","High (&gt;30%)")))</f>
        <v>Medium (16-30%)</v>
      </c>
      <c r="AD1464" s="1" t="str">
        <f aca="false">IF(V1464&lt;0,"Loss Making",IF(V1464&lt;20,"Low Margin","Healthy Margin"))</f>
        <v>Healthy Margin</v>
      </c>
      <c r="AE1464" s="1" t="str">
        <f aca="false">TEXT(DATE(VALUE(RIGHT(B1464,4)),VALUE(MID(B1464,4,2)),VALUE(LEFT(B1464,2))),"MMM-YYYY")</f>
        <v>Apr-2024</v>
      </c>
      <c r="AF1464" s="1" t="n">
        <f aca="false">VALUE(RIGHT(B1464,4))</f>
        <v>2024</v>
      </c>
      <c r="AG1464" s="1" t="str">
        <f aca="false">CHOOSE(ROUNDUP(VALUE(MID(B1464,4,2))/3,0),"Q1","Q2","Q3","Q4")</f>
        <v>Q2</v>
      </c>
    </row>
    <row r="1465" customFormat="false" ht="15" hidden="false" customHeight="true" outlineLevel="0" collapsed="false">
      <c r="A1465" s="1" t="s">
        <v>2266</v>
      </c>
      <c r="B1465" s="1" t="s">
        <v>2267</v>
      </c>
      <c r="C1465" s="1" t="s">
        <v>119</v>
      </c>
      <c r="D1465" s="1" t="s">
        <v>53</v>
      </c>
      <c r="E1465" s="1" t="s">
        <v>216</v>
      </c>
      <c r="F1465" s="1" t="s">
        <v>244</v>
      </c>
      <c r="G1465" s="1" t="s">
        <v>97</v>
      </c>
      <c r="H1465" s="1" t="s">
        <v>57</v>
      </c>
      <c r="I1465" s="1" t="s">
        <v>58</v>
      </c>
      <c r="J1465" s="1" t="s">
        <v>131</v>
      </c>
      <c r="K1465" s="1" t="s">
        <v>104</v>
      </c>
      <c r="L1465" s="1" t="s">
        <v>85</v>
      </c>
      <c r="M1465" s="1" t="s">
        <v>50</v>
      </c>
      <c r="N1465" s="1" t="n">
        <v>7499</v>
      </c>
      <c r="O1465" s="1" t="n">
        <v>0</v>
      </c>
      <c r="P1465" s="1" t="n">
        <v>0</v>
      </c>
      <c r="Q1465" s="1" t="n">
        <v>7499</v>
      </c>
      <c r="R1465" s="1" t="n">
        <v>1349.82</v>
      </c>
      <c r="S1465" s="1" t="n">
        <v>6149.18</v>
      </c>
      <c r="T1465" s="1" t="n">
        <v>2697.7</v>
      </c>
      <c r="U1465" s="1" t="n">
        <v>3451.48</v>
      </c>
      <c r="V1465" s="1" t="n">
        <v>56.13</v>
      </c>
      <c r="W1465" s="1" t="s">
        <v>39</v>
      </c>
      <c r="X1465" s="1" t="n">
        <v>4.6</v>
      </c>
      <c r="Y1465" s="1" t="s">
        <v>40</v>
      </c>
      <c r="Z1465" s="1" t="n">
        <v>0</v>
      </c>
      <c r="AA1465" s="1" t="str">
        <f aca="false">TRIM(PROPER(F1465))</f>
        <v>Nagpur</v>
      </c>
      <c r="AB1465" s="1" t="str">
        <f aca="false">TRIM(PROPER(C1465))</f>
        <v>Simplilearn</v>
      </c>
      <c r="AC1465" s="1" t="str">
        <f aca="false">IF(O1465=0,"No Discount",IF(O1465&lt;=15,"Low (1-15%)",IF(O1465&lt;=30,"Medium (16-30%)","High (&gt;30%)")))</f>
        <v>No Discount</v>
      </c>
      <c r="AD1465" s="1" t="str">
        <f aca="false">IF(V1465&lt;0,"Loss Making",IF(V1465&lt;20,"Low Margin","Healthy Margin"))</f>
        <v>Healthy Margin</v>
      </c>
      <c r="AE1465" s="1" t="str">
        <f aca="false">TEXT(DATE(VALUE(RIGHT(B1465,4)),VALUE(MID(B1465,4,2)),VALUE(LEFT(B1465,2))),"MMM-YYYY")</f>
        <v>Dec-2023</v>
      </c>
      <c r="AF1465" s="1" t="n">
        <f aca="false">VALUE(RIGHT(B1465,4))</f>
        <v>2023</v>
      </c>
      <c r="AG1465" s="1" t="str">
        <f aca="false">CHOOSE(ROUNDUP(VALUE(MID(B1465,4,2))/3,0),"Q1","Q2","Q3","Q4")</f>
        <v>Q4</v>
      </c>
    </row>
    <row r="1466" customFormat="false" ht="15" hidden="false" customHeight="true" outlineLevel="0" collapsed="false">
      <c r="A1466" s="1" t="s">
        <v>2268</v>
      </c>
      <c r="B1466" s="1" t="s">
        <v>428</v>
      </c>
      <c r="C1466" s="1" t="s">
        <v>204</v>
      </c>
      <c r="D1466" s="1" t="s">
        <v>94</v>
      </c>
      <c r="E1466" s="1" t="s">
        <v>101</v>
      </c>
      <c r="F1466" s="1" t="s">
        <v>125</v>
      </c>
      <c r="G1466" s="1" t="s">
        <v>108</v>
      </c>
      <c r="H1466" s="1" t="s">
        <v>69</v>
      </c>
      <c r="I1466" s="1" t="s">
        <v>34</v>
      </c>
      <c r="J1466" s="1" t="s">
        <v>70</v>
      </c>
      <c r="K1466" s="1" t="s">
        <v>60</v>
      </c>
      <c r="L1466" s="1" t="s">
        <v>37</v>
      </c>
      <c r="M1466" s="1" t="s">
        <v>62</v>
      </c>
      <c r="N1466" s="1" t="n">
        <v>14999</v>
      </c>
      <c r="O1466" s="1" t="n">
        <v>30</v>
      </c>
      <c r="P1466" s="1" t="n">
        <v>4499.7</v>
      </c>
      <c r="Q1466" s="1" t="n">
        <v>10499.3</v>
      </c>
      <c r="R1466" s="1" t="n">
        <v>1889.87</v>
      </c>
      <c r="S1466" s="1" t="n">
        <v>8609.43</v>
      </c>
      <c r="T1466" s="1" t="n">
        <v>3006.95</v>
      </c>
      <c r="U1466" s="1" t="n">
        <v>5602.48</v>
      </c>
      <c r="V1466" s="1" t="n">
        <v>65.07</v>
      </c>
      <c r="W1466" s="1" t="s">
        <v>40</v>
      </c>
      <c r="Y1466" s="1" t="s">
        <v>40</v>
      </c>
      <c r="Z1466" s="1" t="n">
        <v>1</v>
      </c>
      <c r="AA1466" s="1" t="str">
        <f aca="false">TRIM(PROPER(F1466))</f>
        <v>Chennai</v>
      </c>
      <c r="AB1466" s="1" t="str">
        <f aca="false">TRIM(PROPER(C1466))</f>
        <v>Byju'S</v>
      </c>
      <c r="AC1466" s="1" t="str">
        <f aca="false">IF(O1466=0,"No Discount",IF(O1466&lt;=15,"Low (1-15%)",IF(O1466&lt;=30,"Medium (16-30%)","High (&gt;30%)")))</f>
        <v>Medium (16-30%)</v>
      </c>
      <c r="AD1466" s="1" t="str">
        <f aca="false">IF(V1466&lt;0,"Loss Making",IF(V1466&lt;20,"Low Margin","Healthy Margin"))</f>
        <v>Healthy Margin</v>
      </c>
      <c r="AE1466" s="1" t="str">
        <f aca="false">TEXT(DATE(VALUE(RIGHT(B1466,4)),VALUE(MID(B1466,4,2)),VALUE(LEFT(B1466,2))),"MMM-YYYY")</f>
        <v>Aug-2023</v>
      </c>
      <c r="AF1466" s="1" t="n">
        <f aca="false">VALUE(RIGHT(B1466,4))</f>
        <v>2023</v>
      </c>
      <c r="AG1466" s="1" t="str">
        <f aca="false">CHOOSE(ROUNDUP(VALUE(MID(B1466,4,2))/3,0),"Q1","Q2","Q3","Q4")</f>
        <v>Q3</v>
      </c>
    </row>
    <row r="1467" customFormat="false" ht="15" hidden="false" customHeight="true" outlineLevel="0" collapsed="false">
      <c r="A1467" s="1" t="s">
        <v>2269</v>
      </c>
      <c r="B1467" s="1" t="s">
        <v>776</v>
      </c>
      <c r="C1467" s="1" t="s">
        <v>43</v>
      </c>
      <c r="D1467" s="1" t="s">
        <v>168</v>
      </c>
      <c r="E1467" s="1" t="s">
        <v>328</v>
      </c>
      <c r="F1467" s="1" t="s">
        <v>184</v>
      </c>
      <c r="G1467" s="1" t="s">
        <v>56</v>
      </c>
      <c r="H1467" s="1" t="s">
        <v>57</v>
      </c>
      <c r="I1467" s="1" t="s">
        <v>83</v>
      </c>
      <c r="J1467" s="1" t="s">
        <v>70</v>
      </c>
      <c r="K1467" s="1" t="s">
        <v>112</v>
      </c>
      <c r="L1467" s="1" t="s">
        <v>49</v>
      </c>
      <c r="M1467" s="1" t="s">
        <v>62</v>
      </c>
      <c r="N1467" s="1" t="n">
        <v>8999</v>
      </c>
      <c r="O1467" s="1" t="n">
        <v>30</v>
      </c>
      <c r="P1467" s="1" t="n">
        <v>2699.7</v>
      </c>
      <c r="Q1467" s="1" t="n">
        <v>6299.3</v>
      </c>
      <c r="R1467" s="1" t="n">
        <v>1133.87</v>
      </c>
      <c r="S1467" s="1" t="n">
        <v>5165.43</v>
      </c>
      <c r="T1467" s="1" t="n">
        <v>2280.84</v>
      </c>
      <c r="U1467" s="1" t="n">
        <v>2884.59</v>
      </c>
      <c r="V1467" s="1" t="n">
        <v>55.84</v>
      </c>
      <c r="W1467" s="1" t="s">
        <v>40</v>
      </c>
      <c r="Y1467" s="1" t="s">
        <v>40</v>
      </c>
      <c r="Z1467" s="1" t="n">
        <v>0</v>
      </c>
      <c r="AA1467" s="1" t="str">
        <f aca="false">TRIM(PROPER(F1467))</f>
        <v>Faridabad</v>
      </c>
      <c r="AB1467" s="1" t="str">
        <f aca="false">TRIM(PROPER(C1467))</f>
        <v>Meritnation</v>
      </c>
      <c r="AC1467" s="1" t="str">
        <f aca="false">IF(O1467=0,"No Discount",IF(O1467&lt;=15,"Low (1-15%)",IF(O1467&lt;=30,"Medium (16-30%)","High (&gt;30%)")))</f>
        <v>Medium (16-30%)</v>
      </c>
      <c r="AD1467" s="1" t="str">
        <f aca="false">IF(V1467&lt;0,"Loss Making",IF(V1467&lt;20,"Low Margin","Healthy Margin"))</f>
        <v>Healthy Margin</v>
      </c>
      <c r="AE1467" s="1" t="str">
        <f aca="false">TEXT(DATE(VALUE(RIGHT(B1467,4)),VALUE(MID(B1467,4,2)),VALUE(LEFT(B1467,2))),"MMM-YYYY")</f>
        <v>Mar-2023</v>
      </c>
      <c r="AF1467" s="1" t="n">
        <f aca="false">VALUE(RIGHT(B1467,4))</f>
        <v>2023</v>
      </c>
      <c r="AG1467" s="1" t="str">
        <f aca="false">CHOOSE(ROUNDUP(VALUE(MID(B1467,4,2))/3,0),"Q1","Q2","Q3","Q4")</f>
        <v>Q1</v>
      </c>
    </row>
    <row r="1468" customFormat="false" ht="15" hidden="false" customHeight="true" outlineLevel="0" collapsed="false">
      <c r="A1468" s="1" t="s">
        <v>2270</v>
      </c>
      <c r="B1468" s="1" t="s">
        <v>1081</v>
      </c>
      <c r="C1468" s="1" t="s">
        <v>28</v>
      </c>
      <c r="D1468" s="1" t="s">
        <v>143</v>
      </c>
      <c r="E1468" s="1" t="s">
        <v>144</v>
      </c>
      <c r="F1468" s="1" t="s">
        <v>269</v>
      </c>
      <c r="G1468" s="1" t="s">
        <v>108</v>
      </c>
      <c r="H1468" s="1" t="s">
        <v>57</v>
      </c>
      <c r="I1468" s="1" t="s">
        <v>83</v>
      </c>
      <c r="J1468" s="1" t="s">
        <v>77</v>
      </c>
      <c r="K1468" s="1" t="s">
        <v>60</v>
      </c>
      <c r="L1468" s="1" t="s">
        <v>61</v>
      </c>
      <c r="M1468" s="1" t="s">
        <v>62</v>
      </c>
      <c r="N1468" s="1" t="n">
        <v>12999</v>
      </c>
      <c r="O1468" s="1" t="n">
        <v>15</v>
      </c>
      <c r="P1468" s="1" t="n">
        <v>1949.85</v>
      </c>
      <c r="Q1468" s="1" t="n">
        <v>11049.15</v>
      </c>
      <c r="R1468" s="1" t="n">
        <v>1988.85</v>
      </c>
      <c r="S1468" s="1" t="n">
        <v>9060.3</v>
      </c>
      <c r="T1468" s="1" t="n">
        <v>4256.06</v>
      </c>
      <c r="U1468" s="1" t="n">
        <v>4804.24</v>
      </c>
      <c r="V1468" s="1" t="n">
        <v>53.03</v>
      </c>
      <c r="W1468" s="1" t="s">
        <v>40</v>
      </c>
      <c r="Y1468" s="1" t="s">
        <v>40</v>
      </c>
      <c r="Z1468" s="1" t="n">
        <v>1</v>
      </c>
      <c r="AA1468" s="1" t="str">
        <f aca="false">TRIM(PROPER(F1468))</f>
        <v>Coimbatore</v>
      </c>
      <c r="AB1468" s="1" t="str">
        <f aca="false">TRIM(PROPER(C1468))</f>
        <v>Embibe</v>
      </c>
      <c r="AC1468" s="1" t="str">
        <f aca="false">IF(O1468=0,"No Discount",IF(O1468&lt;=15,"Low (1-15%)",IF(O1468&lt;=30,"Medium (16-30%)","High (&gt;30%)")))</f>
        <v>Low (1-15%)</v>
      </c>
      <c r="AD1468" s="1" t="str">
        <f aca="false">IF(V1468&lt;0,"Loss Making",IF(V1468&lt;20,"Low Margin","Healthy Margin"))</f>
        <v>Healthy Margin</v>
      </c>
      <c r="AE1468" s="1" t="str">
        <f aca="false">TEXT(DATE(VALUE(RIGHT(B1468,4)),VALUE(MID(B1468,4,2)),VALUE(LEFT(B1468,2))),"MMM-YYYY")</f>
        <v>Jul-2024</v>
      </c>
      <c r="AF1468" s="1" t="n">
        <f aca="false">VALUE(RIGHT(B1468,4))</f>
        <v>2024</v>
      </c>
      <c r="AG1468" s="1" t="str">
        <f aca="false">CHOOSE(ROUNDUP(VALUE(MID(B1468,4,2))/3,0),"Q1","Q2","Q3","Q4")</f>
        <v>Q3</v>
      </c>
    </row>
    <row r="1469" customFormat="false" ht="15" hidden="false" customHeight="true" outlineLevel="0" collapsed="false">
      <c r="A1469" s="1" t="s">
        <v>2271</v>
      </c>
      <c r="B1469" s="1" t="s">
        <v>945</v>
      </c>
      <c r="C1469" s="1" t="s">
        <v>119</v>
      </c>
      <c r="D1469" s="1" t="s">
        <v>53</v>
      </c>
      <c r="E1469" s="1" t="s">
        <v>54</v>
      </c>
      <c r="F1469" s="1" t="s">
        <v>244</v>
      </c>
      <c r="G1469" s="1" t="s">
        <v>97</v>
      </c>
      <c r="H1469" s="1" t="s">
        <v>57</v>
      </c>
      <c r="I1469" s="1" t="s">
        <v>34</v>
      </c>
      <c r="J1469" s="1" t="s">
        <v>70</v>
      </c>
      <c r="K1469" s="1" t="s">
        <v>90</v>
      </c>
      <c r="L1469" s="1" t="s">
        <v>49</v>
      </c>
      <c r="M1469" s="1" t="s">
        <v>62</v>
      </c>
      <c r="N1469" s="1" t="n">
        <v>11999</v>
      </c>
      <c r="O1469" s="1" t="n">
        <v>0</v>
      </c>
      <c r="P1469" s="1" t="n">
        <v>0</v>
      </c>
      <c r="Q1469" s="1" t="n">
        <v>11999</v>
      </c>
      <c r="R1469" s="1" t="n">
        <v>2159.82</v>
      </c>
      <c r="S1469" s="1" t="n">
        <v>9839.18</v>
      </c>
      <c r="T1469" s="1" t="n">
        <v>4835.35</v>
      </c>
      <c r="U1469" s="1" t="n">
        <v>5003.83</v>
      </c>
      <c r="V1469" s="1" t="n">
        <v>50.86</v>
      </c>
      <c r="W1469" s="1" t="s">
        <v>40</v>
      </c>
      <c r="Y1469" s="1" t="s">
        <v>39</v>
      </c>
      <c r="Z1469" s="1" t="n">
        <v>0</v>
      </c>
      <c r="AA1469" s="1" t="str">
        <f aca="false">TRIM(PROPER(F1469))</f>
        <v>Nagpur</v>
      </c>
      <c r="AB1469" s="1" t="str">
        <f aca="false">TRIM(PROPER(C1469))</f>
        <v>Simplilearn</v>
      </c>
      <c r="AC1469" s="1" t="str">
        <f aca="false">IF(O1469=0,"No Discount",IF(O1469&lt;=15,"Low (1-15%)",IF(O1469&lt;=30,"Medium (16-30%)","High (&gt;30%)")))</f>
        <v>No Discount</v>
      </c>
      <c r="AD1469" s="1" t="str">
        <f aca="false">IF(V1469&lt;0,"Loss Making",IF(V1469&lt;20,"Low Margin","Healthy Margin"))</f>
        <v>Healthy Margin</v>
      </c>
      <c r="AE1469" s="1" t="str">
        <f aca="false">TEXT(DATE(VALUE(RIGHT(B1469,4)),VALUE(MID(B1469,4,2)),VALUE(LEFT(B1469,2))),"MMM-YYYY")</f>
        <v>Oct-2023</v>
      </c>
      <c r="AF1469" s="1" t="n">
        <f aca="false">VALUE(RIGHT(B1469,4))</f>
        <v>2023</v>
      </c>
      <c r="AG1469" s="1" t="str">
        <f aca="false">CHOOSE(ROUNDUP(VALUE(MID(B1469,4,2))/3,0),"Q1","Q2","Q3","Q4")</f>
        <v>Q4</v>
      </c>
    </row>
    <row r="1470" customFormat="false" ht="15" hidden="false" customHeight="true" outlineLevel="0" collapsed="false">
      <c r="A1470" s="1" t="s">
        <v>2272</v>
      </c>
      <c r="B1470" s="1" t="s">
        <v>1036</v>
      </c>
      <c r="C1470" s="1" t="s">
        <v>139</v>
      </c>
      <c r="D1470" s="1" t="s">
        <v>123</v>
      </c>
      <c r="E1470" s="1" t="s">
        <v>147</v>
      </c>
      <c r="F1470" s="1" t="s">
        <v>187</v>
      </c>
      <c r="G1470" s="1" t="s">
        <v>97</v>
      </c>
      <c r="H1470" s="1" t="s">
        <v>69</v>
      </c>
      <c r="I1470" s="1" t="s">
        <v>34</v>
      </c>
      <c r="J1470" s="1" t="s">
        <v>35</v>
      </c>
      <c r="K1470" s="1" t="s">
        <v>48</v>
      </c>
      <c r="L1470" s="1" t="s">
        <v>136</v>
      </c>
      <c r="M1470" s="1" t="s">
        <v>62</v>
      </c>
      <c r="N1470" s="1" t="n">
        <v>6999</v>
      </c>
      <c r="O1470" s="1" t="n">
        <v>15</v>
      </c>
      <c r="P1470" s="1" t="n">
        <v>1049.85</v>
      </c>
      <c r="Q1470" s="1" t="n">
        <v>5949.15</v>
      </c>
      <c r="R1470" s="1" t="n">
        <v>1070.85</v>
      </c>
      <c r="S1470" s="1" t="n">
        <v>4878.3</v>
      </c>
      <c r="T1470" s="1" t="n">
        <v>1327.3</v>
      </c>
      <c r="U1470" s="1" t="n">
        <v>3551</v>
      </c>
      <c r="V1470" s="1" t="n">
        <v>72.79</v>
      </c>
      <c r="W1470" s="1" t="s">
        <v>39</v>
      </c>
      <c r="X1470" s="1" t="n">
        <v>3.2</v>
      </c>
      <c r="Y1470" s="1" t="s">
        <v>40</v>
      </c>
      <c r="Z1470" s="1" t="n">
        <v>0</v>
      </c>
      <c r="AA1470" s="1" t="str">
        <f aca="false">TRIM(PROPER(F1470))</f>
        <v>Mumbai</v>
      </c>
      <c r="AB1470" s="1" t="str">
        <f aca="false">TRIM(PROPER(C1470))</f>
        <v>Extramarks</v>
      </c>
      <c r="AC1470" s="1" t="str">
        <f aca="false">IF(O1470=0,"No Discount",IF(O1470&lt;=15,"Low (1-15%)",IF(O1470&lt;=30,"Medium (16-30%)","High (&gt;30%)")))</f>
        <v>Low (1-15%)</v>
      </c>
      <c r="AD1470" s="1" t="str">
        <f aca="false">IF(V1470&lt;0,"Loss Making",IF(V1470&lt;20,"Low Margin","Healthy Margin"))</f>
        <v>Healthy Margin</v>
      </c>
      <c r="AE1470" s="1" t="str">
        <f aca="false">TEXT(DATE(VALUE(RIGHT(B1470,4)),VALUE(MID(B1470,4,2)),VALUE(LEFT(B1470,2))),"MMM-YYYY")</f>
        <v>Apr-2023</v>
      </c>
      <c r="AF1470" s="1" t="n">
        <f aca="false">VALUE(RIGHT(B1470,4))</f>
        <v>2023</v>
      </c>
      <c r="AG1470" s="1" t="str">
        <f aca="false">CHOOSE(ROUNDUP(VALUE(MID(B1470,4,2))/3,0),"Q1","Q2","Q3","Q4")</f>
        <v>Q2</v>
      </c>
    </row>
    <row r="1471" customFormat="false" ht="15" hidden="false" customHeight="true" outlineLevel="0" collapsed="false">
      <c r="A1471" s="1" t="s">
        <v>2273</v>
      </c>
      <c r="B1471" s="1" t="s">
        <v>1961</v>
      </c>
      <c r="C1471" s="1" t="s">
        <v>167</v>
      </c>
      <c r="D1471" s="1" t="s">
        <v>53</v>
      </c>
      <c r="E1471" s="1" t="s">
        <v>116</v>
      </c>
      <c r="F1471" s="1" t="s">
        <v>75</v>
      </c>
      <c r="G1471" s="1" t="s">
        <v>76</v>
      </c>
      <c r="H1471" s="1" t="s">
        <v>69</v>
      </c>
      <c r="I1471" s="1" t="s">
        <v>34</v>
      </c>
      <c r="J1471" s="1" t="s">
        <v>131</v>
      </c>
      <c r="K1471" s="1" t="s">
        <v>60</v>
      </c>
      <c r="L1471" s="1" t="s">
        <v>37</v>
      </c>
      <c r="M1471" s="1" t="s">
        <v>50</v>
      </c>
      <c r="N1471" s="1" t="n">
        <v>9999</v>
      </c>
      <c r="O1471" s="1" t="n">
        <v>0</v>
      </c>
      <c r="P1471" s="1" t="n">
        <v>0</v>
      </c>
      <c r="Q1471" s="1" t="n">
        <v>9999</v>
      </c>
      <c r="R1471" s="1" t="n">
        <v>1799.82</v>
      </c>
      <c r="S1471" s="1" t="n">
        <v>8199.18</v>
      </c>
      <c r="T1471" s="1" t="n">
        <v>3627.79</v>
      </c>
      <c r="U1471" s="1" t="n">
        <v>4571.39</v>
      </c>
      <c r="V1471" s="1" t="n">
        <v>55.75</v>
      </c>
      <c r="W1471" s="1" t="s">
        <v>39</v>
      </c>
      <c r="X1471" s="1" t="n">
        <v>4</v>
      </c>
      <c r="Y1471" s="1" t="s">
        <v>40</v>
      </c>
      <c r="Z1471" s="1" t="n">
        <v>0</v>
      </c>
      <c r="AA1471" s="1" t="str">
        <f aca="false">TRIM(PROPER(F1471))</f>
        <v>Kolkata</v>
      </c>
      <c r="AB1471" s="1" t="str">
        <f aca="false">TRIM(PROPER(C1471))</f>
        <v>Scaler</v>
      </c>
      <c r="AC1471" s="1" t="str">
        <f aca="false">IF(O1471=0,"No Discount",IF(O1471&lt;=15,"Low (1-15%)",IF(O1471&lt;=30,"Medium (16-30%)","High (&gt;30%)")))</f>
        <v>No Discount</v>
      </c>
      <c r="AD1471" s="1" t="str">
        <f aca="false">IF(V1471&lt;0,"Loss Making",IF(V1471&lt;20,"Low Margin","Healthy Margin"))</f>
        <v>Healthy Margin</v>
      </c>
      <c r="AE1471" s="1" t="str">
        <f aca="false">TEXT(DATE(VALUE(RIGHT(B1471,4)),VALUE(MID(B1471,4,2)),VALUE(LEFT(B1471,2))),"MMM-YYYY")</f>
        <v>Aug-2023</v>
      </c>
      <c r="AF1471" s="1" t="n">
        <f aca="false">VALUE(RIGHT(B1471,4))</f>
        <v>2023</v>
      </c>
      <c r="AG1471" s="1" t="str">
        <f aca="false">CHOOSE(ROUNDUP(VALUE(MID(B1471,4,2))/3,0),"Q1","Q2","Q3","Q4")</f>
        <v>Q3</v>
      </c>
    </row>
    <row r="1472" customFormat="false" ht="15" hidden="false" customHeight="true" outlineLevel="0" collapsed="false">
      <c r="A1472" s="1" t="s">
        <v>2274</v>
      </c>
      <c r="B1472" s="1" t="s">
        <v>417</v>
      </c>
      <c r="C1472" s="1" t="s">
        <v>100</v>
      </c>
      <c r="D1472" s="1" t="s">
        <v>168</v>
      </c>
      <c r="E1472" s="1" t="s">
        <v>197</v>
      </c>
      <c r="F1472" s="1" t="s">
        <v>55</v>
      </c>
      <c r="G1472" s="1" t="s">
        <v>56</v>
      </c>
      <c r="H1472" s="1" t="s">
        <v>57</v>
      </c>
      <c r="I1472" s="1" t="s">
        <v>34</v>
      </c>
      <c r="J1472" s="1" t="s">
        <v>70</v>
      </c>
      <c r="K1472" s="1" t="s">
        <v>90</v>
      </c>
      <c r="L1472" s="1" t="s">
        <v>113</v>
      </c>
      <c r="M1472" s="1" t="s">
        <v>50</v>
      </c>
      <c r="N1472" s="1" t="n">
        <v>8499</v>
      </c>
      <c r="O1472" s="1" t="n">
        <v>40</v>
      </c>
      <c r="P1472" s="1" t="n">
        <v>3399.6</v>
      </c>
      <c r="Q1472" s="1" t="n">
        <v>5099.4</v>
      </c>
      <c r="R1472" s="1" t="n">
        <v>917.89</v>
      </c>
      <c r="S1472" s="1" t="n">
        <v>4181.51</v>
      </c>
      <c r="T1472" s="1" t="n">
        <v>1973.36</v>
      </c>
      <c r="U1472" s="1" t="n">
        <v>2208.15</v>
      </c>
      <c r="V1472" s="1" t="n">
        <v>52.81</v>
      </c>
      <c r="W1472" s="1" t="s">
        <v>39</v>
      </c>
      <c r="X1472" s="1" t="n">
        <v>3.5</v>
      </c>
      <c r="Y1472" s="1" t="s">
        <v>39</v>
      </c>
      <c r="Z1472" s="1" t="n">
        <v>0</v>
      </c>
      <c r="AA1472" s="1" t="str">
        <f aca="false">TRIM(PROPER(F1472))</f>
        <v>Ghaziabad</v>
      </c>
      <c r="AB1472" s="1" t="str">
        <f aca="false">TRIM(PROPER(C1472))</f>
        <v>Physics Wallah</v>
      </c>
      <c r="AC1472" s="1" t="str">
        <f aca="false">IF(O1472=0,"No Discount",IF(O1472&lt;=15,"Low (1-15%)",IF(O1472&lt;=30,"Medium (16-30%)","High (&gt;30%)")))</f>
        <v>High (&gt;30%)</v>
      </c>
      <c r="AD1472" s="1" t="str">
        <f aca="false">IF(V1472&lt;0,"Loss Making",IF(V1472&lt;20,"Low Margin","Healthy Margin"))</f>
        <v>Healthy Margin</v>
      </c>
      <c r="AE1472" s="1" t="str">
        <f aca="false">TEXT(DATE(VALUE(RIGHT(B1472,4)),VALUE(MID(B1472,4,2)),VALUE(LEFT(B1472,2))),"MMM-YYYY")</f>
        <v>May-2024</v>
      </c>
      <c r="AF1472" s="1" t="n">
        <f aca="false">VALUE(RIGHT(B1472,4))</f>
        <v>2024</v>
      </c>
      <c r="AG1472" s="1" t="str">
        <f aca="false">CHOOSE(ROUNDUP(VALUE(MID(B1472,4,2))/3,0),"Q1","Q2","Q3","Q4")</f>
        <v>Q2</v>
      </c>
    </row>
    <row r="1473" customFormat="false" ht="15" hidden="false" customHeight="true" outlineLevel="0" collapsed="false">
      <c r="A1473" s="1" t="s">
        <v>2275</v>
      </c>
      <c r="B1473" s="1" t="s">
        <v>1203</v>
      </c>
      <c r="C1473" s="1" t="s">
        <v>119</v>
      </c>
      <c r="D1473" s="1" t="s">
        <v>143</v>
      </c>
      <c r="E1473" s="1" t="s">
        <v>159</v>
      </c>
      <c r="F1473" s="1" t="s">
        <v>269</v>
      </c>
      <c r="G1473" s="1" t="s">
        <v>108</v>
      </c>
      <c r="H1473" s="1" t="s">
        <v>57</v>
      </c>
      <c r="I1473" s="1" t="s">
        <v>34</v>
      </c>
      <c r="J1473" s="1" t="s">
        <v>35</v>
      </c>
      <c r="K1473" s="1" t="s">
        <v>112</v>
      </c>
      <c r="L1473" s="1" t="s">
        <v>85</v>
      </c>
      <c r="M1473" s="1" t="s">
        <v>50</v>
      </c>
      <c r="N1473" s="1" t="n">
        <v>24999</v>
      </c>
      <c r="O1473" s="1" t="n">
        <v>40</v>
      </c>
      <c r="P1473" s="1" t="n">
        <v>9999.6</v>
      </c>
      <c r="Q1473" s="1" t="n">
        <v>14999.4</v>
      </c>
      <c r="R1473" s="1" t="n">
        <v>2699.89</v>
      </c>
      <c r="S1473" s="1" t="n">
        <v>12299.51</v>
      </c>
      <c r="T1473" s="1" t="n">
        <v>6116.74</v>
      </c>
      <c r="U1473" s="1" t="n">
        <v>6182.77</v>
      </c>
      <c r="V1473" s="1" t="n">
        <v>50.27</v>
      </c>
      <c r="W1473" s="1" t="s">
        <v>39</v>
      </c>
      <c r="Y1473" s="1" t="s">
        <v>40</v>
      </c>
      <c r="Z1473" s="1" t="n">
        <v>1</v>
      </c>
      <c r="AA1473" s="1" t="str">
        <f aca="false">TRIM(PROPER(F1473))</f>
        <v>Coimbatore</v>
      </c>
      <c r="AB1473" s="1" t="str">
        <f aca="false">TRIM(PROPER(C1473))</f>
        <v>Simplilearn</v>
      </c>
      <c r="AC1473" s="1" t="str">
        <f aca="false">IF(O1473=0,"No Discount",IF(O1473&lt;=15,"Low (1-15%)",IF(O1473&lt;=30,"Medium (16-30%)","High (&gt;30%)")))</f>
        <v>High (&gt;30%)</v>
      </c>
      <c r="AD1473" s="1" t="str">
        <f aca="false">IF(V1473&lt;0,"Loss Making",IF(V1473&lt;20,"Low Margin","Healthy Margin"))</f>
        <v>Healthy Margin</v>
      </c>
      <c r="AE1473" s="1" t="str">
        <f aca="false">TEXT(DATE(VALUE(RIGHT(B1473,4)),VALUE(MID(B1473,4,2)),VALUE(LEFT(B1473,2))),"MMM-YYYY")</f>
        <v>Sep-2023</v>
      </c>
      <c r="AF1473" s="1" t="n">
        <f aca="false">VALUE(RIGHT(B1473,4))</f>
        <v>2023</v>
      </c>
      <c r="AG1473" s="1" t="str">
        <f aca="false">CHOOSE(ROUNDUP(VALUE(MID(B1473,4,2))/3,0),"Q1","Q2","Q3","Q4")</f>
        <v>Q3</v>
      </c>
    </row>
    <row r="1474" customFormat="false" ht="15" hidden="false" customHeight="true" outlineLevel="0" collapsed="false">
      <c r="A1474" s="1" t="s">
        <v>2276</v>
      </c>
      <c r="B1474" s="1" t="s">
        <v>2277</v>
      </c>
      <c r="C1474" s="1" t="s">
        <v>43</v>
      </c>
      <c r="D1474" s="1" t="s">
        <v>44</v>
      </c>
      <c r="E1474" s="1" t="s">
        <v>221</v>
      </c>
      <c r="F1474" s="1" t="s">
        <v>120</v>
      </c>
      <c r="G1474" s="1" t="s">
        <v>47</v>
      </c>
      <c r="H1474" s="1" t="s">
        <v>57</v>
      </c>
      <c r="I1474" s="1" t="s">
        <v>83</v>
      </c>
      <c r="J1474" s="1" t="s">
        <v>59</v>
      </c>
      <c r="K1474" s="1" t="s">
        <v>60</v>
      </c>
      <c r="L1474" s="1" t="s">
        <v>113</v>
      </c>
      <c r="M1474" s="1" t="s">
        <v>50</v>
      </c>
      <c r="N1474" s="1" t="n">
        <v>16999</v>
      </c>
      <c r="O1474" s="1" t="n">
        <v>40</v>
      </c>
      <c r="P1474" s="1" t="n">
        <v>6799.6</v>
      </c>
      <c r="Q1474" s="1" t="n">
        <v>10199.4</v>
      </c>
      <c r="R1474" s="1" t="n">
        <v>1835.89</v>
      </c>
      <c r="S1474" s="1" t="n">
        <v>8363.51</v>
      </c>
      <c r="T1474" s="1" t="n">
        <v>4724.74</v>
      </c>
      <c r="U1474" s="1" t="n">
        <v>3638.77</v>
      </c>
      <c r="V1474" s="1" t="n">
        <v>43.51</v>
      </c>
      <c r="W1474" s="1" t="s">
        <v>39</v>
      </c>
      <c r="Y1474" s="1" t="s">
        <v>40</v>
      </c>
      <c r="Z1474" s="1" t="n">
        <v>1</v>
      </c>
      <c r="AA1474" s="1" t="str">
        <f aca="false">TRIM(PROPER(F1474))</f>
        <v>Mysuru</v>
      </c>
      <c r="AB1474" s="1" t="str">
        <f aca="false">TRIM(PROPER(C1474))</f>
        <v>Meritnation</v>
      </c>
      <c r="AC1474" s="1" t="str">
        <f aca="false">IF(O1474=0,"No Discount",IF(O1474&lt;=15,"Low (1-15%)",IF(O1474&lt;=30,"Medium (16-30%)","High (&gt;30%)")))</f>
        <v>High (&gt;30%)</v>
      </c>
      <c r="AD1474" s="1" t="str">
        <f aca="false">IF(V1474&lt;0,"Loss Making",IF(V1474&lt;20,"Low Margin","Healthy Margin"))</f>
        <v>Healthy Margin</v>
      </c>
      <c r="AE1474" s="1" t="str">
        <f aca="false">TEXT(DATE(VALUE(RIGHT(B1474,4)),VALUE(MID(B1474,4,2)),VALUE(LEFT(B1474,2))),"MMM-YYYY")</f>
        <v>Jul-2024</v>
      </c>
      <c r="AF1474" s="1" t="n">
        <f aca="false">VALUE(RIGHT(B1474,4))</f>
        <v>2024</v>
      </c>
      <c r="AG1474" s="1" t="str">
        <f aca="false">CHOOSE(ROUNDUP(VALUE(MID(B1474,4,2))/3,0),"Q1","Q2","Q3","Q4")</f>
        <v>Q3</v>
      </c>
    </row>
    <row r="1475" customFormat="false" ht="15" hidden="false" customHeight="true" outlineLevel="0" collapsed="false">
      <c r="A1475" s="1" t="s">
        <v>2278</v>
      </c>
      <c r="B1475" s="1" t="s">
        <v>1594</v>
      </c>
      <c r="C1475" s="1" t="s">
        <v>74</v>
      </c>
      <c r="D1475" s="1" t="s">
        <v>29</v>
      </c>
      <c r="E1475" s="1" t="s">
        <v>30</v>
      </c>
      <c r="F1475" s="1" t="s">
        <v>244</v>
      </c>
      <c r="G1475" s="1" t="s">
        <v>97</v>
      </c>
      <c r="H1475" s="1" t="s">
        <v>57</v>
      </c>
      <c r="I1475" s="1" t="s">
        <v>58</v>
      </c>
      <c r="J1475" s="1" t="s">
        <v>70</v>
      </c>
      <c r="K1475" s="1" t="s">
        <v>60</v>
      </c>
      <c r="L1475" s="1" t="s">
        <v>49</v>
      </c>
      <c r="M1475" s="1" t="s">
        <v>62</v>
      </c>
      <c r="N1475" s="1" t="n">
        <v>7999</v>
      </c>
      <c r="O1475" s="1" t="n">
        <v>40</v>
      </c>
      <c r="P1475" s="1" t="n">
        <v>3199.6</v>
      </c>
      <c r="Q1475" s="1" t="n">
        <v>4799.4</v>
      </c>
      <c r="R1475" s="1" t="n">
        <v>863.89</v>
      </c>
      <c r="S1475" s="1" t="n">
        <v>3935.51</v>
      </c>
      <c r="T1475" s="1" t="n">
        <v>2229.35</v>
      </c>
      <c r="U1475" s="1" t="n">
        <v>1706.16</v>
      </c>
      <c r="V1475" s="1" t="n">
        <v>43.35</v>
      </c>
      <c r="W1475" s="1" t="s">
        <v>39</v>
      </c>
      <c r="X1475" s="1" t="n">
        <v>3.4</v>
      </c>
      <c r="Y1475" s="1" t="s">
        <v>40</v>
      </c>
      <c r="Z1475" s="1" t="n">
        <v>0</v>
      </c>
      <c r="AA1475" s="1" t="str">
        <f aca="false">TRIM(PROPER(F1475))</f>
        <v>Nagpur</v>
      </c>
      <c r="AB1475" s="1" t="str">
        <f aca="false">TRIM(PROPER(C1475))</f>
        <v>Vedantu</v>
      </c>
      <c r="AC1475" s="1" t="str">
        <f aca="false">IF(O1475=0,"No Discount",IF(O1475&lt;=15,"Low (1-15%)",IF(O1475&lt;=30,"Medium (16-30%)","High (&gt;30%)")))</f>
        <v>High (&gt;30%)</v>
      </c>
      <c r="AD1475" s="1" t="str">
        <f aca="false">IF(V1475&lt;0,"Loss Making",IF(V1475&lt;20,"Low Margin","Healthy Margin"))</f>
        <v>Healthy Margin</v>
      </c>
      <c r="AE1475" s="1" t="str">
        <f aca="false">TEXT(DATE(VALUE(RIGHT(B1475,4)),VALUE(MID(B1475,4,2)),VALUE(LEFT(B1475,2))),"MMM-YYYY")</f>
        <v>Jul-2023</v>
      </c>
      <c r="AF1475" s="1" t="n">
        <f aca="false">VALUE(RIGHT(B1475,4))</f>
        <v>2023</v>
      </c>
      <c r="AG1475" s="1" t="str">
        <f aca="false">CHOOSE(ROUNDUP(VALUE(MID(B1475,4,2))/3,0),"Q1","Q2","Q3","Q4")</f>
        <v>Q3</v>
      </c>
    </row>
    <row r="1476" customFormat="false" ht="15" hidden="false" customHeight="true" outlineLevel="0" collapsed="false">
      <c r="A1476" s="1" t="s">
        <v>2279</v>
      </c>
      <c r="B1476" s="1" t="s">
        <v>404</v>
      </c>
      <c r="C1476" s="1" t="s">
        <v>119</v>
      </c>
      <c r="D1476" s="1" t="s">
        <v>168</v>
      </c>
      <c r="E1476" s="1" t="s">
        <v>169</v>
      </c>
      <c r="F1476" s="1" t="s">
        <v>269</v>
      </c>
      <c r="G1476" s="1" t="s">
        <v>108</v>
      </c>
      <c r="H1476" s="1" t="s">
        <v>57</v>
      </c>
      <c r="I1476" s="1" t="s">
        <v>58</v>
      </c>
      <c r="J1476" s="1" t="s">
        <v>59</v>
      </c>
      <c r="K1476" s="1" t="s">
        <v>36</v>
      </c>
      <c r="L1476" s="1" t="s">
        <v>61</v>
      </c>
      <c r="M1476" s="1" t="s">
        <v>38</v>
      </c>
      <c r="N1476" s="1" t="n">
        <v>4999</v>
      </c>
      <c r="O1476" s="1" t="n">
        <v>40</v>
      </c>
      <c r="P1476" s="1" t="n">
        <v>1999.6</v>
      </c>
      <c r="Q1476" s="1" t="n">
        <v>2999.4</v>
      </c>
      <c r="R1476" s="1" t="n">
        <v>539.89</v>
      </c>
      <c r="S1476" s="1" t="n">
        <v>2459.51</v>
      </c>
      <c r="T1476" s="1" t="n">
        <v>1350.34</v>
      </c>
      <c r="U1476" s="1" t="n">
        <v>1109.17</v>
      </c>
      <c r="V1476" s="1" t="n">
        <v>45.1</v>
      </c>
      <c r="W1476" s="1" t="s">
        <v>40</v>
      </c>
      <c r="Y1476" s="1" t="s">
        <v>40</v>
      </c>
      <c r="Z1476" s="1" t="n">
        <v>2</v>
      </c>
      <c r="AA1476" s="1" t="str">
        <f aca="false">TRIM(PROPER(F1476))</f>
        <v>Coimbatore</v>
      </c>
      <c r="AB1476" s="1" t="str">
        <f aca="false">TRIM(PROPER(C1476))</f>
        <v>Simplilearn</v>
      </c>
      <c r="AC1476" s="1" t="str">
        <f aca="false">IF(O1476=0,"No Discount",IF(O1476&lt;=15,"Low (1-15%)",IF(O1476&lt;=30,"Medium (16-30%)","High (&gt;30%)")))</f>
        <v>High (&gt;30%)</v>
      </c>
      <c r="AD1476" s="1" t="str">
        <f aca="false">IF(V1476&lt;0,"Loss Making",IF(V1476&lt;20,"Low Margin","Healthy Margin"))</f>
        <v>Healthy Margin</v>
      </c>
      <c r="AE1476" s="1" t="str">
        <f aca="false">TEXT(DATE(VALUE(RIGHT(B1476,4)),VALUE(MID(B1476,4,2)),VALUE(LEFT(B1476,2))),"MMM-YYYY")</f>
        <v>Dec-2024</v>
      </c>
      <c r="AF1476" s="1" t="n">
        <f aca="false">VALUE(RIGHT(B1476,4))</f>
        <v>2024</v>
      </c>
      <c r="AG1476" s="1" t="str">
        <f aca="false">CHOOSE(ROUNDUP(VALUE(MID(B1476,4,2))/3,0),"Q1","Q2","Q3","Q4")</f>
        <v>Q4</v>
      </c>
    </row>
    <row r="1477" customFormat="false" ht="15" hidden="false" customHeight="true" outlineLevel="0" collapsed="false">
      <c r="A1477" s="1" t="s">
        <v>2280</v>
      </c>
      <c r="B1477" s="1" t="s">
        <v>2281</v>
      </c>
      <c r="C1477" s="1" t="s">
        <v>43</v>
      </c>
      <c r="D1477" s="1" t="s">
        <v>143</v>
      </c>
      <c r="E1477" s="1" t="s">
        <v>210</v>
      </c>
      <c r="F1477" s="1" t="s">
        <v>125</v>
      </c>
      <c r="G1477" s="1" t="s">
        <v>108</v>
      </c>
      <c r="H1477" s="1" t="s">
        <v>69</v>
      </c>
      <c r="I1477" s="1" t="s">
        <v>83</v>
      </c>
      <c r="J1477" s="1" t="s">
        <v>70</v>
      </c>
      <c r="K1477" s="1" t="s">
        <v>84</v>
      </c>
      <c r="L1477" s="1" t="s">
        <v>37</v>
      </c>
      <c r="M1477" s="1" t="s">
        <v>50</v>
      </c>
      <c r="N1477" s="1" t="n">
        <v>18999</v>
      </c>
      <c r="O1477" s="1" t="n">
        <v>15</v>
      </c>
      <c r="P1477" s="1" t="n">
        <v>2849.85</v>
      </c>
      <c r="Q1477" s="1" t="n">
        <v>16149.15</v>
      </c>
      <c r="R1477" s="1" t="n">
        <v>2906.85</v>
      </c>
      <c r="S1477" s="1" t="n">
        <v>13242.3</v>
      </c>
      <c r="T1477" s="1" t="n">
        <v>5594.35</v>
      </c>
      <c r="U1477" s="1" t="n">
        <v>7647.95</v>
      </c>
      <c r="V1477" s="1" t="n">
        <v>57.75</v>
      </c>
      <c r="W1477" s="1" t="s">
        <v>40</v>
      </c>
      <c r="Y1477" s="1" t="s">
        <v>40</v>
      </c>
      <c r="Z1477" s="1" t="n">
        <v>0</v>
      </c>
      <c r="AA1477" s="1" t="str">
        <f aca="false">TRIM(PROPER(F1477))</f>
        <v>Chennai</v>
      </c>
      <c r="AB1477" s="1" t="str">
        <f aca="false">TRIM(PROPER(C1477))</f>
        <v>Meritnation</v>
      </c>
      <c r="AC1477" s="1" t="str">
        <f aca="false">IF(O1477=0,"No Discount",IF(O1477&lt;=15,"Low (1-15%)",IF(O1477&lt;=30,"Medium (16-30%)","High (&gt;30%)")))</f>
        <v>Low (1-15%)</v>
      </c>
      <c r="AD1477" s="1" t="str">
        <f aca="false">IF(V1477&lt;0,"Loss Making",IF(V1477&lt;20,"Low Margin","Healthy Margin"))</f>
        <v>Healthy Margin</v>
      </c>
      <c r="AE1477" s="1" t="str">
        <f aca="false">TEXT(DATE(VALUE(RIGHT(B1477,4)),VALUE(MID(B1477,4,2)),VALUE(LEFT(B1477,2))),"MMM-YYYY")</f>
        <v>May-2024</v>
      </c>
      <c r="AF1477" s="1" t="n">
        <f aca="false">VALUE(RIGHT(B1477,4))</f>
        <v>2024</v>
      </c>
      <c r="AG1477" s="1" t="str">
        <f aca="false">CHOOSE(ROUNDUP(VALUE(MID(B1477,4,2))/3,0),"Q1","Q2","Q3","Q4")</f>
        <v>Q2</v>
      </c>
    </row>
    <row r="1478" customFormat="false" ht="15" hidden="false" customHeight="true" outlineLevel="0" collapsed="false">
      <c r="A1478" s="1" t="s">
        <v>2282</v>
      </c>
      <c r="B1478" s="1" t="s">
        <v>1207</v>
      </c>
      <c r="C1478" s="1" t="s">
        <v>249</v>
      </c>
      <c r="D1478" s="1" t="s">
        <v>143</v>
      </c>
      <c r="E1478" s="1" t="s">
        <v>159</v>
      </c>
      <c r="F1478" s="1" t="s">
        <v>1389</v>
      </c>
      <c r="G1478" s="1" t="s">
        <v>32</v>
      </c>
      <c r="H1478" s="1" t="s">
        <v>57</v>
      </c>
      <c r="I1478" s="1" t="s">
        <v>58</v>
      </c>
      <c r="J1478" s="1" t="s">
        <v>131</v>
      </c>
      <c r="K1478" s="1" t="s">
        <v>36</v>
      </c>
      <c r="L1478" s="1" t="s">
        <v>136</v>
      </c>
      <c r="M1478" s="1" t="s">
        <v>38</v>
      </c>
      <c r="N1478" s="1" t="n">
        <v>24999</v>
      </c>
      <c r="O1478" s="1" t="n">
        <v>0</v>
      </c>
      <c r="P1478" s="1" t="n">
        <v>0</v>
      </c>
      <c r="Q1478" s="1" t="n">
        <v>24999</v>
      </c>
      <c r="R1478" s="1" t="n">
        <v>4499.82</v>
      </c>
      <c r="S1478" s="1" t="n">
        <v>20499.18</v>
      </c>
      <c r="T1478" s="1" t="n">
        <v>9171.82</v>
      </c>
      <c r="U1478" s="1" t="n">
        <v>11327.36</v>
      </c>
      <c r="V1478" s="1" t="n">
        <v>55.26</v>
      </c>
      <c r="W1478" s="1" t="s">
        <v>39</v>
      </c>
      <c r="Y1478" s="1" t="s">
        <v>40</v>
      </c>
      <c r="Z1478" s="1" t="n">
        <v>1</v>
      </c>
      <c r="AA1478" s="1" t="str">
        <f aca="false">TRIM(PROPER(F1478))</f>
        <v>Jaipur</v>
      </c>
      <c r="AB1478" s="1" t="str">
        <f aca="false">TRIM(PROPER(C1478))</f>
        <v>Whitehat Jr</v>
      </c>
      <c r="AC1478" s="1" t="str">
        <f aca="false">IF(O1478=0,"No Discount",IF(O1478&lt;=15,"Low (1-15%)",IF(O1478&lt;=30,"Medium (16-30%)","High (&gt;30%)")))</f>
        <v>No Discount</v>
      </c>
      <c r="AD1478" s="1" t="str">
        <f aca="false">IF(V1478&lt;0,"Loss Making",IF(V1478&lt;20,"Low Margin","Healthy Margin"))</f>
        <v>Healthy Margin</v>
      </c>
      <c r="AE1478" s="1" t="str">
        <f aca="false">TEXT(DATE(VALUE(RIGHT(B1478,4)),VALUE(MID(B1478,4,2)),VALUE(LEFT(B1478,2))),"MMM-YYYY")</f>
        <v>Mar-2024</v>
      </c>
      <c r="AF1478" s="1" t="n">
        <f aca="false">VALUE(RIGHT(B1478,4))</f>
        <v>2024</v>
      </c>
      <c r="AG1478" s="1" t="str">
        <f aca="false">CHOOSE(ROUNDUP(VALUE(MID(B1478,4,2))/3,0),"Q1","Q2","Q3","Q4")</f>
        <v>Q1</v>
      </c>
    </row>
    <row r="1479" customFormat="false" ht="15" hidden="false" customHeight="true" outlineLevel="0" collapsed="false">
      <c r="A1479" s="1" t="s">
        <v>2283</v>
      </c>
      <c r="B1479" s="1" t="s">
        <v>683</v>
      </c>
      <c r="C1479" s="1" t="s">
        <v>178</v>
      </c>
      <c r="D1479" s="1" t="s">
        <v>143</v>
      </c>
      <c r="E1479" s="1" t="s">
        <v>243</v>
      </c>
      <c r="F1479" s="1" t="s">
        <v>107</v>
      </c>
      <c r="G1479" s="1" t="s">
        <v>108</v>
      </c>
      <c r="H1479" s="1" t="s">
        <v>33</v>
      </c>
      <c r="I1479" s="1" t="s">
        <v>34</v>
      </c>
      <c r="J1479" s="1" t="s">
        <v>59</v>
      </c>
      <c r="K1479" s="1" t="s">
        <v>112</v>
      </c>
      <c r="L1479" s="1" t="s">
        <v>49</v>
      </c>
      <c r="M1479" s="1" t="s">
        <v>62</v>
      </c>
      <c r="N1479" s="1" t="n">
        <v>22999</v>
      </c>
      <c r="O1479" s="1" t="n">
        <v>10</v>
      </c>
      <c r="P1479" s="1" t="n">
        <v>2299.9</v>
      </c>
      <c r="Q1479" s="1" t="n">
        <v>20699.1</v>
      </c>
      <c r="R1479" s="1" t="n">
        <v>3725.84</v>
      </c>
      <c r="S1479" s="1" t="n">
        <v>16973.26</v>
      </c>
      <c r="T1479" s="1" t="n">
        <v>8492.83</v>
      </c>
      <c r="U1479" s="1" t="n">
        <v>8480.43</v>
      </c>
      <c r="V1479" s="1" t="n">
        <v>49.96</v>
      </c>
      <c r="W1479" s="1" t="s">
        <v>40</v>
      </c>
      <c r="Y1479" s="1" t="s">
        <v>39</v>
      </c>
      <c r="Z1479" s="1" t="n">
        <v>1</v>
      </c>
      <c r="AA1479" s="1" t="str">
        <f aca="false">TRIM(PROPER(F1479))</f>
        <v>Madurai</v>
      </c>
      <c r="AB1479" s="1" t="str">
        <f aca="false">TRIM(PROPER(C1479))</f>
        <v>Leverage Edu</v>
      </c>
      <c r="AC1479" s="1" t="str">
        <f aca="false">IF(O1479=0,"No Discount",IF(O1479&lt;=15,"Low (1-15%)",IF(O1479&lt;=30,"Medium (16-30%)","High (&gt;30%)")))</f>
        <v>Low (1-15%)</v>
      </c>
      <c r="AD1479" s="1" t="str">
        <f aca="false">IF(V1479&lt;0,"Loss Making",IF(V1479&lt;20,"Low Margin","Healthy Margin"))</f>
        <v>Healthy Margin</v>
      </c>
      <c r="AE1479" s="1" t="str">
        <f aca="false">TEXT(DATE(VALUE(RIGHT(B1479,4)),VALUE(MID(B1479,4,2)),VALUE(LEFT(B1479,2))),"MMM-YYYY")</f>
        <v>Oct-2023</v>
      </c>
      <c r="AF1479" s="1" t="n">
        <f aca="false">VALUE(RIGHT(B1479,4))</f>
        <v>2023</v>
      </c>
      <c r="AG1479" s="1" t="str">
        <f aca="false">CHOOSE(ROUNDUP(VALUE(MID(B1479,4,2))/3,0),"Q1","Q2","Q3","Q4")</f>
        <v>Q4</v>
      </c>
    </row>
    <row r="1480" customFormat="false" ht="15" hidden="false" customHeight="true" outlineLevel="0" collapsed="false">
      <c r="A1480" s="1" t="s">
        <v>2284</v>
      </c>
      <c r="B1480" s="1" t="s">
        <v>2285</v>
      </c>
      <c r="C1480" s="1" t="s">
        <v>93</v>
      </c>
      <c r="D1480" s="1" t="s">
        <v>53</v>
      </c>
      <c r="E1480" s="1" t="s">
        <v>54</v>
      </c>
      <c r="F1480" s="1" t="s">
        <v>140</v>
      </c>
      <c r="G1480" s="1" t="s">
        <v>97</v>
      </c>
      <c r="H1480" s="1" t="s">
        <v>57</v>
      </c>
      <c r="I1480" s="1" t="s">
        <v>58</v>
      </c>
      <c r="J1480" s="1" t="s">
        <v>35</v>
      </c>
      <c r="K1480" s="1" t="s">
        <v>104</v>
      </c>
      <c r="L1480" s="1" t="s">
        <v>61</v>
      </c>
      <c r="M1480" s="1" t="s">
        <v>38</v>
      </c>
      <c r="N1480" s="1" t="n">
        <v>11999</v>
      </c>
      <c r="O1480" s="1" t="n">
        <v>20</v>
      </c>
      <c r="P1480" s="1" t="n">
        <v>2399.8</v>
      </c>
      <c r="Q1480" s="1" t="n">
        <v>9599.2</v>
      </c>
      <c r="R1480" s="1" t="n">
        <v>1727.86</v>
      </c>
      <c r="S1480" s="1" t="n">
        <v>7871.34</v>
      </c>
      <c r="T1480" s="1" t="n">
        <v>3191.73</v>
      </c>
      <c r="U1480" s="1" t="n">
        <v>4679.61</v>
      </c>
      <c r="V1480" s="1" t="n">
        <v>59.45</v>
      </c>
      <c r="W1480" s="1" t="s">
        <v>40</v>
      </c>
      <c r="Y1480" s="1" t="s">
        <v>40</v>
      </c>
      <c r="Z1480" s="1" t="n">
        <v>2</v>
      </c>
      <c r="AA1480" s="1" t="str">
        <f aca="false">TRIM(PROPER(F1480))</f>
        <v>Nashik</v>
      </c>
      <c r="AB1480" s="1" t="str">
        <f aca="false">TRIM(PROPER(C1480))</f>
        <v>Upgrad</v>
      </c>
      <c r="AC1480" s="1" t="str">
        <f aca="false">IF(O1480=0,"No Discount",IF(O1480&lt;=15,"Low (1-15%)",IF(O1480&lt;=30,"Medium (16-30%)","High (&gt;30%)")))</f>
        <v>Medium (16-30%)</v>
      </c>
      <c r="AD1480" s="1" t="str">
        <f aca="false">IF(V1480&lt;0,"Loss Making",IF(V1480&lt;20,"Low Margin","Healthy Margin"))</f>
        <v>Healthy Margin</v>
      </c>
      <c r="AE1480" s="1" t="str">
        <f aca="false">TEXT(DATE(VALUE(RIGHT(B1480,4)),VALUE(MID(B1480,4,2)),VALUE(LEFT(B1480,2))),"MMM-YYYY")</f>
        <v>Feb-2023</v>
      </c>
      <c r="AF1480" s="1" t="n">
        <f aca="false">VALUE(RIGHT(B1480,4))</f>
        <v>2023</v>
      </c>
      <c r="AG1480" s="1" t="str">
        <f aca="false">CHOOSE(ROUNDUP(VALUE(MID(B1480,4,2))/3,0),"Q1","Q2","Q3","Q4")</f>
        <v>Q1</v>
      </c>
    </row>
    <row r="1481" customFormat="false" ht="15" hidden="false" customHeight="true" outlineLevel="0" collapsed="false">
      <c r="A1481" s="1" t="s">
        <v>2286</v>
      </c>
      <c r="B1481" s="1" t="s">
        <v>268</v>
      </c>
      <c r="C1481" s="1" t="s">
        <v>167</v>
      </c>
      <c r="D1481" s="1" t="s">
        <v>80</v>
      </c>
      <c r="E1481" s="1" t="s">
        <v>175</v>
      </c>
      <c r="F1481" s="1" t="s">
        <v>205</v>
      </c>
      <c r="G1481" s="1" t="s">
        <v>56</v>
      </c>
      <c r="H1481" s="1" t="s">
        <v>69</v>
      </c>
      <c r="I1481" s="1" t="s">
        <v>58</v>
      </c>
      <c r="J1481" s="1" t="s">
        <v>131</v>
      </c>
      <c r="K1481" s="1" t="s">
        <v>60</v>
      </c>
      <c r="L1481" s="1" t="s">
        <v>85</v>
      </c>
      <c r="M1481" s="1" t="s">
        <v>50</v>
      </c>
      <c r="N1481" s="1" t="n">
        <v>19999</v>
      </c>
      <c r="O1481" s="1" t="n">
        <v>10</v>
      </c>
      <c r="P1481" s="1" t="n">
        <v>1999.9</v>
      </c>
      <c r="Q1481" s="1" t="n">
        <v>17999.1</v>
      </c>
      <c r="R1481" s="1" t="n">
        <v>3239.84</v>
      </c>
      <c r="S1481" s="1" t="n">
        <v>14759.26</v>
      </c>
      <c r="T1481" s="1" t="n">
        <v>5371.83</v>
      </c>
      <c r="U1481" s="1" t="n">
        <v>9387.43</v>
      </c>
      <c r="V1481" s="1" t="n">
        <v>63.6</v>
      </c>
      <c r="W1481" s="1" t="s">
        <v>39</v>
      </c>
      <c r="X1481" s="1" t="n">
        <v>4</v>
      </c>
      <c r="Y1481" s="1" t="s">
        <v>40</v>
      </c>
      <c r="Z1481" s="1" t="n">
        <v>0</v>
      </c>
      <c r="AA1481" s="1" t="str">
        <f aca="false">TRIM(PROPER(F1481))</f>
        <v>New Delhi</v>
      </c>
      <c r="AB1481" s="1" t="str">
        <f aca="false">TRIM(PROPER(C1481))</f>
        <v>Scaler</v>
      </c>
      <c r="AC1481" s="1" t="str">
        <f aca="false">IF(O1481=0,"No Discount",IF(O1481&lt;=15,"Low (1-15%)",IF(O1481&lt;=30,"Medium (16-30%)","High (&gt;30%)")))</f>
        <v>Low (1-15%)</v>
      </c>
      <c r="AD1481" s="1" t="str">
        <f aca="false">IF(V1481&lt;0,"Loss Making",IF(V1481&lt;20,"Low Margin","Healthy Margin"))</f>
        <v>Healthy Margin</v>
      </c>
      <c r="AE1481" s="1" t="str">
        <f aca="false">TEXT(DATE(VALUE(RIGHT(B1481,4)),VALUE(MID(B1481,4,2)),VALUE(LEFT(B1481,2))),"MMM-YYYY")</f>
        <v>Aug-2023</v>
      </c>
      <c r="AF1481" s="1" t="n">
        <f aca="false">VALUE(RIGHT(B1481,4))</f>
        <v>2023</v>
      </c>
      <c r="AG1481" s="1" t="str">
        <f aca="false">CHOOSE(ROUNDUP(VALUE(MID(B1481,4,2))/3,0),"Q1","Q2","Q3","Q4")</f>
        <v>Q3</v>
      </c>
    </row>
    <row r="1482" customFormat="false" ht="15" hidden="false" customHeight="true" outlineLevel="0" collapsed="false">
      <c r="A1482" s="1" t="s">
        <v>2287</v>
      </c>
      <c r="B1482" s="1" t="s">
        <v>692</v>
      </c>
      <c r="C1482" s="1" t="s">
        <v>100</v>
      </c>
      <c r="D1482" s="1" t="s">
        <v>143</v>
      </c>
      <c r="E1482" s="1" t="s">
        <v>159</v>
      </c>
      <c r="F1482" s="1" t="s">
        <v>244</v>
      </c>
      <c r="G1482" s="1" t="s">
        <v>97</v>
      </c>
      <c r="H1482" s="1" t="s">
        <v>57</v>
      </c>
      <c r="I1482" s="1" t="s">
        <v>34</v>
      </c>
      <c r="J1482" s="1" t="s">
        <v>70</v>
      </c>
      <c r="K1482" s="1" t="s">
        <v>60</v>
      </c>
      <c r="L1482" s="1" t="s">
        <v>113</v>
      </c>
      <c r="M1482" s="1" t="s">
        <v>50</v>
      </c>
      <c r="N1482" s="1" t="n">
        <v>24999</v>
      </c>
      <c r="O1482" s="1" t="n">
        <v>15</v>
      </c>
      <c r="P1482" s="1" t="n">
        <v>3749.85</v>
      </c>
      <c r="Q1482" s="1" t="n">
        <v>21249.15</v>
      </c>
      <c r="R1482" s="1" t="n">
        <v>3824.85</v>
      </c>
      <c r="S1482" s="1" t="n">
        <v>17424.3</v>
      </c>
      <c r="T1482" s="1" t="n">
        <v>8501.25</v>
      </c>
      <c r="U1482" s="1" t="n">
        <v>8923.05</v>
      </c>
      <c r="V1482" s="1" t="n">
        <v>51.21</v>
      </c>
      <c r="W1482" s="1" t="s">
        <v>39</v>
      </c>
      <c r="X1482" s="1" t="n">
        <v>3.8</v>
      </c>
      <c r="Y1482" s="1" t="s">
        <v>39</v>
      </c>
      <c r="Z1482" s="1" t="n">
        <v>0</v>
      </c>
      <c r="AA1482" s="1" t="str">
        <f aca="false">TRIM(PROPER(F1482))</f>
        <v>Nagpur</v>
      </c>
      <c r="AB1482" s="1" t="str">
        <f aca="false">TRIM(PROPER(C1482))</f>
        <v>Physics Wallah</v>
      </c>
      <c r="AC1482" s="1" t="str">
        <f aca="false">IF(O1482=0,"No Discount",IF(O1482&lt;=15,"Low (1-15%)",IF(O1482&lt;=30,"Medium (16-30%)","High (&gt;30%)")))</f>
        <v>Low (1-15%)</v>
      </c>
      <c r="AD1482" s="1" t="str">
        <f aca="false">IF(V1482&lt;0,"Loss Making",IF(V1482&lt;20,"Low Margin","Healthy Margin"))</f>
        <v>Healthy Margin</v>
      </c>
      <c r="AE1482" s="1" t="str">
        <f aca="false">TEXT(DATE(VALUE(RIGHT(B1482,4)),VALUE(MID(B1482,4,2)),VALUE(LEFT(B1482,2))),"MMM-YYYY")</f>
        <v>Jan-2024</v>
      </c>
      <c r="AF1482" s="1" t="n">
        <f aca="false">VALUE(RIGHT(B1482,4))</f>
        <v>2024</v>
      </c>
      <c r="AG1482" s="1" t="str">
        <f aca="false">CHOOSE(ROUNDUP(VALUE(MID(B1482,4,2))/3,0),"Q1","Q2","Q3","Q4")</f>
        <v>Q1</v>
      </c>
    </row>
    <row r="1483" customFormat="false" ht="15" hidden="false" customHeight="true" outlineLevel="0" collapsed="false">
      <c r="A1483" s="1" t="s">
        <v>2288</v>
      </c>
      <c r="B1483" s="1" t="s">
        <v>2289</v>
      </c>
      <c r="C1483" s="1" t="s">
        <v>100</v>
      </c>
      <c r="D1483" s="1" t="s">
        <v>29</v>
      </c>
      <c r="E1483" s="1" t="s">
        <v>182</v>
      </c>
      <c r="F1483" s="1" t="s">
        <v>75</v>
      </c>
      <c r="G1483" s="1" t="s">
        <v>76</v>
      </c>
      <c r="H1483" s="1" t="s">
        <v>69</v>
      </c>
      <c r="I1483" s="1" t="s">
        <v>83</v>
      </c>
      <c r="J1483" s="1" t="s">
        <v>131</v>
      </c>
      <c r="K1483" s="1" t="s">
        <v>71</v>
      </c>
      <c r="L1483" s="1" t="s">
        <v>136</v>
      </c>
      <c r="M1483" s="1" t="s">
        <v>38</v>
      </c>
      <c r="N1483" s="1" t="n">
        <v>34999</v>
      </c>
      <c r="O1483" s="1" t="n">
        <v>0</v>
      </c>
      <c r="P1483" s="1" t="n">
        <v>0</v>
      </c>
      <c r="Q1483" s="1" t="n">
        <v>34999</v>
      </c>
      <c r="R1483" s="1" t="n">
        <v>6299.82</v>
      </c>
      <c r="S1483" s="1" t="n">
        <v>28699.18</v>
      </c>
      <c r="T1483" s="1" t="n">
        <v>9967.18</v>
      </c>
      <c r="U1483" s="1" t="n">
        <v>18732</v>
      </c>
      <c r="V1483" s="1" t="n">
        <v>65.27</v>
      </c>
      <c r="W1483" s="1" t="s">
        <v>39</v>
      </c>
      <c r="X1483" s="1" t="n">
        <v>4.1</v>
      </c>
      <c r="Y1483" s="1" t="s">
        <v>40</v>
      </c>
      <c r="Z1483" s="1" t="n">
        <v>0</v>
      </c>
      <c r="AA1483" s="1" t="str">
        <f aca="false">TRIM(PROPER(F1483))</f>
        <v>Kolkata</v>
      </c>
      <c r="AB1483" s="1" t="str">
        <f aca="false">TRIM(PROPER(C1483))</f>
        <v>Physics Wallah</v>
      </c>
      <c r="AC1483" s="1" t="str">
        <f aca="false">IF(O1483=0,"No Discount",IF(O1483&lt;=15,"Low (1-15%)",IF(O1483&lt;=30,"Medium (16-30%)","High (&gt;30%)")))</f>
        <v>No Discount</v>
      </c>
      <c r="AD1483" s="1" t="str">
        <f aca="false">IF(V1483&lt;0,"Loss Making",IF(V1483&lt;20,"Low Margin","Healthy Margin"))</f>
        <v>Healthy Margin</v>
      </c>
      <c r="AE1483" s="1" t="str">
        <f aca="false">TEXT(DATE(VALUE(RIGHT(B1483,4)),VALUE(MID(B1483,4,2)),VALUE(LEFT(B1483,2))),"MMM-YYYY")</f>
        <v>Mar-2024</v>
      </c>
      <c r="AF1483" s="1" t="n">
        <f aca="false">VALUE(RIGHT(B1483,4))</f>
        <v>2024</v>
      </c>
      <c r="AG1483" s="1" t="str">
        <f aca="false">CHOOSE(ROUNDUP(VALUE(MID(B1483,4,2))/3,0),"Q1","Q2","Q3","Q4")</f>
        <v>Q1</v>
      </c>
    </row>
    <row r="1484" customFormat="false" ht="15" hidden="false" customHeight="true" outlineLevel="0" collapsed="false">
      <c r="A1484" s="1" t="s">
        <v>2290</v>
      </c>
      <c r="B1484" s="1" t="s">
        <v>1500</v>
      </c>
      <c r="C1484" s="1" t="s">
        <v>167</v>
      </c>
      <c r="D1484" s="1" t="s">
        <v>80</v>
      </c>
      <c r="E1484" s="1" t="s">
        <v>81</v>
      </c>
      <c r="F1484" s="1" t="s">
        <v>130</v>
      </c>
      <c r="G1484" s="1" t="s">
        <v>47</v>
      </c>
      <c r="H1484" s="1" t="s">
        <v>69</v>
      </c>
      <c r="I1484" s="1" t="s">
        <v>83</v>
      </c>
      <c r="J1484" s="1" t="s">
        <v>59</v>
      </c>
      <c r="K1484" s="1" t="s">
        <v>71</v>
      </c>
      <c r="L1484" s="1" t="s">
        <v>49</v>
      </c>
      <c r="M1484" s="1" t="s">
        <v>50</v>
      </c>
      <c r="N1484" s="1" t="n">
        <v>12999</v>
      </c>
      <c r="O1484" s="1" t="n">
        <v>10</v>
      </c>
      <c r="P1484" s="1" t="n">
        <v>1299.9</v>
      </c>
      <c r="Q1484" s="1" t="n">
        <v>11699.1</v>
      </c>
      <c r="R1484" s="1" t="n">
        <v>2105.84</v>
      </c>
      <c r="S1484" s="1" t="n">
        <v>9593.26</v>
      </c>
      <c r="T1484" s="1" t="n">
        <v>3537.75</v>
      </c>
      <c r="U1484" s="1" t="n">
        <v>6055.51</v>
      </c>
      <c r="V1484" s="1" t="n">
        <v>63.12</v>
      </c>
      <c r="W1484" s="1" t="s">
        <v>39</v>
      </c>
      <c r="Y1484" s="1" t="s">
        <v>40</v>
      </c>
      <c r="Z1484" s="1" t="n">
        <v>0</v>
      </c>
      <c r="AA1484" s="1" t="str">
        <f aca="false">TRIM(PROPER(F1484))</f>
        <v>Bengaluru</v>
      </c>
      <c r="AB1484" s="1" t="str">
        <f aca="false">TRIM(PROPER(C1484))</f>
        <v>Scaler</v>
      </c>
      <c r="AC1484" s="1" t="str">
        <f aca="false">IF(O1484=0,"No Discount",IF(O1484&lt;=15,"Low (1-15%)",IF(O1484&lt;=30,"Medium (16-30%)","High (&gt;30%)")))</f>
        <v>Low (1-15%)</v>
      </c>
      <c r="AD1484" s="1" t="str">
        <f aca="false">IF(V1484&lt;0,"Loss Making",IF(V1484&lt;20,"Low Margin","Healthy Margin"))</f>
        <v>Healthy Margin</v>
      </c>
      <c r="AE1484" s="1" t="str">
        <f aca="false">TEXT(DATE(VALUE(RIGHT(B1484,4)),VALUE(MID(B1484,4,2)),VALUE(LEFT(B1484,2))),"MMM-YYYY")</f>
        <v>Aug-2023</v>
      </c>
      <c r="AF1484" s="1" t="n">
        <f aca="false">VALUE(RIGHT(B1484,4))</f>
        <v>2023</v>
      </c>
      <c r="AG1484" s="1" t="str">
        <f aca="false">CHOOSE(ROUNDUP(VALUE(MID(B1484,4,2))/3,0),"Q1","Q2","Q3","Q4")</f>
        <v>Q3</v>
      </c>
    </row>
    <row r="1485" customFormat="false" ht="15" hidden="false" customHeight="true" outlineLevel="0" collapsed="false">
      <c r="A1485" s="1" t="s">
        <v>2291</v>
      </c>
      <c r="B1485" s="1" t="s">
        <v>2011</v>
      </c>
      <c r="C1485" s="1" t="s">
        <v>65</v>
      </c>
      <c r="D1485" s="1" t="s">
        <v>143</v>
      </c>
      <c r="E1485" s="1" t="s">
        <v>162</v>
      </c>
      <c r="F1485" s="1" t="s">
        <v>205</v>
      </c>
      <c r="G1485" s="1" t="s">
        <v>56</v>
      </c>
      <c r="H1485" s="1" t="s">
        <v>69</v>
      </c>
      <c r="I1485" s="1" t="s">
        <v>83</v>
      </c>
      <c r="J1485" s="1" t="s">
        <v>59</v>
      </c>
      <c r="K1485" s="1" t="s">
        <v>36</v>
      </c>
      <c r="L1485" s="1" t="s">
        <v>113</v>
      </c>
      <c r="M1485" s="1" t="s">
        <v>38</v>
      </c>
      <c r="N1485" s="1" t="n">
        <v>14999</v>
      </c>
      <c r="O1485" s="1" t="n">
        <v>10</v>
      </c>
      <c r="P1485" s="1" t="n">
        <v>1499.9</v>
      </c>
      <c r="Q1485" s="1" t="n">
        <v>13499.1</v>
      </c>
      <c r="R1485" s="1" t="n">
        <v>2429.84</v>
      </c>
      <c r="S1485" s="1" t="n">
        <v>11069.26</v>
      </c>
      <c r="T1485" s="1" t="n">
        <v>4402.57</v>
      </c>
      <c r="U1485" s="1" t="n">
        <v>6666.69</v>
      </c>
      <c r="V1485" s="1" t="n">
        <v>60.23</v>
      </c>
      <c r="W1485" s="1" t="s">
        <v>40</v>
      </c>
      <c r="Y1485" s="1" t="s">
        <v>40</v>
      </c>
      <c r="Z1485" s="1" t="n">
        <v>2</v>
      </c>
      <c r="AA1485" s="1" t="str">
        <f aca="false">TRIM(PROPER(F1485))</f>
        <v>New Delhi</v>
      </c>
      <c r="AB1485" s="1" t="str">
        <f aca="false">TRIM(PROPER(C1485))</f>
        <v>Toppr</v>
      </c>
      <c r="AC1485" s="1" t="str">
        <f aca="false">IF(O1485=0,"No Discount",IF(O1485&lt;=15,"Low (1-15%)",IF(O1485&lt;=30,"Medium (16-30%)","High (&gt;30%)")))</f>
        <v>Low (1-15%)</v>
      </c>
      <c r="AD1485" s="1" t="str">
        <f aca="false">IF(V1485&lt;0,"Loss Making",IF(V1485&lt;20,"Low Margin","Healthy Margin"))</f>
        <v>Healthy Margin</v>
      </c>
      <c r="AE1485" s="1" t="str">
        <f aca="false">TEXT(DATE(VALUE(RIGHT(B1485,4)),VALUE(MID(B1485,4,2)),VALUE(LEFT(B1485,2))),"MMM-YYYY")</f>
        <v>Dec-2023</v>
      </c>
      <c r="AF1485" s="1" t="n">
        <f aca="false">VALUE(RIGHT(B1485,4))</f>
        <v>2023</v>
      </c>
      <c r="AG1485" s="1" t="str">
        <f aca="false">CHOOSE(ROUNDUP(VALUE(MID(B1485,4,2))/3,0),"Q1","Q2","Q3","Q4")</f>
        <v>Q4</v>
      </c>
    </row>
    <row r="1486" customFormat="false" ht="15" hidden="false" customHeight="true" outlineLevel="0" collapsed="false">
      <c r="A1486" s="1" t="s">
        <v>2292</v>
      </c>
      <c r="B1486" s="1" t="s">
        <v>2293</v>
      </c>
      <c r="C1486" s="1" t="s">
        <v>28</v>
      </c>
      <c r="D1486" s="1" t="s">
        <v>29</v>
      </c>
      <c r="E1486" s="1" t="s">
        <v>182</v>
      </c>
      <c r="F1486" s="1" t="s">
        <v>244</v>
      </c>
      <c r="G1486" s="1" t="s">
        <v>97</v>
      </c>
      <c r="H1486" s="1" t="s">
        <v>57</v>
      </c>
      <c r="I1486" s="1" t="s">
        <v>58</v>
      </c>
      <c r="J1486" s="1" t="s">
        <v>77</v>
      </c>
      <c r="K1486" s="1" t="s">
        <v>36</v>
      </c>
      <c r="L1486" s="1" t="s">
        <v>61</v>
      </c>
      <c r="M1486" s="1" t="s">
        <v>38</v>
      </c>
      <c r="N1486" s="1" t="n">
        <v>34999</v>
      </c>
      <c r="O1486" s="1" t="n">
        <v>0</v>
      </c>
      <c r="P1486" s="1" t="n">
        <v>0</v>
      </c>
      <c r="Q1486" s="1" t="n">
        <v>34999</v>
      </c>
      <c r="R1486" s="1" t="n">
        <v>6299.82</v>
      </c>
      <c r="S1486" s="1" t="n">
        <v>28699.18</v>
      </c>
      <c r="T1486" s="1" t="n">
        <v>11829.12</v>
      </c>
      <c r="U1486" s="1" t="n">
        <v>16870.06</v>
      </c>
      <c r="V1486" s="1" t="n">
        <v>58.78</v>
      </c>
      <c r="W1486" s="1" t="s">
        <v>39</v>
      </c>
      <c r="X1486" s="1" t="n">
        <v>3.7</v>
      </c>
      <c r="Y1486" s="1" t="s">
        <v>40</v>
      </c>
      <c r="Z1486" s="1" t="n">
        <v>0</v>
      </c>
      <c r="AA1486" s="1" t="str">
        <f aca="false">TRIM(PROPER(F1486))</f>
        <v>Nagpur</v>
      </c>
      <c r="AB1486" s="1" t="str">
        <f aca="false">TRIM(PROPER(C1486))</f>
        <v>Embibe</v>
      </c>
      <c r="AC1486" s="1" t="str">
        <f aca="false">IF(O1486=0,"No Discount",IF(O1486&lt;=15,"Low (1-15%)",IF(O1486&lt;=30,"Medium (16-30%)","High (&gt;30%)")))</f>
        <v>No Discount</v>
      </c>
      <c r="AD1486" s="1" t="str">
        <f aca="false">IF(V1486&lt;0,"Loss Making",IF(V1486&lt;20,"Low Margin","Healthy Margin"))</f>
        <v>Healthy Margin</v>
      </c>
      <c r="AE1486" s="1" t="str">
        <f aca="false">TEXT(DATE(VALUE(RIGHT(B1486,4)),VALUE(MID(B1486,4,2)),VALUE(LEFT(B1486,2))),"MMM-YYYY")</f>
        <v>May-2023</v>
      </c>
      <c r="AF1486" s="1" t="n">
        <f aca="false">VALUE(RIGHT(B1486,4))</f>
        <v>2023</v>
      </c>
      <c r="AG1486" s="1" t="str">
        <f aca="false">CHOOSE(ROUNDUP(VALUE(MID(B1486,4,2))/3,0),"Q1","Q2","Q3","Q4")</f>
        <v>Q2</v>
      </c>
    </row>
    <row r="1487" customFormat="false" ht="15" hidden="false" customHeight="true" outlineLevel="0" collapsed="false">
      <c r="A1487" s="1" t="s">
        <v>2294</v>
      </c>
      <c r="B1487" s="1" t="s">
        <v>868</v>
      </c>
      <c r="C1487" s="1" t="s">
        <v>178</v>
      </c>
      <c r="D1487" s="1" t="s">
        <v>44</v>
      </c>
      <c r="E1487" s="1" t="s">
        <v>45</v>
      </c>
      <c r="F1487" s="1" t="s">
        <v>120</v>
      </c>
      <c r="G1487" s="1" t="s">
        <v>47</v>
      </c>
      <c r="H1487" s="1" t="s">
        <v>57</v>
      </c>
      <c r="I1487" s="1" t="s">
        <v>58</v>
      </c>
      <c r="J1487" s="1" t="s">
        <v>35</v>
      </c>
      <c r="K1487" s="1" t="s">
        <v>36</v>
      </c>
      <c r="L1487" s="1" t="s">
        <v>37</v>
      </c>
      <c r="M1487" s="1" t="s">
        <v>62</v>
      </c>
      <c r="N1487" s="1" t="n">
        <v>11999</v>
      </c>
      <c r="O1487" s="1" t="n">
        <v>10</v>
      </c>
      <c r="P1487" s="1" t="n">
        <v>1199.9</v>
      </c>
      <c r="Q1487" s="1" t="n">
        <v>10799.1</v>
      </c>
      <c r="R1487" s="1" t="n">
        <v>1943.84</v>
      </c>
      <c r="S1487" s="1" t="n">
        <v>8855.26</v>
      </c>
      <c r="T1487" s="1" t="n">
        <v>4367.01</v>
      </c>
      <c r="U1487" s="1" t="n">
        <v>4488.25</v>
      </c>
      <c r="V1487" s="1" t="n">
        <v>50.68</v>
      </c>
      <c r="W1487" s="1" t="s">
        <v>39</v>
      </c>
      <c r="X1487" s="1" t="n">
        <v>4.2</v>
      </c>
      <c r="Y1487" s="1" t="s">
        <v>40</v>
      </c>
      <c r="Z1487" s="1" t="n">
        <v>0</v>
      </c>
      <c r="AA1487" s="1" t="str">
        <f aca="false">TRIM(PROPER(F1487))</f>
        <v>Mysuru</v>
      </c>
      <c r="AB1487" s="1" t="str">
        <f aca="false">TRIM(PROPER(C1487))</f>
        <v>Leverage Edu</v>
      </c>
      <c r="AC1487" s="1" t="str">
        <f aca="false">IF(O1487=0,"No Discount",IF(O1487&lt;=15,"Low (1-15%)",IF(O1487&lt;=30,"Medium (16-30%)","High (&gt;30%)")))</f>
        <v>Low (1-15%)</v>
      </c>
      <c r="AD1487" s="1" t="str">
        <f aca="false">IF(V1487&lt;0,"Loss Making",IF(V1487&lt;20,"Low Margin","Healthy Margin"))</f>
        <v>Healthy Margin</v>
      </c>
      <c r="AE1487" s="1" t="str">
        <f aca="false">TEXT(DATE(VALUE(RIGHT(B1487,4)),VALUE(MID(B1487,4,2)),VALUE(LEFT(B1487,2))),"MMM-YYYY")</f>
        <v>Mar-2024</v>
      </c>
      <c r="AF1487" s="1" t="n">
        <f aca="false">VALUE(RIGHT(B1487,4))</f>
        <v>2024</v>
      </c>
      <c r="AG1487" s="1" t="str">
        <f aca="false">CHOOSE(ROUNDUP(VALUE(MID(B1487,4,2))/3,0),"Q1","Q2","Q3","Q4")</f>
        <v>Q1</v>
      </c>
    </row>
    <row r="1488" customFormat="false" ht="15" hidden="false" customHeight="true" outlineLevel="0" collapsed="false">
      <c r="A1488" s="1" t="s">
        <v>2295</v>
      </c>
      <c r="B1488" s="1" t="s">
        <v>1250</v>
      </c>
      <c r="C1488" s="1" t="s">
        <v>242</v>
      </c>
      <c r="D1488" s="1" t="s">
        <v>53</v>
      </c>
      <c r="E1488" s="1" t="s">
        <v>216</v>
      </c>
      <c r="F1488" s="1" t="s">
        <v>153</v>
      </c>
      <c r="G1488" s="1" t="s">
        <v>76</v>
      </c>
      <c r="H1488" s="1" t="s">
        <v>33</v>
      </c>
      <c r="I1488" s="1" t="s">
        <v>34</v>
      </c>
      <c r="J1488" s="1" t="s">
        <v>77</v>
      </c>
      <c r="K1488" s="1" t="s">
        <v>60</v>
      </c>
      <c r="L1488" s="1" t="s">
        <v>113</v>
      </c>
      <c r="M1488" s="1" t="s">
        <v>38</v>
      </c>
      <c r="N1488" s="1" t="n">
        <v>7499</v>
      </c>
      <c r="O1488" s="1" t="n">
        <v>50</v>
      </c>
      <c r="P1488" s="1" t="n">
        <v>3749.5</v>
      </c>
      <c r="Q1488" s="1" t="n">
        <v>3749.5</v>
      </c>
      <c r="R1488" s="1" t="n">
        <v>674.91</v>
      </c>
      <c r="S1488" s="1" t="n">
        <v>3074.59</v>
      </c>
      <c r="T1488" s="1" t="n">
        <v>1648.47</v>
      </c>
      <c r="U1488" s="1" t="n">
        <v>1426.12</v>
      </c>
      <c r="V1488" s="1" t="n">
        <v>46.38</v>
      </c>
      <c r="W1488" s="1" t="s">
        <v>39</v>
      </c>
      <c r="X1488" s="1" t="n">
        <v>3.8</v>
      </c>
      <c r="Y1488" s="1" t="s">
        <v>40</v>
      </c>
      <c r="Z1488" s="1" t="n">
        <v>2</v>
      </c>
      <c r="AA1488" s="1" t="str">
        <f aca="false">TRIM(PROPER(F1488))</f>
        <v>Howrah</v>
      </c>
      <c r="AB1488" s="1" t="str">
        <f aca="false">TRIM(PROPER(C1488))</f>
        <v>Leverage Edu</v>
      </c>
      <c r="AC1488" s="1" t="str">
        <f aca="false">IF(O1488=0,"No Discount",IF(O1488&lt;=15,"Low (1-15%)",IF(O1488&lt;=30,"Medium (16-30%)","High (&gt;30%)")))</f>
        <v>High (&gt;30%)</v>
      </c>
      <c r="AD1488" s="1" t="str">
        <f aca="false">IF(V1488&lt;0,"Loss Making",IF(V1488&lt;20,"Low Margin","Healthy Margin"))</f>
        <v>Healthy Margin</v>
      </c>
      <c r="AE1488" s="1" t="str">
        <f aca="false">TEXT(DATE(VALUE(RIGHT(B1488,4)),VALUE(MID(B1488,4,2)),VALUE(LEFT(B1488,2))),"MMM-YYYY")</f>
        <v>Jul-2023</v>
      </c>
      <c r="AF1488" s="1" t="n">
        <f aca="false">VALUE(RIGHT(B1488,4))</f>
        <v>2023</v>
      </c>
      <c r="AG1488" s="1" t="str">
        <f aca="false">CHOOSE(ROUNDUP(VALUE(MID(B1488,4,2))/3,0),"Q1","Q2","Q3","Q4")</f>
        <v>Q3</v>
      </c>
    </row>
    <row r="1489" customFormat="false" ht="15" hidden="false" customHeight="true" outlineLevel="0" collapsed="false">
      <c r="A1489" s="1" t="s">
        <v>2296</v>
      </c>
      <c r="B1489" s="1" t="s">
        <v>1727</v>
      </c>
      <c r="C1489" s="1" t="s">
        <v>65</v>
      </c>
      <c r="D1489" s="1" t="s">
        <v>94</v>
      </c>
      <c r="E1489" s="1" t="s">
        <v>95</v>
      </c>
      <c r="F1489" s="1" t="s">
        <v>82</v>
      </c>
      <c r="G1489" s="1" t="s">
        <v>56</v>
      </c>
      <c r="H1489" s="1" t="s">
        <v>69</v>
      </c>
      <c r="I1489" s="1" t="s">
        <v>34</v>
      </c>
      <c r="J1489" s="1" t="s">
        <v>70</v>
      </c>
      <c r="K1489" s="1" t="s">
        <v>112</v>
      </c>
      <c r="L1489" s="1" t="s">
        <v>49</v>
      </c>
      <c r="M1489" s="1" t="s">
        <v>62</v>
      </c>
      <c r="N1489" s="1" t="n">
        <v>6999</v>
      </c>
      <c r="O1489" s="1" t="n">
        <v>50</v>
      </c>
      <c r="P1489" s="1" t="n">
        <v>3499.5</v>
      </c>
      <c r="Q1489" s="1" t="n">
        <v>3499.5</v>
      </c>
      <c r="R1489" s="1" t="n">
        <v>629.91</v>
      </c>
      <c r="S1489" s="1" t="n">
        <v>2869.59</v>
      </c>
      <c r="T1489" s="1" t="n">
        <v>1648.56</v>
      </c>
      <c r="U1489" s="1" t="n">
        <v>1221.03</v>
      </c>
      <c r="V1489" s="1" t="n">
        <v>42.55</v>
      </c>
      <c r="W1489" s="1" t="s">
        <v>40</v>
      </c>
      <c r="Y1489" s="1" t="s">
        <v>40</v>
      </c>
      <c r="Z1489" s="1" t="n">
        <v>0</v>
      </c>
      <c r="AA1489" s="1" t="str">
        <f aca="false">TRIM(PROPER(F1489))</f>
        <v>Gurugram</v>
      </c>
      <c r="AB1489" s="1" t="str">
        <f aca="false">TRIM(PROPER(C1489))</f>
        <v>Toppr</v>
      </c>
      <c r="AC1489" s="1" t="str">
        <f aca="false">IF(O1489=0,"No Discount",IF(O1489&lt;=15,"Low (1-15%)",IF(O1489&lt;=30,"Medium (16-30%)","High (&gt;30%)")))</f>
        <v>High (&gt;30%)</v>
      </c>
      <c r="AD1489" s="1" t="str">
        <f aca="false">IF(V1489&lt;0,"Loss Making",IF(V1489&lt;20,"Low Margin","Healthy Margin"))</f>
        <v>Healthy Margin</v>
      </c>
      <c r="AE1489" s="1" t="str">
        <f aca="false">TEXT(DATE(VALUE(RIGHT(B1489,4)),VALUE(MID(B1489,4,2)),VALUE(LEFT(B1489,2))),"MMM-YYYY")</f>
        <v>Jun-2024</v>
      </c>
      <c r="AF1489" s="1" t="n">
        <f aca="false">VALUE(RIGHT(B1489,4))</f>
        <v>2024</v>
      </c>
      <c r="AG1489" s="1" t="str">
        <f aca="false">CHOOSE(ROUNDUP(VALUE(MID(B1489,4,2))/3,0),"Q1","Q2","Q3","Q4")</f>
        <v>Q2</v>
      </c>
    </row>
    <row r="1490" customFormat="false" ht="15" hidden="false" customHeight="true" outlineLevel="0" collapsed="false">
      <c r="A1490" s="1" t="s">
        <v>2297</v>
      </c>
      <c r="B1490" s="1" t="s">
        <v>302</v>
      </c>
      <c r="C1490" s="1" t="s">
        <v>178</v>
      </c>
      <c r="D1490" s="1" t="s">
        <v>123</v>
      </c>
      <c r="E1490" s="1" t="s">
        <v>124</v>
      </c>
      <c r="F1490" s="1" t="s">
        <v>153</v>
      </c>
      <c r="G1490" s="1" t="s">
        <v>76</v>
      </c>
      <c r="H1490" s="1" t="s">
        <v>33</v>
      </c>
      <c r="I1490" s="1" t="s">
        <v>34</v>
      </c>
      <c r="J1490" s="1" t="s">
        <v>131</v>
      </c>
      <c r="K1490" s="1" t="s">
        <v>60</v>
      </c>
      <c r="L1490" s="1" t="s">
        <v>37</v>
      </c>
      <c r="M1490" s="1" t="s">
        <v>62</v>
      </c>
      <c r="N1490" s="1" t="n">
        <v>4999</v>
      </c>
      <c r="O1490" s="1" t="n">
        <v>0</v>
      </c>
      <c r="P1490" s="1" t="n">
        <v>0</v>
      </c>
      <c r="Q1490" s="1" t="n">
        <v>4999</v>
      </c>
      <c r="R1490" s="1" t="n">
        <v>899.82</v>
      </c>
      <c r="S1490" s="1" t="n">
        <v>4099.18</v>
      </c>
      <c r="T1490" s="1" t="n">
        <v>1742.4</v>
      </c>
      <c r="U1490" s="1" t="n">
        <v>2356.78</v>
      </c>
      <c r="V1490" s="1" t="n">
        <v>57.49</v>
      </c>
      <c r="W1490" s="1" t="s">
        <v>39</v>
      </c>
      <c r="X1490" s="1" t="n">
        <v>3.4</v>
      </c>
      <c r="Y1490" s="1" t="s">
        <v>40</v>
      </c>
      <c r="Z1490" s="1" t="n">
        <v>1</v>
      </c>
      <c r="AA1490" s="1" t="str">
        <f aca="false">TRIM(PROPER(F1490))</f>
        <v>Howrah</v>
      </c>
      <c r="AB1490" s="1" t="str">
        <f aca="false">TRIM(PROPER(C1490))</f>
        <v>Leverage Edu</v>
      </c>
      <c r="AC1490" s="1" t="str">
        <f aca="false">IF(O1490=0,"No Discount",IF(O1490&lt;=15,"Low (1-15%)",IF(O1490&lt;=30,"Medium (16-30%)","High (&gt;30%)")))</f>
        <v>No Discount</v>
      </c>
      <c r="AD1490" s="1" t="str">
        <f aca="false">IF(V1490&lt;0,"Loss Making",IF(V1490&lt;20,"Low Margin","Healthy Margin"))</f>
        <v>Healthy Margin</v>
      </c>
      <c r="AE1490" s="1" t="str">
        <f aca="false">TEXT(DATE(VALUE(RIGHT(B1490,4)),VALUE(MID(B1490,4,2)),VALUE(LEFT(B1490,2))),"MMM-YYYY")</f>
        <v>Jan-2023</v>
      </c>
      <c r="AF1490" s="1" t="n">
        <f aca="false">VALUE(RIGHT(B1490,4))</f>
        <v>2023</v>
      </c>
      <c r="AG1490" s="1" t="str">
        <f aca="false">CHOOSE(ROUNDUP(VALUE(MID(B1490,4,2))/3,0),"Q1","Q2","Q3","Q4")</f>
        <v>Q1</v>
      </c>
    </row>
    <row r="1491" customFormat="false" ht="15" hidden="false" customHeight="true" outlineLevel="0" collapsed="false">
      <c r="A1491" s="1" t="s">
        <v>2298</v>
      </c>
      <c r="B1491" s="1" t="s">
        <v>118</v>
      </c>
      <c r="C1491" s="1" t="s">
        <v>28</v>
      </c>
      <c r="D1491" s="1" t="s">
        <v>44</v>
      </c>
      <c r="E1491" s="1" t="s">
        <v>45</v>
      </c>
      <c r="F1491" s="1" t="s">
        <v>269</v>
      </c>
      <c r="G1491" s="1" t="s">
        <v>108</v>
      </c>
      <c r="H1491" s="1" t="s">
        <v>57</v>
      </c>
      <c r="I1491" s="1" t="s">
        <v>34</v>
      </c>
      <c r="J1491" s="1" t="s">
        <v>70</v>
      </c>
      <c r="K1491" s="1" t="s">
        <v>104</v>
      </c>
      <c r="L1491" s="1" t="s">
        <v>61</v>
      </c>
      <c r="M1491" s="1" t="s">
        <v>62</v>
      </c>
      <c r="N1491" s="1" t="n">
        <v>11999</v>
      </c>
      <c r="O1491" s="1" t="n">
        <v>0</v>
      </c>
      <c r="P1491" s="1" t="n">
        <v>0</v>
      </c>
      <c r="Q1491" s="1" t="n">
        <v>11999</v>
      </c>
      <c r="R1491" s="1" t="n">
        <v>2159.82</v>
      </c>
      <c r="S1491" s="1" t="n">
        <v>9839.18</v>
      </c>
      <c r="T1491" s="1" t="n">
        <v>4409.64</v>
      </c>
      <c r="U1491" s="1" t="n">
        <v>5429.54</v>
      </c>
      <c r="V1491" s="1" t="n">
        <v>55.18</v>
      </c>
      <c r="W1491" s="1" t="s">
        <v>39</v>
      </c>
      <c r="X1491" s="1" t="n">
        <v>3.7</v>
      </c>
      <c r="Y1491" s="1" t="s">
        <v>40</v>
      </c>
      <c r="Z1491" s="1" t="n">
        <v>1</v>
      </c>
      <c r="AA1491" s="1" t="str">
        <f aca="false">TRIM(PROPER(F1491))</f>
        <v>Coimbatore</v>
      </c>
      <c r="AB1491" s="1" t="str">
        <f aca="false">TRIM(PROPER(C1491))</f>
        <v>Embibe</v>
      </c>
      <c r="AC1491" s="1" t="str">
        <f aca="false">IF(O1491=0,"No Discount",IF(O1491&lt;=15,"Low (1-15%)",IF(O1491&lt;=30,"Medium (16-30%)","High (&gt;30%)")))</f>
        <v>No Discount</v>
      </c>
      <c r="AD1491" s="1" t="str">
        <f aca="false">IF(V1491&lt;0,"Loss Making",IF(V1491&lt;20,"Low Margin","Healthy Margin"))</f>
        <v>Healthy Margin</v>
      </c>
      <c r="AE1491" s="1" t="str">
        <f aca="false">TEXT(DATE(VALUE(RIGHT(B1491,4)),VALUE(MID(B1491,4,2)),VALUE(LEFT(B1491,2))),"MMM-YYYY")</f>
        <v>Oct-2023</v>
      </c>
      <c r="AF1491" s="1" t="n">
        <f aca="false">VALUE(RIGHT(B1491,4))</f>
        <v>2023</v>
      </c>
      <c r="AG1491" s="1" t="str">
        <f aca="false">CHOOSE(ROUNDUP(VALUE(MID(B1491,4,2))/3,0),"Q1","Q2","Q3","Q4")</f>
        <v>Q4</v>
      </c>
    </row>
    <row r="1492" customFormat="false" ht="15" hidden="false" customHeight="true" outlineLevel="0" collapsed="false">
      <c r="A1492" s="1" t="s">
        <v>2299</v>
      </c>
      <c r="B1492" s="1" t="s">
        <v>899</v>
      </c>
      <c r="C1492" s="1" t="s">
        <v>128</v>
      </c>
      <c r="D1492" s="1" t="s">
        <v>168</v>
      </c>
      <c r="E1492" s="1" t="s">
        <v>169</v>
      </c>
      <c r="F1492" s="1" t="s">
        <v>269</v>
      </c>
      <c r="G1492" s="1" t="s">
        <v>108</v>
      </c>
      <c r="H1492" s="1" t="s">
        <v>57</v>
      </c>
      <c r="I1492" s="1" t="s">
        <v>83</v>
      </c>
      <c r="J1492" s="1" t="s">
        <v>59</v>
      </c>
      <c r="K1492" s="1" t="s">
        <v>112</v>
      </c>
      <c r="L1492" s="1" t="s">
        <v>61</v>
      </c>
      <c r="M1492" s="1" t="s">
        <v>50</v>
      </c>
      <c r="N1492" s="1" t="n">
        <v>4999</v>
      </c>
      <c r="O1492" s="1" t="n">
        <v>15</v>
      </c>
      <c r="P1492" s="1" t="n">
        <v>749.85</v>
      </c>
      <c r="Q1492" s="1" t="n">
        <v>4249.15</v>
      </c>
      <c r="R1492" s="1" t="n">
        <v>764.85</v>
      </c>
      <c r="S1492" s="1" t="n">
        <v>3484.3</v>
      </c>
      <c r="T1492" s="1" t="n">
        <v>1592.63</v>
      </c>
      <c r="U1492" s="1" t="n">
        <v>1891.67</v>
      </c>
      <c r="V1492" s="1" t="n">
        <v>54.29</v>
      </c>
      <c r="W1492" s="1" t="s">
        <v>39</v>
      </c>
      <c r="X1492" s="1" t="n">
        <v>2.7</v>
      </c>
      <c r="Y1492" s="1" t="s">
        <v>40</v>
      </c>
      <c r="Z1492" s="1" t="n">
        <v>0</v>
      </c>
      <c r="AA1492" s="1" t="str">
        <f aca="false">TRIM(PROPER(F1492))</f>
        <v>Coimbatore</v>
      </c>
      <c r="AB1492" s="1" t="str">
        <f aca="false">TRIM(PROPER(C1492))</f>
        <v>Great Learning</v>
      </c>
      <c r="AC1492" s="1" t="str">
        <f aca="false">IF(O1492=0,"No Discount",IF(O1492&lt;=15,"Low (1-15%)",IF(O1492&lt;=30,"Medium (16-30%)","High (&gt;30%)")))</f>
        <v>Low (1-15%)</v>
      </c>
      <c r="AD1492" s="1" t="str">
        <f aca="false">IF(V1492&lt;0,"Loss Making",IF(V1492&lt;20,"Low Margin","Healthy Margin"))</f>
        <v>Healthy Margin</v>
      </c>
      <c r="AE1492" s="1" t="str">
        <f aca="false">TEXT(DATE(VALUE(RIGHT(B1492,4)),VALUE(MID(B1492,4,2)),VALUE(LEFT(B1492,2))),"MMM-YYYY")</f>
        <v>Mar-2024</v>
      </c>
      <c r="AF1492" s="1" t="n">
        <f aca="false">VALUE(RIGHT(B1492,4))</f>
        <v>2024</v>
      </c>
      <c r="AG1492" s="1" t="str">
        <f aca="false">CHOOSE(ROUNDUP(VALUE(MID(B1492,4,2))/3,0),"Q1","Q2","Q3","Q4")</f>
        <v>Q1</v>
      </c>
    </row>
    <row r="1493" customFormat="false" ht="15" hidden="false" customHeight="true" outlineLevel="0" collapsed="false">
      <c r="A1493" s="1" t="s">
        <v>2300</v>
      </c>
      <c r="B1493" s="1" t="s">
        <v>2301</v>
      </c>
      <c r="C1493" s="1" t="s">
        <v>43</v>
      </c>
      <c r="D1493" s="1" t="s">
        <v>29</v>
      </c>
      <c r="E1493" s="1" t="s">
        <v>30</v>
      </c>
      <c r="F1493" s="1" t="s">
        <v>150</v>
      </c>
      <c r="G1493" s="1" t="s">
        <v>32</v>
      </c>
      <c r="H1493" s="1" t="s">
        <v>57</v>
      </c>
      <c r="I1493" s="1" t="s">
        <v>83</v>
      </c>
      <c r="J1493" s="1" t="s">
        <v>77</v>
      </c>
      <c r="K1493" s="1" t="s">
        <v>36</v>
      </c>
      <c r="L1493" s="1" t="s">
        <v>136</v>
      </c>
      <c r="M1493" s="1" t="s">
        <v>50</v>
      </c>
      <c r="N1493" s="1" t="n">
        <v>7999</v>
      </c>
      <c r="O1493" s="1" t="n">
        <v>10</v>
      </c>
      <c r="P1493" s="1" t="n">
        <v>799.9</v>
      </c>
      <c r="Q1493" s="1" t="n">
        <v>7199.1</v>
      </c>
      <c r="R1493" s="1" t="n">
        <v>1295.84</v>
      </c>
      <c r="S1493" s="1" t="n">
        <v>5903.26</v>
      </c>
      <c r="T1493" s="1" t="n">
        <v>2031.71</v>
      </c>
      <c r="U1493" s="1" t="n">
        <v>3871.55</v>
      </c>
      <c r="V1493" s="1" t="n">
        <v>65.58</v>
      </c>
      <c r="W1493" s="1" t="s">
        <v>39</v>
      </c>
      <c r="X1493" s="1" t="n">
        <v>4.2</v>
      </c>
      <c r="Y1493" s="1" t="s">
        <v>40</v>
      </c>
      <c r="Z1493" s="1" t="n">
        <v>0</v>
      </c>
      <c r="AA1493" s="1" t="str">
        <f aca="false">TRIM(PROPER(F1493))</f>
        <v>Jaipur</v>
      </c>
      <c r="AB1493" s="1" t="str">
        <f aca="false">TRIM(PROPER(C1493))</f>
        <v>Meritnation</v>
      </c>
      <c r="AC1493" s="1" t="str">
        <f aca="false">IF(O1493=0,"No Discount",IF(O1493&lt;=15,"Low (1-15%)",IF(O1493&lt;=30,"Medium (16-30%)","High (&gt;30%)")))</f>
        <v>Low (1-15%)</v>
      </c>
      <c r="AD1493" s="1" t="str">
        <f aca="false">IF(V1493&lt;0,"Loss Making",IF(V1493&lt;20,"Low Margin","Healthy Margin"))</f>
        <v>Healthy Margin</v>
      </c>
      <c r="AE1493" s="1" t="str">
        <f aca="false">TEXT(DATE(VALUE(RIGHT(B1493,4)),VALUE(MID(B1493,4,2)),VALUE(LEFT(B1493,2))),"MMM-YYYY")</f>
        <v>May-2023</v>
      </c>
      <c r="AF1493" s="1" t="n">
        <f aca="false">VALUE(RIGHT(B1493,4))</f>
        <v>2023</v>
      </c>
      <c r="AG1493" s="1" t="str">
        <f aca="false">CHOOSE(ROUNDUP(VALUE(MID(B1493,4,2))/3,0),"Q1","Q2","Q3","Q4")</f>
        <v>Q2</v>
      </c>
    </row>
    <row r="1494" customFormat="false" ht="15" hidden="false" customHeight="true" outlineLevel="0" collapsed="false">
      <c r="A1494" s="1" t="s">
        <v>2302</v>
      </c>
      <c r="B1494" s="1" t="s">
        <v>926</v>
      </c>
      <c r="C1494" s="1" t="s">
        <v>74</v>
      </c>
      <c r="D1494" s="1" t="s">
        <v>29</v>
      </c>
      <c r="E1494" s="1" t="s">
        <v>30</v>
      </c>
      <c r="F1494" s="1" t="s">
        <v>194</v>
      </c>
      <c r="G1494" s="1" t="s">
        <v>103</v>
      </c>
      <c r="H1494" s="1" t="s">
        <v>69</v>
      </c>
      <c r="I1494" s="1" t="s">
        <v>34</v>
      </c>
      <c r="J1494" s="1" t="s">
        <v>59</v>
      </c>
      <c r="K1494" s="1" t="s">
        <v>90</v>
      </c>
      <c r="L1494" s="1" t="s">
        <v>37</v>
      </c>
      <c r="M1494" s="1" t="s">
        <v>62</v>
      </c>
      <c r="N1494" s="1" t="n">
        <v>7999</v>
      </c>
      <c r="O1494" s="1" t="n">
        <v>30</v>
      </c>
      <c r="P1494" s="1" t="n">
        <v>2399.7</v>
      </c>
      <c r="Q1494" s="1" t="n">
        <v>5599.3</v>
      </c>
      <c r="R1494" s="1" t="n">
        <v>1007.87</v>
      </c>
      <c r="S1494" s="1" t="n">
        <v>4591.43</v>
      </c>
      <c r="T1494" s="1" t="n">
        <v>1897.07</v>
      </c>
      <c r="U1494" s="1" t="n">
        <v>2694.36</v>
      </c>
      <c r="V1494" s="1" t="n">
        <v>58.68</v>
      </c>
      <c r="W1494" s="1" t="s">
        <v>39</v>
      </c>
      <c r="X1494" s="1" t="n">
        <v>4.6</v>
      </c>
      <c r="Y1494" s="1" t="s">
        <v>40</v>
      </c>
      <c r="Z1494" s="1" t="n">
        <v>0</v>
      </c>
      <c r="AA1494" s="1" t="str">
        <f aca="false">TRIM(PROPER(F1494))</f>
        <v>Hyderabad</v>
      </c>
      <c r="AB1494" s="1" t="str">
        <f aca="false">TRIM(PROPER(C1494))</f>
        <v>Vedantu</v>
      </c>
      <c r="AC1494" s="1" t="str">
        <f aca="false">IF(O1494=0,"No Discount",IF(O1494&lt;=15,"Low (1-15%)",IF(O1494&lt;=30,"Medium (16-30%)","High (&gt;30%)")))</f>
        <v>Medium (16-30%)</v>
      </c>
      <c r="AD1494" s="1" t="str">
        <f aca="false">IF(V1494&lt;0,"Loss Making",IF(V1494&lt;20,"Low Margin","Healthy Margin"))</f>
        <v>Healthy Margin</v>
      </c>
      <c r="AE1494" s="1" t="str">
        <f aca="false">TEXT(DATE(VALUE(RIGHT(B1494,4)),VALUE(MID(B1494,4,2)),VALUE(LEFT(B1494,2))),"MMM-YYYY")</f>
        <v>Nov-2023</v>
      </c>
      <c r="AF1494" s="1" t="n">
        <f aca="false">VALUE(RIGHT(B1494,4))</f>
        <v>2023</v>
      </c>
      <c r="AG1494" s="1" t="str">
        <f aca="false">CHOOSE(ROUNDUP(VALUE(MID(B1494,4,2))/3,0),"Q1","Q2","Q3","Q4")</f>
        <v>Q4</v>
      </c>
    </row>
    <row r="1495" customFormat="false" ht="15" hidden="false" customHeight="true" outlineLevel="0" collapsed="false">
      <c r="A1495" s="1" t="s">
        <v>2303</v>
      </c>
      <c r="B1495" s="1" t="s">
        <v>974</v>
      </c>
      <c r="C1495" s="1" t="s">
        <v>88</v>
      </c>
      <c r="D1495" s="1" t="s">
        <v>168</v>
      </c>
      <c r="E1495" s="1" t="s">
        <v>197</v>
      </c>
      <c r="F1495" s="1" t="s">
        <v>150</v>
      </c>
      <c r="G1495" s="1" t="s">
        <v>32</v>
      </c>
      <c r="H1495" s="1" t="s">
        <v>57</v>
      </c>
      <c r="I1495" s="1" t="s">
        <v>58</v>
      </c>
      <c r="J1495" s="1" t="s">
        <v>59</v>
      </c>
      <c r="K1495" s="1" t="s">
        <v>71</v>
      </c>
      <c r="L1495" s="1" t="s">
        <v>85</v>
      </c>
      <c r="M1495" s="1" t="s">
        <v>62</v>
      </c>
      <c r="N1495" s="1" t="n">
        <v>8499</v>
      </c>
      <c r="O1495" s="1" t="n">
        <v>40</v>
      </c>
      <c r="P1495" s="1" t="n">
        <v>3399.6</v>
      </c>
      <c r="Q1495" s="1" t="n">
        <v>5099.4</v>
      </c>
      <c r="R1495" s="1" t="n">
        <v>917.89</v>
      </c>
      <c r="S1495" s="1" t="n">
        <v>4181.51</v>
      </c>
      <c r="T1495" s="1" t="n">
        <v>2191.61</v>
      </c>
      <c r="U1495" s="1" t="n">
        <v>1989.9</v>
      </c>
      <c r="V1495" s="1" t="n">
        <v>47.59</v>
      </c>
      <c r="W1495" s="1" t="s">
        <v>39</v>
      </c>
      <c r="Y1495" s="1" t="s">
        <v>40</v>
      </c>
      <c r="Z1495" s="1" t="n">
        <v>0</v>
      </c>
      <c r="AA1495" s="1" t="str">
        <f aca="false">TRIM(PROPER(F1495))</f>
        <v>Jaipur</v>
      </c>
      <c r="AB1495" s="1" t="str">
        <f aca="false">TRIM(PROPER(C1495))</f>
        <v>Byju'S</v>
      </c>
      <c r="AC1495" s="1" t="str">
        <f aca="false">IF(O1495=0,"No Discount",IF(O1495&lt;=15,"Low (1-15%)",IF(O1495&lt;=30,"Medium (16-30%)","High (&gt;30%)")))</f>
        <v>High (&gt;30%)</v>
      </c>
      <c r="AD1495" s="1" t="str">
        <f aca="false">IF(V1495&lt;0,"Loss Making",IF(V1495&lt;20,"Low Margin","Healthy Margin"))</f>
        <v>Healthy Margin</v>
      </c>
      <c r="AE1495" s="1" t="str">
        <f aca="false">TEXT(DATE(VALUE(RIGHT(B1495,4)),VALUE(MID(B1495,4,2)),VALUE(LEFT(B1495,2))),"MMM-YYYY")</f>
        <v>Feb-2023</v>
      </c>
      <c r="AF1495" s="1" t="n">
        <f aca="false">VALUE(RIGHT(B1495,4))</f>
        <v>2023</v>
      </c>
      <c r="AG1495" s="1" t="str">
        <f aca="false">CHOOSE(ROUNDUP(VALUE(MID(B1495,4,2))/3,0),"Q1","Q2","Q3","Q4")</f>
        <v>Q1</v>
      </c>
    </row>
    <row r="1496" customFormat="false" ht="15" hidden="false" customHeight="true" outlineLevel="0" collapsed="false">
      <c r="A1496" s="1" t="s">
        <v>2304</v>
      </c>
      <c r="B1496" s="1" t="s">
        <v>1050</v>
      </c>
      <c r="C1496" s="1" t="s">
        <v>93</v>
      </c>
      <c r="D1496" s="1" t="s">
        <v>80</v>
      </c>
      <c r="E1496" s="1" t="s">
        <v>193</v>
      </c>
      <c r="F1496" s="1" t="s">
        <v>150</v>
      </c>
      <c r="G1496" s="1" t="s">
        <v>32</v>
      </c>
      <c r="H1496" s="1" t="s">
        <v>57</v>
      </c>
      <c r="I1496" s="1" t="s">
        <v>34</v>
      </c>
      <c r="J1496" s="1" t="s">
        <v>59</v>
      </c>
      <c r="K1496" s="1" t="s">
        <v>112</v>
      </c>
      <c r="L1496" s="1" t="s">
        <v>49</v>
      </c>
      <c r="M1496" s="1" t="s">
        <v>50</v>
      </c>
      <c r="N1496" s="1" t="n">
        <v>8999</v>
      </c>
      <c r="O1496" s="1" t="n">
        <v>10</v>
      </c>
      <c r="P1496" s="1" t="n">
        <v>899.9</v>
      </c>
      <c r="Q1496" s="1" t="n">
        <v>8099.1</v>
      </c>
      <c r="R1496" s="1" t="n">
        <v>1457.84</v>
      </c>
      <c r="S1496" s="1" t="n">
        <v>6641.26</v>
      </c>
      <c r="T1496" s="1" t="n">
        <v>2876.37</v>
      </c>
      <c r="U1496" s="1" t="n">
        <v>3764.89</v>
      </c>
      <c r="V1496" s="1" t="n">
        <v>56.69</v>
      </c>
      <c r="W1496" s="1" t="s">
        <v>39</v>
      </c>
      <c r="X1496" s="1" t="n">
        <v>3.9</v>
      </c>
      <c r="Y1496" s="1" t="s">
        <v>40</v>
      </c>
      <c r="Z1496" s="1" t="n">
        <v>0</v>
      </c>
      <c r="AA1496" s="1" t="str">
        <f aca="false">TRIM(PROPER(F1496))</f>
        <v>Jaipur</v>
      </c>
      <c r="AB1496" s="1" t="str">
        <f aca="false">TRIM(PROPER(C1496))</f>
        <v>Upgrad</v>
      </c>
      <c r="AC1496" s="1" t="str">
        <f aca="false">IF(O1496=0,"No Discount",IF(O1496&lt;=15,"Low (1-15%)",IF(O1496&lt;=30,"Medium (16-30%)","High (&gt;30%)")))</f>
        <v>Low (1-15%)</v>
      </c>
      <c r="AD1496" s="1" t="str">
        <f aca="false">IF(V1496&lt;0,"Loss Making",IF(V1496&lt;20,"Low Margin","Healthy Margin"))</f>
        <v>Healthy Margin</v>
      </c>
      <c r="AE1496" s="1" t="str">
        <f aca="false">TEXT(DATE(VALUE(RIGHT(B1496,4)),VALUE(MID(B1496,4,2)),VALUE(LEFT(B1496,2))),"MMM-YYYY")</f>
        <v>Nov-2023</v>
      </c>
      <c r="AF1496" s="1" t="n">
        <f aca="false">VALUE(RIGHT(B1496,4))</f>
        <v>2023</v>
      </c>
      <c r="AG1496" s="1" t="str">
        <f aca="false">CHOOSE(ROUNDUP(VALUE(MID(B1496,4,2))/3,0),"Q1","Q2","Q3","Q4")</f>
        <v>Q4</v>
      </c>
    </row>
    <row r="1497" customFormat="false" ht="15" hidden="false" customHeight="true" outlineLevel="0" collapsed="false">
      <c r="A1497" s="1" t="s">
        <v>2305</v>
      </c>
      <c r="B1497" s="1" t="s">
        <v>809</v>
      </c>
      <c r="C1497" s="1" t="s">
        <v>65</v>
      </c>
      <c r="D1497" s="1" t="s">
        <v>94</v>
      </c>
      <c r="E1497" s="1" t="s">
        <v>135</v>
      </c>
      <c r="F1497" s="1" t="s">
        <v>102</v>
      </c>
      <c r="G1497" s="1" t="s">
        <v>103</v>
      </c>
      <c r="H1497" s="1" t="s">
        <v>33</v>
      </c>
      <c r="I1497" s="1" t="s">
        <v>83</v>
      </c>
      <c r="J1497" s="1" t="s">
        <v>77</v>
      </c>
      <c r="K1497" s="1" t="s">
        <v>104</v>
      </c>
      <c r="L1497" s="1" t="s">
        <v>85</v>
      </c>
      <c r="M1497" s="1" t="s">
        <v>62</v>
      </c>
      <c r="N1497" s="1" t="n">
        <v>9999</v>
      </c>
      <c r="O1497" s="1" t="n">
        <v>25</v>
      </c>
      <c r="P1497" s="1" t="n">
        <v>2499.75</v>
      </c>
      <c r="Q1497" s="1" t="n">
        <v>7499.25</v>
      </c>
      <c r="R1497" s="1" t="n">
        <v>1349.87</v>
      </c>
      <c r="S1497" s="1" t="n">
        <v>6149.38</v>
      </c>
      <c r="T1497" s="1" t="n">
        <v>2738.2</v>
      </c>
      <c r="U1497" s="1" t="n">
        <v>3411.18</v>
      </c>
      <c r="V1497" s="1" t="n">
        <v>55.47</v>
      </c>
      <c r="W1497" s="1" t="s">
        <v>39</v>
      </c>
      <c r="X1497" s="1" t="n">
        <v>4.1</v>
      </c>
      <c r="Y1497" s="1" t="s">
        <v>40</v>
      </c>
      <c r="Z1497" s="1" t="n">
        <v>0</v>
      </c>
      <c r="AA1497" s="1" t="str">
        <f aca="false">TRIM(PROPER(F1497))</f>
        <v>Warangal</v>
      </c>
      <c r="AB1497" s="1" t="str">
        <f aca="false">TRIM(PROPER(C1497))</f>
        <v>Toppr</v>
      </c>
      <c r="AC1497" s="1" t="str">
        <f aca="false">IF(O1497=0,"No Discount",IF(O1497&lt;=15,"Low (1-15%)",IF(O1497&lt;=30,"Medium (16-30%)","High (&gt;30%)")))</f>
        <v>Medium (16-30%)</v>
      </c>
      <c r="AD1497" s="1" t="str">
        <f aca="false">IF(V1497&lt;0,"Loss Making",IF(V1497&lt;20,"Low Margin","Healthy Margin"))</f>
        <v>Healthy Margin</v>
      </c>
      <c r="AE1497" s="1" t="str">
        <f aca="false">TEXT(DATE(VALUE(RIGHT(B1497,4)),VALUE(MID(B1497,4,2)),VALUE(LEFT(B1497,2))),"MMM-YYYY")</f>
        <v>Mar-2023</v>
      </c>
      <c r="AF1497" s="1" t="n">
        <f aca="false">VALUE(RIGHT(B1497,4))</f>
        <v>2023</v>
      </c>
      <c r="AG1497" s="1" t="str">
        <f aca="false">CHOOSE(ROUNDUP(VALUE(MID(B1497,4,2))/3,0),"Q1","Q2","Q3","Q4")</f>
        <v>Q1</v>
      </c>
    </row>
    <row r="1498" customFormat="false" ht="15" hidden="false" customHeight="true" outlineLevel="0" collapsed="false">
      <c r="A1498" s="1" t="s">
        <v>2306</v>
      </c>
      <c r="B1498" s="1" t="s">
        <v>2307</v>
      </c>
      <c r="C1498" s="1" t="s">
        <v>65</v>
      </c>
      <c r="D1498" s="1" t="s">
        <v>44</v>
      </c>
      <c r="E1498" s="1" t="s">
        <v>221</v>
      </c>
      <c r="F1498" s="1" t="s">
        <v>102</v>
      </c>
      <c r="G1498" s="1" t="s">
        <v>103</v>
      </c>
      <c r="H1498" s="1" t="s">
        <v>33</v>
      </c>
      <c r="I1498" s="1" t="s">
        <v>83</v>
      </c>
      <c r="J1498" s="1" t="s">
        <v>77</v>
      </c>
      <c r="K1498" s="1" t="s">
        <v>112</v>
      </c>
      <c r="L1498" s="1" t="s">
        <v>49</v>
      </c>
      <c r="M1498" s="1" t="s">
        <v>50</v>
      </c>
      <c r="N1498" s="1" t="n">
        <v>16999</v>
      </c>
      <c r="O1498" s="1" t="n">
        <v>10</v>
      </c>
      <c r="P1498" s="1" t="n">
        <v>1699.9</v>
      </c>
      <c r="Q1498" s="1" t="n">
        <v>15299.1</v>
      </c>
      <c r="R1498" s="1" t="n">
        <v>2753.84</v>
      </c>
      <c r="S1498" s="1" t="n">
        <v>12545.26</v>
      </c>
      <c r="T1498" s="1" t="n">
        <v>5657.65</v>
      </c>
      <c r="U1498" s="1" t="n">
        <v>6887.61</v>
      </c>
      <c r="V1498" s="1" t="n">
        <v>54.9</v>
      </c>
      <c r="W1498" s="1" t="s">
        <v>39</v>
      </c>
      <c r="X1498" s="1" t="n">
        <v>4.1</v>
      </c>
      <c r="Y1498" s="1" t="s">
        <v>40</v>
      </c>
      <c r="Z1498" s="1" t="n">
        <v>0</v>
      </c>
      <c r="AA1498" s="1" t="str">
        <f aca="false">TRIM(PROPER(F1498))</f>
        <v>Warangal</v>
      </c>
      <c r="AB1498" s="1" t="str">
        <f aca="false">TRIM(PROPER(C1498))</f>
        <v>Toppr</v>
      </c>
      <c r="AC1498" s="1" t="str">
        <f aca="false">IF(O1498=0,"No Discount",IF(O1498&lt;=15,"Low (1-15%)",IF(O1498&lt;=30,"Medium (16-30%)","High (&gt;30%)")))</f>
        <v>Low (1-15%)</v>
      </c>
      <c r="AD1498" s="1" t="str">
        <f aca="false">IF(V1498&lt;0,"Loss Making",IF(V1498&lt;20,"Low Margin","Healthy Margin"))</f>
        <v>Healthy Margin</v>
      </c>
      <c r="AE1498" s="1" t="str">
        <f aca="false">TEXT(DATE(VALUE(RIGHT(B1498,4)),VALUE(MID(B1498,4,2)),VALUE(LEFT(B1498,2))),"MMM-YYYY")</f>
        <v>Jun-2024</v>
      </c>
      <c r="AF1498" s="1" t="n">
        <f aca="false">VALUE(RIGHT(B1498,4))</f>
        <v>2024</v>
      </c>
      <c r="AG1498" s="1" t="str">
        <f aca="false">CHOOSE(ROUNDUP(VALUE(MID(B1498,4,2))/3,0),"Q1","Q2","Q3","Q4")</f>
        <v>Q2</v>
      </c>
    </row>
    <row r="1499" customFormat="false" ht="15" hidden="false" customHeight="true" outlineLevel="0" collapsed="false">
      <c r="A1499" s="1" t="s">
        <v>2308</v>
      </c>
      <c r="B1499" s="1" t="s">
        <v>1367</v>
      </c>
      <c r="C1499" s="1" t="s">
        <v>119</v>
      </c>
      <c r="D1499" s="1" t="s">
        <v>94</v>
      </c>
      <c r="E1499" s="1" t="s">
        <v>95</v>
      </c>
      <c r="F1499" s="1" t="s">
        <v>194</v>
      </c>
      <c r="G1499" s="1" t="s">
        <v>103</v>
      </c>
      <c r="H1499" s="1" t="s">
        <v>69</v>
      </c>
      <c r="I1499" s="1" t="s">
        <v>83</v>
      </c>
      <c r="J1499" s="1" t="s">
        <v>77</v>
      </c>
      <c r="K1499" s="1" t="s">
        <v>104</v>
      </c>
      <c r="L1499" s="1" t="s">
        <v>37</v>
      </c>
      <c r="M1499" s="1" t="s">
        <v>50</v>
      </c>
      <c r="N1499" s="1" t="n">
        <v>6999</v>
      </c>
      <c r="O1499" s="1" t="n">
        <v>10</v>
      </c>
      <c r="P1499" s="1" t="n">
        <v>699.9</v>
      </c>
      <c r="Q1499" s="1" t="n">
        <v>6299.1</v>
      </c>
      <c r="R1499" s="1" t="n">
        <v>1133.84</v>
      </c>
      <c r="S1499" s="1" t="n">
        <v>5165.26</v>
      </c>
      <c r="T1499" s="1" t="n">
        <v>2013.82</v>
      </c>
      <c r="U1499" s="1" t="n">
        <v>3151.44</v>
      </c>
      <c r="V1499" s="1" t="n">
        <v>61.01</v>
      </c>
      <c r="W1499" s="1" t="s">
        <v>40</v>
      </c>
      <c r="Y1499" s="1" t="s">
        <v>40</v>
      </c>
      <c r="Z1499" s="1" t="n">
        <v>2</v>
      </c>
      <c r="AA1499" s="1" t="str">
        <f aca="false">TRIM(PROPER(F1499))</f>
        <v>Hyderabad</v>
      </c>
      <c r="AB1499" s="1" t="str">
        <f aca="false">TRIM(PROPER(C1499))</f>
        <v>Simplilearn</v>
      </c>
      <c r="AC1499" s="1" t="str">
        <f aca="false">IF(O1499=0,"No Discount",IF(O1499&lt;=15,"Low (1-15%)",IF(O1499&lt;=30,"Medium (16-30%)","High (&gt;30%)")))</f>
        <v>Low (1-15%)</v>
      </c>
      <c r="AD1499" s="1" t="str">
        <f aca="false">IF(V1499&lt;0,"Loss Making",IF(V1499&lt;20,"Low Margin","Healthy Margin"))</f>
        <v>Healthy Margin</v>
      </c>
      <c r="AE1499" s="1" t="str">
        <f aca="false">TEXT(DATE(VALUE(RIGHT(B1499,4)),VALUE(MID(B1499,4,2)),VALUE(LEFT(B1499,2))),"MMM-YYYY")</f>
        <v>Apr-2023</v>
      </c>
      <c r="AF1499" s="1" t="n">
        <f aca="false">VALUE(RIGHT(B1499,4))</f>
        <v>2023</v>
      </c>
      <c r="AG1499" s="1" t="str">
        <f aca="false">CHOOSE(ROUNDUP(VALUE(MID(B1499,4,2))/3,0),"Q1","Q2","Q3","Q4")</f>
        <v>Q2</v>
      </c>
    </row>
    <row r="1500" customFormat="false" ht="15" hidden="false" customHeight="true" outlineLevel="0" collapsed="false">
      <c r="A1500" s="1" t="s">
        <v>2309</v>
      </c>
      <c r="B1500" s="1" t="s">
        <v>155</v>
      </c>
      <c r="C1500" s="1" t="s">
        <v>128</v>
      </c>
      <c r="D1500" s="1" t="s">
        <v>123</v>
      </c>
      <c r="E1500" s="1" t="s">
        <v>124</v>
      </c>
      <c r="F1500" s="1" t="s">
        <v>140</v>
      </c>
      <c r="G1500" s="1" t="s">
        <v>97</v>
      </c>
      <c r="H1500" s="1" t="s">
        <v>57</v>
      </c>
      <c r="I1500" s="1" t="s">
        <v>34</v>
      </c>
      <c r="J1500" s="1" t="s">
        <v>70</v>
      </c>
      <c r="K1500" s="1" t="s">
        <v>90</v>
      </c>
      <c r="L1500" s="1" t="s">
        <v>49</v>
      </c>
      <c r="M1500" s="1" t="s">
        <v>50</v>
      </c>
      <c r="N1500" s="1" t="n">
        <v>4999</v>
      </c>
      <c r="O1500" s="1" t="n">
        <v>5</v>
      </c>
      <c r="P1500" s="1" t="n">
        <v>249.95</v>
      </c>
      <c r="Q1500" s="1" t="n">
        <v>4749.05</v>
      </c>
      <c r="R1500" s="1" t="n">
        <v>854.83</v>
      </c>
      <c r="S1500" s="1" t="n">
        <v>3894.22</v>
      </c>
      <c r="T1500" s="1" t="n">
        <v>1653.25</v>
      </c>
      <c r="U1500" s="1" t="n">
        <v>2240.97</v>
      </c>
      <c r="V1500" s="1" t="n">
        <v>57.55</v>
      </c>
      <c r="W1500" s="1" t="s">
        <v>39</v>
      </c>
      <c r="X1500" s="1" t="n">
        <v>3.1</v>
      </c>
      <c r="Y1500" s="1" t="s">
        <v>40</v>
      </c>
      <c r="Z1500" s="1" t="n">
        <v>0</v>
      </c>
      <c r="AA1500" s="1" t="str">
        <f aca="false">TRIM(PROPER(F1500))</f>
        <v>Nashik</v>
      </c>
      <c r="AB1500" s="1" t="str">
        <f aca="false">TRIM(PROPER(C1500))</f>
        <v>Great Learning</v>
      </c>
      <c r="AC1500" s="1" t="str">
        <f aca="false">IF(O1500=0,"No Discount",IF(O1500&lt;=15,"Low (1-15%)",IF(O1500&lt;=30,"Medium (16-30%)","High (&gt;30%)")))</f>
        <v>Low (1-15%)</v>
      </c>
      <c r="AD1500" s="1" t="str">
        <f aca="false">IF(V1500&lt;0,"Loss Making",IF(V1500&lt;20,"Low Margin","Healthy Margin"))</f>
        <v>Healthy Margin</v>
      </c>
      <c r="AE1500" s="1" t="str">
        <f aca="false">TEXT(DATE(VALUE(RIGHT(B1500,4)),VALUE(MID(B1500,4,2)),VALUE(LEFT(B1500,2))),"MMM-YYYY")</f>
        <v>Oct-2023</v>
      </c>
      <c r="AF1500" s="1" t="n">
        <f aca="false">VALUE(RIGHT(B1500,4))</f>
        <v>2023</v>
      </c>
      <c r="AG1500" s="1" t="str">
        <f aca="false">CHOOSE(ROUNDUP(VALUE(MID(B1500,4,2))/3,0),"Q1","Q2","Q3","Q4")</f>
        <v>Q4</v>
      </c>
    </row>
    <row r="1501" customFormat="false" ht="15" hidden="false" customHeight="true" outlineLevel="0" collapsed="false">
      <c r="A1501" s="1" t="s">
        <v>2310</v>
      </c>
      <c r="B1501" s="1" t="s">
        <v>2033</v>
      </c>
      <c r="C1501" s="1" t="s">
        <v>93</v>
      </c>
      <c r="D1501" s="1" t="s">
        <v>44</v>
      </c>
      <c r="E1501" s="1" t="s">
        <v>221</v>
      </c>
      <c r="F1501" s="1" t="s">
        <v>269</v>
      </c>
      <c r="G1501" s="1" t="s">
        <v>108</v>
      </c>
      <c r="H1501" s="1" t="s">
        <v>57</v>
      </c>
      <c r="I1501" s="1" t="s">
        <v>34</v>
      </c>
      <c r="J1501" s="1" t="s">
        <v>131</v>
      </c>
      <c r="K1501" s="1" t="s">
        <v>104</v>
      </c>
      <c r="L1501" s="1" t="s">
        <v>85</v>
      </c>
      <c r="M1501" s="1" t="s">
        <v>50</v>
      </c>
      <c r="N1501" s="1" t="n">
        <v>16999</v>
      </c>
      <c r="O1501" s="1" t="n">
        <v>40</v>
      </c>
      <c r="P1501" s="1" t="n">
        <v>6799.6</v>
      </c>
      <c r="Q1501" s="1" t="n">
        <v>10199.4</v>
      </c>
      <c r="R1501" s="1" t="n">
        <v>1835.89</v>
      </c>
      <c r="S1501" s="1" t="n">
        <v>8363.51</v>
      </c>
      <c r="T1501" s="1" t="n">
        <v>4148.3</v>
      </c>
      <c r="U1501" s="1" t="n">
        <v>4215.21</v>
      </c>
      <c r="V1501" s="1" t="n">
        <v>50.4</v>
      </c>
      <c r="W1501" s="1" t="s">
        <v>39</v>
      </c>
      <c r="X1501" s="1" t="n">
        <v>3.9</v>
      </c>
      <c r="Y1501" s="1" t="s">
        <v>40</v>
      </c>
      <c r="Z1501" s="1" t="n">
        <v>0</v>
      </c>
      <c r="AA1501" s="1" t="str">
        <f aca="false">TRIM(PROPER(F1501))</f>
        <v>Coimbatore</v>
      </c>
      <c r="AB1501" s="1" t="str">
        <f aca="false">TRIM(PROPER(C1501))</f>
        <v>Upgrad</v>
      </c>
      <c r="AC1501" s="1" t="str">
        <f aca="false">IF(O1501=0,"No Discount",IF(O1501&lt;=15,"Low (1-15%)",IF(O1501&lt;=30,"Medium (16-30%)","High (&gt;30%)")))</f>
        <v>High (&gt;30%)</v>
      </c>
      <c r="AD1501" s="1" t="str">
        <f aca="false">IF(V1501&lt;0,"Loss Making",IF(V1501&lt;20,"Low Margin","Healthy Margin"))</f>
        <v>Healthy Margin</v>
      </c>
      <c r="AE1501" s="1" t="str">
        <f aca="false">TEXT(DATE(VALUE(RIGHT(B1501,4)),VALUE(MID(B1501,4,2)),VALUE(LEFT(B1501,2))),"MMM-YYYY")</f>
        <v>Jul-2023</v>
      </c>
      <c r="AF1501" s="1" t="n">
        <f aca="false">VALUE(RIGHT(B1501,4))</f>
        <v>2023</v>
      </c>
      <c r="AG1501" s="1" t="str">
        <f aca="false">CHOOSE(ROUNDUP(VALUE(MID(B1501,4,2))/3,0),"Q1","Q2","Q3","Q4")</f>
        <v>Q3</v>
      </c>
    </row>
    <row r="1502" customFormat="false" ht="15" hidden="false" customHeight="true" outlineLevel="0" collapsed="false">
      <c r="A1502" s="1" t="s">
        <v>2311</v>
      </c>
      <c r="B1502" s="1" t="s">
        <v>1205</v>
      </c>
      <c r="C1502" s="1" t="s">
        <v>134</v>
      </c>
      <c r="D1502" s="1" t="s">
        <v>53</v>
      </c>
      <c r="E1502" s="1" t="s">
        <v>116</v>
      </c>
      <c r="F1502" s="1" t="s">
        <v>102</v>
      </c>
      <c r="G1502" s="1" t="s">
        <v>103</v>
      </c>
      <c r="H1502" s="1" t="s">
        <v>33</v>
      </c>
      <c r="I1502" s="1" t="s">
        <v>34</v>
      </c>
      <c r="J1502" s="1" t="s">
        <v>59</v>
      </c>
      <c r="K1502" s="1" t="s">
        <v>84</v>
      </c>
      <c r="L1502" s="1" t="s">
        <v>113</v>
      </c>
      <c r="M1502" s="1" t="s">
        <v>38</v>
      </c>
      <c r="N1502" s="1" t="n">
        <v>9999</v>
      </c>
      <c r="O1502" s="1" t="n">
        <v>50</v>
      </c>
      <c r="P1502" s="1" t="n">
        <v>4999.5</v>
      </c>
      <c r="Q1502" s="1" t="n">
        <v>4999.5</v>
      </c>
      <c r="R1502" s="1" t="n">
        <v>899.91</v>
      </c>
      <c r="S1502" s="1" t="n">
        <v>4099.59</v>
      </c>
      <c r="T1502" s="1" t="n">
        <v>2150.14</v>
      </c>
      <c r="U1502" s="1" t="n">
        <v>1949.45</v>
      </c>
      <c r="V1502" s="1" t="n">
        <v>47.55</v>
      </c>
      <c r="W1502" s="1" t="s">
        <v>39</v>
      </c>
      <c r="X1502" s="1" t="n">
        <v>3</v>
      </c>
      <c r="Y1502" s="1" t="s">
        <v>40</v>
      </c>
      <c r="Z1502" s="1" t="n">
        <v>1</v>
      </c>
      <c r="AA1502" s="1" t="str">
        <f aca="false">TRIM(PROPER(F1502))</f>
        <v>Warangal</v>
      </c>
      <c r="AB1502" s="1" t="str">
        <f aca="false">TRIM(PROPER(C1502))</f>
        <v>Doubtnut</v>
      </c>
      <c r="AC1502" s="1" t="str">
        <f aca="false">IF(O1502=0,"No Discount",IF(O1502&lt;=15,"Low (1-15%)",IF(O1502&lt;=30,"Medium (16-30%)","High (&gt;30%)")))</f>
        <v>High (&gt;30%)</v>
      </c>
      <c r="AD1502" s="1" t="str">
        <f aca="false">IF(V1502&lt;0,"Loss Making",IF(V1502&lt;20,"Low Margin","Healthy Margin"))</f>
        <v>Healthy Margin</v>
      </c>
      <c r="AE1502" s="1" t="str">
        <f aca="false">TEXT(DATE(VALUE(RIGHT(B1502,4)),VALUE(MID(B1502,4,2)),VALUE(LEFT(B1502,2))),"MMM-YYYY")</f>
        <v>May-2024</v>
      </c>
      <c r="AF1502" s="1" t="n">
        <f aca="false">VALUE(RIGHT(B1502,4))</f>
        <v>2024</v>
      </c>
      <c r="AG1502" s="1" t="str">
        <f aca="false">CHOOSE(ROUNDUP(VALUE(MID(B1502,4,2))/3,0),"Q1","Q2","Q3","Q4")</f>
        <v>Q2</v>
      </c>
    </row>
    <row r="1503" customFormat="false" ht="15" hidden="false" customHeight="true" outlineLevel="0" collapsed="false">
      <c r="A1503" s="1" t="s">
        <v>2312</v>
      </c>
      <c r="B1503" s="1" t="s">
        <v>1663</v>
      </c>
      <c r="C1503" s="1" t="s">
        <v>74</v>
      </c>
      <c r="D1503" s="1" t="s">
        <v>94</v>
      </c>
      <c r="E1503" s="1" t="s">
        <v>101</v>
      </c>
      <c r="F1503" s="1" t="s">
        <v>269</v>
      </c>
      <c r="G1503" s="1" t="s">
        <v>108</v>
      </c>
      <c r="H1503" s="1" t="s">
        <v>57</v>
      </c>
      <c r="I1503" s="1" t="s">
        <v>83</v>
      </c>
      <c r="J1503" s="1" t="s">
        <v>70</v>
      </c>
      <c r="K1503" s="1" t="s">
        <v>71</v>
      </c>
      <c r="L1503" s="1" t="s">
        <v>85</v>
      </c>
      <c r="M1503" s="1" t="s">
        <v>62</v>
      </c>
      <c r="N1503" s="1" t="n">
        <v>14999</v>
      </c>
      <c r="O1503" s="1" t="n">
        <v>5</v>
      </c>
      <c r="P1503" s="1" t="n">
        <v>749.95</v>
      </c>
      <c r="Q1503" s="1" t="n">
        <v>14249.05</v>
      </c>
      <c r="R1503" s="1" t="n">
        <v>2564.83</v>
      </c>
      <c r="S1503" s="1" t="n">
        <v>11684.22</v>
      </c>
      <c r="T1503" s="1" t="n">
        <v>5258.31</v>
      </c>
      <c r="U1503" s="1" t="n">
        <v>6425.91</v>
      </c>
      <c r="V1503" s="1" t="n">
        <v>55</v>
      </c>
      <c r="W1503" s="1" t="s">
        <v>39</v>
      </c>
      <c r="X1503" s="1" t="n">
        <v>3.4</v>
      </c>
      <c r="Y1503" s="1" t="s">
        <v>40</v>
      </c>
      <c r="Z1503" s="1" t="n">
        <v>1</v>
      </c>
      <c r="AA1503" s="1" t="str">
        <f aca="false">TRIM(PROPER(F1503))</f>
        <v>Coimbatore</v>
      </c>
      <c r="AB1503" s="1" t="str">
        <f aca="false">TRIM(PROPER(C1503))</f>
        <v>Vedantu</v>
      </c>
      <c r="AC1503" s="1" t="str">
        <f aca="false">IF(O1503=0,"No Discount",IF(O1503&lt;=15,"Low (1-15%)",IF(O1503&lt;=30,"Medium (16-30%)","High (&gt;30%)")))</f>
        <v>Low (1-15%)</v>
      </c>
      <c r="AD1503" s="1" t="str">
        <f aca="false">IF(V1503&lt;0,"Loss Making",IF(V1503&lt;20,"Low Margin","Healthy Margin"))</f>
        <v>Healthy Margin</v>
      </c>
      <c r="AE1503" s="1" t="str">
        <f aca="false">TEXT(DATE(VALUE(RIGHT(B1503,4)),VALUE(MID(B1503,4,2)),VALUE(LEFT(B1503,2))),"MMM-YYYY")</f>
        <v>Nov-2023</v>
      </c>
      <c r="AF1503" s="1" t="n">
        <f aca="false">VALUE(RIGHT(B1503,4))</f>
        <v>2023</v>
      </c>
      <c r="AG1503" s="1" t="str">
        <f aca="false">CHOOSE(ROUNDUP(VALUE(MID(B1503,4,2))/3,0),"Q1","Q2","Q3","Q4")</f>
        <v>Q4</v>
      </c>
    </row>
    <row r="1504" customFormat="false" ht="15" hidden="false" customHeight="true" outlineLevel="0" collapsed="false">
      <c r="A1504" s="1" t="s">
        <v>2313</v>
      </c>
      <c r="B1504" s="1" t="s">
        <v>1298</v>
      </c>
      <c r="C1504" s="1" t="s">
        <v>65</v>
      </c>
      <c r="D1504" s="1" t="s">
        <v>123</v>
      </c>
      <c r="E1504" s="1" t="s">
        <v>147</v>
      </c>
      <c r="F1504" s="1" t="s">
        <v>75</v>
      </c>
      <c r="G1504" s="1" t="s">
        <v>76</v>
      </c>
      <c r="H1504" s="1" t="s">
        <v>69</v>
      </c>
      <c r="I1504" s="1" t="s">
        <v>58</v>
      </c>
      <c r="J1504" s="1" t="s">
        <v>77</v>
      </c>
      <c r="K1504" s="1" t="s">
        <v>90</v>
      </c>
      <c r="L1504" s="1" t="s">
        <v>113</v>
      </c>
      <c r="M1504" s="1" t="s">
        <v>62</v>
      </c>
      <c r="N1504" s="1" t="n">
        <v>6999</v>
      </c>
      <c r="O1504" s="1" t="n">
        <v>0</v>
      </c>
      <c r="P1504" s="1" t="n">
        <v>0</v>
      </c>
      <c r="Q1504" s="1" t="n">
        <v>6999</v>
      </c>
      <c r="R1504" s="1" t="n">
        <v>1259.82</v>
      </c>
      <c r="S1504" s="1" t="n">
        <v>5739.18</v>
      </c>
      <c r="T1504" s="1" t="n">
        <v>2424.21</v>
      </c>
      <c r="U1504" s="1" t="n">
        <v>3314.97</v>
      </c>
      <c r="V1504" s="1" t="n">
        <v>57.76</v>
      </c>
      <c r="W1504" s="1" t="s">
        <v>40</v>
      </c>
      <c r="Y1504" s="1" t="s">
        <v>40</v>
      </c>
      <c r="Z1504" s="1" t="n">
        <v>1</v>
      </c>
      <c r="AA1504" s="1" t="str">
        <f aca="false">TRIM(PROPER(F1504))</f>
        <v>Kolkata</v>
      </c>
      <c r="AB1504" s="1" t="str">
        <f aca="false">TRIM(PROPER(C1504))</f>
        <v>Toppr</v>
      </c>
      <c r="AC1504" s="1" t="str">
        <f aca="false">IF(O1504=0,"No Discount",IF(O1504&lt;=15,"Low (1-15%)",IF(O1504&lt;=30,"Medium (16-30%)","High (&gt;30%)")))</f>
        <v>No Discount</v>
      </c>
      <c r="AD1504" s="1" t="str">
        <f aca="false">IF(V1504&lt;0,"Loss Making",IF(V1504&lt;20,"Low Margin","Healthy Margin"))</f>
        <v>Healthy Margin</v>
      </c>
      <c r="AE1504" s="1" t="str">
        <f aca="false">TEXT(DATE(VALUE(RIGHT(B1504,4)),VALUE(MID(B1504,4,2)),VALUE(LEFT(B1504,2))),"MMM-YYYY")</f>
        <v>Feb-2024</v>
      </c>
      <c r="AF1504" s="1" t="n">
        <f aca="false">VALUE(RIGHT(B1504,4))</f>
        <v>2024</v>
      </c>
      <c r="AG1504" s="1" t="str">
        <f aca="false">CHOOSE(ROUNDUP(VALUE(MID(B1504,4,2))/3,0),"Q1","Q2","Q3","Q4")</f>
        <v>Q1</v>
      </c>
    </row>
    <row r="1505" customFormat="false" ht="15" hidden="false" customHeight="true" outlineLevel="0" collapsed="false">
      <c r="A1505" s="1" t="s">
        <v>2314</v>
      </c>
      <c r="B1505" s="1" t="s">
        <v>87</v>
      </c>
      <c r="C1505" s="1" t="s">
        <v>119</v>
      </c>
      <c r="D1505" s="1" t="s">
        <v>44</v>
      </c>
      <c r="E1505" s="1" t="s">
        <v>221</v>
      </c>
      <c r="F1505" s="1" t="s">
        <v>153</v>
      </c>
      <c r="G1505" s="1" t="s">
        <v>76</v>
      </c>
      <c r="H1505" s="1" t="s">
        <v>33</v>
      </c>
      <c r="I1505" s="1" t="s">
        <v>83</v>
      </c>
      <c r="J1505" s="1" t="s">
        <v>35</v>
      </c>
      <c r="K1505" s="1" t="s">
        <v>48</v>
      </c>
      <c r="L1505" s="1" t="s">
        <v>136</v>
      </c>
      <c r="M1505" s="1" t="s">
        <v>50</v>
      </c>
      <c r="N1505" s="1" t="n">
        <v>16999</v>
      </c>
      <c r="O1505" s="1" t="n">
        <v>30</v>
      </c>
      <c r="P1505" s="1" t="n">
        <v>5099.7</v>
      </c>
      <c r="Q1505" s="1" t="n">
        <v>11899.3</v>
      </c>
      <c r="R1505" s="1" t="n">
        <v>2141.87</v>
      </c>
      <c r="S1505" s="1" t="n">
        <v>9757.43</v>
      </c>
      <c r="T1505" s="1" t="n">
        <v>3841.78</v>
      </c>
      <c r="U1505" s="1" t="n">
        <v>5915.65</v>
      </c>
      <c r="V1505" s="1" t="n">
        <v>60.63</v>
      </c>
      <c r="W1505" s="1" t="s">
        <v>39</v>
      </c>
      <c r="X1505" s="1" t="n">
        <v>3.7</v>
      </c>
      <c r="Y1505" s="1" t="s">
        <v>40</v>
      </c>
      <c r="Z1505" s="1" t="n">
        <v>0</v>
      </c>
      <c r="AA1505" s="1" t="str">
        <f aca="false">TRIM(PROPER(F1505))</f>
        <v>Howrah</v>
      </c>
      <c r="AB1505" s="1" t="str">
        <f aca="false">TRIM(PROPER(C1505))</f>
        <v>Simplilearn</v>
      </c>
      <c r="AC1505" s="1" t="str">
        <f aca="false">IF(O1505=0,"No Discount",IF(O1505&lt;=15,"Low (1-15%)",IF(O1505&lt;=30,"Medium (16-30%)","High (&gt;30%)")))</f>
        <v>Medium (16-30%)</v>
      </c>
      <c r="AD1505" s="1" t="str">
        <f aca="false">IF(V1505&lt;0,"Loss Making",IF(V1505&lt;20,"Low Margin","Healthy Margin"))</f>
        <v>Healthy Margin</v>
      </c>
      <c r="AE1505" s="1" t="str">
        <f aca="false">TEXT(DATE(VALUE(RIGHT(B1505,4)),VALUE(MID(B1505,4,2)),VALUE(LEFT(B1505,2))),"MMM-YYYY")</f>
        <v>Nov-2023</v>
      </c>
      <c r="AF1505" s="1" t="n">
        <f aca="false">VALUE(RIGHT(B1505,4))</f>
        <v>2023</v>
      </c>
      <c r="AG1505" s="1" t="str">
        <f aca="false">CHOOSE(ROUNDUP(VALUE(MID(B1505,4,2))/3,0),"Q1","Q2","Q3","Q4")</f>
        <v>Q4</v>
      </c>
    </row>
    <row r="1506" customFormat="false" ht="15" hidden="false" customHeight="true" outlineLevel="0" collapsed="false">
      <c r="A1506" s="1" t="s">
        <v>2315</v>
      </c>
      <c r="B1506" s="1" t="s">
        <v>1128</v>
      </c>
      <c r="C1506" s="1" t="s">
        <v>65</v>
      </c>
      <c r="D1506" s="1" t="s">
        <v>143</v>
      </c>
      <c r="E1506" s="1" t="s">
        <v>162</v>
      </c>
      <c r="F1506" s="1" t="s">
        <v>194</v>
      </c>
      <c r="G1506" s="1" t="s">
        <v>103</v>
      </c>
      <c r="H1506" s="1" t="s">
        <v>69</v>
      </c>
      <c r="I1506" s="1" t="s">
        <v>34</v>
      </c>
      <c r="J1506" s="1" t="s">
        <v>59</v>
      </c>
      <c r="K1506" s="1" t="s">
        <v>48</v>
      </c>
      <c r="L1506" s="1" t="s">
        <v>85</v>
      </c>
      <c r="M1506" s="1" t="s">
        <v>50</v>
      </c>
      <c r="N1506" s="1" t="n">
        <v>14999</v>
      </c>
      <c r="O1506" s="1" t="n">
        <v>0</v>
      </c>
      <c r="P1506" s="1" t="n">
        <v>0</v>
      </c>
      <c r="Q1506" s="1" t="n">
        <v>14999</v>
      </c>
      <c r="R1506" s="1" t="n">
        <v>2699.82</v>
      </c>
      <c r="S1506" s="1" t="n">
        <v>12299.18</v>
      </c>
      <c r="T1506" s="1" t="n">
        <v>5757</v>
      </c>
      <c r="U1506" s="1" t="n">
        <v>6542.18</v>
      </c>
      <c r="V1506" s="1" t="n">
        <v>53.19</v>
      </c>
      <c r="W1506" s="1" t="s">
        <v>39</v>
      </c>
      <c r="X1506" s="1" t="n">
        <v>4</v>
      </c>
      <c r="Y1506" s="1" t="s">
        <v>40</v>
      </c>
      <c r="Z1506" s="1" t="n">
        <v>0</v>
      </c>
      <c r="AA1506" s="1" t="str">
        <f aca="false">TRIM(PROPER(F1506))</f>
        <v>Hyderabad</v>
      </c>
      <c r="AB1506" s="1" t="str">
        <f aca="false">TRIM(PROPER(C1506))</f>
        <v>Toppr</v>
      </c>
      <c r="AC1506" s="1" t="str">
        <f aca="false">IF(O1506=0,"No Discount",IF(O1506&lt;=15,"Low (1-15%)",IF(O1506&lt;=30,"Medium (16-30%)","High (&gt;30%)")))</f>
        <v>No Discount</v>
      </c>
      <c r="AD1506" s="1" t="str">
        <f aca="false">IF(V1506&lt;0,"Loss Making",IF(V1506&lt;20,"Low Margin","Healthy Margin"))</f>
        <v>Healthy Margin</v>
      </c>
      <c r="AE1506" s="1" t="str">
        <f aca="false">TEXT(DATE(VALUE(RIGHT(B1506,4)),VALUE(MID(B1506,4,2)),VALUE(LEFT(B1506,2))),"MMM-YYYY")</f>
        <v>Oct-2024</v>
      </c>
      <c r="AF1506" s="1" t="n">
        <f aca="false">VALUE(RIGHT(B1506,4))</f>
        <v>2024</v>
      </c>
      <c r="AG1506" s="1" t="str">
        <f aca="false">CHOOSE(ROUNDUP(VALUE(MID(B1506,4,2))/3,0),"Q1","Q2","Q3","Q4")</f>
        <v>Q4</v>
      </c>
    </row>
    <row r="1507" customFormat="false" ht="15" hidden="false" customHeight="true" outlineLevel="0" collapsed="false">
      <c r="A1507" s="1" t="s">
        <v>2316</v>
      </c>
      <c r="B1507" s="1" t="s">
        <v>122</v>
      </c>
      <c r="C1507" s="1" t="s">
        <v>178</v>
      </c>
      <c r="D1507" s="1" t="s">
        <v>94</v>
      </c>
      <c r="E1507" s="1" t="s">
        <v>95</v>
      </c>
      <c r="F1507" s="1" t="s">
        <v>184</v>
      </c>
      <c r="G1507" s="1" t="s">
        <v>56</v>
      </c>
      <c r="H1507" s="1" t="s">
        <v>57</v>
      </c>
      <c r="I1507" s="1" t="s">
        <v>83</v>
      </c>
      <c r="J1507" s="1" t="s">
        <v>59</v>
      </c>
      <c r="K1507" s="1" t="s">
        <v>36</v>
      </c>
      <c r="L1507" s="1" t="s">
        <v>61</v>
      </c>
      <c r="M1507" s="1" t="s">
        <v>38</v>
      </c>
      <c r="N1507" s="1" t="n">
        <v>6999</v>
      </c>
      <c r="O1507" s="1" t="n">
        <v>15</v>
      </c>
      <c r="P1507" s="1" t="n">
        <v>1049.85</v>
      </c>
      <c r="Q1507" s="1" t="n">
        <v>5949.15</v>
      </c>
      <c r="R1507" s="1" t="n">
        <v>1070.85</v>
      </c>
      <c r="S1507" s="1" t="n">
        <v>4878.3</v>
      </c>
      <c r="T1507" s="1" t="n">
        <v>2110.86</v>
      </c>
      <c r="U1507" s="1" t="n">
        <v>2767.44</v>
      </c>
      <c r="V1507" s="1" t="n">
        <v>56.73</v>
      </c>
      <c r="W1507" s="1" t="s">
        <v>39</v>
      </c>
      <c r="X1507" s="1" t="n">
        <v>3.8</v>
      </c>
      <c r="Y1507" s="1" t="s">
        <v>39</v>
      </c>
      <c r="Z1507" s="1" t="n">
        <v>0</v>
      </c>
      <c r="AA1507" s="1" t="str">
        <f aca="false">TRIM(PROPER(F1507))</f>
        <v>Faridabad</v>
      </c>
      <c r="AB1507" s="1" t="str">
        <f aca="false">TRIM(PROPER(C1507))</f>
        <v>Leverage Edu</v>
      </c>
      <c r="AC1507" s="1" t="str">
        <f aca="false">IF(O1507=0,"No Discount",IF(O1507&lt;=15,"Low (1-15%)",IF(O1507&lt;=30,"Medium (16-30%)","High (&gt;30%)")))</f>
        <v>Low (1-15%)</v>
      </c>
      <c r="AD1507" s="1" t="str">
        <f aca="false">IF(V1507&lt;0,"Loss Making",IF(V1507&lt;20,"Low Margin","Healthy Margin"))</f>
        <v>Healthy Margin</v>
      </c>
      <c r="AE1507" s="1" t="str">
        <f aca="false">TEXT(DATE(VALUE(RIGHT(B1507,4)),VALUE(MID(B1507,4,2)),VALUE(LEFT(B1507,2))),"MMM-YYYY")</f>
        <v>Nov-2023</v>
      </c>
      <c r="AF1507" s="1" t="n">
        <f aca="false">VALUE(RIGHT(B1507,4))</f>
        <v>2023</v>
      </c>
      <c r="AG1507" s="1" t="str">
        <f aca="false">CHOOSE(ROUNDUP(VALUE(MID(B1507,4,2))/3,0),"Q1","Q2","Q3","Q4")</f>
        <v>Q4</v>
      </c>
    </row>
    <row r="1508" customFormat="false" ht="15" hidden="false" customHeight="true" outlineLevel="0" collapsed="false">
      <c r="A1508" s="1" t="s">
        <v>2317</v>
      </c>
      <c r="B1508" s="1" t="s">
        <v>742</v>
      </c>
      <c r="C1508" s="1" t="s">
        <v>88</v>
      </c>
      <c r="D1508" s="1" t="s">
        <v>168</v>
      </c>
      <c r="E1508" s="1" t="s">
        <v>172</v>
      </c>
      <c r="F1508" s="1" t="s">
        <v>125</v>
      </c>
      <c r="G1508" s="1" t="s">
        <v>108</v>
      </c>
      <c r="H1508" s="1" t="s">
        <v>69</v>
      </c>
      <c r="I1508" s="1" t="s">
        <v>83</v>
      </c>
      <c r="J1508" s="1" t="s">
        <v>35</v>
      </c>
      <c r="K1508" s="1" t="s">
        <v>84</v>
      </c>
      <c r="L1508" s="1" t="s">
        <v>49</v>
      </c>
      <c r="M1508" s="1" t="s">
        <v>50</v>
      </c>
      <c r="N1508" s="1" t="n">
        <v>6999</v>
      </c>
      <c r="O1508" s="1" t="n">
        <v>40</v>
      </c>
      <c r="P1508" s="1" t="n">
        <v>2799.6</v>
      </c>
      <c r="Q1508" s="1" t="n">
        <v>4199.4</v>
      </c>
      <c r="R1508" s="1" t="n">
        <v>755.89</v>
      </c>
      <c r="S1508" s="1" t="n">
        <v>3443.51</v>
      </c>
      <c r="T1508" s="1" t="n">
        <v>1469.63</v>
      </c>
      <c r="U1508" s="1" t="n">
        <v>1973.88</v>
      </c>
      <c r="V1508" s="1" t="n">
        <v>57.32</v>
      </c>
      <c r="W1508" s="1" t="s">
        <v>40</v>
      </c>
      <c r="Y1508" s="1" t="s">
        <v>40</v>
      </c>
      <c r="Z1508" s="1" t="n">
        <v>0</v>
      </c>
      <c r="AA1508" s="1" t="str">
        <f aca="false">TRIM(PROPER(F1508))</f>
        <v>Chennai</v>
      </c>
      <c r="AB1508" s="1" t="str">
        <f aca="false">TRIM(PROPER(C1508))</f>
        <v>Byju'S</v>
      </c>
      <c r="AC1508" s="1" t="str">
        <f aca="false">IF(O1508=0,"No Discount",IF(O1508&lt;=15,"Low (1-15%)",IF(O1508&lt;=30,"Medium (16-30%)","High (&gt;30%)")))</f>
        <v>High (&gt;30%)</v>
      </c>
      <c r="AD1508" s="1" t="str">
        <f aca="false">IF(V1508&lt;0,"Loss Making",IF(V1508&lt;20,"Low Margin","Healthy Margin"))</f>
        <v>Healthy Margin</v>
      </c>
      <c r="AE1508" s="1" t="str">
        <f aca="false">TEXT(DATE(VALUE(RIGHT(B1508,4)),VALUE(MID(B1508,4,2)),VALUE(LEFT(B1508,2))),"MMM-YYYY")</f>
        <v>Oct-2024</v>
      </c>
      <c r="AF1508" s="1" t="n">
        <f aca="false">VALUE(RIGHT(B1508,4))</f>
        <v>2024</v>
      </c>
      <c r="AG1508" s="1" t="str">
        <f aca="false">CHOOSE(ROUNDUP(VALUE(MID(B1508,4,2))/3,0),"Q1","Q2","Q3","Q4")</f>
        <v>Q4</v>
      </c>
    </row>
    <row r="1509" customFormat="false" ht="15" hidden="false" customHeight="true" outlineLevel="0" collapsed="false">
      <c r="A1509" s="1" t="s">
        <v>2318</v>
      </c>
      <c r="B1509" s="1" t="s">
        <v>1226</v>
      </c>
      <c r="C1509" s="1" t="s">
        <v>43</v>
      </c>
      <c r="D1509" s="1" t="s">
        <v>94</v>
      </c>
      <c r="E1509" s="1" t="s">
        <v>95</v>
      </c>
      <c r="F1509" s="1" t="s">
        <v>89</v>
      </c>
      <c r="G1509" s="1" t="s">
        <v>68</v>
      </c>
      <c r="H1509" s="1" t="s">
        <v>33</v>
      </c>
      <c r="I1509" s="1" t="s">
        <v>83</v>
      </c>
      <c r="J1509" s="1" t="s">
        <v>70</v>
      </c>
      <c r="K1509" s="1" t="s">
        <v>48</v>
      </c>
      <c r="L1509" s="1" t="s">
        <v>136</v>
      </c>
      <c r="M1509" s="1" t="s">
        <v>62</v>
      </c>
      <c r="N1509" s="1" t="n">
        <v>6999</v>
      </c>
      <c r="O1509" s="1" t="n">
        <v>25</v>
      </c>
      <c r="P1509" s="1" t="n">
        <v>1749.75</v>
      </c>
      <c r="Q1509" s="1" t="n">
        <v>5249.25</v>
      </c>
      <c r="R1509" s="1" t="n">
        <v>944.87</v>
      </c>
      <c r="S1509" s="1" t="n">
        <v>4304.38</v>
      </c>
      <c r="T1509" s="1" t="n">
        <v>1779.22</v>
      </c>
      <c r="U1509" s="1" t="n">
        <v>2525.16</v>
      </c>
      <c r="V1509" s="1" t="n">
        <v>58.66</v>
      </c>
      <c r="W1509" s="1" t="s">
        <v>39</v>
      </c>
      <c r="X1509" s="1" t="n">
        <v>3.5</v>
      </c>
      <c r="Y1509" s="1" t="s">
        <v>40</v>
      </c>
      <c r="Z1509" s="1" t="n">
        <v>0</v>
      </c>
      <c r="AA1509" s="1" t="str">
        <f aca="false">TRIM(PROPER(F1509))</f>
        <v>Vadodara</v>
      </c>
      <c r="AB1509" s="1" t="str">
        <f aca="false">TRIM(PROPER(C1509))</f>
        <v>Meritnation</v>
      </c>
      <c r="AC1509" s="1" t="str">
        <f aca="false">IF(O1509=0,"No Discount",IF(O1509&lt;=15,"Low (1-15%)",IF(O1509&lt;=30,"Medium (16-30%)","High (&gt;30%)")))</f>
        <v>Medium (16-30%)</v>
      </c>
      <c r="AD1509" s="1" t="str">
        <f aca="false">IF(V1509&lt;0,"Loss Making",IF(V1509&lt;20,"Low Margin","Healthy Margin"))</f>
        <v>Healthy Margin</v>
      </c>
      <c r="AE1509" s="1" t="str">
        <f aca="false">TEXT(DATE(VALUE(RIGHT(B1509,4)),VALUE(MID(B1509,4,2)),VALUE(LEFT(B1509,2))),"MMM-YYYY")</f>
        <v>Sep-2023</v>
      </c>
      <c r="AF1509" s="1" t="n">
        <f aca="false">VALUE(RIGHT(B1509,4))</f>
        <v>2023</v>
      </c>
      <c r="AG1509" s="1" t="str">
        <f aca="false">CHOOSE(ROUNDUP(VALUE(MID(B1509,4,2))/3,0),"Q1","Q2","Q3","Q4")</f>
        <v>Q3</v>
      </c>
    </row>
    <row r="1510" customFormat="false" ht="15" hidden="false" customHeight="true" outlineLevel="0" collapsed="false">
      <c r="A1510" s="1" t="s">
        <v>2319</v>
      </c>
      <c r="B1510" s="1" t="s">
        <v>261</v>
      </c>
      <c r="C1510" s="1" t="s">
        <v>204</v>
      </c>
      <c r="D1510" s="1" t="s">
        <v>143</v>
      </c>
      <c r="E1510" s="1" t="s">
        <v>162</v>
      </c>
      <c r="F1510" s="1" t="s">
        <v>184</v>
      </c>
      <c r="G1510" s="1" t="s">
        <v>56</v>
      </c>
      <c r="H1510" s="1" t="s">
        <v>57</v>
      </c>
      <c r="I1510" s="1" t="s">
        <v>58</v>
      </c>
      <c r="J1510" s="1" t="s">
        <v>70</v>
      </c>
      <c r="K1510" s="1" t="s">
        <v>48</v>
      </c>
      <c r="L1510" s="1" t="s">
        <v>37</v>
      </c>
      <c r="M1510" s="1" t="s">
        <v>50</v>
      </c>
      <c r="N1510" s="1" t="n">
        <v>14999</v>
      </c>
      <c r="O1510" s="1" t="n">
        <v>25</v>
      </c>
      <c r="P1510" s="1" t="n">
        <v>3749.75</v>
      </c>
      <c r="Q1510" s="1" t="n">
        <v>11249.25</v>
      </c>
      <c r="R1510" s="1" t="n">
        <v>2024.87</v>
      </c>
      <c r="S1510" s="1" t="n">
        <v>9224.38</v>
      </c>
      <c r="T1510" s="1" t="n">
        <v>3777.27</v>
      </c>
      <c r="U1510" s="1" t="n">
        <v>5447.11</v>
      </c>
      <c r="V1510" s="1" t="n">
        <v>59.05</v>
      </c>
      <c r="W1510" s="1" t="s">
        <v>39</v>
      </c>
      <c r="X1510" s="1" t="n">
        <v>3.8</v>
      </c>
      <c r="Y1510" s="1" t="s">
        <v>40</v>
      </c>
      <c r="Z1510" s="1" t="n">
        <v>0</v>
      </c>
      <c r="AA1510" s="1" t="str">
        <f aca="false">TRIM(PROPER(F1510))</f>
        <v>Faridabad</v>
      </c>
      <c r="AB1510" s="1" t="str">
        <f aca="false">TRIM(PROPER(C1510))</f>
        <v>Byju'S</v>
      </c>
      <c r="AC1510" s="1" t="str">
        <f aca="false">IF(O1510=0,"No Discount",IF(O1510&lt;=15,"Low (1-15%)",IF(O1510&lt;=30,"Medium (16-30%)","High (&gt;30%)")))</f>
        <v>Medium (16-30%)</v>
      </c>
      <c r="AD1510" s="1" t="str">
        <f aca="false">IF(V1510&lt;0,"Loss Making",IF(V1510&lt;20,"Low Margin","Healthy Margin"))</f>
        <v>Healthy Margin</v>
      </c>
      <c r="AE1510" s="1" t="str">
        <f aca="false">TEXT(DATE(VALUE(RIGHT(B1510,4)),VALUE(MID(B1510,4,2)),VALUE(LEFT(B1510,2))),"MMM-YYYY")</f>
        <v>Feb-2024</v>
      </c>
      <c r="AF1510" s="1" t="n">
        <f aca="false">VALUE(RIGHT(B1510,4))</f>
        <v>2024</v>
      </c>
      <c r="AG1510" s="1" t="str">
        <f aca="false">CHOOSE(ROUNDUP(VALUE(MID(B1510,4,2))/3,0),"Q1","Q2","Q3","Q4")</f>
        <v>Q1</v>
      </c>
    </row>
    <row r="1511" customFormat="false" ht="15" hidden="false" customHeight="true" outlineLevel="0" collapsed="false">
      <c r="A1511" s="1" t="s">
        <v>2320</v>
      </c>
      <c r="B1511" s="1" t="s">
        <v>477</v>
      </c>
      <c r="C1511" s="1" t="s">
        <v>264</v>
      </c>
      <c r="D1511" s="1" t="s">
        <v>94</v>
      </c>
      <c r="E1511" s="1" t="s">
        <v>101</v>
      </c>
      <c r="F1511" s="1" t="s">
        <v>89</v>
      </c>
      <c r="G1511" s="1" t="s">
        <v>68</v>
      </c>
      <c r="H1511" s="1" t="s">
        <v>33</v>
      </c>
      <c r="I1511" s="1" t="s">
        <v>83</v>
      </c>
      <c r="J1511" s="1" t="s">
        <v>131</v>
      </c>
      <c r="K1511" s="1" t="s">
        <v>48</v>
      </c>
      <c r="L1511" s="1" t="s">
        <v>113</v>
      </c>
      <c r="M1511" s="1" t="s">
        <v>38</v>
      </c>
      <c r="N1511" s="1" t="n">
        <v>14999</v>
      </c>
      <c r="O1511" s="1" t="n">
        <v>0</v>
      </c>
      <c r="P1511" s="1" t="n">
        <v>0</v>
      </c>
      <c r="Q1511" s="1" t="n">
        <v>14999</v>
      </c>
      <c r="R1511" s="1" t="n">
        <v>2699.82</v>
      </c>
      <c r="S1511" s="1" t="n">
        <v>12299.18</v>
      </c>
      <c r="T1511" s="1" t="n">
        <v>4291.31</v>
      </c>
      <c r="U1511" s="1" t="n">
        <v>8007.87</v>
      </c>
      <c r="V1511" s="1" t="n">
        <v>65.11</v>
      </c>
      <c r="W1511" s="1" t="s">
        <v>40</v>
      </c>
      <c r="Y1511" s="1" t="s">
        <v>40</v>
      </c>
      <c r="Z1511" s="1" t="n">
        <v>0</v>
      </c>
      <c r="AA1511" s="1" t="str">
        <f aca="false">TRIM(PROPER(F1511))</f>
        <v>Vadodara</v>
      </c>
      <c r="AB1511" s="1" t="str">
        <f aca="false">TRIM(PROPER(C1511))</f>
        <v>Unacademy</v>
      </c>
      <c r="AC1511" s="1" t="str">
        <f aca="false">IF(O1511=0,"No Discount",IF(O1511&lt;=15,"Low (1-15%)",IF(O1511&lt;=30,"Medium (16-30%)","High (&gt;30%)")))</f>
        <v>No Discount</v>
      </c>
      <c r="AD1511" s="1" t="str">
        <f aca="false">IF(V1511&lt;0,"Loss Making",IF(V1511&lt;20,"Low Margin","Healthy Margin"))</f>
        <v>Healthy Margin</v>
      </c>
      <c r="AE1511" s="1" t="str">
        <f aca="false">TEXT(DATE(VALUE(RIGHT(B1511,4)),VALUE(MID(B1511,4,2)),VALUE(LEFT(B1511,2))),"MMM-YYYY")</f>
        <v>Jan-2024</v>
      </c>
      <c r="AF1511" s="1" t="n">
        <f aca="false">VALUE(RIGHT(B1511,4))</f>
        <v>2024</v>
      </c>
      <c r="AG1511" s="1" t="str">
        <f aca="false">CHOOSE(ROUNDUP(VALUE(MID(B1511,4,2))/3,0),"Q1","Q2","Q3","Q4")</f>
        <v>Q1</v>
      </c>
    </row>
    <row r="1512" customFormat="false" ht="15" hidden="false" customHeight="true" outlineLevel="0" collapsed="false">
      <c r="A1512" s="1" t="s">
        <v>2321</v>
      </c>
      <c r="B1512" s="1" t="s">
        <v>1573</v>
      </c>
      <c r="C1512" s="1" t="s">
        <v>65</v>
      </c>
      <c r="D1512" s="1" t="s">
        <v>53</v>
      </c>
      <c r="E1512" s="1" t="s">
        <v>216</v>
      </c>
      <c r="F1512" s="1" t="s">
        <v>125</v>
      </c>
      <c r="G1512" s="1" t="s">
        <v>108</v>
      </c>
      <c r="H1512" s="1" t="s">
        <v>69</v>
      </c>
      <c r="I1512" s="1" t="s">
        <v>34</v>
      </c>
      <c r="J1512" s="1" t="s">
        <v>35</v>
      </c>
      <c r="K1512" s="1" t="s">
        <v>71</v>
      </c>
      <c r="L1512" s="1" t="s">
        <v>113</v>
      </c>
      <c r="M1512" s="1" t="s">
        <v>50</v>
      </c>
      <c r="N1512" s="1" t="n">
        <v>7499</v>
      </c>
      <c r="O1512" s="1" t="n">
        <v>40</v>
      </c>
      <c r="P1512" s="1" t="n">
        <v>2999.6</v>
      </c>
      <c r="Q1512" s="1" t="n">
        <v>4499.4</v>
      </c>
      <c r="R1512" s="1" t="n">
        <v>809.89</v>
      </c>
      <c r="S1512" s="1" t="n">
        <v>3689.51</v>
      </c>
      <c r="T1512" s="1" t="n">
        <v>1780.82</v>
      </c>
      <c r="U1512" s="1" t="n">
        <v>1908.69</v>
      </c>
      <c r="V1512" s="1" t="n">
        <v>51.73</v>
      </c>
      <c r="W1512" s="1" t="s">
        <v>40</v>
      </c>
      <c r="Y1512" s="1" t="s">
        <v>39</v>
      </c>
      <c r="Z1512" s="1" t="n">
        <v>1</v>
      </c>
      <c r="AA1512" s="1" t="str">
        <f aca="false">TRIM(PROPER(F1512))</f>
        <v>Chennai</v>
      </c>
      <c r="AB1512" s="1" t="str">
        <f aca="false">TRIM(PROPER(C1512))</f>
        <v>Toppr</v>
      </c>
      <c r="AC1512" s="1" t="str">
        <f aca="false">IF(O1512=0,"No Discount",IF(O1512&lt;=15,"Low (1-15%)",IF(O1512&lt;=30,"Medium (16-30%)","High (&gt;30%)")))</f>
        <v>High (&gt;30%)</v>
      </c>
      <c r="AD1512" s="1" t="str">
        <f aca="false">IF(V1512&lt;0,"Loss Making",IF(V1512&lt;20,"Low Margin","Healthy Margin"))</f>
        <v>Healthy Margin</v>
      </c>
      <c r="AE1512" s="1" t="str">
        <f aca="false">TEXT(DATE(VALUE(RIGHT(B1512,4)),VALUE(MID(B1512,4,2)),VALUE(LEFT(B1512,2))),"MMM-YYYY")</f>
        <v>Nov-2024</v>
      </c>
      <c r="AF1512" s="1" t="n">
        <f aca="false">VALUE(RIGHT(B1512,4))</f>
        <v>2024</v>
      </c>
      <c r="AG1512" s="1" t="str">
        <f aca="false">CHOOSE(ROUNDUP(VALUE(MID(B1512,4,2))/3,0),"Q1","Q2","Q3","Q4")</f>
        <v>Q4</v>
      </c>
    </row>
    <row r="1513" customFormat="false" ht="15" hidden="false" customHeight="true" outlineLevel="0" collapsed="false">
      <c r="A1513" s="1" t="s">
        <v>2322</v>
      </c>
      <c r="B1513" s="1" t="s">
        <v>1795</v>
      </c>
      <c r="C1513" s="1" t="s">
        <v>139</v>
      </c>
      <c r="D1513" s="1" t="s">
        <v>123</v>
      </c>
      <c r="E1513" s="1" t="s">
        <v>233</v>
      </c>
      <c r="F1513" s="1" t="s">
        <v>244</v>
      </c>
      <c r="G1513" s="1" t="s">
        <v>97</v>
      </c>
      <c r="H1513" s="1" t="s">
        <v>57</v>
      </c>
      <c r="I1513" s="1" t="s">
        <v>34</v>
      </c>
      <c r="J1513" s="1" t="s">
        <v>35</v>
      </c>
      <c r="K1513" s="1" t="s">
        <v>71</v>
      </c>
      <c r="L1513" s="1" t="s">
        <v>49</v>
      </c>
      <c r="M1513" s="1" t="s">
        <v>50</v>
      </c>
      <c r="N1513" s="1" t="n">
        <v>8999</v>
      </c>
      <c r="O1513" s="1" t="n">
        <v>30</v>
      </c>
      <c r="P1513" s="1" t="n">
        <v>2699.7</v>
      </c>
      <c r="Q1513" s="1" t="n">
        <v>6299.3</v>
      </c>
      <c r="R1513" s="1" t="n">
        <v>1133.87</v>
      </c>
      <c r="S1513" s="1" t="n">
        <v>5165.43</v>
      </c>
      <c r="T1513" s="1" t="n">
        <v>2458.14</v>
      </c>
      <c r="U1513" s="1" t="n">
        <v>2707.29</v>
      </c>
      <c r="V1513" s="1" t="n">
        <v>52.41</v>
      </c>
      <c r="W1513" s="1" t="s">
        <v>40</v>
      </c>
      <c r="Y1513" s="1" t="s">
        <v>40</v>
      </c>
      <c r="Z1513" s="1" t="n">
        <v>0</v>
      </c>
      <c r="AA1513" s="1" t="str">
        <f aca="false">TRIM(PROPER(F1513))</f>
        <v>Nagpur</v>
      </c>
      <c r="AB1513" s="1" t="str">
        <f aca="false">TRIM(PROPER(C1513))</f>
        <v>Extramarks</v>
      </c>
      <c r="AC1513" s="1" t="str">
        <f aca="false">IF(O1513=0,"No Discount",IF(O1513&lt;=15,"Low (1-15%)",IF(O1513&lt;=30,"Medium (16-30%)","High (&gt;30%)")))</f>
        <v>Medium (16-30%)</v>
      </c>
      <c r="AD1513" s="1" t="str">
        <f aca="false">IF(V1513&lt;0,"Loss Making",IF(V1513&lt;20,"Low Margin","Healthy Margin"))</f>
        <v>Healthy Margin</v>
      </c>
      <c r="AE1513" s="1" t="str">
        <f aca="false">TEXT(DATE(VALUE(RIGHT(B1513,4)),VALUE(MID(B1513,4,2)),VALUE(LEFT(B1513,2))),"MMM-YYYY")</f>
        <v>Oct-2023</v>
      </c>
      <c r="AF1513" s="1" t="n">
        <f aca="false">VALUE(RIGHT(B1513,4))</f>
        <v>2023</v>
      </c>
      <c r="AG1513" s="1" t="str">
        <f aca="false">CHOOSE(ROUNDUP(VALUE(MID(B1513,4,2))/3,0),"Q1","Q2","Q3","Q4")</f>
        <v>Q4</v>
      </c>
    </row>
    <row r="1514" customFormat="false" ht="15" hidden="false" customHeight="true" outlineLevel="0" collapsed="false">
      <c r="A1514" s="1" t="s">
        <v>2323</v>
      </c>
      <c r="B1514" s="1" t="s">
        <v>1111</v>
      </c>
      <c r="C1514" s="1" t="s">
        <v>74</v>
      </c>
      <c r="D1514" s="1" t="s">
        <v>29</v>
      </c>
      <c r="E1514" s="1" t="s">
        <v>129</v>
      </c>
      <c r="F1514" s="1" t="s">
        <v>130</v>
      </c>
      <c r="G1514" s="1" t="s">
        <v>47</v>
      </c>
      <c r="H1514" s="1" t="s">
        <v>69</v>
      </c>
      <c r="I1514" s="1" t="s">
        <v>34</v>
      </c>
      <c r="J1514" s="1" t="s">
        <v>35</v>
      </c>
      <c r="K1514" s="1" t="s">
        <v>60</v>
      </c>
      <c r="L1514" s="1" t="s">
        <v>61</v>
      </c>
      <c r="M1514" s="1" t="s">
        <v>38</v>
      </c>
      <c r="N1514" s="1" t="n">
        <v>29999</v>
      </c>
      <c r="O1514" s="1" t="n">
        <v>30</v>
      </c>
      <c r="P1514" s="1" t="n">
        <v>8999.7</v>
      </c>
      <c r="Q1514" s="1" t="n">
        <v>20999.3</v>
      </c>
      <c r="R1514" s="1" t="n">
        <v>3779.87</v>
      </c>
      <c r="S1514" s="1" t="n">
        <v>17219.43</v>
      </c>
      <c r="T1514" s="1" t="n">
        <v>5764.44</v>
      </c>
      <c r="U1514" s="1" t="n">
        <v>11454.99</v>
      </c>
      <c r="V1514" s="1" t="n">
        <v>66.52</v>
      </c>
      <c r="W1514" s="1" t="s">
        <v>39</v>
      </c>
      <c r="X1514" s="1" t="n">
        <v>4.1</v>
      </c>
      <c r="Y1514" s="1" t="s">
        <v>40</v>
      </c>
      <c r="Z1514" s="1" t="n">
        <v>0</v>
      </c>
      <c r="AA1514" s="1" t="str">
        <f aca="false">TRIM(PROPER(F1514))</f>
        <v>Bengaluru</v>
      </c>
      <c r="AB1514" s="1" t="str">
        <f aca="false">TRIM(PROPER(C1514))</f>
        <v>Vedantu</v>
      </c>
      <c r="AC1514" s="1" t="str">
        <f aca="false">IF(O1514=0,"No Discount",IF(O1514&lt;=15,"Low (1-15%)",IF(O1514&lt;=30,"Medium (16-30%)","High (&gt;30%)")))</f>
        <v>Medium (16-30%)</v>
      </c>
      <c r="AD1514" s="1" t="str">
        <f aca="false">IF(V1514&lt;0,"Loss Making",IF(V1514&lt;20,"Low Margin","Healthy Margin"))</f>
        <v>Healthy Margin</v>
      </c>
      <c r="AE1514" s="1" t="str">
        <f aca="false">TEXT(DATE(VALUE(RIGHT(B1514,4)),VALUE(MID(B1514,4,2)),VALUE(LEFT(B1514,2))),"MMM-YYYY")</f>
        <v>Dec-2024</v>
      </c>
      <c r="AF1514" s="1" t="n">
        <f aca="false">VALUE(RIGHT(B1514,4))</f>
        <v>2024</v>
      </c>
      <c r="AG1514" s="1" t="str">
        <f aca="false">CHOOSE(ROUNDUP(VALUE(MID(B1514,4,2))/3,0),"Q1","Q2","Q3","Q4")</f>
        <v>Q4</v>
      </c>
    </row>
    <row r="1515" customFormat="false" ht="15" hidden="false" customHeight="true" outlineLevel="0" collapsed="false">
      <c r="A1515" s="1" t="s">
        <v>2324</v>
      </c>
      <c r="B1515" s="1" t="s">
        <v>64</v>
      </c>
      <c r="C1515" s="1" t="s">
        <v>119</v>
      </c>
      <c r="D1515" s="1" t="s">
        <v>80</v>
      </c>
      <c r="E1515" s="1" t="s">
        <v>175</v>
      </c>
      <c r="F1515" s="1" t="s">
        <v>140</v>
      </c>
      <c r="G1515" s="1" t="s">
        <v>97</v>
      </c>
      <c r="H1515" s="1" t="s">
        <v>57</v>
      </c>
      <c r="I1515" s="1" t="s">
        <v>83</v>
      </c>
      <c r="J1515" s="1" t="s">
        <v>131</v>
      </c>
      <c r="K1515" s="1" t="s">
        <v>84</v>
      </c>
      <c r="L1515" s="1" t="s">
        <v>37</v>
      </c>
      <c r="M1515" s="1" t="s">
        <v>62</v>
      </c>
      <c r="N1515" s="1" t="n">
        <v>19999</v>
      </c>
      <c r="O1515" s="1" t="n">
        <v>10</v>
      </c>
      <c r="P1515" s="1" t="n">
        <v>1999.9</v>
      </c>
      <c r="Q1515" s="1" t="n">
        <v>17999.1</v>
      </c>
      <c r="R1515" s="1" t="n">
        <v>3239.84</v>
      </c>
      <c r="S1515" s="1" t="n">
        <v>14759.26</v>
      </c>
      <c r="T1515" s="1" t="n">
        <v>6647.06</v>
      </c>
      <c r="U1515" s="1" t="n">
        <v>8112.2</v>
      </c>
      <c r="V1515" s="1" t="n">
        <v>54.96</v>
      </c>
      <c r="W1515" s="1" t="s">
        <v>40</v>
      </c>
      <c r="Y1515" s="1" t="s">
        <v>40</v>
      </c>
      <c r="Z1515" s="1" t="n">
        <v>1</v>
      </c>
      <c r="AA1515" s="1" t="str">
        <f aca="false">TRIM(PROPER(F1515))</f>
        <v>Nashik</v>
      </c>
      <c r="AB1515" s="1" t="str">
        <f aca="false">TRIM(PROPER(C1515))</f>
        <v>Simplilearn</v>
      </c>
      <c r="AC1515" s="1" t="str">
        <f aca="false">IF(O1515=0,"No Discount",IF(O1515&lt;=15,"Low (1-15%)",IF(O1515&lt;=30,"Medium (16-30%)","High (&gt;30%)")))</f>
        <v>Low (1-15%)</v>
      </c>
      <c r="AD1515" s="1" t="str">
        <f aca="false">IF(V1515&lt;0,"Loss Making",IF(V1515&lt;20,"Low Margin","Healthy Margin"))</f>
        <v>Healthy Margin</v>
      </c>
      <c r="AE1515" s="1" t="str">
        <f aca="false">TEXT(DATE(VALUE(RIGHT(B1515,4)),VALUE(MID(B1515,4,2)),VALUE(LEFT(B1515,2))),"MMM-YYYY")</f>
        <v>Aug-2024</v>
      </c>
      <c r="AF1515" s="1" t="n">
        <f aca="false">VALUE(RIGHT(B1515,4))</f>
        <v>2024</v>
      </c>
      <c r="AG1515" s="1" t="str">
        <f aca="false">CHOOSE(ROUNDUP(VALUE(MID(B1515,4,2))/3,0),"Q1","Q2","Q3","Q4")</f>
        <v>Q3</v>
      </c>
    </row>
    <row r="1516" customFormat="false" ht="15" hidden="false" customHeight="true" outlineLevel="0" collapsed="false">
      <c r="A1516" s="1" t="s">
        <v>2325</v>
      </c>
      <c r="B1516" s="1" t="s">
        <v>2326</v>
      </c>
      <c r="C1516" s="1" t="s">
        <v>65</v>
      </c>
      <c r="D1516" s="1" t="s">
        <v>29</v>
      </c>
      <c r="E1516" s="1" t="s">
        <v>182</v>
      </c>
      <c r="F1516" s="1" t="s">
        <v>96</v>
      </c>
      <c r="G1516" s="1" t="s">
        <v>97</v>
      </c>
      <c r="H1516" s="1" t="s">
        <v>69</v>
      </c>
      <c r="I1516" s="1" t="s">
        <v>58</v>
      </c>
      <c r="J1516" s="1" t="s">
        <v>59</v>
      </c>
      <c r="K1516" s="1" t="s">
        <v>71</v>
      </c>
      <c r="L1516" s="1" t="s">
        <v>37</v>
      </c>
      <c r="M1516" s="1" t="s">
        <v>62</v>
      </c>
      <c r="N1516" s="1" t="n">
        <v>34999</v>
      </c>
      <c r="O1516" s="1" t="n">
        <v>25</v>
      </c>
      <c r="P1516" s="1" t="n">
        <v>8749.75</v>
      </c>
      <c r="Q1516" s="1" t="n">
        <v>26249.25</v>
      </c>
      <c r="R1516" s="1" t="n">
        <v>4724.86</v>
      </c>
      <c r="S1516" s="1" t="n">
        <v>21524.39</v>
      </c>
      <c r="T1516" s="1" t="n">
        <v>7190.78</v>
      </c>
      <c r="U1516" s="1" t="n">
        <v>14333.61</v>
      </c>
      <c r="V1516" s="1" t="n">
        <v>66.59</v>
      </c>
      <c r="W1516" s="1" t="s">
        <v>39</v>
      </c>
      <c r="X1516" s="1" t="n">
        <v>3.2</v>
      </c>
      <c r="Y1516" s="1" t="s">
        <v>40</v>
      </c>
      <c r="Z1516" s="1" t="n">
        <v>3</v>
      </c>
      <c r="AA1516" s="1" t="str">
        <f aca="false">TRIM(PROPER(F1516))</f>
        <v>Pune</v>
      </c>
      <c r="AB1516" s="1" t="str">
        <f aca="false">TRIM(PROPER(C1516))</f>
        <v>Toppr</v>
      </c>
      <c r="AC1516" s="1" t="str">
        <f aca="false">IF(O1516=0,"No Discount",IF(O1516&lt;=15,"Low (1-15%)",IF(O1516&lt;=30,"Medium (16-30%)","High (&gt;30%)")))</f>
        <v>Medium (16-30%)</v>
      </c>
      <c r="AD1516" s="1" t="str">
        <f aca="false">IF(V1516&lt;0,"Loss Making",IF(V1516&lt;20,"Low Margin","Healthy Margin"))</f>
        <v>Healthy Margin</v>
      </c>
      <c r="AE1516" s="1" t="str">
        <f aca="false">TEXT(DATE(VALUE(RIGHT(B1516,4)),VALUE(MID(B1516,4,2)),VALUE(LEFT(B1516,2))),"MMM-YYYY")</f>
        <v>Aug-2023</v>
      </c>
      <c r="AF1516" s="1" t="n">
        <f aca="false">VALUE(RIGHT(B1516,4))</f>
        <v>2023</v>
      </c>
      <c r="AG1516" s="1" t="str">
        <f aca="false">CHOOSE(ROUNDUP(VALUE(MID(B1516,4,2))/3,0),"Q1","Q2","Q3","Q4")</f>
        <v>Q3</v>
      </c>
    </row>
    <row r="1517" customFormat="false" ht="15" hidden="false" customHeight="true" outlineLevel="0" collapsed="false">
      <c r="A1517" s="1" t="s">
        <v>2327</v>
      </c>
      <c r="B1517" s="1" t="s">
        <v>1948</v>
      </c>
      <c r="C1517" s="1" t="s">
        <v>28</v>
      </c>
      <c r="D1517" s="1" t="s">
        <v>94</v>
      </c>
      <c r="E1517" s="1" t="s">
        <v>135</v>
      </c>
      <c r="F1517" s="1" t="s">
        <v>187</v>
      </c>
      <c r="G1517" s="1" t="s">
        <v>97</v>
      </c>
      <c r="H1517" s="1" t="s">
        <v>69</v>
      </c>
      <c r="I1517" s="1" t="s">
        <v>58</v>
      </c>
      <c r="J1517" s="1" t="s">
        <v>77</v>
      </c>
      <c r="K1517" s="1" t="s">
        <v>84</v>
      </c>
      <c r="L1517" s="1" t="s">
        <v>61</v>
      </c>
      <c r="M1517" s="1" t="s">
        <v>62</v>
      </c>
      <c r="N1517" s="1" t="n">
        <v>9999</v>
      </c>
      <c r="O1517" s="1" t="n">
        <v>25</v>
      </c>
      <c r="P1517" s="1" t="n">
        <v>2499.75</v>
      </c>
      <c r="Q1517" s="1" t="n">
        <v>7499.25</v>
      </c>
      <c r="R1517" s="1" t="n">
        <v>1349.87</v>
      </c>
      <c r="S1517" s="1" t="n">
        <v>6149.38</v>
      </c>
      <c r="T1517" s="1" t="n">
        <v>3148.77</v>
      </c>
      <c r="U1517" s="1" t="n">
        <v>3000.61</v>
      </c>
      <c r="V1517" s="1" t="n">
        <v>48.8</v>
      </c>
      <c r="W1517" s="1" t="s">
        <v>39</v>
      </c>
      <c r="X1517" s="1" t="n">
        <v>4</v>
      </c>
      <c r="Y1517" s="1" t="s">
        <v>40</v>
      </c>
      <c r="Z1517" s="1" t="n">
        <v>0</v>
      </c>
      <c r="AA1517" s="1" t="str">
        <f aca="false">TRIM(PROPER(F1517))</f>
        <v>Mumbai</v>
      </c>
      <c r="AB1517" s="1" t="str">
        <f aca="false">TRIM(PROPER(C1517))</f>
        <v>Embibe</v>
      </c>
      <c r="AC1517" s="1" t="str">
        <f aca="false">IF(O1517=0,"No Discount",IF(O1517&lt;=15,"Low (1-15%)",IF(O1517&lt;=30,"Medium (16-30%)","High (&gt;30%)")))</f>
        <v>Medium (16-30%)</v>
      </c>
      <c r="AD1517" s="1" t="str">
        <f aca="false">IF(V1517&lt;0,"Loss Making",IF(V1517&lt;20,"Low Margin","Healthy Margin"))</f>
        <v>Healthy Margin</v>
      </c>
      <c r="AE1517" s="1" t="str">
        <f aca="false">TEXT(DATE(VALUE(RIGHT(B1517,4)),VALUE(MID(B1517,4,2)),VALUE(LEFT(B1517,2))),"MMM-YYYY")</f>
        <v>Apr-2023</v>
      </c>
      <c r="AF1517" s="1" t="n">
        <f aca="false">VALUE(RIGHT(B1517,4))</f>
        <v>2023</v>
      </c>
      <c r="AG1517" s="1" t="str">
        <f aca="false">CHOOSE(ROUNDUP(VALUE(MID(B1517,4,2))/3,0),"Q1","Q2","Q3","Q4")</f>
        <v>Q2</v>
      </c>
    </row>
    <row r="1518" customFormat="false" ht="15" hidden="false" customHeight="true" outlineLevel="0" collapsed="false">
      <c r="A1518" s="1" t="s">
        <v>2328</v>
      </c>
      <c r="B1518" s="1" t="s">
        <v>255</v>
      </c>
      <c r="C1518" s="1" t="s">
        <v>74</v>
      </c>
      <c r="D1518" s="1" t="s">
        <v>123</v>
      </c>
      <c r="E1518" s="1" t="s">
        <v>147</v>
      </c>
      <c r="F1518" s="1" t="s">
        <v>96</v>
      </c>
      <c r="G1518" s="1" t="s">
        <v>97</v>
      </c>
      <c r="H1518" s="1" t="s">
        <v>69</v>
      </c>
      <c r="I1518" s="1" t="s">
        <v>83</v>
      </c>
      <c r="J1518" s="1" t="s">
        <v>77</v>
      </c>
      <c r="K1518" s="1" t="s">
        <v>112</v>
      </c>
      <c r="L1518" s="1" t="s">
        <v>61</v>
      </c>
      <c r="M1518" s="1" t="s">
        <v>62</v>
      </c>
      <c r="N1518" s="1" t="n">
        <v>6999</v>
      </c>
      <c r="O1518" s="1" t="n">
        <v>5</v>
      </c>
      <c r="P1518" s="1" t="n">
        <v>349.95</v>
      </c>
      <c r="Q1518" s="1" t="n">
        <v>6649.05</v>
      </c>
      <c r="R1518" s="1" t="n">
        <v>1196.83</v>
      </c>
      <c r="S1518" s="1" t="n">
        <v>5452.22</v>
      </c>
      <c r="T1518" s="1" t="n">
        <v>1876.09</v>
      </c>
      <c r="U1518" s="1" t="n">
        <v>3576.13</v>
      </c>
      <c r="V1518" s="1" t="n">
        <v>65.59</v>
      </c>
      <c r="W1518" s="1" t="s">
        <v>39</v>
      </c>
      <c r="X1518" s="1" t="n">
        <v>3.7</v>
      </c>
      <c r="Y1518" s="1" t="s">
        <v>40</v>
      </c>
      <c r="Z1518" s="1" t="n">
        <v>1</v>
      </c>
      <c r="AA1518" s="1" t="str">
        <f aca="false">TRIM(PROPER(F1518))</f>
        <v>Pune</v>
      </c>
      <c r="AB1518" s="1" t="str">
        <f aca="false">TRIM(PROPER(C1518))</f>
        <v>Vedantu</v>
      </c>
      <c r="AC1518" s="1" t="str">
        <f aca="false">IF(O1518=0,"No Discount",IF(O1518&lt;=15,"Low (1-15%)",IF(O1518&lt;=30,"Medium (16-30%)","High (&gt;30%)")))</f>
        <v>Low (1-15%)</v>
      </c>
      <c r="AD1518" s="1" t="str">
        <f aca="false">IF(V1518&lt;0,"Loss Making",IF(V1518&lt;20,"Low Margin","Healthy Margin"))</f>
        <v>Healthy Margin</v>
      </c>
      <c r="AE1518" s="1" t="str">
        <f aca="false">TEXT(DATE(VALUE(RIGHT(B1518,4)),VALUE(MID(B1518,4,2)),VALUE(LEFT(B1518,2))),"MMM-YYYY")</f>
        <v>Nov-2024</v>
      </c>
      <c r="AF1518" s="1" t="n">
        <f aca="false">VALUE(RIGHT(B1518,4))</f>
        <v>2024</v>
      </c>
      <c r="AG1518" s="1" t="str">
        <f aca="false">CHOOSE(ROUNDUP(VALUE(MID(B1518,4,2))/3,0),"Q1","Q2","Q3","Q4")</f>
        <v>Q4</v>
      </c>
    </row>
    <row r="1519" customFormat="false" ht="15" hidden="false" customHeight="true" outlineLevel="0" collapsed="false">
      <c r="A1519" s="1" t="s">
        <v>2329</v>
      </c>
      <c r="B1519" s="1" t="s">
        <v>2330</v>
      </c>
      <c r="C1519" s="1" t="s">
        <v>88</v>
      </c>
      <c r="D1519" s="1" t="s">
        <v>168</v>
      </c>
      <c r="E1519" s="1" t="s">
        <v>172</v>
      </c>
      <c r="F1519" s="1" t="s">
        <v>89</v>
      </c>
      <c r="G1519" s="1" t="s">
        <v>68</v>
      </c>
      <c r="H1519" s="1" t="s">
        <v>33</v>
      </c>
      <c r="I1519" s="1" t="s">
        <v>58</v>
      </c>
      <c r="J1519" s="1" t="s">
        <v>35</v>
      </c>
      <c r="K1519" s="1" t="s">
        <v>84</v>
      </c>
      <c r="L1519" s="1" t="s">
        <v>61</v>
      </c>
      <c r="M1519" s="1" t="s">
        <v>62</v>
      </c>
      <c r="N1519" s="1" t="n">
        <v>6999</v>
      </c>
      <c r="O1519" s="1" t="n">
        <v>0</v>
      </c>
      <c r="P1519" s="1" t="n">
        <v>0</v>
      </c>
      <c r="Q1519" s="1" t="n">
        <v>6999</v>
      </c>
      <c r="R1519" s="1" t="n">
        <v>1259.82</v>
      </c>
      <c r="S1519" s="1" t="n">
        <v>5739.18</v>
      </c>
      <c r="T1519" s="1" t="n">
        <v>2389.74</v>
      </c>
      <c r="U1519" s="1" t="n">
        <v>3349.44</v>
      </c>
      <c r="V1519" s="1" t="n">
        <v>58.36</v>
      </c>
      <c r="W1519" s="1" t="s">
        <v>39</v>
      </c>
      <c r="X1519" s="1" t="n">
        <v>4.1</v>
      </c>
      <c r="Y1519" s="1" t="s">
        <v>40</v>
      </c>
      <c r="Z1519" s="1" t="n">
        <v>0</v>
      </c>
      <c r="AA1519" s="1" t="str">
        <f aca="false">TRIM(PROPER(F1519))</f>
        <v>Vadodara</v>
      </c>
      <c r="AB1519" s="1" t="str">
        <f aca="false">TRIM(PROPER(C1519))</f>
        <v>Byju'S</v>
      </c>
      <c r="AC1519" s="1" t="str">
        <f aca="false">IF(O1519=0,"No Discount",IF(O1519&lt;=15,"Low (1-15%)",IF(O1519&lt;=30,"Medium (16-30%)","High (&gt;30%)")))</f>
        <v>No Discount</v>
      </c>
      <c r="AD1519" s="1" t="str">
        <f aca="false">IF(V1519&lt;0,"Loss Making",IF(V1519&lt;20,"Low Margin","Healthy Margin"))</f>
        <v>Healthy Margin</v>
      </c>
      <c r="AE1519" s="1" t="str">
        <f aca="false">TEXT(DATE(VALUE(RIGHT(B1519,4)),VALUE(MID(B1519,4,2)),VALUE(LEFT(B1519,2))),"MMM-YYYY")</f>
        <v>Jul-2024</v>
      </c>
      <c r="AF1519" s="1" t="n">
        <f aca="false">VALUE(RIGHT(B1519,4))</f>
        <v>2024</v>
      </c>
      <c r="AG1519" s="1" t="str">
        <f aca="false">CHOOSE(ROUNDUP(VALUE(MID(B1519,4,2))/3,0),"Q1","Q2","Q3","Q4")</f>
        <v>Q3</v>
      </c>
    </row>
    <row r="1520" customFormat="false" ht="15" hidden="false" customHeight="true" outlineLevel="0" collapsed="false">
      <c r="A1520" s="1" t="s">
        <v>2331</v>
      </c>
      <c r="B1520" s="1" t="s">
        <v>965</v>
      </c>
      <c r="C1520" s="1" t="s">
        <v>65</v>
      </c>
      <c r="D1520" s="1" t="s">
        <v>80</v>
      </c>
      <c r="E1520" s="1" t="s">
        <v>193</v>
      </c>
      <c r="F1520" s="1" t="s">
        <v>130</v>
      </c>
      <c r="G1520" s="1" t="s">
        <v>47</v>
      </c>
      <c r="H1520" s="1" t="s">
        <v>69</v>
      </c>
      <c r="I1520" s="1" t="s">
        <v>83</v>
      </c>
      <c r="J1520" s="1" t="s">
        <v>77</v>
      </c>
      <c r="K1520" s="1" t="s">
        <v>60</v>
      </c>
      <c r="L1520" s="1" t="s">
        <v>85</v>
      </c>
      <c r="M1520" s="1" t="s">
        <v>38</v>
      </c>
      <c r="N1520" s="1" t="n">
        <v>8999</v>
      </c>
      <c r="O1520" s="1" t="n">
        <v>30</v>
      </c>
      <c r="P1520" s="1" t="n">
        <v>2699.7</v>
      </c>
      <c r="Q1520" s="1" t="n">
        <v>6299.3</v>
      </c>
      <c r="R1520" s="1" t="n">
        <v>1133.87</v>
      </c>
      <c r="S1520" s="1" t="n">
        <v>5165.43</v>
      </c>
      <c r="T1520" s="1" t="n">
        <v>2335.77</v>
      </c>
      <c r="U1520" s="1" t="n">
        <v>2829.66</v>
      </c>
      <c r="V1520" s="1" t="n">
        <v>54.78</v>
      </c>
      <c r="W1520" s="1" t="s">
        <v>39</v>
      </c>
      <c r="Y1520" s="1" t="s">
        <v>40</v>
      </c>
      <c r="Z1520" s="1" t="n">
        <v>0</v>
      </c>
      <c r="AA1520" s="1" t="str">
        <f aca="false">TRIM(PROPER(F1520))</f>
        <v>Bengaluru</v>
      </c>
      <c r="AB1520" s="1" t="str">
        <f aca="false">TRIM(PROPER(C1520))</f>
        <v>Toppr</v>
      </c>
      <c r="AC1520" s="1" t="str">
        <f aca="false">IF(O1520=0,"No Discount",IF(O1520&lt;=15,"Low (1-15%)",IF(O1520&lt;=30,"Medium (16-30%)","High (&gt;30%)")))</f>
        <v>Medium (16-30%)</v>
      </c>
      <c r="AD1520" s="1" t="str">
        <f aca="false">IF(V1520&lt;0,"Loss Making",IF(V1520&lt;20,"Low Margin","Healthy Margin"))</f>
        <v>Healthy Margin</v>
      </c>
      <c r="AE1520" s="1" t="str">
        <f aca="false">TEXT(DATE(VALUE(RIGHT(B1520,4)),VALUE(MID(B1520,4,2)),VALUE(LEFT(B1520,2))),"MMM-YYYY")</f>
        <v>Jan-2023</v>
      </c>
      <c r="AF1520" s="1" t="n">
        <f aca="false">VALUE(RIGHT(B1520,4))</f>
        <v>2023</v>
      </c>
      <c r="AG1520" s="1" t="str">
        <f aca="false">CHOOSE(ROUNDUP(VALUE(MID(B1520,4,2))/3,0),"Q1","Q2","Q3","Q4")</f>
        <v>Q1</v>
      </c>
    </row>
    <row r="1521" customFormat="false" ht="15" hidden="false" customHeight="true" outlineLevel="0" collapsed="false">
      <c r="A1521" s="1" t="s">
        <v>2332</v>
      </c>
      <c r="B1521" s="1" t="s">
        <v>344</v>
      </c>
      <c r="C1521" s="1" t="s">
        <v>264</v>
      </c>
      <c r="D1521" s="1" t="s">
        <v>44</v>
      </c>
      <c r="E1521" s="1" t="s">
        <v>45</v>
      </c>
      <c r="F1521" s="1" t="s">
        <v>244</v>
      </c>
      <c r="G1521" s="1" t="s">
        <v>97</v>
      </c>
      <c r="H1521" s="1" t="s">
        <v>57</v>
      </c>
      <c r="I1521" s="1" t="s">
        <v>83</v>
      </c>
      <c r="J1521" s="1" t="s">
        <v>35</v>
      </c>
      <c r="K1521" s="1" t="s">
        <v>90</v>
      </c>
      <c r="L1521" s="1" t="s">
        <v>136</v>
      </c>
      <c r="M1521" s="1" t="s">
        <v>50</v>
      </c>
      <c r="N1521" s="1" t="n">
        <v>11999</v>
      </c>
      <c r="O1521" s="1" t="n">
        <v>10</v>
      </c>
      <c r="P1521" s="1" t="n">
        <v>1199.9</v>
      </c>
      <c r="Q1521" s="1" t="n">
        <v>10799.1</v>
      </c>
      <c r="R1521" s="1" t="n">
        <v>1943.84</v>
      </c>
      <c r="S1521" s="1" t="n">
        <v>8855.26</v>
      </c>
      <c r="T1521" s="1" t="n">
        <v>4483.47</v>
      </c>
      <c r="U1521" s="1" t="n">
        <v>4371.79</v>
      </c>
      <c r="V1521" s="1" t="n">
        <v>49.37</v>
      </c>
      <c r="W1521" s="1" t="s">
        <v>39</v>
      </c>
      <c r="X1521" s="1" t="n">
        <v>2.9</v>
      </c>
      <c r="Y1521" s="1" t="s">
        <v>40</v>
      </c>
      <c r="Z1521" s="1" t="n">
        <v>0</v>
      </c>
      <c r="AA1521" s="1" t="str">
        <f aca="false">TRIM(PROPER(F1521))</f>
        <v>Nagpur</v>
      </c>
      <c r="AB1521" s="1" t="str">
        <f aca="false">TRIM(PROPER(C1521))</f>
        <v>Unacademy</v>
      </c>
      <c r="AC1521" s="1" t="str">
        <f aca="false">IF(O1521=0,"No Discount",IF(O1521&lt;=15,"Low (1-15%)",IF(O1521&lt;=30,"Medium (16-30%)","High (&gt;30%)")))</f>
        <v>Low (1-15%)</v>
      </c>
      <c r="AD1521" s="1" t="str">
        <f aca="false">IF(V1521&lt;0,"Loss Making",IF(V1521&lt;20,"Low Margin","Healthy Margin"))</f>
        <v>Healthy Margin</v>
      </c>
      <c r="AE1521" s="1" t="str">
        <f aca="false">TEXT(DATE(VALUE(RIGHT(B1521,4)),VALUE(MID(B1521,4,2)),VALUE(LEFT(B1521,2))),"MMM-YYYY")</f>
        <v>Dec-2024</v>
      </c>
      <c r="AF1521" s="1" t="n">
        <f aca="false">VALUE(RIGHT(B1521,4))</f>
        <v>2024</v>
      </c>
      <c r="AG1521" s="1" t="str">
        <f aca="false">CHOOSE(ROUNDUP(VALUE(MID(B1521,4,2))/3,0),"Q1","Q2","Q3","Q4")</f>
        <v>Q4</v>
      </c>
    </row>
    <row r="1522" customFormat="false" ht="15" hidden="false" customHeight="true" outlineLevel="0" collapsed="false">
      <c r="A1522" s="1" t="s">
        <v>2333</v>
      </c>
      <c r="B1522" s="1" t="s">
        <v>1492</v>
      </c>
      <c r="C1522" s="1" t="s">
        <v>128</v>
      </c>
      <c r="D1522" s="1" t="s">
        <v>94</v>
      </c>
      <c r="E1522" s="1" t="s">
        <v>95</v>
      </c>
      <c r="F1522" s="1" t="s">
        <v>187</v>
      </c>
      <c r="G1522" s="1" t="s">
        <v>97</v>
      </c>
      <c r="H1522" s="1" t="s">
        <v>69</v>
      </c>
      <c r="I1522" s="1" t="s">
        <v>83</v>
      </c>
      <c r="J1522" s="1" t="s">
        <v>70</v>
      </c>
      <c r="K1522" s="1" t="s">
        <v>60</v>
      </c>
      <c r="L1522" s="1" t="s">
        <v>113</v>
      </c>
      <c r="M1522" s="1" t="s">
        <v>38</v>
      </c>
      <c r="N1522" s="1" t="n">
        <v>6999</v>
      </c>
      <c r="O1522" s="1" t="n">
        <v>40</v>
      </c>
      <c r="P1522" s="1" t="n">
        <v>2799.6</v>
      </c>
      <c r="Q1522" s="1" t="n">
        <v>4199.4</v>
      </c>
      <c r="R1522" s="1" t="n">
        <v>755.89</v>
      </c>
      <c r="S1522" s="1" t="n">
        <v>3443.51</v>
      </c>
      <c r="T1522" s="1" t="n">
        <v>2162.44</v>
      </c>
      <c r="U1522" s="1" t="n">
        <v>1281.07</v>
      </c>
      <c r="V1522" s="1" t="n">
        <v>37.2</v>
      </c>
      <c r="W1522" s="1" t="s">
        <v>40</v>
      </c>
      <c r="Y1522" s="1" t="s">
        <v>40</v>
      </c>
      <c r="Z1522" s="1" t="n">
        <v>0</v>
      </c>
      <c r="AA1522" s="1" t="str">
        <f aca="false">TRIM(PROPER(F1522))</f>
        <v>Mumbai</v>
      </c>
      <c r="AB1522" s="1" t="str">
        <f aca="false">TRIM(PROPER(C1522))</f>
        <v>Great Learning</v>
      </c>
      <c r="AC1522" s="1" t="str">
        <f aca="false">IF(O1522=0,"No Discount",IF(O1522&lt;=15,"Low (1-15%)",IF(O1522&lt;=30,"Medium (16-30%)","High (&gt;30%)")))</f>
        <v>High (&gt;30%)</v>
      </c>
      <c r="AD1522" s="1" t="str">
        <f aca="false">IF(V1522&lt;0,"Loss Making",IF(V1522&lt;20,"Low Margin","Healthy Margin"))</f>
        <v>Healthy Margin</v>
      </c>
      <c r="AE1522" s="1" t="str">
        <f aca="false">TEXT(DATE(VALUE(RIGHT(B1522,4)),VALUE(MID(B1522,4,2)),VALUE(LEFT(B1522,2))),"MMM-YYYY")</f>
        <v>Sep-2023</v>
      </c>
      <c r="AF1522" s="1" t="n">
        <f aca="false">VALUE(RIGHT(B1522,4))</f>
        <v>2023</v>
      </c>
      <c r="AG1522" s="1" t="str">
        <f aca="false">CHOOSE(ROUNDUP(VALUE(MID(B1522,4,2))/3,0),"Q1","Q2","Q3","Q4")</f>
        <v>Q3</v>
      </c>
    </row>
    <row r="1523" customFormat="false" ht="15" hidden="false" customHeight="true" outlineLevel="0" collapsed="false">
      <c r="A1523" s="1" t="s">
        <v>2334</v>
      </c>
      <c r="B1523" s="1" t="s">
        <v>1234</v>
      </c>
      <c r="C1523" s="1" t="s">
        <v>119</v>
      </c>
      <c r="D1523" s="1" t="s">
        <v>80</v>
      </c>
      <c r="E1523" s="1" t="s">
        <v>81</v>
      </c>
      <c r="F1523" s="1" t="s">
        <v>205</v>
      </c>
      <c r="G1523" s="1" t="s">
        <v>56</v>
      </c>
      <c r="H1523" s="1" t="s">
        <v>69</v>
      </c>
      <c r="I1523" s="1" t="s">
        <v>83</v>
      </c>
      <c r="J1523" s="1" t="s">
        <v>70</v>
      </c>
      <c r="K1523" s="1" t="s">
        <v>84</v>
      </c>
      <c r="L1523" s="1" t="s">
        <v>85</v>
      </c>
      <c r="M1523" s="1" t="s">
        <v>50</v>
      </c>
      <c r="N1523" s="1" t="n">
        <v>12999</v>
      </c>
      <c r="O1523" s="1" t="n">
        <v>30</v>
      </c>
      <c r="P1523" s="1" t="n">
        <v>3899.7</v>
      </c>
      <c r="Q1523" s="1" t="n">
        <v>9099.3</v>
      </c>
      <c r="R1523" s="1" t="n">
        <v>1637.87</v>
      </c>
      <c r="S1523" s="1" t="n">
        <v>7461.43</v>
      </c>
      <c r="T1523" s="1" t="n">
        <v>3105.62</v>
      </c>
      <c r="U1523" s="1" t="n">
        <v>4355.81</v>
      </c>
      <c r="V1523" s="1" t="n">
        <v>58.38</v>
      </c>
      <c r="W1523" s="1" t="s">
        <v>40</v>
      </c>
      <c r="Y1523" s="1" t="s">
        <v>40</v>
      </c>
      <c r="Z1523" s="1" t="n">
        <v>1</v>
      </c>
      <c r="AA1523" s="1" t="str">
        <f aca="false">TRIM(PROPER(F1523))</f>
        <v>New Delhi</v>
      </c>
      <c r="AB1523" s="1" t="str">
        <f aca="false">TRIM(PROPER(C1523))</f>
        <v>Simplilearn</v>
      </c>
      <c r="AC1523" s="1" t="str">
        <f aca="false">IF(O1523=0,"No Discount",IF(O1523&lt;=15,"Low (1-15%)",IF(O1523&lt;=30,"Medium (16-30%)","High (&gt;30%)")))</f>
        <v>Medium (16-30%)</v>
      </c>
      <c r="AD1523" s="1" t="str">
        <f aca="false">IF(V1523&lt;0,"Loss Making",IF(V1523&lt;20,"Low Margin","Healthy Margin"))</f>
        <v>Healthy Margin</v>
      </c>
      <c r="AE1523" s="1" t="str">
        <f aca="false">TEXT(DATE(VALUE(RIGHT(B1523,4)),VALUE(MID(B1523,4,2)),VALUE(LEFT(B1523,2))),"MMM-YYYY")</f>
        <v>Feb-2024</v>
      </c>
      <c r="AF1523" s="1" t="n">
        <f aca="false">VALUE(RIGHT(B1523,4))</f>
        <v>2024</v>
      </c>
      <c r="AG1523" s="1" t="str">
        <f aca="false">CHOOSE(ROUNDUP(VALUE(MID(B1523,4,2))/3,0),"Q1","Q2","Q3","Q4")</f>
        <v>Q1</v>
      </c>
    </row>
    <row r="1524" customFormat="false" ht="15" hidden="false" customHeight="true" outlineLevel="0" collapsed="false">
      <c r="A1524" s="1" t="s">
        <v>2335</v>
      </c>
      <c r="B1524" s="1" t="s">
        <v>1318</v>
      </c>
      <c r="C1524" s="1" t="s">
        <v>74</v>
      </c>
      <c r="D1524" s="1" t="s">
        <v>123</v>
      </c>
      <c r="E1524" s="1" t="s">
        <v>124</v>
      </c>
      <c r="F1524" s="1" t="s">
        <v>187</v>
      </c>
      <c r="G1524" s="1" t="s">
        <v>97</v>
      </c>
      <c r="H1524" s="1" t="s">
        <v>69</v>
      </c>
      <c r="I1524" s="1" t="s">
        <v>58</v>
      </c>
      <c r="J1524" s="1" t="s">
        <v>70</v>
      </c>
      <c r="K1524" s="1" t="s">
        <v>104</v>
      </c>
      <c r="L1524" s="1" t="s">
        <v>85</v>
      </c>
      <c r="M1524" s="1" t="s">
        <v>62</v>
      </c>
      <c r="N1524" s="1" t="n">
        <v>4999</v>
      </c>
      <c r="O1524" s="1" t="n">
        <v>50</v>
      </c>
      <c r="P1524" s="1" t="n">
        <v>2499.5</v>
      </c>
      <c r="Q1524" s="1" t="n">
        <v>2499.5</v>
      </c>
      <c r="R1524" s="1" t="n">
        <v>449.91</v>
      </c>
      <c r="S1524" s="1" t="n">
        <v>2049.59</v>
      </c>
      <c r="T1524" s="1" t="n">
        <v>897.54</v>
      </c>
      <c r="U1524" s="1" t="n">
        <v>1152.05</v>
      </c>
      <c r="V1524" s="1" t="n">
        <v>56.21</v>
      </c>
      <c r="W1524" s="1" t="s">
        <v>39</v>
      </c>
      <c r="X1524" s="1" t="n">
        <v>3.9</v>
      </c>
      <c r="Y1524" s="1" t="s">
        <v>40</v>
      </c>
      <c r="Z1524" s="1" t="n">
        <v>0</v>
      </c>
      <c r="AA1524" s="1" t="str">
        <f aca="false">TRIM(PROPER(F1524))</f>
        <v>Mumbai</v>
      </c>
      <c r="AB1524" s="1" t="str">
        <f aca="false">TRIM(PROPER(C1524))</f>
        <v>Vedantu</v>
      </c>
      <c r="AC1524" s="1" t="str">
        <f aca="false">IF(O1524=0,"No Discount",IF(O1524&lt;=15,"Low (1-15%)",IF(O1524&lt;=30,"Medium (16-30%)","High (&gt;30%)")))</f>
        <v>High (&gt;30%)</v>
      </c>
      <c r="AD1524" s="1" t="str">
        <f aca="false">IF(V1524&lt;0,"Loss Making",IF(V1524&lt;20,"Low Margin","Healthy Margin"))</f>
        <v>Healthy Margin</v>
      </c>
      <c r="AE1524" s="1" t="str">
        <f aca="false">TEXT(DATE(VALUE(RIGHT(B1524,4)),VALUE(MID(B1524,4,2)),VALUE(LEFT(B1524,2))),"MMM-YYYY")</f>
        <v>Mar-2024</v>
      </c>
      <c r="AF1524" s="1" t="n">
        <f aca="false">VALUE(RIGHT(B1524,4))</f>
        <v>2024</v>
      </c>
      <c r="AG1524" s="1" t="str">
        <f aca="false">CHOOSE(ROUNDUP(VALUE(MID(B1524,4,2))/3,0),"Q1","Q2","Q3","Q4")</f>
        <v>Q1</v>
      </c>
    </row>
    <row r="1525" customFormat="false" ht="15" hidden="false" customHeight="true" outlineLevel="0" collapsed="false">
      <c r="A1525" s="1" t="s">
        <v>2336</v>
      </c>
      <c r="B1525" s="1" t="s">
        <v>1606</v>
      </c>
      <c r="C1525" s="1" t="s">
        <v>139</v>
      </c>
      <c r="D1525" s="1" t="s">
        <v>29</v>
      </c>
      <c r="E1525" s="1" t="s">
        <v>305</v>
      </c>
      <c r="F1525" s="1" t="s">
        <v>153</v>
      </c>
      <c r="G1525" s="1" t="s">
        <v>76</v>
      </c>
      <c r="H1525" s="1" t="s">
        <v>33</v>
      </c>
      <c r="I1525" s="1" t="s">
        <v>83</v>
      </c>
      <c r="J1525" s="1" t="s">
        <v>77</v>
      </c>
      <c r="K1525" s="1" t="s">
        <v>60</v>
      </c>
      <c r="L1525" s="1" t="s">
        <v>85</v>
      </c>
      <c r="M1525" s="1" t="s">
        <v>62</v>
      </c>
      <c r="N1525" s="1" t="n">
        <v>24999</v>
      </c>
      <c r="O1525" s="1" t="n">
        <v>0</v>
      </c>
      <c r="P1525" s="1" t="n">
        <v>0</v>
      </c>
      <c r="Q1525" s="1" t="n">
        <v>24999</v>
      </c>
      <c r="R1525" s="1" t="n">
        <v>4499.82</v>
      </c>
      <c r="S1525" s="1" t="n">
        <v>20499.18</v>
      </c>
      <c r="T1525" s="1" t="n">
        <v>8581.45</v>
      </c>
      <c r="U1525" s="1" t="n">
        <v>11917.73</v>
      </c>
      <c r="V1525" s="1" t="n">
        <v>58.14</v>
      </c>
      <c r="W1525" s="1" t="s">
        <v>40</v>
      </c>
      <c r="Y1525" s="1" t="s">
        <v>40</v>
      </c>
      <c r="Z1525" s="1" t="n">
        <v>0</v>
      </c>
      <c r="AA1525" s="1" t="str">
        <f aca="false">TRIM(PROPER(F1525))</f>
        <v>Howrah</v>
      </c>
      <c r="AB1525" s="1" t="str">
        <f aca="false">TRIM(PROPER(C1525))</f>
        <v>Extramarks</v>
      </c>
      <c r="AC1525" s="1" t="str">
        <f aca="false">IF(O1525=0,"No Discount",IF(O1525&lt;=15,"Low (1-15%)",IF(O1525&lt;=30,"Medium (16-30%)","High (&gt;30%)")))</f>
        <v>No Discount</v>
      </c>
      <c r="AD1525" s="1" t="str">
        <f aca="false">IF(V1525&lt;0,"Loss Making",IF(V1525&lt;20,"Low Margin","Healthy Margin"))</f>
        <v>Healthy Margin</v>
      </c>
      <c r="AE1525" s="1" t="str">
        <f aca="false">TEXT(DATE(VALUE(RIGHT(B1525,4)),VALUE(MID(B1525,4,2)),VALUE(LEFT(B1525,2))),"MMM-YYYY")</f>
        <v>May-2024</v>
      </c>
      <c r="AF1525" s="1" t="n">
        <f aca="false">VALUE(RIGHT(B1525,4))</f>
        <v>2024</v>
      </c>
      <c r="AG1525" s="1" t="str">
        <f aca="false">CHOOSE(ROUNDUP(VALUE(MID(B1525,4,2))/3,0),"Q1","Q2","Q3","Q4")</f>
        <v>Q2</v>
      </c>
    </row>
    <row r="1526" customFormat="false" ht="15" hidden="false" customHeight="true" outlineLevel="0" collapsed="false">
      <c r="A1526" s="1" t="s">
        <v>2337</v>
      </c>
      <c r="B1526" s="1" t="s">
        <v>522</v>
      </c>
      <c r="C1526" s="1" t="s">
        <v>88</v>
      </c>
      <c r="D1526" s="1" t="s">
        <v>80</v>
      </c>
      <c r="E1526" s="1" t="s">
        <v>190</v>
      </c>
      <c r="F1526" s="1" t="s">
        <v>120</v>
      </c>
      <c r="G1526" s="1" t="s">
        <v>47</v>
      </c>
      <c r="H1526" s="1" t="s">
        <v>57</v>
      </c>
      <c r="I1526" s="1" t="s">
        <v>58</v>
      </c>
      <c r="J1526" s="1" t="s">
        <v>77</v>
      </c>
      <c r="K1526" s="1" t="s">
        <v>104</v>
      </c>
      <c r="L1526" s="1" t="s">
        <v>61</v>
      </c>
      <c r="M1526" s="1" t="s">
        <v>62</v>
      </c>
      <c r="N1526" s="1" t="n">
        <v>15999</v>
      </c>
      <c r="O1526" s="1" t="n">
        <v>10</v>
      </c>
      <c r="P1526" s="1" t="n">
        <v>1599.9</v>
      </c>
      <c r="Q1526" s="1" t="n">
        <v>14399.1</v>
      </c>
      <c r="R1526" s="1" t="n">
        <v>2591.84</v>
      </c>
      <c r="S1526" s="1" t="n">
        <v>11807.26</v>
      </c>
      <c r="T1526" s="1" t="n">
        <v>5057.85</v>
      </c>
      <c r="U1526" s="1" t="n">
        <v>6749.41</v>
      </c>
      <c r="V1526" s="1" t="n">
        <v>57.16</v>
      </c>
      <c r="W1526" s="1" t="s">
        <v>40</v>
      </c>
      <c r="Y1526" s="1" t="s">
        <v>40</v>
      </c>
      <c r="Z1526" s="1" t="n">
        <v>1</v>
      </c>
      <c r="AA1526" s="1" t="str">
        <f aca="false">TRIM(PROPER(F1526))</f>
        <v>Mysuru</v>
      </c>
      <c r="AB1526" s="1" t="str">
        <f aca="false">TRIM(PROPER(C1526))</f>
        <v>Byju'S</v>
      </c>
      <c r="AC1526" s="1" t="str">
        <f aca="false">IF(O1526=0,"No Discount",IF(O1526&lt;=15,"Low (1-15%)",IF(O1526&lt;=30,"Medium (16-30%)","High (&gt;30%)")))</f>
        <v>Low (1-15%)</v>
      </c>
      <c r="AD1526" s="1" t="str">
        <f aca="false">IF(V1526&lt;0,"Loss Making",IF(V1526&lt;20,"Low Margin","Healthy Margin"))</f>
        <v>Healthy Margin</v>
      </c>
      <c r="AE1526" s="1" t="str">
        <f aca="false">TEXT(DATE(VALUE(RIGHT(B1526,4)),VALUE(MID(B1526,4,2)),VALUE(LEFT(B1526,2))),"MMM-YYYY")</f>
        <v>Dec-2023</v>
      </c>
      <c r="AF1526" s="1" t="n">
        <f aca="false">VALUE(RIGHT(B1526,4))</f>
        <v>2023</v>
      </c>
      <c r="AG1526" s="1" t="str">
        <f aca="false">CHOOSE(ROUNDUP(VALUE(MID(B1526,4,2))/3,0),"Q1","Q2","Q3","Q4")</f>
        <v>Q4</v>
      </c>
    </row>
    <row r="1527" customFormat="false" ht="15" hidden="false" customHeight="true" outlineLevel="0" collapsed="false">
      <c r="A1527" s="1" t="s">
        <v>2338</v>
      </c>
      <c r="B1527" s="1" t="s">
        <v>762</v>
      </c>
      <c r="C1527" s="1" t="s">
        <v>93</v>
      </c>
      <c r="D1527" s="1" t="s">
        <v>29</v>
      </c>
      <c r="E1527" s="1" t="s">
        <v>30</v>
      </c>
      <c r="F1527" s="1" t="s">
        <v>31</v>
      </c>
      <c r="G1527" s="1" t="s">
        <v>32</v>
      </c>
      <c r="H1527" s="1" t="s">
        <v>33</v>
      </c>
      <c r="I1527" s="1" t="s">
        <v>34</v>
      </c>
      <c r="J1527" s="1" t="s">
        <v>77</v>
      </c>
      <c r="K1527" s="1" t="s">
        <v>84</v>
      </c>
      <c r="L1527" s="1" t="s">
        <v>49</v>
      </c>
      <c r="M1527" s="1" t="s">
        <v>38</v>
      </c>
      <c r="N1527" s="1" t="n">
        <v>7999</v>
      </c>
      <c r="O1527" s="1" t="n">
        <v>0</v>
      </c>
      <c r="P1527" s="1" t="n">
        <v>0</v>
      </c>
      <c r="Q1527" s="1" t="n">
        <v>7999</v>
      </c>
      <c r="R1527" s="1" t="n">
        <v>1439.82</v>
      </c>
      <c r="S1527" s="1" t="n">
        <v>6559.18</v>
      </c>
      <c r="T1527" s="1" t="n">
        <v>3437.26</v>
      </c>
      <c r="U1527" s="1" t="n">
        <v>3121.92</v>
      </c>
      <c r="V1527" s="1" t="n">
        <v>47.6</v>
      </c>
      <c r="W1527" s="1" t="s">
        <v>40</v>
      </c>
      <c r="Y1527" s="1" t="s">
        <v>39</v>
      </c>
      <c r="Z1527" s="1" t="n">
        <v>0</v>
      </c>
      <c r="AA1527" s="1" t="str">
        <f aca="false">TRIM(PROPER(F1527))</f>
        <v>Jodhpur</v>
      </c>
      <c r="AB1527" s="1" t="str">
        <f aca="false">TRIM(PROPER(C1527))</f>
        <v>Upgrad</v>
      </c>
      <c r="AC1527" s="1" t="str">
        <f aca="false">IF(O1527=0,"No Discount",IF(O1527&lt;=15,"Low (1-15%)",IF(O1527&lt;=30,"Medium (16-30%)","High (&gt;30%)")))</f>
        <v>No Discount</v>
      </c>
      <c r="AD1527" s="1" t="str">
        <f aca="false">IF(V1527&lt;0,"Loss Making",IF(V1527&lt;20,"Low Margin","Healthy Margin"))</f>
        <v>Healthy Margin</v>
      </c>
      <c r="AE1527" s="1" t="str">
        <f aca="false">TEXT(DATE(VALUE(RIGHT(B1527,4)),VALUE(MID(B1527,4,2)),VALUE(LEFT(B1527,2))),"MMM-YYYY")</f>
        <v>Aug-2023</v>
      </c>
      <c r="AF1527" s="1" t="n">
        <f aca="false">VALUE(RIGHT(B1527,4))</f>
        <v>2023</v>
      </c>
      <c r="AG1527" s="1" t="str">
        <f aca="false">CHOOSE(ROUNDUP(VALUE(MID(B1527,4,2))/3,0),"Q1","Q2","Q3","Q4")</f>
        <v>Q3</v>
      </c>
    </row>
    <row r="1528" customFormat="false" ht="15" hidden="false" customHeight="true" outlineLevel="0" collapsed="false">
      <c r="A1528" s="1" t="s">
        <v>2339</v>
      </c>
      <c r="B1528" s="1" t="s">
        <v>171</v>
      </c>
      <c r="C1528" s="1" t="s">
        <v>249</v>
      </c>
      <c r="D1528" s="1" t="s">
        <v>44</v>
      </c>
      <c r="E1528" s="1" t="s">
        <v>221</v>
      </c>
      <c r="F1528" s="1" t="s">
        <v>184</v>
      </c>
      <c r="G1528" s="1" t="s">
        <v>56</v>
      </c>
      <c r="H1528" s="1" t="s">
        <v>57</v>
      </c>
      <c r="I1528" s="1" t="s">
        <v>34</v>
      </c>
      <c r="J1528" s="1" t="s">
        <v>35</v>
      </c>
      <c r="K1528" s="1" t="s">
        <v>60</v>
      </c>
      <c r="L1528" s="1" t="s">
        <v>136</v>
      </c>
      <c r="M1528" s="1" t="s">
        <v>38</v>
      </c>
      <c r="N1528" s="1" t="n">
        <v>16999</v>
      </c>
      <c r="O1528" s="1" t="n">
        <v>10</v>
      </c>
      <c r="P1528" s="1" t="n">
        <v>1699.9</v>
      </c>
      <c r="Q1528" s="1" t="n">
        <v>15299.1</v>
      </c>
      <c r="R1528" s="1" t="n">
        <v>2753.84</v>
      </c>
      <c r="S1528" s="1" t="n">
        <v>12545.26</v>
      </c>
      <c r="T1528" s="1" t="n">
        <v>4788.24</v>
      </c>
      <c r="U1528" s="1" t="n">
        <v>7757.02</v>
      </c>
      <c r="V1528" s="1" t="n">
        <v>61.83</v>
      </c>
      <c r="W1528" s="1" t="s">
        <v>39</v>
      </c>
      <c r="X1528" s="1" t="n">
        <v>3.4</v>
      </c>
      <c r="Y1528" s="1" t="s">
        <v>40</v>
      </c>
      <c r="Z1528" s="1" t="n">
        <v>1</v>
      </c>
      <c r="AA1528" s="1" t="str">
        <f aca="false">TRIM(PROPER(F1528))</f>
        <v>Faridabad</v>
      </c>
      <c r="AB1528" s="1" t="str">
        <f aca="false">TRIM(PROPER(C1528))</f>
        <v>Whitehat Jr</v>
      </c>
      <c r="AC1528" s="1" t="str">
        <f aca="false">IF(O1528=0,"No Discount",IF(O1528&lt;=15,"Low (1-15%)",IF(O1528&lt;=30,"Medium (16-30%)","High (&gt;30%)")))</f>
        <v>Low (1-15%)</v>
      </c>
      <c r="AD1528" s="1" t="str">
        <f aca="false">IF(V1528&lt;0,"Loss Making",IF(V1528&lt;20,"Low Margin","Healthy Margin"))</f>
        <v>Healthy Margin</v>
      </c>
      <c r="AE1528" s="1" t="str">
        <f aca="false">TEXT(DATE(VALUE(RIGHT(B1528,4)),VALUE(MID(B1528,4,2)),VALUE(LEFT(B1528,2))),"MMM-YYYY")</f>
        <v>May-2023</v>
      </c>
      <c r="AF1528" s="1" t="n">
        <f aca="false">VALUE(RIGHT(B1528,4))</f>
        <v>2023</v>
      </c>
      <c r="AG1528" s="1" t="str">
        <f aca="false">CHOOSE(ROUNDUP(VALUE(MID(B1528,4,2))/3,0),"Q1","Q2","Q3","Q4")</f>
        <v>Q2</v>
      </c>
    </row>
    <row r="1529" customFormat="false" ht="15" hidden="false" customHeight="true" outlineLevel="0" collapsed="false">
      <c r="A1529" s="1" t="s">
        <v>2340</v>
      </c>
      <c r="B1529" s="1" t="s">
        <v>2341</v>
      </c>
      <c r="C1529" s="1" t="s">
        <v>134</v>
      </c>
      <c r="D1529" s="1" t="s">
        <v>44</v>
      </c>
      <c r="E1529" s="1" t="s">
        <v>45</v>
      </c>
      <c r="F1529" s="1" t="s">
        <v>211</v>
      </c>
      <c r="G1529" s="1" t="s">
        <v>56</v>
      </c>
      <c r="H1529" s="1" t="s">
        <v>69</v>
      </c>
      <c r="I1529" s="1" t="s">
        <v>83</v>
      </c>
      <c r="J1529" s="1" t="s">
        <v>35</v>
      </c>
      <c r="K1529" s="1" t="s">
        <v>71</v>
      </c>
      <c r="L1529" s="1" t="s">
        <v>113</v>
      </c>
      <c r="M1529" s="1" t="s">
        <v>38</v>
      </c>
      <c r="N1529" s="1" t="n">
        <v>11999</v>
      </c>
      <c r="O1529" s="1" t="n">
        <v>15</v>
      </c>
      <c r="P1529" s="1" t="n">
        <v>1799.85</v>
      </c>
      <c r="Q1529" s="1" t="n">
        <v>10199.15</v>
      </c>
      <c r="R1529" s="1" t="n">
        <v>1835.85</v>
      </c>
      <c r="S1529" s="1" t="n">
        <v>8363.3</v>
      </c>
      <c r="T1529" s="1" t="n">
        <v>2883.1</v>
      </c>
      <c r="U1529" s="1" t="n">
        <v>5480.2</v>
      </c>
      <c r="V1529" s="1" t="n">
        <v>65.53</v>
      </c>
      <c r="W1529" s="1" t="s">
        <v>40</v>
      </c>
      <c r="Y1529" s="1" t="s">
        <v>40</v>
      </c>
      <c r="Z1529" s="1" t="n">
        <v>3</v>
      </c>
      <c r="AA1529" s="1" t="str">
        <f aca="false">TRIM(PROPER(F1529))</f>
        <v>Noida</v>
      </c>
      <c r="AB1529" s="1" t="str">
        <f aca="false">TRIM(PROPER(C1529))</f>
        <v>Doubtnut</v>
      </c>
      <c r="AC1529" s="1" t="str">
        <f aca="false">IF(O1529=0,"No Discount",IF(O1529&lt;=15,"Low (1-15%)",IF(O1529&lt;=30,"Medium (16-30%)","High (&gt;30%)")))</f>
        <v>Low (1-15%)</v>
      </c>
      <c r="AD1529" s="1" t="str">
        <f aca="false">IF(V1529&lt;0,"Loss Making",IF(V1529&lt;20,"Low Margin","Healthy Margin"))</f>
        <v>Healthy Margin</v>
      </c>
      <c r="AE1529" s="1" t="str">
        <f aca="false">TEXT(DATE(VALUE(RIGHT(B1529,4)),VALUE(MID(B1529,4,2)),VALUE(LEFT(B1529,2))),"MMM-YYYY")</f>
        <v>Nov-2024</v>
      </c>
      <c r="AF1529" s="1" t="n">
        <f aca="false">VALUE(RIGHT(B1529,4))</f>
        <v>2024</v>
      </c>
      <c r="AG1529" s="1" t="str">
        <f aca="false">CHOOSE(ROUNDUP(VALUE(MID(B1529,4,2))/3,0),"Q1","Q2","Q3","Q4")</f>
        <v>Q4</v>
      </c>
    </row>
    <row r="1530" customFormat="false" ht="15" hidden="false" customHeight="true" outlineLevel="0" collapsed="false">
      <c r="A1530" s="1" t="s">
        <v>2342</v>
      </c>
      <c r="B1530" s="1" t="s">
        <v>724</v>
      </c>
      <c r="C1530" s="1" t="s">
        <v>264</v>
      </c>
      <c r="D1530" s="1" t="s">
        <v>94</v>
      </c>
      <c r="E1530" s="1" t="s">
        <v>101</v>
      </c>
      <c r="F1530" s="1" t="s">
        <v>211</v>
      </c>
      <c r="G1530" s="1" t="s">
        <v>56</v>
      </c>
      <c r="H1530" s="1" t="s">
        <v>69</v>
      </c>
      <c r="I1530" s="1" t="s">
        <v>58</v>
      </c>
      <c r="J1530" s="1" t="s">
        <v>131</v>
      </c>
      <c r="K1530" s="1" t="s">
        <v>71</v>
      </c>
      <c r="L1530" s="1" t="s">
        <v>61</v>
      </c>
      <c r="M1530" s="1" t="s">
        <v>62</v>
      </c>
      <c r="N1530" s="1" t="n">
        <v>14999</v>
      </c>
      <c r="O1530" s="1" t="n">
        <v>10</v>
      </c>
      <c r="P1530" s="1" t="n">
        <v>1499.9</v>
      </c>
      <c r="Q1530" s="1" t="n">
        <v>13499.1</v>
      </c>
      <c r="R1530" s="1" t="n">
        <v>2429.84</v>
      </c>
      <c r="S1530" s="1" t="n">
        <v>11069.26</v>
      </c>
      <c r="T1530" s="1" t="n">
        <v>4177.49</v>
      </c>
      <c r="U1530" s="1" t="n">
        <v>6891.77</v>
      </c>
      <c r="V1530" s="1" t="n">
        <v>62.26</v>
      </c>
      <c r="W1530" s="1" t="s">
        <v>39</v>
      </c>
      <c r="X1530" s="1" t="n">
        <v>3.3</v>
      </c>
      <c r="Y1530" s="1" t="s">
        <v>40</v>
      </c>
      <c r="Z1530" s="1" t="n">
        <v>0</v>
      </c>
      <c r="AA1530" s="1" t="str">
        <f aca="false">TRIM(PROPER(F1530))</f>
        <v>Noida</v>
      </c>
      <c r="AB1530" s="1" t="str">
        <f aca="false">TRIM(PROPER(C1530))</f>
        <v>Unacademy</v>
      </c>
      <c r="AC1530" s="1" t="str">
        <f aca="false">IF(O1530=0,"No Discount",IF(O1530&lt;=15,"Low (1-15%)",IF(O1530&lt;=30,"Medium (16-30%)","High (&gt;30%)")))</f>
        <v>Low (1-15%)</v>
      </c>
      <c r="AD1530" s="1" t="str">
        <f aca="false">IF(V1530&lt;0,"Loss Making",IF(V1530&lt;20,"Low Margin","Healthy Margin"))</f>
        <v>Healthy Margin</v>
      </c>
      <c r="AE1530" s="1" t="str">
        <f aca="false">TEXT(DATE(VALUE(RIGHT(B1530,4)),VALUE(MID(B1530,4,2)),VALUE(LEFT(B1530,2))),"MMM-YYYY")</f>
        <v>Jan-2024</v>
      </c>
      <c r="AF1530" s="1" t="n">
        <f aca="false">VALUE(RIGHT(B1530,4))</f>
        <v>2024</v>
      </c>
      <c r="AG1530" s="1" t="str">
        <f aca="false">CHOOSE(ROUNDUP(VALUE(MID(B1530,4,2))/3,0),"Q1","Q2","Q3","Q4")</f>
        <v>Q1</v>
      </c>
    </row>
    <row r="1531" customFormat="false" ht="15" hidden="false" customHeight="true" outlineLevel="0" collapsed="false">
      <c r="A1531" s="1" t="s">
        <v>2343</v>
      </c>
      <c r="B1531" s="1" t="s">
        <v>1727</v>
      </c>
      <c r="C1531" s="1" t="s">
        <v>167</v>
      </c>
      <c r="D1531" s="1" t="s">
        <v>143</v>
      </c>
      <c r="E1531" s="1" t="s">
        <v>162</v>
      </c>
      <c r="F1531" s="1" t="s">
        <v>46</v>
      </c>
      <c r="G1531" s="1" t="s">
        <v>47</v>
      </c>
      <c r="H1531" s="1" t="s">
        <v>33</v>
      </c>
      <c r="I1531" s="1" t="s">
        <v>83</v>
      </c>
      <c r="J1531" s="1" t="s">
        <v>59</v>
      </c>
      <c r="K1531" s="1" t="s">
        <v>112</v>
      </c>
      <c r="L1531" s="1" t="s">
        <v>49</v>
      </c>
      <c r="M1531" s="1" t="s">
        <v>62</v>
      </c>
      <c r="N1531" s="1" t="n">
        <v>14999</v>
      </c>
      <c r="O1531" s="1" t="n">
        <v>10</v>
      </c>
      <c r="P1531" s="1" t="n">
        <v>1499.9</v>
      </c>
      <c r="Q1531" s="1" t="n">
        <v>13499.1</v>
      </c>
      <c r="R1531" s="1" t="n">
        <v>2429.84</v>
      </c>
      <c r="S1531" s="1" t="n">
        <v>11069.26</v>
      </c>
      <c r="T1531" s="1" t="n">
        <v>5315.26</v>
      </c>
      <c r="U1531" s="1" t="n">
        <v>5754</v>
      </c>
      <c r="V1531" s="1" t="n">
        <v>51.98</v>
      </c>
      <c r="W1531" s="1" t="s">
        <v>40</v>
      </c>
      <c r="Y1531" s="1" t="s">
        <v>40</v>
      </c>
      <c r="Z1531" s="1" t="n">
        <v>0</v>
      </c>
      <c r="AA1531" s="1" t="str">
        <f aca="false">TRIM(PROPER(F1531))</f>
        <v>Mangaluru</v>
      </c>
      <c r="AB1531" s="1" t="str">
        <f aca="false">TRIM(PROPER(C1531))</f>
        <v>Scaler</v>
      </c>
      <c r="AC1531" s="1" t="str">
        <f aca="false">IF(O1531=0,"No Discount",IF(O1531&lt;=15,"Low (1-15%)",IF(O1531&lt;=30,"Medium (16-30%)","High (&gt;30%)")))</f>
        <v>Low (1-15%)</v>
      </c>
      <c r="AD1531" s="1" t="str">
        <f aca="false">IF(V1531&lt;0,"Loss Making",IF(V1531&lt;20,"Low Margin","Healthy Margin"))</f>
        <v>Healthy Margin</v>
      </c>
      <c r="AE1531" s="1" t="str">
        <f aca="false">TEXT(DATE(VALUE(RIGHT(B1531,4)),VALUE(MID(B1531,4,2)),VALUE(LEFT(B1531,2))),"MMM-YYYY")</f>
        <v>Jun-2024</v>
      </c>
      <c r="AF1531" s="1" t="n">
        <f aca="false">VALUE(RIGHT(B1531,4))</f>
        <v>2024</v>
      </c>
      <c r="AG1531" s="1" t="str">
        <f aca="false">CHOOSE(ROUNDUP(VALUE(MID(B1531,4,2))/3,0),"Q1","Q2","Q3","Q4")</f>
        <v>Q2</v>
      </c>
    </row>
    <row r="1532" customFormat="false" ht="15" hidden="false" customHeight="true" outlineLevel="0" collapsed="false">
      <c r="A1532" s="1" t="s">
        <v>2344</v>
      </c>
      <c r="B1532" s="1" t="s">
        <v>776</v>
      </c>
      <c r="C1532" s="1" t="s">
        <v>178</v>
      </c>
      <c r="D1532" s="1" t="s">
        <v>44</v>
      </c>
      <c r="E1532" s="1" t="s">
        <v>66</v>
      </c>
      <c r="F1532" s="1" t="s">
        <v>140</v>
      </c>
      <c r="G1532" s="1" t="s">
        <v>97</v>
      </c>
      <c r="H1532" s="1" t="s">
        <v>57</v>
      </c>
      <c r="I1532" s="1" t="s">
        <v>58</v>
      </c>
      <c r="J1532" s="1" t="s">
        <v>35</v>
      </c>
      <c r="K1532" s="1" t="s">
        <v>104</v>
      </c>
      <c r="L1532" s="1" t="s">
        <v>113</v>
      </c>
      <c r="M1532" s="1" t="s">
        <v>38</v>
      </c>
      <c r="N1532" s="1" t="n">
        <v>12999</v>
      </c>
      <c r="O1532" s="1" t="n">
        <v>0</v>
      </c>
      <c r="P1532" s="1" t="n">
        <v>0</v>
      </c>
      <c r="Q1532" s="1" t="n">
        <v>12999</v>
      </c>
      <c r="R1532" s="1" t="n">
        <v>2339.82</v>
      </c>
      <c r="S1532" s="1" t="n">
        <v>10659.18</v>
      </c>
      <c r="T1532" s="1" t="n">
        <v>4422.83</v>
      </c>
      <c r="U1532" s="1" t="n">
        <v>6236.35</v>
      </c>
      <c r="V1532" s="1" t="n">
        <v>58.51</v>
      </c>
      <c r="W1532" s="1" t="s">
        <v>39</v>
      </c>
      <c r="X1532" s="1" t="n">
        <v>4</v>
      </c>
      <c r="Y1532" s="1" t="s">
        <v>40</v>
      </c>
      <c r="Z1532" s="1" t="n">
        <v>0</v>
      </c>
      <c r="AA1532" s="1" t="str">
        <f aca="false">TRIM(PROPER(F1532))</f>
        <v>Nashik</v>
      </c>
      <c r="AB1532" s="1" t="str">
        <f aca="false">TRIM(PROPER(C1532))</f>
        <v>Leverage Edu</v>
      </c>
      <c r="AC1532" s="1" t="str">
        <f aca="false">IF(O1532=0,"No Discount",IF(O1532&lt;=15,"Low (1-15%)",IF(O1532&lt;=30,"Medium (16-30%)","High (&gt;30%)")))</f>
        <v>No Discount</v>
      </c>
      <c r="AD1532" s="1" t="str">
        <f aca="false">IF(V1532&lt;0,"Loss Making",IF(V1532&lt;20,"Low Margin","Healthy Margin"))</f>
        <v>Healthy Margin</v>
      </c>
      <c r="AE1532" s="1" t="str">
        <f aca="false">TEXT(DATE(VALUE(RIGHT(B1532,4)),VALUE(MID(B1532,4,2)),VALUE(LEFT(B1532,2))),"MMM-YYYY")</f>
        <v>Mar-2023</v>
      </c>
      <c r="AF1532" s="1" t="n">
        <f aca="false">VALUE(RIGHT(B1532,4))</f>
        <v>2023</v>
      </c>
      <c r="AG1532" s="1" t="str">
        <f aca="false">CHOOSE(ROUNDUP(VALUE(MID(B1532,4,2))/3,0),"Q1","Q2","Q3","Q4")</f>
        <v>Q1</v>
      </c>
    </row>
    <row r="1533" customFormat="false" ht="15" hidden="false" customHeight="true" outlineLevel="0" collapsed="false">
      <c r="A1533" s="1" t="s">
        <v>2345</v>
      </c>
      <c r="B1533" s="1" t="s">
        <v>2346</v>
      </c>
      <c r="C1533" s="1" t="s">
        <v>74</v>
      </c>
      <c r="D1533" s="1" t="s">
        <v>168</v>
      </c>
      <c r="E1533" s="1" t="s">
        <v>328</v>
      </c>
      <c r="F1533" s="1" t="s">
        <v>156</v>
      </c>
      <c r="G1533" s="1" t="s">
        <v>68</v>
      </c>
      <c r="H1533" s="1" t="s">
        <v>57</v>
      </c>
      <c r="I1533" s="1" t="s">
        <v>34</v>
      </c>
      <c r="J1533" s="1" t="s">
        <v>35</v>
      </c>
      <c r="K1533" s="1" t="s">
        <v>36</v>
      </c>
      <c r="L1533" s="1" t="s">
        <v>113</v>
      </c>
      <c r="M1533" s="1" t="s">
        <v>38</v>
      </c>
      <c r="N1533" s="1" t="n">
        <v>8999</v>
      </c>
      <c r="O1533" s="1" t="n">
        <v>5</v>
      </c>
      <c r="P1533" s="1" t="n">
        <v>449.95</v>
      </c>
      <c r="Q1533" s="1" t="n">
        <v>8549.05</v>
      </c>
      <c r="R1533" s="1" t="n">
        <v>1538.83</v>
      </c>
      <c r="S1533" s="1" t="n">
        <v>7010.22</v>
      </c>
      <c r="T1533" s="1" t="n">
        <v>3452.39</v>
      </c>
      <c r="U1533" s="1" t="n">
        <v>3557.83</v>
      </c>
      <c r="V1533" s="1" t="n">
        <v>50.75</v>
      </c>
      <c r="W1533" s="1" t="s">
        <v>40</v>
      </c>
      <c r="Y1533" s="1" t="s">
        <v>39</v>
      </c>
      <c r="Z1533" s="1" t="n">
        <v>1</v>
      </c>
      <c r="AA1533" s="1" t="str">
        <f aca="false">TRIM(PROPER(F1533))</f>
        <v>Surat</v>
      </c>
      <c r="AB1533" s="1" t="str">
        <f aca="false">TRIM(PROPER(C1533))</f>
        <v>Vedantu</v>
      </c>
      <c r="AC1533" s="1" t="str">
        <f aca="false">IF(O1533=0,"No Discount",IF(O1533&lt;=15,"Low (1-15%)",IF(O1533&lt;=30,"Medium (16-30%)","High (&gt;30%)")))</f>
        <v>Low (1-15%)</v>
      </c>
      <c r="AD1533" s="1" t="str">
        <f aca="false">IF(V1533&lt;0,"Loss Making",IF(V1533&lt;20,"Low Margin","Healthy Margin"))</f>
        <v>Healthy Margin</v>
      </c>
      <c r="AE1533" s="1" t="str">
        <f aca="false">TEXT(DATE(VALUE(RIGHT(B1533,4)),VALUE(MID(B1533,4,2)),VALUE(LEFT(B1533,2))),"MMM-YYYY")</f>
        <v>Dec-2023</v>
      </c>
      <c r="AF1533" s="1" t="n">
        <f aca="false">VALUE(RIGHT(B1533,4))</f>
        <v>2023</v>
      </c>
      <c r="AG1533" s="1" t="str">
        <f aca="false">CHOOSE(ROUNDUP(VALUE(MID(B1533,4,2))/3,0),"Q1","Q2","Q3","Q4")</f>
        <v>Q4</v>
      </c>
    </row>
    <row r="1534" customFormat="false" ht="15" hidden="false" customHeight="true" outlineLevel="0" collapsed="false">
      <c r="A1534" s="1" t="s">
        <v>2347</v>
      </c>
      <c r="B1534" s="1" t="s">
        <v>661</v>
      </c>
      <c r="C1534" s="1" t="s">
        <v>88</v>
      </c>
      <c r="D1534" s="1" t="s">
        <v>53</v>
      </c>
      <c r="E1534" s="1" t="s">
        <v>216</v>
      </c>
      <c r="F1534" s="1" t="s">
        <v>194</v>
      </c>
      <c r="G1534" s="1" t="s">
        <v>103</v>
      </c>
      <c r="H1534" s="1" t="s">
        <v>69</v>
      </c>
      <c r="I1534" s="1" t="s">
        <v>83</v>
      </c>
      <c r="J1534" s="1" t="s">
        <v>35</v>
      </c>
      <c r="K1534" s="1" t="s">
        <v>60</v>
      </c>
      <c r="L1534" s="1" t="s">
        <v>136</v>
      </c>
      <c r="M1534" s="1" t="s">
        <v>62</v>
      </c>
      <c r="N1534" s="1" t="n">
        <v>7499</v>
      </c>
      <c r="O1534" s="1" t="n">
        <v>0</v>
      </c>
      <c r="P1534" s="1" t="n">
        <v>0</v>
      </c>
      <c r="Q1534" s="1" t="n">
        <v>7499</v>
      </c>
      <c r="R1534" s="1" t="n">
        <v>1349.82</v>
      </c>
      <c r="S1534" s="1" t="n">
        <v>6149.18</v>
      </c>
      <c r="T1534" s="1" t="n">
        <v>2705.86</v>
      </c>
      <c r="U1534" s="1" t="n">
        <v>3443.32</v>
      </c>
      <c r="V1534" s="1" t="n">
        <v>56</v>
      </c>
      <c r="W1534" s="1" t="s">
        <v>39</v>
      </c>
      <c r="X1534" s="1" t="n">
        <v>4</v>
      </c>
      <c r="Y1534" s="1" t="s">
        <v>39</v>
      </c>
      <c r="Z1534" s="1" t="n">
        <v>1</v>
      </c>
      <c r="AA1534" s="1" t="str">
        <f aca="false">TRIM(PROPER(F1534))</f>
        <v>Hyderabad</v>
      </c>
      <c r="AB1534" s="1" t="str">
        <f aca="false">TRIM(PROPER(C1534))</f>
        <v>Byju'S</v>
      </c>
      <c r="AC1534" s="1" t="str">
        <f aca="false">IF(O1534=0,"No Discount",IF(O1534&lt;=15,"Low (1-15%)",IF(O1534&lt;=30,"Medium (16-30%)","High (&gt;30%)")))</f>
        <v>No Discount</v>
      </c>
      <c r="AD1534" s="1" t="str">
        <f aca="false">IF(V1534&lt;0,"Loss Making",IF(V1534&lt;20,"Low Margin","Healthy Margin"))</f>
        <v>Healthy Margin</v>
      </c>
      <c r="AE1534" s="1" t="str">
        <f aca="false">TEXT(DATE(VALUE(RIGHT(B1534,4)),VALUE(MID(B1534,4,2)),VALUE(LEFT(B1534,2))),"MMM-YYYY")</f>
        <v>Apr-2023</v>
      </c>
      <c r="AF1534" s="1" t="n">
        <f aca="false">VALUE(RIGHT(B1534,4))</f>
        <v>2023</v>
      </c>
      <c r="AG1534" s="1" t="str">
        <f aca="false">CHOOSE(ROUNDUP(VALUE(MID(B1534,4,2))/3,0),"Q1","Q2","Q3","Q4")</f>
        <v>Q2</v>
      </c>
    </row>
    <row r="1535" customFormat="false" ht="15" hidden="false" customHeight="true" outlineLevel="0" collapsed="false">
      <c r="A1535" s="1" t="s">
        <v>2348</v>
      </c>
      <c r="B1535" s="1" t="s">
        <v>1553</v>
      </c>
      <c r="C1535" s="1" t="s">
        <v>65</v>
      </c>
      <c r="D1535" s="1" t="s">
        <v>94</v>
      </c>
      <c r="E1535" s="1" t="s">
        <v>101</v>
      </c>
      <c r="F1535" s="1" t="s">
        <v>205</v>
      </c>
      <c r="G1535" s="1" t="s">
        <v>56</v>
      </c>
      <c r="H1535" s="1" t="s">
        <v>69</v>
      </c>
      <c r="I1535" s="1" t="s">
        <v>58</v>
      </c>
      <c r="J1535" s="1" t="s">
        <v>59</v>
      </c>
      <c r="K1535" s="1" t="s">
        <v>84</v>
      </c>
      <c r="L1535" s="1" t="s">
        <v>37</v>
      </c>
      <c r="M1535" s="1" t="s">
        <v>38</v>
      </c>
      <c r="N1535" s="1" t="n">
        <v>14999</v>
      </c>
      <c r="O1535" s="1" t="n">
        <v>0</v>
      </c>
      <c r="P1535" s="1" t="n">
        <v>0</v>
      </c>
      <c r="Q1535" s="1" t="n">
        <v>14999</v>
      </c>
      <c r="R1535" s="1" t="n">
        <v>2699.82</v>
      </c>
      <c r="S1535" s="1" t="n">
        <v>12299.18</v>
      </c>
      <c r="T1535" s="1" t="n">
        <v>4446.91</v>
      </c>
      <c r="U1535" s="1" t="n">
        <v>7852.27</v>
      </c>
      <c r="V1535" s="1" t="n">
        <v>63.84</v>
      </c>
      <c r="W1535" s="1" t="s">
        <v>39</v>
      </c>
      <c r="X1535" s="1" t="n">
        <v>3.6</v>
      </c>
      <c r="Y1535" s="1" t="s">
        <v>40</v>
      </c>
      <c r="Z1535" s="1" t="n">
        <v>1</v>
      </c>
      <c r="AA1535" s="1" t="str">
        <f aca="false">TRIM(PROPER(F1535))</f>
        <v>New Delhi</v>
      </c>
      <c r="AB1535" s="1" t="str">
        <f aca="false">TRIM(PROPER(C1535))</f>
        <v>Toppr</v>
      </c>
      <c r="AC1535" s="1" t="str">
        <f aca="false">IF(O1535=0,"No Discount",IF(O1535&lt;=15,"Low (1-15%)",IF(O1535&lt;=30,"Medium (16-30%)","High (&gt;30%)")))</f>
        <v>No Discount</v>
      </c>
      <c r="AD1535" s="1" t="str">
        <f aca="false">IF(V1535&lt;0,"Loss Making",IF(V1535&lt;20,"Low Margin","Healthy Margin"))</f>
        <v>Healthy Margin</v>
      </c>
      <c r="AE1535" s="1" t="str">
        <f aca="false">TEXT(DATE(VALUE(RIGHT(B1535,4)),VALUE(MID(B1535,4,2)),VALUE(LEFT(B1535,2))),"MMM-YYYY")</f>
        <v>May-2023</v>
      </c>
      <c r="AF1535" s="1" t="n">
        <f aca="false">VALUE(RIGHT(B1535,4))</f>
        <v>2023</v>
      </c>
      <c r="AG1535" s="1" t="str">
        <f aca="false">CHOOSE(ROUNDUP(VALUE(MID(B1535,4,2))/3,0),"Q1","Q2","Q3","Q4")</f>
        <v>Q2</v>
      </c>
    </row>
    <row r="1536" customFormat="false" ht="15" hidden="false" customHeight="true" outlineLevel="0" collapsed="false">
      <c r="A1536" s="1" t="s">
        <v>2349</v>
      </c>
      <c r="B1536" s="1" t="s">
        <v>149</v>
      </c>
      <c r="C1536" s="1" t="s">
        <v>74</v>
      </c>
      <c r="D1536" s="1" t="s">
        <v>168</v>
      </c>
      <c r="E1536" s="1" t="s">
        <v>197</v>
      </c>
      <c r="F1536" s="1" t="s">
        <v>1363</v>
      </c>
      <c r="G1536" s="1" t="s">
        <v>68</v>
      </c>
      <c r="H1536" s="1" t="s">
        <v>33</v>
      </c>
      <c r="I1536" s="1" t="s">
        <v>83</v>
      </c>
      <c r="J1536" s="1" t="s">
        <v>59</v>
      </c>
      <c r="K1536" s="1" t="s">
        <v>71</v>
      </c>
      <c r="L1536" s="1" t="s">
        <v>49</v>
      </c>
      <c r="M1536" s="1" t="s">
        <v>50</v>
      </c>
      <c r="N1536" s="1" t="n">
        <v>8499</v>
      </c>
      <c r="O1536" s="1" t="n">
        <v>0</v>
      </c>
      <c r="P1536" s="1" t="n">
        <v>0</v>
      </c>
      <c r="Q1536" s="1" t="n">
        <v>8499</v>
      </c>
      <c r="R1536" s="1" t="n">
        <v>1529.82</v>
      </c>
      <c r="S1536" s="1" t="n">
        <v>6969.18</v>
      </c>
      <c r="T1536" s="1" t="n">
        <v>2985.49</v>
      </c>
      <c r="U1536" s="1" t="n">
        <v>3983.69</v>
      </c>
      <c r="V1536" s="1" t="n">
        <v>57.16</v>
      </c>
      <c r="W1536" s="1" t="s">
        <v>39</v>
      </c>
      <c r="Y1536" s="1" t="s">
        <v>40</v>
      </c>
      <c r="Z1536" s="1" t="n">
        <v>0</v>
      </c>
      <c r="AA1536" s="1" t="str">
        <f aca="false">TRIM(PROPER(F1536))</f>
        <v>Vadodara</v>
      </c>
      <c r="AB1536" s="1" t="str">
        <f aca="false">TRIM(PROPER(C1536))</f>
        <v>Vedantu</v>
      </c>
      <c r="AC1536" s="1" t="str">
        <f aca="false">IF(O1536=0,"No Discount",IF(O1536&lt;=15,"Low (1-15%)",IF(O1536&lt;=30,"Medium (16-30%)","High (&gt;30%)")))</f>
        <v>No Discount</v>
      </c>
      <c r="AD1536" s="1" t="str">
        <f aca="false">IF(V1536&lt;0,"Loss Making",IF(V1536&lt;20,"Low Margin","Healthy Margin"))</f>
        <v>Healthy Margin</v>
      </c>
      <c r="AE1536" s="1" t="str">
        <f aca="false">TEXT(DATE(VALUE(RIGHT(B1536,4)),VALUE(MID(B1536,4,2)),VALUE(LEFT(B1536,2))),"MMM-YYYY")</f>
        <v>May-2023</v>
      </c>
      <c r="AF1536" s="1" t="n">
        <f aca="false">VALUE(RIGHT(B1536,4))</f>
        <v>2023</v>
      </c>
      <c r="AG1536" s="1" t="str">
        <f aca="false">CHOOSE(ROUNDUP(VALUE(MID(B1536,4,2))/3,0),"Q1","Q2","Q3","Q4")</f>
        <v>Q2</v>
      </c>
    </row>
    <row r="1537" customFormat="false" ht="15" hidden="false" customHeight="true" outlineLevel="0" collapsed="false">
      <c r="A1537" s="1" t="s">
        <v>2350</v>
      </c>
      <c r="B1537" s="1" t="s">
        <v>1488</v>
      </c>
      <c r="C1537" s="1" t="s">
        <v>134</v>
      </c>
      <c r="D1537" s="1" t="s">
        <v>123</v>
      </c>
      <c r="E1537" s="1" t="s">
        <v>124</v>
      </c>
      <c r="F1537" s="1" t="s">
        <v>96</v>
      </c>
      <c r="G1537" s="1" t="s">
        <v>97</v>
      </c>
      <c r="H1537" s="1" t="s">
        <v>69</v>
      </c>
      <c r="I1537" s="1" t="s">
        <v>83</v>
      </c>
      <c r="J1537" s="1" t="s">
        <v>35</v>
      </c>
      <c r="K1537" s="1" t="s">
        <v>112</v>
      </c>
      <c r="L1537" s="1" t="s">
        <v>37</v>
      </c>
      <c r="M1537" s="1" t="s">
        <v>38</v>
      </c>
      <c r="N1537" s="1" t="n">
        <v>4999</v>
      </c>
      <c r="O1537" s="1" t="n">
        <v>20</v>
      </c>
      <c r="P1537" s="1" t="n">
        <v>999.8</v>
      </c>
      <c r="Q1537" s="1" t="n">
        <v>3999.2</v>
      </c>
      <c r="R1537" s="1" t="n">
        <v>719.86</v>
      </c>
      <c r="S1537" s="1" t="n">
        <v>3279.34</v>
      </c>
      <c r="T1537" s="1" t="n">
        <v>1586.11</v>
      </c>
      <c r="U1537" s="1" t="n">
        <v>1693.23</v>
      </c>
      <c r="V1537" s="1" t="n">
        <v>51.63</v>
      </c>
      <c r="W1537" s="1" t="s">
        <v>39</v>
      </c>
      <c r="X1537" s="1" t="n">
        <v>2.9</v>
      </c>
      <c r="Y1537" s="1" t="s">
        <v>40</v>
      </c>
      <c r="Z1537" s="1" t="n">
        <v>0</v>
      </c>
      <c r="AA1537" s="1" t="str">
        <f aca="false">TRIM(PROPER(F1537))</f>
        <v>Pune</v>
      </c>
      <c r="AB1537" s="1" t="str">
        <f aca="false">TRIM(PROPER(C1537))</f>
        <v>Doubtnut</v>
      </c>
      <c r="AC1537" s="1" t="str">
        <f aca="false">IF(O1537=0,"No Discount",IF(O1537&lt;=15,"Low (1-15%)",IF(O1537&lt;=30,"Medium (16-30%)","High (&gt;30%)")))</f>
        <v>Medium (16-30%)</v>
      </c>
      <c r="AD1537" s="1" t="str">
        <f aca="false">IF(V1537&lt;0,"Loss Making",IF(V1537&lt;20,"Low Margin","Healthy Margin"))</f>
        <v>Healthy Margin</v>
      </c>
      <c r="AE1537" s="1" t="str">
        <f aca="false">TEXT(DATE(VALUE(RIGHT(B1537,4)),VALUE(MID(B1537,4,2)),VALUE(LEFT(B1537,2))),"MMM-YYYY")</f>
        <v>Jun-2024</v>
      </c>
      <c r="AF1537" s="1" t="n">
        <f aca="false">VALUE(RIGHT(B1537,4))</f>
        <v>2024</v>
      </c>
      <c r="AG1537" s="1" t="str">
        <f aca="false">CHOOSE(ROUNDUP(VALUE(MID(B1537,4,2))/3,0),"Q1","Q2","Q3","Q4")</f>
        <v>Q2</v>
      </c>
    </row>
    <row r="1538" customFormat="false" ht="15" hidden="false" customHeight="true" outlineLevel="0" collapsed="false">
      <c r="A1538" s="1" t="s">
        <v>2351</v>
      </c>
      <c r="B1538" s="1" t="s">
        <v>2352</v>
      </c>
      <c r="C1538" s="1" t="s">
        <v>100</v>
      </c>
      <c r="D1538" s="1" t="s">
        <v>80</v>
      </c>
      <c r="E1538" s="1" t="s">
        <v>81</v>
      </c>
      <c r="F1538" s="1" t="s">
        <v>75</v>
      </c>
      <c r="G1538" s="1" t="s">
        <v>76</v>
      </c>
      <c r="H1538" s="1" t="s">
        <v>69</v>
      </c>
      <c r="I1538" s="1" t="s">
        <v>83</v>
      </c>
      <c r="J1538" s="1" t="s">
        <v>70</v>
      </c>
      <c r="K1538" s="1" t="s">
        <v>71</v>
      </c>
      <c r="L1538" s="1" t="s">
        <v>49</v>
      </c>
      <c r="M1538" s="1" t="s">
        <v>50</v>
      </c>
      <c r="N1538" s="1" t="n">
        <v>12999</v>
      </c>
      <c r="O1538" s="1" t="n">
        <v>15</v>
      </c>
      <c r="P1538" s="1" t="n">
        <v>1949.85</v>
      </c>
      <c r="Q1538" s="1" t="n">
        <v>11049.15</v>
      </c>
      <c r="R1538" s="1" t="n">
        <v>1988.85</v>
      </c>
      <c r="S1538" s="1" t="n">
        <v>9060.3</v>
      </c>
      <c r="T1538" s="1" t="n">
        <v>3944.41</v>
      </c>
      <c r="U1538" s="1" t="n">
        <v>5115.89</v>
      </c>
      <c r="V1538" s="1" t="n">
        <v>56.46</v>
      </c>
      <c r="W1538" s="1" t="s">
        <v>40</v>
      </c>
      <c r="Y1538" s="1" t="s">
        <v>40</v>
      </c>
      <c r="Z1538" s="1" t="n">
        <v>2</v>
      </c>
      <c r="AA1538" s="1" t="str">
        <f aca="false">TRIM(PROPER(F1538))</f>
        <v>Kolkata</v>
      </c>
      <c r="AB1538" s="1" t="str">
        <f aca="false">TRIM(PROPER(C1538))</f>
        <v>Physics Wallah</v>
      </c>
      <c r="AC1538" s="1" t="str">
        <f aca="false">IF(O1538=0,"No Discount",IF(O1538&lt;=15,"Low (1-15%)",IF(O1538&lt;=30,"Medium (16-30%)","High (&gt;30%)")))</f>
        <v>Low (1-15%)</v>
      </c>
      <c r="AD1538" s="1" t="str">
        <f aca="false">IF(V1538&lt;0,"Loss Making",IF(V1538&lt;20,"Low Margin","Healthy Margin"))</f>
        <v>Healthy Margin</v>
      </c>
      <c r="AE1538" s="1" t="str">
        <f aca="false">TEXT(DATE(VALUE(RIGHT(B1538,4)),VALUE(MID(B1538,4,2)),VALUE(LEFT(B1538,2))),"MMM-YYYY")</f>
        <v>Sep-2023</v>
      </c>
      <c r="AF1538" s="1" t="n">
        <f aca="false">VALUE(RIGHT(B1538,4))</f>
        <v>2023</v>
      </c>
      <c r="AG1538" s="1" t="str">
        <f aca="false">CHOOSE(ROUNDUP(VALUE(MID(B1538,4,2))/3,0),"Q1","Q2","Q3","Q4")</f>
        <v>Q3</v>
      </c>
    </row>
    <row r="1539" customFormat="false" ht="15" hidden="false" customHeight="true" outlineLevel="0" collapsed="false">
      <c r="A1539" s="1" t="s">
        <v>2353</v>
      </c>
      <c r="B1539" s="1" t="s">
        <v>1640</v>
      </c>
      <c r="C1539" s="1" t="s">
        <v>119</v>
      </c>
      <c r="D1539" s="1" t="s">
        <v>123</v>
      </c>
      <c r="E1539" s="1" t="s">
        <v>233</v>
      </c>
      <c r="F1539" s="1" t="s">
        <v>150</v>
      </c>
      <c r="G1539" s="1" t="s">
        <v>32</v>
      </c>
      <c r="H1539" s="1" t="s">
        <v>57</v>
      </c>
      <c r="I1539" s="1" t="s">
        <v>58</v>
      </c>
      <c r="J1539" s="1" t="s">
        <v>70</v>
      </c>
      <c r="K1539" s="1" t="s">
        <v>60</v>
      </c>
      <c r="L1539" s="1" t="s">
        <v>113</v>
      </c>
      <c r="M1539" s="1" t="s">
        <v>62</v>
      </c>
      <c r="N1539" s="1" t="n">
        <v>8999</v>
      </c>
      <c r="O1539" s="1" t="n">
        <v>25</v>
      </c>
      <c r="P1539" s="1" t="n">
        <v>2249.75</v>
      </c>
      <c r="Q1539" s="1" t="n">
        <v>6749.25</v>
      </c>
      <c r="R1539" s="1" t="n">
        <v>1214.87</v>
      </c>
      <c r="S1539" s="1" t="n">
        <v>5534.38</v>
      </c>
      <c r="T1539" s="1" t="n">
        <v>2281.33</v>
      </c>
      <c r="U1539" s="1" t="n">
        <v>3253.05</v>
      </c>
      <c r="V1539" s="1" t="n">
        <v>58.78</v>
      </c>
      <c r="W1539" s="1" t="s">
        <v>39</v>
      </c>
      <c r="X1539" s="1" t="n">
        <v>3.9</v>
      </c>
      <c r="Y1539" s="1" t="s">
        <v>40</v>
      </c>
      <c r="Z1539" s="1" t="n">
        <v>0</v>
      </c>
      <c r="AA1539" s="1" t="str">
        <f aca="false">TRIM(PROPER(F1539))</f>
        <v>Jaipur</v>
      </c>
      <c r="AB1539" s="1" t="str">
        <f aca="false">TRIM(PROPER(C1539))</f>
        <v>Simplilearn</v>
      </c>
      <c r="AC1539" s="1" t="str">
        <f aca="false">IF(O1539=0,"No Discount",IF(O1539&lt;=15,"Low (1-15%)",IF(O1539&lt;=30,"Medium (16-30%)","High (&gt;30%)")))</f>
        <v>Medium (16-30%)</v>
      </c>
      <c r="AD1539" s="1" t="str">
        <f aca="false">IF(V1539&lt;0,"Loss Making",IF(V1539&lt;20,"Low Margin","Healthy Margin"))</f>
        <v>Healthy Margin</v>
      </c>
      <c r="AE1539" s="1" t="str">
        <f aca="false">TEXT(DATE(VALUE(RIGHT(B1539,4)),VALUE(MID(B1539,4,2)),VALUE(LEFT(B1539,2))),"MMM-YYYY")</f>
        <v>May-2024</v>
      </c>
      <c r="AF1539" s="1" t="n">
        <f aca="false">VALUE(RIGHT(B1539,4))</f>
        <v>2024</v>
      </c>
      <c r="AG1539" s="1" t="str">
        <f aca="false">CHOOSE(ROUNDUP(VALUE(MID(B1539,4,2))/3,0),"Q1","Q2","Q3","Q4")</f>
        <v>Q2</v>
      </c>
    </row>
    <row r="1540" customFormat="false" ht="15" hidden="false" customHeight="true" outlineLevel="0" collapsed="false">
      <c r="A1540" s="1" t="s">
        <v>2354</v>
      </c>
      <c r="B1540" s="1" t="s">
        <v>300</v>
      </c>
      <c r="C1540" s="1" t="s">
        <v>65</v>
      </c>
      <c r="D1540" s="1" t="s">
        <v>80</v>
      </c>
      <c r="E1540" s="1" t="s">
        <v>81</v>
      </c>
      <c r="F1540" s="1" t="s">
        <v>156</v>
      </c>
      <c r="G1540" s="1" t="s">
        <v>68</v>
      </c>
      <c r="H1540" s="1" t="s">
        <v>57</v>
      </c>
      <c r="I1540" s="1" t="s">
        <v>58</v>
      </c>
      <c r="J1540" s="1" t="s">
        <v>77</v>
      </c>
      <c r="K1540" s="1" t="s">
        <v>112</v>
      </c>
      <c r="L1540" s="1" t="s">
        <v>49</v>
      </c>
      <c r="M1540" s="1" t="s">
        <v>62</v>
      </c>
      <c r="N1540" s="1" t="n">
        <v>12999</v>
      </c>
      <c r="O1540" s="1" t="n">
        <v>25</v>
      </c>
      <c r="P1540" s="1" t="n">
        <v>3249.75</v>
      </c>
      <c r="Q1540" s="1" t="n">
        <v>9749.25</v>
      </c>
      <c r="R1540" s="1" t="n">
        <v>1754.87</v>
      </c>
      <c r="S1540" s="1" t="n">
        <v>7994.38</v>
      </c>
      <c r="T1540" s="1" t="n">
        <v>3647.53</v>
      </c>
      <c r="U1540" s="1" t="n">
        <v>4346.85</v>
      </c>
      <c r="V1540" s="1" t="n">
        <v>54.37</v>
      </c>
      <c r="W1540" s="1" t="s">
        <v>40</v>
      </c>
      <c r="Y1540" s="1" t="s">
        <v>40</v>
      </c>
      <c r="Z1540" s="1" t="n">
        <v>3</v>
      </c>
      <c r="AA1540" s="1" t="str">
        <f aca="false">TRIM(PROPER(F1540))</f>
        <v>Surat</v>
      </c>
      <c r="AB1540" s="1" t="str">
        <f aca="false">TRIM(PROPER(C1540))</f>
        <v>Toppr</v>
      </c>
      <c r="AC1540" s="1" t="str">
        <f aca="false">IF(O1540=0,"No Discount",IF(O1540&lt;=15,"Low (1-15%)",IF(O1540&lt;=30,"Medium (16-30%)","High (&gt;30%)")))</f>
        <v>Medium (16-30%)</v>
      </c>
      <c r="AD1540" s="1" t="str">
        <f aca="false">IF(V1540&lt;0,"Loss Making",IF(V1540&lt;20,"Low Margin","Healthy Margin"))</f>
        <v>Healthy Margin</v>
      </c>
      <c r="AE1540" s="1" t="str">
        <f aca="false">TEXT(DATE(VALUE(RIGHT(B1540,4)),VALUE(MID(B1540,4,2)),VALUE(LEFT(B1540,2))),"MMM-YYYY")</f>
        <v>Dec-2024</v>
      </c>
      <c r="AF1540" s="1" t="n">
        <f aca="false">VALUE(RIGHT(B1540,4))</f>
        <v>2024</v>
      </c>
      <c r="AG1540" s="1" t="str">
        <f aca="false">CHOOSE(ROUNDUP(VALUE(MID(B1540,4,2))/3,0),"Q1","Q2","Q3","Q4")</f>
        <v>Q4</v>
      </c>
    </row>
    <row r="1541" customFormat="false" ht="15" hidden="false" customHeight="true" outlineLevel="0" collapsed="false">
      <c r="A1541" s="1" t="s">
        <v>2355</v>
      </c>
      <c r="B1541" s="1" t="s">
        <v>779</v>
      </c>
      <c r="C1541" s="1" t="s">
        <v>28</v>
      </c>
      <c r="D1541" s="1" t="s">
        <v>123</v>
      </c>
      <c r="E1541" s="1" t="s">
        <v>124</v>
      </c>
      <c r="F1541" s="1" t="s">
        <v>120</v>
      </c>
      <c r="G1541" s="1" t="s">
        <v>47</v>
      </c>
      <c r="H1541" s="1" t="s">
        <v>57</v>
      </c>
      <c r="I1541" s="1" t="s">
        <v>58</v>
      </c>
      <c r="J1541" s="1" t="s">
        <v>131</v>
      </c>
      <c r="K1541" s="1" t="s">
        <v>71</v>
      </c>
      <c r="L1541" s="1" t="s">
        <v>136</v>
      </c>
      <c r="M1541" s="1" t="s">
        <v>62</v>
      </c>
      <c r="N1541" s="1" t="n">
        <v>4999</v>
      </c>
      <c r="O1541" s="1" t="n">
        <v>10</v>
      </c>
      <c r="P1541" s="1" t="n">
        <v>499.9</v>
      </c>
      <c r="Q1541" s="1" t="n">
        <v>4499.1</v>
      </c>
      <c r="R1541" s="1" t="n">
        <v>809.84</v>
      </c>
      <c r="S1541" s="1" t="n">
        <v>3689.26</v>
      </c>
      <c r="T1541" s="1" t="n">
        <v>1936.58</v>
      </c>
      <c r="U1541" s="1" t="n">
        <v>1752.68</v>
      </c>
      <c r="V1541" s="1" t="n">
        <v>47.51</v>
      </c>
      <c r="W1541" s="1" t="s">
        <v>39</v>
      </c>
      <c r="Y1541" s="1" t="s">
        <v>40</v>
      </c>
      <c r="Z1541" s="1" t="n">
        <v>0</v>
      </c>
      <c r="AA1541" s="1" t="str">
        <f aca="false">TRIM(PROPER(F1541))</f>
        <v>Mysuru</v>
      </c>
      <c r="AB1541" s="1" t="str">
        <f aca="false">TRIM(PROPER(C1541))</f>
        <v>Embibe</v>
      </c>
      <c r="AC1541" s="1" t="str">
        <f aca="false">IF(O1541=0,"No Discount",IF(O1541&lt;=15,"Low (1-15%)",IF(O1541&lt;=30,"Medium (16-30%)","High (&gt;30%)")))</f>
        <v>Low (1-15%)</v>
      </c>
      <c r="AD1541" s="1" t="str">
        <f aca="false">IF(V1541&lt;0,"Loss Making",IF(V1541&lt;20,"Low Margin","Healthy Margin"))</f>
        <v>Healthy Margin</v>
      </c>
      <c r="AE1541" s="1" t="str">
        <f aca="false">TEXT(DATE(VALUE(RIGHT(B1541,4)),VALUE(MID(B1541,4,2)),VALUE(LEFT(B1541,2))),"MMM-YYYY")</f>
        <v>Dec-2024</v>
      </c>
      <c r="AF1541" s="1" t="n">
        <f aca="false">VALUE(RIGHT(B1541,4))</f>
        <v>2024</v>
      </c>
      <c r="AG1541" s="1" t="str">
        <f aca="false">CHOOSE(ROUNDUP(VALUE(MID(B1541,4,2))/3,0),"Q1","Q2","Q3","Q4")</f>
        <v>Q4</v>
      </c>
    </row>
    <row r="1542" customFormat="false" ht="15" hidden="false" customHeight="true" outlineLevel="0" collapsed="false">
      <c r="A1542" s="1" t="s">
        <v>2356</v>
      </c>
      <c r="B1542" s="1" t="s">
        <v>774</v>
      </c>
      <c r="C1542" s="1" t="s">
        <v>134</v>
      </c>
      <c r="D1542" s="1" t="s">
        <v>94</v>
      </c>
      <c r="E1542" s="1" t="s">
        <v>101</v>
      </c>
      <c r="F1542" s="1" t="s">
        <v>55</v>
      </c>
      <c r="G1542" s="1" t="s">
        <v>56</v>
      </c>
      <c r="H1542" s="1" t="s">
        <v>57</v>
      </c>
      <c r="I1542" s="1" t="s">
        <v>58</v>
      </c>
      <c r="J1542" s="1" t="s">
        <v>59</v>
      </c>
      <c r="K1542" s="1" t="s">
        <v>71</v>
      </c>
      <c r="L1542" s="1" t="s">
        <v>61</v>
      </c>
      <c r="M1542" s="1" t="s">
        <v>62</v>
      </c>
      <c r="N1542" s="1" t="n">
        <v>14999</v>
      </c>
      <c r="O1542" s="1" t="n">
        <v>50</v>
      </c>
      <c r="P1542" s="1" t="n">
        <v>7499.5</v>
      </c>
      <c r="Q1542" s="1" t="n">
        <v>7499.5</v>
      </c>
      <c r="R1542" s="1" t="n">
        <v>1349.91</v>
      </c>
      <c r="S1542" s="1" t="n">
        <v>6149.59</v>
      </c>
      <c r="T1542" s="1" t="n">
        <v>2899.72</v>
      </c>
      <c r="U1542" s="1" t="n">
        <v>3249.87</v>
      </c>
      <c r="V1542" s="1" t="n">
        <v>52.85</v>
      </c>
      <c r="W1542" s="1" t="s">
        <v>39</v>
      </c>
      <c r="Y1542" s="1" t="s">
        <v>40</v>
      </c>
      <c r="Z1542" s="1" t="n">
        <v>1</v>
      </c>
      <c r="AA1542" s="1" t="str">
        <f aca="false">TRIM(PROPER(F1542))</f>
        <v>Ghaziabad</v>
      </c>
      <c r="AB1542" s="1" t="str">
        <f aca="false">TRIM(PROPER(C1542))</f>
        <v>Doubtnut</v>
      </c>
      <c r="AC1542" s="1" t="str">
        <f aca="false">IF(O1542=0,"No Discount",IF(O1542&lt;=15,"Low (1-15%)",IF(O1542&lt;=30,"Medium (16-30%)","High (&gt;30%)")))</f>
        <v>High (&gt;30%)</v>
      </c>
      <c r="AD1542" s="1" t="str">
        <f aca="false">IF(V1542&lt;0,"Loss Making",IF(V1542&lt;20,"Low Margin","Healthy Margin"))</f>
        <v>Healthy Margin</v>
      </c>
      <c r="AE1542" s="1" t="str">
        <f aca="false">TEXT(DATE(VALUE(RIGHT(B1542,4)),VALUE(MID(B1542,4,2)),VALUE(LEFT(B1542,2))),"MMM-YYYY")</f>
        <v>Oct-2023</v>
      </c>
      <c r="AF1542" s="1" t="n">
        <f aca="false">VALUE(RIGHT(B1542,4))</f>
        <v>2023</v>
      </c>
      <c r="AG1542" s="1" t="str">
        <f aca="false">CHOOSE(ROUNDUP(VALUE(MID(B1542,4,2))/3,0),"Q1","Q2","Q3","Q4")</f>
        <v>Q4</v>
      </c>
    </row>
    <row r="1543" customFormat="false" ht="15" hidden="false" customHeight="true" outlineLevel="0" collapsed="false">
      <c r="A1543" s="1" t="s">
        <v>2357</v>
      </c>
      <c r="B1543" s="1" t="s">
        <v>795</v>
      </c>
      <c r="C1543" s="1" t="s">
        <v>100</v>
      </c>
      <c r="D1543" s="1" t="s">
        <v>94</v>
      </c>
      <c r="E1543" s="1" t="s">
        <v>95</v>
      </c>
      <c r="F1543" s="1" t="s">
        <v>55</v>
      </c>
      <c r="G1543" s="1" t="s">
        <v>56</v>
      </c>
      <c r="H1543" s="1" t="s">
        <v>57</v>
      </c>
      <c r="I1543" s="1" t="s">
        <v>58</v>
      </c>
      <c r="J1543" s="1" t="s">
        <v>59</v>
      </c>
      <c r="K1543" s="1" t="s">
        <v>71</v>
      </c>
      <c r="L1543" s="1" t="s">
        <v>113</v>
      </c>
      <c r="M1543" s="1" t="s">
        <v>62</v>
      </c>
      <c r="N1543" s="1" t="n">
        <v>6999</v>
      </c>
      <c r="O1543" s="1" t="n">
        <v>15</v>
      </c>
      <c r="P1543" s="1" t="n">
        <v>1049.85</v>
      </c>
      <c r="Q1543" s="1" t="n">
        <v>5949.15</v>
      </c>
      <c r="R1543" s="1" t="n">
        <v>1070.85</v>
      </c>
      <c r="S1543" s="1" t="n">
        <v>4878.3</v>
      </c>
      <c r="T1543" s="1" t="n">
        <v>2249.69</v>
      </c>
      <c r="U1543" s="1" t="n">
        <v>2628.61</v>
      </c>
      <c r="V1543" s="1" t="n">
        <v>53.88</v>
      </c>
      <c r="W1543" s="1" t="s">
        <v>39</v>
      </c>
      <c r="X1543" s="1" t="n">
        <v>4</v>
      </c>
      <c r="Y1543" s="1" t="s">
        <v>40</v>
      </c>
      <c r="Z1543" s="1" t="n">
        <v>0</v>
      </c>
      <c r="AA1543" s="1" t="str">
        <f aca="false">TRIM(PROPER(F1543))</f>
        <v>Ghaziabad</v>
      </c>
      <c r="AB1543" s="1" t="str">
        <f aca="false">TRIM(PROPER(C1543))</f>
        <v>Physics Wallah</v>
      </c>
      <c r="AC1543" s="1" t="str">
        <f aca="false">IF(O1543=0,"No Discount",IF(O1543&lt;=15,"Low (1-15%)",IF(O1543&lt;=30,"Medium (16-30%)","High (&gt;30%)")))</f>
        <v>Low (1-15%)</v>
      </c>
      <c r="AD1543" s="1" t="str">
        <f aca="false">IF(V1543&lt;0,"Loss Making",IF(V1543&lt;20,"Low Margin","Healthy Margin"))</f>
        <v>Healthy Margin</v>
      </c>
      <c r="AE1543" s="1" t="str">
        <f aca="false">TEXT(DATE(VALUE(RIGHT(B1543,4)),VALUE(MID(B1543,4,2)),VALUE(LEFT(B1543,2))),"MMM-YYYY")</f>
        <v>May-2024</v>
      </c>
      <c r="AF1543" s="1" t="n">
        <f aca="false">VALUE(RIGHT(B1543,4))</f>
        <v>2024</v>
      </c>
      <c r="AG1543" s="1" t="str">
        <f aca="false">CHOOSE(ROUNDUP(VALUE(MID(B1543,4,2))/3,0),"Q1","Q2","Q3","Q4")</f>
        <v>Q2</v>
      </c>
    </row>
    <row r="1544" customFormat="false" ht="15" hidden="false" customHeight="true" outlineLevel="0" collapsed="false">
      <c r="A1544" s="1" t="s">
        <v>2358</v>
      </c>
      <c r="B1544" s="1" t="s">
        <v>559</v>
      </c>
      <c r="C1544" s="1" t="s">
        <v>249</v>
      </c>
      <c r="D1544" s="1" t="s">
        <v>168</v>
      </c>
      <c r="E1544" s="1" t="s">
        <v>172</v>
      </c>
      <c r="F1544" s="1" t="s">
        <v>205</v>
      </c>
      <c r="G1544" s="1" t="s">
        <v>56</v>
      </c>
      <c r="H1544" s="1" t="s">
        <v>69</v>
      </c>
      <c r="I1544" s="1" t="s">
        <v>83</v>
      </c>
      <c r="J1544" s="1" t="s">
        <v>35</v>
      </c>
      <c r="K1544" s="1" t="s">
        <v>48</v>
      </c>
      <c r="L1544" s="1" t="s">
        <v>113</v>
      </c>
      <c r="M1544" s="1" t="s">
        <v>62</v>
      </c>
      <c r="N1544" s="1" t="n">
        <v>6999</v>
      </c>
      <c r="O1544" s="1" t="n">
        <v>15</v>
      </c>
      <c r="P1544" s="1" t="n">
        <v>1049.85</v>
      </c>
      <c r="Q1544" s="1" t="n">
        <v>5949.15</v>
      </c>
      <c r="R1544" s="1" t="n">
        <v>1070.85</v>
      </c>
      <c r="S1544" s="1" t="n">
        <v>4878.3</v>
      </c>
      <c r="T1544" s="1" t="n">
        <v>2117.99</v>
      </c>
      <c r="U1544" s="1" t="n">
        <v>2760.31</v>
      </c>
      <c r="V1544" s="1" t="n">
        <v>56.58</v>
      </c>
      <c r="W1544" s="1" t="s">
        <v>40</v>
      </c>
      <c r="Y1544" s="1" t="s">
        <v>40</v>
      </c>
      <c r="Z1544" s="1" t="n">
        <v>0</v>
      </c>
      <c r="AA1544" s="1" t="str">
        <f aca="false">TRIM(PROPER(F1544))</f>
        <v>New Delhi</v>
      </c>
      <c r="AB1544" s="1" t="str">
        <f aca="false">TRIM(PROPER(C1544))</f>
        <v>Whitehat Jr</v>
      </c>
      <c r="AC1544" s="1" t="str">
        <f aca="false">IF(O1544=0,"No Discount",IF(O1544&lt;=15,"Low (1-15%)",IF(O1544&lt;=30,"Medium (16-30%)","High (&gt;30%)")))</f>
        <v>Low (1-15%)</v>
      </c>
      <c r="AD1544" s="1" t="str">
        <f aca="false">IF(V1544&lt;0,"Loss Making",IF(V1544&lt;20,"Low Margin","Healthy Margin"))</f>
        <v>Healthy Margin</v>
      </c>
      <c r="AE1544" s="1" t="str">
        <f aca="false">TEXT(DATE(VALUE(RIGHT(B1544,4)),VALUE(MID(B1544,4,2)),VALUE(LEFT(B1544,2))),"MMM-YYYY")</f>
        <v>Dec-2023</v>
      </c>
      <c r="AF1544" s="1" t="n">
        <f aca="false">VALUE(RIGHT(B1544,4))</f>
        <v>2023</v>
      </c>
      <c r="AG1544" s="1" t="str">
        <f aca="false">CHOOSE(ROUNDUP(VALUE(MID(B1544,4,2))/3,0),"Q1","Q2","Q3","Q4")</f>
        <v>Q4</v>
      </c>
    </row>
    <row r="1545" customFormat="false" ht="15" hidden="false" customHeight="true" outlineLevel="0" collapsed="false">
      <c r="A1545" s="1" t="s">
        <v>2359</v>
      </c>
      <c r="B1545" s="1" t="s">
        <v>2360</v>
      </c>
      <c r="C1545" s="1" t="s">
        <v>93</v>
      </c>
      <c r="D1545" s="1" t="s">
        <v>143</v>
      </c>
      <c r="E1545" s="1" t="s">
        <v>159</v>
      </c>
      <c r="F1545" s="1" t="s">
        <v>696</v>
      </c>
      <c r="G1545" s="1" t="s">
        <v>56</v>
      </c>
      <c r="H1545" s="1" t="s">
        <v>69</v>
      </c>
      <c r="I1545" s="1" t="s">
        <v>83</v>
      </c>
      <c r="J1545" s="1" t="s">
        <v>131</v>
      </c>
      <c r="K1545" s="1" t="s">
        <v>104</v>
      </c>
      <c r="L1545" s="1" t="s">
        <v>37</v>
      </c>
      <c r="M1545" s="1" t="s">
        <v>50</v>
      </c>
      <c r="N1545" s="1" t="n">
        <v>24999</v>
      </c>
      <c r="O1545" s="1" t="n">
        <v>0</v>
      </c>
      <c r="P1545" s="1" t="n">
        <v>0</v>
      </c>
      <c r="Q1545" s="1" t="n">
        <v>24999</v>
      </c>
      <c r="R1545" s="1" t="n">
        <v>4499.82</v>
      </c>
      <c r="S1545" s="1" t="n">
        <v>20499.18</v>
      </c>
      <c r="T1545" s="1" t="n">
        <v>7250.17</v>
      </c>
      <c r="U1545" s="1" t="n">
        <v>13249.01</v>
      </c>
      <c r="V1545" s="1" t="n">
        <v>64.63</v>
      </c>
      <c r="W1545" s="1" t="s">
        <v>40</v>
      </c>
      <c r="Y1545" s="1" t="s">
        <v>40</v>
      </c>
      <c r="Z1545" s="1" t="n">
        <v>0</v>
      </c>
      <c r="AA1545" s="1" t="str">
        <f aca="false">TRIM(PROPER(F1545))</f>
        <v>New Delhi</v>
      </c>
      <c r="AB1545" s="1" t="str">
        <f aca="false">TRIM(PROPER(C1545))</f>
        <v>Upgrad</v>
      </c>
      <c r="AC1545" s="1" t="str">
        <f aca="false">IF(O1545=0,"No Discount",IF(O1545&lt;=15,"Low (1-15%)",IF(O1545&lt;=30,"Medium (16-30%)","High (&gt;30%)")))</f>
        <v>No Discount</v>
      </c>
      <c r="AD1545" s="1" t="str">
        <f aca="false">IF(V1545&lt;0,"Loss Making",IF(V1545&lt;20,"Low Margin","Healthy Margin"))</f>
        <v>Healthy Margin</v>
      </c>
      <c r="AE1545" s="1" t="str">
        <f aca="false">TEXT(DATE(VALUE(RIGHT(B1545,4)),VALUE(MID(B1545,4,2)),VALUE(LEFT(B1545,2))),"MMM-YYYY")</f>
        <v>Jan-2023</v>
      </c>
      <c r="AF1545" s="1" t="n">
        <f aca="false">VALUE(RIGHT(B1545,4))</f>
        <v>2023</v>
      </c>
      <c r="AG1545" s="1" t="str">
        <f aca="false">CHOOSE(ROUNDUP(VALUE(MID(B1545,4,2))/3,0),"Q1","Q2","Q3","Q4")</f>
        <v>Q1</v>
      </c>
    </row>
    <row r="1546" customFormat="false" ht="15" hidden="false" customHeight="true" outlineLevel="0" collapsed="false">
      <c r="A1546" s="1" t="s">
        <v>2361</v>
      </c>
      <c r="B1546" s="1" t="s">
        <v>1610</v>
      </c>
      <c r="C1546" s="1" t="s">
        <v>74</v>
      </c>
      <c r="D1546" s="1" t="s">
        <v>94</v>
      </c>
      <c r="E1546" s="1" t="s">
        <v>101</v>
      </c>
      <c r="F1546" s="1" t="s">
        <v>67</v>
      </c>
      <c r="G1546" s="1" t="s">
        <v>68</v>
      </c>
      <c r="H1546" s="1" t="s">
        <v>69</v>
      </c>
      <c r="I1546" s="1" t="s">
        <v>34</v>
      </c>
      <c r="J1546" s="1" t="s">
        <v>59</v>
      </c>
      <c r="K1546" s="1" t="s">
        <v>90</v>
      </c>
      <c r="L1546" s="1" t="s">
        <v>37</v>
      </c>
      <c r="M1546" s="1" t="s">
        <v>38</v>
      </c>
      <c r="N1546" s="1" t="n">
        <v>14999</v>
      </c>
      <c r="O1546" s="1" t="n">
        <v>40</v>
      </c>
      <c r="P1546" s="1" t="n">
        <v>5999.6</v>
      </c>
      <c r="Q1546" s="1" t="n">
        <v>8999.4</v>
      </c>
      <c r="R1546" s="1" t="n">
        <v>1619.89</v>
      </c>
      <c r="S1546" s="1" t="n">
        <v>7379.51</v>
      </c>
      <c r="T1546" s="1" t="n">
        <v>4060.1</v>
      </c>
      <c r="U1546" s="1" t="n">
        <v>3319.41</v>
      </c>
      <c r="V1546" s="1" t="n">
        <v>44.98</v>
      </c>
      <c r="W1546" s="1" t="s">
        <v>39</v>
      </c>
      <c r="Y1546" s="1" t="s">
        <v>40</v>
      </c>
      <c r="Z1546" s="1" t="n">
        <v>0</v>
      </c>
      <c r="AA1546" s="1" t="str">
        <f aca="false">TRIM(PROPER(F1546))</f>
        <v>Ahmedabad</v>
      </c>
      <c r="AB1546" s="1" t="str">
        <f aca="false">TRIM(PROPER(C1546))</f>
        <v>Vedantu</v>
      </c>
      <c r="AC1546" s="1" t="str">
        <f aca="false">IF(O1546=0,"No Discount",IF(O1546&lt;=15,"Low (1-15%)",IF(O1546&lt;=30,"Medium (16-30%)","High (&gt;30%)")))</f>
        <v>High (&gt;30%)</v>
      </c>
      <c r="AD1546" s="1" t="str">
        <f aca="false">IF(V1546&lt;0,"Loss Making",IF(V1546&lt;20,"Low Margin","Healthy Margin"))</f>
        <v>Healthy Margin</v>
      </c>
      <c r="AE1546" s="1" t="str">
        <f aca="false">TEXT(DATE(VALUE(RIGHT(B1546,4)),VALUE(MID(B1546,4,2)),VALUE(LEFT(B1546,2))),"MMM-YYYY")</f>
        <v>Mar-2023</v>
      </c>
      <c r="AF1546" s="1" t="n">
        <f aca="false">VALUE(RIGHT(B1546,4))</f>
        <v>2023</v>
      </c>
      <c r="AG1546" s="1" t="str">
        <f aca="false">CHOOSE(ROUNDUP(VALUE(MID(B1546,4,2))/3,0),"Q1","Q2","Q3","Q4")</f>
        <v>Q1</v>
      </c>
    </row>
    <row r="1547" customFormat="false" ht="15" hidden="false" customHeight="true" outlineLevel="0" collapsed="false">
      <c r="A1547" s="1" t="s">
        <v>2362</v>
      </c>
      <c r="B1547" s="1" t="s">
        <v>2363</v>
      </c>
      <c r="C1547" s="1" t="s">
        <v>65</v>
      </c>
      <c r="D1547" s="1" t="s">
        <v>80</v>
      </c>
      <c r="E1547" s="1" t="s">
        <v>81</v>
      </c>
      <c r="F1547" s="1" t="s">
        <v>150</v>
      </c>
      <c r="G1547" s="1" t="s">
        <v>32</v>
      </c>
      <c r="H1547" s="1" t="s">
        <v>57</v>
      </c>
      <c r="I1547" s="1" t="s">
        <v>58</v>
      </c>
      <c r="J1547" s="1" t="s">
        <v>131</v>
      </c>
      <c r="K1547" s="1" t="s">
        <v>60</v>
      </c>
      <c r="L1547" s="1" t="s">
        <v>136</v>
      </c>
      <c r="M1547" s="1" t="s">
        <v>38</v>
      </c>
      <c r="N1547" s="1" t="n">
        <v>12999</v>
      </c>
      <c r="O1547" s="1" t="n">
        <v>30</v>
      </c>
      <c r="P1547" s="1" t="n">
        <v>3899.7</v>
      </c>
      <c r="Q1547" s="1" t="n">
        <v>9099.3</v>
      </c>
      <c r="R1547" s="1" t="n">
        <v>1637.87</v>
      </c>
      <c r="S1547" s="1" t="n">
        <v>7461.43</v>
      </c>
      <c r="T1547" s="1" t="n">
        <v>3169.68</v>
      </c>
      <c r="U1547" s="1" t="n">
        <v>4291.75</v>
      </c>
      <c r="V1547" s="1" t="n">
        <v>57.52</v>
      </c>
      <c r="W1547" s="1" t="s">
        <v>39</v>
      </c>
      <c r="X1547" s="1" t="n">
        <v>3.2</v>
      </c>
      <c r="Y1547" s="1" t="s">
        <v>40</v>
      </c>
      <c r="Z1547" s="1" t="n">
        <v>0</v>
      </c>
      <c r="AA1547" s="1" t="str">
        <f aca="false">TRIM(PROPER(F1547))</f>
        <v>Jaipur</v>
      </c>
      <c r="AB1547" s="1" t="str">
        <f aca="false">TRIM(PROPER(C1547))</f>
        <v>Toppr</v>
      </c>
      <c r="AC1547" s="1" t="str">
        <f aca="false">IF(O1547=0,"No Discount",IF(O1547&lt;=15,"Low (1-15%)",IF(O1547&lt;=30,"Medium (16-30%)","High (&gt;30%)")))</f>
        <v>Medium (16-30%)</v>
      </c>
      <c r="AD1547" s="1" t="str">
        <f aca="false">IF(V1547&lt;0,"Loss Making",IF(V1547&lt;20,"Low Margin","Healthy Margin"))</f>
        <v>Healthy Margin</v>
      </c>
      <c r="AE1547" s="1" t="str">
        <f aca="false">TEXT(DATE(VALUE(RIGHT(B1547,4)),VALUE(MID(B1547,4,2)),VALUE(LEFT(B1547,2))),"MMM-YYYY")</f>
        <v>Dec-2023</v>
      </c>
      <c r="AF1547" s="1" t="n">
        <f aca="false">VALUE(RIGHT(B1547,4))</f>
        <v>2023</v>
      </c>
      <c r="AG1547" s="1" t="str">
        <f aca="false">CHOOSE(ROUNDUP(VALUE(MID(B1547,4,2))/3,0),"Q1","Q2","Q3","Q4")</f>
        <v>Q4</v>
      </c>
    </row>
    <row r="1548" customFormat="false" ht="15" hidden="false" customHeight="true" outlineLevel="0" collapsed="false">
      <c r="A1548" s="1" t="s">
        <v>2364</v>
      </c>
      <c r="B1548" s="1" t="s">
        <v>1072</v>
      </c>
      <c r="C1548" s="1" t="s">
        <v>780</v>
      </c>
      <c r="D1548" s="1" t="s">
        <v>168</v>
      </c>
      <c r="E1548" s="1" t="s">
        <v>197</v>
      </c>
      <c r="F1548" s="1" t="s">
        <v>89</v>
      </c>
      <c r="G1548" s="1" t="s">
        <v>68</v>
      </c>
      <c r="H1548" s="1" t="s">
        <v>33</v>
      </c>
      <c r="I1548" s="1" t="s">
        <v>83</v>
      </c>
      <c r="J1548" s="1" t="s">
        <v>77</v>
      </c>
      <c r="K1548" s="1" t="s">
        <v>104</v>
      </c>
      <c r="L1548" s="1" t="s">
        <v>37</v>
      </c>
      <c r="M1548" s="1" t="s">
        <v>38</v>
      </c>
      <c r="N1548" s="1" t="n">
        <v>8499</v>
      </c>
      <c r="O1548" s="1" t="n">
        <v>50</v>
      </c>
      <c r="P1548" s="1" t="n">
        <v>4249.5</v>
      </c>
      <c r="Q1548" s="1" t="n">
        <v>4249.5</v>
      </c>
      <c r="R1548" s="1" t="n">
        <v>764.91</v>
      </c>
      <c r="S1548" s="1" t="n">
        <v>3484.59</v>
      </c>
      <c r="T1548" s="1" t="n">
        <v>1816.21</v>
      </c>
      <c r="U1548" s="1" t="n">
        <v>1668.38</v>
      </c>
      <c r="V1548" s="1" t="n">
        <v>47.88</v>
      </c>
      <c r="W1548" s="1" t="s">
        <v>40</v>
      </c>
      <c r="Y1548" s="1" t="s">
        <v>40</v>
      </c>
      <c r="Z1548" s="1" t="n">
        <v>1</v>
      </c>
      <c r="AA1548" s="1" t="str">
        <f aca="false">TRIM(PROPER(F1548))</f>
        <v>Vadodara</v>
      </c>
      <c r="AB1548" s="1" t="str">
        <f aca="false">TRIM(PROPER(C1548))</f>
        <v>Extramarks</v>
      </c>
      <c r="AC1548" s="1" t="str">
        <f aca="false">IF(O1548=0,"No Discount",IF(O1548&lt;=15,"Low (1-15%)",IF(O1548&lt;=30,"Medium (16-30%)","High (&gt;30%)")))</f>
        <v>High (&gt;30%)</v>
      </c>
      <c r="AD1548" s="1" t="str">
        <f aca="false">IF(V1548&lt;0,"Loss Making",IF(V1548&lt;20,"Low Margin","Healthy Margin"))</f>
        <v>Healthy Margin</v>
      </c>
      <c r="AE1548" s="1" t="str">
        <f aca="false">TEXT(DATE(VALUE(RIGHT(B1548,4)),VALUE(MID(B1548,4,2)),VALUE(LEFT(B1548,2))),"MMM-YYYY")</f>
        <v>Jan-2023</v>
      </c>
      <c r="AF1548" s="1" t="n">
        <f aca="false">VALUE(RIGHT(B1548,4))</f>
        <v>2023</v>
      </c>
      <c r="AG1548" s="1" t="str">
        <f aca="false">CHOOSE(ROUNDUP(VALUE(MID(B1548,4,2))/3,0),"Q1","Q2","Q3","Q4")</f>
        <v>Q1</v>
      </c>
    </row>
    <row r="1549" customFormat="false" ht="15" hidden="false" customHeight="true" outlineLevel="0" collapsed="false">
      <c r="A1549" s="1" t="s">
        <v>2365</v>
      </c>
      <c r="B1549" s="1" t="s">
        <v>366</v>
      </c>
      <c r="C1549" s="1" t="s">
        <v>249</v>
      </c>
      <c r="D1549" s="1" t="s">
        <v>80</v>
      </c>
      <c r="E1549" s="1" t="s">
        <v>193</v>
      </c>
      <c r="F1549" s="1" t="s">
        <v>82</v>
      </c>
      <c r="G1549" s="1" t="s">
        <v>56</v>
      </c>
      <c r="H1549" s="1" t="s">
        <v>69</v>
      </c>
      <c r="I1549" s="1" t="s">
        <v>58</v>
      </c>
      <c r="J1549" s="1" t="s">
        <v>70</v>
      </c>
      <c r="K1549" s="1" t="s">
        <v>48</v>
      </c>
      <c r="L1549" s="1" t="s">
        <v>85</v>
      </c>
      <c r="M1549" s="1" t="s">
        <v>62</v>
      </c>
      <c r="N1549" s="1" t="n">
        <v>8999</v>
      </c>
      <c r="O1549" s="1" t="n">
        <v>50</v>
      </c>
      <c r="P1549" s="1" t="n">
        <v>4499.5</v>
      </c>
      <c r="Q1549" s="1" t="n">
        <v>4499.5</v>
      </c>
      <c r="R1549" s="1" t="n">
        <v>809.91</v>
      </c>
      <c r="S1549" s="1" t="n">
        <v>3689.59</v>
      </c>
      <c r="T1549" s="1" t="n">
        <v>2005.87</v>
      </c>
      <c r="U1549" s="1" t="n">
        <v>1683.72</v>
      </c>
      <c r="V1549" s="1" t="n">
        <v>45.63</v>
      </c>
      <c r="W1549" s="1" t="s">
        <v>40</v>
      </c>
      <c r="Y1549" s="1" t="s">
        <v>40</v>
      </c>
      <c r="Z1549" s="1" t="n">
        <v>1</v>
      </c>
      <c r="AA1549" s="1" t="str">
        <f aca="false">TRIM(PROPER(F1549))</f>
        <v>Gurugram</v>
      </c>
      <c r="AB1549" s="1" t="str">
        <f aca="false">TRIM(PROPER(C1549))</f>
        <v>Whitehat Jr</v>
      </c>
      <c r="AC1549" s="1" t="str">
        <f aca="false">IF(O1549=0,"No Discount",IF(O1549&lt;=15,"Low (1-15%)",IF(O1549&lt;=30,"Medium (16-30%)","High (&gt;30%)")))</f>
        <v>High (&gt;30%)</v>
      </c>
      <c r="AD1549" s="1" t="str">
        <f aca="false">IF(V1549&lt;0,"Loss Making",IF(V1549&lt;20,"Low Margin","Healthy Margin"))</f>
        <v>Healthy Margin</v>
      </c>
      <c r="AE1549" s="1" t="str">
        <f aca="false">TEXT(DATE(VALUE(RIGHT(B1549,4)),VALUE(MID(B1549,4,2)),VALUE(LEFT(B1549,2))),"MMM-YYYY")</f>
        <v>Apr-2023</v>
      </c>
      <c r="AF1549" s="1" t="n">
        <f aca="false">VALUE(RIGHT(B1549,4))</f>
        <v>2023</v>
      </c>
      <c r="AG1549" s="1" t="str">
        <f aca="false">CHOOSE(ROUNDUP(VALUE(MID(B1549,4,2))/3,0),"Q1","Q2","Q3","Q4")</f>
        <v>Q2</v>
      </c>
    </row>
    <row r="1550" customFormat="false" ht="15" hidden="false" customHeight="true" outlineLevel="0" collapsed="false">
      <c r="A1550" s="1" t="s">
        <v>2366</v>
      </c>
      <c r="B1550" s="1" t="s">
        <v>1553</v>
      </c>
      <c r="C1550" s="1" t="s">
        <v>74</v>
      </c>
      <c r="D1550" s="1" t="s">
        <v>94</v>
      </c>
      <c r="E1550" s="1" t="s">
        <v>135</v>
      </c>
      <c r="F1550" s="1" t="s">
        <v>140</v>
      </c>
      <c r="G1550" s="1" t="s">
        <v>97</v>
      </c>
      <c r="H1550" s="1" t="s">
        <v>57</v>
      </c>
      <c r="I1550" s="1" t="s">
        <v>34</v>
      </c>
      <c r="J1550" s="1" t="s">
        <v>131</v>
      </c>
      <c r="K1550" s="1" t="s">
        <v>36</v>
      </c>
      <c r="L1550" s="1" t="s">
        <v>61</v>
      </c>
      <c r="M1550" s="1" t="s">
        <v>62</v>
      </c>
      <c r="N1550" s="1" t="n">
        <v>9999</v>
      </c>
      <c r="O1550" s="1" t="n">
        <v>50</v>
      </c>
      <c r="P1550" s="1" t="n">
        <v>4999.5</v>
      </c>
      <c r="Q1550" s="1" t="n">
        <v>4999.5</v>
      </c>
      <c r="R1550" s="1" t="n">
        <v>899.91</v>
      </c>
      <c r="S1550" s="1" t="n">
        <v>4099.59</v>
      </c>
      <c r="T1550" s="1" t="n">
        <v>2378.01</v>
      </c>
      <c r="U1550" s="1" t="n">
        <v>1721.58</v>
      </c>
      <c r="V1550" s="1" t="n">
        <v>41.99</v>
      </c>
      <c r="W1550" s="1" t="s">
        <v>39</v>
      </c>
      <c r="X1550" s="1" t="n">
        <v>3.6</v>
      </c>
      <c r="Y1550" s="1" t="s">
        <v>40</v>
      </c>
      <c r="Z1550" s="1" t="n">
        <v>0</v>
      </c>
      <c r="AA1550" s="1" t="str">
        <f aca="false">TRIM(PROPER(F1550))</f>
        <v>Nashik</v>
      </c>
      <c r="AB1550" s="1" t="str">
        <f aca="false">TRIM(PROPER(C1550))</f>
        <v>Vedantu</v>
      </c>
      <c r="AC1550" s="1" t="str">
        <f aca="false">IF(O1550=0,"No Discount",IF(O1550&lt;=15,"Low (1-15%)",IF(O1550&lt;=30,"Medium (16-30%)","High (&gt;30%)")))</f>
        <v>High (&gt;30%)</v>
      </c>
      <c r="AD1550" s="1" t="str">
        <f aca="false">IF(V1550&lt;0,"Loss Making",IF(V1550&lt;20,"Low Margin","Healthy Margin"))</f>
        <v>Healthy Margin</v>
      </c>
      <c r="AE1550" s="1" t="str">
        <f aca="false">TEXT(DATE(VALUE(RIGHT(B1550,4)),VALUE(MID(B1550,4,2)),VALUE(LEFT(B1550,2))),"MMM-YYYY")</f>
        <v>May-2023</v>
      </c>
      <c r="AF1550" s="1" t="n">
        <f aca="false">VALUE(RIGHT(B1550,4))</f>
        <v>2023</v>
      </c>
      <c r="AG1550" s="1" t="str">
        <f aca="false">CHOOSE(ROUNDUP(VALUE(MID(B1550,4,2))/3,0),"Q1","Q2","Q3","Q4")</f>
        <v>Q2</v>
      </c>
    </row>
    <row r="1551" customFormat="false" ht="15" hidden="false" customHeight="true" outlineLevel="0" collapsed="false">
      <c r="A1551" s="1" t="s">
        <v>2367</v>
      </c>
      <c r="B1551" s="1" t="s">
        <v>464</v>
      </c>
      <c r="C1551" s="1" t="s">
        <v>167</v>
      </c>
      <c r="D1551" s="1" t="s">
        <v>168</v>
      </c>
      <c r="E1551" s="1" t="s">
        <v>197</v>
      </c>
      <c r="F1551" s="1" t="s">
        <v>125</v>
      </c>
      <c r="G1551" s="1" t="s">
        <v>108</v>
      </c>
      <c r="H1551" s="1" t="s">
        <v>69</v>
      </c>
      <c r="I1551" s="1" t="s">
        <v>58</v>
      </c>
      <c r="J1551" s="1" t="s">
        <v>35</v>
      </c>
      <c r="K1551" s="1" t="s">
        <v>36</v>
      </c>
      <c r="L1551" s="1" t="s">
        <v>136</v>
      </c>
      <c r="M1551" s="1" t="s">
        <v>38</v>
      </c>
      <c r="N1551" s="1" t="n">
        <v>8499</v>
      </c>
      <c r="O1551" s="1" t="n">
        <v>0</v>
      </c>
      <c r="P1551" s="1" t="n">
        <v>0</v>
      </c>
      <c r="Q1551" s="1" t="n">
        <v>8499</v>
      </c>
      <c r="R1551" s="1" t="n">
        <v>1529.82</v>
      </c>
      <c r="S1551" s="1" t="n">
        <v>6969.18</v>
      </c>
      <c r="T1551" s="1" t="n">
        <v>2706.24</v>
      </c>
      <c r="U1551" s="1" t="n">
        <v>4262.94</v>
      </c>
      <c r="V1551" s="1" t="n">
        <v>61.17</v>
      </c>
      <c r="W1551" s="1" t="s">
        <v>39</v>
      </c>
      <c r="X1551" s="1" t="n">
        <v>4.5</v>
      </c>
      <c r="Y1551" s="1" t="s">
        <v>40</v>
      </c>
      <c r="Z1551" s="1" t="n">
        <v>0</v>
      </c>
      <c r="AA1551" s="1" t="str">
        <f aca="false">TRIM(PROPER(F1551))</f>
        <v>Chennai</v>
      </c>
      <c r="AB1551" s="1" t="str">
        <f aca="false">TRIM(PROPER(C1551))</f>
        <v>Scaler</v>
      </c>
      <c r="AC1551" s="1" t="str">
        <f aca="false">IF(O1551=0,"No Discount",IF(O1551&lt;=15,"Low (1-15%)",IF(O1551&lt;=30,"Medium (16-30%)","High (&gt;30%)")))</f>
        <v>No Discount</v>
      </c>
      <c r="AD1551" s="1" t="str">
        <f aca="false">IF(V1551&lt;0,"Loss Making",IF(V1551&lt;20,"Low Margin","Healthy Margin"))</f>
        <v>Healthy Margin</v>
      </c>
      <c r="AE1551" s="1" t="str">
        <f aca="false">TEXT(DATE(VALUE(RIGHT(B1551,4)),VALUE(MID(B1551,4,2)),VALUE(LEFT(B1551,2))),"MMM-YYYY")</f>
        <v>Mar-2023</v>
      </c>
      <c r="AF1551" s="1" t="n">
        <f aca="false">VALUE(RIGHT(B1551,4))</f>
        <v>2023</v>
      </c>
      <c r="AG1551" s="1" t="str">
        <f aca="false">CHOOSE(ROUNDUP(VALUE(MID(B1551,4,2))/3,0),"Q1","Q2","Q3","Q4")</f>
        <v>Q1</v>
      </c>
    </row>
    <row r="1552" customFormat="false" ht="15" hidden="false" customHeight="true" outlineLevel="0" collapsed="false">
      <c r="A1552" s="1" t="s">
        <v>2368</v>
      </c>
      <c r="B1552" s="1" t="s">
        <v>1423</v>
      </c>
      <c r="C1552" s="1" t="s">
        <v>128</v>
      </c>
      <c r="D1552" s="1" t="s">
        <v>123</v>
      </c>
      <c r="E1552" s="1" t="s">
        <v>233</v>
      </c>
      <c r="F1552" s="1" t="s">
        <v>153</v>
      </c>
      <c r="G1552" s="1" t="s">
        <v>76</v>
      </c>
      <c r="H1552" s="1" t="s">
        <v>33</v>
      </c>
      <c r="I1552" s="1" t="s">
        <v>34</v>
      </c>
      <c r="J1552" s="1" t="s">
        <v>77</v>
      </c>
      <c r="K1552" s="1" t="s">
        <v>84</v>
      </c>
      <c r="L1552" s="1" t="s">
        <v>136</v>
      </c>
      <c r="M1552" s="1" t="s">
        <v>62</v>
      </c>
      <c r="N1552" s="1" t="n">
        <v>8999</v>
      </c>
      <c r="O1552" s="1" t="n">
        <v>10</v>
      </c>
      <c r="P1552" s="1" t="n">
        <v>899.9</v>
      </c>
      <c r="Q1552" s="1" t="n">
        <v>8099.1</v>
      </c>
      <c r="R1552" s="1" t="n">
        <v>1457.84</v>
      </c>
      <c r="S1552" s="1" t="n">
        <v>6641.26</v>
      </c>
      <c r="T1552" s="1" t="n">
        <v>3412.08</v>
      </c>
      <c r="U1552" s="1" t="n">
        <v>3229.18</v>
      </c>
      <c r="V1552" s="1" t="n">
        <v>48.62</v>
      </c>
      <c r="W1552" s="1" t="s">
        <v>39</v>
      </c>
      <c r="X1552" s="1" t="n">
        <v>4</v>
      </c>
      <c r="Y1552" s="1" t="s">
        <v>40</v>
      </c>
      <c r="Z1552" s="1" t="n">
        <v>0</v>
      </c>
      <c r="AA1552" s="1" t="str">
        <f aca="false">TRIM(PROPER(F1552))</f>
        <v>Howrah</v>
      </c>
      <c r="AB1552" s="1" t="str">
        <f aca="false">TRIM(PROPER(C1552))</f>
        <v>Great Learning</v>
      </c>
      <c r="AC1552" s="1" t="str">
        <f aca="false">IF(O1552=0,"No Discount",IF(O1552&lt;=15,"Low (1-15%)",IF(O1552&lt;=30,"Medium (16-30%)","High (&gt;30%)")))</f>
        <v>Low (1-15%)</v>
      </c>
      <c r="AD1552" s="1" t="str">
        <f aca="false">IF(V1552&lt;0,"Loss Making",IF(V1552&lt;20,"Low Margin","Healthy Margin"))</f>
        <v>Healthy Margin</v>
      </c>
      <c r="AE1552" s="1" t="str">
        <f aca="false">TEXT(DATE(VALUE(RIGHT(B1552,4)),VALUE(MID(B1552,4,2)),VALUE(LEFT(B1552,2))),"MMM-YYYY")</f>
        <v>Apr-2023</v>
      </c>
      <c r="AF1552" s="1" t="n">
        <f aca="false">VALUE(RIGHT(B1552,4))</f>
        <v>2023</v>
      </c>
      <c r="AG1552" s="1" t="str">
        <f aca="false">CHOOSE(ROUNDUP(VALUE(MID(B1552,4,2))/3,0),"Q1","Q2","Q3","Q4")</f>
        <v>Q2</v>
      </c>
    </row>
    <row r="1553" customFormat="false" ht="15" hidden="false" customHeight="true" outlineLevel="0" collapsed="false">
      <c r="A1553" s="1" t="s">
        <v>2369</v>
      </c>
      <c r="B1553" s="1" t="s">
        <v>1104</v>
      </c>
      <c r="C1553" s="1" t="s">
        <v>178</v>
      </c>
      <c r="D1553" s="1" t="s">
        <v>123</v>
      </c>
      <c r="E1553" s="1" t="s">
        <v>124</v>
      </c>
      <c r="F1553" s="1" t="s">
        <v>55</v>
      </c>
      <c r="G1553" s="1" t="s">
        <v>56</v>
      </c>
      <c r="H1553" s="1" t="s">
        <v>57</v>
      </c>
      <c r="I1553" s="1" t="s">
        <v>34</v>
      </c>
      <c r="J1553" s="1" t="s">
        <v>35</v>
      </c>
      <c r="K1553" s="1" t="s">
        <v>36</v>
      </c>
      <c r="L1553" s="1" t="s">
        <v>49</v>
      </c>
      <c r="M1553" s="1" t="s">
        <v>62</v>
      </c>
      <c r="N1553" s="1" t="n">
        <v>4999</v>
      </c>
      <c r="O1553" s="1" t="n">
        <v>10</v>
      </c>
      <c r="P1553" s="1" t="n">
        <v>499.9</v>
      </c>
      <c r="Q1553" s="1" t="n">
        <v>4499.1</v>
      </c>
      <c r="R1553" s="1" t="n">
        <v>809.84</v>
      </c>
      <c r="S1553" s="1" t="n">
        <v>3689.26</v>
      </c>
      <c r="T1553" s="1" t="n">
        <v>1581.48</v>
      </c>
      <c r="U1553" s="1" t="n">
        <v>2107.78</v>
      </c>
      <c r="V1553" s="1" t="n">
        <v>57.13</v>
      </c>
      <c r="W1553" s="1" t="s">
        <v>39</v>
      </c>
      <c r="X1553" s="1" t="n">
        <v>3.2</v>
      </c>
      <c r="Y1553" s="1" t="s">
        <v>40</v>
      </c>
      <c r="Z1553" s="1" t="n">
        <v>0</v>
      </c>
      <c r="AA1553" s="1" t="str">
        <f aca="false">TRIM(PROPER(F1553))</f>
        <v>Ghaziabad</v>
      </c>
      <c r="AB1553" s="1" t="str">
        <f aca="false">TRIM(PROPER(C1553))</f>
        <v>Leverage Edu</v>
      </c>
      <c r="AC1553" s="1" t="str">
        <f aca="false">IF(O1553=0,"No Discount",IF(O1553&lt;=15,"Low (1-15%)",IF(O1553&lt;=30,"Medium (16-30%)","High (&gt;30%)")))</f>
        <v>Low (1-15%)</v>
      </c>
      <c r="AD1553" s="1" t="str">
        <f aca="false">IF(V1553&lt;0,"Loss Making",IF(V1553&lt;20,"Low Margin","Healthy Margin"))</f>
        <v>Healthy Margin</v>
      </c>
      <c r="AE1553" s="1" t="str">
        <f aca="false">TEXT(DATE(VALUE(RIGHT(B1553,4)),VALUE(MID(B1553,4,2)),VALUE(LEFT(B1553,2))),"MMM-YYYY")</f>
        <v>May-2023</v>
      </c>
      <c r="AF1553" s="1" t="n">
        <f aca="false">VALUE(RIGHT(B1553,4))</f>
        <v>2023</v>
      </c>
      <c r="AG1553" s="1" t="str">
        <f aca="false">CHOOSE(ROUNDUP(VALUE(MID(B1553,4,2))/3,0),"Q1","Q2","Q3","Q4")</f>
        <v>Q2</v>
      </c>
    </row>
    <row r="1554" customFormat="false" ht="15" hidden="false" customHeight="true" outlineLevel="0" collapsed="false">
      <c r="A1554" s="1" t="s">
        <v>2370</v>
      </c>
      <c r="B1554" s="1" t="s">
        <v>430</v>
      </c>
      <c r="C1554" s="1" t="s">
        <v>249</v>
      </c>
      <c r="D1554" s="1" t="s">
        <v>44</v>
      </c>
      <c r="E1554" s="1" t="s">
        <v>45</v>
      </c>
      <c r="F1554" s="1" t="s">
        <v>46</v>
      </c>
      <c r="G1554" s="1" t="s">
        <v>47</v>
      </c>
      <c r="H1554" s="1" t="s">
        <v>33</v>
      </c>
      <c r="I1554" s="1" t="s">
        <v>34</v>
      </c>
      <c r="J1554" s="1" t="s">
        <v>131</v>
      </c>
      <c r="K1554" s="1" t="s">
        <v>90</v>
      </c>
      <c r="L1554" s="1" t="s">
        <v>61</v>
      </c>
      <c r="M1554" s="1" t="s">
        <v>50</v>
      </c>
      <c r="N1554" s="1" t="n">
        <v>11999</v>
      </c>
      <c r="O1554" s="1" t="n">
        <v>30</v>
      </c>
      <c r="P1554" s="1" t="n">
        <v>3599.7</v>
      </c>
      <c r="Q1554" s="1" t="n">
        <v>8399.3</v>
      </c>
      <c r="R1554" s="1" t="n">
        <v>1511.87</v>
      </c>
      <c r="S1554" s="1" t="n">
        <v>6887.43</v>
      </c>
      <c r="T1554" s="1" t="n">
        <v>2725.22</v>
      </c>
      <c r="U1554" s="1" t="n">
        <v>4162.21</v>
      </c>
      <c r="V1554" s="1" t="n">
        <v>60.43</v>
      </c>
      <c r="W1554" s="1" t="s">
        <v>39</v>
      </c>
      <c r="X1554" s="1" t="n">
        <v>3.3</v>
      </c>
      <c r="Y1554" s="1" t="s">
        <v>40</v>
      </c>
      <c r="Z1554" s="1" t="n">
        <v>0</v>
      </c>
      <c r="AA1554" s="1" t="str">
        <f aca="false">TRIM(PROPER(F1554))</f>
        <v>Mangaluru</v>
      </c>
      <c r="AB1554" s="1" t="str">
        <f aca="false">TRIM(PROPER(C1554))</f>
        <v>Whitehat Jr</v>
      </c>
      <c r="AC1554" s="1" t="str">
        <f aca="false">IF(O1554=0,"No Discount",IF(O1554&lt;=15,"Low (1-15%)",IF(O1554&lt;=30,"Medium (16-30%)","High (&gt;30%)")))</f>
        <v>Medium (16-30%)</v>
      </c>
      <c r="AD1554" s="1" t="str">
        <f aca="false">IF(V1554&lt;0,"Loss Making",IF(V1554&lt;20,"Low Margin","Healthy Margin"))</f>
        <v>Healthy Margin</v>
      </c>
      <c r="AE1554" s="1" t="str">
        <f aca="false">TEXT(DATE(VALUE(RIGHT(B1554,4)),VALUE(MID(B1554,4,2)),VALUE(LEFT(B1554,2))),"MMM-YYYY")</f>
        <v>Nov-2023</v>
      </c>
      <c r="AF1554" s="1" t="n">
        <f aca="false">VALUE(RIGHT(B1554,4))</f>
        <v>2023</v>
      </c>
      <c r="AG1554" s="1" t="str">
        <f aca="false">CHOOSE(ROUNDUP(VALUE(MID(B1554,4,2))/3,0),"Q1","Q2","Q3","Q4")</f>
        <v>Q4</v>
      </c>
    </row>
    <row r="1555" customFormat="false" ht="15" hidden="false" customHeight="true" outlineLevel="0" collapsed="false">
      <c r="A1555" s="1" t="s">
        <v>2371</v>
      </c>
      <c r="B1555" s="1" t="s">
        <v>1280</v>
      </c>
      <c r="C1555" s="1" t="s">
        <v>43</v>
      </c>
      <c r="D1555" s="1" t="s">
        <v>143</v>
      </c>
      <c r="E1555" s="1" t="s">
        <v>243</v>
      </c>
      <c r="F1555" s="1" t="s">
        <v>205</v>
      </c>
      <c r="G1555" s="1" t="s">
        <v>56</v>
      </c>
      <c r="H1555" s="1" t="s">
        <v>69</v>
      </c>
      <c r="I1555" s="1" t="s">
        <v>58</v>
      </c>
      <c r="J1555" s="1" t="s">
        <v>131</v>
      </c>
      <c r="K1555" s="1" t="s">
        <v>71</v>
      </c>
      <c r="L1555" s="1" t="s">
        <v>136</v>
      </c>
      <c r="M1555" s="1" t="s">
        <v>50</v>
      </c>
      <c r="N1555" s="1" t="n">
        <v>22999</v>
      </c>
      <c r="O1555" s="1" t="n">
        <v>25</v>
      </c>
      <c r="P1555" s="1" t="n">
        <v>5749.75</v>
      </c>
      <c r="Q1555" s="1" t="n">
        <v>17249.25</v>
      </c>
      <c r="R1555" s="1" t="n">
        <v>3104.86</v>
      </c>
      <c r="S1555" s="1" t="n">
        <v>14144.39</v>
      </c>
      <c r="T1555" s="1" t="n">
        <v>5883.82</v>
      </c>
      <c r="U1555" s="1" t="n">
        <v>8260.57</v>
      </c>
      <c r="V1555" s="1" t="n">
        <v>58.4</v>
      </c>
      <c r="W1555" s="1" t="s">
        <v>40</v>
      </c>
      <c r="Y1555" s="1" t="s">
        <v>40</v>
      </c>
      <c r="Z1555" s="1" t="n">
        <v>0</v>
      </c>
      <c r="AA1555" s="1" t="str">
        <f aca="false">TRIM(PROPER(F1555))</f>
        <v>New Delhi</v>
      </c>
      <c r="AB1555" s="1" t="str">
        <f aca="false">TRIM(PROPER(C1555))</f>
        <v>Meritnation</v>
      </c>
      <c r="AC1555" s="1" t="str">
        <f aca="false">IF(O1555=0,"No Discount",IF(O1555&lt;=15,"Low (1-15%)",IF(O1555&lt;=30,"Medium (16-30%)","High (&gt;30%)")))</f>
        <v>Medium (16-30%)</v>
      </c>
      <c r="AD1555" s="1" t="str">
        <f aca="false">IF(V1555&lt;0,"Loss Making",IF(V1555&lt;20,"Low Margin","Healthy Margin"))</f>
        <v>Healthy Margin</v>
      </c>
      <c r="AE1555" s="1" t="str">
        <f aca="false">TEXT(DATE(VALUE(RIGHT(B1555,4)),VALUE(MID(B1555,4,2)),VALUE(LEFT(B1555,2))),"MMM-YYYY")</f>
        <v>Jul-2024</v>
      </c>
      <c r="AF1555" s="1" t="n">
        <f aca="false">VALUE(RIGHT(B1555,4))</f>
        <v>2024</v>
      </c>
      <c r="AG1555" s="1" t="str">
        <f aca="false">CHOOSE(ROUNDUP(VALUE(MID(B1555,4,2))/3,0),"Q1","Q2","Q3","Q4")</f>
        <v>Q3</v>
      </c>
    </row>
    <row r="1556" customFormat="false" ht="15" hidden="false" customHeight="true" outlineLevel="0" collapsed="false">
      <c r="A1556" s="1" t="s">
        <v>2372</v>
      </c>
      <c r="B1556" s="1" t="s">
        <v>1113</v>
      </c>
      <c r="C1556" s="1" t="s">
        <v>167</v>
      </c>
      <c r="D1556" s="1" t="s">
        <v>80</v>
      </c>
      <c r="E1556" s="1" t="s">
        <v>175</v>
      </c>
      <c r="F1556" s="1" t="s">
        <v>205</v>
      </c>
      <c r="G1556" s="1" t="s">
        <v>56</v>
      </c>
      <c r="H1556" s="1" t="s">
        <v>69</v>
      </c>
      <c r="I1556" s="1" t="s">
        <v>83</v>
      </c>
      <c r="J1556" s="1" t="s">
        <v>35</v>
      </c>
      <c r="K1556" s="1" t="s">
        <v>36</v>
      </c>
      <c r="L1556" s="1" t="s">
        <v>61</v>
      </c>
      <c r="M1556" s="1" t="s">
        <v>38</v>
      </c>
      <c r="N1556" s="1" t="n">
        <v>19999</v>
      </c>
      <c r="O1556" s="1" t="n">
        <v>50</v>
      </c>
      <c r="P1556" s="1" t="n">
        <v>9999.5</v>
      </c>
      <c r="Q1556" s="1" t="n">
        <v>9999.5</v>
      </c>
      <c r="R1556" s="1" t="n">
        <v>1799.91</v>
      </c>
      <c r="S1556" s="1" t="n">
        <v>8199.59</v>
      </c>
      <c r="T1556" s="1" t="n">
        <v>4153.77</v>
      </c>
      <c r="U1556" s="1" t="n">
        <v>4045.82</v>
      </c>
      <c r="V1556" s="1" t="n">
        <v>49.34</v>
      </c>
      <c r="W1556" s="1" t="s">
        <v>40</v>
      </c>
      <c r="Y1556" s="1" t="s">
        <v>40</v>
      </c>
      <c r="Z1556" s="1" t="n">
        <v>1</v>
      </c>
      <c r="AA1556" s="1" t="str">
        <f aca="false">TRIM(PROPER(F1556))</f>
        <v>New Delhi</v>
      </c>
      <c r="AB1556" s="1" t="str">
        <f aca="false">TRIM(PROPER(C1556))</f>
        <v>Scaler</v>
      </c>
      <c r="AC1556" s="1" t="str">
        <f aca="false">IF(O1556=0,"No Discount",IF(O1556&lt;=15,"Low (1-15%)",IF(O1556&lt;=30,"Medium (16-30%)","High (&gt;30%)")))</f>
        <v>High (&gt;30%)</v>
      </c>
      <c r="AD1556" s="1" t="str">
        <f aca="false">IF(V1556&lt;0,"Loss Making",IF(V1556&lt;20,"Low Margin","Healthy Margin"))</f>
        <v>Healthy Margin</v>
      </c>
      <c r="AE1556" s="1" t="str">
        <f aca="false">TEXT(DATE(VALUE(RIGHT(B1556,4)),VALUE(MID(B1556,4,2)),VALUE(LEFT(B1556,2))),"MMM-YYYY")</f>
        <v>Feb-2024</v>
      </c>
      <c r="AF1556" s="1" t="n">
        <f aca="false">VALUE(RIGHT(B1556,4))</f>
        <v>2024</v>
      </c>
      <c r="AG1556" s="1" t="str">
        <f aca="false">CHOOSE(ROUNDUP(VALUE(MID(B1556,4,2))/3,0),"Q1","Q2","Q3","Q4")</f>
        <v>Q1</v>
      </c>
    </row>
    <row r="1557" customFormat="false" ht="15" hidden="false" customHeight="true" outlineLevel="0" collapsed="false">
      <c r="A1557" s="1" t="s">
        <v>2373</v>
      </c>
      <c r="B1557" s="1" t="s">
        <v>1751</v>
      </c>
      <c r="C1557" s="1" t="s">
        <v>264</v>
      </c>
      <c r="D1557" s="1" t="s">
        <v>29</v>
      </c>
      <c r="E1557" s="1" t="s">
        <v>305</v>
      </c>
      <c r="F1557" s="1" t="s">
        <v>156</v>
      </c>
      <c r="G1557" s="1" t="s">
        <v>68</v>
      </c>
      <c r="H1557" s="1" t="s">
        <v>57</v>
      </c>
      <c r="I1557" s="1" t="s">
        <v>83</v>
      </c>
      <c r="J1557" s="1" t="s">
        <v>77</v>
      </c>
      <c r="K1557" s="1" t="s">
        <v>104</v>
      </c>
      <c r="L1557" s="1" t="s">
        <v>49</v>
      </c>
      <c r="M1557" s="1" t="s">
        <v>50</v>
      </c>
      <c r="N1557" s="1" t="n">
        <v>24999</v>
      </c>
      <c r="O1557" s="1" t="n">
        <v>40</v>
      </c>
      <c r="P1557" s="1" t="n">
        <v>9999.6</v>
      </c>
      <c r="Q1557" s="1" t="n">
        <v>14999.4</v>
      </c>
      <c r="R1557" s="1" t="n">
        <v>2699.89</v>
      </c>
      <c r="S1557" s="1" t="n">
        <v>12299.51</v>
      </c>
      <c r="T1557" s="1" t="n">
        <v>7002.93</v>
      </c>
      <c r="U1557" s="1" t="n">
        <v>5296.58</v>
      </c>
      <c r="V1557" s="1" t="n">
        <v>43.06</v>
      </c>
      <c r="W1557" s="1" t="s">
        <v>39</v>
      </c>
      <c r="X1557" s="1" t="n">
        <v>3.8</v>
      </c>
      <c r="Y1557" s="1" t="s">
        <v>40</v>
      </c>
      <c r="Z1557" s="1" t="n">
        <v>0</v>
      </c>
      <c r="AA1557" s="1" t="str">
        <f aca="false">TRIM(PROPER(F1557))</f>
        <v>Surat</v>
      </c>
      <c r="AB1557" s="1" t="str">
        <f aca="false">TRIM(PROPER(C1557))</f>
        <v>Unacademy</v>
      </c>
      <c r="AC1557" s="1" t="str">
        <f aca="false">IF(O1557=0,"No Discount",IF(O1557&lt;=15,"Low (1-15%)",IF(O1557&lt;=30,"Medium (16-30%)","High (&gt;30%)")))</f>
        <v>High (&gt;30%)</v>
      </c>
      <c r="AD1557" s="1" t="str">
        <f aca="false">IF(V1557&lt;0,"Loss Making",IF(V1557&lt;20,"Low Margin","Healthy Margin"))</f>
        <v>Healthy Margin</v>
      </c>
      <c r="AE1557" s="1" t="str">
        <f aca="false">TEXT(DATE(VALUE(RIGHT(B1557,4)),VALUE(MID(B1557,4,2)),VALUE(LEFT(B1557,2))),"MMM-YYYY")</f>
        <v>Jun-2024</v>
      </c>
      <c r="AF1557" s="1" t="n">
        <f aca="false">VALUE(RIGHT(B1557,4))</f>
        <v>2024</v>
      </c>
      <c r="AG1557" s="1" t="str">
        <f aca="false">CHOOSE(ROUNDUP(VALUE(MID(B1557,4,2))/3,0),"Q1","Q2","Q3","Q4")</f>
        <v>Q2</v>
      </c>
    </row>
    <row r="1558" customFormat="false" ht="15" hidden="false" customHeight="true" outlineLevel="0" collapsed="false">
      <c r="A1558" s="1" t="s">
        <v>2374</v>
      </c>
      <c r="B1558" s="1" t="s">
        <v>273</v>
      </c>
      <c r="C1558" s="1" t="s">
        <v>264</v>
      </c>
      <c r="D1558" s="1" t="s">
        <v>80</v>
      </c>
      <c r="E1558" s="1" t="s">
        <v>190</v>
      </c>
      <c r="F1558" s="1" t="s">
        <v>269</v>
      </c>
      <c r="G1558" s="1" t="s">
        <v>108</v>
      </c>
      <c r="H1558" s="1" t="s">
        <v>57</v>
      </c>
      <c r="I1558" s="1" t="s">
        <v>34</v>
      </c>
      <c r="J1558" s="1" t="s">
        <v>59</v>
      </c>
      <c r="K1558" s="1" t="s">
        <v>90</v>
      </c>
      <c r="L1558" s="1" t="s">
        <v>85</v>
      </c>
      <c r="M1558" s="1" t="s">
        <v>62</v>
      </c>
      <c r="N1558" s="1" t="n">
        <v>15999</v>
      </c>
      <c r="O1558" s="1" t="n">
        <v>30</v>
      </c>
      <c r="P1558" s="1" t="n">
        <v>4799.7</v>
      </c>
      <c r="Q1558" s="1" t="n">
        <v>11199.3</v>
      </c>
      <c r="R1558" s="1" t="n">
        <v>2015.87</v>
      </c>
      <c r="S1558" s="1" t="n">
        <v>9183.43</v>
      </c>
      <c r="T1558" s="1" t="n">
        <v>3236.2</v>
      </c>
      <c r="U1558" s="1" t="n">
        <v>5947.23</v>
      </c>
      <c r="V1558" s="1" t="n">
        <v>64.76</v>
      </c>
      <c r="W1558" s="1" t="s">
        <v>40</v>
      </c>
      <c r="Y1558" s="1" t="s">
        <v>40</v>
      </c>
      <c r="Z1558" s="1" t="n">
        <v>0</v>
      </c>
      <c r="AA1558" s="1" t="str">
        <f aca="false">TRIM(PROPER(F1558))</f>
        <v>Coimbatore</v>
      </c>
      <c r="AB1558" s="1" t="str">
        <f aca="false">TRIM(PROPER(C1558))</f>
        <v>Unacademy</v>
      </c>
      <c r="AC1558" s="1" t="str">
        <f aca="false">IF(O1558=0,"No Discount",IF(O1558&lt;=15,"Low (1-15%)",IF(O1558&lt;=30,"Medium (16-30%)","High (&gt;30%)")))</f>
        <v>Medium (16-30%)</v>
      </c>
      <c r="AD1558" s="1" t="str">
        <f aca="false">IF(V1558&lt;0,"Loss Making",IF(V1558&lt;20,"Low Margin","Healthy Margin"))</f>
        <v>Healthy Margin</v>
      </c>
      <c r="AE1558" s="1" t="str">
        <f aca="false">TEXT(DATE(VALUE(RIGHT(B1558,4)),VALUE(MID(B1558,4,2)),VALUE(LEFT(B1558,2))),"MMM-YYYY")</f>
        <v>Apr-2024</v>
      </c>
      <c r="AF1558" s="1" t="n">
        <f aca="false">VALUE(RIGHT(B1558,4))</f>
        <v>2024</v>
      </c>
      <c r="AG1558" s="1" t="str">
        <f aca="false">CHOOSE(ROUNDUP(VALUE(MID(B1558,4,2))/3,0),"Q1","Q2","Q3","Q4")</f>
        <v>Q2</v>
      </c>
    </row>
    <row r="1559" customFormat="false" ht="15" hidden="false" customHeight="true" outlineLevel="0" collapsed="false">
      <c r="A1559" s="1" t="s">
        <v>2375</v>
      </c>
      <c r="B1559" s="1" t="s">
        <v>259</v>
      </c>
      <c r="C1559" s="1" t="s">
        <v>100</v>
      </c>
      <c r="D1559" s="1" t="s">
        <v>80</v>
      </c>
      <c r="E1559" s="1" t="s">
        <v>193</v>
      </c>
      <c r="F1559" s="1" t="s">
        <v>187</v>
      </c>
      <c r="G1559" s="1" t="s">
        <v>97</v>
      </c>
      <c r="H1559" s="1" t="s">
        <v>69</v>
      </c>
      <c r="I1559" s="1" t="s">
        <v>58</v>
      </c>
      <c r="J1559" s="1" t="s">
        <v>131</v>
      </c>
      <c r="K1559" s="1" t="s">
        <v>90</v>
      </c>
      <c r="L1559" s="1" t="s">
        <v>113</v>
      </c>
      <c r="M1559" s="1" t="s">
        <v>62</v>
      </c>
      <c r="N1559" s="1" t="n">
        <v>8999</v>
      </c>
      <c r="O1559" s="1" t="n">
        <v>10</v>
      </c>
      <c r="P1559" s="1" t="n">
        <v>899.9</v>
      </c>
      <c r="Q1559" s="1" t="n">
        <v>8099.1</v>
      </c>
      <c r="R1559" s="1" t="n">
        <v>1457.84</v>
      </c>
      <c r="S1559" s="1" t="n">
        <v>6641.26</v>
      </c>
      <c r="T1559" s="1" t="n">
        <v>3449.81</v>
      </c>
      <c r="U1559" s="1" t="n">
        <v>3191.45</v>
      </c>
      <c r="V1559" s="1" t="n">
        <v>48.05</v>
      </c>
      <c r="W1559" s="1" t="s">
        <v>39</v>
      </c>
      <c r="X1559" s="1" t="n">
        <v>4.7</v>
      </c>
      <c r="Y1559" s="1" t="s">
        <v>40</v>
      </c>
      <c r="Z1559" s="1" t="n">
        <v>1</v>
      </c>
      <c r="AA1559" s="1" t="str">
        <f aca="false">TRIM(PROPER(F1559))</f>
        <v>Mumbai</v>
      </c>
      <c r="AB1559" s="1" t="str">
        <f aca="false">TRIM(PROPER(C1559))</f>
        <v>Physics Wallah</v>
      </c>
      <c r="AC1559" s="1" t="str">
        <f aca="false">IF(O1559=0,"No Discount",IF(O1559&lt;=15,"Low (1-15%)",IF(O1559&lt;=30,"Medium (16-30%)","High (&gt;30%)")))</f>
        <v>Low (1-15%)</v>
      </c>
      <c r="AD1559" s="1" t="str">
        <f aca="false">IF(V1559&lt;0,"Loss Making",IF(V1559&lt;20,"Low Margin","Healthy Margin"))</f>
        <v>Healthy Margin</v>
      </c>
      <c r="AE1559" s="1" t="str">
        <f aca="false">TEXT(DATE(VALUE(RIGHT(B1559,4)),VALUE(MID(B1559,4,2)),VALUE(LEFT(B1559,2))),"MMM-YYYY")</f>
        <v>Dec-2024</v>
      </c>
      <c r="AF1559" s="1" t="n">
        <f aca="false">VALUE(RIGHT(B1559,4))</f>
        <v>2024</v>
      </c>
      <c r="AG1559" s="1" t="str">
        <f aca="false">CHOOSE(ROUNDUP(VALUE(MID(B1559,4,2))/3,0),"Q1","Q2","Q3","Q4")</f>
        <v>Q4</v>
      </c>
    </row>
    <row r="1560" customFormat="false" ht="15" hidden="false" customHeight="true" outlineLevel="0" collapsed="false">
      <c r="A1560" s="1" t="s">
        <v>2376</v>
      </c>
      <c r="B1560" s="1" t="s">
        <v>827</v>
      </c>
      <c r="C1560" s="1" t="s">
        <v>139</v>
      </c>
      <c r="D1560" s="1" t="s">
        <v>168</v>
      </c>
      <c r="E1560" s="1" t="s">
        <v>172</v>
      </c>
      <c r="F1560" s="1" t="s">
        <v>153</v>
      </c>
      <c r="G1560" s="1" t="s">
        <v>76</v>
      </c>
      <c r="H1560" s="1" t="s">
        <v>33</v>
      </c>
      <c r="I1560" s="1" t="s">
        <v>34</v>
      </c>
      <c r="J1560" s="1" t="s">
        <v>35</v>
      </c>
      <c r="K1560" s="1" t="s">
        <v>71</v>
      </c>
      <c r="L1560" s="1" t="s">
        <v>85</v>
      </c>
      <c r="M1560" s="1" t="s">
        <v>50</v>
      </c>
      <c r="N1560" s="1" t="n">
        <v>6999</v>
      </c>
      <c r="O1560" s="1" t="n">
        <v>0</v>
      </c>
      <c r="P1560" s="1" t="n">
        <v>0</v>
      </c>
      <c r="Q1560" s="1" t="n">
        <v>6999</v>
      </c>
      <c r="R1560" s="1" t="n">
        <v>1259.82</v>
      </c>
      <c r="S1560" s="1" t="n">
        <v>5739.18</v>
      </c>
      <c r="T1560" s="1" t="n">
        <v>2514.93</v>
      </c>
      <c r="U1560" s="1" t="n">
        <v>3224.25</v>
      </c>
      <c r="V1560" s="1" t="n">
        <v>56.18</v>
      </c>
      <c r="W1560" s="1" t="s">
        <v>39</v>
      </c>
      <c r="X1560" s="1" t="n">
        <v>3.4</v>
      </c>
      <c r="Y1560" s="1" t="s">
        <v>40</v>
      </c>
      <c r="Z1560" s="1" t="n">
        <v>0</v>
      </c>
      <c r="AA1560" s="1" t="str">
        <f aca="false">TRIM(PROPER(F1560))</f>
        <v>Howrah</v>
      </c>
      <c r="AB1560" s="1" t="str">
        <f aca="false">TRIM(PROPER(C1560))</f>
        <v>Extramarks</v>
      </c>
      <c r="AC1560" s="1" t="str">
        <f aca="false">IF(O1560=0,"No Discount",IF(O1560&lt;=15,"Low (1-15%)",IF(O1560&lt;=30,"Medium (16-30%)","High (&gt;30%)")))</f>
        <v>No Discount</v>
      </c>
      <c r="AD1560" s="1" t="str">
        <f aca="false">IF(V1560&lt;0,"Loss Making",IF(V1560&lt;20,"Low Margin","Healthy Margin"))</f>
        <v>Healthy Margin</v>
      </c>
      <c r="AE1560" s="1" t="str">
        <f aca="false">TEXT(DATE(VALUE(RIGHT(B1560,4)),VALUE(MID(B1560,4,2)),VALUE(LEFT(B1560,2))),"MMM-YYYY")</f>
        <v>Nov-2024</v>
      </c>
      <c r="AF1560" s="1" t="n">
        <f aca="false">VALUE(RIGHT(B1560,4))</f>
        <v>2024</v>
      </c>
      <c r="AG1560" s="1" t="str">
        <f aca="false">CHOOSE(ROUNDUP(VALUE(MID(B1560,4,2))/3,0),"Q1","Q2","Q3","Q4")</f>
        <v>Q4</v>
      </c>
    </row>
    <row r="1561" customFormat="false" ht="15" hidden="false" customHeight="true" outlineLevel="0" collapsed="false">
      <c r="A1561" s="1" t="s">
        <v>2377</v>
      </c>
      <c r="B1561" s="1" t="s">
        <v>1050</v>
      </c>
      <c r="C1561" s="1" t="s">
        <v>65</v>
      </c>
      <c r="D1561" s="1" t="s">
        <v>44</v>
      </c>
      <c r="E1561" s="1" t="s">
        <v>45</v>
      </c>
      <c r="F1561" s="1" t="s">
        <v>194</v>
      </c>
      <c r="G1561" s="1" t="s">
        <v>103</v>
      </c>
      <c r="H1561" s="1" t="s">
        <v>69</v>
      </c>
      <c r="I1561" s="1" t="s">
        <v>34</v>
      </c>
      <c r="J1561" s="1" t="s">
        <v>131</v>
      </c>
      <c r="K1561" s="1" t="s">
        <v>36</v>
      </c>
      <c r="L1561" s="1" t="s">
        <v>37</v>
      </c>
      <c r="M1561" s="1" t="s">
        <v>62</v>
      </c>
      <c r="N1561" s="1" t="n">
        <v>11999</v>
      </c>
      <c r="O1561" s="1" t="n">
        <v>50</v>
      </c>
      <c r="P1561" s="1" t="n">
        <v>5999.5</v>
      </c>
      <c r="Q1561" s="1" t="n">
        <v>5999.5</v>
      </c>
      <c r="R1561" s="1" t="n">
        <v>1079.91</v>
      </c>
      <c r="S1561" s="1" t="n">
        <v>4919.59</v>
      </c>
      <c r="T1561" s="1" t="n">
        <v>2704.7</v>
      </c>
      <c r="U1561" s="1" t="n">
        <v>2214.89</v>
      </c>
      <c r="V1561" s="1" t="n">
        <v>45.02</v>
      </c>
      <c r="W1561" s="1" t="s">
        <v>40</v>
      </c>
      <c r="Y1561" s="1" t="s">
        <v>40</v>
      </c>
      <c r="Z1561" s="1" t="n">
        <v>1</v>
      </c>
      <c r="AA1561" s="1" t="str">
        <f aca="false">TRIM(PROPER(F1561))</f>
        <v>Hyderabad</v>
      </c>
      <c r="AB1561" s="1" t="str">
        <f aca="false">TRIM(PROPER(C1561))</f>
        <v>Toppr</v>
      </c>
      <c r="AC1561" s="1" t="str">
        <f aca="false">IF(O1561=0,"No Discount",IF(O1561&lt;=15,"Low (1-15%)",IF(O1561&lt;=30,"Medium (16-30%)","High (&gt;30%)")))</f>
        <v>High (&gt;30%)</v>
      </c>
      <c r="AD1561" s="1" t="str">
        <f aca="false">IF(V1561&lt;0,"Loss Making",IF(V1561&lt;20,"Low Margin","Healthy Margin"))</f>
        <v>Healthy Margin</v>
      </c>
      <c r="AE1561" s="1" t="str">
        <f aca="false">TEXT(DATE(VALUE(RIGHT(B1561,4)),VALUE(MID(B1561,4,2)),VALUE(LEFT(B1561,2))),"MMM-YYYY")</f>
        <v>Nov-2023</v>
      </c>
      <c r="AF1561" s="1" t="n">
        <f aca="false">VALUE(RIGHT(B1561,4))</f>
        <v>2023</v>
      </c>
      <c r="AG1561" s="1" t="str">
        <f aca="false">CHOOSE(ROUNDUP(VALUE(MID(B1561,4,2))/3,0),"Q1","Q2","Q3","Q4")</f>
        <v>Q4</v>
      </c>
    </row>
    <row r="1562" customFormat="false" ht="15" hidden="false" customHeight="true" outlineLevel="0" collapsed="false">
      <c r="A1562" s="1" t="s">
        <v>2378</v>
      </c>
      <c r="B1562" s="1" t="s">
        <v>320</v>
      </c>
      <c r="C1562" s="1" t="s">
        <v>134</v>
      </c>
      <c r="D1562" s="1" t="s">
        <v>29</v>
      </c>
      <c r="E1562" s="1" t="s">
        <v>305</v>
      </c>
      <c r="F1562" s="1" t="s">
        <v>120</v>
      </c>
      <c r="G1562" s="1" t="s">
        <v>47</v>
      </c>
      <c r="H1562" s="1" t="s">
        <v>57</v>
      </c>
      <c r="I1562" s="1" t="s">
        <v>83</v>
      </c>
      <c r="J1562" s="1" t="s">
        <v>35</v>
      </c>
      <c r="K1562" s="1" t="s">
        <v>112</v>
      </c>
      <c r="L1562" s="1" t="s">
        <v>49</v>
      </c>
      <c r="M1562" s="1" t="s">
        <v>62</v>
      </c>
      <c r="N1562" s="1" t="n">
        <v>24999</v>
      </c>
      <c r="O1562" s="1" t="n">
        <v>30</v>
      </c>
      <c r="P1562" s="1" t="n">
        <v>7499.7</v>
      </c>
      <c r="Q1562" s="1" t="n">
        <v>17499.3</v>
      </c>
      <c r="R1562" s="1" t="n">
        <v>3149.87</v>
      </c>
      <c r="S1562" s="1" t="n">
        <v>14349.43</v>
      </c>
      <c r="T1562" s="1" t="n">
        <v>5750.04</v>
      </c>
      <c r="U1562" s="1" t="n">
        <v>8599.39</v>
      </c>
      <c r="V1562" s="1" t="n">
        <v>59.93</v>
      </c>
      <c r="W1562" s="1" t="s">
        <v>39</v>
      </c>
      <c r="X1562" s="1" t="n">
        <v>3</v>
      </c>
      <c r="Y1562" s="1" t="s">
        <v>40</v>
      </c>
      <c r="Z1562" s="1" t="n">
        <v>0</v>
      </c>
      <c r="AA1562" s="1" t="str">
        <f aca="false">TRIM(PROPER(F1562))</f>
        <v>Mysuru</v>
      </c>
      <c r="AB1562" s="1" t="str">
        <f aca="false">TRIM(PROPER(C1562))</f>
        <v>Doubtnut</v>
      </c>
      <c r="AC1562" s="1" t="str">
        <f aca="false">IF(O1562=0,"No Discount",IF(O1562&lt;=15,"Low (1-15%)",IF(O1562&lt;=30,"Medium (16-30%)","High (&gt;30%)")))</f>
        <v>Medium (16-30%)</v>
      </c>
      <c r="AD1562" s="1" t="str">
        <f aca="false">IF(V1562&lt;0,"Loss Making",IF(V1562&lt;20,"Low Margin","Healthy Margin"))</f>
        <v>Healthy Margin</v>
      </c>
      <c r="AE1562" s="1" t="str">
        <f aca="false">TEXT(DATE(VALUE(RIGHT(B1562,4)),VALUE(MID(B1562,4,2)),VALUE(LEFT(B1562,2))),"MMM-YYYY")</f>
        <v>Jun-2023</v>
      </c>
      <c r="AF1562" s="1" t="n">
        <f aca="false">VALUE(RIGHT(B1562,4))</f>
        <v>2023</v>
      </c>
      <c r="AG1562" s="1" t="str">
        <f aca="false">CHOOSE(ROUNDUP(VALUE(MID(B1562,4,2))/3,0),"Q1","Q2","Q3","Q4")</f>
        <v>Q2</v>
      </c>
    </row>
    <row r="1563" customFormat="false" ht="15" hidden="false" customHeight="true" outlineLevel="0" collapsed="false">
      <c r="A1563" s="1" t="s">
        <v>2379</v>
      </c>
      <c r="B1563" s="1" t="s">
        <v>549</v>
      </c>
      <c r="C1563" s="1" t="s">
        <v>88</v>
      </c>
      <c r="D1563" s="1" t="s">
        <v>53</v>
      </c>
      <c r="E1563" s="1" t="s">
        <v>54</v>
      </c>
      <c r="F1563" s="1" t="s">
        <v>120</v>
      </c>
      <c r="G1563" s="1" t="s">
        <v>47</v>
      </c>
      <c r="H1563" s="1" t="s">
        <v>57</v>
      </c>
      <c r="I1563" s="1" t="s">
        <v>58</v>
      </c>
      <c r="J1563" s="1" t="s">
        <v>131</v>
      </c>
      <c r="K1563" s="1" t="s">
        <v>104</v>
      </c>
      <c r="L1563" s="1" t="s">
        <v>113</v>
      </c>
      <c r="M1563" s="1" t="s">
        <v>50</v>
      </c>
      <c r="N1563" s="1" t="n">
        <v>11999</v>
      </c>
      <c r="O1563" s="1" t="n">
        <v>50</v>
      </c>
      <c r="P1563" s="1" t="n">
        <v>5999.5</v>
      </c>
      <c r="Q1563" s="1" t="n">
        <v>5999.5</v>
      </c>
      <c r="R1563" s="1" t="n">
        <v>1079.91</v>
      </c>
      <c r="S1563" s="1" t="n">
        <v>4919.59</v>
      </c>
      <c r="T1563" s="1" t="n">
        <v>2969.12</v>
      </c>
      <c r="U1563" s="1" t="n">
        <v>1950.47</v>
      </c>
      <c r="V1563" s="1" t="n">
        <v>39.65</v>
      </c>
      <c r="W1563" s="1" t="s">
        <v>39</v>
      </c>
      <c r="X1563" s="1" t="n">
        <v>3.1</v>
      </c>
      <c r="Y1563" s="1" t="s">
        <v>40</v>
      </c>
      <c r="Z1563" s="1" t="n">
        <v>0</v>
      </c>
      <c r="AA1563" s="1" t="str">
        <f aca="false">TRIM(PROPER(F1563))</f>
        <v>Mysuru</v>
      </c>
      <c r="AB1563" s="1" t="str">
        <f aca="false">TRIM(PROPER(C1563))</f>
        <v>Byju'S</v>
      </c>
      <c r="AC1563" s="1" t="str">
        <f aca="false">IF(O1563=0,"No Discount",IF(O1563&lt;=15,"Low (1-15%)",IF(O1563&lt;=30,"Medium (16-30%)","High (&gt;30%)")))</f>
        <v>High (&gt;30%)</v>
      </c>
      <c r="AD1563" s="1" t="str">
        <f aca="false">IF(V1563&lt;0,"Loss Making",IF(V1563&lt;20,"Low Margin","Healthy Margin"))</f>
        <v>Healthy Margin</v>
      </c>
      <c r="AE1563" s="1" t="str">
        <f aca="false">TEXT(DATE(VALUE(RIGHT(B1563,4)),VALUE(MID(B1563,4,2)),VALUE(LEFT(B1563,2))),"MMM-YYYY")</f>
        <v>Apr-2023</v>
      </c>
      <c r="AF1563" s="1" t="n">
        <f aca="false">VALUE(RIGHT(B1563,4))</f>
        <v>2023</v>
      </c>
      <c r="AG1563" s="1" t="str">
        <f aca="false">CHOOSE(ROUNDUP(VALUE(MID(B1563,4,2))/3,0),"Q1","Q2","Q3","Q4")</f>
        <v>Q2</v>
      </c>
    </row>
    <row r="1564" customFormat="false" ht="15" hidden="false" customHeight="true" outlineLevel="0" collapsed="false">
      <c r="A1564" s="1" t="s">
        <v>2380</v>
      </c>
      <c r="B1564" s="1" t="s">
        <v>815</v>
      </c>
      <c r="C1564" s="1" t="s">
        <v>74</v>
      </c>
      <c r="D1564" s="1" t="s">
        <v>53</v>
      </c>
      <c r="E1564" s="1" t="s">
        <v>116</v>
      </c>
      <c r="F1564" s="1" t="s">
        <v>156</v>
      </c>
      <c r="G1564" s="1" t="s">
        <v>68</v>
      </c>
      <c r="H1564" s="1" t="s">
        <v>57</v>
      </c>
      <c r="I1564" s="1" t="s">
        <v>58</v>
      </c>
      <c r="J1564" s="1" t="s">
        <v>77</v>
      </c>
      <c r="K1564" s="1" t="s">
        <v>104</v>
      </c>
      <c r="L1564" s="1" t="s">
        <v>61</v>
      </c>
      <c r="M1564" s="1" t="s">
        <v>50</v>
      </c>
      <c r="N1564" s="1" t="n">
        <v>9999</v>
      </c>
      <c r="O1564" s="1" t="n">
        <v>0</v>
      </c>
      <c r="P1564" s="1" t="n">
        <v>0</v>
      </c>
      <c r="Q1564" s="1" t="n">
        <v>9999</v>
      </c>
      <c r="R1564" s="1" t="n">
        <v>1799.82</v>
      </c>
      <c r="S1564" s="1" t="n">
        <v>8199.18</v>
      </c>
      <c r="T1564" s="1" t="n">
        <v>3840.13</v>
      </c>
      <c r="U1564" s="1" t="n">
        <v>4359.05</v>
      </c>
      <c r="V1564" s="1" t="n">
        <v>53.16</v>
      </c>
      <c r="W1564" s="1" t="s">
        <v>40</v>
      </c>
      <c r="Y1564" s="1" t="s">
        <v>40</v>
      </c>
      <c r="Z1564" s="1" t="n">
        <v>0</v>
      </c>
      <c r="AA1564" s="1" t="str">
        <f aca="false">TRIM(PROPER(F1564))</f>
        <v>Surat</v>
      </c>
      <c r="AB1564" s="1" t="str">
        <f aca="false">TRIM(PROPER(C1564))</f>
        <v>Vedantu</v>
      </c>
      <c r="AC1564" s="1" t="str">
        <f aca="false">IF(O1564=0,"No Discount",IF(O1564&lt;=15,"Low (1-15%)",IF(O1564&lt;=30,"Medium (16-30%)","High (&gt;30%)")))</f>
        <v>No Discount</v>
      </c>
      <c r="AD1564" s="1" t="str">
        <f aca="false">IF(V1564&lt;0,"Loss Making",IF(V1564&lt;20,"Low Margin","Healthy Margin"))</f>
        <v>Healthy Margin</v>
      </c>
      <c r="AE1564" s="1" t="str">
        <f aca="false">TEXT(DATE(VALUE(RIGHT(B1564,4)),VALUE(MID(B1564,4,2)),VALUE(LEFT(B1564,2))),"MMM-YYYY")</f>
        <v>Oct-2023</v>
      </c>
      <c r="AF1564" s="1" t="n">
        <f aca="false">VALUE(RIGHT(B1564,4))</f>
        <v>2023</v>
      </c>
      <c r="AG1564" s="1" t="str">
        <f aca="false">CHOOSE(ROUNDUP(VALUE(MID(B1564,4,2))/3,0),"Q1","Q2","Q3","Q4")</f>
        <v>Q4</v>
      </c>
    </row>
    <row r="1565" customFormat="false" ht="15" hidden="false" customHeight="true" outlineLevel="0" collapsed="false">
      <c r="A1565" s="1" t="s">
        <v>2381</v>
      </c>
      <c r="B1565" s="1" t="s">
        <v>2382</v>
      </c>
      <c r="C1565" s="1" t="s">
        <v>65</v>
      </c>
      <c r="D1565" s="1" t="s">
        <v>29</v>
      </c>
      <c r="E1565" s="1" t="s">
        <v>305</v>
      </c>
      <c r="F1565" s="1" t="s">
        <v>728</v>
      </c>
      <c r="G1565" s="1" t="s">
        <v>97</v>
      </c>
      <c r="H1565" s="1" t="s">
        <v>69</v>
      </c>
      <c r="I1565" s="1" t="s">
        <v>83</v>
      </c>
      <c r="J1565" s="1" t="s">
        <v>35</v>
      </c>
      <c r="K1565" s="1" t="s">
        <v>60</v>
      </c>
      <c r="L1565" s="1" t="s">
        <v>113</v>
      </c>
      <c r="M1565" s="1" t="s">
        <v>50</v>
      </c>
      <c r="N1565" s="1" t="n">
        <v>24999</v>
      </c>
      <c r="O1565" s="1" t="n">
        <v>30</v>
      </c>
      <c r="P1565" s="1" t="n">
        <v>7499.7</v>
      </c>
      <c r="Q1565" s="1" t="n">
        <v>17499.3</v>
      </c>
      <c r="R1565" s="1" t="n">
        <v>3149.87</v>
      </c>
      <c r="S1565" s="1" t="n">
        <v>14349.43</v>
      </c>
      <c r="T1565" s="1" t="n">
        <v>4164.47</v>
      </c>
      <c r="U1565" s="1" t="n">
        <v>10184.96</v>
      </c>
      <c r="V1565" s="1" t="n">
        <v>70.98</v>
      </c>
      <c r="W1565" s="1" t="s">
        <v>40</v>
      </c>
      <c r="Y1565" s="1" t="s">
        <v>40</v>
      </c>
      <c r="Z1565" s="1" t="n">
        <v>0</v>
      </c>
      <c r="AA1565" s="1" t="str">
        <f aca="false">TRIM(PROPER(F1565))</f>
        <v>Pune</v>
      </c>
      <c r="AB1565" s="1" t="str">
        <f aca="false">TRIM(PROPER(C1565))</f>
        <v>Toppr</v>
      </c>
      <c r="AC1565" s="1" t="str">
        <f aca="false">IF(O1565=0,"No Discount",IF(O1565&lt;=15,"Low (1-15%)",IF(O1565&lt;=30,"Medium (16-30%)","High (&gt;30%)")))</f>
        <v>Medium (16-30%)</v>
      </c>
      <c r="AD1565" s="1" t="str">
        <f aca="false">IF(V1565&lt;0,"Loss Making",IF(V1565&lt;20,"Low Margin","Healthy Margin"))</f>
        <v>Healthy Margin</v>
      </c>
      <c r="AE1565" s="1" t="str">
        <f aca="false">TEXT(DATE(VALUE(RIGHT(B1565,4)),VALUE(MID(B1565,4,2)),VALUE(LEFT(B1565,2))),"MMM-YYYY")</f>
        <v>Jan-2023</v>
      </c>
      <c r="AF1565" s="1" t="n">
        <f aca="false">VALUE(RIGHT(B1565,4))</f>
        <v>2023</v>
      </c>
      <c r="AG1565" s="1" t="str">
        <f aca="false">CHOOSE(ROUNDUP(VALUE(MID(B1565,4,2))/3,0),"Q1","Q2","Q3","Q4")</f>
        <v>Q1</v>
      </c>
    </row>
    <row r="1566" customFormat="false" ht="15" hidden="false" customHeight="true" outlineLevel="0" collapsed="false">
      <c r="A1566" s="1" t="s">
        <v>2383</v>
      </c>
      <c r="B1566" s="1" t="s">
        <v>1402</v>
      </c>
      <c r="C1566" s="1" t="s">
        <v>119</v>
      </c>
      <c r="D1566" s="1" t="s">
        <v>53</v>
      </c>
      <c r="E1566" s="1" t="s">
        <v>216</v>
      </c>
      <c r="F1566" s="1" t="s">
        <v>205</v>
      </c>
      <c r="G1566" s="1" t="s">
        <v>56</v>
      </c>
      <c r="H1566" s="1" t="s">
        <v>69</v>
      </c>
      <c r="I1566" s="1" t="s">
        <v>83</v>
      </c>
      <c r="J1566" s="1" t="s">
        <v>35</v>
      </c>
      <c r="K1566" s="1" t="s">
        <v>112</v>
      </c>
      <c r="L1566" s="1" t="s">
        <v>85</v>
      </c>
      <c r="M1566" s="1" t="s">
        <v>50</v>
      </c>
      <c r="N1566" s="1" t="n">
        <v>7499</v>
      </c>
      <c r="O1566" s="1" t="n">
        <v>25</v>
      </c>
      <c r="P1566" s="1" t="n">
        <v>1874.75</v>
      </c>
      <c r="Q1566" s="1" t="n">
        <v>5624.25</v>
      </c>
      <c r="R1566" s="1" t="n">
        <v>1012.37</v>
      </c>
      <c r="S1566" s="1" t="n">
        <v>4611.88</v>
      </c>
      <c r="T1566" s="1" t="n">
        <v>2035.32</v>
      </c>
      <c r="U1566" s="1" t="n">
        <v>2576.56</v>
      </c>
      <c r="V1566" s="1" t="n">
        <v>55.87</v>
      </c>
      <c r="W1566" s="1" t="s">
        <v>40</v>
      </c>
      <c r="Y1566" s="1" t="s">
        <v>40</v>
      </c>
      <c r="Z1566" s="1" t="n">
        <v>0</v>
      </c>
      <c r="AA1566" s="1" t="str">
        <f aca="false">TRIM(PROPER(F1566))</f>
        <v>New Delhi</v>
      </c>
      <c r="AB1566" s="1" t="str">
        <f aca="false">TRIM(PROPER(C1566))</f>
        <v>Simplilearn</v>
      </c>
      <c r="AC1566" s="1" t="str">
        <f aca="false">IF(O1566=0,"No Discount",IF(O1566&lt;=15,"Low (1-15%)",IF(O1566&lt;=30,"Medium (16-30%)","High (&gt;30%)")))</f>
        <v>Medium (16-30%)</v>
      </c>
      <c r="AD1566" s="1" t="str">
        <f aca="false">IF(V1566&lt;0,"Loss Making",IF(V1566&lt;20,"Low Margin","Healthy Margin"))</f>
        <v>Healthy Margin</v>
      </c>
      <c r="AE1566" s="1" t="str">
        <f aca="false">TEXT(DATE(VALUE(RIGHT(B1566,4)),VALUE(MID(B1566,4,2)),VALUE(LEFT(B1566,2))),"MMM-YYYY")</f>
        <v>Apr-2023</v>
      </c>
      <c r="AF1566" s="1" t="n">
        <f aca="false">VALUE(RIGHT(B1566,4))</f>
        <v>2023</v>
      </c>
      <c r="AG1566" s="1" t="str">
        <f aca="false">CHOOSE(ROUNDUP(VALUE(MID(B1566,4,2))/3,0),"Q1","Q2","Q3","Q4")</f>
        <v>Q2</v>
      </c>
    </row>
    <row r="1567" customFormat="false" ht="15" hidden="false" customHeight="true" outlineLevel="0" collapsed="false">
      <c r="A1567" s="1" t="s">
        <v>2384</v>
      </c>
      <c r="B1567" s="1" t="s">
        <v>2385</v>
      </c>
      <c r="C1567" s="1" t="s">
        <v>119</v>
      </c>
      <c r="D1567" s="1" t="s">
        <v>80</v>
      </c>
      <c r="E1567" s="1" t="s">
        <v>193</v>
      </c>
      <c r="F1567" s="1" t="s">
        <v>125</v>
      </c>
      <c r="G1567" s="1" t="s">
        <v>108</v>
      </c>
      <c r="H1567" s="1" t="s">
        <v>69</v>
      </c>
      <c r="I1567" s="1" t="s">
        <v>58</v>
      </c>
      <c r="J1567" s="1" t="s">
        <v>59</v>
      </c>
      <c r="K1567" s="1" t="s">
        <v>104</v>
      </c>
      <c r="L1567" s="1" t="s">
        <v>37</v>
      </c>
      <c r="M1567" s="1" t="s">
        <v>50</v>
      </c>
      <c r="N1567" s="1" t="n">
        <v>8999</v>
      </c>
      <c r="O1567" s="1" t="n">
        <v>5</v>
      </c>
      <c r="P1567" s="1" t="n">
        <v>449.95</v>
      </c>
      <c r="Q1567" s="1" t="n">
        <v>8549.05</v>
      </c>
      <c r="R1567" s="1" t="n">
        <v>1538.83</v>
      </c>
      <c r="S1567" s="1" t="n">
        <v>7010.22</v>
      </c>
      <c r="T1567" s="1" t="n">
        <v>3514.83</v>
      </c>
      <c r="U1567" s="1" t="n">
        <v>3495.39</v>
      </c>
      <c r="V1567" s="1" t="n">
        <v>49.86</v>
      </c>
      <c r="W1567" s="1" t="s">
        <v>39</v>
      </c>
      <c r="Y1567" s="1" t="s">
        <v>40</v>
      </c>
      <c r="Z1567" s="1" t="n">
        <v>1</v>
      </c>
      <c r="AA1567" s="1" t="str">
        <f aca="false">TRIM(PROPER(F1567))</f>
        <v>Chennai</v>
      </c>
      <c r="AB1567" s="1" t="str">
        <f aca="false">TRIM(PROPER(C1567))</f>
        <v>Simplilearn</v>
      </c>
      <c r="AC1567" s="1" t="str">
        <f aca="false">IF(O1567=0,"No Discount",IF(O1567&lt;=15,"Low (1-15%)",IF(O1567&lt;=30,"Medium (16-30%)","High (&gt;30%)")))</f>
        <v>Low (1-15%)</v>
      </c>
      <c r="AD1567" s="1" t="str">
        <f aca="false">IF(V1567&lt;0,"Loss Making",IF(V1567&lt;20,"Low Margin","Healthy Margin"))</f>
        <v>Healthy Margin</v>
      </c>
      <c r="AE1567" s="1" t="str">
        <f aca="false">TEXT(DATE(VALUE(RIGHT(B1567,4)),VALUE(MID(B1567,4,2)),VALUE(LEFT(B1567,2))),"MMM-YYYY")</f>
        <v>Mar-2023</v>
      </c>
      <c r="AF1567" s="1" t="n">
        <f aca="false">VALUE(RIGHT(B1567,4))</f>
        <v>2023</v>
      </c>
      <c r="AG1567" s="1" t="str">
        <f aca="false">CHOOSE(ROUNDUP(VALUE(MID(B1567,4,2))/3,0),"Q1","Q2","Q3","Q4")</f>
        <v>Q1</v>
      </c>
    </row>
    <row r="1568" customFormat="false" ht="15" hidden="false" customHeight="true" outlineLevel="0" collapsed="false">
      <c r="A1568" s="1" t="s">
        <v>2386</v>
      </c>
      <c r="B1568" s="1" t="s">
        <v>2387</v>
      </c>
      <c r="C1568" s="1" t="s">
        <v>134</v>
      </c>
      <c r="D1568" s="1" t="s">
        <v>143</v>
      </c>
      <c r="E1568" s="1" t="s">
        <v>162</v>
      </c>
      <c r="F1568" s="1" t="s">
        <v>120</v>
      </c>
      <c r="G1568" s="1" t="s">
        <v>47</v>
      </c>
      <c r="H1568" s="1" t="s">
        <v>57</v>
      </c>
      <c r="I1568" s="1" t="s">
        <v>83</v>
      </c>
      <c r="J1568" s="1" t="s">
        <v>70</v>
      </c>
      <c r="K1568" s="1" t="s">
        <v>90</v>
      </c>
      <c r="L1568" s="1" t="s">
        <v>85</v>
      </c>
      <c r="M1568" s="1" t="s">
        <v>38</v>
      </c>
      <c r="N1568" s="1" t="n">
        <v>14999</v>
      </c>
      <c r="O1568" s="1" t="n">
        <v>10</v>
      </c>
      <c r="P1568" s="1" t="n">
        <v>1499.9</v>
      </c>
      <c r="Q1568" s="1" t="n">
        <v>13499.1</v>
      </c>
      <c r="R1568" s="1" t="n">
        <v>2429.84</v>
      </c>
      <c r="S1568" s="1" t="n">
        <v>11069.26</v>
      </c>
      <c r="T1568" s="1" t="n">
        <v>5265.89</v>
      </c>
      <c r="U1568" s="1" t="n">
        <v>5803.37</v>
      </c>
      <c r="V1568" s="1" t="n">
        <v>52.43</v>
      </c>
      <c r="W1568" s="1" t="s">
        <v>40</v>
      </c>
      <c r="Y1568" s="1" t="s">
        <v>40</v>
      </c>
      <c r="Z1568" s="1" t="n">
        <v>0</v>
      </c>
      <c r="AA1568" s="1" t="str">
        <f aca="false">TRIM(PROPER(F1568))</f>
        <v>Mysuru</v>
      </c>
      <c r="AB1568" s="1" t="str">
        <f aca="false">TRIM(PROPER(C1568))</f>
        <v>Doubtnut</v>
      </c>
      <c r="AC1568" s="1" t="str">
        <f aca="false">IF(O1568=0,"No Discount",IF(O1568&lt;=15,"Low (1-15%)",IF(O1568&lt;=30,"Medium (16-30%)","High (&gt;30%)")))</f>
        <v>Low (1-15%)</v>
      </c>
      <c r="AD1568" s="1" t="str">
        <f aca="false">IF(V1568&lt;0,"Loss Making",IF(V1568&lt;20,"Low Margin","Healthy Margin"))</f>
        <v>Healthy Margin</v>
      </c>
      <c r="AE1568" s="1" t="str">
        <f aca="false">TEXT(DATE(VALUE(RIGHT(B1568,4)),VALUE(MID(B1568,4,2)),VALUE(LEFT(B1568,2))),"MMM-YYYY")</f>
        <v>Jul-2024</v>
      </c>
      <c r="AF1568" s="1" t="n">
        <f aca="false">VALUE(RIGHT(B1568,4))</f>
        <v>2024</v>
      </c>
      <c r="AG1568" s="1" t="str">
        <f aca="false">CHOOSE(ROUNDUP(VALUE(MID(B1568,4,2))/3,0),"Q1","Q2","Q3","Q4")</f>
        <v>Q3</v>
      </c>
    </row>
    <row r="1569" customFormat="false" ht="15" hidden="false" customHeight="true" outlineLevel="0" collapsed="false">
      <c r="A1569" s="1" t="s">
        <v>2388</v>
      </c>
      <c r="B1569" s="1" t="s">
        <v>466</v>
      </c>
      <c r="C1569" s="1" t="s">
        <v>139</v>
      </c>
      <c r="D1569" s="1" t="s">
        <v>44</v>
      </c>
      <c r="E1569" s="1" t="s">
        <v>45</v>
      </c>
      <c r="F1569" s="1" t="s">
        <v>120</v>
      </c>
      <c r="G1569" s="1" t="s">
        <v>47</v>
      </c>
      <c r="H1569" s="1" t="s">
        <v>57</v>
      </c>
      <c r="I1569" s="1" t="s">
        <v>83</v>
      </c>
      <c r="J1569" s="1" t="s">
        <v>35</v>
      </c>
      <c r="K1569" s="1" t="s">
        <v>112</v>
      </c>
      <c r="L1569" s="1" t="s">
        <v>61</v>
      </c>
      <c r="M1569" s="1" t="s">
        <v>50</v>
      </c>
      <c r="N1569" s="1" t="n">
        <v>11999</v>
      </c>
      <c r="O1569" s="1" t="n">
        <v>15</v>
      </c>
      <c r="P1569" s="1" t="n">
        <v>1799.85</v>
      </c>
      <c r="Q1569" s="1" t="n">
        <v>10199.15</v>
      </c>
      <c r="R1569" s="1" t="n">
        <v>1835.85</v>
      </c>
      <c r="S1569" s="1" t="n">
        <v>8363.3</v>
      </c>
      <c r="T1569" s="1" t="n">
        <v>3740.28</v>
      </c>
      <c r="U1569" s="1" t="n">
        <v>4623.02</v>
      </c>
      <c r="V1569" s="1" t="n">
        <v>55.28</v>
      </c>
      <c r="W1569" s="1" t="s">
        <v>39</v>
      </c>
      <c r="Y1569" s="1" t="s">
        <v>40</v>
      </c>
      <c r="Z1569" s="1" t="n">
        <v>2</v>
      </c>
      <c r="AA1569" s="1" t="str">
        <f aca="false">TRIM(PROPER(F1569))</f>
        <v>Mysuru</v>
      </c>
      <c r="AB1569" s="1" t="str">
        <f aca="false">TRIM(PROPER(C1569))</f>
        <v>Extramarks</v>
      </c>
      <c r="AC1569" s="1" t="str">
        <f aca="false">IF(O1569=0,"No Discount",IF(O1569&lt;=15,"Low (1-15%)",IF(O1569&lt;=30,"Medium (16-30%)","High (&gt;30%)")))</f>
        <v>Low (1-15%)</v>
      </c>
      <c r="AD1569" s="1" t="str">
        <f aca="false">IF(V1569&lt;0,"Loss Making",IF(V1569&lt;20,"Low Margin","Healthy Margin"))</f>
        <v>Healthy Margin</v>
      </c>
      <c r="AE1569" s="1" t="str">
        <f aca="false">TEXT(DATE(VALUE(RIGHT(B1569,4)),VALUE(MID(B1569,4,2)),VALUE(LEFT(B1569,2))),"MMM-YYYY")</f>
        <v>Feb-2024</v>
      </c>
      <c r="AF1569" s="1" t="n">
        <f aca="false">VALUE(RIGHT(B1569,4))</f>
        <v>2024</v>
      </c>
      <c r="AG1569" s="1" t="str">
        <f aca="false">CHOOSE(ROUNDUP(VALUE(MID(B1569,4,2))/3,0),"Q1","Q2","Q3","Q4")</f>
        <v>Q1</v>
      </c>
    </row>
    <row r="1570" customFormat="false" ht="15" hidden="false" customHeight="true" outlineLevel="0" collapsed="false">
      <c r="A1570" s="1" t="s">
        <v>2389</v>
      </c>
      <c r="B1570" s="1" t="s">
        <v>2267</v>
      </c>
      <c r="C1570" s="1" t="s">
        <v>28</v>
      </c>
      <c r="D1570" s="1" t="s">
        <v>168</v>
      </c>
      <c r="E1570" s="1" t="s">
        <v>197</v>
      </c>
      <c r="F1570" s="1" t="s">
        <v>46</v>
      </c>
      <c r="G1570" s="1" t="s">
        <v>47</v>
      </c>
      <c r="H1570" s="1" t="s">
        <v>33</v>
      </c>
      <c r="I1570" s="1" t="s">
        <v>58</v>
      </c>
      <c r="J1570" s="1" t="s">
        <v>70</v>
      </c>
      <c r="K1570" s="1" t="s">
        <v>36</v>
      </c>
      <c r="L1570" s="1" t="s">
        <v>136</v>
      </c>
      <c r="M1570" s="1" t="s">
        <v>38</v>
      </c>
      <c r="N1570" s="1" t="n">
        <v>8499</v>
      </c>
      <c r="O1570" s="1" t="n">
        <v>0</v>
      </c>
      <c r="P1570" s="1" t="n">
        <v>0</v>
      </c>
      <c r="Q1570" s="1" t="n">
        <v>8499</v>
      </c>
      <c r="R1570" s="1" t="n">
        <v>1529.82</v>
      </c>
      <c r="S1570" s="1" t="n">
        <v>6969.18</v>
      </c>
      <c r="T1570" s="1" t="n">
        <v>3483.5</v>
      </c>
      <c r="U1570" s="1" t="n">
        <v>3485.68</v>
      </c>
      <c r="V1570" s="1" t="n">
        <v>50.02</v>
      </c>
      <c r="W1570" s="1" t="s">
        <v>40</v>
      </c>
      <c r="Y1570" s="1" t="s">
        <v>40</v>
      </c>
      <c r="Z1570" s="1" t="n">
        <v>2</v>
      </c>
      <c r="AA1570" s="1" t="str">
        <f aca="false">TRIM(PROPER(F1570))</f>
        <v>Mangaluru</v>
      </c>
      <c r="AB1570" s="1" t="str">
        <f aca="false">TRIM(PROPER(C1570))</f>
        <v>Embibe</v>
      </c>
      <c r="AC1570" s="1" t="str">
        <f aca="false">IF(O1570=0,"No Discount",IF(O1570&lt;=15,"Low (1-15%)",IF(O1570&lt;=30,"Medium (16-30%)","High (&gt;30%)")))</f>
        <v>No Discount</v>
      </c>
      <c r="AD1570" s="1" t="str">
        <f aca="false">IF(V1570&lt;0,"Loss Making",IF(V1570&lt;20,"Low Margin","Healthy Margin"))</f>
        <v>Healthy Margin</v>
      </c>
      <c r="AE1570" s="1" t="str">
        <f aca="false">TEXT(DATE(VALUE(RIGHT(B1570,4)),VALUE(MID(B1570,4,2)),VALUE(LEFT(B1570,2))),"MMM-YYYY")</f>
        <v>Dec-2023</v>
      </c>
      <c r="AF1570" s="1" t="n">
        <f aca="false">VALUE(RIGHT(B1570,4))</f>
        <v>2023</v>
      </c>
      <c r="AG1570" s="1" t="str">
        <f aca="false">CHOOSE(ROUNDUP(VALUE(MID(B1570,4,2))/3,0),"Q1","Q2","Q3","Q4")</f>
        <v>Q4</v>
      </c>
    </row>
    <row r="1571" customFormat="false" ht="15" hidden="false" customHeight="true" outlineLevel="0" collapsed="false">
      <c r="A1571" s="1" t="s">
        <v>2390</v>
      </c>
      <c r="B1571" s="1" t="s">
        <v>823</v>
      </c>
      <c r="C1571" s="1" t="s">
        <v>264</v>
      </c>
      <c r="D1571" s="1" t="s">
        <v>123</v>
      </c>
      <c r="E1571" s="1" t="s">
        <v>124</v>
      </c>
      <c r="F1571" s="1" t="s">
        <v>82</v>
      </c>
      <c r="G1571" s="1" t="s">
        <v>56</v>
      </c>
      <c r="H1571" s="1" t="s">
        <v>69</v>
      </c>
      <c r="I1571" s="1" t="s">
        <v>58</v>
      </c>
      <c r="J1571" s="1" t="s">
        <v>131</v>
      </c>
      <c r="K1571" s="1" t="s">
        <v>36</v>
      </c>
      <c r="L1571" s="1" t="s">
        <v>113</v>
      </c>
      <c r="M1571" s="1" t="s">
        <v>38</v>
      </c>
      <c r="N1571" s="1" t="n">
        <v>4999</v>
      </c>
      <c r="O1571" s="1" t="n">
        <v>20</v>
      </c>
      <c r="P1571" s="1" t="n">
        <v>999.8</v>
      </c>
      <c r="Q1571" s="1" t="n">
        <v>3999.2</v>
      </c>
      <c r="R1571" s="1" t="n">
        <v>719.86</v>
      </c>
      <c r="S1571" s="1" t="n">
        <v>3279.34</v>
      </c>
      <c r="T1571" s="1" t="n">
        <v>1591.3</v>
      </c>
      <c r="U1571" s="1" t="n">
        <v>1688.04</v>
      </c>
      <c r="V1571" s="1" t="n">
        <v>51.47</v>
      </c>
      <c r="W1571" s="1" t="s">
        <v>40</v>
      </c>
      <c r="Y1571" s="1" t="s">
        <v>40</v>
      </c>
      <c r="Z1571" s="1" t="n">
        <v>1</v>
      </c>
      <c r="AA1571" s="1" t="str">
        <f aca="false">TRIM(PROPER(F1571))</f>
        <v>Gurugram</v>
      </c>
      <c r="AB1571" s="1" t="str">
        <f aca="false">TRIM(PROPER(C1571))</f>
        <v>Unacademy</v>
      </c>
      <c r="AC1571" s="1" t="str">
        <f aca="false">IF(O1571=0,"No Discount",IF(O1571&lt;=15,"Low (1-15%)",IF(O1571&lt;=30,"Medium (16-30%)","High (&gt;30%)")))</f>
        <v>Medium (16-30%)</v>
      </c>
      <c r="AD1571" s="1" t="str">
        <f aca="false">IF(V1571&lt;0,"Loss Making",IF(V1571&lt;20,"Low Margin","Healthy Margin"))</f>
        <v>Healthy Margin</v>
      </c>
      <c r="AE1571" s="1" t="str">
        <f aca="false">TEXT(DATE(VALUE(RIGHT(B1571,4)),VALUE(MID(B1571,4,2)),VALUE(LEFT(B1571,2))),"MMM-YYYY")</f>
        <v>Jul-2024</v>
      </c>
      <c r="AF1571" s="1" t="n">
        <f aca="false">VALUE(RIGHT(B1571,4))</f>
        <v>2024</v>
      </c>
      <c r="AG1571" s="1" t="str">
        <f aca="false">CHOOSE(ROUNDUP(VALUE(MID(B1571,4,2))/3,0),"Q1","Q2","Q3","Q4")</f>
        <v>Q3</v>
      </c>
    </row>
    <row r="1572" customFormat="false" ht="15" hidden="false" customHeight="true" outlineLevel="0" collapsed="false">
      <c r="A1572" s="1" t="s">
        <v>2391</v>
      </c>
      <c r="B1572" s="1" t="s">
        <v>1959</v>
      </c>
      <c r="C1572" s="1" t="s">
        <v>119</v>
      </c>
      <c r="D1572" s="1" t="s">
        <v>168</v>
      </c>
      <c r="E1572" s="1" t="s">
        <v>197</v>
      </c>
      <c r="F1572" s="1" t="s">
        <v>31</v>
      </c>
      <c r="G1572" s="1" t="s">
        <v>32</v>
      </c>
      <c r="H1572" s="1" t="s">
        <v>33</v>
      </c>
      <c r="I1572" s="1" t="s">
        <v>83</v>
      </c>
      <c r="J1572" s="1" t="s">
        <v>131</v>
      </c>
      <c r="K1572" s="1" t="s">
        <v>48</v>
      </c>
      <c r="L1572" s="1" t="s">
        <v>85</v>
      </c>
      <c r="M1572" s="1" t="s">
        <v>38</v>
      </c>
      <c r="N1572" s="1" t="n">
        <v>8499</v>
      </c>
      <c r="O1572" s="1" t="n">
        <v>25</v>
      </c>
      <c r="P1572" s="1" t="n">
        <v>2124.75</v>
      </c>
      <c r="Q1572" s="1" t="n">
        <v>6374.25</v>
      </c>
      <c r="R1572" s="1" t="n">
        <v>1147.37</v>
      </c>
      <c r="S1572" s="1" t="n">
        <v>5226.88</v>
      </c>
      <c r="T1572" s="1" t="n">
        <v>2884.51</v>
      </c>
      <c r="U1572" s="1" t="n">
        <v>2342.37</v>
      </c>
      <c r="V1572" s="1" t="n">
        <v>44.81</v>
      </c>
      <c r="W1572" s="1" t="s">
        <v>39</v>
      </c>
      <c r="X1572" s="1" t="n">
        <v>4</v>
      </c>
      <c r="Y1572" s="1" t="s">
        <v>40</v>
      </c>
      <c r="Z1572" s="1" t="n">
        <v>0</v>
      </c>
      <c r="AA1572" s="1" t="str">
        <f aca="false">TRIM(PROPER(F1572))</f>
        <v>Jodhpur</v>
      </c>
      <c r="AB1572" s="1" t="str">
        <f aca="false">TRIM(PROPER(C1572))</f>
        <v>Simplilearn</v>
      </c>
      <c r="AC1572" s="1" t="str">
        <f aca="false">IF(O1572=0,"No Discount",IF(O1572&lt;=15,"Low (1-15%)",IF(O1572&lt;=30,"Medium (16-30%)","High (&gt;30%)")))</f>
        <v>Medium (16-30%)</v>
      </c>
      <c r="AD1572" s="1" t="str">
        <f aca="false">IF(V1572&lt;0,"Loss Making",IF(V1572&lt;20,"Low Margin","Healthy Margin"))</f>
        <v>Healthy Margin</v>
      </c>
      <c r="AE1572" s="1" t="str">
        <f aca="false">TEXT(DATE(VALUE(RIGHT(B1572,4)),VALUE(MID(B1572,4,2)),VALUE(LEFT(B1572,2))),"MMM-YYYY")</f>
        <v>Feb-2023</v>
      </c>
      <c r="AF1572" s="1" t="n">
        <f aca="false">VALUE(RIGHT(B1572,4))</f>
        <v>2023</v>
      </c>
      <c r="AG1572" s="1" t="str">
        <f aca="false">CHOOSE(ROUNDUP(VALUE(MID(B1572,4,2))/3,0),"Q1","Q2","Q3","Q4")</f>
        <v>Q1</v>
      </c>
    </row>
    <row r="1573" customFormat="false" ht="15" hidden="false" customHeight="true" outlineLevel="0" collapsed="false">
      <c r="A1573" s="1" t="s">
        <v>2392</v>
      </c>
      <c r="B1573" s="1" t="s">
        <v>1858</v>
      </c>
      <c r="C1573" s="1" t="s">
        <v>178</v>
      </c>
      <c r="D1573" s="1" t="s">
        <v>94</v>
      </c>
      <c r="E1573" s="1" t="s">
        <v>135</v>
      </c>
      <c r="F1573" s="1" t="s">
        <v>130</v>
      </c>
      <c r="G1573" s="1" t="s">
        <v>47</v>
      </c>
      <c r="H1573" s="1" t="s">
        <v>69</v>
      </c>
      <c r="I1573" s="1" t="s">
        <v>58</v>
      </c>
      <c r="J1573" s="1" t="s">
        <v>77</v>
      </c>
      <c r="K1573" s="1" t="s">
        <v>84</v>
      </c>
      <c r="L1573" s="1" t="s">
        <v>136</v>
      </c>
      <c r="M1573" s="1" t="s">
        <v>50</v>
      </c>
      <c r="N1573" s="1" t="n">
        <v>9999</v>
      </c>
      <c r="O1573" s="1" t="n">
        <v>10</v>
      </c>
      <c r="P1573" s="1" t="n">
        <v>999.9</v>
      </c>
      <c r="Q1573" s="1" t="n">
        <v>8999.1</v>
      </c>
      <c r="R1573" s="1" t="n">
        <v>1619.84</v>
      </c>
      <c r="S1573" s="1" t="n">
        <v>7379.26</v>
      </c>
      <c r="T1573" s="1" t="n">
        <v>2443.41</v>
      </c>
      <c r="U1573" s="1" t="n">
        <v>4935.85</v>
      </c>
      <c r="V1573" s="1" t="n">
        <v>66.89</v>
      </c>
      <c r="W1573" s="1" t="s">
        <v>39</v>
      </c>
      <c r="X1573" s="1" t="n">
        <v>4.2</v>
      </c>
      <c r="Y1573" s="1" t="s">
        <v>40</v>
      </c>
      <c r="Z1573" s="1" t="n">
        <v>0</v>
      </c>
      <c r="AA1573" s="1" t="str">
        <f aca="false">TRIM(PROPER(F1573))</f>
        <v>Bengaluru</v>
      </c>
      <c r="AB1573" s="1" t="str">
        <f aca="false">TRIM(PROPER(C1573))</f>
        <v>Leverage Edu</v>
      </c>
      <c r="AC1573" s="1" t="str">
        <f aca="false">IF(O1573=0,"No Discount",IF(O1573&lt;=15,"Low (1-15%)",IF(O1573&lt;=30,"Medium (16-30%)","High (&gt;30%)")))</f>
        <v>Low (1-15%)</v>
      </c>
      <c r="AD1573" s="1" t="str">
        <f aca="false">IF(V1573&lt;0,"Loss Making",IF(V1573&lt;20,"Low Margin","Healthy Margin"))</f>
        <v>Healthy Margin</v>
      </c>
      <c r="AE1573" s="1" t="str">
        <f aca="false">TEXT(DATE(VALUE(RIGHT(B1573,4)),VALUE(MID(B1573,4,2)),VALUE(LEFT(B1573,2))),"MMM-YYYY")</f>
        <v>Jul-2023</v>
      </c>
      <c r="AF1573" s="1" t="n">
        <f aca="false">VALUE(RIGHT(B1573,4))</f>
        <v>2023</v>
      </c>
      <c r="AG1573" s="1" t="str">
        <f aca="false">CHOOSE(ROUNDUP(VALUE(MID(B1573,4,2))/3,0),"Q1","Q2","Q3","Q4")</f>
        <v>Q3</v>
      </c>
    </row>
    <row r="1574" customFormat="false" ht="15" hidden="false" customHeight="true" outlineLevel="0" collapsed="false">
      <c r="A1574" s="1" t="s">
        <v>2393</v>
      </c>
      <c r="B1574" s="1" t="s">
        <v>2394</v>
      </c>
      <c r="C1574" s="1" t="s">
        <v>88</v>
      </c>
      <c r="D1574" s="1" t="s">
        <v>123</v>
      </c>
      <c r="E1574" s="1" t="s">
        <v>124</v>
      </c>
      <c r="F1574" s="1" t="s">
        <v>125</v>
      </c>
      <c r="G1574" s="1" t="s">
        <v>108</v>
      </c>
      <c r="H1574" s="1" t="s">
        <v>69</v>
      </c>
      <c r="I1574" s="1" t="s">
        <v>83</v>
      </c>
      <c r="J1574" s="1" t="s">
        <v>131</v>
      </c>
      <c r="K1574" s="1" t="s">
        <v>112</v>
      </c>
      <c r="L1574" s="1" t="s">
        <v>85</v>
      </c>
      <c r="M1574" s="1" t="s">
        <v>50</v>
      </c>
      <c r="N1574" s="1" t="n">
        <v>4999</v>
      </c>
      <c r="O1574" s="1" t="n">
        <v>50</v>
      </c>
      <c r="P1574" s="1" t="n">
        <v>2499.5</v>
      </c>
      <c r="Q1574" s="1" t="n">
        <v>2499.5</v>
      </c>
      <c r="R1574" s="1" t="n">
        <v>449.91</v>
      </c>
      <c r="S1574" s="1" t="n">
        <v>2049.59</v>
      </c>
      <c r="T1574" s="1" t="n">
        <v>977.11</v>
      </c>
      <c r="U1574" s="1" t="n">
        <v>1072.48</v>
      </c>
      <c r="V1574" s="1" t="n">
        <v>52.33</v>
      </c>
      <c r="W1574" s="1" t="s">
        <v>40</v>
      </c>
      <c r="Y1574" s="1" t="s">
        <v>40</v>
      </c>
      <c r="Z1574" s="1" t="n">
        <v>1</v>
      </c>
      <c r="AA1574" s="1" t="str">
        <f aca="false">TRIM(PROPER(F1574))</f>
        <v>Chennai</v>
      </c>
      <c r="AB1574" s="1" t="str">
        <f aca="false">TRIM(PROPER(C1574))</f>
        <v>Byju'S</v>
      </c>
      <c r="AC1574" s="1" t="str">
        <f aca="false">IF(O1574=0,"No Discount",IF(O1574&lt;=15,"Low (1-15%)",IF(O1574&lt;=30,"Medium (16-30%)","High (&gt;30%)")))</f>
        <v>High (&gt;30%)</v>
      </c>
      <c r="AD1574" s="1" t="str">
        <f aca="false">IF(V1574&lt;0,"Loss Making",IF(V1574&lt;20,"Low Margin","Healthy Margin"))</f>
        <v>Healthy Margin</v>
      </c>
      <c r="AE1574" s="1" t="str">
        <f aca="false">TEXT(DATE(VALUE(RIGHT(B1574,4)),VALUE(MID(B1574,4,2)),VALUE(LEFT(B1574,2))),"MMM-YYYY")</f>
        <v>May-2024</v>
      </c>
      <c r="AF1574" s="1" t="n">
        <f aca="false">VALUE(RIGHT(B1574,4))</f>
        <v>2024</v>
      </c>
      <c r="AG1574" s="1" t="str">
        <f aca="false">CHOOSE(ROUNDUP(VALUE(MID(B1574,4,2))/3,0),"Q1","Q2","Q3","Q4")</f>
        <v>Q2</v>
      </c>
    </row>
    <row r="1575" customFormat="false" ht="15" hidden="false" customHeight="true" outlineLevel="0" collapsed="false">
      <c r="A1575" s="1" t="s">
        <v>2395</v>
      </c>
      <c r="B1575" s="1" t="s">
        <v>2235</v>
      </c>
      <c r="C1575" s="1" t="s">
        <v>167</v>
      </c>
      <c r="D1575" s="1" t="s">
        <v>80</v>
      </c>
      <c r="E1575" s="1" t="s">
        <v>190</v>
      </c>
      <c r="F1575" s="1" t="s">
        <v>244</v>
      </c>
      <c r="G1575" s="1" t="s">
        <v>97</v>
      </c>
      <c r="H1575" s="1" t="s">
        <v>57</v>
      </c>
      <c r="I1575" s="1" t="s">
        <v>58</v>
      </c>
      <c r="J1575" s="1" t="s">
        <v>131</v>
      </c>
      <c r="K1575" s="1" t="s">
        <v>104</v>
      </c>
      <c r="L1575" s="1" t="s">
        <v>136</v>
      </c>
      <c r="M1575" s="1" t="s">
        <v>38</v>
      </c>
      <c r="N1575" s="1" t="n">
        <v>15999</v>
      </c>
      <c r="O1575" s="1" t="n">
        <v>20</v>
      </c>
      <c r="P1575" s="1" t="n">
        <v>3199.8</v>
      </c>
      <c r="Q1575" s="1" t="n">
        <v>12799.2</v>
      </c>
      <c r="R1575" s="1" t="n">
        <v>2303.86</v>
      </c>
      <c r="S1575" s="1" t="n">
        <v>10495.34</v>
      </c>
      <c r="T1575" s="1" t="n">
        <v>4491.74</v>
      </c>
      <c r="U1575" s="1" t="n">
        <v>6003.6</v>
      </c>
      <c r="V1575" s="1" t="n">
        <v>57.2</v>
      </c>
      <c r="W1575" s="1" t="s">
        <v>40</v>
      </c>
      <c r="Y1575" s="1" t="s">
        <v>40</v>
      </c>
      <c r="Z1575" s="1" t="n">
        <v>0</v>
      </c>
      <c r="AA1575" s="1" t="str">
        <f aca="false">TRIM(PROPER(F1575))</f>
        <v>Nagpur</v>
      </c>
      <c r="AB1575" s="1" t="str">
        <f aca="false">TRIM(PROPER(C1575))</f>
        <v>Scaler</v>
      </c>
      <c r="AC1575" s="1" t="str">
        <f aca="false">IF(O1575=0,"No Discount",IF(O1575&lt;=15,"Low (1-15%)",IF(O1575&lt;=30,"Medium (16-30%)","High (&gt;30%)")))</f>
        <v>Medium (16-30%)</v>
      </c>
      <c r="AD1575" s="1" t="str">
        <f aca="false">IF(V1575&lt;0,"Loss Making",IF(V1575&lt;20,"Low Margin","Healthy Margin"))</f>
        <v>Healthy Margin</v>
      </c>
      <c r="AE1575" s="1" t="str">
        <f aca="false">TEXT(DATE(VALUE(RIGHT(B1575,4)),VALUE(MID(B1575,4,2)),VALUE(LEFT(B1575,2))),"MMM-YYYY")</f>
        <v>Apr-2024</v>
      </c>
      <c r="AF1575" s="1" t="n">
        <f aca="false">VALUE(RIGHT(B1575,4))</f>
        <v>2024</v>
      </c>
      <c r="AG1575" s="1" t="str">
        <f aca="false">CHOOSE(ROUNDUP(VALUE(MID(B1575,4,2))/3,0),"Q1","Q2","Q3","Q4")</f>
        <v>Q2</v>
      </c>
    </row>
    <row r="1576" customFormat="false" ht="15" hidden="false" customHeight="true" outlineLevel="0" collapsed="false">
      <c r="A1576" s="1" t="s">
        <v>2396</v>
      </c>
      <c r="B1576" s="1" t="s">
        <v>510</v>
      </c>
      <c r="C1576" s="1" t="s">
        <v>28</v>
      </c>
      <c r="D1576" s="1" t="s">
        <v>168</v>
      </c>
      <c r="E1576" s="1" t="s">
        <v>197</v>
      </c>
      <c r="F1576" s="1" t="s">
        <v>46</v>
      </c>
      <c r="G1576" s="1" t="s">
        <v>47</v>
      </c>
      <c r="H1576" s="1" t="s">
        <v>33</v>
      </c>
      <c r="I1576" s="1" t="s">
        <v>83</v>
      </c>
      <c r="J1576" s="1" t="s">
        <v>70</v>
      </c>
      <c r="K1576" s="1" t="s">
        <v>60</v>
      </c>
      <c r="L1576" s="1" t="s">
        <v>85</v>
      </c>
      <c r="M1576" s="1" t="s">
        <v>62</v>
      </c>
      <c r="N1576" s="1" t="n">
        <v>8499</v>
      </c>
      <c r="O1576" s="1" t="n">
        <v>25</v>
      </c>
      <c r="P1576" s="1" t="n">
        <v>2124.75</v>
      </c>
      <c r="Q1576" s="1" t="n">
        <v>6374.25</v>
      </c>
      <c r="R1576" s="1" t="n">
        <v>1147.37</v>
      </c>
      <c r="S1576" s="1" t="n">
        <v>5226.88</v>
      </c>
      <c r="T1576" s="1" t="n">
        <v>2672.28</v>
      </c>
      <c r="U1576" s="1" t="n">
        <v>2554.6</v>
      </c>
      <c r="V1576" s="1" t="n">
        <v>48.87</v>
      </c>
      <c r="W1576" s="1" t="s">
        <v>39</v>
      </c>
      <c r="Y1576" s="1" t="s">
        <v>40</v>
      </c>
      <c r="Z1576" s="1" t="n">
        <v>0</v>
      </c>
      <c r="AA1576" s="1" t="str">
        <f aca="false">TRIM(PROPER(F1576))</f>
        <v>Mangaluru</v>
      </c>
      <c r="AB1576" s="1" t="str">
        <f aca="false">TRIM(PROPER(C1576))</f>
        <v>Embibe</v>
      </c>
      <c r="AC1576" s="1" t="str">
        <f aca="false">IF(O1576=0,"No Discount",IF(O1576&lt;=15,"Low (1-15%)",IF(O1576&lt;=30,"Medium (16-30%)","High (&gt;30%)")))</f>
        <v>Medium (16-30%)</v>
      </c>
      <c r="AD1576" s="1" t="str">
        <f aca="false">IF(V1576&lt;0,"Loss Making",IF(V1576&lt;20,"Low Margin","Healthy Margin"))</f>
        <v>Healthy Margin</v>
      </c>
      <c r="AE1576" s="1" t="str">
        <f aca="false">TEXT(DATE(VALUE(RIGHT(B1576,4)),VALUE(MID(B1576,4,2)),VALUE(LEFT(B1576,2))),"MMM-YYYY")</f>
        <v>Mar-2024</v>
      </c>
      <c r="AF1576" s="1" t="n">
        <f aca="false">VALUE(RIGHT(B1576,4))</f>
        <v>2024</v>
      </c>
      <c r="AG1576" s="1" t="str">
        <f aca="false">CHOOSE(ROUNDUP(VALUE(MID(B1576,4,2))/3,0),"Q1","Q2","Q3","Q4")</f>
        <v>Q1</v>
      </c>
    </row>
    <row r="1577" customFormat="false" ht="15" hidden="false" customHeight="true" outlineLevel="0" collapsed="false">
      <c r="A1577" s="1" t="s">
        <v>2397</v>
      </c>
      <c r="B1577" s="1" t="s">
        <v>450</v>
      </c>
      <c r="C1577" s="1" t="s">
        <v>139</v>
      </c>
      <c r="D1577" s="1" t="s">
        <v>168</v>
      </c>
      <c r="E1577" s="1" t="s">
        <v>328</v>
      </c>
      <c r="F1577" s="1" t="s">
        <v>156</v>
      </c>
      <c r="G1577" s="1" t="s">
        <v>68</v>
      </c>
      <c r="H1577" s="1" t="s">
        <v>57</v>
      </c>
      <c r="I1577" s="1" t="s">
        <v>34</v>
      </c>
      <c r="J1577" s="1" t="s">
        <v>70</v>
      </c>
      <c r="K1577" s="1" t="s">
        <v>112</v>
      </c>
      <c r="L1577" s="1" t="s">
        <v>37</v>
      </c>
      <c r="M1577" s="1" t="s">
        <v>62</v>
      </c>
      <c r="N1577" s="1" t="n">
        <v>8999</v>
      </c>
      <c r="O1577" s="1" t="n">
        <v>15</v>
      </c>
      <c r="P1577" s="1" t="n">
        <v>1349.85</v>
      </c>
      <c r="Q1577" s="1" t="n">
        <v>7649.15</v>
      </c>
      <c r="R1577" s="1" t="n">
        <v>1376.85</v>
      </c>
      <c r="S1577" s="1" t="n">
        <v>6272.3</v>
      </c>
      <c r="T1577" s="1" t="n">
        <v>2929.65</v>
      </c>
      <c r="U1577" s="1" t="n">
        <v>3342.65</v>
      </c>
      <c r="V1577" s="1" t="n">
        <v>53.29</v>
      </c>
      <c r="W1577" s="1" t="s">
        <v>40</v>
      </c>
      <c r="Y1577" s="1" t="s">
        <v>40</v>
      </c>
      <c r="Z1577" s="1" t="n">
        <v>0</v>
      </c>
      <c r="AA1577" s="1" t="str">
        <f aca="false">TRIM(PROPER(F1577))</f>
        <v>Surat</v>
      </c>
      <c r="AB1577" s="1" t="str">
        <f aca="false">TRIM(PROPER(C1577))</f>
        <v>Extramarks</v>
      </c>
      <c r="AC1577" s="1" t="str">
        <f aca="false">IF(O1577=0,"No Discount",IF(O1577&lt;=15,"Low (1-15%)",IF(O1577&lt;=30,"Medium (16-30%)","High (&gt;30%)")))</f>
        <v>Low (1-15%)</v>
      </c>
      <c r="AD1577" s="1" t="str">
        <f aca="false">IF(V1577&lt;0,"Loss Making",IF(V1577&lt;20,"Low Margin","Healthy Margin"))</f>
        <v>Healthy Margin</v>
      </c>
      <c r="AE1577" s="1" t="str">
        <f aca="false">TEXT(DATE(VALUE(RIGHT(B1577,4)),VALUE(MID(B1577,4,2)),VALUE(LEFT(B1577,2))),"MMM-YYYY")</f>
        <v>Jul-2024</v>
      </c>
      <c r="AF1577" s="1" t="n">
        <f aca="false">VALUE(RIGHT(B1577,4))</f>
        <v>2024</v>
      </c>
      <c r="AG1577" s="1" t="str">
        <f aca="false">CHOOSE(ROUNDUP(VALUE(MID(B1577,4,2))/3,0),"Q1","Q2","Q3","Q4")</f>
        <v>Q3</v>
      </c>
    </row>
    <row r="1578" customFormat="false" ht="15" hidden="false" customHeight="true" outlineLevel="0" collapsed="false">
      <c r="A1578" s="1" t="s">
        <v>2398</v>
      </c>
      <c r="B1578" s="1" t="s">
        <v>764</v>
      </c>
      <c r="C1578" s="1" t="s">
        <v>93</v>
      </c>
      <c r="D1578" s="1" t="s">
        <v>143</v>
      </c>
      <c r="E1578" s="1" t="s">
        <v>162</v>
      </c>
      <c r="F1578" s="1" t="s">
        <v>140</v>
      </c>
      <c r="G1578" s="1" t="s">
        <v>97</v>
      </c>
      <c r="H1578" s="1" t="s">
        <v>57</v>
      </c>
      <c r="I1578" s="1" t="s">
        <v>83</v>
      </c>
      <c r="J1578" s="1" t="s">
        <v>59</v>
      </c>
      <c r="K1578" s="1" t="s">
        <v>71</v>
      </c>
      <c r="L1578" s="1" t="s">
        <v>136</v>
      </c>
      <c r="M1578" s="1" t="s">
        <v>38</v>
      </c>
      <c r="N1578" s="1" t="n">
        <v>14999</v>
      </c>
      <c r="O1578" s="1" t="n">
        <v>50</v>
      </c>
      <c r="P1578" s="1" t="n">
        <v>7499.5</v>
      </c>
      <c r="Q1578" s="1" t="n">
        <v>7499.5</v>
      </c>
      <c r="R1578" s="1" t="n">
        <v>1349.91</v>
      </c>
      <c r="S1578" s="1" t="n">
        <v>6149.59</v>
      </c>
      <c r="T1578" s="1" t="n">
        <v>3398.07</v>
      </c>
      <c r="U1578" s="1" t="n">
        <v>2751.52</v>
      </c>
      <c r="V1578" s="1" t="n">
        <v>44.74</v>
      </c>
      <c r="W1578" s="1" t="s">
        <v>40</v>
      </c>
      <c r="Y1578" s="1" t="s">
        <v>40</v>
      </c>
      <c r="Z1578" s="1" t="n">
        <v>1</v>
      </c>
      <c r="AA1578" s="1" t="str">
        <f aca="false">TRIM(PROPER(F1578))</f>
        <v>Nashik</v>
      </c>
      <c r="AB1578" s="1" t="str">
        <f aca="false">TRIM(PROPER(C1578))</f>
        <v>Upgrad</v>
      </c>
      <c r="AC1578" s="1" t="str">
        <f aca="false">IF(O1578=0,"No Discount",IF(O1578&lt;=15,"Low (1-15%)",IF(O1578&lt;=30,"Medium (16-30%)","High (&gt;30%)")))</f>
        <v>High (&gt;30%)</v>
      </c>
      <c r="AD1578" s="1" t="str">
        <f aca="false">IF(V1578&lt;0,"Loss Making",IF(V1578&lt;20,"Low Margin","Healthy Margin"))</f>
        <v>Healthy Margin</v>
      </c>
      <c r="AE1578" s="1" t="str">
        <f aca="false">TEXT(DATE(VALUE(RIGHT(B1578,4)),VALUE(MID(B1578,4,2)),VALUE(LEFT(B1578,2))),"MMM-YYYY")</f>
        <v>Nov-2023</v>
      </c>
      <c r="AF1578" s="1" t="n">
        <f aca="false">VALUE(RIGHT(B1578,4))</f>
        <v>2023</v>
      </c>
      <c r="AG1578" s="1" t="str">
        <f aca="false">CHOOSE(ROUNDUP(VALUE(MID(B1578,4,2))/3,0),"Q1","Q2","Q3","Q4")</f>
        <v>Q4</v>
      </c>
    </row>
    <row r="1579" customFormat="false" ht="15" hidden="false" customHeight="true" outlineLevel="0" collapsed="false">
      <c r="A1579" s="1" t="s">
        <v>2399</v>
      </c>
      <c r="B1579" s="1" t="s">
        <v>889</v>
      </c>
      <c r="C1579" s="1" t="s">
        <v>119</v>
      </c>
      <c r="D1579" s="1" t="s">
        <v>53</v>
      </c>
      <c r="E1579" s="1" t="s">
        <v>216</v>
      </c>
      <c r="F1579" s="1" t="s">
        <v>156</v>
      </c>
      <c r="G1579" s="1" t="s">
        <v>68</v>
      </c>
      <c r="H1579" s="1" t="s">
        <v>57</v>
      </c>
      <c r="I1579" s="1" t="s">
        <v>58</v>
      </c>
      <c r="J1579" s="1" t="s">
        <v>131</v>
      </c>
      <c r="K1579" s="1" t="s">
        <v>104</v>
      </c>
      <c r="L1579" s="1" t="s">
        <v>85</v>
      </c>
      <c r="M1579" s="1" t="s">
        <v>50</v>
      </c>
      <c r="N1579" s="1" t="n">
        <v>7499</v>
      </c>
      <c r="O1579" s="1" t="n">
        <v>5</v>
      </c>
      <c r="P1579" s="1" t="n">
        <v>374.95</v>
      </c>
      <c r="Q1579" s="1" t="n">
        <v>7124.05</v>
      </c>
      <c r="R1579" s="1" t="n">
        <v>1282.33</v>
      </c>
      <c r="S1579" s="1" t="n">
        <v>5841.72</v>
      </c>
      <c r="T1579" s="1" t="n">
        <v>2283.57</v>
      </c>
      <c r="U1579" s="1" t="n">
        <v>3558.15</v>
      </c>
      <c r="V1579" s="1" t="n">
        <v>60.91</v>
      </c>
      <c r="W1579" s="1" t="s">
        <v>39</v>
      </c>
      <c r="X1579" s="1" t="n">
        <v>4.7</v>
      </c>
      <c r="Y1579" s="1" t="s">
        <v>40</v>
      </c>
      <c r="Z1579" s="1" t="n">
        <v>1</v>
      </c>
      <c r="AA1579" s="1" t="str">
        <f aca="false">TRIM(PROPER(F1579))</f>
        <v>Surat</v>
      </c>
      <c r="AB1579" s="1" t="str">
        <f aca="false">TRIM(PROPER(C1579))</f>
        <v>Simplilearn</v>
      </c>
      <c r="AC1579" s="1" t="str">
        <f aca="false">IF(O1579=0,"No Discount",IF(O1579&lt;=15,"Low (1-15%)",IF(O1579&lt;=30,"Medium (16-30%)","High (&gt;30%)")))</f>
        <v>Low (1-15%)</v>
      </c>
      <c r="AD1579" s="1" t="str">
        <f aca="false">IF(V1579&lt;0,"Loss Making",IF(V1579&lt;20,"Low Margin","Healthy Margin"))</f>
        <v>Healthy Margin</v>
      </c>
      <c r="AE1579" s="1" t="str">
        <f aca="false">TEXT(DATE(VALUE(RIGHT(B1579,4)),VALUE(MID(B1579,4,2)),VALUE(LEFT(B1579,2))),"MMM-YYYY")</f>
        <v>Sep-2024</v>
      </c>
      <c r="AF1579" s="1" t="n">
        <f aca="false">VALUE(RIGHT(B1579,4))</f>
        <v>2024</v>
      </c>
      <c r="AG1579" s="1" t="str">
        <f aca="false">CHOOSE(ROUNDUP(VALUE(MID(B1579,4,2))/3,0),"Q1","Q2","Q3","Q4")</f>
        <v>Q3</v>
      </c>
    </row>
    <row r="1580" customFormat="false" ht="15" hidden="false" customHeight="true" outlineLevel="0" collapsed="false">
      <c r="A1580" s="1" t="s">
        <v>2400</v>
      </c>
      <c r="B1580" s="1" t="s">
        <v>483</v>
      </c>
      <c r="C1580" s="1" t="s">
        <v>65</v>
      </c>
      <c r="D1580" s="1" t="s">
        <v>94</v>
      </c>
      <c r="E1580" s="1" t="s">
        <v>135</v>
      </c>
      <c r="F1580" s="1" t="s">
        <v>150</v>
      </c>
      <c r="G1580" s="1" t="s">
        <v>32</v>
      </c>
      <c r="H1580" s="1" t="s">
        <v>57</v>
      </c>
      <c r="I1580" s="1" t="s">
        <v>34</v>
      </c>
      <c r="J1580" s="1" t="s">
        <v>59</v>
      </c>
      <c r="K1580" s="1" t="s">
        <v>104</v>
      </c>
      <c r="L1580" s="1" t="s">
        <v>136</v>
      </c>
      <c r="M1580" s="1" t="s">
        <v>38</v>
      </c>
      <c r="N1580" s="1" t="n">
        <v>9999</v>
      </c>
      <c r="O1580" s="1" t="n">
        <v>30</v>
      </c>
      <c r="P1580" s="1" t="n">
        <v>2999.7</v>
      </c>
      <c r="Q1580" s="1" t="n">
        <v>6999.3</v>
      </c>
      <c r="R1580" s="1" t="n">
        <v>1259.87</v>
      </c>
      <c r="S1580" s="1" t="n">
        <v>5739.43</v>
      </c>
      <c r="T1580" s="1" t="n">
        <v>2881.25</v>
      </c>
      <c r="U1580" s="1" t="n">
        <v>2858.18</v>
      </c>
      <c r="V1580" s="1" t="n">
        <v>49.8</v>
      </c>
      <c r="W1580" s="1" t="s">
        <v>40</v>
      </c>
      <c r="Y1580" s="1" t="s">
        <v>40</v>
      </c>
      <c r="Z1580" s="1" t="n">
        <v>2</v>
      </c>
      <c r="AA1580" s="1" t="str">
        <f aca="false">TRIM(PROPER(F1580))</f>
        <v>Jaipur</v>
      </c>
      <c r="AB1580" s="1" t="str">
        <f aca="false">TRIM(PROPER(C1580))</f>
        <v>Toppr</v>
      </c>
      <c r="AC1580" s="1" t="str">
        <f aca="false">IF(O1580=0,"No Discount",IF(O1580&lt;=15,"Low (1-15%)",IF(O1580&lt;=30,"Medium (16-30%)","High (&gt;30%)")))</f>
        <v>Medium (16-30%)</v>
      </c>
      <c r="AD1580" s="1" t="str">
        <f aca="false">IF(V1580&lt;0,"Loss Making",IF(V1580&lt;20,"Low Margin","Healthy Margin"))</f>
        <v>Healthy Margin</v>
      </c>
      <c r="AE1580" s="1" t="str">
        <f aca="false">TEXT(DATE(VALUE(RIGHT(B1580,4)),VALUE(MID(B1580,4,2)),VALUE(LEFT(B1580,2))),"MMM-YYYY")</f>
        <v>Dec-2024</v>
      </c>
      <c r="AF1580" s="1" t="n">
        <f aca="false">VALUE(RIGHT(B1580,4))</f>
        <v>2024</v>
      </c>
      <c r="AG1580" s="1" t="str">
        <f aca="false">CHOOSE(ROUNDUP(VALUE(MID(B1580,4,2))/3,0),"Q1","Q2","Q3","Q4")</f>
        <v>Q4</v>
      </c>
    </row>
    <row r="1581" customFormat="false" ht="15" hidden="false" customHeight="true" outlineLevel="0" collapsed="false">
      <c r="A1581" s="1" t="s">
        <v>2401</v>
      </c>
      <c r="B1581" s="1" t="s">
        <v>378</v>
      </c>
      <c r="C1581" s="1" t="s">
        <v>93</v>
      </c>
      <c r="D1581" s="1" t="s">
        <v>168</v>
      </c>
      <c r="E1581" s="1" t="s">
        <v>172</v>
      </c>
      <c r="F1581" s="1" t="s">
        <v>102</v>
      </c>
      <c r="G1581" s="1" t="s">
        <v>103</v>
      </c>
      <c r="H1581" s="1" t="s">
        <v>33</v>
      </c>
      <c r="I1581" s="1" t="s">
        <v>34</v>
      </c>
      <c r="J1581" s="1" t="s">
        <v>35</v>
      </c>
      <c r="K1581" s="1" t="s">
        <v>36</v>
      </c>
      <c r="L1581" s="1" t="s">
        <v>136</v>
      </c>
      <c r="M1581" s="1" t="s">
        <v>38</v>
      </c>
      <c r="N1581" s="1" t="n">
        <v>6999</v>
      </c>
      <c r="O1581" s="1" t="n">
        <v>0</v>
      </c>
      <c r="P1581" s="1" t="n">
        <v>0</v>
      </c>
      <c r="Q1581" s="1" t="n">
        <v>6999</v>
      </c>
      <c r="R1581" s="1" t="n">
        <v>1259.82</v>
      </c>
      <c r="S1581" s="1" t="n">
        <v>5739.18</v>
      </c>
      <c r="T1581" s="1" t="n">
        <v>2479.41</v>
      </c>
      <c r="U1581" s="1" t="n">
        <v>3259.77</v>
      </c>
      <c r="V1581" s="1" t="n">
        <v>56.8</v>
      </c>
      <c r="W1581" s="1" t="s">
        <v>39</v>
      </c>
      <c r="X1581" s="1" t="n">
        <v>3.4</v>
      </c>
      <c r="Y1581" s="1" t="s">
        <v>39</v>
      </c>
      <c r="Z1581" s="1" t="n">
        <v>0</v>
      </c>
      <c r="AA1581" s="1" t="str">
        <f aca="false">TRIM(PROPER(F1581))</f>
        <v>Warangal</v>
      </c>
      <c r="AB1581" s="1" t="str">
        <f aca="false">TRIM(PROPER(C1581))</f>
        <v>Upgrad</v>
      </c>
      <c r="AC1581" s="1" t="str">
        <f aca="false">IF(O1581=0,"No Discount",IF(O1581&lt;=15,"Low (1-15%)",IF(O1581&lt;=30,"Medium (16-30%)","High (&gt;30%)")))</f>
        <v>No Discount</v>
      </c>
      <c r="AD1581" s="1" t="str">
        <f aca="false">IF(V1581&lt;0,"Loss Making",IF(V1581&lt;20,"Low Margin","Healthy Margin"))</f>
        <v>Healthy Margin</v>
      </c>
      <c r="AE1581" s="1" t="str">
        <f aca="false">TEXT(DATE(VALUE(RIGHT(B1581,4)),VALUE(MID(B1581,4,2)),VALUE(LEFT(B1581,2))),"MMM-YYYY")</f>
        <v>Oct-2024</v>
      </c>
      <c r="AF1581" s="1" t="n">
        <f aca="false">VALUE(RIGHT(B1581,4))</f>
        <v>2024</v>
      </c>
      <c r="AG1581" s="1" t="str">
        <f aca="false">CHOOSE(ROUNDUP(VALUE(MID(B1581,4,2))/3,0),"Q1","Q2","Q3","Q4")</f>
        <v>Q4</v>
      </c>
    </row>
    <row r="1582" customFormat="false" ht="15" hidden="false" customHeight="true" outlineLevel="0" collapsed="false">
      <c r="A1582" s="1" t="s">
        <v>2402</v>
      </c>
      <c r="B1582" s="1" t="s">
        <v>742</v>
      </c>
      <c r="C1582" s="1" t="s">
        <v>264</v>
      </c>
      <c r="D1582" s="1" t="s">
        <v>123</v>
      </c>
      <c r="E1582" s="1" t="s">
        <v>124</v>
      </c>
      <c r="F1582" s="1" t="s">
        <v>150</v>
      </c>
      <c r="G1582" s="1" t="s">
        <v>32</v>
      </c>
      <c r="H1582" s="1" t="s">
        <v>57</v>
      </c>
      <c r="I1582" s="1" t="s">
        <v>58</v>
      </c>
      <c r="J1582" s="1" t="s">
        <v>131</v>
      </c>
      <c r="K1582" s="1" t="s">
        <v>36</v>
      </c>
      <c r="L1582" s="1" t="s">
        <v>37</v>
      </c>
      <c r="M1582" s="1" t="s">
        <v>50</v>
      </c>
      <c r="N1582" s="1" t="n">
        <v>4999</v>
      </c>
      <c r="O1582" s="1" t="n">
        <v>25</v>
      </c>
      <c r="P1582" s="1" t="n">
        <v>1249.75</v>
      </c>
      <c r="Q1582" s="1" t="n">
        <v>3749.25</v>
      </c>
      <c r="R1582" s="1" t="n">
        <v>674.87</v>
      </c>
      <c r="S1582" s="1" t="n">
        <v>3074.38</v>
      </c>
      <c r="T1582" s="1" t="n">
        <v>1367.43</v>
      </c>
      <c r="U1582" s="1" t="n">
        <v>1706.95</v>
      </c>
      <c r="V1582" s="1" t="n">
        <v>55.52</v>
      </c>
      <c r="W1582" s="1" t="s">
        <v>39</v>
      </c>
      <c r="X1582" s="1" t="n">
        <v>3.3</v>
      </c>
      <c r="Y1582" s="1" t="s">
        <v>40</v>
      </c>
      <c r="Z1582" s="1" t="n">
        <v>0</v>
      </c>
      <c r="AA1582" s="1" t="str">
        <f aca="false">TRIM(PROPER(F1582))</f>
        <v>Jaipur</v>
      </c>
      <c r="AB1582" s="1" t="str">
        <f aca="false">TRIM(PROPER(C1582))</f>
        <v>Unacademy</v>
      </c>
      <c r="AC1582" s="1" t="str">
        <f aca="false">IF(O1582=0,"No Discount",IF(O1582&lt;=15,"Low (1-15%)",IF(O1582&lt;=30,"Medium (16-30%)","High (&gt;30%)")))</f>
        <v>Medium (16-30%)</v>
      </c>
      <c r="AD1582" s="1" t="str">
        <f aca="false">IF(V1582&lt;0,"Loss Making",IF(V1582&lt;20,"Low Margin","Healthy Margin"))</f>
        <v>Healthy Margin</v>
      </c>
      <c r="AE1582" s="1" t="str">
        <f aca="false">TEXT(DATE(VALUE(RIGHT(B1582,4)),VALUE(MID(B1582,4,2)),VALUE(LEFT(B1582,2))),"MMM-YYYY")</f>
        <v>Oct-2024</v>
      </c>
      <c r="AF1582" s="1" t="n">
        <f aca="false">VALUE(RIGHT(B1582,4))</f>
        <v>2024</v>
      </c>
      <c r="AG1582" s="1" t="str">
        <f aca="false">CHOOSE(ROUNDUP(VALUE(MID(B1582,4,2))/3,0),"Q1","Q2","Q3","Q4")</f>
        <v>Q4</v>
      </c>
    </row>
    <row r="1583" customFormat="false" ht="15" hidden="false" customHeight="true" outlineLevel="0" collapsed="false">
      <c r="A1583" s="1" t="s">
        <v>2403</v>
      </c>
      <c r="B1583" s="1" t="s">
        <v>903</v>
      </c>
      <c r="C1583" s="1" t="s">
        <v>93</v>
      </c>
      <c r="D1583" s="1" t="s">
        <v>168</v>
      </c>
      <c r="E1583" s="1" t="s">
        <v>169</v>
      </c>
      <c r="F1583" s="1" t="s">
        <v>75</v>
      </c>
      <c r="G1583" s="1" t="s">
        <v>76</v>
      </c>
      <c r="H1583" s="1" t="s">
        <v>69</v>
      </c>
      <c r="I1583" s="1" t="s">
        <v>83</v>
      </c>
      <c r="J1583" s="1" t="s">
        <v>70</v>
      </c>
      <c r="K1583" s="1" t="s">
        <v>84</v>
      </c>
      <c r="L1583" s="1" t="s">
        <v>61</v>
      </c>
      <c r="M1583" s="1" t="s">
        <v>62</v>
      </c>
      <c r="N1583" s="1" t="n">
        <v>4999</v>
      </c>
      <c r="O1583" s="1" t="n">
        <v>25</v>
      </c>
      <c r="P1583" s="1" t="n">
        <v>1249.75</v>
      </c>
      <c r="Q1583" s="1" t="n">
        <v>3749.25</v>
      </c>
      <c r="R1583" s="1" t="n">
        <v>674.87</v>
      </c>
      <c r="S1583" s="1" t="n">
        <v>3074.38</v>
      </c>
      <c r="T1583" s="1" t="n">
        <v>1063.57</v>
      </c>
      <c r="U1583" s="1" t="n">
        <v>2010.81</v>
      </c>
      <c r="V1583" s="1" t="n">
        <v>65.41</v>
      </c>
      <c r="W1583" s="1" t="s">
        <v>40</v>
      </c>
      <c r="Y1583" s="1" t="s">
        <v>40</v>
      </c>
      <c r="Z1583" s="1" t="n">
        <v>3</v>
      </c>
      <c r="AA1583" s="1" t="str">
        <f aca="false">TRIM(PROPER(F1583))</f>
        <v>Kolkata</v>
      </c>
      <c r="AB1583" s="1" t="str">
        <f aca="false">TRIM(PROPER(C1583))</f>
        <v>Upgrad</v>
      </c>
      <c r="AC1583" s="1" t="str">
        <f aca="false">IF(O1583=0,"No Discount",IF(O1583&lt;=15,"Low (1-15%)",IF(O1583&lt;=30,"Medium (16-30%)","High (&gt;30%)")))</f>
        <v>Medium (16-30%)</v>
      </c>
      <c r="AD1583" s="1" t="str">
        <f aca="false">IF(V1583&lt;0,"Loss Making",IF(V1583&lt;20,"Low Margin","Healthy Margin"))</f>
        <v>Healthy Margin</v>
      </c>
      <c r="AE1583" s="1" t="str">
        <f aca="false">TEXT(DATE(VALUE(RIGHT(B1583,4)),VALUE(MID(B1583,4,2)),VALUE(LEFT(B1583,2))),"MMM-YYYY")</f>
        <v>Jun-2024</v>
      </c>
      <c r="AF1583" s="1" t="n">
        <f aca="false">VALUE(RIGHT(B1583,4))</f>
        <v>2024</v>
      </c>
      <c r="AG1583" s="1" t="str">
        <f aca="false">CHOOSE(ROUNDUP(VALUE(MID(B1583,4,2))/3,0),"Q1","Q2","Q3","Q4")</f>
        <v>Q2</v>
      </c>
    </row>
    <row r="1584" customFormat="false" ht="15" hidden="false" customHeight="true" outlineLevel="0" collapsed="false">
      <c r="A1584" s="1" t="s">
        <v>2404</v>
      </c>
      <c r="B1584" s="1" t="s">
        <v>225</v>
      </c>
      <c r="C1584" s="1" t="s">
        <v>74</v>
      </c>
      <c r="D1584" s="1" t="s">
        <v>44</v>
      </c>
      <c r="E1584" s="1" t="s">
        <v>66</v>
      </c>
      <c r="F1584" s="1" t="s">
        <v>120</v>
      </c>
      <c r="G1584" s="1" t="s">
        <v>47</v>
      </c>
      <c r="H1584" s="1" t="s">
        <v>57</v>
      </c>
      <c r="I1584" s="1" t="s">
        <v>58</v>
      </c>
      <c r="J1584" s="1" t="s">
        <v>35</v>
      </c>
      <c r="K1584" s="1" t="s">
        <v>36</v>
      </c>
      <c r="L1584" s="1" t="s">
        <v>85</v>
      </c>
      <c r="M1584" s="1" t="s">
        <v>62</v>
      </c>
      <c r="N1584" s="1" t="n">
        <v>12999</v>
      </c>
      <c r="O1584" s="1" t="n">
        <v>10</v>
      </c>
      <c r="P1584" s="1" t="n">
        <v>1299.9</v>
      </c>
      <c r="Q1584" s="1" t="n">
        <v>11699.1</v>
      </c>
      <c r="R1584" s="1" t="n">
        <v>2105.84</v>
      </c>
      <c r="S1584" s="1" t="n">
        <v>9593.26</v>
      </c>
      <c r="T1584" s="1" t="n">
        <v>4629.42</v>
      </c>
      <c r="U1584" s="1" t="n">
        <v>4963.84</v>
      </c>
      <c r="V1584" s="1" t="n">
        <v>51.74</v>
      </c>
      <c r="W1584" s="1" t="s">
        <v>40</v>
      </c>
      <c r="Y1584" s="1" t="s">
        <v>40</v>
      </c>
      <c r="Z1584" s="1" t="n">
        <v>1</v>
      </c>
      <c r="AA1584" s="1" t="str">
        <f aca="false">TRIM(PROPER(F1584))</f>
        <v>Mysuru</v>
      </c>
      <c r="AB1584" s="1" t="str">
        <f aca="false">TRIM(PROPER(C1584))</f>
        <v>Vedantu</v>
      </c>
      <c r="AC1584" s="1" t="str">
        <f aca="false">IF(O1584=0,"No Discount",IF(O1584&lt;=15,"Low (1-15%)",IF(O1584&lt;=30,"Medium (16-30%)","High (&gt;30%)")))</f>
        <v>Low (1-15%)</v>
      </c>
      <c r="AD1584" s="1" t="str">
        <f aca="false">IF(V1584&lt;0,"Loss Making",IF(V1584&lt;20,"Low Margin","Healthy Margin"))</f>
        <v>Healthy Margin</v>
      </c>
      <c r="AE1584" s="1" t="str">
        <f aca="false">TEXT(DATE(VALUE(RIGHT(B1584,4)),VALUE(MID(B1584,4,2)),VALUE(LEFT(B1584,2))),"MMM-YYYY")</f>
        <v>May-2024</v>
      </c>
      <c r="AF1584" s="1" t="n">
        <f aca="false">VALUE(RIGHT(B1584,4))</f>
        <v>2024</v>
      </c>
      <c r="AG1584" s="1" t="str">
        <f aca="false">CHOOSE(ROUNDUP(VALUE(MID(B1584,4,2))/3,0),"Q1","Q2","Q3","Q4")</f>
        <v>Q2</v>
      </c>
    </row>
    <row r="1585" customFormat="false" ht="15" hidden="false" customHeight="true" outlineLevel="0" collapsed="false">
      <c r="A1585" s="1" t="s">
        <v>2405</v>
      </c>
      <c r="B1585" s="1" t="s">
        <v>364</v>
      </c>
      <c r="C1585" s="1" t="s">
        <v>74</v>
      </c>
      <c r="D1585" s="1" t="s">
        <v>29</v>
      </c>
      <c r="E1585" s="1" t="s">
        <v>305</v>
      </c>
      <c r="F1585" s="1" t="s">
        <v>184</v>
      </c>
      <c r="G1585" s="1" t="s">
        <v>56</v>
      </c>
      <c r="H1585" s="1" t="s">
        <v>57</v>
      </c>
      <c r="I1585" s="1" t="s">
        <v>83</v>
      </c>
      <c r="J1585" s="1" t="s">
        <v>131</v>
      </c>
      <c r="K1585" s="1" t="s">
        <v>90</v>
      </c>
      <c r="L1585" s="1" t="s">
        <v>85</v>
      </c>
      <c r="M1585" s="1" t="s">
        <v>62</v>
      </c>
      <c r="N1585" s="1" t="n">
        <v>24999</v>
      </c>
      <c r="O1585" s="1" t="n">
        <v>0</v>
      </c>
      <c r="P1585" s="1" t="n">
        <v>0</v>
      </c>
      <c r="Q1585" s="1" t="n">
        <v>24999</v>
      </c>
      <c r="R1585" s="1" t="n">
        <v>4499.82</v>
      </c>
      <c r="S1585" s="1" t="n">
        <v>20499.18</v>
      </c>
      <c r="T1585" s="1" t="n">
        <v>8361.87</v>
      </c>
      <c r="U1585" s="1" t="n">
        <v>12137.31</v>
      </c>
      <c r="V1585" s="1" t="n">
        <v>59.21</v>
      </c>
      <c r="W1585" s="1" t="s">
        <v>39</v>
      </c>
      <c r="X1585" s="1" t="n">
        <v>3.7</v>
      </c>
      <c r="Y1585" s="1" t="s">
        <v>40</v>
      </c>
      <c r="Z1585" s="1" t="n">
        <v>0</v>
      </c>
      <c r="AA1585" s="1" t="str">
        <f aca="false">TRIM(PROPER(F1585))</f>
        <v>Faridabad</v>
      </c>
      <c r="AB1585" s="1" t="str">
        <f aca="false">TRIM(PROPER(C1585))</f>
        <v>Vedantu</v>
      </c>
      <c r="AC1585" s="1" t="str">
        <f aca="false">IF(O1585=0,"No Discount",IF(O1585&lt;=15,"Low (1-15%)",IF(O1585&lt;=30,"Medium (16-30%)","High (&gt;30%)")))</f>
        <v>No Discount</v>
      </c>
      <c r="AD1585" s="1" t="str">
        <f aca="false">IF(V1585&lt;0,"Loss Making",IF(V1585&lt;20,"Low Margin","Healthy Margin"))</f>
        <v>Healthy Margin</v>
      </c>
      <c r="AE1585" s="1" t="str">
        <f aca="false">TEXT(DATE(VALUE(RIGHT(B1585,4)),VALUE(MID(B1585,4,2)),VALUE(LEFT(B1585,2))),"MMM-YYYY")</f>
        <v>Apr-2023</v>
      </c>
      <c r="AF1585" s="1" t="n">
        <f aca="false">VALUE(RIGHT(B1585,4))</f>
        <v>2023</v>
      </c>
      <c r="AG1585" s="1" t="str">
        <f aca="false">CHOOSE(ROUNDUP(VALUE(MID(B1585,4,2))/3,0),"Q1","Q2","Q3","Q4")</f>
        <v>Q2</v>
      </c>
    </row>
    <row r="1586" customFormat="false" ht="15" hidden="false" customHeight="true" outlineLevel="0" collapsed="false">
      <c r="A1586" s="1" t="s">
        <v>2406</v>
      </c>
      <c r="B1586" s="1" t="s">
        <v>268</v>
      </c>
      <c r="C1586" s="1" t="s">
        <v>264</v>
      </c>
      <c r="D1586" s="1" t="s">
        <v>29</v>
      </c>
      <c r="E1586" s="1" t="s">
        <v>305</v>
      </c>
      <c r="F1586" s="1" t="s">
        <v>67</v>
      </c>
      <c r="G1586" s="1" t="s">
        <v>68</v>
      </c>
      <c r="H1586" s="1" t="s">
        <v>69</v>
      </c>
      <c r="I1586" s="1" t="s">
        <v>83</v>
      </c>
      <c r="J1586" s="1" t="s">
        <v>77</v>
      </c>
      <c r="K1586" s="1" t="s">
        <v>84</v>
      </c>
      <c r="L1586" s="1" t="s">
        <v>49</v>
      </c>
      <c r="M1586" s="1" t="s">
        <v>62</v>
      </c>
      <c r="N1586" s="1" t="n">
        <v>24999</v>
      </c>
      <c r="O1586" s="1" t="n">
        <v>40</v>
      </c>
      <c r="P1586" s="1" t="n">
        <v>9999.6</v>
      </c>
      <c r="Q1586" s="1" t="n">
        <v>14999.4</v>
      </c>
      <c r="R1586" s="1" t="n">
        <v>2699.89</v>
      </c>
      <c r="S1586" s="1" t="n">
        <v>12299.51</v>
      </c>
      <c r="T1586" s="1" t="n">
        <v>6907.07</v>
      </c>
      <c r="U1586" s="1" t="n">
        <v>5392.44</v>
      </c>
      <c r="V1586" s="1" t="n">
        <v>43.84</v>
      </c>
      <c r="W1586" s="1" t="s">
        <v>40</v>
      </c>
      <c r="Y1586" s="1" t="s">
        <v>39</v>
      </c>
      <c r="Z1586" s="1" t="n">
        <v>2</v>
      </c>
      <c r="AA1586" s="1" t="str">
        <f aca="false">TRIM(PROPER(F1586))</f>
        <v>Ahmedabad</v>
      </c>
      <c r="AB1586" s="1" t="str">
        <f aca="false">TRIM(PROPER(C1586))</f>
        <v>Unacademy</v>
      </c>
      <c r="AC1586" s="1" t="str">
        <f aca="false">IF(O1586=0,"No Discount",IF(O1586&lt;=15,"Low (1-15%)",IF(O1586&lt;=30,"Medium (16-30%)","High (&gt;30%)")))</f>
        <v>High (&gt;30%)</v>
      </c>
      <c r="AD1586" s="1" t="str">
        <f aca="false">IF(V1586&lt;0,"Loss Making",IF(V1586&lt;20,"Low Margin","Healthy Margin"))</f>
        <v>Healthy Margin</v>
      </c>
      <c r="AE1586" s="1" t="str">
        <f aca="false">TEXT(DATE(VALUE(RIGHT(B1586,4)),VALUE(MID(B1586,4,2)),VALUE(LEFT(B1586,2))),"MMM-YYYY")</f>
        <v>Aug-2023</v>
      </c>
      <c r="AF1586" s="1" t="n">
        <f aca="false">VALUE(RIGHT(B1586,4))</f>
        <v>2023</v>
      </c>
      <c r="AG1586" s="1" t="str">
        <f aca="false">CHOOSE(ROUNDUP(VALUE(MID(B1586,4,2))/3,0),"Q1","Q2","Q3","Q4")</f>
        <v>Q3</v>
      </c>
    </row>
    <row r="1587" customFormat="false" ht="15" hidden="false" customHeight="true" outlineLevel="0" collapsed="false">
      <c r="A1587" s="1" t="s">
        <v>2407</v>
      </c>
      <c r="B1587" s="1" t="s">
        <v>415</v>
      </c>
      <c r="C1587" s="1" t="s">
        <v>249</v>
      </c>
      <c r="D1587" s="1" t="s">
        <v>123</v>
      </c>
      <c r="E1587" s="1" t="s">
        <v>233</v>
      </c>
      <c r="F1587" s="1" t="s">
        <v>75</v>
      </c>
      <c r="G1587" s="1" t="s">
        <v>76</v>
      </c>
      <c r="H1587" s="1" t="s">
        <v>69</v>
      </c>
      <c r="I1587" s="1" t="s">
        <v>83</v>
      </c>
      <c r="J1587" s="1" t="s">
        <v>131</v>
      </c>
      <c r="K1587" s="1" t="s">
        <v>48</v>
      </c>
      <c r="L1587" s="1" t="s">
        <v>113</v>
      </c>
      <c r="M1587" s="1" t="s">
        <v>50</v>
      </c>
      <c r="N1587" s="1" t="n">
        <v>8999</v>
      </c>
      <c r="O1587" s="1" t="n">
        <v>0</v>
      </c>
      <c r="P1587" s="1" t="n">
        <v>0</v>
      </c>
      <c r="Q1587" s="1" t="n">
        <v>8999</v>
      </c>
      <c r="R1587" s="1" t="n">
        <v>1619.82</v>
      </c>
      <c r="S1587" s="1" t="n">
        <v>7379.18</v>
      </c>
      <c r="T1587" s="1" t="n">
        <v>3035.79</v>
      </c>
      <c r="U1587" s="1" t="n">
        <v>4343.39</v>
      </c>
      <c r="V1587" s="1" t="n">
        <v>58.86</v>
      </c>
      <c r="W1587" s="1" t="s">
        <v>39</v>
      </c>
      <c r="Y1587" s="1" t="s">
        <v>40</v>
      </c>
      <c r="Z1587" s="1" t="n">
        <v>0</v>
      </c>
      <c r="AA1587" s="1" t="str">
        <f aca="false">TRIM(PROPER(F1587))</f>
        <v>Kolkata</v>
      </c>
      <c r="AB1587" s="1" t="str">
        <f aca="false">TRIM(PROPER(C1587))</f>
        <v>Whitehat Jr</v>
      </c>
      <c r="AC1587" s="1" t="str">
        <f aca="false">IF(O1587=0,"No Discount",IF(O1587&lt;=15,"Low (1-15%)",IF(O1587&lt;=30,"Medium (16-30%)","High (&gt;30%)")))</f>
        <v>No Discount</v>
      </c>
      <c r="AD1587" s="1" t="str">
        <f aca="false">IF(V1587&lt;0,"Loss Making",IF(V1587&lt;20,"Low Margin","Healthy Margin"))</f>
        <v>Healthy Margin</v>
      </c>
      <c r="AE1587" s="1" t="str">
        <f aca="false">TEXT(DATE(VALUE(RIGHT(B1587,4)),VALUE(MID(B1587,4,2)),VALUE(LEFT(B1587,2))),"MMM-YYYY")</f>
        <v>Aug-2023</v>
      </c>
      <c r="AF1587" s="1" t="n">
        <f aca="false">VALUE(RIGHT(B1587,4))</f>
        <v>2023</v>
      </c>
      <c r="AG1587" s="1" t="str">
        <f aca="false">CHOOSE(ROUNDUP(VALUE(MID(B1587,4,2))/3,0),"Q1","Q2","Q3","Q4")</f>
        <v>Q3</v>
      </c>
    </row>
    <row r="1588" customFormat="false" ht="15" hidden="false" customHeight="true" outlineLevel="0" collapsed="false">
      <c r="A1588" s="1" t="s">
        <v>2408</v>
      </c>
      <c r="B1588" s="1" t="s">
        <v>1556</v>
      </c>
      <c r="C1588" s="1" t="s">
        <v>178</v>
      </c>
      <c r="D1588" s="1" t="s">
        <v>143</v>
      </c>
      <c r="E1588" s="1" t="s">
        <v>162</v>
      </c>
      <c r="F1588" s="1" t="s">
        <v>67</v>
      </c>
      <c r="G1588" s="1" t="s">
        <v>68</v>
      </c>
      <c r="H1588" s="1" t="s">
        <v>69</v>
      </c>
      <c r="I1588" s="1" t="s">
        <v>58</v>
      </c>
      <c r="J1588" s="1" t="s">
        <v>70</v>
      </c>
      <c r="K1588" s="1" t="s">
        <v>48</v>
      </c>
      <c r="L1588" s="1" t="s">
        <v>136</v>
      </c>
      <c r="M1588" s="1" t="s">
        <v>50</v>
      </c>
      <c r="N1588" s="1" t="n">
        <v>14999</v>
      </c>
      <c r="O1588" s="1" t="n">
        <v>0</v>
      </c>
      <c r="P1588" s="1" t="n">
        <v>0</v>
      </c>
      <c r="Q1588" s="1" t="n">
        <v>14999</v>
      </c>
      <c r="R1588" s="1" t="n">
        <v>2699.82</v>
      </c>
      <c r="S1588" s="1" t="n">
        <v>12299.18</v>
      </c>
      <c r="T1588" s="1" t="n">
        <v>5404.22</v>
      </c>
      <c r="U1588" s="1" t="n">
        <v>6894.96</v>
      </c>
      <c r="V1588" s="1" t="n">
        <v>56.06</v>
      </c>
      <c r="W1588" s="1" t="s">
        <v>39</v>
      </c>
      <c r="Y1588" s="1" t="s">
        <v>40</v>
      </c>
      <c r="Z1588" s="1" t="n">
        <v>0</v>
      </c>
      <c r="AA1588" s="1" t="str">
        <f aca="false">TRIM(PROPER(F1588))</f>
        <v>Ahmedabad</v>
      </c>
      <c r="AB1588" s="1" t="str">
        <f aca="false">TRIM(PROPER(C1588))</f>
        <v>Leverage Edu</v>
      </c>
      <c r="AC1588" s="1" t="str">
        <f aca="false">IF(O1588=0,"No Discount",IF(O1588&lt;=15,"Low (1-15%)",IF(O1588&lt;=30,"Medium (16-30%)","High (&gt;30%)")))</f>
        <v>No Discount</v>
      </c>
      <c r="AD1588" s="1" t="str">
        <f aca="false">IF(V1588&lt;0,"Loss Making",IF(V1588&lt;20,"Low Margin","Healthy Margin"))</f>
        <v>Healthy Margin</v>
      </c>
      <c r="AE1588" s="1" t="str">
        <f aca="false">TEXT(DATE(VALUE(RIGHT(B1588,4)),VALUE(MID(B1588,4,2)),VALUE(LEFT(B1588,2))),"MMM-YYYY")</f>
        <v>Aug-2023</v>
      </c>
      <c r="AF1588" s="1" t="n">
        <f aca="false">VALUE(RIGHT(B1588,4))</f>
        <v>2023</v>
      </c>
      <c r="AG1588" s="1" t="str">
        <f aca="false">CHOOSE(ROUNDUP(VALUE(MID(B1588,4,2))/3,0),"Q1","Q2","Q3","Q4")</f>
        <v>Q3</v>
      </c>
    </row>
    <row r="1589" customFormat="false" ht="15" hidden="false" customHeight="true" outlineLevel="0" collapsed="false">
      <c r="A1589" s="1" t="s">
        <v>2409</v>
      </c>
      <c r="B1589" s="1" t="s">
        <v>382</v>
      </c>
      <c r="C1589" s="1" t="s">
        <v>93</v>
      </c>
      <c r="D1589" s="1" t="s">
        <v>143</v>
      </c>
      <c r="E1589" s="1" t="s">
        <v>162</v>
      </c>
      <c r="F1589" s="1" t="s">
        <v>102</v>
      </c>
      <c r="G1589" s="1" t="s">
        <v>103</v>
      </c>
      <c r="H1589" s="1" t="s">
        <v>33</v>
      </c>
      <c r="I1589" s="1" t="s">
        <v>58</v>
      </c>
      <c r="J1589" s="1" t="s">
        <v>77</v>
      </c>
      <c r="K1589" s="1" t="s">
        <v>104</v>
      </c>
      <c r="L1589" s="1" t="s">
        <v>49</v>
      </c>
      <c r="M1589" s="1" t="s">
        <v>50</v>
      </c>
      <c r="N1589" s="1" t="n">
        <v>14999</v>
      </c>
      <c r="O1589" s="1" t="n">
        <v>5</v>
      </c>
      <c r="P1589" s="1" t="n">
        <v>749.95</v>
      </c>
      <c r="Q1589" s="1" t="n">
        <v>14249.05</v>
      </c>
      <c r="R1589" s="1" t="n">
        <v>2564.83</v>
      </c>
      <c r="S1589" s="1" t="n">
        <v>11684.22</v>
      </c>
      <c r="T1589" s="1" t="n">
        <v>4458.39</v>
      </c>
      <c r="U1589" s="1" t="n">
        <v>7225.83</v>
      </c>
      <c r="V1589" s="1" t="n">
        <v>61.84</v>
      </c>
      <c r="W1589" s="1" t="s">
        <v>39</v>
      </c>
      <c r="X1589" s="1" t="n">
        <v>4</v>
      </c>
      <c r="Y1589" s="1" t="s">
        <v>39</v>
      </c>
      <c r="Z1589" s="1" t="n">
        <v>0</v>
      </c>
      <c r="AA1589" s="1" t="str">
        <f aca="false">TRIM(PROPER(F1589))</f>
        <v>Warangal</v>
      </c>
      <c r="AB1589" s="1" t="str">
        <f aca="false">TRIM(PROPER(C1589))</f>
        <v>Upgrad</v>
      </c>
      <c r="AC1589" s="1" t="str">
        <f aca="false">IF(O1589=0,"No Discount",IF(O1589&lt;=15,"Low (1-15%)",IF(O1589&lt;=30,"Medium (16-30%)","High (&gt;30%)")))</f>
        <v>Low (1-15%)</v>
      </c>
      <c r="AD1589" s="1" t="str">
        <f aca="false">IF(V1589&lt;0,"Loss Making",IF(V1589&lt;20,"Low Margin","Healthy Margin"))</f>
        <v>Healthy Margin</v>
      </c>
      <c r="AE1589" s="1" t="str">
        <f aca="false">TEXT(DATE(VALUE(RIGHT(B1589,4)),VALUE(MID(B1589,4,2)),VALUE(LEFT(B1589,2))),"MMM-YYYY")</f>
        <v>Jan-2024</v>
      </c>
      <c r="AF1589" s="1" t="n">
        <f aca="false">VALUE(RIGHT(B1589,4))</f>
        <v>2024</v>
      </c>
      <c r="AG1589" s="1" t="str">
        <f aca="false">CHOOSE(ROUNDUP(VALUE(MID(B1589,4,2))/3,0),"Q1","Q2","Q3","Q4")</f>
        <v>Q1</v>
      </c>
    </row>
    <row r="1590" customFormat="false" ht="15" hidden="false" customHeight="true" outlineLevel="0" collapsed="false">
      <c r="A1590" s="1" t="s">
        <v>2410</v>
      </c>
      <c r="B1590" s="1" t="s">
        <v>1895</v>
      </c>
      <c r="C1590" s="1" t="s">
        <v>178</v>
      </c>
      <c r="D1590" s="1" t="s">
        <v>123</v>
      </c>
      <c r="E1590" s="1" t="s">
        <v>124</v>
      </c>
      <c r="F1590" s="1" t="s">
        <v>211</v>
      </c>
      <c r="G1590" s="1" t="s">
        <v>56</v>
      </c>
      <c r="H1590" s="1" t="s">
        <v>69</v>
      </c>
      <c r="I1590" s="1" t="s">
        <v>58</v>
      </c>
      <c r="J1590" s="1" t="s">
        <v>59</v>
      </c>
      <c r="K1590" s="1" t="s">
        <v>84</v>
      </c>
      <c r="L1590" s="1" t="s">
        <v>136</v>
      </c>
      <c r="M1590" s="1" t="s">
        <v>50</v>
      </c>
      <c r="N1590" s="1" t="n">
        <v>4999</v>
      </c>
      <c r="O1590" s="1" t="n">
        <v>40</v>
      </c>
      <c r="P1590" s="1" t="n">
        <v>1999.6</v>
      </c>
      <c r="Q1590" s="1" t="n">
        <v>2999.4</v>
      </c>
      <c r="R1590" s="1" t="n">
        <v>539.89</v>
      </c>
      <c r="S1590" s="1" t="n">
        <v>2459.51</v>
      </c>
      <c r="T1590" s="1" t="n">
        <v>1251.78</v>
      </c>
      <c r="U1590" s="1" t="n">
        <v>1207.73</v>
      </c>
      <c r="V1590" s="1" t="n">
        <v>49.1</v>
      </c>
      <c r="W1590" s="1" t="s">
        <v>39</v>
      </c>
      <c r="Y1590" s="1" t="s">
        <v>40</v>
      </c>
      <c r="Z1590" s="1" t="n">
        <v>0</v>
      </c>
      <c r="AA1590" s="1" t="str">
        <f aca="false">TRIM(PROPER(F1590))</f>
        <v>Noida</v>
      </c>
      <c r="AB1590" s="1" t="str">
        <f aca="false">TRIM(PROPER(C1590))</f>
        <v>Leverage Edu</v>
      </c>
      <c r="AC1590" s="1" t="str">
        <f aca="false">IF(O1590=0,"No Discount",IF(O1590&lt;=15,"Low (1-15%)",IF(O1590&lt;=30,"Medium (16-30%)","High (&gt;30%)")))</f>
        <v>High (&gt;30%)</v>
      </c>
      <c r="AD1590" s="1" t="str">
        <f aca="false">IF(V1590&lt;0,"Loss Making",IF(V1590&lt;20,"Low Margin","Healthy Margin"))</f>
        <v>Healthy Margin</v>
      </c>
      <c r="AE1590" s="1" t="str">
        <f aca="false">TEXT(DATE(VALUE(RIGHT(B1590,4)),VALUE(MID(B1590,4,2)),VALUE(LEFT(B1590,2))),"MMM-YYYY")</f>
        <v>Dec-2023</v>
      </c>
      <c r="AF1590" s="1" t="n">
        <f aca="false">VALUE(RIGHT(B1590,4))</f>
        <v>2023</v>
      </c>
      <c r="AG1590" s="1" t="str">
        <f aca="false">CHOOSE(ROUNDUP(VALUE(MID(B1590,4,2))/3,0),"Q1","Q2","Q3","Q4")</f>
        <v>Q4</v>
      </c>
    </row>
    <row r="1591" customFormat="false" ht="15" hidden="false" customHeight="true" outlineLevel="0" collapsed="false">
      <c r="A1591" s="1" t="s">
        <v>2411</v>
      </c>
      <c r="B1591" s="1" t="s">
        <v>526</v>
      </c>
      <c r="C1591" s="1" t="s">
        <v>65</v>
      </c>
      <c r="D1591" s="1" t="s">
        <v>80</v>
      </c>
      <c r="E1591" s="1" t="s">
        <v>193</v>
      </c>
      <c r="F1591" s="1" t="s">
        <v>31</v>
      </c>
      <c r="G1591" s="1" t="s">
        <v>32</v>
      </c>
      <c r="H1591" s="1" t="s">
        <v>33</v>
      </c>
      <c r="I1591" s="1" t="s">
        <v>34</v>
      </c>
      <c r="J1591" s="1" t="s">
        <v>35</v>
      </c>
      <c r="K1591" s="1" t="s">
        <v>90</v>
      </c>
      <c r="L1591" s="1" t="s">
        <v>136</v>
      </c>
      <c r="M1591" s="1" t="s">
        <v>38</v>
      </c>
      <c r="N1591" s="1" t="n">
        <v>8999</v>
      </c>
      <c r="O1591" s="1" t="n">
        <v>15</v>
      </c>
      <c r="P1591" s="1" t="n">
        <v>1349.85</v>
      </c>
      <c r="Q1591" s="1" t="n">
        <v>7649.15</v>
      </c>
      <c r="R1591" s="1" t="n">
        <v>1376.85</v>
      </c>
      <c r="S1591" s="1" t="n">
        <v>6272.3</v>
      </c>
      <c r="T1591" s="1" t="n">
        <v>2313.29</v>
      </c>
      <c r="U1591" s="1" t="n">
        <v>3959.01</v>
      </c>
      <c r="V1591" s="1" t="n">
        <v>63.12</v>
      </c>
      <c r="W1591" s="1" t="s">
        <v>39</v>
      </c>
      <c r="X1591" s="1" t="n">
        <v>4</v>
      </c>
      <c r="Y1591" s="1" t="s">
        <v>40</v>
      </c>
      <c r="Z1591" s="1" t="n">
        <v>0</v>
      </c>
      <c r="AA1591" s="1" t="str">
        <f aca="false">TRIM(PROPER(F1591))</f>
        <v>Jodhpur</v>
      </c>
      <c r="AB1591" s="1" t="str">
        <f aca="false">TRIM(PROPER(C1591))</f>
        <v>Toppr</v>
      </c>
      <c r="AC1591" s="1" t="str">
        <f aca="false">IF(O1591=0,"No Discount",IF(O1591&lt;=15,"Low (1-15%)",IF(O1591&lt;=30,"Medium (16-30%)","High (&gt;30%)")))</f>
        <v>Low (1-15%)</v>
      </c>
      <c r="AD1591" s="1" t="str">
        <f aca="false">IF(V1591&lt;0,"Loss Making",IF(V1591&lt;20,"Low Margin","Healthy Margin"))</f>
        <v>Healthy Margin</v>
      </c>
      <c r="AE1591" s="1" t="str">
        <f aca="false">TEXT(DATE(VALUE(RIGHT(B1591,4)),VALUE(MID(B1591,4,2)),VALUE(LEFT(B1591,2))),"MMM-YYYY")</f>
        <v>Oct-2024</v>
      </c>
      <c r="AF1591" s="1" t="n">
        <f aca="false">VALUE(RIGHT(B1591,4))</f>
        <v>2024</v>
      </c>
      <c r="AG1591" s="1" t="str">
        <f aca="false">CHOOSE(ROUNDUP(VALUE(MID(B1591,4,2))/3,0),"Q1","Q2","Q3","Q4")</f>
        <v>Q4</v>
      </c>
    </row>
    <row r="1592" customFormat="false" ht="15" hidden="false" customHeight="true" outlineLevel="0" collapsed="false">
      <c r="A1592" s="1" t="s">
        <v>2412</v>
      </c>
      <c r="B1592" s="1" t="s">
        <v>470</v>
      </c>
      <c r="C1592" s="1" t="s">
        <v>249</v>
      </c>
      <c r="D1592" s="1" t="s">
        <v>53</v>
      </c>
      <c r="E1592" s="1" t="s">
        <v>116</v>
      </c>
      <c r="F1592" s="1" t="s">
        <v>194</v>
      </c>
      <c r="G1592" s="1" t="s">
        <v>103</v>
      </c>
      <c r="H1592" s="1" t="s">
        <v>69</v>
      </c>
      <c r="I1592" s="1" t="s">
        <v>58</v>
      </c>
      <c r="J1592" s="1" t="s">
        <v>70</v>
      </c>
      <c r="K1592" s="1" t="s">
        <v>104</v>
      </c>
      <c r="L1592" s="1" t="s">
        <v>37</v>
      </c>
      <c r="M1592" s="1" t="s">
        <v>50</v>
      </c>
      <c r="N1592" s="1" t="n">
        <v>9999</v>
      </c>
      <c r="O1592" s="1" t="n">
        <v>20</v>
      </c>
      <c r="P1592" s="1" t="n">
        <v>1999.8</v>
      </c>
      <c r="Q1592" s="1" t="n">
        <v>7999.2</v>
      </c>
      <c r="R1592" s="1" t="n">
        <v>1439.86</v>
      </c>
      <c r="S1592" s="1" t="n">
        <v>6559.34</v>
      </c>
      <c r="T1592" s="1" t="n">
        <v>2620.84</v>
      </c>
      <c r="U1592" s="1" t="n">
        <v>3938.5</v>
      </c>
      <c r="V1592" s="1" t="n">
        <v>60.04</v>
      </c>
      <c r="W1592" s="1" t="s">
        <v>40</v>
      </c>
      <c r="Y1592" s="1" t="s">
        <v>40</v>
      </c>
      <c r="Z1592" s="1" t="n">
        <v>0</v>
      </c>
      <c r="AA1592" s="1" t="str">
        <f aca="false">TRIM(PROPER(F1592))</f>
        <v>Hyderabad</v>
      </c>
      <c r="AB1592" s="1" t="str">
        <f aca="false">TRIM(PROPER(C1592))</f>
        <v>Whitehat Jr</v>
      </c>
      <c r="AC1592" s="1" t="str">
        <f aca="false">IF(O1592=0,"No Discount",IF(O1592&lt;=15,"Low (1-15%)",IF(O1592&lt;=30,"Medium (16-30%)","High (&gt;30%)")))</f>
        <v>Medium (16-30%)</v>
      </c>
      <c r="AD1592" s="1" t="str">
        <f aca="false">IF(V1592&lt;0,"Loss Making",IF(V1592&lt;20,"Low Margin","Healthy Margin"))</f>
        <v>Healthy Margin</v>
      </c>
      <c r="AE1592" s="1" t="str">
        <f aca="false">TEXT(DATE(VALUE(RIGHT(B1592,4)),VALUE(MID(B1592,4,2)),VALUE(LEFT(B1592,2))),"MMM-YYYY")</f>
        <v>Sep-2023</v>
      </c>
      <c r="AF1592" s="1" t="n">
        <f aca="false">VALUE(RIGHT(B1592,4))</f>
        <v>2023</v>
      </c>
      <c r="AG1592" s="1" t="str">
        <f aca="false">CHOOSE(ROUNDUP(VALUE(MID(B1592,4,2))/3,0),"Q1","Q2","Q3","Q4")</f>
        <v>Q3</v>
      </c>
    </row>
    <row r="1593" customFormat="false" ht="15" hidden="false" customHeight="true" outlineLevel="0" collapsed="false">
      <c r="A1593" s="1" t="s">
        <v>2413</v>
      </c>
      <c r="B1593" s="1" t="s">
        <v>304</v>
      </c>
      <c r="C1593" s="1" t="s">
        <v>100</v>
      </c>
      <c r="D1593" s="1" t="s">
        <v>143</v>
      </c>
      <c r="E1593" s="1" t="s">
        <v>144</v>
      </c>
      <c r="F1593" s="1" t="s">
        <v>102</v>
      </c>
      <c r="G1593" s="1" t="s">
        <v>103</v>
      </c>
      <c r="H1593" s="1" t="s">
        <v>33</v>
      </c>
      <c r="I1593" s="1" t="s">
        <v>34</v>
      </c>
      <c r="J1593" s="1" t="s">
        <v>77</v>
      </c>
      <c r="K1593" s="1" t="s">
        <v>90</v>
      </c>
      <c r="L1593" s="1" t="s">
        <v>136</v>
      </c>
      <c r="M1593" s="1" t="s">
        <v>62</v>
      </c>
      <c r="N1593" s="1" t="n">
        <v>12999</v>
      </c>
      <c r="O1593" s="1" t="n">
        <v>15</v>
      </c>
      <c r="P1593" s="1" t="n">
        <v>1949.85</v>
      </c>
      <c r="Q1593" s="1" t="n">
        <v>11049.15</v>
      </c>
      <c r="R1593" s="1" t="n">
        <v>1988.85</v>
      </c>
      <c r="S1593" s="1" t="n">
        <v>9060.3</v>
      </c>
      <c r="T1593" s="1" t="n">
        <v>4173.16</v>
      </c>
      <c r="U1593" s="1" t="n">
        <v>4887.14</v>
      </c>
      <c r="V1593" s="1" t="n">
        <v>53.94</v>
      </c>
      <c r="W1593" s="1" t="s">
        <v>40</v>
      </c>
      <c r="Y1593" s="1" t="s">
        <v>40</v>
      </c>
      <c r="Z1593" s="1" t="n">
        <v>0</v>
      </c>
      <c r="AA1593" s="1" t="str">
        <f aca="false">TRIM(PROPER(F1593))</f>
        <v>Warangal</v>
      </c>
      <c r="AB1593" s="1" t="str">
        <f aca="false">TRIM(PROPER(C1593))</f>
        <v>Physics Wallah</v>
      </c>
      <c r="AC1593" s="1" t="str">
        <f aca="false">IF(O1593=0,"No Discount",IF(O1593&lt;=15,"Low (1-15%)",IF(O1593&lt;=30,"Medium (16-30%)","High (&gt;30%)")))</f>
        <v>Low (1-15%)</v>
      </c>
      <c r="AD1593" s="1" t="str">
        <f aca="false">IF(V1593&lt;0,"Loss Making",IF(V1593&lt;20,"Low Margin","Healthy Margin"))</f>
        <v>Healthy Margin</v>
      </c>
      <c r="AE1593" s="1" t="str">
        <f aca="false">TEXT(DATE(VALUE(RIGHT(B1593,4)),VALUE(MID(B1593,4,2)),VALUE(LEFT(B1593,2))),"MMM-YYYY")</f>
        <v>Oct-2023</v>
      </c>
      <c r="AF1593" s="1" t="n">
        <f aca="false">VALUE(RIGHT(B1593,4))</f>
        <v>2023</v>
      </c>
      <c r="AG1593" s="1" t="str">
        <f aca="false">CHOOSE(ROUNDUP(VALUE(MID(B1593,4,2))/3,0),"Q1","Q2","Q3","Q4")</f>
        <v>Q4</v>
      </c>
    </row>
    <row r="1594" customFormat="false" ht="15" hidden="false" customHeight="true" outlineLevel="0" collapsed="false">
      <c r="A1594" s="1" t="s">
        <v>2414</v>
      </c>
      <c r="B1594" s="1" t="s">
        <v>391</v>
      </c>
      <c r="C1594" s="1" t="s">
        <v>167</v>
      </c>
      <c r="D1594" s="1" t="s">
        <v>94</v>
      </c>
      <c r="E1594" s="1" t="s">
        <v>101</v>
      </c>
      <c r="F1594" s="1" t="s">
        <v>184</v>
      </c>
      <c r="G1594" s="1" t="s">
        <v>56</v>
      </c>
      <c r="H1594" s="1" t="s">
        <v>57</v>
      </c>
      <c r="I1594" s="1" t="s">
        <v>58</v>
      </c>
      <c r="J1594" s="1" t="s">
        <v>70</v>
      </c>
      <c r="K1594" s="1" t="s">
        <v>112</v>
      </c>
      <c r="L1594" s="1" t="s">
        <v>85</v>
      </c>
      <c r="M1594" s="1" t="s">
        <v>38</v>
      </c>
      <c r="N1594" s="1" t="n">
        <v>14999</v>
      </c>
      <c r="O1594" s="1" t="n">
        <v>50</v>
      </c>
      <c r="P1594" s="1" t="n">
        <v>7499.5</v>
      </c>
      <c r="Q1594" s="1" t="n">
        <v>7499.5</v>
      </c>
      <c r="R1594" s="1" t="n">
        <v>1349.91</v>
      </c>
      <c r="S1594" s="1" t="n">
        <v>6149.59</v>
      </c>
      <c r="T1594" s="1" t="n">
        <v>3303.51</v>
      </c>
      <c r="U1594" s="1" t="n">
        <v>2846.08</v>
      </c>
      <c r="V1594" s="1" t="n">
        <v>46.28</v>
      </c>
      <c r="W1594" s="1" t="s">
        <v>39</v>
      </c>
      <c r="X1594" s="1" t="n">
        <v>3.3</v>
      </c>
      <c r="Y1594" s="1" t="s">
        <v>39</v>
      </c>
      <c r="Z1594" s="1" t="n">
        <v>0</v>
      </c>
      <c r="AA1594" s="1" t="str">
        <f aca="false">TRIM(PROPER(F1594))</f>
        <v>Faridabad</v>
      </c>
      <c r="AB1594" s="1" t="str">
        <f aca="false">TRIM(PROPER(C1594))</f>
        <v>Scaler</v>
      </c>
      <c r="AC1594" s="1" t="str">
        <f aca="false">IF(O1594=0,"No Discount",IF(O1594&lt;=15,"Low (1-15%)",IF(O1594&lt;=30,"Medium (16-30%)","High (&gt;30%)")))</f>
        <v>High (&gt;30%)</v>
      </c>
      <c r="AD1594" s="1" t="str">
        <f aca="false">IF(V1594&lt;0,"Loss Making",IF(V1594&lt;20,"Low Margin","Healthy Margin"))</f>
        <v>Healthy Margin</v>
      </c>
      <c r="AE1594" s="1" t="str">
        <f aca="false">TEXT(DATE(VALUE(RIGHT(B1594,4)),VALUE(MID(B1594,4,2)),VALUE(LEFT(B1594,2))),"MMM-YYYY")</f>
        <v>Aug-2023</v>
      </c>
      <c r="AF1594" s="1" t="n">
        <f aca="false">VALUE(RIGHT(B1594,4))</f>
        <v>2023</v>
      </c>
      <c r="AG1594" s="1" t="str">
        <f aca="false">CHOOSE(ROUNDUP(VALUE(MID(B1594,4,2))/3,0),"Q1","Q2","Q3","Q4")</f>
        <v>Q3</v>
      </c>
    </row>
    <row r="1595" customFormat="false" ht="15" hidden="false" customHeight="true" outlineLevel="0" collapsed="false">
      <c r="A1595" s="1" t="s">
        <v>2415</v>
      </c>
      <c r="B1595" s="1" t="s">
        <v>376</v>
      </c>
      <c r="C1595" s="1" t="s">
        <v>74</v>
      </c>
      <c r="D1595" s="1" t="s">
        <v>80</v>
      </c>
      <c r="E1595" s="1" t="s">
        <v>81</v>
      </c>
      <c r="F1595" s="1" t="s">
        <v>130</v>
      </c>
      <c r="G1595" s="1" t="s">
        <v>47</v>
      </c>
      <c r="H1595" s="1" t="s">
        <v>69</v>
      </c>
      <c r="I1595" s="1" t="s">
        <v>83</v>
      </c>
      <c r="J1595" s="1" t="s">
        <v>131</v>
      </c>
      <c r="K1595" s="1" t="s">
        <v>104</v>
      </c>
      <c r="L1595" s="1" t="s">
        <v>49</v>
      </c>
      <c r="M1595" s="1" t="s">
        <v>62</v>
      </c>
      <c r="N1595" s="1" t="n">
        <v>12999</v>
      </c>
      <c r="O1595" s="1" t="n">
        <v>15</v>
      </c>
      <c r="P1595" s="1" t="n">
        <v>1949.85</v>
      </c>
      <c r="Q1595" s="1" t="n">
        <v>11049.15</v>
      </c>
      <c r="R1595" s="1" t="n">
        <v>1988.85</v>
      </c>
      <c r="S1595" s="1" t="n">
        <v>9060.3</v>
      </c>
      <c r="T1595" s="1" t="n">
        <v>3501.73</v>
      </c>
      <c r="U1595" s="1" t="n">
        <v>5558.57</v>
      </c>
      <c r="V1595" s="1" t="n">
        <v>61.35</v>
      </c>
      <c r="W1595" s="1" t="s">
        <v>39</v>
      </c>
      <c r="X1595" s="1" t="n">
        <v>3.4</v>
      </c>
      <c r="Y1595" s="1" t="s">
        <v>40</v>
      </c>
      <c r="Z1595" s="1" t="n">
        <v>0</v>
      </c>
      <c r="AA1595" s="1" t="str">
        <f aca="false">TRIM(PROPER(F1595))</f>
        <v>Bengaluru</v>
      </c>
      <c r="AB1595" s="1" t="str">
        <f aca="false">TRIM(PROPER(C1595))</f>
        <v>Vedantu</v>
      </c>
      <c r="AC1595" s="1" t="str">
        <f aca="false">IF(O1595=0,"No Discount",IF(O1595&lt;=15,"Low (1-15%)",IF(O1595&lt;=30,"Medium (16-30%)","High (&gt;30%)")))</f>
        <v>Low (1-15%)</v>
      </c>
      <c r="AD1595" s="1" t="str">
        <f aca="false">IF(V1595&lt;0,"Loss Making",IF(V1595&lt;20,"Low Margin","Healthy Margin"))</f>
        <v>Healthy Margin</v>
      </c>
      <c r="AE1595" s="1" t="str">
        <f aca="false">TEXT(DATE(VALUE(RIGHT(B1595,4)),VALUE(MID(B1595,4,2)),VALUE(LEFT(B1595,2))),"MMM-YYYY")</f>
        <v>Apr-2024</v>
      </c>
      <c r="AF1595" s="1" t="n">
        <f aca="false">VALUE(RIGHT(B1595,4))</f>
        <v>2024</v>
      </c>
      <c r="AG1595" s="1" t="str">
        <f aca="false">CHOOSE(ROUNDUP(VALUE(MID(B1595,4,2))/3,0),"Q1","Q2","Q3","Q4")</f>
        <v>Q2</v>
      </c>
    </row>
    <row r="1596" customFormat="false" ht="15" hidden="false" customHeight="true" outlineLevel="0" collapsed="false">
      <c r="A1596" s="1" t="s">
        <v>2416</v>
      </c>
      <c r="B1596" s="1" t="s">
        <v>115</v>
      </c>
      <c r="C1596" s="1" t="s">
        <v>178</v>
      </c>
      <c r="D1596" s="1" t="s">
        <v>29</v>
      </c>
      <c r="E1596" s="1" t="s">
        <v>182</v>
      </c>
      <c r="F1596" s="1" t="s">
        <v>82</v>
      </c>
      <c r="G1596" s="1" t="s">
        <v>56</v>
      </c>
      <c r="H1596" s="1" t="s">
        <v>69</v>
      </c>
      <c r="I1596" s="1" t="s">
        <v>34</v>
      </c>
      <c r="J1596" s="1" t="s">
        <v>59</v>
      </c>
      <c r="K1596" s="1" t="s">
        <v>104</v>
      </c>
      <c r="L1596" s="1" t="s">
        <v>61</v>
      </c>
      <c r="M1596" s="1" t="s">
        <v>62</v>
      </c>
      <c r="N1596" s="1" t="n">
        <v>34999</v>
      </c>
      <c r="O1596" s="1" t="n">
        <v>0</v>
      </c>
      <c r="P1596" s="1" t="n">
        <v>0</v>
      </c>
      <c r="Q1596" s="1" t="n">
        <v>34999</v>
      </c>
      <c r="R1596" s="1" t="n">
        <v>6299.82</v>
      </c>
      <c r="S1596" s="1" t="n">
        <v>28699.18</v>
      </c>
      <c r="T1596" s="1" t="n">
        <v>12102.27</v>
      </c>
      <c r="U1596" s="1" t="n">
        <v>16596.91</v>
      </c>
      <c r="V1596" s="1" t="n">
        <v>57.83</v>
      </c>
      <c r="W1596" s="1" t="s">
        <v>40</v>
      </c>
      <c r="Y1596" s="1" t="s">
        <v>40</v>
      </c>
      <c r="Z1596" s="1" t="n">
        <v>3</v>
      </c>
      <c r="AA1596" s="1" t="str">
        <f aca="false">TRIM(PROPER(F1596))</f>
        <v>Gurugram</v>
      </c>
      <c r="AB1596" s="1" t="str">
        <f aca="false">TRIM(PROPER(C1596))</f>
        <v>Leverage Edu</v>
      </c>
      <c r="AC1596" s="1" t="str">
        <f aca="false">IF(O1596=0,"No Discount",IF(O1596&lt;=15,"Low (1-15%)",IF(O1596&lt;=30,"Medium (16-30%)","High (&gt;30%)")))</f>
        <v>No Discount</v>
      </c>
      <c r="AD1596" s="1" t="str">
        <f aca="false">IF(V1596&lt;0,"Loss Making",IF(V1596&lt;20,"Low Margin","Healthy Margin"))</f>
        <v>Healthy Margin</v>
      </c>
      <c r="AE1596" s="1" t="str">
        <f aca="false">TEXT(DATE(VALUE(RIGHT(B1596,4)),VALUE(MID(B1596,4,2)),VALUE(LEFT(B1596,2))),"MMM-YYYY")</f>
        <v>Feb-2024</v>
      </c>
      <c r="AF1596" s="1" t="n">
        <f aca="false">VALUE(RIGHT(B1596,4))</f>
        <v>2024</v>
      </c>
      <c r="AG1596" s="1" t="str">
        <f aca="false">CHOOSE(ROUNDUP(VALUE(MID(B1596,4,2))/3,0),"Q1","Q2","Q3","Q4")</f>
        <v>Q1</v>
      </c>
    </row>
    <row r="1597" customFormat="false" ht="15" hidden="false" customHeight="true" outlineLevel="0" collapsed="false">
      <c r="A1597" s="1" t="s">
        <v>2417</v>
      </c>
      <c r="B1597" s="1" t="s">
        <v>152</v>
      </c>
      <c r="C1597" s="1" t="s">
        <v>74</v>
      </c>
      <c r="D1597" s="1" t="s">
        <v>94</v>
      </c>
      <c r="E1597" s="1" t="s">
        <v>95</v>
      </c>
      <c r="F1597" s="1" t="s">
        <v>194</v>
      </c>
      <c r="G1597" s="1" t="s">
        <v>103</v>
      </c>
      <c r="H1597" s="1" t="s">
        <v>69</v>
      </c>
      <c r="I1597" s="1" t="s">
        <v>83</v>
      </c>
      <c r="J1597" s="1" t="s">
        <v>70</v>
      </c>
      <c r="K1597" s="1" t="s">
        <v>104</v>
      </c>
      <c r="L1597" s="1" t="s">
        <v>37</v>
      </c>
      <c r="M1597" s="1" t="s">
        <v>62</v>
      </c>
      <c r="N1597" s="1" t="n">
        <v>6999</v>
      </c>
      <c r="O1597" s="1" t="n">
        <v>30</v>
      </c>
      <c r="P1597" s="1" t="n">
        <v>2099.7</v>
      </c>
      <c r="Q1597" s="1" t="n">
        <v>4899.3</v>
      </c>
      <c r="R1597" s="1" t="n">
        <v>881.87</v>
      </c>
      <c r="S1597" s="1" t="n">
        <v>4017.43</v>
      </c>
      <c r="T1597" s="1" t="n">
        <v>1698.59</v>
      </c>
      <c r="U1597" s="1" t="n">
        <v>2318.84</v>
      </c>
      <c r="V1597" s="1" t="n">
        <v>57.72</v>
      </c>
      <c r="W1597" s="1" t="s">
        <v>39</v>
      </c>
      <c r="X1597" s="1" t="n">
        <v>4</v>
      </c>
      <c r="Y1597" s="1" t="s">
        <v>40</v>
      </c>
      <c r="Z1597" s="1" t="n">
        <v>1</v>
      </c>
      <c r="AA1597" s="1" t="str">
        <f aca="false">TRIM(PROPER(F1597))</f>
        <v>Hyderabad</v>
      </c>
      <c r="AB1597" s="1" t="str">
        <f aca="false">TRIM(PROPER(C1597))</f>
        <v>Vedantu</v>
      </c>
      <c r="AC1597" s="1" t="str">
        <f aca="false">IF(O1597=0,"No Discount",IF(O1597&lt;=15,"Low (1-15%)",IF(O1597&lt;=30,"Medium (16-30%)","High (&gt;30%)")))</f>
        <v>Medium (16-30%)</v>
      </c>
      <c r="AD1597" s="1" t="str">
        <f aca="false">IF(V1597&lt;0,"Loss Making",IF(V1597&lt;20,"Low Margin","Healthy Margin"))</f>
        <v>Healthy Margin</v>
      </c>
      <c r="AE1597" s="1" t="str">
        <f aca="false">TEXT(DATE(VALUE(RIGHT(B1597,4)),VALUE(MID(B1597,4,2)),VALUE(LEFT(B1597,2))),"MMM-YYYY")</f>
        <v>Jul-2024</v>
      </c>
      <c r="AF1597" s="1" t="n">
        <f aca="false">VALUE(RIGHT(B1597,4))</f>
        <v>2024</v>
      </c>
      <c r="AG1597" s="1" t="str">
        <f aca="false">CHOOSE(ROUNDUP(VALUE(MID(B1597,4,2))/3,0),"Q1","Q2","Q3","Q4")</f>
        <v>Q3</v>
      </c>
    </row>
    <row r="1598" customFormat="false" ht="15" hidden="false" customHeight="true" outlineLevel="0" collapsed="false">
      <c r="A1598" s="1" t="s">
        <v>2418</v>
      </c>
      <c r="B1598" s="1" t="s">
        <v>535</v>
      </c>
      <c r="C1598" s="1" t="s">
        <v>65</v>
      </c>
      <c r="D1598" s="1" t="s">
        <v>80</v>
      </c>
      <c r="E1598" s="1" t="s">
        <v>193</v>
      </c>
      <c r="F1598" s="1" t="s">
        <v>140</v>
      </c>
      <c r="G1598" s="1" t="s">
        <v>97</v>
      </c>
      <c r="H1598" s="1" t="s">
        <v>57</v>
      </c>
      <c r="I1598" s="1" t="s">
        <v>58</v>
      </c>
      <c r="J1598" s="1" t="s">
        <v>35</v>
      </c>
      <c r="K1598" s="1" t="s">
        <v>48</v>
      </c>
      <c r="L1598" s="1" t="s">
        <v>136</v>
      </c>
      <c r="M1598" s="1" t="s">
        <v>62</v>
      </c>
      <c r="N1598" s="1" t="n">
        <v>8999</v>
      </c>
      <c r="O1598" s="1" t="n">
        <v>40</v>
      </c>
      <c r="P1598" s="1" t="n">
        <v>3599.6</v>
      </c>
      <c r="Q1598" s="1" t="n">
        <v>5399.4</v>
      </c>
      <c r="R1598" s="1" t="n">
        <v>971.89</v>
      </c>
      <c r="S1598" s="1" t="n">
        <v>4427.51</v>
      </c>
      <c r="T1598" s="1" t="n">
        <v>2492.66</v>
      </c>
      <c r="U1598" s="1" t="n">
        <v>1934.85</v>
      </c>
      <c r="V1598" s="1" t="n">
        <v>43.7</v>
      </c>
      <c r="W1598" s="1" t="s">
        <v>39</v>
      </c>
      <c r="X1598" s="1" t="n">
        <v>4.3</v>
      </c>
      <c r="Y1598" s="1" t="s">
        <v>40</v>
      </c>
      <c r="Z1598" s="1" t="n">
        <v>0</v>
      </c>
      <c r="AA1598" s="1" t="str">
        <f aca="false">TRIM(PROPER(F1598))</f>
        <v>Nashik</v>
      </c>
      <c r="AB1598" s="1" t="str">
        <f aca="false">TRIM(PROPER(C1598))</f>
        <v>Toppr</v>
      </c>
      <c r="AC1598" s="1" t="str">
        <f aca="false">IF(O1598=0,"No Discount",IF(O1598&lt;=15,"Low (1-15%)",IF(O1598&lt;=30,"Medium (16-30%)","High (&gt;30%)")))</f>
        <v>High (&gt;30%)</v>
      </c>
      <c r="AD1598" s="1" t="str">
        <f aca="false">IF(V1598&lt;0,"Loss Making",IF(V1598&lt;20,"Low Margin","Healthy Margin"))</f>
        <v>Healthy Margin</v>
      </c>
      <c r="AE1598" s="1" t="str">
        <f aca="false">TEXT(DATE(VALUE(RIGHT(B1598,4)),VALUE(MID(B1598,4,2)),VALUE(LEFT(B1598,2))),"MMM-YYYY")</f>
        <v>Jan-2023</v>
      </c>
      <c r="AF1598" s="1" t="n">
        <f aca="false">VALUE(RIGHT(B1598,4))</f>
        <v>2023</v>
      </c>
      <c r="AG1598" s="1" t="str">
        <f aca="false">CHOOSE(ROUNDUP(VALUE(MID(B1598,4,2))/3,0),"Q1","Q2","Q3","Q4")</f>
        <v>Q1</v>
      </c>
    </row>
    <row r="1599" customFormat="false" ht="15" hidden="false" customHeight="true" outlineLevel="0" collapsed="false">
      <c r="A1599" s="1" t="s">
        <v>2419</v>
      </c>
      <c r="B1599" s="1" t="s">
        <v>1048</v>
      </c>
      <c r="C1599" s="1" t="s">
        <v>139</v>
      </c>
      <c r="D1599" s="1" t="s">
        <v>53</v>
      </c>
      <c r="E1599" s="1" t="s">
        <v>216</v>
      </c>
      <c r="F1599" s="1" t="s">
        <v>244</v>
      </c>
      <c r="G1599" s="1" t="s">
        <v>97</v>
      </c>
      <c r="H1599" s="1" t="s">
        <v>57</v>
      </c>
      <c r="I1599" s="1" t="s">
        <v>83</v>
      </c>
      <c r="J1599" s="1" t="s">
        <v>35</v>
      </c>
      <c r="K1599" s="1" t="s">
        <v>48</v>
      </c>
      <c r="L1599" s="1" t="s">
        <v>61</v>
      </c>
      <c r="M1599" s="1" t="s">
        <v>50</v>
      </c>
      <c r="N1599" s="1" t="n">
        <v>7499</v>
      </c>
      <c r="O1599" s="1" t="n">
        <v>20</v>
      </c>
      <c r="P1599" s="1" t="n">
        <v>1499.8</v>
      </c>
      <c r="Q1599" s="1" t="n">
        <v>5999.2</v>
      </c>
      <c r="R1599" s="1" t="n">
        <v>1079.86</v>
      </c>
      <c r="S1599" s="1" t="n">
        <v>4919.34</v>
      </c>
      <c r="T1599" s="1" t="n">
        <v>2129.55</v>
      </c>
      <c r="U1599" s="1" t="n">
        <v>2789.79</v>
      </c>
      <c r="V1599" s="1" t="n">
        <v>56.71</v>
      </c>
      <c r="W1599" s="1" t="s">
        <v>39</v>
      </c>
      <c r="X1599" s="1" t="n">
        <v>3.8</v>
      </c>
      <c r="Y1599" s="1" t="s">
        <v>40</v>
      </c>
      <c r="Z1599" s="1" t="n">
        <v>0</v>
      </c>
      <c r="AA1599" s="1" t="str">
        <f aca="false">TRIM(PROPER(F1599))</f>
        <v>Nagpur</v>
      </c>
      <c r="AB1599" s="1" t="str">
        <f aca="false">TRIM(PROPER(C1599))</f>
        <v>Extramarks</v>
      </c>
      <c r="AC1599" s="1" t="str">
        <f aca="false">IF(O1599=0,"No Discount",IF(O1599&lt;=15,"Low (1-15%)",IF(O1599&lt;=30,"Medium (16-30%)","High (&gt;30%)")))</f>
        <v>Medium (16-30%)</v>
      </c>
      <c r="AD1599" s="1" t="str">
        <f aca="false">IF(V1599&lt;0,"Loss Making",IF(V1599&lt;20,"Low Margin","Healthy Margin"))</f>
        <v>Healthy Margin</v>
      </c>
      <c r="AE1599" s="1" t="str">
        <f aca="false">TEXT(DATE(VALUE(RIGHT(B1599,4)),VALUE(MID(B1599,4,2)),VALUE(LEFT(B1599,2))),"MMM-YYYY")</f>
        <v>Jan-2023</v>
      </c>
      <c r="AF1599" s="1" t="n">
        <f aca="false">VALUE(RIGHT(B1599,4))</f>
        <v>2023</v>
      </c>
      <c r="AG1599" s="1" t="str">
        <f aca="false">CHOOSE(ROUNDUP(VALUE(MID(B1599,4,2))/3,0),"Q1","Q2","Q3","Q4")</f>
        <v>Q1</v>
      </c>
    </row>
    <row r="1600" customFormat="false" ht="15" hidden="false" customHeight="true" outlineLevel="0" collapsed="false">
      <c r="A1600" s="1" t="s">
        <v>2420</v>
      </c>
      <c r="B1600" s="1" t="s">
        <v>809</v>
      </c>
      <c r="C1600" s="1" t="s">
        <v>264</v>
      </c>
      <c r="D1600" s="1" t="s">
        <v>44</v>
      </c>
      <c r="E1600" s="1" t="s">
        <v>221</v>
      </c>
      <c r="F1600" s="1" t="s">
        <v>75</v>
      </c>
      <c r="G1600" s="1" t="s">
        <v>76</v>
      </c>
      <c r="H1600" s="1" t="s">
        <v>69</v>
      </c>
      <c r="I1600" s="1" t="s">
        <v>58</v>
      </c>
      <c r="J1600" s="1" t="s">
        <v>35</v>
      </c>
      <c r="K1600" s="1" t="s">
        <v>84</v>
      </c>
      <c r="L1600" s="1" t="s">
        <v>61</v>
      </c>
      <c r="M1600" s="1" t="s">
        <v>50</v>
      </c>
      <c r="N1600" s="1" t="n">
        <v>16999</v>
      </c>
      <c r="O1600" s="1" t="n">
        <v>0</v>
      </c>
      <c r="P1600" s="1" t="n">
        <v>0</v>
      </c>
      <c r="Q1600" s="1" t="n">
        <v>16999</v>
      </c>
      <c r="R1600" s="1" t="n">
        <v>3059.82</v>
      </c>
      <c r="S1600" s="1" t="n">
        <v>13939.18</v>
      </c>
      <c r="T1600" s="1" t="n">
        <v>4112.04</v>
      </c>
      <c r="U1600" s="1" t="n">
        <v>9827.14</v>
      </c>
      <c r="V1600" s="1" t="n">
        <v>70.5</v>
      </c>
      <c r="W1600" s="1" t="s">
        <v>39</v>
      </c>
      <c r="X1600" s="1" t="n">
        <v>4</v>
      </c>
      <c r="Y1600" s="1" t="s">
        <v>40</v>
      </c>
      <c r="Z1600" s="1" t="n">
        <v>0</v>
      </c>
      <c r="AA1600" s="1" t="str">
        <f aca="false">TRIM(PROPER(F1600))</f>
        <v>Kolkata</v>
      </c>
      <c r="AB1600" s="1" t="str">
        <f aca="false">TRIM(PROPER(C1600))</f>
        <v>Unacademy</v>
      </c>
      <c r="AC1600" s="1" t="str">
        <f aca="false">IF(O1600=0,"No Discount",IF(O1600&lt;=15,"Low (1-15%)",IF(O1600&lt;=30,"Medium (16-30%)","High (&gt;30%)")))</f>
        <v>No Discount</v>
      </c>
      <c r="AD1600" s="1" t="str">
        <f aca="false">IF(V1600&lt;0,"Loss Making",IF(V1600&lt;20,"Low Margin","Healthy Margin"))</f>
        <v>Healthy Margin</v>
      </c>
      <c r="AE1600" s="1" t="str">
        <f aca="false">TEXT(DATE(VALUE(RIGHT(B1600,4)),VALUE(MID(B1600,4,2)),VALUE(LEFT(B1600,2))),"MMM-YYYY")</f>
        <v>Mar-2023</v>
      </c>
      <c r="AF1600" s="1" t="n">
        <f aca="false">VALUE(RIGHT(B1600,4))</f>
        <v>2023</v>
      </c>
      <c r="AG1600" s="1" t="str">
        <f aca="false">CHOOSE(ROUNDUP(VALUE(MID(B1600,4,2))/3,0),"Q1","Q2","Q3","Q4")</f>
        <v>Q1</v>
      </c>
    </row>
    <row r="1601" customFormat="false" ht="15" hidden="false" customHeight="true" outlineLevel="0" collapsed="false">
      <c r="A1601" s="1" t="s">
        <v>2421</v>
      </c>
      <c r="B1601" s="1" t="s">
        <v>2422</v>
      </c>
      <c r="C1601" s="1" t="s">
        <v>28</v>
      </c>
      <c r="D1601" s="1" t="s">
        <v>94</v>
      </c>
      <c r="E1601" s="1" t="s">
        <v>101</v>
      </c>
      <c r="F1601" s="1" t="s">
        <v>130</v>
      </c>
      <c r="G1601" s="1" t="s">
        <v>47</v>
      </c>
      <c r="H1601" s="1" t="s">
        <v>69</v>
      </c>
      <c r="I1601" s="1" t="s">
        <v>58</v>
      </c>
      <c r="J1601" s="1" t="s">
        <v>77</v>
      </c>
      <c r="K1601" s="1" t="s">
        <v>84</v>
      </c>
      <c r="L1601" s="1" t="s">
        <v>113</v>
      </c>
      <c r="M1601" s="1" t="s">
        <v>62</v>
      </c>
      <c r="N1601" s="1" t="n">
        <v>14999</v>
      </c>
      <c r="O1601" s="1" t="n">
        <v>0</v>
      </c>
      <c r="P1601" s="1" t="n">
        <v>0</v>
      </c>
      <c r="Q1601" s="1" t="n">
        <v>14999</v>
      </c>
      <c r="R1601" s="1" t="n">
        <v>2699.82</v>
      </c>
      <c r="S1601" s="1" t="n">
        <v>12299.18</v>
      </c>
      <c r="T1601" s="1" t="n">
        <v>5138.25</v>
      </c>
      <c r="U1601" s="1" t="n">
        <v>7160.93</v>
      </c>
      <c r="V1601" s="1" t="n">
        <v>58.22</v>
      </c>
      <c r="W1601" s="1" t="s">
        <v>39</v>
      </c>
      <c r="X1601" s="1" t="n">
        <v>4.2</v>
      </c>
      <c r="Y1601" s="1" t="s">
        <v>40</v>
      </c>
      <c r="Z1601" s="1" t="n">
        <v>0</v>
      </c>
      <c r="AA1601" s="1" t="str">
        <f aca="false">TRIM(PROPER(F1601))</f>
        <v>Bengaluru</v>
      </c>
      <c r="AB1601" s="1" t="str">
        <f aca="false">TRIM(PROPER(C1601))</f>
        <v>Embibe</v>
      </c>
      <c r="AC1601" s="1" t="str">
        <f aca="false">IF(O1601=0,"No Discount",IF(O1601&lt;=15,"Low (1-15%)",IF(O1601&lt;=30,"Medium (16-30%)","High (&gt;30%)")))</f>
        <v>No Discount</v>
      </c>
      <c r="AD1601" s="1" t="str">
        <f aca="false">IF(V1601&lt;0,"Loss Making",IF(V1601&lt;20,"Low Margin","Healthy Margin"))</f>
        <v>Healthy Margin</v>
      </c>
      <c r="AE1601" s="1" t="str">
        <f aca="false">TEXT(DATE(VALUE(RIGHT(B1601,4)),VALUE(MID(B1601,4,2)),VALUE(LEFT(B1601,2))),"MMM-YYYY")</f>
        <v>Mar-2023</v>
      </c>
      <c r="AF1601" s="1" t="n">
        <f aca="false">VALUE(RIGHT(B1601,4))</f>
        <v>2023</v>
      </c>
      <c r="AG1601" s="1" t="str">
        <f aca="false">CHOOSE(ROUNDUP(VALUE(MID(B1601,4,2))/3,0),"Q1","Q2","Q3","Q4")</f>
        <v>Q1</v>
      </c>
    </row>
    <row r="1602" customFormat="false" ht="15" hidden="false" customHeight="true" outlineLevel="0" collapsed="false">
      <c r="A1602" s="1" t="s">
        <v>2423</v>
      </c>
      <c r="B1602" s="1" t="s">
        <v>1212</v>
      </c>
      <c r="C1602" s="1" t="s">
        <v>74</v>
      </c>
      <c r="D1602" s="1" t="s">
        <v>168</v>
      </c>
      <c r="E1602" s="1" t="s">
        <v>197</v>
      </c>
      <c r="F1602" s="1" t="s">
        <v>89</v>
      </c>
      <c r="G1602" s="1" t="s">
        <v>68</v>
      </c>
      <c r="H1602" s="1" t="s">
        <v>33</v>
      </c>
      <c r="I1602" s="1" t="s">
        <v>58</v>
      </c>
      <c r="J1602" s="1" t="s">
        <v>131</v>
      </c>
      <c r="K1602" s="1" t="s">
        <v>36</v>
      </c>
      <c r="L1602" s="1" t="s">
        <v>113</v>
      </c>
      <c r="M1602" s="1" t="s">
        <v>62</v>
      </c>
      <c r="N1602" s="1" t="n">
        <v>8499</v>
      </c>
      <c r="O1602" s="1" t="n">
        <v>15</v>
      </c>
      <c r="P1602" s="1" t="n">
        <v>1274.85</v>
      </c>
      <c r="Q1602" s="1" t="n">
        <v>7224.15</v>
      </c>
      <c r="R1602" s="1" t="n">
        <v>1300.35</v>
      </c>
      <c r="S1602" s="1" t="n">
        <v>5923.8</v>
      </c>
      <c r="T1602" s="1" t="n">
        <v>2368.18</v>
      </c>
      <c r="U1602" s="1" t="n">
        <v>3555.62</v>
      </c>
      <c r="V1602" s="1" t="n">
        <v>60.02</v>
      </c>
      <c r="W1602" s="1" t="s">
        <v>39</v>
      </c>
      <c r="X1602" s="1" t="n">
        <v>4.1</v>
      </c>
      <c r="Y1602" s="1" t="s">
        <v>39</v>
      </c>
      <c r="Z1602" s="1" t="n">
        <v>0</v>
      </c>
      <c r="AA1602" s="1" t="str">
        <f aca="false">TRIM(PROPER(F1602))</f>
        <v>Vadodara</v>
      </c>
      <c r="AB1602" s="1" t="str">
        <f aca="false">TRIM(PROPER(C1602))</f>
        <v>Vedantu</v>
      </c>
      <c r="AC1602" s="1" t="str">
        <f aca="false">IF(O1602=0,"No Discount",IF(O1602&lt;=15,"Low (1-15%)",IF(O1602&lt;=30,"Medium (16-30%)","High (&gt;30%)")))</f>
        <v>Low (1-15%)</v>
      </c>
      <c r="AD1602" s="1" t="str">
        <f aca="false">IF(V1602&lt;0,"Loss Making",IF(V1602&lt;20,"Low Margin","Healthy Margin"))</f>
        <v>Healthy Margin</v>
      </c>
      <c r="AE1602" s="1" t="str">
        <f aca="false">TEXT(DATE(VALUE(RIGHT(B1602,4)),VALUE(MID(B1602,4,2)),VALUE(LEFT(B1602,2))),"MMM-YYYY")</f>
        <v>Jul-2023</v>
      </c>
      <c r="AF1602" s="1" t="n">
        <f aca="false">VALUE(RIGHT(B1602,4))</f>
        <v>2023</v>
      </c>
      <c r="AG1602" s="1" t="str">
        <f aca="false">CHOOSE(ROUNDUP(VALUE(MID(B1602,4,2))/3,0),"Q1","Q2","Q3","Q4")</f>
        <v>Q3</v>
      </c>
    </row>
    <row r="1603" customFormat="false" ht="15" hidden="false" customHeight="true" outlineLevel="0" collapsed="false">
      <c r="A1603" s="1" t="s">
        <v>2424</v>
      </c>
      <c r="B1603" s="1" t="s">
        <v>891</v>
      </c>
      <c r="C1603" s="1" t="s">
        <v>249</v>
      </c>
      <c r="D1603" s="1" t="s">
        <v>168</v>
      </c>
      <c r="E1603" s="1" t="s">
        <v>172</v>
      </c>
      <c r="F1603" s="1" t="s">
        <v>31</v>
      </c>
      <c r="G1603" s="1" t="s">
        <v>32</v>
      </c>
      <c r="H1603" s="1" t="s">
        <v>33</v>
      </c>
      <c r="I1603" s="1" t="s">
        <v>58</v>
      </c>
      <c r="J1603" s="1" t="s">
        <v>35</v>
      </c>
      <c r="K1603" s="1" t="s">
        <v>71</v>
      </c>
      <c r="L1603" s="1" t="s">
        <v>113</v>
      </c>
      <c r="M1603" s="1" t="s">
        <v>62</v>
      </c>
      <c r="N1603" s="1" t="n">
        <v>6999</v>
      </c>
      <c r="O1603" s="1" t="n">
        <v>10</v>
      </c>
      <c r="P1603" s="1" t="n">
        <v>699.9</v>
      </c>
      <c r="Q1603" s="1" t="n">
        <v>6299.1</v>
      </c>
      <c r="R1603" s="1" t="n">
        <v>1133.84</v>
      </c>
      <c r="S1603" s="1" t="n">
        <v>5165.26</v>
      </c>
      <c r="T1603" s="1" t="n">
        <v>1790.18</v>
      </c>
      <c r="U1603" s="1" t="n">
        <v>3375.08</v>
      </c>
      <c r="V1603" s="1" t="n">
        <v>65.34</v>
      </c>
      <c r="W1603" s="1" t="s">
        <v>39</v>
      </c>
      <c r="X1603" s="1" t="n">
        <v>3.5</v>
      </c>
      <c r="Y1603" s="1" t="s">
        <v>40</v>
      </c>
      <c r="Z1603" s="1" t="n">
        <v>0</v>
      </c>
      <c r="AA1603" s="1" t="str">
        <f aca="false">TRIM(PROPER(F1603))</f>
        <v>Jodhpur</v>
      </c>
      <c r="AB1603" s="1" t="str">
        <f aca="false">TRIM(PROPER(C1603))</f>
        <v>Whitehat Jr</v>
      </c>
      <c r="AC1603" s="1" t="str">
        <f aca="false">IF(O1603=0,"No Discount",IF(O1603&lt;=15,"Low (1-15%)",IF(O1603&lt;=30,"Medium (16-30%)","High (&gt;30%)")))</f>
        <v>Low (1-15%)</v>
      </c>
      <c r="AD1603" s="1" t="str">
        <f aca="false">IF(V1603&lt;0,"Loss Making",IF(V1603&lt;20,"Low Margin","Healthy Margin"))</f>
        <v>Healthy Margin</v>
      </c>
      <c r="AE1603" s="1" t="str">
        <f aca="false">TEXT(DATE(VALUE(RIGHT(B1603,4)),VALUE(MID(B1603,4,2)),VALUE(LEFT(B1603,2))),"MMM-YYYY")</f>
        <v>Apr-2024</v>
      </c>
      <c r="AF1603" s="1" t="n">
        <f aca="false">VALUE(RIGHT(B1603,4))</f>
        <v>2024</v>
      </c>
      <c r="AG1603" s="1" t="str">
        <f aca="false">CHOOSE(ROUNDUP(VALUE(MID(B1603,4,2))/3,0),"Q1","Q2","Q3","Q4")</f>
        <v>Q2</v>
      </c>
    </row>
    <row r="1604" customFormat="false" ht="15" hidden="false" customHeight="true" outlineLevel="0" collapsed="false">
      <c r="A1604" s="1" t="s">
        <v>2425</v>
      </c>
      <c r="B1604" s="1" t="s">
        <v>2330</v>
      </c>
      <c r="C1604" s="1" t="s">
        <v>74</v>
      </c>
      <c r="D1604" s="1" t="s">
        <v>143</v>
      </c>
      <c r="E1604" s="1" t="s">
        <v>210</v>
      </c>
      <c r="F1604" s="1" t="s">
        <v>205</v>
      </c>
      <c r="G1604" s="1" t="s">
        <v>56</v>
      </c>
      <c r="H1604" s="1" t="s">
        <v>69</v>
      </c>
      <c r="I1604" s="1" t="s">
        <v>34</v>
      </c>
      <c r="J1604" s="1" t="s">
        <v>59</v>
      </c>
      <c r="K1604" s="1" t="s">
        <v>48</v>
      </c>
      <c r="L1604" s="1" t="s">
        <v>61</v>
      </c>
      <c r="M1604" s="1" t="s">
        <v>62</v>
      </c>
      <c r="N1604" s="1" t="n">
        <v>18999</v>
      </c>
      <c r="O1604" s="1" t="n">
        <v>10</v>
      </c>
      <c r="P1604" s="1" t="n">
        <v>1899.9</v>
      </c>
      <c r="Q1604" s="1" t="n">
        <v>17099.1</v>
      </c>
      <c r="R1604" s="1" t="n">
        <v>3077.84</v>
      </c>
      <c r="S1604" s="1" t="n">
        <v>14021.26</v>
      </c>
      <c r="T1604" s="1" t="n">
        <v>6413.64</v>
      </c>
      <c r="U1604" s="1" t="n">
        <v>7607.62</v>
      </c>
      <c r="V1604" s="1" t="n">
        <v>54.26</v>
      </c>
      <c r="W1604" s="1" t="s">
        <v>39</v>
      </c>
      <c r="Y1604" s="1" t="s">
        <v>40</v>
      </c>
      <c r="Z1604" s="1" t="n">
        <v>1</v>
      </c>
      <c r="AA1604" s="1" t="str">
        <f aca="false">TRIM(PROPER(F1604))</f>
        <v>New Delhi</v>
      </c>
      <c r="AB1604" s="1" t="str">
        <f aca="false">TRIM(PROPER(C1604))</f>
        <v>Vedantu</v>
      </c>
      <c r="AC1604" s="1" t="str">
        <f aca="false">IF(O1604=0,"No Discount",IF(O1604&lt;=15,"Low (1-15%)",IF(O1604&lt;=30,"Medium (16-30%)","High (&gt;30%)")))</f>
        <v>Low (1-15%)</v>
      </c>
      <c r="AD1604" s="1" t="str">
        <f aca="false">IF(V1604&lt;0,"Loss Making",IF(V1604&lt;20,"Low Margin","Healthy Margin"))</f>
        <v>Healthy Margin</v>
      </c>
      <c r="AE1604" s="1" t="str">
        <f aca="false">TEXT(DATE(VALUE(RIGHT(B1604,4)),VALUE(MID(B1604,4,2)),VALUE(LEFT(B1604,2))),"MMM-YYYY")</f>
        <v>Jul-2024</v>
      </c>
      <c r="AF1604" s="1" t="n">
        <f aca="false">VALUE(RIGHT(B1604,4))</f>
        <v>2024</v>
      </c>
      <c r="AG1604" s="1" t="str">
        <f aca="false">CHOOSE(ROUNDUP(VALUE(MID(B1604,4,2))/3,0),"Q1","Q2","Q3","Q4")</f>
        <v>Q3</v>
      </c>
    </row>
    <row r="1605" customFormat="false" ht="15" hidden="false" customHeight="true" outlineLevel="0" collapsed="false">
      <c r="A1605" s="1" t="s">
        <v>2426</v>
      </c>
      <c r="B1605" s="1" t="s">
        <v>787</v>
      </c>
      <c r="C1605" s="1" t="s">
        <v>74</v>
      </c>
      <c r="D1605" s="1" t="s">
        <v>123</v>
      </c>
      <c r="E1605" s="1" t="s">
        <v>147</v>
      </c>
      <c r="F1605" s="1" t="s">
        <v>140</v>
      </c>
      <c r="G1605" s="1" t="s">
        <v>97</v>
      </c>
      <c r="H1605" s="1" t="s">
        <v>57</v>
      </c>
      <c r="I1605" s="1" t="s">
        <v>83</v>
      </c>
      <c r="J1605" s="1" t="s">
        <v>77</v>
      </c>
      <c r="K1605" s="1" t="s">
        <v>84</v>
      </c>
      <c r="L1605" s="1" t="s">
        <v>136</v>
      </c>
      <c r="M1605" s="1" t="s">
        <v>50</v>
      </c>
      <c r="N1605" s="1" t="n">
        <v>6999</v>
      </c>
      <c r="O1605" s="1" t="n">
        <v>30</v>
      </c>
      <c r="P1605" s="1" t="n">
        <v>2099.7</v>
      </c>
      <c r="Q1605" s="1" t="n">
        <v>4899.3</v>
      </c>
      <c r="R1605" s="1" t="n">
        <v>881.87</v>
      </c>
      <c r="S1605" s="1" t="n">
        <v>4017.43</v>
      </c>
      <c r="T1605" s="1" t="n">
        <v>1682.06</v>
      </c>
      <c r="U1605" s="1" t="n">
        <v>2335.37</v>
      </c>
      <c r="V1605" s="1" t="n">
        <v>58.13</v>
      </c>
      <c r="W1605" s="1" t="s">
        <v>39</v>
      </c>
      <c r="X1605" s="1" t="n">
        <v>4.2</v>
      </c>
      <c r="Y1605" s="1" t="s">
        <v>40</v>
      </c>
      <c r="Z1605" s="1" t="n">
        <v>0</v>
      </c>
      <c r="AA1605" s="1" t="str">
        <f aca="false">TRIM(PROPER(F1605))</f>
        <v>Nashik</v>
      </c>
      <c r="AB1605" s="1" t="str">
        <f aca="false">TRIM(PROPER(C1605))</f>
        <v>Vedantu</v>
      </c>
      <c r="AC1605" s="1" t="str">
        <f aca="false">IF(O1605=0,"No Discount",IF(O1605&lt;=15,"Low (1-15%)",IF(O1605&lt;=30,"Medium (16-30%)","High (&gt;30%)")))</f>
        <v>Medium (16-30%)</v>
      </c>
      <c r="AD1605" s="1" t="str">
        <f aca="false">IF(V1605&lt;0,"Loss Making",IF(V1605&lt;20,"Low Margin","Healthy Margin"))</f>
        <v>Healthy Margin</v>
      </c>
      <c r="AE1605" s="1" t="str">
        <f aca="false">TEXT(DATE(VALUE(RIGHT(B1605,4)),VALUE(MID(B1605,4,2)),VALUE(LEFT(B1605,2))),"MMM-YYYY")</f>
        <v>Feb-2024</v>
      </c>
      <c r="AF1605" s="1" t="n">
        <f aca="false">VALUE(RIGHT(B1605,4))</f>
        <v>2024</v>
      </c>
      <c r="AG1605" s="1" t="str">
        <f aca="false">CHOOSE(ROUNDUP(VALUE(MID(B1605,4,2))/3,0),"Q1","Q2","Q3","Q4")</f>
        <v>Q1</v>
      </c>
    </row>
    <row r="1606" customFormat="false" ht="15" hidden="false" customHeight="true" outlineLevel="0" collapsed="false">
      <c r="A1606" s="1" t="s">
        <v>2427</v>
      </c>
      <c r="B1606" s="1" t="s">
        <v>311</v>
      </c>
      <c r="C1606" s="1" t="s">
        <v>128</v>
      </c>
      <c r="D1606" s="1" t="s">
        <v>44</v>
      </c>
      <c r="E1606" s="1" t="s">
        <v>221</v>
      </c>
      <c r="F1606" s="1" t="s">
        <v>150</v>
      </c>
      <c r="G1606" s="1" t="s">
        <v>32</v>
      </c>
      <c r="H1606" s="1" t="s">
        <v>57</v>
      </c>
      <c r="I1606" s="1" t="s">
        <v>34</v>
      </c>
      <c r="J1606" s="1" t="s">
        <v>70</v>
      </c>
      <c r="K1606" s="1" t="s">
        <v>60</v>
      </c>
      <c r="L1606" s="1" t="s">
        <v>136</v>
      </c>
      <c r="M1606" s="1" t="s">
        <v>38</v>
      </c>
      <c r="N1606" s="1" t="n">
        <v>16999</v>
      </c>
      <c r="O1606" s="1" t="n">
        <v>0</v>
      </c>
      <c r="P1606" s="1" t="n">
        <v>0</v>
      </c>
      <c r="Q1606" s="1" t="n">
        <v>16999</v>
      </c>
      <c r="R1606" s="1" t="n">
        <v>3059.82</v>
      </c>
      <c r="S1606" s="1" t="n">
        <v>13939.18</v>
      </c>
      <c r="T1606" s="1" t="n">
        <v>6505.23</v>
      </c>
      <c r="U1606" s="1" t="n">
        <v>7433.95</v>
      </c>
      <c r="V1606" s="1" t="n">
        <v>53.33</v>
      </c>
      <c r="W1606" s="1" t="s">
        <v>39</v>
      </c>
      <c r="X1606" s="1" t="n">
        <v>3.7</v>
      </c>
      <c r="Y1606" s="1" t="s">
        <v>40</v>
      </c>
      <c r="Z1606" s="1" t="n">
        <v>0</v>
      </c>
      <c r="AA1606" s="1" t="str">
        <f aca="false">TRIM(PROPER(F1606))</f>
        <v>Jaipur</v>
      </c>
      <c r="AB1606" s="1" t="str">
        <f aca="false">TRIM(PROPER(C1606))</f>
        <v>Great Learning</v>
      </c>
      <c r="AC1606" s="1" t="str">
        <f aca="false">IF(O1606=0,"No Discount",IF(O1606&lt;=15,"Low (1-15%)",IF(O1606&lt;=30,"Medium (16-30%)","High (&gt;30%)")))</f>
        <v>No Discount</v>
      </c>
      <c r="AD1606" s="1" t="str">
        <f aca="false">IF(V1606&lt;0,"Loss Making",IF(V1606&lt;20,"Low Margin","Healthy Margin"))</f>
        <v>Healthy Margin</v>
      </c>
      <c r="AE1606" s="1" t="str">
        <f aca="false">TEXT(DATE(VALUE(RIGHT(B1606,4)),VALUE(MID(B1606,4,2)),VALUE(LEFT(B1606,2))),"MMM-YYYY")</f>
        <v>Oct-2023</v>
      </c>
      <c r="AF1606" s="1" t="n">
        <f aca="false">VALUE(RIGHT(B1606,4))</f>
        <v>2023</v>
      </c>
      <c r="AG1606" s="1" t="str">
        <f aca="false">CHOOSE(ROUNDUP(VALUE(MID(B1606,4,2))/3,0),"Q1","Q2","Q3","Q4")</f>
        <v>Q4</v>
      </c>
    </row>
    <row r="1607" customFormat="false" ht="15" hidden="false" customHeight="true" outlineLevel="0" collapsed="false">
      <c r="A1607" s="1" t="s">
        <v>2428</v>
      </c>
      <c r="B1607" s="1" t="s">
        <v>1160</v>
      </c>
      <c r="C1607" s="1" t="s">
        <v>28</v>
      </c>
      <c r="D1607" s="1" t="s">
        <v>143</v>
      </c>
      <c r="E1607" s="1" t="s">
        <v>144</v>
      </c>
      <c r="F1607" s="1" t="s">
        <v>184</v>
      </c>
      <c r="G1607" s="1" t="s">
        <v>56</v>
      </c>
      <c r="H1607" s="1" t="s">
        <v>57</v>
      </c>
      <c r="I1607" s="1" t="s">
        <v>83</v>
      </c>
      <c r="J1607" s="1" t="s">
        <v>35</v>
      </c>
      <c r="K1607" s="1" t="s">
        <v>90</v>
      </c>
      <c r="L1607" s="1" t="s">
        <v>61</v>
      </c>
      <c r="M1607" s="1" t="s">
        <v>50</v>
      </c>
      <c r="N1607" s="1" t="n">
        <v>12999</v>
      </c>
      <c r="O1607" s="1" t="n">
        <v>10</v>
      </c>
      <c r="P1607" s="1" t="n">
        <v>1299.9</v>
      </c>
      <c r="Q1607" s="1" t="n">
        <v>11699.1</v>
      </c>
      <c r="R1607" s="1" t="n">
        <v>2105.84</v>
      </c>
      <c r="S1607" s="1" t="n">
        <v>9593.26</v>
      </c>
      <c r="T1607" s="1" t="n">
        <v>4891.2</v>
      </c>
      <c r="U1607" s="1" t="n">
        <v>4702.06</v>
      </c>
      <c r="V1607" s="1" t="n">
        <v>49.01</v>
      </c>
      <c r="W1607" s="1" t="s">
        <v>39</v>
      </c>
      <c r="X1607" s="1" t="n">
        <v>3.3</v>
      </c>
      <c r="Y1607" s="1" t="s">
        <v>40</v>
      </c>
      <c r="Z1607" s="1" t="n">
        <v>0</v>
      </c>
      <c r="AA1607" s="1" t="str">
        <f aca="false">TRIM(PROPER(F1607))</f>
        <v>Faridabad</v>
      </c>
      <c r="AB1607" s="1" t="str">
        <f aca="false">TRIM(PROPER(C1607))</f>
        <v>Embibe</v>
      </c>
      <c r="AC1607" s="1" t="str">
        <f aca="false">IF(O1607=0,"No Discount",IF(O1607&lt;=15,"Low (1-15%)",IF(O1607&lt;=30,"Medium (16-30%)","High (&gt;30%)")))</f>
        <v>Low (1-15%)</v>
      </c>
      <c r="AD1607" s="1" t="str">
        <f aca="false">IF(V1607&lt;0,"Loss Making",IF(V1607&lt;20,"Low Margin","Healthy Margin"))</f>
        <v>Healthy Margin</v>
      </c>
      <c r="AE1607" s="1" t="str">
        <f aca="false">TEXT(DATE(VALUE(RIGHT(B1607,4)),VALUE(MID(B1607,4,2)),VALUE(LEFT(B1607,2))),"MMM-YYYY")</f>
        <v>Jan-2023</v>
      </c>
      <c r="AF1607" s="1" t="n">
        <f aca="false">VALUE(RIGHT(B1607,4))</f>
        <v>2023</v>
      </c>
      <c r="AG1607" s="1" t="str">
        <f aca="false">CHOOSE(ROUNDUP(VALUE(MID(B1607,4,2))/3,0),"Q1","Q2","Q3","Q4")</f>
        <v>Q1</v>
      </c>
    </row>
    <row r="1608" customFormat="false" ht="15" hidden="false" customHeight="true" outlineLevel="0" collapsed="false">
      <c r="A1608" s="1" t="s">
        <v>2429</v>
      </c>
      <c r="B1608" s="1" t="s">
        <v>915</v>
      </c>
      <c r="C1608" s="1" t="s">
        <v>128</v>
      </c>
      <c r="D1608" s="1" t="s">
        <v>53</v>
      </c>
      <c r="E1608" s="1" t="s">
        <v>54</v>
      </c>
      <c r="F1608" s="1" t="s">
        <v>31</v>
      </c>
      <c r="G1608" s="1" t="s">
        <v>32</v>
      </c>
      <c r="H1608" s="1" t="s">
        <v>33</v>
      </c>
      <c r="I1608" s="1" t="s">
        <v>58</v>
      </c>
      <c r="J1608" s="1" t="s">
        <v>59</v>
      </c>
      <c r="K1608" s="1" t="s">
        <v>36</v>
      </c>
      <c r="L1608" s="1" t="s">
        <v>85</v>
      </c>
      <c r="M1608" s="1" t="s">
        <v>38</v>
      </c>
      <c r="N1608" s="1" t="n">
        <v>11999</v>
      </c>
      <c r="O1608" s="1" t="n">
        <v>0</v>
      </c>
      <c r="P1608" s="1" t="n">
        <v>0</v>
      </c>
      <c r="Q1608" s="1" t="n">
        <v>11999</v>
      </c>
      <c r="R1608" s="1" t="n">
        <v>2159.82</v>
      </c>
      <c r="S1608" s="1" t="n">
        <v>9839.18</v>
      </c>
      <c r="T1608" s="1" t="n">
        <v>4395.98</v>
      </c>
      <c r="U1608" s="1" t="n">
        <v>5443.2</v>
      </c>
      <c r="V1608" s="1" t="n">
        <v>55.32</v>
      </c>
      <c r="W1608" s="1" t="s">
        <v>39</v>
      </c>
      <c r="X1608" s="1" t="n">
        <v>4.2</v>
      </c>
      <c r="Y1608" s="1" t="s">
        <v>40</v>
      </c>
      <c r="Z1608" s="1" t="n">
        <v>1</v>
      </c>
      <c r="AA1608" s="1" t="str">
        <f aca="false">TRIM(PROPER(F1608))</f>
        <v>Jodhpur</v>
      </c>
      <c r="AB1608" s="1" t="str">
        <f aca="false">TRIM(PROPER(C1608))</f>
        <v>Great Learning</v>
      </c>
      <c r="AC1608" s="1" t="str">
        <f aca="false">IF(O1608=0,"No Discount",IF(O1608&lt;=15,"Low (1-15%)",IF(O1608&lt;=30,"Medium (16-30%)","High (&gt;30%)")))</f>
        <v>No Discount</v>
      </c>
      <c r="AD1608" s="1" t="str">
        <f aca="false">IF(V1608&lt;0,"Loss Making",IF(V1608&lt;20,"Low Margin","Healthy Margin"))</f>
        <v>Healthy Margin</v>
      </c>
      <c r="AE1608" s="1" t="str">
        <f aca="false">TEXT(DATE(VALUE(RIGHT(B1608,4)),VALUE(MID(B1608,4,2)),VALUE(LEFT(B1608,2))),"MMM-YYYY")</f>
        <v>Jun-2023</v>
      </c>
      <c r="AF1608" s="1" t="n">
        <f aca="false">VALUE(RIGHT(B1608,4))</f>
        <v>2023</v>
      </c>
      <c r="AG1608" s="1" t="str">
        <f aca="false">CHOOSE(ROUNDUP(VALUE(MID(B1608,4,2))/3,0),"Q1","Q2","Q3","Q4")</f>
        <v>Q2</v>
      </c>
    </row>
    <row r="1609" customFormat="false" ht="15" hidden="false" customHeight="true" outlineLevel="0" collapsed="false">
      <c r="A1609" s="1" t="s">
        <v>2430</v>
      </c>
      <c r="B1609" s="1" t="s">
        <v>1931</v>
      </c>
      <c r="C1609" s="1" t="s">
        <v>88</v>
      </c>
      <c r="D1609" s="1" t="s">
        <v>44</v>
      </c>
      <c r="E1609" s="1" t="s">
        <v>45</v>
      </c>
      <c r="F1609" s="1" t="s">
        <v>96</v>
      </c>
      <c r="G1609" s="1" t="s">
        <v>97</v>
      </c>
      <c r="H1609" s="1" t="s">
        <v>69</v>
      </c>
      <c r="I1609" s="1" t="s">
        <v>34</v>
      </c>
      <c r="J1609" s="1" t="s">
        <v>70</v>
      </c>
      <c r="K1609" s="1" t="s">
        <v>84</v>
      </c>
      <c r="L1609" s="1" t="s">
        <v>61</v>
      </c>
      <c r="M1609" s="1" t="s">
        <v>50</v>
      </c>
      <c r="N1609" s="1" t="n">
        <v>11999</v>
      </c>
      <c r="O1609" s="1" t="n">
        <v>10</v>
      </c>
      <c r="P1609" s="1" t="n">
        <v>1199.9</v>
      </c>
      <c r="Q1609" s="1" t="n">
        <v>10799.1</v>
      </c>
      <c r="R1609" s="1" t="n">
        <v>1943.84</v>
      </c>
      <c r="S1609" s="1" t="n">
        <v>8855.26</v>
      </c>
      <c r="T1609" s="1" t="n">
        <v>3019.21</v>
      </c>
      <c r="U1609" s="1" t="n">
        <v>5836.05</v>
      </c>
      <c r="V1609" s="1" t="n">
        <v>65.9</v>
      </c>
      <c r="W1609" s="1" t="s">
        <v>40</v>
      </c>
      <c r="Y1609" s="1" t="s">
        <v>40</v>
      </c>
      <c r="Z1609" s="1" t="n">
        <v>0</v>
      </c>
      <c r="AA1609" s="1" t="str">
        <f aca="false">TRIM(PROPER(F1609))</f>
        <v>Pune</v>
      </c>
      <c r="AB1609" s="1" t="str">
        <f aca="false">TRIM(PROPER(C1609))</f>
        <v>Byju'S</v>
      </c>
      <c r="AC1609" s="1" t="str">
        <f aca="false">IF(O1609=0,"No Discount",IF(O1609&lt;=15,"Low (1-15%)",IF(O1609&lt;=30,"Medium (16-30%)","High (&gt;30%)")))</f>
        <v>Low (1-15%)</v>
      </c>
      <c r="AD1609" s="1" t="str">
        <f aca="false">IF(V1609&lt;0,"Loss Making",IF(V1609&lt;20,"Low Margin","Healthy Margin"))</f>
        <v>Healthy Margin</v>
      </c>
      <c r="AE1609" s="1" t="str">
        <f aca="false">TEXT(DATE(VALUE(RIGHT(B1609,4)),VALUE(MID(B1609,4,2)),VALUE(LEFT(B1609,2))),"MMM-YYYY")</f>
        <v>Feb-2024</v>
      </c>
      <c r="AF1609" s="1" t="n">
        <f aca="false">VALUE(RIGHT(B1609,4))</f>
        <v>2024</v>
      </c>
      <c r="AG1609" s="1" t="str">
        <f aca="false">CHOOSE(ROUNDUP(VALUE(MID(B1609,4,2))/3,0),"Q1","Q2","Q3","Q4")</f>
        <v>Q1</v>
      </c>
    </row>
    <row r="1610" customFormat="false" ht="15" hidden="false" customHeight="true" outlineLevel="0" collapsed="false">
      <c r="A1610" s="1" t="s">
        <v>2431</v>
      </c>
      <c r="B1610" s="1" t="s">
        <v>847</v>
      </c>
      <c r="C1610" s="1" t="s">
        <v>100</v>
      </c>
      <c r="D1610" s="1" t="s">
        <v>123</v>
      </c>
      <c r="E1610" s="1" t="s">
        <v>147</v>
      </c>
      <c r="F1610" s="1" t="s">
        <v>120</v>
      </c>
      <c r="G1610" s="1" t="s">
        <v>47</v>
      </c>
      <c r="H1610" s="1" t="s">
        <v>57</v>
      </c>
      <c r="I1610" s="1" t="s">
        <v>58</v>
      </c>
      <c r="J1610" s="1" t="s">
        <v>77</v>
      </c>
      <c r="K1610" s="1" t="s">
        <v>90</v>
      </c>
      <c r="L1610" s="1" t="s">
        <v>136</v>
      </c>
      <c r="M1610" s="1" t="s">
        <v>38</v>
      </c>
      <c r="N1610" s="1" t="n">
        <v>6999</v>
      </c>
      <c r="O1610" s="1" t="n">
        <v>40</v>
      </c>
      <c r="P1610" s="1" t="n">
        <v>2799.6</v>
      </c>
      <c r="Q1610" s="1" t="n">
        <v>4199.4</v>
      </c>
      <c r="R1610" s="1" t="n">
        <v>755.89</v>
      </c>
      <c r="S1610" s="1" t="n">
        <v>3443.51</v>
      </c>
      <c r="T1610" s="1" t="n">
        <v>1907.7</v>
      </c>
      <c r="U1610" s="1" t="n">
        <v>1535.81</v>
      </c>
      <c r="V1610" s="1" t="n">
        <v>44.6</v>
      </c>
      <c r="W1610" s="1" t="s">
        <v>39</v>
      </c>
      <c r="Y1610" s="1" t="s">
        <v>40</v>
      </c>
      <c r="Z1610" s="1" t="n">
        <v>0</v>
      </c>
      <c r="AA1610" s="1" t="str">
        <f aca="false">TRIM(PROPER(F1610))</f>
        <v>Mysuru</v>
      </c>
      <c r="AB1610" s="1" t="str">
        <f aca="false">TRIM(PROPER(C1610))</f>
        <v>Physics Wallah</v>
      </c>
      <c r="AC1610" s="1" t="str">
        <f aca="false">IF(O1610=0,"No Discount",IF(O1610&lt;=15,"Low (1-15%)",IF(O1610&lt;=30,"Medium (16-30%)","High (&gt;30%)")))</f>
        <v>High (&gt;30%)</v>
      </c>
      <c r="AD1610" s="1" t="str">
        <f aca="false">IF(V1610&lt;0,"Loss Making",IF(V1610&lt;20,"Low Margin","Healthy Margin"))</f>
        <v>Healthy Margin</v>
      </c>
      <c r="AE1610" s="1" t="str">
        <f aca="false">TEXT(DATE(VALUE(RIGHT(B1610,4)),VALUE(MID(B1610,4,2)),VALUE(LEFT(B1610,2))),"MMM-YYYY")</f>
        <v>Jun-2023</v>
      </c>
      <c r="AF1610" s="1" t="n">
        <f aca="false">VALUE(RIGHT(B1610,4))</f>
        <v>2023</v>
      </c>
      <c r="AG1610" s="1" t="str">
        <f aca="false">CHOOSE(ROUNDUP(VALUE(MID(B1610,4,2))/3,0),"Q1","Q2","Q3","Q4")</f>
        <v>Q2</v>
      </c>
    </row>
    <row r="1611" customFormat="false" ht="15" hidden="false" customHeight="true" outlineLevel="0" collapsed="false">
      <c r="A1611" s="1" t="s">
        <v>2432</v>
      </c>
      <c r="B1611" s="1" t="s">
        <v>177</v>
      </c>
      <c r="C1611" s="1" t="s">
        <v>93</v>
      </c>
      <c r="D1611" s="1" t="s">
        <v>143</v>
      </c>
      <c r="E1611" s="1" t="s">
        <v>162</v>
      </c>
      <c r="F1611" s="1" t="s">
        <v>187</v>
      </c>
      <c r="G1611" s="1" t="s">
        <v>97</v>
      </c>
      <c r="H1611" s="1" t="s">
        <v>69</v>
      </c>
      <c r="I1611" s="1" t="s">
        <v>58</v>
      </c>
      <c r="J1611" s="1" t="s">
        <v>59</v>
      </c>
      <c r="K1611" s="1" t="s">
        <v>60</v>
      </c>
      <c r="L1611" s="1" t="s">
        <v>85</v>
      </c>
      <c r="M1611" s="1" t="s">
        <v>38</v>
      </c>
      <c r="N1611" s="1" t="n">
        <v>14999</v>
      </c>
      <c r="O1611" s="1" t="n">
        <v>40</v>
      </c>
      <c r="P1611" s="1" t="n">
        <v>5999.6</v>
      </c>
      <c r="Q1611" s="1" t="n">
        <v>8999.4</v>
      </c>
      <c r="R1611" s="1" t="n">
        <v>1619.89</v>
      </c>
      <c r="S1611" s="1" t="n">
        <v>7379.51</v>
      </c>
      <c r="T1611" s="1" t="n">
        <v>3177.02</v>
      </c>
      <c r="U1611" s="1" t="n">
        <v>4202.49</v>
      </c>
      <c r="V1611" s="1" t="n">
        <v>56.95</v>
      </c>
      <c r="W1611" s="1" t="s">
        <v>40</v>
      </c>
      <c r="Y1611" s="1" t="s">
        <v>40</v>
      </c>
      <c r="Z1611" s="1" t="n">
        <v>1</v>
      </c>
      <c r="AA1611" s="1" t="str">
        <f aca="false">TRIM(PROPER(F1611))</f>
        <v>Mumbai</v>
      </c>
      <c r="AB1611" s="1" t="str">
        <f aca="false">TRIM(PROPER(C1611))</f>
        <v>Upgrad</v>
      </c>
      <c r="AC1611" s="1" t="str">
        <f aca="false">IF(O1611=0,"No Discount",IF(O1611&lt;=15,"Low (1-15%)",IF(O1611&lt;=30,"Medium (16-30%)","High (&gt;30%)")))</f>
        <v>High (&gt;30%)</v>
      </c>
      <c r="AD1611" s="1" t="str">
        <f aca="false">IF(V1611&lt;0,"Loss Making",IF(V1611&lt;20,"Low Margin","Healthy Margin"))</f>
        <v>Healthy Margin</v>
      </c>
      <c r="AE1611" s="1" t="str">
        <f aca="false">TEXT(DATE(VALUE(RIGHT(B1611,4)),VALUE(MID(B1611,4,2)),VALUE(LEFT(B1611,2))),"MMM-YYYY")</f>
        <v>Jul-2024</v>
      </c>
      <c r="AF1611" s="1" t="n">
        <f aca="false">VALUE(RIGHT(B1611,4))</f>
        <v>2024</v>
      </c>
      <c r="AG1611" s="1" t="str">
        <f aca="false">CHOOSE(ROUNDUP(VALUE(MID(B1611,4,2))/3,0),"Q1","Q2","Q3","Q4")</f>
        <v>Q3</v>
      </c>
    </row>
    <row r="1612" customFormat="false" ht="15" hidden="false" customHeight="true" outlineLevel="0" collapsed="false">
      <c r="A1612" s="1" t="s">
        <v>2433</v>
      </c>
      <c r="B1612" s="1" t="s">
        <v>209</v>
      </c>
      <c r="C1612" s="1" t="s">
        <v>139</v>
      </c>
      <c r="D1612" s="1" t="s">
        <v>123</v>
      </c>
      <c r="E1612" s="1" t="s">
        <v>124</v>
      </c>
      <c r="F1612" s="1" t="s">
        <v>244</v>
      </c>
      <c r="G1612" s="1" t="s">
        <v>97</v>
      </c>
      <c r="H1612" s="1" t="s">
        <v>57</v>
      </c>
      <c r="I1612" s="1" t="s">
        <v>83</v>
      </c>
      <c r="J1612" s="1" t="s">
        <v>77</v>
      </c>
      <c r="K1612" s="1" t="s">
        <v>48</v>
      </c>
      <c r="L1612" s="1" t="s">
        <v>61</v>
      </c>
      <c r="M1612" s="1" t="s">
        <v>62</v>
      </c>
      <c r="N1612" s="1" t="n">
        <v>4999</v>
      </c>
      <c r="O1612" s="1" t="n">
        <v>20</v>
      </c>
      <c r="P1612" s="1" t="n">
        <v>999.8</v>
      </c>
      <c r="Q1612" s="1" t="n">
        <v>3999.2</v>
      </c>
      <c r="R1612" s="1" t="n">
        <v>719.86</v>
      </c>
      <c r="S1612" s="1" t="n">
        <v>3279.34</v>
      </c>
      <c r="T1612" s="1" t="n">
        <v>1348.38</v>
      </c>
      <c r="U1612" s="1" t="n">
        <v>1930.96</v>
      </c>
      <c r="V1612" s="1" t="n">
        <v>58.88</v>
      </c>
      <c r="W1612" s="1" t="s">
        <v>39</v>
      </c>
      <c r="X1612" s="1" t="n">
        <v>3.2</v>
      </c>
      <c r="Y1612" s="1" t="s">
        <v>40</v>
      </c>
      <c r="Z1612" s="1" t="n">
        <v>1</v>
      </c>
      <c r="AA1612" s="1" t="str">
        <f aca="false">TRIM(PROPER(F1612))</f>
        <v>Nagpur</v>
      </c>
      <c r="AB1612" s="1" t="str">
        <f aca="false">TRIM(PROPER(C1612))</f>
        <v>Extramarks</v>
      </c>
      <c r="AC1612" s="1" t="str">
        <f aca="false">IF(O1612=0,"No Discount",IF(O1612&lt;=15,"Low (1-15%)",IF(O1612&lt;=30,"Medium (16-30%)","High (&gt;30%)")))</f>
        <v>Medium (16-30%)</v>
      </c>
      <c r="AD1612" s="1" t="str">
        <f aca="false">IF(V1612&lt;0,"Loss Making",IF(V1612&lt;20,"Low Margin","Healthy Margin"))</f>
        <v>Healthy Margin</v>
      </c>
      <c r="AE1612" s="1" t="str">
        <f aca="false">TEXT(DATE(VALUE(RIGHT(B1612,4)),VALUE(MID(B1612,4,2)),VALUE(LEFT(B1612,2))),"MMM-YYYY")</f>
        <v>Mar-2024</v>
      </c>
      <c r="AF1612" s="1" t="n">
        <f aca="false">VALUE(RIGHT(B1612,4))</f>
        <v>2024</v>
      </c>
      <c r="AG1612" s="1" t="str">
        <f aca="false">CHOOSE(ROUNDUP(VALUE(MID(B1612,4,2))/3,0),"Q1","Q2","Q3","Q4")</f>
        <v>Q1</v>
      </c>
    </row>
    <row r="1613" customFormat="false" ht="15" hidden="false" customHeight="true" outlineLevel="0" collapsed="false">
      <c r="A1613" s="1" t="s">
        <v>2434</v>
      </c>
      <c r="B1613" s="1" t="s">
        <v>2435</v>
      </c>
      <c r="C1613" s="1" t="s">
        <v>249</v>
      </c>
      <c r="D1613" s="1" t="s">
        <v>143</v>
      </c>
      <c r="E1613" s="1" t="s">
        <v>162</v>
      </c>
      <c r="F1613" s="1" t="s">
        <v>96</v>
      </c>
      <c r="G1613" s="1" t="s">
        <v>97</v>
      </c>
      <c r="H1613" s="1" t="s">
        <v>69</v>
      </c>
      <c r="I1613" s="1" t="s">
        <v>58</v>
      </c>
      <c r="J1613" s="1" t="s">
        <v>59</v>
      </c>
      <c r="K1613" s="1" t="s">
        <v>60</v>
      </c>
      <c r="L1613" s="1" t="s">
        <v>37</v>
      </c>
      <c r="M1613" s="1" t="s">
        <v>38</v>
      </c>
      <c r="N1613" s="1" t="n">
        <v>14999</v>
      </c>
      <c r="O1613" s="1" t="n">
        <v>25</v>
      </c>
      <c r="P1613" s="1" t="n">
        <v>3749.75</v>
      </c>
      <c r="Q1613" s="1" t="n">
        <v>11249.25</v>
      </c>
      <c r="R1613" s="1" t="n">
        <v>2024.87</v>
      </c>
      <c r="S1613" s="1" t="n">
        <v>9224.38</v>
      </c>
      <c r="T1613" s="1" t="n">
        <v>3316.35</v>
      </c>
      <c r="U1613" s="1" t="n">
        <v>5908.03</v>
      </c>
      <c r="V1613" s="1" t="n">
        <v>64.05</v>
      </c>
      <c r="W1613" s="1" t="s">
        <v>39</v>
      </c>
      <c r="X1613" s="1" t="n">
        <v>3.5</v>
      </c>
      <c r="Y1613" s="1" t="s">
        <v>40</v>
      </c>
      <c r="Z1613" s="1" t="n">
        <v>0</v>
      </c>
      <c r="AA1613" s="1" t="str">
        <f aca="false">TRIM(PROPER(F1613))</f>
        <v>Pune</v>
      </c>
      <c r="AB1613" s="1" t="str">
        <f aca="false">TRIM(PROPER(C1613))</f>
        <v>Whitehat Jr</v>
      </c>
      <c r="AC1613" s="1" t="str">
        <f aca="false">IF(O1613=0,"No Discount",IF(O1613&lt;=15,"Low (1-15%)",IF(O1613&lt;=30,"Medium (16-30%)","High (&gt;30%)")))</f>
        <v>Medium (16-30%)</v>
      </c>
      <c r="AD1613" s="1" t="str">
        <f aca="false">IF(V1613&lt;0,"Loss Making",IF(V1613&lt;20,"Low Margin","Healthy Margin"))</f>
        <v>Healthy Margin</v>
      </c>
      <c r="AE1613" s="1" t="str">
        <f aca="false">TEXT(DATE(VALUE(RIGHT(B1613,4)),VALUE(MID(B1613,4,2)),VALUE(LEFT(B1613,2))),"MMM-YYYY")</f>
        <v>Feb-2023</v>
      </c>
      <c r="AF1613" s="1" t="n">
        <f aca="false">VALUE(RIGHT(B1613,4))</f>
        <v>2023</v>
      </c>
      <c r="AG1613" s="1" t="str">
        <f aca="false">CHOOSE(ROUNDUP(VALUE(MID(B1613,4,2))/3,0),"Q1","Q2","Q3","Q4")</f>
        <v>Q1</v>
      </c>
    </row>
    <row r="1614" customFormat="false" ht="15" hidden="false" customHeight="true" outlineLevel="0" collapsed="false">
      <c r="A1614" s="1" t="s">
        <v>2436</v>
      </c>
      <c r="B1614" s="1" t="s">
        <v>1625</v>
      </c>
      <c r="C1614" s="1" t="s">
        <v>119</v>
      </c>
      <c r="D1614" s="1" t="s">
        <v>168</v>
      </c>
      <c r="E1614" s="1" t="s">
        <v>172</v>
      </c>
      <c r="F1614" s="1" t="s">
        <v>120</v>
      </c>
      <c r="G1614" s="1" t="s">
        <v>47</v>
      </c>
      <c r="H1614" s="1" t="s">
        <v>57</v>
      </c>
      <c r="I1614" s="1" t="s">
        <v>58</v>
      </c>
      <c r="J1614" s="1" t="s">
        <v>131</v>
      </c>
      <c r="K1614" s="1" t="s">
        <v>90</v>
      </c>
      <c r="L1614" s="1" t="s">
        <v>61</v>
      </c>
      <c r="M1614" s="1" t="s">
        <v>38</v>
      </c>
      <c r="N1614" s="1" t="n">
        <v>6999</v>
      </c>
      <c r="O1614" s="1" t="n">
        <v>20</v>
      </c>
      <c r="P1614" s="1" t="n">
        <v>1399.8</v>
      </c>
      <c r="Q1614" s="1" t="n">
        <v>5599.2</v>
      </c>
      <c r="R1614" s="1" t="n">
        <v>1007.86</v>
      </c>
      <c r="S1614" s="1" t="n">
        <v>4591.34</v>
      </c>
      <c r="T1614" s="1" t="n">
        <v>1999.19</v>
      </c>
      <c r="U1614" s="1" t="n">
        <v>2592.15</v>
      </c>
      <c r="V1614" s="1" t="n">
        <v>56.46</v>
      </c>
      <c r="W1614" s="1" t="s">
        <v>39</v>
      </c>
      <c r="X1614" s="1" t="n">
        <v>3.4</v>
      </c>
      <c r="Y1614" s="1" t="s">
        <v>39</v>
      </c>
      <c r="Z1614" s="1" t="n">
        <v>0</v>
      </c>
      <c r="AA1614" s="1" t="str">
        <f aca="false">TRIM(PROPER(F1614))</f>
        <v>Mysuru</v>
      </c>
      <c r="AB1614" s="1" t="str">
        <f aca="false">TRIM(PROPER(C1614))</f>
        <v>Simplilearn</v>
      </c>
      <c r="AC1614" s="1" t="str">
        <f aca="false">IF(O1614=0,"No Discount",IF(O1614&lt;=15,"Low (1-15%)",IF(O1614&lt;=30,"Medium (16-30%)","High (&gt;30%)")))</f>
        <v>Medium (16-30%)</v>
      </c>
      <c r="AD1614" s="1" t="str">
        <f aca="false">IF(V1614&lt;0,"Loss Making",IF(V1614&lt;20,"Low Margin","Healthy Margin"))</f>
        <v>Healthy Margin</v>
      </c>
      <c r="AE1614" s="1" t="str">
        <f aca="false">TEXT(DATE(VALUE(RIGHT(B1614,4)),VALUE(MID(B1614,4,2)),VALUE(LEFT(B1614,2))),"MMM-YYYY")</f>
        <v>Sep-2023</v>
      </c>
      <c r="AF1614" s="1" t="n">
        <f aca="false">VALUE(RIGHT(B1614,4))</f>
        <v>2023</v>
      </c>
      <c r="AG1614" s="1" t="str">
        <f aca="false">CHOOSE(ROUNDUP(VALUE(MID(B1614,4,2))/3,0),"Q1","Q2","Q3","Q4")</f>
        <v>Q3</v>
      </c>
    </row>
    <row r="1615" customFormat="false" ht="15" hidden="false" customHeight="true" outlineLevel="0" collapsed="false">
      <c r="A1615" s="1" t="s">
        <v>2437</v>
      </c>
      <c r="B1615" s="1" t="s">
        <v>92</v>
      </c>
      <c r="C1615" s="1" t="s">
        <v>119</v>
      </c>
      <c r="D1615" s="1" t="s">
        <v>44</v>
      </c>
      <c r="E1615" s="1" t="s">
        <v>221</v>
      </c>
      <c r="F1615" s="1" t="s">
        <v>67</v>
      </c>
      <c r="G1615" s="1" t="s">
        <v>68</v>
      </c>
      <c r="H1615" s="1" t="s">
        <v>69</v>
      </c>
      <c r="I1615" s="1" t="s">
        <v>34</v>
      </c>
      <c r="J1615" s="1" t="s">
        <v>131</v>
      </c>
      <c r="K1615" s="1" t="s">
        <v>48</v>
      </c>
      <c r="L1615" s="1" t="s">
        <v>136</v>
      </c>
      <c r="M1615" s="1" t="s">
        <v>38</v>
      </c>
      <c r="N1615" s="1" t="n">
        <v>16999</v>
      </c>
      <c r="O1615" s="1" t="n">
        <v>15</v>
      </c>
      <c r="P1615" s="1" t="n">
        <v>2549.85</v>
      </c>
      <c r="Q1615" s="1" t="n">
        <v>14449.15</v>
      </c>
      <c r="R1615" s="1" t="n">
        <v>2600.85</v>
      </c>
      <c r="S1615" s="1" t="n">
        <v>11848.3</v>
      </c>
      <c r="T1615" s="1" t="n">
        <v>4127.97</v>
      </c>
      <c r="U1615" s="1" t="n">
        <v>7720.33</v>
      </c>
      <c r="V1615" s="1" t="n">
        <v>65.16</v>
      </c>
      <c r="W1615" s="1" t="s">
        <v>39</v>
      </c>
      <c r="X1615" s="1" t="n">
        <v>3.4</v>
      </c>
      <c r="Y1615" s="1" t="s">
        <v>40</v>
      </c>
      <c r="Z1615" s="1" t="n">
        <v>0</v>
      </c>
      <c r="AA1615" s="1" t="str">
        <f aca="false">TRIM(PROPER(F1615))</f>
        <v>Ahmedabad</v>
      </c>
      <c r="AB1615" s="1" t="str">
        <f aca="false">TRIM(PROPER(C1615))</f>
        <v>Simplilearn</v>
      </c>
      <c r="AC1615" s="1" t="str">
        <f aca="false">IF(O1615=0,"No Discount",IF(O1615&lt;=15,"Low (1-15%)",IF(O1615&lt;=30,"Medium (16-30%)","High (&gt;30%)")))</f>
        <v>Low (1-15%)</v>
      </c>
      <c r="AD1615" s="1" t="str">
        <f aca="false">IF(V1615&lt;0,"Loss Making",IF(V1615&lt;20,"Low Margin","Healthy Margin"))</f>
        <v>Healthy Margin</v>
      </c>
      <c r="AE1615" s="1" t="str">
        <f aca="false">TEXT(DATE(VALUE(RIGHT(B1615,4)),VALUE(MID(B1615,4,2)),VALUE(LEFT(B1615,2))),"MMM-YYYY")</f>
        <v>Jan-2024</v>
      </c>
      <c r="AF1615" s="1" t="n">
        <f aca="false">VALUE(RIGHT(B1615,4))</f>
        <v>2024</v>
      </c>
      <c r="AG1615" s="1" t="str">
        <f aca="false">CHOOSE(ROUNDUP(VALUE(MID(B1615,4,2))/3,0),"Q1","Q2","Q3","Q4")</f>
        <v>Q1</v>
      </c>
    </row>
    <row r="1616" customFormat="false" ht="15" hidden="false" customHeight="true" outlineLevel="0" collapsed="false">
      <c r="A1616" s="1" t="s">
        <v>2438</v>
      </c>
      <c r="B1616" s="1" t="s">
        <v>296</v>
      </c>
      <c r="C1616" s="1" t="s">
        <v>28</v>
      </c>
      <c r="D1616" s="1" t="s">
        <v>143</v>
      </c>
      <c r="E1616" s="1" t="s">
        <v>162</v>
      </c>
      <c r="F1616" s="1" t="s">
        <v>107</v>
      </c>
      <c r="G1616" s="1" t="s">
        <v>108</v>
      </c>
      <c r="H1616" s="1" t="s">
        <v>33</v>
      </c>
      <c r="I1616" s="1" t="s">
        <v>58</v>
      </c>
      <c r="J1616" s="1" t="s">
        <v>59</v>
      </c>
      <c r="K1616" s="1" t="s">
        <v>104</v>
      </c>
      <c r="L1616" s="1" t="s">
        <v>49</v>
      </c>
      <c r="M1616" s="1" t="s">
        <v>62</v>
      </c>
      <c r="N1616" s="1" t="n">
        <v>14999</v>
      </c>
      <c r="O1616" s="1" t="n">
        <v>30</v>
      </c>
      <c r="P1616" s="1" t="n">
        <v>4499.7</v>
      </c>
      <c r="Q1616" s="1" t="n">
        <v>10499.3</v>
      </c>
      <c r="R1616" s="1" t="n">
        <v>1889.87</v>
      </c>
      <c r="S1616" s="1" t="n">
        <v>8609.43</v>
      </c>
      <c r="T1616" s="1" t="n">
        <v>3963.56</v>
      </c>
      <c r="U1616" s="1" t="n">
        <v>4645.87</v>
      </c>
      <c r="V1616" s="1" t="n">
        <v>53.96</v>
      </c>
      <c r="W1616" s="1" t="s">
        <v>39</v>
      </c>
      <c r="Y1616" s="1" t="s">
        <v>40</v>
      </c>
      <c r="Z1616" s="1" t="n">
        <v>0</v>
      </c>
      <c r="AA1616" s="1" t="str">
        <f aca="false">TRIM(PROPER(F1616))</f>
        <v>Madurai</v>
      </c>
      <c r="AB1616" s="1" t="str">
        <f aca="false">TRIM(PROPER(C1616))</f>
        <v>Embibe</v>
      </c>
      <c r="AC1616" s="1" t="str">
        <f aca="false">IF(O1616=0,"No Discount",IF(O1616&lt;=15,"Low (1-15%)",IF(O1616&lt;=30,"Medium (16-30%)","High (&gt;30%)")))</f>
        <v>Medium (16-30%)</v>
      </c>
      <c r="AD1616" s="1" t="str">
        <f aca="false">IF(V1616&lt;0,"Loss Making",IF(V1616&lt;20,"Low Margin","Healthy Margin"))</f>
        <v>Healthy Margin</v>
      </c>
      <c r="AE1616" s="1" t="str">
        <f aca="false">TEXT(DATE(VALUE(RIGHT(B1616,4)),VALUE(MID(B1616,4,2)),VALUE(LEFT(B1616,2))),"MMM-YYYY")</f>
        <v>Jun-2023</v>
      </c>
      <c r="AF1616" s="1" t="n">
        <f aca="false">VALUE(RIGHT(B1616,4))</f>
        <v>2023</v>
      </c>
      <c r="AG1616" s="1" t="str">
        <f aca="false">CHOOSE(ROUNDUP(VALUE(MID(B1616,4,2))/3,0),"Q1","Q2","Q3","Q4")</f>
        <v>Q2</v>
      </c>
    </row>
    <row r="1617" customFormat="false" ht="15" hidden="false" customHeight="true" outlineLevel="0" collapsed="false">
      <c r="A1617" s="1" t="s">
        <v>2439</v>
      </c>
      <c r="B1617" s="1" t="s">
        <v>2440</v>
      </c>
      <c r="C1617" s="1" t="s">
        <v>178</v>
      </c>
      <c r="D1617" s="1" t="s">
        <v>143</v>
      </c>
      <c r="E1617" s="1" t="s">
        <v>162</v>
      </c>
      <c r="F1617" s="1" t="s">
        <v>75</v>
      </c>
      <c r="G1617" s="1" t="s">
        <v>76</v>
      </c>
      <c r="H1617" s="1" t="s">
        <v>69</v>
      </c>
      <c r="I1617" s="1" t="s">
        <v>83</v>
      </c>
      <c r="J1617" s="1" t="s">
        <v>131</v>
      </c>
      <c r="K1617" s="1" t="s">
        <v>90</v>
      </c>
      <c r="L1617" s="1" t="s">
        <v>49</v>
      </c>
      <c r="M1617" s="1" t="s">
        <v>38</v>
      </c>
      <c r="N1617" s="1" t="n">
        <v>14999</v>
      </c>
      <c r="O1617" s="1" t="n">
        <v>5</v>
      </c>
      <c r="P1617" s="1" t="n">
        <v>749.95</v>
      </c>
      <c r="Q1617" s="1" t="n">
        <v>14249.05</v>
      </c>
      <c r="R1617" s="1" t="n">
        <v>2564.83</v>
      </c>
      <c r="S1617" s="1" t="n">
        <v>11684.22</v>
      </c>
      <c r="T1617" s="1" t="n">
        <v>4121.55</v>
      </c>
      <c r="U1617" s="1" t="n">
        <v>7562.67</v>
      </c>
      <c r="V1617" s="1" t="n">
        <v>64.73</v>
      </c>
      <c r="W1617" s="1" t="s">
        <v>40</v>
      </c>
      <c r="Y1617" s="1" t="s">
        <v>40</v>
      </c>
      <c r="Z1617" s="1" t="n">
        <v>0</v>
      </c>
      <c r="AA1617" s="1" t="str">
        <f aca="false">TRIM(PROPER(F1617))</f>
        <v>Kolkata</v>
      </c>
      <c r="AB1617" s="1" t="str">
        <f aca="false">TRIM(PROPER(C1617))</f>
        <v>Leverage Edu</v>
      </c>
      <c r="AC1617" s="1" t="str">
        <f aca="false">IF(O1617=0,"No Discount",IF(O1617&lt;=15,"Low (1-15%)",IF(O1617&lt;=30,"Medium (16-30%)","High (&gt;30%)")))</f>
        <v>Low (1-15%)</v>
      </c>
      <c r="AD1617" s="1" t="str">
        <f aca="false">IF(V1617&lt;0,"Loss Making",IF(V1617&lt;20,"Low Margin","Healthy Margin"))</f>
        <v>Healthy Margin</v>
      </c>
      <c r="AE1617" s="1" t="str">
        <f aca="false">TEXT(DATE(VALUE(RIGHT(B1617,4)),VALUE(MID(B1617,4,2)),VALUE(LEFT(B1617,2))),"MMM-YYYY")</f>
        <v>Sep-2023</v>
      </c>
      <c r="AF1617" s="1" t="n">
        <f aca="false">VALUE(RIGHT(B1617,4))</f>
        <v>2023</v>
      </c>
      <c r="AG1617" s="1" t="str">
        <f aca="false">CHOOSE(ROUNDUP(VALUE(MID(B1617,4,2))/3,0),"Q1","Q2","Q3","Q4")</f>
        <v>Q3</v>
      </c>
    </row>
    <row r="1618" customFormat="false" ht="15" hidden="false" customHeight="true" outlineLevel="0" collapsed="false">
      <c r="A1618" s="1" t="s">
        <v>2441</v>
      </c>
      <c r="B1618" s="1" t="s">
        <v>1721</v>
      </c>
      <c r="C1618" s="1" t="s">
        <v>167</v>
      </c>
      <c r="D1618" s="1" t="s">
        <v>123</v>
      </c>
      <c r="E1618" s="1" t="s">
        <v>147</v>
      </c>
      <c r="F1618" s="1" t="s">
        <v>244</v>
      </c>
      <c r="G1618" s="1" t="s">
        <v>97</v>
      </c>
      <c r="H1618" s="1" t="s">
        <v>57</v>
      </c>
      <c r="I1618" s="1" t="s">
        <v>34</v>
      </c>
      <c r="J1618" s="1" t="s">
        <v>131</v>
      </c>
      <c r="K1618" s="1" t="s">
        <v>48</v>
      </c>
      <c r="L1618" s="1" t="s">
        <v>136</v>
      </c>
      <c r="M1618" s="1" t="s">
        <v>38</v>
      </c>
      <c r="N1618" s="1" t="n">
        <v>6999</v>
      </c>
      <c r="O1618" s="1" t="n">
        <v>50</v>
      </c>
      <c r="P1618" s="1" t="n">
        <v>3499.5</v>
      </c>
      <c r="Q1618" s="1" t="n">
        <v>3499.5</v>
      </c>
      <c r="R1618" s="1" t="n">
        <v>629.91</v>
      </c>
      <c r="S1618" s="1" t="n">
        <v>2869.59</v>
      </c>
      <c r="T1618" s="1" t="n">
        <v>1561.39</v>
      </c>
      <c r="U1618" s="1" t="n">
        <v>1308.2</v>
      </c>
      <c r="V1618" s="1" t="n">
        <v>45.59</v>
      </c>
      <c r="W1618" s="1" t="s">
        <v>40</v>
      </c>
      <c r="Y1618" s="1" t="s">
        <v>40</v>
      </c>
      <c r="Z1618" s="1" t="n">
        <v>2</v>
      </c>
      <c r="AA1618" s="1" t="str">
        <f aca="false">TRIM(PROPER(F1618))</f>
        <v>Nagpur</v>
      </c>
      <c r="AB1618" s="1" t="str">
        <f aca="false">TRIM(PROPER(C1618))</f>
        <v>Scaler</v>
      </c>
      <c r="AC1618" s="1" t="str">
        <f aca="false">IF(O1618=0,"No Discount",IF(O1618&lt;=15,"Low (1-15%)",IF(O1618&lt;=30,"Medium (16-30%)","High (&gt;30%)")))</f>
        <v>High (&gt;30%)</v>
      </c>
      <c r="AD1618" s="1" t="str">
        <f aca="false">IF(V1618&lt;0,"Loss Making",IF(V1618&lt;20,"Low Margin","Healthy Margin"))</f>
        <v>Healthy Margin</v>
      </c>
      <c r="AE1618" s="1" t="str">
        <f aca="false">TEXT(DATE(VALUE(RIGHT(B1618,4)),VALUE(MID(B1618,4,2)),VALUE(LEFT(B1618,2))),"MMM-YYYY")</f>
        <v>Apr-2024</v>
      </c>
      <c r="AF1618" s="1" t="n">
        <f aca="false">VALUE(RIGHT(B1618,4))</f>
        <v>2024</v>
      </c>
      <c r="AG1618" s="1" t="str">
        <f aca="false">CHOOSE(ROUNDUP(VALUE(MID(B1618,4,2))/3,0),"Q1","Q2","Q3","Q4")</f>
        <v>Q2</v>
      </c>
    </row>
    <row r="1619" customFormat="false" ht="15" hidden="false" customHeight="true" outlineLevel="0" collapsed="false">
      <c r="A1619" s="1" t="s">
        <v>2442</v>
      </c>
      <c r="B1619" s="1" t="s">
        <v>913</v>
      </c>
      <c r="C1619" s="1" t="s">
        <v>119</v>
      </c>
      <c r="D1619" s="1" t="s">
        <v>123</v>
      </c>
      <c r="E1619" s="1" t="s">
        <v>147</v>
      </c>
      <c r="F1619" s="1" t="s">
        <v>156</v>
      </c>
      <c r="G1619" s="1" t="s">
        <v>68</v>
      </c>
      <c r="H1619" s="1" t="s">
        <v>57</v>
      </c>
      <c r="I1619" s="1" t="s">
        <v>83</v>
      </c>
      <c r="J1619" s="1" t="s">
        <v>59</v>
      </c>
      <c r="K1619" s="1" t="s">
        <v>84</v>
      </c>
      <c r="L1619" s="1" t="s">
        <v>85</v>
      </c>
      <c r="M1619" s="1" t="s">
        <v>38</v>
      </c>
      <c r="N1619" s="1" t="n">
        <v>6999</v>
      </c>
      <c r="O1619" s="1" t="n">
        <v>0</v>
      </c>
      <c r="P1619" s="1" t="n">
        <v>0</v>
      </c>
      <c r="Q1619" s="1" t="n">
        <v>6999</v>
      </c>
      <c r="R1619" s="1" t="n">
        <v>1259.82</v>
      </c>
      <c r="S1619" s="1" t="n">
        <v>5739.18</v>
      </c>
      <c r="T1619" s="1" t="n">
        <v>2921.88</v>
      </c>
      <c r="U1619" s="1" t="n">
        <v>2817.3</v>
      </c>
      <c r="V1619" s="1" t="n">
        <v>49.09</v>
      </c>
      <c r="W1619" s="1" t="s">
        <v>40</v>
      </c>
      <c r="Y1619" s="1" t="s">
        <v>40</v>
      </c>
      <c r="Z1619" s="1" t="n">
        <v>1</v>
      </c>
      <c r="AA1619" s="1" t="str">
        <f aca="false">TRIM(PROPER(F1619))</f>
        <v>Surat</v>
      </c>
      <c r="AB1619" s="1" t="str">
        <f aca="false">TRIM(PROPER(C1619))</f>
        <v>Simplilearn</v>
      </c>
      <c r="AC1619" s="1" t="str">
        <f aca="false">IF(O1619=0,"No Discount",IF(O1619&lt;=15,"Low (1-15%)",IF(O1619&lt;=30,"Medium (16-30%)","High (&gt;30%)")))</f>
        <v>No Discount</v>
      </c>
      <c r="AD1619" s="1" t="str">
        <f aca="false">IF(V1619&lt;0,"Loss Making",IF(V1619&lt;20,"Low Margin","Healthy Margin"))</f>
        <v>Healthy Margin</v>
      </c>
      <c r="AE1619" s="1" t="str">
        <f aca="false">TEXT(DATE(VALUE(RIGHT(B1619,4)),VALUE(MID(B1619,4,2)),VALUE(LEFT(B1619,2))),"MMM-YYYY")</f>
        <v>Jan-2023</v>
      </c>
      <c r="AF1619" s="1" t="n">
        <f aca="false">VALUE(RIGHT(B1619,4))</f>
        <v>2023</v>
      </c>
      <c r="AG1619" s="1" t="str">
        <f aca="false">CHOOSE(ROUNDUP(VALUE(MID(B1619,4,2))/3,0),"Q1","Q2","Q3","Q4")</f>
        <v>Q1</v>
      </c>
    </row>
    <row r="1620" customFormat="false" ht="15" hidden="false" customHeight="true" outlineLevel="0" collapsed="false">
      <c r="A1620" s="1" t="s">
        <v>2443</v>
      </c>
      <c r="B1620" s="1" t="s">
        <v>809</v>
      </c>
      <c r="C1620" s="1" t="s">
        <v>178</v>
      </c>
      <c r="D1620" s="1" t="s">
        <v>94</v>
      </c>
      <c r="E1620" s="1" t="s">
        <v>101</v>
      </c>
      <c r="F1620" s="1" t="s">
        <v>244</v>
      </c>
      <c r="G1620" s="1" t="s">
        <v>97</v>
      </c>
      <c r="H1620" s="1" t="s">
        <v>57</v>
      </c>
      <c r="I1620" s="1" t="s">
        <v>34</v>
      </c>
      <c r="J1620" s="1" t="s">
        <v>131</v>
      </c>
      <c r="K1620" s="1" t="s">
        <v>104</v>
      </c>
      <c r="L1620" s="1" t="s">
        <v>49</v>
      </c>
      <c r="M1620" s="1" t="s">
        <v>50</v>
      </c>
      <c r="N1620" s="1" t="n">
        <v>14999</v>
      </c>
      <c r="O1620" s="1" t="n">
        <v>50</v>
      </c>
      <c r="P1620" s="1" t="n">
        <v>7499.5</v>
      </c>
      <c r="Q1620" s="1" t="n">
        <v>7499.5</v>
      </c>
      <c r="R1620" s="1" t="n">
        <v>1349.91</v>
      </c>
      <c r="S1620" s="1" t="n">
        <v>6149.59</v>
      </c>
      <c r="T1620" s="1" t="n">
        <v>3473.78</v>
      </c>
      <c r="U1620" s="1" t="n">
        <v>2675.81</v>
      </c>
      <c r="V1620" s="1" t="n">
        <v>43.51</v>
      </c>
      <c r="W1620" s="1" t="s">
        <v>39</v>
      </c>
      <c r="X1620" s="1" t="n">
        <v>3.5</v>
      </c>
      <c r="Y1620" s="1" t="s">
        <v>40</v>
      </c>
      <c r="Z1620" s="1" t="n">
        <v>0</v>
      </c>
      <c r="AA1620" s="1" t="str">
        <f aca="false">TRIM(PROPER(F1620))</f>
        <v>Nagpur</v>
      </c>
      <c r="AB1620" s="1" t="str">
        <f aca="false">TRIM(PROPER(C1620))</f>
        <v>Leverage Edu</v>
      </c>
      <c r="AC1620" s="1" t="str">
        <f aca="false">IF(O1620=0,"No Discount",IF(O1620&lt;=15,"Low (1-15%)",IF(O1620&lt;=30,"Medium (16-30%)","High (&gt;30%)")))</f>
        <v>High (&gt;30%)</v>
      </c>
      <c r="AD1620" s="1" t="str">
        <f aca="false">IF(V1620&lt;0,"Loss Making",IF(V1620&lt;20,"Low Margin","Healthy Margin"))</f>
        <v>Healthy Margin</v>
      </c>
      <c r="AE1620" s="1" t="str">
        <f aca="false">TEXT(DATE(VALUE(RIGHT(B1620,4)),VALUE(MID(B1620,4,2)),VALUE(LEFT(B1620,2))),"MMM-YYYY")</f>
        <v>Mar-2023</v>
      </c>
      <c r="AF1620" s="1" t="n">
        <f aca="false">VALUE(RIGHT(B1620,4))</f>
        <v>2023</v>
      </c>
      <c r="AG1620" s="1" t="str">
        <f aca="false">CHOOSE(ROUNDUP(VALUE(MID(B1620,4,2))/3,0),"Q1","Q2","Q3","Q4")</f>
        <v>Q1</v>
      </c>
    </row>
    <row r="1621" customFormat="false" ht="15" hidden="false" customHeight="true" outlineLevel="0" collapsed="false">
      <c r="A1621" s="1" t="s">
        <v>2444</v>
      </c>
      <c r="B1621" s="1" t="s">
        <v>92</v>
      </c>
      <c r="C1621" s="1" t="s">
        <v>264</v>
      </c>
      <c r="D1621" s="1" t="s">
        <v>80</v>
      </c>
      <c r="E1621" s="1" t="s">
        <v>175</v>
      </c>
      <c r="F1621" s="1" t="s">
        <v>184</v>
      </c>
      <c r="G1621" s="1" t="s">
        <v>56</v>
      </c>
      <c r="H1621" s="1" t="s">
        <v>57</v>
      </c>
      <c r="I1621" s="1" t="s">
        <v>83</v>
      </c>
      <c r="J1621" s="1" t="s">
        <v>59</v>
      </c>
      <c r="K1621" s="1" t="s">
        <v>104</v>
      </c>
      <c r="L1621" s="1" t="s">
        <v>136</v>
      </c>
      <c r="M1621" s="1" t="s">
        <v>62</v>
      </c>
      <c r="N1621" s="1" t="n">
        <v>19999</v>
      </c>
      <c r="O1621" s="1" t="n">
        <v>0</v>
      </c>
      <c r="P1621" s="1" t="n">
        <v>0</v>
      </c>
      <c r="Q1621" s="1" t="n">
        <v>19999</v>
      </c>
      <c r="R1621" s="1" t="n">
        <v>3599.82</v>
      </c>
      <c r="S1621" s="1" t="n">
        <v>16399.18</v>
      </c>
      <c r="T1621" s="1" t="n">
        <v>6970.51</v>
      </c>
      <c r="U1621" s="1" t="n">
        <v>9428.67</v>
      </c>
      <c r="V1621" s="1" t="n">
        <v>57.49</v>
      </c>
      <c r="W1621" s="1" t="s">
        <v>39</v>
      </c>
      <c r="X1621" s="1" t="n">
        <v>3.1</v>
      </c>
      <c r="Y1621" s="1" t="s">
        <v>40</v>
      </c>
      <c r="Z1621" s="1" t="n">
        <v>0</v>
      </c>
      <c r="AA1621" s="1" t="str">
        <f aca="false">TRIM(PROPER(F1621))</f>
        <v>Faridabad</v>
      </c>
      <c r="AB1621" s="1" t="str">
        <f aca="false">TRIM(PROPER(C1621))</f>
        <v>Unacademy</v>
      </c>
      <c r="AC1621" s="1" t="str">
        <f aca="false">IF(O1621=0,"No Discount",IF(O1621&lt;=15,"Low (1-15%)",IF(O1621&lt;=30,"Medium (16-30%)","High (&gt;30%)")))</f>
        <v>No Discount</v>
      </c>
      <c r="AD1621" s="1" t="str">
        <f aca="false">IF(V1621&lt;0,"Loss Making",IF(V1621&lt;20,"Low Margin","Healthy Margin"))</f>
        <v>Healthy Margin</v>
      </c>
      <c r="AE1621" s="1" t="str">
        <f aca="false">TEXT(DATE(VALUE(RIGHT(B1621,4)),VALUE(MID(B1621,4,2)),VALUE(LEFT(B1621,2))),"MMM-YYYY")</f>
        <v>Jan-2024</v>
      </c>
      <c r="AF1621" s="1" t="n">
        <f aca="false">VALUE(RIGHT(B1621,4))</f>
        <v>2024</v>
      </c>
      <c r="AG1621" s="1" t="str">
        <f aca="false">CHOOSE(ROUNDUP(VALUE(MID(B1621,4,2))/3,0),"Q1","Q2","Q3","Q4")</f>
        <v>Q1</v>
      </c>
    </row>
    <row r="1622" customFormat="false" ht="15" hidden="false" customHeight="true" outlineLevel="0" collapsed="false">
      <c r="A1622" s="1" t="s">
        <v>2445</v>
      </c>
      <c r="B1622" s="1" t="s">
        <v>1727</v>
      </c>
      <c r="C1622" s="1" t="s">
        <v>436</v>
      </c>
      <c r="D1622" s="1" t="s">
        <v>53</v>
      </c>
      <c r="E1622" s="1" t="s">
        <v>116</v>
      </c>
      <c r="F1622" s="1" t="s">
        <v>153</v>
      </c>
      <c r="G1622" s="1" t="s">
        <v>76</v>
      </c>
      <c r="H1622" s="1" t="s">
        <v>33</v>
      </c>
      <c r="I1622" s="1" t="s">
        <v>58</v>
      </c>
      <c r="J1622" s="1" t="s">
        <v>35</v>
      </c>
      <c r="K1622" s="1" t="s">
        <v>84</v>
      </c>
      <c r="L1622" s="1" t="s">
        <v>136</v>
      </c>
      <c r="M1622" s="1" t="s">
        <v>38</v>
      </c>
      <c r="N1622" s="1" t="n">
        <v>9999</v>
      </c>
      <c r="O1622" s="1" t="n">
        <v>10</v>
      </c>
      <c r="P1622" s="1" t="n">
        <v>999.9</v>
      </c>
      <c r="Q1622" s="1" t="n">
        <v>8999.1</v>
      </c>
      <c r="R1622" s="1" t="n">
        <v>1619.84</v>
      </c>
      <c r="S1622" s="1" t="n">
        <v>7379.26</v>
      </c>
      <c r="T1622" s="1" t="n">
        <v>3053.61</v>
      </c>
      <c r="U1622" s="1" t="n">
        <v>4325.65</v>
      </c>
      <c r="V1622" s="1" t="n">
        <v>58.62</v>
      </c>
      <c r="W1622" s="1" t="s">
        <v>40</v>
      </c>
      <c r="Y1622" s="1" t="s">
        <v>40</v>
      </c>
      <c r="Z1622" s="1" t="n">
        <v>1</v>
      </c>
      <c r="AA1622" s="1" t="str">
        <f aca="false">TRIM(PROPER(F1622))</f>
        <v>Howrah</v>
      </c>
      <c r="AB1622" s="1" t="str">
        <f aca="false">TRIM(PROPER(C1622))</f>
        <v>Toppr</v>
      </c>
      <c r="AC1622" s="1" t="str">
        <f aca="false">IF(O1622=0,"No Discount",IF(O1622&lt;=15,"Low (1-15%)",IF(O1622&lt;=30,"Medium (16-30%)","High (&gt;30%)")))</f>
        <v>Low (1-15%)</v>
      </c>
      <c r="AD1622" s="1" t="str">
        <f aca="false">IF(V1622&lt;0,"Loss Making",IF(V1622&lt;20,"Low Margin","Healthy Margin"))</f>
        <v>Healthy Margin</v>
      </c>
      <c r="AE1622" s="1" t="str">
        <f aca="false">TEXT(DATE(VALUE(RIGHT(B1622,4)),VALUE(MID(B1622,4,2)),VALUE(LEFT(B1622,2))),"MMM-YYYY")</f>
        <v>Jun-2024</v>
      </c>
      <c r="AF1622" s="1" t="n">
        <f aca="false">VALUE(RIGHT(B1622,4))</f>
        <v>2024</v>
      </c>
      <c r="AG1622" s="1" t="str">
        <f aca="false">CHOOSE(ROUNDUP(VALUE(MID(B1622,4,2))/3,0),"Q1","Q2","Q3","Q4")</f>
        <v>Q2</v>
      </c>
    </row>
    <row r="1623" customFormat="false" ht="15" hidden="false" customHeight="true" outlineLevel="0" collapsed="false">
      <c r="A1623" s="1" t="s">
        <v>2446</v>
      </c>
      <c r="B1623" s="1" t="s">
        <v>2422</v>
      </c>
      <c r="C1623" s="1" t="s">
        <v>134</v>
      </c>
      <c r="D1623" s="1" t="s">
        <v>53</v>
      </c>
      <c r="E1623" s="1" t="s">
        <v>216</v>
      </c>
      <c r="F1623" s="1" t="s">
        <v>46</v>
      </c>
      <c r="G1623" s="1" t="s">
        <v>47</v>
      </c>
      <c r="H1623" s="1" t="s">
        <v>33</v>
      </c>
      <c r="I1623" s="1" t="s">
        <v>34</v>
      </c>
      <c r="J1623" s="1" t="s">
        <v>35</v>
      </c>
      <c r="K1623" s="1" t="s">
        <v>112</v>
      </c>
      <c r="L1623" s="1" t="s">
        <v>136</v>
      </c>
      <c r="M1623" s="1" t="s">
        <v>50</v>
      </c>
      <c r="N1623" s="1" t="n">
        <v>7499</v>
      </c>
      <c r="O1623" s="1" t="n">
        <v>25</v>
      </c>
      <c r="P1623" s="1" t="n">
        <v>1874.75</v>
      </c>
      <c r="Q1623" s="1" t="n">
        <v>5624.25</v>
      </c>
      <c r="R1623" s="1" t="n">
        <v>1012.37</v>
      </c>
      <c r="S1623" s="1" t="n">
        <v>4611.88</v>
      </c>
      <c r="T1623" s="1" t="n">
        <v>1830.36</v>
      </c>
      <c r="U1623" s="1" t="n">
        <v>2781.52</v>
      </c>
      <c r="V1623" s="1" t="n">
        <v>60.31</v>
      </c>
      <c r="W1623" s="1" t="s">
        <v>40</v>
      </c>
      <c r="Y1623" s="1" t="s">
        <v>39</v>
      </c>
      <c r="Z1623" s="1" t="n">
        <v>1</v>
      </c>
      <c r="AA1623" s="1" t="str">
        <f aca="false">TRIM(PROPER(F1623))</f>
        <v>Mangaluru</v>
      </c>
      <c r="AB1623" s="1" t="str">
        <f aca="false">TRIM(PROPER(C1623))</f>
        <v>Doubtnut</v>
      </c>
      <c r="AC1623" s="1" t="str">
        <f aca="false">IF(O1623=0,"No Discount",IF(O1623&lt;=15,"Low (1-15%)",IF(O1623&lt;=30,"Medium (16-30%)","High (&gt;30%)")))</f>
        <v>Medium (16-30%)</v>
      </c>
      <c r="AD1623" s="1" t="str">
        <f aca="false">IF(V1623&lt;0,"Loss Making",IF(V1623&lt;20,"Low Margin","Healthy Margin"))</f>
        <v>Healthy Margin</v>
      </c>
      <c r="AE1623" s="1" t="str">
        <f aca="false">TEXT(DATE(VALUE(RIGHT(B1623,4)),VALUE(MID(B1623,4,2)),VALUE(LEFT(B1623,2))),"MMM-YYYY")</f>
        <v>Mar-2023</v>
      </c>
      <c r="AF1623" s="1" t="n">
        <f aca="false">VALUE(RIGHT(B1623,4))</f>
        <v>2023</v>
      </c>
      <c r="AG1623" s="1" t="str">
        <f aca="false">CHOOSE(ROUNDUP(VALUE(MID(B1623,4,2))/3,0),"Q1","Q2","Q3","Q4")</f>
        <v>Q1</v>
      </c>
    </row>
    <row r="1624" customFormat="false" ht="15" hidden="false" customHeight="true" outlineLevel="0" collapsed="false">
      <c r="A1624" s="1" t="s">
        <v>2447</v>
      </c>
      <c r="B1624" s="1" t="s">
        <v>843</v>
      </c>
      <c r="C1624" s="1" t="s">
        <v>28</v>
      </c>
      <c r="D1624" s="1" t="s">
        <v>143</v>
      </c>
      <c r="E1624" s="1" t="s">
        <v>162</v>
      </c>
      <c r="F1624" s="1" t="s">
        <v>335</v>
      </c>
      <c r="G1624" s="1" t="s">
        <v>103</v>
      </c>
      <c r="H1624" s="1" t="s">
        <v>69</v>
      </c>
      <c r="I1624" s="1" t="s">
        <v>34</v>
      </c>
      <c r="J1624" s="1" t="s">
        <v>59</v>
      </c>
      <c r="K1624" s="1" t="s">
        <v>36</v>
      </c>
      <c r="L1624" s="1" t="s">
        <v>37</v>
      </c>
      <c r="M1624" s="1" t="s">
        <v>38</v>
      </c>
      <c r="N1624" s="1" t="n">
        <v>14999</v>
      </c>
      <c r="O1624" s="1" t="n">
        <v>30</v>
      </c>
      <c r="P1624" s="1" t="n">
        <v>4499.7</v>
      </c>
      <c r="Q1624" s="1" t="n">
        <v>10499.3</v>
      </c>
      <c r="R1624" s="1" t="n">
        <v>1889.87</v>
      </c>
      <c r="S1624" s="1" t="n">
        <v>8609.43</v>
      </c>
      <c r="T1624" s="1" t="n">
        <v>3750.01</v>
      </c>
      <c r="U1624" s="1" t="n">
        <v>4859.42</v>
      </c>
      <c r="V1624" s="1" t="n">
        <v>56.44</v>
      </c>
      <c r="W1624" s="1" t="s">
        <v>39</v>
      </c>
      <c r="X1624" s="1" t="n">
        <v>4.1</v>
      </c>
      <c r="Y1624" s="1" t="s">
        <v>40</v>
      </c>
      <c r="Z1624" s="1" t="n">
        <v>0</v>
      </c>
      <c r="AA1624" s="1" t="str">
        <f aca="false">TRIM(PROPER(F1624))</f>
        <v>Hyderabad</v>
      </c>
      <c r="AB1624" s="1" t="str">
        <f aca="false">TRIM(PROPER(C1624))</f>
        <v>Embibe</v>
      </c>
      <c r="AC1624" s="1" t="str">
        <f aca="false">IF(O1624=0,"No Discount",IF(O1624&lt;=15,"Low (1-15%)",IF(O1624&lt;=30,"Medium (16-30%)","High (&gt;30%)")))</f>
        <v>Medium (16-30%)</v>
      </c>
      <c r="AD1624" s="1" t="str">
        <f aca="false">IF(V1624&lt;0,"Loss Making",IF(V1624&lt;20,"Low Margin","Healthy Margin"))</f>
        <v>Healthy Margin</v>
      </c>
      <c r="AE1624" s="1" t="str">
        <f aca="false">TEXT(DATE(VALUE(RIGHT(B1624,4)),VALUE(MID(B1624,4,2)),VALUE(LEFT(B1624,2))),"MMM-YYYY")</f>
        <v>Oct-2023</v>
      </c>
      <c r="AF1624" s="1" t="n">
        <f aca="false">VALUE(RIGHT(B1624,4))</f>
        <v>2023</v>
      </c>
      <c r="AG1624" s="1" t="str">
        <f aca="false">CHOOSE(ROUNDUP(VALUE(MID(B1624,4,2))/3,0),"Q1","Q2","Q3","Q4")</f>
        <v>Q4</v>
      </c>
    </row>
    <row r="1625" customFormat="false" ht="15" hidden="false" customHeight="true" outlineLevel="0" collapsed="false">
      <c r="A1625" s="1" t="s">
        <v>2448</v>
      </c>
      <c r="B1625" s="1" t="s">
        <v>2449</v>
      </c>
      <c r="C1625" s="1" t="s">
        <v>128</v>
      </c>
      <c r="D1625" s="1" t="s">
        <v>94</v>
      </c>
      <c r="E1625" s="1" t="s">
        <v>135</v>
      </c>
      <c r="F1625" s="1" t="s">
        <v>205</v>
      </c>
      <c r="G1625" s="1" t="s">
        <v>56</v>
      </c>
      <c r="H1625" s="1" t="s">
        <v>69</v>
      </c>
      <c r="I1625" s="1" t="s">
        <v>34</v>
      </c>
      <c r="J1625" s="1" t="s">
        <v>59</v>
      </c>
      <c r="K1625" s="1" t="s">
        <v>60</v>
      </c>
      <c r="L1625" s="1" t="s">
        <v>85</v>
      </c>
      <c r="M1625" s="1" t="s">
        <v>50</v>
      </c>
      <c r="N1625" s="1" t="n">
        <v>9999</v>
      </c>
      <c r="O1625" s="1" t="n">
        <v>0</v>
      </c>
      <c r="P1625" s="1" t="n">
        <v>0</v>
      </c>
      <c r="Q1625" s="1" t="n">
        <v>9999</v>
      </c>
      <c r="R1625" s="1" t="n">
        <v>1799.82</v>
      </c>
      <c r="S1625" s="1" t="n">
        <v>8199.18</v>
      </c>
      <c r="T1625" s="1" t="n">
        <v>2939.85</v>
      </c>
      <c r="U1625" s="1" t="n">
        <v>5259.33</v>
      </c>
      <c r="V1625" s="1" t="n">
        <v>64.14</v>
      </c>
      <c r="W1625" s="1" t="s">
        <v>39</v>
      </c>
      <c r="Y1625" s="1" t="s">
        <v>40</v>
      </c>
      <c r="Z1625" s="1" t="n">
        <v>0</v>
      </c>
      <c r="AA1625" s="1" t="str">
        <f aca="false">TRIM(PROPER(F1625))</f>
        <v>New Delhi</v>
      </c>
      <c r="AB1625" s="1" t="str">
        <f aca="false">TRIM(PROPER(C1625))</f>
        <v>Great Learning</v>
      </c>
      <c r="AC1625" s="1" t="str">
        <f aca="false">IF(O1625=0,"No Discount",IF(O1625&lt;=15,"Low (1-15%)",IF(O1625&lt;=30,"Medium (16-30%)","High (&gt;30%)")))</f>
        <v>No Discount</v>
      </c>
      <c r="AD1625" s="1" t="str">
        <f aca="false">IF(V1625&lt;0,"Loss Making",IF(V1625&lt;20,"Low Margin","Healthy Margin"))</f>
        <v>Healthy Margin</v>
      </c>
      <c r="AE1625" s="1" t="str">
        <f aca="false">TEXT(DATE(VALUE(RIGHT(B1625,4)),VALUE(MID(B1625,4,2)),VALUE(LEFT(B1625,2))),"MMM-YYYY")</f>
        <v>Apr-2024</v>
      </c>
      <c r="AF1625" s="1" t="n">
        <f aca="false">VALUE(RIGHT(B1625,4))</f>
        <v>2024</v>
      </c>
      <c r="AG1625" s="1" t="str">
        <f aca="false">CHOOSE(ROUNDUP(VALUE(MID(B1625,4,2))/3,0),"Q1","Q2","Q3","Q4")</f>
        <v>Q2</v>
      </c>
    </row>
    <row r="1626" customFormat="false" ht="15" hidden="false" customHeight="true" outlineLevel="0" collapsed="false">
      <c r="A1626" s="1" t="s">
        <v>2450</v>
      </c>
      <c r="B1626" s="1" t="s">
        <v>947</v>
      </c>
      <c r="C1626" s="1" t="s">
        <v>100</v>
      </c>
      <c r="D1626" s="1" t="s">
        <v>53</v>
      </c>
      <c r="E1626" s="1" t="s">
        <v>216</v>
      </c>
      <c r="F1626" s="1" t="s">
        <v>153</v>
      </c>
      <c r="G1626" s="1" t="s">
        <v>76</v>
      </c>
      <c r="H1626" s="1" t="s">
        <v>33</v>
      </c>
      <c r="I1626" s="1" t="s">
        <v>58</v>
      </c>
      <c r="J1626" s="1" t="s">
        <v>59</v>
      </c>
      <c r="K1626" s="1" t="s">
        <v>71</v>
      </c>
      <c r="L1626" s="1" t="s">
        <v>61</v>
      </c>
      <c r="M1626" s="1" t="s">
        <v>62</v>
      </c>
      <c r="N1626" s="1" t="n">
        <v>7499</v>
      </c>
      <c r="O1626" s="1" t="n">
        <v>25</v>
      </c>
      <c r="P1626" s="1" t="n">
        <v>1874.75</v>
      </c>
      <c r="Q1626" s="1" t="n">
        <v>5624.25</v>
      </c>
      <c r="R1626" s="1" t="n">
        <v>1012.37</v>
      </c>
      <c r="S1626" s="1" t="n">
        <v>4611.88</v>
      </c>
      <c r="T1626" s="1" t="n">
        <v>1791.12</v>
      </c>
      <c r="U1626" s="1" t="n">
        <v>2820.76</v>
      </c>
      <c r="V1626" s="1" t="n">
        <v>61.16</v>
      </c>
      <c r="W1626" s="1" t="s">
        <v>40</v>
      </c>
      <c r="Y1626" s="1" t="s">
        <v>40</v>
      </c>
      <c r="Z1626" s="1" t="n">
        <v>1</v>
      </c>
      <c r="AA1626" s="1" t="str">
        <f aca="false">TRIM(PROPER(F1626))</f>
        <v>Howrah</v>
      </c>
      <c r="AB1626" s="1" t="str">
        <f aca="false">TRIM(PROPER(C1626))</f>
        <v>Physics Wallah</v>
      </c>
      <c r="AC1626" s="1" t="str">
        <f aca="false">IF(O1626=0,"No Discount",IF(O1626&lt;=15,"Low (1-15%)",IF(O1626&lt;=30,"Medium (16-30%)","High (&gt;30%)")))</f>
        <v>Medium (16-30%)</v>
      </c>
      <c r="AD1626" s="1" t="str">
        <f aca="false">IF(V1626&lt;0,"Loss Making",IF(V1626&lt;20,"Low Margin","Healthy Margin"))</f>
        <v>Healthy Margin</v>
      </c>
      <c r="AE1626" s="1" t="str">
        <f aca="false">TEXT(DATE(VALUE(RIGHT(B1626,4)),VALUE(MID(B1626,4,2)),VALUE(LEFT(B1626,2))),"MMM-YYYY")</f>
        <v>Jun-2023</v>
      </c>
      <c r="AF1626" s="1" t="n">
        <f aca="false">VALUE(RIGHT(B1626,4))</f>
        <v>2023</v>
      </c>
      <c r="AG1626" s="1" t="str">
        <f aca="false">CHOOSE(ROUNDUP(VALUE(MID(B1626,4,2))/3,0),"Q1","Q2","Q3","Q4")</f>
        <v>Q2</v>
      </c>
    </row>
    <row r="1627" customFormat="false" ht="15" hidden="false" customHeight="true" outlineLevel="0" collapsed="false">
      <c r="A1627" s="1" t="s">
        <v>2451</v>
      </c>
      <c r="B1627" s="1" t="s">
        <v>462</v>
      </c>
      <c r="C1627" s="1" t="s">
        <v>74</v>
      </c>
      <c r="D1627" s="1" t="s">
        <v>53</v>
      </c>
      <c r="E1627" s="1" t="s">
        <v>54</v>
      </c>
      <c r="F1627" s="1" t="s">
        <v>89</v>
      </c>
      <c r="G1627" s="1" t="s">
        <v>68</v>
      </c>
      <c r="H1627" s="1" t="s">
        <v>33</v>
      </c>
      <c r="I1627" s="1" t="s">
        <v>83</v>
      </c>
      <c r="J1627" s="1" t="s">
        <v>77</v>
      </c>
      <c r="K1627" s="1" t="s">
        <v>84</v>
      </c>
      <c r="L1627" s="1" t="s">
        <v>113</v>
      </c>
      <c r="M1627" s="1" t="s">
        <v>62</v>
      </c>
      <c r="N1627" s="1" t="n">
        <v>11999</v>
      </c>
      <c r="O1627" s="1" t="n">
        <v>0</v>
      </c>
      <c r="P1627" s="1" t="n">
        <v>0</v>
      </c>
      <c r="Q1627" s="1" t="n">
        <v>11999</v>
      </c>
      <c r="R1627" s="1" t="n">
        <v>2159.82</v>
      </c>
      <c r="S1627" s="1" t="n">
        <v>9839.18</v>
      </c>
      <c r="T1627" s="1" t="n">
        <v>3717.46</v>
      </c>
      <c r="U1627" s="1" t="n">
        <v>6121.72</v>
      </c>
      <c r="V1627" s="1" t="n">
        <v>62.22</v>
      </c>
      <c r="W1627" s="1" t="s">
        <v>39</v>
      </c>
      <c r="X1627" s="1" t="n">
        <v>3.9</v>
      </c>
      <c r="Y1627" s="1" t="s">
        <v>40</v>
      </c>
      <c r="Z1627" s="1" t="n">
        <v>0</v>
      </c>
      <c r="AA1627" s="1" t="str">
        <f aca="false">TRIM(PROPER(F1627))</f>
        <v>Vadodara</v>
      </c>
      <c r="AB1627" s="1" t="str">
        <f aca="false">TRIM(PROPER(C1627))</f>
        <v>Vedantu</v>
      </c>
      <c r="AC1627" s="1" t="str">
        <f aca="false">IF(O1627=0,"No Discount",IF(O1627&lt;=15,"Low (1-15%)",IF(O1627&lt;=30,"Medium (16-30%)","High (&gt;30%)")))</f>
        <v>No Discount</v>
      </c>
      <c r="AD1627" s="1" t="str">
        <f aca="false">IF(V1627&lt;0,"Loss Making",IF(V1627&lt;20,"Low Margin","Healthy Margin"))</f>
        <v>Healthy Margin</v>
      </c>
      <c r="AE1627" s="1" t="str">
        <f aca="false">TEXT(DATE(VALUE(RIGHT(B1627,4)),VALUE(MID(B1627,4,2)),VALUE(LEFT(B1627,2))),"MMM-YYYY")</f>
        <v>Feb-2024</v>
      </c>
      <c r="AF1627" s="1" t="n">
        <f aca="false">VALUE(RIGHT(B1627,4))</f>
        <v>2024</v>
      </c>
      <c r="AG1627" s="1" t="str">
        <f aca="false">CHOOSE(ROUNDUP(VALUE(MID(B1627,4,2))/3,0),"Q1","Q2","Q3","Q4")</f>
        <v>Q1</v>
      </c>
    </row>
    <row r="1628" customFormat="false" ht="15" hidden="false" customHeight="true" outlineLevel="0" collapsed="false">
      <c r="A1628" s="1" t="s">
        <v>2452</v>
      </c>
      <c r="B1628" s="1" t="s">
        <v>553</v>
      </c>
      <c r="C1628" s="1" t="s">
        <v>167</v>
      </c>
      <c r="D1628" s="1" t="s">
        <v>123</v>
      </c>
      <c r="E1628" s="1" t="s">
        <v>124</v>
      </c>
      <c r="F1628" s="1" t="s">
        <v>120</v>
      </c>
      <c r="G1628" s="1" t="s">
        <v>47</v>
      </c>
      <c r="H1628" s="1" t="s">
        <v>57</v>
      </c>
      <c r="I1628" s="1" t="s">
        <v>58</v>
      </c>
      <c r="J1628" s="1" t="s">
        <v>59</v>
      </c>
      <c r="K1628" s="1" t="s">
        <v>84</v>
      </c>
      <c r="L1628" s="1" t="s">
        <v>49</v>
      </c>
      <c r="M1628" s="1" t="s">
        <v>62</v>
      </c>
      <c r="N1628" s="1" t="n">
        <v>4999</v>
      </c>
      <c r="O1628" s="1" t="n">
        <v>15</v>
      </c>
      <c r="P1628" s="1" t="n">
        <v>749.85</v>
      </c>
      <c r="Q1628" s="1" t="n">
        <v>4249.15</v>
      </c>
      <c r="R1628" s="1" t="n">
        <v>764.85</v>
      </c>
      <c r="S1628" s="1" t="n">
        <v>3484.3</v>
      </c>
      <c r="T1628" s="1" t="n">
        <v>1350.27</v>
      </c>
      <c r="U1628" s="1" t="n">
        <v>2134.03</v>
      </c>
      <c r="V1628" s="1" t="n">
        <v>61.25</v>
      </c>
      <c r="W1628" s="1" t="s">
        <v>40</v>
      </c>
      <c r="Y1628" s="1" t="s">
        <v>39</v>
      </c>
      <c r="Z1628" s="1" t="n">
        <v>1</v>
      </c>
      <c r="AA1628" s="1" t="str">
        <f aca="false">TRIM(PROPER(F1628))</f>
        <v>Mysuru</v>
      </c>
      <c r="AB1628" s="1" t="str">
        <f aca="false">TRIM(PROPER(C1628))</f>
        <v>Scaler</v>
      </c>
      <c r="AC1628" s="1" t="str">
        <f aca="false">IF(O1628=0,"No Discount",IF(O1628&lt;=15,"Low (1-15%)",IF(O1628&lt;=30,"Medium (16-30%)","High (&gt;30%)")))</f>
        <v>Low (1-15%)</v>
      </c>
      <c r="AD1628" s="1" t="str">
        <f aca="false">IF(V1628&lt;0,"Loss Making",IF(V1628&lt;20,"Low Margin","Healthy Margin"))</f>
        <v>Healthy Margin</v>
      </c>
      <c r="AE1628" s="1" t="str">
        <f aca="false">TEXT(DATE(VALUE(RIGHT(B1628,4)),VALUE(MID(B1628,4,2)),VALUE(LEFT(B1628,2))),"MMM-YYYY")</f>
        <v>Aug-2023</v>
      </c>
      <c r="AF1628" s="1" t="n">
        <f aca="false">VALUE(RIGHT(B1628,4))</f>
        <v>2023</v>
      </c>
      <c r="AG1628" s="1" t="str">
        <f aca="false">CHOOSE(ROUNDUP(VALUE(MID(B1628,4,2))/3,0),"Q1","Q2","Q3","Q4")</f>
        <v>Q3</v>
      </c>
    </row>
    <row r="1629" customFormat="false" ht="15" hidden="false" customHeight="true" outlineLevel="0" collapsed="false">
      <c r="A1629" s="1" t="s">
        <v>2453</v>
      </c>
      <c r="B1629" s="1" t="s">
        <v>692</v>
      </c>
      <c r="C1629" s="1" t="s">
        <v>93</v>
      </c>
      <c r="D1629" s="1" t="s">
        <v>53</v>
      </c>
      <c r="E1629" s="1" t="s">
        <v>116</v>
      </c>
      <c r="F1629" s="1" t="s">
        <v>102</v>
      </c>
      <c r="G1629" s="1" t="s">
        <v>103</v>
      </c>
      <c r="H1629" s="1" t="s">
        <v>33</v>
      </c>
      <c r="I1629" s="1" t="s">
        <v>83</v>
      </c>
      <c r="J1629" s="1" t="s">
        <v>77</v>
      </c>
      <c r="K1629" s="1" t="s">
        <v>48</v>
      </c>
      <c r="L1629" s="1" t="s">
        <v>49</v>
      </c>
      <c r="M1629" s="1" t="s">
        <v>38</v>
      </c>
      <c r="N1629" s="1" t="n">
        <v>9999</v>
      </c>
      <c r="O1629" s="1" t="n">
        <v>30</v>
      </c>
      <c r="P1629" s="1" t="n">
        <v>2999.7</v>
      </c>
      <c r="Q1629" s="1" t="n">
        <v>6999.3</v>
      </c>
      <c r="R1629" s="1" t="n">
        <v>1259.87</v>
      </c>
      <c r="S1629" s="1" t="n">
        <v>5739.43</v>
      </c>
      <c r="T1629" s="1" t="n">
        <v>2503.53</v>
      </c>
      <c r="U1629" s="1" t="n">
        <v>3235.9</v>
      </c>
      <c r="V1629" s="1" t="n">
        <v>56.38</v>
      </c>
      <c r="W1629" s="1" t="s">
        <v>39</v>
      </c>
      <c r="X1629" s="1" t="n">
        <v>3.2</v>
      </c>
      <c r="Y1629" s="1" t="s">
        <v>40</v>
      </c>
      <c r="Z1629" s="1" t="n">
        <v>0</v>
      </c>
      <c r="AA1629" s="1" t="str">
        <f aca="false">TRIM(PROPER(F1629))</f>
        <v>Warangal</v>
      </c>
      <c r="AB1629" s="1" t="str">
        <f aca="false">TRIM(PROPER(C1629))</f>
        <v>Upgrad</v>
      </c>
      <c r="AC1629" s="1" t="str">
        <f aca="false">IF(O1629=0,"No Discount",IF(O1629&lt;=15,"Low (1-15%)",IF(O1629&lt;=30,"Medium (16-30%)","High (&gt;30%)")))</f>
        <v>Medium (16-30%)</v>
      </c>
      <c r="AD1629" s="1" t="str">
        <f aca="false">IF(V1629&lt;0,"Loss Making",IF(V1629&lt;20,"Low Margin","Healthy Margin"))</f>
        <v>Healthy Margin</v>
      </c>
      <c r="AE1629" s="1" t="str">
        <f aca="false">TEXT(DATE(VALUE(RIGHT(B1629,4)),VALUE(MID(B1629,4,2)),VALUE(LEFT(B1629,2))),"MMM-YYYY")</f>
        <v>Jan-2024</v>
      </c>
      <c r="AF1629" s="1" t="n">
        <f aca="false">VALUE(RIGHT(B1629,4))</f>
        <v>2024</v>
      </c>
      <c r="AG1629" s="1" t="str">
        <f aca="false">CHOOSE(ROUNDUP(VALUE(MID(B1629,4,2))/3,0),"Q1","Q2","Q3","Q4")</f>
        <v>Q1</v>
      </c>
    </row>
    <row r="1630" customFormat="false" ht="15" hidden="false" customHeight="true" outlineLevel="0" collapsed="false">
      <c r="A1630" s="1" t="s">
        <v>2454</v>
      </c>
      <c r="B1630" s="1" t="s">
        <v>735</v>
      </c>
      <c r="C1630" s="1" t="s">
        <v>100</v>
      </c>
      <c r="D1630" s="1" t="s">
        <v>29</v>
      </c>
      <c r="E1630" s="1" t="s">
        <v>129</v>
      </c>
      <c r="F1630" s="1" t="s">
        <v>150</v>
      </c>
      <c r="G1630" s="1" t="s">
        <v>32</v>
      </c>
      <c r="H1630" s="1" t="s">
        <v>57</v>
      </c>
      <c r="I1630" s="1" t="s">
        <v>58</v>
      </c>
      <c r="J1630" s="1" t="s">
        <v>59</v>
      </c>
      <c r="K1630" s="1" t="s">
        <v>36</v>
      </c>
      <c r="L1630" s="1" t="s">
        <v>113</v>
      </c>
      <c r="M1630" s="1" t="s">
        <v>62</v>
      </c>
      <c r="N1630" s="1" t="n">
        <v>29999</v>
      </c>
      <c r="O1630" s="1" t="n">
        <v>10</v>
      </c>
      <c r="P1630" s="1" t="n">
        <v>2999.9</v>
      </c>
      <c r="Q1630" s="1" t="n">
        <v>26999.1</v>
      </c>
      <c r="R1630" s="1" t="n">
        <v>4859.84</v>
      </c>
      <c r="S1630" s="1" t="n">
        <v>22139.26</v>
      </c>
      <c r="T1630" s="1" t="n">
        <v>8637.66</v>
      </c>
      <c r="U1630" s="1" t="n">
        <v>13501.6</v>
      </c>
      <c r="V1630" s="1" t="n">
        <v>60.98</v>
      </c>
      <c r="W1630" s="1" t="s">
        <v>39</v>
      </c>
      <c r="X1630" s="1" t="n">
        <v>3.8</v>
      </c>
      <c r="Y1630" s="1" t="s">
        <v>40</v>
      </c>
      <c r="Z1630" s="1" t="n">
        <v>1</v>
      </c>
      <c r="AA1630" s="1" t="str">
        <f aca="false">TRIM(PROPER(F1630))</f>
        <v>Jaipur</v>
      </c>
      <c r="AB1630" s="1" t="str">
        <f aca="false">TRIM(PROPER(C1630))</f>
        <v>Physics Wallah</v>
      </c>
      <c r="AC1630" s="1" t="str">
        <f aca="false">IF(O1630=0,"No Discount",IF(O1630&lt;=15,"Low (1-15%)",IF(O1630&lt;=30,"Medium (16-30%)","High (&gt;30%)")))</f>
        <v>Low (1-15%)</v>
      </c>
      <c r="AD1630" s="1" t="str">
        <f aca="false">IF(V1630&lt;0,"Loss Making",IF(V1630&lt;20,"Low Margin","Healthy Margin"))</f>
        <v>Healthy Margin</v>
      </c>
      <c r="AE1630" s="1" t="str">
        <f aca="false">TEXT(DATE(VALUE(RIGHT(B1630,4)),VALUE(MID(B1630,4,2)),VALUE(LEFT(B1630,2))),"MMM-YYYY")</f>
        <v>Feb-2024</v>
      </c>
      <c r="AF1630" s="1" t="n">
        <f aca="false">VALUE(RIGHT(B1630,4))</f>
        <v>2024</v>
      </c>
      <c r="AG1630" s="1" t="str">
        <f aca="false">CHOOSE(ROUNDUP(VALUE(MID(B1630,4,2))/3,0),"Q1","Q2","Q3","Q4")</f>
        <v>Q1</v>
      </c>
    </row>
    <row r="1631" customFormat="false" ht="15" hidden="false" customHeight="true" outlineLevel="0" collapsed="false">
      <c r="A1631" s="1" t="s">
        <v>2455</v>
      </c>
      <c r="B1631" s="1" t="s">
        <v>1064</v>
      </c>
      <c r="C1631" s="1" t="s">
        <v>100</v>
      </c>
      <c r="D1631" s="1" t="s">
        <v>123</v>
      </c>
      <c r="E1631" s="1" t="s">
        <v>233</v>
      </c>
      <c r="F1631" s="1" t="s">
        <v>125</v>
      </c>
      <c r="G1631" s="1" t="s">
        <v>108</v>
      </c>
      <c r="H1631" s="1" t="s">
        <v>69</v>
      </c>
      <c r="I1631" s="1" t="s">
        <v>83</v>
      </c>
      <c r="J1631" s="1" t="s">
        <v>70</v>
      </c>
      <c r="K1631" s="1" t="s">
        <v>71</v>
      </c>
      <c r="L1631" s="1" t="s">
        <v>136</v>
      </c>
      <c r="M1631" s="1" t="s">
        <v>50</v>
      </c>
      <c r="N1631" s="1" t="n">
        <v>8999</v>
      </c>
      <c r="O1631" s="1" t="n">
        <v>0</v>
      </c>
      <c r="P1631" s="1" t="n">
        <v>0</v>
      </c>
      <c r="Q1631" s="1" t="n">
        <v>8999</v>
      </c>
      <c r="R1631" s="1" t="n">
        <v>1619.82</v>
      </c>
      <c r="S1631" s="1" t="n">
        <v>7379.18</v>
      </c>
      <c r="T1631" s="1" t="n">
        <v>2860.21</v>
      </c>
      <c r="U1631" s="1" t="n">
        <v>4518.97</v>
      </c>
      <c r="V1631" s="1" t="n">
        <v>61.24</v>
      </c>
      <c r="W1631" s="1" t="s">
        <v>39</v>
      </c>
      <c r="Y1631" s="1" t="s">
        <v>40</v>
      </c>
      <c r="Z1631" s="1" t="n">
        <v>0</v>
      </c>
      <c r="AA1631" s="1" t="str">
        <f aca="false">TRIM(PROPER(F1631))</f>
        <v>Chennai</v>
      </c>
      <c r="AB1631" s="1" t="str">
        <f aca="false">TRIM(PROPER(C1631))</f>
        <v>Physics Wallah</v>
      </c>
      <c r="AC1631" s="1" t="str">
        <f aca="false">IF(O1631=0,"No Discount",IF(O1631&lt;=15,"Low (1-15%)",IF(O1631&lt;=30,"Medium (16-30%)","High (&gt;30%)")))</f>
        <v>No Discount</v>
      </c>
      <c r="AD1631" s="1" t="str">
        <f aca="false">IF(V1631&lt;0,"Loss Making",IF(V1631&lt;20,"Low Margin","Healthy Margin"))</f>
        <v>Healthy Margin</v>
      </c>
      <c r="AE1631" s="1" t="str">
        <f aca="false">TEXT(DATE(VALUE(RIGHT(B1631,4)),VALUE(MID(B1631,4,2)),VALUE(LEFT(B1631,2))),"MMM-YYYY")</f>
        <v>May-2023</v>
      </c>
      <c r="AF1631" s="1" t="n">
        <f aca="false">VALUE(RIGHT(B1631,4))</f>
        <v>2023</v>
      </c>
      <c r="AG1631" s="1" t="str">
        <f aca="false">CHOOSE(ROUNDUP(VALUE(MID(B1631,4,2))/3,0),"Q1","Q2","Q3","Q4")</f>
        <v>Q2</v>
      </c>
    </row>
    <row r="1632" customFormat="false" ht="15" hidden="false" customHeight="true" outlineLevel="0" collapsed="false">
      <c r="A1632" s="1" t="s">
        <v>2456</v>
      </c>
      <c r="B1632" s="1" t="s">
        <v>849</v>
      </c>
      <c r="C1632" s="1" t="s">
        <v>93</v>
      </c>
      <c r="D1632" s="1" t="s">
        <v>80</v>
      </c>
      <c r="E1632" s="1" t="s">
        <v>190</v>
      </c>
      <c r="F1632" s="1" t="s">
        <v>184</v>
      </c>
      <c r="G1632" s="1" t="s">
        <v>56</v>
      </c>
      <c r="H1632" s="1" t="s">
        <v>57</v>
      </c>
      <c r="I1632" s="1" t="s">
        <v>58</v>
      </c>
      <c r="J1632" s="1" t="s">
        <v>131</v>
      </c>
      <c r="K1632" s="1" t="s">
        <v>112</v>
      </c>
      <c r="L1632" s="1" t="s">
        <v>113</v>
      </c>
      <c r="M1632" s="1" t="s">
        <v>62</v>
      </c>
      <c r="N1632" s="1" t="n">
        <v>15999</v>
      </c>
      <c r="O1632" s="1" t="n">
        <v>25</v>
      </c>
      <c r="P1632" s="1" t="n">
        <v>3999.75</v>
      </c>
      <c r="Q1632" s="1" t="n">
        <v>11999.25</v>
      </c>
      <c r="R1632" s="1" t="n">
        <v>2159.86</v>
      </c>
      <c r="S1632" s="1" t="n">
        <v>9839.39</v>
      </c>
      <c r="T1632" s="1" t="n">
        <v>4755.32</v>
      </c>
      <c r="U1632" s="1" t="n">
        <v>5084.07</v>
      </c>
      <c r="V1632" s="1" t="n">
        <v>51.67</v>
      </c>
      <c r="W1632" s="1" t="s">
        <v>39</v>
      </c>
      <c r="X1632" s="1" t="n">
        <v>4.4</v>
      </c>
      <c r="Y1632" s="1" t="s">
        <v>40</v>
      </c>
      <c r="Z1632" s="1" t="n">
        <v>1</v>
      </c>
      <c r="AA1632" s="1" t="str">
        <f aca="false">TRIM(PROPER(F1632))</f>
        <v>Faridabad</v>
      </c>
      <c r="AB1632" s="1" t="str">
        <f aca="false">TRIM(PROPER(C1632))</f>
        <v>Upgrad</v>
      </c>
      <c r="AC1632" s="1" t="str">
        <f aca="false">IF(O1632=0,"No Discount",IF(O1632&lt;=15,"Low (1-15%)",IF(O1632&lt;=30,"Medium (16-30%)","High (&gt;30%)")))</f>
        <v>Medium (16-30%)</v>
      </c>
      <c r="AD1632" s="1" t="str">
        <f aca="false">IF(V1632&lt;0,"Loss Making",IF(V1632&lt;20,"Low Margin","Healthy Margin"))</f>
        <v>Healthy Margin</v>
      </c>
      <c r="AE1632" s="1" t="str">
        <f aca="false">TEXT(DATE(VALUE(RIGHT(B1632,4)),VALUE(MID(B1632,4,2)),VALUE(LEFT(B1632,2))),"MMM-YYYY")</f>
        <v>Apr-2024</v>
      </c>
      <c r="AF1632" s="1" t="n">
        <f aca="false">VALUE(RIGHT(B1632,4))</f>
        <v>2024</v>
      </c>
      <c r="AG1632" s="1" t="str">
        <f aca="false">CHOOSE(ROUNDUP(VALUE(MID(B1632,4,2))/3,0),"Q1","Q2","Q3","Q4")</f>
        <v>Q2</v>
      </c>
    </row>
    <row r="1633" customFormat="false" ht="15" hidden="false" customHeight="true" outlineLevel="0" collapsed="false">
      <c r="A1633" s="1" t="s">
        <v>2457</v>
      </c>
      <c r="B1633" s="1" t="s">
        <v>253</v>
      </c>
      <c r="C1633" s="1" t="s">
        <v>100</v>
      </c>
      <c r="D1633" s="1" t="s">
        <v>94</v>
      </c>
      <c r="E1633" s="1" t="s">
        <v>101</v>
      </c>
      <c r="F1633" s="1" t="s">
        <v>130</v>
      </c>
      <c r="G1633" s="1" t="s">
        <v>47</v>
      </c>
      <c r="H1633" s="1" t="s">
        <v>69</v>
      </c>
      <c r="I1633" s="1" t="s">
        <v>83</v>
      </c>
      <c r="J1633" s="1" t="s">
        <v>70</v>
      </c>
      <c r="K1633" s="1" t="s">
        <v>90</v>
      </c>
      <c r="L1633" s="1" t="s">
        <v>37</v>
      </c>
      <c r="M1633" s="1" t="s">
        <v>62</v>
      </c>
      <c r="N1633" s="1" t="n">
        <v>14999</v>
      </c>
      <c r="O1633" s="1" t="n">
        <v>50</v>
      </c>
      <c r="P1633" s="1" t="n">
        <v>7499.5</v>
      </c>
      <c r="Q1633" s="1" t="n">
        <v>7499.5</v>
      </c>
      <c r="R1633" s="1" t="n">
        <v>1349.91</v>
      </c>
      <c r="S1633" s="1" t="n">
        <v>6149.59</v>
      </c>
      <c r="T1633" s="1" t="n">
        <v>3329.05</v>
      </c>
      <c r="U1633" s="1" t="n">
        <v>2820.54</v>
      </c>
      <c r="V1633" s="1" t="n">
        <v>45.87</v>
      </c>
      <c r="W1633" s="1" t="s">
        <v>39</v>
      </c>
      <c r="Y1633" s="1" t="s">
        <v>40</v>
      </c>
      <c r="Z1633" s="1" t="n">
        <v>0</v>
      </c>
      <c r="AA1633" s="1" t="str">
        <f aca="false">TRIM(PROPER(F1633))</f>
        <v>Bengaluru</v>
      </c>
      <c r="AB1633" s="1" t="str">
        <f aca="false">TRIM(PROPER(C1633))</f>
        <v>Physics Wallah</v>
      </c>
      <c r="AC1633" s="1" t="str">
        <f aca="false">IF(O1633=0,"No Discount",IF(O1633&lt;=15,"Low (1-15%)",IF(O1633&lt;=30,"Medium (16-30%)","High (&gt;30%)")))</f>
        <v>High (&gt;30%)</v>
      </c>
      <c r="AD1633" s="1" t="str">
        <f aca="false">IF(V1633&lt;0,"Loss Making",IF(V1633&lt;20,"Low Margin","Healthy Margin"))</f>
        <v>Healthy Margin</v>
      </c>
      <c r="AE1633" s="1" t="str">
        <f aca="false">TEXT(DATE(VALUE(RIGHT(B1633,4)),VALUE(MID(B1633,4,2)),VALUE(LEFT(B1633,2))),"MMM-YYYY")</f>
        <v>Sep-2023</v>
      </c>
      <c r="AF1633" s="1" t="n">
        <f aca="false">VALUE(RIGHT(B1633,4))</f>
        <v>2023</v>
      </c>
      <c r="AG1633" s="1" t="str">
        <f aca="false">CHOOSE(ROUNDUP(VALUE(MID(B1633,4,2))/3,0),"Q1","Q2","Q3","Q4")</f>
        <v>Q3</v>
      </c>
    </row>
    <row r="1634" customFormat="false" ht="15" hidden="false" customHeight="true" outlineLevel="0" collapsed="false">
      <c r="A1634" s="1" t="s">
        <v>2458</v>
      </c>
      <c r="B1634" s="1" t="s">
        <v>601</v>
      </c>
      <c r="C1634" s="1" t="s">
        <v>178</v>
      </c>
      <c r="D1634" s="1" t="s">
        <v>143</v>
      </c>
      <c r="E1634" s="1" t="s">
        <v>159</v>
      </c>
      <c r="F1634" s="1" t="s">
        <v>153</v>
      </c>
      <c r="G1634" s="1" t="s">
        <v>76</v>
      </c>
      <c r="H1634" s="1" t="s">
        <v>33</v>
      </c>
      <c r="I1634" s="1" t="s">
        <v>58</v>
      </c>
      <c r="J1634" s="1" t="s">
        <v>35</v>
      </c>
      <c r="K1634" s="1" t="s">
        <v>84</v>
      </c>
      <c r="L1634" s="1" t="s">
        <v>37</v>
      </c>
      <c r="M1634" s="1" t="s">
        <v>38</v>
      </c>
      <c r="N1634" s="1" t="n">
        <v>24999</v>
      </c>
      <c r="O1634" s="1" t="n">
        <v>30</v>
      </c>
      <c r="P1634" s="1" t="n">
        <v>7499.7</v>
      </c>
      <c r="Q1634" s="1" t="n">
        <v>17499.3</v>
      </c>
      <c r="R1634" s="1" t="n">
        <v>3149.87</v>
      </c>
      <c r="S1634" s="1" t="n">
        <v>14349.43</v>
      </c>
      <c r="T1634" s="1" t="n">
        <v>6578.99</v>
      </c>
      <c r="U1634" s="1" t="n">
        <v>7770.44</v>
      </c>
      <c r="V1634" s="1" t="n">
        <v>54.15</v>
      </c>
      <c r="W1634" s="1" t="s">
        <v>40</v>
      </c>
      <c r="Y1634" s="1" t="s">
        <v>40</v>
      </c>
      <c r="Z1634" s="1" t="n">
        <v>1</v>
      </c>
      <c r="AA1634" s="1" t="str">
        <f aca="false">TRIM(PROPER(F1634))</f>
        <v>Howrah</v>
      </c>
      <c r="AB1634" s="1" t="str">
        <f aca="false">TRIM(PROPER(C1634))</f>
        <v>Leverage Edu</v>
      </c>
      <c r="AC1634" s="1" t="str">
        <f aca="false">IF(O1634=0,"No Discount",IF(O1634&lt;=15,"Low (1-15%)",IF(O1634&lt;=30,"Medium (16-30%)","High (&gt;30%)")))</f>
        <v>Medium (16-30%)</v>
      </c>
      <c r="AD1634" s="1" t="str">
        <f aca="false">IF(V1634&lt;0,"Loss Making",IF(V1634&lt;20,"Low Margin","Healthy Margin"))</f>
        <v>Healthy Margin</v>
      </c>
      <c r="AE1634" s="1" t="str">
        <f aca="false">TEXT(DATE(VALUE(RIGHT(B1634,4)),VALUE(MID(B1634,4,2)),VALUE(LEFT(B1634,2))),"MMM-YYYY")</f>
        <v>Jun-2023</v>
      </c>
      <c r="AF1634" s="1" t="n">
        <f aca="false">VALUE(RIGHT(B1634,4))</f>
        <v>2023</v>
      </c>
      <c r="AG1634" s="1" t="str">
        <f aca="false">CHOOSE(ROUNDUP(VALUE(MID(B1634,4,2))/3,0),"Q1","Q2","Q3","Q4")</f>
        <v>Q2</v>
      </c>
    </row>
    <row r="1635" customFormat="false" ht="15" hidden="false" customHeight="true" outlineLevel="0" collapsed="false">
      <c r="A1635" s="1" t="s">
        <v>2459</v>
      </c>
      <c r="B1635" s="1" t="s">
        <v>2460</v>
      </c>
      <c r="C1635" s="1" t="s">
        <v>139</v>
      </c>
      <c r="D1635" s="1" t="s">
        <v>143</v>
      </c>
      <c r="E1635" s="1" t="s">
        <v>210</v>
      </c>
      <c r="F1635" s="1" t="s">
        <v>96</v>
      </c>
      <c r="G1635" s="1" t="s">
        <v>97</v>
      </c>
      <c r="H1635" s="1" t="s">
        <v>69</v>
      </c>
      <c r="I1635" s="1" t="s">
        <v>58</v>
      </c>
      <c r="J1635" s="1" t="s">
        <v>59</v>
      </c>
      <c r="K1635" s="1" t="s">
        <v>71</v>
      </c>
      <c r="L1635" s="1" t="s">
        <v>49</v>
      </c>
      <c r="M1635" s="1" t="s">
        <v>38</v>
      </c>
      <c r="N1635" s="1" t="n">
        <v>18999</v>
      </c>
      <c r="O1635" s="1" t="n">
        <v>30</v>
      </c>
      <c r="P1635" s="1" t="n">
        <v>5699.7</v>
      </c>
      <c r="Q1635" s="1" t="n">
        <v>13299.3</v>
      </c>
      <c r="R1635" s="1" t="n">
        <v>2393.87</v>
      </c>
      <c r="S1635" s="1" t="n">
        <v>10905.43</v>
      </c>
      <c r="T1635" s="1" t="n">
        <v>5823.78</v>
      </c>
      <c r="U1635" s="1" t="n">
        <v>5081.65</v>
      </c>
      <c r="V1635" s="1" t="n">
        <v>46.6</v>
      </c>
      <c r="W1635" s="1" t="s">
        <v>40</v>
      </c>
      <c r="Y1635" s="1" t="s">
        <v>40</v>
      </c>
      <c r="Z1635" s="1" t="n">
        <v>1</v>
      </c>
      <c r="AA1635" s="1" t="str">
        <f aca="false">TRIM(PROPER(F1635))</f>
        <v>Pune</v>
      </c>
      <c r="AB1635" s="1" t="str">
        <f aca="false">TRIM(PROPER(C1635))</f>
        <v>Extramarks</v>
      </c>
      <c r="AC1635" s="1" t="str">
        <f aca="false">IF(O1635=0,"No Discount",IF(O1635&lt;=15,"Low (1-15%)",IF(O1635&lt;=30,"Medium (16-30%)","High (&gt;30%)")))</f>
        <v>Medium (16-30%)</v>
      </c>
      <c r="AD1635" s="1" t="str">
        <f aca="false">IF(V1635&lt;0,"Loss Making",IF(V1635&lt;20,"Low Margin","Healthy Margin"))</f>
        <v>Healthy Margin</v>
      </c>
      <c r="AE1635" s="1" t="str">
        <f aca="false">TEXT(DATE(VALUE(RIGHT(B1635,4)),VALUE(MID(B1635,4,2)),VALUE(LEFT(B1635,2))),"MMM-YYYY")</f>
        <v>Nov-2024</v>
      </c>
      <c r="AF1635" s="1" t="n">
        <f aca="false">VALUE(RIGHT(B1635,4))</f>
        <v>2024</v>
      </c>
      <c r="AG1635" s="1" t="str">
        <f aca="false">CHOOSE(ROUNDUP(VALUE(MID(B1635,4,2))/3,0),"Q1","Q2","Q3","Q4")</f>
        <v>Q4</v>
      </c>
    </row>
    <row r="1636" customFormat="false" ht="15" hidden="false" customHeight="true" outlineLevel="0" collapsed="false">
      <c r="A1636" s="1" t="s">
        <v>2461</v>
      </c>
      <c r="B1636" s="1" t="s">
        <v>2449</v>
      </c>
      <c r="C1636" s="1" t="s">
        <v>128</v>
      </c>
      <c r="D1636" s="1" t="s">
        <v>168</v>
      </c>
      <c r="E1636" s="1" t="s">
        <v>328</v>
      </c>
      <c r="F1636" s="1" t="s">
        <v>89</v>
      </c>
      <c r="G1636" s="1" t="s">
        <v>68</v>
      </c>
      <c r="H1636" s="1" t="s">
        <v>33</v>
      </c>
      <c r="I1636" s="1" t="s">
        <v>58</v>
      </c>
      <c r="J1636" s="1" t="s">
        <v>77</v>
      </c>
      <c r="K1636" s="1" t="s">
        <v>84</v>
      </c>
      <c r="L1636" s="1" t="s">
        <v>113</v>
      </c>
      <c r="M1636" s="1" t="s">
        <v>38</v>
      </c>
      <c r="N1636" s="1" t="n">
        <v>8999</v>
      </c>
      <c r="O1636" s="1" t="n">
        <v>30</v>
      </c>
      <c r="P1636" s="1" t="n">
        <v>2699.7</v>
      </c>
      <c r="Q1636" s="1" t="n">
        <v>6299.3</v>
      </c>
      <c r="R1636" s="1" t="n">
        <v>1133.87</v>
      </c>
      <c r="S1636" s="1" t="n">
        <v>5165.43</v>
      </c>
      <c r="T1636" s="1" t="n">
        <v>2471.96</v>
      </c>
      <c r="U1636" s="1" t="n">
        <v>2693.47</v>
      </c>
      <c r="V1636" s="1" t="n">
        <v>52.14</v>
      </c>
      <c r="W1636" s="1" t="s">
        <v>40</v>
      </c>
      <c r="Y1636" s="1" t="s">
        <v>40</v>
      </c>
      <c r="Z1636" s="1" t="n">
        <v>0</v>
      </c>
      <c r="AA1636" s="1" t="str">
        <f aca="false">TRIM(PROPER(F1636))</f>
        <v>Vadodara</v>
      </c>
      <c r="AB1636" s="1" t="str">
        <f aca="false">TRIM(PROPER(C1636))</f>
        <v>Great Learning</v>
      </c>
      <c r="AC1636" s="1" t="str">
        <f aca="false">IF(O1636=0,"No Discount",IF(O1636&lt;=15,"Low (1-15%)",IF(O1636&lt;=30,"Medium (16-30%)","High (&gt;30%)")))</f>
        <v>Medium (16-30%)</v>
      </c>
      <c r="AD1636" s="1" t="str">
        <f aca="false">IF(V1636&lt;0,"Loss Making",IF(V1636&lt;20,"Low Margin","Healthy Margin"))</f>
        <v>Healthy Margin</v>
      </c>
      <c r="AE1636" s="1" t="str">
        <f aca="false">TEXT(DATE(VALUE(RIGHT(B1636,4)),VALUE(MID(B1636,4,2)),VALUE(LEFT(B1636,2))),"MMM-YYYY")</f>
        <v>Apr-2024</v>
      </c>
      <c r="AF1636" s="1" t="n">
        <f aca="false">VALUE(RIGHT(B1636,4))</f>
        <v>2024</v>
      </c>
      <c r="AG1636" s="1" t="str">
        <f aca="false">CHOOSE(ROUNDUP(VALUE(MID(B1636,4,2))/3,0),"Q1","Q2","Q3","Q4")</f>
        <v>Q2</v>
      </c>
    </row>
    <row r="1637" customFormat="false" ht="15" hidden="false" customHeight="true" outlineLevel="0" collapsed="false">
      <c r="A1637" s="1" t="s">
        <v>2462</v>
      </c>
      <c r="B1637" s="1" t="s">
        <v>1899</v>
      </c>
      <c r="C1637" s="1" t="s">
        <v>93</v>
      </c>
      <c r="D1637" s="1" t="s">
        <v>80</v>
      </c>
      <c r="E1637" s="1" t="s">
        <v>175</v>
      </c>
      <c r="F1637" s="1" t="s">
        <v>96</v>
      </c>
      <c r="G1637" s="1" t="s">
        <v>97</v>
      </c>
      <c r="H1637" s="1" t="s">
        <v>69</v>
      </c>
      <c r="I1637" s="1" t="s">
        <v>34</v>
      </c>
      <c r="J1637" s="1" t="s">
        <v>59</v>
      </c>
      <c r="K1637" s="1" t="s">
        <v>84</v>
      </c>
      <c r="L1637" s="1" t="s">
        <v>85</v>
      </c>
      <c r="M1637" s="1" t="s">
        <v>50</v>
      </c>
      <c r="N1637" s="1" t="n">
        <v>19999</v>
      </c>
      <c r="O1637" s="1" t="n">
        <v>15</v>
      </c>
      <c r="P1637" s="1" t="n">
        <v>2999.85</v>
      </c>
      <c r="Q1637" s="1" t="n">
        <v>16999.15</v>
      </c>
      <c r="R1637" s="1" t="n">
        <v>3059.85</v>
      </c>
      <c r="S1637" s="1" t="n">
        <v>13939.3</v>
      </c>
      <c r="T1637" s="1" t="n">
        <v>4595.13</v>
      </c>
      <c r="U1637" s="1" t="n">
        <v>9344.17</v>
      </c>
      <c r="V1637" s="1" t="n">
        <v>67.03</v>
      </c>
      <c r="W1637" s="1" t="s">
        <v>39</v>
      </c>
      <c r="X1637" s="1" t="n">
        <v>3.4</v>
      </c>
      <c r="Y1637" s="1" t="s">
        <v>40</v>
      </c>
      <c r="Z1637" s="1" t="n">
        <v>0</v>
      </c>
      <c r="AA1637" s="1" t="str">
        <f aca="false">TRIM(PROPER(F1637))</f>
        <v>Pune</v>
      </c>
      <c r="AB1637" s="1" t="str">
        <f aca="false">TRIM(PROPER(C1637))</f>
        <v>Upgrad</v>
      </c>
      <c r="AC1637" s="1" t="str">
        <f aca="false">IF(O1637=0,"No Discount",IF(O1637&lt;=15,"Low (1-15%)",IF(O1637&lt;=30,"Medium (16-30%)","High (&gt;30%)")))</f>
        <v>Low (1-15%)</v>
      </c>
      <c r="AD1637" s="1" t="str">
        <f aca="false">IF(V1637&lt;0,"Loss Making",IF(V1637&lt;20,"Low Margin","Healthy Margin"))</f>
        <v>Healthy Margin</v>
      </c>
      <c r="AE1637" s="1" t="str">
        <f aca="false">TEXT(DATE(VALUE(RIGHT(B1637,4)),VALUE(MID(B1637,4,2)),VALUE(LEFT(B1637,2))),"MMM-YYYY")</f>
        <v>Jun-2024</v>
      </c>
      <c r="AF1637" s="1" t="n">
        <f aca="false">VALUE(RIGHT(B1637,4))</f>
        <v>2024</v>
      </c>
      <c r="AG1637" s="1" t="str">
        <f aca="false">CHOOSE(ROUNDUP(VALUE(MID(B1637,4,2))/3,0),"Q1","Q2","Q3","Q4")</f>
        <v>Q2</v>
      </c>
    </row>
    <row r="1638" customFormat="false" ht="15" hidden="false" customHeight="true" outlineLevel="0" collapsed="false">
      <c r="A1638" s="1" t="s">
        <v>2463</v>
      </c>
      <c r="B1638" s="1" t="s">
        <v>839</v>
      </c>
      <c r="C1638" s="1" t="s">
        <v>167</v>
      </c>
      <c r="D1638" s="1" t="s">
        <v>168</v>
      </c>
      <c r="E1638" s="1" t="s">
        <v>328</v>
      </c>
      <c r="F1638" s="1" t="s">
        <v>96</v>
      </c>
      <c r="G1638" s="1" t="s">
        <v>97</v>
      </c>
      <c r="H1638" s="1" t="s">
        <v>69</v>
      </c>
      <c r="I1638" s="1" t="s">
        <v>83</v>
      </c>
      <c r="J1638" s="1" t="s">
        <v>131</v>
      </c>
      <c r="K1638" s="1" t="s">
        <v>48</v>
      </c>
      <c r="L1638" s="1" t="s">
        <v>61</v>
      </c>
      <c r="M1638" s="1" t="s">
        <v>38</v>
      </c>
      <c r="N1638" s="1" t="n">
        <v>8999</v>
      </c>
      <c r="O1638" s="1" t="n">
        <v>20</v>
      </c>
      <c r="P1638" s="1" t="n">
        <v>1799.8</v>
      </c>
      <c r="Q1638" s="1" t="n">
        <v>7199.2</v>
      </c>
      <c r="R1638" s="1" t="n">
        <v>1295.86</v>
      </c>
      <c r="S1638" s="1" t="n">
        <v>5903.34</v>
      </c>
      <c r="T1638" s="1" t="n">
        <v>1998.97</v>
      </c>
      <c r="U1638" s="1" t="n">
        <v>3904.37</v>
      </c>
      <c r="V1638" s="1" t="n">
        <v>66.14</v>
      </c>
      <c r="W1638" s="1" t="s">
        <v>40</v>
      </c>
      <c r="Y1638" s="1" t="s">
        <v>40</v>
      </c>
      <c r="Z1638" s="1" t="n">
        <v>2</v>
      </c>
      <c r="AA1638" s="1" t="str">
        <f aca="false">TRIM(PROPER(F1638))</f>
        <v>Pune</v>
      </c>
      <c r="AB1638" s="1" t="str">
        <f aca="false">TRIM(PROPER(C1638))</f>
        <v>Scaler</v>
      </c>
      <c r="AC1638" s="1" t="str">
        <f aca="false">IF(O1638=0,"No Discount",IF(O1638&lt;=15,"Low (1-15%)",IF(O1638&lt;=30,"Medium (16-30%)","High (&gt;30%)")))</f>
        <v>Medium (16-30%)</v>
      </c>
      <c r="AD1638" s="1" t="str">
        <f aca="false">IF(V1638&lt;0,"Loss Making",IF(V1638&lt;20,"Low Margin","Healthy Margin"))</f>
        <v>Healthy Margin</v>
      </c>
      <c r="AE1638" s="1" t="str">
        <f aca="false">TEXT(DATE(VALUE(RIGHT(B1638,4)),VALUE(MID(B1638,4,2)),VALUE(LEFT(B1638,2))),"MMM-YYYY")</f>
        <v>Dec-2023</v>
      </c>
      <c r="AF1638" s="1" t="n">
        <f aca="false">VALUE(RIGHT(B1638,4))</f>
        <v>2023</v>
      </c>
      <c r="AG1638" s="1" t="str">
        <f aca="false">CHOOSE(ROUNDUP(VALUE(MID(B1638,4,2))/3,0),"Q1","Q2","Q3","Q4")</f>
        <v>Q4</v>
      </c>
    </row>
    <row r="1639" customFormat="false" ht="15" hidden="false" customHeight="true" outlineLevel="0" collapsed="false">
      <c r="A1639" s="1" t="s">
        <v>2464</v>
      </c>
      <c r="B1639" s="1" t="s">
        <v>406</v>
      </c>
      <c r="C1639" s="1" t="s">
        <v>139</v>
      </c>
      <c r="D1639" s="1" t="s">
        <v>168</v>
      </c>
      <c r="E1639" s="1" t="s">
        <v>169</v>
      </c>
      <c r="F1639" s="1" t="s">
        <v>184</v>
      </c>
      <c r="G1639" s="1" t="s">
        <v>56</v>
      </c>
      <c r="H1639" s="1" t="s">
        <v>57</v>
      </c>
      <c r="I1639" s="1" t="s">
        <v>83</v>
      </c>
      <c r="J1639" s="1" t="s">
        <v>77</v>
      </c>
      <c r="K1639" s="1" t="s">
        <v>90</v>
      </c>
      <c r="L1639" s="1" t="s">
        <v>49</v>
      </c>
      <c r="M1639" s="1" t="s">
        <v>62</v>
      </c>
      <c r="N1639" s="1" t="n">
        <v>4999</v>
      </c>
      <c r="O1639" s="1" t="n">
        <v>0</v>
      </c>
      <c r="P1639" s="1" t="n">
        <v>0</v>
      </c>
      <c r="Q1639" s="1" t="n">
        <v>4999</v>
      </c>
      <c r="R1639" s="1" t="n">
        <v>899.82</v>
      </c>
      <c r="S1639" s="1" t="n">
        <v>4099.18</v>
      </c>
      <c r="T1639" s="1" t="n">
        <v>1620.75</v>
      </c>
      <c r="U1639" s="1" t="n">
        <v>2478.43</v>
      </c>
      <c r="V1639" s="1" t="n">
        <v>60.46</v>
      </c>
      <c r="W1639" s="1" t="s">
        <v>40</v>
      </c>
      <c r="Y1639" s="1" t="s">
        <v>40</v>
      </c>
      <c r="Z1639" s="1" t="n">
        <v>3</v>
      </c>
      <c r="AA1639" s="1" t="str">
        <f aca="false">TRIM(PROPER(F1639))</f>
        <v>Faridabad</v>
      </c>
      <c r="AB1639" s="1" t="str">
        <f aca="false">TRIM(PROPER(C1639))</f>
        <v>Extramarks</v>
      </c>
      <c r="AC1639" s="1" t="str">
        <f aca="false">IF(O1639=0,"No Discount",IF(O1639&lt;=15,"Low (1-15%)",IF(O1639&lt;=30,"Medium (16-30%)","High (&gt;30%)")))</f>
        <v>No Discount</v>
      </c>
      <c r="AD1639" s="1" t="str">
        <f aca="false">IF(V1639&lt;0,"Loss Making",IF(V1639&lt;20,"Low Margin","Healthy Margin"))</f>
        <v>Healthy Margin</v>
      </c>
      <c r="AE1639" s="1" t="str">
        <f aca="false">TEXT(DATE(VALUE(RIGHT(B1639,4)),VALUE(MID(B1639,4,2)),VALUE(LEFT(B1639,2))),"MMM-YYYY")</f>
        <v>Apr-2023</v>
      </c>
      <c r="AF1639" s="1" t="n">
        <f aca="false">VALUE(RIGHT(B1639,4))</f>
        <v>2023</v>
      </c>
      <c r="AG1639" s="1" t="str">
        <f aca="false">CHOOSE(ROUNDUP(VALUE(MID(B1639,4,2))/3,0),"Q1","Q2","Q3","Q4")</f>
        <v>Q2</v>
      </c>
    </row>
    <row r="1640" customFormat="false" ht="15" hidden="false" customHeight="true" outlineLevel="0" collapsed="false">
      <c r="A1640" s="1" t="s">
        <v>2465</v>
      </c>
      <c r="B1640" s="1" t="s">
        <v>776</v>
      </c>
      <c r="C1640" s="1" t="s">
        <v>28</v>
      </c>
      <c r="D1640" s="1" t="s">
        <v>29</v>
      </c>
      <c r="E1640" s="1" t="s">
        <v>182</v>
      </c>
      <c r="F1640" s="1" t="s">
        <v>244</v>
      </c>
      <c r="G1640" s="1" t="s">
        <v>97</v>
      </c>
      <c r="H1640" s="1" t="s">
        <v>57</v>
      </c>
      <c r="I1640" s="1" t="s">
        <v>83</v>
      </c>
      <c r="J1640" s="1" t="s">
        <v>35</v>
      </c>
      <c r="K1640" s="1" t="s">
        <v>90</v>
      </c>
      <c r="L1640" s="1" t="s">
        <v>49</v>
      </c>
      <c r="M1640" s="1" t="s">
        <v>50</v>
      </c>
      <c r="N1640" s="1" t="n">
        <v>34999</v>
      </c>
      <c r="O1640" s="1" t="n">
        <v>30</v>
      </c>
      <c r="P1640" s="1" t="n">
        <v>10499.7</v>
      </c>
      <c r="Q1640" s="1" t="n">
        <v>24499.3</v>
      </c>
      <c r="R1640" s="1" t="n">
        <v>4409.87</v>
      </c>
      <c r="S1640" s="1" t="n">
        <v>20089.43</v>
      </c>
      <c r="T1640" s="1" t="n">
        <v>6830.13</v>
      </c>
      <c r="U1640" s="1" t="n">
        <v>13259.3</v>
      </c>
      <c r="V1640" s="1" t="n">
        <v>66</v>
      </c>
      <c r="W1640" s="1" t="s">
        <v>39</v>
      </c>
      <c r="Y1640" s="1" t="s">
        <v>40</v>
      </c>
      <c r="Z1640" s="1" t="n">
        <v>0</v>
      </c>
      <c r="AA1640" s="1" t="str">
        <f aca="false">TRIM(PROPER(F1640))</f>
        <v>Nagpur</v>
      </c>
      <c r="AB1640" s="1" t="str">
        <f aca="false">TRIM(PROPER(C1640))</f>
        <v>Embibe</v>
      </c>
      <c r="AC1640" s="1" t="str">
        <f aca="false">IF(O1640=0,"No Discount",IF(O1640&lt;=15,"Low (1-15%)",IF(O1640&lt;=30,"Medium (16-30%)","High (&gt;30%)")))</f>
        <v>Medium (16-30%)</v>
      </c>
      <c r="AD1640" s="1" t="str">
        <f aca="false">IF(V1640&lt;0,"Loss Making",IF(V1640&lt;20,"Low Margin","Healthy Margin"))</f>
        <v>Healthy Margin</v>
      </c>
      <c r="AE1640" s="1" t="str">
        <f aca="false">TEXT(DATE(VALUE(RIGHT(B1640,4)),VALUE(MID(B1640,4,2)),VALUE(LEFT(B1640,2))),"MMM-YYYY")</f>
        <v>Mar-2023</v>
      </c>
      <c r="AF1640" s="1" t="n">
        <f aca="false">VALUE(RIGHT(B1640,4))</f>
        <v>2023</v>
      </c>
      <c r="AG1640" s="1" t="str">
        <f aca="false">CHOOSE(ROUNDUP(VALUE(MID(B1640,4,2))/3,0),"Q1","Q2","Q3","Q4")</f>
        <v>Q1</v>
      </c>
    </row>
    <row r="1641" customFormat="false" ht="15" hidden="false" customHeight="true" outlineLevel="0" collapsed="false">
      <c r="A1641" s="1" t="s">
        <v>2466</v>
      </c>
      <c r="B1641" s="1" t="s">
        <v>1042</v>
      </c>
      <c r="C1641" s="1" t="s">
        <v>249</v>
      </c>
      <c r="D1641" s="1" t="s">
        <v>53</v>
      </c>
      <c r="E1641" s="1" t="s">
        <v>54</v>
      </c>
      <c r="F1641" s="1" t="s">
        <v>125</v>
      </c>
      <c r="G1641" s="1" t="s">
        <v>108</v>
      </c>
      <c r="H1641" s="1" t="s">
        <v>69</v>
      </c>
      <c r="I1641" s="1" t="s">
        <v>58</v>
      </c>
      <c r="J1641" s="1" t="s">
        <v>59</v>
      </c>
      <c r="K1641" s="1" t="s">
        <v>104</v>
      </c>
      <c r="L1641" s="1" t="s">
        <v>61</v>
      </c>
      <c r="M1641" s="1" t="s">
        <v>62</v>
      </c>
      <c r="N1641" s="1" t="n">
        <v>11999</v>
      </c>
      <c r="O1641" s="1" t="n">
        <v>0</v>
      </c>
      <c r="P1641" s="1" t="n">
        <v>0</v>
      </c>
      <c r="Q1641" s="1" t="n">
        <v>11999</v>
      </c>
      <c r="R1641" s="1" t="n">
        <v>2159.82</v>
      </c>
      <c r="S1641" s="1" t="n">
        <v>9839.18</v>
      </c>
      <c r="T1641" s="1" t="n">
        <v>4712.04</v>
      </c>
      <c r="U1641" s="1" t="n">
        <v>5127.14</v>
      </c>
      <c r="V1641" s="1" t="n">
        <v>52.11</v>
      </c>
      <c r="W1641" s="1" t="s">
        <v>39</v>
      </c>
      <c r="X1641" s="1" t="n">
        <v>3.1</v>
      </c>
      <c r="Y1641" s="1" t="s">
        <v>40</v>
      </c>
      <c r="Z1641" s="1" t="n">
        <v>1</v>
      </c>
      <c r="AA1641" s="1" t="str">
        <f aca="false">TRIM(PROPER(F1641))</f>
        <v>Chennai</v>
      </c>
      <c r="AB1641" s="1" t="str">
        <f aca="false">TRIM(PROPER(C1641))</f>
        <v>Whitehat Jr</v>
      </c>
      <c r="AC1641" s="1" t="str">
        <f aca="false">IF(O1641=0,"No Discount",IF(O1641&lt;=15,"Low (1-15%)",IF(O1641&lt;=30,"Medium (16-30%)","High (&gt;30%)")))</f>
        <v>No Discount</v>
      </c>
      <c r="AD1641" s="1" t="str">
        <f aca="false">IF(V1641&lt;0,"Loss Making",IF(V1641&lt;20,"Low Margin","Healthy Margin"))</f>
        <v>Healthy Margin</v>
      </c>
      <c r="AE1641" s="1" t="str">
        <f aca="false">TEXT(DATE(VALUE(RIGHT(B1641,4)),VALUE(MID(B1641,4,2)),VALUE(LEFT(B1641,2))),"MMM-YYYY")</f>
        <v>Mar-2023</v>
      </c>
      <c r="AF1641" s="1" t="n">
        <f aca="false">VALUE(RIGHT(B1641,4))</f>
        <v>2023</v>
      </c>
      <c r="AG1641" s="1" t="str">
        <f aca="false">CHOOSE(ROUNDUP(VALUE(MID(B1641,4,2))/3,0),"Q1","Q2","Q3","Q4")</f>
        <v>Q1</v>
      </c>
    </row>
    <row r="1642" customFormat="false" ht="15" hidden="false" customHeight="true" outlineLevel="0" collapsed="false">
      <c r="A1642" s="1" t="s">
        <v>2467</v>
      </c>
      <c r="B1642" s="1" t="s">
        <v>1002</v>
      </c>
      <c r="C1642" s="1" t="s">
        <v>264</v>
      </c>
      <c r="D1642" s="1" t="s">
        <v>94</v>
      </c>
      <c r="E1642" s="1" t="s">
        <v>101</v>
      </c>
      <c r="F1642" s="1" t="s">
        <v>96</v>
      </c>
      <c r="G1642" s="1" t="s">
        <v>97</v>
      </c>
      <c r="H1642" s="1" t="s">
        <v>69</v>
      </c>
      <c r="I1642" s="1" t="s">
        <v>34</v>
      </c>
      <c r="J1642" s="1" t="s">
        <v>35</v>
      </c>
      <c r="K1642" s="1" t="s">
        <v>60</v>
      </c>
      <c r="L1642" s="1" t="s">
        <v>37</v>
      </c>
      <c r="M1642" s="1" t="s">
        <v>62</v>
      </c>
      <c r="N1642" s="1" t="n">
        <v>14999</v>
      </c>
      <c r="O1642" s="1" t="n">
        <v>5</v>
      </c>
      <c r="P1642" s="1" t="n">
        <v>749.95</v>
      </c>
      <c r="Q1642" s="1" t="n">
        <v>14249.05</v>
      </c>
      <c r="R1642" s="1" t="n">
        <v>2564.83</v>
      </c>
      <c r="S1642" s="1" t="n">
        <v>11684.22</v>
      </c>
      <c r="T1642" s="1" t="n">
        <v>4906.47</v>
      </c>
      <c r="U1642" s="1" t="n">
        <v>6777.75</v>
      </c>
      <c r="V1642" s="1" t="n">
        <v>58.01</v>
      </c>
      <c r="W1642" s="1" t="s">
        <v>39</v>
      </c>
      <c r="X1642" s="1" t="n">
        <v>4.1</v>
      </c>
      <c r="Y1642" s="1" t="s">
        <v>40</v>
      </c>
      <c r="Z1642" s="1" t="n">
        <v>0</v>
      </c>
      <c r="AA1642" s="1" t="str">
        <f aca="false">TRIM(PROPER(F1642))</f>
        <v>Pune</v>
      </c>
      <c r="AB1642" s="1" t="str">
        <f aca="false">TRIM(PROPER(C1642))</f>
        <v>Unacademy</v>
      </c>
      <c r="AC1642" s="1" t="str">
        <f aca="false">IF(O1642=0,"No Discount",IF(O1642&lt;=15,"Low (1-15%)",IF(O1642&lt;=30,"Medium (16-30%)","High (&gt;30%)")))</f>
        <v>Low (1-15%)</v>
      </c>
      <c r="AD1642" s="1" t="str">
        <f aca="false">IF(V1642&lt;0,"Loss Making",IF(V1642&lt;20,"Low Margin","Healthy Margin"))</f>
        <v>Healthy Margin</v>
      </c>
      <c r="AE1642" s="1" t="str">
        <f aca="false">TEXT(DATE(VALUE(RIGHT(B1642,4)),VALUE(MID(B1642,4,2)),VALUE(LEFT(B1642,2))),"MMM-YYYY")</f>
        <v>Oct-2024</v>
      </c>
      <c r="AF1642" s="1" t="n">
        <f aca="false">VALUE(RIGHT(B1642,4))</f>
        <v>2024</v>
      </c>
      <c r="AG1642" s="1" t="str">
        <f aca="false">CHOOSE(ROUNDUP(VALUE(MID(B1642,4,2))/3,0),"Q1","Q2","Q3","Q4")</f>
        <v>Q4</v>
      </c>
    </row>
    <row r="1643" customFormat="false" ht="15" hidden="false" customHeight="true" outlineLevel="0" collapsed="false">
      <c r="A1643" s="1" t="s">
        <v>2468</v>
      </c>
      <c r="B1643" s="1" t="s">
        <v>1588</v>
      </c>
      <c r="C1643" s="1" t="s">
        <v>88</v>
      </c>
      <c r="D1643" s="1" t="s">
        <v>80</v>
      </c>
      <c r="E1643" s="1" t="s">
        <v>193</v>
      </c>
      <c r="F1643" s="1" t="s">
        <v>194</v>
      </c>
      <c r="G1643" s="1" t="s">
        <v>103</v>
      </c>
      <c r="H1643" s="1" t="s">
        <v>69</v>
      </c>
      <c r="I1643" s="1" t="s">
        <v>58</v>
      </c>
      <c r="J1643" s="1" t="s">
        <v>35</v>
      </c>
      <c r="K1643" s="1" t="s">
        <v>36</v>
      </c>
      <c r="L1643" s="1" t="s">
        <v>49</v>
      </c>
      <c r="M1643" s="1" t="s">
        <v>38</v>
      </c>
      <c r="N1643" s="1" t="n">
        <v>8999</v>
      </c>
      <c r="O1643" s="1" t="n">
        <v>30</v>
      </c>
      <c r="P1643" s="1" t="n">
        <v>2699.7</v>
      </c>
      <c r="Q1643" s="1" t="n">
        <v>6299.3</v>
      </c>
      <c r="R1643" s="1" t="n">
        <v>1133.87</v>
      </c>
      <c r="S1643" s="1" t="n">
        <v>5165.43</v>
      </c>
      <c r="T1643" s="1" t="n">
        <v>1954.26</v>
      </c>
      <c r="U1643" s="1" t="n">
        <v>3211.17</v>
      </c>
      <c r="V1643" s="1" t="n">
        <v>62.17</v>
      </c>
      <c r="W1643" s="1" t="s">
        <v>39</v>
      </c>
      <c r="X1643" s="1" t="n">
        <v>4.3</v>
      </c>
      <c r="Y1643" s="1" t="s">
        <v>40</v>
      </c>
      <c r="Z1643" s="1" t="n">
        <v>0</v>
      </c>
      <c r="AA1643" s="1" t="str">
        <f aca="false">TRIM(PROPER(F1643))</f>
        <v>Hyderabad</v>
      </c>
      <c r="AB1643" s="1" t="str">
        <f aca="false">TRIM(PROPER(C1643))</f>
        <v>Byju'S</v>
      </c>
      <c r="AC1643" s="1" t="str">
        <f aca="false">IF(O1643=0,"No Discount",IF(O1643&lt;=15,"Low (1-15%)",IF(O1643&lt;=30,"Medium (16-30%)","High (&gt;30%)")))</f>
        <v>Medium (16-30%)</v>
      </c>
      <c r="AD1643" s="1" t="str">
        <f aca="false">IF(V1643&lt;0,"Loss Making",IF(V1643&lt;20,"Low Margin","Healthy Margin"))</f>
        <v>Healthy Margin</v>
      </c>
      <c r="AE1643" s="1" t="str">
        <f aca="false">TEXT(DATE(VALUE(RIGHT(B1643,4)),VALUE(MID(B1643,4,2)),VALUE(LEFT(B1643,2))),"MMM-YYYY")</f>
        <v>Jan-2024</v>
      </c>
      <c r="AF1643" s="1" t="n">
        <f aca="false">VALUE(RIGHT(B1643,4))</f>
        <v>2024</v>
      </c>
      <c r="AG1643" s="1" t="str">
        <f aca="false">CHOOSE(ROUNDUP(VALUE(MID(B1643,4,2))/3,0),"Q1","Q2","Q3","Q4")</f>
        <v>Q1</v>
      </c>
    </row>
    <row r="1644" customFormat="false" ht="15" hidden="false" customHeight="true" outlineLevel="0" collapsed="false">
      <c r="A1644" s="1" t="s">
        <v>2469</v>
      </c>
      <c r="B1644" s="1" t="s">
        <v>2470</v>
      </c>
      <c r="C1644" s="1" t="s">
        <v>100</v>
      </c>
      <c r="D1644" s="1" t="s">
        <v>94</v>
      </c>
      <c r="E1644" s="1" t="s">
        <v>135</v>
      </c>
      <c r="F1644" s="1" t="s">
        <v>150</v>
      </c>
      <c r="G1644" s="1" t="s">
        <v>32</v>
      </c>
      <c r="H1644" s="1" t="s">
        <v>57</v>
      </c>
      <c r="I1644" s="1" t="s">
        <v>34</v>
      </c>
      <c r="J1644" s="1" t="s">
        <v>59</v>
      </c>
      <c r="K1644" s="1" t="s">
        <v>84</v>
      </c>
      <c r="L1644" s="1" t="s">
        <v>85</v>
      </c>
      <c r="M1644" s="1" t="s">
        <v>62</v>
      </c>
      <c r="N1644" s="1" t="n">
        <v>9999</v>
      </c>
      <c r="O1644" s="1" t="n">
        <v>10</v>
      </c>
      <c r="P1644" s="1" t="n">
        <v>999.9</v>
      </c>
      <c r="Q1644" s="1" t="n">
        <v>8999.1</v>
      </c>
      <c r="R1644" s="1" t="n">
        <v>1619.84</v>
      </c>
      <c r="S1644" s="1" t="n">
        <v>7379.26</v>
      </c>
      <c r="T1644" s="1" t="n">
        <v>3774.49</v>
      </c>
      <c r="U1644" s="1" t="n">
        <v>3604.77</v>
      </c>
      <c r="V1644" s="1" t="n">
        <v>48.85</v>
      </c>
      <c r="W1644" s="1" t="s">
        <v>40</v>
      </c>
      <c r="Y1644" s="1" t="s">
        <v>40</v>
      </c>
      <c r="Z1644" s="1" t="n">
        <v>1</v>
      </c>
      <c r="AA1644" s="1" t="str">
        <f aca="false">TRIM(PROPER(F1644))</f>
        <v>Jaipur</v>
      </c>
      <c r="AB1644" s="1" t="str">
        <f aca="false">TRIM(PROPER(C1644))</f>
        <v>Physics Wallah</v>
      </c>
      <c r="AC1644" s="1" t="str">
        <f aca="false">IF(O1644=0,"No Discount",IF(O1644&lt;=15,"Low (1-15%)",IF(O1644&lt;=30,"Medium (16-30%)","High (&gt;30%)")))</f>
        <v>Low (1-15%)</v>
      </c>
      <c r="AD1644" s="1" t="str">
        <f aca="false">IF(V1644&lt;0,"Loss Making",IF(V1644&lt;20,"Low Margin","Healthy Margin"))</f>
        <v>Healthy Margin</v>
      </c>
      <c r="AE1644" s="1" t="str">
        <f aca="false">TEXT(DATE(VALUE(RIGHT(B1644,4)),VALUE(MID(B1644,4,2)),VALUE(LEFT(B1644,2))),"MMM-YYYY")</f>
        <v>Nov-2023</v>
      </c>
      <c r="AF1644" s="1" t="n">
        <f aca="false">VALUE(RIGHT(B1644,4))</f>
        <v>2023</v>
      </c>
      <c r="AG1644" s="1" t="str">
        <f aca="false">CHOOSE(ROUNDUP(VALUE(MID(B1644,4,2))/3,0),"Q1","Q2","Q3","Q4")</f>
        <v>Q4</v>
      </c>
    </row>
    <row r="1645" customFormat="false" ht="15" hidden="false" customHeight="true" outlineLevel="0" collapsed="false">
      <c r="A1645" s="1" t="s">
        <v>2471</v>
      </c>
      <c r="B1645" s="1" t="s">
        <v>489</v>
      </c>
      <c r="C1645" s="1" t="s">
        <v>802</v>
      </c>
      <c r="D1645" s="1" t="s">
        <v>53</v>
      </c>
      <c r="E1645" s="1" t="s">
        <v>116</v>
      </c>
      <c r="F1645" s="1" t="s">
        <v>211</v>
      </c>
      <c r="G1645" s="1" t="s">
        <v>56</v>
      </c>
      <c r="H1645" s="1" t="s">
        <v>69</v>
      </c>
      <c r="I1645" s="1" t="s">
        <v>58</v>
      </c>
      <c r="J1645" s="1" t="s">
        <v>35</v>
      </c>
      <c r="K1645" s="1" t="s">
        <v>90</v>
      </c>
      <c r="L1645" s="1" t="s">
        <v>61</v>
      </c>
      <c r="M1645" s="1" t="s">
        <v>38</v>
      </c>
      <c r="N1645" s="1" t="n">
        <v>9999</v>
      </c>
      <c r="O1645" s="1" t="n">
        <v>0</v>
      </c>
      <c r="P1645" s="1" t="n">
        <v>0</v>
      </c>
      <c r="Q1645" s="1" t="n">
        <v>9999</v>
      </c>
      <c r="R1645" s="1" t="n">
        <v>1799.82</v>
      </c>
      <c r="S1645" s="1" t="n">
        <v>8199.18</v>
      </c>
      <c r="T1645" s="1" t="n">
        <v>3346.57</v>
      </c>
      <c r="U1645" s="1" t="n">
        <v>4852.61</v>
      </c>
      <c r="V1645" s="1" t="n">
        <v>59.18</v>
      </c>
      <c r="W1645" s="1" t="s">
        <v>40</v>
      </c>
      <c r="Y1645" s="1" t="s">
        <v>40</v>
      </c>
      <c r="Z1645" s="1" t="n">
        <v>0</v>
      </c>
      <c r="AA1645" s="1" t="str">
        <f aca="false">TRIM(PROPER(F1645))</f>
        <v>Noida</v>
      </c>
      <c r="AB1645" s="1" t="str">
        <f aca="false">TRIM(PROPER(C1645))</f>
        <v>Vedantu</v>
      </c>
      <c r="AC1645" s="1" t="str">
        <f aca="false">IF(O1645=0,"No Discount",IF(O1645&lt;=15,"Low (1-15%)",IF(O1645&lt;=30,"Medium (16-30%)","High (&gt;30%)")))</f>
        <v>No Discount</v>
      </c>
      <c r="AD1645" s="1" t="str">
        <f aca="false">IF(V1645&lt;0,"Loss Making",IF(V1645&lt;20,"Low Margin","Healthy Margin"))</f>
        <v>Healthy Margin</v>
      </c>
      <c r="AE1645" s="1" t="str">
        <f aca="false">TEXT(DATE(VALUE(RIGHT(B1645,4)),VALUE(MID(B1645,4,2)),VALUE(LEFT(B1645,2))),"MMM-YYYY")</f>
        <v>Apr-2023</v>
      </c>
      <c r="AF1645" s="1" t="n">
        <f aca="false">VALUE(RIGHT(B1645,4))</f>
        <v>2023</v>
      </c>
      <c r="AG1645" s="1" t="str">
        <f aca="false">CHOOSE(ROUNDUP(VALUE(MID(B1645,4,2))/3,0),"Q1","Q2","Q3","Q4")</f>
        <v>Q2</v>
      </c>
    </row>
    <row r="1646" customFormat="false" ht="15" hidden="false" customHeight="true" outlineLevel="0" collapsed="false">
      <c r="A1646" s="1" t="s">
        <v>2472</v>
      </c>
      <c r="B1646" s="1" t="s">
        <v>1118</v>
      </c>
      <c r="C1646" s="1" t="s">
        <v>93</v>
      </c>
      <c r="D1646" s="1" t="s">
        <v>94</v>
      </c>
      <c r="E1646" s="1" t="s">
        <v>135</v>
      </c>
      <c r="F1646" s="1" t="s">
        <v>194</v>
      </c>
      <c r="G1646" s="1" t="s">
        <v>103</v>
      </c>
      <c r="H1646" s="1" t="s">
        <v>69</v>
      </c>
      <c r="I1646" s="1" t="s">
        <v>83</v>
      </c>
      <c r="J1646" s="1" t="s">
        <v>35</v>
      </c>
      <c r="K1646" s="1" t="s">
        <v>84</v>
      </c>
      <c r="L1646" s="1" t="s">
        <v>136</v>
      </c>
      <c r="M1646" s="1" t="s">
        <v>50</v>
      </c>
      <c r="N1646" s="1" t="n">
        <v>9999</v>
      </c>
      <c r="O1646" s="1" t="n">
        <v>50</v>
      </c>
      <c r="P1646" s="1" t="n">
        <v>4999.5</v>
      </c>
      <c r="Q1646" s="1" t="n">
        <v>4999.5</v>
      </c>
      <c r="R1646" s="1" t="n">
        <v>899.91</v>
      </c>
      <c r="S1646" s="1" t="n">
        <v>4099.59</v>
      </c>
      <c r="T1646" s="1" t="n">
        <v>2049.4</v>
      </c>
      <c r="U1646" s="1" t="n">
        <v>2050.19</v>
      </c>
      <c r="V1646" s="1" t="n">
        <v>50.01</v>
      </c>
      <c r="W1646" s="1" t="s">
        <v>40</v>
      </c>
      <c r="Y1646" s="1" t="s">
        <v>40</v>
      </c>
      <c r="Z1646" s="1" t="n">
        <v>1</v>
      </c>
      <c r="AA1646" s="1" t="str">
        <f aca="false">TRIM(PROPER(F1646))</f>
        <v>Hyderabad</v>
      </c>
      <c r="AB1646" s="1" t="str">
        <f aca="false">TRIM(PROPER(C1646))</f>
        <v>Upgrad</v>
      </c>
      <c r="AC1646" s="1" t="str">
        <f aca="false">IF(O1646=0,"No Discount",IF(O1646&lt;=15,"Low (1-15%)",IF(O1646&lt;=30,"Medium (16-30%)","High (&gt;30%)")))</f>
        <v>High (&gt;30%)</v>
      </c>
      <c r="AD1646" s="1" t="str">
        <f aca="false">IF(V1646&lt;0,"Loss Making",IF(V1646&lt;20,"Low Margin","Healthy Margin"))</f>
        <v>Healthy Margin</v>
      </c>
      <c r="AE1646" s="1" t="str">
        <f aca="false">TEXT(DATE(VALUE(RIGHT(B1646,4)),VALUE(MID(B1646,4,2)),VALUE(LEFT(B1646,2))),"MMM-YYYY")</f>
        <v>Jul-2023</v>
      </c>
      <c r="AF1646" s="1" t="n">
        <f aca="false">VALUE(RIGHT(B1646,4))</f>
        <v>2023</v>
      </c>
      <c r="AG1646" s="1" t="str">
        <f aca="false">CHOOSE(ROUNDUP(VALUE(MID(B1646,4,2))/3,0),"Q1","Q2","Q3","Q4")</f>
        <v>Q3</v>
      </c>
    </row>
    <row r="1647" customFormat="false" ht="15" hidden="false" customHeight="true" outlineLevel="0" collapsed="false">
      <c r="A1647" s="1" t="s">
        <v>2473</v>
      </c>
      <c r="B1647" s="1" t="s">
        <v>1614</v>
      </c>
      <c r="C1647" s="1" t="s">
        <v>93</v>
      </c>
      <c r="D1647" s="1" t="s">
        <v>94</v>
      </c>
      <c r="E1647" s="1" t="s">
        <v>135</v>
      </c>
      <c r="F1647" s="1" t="s">
        <v>269</v>
      </c>
      <c r="G1647" s="1" t="s">
        <v>108</v>
      </c>
      <c r="H1647" s="1" t="s">
        <v>57</v>
      </c>
      <c r="I1647" s="1" t="s">
        <v>83</v>
      </c>
      <c r="J1647" s="1" t="s">
        <v>59</v>
      </c>
      <c r="K1647" s="1" t="s">
        <v>90</v>
      </c>
      <c r="L1647" s="1" t="s">
        <v>61</v>
      </c>
      <c r="M1647" s="1" t="s">
        <v>62</v>
      </c>
      <c r="N1647" s="1" t="n">
        <v>9999</v>
      </c>
      <c r="O1647" s="1" t="n">
        <v>0</v>
      </c>
      <c r="P1647" s="1" t="n">
        <v>0</v>
      </c>
      <c r="Q1647" s="1" t="n">
        <v>9999</v>
      </c>
      <c r="R1647" s="1" t="n">
        <v>1799.82</v>
      </c>
      <c r="S1647" s="1" t="n">
        <v>8199.18</v>
      </c>
      <c r="T1647" s="1" t="n">
        <v>3676.37</v>
      </c>
      <c r="U1647" s="1" t="n">
        <v>4522.81</v>
      </c>
      <c r="V1647" s="1" t="n">
        <v>55.16</v>
      </c>
      <c r="W1647" s="1" t="s">
        <v>39</v>
      </c>
      <c r="X1647" s="1" t="n">
        <v>3.5</v>
      </c>
      <c r="Y1647" s="1" t="s">
        <v>40</v>
      </c>
      <c r="Z1647" s="1" t="n">
        <v>1</v>
      </c>
      <c r="AA1647" s="1" t="str">
        <f aca="false">TRIM(PROPER(F1647))</f>
        <v>Coimbatore</v>
      </c>
      <c r="AB1647" s="1" t="str">
        <f aca="false">TRIM(PROPER(C1647))</f>
        <v>Upgrad</v>
      </c>
      <c r="AC1647" s="1" t="str">
        <f aca="false">IF(O1647=0,"No Discount",IF(O1647&lt;=15,"Low (1-15%)",IF(O1647&lt;=30,"Medium (16-30%)","High (&gt;30%)")))</f>
        <v>No Discount</v>
      </c>
      <c r="AD1647" s="1" t="str">
        <f aca="false">IF(V1647&lt;0,"Loss Making",IF(V1647&lt;20,"Low Margin","Healthy Margin"))</f>
        <v>Healthy Margin</v>
      </c>
      <c r="AE1647" s="1" t="str">
        <f aca="false">TEXT(DATE(VALUE(RIGHT(B1647,4)),VALUE(MID(B1647,4,2)),VALUE(LEFT(B1647,2))),"MMM-YYYY")</f>
        <v>Jan-2024</v>
      </c>
      <c r="AF1647" s="1" t="n">
        <f aca="false">VALUE(RIGHT(B1647,4))</f>
        <v>2024</v>
      </c>
      <c r="AG1647" s="1" t="str">
        <f aca="false">CHOOSE(ROUNDUP(VALUE(MID(B1647,4,2))/3,0),"Q1","Q2","Q3","Q4")</f>
        <v>Q1</v>
      </c>
    </row>
    <row r="1648" customFormat="false" ht="15" hidden="false" customHeight="true" outlineLevel="0" collapsed="false">
      <c r="A1648" s="1" t="s">
        <v>2474</v>
      </c>
      <c r="B1648" s="1" t="s">
        <v>171</v>
      </c>
      <c r="C1648" s="1" t="s">
        <v>88</v>
      </c>
      <c r="D1648" s="1" t="s">
        <v>53</v>
      </c>
      <c r="E1648" s="1" t="s">
        <v>54</v>
      </c>
      <c r="F1648" s="1" t="s">
        <v>31</v>
      </c>
      <c r="G1648" s="1" t="s">
        <v>32</v>
      </c>
      <c r="H1648" s="1" t="s">
        <v>33</v>
      </c>
      <c r="I1648" s="1" t="s">
        <v>58</v>
      </c>
      <c r="J1648" s="1" t="s">
        <v>35</v>
      </c>
      <c r="K1648" s="1" t="s">
        <v>60</v>
      </c>
      <c r="L1648" s="1" t="s">
        <v>49</v>
      </c>
      <c r="M1648" s="1" t="s">
        <v>62</v>
      </c>
      <c r="N1648" s="1" t="n">
        <v>11999</v>
      </c>
      <c r="O1648" s="1" t="n">
        <v>30</v>
      </c>
      <c r="P1648" s="1" t="n">
        <v>3599.7</v>
      </c>
      <c r="Q1648" s="1" t="n">
        <v>8399.3</v>
      </c>
      <c r="R1648" s="1" t="n">
        <v>1511.87</v>
      </c>
      <c r="S1648" s="1" t="n">
        <v>6887.43</v>
      </c>
      <c r="T1648" s="1" t="n">
        <v>2647.64</v>
      </c>
      <c r="U1648" s="1" t="n">
        <v>4239.79</v>
      </c>
      <c r="V1648" s="1" t="n">
        <v>61.56</v>
      </c>
      <c r="W1648" s="1" t="s">
        <v>40</v>
      </c>
      <c r="Y1648" s="1" t="s">
        <v>40</v>
      </c>
      <c r="Z1648" s="1" t="n">
        <v>0</v>
      </c>
      <c r="AA1648" s="1" t="str">
        <f aca="false">TRIM(PROPER(F1648))</f>
        <v>Jodhpur</v>
      </c>
      <c r="AB1648" s="1" t="str">
        <f aca="false">TRIM(PROPER(C1648))</f>
        <v>Byju'S</v>
      </c>
      <c r="AC1648" s="1" t="str">
        <f aca="false">IF(O1648=0,"No Discount",IF(O1648&lt;=15,"Low (1-15%)",IF(O1648&lt;=30,"Medium (16-30%)","High (&gt;30%)")))</f>
        <v>Medium (16-30%)</v>
      </c>
      <c r="AD1648" s="1" t="str">
        <f aca="false">IF(V1648&lt;0,"Loss Making",IF(V1648&lt;20,"Low Margin","Healthy Margin"))</f>
        <v>Healthy Margin</v>
      </c>
      <c r="AE1648" s="1" t="str">
        <f aca="false">TEXT(DATE(VALUE(RIGHT(B1648,4)),VALUE(MID(B1648,4,2)),VALUE(LEFT(B1648,2))),"MMM-YYYY")</f>
        <v>May-2023</v>
      </c>
      <c r="AF1648" s="1" t="n">
        <f aca="false">VALUE(RIGHT(B1648,4))</f>
        <v>2023</v>
      </c>
      <c r="AG1648" s="1" t="str">
        <f aca="false">CHOOSE(ROUNDUP(VALUE(MID(B1648,4,2))/3,0),"Q1","Q2","Q3","Q4")</f>
        <v>Q2</v>
      </c>
    </row>
    <row r="1649" customFormat="false" ht="15" hidden="false" customHeight="true" outlineLevel="0" collapsed="false">
      <c r="A1649" s="1" t="s">
        <v>2475</v>
      </c>
      <c r="B1649" s="1" t="s">
        <v>1116</v>
      </c>
      <c r="C1649" s="1" t="s">
        <v>139</v>
      </c>
      <c r="D1649" s="1" t="s">
        <v>94</v>
      </c>
      <c r="E1649" s="1" t="s">
        <v>135</v>
      </c>
      <c r="F1649" s="1" t="s">
        <v>82</v>
      </c>
      <c r="G1649" s="1" t="s">
        <v>56</v>
      </c>
      <c r="H1649" s="1" t="s">
        <v>69</v>
      </c>
      <c r="I1649" s="1" t="s">
        <v>83</v>
      </c>
      <c r="J1649" s="1" t="s">
        <v>35</v>
      </c>
      <c r="K1649" s="1" t="s">
        <v>90</v>
      </c>
      <c r="L1649" s="1" t="s">
        <v>61</v>
      </c>
      <c r="M1649" s="1" t="s">
        <v>38</v>
      </c>
      <c r="N1649" s="1" t="n">
        <v>9999</v>
      </c>
      <c r="O1649" s="1" t="n">
        <v>25</v>
      </c>
      <c r="P1649" s="1" t="n">
        <v>2499.75</v>
      </c>
      <c r="Q1649" s="1" t="n">
        <v>7499.25</v>
      </c>
      <c r="R1649" s="1" t="n">
        <v>1349.87</v>
      </c>
      <c r="S1649" s="1" t="n">
        <v>6149.38</v>
      </c>
      <c r="T1649" s="1" t="n">
        <v>2348.56</v>
      </c>
      <c r="U1649" s="1" t="n">
        <v>3800.82</v>
      </c>
      <c r="V1649" s="1" t="n">
        <v>61.81</v>
      </c>
      <c r="W1649" s="1" t="s">
        <v>39</v>
      </c>
      <c r="X1649" s="1" t="n">
        <v>3.7</v>
      </c>
      <c r="Y1649" s="1" t="s">
        <v>40</v>
      </c>
      <c r="Z1649" s="1" t="n">
        <v>0</v>
      </c>
      <c r="AA1649" s="1" t="str">
        <f aca="false">TRIM(PROPER(F1649))</f>
        <v>Gurugram</v>
      </c>
      <c r="AB1649" s="1" t="str">
        <f aca="false">TRIM(PROPER(C1649))</f>
        <v>Extramarks</v>
      </c>
      <c r="AC1649" s="1" t="str">
        <f aca="false">IF(O1649=0,"No Discount",IF(O1649&lt;=15,"Low (1-15%)",IF(O1649&lt;=30,"Medium (16-30%)","High (&gt;30%)")))</f>
        <v>Medium (16-30%)</v>
      </c>
      <c r="AD1649" s="1" t="str">
        <f aca="false">IF(V1649&lt;0,"Loss Making",IF(V1649&lt;20,"Low Margin","Healthy Margin"))</f>
        <v>Healthy Margin</v>
      </c>
      <c r="AE1649" s="1" t="str">
        <f aca="false">TEXT(DATE(VALUE(RIGHT(B1649,4)),VALUE(MID(B1649,4,2)),VALUE(LEFT(B1649,2))),"MMM-YYYY")</f>
        <v>Jun-2023</v>
      </c>
      <c r="AF1649" s="1" t="n">
        <f aca="false">VALUE(RIGHT(B1649,4))</f>
        <v>2023</v>
      </c>
      <c r="AG1649" s="1" t="str">
        <f aca="false">CHOOSE(ROUNDUP(VALUE(MID(B1649,4,2))/3,0),"Q1","Q2","Q3","Q4")</f>
        <v>Q2</v>
      </c>
    </row>
    <row r="1650" customFormat="false" ht="15" hidden="false" customHeight="true" outlineLevel="0" collapsed="false">
      <c r="A1650" s="1" t="s">
        <v>2476</v>
      </c>
      <c r="B1650" s="1" t="s">
        <v>1056</v>
      </c>
      <c r="C1650" s="1" t="s">
        <v>139</v>
      </c>
      <c r="D1650" s="1" t="s">
        <v>123</v>
      </c>
      <c r="E1650" s="1" t="s">
        <v>124</v>
      </c>
      <c r="F1650" s="1" t="s">
        <v>55</v>
      </c>
      <c r="G1650" s="1" t="s">
        <v>56</v>
      </c>
      <c r="H1650" s="1" t="s">
        <v>57</v>
      </c>
      <c r="I1650" s="1" t="s">
        <v>83</v>
      </c>
      <c r="J1650" s="1" t="s">
        <v>35</v>
      </c>
      <c r="K1650" s="1" t="s">
        <v>104</v>
      </c>
      <c r="L1650" s="1" t="s">
        <v>113</v>
      </c>
      <c r="M1650" s="1" t="s">
        <v>62</v>
      </c>
      <c r="N1650" s="1" t="n">
        <v>4999</v>
      </c>
      <c r="O1650" s="1" t="n">
        <v>0</v>
      </c>
      <c r="P1650" s="1" t="n">
        <v>0</v>
      </c>
      <c r="Q1650" s="1" t="n">
        <v>4999</v>
      </c>
      <c r="R1650" s="1" t="n">
        <v>899.82</v>
      </c>
      <c r="S1650" s="1" t="n">
        <v>4099.18</v>
      </c>
      <c r="T1650" s="1" t="n">
        <v>1794.56</v>
      </c>
      <c r="U1650" s="1" t="n">
        <v>2304.62</v>
      </c>
      <c r="V1650" s="1" t="n">
        <v>56.22</v>
      </c>
      <c r="W1650" s="1" t="s">
        <v>39</v>
      </c>
      <c r="X1650" s="1" t="n">
        <v>3.4</v>
      </c>
      <c r="Y1650" s="1" t="s">
        <v>40</v>
      </c>
      <c r="Z1650" s="1" t="n">
        <v>0</v>
      </c>
      <c r="AA1650" s="1" t="str">
        <f aca="false">TRIM(PROPER(F1650))</f>
        <v>Ghaziabad</v>
      </c>
      <c r="AB1650" s="1" t="str">
        <f aca="false">TRIM(PROPER(C1650))</f>
        <v>Extramarks</v>
      </c>
      <c r="AC1650" s="1" t="str">
        <f aca="false">IF(O1650=0,"No Discount",IF(O1650&lt;=15,"Low (1-15%)",IF(O1650&lt;=30,"Medium (16-30%)","High (&gt;30%)")))</f>
        <v>No Discount</v>
      </c>
      <c r="AD1650" s="1" t="str">
        <f aca="false">IF(V1650&lt;0,"Loss Making",IF(V1650&lt;20,"Low Margin","Healthy Margin"))</f>
        <v>Healthy Margin</v>
      </c>
      <c r="AE1650" s="1" t="str">
        <f aca="false">TEXT(DATE(VALUE(RIGHT(B1650,4)),VALUE(MID(B1650,4,2)),VALUE(LEFT(B1650,2))),"MMM-YYYY")</f>
        <v>Apr-2024</v>
      </c>
      <c r="AF1650" s="1" t="n">
        <f aca="false">VALUE(RIGHT(B1650,4))</f>
        <v>2024</v>
      </c>
      <c r="AG1650" s="1" t="str">
        <f aca="false">CHOOSE(ROUNDUP(VALUE(MID(B1650,4,2))/3,0),"Q1","Q2","Q3","Q4")</f>
        <v>Q2</v>
      </c>
    </row>
    <row r="1651" customFormat="false" ht="15" hidden="false" customHeight="true" outlineLevel="0" collapsed="false">
      <c r="A1651" s="1" t="s">
        <v>2477</v>
      </c>
      <c r="B1651" s="1" t="s">
        <v>477</v>
      </c>
      <c r="C1651" s="1" t="s">
        <v>100</v>
      </c>
      <c r="D1651" s="1" t="s">
        <v>44</v>
      </c>
      <c r="E1651" s="1" t="s">
        <v>66</v>
      </c>
      <c r="F1651" s="1" t="s">
        <v>194</v>
      </c>
      <c r="G1651" s="1" t="s">
        <v>103</v>
      </c>
      <c r="H1651" s="1" t="s">
        <v>69</v>
      </c>
      <c r="I1651" s="1" t="s">
        <v>83</v>
      </c>
      <c r="J1651" s="1" t="s">
        <v>35</v>
      </c>
      <c r="K1651" s="1" t="s">
        <v>36</v>
      </c>
      <c r="L1651" s="1" t="s">
        <v>61</v>
      </c>
      <c r="M1651" s="1" t="s">
        <v>50</v>
      </c>
      <c r="N1651" s="1" t="n">
        <v>12999</v>
      </c>
      <c r="O1651" s="1" t="n">
        <v>5</v>
      </c>
      <c r="P1651" s="1" t="n">
        <v>649.95</v>
      </c>
      <c r="Q1651" s="1" t="n">
        <v>12349.05</v>
      </c>
      <c r="R1651" s="1" t="n">
        <v>2222.83</v>
      </c>
      <c r="S1651" s="1" t="n">
        <v>10126.22</v>
      </c>
      <c r="T1651" s="1" t="n">
        <v>3648.2</v>
      </c>
      <c r="U1651" s="1" t="n">
        <v>6478.02</v>
      </c>
      <c r="V1651" s="1" t="n">
        <v>63.97</v>
      </c>
      <c r="W1651" s="1" t="s">
        <v>40</v>
      </c>
      <c r="Y1651" s="1" t="s">
        <v>40</v>
      </c>
      <c r="Z1651" s="1" t="n">
        <v>2</v>
      </c>
      <c r="AA1651" s="1" t="str">
        <f aca="false">TRIM(PROPER(F1651))</f>
        <v>Hyderabad</v>
      </c>
      <c r="AB1651" s="1" t="str">
        <f aca="false">TRIM(PROPER(C1651))</f>
        <v>Physics Wallah</v>
      </c>
      <c r="AC1651" s="1" t="str">
        <f aca="false">IF(O1651=0,"No Discount",IF(O1651&lt;=15,"Low (1-15%)",IF(O1651&lt;=30,"Medium (16-30%)","High (&gt;30%)")))</f>
        <v>Low (1-15%)</v>
      </c>
      <c r="AD1651" s="1" t="str">
        <f aca="false">IF(V1651&lt;0,"Loss Making",IF(V1651&lt;20,"Low Margin","Healthy Margin"))</f>
        <v>Healthy Margin</v>
      </c>
      <c r="AE1651" s="1" t="str">
        <f aca="false">TEXT(DATE(VALUE(RIGHT(B1651,4)),VALUE(MID(B1651,4,2)),VALUE(LEFT(B1651,2))),"MMM-YYYY")</f>
        <v>Jan-2024</v>
      </c>
      <c r="AF1651" s="1" t="n">
        <f aca="false">VALUE(RIGHT(B1651,4))</f>
        <v>2024</v>
      </c>
      <c r="AG1651" s="1" t="str">
        <f aca="false">CHOOSE(ROUNDUP(VALUE(MID(B1651,4,2))/3,0),"Q1","Q2","Q3","Q4")</f>
        <v>Q1</v>
      </c>
    </row>
    <row r="1652" customFormat="false" ht="15" hidden="false" customHeight="true" outlineLevel="0" collapsed="false">
      <c r="A1652" s="1" t="s">
        <v>2478</v>
      </c>
      <c r="B1652" s="1" t="s">
        <v>1899</v>
      </c>
      <c r="C1652" s="1" t="s">
        <v>100</v>
      </c>
      <c r="D1652" s="1" t="s">
        <v>80</v>
      </c>
      <c r="E1652" s="1" t="s">
        <v>193</v>
      </c>
      <c r="F1652" s="1" t="s">
        <v>194</v>
      </c>
      <c r="G1652" s="1" t="s">
        <v>103</v>
      </c>
      <c r="H1652" s="1" t="s">
        <v>69</v>
      </c>
      <c r="I1652" s="1" t="s">
        <v>83</v>
      </c>
      <c r="J1652" s="1" t="s">
        <v>35</v>
      </c>
      <c r="K1652" s="1" t="s">
        <v>90</v>
      </c>
      <c r="L1652" s="1" t="s">
        <v>136</v>
      </c>
      <c r="M1652" s="1" t="s">
        <v>38</v>
      </c>
      <c r="N1652" s="1" t="n">
        <v>8999</v>
      </c>
      <c r="O1652" s="1" t="n">
        <v>0</v>
      </c>
      <c r="P1652" s="1" t="n">
        <v>0</v>
      </c>
      <c r="Q1652" s="1" t="n">
        <v>8999</v>
      </c>
      <c r="R1652" s="1" t="n">
        <v>1619.82</v>
      </c>
      <c r="S1652" s="1" t="n">
        <v>7379.18</v>
      </c>
      <c r="T1652" s="1" t="n">
        <v>2716.72</v>
      </c>
      <c r="U1652" s="1" t="n">
        <v>4662.46</v>
      </c>
      <c r="V1652" s="1" t="n">
        <v>63.18</v>
      </c>
      <c r="W1652" s="1" t="s">
        <v>39</v>
      </c>
      <c r="X1652" s="1" t="n">
        <v>4.6</v>
      </c>
      <c r="Y1652" s="1" t="s">
        <v>40</v>
      </c>
      <c r="Z1652" s="1" t="n">
        <v>0</v>
      </c>
      <c r="AA1652" s="1" t="str">
        <f aca="false">TRIM(PROPER(F1652))</f>
        <v>Hyderabad</v>
      </c>
      <c r="AB1652" s="1" t="str">
        <f aca="false">TRIM(PROPER(C1652))</f>
        <v>Physics Wallah</v>
      </c>
      <c r="AC1652" s="1" t="str">
        <f aca="false">IF(O1652=0,"No Discount",IF(O1652&lt;=15,"Low (1-15%)",IF(O1652&lt;=30,"Medium (16-30%)","High (&gt;30%)")))</f>
        <v>No Discount</v>
      </c>
      <c r="AD1652" s="1" t="str">
        <f aca="false">IF(V1652&lt;0,"Loss Making",IF(V1652&lt;20,"Low Margin","Healthy Margin"))</f>
        <v>Healthy Margin</v>
      </c>
      <c r="AE1652" s="1" t="str">
        <f aca="false">TEXT(DATE(VALUE(RIGHT(B1652,4)),VALUE(MID(B1652,4,2)),VALUE(LEFT(B1652,2))),"MMM-YYYY")</f>
        <v>Jun-2024</v>
      </c>
      <c r="AF1652" s="1" t="n">
        <f aca="false">VALUE(RIGHT(B1652,4))</f>
        <v>2024</v>
      </c>
      <c r="AG1652" s="1" t="str">
        <f aca="false">CHOOSE(ROUNDUP(VALUE(MID(B1652,4,2))/3,0),"Q1","Q2","Q3","Q4")</f>
        <v>Q2</v>
      </c>
    </row>
    <row r="1653" customFormat="false" ht="15" hidden="false" customHeight="true" outlineLevel="0" collapsed="false">
      <c r="A1653" s="1" t="s">
        <v>2479</v>
      </c>
      <c r="B1653" s="1" t="s">
        <v>87</v>
      </c>
      <c r="C1653" s="1" t="s">
        <v>28</v>
      </c>
      <c r="D1653" s="1" t="s">
        <v>143</v>
      </c>
      <c r="E1653" s="1" t="s">
        <v>210</v>
      </c>
      <c r="F1653" s="1" t="s">
        <v>194</v>
      </c>
      <c r="G1653" s="1" t="s">
        <v>103</v>
      </c>
      <c r="H1653" s="1" t="s">
        <v>69</v>
      </c>
      <c r="I1653" s="1" t="s">
        <v>83</v>
      </c>
      <c r="J1653" s="1" t="s">
        <v>131</v>
      </c>
      <c r="K1653" s="1" t="s">
        <v>60</v>
      </c>
      <c r="L1653" s="1" t="s">
        <v>136</v>
      </c>
      <c r="M1653" s="1" t="s">
        <v>62</v>
      </c>
      <c r="N1653" s="1" t="n">
        <v>18999</v>
      </c>
      <c r="O1653" s="1" t="n">
        <v>10</v>
      </c>
      <c r="P1653" s="1" t="n">
        <v>1899.9</v>
      </c>
      <c r="Q1653" s="1" t="n">
        <v>17099.1</v>
      </c>
      <c r="R1653" s="1" t="n">
        <v>3077.84</v>
      </c>
      <c r="S1653" s="1" t="n">
        <v>14021.26</v>
      </c>
      <c r="T1653" s="1" t="n">
        <v>4821.41</v>
      </c>
      <c r="U1653" s="1" t="n">
        <v>9199.85</v>
      </c>
      <c r="V1653" s="1" t="n">
        <v>65.61</v>
      </c>
      <c r="W1653" s="1" t="s">
        <v>40</v>
      </c>
      <c r="Y1653" s="1" t="s">
        <v>40</v>
      </c>
      <c r="Z1653" s="1" t="n">
        <v>1</v>
      </c>
      <c r="AA1653" s="1" t="str">
        <f aca="false">TRIM(PROPER(F1653))</f>
        <v>Hyderabad</v>
      </c>
      <c r="AB1653" s="1" t="str">
        <f aca="false">TRIM(PROPER(C1653))</f>
        <v>Embibe</v>
      </c>
      <c r="AC1653" s="1" t="str">
        <f aca="false">IF(O1653=0,"No Discount",IF(O1653&lt;=15,"Low (1-15%)",IF(O1653&lt;=30,"Medium (16-30%)","High (&gt;30%)")))</f>
        <v>Low (1-15%)</v>
      </c>
      <c r="AD1653" s="1" t="str">
        <f aca="false">IF(V1653&lt;0,"Loss Making",IF(V1653&lt;20,"Low Margin","Healthy Margin"))</f>
        <v>Healthy Margin</v>
      </c>
      <c r="AE1653" s="1" t="str">
        <f aca="false">TEXT(DATE(VALUE(RIGHT(B1653,4)),VALUE(MID(B1653,4,2)),VALUE(LEFT(B1653,2))),"MMM-YYYY")</f>
        <v>Nov-2023</v>
      </c>
      <c r="AF1653" s="1" t="n">
        <f aca="false">VALUE(RIGHT(B1653,4))</f>
        <v>2023</v>
      </c>
      <c r="AG1653" s="1" t="str">
        <f aca="false">CHOOSE(ROUNDUP(VALUE(MID(B1653,4,2))/3,0),"Q1","Q2","Q3","Q4")</f>
        <v>Q4</v>
      </c>
    </row>
    <row r="1654" customFormat="false" ht="15" hidden="false" customHeight="true" outlineLevel="0" collapsed="false">
      <c r="A1654" s="1" t="s">
        <v>2480</v>
      </c>
      <c r="B1654" s="1" t="s">
        <v>1619</v>
      </c>
      <c r="C1654" s="1" t="s">
        <v>43</v>
      </c>
      <c r="D1654" s="1" t="s">
        <v>29</v>
      </c>
      <c r="E1654" s="1" t="s">
        <v>129</v>
      </c>
      <c r="F1654" s="1" t="s">
        <v>55</v>
      </c>
      <c r="G1654" s="1" t="s">
        <v>56</v>
      </c>
      <c r="H1654" s="1" t="s">
        <v>57</v>
      </c>
      <c r="I1654" s="1" t="s">
        <v>34</v>
      </c>
      <c r="J1654" s="1" t="s">
        <v>35</v>
      </c>
      <c r="K1654" s="1" t="s">
        <v>60</v>
      </c>
      <c r="L1654" s="1" t="s">
        <v>49</v>
      </c>
      <c r="M1654" s="1" t="s">
        <v>38</v>
      </c>
      <c r="N1654" s="1" t="n">
        <v>29999</v>
      </c>
      <c r="O1654" s="1" t="n">
        <v>40</v>
      </c>
      <c r="P1654" s="1" t="n">
        <v>11999.6</v>
      </c>
      <c r="Q1654" s="1" t="n">
        <v>17999.4</v>
      </c>
      <c r="R1654" s="1" t="n">
        <v>3239.89</v>
      </c>
      <c r="S1654" s="1" t="n">
        <v>14759.51</v>
      </c>
      <c r="T1654" s="1" t="n">
        <v>7457.28</v>
      </c>
      <c r="U1654" s="1" t="n">
        <v>7302.23</v>
      </c>
      <c r="V1654" s="1" t="n">
        <v>49.47</v>
      </c>
      <c r="W1654" s="1" t="s">
        <v>40</v>
      </c>
      <c r="Y1654" s="1" t="s">
        <v>40</v>
      </c>
      <c r="Z1654" s="1" t="n">
        <v>1</v>
      </c>
      <c r="AA1654" s="1" t="str">
        <f aca="false">TRIM(PROPER(F1654))</f>
        <v>Ghaziabad</v>
      </c>
      <c r="AB1654" s="1" t="str">
        <f aca="false">TRIM(PROPER(C1654))</f>
        <v>Meritnation</v>
      </c>
      <c r="AC1654" s="1" t="str">
        <f aca="false">IF(O1654=0,"No Discount",IF(O1654&lt;=15,"Low (1-15%)",IF(O1654&lt;=30,"Medium (16-30%)","High (&gt;30%)")))</f>
        <v>High (&gt;30%)</v>
      </c>
      <c r="AD1654" s="1" t="str">
        <f aca="false">IF(V1654&lt;0,"Loss Making",IF(V1654&lt;20,"Low Margin","Healthy Margin"))</f>
        <v>Healthy Margin</v>
      </c>
      <c r="AE1654" s="1" t="str">
        <f aca="false">TEXT(DATE(VALUE(RIGHT(B1654,4)),VALUE(MID(B1654,4,2)),VALUE(LEFT(B1654,2))),"MMM-YYYY")</f>
        <v>Apr-2024</v>
      </c>
      <c r="AF1654" s="1" t="n">
        <f aca="false">VALUE(RIGHT(B1654,4))</f>
        <v>2024</v>
      </c>
      <c r="AG1654" s="1" t="str">
        <f aca="false">CHOOSE(ROUNDUP(VALUE(MID(B1654,4,2))/3,0),"Q1","Q2","Q3","Q4")</f>
        <v>Q2</v>
      </c>
    </row>
    <row r="1655" customFormat="false" ht="15" hidden="false" customHeight="true" outlineLevel="0" collapsed="false">
      <c r="A1655" s="1" t="s">
        <v>2481</v>
      </c>
      <c r="B1655" s="1" t="s">
        <v>1077</v>
      </c>
      <c r="C1655" s="1" t="s">
        <v>128</v>
      </c>
      <c r="D1655" s="1" t="s">
        <v>80</v>
      </c>
      <c r="E1655" s="1" t="s">
        <v>190</v>
      </c>
      <c r="F1655" s="1" t="s">
        <v>153</v>
      </c>
      <c r="G1655" s="1" t="s">
        <v>76</v>
      </c>
      <c r="H1655" s="1" t="s">
        <v>33</v>
      </c>
      <c r="I1655" s="1" t="s">
        <v>34</v>
      </c>
      <c r="J1655" s="1" t="s">
        <v>70</v>
      </c>
      <c r="K1655" s="1" t="s">
        <v>104</v>
      </c>
      <c r="L1655" s="1" t="s">
        <v>49</v>
      </c>
      <c r="M1655" s="1" t="s">
        <v>38</v>
      </c>
      <c r="N1655" s="1" t="n">
        <v>15999</v>
      </c>
      <c r="O1655" s="1" t="n">
        <v>15</v>
      </c>
      <c r="P1655" s="1" t="n">
        <v>2399.85</v>
      </c>
      <c r="Q1655" s="1" t="n">
        <v>13599.15</v>
      </c>
      <c r="R1655" s="1" t="n">
        <v>2447.85</v>
      </c>
      <c r="S1655" s="1" t="n">
        <v>11151.3</v>
      </c>
      <c r="T1655" s="1" t="n">
        <v>5125.3</v>
      </c>
      <c r="U1655" s="1" t="n">
        <v>6026</v>
      </c>
      <c r="V1655" s="1" t="n">
        <v>54.04</v>
      </c>
      <c r="W1655" s="1" t="s">
        <v>40</v>
      </c>
      <c r="Y1655" s="1" t="s">
        <v>40</v>
      </c>
      <c r="Z1655" s="1" t="n">
        <v>2</v>
      </c>
      <c r="AA1655" s="1" t="str">
        <f aca="false">TRIM(PROPER(F1655))</f>
        <v>Howrah</v>
      </c>
      <c r="AB1655" s="1" t="str">
        <f aca="false">TRIM(PROPER(C1655))</f>
        <v>Great Learning</v>
      </c>
      <c r="AC1655" s="1" t="str">
        <f aca="false">IF(O1655=0,"No Discount",IF(O1655&lt;=15,"Low (1-15%)",IF(O1655&lt;=30,"Medium (16-30%)","High (&gt;30%)")))</f>
        <v>Low (1-15%)</v>
      </c>
      <c r="AD1655" s="1" t="str">
        <f aca="false">IF(V1655&lt;0,"Loss Making",IF(V1655&lt;20,"Low Margin","Healthy Margin"))</f>
        <v>Healthy Margin</v>
      </c>
      <c r="AE1655" s="1" t="str">
        <f aca="false">TEXT(DATE(VALUE(RIGHT(B1655,4)),VALUE(MID(B1655,4,2)),VALUE(LEFT(B1655,2))),"MMM-YYYY")</f>
        <v>Jan-2023</v>
      </c>
      <c r="AF1655" s="1" t="n">
        <f aca="false">VALUE(RIGHT(B1655,4))</f>
        <v>2023</v>
      </c>
      <c r="AG1655" s="1" t="str">
        <f aca="false">CHOOSE(ROUNDUP(VALUE(MID(B1655,4,2))/3,0),"Q1","Q2","Q3","Q4")</f>
        <v>Q1</v>
      </c>
    </row>
    <row r="1656" customFormat="false" ht="15" hidden="false" customHeight="true" outlineLevel="0" collapsed="false">
      <c r="A1656" s="1" t="s">
        <v>2482</v>
      </c>
      <c r="B1656" s="1" t="s">
        <v>504</v>
      </c>
      <c r="C1656" s="1" t="s">
        <v>178</v>
      </c>
      <c r="D1656" s="1" t="s">
        <v>44</v>
      </c>
      <c r="E1656" s="1" t="s">
        <v>66</v>
      </c>
      <c r="F1656" s="1" t="s">
        <v>82</v>
      </c>
      <c r="G1656" s="1" t="s">
        <v>56</v>
      </c>
      <c r="H1656" s="1" t="s">
        <v>69</v>
      </c>
      <c r="I1656" s="1" t="s">
        <v>34</v>
      </c>
      <c r="J1656" s="1" t="s">
        <v>35</v>
      </c>
      <c r="K1656" s="1" t="s">
        <v>90</v>
      </c>
      <c r="L1656" s="1" t="s">
        <v>136</v>
      </c>
      <c r="M1656" s="1" t="s">
        <v>50</v>
      </c>
      <c r="N1656" s="1" t="n">
        <v>12999</v>
      </c>
      <c r="O1656" s="1" t="n">
        <v>0</v>
      </c>
      <c r="P1656" s="1" t="n">
        <v>0</v>
      </c>
      <c r="Q1656" s="1" t="n">
        <v>12999</v>
      </c>
      <c r="R1656" s="1" t="n">
        <v>2339.82</v>
      </c>
      <c r="S1656" s="1" t="n">
        <v>10659.18</v>
      </c>
      <c r="T1656" s="1" t="n">
        <v>4149.98</v>
      </c>
      <c r="U1656" s="1" t="n">
        <v>6509.2</v>
      </c>
      <c r="V1656" s="1" t="n">
        <v>61.07</v>
      </c>
      <c r="W1656" s="1" t="s">
        <v>39</v>
      </c>
      <c r="X1656" s="1" t="n">
        <v>4.5</v>
      </c>
      <c r="Y1656" s="1" t="s">
        <v>40</v>
      </c>
      <c r="Z1656" s="1" t="n">
        <v>0</v>
      </c>
      <c r="AA1656" s="1" t="str">
        <f aca="false">TRIM(PROPER(F1656))</f>
        <v>Gurugram</v>
      </c>
      <c r="AB1656" s="1" t="str">
        <f aca="false">TRIM(PROPER(C1656))</f>
        <v>Leverage Edu</v>
      </c>
      <c r="AC1656" s="1" t="str">
        <f aca="false">IF(O1656=0,"No Discount",IF(O1656&lt;=15,"Low (1-15%)",IF(O1656&lt;=30,"Medium (16-30%)","High (&gt;30%)")))</f>
        <v>No Discount</v>
      </c>
      <c r="AD1656" s="1" t="str">
        <f aca="false">IF(V1656&lt;0,"Loss Making",IF(V1656&lt;20,"Low Margin","Healthy Margin"))</f>
        <v>Healthy Margin</v>
      </c>
      <c r="AE1656" s="1" t="str">
        <f aca="false">TEXT(DATE(VALUE(RIGHT(B1656,4)),VALUE(MID(B1656,4,2)),VALUE(LEFT(B1656,2))),"MMM-YYYY")</f>
        <v>Aug-2024</v>
      </c>
      <c r="AF1656" s="1" t="n">
        <f aca="false">VALUE(RIGHT(B1656,4))</f>
        <v>2024</v>
      </c>
      <c r="AG1656" s="1" t="str">
        <f aca="false">CHOOSE(ROUNDUP(VALUE(MID(B1656,4,2))/3,0),"Q1","Q2","Q3","Q4")</f>
        <v>Q3</v>
      </c>
    </row>
    <row r="1657" customFormat="false" ht="15" hidden="false" customHeight="true" outlineLevel="0" collapsed="false">
      <c r="A1657" s="1" t="s">
        <v>2483</v>
      </c>
      <c r="B1657" s="1" t="s">
        <v>764</v>
      </c>
      <c r="C1657" s="1" t="s">
        <v>134</v>
      </c>
      <c r="D1657" s="1" t="s">
        <v>168</v>
      </c>
      <c r="E1657" s="1" t="s">
        <v>169</v>
      </c>
      <c r="F1657" s="1" t="s">
        <v>205</v>
      </c>
      <c r="G1657" s="1" t="s">
        <v>56</v>
      </c>
      <c r="H1657" s="1" t="s">
        <v>69</v>
      </c>
      <c r="I1657" s="1" t="s">
        <v>83</v>
      </c>
      <c r="J1657" s="1" t="s">
        <v>131</v>
      </c>
      <c r="K1657" s="1" t="s">
        <v>84</v>
      </c>
      <c r="L1657" s="1" t="s">
        <v>37</v>
      </c>
      <c r="M1657" s="1" t="s">
        <v>50</v>
      </c>
      <c r="N1657" s="1" t="n">
        <v>4999</v>
      </c>
      <c r="O1657" s="1" t="n">
        <v>50</v>
      </c>
      <c r="P1657" s="1" t="n">
        <v>2499.5</v>
      </c>
      <c r="Q1657" s="1" t="n">
        <v>2499.5</v>
      </c>
      <c r="R1657" s="1" t="n">
        <v>449.91</v>
      </c>
      <c r="S1657" s="1" t="n">
        <v>2049.59</v>
      </c>
      <c r="T1657" s="1" t="n">
        <v>921.91</v>
      </c>
      <c r="U1657" s="1" t="n">
        <v>1127.68</v>
      </c>
      <c r="V1657" s="1" t="n">
        <v>55.02</v>
      </c>
      <c r="W1657" s="1" t="s">
        <v>40</v>
      </c>
      <c r="Y1657" s="1" t="s">
        <v>40</v>
      </c>
      <c r="Z1657" s="1" t="n">
        <v>0</v>
      </c>
      <c r="AA1657" s="1" t="str">
        <f aca="false">TRIM(PROPER(F1657))</f>
        <v>New Delhi</v>
      </c>
      <c r="AB1657" s="1" t="str">
        <f aca="false">TRIM(PROPER(C1657))</f>
        <v>Doubtnut</v>
      </c>
      <c r="AC1657" s="1" t="str">
        <f aca="false">IF(O1657=0,"No Discount",IF(O1657&lt;=15,"Low (1-15%)",IF(O1657&lt;=30,"Medium (16-30%)","High (&gt;30%)")))</f>
        <v>High (&gt;30%)</v>
      </c>
      <c r="AD1657" s="1" t="str">
        <f aca="false">IF(V1657&lt;0,"Loss Making",IF(V1657&lt;20,"Low Margin","Healthy Margin"))</f>
        <v>Healthy Margin</v>
      </c>
      <c r="AE1657" s="1" t="str">
        <f aca="false">TEXT(DATE(VALUE(RIGHT(B1657,4)),VALUE(MID(B1657,4,2)),VALUE(LEFT(B1657,2))),"MMM-YYYY")</f>
        <v>Nov-2023</v>
      </c>
      <c r="AF1657" s="1" t="n">
        <f aca="false">VALUE(RIGHT(B1657,4))</f>
        <v>2023</v>
      </c>
      <c r="AG1657" s="1" t="str">
        <f aca="false">CHOOSE(ROUNDUP(VALUE(MID(B1657,4,2))/3,0),"Q1","Q2","Q3","Q4")</f>
        <v>Q4</v>
      </c>
    </row>
    <row r="1658" customFormat="false" ht="15" hidden="false" customHeight="true" outlineLevel="0" collapsed="false">
      <c r="A1658" s="1" t="s">
        <v>2484</v>
      </c>
      <c r="B1658" s="1" t="s">
        <v>1408</v>
      </c>
      <c r="C1658" s="1" t="s">
        <v>134</v>
      </c>
      <c r="D1658" s="1" t="s">
        <v>143</v>
      </c>
      <c r="E1658" s="1" t="s">
        <v>162</v>
      </c>
      <c r="F1658" s="1" t="s">
        <v>89</v>
      </c>
      <c r="G1658" s="1" t="s">
        <v>68</v>
      </c>
      <c r="H1658" s="1" t="s">
        <v>33</v>
      </c>
      <c r="I1658" s="1" t="s">
        <v>58</v>
      </c>
      <c r="J1658" s="1" t="s">
        <v>70</v>
      </c>
      <c r="K1658" s="1" t="s">
        <v>84</v>
      </c>
      <c r="L1658" s="1" t="s">
        <v>49</v>
      </c>
      <c r="M1658" s="1" t="s">
        <v>50</v>
      </c>
      <c r="N1658" s="1" t="n">
        <v>14999</v>
      </c>
      <c r="O1658" s="1" t="n">
        <v>0</v>
      </c>
      <c r="P1658" s="1" t="n">
        <v>0</v>
      </c>
      <c r="Q1658" s="1" t="n">
        <v>14999</v>
      </c>
      <c r="R1658" s="1" t="n">
        <v>2699.82</v>
      </c>
      <c r="S1658" s="1" t="n">
        <v>12299.18</v>
      </c>
      <c r="T1658" s="1" t="n">
        <v>4531.46</v>
      </c>
      <c r="U1658" s="1" t="n">
        <v>7767.72</v>
      </c>
      <c r="V1658" s="1" t="n">
        <v>63.16</v>
      </c>
      <c r="W1658" s="1" t="s">
        <v>39</v>
      </c>
      <c r="X1658" s="1" t="n">
        <v>3.1</v>
      </c>
      <c r="Y1658" s="1" t="s">
        <v>40</v>
      </c>
      <c r="Z1658" s="1" t="n">
        <v>1</v>
      </c>
      <c r="AA1658" s="1" t="str">
        <f aca="false">TRIM(PROPER(F1658))</f>
        <v>Vadodara</v>
      </c>
      <c r="AB1658" s="1" t="str">
        <f aca="false">TRIM(PROPER(C1658))</f>
        <v>Doubtnut</v>
      </c>
      <c r="AC1658" s="1" t="str">
        <f aca="false">IF(O1658=0,"No Discount",IF(O1658&lt;=15,"Low (1-15%)",IF(O1658&lt;=30,"Medium (16-30%)","High (&gt;30%)")))</f>
        <v>No Discount</v>
      </c>
      <c r="AD1658" s="1" t="str">
        <f aca="false">IF(V1658&lt;0,"Loss Making",IF(V1658&lt;20,"Low Margin","Healthy Margin"))</f>
        <v>Healthy Margin</v>
      </c>
      <c r="AE1658" s="1" t="str">
        <f aca="false">TEXT(DATE(VALUE(RIGHT(B1658,4)),VALUE(MID(B1658,4,2)),VALUE(LEFT(B1658,2))),"MMM-YYYY")</f>
        <v>Jun-2024</v>
      </c>
      <c r="AF1658" s="1" t="n">
        <f aca="false">VALUE(RIGHT(B1658,4))</f>
        <v>2024</v>
      </c>
      <c r="AG1658" s="1" t="str">
        <f aca="false">CHOOSE(ROUNDUP(VALUE(MID(B1658,4,2))/3,0),"Q1","Q2","Q3","Q4")</f>
        <v>Q2</v>
      </c>
    </row>
    <row r="1659" customFormat="false" ht="15" hidden="false" customHeight="true" outlineLevel="0" collapsed="false">
      <c r="A1659" s="1" t="s">
        <v>2485</v>
      </c>
      <c r="B1659" s="1" t="s">
        <v>1625</v>
      </c>
      <c r="C1659" s="1" t="s">
        <v>100</v>
      </c>
      <c r="D1659" s="1" t="s">
        <v>80</v>
      </c>
      <c r="E1659" s="1" t="s">
        <v>190</v>
      </c>
      <c r="F1659" s="1" t="s">
        <v>125</v>
      </c>
      <c r="G1659" s="1" t="s">
        <v>108</v>
      </c>
      <c r="H1659" s="1" t="s">
        <v>69</v>
      </c>
      <c r="I1659" s="1" t="s">
        <v>34</v>
      </c>
      <c r="J1659" s="1" t="s">
        <v>131</v>
      </c>
      <c r="K1659" s="1" t="s">
        <v>90</v>
      </c>
      <c r="L1659" s="1" t="s">
        <v>113</v>
      </c>
      <c r="M1659" s="1" t="s">
        <v>50</v>
      </c>
      <c r="N1659" s="1" t="n">
        <v>15999</v>
      </c>
      <c r="O1659" s="1" t="n">
        <v>40</v>
      </c>
      <c r="P1659" s="1" t="n">
        <v>6399.6</v>
      </c>
      <c r="Q1659" s="1" t="n">
        <v>9599.4</v>
      </c>
      <c r="R1659" s="1" t="n">
        <v>1727.89</v>
      </c>
      <c r="S1659" s="1" t="n">
        <v>7871.51</v>
      </c>
      <c r="T1659" s="1" t="n">
        <v>3603.81</v>
      </c>
      <c r="U1659" s="1" t="n">
        <v>4267.7</v>
      </c>
      <c r="V1659" s="1" t="n">
        <v>54.22</v>
      </c>
      <c r="W1659" s="1" t="s">
        <v>39</v>
      </c>
      <c r="X1659" s="1" t="n">
        <v>4</v>
      </c>
      <c r="Y1659" s="1" t="s">
        <v>40</v>
      </c>
      <c r="Z1659" s="1" t="n">
        <v>0</v>
      </c>
      <c r="AA1659" s="1" t="str">
        <f aca="false">TRIM(PROPER(F1659))</f>
        <v>Chennai</v>
      </c>
      <c r="AB1659" s="1" t="str">
        <f aca="false">TRIM(PROPER(C1659))</f>
        <v>Physics Wallah</v>
      </c>
      <c r="AC1659" s="1" t="str">
        <f aca="false">IF(O1659=0,"No Discount",IF(O1659&lt;=15,"Low (1-15%)",IF(O1659&lt;=30,"Medium (16-30%)","High (&gt;30%)")))</f>
        <v>High (&gt;30%)</v>
      </c>
      <c r="AD1659" s="1" t="str">
        <f aca="false">IF(V1659&lt;0,"Loss Making",IF(V1659&lt;20,"Low Margin","Healthy Margin"))</f>
        <v>Healthy Margin</v>
      </c>
      <c r="AE1659" s="1" t="str">
        <f aca="false">TEXT(DATE(VALUE(RIGHT(B1659,4)),VALUE(MID(B1659,4,2)),VALUE(LEFT(B1659,2))),"MMM-YYYY")</f>
        <v>Sep-2023</v>
      </c>
      <c r="AF1659" s="1" t="n">
        <f aca="false">VALUE(RIGHT(B1659,4))</f>
        <v>2023</v>
      </c>
      <c r="AG1659" s="1" t="str">
        <f aca="false">CHOOSE(ROUNDUP(VALUE(MID(B1659,4,2))/3,0),"Q1","Q2","Q3","Q4")</f>
        <v>Q3</v>
      </c>
    </row>
    <row r="1660" customFormat="false" ht="15" hidden="false" customHeight="true" outlineLevel="0" collapsed="false">
      <c r="A1660" s="1" t="s">
        <v>2486</v>
      </c>
      <c r="B1660" s="1" t="s">
        <v>263</v>
      </c>
      <c r="C1660" s="1" t="s">
        <v>119</v>
      </c>
      <c r="D1660" s="1" t="s">
        <v>123</v>
      </c>
      <c r="E1660" s="1" t="s">
        <v>147</v>
      </c>
      <c r="F1660" s="1" t="s">
        <v>55</v>
      </c>
      <c r="G1660" s="1" t="s">
        <v>56</v>
      </c>
      <c r="H1660" s="1" t="s">
        <v>57</v>
      </c>
      <c r="I1660" s="1" t="s">
        <v>83</v>
      </c>
      <c r="J1660" s="1" t="s">
        <v>35</v>
      </c>
      <c r="K1660" s="1" t="s">
        <v>71</v>
      </c>
      <c r="L1660" s="1" t="s">
        <v>49</v>
      </c>
      <c r="M1660" s="1" t="s">
        <v>38</v>
      </c>
      <c r="N1660" s="1" t="n">
        <v>6999</v>
      </c>
      <c r="O1660" s="1" t="n">
        <v>0</v>
      </c>
      <c r="P1660" s="1" t="n">
        <v>0</v>
      </c>
      <c r="Q1660" s="1" t="n">
        <v>6999</v>
      </c>
      <c r="R1660" s="1" t="n">
        <v>1259.82</v>
      </c>
      <c r="S1660" s="1" t="n">
        <v>5739.18</v>
      </c>
      <c r="T1660" s="1" t="n">
        <v>2755.89</v>
      </c>
      <c r="U1660" s="1" t="n">
        <v>2983.29</v>
      </c>
      <c r="V1660" s="1" t="n">
        <v>51.98</v>
      </c>
      <c r="W1660" s="1" t="s">
        <v>40</v>
      </c>
      <c r="Y1660" s="1" t="s">
        <v>40</v>
      </c>
      <c r="Z1660" s="1" t="n">
        <v>0</v>
      </c>
      <c r="AA1660" s="1" t="str">
        <f aca="false">TRIM(PROPER(F1660))</f>
        <v>Ghaziabad</v>
      </c>
      <c r="AB1660" s="1" t="str">
        <f aca="false">TRIM(PROPER(C1660))</f>
        <v>Simplilearn</v>
      </c>
      <c r="AC1660" s="1" t="str">
        <f aca="false">IF(O1660=0,"No Discount",IF(O1660&lt;=15,"Low (1-15%)",IF(O1660&lt;=30,"Medium (16-30%)","High (&gt;30%)")))</f>
        <v>No Discount</v>
      </c>
      <c r="AD1660" s="1" t="str">
        <f aca="false">IF(V1660&lt;0,"Loss Making",IF(V1660&lt;20,"Low Margin","Healthy Margin"))</f>
        <v>Healthy Margin</v>
      </c>
      <c r="AE1660" s="1" t="str">
        <f aca="false">TEXT(DATE(VALUE(RIGHT(B1660,4)),VALUE(MID(B1660,4,2)),VALUE(LEFT(B1660,2))),"MMM-YYYY")</f>
        <v>Jul-2024</v>
      </c>
      <c r="AF1660" s="1" t="n">
        <f aca="false">VALUE(RIGHT(B1660,4))</f>
        <v>2024</v>
      </c>
      <c r="AG1660" s="1" t="str">
        <f aca="false">CHOOSE(ROUNDUP(VALUE(MID(B1660,4,2))/3,0),"Q1","Q2","Q3","Q4")</f>
        <v>Q3</v>
      </c>
    </row>
    <row r="1661" customFormat="false" ht="15" hidden="false" customHeight="true" outlineLevel="0" collapsed="false">
      <c r="A1661" s="1" t="s">
        <v>2487</v>
      </c>
      <c r="B1661" s="1" t="s">
        <v>1152</v>
      </c>
      <c r="C1661" s="1" t="s">
        <v>167</v>
      </c>
      <c r="D1661" s="1" t="s">
        <v>80</v>
      </c>
      <c r="E1661" s="1" t="s">
        <v>175</v>
      </c>
      <c r="F1661" s="1" t="s">
        <v>187</v>
      </c>
      <c r="G1661" s="1" t="s">
        <v>97</v>
      </c>
      <c r="H1661" s="1" t="s">
        <v>69</v>
      </c>
      <c r="I1661" s="1" t="s">
        <v>58</v>
      </c>
      <c r="J1661" s="1" t="s">
        <v>70</v>
      </c>
      <c r="K1661" s="1" t="s">
        <v>36</v>
      </c>
      <c r="L1661" s="1" t="s">
        <v>136</v>
      </c>
      <c r="M1661" s="1" t="s">
        <v>62</v>
      </c>
      <c r="N1661" s="1" t="n">
        <v>19999</v>
      </c>
      <c r="O1661" s="1" t="n">
        <v>30</v>
      </c>
      <c r="P1661" s="1" t="n">
        <v>5999.7</v>
      </c>
      <c r="Q1661" s="1" t="n">
        <v>13999.3</v>
      </c>
      <c r="R1661" s="1" t="n">
        <v>2519.87</v>
      </c>
      <c r="S1661" s="1" t="n">
        <v>11479.43</v>
      </c>
      <c r="T1661" s="1" t="n">
        <v>3523.93</v>
      </c>
      <c r="U1661" s="1" t="n">
        <v>7955.5</v>
      </c>
      <c r="V1661" s="1" t="n">
        <v>69.3</v>
      </c>
      <c r="W1661" s="1" t="s">
        <v>39</v>
      </c>
      <c r="X1661" s="1" t="n">
        <v>3.7</v>
      </c>
      <c r="Y1661" s="1" t="s">
        <v>40</v>
      </c>
      <c r="Z1661" s="1" t="n">
        <v>1</v>
      </c>
      <c r="AA1661" s="1" t="str">
        <f aca="false">TRIM(PROPER(F1661))</f>
        <v>Mumbai</v>
      </c>
      <c r="AB1661" s="1" t="str">
        <f aca="false">TRIM(PROPER(C1661))</f>
        <v>Scaler</v>
      </c>
      <c r="AC1661" s="1" t="str">
        <f aca="false">IF(O1661=0,"No Discount",IF(O1661&lt;=15,"Low (1-15%)",IF(O1661&lt;=30,"Medium (16-30%)","High (&gt;30%)")))</f>
        <v>Medium (16-30%)</v>
      </c>
      <c r="AD1661" s="1" t="str">
        <f aca="false">IF(V1661&lt;0,"Loss Making",IF(V1661&lt;20,"Low Margin","Healthy Margin"))</f>
        <v>Healthy Margin</v>
      </c>
      <c r="AE1661" s="1" t="str">
        <f aca="false">TEXT(DATE(VALUE(RIGHT(B1661,4)),VALUE(MID(B1661,4,2)),VALUE(LEFT(B1661,2))),"MMM-YYYY")</f>
        <v>Aug-2024</v>
      </c>
      <c r="AF1661" s="1" t="n">
        <f aca="false">VALUE(RIGHT(B1661,4))</f>
        <v>2024</v>
      </c>
      <c r="AG1661" s="1" t="str">
        <f aca="false">CHOOSE(ROUNDUP(VALUE(MID(B1661,4,2))/3,0),"Q1","Q2","Q3","Q4")</f>
        <v>Q3</v>
      </c>
    </row>
    <row r="1662" customFormat="false" ht="15" hidden="false" customHeight="true" outlineLevel="0" collapsed="false">
      <c r="A1662" s="1" t="s">
        <v>2488</v>
      </c>
      <c r="B1662" s="1" t="s">
        <v>1797</v>
      </c>
      <c r="C1662" s="1" t="s">
        <v>100</v>
      </c>
      <c r="D1662" s="1" t="s">
        <v>94</v>
      </c>
      <c r="E1662" s="1" t="s">
        <v>135</v>
      </c>
      <c r="F1662" s="1" t="s">
        <v>205</v>
      </c>
      <c r="G1662" s="1" t="s">
        <v>56</v>
      </c>
      <c r="H1662" s="1" t="s">
        <v>69</v>
      </c>
      <c r="I1662" s="1" t="s">
        <v>83</v>
      </c>
      <c r="J1662" s="1" t="s">
        <v>59</v>
      </c>
      <c r="K1662" s="1" t="s">
        <v>60</v>
      </c>
      <c r="L1662" s="1" t="s">
        <v>85</v>
      </c>
      <c r="M1662" s="1" t="s">
        <v>50</v>
      </c>
      <c r="N1662" s="1" t="n">
        <v>9999</v>
      </c>
      <c r="O1662" s="1" t="n">
        <v>0</v>
      </c>
      <c r="P1662" s="1" t="n">
        <v>0</v>
      </c>
      <c r="Q1662" s="1" t="n">
        <v>9999</v>
      </c>
      <c r="R1662" s="1" t="n">
        <v>1799.82</v>
      </c>
      <c r="S1662" s="1" t="n">
        <v>8199.18</v>
      </c>
      <c r="T1662" s="1" t="n">
        <v>3027.4</v>
      </c>
      <c r="U1662" s="1" t="n">
        <v>5171.78</v>
      </c>
      <c r="V1662" s="1" t="n">
        <v>63.08</v>
      </c>
      <c r="W1662" s="1" t="s">
        <v>40</v>
      </c>
      <c r="Y1662" s="1" t="s">
        <v>40</v>
      </c>
      <c r="Z1662" s="1" t="n">
        <v>2</v>
      </c>
      <c r="AA1662" s="1" t="str">
        <f aca="false">TRIM(PROPER(F1662))</f>
        <v>New Delhi</v>
      </c>
      <c r="AB1662" s="1" t="str">
        <f aca="false">TRIM(PROPER(C1662))</f>
        <v>Physics Wallah</v>
      </c>
      <c r="AC1662" s="1" t="str">
        <f aca="false">IF(O1662=0,"No Discount",IF(O1662&lt;=15,"Low (1-15%)",IF(O1662&lt;=30,"Medium (16-30%)","High (&gt;30%)")))</f>
        <v>No Discount</v>
      </c>
      <c r="AD1662" s="1" t="str">
        <f aca="false">IF(V1662&lt;0,"Loss Making",IF(V1662&lt;20,"Low Margin","Healthy Margin"))</f>
        <v>Healthy Margin</v>
      </c>
      <c r="AE1662" s="1" t="str">
        <f aca="false">TEXT(DATE(VALUE(RIGHT(B1662,4)),VALUE(MID(B1662,4,2)),VALUE(LEFT(B1662,2))),"MMM-YYYY")</f>
        <v>Apr-2024</v>
      </c>
      <c r="AF1662" s="1" t="n">
        <f aca="false">VALUE(RIGHT(B1662,4))</f>
        <v>2024</v>
      </c>
      <c r="AG1662" s="1" t="str">
        <f aca="false">CHOOSE(ROUNDUP(VALUE(MID(B1662,4,2))/3,0),"Q1","Q2","Q3","Q4")</f>
        <v>Q2</v>
      </c>
    </row>
    <row r="1663" customFormat="false" ht="15" hidden="false" customHeight="true" outlineLevel="0" collapsed="false">
      <c r="A1663" s="1" t="s">
        <v>2489</v>
      </c>
      <c r="B1663" s="1" t="s">
        <v>576</v>
      </c>
      <c r="C1663" s="1" t="s">
        <v>43</v>
      </c>
      <c r="D1663" s="1" t="s">
        <v>53</v>
      </c>
      <c r="E1663" s="1" t="s">
        <v>54</v>
      </c>
      <c r="F1663" s="1" t="s">
        <v>244</v>
      </c>
      <c r="G1663" s="1" t="s">
        <v>97</v>
      </c>
      <c r="H1663" s="1" t="s">
        <v>57</v>
      </c>
      <c r="I1663" s="1" t="s">
        <v>58</v>
      </c>
      <c r="J1663" s="1" t="s">
        <v>77</v>
      </c>
      <c r="K1663" s="1" t="s">
        <v>71</v>
      </c>
      <c r="L1663" s="1" t="s">
        <v>49</v>
      </c>
      <c r="M1663" s="1" t="s">
        <v>50</v>
      </c>
      <c r="N1663" s="1" t="n">
        <v>11999</v>
      </c>
      <c r="O1663" s="1" t="n">
        <v>15</v>
      </c>
      <c r="P1663" s="1" t="n">
        <v>1799.85</v>
      </c>
      <c r="Q1663" s="1" t="n">
        <v>10199.15</v>
      </c>
      <c r="R1663" s="1" t="n">
        <v>1835.85</v>
      </c>
      <c r="S1663" s="1" t="n">
        <v>8363.3</v>
      </c>
      <c r="T1663" s="1" t="n">
        <v>3354.71</v>
      </c>
      <c r="U1663" s="1" t="n">
        <v>5008.59</v>
      </c>
      <c r="V1663" s="1" t="n">
        <v>59.89</v>
      </c>
      <c r="W1663" s="1" t="s">
        <v>39</v>
      </c>
      <c r="X1663" s="1" t="n">
        <v>3.3</v>
      </c>
      <c r="Y1663" s="1" t="s">
        <v>40</v>
      </c>
      <c r="Z1663" s="1" t="n">
        <v>0</v>
      </c>
      <c r="AA1663" s="1" t="str">
        <f aca="false">TRIM(PROPER(F1663))</f>
        <v>Nagpur</v>
      </c>
      <c r="AB1663" s="1" t="str">
        <f aca="false">TRIM(PROPER(C1663))</f>
        <v>Meritnation</v>
      </c>
      <c r="AC1663" s="1" t="str">
        <f aca="false">IF(O1663=0,"No Discount",IF(O1663&lt;=15,"Low (1-15%)",IF(O1663&lt;=30,"Medium (16-30%)","High (&gt;30%)")))</f>
        <v>Low (1-15%)</v>
      </c>
      <c r="AD1663" s="1" t="str">
        <f aca="false">IF(V1663&lt;0,"Loss Making",IF(V1663&lt;20,"Low Margin","Healthy Margin"))</f>
        <v>Healthy Margin</v>
      </c>
      <c r="AE1663" s="1" t="str">
        <f aca="false">TEXT(DATE(VALUE(RIGHT(B1663,4)),VALUE(MID(B1663,4,2)),VALUE(LEFT(B1663,2))),"MMM-YYYY")</f>
        <v>Aug-2024</v>
      </c>
      <c r="AF1663" s="1" t="n">
        <f aca="false">VALUE(RIGHT(B1663,4))</f>
        <v>2024</v>
      </c>
      <c r="AG1663" s="1" t="str">
        <f aca="false">CHOOSE(ROUNDUP(VALUE(MID(B1663,4,2))/3,0),"Q1","Q2","Q3","Q4")</f>
        <v>Q3</v>
      </c>
    </row>
    <row r="1664" customFormat="false" ht="15" hidden="false" customHeight="true" outlineLevel="0" collapsed="false">
      <c r="A1664" s="1" t="s">
        <v>2490</v>
      </c>
      <c r="B1664" s="1" t="s">
        <v>936</v>
      </c>
      <c r="C1664" s="1" t="s">
        <v>100</v>
      </c>
      <c r="D1664" s="1" t="s">
        <v>80</v>
      </c>
      <c r="E1664" s="1" t="s">
        <v>190</v>
      </c>
      <c r="F1664" s="1" t="s">
        <v>107</v>
      </c>
      <c r="G1664" s="1" t="s">
        <v>108</v>
      </c>
      <c r="H1664" s="1" t="s">
        <v>33</v>
      </c>
      <c r="I1664" s="1" t="s">
        <v>58</v>
      </c>
      <c r="J1664" s="1" t="s">
        <v>77</v>
      </c>
      <c r="K1664" s="1" t="s">
        <v>90</v>
      </c>
      <c r="L1664" s="1" t="s">
        <v>85</v>
      </c>
      <c r="M1664" s="1" t="s">
        <v>62</v>
      </c>
      <c r="N1664" s="1" t="n">
        <v>15999</v>
      </c>
      <c r="O1664" s="1" t="n">
        <v>0</v>
      </c>
      <c r="P1664" s="1" t="n">
        <v>0</v>
      </c>
      <c r="Q1664" s="1" t="n">
        <v>15999</v>
      </c>
      <c r="R1664" s="1" t="n">
        <v>2879.82</v>
      </c>
      <c r="S1664" s="1" t="n">
        <v>13119.18</v>
      </c>
      <c r="T1664" s="1" t="n">
        <v>6024.25</v>
      </c>
      <c r="U1664" s="1" t="n">
        <v>7094.93</v>
      </c>
      <c r="V1664" s="1" t="n">
        <v>54.08</v>
      </c>
      <c r="W1664" s="1" t="s">
        <v>39</v>
      </c>
      <c r="X1664" s="1" t="n">
        <v>4</v>
      </c>
      <c r="Y1664" s="1" t="s">
        <v>40</v>
      </c>
      <c r="Z1664" s="1" t="n">
        <v>0</v>
      </c>
      <c r="AA1664" s="1" t="str">
        <f aca="false">TRIM(PROPER(F1664))</f>
        <v>Madurai</v>
      </c>
      <c r="AB1664" s="1" t="str">
        <f aca="false">TRIM(PROPER(C1664))</f>
        <v>Physics Wallah</v>
      </c>
      <c r="AC1664" s="1" t="str">
        <f aca="false">IF(O1664=0,"No Discount",IF(O1664&lt;=15,"Low (1-15%)",IF(O1664&lt;=30,"Medium (16-30%)","High (&gt;30%)")))</f>
        <v>No Discount</v>
      </c>
      <c r="AD1664" s="1" t="str">
        <f aca="false">IF(V1664&lt;0,"Loss Making",IF(V1664&lt;20,"Low Margin","Healthy Margin"))</f>
        <v>Healthy Margin</v>
      </c>
      <c r="AE1664" s="1" t="str">
        <f aca="false">TEXT(DATE(VALUE(RIGHT(B1664,4)),VALUE(MID(B1664,4,2)),VALUE(LEFT(B1664,2))),"MMM-YYYY")</f>
        <v>Jun-2024</v>
      </c>
      <c r="AF1664" s="1" t="n">
        <f aca="false">VALUE(RIGHT(B1664,4))</f>
        <v>2024</v>
      </c>
      <c r="AG1664" s="1" t="str">
        <f aca="false">CHOOSE(ROUNDUP(VALUE(MID(B1664,4,2))/3,0),"Q1","Q2","Q3","Q4")</f>
        <v>Q2</v>
      </c>
    </row>
    <row r="1665" customFormat="false" ht="15" hidden="false" customHeight="true" outlineLevel="0" collapsed="false">
      <c r="A1665" s="1" t="s">
        <v>2491</v>
      </c>
      <c r="B1665" s="1" t="s">
        <v>2440</v>
      </c>
      <c r="C1665" s="1" t="s">
        <v>139</v>
      </c>
      <c r="D1665" s="1" t="s">
        <v>53</v>
      </c>
      <c r="E1665" s="1" t="s">
        <v>54</v>
      </c>
      <c r="F1665" s="1" t="s">
        <v>194</v>
      </c>
      <c r="G1665" s="1" t="s">
        <v>103</v>
      </c>
      <c r="H1665" s="1" t="s">
        <v>69</v>
      </c>
      <c r="I1665" s="1" t="s">
        <v>58</v>
      </c>
      <c r="J1665" s="1" t="s">
        <v>70</v>
      </c>
      <c r="K1665" s="1" t="s">
        <v>36</v>
      </c>
      <c r="L1665" s="1" t="s">
        <v>113</v>
      </c>
      <c r="M1665" s="1" t="s">
        <v>50</v>
      </c>
      <c r="N1665" s="1" t="n">
        <v>11999</v>
      </c>
      <c r="O1665" s="1" t="n">
        <v>0</v>
      </c>
      <c r="P1665" s="1" t="n">
        <v>0</v>
      </c>
      <c r="Q1665" s="1" t="n">
        <v>11999</v>
      </c>
      <c r="R1665" s="1" t="n">
        <v>2159.82</v>
      </c>
      <c r="S1665" s="1" t="n">
        <v>9839.18</v>
      </c>
      <c r="T1665" s="1" t="n">
        <v>4575.68</v>
      </c>
      <c r="U1665" s="1" t="n">
        <v>5263.5</v>
      </c>
      <c r="V1665" s="1" t="n">
        <v>53.5</v>
      </c>
      <c r="W1665" s="1" t="s">
        <v>39</v>
      </c>
      <c r="X1665" s="1" t="n">
        <v>3.8</v>
      </c>
      <c r="Y1665" s="1" t="s">
        <v>40</v>
      </c>
      <c r="Z1665" s="1" t="n">
        <v>0</v>
      </c>
      <c r="AA1665" s="1" t="str">
        <f aca="false">TRIM(PROPER(F1665))</f>
        <v>Hyderabad</v>
      </c>
      <c r="AB1665" s="1" t="str">
        <f aca="false">TRIM(PROPER(C1665))</f>
        <v>Extramarks</v>
      </c>
      <c r="AC1665" s="1" t="str">
        <f aca="false">IF(O1665=0,"No Discount",IF(O1665&lt;=15,"Low (1-15%)",IF(O1665&lt;=30,"Medium (16-30%)","High (&gt;30%)")))</f>
        <v>No Discount</v>
      </c>
      <c r="AD1665" s="1" t="str">
        <f aca="false">IF(V1665&lt;0,"Loss Making",IF(V1665&lt;20,"Low Margin","Healthy Margin"))</f>
        <v>Healthy Margin</v>
      </c>
      <c r="AE1665" s="1" t="str">
        <f aca="false">TEXT(DATE(VALUE(RIGHT(B1665,4)),VALUE(MID(B1665,4,2)),VALUE(LEFT(B1665,2))),"MMM-YYYY")</f>
        <v>Sep-2023</v>
      </c>
      <c r="AF1665" s="1" t="n">
        <f aca="false">VALUE(RIGHT(B1665,4))</f>
        <v>2023</v>
      </c>
      <c r="AG1665" s="1" t="str">
        <f aca="false">CHOOSE(ROUNDUP(VALUE(MID(B1665,4,2))/3,0),"Q1","Q2","Q3","Q4")</f>
        <v>Q3</v>
      </c>
    </row>
    <row r="1666" customFormat="false" ht="15" hidden="false" customHeight="true" outlineLevel="0" collapsed="false">
      <c r="A1666" s="1" t="s">
        <v>2492</v>
      </c>
      <c r="B1666" s="1" t="s">
        <v>1275</v>
      </c>
      <c r="C1666" s="1" t="s">
        <v>28</v>
      </c>
      <c r="D1666" s="1" t="s">
        <v>123</v>
      </c>
      <c r="E1666" s="1" t="s">
        <v>124</v>
      </c>
      <c r="F1666" s="1" t="s">
        <v>156</v>
      </c>
      <c r="G1666" s="1" t="s">
        <v>68</v>
      </c>
      <c r="H1666" s="1" t="s">
        <v>57</v>
      </c>
      <c r="I1666" s="1" t="s">
        <v>83</v>
      </c>
      <c r="J1666" s="1" t="s">
        <v>131</v>
      </c>
      <c r="K1666" s="1" t="s">
        <v>90</v>
      </c>
      <c r="L1666" s="1" t="s">
        <v>85</v>
      </c>
      <c r="M1666" s="1" t="s">
        <v>50</v>
      </c>
      <c r="N1666" s="1" t="n">
        <v>4999</v>
      </c>
      <c r="O1666" s="1" t="n">
        <v>40</v>
      </c>
      <c r="P1666" s="1" t="n">
        <v>1999.6</v>
      </c>
      <c r="Q1666" s="1" t="n">
        <v>2999.4</v>
      </c>
      <c r="R1666" s="1" t="n">
        <v>539.89</v>
      </c>
      <c r="S1666" s="1" t="n">
        <v>2459.51</v>
      </c>
      <c r="T1666" s="1" t="n">
        <v>1415.45</v>
      </c>
      <c r="U1666" s="1" t="n">
        <v>1044.06</v>
      </c>
      <c r="V1666" s="1" t="n">
        <v>42.45</v>
      </c>
      <c r="W1666" s="1" t="s">
        <v>40</v>
      </c>
      <c r="Y1666" s="1" t="s">
        <v>39</v>
      </c>
      <c r="Z1666" s="1" t="n">
        <v>0</v>
      </c>
      <c r="AA1666" s="1" t="str">
        <f aca="false">TRIM(PROPER(F1666))</f>
        <v>Surat</v>
      </c>
      <c r="AB1666" s="1" t="str">
        <f aca="false">TRIM(PROPER(C1666))</f>
        <v>Embibe</v>
      </c>
      <c r="AC1666" s="1" t="str">
        <f aca="false">IF(O1666=0,"No Discount",IF(O1666&lt;=15,"Low (1-15%)",IF(O1666&lt;=30,"Medium (16-30%)","High (&gt;30%)")))</f>
        <v>High (&gt;30%)</v>
      </c>
      <c r="AD1666" s="1" t="str">
        <f aca="false">IF(V1666&lt;0,"Loss Making",IF(V1666&lt;20,"Low Margin","Healthy Margin"))</f>
        <v>Healthy Margin</v>
      </c>
      <c r="AE1666" s="1" t="str">
        <f aca="false">TEXT(DATE(VALUE(RIGHT(B1666,4)),VALUE(MID(B1666,4,2)),VALUE(LEFT(B1666,2))),"MMM-YYYY")</f>
        <v>Dec-2024</v>
      </c>
      <c r="AF1666" s="1" t="n">
        <f aca="false">VALUE(RIGHT(B1666,4))</f>
        <v>2024</v>
      </c>
      <c r="AG1666" s="1" t="str">
        <f aca="false">CHOOSE(ROUNDUP(VALUE(MID(B1666,4,2))/3,0),"Q1","Q2","Q3","Q4")</f>
        <v>Q4</v>
      </c>
    </row>
    <row r="1667" customFormat="false" ht="15" hidden="false" customHeight="true" outlineLevel="0" collapsed="false">
      <c r="A1667" s="1" t="s">
        <v>2493</v>
      </c>
      <c r="B1667" s="1" t="s">
        <v>2285</v>
      </c>
      <c r="C1667" s="1" t="s">
        <v>88</v>
      </c>
      <c r="D1667" s="1" t="s">
        <v>80</v>
      </c>
      <c r="E1667" s="1" t="s">
        <v>81</v>
      </c>
      <c r="F1667" s="1" t="s">
        <v>205</v>
      </c>
      <c r="G1667" s="1" t="s">
        <v>56</v>
      </c>
      <c r="H1667" s="1" t="s">
        <v>69</v>
      </c>
      <c r="I1667" s="1" t="s">
        <v>58</v>
      </c>
      <c r="J1667" s="1" t="s">
        <v>131</v>
      </c>
      <c r="K1667" s="1" t="s">
        <v>84</v>
      </c>
      <c r="L1667" s="1" t="s">
        <v>61</v>
      </c>
      <c r="M1667" s="1" t="s">
        <v>38</v>
      </c>
      <c r="N1667" s="1" t="n">
        <v>12999</v>
      </c>
      <c r="O1667" s="1" t="n">
        <v>25</v>
      </c>
      <c r="P1667" s="1" t="n">
        <v>3249.75</v>
      </c>
      <c r="Q1667" s="1" t="n">
        <v>9749.25</v>
      </c>
      <c r="R1667" s="1" t="n">
        <v>1754.87</v>
      </c>
      <c r="S1667" s="1" t="n">
        <v>7994.38</v>
      </c>
      <c r="T1667" s="1" t="n">
        <v>3806.54</v>
      </c>
      <c r="U1667" s="1" t="n">
        <v>4187.84</v>
      </c>
      <c r="V1667" s="1" t="n">
        <v>52.38</v>
      </c>
      <c r="W1667" s="1" t="s">
        <v>39</v>
      </c>
      <c r="X1667" s="1" t="n">
        <v>4.5</v>
      </c>
      <c r="Y1667" s="1" t="s">
        <v>40</v>
      </c>
      <c r="Z1667" s="1" t="n">
        <v>0</v>
      </c>
      <c r="AA1667" s="1" t="str">
        <f aca="false">TRIM(PROPER(F1667))</f>
        <v>New Delhi</v>
      </c>
      <c r="AB1667" s="1" t="str">
        <f aca="false">TRIM(PROPER(C1667))</f>
        <v>Byju'S</v>
      </c>
      <c r="AC1667" s="1" t="str">
        <f aca="false">IF(O1667=0,"No Discount",IF(O1667&lt;=15,"Low (1-15%)",IF(O1667&lt;=30,"Medium (16-30%)","High (&gt;30%)")))</f>
        <v>Medium (16-30%)</v>
      </c>
      <c r="AD1667" s="1" t="str">
        <f aca="false">IF(V1667&lt;0,"Loss Making",IF(V1667&lt;20,"Low Margin","Healthy Margin"))</f>
        <v>Healthy Margin</v>
      </c>
      <c r="AE1667" s="1" t="str">
        <f aca="false">TEXT(DATE(VALUE(RIGHT(B1667,4)),VALUE(MID(B1667,4,2)),VALUE(LEFT(B1667,2))),"MMM-YYYY")</f>
        <v>Feb-2023</v>
      </c>
      <c r="AF1667" s="1" t="n">
        <f aca="false">VALUE(RIGHT(B1667,4))</f>
        <v>2023</v>
      </c>
      <c r="AG1667" s="1" t="str">
        <f aca="false">CHOOSE(ROUNDUP(VALUE(MID(B1667,4,2))/3,0),"Q1","Q2","Q3","Q4")</f>
        <v>Q1</v>
      </c>
    </row>
    <row r="1668" customFormat="false" ht="15" hidden="false" customHeight="true" outlineLevel="0" collapsed="false">
      <c r="A1668" s="1" t="s">
        <v>2494</v>
      </c>
      <c r="B1668" s="1" t="s">
        <v>830</v>
      </c>
      <c r="C1668" s="1" t="s">
        <v>134</v>
      </c>
      <c r="D1668" s="1" t="s">
        <v>44</v>
      </c>
      <c r="E1668" s="1" t="s">
        <v>221</v>
      </c>
      <c r="F1668" s="1" t="s">
        <v>153</v>
      </c>
      <c r="G1668" s="1" t="s">
        <v>76</v>
      </c>
      <c r="H1668" s="1" t="s">
        <v>33</v>
      </c>
      <c r="I1668" s="1" t="s">
        <v>83</v>
      </c>
      <c r="J1668" s="1" t="s">
        <v>59</v>
      </c>
      <c r="K1668" s="1" t="s">
        <v>48</v>
      </c>
      <c r="L1668" s="1" t="s">
        <v>37</v>
      </c>
      <c r="M1668" s="1" t="s">
        <v>62</v>
      </c>
      <c r="N1668" s="1" t="n">
        <v>16999</v>
      </c>
      <c r="O1668" s="1" t="n">
        <v>40</v>
      </c>
      <c r="P1668" s="1" t="n">
        <v>6799.6</v>
      </c>
      <c r="Q1668" s="1" t="n">
        <v>10199.4</v>
      </c>
      <c r="R1668" s="1" t="n">
        <v>1835.89</v>
      </c>
      <c r="S1668" s="1" t="n">
        <v>8363.51</v>
      </c>
      <c r="T1668" s="1" t="n">
        <v>5523.44</v>
      </c>
      <c r="U1668" s="1" t="n">
        <v>2840.07</v>
      </c>
      <c r="V1668" s="1" t="n">
        <v>33.96</v>
      </c>
      <c r="W1668" s="1" t="s">
        <v>39</v>
      </c>
      <c r="X1668" s="1" t="n">
        <v>3</v>
      </c>
      <c r="Y1668" s="1" t="s">
        <v>39</v>
      </c>
      <c r="Z1668" s="1" t="n">
        <v>0</v>
      </c>
      <c r="AA1668" s="1" t="str">
        <f aca="false">TRIM(PROPER(F1668))</f>
        <v>Howrah</v>
      </c>
      <c r="AB1668" s="1" t="str">
        <f aca="false">TRIM(PROPER(C1668))</f>
        <v>Doubtnut</v>
      </c>
      <c r="AC1668" s="1" t="str">
        <f aca="false">IF(O1668=0,"No Discount",IF(O1668&lt;=15,"Low (1-15%)",IF(O1668&lt;=30,"Medium (16-30%)","High (&gt;30%)")))</f>
        <v>High (&gt;30%)</v>
      </c>
      <c r="AD1668" s="1" t="str">
        <f aca="false">IF(V1668&lt;0,"Loss Making",IF(V1668&lt;20,"Low Margin","Healthy Margin"))</f>
        <v>Healthy Margin</v>
      </c>
      <c r="AE1668" s="1" t="str">
        <f aca="false">TEXT(DATE(VALUE(RIGHT(B1668,4)),VALUE(MID(B1668,4,2)),VALUE(LEFT(B1668,2))),"MMM-YYYY")</f>
        <v>Feb-2024</v>
      </c>
      <c r="AF1668" s="1" t="n">
        <f aca="false">VALUE(RIGHT(B1668,4))</f>
        <v>2024</v>
      </c>
      <c r="AG1668" s="1" t="str">
        <f aca="false">CHOOSE(ROUNDUP(VALUE(MID(B1668,4,2))/3,0),"Q1","Q2","Q3","Q4")</f>
        <v>Q1</v>
      </c>
    </row>
    <row r="1669" customFormat="false" ht="15" hidden="false" customHeight="true" outlineLevel="0" collapsed="false">
      <c r="A1669" s="1" t="s">
        <v>2495</v>
      </c>
      <c r="B1669" s="1" t="s">
        <v>827</v>
      </c>
      <c r="C1669" s="1" t="s">
        <v>167</v>
      </c>
      <c r="D1669" s="1" t="s">
        <v>123</v>
      </c>
      <c r="E1669" s="1" t="s">
        <v>233</v>
      </c>
      <c r="F1669" s="1" t="s">
        <v>140</v>
      </c>
      <c r="G1669" s="1" t="s">
        <v>97</v>
      </c>
      <c r="H1669" s="1" t="s">
        <v>57</v>
      </c>
      <c r="I1669" s="1" t="s">
        <v>83</v>
      </c>
      <c r="J1669" s="1" t="s">
        <v>131</v>
      </c>
      <c r="K1669" s="1" t="s">
        <v>60</v>
      </c>
      <c r="L1669" s="1" t="s">
        <v>85</v>
      </c>
      <c r="M1669" s="1" t="s">
        <v>50</v>
      </c>
      <c r="N1669" s="1" t="n">
        <v>8999</v>
      </c>
      <c r="O1669" s="1" t="n">
        <v>10</v>
      </c>
      <c r="P1669" s="1" t="n">
        <v>899.9</v>
      </c>
      <c r="Q1669" s="1" t="n">
        <v>8099.1</v>
      </c>
      <c r="R1669" s="1" t="n">
        <v>1457.84</v>
      </c>
      <c r="S1669" s="1" t="n">
        <v>6641.26</v>
      </c>
      <c r="T1669" s="1" t="n">
        <v>2714.29</v>
      </c>
      <c r="U1669" s="1" t="n">
        <v>3926.97</v>
      </c>
      <c r="V1669" s="1" t="n">
        <v>59.13</v>
      </c>
      <c r="W1669" s="1" t="s">
        <v>39</v>
      </c>
      <c r="X1669" s="1" t="n">
        <v>2.8</v>
      </c>
      <c r="Y1669" s="1" t="s">
        <v>40</v>
      </c>
      <c r="Z1669" s="1" t="n">
        <v>0</v>
      </c>
      <c r="AA1669" s="1" t="str">
        <f aca="false">TRIM(PROPER(F1669))</f>
        <v>Nashik</v>
      </c>
      <c r="AB1669" s="1" t="str">
        <f aca="false">TRIM(PROPER(C1669))</f>
        <v>Scaler</v>
      </c>
      <c r="AC1669" s="1" t="str">
        <f aca="false">IF(O1669=0,"No Discount",IF(O1669&lt;=15,"Low (1-15%)",IF(O1669&lt;=30,"Medium (16-30%)","High (&gt;30%)")))</f>
        <v>Low (1-15%)</v>
      </c>
      <c r="AD1669" s="1" t="str">
        <f aca="false">IF(V1669&lt;0,"Loss Making",IF(V1669&lt;20,"Low Margin","Healthy Margin"))</f>
        <v>Healthy Margin</v>
      </c>
      <c r="AE1669" s="1" t="str">
        <f aca="false">TEXT(DATE(VALUE(RIGHT(B1669,4)),VALUE(MID(B1669,4,2)),VALUE(LEFT(B1669,2))),"MMM-YYYY")</f>
        <v>Nov-2024</v>
      </c>
      <c r="AF1669" s="1" t="n">
        <f aca="false">VALUE(RIGHT(B1669,4))</f>
        <v>2024</v>
      </c>
      <c r="AG1669" s="1" t="str">
        <f aca="false">CHOOSE(ROUNDUP(VALUE(MID(B1669,4,2))/3,0),"Q1","Q2","Q3","Q4")</f>
        <v>Q4</v>
      </c>
    </row>
    <row r="1670" customFormat="false" ht="15" hidden="false" customHeight="true" outlineLevel="0" collapsed="false">
      <c r="A1670" s="1" t="s">
        <v>2496</v>
      </c>
      <c r="B1670" s="1" t="s">
        <v>296</v>
      </c>
      <c r="C1670" s="1" t="s">
        <v>134</v>
      </c>
      <c r="D1670" s="1" t="s">
        <v>29</v>
      </c>
      <c r="E1670" s="1" t="s">
        <v>30</v>
      </c>
      <c r="F1670" s="1" t="s">
        <v>130</v>
      </c>
      <c r="G1670" s="1" t="s">
        <v>47</v>
      </c>
      <c r="H1670" s="1" t="s">
        <v>69</v>
      </c>
      <c r="I1670" s="1" t="s">
        <v>34</v>
      </c>
      <c r="J1670" s="1" t="s">
        <v>70</v>
      </c>
      <c r="K1670" s="1" t="s">
        <v>71</v>
      </c>
      <c r="L1670" s="1" t="s">
        <v>85</v>
      </c>
      <c r="M1670" s="1" t="s">
        <v>62</v>
      </c>
      <c r="N1670" s="1" t="n">
        <v>7999</v>
      </c>
      <c r="O1670" s="1" t="n">
        <v>20</v>
      </c>
      <c r="P1670" s="1" t="n">
        <v>1599.8</v>
      </c>
      <c r="Q1670" s="1" t="n">
        <v>6399.2</v>
      </c>
      <c r="R1670" s="1" t="n">
        <v>1151.86</v>
      </c>
      <c r="S1670" s="1" t="n">
        <v>5247.34</v>
      </c>
      <c r="T1670" s="1" t="n">
        <v>2030.38</v>
      </c>
      <c r="U1670" s="1" t="n">
        <v>3216.96</v>
      </c>
      <c r="V1670" s="1" t="n">
        <v>61.31</v>
      </c>
      <c r="W1670" s="1" t="s">
        <v>39</v>
      </c>
      <c r="X1670" s="1" t="n">
        <v>4.4</v>
      </c>
      <c r="Y1670" s="1" t="s">
        <v>40</v>
      </c>
      <c r="Z1670" s="1" t="n">
        <v>0</v>
      </c>
      <c r="AA1670" s="1" t="str">
        <f aca="false">TRIM(PROPER(F1670))</f>
        <v>Bengaluru</v>
      </c>
      <c r="AB1670" s="1" t="str">
        <f aca="false">TRIM(PROPER(C1670))</f>
        <v>Doubtnut</v>
      </c>
      <c r="AC1670" s="1" t="str">
        <f aca="false">IF(O1670=0,"No Discount",IF(O1670&lt;=15,"Low (1-15%)",IF(O1670&lt;=30,"Medium (16-30%)","High (&gt;30%)")))</f>
        <v>Medium (16-30%)</v>
      </c>
      <c r="AD1670" s="1" t="str">
        <f aca="false">IF(V1670&lt;0,"Loss Making",IF(V1670&lt;20,"Low Margin","Healthy Margin"))</f>
        <v>Healthy Margin</v>
      </c>
      <c r="AE1670" s="1" t="str">
        <f aca="false">TEXT(DATE(VALUE(RIGHT(B1670,4)),VALUE(MID(B1670,4,2)),VALUE(LEFT(B1670,2))),"MMM-YYYY")</f>
        <v>Jun-2023</v>
      </c>
      <c r="AF1670" s="1" t="n">
        <f aca="false">VALUE(RIGHT(B1670,4))</f>
        <v>2023</v>
      </c>
      <c r="AG1670" s="1" t="str">
        <f aca="false">CHOOSE(ROUNDUP(VALUE(MID(B1670,4,2))/3,0),"Q1","Q2","Q3","Q4")</f>
        <v>Q2</v>
      </c>
    </row>
    <row r="1671" customFormat="false" ht="15" hidden="false" customHeight="true" outlineLevel="0" collapsed="false">
      <c r="A1671" s="1" t="s">
        <v>2497</v>
      </c>
      <c r="B1671" s="1" t="s">
        <v>2460</v>
      </c>
      <c r="C1671" s="1" t="s">
        <v>74</v>
      </c>
      <c r="D1671" s="1" t="s">
        <v>94</v>
      </c>
      <c r="E1671" s="1" t="s">
        <v>95</v>
      </c>
      <c r="F1671" s="1" t="s">
        <v>96</v>
      </c>
      <c r="G1671" s="1" t="s">
        <v>97</v>
      </c>
      <c r="H1671" s="1" t="s">
        <v>69</v>
      </c>
      <c r="I1671" s="1" t="s">
        <v>34</v>
      </c>
      <c r="J1671" s="1" t="s">
        <v>131</v>
      </c>
      <c r="K1671" s="1" t="s">
        <v>90</v>
      </c>
      <c r="L1671" s="1" t="s">
        <v>136</v>
      </c>
      <c r="M1671" s="1" t="s">
        <v>62</v>
      </c>
      <c r="N1671" s="1" t="n">
        <v>6999</v>
      </c>
      <c r="O1671" s="1" t="n">
        <v>10</v>
      </c>
      <c r="P1671" s="1" t="n">
        <v>699.9</v>
      </c>
      <c r="Q1671" s="1" t="n">
        <v>6299.1</v>
      </c>
      <c r="R1671" s="1" t="n">
        <v>1133.84</v>
      </c>
      <c r="S1671" s="1" t="n">
        <v>5165.26</v>
      </c>
      <c r="T1671" s="1" t="n">
        <v>2047.29</v>
      </c>
      <c r="U1671" s="1" t="n">
        <v>3117.97</v>
      </c>
      <c r="V1671" s="1" t="n">
        <v>60.36</v>
      </c>
      <c r="W1671" s="1" t="s">
        <v>39</v>
      </c>
      <c r="X1671" s="1" t="n">
        <v>3.8</v>
      </c>
      <c r="Y1671" s="1" t="s">
        <v>40</v>
      </c>
      <c r="Z1671" s="1" t="n">
        <v>0</v>
      </c>
      <c r="AA1671" s="1" t="str">
        <f aca="false">TRIM(PROPER(F1671))</f>
        <v>Pune</v>
      </c>
      <c r="AB1671" s="1" t="str">
        <f aca="false">TRIM(PROPER(C1671))</f>
        <v>Vedantu</v>
      </c>
      <c r="AC1671" s="1" t="str">
        <f aca="false">IF(O1671=0,"No Discount",IF(O1671&lt;=15,"Low (1-15%)",IF(O1671&lt;=30,"Medium (16-30%)","High (&gt;30%)")))</f>
        <v>Low (1-15%)</v>
      </c>
      <c r="AD1671" s="1" t="str">
        <f aca="false">IF(V1671&lt;0,"Loss Making",IF(V1671&lt;20,"Low Margin","Healthy Margin"))</f>
        <v>Healthy Margin</v>
      </c>
      <c r="AE1671" s="1" t="str">
        <f aca="false">TEXT(DATE(VALUE(RIGHT(B1671,4)),VALUE(MID(B1671,4,2)),VALUE(LEFT(B1671,2))),"MMM-YYYY")</f>
        <v>Nov-2024</v>
      </c>
      <c r="AF1671" s="1" t="n">
        <f aca="false">VALUE(RIGHT(B1671,4))</f>
        <v>2024</v>
      </c>
      <c r="AG1671" s="1" t="str">
        <f aca="false">CHOOSE(ROUNDUP(VALUE(MID(B1671,4,2))/3,0),"Q1","Q2","Q3","Q4")</f>
        <v>Q4</v>
      </c>
    </row>
    <row r="1672" customFormat="false" ht="15" hidden="false" customHeight="true" outlineLevel="0" collapsed="false">
      <c r="A1672" s="1" t="s">
        <v>2498</v>
      </c>
      <c r="B1672" s="1" t="s">
        <v>2499</v>
      </c>
      <c r="C1672" s="1" t="s">
        <v>88</v>
      </c>
      <c r="D1672" s="1" t="s">
        <v>29</v>
      </c>
      <c r="E1672" s="1" t="s">
        <v>30</v>
      </c>
      <c r="F1672" s="1" t="s">
        <v>184</v>
      </c>
      <c r="G1672" s="1" t="s">
        <v>56</v>
      </c>
      <c r="H1672" s="1" t="s">
        <v>57</v>
      </c>
      <c r="I1672" s="1" t="s">
        <v>34</v>
      </c>
      <c r="J1672" s="1" t="s">
        <v>35</v>
      </c>
      <c r="K1672" s="1" t="s">
        <v>36</v>
      </c>
      <c r="L1672" s="1" t="s">
        <v>85</v>
      </c>
      <c r="M1672" s="1" t="s">
        <v>50</v>
      </c>
      <c r="N1672" s="1" t="n">
        <v>7999</v>
      </c>
      <c r="O1672" s="1" t="n">
        <v>25</v>
      </c>
      <c r="P1672" s="1" t="n">
        <v>1999.75</v>
      </c>
      <c r="Q1672" s="1" t="n">
        <v>5999.25</v>
      </c>
      <c r="R1672" s="1" t="n">
        <v>1079.87</v>
      </c>
      <c r="S1672" s="1" t="n">
        <v>4919.38</v>
      </c>
      <c r="T1672" s="1" t="n">
        <v>1707.86</v>
      </c>
      <c r="U1672" s="1" t="n">
        <v>3211.52</v>
      </c>
      <c r="V1672" s="1" t="n">
        <v>65.28</v>
      </c>
      <c r="W1672" s="1" t="s">
        <v>39</v>
      </c>
      <c r="X1672" s="1" t="n">
        <v>3.2</v>
      </c>
      <c r="Y1672" s="1" t="s">
        <v>40</v>
      </c>
      <c r="Z1672" s="1" t="n">
        <v>1</v>
      </c>
      <c r="AA1672" s="1" t="str">
        <f aca="false">TRIM(PROPER(F1672))</f>
        <v>Faridabad</v>
      </c>
      <c r="AB1672" s="1" t="str">
        <f aca="false">TRIM(PROPER(C1672))</f>
        <v>Byju'S</v>
      </c>
      <c r="AC1672" s="1" t="str">
        <f aca="false">IF(O1672=0,"No Discount",IF(O1672&lt;=15,"Low (1-15%)",IF(O1672&lt;=30,"Medium (16-30%)","High (&gt;30%)")))</f>
        <v>Medium (16-30%)</v>
      </c>
      <c r="AD1672" s="1" t="str">
        <f aca="false">IF(V1672&lt;0,"Loss Making",IF(V1672&lt;20,"Low Margin","Healthy Margin"))</f>
        <v>Healthy Margin</v>
      </c>
      <c r="AE1672" s="1" t="str">
        <f aca="false">TEXT(DATE(VALUE(RIGHT(B1672,4)),VALUE(MID(B1672,4,2)),VALUE(LEFT(B1672,2))),"MMM-YYYY")</f>
        <v>Jun-2023</v>
      </c>
      <c r="AF1672" s="1" t="n">
        <f aca="false">VALUE(RIGHT(B1672,4))</f>
        <v>2023</v>
      </c>
      <c r="AG1672" s="1" t="str">
        <f aca="false">CHOOSE(ROUNDUP(VALUE(MID(B1672,4,2))/3,0),"Q1","Q2","Q3","Q4")</f>
        <v>Q2</v>
      </c>
    </row>
    <row r="1673" customFormat="false" ht="15" hidden="false" customHeight="true" outlineLevel="0" collapsed="false">
      <c r="A1673" s="1" t="s">
        <v>2500</v>
      </c>
      <c r="B1673" s="1" t="s">
        <v>1453</v>
      </c>
      <c r="C1673" s="1" t="s">
        <v>167</v>
      </c>
      <c r="D1673" s="1" t="s">
        <v>123</v>
      </c>
      <c r="E1673" s="1" t="s">
        <v>124</v>
      </c>
      <c r="F1673" s="1" t="s">
        <v>153</v>
      </c>
      <c r="G1673" s="1" t="s">
        <v>76</v>
      </c>
      <c r="H1673" s="1" t="s">
        <v>33</v>
      </c>
      <c r="I1673" s="1" t="s">
        <v>58</v>
      </c>
      <c r="J1673" s="1" t="s">
        <v>70</v>
      </c>
      <c r="K1673" s="1" t="s">
        <v>112</v>
      </c>
      <c r="L1673" s="1" t="s">
        <v>85</v>
      </c>
      <c r="M1673" s="1" t="s">
        <v>50</v>
      </c>
      <c r="N1673" s="1" t="n">
        <v>4999</v>
      </c>
      <c r="O1673" s="1" t="n">
        <v>15</v>
      </c>
      <c r="P1673" s="1" t="n">
        <v>749.85</v>
      </c>
      <c r="Q1673" s="1" t="n">
        <v>4249.15</v>
      </c>
      <c r="R1673" s="1" t="n">
        <v>764.85</v>
      </c>
      <c r="S1673" s="1" t="n">
        <v>3484.3</v>
      </c>
      <c r="T1673" s="1" t="n">
        <v>1268.98</v>
      </c>
      <c r="U1673" s="1" t="n">
        <v>2215.32</v>
      </c>
      <c r="V1673" s="1" t="n">
        <v>63.58</v>
      </c>
      <c r="W1673" s="1" t="s">
        <v>39</v>
      </c>
      <c r="X1673" s="1" t="n">
        <v>3</v>
      </c>
      <c r="Y1673" s="1" t="s">
        <v>40</v>
      </c>
      <c r="Z1673" s="1" t="n">
        <v>0</v>
      </c>
      <c r="AA1673" s="1" t="str">
        <f aca="false">TRIM(PROPER(F1673))</f>
        <v>Howrah</v>
      </c>
      <c r="AB1673" s="1" t="str">
        <f aca="false">TRIM(PROPER(C1673))</f>
        <v>Scaler</v>
      </c>
      <c r="AC1673" s="1" t="str">
        <f aca="false">IF(O1673=0,"No Discount",IF(O1673&lt;=15,"Low (1-15%)",IF(O1673&lt;=30,"Medium (16-30%)","High (&gt;30%)")))</f>
        <v>Low (1-15%)</v>
      </c>
      <c r="AD1673" s="1" t="str">
        <f aca="false">IF(V1673&lt;0,"Loss Making",IF(V1673&lt;20,"Low Margin","Healthy Margin"))</f>
        <v>Healthy Margin</v>
      </c>
      <c r="AE1673" s="1" t="str">
        <f aca="false">TEXT(DATE(VALUE(RIGHT(B1673,4)),VALUE(MID(B1673,4,2)),VALUE(LEFT(B1673,2))),"MMM-YYYY")</f>
        <v>Jan-2024</v>
      </c>
      <c r="AF1673" s="1" t="n">
        <f aca="false">VALUE(RIGHT(B1673,4))</f>
        <v>2024</v>
      </c>
      <c r="AG1673" s="1" t="str">
        <f aca="false">CHOOSE(ROUNDUP(VALUE(MID(B1673,4,2))/3,0),"Q1","Q2","Q3","Q4")</f>
        <v>Q1</v>
      </c>
    </row>
    <row r="1674" customFormat="false" ht="15" hidden="false" customHeight="true" outlineLevel="0" collapsed="false">
      <c r="A1674" s="1" t="s">
        <v>2501</v>
      </c>
      <c r="B1674" s="1" t="s">
        <v>692</v>
      </c>
      <c r="C1674" s="1" t="s">
        <v>65</v>
      </c>
      <c r="D1674" s="1" t="s">
        <v>53</v>
      </c>
      <c r="E1674" s="1" t="s">
        <v>216</v>
      </c>
      <c r="F1674" s="1" t="s">
        <v>140</v>
      </c>
      <c r="G1674" s="1" t="s">
        <v>97</v>
      </c>
      <c r="H1674" s="1" t="s">
        <v>57</v>
      </c>
      <c r="I1674" s="1" t="s">
        <v>34</v>
      </c>
      <c r="J1674" s="1" t="s">
        <v>35</v>
      </c>
      <c r="K1674" s="1" t="s">
        <v>90</v>
      </c>
      <c r="L1674" s="1" t="s">
        <v>61</v>
      </c>
      <c r="M1674" s="1" t="s">
        <v>50</v>
      </c>
      <c r="N1674" s="1" t="n">
        <v>7499</v>
      </c>
      <c r="O1674" s="1" t="n">
        <v>15</v>
      </c>
      <c r="P1674" s="1" t="n">
        <v>1124.85</v>
      </c>
      <c r="Q1674" s="1" t="n">
        <v>6374.15</v>
      </c>
      <c r="R1674" s="1" t="n">
        <v>1147.35</v>
      </c>
      <c r="S1674" s="1" t="n">
        <v>5226.8</v>
      </c>
      <c r="T1674" s="1" t="n">
        <v>2212.1</v>
      </c>
      <c r="U1674" s="1" t="n">
        <v>3014.7</v>
      </c>
      <c r="V1674" s="1" t="n">
        <v>57.68</v>
      </c>
      <c r="W1674" s="1" t="s">
        <v>39</v>
      </c>
      <c r="X1674" s="1" t="n">
        <v>3.1</v>
      </c>
      <c r="Y1674" s="1" t="s">
        <v>40</v>
      </c>
      <c r="Z1674" s="1" t="n">
        <v>0</v>
      </c>
      <c r="AA1674" s="1" t="str">
        <f aca="false">TRIM(PROPER(F1674))</f>
        <v>Nashik</v>
      </c>
      <c r="AB1674" s="1" t="str">
        <f aca="false">TRIM(PROPER(C1674))</f>
        <v>Toppr</v>
      </c>
      <c r="AC1674" s="1" t="str">
        <f aca="false">IF(O1674=0,"No Discount",IF(O1674&lt;=15,"Low (1-15%)",IF(O1674&lt;=30,"Medium (16-30%)","High (&gt;30%)")))</f>
        <v>Low (1-15%)</v>
      </c>
      <c r="AD1674" s="1" t="str">
        <f aca="false">IF(V1674&lt;0,"Loss Making",IF(V1674&lt;20,"Low Margin","Healthy Margin"))</f>
        <v>Healthy Margin</v>
      </c>
      <c r="AE1674" s="1" t="str">
        <f aca="false">TEXT(DATE(VALUE(RIGHT(B1674,4)),VALUE(MID(B1674,4,2)),VALUE(LEFT(B1674,2))),"MMM-YYYY")</f>
        <v>Jan-2024</v>
      </c>
      <c r="AF1674" s="1" t="n">
        <f aca="false">VALUE(RIGHT(B1674,4))</f>
        <v>2024</v>
      </c>
      <c r="AG1674" s="1" t="str">
        <f aca="false">CHOOSE(ROUNDUP(VALUE(MID(B1674,4,2))/3,0),"Q1","Q2","Q3","Q4")</f>
        <v>Q1</v>
      </c>
    </row>
    <row r="1675" customFormat="false" ht="15" hidden="false" customHeight="true" outlineLevel="0" collapsed="false">
      <c r="A1675" s="1" t="s">
        <v>2502</v>
      </c>
      <c r="B1675" s="1" t="s">
        <v>261</v>
      </c>
      <c r="C1675" s="1" t="s">
        <v>119</v>
      </c>
      <c r="D1675" s="1" t="s">
        <v>123</v>
      </c>
      <c r="E1675" s="1" t="s">
        <v>124</v>
      </c>
      <c r="F1675" s="1" t="s">
        <v>156</v>
      </c>
      <c r="G1675" s="1" t="s">
        <v>68</v>
      </c>
      <c r="H1675" s="1" t="s">
        <v>57</v>
      </c>
      <c r="I1675" s="1" t="s">
        <v>83</v>
      </c>
      <c r="J1675" s="1" t="s">
        <v>59</v>
      </c>
      <c r="K1675" s="1" t="s">
        <v>71</v>
      </c>
      <c r="L1675" s="1" t="s">
        <v>113</v>
      </c>
      <c r="M1675" s="1" t="s">
        <v>62</v>
      </c>
      <c r="N1675" s="1" t="n">
        <v>4999</v>
      </c>
      <c r="O1675" s="1" t="n">
        <v>0</v>
      </c>
      <c r="P1675" s="1" t="n">
        <v>0</v>
      </c>
      <c r="Q1675" s="1" t="n">
        <v>4999</v>
      </c>
      <c r="R1675" s="1" t="n">
        <v>899.82</v>
      </c>
      <c r="S1675" s="1" t="n">
        <v>4099.18</v>
      </c>
      <c r="T1675" s="1" t="n">
        <v>1867.04</v>
      </c>
      <c r="U1675" s="1" t="n">
        <v>2232.14</v>
      </c>
      <c r="V1675" s="1" t="n">
        <v>54.45</v>
      </c>
      <c r="W1675" s="1" t="s">
        <v>39</v>
      </c>
      <c r="X1675" s="1" t="n">
        <v>3.3</v>
      </c>
      <c r="Y1675" s="1" t="s">
        <v>40</v>
      </c>
      <c r="Z1675" s="1" t="n">
        <v>0</v>
      </c>
      <c r="AA1675" s="1" t="str">
        <f aca="false">TRIM(PROPER(F1675))</f>
        <v>Surat</v>
      </c>
      <c r="AB1675" s="1" t="str">
        <f aca="false">TRIM(PROPER(C1675))</f>
        <v>Simplilearn</v>
      </c>
      <c r="AC1675" s="1" t="str">
        <f aca="false">IF(O1675=0,"No Discount",IF(O1675&lt;=15,"Low (1-15%)",IF(O1675&lt;=30,"Medium (16-30%)","High (&gt;30%)")))</f>
        <v>No Discount</v>
      </c>
      <c r="AD1675" s="1" t="str">
        <f aca="false">IF(V1675&lt;0,"Loss Making",IF(V1675&lt;20,"Low Margin","Healthy Margin"))</f>
        <v>Healthy Margin</v>
      </c>
      <c r="AE1675" s="1" t="str">
        <f aca="false">TEXT(DATE(VALUE(RIGHT(B1675,4)),VALUE(MID(B1675,4,2)),VALUE(LEFT(B1675,2))),"MMM-YYYY")</f>
        <v>Feb-2024</v>
      </c>
      <c r="AF1675" s="1" t="n">
        <f aca="false">VALUE(RIGHT(B1675,4))</f>
        <v>2024</v>
      </c>
      <c r="AG1675" s="1" t="str">
        <f aca="false">CHOOSE(ROUNDUP(VALUE(MID(B1675,4,2))/3,0),"Q1","Q2","Q3","Q4")</f>
        <v>Q1</v>
      </c>
    </row>
    <row r="1676" customFormat="false" ht="15" hidden="false" customHeight="true" outlineLevel="0" collapsed="false">
      <c r="A1676" s="1" t="s">
        <v>2503</v>
      </c>
      <c r="B1676" s="1" t="s">
        <v>945</v>
      </c>
      <c r="C1676" s="1" t="s">
        <v>134</v>
      </c>
      <c r="D1676" s="1" t="s">
        <v>143</v>
      </c>
      <c r="E1676" s="1" t="s">
        <v>210</v>
      </c>
      <c r="F1676" s="1" t="s">
        <v>102</v>
      </c>
      <c r="G1676" s="1" t="s">
        <v>103</v>
      </c>
      <c r="H1676" s="1" t="s">
        <v>33</v>
      </c>
      <c r="I1676" s="1" t="s">
        <v>83</v>
      </c>
      <c r="J1676" s="1" t="s">
        <v>131</v>
      </c>
      <c r="K1676" s="1" t="s">
        <v>104</v>
      </c>
      <c r="L1676" s="1" t="s">
        <v>136</v>
      </c>
      <c r="M1676" s="1" t="s">
        <v>38</v>
      </c>
      <c r="N1676" s="1" t="n">
        <v>18999</v>
      </c>
      <c r="O1676" s="1" t="n">
        <v>25</v>
      </c>
      <c r="P1676" s="1" t="n">
        <v>4749.75</v>
      </c>
      <c r="Q1676" s="1" t="n">
        <v>14249.25</v>
      </c>
      <c r="R1676" s="1" t="n">
        <v>2564.86</v>
      </c>
      <c r="S1676" s="1" t="n">
        <v>11684.39</v>
      </c>
      <c r="T1676" s="1" t="n">
        <v>5452.74</v>
      </c>
      <c r="U1676" s="1" t="n">
        <v>6231.65</v>
      </c>
      <c r="V1676" s="1" t="n">
        <v>53.33</v>
      </c>
      <c r="W1676" s="1" t="s">
        <v>39</v>
      </c>
      <c r="X1676" s="1" t="n">
        <v>3.5</v>
      </c>
      <c r="Y1676" s="1" t="s">
        <v>40</v>
      </c>
      <c r="Z1676" s="1" t="n">
        <v>0</v>
      </c>
      <c r="AA1676" s="1" t="str">
        <f aca="false">TRIM(PROPER(F1676))</f>
        <v>Warangal</v>
      </c>
      <c r="AB1676" s="1" t="str">
        <f aca="false">TRIM(PROPER(C1676))</f>
        <v>Doubtnut</v>
      </c>
      <c r="AC1676" s="1" t="str">
        <f aca="false">IF(O1676=0,"No Discount",IF(O1676&lt;=15,"Low (1-15%)",IF(O1676&lt;=30,"Medium (16-30%)","High (&gt;30%)")))</f>
        <v>Medium (16-30%)</v>
      </c>
      <c r="AD1676" s="1" t="str">
        <f aca="false">IF(V1676&lt;0,"Loss Making",IF(V1676&lt;20,"Low Margin","Healthy Margin"))</f>
        <v>Healthy Margin</v>
      </c>
      <c r="AE1676" s="1" t="str">
        <f aca="false">TEXT(DATE(VALUE(RIGHT(B1676,4)),VALUE(MID(B1676,4,2)),VALUE(LEFT(B1676,2))),"MMM-YYYY")</f>
        <v>Oct-2023</v>
      </c>
      <c r="AF1676" s="1" t="n">
        <f aca="false">VALUE(RIGHT(B1676,4))</f>
        <v>2023</v>
      </c>
      <c r="AG1676" s="1" t="str">
        <f aca="false">CHOOSE(ROUNDUP(VALUE(MID(B1676,4,2))/3,0),"Q1","Q2","Q3","Q4")</f>
        <v>Q4</v>
      </c>
    </row>
    <row r="1677" customFormat="false" ht="15" hidden="false" customHeight="true" outlineLevel="0" collapsed="false">
      <c r="A1677" s="1" t="s">
        <v>2504</v>
      </c>
      <c r="B1677" s="1" t="s">
        <v>1671</v>
      </c>
      <c r="C1677" s="1" t="s">
        <v>128</v>
      </c>
      <c r="D1677" s="1" t="s">
        <v>94</v>
      </c>
      <c r="E1677" s="1" t="s">
        <v>101</v>
      </c>
      <c r="F1677" s="1" t="s">
        <v>125</v>
      </c>
      <c r="G1677" s="1" t="s">
        <v>108</v>
      </c>
      <c r="H1677" s="1" t="s">
        <v>69</v>
      </c>
      <c r="I1677" s="1" t="s">
        <v>34</v>
      </c>
      <c r="J1677" s="1" t="s">
        <v>70</v>
      </c>
      <c r="K1677" s="1" t="s">
        <v>104</v>
      </c>
      <c r="L1677" s="1" t="s">
        <v>136</v>
      </c>
      <c r="M1677" s="1" t="s">
        <v>38</v>
      </c>
      <c r="N1677" s="1" t="n">
        <v>14999</v>
      </c>
      <c r="O1677" s="1" t="n">
        <v>20</v>
      </c>
      <c r="P1677" s="1" t="n">
        <v>2999.8</v>
      </c>
      <c r="Q1677" s="1" t="n">
        <v>11999.2</v>
      </c>
      <c r="R1677" s="1" t="n">
        <v>2159.86</v>
      </c>
      <c r="S1677" s="1" t="n">
        <v>9839.34</v>
      </c>
      <c r="T1677" s="1" t="n">
        <v>3702.3</v>
      </c>
      <c r="U1677" s="1" t="n">
        <v>6137.04</v>
      </c>
      <c r="V1677" s="1" t="n">
        <v>62.37</v>
      </c>
      <c r="W1677" s="1" t="s">
        <v>39</v>
      </c>
      <c r="X1677" s="1" t="n">
        <v>4.4</v>
      </c>
      <c r="Y1677" s="1" t="s">
        <v>40</v>
      </c>
      <c r="Z1677" s="1" t="n">
        <v>2</v>
      </c>
      <c r="AA1677" s="1" t="str">
        <f aca="false">TRIM(PROPER(F1677))</f>
        <v>Chennai</v>
      </c>
      <c r="AB1677" s="1" t="str">
        <f aca="false">TRIM(PROPER(C1677))</f>
        <v>Great Learning</v>
      </c>
      <c r="AC1677" s="1" t="str">
        <f aca="false">IF(O1677=0,"No Discount",IF(O1677&lt;=15,"Low (1-15%)",IF(O1677&lt;=30,"Medium (16-30%)","High (&gt;30%)")))</f>
        <v>Medium (16-30%)</v>
      </c>
      <c r="AD1677" s="1" t="str">
        <f aca="false">IF(V1677&lt;0,"Loss Making",IF(V1677&lt;20,"Low Margin","Healthy Margin"))</f>
        <v>Healthy Margin</v>
      </c>
      <c r="AE1677" s="1" t="str">
        <f aca="false">TEXT(DATE(VALUE(RIGHT(B1677,4)),VALUE(MID(B1677,4,2)),VALUE(LEFT(B1677,2))),"MMM-YYYY")</f>
        <v>May-2024</v>
      </c>
      <c r="AF1677" s="1" t="n">
        <f aca="false">VALUE(RIGHT(B1677,4))</f>
        <v>2024</v>
      </c>
      <c r="AG1677" s="1" t="str">
        <f aca="false">CHOOSE(ROUNDUP(VALUE(MID(B1677,4,2))/3,0),"Q1","Q2","Q3","Q4")</f>
        <v>Q2</v>
      </c>
    </row>
    <row r="1678" customFormat="false" ht="15" hidden="false" customHeight="true" outlineLevel="0" collapsed="false">
      <c r="A1678" s="1" t="s">
        <v>2505</v>
      </c>
      <c r="B1678" s="1" t="s">
        <v>246</v>
      </c>
      <c r="C1678" s="1" t="s">
        <v>28</v>
      </c>
      <c r="D1678" s="1" t="s">
        <v>80</v>
      </c>
      <c r="E1678" s="1" t="s">
        <v>190</v>
      </c>
      <c r="F1678" s="1" t="s">
        <v>194</v>
      </c>
      <c r="G1678" s="1" t="s">
        <v>103</v>
      </c>
      <c r="H1678" s="1" t="s">
        <v>69</v>
      </c>
      <c r="I1678" s="1" t="s">
        <v>34</v>
      </c>
      <c r="J1678" s="1" t="s">
        <v>35</v>
      </c>
      <c r="K1678" s="1" t="s">
        <v>112</v>
      </c>
      <c r="L1678" s="1" t="s">
        <v>49</v>
      </c>
      <c r="M1678" s="1" t="s">
        <v>62</v>
      </c>
      <c r="N1678" s="1" t="n">
        <v>15999</v>
      </c>
      <c r="O1678" s="1" t="n">
        <v>40</v>
      </c>
      <c r="P1678" s="1" t="n">
        <v>6399.6</v>
      </c>
      <c r="Q1678" s="1" t="n">
        <v>9599.4</v>
      </c>
      <c r="R1678" s="1" t="n">
        <v>1727.89</v>
      </c>
      <c r="S1678" s="1" t="n">
        <v>7871.51</v>
      </c>
      <c r="T1678" s="1" t="n">
        <v>4033.97</v>
      </c>
      <c r="U1678" s="1" t="n">
        <v>3837.54</v>
      </c>
      <c r="V1678" s="1" t="n">
        <v>48.75</v>
      </c>
      <c r="W1678" s="1" t="s">
        <v>39</v>
      </c>
      <c r="X1678" s="1" t="n">
        <v>3.3</v>
      </c>
      <c r="Y1678" s="1" t="s">
        <v>40</v>
      </c>
      <c r="Z1678" s="1" t="n">
        <v>0</v>
      </c>
      <c r="AA1678" s="1" t="str">
        <f aca="false">TRIM(PROPER(F1678))</f>
        <v>Hyderabad</v>
      </c>
      <c r="AB1678" s="1" t="str">
        <f aca="false">TRIM(PROPER(C1678))</f>
        <v>Embibe</v>
      </c>
      <c r="AC1678" s="1" t="str">
        <f aca="false">IF(O1678=0,"No Discount",IF(O1678&lt;=15,"Low (1-15%)",IF(O1678&lt;=30,"Medium (16-30%)","High (&gt;30%)")))</f>
        <v>High (&gt;30%)</v>
      </c>
      <c r="AD1678" s="1" t="str">
        <f aca="false">IF(V1678&lt;0,"Loss Making",IF(V1678&lt;20,"Low Margin","Healthy Margin"))</f>
        <v>Healthy Margin</v>
      </c>
      <c r="AE1678" s="1" t="str">
        <f aca="false">TEXT(DATE(VALUE(RIGHT(B1678,4)),VALUE(MID(B1678,4,2)),VALUE(LEFT(B1678,2))),"MMM-YYYY")</f>
        <v>Jul-2024</v>
      </c>
      <c r="AF1678" s="1" t="n">
        <f aca="false">VALUE(RIGHT(B1678,4))</f>
        <v>2024</v>
      </c>
      <c r="AG1678" s="1" t="str">
        <f aca="false">CHOOSE(ROUNDUP(VALUE(MID(B1678,4,2))/3,0),"Q1","Q2","Q3","Q4")</f>
        <v>Q3</v>
      </c>
    </row>
    <row r="1679" customFormat="false" ht="15" hidden="false" customHeight="true" outlineLevel="0" collapsed="false">
      <c r="A1679" s="1" t="s">
        <v>2506</v>
      </c>
      <c r="B1679" s="1" t="s">
        <v>371</v>
      </c>
      <c r="C1679" s="1" t="s">
        <v>249</v>
      </c>
      <c r="D1679" s="1" t="s">
        <v>53</v>
      </c>
      <c r="E1679" s="1" t="s">
        <v>216</v>
      </c>
      <c r="F1679" s="1" t="s">
        <v>67</v>
      </c>
      <c r="G1679" s="1" t="s">
        <v>68</v>
      </c>
      <c r="H1679" s="1" t="s">
        <v>69</v>
      </c>
      <c r="I1679" s="1" t="s">
        <v>34</v>
      </c>
      <c r="J1679" s="1" t="s">
        <v>77</v>
      </c>
      <c r="K1679" s="1" t="s">
        <v>48</v>
      </c>
      <c r="L1679" s="1" t="s">
        <v>113</v>
      </c>
      <c r="M1679" s="1" t="s">
        <v>38</v>
      </c>
      <c r="N1679" s="1" t="n">
        <v>7499</v>
      </c>
      <c r="O1679" s="1" t="n">
        <v>50</v>
      </c>
      <c r="P1679" s="1" t="n">
        <v>3749.5</v>
      </c>
      <c r="Q1679" s="1" t="n">
        <v>3749.5</v>
      </c>
      <c r="R1679" s="1" t="n">
        <v>674.91</v>
      </c>
      <c r="S1679" s="1" t="n">
        <v>3074.59</v>
      </c>
      <c r="T1679" s="1" t="n">
        <v>1583.36</v>
      </c>
      <c r="U1679" s="1" t="n">
        <v>1491.23</v>
      </c>
      <c r="V1679" s="1" t="n">
        <v>48.5</v>
      </c>
      <c r="W1679" s="1" t="s">
        <v>39</v>
      </c>
      <c r="X1679" s="1" t="n">
        <v>4.3</v>
      </c>
      <c r="Y1679" s="1" t="s">
        <v>40</v>
      </c>
      <c r="Z1679" s="1" t="n">
        <v>0</v>
      </c>
      <c r="AA1679" s="1" t="str">
        <f aca="false">TRIM(PROPER(F1679))</f>
        <v>Ahmedabad</v>
      </c>
      <c r="AB1679" s="1" t="str">
        <f aca="false">TRIM(PROPER(C1679))</f>
        <v>Whitehat Jr</v>
      </c>
      <c r="AC1679" s="1" t="str">
        <f aca="false">IF(O1679=0,"No Discount",IF(O1679&lt;=15,"Low (1-15%)",IF(O1679&lt;=30,"Medium (16-30%)","High (&gt;30%)")))</f>
        <v>High (&gt;30%)</v>
      </c>
      <c r="AD1679" s="1" t="str">
        <f aca="false">IF(V1679&lt;0,"Loss Making",IF(V1679&lt;20,"Low Margin","Healthy Margin"))</f>
        <v>Healthy Margin</v>
      </c>
      <c r="AE1679" s="1" t="str">
        <f aca="false">TEXT(DATE(VALUE(RIGHT(B1679,4)),VALUE(MID(B1679,4,2)),VALUE(LEFT(B1679,2))),"MMM-YYYY")</f>
        <v>Jan-2023</v>
      </c>
      <c r="AF1679" s="1" t="n">
        <f aca="false">VALUE(RIGHT(B1679,4))</f>
        <v>2023</v>
      </c>
      <c r="AG1679" s="1" t="str">
        <f aca="false">CHOOSE(ROUNDUP(VALUE(MID(B1679,4,2))/3,0),"Q1","Q2","Q3","Q4")</f>
        <v>Q1</v>
      </c>
    </row>
    <row r="1680" customFormat="false" ht="15" hidden="false" customHeight="true" outlineLevel="0" collapsed="false">
      <c r="A1680" s="1" t="s">
        <v>2507</v>
      </c>
      <c r="B1680" s="1" t="s">
        <v>625</v>
      </c>
      <c r="C1680" s="1" t="s">
        <v>178</v>
      </c>
      <c r="D1680" s="1" t="s">
        <v>123</v>
      </c>
      <c r="E1680" s="1" t="s">
        <v>147</v>
      </c>
      <c r="F1680" s="1" t="s">
        <v>269</v>
      </c>
      <c r="G1680" s="1" t="s">
        <v>108</v>
      </c>
      <c r="H1680" s="1" t="s">
        <v>57</v>
      </c>
      <c r="I1680" s="1" t="s">
        <v>58</v>
      </c>
      <c r="J1680" s="1" t="s">
        <v>59</v>
      </c>
      <c r="K1680" s="1" t="s">
        <v>104</v>
      </c>
      <c r="L1680" s="1" t="s">
        <v>49</v>
      </c>
      <c r="M1680" s="1" t="s">
        <v>62</v>
      </c>
      <c r="N1680" s="1" t="n">
        <v>6999</v>
      </c>
      <c r="O1680" s="1" t="n">
        <v>50</v>
      </c>
      <c r="P1680" s="1" t="n">
        <v>3499.5</v>
      </c>
      <c r="Q1680" s="1" t="n">
        <v>3499.5</v>
      </c>
      <c r="R1680" s="1" t="n">
        <v>629.91</v>
      </c>
      <c r="S1680" s="1" t="n">
        <v>2869.59</v>
      </c>
      <c r="T1680" s="1" t="n">
        <v>1357.81</v>
      </c>
      <c r="U1680" s="1" t="n">
        <v>1511.78</v>
      </c>
      <c r="V1680" s="1" t="n">
        <v>52.68</v>
      </c>
      <c r="W1680" s="1" t="s">
        <v>39</v>
      </c>
      <c r="X1680" s="1" t="n">
        <v>3.9</v>
      </c>
      <c r="Y1680" s="1" t="s">
        <v>40</v>
      </c>
      <c r="Z1680" s="1" t="n">
        <v>0</v>
      </c>
      <c r="AA1680" s="1" t="str">
        <f aca="false">TRIM(PROPER(F1680))</f>
        <v>Coimbatore</v>
      </c>
      <c r="AB1680" s="1" t="str">
        <f aca="false">TRIM(PROPER(C1680))</f>
        <v>Leverage Edu</v>
      </c>
      <c r="AC1680" s="1" t="str">
        <f aca="false">IF(O1680=0,"No Discount",IF(O1680&lt;=15,"Low (1-15%)",IF(O1680&lt;=30,"Medium (16-30%)","High (&gt;30%)")))</f>
        <v>High (&gt;30%)</v>
      </c>
      <c r="AD1680" s="1" t="str">
        <f aca="false">IF(V1680&lt;0,"Loss Making",IF(V1680&lt;20,"Low Margin","Healthy Margin"))</f>
        <v>Healthy Margin</v>
      </c>
      <c r="AE1680" s="1" t="str">
        <f aca="false">TEXT(DATE(VALUE(RIGHT(B1680,4)),VALUE(MID(B1680,4,2)),VALUE(LEFT(B1680,2))),"MMM-YYYY")</f>
        <v>Dec-2023</v>
      </c>
      <c r="AF1680" s="1" t="n">
        <f aca="false">VALUE(RIGHT(B1680,4))</f>
        <v>2023</v>
      </c>
      <c r="AG1680" s="1" t="str">
        <f aca="false">CHOOSE(ROUNDUP(VALUE(MID(B1680,4,2))/3,0),"Q1","Q2","Q3","Q4")</f>
        <v>Q4</v>
      </c>
    </row>
    <row r="1681" customFormat="false" ht="15" hidden="false" customHeight="true" outlineLevel="0" collapsed="false">
      <c r="A1681" s="1" t="s">
        <v>2508</v>
      </c>
      <c r="B1681" s="1" t="s">
        <v>2509</v>
      </c>
      <c r="C1681" s="1" t="s">
        <v>119</v>
      </c>
      <c r="D1681" s="1" t="s">
        <v>29</v>
      </c>
      <c r="E1681" s="1" t="s">
        <v>129</v>
      </c>
      <c r="F1681" s="1" t="s">
        <v>55</v>
      </c>
      <c r="G1681" s="1" t="s">
        <v>56</v>
      </c>
      <c r="H1681" s="1" t="s">
        <v>57</v>
      </c>
      <c r="I1681" s="1" t="s">
        <v>83</v>
      </c>
      <c r="J1681" s="1" t="s">
        <v>70</v>
      </c>
      <c r="K1681" s="1" t="s">
        <v>112</v>
      </c>
      <c r="L1681" s="1" t="s">
        <v>85</v>
      </c>
      <c r="M1681" s="1" t="s">
        <v>62</v>
      </c>
      <c r="N1681" s="1" t="n">
        <v>29999</v>
      </c>
      <c r="O1681" s="1" t="n">
        <v>20</v>
      </c>
      <c r="P1681" s="1" t="n">
        <v>5999.8</v>
      </c>
      <c r="Q1681" s="1" t="n">
        <v>23999.2</v>
      </c>
      <c r="R1681" s="1" t="n">
        <v>4319.86</v>
      </c>
      <c r="S1681" s="1" t="n">
        <v>19679.34</v>
      </c>
      <c r="T1681" s="1" t="n">
        <v>8284.36</v>
      </c>
      <c r="U1681" s="1" t="n">
        <v>11394.98</v>
      </c>
      <c r="V1681" s="1" t="n">
        <v>57.9</v>
      </c>
      <c r="W1681" s="1" t="s">
        <v>39</v>
      </c>
      <c r="X1681" s="1" t="n">
        <v>4.2</v>
      </c>
      <c r="Y1681" s="1" t="s">
        <v>40</v>
      </c>
      <c r="Z1681" s="1" t="n">
        <v>1</v>
      </c>
      <c r="AA1681" s="1" t="str">
        <f aca="false">TRIM(PROPER(F1681))</f>
        <v>Ghaziabad</v>
      </c>
      <c r="AB1681" s="1" t="str">
        <f aca="false">TRIM(PROPER(C1681))</f>
        <v>Simplilearn</v>
      </c>
      <c r="AC1681" s="1" t="str">
        <f aca="false">IF(O1681=0,"No Discount",IF(O1681&lt;=15,"Low (1-15%)",IF(O1681&lt;=30,"Medium (16-30%)","High (&gt;30%)")))</f>
        <v>Medium (16-30%)</v>
      </c>
      <c r="AD1681" s="1" t="str">
        <f aca="false">IF(V1681&lt;0,"Loss Making",IF(V1681&lt;20,"Low Margin","Healthy Margin"))</f>
        <v>Healthy Margin</v>
      </c>
      <c r="AE1681" s="1" t="str">
        <f aca="false">TEXT(DATE(VALUE(RIGHT(B1681,4)),VALUE(MID(B1681,4,2)),VALUE(LEFT(B1681,2))),"MMM-YYYY")</f>
        <v>Dec-2023</v>
      </c>
      <c r="AF1681" s="1" t="n">
        <f aca="false">VALUE(RIGHT(B1681,4))</f>
        <v>2023</v>
      </c>
      <c r="AG1681" s="1" t="str">
        <f aca="false">CHOOSE(ROUNDUP(VALUE(MID(B1681,4,2))/3,0),"Q1","Q2","Q3","Q4")</f>
        <v>Q4</v>
      </c>
    </row>
    <row r="1682" customFormat="false" ht="15" hidden="false" customHeight="true" outlineLevel="0" collapsed="false">
      <c r="A1682" s="1" t="s">
        <v>2510</v>
      </c>
      <c r="B1682" s="1" t="s">
        <v>553</v>
      </c>
      <c r="C1682" s="1" t="s">
        <v>65</v>
      </c>
      <c r="D1682" s="1" t="s">
        <v>44</v>
      </c>
      <c r="E1682" s="1" t="s">
        <v>66</v>
      </c>
      <c r="F1682" s="1" t="s">
        <v>55</v>
      </c>
      <c r="G1682" s="1" t="s">
        <v>56</v>
      </c>
      <c r="H1682" s="1" t="s">
        <v>57</v>
      </c>
      <c r="I1682" s="1" t="s">
        <v>83</v>
      </c>
      <c r="J1682" s="1" t="s">
        <v>35</v>
      </c>
      <c r="K1682" s="1" t="s">
        <v>36</v>
      </c>
      <c r="L1682" s="1" t="s">
        <v>113</v>
      </c>
      <c r="M1682" s="1" t="s">
        <v>62</v>
      </c>
      <c r="N1682" s="1" t="n">
        <v>12999</v>
      </c>
      <c r="O1682" s="1" t="n">
        <v>25</v>
      </c>
      <c r="P1682" s="1" t="n">
        <v>3249.75</v>
      </c>
      <c r="Q1682" s="1" t="n">
        <v>9749.25</v>
      </c>
      <c r="R1682" s="1" t="n">
        <v>1754.87</v>
      </c>
      <c r="S1682" s="1" t="n">
        <v>7994.38</v>
      </c>
      <c r="T1682" s="1" t="n">
        <v>3167.22</v>
      </c>
      <c r="U1682" s="1" t="n">
        <v>4827.16</v>
      </c>
      <c r="V1682" s="1" t="n">
        <v>60.38</v>
      </c>
      <c r="W1682" s="1" t="s">
        <v>39</v>
      </c>
      <c r="X1682" s="1" t="n">
        <v>3.6</v>
      </c>
      <c r="Y1682" s="1" t="s">
        <v>40</v>
      </c>
      <c r="Z1682" s="1" t="n">
        <v>0</v>
      </c>
      <c r="AA1682" s="1" t="str">
        <f aca="false">TRIM(PROPER(F1682))</f>
        <v>Ghaziabad</v>
      </c>
      <c r="AB1682" s="1" t="str">
        <f aca="false">TRIM(PROPER(C1682))</f>
        <v>Toppr</v>
      </c>
      <c r="AC1682" s="1" t="str">
        <f aca="false">IF(O1682=0,"No Discount",IF(O1682&lt;=15,"Low (1-15%)",IF(O1682&lt;=30,"Medium (16-30%)","High (&gt;30%)")))</f>
        <v>Medium (16-30%)</v>
      </c>
      <c r="AD1682" s="1" t="str">
        <f aca="false">IF(V1682&lt;0,"Loss Making",IF(V1682&lt;20,"Low Margin","Healthy Margin"))</f>
        <v>Healthy Margin</v>
      </c>
      <c r="AE1682" s="1" t="str">
        <f aca="false">TEXT(DATE(VALUE(RIGHT(B1682,4)),VALUE(MID(B1682,4,2)),VALUE(LEFT(B1682,2))),"MMM-YYYY")</f>
        <v>Aug-2023</v>
      </c>
      <c r="AF1682" s="1" t="n">
        <f aca="false">VALUE(RIGHT(B1682,4))</f>
        <v>2023</v>
      </c>
      <c r="AG1682" s="1" t="str">
        <f aca="false">CHOOSE(ROUNDUP(VALUE(MID(B1682,4,2))/3,0),"Q1","Q2","Q3","Q4")</f>
        <v>Q3</v>
      </c>
    </row>
    <row r="1683" customFormat="false" ht="15" hidden="false" customHeight="true" outlineLevel="0" collapsed="false">
      <c r="A1683" s="1" t="s">
        <v>2511</v>
      </c>
      <c r="B1683" s="1" t="s">
        <v>177</v>
      </c>
      <c r="C1683" s="1" t="s">
        <v>264</v>
      </c>
      <c r="D1683" s="1" t="s">
        <v>123</v>
      </c>
      <c r="E1683" s="1" t="s">
        <v>233</v>
      </c>
      <c r="F1683" s="1" t="s">
        <v>150</v>
      </c>
      <c r="G1683" s="1" t="s">
        <v>32</v>
      </c>
      <c r="H1683" s="1" t="s">
        <v>57</v>
      </c>
      <c r="I1683" s="1" t="s">
        <v>58</v>
      </c>
      <c r="J1683" s="1" t="s">
        <v>59</v>
      </c>
      <c r="K1683" s="1" t="s">
        <v>36</v>
      </c>
      <c r="L1683" s="1" t="s">
        <v>113</v>
      </c>
      <c r="M1683" s="1" t="s">
        <v>38</v>
      </c>
      <c r="N1683" s="1" t="n">
        <v>8999</v>
      </c>
      <c r="O1683" s="1" t="n">
        <v>50</v>
      </c>
      <c r="P1683" s="1" t="n">
        <v>4499.5</v>
      </c>
      <c r="Q1683" s="1" t="n">
        <v>4499.5</v>
      </c>
      <c r="R1683" s="1" t="n">
        <v>809.91</v>
      </c>
      <c r="S1683" s="1" t="n">
        <v>3689.59</v>
      </c>
      <c r="T1683" s="1" t="n">
        <v>1589.31</v>
      </c>
      <c r="U1683" s="1" t="n">
        <v>2100.28</v>
      </c>
      <c r="V1683" s="1" t="n">
        <v>56.92</v>
      </c>
      <c r="W1683" s="1" t="s">
        <v>39</v>
      </c>
      <c r="X1683" s="1" t="n">
        <v>3.9</v>
      </c>
      <c r="Y1683" s="1" t="s">
        <v>40</v>
      </c>
      <c r="Z1683" s="1" t="n">
        <v>0</v>
      </c>
      <c r="AA1683" s="1" t="str">
        <f aca="false">TRIM(PROPER(F1683))</f>
        <v>Jaipur</v>
      </c>
      <c r="AB1683" s="1" t="str">
        <f aca="false">TRIM(PROPER(C1683))</f>
        <v>Unacademy</v>
      </c>
      <c r="AC1683" s="1" t="str">
        <f aca="false">IF(O1683=0,"No Discount",IF(O1683&lt;=15,"Low (1-15%)",IF(O1683&lt;=30,"Medium (16-30%)","High (&gt;30%)")))</f>
        <v>High (&gt;30%)</v>
      </c>
      <c r="AD1683" s="1" t="str">
        <f aca="false">IF(V1683&lt;0,"Loss Making",IF(V1683&lt;20,"Low Margin","Healthy Margin"))</f>
        <v>Healthy Margin</v>
      </c>
      <c r="AE1683" s="1" t="str">
        <f aca="false">TEXT(DATE(VALUE(RIGHT(B1683,4)),VALUE(MID(B1683,4,2)),VALUE(LEFT(B1683,2))),"MMM-YYYY")</f>
        <v>Jul-2024</v>
      </c>
      <c r="AF1683" s="1" t="n">
        <f aca="false">VALUE(RIGHT(B1683,4))</f>
        <v>2024</v>
      </c>
      <c r="AG1683" s="1" t="str">
        <f aca="false">CHOOSE(ROUNDUP(VALUE(MID(B1683,4,2))/3,0),"Q1","Q2","Q3","Q4")</f>
        <v>Q3</v>
      </c>
    </row>
    <row r="1684" customFormat="false" ht="15" hidden="false" customHeight="true" outlineLevel="0" collapsed="false">
      <c r="A1684" s="1" t="s">
        <v>2512</v>
      </c>
      <c r="B1684" s="1" t="s">
        <v>1671</v>
      </c>
      <c r="C1684" s="1" t="s">
        <v>178</v>
      </c>
      <c r="D1684" s="1" t="s">
        <v>94</v>
      </c>
      <c r="E1684" s="1" t="s">
        <v>135</v>
      </c>
      <c r="F1684" s="1" t="s">
        <v>140</v>
      </c>
      <c r="G1684" s="1" t="s">
        <v>97</v>
      </c>
      <c r="H1684" s="1" t="s">
        <v>57</v>
      </c>
      <c r="I1684" s="1" t="s">
        <v>83</v>
      </c>
      <c r="J1684" s="1" t="s">
        <v>77</v>
      </c>
      <c r="K1684" s="1" t="s">
        <v>48</v>
      </c>
      <c r="L1684" s="1" t="s">
        <v>113</v>
      </c>
      <c r="M1684" s="1" t="s">
        <v>50</v>
      </c>
      <c r="N1684" s="1" t="n">
        <v>9999</v>
      </c>
      <c r="O1684" s="1" t="n">
        <v>15</v>
      </c>
      <c r="P1684" s="1" t="n">
        <v>1499.85</v>
      </c>
      <c r="Q1684" s="1" t="n">
        <v>8499.15</v>
      </c>
      <c r="R1684" s="1" t="n">
        <v>1529.85</v>
      </c>
      <c r="S1684" s="1" t="n">
        <v>6969.3</v>
      </c>
      <c r="T1684" s="1" t="n">
        <v>2746.92</v>
      </c>
      <c r="U1684" s="1" t="n">
        <v>4222.38</v>
      </c>
      <c r="V1684" s="1" t="n">
        <v>60.59</v>
      </c>
      <c r="W1684" s="1" t="s">
        <v>39</v>
      </c>
      <c r="X1684" s="1" t="n">
        <v>4.3</v>
      </c>
      <c r="Y1684" s="1" t="s">
        <v>40</v>
      </c>
      <c r="Z1684" s="1" t="n">
        <v>0</v>
      </c>
      <c r="AA1684" s="1" t="str">
        <f aca="false">TRIM(PROPER(F1684))</f>
        <v>Nashik</v>
      </c>
      <c r="AB1684" s="1" t="str">
        <f aca="false">TRIM(PROPER(C1684))</f>
        <v>Leverage Edu</v>
      </c>
      <c r="AC1684" s="1" t="str">
        <f aca="false">IF(O1684=0,"No Discount",IF(O1684&lt;=15,"Low (1-15%)",IF(O1684&lt;=30,"Medium (16-30%)","High (&gt;30%)")))</f>
        <v>Low (1-15%)</v>
      </c>
      <c r="AD1684" s="1" t="str">
        <f aca="false">IF(V1684&lt;0,"Loss Making",IF(V1684&lt;20,"Low Margin","Healthy Margin"))</f>
        <v>Healthy Margin</v>
      </c>
      <c r="AE1684" s="1" t="str">
        <f aca="false">TEXT(DATE(VALUE(RIGHT(B1684,4)),VALUE(MID(B1684,4,2)),VALUE(LEFT(B1684,2))),"MMM-YYYY")</f>
        <v>May-2024</v>
      </c>
      <c r="AF1684" s="1" t="n">
        <f aca="false">VALUE(RIGHT(B1684,4))</f>
        <v>2024</v>
      </c>
      <c r="AG1684" s="1" t="str">
        <f aca="false">CHOOSE(ROUNDUP(VALUE(MID(B1684,4,2))/3,0),"Q1","Q2","Q3","Q4")</f>
        <v>Q2</v>
      </c>
    </row>
    <row r="1685" customFormat="false" ht="15" hidden="false" customHeight="true" outlineLevel="0" collapsed="false">
      <c r="A1685" s="1" t="s">
        <v>2513</v>
      </c>
      <c r="B1685" s="1" t="s">
        <v>747</v>
      </c>
      <c r="C1685" s="1" t="s">
        <v>128</v>
      </c>
      <c r="D1685" s="1" t="s">
        <v>80</v>
      </c>
      <c r="E1685" s="1" t="s">
        <v>81</v>
      </c>
      <c r="F1685" s="1" t="s">
        <v>89</v>
      </c>
      <c r="G1685" s="1" t="s">
        <v>68</v>
      </c>
      <c r="H1685" s="1" t="s">
        <v>33</v>
      </c>
      <c r="I1685" s="1" t="s">
        <v>83</v>
      </c>
      <c r="J1685" s="1" t="s">
        <v>59</v>
      </c>
      <c r="K1685" s="1" t="s">
        <v>104</v>
      </c>
      <c r="L1685" s="1" t="s">
        <v>136</v>
      </c>
      <c r="M1685" s="1" t="s">
        <v>62</v>
      </c>
      <c r="N1685" s="1" t="n">
        <v>12999</v>
      </c>
      <c r="O1685" s="1" t="n">
        <v>50</v>
      </c>
      <c r="P1685" s="1" t="n">
        <v>6499.5</v>
      </c>
      <c r="Q1685" s="1" t="n">
        <v>6499.5</v>
      </c>
      <c r="R1685" s="1" t="n">
        <v>1169.91</v>
      </c>
      <c r="S1685" s="1" t="n">
        <v>5329.59</v>
      </c>
      <c r="T1685" s="1" t="n">
        <v>3245.64</v>
      </c>
      <c r="U1685" s="1" t="n">
        <v>2083.95</v>
      </c>
      <c r="V1685" s="1" t="n">
        <v>39.1</v>
      </c>
      <c r="W1685" s="1" t="s">
        <v>40</v>
      </c>
      <c r="Y1685" s="1" t="s">
        <v>40</v>
      </c>
      <c r="Z1685" s="1" t="n">
        <v>2</v>
      </c>
      <c r="AA1685" s="1" t="str">
        <f aca="false">TRIM(PROPER(F1685))</f>
        <v>Vadodara</v>
      </c>
      <c r="AB1685" s="1" t="str">
        <f aca="false">TRIM(PROPER(C1685))</f>
        <v>Great Learning</v>
      </c>
      <c r="AC1685" s="1" t="str">
        <f aca="false">IF(O1685=0,"No Discount",IF(O1685&lt;=15,"Low (1-15%)",IF(O1685&lt;=30,"Medium (16-30%)","High (&gt;30%)")))</f>
        <v>High (&gt;30%)</v>
      </c>
      <c r="AD1685" s="1" t="str">
        <f aca="false">IF(V1685&lt;0,"Loss Making",IF(V1685&lt;20,"Low Margin","Healthy Margin"))</f>
        <v>Healthy Margin</v>
      </c>
      <c r="AE1685" s="1" t="str">
        <f aca="false">TEXT(DATE(VALUE(RIGHT(B1685,4)),VALUE(MID(B1685,4,2)),VALUE(LEFT(B1685,2))),"MMM-YYYY")</f>
        <v>Oct-2023</v>
      </c>
      <c r="AF1685" s="1" t="n">
        <f aca="false">VALUE(RIGHT(B1685,4))</f>
        <v>2023</v>
      </c>
      <c r="AG1685" s="1" t="str">
        <f aca="false">CHOOSE(ROUNDUP(VALUE(MID(B1685,4,2))/3,0),"Q1","Q2","Q3","Q4")</f>
        <v>Q4</v>
      </c>
    </row>
    <row r="1686" customFormat="false" ht="15" hidden="false" customHeight="true" outlineLevel="0" collapsed="false">
      <c r="A1686" s="1" t="s">
        <v>2514</v>
      </c>
      <c r="B1686" s="1" t="s">
        <v>350</v>
      </c>
      <c r="C1686" s="1" t="s">
        <v>139</v>
      </c>
      <c r="D1686" s="1" t="s">
        <v>53</v>
      </c>
      <c r="E1686" s="1" t="s">
        <v>216</v>
      </c>
      <c r="F1686" s="1" t="s">
        <v>120</v>
      </c>
      <c r="G1686" s="1" t="s">
        <v>47</v>
      </c>
      <c r="H1686" s="1" t="s">
        <v>57</v>
      </c>
      <c r="I1686" s="1" t="s">
        <v>83</v>
      </c>
      <c r="J1686" s="1" t="s">
        <v>131</v>
      </c>
      <c r="K1686" s="1" t="s">
        <v>84</v>
      </c>
      <c r="L1686" s="1" t="s">
        <v>136</v>
      </c>
      <c r="M1686" s="1" t="s">
        <v>38</v>
      </c>
      <c r="N1686" s="1" t="n">
        <v>7499</v>
      </c>
      <c r="O1686" s="1" t="n">
        <v>0</v>
      </c>
      <c r="P1686" s="1" t="n">
        <v>0</v>
      </c>
      <c r="Q1686" s="1" t="n">
        <v>7499</v>
      </c>
      <c r="R1686" s="1" t="n">
        <v>1349.82</v>
      </c>
      <c r="S1686" s="1" t="n">
        <v>6149.18</v>
      </c>
      <c r="T1686" s="1" t="n">
        <v>3239.86</v>
      </c>
      <c r="U1686" s="1" t="n">
        <v>2909.32</v>
      </c>
      <c r="V1686" s="1" t="n">
        <v>47.31</v>
      </c>
      <c r="W1686" s="1" t="s">
        <v>40</v>
      </c>
      <c r="Y1686" s="1" t="s">
        <v>40</v>
      </c>
      <c r="Z1686" s="1" t="n">
        <v>1</v>
      </c>
      <c r="AA1686" s="1" t="str">
        <f aca="false">TRIM(PROPER(F1686))</f>
        <v>Mysuru</v>
      </c>
      <c r="AB1686" s="1" t="str">
        <f aca="false">TRIM(PROPER(C1686))</f>
        <v>Extramarks</v>
      </c>
      <c r="AC1686" s="1" t="str">
        <f aca="false">IF(O1686=0,"No Discount",IF(O1686&lt;=15,"Low (1-15%)",IF(O1686&lt;=30,"Medium (16-30%)","High (&gt;30%)")))</f>
        <v>No Discount</v>
      </c>
      <c r="AD1686" s="1" t="str">
        <f aca="false">IF(V1686&lt;0,"Loss Making",IF(V1686&lt;20,"Low Margin","Healthy Margin"))</f>
        <v>Healthy Margin</v>
      </c>
      <c r="AE1686" s="1" t="str">
        <f aca="false">TEXT(DATE(VALUE(RIGHT(B1686,4)),VALUE(MID(B1686,4,2)),VALUE(LEFT(B1686,2))),"MMM-YYYY")</f>
        <v>Sep-2024</v>
      </c>
      <c r="AF1686" s="1" t="n">
        <f aca="false">VALUE(RIGHT(B1686,4))</f>
        <v>2024</v>
      </c>
      <c r="AG1686" s="1" t="str">
        <f aca="false">CHOOSE(ROUNDUP(VALUE(MID(B1686,4,2))/3,0),"Q1","Q2","Q3","Q4")</f>
        <v>Q3</v>
      </c>
    </row>
    <row r="1687" customFormat="false" ht="15" hidden="false" customHeight="true" outlineLevel="0" collapsed="false">
      <c r="A1687" s="1" t="s">
        <v>2515</v>
      </c>
      <c r="B1687" s="1" t="s">
        <v>448</v>
      </c>
      <c r="C1687" s="1" t="s">
        <v>100</v>
      </c>
      <c r="D1687" s="1" t="s">
        <v>143</v>
      </c>
      <c r="E1687" s="1" t="s">
        <v>144</v>
      </c>
      <c r="F1687" s="1" t="s">
        <v>153</v>
      </c>
      <c r="G1687" s="1" t="s">
        <v>76</v>
      </c>
      <c r="H1687" s="1" t="s">
        <v>33</v>
      </c>
      <c r="I1687" s="1" t="s">
        <v>58</v>
      </c>
      <c r="J1687" s="1" t="s">
        <v>77</v>
      </c>
      <c r="K1687" s="1" t="s">
        <v>90</v>
      </c>
      <c r="L1687" s="1" t="s">
        <v>85</v>
      </c>
      <c r="M1687" s="1" t="s">
        <v>62</v>
      </c>
      <c r="N1687" s="1" t="n">
        <v>12999</v>
      </c>
      <c r="O1687" s="1" t="n">
        <v>5</v>
      </c>
      <c r="P1687" s="1" t="n">
        <v>649.95</v>
      </c>
      <c r="Q1687" s="1" t="n">
        <v>12349.05</v>
      </c>
      <c r="R1687" s="1" t="n">
        <v>2222.83</v>
      </c>
      <c r="S1687" s="1" t="n">
        <v>10126.22</v>
      </c>
      <c r="T1687" s="1" t="n">
        <v>4056.63</v>
      </c>
      <c r="U1687" s="1" t="n">
        <v>6069.59</v>
      </c>
      <c r="V1687" s="1" t="n">
        <v>59.94</v>
      </c>
      <c r="W1687" s="1" t="s">
        <v>40</v>
      </c>
      <c r="Y1687" s="1" t="s">
        <v>40</v>
      </c>
      <c r="Z1687" s="1" t="n">
        <v>0</v>
      </c>
      <c r="AA1687" s="1" t="str">
        <f aca="false">TRIM(PROPER(F1687))</f>
        <v>Howrah</v>
      </c>
      <c r="AB1687" s="1" t="str">
        <f aca="false">TRIM(PROPER(C1687))</f>
        <v>Physics Wallah</v>
      </c>
      <c r="AC1687" s="1" t="str">
        <f aca="false">IF(O1687=0,"No Discount",IF(O1687&lt;=15,"Low (1-15%)",IF(O1687&lt;=30,"Medium (16-30%)","High (&gt;30%)")))</f>
        <v>Low (1-15%)</v>
      </c>
      <c r="AD1687" s="1" t="str">
        <f aca="false">IF(V1687&lt;0,"Loss Making",IF(V1687&lt;20,"Low Margin","Healthy Margin"))</f>
        <v>Healthy Margin</v>
      </c>
      <c r="AE1687" s="1" t="str">
        <f aca="false">TEXT(DATE(VALUE(RIGHT(B1687,4)),VALUE(MID(B1687,4,2)),VALUE(LEFT(B1687,2))),"MMM-YYYY")</f>
        <v>Oct-2024</v>
      </c>
      <c r="AF1687" s="1" t="n">
        <f aca="false">VALUE(RIGHT(B1687,4))</f>
        <v>2024</v>
      </c>
      <c r="AG1687" s="1" t="str">
        <f aca="false">CHOOSE(ROUNDUP(VALUE(MID(B1687,4,2))/3,0),"Q1","Q2","Q3","Q4")</f>
        <v>Q4</v>
      </c>
    </row>
    <row r="1688" customFormat="false" ht="15" hidden="false" customHeight="true" outlineLevel="0" collapsed="false">
      <c r="A1688" s="1" t="s">
        <v>2516</v>
      </c>
      <c r="B1688" s="1" t="s">
        <v>241</v>
      </c>
      <c r="C1688" s="1" t="s">
        <v>264</v>
      </c>
      <c r="D1688" s="1" t="s">
        <v>80</v>
      </c>
      <c r="E1688" s="1" t="s">
        <v>193</v>
      </c>
      <c r="F1688" s="1" t="s">
        <v>184</v>
      </c>
      <c r="G1688" s="1" t="s">
        <v>56</v>
      </c>
      <c r="H1688" s="1" t="s">
        <v>57</v>
      </c>
      <c r="I1688" s="1" t="s">
        <v>34</v>
      </c>
      <c r="J1688" s="1" t="s">
        <v>77</v>
      </c>
      <c r="K1688" s="1" t="s">
        <v>36</v>
      </c>
      <c r="L1688" s="1" t="s">
        <v>49</v>
      </c>
      <c r="M1688" s="1" t="s">
        <v>50</v>
      </c>
      <c r="N1688" s="1" t="n">
        <v>8999</v>
      </c>
      <c r="O1688" s="1" t="n">
        <v>40</v>
      </c>
      <c r="P1688" s="1" t="n">
        <v>3599.6</v>
      </c>
      <c r="Q1688" s="1" t="n">
        <v>5399.4</v>
      </c>
      <c r="R1688" s="1" t="n">
        <v>971.89</v>
      </c>
      <c r="S1688" s="1" t="n">
        <v>4427.51</v>
      </c>
      <c r="T1688" s="1" t="n">
        <v>2495.69</v>
      </c>
      <c r="U1688" s="1" t="n">
        <v>1931.82</v>
      </c>
      <c r="V1688" s="1" t="n">
        <v>43.63</v>
      </c>
      <c r="W1688" s="1" t="s">
        <v>40</v>
      </c>
      <c r="Y1688" s="1" t="s">
        <v>40</v>
      </c>
      <c r="Z1688" s="1" t="n">
        <v>2</v>
      </c>
      <c r="AA1688" s="1" t="str">
        <f aca="false">TRIM(PROPER(F1688))</f>
        <v>Faridabad</v>
      </c>
      <c r="AB1688" s="1" t="str">
        <f aca="false">TRIM(PROPER(C1688))</f>
        <v>Unacademy</v>
      </c>
      <c r="AC1688" s="1" t="str">
        <f aca="false">IF(O1688=0,"No Discount",IF(O1688&lt;=15,"Low (1-15%)",IF(O1688&lt;=30,"Medium (16-30%)","High (&gt;30%)")))</f>
        <v>High (&gt;30%)</v>
      </c>
      <c r="AD1688" s="1" t="str">
        <f aca="false">IF(V1688&lt;0,"Loss Making",IF(V1688&lt;20,"Low Margin","Healthy Margin"))</f>
        <v>Healthy Margin</v>
      </c>
      <c r="AE1688" s="1" t="str">
        <f aca="false">TEXT(DATE(VALUE(RIGHT(B1688,4)),VALUE(MID(B1688,4,2)),VALUE(LEFT(B1688,2))),"MMM-YYYY")</f>
        <v>Nov-2023</v>
      </c>
      <c r="AF1688" s="1" t="n">
        <f aca="false">VALUE(RIGHT(B1688,4))</f>
        <v>2023</v>
      </c>
      <c r="AG1688" s="1" t="str">
        <f aca="false">CHOOSE(ROUNDUP(VALUE(MID(B1688,4,2))/3,0),"Q1","Q2","Q3","Q4")</f>
        <v>Q4</v>
      </c>
    </row>
    <row r="1689" customFormat="false" ht="15" hidden="false" customHeight="true" outlineLevel="0" collapsed="false">
      <c r="A1689" s="1" t="s">
        <v>2517</v>
      </c>
      <c r="B1689" s="1" t="s">
        <v>2518</v>
      </c>
      <c r="C1689" s="1" t="s">
        <v>128</v>
      </c>
      <c r="D1689" s="1" t="s">
        <v>123</v>
      </c>
      <c r="E1689" s="1" t="s">
        <v>233</v>
      </c>
      <c r="F1689" s="1" t="s">
        <v>150</v>
      </c>
      <c r="G1689" s="1" t="s">
        <v>32</v>
      </c>
      <c r="H1689" s="1" t="s">
        <v>57</v>
      </c>
      <c r="I1689" s="1" t="s">
        <v>58</v>
      </c>
      <c r="J1689" s="1" t="s">
        <v>35</v>
      </c>
      <c r="K1689" s="1" t="s">
        <v>84</v>
      </c>
      <c r="L1689" s="1" t="s">
        <v>37</v>
      </c>
      <c r="M1689" s="1" t="s">
        <v>62</v>
      </c>
      <c r="N1689" s="1" t="n">
        <v>8999</v>
      </c>
      <c r="O1689" s="1" t="n">
        <v>5</v>
      </c>
      <c r="P1689" s="1" t="n">
        <v>449.95</v>
      </c>
      <c r="Q1689" s="1" t="n">
        <v>8549.05</v>
      </c>
      <c r="R1689" s="1" t="n">
        <v>1538.83</v>
      </c>
      <c r="S1689" s="1" t="n">
        <v>7010.22</v>
      </c>
      <c r="T1689" s="1" t="n">
        <v>2779.09</v>
      </c>
      <c r="U1689" s="1" t="n">
        <v>4231.13</v>
      </c>
      <c r="V1689" s="1" t="n">
        <v>60.36</v>
      </c>
      <c r="W1689" s="1" t="s">
        <v>39</v>
      </c>
      <c r="X1689" s="1" t="n">
        <v>3.6</v>
      </c>
      <c r="Y1689" s="1" t="s">
        <v>40</v>
      </c>
      <c r="Z1689" s="1" t="n">
        <v>2</v>
      </c>
      <c r="AA1689" s="1" t="str">
        <f aca="false">TRIM(PROPER(F1689))</f>
        <v>Jaipur</v>
      </c>
      <c r="AB1689" s="1" t="str">
        <f aca="false">TRIM(PROPER(C1689))</f>
        <v>Great Learning</v>
      </c>
      <c r="AC1689" s="1" t="str">
        <f aca="false">IF(O1689=0,"No Discount",IF(O1689&lt;=15,"Low (1-15%)",IF(O1689&lt;=30,"Medium (16-30%)","High (&gt;30%)")))</f>
        <v>Low (1-15%)</v>
      </c>
      <c r="AD1689" s="1" t="str">
        <f aca="false">IF(V1689&lt;0,"Loss Making",IF(V1689&lt;20,"Low Margin","Healthy Margin"))</f>
        <v>Healthy Margin</v>
      </c>
      <c r="AE1689" s="1" t="str">
        <f aca="false">TEXT(DATE(VALUE(RIGHT(B1689,4)),VALUE(MID(B1689,4,2)),VALUE(LEFT(B1689,2))),"MMM-YYYY")</f>
        <v>Sep-2024</v>
      </c>
      <c r="AF1689" s="1" t="n">
        <f aca="false">VALUE(RIGHT(B1689,4))</f>
        <v>2024</v>
      </c>
      <c r="AG1689" s="1" t="str">
        <f aca="false">CHOOSE(ROUNDUP(VALUE(MID(B1689,4,2))/3,0),"Q1","Q2","Q3","Q4")</f>
        <v>Q3</v>
      </c>
    </row>
    <row r="1690" customFormat="false" ht="15" hidden="false" customHeight="true" outlineLevel="0" collapsed="false">
      <c r="A1690" s="1" t="s">
        <v>2519</v>
      </c>
      <c r="B1690" s="1" t="s">
        <v>344</v>
      </c>
      <c r="C1690" s="1" t="s">
        <v>167</v>
      </c>
      <c r="D1690" s="1" t="s">
        <v>80</v>
      </c>
      <c r="E1690" s="1" t="s">
        <v>190</v>
      </c>
      <c r="F1690" s="1" t="s">
        <v>75</v>
      </c>
      <c r="G1690" s="1" t="s">
        <v>76</v>
      </c>
      <c r="H1690" s="1" t="s">
        <v>69</v>
      </c>
      <c r="I1690" s="1" t="s">
        <v>83</v>
      </c>
      <c r="J1690" s="1" t="s">
        <v>131</v>
      </c>
      <c r="K1690" s="1" t="s">
        <v>84</v>
      </c>
      <c r="L1690" s="1" t="s">
        <v>61</v>
      </c>
      <c r="M1690" s="1" t="s">
        <v>38</v>
      </c>
      <c r="N1690" s="1" t="n">
        <v>15999</v>
      </c>
      <c r="O1690" s="1" t="n">
        <v>50</v>
      </c>
      <c r="P1690" s="1" t="n">
        <v>7999.5</v>
      </c>
      <c r="Q1690" s="1" t="n">
        <v>7999.5</v>
      </c>
      <c r="R1690" s="1" t="n">
        <v>1439.91</v>
      </c>
      <c r="S1690" s="1" t="n">
        <v>6559.59</v>
      </c>
      <c r="T1690" s="1" t="n">
        <v>3027.38</v>
      </c>
      <c r="U1690" s="1" t="n">
        <v>3532.21</v>
      </c>
      <c r="V1690" s="1" t="n">
        <v>53.85</v>
      </c>
      <c r="W1690" s="1" t="s">
        <v>39</v>
      </c>
      <c r="X1690" s="1" t="n">
        <v>4</v>
      </c>
      <c r="Y1690" s="1" t="s">
        <v>40</v>
      </c>
      <c r="Z1690" s="1" t="n">
        <v>2</v>
      </c>
      <c r="AA1690" s="1" t="str">
        <f aca="false">TRIM(PROPER(F1690))</f>
        <v>Kolkata</v>
      </c>
      <c r="AB1690" s="1" t="str">
        <f aca="false">TRIM(PROPER(C1690))</f>
        <v>Scaler</v>
      </c>
      <c r="AC1690" s="1" t="str">
        <f aca="false">IF(O1690=0,"No Discount",IF(O1690&lt;=15,"Low (1-15%)",IF(O1690&lt;=30,"Medium (16-30%)","High (&gt;30%)")))</f>
        <v>High (&gt;30%)</v>
      </c>
      <c r="AD1690" s="1" t="str">
        <f aca="false">IF(V1690&lt;0,"Loss Making",IF(V1690&lt;20,"Low Margin","Healthy Margin"))</f>
        <v>Healthy Margin</v>
      </c>
      <c r="AE1690" s="1" t="str">
        <f aca="false">TEXT(DATE(VALUE(RIGHT(B1690,4)),VALUE(MID(B1690,4,2)),VALUE(LEFT(B1690,2))),"MMM-YYYY")</f>
        <v>Dec-2024</v>
      </c>
      <c r="AF1690" s="1" t="n">
        <f aca="false">VALUE(RIGHT(B1690,4))</f>
        <v>2024</v>
      </c>
      <c r="AG1690" s="1" t="str">
        <f aca="false">CHOOSE(ROUNDUP(VALUE(MID(B1690,4,2))/3,0),"Q1","Q2","Q3","Q4")</f>
        <v>Q4</v>
      </c>
    </row>
    <row r="1691" customFormat="false" ht="15" hidden="false" customHeight="true" outlineLevel="0" collapsed="false">
      <c r="A1691" s="1" t="s">
        <v>2520</v>
      </c>
      <c r="B1691" s="1" t="s">
        <v>866</v>
      </c>
      <c r="C1691" s="1" t="s">
        <v>264</v>
      </c>
      <c r="D1691" s="1" t="s">
        <v>123</v>
      </c>
      <c r="E1691" s="1" t="s">
        <v>147</v>
      </c>
      <c r="F1691" s="1" t="s">
        <v>269</v>
      </c>
      <c r="G1691" s="1" t="s">
        <v>108</v>
      </c>
      <c r="H1691" s="1" t="s">
        <v>57</v>
      </c>
      <c r="I1691" s="1" t="s">
        <v>58</v>
      </c>
      <c r="J1691" s="1" t="s">
        <v>59</v>
      </c>
      <c r="K1691" s="1" t="s">
        <v>90</v>
      </c>
      <c r="L1691" s="1" t="s">
        <v>61</v>
      </c>
      <c r="M1691" s="1" t="s">
        <v>62</v>
      </c>
      <c r="N1691" s="1" t="n">
        <v>6999</v>
      </c>
      <c r="O1691" s="1" t="n">
        <v>10</v>
      </c>
      <c r="P1691" s="1" t="n">
        <v>699.9</v>
      </c>
      <c r="Q1691" s="1" t="n">
        <v>6299.1</v>
      </c>
      <c r="R1691" s="1" t="n">
        <v>1133.84</v>
      </c>
      <c r="S1691" s="1" t="n">
        <v>5165.26</v>
      </c>
      <c r="T1691" s="1" t="n">
        <v>2474.68</v>
      </c>
      <c r="U1691" s="1" t="n">
        <v>2690.58</v>
      </c>
      <c r="V1691" s="1" t="n">
        <v>52.09</v>
      </c>
      <c r="W1691" s="1" t="s">
        <v>39</v>
      </c>
      <c r="X1691" s="1" t="n">
        <v>4.4</v>
      </c>
      <c r="Y1691" s="1" t="s">
        <v>40</v>
      </c>
      <c r="Z1691" s="1" t="n">
        <v>0</v>
      </c>
      <c r="AA1691" s="1" t="str">
        <f aca="false">TRIM(PROPER(F1691))</f>
        <v>Coimbatore</v>
      </c>
      <c r="AB1691" s="1" t="str">
        <f aca="false">TRIM(PROPER(C1691))</f>
        <v>Unacademy</v>
      </c>
      <c r="AC1691" s="1" t="str">
        <f aca="false">IF(O1691=0,"No Discount",IF(O1691&lt;=15,"Low (1-15%)",IF(O1691&lt;=30,"Medium (16-30%)","High (&gt;30%)")))</f>
        <v>Low (1-15%)</v>
      </c>
      <c r="AD1691" s="1" t="str">
        <f aca="false">IF(V1691&lt;0,"Loss Making",IF(V1691&lt;20,"Low Margin","Healthy Margin"))</f>
        <v>Healthy Margin</v>
      </c>
      <c r="AE1691" s="1" t="str">
        <f aca="false">TEXT(DATE(VALUE(RIGHT(B1691,4)),VALUE(MID(B1691,4,2)),VALUE(LEFT(B1691,2))),"MMM-YYYY")</f>
        <v>Jul-2023</v>
      </c>
      <c r="AF1691" s="1" t="n">
        <f aca="false">VALUE(RIGHT(B1691,4))</f>
        <v>2023</v>
      </c>
      <c r="AG1691" s="1" t="str">
        <f aca="false">CHOOSE(ROUNDUP(VALUE(MID(B1691,4,2))/3,0),"Q1","Q2","Q3","Q4")</f>
        <v>Q3</v>
      </c>
    </row>
    <row r="1692" customFormat="false" ht="15" hidden="false" customHeight="true" outlineLevel="0" collapsed="false">
      <c r="A1692" s="1" t="s">
        <v>2521</v>
      </c>
      <c r="B1692" s="1" t="s">
        <v>2341</v>
      </c>
      <c r="C1692" s="1" t="s">
        <v>88</v>
      </c>
      <c r="D1692" s="1" t="s">
        <v>44</v>
      </c>
      <c r="E1692" s="1" t="s">
        <v>221</v>
      </c>
      <c r="F1692" s="1" t="s">
        <v>153</v>
      </c>
      <c r="G1692" s="1" t="s">
        <v>76</v>
      </c>
      <c r="H1692" s="1" t="s">
        <v>33</v>
      </c>
      <c r="I1692" s="1" t="s">
        <v>58</v>
      </c>
      <c r="J1692" s="1" t="s">
        <v>35</v>
      </c>
      <c r="K1692" s="1" t="s">
        <v>90</v>
      </c>
      <c r="L1692" s="1" t="s">
        <v>37</v>
      </c>
      <c r="M1692" s="1" t="s">
        <v>38</v>
      </c>
      <c r="N1692" s="1" t="n">
        <v>16999</v>
      </c>
      <c r="O1692" s="1" t="n">
        <v>10</v>
      </c>
      <c r="P1692" s="1" t="n">
        <v>1699.9</v>
      </c>
      <c r="Q1692" s="1" t="n">
        <v>15299.1</v>
      </c>
      <c r="R1692" s="1" t="n">
        <v>2753.84</v>
      </c>
      <c r="S1692" s="1" t="n">
        <v>12545.26</v>
      </c>
      <c r="T1692" s="1" t="n">
        <v>6333.66</v>
      </c>
      <c r="U1692" s="1" t="n">
        <v>6211.6</v>
      </c>
      <c r="V1692" s="1" t="n">
        <v>49.51</v>
      </c>
      <c r="W1692" s="1" t="s">
        <v>39</v>
      </c>
      <c r="X1692" s="1" t="n">
        <v>2.2</v>
      </c>
      <c r="Y1692" s="1" t="s">
        <v>40</v>
      </c>
      <c r="Z1692" s="1" t="n">
        <v>0</v>
      </c>
      <c r="AA1692" s="1" t="str">
        <f aca="false">TRIM(PROPER(F1692))</f>
        <v>Howrah</v>
      </c>
      <c r="AB1692" s="1" t="str">
        <f aca="false">TRIM(PROPER(C1692))</f>
        <v>Byju'S</v>
      </c>
      <c r="AC1692" s="1" t="str">
        <f aca="false">IF(O1692=0,"No Discount",IF(O1692&lt;=15,"Low (1-15%)",IF(O1692&lt;=30,"Medium (16-30%)","High (&gt;30%)")))</f>
        <v>Low (1-15%)</v>
      </c>
      <c r="AD1692" s="1" t="str">
        <f aca="false">IF(V1692&lt;0,"Loss Making",IF(V1692&lt;20,"Low Margin","Healthy Margin"))</f>
        <v>Healthy Margin</v>
      </c>
      <c r="AE1692" s="1" t="str">
        <f aca="false">TEXT(DATE(VALUE(RIGHT(B1692,4)),VALUE(MID(B1692,4,2)),VALUE(LEFT(B1692,2))),"MMM-YYYY")</f>
        <v>Nov-2024</v>
      </c>
      <c r="AF1692" s="1" t="n">
        <f aca="false">VALUE(RIGHT(B1692,4))</f>
        <v>2024</v>
      </c>
      <c r="AG1692" s="1" t="str">
        <f aca="false">CHOOSE(ROUNDUP(VALUE(MID(B1692,4,2))/3,0),"Q1","Q2","Q3","Q4")</f>
        <v>Q4</v>
      </c>
    </row>
    <row r="1693" customFormat="false" ht="15" hidden="false" customHeight="true" outlineLevel="0" collapsed="false">
      <c r="A1693" s="1" t="s">
        <v>2522</v>
      </c>
      <c r="B1693" s="1" t="s">
        <v>1205</v>
      </c>
      <c r="C1693" s="1" t="s">
        <v>119</v>
      </c>
      <c r="D1693" s="1" t="s">
        <v>80</v>
      </c>
      <c r="E1693" s="1" t="s">
        <v>190</v>
      </c>
      <c r="F1693" s="1" t="s">
        <v>89</v>
      </c>
      <c r="G1693" s="1" t="s">
        <v>68</v>
      </c>
      <c r="H1693" s="1" t="s">
        <v>33</v>
      </c>
      <c r="I1693" s="1" t="s">
        <v>34</v>
      </c>
      <c r="J1693" s="1" t="s">
        <v>70</v>
      </c>
      <c r="K1693" s="1" t="s">
        <v>60</v>
      </c>
      <c r="L1693" s="1" t="s">
        <v>136</v>
      </c>
      <c r="M1693" s="1" t="s">
        <v>62</v>
      </c>
      <c r="N1693" s="1" t="n">
        <v>15999</v>
      </c>
      <c r="O1693" s="1" t="n">
        <v>0</v>
      </c>
      <c r="P1693" s="1" t="n">
        <v>0</v>
      </c>
      <c r="Q1693" s="1" t="n">
        <v>15999</v>
      </c>
      <c r="R1693" s="1" t="n">
        <v>2879.82</v>
      </c>
      <c r="S1693" s="1" t="n">
        <v>13119.18</v>
      </c>
      <c r="T1693" s="1" t="n">
        <v>5935.99</v>
      </c>
      <c r="U1693" s="1" t="n">
        <v>7183.19</v>
      </c>
      <c r="V1693" s="1" t="n">
        <v>54.75</v>
      </c>
      <c r="W1693" s="1" t="s">
        <v>39</v>
      </c>
      <c r="X1693" s="1" t="n">
        <v>4.3</v>
      </c>
      <c r="Y1693" s="1" t="s">
        <v>40</v>
      </c>
      <c r="Z1693" s="1" t="n">
        <v>0</v>
      </c>
      <c r="AA1693" s="1" t="str">
        <f aca="false">TRIM(PROPER(F1693))</f>
        <v>Vadodara</v>
      </c>
      <c r="AB1693" s="1" t="str">
        <f aca="false">TRIM(PROPER(C1693))</f>
        <v>Simplilearn</v>
      </c>
      <c r="AC1693" s="1" t="str">
        <f aca="false">IF(O1693=0,"No Discount",IF(O1693&lt;=15,"Low (1-15%)",IF(O1693&lt;=30,"Medium (16-30%)","High (&gt;30%)")))</f>
        <v>No Discount</v>
      </c>
      <c r="AD1693" s="1" t="str">
        <f aca="false">IF(V1693&lt;0,"Loss Making",IF(V1693&lt;20,"Low Margin","Healthy Margin"))</f>
        <v>Healthy Margin</v>
      </c>
      <c r="AE1693" s="1" t="str">
        <f aca="false">TEXT(DATE(VALUE(RIGHT(B1693,4)),VALUE(MID(B1693,4,2)),VALUE(LEFT(B1693,2))),"MMM-YYYY")</f>
        <v>May-2024</v>
      </c>
      <c r="AF1693" s="1" t="n">
        <f aca="false">VALUE(RIGHT(B1693,4))</f>
        <v>2024</v>
      </c>
      <c r="AG1693" s="1" t="str">
        <f aca="false">CHOOSE(ROUNDUP(VALUE(MID(B1693,4,2))/3,0),"Q1","Q2","Q3","Q4")</f>
        <v>Q2</v>
      </c>
    </row>
    <row r="1694" customFormat="false" ht="15" hidden="false" customHeight="true" outlineLevel="0" collapsed="false">
      <c r="A1694" s="1" t="s">
        <v>2523</v>
      </c>
      <c r="B1694" s="1" t="s">
        <v>787</v>
      </c>
      <c r="C1694" s="1" t="s">
        <v>74</v>
      </c>
      <c r="D1694" s="1" t="s">
        <v>123</v>
      </c>
      <c r="E1694" s="1" t="s">
        <v>147</v>
      </c>
      <c r="F1694" s="1" t="s">
        <v>125</v>
      </c>
      <c r="G1694" s="1" t="s">
        <v>108</v>
      </c>
      <c r="H1694" s="1" t="s">
        <v>69</v>
      </c>
      <c r="I1694" s="1" t="s">
        <v>34</v>
      </c>
      <c r="J1694" s="1" t="s">
        <v>77</v>
      </c>
      <c r="K1694" s="1" t="s">
        <v>36</v>
      </c>
      <c r="L1694" s="1" t="s">
        <v>49</v>
      </c>
      <c r="M1694" s="1" t="s">
        <v>62</v>
      </c>
      <c r="N1694" s="1" t="n">
        <v>6999</v>
      </c>
      <c r="O1694" s="1" t="n">
        <v>10</v>
      </c>
      <c r="P1694" s="1" t="n">
        <v>699.9</v>
      </c>
      <c r="Q1694" s="1" t="n">
        <v>6299.1</v>
      </c>
      <c r="R1694" s="1" t="n">
        <v>1133.84</v>
      </c>
      <c r="S1694" s="1" t="n">
        <v>5165.26</v>
      </c>
      <c r="T1694" s="1" t="n">
        <v>2121.48</v>
      </c>
      <c r="U1694" s="1" t="n">
        <v>3043.78</v>
      </c>
      <c r="V1694" s="1" t="n">
        <v>58.93</v>
      </c>
      <c r="W1694" s="1" t="s">
        <v>39</v>
      </c>
      <c r="X1694" s="1" t="n">
        <v>4.6</v>
      </c>
      <c r="Y1694" s="1" t="s">
        <v>40</v>
      </c>
      <c r="Z1694" s="1" t="n">
        <v>0</v>
      </c>
      <c r="AA1694" s="1" t="str">
        <f aca="false">TRIM(PROPER(F1694))</f>
        <v>Chennai</v>
      </c>
      <c r="AB1694" s="1" t="str">
        <f aca="false">TRIM(PROPER(C1694))</f>
        <v>Vedantu</v>
      </c>
      <c r="AC1694" s="1" t="str">
        <f aca="false">IF(O1694=0,"No Discount",IF(O1694&lt;=15,"Low (1-15%)",IF(O1694&lt;=30,"Medium (16-30%)","High (&gt;30%)")))</f>
        <v>Low (1-15%)</v>
      </c>
      <c r="AD1694" s="1" t="str">
        <f aca="false">IF(V1694&lt;0,"Loss Making",IF(V1694&lt;20,"Low Margin","Healthy Margin"))</f>
        <v>Healthy Margin</v>
      </c>
      <c r="AE1694" s="1" t="str">
        <f aca="false">TEXT(DATE(VALUE(RIGHT(B1694,4)),VALUE(MID(B1694,4,2)),VALUE(LEFT(B1694,2))),"MMM-YYYY")</f>
        <v>Feb-2024</v>
      </c>
      <c r="AF1694" s="1" t="n">
        <f aca="false">VALUE(RIGHT(B1694,4))</f>
        <v>2024</v>
      </c>
      <c r="AG1694" s="1" t="str">
        <f aca="false">CHOOSE(ROUNDUP(VALUE(MID(B1694,4,2))/3,0),"Q1","Q2","Q3","Q4")</f>
        <v>Q1</v>
      </c>
    </row>
    <row r="1695" customFormat="false" ht="15" hidden="false" customHeight="true" outlineLevel="0" collapsed="false">
      <c r="A1695" s="1" t="s">
        <v>2524</v>
      </c>
      <c r="B1695" s="1" t="s">
        <v>740</v>
      </c>
      <c r="C1695" s="1" t="s">
        <v>178</v>
      </c>
      <c r="D1695" s="1" t="s">
        <v>80</v>
      </c>
      <c r="E1695" s="1" t="s">
        <v>193</v>
      </c>
      <c r="F1695" s="1" t="s">
        <v>244</v>
      </c>
      <c r="G1695" s="1" t="s">
        <v>97</v>
      </c>
      <c r="H1695" s="1" t="s">
        <v>57</v>
      </c>
      <c r="I1695" s="1" t="s">
        <v>83</v>
      </c>
      <c r="J1695" s="1" t="s">
        <v>77</v>
      </c>
      <c r="K1695" s="1" t="s">
        <v>84</v>
      </c>
      <c r="L1695" s="1" t="s">
        <v>113</v>
      </c>
      <c r="M1695" s="1" t="s">
        <v>50</v>
      </c>
      <c r="N1695" s="1" t="n">
        <v>8999</v>
      </c>
      <c r="O1695" s="1" t="n">
        <v>25</v>
      </c>
      <c r="P1695" s="1" t="n">
        <v>2249.75</v>
      </c>
      <c r="Q1695" s="1" t="n">
        <v>6749.25</v>
      </c>
      <c r="R1695" s="1" t="n">
        <v>1214.87</v>
      </c>
      <c r="S1695" s="1" t="n">
        <v>5534.38</v>
      </c>
      <c r="T1695" s="1" t="n">
        <v>2302.93</v>
      </c>
      <c r="U1695" s="1" t="n">
        <v>3231.45</v>
      </c>
      <c r="V1695" s="1" t="n">
        <v>58.39</v>
      </c>
      <c r="W1695" s="1" t="s">
        <v>40</v>
      </c>
      <c r="Y1695" s="1" t="s">
        <v>40</v>
      </c>
      <c r="Z1695" s="1" t="n">
        <v>4</v>
      </c>
      <c r="AA1695" s="1" t="str">
        <f aca="false">TRIM(PROPER(F1695))</f>
        <v>Nagpur</v>
      </c>
      <c r="AB1695" s="1" t="str">
        <f aca="false">TRIM(PROPER(C1695))</f>
        <v>Leverage Edu</v>
      </c>
      <c r="AC1695" s="1" t="str">
        <f aca="false">IF(O1695=0,"No Discount",IF(O1695&lt;=15,"Low (1-15%)",IF(O1695&lt;=30,"Medium (16-30%)","High (&gt;30%)")))</f>
        <v>Medium (16-30%)</v>
      </c>
      <c r="AD1695" s="1" t="str">
        <f aca="false">IF(V1695&lt;0,"Loss Making",IF(V1695&lt;20,"Low Margin","Healthy Margin"))</f>
        <v>Healthy Margin</v>
      </c>
      <c r="AE1695" s="1" t="str">
        <f aca="false">TEXT(DATE(VALUE(RIGHT(B1695,4)),VALUE(MID(B1695,4,2)),VALUE(LEFT(B1695,2))),"MMM-YYYY")</f>
        <v>Sep-2024</v>
      </c>
      <c r="AF1695" s="1" t="n">
        <f aca="false">VALUE(RIGHT(B1695,4))</f>
        <v>2024</v>
      </c>
      <c r="AG1695" s="1" t="str">
        <f aca="false">CHOOSE(ROUNDUP(VALUE(MID(B1695,4,2))/3,0),"Q1","Q2","Q3","Q4")</f>
        <v>Q3</v>
      </c>
    </row>
    <row r="1696" customFormat="false" ht="15" hidden="false" customHeight="true" outlineLevel="0" collapsed="false">
      <c r="A1696" s="1" t="s">
        <v>2525</v>
      </c>
      <c r="B1696" s="1" t="s">
        <v>2267</v>
      </c>
      <c r="C1696" s="1" t="s">
        <v>88</v>
      </c>
      <c r="D1696" s="1" t="s">
        <v>123</v>
      </c>
      <c r="E1696" s="1" t="s">
        <v>124</v>
      </c>
      <c r="F1696" s="1" t="s">
        <v>269</v>
      </c>
      <c r="G1696" s="1" t="s">
        <v>108</v>
      </c>
      <c r="H1696" s="1" t="s">
        <v>57</v>
      </c>
      <c r="I1696" s="1" t="s">
        <v>34</v>
      </c>
      <c r="J1696" s="1" t="s">
        <v>70</v>
      </c>
      <c r="K1696" s="1" t="s">
        <v>90</v>
      </c>
      <c r="L1696" s="1" t="s">
        <v>37</v>
      </c>
      <c r="M1696" s="1" t="s">
        <v>62</v>
      </c>
      <c r="N1696" s="1" t="n">
        <v>4999</v>
      </c>
      <c r="O1696" s="1" t="n">
        <v>20</v>
      </c>
      <c r="P1696" s="1" t="n">
        <v>999.8</v>
      </c>
      <c r="Q1696" s="1" t="n">
        <v>3999.2</v>
      </c>
      <c r="R1696" s="1" t="n">
        <v>719.86</v>
      </c>
      <c r="S1696" s="1" t="n">
        <v>3279.34</v>
      </c>
      <c r="T1696" s="1" t="n">
        <v>1560.09</v>
      </c>
      <c r="U1696" s="1" t="n">
        <v>1719.25</v>
      </c>
      <c r="V1696" s="1" t="n">
        <v>52.43</v>
      </c>
      <c r="W1696" s="1" t="s">
        <v>39</v>
      </c>
      <c r="X1696" s="1" t="n">
        <v>4.3</v>
      </c>
      <c r="Y1696" s="1" t="s">
        <v>40</v>
      </c>
      <c r="Z1696" s="1" t="n">
        <v>0</v>
      </c>
      <c r="AA1696" s="1" t="str">
        <f aca="false">TRIM(PROPER(F1696))</f>
        <v>Coimbatore</v>
      </c>
      <c r="AB1696" s="1" t="str">
        <f aca="false">TRIM(PROPER(C1696))</f>
        <v>Byju'S</v>
      </c>
      <c r="AC1696" s="1" t="str">
        <f aca="false">IF(O1696=0,"No Discount",IF(O1696&lt;=15,"Low (1-15%)",IF(O1696&lt;=30,"Medium (16-30%)","High (&gt;30%)")))</f>
        <v>Medium (16-30%)</v>
      </c>
      <c r="AD1696" s="1" t="str">
        <f aca="false">IF(V1696&lt;0,"Loss Making",IF(V1696&lt;20,"Low Margin","Healthy Margin"))</f>
        <v>Healthy Margin</v>
      </c>
      <c r="AE1696" s="1" t="str">
        <f aca="false">TEXT(DATE(VALUE(RIGHT(B1696,4)),VALUE(MID(B1696,4,2)),VALUE(LEFT(B1696,2))),"MMM-YYYY")</f>
        <v>Dec-2023</v>
      </c>
      <c r="AF1696" s="1" t="n">
        <f aca="false">VALUE(RIGHT(B1696,4))</f>
        <v>2023</v>
      </c>
      <c r="AG1696" s="1" t="str">
        <f aca="false">CHOOSE(ROUNDUP(VALUE(MID(B1696,4,2))/3,0),"Q1","Q2","Q3","Q4")</f>
        <v>Q4</v>
      </c>
    </row>
    <row r="1697" customFormat="false" ht="15" hidden="false" customHeight="true" outlineLevel="0" collapsed="false">
      <c r="A1697" s="1" t="s">
        <v>2526</v>
      </c>
      <c r="B1697" s="1" t="s">
        <v>1550</v>
      </c>
      <c r="C1697" s="1" t="s">
        <v>264</v>
      </c>
      <c r="D1697" s="1" t="s">
        <v>94</v>
      </c>
      <c r="E1697" s="1" t="s">
        <v>135</v>
      </c>
      <c r="F1697" s="1" t="s">
        <v>140</v>
      </c>
      <c r="G1697" s="1" t="s">
        <v>97</v>
      </c>
      <c r="H1697" s="1" t="s">
        <v>57</v>
      </c>
      <c r="I1697" s="1" t="s">
        <v>58</v>
      </c>
      <c r="J1697" s="1" t="s">
        <v>59</v>
      </c>
      <c r="K1697" s="1" t="s">
        <v>112</v>
      </c>
      <c r="L1697" s="1" t="s">
        <v>136</v>
      </c>
      <c r="M1697" s="1" t="s">
        <v>62</v>
      </c>
      <c r="N1697" s="1" t="n">
        <v>9999</v>
      </c>
      <c r="O1697" s="1" t="n">
        <v>25</v>
      </c>
      <c r="P1697" s="1" t="n">
        <v>2499.75</v>
      </c>
      <c r="Q1697" s="1" t="n">
        <v>7499.25</v>
      </c>
      <c r="R1697" s="1" t="n">
        <v>1349.87</v>
      </c>
      <c r="S1697" s="1" t="n">
        <v>6149.38</v>
      </c>
      <c r="T1697" s="1" t="n">
        <v>2770.03</v>
      </c>
      <c r="U1697" s="1" t="n">
        <v>3379.35</v>
      </c>
      <c r="V1697" s="1" t="n">
        <v>54.95</v>
      </c>
      <c r="W1697" s="1" t="s">
        <v>40</v>
      </c>
      <c r="Y1697" s="1" t="s">
        <v>40</v>
      </c>
      <c r="Z1697" s="1" t="n">
        <v>0</v>
      </c>
      <c r="AA1697" s="1" t="str">
        <f aca="false">TRIM(PROPER(F1697))</f>
        <v>Nashik</v>
      </c>
      <c r="AB1697" s="1" t="str">
        <f aca="false">TRIM(PROPER(C1697))</f>
        <v>Unacademy</v>
      </c>
      <c r="AC1697" s="1" t="str">
        <f aca="false">IF(O1697=0,"No Discount",IF(O1697&lt;=15,"Low (1-15%)",IF(O1697&lt;=30,"Medium (16-30%)","High (&gt;30%)")))</f>
        <v>Medium (16-30%)</v>
      </c>
      <c r="AD1697" s="1" t="str">
        <f aca="false">IF(V1697&lt;0,"Loss Making",IF(V1697&lt;20,"Low Margin","Healthy Margin"))</f>
        <v>Healthy Margin</v>
      </c>
      <c r="AE1697" s="1" t="str">
        <f aca="false">TEXT(DATE(VALUE(RIGHT(B1697,4)),VALUE(MID(B1697,4,2)),VALUE(LEFT(B1697,2))),"MMM-YYYY")</f>
        <v>Jul-2023</v>
      </c>
      <c r="AF1697" s="1" t="n">
        <f aca="false">VALUE(RIGHT(B1697,4))</f>
        <v>2023</v>
      </c>
      <c r="AG1697" s="1" t="str">
        <f aca="false">CHOOSE(ROUNDUP(VALUE(MID(B1697,4,2))/3,0),"Q1","Q2","Q3","Q4")</f>
        <v>Q3</v>
      </c>
    </row>
    <row r="1698" customFormat="false" ht="15" hidden="false" customHeight="true" outlineLevel="0" collapsed="false">
      <c r="A1698" s="1" t="s">
        <v>2527</v>
      </c>
      <c r="B1698" s="1" t="s">
        <v>1553</v>
      </c>
      <c r="C1698" s="1" t="s">
        <v>43</v>
      </c>
      <c r="D1698" s="1" t="s">
        <v>168</v>
      </c>
      <c r="E1698" s="1" t="s">
        <v>328</v>
      </c>
      <c r="F1698" s="1" t="s">
        <v>130</v>
      </c>
      <c r="G1698" s="1" t="s">
        <v>47</v>
      </c>
      <c r="H1698" s="1" t="s">
        <v>69</v>
      </c>
      <c r="I1698" s="1" t="s">
        <v>83</v>
      </c>
      <c r="J1698" s="1" t="s">
        <v>77</v>
      </c>
      <c r="K1698" s="1" t="s">
        <v>36</v>
      </c>
      <c r="L1698" s="1" t="s">
        <v>37</v>
      </c>
      <c r="M1698" s="1" t="s">
        <v>38</v>
      </c>
      <c r="N1698" s="1" t="n">
        <v>8999</v>
      </c>
      <c r="O1698" s="1" t="n">
        <v>25</v>
      </c>
      <c r="P1698" s="1" t="n">
        <v>2249.75</v>
      </c>
      <c r="Q1698" s="1" t="n">
        <v>6749.25</v>
      </c>
      <c r="R1698" s="1" t="n">
        <v>1214.87</v>
      </c>
      <c r="S1698" s="1" t="n">
        <v>5534.38</v>
      </c>
      <c r="T1698" s="1" t="n">
        <v>2136.41</v>
      </c>
      <c r="U1698" s="1" t="n">
        <v>3397.97</v>
      </c>
      <c r="V1698" s="1" t="n">
        <v>61.4</v>
      </c>
      <c r="W1698" s="1" t="s">
        <v>40</v>
      </c>
      <c r="Y1698" s="1" t="s">
        <v>40</v>
      </c>
      <c r="Z1698" s="1" t="n">
        <v>0</v>
      </c>
      <c r="AA1698" s="1" t="str">
        <f aca="false">TRIM(PROPER(F1698))</f>
        <v>Bengaluru</v>
      </c>
      <c r="AB1698" s="1" t="str">
        <f aca="false">TRIM(PROPER(C1698))</f>
        <v>Meritnation</v>
      </c>
      <c r="AC1698" s="1" t="str">
        <f aca="false">IF(O1698=0,"No Discount",IF(O1698&lt;=15,"Low (1-15%)",IF(O1698&lt;=30,"Medium (16-30%)","High (&gt;30%)")))</f>
        <v>Medium (16-30%)</v>
      </c>
      <c r="AD1698" s="1" t="str">
        <f aca="false">IF(V1698&lt;0,"Loss Making",IF(V1698&lt;20,"Low Margin","Healthy Margin"))</f>
        <v>Healthy Margin</v>
      </c>
      <c r="AE1698" s="1" t="str">
        <f aca="false">TEXT(DATE(VALUE(RIGHT(B1698,4)),VALUE(MID(B1698,4,2)),VALUE(LEFT(B1698,2))),"MMM-YYYY")</f>
        <v>May-2023</v>
      </c>
      <c r="AF1698" s="1" t="n">
        <f aca="false">VALUE(RIGHT(B1698,4))</f>
        <v>2023</v>
      </c>
      <c r="AG1698" s="1" t="str">
        <f aca="false">CHOOSE(ROUNDUP(VALUE(MID(B1698,4,2))/3,0),"Q1","Q2","Q3","Q4")</f>
        <v>Q2</v>
      </c>
    </row>
    <row r="1699" customFormat="false" ht="15" hidden="false" customHeight="true" outlineLevel="0" collapsed="false">
      <c r="A1699" s="1" t="s">
        <v>2528</v>
      </c>
      <c r="B1699" s="1" t="s">
        <v>983</v>
      </c>
      <c r="C1699" s="1" t="s">
        <v>249</v>
      </c>
      <c r="D1699" s="1" t="s">
        <v>94</v>
      </c>
      <c r="E1699" s="1" t="s">
        <v>135</v>
      </c>
      <c r="F1699" s="1" t="s">
        <v>187</v>
      </c>
      <c r="G1699" s="1" t="s">
        <v>97</v>
      </c>
      <c r="H1699" s="1" t="s">
        <v>69</v>
      </c>
      <c r="I1699" s="1" t="s">
        <v>34</v>
      </c>
      <c r="J1699" s="1" t="s">
        <v>70</v>
      </c>
      <c r="K1699" s="1" t="s">
        <v>71</v>
      </c>
      <c r="L1699" s="1" t="s">
        <v>113</v>
      </c>
      <c r="M1699" s="1" t="s">
        <v>38</v>
      </c>
      <c r="N1699" s="1" t="n">
        <v>9999</v>
      </c>
      <c r="O1699" s="1" t="n">
        <v>5</v>
      </c>
      <c r="P1699" s="1" t="n">
        <v>499.95</v>
      </c>
      <c r="Q1699" s="1" t="n">
        <v>9499.05</v>
      </c>
      <c r="R1699" s="1" t="n">
        <v>1709.83</v>
      </c>
      <c r="S1699" s="1" t="n">
        <v>7789.22</v>
      </c>
      <c r="T1699" s="1" t="n">
        <v>2838.66</v>
      </c>
      <c r="U1699" s="1" t="n">
        <v>4950.56</v>
      </c>
      <c r="V1699" s="1" t="n">
        <v>63.56</v>
      </c>
      <c r="W1699" s="1" t="s">
        <v>39</v>
      </c>
      <c r="X1699" s="1" t="n">
        <v>3.3</v>
      </c>
      <c r="Y1699" s="1" t="s">
        <v>40</v>
      </c>
      <c r="Z1699" s="1" t="n">
        <v>0</v>
      </c>
      <c r="AA1699" s="1" t="str">
        <f aca="false">TRIM(PROPER(F1699))</f>
        <v>Mumbai</v>
      </c>
      <c r="AB1699" s="1" t="str">
        <f aca="false">TRIM(PROPER(C1699))</f>
        <v>Whitehat Jr</v>
      </c>
      <c r="AC1699" s="1" t="str">
        <f aca="false">IF(O1699=0,"No Discount",IF(O1699&lt;=15,"Low (1-15%)",IF(O1699&lt;=30,"Medium (16-30%)","High (&gt;30%)")))</f>
        <v>Low (1-15%)</v>
      </c>
      <c r="AD1699" s="1" t="str">
        <f aca="false">IF(V1699&lt;0,"Loss Making",IF(V1699&lt;20,"Low Margin","Healthy Margin"))</f>
        <v>Healthy Margin</v>
      </c>
      <c r="AE1699" s="1" t="str">
        <f aca="false">TEXT(DATE(VALUE(RIGHT(B1699,4)),VALUE(MID(B1699,4,2)),VALUE(LEFT(B1699,2))),"MMM-YYYY")</f>
        <v>Jul-2023</v>
      </c>
      <c r="AF1699" s="1" t="n">
        <f aca="false">VALUE(RIGHT(B1699,4))</f>
        <v>2023</v>
      </c>
      <c r="AG1699" s="1" t="str">
        <f aca="false">CHOOSE(ROUNDUP(VALUE(MID(B1699,4,2))/3,0),"Q1","Q2","Q3","Q4")</f>
        <v>Q3</v>
      </c>
    </row>
    <row r="1700" customFormat="false" ht="15" hidden="false" customHeight="true" outlineLevel="0" collapsed="false">
      <c r="A1700" s="1" t="s">
        <v>2529</v>
      </c>
      <c r="B1700" s="1" t="s">
        <v>954</v>
      </c>
      <c r="C1700" s="1" t="s">
        <v>128</v>
      </c>
      <c r="D1700" s="1" t="s">
        <v>29</v>
      </c>
      <c r="E1700" s="1" t="s">
        <v>182</v>
      </c>
      <c r="F1700" s="1" t="s">
        <v>963</v>
      </c>
      <c r="G1700" s="1" t="s">
        <v>68</v>
      </c>
      <c r="H1700" s="1" t="s">
        <v>57</v>
      </c>
      <c r="I1700" s="1" t="s">
        <v>58</v>
      </c>
      <c r="J1700" s="1" t="s">
        <v>131</v>
      </c>
      <c r="K1700" s="1" t="s">
        <v>60</v>
      </c>
      <c r="L1700" s="1" t="s">
        <v>37</v>
      </c>
      <c r="M1700" s="1" t="s">
        <v>50</v>
      </c>
      <c r="N1700" s="1" t="n">
        <v>34999</v>
      </c>
      <c r="O1700" s="1" t="n">
        <v>15</v>
      </c>
      <c r="P1700" s="1" t="n">
        <v>5249.85</v>
      </c>
      <c r="Q1700" s="1" t="n">
        <v>29749.15</v>
      </c>
      <c r="R1700" s="1" t="n">
        <v>5354.85</v>
      </c>
      <c r="S1700" s="1" t="n">
        <v>24394.3</v>
      </c>
      <c r="T1700" s="1" t="n">
        <v>9389.38</v>
      </c>
      <c r="U1700" s="1" t="n">
        <v>15004.92</v>
      </c>
      <c r="V1700" s="1" t="n">
        <v>61.51</v>
      </c>
      <c r="W1700" s="1" t="s">
        <v>39</v>
      </c>
      <c r="X1700" s="1" t="n">
        <v>3.3</v>
      </c>
      <c r="Y1700" s="1" t="s">
        <v>40</v>
      </c>
      <c r="Z1700" s="1" t="n">
        <v>2</v>
      </c>
      <c r="AA1700" s="1" t="str">
        <f aca="false">TRIM(PROPER(F1700))</f>
        <v>Surat</v>
      </c>
      <c r="AB1700" s="1" t="str">
        <f aca="false">TRIM(PROPER(C1700))</f>
        <v>Great Learning</v>
      </c>
      <c r="AC1700" s="1" t="str">
        <f aca="false">IF(O1700=0,"No Discount",IF(O1700&lt;=15,"Low (1-15%)",IF(O1700&lt;=30,"Medium (16-30%)","High (&gt;30%)")))</f>
        <v>Low (1-15%)</v>
      </c>
      <c r="AD1700" s="1" t="str">
        <f aca="false">IF(V1700&lt;0,"Loss Making",IF(V1700&lt;20,"Low Margin","Healthy Margin"))</f>
        <v>Healthy Margin</v>
      </c>
      <c r="AE1700" s="1" t="str">
        <f aca="false">TEXT(DATE(VALUE(RIGHT(B1700,4)),VALUE(MID(B1700,4,2)),VALUE(LEFT(B1700,2))),"MMM-YYYY")</f>
        <v>Jan-2023</v>
      </c>
      <c r="AF1700" s="1" t="n">
        <f aca="false">VALUE(RIGHT(B1700,4))</f>
        <v>2023</v>
      </c>
      <c r="AG1700" s="1" t="str">
        <f aca="false">CHOOSE(ROUNDUP(VALUE(MID(B1700,4,2))/3,0),"Q1","Q2","Q3","Q4")</f>
        <v>Q1</v>
      </c>
    </row>
    <row r="1701" customFormat="false" ht="15" hidden="false" customHeight="true" outlineLevel="0" collapsed="false">
      <c r="A1701" s="1" t="s">
        <v>2530</v>
      </c>
      <c r="B1701" s="1" t="s">
        <v>1327</v>
      </c>
      <c r="C1701" s="1" t="s">
        <v>139</v>
      </c>
      <c r="D1701" s="1" t="s">
        <v>123</v>
      </c>
      <c r="E1701" s="1" t="s">
        <v>124</v>
      </c>
      <c r="F1701" s="1" t="s">
        <v>184</v>
      </c>
      <c r="G1701" s="1" t="s">
        <v>56</v>
      </c>
      <c r="H1701" s="1" t="s">
        <v>57</v>
      </c>
      <c r="I1701" s="1" t="s">
        <v>83</v>
      </c>
      <c r="J1701" s="1" t="s">
        <v>59</v>
      </c>
      <c r="K1701" s="1" t="s">
        <v>104</v>
      </c>
      <c r="L1701" s="1" t="s">
        <v>136</v>
      </c>
      <c r="M1701" s="1" t="s">
        <v>50</v>
      </c>
      <c r="N1701" s="1" t="n">
        <v>4999</v>
      </c>
      <c r="O1701" s="1" t="n">
        <v>0</v>
      </c>
      <c r="P1701" s="1" t="n">
        <v>0</v>
      </c>
      <c r="Q1701" s="1" t="n">
        <v>4999</v>
      </c>
      <c r="R1701" s="1" t="n">
        <v>899.82</v>
      </c>
      <c r="S1701" s="1" t="n">
        <v>4099.18</v>
      </c>
      <c r="T1701" s="1" t="n">
        <v>1759.89</v>
      </c>
      <c r="U1701" s="1" t="n">
        <v>2339.29</v>
      </c>
      <c r="V1701" s="1" t="n">
        <v>57.07</v>
      </c>
      <c r="W1701" s="1" t="s">
        <v>39</v>
      </c>
      <c r="X1701" s="1" t="n">
        <v>3.3</v>
      </c>
      <c r="Y1701" s="1" t="s">
        <v>40</v>
      </c>
      <c r="Z1701" s="1" t="n">
        <v>0</v>
      </c>
      <c r="AA1701" s="1" t="str">
        <f aca="false">TRIM(PROPER(F1701))</f>
        <v>Faridabad</v>
      </c>
      <c r="AB1701" s="1" t="str">
        <f aca="false">TRIM(PROPER(C1701))</f>
        <v>Extramarks</v>
      </c>
      <c r="AC1701" s="1" t="str">
        <f aca="false">IF(O1701=0,"No Discount",IF(O1701&lt;=15,"Low (1-15%)",IF(O1701&lt;=30,"Medium (16-30%)","High (&gt;30%)")))</f>
        <v>No Discount</v>
      </c>
      <c r="AD1701" s="1" t="str">
        <f aca="false">IF(V1701&lt;0,"Loss Making",IF(V1701&lt;20,"Low Margin","Healthy Margin"))</f>
        <v>Healthy Margin</v>
      </c>
      <c r="AE1701" s="1" t="str">
        <f aca="false">TEXT(DATE(VALUE(RIGHT(B1701,4)),VALUE(MID(B1701,4,2)),VALUE(LEFT(B1701,2))),"MMM-YYYY")</f>
        <v>Nov-2023</v>
      </c>
      <c r="AF1701" s="1" t="n">
        <f aca="false">VALUE(RIGHT(B1701,4))</f>
        <v>2023</v>
      </c>
      <c r="AG1701" s="1" t="str">
        <f aca="false">CHOOSE(ROUNDUP(VALUE(MID(B1701,4,2))/3,0),"Q1","Q2","Q3","Q4")</f>
        <v>Q4</v>
      </c>
    </row>
    <row r="1702" customFormat="false" ht="15" hidden="false" customHeight="true" outlineLevel="0" collapsed="false">
      <c r="A1702" s="1" t="s">
        <v>2531</v>
      </c>
      <c r="B1702" s="1" t="s">
        <v>485</v>
      </c>
      <c r="C1702" s="1" t="s">
        <v>65</v>
      </c>
      <c r="D1702" s="1" t="s">
        <v>53</v>
      </c>
      <c r="E1702" s="1" t="s">
        <v>54</v>
      </c>
      <c r="F1702" s="1" t="s">
        <v>244</v>
      </c>
      <c r="G1702" s="1" t="s">
        <v>97</v>
      </c>
      <c r="H1702" s="1" t="s">
        <v>57</v>
      </c>
      <c r="I1702" s="1" t="s">
        <v>58</v>
      </c>
      <c r="J1702" s="1" t="s">
        <v>59</v>
      </c>
      <c r="K1702" s="1" t="s">
        <v>60</v>
      </c>
      <c r="L1702" s="1" t="s">
        <v>136</v>
      </c>
      <c r="M1702" s="1" t="s">
        <v>62</v>
      </c>
      <c r="N1702" s="1" t="n">
        <v>11999</v>
      </c>
      <c r="O1702" s="1" t="n">
        <v>0</v>
      </c>
      <c r="P1702" s="1" t="n">
        <v>0</v>
      </c>
      <c r="Q1702" s="1" t="n">
        <v>11999</v>
      </c>
      <c r="R1702" s="1" t="n">
        <v>2159.82</v>
      </c>
      <c r="S1702" s="1" t="n">
        <v>9839.18</v>
      </c>
      <c r="T1702" s="1" t="n">
        <v>4616.09</v>
      </c>
      <c r="U1702" s="1" t="n">
        <v>5223.09</v>
      </c>
      <c r="V1702" s="1" t="n">
        <v>53.08</v>
      </c>
      <c r="W1702" s="1" t="s">
        <v>40</v>
      </c>
      <c r="Y1702" s="1" t="s">
        <v>40</v>
      </c>
      <c r="Z1702" s="1" t="n">
        <v>3</v>
      </c>
      <c r="AA1702" s="1" t="str">
        <f aca="false">TRIM(PROPER(F1702))</f>
        <v>Nagpur</v>
      </c>
      <c r="AB1702" s="1" t="str">
        <f aca="false">TRIM(PROPER(C1702))</f>
        <v>Toppr</v>
      </c>
      <c r="AC1702" s="1" t="str">
        <f aca="false">IF(O1702=0,"No Discount",IF(O1702&lt;=15,"Low (1-15%)",IF(O1702&lt;=30,"Medium (16-30%)","High (&gt;30%)")))</f>
        <v>No Discount</v>
      </c>
      <c r="AD1702" s="1" t="str">
        <f aca="false">IF(V1702&lt;0,"Loss Making",IF(V1702&lt;20,"Low Margin","Healthy Margin"))</f>
        <v>Healthy Margin</v>
      </c>
      <c r="AE1702" s="1" t="str">
        <f aca="false">TEXT(DATE(VALUE(RIGHT(B1702,4)),VALUE(MID(B1702,4,2)),VALUE(LEFT(B1702,2))),"MMM-YYYY")</f>
        <v>Mar-2023</v>
      </c>
      <c r="AF1702" s="1" t="n">
        <f aca="false">VALUE(RIGHT(B1702,4))</f>
        <v>2023</v>
      </c>
      <c r="AG1702" s="1" t="str">
        <f aca="false">CHOOSE(ROUNDUP(VALUE(MID(B1702,4,2))/3,0),"Q1","Q2","Q3","Q4")</f>
        <v>Q1</v>
      </c>
    </row>
    <row r="1703" customFormat="false" ht="15" hidden="false" customHeight="true" outlineLevel="0" collapsed="false">
      <c r="A1703" s="1" t="s">
        <v>2532</v>
      </c>
      <c r="B1703" s="1" t="s">
        <v>632</v>
      </c>
      <c r="C1703" s="1" t="s">
        <v>178</v>
      </c>
      <c r="D1703" s="1" t="s">
        <v>53</v>
      </c>
      <c r="E1703" s="1" t="s">
        <v>54</v>
      </c>
      <c r="F1703" s="1" t="s">
        <v>46</v>
      </c>
      <c r="G1703" s="1" t="s">
        <v>47</v>
      </c>
      <c r="H1703" s="1" t="s">
        <v>33</v>
      </c>
      <c r="I1703" s="1" t="s">
        <v>34</v>
      </c>
      <c r="J1703" s="1" t="s">
        <v>131</v>
      </c>
      <c r="K1703" s="1" t="s">
        <v>36</v>
      </c>
      <c r="L1703" s="1" t="s">
        <v>136</v>
      </c>
      <c r="M1703" s="1" t="s">
        <v>50</v>
      </c>
      <c r="N1703" s="1" t="n">
        <v>11999</v>
      </c>
      <c r="O1703" s="1" t="n">
        <v>5</v>
      </c>
      <c r="P1703" s="1" t="n">
        <v>599.95</v>
      </c>
      <c r="Q1703" s="1" t="n">
        <v>11399.05</v>
      </c>
      <c r="R1703" s="1" t="n">
        <v>2051.83</v>
      </c>
      <c r="S1703" s="1" t="n">
        <v>9347.22</v>
      </c>
      <c r="T1703" s="1" t="n">
        <v>3911.14</v>
      </c>
      <c r="U1703" s="1" t="n">
        <v>5436.08</v>
      </c>
      <c r="V1703" s="1" t="n">
        <v>58.16</v>
      </c>
      <c r="W1703" s="1" t="s">
        <v>39</v>
      </c>
      <c r="X1703" s="1" t="n">
        <v>2.8</v>
      </c>
      <c r="Y1703" s="1" t="s">
        <v>40</v>
      </c>
      <c r="Z1703" s="1" t="n">
        <v>0</v>
      </c>
      <c r="AA1703" s="1" t="str">
        <f aca="false">TRIM(PROPER(F1703))</f>
        <v>Mangaluru</v>
      </c>
      <c r="AB1703" s="1" t="str">
        <f aca="false">TRIM(PROPER(C1703))</f>
        <v>Leverage Edu</v>
      </c>
      <c r="AC1703" s="1" t="str">
        <f aca="false">IF(O1703=0,"No Discount",IF(O1703&lt;=15,"Low (1-15%)",IF(O1703&lt;=30,"Medium (16-30%)","High (&gt;30%)")))</f>
        <v>Low (1-15%)</v>
      </c>
      <c r="AD1703" s="1" t="str">
        <f aca="false">IF(V1703&lt;0,"Loss Making",IF(V1703&lt;20,"Low Margin","Healthy Margin"))</f>
        <v>Healthy Margin</v>
      </c>
      <c r="AE1703" s="1" t="str">
        <f aca="false">TEXT(DATE(VALUE(RIGHT(B1703,4)),VALUE(MID(B1703,4,2)),VALUE(LEFT(B1703,2))),"MMM-YYYY")</f>
        <v>May-2023</v>
      </c>
      <c r="AF1703" s="1" t="n">
        <f aca="false">VALUE(RIGHT(B1703,4))</f>
        <v>2023</v>
      </c>
      <c r="AG1703" s="1" t="str">
        <f aca="false">CHOOSE(ROUNDUP(VALUE(MID(B1703,4,2))/3,0),"Q1","Q2","Q3","Q4")</f>
        <v>Q2</v>
      </c>
    </row>
    <row r="1704" customFormat="false" ht="15" hidden="false" customHeight="true" outlineLevel="0" collapsed="false">
      <c r="A1704" s="1" t="s">
        <v>2533</v>
      </c>
      <c r="B1704" s="1" t="s">
        <v>2293</v>
      </c>
      <c r="C1704" s="1" t="s">
        <v>249</v>
      </c>
      <c r="D1704" s="1" t="s">
        <v>53</v>
      </c>
      <c r="E1704" s="1" t="s">
        <v>54</v>
      </c>
      <c r="F1704" s="1" t="s">
        <v>67</v>
      </c>
      <c r="G1704" s="1" t="s">
        <v>68</v>
      </c>
      <c r="H1704" s="1" t="s">
        <v>69</v>
      </c>
      <c r="I1704" s="1" t="s">
        <v>83</v>
      </c>
      <c r="J1704" s="1" t="s">
        <v>59</v>
      </c>
      <c r="K1704" s="1" t="s">
        <v>60</v>
      </c>
      <c r="L1704" s="1" t="s">
        <v>85</v>
      </c>
      <c r="M1704" s="1" t="s">
        <v>50</v>
      </c>
      <c r="N1704" s="1" t="n">
        <v>11999</v>
      </c>
      <c r="O1704" s="1" t="n">
        <v>15</v>
      </c>
      <c r="P1704" s="1" t="n">
        <v>1799.85</v>
      </c>
      <c r="Q1704" s="1" t="n">
        <v>10199.15</v>
      </c>
      <c r="R1704" s="1" t="n">
        <v>1835.85</v>
      </c>
      <c r="S1704" s="1" t="n">
        <v>8363.3</v>
      </c>
      <c r="T1704" s="1" t="n">
        <v>3115.98</v>
      </c>
      <c r="U1704" s="1" t="n">
        <v>5247.32</v>
      </c>
      <c r="V1704" s="1" t="n">
        <v>62.74</v>
      </c>
      <c r="W1704" s="1" t="s">
        <v>40</v>
      </c>
      <c r="Y1704" s="1" t="s">
        <v>40</v>
      </c>
      <c r="Z1704" s="1" t="n">
        <v>0</v>
      </c>
      <c r="AA1704" s="1" t="str">
        <f aca="false">TRIM(PROPER(F1704))</f>
        <v>Ahmedabad</v>
      </c>
      <c r="AB1704" s="1" t="str">
        <f aca="false">TRIM(PROPER(C1704))</f>
        <v>Whitehat Jr</v>
      </c>
      <c r="AC1704" s="1" t="str">
        <f aca="false">IF(O1704=0,"No Discount",IF(O1704&lt;=15,"Low (1-15%)",IF(O1704&lt;=30,"Medium (16-30%)","High (&gt;30%)")))</f>
        <v>Low (1-15%)</v>
      </c>
      <c r="AD1704" s="1" t="str">
        <f aca="false">IF(V1704&lt;0,"Loss Making",IF(V1704&lt;20,"Low Margin","Healthy Margin"))</f>
        <v>Healthy Margin</v>
      </c>
      <c r="AE1704" s="1" t="str">
        <f aca="false">TEXT(DATE(VALUE(RIGHT(B1704,4)),VALUE(MID(B1704,4,2)),VALUE(LEFT(B1704,2))),"MMM-YYYY")</f>
        <v>May-2023</v>
      </c>
      <c r="AF1704" s="1" t="n">
        <f aca="false">VALUE(RIGHT(B1704,4))</f>
        <v>2023</v>
      </c>
      <c r="AG1704" s="1" t="str">
        <f aca="false">CHOOSE(ROUNDUP(VALUE(MID(B1704,4,2))/3,0),"Q1","Q2","Q3","Q4")</f>
        <v>Q2</v>
      </c>
    </row>
    <row r="1705" customFormat="false" ht="15" hidden="false" customHeight="true" outlineLevel="0" collapsed="false">
      <c r="A1705" s="1" t="s">
        <v>2534</v>
      </c>
      <c r="B1705" s="1" t="s">
        <v>2277</v>
      </c>
      <c r="C1705" s="1" t="s">
        <v>88</v>
      </c>
      <c r="D1705" s="1" t="s">
        <v>44</v>
      </c>
      <c r="E1705" s="1" t="s">
        <v>45</v>
      </c>
      <c r="F1705" s="1" t="s">
        <v>187</v>
      </c>
      <c r="G1705" s="1" t="s">
        <v>97</v>
      </c>
      <c r="H1705" s="1" t="s">
        <v>69</v>
      </c>
      <c r="I1705" s="1" t="s">
        <v>58</v>
      </c>
      <c r="J1705" s="1" t="s">
        <v>35</v>
      </c>
      <c r="K1705" s="1" t="s">
        <v>104</v>
      </c>
      <c r="L1705" s="1" t="s">
        <v>37</v>
      </c>
      <c r="M1705" s="1" t="s">
        <v>62</v>
      </c>
      <c r="N1705" s="1" t="n">
        <v>11999</v>
      </c>
      <c r="O1705" s="1" t="n">
        <v>30</v>
      </c>
      <c r="P1705" s="1" t="n">
        <v>3599.7</v>
      </c>
      <c r="Q1705" s="1" t="n">
        <v>8399.3</v>
      </c>
      <c r="R1705" s="1" t="n">
        <v>1511.87</v>
      </c>
      <c r="S1705" s="1" t="n">
        <v>6887.43</v>
      </c>
      <c r="T1705" s="1" t="n">
        <v>3031.78</v>
      </c>
      <c r="U1705" s="1" t="n">
        <v>3855.65</v>
      </c>
      <c r="V1705" s="1" t="n">
        <v>55.98</v>
      </c>
      <c r="W1705" s="1" t="s">
        <v>39</v>
      </c>
      <c r="X1705" s="1" t="n">
        <v>3.4</v>
      </c>
      <c r="Y1705" s="1" t="s">
        <v>40</v>
      </c>
      <c r="Z1705" s="1" t="n">
        <v>0</v>
      </c>
      <c r="AA1705" s="1" t="str">
        <f aca="false">TRIM(PROPER(F1705))</f>
        <v>Mumbai</v>
      </c>
      <c r="AB1705" s="1" t="str">
        <f aca="false">TRIM(PROPER(C1705))</f>
        <v>Byju'S</v>
      </c>
      <c r="AC1705" s="1" t="str">
        <f aca="false">IF(O1705=0,"No Discount",IF(O1705&lt;=15,"Low (1-15%)",IF(O1705&lt;=30,"Medium (16-30%)","High (&gt;30%)")))</f>
        <v>Medium (16-30%)</v>
      </c>
      <c r="AD1705" s="1" t="str">
        <f aca="false">IF(V1705&lt;0,"Loss Making",IF(V1705&lt;20,"Low Margin","Healthy Margin"))</f>
        <v>Healthy Margin</v>
      </c>
      <c r="AE1705" s="1" t="str">
        <f aca="false">TEXT(DATE(VALUE(RIGHT(B1705,4)),VALUE(MID(B1705,4,2)),VALUE(LEFT(B1705,2))),"MMM-YYYY")</f>
        <v>Jul-2024</v>
      </c>
      <c r="AF1705" s="1" t="n">
        <f aca="false">VALUE(RIGHT(B1705,4))</f>
        <v>2024</v>
      </c>
      <c r="AG1705" s="1" t="str">
        <f aca="false">CHOOSE(ROUNDUP(VALUE(MID(B1705,4,2))/3,0),"Q1","Q2","Q3","Q4")</f>
        <v>Q3</v>
      </c>
    </row>
    <row r="1706" customFormat="false" ht="15" hidden="false" customHeight="true" outlineLevel="0" collapsed="false">
      <c r="A1706" s="1" t="s">
        <v>2535</v>
      </c>
      <c r="B1706" s="1" t="s">
        <v>2117</v>
      </c>
      <c r="C1706" s="1" t="s">
        <v>134</v>
      </c>
      <c r="D1706" s="1" t="s">
        <v>44</v>
      </c>
      <c r="E1706" s="1" t="s">
        <v>221</v>
      </c>
      <c r="F1706" s="1" t="s">
        <v>120</v>
      </c>
      <c r="G1706" s="1" t="s">
        <v>47</v>
      </c>
      <c r="H1706" s="1" t="s">
        <v>57</v>
      </c>
      <c r="I1706" s="1" t="s">
        <v>83</v>
      </c>
      <c r="J1706" s="1" t="s">
        <v>131</v>
      </c>
      <c r="K1706" s="1" t="s">
        <v>71</v>
      </c>
      <c r="L1706" s="1" t="s">
        <v>49</v>
      </c>
      <c r="M1706" s="1" t="s">
        <v>38</v>
      </c>
      <c r="N1706" s="1" t="n">
        <v>16999</v>
      </c>
      <c r="O1706" s="1" t="n">
        <v>0</v>
      </c>
      <c r="P1706" s="1" t="n">
        <v>0</v>
      </c>
      <c r="Q1706" s="1" t="n">
        <v>16999</v>
      </c>
      <c r="R1706" s="1" t="n">
        <v>3059.82</v>
      </c>
      <c r="S1706" s="1" t="n">
        <v>13939.18</v>
      </c>
      <c r="T1706" s="1" t="n">
        <v>5758.3</v>
      </c>
      <c r="U1706" s="1" t="n">
        <v>8180.88</v>
      </c>
      <c r="V1706" s="1" t="n">
        <v>58.69</v>
      </c>
      <c r="W1706" s="1" t="s">
        <v>39</v>
      </c>
      <c r="X1706" s="1" t="n">
        <v>3.5</v>
      </c>
      <c r="Y1706" s="1" t="s">
        <v>40</v>
      </c>
      <c r="Z1706" s="1" t="n">
        <v>0</v>
      </c>
      <c r="AA1706" s="1" t="str">
        <f aca="false">TRIM(PROPER(F1706))</f>
        <v>Mysuru</v>
      </c>
      <c r="AB1706" s="1" t="str">
        <f aca="false">TRIM(PROPER(C1706))</f>
        <v>Doubtnut</v>
      </c>
      <c r="AC1706" s="1" t="str">
        <f aca="false">IF(O1706=0,"No Discount",IF(O1706&lt;=15,"Low (1-15%)",IF(O1706&lt;=30,"Medium (16-30%)","High (&gt;30%)")))</f>
        <v>No Discount</v>
      </c>
      <c r="AD1706" s="1" t="str">
        <f aca="false">IF(V1706&lt;0,"Loss Making",IF(V1706&lt;20,"Low Margin","Healthy Margin"))</f>
        <v>Healthy Margin</v>
      </c>
      <c r="AE1706" s="1" t="str">
        <f aca="false">TEXT(DATE(VALUE(RIGHT(B1706,4)),VALUE(MID(B1706,4,2)),VALUE(LEFT(B1706,2))),"MMM-YYYY")</f>
        <v>Sep-2024</v>
      </c>
      <c r="AF1706" s="1" t="n">
        <f aca="false">VALUE(RIGHT(B1706,4))</f>
        <v>2024</v>
      </c>
      <c r="AG1706" s="1" t="str">
        <f aca="false">CHOOSE(ROUNDUP(VALUE(MID(B1706,4,2))/3,0),"Q1","Q2","Q3","Q4")</f>
        <v>Q3</v>
      </c>
    </row>
    <row r="1707" customFormat="false" ht="15" hidden="false" customHeight="true" outlineLevel="0" collapsed="false">
      <c r="A1707" s="1" t="s">
        <v>2536</v>
      </c>
      <c r="B1707" s="1" t="s">
        <v>472</v>
      </c>
      <c r="C1707" s="1" t="s">
        <v>178</v>
      </c>
      <c r="D1707" s="1" t="s">
        <v>123</v>
      </c>
      <c r="E1707" s="1" t="s">
        <v>233</v>
      </c>
      <c r="F1707" s="1" t="s">
        <v>187</v>
      </c>
      <c r="G1707" s="1" t="s">
        <v>97</v>
      </c>
      <c r="H1707" s="1" t="s">
        <v>69</v>
      </c>
      <c r="I1707" s="1" t="s">
        <v>34</v>
      </c>
      <c r="J1707" s="1" t="s">
        <v>70</v>
      </c>
      <c r="K1707" s="1" t="s">
        <v>71</v>
      </c>
      <c r="L1707" s="1" t="s">
        <v>85</v>
      </c>
      <c r="M1707" s="1" t="s">
        <v>38</v>
      </c>
      <c r="N1707" s="1" t="n">
        <v>8999</v>
      </c>
      <c r="O1707" s="1" t="n">
        <v>15</v>
      </c>
      <c r="P1707" s="1" t="n">
        <v>1349.85</v>
      </c>
      <c r="Q1707" s="1" t="n">
        <v>7649.15</v>
      </c>
      <c r="R1707" s="1" t="n">
        <v>1376.85</v>
      </c>
      <c r="S1707" s="1" t="n">
        <v>6272.3</v>
      </c>
      <c r="T1707" s="1" t="n">
        <v>3424.1</v>
      </c>
      <c r="U1707" s="1" t="n">
        <v>2848.2</v>
      </c>
      <c r="V1707" s="1" t="n">
        <v>45.41</v>
      </c>
      <c r="W1707" s="1" t="s">
        <v>40</v>
      </c>
      <c r="Y1707" s="1" t="s">
        <v>39</v>
      </c>
      <c r="Z1707" s="1" t="n">
        <v>1</v>
      </c>
      <c r="AA1707" s="1" t="str">
        <f aca="false">TRIM(PROPER(F1707))</f>
        <v>Mumbai</v>
      </c>
      <c r="AB1707" s="1" t="str">
        <f aca="false">TRIM(PROPER(C1707))</f>
        <v>Leverage Edu</v>
      </c>
      <c r="AC1707" s="1" t="str">
        <f aca="false">IF(O1707=0,"No Discount",IF(O1707&lt;=15,"Low (1-15%)",IF(O1707&lt;=30,"Medium (16-30%)","High (&gt;30%)")))</f>
        <v>Low (1-15%)</v>
      </c>
      <c r="AD1707" s="1" t="str">
        <f aca="false">IF(V1707&lt;0,"Loss Making",IF(V1707&lt;20,"Low Margin","Healthy Margin"))</f>
        <v>Healthy Margin</v>
      </c>
      <c r="AE1707" s="1" t="str">
        <f aca="false">TEXT(DATE(VALUE(RIGHT(B1707,4)),VALUE(MID(B1707,4,2)),VALUE(LEFT(B1707,2))),"MMM-YYYY")</f>
        <v>Dec-2023</v>
      </c>
      <c r="AF1707" s="1" t="n">
        <f aca="false">VALUE(RIGHT(B1707,4))</f>
        <v>2023</v>
      </c>
      <c r="AG1707" s="1" t="str">
        <f aca="false">CHOOSE(ROUNDUP(VALUE(MID(B1707,4,2))/3,0),"Q1","Q2","Q3","Q4")</f>
        <v>Q4</v>
      </c>
    </row>
    <row r="1708" customFormat="false" ht="15" hidden="false" customHeight="true" outlineLevel="0" collapsed="false">
      <c r="A1708" s="1" t="s">
        <v>2537</v>
      </c>
      <c r="B1708" s="1" t="s">
        <v>1553</v>
      </c>
      <c r="C1708" s="1" t="s">
        <v>100</v>
      </c>
      <c r="D1708" s="1" t="s">
        <v>44</v>
      </c>
      <c r="E1708" s="1" t="s">
        <v>45</v>
      </c>
      <c r="F1708" s="1" t="s">
        <v>75</v>
      </c>
      <c r="G1708" s="1" t="s">
        <v>76</v>
      </c>
      <c r="H1708" s="1" t="s">
        <v>69</v>
      </c>
      <c r="I1708" s="1" t="s">
        <v>58</v>
      </c>
      <c r="J1708" s="1" t="s">
        <v>70</v>
      </c>
      <c r="K1708" s="1" t="s">
        <v>36</v>
      </c>
      <c r="L1708" s="1" t="s">
        <v>61</v>
      </c>
      <c r="M1708" s="1" t="s">
        <v>38</v>
      </c>
      <c r="N1708" s="1" t="n">
        <v>11999</v>
      </c>
      <c r="O1708" s="1" t="n">
        <v>5</v>
      </c>
      <c r="P1708" s="1" t="n">
        <v>599.95</v>
      </c>
      <c r="Q1708" s="1" t="n">
        <v>11399.05</v>
      </c>
      <c r="R1708" s="1" t="n">
        <v>2051.83</v>
      </c>
      <c r="S1708" s="1" t="n">
        <v>9347.22</v>
      </c>
      <c r="T1708" s="1" t="n">
        <v>4248.21</v>
      </c>
      <c r="U1708" s="1" t="n">
        <v>5099.01</v>
      </c>
      <c r="V1708" s="1" t="n">
        <v>54.55</v>
      </c>
      <c r="W1708" s="1" t="s">
        <v>39</v>
      </c>
      <c r="X1708" s="1" t="n">
        <v>3.7</v>
      </c>
      <c r="Y1708" s="1" t="s">
        <v>40</v>
      </c>
      <c r="Z1708" s="1" t="n">
        <v>1</v>
      </c>
      <c r="AA1708" s="1" t="str">
        <f aca="false">TRIM(PROPER(F1708))</f>
        <v>Kolkata</v>
      </c>
      <c r="AB1708" s="1" t="str">
        <f aca="false">TRIM(PROPER(C1708))</f>
        <v>Physics Wallah</v>
      </c>
      <c r="AC1708" s="1" t="str">
        <f aca="false">IF(O1708=0,"No Discount",IF(O1708&lt;=15,"Low (1-15%)",IF(O1708&lt;=30,"Medium (16-30%)","High (&gt;30%)")))</f>
        <v>Low (1-15%)</v>
      </c>
      <c r="AD1708" s="1" t="str">
        <f aca="false">IF(V1708&lt;0,"Loss Making",IF(V1708&lt;20,"Low Margin","Healthy Margin"))</f>
        <v>Healthy Margin</v>
      </c>
      <c r="AE1708" s="1" t="str">
        <f aca="false">TEXT(DATE(VALUE(RIGHT(B1708,4)),VALUE(MID(B1708,4,2)),VALUE(LEFT(B1708,2))),"MMM-YYYY")</f>
        <v>May-2023</v>
      </c>
      <c r="AF1708" s="1" t="n">
        <f aca="false">VALUE(RIGHT(B1708,4))</f>
        <v>2023</v>
      </c>
      <c r="AG1708" s="1" t="str">
        <f aca="false">CHOOSE(ROUNDUP(VALUE(MID(B1708,4,2))/3,0),"Q1","Q2","Q3","Q4")</f>
        <v>Q2</v>
      </c>
    </row>
    <row r="1709" customFormat="false" ht="15" hidden="false" customHeight="true" outlineLevel="0" collapsed="false">
      <c r="A1709" s="1" t="s">
        <v>2538</v>
      </c>
      <c r="B1709" s="1" t="s">
        <v>712</v>
      </c>
      <c r="C1709" s="1" t="s">
        <v>134</v>
      </c>
      <c r="D1709" s="1" t="s">
        <v>168</v>
      </c>
      <c r="E1709" s="1" t="s">
        <v>172</v>
      </c>
      <c r="F1709" s="1" t="s">
        <v>604</v>
      </c>
      <c r="G1709" s="1" t="s">
        <v>56</v>
      </c>
      <c r="H1709" s="1" t="s">
        <v>57</v>
      </c>
      <c r="I1709" s="1" t="s">
        <v>34</v>
      </c>
      <c r="J1709" s="1" t="s">
        <v>70</v>
      </c>
      <c r="K1709" s="1" t="s">
        <v>48</v>
      </c>
      <c r="L1709" s="1" t="s">
        <v>49</v>
      </c>
      <c r="M1709" s="1" t="s">
        <v>38</v>
      </c>
      <c r="N1709" s="1" t="n">
        <v>6999</v>
      </c>
      <c r="O1709" s="1" t="n">
        <v>40</v>
      </c>
      <c r="P1709" s="1" t="n">
        <v>2799.6</v>
      </c>
      <c r="Q1709" s="1" t="n">
        <v>4199.4</v>
      </c>
      <c r="R1709" s="1" t="n">
        <v>755.89</v>
      </c>
      <c r="S1709" s="1" t="n">
        <v>3443.51</v>
      </c>
      <c r="T1709" s="1" t="n">
        <v>1865.67</v>
      </c>
      <c r="U1709" s="1" t="n">
        <v>1577.84</v>
      </c>
      <c r="V1709" s="1" t="n">
        <v>45.82</v>
      </c>
      <c r="W1709" s="1" t="s">
        <v>40</v>
      </c>
      <c r="Y1709" s="1" t="s">
        <v>40</v>
      </c>
      <c r="Z1709" s="1" t="n">
        <v>0</v>
      </c>
      <c r="AA1709" s="1" t="str">
        <f aca="false">TRIM(PROPER(F1709))</f>
        <v>Faridabad</v>
      </c>
      <c r="AB1709" s="1" t="str">
        <f aca="false">TRIM(PROPER(C1709))</f>
        <v>Doubtnut</v>
      </c>
      <c r="AC1709" s="1" t="str">
        <f aca="false">IF(O1709=0,"No Discount",IF(O1709&lt;=15,"Low (1-15%)",IF(O1709&lt;=30,"Medium (16-30%)","High (&gt;30%)")))</f>
        <v>High (&gt;30%)</v>
      </c>
      <c r="AD1709" s="1" t="str">
        <f aca="false">IF(V1709&lt;0,"Loss Making",IF(V1709&lt;20,"Low Margin","Healthy Margin"))</f>
        <v>Healthy Margin</v>
      </c>
      <c r="AE1709" s="1" t="str">
        <f aca="false">TEXT(DATE(VALUE(RIGHT(B1709,4)),VALUE(MID(B1709,4,2)),VALUE(LEFT(B1709,2))),"MMM-YYYY")</f>
        <v>Jan-2024</v>
      </c>
      <c r="AF1709" s="1" t="n">
        <f aca="false">VALUE(RIGHT(B1709,4))</f>
        <v>2024</v>
      </c>
      <c r="AG1709" s="1" t="str">
        <f aca="false">CHOOSE(ROUNDUP(VALUE(MID(B1709,4,2))/3,0),"Q1","Q2","Q3","Q4")</f>
        <v>Q1</v>
      </c>
    </row>
    <row r="1710" customFormat="false" ht="15" hidden="false" customHeight="true" outlineLevel="0" collapsed="false">
      <c r="A1710" s="1" t="s">
        <v>2539</v>
      </c>
      <c r="B1710" s="1" t="s">
        <v>974</v>
      </c>
      <c r="C1710" s="1" t="s">
        <v>264</v>
      </c>
      <c r="D1710" s="1" t="s">
        <v>123</v>
      </c>
      <c r="E1710" s="1" t="s">
        <v>124</v>
      </c>
      <c r="F1710" s="1" t="s">
        <v>150</v>
      </c>
      <c r="G1710" s="1" t="s">
        <v>32</v>
      </c>
      <c r="H1710" s="1" t="s">
        <v>57</v>
      </c>
      <c r="I1710" s="1" t="s">
        <v>58</v>
      </c>
      <c r="J1710" s="1" t="s">
        <v>59</v>
      </c>
      <c r="K1710" s="1" t="s">
        <v>48</v>
      </c>
      <c r="L1710" s="1" t="s">
        <v>85</v>
      </c>
      <c r="M1710" s="1" t="s">
        <v>38</v>
      </c>
      <c r="N1710" s="1" t="n">
        <v>4999</v>
      </c>
      <c r="O1710" s="1" t="n">
        <v>20</v>
      </c>
      <c r="P1710" s="1" t="n">
        <v>999.8</v>
      </c>
      <c r="Q1710" s="1" t="n">
        <v>3999.2</v>
      </c>
      <c r="R1710" s="1" t="n">
        <v>719.86</v>
      </c>
      <c r="S1710" s="1" t="n">
        <v>3279.34</v>
      </c>
      <c r="T1710" s="1" t="n">
        <v>1593.28</v>
      </c>
      <c r="U1710" s="1" t="n">
        <v>1686.06</v>
      </c>
      <c r="V1710" s="1" t="n">
        <v>51.41</v>
      </c>
      <c r="W1710" s="1" t="s">
        <v>39</v>
      </c>
      <c r="X1710" s="1" t="n">
        <v>3.7</v>
      </c>
      <c r="Y1710" s="1" t="s">
        <v>40</v>
      </c>
      <c r="Z1710" s="1" t="n">
        <v>0</v>
      </c>
      <c r="AA1710" s="1" t="str">
        <f aca="false">TRIM(PROPER(F1710))</f>
        <v>Jaipur</v>
      </c>
      <c r="AB1710" s="1" t="str">
        <f aca="false">TRIM(PROPER(C1710))</f>
        <v>Unacademy</v>
      </c>
      <c r="AC1710" s="1" t="str">
        <f aca="false">IF(O1710=0,"No Discount",IF(O1710&lt;=15,"Low (1-15%)",IF(O1710&lt;=30,"Medium (16-30%)","High (&gt;30%)")))</f>
        <v>Medium (16-30%)</v>
      </c>
      <c r="AD1710" s="1" t="str">
        <f aca="false">IF(V1710&lt;0,"Loss Making",IF(V1710&lt;20,"Low Margin","Healthy Margin"))</f>
        <v>Healthy Margin</v>
      </c>
      <c r="AE1710" s="1" t="str">
        <f aca="false">TEXT(DATE(VALUE(RIGHT(B1710,4)),VALUE(MID(B1710,4,2)),VALUE(LEFT(B1710,2))),"MMM-YYYY")</f>
        <v>Feb-2023</v>
      </c>
      <c r="AF1710" s="1" t="n">
        <f aca="false">VALUE(RIGHT(B1710,4))</f>
        <v>2023</v>
      </c>
      <c r="AG1710" s="1" t="str">
        <f aca="false">CHOOSE(ROUNDUP(VALUE(MID(B1710,4,2))/3,0),"Q1","Q2","Q3","Q4")</f>
        <v>Q1</v>
      </c>
    </row>
    <row r="1711" customFormat="false" ht="15" hidden="false" customHeight="true" outlineLevel="0" collapsed="false">
      <c r="A1711" s="1" t="s">
        <v>2540</v>
      </c>
      <c r="B1711" s="1" t="s">
        <v>643</v>
      </c>
      <c r="C1711" s="1" t="s">
        <v>178</v>
      </c>
      <c r="D1711" s="1" t="s">
        <v>53</v>
      </c>
      <c r="E1711" s="1" t="s">
        <v>216</v>
      </c>
      <c r="F1711" s="1" t="s">
        <v>82</v>
      </c>
      <c r="G1711" s="1" t="s">
        <v>56</v>
      </c>
      <c r="H1711" s="1" t="s">
        <v>69</v>
      </c>
      <c r="I1711" s="1" t="s">
        <v>34</v>
      </c>
      <c r="J1711" s="1" t="s">
        <v>131</v>
      </c>
      <c r="K1711" s="1" t="s">
        <v>71</v>
      </c>
      <c r="L1711" s="1" t="s">
        <v>85</v>
      </c>
      <c r="M1711" s="1" t="s">
        <v>38</v>
      </c>
      <c r="N1711" s="1" t="n">
        <v>7499</v>
      </c>
      <c r="O1711" s="1" t="n">
        <v>20</v>
      </c>
      <c r="P1711" s="1" t="n">
        <v>1499.8</v>
      </c>
      <c r="Q1711" s="1" t="n">
        <v>5999.2</v>
      </c>
      <c r="R1711" s="1" t="n">
        <v>1079.86</v>
      </c>
      <c r="S1711" s="1" t="n">
        <v>4919.34</v>
      </c>
      <c r="T1711" s="1" t="n">
        <v>2182</v>
      </c>
      <c r="U1711" s="1" t="n">
        <v>2737.34</v>
      </c>
      <c r="V1711" s="1" t="n">
        <v>55.64</v>
      </c>
      <c r="W1711" s="1" t="s">
        <v>40</v>
      </c>
      <c r="Y1711" s="1" t="s">
        <v>40</v>
      </c>
      <c r="Z1711" s="1" t="n">
        <v>0</v>
      </c>
      <c r="AA1711" s="1" t="str">
        <f aca="false">TRIM(PROPER(F1711))</f>
        <v>Gurugram</v>
      </c>
      <c r="AB1711" s="1" t="str">
        <f aca="false">TRIM(PROPER(C1711))</f>
        <v>Leverage Edu</v>
      </c>
      <c r="AC1711" s="1" t="str">
        <f aca="false">IF(O1711=0,"No Discount",IF(O1711&lt;=15,"Low (1-15%)",IF(O1711&lt;=30,"Medium (16-30%)","High (&gt;30%)")))</f>
        <v>Medium (16-30%)</v>
      </c>
      <c r="AD1711" s="1" t="str">
        <f aca="false">IF(V1711&lt;0,"Loss Making",IF(V1711&lt;20,"Low Margin","Healthy Margin"))</f>
        <v>Healthy Margin</v>
      </c>
      <c r="AE1711" s="1" t="str">
        <f aca="false">TEXT(DATE(VALUE(RIGHT(B1711,4)),VALUE(MID(B1711,4,2)),VALUE(LEFT(B1711,2))),"MMM-YYYY")</f>
        <v>Aug-2024</v>
      </c>
      <c r="AF1711" s="1" t="n">
        <f aca="false">VALUE(RIGHT(B1711,4))</f>
        <v>2024</v>
      </c>
      <c r="AG1711" s="1" t="str">
        <f aca="false">CHOOSE(ROUNDUP(VALUE(MID(B1711,4,2))/3,0),"Q1","Q2","Q3","Q4")</f>
        <v>Q3</v>
      </c>
    </row>
    <row r="1712" customFormat="false" ht="15" hidden="false" customHeight="true" outlineLevel="0" collapsed="false">
      <c r="A1712" s="1" t="s">
        <v>2541</v>
      </c>
      <c r="B1712" s="1" t="s">
        <v>261</v>
      </c>
      <c r="C1712" s="1" t="s">
        <v>119</v>
      </c>
      <c r="D1712" s="1" t="s">
        <v>29</v>
      </c>
      <c r="E1712" s="1" t="s">
        <v>305</v>
      </c>
      <c r="F1712" s="1" t="s">
        <v>75</v>
      </c>
      <c r="G1712" s="1" t="s">
        <v>76</v>
      </c>
      <c r="H1712" s="1" t="s">
        <v>69</v>
      </c>
      <c r="I1712" s="1" t="s">
        <v>58</v>
      </c>
      <c r="J1712" s="1" t="s">
        <v>77</v>
      </c>
      <c r="K1712" s="1" t="s">
        <v>48</v>
      </c>
      <c r="L1712" s="1" t="s">
        <v>136</v>
      </c>
      <c r="M1712" s="1" t="s">
        <v>62</v>
      </c>
      <c r="N1712" s="1" t="n">
        <v>24999</v>
      </c>
      <c r="O1712" s="1" t="n">
        <v>0</v>
      </c>
      <c r="P1712" s="1" t="n">
        <v>0</v>
      </c>
      <c r="Q1712" s="1" t="n">
        <v>24999</v>
      </c>
      <c r="R1712" s="1" t="n">
        <v>4499.82</v>
      </c>
      <c r="S1712" s="1" t="n">
        <v>20499.18</v>
      </c>
      <c r="T1712" s="1" t="n">
        <v>6929.79</v>
      </c>
      <c r="U1712" s="1" t="n">
        <v>13569.39</v>
      </c>
      <c r="V1712" s="1" t="n">
        <v>66.19</v>
      </c>
      <c r="W1712" s="1" t="s">
        <v>40</v>
      </c>
      <c r="Y1712" s="1" t="s">
        <v>40</v>
      </c>
      <c r="Z1712" s="1" t="n">
        <v>0</v>
      </c>
      <c r="AA1712" s="1" t="str">
        <f aca="false">TRIM(PROPER(F1712))</f>
        <v>Kolkata</v>
      </c>
      <c r="AB1712" s="1" t="str">
        <f aca="false">TRIM(PROPER(C1712))</f>
        <v>Simplilearn</v>
      </c>
      <c r="AC1712" s="1" t="str">
        <f aca="false">IF(O1712=0,"No Discount",IF(O1712&lt;=15,"Low (1-15%)",IF(O1712&lt;=30,"Medium (16-30%)","High (&gt;30%)")))</f>
        <v>No Discount</v>
      </c>
      <c r="AD1712" s="1" t="str">
        <f aca="false">IF(V1712&lt;0,"Loss Making",IF(V1712&lt;20,"Low Margin","Healthy Margin"))</f>
        <v>Healthy Margin</v>
      </c>
      <c r="AE1712" s="1" t="str">
        <f aca="false">TEXT(DATE(VALUE(RIGHT(B1712,4)),VALUE(MID(B1712,4,2)),VALUE(LEFT(B1712,2))),"MMM-YYYY")</f>
        <v>Feb-2024</v>
      </c>
      <c r="AF1712" s="1" t="n">
        <f aca="false">VALUE(RIGHT(B1712,4))</f>
        <v>2024</v>
      </c>
      <c r="AG1712" s="1" t="str">
        <f aca="false">CHOOSE(ROUNDUP(VALUE(MID(B1712,4,2))/3,0),"Q1","Q2","Q3","Q4")</f>
        <v>Q1</v>
      </c>
    </row>
    <row r="1713" customFormat="false" ht="15" hidden="false" customHeight="true" outlineLevel="0" collapsed="false">
      <c r="A1713" s="1" t="s">
        <v>2542</v>
      </c>
      <c r="B1713" s="1" t="s">
        <v>819</v>
      </c>
      <c r="C1713" s="1" t="s">
        <v>264</v>
      </c>
      <c r="D1713" s="1" t="s">
        <v>94</v>
      </c>
      <c r="E1713" s="1" t="s">
        <v>95</v>
      </c>
      <c r="F1713" s="1" t="s">
        <v>31</v>
      </c>
      <c r="G1713" s="1" t="s">
        <v>32</v>
      </c>
      <c r="H1713" s="1" t="s">
        <v>33</v>
      </c>
      <c r="I1713" s="1" t="s">
        <v>83</v>
      </c>
      <c r="J1713" s="1" t="s">
        <v>35</v>
      </c>
      <c r="K1713" s="1" t="s">
        <v>104</v>
      </c>
      <c r="L1713" s="1" t="s">
        <v>113</v>
      </c>
      <c r="M1713" s="1" t="s">
        <v>62</v>
      </c>
      <c r="N1713" s="1" t="n">
        <v>6999</v>
      </c>
      <c r="O1713" s="1" t="n">
        <v>15</v>
      </c>
      <c r="P1713" s="1" t="n">
        <v>1049.85</v>
      </c>
      <c r="Q1713" s="1" t="n">
        <v>5949.15</v>
      </c>
      <c r="R1713" s="1" t="n">
        <v>1070.85</v>
      </c>
      <c r="S1713" s="1" t="n">
        <v>4878.3</v>
      </c>
      <c r="T1713" s="1" t="n">
        <v>2362.28</v>
      </c>
      <c r="U1713" s="1" t="n">
        <v>2516.02</v>
      </c>
      <c r="V1713" s="1" t="n">
        <v>51.58</v>
      </c>
      <c r="W1713" s="1" t="s">
        <v>39</v>
      </c>
      <c r="X1713" s="1" t="n">
        <v>4.3</v>
      </c>
      <c r="Y1713" s="1" t="s">
        <v>40</v>
      </c>
      <c r="Z1713" s="1" t="n">
        <v>0</v>
      </c>
      <c r="AA1713" s="1" t="str">
        <f aca="false">TRIM(PROPER(F1713))</f>
        <v>Jodhpur</v>
      </c>
      <c r="AB1713" s="1" t="str">
        <f aca="false">TRIM(PROPER(C1713))</f>
        <v>Unacademy</v>
      </c>
      <c r="AC1713" s="1" t="str">
        <f aca="false">IF(O1713=0,"No Discount",IF(O1713&lt;=15,"Low (1-15%)",IF(O1713&lt;=30,"Medium (16-30%)","High (&gt;30%)")))</f>
        <v>Low (1-15%)</v>
      </c>
      <c r="AD1713" s="1" t="str">
        <f aca="false">IF(V1713&lt;0,"Loss Making",IF(V1713&lt;20,"Low Margin","Healthy Margin"))</f>
        <v>Healthy Margin</v>
      </c>
      <c r="AE1713" s="1" t="str">
        <f aca="false">TEXT(DATE(VALUE(RIGHT(B1713,4)),VALUE(MID(B1713,4,2)),VALUE(LEFT(B1713,2))),"MMM-YYYY")</f>
        <v>Mar-2023</v>
      </c>
      <c r="AF1713" s="1" t="n">
        <f aca="false">VALUE(RIGHT(B1713,4))</f>
        <v>2023</v>
      </c>
      <c r="AG1713" s="1" t="str">
        <f aca="false">CHOOSE(ROUNDUP(VALUE(MID(B1713,4,2))/3,0),"Q1","Q2","Q3","Q4")</f>
        <v>Q1</v>
      </c>
    </row>
    <row r="1714" customFormat="false" ht="15" hidden="false" customHeight="true" outlineLevel="0" collapsed="false">
      <c r="A1714" s="1" t="s">
        <v>2543</v>
      </c>
      <c r="B1714" s="1" t="s">
        <v>1298</v>
      </c>
      <c r="C1714" s="1" t="s">
        <v>139</v>
      </c>
      <c r="D1714" s="1" t="s">
        <v>53</v>
      </c>
      <c r="E1714" s="1" t="s">
        <v>54</v>
      </c>
      <c r="F1714" s="1" t="s">
        <v>130</v>
      </c>
      <c r="G1714" s="1" t="s">
        <v>47</v>
      </c>
      <c r="H1714" s="1" t="s">
        <v>69</v>
      </c>
      <c r="I1714" s="1" t="s">
        <v>34</v>
      </c>
      <c r="J1714" s="1" t="s">
        <v>59</v>
      </c>
      <c r="K1714" s="1" t="s">
        <v>112</v>
      </c>
      <c r="L1714" s="1" t="s">
        <v>113</v>
      </c>
      <c r="M1714" s="1" t="s">
        <v>50</v>
      </c>
      <c r="N1714" s="1" t="n">
        <v>11999</v>
      </c>
      <c r="O1714" s="1" t="n">
        <v>0</v>
      </c>
      <c r="P1714" s="1" t="n">
        <v>0</v>
      </c>
      <c r="Q1714" s="1" t="n">
        <v>11999</v>
      </c>
      <c r="R1714" s="1" t="n">
        <v>2159.82</v>
      </c>
      <c r="S1714" s="1" t="n">
        <v>9839.18</v>
      </c>
      <c r="T1714" s="1" t="n">
        <v>4160.13</v>
      </c>
      <c r="U1714" s="1" t="n">
        <v>5679.05</v>
      </c>
      <c r="V1714" s="1" t="n">
        <v>57.72</v>
      </c>
      <c r="W1714" s="1" t="s">
        <v>39</v>
      </c>
      <c r="X1714" s="1" t="n">
        <v>4.2</v>
      </c>
      <c r="Y1714" s="1" t="s">
        <v>40</v>
      </c>
      <c r="Z1714" s="1" t="n">
        <v>1</v>
      </c>
      <c r="AA1714" s="1" t="str">
        <f aca="false">TRIM(PROPER(F1714))</f>
        <v>Bengaluru</v>
      </c>
      <c r="AB1714" s="1" t="str">
        <f aca="false">TRIM(PROPER(C1714))</f>
        <v>Extramarks</v>
      </c>
      <c r="AC1714" s="1" t="str">
        <f aca="false">IF(O1714=0,"No Discount",IF(O1714&lt;=15,"Low (1-15%)",IF(O1714&lt;=30,"Medium (16-30%)","High (&gt;30%)")))</f>
        <v>No Discount</v>
      </c>
      <c r="AD1714" s="1" t="str">
        <f aca="false">IF(V1714&lt;0,"Loss Making",IF(V1714&lt;20,"Low Margin","Healthy Margin"))</f>
        <v>Healthy Margin</v>
      </c>
      <c r="AE1714" s="1" t="str">
        <f aca="false">TEXT(DATE(VALUE(RIGHT(B1714,4)),VALUE(MID(B1714,4,2)),VALUE(LEFT(B1714,2))),"MMM-YYYY")</f>
        <v>Feb-2024</v>
      </c>
      <c r="AF1714" s="1" t="n">
        <f aca="false">VALUE(RIGHT(B1714,4))</f>
        <v>2024</v>
      </c>
      <c r="AG1714" s="1" t="str">
        <f aca="false">CHOOSE(ROUNDUP(VALUE(MID(B1714,4,2))/3,0),"Q1","Q2","Q3","Q4")</f>
        <v>Q1</v>
      </c>
    </row>
    <row r="1715" customFormat="false" ht="15" hidden="false" customHeight="true" outlineLevel="0" collapsed="false">
      <c r="A1715" s="1" t="s">
        <v>2544</v>
      </c>
      <c r="B1715" s="1" t="s">
        <v>795</v>
      </c>
      <c r="C1715" s="1" t="s">
        <v>119</v>
      </c>
      <c r="D1715" s="1" t="s">
        <v>143</v>
      </c>
      <c r="E1715" s="1" t="s">
        <v>159</v>
      </c>
      <c r="F1715" s="1" t="s">
        <v>205</v>
      </c>
      <c r="G1715" s="1" t="s">
        <v>56</v>
      </c>
      <c r="H1715" s="1" t="s">
        <v>69</v>
      </c>
      <c r="I1715" s="1" t="s">
        <v>58</v>
      </c>
      <c r="J1715" s="1" t="s">
        <v>77</v>
      </c>
      <c r="K1715" s="1" t="s">
        <v>112</v>
      </c>
      <c r="L1715" s="1" t="s">
        <v>37</v>
      </c>
      <c r="M1715" s="1" t="s">
        <v>50</v>
      </c>
      <c r="N1715" s="1" t="n">
        <v>24999</v>
      </c>
      <c r="O1715" s="1" t="n">
        <v>0</v>
      </c>
      <c r="P1715" s="1" t="n">
        <v>0</v>
      </c>
      <c r="Q1715" s="1" t="n">
        <v>24999</v>
      </c>
      <c r="R1715" s="1" t="n">
        <v>4499.82</v>
      </c>
      <c r="S1715" s="1" t="n">
        <v>20499.18</v>
      </c>
      <c r="T1715" s="1" t="n">
        <v>7606.09</v>
      </c>
      <c r="U1715" s="1" t="n">
        <v>12893.09</v>
      </c>
      <c r="V1715" s="1" t="n">
        <v>62.9</v>
      </c>
      <c r="W1715" s="1" t="s">
        <v>39</v>
      </c>
      <c r="X1715" s="1" t="n">
        <v>3.7</v>
      </c>
      <c r="Y1715" s="1" t="s">
        <v>40</v>
      </c>
      <c r="Z1715" s="1" t="n">
        <v>0</v>
      </c>
      <c r="AA1715" s="1" t="str">
        <f aca="false">TRIM(PROPER(F1715))</f>
        <v>New Delhi</v>
      </c>
      <c r="AB1715" s="1" t="str">
        <f aca="false">TRIM(PROPER(C1715))</f>
        <v>Simplilearn</v>
      </c>
      <c r="AC1715" s="1" t="str">
        <f aca="false">IF(O1715=0,"No Discount",IF(O1715&lt;=15,"Low (1-15%)",IF(O1715&lt;=30,"Medium (16-30%)","High (&gt;30%)")))</f>
        <v>No Discount</v>
      </c>
      <c r="AD1715" s="1" t="str">
        <f aca="false">IF(V1715&lt;0,"Loss Making",IF(V1715&lt;20,"Low Margin","Healthy Margin"))</f>
        <v>Healthy Margin</v>
      </c>
      <c r="AE1715" s="1" t="str">
        <f aca="false">TEXT(DATE(VALUE(RIGHT(B1715,4)),VALUE(MID(B1715,4,2)),VALUE(LEFT(B1715,2))),"MMM-YYYY")</f>
        <v>May-2024</v>
      </c>
      <c r="AF1715" s="1" t="n">
        <f aca="false">VALUE(RIGHT(B1715,4))</f>
        <v>2024</v>
      </c>
      <c r="AG1715" s="1" t="str">
        <f aca="false">CHOOSE(ROUNDUP(VALUE(MID(B1715,4,2))/3,0),"Q1","Q2","Q3","Q4")</f>
        <v>Q2</v>
      </c>
    </row>
    <row r="1716" customFormat="false" ht="15" hidden="false" customHeight="true" outlineLevel="0" collapsed="false">
      <c r="A1716" s="1" t="s">
        <v>2545</v>
      </c>
      <c r="B1716" s="1" t="s">
        <v>385</v>
      </c>
      <c r="C1716" s="1" t="s">
        <v>128</v>
      </c>
      <c r="D1716" s="1" t="s">
        <v>94</v>
      </c>
      <c r="E1716" s="1" t="s">
        <v>135</v>
      </c>
      <c r="F1716" s="1" t="s">
        <v>89</v>
      </c>
      <c r="G1716" s="1" t="s">
        <v>68</v>
      </c>
      <c r="H1716" s="1" t="s">
        <v>33</v>
      </c>
      <c r="I1716" s="1" t="s">
        <v>58</v>
      </c>
      <c r="J1716" s="1" t="s">
        <v>70</v>
      </c>
      <c r="K1716" s="1" t="s">
        <v>112</v>
      </c>
      <c r="L1716" s="1" t="s">
        <v>136</v>
      </c>
      <c r="M1716" s="1" t="s">
        <v>50</v>
      </c>
      <c r="N1716" s="1" t="n">
        <v>9999</v>
      </c>
      <c r="O1716" s="1" t="n">
        <v>0</v>
      </c>
      <c r="P1716" s="1" t="n">
        <v>0</v>
      </c>
      <c r="Q1716" s="1" t="n">
        <v>9999</v>
      </c>
      <c r="R1716" s="1" t="n">
        <v>1799.82</v>
      </c>
      <c r="S1716" s="1" t="n">
        <v>8199.18</v>
      </c>
      <c r="T1716" s="1" t="n">
        <v>3697.11</v>
      </c>
      <c r="U1716" s="1" t="n">
        <v>4502.07</v>
      </c>
      <c r="V1716" s="1" t="n">
        <v>54.91</v>
      </c>
      <c r="W1716" s="1" t="s">
        <v>39</v>
      </c>
      <c r="X1716" s="1" t="n">
        <v>3.9</v>
      </c>
      <c r="Y1716" s="1" t="s">
        <v>40</v>
      </c>
      <c r="Z1716" s="1" t="n">
        <v>0</v>
      </c>
      <c r="AA1716" s="1" t="str">
        <f aca="false">TRIM(PROPER(F1716))</f>
        <v>Vadodara</v>
      </c>
      <c r="AB1716" s="1" t="str">
        <f aca="false">TRIM(PROPER(C1716))</f>
        <v>Great Learning</v>
      </c>
      <c r="AC1716" s="1" t="str">
        <f aca="false">IF(O1716=0,"No Discount",IF(O1716&lt;=15,"Low (1-15%)",IF(O1716&lt;=30,"Medium (16-30%)","High (&gt;30%)")))</f>
        <v>No Discount</v>
      </c>
      <c r="AD1716" s="1" t="str">
        <f aca="false">IF(V1716&lt;0,"Loss Making",IF(V1716&lt;20,"Low Margin","Healthy Margin"))</f>
        <v>Healthy Margin</v>
      </c>
      <c r="AE1716" s="1" t="str">
        <f aca="false">TEXT(DATE(VALUE(RIGHT(B1716,4)),VALUE(MID(B1716,4,2)),VALUE(LEFT(B1716,2))),"MMM-YYYY")</f>
        <v>Jul-2023</v>
      </c>
      <c r="AF1716" s="1" t="n">
        <f aca="false">VALUE(RIGHT(B1716,4))</f>
        <v>2023</v>
      </c>
      <c r="AG1716" s="1" t="str">
        <f aca="false">CHOOSE(ROUNDUP(VALUE(MID(B1716,4,2))/3,0),"Q1","Q2","Q3","Q4")</f>
        <v>Q3</v>
      </c>
    </row>
    <row r="1717" customFormat="false" ht="15" hidden="false" customHeight="true" outlineLevel="0" collapsed="false">
      <c r="A1717" s="1" t="s">
        <v>2546</v>
      </c>
      <c r="B1717" s="1" t="s">
        <v>968</v>
      </c>
      <c r="C1717" s="1" t="s">
        <v>128</v>
      </c>
      <c r="D1717" s="1" t="s">
        <v>123</v>
      </c>
      <c r="E1717" s="1" t="s">
        <v>124</v>
      </c>
      <c r="F1717" s="1" t="s">
        <v>205</v>
      </c>
      <c r="G1717" s="1" t="s">
        <v>56</v>
      </c>
      <c r="H1717" s="1" t="s">
        <v>69</v>
      </c>
      <c r="I1717" s="1" t="s">
        <v>83</v>
      </c>
      <c r="J1717" s="1" t="s">
        <v>131</v>
      </c>
      <c r="K1717" s="1" t="s">
        <v>48</v>
      </c>
      <c r="L1717" s="1" t="s">
        <v>85</v>
      </c>
      <c r="M1717" s="1" t="s">
        <v>62</v>
      </c>
      <c r="N1717" s="1" t="n">
        <v>4999</v>
      </c>
      <c r="O1717" s="1" t="n">
        <v>0</v>
      </c>
      <c r="P1717" s="1" t="n">
        <v>0</v>
      </c>
      <c r="Q1717" s="1" t="n">
        <v>4999</v>
      </c>
      <c r="R1717" s="1" t="n">
        <v>899.82</v>
      </c>
      <c r="S1717" s="1" t="n">
        <v>4099.18</v>
      </c>
      <c r="T1717" s="1" t="n">
        <v>1888.59</v>
      </c>
      <c r="U1717" s="1" t="n">
        <v>2210.59</v>
      </c>
      <c r="V1717" s="1" t="n">
        <v>53.93</v>
      </c>
      <c r="W1717" s="1" t="s">
        <v>39</v>
      </c>
      <c r="X1717" s="1" t="n">
        <v>3.8</v>
      </c>
      <c r="Y1717" s="1" t="s">
        <v>40</v>
      </c>
      <c r="Z1717" s="1" t="n">
        <v>0</v>
      </c>
      <c r="AA1717" s="1" t="str">
        <f aca="false">TRIM(PROPER(F1717))</f>
        <v>New Delhi</v>
      </c>
      <c r="AB1717" s="1" t="str">
        <f aca="false">TRIM(PROPER(C1717))</f>
        <v>Great Learning</v>
      </c>
      <c r="AC1717" s="1" t="str">
        <f aca="false">IF(O1717=0,"No Discount",IF(O1717&lt;=15,"Low (1-15%)",IF(O1717&lt;=30,"Medium (16-30%)","High (&gt;30%)")))</f>
        <v>No Discount</v>
      </c>
      <c r="AD1717" s="1" t="str">
        <f aca="false">IF(V1717&lt;0,"Loss Making",IF(V1717&lt;20,"Low Margin","Healthy Margin"))</f>
        <v>Healthy Margin</v>
      </c>
      <c r="AE1717" s="1" t="str">
        <f aca="false">TEXT(DATE(VALUE(RIGHT(B1717,4)),VALUE(MID(B1717,4,2)),VALUE(LEFT(B1717,2))),"MMM-YYYY")</f>
        <v>Jun-2023</v>
      </c>
      <c r="AF1717" s="1" t="n">
        <f aca="false">VALUE(RIGHT(B1717,4))</f>
        <v>2023</v>
      </c>
      <c r="AG1717" s="1" t="str">
        <f aca="false">CHOOSE(ROUNDUP(VALUE(MID(B1717,4,2))/3,0),"Q1","Q2","Q3","Q4")</f>
        <v>Q2</v>
      </c>
    </row>
    <row r="1718" customFormat="false" ht="15" hidden="false" customHeight="true" outlineLevel="0" collapsed="false">
      <c r="A1718" s="1" t="s">
        <v>2547</v>
      </c>
      <c r="B1718" s="1" t="s">
        <v>825</v>
      </c>
      <c r="C1718" s="1" t="s">
        <v>28</v>
      </c>
      <c r="D1718" s="1" t="s">
        <v>53</v>
      </c>
      <c r="E1718" s="1" t="s">
        <v>216</v>
      </c>
      <c r="F1718" s="1" t="s">
        <v>67</v>
      </c>
      <c r="G1718" s="1" t="s">
        <v>68</v>
      </c>
      <c r="H1718" s="1" t="s">
        <v>69</v>
      </c>
      <c r="I1718" s="1" t="s">
        <v>58</v>
      </c>
      <c r="J1718" s="1" t="s">
        <v>35</v>
      </c>
      <c r="K1718" s="1" t="s">
        <v>90</v>
      </c>
      <c r="L1718" s="1" t="s">
        <v>49</v>
      </c>
      <c r="M1718" s="1" t="s">
        <v>50</v>
      </c>
      <c r="N1718" s="1" t="n">
        <v>7499</v>
      </c>
      <c r="O1718" s="1" t="n">
        <v>10</v>
      </c>
      <c r="P1718" s="1" t="n">
        <v>749.9</v>
      </c>
      <c r="Q1718" s="1" t="n">
        <v>6749.1</v>
      </c>
      <c r="R1718" s="1" t="n">
        <v>1214.84</v>
      </c>
      <c r="S1718" s="1" t="n">
        <v>5534.26</v>
      </c>
      <c r="T1718" s="1" t="n">
        <v>2415.92</v>
      </c>
      <c r="U1718" s="1" t="n">
        <v>3118.34</v>
      </c>
      <c r="V1718" s="1" t="n">
        <v>56.35</v>
      </c>
      <c r="W1718" s="1" t="s">
        <v>40</v>
      </c>
      <c r="Y1718" s="1" t="s">
        <v>40</v>
      </c>
      <c r="Z1718" s="1" t="n">
        <v>0</v>
      </c>
      <c r="AA1718" s="1" t="str">
        <f aca="false">TRIM(PROPER(F1718))</f>
        <v>Ahmedabad</v>
      </c>
      <c r="AB1718" s="1" t="str">
        <f aca="false">TRIM(PROPER(C1718))</f>
        <v>Embibe</v>
      </c>
      <c r="AC1718" s="1" t="str">
        <f aca="false">IF(O1718=0,"No Discount",IF(O1718&lt;=15,"Low (1-15%)",IF(O1718&lt;=30,"Medium (16-30%)","High (&gt;30%)")))</f>
        <v>Low (1-15%)</v>
      </c>
      <c r="AD1718" s="1" t="str">
        <f aca="false">IF(V1718&lt;0,"Loss Making",IF(V1718&lt;20,"Low Margin","Healthy Margin"))</f>
        <v>Healthy Margin</v>
      </c>
      <c r="AE1718" s="1" t="str">
        <f aca="false">TEXT(DATE(VALUE(RIGHT(B1718,4)),VALUE(MID(B1718,4,2)),VALUE(LEFT(B1718,2))),"MMM-YYYY")</f>
        <v>Apr-2023</v>
      </c>
      <c r="AF1718" s="1" t="n">
        <f aca="false">VALUE(RIGHT(B1718,4))</f>
        <v>2023</v>
      </c>
      <c r="AG1718" s="1" t="str">
        <f aca="false">CHOOSE(ROUNDUP(VALUE(MID(B1718,4,2))/3,0),"Q1","Q2","Q3","Q4")</f>
        <v>Q2</v>
      </c>
    </row>
    <row r="1719" customFormat="false" ht="15" hidden="false" customHeight="true" outlineLevel="0" collapsed="false">
      <c r="A1719" s="1" t="s">
        <v>2548</v>
      </c>
      <c r="B1719" s="1" t="s">
        <v>1402</v>
      </c>
      <c r="C1719" s="1" t="s">
        <v>178</v>
      </c>
      <c r="D1719" s="1" t="s">
        <v>80</v>
      </c>
      <c r="E1719" s="1" t="s">
        <v>193</v>
      </c>
      <c r="F1719" s="1" t="s">
        <v>211</v>
      </c>
      <c r="G1719" s="1" t="s">
        <v>56</v>
      </c>
      <c r="H1719" s="1" t="s">
        <v>69</v>
      </c>
      <c r="I1719" s="1" t="s">
        <v>83</v>
      </c>
      <c r="J1719" s="1" t="s">
        <v>131</v>
      </c>
      <c r="K1719" s="1" t="s">
        <v>36</v>
      </c>
      <c r="L1719" s="1" t="s">
        <v>113</v>
      </c>
      <c r="M1719" s="1" t="s">
        <v>50</v>
      </c>
      <c r="N1719" s="1" t="n">
        <v>8999</v>
      </c>
      <c r="O1719" s="1" t="n">
        <v>25</v>
      </c>
      <c r="P1719" s="1" t="n">
        <v>2249.75</v>
      </c>
      <c r="Q1719" s="1" t="n">
        <v>6749.25</v>
      </c>
      <c r="R1719" s="1" t="n">
        <v>1214.87</v>
      </c>
      <c r="S1719" s="1" t="n">
        <v>5534.38</v>
      </c>
      <c r="T1719" s="1" t="n">
        <v>1931.79</v>
      </c>
      <c r="U1719" s="1" t="n">
        <v>3602.59</v>
      </c>
      <c r="V1719" s="1" t="n">
        <v>65.09</v>
      </c>
      <c r="W1719" s="1" t="s">
        <v>39</v>
      </c>
      <c r="X1719" s="1" t="n">
        <v>3.6</v>
      </c>
      <c r="Y1719" s="1" t="s">
        <v>40</v>
      </c>
      <c r="Z1719" s="1" t="n">
        <v>0</v>
      </c>
      <c r="AA1719" s="1" t="str">
        <f aca="false">TRIM(PROPER(F1719))</f>
        <v>Noida</v>
      </c>
      <c r="AB1719" s="1" t="str">
        <f aca="false">TRIM(PROPER(C1719))</f>
        <v>Leverage Edu</v>
      </c>
      <c r="AC1719" s="1" t="str">
        <f aca="false">IF(O1719=0,"No Discount",IF(O1719&lt;=15,"Low (1-15%)",IF(O1719&lt;=30,"Medium (16-30%)","High (&gt;30%)")))</f>
        <v>Medium (16-30%)</v>
      </c>
      <c r="AD1719" s="1" t="str">
        <f aca="false">IF(V1719&lt;0,"Loss Making",IF(V1719&lt;20,"Low Margin","Healthy Margin"))</f>
        <v>Healthy Margin</v>
      </c>
      <c r="AE1719" s="1" t="str">
        <f aca="false">TEXT(DATE(VALUE(RIGHT(B1719,4)),VALUE(MID(B1719,4,2)),VALUE(LEFT(B1719,2))),"MMM-YYYY")</f>
        <v>Apr-2023</v>
      </c>
      <c r="AF1719" s="1" t="n">
        <f aca="false">VALUE(RIGHT(B1719,4))</f>
        <v>2023</v>
      </c>
      <c r="AG1719" s="1" t="str">
        <f aca="false">CHOOSE(ROUNDUP(VALUE(MID(B1719,4,2))/3,0),"Q1","Q2","Q3","Q4")</f>
        <v>Q2</v>
      </c>
    </row>
    <row r="1720" customFormat="false" ht="15" hidden="false" customHeight="true" outlineLevel="0" collapsed="false">
      <c r="A1720" s="1" t="s">
        <v>2549</v>
      </c>
      <c r="B1720" s="1" t="s">
        <v>653</v>
      </c>
      <c r="C1720" s="1" t="s">
        <v>119</v>
      </c>
      <c r="D1720" s="1" t="s">
        <v>80</v>
      </c>
      <c r="E1720" s="1" t="s">
        <v>81</v>
      </c>
      <c r="F1720" s="1" t="s">
        <v>602</v>
      </c>
      <c r="G1720" s="1" t="s">
        <v>32</v>
      </c>
      <c r="H1720" s="1" t="s">
        <v>33</v>
      </c>
      <c r="I1720" s="1" t="s">
        <v>83</v>
      </c>
      <c r="J1720" s="1" t="s">
        <v>77</v>
      </c>
      <c r="K1720" s="1" t="s">
        <v>36</v>
      </c>
      <c r="L1720" s="1" t="s">
        <v>113</v>
      </c>
      <c r="M1720" s="1" t="s">
        <v>38</v>
      </c>
      <c r="N1720" s="1" t="n">
        <v>12999</v>
      </c>
      <c r="O1720" s="1" t="n">
        <v>20</v>
      </c>
      <c r="P1720" s="1" t="n">
        <v>2599.8</v>
      </c>
      <c r="Q1720" s="1" t="n">
        <v>10399.2</v>
      </c>
      <c r="R1720" s="1" t="n">
        <v>1871.86</v>
      </c>
      <c r="S1720" s="1" t="n">
        <v>8527.34</v>
      </c>
      <c r="T1720" s="1" t="n">
        <v>3944</v>
      </c>
      <c r="U1720" s="1" t="n">
        <v>4583.34</v>
      </c>
      <c r="V1720" s="1" t="n">
        <v>53.75</v>
      </c>
      <c r="W1720" s="1" t="s">
        <v>40</v>
      </c>
      <c r="Y1720" s="1" t="s">
        <v>40</v>
      </c>
      <c r="Z1720" s="1" t="n">
        <v>1</v>
      </c>
      <c r="AA1720" s="1" t="str">
        <f aca="false">TRIM(PROPER(F1720))</f>
        <v>Jodhpur</v>
      </c>
      <c r="AB1720" s="1" t="str">
        <f aca="false">TRIM(PROPER(C1720))</f>
        <v>Simplilearn</v>
      </c>
      <c r="AC1720" s="1" t="str">
        <f aca="false">IF(O1720=0,"No Discount",IF(O1720&lt;=15,"Low (1-15%)",IF(O1720&lt;=30,"Medium (16-30%)","High (&gt;30%)")))</f>
        <v>Medium (16-30%)</v>
      </c>
      <c r="AD1720" s="1" t="str">
        <f aca="false">IF(V1720&lt;0,"Loss Making",IF(V1720&lt;20,"Low Margin","Healthy Margin"))</f>
        <v>Healthy Margin</v>
      </c>
      <c r="AE1720" s="1" t="str">
        <f aca="false">TEXT(DATE(VALUE(RIGHT(B1720,4)),VALUE(MID(B1720,4,2)),VALUE(LEFT(B1720,2))),"MMM-YYYY")</f>
        <v>Aug-2024</v>
      </c>
      <c r="AF1720" s="1" t="n">
        <f aca="false">VALUE(RIGHT(B1720,4))</f>
        <v>2024</v>
      </c>
      <c r="AG1720" s="1" t="str">
        <f aca="false">CHOOSE(ROUNDUP(VALUE(MID(B1720,4,2))/3,0),"Q1","Q2","Q3","Q4")</f>
        <v>Q3</v>
      </c>
    </row>
    <row r="1721" customFormat="false" ht="15" hidden="false" customHeight="true" outlineLevel="0" collapsed="false">
      <c r="A1721" s="1" t="s">
        <v>2550</v>
      </c>
      <c r="B1721" s="1" t="s">
        <v>1050</v>
      </c>
      <c r="C1721" s="1" t="s">
        <v>74</v>
      </c>
      <c r="D1721" s="1" t="s">
        <v>44</v>
      </c>
      <c r="E1721" s="1" t="s">
        <v>66</v>
      </c>
      <c r="F1721" s="1" t="s">
        <v>150</v>
      </c>
      <c r="G1721" s="1" t="s">
        <v>32</v>
      </c>
      <c r="H1721" s="1" t="s">
        <v>57</v>
      </c>
      <c r="I1721" s="1" t="s">
        <v>58</v>
      </c>
      <c r="J1721" s="1" t="s">
        <v>59</v>
      </c>
      <c r="K1721" s="1" t="s">
        <v>84</v>
      </c>
      <c r="L1721" s="1" t="s">
        <v>61</v>
      </c>
      <c r="M1721" s="1" t="s">
        <v>38</v>
      </c>
      <c r="N1721" s="1" t="n">
        <v>12999</v>
      </c>
      <c r="O1721" s="1" t="n">
        <v>25</v>
      </c>
      <c r="P1721" s="1" t="n">
        <v>3249.75</v>
      </c>
      <c r="Q1721" s="1" t="n">
        <v>9749.25</v>
      </c>
      <c r="R1721" s="1" t="n">
        <v>1754.87</v>
      </c>
      <c r="S1721" s="1" t="n">
        <v>7994.38</v>
      </c>
      <c r="T1721" s="1" t="n">
        <v>4018.63</v>
      </c>
      <c r="U1721" s="1" t="n">
        <v>3975.75</v>
      </c>
      <c r="V1721" s="1" t="n">
        <v>49.73</v>
      </c>
      <c r="W1721" s="1" t="s">
        <v>39</v>
      </c>
      <c r="X1721" s="1" t="n">
        <v>3.5</v>
      </c>
      <c r="Y1721" s="1" t="s">
        <v>40</v>
      </c>
      <c r="Z1721" s="1" t="n">
        <v>1</v>
      </c>
      <c r="AA1721" s="1" t="str">
        <f aca="false">TRIM(PROPER(F1721))</f>
        <v>Jaipur</v>
      </c>
      <c r="AB1721" s="1" t="str">
        <f aca="false">TRIM(PROPER(C1721))</f>
        <v>Vedantu</v>
      </c>
      <c r="AC1721" s="1" t="str">
        <f aca="false">IF(O1721=0,"No Discount",IF(O1721&lt;=15,"Low (1-15%)",IF(O1721&lt;=30,"Medium (16-30%)","High (&gt;30%)")))</f>
        <v>Medium (16-30%)</v>
      </c>
      <c r="AD1721" s="1" t="str">
        <f aca="false">IF(V1721&lt;0,"Loss Making",IF(V1721&lt;20,"Low Margin","Healthy Margin"))</f>
        <v>Healthy Margin</v>
      </c>
      <c r="AE1721" s="1" t="str">
        <f aca="false">TEXT(DATE(VALUE(RIGHT(B1721,4)),VALUE(MID(B1721,4,2)),VALUE(LEFT(B1721,2))),"MMM-YYYY")</f>
        <v>Nov-2023</v>
      </c>
      <c r="AF1721" s="1" t="n">
        <f aca="false">VALUE(RIGHT(B1721,4))</f>
        <v>2023</v>
      </c>
      <c r="AG1721" s="1" t="str">
        <f aca="false">CHOOSE(ROUNDUP(VALUE(MID(B1721,4,2))/3,0),"Q1","Q2","Q3","Q4")</f>
        <v>Q4</v>
      </c>
    </row>
    <row r="1722" customFormat="false" ht="15" hidden="false" customHeight="true" outlineLevel="0" collapsed="false">
      <c r="A1722" s="1" t="s">
        <v>2551</v>
      </c>
      <c r="B1722" s="1" t="s">
        <v>318</v>
      </c>
      <c r="C1722" s="1" t="s">
        <v>100</v>
      </c>
      <c r="D1722" s="1" t="s">
        <v>80</v>
      </c>
      <c r="E1722" s="1" t="s">
        <v>81</v>
      </c>
      <c r="F1722" s="1" t="s">
        <v>130</v>
      </c>
      <c r="G1722" s="1" t="s">
        <v>47</v>
      </c>
      <c r="H1722" s="1" t="s">
        <v>69</v>
      </c>
      <c r="I1722" s="1" t="s">
        <v>58</v>
      </c>
      <c r="J1722" s="1" t="s">
        <v>59</v>
      </c>
      <c r="K1722" s="1" t="s">
        <v>71</v>
      </c>
      <c r="L1722" s="1" t="s">
        <v>136</v>
      </c>
      <c r="M1722" s="1" t="s">
        <v>38</v>
      </c>
      <c r="N1722" s="1" t="n">
        <v>12999</v>
      </c>
      <c r="O1722" s="1" t="n">
        <v>0</v>
      </c>
      <c r="P1722" s="1" t="n">
        <v>0</v>
      </c>
      <c r="Q1722" s="1" t="n">
        <v>12999</v>
      </c>
      <c r="R1722" s="1" t="n">
        <v>2339.82</v>
      </c>
      <c r="S1722" s="1" t="n">
        <v>10659.18</v>
      </c>
      <c r="T1722" s="1" t="n">
        <v>4534.96</v>
      </c>
      <c r="U1722" s="1" t="n">
        <v>6124.22</v>
      </c>
      <c r="V1722" s="1" t="n">
        <v>57.45</v>
      </c>
      <c r="W1722" s="1" t="s">
        <v>39</v>
      </c>
      <c r="X1722" s="1" t="n">
        <v>3.6</v>
      </c>
      <c r="Y1722" s="1" t="s">
        <v>40</v>
      </c>
      <c r="Z1722" s="1" t="n">
        <v>0</v>
      </c>
      <c r="AA1722" s="1" t="str">
        <f aca="false">TRIM(PROPER(F1722))</f>
        <v>Bengaluru</v>
      </c>
      <c r="AB1722" s="1" t="str">
        <f aca="false">TRIM(PROPER(C1722))</f>
        <v>Physics Wallah</v>
      </c>
      <c r="AC1722" s="1" t="str">
        <f aca="false">IF(O1722=0,"No Discount",IF(O1722&lt;=15,"Low (1-15%)",IF(O1722&lt;=30,"Medium (16-30%)","High (&gt;30%)")))</f>
        <v>No Discount</v>
      </c>
      <c r="AD1722" s="1" t="str">
        <f aca="false">IF(V1722&lt;0,"Loss Making",IF(V1722&lt;20,"Low Margin","Healthy Margin"))</f>
        <v>Healthy Margin</v>
      </c>
      <c r="AE1722" s="1" t="str">
        <f aca="false">TEXT(DATE(VALUE(RIGHT(B1722,4)),VALUE(MID(B1722,4,2)),VALUE(LEFT(B1722,2))),"MMM-YYYY")</f>
        <v>Feb-2024</v>
      </c>
      <c r="AF1722" s="1" t="n">
        <f aca="false">VALUE(RIGHT(B1722,4))</f>
        <v>2024</v>
      </c>
      <c r="AG1722" s="1" t="str">
        <f aca="false">CHOOSE(ROUNDUP(VALUE(MID(B1722,4,2))/3,0),"Q1","Q2","Q3","Q4")</f>
        <v>Q1</v>
      </c>
    </row>
    <row r="1723" customFormat="false" ht="15" hidden="false" customHeight="true" outlineLevel="0" collapsed="false">
      <c r="A1723" s="1" t="s">
        <v>2552</v>
      </c>
      <c r="B1723" s="1" t="s">
        <v>472</v>
      </c>
      <c r="C1723" s="1" t="s">
        <v>65</v>
      </c>
      <c r="D1723" s="1" t="s">
        <v>168</v>
      </c>
      <c r="E1723" s="1" t="s">
        <v>197</v>
      </c>
      <c r="F1723" s="1" t="s">
        <v>269</v>
      </c>
      <c r="G1723" s="1" t="s">
        <v>108</v>
      </c>
      <c r="H1723" s="1" t="s">
        <v>57</v>
      </c>
      <c r="I1723" s="1" t="s">
        <v>58</v>
      </c>
      <c r="J1723" s="1" t="s">
        <v>131</v>
      </c>
      <c r="K1723" s="1" t="s">
        <v>48</v>
      </c>
      <c r="L1723" s="1" t="s">
        <v>61</v>
      </c>
      <c r="M1723" s="1" t="s">
        <v>38</v>
      </c>
      <c r="N1723" s="1" t="n">
        <v>8499</v>
      </c>
      <c r="O1723" s="1" t="n">
        <v>0</v>
      </c>
      <c r="P1723" s="1" t="n">
        <v>0</v>
      </c>
      <c r="Q1723" s="1" t="n">
        <v>8499</v>
      </c>
      <c r="R1723" s="1" t="n">
        <v>1529.82</v>
      </c>
      <c r="S1723" s="1" t="n">
        <v>6969.18</v>
      </c>
      <c r="T1723" s="1" t="n">
        <v>3831.08</v>
      </c>
      <c r="U1723" s="1" t="n">
        <v>3138.1</v>
      </c>
      <c r="V1723" s="1" t="n">
        <v>45.03</v>
      </c>
      <c r="W1723" s="1" t="s">
        <v>39</v>
      </c>
      <c r="X1723" s="1" t="n">
        <v>3.5</v>
      </c>
      <c r="Y1723" s="1" t="s">
        <v>40</v>
      </c>
      <c r="Z1723" s="1" t="n">
        <v>1</v>
      </c>
      <c r="AA1723" s="1" t="str">
        <f aca="false">TRIM(PROPER(F1723))</f>
        <v>Coimbatore</v>
      </c>
      <c r="AB1723" s="1" t="str">
        <f aca="false">TRIM(PROPER(C1723))</f>
        <v>Toppr</v>
      </c>
      <c r="AC1723" s="1" t="str">
        <f aca="false">IF(O1723=0,"No Discount",IF(O1723&lt;=15,"Low (1-15%)",IF(O1723&lt;=30,"Medium (16-30%)","High (&gt;30%)")))</f>
        <v>No Discount</v>
      </c>
      <c r="AD1723" s="1" t="str">
        <f aca="false">IF(V1723&lt;0,"Loss Making",IF(V1723&lt;20,"Low Margin","Healthy Margin"))</f>
        <v>Healthy Margin</v>
      </c>
      <c r="AE1723" s="1" t="str">
        <f aca="false">TEXT(DATE(VALUE(RIGHT(B1723,4)),VALUE(MID(B1723,4,2)),VALUE(LEFT(B1723,2))),"MMM-YYYY")</f>
        <v>Dec-2023</v>
      </c>
      <c r="AF1723" s="1" t="n">
        <f aca="false">VALUE(RIGHT(B1723,4))</f>
        <v>2023</v>
      </c>
      <c r="AG1723" s="1" t="str">
        <f aca="false">CHOOSE(ROUNDUP(VALUE(MID(B1723,4,2))/3,0),"Q1","Q2","Q3","Q4")</f>
        <v>Q4</v>
      </c>
    </row>
    <row r="1724" customFormat="false" ht="15" hidden="false" customHeight="true" outlineLevel="0" collapsed="false">
      <c r="A1724" s="1" t="s">
        <v>2553</v>
      </c>
      <c r="B1724" s="1" t="s">
        <v>290</v>
      </c>
      <c r="C1724" s="1" t="s">
        <v>436</v>
      </c>
      <c r="D1724" s="1" t="s">
        <v>44</v>
      </c>
      <c r="E1724" s="1" t="s">
        <v>221</v>
      </c>
      <c r="F1724" s="1" t="s">
        <v>205</v>
      </c>
      <c r="G1724" s="1" t="s">
        <v>56</v>
      </c>
      <c r="H1724" s="1" t="s">
        <v>69</v>
      </c>
      <c r="I1724" s="1" t="s">
        <v>34</v>
      </c>
      <c r="J1724" s="1" t="s">
        <v>59</v>
      </c>
      <c r="K1724" s="1" t="s">
        <v>104</v>
      </c>
      <c r="L1724" s="1" t="s">
        <v>37</v>
      </c>
      <c r="M1724" s="1" t="s">
        <v>62</v>
      </c>
      <c r="N1724" s="1" t="n">
        <v>16999</v>
      </c>
      <c r="O1724" s="1" t="n">
        <v>50</v>
      </c>
      <c r="P1724" s="1" t="n">
        <v>8499.5</v>
      </c>
      <c r="Q1724" s="1" t="n">
        <v>8499.5</v>
      </c>
      <c r="R1724" s="1" t="n">
        <v>1529.91</v>
      </c>
      <c r="S1724" s="1" t="n">
        <v>6969.59</v>
      </c>
      <c r="T1724" s="1" t="n">
        <v>3843.43</v>
      </c>
      <c r="U1724" s="1" t="n">
        <v>3126.16</v>
      </c>
      <c r="V1724" s="1" t="n">
        <v>44.85</v>
      </c>
      <c r="W1724" s="1" t="s">
        <v>40</v>
      </c>
      <c r="Y1724" s="1" t="s">
        <v>40</v>
      </c>
      <c r="Z1724" s="1" t="n">
        <v>0</v>
      </c>
      <c r="AA1724" s="1" t="str">
        <f aca="false">TRIM(PROPER(F1724))</f>
        <v>New Delhi</v>
      </c>
      <c r="AB1724" s="1" t="str">
        <f aca="false">TRIM(PROPER(C1724))</f>
        <v>Toppr</v>
      </c>
      <c r="AC1724" s="1" t="str">
        <f aca="false">IF(O1724=0,"No Discount",IF(O1724&lt;=15,"Low (1-15%)",IF(O1724&lt;=30,"Medium (16-30%)","High (&gt;30%)")))</f>
        <v>High (&gt;30%)</v>
      </c>
      <c r="AD1724" s="1" t="str">
        <f aca="false">IF(V1724&lt;0,"Loss Making",IF(V1724&lt;20,"Low Margin","Healthy Margin"))</f>
        <v>Healthy Margin</v>
      </c>
      <c r="AE1724" s="1" t="str">
        <f aca="false">TEXT(DATE(VALUE(RIGHT(B1724,4)),VALUE(MID(B1724,4,2)),VALUE(LEFT(B1724,2))),"MMM-YYYY")</f>
        <v>Jan-2023</v>
      </c>
      <c r="AF1724" s="1" t="n">
        <f aca="false">VALUE(RIGHT(B1724,4))</f>
        <v>2023</v>
      </c>
      <c r="AG1724" s="1" t="str">
        <f aca="false">CHOOSE(ROUNDUP(VALUE(MID(B1724,4,2))/3,0),"Q1","Q2","Q3","Q4")</f>
        <v>Q1</v>
      </c>
    </row>
    <row r="1725" customFormat="false" ht="15" hidden="false" customHeight="true" outlineLevel="0" collapsed="false">
      <c r="A1725" s="1" t="s">
        <v>2554</v>
      </c>
      <c r="B1725" s="1" t="s">
        <v>382</v>
      </c>
      <c r="C1725" s="1" t="s">
        <v>28</v>
      </c>
      <c r="D1725" s="1" t="s">
        <v>80</v>
      </c>
      <c r="E1725" s="1" t="s">
        <v>81</v>
      </c>
      <c r="F1725" s="1" t="s">
        <v>156</v>
      </c>
      <c r="G1725" s="1" t="s">
        <v>68</v>
      </c>
      <c r="H1725" s="1" t="s">
        <v>57</v>
      </c>
      <c r="I1725" s="1" t="s">
        <v>58</v>
      </c>
      <c r="J1725" s="1" t="s">
        <v>70</v>
      </c>
      <c r="K1725" s="1" t="s">
        <v>90</v>
      </c>
      <c r="L1725" s="1" t="s">
        <v>61</v>
      </c>
      <c r="M1725" s="1" t="s">
        <v>38</v>
      </c>
      <c r="N1725" s="1" t="n">
        <v>12999</v>
      </c>
      <c r="O1725" s="1" t="n">
        <v>10</v>
      </c>
      <c r="P1725" s="1" t="n">
        <v>1299.9</v>
      </c>
      <c r="Q1725" s="1" t="n">
        <v>11699.1</v>
      </c>
      <c r="R1725" s="1" t="n">
        <v>2105.84</v>
      </c>
      <c r="S1725" s="1" t="n">
        <v>9593.26</v>
      </c>
      <c r="T1725" s="1" t="n">
        <v>3779.93</v>
      </c>
      <c r="U1725" s="1" t="n">
        <v>5813.33</v>
      </c>
      <c r="V1725" s="1" t="n">
        <v>60.6</v>
      </c>
      <c r="W1725" s="1" t="s">
        <v>39</v>
      </c>
      <c r="X1725" s="1" t="n">
        <v>4.4</v>
      </c>
      <c r="Y1725" s="1" t="s">
        <v>40</v>
      </c>
      <c r="Z1725" s="1" t="n">
        <v>0</v>
      </c>
      <c r="AA1725" s="1" t="str">
        <f aca="false">TRIM(PROPER(F1725))</f>
        <v>Surat</v>
      </c>
      <c r="AB1725" s="1" t="str">
        <f aca="false">TRIM(PROPER(C1725))</f>
        <v>Embibe</v>
      </c>
      <c r="AC1725" s="1" t="str">
        <f aca="false">IF(O1725=0,"No Discount",IF(O1725&lt;=15,"Low (1-15%)",IF(O1725&lt;=30,"Medium (16-30%)","High (&gt;30%)")))</f>
        <v>Low (1-15%)</v>
      </c>
      <c r="AD1725" s="1" t="str">
        <f aca="false">IF(V1725&lt;0,"Loss Making",IF(V1725&lt;20,"Low Margin","Healthy Margin"))</f>
        <v>Healthy Margin</v>
      </c>
      <c r="AE1725" s="1" t="str">
        <f aca="false">TEXT(DATE(VALUE(RIGHT(B1725,4)),VALUE(MID(B1725,4,2)),VALUE(LEFT(B1725,2))),"MMM-YYYY")</f>
        <v>Jan-2024</v>
      </c>
      <c r="AF1725" s="1" t="n">
        <f aca="false">VALUE(RIGHT(B1725,4))</f>
        <v>2024</v>
      </c>
      <c r="AG1725" s="1" t="str">
        <f aca="false">CHOOSE(ROUNDUP(VALUE(MID(B1725,4,2))/3,0),"Q1","Q2","Q3","Q4")</f>
        <v>Q1</v>
      </c>
    </row>
    <row r="1726" customFormat="false" ht="15" hidden="false" customHeight="true" outlineLevel="0" collapsed="false">
      <c r="A1726" s="1" t="s">
        <v>2555</v>
      </c>
      <c r="B1726" s="1" t="s">
        <v>1739</v>
      </c>
      <c r="C1726" s="1" t="s">
        <v>249</v>
      </c>
      <c r="D1726" s="1" t="s">
        <v>80</v>
      </c>
      <c r="E1726" s="1" t="s">
        <v>190</v>
      </c>
      <c r="F1726" s="1" t="s">
        <v>75</v>
      </c>
      <c r="G1726" s="1" t="s">
        <v>76</v>
      </c>
      <c r="H1726" s="1" t="s">
        <v>69</v>
      </c>
      <c r="I1726" s="1" t="s">
        <v>83</v>
      </c>
      <c r="J1726" s="1" t="s">
        <v>131</v>
      </c>
      <c r="K1726" s="1" t="s">
        <v>112</v>
      </c>
      <c r="L1726" s="1" t="s">
        <v>85</v>
      </c>
      <c r="M1726" s="1" t="s">
        <v>50</v>
      </c>
      <c r="N1726" s="1" t="n">
        <v>15999</v>
      </c>
      <c r="O1726" s="1" t="n">
        <v>10</v>
      </c>
      <c r="P1726" s="1" t="n">
        <v>1599.9</v>
      </c>
      <c r="Q1726" s="1" t="n">
        <v>14399.1</v>
      </c>
      <c r="R1726" s="1" t="n">
        <v>2591.84</v>
      </c>
      <c r="S1726" s="1" t="n">
        <v>11807.26</v>
      </c>
      <c r="T1726" s="1" t="n">
        <v>5574.97</v>
      </c>
      <c r="U1726" s="1" t="n">
        <v>6232.29</v>
      </c>
      <c r="V1726" s="1" t="n">
        <v>52.78</v>
      </c>
      <c r="W1726" s="1" t="s">
        <v>39</v>
      </c>
      <c r="X1726" s="1" t="n">
        <v>4.8</v>
      </c>
      <c r="Y1726" s="1" t="s">
        <v>40</v>
      </c>
      <c r="Z1726" s="1" t="n">
        <v>0</v>
      </c>
      <c r="AA1726" s="1" t="str">
        <f aca="false">TRIM(PROPER(F1726))</f>
        <v>Kolkata</v>
      </c>
      <c r="AB1726" s="1" t="str">
        <f aca="false">TRIM(PROPER(C1726))</f>
        <v>Whitehat Jr</v>
      </c>
      <c r="AC1726" s="1" t="str">
        <f aca="false">IF(O1726=0,"No Discount",IF(O1726&lt;=15,"Low (1-15%)",IF(O1726&lt;=30,"Medium (16-30%)","High (&gt;30%)")))</f>
        <v>Low (1-15%)</v>
      </c>
      <c r="AD1726" s="1" t="str">
        <f aca="false">IF(V1726&lt;0,"Loss Making",IF(V1726&lt;20,"Low Margin","Healthy Margin"))</f>
        <v>Healthy Margin</v>
      </c>
      <c r="AE1726" s="1" t="str">
        <f aca="false">TEXT(DATE(VALUE(RIGHT(B1726,4)),VALUE(MID(B1726,4,2)),VALUE(LEFT(B1726,2))),"MMM-YYYY")</f>
        <v>Oct-2024</v>
      </c>
      <c r="AF1726" s="1" t="n">
        <f aca="false">VALUE(RIGHT(B1726,4))</f>
        <v>2024</v>
      </c>
      <c r="AG1726" s="1" t="str">
        <f aca="false">CHOOSE(ROUNDUP(VALUE(MID(B1726,4,2))/3,0),"Q1","Q2","Q3","Q4")</f>
        <v>Q4</v>
      </c>
    </row>
    <row r="1727" customFormat="false" ht="15" hidden="false" customHeight="true" outlineLevel="0" collapsed="false">
      <c r="A1727" s="1" t="s">
        <v>2556</v>
      </c>
      <c r="B1727" s="1" t="s">
        <v>758</v>
      </c>
      <c r="C1727" s="1" t="s">
        <v>249</v>
      </c>
      <c r="D1727" s="1" t="s">
        <v>53</v>
      </c>
      <c r="E1727" s="1" t="s">
        <v>116</v>
      </c>
      <c r="F1727" s="1" t="s">
        <v>89</v>
      </c>
      <c r="G1727" s="1" t="s">
        <v>68</v>
      </c>
      <c r="H1727" s="1" t="s">
        <v>33</v>
      </c>
      <c r="I1727" s="1" t="s">
        <v>34</v>
      </c>
      <c r="J1727" s="1" t="s">
        <v>77</v>
      </c>
      <c r="K1727" s="1" t="s">
        <v>48</v>
      </c>
      <c r="L1727" s="1" t="s">
        <v>49</v>
      </c>
      <c r="M1727" s="1" t="s">
        <v>62</v>
      </c>
      <c r="N1727" s="1" t="n">
        <v>9999</v>
      </c>
      <c r="O1727" s="1" t="n">
        <v>15</v>
      </c>
      <c r="P1727" s="1" t="n">
        <v>1499.85</v>
      </c>
      <c r="Q1727" s="1" t="n">
        <v>8499.15</v>
      </c>
      <c r="R1727" s="1" t="n">
        <v>1529.85</v>
      </c>
      <c r="S1727" s="1" t="n">
        <v>6969.3</v>
      </c>
      <c r="T1727" s="1" t="n">
        <v>3064.2</v>
      </c>
      <c r="U1727" s="1" t="n">
        <v>3905.1</v>
      </c>
      <c r="V1727" s="1" t="n">
        <v>56.03</v>
      </c>
      <c r="W1727" s="1" t="s">
        <v>40</v>
      </c>
      <c r="Y1727" s="1" t="s">
        <v>40</v>
      </c>
      <c r="Z1727" s="1" t="n">
        <v>1</v>
      </c>
      <c r="AA1727" s="1" t="str">
        <f aca="false">TRIM(PROPER(F1727))</f>
        <v>Vadodara</v>
      </c>
      <c r="AB1727" s="1" t="str">
        <f aca="false">TRIM(PROPER(C1727))</f>
        <v>Whitehat Jr</v>
      </c>
      <c r="AC1727" s="1" t="str">
        <f aca="false">IF(O1727=0,"No Discount",IF(O1727&lt;=15,"Low (1-15%)",IF(O1727&lt;=30,"Medium (16-30%)","High (&gt;30%)")))</f>
        <v>Low (1-15%)</v>
      </c>
      <c r="AD1727" s="1" t="str">
        <f aca="false">IF(V1727&lt;0,"Loss Making",IF(V1727&lt;20,"Low Margin","Healthy Margin"))</f>
        <v>Healthy Margin</v>
      </c>
      <c r="AE1727" s="1" t="str">
        <f aca="false">TEXT(DATE(VALUE(RIGHT(B1727,4)),VALUE(MID(B1727,4,2)),VALUE(LEFT(B1727,2))),"MMM-YYYY")</f>
        <v>Jan-2024</v>
      </c>
      <c r="AF1727" s="1" t="n">
        <f aca="false">VALUE(RIGHT(B1727,4))</f>
        <v>2024</v>
      </c>
      <c r="AG1727" s="1" t="str">
        <f aca="false">CHOOSE(ROUNDUP(VALUE(MID(B1727,4,2))/3,0),"Q1","Q2","Q3","Q4")</f>
        <v>Q1</v>
      </c>
    </row>
    <row r="1728" customFormat="false" ht="15" hidden="false" customHeight="true" outlineLevel="0" collapsed="false">
      <c r="A1728" s="1" t="s">
        <v>2557</v>
      </c>
      <c r="B1728" s="1" t="s">
        <v>878</v>
      </c>
      <c r="C1728" s="1" t="s">
        <v>128</v>
      </c>
      <c r="D1728" s="1" t="s">
        <v>44</v>
      </c>
      <c r="E1728" s="1" t="s">
        <v>45</v>
      </c>
      <c r="F1728" s="1" t="s">
        <v>89</v>
      </c>
      <c r="G1728" s="1" t="s">
        <v>68</v>
      </c>
      <c r="H1728" s="1" t="s">
        <v>33</v>
      </c>
      <c r="I1728" s="1" t="s">
        <v>34</v>
      </c>
      <c r="J1728" s="1" t="s">
        <v>131</v>
      </c>
      <c r="K1728" s="1" t="s">
        <v>90</v>
      </c>
      <c r="L1728" s="1" t="s">
        <v>85</v>
      </c>
      <c r="M1728" s="1" t="s">
        <v>50</v>
      </c>
      <c r="N1728" s="1" t="n">
        <v>11999</v>
      </c>
      <c r="O1728" s="1" t="n">
        <v>20</v>
      </c>
      <c r="P1728" s="1" t="n">
        <v>2399.8</v>
      </c>
      <c r="Q1728" s="1" t="n">
        <v>9599.2</v>
      </c>
      <c r="R1728" s="1" t="n">
        <v>1727.86</v>
      </c>
      <c r="S1728" s="1" t="n">
        <v>7871.34</v>
      </c>
      <c r="T1728" s="1" t="n">
        <v>3716.04</v>
      </c>
      <c r="U1728" s="1" t="n">
        <v>4155.3</v>
      </c>
      <c r="V1728" s="1" t="n">
        <v>52.79</v>
      </c>
      <c r="W1728" s="1" t="s">
        <v>39</v>
      </c>
      <c r="X1728" s="1" t="n">
        <v>2.8</v>
      </c>
      <c r="Y1728" s="1" t="s">
        <v>40</v>
      </c>
      <c r="Z1728" s="1" t="n">
        <v>0</v>
      </c>
      <c r="AA1728" s="1" t="str">
        <f aca="false">TRIM(PROPER(F1728))</f>
        <v>Vadodara</v>
      </c>
      <c r="AB1728" s="1" t="str">
        <f aca="false">TRIM(PROPER(C1728))</f>
        <v>Great Learning</v>
      </c>
      <c r="AC1728" s="1" t="str">
        <f aca="false">IF(O1728=0,"No Discount",IF(O1728&lt;=15,"Low (1-15%)",IF(O1728&lt;=30,"Medium (16-30%)","High (&gt;30%)")))</f>
        <v>Medium (16-30%)</v>
      </c>
      <c r="AD1728" s="1" t="str">
        <f aca="false">IF(V1728&lt;0,"Loss Making",IF(V1728&lt;20,"Low Margin","Healthy Margin"))</f>
        <v>Healthy Margin</v>
      </c>
      <c r="AE1728" s="1" t="str">
        <f aca="false">TEXT(DATE(VALUE(RIGHT(B1728,4)),VALUE(MID(B1728,4,2)),VALUE(LEFT(B1728,2))),"MMM-YYYY")</f>
        <v>Aug-2024</v>
      </c>
      <c r="AF1728" s="1" t="n">
        <f aca="false">VALUE(RIGHT(B1728,4))</f>
        <v>2024</v>
      </c>
      <c r="AG1728" s="1" t="str">
        <f aca="false">CHOOSE(ROUNDUP(VALUE(MID(B1728,4,2))/3,0),"Q1","Q2","Q3","Q4")</f>
        <v>Q3</v>
      </c>
    </row>
    <row r="1729" customFormat="false" ht="15" hidden="false" customHeight="true" outlineLevel="0" collapsed="false">
      <c r="A1729" s="1" t="s">
        <v>2558</v>
      </c>
      <c r="B1729" s="1" t="s">
        <v>373</v>
      </c>
      <c r="C1729" s="1" t="s">
        <v>28</v>
      </c>
      <c r="D1729" s="1" t="s">
        <v>94</v>
      </c>
      <c r="E1729" s="1" t="s">
        <v>135</v>
      </c>
      <c r="F1729" s="1" t="s">
        <v>187</v>
      </c>
      <c r="G1729" s="1" t="s">
        <v>97</v>
      </c>
      <c r="H1729" s="1" t="s">
        <v>69</v>
      </c>
      <c r="I1729" s="1" t="s">
        <v>83</v>
      </c>
      <c r="J1729" s="1" t="s">
        <v>77</v>
      </c>
      <c r="K1729" s="1" t="s">
        <v>112</v>
      </c>
      <c r="L1729" s="1" t="s">
        <v>61</v>
      </c>
      <c r="M1729" s="1" t="s">
        <v>62</v>
      </c>
      <c r="N1729" s="1" t="n">
        <v>9999</v>
      </c>
      <c r="O1729" s="1" t="n">
        <v>10</v>
      </c>
      <c r="P1729" s="1" t="n">
        <v>999.9</v>
      </c>
      <c r="Q1729" s="1" t="n">
        <v>8999.1</v>
      </c>
      <c r="R1729" s="1" t="n">
        <v>1619.84</v>
      </c>
      <c r="S1729" s="1" t="n">
        <v>7379.26</v>
      </c>
      <c r="T1729" s="1" t="n">
        <v>3092.02</v>
      </c>
      <c r="U1729" s="1" t="n">
        <v>4287.24</v>
      </c>
      <c r="V1729" s="1" t="n">
        <v>58.1</v>
      </c>
      <c r="W1729" s="1" t="s">
        <v>40</v>
      </c>
      <c r="Y1729" s="1" t="s">
        <v>40</v>
      </c>
      <c r="Z1729" s="1" t="n">
        <v>0</v>
      </c>
      <c r="AA1729" s="1" t="str">
        <f aca="false">TRIM(PROPER(F1729))</f>
        <v>Mumbai</v>
      </c>
      <c r="AB1729" s="1" t="str">
        <f aca="false">TRIM(PROPER(C1729))</f>
        <v>Embibe</v>
      </c>
      <c r="AC1729" s="1" t="str">
        <f aca="false">IF(O1729=0,"No Discount",IF(O1729&lt;=15,"Low (1-15%)",IF(O1729&lt;=30,"Medium (16-30%)","High (&gt;30%)")))</f>
        <v>Low (1-15%)</v>
      </c>
      <c r="AD1729" s="1" t="str">
        <f aca="false">IF(V1729&lt;0,"Loss Making",IF(V1729&lt;20,"Low Margin","Healthy Margin"))</f>
        <v>Healthy Margin</v>
      </c>
      <c r="AE1729" s="1" t="str">
        <f aca="false">TEXT(DATE(VALUE(RIGHT(B1729,4)),VALUE(MID(B1729,4,2)),VALUE(LEFT(B1729,2))),"MMM-YYYY")</f>
        <v>Oct-2024</v>
      </c>
      <c r="AF1729" s="1" t="n">
        <f aca="false">VALUE(RIGHT(B1729,4))</f>
        <v>2024</v>
      </c>
      <c r="AG1729" s="1" t="str">
        <f aca="false">CHOOSE(ROUNDUP(VALUE(MID(B1729,4,2))/3,0),"Q1","Q2","Q3","Q4")</f>
        <v>Q4</v>
      </c>
    </row>
    <row r="1730" customFormat="false" ht="15" hidden="false" customHeight="true" outlineLevel="0" collapsed="false">
      <c r="A1730" s="1" t="s">
        <v>2559</v>
      </c>
      <c r="B1730" s="1" t="s">
        <v>2560</v>
      </c>
      <c r="C1730" s="1" t="s">
        <v>167</v>
      </c>
      <c r="D1730" s="1" t="s">
        <v>143</v>
      </c>
      <c r="E1730" s="1" t="s">
        <v>243</v>
      </c>
      <c r="F1730" s="1" t="s">
        <v>187</v>
      </c>
      <c r="G1730" s="1" t="s">
        <v>97</v>
      </c>
      <c r="H1730" s="1" t="s">
        <v>69</v>
      </c>
      <c r="I1730" s="1" t="s">
        <v>58</v>
      </c>
      <c r="J1730" s="1" t="s">
        <v>59</v>
      </c>
      <c r="K1730" s="1" t="s">
        <v>90</v>
      </c>
      <c r="L1730" s="1" t="s">
        <v>85</v>
      </c>
      <c r="M1730" s="1" t="s">
        <v>38</v>
      </c>
      <c r="N1730" s="1" t="n">
        <v>22999</v>
      </c>
      <c r="O1730" s="1" t="n">
        <v>0</v>
      </c>
      <c r="P1730" s="1" t="n">
        <v>0</v>
      </c>
      <c r="Q1730" s="1" t="n">
        <v>22999</v>
      </c>
      <c r="R1730" s="1" t="n">
        <v>4139.82</v>
      </c>
      <c r="S1730" s="1" t="n">
        <v>18859.18</v>
      </c>
      <c r="T1730" s="1" t="n">
        <v>8382.47</v>
      </c>
      <c r="U1730" s="1" t="n">
        <v>10476.71</v>
      </c>
      <c r="V1730" s="1" t="n">
        <v>55.55</v>
      </c>
      <c r="W1730" s="1" t="s">
        <v>39</v>
      </c>
      <c r="X1730" s="1" t="n">
        <v>3.8</v>
      </c>
      <c r="Y1730" s="1" t="s">
        <v>40</v>
      </c>
      <c r="Z1730" s="1" t="n">
        <v>1</v>
      </c>
      <c r="AA1730" s="1" t="str">
        <f aca="false">TRIM(PROPER(F1730))</f>
        <v>Mumbai</v>
      </c>
      <c r="AB1730" s="1" t="str">
        <f aca="false">TRIM(PROPER(C1730))</f>
        <v>Scaler</v>
      </c>
      <c r="AC1730" s="1" t="str">
        <f aca="false">IF(O1730=0,"No Discount",IF(O1730&lt;=15,"Low (1-15%)",IF(O1730&lt;=30,"Medium (16-30%)","High (&gt;30%)")))</f>
        <v>No Discount</v>
      </c>
      <c r="AD1730" s="1" t="str">
        <f aca="false">IF(V1730&lt;0,"Loss Making",IF(V1730&lt;20,"Low Margin","Healthy Margin"))</f>
        <v>Healthy Margin</v>
      </c>
      <c r="AE1730" s="1" t="str">
        <f aca="false">TEXT(DATE(VALUE(RIGHT(B1730,4)),VALUE(MID(B1730,4,2)),VALUE(LEFT(B1730,2))),"MMM-YYYY")</f>
        <v>Nov-2023</v>
      </c>
      <c r="AF1730" s="1" t="n">
        <f aca="false">VALUE(RIGHT(B1730,4))</f>
        <v>2023</v>
      </c>
      <c r="AG1730" s="1" t="str">
        <f aca="false">CHOOSE(ROUNDUP(VALUE(MID(B1730,4,2))/3,0),"Q1","Q2","Q3","Q4")</f>
        <v>Q4</v>
      </c>
    </row>
    <row r="1731" customFormat="false" ht="15" hidden="false" customHeight="true" outlineLevel="0" collapsed="false">
      <c r="A1731" s="1" t="s">
        <v>2561</v>
      </c>
      <c r="B1731" s="1" t="s">
        <v>122</v>
      </c>
      <c r="C1731" s="1" t="s">
        <v>134</v>
      </c>
      <c r="D1731" s="1" t="s">
        <v>80</v>
      </c>
      <c r="E1731" s="1" t="s">
        <v>190</v>
      </c>
      <c r="F1731" s="1" t="s">
        <v>150</v>
      </c>
      <c r="G1731" s="1" t="s">
        <v>32</v>
      </c>
      <c r="H1731" s="1" t="s">
        <v>57</v>
      </c>
      <c r="I1731" s="1" t="s">
        <v>34</v>
      </c>
      <c r="J1731" s="1" t="s">
        <v>131</v>
      </c>
      <c r="K1731" s="1" t="s">
        <v>90</v>
      </c>
      <c r="L1731" s="1" t="s">
        <v>61</v>
      </c>
      <c r="M1731" s="1" t="s">
        <v>50</v>
      </c>
      <c r="N1731" s="1" t="n">
        <v>15999</v>
      </c>
      <c r="O1731" s="1" t="n">
        <v>10</v>
      </c>
      <c r="P1731" s="1" t="n">
        <v>1599.9</v>
      </c>
      <c r="Q1731" s="1" t="n">
        <v>14399.1</v>
      </c>
      <c r="R1731" s="1" t="n">
        <v>2591.84</v>
      </c>
      <c r="S1731" s="1" t="n">
        <v>11807.26</v>
      </c>
      <c r="T1731" s="1" t="n">
        <v>4997.87</v>
      </c>
      <c r="U1731" s="1" t="n">
        <v>6809.39</v>
      </c>
      <c r="V1731" s="1" t="n">
        <v>57.67</v>
      </c>
      <c r="W1731" s="1" t="s">
        <v>39</v>
      </c>
      <c r="X1731" s="1" t="n">
        <v>4</v>
      </c>
      <c r="Y1731" s="1" t="s">
        <v>40</v>
      </c>
      <c r="Z1731" s="1" t="n">
        <v>0</v>
      </c>
      <c r="AA1731" s="1" t="str">
        <f aca="false">TRIM(PROPER(F1731))</f>
        <v>Jaipur</v>
      </c>
      <c r="AB1731" s="1" t="str">
        <f aca="false">TRIM(PROPER(C1731))</f>
        <v>Doubtnut</v>
      </c>
      <c r="AC1731" s="1" t="str">
        <f aca="false">IF(O1731=0,"No Discount",IF(O1731&lt;=15,"Low (1-15%)",IF(O1731&lt;=30,"Medium (16-30%)","High (&gt;30%)")))</f>
        <v>Low (1-15%)</v>
      </c>
      <c r="AD1731" s="1" t="str">
        <f aca="false">IF(V1731&lt;0,"Loss Making",IF(V1731&lt;20,"Low Margin","Healthy Margin"))</f>
        <v>Healthy Margin</v>
      </c>
      <c r="AE1731" s="1" t="str">
        <f aca="false">TEXT(DATE(VALUE(RIGHT(B1731,4)),VALUE(MID(B1731,4,2)),VALUE(LEFT(B1731,2))),"MMM-YYYY")</f>
        <v>Nov-2023</v>
      </c>
      <c r="AF1731" s="1" t="n">
        <f aca="false">VALUE(RIGHT(B1731,4))</f>
        <v>2023</v>
      </c>
      <c r="AG1731" s="1" t="str">
        <f aca="false">CHOOSE(ROUNDUP(VALUE(MID(B1731,4,2))/3,0),"Q1","Q2","Q3","Q4")</f>
        <v>Q4</v>
      </c>
    </row>
    <row r="1732" customFormat="false" ht="15" hidden="false" customHeight="true" outlineLevel="0" collapsed="false">
      <c r="A1732" s="1" t="s">
        <v>2562</v>
      </c>
      <c r="B1732" s="1" t="s">
        <v>1633</v>
      </c>
      <c r="C1732" s="1" t="s">
        <v>249</v>
      </c>
      <c r="D1732" s="1" t="s">
        <v>123</v>
      </c>
      <c r="E1732" s="1" t="s">
        <v>233</v>
      </c>
      <c r="F1732" s="1" t="s">
        <v>120</v>
      </c>
      <c r="G1732" s="1" t="s">
        <v>47</v>
      </c>
      <c r="H1732" s="1" t="s">
        <v>57</v>
      </c>
      <c r="I1732" s="1" t="s">
        <v>83</v>
      </c>
      <c r="J1732" s="1" t="s">
        <v>131</v>
      </c>
      <c r="K1732" s="1" t="s">
        <v>60</v>
      </c>
      <c r="L1732" s="1" t="s">
        <v>61</v>
      </c>
      <c r="M1732" s="1" t="s">
        <v>50</v>
      </c>
      <c r="N1732" s="1" t="n">
        <v>8999</v>
      </c>
      <c r="O1732" s="1" t="n">
        <v>0</v>
      </c>
      <c r="P1732" s="1" t="n">
        <v>0</v>
      </c>
      <c r="Q1732" s="1" t="n">
        <v>8999</v>
      </c>
      <c r="R1732" s="1" t="n">
        <v>1619.82</v>
      </c>
      <c r="S1732" s="1" t="n">
        <v>7379.18</v>
      </c>
      <c r="T1732" s="1" t="n">
        <v>3393.15</v>
      </c>
      <c r="U1732" s="1" t="n">
        <v>3986.03</v>
      </c>
      <c r="V1732" s="1" t="n">
        <v>54.02</v>
      </c>
      <c r="W1732" s="1" t="s">
        <v>39</v>
      </c>
      <c r="X1732" s="1" t="n">
        <v>3.4</v>
      </c>
      <c r="Y1732" s="1" t="s">
        <v>40</v>
      </c>
      <c r="Z1732" s="1" t="n">
        <v>0</v>
      </c>
      <c r="AA1732" s="1" t="str">
        <f aca="false">TRIM(PROPER(F1732))</f>
        <v>Mysuru</v>
      </c>
      <c r="AB1732" s="1" t="str">
        <f aca="false">TRIM(PROPER(C1732))</f>
        <v>Whitehat Jr</v>
      </c>
      <c r="AC1732" s="1" t="str">
        <f aca="false">IF(O1732=0,"No Discount",IF(O1732&lt;=15,"Low (1-15%)",IF(O1732&lt;=30,"Medium (16-30%)","High (&gt;30%)")))</f>
        <v>No Discount</v>
      </c>
      <c r="AD1732" s="1" t="str">
        <f aca="false">IF(V1732&lt;0,"Loss Making",IF(V1732&lt;20,"Low Margin","Healthy Margin"))</f>
        <v>Healthy Margin</v>
      </c>
      <c r="AE1732" s="1" t="str">
        <f aca="false">TEXT(DATE(VALUE(RIGHT(B1732,4)),VALUE(MID(B1732,4,2)),VALUE(LEFT(B1732,2))),"MMM-YYYY")</f>
        <v>Dec-2024</v>
      </c>
      <c r="AF1732" s="1" t="n">
        <f aca="false">VALUE(RIGHT(B1732,4))</f>
        <v>2024</v>
      </c>
      <c r="AG1732" s="1" t="str">
        <f aca="false">CHOOSE(ROUNDUP(VALUE(MID(B1732,4,2))/3,0),"Q1","Q2","Q3","Q4")</f>
        <v>Q4</v>
      </c>
    </row>
    <row r="1733" customFormat="false" ht="15" hidden="false" customHeight="true" outlineLevel="0" collapsed="false">
      <c r="A1733" s="1" t="s">
        <v>2563</v>
      </c>
      <c r="B1733" s="1" t="s">
        <v>2564</v>
      </c>
      <c r="C1733" s="1" t="s">
        <v>167</v>
      </c>
      <c r="D1733" s="1" t="s">
        <v>53</v>
      </c>
      <c r="E1733" s="1" t="s">
        <v>54</v>
      </c>
      <c r="F1733" s="1" t="s">
        <v>130</v>
      </c>
      <c r="G1733" s="1" t="s">
        <v>47</v>
      </c>
      <c r="H1733" s="1" t="s">
        <v>69</v>
      </c>
      <c r="I1733" s="1" t="s">
        <v>83</v>
      </c>
      <c r="J1733" s="1" t="s">
        <v>59</v>
      </c>
      <c r="K1733" s="1" t="s">
        <v>84</v>
      </c>
      <c r="L1733" s="1" t="s">
        <v>85</v>
      </c>
      <c r="M1733" s="1" t="s">
        <v>38</v>
      </c>
      <c r="N1733" s="1" t="n">
        <v>11999</v>
      </c>
      <c r="O1733" s="1" t="n">
        <v>25</v>
      </c>
      <c r="P1733" s="1" t="n">
        <v>2999.75</v>
      </c>
      <c r="Q1733" s="1" t="n">
        <v>8999.25</v>
      </c>
      <c r="R1733" s="1" t="n">
        <v>1619.87</v>
      </c>
      <c r="S1733" s="1" t="n">
        <v>7379.38</v>
      </c>
      <c r="T1733" s="1" t="n">
        <v>2824.61</v>
      </c>
      <c r="U1733" s="1" t="n">
        <v>4554.77</v>
      </c>
      <c r="V1733" s="1" t="n">
        <v>61.72</v>
      </c>
      <c r="W1733" s="1" t="s">
        <v>40</v>
      </c>
      <c r="Y1733" s="1" t="s">
        <v>40</v>
      </c>
      <c r="Z1733" s="1" t="n">
        <v>0</v>
      </c>
      <c r="AA1733" s="1" t="str">
        <f aca="false">TRIM(PROPER(F1733))</f>
        <v>Bengaluru</v>
      </c>
      <c r="AB1733" s="1" t="str">
        <f aca="false">TRIM(PROPER(C1733))</f>
        <v>Scaler</v>
      </c>
      <c r="AC1733" s="1" t="str">
        <f aca="false">IF(O1733=0,"No Discount",IF(O1733&lt;=15,"Low (1-15%)",IF(O1733&lt;=30,"Medium (16-30%)","High (&gt;30%)")))</f>
        <v>Medium (16-30%)</v>
      </c>
      <c r="AD1733" s="1" t="str">
        <f aca="false">IF(V1733&lt;0,"Loss Making",IF(V1733&lt;20,"Low Margin","Healthy Margin"))</f>
        <v>Healthy Margin</v>
      </c>
      <c r="AE1733" s="1" t="str">
        <f aca="false">TEXT(DATE(VALUE(RIGHT(B1733,4)),VALUE(MID(B1733,4,2)),VALUE(LEFT(B1733,2))),"MMM-YYYY")</f>
        <v>Jul-2023</v>
      </c>
      <c r="AF1733" s="1" t="n">
        <f aca="false">VALUE(RIGHT(B1733,4))</f>
        <v>2023</v>
      </c>
      <c r="AG1733" s="1" t="str">
        <f aca="false">CHOOSE(ROUNDUP(VALUE(MID(B1733,4,2))/3,0),"Q1","Q2","Q3","Q4")</f>
        <v>Q3</v>
      </c>
    </row>
    <row r="1734" customFormat="false" ht="15" hidden="false" customHeight="true" outlineLevel="0" collapsed="false">
      <c r="A1734" s="1" t="s">
        <v>2565</v>
      </c>
      <c r="B1734" s="1" t="s">
        <v>1089</v>
      </c>
      <c r="C1734" s="1" t="s">
        <v>74</v>
      </c>
      <c r="D1734" s="1" t="s">
        <v>168</v>
      </c>
      <c r="E1734" s="1" t="s">
        <v>328</v>
      </c>
      <c r="F1734" s="1" t="s">
        <v>150</v>
      </c>
      <c r="G1734" s="1" t="s">
        <v>32</v>
      </c>
      <c r="H1734" s="1" t="s">
        <v>57</v>
      </c>
      <c r="I1734" s="1" t="s">
        <v>58</v>
      </c>
      <c r="J1734" s="1" t="s">
        <v>131</v>
      </c>
      <c r="K1734" s="1" t="s">
        <v>104</v>
      </c>
      <c r="L1734" s="1" t="s">
        <v>61</v>
      </c>
      <c r="M1734" s="1" t="s">
        <v>38</v>
      </c>
      <c r="N1734" s="1" t="n">
        <v>8999</v>
      </c>
      <c r="O1734" s="1" t="n">
        <v>20</v>
      </c>
      <c r="P1734" s="1" t="n">
        <v>1799.8</v>
      </c>
      <c r="Q1734" s="1" t="n">
        <v>7199.2</v>
      </c>
      <c r="R1734" s="1" t="n">
        <v>1295.86</v>
      </c>
      <c r="S1734" s="1" t="n">
        <v>5903.34</v>
      </c>
      <c r="T1734" s="1" t="n">
        <v>2504.83</v>
      </c>
      <c r="U1734" s="1" t="n">
        <v>3398.51</v>
      </c>
      <c r="V1734" s="1" t="n">
        <v>57.57</v>
      </c>
      <c r="W1734" s="1" t="s">
        <v>40</v>
      </c>
      <c r="Y1734" s="1" t="s">
        <v>40</v>
      </c>
      <c r="Z1734" s="1" t="n">
        <v>2</v>
      </c>
      <c r="AA1734" s="1" t="str">
        <f aca="false">TRIM(PROPER(F1734))</f>
        <v>Jaipur</v>
      </c>
      <c r="AB1734" s="1" t="str">
        <f aca="false">TRIM(PROPER(C1734))</f>
        <v>Vedantu</v>
      </c>
      <c r="AC1734" s="1" t="str">
        <f aca="false">IF(O1734=0,"No Discount",IF(O1734&lt;=15,"Low (1-15%)",IF(O1734&lt;=30,"Medium (16-30%)","High (&gt;30%)")))</f>
        <v>Medium (16-30%)</v>
      </c>
      <c r="AD1734" s="1" t="str">
        <f aca="false">IF(V1734&lt;0,"Loss Making",IF(V1734&lt;20,"Low Margin","Healthy Margin"))</f>
        <v>Healthy Margin</v>
      </c>
      <c r="AE1734" s="1" t="str">
        <f aca="false">TEXT(DATE(VALUE(RIGHT(B1734,4)),VALUE(MID(B1734,4,2)),VALUE(LEFT(B1734,2))),"MMM-YYYY")</f>
        <v>Jul-2023</v>
      </c>
      <c r="AF1734" s="1" t="n">
        <f aca="false">VALUE(RIGHT(B1734,4))</f>
        <v>2023</v>
      </c>
      <c r="AG1734" s="1" t="str">
        <f aca="false">CHOOSE(ROUNDUP(VALUE(MID(B1734,4,2))/3,0),"Q1","Q2","Q3","Q4")</f>
        <v>Q3</v>
      </c>
    </row>
    <row r="1735" customFormat="false" ht="15" hidden="false" customHeight="true" outlineLevel="0" collapsed="false">
      <c r="A1735" s="1" t="s">
        <v>2566</v>
      </c>
      <c r="B1735" s="1" t="s">
        <v>2567</v>
      </c>
      <c r="C1735" s="1" t="s">
        <v>43</v>
      </c>
      <c r="D1735" s="1" t="s">
        <v>168</v>
      </c>
      <c r="E1735" s="1" t="s">
        <v>197</v>
      </c>
      <c r="F1735" s="1" t="s">
        <v>55</v>
      </c>
      <c r="G1735" s="1" t="s">
        <v>56</v>
      </c>
      <c r="H1735" s="1" t="s">
        <v>57</v>
      </c>
      <c r="I1735" s="1" t="s">
        <v>83</v>
      </c>
      <c r="J1735" s="1" t="s">
        <v>131</v>
      </c>
      <c r="K1735" s="1" t="s">
        <v>104</v>
      </c>
      <c r="L1735" s="1" t="s">
        <v>49</v>
      </c>
      <c r="M1735" s="1" t="s">
        <v>62</v>
      </c>
      <c r="N1735" s="1" t="n">
        <v>8499</v>
      </c>
      <c r="O1735" s="1" t="n">
        <v>10</v>
      </c>
      <c r="P1735" s="1" t="n">
        <v>849.9</v>
      </c>
      <c r="Q1735" s="1" t="n">
        <v>7649.1</v>
      </c>
      <c r="R1735" s="1" t="n">
        <v>1376.84</v>
      </c>
      <c r="S1735" s="1" t="n">
        <v>6272.26</v>
      </c>
      <c r="T1735" s="1" t="n">
        <v>2446.23</v>
      </c>
      <c r="U1735" s="1" t="n">
        <v>3826.03</v>
      </c>
      <c r="V1735" s="1" t="n">
        <v>61</v>
      </c>
      <c r="W1735" s="1" t="s">
        <v>39</v>
      </c>
      <c r="Y1735" s="1" t="s">
        <v>40</v>
      </c>
      <c r="Z1735" s="1" t="n">
        <v>0</v>
      </c>
      <c r="AA1735" s="1" t="str">
        <f aca="false">TRIM(PROPER(F1735))</f>
        <v>Ghaziabad</v>
      </c>
      <c r="AB1735" s="1" t="str">
        <f aca="false">TRIM(PROPER(C1735))</f>
        <v>Meritnation</v>
      </c>
      <c r="AC1735" s="1" t="str">
        <f aca="false">IF(O1735=0,"No Discount",IF(O1735&lt;=15,"Low (1-15%)",IF(O1735&lt;=30,"Medium (16-30%)","High (&gt;30%)")))</f>
        <v>Low (1-15%)</v>
      </c>
      <c r="AD1735" s="1" t="str">
        <f aca="false">IF(V1735&lt;0,"Loss Making",IF(V1735&lt;20,"Low Margin","Healthy Margin"))</f>
        <v>Healthy Margin</v>
      </c>
      <c r="AE1735" s="1" t="str">
        <f aca="false">TEXT(DATE(VALUE(RIGHT(B1735,4)),VALUE(MID(B1735,4,2)),VALUE(LEFT(B1735,2))),"MMM-YYYY")</f>
        <v>Oct-2023</v>
      </c>
      <c r="AF1735" s="1" t="n">
        <f aca="false">VALUE(RIGHT(B1735,4))</f>
        <v>2023</v>
      </c>
      <c r="AG1735" s="1" t="str">
        <f aca="false">CHOOSE(ROUNDUP(VALUE(MID(B1735,4,2))/3,0),"Q1","Q2","Q3","Q4")</f>
        <v>Q4</v>
      </c>
    </row>
    <row r="1736" customFormat="false" ht="15" hidden="false" customHeight="true" outlineLevel="0" collapsed="false">
      <c r="A1736" s="1" t="s">
        <v>2568</v>
      </c>
      <c r="B1736" s="1" t="s">
        <v>680</v>
      </c>
      <c r="C1736" s="1" t="s">
        <v>100</v>
      </c>
      <c r="D1736" s="1" t="s">
        <v>94</v>
      </c>
      <c r="E1736" s="1" t="s">
        <v>95</v>
      </c>
      <c r="F1736" s="1" t="s">
        <v>89</v>
      </c>
      <c r="G1736" s="1" t="s">
        <v>68</v>
      </c>
      <c r="H1736" s="1" t="s">
        <v>33</v>
      </c>
      <c r="I1736" s="1" t="s">
        <v>83</v>
      </c>
      <c r="J1736" s="1" t="s">
        <v>59</v>
      </c>
      <c r="K1736" s="1" t="s">
        <v>71</v>
      </c>
      <c r="L1736" s="1" t="s">
        <v>49</v>
      </c>
      <c r="M1736" s="1" t="s">
        <v>38</v>
      </c>
      <c r="N1736" s="1" t="n">
        <v>6999</v>
      </c>
      <c r="O1736" s="1" t="n">
        <v>50</v>
      </c>
      <c r="P1736" s="1" t="n">
        <v>3499.5</v>
      </c>
      <c r="Q1736" s="1" t="n">
        <v>3499.5</v>
      </c>
      <c r="R1736" s="1" t="n">
        <v>629.91</v>
      </c>
      <c r="S1736" s="1" t="n">
        <v>2869.59</v>
      </c>
      <c r="T1736" s="1" t="n">
        <v>1908.34</v>
      </c>
      <c r="U1736" s="1" t="n">
        <v>961.25</v>
      </c>
      <c r="V1736" s="1" t="n">
        <v>33.5</v>
      </c>
      <c r="W1736" s="1" t="s">
        <v>39</v>
      </c>
      <c r="X1736" s="1" t="n">
        <v>2.8</v>
      </c>
      <c r="Y1736" s="1" t="s">
        <v>40</v>
      </c>
      <c r="Z1736" s="1" t="n">
        <v>0</v>
      </c>
      <c r="AA1736" s="1" t="str">
        <f aca="false">TRIM(PROPER(F1736))</f>
        <v>Vadodara</v>
      </c>
      <c r="AB1736" s="1" t="str">
        <f aca="false">TRIM(PROPER(C1736))</f>
        <v>Physics Wallah</v>
      </c>
      <c r="AC1736" s="1" t="str">
        <f aca="false">IF(O1736=0,"No Discount",IF(O1736&lt;=15,"Low (1-15%)",IF(O1736&lt;=30,"Medium (16-30%)","High (&gt;30%)")))</f>
        <v>High (&gt;30%)</v>
      </c>
      <c r="AD1736" s="1" t="str">
        <f aca="false">IF(V1736&lt;0,"Loss Making",IF(V1736&lt;20,"Low Margin","Healthy Margin"))</f>
        <v>Healthy Margin</v>
      </c>
      <c r="AE1736" s="1" t="str">
        <f aca="false">TEXT(DATE(VALUE(RIGHT(B1736,4)),VALUE(MID(B1736,4,2)),VALUE(LEFT(B1736,2))),"MMM-YYYY")</f>
        <v>May-2023</v>
      </c>
      <c r="AF1736" s="1" t="n">
        <f aca="false">VALUE(RIGHT(B1736,4))</f>
        <v>2023</v>
      </c>
      <c r="AG1736" s="1" t="str">
        <f aca="false">CHOOSE(ROUNDUP(VALUE(MID(B1736,4,2))/3,0),"Q1","Q2","Q3","Q4")</f>
        <v>Q2</v>
      </c>
    </row>
    <row r="1737" customFormat="false" ht="15" hidden="false" customHeight="true" outlineLevel="0" collapsed="false">
      <c r="A1737" s="1" t="s">
        <v>2569</v>
      </c>
      <c r="B1737" s="1" t="s">
        <v>2570</v>
      </c>
      <c r="C1737" s="1" t="s">
        <v>100</v>
      </c>
      <c r="D1737" s="1" t="s">
        <v>44</v>
      </c>
      <c r="E1737" s="1" t="s">
        <v>45</v>
      </c>
      <c r="F1737" s="1" t="s">
        <v>153</v>
      </c>
      <c r="G1737" s="1" t="s">
        <v>76</v>
      </c>
      <c r="H1737" s="1" t="s">
        <v>33</v>
      </c>
      <c r="I1737" s="1" t="s">
        <v>34</v>
      </c>
      <c r="J1737" s="1" t="s">
        <v>77</v>
      </c>
      <c r="K1737" s="1" t="s">
        <v>60</v>
      </c>
      <c r="L1737" s="1" t="s">
        <v>85</v>
      </c>
      <c r="M1737" s="1" t="s">
        <v>38</v>
      </c>
      <c r="N1737" s="1" t="n">
        <v>11999</v>
      </c>
      <c r="O1737" s="1" t="n">
        <v>5</v>
      </c>
      <c r="P1737" s="1" t="n">
        <v>599.95</v>
      </c>
      <c r="Q1737" s="1" t="n">
        <v>11399.05</v>
      </c>
      <c r="R1737" s="1" t="n">
        <v>2051.83</v>
      </c>
      <c r="S1737" s="1" t="n">
        <v>9347.22</v>
      </c>
      <c r="T1737" s="1" t="n">
        <v>3768.56</v>
      </c>
      <c r="U1737" s="1" t="n">
        <v>5578.66</v>
      </c>
      <c r="V1737" s="1" t="n">
        <v>59.68</v>
      </c>
      <c r="W1737" s="1" t="s">
        <v>39</v>
      </c>
      <c r="X1737" s="1" t="n">
        <v>3.8</v>
      </c>
      <c r="Y1737" s="1" t="s">
        <v>40</v>
      </c>
      <c r="Z1737" s="1" t="n">
        <v>0</v>
      </c>
      <c r="AA1737" s="1" t="str">
        <f aca="false">TRIM(PROPER(F1737))</f>
        <v>Howrah</v>
      </c>
      <c r="AB1737" s="1" t="str">
        <f aca="false">TRIM(PROPER(C1737))</f>
        <v>Physics Wallah</v>
      </c>
      <c r="AC1737" s="1" t="str">
        <f aca="false">IF(O1737=0,"No Discount",IF(O1737&lt;=15,"Low (1-15%)",IF(O1737&lt;=30,"Medium (16-30%)","High (&gt;30%)")))</f>
        <v>Low (1-15%)</v>
      </c>
      <c r="AD1737" s="1" t="str">
        <f aca="false">IF(V1737&lt;0,"Loss Making",IF(V1737&lt;20,"Low Margin","Healthy Margin"))</f>
        <v>Healthy Margin</v>
      </c>
      <c r="AE1737" s="1" t="str">
        <f aca="false">TEXT(DATE(VALUE(RIGHT(B1737,4)),VALUE(MID(B1737,4,2)),VALUE(LEFT(B1737,2))),"MMM-YYYY")</f>
        <v>Nov-2023</v>
      </c>
      <c r="AF1737" s="1" t="n">
        <f aca="false">VALUE(RIGHT(B1737,4))</f>
        <v>2023</v>
      </c>
      <c r="AG1737" s="1" t="str">
        <f aca="false">CHOOSE(ROUNDUP(VALUE(MID(B1737,4,2))/3,0),"Q1","Q2","Q3","Q4")</f>
        <v>Q4</v>
      </c>
    </row>
    <row r="1738" customFormat="false" ht="15" hidden="false" customHeight="true" outlineLevel="0" collapsed="false">
      <c r="A1738" s="1" t="s">
        <v>2571</v>
      </c>
      <c r="B1738" s="1" t="s">
        <v>2572</v>
      </c>
      <c r="C1738" s="1" t="s">
        <v>178</v>
      </c>
      <c r="D1738" s="1" t="s">
        <v>123</v>
      </c>
      <c r="E1738" s="1" t="s">
        <v>233</v>
      </c>
      <c r="F1738" s="1" t="s">
        <v>55</v>
      </c>
      <c r="G1738" s="1" t="s">
        <v>56</v>
      </c>
      <c r="H1738" s="1" t="s">
        <v>57</v>
      </c>
      <c r="I1738" s="1" t="s">
        <v>34</v>
      </c>
      <c r="J1738" s="1" t="s">
        <v>131</v>
      </c>
      <c r="K1738" s="1" t="s">
        <v>71</v>
      </c>
      <c r="L1738" s="1" t="s">
        <v>136</v>
      </c>
      <c r="M1738" s="1" t="s">
        <v>62</v>
      </c>
      <c r="N1738" s="1" t="n">
        <v>8999</v>
      </c>
      <c r="O1738" s="1" t="n">
        <v>0</v>
      </c>
      <c r="P1738" s="1" t="n">
        <v>0</v>
      </c>
      <c r="Q1738" s="1" t="n">
        <v>8999</v>
      </c>
      <c r="R1738" s="1" t="n">
        <v>1619.82</v>
      </c>
      <c r="S1738" s="1" t="n">
        <v>7379.18</v>
      </c>
      <c r="T1738" s="1" t="n">
        <v>2882.72</v>
      </c>
      <c r="U1738" s="1" t="n">
        <v>4496.46</v>
      </c>
      <c r="V1738" s="1" t="n">
        <v>60.93</v>
      </c>
      <c r="W1738" s="1" t="s">
        <v>40</v>
      </c>
      <c r="Y1738" s="1" t="s">
        <v>40</v>
      </c>
      <c r="Z1738" s="1" t="n">
        <v>2</v>
      </c>
      <c r="AA1738" s="1" t="str">
        <f aca="false">TRIM(PROPER(F1738))</f>
        <v>Ghaziabad</v>
      </c>
      <c r="AB1738" s="1" t="str">
        <f aca="false">TRIM(PROPER(C1738))</f>
        <v>Leverage Edu</v>
      </c>
      <c r="AC1738" s="1" t="str">
        <f aca="false">IF(O1738=0,"No Discount",IF(O1738&lt;=15,"Low (1-15%)",IF(O1738&lt;=30,"Medium (16-30%)","High (&gt;30%)")))</f>
        <v>No Discount</v>
      </c>
      <c r="AD1738" s="1" t="str">
        <f aca="false">IF(V1738&lt;0,"Loss Making",IF(V1738&lt;20,"Low Margin","Healthy Margin"))</f>
        <v>Healthy Margin</v>
      </c>
      <c r="AE1738" s="1" t="str">
        <f aca="false">TEXT(DATE(VALUE(RIGHT(B1738,4)),VALUE(MID(B1738,4,2)),VALUE(LEFT(B1738,2))),"MMM-YYYY")</f>
        <v>Nov-2024</v>
      </c>
      <c r="AF1738" s="1" t="n">
        <f aca="false">VALUE(RIGHT(B1738,4))</f>
        <v>2024</v>
      </c>
      <c r="AG1738" s="1" t="str">
        <f aca="false">CHOOSE(ROUNDUP(VALUE(MID(B1738,4,2))/3,0),"Q1","Q2","Q3","Q4")</f>
        <v>Q4</v>
      </c>
    </row>
    <row r="1739" customFormat="false" ht="15" hidden="false" customHeight="true" outlineLevel="0" collapsed="false">
      <c r="A1739" s="1" t="s">
        <v>2573</v>
      </c>
      <c r="B1739" s="1" t="s">
        <v>371</v>
      </c>
      <c r="C1739" s="1" t="s">
        <v>134</v>
      </c>
      <c r="D1739" s="1" t="s">
        <v>123</v>
      </c>
      <c r="E1739" s="1" t="s">
        <v>147</v>
      </c>
      <c r="F1739" s="1" t="s">
        <v>82</v>
      </c>
      <c r="G1739" s="1" t="s">
        <v>56</v>
      </c>
      <c r="H1739" s="1" t="s">
        <v>69</v>
      </c>
      <c r="I1739" s="1" t="s">
        <v>83</v>
      </c>
      <c r="J1739" s="1" t="s">
        <v>131</v>
      </c>
      <c r="K1739" s="1" t="s">
        <v>104</v>
      </c>
      <c r="L1739" s="1" t="s">
        <v>61</v>
      </c>
      <c r="M1739" s="1" t="s">
        <v>50</v>
      </c>
      <c r="N1739" s="1" t="n">
        <v>6999</v>
      </c>
      <c r="O1739" s="1" t="n">
        <v>20</v>
      </c>
      <c r="P1739" s="1" t="n">
        <v>1399.8</v>
      </c>
      <c r="Q1739" s="1" t="n">
        <v>5599.2</v>
      </c>
      <c r="R1739" s="1" t="n">
        <v>1007.86</v>
      </c>
      <c r="S1739" s="1" t="n">
        <v>4591.34</v>
      </c>
      <c r="T1739" s="1" t="n">
        <v>1165.89</v>
      </c>
      <c r="U1739" s="1" t="n">
        <v>3425.45</v>
      </c>
      <c r="V1739" s="1" t="n">
        <v>74.61</v>
      </c>
      <c r="W1739" s="1" t="s">
        <v>39</v>
      </c>
      <c r="X1739" s="1" t="n">
        <v>4.7</v>
      </c>
      <c r="Y1739" s="1" t="s">
        <v>40</v>
      </c>
      <c r="Z1739" s="1" t="n">
        <v>0</v>
      </c>
      <c r="AA1739" s="1" t="str">
        <f aca="false">TRIM(PROPER(F1739))</f>
        <v>Gurugram</v>
      </c>
      <c r="AB1739" s="1" t="str">
        <f aca="false">TRIM(PROPER(C1739))</f>
        <v>Doubtnut</v>
      </c>
      <c r="AC1739" s="1" t="str">
        <f aca="false">IF(O1739=0,"No Discount",IF(O1739&lt;=15,"Low (1-15%)",IF(O1739&lt;=30,"Medium (16-30%)","High (&gt;30%)")))</f>
        <v>Medium (16-30%)</v>
      </c>
      <c r="AD1739" s="1" t="str">
        <f aca="false">IF(V1739&lt;0,"Loss Making",IF(V1739&lt;20,"Low Margin","Healthy Margin"))</f>
        <v>Healthy Margin</v>
      </c>
      <c r="AE1739" s="1" t="str">
        <f aca="false">TEXT(DATE(VALUE(RIGHT(B1739,4)),VALUE(MID(B1739,4,2)),VALUE(LEFT(B1739,2))),"MMM-YYYY")</f>
        <v>Jan-2023</v>
      </c>
      <c r="AF1739" s="1" t="n">
        <f aca="false">VALUE(RIGHT(B1739,4))</f>
        <v>2023</v>
      </c>
      <c r="AG1739" s="1" t="str">
        <f aca="false">CHOOSE(ROUNDUP(VALUE(MID(B1739,4,2))/3,0),"Q1","Q2","Q3","Q4")</f>
        <v>Q1</v>
      </c>
    </row>
    <row r="1740" customFormat="false" ht="15" hidden="false" customHeight="true" outlineLevel="0" collapsed="false">
      <c r="A1740" s="1" t="s">
        <v>2574</v>
      </c>
      <c r="B1740" s="1" t="s">
        <v>1131</v>
      </c>
      <c r="C1740" s="1" t="s">
        <v>100</v>
      </c>
      <c r="D1740" s="1" t="s">
        <v>44</v>
      </c>
      <c r="E1740" s="1" t="s">
        <v>45</v>
      </c>
      <c r="F1740" s="1" t="s">
        <v>140</v>
      </c>
      <c r="G1740" s="1" t="s">
        <v>97</v>
      </c>
      <c r="H1740" s="1" t="s">
        <v>57</v>
      </c>
      <c r="I1740" s="1" t="s">
        <v>58</v>
      </c>
      <c r="J1740" s="1" t="s">
        <v>70</v>
      </c>
      <c r="K1740" s="1" t="s">
        <v>36</v>
      </c>
      <c r="L1740" s="1" t="s">
        <v>85</v>
      </c>
      <c r="M1740" s="1" t="s">
        <v>50</v>
      </c>
      <c r="N1740" s="1" t="n">
        <v>11999</v>
      </c>
      <c r="O1740" s="1" t="n">
        <v>40</v>
      </c>
      <c r="P1740" s="1" t="n">
        <v>4799.6</v>
      </c>
      <c r="Q1740" s="1" t="n">
        <v>7199.4</v>
      </c>
      <c r="R1740" s="1" t="n">
        <v>1295.89</v>
      </c>
      <c r="S1740" s="1" t="n">
        <v>5903.51</v>
      </c>
      <c r="T1740" s="1" t="n">
        <v>3409.58</v>
      </c>
      <c r="U1740" s="1" t="n">
        <v>2493.93</v>
      </c>
      <c r="V1740" s="1" t="n">
        <v>42.24</v>
      </c>
      <c r="W1740" s="1" t="s">
        <v>40</v>
      </c>
      <c r="Y1740" s="1" t="s">
        <v>40</v>
      </c>
      <c r="Z1740" s="1" t="n">
        <v>1</v>
      </c>
      <c r="AA1740" s="1" t="str">
        <f aca="false">TRIM(PROPER(F1740))</f>
        <v>Nashik</v>
      </c>
      <c r="AB1740" s="1" t="str">
        <f aca="false">TRIM(PROPER(C1740))</f>
        <v>Physics Wallah</v>
      </c>
      <c r="AC1740" s="1" t="str">
        <f aca="false">IF(O1740=0,"No Discount",IF(O1740&lt;=15,"Low (1-15%)",IF(O1740&lt;=30,"Medium (16-30%)","High (&gt;30%)")))</f>
        <v>High (&gt;30%)</v>
      </c>
      <c r="AD1740" s="1" t="str">
        <f aca="false">IF(V1740&lt;0,"Loss Making",IF(V1740&lt;20,"Low Margin","Healthy Margin"))</f>
        <v>Healthy Margin</v>
      </c>
      <c r="AE1740" s="1" t="str">
        <f aca="false">TEXT(DATE(VALUE(RIGHT(B1740,4)),VALUE(MID(B1740,4,2)),VALUE(LEFT(B1740,2))),"MMM-YYYY")</f>
        <v>Apr-2024</v>
      </c>
      <c r="AF1740" s="1" t="n">
        <f aca="false">VALUE(RIGHT(B1740,4))</f>
        <v>2024</v>
      </c>
      <c r="AG1740" s="1" t="str">
        <f aca="false">CHOOSE(ROUNDUP(VALUE(MID(B1740,4,2))/3,0),"Q1","Q2","Q3","Q4")</f>
        <v>Q2</v>
      </c>
    </row>
    <row r="1741" customFormat="false" ht="15" hidden="false" customHeight="true" outlineLevel="0" collapsed="false">
      <c r="A1741" s="1" t="s">
        <v>2575</v>
      </c>
      <c r="B1741" s="1" t="s">
        <v>1604</v>
      </c>
      <c r="C1741" s="1" t="s">
        <v>134</v>
      </c>
      <c r="D1741" s="1" t="s">
        <v>143</v>
      </c>
      <c r="E1741" s="1" t="s">
        <v>210</v>
      </c>
      <c r="F1741" s="1" t="s">
        <v>107</v>
      </c>
      <c r="G1741" s="1" t="s">
        <v>108</v>
      </c>
      <c r="H1741" s="1" t="s">
        <v>33</v>
      </c>
      <c r="I1741" s="1" t="s">
        <v>58</v>
      </c>
      <c r="J1741" s="1" t="s">
        <v>35</v>
      </c>
      <c r="K1741" s="1" t="s">
        <v>60</v>
      </c>
      <c r="L1741" s="1" t="s">
        <v>85</v>
      </c>
      <c r="M1741" s="1" t="s">
        <v>50</v>
      </c>
      <c r="N1741" s="1" t="n">
        <v>18999</v>
      </c>
      <c r="O1741" s="1" t="n">
        <v>0</v>
      </c>
      <c r="P1741" s="1" t="n">
        <v>0</v>
      </c>
      <c r="Q1741" s="1" t="n">
        <v>18999</v>
      </c>
      <c r="R1741" s="1" t="n">
        <v>3419.82</v>
      </c>
      <c r="S1741" s="1" t="n">
        <v>15579.18</v>
      </c>
      <c r="T1741" s="1" t="n">
        <v>7345.07</v>
      </c>
      <c r="U1741" s="1" t="n">
        <v>8234.11</v>
      </c>
      <c r="V1741" s="1" t="n">
        <v>52.85</v>
      </c>
      <c r="W1741" s="1" t="s">
        <v>39</v>
      </c>
      <c r="X1741" s="1" t="n">
        <v>3.4</v>
      </c>
      <c r="Y1741" s="1" t="s">
        <v>40</v>
      </c>
      <c r="Z1741" s="1" t="n">
        <v>0</v>
      </c>
      <c r="AA1741" s="1" t="str">
        <f aca="false">TRIM(PROPER(F1741))</f>
        <v>Madurai</v>
      </c>
      <c r="AB1741" s="1" t="str">
        <f aca="false">TRIM(PROPER(C1741))</f>
        <v>Doubtnut</v>
      </c>
      <c r="AC1741" s="1" t="str">
        <f aca="false">IF(O1741=0,"No Discount",IF(O1741&lt;=15,"Low (1-15%)",IF(O1741&lt;=30,"Medium (16-30%)","High (&gt;30%)")))</f>
        <v>No Discount</v>
      </c>
      <c r="AD1741" s="1" t="str">
        <f aca="false">IF(V1741&lt;0,"Loss Making",IF(V1741&lt;20,"Low Margin","Healthy Margin"))</f>
        <v>Healthy Margin</v>
      </c>
      <c r="AE1741" s="1" t="str">
        <f aca="false">TEXT(DATE(VALUE(RIGHT(B1741,4)),VALUE(MID(B1741,4,2)),VALUE(LEFT(B1741,2))),"MMM-YYYY")</f>
        <v>Oct-2023</v>
      </c>
      <c r="AF1741" s="1" t="n">
        <f aca="false">VALUE(RIGHT(B1741,4))</f>
        <v>2023</v>
      </c>
      <c r="AG1741" s="1" t="str">
        <f aca="false">CHOOSE(ROUNDUP(VALUE(MID(B1741,4,2))/3,0),"Q1","Q2","Q3","Q4")</f>
        <v>Q4</v>
      </c>
    </row>
    <row r="1742" customFormat="false" ht="15" hidden="false" customHeight="true" outlineLevel="0" collapsed="false">
      <c r="A1742" s="1" t="s">
        <v>2576</v>
      </c>
      <c r="B1742" s="1" t="s">
        <v>2027</v>
      </c>
      <c r="C1742" s="1" t="s">
        <v>134</v>
      </c>
      <c r="D1742" s="1" t="s">
        <v>94</v>
      </c>
      <c r="E1742" s="1" t="s">
        <v>135</v>
      </c>
      <c r="F1742" s="1" t="s">
        <v>205</v>
      </c>
      <c r="G1742" s="1" t="s">
        <v>56</v>
      </c>
      <c r="H1742" s="1" t="s">
        <v>69</v>
      </c>
      <c r="I1742" s="1" t="s">
        <v>34</v>
      </c>
      <c r="J1742" s="1" t="s">
        <v>70</v>
      </c>
      <c r="K1742" s="1" t="s">
        <v>71</v>
      </c>
      <c r="L1742" s="1" t="s">
        <v>49</v>
      </c>
      <c r="M1742" s="1" t="s">
        <v>50</v>
      </c>
      <c r="N1742" s="1" t="n">
        <v>9999</v>
      </c>
      <c r="O1742" s="1" t="n">
        <v>10</v>
      </c>
      <c r="P1742" s="1" t="n">
        <v>999.9</v>
      </c>
      <c r="Q1742" s="1" t="n">
        <v>8999.1</v>
      </c>
      <c r="R1742" s="1" t="n">
        <v>1619.84</v>
      </c>
      <c r="S1742" s="1" t="n">
        <v>7379.26</v>
      </c>
      <c r="T1742" s="1" t="n">
        <v>2630.92</v>
      </c>
      <c r="U1742" s="1" t="n">
        <v>4748.34</v>
      </c>
      <c r="V1742" s="1" t="n">
        <v>64.35</v>
      </c>
      <c r="W1742" s="1" t="s">
        <v>39</v>
      </c>
      <c r="X1742" s="1" t="n">
        <v>3.6</v>
      </c>
      <c r="Y1742" s="1" t="s">
        <v>40</v>
      </c>
      <c r="Z1742" s="1" t="n">
        <v>0</v>
      </c>
      <c r="AA1742" s="1" t="str">
        <f aca="false">TRIM(PROPER(F1742))</f>
        <v>New Delhi</v>
      </c>
      <c r="AB1742" s="1" t="str">
        <f aca="false">TRIM(PROPER(C1742))</f>
        <v>Doubtnut</v>
      </c>
      <c r="AC1742" s="1" t="str">
        <f aca="false">IF(O1742=0,"No Discount",IF(O1742&lt;=15,"Low (1-15%)",IF(O1742&lt;=30,"Medium (16-30%)","High (&gt;30%)")))</f>
        <v>Low (1-15%)</v>
      </c>
      <c r="AD1742" s="1" t="str">
        <f aca="false">IF(V1742&lt;0,"Loss Making",IF(V1742&lt;20,"Low Margin","Healthy Margin"))</f>
        <v>Healthy Margin</v>
      </c>
      <c r="AE1742" s="1" t="str">
        <f aca="false">TEXT(DATE(VALUE(RIGHT(B1742,4)),VALUE(MID(B1742,4,2)),VALUE(LEFT(B1742,2))),"MMM-YYYY")</f>
        <v>Jul-2023</v>
      </c>
      <c r="AF1742" s="1" t="n">
        <f aca="false">VALUE(RIGHT(B1742,4))</f>
        <v>2023</v>
      </c>
      <c r="AG1742" s="1" t="str">
        <f aca="false">CHOOSE(ROUNDUP(VALUE(MID(B1742,4,2))/3,0),"Q1","Q2","Q3","Q4")</f>
        <v>Q3</v>
      </c>
    </row>
    <row r="1743" customFormat="false" ht="15" hidden="false" customHeight="true" outlineLevel="0" collapsed="false">
      <c r="A1743" s="1" t="s">
        <v>2577</v>
      </c>
      <c r="B1743" s="1" t="s">
        <v>292</v>
      </c>
      <c r="C1743" s="1" t="s">
        <v>100</v>
      </c>
      <c r="D1743" s="1" t="s">
        <v>80</v>
      </c>
      <c r="E1743" s="1" t="s">
        <v>190</v>
      </c>
      <c r="F1743" s="1" t="s">
        <v>963</v>
      </c>
      <c r="G1743" s="1" t="s">
        <v>68</v>
      </c>
      <c r="H1743" s="1" t="s">
        <v>57</v>
      </c>
      <c r="I1743" s="1" t="s">
        <v>83</v>
      </c>
      <c r="J1743" s="1" t="s">
        <v>59</v>
      </c>
      <c r="K1743" s="1" t="s">
        <v>84</v>
      </c>
      <c r="L1743" s="1" t="s">
        <v>136</v>
      </c>
      <c r="M1743" s="1" t="s">
        <v>50</v>
      </c>
      <c r="N1743" s="1" t="n">
        <v>15999</v>
      </c>
      <c r="O1743" s="1" t="n">
        <v>0</v>
      </c>
      <c r="P1743" s="1" t="n">
        <v>0</v>
      </c>
      <c r="Q1743" s="1" t="n">
        <v>15999</v>
      </c>
      <c r="R1743" s="1" t="n">
        <v>2879.82</v>
      </c>
      <c r="S1743" s="1" t="n">
        <v>13119.18</v>
      </c>
      <c r="T1743" s="1" t="n">
        <v>6227.79</v>
      </c>
      <c r="U1743" s="1" t="n">
        <v>6891.39</v>
      </c>
      <c r="V1743" s="1" t="n">
        <v>52.53</v>
      </c>
      <c r="W1743" s="1" t="s">
        <v>40</v>
      </c>
      <c r="Y1743" s="1" t="s">
        <v>40</v>
      </c>
      <c r="Z1743" s="1" t="n">
        <v>0</v>
      </c>
      <c r="AA1743" s="1" t="str">
        <f aca="false">TRIM(PROPER(F1743))</f>
        <v>Surat</v>
      </c>
      <c r="AB1743" s="1" t="str">
        <f aca="false">TRIM(PROPER(C1743))</f>
        <v>Physics Wallah</v>
      </c>
      <c r="AC1743" s="1" t="str">
        <f aca="false">IF(O1743=0,"No Discount",IF(O1743&lt;=15,"Low (1-15%)",IF(O1743&lt;=30,"Medium (16-30%)","High (&gt;30%)")))</f>
        <v>No Discount</v>
      </c>
      <c r="AD1743" s="1" t="str">
        <f aca="false">IF(V1743&lt;0,"Loss Making",IF(V1743&lt;20,"Low Margin","Healthy Margin"))</f>
        <v>Healthy Margin</v>
      </c>
      <c r="AE1743" s="1" t="str">
        <f aca="false">TEXT(DATE(VALUE(RIGHT(B1743,4)),VALUE(MID(B1743,4,2)),VALUE(LEFT(B1743,2))),"MMM-YYYY")</f>
        <v>Oct-2023</v>
      </c>
      <c r="AF1743" s="1" t="n">
        <f aca="false">VALUE(RIGHT(B1743,4))</f>
        <v>2023</v>
      </c>
      <c r="AG1743" s="1" t="str">
        <f aca="false">CHOOSE(ROUNDUP(VALUE(MID(B1743,4,2))/3,0),"Q1","Q2","Q3","Q4")</f>
        <v>Q4</v>
      </c>
    </row>
    <row r="1744" customFormat="false" ht="15" hidden="false" customHeight="true" outlineLevel="0" collapsed="false">
      <c r="A1744" s="1" t="s">
        <v>2578</v>
      </c>
      <c r="B1744" s="1" t="s">
        <v>1430</v>
      </c>
      <c r="C1744" s="1" t="s">
        <v>249</v>
      </c>
      <c r="D1744" s="1" t="s">
        <v>44</v>
      </c>
      <c r="E1744" s="1" t="s">
        <v>45</v>
      </c>
      <c r="F1744" s="1" t="s">
        <v>205</v>
      </c>
      <c r="G1744" s="1" t="s">
        <v>56</v>
      </c>
      <c r="H1744" s="1" t="s">
        <v>69</v>
      </c>
      <c r="I1744" s="1" t="s">
        <v>34</v>
      </c>
      <c r="J1744" s="1" t="s">
        <v>77</v>
      </c>
      <c r="K1744" s="1" t="s">
        <v>71</v>
      </c>
      <c r="L1744" s="1" t="s">
        <v>49</v>
      </c>
      <c r="M1744" s="1" t="s">
        <v>38</v>
      </c>
      <c r="N1744" s="1" t="n">
        <v>11999</v>
      </c>
      <c r="O1744" s="1" t="n">
        <v>20</v>
      </c>
      <c r="P1744" s="1" t="n">
        <v>2399.8</v>
      </c>
      <c r="Q1744" s="1" t="n">
        <v>9599.2</v>
      </c>
      <c r="R1744" s="1" t="n">
        <v>1727.86</v>
      </c>
      <c r="S1744" s="1" t="n">
        <v>7871.34</v>
      </c>
      <c r="T1744" s="1" t="n">
        <v>2800.43</v>
      </c>
      <c r="U1744" s="1" t="n">
        <v>5070.91</v>
      </c>
      <c r="V1744" s="1" t="n">
        <v>64.42</v>
      </c>
      <c r="W1744" s="1" t="s">
        <v>39</v>
      </c>
      <c r="X1744" s="1" t="n">
        <v>3.6</v>
      </c>
      <c r="Y1744" s="1" t="s">
        <v>40</v>
      </c>
      <c r="Z1744" s="1" t="n">
        <v>0</v>
      </c>
      <c r="AA1744" s="1" t="str">
        <f aca="false">TRIM(PROPER(F1744))</f>
        <v>New Delhi</v>
      </c>
      <c r="AB1744" s="1" t="str">
        <f aca="false">TRIM(PROPER(C1744))</f>
        <v>Whitehat Jr</v>
      </c>
      <c r="AC1744" s="1" t="str">
        <f aca="false">IF(O1744=0,"No Discount",IF(O1744&lt;=15,"Low (1-15%)",IF(O1744&lt;=30,"Medium (16-30%)","High (&gt;30%)")))</f>
        <v>Medium (16-30%)</v>
      </c>
      <c r="AD1744" s="1" t="str">
        <f aca="false">IF(V1744&lt;0,"Loss Making",IF(V1744&lt;20,"Low Margin","Healthy Margin"))</f>
        <v>Healthy Margin</v>
      </c>
      <c r="AE1744" s="1" t="str">
        <f aca="false">TEXT(DATE(VALUE(RIGHT(B1744,4)),VALUE(MID(B1744,4,2)),VALUE(LEFT(B1744,2))),"MMM-YYYY")</f>
        <v>Oct-2023</v>
      </c>
      <c r="AF1744" s="1" t="n">
        <f aca="false">VALUE(RIGHT(B1744,4))</f>
        <v>2023</v>
      </c>
      <c r="AG1744" s="1" t="str">
        <f aca="false">CHOOSE(ROUNDUP(VALUE(MID(B1744,4,2))/3,0),"Q1","Q2","Q3","Q4")</f>
        <v>Q4</v>
      </c>
    </row>
    <row r="1745" customFormat="false" ht="15" hidden="false" customHeight="true" outlineLevel="0" collapsed="false">
      <c r="A1745" s="1" t="s">
        <v>2579</v>
      </c>
      <c r="B1745" s="1" t="s">
        <v>572</v>
      </c>
      <c r="C1745" s="1" t="s">
        <v>128</v>
      </c>
      <c r="D1745" s="1" t="s">
        <v>44</v>
      </c>
      <c r="E1745" s="1" t="s">
        <v>66</v>
      </c>
      <c r="F1745" s="1" t="s">
        <v>130</v>
      </c>
      <c r="G1745" s="1" t="s">
        <v>47</v>
      </c>
      <c r="H1745" s="1" t="s">
        <v>69</v>
      </c>
      <c r="I1745" s="1" t="s">
        <v>58</v>
      </c>
      <c r="J1745" s="1" t="s">
        <v>70</v>
      </c>
      <c r="K1745" s="1" t="s">
        <v>84</v>
      </c>
      <c r="L1745" s="1" t="s">
        <v>113</v>
      </c>
      <c r="M1745" s="1" t="s">
        <v>62</v>
      </c>
      <c r="N1745" s="1" t="n">
        <v>12999</v>
      </c>
      <c r="O1745" s="1" t="n">
        <v>0</v>
      </c>
      <c r="P1745" s="1" t="n">
        <v>0</v>
      </c>
      <c r="Q1745" s="1" t="n">
        <v>12999</v>
      </c>
      <c r="R1745" s="1" t="n">
        <v>2339.82</v>
      </c>
      <c r="S1745" s="1" t="n">
        <v>10659.18</v>
      </c>
      <c r="T1745" s="1" t="n">
        <v>4208.66</v>
      </c>
      <c r="U1745" s="1" t="n">
        <v>6450.52</v>
      </c>
      <c r="V1745" s="1" t="n">
        <v>60.52</v>
      </c>
      <c r="W1745" s="1" t="s">
        <v>39</v>
      </c>
      <c r="X1745" s="1" t="n">
        <v>4.7</v>
      </c>
      <c r="Y1745" s="1" t="s">
        <v>40</v>
      </c>
      <c r="Z1745" s="1" t="n">
        <v>0</v>
      </c>
      <c r="AA1745" s="1" t="str">
        <f aca="false">TRIM(PROPER(F1745))</f>
        <v>Bengaluru</v>
      </c>
      <c r="AB1745" s="1" t="str">
        <f aca="false">TRIM(PROPER(C1745))</f>
        <v>Great Learning</v>
      </c>
      <c r="AC1745" s="1" t="str">
        <f aca="false">IF(O1745=0,"No Discount",IF(O1745&lt;=15,"Low (1-15%)",IF(O1745&lt;=30,"Medium (16-30%)","High (&gt;30%)")))</f>
        <v>No Discount</v>
      </c>
      <c r="AD1745" s="1" t="str">
        <f aca="false">IF(V1745&lt;0,"Loss Making",IF(V1745&lt;20,"Low Margin","Healthy Margin"))</f>
        <v>Healthy Margin</v>
      </c>
      <c r="AE1745" s="1" t="str">
        <f aca="false">TEXT(DATE(VALUE(RIGHT(B1745,4)),VALUE(MID(B1745,4,2)),VALUE(LEFT(B1745,2))),"MMM-YYYY")</f>
        <v>Oct-2024</v>
      </c>
      <c r="AF1745" s="1" t="n">
        <f aca="false">VALUE(RIGHT(B1745,4))</f>
        <v>2024</v>
      </c>
      <c r="AG1745" s="1" t="str">
        <f aca="false">CHOOSE(ROUNDUP(VALUE(MID(B1745,4,2))/3,0),"Q1","Q2","Q3","Q4")</f>
        <v>Q4</v>
      </c>
    </row>
    <row r="1746" customFormat="false" ht="15" hidden="false" customHeight="true" outlineLevel="0" collapsed="false">
      <c r="A1746" s="1" t="s">
        <v>2580</v>
      </c>
      <c r="B1746" s="1" t="s">
        <v>1331</v>
      </c>
      <c r="C1746" s="1" t="s">
        <v>264</v>
      </c>
      <c r="D1746" s="1" t="s">
        <v>53</v>
      </c>
      <c r="E1746" s="1" t="s">
        <v>216</v>
      </c>
      <c r="F1746" s="1" t="s">
        <v>75</v>
      </c>
      <c r="G1746" s="1" t="s">
        <v>76</v>
      </c>
      <c r="H1746" s="1" t="s">
        <v>69</v>
      </c>
      <c r="I1746" s="1" t="s">
        <v>58</v>
      </c>
      <c r="J1746" s="1" t="s">
        <v>70</v>
      </c>
      <c r="K1746" s="1" t="s">
        <v>36</v>
      </c>
      <c r="L1746" s="1" t="s">
        <v>85</v>
      </c>
      <c r="M1746" s="1" t="s">
        <v>50</v>
      </c>
      <c r="N1746" s="1" t="n">
        <v>7499</v>
      </c>
      <c r="O1746" s="1" t="n">
        <v>50</v>
      </c>
      <c r="P1746" s="1" t="n">
        <v>3749.5</v>
      </c>
      <c r="Q1746" s="1" t="n">
        <v>3749.5</v>
      </c>
      <c r="R1746" s="1" t="n">
        <v>674.91</v>
      </c>
      <c r="S1746" s="1" t="n">
        <v>3074.59</v>
      </c>
      <c r="T1746" s="1" t="n">
        <v>1458.09</v>
      </c>
      <c r="U1746" s="1" t="n">
        <v>1616.5</v>
      </c>
      <c r="V1746" s="1" t="n">
        <v>52.58</v>
      </c>
      <c r="W1746" s="1" t="s">
        <v>39</v>
      </c>
      <c r="X1746" s="1" t="n">
        <v>4</v>
      </c>
      <c r="Y1746" s="1" t="s">
        <v>40</v>
      </c>
      <c r="Z1746" s="1" t="n">
        <v>0</v>
      </c>
      <c r="AA1746" s="1" t="str">
        <f aca="false">TRIM(PROPER(F1746))</f>
        <v>Kolkata</v>
      </c>
      <c r="AB1746" s="1" t="str">
        <f aca="false">TRIM(PROPER(C1746))</f>
        <v>Unacademy</v>
      </c>
      <c r="AC1746" s="1" t="str">
        <f aca="false">IF(O1746=0,"No Discount",IF(O1746&lt;=15,"Low (1-15%)",IF(O1746&lt;=30,"Medium (16-30%)","High (&gt;30%)")))</f>
        <v>High (&gt;30%)</v>
      </c>
      <c r="AD1746" s="1" t="str">
        <f aca="false">IF(V1746&lt;0,"Loss Making",IF(V1746&lt;20,"Low Margin","Healthy Margin"))</f>
        <v>Healthy Margin</v>
      </c>
      <c r="AE1746" s="1" t="str">
        <f aca="false">TEXT(DATE(VALUE(RIGHT(B1746,4)),VALUE(MID(B1746,4,2)),VALUE(LEFT(B1746,2))),"MMM-YYYY")</f>
        <v>Sep-2024</v>
      </c>
      <c r="AF1746" s="1" t="n">
        <f aca="false">VALUE(RIGHT(B1746,4))</f>
        <v>2024</v>
      </c>
      <c r="AG1746" s="1" t="str">
        <f aca="false">CHOOSE(ROUNDUP(VALUE(MID(B1746,4,2))/3,0),"Q1","Q2","Q3","Q4")</f>
        <v>Q3</v>
      </c>
    </row>
    <row r="1747" customFormat="false" ht="15" hidden="false" customHeight="true" outlineLevel="0" collapsed="false">
      <c r="A1747" s="1" t="s">
        <v>2581</v>
      </c>
      <c r="B1747" s="1" t="s">
        <v>1465</v>
      </c>
      <c r="C1747" s="1" t="s">
        <v>43</v>
      </c>
      <c r="D1747" s="1" t="s">
        <v>94</v>
      </c>
      <c r="E1747" s="1" t="s">
        <v>95</v>
      </c>
      <c r="F1747" s="1" t="s">
        <v>46</v>
      </c>
      <c r="G1747" s="1" t="s">
        <v>47</v>
      </c>
      <c r="H1747" s="1" t="s">
        <v>33</v>
      </c>
      <c r="I1747" s="1" t="s">
        <v>34</v>
      </c>
      <c r="J1747" s="1" t="s">
        <v>70</v>
      </c>
      <c r="K1747" s="1" t="s">
        <v>60</v>
      </c>
      <c r="L1747" s="1" t="s">
        <v>113</v>
      </c>
      <c r="M1747" s="1" t="s">
        <v>62</v>
      </c>
      <c r="N1747" s="1" t="n">
        <v>6999</v>
      </c>
      <c r="O1747" s="1" t="n">
        <v>0</v>
      </c>
      <c r="P1747" s="1" t="n">
        <v>0</v>
      </c>
      <c r="Q1747" s="1" t="n">
        <v>6999</v>
      </c>
      <c r="R1747" s="1" t="n">
        <v>1259.82</v>
      </c>
      <c r="S1747" s="1" t="n">
        <v>5739.18</v>
      </c>
      <c r="T1747" s="1" t="n">
        <v>2796.08</v>
      </c>
      <c r="U1747" s="1" t="n">
        <v>2943.1</v>
      </c>
      <c r="V1747" s="1" t="n">
        <v>51.28</v>
      </c>
      <c r="W1747" s="1" t="s">
        <v>39</v>
      </c>
      <c r="X1747" s="1" t="n">
        <v>4.2</v>
      </c>
      <c r="Y1747" s="1" t="s">
        <v>39</v>
      </c>
      <c r="Z1747" s="1" t="n">
        <v>0</v>
      </c>
      <c r="AA1747" s="1" t="str">
        <f aca="false">TRIM(PROPER(F1747))</f>
        <v>Mangaluru</v>
      </c>
      <c r="AB1747" s="1" t="str">
        <f aca="false">TRIM(PROPER(C1747))</f>
        <v>Meritnation</v>
      </c>
      <c r="AC1747" s="1" t="str">
        <f aca="false">IF(O1747=0,"No Discount",IF(O1747&lt;=15,"Low (1-15%)",IF(O1747&lt;=30,"Medium (16-30%)","High (&gt;30%)")))</f>
        <v>No Discount</v>
      </c>
      <c r="AD1747" s="1" t="str">
        <f aca="false">IF(V1747&lt;0,"Loss Making",IF(V1747&lt;20,"Low Margin","Healthy Margin"))</f>
        <v>Healthy Margin</v>
      </c>
      <c r="AE1747" s="1" t="str">
        <f aca="false">TEXT(DATE(VALUE(RIGHT(B1747,4)),VALUE(MID(B1747,4,2)),VALUE(LEFT(B1747,2))),"MMM-YYYY")</f>
        <v>Sep-2024</v>
      </c>
      <c r="AF1747" s="1" t="n">
        <f aca="false">VALUE(RIGHT(B1747,4))</f>
        <v>2024</v>
      </c>
      <c r="AG1747" s="1" t="str">
        <f aca="false">CHOOSE(ROUNDUP(VALUE(MID(B1747,4,2))/3,0),"Q1","Q2","Q3","Q4")</f>
        <v>Q3</v>
      </c>
    </row>
    <row r="1748" customFormat="false" ht="15" hidden="false" customHeight="true" outlineLevel="0" collapsed="false">
      <c r="A1748" s="1" t="s">
        <v>2582</v>
      </c>
      <c r="B1748" s="1" t="s">
        <v>251</v>
      </c>
      <c r="C1748" s="1" t="s">
        <v>167</v>
      </c>
      <c r="D1748" s="1" t="s">
        <v>168</v>
      </c>
      <c r="E1748" s="1" t="s">
        <v>169</v>
      </c>
      <c r="F1748" s="1" t="s">
        <v>184</v>
      </c>
      <c r="G1748" s="1" t="s">
        <v>56</v>
      </c>
      <c r="H1748" s="1" t="s">
        <v>57</v>
      </c>
      <c r="I1748" s="1" t="s">
        <v>58</v>
      </c>
      <c r="J1748" s="1" t="s">
        <v>35</v>
      </c>
      <c r="K1748" s="1" t="s">
        <v>60</v>
      </c>
      <c r="L1748" s="1" t="s">
        <v>37</v>
      </c>
      <c r="M1748" s="1" t="s">
        <v>38</v>
      </c>
      <c r="N1748" s="1" t="n">
        <v>4999</v>
      </c>
      <c r="O1748" s="1" t="n">
        <v>50</v>
      </c>
      <c r="P1748" s="1" t="n">
        <v>2499.5</v>
      </c>
      <c r="Q1748" s="1" t="n">
        <v>2499.5</v>
      </c>
      <c r="R1748" s="1" t="n">
        <v>449.91</v>
      </c>
      <c r="S1748" s="1" t="n">
        <v>2049.59</v>
      </c>
      <c r="T1748" s="1" t="n">
        <v>991.99</v>
      </c>
      <c r="U1748" s="1" t="n">
        <v>1057.6</v>
      </c>
      <c r="V1748" s="1" t="n">
        <v>51.6</v>
      </c>
      <c r="W1748" s="1" t="s">
        <v>40</v>
      </c>
      <c r="Y1748" s="1" t="s">
        <v>40</v>
      </c>
      <c r="Z1748" s="1" t="n">
        <v>1</v>
      </c>
      <c r="AA1748" s="1" t="str">
        <f aca="false">TRIM(PROPER(F1748))</f>
        <v>Faridabad</v>
      </c>
      <c r="AB1748" s="1" t="str">
        <f aca="false">TRIM(PROPER(C1748))</f>
        <v>Scaler</v>
      </c>
      <c r="AC1748" s="1" t="str">
        <f aca="false">IF(O1748=0,"No Discount",IF(O1748&lt;=15,"Low (1-15%)",IF(O1748&lt;=30,"Medium (16-30%)","High (&gt;30%)")))</f>
        <v>High (&gt;30%)</v>
      </c>
      <c r="AD1748" s="1" t="str">
        <f aca="false">IF(V1748&lt;0,"Loss Making",IF(V1748&lt;20,"Low Margin","Healthy Margin"))</f>
        <v>Healthy Margin</v>
      </c>
      <c r="AE1748" s="1" t="str">
        <f aca="false">TEXT(DATE(VALUE(RIGHT(B1748,4)),VALUE(MID(B1748,4,2)),VALUE(LEFT(B1748,2))),"MMM-YYYY")</f>
        <v>Apr-2023</v>
      </c>
      <c r="AF1748" s="1" t="n">
        <f aca="false">VALUE(RIGHT(B1748,4))</f>
        <v>2023</v>
      </c>
      <c r="AG1748" s="1" t="str">
        <f aca="false">CHOOSE(ROUNDUP(VALUE(MID(B1748,4,2))/3,0),"Q1","Q2","Q3","Q4")</f>
        <v>Q2</v>
      </c>
    </row>
    <row r="1749" customFormat="false" ht="15" hidden="false" customHeight="true" outlineLevel="0" collapsed="false">
      <c r="A1749" s="1" t="s">
        <v>2583</v>
      </c>
      <c r="B1749" s="1" t="s">
        <v>487</v>
      </c>
      <c r="C1749" s="1" t="s">
        <v>119</v>
      </c>
      <c r="D1749" s="1" t="s">
        <v>80</v>
      </c>
      <c r="E1749" s="1" t="s">
        <v>193</v>
      </c>
      <c r="F1749" s="1" t="s">
        <v>153</v>
      </c>
      <c r="G1749" s="1" t="s">
        <v>76</v>
      </c>
      <c r="H1749" s="1" t="s">
        <v>33</v>
      </c>
      <c r="I1749" s="1" t="s">
        <v>83</v>
      </c>
      <c r="J1749" s="1" t="s">
        <v>77</v>
      </c>
      <c r="K1749" s="1" t="s">
        <v>112</v>
      </c>
      <c r="L1749" s="1" t="s">
        <v>113</v>
      </c>
      <c r="M1749" s="1" t="s">
        <v>62</v>
      </c>
      <c r="N1749" s="1" t="n">
        <v>8999</v>
      </c>
      <c r="O1749" s="1" t="n">
        <v>25</v>
      </c>
      <c r="P1749" s="1" t="n">
        <v>2249.75</v>
      </c>
      <c r="Q1749" s="1" t="n">
        <v>6749.25</v>
      </c>
      <c r="R1749" s="1" t="n">
        <v>1214.87</v>
      </c>
      <c r="S1749" s="1" t="n">
        <v>5534.38</v>
      </c>
      <c r="T1749" s="1" t="n">
        <v>2680.56</v>
      </c>
      <c r="U1749" s="1" t="n">
        <v>2853.82</v>
      </c>
      <c r="V1749" s="1" t="n">
        <v>51.57</v>
      </c>
      <c r="W1749" s="1" t="s">
        <v>39</v>
      </c>
      <c r="X1749" s="1" t="n">
        <v>4.8</v>
      </c>
      <c r="Y1749" s="1" t="s">
        <v>39</v>
      </c>
      <c r="Z1749" s="1" t="n">
        <v>0</v>
      </c>
      <c r="AA1749" s="1" t="str">
        <f aca="false">TRIM(PROPER(F1749))</f>
        <v>Howrah</v>
      </c>
      <c r="AB1749" s="1" t="str">
        <f aca="false">TRIM(PROPER(C1749))</f>
        <v>Simplilearn</v>
      </c>
      <c r="AC1749" s="1" t="str">
        <f aca="false">IF(O1749=0,"No Discount",IF(O1749&lt;=15,"Low (1-15%)",IF(O1749&lt;=30,"Medium (16-30%)","High (&gt;30%)")))</f>
        <v>Medium (16-30%)</v>
      </c>
      <c r="AD1749" s="1" t="str">
        <f aca="false">IF(V1749&lt;0,"Loss Making",IF(V1749&lt;20,"Low Margin","Healthy Margin"))</f>
        <v>Healthy Margin</v>
      </c>
      <c r="AE1749" s="1" t="str">
        <f aca="false">TEXT(DATE(VALUE(RIGHT(B1749,4)),VALUE(MID(B1749,4,2)),VALUE(LEFT(B1749,2))),"MMM-YYYY")</f>
        <v>Mar-2023</v>
      </c>
      <c r="AF1749" s="1" t="n">
        <f aca="false">VALUE(RIGHT(B1749,4))</f>
        <v>2023</v>
      </c>
      <c r="AG1749" s="1" t="str">
        <f aca="false">CHOOSE(ROUNDUP(VALUE(MID(B1749,4,2))/3,0),"Q1","Q2","Q3","Q4")</f>
        <v>Q1</v>
      </c>
    </row>
    <row r="1750" customFormat="false" ht="15" hidden="false" customHeight="true" outlineLevel="0" collapsed="false">
      <c r="A1750" s="1" t="s">
        <v>2584</v>
      </c>
      <c r="B1750" s="1" t="s">
        <v>2585</v>
      </c>
      <c r="C1750" s="1" t="s">
        <v>28</v>
      </c>
      <c r="D1750" s="1" t="s">
        <v>44</v>
      </c>
      <c r="E1750" s="1" t="s">
        <v>45</v>
      </c>
      <c r="F1750" s="1" t="s">
        <v>46</v>
      </c>
      <c r="G1750" s="1" t="s">
        <v>47</v>
      </c>
      <c r="H1750" s="1" t="s">
        <v>33</v>
      </c>
      <c r="I1750" s="1" t="s">
        <v>34</v>
      </c>
      <c r="J1750" s="1" t="s">
        <v>35</v>
      </c>
      <c r="K1750" s="1" t="s">
        <v>60</v>
      </c>
      <c r="L1750" s="1" t="s">
        <v>85</v>
      </c>
      <c r="M1750" s="1" t="s">
        <v>38</v>
      </c>
      <c r="N1750" s="1" t="n">
        <v>11999</v>
      </c>
      <c r="O1750" s="1" t="n">
        <v>40</v>
      </c>
      <c r="P1750" s="1" t="n">
        <v>4799.6</v>
      </c>
      <c r="Q1750" s="1" t="n">
        <v>7199.4</v>
      </c>
      <c r="R1750" s="1" t="n">
        <v>1295.89</v>
      </c>
      <c r="S1750" s="1" t="n">
        <v>5903.51</v>
      </c>
      <c r="T1750" s="1" t="n">
        <v>3009.32</v>
      </c>
      <c r="U1750" s="1" t="n">
        <v>2894.19</v>
      </c>
      <c r="V1750" s="1" t="n">
        <v>49.02</v>
      </c>
      <c r="W1750" s="1" t="s">
        <v>40</v>
      </c>
      <c r="Y1750" s="1" t="s">
        <v>40</v>
      </c>
      <c r="Z1750" s="1" t="n">
        <v>0</v>
      </c>
      <c r="AA1750" s="1" t="str">
        <f aca="false">TRIM(PROPER(F1750))</f>
        <v>Mangaluru</v>
      </c>
      <c r="AB1750" s="1" t="str">
        <f aca="false">TRIM(PROPER(C1750))</f>
        <v>Embibe</v>
      </c>
      <c r="AC1750" s="1" t="str">
        <f aca="false">IF(O1750=0,"No Discount",IF(O1750&lt;=15,"Low (1-15%)",IF(O1750&lt;=30,"Medium (16-30%)","High (&gt;30%)")))</f>
        <v>High (&gt;30%)</v>
      </c>
      <c r="AD1750" s="1" t="str">
        <f aca="false">IF(V1750&lt;0,"Loss Making",IF(V1750&lt;20,"Low Margin","Healthy Margin"))</f>
        <v>Healthy Margin</v>
      </c>
      <c r="AE1750" s="1" t="str">
        <f aca="false">TEXT(DATE(VALUE(RIGHT(B1750,4)),VALUE(MID(B1750,4,2)),VALUE(LEFT(B1750,2))),"MMM-YYYY")</f>
        <v>May-2023</v>
      </c>
      <c r="AF1750" s="1" t="n">
        <f aca="false">VALUE(RIGHT(B1750,4))</f>
        <v>2023</v>
      </c>
      <c r="AG1750" s="1" t="str">
        <f aca="false">CHOOSE(ROUNDUP(VALUE(MID(B1750,4,2))/3,0),"Q1","Q2","Q3","Q4")</f>
        <v>Q2</v>
      </c>
    </row>
    <row r="1751" customFormat="false" ht="15" hidden="false" customHeight="true" outlineLevel="0" collapsed="false">
      <c r="A1751" s="1" t="s">
        <v>2586</v>
      </c>
      <c r="B1751" s="1" t="s">
        <v>1021</v>
      </c>
      <c r="C1751" s="1" t="s">
        <v>74</v>
      </c>
      <c r="D1751" s="1" t="s">
        <v>53</v>
      </c>
      <c r="E1751" s="1" t="s">
        <v>116</v>
      </c>
      <c r="F1751" s="1" t="s">
        <v>89</v>
      </c>
      <c r="G1751" s="1" t="s">
        <v>68</v>
      </c>
      <c r="H1751" s="1" t="s">
        <v>33</v>
      </c>
      <c r="I1751" s="1" t="s">
        <v>58</v>
      </c>
      <c r="J1751" s="1" t="s">
        <v>70</v>
      </c>
      <c r="K1751" s="1" t="s">
        <v>104</v>
      </c>
      <c r="L1751" s="1" t="s">
        <v>136</v>
      </c>
      <c r="M1751" s="1" t="s">
        <v>38</v>
      </c>
      <c r="N1751" s="1" t="n">
        <v>9999</v>
      </c>
      <c r="O1751" s="1" t="n">
        <v>10</v>
      </c>
      <c r="P1751" s="1" t="n">
        <v>999.9</v>
      </c>
      <c r="Q1751" s="1" t="n">
        <v>8999.1</v>
      </c>
      <c r="R1751" s="1" t="n">
        <v>1619.84</v>
      </c>
      <c r="S1751" s="1" t="n">
        <v>7379.26</v>
      </c>
      <c r="T1751" s="1" t="n">
        <v>2951.74</v>
      </c>
      <c r="U1751" s="1" t="n">
        <v>4427.52</v>
      </c>
      <c r="V1751" s="1" t="n">
        <v>60</v>
      </c>
      <c r="W1751" s="1" t="s">
        <v>39</v>
      </c>
      <c r="X1751" s="1" t="n">
        <v>2.9</v>
      </c>
      <c r="Y1751" s="1" t="s">
        <v>40</v>
      </c>
      <c r="Z1751" s="1" t="n">
        <v>1</v>
      </c>
      <c r="AA1751" s="1" t="str">
        <f aca="false">TRIM(PROPER(F1751))</f>
        <v>Vadodara</v>
      </c>
      <c r="AB1751" s="1" t="str">
        <f aca="false">TRIM(PROPER(C1751))</f>
        <v>Vedantu</v>
      </c>
      <c r="AC1751" s="1" t="str">
        <f aca="false">IF(O1751=0,"No Discount",IF(O1751&lt;=15,"Low (1-15%)",IF(O1751&lt;=30,"Medium (16-30%)","High (&gt;30%)")))</f>
        <v>Low (1-15%)</v>
      </c>
      <c r="AD1751" s="1" t="str">
        <f aca="false">IF(V1751&lt;0,"Loss Making",IF(V1751&lt;20,"Low Margin","Healthy Margin"))</f>
        <v>Healthy Margin</v>
      </c>
      <c r="AE1751" s="1" t="str">
        <f aca="false">TEXT(DATE(VALUE(RIGHT(B1751,4)),VALUE(MID(B1751,4,2)),VALUE(LEFT(B1751,2))),"MMM-YYYY")</f>
        <v>Dec-2024</v>
      </c>
      <c r="AF1751" s="1" t="n">
        <f aca="false">VALUE(RIGHT(B1751,4))</f>
        <v>2024</v>
      </c>
      <c r="AG1751" s="1" t="str">
        <f aca="false">CHOOSE(ROUNDUP(VALUE(MID(B1751,4,2))/3,0),"Q1","Q2","Q3","Q4")</f>
        <v>Q4</v>
      </c>
    </row>
    <row r="1752" customFormat="false" ht="15" hidden="false" customHeight="true" outlineLevel="0" collapsed="false">
      <c r="A1752" s="1" t="s">
        <v>2587</v>
      </c>
      <c r="B1752" s="1" t="s">
        <v>1196</v>
      </c>
      <c r="C1752" s="1" t="s">
        <v>100</v>
      </c>
      <c r="D1752" s="1" t="s">
        <v>143</v>
      </c>
      <c r="E1752" s="1" t="s">
        <v>210</v>
      </c>
      <c r="F1752" s="1" t="s">
        <v>31</v>
      </c>
      <c r="G1752" s="1" t="s">
        <v>32</v>
      </c>
      <c r="H1752" s="1" t="s">
        <v>33</v>
      </c>
      <c r="I1752" s="1" t="s">
        <v>83</v>
      </c>
      <c r="J1752" s="1" t="s">
        <v>77</v>
      </c>
      <c r="K1752" s="1" t="s">
        <v>48</v>
      </c>
      <c r="L1752" s="1" t="s">
        <v>61</v>
      </c>
      <c r="M1752" s="1" t="s">
        <v>50</v>
      </c>
      <c r="N1752" s="1" t="n">
        <v>18999</v>
      </c>
      <c r="O1752" s="1" t="n">
        <v>25</v>
      </c>
      <c r="P1752" s="1" t="n">
        <v>4749.75</v>
      </c>
      <c r="Q1752" s="1" t="n">
        <v>14249.25</v>
      </c>
      <c r="R1752" s="1" t="n">
        <v>2564.86</v>
      </c>
      <c r="S1752" s="1" t="n">
        <v>11684.39</v>
      </c>
      <c r="T1752" s="1" t="n">
        <v>5497.37</v>
      </c>
      <c r="U1752" s="1" t="n">
        <v>6187.02</v>
      </c>
      <c r="V1752" s="1" t="n">
        <v>52.95</v>
      </c>
      <c r="W1752" s="1" t="s">
        <v>40</v>
      </c>
      <c r="Y1752" s="1" t="s">
        <v>40</v>
      </c>
      <c r="Z1752" s="1" t="n">
        <v>2</v>
      </c>
      <c r="AA1752" s="1" t="str">
        <f aca="false">TRIM(PROPER(F1752))</f>
        <v>Jodhpur</v>
      </c>
      <c r="AB1752" s="1" t="str">
        <f aca="false">TRIM(PROPER(C1752))</f>
        <v>Physics Wallah</v>
      </c>
      <c r="AC1752" s="1" t="str">
        <f aca="false">IF(O1752=0,"No Discount",IF(O1752&lt;=15,"Low (1-15%)",IF(O1752&lt;=30,"Medium (16-30%)","High (&gt;30%)")))</f>
        <v>Medium (16-30%)</v>
      </c>
      <c r="AD1752" s="1" t="str">
        <f aca="false">IF(V1752&lt;0,"Loss Making",IF(V1752&lt;20,"Low Margin","Healthy Margin"))</f>
        <v>Healthy Margin</v>
      </c>
      <c r="AE1752" s="1" t="str">
        <f aca="false">TEXT(DATE(VALUE(RIGHT(B1752,4)),VALUE(MID(B1752,4,2)),VALUE(LEFT(B1752,2))),"MMM-YYYY")</f>
        <v>Jun-2024</v>
      </c>
      <c r="AF1752" s="1" t="n">
        <f aca="false">VALUE(RIGHT(B1752,4))</f>
        <v>2024</v>
      </c>
      <c r="AG1752" s="1" t="str">
        <f aca="false">CHOOSE(ROUNDUP(VALUE(MID(B1752,4,2))/3,0),"Q1","Q2","Q3","Q4")</f>
        <v>Q2</v>
      </c>
    </row>
    <row r="1753" customFormat="false" ht="15" hidden="false" customHeight="true" outlineLevel="0" collapsed="false">
      <c r="A1753" s="1" t="s">
        <v>2588</v>
      </c>
      <c r="B1753" s="1" t="s">
        <v>277</v>
      </c>
      <c r="C1753" s="1" t="s">
        <v>139</v>
      </c>
      <c r="D1753" s="1" t="s">
        <v>168</v>
      </c>
      <c r="E1753" s="1" t="s">
        <v>197</v>
      </c>
      <c r="F1753" s="1" t="s">
        <v>96</v>
      </c>
      <c r="G1753" s="1" t="s">
        <v>97</v>
      </c>
      <c r="H1753" s="1" t="s">
        <v>69</v>
      </c>
      <c r="I1753" s="1" t="s">
        <v>34</v>
      </c>
      <c r="J1753" s="1" t="s">
        <v>59</v>
      </c>
      <c r="K1753" s="1" t="s">
        <v>104</v>
      </c>
      <c r="L1753" s="1" t="s">
        <v>113</v>
      </c>
      <c r="M1753" s="1" t="s">
        <v>38</v>
      </c>
      <c r="N1753" s="1" t="n">
        <v>8499</v>
      </c>
      <c r="O1753" s="1" t="n">
        <v>0</v>
      </c>
      <c r="P1753" s="1" t="n">
        <v>0</v>
      </c>
      <c r="Q1753" s="1" t="n">
        <v>8499</v>
      </c>
      <c r="R1753" s="1" t="n">
        <v>1529.82</v>
      </c>
      <c r="S1753" s="1" t="n">
        <v>6969.18</v>
      </c>
      <c r="T1753" s="1" t="n">
        <v>1929.77</v>
      </c>
      <c r="U1753" s="1" t="n">
        <v>5039.41</v>
      </c>
      <c r="V1753" s="1" t="n">
        <v>72.31</v>
      </c>
      <c r="W1753" s="1" t="s">
        <v>40</v>
      </c>
      <c r="Y1753" s="1" t="s">
        <v>40</v>
      </c>
      <c r="Z1753" s="1" t="n">
        <v>1</v>
      </c>
      <c r="AA1753" s="1" t="str">
        <f aca="false">TRIM(PROPER(F1753))</f>
        <v>Pune</v>
      </c>
      <c r="AB1753" s="1" t="str">
        <f aca="false">TRIM(PROPER(C1753))</f>
        <v>Extramarks</v>
      </c>
      <c r="AC1753" s="1" t="str">
        <f aca="false">IF(O1753=0,"No Discount",IF(O1753&lt;=15,"Low (1-15%)",IF(O1753&lt;=30,"Medium (16-30%)","High (&gt;30%)")))</f>
        <v>No Discount</v>
      </c>
      <c r="AD1753" s="1" t="str">
        <f aca="false">IF(V1753&lt;0,"Loss Making",IF(V1753&lt;20,"Low Margin","Healthy Margin"))</f>
        <v>Healthy Margin</v>
      </c>
      <c r="AE1753" s="1" t="str">
        <f aca="false">TEXT(DATE(VALUE(RIGHT(B1753,4)),VALUE(MID(B1753,4,2)),VALUE(LEFT(B1753,2))),"MMM-YYYY")</f>
        <v>May-2023</v>
      </c>
      <c r="AF1753" s="1" t="n">
        <f aca="false">VALUE(RIGHT(B1753,4))</f>
        <v>2023</v>
      </c>
      <c r="AG1753" s="1" t="str">
        <f aca="false">CHOOSE(ROUNDUP(VALUE(MID(B1753,4,2))/3,0),"Q1","Q2","Q3","Q4")</f>
        <v>Q2</v>
      </c>
    </row>
    <row r="1754" customFormat="false" ht="15" hidden="false" customHeight="true" outlineLevel="0" collapsed="false">
      <c r="A1754" s="1" t="s">
        <v>2589</v>
      </c>
      <c r="B1754" s="1" t="s">
        <v>2560</v>
      </c>
      <c r="C1754" s="1" t="s">
        <v>74</v>
      </c>
      <c r="D1754" s="1" t="s">
        <v>168</v>
      </c>
      <c r="E1754" s="1" t="s">
        <v>169</v>
      </c>
      <c r="F1754" s="1" t="s">
        <v>120</v>
      </c>
      <c r="G1754" s="1" t="s">
        <v>47</v>
      </c>
      <c r="H1754" s="1" t="s">
        <v>57</v>
      </c>
      <c r="I1754" s="1" t="s">
        <v>83</v>
      </c>
      <c r="J1754" s="1" t="s">
        <v>70</v>
      </c>
      <c r="K1754" s="1" t="s">
        <v>60</v>
      </c>
      <c r="L1754" s="1" t="s">
        <v>113</v>
      </c>
      <c r="M1754" s="1" t="s">
        <v>62</v>
      </c>
      <c r="N1754" s="1" t="n">
        <v>4999</v>
      </c>
      <c r="O1754" s="1" t="n">
        <v>10</v>
      </c>
      <c r="P1754" s="1" t="n">
        <v>499.9</v>
      </c>
      <c r="Q1754" s="1" t="n">
        <v>4499.1</v>
      </c>
      <c r="R1754" s="1" t="n">
        <v>809.84</v>
      </c>
      <c r="S1754" s="1" t="n">
        <v>3689.26</v>
      </c>
      <c r="T1754" s="1" t="n">
        <v>1598.41</v>
      </c>
      <c r="U1754" s="1" t="n">
        <v>2090.85</v>
      </c>
      <c r="V1754" s="1" t="n">
        <v>56.67</v>
      </c>
      <c r="W1754" s="1" t="s">
        <v>39</v>
      </c>
      <c r="X1754" s="1" t="n">
        <v>3.2</v>
      </c>
      <c r="Y1754" s="1" t="s">
        <v>40</v>
      </c>
      <c r="Z1754" s="1" t="n">
        <v>0</v>
      </c>
      <c r="AA1754" s="1" t="str">
        <f aca="false">TRIM(PROPER(F1754))</f>
        <v>Mysuru</v>
      </c>
      <c r="AB1754" s="1" t="str">
        <f aca="false">TRIM(PROPER(C1754))</f>
        <v>Vedantu</v>
      </c>
      <c r="AC1754" s="1" t="str">
        <f aca="false">IF(O1754=0,"No Discount",IF(O1754&lt;=15,"Low (1-15%)",IF(O1754&lt;=30,"Medium (16-30%)","High (&gt;30%)")))</f>
        <v>Low (1-15%)</v>
      </c>
      <c r="AD1754" s="1" t="str">
        <f aca="false">IF(V1754&lt;0,"Loss Making",IF(V1754&lt;20,"Low Margin","Healthy Margin"))</f>
        <v>Healthy Margin</v>
      </c>
      <c r="AE1754" s="1" t="str">
        <f aca="false">TEXT(DATE(VALUE(RIGHT(B1754,4)),VALUE(MID(B1754,4,2)),VALUE(LEFT(B1754,2))),"MMM-YYYY")</f>
        <v>Nov-2023</v>
      </c>
      <c r="AF1754" s="1" t="n">
        <f aca="false">VALUE(RIGHT(B1754,4))</f>
        <v>2023</v>
      </c>
      <c r="AG1754" s="1" t="str">
        <f aca="false">CHOOSE(ROUNDUP(VALUE(MID(B1754,4,2))/3,0),"Q1","Q2","Q3","Q4")</f>
        <v>Q4</v>
      </c>
    </row>
    <row r="1755" customFormat="false" ht="15" hidden="false" customHeight="true" outlineLevel="0" collapsed="false">
      <c r="A1755" s="1" t="s">
        <v>2590</v>
      </c>
      <c r="B1755" s="1" t="s">
        <v>1412</v>
      </c>
      <c r="C1755" s="1" t="s">
        <v>88</v>
      </c>
      <c r="D1755" s="1" t="s">
        <v>168</v>
      </c>
      <c r="E1755" s="1" t="s">
        <v>328</v>
      </c>
      <c r="F1755" s="1" t="s">
        <v>107</v>
      </c>
      <c r="G1755" s="1" t="s">
        <v>108</v>
      </c>
      <c r="H1755" s="1" t="s">
        <v>33</v>
      </c>
      <c r="I1755" s="1" t="s">
        <v>83</v>
      </c>
      <c r="J1755" s="1" t="s">
        <v>131</v>
      </c>
      <c r="K1755" s="1" t="s">
        <v>71</v>
      </c>
      <c r="L1755" s="1" t="s">
        <v>37</v>
      </c>
      <c r="M1755" s="1" t="s">
        <v>50</v>
      </c>
      <c r="N1755" s="1" t="n">
        <v>8999</v>
      </c>
      <c r="O1755" s="1" t="n">
        <v>20</v>
      </c>
      <c r="P1755" s="1" t="n">
        <v>1799.8</v>
      </c>
      <c r="Q1755" s="1" t="n">
        <v>7199.2</v>
      </c>
      <c r="R1755" s="1" t="n">
        <v>1295.86</v>
      </c>
      <c r="S1755" s="1" t="n">
        <v>5903.34</v>
      </c>
      <c r="T1755" s="1" t="n">
        <v>2131.48</v>
      </c>
      <c r="U1755" s="1" t="n">
        <v>3771.86</v>
      </c>
      <c r="V1755" s="1" t="n">
        <v>63.89</v>
      </c>
      <c r="W1755" s="1" t="s">
        <v>39</v>
      </c>
      <c r="Y1755" s="1" t="s">
        <v>40</v>
      </c>
      <c r="Z1755" s="1" t="n">
        <v>0</v>
      </c>
      <c r="AA1755" s="1" t="str">
        <f aca="false">TRIM(PROPER(F1755))</f>
        <v>Madurai</v>
      </c>
      <c r="AB1755" s="1" t="str">
        <f aca="false">TRIM(PROPER(C1755))</f>
        <v>Byju'S</v>
      </c>
      <c r="AC1755" s="1" t="str">
        <f aca="false">IF(O1755=0,"No Discount",IF(O1755&lt;=15,"Low (1-15%)",IF(O1755&lt;=30,"Medium (16-30%)","High (&gt;30%)")))</f>
        <v>Medium (16-30%)</v>
      </c>
      <c r="AD1755" s="1" t="str">
        <f aca="false">IF(V1755&lt;0,"Loss Making",IF(V1755&lt;20,"Low Margin","Healthy Margin"))</f>
        <v>Healthy Margin</v>
      </c>
      <c r="AE1755" s="1" t="str">
        <f aca="false">TEXT(DATE(VALUE(RIGHT(B1755,4)),VALUE(MID(B1755,4,2)),VALUE(LEFT(B1755,2))),"MMM-YYYY")</f>
        <v>Nov-2023</v>
      </c>
      <c r="AF1755" s="1" t="n">
        <f aca="false">VALUE(RIGHT(B1755,4))</f>
        <v>2023</v>
      </c>
      <c r="AG1755" s="1" t="str">
        <f aca="false">CHOOSE(ROUNDUP(VALUE(MID(B1755,4,2))/3,0),"Q1","Q2","Q3","Q4")</f>
        <v>Q4</v>
      </c>
    </row>
    <row r="1756" customFormat="false" ht="15" hidden="false" customHeight="true" outlineLevel="0" collapsed="false">
      <c r="A1756" s="1" t="s">
        <v>2591</v>
      </c>
      <c r="B1756" s="1" t="s">
        <v>1510</v>
      </c>
      <c r="C1756" s="1" t="s">
        <v>74</v>
      </c>
      <c r="D1756" s="1" t="s">
        <v>44</v>
      </c>
      <c r="E1756" s="1" t="s">
        <v>221</v>
      </c>
      <c r="F1756" s="1" t="s">
        <v>82</v>
      </c>
      <c r="G1756" s="1" t="s">
        <v>56</v>
      </c>
      <c r="H1756" s="1" t="s">
        <v>69</v>
      </c>
      <c r="I1756" s="1" t="s">
        <v>34</v>
      </c>
      <c r="J1756" s="1" t="s">
        <v>35</v>
      </c>
      <c r="K1756" s="1" t="s">
        <v>90</v>
      </c>
      <c r="L1756" s="1" t="s">
        <v>113</v>
      </c>
      <c r="M1756" s="1" t="s">
        <v>50</v>
      </c>
      <c r="N1756" s="1" t="n">
        <v>16999</v>
      </c>
      <c r="O1756" s="1" t="n">
        <v>10</v>
      </c>
      <c r="P1756" s="1" t="n">
        <v>1699.9</v>
      </c>
      <c r="Q1756" s="1" t="n">
        <v>15299.1</v>
      </c>
      <c r="R1756" s="1" t="n">
        <v>2753.84</v>
      </c>
      <c r="S1756" s="1" t="n">
        <v>12545.26</v>
      </c>
      <c r="T1756" s="1" t="n">
        <v>4777.98</v>
      </c>
      <c r="U1756" s="1" t="n">
        <v>7767.28</v>
      </c>
      <c r="V1756" s="1" t="n">
        <v>61.91</v>
      </c>
      <c r="W1756" s="1" t="s">
        <v>39</v>
      </c>
      <c r="X1756" s="1" t="n">
        <v>3.5</v>
      </c>
      <c r="Y1756" s="1" t="s">
        <v>40</v>
      </c>
      <c r="Z1756" s="1" t="n">
        <v>1</v>
      </c>
      <c r="AA1756" s="1" t="str">
        <f aca="false">TRIM(PROPER(F1756))</f>
        <v>Gurugram</v>
      </c>
      <c r="AB1756" s="1" t="str">
        <f aca="false">TRIM(PROPER(C1756))</f>
        <v>Vedantu</v>
      </c>
      <c r="AC1756" s="1" t="str">
        <f aca="false">IF(O1756=0,"No Discount",IF(O1756&lt;=15,"Low (1-15%)",IF(O1756&lt;=30,"Medium (16-30%)","High (&gt;30%)")))</f>
        <v>Low (1-15%)</v>
      </c>
      <c r="AD1756" s="1" t="str">
        <f aca="false">IF(V1756&lt;0,"Loss Making",IF(V1756&lt;20,"Low Margin","Healthy Margin"))</f>
        <v>Healthy Margin</v>
      </c>
      <c r="AE1756" s="1" t="str">
        <f aca="false">TEXT(DATE(VALUE(RIGHT(B1756,4)),VALUE(MID(B1756,4,2)),VALUE(LEFT(B1756,2))),"MMM-YYYY")</f>
        <v>Nov-2024</v>
      </c>
      <c r="AF1756" s="1" t="n">
        <f aca="false">VALUE(RIGHT(B1756,4))</f>
        <v>2024</v>
      </c>
      <c r="AG1756" s="1" t="str">
        <f aca="false">CHOOSE(ROUNDUP(VALUE(MID(B1756,4,2))/3,0),"Q1","Q2","Q3","Q4")</f>
        <v>Q4</v>
      </c>
    </row>
    <row r="1757" customFormat="false" ht="15" hidden="false" customHeight="true" outlineLevel="0" collapsed="false">
      <c r="A1757" s="1" t="s">
        <v>2592</v>
      </c>
      <c r="B1757" s="1" t="s">
        <v>2081</v>
      </c>
      <c r="C1757" s="1" t="s">
        <v>28</v>
      </c>
      <c r="D1757" s="1" t="s">
        <v>143</v>
      </c>
      <c r="E1757" s="1" t="s">
        <v>210</v>
      </c>
      <c r="F1757" s="1" t="s">
        <v>187</v>
      </c>
      <c r="G1757" s="1" t="s">
        <v>97</v>
      </c>
      <c r="H1757" s="1" t="s">
        <v>69</v>
      </c>
      <c r="I1757" s="1" t="s">
        <v>34</v>
      </c>
      <c r="J1757" s="1" t="s">
        <v>35</v>
      </c>
      <c r="K1757" s="1" t="s">
        <v>90</v>
      </c>
      <c r="L1757" s="1" t="s">
        <v>85</v>
      </c>
      <c r="M1757" s="1" t="s">
        <v>50</v>
      </c>
      <c r="N1757" s="1" t="n">
        <v>18999</v>
      </c>
      <c r="O1757" s="1" t="n">
        <v>10</v>
      </c>
      <c r="P1757" s="1" t="n">
        <v>1899.9</v>
      </c>
      <c r="Q1757" s="1" t="n">
        <v>17099.1</v>
      </c>
      <c r="R1757" s="1" t="n">
        <v>3077.84</v>
      </c>
      <c r="S1757" s="1" t="n">
        <v>14021.26</v>
      </c>
      <c r="T1757" s="1" t="n">
        <v>6157</v>
      </c>
      <c r="U1757" s="1" t="n">
        <v>7864.26</v>
      </c>
      <c r="V1757" s="1" t="n">
        <v>56.09</v>
      </c>
      <c r="W1757" s="1" t="s">
        <v>40</v>
      </c>
      <c r="Y1757" s="1" t="s">
        <v>40</v>
      </c>
      <c r="Z1757" s="1" t="n">
        <v>1</v>
      </c>
      <c r="AA1757" s="1" t="str">
        <f aca="false">TRIM(PROPER(F1757))</f>
        <v>Mumbai</v>
      </c>
      <c r="AB1757" s="1" t="str">
        <f aca="false">TRIM(PROPER(C1757))</f>
        <v>Embibe</v>
      </c>
      <c r="AC1757" s="1" t="str">
        <f aca="false">IF(O1757=0,"No Discount",IF(O1757&lt;=15,"Low (1-15%)",IF(O1757&lt;=30,"Medium (16-30%)","High (&gt;30%)")))</f>
        <v>Low (1-15%)</v>
      </c>
      <c r="AD1757" s="1" t="str">
        <f aca="false">IF(V1757&lt;0,"Loss Making",IF(V1757&lt;20,"Low Margin","Healthy Margin"))</f>
        <v>Healthy Margin</v>
      </c>
      <c r="AE1757" s="1" t="str">
        <f aca="false">TEXT(DATE(VALUE(RIGHT(B1757,4)),VALUE(MID(B1757,4,2)),VALUE(LEFT(B1757,2))),"MMM-YYYY")</f>
        <v>Jun-2023</v>
      </c>
      <c r="AF1757" s="1" t="n">
        <f aca="false">VALUE(RIGHT(B1757,4))</f>
        <v>2023</v>
      </c>
      <c r="AG1757" s="1" t="str">
        <f aca="false">CHOOSE(ROUNDUP(VALUE(MID(B1757,4,2))/3,0),"Q1","Q2","Q3","Q4")</f>
        <v>Q2</v>
      </c>
    </row>
    <row r="1758" customFormat="false" ht="15" hidden="false" customHeight="true" outlineLevel="0" collapsed="false">
      <c r="A1758" s="1" t="s">
        <v>2593</v>
      </c>
      <c r="B1758" s="1" t="s">
        <v>1402</v>
      </c>
      <c r="C1758" s="1" t="s">
        <v>119</v>
      </c>
      <c r="D1758" s="1" t="s">
        <v>143</v>
      </c>
      <c r="E1758" s="1" t="s">
        <v>144</v>
      </c>
      <c r="F1758" s="1" t="s">
        <v>107</v>
      </c>
      <c r="G1758" s="1" t="s">
        <v>108</v>
      </c>
      <c r="H1758" s="1" t="s">
        <v>33</v>
      </c>
      <c r="I1758" s="1" t="s">
        <v>58</v>
      </c>
      <c r="J1758" s="1" t="s">
        <v>131</v>
      </c>
      <c r="K1758" s="1" t="s">
        <v>90</v>
      </c>
      <c r="L1758" s="1" t="s">
        <v>113</v>
      </c>
      <c r="M1758" s="1" t="s">
        <v>38</v>
      </c>
      <c r="N1758" s="1" t="n">
        <v>12999</v>
      </c>
      <c r="O1758" s="1" t="n">
        <v>25</v>
      </c>
      <c r="P1758" s="1" t="n">
        <v>3249.75</v>
      </c>
      <c r="Q1758" s="1" t="n">
        <v>9749.25</v>
      </c>
      <c r="R1758" s="1" t="n">
        <v>1754.87</v>
      </c>
      <c r="S1758" s="1" t="n">
        <v>7994.38</v>
      </c>
      <c r="T1758" s="1" t="n">
        <v>3801.44</v>
      </c>
      <c r="U1758" s="1" t="n">
        <v>4192.94</v>
      </c>
      <c r="V1758" s="1" t="n">
        <v>52.45</v>
      </c>
      <c r="W1758" s="1" t="s">
        <v>39</v>
      </c>
      <c r="X1758" s="1" t="n">
        <v>3.9</v>
      </c>
      <c r="Y1758" s="1" t="s">
        <v>40</v>
      </c>
      <c r="Z1758" s="1" t="n">
        <v>0</v>
      </c>
      <c r="AA1758" s="1" t="str">
        <f aca="false">TRIM(PROPER(F1758))</f>
        <v>Madurai</v>
      </c>
      <c r="AB1758" s="1" t="str">
        <f aca="false">TRIM(PROPER(C1758))</f>
        <v>Simplilearn</v>
      </c>
      <c r="AC1758" s="1" t="str">
        <f aca="false">IF(O1758=0,"No Discount",IF(O1758&lt;=15,"Low (1-15%)",IF(O1758&lt;=30,"Medium (16-30%)","High (&gt;30%)")))</f>
        <v>Medium (16-30%)</v>
      </c>
      <c r="AD1758" s="1" t="str">
        <f aca="false">IF(V1758&lt;0,"Loss Making",IF(V1758&lt;20,"Low Margin","Healthy Margin"))</f>
        <v>Healthy Margin</v>
      </c>
      <c r="AE1758" s="1" t="str">
        <f aca="false">TEXT(DATE(VALUE(RIGHT(B1758,4)),VALUE(MID(B1758,4,2)),VALUE(LEFT(B1758,2))),"MMM-YYYY")</f>
        <v>Apr-2023</v>
      </c>
      <c r="AF1758" s="1" t="n">
        <f aca="false">VALUE(RIGHT(B1758,4))</f>
        <v>2023</v>
      </c>
      <c r="AG1758" s="1" t="str">
        <f aca="false">CHOOSE(ROUNDUP(VALUE(MID(B1758,4,2))/3,0),"Q1","Q2","Q3","Q4")</f>
        <v>Q2</v>
      </c>
    </row>
    <row r="1759" customFormat="false" ht="15" hidden="false" customHeight="true" outlineLevel="0" collapsed="false">
      <c r="A1759" s="1" t="s">
        <v>2594</v>
      </c>
      <c r="B1759" s="1" t="s">
        <v>983</v>
      </c>
      <c r="C1759" s="1" t="s">
        <v>88</v>
      </c>
      <c r="D1759" s="1" t="s">
        <v>53</v>
      </c>
      <c r="E1759" s="1" t="s">
        <v>216</v>
      </c>
      <c r="F1759" s="1" t="s">
        <v>153</v>
      </c>
      <c r="G1759" s="1" t="s">
        <v>76</v>
      </c>
      <c r="H1759" s="1" t="s">
        <v>33</v>
      </c>
      <c r="I1759" s="1" t="s">
        <v>34</v>
      </c>
      <c r="J1759" s="1" t="s">
        <v>131</v>
      </c>
      <c r="K1759" s="1" t="s">
        <v>104</v>
      </c>
      <c r="L1759" s="1" t="s">
        <v>113</v>
      </c>
      <c r="M1759" s="1" t="s">
        <v>50</v>
      </c>
      <c r="N1759" s="1" t="n">
        <v>7499</v>
      </c>
      <c r="O1759" s="1" t="n">
        <v>10</v>
      </c>
      <c r="P1759" s="1" t="n">
        <v>749.9</v>
      </c>
      <c r="Q1759" s="1" t="n">
        <v>6749.1</v>
      </c>
      <c r="R1759" s="1" t="n">
        <v>1214.84</v>
      </c>
      <c r="S1759" s="1" t="n">
        <v>5534.26</v>
      </c>
      <c r="T1759" s="1" t="n">
        <v>2145.9</v>
      </c>
      <c r="U1759" s="1" t="n">
        <v>3388.36</v>
      </c>
      <c r="V1759" s="1" t="n">
        <v>61.23</v>
      </c>
      <c r="W1759" s="1" t="s">
        <v>40</v>
      </c>
      <c r="Y1759" s="1" t="s">
        <v>40</v>
      </c>
      <c r="Z1759" s="1" t="n">
        <v>0</v>
      </c>
      <c r="AA1759" s="1" t="str">
        <f aca="false">TRIM(PROPER(F1759))</f>
        <v>Howrah</v>
      </c>
      <c r="AB1759" s="1" t="str">
        <f aca="false">TRIM(PROPER(C1759))</f>
        <v>Byju'S</v>
      </c>
      <c r="AC1759" s="1" t="str">
        <f aca="false">IF(O1759=0,"No Discount",IF(O1759&lt;=15,"Low (1-15%)",IF(O1759&lt;=30,"Medium (16-30%)","High (&gt;30%)")))</f>
        <v>Low (1-15%)</v>
      </c>
      <c r="AD1759" s="1" t="str">
        <f aca="false">IF(V1759&lt;0,"Loss Making",IF(V1759&lt;20,"Low Margin","Healthy Margin"))</f>
        <v>Healthy Margin</v>
      </c>
      <c r="AE1759" s="1" t="str">
        <f aca="false">TEXT(DATE(VALUE(RIGHT(B1759,4)),VALUE(MID(B1759,4,2)),VALUE(LEFT(B1759,2))),"MMM-YYYY")</f>
        <v>Jul-2023</v>
      </c>
      <c r="AF1759" s="1" t="n">
        <f aca="false">VALUE(RIGHT(B1759,4))</f>
        <v>2023</v>
      </c>
      <c r="AG1759" s="1" t="str">
        <f aca="false">CHOOSE(ROUNDUP(VALUE(MID(B1759,4,2))/3,0),"Q1","Q2","Q3","Q4")</f>
        <v>Q3</v>
      </c>
    </row>
    <row r="1760" customFormat="false" ht="15" hidden="false" customHeight="true" outlineLevel="0" collapsed="false">
      <c r="A1760" s="1" t="s">
        <v>2595</v>
      </c>
      <c r="B1760" s="1" t="s">
        <v>710</v>
      </c>
      <c r="C1760" s="1" t="s">
        <v>134</v>
      </c>
      <c r="D1760" s="1" t="s">
        <v>123</v>
      </c>
      <c r="E1760" s="1" t="s">
        <v>147</v>
      </c>
      <c r="F1760" s="1" t="s">
        <v>75</v>
      </c>
      <c r="G1760" s="1" t="s">
        <v>76</v>
      </c>
      <c r="H1760" s="1" t="s">
        <v>69</v>
      </c>
      <c r="I1760" s="1" t="s">
        <v>83</v>
      </c>
      <c r="J1760" s="1" t="s">
        <v>70</v>
      </c>
      <c r="K1760" s="1" t="s">
        <v>104</v>
      </c>
      <c r="L1760" s="1" t="s">
        <v>37</v>
      </c>
      <c r="M1760" s="1" t="s">
        <v>62</v>
      </c>
      <c r="N1760" s="1" t="n">
        <v>6999</v>
      </c>
      <c r="O1760" s="1" t="n">
        <v>10</v>
      </c>
      <c r="P1760" s="1" t="n">
        <v>699.9</v>
      </c>
      <c r="Q1760" s="1" t="n">
        <v>6299.1</v>
      </c>
      <c r="R1760" s="1" t="n">
        <v>1133.84</v>
      </c>
      <c r="S1760" s="1" t="n">
        <v>5165.26</v>
      </c>
      <c r="T1760" s="1" t="n">
        <v>1979.62</v>
      </c>
      <c r="U1760" s="1" t="n">
        <v>3185.64</v>
      </c>
      <c r="V1760" s="1" t="n">
        <v>61.67</v>
      </c>
      <c r="W1760" s="1" t="s">
        <v>39</v>
      </c>
      <c r="X1760" s="1" t="n">
        <v>3.5</v>
      </c>
      <c r="Y1760" s="1" t="s">
        <v>40</v>
      </c>
      <c r="Z1760" s="1" t="n">
        <v>1</v>
      </c>
      <c r="AA1760" s="1" t="str">
        <f aca="false">TRIM(PROPER(F1760))</f>
        <v>Kolkata</v>
      </c>
      <c r="AB1760" s="1" t="str">
        <f aca="false">TRIM(PROPER(C1760))</f>
        <v>Doubtnut</v>
      </c>
      <c r="AC1760" s="1" t="str">
        <f aca="false">IF(O1760=0,"No Discount",IF(O1760&lt;=15,"Low (1-15%)",IF(O1760&lt;=30,"Medium (16-30%)","High (&gt;30%)")))</f>
        <v>Low (1-15%)</v>
      </c>
      <c r="AD1760" s="1" t="str">
        <f aca="false">IF(V1760&lt;0,"Loss Making",IF(V1760&lt;20,"Low Margin","Healthy Margin"))</f>
        <v>Healthy Margin</v>
      </c>
      <c r="AE1760" s="1" t="str">
        <f aca="false">TEXT(DATE(VALUE(RIGHT(B1760,4)),VALUE(MID(B1760,4,2)),VALUE(LEFT(B1760,2))),"MMM-YYYY")</f>
        <v>Apr-2024</v>
      </c>
      <c r="AF1760" s="1" t="n">
        <f aca="false">VALUE(RIGHT(B1760,4))</f>
        <v>2024</v>
      </c>
      <c r="AG1760" s="1" t="str">
        <f aca="false">CHOOSE(ROUNDUP(VALUE(MID(B1760,4,2))/3,0),"Q1","Q2","Q3","Q4")</f>
        <v>Q2</v>
      </c>
    </row>
    <row r="1761" customFormat="false" ht="15" hidden="false" customHeight="true" outlineLevel="0" collapsed="false">
      <c r="A1761" s="1" t="s">
        <v>2596</v>
      </c>
      <c r="B1761" s="1" t="s">
        <v>2281</v>
      </c>
      <c r="C1761" s="1" t="s">
        <v>43</v>
      </c>
      <c r="D1761" s="1" t="s">
        <v>44</v>
      </c>
      <c r="E1761" s="1" t="s">
        <v>45</v>
      </c>
      <c r="F1761" s="1" t="s">
        <v>187</v>
      </c>
      <c r="G1761" s="1" t="s">
        <v>97</v>
      </c>
      <c r="H1761" s="1" t="s">
        <v>69</v>
      </c>
      <c r="I1761" s="1" t="s">
        <v>58</v>
      </c>
      <c r="J1761" s="1" t="s">
        <v>59</v>
      </c>
      <c r="K1761" s="1" t="s">
        <v>36</v>
      </c>
      <c r="L1761" s="1" t="s">
        <v>136</v>
      </c>
      <c r="M1761" s="1" t="s">
        <v>62</v>
      </c>
      <c r="N1761" s="1" t="n">
        <v>11999</v>
      </c>
      <c r="O1761" s="1" t="n">
        <v>0</v>
      </c>
      <c r="P1761" s="1" t="n">
        <v>0</v>
      </c>
      <c r="Q1761" s="1" t="n">
        <v>11999</v>
      </c>
      <c r="R1761" s="1" t="n">
        <v>2159.82</v>
      </c>
      <c r="S1761" s="1" t="n">
        <v>9839.18</v>
      </c>
      <c r="T1761" s="1" t="n">
        <v>4890.07</v>
      </c>
      <c r="U1761" s="1" t="n">
        <v>4949.11</v>
      </c>
      <c r="V1761" s="1" t="n">
        <v>50.3</v>
      </c>
      <c r="W1761" s="1" t="s">
        <v>39</v>
      </c>
      <c r="X1761" s="1" t="n">
        <v>3.9</v>
      </c>
      <c r="Y1761" s="1" t="s">
        <v>40</v>
      </c>
      <c r="Z1761" s="1" t="n">
        <v>1</v>
      </c>
      <c r="AA1761" s="1" t="str">
        <f aca="false">TRIM(PROPER(F1761))</f>
        <v>Mumbai</v>
      </c>
      <c r="AB1761" s="1" t="str">
        <f aca="false">TRIM(PROPER(C1761))</f>
        <v>Meritnation</v>
      </c>
      <c r="AC1761" s="1" t="str">
        <f aca="false">IF(O1761=0,"No Discount",IF(O1761&lt;=15,"Low (1-15%)",IF(O1761&lt;=30,"Medium (16-30%)","High (&gt;30%)")))</f>
        <v>No Discount</v>
      </c>
      <c r="AD1761" s="1" t="str">
        <f aca="false">IF(V1761&lt;0,"Loss Making",IF(V1761&lt;20,"Low Margin","Healthy Margin"))</f>
        <v>Healthy Margin</v>
      </c>
      <c r="AE1761" s="1" t="str">
        <f aca="false">TEXT(DATE(VALUE(RIGHT(B1761,4)),VALUE(MID(B1761,4,2)),VALUE(LEFT(B1761,2))),"MMM-YYYY")</f>
        <v>May-2024</v>
      </c>
      <c r="AF1761" s="1" t="n">
        <f aca="false">VALUE(RIGHT(B1761,4))</f>
        <v>2024</v>
      </c>
      <c r="AG1761" s="1" t="str">
        <f aca="false">CHOOSE(ROUNDUP(VALUE(MID(B1761,4,2))/3,0),"Q1","Q2","Q3","Q4")</f>
        <v>Q2</v>
      </c>
    </row>
    <row r="1762" customFormat="false" ht="15" hidden="false" customHeight="true" outlineLevel="0" collapsed="false">
      <c r="A1762" s="1" t="s">
        <v>2597</v>
      </c>
      <c r="B1762" s="1" t="s">
        <v>657</v>
      </c>
      <c r="C1762" s="1" t="s">
        <v>2598</v>
      </c>
      <c r="D1762" s="1" t="s">
        <v>29</v>
      </c>
      <c r="E1762" s="1" t="s">
        <v>30</v>
      </c>
      <c r="F1762" s="1" t="s">
        <v>46</v>
      </c>
      <c r="G1762" s="1" t="s">
        <v>47</v>
      </c>
      <c r="H1762" s="1" t="s">
        <v>33</v>
      </c>
      <c r="I1762" s="1" t="s">
        <v>34</v>
      </c>
      <c r="J1762" s="1" t="s">
        <v>35</v>
      </c>
      <c r="K1762" s="1" t="s">
        <v>112</v>
      </c>
      <c r="L1762" s="1" t="s">
        <v>49</v>
      </c>
      <c r="M1762" s="1" t="s">
        <v>38</v>
      </c>
      <c r="N1762" s="1" t="n">
        <v>7999</v>
      </c>
      <c r="O1762" s="1" t="n">
        <v>0</v>
      </c>
      <c r="P1762" s="1" t="n">
        <v>0</v>
      </c>
      <c r="Q1762" s="1" t="n">
        <v>7999</v>
      </c>
      <c r="R1762" s="1" t="n">
        <v>1439.82</v>
      </c>
      <c r="S1762" s="1" t="n">
        <v>6559.18</v>
      </c>
      <c r="T1762" s="1" t="n">
        <v>2982.85</v>
      </c>
      <c r="U1762" s="1" t="n">
        <v>3576.33</v>
      </c>
      <c r="V1762" s="1" t="n">
        <v>54.52</v>
      </c>
      <c r="W1762" s="1" t="s">
        <v>39</v>
      </c>
      <c r="Y1762" s="1" t="s">
        <v>40</v>
      </c>
      <c r="Z1762" s="1" t="n">
        <v>0</v>
      </c>
      <c r="AA1762" s="1" t="str">
        <f aca="false">TRIM(PROPER(F1762))</f>
        <v>Mangaluru</v>
      </c>
      <c r="AB1762" s="1" t="str">
        <f aca="false">TRIM(PROPER(C1762))</f>
        <v>Simplilearn</v>
      </c>
      <c r="AC1762" s="1" t="str">
        <f aca="false">IF(O1762=0,"No Discount",IF(O1762&lt;=15,"Low (1-15%)",IF(O1762&lt;=30,"Medium (16-30%)","High (&gt;30%)")))</f>
        <v>No Discount</v>
      </c>
      <c r="AD1762" s="1" t="str">
        <f aca="false">IF(V1762&lt;0,"Loss Making",IF(V1762&lt;20,"Low Margin","Healthy Margin"))</f>
        <v>Healthy Margin</v>
      </c>
      <c r="AE1762" s="1" t="str">
        <f aca="false">TEXT(DATE(VALUE(RIGHT(B1762,4)),VALUE(MID(B1762,4,2)),VALUE(LEFT(B1762,2))),"MMM-YYYY")</f>
        <v>May-2024</v>
      </c>
      <c r="AF1762" s="1" t="n">
        <f aca="false">VALUE(RIGHT(B1762,4))</f>
        <v>2024</v>
      </c>
      <c r="AG1762" s="1" t="str">
        <f aca="false">CHOOSE(ROUNDUP(VALUE(MID(B1762,4,2))/3,0),"Q1","Q2","Q3","Q4")</f>
        <v>Q2</v>
      </c>
    </row>
    <row r="1763" customFormat="false" ht="15" hidden="false" customHeight="true" outlineLevel="0" collapsed="false">
      <c r="A1763" s="1" t="s">
        <v>2599</v>
      </c>
      <c r="B1763" s="1" t="s">
        <v>606</v>
      </c>
      <c r="C1763" s="1" t="s">
        <v>128</v>
      </c>
      <c r="D1763" s="1" t="s">
        <v>94</v>
      </c>
      <c r="E1763" s="1" t="s">
        <v>101</v>
      </c>
      <c r="F1763" s="1" t="s">
        <v>205</v>
      </c>
      <c r="G1763" s="1" t="s">
        <v>56</v>
      </c>
      <c r="H1763" s="1" t="s">
        <v>69</v>
      </c>
      <c r="I1763" s="1" t="s">
        <v>58</v>
      </c>
      <c r="J1763" s="1" t="s">
        <v>59</v>
      </c>
      <c r="K1763" s="1" t="s">
        <v>112</v>
      </c>
      <c r="L1763" s="1" t="s">
        <v>61</v>
      </c>
      <c r="M1763" s="1" t="s">
        <v>50</v>
      </c>
      <c r="N1763" s="1" t="n">
        <v>14999</v>
      </c>
      <c r="O1763" s="1" t="n">
        <v>5</v>
      </c>
      <c r="P1763" s="1" t="n">
        <v>749.95</v>
      </c>
      <c r="Q1763" s="1" t="n">
        <v>14249.05</v>
      </c>
      <c r="R1763" s="1" t="n">
        <v>2564.83</v>
      </c>
      <c r="S1763" s="1" t="n">
        <v>11684.22</v>
      </c>
      <c r="T1763" s="1" t="n">
        <v>5071.15</v>
      </c>
      <c r="U1763" s="1" t="n">
        <v>6613.07</v>
      </c>
      <c r="V1763" s="1" t="n">
        <v>56.6</v>
      </c>
      <c r="W1763" s="1" t="s">
        <v>39</v>
      </c>
      <c r="X1763" s="1" t="n">
        <v>3.6</v>
      </c>
      <c r="Y1763" s="1" t="s">
        <v>40</v>
      </c>
      <c r="Z1763" s="1" t="n">
        <v>1</v>
      </c>
      <c r="AA1763" s="1" t="str">
        <f aca="false">TRIM(PROPER(F1763))</f>
        <v>New Delhi</v>
      </c>
      <c r="AB1763" s="1" t="str">
        <f aca="false">TRIM(PROPER(C1763))</f>
        <v>Great Learning</v>
      </c>
      <c r="AC1763" s="1" t="str">
        <f aca="false">IF(O1763=0,"No Discount",IF(O1763&lt;=15,"Low (1-15%)",IF(O1763&lt;=30,"Medium (16-30%)","High (&gt;30%)")))</f>
        <v>Low (1-15%)</v>
      </c>
      <c r="AD1763" s="1" t="str">
        <f aca="false">IF(V1763&lt;0,"Loss Making",IF(V1763&lt;20,"Low Margin","Healthy Margin"))</f>
        <v>Healthy Margin</v>
      </c>
      <c r="AE1763" s="1" t="str">
        <f aca="false">TEXT(DATE(VALUE(RIGHT(B1763,4)),VALUE(MID(B1763,4,2)),VALUE(LEFT(B1763,2))),"MMM-YYYY")</f>
        <v>May-2023</v>
      </c>
      <c r="AF1763" s="1" t="n">
        <f aca="false">VALUE(RIGHT(B1763,4))</f>
        <v>2023</v>
      </c>
      <c r="AG1763" s="1" t="str">
        <f aca="false">CHOOSE(ROUNDUP(VALUE(MID(B1763,4,2))/3,0),"Q1","Q2","Q3","Q4")</f>
        <v>Q2</v>
      </c>
    </row>
    <row r="1764" customFormat="false" ht="15" hidden="false" customHeight="true" outlineLevel="0" collapsed="false">
      <c r="A1764" s="1" t="s">
        <v>2600</v>
      </c>
      <c r="B1764" s="1" t="s">
        <v>1275</v>
      </c>
      <c r="C1764" s="1" t="s">
        <v>178</v>
      </c>
      <c r="D1764" s="1" t="s">
        <v>143</v>
      </c>
      <c r="E1764" s="1" t="s">
        <v>159</v>
      </c>
      <c r="F1764" s="1" t="s">
        <v>55</v>
      </c>
      <c r="G1764" s="1" t="s">
        <v>56</v>
      </c>
      <c r="H1764" s="1" t="s">
        <v>57</v>
      </c>
      <c r="I1764" s="1" t="s">
        <v>34</v>
      </c>
      <c r="J1764" s="1" t="s">
        <v>35</v>
      </c>
      <c r="K1764" s="1" t="s">
        <v>104</v>
      </c>
      <c r="L1764" s="1" t="s">
        <v>113</v>
      </c>
      <c r="M1764" s="1" t="s">
        <v>50</v>
      </c>
      <c r="N1764" s="1" t="n">
        <v>24999</v>
      </c>
      <c r="O1764" s="1" t="n">
        <v>25</v>
      </c>
      <c r="P1764" s="1" t="n">
        <v>6249.75</v>
      </c>
      <c r="Q1764" s="1" t="n">
        <v>18749.25</v>
      </c>
      <c r="R1764" s="1" t="n">
        <v>3374.86</v>
      </c>
      <c r="S1764" s="1" t="n">
        <v>15374.39</v>
      </c>
      <c r="T1764" s="1" t="n">
        <v>5312.2</v>
      </c>
      <c r="U1764" s="1" t="n">
        <v>10062.19</v>
      </c>
      <c r="V1764" s="1" t="n">
        <v>65.45</v>
      </c>
      <c r="W1764" s="1" t="s">
        <v>39</v>
      </c>
      <c r="Y1764" s="1" t="s">
        <v>40</v>
      </c>
      <c r="Z1764" s="1" t="n">
        <v>0</v>
      </c>
      <c r="AA1764" s="1" t="str">
        <f aca="false">TRIM(PROPER(F1764))</f>
        <v>Ghaziabad</v>
      </c>
      <c r="AB1764" s="1" t="str">
        <f aca="false">TRIM(PROPER(C1764))</f>
        <v>Leverage Edu</v>
      </c>
      <c r="AC1764" s="1" t="str">
        <f aca="false">IF(O1764=0,"No Discount",IF(O1764&lt;=15,"Low (1-15%)",IF(O1764&lt;=30,"Medium (16-30%)","High (&gt;30%)")))</f>
        <v>Medium (16-30%)</v>
      </c>
      <c r="AD1764" s="1" t="str">
        <f aca="false">IF(V1764&lt;0,"Loss Making",IF(V1764&lt;20,"Low Margin","Healthy Margin"))</f>
        <v>Healthy Margin</v>
      </c>
      <c r="AE1764" s="1" t="str">
        <f aca="false">TEXT(DATE(VALUE(RIGHT(B1764,4)),VALUE(MID(B1764,4,2)),VALUE(LEFT(B1764,2))),"MMM-YYYY")</f>
        <v>Dec-2024</v>
      </c>
      <c r="AF1764" s="1" t="n">
        <f aca="false">VALUE(RIGHT(B1764,4))</f>
        <v>2024</v>
      </c>
      <c r="AG1764" s="1" t="str">
        <f aca="false">CHOOSE(ROUNDUP(VALUE(MID(B1764,4,2))/3,0),"Q1","Q2","Q3","Q4")</f>
        <v>Q4</v>
      </c>
    </row>
    <row r="1765" customFormat="false" ht="15" hidden="false" customHeight="true" outlineLevel="0" collapsed="false">
      <c r="A1765" s="1" t="s">
        <v>2601</v>
      </c>
      <c r="B1765" s="1" t="s">
        <v>791</v>
      </c>
      <c r="C1765" s="1" t="s">
        <v>264</v>
      </c>
      <c r="D1765" s="1" t="s">
        <v>143</v>
      </c>
      <c r="E1765" s="1" t="s">
        <v>210</v>
      </c>
      <c r="F1765" s="1" t="s">
        <v>67</v>
      </c>
      <c r="G1765" s="1" t="s">
        <v>68</v>
      </c>
      <c r="H1765" s="1" t="s">
        <v>69</v>
      </c>
      <c r="I1765" s="1" t="s">
        <v>83</v>
      </c>
      <c r="J1765" s="1" t="s">
        <v>77</v>
      </c>
      <c r="K1765" s="1" t="s">
        <v>90</v>
      </c>
      <c r="L1765" s="1" t="s">
        <v>61</v>
      </c>
      <c r="M1765" s="1" t="s">
        <v>50</v>
      </c>
      <c r="N1765" s="1" t="n">
        <v>18999</v>
      </c>
      <c r="O1765" s="1" t="n">
        <v>20</v>
      </c>
      <c r="P1765" s="1" t="n">
        <v>3799.8</v>
      </c>
      <c r="Q1765" s="1" t="n">
        <v>15199.2</v>
      </c>
      <c r="R1765" s="1" t="n">
        <v>2735.86</v>
      </c>
      <c r="S1765" s="1" t="n">
        <v>12463.34</v>
      </c>
      <c r="T1765" s="1" t="n">
        <v>4772.02</v>
      </c>
      <c r="U1765" s="1" t="n">
        <v>7691.32</v>
      </c>
      <c r="V1765" s="1" t="n">
        <v>61.71</v>
      </c>
      <c r="W1765" s="1" t="s">
        <v>39</v>
      </c>
      <c r="X1765" s="1" t="n">
        <v>2.8</v>
      </c>
      <c r="Y1765" s="1" t="s">
        <v>40</v>
      </c>
      <c r="Z1765" s="1" t="n">
        <v>0</v>
      </c>
      <c r="AA1765" s="1" t="str">
        <f aca="false">TRIM(PROPER(F1765))</f>
        <v>Ahmedabad</v>
      </c>
      <c r="AB1765" s="1" t="str">
        <f aca="false">TRIM(PROPER(C1765))</f>
        <v>Unacademy</v>
      </c>
      <c r="AC1765" s="1" t="str">
        <f aca="false">IF(O1765=0,"No Discount",IF(O1765&lt;=15,"Low (1-15%)",IF(O1765&lt;=30,"Medium (16-30%)","High (&gt;30%)")))</f>
        <v>Medium (16-30%)</v>
      </c>
      <c r="AD1765" s="1" t="str">
        <f aca="false">IF(V1765&lt;0,"Loss Making",IF(V1765&lt;20,"Low Margin","Healthy Margin"))</f>
        <v>Healthy Margin</v>
      </c>
      <c r="AE1765" s="1" t="str">
        <f aca="false">TEXT(DATE(VALUE(RIGHT(B1765,4)),VALUE(MID(B1765,4,2)),VALUE(LEFT(B1765,2))),"MMM-YYYY")</f>
        <v>Jun-2023</v>
      </c>
      <c r="AF1765" s="1" t="n">
        <f aca="false">VALUE(RIGHT(B1765,4))</f>
        <v>2023</v>
      </c>
      <c r="AG1765" s="1" t="str">
        <f aca="false">CHOOSE(ROUNDUP(VALUE(MID(B1765,4,2))/3,0),"Q1","Q2","Q3","Q4")</f>
        <v>Q2</v>
      </c>
    </row>
    <row r="1766" customFormat="false" ht="15" hidden="false" customHeight="true" outlineLevel="0" collapsed="false">
      <c r="A1766" s="1" t="s">
        <v>2602</v>
      </c>
      <c r="B1766" s="1" t="s">
        <v>1198</v>
      </c>
      <c r="C1766" s="1" t="s">
        <v>249</v>
      </c>
      <c r="D1766" s="1" t="s">
        <v>53</v>
      </c>
      <c r="E1766" s="1" t="s">
        <v>216</v>
      </c>
      <c r="F1766" s="1" t="s">
        <v>125</v>
      </c>
      <c r="G1766" s="1" t="s">
        <v>108</v>
      </c>
      <c r="H1766" s="1" t="s">
        <v>69</v>
      </c>
      <c r="I1766" s="1" t="s">
        <v>83</v>
      </c>
      <c r="J1766" s="1" t="s">
        <v>77</v>
      </c>
      <c r="K1766" s="1" t="s">
        <v>60</v>
      </c>
      <c r="L1766" s="1" t="s">
        <v>85</v>
      </c>
      <c r="M1766" s="1" t="s">
        <v>62</v>
      </c>
      <c r="N1766" s="1" t="n">
        <v>7499</v>
      </c>
      <c r="O1766" s="1" t="n">
        <v>10</v>
      </c>
      <c r="P1766" s="1" t="n">
        <v>749.9</v>
      </c>
      <c r="Q1766" s="1" t="n">
        <v>6749.1</v>
      </c>
      <c r="R1766" s="1" t="n">
        <v>1214.84</v>
      </c>
      <c r="S1766" s="1" t="n">
        <v>5534.26</v>
      </c>
      <c r="T1766" s="1" t="n">
        <v>2442.25</v>
      </c>
      <c r="U1766" s="1" t="n">
        <v>3092.01</v>
      </c>
      <c r="V1766" s="1" t="n">
        <v>55.87</v>
      </c>
      <c r="W1766" s="1" t="s">
        <v>39</v>
      </c>
      <c r="Y1766" s="1" t="s">
        <v>40</v>
      </c>
      <c r="Z1766" s="1" t="n">
        <v>0</v>
      </c>
      <c r="AA1766" s="1" t="str">
        <f aca="false">TRIM(PROPER(F1766))</f>
        <v>Chennai</v>
      </c>
      <c r="AB1766" s="1" t="str">
        <f aca="false">TRIM(PROPER(C1766))</f>
        <v>Whitehat Jr</v>
      </c>
      <c r="AC1766" s="1" t="str">
        <f aca="false">IF(O1766=0,"No Discount",IF(O1766&lt;=15,"Low (1-15%)",IF(O1766&lt;=30,"Medium (16-30%)","High (&gt;30%)")))</f>
        <v>Low (1-15%)</v>
      </c>
      <c r="AD1766" s="1" t="str">
        <f aca="false">IF(V1766&lt;0,"Loss Making",IF(V1766&lt;20,"Low Margin","Healthy Margin"))</f>
        <v>Healthy Margin</v>
      </c>
      <c r="AE1766" s="1" t="str">
        <f aca="false">TEXT(DATE(VALUE(RIGHT(B1766,4)),VALUE(MID(B1766,4,2)),VALUE(LEFT(B1766,2))),"MMM-YYYY")</f>
        <v>Nov-2024</v>
      </c>
      <c r="AF1766" s="1" t="n">
        <f aca="false">VALUE(RIGHT(B1766,4))</f>
        <v>2024</v>
      </c>
      <c r="AG1766" s="1" t="str">
        <f aca="false">CHOOSE(ROUNDUP(VALUE(MID(B1766,4,2))/3,0),"Q1","Q2","Q3","Q4")</f>
        <v>Q4</v>
      </c>
    </row>
    <row r="1767" customFormat="false" ht="15" hidden="false" customHeight="true" outlineLevel="0" collapsed="false">
      <c r="A1767" s="1" t="s">
        <v>2603</v>
      </c>
      <c r="B1767" s="1" t="s">
        <v>2604</v>
      </c>
      <c r="C1767" s="1" t="s">
        <v>178</v>
      </c>
      <c r="D1767" s="1" t="s">
        <v>94</v>
      </c>
      <c r="E1767" s="1" t="s">
        <v>95</v>
      </c>
      <c r="F1767" s="1" t="s">
        <v>96</v>
      </c>
      <c r="G1767" s="1" t="s">
        <v>97</v>
      </c>
      <c r="H1767" s="1" t="s">
        <v>69</v>
      </c>
      <c r="I1767" s="1" t="s">
        <v>34</v>
      </c>
      <c r="J1767" s="1" t="s">
        <v>35</v>
      </c>
      <c r="K1767" s="1" t="s">
        <v>60</v>
      </c>
      <c r="L1767" s="1" t="s">
        <v>61</v>
      </c>
      <c r="M1767" s="1" t="s">
        <v>38</v>
      </c>
      <c r="N1767" s="1" t="n">
        <v>6999</v>
      </c>
      <c r="O1767" s="1" t="n">
        <v>10</v>
      </c>
      <c r="P1767" s="1" t="n">
        <v>699.9</v>
      </c>
      <c r="Q1767" s="1" t="n">
        <v>6299.1</v>
      </c>
      <c r="R1767" s="1" t="n">
        <v>1133.84</v>
      </c>
      <c r="S1767" s="1" t="n">
        <v>5165.26</v>
      </c>
      <c r="T1767" s="1" t="n">
        <v>2102.77</v>
      </c>
      <c r="U1767" s="1" t="n">
        <v>3062.49</v>
      </c>
      <c r="V1767" s="1" t="n">
        <v>59.29</v>
      </c>
      <c r="W1767" s="1" t="s">
        <v>39</v>
      </c>
      <c r="X1767" s="1" t="n">
        <v>3</v>
      </c>
      <c r="Y1767" s="1" t="s">
        <v>40</v>
      </c>
      <c r="Z1767" s="1" t="n">
        <v>1</v>
      </c>
      <c r="AA1767" s="1" t="str">
        <f aca="false">TRIM(PROPER(F1767))</f>
        <v>Pune</v>
      </c>
      <c r="AB1767" s="1" t="str">
        <f aca="false">TRIM(PROPER(C1767))</f>
        <v>Leverage Edu</v>
      </c>
      <c r="AC1767" s="1" t="str">
        <f aca="false">IF(O1767=0,"No Discount",IF(O1767&lt;=15,"Low (1-15%)",IF(O1767&lt;=30,"Medium (16-30%)","High (&gt;30%)")))</f>
        <v>Low (1-15%)</v>
      </c>
      <c r="AD1767" s="1" t="str">
        <f aca="false">IF(V1767&lt;0,"Loss Making",IF(V1767&lt;20,"Low Margin","Healthy Margin"))</f>
        <v>Healthy Margin</v>
      </c>
      <c r="AE1767" s="1" t="str">
        <f aca="false">TEXT(DATE(VALUE(RIGHT(B1767,4)),VALUE(MID(B1767,4,2)),VALUE(LEFT(B1767,2))),"MMM-YYYY")</f>
        <v>May-2023</v>
      </c>
      <c r="AF1767" s="1" t="n">
        <f aca="false">VALUE(RIGHT(B1767,4))</f>
        <v>2023</v>
      </c>
      <c r="AG1767" s="1" t="str">
        <f aca="false">CHOOSE(ROUNDUP(VALUE(MID(B1767,4,2))/3,0),"Q1","Q2","Q3","Q4")</f>
        <v>Q2</v>
      </c>
    </row>
    <row r="1768" customFormat="false" ht="15" hidden="false" customHeight="true" outlineLevel="0" collapsed="false">
      <c r="A1768" s="1" t="s">
        <v>2605</v>
      </c>
      <c r="B1768" s="1" t="s">
        <v>1423</v>
      </c>
      <c r="C1768" s="1" t="s">
        <v>93</v>
      </c>
      <c r="D1768" s="1" t="s">
        <v>44</v>
      </c>
      <c r="E1768" s="1" t="s">
        <v>45</v>
      </c>
      <c r="F1768" s="1" t="s">
        <v>211</v>
      </c>
      <c r="G1768" s="1" t="s">
        <v>56</v>
      </c>
      <c r="H1768" s="1" t="s">
        <v>69</v>
      </c>
      <c r="I1768" s="1" t="s">
        <v>58</v>
      </c>
      <c r="J1768" s="1" t="s">
        <v>77</v>
      </c>
      <c r="K1768" s="1" t="s">
        <v>36</v>
      </c>
      <c r="L1768" s="1" t="s">
        <v>85</v>
      </c>
      <c r="M1768" s="1" t="s">
        <v>38</v>
      </c>
      <c r="N1768" s="1" t="n">
        <v>11999</v>
      </c>
      <c r="O1768" s="1" t="n">
        <v>0</v>
      </c>
      <c r="P1768" s="1" t="n">
        <v>0</v>
      </c>
      <c r="Q1768" s="1" t="n">
        <v>11999</v>
      </c>
      <c r="R1768" s="1" t="n">
        <v>2159.82</v>
      </c>
      <c r="S1768" s="1" t="n">
        <v>9839.18</v>
      </c>
      <c r="T1768" s="1" t="n">
        <v>2915.11</v>
      </c>
      <c r="U1768" s="1" t="n">
        <v>6924.07</v>
      </c>
      <c r="V1768" s="1" t="n">
        <v>70.37</v>
      </c>
      <c r="W1768" s="1" t="s">
        <v>40</v>
      </c>
      <c r="Y1768" s="1" t="s">
        <v>40</v>
      </c>
      <c r="Z1768" s="1" t="n">
        <v>0</v>
      </c>
      <c r="AA1768" s="1" t="str">
        <f aca="false">TRIM(PROPER(F1768))</f>
        <v>Noida</v>
      </c>
      <c r="AB1768" s="1" t="str">
        <f aca="false">TRIM(PROPER(C1768))</f>
        <v>Upgrad</v>
      </c>
      <c r="AC1768" s="1" t="str">
        <f aca="false">IF(O1768=0,"No Discount",IF(O1768&lt;=15,"Low (1-15%)",IF(O1768&lt;=30,"Medium (16-30%)","High (&gt;30%)")))</f>
        <v>No Discount</v>
      </c>
      <c r="AD1768" s="1" t="str">
        <f aca="false">IF(V1768&lt;0,"Loss Making",IF(V1768&lt;20,"Low Margin","Healthy Margin"))</f>
        <v>Healthy Margin</v>
      </c>
      <c r="AE1768" s="1" t="str">
        <f aca="false">TEXT(DATE(VALUE(RIGHT(B1768,4)),VALUE(MID(B1768,4,2)),VALUE(LEFT(B1768,2))),"MMM-YYYY")</f>
        <v>Apr-2023</v>
      </c>
      <c r="AF1768" s="1" t="n">
        <f aca="false">VALUE(RIGHT(B1768,4))</f>
        <v>2023</v>
      </c>
      <c r="AG1768" s="1" t="str">
        <f aca="false">CHOOSE(ROUNDUP(VALUE(MID(B1768,4,2))/3,0),"Q1","Q2","Q3","Q4")</f>
        <v>Q2</v>
      </c>
    </row>
    <row r="1769" customFormat="false" ht="15" hidden="false" customHeight="true" outlineLevel="0" collapsed="false">
      <c r="A1769" s="1" t="s">
        <v>2606</v>
      </c>
      <c r="B1769" s="1" t="s">
        <v>257</v>
      </c>
      <c r="C1769" s="1" t="s">
        <v>249</v>
      </c>
      <c r="D1769" s="1" t="s">
        <v>53</v>
      </c>
      <c r="E1769" s="1" t="s">
        <v>116</v>
      </c>
      <c r="F1769" s="1" t="s">
        <v>82</v>
      </c>
      <c r="G1769" s="1" t="s">
        <v>56</v>
      </c>
      <c r="H1769" s="1" t="s">
        <v>69</v>
      </c>
      <c r="I1769" s="1" t="s">
        <v>34</v>
      </c>
      <c r="J1769" s="1" t="s">
        <v>77</v>
      </c>
      <c r="K1769" s="1" t="s">
        <v>84</v>
      </c>
      <c r="L1769" s="1" t="s">
        <v>49</v>
      </c>
      <c r="M1769" s="1" t="s">
        <v>62</v>
      </c>
      <c r="N1769" s="1" t="n">
        <v>9999</v>
      </c>
      <c r="O1769" s="1" t="n">
        <v>0</v>
      </c>
      <c r="P1769" s="1" t="n">
        <v>0</v>
      </c>
      <c r="Q1769" s="1" t="n">
        <v>9999</v>
      </c>
      <c r="R1769" s="1" t="n">
        <v>1799.82</v>
      </c>
      <c r="S1769" s="1" t="n">
        <v>8199.18</v>
      </c>
      <c r="T1769" s="1" t="n">
        <v>3168.83</v>
      </c>
      <c r="U1769" s="1" t="n">
        <v>5030.35</v>
      </c>
      <c r="V1769" s="1" t="n">
        <v>61.35</v>
      </c>
      <c r="W1769" s="1" t="s">
        <v>39</v>
      </c>
      <c r="X1769" s="1" t="n">
        <v>4.7</v>
      </c>
      <c r="Y1769" s="1" t="s">
        <v>40</v>
      </c>
      <c r="Z1769" s="1" t="n">
        <v>0</v>
      </c>
      <c r="AA1769" s="1" t="str">
        <f aca="false">TRIM(PROPER(F1769))</f>
        <v>Gurugram</v>
      </c>
      <c r="AB1769" s="1" t="str">
        <f aca="false">TRIM(PROPER(C1769))</f>
        <v>Whitehat Jr</v>
      </c>
      <c r="AC1769" s="1" t="str">
        <f aca="false">IF(O1769=0,"No Discount",IF(O1769&lt;=15,"Low (1-15%)",IF(O1769&lt;=30,"Medium (16-30%)","High (&gt;30%)")))</f>
        <v>No Discount</v>
      </c>
      <c r="AD1769" s="1" t="str">
        <f aca="false">IF(V1769&lt;0,"Loss Making",IF(V1769&lt;20,"Low Margin","Healthy Margin"))</f>
        <v>Healthy Margin</v>
      </c>
      <c r="AE1769" s="1" t="str">
        <f aca="false">TEXT(DATE(VALUE(RIGHT(B1769,4)),VALUE(MID(B1769,4,2)),VALUE(LEFT(B1769,2))),"MMM-YYYY")</f>
        <v>Jun-2023</v>
      </c>
      <c r="AF1769" s="1" t="n">
        <f aca="false">VALUE(RIGHT(B1769,4))</f>
        <v>2023</v>
      </c>
      <c r="AG1769" s="1" t="str">
        <f aca="false">CHOOSE(ROUNDUP(VALUE(MID(B1769,4,2))/3,0),"Q1","Q2","Q3","Q4")</f>
        <v>Q2</v>
      </c>
    </row>
    <row r="1770" customFormat="false" ht="15" hidden="false" customHeight="true" outlineLevel="0" collapsed="false">
      <c r="A1770" s="1" t="s">
        <v>2607</v>
      </c>
      <c r="B1770" s="1" t="s">
        <v>798</v>
      </c>
      <c r="C1770" s="1" t="s">
        <v>100</v>
      </c>
      <c r="D1770" s="1" t="s">
        <v>53</v>
      </c>
      <c r="E1770" s="1" t="s">
        <v>54</v>
      </c>
      <c r="F1770" s="1" t="s">
        <v>46</v>
      </c>
      <c r="G1770" s="1" t="s">
        <v>47</v>
      </c>
      <c r="H1770" s="1" t="s">
        <v>33</v>
      </c>
      <c r="I1770" s="1" t="s">
        <v>58</v>
      </c>
      <c r="J1770" s="1" t="s">
        <v>70</v>
      </c>
      <c r="K1770" s="1" t="s">
        <v>112</v>
      </c>
      <c r="L1770" s="1" t="s">
        <v>113</v>
      </c>
      <c r="M1770" s="1" t="s">
        <v>38</v>
      </c>
      <c r="N1770" s="1" t="n">
        <v>11999</v>
      </c>
      <c r="O1770" s="1" t="n">
        <v>10</v>
      </c>
      <c r="P1770" s="1" t="n">
        <v>1199.9</v>
      </c>
      <c r="Q1770" s="1" t="n">
        <v>10799.1</v>
      </c>
      <c r="R1770" s="1" t="n">
        <v>1943.84</v>
      </c>
      <c r="S1770" s="1" t="n">
        <v>8855.26</v>
      </c>
      <c r="T1770" s="1" t="n">
        <v>4040.1</v>
      </c>
      <c r="U1770" s="1" t="n">
        <v>4815.16</v>
      </c>
      <c r="V1770" s="1" t="n">
        <v>54.38</v>
      </c>
      <c r="W1770" s="1" t="s">
        <v>40</v>
      </c>
      <c r="Y1770" s="1" t="s">
        <v>39</v>
      </c>
      <c r="Z1770" s="1" t="n">
        <v>0</v>
      </c>
      <c r="AA1770" s="1" t="str">
        <f aca="false">TRIM(PROPER(F1770))</f>
        <v>Mangaluru</v>
      </c>
      <c r="AB1770" s="1" t="str">
        <f aca="false">TRIM(PROPER(C1770))</f>
        <v>Physics Wallah</v>
      </c>
      <c r="AC1770" s="1" t="str">
        <f aca="false">IF(O1770=0,"No Discount",IF(O1770&lt;=15,"Low (1-15%)",IF(O1770&lt;=30,"Medium (16-30%)","High (&gt;30%)")))</f>
        <v>Low (1-15%)</v>
      </c>
      <c r="AD1770" s="1" t="str">
        <f aca="false">IF(V1770&lt;0,"Loss Making",IF(V1770&lt;20,"Low Margin","Healthy Margin"))</f>
        <v>Healthy Margin</v>
      </c>
      <c r="AE1770" s="1" t="str">
        <f aca="false">TEXT(DATE(VALUE(RIGHT(B1770,4)),VALUE(MID(B1770,4,2)),VALUE(LEFT(B1770,2))),"MMM-YYYY")</f>
        <v>Apr-2023</v>
      </c>
      <c r="AF1770" s="1" t="n">
        <f aca="false">VALUE(RIGHT(B1770,4))</f>
        <v>2023</v>
      </c>
      <c r="AG1770" s="1" t="str">
        <f aca="false">CHOOSE(ROUNDUP(VALUE(MID(B1770,4,2))/3,0),"Q1","Q2","Q3","Q4")</f>
        <v>Q2</v>
      </c>
    </row>
    <row r="1771" customFormat="false" ht="15" hidden="false" customHeight="true" outlineLevel="0" collapsed="false">
      <c r="A1771" s="1" t="s">
        <v>2608</v>
      </c>
      <c r="B1771" s="1" t="s">
        <v>1961</v>
      </c>
      <c r="C1771" s="1" t="s">
        <v>88</v>
      </c>
      <c r="D1771" s="1" t="s">
        <v>168</v>
      </c>
      <c r="E1771" s="1" t="s">
        <v>197</v>
      </c>
      <c r="F1771" s="1" t="s">
        <v>194</v>
      </c>
      <c r="G1771" s="1" t="s">
        <v>103</v>
      </c>
      <c r="H1771" s="1" t="s">
        <v>69</v>
      </c>
      <c r="I1771" s="1" t="s">
        <v>58</v>
      </c>
      <c r="J1771" s="1" t="s">
        <v>70</v>
      </c>
      <c r="K1771" s="1" t="s">
        <v>104</v>
      </c>
      <c r="L1771" s="1" t="s">
        <v>61</v>
      </c>
      <c r="M1771" s="1" t="s">
        <v>38</v>
      </c>
      <c r="N1771" s="1" t="n">
        <v>8499</v>
      </c>
      <c r="O1771" s="1" t="n">
        <v>0</v>
      </c>
      <c r="P1771" s="1" t="n">
        <v>0</v>
      </c>
      <c r="Q1771" s="1" t="n">
        <v>8499</v>
      </c>
      <c r="R1771" s="1" t="n">
        <v>1529.82</v>
      </c>
      <c r="S1771" s="1" t="n">
        <v>6969.18</v>
      </c>
      <c r="T1771" s="1" t="n">
        <v>3285.57</v>
      </c>
      <c r="U1771" s="1" t="n">
        <v>3683.61</v>
      </c>
      <c r="V1771" s="1" t="n">
        <v>52.86</v>
      </c>
      <c r="W1771" s="1" t="s">
        <v>40</v>
      </c>
      <c r="Y1771" s="1" t="s">
        <v>40</v>
      </c>
      <c r="Z1771" s="1" t="n">
        <v>1</v>
      </c>
      <c r="AA1771" s="1" t="str">
        <f aca="false">TRIM(PROPER(F1771))</f>
        <v>Hyderabad</v>
      </c>
      <c r="AB1771" s="1" t="str">
        <f aca="false">TRIM(PROPER(C1771))</f>
        <v>Byju'S</v>
      </c>
      <c r="AC1771" s="1" t="str">
        <f aca="false">IF(O1771=0,"No Discount",IF(O1771&lt;=15,"Low (1-15%)",IF(O1771&lt;=30,"Medium (16-30%)","High (&gt;30%)")))</f>
        <v>No Discount</v>
      </c>
      <c r="AD1771" s="1" t="str">
        <f aca="false">IF(V1771&lt;0,"Loss Making",IF(V1771&lt;20,"Low Margin","Healthy Margin"))</f>
        <v>Healthy Margin</v>
      </c>
      <c r="AE1771" s="1" t="str">
        <f aca="false">TEXT(DATE(VALUE(RIGHT(B1771,4)),VALUE(MID(B1771,4,2)),VALUE(LEFT(B1771,2))),"MMM-YYYY")</f>
        <v>Aug-2023</v>
      </c>
      <c r="AF1771" s="1" t="n">
        <f aca="false">VALUE(RIGHT(B1771,4))</f>
        <v>2023</v>
      </c>
      <c r="AG1771" s="1" t="str">
        <f aca="false">CHOOSE(ROUNDUP(VALUE(MID(B1771,4,2))/3,0),"Q1","Q2","Q3","Q4")</f>
        <v>Q3</v>
      </c>
    </row>
    <row r="1772" customFormat="false" ht="15" hidden="false" customHeight="true" outlineLevel="0" collapsed="false">
      <c r="A1772" s="1" t="s">
        <v>2609</v>
      </c>
      <c r="B1772" s="1" t="s">
        <v>618</v>
      </c>
      <c r="C1772" s="1" t="s">
        <v>2610</v>
      </c>
      <c r="D1772" s="1" t="s">
        <v>80</v>
      </c>
      <c r="E1772" s="1" t="s">
        <v>175</v>
      </c>
      <c r="F1772" s="1" t="s">
        <v>120</v>
      </c>
      <c r="G1772" s="1" t="s">
        <v>47</v>
      </c>
      <c r="H1772" s="1" t="s">
        <v>57</v>
      </c>
      <c r="I1772" s="1" t="s">
        <v>83</v>
      </c>
      <c r="J1772" s="1" t="s">
        <v>70</v>
      </c>
      <c r="K1772" s="1" t="s">
        <v>48</v>
      </c>
      <c r="L1772" s="1" t="s">
        <v>136</v>
      </c>
      <c r="M1772" s="1" t="s">
        <v>62</v>
      </c>
      <c r="N1772" s="1" t="n">
        <v>19999</v>
      </c>
      <c r="O1772" s="1" t="n">
        <v>20</v>
      </c>
      <c r="P1772" s="1" t="n">
        <v>3999.8</v>
      </c>
      <c r="Q1772" s="1" t="n">
        <v>15999.2</v>
      </c>
      <c r="R1772" s="1" t="n">
        <v>2879.86</v>
      </c>
      <c r="S1772" s="1" t="n">
        <v>13119.34</v>
      </c>
      <c r="T1772" s="1" t="n">
        <v>5270.26</v>
      </c>
      <c r="U1772" s="1" t="n">
        <v>7849.08</v>
      </c>
      <c r="V1772" s="1" t="n">
        <v>59.83</v>
      </c>
      <c r="W1772" s="1" t="s">
        <v>39</v>
      </c>
      <c r="X1772" s="1" t="n">
        <v>3.7</v>
      </c>
      <c r="Y1772" s="1" t="s">
        <v>40</v>
      </c>
      <c r="Z1772" s="1" t="n">
        <v>0</v>
      </c>
      <c r="AA1772" s="1" t="str">
        <f aca="false">TRIM(PROPER(F1772))</f>
        <v>Mysuru</v>
      </c>
      <c r="AB1772" s="1" t="str">
        <f aca="false">TRIM(PROPER(C1772))</f>
        <v>Physics Wallah</v>
      </c>
      <c r="AC1772" s="1" t="str">
        <f aca="false">IF(O1772=0,"No Discount",IF(O1772&lt;=15,"Low (1-15%)",IF(O1772&lt;=30,"Medium (16-30%)","High (&gt;30%)")))</f>
        <v>Medium (16-30%)</v>
      </c>
      <c r="AD1772" s="1" t="str">
        <f aca="false">IF(V1772&lt;0,"Loss Making",IF(V1772&lt;20,"Low Margin","Healthy Margin"))</f>
        <v>Healthy Margin</v>
      </c>
      <c r="AE1772" s="1" t="str">
        <f aca="false">TEXT(DATE(VALUE(RIGHT(B1772,4)),VALUE(MID(B1772,4,2)),VALUE(LEFT(B1772,2))),"MMM-YYYY")</f>
        <v>Nov-2023</v>
      </c>
      <c r="AF1772" s="1" t="n">
        <f aca="false">VALUE(RIGHT(B1772,4))</f>
        <v>2023</v>
      </c>
      <c r="AG1772" s="1" t="str">
        <f aca="false">CHOOSE(ROUNDUP(VALUE(MID(B1772,4,2))/3,0),"Q1","Q2","Q3","Q4")</f>
        <v>Q4</v>
      </c>
    </row>
    <row r="1773" customFormat="false" ht="15" hidden="false" customHeight="true" outlineLevel="0" collapsed="false">
      <c r="A1773" s="1" t="s">
        <v>2611</v>
      </c>
      <c r="B1773" s="1" t="s">
        <v>974</v>
      </c>
      <c r="C1773" s="1" t="s">
        <v>264</v>
      </c>
      <c r="D1773" s="1" t="s">
        <v>53</v>
      </c>
      <c r="E1773" s="1" t="s">
        <v>116</v>
      </c>
      <c r="F1773" s="1" t="s">
        <v>184</v>
      </c>
      <c r="G1773" s="1" t="s">
        <v>56</v>
      </c>
      <c r="H1773" s="1" t="s">
        <v>57</v>
      </c>
      <c r="I1773" s="1" t="s">
        <v>58</v>
      </c>
      <c r="J1773" s="1" t="s">
        <v>131</v>
      </c>
      <c r="K1773" s="1" t="s">
        <v>84</v>
      </c>
      <c r="L1773" s="1" t="s">
        <v>136</v>
      </c>
      <c r="M1773" s="1" t="s">
        <v>38</v>
      </c>
      <c r="N1773" s="1" t="n">
        <v>9999</v>
      </c>
      <c r="O1773" s="1" t="n">
        <v>0</v>
      </c>
      <c r="P1773" s="1" t="n">
        <v>0</v>
      </c>
      <c r="Q1773" s="1" t="n">
        <v>9999</v>
      </c>
      <c r="R1773" s="1" t="n">
        <v>1799.82</v>
      </c>
      <c r="S1773" s="1" t="n">
        <v>8199.18</v>
      </c>
      <c r="T1773" s="1" t="n">
        <v>3370.64</v>
      </c>
      <c r="U1773" s="1" t="n">
        <v>4828.54</v>
      </c>
      <c r="V1773" s="1" t="n">
        <v>58.89</v>
      </c>
      <c r="W1773" s="1" t="s">
        <v>40</v>
      </c>
      <c r="Y1773" s="1" t="s">
        <v>39</v>
      </c>
      <c r="Z1773" s="1" t="n">
        <v>0</v>
      </c>
      <c r="AA1773" s="1" t="str">
        <f aca="false">TRIM(PROPER(F1773))</f>
        <v>Faridabad</v>
      </c>
      <c r="AB1773" s="1" t="str">
        <f aca="false">TRIM(PROPER(C1773))</f>
        <v>Unacademy</v>
      </c>
      <c r="AC1773" s="1" t="str">
        <f aca="false">IF(O1773=0,"No Discount",IF(O1773&lt;=15,"Low (1-15%)",IF(O1773&lt;=30,"Medium (16-30%)","High (&gt;30%)")))</f>
        <v>No Discount</v>
      </c>
      <c r="AD1773" s="1" t="str">
        <f aca="false">IF(V1773&lt;0,"Loss Making",IF(V1773&lt;20,"Low Margin","Healthy Margin"))</f>
        <v>Healthy Margin</v>
      </c>
      <c r="AE1773" s="1" t="str">
        <f aca="false">TEXT(DATE(VALUE(RIGHT(B1773,4)),VALUE(MID(B1773,4,2)),VALUE(LEFT(B1773,2))),"MMM-YYYY")</f>
        <v>Feb-2023</v>
      </c>
      <c r="AF1773" s="1" t="n">
        <f aca="false">VALUE(RIGHT(B1773,4))</f>
        <v>2023</v>
      </c>
      <c r="AG1773" s="1" t="str">
        <f aca="false">CHOOSE(ROUNDUP(VALUE(MID(B1773,4,2))/3,0),"Q1","Q2","Q3","Q4")</f>
        <v>Q1</v>
      </c>
    </row>
    <row r="1774" customFormat="false" ht="15" hidden="false" customHeight="true" outlineLevel="0" collapsed="false">
      <c r="A1774" s="1" t="s">
        <v>2612</v>
      </c>
      <c r="B1774" s="1" t="s">
        <v>450</v>
      </c>
      <c r="C1774" s="1" t="s">
        <v>139</v>
      </c>
      <c r="D1774" s="1" t="s">
        <v>168</v>
      </c>
      <c r="E1774" s="1" t="s">
        <v>172</v>
      </c>
      <c r="F1774" s="1" t="s">
        <v>1842</v>
      </c>
      <c r="G1774" s="1" t="s">
        <v>76</v>
      </c>
      <c r="H1774" s="1" t="s">
        <v>33</v>
      </c>
      <c r="I1774" s="1" t="s">
        <v>34</v>
      </c>
      <c r="J1774" s="1" t="s">
        <v>59</v>
      </c>
      <c r="K1774" s="1" t="s">
        <v>104</v>
      </c>
      <c r="L1774" s="1" t="s">
        <v>113</v>
      </c>
      <c r="M1774" s="1" t="s">
        <v>38</v>
      </c>
      <c r="N1774" s="1" t="n">
        <v>6999</v>
      </c>
      <c r="O1774" s="1" t="n">
        <v>0</v>
      </c>
      <c r="P1774" s="1" t="n">
        <v>0</v>
      </c>
      <c r="Q1774" s="1" t="n">
        <v>6999</v>
      </c>
      <c r="R1774" s="1" t="n">
        <v>1259.82</v>
      </c>
      <c r="S1774" s="1" t="n">
        <v>5739.18</v>
      </c>
      <c r="T1774" s="1" t="n">
        <v>2540.34</v>
      </c>
      <c r="U1774" s="1" t="n">
        <v>3198.84</v>
      </c>
      <c r="V1774" s="1" t="n">
        <v>55.74</v>
      </c>
      <c r="W1774" s="1" t="s">
        <v>39</v>
      </c>
      <c r="X1774" s="1" t="n">
        <v>5</v>
      </c>
      <c r="Y1774" s="1" t="s">
        <v>40</v>
      </c>
      <c r="Z1774" s="1" t="n">
        <v>1</v>
      </c>
      <c r="AA1774" s="1" t="str">
        <f aca="false">TRIM(PROPER(F1774))</f>
        <v>Howrah</v>
      </c>
      <c r="AB1774" s="1" t="str">
        <f aca="false">TRIM(PROPER(C1774))</f>
        <v>Extramarks</v>
      </c>
      <c r="AC1774" s="1" t="str">
        <f aca="false">IF(O1774=0,"No Discount",IF(O1774&lt;=15,"Low (1-15%)",IF(O1774&lt;=30,"Medium (16-30%)","High (&gt;30%)")))</f>
        <v>No Discount</v>
      </c>
      <c r="AD1774" s="1" t="str">
        <f aca="false">IF(V1774&lt;0,"Loss Making",IF(V1774&lt;20,"Low Margin","Healthy Margin"))</f>
        <v>Healthy Margin</v>
      </c>
      <c r="AE1774" s="1" t="str">
        <f aca="false">TEXT(DATE(VALUE(RIGHT(B1774,4)),VALUE(MID(B1774,4,2)),VALUE(LEFT(B1774,2))),"MMM-YYYY")</f>
        <v>Jul-2024</v>
      </c>
      <c r="AF1774" s="1" t="n">
        <f aca="false">VALUE(RIGHT(B1774,4))</f>
        <v>2024</v>
      </c>
      <c r="AG1774" s="1" t="str">
        <f aca="false">CHOOSE(ROUNDUP(VALUE(MID(B1774,4,2))/3,0),"Q1","Q2","Q3","Q4")</f>
        <v>Q3</v>
      </c>
    </row>
    <row r="1775" customFormat="false" ht="15" hidden="false" customHeight="true" outlineLevel="0" collapsed="false">
      <c r="A1775" s="1" t="s">
        <v>2613</v>
      </c>
      <c r="B1775" s="1" t="s">
        <v>1152</v>
      </c>
      <c r="C1775" s="1" t="s">
        <v>167</v>
      </c>
      <c r="D1775" s="1" t="s">
        <v>143</v>
      </c>
      <c r="E1775" s="1" t="s">
        <v>159</v>
      </c>
      <c r="F1775" s="1" t="s">
        <v>140</v>
      </c>
      <c r="G1775" s="1" t="s">
        <v>97</v>
      </c>
      <c r="H1775" s="1" t="s">
        <v>57</v>
      </c>
      <c r="I1775" s="1" t="s">
        <v>83</v>
      </c>
      <c r="J1775" s="1" t="s">
        <v>35</v>
      </c>
      <c r="K1775" s="1" t="s">
        <v>104</v>
      </c>
      <c r="L1775" s="1" t="s">
        <v>113</v>
      </c>
      <c r="M1775" s="1" t="s">
        <v>50</v>
      </c>
      <c r="N1775" s="1" t="n">
        <v>24999</v>
      </c>
      <c r="O1775" s="1" t="n">
        <v>0</v>
      </c>
      <c r="P1775" s="1" t="n">
        <v>0</v>
      </c>
      <c r="Q1775" s="1" t="n">
        <v>24999</v>
      </c>
      <c r="R1775" s="1" t="n">
        <v>4499.82</v>
      </c>
      <c r="S1775" s="1" t="n">
        <v>20499.18</v>
      </c>
      <c r="T1775" s="1" t="n">
        <v>8795.65</v>
      </c>
      <c r="U1775" s="1" t="n">
        <v>11703.53</v>
      </c>
      <c r="V1775" s="1" t="n">
        <v>57.09</v>
      </c>
      <c r="W1775" s="1" t="s">
        <v>40</v>
      </c>
      <c r="Y1775" s="1" t="s">
        <v>40</v>
      </c>
      <c r="Z1775" s="1" t="n">
        <v>1</v>
      </c>
      <c r="AA1775" s="1" t="str">
        <f aca="false">TRIM(PROPER(F1775))</f>
        <v>Nashik</v>
      </c>
      <c r="AB1775" s="1" t="str">
        <f aca="false">TRIM(PROPER(C1775))</f>
        <v>Scaler</v>
      </c>
      <c r="AC1775" s="1" t="str">
        <f aca="false">IF(O1775=0,"No Discount",IF(O1775&lt;=15,"Low (1-15%)",IF(O1775&lt;=30,"Medium (16-30%)","High (&gt;30%)")))</f>
        <v>No Discount</v>
      </c>
      <c r="AD1775" s="1" t="str">
        <f aca="false">IF(V1775&lt;0,"Loss Making",IF(V1775&lt;20,"Low Margin","Healthy Margin"))</f>
        <v>Healthy Margin</v>
      </c>
      <c r="AE1775" s="1" t="str">
        <f aca="false">TEXT(DATE(VALUE(RIGHT(B1775,4)),VALUE(MID(B1775,4,2)),VALUE(LEFT(B1775,2))),"MMM-YYYY")</f>
        <v>Aug-2024</v>
      </c>
      <c r="AF1775" s="1" t="n">
        <f aca="false">VALUE(RIGHT(B1775,4))</f>
        <v>2024</v>
      </c>
      <c r="AG1775" s="1" t="str">
        <f aca="false">CHOOSE(ROUNDUP(VALUE(MID(B1775,4,2))/3,0),"Q1","Q2","Q3","Q4")</f>
        <v>Q3</v>
      </c>
    </row>
    <row r="1776" customFormat="false" ht="15" hidden="false" customHeight="true" outlineLevel="0" collapsed="false">
      <c r="A1776" s="1" t="s">
        <v>2614</v>
      </c>
      <c r="B1776" s="1" t="s">
        <v>747</v>
      </c>
      <c r="C1776" s="1" t="s">
        <v>88</v>
      </c>
      <c r="D1776" s="1" t="s">
        <v>123</v>
      </c>
      <c r="E1776" s="1" t="s">
        <v>124</v>
      </c>
      <c r="F1776" s="1" t="s">
        <v>55</v>
      </c>
      <c r="G1776" s="1" t="s">
        <v>56</v>
      </c>
      <c r="H1776" s="1" t="s">
        <v>57</v>
      </c>
      <c r="I1776" s="1" t="s">
        <v>83</v>
      </c>
      <c r="J1776" s="1" t="s">
        <v>77</v>
      </c>
      <c r="K1776" s="1" t="s">
        <v>104</v>
      </c>
      <c r="L1776" s="1" t="s">
        <v>49</v>
      </c>
      <c r="M1776" s="1" t="s">
        <v>38</v>
      </c>
      <c r="N1776" s="1" t="n">
        <v>4999</v>
      </c>
      <c r="O1776" s="1" t="n">
        <v>0</v>
      </c>
      <c r="P1776" s="1" t="n">
        <v>0</v>
      </c>
      <c r="Q1776" s="1" t="n">
        <v>4999</v>
      </c>
      <c r="R1776" s="1" t="n">
        <v>899.82</v>
      </c>
      <c r="S1776" s="1" t="n">
        <v>4099.18</v>
      </c>
      <c r="T1776" s="1" t="n">
        <v>1953.67</v>
      </c>
      <c r="U1776" s="1" t="n">
        <v>2145.51</v>
      </c>
      <c r="V1776" s="1" t="n">
        <v>52.34</v>
      </c>
      <c r="W1776" s="1" t="s">
        <v>40</v>
      </c>
      <c r="Y1776" s="1" t="s">
        <v>40</v>
      </c>
      <c r="Z1776" s="1" t="n">
        <v>1</v>
      </c>
      <c r="AA1776" s="1" t="str">
        <f aca="false">TRIM(PROPER(F1776))</f>
        <v>Ghaziabad</v>
      </c>
      <c r="AB1776" s="1" t="str">
        <f aca="false">TRIM(PROPER(C1776))</f>
        <v>Byju'S</v>
      </c>
      <c r="AC1776" s="1" t="str">
        <f aca="false">IF(O1776=0,"No Discount",IF(O1776&lt;=15,"Low (1-15%)",IF(O1776&lt;=30,"Medium (16-30%)","High (&gt;30%)")))</f>
        <v>No Discount</v>
      </c>
      <c r="AD1776" s="1" t="str">
        <f aca="false">IF(V1776&lt;0,"Loss Making",IF(V1776&lt;20,"Low Margin","Healthy Margin"))</f>
        <v>Healthy Margin</v>
      </c>
      <c r="AE1776" s="1" t="str">
        <f aca="false">TEXT(DATE(VALUE(RIGHT(B1776,4)),VALUE(MID(B1776,4,2)),VALUE(LEFT(B1776,2))),"MMM-YYYY")</f>
        <v>Oct-2023</v>
      </c>
      <c r="AF1776" s="1" t="n">
        <f aca="false">VALUE(RIGHT(B1776,4))</f>
        <v>2023</v>
      </c>
      <c r="AG1776" s="1" t="str">
        <f aca="false">CHOOSE(ROUNDUP(VALUE(MID(B1776,4,2))/3,0),"Q1","Q2","Q3","Q4")</f>
        <v>Q4</v>
      </c>
    </row>
    <row r="1777" customFormat="false" ht="15" hidden="false" customHeight="true" outlineLevel="0" collapsed="false">
      <c r="A1777" s="1" t="s">
        <v>2615</v>
      </c>
      <c r="B1777" s="1" t="s">
        <v>1367</v>
      </c>
      <c r="C1777" s="1" t="s">
        <v>442</v>
      </c>
      <c r="D1777" s="1" t="s">
        <v>94</v>
      </c>
      <c r="E1777" s="1" t="s">
        <v>101</v>
      </c>
      <c r="F1777" s="1" t="s">
        <v>187</v>
      </c>
      <c r="G1777" s="1" t="s">
        <v>97</v>
      </c>
      <c r="H1777" s="1" t="s">
        <v>69</v>
      </c>
      <c r="I1777" s="1" t="s">
        <v>58</v>
      </c>
      <c r="J1777" s="1" t="s">
        <v>131</v>
      </c>
      <c r="K1777" s="1" t="s">
        <v>84</v>
      </c>
      <c r="L1777" s="1" t="s">
        <v>37</v>
      </c>
      <c r="M1777" s="1" t="s">
        <v>38</v>
      </c>
      <c r="N1777" s="1" t="n">
        <v>14999</v>
      </c>
      <c r="O1777" s="1" t="n">
        <v>15</v>
      </c>
      <c r="P1777" s="1" t="n">
        <v>2249.85</v>
      </c>
      <c r="Q1777" s="1" t="n">
        <v>12749.15</v>
      </c>
      <c r="R1777" s="1" t="n">
        <v>2294.85</v>
      </c>
      <c r="S1777" s="1" t="n">
        <v>10454.3</v>
      </c>
      <c r="T1777" s="1" t="n">
        <v>3524.13</v>
      </c>
      <c r="U1777" s="1" t="n">
        <v>6930.17</v>
      </c>
      <c r="V1777" s="1" t="n">
        <v>66.29</v>
      </c>
      <c r="W1777" s="1" t="s">
        <v>40</v>
      </c>
      <c r="Y1777" s="1" t="s">
        <v>40</v>
      </c>
      <c r="Z1777" s="1" t="n">
        <v>1</v>
      </c>
      <c r="AA1777" s="1" t="str">
        <f aca="false">TRIM(PROPER(F1777))</f>
        <v>Mumbai</v>
      </c>
      <c r="AB1777" s="1" t="str">
        <f aca="false">TRIM(PROPER(C1777))</f>
        <v>Embibe</v>
      </c>
      <c r="AC1777" s="1" t="str">
        <f aca="false">IF(O1777=0,"No Discount",IF(O1777&lt;=15,"Low (1-15%)",IF(O1777&lt;=30,"Medium (16-30%)","High (&gt;30%)")))</f>
        <v>Low (1-15%)</v>
      </c>
      <c r="AD1777" s="1" t="str">
        <f aca="false">IF(V1777&lt;0,"Loss Making",IF(V1777&lt;20,"Low Margin","Healthy Margin"))</f>
        <v>Healthy Margin</v>
      </c>
      <c r="AE1777" s="1" t="str">
        <f aca="false">TEXT(DATE(VALUE(RIGHT(B1777,4)),VALUE(MID(B1777,4,2)),VALUE(LEFT(B1777,2))),"MMM-YYYY")</f>
        <v>Apr-2023</v>
      </c>
      <c r="AF1777" s="1" t="n">
        <f aca="false">VALUE(RIGHT(B1777,4))</f>
        <v>2023</v>
      </c>
      <c r="AG1777" s="1" t="str">
        <f aca="false">CHOOSE(ROUNDUP(VALUE(MID(B1777,4,2))/3,0),"Q1","Q2","Q3","Q4")</f>
        <v>Q2</v>
      </c>
    </row>
    <row r="1778" customFormat="false" ht="15" hidden="false" customHeight="true" outlineLevel="0" collapsed="false">
      <c r="A1778" s="1" t="s">
        <v>2616</v>
      </c>
      <c r="B1778" s="1" t="s">
        <v>683</v>
      </c>
      <c r="C1778" s="1" t="s">
        <v>139</v>
      </c>
      <c r="D1778" s="1" t="s">
        <v>29</v>
      </c>
      <c r="E1778" s="1" t="s">
        <v>129</v>
      </c>
      <c r="F1778" s="1" t="s">
        <v>140</v>
      </c>
      <c r="G1778" s="1" t="s">
        <v>97</v>
      </c>
      <c r="H1778" s="1" t="s">
        <v>57</v>
      </c>
      <c r="I1778" s="1" t="s">
        <v>34</v>
      </c>
      <c r="J1778" s="1" t="s">
        <v>131</v>
      </c>
      <c r="K1778" s="1" t="s">
        <v>60</v>
      </c>
      <c r="L1778" s="1" t="s">
        <v>37</v>
      </c>
      <c r="M1778" s="1" t="s">
        <v>38</v>
      </c>
      <c r="N1778" s="1" t="n">
        <v>29999</v>
      </c>
      <c r="O1778" s="1" t="n">
        <v>10</v>
      </c>
      <c r="P1778" s="1" t="n">
        <v>2999.9</v>
      </c>
      <c r="Q1778" s="1" t="n">
        <v>26999.1</v>
      </c>
      <c r="R1778" s="1" t="n">
        <v>4859.84</v>
      </c>
      <c r="S1778" s="1" t="n">
        <v>22139.26</v>
      </c>
      <c r="T1778" s="1" t="n">
        <v>9838.44</v>
      </c>
      <c r="U1778" s="1" t="n">
        <v>12300.82</v>
      </c>
      <c r="V1778" s="1" t="n">
        <v>55.56</v>
      </c>
      <c r="W1778" s="1" t="s">
        <v>40</v>
      </c>
      <c r="Y1778" s="1" t="s">
        <v>40</v>
      </c>
      <c r="Z1778" s="1" t="n">
        <v>2</v>
      </c>
      <c r="AA1778" s="1" t="str">
        <f aca="false">TRIM(PROPER(F1778))</f>
        <v>Nashik</v>
      </c>
      <c r="AB1778" s="1" t="str">
        <f aca="false">TRIM(PROPER(C1778))</f>
        <v>Extramarks</v>
      </c>
      <c r="AC1778" s="1" t="str">
        <f aca="false">IF(O1778=0,"No Discount",IF(O1778&lt;=15,"Low (1-15%)",IF(O1778&lt;=30,"Medium (16-30%)","High (&gt;30%)")))</f>
        <v>Low (1-15%)</v>
      </c>
      <c r="AD1778" s="1" t="str">
        <f aca="false">IF(V1778&lt;0,"Loss Making",IF(V1778&lt;20,"Low Margin","Healthy Margin"))</f>
        <v>Healthy Margin</v>
      </c>
      <c r="AE1778" s="1" t="str">
        <f aca="false">TEXT(DATE(VALUE(RIGHT(B1778,4)),VALUE(MID(B1778,4,2)),VALUE(LEFT(B1778,2))),"MMM-YYYY")</f>
        <v>Oct-2023</v>
      </c>
      <c r="AF1778" s="1" t="n">
        <f aca="false">VALUE(RIGHT(B1778,4))</f>
        <v>2023</v>
      </c>
      <c r="AG1778" s="1" t="str">
        <f aca="false">CHOOSE(ROUNDUP(VALUE(MID(B1778,4,2))/3,0),"Q1","Q2","Q3","Q4")</f>
        <v>Q4</v>
      </c>
    </row>
    <row r="1779" customFormat="false" ht="15" hidden="false" customHeight="true" outlineLevel="0" collapsed="false">
      <c r="A1779" s="1" t="s">
        <v>2617</v>
      </c>
      <c r="B1779" s="1" t="s">
        <v>248</v>
      </c>
      <c r="C1779" s="1" t="s">
        <v>128</v>
      </c>
      <c r="D1779" s="1" t="s">
        <v>168</v>
      </c>
      <c r="E1779" s="1" t="s">
        <v>328</v>
      </c>
      <c r="F1779" s="1" t="s">
        <v>211</v>
      </c>
      <c r="G1779" s="1" t="s">
        <v>56</v>
      </c>
      <c r="H1779" s="1" t="s">
        <v>69</v>
      </c>
      <c r="I1779" s="1" t="s">
        <v>34</v>
      </c>
      <c r="J1779" s="1" t="s">
        <v>70</v>
      </c>
      <c r="K1779" s="1" t="s">
        <v>84</v>
      </c>
      <c r="L1779" s="1" t="s">
        <v>113</v>
      </c>
      <c r="M1779" s="1" t="s">
        <v>62</v>
      </c>
      <c r="N1779" s="1" t="n">
        <v>8999</v>
      </c>
      <c r="O1779" s="1" t="n">
        <v>0</v>
      </c>
      <c r="P1779" s="1" t="n">
        <v>0</v>
      </c>
      <c r="Q1779" s="1" t="n">
        <v>8999</v>
      </c>
      <c r="R1779" s="1" t="n">
        <v>1619.82</v>
      </c>
      <c r="S1779" s="1" t="n">
        <v>7379.18</v>
      </c>
      <c r="T1779" s="1" t="n">
        <v>2798.78</v>
      </c>
      <c r="U1779" s="1" t="n">
        <v>4580.4</v>
      </c>
      <c r="V1779" s="1" t="n">
        <v>62.07</v>
      </c>
      <c r="W1779" s="1" t="s">
        <v>39</v>
      </c>
      <c r="X1779" s="1" t="n">
        <v>3.7</v>
      </c>
      <c r="Y1779" s="1" t="s">
        <v>40</v>
      </c>
      <c r="Z1779" s="1" t="n">
        <v>0</v>
      </c>
      <c r="AA1779" s="1" t="str">
        <f aca="false">TRIM(PROPER(F1779))</f>
        <v>Noida</v>
      </c>
      <c r="AB1779" s="1" t="str">
        <f aca="false">TRIM(PROPER(C1779))</f>
        <v>Great Learning</v>
      </c>
      <c r="AC1779" s="1" t="str">
        <f aca="false">IF(O1779=0,"No Discount",IF(O1779&lt;=15,"Low (1-15%)",IF(O1779&lt;=30,"Medium (16-30%)","High (&gt;30%)")))</f>
        <v>No Discount</v>
      </c>
      <c r="AD1779" s="1" t="str">
        <f aca="false">IF(V1779&lt;0,"Loss Making",IF(V1779&lt;20,"Low Margin","Healthy Margin"))</f>
        <v>Healthy Margin</v>
      </c>
      <c r="AE1779" s="1" t="str">
        <f aca="false">TEXT(DATE(VALUE(RIGHT(B1779,4)),VALUE(MID(B1779,4,2)),VALUE(LEFT(B1779,2))),"MMM-YYYY")</f>
        <v>Jul-2024</v>
      </c>
      <c r="AF1779" s="1" t="n">
        <f aca="false">VALUE(RIGHT(B1779,4))</f>
        <v>2024</v>
      </c>
      <c r="AG1779" s="1" t="str">
        <f aca="false">CHOOSE(ROUNDUP(VALUE(MID(B1779,4,2))/3,0),"Q1","Q2","Q3","Q4")</f>
        <v>Q3</v>
      </c>
    </row>
    <row r="1780" customFormat="false" ht="15" hidden="false" customHeight="true" outlineLevel="0" collapsed="false">
      <c r="A1780" s="1" t="s">
        <v>2618</v>
      </c>
      <c r="B1780" s="1" t="s">
        <v>2619</v>
      </c>
      <c r="C1780" s="1" t="s">
        <v>119</v>
      </c>
      <c r="D1780" s="1" t="s">
        <v>168</v>
      </c>
      <c r="E1780" s="1" t="s">
        <v>197</v>
      </c>
      <c r="F1780" s="1" t="s">
        <v>156</v>
      </c>
      <c r="G1780" s="1" t="s">
        <v>68</v>
      </c>
      <c r="H1780" s="1" t="s">
        <v>57</v>
      </c>
      <c r="I1780" s="1" t="s">
        <v>58</v>
      </c>
      <c r="J1780" s="1" t="s">
        <v>77</v>
      </c>
      <c r="K1780" s="1" t="s">
        <v>36</v>
      </c>
      <c r="L1780" s="1" t="s">
        <v>37</v>
      </c>
      <c r="M1780" s="1" t="s">
        <v>50</v>
      </c>
      <c r="N1780" s="1" t="n">
        <v>8499</v>
      </c>
      <c r="O1780" s="1" t="n">
        <v>30</v>
      </c>
      <c r="P1780" s="1" t="n">
        <v>2549.7</v>
      </c>
      <c r="Q1780" s="1" t="n">
        <v>5949.3</v>
      </c>
      <c r="R1780" s="1" t="n">
        <v>1070.87</v>
      </c>
      <c r="S1780" s="1" t="n">
        <v>4878.43</v>
      </c>
      <c r="T1780" s="1" t="n">
        <v>2464.03</v>
      </c>
      <c r="U1780" s="1" t="n">
        <v>2414.4</v>
      </c>
      <c r="V1780" s="1" t="n">
        <v>49.49</v>
      </c>
      <c r="W1780" s="1" t="s">
        <v>39</v>
      </c>
      <c r="X1780" s="1" t="n">
        <v>2.9</v>
      </c>
      <c r="Y1780" s="1" t="s">
        <v>40</v>
      </c>
      <c r="Z1780" s="1" t="n">
        <v>0</v>
      </c>
      <c r="AA1780" s="1" t="str">
        <f aca="false">TRIM(PROPER(F1780))</f>
        <v>Surat</v>
      </c>
      <c r="AB1780" s="1" t="str">
        <f aca="false">TRIM(PROPER(C1780))</f>
        <v>Simplilearn</v>
      </c>
      <c r="AC1780" s="1" t="str">
        <f aca="false">IF(O1780=0,"No Discount",IF(O1780&lt;=15,"Low (1-15%)",IF(O1780&lt;=30,"Medium (16-30%)","High (&gt;30%)")))</f>
        <v>Medium (16-30%)</v>
      </c>
      <c r="AD1780" s="1" t="str">
        <f aca="false">IF(V1780&lt;0,"Loss Making",IF(V1780&lt;20,"Low Margin","Healthy Margin"))</f>
        <v>Healthy Margin</v>
      </c>
      <c r="AE1780" s="1" t="str">
        <f aca="false">TEXT(DATE(VALUE(RIGHT(B1780,4)),VALUE(MID(B1780,4,2)),VALUE(LEFT(B1780,2))),"MMM-YYYY")</f>
        <v>Nov-2023</v>
      </c>
      <c r="AF1780" s="1" t="n">
        <f aca="false">VALUE(RIGHT(B1780,4))</f>
        <v>2023</v>
      </c>
      <c r="AG1780" s="1" t="str">
        <f aca="false">CHOOSE(ROUNDUP(VALUE(MID(B1780,4,2))/3,0),"Q1","Q2","Q3","Q4")</f>
        <v>Q4</v>
      </c>
    </row>
    <row r="1781" customFormat="false" ht="15" hidden="false" customHeight="true" outlineLevel="0" collapsed="false">
      <c r="A1781" s="1" t="s">
        <v>2620</v>
      </c>
      <c r="B1781" s="1" t="s">
        <v>1305</v>
      </c>
      <c r="C1781" s="1" t="s">
        <v>93</v>
      </c>
      <c r="D1781" s="1" t="s">
        <v>29</v>
      </c>
      <c r="E1781" s="1" t="s">
        <v>129</v>
      </c>
      <c r="F1781" s="1" t="s">
        <v>205</v>
      </c>
      <c r="G1781" s="1" t="s">
        <v>56</v>
      </c>
      <c r="H1781" s="1" t="s">
        <v>69</v>
      </c>
      <c r="I1781" s="1" t="s">
        <v>58</v>
      </c>
      <c r="J1781" s="1" t="s">
        <v>131</v>
      </c>
      <c r="K1781" s="1" t="s">
        <v>48</v>
      </c>
      <c r="L1781" s="1" t="s">
        <v>113</v>
      </c>
      <c r="M1781" s="1" t="s">
        <v>38</v>
      </c>
      <c r="N1781" s="1" t="n">
        <v>29999</v>
      </c>
      <c r="O1781" s="1" t="n">
        <v>10</v>
      </c>
      <c r="P1781" s="1" t="n">
        <v>2999.9</v>
      </c>
      <c r="Q1781" s="1" t="n">
        <v>26999.1</v>
      </c>
      <c r="R1781" s="1" t="n">
        <v>4859.84</v>
      </c>
      <c r="S1781" s="1" t="n">
        <v>22139.26</v>
      </c>
      <c r="T1781" s="1" t="n">
        <v>9047.47</v>
      </c>
      <c r="U1781" s="1" t="n">
        <v>13091.79</v>
      </c>
      <c r="V1781" s="1" t="n">
        <v>59.13</v>
      </c>
      <c r="W1781" s="1" t="s">
        <v>40</v>
      </c>
      <c r="Y1781" s="1" t="s">
        <v>39</v>
      </c>
      <c r="Z1781" s="1" t="n">
        <v>2</v>
      </c>
      <c r="AA1781" s="1" t="str">
        <f aca="false">TRIM(PROPER(F1781))</f>
        <v>New Delhi</v>
      </c>
      <c r="AB1781" s="1" t="str">
        <f aca="false">TRIM(PROPER(C1781))</f>
        <v>Upgrad</v>
      </c>
      <c r="AC1781" s="1" t="str">
        <f aca="false">IF(O1781=0,"No Discount",IF(O1781&lt;=15,"Low (1-15%)",IF(O1781&lt;=30,"Medium (16-30%)","High (&gt;30%)")))</f>
        <v>Low (1-15%)</v>
      </c>
      <c r="AD1781" s="1" t="str">
        <f aca="false">IF(V1781&lt;0,"Loss Making",IF(V1781&lt;20,"Low Margin","Healthy Margin"))</f>
        <v>Healthy Margin</v>
      </c>
      <c r="AE1781" s="1" t="str">
        <f aca="false">TEXT(DATE(VALUE(RIGHT(B1781,4)),VALUE(MID(B1781,4,2)),VALUE(LEFT(B1781,2))),"MMM-YYYY")</f>
        <v>Feb-2023</v>
      </c>
      <c r="AF1781" s="1" t="n">
        <f aca="false">VALUE(RIGHT(B1781,4))</f>
        <v>2023</v>
      </c>
      <c r="AG1781" s="1" t="str">
        <f aca="false">CHOOSE(ROUNDUP(VALUE(MID(B1781,4,2))/3,0),"Q1","Q2","Q3","Q4")</f>
        <v>Q1</v>
      </c>
    </row>
    <row r="1782" customFormat="false" ht="15" hidden="false" customHeight="true" outlineLevel="0" collapsed="false">
      <c r="A1782" s="1" t="s">
        <v>2621</v>
      </c>
      <c r="B1782" s="1" t="s">
        <v>1040</v>
      </c>
      <c r="C1782" s="1" t="s">
        <v>93</v>
      </c>
      <c r="D1782" s="1" t="s">
        <v>53</v>
      </c>
      <c r="E1782" s="1" t="s">
        <v>54</v>
      </c>
      <c r="F1782" s="1" t="s">
        <v>140</v>
      </c>
      <c r="G1782" s="1" t="s">
        <v>97</v>
      </c>
      <c r="H1782" s="1" t="s">
        <v>57</v>
      </c>
      <c r="I1782" s="1" t="s">
        <v>83</v>
      </c>
      <c r="J1782" s="1" t="s">
        <v>59</v>
      </c>
      <c r="K1782" s="1" t="s">
        <v>60</v>
      </c>
      <c r="L1782" s="1" t="s">
        <v>113</v>
      </c>
      <c r="M1782" s="1" t="s">
        <v>50</v>
      </c>
      <c r="N1782" s="1" t="n">
        <v>11999</v>
      </c>
      <c r="O1782" s="1" t="n">
        <v>20</v>
      </c>
      <c r="P1782" s="1" t="n">
        <v>2399.8</v>
      </c>
      <c r="Q1782" s="1" t="n">
        <v>9599.2</v>
      </c>
      <c r="R1782" s="1" t="n">
        <v>1727.86</v>
      </c>
      <c r="S1782" s="1" t="n">
        <v>7871.34</v>
      </c>
      <c r="T1782" s="1" t="n">
        <v>3833.21</v>
      </c>
      <c r="U1782" s="1" t="n">
        <v>4038.13</v>
      </c>
      <c r="V1782" s="1" t="n">
        <v>51.3</v>
      </c>
      <c r="W1782" s="1" t="s">
        <v>39</v>
      </c>
      <c r="X1782" s="1" t="n">
        <v>3.4</v>
      </c>
      <c r="Y1782" s="1" t="s">
        <v>40</v>
      </c>
      <c r="Z1782" s="1" t="n">
        <v>0</v>
      </c>
      <c r="AA1782" s="1" t="str">
        <f aca="false">TRIM(PROPER(F1782))</f>
        <v>Nashik</v>
      </c>
      <c r="AB1782" s="1" t="str">
        <f aca="false">TRIM(PROPER(C1782))</f>
        <v>Upgrad</v>
      </c>
      <c r="AC1782" s="1" t="str">
        <f aca="false">IF(O1782=0,"No Discount",IF(O1782&lt;=15,"Low (1-15%)",IF(O1782&lt;=30,"Medium (16-30%)","High (&gt;30%)")))</f>
        <v>Medium (16-30%)</v>
      </c>
      <c r="AD1782" s="1" t="str">
        <f aca="false">IF(V1782&lt;0,"Loss Making",IF(V1782&lt;20,"Low Margin","Healthy Margin"))</f>
        <v>Healthy Margin</v>
      </c>
      <c r="AE1782" s="1" t="str">
        <f aca="false">TEXT(DATE(VALUE(RIGHT(B1782,4)),VALUE(MID(B1782,4,2)),VALUE(LEFT(B1782,2))),"MMM-YYYY")</f>
        <v>Sep-2023</v>
      </c>
      <c r="AF1782" s="1" t="n">
        <f aca="false">VALUE(RIGHT(B1782,4))</f>
        <v>2023</v>
      </c>
      <c r="AG1782" s="1" t="str">
        <f aca="false">CHOOSE(ROUNDUP(VALUE(MID(B1782,4,2))/3,0),"Q1","Q2","Q3","Q4")</f>
        <v>Q3</v>
      </c>
    </row>
    <row r="1783" customFormat="false" ht="15" hidden="false" customHeight="true" outlineLevel="0" collapsed="false">
      <c r="A1783" s="1" t="s">
        <v>2622</v>
      </c>
      <c r="B1783" s="1" t="s">
        <v>779</v>
      </c>
      <c r="C1783" s="1" t="s">
        <v>119</v>
      </c>
      <c r="D1783" s="1" t="s">
        <v>143</v>
      </c>
      <c r="E1783" s="1" t="s">
        <v>210</v>
      </c>
      <c r="F1783" s="1" t="s">
        <v>156</v>
      </c>
      <c r="G1783" s="1" t="s">
        <v>68</v>
      </c>
      <c r="H1783" s="1" t="s">
        <v>57</v>
      </c>
      <c r="I1783" s="1" t="s">
        <v>58</v>
      </c>
      <c r="J1783" s="1" t="s">
        <v>77</v>
      </c>
      <c r="K1783" s="1" t="s">
        <v>90</v>
      </c>
      <c r="L1783" s="1" t="s">
        <v>136</v>
      </c>
      <c r="M1783" s="1" t="s">
        <v>62</v>
      </c>
      <c r="N1783" s="1" t="n">
        <v>18999</v>
      </c>
      <c r="O1783" s="1" t="n">
        <v>25</v>
      </c>
      <c r="P1783" s="1" t="n">
        <v>4749.75</v>
      </c>
      <c r="Q1783" s="1" t="n">
        <v>14249.25</v>
      </c>
      <c r="R1783" s="1" t="n">
        <v>2564.86</v>
      </c>
      <c r="S1783" s="1" t="n">
        <v>11684.39</v>
      </c>
      <c r="T1783" s="1" t="n">
        <v>4899.61</v>
      </c>
      <c r="U1783" s="1" t="n">
        <v>6784.78</v>
      </c>
      <c r="V1783" s="1" t="n">
        <v>58.07</v>
      </c>
      <c r="W1783" s="1" t="s">
        <v>39</v>
      </c>
      <c r="X1783" s="1" t="n">
        <v>3.5</v>
      </c>
      <c r="Y1783" s="1" t="s">
        <v>40</v>
      </c>
      <c r="Z1783" s="1" t="n">
        <v>0</v>
      </c>
      <c r="AA1783" s="1" t="str">
        <f aca="false">TRIM(PROPER(F1783))</f>
        <v>Surat</v>
      </c>
      <c r="AB1783" s="1" t="str">
        <f aca="false">TRIM(PROPER(C1783))</f>
        <v>Simplilearn</v>
      </c>
      <c r="AC1783" s="1" t="str">
        <f aca="false">IF(O1783=0,"No Discount",IF(O1783&lt;=15,"Low (1-15%)",IF(O1783&lt;=30,"Medium (16-30%)","High (&gt;30%)")))</f>
        <v>Medium (16-30%)</v>
      </c>
      <c r="AD1783" s="1" t="str">
        <f aca="false">IF(V1783&lt;0,"Loss Making",IF(V1783&lt;20,"Low Margin","Healthy Margin"))</f>
        <v>Healthy Margin</v>
      </c>
      <c r="AE1783" s="1" t="str">
        <f aca="false">TEXT(DATE(VALUE(RIGHT(B1783,4)),VALUE(MID(B1783,4,2)),VALUE(LEFT(B1783,2))),"MMM-YYYY")</f>
        <v>Dec-2024</v>
      </c>
      <c r="AF1783" s="1" t="n">
        <f aca="false">VALUE(RIGHT(B1783,4))</f>
        <v>2024</v>
      </c>
      <c r="AG1783" s="1" t="str">
        <f aca="false">CHOOSE(ROUNDUP(VALUE(MID(B1783,4,2))/3,0),"Q1","Q2","Q3","Q4")</f>
        <v>Q4</v>
      </c>
    </row>
    <row r="1784" customFormat="false" ht="15" hidden="false" customHeight="true" outlineLevel="0" collapsed="false">
      <c r="A1784" s="1" t="s">
        <v>2623</v>
      </c>
      <c r="B1784" s="1" t="s">
        <v>415</v>
      </c>
      <c r="C1784" s="1" t="s">
        <v>43</v>
      </c>
      <c r="D1784" s="1" t="s">
        <v>53</v>
      </c>
      <c r="E1784" s="1" t="s">
        <v>54</v>
      </c>
      <c r="F1784" s="1" t="s">
        <v>125</v>
      </c>
      <c r="G1784" s="1" t="s">
        <v>108</v>
      </c>
      <c r="H1784" s="1" t="s">
        <v>69</v>
      </c>
      <c r="I1784" s="1" t="s">
        <v>34</v>
      </c>
      <c r="J1784" s="1" t="s">
        <v>59</v>
      </c>
      <c r="K1784" s="1" t="s">
        <v>71</v>
      </c>
      <c r="L1784" s="1" t="s">
        <v>136</v>
      </c>
      <c r="M1784" s="1" t="s">
        <v>62</v>
      </c>
      <c r="N1784" s="1" t="n">
        <v>11999</v>
      </c>
      <c r="O1784" s="1" t="n">
        <v>50</v>
      </c>
      <c r="P1784" s="1" t="n">
        <v>5999.5</v>
      </c>
      <c r="Q1784" s="1" t="n">
        <v>5999.5</v>
      </c>
      <c r="R1784" s="1" t="n">
        <v>1079.91</v>
      </c>
      <c r="S1784" s="1" t="n">
        <v>4919.59</v>
      </c>
      <c r="T1784" s="1" t="n">
        <v>2382.05</v>
      </c>
      <c r="U1784" s="1" t="n">
        <v>2537.54</v>
      </c>
      <c r="V1784" s="1" t="n">
        <v>51.58</v>
      </c>
      <c r="W1784" s="1" t="s">
        <v>39</v>
      </c>
      <c r="Y1784" s="1" t="s">
        <v>40</v>
      </c>
      <c r="Z1784" s="1" t="n">
        <v>0</v>
      </c>
      <c r="AA1784" s="1" t="str">
        <f aca="false">TRIM(PROPER(F1784))</f>
        <v>Chennai</v>
      </c>
      <c r="AB1784" s="1" t="str">
        <f aca="false">TRIM(PROPER(C1784))</f>
        <v>Meritnation</v>
      </c>
      <c r="AC1784" s="1" t="str">
        <f aca="false">IF(O1784=0,"No Discount",IF(O1784&lt;=15,"Low (1-15%)",IF(O1784&lt;=30,"Medium (16-30%)","High (&gt;30%)")))</f>
        <v>High (&gt;30%)</v>
      </c>
      <c r="AD1784" s="1" t="str">
        <f aca="false">IF(V1784&lt;0,"Loss Making",IF(V1784&lt;20,"Low Margin","Healthy Margin"))</f>
        <v>Healthy Margin</v>
      </c>
      <c r="AE1784" s="1" t="str">
        <f aca="false">TEXT(DATE(VALUE(RIGHT(B1784,4)),VALUE(MID(B1784,4,2)),VALUE(LEFT(B1784,2))),"MMM-YYYY")</f>
        <v>Aug-2023</v>
      </c>
      <c r="AF1784" s="1" t="n">
        <f aca="false">VALUE(RIGHT(B1784,4))</f>
        <v>2023</v>
      </c>
      <c r="AG1784" s="1" t="str">
        <f aca="false">CHOOSE(ROUNDUP(VALUE(MID(B1784,4,2))/3,0),"Q1","Q2","Q3","Q4")</f>
        <v>Q3</v>
      </c>
    </row>
    <row r="1785" customFormat="false" ht="15" hidden="false" customHeight="true" outlineLevel="0" collapsed="false">
      <c r="A1785" s="1" t="s">
        <v>2624</v>
      </c>
      <c r="B1785" s="1" t="s">
        <v>707</v>
      </c>
      <c r="C1785" s="1" t="s">
        <v>134</v>
      </c>
      <c r="D1785" s="1" t="s">
        <v>143</v>
      </c>
      <c r="E1785" s="1" t="s">
        <v>243</v>
      </c>
      <c r="F1785" s="1" t="s">
        <v>269</v>
      </c>
      <c r="G1785" s="1" t="s">
        <v>108</v>
      </c>
      <c r="H1785" s="1" t="s">
        <v>57</v>
      </c>
      <c r="I1785" s="1" t="s">
        <v>34</v>
      </c>
      <c r="J1785" s="1" t="s">
        <v>59</v>
      </c>
      <c r="K1785" s="1" t="s">
        <v>60</v>
      </c>
      <c r="L1785" s="1" t="s">
        <v>85</v>
      </c>
      <c r="M1785" s="1" t="s">
        <v>38</v>
      </c>
      <c r="N1785" s="1" t="n">
        <v>22999</v>
      </c>
      <c r="O1785" s="1" t="n">
        <v>0</v>
      </c>
      <c r="P1785" s="1" t="n">
        <v>0</v>
      </c>
      <c r="Q1785" s="1" t="n">
        <v>22999</v>
      </c>
      <c r="R1785" s="1" t="n">
        <v>4139.82</v>
      </c>
      <c r="S1785" s="1" t="n">
        <v>18859.18</v>
      </c>
      <c r="T1785" s="1" t="n">
        <v>7562.6</v>
      </c>
      <c r="U1785" s="1" t="n">
        <v>11296.58</v>
      </c>
      <c r="V1785" s="1" t="n">
        <v>59.9</v>
      </c>
      <c r="W1785" s="1" t="s">
        <v>40</v>
      </c>
      <c r="Y1785" s="1" t="s">
        <v>40</v>
      </c>
      <c r="Z1785" s="1" t="n">
        <v>1</v>
      </c>
      <c r="AA1785" s="1" t="str">
        <f aca="false">TRIM(PROPER(F1785))</f>
        <v>Coimbatore</v>
      </c>
      <c r="AB1785" s="1" t="str">
        <f aca="false">TRIM(PROPER(C1785))</f>
        <v>Doubtnut</v>
      </c>
      <c r="AC1785" s="1" t="str">
        <f aca="false">IF(O1785=0,"No Discount",IF(O1785&lt;=15,"Low (1-15%)",IF(O1785&lt;=30,"Medium (16-30%)","High (&gt;30%)")))</f>
        <v>No Discount</v>
      </c>
      <c r="AD1785" s="1" t="str">
        <f aca="false">IF(V1785&lt;0,"Loss Making",IF(V1785&lt;20,"Low Margin","Healthy Margin"))</f>
        <v>Healthy Margin</v>
      </c>
      <c r="AE1785" s="1" t="str">
        <f aca="false">TEXT(DATE(VALUE(RIGHT(B1785,4)),VALUE(MID(B1785,4,2)),VALUE(LEFT(B1785,2))),"MMM-YYYY")</f>
        <v>Dec-2023</v>
      </c>
      <c r="AF1785" s="1" t="n">
        <f aca="false">VALUE(RIGHT(B1785,4))</f>
        <v>2023</v>
      </c>
      <c r="AG1785" s="1" t="str">
        <f aca="false">CHOOSE(ROUNDUP(VALUE(MID(B1785,4,2))/3,0),"Q1","Q2","Q3","Q4")</f>
        <v>Q4</v>
      </c>
    </row>
    <row r="1786" customFormat="false" ht="15" hidden="false" customHeight="true" outlineLevel="0" collapsed="false">
      <c r="A1786" s="1" t="s">
        <v>2625</v>
      </c>
      <c r="B1786" s="1" t="s">
        <v>322</v>
      </c>
      <c r="C1786" s="1" t="s">
        <v>249</v>
      </c>
      <c r="D1786" s="1" t="s">
        <v>143</v>
      </c>
      <c r="E1786" s="1" t="s">
        <v>162</v>
      </c>
      <c r="F1786" s="1" t="s">
        <v>89</v>
      </c>
      <c r="G1786" s="1" t="s">
        <v>68</v>
      </c>
      <c r="H1786" s="1" t="s">
        <v>33</v>
      </c>
      <c r="I1786" s="1" t="s">
        <v>58</v>
      </c>
      <c r="J1786" s="1" t="s">
        <v>70</v>
      </c>
      <c r="K1786" s="1" t="s">
        <v>60</v>
      </c>
      <c r="L1786" s="1" t="s">
        <v>85</v>
      </c>
      <c r="M1786" s="1" t="s">
        <v>62</v>
      </c>
      <c r="N1786" s="1" t="n">
        <v>14999</v>
      </c>
      <c r="O1786" s="1" t="n">
        <v>0</v>
      </c>
      <c r="P1786" s="1" t="n">
        <v>0</v>
      </c>
      <c r="Q1786" s="1" t="n">
        <v>14999</v>
      </c>
      <c r="R1786" s="1" t="n">
        <v>2699.82</v>
      </c>
      <c r="S1786" s="1" t="n">
        <v>12299.18</v>
      </c>
      <c r="T1786" s="1" t="n">
        <v>5623.04</v>
      </c>
      <c r="U1786" s="1" t="n">
        <v>6676.14</v>
      </c>
      <c r="V1786" s="1" t="n">
        <v>54.28</v>
      </c>
      <c r="W1786" s="1" t="s">
        <v>40</v>
      </c>
      <c r="Y1786" s="1" t="s">
        <v>40</v>
      </c>
      <c r="Z1786" s="1" t="n">
        <v>3</v>
      </c>
      <c r="AA1786" s="1" t="str">
        <f aca="false">TRIM(PROPER(F1786))</f>
        <v>Vadodara</v>
      </c>
      <c r="AB1786" s="1" t="str">
        <f aca="false">TRIM(PROPER(C1786))</f>
        <v>Whitehat Jr</v>
      </c>
      <c r="AC1786" s="1" t="str">
        <f aca="false">IF(O1786=0,"No Discount",IF(O1786&lt;=15,"Low (1-15%)",IF(O1786&lt;=30,"Medium (16-30%)","High (&gt;30%)")))</f>
        <v>No Discount</v>
      </c>
      <c r="AD1786" s="1" t="str">
        <f aca="false">IF(V1786&lt;0,"Loss Making",IF(V1786&lt;20,"Low Margin","Healthy Margin"))</f>
        <v>Healthy Margin</v>
      </c>
      <c r="AE1786" s="1" t="str">
        <f aca="false">TEXT(DATE(VALUE(RIGHT(B1786,4)),VALUE(MID(B1786,4,2)),VALUE(LEFT(B1786,2))),"MMM-YYYY")</f>
        <v>Feb-2023</v>
      </c>
      <c r="AF1786" s="1" t="n">
        <f aca="false">VALUE(RIGHT(B1786,4))</f>
        <v>2023</v>
      </c>
      <c r="AG1786" s="1" t="str">
        <f aca="false">CHOOSE(ROUNDUP(VALUE(MID(B1786,4,2))/3,0),"Q1","Q2","Q3","Q4")</f>
        <v>Q1</v>
      </c>
    </row>
    <row r="1787" customFormat="false" ht="15" hidden="false" customHeight="true" outlineLevel="0" collapsed="false">
      <c r="A1787" s="1" t="s">
        <v>2626</v>
      </c>
      <c r="B1787" s="1" t="s">
        <v>2341</v>
      </c>
      <c r="C1787" s="1" t="s">
        <v>74</v>
      </c>
      <c r="D1787" s="1" t="s">
        <v>168</v>
      </c>
      <c r="E1787" s="1" t="s">
        <v>197</v>
      </c>
      <c r="F1787" s="1" t="s">
        <v>156</v>
      </c>
      <c r="G1787" s="1" t="s">
        <v>68</v>
      </c>
      <c r="H1787" s="1" t="s">
        <v>57</v>
      </c>
      <c r="I1787" s="1" t="s">
        <v>58</v>
      </c>
      <c r="J1787" s="1" t="s">
        <v>35</v>
      </c>
      <c r="K1787" s="1" t="s">
        <v>112</v>
      </c>
      <c r="L1787" s="1" t="s">
        <v>37</v>
      </c>
      <c r="M1787" s="1" t="s">
        <v>62</v>
      </c>
      <c r="N1787" s="1" t="n">
        <v>8499</v>
      </c>
      <c r="O1787" s="1" t="n">
        <v>15</v>
      </c>
      <c r="P1787" s="1" t="n">
        <v>1274.85</v>
      </c>
      <c r="Q1787" s="1" t="n">
        <v>7224.15</v>
      </c>
      <c r="R1787" s="1" t="n">
        <v>1300.35</v>
      </c>
      <c r="S1787" s="1" t="n">
        <v>5923.8</v>
      </c>
      <c r="T1787" s="1" t="n">
        <v>2520.01</v>
      </c>
      <c r="U1787" s="1" t="n">
        <v>3403.79</v>
      </c>
      <c r="V1787" s="1" t="n">
        <v>57.46</v>
      </c>
      <c r="W1787" s="1" t="s">
        <v>39</v>
      </c>
      <c r="X1787" s="1" t="n">
        <v>3.4</v>
      </c>
      <c r="Y1787" s="1" t="s">
        <v>40</v>
      </c>
      <c r="Z1787" s="1" t="n">
        <v>0</v>
      </c>
      <c r="AA1787" s="1" t="str">
        <f aca="false">TRIM(PROPER(F1787))</f>
        <v>Surat</v>
      </c>
      <c r="AB1787" s="1" t="str">
        <f aca="false">TRIM(PROPER(C1787))</f>
        <v>Vedantu</v>
      </c>
      <c r="AC1787" s="1" t="str">
        <f aca="false">IF(O1787=0,"No Discount",IF(O1787&lt;=15,"Low (1-15%)",IF(O1787&lt;=30,"Medium (16-30%)","High (&gt;30%)")))</f>
        <v>Low (1-15%)</v>
      </c>
      <c r="AD1787" s="1" t="str">
        <f aca="false">IF(V1787&lt;0,"Loss Making",IF(V1787&lt;20,"Low Margin","Healthy Margin"))</f>
        <v>Healthy Margin</v>
      </c>
      <c r="AE1787" s="1" t="str">
        <f aca="false">TEXT(DATE(VALUE(RIGHT(B1787,4)),VALUE(MID(B1787,4,2)),VALUE(LEFT(B1787,2))),"MMM-YYYY")</f>
        <v>Nov-2024</v>
      </c>
      <c r="AF1787" s="1" t="n">
        <f aca="false">VALUE(RIGHT(B1787,4))</f>
        <v>2024</v>
      </c>
      <c r="AG1787" s="1" t="str">
        <f aca="false">CHOOSE(ROUNDUP(VALUE(MID(B1787,4,2))/3,0),"Q1","Q2","Q3","Q4")</f>
        <v>Q4</v>
      </c>
    </row>
    <row r="1788" customFormat="false" ht="15" hidden="false" customHeight="true" outlineLevel="0" collapsed="false">
      <c r="A1788" s="1" t="s">
        <v>2627</v>
      </c>
      <c r="B1788" s="1" t="s">
        <v>1322</v>
      </c>
      <c r="C1788" s="1" t="s">
        <v>249</v>
      </c>
      <c r="D1788" s="1" t="s">
        <v>123</v>
      </c>
      <c r="E1788" s="1" t="s">
        <v>124</v>
      </c>
      <c r="F1788" s="1" t="s">
        <v>125</v>
      </c>
      <c r="G1788" s="1" t="s">
        <v>108</v>
      </c>
      <c r="H1788" s="1" t="s">
        <v>69</v>
      </c>
      <c r="I1788" s="1" t="s">
        <v>58</v>
      </c>
      <c r="J1788" s="1" t="s">
        <v>70</v>
      </c>
      <c r="K1788" s="1" t="s">
        <v>90</v>
      </c>
      <c r="L1788" s="1" t="s">
        <v>85</v>
      </c>
      <c r="M1788" s="1" t="s">
        <v>50</v>
      </c>
      <c r="N1788" s="1" t="n">
        <v>4999</v>
      </c>
      <c r="O1788" s="1" t="n">
        <v>40</v>
      </c>
      <c r="P1788" s="1" t="n">
        <v>1999.6</v>
      </c>
      <c r="Q1788" s="1" t="n">
        <v>2999.4</v>
      </c>
      <c r="R1788" s="1" t="n">
        <v>539.89</v>
      </c>
      <c r="S1788" s="1" t="n">
        <v>2459.51</v>
      </c>
      <c r="T1788" s="1" t="n">
        <v>1327.7</v>
      </c>
      <c r="U1788" s="1" t="n">
        <v>1131.81</v>
      </c>
      <c r="V1788" s="1" t="n">
        <v>46.02</v>
      </c>
      <c r="W1788" s="1" t="s">
        <v>39</v>
      </c>
      <c r="X1788" s="1" t="n">
        <v>3.5</v>
      </c>
      <c r="Y1788" s="1" t="s">
        <v>40</v>
      </c>
      <c r="Z1788" s="1" t="n">
        <v>0</v>
      </c>
      <c r="AA1788" s="1" t="str">
        <f aca="false">TRIM(PROPER(F1788))</f>
        <v>Chennai</v>
      </c>
      <c r="AB1788" s="1" t="str">
        <f aca="false">TRIM(PROPER(C1788))</f>
        <v>Whitehat Jr</v>
      </c>
      <c r="AC1788" s="1" t="str">
        <f aca="false">IF(O1788=0,"No Discount",IF(O1788&lt;=15,"Low (1-15%)",IF(O1788&lt;=30,"Medium (16-30%)","High (&gt;30%)")))</f>
        <v>High (&gt;30%)</v>
      </c>
      <c r="AD1788" s="1" t="str">
        <f aca="false">IF(V1788&lt;0,"Loss Making",IF(V1788&lt;20,"Low Margin","Healthy Margin"))</f>
        <v>Healthy Margin</v>
      </c>
      <c r="AE1788" s="1" t="str">
        <f aca="false">TEXT(DATE(VALUE(RIGHT(B1788,4)),VALUE(MID(B1788,4,2)),VALUE(LEFT(B1788,2))),"MMM-YYYY")</f>
        <v>Feb-2024</v>
      </c>
      <c r="AF1788" s="1" t="n">
        <f aca="false">VALUE(RIGHT(B1788,4))</f>
        <v>2024</v>
      </c>
      <c r="AG1788" s="1" t="str">
        <f aca="false">CHOOSE(ROUNDUP(VALUE(MID(B1788,4,2))/3,0),"Q1","Q2","Q3","Q4")</f>
        <v>Q1</v>
      </c>
    </row>
    <row r="1789" customFormat="false" ht="15" hidden="false" customHeight="true" outlineLevel="0" collapsed="false">
      <c r="A1789" s="1" t="s">
        <v>2628</v>
      </c>
      <c r="B1789" s="1" t="s">
        <v>1573</v>
      </c>
      <c r="C1789" s="1" t="s">
        <v>178</v>
      </c>
      <c r="D1789" s="1" t="s">
        <v>94</v>
      </c>
      <c r="E1789" s="1" t="s">
        <v>135</v>
      </c>
      <c r="F1789" s="1" t="s">
        <v>82</v>
      </c>
      <c r="G1789" s="1" t="s">
        <v>56</v>
      </c>
      <c r="H1789" s="1" t="s">
        <v>69</v>
      </c>
      <c r="I1789" s="1" t="s">
        <v>34</v>
      </c>
      <c r="J1789" s="1" t="s">
        <v>70</v>
      </c>
      <c r="K1789" s="1" t="s">
        <v>84</v>
      </c>
      <c r="L1789" s="1" t="s">
        <v>49</v>
      </c>
      <c r="M1789" s="1" t="s">
        <v>62</v>
      </c>
      <c r="N1789" s="1" t="n">
        <v>9999</v>
      </c>
      <c r="O1789" s="1" t="n">
        <v>40</v>
      </c>
      <c r="P1789" s="1" t="n">
        <v>3999.6</v>
      </c>
      <c r="Q1789" s="1" t="n">
        <v>5999.4</v>
      </c>
      <c r="R1789" s="1" t="n">
        <v>1079.89</v>
      </c>
      <c r="S1789" s="1" t="n">
        <v>4919.51</v>
      </c>
      <c r="T1789" s="1" t="n">
        <v>2905.81</v>
      </c>
      <c r="U1789" s="1" t="n">
        <v>2013.7</v>
      </c>
      <c r="V1789" s="1" t="n">
        <v>40.93</v>
      </c>
      <c r="W1789" s="1" t="s">
        <v>39</v>
      </c>
      <c r="X1789" s="1" t="n">
        <v>3.8</v>
      </c>
      <c r="Y1789" s="1" t="s">
        <v>39</v>
      </c>
      <c r="Z1789" s="1" t="n">
        <v>0</v>
      </c>
      <c r="AA1789" s="1" t="str">
        <f aca="false">TRIM(PROPER(F1789))</f>
        <v>Gurugram</v>
      </c>
      <c r="AB1789" s="1" t="str">
        <f aca="false">TRIM(PROPER(C1789))</f>
        <v>Leverage Edu</v>
      </c>
      <c r="AC1789" s="1" t="str">
        <f aca="false">IF(O1789=0,"No Discount",IF(O1789&lt;=15,"Low (1-15%)",IF(O1789&lt;=30,"Medium (16-30%)","High (&gt;30%)")))</f>
        <v>High (&gt;30%)</v>
      </c>
      <c r="AD1789" s="1" t="str">
        <f aca="false">IF(V1789&lt;0,"Loss Making",IF(V1789&lt;20,"Low Margin","Healthy Margin"))</f>
        <v>Healthy Margin</v>
      </c>
      <c r="AE1789" s="1" t="str">
        <f aca="false">TEXT(DATE(VALUE(RIGHT(B1789,4)),VALUE(MID(B1789,4,2)),VALUE(LEFT(B1789,2))),"MMM-YYYY")</f>
        <v>Nov-2024</v>
      </c>
      <c r="AF1789" s="1" t="n">
        <f aca="false">VALUE(RIGHT(B1789,4))</f>
        <v>2024</v>
      </c>
      <c r="AG1789" s="1" t="str">
        <f aca="false">CHOOSE(ROUNDUP(VALUE(MID(B1789,4,2))/3,0),"Q1","Q2","Q3","Q4")</f>
        <v>Q4</v>
      </c>
    </row>
    <row r="1790" customFormat="false" ht="15" hidden="false" customHeight="true" outlineLevel="0" collapsed="false">
      <c r="A1790" s="1" t="s">
        <v>2629</v>
      </c>
      <c r="B1790" s="1" t="s">
        <v>685</v>
      </c>
      <c r="C1790" s="1" t="s">
        <v>43</v>
      </c>
      <c r="D1790" s="1" t="s">
        <v>44</v>
      </c>
      <c r="E1790" s="1" t="s">
        <v>221</v>
      </c>
      <c r="F1790" s="1" t="s">
        <v>120</v>
      </c>
      <c r="G1790" s="1" t="s">
        <v>47</v>
      </c>
      <c r="H1790" s="1" t="s">
        <v>57</v>
      </c>
      <c r="I1790" s="1" t="s">
        <v>58</v>
      </c>
      <c r="J1790" s="1" t="s">
        <v>59</v>
      </c>
      <c r="K1790" s="1" t="s">
        <v>104</v>
      </c>
      <c r="L1790" s="1" t="s">
        <v>113</v>
      </c>
      <c r="M1790" s="1" t="s">
        <v>62</v>
      </c>
      <c r="N1790" s="1" t="n">
        <v>16999</v>
      </c>
      <c r="O1790" s="1" t="n">
        <v>15</v>
      </c>
      <c r="P1790" s="1" t="n">
        <v>2549.85</v>
      </c>
      <c r="Q1790" s="1" t="n">
        <v>14449.15</v>
      </c>
      <c r="R1790" s="1" t="n">
        <v>2600.85</v>
      </c>
      <c r="S1790" s="1" t="n">
        <v>11848.3</v>
      </c>
      <c r="T1790" s="1" t="n">
        <v>4981.28</v>
      </c>
      <c r="U1790" s="1" t="n">
        <v>6867.02</v>
      </c>
      <c r="V1790" s="1" t="n">
        <v>57.96</v>
      </c>
      <c r="W1790" s="1" t="s">
        <v>39</v>
      </c>
      <c r="X1790" s="1" t="n">
        <v>3.5</v>
      </c>
      <c r="Y1790" s="1" t="s">
        <v>40</v>
      </c>
      <c r="Z1790" s="1" t="n">
        <v>1</v>
      </c>
      <c r="AA1790" s="1" t="str">
        <f aca="false">TRIM(PROPER(F1790))</f>
        <v>Mysuru</v>
      </c>
      <c r="AB1790" s="1" t="str">
        <f aca="false">TRIM(PROPER(C1790))</f>
        <v>Meritnation</v>
      </c>
      <c r="AC1790" s="1" t="str">
        <f aca="false">IF(O1790=0,"No Discount",IF(O1790&lt;=15,"Low (1-15%)",IF(O1790&lt;=30,"Medium (16-30%)","High (&gt;30%)")))</f>
        <v>Low (1-15%)</v>
      </c>
      <c r="AD1790" s="1" t="str">
        <f aca="false">IF(V1790&lt;0,"Loss Making",IF(V1790&lt;20,"Low Margin","Healthy Margin"))</f>
        <v>Healthy Margin</v>
      </c>
      <c r="AE1790" s="1" t="str">
        <f aca="false">TEXT(DATE(VALUE(RIGHT(B1790,4)),VALUE(MID(B1790,4,2)),VALUE(LEFT(B1790,2))),"MMM-YYYY")</f>
        <v>Feb-2023</v>
      </c>
      <c r="AF1790" s="1" t="n">
        <f aca="false">VALUE(RIGHT(B1790,4))</f>
        <v>2023</v>
      </c>
      <c r="AG1790" s="1" t="str">
        <f aca="false">CHOOSE(ROUNDUP(VALUE(MID(B1790,4,2))/3,0),"Q1","Q2","Q3","Q4")</f>
        <v>Q1</v>
      </c>
    </row>
    <row r="1791" customFormat="false" ht="15" hidden="false" customHeight="true" outlineLevel="0" collapsed="false">
      <c r="A1791" s="1" t="s">
        <v>2630</v>
      </c>
      <c r="B1791" s="1" t="s">
        <v>2631</v>
      </c>
      <c r="C1791" s="1" t="s">
        <v>93</v>
      </c>
      <c r="D1791" s="1" t="s">
        <v>123</v>
      </c>
      <c r="E1791" s="1" t="s">
        <v>147</v>
      </c>
      <c r="F1791" s="1" t="s">
        <v>184</v>
      </c>
      <c r="G1791" s="1" t="s">
        <v>56</v>
      </c>
      <c r="H1791" s="1" t="s">
        <v>57</v>
      </c>
      <c r="I1791" s="1" t="s">
        <v>34</v>
      </c>
      <c r="J1791" s="1" t="s">
        <v>59</v>
      </c>
      <c r="K1791" s="1" t="s">
        <v>90</v>
      </c>
      <c r="L1791" s="1" t="s">
        <v>85</v>
      </c>
      <c r="M1791" s="1" t="s">
        <v>62</v>
      </c>
      <c r="N1791" s="1" t="n">
        <v>6999</v>
      </c>
      <c r="O1791" s="1" t="n">
        <v>15</v>
      </c>
      <c r="P1791" s="1" t="n">
        <v>1049.85</v>
      </c>
      <c r="Q1791" s="1" t="n">
        <v>5949.15</v>
      </c>
      <c r="R1791" s="1" t="n">
        <v>1070.85</v>
      </c>
      <c r="S1791" s="1" t="n">
        <v>4878.3</v>
      </c>
      <c r="T1791" s="1" t="n">
        <v>2123.53</v>
      </c>
      <c r="U1791" s="1" t="n">
        <v>2754.77</v>
      </c>
      <c r="V1791" s="1" t="n">
        <v>56.47</v>
      </c>
      <c r="W1791" s="1" t="s">
        <v>39</v>
      </c>
      <c r="X1791" s="1" t="n">
        <v>2.9</v>
      </c>
      <c r="Y1791" s="1" t="s">
        <v>40</v>
      </c>
      <c r="Z1791" s="1" t="n">
        <v>0</v>
      </c>
      <c r="AA1791" s="1" t="str">
        <f aca="false">TRIM(PROPER(F1791))</f>
        <v>Faridabad</v>
      </c>
      <c r="AB1791" s="1" t="str">
        <f aca="false">TRIM(PROPER(C1791))</f>
        <v>Upgrad</v>
      </c>
      <c r="AC1791" s="1" t="str">
        <f aca="false">IF(O1791=0,"No Discount",IF(O1791&lt;=15,"Low (1-15%)",IF(O1791&lt;=30,"Medium (16-30%)","High (&gt;30%)")))</f>
        <v>Low (1-15%)</v>
      </c>
      <c r="AD1791" s="1" t="str">
        <f aca="false">IF(V1791&lt;0,"Loss Making",IF(V1791&lt;20,"Low Margin","Healthy Margin"))</f>
        <v>Healthy Margin</v>
      </c>
      <c r="AE1791" s="1" t="str">
        <f aca="false">TEXT(DATE(VALUE(RIGHT(B1791,4)),VALUE(MID(B1791,4,2)),VALUE(LEFT(B1791,2))),"MMM-YYYY")</f>
        <v>Jan-2024</v>
      </c>
      <c r="AF1791" s="1" t="n">
        <f aca="false">VALUE(RIGHT(B1791,4))</f>
        <v>2024</v>
      </c>
      <c r="AG1791" s="1" t="str">
        <f aca="false">CHOOSE(ROUNDUP(VALUE(MID(B1791,4,2))/3,0),"Q1","Q2","Q3","Q4")</f>
        <v>Q1</v>
      </c>
    </row>
    <row r="1792" customFormat="false" ht="15" hidden="false" customHeight="true" outlineLevel="0" collapsed="false">
      <c r="A1792" s="1" t="s">
        <v>2632</v>
      </c>
      <c r="B1792" s="1" t="s">
        <v>2633</v>
      </c>
      <c r="C1792" s="1" t="s">
        <v>134</v>
      </c>
      <c r="D1792" s="1" t="s">
        <v>143</v>
      </c>
      <c r="E1792" s="1" t="s">
        <v>162</v>
      </c>
      <c r="F1792" s="1" t="s">
        <v>150</v>
      </c>
      <c r="G1792" s="1" t="s">
        <v>32</v>
      </c>
      <c r="H1792" s="1" t="s">
        <v>57</v>
      </c>
      <c r="I1792" s="1" t="s">
        <v>58</v>
      </c>
      <c r="J1792" s="1" t="s">
        <v>70</v>
      </c>
      <c r="K1792" s="1" t="s">
        <v>84</v>
      </c>
      <c r="L1792" s="1" t="s">
        <v>49</v>
      </c>
      <c r="M1792" s="1" t="s">
        <v>38</v>
      </c>
      <c r="N1792" s="1" t="n">
        <v>14999</v>
      </c>
      <c r="O1792" s="1" t="n">
        <v>50</v>
      </c>
      <c r="P1792" s="1" t="n">
        <v>7499.5</v>
      </c>
      <c r="Q1792" s="1" t="n">
        <v>7499.5</v>
      </c>
      <c r="R1792" s="1" t="n">
        <v>1349.91</v>
      </c>
      <c r="S1792" s="1" t="n">
        <v>6149.59</v>
      </c>
      <c r="T1792" s="1" t="n">
        <v>2914.07</v>
      </c>
      <c r="U1792" s="1" t="n">
        <v>3235.52</v>
      </c>
      <c r="V1792" s="1" t="n">
        <v>52.61</v>
      </c>
      <c r="W1792" s="1" t="s">
        <v>40</v>
      </c>
      <c r="Y1792" s="1" t="s">
        <v>40</v>
      </c>
      <c r="Z1792" s="1" t="n">
        <v>1</v>
      </c>
      <c r="AA1792" s="1" t="str">
        <f aca="false">TRIM(PROPER(F1792))</f>
        <v>Jaipur</v>
      </c>
      <c r="AB1792" s="1" t="str">
        <f aca="false">TRIM(PROPER(C1792))</f>
        <v>Doubtnut</v>
      </c>
      <c r="AC1792" s="1" t="str">
        <f aca="false">IF(O1792=0,"No Discount",IF(O1792&lt;=15,"Low (1-15%)",IF(O1792&lt;=30,"Medium (16-30%)","High (&gt;30%)")))</f>
        <v>High (&gt;30%)</v>
      </c>
      <c r="AD1792" s="1" t="str">
        <f aca="false">IF(V1792&lt;0,"Loss Making",IF(V1792&lt;20,"Low Margin","Healthy Margin"))</f>
        <v>Healthy Margin</v>
      </c>
      <c r="AE1792" s="1" t="str">
        <f aca="false">TEXT(DATE(VALUE(RIGHT(B1792,4)),VALUE(MID(B1792,4,2)),VALUE(LEFT(B1792,2))),"MMM-YYYY")</f>
        <v>May-2023</v>
      </c>
      <c r="AF1792" s="1" t="n">
        <f aca="false">VALUE(RIGHT(B1792,4))</f>
        <v>2023</v>
      </c>
      <c r="AG1792" s="1" t="str">
        <f aca="false">CHOOSE(ROUNDUP(VALUE(MID(B1792,4,2))/3,0),"Q1","Q2","Q3","Q4")</f>
        <v>Q2</v>
      </c>
    </row>
    <row r="1793" customFormat="false" ht="15" hidden="false" customHeight="true" outlineLevel="0" collapsed="false">
      <c r="A1793" s="1" t="s">
        <v>2634</v>
      </c>
      <c r="B1793" s="1" t="s">
        <v>774</v>
      </c>
      <c r="C1793" s="1" t="s">
        <v>88</v>
      </c>
      <c r="D1793" s="1" t="s">
        <v>94</v>
      </c>
      <c r="E1793" s="1" t="s">
        <v>135</v>
      </c>
      <c r="F1793" s="1" t="s">
        <v>194</v>
      </c>
      <c r="G1793" s="1" t="s">
        <v>103</v>
      </c>
      <c r="H1793" s="1" t="s">
        <v>69</v>
      </c>
      <c r="I1793" s="1" t="s">
        <v>34</v>
      </c>
      <c r="J1793" s="1" t="s">
        <v>35</v>
      </c>
      <c r="K1793" s="1" t="s">
        <v>48</v>
      </c>
      <c r="L1793" s="1" t="s">
        <v>37</v>
      </c>
      <c r="M1793" s="1" t="s">
        <v>50</v>
      </c>
      <c r="N1793" s="1" t="n">
        <v>9999</v>
      </c>
      <c r="O1793" s="1" t="n">
        <v>30</v>
      </c>
      <c r="P1793" s="1" t="n">
        <v>2999.7</v>
      </c>
      <c r="Q1793" s="1" t="n">
        <v>6999.3</v>
      </c>
      <c r="R1793" s="1" t="n">
        <v>1259.87</v>
      </c>
      <c r="S1793" s="1" t="n">
        <v>5739.43</v>
      </c>
      <c r="T1793" s="1" t="n">
        <v>2348.91</v>
      </c>
      <c r="U1793" s="1" t="n">
        <v>3390.52</v>
      </c>
      <c r="V1793" s="1" t="n">
        <v>59.07</v>
      </c>
      <c r="W1793" s="1" t="s">
        <v>39</v>
      </c>
      <c r="X1793" s="1" t="n">
        <v>3.8</v>
      </c>
      <c r="Y1793" s="1" t="s">
        <v>40</v>
      </c>
      <c r="Z1793" s="1" t="n">
        <v>1</v>
      </c>
      <c r="AA1793" s="1" t="str">
        <f aca="false">TRIM(PROPER(F1793))</f>
        <v>Hyderabad</v>
      </c>
      <c r="AB1793" s="1" t="str">
        <f aca="false">TRIM(PROPER(C1793))</f>
        <v>Byju'S</v>
      </c>
      <c r="AC1793" s="1" t="str">
        <f aca="false">IF(O1793=0,"No Discount",IF(O1793&lt;=15,"Low (1-15%)",IF(O1793&lt;=30,"Medium (16-30%)","High (&gt;30%)")))</f>
        <v>Medium (16-30%)</v>
      </c>
      <c r="AD1793" s="1" t="str">
        <f aca="false">IF(V1793&lt;0,"Loss Making",IF(V1793&lt;20,"Low Margin","Healthy Margin"))</f>
        <v>Healthy Margin</v>
      </c>
      <c r="AE1793" s="1" t="str">
        <f aca="false">TEXT(DATE(VALUE(RIGHT(B1793,4)),VALUE(MID(B1793,4,2)),VALUE(LEFT(B1793,2))),"MMM-YYYY")</f>
        <v>Oct-2023</v>
      </c>
      <c r="AF1793" s="1" t="n">
        <f aca="false">VALUE(RIGHT(B1793,4))</f>
        <v>2023</v>
      </c>
      <c r="AG1793" s="1" t="str">
        <f aca="false">CHOOSE(ROUNDUP(VALUE(MID(B1793,4,2))/3,0),"Q1","Q2","Q3","Q4")</f>
        <v>Q4</v>
      </c>
    </row>
    <row r="1794" customFormat="false" ht="15" hidden="false" customHeight="true" outlineLevel="0" collapsed="false">
      <c r="A1794" s="1" t="s">
        <v>2635</v>
      </c>
      <c r="B1794" s="1" t="s">
        <v>499</v>
      </c>
      <c r="C1794" s="1" t="s">
        <v>100</v>
      </c>
      <c r="D1794" s="1" t="s">
        <v>53</v>
      </c>
      <c r="E1794" s="1" t="s">
        <v>216</v>
      </c>
      <c r="F1794" s="1" t="s">
        <v>269</v>
      </c>
      <c r="G1794" s="1" t="s">
        <v>108</v>
      </c>
      <c r="H1794" s="1" t="s">
        <v>57</v>
      </c>
      <c r="I1794" s="1" t="s">
        <v>58</v>
      </c>
      <c r="J1794" s="1" t="s">
        <v>59</v>
      </c>
      <c r="K1794" s="1" t="s">
        <v>48</v>
      </c>
      <c r="L1794" s="1" t="s">
        <v>136</v>
      </c>
      <c r="M1794" s="1" t="s">
        <v>50</v>
      </c>
      <c r="N1794" s="1" t="n">
        <v>7499</v>
      </c>
      <c r="O1794" s="1" t="n">
        <v>50</v>
      </c>
      <c r="P1794" s="1" t="n">
        <v>3749.5</v>
      </c>
      <c r="Q1794" s="1" t="n">
        <v>3749.5</v>
      </c>
      <c r="R1794" s="1" t="n">
        <v>674.91</v>
      </c>
      <c r="S1794" s="1" t="n">
        <v>3074.59</v>
      </c>
      <c r="T1794" s="1" t="n">
        <v>1268.65</v>
      </c>
      <c r="U1794" s="1" t="n">
        <v>1805.94</v>
      </c>
      <c r="V1794" s="1" t="n">
        <v>58.74</v>
      </c>
      <c r="W1794" s="1" t="s">
        <v>39</v>
      </c>
      <c r="X1794" s="1" t="n">
        <v>3.4</v>
      </c>
      <c r="Y1794" s="1" t="s">
        <v>40</v>
      </c>
      <c r="Z1794" s="1" t="n">
        <v>1</v>
      </c>
      <c r="AA1794" s="1" t="str">
        <f aca="false">TRIM(PROPER(F1794))</f>
        <v>Coimbatore</v>
      </c>
      <c r="AB1794" s="1" t="str">
        <f aca="false">TRIM(PROPER(C1794))</f>
        <v>Physics Wallah</v>
      </c>
      <c r="AC1794" s="1" t="str">
        <f aca="false">IF(O1794=0,"No Discount",IF(O1794&lt;=15,"Low (1-15%)",IF(O1794&lt;=30,"Medium (16-30%)","High (&gt;30%)")))</f>
        <v>High (&gt;30%)</v>
      </c>
      <c r="AD1794" s="1" t="str">
        <f aca="false">IF(V1794&lt;0,"Loss Making",IF(V1794&lt;20,"Low Margin","Healthy Margin"))</f>
        <v>Healthy Margin</v>
      </c>
      <c r="AE1794" s="1" t="str">
        <f aca="false">TEXT(DATE(VALUE(RIGHT(B1794,4)),VALUE(MID(B1794,4,2)),VALUE(LEFT(B1794,2))),"MMM-YYYY")</f>
        <v>Jun-2023</v>
      </c>
      <c r="AF1794" s="1" t="n">
        <f aca="false">VALUE(RIGHT(B1794,4))</f>
        <v>2023</v>
      </c>
      <c r="AG1794" s="1" t="str">
        <f aca="false">CHOOSE(ROUNDUP(VALUE(MID(B1794,4,2))/3,0),"Q1","Q2","Q3","Q4")</f>
        <v>Q2</v>
      </c>
    </row>
    <row r="1795" customFormat="false" ht="15" hidden="false" customHeight="true" outlineLevel="0" collapsed="false">
      <c r="A1795" s="1" t="s">
        <v>2636</v>
      </c>
      <c r="B1795" s="1" t="s">
        <v>118</v>
      </c>
      <c r="C1795" s="1" t="s">
        <v>249</v>
      </c>
      <c r="D1795" s="1" t="s">
        <v>168</v>
      </c>
      <c r="E1795" s="1" t="s">
        <v>172</v>
      </c>
      <c r="F1795" s="1" t="s">
        <v>102</v>
      </c>
      <c r="G1795" s="1" t="s">
        <v>103</v>
      </c>
      <c r="H1795" s="1" t="s">
        <v>33</v>
      </c>
      <c r="I1795" s="1" t="s">
        <v>34</v>
      </c>
      <c r="J1795" s="1" t="s">
        <v>35</v>
      </c>
      <c r="K1795" s="1" t="s">
        <v>90</v>
      </c>
      <c r="L1795" s="1" t="s">
        <v>136</v>
      </c>
      <c r="M1795" s="1" t="s">
        <v>38</v>
      </c>
      <c r="N1795" s="1" t="n">
        <v>6999</v>
      </c>
      <c r="O1795" s="1" t="n">
        <v>10</v>
      </c>
      <c r="P1795" s="1" t="n">
        <v>699.9</v>
      </c>
      <c r="Q1795" s="1" t="n">
        <v>6299.1</v>
      </c>
      <c r="R1795" s="1" t="n">
        <v>1133.84</v>
      </c>
      <c r="S1795" s="1" t="n">
        <v>5165.26</v>
      </c>
      <c r="T1795" s="1" t="n">
        <v>2334.08</v>
      </c>
      <c r="U1795" s="1" t="n">
        <v>2831.18</v>
      </c>
      <c r="V1795" s="1" t="n">
        <v>54.81</v>
      </c>
      <c r="W1795" s="1" t="s">
        <v>40</v>
      </c>
      <c r="Y1795" s="1" t="s">
        <v>39</v>
      </c>
      <c r="Z1795" s="1" t="n">
        <v>3</v>
      </c>
      <c r="AA1795" s="1" t="str">
        <f aca="false">TRIM(PROPER(F1795))</f>
        <v>Warangal</v>
      </c>
      <c r="AB1795" s="1" t="str">
        <f aca="false">TRIM(PROPER(C1795))</f>
        <v>Whitehat Jr</v>
      </c>
      <c r="AC1795" s="1" t="str">
        <f aca="false">IF(O1795=0,"No Discount",IF(O1795&lt;=15,"Low (1-15%)",IF(O1795&lt;=30,"Medium (16-30%)","High (&gt;30%)")))</f>
        <v>Low (1-15%)</v>
      </c>
      <c r="AD1795" s="1" t="str">
        <f aca="false">IF(V1795&lt;0,"Loss Making",IF(V1795&lt;20,"Low Margin","Healthy Margin"))</f>
        <v>Healthy Margin</v>
      </c>
      <c r="AE1795" s="1" t="str">
        <f aca="false">TEXT(DATE(VALUE(RIGHT(B1795,4)),VALUE(MID(B1795,4,2)),VALUE(LEFT(B1795,2))),"MMM-YYYY")</f>
        <v>Oct-2023</v>
      </c>
      <c r="AF1795" s="1" t="n">
        <f aca="false">VALUE(RIGHT(B1795,4))</f>
        <v>2023</v>
      </c>
      <c r="AG1795" s="1" t="str">
        <f aca="false">CHOOSE(ROUNDUP(VALUE(MID(B1795,4,2))/3,0),"Q1","Q2","Q3","Q4")</f>
        <v>Q4</v>
      </c>
    </row>
    <row r="1796" customFormat="false" ht="15" hidden="false" customHeight="true" outlineLevel="0" collapsed="false">
      <c r="A1796" s="1" t="s">
        <v>2637</v>
      </c>
      <c r="B1796" s="1" t="s">
        <v>1031</v>
      </c>
      <c r="C1796" s="1" t="s">
        <v>128</v>
      </c>
      <c r="D1796" s="1" t="s">
        <v>29</v>
      </c>
      <c r="E1796" s="1" t="s">
        <v>30</v>
      </c>
      <c r="F1796" s="1" t="s">
        <v>211</v>
      </c>
      <c r="G1796" s="1" t="s">
        <v>56</v>
      </c>
      <c r="H1796" s="1" t="s">
        <v>69</v>
      </c>
      <c r="I1796" s="1" t="s">
        <v>34</v>
      </c>
      <c r="J1796" s="1" t="s">
        <v>70</v>
      </c>
      <c r="K1796" s="1" t="s">
        <v>60</v>
      </c>
      <c r="L1796" s="1" t="s">
        <v>61</v>
      </c>
      <c r="M1796" s="1" t="s">
        <v>38</v>
      </c>
      <c r="N1796" s="1" t="n">
        <v>7999</v>
      </c>
      <c r="O1796" s="1" t="n">
        <v>0</v>
      </c>
      <c r="P1796" s="1" t="n">
        <v>0</v>
      </c>
      <c r="Q1796" s="1" t="n">
        <v>7999</v>
      </c>
      <c r="R1796" s="1" t="n">
        <v>1439.82</v>
      </c>
      <c r="S1796" s="1" t="n">
        <v>6559.18</v>
      </c>
      <c r="T1796" s="1" t="n">
        <v>2016.94</v>
      </c>
      <c r="U1796" s="1" t="n">
        <v>4542.24</v>
      </c>
      <c r="V1796" s="1" t="n">
        <v>69.25</v>
      </c>
      <c r="W1796" s="1" t="s">
        <v>39</v>
      </c>
      <c r="X1796" s="1" t="n">
        <v>3.4</v>
      </c>
      <c r="Y1796" s="1" t="s">
        <v>40</v>
      </c>
      <c r="Z1796" s="1" t="n">
        <v>0</v>
      </c>
      <c r="AA1796" s="1" t="str">
        <f aca="false">TRIM(PROPER(F1796))</f>
        <v>Noida</v>
      </c>
      <c r="AB1796" s="1" t="str">
        <f aca="false">TRIM(PROPER(C1796))</f>
        <v>Great Learning</v>
      </c>
      <c r="AC1796" s="1" t="str">
        <f aca="false">IF(O1796=0,"No Discount",IF(O1796&lt;=15,"Low (1-15%)",IF(O1796&lt;=30,"Medium (16-30%)","High (&gt;30%)")))</f>
        <v>No Discount</v>
      </c>
      <c r="AD1796" s="1" t="str">
        <f aca="false">IF(V1796&lt;0,"Loss Making",IF(V1796&lt;20,"Low Margin","Healthy Margin"))</f>
        <v>Healthy Margin</v>
      </c>
      <c r="AE1796" s="1" t="str">
        <f aca="false">TEXT(DATE(VALUE(RIGHT(B1796,4)),VALUE(MID(B1796,4,2)),VALUE(LEFT(B1796,2))),"MMM-YYYY")</f>
        <v>Jul-2023</v>
      </c>
      <c r="AF1796" s="1" t="n">
        <f aca="false">VALUE(RIGHT(B1796,4))</f>
        <v>2023</v>
      </c>
      <c r="AG1796" s="1" t="str">
        <f aca="false">CHOOSE(ROUNDUP(VALUE(MID(B1796,4,2))/3,0),"Q1","Q2","Q3","Q4")</f>
        <v>Q3</v>
      </c>
    </row>
    <row r="1797" customFormat="false" ht="15" hidden="false" customHeight="true" outlineLevel="0" collapsed="false">
      <c r="A1797" s="1" t="s">
        <v>2638</v>
      </c>
      <c r="B1797" s="1" t="s">
        <v>915</v>
      </c>
      <c r="C1797" s="1" t="s">
        <v>139</v>
      </c>
      <c r="D1797" s="1" t="s">
        <v>29</v>
      </c>
      <c r="E1797" s="1" t="s">
        <v>129</v>
      </c>
      <c r="F1797" s="1" t="s">
        <v>156</v>
      </c>
      <c r="G1797" s="1" t="s">
        <v>68</v>
      </c>
      <c r="H1797" s="1" t="s">
        <v>57</v>
      </c>
      <c r="I1797" s="1" t="s">
        <v>83</v>
      </c>
      <c r="J1797" s="1" t="s">
        <v>70</v>
      </c>
      <c r="K1797" s="1" t="s">
        <v>84</v>
      </c>
      <c r="L1797" s="1" t="s">
        <v>49</v>
      </c>
      <c r="M1797" s="1" t="s">
        <v>38</v>
      </c>
      <c r="N1797" s="1" t="n">
        <v>29999</v>
      </c>
      <c r="O1797" s="1" t="n">
        <v>15</v>
      </c>
      <c r="P1797" s="1" t="n">
        <v>4499.85</v>
      </c>
      <c r="Q1797" s="1" t="n">
        <v>25499.15</v>
      </c>
      <c r="R1797" s="1" t="n">
        <v>4589.85</v>
      </c>
      <c r="S1797" s="1" t="n">
        <v>20909.3</v>
      </c>
      <c r="T1797" s="1" t="n">
        <v>7608.73</v>
      </c>
      <c r="U1797" s="1" t="n">
        <v>13300.57</v>
      </c>
      <c r="V1797" s="1" t="n">
        <v>63.61</v>
      </c>
      <c r="W1797" s="1" t="s">
        <v>39</v>
      </c>
      <c r="X1797" s="1" t="n">
        <v>3.9</v>
      </c>
      <c r="Y1797" s="1" t="s">
        <v>40</v>
      </c>
      <c r="Z1797" s="1" t="n">
        <v>1</v>
      </c>
      <c r="AA1797" s="1" t="str">
        <f aca="false">TRIM(PROPER(F1797))</f>
        <v>Surat</v>
      </c>
      <c r="AB1797" s="1" t="str">
        <f aca="false">TRIM(PROPER(C1797))</f>
        <v>Extramarks</v>
      </c>
      <c r="AC1797" s="1" t="str">
        <f aca="false">IF(O1797=0,"No Discount",IF(O1797&lt;=15,"Low (1-15%)",IF(O1797&lt;=30,"Medium (16-30%)","High (&gt;30%)")))</f>
        <v>Low (1-15%)</v>
      </c>
      <c r="AD1797" s="1" t="str">
        <f aca="false">IF(V1797&lt;0,"Loss Making",IF(V1797&lt;20,"Low Margin","Healthy Margin"))</f>
        <v>Healthy Margin</v>
      </c>
      <c r="AE1797" s="1" t="str">
        <f aca="false">TEXT(DATE(VALUE(RIGHT(B1797,4)),VALUE(MID(B1797,4,2)),VALUE(LEFT(B1797,2))),"MMM-YYYY")</f>
        <v>Jun-2023</v>
      </c>
      <c r="AF1797" s="1" t="n">
        <f aca="false">VALUE(RIGHT(B1797,4))</f>
        <v>2023</v>
      </c>
      <c r="AG1797" s="1" t="str">
        <f aca="false">CHOOSE(ROUNDUP(VALUE(MID(B1797,4,2))/3,0),"Q1","Q2","Q3","Q4")</f>
        <v>Q2</v>
      </c>
    </row>
    <row r="1798" customFormat="false" ht="15" hidden="false" customHeight="true" outlineLevel="0" collapsed="false">
      <c r="A1798" s="1" t="s">
        <v>2639</v>
      </c>
      <c r="B1798" s="1" t="s">
        <v>878</v>
      </c>
      <c r="C1798" s="1" t="s">
        <v>119</v>
      </c>
      <c r="D1798" s="1" t="s">
        <v>94</v>
      </c>
      <c r="E1798" s="1" t="s">
        <v>135</v>
      </c>
      <c r="F1798" s="1" t="s">
        <v>150</v>
      </c>
      <c r="G1798" s="1" t="s">
        <v>32</v>
      </c>
      <c r="H1798" s="1" t="s">
        <v>57</v>
      </c>
      <c r="I1798" s="1" t="s">
        <v>34</v>
      </c>
      <c r="J1798" s="1" t="s">
        <v>70</v>
      </c>
      <c r="K1798" s="1" t="s">
        <v>112</v>
      </c>
      <c r="L1798" s="1" t="s">
        <v>85</v>
      </c>
      <c r="M1798" s="1" t="s">
        <v>38</v>
      </c>
      <c r="N1798" s="1" t="n">
        <v>9999</v>
      </c>
      <c r="O1798" s="1" t="n">
        <v>30</v>
      </c>
      <c r="P1798" s="1" t="n">
        <v>2999.7</v>
      </c>
      <c r="Q1798" s="1" t="n">
        <v>6999.3</v>
      </c>
      <c r="R1798" s="1" t="n">
        <v>1259.87</v>
      </c>
      <c r="S1798" s="1" t="n">
        <v>5739.43</v>
      </c>
      <c r="T1798" s="1" t="n">
        <v>2890.85</v>
      </c>
      <c r="U1798" s="1" t="n">
        <v>2848.58</v>
      </c>
      <c r="V1798" s="1" t="n">
        <v>49.63</v>
      </c>
      <c r="W1798" s="1" t="s">
        <v>39</v>
      </c>
      <c r="X1798" s="1" t="n">
        <v>3.8</v>
      </c>
      <c r="Y1798" s="1" t="s">
        <v>40</v>
      </c>
      <c r="Z1798" s="1" t="n">
        <v>0</v>
      </c>
      <c r="AA1798" s="1" t="str">
        <f aca="false">TRIM(PROPER(F1798))</f>
        <v>Jaipur</v>
      </c>
      <c r="AB1798" s="1" t="str">
        <f aca="false">TRIM(PROPER(C1798))</f>
        <v>Simplilearn</v>
      </c>
      <c r="AC1798" s="1" t="str">
        <f aca="false">IF(O1798=0,"No Discount",IF(O1798&lt;=15,"Low (1-15%)",IF(O1798&lt;=30,"Medium (16-30%)","High (&gt;30%)")))</f>
        <v>Medium (16-30%)</v>
      </c>
      <c r="AD1798" s="1" t="str">
        <f aca="false">IF(V1798&lt;0,"Loss Making",IF(V1798&lt;20,"Low Margin","Healthy Margin"))</f>
        <v>Healthy Margin</v>
      </c>
      <c r="AE1798" s="1" t="str">
        <f aca="false">TEXT(DATE(VALUE(RIGHT(B1798,4)),VALUE(MID(B1798,4,2)),VALUE(LEFT(B1798,2))),"MMM-YYYY")</f>
        <v>Aug-2024</v>
      </c>
      <c r="AF1798" s="1" t="n">
        <f aca="false">VALUE(RIGHT(B1798,4))</f>
        <v>2024</v>
      </c>
      <c r="AG1798" s="1" t="str">
        <f aca="false">CHOOSE(ROUNDUP(VALUE(MID(B1798,4,2))/3,0),"Q1","Q2","Q3","Q4")</f>
        <v>Q3</v>
      </c>
    </row>
    <row r="1799" customFormat="false" ht="15" hidden="false" customHeight="true" outlineLevel="0" collapsed="false">
      <c r="A1799" s="1" t="s">
        <v>2640</v>
      </c>
      <c r="B1799" s="1" t="s">
        <v>404</v>
      </c>
      <c r="C1799" s="1" t="s">
        <v>1582</v>
      </c>
      <c r="D1799" s="1" t="s">
        <v>80</v>
      </c>
      <c r="E1799" s="1" t="s">
        <v>175</v>
      </c>
      <c r="F1799" s="1" t="s">
        <v>153</v>
      </c>
      <c r="G1799" s="1" t="s">
        <v>76</v>
      </c>
      <c r="H1799" s="1" t="s">
        <v>33</v>
      </c>
      <c r="I1799" s="1" t="s">
        <v>83</v>
      </c>
      <c r="J1799" s="1" t="s">
        <v>131</v>
      </c>
      <c r="K1799" s="1" t="s">
        <v>36</v>
      </c>
      <c r="L1799" s="1" t="s">
        <v>113</v>
      </c>
      <c r="M1799" s="1" t="s">
        <v>38</v>
      </c>
      <c r="N1799" s="1" t="n">
        <v>19999</v>
      </c>
      <c r="O1799" s="1" t="n">
        <v>40</v>
      </c>
      <c r="P1799" s="1" t="n">
        <v>7999.6</v>
      </c>
      <c r="Q1799" s="1" t="n">
        <v>11999.4</v>
      </c>
      <c r="R1799" s="1" t="n">
        <v>2159.89</v>
      </c>
      <c r="S1799" s="1" t="n">
        <v>9839.51</v>
      </c>
      <c r="T1799" s="1" t="n">
        <v>5415.53</v>
      </c>
      <c r="U1799" s="1" t="n">
        <v>4423.98</v>
      </c>
      <c r="V1799" s="1" t="n">
        <v>44.96</v>
      </c>
      <c r="W1799" s="1" t="s">
        <v>40</v>
      </c>
      <c r="Y1799" s="1" t="s">
        <v>40</v>
      </c>
      <c r="Z1799" s="1" t="n">
        <v>1</v>
      </c>
      <c r="AA1799" s="1" t="str">
        <f aca="false">TRIM(PROPER(F1799))</f>
        <v>Howrah</v>
      </c>
      <c r="AB1799" s="1" t="str">
        <f aca="false">TRIM(PROPER(C1799))</f>
        <v>Scaler</v>
      </c>
      <c r="AC1799" s="1" t="str">
        <f aca="false">IF(O1799=0,"No Discount",IF(O1799&lt;=15,"Low (1-15%)",IF(O1799&lt;=30,"Medium (16-30%)","High (&gt;30%)")))</f>
        <v>High (&gt;30%)</v>
      </c>
      <c r="AD1799" s="1" t="str">
        <f aca="false">IF(V1799&lt;0,"Loss Making",IF(V1799&lt;20,"Low Margin","Healthy Margin"))</f>
        <v>Healthy Margin</v>
      </c>
      <c r="AE1799" s="1" t="str">
        <f aca="false">TEXT(DATE(VALUE(RIGHT(B1799,4)),VALUE(MID(B1799,4,2)),VALUE(LEFT(B1799,2))),"MMM-YYYY")</f>
        <v>Dec-2024</v>
      </c>
      <c r="AF1799" s="1" t="n">
        <f aca="false">VALUE(RIGHT(B1799,4))</f>
        <v>2024</v>
      </c>
      <c r="AG1799" s="1" t="str">
        <f aca="false">CHOOSE(ROUNDUP(VALUE(MID(B1799,4,2))/3,0),"Q1","Q2","Q3","Q4")</f>
        <v>Q4</v>
      </c>
    </row>
    <row r="1800" customFormat="false" ht="15" hidden="false" customHeight="true" outlineLevel="0" collapsed="false">
      <c r="A1800" s="1" t="s">
        <v>2641</v>
      </c>
      <c r="B1800" s="1" t="s">
        <v>2604</v>
      </c>
      <c r="C1800" s="1" t="s">
        <v>43</v>
      </c>
      <c r="D1800" s="1" t="s">
        <v>94</v>
      </c>
      <c r="E1800" s="1" t="s">
        <v>101</v>
      </c>
      <c r="F1800" s="1" t="s">
        <v>120</v>
      </c>
      <c r="G1800" s="1" t="s">
        <v>47</v>
      </c>
      <c r="H1800" s="1" t="s">
        <v>57</v>
      </c>
      <c r="I1800" s="1" t="s">
        <v>58</v>
      </c>
      <c r="J1800" s="1" t="s">
        <v>131</v>
      </c>
      <c r="K1800" s="1" t="s">
        <v>90</v>
      </c>
      <c r="L1800" s="1" t="s">
        <v>113</v>
      </c>
      <c r="M1800" s="1" t="s">
        <v>62</v>
      </c>
      <c r="N1800" s="1" t="n">
        <v>14999</v>
      </c>
      <c r="O1800" s="1" t="n">
        <v>5</v>
      </c>
      <c r="P1800" s="1" t="n">
        <v>749.95</v>
      </c>
      <c r="Q1800" s="1" t="n">
        <v>14249.05</v>
      </c>
      <c r="R1800" s="1" t="n">
        <v>2564.83</v>
      </c>
      <c r="S1800" s="1" t="n">
        <v>11684.22</v>
      </c>
      <c r="T1800" s="1" t="n">
        <v>4800.01</v>
      </c>
      <c r="U1800" s="1" t="n">
        <v>6884.21</v>
      </c>
      <c r="V1800" s="1" t="n">
        <v>58.92</v>
      </c>
      <c r="W1800" s="1" t="s">
        <v>40</v>
      </c>
      <c r="Y1800" s="1" t="s">
        <v>40</v>
      </c>
      <c r="Z1800" s="1" t="n">
        <v>0</v>
      </c>
      <c r="AA1800" s="1" t="str">
        <f aca="false">TRIM(PROPER(F1800))</f>
        <v>Mysuru</v>
      </c>
      <c r="AB1800" s="1" t="str">
        <f aca="false">TRIM(PROPER(C1800))</f>
        <v>Meritnation</v>
      </c>
      <c r="AC1800" s="1" t="str">
        <f aca="false">IF(O1800=0,"No Discount",IF(O1800&lt;=15,"Low (1-15%)",IF(O1800&lt;=30,"Medium (16-30%)","High (&gt;30%)")))</f>
        <v>Low (1-15%)</v>
      </c>
      <c r="AD1800" s="1" t="str">
        <f aca="false">IF(V1800&lt;0,"Loss Making",IF(V1800&lt;20,"Low Margin","Healthy Margin"))</f>
        <v>Healthy Margin</v>
      </c>
      <c r="AE1800" s="1" t="str">
        <f aca="false">TEXT(DATE(VALUE(RIGHT(B1800,4)),VALUE(MID(B1800,4,2)),VALUE(LEFT(B1800,2))),"MMM-YYYY")</f>
        <v>May-2023</v>
      </c>
      <c r="AF1800" s="1" t="n">
        <f aca="false">VALUE(RIGHT(B1800,4))</f>
        <v>2023</v>
      </c>
      <c r="AG1800" s="1" t="str">
        <f aca="false">CHOOSE(ROUNDUP(VALUE(MID(B1800,4,2))/3,0),"Q1","Q2","Q3","Q4")</f>
        <v>Q2</v>
      </c>
    </row>
    <row r="1801" customFormat="false" ht="15" hidden="false" customHeight="true" outlineLevel="0" collapsed="false">
      <c r="A1801" s="1" t="s">
        <v>2037</v>
      </c>
      <c r="B1801" s="1" t="s">
        <v>419</v>
      </c>
      <c r="C1801" s="1" t="s">
        <v>139</v>
      </c>
      <c r="D1801" s="1" t="s">
        <v>44</v>
      </c>
      <c r="E1801" s="1" t="s">
        <v>66</v>
      </c>
      <c r="F1801" s="1" t="s">
        <v>244</v>
      </c>
      <c r="G1801" s="1" t="s">
        <v>97</v>
      </c>
      <c r="H1801" s="1" t="s">
        <v>57</v>
      </c>
      <c r="I1801" s="1" t="s">
        <v>34</v>
      </c>
      <c r="J1801" s="1" t="s">
        <v>77</v>
      </c>
      <c r="K1801" s="1" t="s">
        <v>36</v>
      </c>
      <c r="L1801" s="1" t="s">
        <v>37</v>
      </c>
      <c r="M1801" s="1" t="s">
        <v>38</v>
      </c>
      <c r="N1801" s="1" t="n">
        <v>12999</v>
      </c>
      <c r="O1801" s="1" t="n">
        <v>25</v>
      </c>
      <c r="P1801" s="1" t="n">
        <v>3249.75</v>
      </c>
      <c r="Q1801" s="1" t="n">
        <v>9749.25</v>
      </c>
      <c r="R1801" s="1" t="n">
        <v>1754.87</v>
      </c>
      <c r="S1801" s="1" t="n">
        <v>7994.38</v>
      </c>
      <c r="T1801" s="1" t="n">
        <v>3844.45</v>
      </c>
      <c r="U1801" s="1" t="n">
        <v>4149.93</v>
      </c>
      <c r="V1801" s="1" t="n">
        <v>51.91</v>
      </c>
      <c r="W1801" s="1" t="s">
        <v>40</v>
      </c>
      <c r="Y1801" s="1" t="s">
        <v>40</v>
      </c>
      <c r="Z1801" s="1" t="n">
        <v>0</v>
      </c>
      <c r="AA1801" s="1" t="str">
        <f aca="false">TRIM(PROPER(F1801))</f>
        <v>Nagpur</v>
      </c>
      <c r="AB1801" s="1" t="str">
        <f aca="false">TRIM(PROPER(C1801))</f>
        <v>Extramarks</v>
      </c>
      <c r="AC1801" s="1" t="str">
        <f aca="false">IF(O1801=0,"No Discount",IF(O1801&lt;=15,"Low (1-15%)",IF(O1801&lt;=30,"Medium (16-30%)","High (&gt;30%)")))</f>
        <v>Medium (16-30%)</v>
      </c>
      <c r="AD1801" s="1" t="str">
        <f aca="false">IF(V1801&lt;0,"Loss Making",IF(V1801&lt;20,"Low Margin","Healthy Margin"))</f>
        <v>Healthy Margin</v>
      </c>
      <c r="AE1801" s="1" t="str">
        <f aca="false">TEXT(DATE(VALUE(RIGHT(B1801,4)),VALUE(MID(B1801,4,2)),VALUE(LEFT(B1801,2))),"MMM-YYYY")</f>
        <v>Jul-2023</v>
      </c>
      <c r="AF1801" s="1" t="n">
        <f aca="false">VALUE(RIGHT(B1801,4))</f>
        <v>2023</v>
      </c>
      <c r="AG1801" s="1" t="str">
        <f aca="false">CHOOSE(ROUNDUP(VALUE(MID(B1801,4,2))/3,0),"Q1","Q2","Q3","Q4")</f>
        <v>Q3</v>
      </c>
    </row>
    <row r="1802" customFormat="false" ht="15" hidden="false" customHeight="true" outlineLevel="0" collapsed="false">
      <c r="A1802" s="1" t="s">
        <v>2642</v>
      </c>
      <c r="B1802" s="1" t="s">
        <v>587</v>
      </c>
      <c r="C1802" s="1" t="s">
        <v>74</v>
      </c>
      <c r="D1802" s="1" t="s">
        <v>80</v>
      </c>
      <c r="E1802" s="1" t="s">
        <v>81</v>
      </c>
      <c r="F1802" s="1" t="s">
        <v>102</v>
      </c>
      <c r="G1802" s="1" t="s">
        <v>103</v>
      </c>
      <c r="H1802" s="1" t="s">
        <v>33</v>
      </c>
      <c r="I1802" s="1" t="s">
        <v>83</v>
      </c>
      <c r="J1802" s="1" t="s">
        <v>77</v>
      </c>
      <c r="K1802" s="1" t="s">
        <v>48</v>
      </c>
      <c r="L1802" s="1" t="s">
        <v>37</v>
      </c>
      <c r="M1802" s="1" t="s">
        <v>38</v>
      </c>
      <c r="N1802" s="1" t="n">
        <v>12999</v>
      </c>
      <c r="O1802" s="1" t="n">
        <v>30</v>
      </c>
      <c r="P1802" s="1" t="n">
        <v>3899.7</v>
      </c>
      <c r="Q1802" s="1" t="n">
        <v>9099.3</v>
      </c>
      <c r="R1802" s="1" t="n">
        <v>1637.87</v>
      </c>
      <c r="S1802" s="1" t="n">
        <v>7461.43</v>
      </c>
      <c r="T1802" s="1" t="n">
        <v>3368.21</v>
      </c>
      <c r="U1802" s="1" t="n">
        <v>4093.22</v>
      </c>
      <c r="V1802" s="1" t="n">
        <v>54.86</v>
      </c>
      <c r="W1802" s="1" t="s">
        <v>39</v>
      </c>
      <c r="X1802" s="1" t="n">
        <v>4.5</v>
      </c>
      <c r="Y1802" s="1" t="s">
        <v>40</v>
      </c>
      <c r="Z1802" s="1" t="n">
        <v>0</v>
      </c>
      <c r="AA1802" s="1" t="str">
        <f aca="false">TRIM(PROPER(F1802))</f>
        <v>Warangal</v>
      </c>
      <c r="AB1802" s="1" t="str">
        <f aca="false">TRIM(PROPER(C1802))</f>
        <v>Vedantu</v>
      </c>
      <c r="AC1802" s="1" t="str">
        <f aca="false">IF(O1802=0,"No Discount",IF(O1802&lt;=15,"Low (1-15%)",IF(O1802&lt;=30,"Medium (16-30%)","High (&gt;30%)")))</f>
        <v>Medium (16-30%)</v>
      </c>
      <c r="AD1802" s="1" t="str">
        <f aca="false">IF(V1802&lt;0,"Loss Making",IF(V1802&lt;20,"Low Margin","Healthy Margin"))</f>
        <v>Healthy Margin</v>
      </c>
      <c r="AE1802" s="1" t="str">
        <f aca="false">TEXT(DATE(VALUE(RIGHT(B1802,4)),VALUE(MID(B1802,4,2)),VALUE(LEFT(B1802,2))),"MMM-YYYY")</f>
        <v>Apr-2023</v>
      </c>
      <c r="AF1802" s="1" t="n">
        <f aca="false">VALUE(RIGHT(B1802,4))</f>
        <v>2023</v>
      </c>
      <c r="AG1802" s="1" t="str">
        <f aca="false">CHOOSE(ROUNDUP(VALUE(MID(B1802,4,2))/3,0),"Q1","Q2","Q3","Q4")</f>
        <v>Q2</v>
      </c>
    </row>
    <row r="1803" customFormat="false" ht="15" hidden="false" customHeight="true" outlineLevel="0" collapsed="false">
      <c r="A1803" s="1" t="s">
        <v>2643</v>
      </c>
      <c r="B1803" s="1" t="s">
        <v>2644</v>
      </c>
      <c r="C1803" s="1" t="s">
        <v>119</v>
      </c>
      <c r="D1803" s="1" t="s">
        <v>29</v>
      </c>
      <c r="E1803" s="1" t="s">
        <v>129</v>
      </c>
      <c r="F1803" s="1" t="s">
        <v>75</v>
      </c>
      <c r="G1803" s="1" t="s">
        <v>76</v>
      </c>
      <c r="H1803" s="1" t="s">
        <v>69</v>
      </c>
      <c r="I1803" s="1" t="s">
        <v>34</v>
      </c>
      <c r="J1803" s="1" t="s">
        <v>70</v>
      </c>
      <c r="K1803" s="1" t="s">
        <v>90</v>
      </c>
      <c r="L1803" s="1" t="s">
        <v>85</v>
      </c>
      <c r="M1803" s="1" t="s">
        <v>38</v>
      </c>
      <c r="N1803" s="1" t="n">
        <v>29999</v>
      </c>
      <c r="O1803" s="1" t="n">
        <v>50</v>
      </c>
      <c r="P1803" s="1" t="n">
        <v>14999.5</v>
      </c>
      <c r="Q1803" s="1" t="n">
        <v>14999.5</v>
      </c>
      <c r="R1803" s="1" t="n">
        <v>2699.91</v>
      </c>
      <c r="S1803" s="1" t="n">
        <v>12299.59</v>
      </c>
      <c r="T1803" s="1" t="n">
        <v>4833.94</v>
      </c>
      <c r="U1803" s="1" t="n">
        <v>7465.65</v>
      </c>
      <c r="V1803" s="1" t="n">
        <v>60.7</v>
      </c>
      <c r="W1803" s="1" t="s">
        <v>40</v>
      </c>
      <c r="Y1803" s="1" t="s">
        <v>40</v>
      </c>
      <c r="Z1803" s="1" t="n">
        <v>0</v>
      </c>
      <c r="AA1803" s="1" t="str">
        <f aca="false">TRIM(PROPER(F1803))</f>
        <v>Kolkata</v>
      </c>
      <c r="AB1803" s="1" t="str">
        <f aca="false">TRIM(PROPER(C1803))</f>
        <v>Simplilearn</v>
      </c>
      <c r="AC1803" s="1" t="str">
        <f aca="false">IF(O1803=0,"No Discount",IF(O1803&lt;=15,"Low (1-15%)",IF(O1803&lt;=30,"Medium (16-30%)","High (&gt;30%)")))</f>
        <v>High (&gt;30%)</v>
      </c>
      <c r="AD1803" s="1" t="str">
        <f aca="false">IF(V1803&lt;0,"Loss Making",IF(V1803&lt;20,"Low Margin","Healthy Margin"))</f>
        <v>Healthy Margin</v>
      </c>
      <c r="AE1803" s="1" t="str">
        <f aca="false">TEXT(DATE(VALUE(RIGHT(B1803,4)),VALUE(MID(B1803,4,2)),VALUE(LEFT(B1803,2))),"MMM-YYYY")</f>
        <v>Dec-2023</v>
      </c>
      <c r="AF1803" s="1" t="n">
        <f aca="false">VALUE(RIGHT(B1803,4))</f>
        <v>2023</v>
      </c>
      <c r="AG1803" s="1" t="str">
        <f aca="false">CHOOSE(ROUNDUP(VALUE(MID(B1803,4,2))/3,0),"Q1","Q2","Q3","Q4")</f>
        <v>Q4</v>
      </c>
    </row>
    <row r="1804" customFormat="false" ht="15" hidden="false" customHeight="true" outlineLevel="0" collapsed="false">
      <c r="A1804" s="1" t="s">
        <v>2645</v>
      </c>
      <c r="B1804" s="1" t="s">
        <v>487</v>
      </c>
      <c r="C1804" s="1" t="s">
        <v>2646</v>
      </c>
      <c r="D1804" s="1" t="s">
        <v>53</v>
      </c>
      <c r="E1804" s="1" t="s">
        <v>116</v>
      </c>
      <c r="F1804" s="1" t="s">
        <v>96</v>
      </c>
      <c r="G1804" s="1" t="s">
        <v>97</v>
      </c>
      <c r="H1804" s="1" t="s">
        <v>69</v>
      </c>
      <c r="I1804" s="1" t="s">
        <v>34</v>
      </c>
      <c r="J1804" s="1" t="s">
        <v>59</v>
      </c>
      <c r="K1804" s="1" t="s">
        <v>48</v>
      </c>
      <c r="L1804" s="1" t="s">
        <v>136</v>
      </c>
      <c r="M1804" s="1" t="s">
        <v>50</v>
      </c>
      <c r="N1804" s="1" t="n">
        <v>9999</v>
      </c>
      <c r="O1804" s="1" t="n">
        <v>0</v>
      </c>
      <c r="P1804" s="1" t="n">
        <v>0</v>
      </c>
      <c r="Q1804" s="1" t="n">
        <v>9999</v>
      </c>
      <c r="R1804" s="1" t="n">
        <v>1799.82</v>
      </c>
      <c r="S1804" s="1" t="n">
        <v>8199.18</v>
      </c>
      <c r="T1804" s="1" t="n">
        <v>3614.2</v>
      </c>
      <c r="U1804" s="1" t="n">
        <v>4584.98</v>
      </c>
      <c r="V1804" s="1" t="n">
        <v>55.92</v>
      </c>
      <c r="W1804" s="1" t="s">
        <v>39</v>
      </c>
      <c r="X1804" s="1" t="n">
        <v>4.6</v>
      </c>
      <c r="Y1804" s="1" t="s">
        <v>40</v>
      </c>
      <c r="Z1804" s="1" t="n">
        <v>0</v>
      </c>
      <c r="AA1804" s="1" t="str">
        <f aca="false">TRIM(PROPER(F1804))</f>
        <v>Pune</v>
      </c>
      <c r="AB1804" s="1" t="str">
        <f aca="false">TRIM(PROPER(C1804))</f>
        <v>Unacademy</v>
      </c>
      <c r="AC1804" s="1" t="str">
        <f aca="false">IF(O1804=0,"No Discount",IF(O1804&lt;=15,"Low (1-15%)",IF(O1804&lt;=30,"Medium (16-30%)","High (&gt;30%)")))</f>
        <v>No Discount</v>
      </c>
      <c r="AD1804" s="1" t="str">
        <f aca="false">IF(V1804&lt;0,"Loss Making",IF(V1804&lt;20,"Low Margin","Healthy Margin"))</f>
        <v>Healthy Margin</v>
      </c>
      <c r="AE1804" s="1" t="str">
        <f aca="false">TEXT(DATE(VALUE(RIGHT(B1804,4)),VALUE(MID(B1804,4,2)),VALUE(LEFT(B1804,2))),"MMM-YYYY")</f>
        <v>Mar-2023</v>
      </c>
      <c r="AF1804" s="1" t="n">
        <f aca="false">VALUE(RIGHT(B1804,4))</f>
        <v>2023</v>
      </c>
      <c r="AG1804" s="1" t="str">
        <f aca="false">CHOOSE(ROUNDUP(VALUE(MID(B1804,4,2))/3,0),"Q1","Q2","Q3","Q4")</f>
        <v>Q1</v>
      </c>
    </row>
    <row r="1805" customFormat="false" ht="15" hidden="false" customHeight="true" outlineLevel="0" collapsed="false">
      <c r="A1805" s="1" t="s">
        <v>2647</v>
      </c>
      <c r="B1805" s="1" t="s">
        <v>489</v>
      </c>
      <c r="C1805" s="1" t="s">
        <v>74</v>
      </c>
      <c r="D1805" s="1" t="s">
        <v>94</v>
      </c>
      <c r="E1805" s="1" t="s">
        <v>101</v>
      </c>
      <c r="F1805" s="1" t="s">
        <v>125</v>
      </c>
      <c r="G1805" s="1" t="s">
        <v>108</v>
      </c>
      <c r="H1805" s="1" t="s">
        <v>69</v>
      </c>
      <c r="I1805" s="1" t="s">
        <v>58</v>
      </c>
      <c r="J1805" s="1" t="s">
        <v>77</v>
      </c>
      <c r="K1805" s="1" t="s">
        <v>60</v>
      </c>
      <c r="L1805" s="1" t="s">
        <v>61</v>
      </c>
      <c r="M1805" s="1" t="s">
        <v>50</v>
      </c>
      <c r="N1805" s="1" t="n">
        <v>14999</v>
      </c>
      <c r="O1805" s="1" t="n">
        <v>10</v>
      </c>
      <c r="P1805" s="1" t="n">
        <v>1499.9</v>
      </c>
      <c r="Q1805" s="1" t="n">
        <v>13499.1</v>
      </c>
      <c r="R1805" s="1" t="n">
        <v>2429.84</v>
      </c>
      <c r="S1805" s="1" t="n">
        <v>11069.26</v>
      </c>
      <c r="T1805" s="1" t="n">
        <v>3735.7</v>
      </c>
      <c r="U1805" s="1" t="n">
        <v>7333.56</v>
      </c>
      <c r="V1805" s="1" t="n">
        <v>66.25</v>
      </c>
      <c r="W1805" s="1" t="s">
        <v>40</v>
      </c>
      <c r="Y1805" s="1" t="s">
        <v>40</v>
      </c>
      <c r="Z1805" s="1" t="n">
        <v>0</v>
      </c>
      <c r="AA1805" s="1" t="str">
        <f aca="false">TRIM(PROPER(F1805))</f>
        <v>Chennai</v>
      </c>
      <c r="AB1805" s="1" t="str">
        <f aca="false">TRIM(PROPER(C1805))</f>
        <v>Vedantu</v>
      </c>
      <c r="AC1805" s="1" t="str">
        <f aca="false">IF(O1805=0,"No Discount",IF(O1805&lt;=15,"Low (1-15%)",IF(O1805&lt;=30,"Medium (16-30%)","High (&gt;30%)")))</f>
        <v>Low (1-15%)</v>
      </c>
      <c r="AD1805" s="1" t="str">
        <f aca="false">IF(V1805&lt;0,"Loss Making",IF(V1805&lt;20,"Low Margin","Healthy Margin"))</f>
        <v>Healthy Margin</v>
      </c>
      <c r="AE1805" s="1" t="str">
        <f aca="false">TEXT(DATE(VALUE(RIGHT(B1805,4)),VALUE(MID(B1805,4,2)),VALUE(LEFT(B1805,2))),"MMM-YYYY")</f>
        <v>Apr-2023</v>
      </c>
      <c r="AF1805" s="1" t="n">
        <f aca="false">VALUE(RIGHT(B1805,4))</f>
        <v>2023</v>
      </c>
      <c r="AG1805" s="1" t="str">
        <f aca="false">CHOOSE(ROUNDUP(VALUE(MID(B1805,4,2))/3,0),"Q1","Q2","Q3","Q4")</f>
        <v>Q2</v>
      </c>
    </row>
    <row r="1806" customFormat="false" ht="15" hidden="false" customHeight="true" outlineLevel="0" collapsed="false">
      <c r="A1806" s="1" t="s">
        <v>2648</v>
      </c>
      <c r="B1806" s="1" t="s">
        <v>685</v>
      </c>
      <c r="C1806" s="1" t="s">
        <v>249</v>
      </c>
      <c r="D1806" s="1" t="s">
        <v>53</v>
      </c>
      <c r="E1806" s="1" t="s">
        <v>54</v>
      </c>
      <c r="F1806" s="1" t="s">
        <v>244</v>
      </c>
      <c r="G1806" s="1" t="s">
        <v>97</v>
      </c>
      <c r="H1806" s="1" t="s">
        <v>57</v>
      </c>
      <c r="I1806" s="1" t="s">
        <v>34</v>
      </c>
      <c r="J1806" s="1" t="s">
        <v>59</v>
      </c>
      <c r="K1806" s="1" t="s">
        <v>104</v>
      </c>
      <c r="L1806" s="1" t="s">
        <v>136</v>
      </c>
      <c r="M1806" s="1" t="s">
        <v>50</v>
      </c>
      <c r="N1806" s="1" t="n">
        <v>11999</v>
      </c>
      <c r="O1806" s="1" t="n">
        <v>40</v>
      </c>
      <c r="P1806" s="1" t="n">
        <v>4799.6</v>
      </c>
      <c r="Q1806" s="1" t="n">
        <v>7199.4</v>
      </c>
      <c r="R1806" s="1" t="n">
        <v>1295.89</v>
      </c>
      <c r="S1806" s="1" t="n">
        <v>5903.51</v>
      </c>
      <c r="T1806" s="1" t="n">
        <v>3656.73</v>
      </c>
      <c r="U1806" s="1" t="n">
        <v>2246.78</v>
      </c>
      <c r="V1806" s="1" t="n">
        <v>38.06</v>
      </c>
      <c r="W1806" s="1" t="s">
        <v>40</v>
      </c>
      <c r="Y1806" s="1" t="s">
        <v>40</v>
      </c>
      <c r="Z1806" s="1" t="n">
        <v>2</v>
      </c>
      <c r="AA1806" s="1" t="str">
        <f aca="false">TRIM(PROPER(F1806))</f>
        <v>Nagpur</v>
      </c>
      <c r="AB1806" s="1" t="str">
        <f aca="false">TRIM(PROPER(C1806))</f>
        <v>Whitehat Jr</v>
      </c>
      <c r="AC1806" s="1" t="str">
        <f aca="false">IF(O1806=0,"No Discount",IF(O1806&lt;=15,"Low (1-15%)",IF(O1806&lt;=30,"Medium (16-30%)","High (&gt;30%)")))</f>
        <v>High (&gt;30%)</v>
      </c>
      <c r="AD1806" s="1" t="str">
        <f aca="false">IF(V1806&lt;0,"Loss Making",IF(V1806&lt;20,"Low Margin","Healthy Margin"))</f>
        <v>Healthy Margin</v>
      </c>
      <c r="AE1806" s="1" t="str">
        <f aca="false">TEXT(DATE(VALUE(RIGHT(B1806,4)),VALUE(MID(B1806,4,2)),VALUE(LEFT(B1806,2))),"MMM-YYYY")</f>
        <v>Feb-2023</v>
      </c>
      <c r="AF1806" s="1" t="n">
        <f aca="false">VALUE(RIGHT(B1806,4))</f>
        <v>2023</v>
      </c>
      <c r="AG1806" s="1" t="str">
        <f aca="false">CHOOSE(ROUNDUP(VALUE(MID(B1806,4,2))/3,0),"Q1","Q2","Q3","Q4")</f>
        <v>Q1</v>
      </c>
    </row>
    <row r="1807" customFormat="false" ht="15" hidden="false" customHeight="true" outlineLevel="0" collapsed="false">
      <c r="A1807" s="1" t="s">
        <v>2649</v>
      </c>
      <c r="B1807" s="1" t="s">
        <v>795</v>
      </c>
      <c r="C1807" s="1" t="s">
        <v>178</v>
      </c>
      <c r="D1807" s="1" t="s">
        <v>53</v>
      </c>
      <c r="E1807" s="1" t="s">
        <v>54</v>
      </c>
      <c r="F1807" s="1" t="s">
        <v>150</v>
      </c>
      <c r="G1807" s="1" t="s">
        <v>32</v>
      </c>
      <c r="H1807" s="1" t="s">
        <v>57</v>
      </c>
      <c r="I1807" s="1" t="s">
        <v>58</v>
      </c>
      <c r="J1807" s="1" t="s">
        <v>131</v>
      </c>
      <c r="K1807" s="1" t="s">
        <v>112</v>
      </c>
      <c r="L1807" s="1" t="s">
        <v>49</v>
      </c>
      <c r="M1807" s="1" t="s">
        <v>62</v>
      </c>
      <c r="N1807" s="1" t="n">
        <v>11999</v>
      </c>
      <c r="O1807" s="1" t="n">
        <v>0</v>
      </c>
      <c r="P1807" s="1" t="n">
        <v>0</v>
      </c>
      <c r="Q1807" s="1" t="n">
        <v>11999</v>
      </c>
      <c r="R1807" s="1" t="n">
        <v>2159.82</v>
      </c>
      <c r="S1807" s="1" t="n">
        <v>9839.18</v>
      </c>
      <c r="T1807" s="1" t="n">
        <v>4527.83</v>
      </c>
      <c r="U1807" s="1" t="n">
        <v>5311.35</v>
      </c>
      <c r="V1807" s="1" t="n">
        <v>53.98</v>
      </c>
      <c r="W1807" s="1" t="s">
        <v>39</v>
      </c>
      <c r="X1807" s="1" t="n">
        <v>3.9</v>
      </c>
      <c r="Y1807" s="1" t="s">
        <v>40</v>
      </c>
      <c r="Z1807" s="1" t="n">
        <v>1</v>
      </c>
      <c r="AA1807" s="1" t="str">
        <f aca="false">TRIM(PROPER(F1807))</f>
        <v>Jaipur</v>
      </c>
      <c r="AB1807" s="1" t="str">
        <f aca="false">TRIM(PROPER(C1807))</f>
        <v>Leverage Edu</v>
      </c>
      <c r="AC1807" s="1" t="str">
        <f aca="false">IF(O1807=0,"No Discount",IF(O1807&lt;=15,"Low (1-15%)",IF(O1807&lt;=30,"Medium (16-30%)","High (&gt;30%)")))</f>
        <v>No Discount</v>
      </c>
      <c r="AD1807" s="1" t="str">
        <f aca="false">IF(V1807&lt;0,"Loss Making",IF(V1807&lt;20,"Low Margin","Healthy Margin"))</f>
        <v>Healthy Margin</v>
      </c>
      <c r="AE1807" s="1" t="str">
        <f aca="false">TEXT(DATE(VALUE(RIGHT(B1807,4)),VALUE(MID(B1807,4,2)),VALUE(LEFT(B1807,2))),"MMM-YYYY")</f>
        <v>May-2024</v>
      </c>
      <c r="AF1807" s="1" t="n">
        <f aca="false">VALUE(RIGHT(B1807,4))</f>
        <v>2024</v>
      </c>
      <c r="AG1807" s="1" t="str">
        <f aca="false">CHOOSE(ROUNDUP(VALUE(MID(B1807,4,2))/3,0),"Q1","Q2","Q3","Q4")</f>
        <v>Q2</v>
      </c>
    </row>
    <row r="1808" customFormat="false" ht="15" hidden="false" customHeight="true" outlineLevel="0" collapsed="false">
      <c r="A1808" s="1" t="s">
        <v>2650</v>
      </c>
      <c r="B1808" s="1" t="s">
        <v>885</v>
      </c>
      <c r="C1808" s="1" t="s">
        <v>100</v>
      </c>
      <c r="D1808" s="1" t="s">
        <v>80</v>
      </c>
      <c r="E1808" s="1" t="s">
        <v>193</v>
      </c>
      <c r="F1808" s="1" t="s">
        <v>120</v>
      </c>
      <c r="G1808" s="1" t="s">
        <v>47</v>
      </c>
      <c r="H1808" s="1" t="s">
        <v>57</v>
      </c>
      <c r="I1808" s="1" t="s">
        <v>83</v>
      </c>
      <c r="J1808" s="1" t="s">
        <v>35</v>
      </c>
      <c r="K1808" s="1" t="s">
        <v>84</v>
      </c>
      <c r="L1808" s="1" t="s">
        <v>136</v>
      </c>
      <c r="M1808" s="1" t="s">
        <v>38</v>
      </c>
      <c r="N1808" s="1" t="n">
        <v>8999</v>
      </c>
      <c r="O1808" s="1" t="n">
        <v>0</v>
      </c>
      <c r="P1808" s="1" t="n">
        <v>0</v>
      </c>
      <c r="Q1808" s="1" t="n">
        <v>8999</v>
      </c>
      <c r="R1808" s="1" t="n">
        <v>1619.82</v>
      </c>
      <c r="S1808" s="1" t="n">
        <v>7379.18</v>
      </c>
      <c r="T1808" s="1" t="n">
        <v>2390.01</v>
      </c>
      <c r="U1808" s="1" t="n">
        <v>4989.17</v>
      </c>
      <c r="V1808" s="1" t="n">
        <v>67.61</v>
      </c>
      <c r="W1808" s="1" t="s">
        <v>40</v>
      </c>
      <c r="Y1808" s="1" t="s">
        <v>40</v>
      </c>
      <c r="Z1808" s="1" t="n">
        <v>0</v>
      </c>
      <c r="AA1808" s="1" t="str">
        <f aca="false">TRIM(PROPER(F1808))</f>
        <v>Mysuru</v>
      </c>
      <c r="AB1808" s="1" t="str">
        <f aca="false">TRIM(PROPER(C1808))</f>
        <v>Physics Wallah</v>
      </c>
      <c r="AC1808" s="1" t="str">
        <f aca="false">IF(O1808=0,"No Discount",IF(O1808&lt;=15,"Low (1-15%)",IF(O1808&lt;=30,"Medium (16-30%)","High (&gt;30%)")))</f>
        <v>No Discount</v>
      </c>
      <c r="AD1808" s="1" t="str">
        <f aca="false">IF(V1808&lt;0,"Loss Making",IF(V1808&lt;20,"Low Margin","Healthy Margin"))</f>
        <v>Healthy Margin</v>
      </c>
      <c r="AE1808" s="1" t="str">
        <f aca="false">TEXT(DATE(VALUE(RIGHT(B1808,4)),VALUE(MID(B1808,4,2)),VALUE(LEFT(B1808,2))),"MMM-YYYY")</f>
        <v>Jan-2023</v>
      </c>
      <c r="AF1808" s="1" t="n">
        <f aca="false">VALUE(RIGHT(B1808,4))</f>
        <v>2023</v>
      </c>
      <c r="AG1808" s="1" t="str">
        <f aca="false">CHOOSE(ROUNDUP(VALUE(MID(B1808,4,2))/3,0),"Q1","Q2","Q3","Q4")</f>
        <v>Q1</v>
      </c>
    </row>
    <row r="1809" customFormat="false" ht="15" hidden="false" customHeight="true" outlineLevel="0" collapsed="false">
      <c r="A1809" s="1" t="s">
        <v>2651</v>
      </c>
      <c r="B1809" s="1" t="s">
        <v>290</v>
      </c>
      <c r="C1809" s="1" t="s">
        <v>65</v>
      </c>
      <c r="D1809" s="1" t="s">
        <v>123</v>
      </c>
      <c r="E1809" s="1" t="s">
        <v>124</v>
      </c>
      <c r="F1809" s="1" t="s">
        <v>130</v>
      </c>
      <c r="G1809" s="1" t="s">
        <v>47</v>
      </c>
      <c r="H1809" s="1" t="s">
        <v>69</v>
      </c>
      <c r="I1809" s="1" t="s">
        <v>34</v>
      </c>
      <c r="J1809" s="1" t="s">
        <v>131</v>
      </c>
      <c r="K1809" s="1" t="s">
        <v>104</v>
      </c>
      <c r="L1809" s="1" t="s">
        <v>113</v>
      </c>
      <c r="M1809" s="1" t="s">
        <v>62</v>
      </c>
      <c r="N1809" s="1" t="n">
        <v>4999</v>
      </c>
      <c r="O1809" s="1" t="n">
        <v>10</v>
      </c>
      <c r="P1809" s="1" t="n">
        <v>499.9</v>
      </c>
      <c r="Q1809" s="1" t="n">
        <v>4499.1</v>
      </c>
      <c r="R1809" s="1" t="n">
        <v>809.84</v>
      </c>
      <c r="S1809" s="1" t="n">
        <v>3689.26</v>
      </c>
      <c r="T1809" s="1" t="n">
        <v>1536.38</v>
      </c>
      <c r="U1809" s="1" t="n">
        <v>2152.88</v>
      </c>
      <c r="V1809" s="1" t="n">
        <v>58.36</v>
      </c>
      <c r="W1809" s="1" t="s">
        <v>39</v>
      </c>
      <c r="X1809" s="1" t="n">
        <v>3.8</v>
      </c>
      <c r="Y1809" s="1" t="s">
        <v>40</v>
      </c>
      <c r="Z1809" s="1" t="n">
        <v>0</v>
      </c>
      <c r="AA1809" s="1" t="str">
        <f aca="false">TRIM(PROPER(F1809))</f>
        <v>Bengaluru</v>
      </c>
      <c r="AB1809" s="1" t="str">
        <f aca="false">TRIM(PROPER(C1809))</f>
        <v>Toppr</v>
      </c>
      <c r="AC1809" s="1" t="str">
        <f aca="false">IF(O1809=0,"No Discount",IF(O1809&lt;=15,"Low (1-15%)",IF(O1809&lt;=30,"Medium (16-30%)","High (&gt;30%)")))</f>
        <v>Low (1-15%)</v>
      </c>
      <c r="AD1809" s="1" t="str">
        <f aca="false">IF(V1809&lt;0,"Loss Making",IF(V1809&lt;20,"Low Margin","Healthy Margin"))</f>
        <v>Healthy Margin</v>
      </c>
      <c r="AE1809" s="1" t="str">
        <f aca="false">TEXT(DATE(VALUE(RIGHT(B1809,4)),VALUE(MID(B1809,4,2)),VALUE(LEFT(B1809,2))),"MMM-YYYY")</f>
        <v>Jan-2023</v>
      </c>
      <c r="AF1809" s="1" t="n">
        <f aca="false">VALUE(RIGHT(B1809,4))</f>
        <v>2023</v>
      </c>
      <c r="AG1809" s="1" t="str">
        <f aca="false">CHOOSE(ROUNDUP(VALUE(MID(B1809,4,2))/3,0),"Q1","Q2","Q3","Q4")</f>
        <v>Q1</v>
      </c>
    </row>
    <row r="1810" customFormat="false" ht="15" hidden="false" customHeight="true" outlineLevel="0" collapsed="false">
      <c r="A1810" s="1" t="s">
        <v>2652</v>
      </c>
      <c r="B1810" s="1" t="s">
        <v>766</v>
      </c>
      <c r="C1810" s="1" t="s">
        <v>128</v>
      </c>
      <c r="D1810" s="1" t="s">
        <v>123</v>
      </c>
      <c r="E1810" s="1" t="s">
        <v>233</v>
      </c>
      <c r="F1810" s="1" t="s">
        <v>184</v>
      </c>
      <c r="G1810" s="1" t="s">
        <v>56</v>
      </c>
      <c r="H1810" s="1" t="s">
        <v>57</v>
      </c>
      <c r="I1810" s="1" t="s">
        <v>34</v>
      </c>
      <c r="J1810" s="1" t="s">
        <v>131</v>
      </c>
      <c r="K1810" s="1" t="s">
        <v>36</v>
      </c>
      <c r="L1810" s="1" t="s">
        <v>61</v>
      </c>
      <c r="M1810" s="1" t="s">
        <v>50</v>
      </c>
      <c r="N1810" s="1" t="n">
        <v>8999</v>
      </c>
      <c r="O1810" s="1" t="n">
        <v>50</v>
      </c>
      <c r="P1810" s="1" t="n">
        <v>4499.5</v>
      </c>
      <c r="Q1810" s="1" t="n">
        <v>4499.5</v>
      </c>
      <c r="R1810" s="1" t="n">
        <v>809.91</v>
      </c>
      <c r="S1810" s="1" t="n">
        <v>3689.59</v>
      </c>
      <c r="T1810" s="1" t="n">
        <v>2249.93</v>
      </c>
      <c r="U1810" s="1" t="n">
        <v>1439.66</v>
      </c>
      <c r="V1810" s="1" t="n">
        <v>39.02</v>
      </c>
      <c r="W1810" s="1" t="s">
        <v>40</v>
      </c>
      <c r="Y1810" s="1" t="s">
        <v>40</v>
      </c>
      <c r="Z1810" s="1" t="n">
        <v>0</v>
      </c>
      <c r="AA1810" s="1" t="str">
        <f aca="false">TRIM(PROPER(F1810))</f>
        <v>Faridabad</v>
      </c>
      <c r="AB1810" s="1" t="str">
        <f aca="false">TRIM(PROPER(C1810))</f>
        <v>Great Learning</v>
      </c>
      <c r="AC1810" s="1" t="str">
        <f aca="false">IF(O1810=0,"No Discount",IF(O1810&lt;=15,"Low (1-15%)",IF(O1810&lt;=30,"Medium (16-30%)","High (&gt;30%)")))</f>
        <v>High (&gt;30%)</v>
      </c>
      <c r="AD1810" s="1" t="str">
        <f aca="false">IF(V1810&lt;0,"Loss Making",IF(V1810&lt;20,"Low Margin","Healthy Margin"))</f>
        <v>Healthy Margin</v>
      </c>
      <c r="AE1810" s="1" t="str">
        <f aca="false">TEXT(DATE(VALUE(RIGHT(B1810,4)),VALUE(MID(B1810,4,2)),VALUE(LEFT(B1810,2))),"MMM-YYYY")</f>
        <v>Feb-2024</v>
      </c>
      <c r="AF1810" s="1" t="n">
        <f aca="false">VALUE(RIGHT(B1810,4))</f>
        <v>2024</v>
      </c>
      <c r="AG1810" s="1" t="str">
        <f aca="false">CHOOSE(ROUNDUP(VALUE(MID(B1810,4,2))/3,0),"Q1","Q2","Q3","Q4")</f>
        <v>Q1</v>
      </c>
    </row>
    <row r="1811" customFormat="false" ht="15" hidden="false" customHeight="true" outlineLevel="0" collapsed="false">
      <c r="A1811" s="1" t="s">
        <v>2653</v>
      </c>
      <c r="B1811" s="1" t="s">
        <v>413</v>
      </c>
      <c r="C1811" s="1" t="s">
        <v>88</v>
      </c>
      <c r="D1811" s="1" t="s">
        <v>44</v>
      </c>
      <c r="E1811" s="1" t="s">
        <v>45</v>
      </c>
      <c r="F1811" s="1" t="s">
        <v>89</v>
      </c>
      <c r="G1811" s="1" t="s">
        <v>68</v>
      </c>
      <c r="H1811" s="1" t="s">
        <v>33</v>
      </c>
      <c r="I1811" s="1" t="s">
        <v>83</v>
      </c>
      <c r="J1811" s="1" t="s">
        <v>131</v>
      </c>
      <c r="K1811" s="1" t="s">
        <v>36</v>
      </c>
      <c r="L1811" s="1" t="s">
        <v>61</v>
      </c>
      <c r="M1811" s="1" t="s">
        <v>50</v>
      </c>
      <c r="N1811" s="1" t="n">
        <v>11999</v>
      </c>
      <c r="O1811" s="1" t="n">
        <v>10</v>
      </c>
      <c r="P1811" s="1" t="n">
        <v>1199.9</v>
      </c>
      <c r="Q1811" s="1" t="n">
        <v>10799.1</v>
      </c>
      <c r="R1811" s="1" t="n">
        <v>1943.84</v>
      </c>
      <c r="S1811" s="1" t="n">
        <v>8855.26</v>
      </c>
      <c r="T1811" s="1" t="n">
        <v>4114.83</v>
      </c>
      <c r="U1811" s="1" t="n">
        <v>4740.43</v>
      </c>
      <c r="V1811" s="1" t="n">
        <v>53.53</v>
      </c>
      <c r="W1811" s="1" t="s">
        <v>39</v>
      </c>
      <c r="X1811" s="1" t="n">
        <v>3.5</v>
      </c>
      <c r="Y1811" s="1" t="s">
        <v>40</v>
      </c>
      <c r="Z1811" s="1" t="n">
        <v>0</v>
      </c>
      <c r="AA1811" s="1" t="str">
        <f aca="false">TRIM(PROPER(F1811))</f>
        <v>Vadodara</v>
      </c>
      <c r="AB1811" s="1" t="str">
        <f aca="false">TRIM(PROPER(C1811))</f>
        <v>Byju'S</v>
      </c>
      <c r="AC1811" s="1" t="str">
        <f aca="false">IF(O1811=0,"No Discount",IF(O1811&lt;=15,"Low (1-15%)",IF(O1811&lt;=30,"Medium (16-30%)","High (&gt;30%)")))</f>
        <v>Low (1-15%)</v>
      </c>
      <c r="AD1811" s="1" t="str">
        <f aca="false">IF(V1811&lt;0,"Loss Making",IF(V1811&lt;20,"Low Margin","Healthy Margin"))</f>
        <v>Healthy Margin</v>
      </c>
      <c r="AE1811" s="1" t="str">
        <f aca="false">TEXT(DATE(VALUE(RIGHT(B1811,4)),VALUE(MID(B1811,4,2)),VALUE(LEFT(B1811,2))),"MMM-YYYY")</f>
        <v>Jan-2023</v>
      </c>
      <c r="AF1811" s="1" t="n">
        <f aca="false">VALUE(RIGHT(B1811,4))</f>
        <v>2023</v>
      </c>
      <c r="AG1811" s="1" t="str">
        <f aca="false">CHOOSE(ROUNDUP(VALUE(MID(B1811,4,2))/3,0),"Q1","Q2","Q3","Q4")</f>
        <v>Q1</v>
      </c>
    </row>
    <row r="1812" customFormat="false" ht="15" hidden="false" customHeight="true" outlineLevel="0" collapsed="false">
      <c r="A1812" s="1" t="s">
        <v>2654</v>
      </c>
      <c r="B1812" s="1" t="s">
        <v>1148</v>
      </c>
      <c r="C1812" s="1" t="s">
        <v>88</v>
      </c>
      <c r="D1812" s="1" t="s">
        <v>80</v>
      </c>
      <c r="E1812" s="1" t="s">
        <v>175</v>
      </c>
      <c r="F1812" s="1" t="s">
        <v>89</v>
      </c>
      <c r="G1812" s="1" t="s">
        <v>68</v>
      </c>
      <c r="H1812" s="1" t="s">
        <v>33</v>
      </c>
      <c r="I1812" s="1" t="s">
        <v>83</v>
      </c>
      <c r="J1812" s="1" t="s">
        <v>131</v>
      </c>
      <c r="K1812" s="1" t="s">
        <v>48</v>
      </c>
      <c r="L1812" s="1" t="s">
        <v>37</v>
      </c>
      <c r="M1812" s="1" t="s">
        <v>62</v>
      </c>
      <c r="N1812" s="1" t="n">
        <v>19999</v>
      </c>
      <c r="O1812" s="1" t="n">
        <v>0</v>
      </c>
      <c r="P1812" s="1" t="n">
        <v>0</v>
      </c>
      <c r="Q1812" s="1" t="n">
        <v>19999</v>
      </c>
      <c r="R1812" s="1" t="n">
        <v>3599.82</v>
      </c>
      <c r="S1812" s="1" t="n">
        <v>16399.18</v>
      </c>
      <c r="T1812" s="1" t="n">
        <v>7787.05</v>
      </c>
      <c r="U1812" s="1" t="n">
        <v>8612.13</v>
      </c>
      <c r="V1812" s="1" t="n">
        <v>52.52</v>
      </c>
      <c r="W1812" s="1" t="s">
        <v>40</v>
      </c>
      <c r="Y1812" s="1" t="s">
        <v>40</v>
      </c>
      <c r="Z1812" s="1" t="n">
        <v>0</v>
      </c>
      <c r="AA1812" s="1" t="str">
        <f aca="false">TRIM(PROPER(F1812))</f>
        <v>Vadodara</v>
      </c>
      <c r="AB1812" s="1" t="str">
        <f aca="false">TRIM(PROPER(C1812))</f>
        <v>Byju'S</v>
      </c>
      <c r="AC1812" s="1" t="str">
        <f aca="false">IF(O1812=0,"No Discount",IF(O1812&lt;=15,"Low (1-15%)",IF(O1812&lt;=30,"Medium (16-30%)","High (&gt;30%)")))</f>
        <v>No Discount</v>
      </c>
      <c r="AD1812" s="1" t="str">
        <f aca="false">IF(V1812&lt;0,"Loss Making",IF(V1812&lt;20,"Low Margin","Healthy Margin"))</f>
        <v>Healthy Margin</v>
      </c>
      <c r="AE1812" s="1" t="str">
        <f aca="false">TEXT(DATE(VALUE(RIGHT(B1812,4)),VALUE(MID(B1812,4,2)),VALUE(LEFT(B1812,2))),"MMM-YYYY")</f>
        <v>Oct-2024</v>
      </c>
      <c r="AF1812" s="1" t="n">
        <f aca="false">VALUE(RIGHT(B1812,4))</f>
        <v>2024</v>
      </c>
      <c r="AG1812" s="1" t="str">
        <f aca="false">CHOOSE(ROUNDUP(VALUE(MID(B1812,4,2))/3,0),"Q1","Q2","Q3","Q4")</f>
        <v>Q4</v>
      </c>
    </row>
    <row r="1813" customFormat="false" ht="15" hidden="false" customHeight="true" outlineLevel="0" collapsed="false">
      <c r="A1813" s="1" t="s">
        <v>2655</v>
      </c>
      <c r="B1813" s="1" t="s">
        <v>1845</v>
      </c>
      <c r="C1813" s="1" t="s">
        <v>204</v>
      </c>
      <c r="D1813" s="1" t="s">
        <v>29</v>
      </c>
      <c r="E1813" s="1" t="s">
        <v>30</v>
      </c>
      <c r="F1813" s="1" t="s">
        <v>205</v>
      </c>
      <c r="G1813" s="1" t="s">
        <v>56</v>
      </c>
      <c r="H1813" s="1" t="s">
        <v>69</v>
      </c>
      <c r="I1813" s="1" t="s">
        <v>58</v>
      </c>
      <c r="J1813" s="1" t="s">
        <v>35</v>
      </c>
      <c r="K1813" s="1" t="s">
        <v>71</v>
      </c>
      <c r="L1813" s="1" t="s">
        <v>136</v>
      </c>
      <c r="M1813" s="1" t="s">
        <v>50</v>
      </c>
      <c r="N1813" s="1" t="n">
        <v>7999</v>
      </c>
      <c r="O1813" s="1" t="n">
        <v>40</v>
      </c>
      <c r="P1813" s="1" t="n">
        <v>3199.6</v>
      </c>
      <c r="Q1813" s="1" t="n">
        <v>4799.4</v>
      </c>
      <c r="R1813" s="1" t="n">
        <v>863.89</v>
      </c>
      <c r="S1813" s="1" t="n">
        <v>3935.51</v>
      </c>
      <c r="T1813" s="1" t="n">
        <v>1994.46</v>
      </c>
      <c r="U1813" s="1" t="n">
        <v>1941.05</v>
      </c>
      <c r="V1813" s="1" t="n">
        <v>49.32</v>
      </c>
      <c r="W1813" s="1" t="s">
        <v>40</v>
      </c>
      <c r="Y1813" s="1" t="s">
        <v>40</v>
      </c>
      <c r="Z1813" s="1" t="n">
        <v>0</v>
      </c>
      <c r="AA1813" s="1" t="str">
        <f aca="false">TRIM(PROPER(F1813))</f>
        <v>New Delhi</v>
      </c>
      <c r="AB1813" s="1" t="str">
        <f aca="false">TRIM(PROPER(C1813))</f>
        <v>Byju'S</v>
      </c>
      <c r="AC1813" s="1" t="str">
        <f aca="false">IF(O1813=0,"No Discount",IF(O1813&lt;=15,"Low (1-15%)",IF(O1813&lt;=30,"Medium (16-30%)","High (&gt;30%)")))</f>
        <v>High (&gt;30%)</v>
      </c>
      <c r="AD1813" s="1" t="str">
        <f aca="false">IF(V1813&lt;0,"Loss Making",IF(V1813&lt;20,"Low Margin","Healthy Margin"))</f>
        <v>Healthy Margin</v>
      </c>
      <c r="AE1813" s="1" t="str">
        <f aca="false">TEXT(DATE(VALUE(RIGHT(B1813,4)),VALUE(MID(B1813,4,2)),VALUE(LEFT(B1813,2))),"MMM-YYYY")</f>
        <v>Apr-2024</v>
      </c>
      <c r="AF1813" s="1" t="n">
        <f aca="false">VALUE(RIGHT(B1813,4))</f>
        <v>2024</v>
      </c>
      <c r="AG1813" s="1" t="str">
        <f aca="false">CHOOSE(ROUNDUP(VALUE(MID(B1813,4,2))/3,0),"Q1","Q2","Q3","Q4")</f>
        <v>Q2</v>
      </c>
    </row>
    <row r="1814" customFormat="false" ht="15" hidden="false" customHeight="true" outlineLevel="0" collapsed="false">
      <c r="A1814" s="1" t="s">
        <v>2656</v>
      </c>
      <c r="B1814" s="1" t="s">
        <v>2657</v>
      </c>
      <c r="C1814" s="1" t="s">
        <v>88</v>
      </c>
      <c r="D1814" s="1" t="s">
        <v>29</v>
      </c>
      <c r="E1814" s="1" t="s">
        <v>182</v>
      </c>
      <c r="F1814" s="1" t="s">
        <v>67</v>
      </c>
      <c r="G1814" s="1" t="s">
        <v>68</v>
      </c>
      <c r="H1814" s="1" t="s">
        <v>69</v>
      </c>
      <c r="I1814" s="1" t="s">
        <v>34</v>
      </c>
      <c r="J1814" s="1" t="s">
        <v>131</v>
      </c>
      <c r="K1814" s="1" t="s">
        <v>48</v>
      </c>
      <c r="L1814" s="1" t="s">
        <v>85</v>
      </c>
      <c r="M1814" s="1" t="s">
        <v>38</v>
      </c>
      <c r="N1814" s="1" t="n">
        <v>34999</v>
      </c>
      <c r="O1814" s="1" t="n">
        <v>15</v>
      </c>
      <c r="P1814" s="1" t="n">
        <v>5249.85</v>
      </c>
      <c r="Q1814" s="1" t="n">
        <v>29749.15</v>
      </c>
      <c r="R1814" s="1" t="n">
        <v>5354.85</v>
      </c>
      <c r="S1814" s="1" t="n">
        <v>24394.3</v>
      </c>
      <c r="T1814" s="1" t="n">
        <v>8692.88</v>
      </c>
      <c r="U1814" s="1" t="n">
        <v>15701.42</v>
      </c>
      <c r="V1814" s="1" t="n">
        <v>64.37</v>
      </c>
      <c r="W1814" s="1" t="s">
        <v>39</v>
      </c>
      <c r="X1814" s="1" t="n">
        <v>4.5</v>
      </c>
      <c r="Y1814" s="1" t="s">
        <v>40</v>
      </c>
      <c r="Z1814" s="1" t="n">
        <v>0</v>
      </c>
      <c r="AA1814" s="1" t="str">
        <f aca="false">TRIM(PROPER(F1814))</f>
        <v>Ahmedabad</v>
      </c>
      <c r="AB1814" s="1" t="str">
        <f aca="false">TRIM(PROPER(C1814))</f>
        <v>Byju'S</v>
      </c>
      <c r="AC1814" s="1" t="str">
        <f aca="false">IF(O1814=0,"No Discount",IF(O1814&lt;=15,"Low (1-15%)",IF(O1814&lt;=30,"Medium (16-30%)","High (&gt;30%)")))</f>
        <v>Low (1-15%)</v>
      </c>
      <c r="AD1814" s="1" t="str">
        <f aca="false">IF(V1814&lt;0,"Loss Making",IF(V1814&lt;20,"Low Margin","Healthy Margin"))</f>
        <v>Healthy Margin</v>
      </c>
      <c r="AE1814" s="1" t="str">
        <f aca="false">TEXT(DATE(VALUE(RIGHT(B1814,4)),VALUE(MID(B1814,4,2)),VALUE(LEFT(B1814,2))),"MMM-YYYY")</f>
        <v>May-2024</v>
      </c>
      <c r="AF1814" s="1" t="n">
        <f aca="false">VALUE(RIGHT(B1814,4))</f>
        <v>2024</v>
      </c>
      <c r="AG1814" s="1" t="str">
        <f aca="false">CHOOSE(ROUNDUP(VALUE(MID(B1814,4,2))/3,0),"Q1","Q2","Q3","Q4")</f>
        <v>Q2</v>
      </c>
    </row>
    <row r="1815" customFormat="false" ht="15" hidden="false" customHeight="true" outlineLevel="0" collapsed="false">
      <c r="A1815" s="1" t="s">
        <v>2658</v>
      </c>
      <c r="B1815" s="1" t="s">
        <v>717</v>
      </c>
      <c r="C1815" s="1" t="s">
        <v>167</v>
      </c>
      <c r="D1815" s="1" t="s">
        <v>168</v>
      </c>
      <c r="E1815" s="1" t="s">
        <v>197</v>
      </c>
      <c r="F1815" s="1" t="s">
        <v>67</v>
      </c>
      <c r="G1815" s="1" t="s">
        <v>68</v>
      </c>
      <c r="H1815" s="1" t="s">
        <v>69</v>
      </c>
      <c r="I1815" s="1" t="s">
        <v>83</v>
      </c>
      <c r="J1815" s="1" t="s">
        <v>131</v>
      </c>
      <c r="K1815" s="1" t="s">
        <v>104</v>
      </c>
      <c r="L1815" s="1" t="s">
        <v>49</v>
      </c>
      <c r="M1815" s="1" t="s">
        <v>62</v>
      </c>
      <c r="N1815" s="1" t="n">
        <v>8499</v>
      </c>
      <c r="O1815" s="1" t="n">
        <v>40</v>
      </c>
      <c r="P1815" s="1" t="n">
        <v>3399.6</v>
      </c>
      <c r="Q1815" s="1" t="n">
        <v>5099.4</v>
      </c>
      <c r="R1815" s="1" t="n">
        <v>917.89</v>
      </c>
      <c r="S1815" s="1" t="n">
        <v>4181.51</v>
      </c>
      <c r="T1815" s="1" t="n">
        <v>2124.48</v>
      </c>
      <c r="U1815" s="1" t="n">
        <v>2057.03</v>
      </c>
      <c r="V1815" s="1" t="n">
        <v>49.19</v>
      </c>
      <c r="W1815" s="1" t="s">
        <v>40</v>
      </c>
      <c r="Y1815" s="1" t="s">
        <v>40</v>
      </c>
      <c r="Z1815" s="1" t="n">
        <v>1</v>
      </c>
      <c r="AA1815" s="1" t="str">
        <f aca="false">TRIM(PROPER(F1815))</f>
        <v>Ahmedabad</v>
      </c>
      <c r="AB1815" s="1" t="str">
        <f aca="false">TRIM(PROPER(C1815))</f>
        <v>Scaler</v>
      </c>
      <c r="AC1815" s="1" t="str">
        <f aca="false">IF(O1815=0,"No Discount",IF(O1815&lt;=15,"Low (1-15%)",IF(O1815&lt;=30,"Medium (16-30%)","High (&gt;30%)")))</f>
        <v>High (&gt;30%)</v>
      </c>
      <c r="AD1815" s="1" t="str">
        <f aca="false">IF(V1815&lt;0,"Loss Making",IF(V1815&lt;20,"Low Margin","Healthy Margin"))</f>
        <v>Healthy Margin</v>
      </c>
      <c r="AE1815" s="1" t="str">
        <f aca="false">TEXT(DATE(VALUE(RIGHT(B1815,4)),VALUE(MID(B1815,4,2)),VALUE(LEFT(B1815,2))),"MMM-YYYY")</f>
        <v>Sep-2024</v>
      </c>
      <c r="AF1815" s="1" t="n">
        <f aca="false">VALUE(RIGHT(B1815,4))</f>
        <v>2024</v>
      </c>
      <c r="AG1815" s="1" t="str">
        <f aca="false">CHOOSE(ROUNDUP(VALUE(MID(B1815,4,2))/3,0),"Q1","Q2","Q3","Q4")</f>
        <v>Q3</v>
      </c>
    </row>
    <row r="1816" customFormat="false" ht="15" hidden="false" customHeight="true" outlineLevel="0" collapsed="false">
      <c r="A1816" s="1" t="s">
        <v>2659</v>
      </c>
      <c r="B1816" s="1" t="s">
        <v>1196</v>
      </c>
      <c r="C1816" s="1" t="s">
        <v>128</v>
      </c>
      <c r="D1816" s="1" t="s">
        <v>123</v>
      </c>
      <c r="E1816" s="1" t="s">
        <v>233</v>
      </c>
      <c r="F1816" s="1" t="s">
        <v>55</v>
      </c>
      <c r="G1816" s="1" t="s">
        <v>56</v>
      </c>
      <c r="H1816" s="1" t="s">
        <v>57</v>
      </c>
      <c r="I1816" s="1" t="s">
        <v>83</v>
      </c>
      <c r="J1816" s="1" t="s">
        <v>77</v>
      </c>
      <c r="K1816" s="1" t="s">
        <v>48</v>
      </c>
      <c r="L1816" s="1" t="s">
        <v>136</v>
      </c>
      <c r="M1816" s="1" t="s">
        <v>38</v>
      </c>
      <c r="N1816" s="1" t="n">
        <v>8999</v>
      </c>
      <c r="O1816" s="1" t="n">
        <v>10</v>
      </c>
      <c r="P1816" s="1" t="n">
        <v>899.9</v>
      </c>
      <c r="Q1816" s="1" t="n">
        <v>8099.1</v>
      </c>
      <c r="R1816" s="1" t="n">
        <v>1457.84</v>
      </c>
      <c r="S1816" s="1" t="n">
        <v>6641.26</v>
      </c>
      <c r="T1816" s="1" t="n">
        <v>3392.81</v>
      </c>
      <c r="U1816" s="1" t="n">
        <v>3248.45</v>
      </c>
      <c r="V1816" s="1" t="n">
        <v>48.91</v>
      </c>
      <c r="W1816" s="1" t="s">
        <v>39</v>
      </c>
      <c r="X1816" s="1" t="n">
        <v>3.6</v>
      </c>
      <c r="Y1816" s="1" t="s">
        <v>39</v>
      </c>
      <c r="Z1816" s="1" t="n">
        <v>0</v>
      </c>
      <c r="AA1816" s="1" t="str">
        <f aca="false">TRIM(PROPER(F1816))</f>
        <v>Ghaziabad</v>
      </c>
      <c r="AB1816" s="1" t="str">
        <f aca="false">TRIM(PROPER(C1816))</f>
        <v>Great Learning</v>
      </c>
      <c r="AC1816" s="1" t="str">
        <f aca="false">IF(O1816=0,"No Discount",IF(O1816&lt;=15,"Low (1-15%)",IF(O1816&lt;=30,"Medium (16-30%)","High (&gt;30%)")))</f>
        <v>Low (1-15%)</v>
      </c>
      <c r="AD1816" s="1" t="str">
        <f aca="false">IF(V1816&lt;0,"Loss Making",IF(V1816&lt;20,"Low Margin","Healthy Margin"))</f>
        <v>Healthy Margin</v>
      </c>
      <c r="AE1816" s="1" t="str">
        <f aca="false">TEXT(DATE(VALUE(RIGHT(B1816,4)),VALUE(MID(B1816,4,2)),VALUE(LEFT(B1816,2))),"MMM-YYYY")</f>
        <v>Jun-2024</v>
      </c>
      <c r="AF1816" s="1" t="n">
        <f aca="false">VALUE(RIGHT(B1816,4))</f>
        <v>2024</v>
      </c>
      <c r="AG1816" s="1" t="str">
        <f aca="false">CHOOSE(ROUNDUP(VALUE(MID(B1816,4,2))/3,0),"Q1","Q2","Q3","Q4")</f>
        <v>Q2</v>
      </c>
    </row>
    <row r="1817" customFormat="false" ht="15" hidden="false" customHeight="true" outlineLevel="0" collapsed="false">
      <c r="A1817" s="1" t="s">
        <v>2660</v>
      </c>
      <c r="B1817" s="1" t="s">
        <v>849</v>
      </c>
      <c r="C1817" s="1" t="s">
        <v>43</v>
      </c>
      <c r="D1817" s="1" t="s">
        <v>29</v>
      </c>
      <c r="E1817" s="1" t="s">
        <v>305</v>
      </c>
      <c r="F1817" s="1" t="s">
        <v>67</v>
      </c>
      <c r="G1817" s="1" t="s">
        <v>68</v>
      </c>
      <c r="H1817" s="1" t="s">
        <v>69</v>
      </c>
      <c r="I1817" s="1" t="s">
        <v>83</v>
      </c>
      <c r="J1817" s="1" t="s">
        <v>59</v>
      </c>
      <c r="K1817" s="1" t="s">
        <v>48</v>
      </c>
      <c r="L1817" s="1" t="s">
        <v>136</v>
      </c>
      <c r="M1817" s="1" t="s">
        <v>50</v>
      </c>
      <c r="N1817" s="1" t="n">
        <v>24999</v>
      </c>
      <c r="O1817" s="1" t="n">
        <v>5</v>
      </c>
      <c r="P1817" s="1" t="n">
        <v>1249.95</v>
      </c>
      <c r="Q1817" s="1" t="n">
        <v>23749.05</v>
      </c>
      <c r="R1817" s="1" t="n">
        <v>4274.83</v>
      </c>
      <c r="S1817" s="1" t="n">
        <v>19474.22</v>
      </c>
      <c r="T1817" s="1" t="n">
        <v>8309.28</v>
      </c>
      <c r="U1817" s="1" t="n">
        <v>11164.94</v>
      </c>
      <c r="V1817" s="1" t="n">
        <v>57.33</v>
      </c>
      <c r="W1817" s="1" t="s">
        <v>39</v>
      </c>
      <c r="X1817" s="1" t="n">
        <v>3.5</v>
      </c>
      <c r="Y1817" s="1" t="s">
        <v>40</v>
      </c>
      <c r="Z1817" s="1" t="n">
        <v>1</v>
      </c>
      <c r="AA1817" s="1" t="str">
        <f aca="false">TRIM(PROPER(F1817))</f>
        <v>Ahmedabad</v>
      </c>
      <c r="AB1817" s="1" t="str">
        <f aca="false">TRIM(PROPER(C1817))</f>
        <v>Meritnation</v>
      </c>
      <c r="AC1817" s="1" t="str">
        <f aca="false">IF(O1817=0,"No Discount",IF(O1817&lt;=15,"Low (1-15%)",IF(O1817&lt;=30,"Medium (16-30%)","High (&gt;30%)")))</f>
        <v>Low (1-15%)</v>
      </c>
      <c r="AD1817" s="1" t="str">
        <f aca="false">IF(V1817&lt;0,"Loss Making",IF(V1817&lt;20,"Low Margin","Healthy Margin"))</f>
        <v>Healthy Margin</v>
      </c>
      <c r="AE1817" s="1" t="str">
        <f aca="false">TEXT(DATE(VALUE(RIGHT(B1817,4)),VALUE(MID(B1817,4,2)),VALUE(LEFT(B1817,2))),"MMM-YYYY")</f>
        <v>Apr-2024</v>
      </c>
      <c r="AF1817" s="1" t="n">
        <f aca="false">VALUE(RIGHT(B1817,4))</f>
        <v>2024</v>
      </c>
      <c r="AG1817" s="1" t="str">
        <f aca="false">CHOOSE(ROUNDUP(VALUE(MID(B1817,4,2))/3,0),"Q1","Q2","Q3","Q4")</f>
        <v>Q2</v>
      </c>
    </row>
    <row r="1818" customFormat="false" ht="15" hidden="false" customHeight="true" outlineLevel="0" collapsed="false">
      <c r="A1818" s="1" t="s">
        <v>2661</v>
      </c>
      <c r="B1818" s="1" t="s">
        <v>1719</v>
      </c>
      <c r="C1818" s="1" t="s">
        <v>100</v>
      </c>
      <c r="D1818" s="1" t="s">
        <v>123</v>
      </c>
      <c r="E1818" s="1" t="s">
        <v>147</v>
      </c>
      <c r="F1818" s="1" t="s">
        <v>55</v>
      </c>
      <c r="G1818" s="1" t="s">
        <v>56</v>
      </c>
      <c r="H1818" s="1" t="s">
        <v>57</v>
      </c>
      <c r="I1818" s="1" t="s">
        <v>58</v>
      </c>
      <c r="J1818" s="1" t="s">
        <v>77</v>
      </c>
      <c r="K1818" s="1" t="s">
        <v>84</v>
      </c>
      <c r="L1818" s="1" t="s">
        <v>113</v>
      </c>
      <c r="M1818" s="1" t="s">
        <v>38</v>
      </c>
      <c r="N1818" s="1" t="n">
        <v>6999</v>
      </c>
      <c r="O1818" s="1" t="n">
        <v>0</v>
      </c>
      <c r="P1818" s="1" t="n">
        <v>0</v>
      </c>
      <c r="Q1818" s="1" t="n">
        <v>6999</v>
      </c>
      <c r="R1818" s="1" t="n">
        <v>1259.82</v>
      </c>
      <c r="S1818" s="1" t="n">
        <v>5739.18</v>
      </c>
      <c r="T1818" s="1" t="n">
        <v>2285.99</v>
      </c>
      <c r="U1818" s="1" t="n">
        <v>3453.19</v>
      </c>
      <c r="V1818" s="1" t="n">
        <v>60.17</v>
      </c>
      <c r="W1818" s="1" t="s">
        <v>40</v>
      </c>
      <c r="Y1818" s="1" t="s">
        <v>40</v>
      </c>
      <c r="Z1818" s="1" t="n">
        <v>1</v>
      </c>
      <c r="AA1818" s="1" t="str">
        <f aca="false">TRIM(PROPER(F1818))</f>
        <v>Ghaziabad</v>
      </c>
      <c r="AB1818" s="1" t="str">
        <f aca="false">TRIM(PROPER(C1818))</f>
        <v>Physics Wallah</v>
      </c>
      <c r="AC1818" s="1" t="str">
        <f aca="false">IF(O1818=0,"No Discount",IF(O1818&lt;=15,"Low (1-15%)",IF(O1818&lt;=30,"Medium (16-30%)","High (&gt;30%)")))</f>
        <v>No Discount</v>
      </c>
      <c r="AD1818" s="1" t="str">
        <f aca="false">IF(V1818&lt;0,"Loss Making",IF(V1818&lt;20,"Low Margin","Healthy Margin"))</f>
        <v>Healthy Margin</v>
      </c>
      <c r="AE1818" s="1" t="str">
        <f aca="false">TEXT(DATE(VALUE(RIGHT(B1818,4)),VALUE(MID(B1818,4,2)),VALUE(LEFT(B1818,2))),"MMM-YYYY")</f>
        <v>Jan-2024</v>
      </c>
      <c r="AF1818" s="1" t="n">
        <f aca="false">VALUE(RIGHT(B1818,4))</f>
        <v>2024</v>
      </c>
      <c r="AG1818" s="1" t="str">
        <f aca="false">CHOOSE(ROUNDUP(VALUE(MID(B1818,4,2))/3,0),"Q1","Q2","Q3","Q4")</f>
        <v>Q1</v>
      </c>
    </row>
    <row r="1819" customFormat="false" ht="15" hidden="false" customHeight="true" outlineLevel="0" collapsed="false">
      <c r="A1819" s="1" t="s">
        <v>2662</v>
      </c>
      <c r="B1819" s="1" t="s">
        <v>2033</v>
      </c>
      <c r="C1819" s="1" t="s">
        <v>28</v>
      </c>
      <c r="D1819" s="1" t="s">
        <v>143</v>
      </c>
      <c r="E1819" s="1" t="s">
        <v>243</v>
      </c>
      <c r="F1819" s="1" t="s">
        <v>31</v>
      </c>
      <c r="G1819" s="1" t="s">
        <v>32</v>
      </c>
      <c r="H1819" s="1" t="s">
        <v>33</v>
      </c>
      <c r="I1819" s="1" t="s">
        <v>58</v>
      </c>
      <c r="J1819" s="1" t="s">
        <v>77</v>
      </c>
      <c r="K1819" s="1" t="s">
        <v>84</v>
      </c>
      <c r="L1819" s="1" t="s">
        <v>37</v>
      </c>
      <c r="M1819" s="1" t="s">
        <v>38</v>
      </c>
      <c r="N1819" s="1" t="n">
        <v>22999</v>
      </c>
      <c r="O1819" s="1" t="n">
        <v>0</v>
      </c>
      <c r="P1819" s="1" t="n">
        <v>0</v>
      </c>
      <c r="Q1819" s="1" t="n">
        <v>22999</v>
      </c>
      <c r="R1819" s="1" t="n">
        <v>4139.82</v>
      </c>
      <c r="S1819" s="1" t="n">
        <v>18859.18</v>
      </c>
      <c r="T1819" s="1" t="n">
        <v>8787.93</v>
      </c>
      <c r="U1819" s="1" t="n">
        <v>10071.25</v>
      </c>
      <c r="V1819" s="1" t="n">
        <v>53.4</v>
      </c>
      <c r="W1819" s="1" t="s">
        <v>39</v>
      </c>
      <c r="X1819" s="1" t="n">
        <v>3.8</v>
      </c>
      <c r="Y1819" s="1" t="s">
        <v>40</v>
      </c>
      <c r="Z1819" s="1" t="n">
        <v>0</v>
      </c>
      <c r="AA1819" s="1" t="str">
        <f aca="false">TRIM(PROPER(F1819))</f>
        <v>Jodhpur</v>
      </c>
      <c r="AB1819" s="1" t="str">
        <f aca="false">TRIM(PROPER(C1819))</f>
        <v>Embibe</v>
      </c>
      <c r="AC1819" s="1" t="str">
        <f aca="false">IF(O1819=0,"No Discount",IF(O1819&lt;=15,"Low (1-15%)",IF(O1819&lt;=30,"Medium (16-30%)","High (&gt;30%)")))</f>
        <v>No Discount</v>
      </c>
      <c r="AD1819" s="1" t="str">
        <f aca="false">IF(V1819&lt;0,"Loss Making",IF(V1819&lt;20,"Low Margin","Healthy Margin"))</f>
        <v>Healthy Margin</v>
      </c>
      <c r="AE1819" s="1" t="str">
        <f aca="false">TEXT(DATE(VALUE(RIGHT(B1819,4)),VALUE(MID(B1819,4,2)),VALUE(LEFT(B1819,2))),"MMM-YYYY")</f>
        <v>Jul-2023</v>
      </c>
      <c r="AF1819" s="1" t="n">
        <f aca="false">VALUE(RIGHT(B1819,4))</f>
        <v>2023</v>
      </c>
      <c r="AG1819" s="1" t="str">
        <f aca="false">CHOOSE(ROUNDUP(VALUE(MID(B1819,4,2))/3,0),"Q1","Q2","Q3","Q4")</f>
        <v>Q3</v>
      </c>
    </row>
    <row r="1820" customFormat="false" ht="15" hidden="false" customHeight="true" outlineLevel="0" collapsed="false">
      <c r="A1820" s="1" t="s">
        <v>2663</v>
      </c>
      <c r="B1820" s="1" t="s">
        <v>232</v>
      </c>
      <c r="C1820" s="1" t="s">
        <v>128</v>
      </c>
      <c r="D1820" s="1" t="s">
        <v>94</v>
      </c>
      <c r="E1820" s="1" t="s">
        <v>135</v>
      </c>
      <c r="F1820" s="1" t="s">
        <v>244</v>
      </c>
      <c r="G1820" s="1" t="s">
        <v>97</v>
      </c>
      <c r="H1820" s="1" t="s">
        <v>57</v>
      </c>
      <c r="I1820" s="1" t="s">
        <v>58</v>
      </c>
      <c r="J1820" s="1" t="s">
        <v>59</v>
      </c>
      <c r="K1820" s="1" t="s">
        <v>84</v>
      </c>
      <c r="L1820" s="1" t="s">
        <v>49</v>
      </c>
      <c r="M1820" s="1" t="s">
        <v>50</v>
      </c>
      <c r="N1820" s="1" t="n">
        <v>9999</v>
      </c>
      <c r="O1820" s="1" t="n">
        <v>30</v>
      </c>
      <c r="P1820" s="1" t="n">
        <v>2999.7</v>
      </c>
      <c r="Q1820" s="1" t="n">
        <v>6999.3</v>
      </c>
      <c r="R1820" s="1" t="n">
        <v>1259.87</v>
      </c>
      <c r="S1820" s="1" t="n">
        <v>5739.43</v>
      </c>
      <c r="T1820" s="1" t="n">
        <v>2985.92</v>
      </c>
      <c r="U1820" s="1" t="n">
        <v>2753.51</v>
      </c>
      <c r="V1820" s="1" t="n">
        <v>47.98</v>
      </c>
      <c r="W1820" s="1" t="s">
        <v>40</v>
      </c>
      <c r="Y1820" s="1" t="s">
        <v>40</v>
      </c>
      <c r="Z1820" s="1" t="n">
        <v>0</v>
      </c>
      <c r="AA1820" s="1" t="str">
        <f aca="false">TRIM(PROPER(F1820))</f>
        <v>Nagpur</v>
      </c>
      <c r="AB1820" s="1" t="str">
        <f aca="false">TRIM(PROPER(C1820))</f>
        <v>Great Learning</v>
      </c>
      <c r="AC1820" s="1" t="str">
        <f aca="false">IF(O1820=0,"No Discount",IF(O1820&lt;=15,"Low (1-15%)",IF(O1820&lt;=30,"Medium (16-30%)","High (&gt;30%)")))</f>
        <v>Medium (16-30%)</v>
      </c>
      <c r="AD1820" s="1" t="str">
        <f aca="false">IF(V1820&lt;0,"Loss Making",IF(V1820&lt;20,"Low Margin","Healthy Margin"))</f>
        <v>Healthy Margin</v>
      </c>
      <c r="AE1820" s="1" t="str">
        <f aca="false">TEXT(DATE(VALUE(RIGHT(B1820,4)),VALUE(MID(B1820,4,2)),VALUE(LEFT(B1820,2))),"MMM-YYYY")</f>
        <v>Sep-2024</v>
      </c>
      <c r="AF1820" s="1" t="n">
        <f aca="false">VALUE(RIGHT(B1820,4))</f>
        <v>2024</v>
      </c>
      <c r="AG1820" s="1" t="str">
        <f aca="false">CHOOSE(ROUNDUP(VALUE(MID(B1820,4,2))/3,0),"Q1","Q2","Q3","Q4")</f>
        <v>Q3</v>
      </c>
    </row>
    <row r="1821" customFormat="false" ht="15" hidden="false" customHeight="true" outlineLevel="0" collapsed="false">
      <c r="A1821" s="1" t="s">
        <v>2664</v>
      </c>
      <c r="B1821" s="1" t="s">
        <v>1721</v>
      </c>
      <c r="C1821" s="1" t="s">
        <v>93</v>
      </c>
      <c r="D1821" s="1" t="s">
        <v>53</v>
      </c>
      <c r="E1821" s="1" t="s">
        <v>116</v>
      </c>
      <c r="F1821" s="1" t="s">
        <v>125</v>
      </c>
      <c r="G1821" s="1" t="s">
        <v>108</v>
      </c>
      <c r="H1821" s="1" t="s">
        <v>69</v>
      </c>
      <c r="I1821" s="1" t="s">
        <v>34</v>
      </c>
      <c r="J1821" s="1" t="s">
        <v>59</v>
      </c>
      <c r="K1821" s="1" t="s">
        <v>48</v>
      </c>
      <c r="L1821" s="1" t="s">
        <v>136</v>
      </c>
      <c r="M1821" s="1" t="s">
        <v>62</v>
      </c>
      <c r="N1821" s="1" t="n">
        <v>9999</v>
      </c>
      <c r="O1821" s="1" t="n">
        <v>25</v>
      </c>
      <c r="P1821" s="1" t="n">
        <v>2499.75</v>
      </c>
      <c r="Q1821" s="1" t="n">
        <v>7499.25</v>
      </c>
      <c r="R1821" s="1" t="n">
        <v>1349.87</v>
      </c>
      <c r="S1821" s="1" t="n">
        <v>6149.38</v>
      </c>
      <c r="T1821" s="1" t="n">
        <v>2693.13</v>
      </c>
      <c r="U1821" s="1" t="n">
        <v>3456.25</v>
      </c>
      <c r="V1821" s="1" t="n">
        <v>56.2</v>
      </c>
      <c r="W1821" s="1" t="s">
        <v>39</v>
      </c>
      <c r="X1821" s="1" t="n">
        <v>4.2</v>
      </c>
      <c r="Y1821" s="1" t="s">
        <v>40</v>
      </c>
      <c r="Z1821" s="1" t="n">
        <v>0</v>
      </c>
      <c r="AA1821" s="1" t="str">
        <f aca="false">TRIM(PROPER(F1821))</f>
        <v>Chennai</v>
      </c>
      <c r="AB1821" s="1" t="str">
        <f aca="false">TRIM(PROPER(C1821))</f>
        <v>Upgrad</v>
      </c>
      <c r="AC1821" s="1" t="str">
        <f aca="false">IF(O1821=0,"No Discount",IF(O1821&lt;=15,"Low (1-15%)",IF(O1821&lt;=30,"Medium (16-30%)","High (&gt;30%)")))</f>
        <v>Medium (16-30%)</v>
      </c>
      <c r="AD1821" s="1" t="str">
        <f aca="false">IF(V1821&lt;0,"Loss Making",IF(V1821&lt;20,"Low Margin","Healthy Margin"))</f>
        <v>Healthy Margin</v>
      </c>
      <c r="AE1821" s="1" t="str">
        <f aca="false">TEXT(DATE(VALUE(RIGHT(B1821,4)),VALUE(MID(B1821,4,2)),VALUE(LEFT(B1821,2))),"MMM-YYYY")</f>
        <v>Apr-2024</v>
      </c>
      <c r="AF1821" s="1" t="n">
        <f aca="false">VALUE(RIGHT(B1821,4))</f>
        <v>2024</v>
      </c>
      <c r="AG1821" s="1" t="str">
        <f aca="false">CHOOSE(ROUNDUP(VALUE(MID(B1821,4,2))/3,0),"Q1","Q2","Q3","Q4")</f>
        <v>Q2</v>
      </c>
    </row>
    <row r="1822" customFormat="false" ht="15" hidden="false" customHeight="true" outlineLevel="0" collapsed="false">
      <c r="A1822" s="1" t="s">
        <v>2665</v>
      </c>
      <c r="B1822" s="1" t="s">
        <v>2179</v>
      </c>
      <c r="C1822" s="1" t="s">
        <v>178</v>
      </c>
      <c r="D1822" s="1" t="s">
        <v>53</v>
      </c>
      <c r="E1822" s="1" t="s">
        <v>116</v>
      </c>
      <c r="F1822" s="1" t="s">
        <v>156</v>
      </c>
      <c r="G1822" s="1" t="s">
        <v>68</v>
      </c>
      <c r="H1822" s="1" t="s">
        <v>57</v>
      </c>
      <c r="I1822" s="1" t="s">
        <v>34</v>
      </c>
      <c r="J1822" s="1" t="s">
        <v>59</v>
      </c>
      <c r="K1822" s="1" t="s">
        <v>36</v>
      </c>
      <c r="L1822" s="1" t="s">
        <v>85</v>
      </c>
      <c r="M1822" s="1" t="s">
        <v>50</v>
      </c>
      <c r="N1822" s="1" t="n">
        <v>9999</v>
      </c>
      <c r="O1822" s="1" t="n">
        <v>25</v>
      </c>
      <c r="P1822" s="1" t="n">
        <v>2499.75</v>
      </c>
      <c r="Q1822" s="1" t="n">
        <v>7499.25</v>
      </c>
      <c r="R1822" s="1" t="n">
        <v>1349.87</v>
      </c>
      <c r="S1822" s="1" t="n">
        <v>6149.38</v>
      </c>
      <c r="T1822" s="1" t="n">
        <v>2313.25</v>
      </c>
      <c r="U1822" s="1" t="n">
        <v>3836.13</v>
      </c>
      <c r="V1822" s="1" t="n">
        <v>62.38</v>
      </c>
      <c r="W1822" s="1" t="s">
        <v>39</v>
      </c>
      <c r="X1822" s="1" t="n">
        <v>4.1</v>
      </c>
      <c r="Y1822" s="1" t="s">
        <v>40</v>
      </c>
      <c r="Z1822" s="1" t="n">
        <v>0</v>
      </c>
      <c r="AA1822" s="1" t="str">
        <f aca="false">TRIM(PROPER(F1822))</f>
        <v>Surat</v>
      </c>
      <c r="AB1822" s="1" t="str">
        <f aca="false">TRIM(PROPER(C1822))</f>
        <v>Leverage Edu</v>
      </c>
      <c r="AC1822" s="1" t="str">
        <f aca="false">IF(O1822=0,"No Discount",IF(O1822&lt;=15,"Low (1-15%)",IF(O1822&lt;=30,"Medium (16-30%)","High (&gt;30%)")))</f>
        <v>Medium (16-30%)</v>
      </c>
      <c r="AD1822" s="1" t="str">
        <f aca="false">IF(V1822&lt;0,"Loss Making",IF(V1822&lt;20,"Low Margin","Healthy Margin"))</f>
        <v>Healthy Margin</v>
      </c>
      <c r="AE1822" s="1" t="str">
        <f aca="false">TEXT(DATE(VALUE(RIGHT(B1822,4)),VALUE(MID(B1822,4,2)),VALUE(LEFT(B1822,2))),"MMM-YYYY")</f>
        <v>Feb-2024</v>
      </c>
      <c r="AF1822" s="1" t="n">
        <f aca="false">VALUE(RIGHT(B1822,4))</f>
        <v>2024</v>
      </c>
      <c r="AG1822" s="1" t="str">
        <f aca="false">CHOOSE(ROUNDUP(VALUE(MID(B1822,4,2))/3,0),"Q1","Q2","Q3","Q4")</f>
        <v>Q1</v>
      </c>
    </row>
    <row r="1823" customFormat="false" ht="15" hidden="false" customHeight="true" outlineLevel="0" collapsed="false">
      <c r="A1823" s="1" t="s">
        <v>2666</v>
      </c>
      <c r="B1823" s="1" t="s">
        <v>508</v>
      </c>
      <c r="C1823" s="1" t="s">
        <v>167</v>
      </c>
      <c r="D1823" s="1" t="s">
        <v>168</v>
      </c>
      <c r="E1823" s="1" t="s">
        <v>169</v>
      </c>
      <c r="F1823" s="1" t="s">
        <v>89</v>
      </c>
      <c r="G1823" s="1" t="s">
        <v>68</v>
      </c>
      <c r="H1823" s="1" t="s">
        <v>33</v>
      </c>
      <c r="I1823" s="1" t="s">
        <v>34</v>
      </c>
      <c r="J1823" s="1" t="s">
        <v>70</v>
      </c>
      <c r="K1823" s="1" t="s">
        <v>60</v>
      </c>
      <c r="L1823" s="1" t="s">
        <v>61</v>
      </c>
      <c r="M1823" s="1" t="s">
        <v>62</v>
      </c>
      <c r="N1823" s="1" t="n">
        <v>4999</v>
      </c>
      <c r="O1823" s="1" t="n">
        <v>40</v>
      </c>
      <c r="P1823" s="1" t="n">
        <v>1999.6</v>
      </c>
      <c r="Q1823" s="1" t="n">
        <v>2999.4</v>
      </c>
      <c r="R1823" s="1" t="n">
        <v>539.89</v>
      </c>
      <c r="S1823" s="1" t="n">
        <v>2459.51</v>
      </c>
      <c r="T1823" s="1" t="n">
        <v>1244.28</v>
      </c>
      <c r="U1823" s="1" t="n">
        <v>1215.23</v>
      </c>
      <c r="V1823" s="1" t="n">
        <v>49.41</v>
      </c>
      <c r="W1823" s="1" t="s">
        <v>40</v>
      </c>
      <c r="Y1823" s="1" t="s">
        <v>40</v>
      </c>
      <c r="Z1823" s="1" t="n">
        <v>2</v>
      </c>
      <c r="AA1823" s="1" t="str">
        <f aca="false">TRIM(PROPER(F1823))</f>
        <v>Vadodara</v>
      </c>
      <c r="AB1823" s="1" t="str">
        <f aca="false">TRIM(PROPER(C1823))</f>
        <v>Scaler</v>
      </c>
      <c r="AC1823" s="1" t="str">
        <f aca="false">IF(O1823=0,"No Discount",IF(O1823&lt;=15,"Low (1-15%)",IF(O1823&lt;=30,"Medium (16-30%)","High (&gt;30%)")))</f>
        <v>High (&gt;30%)</v>
      </c>
      <c r="AD1823" s="1" t="str">
        <f aca="false">IF(V1823&lt;0,"Loss Making",IF(V1823&lt;20,"Low Margin","Healthy Margin"))</f>
        <v>Healthy Margin</v>
      </c>
      <c r="AE1823" s="1" t="str">
        <f aca="false">TEXT(DATE(VALUE(RIGHT(B1823,4)),VALUE(MID(B1823,4,2)),VALUE(LEFT(B1823,2))),"MMM-YYYY")</f>
        <v>Oct-2024</v>
      </c>
      <c r="AF1823" s="1" t="n">
        <f aca="false">VALUE(RIGHT(B1823,4))</f>
        <v>2024</v>
      </c>
      <c r="AG1823" s="1" t="str">
        <f aca="false">CHOOSE(ROUNDUP(VALUE(MID(B1823,4,2))/3,0),"Q1","Q2","Q3","Q4")</f>
        <v>Q4</v>
      </c>
    </row>
    <row r="1824" customFormat="false" ht="15" hidden="false" customHeight="true" outlineLevel="0" collapsed="false">
      <c r="A1824" s="1" t="s">
        <v>2667</v>
      </c>
      <c r="B1824" s="1" t="s">
        <v>2509</v>
      </c>
      <c r="C1824" s="1" t="s">
        <v>167</v>
      </c>
      <c r="D1824" s="1" t="s">
        <v>80</v>
      </c>
      <c r="E1824" s="1" t="s">
        <v>193</v>
      </c>
      <c r="F1824" s="1" t="s">
        <v>187</v>
      </c>
      <c r="G1824" s="1" t="s">
        <v>97</v>
      </c>
      <c r="H1824" s="1" t="s">
        <v>69</v>
      </c>
      <c r="I1824" s="1" t="s">
        <v>83</v>
      </c>
      <c r="J1824" s="1" t="s">
        <v>77</v>
      </c>
      <c r="K1824" s="1" t="s">
        <v>48</v>
      </c>
      <c r="L1824" s="1" t="s">
        <v>85</v>
      </c>
      <c r="M1824" s="1" t="s">
        <v>38</v>
      </c>
      <c r="N1824" s="1" t="n">
        <v>8999</v>
      </c>
      <c r="O1824" s="1" t="n">
        <v>40</v>
      </c>
      <c r="P1824" s="1" t="n">
        <v>3599.6</v>
      </c>
      <c r="Q1824" s="1" t="n">
        <v>5399.4</v>
      </c>
      <c r="R1824" s="1" t="n">
        <v>971.89</v>
      </c>
      <c r="S1824" s="1" t="n">
        <v>4427.51</v>
      </c>
      <c r="T1824" s="1" t="n">
        <v>2110.43</v>
      </c>
      <c r="U1824" s="1" t="n">
        <v>2317.08</v>
      </c>
      <c r="V1824" s="1" t="n">
        <v>52.33</v>
      </c>
      <c r="W1824" s="1" t="s">
        <v>39</v>
      </c>
      <c r="X1824" s="1" t="n">
        <v>3.6</v>
      </c>
      <c r="Y1824" s="1" t="s">
        <v>40</v>
      </c>
      <c r="Z1824" s="1" t="n">
        <v>0</v>
      </c>
      <c r="AA1824" s="1" t="str">
        <f aca="false">TRIM(PROPER(F1824))</f>
        <v>Mumbai</v>
      </c>
      <c r="AB1824" s="1" t="str">
        <f aca="false">TRIM(PROPER(C1824))</f>
        <v>Scaler</v>
      </c>
      <c r="AC1824" s="1" t="str">
        <f aca="false">IF(O1824=0,"No Discount",IF(O1824&lt;=15,"Low (1-15%)",IF(O1824&lt;=30,"Medium (16-30%)","High (&gt;30%)")))</f>
        <v>High (&gt;30%)</v>
      </c>
      <c r="AD1824" s="1" t="str">
        <f aca="false">IF(V1824&lt;0,"Loss Making",IF(V1824&lt;20,"Low Margin","Healthy Margin"))</f>
        <v>Healthy Margin</v>
      </c>
      <c r="AE1824" s="1" t="str">
        <f aca="false">TEXT(DATE(VALUE(RIGHT(B1824,4)),VALUE(MID(B1824,4,2)),VALUE(LEFT(B1824,2))),"MMM-YYYY")</f>
        <v>Dec-2023</v>
      </c>
      <c r="AF1824" s="1" t="n">
        <f aca="false">VALUE(RIGHT(B1824,4))</f>
        <v>2023</v>
      </c>
      <c r="AG1824" s="1" t="str">
        <f aca="false">CHOOSE(ROUNDUP(VALUE(MID(B1824,4,2))/3,0),"Q1","Q2","Q3","Q4")</f>
        <v>Q4</v>
      </c>
    </row>
    <row r="1825" customFormat="false" ht="15" hidden="false" customHeight="true" outlineLevel="0" collapsed="false">
      <c r="A1825" s="1" t="s">
        <v>2668</v>
      </c>
      <c r="B1825" s="1" t="s">
        <v>450</v>
      </c>
      <c r="C1825" s="1" t="s">
        <v>167</v>
      </c>
      <c r="D1825" s="1" t="s">
        <v>94</v>
      </c>
      <c r="E1825" s="1" t="s">
        <v>135</v>
      </c>
      <c r="F1825" s="1" t="s">
        <v>125</v>
      </c>
      <c r="G1825" s="1" t="s">
        <v>108</v>
      </c>
      <c r="H1825" s="1" t="s">
        <v>69</v>
      </c>
      <c r="I1825" s="1" t="s">
        <v>34</v>
      </c>
      <c r="J1825" s="1" t="s">
        <v>59</v>
      </c>
      <c r="K1825" s="1" t="s">
        <v>104</v>
      </c>
      <c r="L1825" s="1" t="s">
        <v>61</v>
      </c>
      <c r="M1825" s="1" t="s">
        <v>50</v>
      </c>
      <c r="N1825" s="1" t="n">
        <v>9999</v>
      </c>
      <c r="O1825" s="1" t="n">
        <v>30</v>
      </c>
      <c r="P1825" s="1" t="n">
        <v>2999.7</v>
      </c>
      <c r="Q1825" s="1" t="n">
        <v>6999.3</v>
      </c>
      <c r="R1825" s="1" t="n">
        <v>1259.87</v>
      </c>
      <c r="S1825" s="1" t="n">
        <v>5739.43</v>
      </c>
      <c r="T1825" s="1" t="n">
        <v>2773.22</v>
      </c>
      <c r="U1825" s="1" t="n">
        <v>2966.21</v>
      </c>
      <c r="V1825" s="1" t="n">
        <v>51.68</v>
      </c>
      <c r="W1825" s="1" t="s">
        <v>39</v>
      </c>
      <c r="X1825" s="1" t="n">
        <v>4</v>
      </c>
      <c r="Y1825" s="1" t="s">
        <v>40</v>
      </c>
      <c r="Z1825" s="1" t="n">
        <v>0</v>
      </c>
      <c r="AA1825" s="1" t="str">
        <f aca="false">TRIM(PROPER(F1825))</f>
        <v>Chennai</v>
      </c>
      <c r="AB1825" s="1" t="str">
        <f aca="false">TRIM(PROPER(C1825))</f>
        <v>Scaler</v>
      </c>
      <c r="AC1825" s="1" t="str">
        <f aca="false">IF(O1825=0,"No Discount",IF(O1825&lt;=15,"Low (1-15%)",IF(O1825&lt;=30,"Medium (16-30%)","High (&gt;30%)")))</f>
        <v>Medium (16-30%)</v>
      </c>
      <c r="AD1825" s="1" t="str">
        <f aca="false">IF(V1825&lt;0,"Loss Making",IF(V1825&lt;20,"Low Margin","Healthy Margin"))</f>
        <v>Healthy Margin</v>
      </c>
      <c r="AE1825" s="1" t="str">
        <f aca="false">TEXT(DATE(VALUE(RIGHT(B1825,4)),VALUE(MID(B1825,4,2)),VALUE(LEFT(B1825,2))),"MMM-YYYY")</f>
        <v>Jul-2024</v>
      </c>
      <c r="AF1825" s="1" t="n">
        <f aca="false">VALUE(RIGHT(B1825,4))</f>
        <v>2024</v>
      </c>
      <c r="AG1825" s="1" t="str">
        <f aca="false">CHOOSE(ROUNDUP(VALUE(MID(B1825,4,2))/3,0),"Q1","Q2","Q3","Q4")</f>
        <v>Q3</v>
      </c>
    </row>
    <row r="1826" customFormat="false" ht="15" hidden="false" customHeight="true" outlineLevel="0" collapsed="false">
      <c r="A1826" s="1" t="s">
        <v>2669</v>
      </c>
      <c r="B1826" s="1" t="s">
        <v>2670</v>
      </c>
      <c r="C1826" s="1" t="s">
        <v>119</v>
      </c>
      <c r="D1826" s="1" t="s">
        <v>94</v>
      </c>
      <c r="E1826" s="1" t="s">
        <v>101</v>
      </c>
      <c r="F1826" s="1" t="s">
        <v>383</v>
      </c>
      <c r="G1826" s="1" t="s">
        <v>56</v>
      </c>
      <c r="H1826" s="1" t="s">
        <v>57</v>
      </c>
      <c r="I1826" s="1" t="s">
        <v>58</v>
      </c>
      <c r="J1826" s="1" t="s">
        <v>131</v>
      </c>
      <c r="K1826" s="1" t="s">
        <v>60</v>
      </c>
      <c r="L1826" s="1" t="s">
        <v>136</v>
      </c>
      <c r="M1826" s="1" t="s">
        <v>62</v>
      </c>
      <c r="N1826" s="1" t="n">
        <v>14999</v>
      </c>
      <c r="O1826" s="1" t="n">
        <v>0</v>
      </c>
      <c r="P1826" s="1" t="n">
        <v>0</v>
      </c>
      <c r="Q1826" s="1" t="n">
        <v>14999</v>
      </c>
      <c r="R1826" s="1" t="n">
        <v>2699.82</v>
      </c>
      <c r="S1826" s="1" t="n">
        <v>12299.18</v>
      </c>
      <c r="T1826" s="1" t="n">
        <v>5376.84</v>
      </c>
      <c r="U1826" s="1" t="n">
        <v>6922.34</v>
      </c>
      <c r="V1826" s="1" t="n">
        <v>56.28</v>
      </c>
      <c r="W1826" s="1" t="s">
        <v>39</v>
      </c>
      <c r="X1826" s="1" t="n">
        <v>3.9</v>
      </c>
      <c r="Y1826" s="1" t="s">
        <v>40</v>
      </c>
      <c r="Z1826" s="1" t="n">
        <v>0</v>
      </c>
      <c r="AA1826" s="1" t="str">
        <f aca="false">TRIM(PROPER(F1826))</f>
        <v>Ghaziabad</v>
      </c>
      <c r="AB1826" s="1" t="str">
        <f aca="false">TRIM(PROPER(C1826))</f>
        <v>Simplilearn</v>
      </c>
      <c r="AC1826" s="1" t="str">
        <f aca="false">IF(O1826=0,"No Discount",IF(O1826&lt;=15,"Low (1-15%)",IF(O1826&lt;=30,"Medium (16-30%)","High (&gt;30%)")))</f>
        <v>No Discount</v>
      </c>
      <c r="AD1826" s="1" t="str">
        <f aca="false">IF(V1826&lt;0,"Loss Making",IF(V1826&lt;20,"Low Margin","Healthy Margin"))</f>
        <v>Healthy Margin</v>
      </c>
      <c r="AE1826" s="1" t="str">
        <f aca="false">TEXT(DATE(VALUE(RIGHT(B1826,4)),VALUE(MID(B1826,4,2)),VALUE(LEFT(B1826,2))),"MMM-YYYY")</f>
        <v>Aug-2023</v>
      </c>
      <c r="AF1826" s="1" t="n">
        <f aca="false">VALUE(RIGHT(B1826,4))</f>
        <v>2023</v>
      </c>
      <c r="AG1826" s="1" t="str">
        <f aca="false">CHOOSE(ROUNDUP(VALUE(MID(B1826,4,2))/3,0),"Q1","Q2","Q3","Q4")</f>
        <v>Q3</v>
      </c>
    </row>
    <row r="1827" customFormat="false" ht="15" hidden="false" customHeight="true" outlineLevel="0" collapsed="false">
      <c r="A1827" s="1" t="s">
        <v>2671</v>
      </c>
      <c r="B1827" s="1" t="s">
        <v>401</v>
      </c>
      <c r="C1827" s="1" t="s">
        <v>167</v>
      </c>
      <c r="D1827" s="1" t="s">
        <v>53</v>
      </c>
      <c r="E1827" s="1" t="s">
        <v>116</v>
      </c>
      <c r="F1827" s="1" t="s">
        <v>96</v>
      </c>
      <c r="G1827" s="1" t="s">
        <v>97</v>
      </c>
      <c r="H1827" s="1" t="s">
        <v>69</v>
      </c>
      <c r="I1827" s="1" t="s">
        <v>34</v>
      </c>
      <c r="J1827" s="1" t="s">
        <v>131</v>
      </c>
      <c r="K1827" s="1" t="s">
        <v>48</v>
      </c>
      <c r="L1827" s="1" t="s">
        <v>49</v>
      </c>
      <c r="M1827" s="1" t="s">
        <v>50</v>
      </c>
      <c r="N1827" s="1" t="n">
        <v>9999</v>
      </c>
      <c r="O1827" s="1" t="n">
        <v>30</v>
      </c>
      <c r="P1827" s="1" t="n">
        <v>2999.7</v>
      </c>
      <c r="Q1827" s="1" t="n">
        <v>6999.3</v>
      </c>
      <c r="R1827" s="1" t="n">
        <v>1259.87</v>
      </c>
      <c r="S1827" s="1" t="n">
        <v>5739.43</v>
      </c>
      <c r="T1827" s="1" t="n">
        <v>3012.46</v>
      </c>
      <c r="U1827" s="1" t="n">
        <v>2726.97</v>
      </c>
      <c r="V1827" s="1" t="n">
        <v>47.51</v>
      </c>
      <c r="W1827" s="1" t="s">
        <v>39</v>
      </c>
      <c r="X1827" s="1" t="n">
        <v>3.4</v>
      </c>
      <c r="Y1827" s="1" t="s">
        <v>40</v>
      </c>
      <c r="Z1827" s="1" t="n">
        <v>0</v>
      </c>
      <c r="AA1827" s="1" t="str">
        <f aca="false">TRIM(PROPER(F1827))</f>
        <v>Pune</v>
      </c>
      <c r="AB1827" s="1" t="str">
        <f aca="false">TRIM(PROPER(C1827))</f>
        <v>Scaler</v>
      </c>
      <c r="AC1827" s="1" t="str">
        <f aca="false">IF(O1827=0,"No Discount",IF(O1827&lt;=15,"Low (1-15%)",IF(O1827&lt;=30,"Medium (16-30%)","High (&gt;30%)")))</f>
        <v>Medium (16-30%)</v>
      </c>
      <c r="AD1827" s="1" t="str">
        <f aca="false">IF(V1827&lt;0,"Loss Making",IF(V1827&lt;20,"Low Margin","Healthy Margin"))</f>
        <v>Healthy Margin</v>
      </c>
      <c r="AE1827" s="1" t="str">
        <f aca="false">TEXT(DATE(VALUE(RIGHT(B1827,4)),VALUE(MID(B1827,4,2)),VALUE(LEFT(B1827,2))),"MMM-YYYY")</f>
        <v>May-2024</v>
      </c>
      <c r="AF1827" s="1" t="n">
        <f aca="false">VALUE(RIGHT(B1827,4))</f>
        <v>2024</v>
      </c>
      <c r="AG1827" s="1" t="str">
        <f aca="false">CHOOSE(ROUNDUP(VALUE(MID(B1827,4,2))/3,0),"Q1","Q2","Q3","Q4")</f>
        <v>Q2</v>
      </c>
    </row>
    <row r="1828" customFormat="false" ht="15" hidden="false" customHeight="true" outlineLevel="0" collapsed="false">
      <c r="A1828" s="1" t="s">
        <v>2672</v>
      </c>
      <c r="B1828" s="1" t="s">
        <v>373</v>
      </c>
      <c r="C1828" s="1" t="s">
        <v>178</v>
      </c>
      <c r="D1828" s="1" t="s">
        <v>29</v>
      </c>
      <c r="E1828" s="1" t="s">
        <v>30</v>
      </c>
      <c r="F1828" s="1" t="s">
        <v>2673</v>
      </c>
      <c r="G1828" s="1" t="s">
        <v>97</v>
      </c>
      <c r="H1828" s="1" t="s">
        <v>57</v>
      </c>
      <c r="I1828" s="1" t="s">
        <v>58</v>
      </c>
      <c r="J1828" s="1" t="s">
        <v>70</v>
      </c>
      <c r="K1828" s="1" t="s">
        <v>71</v>
      </c>
      <c r="L1828" s="1" t="s">
        <v>49</v>
      </c>
      <c r="M1828" s="1" t="s">
        <v>38</v>
      </c>
      <c r="N1828" s="1" t="n">
        <v>7999</v>
      </c>
      <c r="O1828" s="1" t="n">
        <v>10</v>
      </c>
      <c r="P1828" s="1" t="n">
        <v>799.9</v>
      </c>
      <c r="Q1828" s="1" t="n">
        <v>7199.1</v>
      </c>
      <c r="R1828" s="1" t="n">
        <v>1295.84</v>
      </c>
      <c r="S1828" s="1" t="n">
        <v>5903.26</v>
      </c>
      <c r="T1828" s="1" t="n">
        <v>2617.05</v>
      </c>
      <c r="U1828" s="1" t="n">
        <v>3286.21</v>
      </c>
      <c r="V1828" s="1" t="n">
        <v>55.67</v>
      </c>
      <c r="W1828" s="1" t="s">
        <v>39</v>
      </c>
      <c r="X1828" s="1" t="n">
        <v>4</v>
      </c>
      <c r="Y1828" s="1" t="s">
        <v>40</v>
      </c>
      <c r="Z1828" s="1" t="n">
        <v>0</v>
      </c>
      <c r="AA1828" s="1" t="str">
        <f aca="false">TRIM(PROPER(F1828))</f>
        <v>Nagpur</v>
      </c>
      <c r="AB1828" s="1" t="str">
        <f aca="false">TRIM(PROPER(C1828))</f>
        <v>Leverage Edu</v>
      </c>
      <c r="AC1828" s="1" t="str">
        <f aca="false">IF(O1828=0,"No Discount",IF(O1828&lt;=15,"Low (1-15%)",IF(O1828&lt;=30,"Medium (16-30%)","High (&gt;30%)")))</f>
        <v>Low (1-15%)</v>
      </c>
      <c r="AD1828" s="1" t="str">
        <f aca="false">IF(V1828&lt;0,"Loss Making",IF(V1828&lt;20,"Low Margin","Healthy Margin"))</f>
        <v>Healthy Margin</v>
      </c>
      <c r="AE1828" s="1" t="str">
        <f aca="false">TEXT(DATE(VALUE(RIGHT(B1828,4)),VALUE(MID(B1828,4,2)),VALUE(LEFT(B1828,2))),"MMM-YYYY")</f>
        <v>Oct-2024</v>
      </c>
      <c r="AF1828" s="1" t="n">
        <f aca="false">VALUE(RIGHT(B1828,4))</f>
        <v>2024</v>
      </c>
      <c r="AG1828" s="1" t="str">
        <f aca="false">CHOOSE(ROUNDUP(VALUE(MID(B1828,4,2))/3,0),"Q1","Q2","Q3","Q4")</f>
        <v>Q4</v>
      </c>
    </row>
    <row r="1829" customFormat="false" ht="15" hidden="false" customHeight="true" outlineLevel="0" collapsed="false">
      <c r="A1829" s="1" t="s">
        <v>2674</v>
      </c>
      <c r="B1829" s="1" t="s">
        <v>1210</v>
      </c>
      <c r="C1829" s="1" t="s">
        <v>28</v>
      </c>
      <c r="D1829" s="1" t="s">
        <v>94</v>
      </c>
      <c r="E1829" s="1" t="s">
        <v>95</v>
      </c>
      <c r="F1829" s="1" t="s">
        <v>120</v>
      </c>
      <c r="G1829" s="1" t="s">
        <v>47</v>
      </c>
      <c r="H1829" s="1" t="s">
        <v>57</v>
      </c>
      <c r="I1829" s="1" t="s">
        <v>34</v>
      </c>
      <c r="J1829" s="1" t="s">
        <v>70</v>
      </c>
      <c r="K1829" s="1" t="s">
        <v>71</v>
      </c>
      <c r="L1829" s="1" t="s">
        <v>61</v>
      </c>
      <c r="M1829" s="1" t="s">
        <v>38</v>
      </c>
      <c r="N1829" s="1" t="n">
        <v>6999</v>
      </c>
      <c r="O1829" s="1" t="n">
        <v>30</v>
      </c>
      <c r="P1829" s="1" t="n">
        <v>2099.7</v>
      </c>
      <c r="Q1829" s="1" t="n">
        <v>4899.3</v>
      </c>
      <c r="R1829" s="1" t="n">
        <v>881.87</v>
      </c>
      <c r="S1829" s="1" t="n">
        <v>4017.43</v>
      </c>
      <c r="T1829" s="1" t="n">
        <v>1683.95</v>
      </c>
      <c r="U1829" s="1" t="n">
        <v>2333.48</v>
      </c>
      <c r="V1829" s="1" t="n">
        <v>58.08</v>
      </c>
      <c r="W1829" s="1" t="s">
        <v>40</v>
      </c>
      <c r="Y1829" s="1" t="s">
        <v>39</v>
      </c>
      <c r="Z1829" s="1" t="n">
        <v>1</v>
      </c>
      <c r="AA1829" s="1" t="str">
        <f aca="false">TRIM(PROPER(F1829))</f>
        <v>Mysuru</v>
      </c>
      <c r="AB1829" s="1" t="str">
        <f aca="false">TRIM(PROPER(C1829))</f>
        <v>Embibe</v>
      </c>
      <c r="AC1829" s="1" t="str">
        <f aca="false">IF(O1829=0,"No Discount",IF(O1829&lt;=15,"Low (1-15%)",IF(O1829&lt;=30,"Medium (16-30%)","High (&gt;30%)")))</f>
        <v>Medium (16-30%)</v>
      </c>
      <c r="AD1829" s="1" t="str">
        <f aca="false">IF(V1829&lt;0,"Loss Making",IF(V1829&lt;20,"Low Margin","Healthy Margin"))</f>
        <v>Healthy Margin</v>
      </c>
      <c r="AE1829" s="1" t="str">
        <f aca="false">TEXT(DATE(VALUE(RIGHT(B1829,4)),VALUE(MID(B1829,4,2)),VALUE(LEFT(B1829,2))),"MMM-YYYY")</f>
        <v>Mar-2024</v>
      </c>
      <c r="AF1829" s="1" t="n">
        <f aca="false">VALUE(RIGHT(B1829,4))</f>
        <v>2024</v>
      </c>
      <c r="AG1829" s="1" t="str">
        <f aca="false">CHOOSE(ROUNDUP(VALUE(MID(B1829,4,2))/3,0),"Q1","Q2","Q3","Q4")</f>
        <v>Q1</v>
      </c>
    </row>
    <row r="1830" customFormat="false" ht="15" hidden="false" customHeight="true" outlineLevel="0" collapsed="false">
      <c r="A1830" s="1" t="s">
        <v>2675</v>
      </c>
      <c r="B1830" s="1" t="s">
        <v>2239</v>
      </c>
      <c r="C1830" s="1" t="s">
        <v>88</v>
      </c>
      <c r="D1830" s="1" t="s">
        <v>168</v>
      </c>
      <c r="E1830" s="1" t="s">
        <v>169</v>
      </c>
      <c r="F1830" s="1" t="s">
        <v>55</v>
      </c>
      <c r="G1830" s="1" t="s">
        <v>56</v>
      </c>
      <c r="H1830" s="1" t="s">
        <v>57</v>
      </c>
      <c r="I1830" s="1" t="s">
        <v>83</v>
      </c>
      <c r="J1830" s="1" t="s">
        <v>70</v>
      </c>
      <c r="K1830" s="1" t="s">
        <v>90</v>
      </c>
      <c r="L1830" s="1" t="s">
        <v>113</v>
      </c>
      <c r="M1830" s="1" t="s">
        <v>62</v>
      </c>
      <c r="N1830" s="1" t="n">
        <v>4999</v>
      </c>
      <c r="O1830" s="1" t="n">
        <v>5</v>
      </c>
      <c r="P1830" s="1" t="n">
        <v>249.95</v>
      </c>
      <c r="Q1830" s="1" t="n">
        <v>4749.05</v>
      </c>
      <c r="R1830" s="1" t="n">
        <v>854.83</v>
      </c>
      <c r="S1830" s="1" t="n">
        <v>3894.22</v>
      </c>
      <c r="T1830" s="1" t="n">
        <v>1815.45</v>
      </c>
      <c r="U1830" s="1" t="n">
        <v>2078.77</v>
      </c>
      <c r="V1830" s="1" t="n">
        <v>53.38</v>
      </c>
      <c r="W1830" s="1" t="s">
        <v>39</v>
      </c>
      <c r="X1830" s="1" t="n">
        <v>2.9</v>
      </c>
      <c r="Y1830" s="1" t="s">
        <v>40</v>
      </c>
      <c r="Z1830" s="1" t="n">
        <v>1</v>
      </c>
      <c r="AA1830" s="1" t="str">
        <f aca="false">TRIM(PROPER(F1830))</f>
        <v>Ghaziabad</v>
      </c>
      <c r="AB1830" s="1" t="str">
        <f aca="false">TRIM(PROPER(C1830))</f>
        <v>Byju'S</v>
      </c>
      <c r="AC1830" s="1" t="str">
        <f aca="false">IF(O1830=0,"No Discount",IF(O1830&lt;=15,"Low (1-15%)",IF(O1830&lt;=30,"Medium (16-30%)","High (&gt;30%)")))</f>
        <v>Low (1-15%)</v>
      </c>
      <c r="AD1830" s="1" t="str">
        <f aca="false">IF(V1830&lt;0,"Loss Making",IF(V1830&lt;20,"Low Margin","Healthy Margin"))</f>
        <v>Healthy Margin</v>
      </c>
      <c r="AE1830" s="1" t="str">
        <f aca="false">TEXT(DATE(VALUE(RIGHT(B1830,4)),VALUE(MID(B1830,4,2)),VALUE(LEFT(B1830,2))),"MMM-YYYY")</f>
        <v>Apr-2023</v>
      </c>
      <c r="AF1830" s="1" t="n">
        <f aca="false">VALUE(RIGHT(B1830,4))</f>
        <v>2023</v>
      </c>
      <c r="AG1830" s="1" t="str">
        <f aca="false">CHOOSE(ROUNDUP(VALUE(MID(B1830,4,2))/3,0),"Q1","Q2","Q3","Q4")</f>
        <v>Q2</v>
      </c>
    </row>
    <row r="1831" customFormat="false" ht="15" hidden="false" customHeight="true" outlineLevel="0" collapsed="false">
      <c r="A1831" s="1" t="s">
        <v>2676</v>
      </c>
      <c r="B1831" s="1" t="s">
        <v>841</v>
      </c>
      <c r="C1831" s="1" t="s">
        <v>167</v>
      </c>
      <c r="D1831" s="1" t="s">
        <v>29</v>
      </c>
      <c r="E1831" s="1" t="s">
        <v>30</v>
      </c>
      <c r="F1831" s="1" t="s">
        <v>102</v>
      </c>
      <c r="G1831" s="1" t="s">
        <v>103</v>
      </c>
      <c r="H1831" s="1" t="s">
        <v>33</v>
      </c>
      <c r="I1831" s="1" t="s">
        <v>83</v>
      </c>
      <c r="J1831" s="1" t="s">
        <v>35</v>
      </c>
      <c r="K1831" s="1" t="s">
        <v>36</v>
      </c>
      <c r="L1831" s="1" t="s">
        <v>113</v>
      </c>
      <c r="M1831" s="1" t="s">
        <v>50</v>
      </c>
      <c r="N1831" s="1" t="n">
        <v>7999</v>
      </c>
      <c r="O1831" s="1" t="n">
        <v>25</v>
      </c>
      <c r="P1831" s="1" t="n">
        <v>1999.75</v>
      </c>
      <c r="Q1831" s="1" t="n">
        <v>5999.25</v>
      </c>
      <c r="R1831" s="1" t="n">
        <v>1079.87</v>
      </c>
      <c r="S1831" s="1" t="n">
        <v>4919.38</v>
      </c>
      <c r="T1831" s="1" t="n">
        <v>2388.65</v>
      </c>
      <c r="U1831" s="1" t="n">
        <v>2530.73</v>
      </c>
      <c r="V1831" s="1" t="n">
        <v>51.44</v>
      </c>
      <c r="W1831" s="1" t="s">
        <v>40</v>
      </c>
      <c r="Y1831" s="1" t="s">
        <v>40</v>
      </c>
      <c r="Z1831" s="1" t="n">
        <v>1</v>
      </c>
      <c r="AA1831" s="1" t="str">
        <f aca="false">TRIM(PROPER(F1831))</f>
        <v>Warangal</v>
      </c>
      <c r="AB1831" s="1" t="str">
        <f aca="false">TRIM(PROPER(C1831))</f>
        <v>Scaler</v>
      </c>
      <c r="AC1831" s="1" t="str">
        <f aca="false">IF(O1831=0,"No Discount",IF(O1831&lt;=15,"Low (1-15%)",IF(O1831&lt;=30,"Medium (16-30%)","High (&gt;30%)")))</f>
        <v>Medium (16-30%)</v>
      </c>
      <c r="AD1831" s="1" t="str">
        <f aca="false">IF(V1831&lt;0,"Loss Making",IF(V1831&lt;20,"Low Margin","Healthy Margin"))</f>
        <v>Healthy Margin</v>
      </c>
      <c r="AE1831" s="1" t="str">
        <f aca="false">TEXT(DATE(VALUE(RIGHT(B1831,4)),VALUE(MID(B1831,4,2)),VALUE(LEFT(B1831,2))),"MMM-YYYY")</f>
        <v>Dec-2024</v>
      </c>
      <c r="AF1831" s="1" t="n">
        <f aca="false">VALUE(RIGHT(B1831,4))</f>
        <v>2024</v>
      </c>
      <c r="AG1831" s="1" t="str">
        <f aca="false">CHOOSE(ROUNDUP(VALUE(MID(B1831,4,2))/3,0),"Q1","Q2","Q3","Q4")</f>
        <v>Q4</v>
      </c>
    </row>
    <row r="1832" customFormat="false" ht="15" hidden="false" customHeight="true" outlineLevel="0" collapsed="false">
      <c r="A1832" s="1" t="s">
        <v>2677</v>
      </c>
      <c r="B1832" s="1" t="s">
        <v>1337</v>
      </c>
      <c r="C1832" s="1" t="s">
        <v>74</v>
      </c>
      <c r="D1832" s="1" t="s">
        <v>29</v>
      </c>
      <c r="E1832" s="1" t="s">
        <v>305</v>
      </c>
      <c r="F1832" s="1" t="s">
        <v>55</v>
      </c>
      <c r="G1832" s="1" t="s">
        <v>56</v>
      </c>
      <c r="H1832" s="1" t="s">
        <v>57</v>
      </c>
      <c r="I1832" s="1" t="s">
        <v>34</v>
      </c>
      <c r="J1832" s="1" t="s">
        <v>35</v>
      </c>
      <c r="K1832" s="1" t="s">
        <v>112</v>
      </c>
      <c r="L1832" s="1" t="s">
        <v>49</v>
      </c>
      <c r="M1832" s="1" t="s">
        <v>38</v>
      </c>
      <c r="N1832" s="1" t="n">
        <v>24999</v>
      </c>
      <c r="O1832" s="1" t="n">
        <v>0</v>
      </c>
      <c r="P1832" s="1" t="n">
        <v>0</v>
      </c>
      <c r="Q1832" s="1" t="n">
        <v>24999</v>
      </c>
      <c r="R1832" s="1" t="n">
        <v>4499.82</v>
      </c>
      <c r="S1832" s="1" t="n">
        <v>20499.18</v>
      </c>
      <c r="T1832" s="1" t="n">
        <v>8249.62</v>
      </c>
      <c r="U1832" s="1" t="n">
        <v>12249.56</v>
      </c>
      <c r="V1832" s="1" t="n">
        <v>59.76</v>
      </c>
      <c r="W1832" s="1" t="s">
        <v>39</v>
      </c>
      <c r="X1832" s="1" t="n">
        <v>4.2</v>
      </c>
      <c r="Y1832" s="1" t="s">
        <v>40</v>
      </c>
      <c r="Z1832" s="1" t="n">
        <v>0</v>
      </c>
      <c r="AA1832" s="1" t="str">
        <f aca="false">TRIM(PROPER(F1832))</f>
        <v>Ghaziabad</v>
      </c>
      <c r="AB1832" s="1" t="str">
        <f aca="false">TRIM(PROPER(C1832))</f>
        <v>Vedantu</v>
      </c>
      <c r="AC1832" s="1" t="str">
        <f aca="false">IF(O1832=0,"No Discount",IF(O1832&lt;=15,"Low (1-15%)",IF(O1832&lt;=30,"Medium (16-30%)","High (&gt;30%)")))</f>
        <v>No Discount</v>
      </c>
      <c r="AD1832" s="1" t="str">
        <f aca="false">IF(V1832&lt;0,"Loss Making",IF(V1832&lt;20,"Low Margin","Healthy Margin"))</f>
        <v>Healthy Margin</v>
      </c>
      <c r="AE1832" s="1" t="str">
        <f aca="false">TEXT(DATE(VALUE(RIGHT(B1832,4)),VALUE(MID(B1832,4,2)),VALUE(LEFT(B1832,2))),"MMM-YYYY")</f>
        <v>Dec-2023</v>
      </c>
      <c r="AF1832" s="1" t="n">
        <f aca="false">VALUE(RIGHT(B1832,4))</f>
        <v>2023</v>
      </c>
      <c r="AG1832" s="1" t="str">
        <f aca="false">CHOOSE(ROUNDUP(VALUE(MID(B1832,4,2))/3,0),"Q1","Q2","Q3","Q4")</f>
        <v>Q4</v>
      </c>
    </row>
    <row r="1833" customFormat="false" ht="15" hidden="false" customHeight="true" outlineLevel="0" collapsed="false">
      <c r="A1833" s="1" t="s">
        <v>2678</v>
      </c>
      <c r="B1833" s="1" t="s">
        <v>1166</v>
      </c>
      <c r="C1833" s="1" t="s">
        <v>28</v>
      </c>
      <c r="D1833" s="1" t="s">
        <v>143</v>
      </c>
      <c r="E1833" s="1" t="s">
        <v>243</v>
      </c>
      <c r="F1833" s="1" t="s">
        <v>67</v>
      </c>
      <c r="G1833" s="1" t="s">
        <v>68</v>
      </c>
      <c r="H1833" s="1" t="s">
        <v>69</v>
      </c>
      <c r="I1833" s="1" t="s">
        <v>58</v>
      </c>
      <c r="J1833" s="1" t="s">
        <v>131</v>
      </c>
      <c r="K1833" s="1" t="s">
        <v>71</v>
      </c>
      <c r="L1833" s="1" t="s">
        <v>113</v>
      </c>
      <c r="M1833" s="1" t="s">
        <v>50</v>
      </c>
      <c r="N1833" s="1" t="n">
        <v>22999</v>
      </c>
      <c r="O1833" s="1" t="n">
        <v>40</v>
      </c>
      <c r="P1833" s="1" t="n">
        <v>9199.6</v>
      </c>
      <c r="Q1833" s="1" t="n">
        <v>13799.4</v>
      </c>
      <c r="R1833" s="1" t="n">
        <v>2483.89</v>
      </c>
      <c r="S1833" s="1" t="n">
        <v>11315.51</v>
      </c>
      <c r="T1833" s="1" t="n">
        <v>5546.7</v>
      </c>
      <c r="U1833" s="1" t="n">
        <v>5768.81</v>
      </c>
      <c r="V1833" s="1" t="n">
        <v>50.98</v>
      </c>
      <c r="W1833" s="1" t="s">
        <v>39</v>
      </c>
      <c r="Y1833" s="1" t="s">
        <v>40</v>
      </c>
      <c r="Z1833" s="1" t="n">
        <v>1</v>
      </c>
      <c r="AA1833" s="1" t="str">
        <f aca="false">TRIM(PROPER(F1833))</f>
        <v>Ahmedabad</v>
      </c>
      <c r="AB1833" s="1" t="str">
        <f aca="false">TRIM(PROPER(C1833))</f>
        <v>Embibe</v>
      </c>
      <c r="AC1833" s="1" t="str">
        <f aca="false">IF(O1833=0,"No Discount",IF(O1833&lt;=15,"Low (1-15%)",IF(O1833&lt;=30,"Medium (16-30%)","High (&gt;30%)")))</f>
        <v>High (&gt;30%)</v>
      </c>
      <c r="AD1833" s="1" t="str">
        <f aca="false">IF(V1833&lt;0,"Loss Making",IF(V1833&lt;20,"Low Margin","Healthy Margin"))</f>
        <v>Healthy Margin</v>
      </c>
      <c r="AE1833" s="1" t="str">
        <f aca="false">TEXT(DATE(VALUE(RIGHT(B1833,4)),VALUE(MID(B1833,4,2)),VALUE(LEFT(B1833,2))),"MMM-YYYY")</f>
        <v>Sep-2023</v>
      </c>
      <c r="AF1833" s="1" t="n">
        <f aca="false">VALUE(RIGHT(B1833,4))</f>
        <v>2023</v>
      </c>
      <c r="AG1833" s="1" t="str">
        <f aca="false">CHOOSE(ROUNDUP(VALUE(MID(B1833,4,2))/3,0),"Q1","Q2","Q3","Q4")</f>
        <v>Q3</v>
      </c>
    </row>
    <row r="1834" customFormat="false" ht="15" hidden="false" customHeight="true" outlineLevel="0" collapsed="false">
      <c r="A1834" s="1" t="s">
        <v>2679</v>
      </c>
      <c r="B1834" s="1" t="s">
        <v>1002</v>
      </c>
      <c r="C1834" s="1" t="s">
        <v>249</v>
      </c>
      <c r="D1834" s="1" t="s">
        <v>94</v>
      </c>
      <c r="E1834" s="1" t="s">
        <v>135</v>
      </c>
      <c r="F1834" s="1" t="s">
        <v>187</v>
      </c>
      <c r="G1834" s="1" t="s">
        <v>97</v>
      </c>
      <c r="H1834" s="1" t="s">
        <v>69</v>
      </c>
      <c r="I1834" s="1" t="s">
        <v>83</v>
      </c>
      <c r="J1834" s="1" t="s">
        <v>59</v>
      </c>
      <c r="K1834" s="1" t="s">
        <v>112</v>
      </c>
      <c r="L1834" s="1" t="s">
        <v>85</v>
      </c>
      <c r="M1834" s="1" t="s">
        <v>38</v>
      </c>
      <c r="N1834" s="1" t="n">
        <v>9999</v>
      </c>
      <c r="O1834" s="1" t="n">
        <v>40</v>
      </c>
      <c r="P1834" s="1" t="n">
        <v>3999.6</v>
      </c>
      <c r="Q1834" s="1" t="n">
        <v>5999.4</v>
      </c>
      <c r="R1834" s="1" t="n">
        <v>1079.89</v>
      </c>
      <c r="S1834" s="1" t="n">
        <v>4919.51</v>
      </c>
      <c r="T1834" s="1" t="n">
        <v>2321.81</v>
      </c>
      <c r="U1834" s="1" t="n">
        <v>2597.7</v>
      </c>
      <c r="V1834" s="1" t="n">
        <v>52.8</v>
      </c>
      <c r="W1834" s="1" t="s">
        <v>40</v>
      </c>
      <c r="Y1834" s="1" t="s">
        <v>40</v>
      </c>
      <c r="Z1834" s="1" t="n">
        <v>0</v>
      </c>
      <c r="AA1834" s="1" t="str">
        <f aca="false">TRIM(PROPER(F1834))</f>
        <v>Mumbai</v>
      </c>
      <c r="AB1834" s="1" t="str">
        <f aca="false">TRIM(PROPER(C1834))</f>
        <v>Whitehat Jr</v>
      </c>
      <c r="AC1834" s="1" t="str">
        <f aca="false">IF(O1834=0,"No Discount",IF(O1834&lt;=15,"Low (1-15%)",IF(O1834&lt;=30,"Medium (16-30%)","High (&gt;30%)")))</f>
        <v>High (&gt;30%)</v>
      </c>
      <c r="AD1834" s="1" t="str">
        <f aca="false">IF(V1834&lt;0,"Loss Making",IF(V1834&lt;20,"Low Margin","Healthy Margin"))</f>
        <v>Healthy Margin</v>
      </c>
      <c r="AE1834" s="1" t="str">
        <f aca="false">TEXT(DATE(VALUE(RIGHT(B1834,4)),VALUE(MID(B1834,4,2)),VALUE(LEFT(B1834,2))),"MMM-YYYY")</f>
        <v>Oct-2024</v>
      </c>
      <c r="AF1834" s="1" t="n">
        <f aca="false">VALUE(RIGHT(B1834,4))</f>
        <v>2024</v>
      </c>
      <c r="AG1834" s="1" t="str">
        <f aca="false">CHOOSE(ROUNDUP(VALUE(MID(B1834,4,2))/3,0),"Q1","Q2","Q3","Q4")</f>
        <v>Q4</v>
      </c>
    </row>
    <row r="1835" customFormat="false" ht="15" hidden="false" customHeight="true" outlineLevel="0" collapsed="false">
      <c r="A1835" s="1" t="s">
        <v>2680</v>
      </c>
      <c r="B1835" s="1" t="s">
        <v>667</v>
      </c>
      <c r="C1835" s="1" t="s">
        <v>43</v>
      </c>
      <c r="D1835" s="1" t="s">
        <v>44</v>
      </c>
      <c r="E1835" s="1" t="s">
        <v>45</v>
      </c>
      <c r="F1835" s="1" t="s">
        <v>205</v>
      </c>
      <c r="G1835" s="1" t="s">
        <v>56</v>
      </c>
      <c r="H1835" s="1" t="s">
        <v>69</v>
      </c>
      <c r="I1835" s="1" t="s">
        <v>58</v>
      </c>
      <c r="J1835" s="1" t="s">
        <v>131</v>
      </c>
      <c r="K1835" s="1" t="s">
        <v>84</v>
      </c>
      <c r="L1835" s="1" t="s">
        <v>85</v>
      </c>
      <c r="M1835" s="1" t="s">
        <v>50</v>
      </c>
      <c r="N1835" s="1" t="n">
        <v>11999</v>
      </c>
      <c r="O1835" s="1" t="n">
        <v>30</v>
      </c>
      <c r="P1835" s="1" t="n">
        <v>3599.7</v>
      </c>
      <c r="Q1835" s="1" t="n">
        <v>8399.3</v>
      </c>
      <c r="R1835" s="1" t="n">
        <v>1511.87</v>
      </c>
      <c r="S1835" s="1" t="n">
        <v>6887.43</v>
      </c>
      <c r="T1835" s="1" t="n">
        <v>3330.05</v>
      </c>
      <c r="U1835" s="1" t="n">
        <v>3557.38</v>
      </c>
      <c r="V1835" s="1" t="n">
        <v>51.65</v>
      </c>
      <c r="W1835" s="1" t="s">
        <v>40</v>
      </c>
      <c r="Y1835" s="1" t="s">
        <v>40</v>
      </c>
      <c r="Z1835" s="1" t="n">
        <v>0</v>
      </c>
      <c r="AA1835" s="1" t="str">
        <f aca="false">TRIM(PROPER(F1835))</f>
        <v>New Delhi</v>
      </c>
      <c r="AB1835" s="1" t="str">
        <f aca="false">TRIM(PROPER(C1835))</f>
        <v>Meritnation</v>
      </c>
      <c r="AC1835" s="1" t="str">
        <f aca="false">IF(O1835=0,"No Discount",IF(O1835&lt;=15,"Low (1-15%)",IF(O1835&lt;=30,"Medium (16-30%)","High (&gt;30%)")))</f>
        <v>Medium (16-30%)</v>
      </c>
      <c r="AD1835" s="1" t="str">
        <f aca="false">IF(V1835&lt;0,"Loss Making",IF(V1835&lt;20,"Low Margin","Healthy Margin"))</f>
        <v>Healthy Margin</v>
      </c>
      <c r="AE1835" s="1" t="str">
        <f aca="false">TEXT(DATE(VALUE(RIGHT(B1835,4)),VALUE(MID(B1835,4,2)),VALUE(LEFT(B1835,2))),"MMM-YYYY")</f>
        <v>Jul-2023</v>
      </c>
      <c r="AF1835" s="1" t="n">
        <f aca="false">VALUE(RIGHT(B1835,4))</f>
        <v>2023</v>
      </c>
      <c r="AG1835" s="1" t="str">
        <f aca="false">CHOOSE(ROUNDUP(VALUE(MID(B1835,4,2))/3,0),"Q1","Q2","Q3","Q4")</f>
        <v>Q3</v>
      </c>
    </row>
    <row r="1836" customFormat="false" ht="15" hidden="false" customHeight="true" outlineLevel="0" collapsed="false">
      <c r="A1836" s="1" t="s">
        <v>2681</v>
      </c>
      <c r="B1836" s="1" t="s">
        <v>742</v>
      </c>
      <c r="C1836" s="1" t="s">
        <v>65</v>
      </c>
      <c r="D1836" s="1" t="s">
        <v>123</v>
      </c>
      <c r="E1836" s="1" t="s">
        <v>147</v>
      </c>
      <c r="F1836" s="1" t="s">
        <v>102</v>
      </c>
      <c r="G1836" s="1" t="s">
        <v>103</v>
      </c>
      <c r="H1836" s="1" t="s">
        <v>33</v>
      </c>
      <c r="I1836" s="1" t="s">
        <v>34</v>
      </c>
      <c r="J1836" s="1" t="s">
        <v>59</v>
      </c>
      <c r="K1836" s="1" t="s">
        <v>36</v>
      </c>
      <c r="L1836" s="1" t="s">
        <v>113</v>
      </c>
      <c r="M1836" s="1" t="s">
        <v>62</v>
      </c>
      <c r="N1836" s="1" t="n">
        <v>6999</v>
      </c>
      <c r="O1836" s="1" t="n">
        <v>20</v>
      </c>
      <c r="P1836" s="1" t="n">
        <v>1399.8</v>
      </c>
      <c r="Q1836" s="1" t="n">
        <v>5599.2</v>
      </c>
      <c r="R1836" s="1" t="n">
        <v>1007.86</v>
      </c>
      <c r="S1836" s="1" t="n">
        <v>4591.34</v>
      </c>
      <c r="T1836" s="1" t="n">
        <v>2132.37</v>
      </c>
      <c r="U1836" s="1" t="n">
        <v>2458.97</v>
      </c>
      <c r="V1836" s="1" t="n">
        <v>53.56</v>
      </c>
      <c r="W1836" s="1" t="s">
        <v>40</v>
      </c>
      <c r="Y1836" s="1" t="s">
        <v>40</v>
      </c>
      <c r="Z1836" s="1" t="n">
        <v>1</v>
      </c>
      <c r="AA1836" s="1" t="str">
        <f aca="false">TRIM(PROPER(F1836))</f>
        <v>Warangal</v>
      </c>
      <c r="AB1836" s="1" t="str">
        <f aca="false">TRIM(PROPER(C1836))</f>
        <v>Toppr</v>
      </c>
      <c r="AC1836" s="1" t="str">
        <f aca="false">IF(O1836=0,"No Discount",IF(O1836&lt;=15,"Low (1-15%)",IF(O1836&lt;=30,"Medium (16-30%)","High (&gt;30%)")))</f>
        <v>Medium (16-30%)</v>
      </c>
      <c r="AD1836" s="1" t="str">
        <f aca="false">IF(V1836&lt;0,"Loss Making",IF(V1836&lt;20,"Low Margin","Healthy Margin"))</f>
        <v>Healthy Margin</v>
      </c>
      <c r="AE1836" s="1" t="str">
        <f aca="false">TEXT(DATE(VALUE(RIGHT(B1836,4)),VALUE(MID(B1836,4,2)),VALUE(LEFT(B1836,2))),"MMM-YYYY")</f>
        <v>Oct-2024</v>
      </c>
      <c r="AF1836" s="1" t="n">
        <f aca="false">VALUE(RIGHT(B1836,4))</f>
        <v>2024</v>
      </c>
      <c r="AG1836" s="1" t="str">
        <f aca="false">CHOOSE(ROUNDUP(VALUE(MID(B1836,4,2))/3,0),"Q1","Q2","Q3","Q4")</f>
        <v>Q4</v>
      </c>
    </row>
    <row r="1837" customFormat="false" ht="15" hidden="false" customHeight="true" outlineLevel="0" collapsed="false">
      <c r="A1837" s="1" t="s">
        <v>2682</v>
      </c>
      <c r="B1837" s="1" t="s">
        <v>596</v>
      </c>
      <c r="C1837" s="1" t="s">
        <v>74</v>
      </c>
      <c r="D1837" s="1" t="s">
        <v>123</v>
      </c>
      <c r="E1837" s="1" t="s">
        <v>233</v>
      </c>
      <c r="F1837" s="1" t="s">
        <v>244</v>
      </c>
      <c r="G1837" s="1" t="s">
        <v>97</v>
      </c>
      <c r="H1837" s="1" t="s">
        <v>57</v>
      </c>
      <c r="I1837" s="1" t="s">
        <v>83</v>
      </c>
      <c r="J1837" s="1" t="s">
        <v>59</v>
      </c>
      <c r="K1837" s="1" t="s">
        <v>36</v>
      </c>
      <c r="L1837" s="1" t="s">
        <v>49</v>
      </c>
      <c r="M1837" s="1" t="s">
        <v>38</v>
      </c>
      <c r="N1837" s="1" t="n">
        <v>8999</v>
      </c>
      <c r="O1837" s="1" t="n">
        <v>0</v>
      </c>
      <c r="P1837" s="1" t="n">
        <v>0</v>
      </c>
      <c r="Q1837" s="1" t="n">
        <v>8999</v>
      </c>
      <c r="R1837" s="1" t="n">
        <v>1619.82</v>
      </c>
      <c r="S1837" s="1" t="n">
        <v>7379.18</v>
      </c>
      <c r="T1837" s="1" t="n">
        <v>3813.9</v>
      </c>
      <c r="U1837" s="1" t="n">
        <v>3565.28</v>
      </c>
      <c r="V1837" s="1" t="n">
        <v>48.32</v>
      </c>
      <c r="W1837" s="1" t="s">
        <v>39</v>
      </c>
      <c r="X1837" s="1" t="n">
        <v>3.6</v>
      </c>
      <c r="Y1837" s="1" t="s">
        <v>40</v>
      </c>
      <c r="Z1837" s="1" t="n">
        <v>0</v>
      </c>
      <c r="AA1837" s="1" t="str">
        <f aca="false">TRIM(PROPER(F1837))</f>
        <v>Nagpur</v>
      </c>
      <c r="AB1837" s="1" t="str">
        <f aca="false">TRIM(PROPER(C1837))</f>
        <v>Vedantu</v>
      </c>
      <c r="AC1837" s="1" t="str">
        <f aca="false">IF(O1837=0,"No Discount",IF(O1837&lt;=15,"Low (1-15%)",IF(O1837&lt;=30,"Medium (16-30%)","High (&gt;30%)")))</f>
        <v>No Discount</v>
      </c>
      <c r="AD1837" s="1" t="str">
        <f aca="false">IF(V1837&lt;0,"Loss Making",IF(V1837&lt;20,"Low Margin","Healthy Margin"))</f>
        <v>Healthy Margin</v>
      </c>
      <c r="AE1837" s="1" t="str">
        <f aca="false">TEXT(DATE(VALUE(RIGHT(B1837,4)),VALUE(MID(B1837,4,2)),VALUE(LEFT(B1837,2))),"MMM-YYYY")</f>
        <v>Dec-2024</v>
      </c>
      <c r="AF1837" s="1" t="n">
        <f aca="false">VALUE(RIGHT(B1837,4))</f>
        <v>2024</v>
      </c>
      <c r="AG1837" s="1" t="str">
        <f aca="false">CHOOSE(ROUNDUP(VALUE(MID(B1837,4,2))/3,0),"Q1","Q2","Q3","Q4")</f>
        <v>Q4</v>
      </c>
    </row>
    <row r="1838" customFormat="false" ht="15" hidden="false" customHeight="true" outlineLevel="0" collapsed="false">
      <c r="A1838" s="1" t="s">
        <v>2683</v>
      </c>
      <c r="B1838" s="1" t="s">
        <v>839</v>
      </c>
      <c r="C1838" s="1" t="s">
        <v>93</v>
      </c>
      <c r="D1838" s="1" t="s">
        <v>123</v>
      </c>
      <c r="E1838" s="1" t="s">
        <v>147</v>
      </c>
      <c r="F1838" s="1" t="s">
        <v>67</v>
      </c>
      <c r="G1838" s="1" t="s">
        <v>68</v>
      </c>
      <c r="H1838" s="1" t="s">
        <v>69</v>
      </c>
      <c r="I1838" s="1" t="s">
        <v>34</v>
      </c>
      <c r="J1838" s="1" t="s">
        <v>35</v>
      </c>
      <c r="K1838" s="1" t="s">
        <v>84</v>
      </c>
      <c r="L1838" s="1" t="s">
        <v>136</v>
      </c>
      <c r="M1838" s="1" t="s">
        <v>50</v>
      </c>
      <c r="N1838" s="1" t="n">
        <v>6999</v>
      </c>
      <c r="O1838" s="1" t="n">
        <v>40</v>
      </c>
      <c r="P1838" s="1" t="n">
        <v>2799.6</v>
      </c>
      <c r="Q1838" s="1" t="n">
        <v>4199.4</v>
      </c>
      <c r="R1838" s="1" t="n">
        <v>755.89</v>
      </c>
      <c r="S1838" s="1" t="n">
        <v>3443.51</v>
      </c>
      <c r="T1838" s="1" t="n">
        <v>1621.27</v>
      </c>
      <c r="U1838" s="1" t="n">
        <v>1822.24</v>
      </c>
      <c r="V1838" s="1" t="n">
        <v>52.92</v>
      </c>
      <c r="W1838" s="1" t="s">
        <v>40</v>
      </c>
      <c r="Y1838" s="1" t="s">
        <v>40</v>
      </c>
      <c r="Z1838" s="1" t="n">
        <v>0</v>
      </c>
      <c r="AA1838" s="1" t="str">
        <f aca="false">TRIM(PROPER(F1838))</f>
        <v>Ahmedabad</v>
      </c>
      <c r="AB1838" s="1" t="str">
        <f aca="false">TRIM(PROPER(C1838))</f>
        <v>Upgrad</v>
      </c>
      <c r="AC1838" s="1" t="str">
        <f aca="false">IF(O1838=0,"No Discount",IF(O1838&lt;=15,"Low (1-15%)",IF(O1838&lt;=30,"Medium (16-30%)","High (&gt;30%)")))</f>
        <v>High (&gt;30%)</v>
      </c>
      <c r="AD1838" s="1" t="str">
        <f aca="false">IF(V1838&lt;0,"Loss Making",IF(V1838&lt;20,"Low Margin","Healthy Margin"))</f>
        <v>Healthy Margin</v>
      </c>
      <c r="AE1838" s="1" t="str">
        <f aca="false">TEXT(DATE(VALUE(RIGHT(B1838,4)),VALUE(MID(B1838,4,2)),VALUE(LEFT(B1838,2))),"MMM-YYYY")</f>
        <v>Dec-2023</v>
      </c>
      <c r="AF1838" s="1" t="n">
        <f aca="false">VALUE(RIGHT(B1838,4))</f>
        <v>2023</v>
      </c>
      <c r="AG1838" s="1" t="str">
        <f aca="false">CHOOSE(ROUNDUP(VALUE(MID(B1838,4,2))/3,0),"Q1","Q2","Q3","Q4")</f>
        <v>Q4</v>
      </c>
    </row>
    <row r="1839" customFormat="false" ht="15" hidden="false" customHeight="true" outlineLevel="0" collapsed="false">
      <c r="A1839" s="1" t="s">
        <v>2684</v>
      </c>
      <c r="B1839" s="1" t="s">
        <v>1163</v>
      </c>
      <c r="C1839" s="1" t="s">
        <v>88</v>
      </c>
      <c r="D1839" s="1" t="s">
        <v>44</v>
      </c>
      <c r="E1839" s="1" t="s">
        <v>66</v>
      </c>
      <c r="F1839" s="1" t="s">
        <v>205</v>
      </c>
      <c r="G1839" s="1" t="s">
        <v>56</v>
      </c>
      <c r="H1839" s="1" t="s">
        <v>69</v>
      </c>
      <c r="I1839" s="1" t="s">
        <v>83</v>
      </c>
      <c r="J1839" s="1" t="s">
        <v>35</v>
      </c>
      <c r="K1839" s="1" t="s">
        <v>112</v>
      </c>
      <c r="L1839" s="1" t="s">
        <v>85</v>
      </c>
      <c r="M1839" s="1" t="s">
        <v>50</v>
      </c>
      <c r="N1839" s="1" t="n">
        <v>12999</v>
      </c>
      <c r="O1839" s="1" t="n">
        <v>0</v>
      </c>
      <c r="P1839" s="1" t="n">
        <v>0</v>
      </c>
      <c r="Q1839" s="1" t="n">
        <v>12999</v>
      </c>
      <c r="R1839" s="1" t="n">
        <v>2339.82</v>
      </c>
      <c r="S1839" s="1" t="n">
        <v>10659.18</v>
      </c>
      <c r="T1839" s="1" t="n">
        <v>4459.52</v>
      </c>
      <c r="U1839" s="1" t="n">
        <v>6199.66</v>
      </c>
      <c r="V1839" s="1" t="n">
        <v>58.16</v>
      </c>
      <c r="W1839" s="1" t="s">
        <v>40</v>
      </c>
      <c r="Y1839" s="1" t="s">
        <v>39</v>
      </c>
      <c r="Z1839" s="1" t="n">
        <v>3</v>
      </c>
      <c r="AA1839" s="1" t="str">
        <f aca="false">TRIM(PROPER(F1839))</f>
        <v>New Delhi</v>
      </c>
      <c r="AB1839" s="1" t="str">
        <f aca="false">TRIM(PROPER(C1839))</f>
        <v>Byju'S</v>
      </c>
      <c r="AC1839" s="1" t="str">
        <f aca="false">IF(O1839=0,"No Discount",IF(O1839&lt;=15,"Low (1-15%)",IF(O1839&lt;=30,"Medium (16-30%)","High (&gt;30%)")))</f>
        <v>No Discount</v>
      </c>
      <c r="AD1839" s="1" t="str">
        <f aca="false">IF(V1839&lt;0,"Loss Making",IF(V1839&lt;20,"Low Margin","Healthy Margin"))</f>
        <v>Healthy Margin</v>
      </c>
      <c r="AE1839" s="1" t="str">
        <f aca="false">TEXT(DATE(VALUE(RIGHT(B1839,4)),VALUE(MID(B1839,4,2)),VALUE(LEFT(B1839,2))),"MMM-YYYY")</f>
        <v>May-2024</v>
      </c>
      <c r="AF1839" s="1" t="n">
        <f aca="false">VALUE(RIGHT(B1839,4))</f>
        <v>2024</v>
      </c>
      <c r="AG1839" s="1" t="str">
        <f aca="false">CHOOSE(ROUNDUP(VALUE(MID(B1839,4,2))/3,0),"Q1","Q2","Q3","Q4")</f>
        <v>Q2</v>
      </c>
    </row>
    <row r="1840" customFormat="false" ht="15" hidden="false" customHeight="true" outlineLevel="0" collapsed="false">
      <c r="A1840" s="1" t="s">
        <v>2685</v>
      </c>
      <c r="B1840" s="1" t="s">
        <v>724</v>
      </c>
      <c r="C1840" s="1" t="s">
        <v>65</v>
      </c>
      <c r="D1840" s="1" t="s">
        <v>44</v>
      </c>
      <c r="E1840" s="1" t="s">
        <v>66</v>
      </c>
      <c r="F1840" s="1" t="s">
        <v>89</v>
      </c>
      <c r="G1840" s="1" t="s">
        <v>68</v>
      </c>
      <c r="H1840" s="1" t="s">
        <v>33</v>
      </c>
      <c r="I1840" s="1" t="s">
        <v>83</v>
      </c>
      <c r="J1840" s="1" t="s">
        <v>131</v>
      </c>
      <c r="K1840" s="1" t="s">
        <v>84</v>
      </c>
      <c r="L1840" s="1" t="s">
        <v>49</v>
      </c>
      <c r="M1840" s="1" t="s">
        <v>50</v>
      </c>
      <c r="N1840" s="1" t="n">
        <v>12999</v>
      </c>
      <c r="O1840" s="1" t="n">
        <v>25</v>
      </c>
      <c r="P1840" s="1" t="n">
        <v>3249.75</v>
      </c>
      <c r="Q1840" s="1" t="n">
        <v>9749.25</v>
      </c>
      <c r="R1840" s="1" t="n">
        <v>1754.87</v>
      </c>
      <c r="S1840" s="1" t="n">
        <v>7994.38</v>
      </c>
      <c r="T1840" s="1" t="n">
        <v>3889.07</v>
      </c>
      <c r="U1840" s="1" t="n">
        <v>4105.31</v>
      </c>
      <c r="V1840" s="1" t="n">
        <v>51.35</v>
      </c>
      <c r="W1840" s="1" t="s">
        <v>39</v>
      </c>
      <c r="X1840" s="1" t="n">
        <v>3.9</v>
      </c>
      <c r="Y1840" s="1" t="s">
        <v>40</v>
      </c>
      <c r="Z1840" s="1" t="n">
        <v>1</v>
      </c>
      <c r="AA1840" s="1" t="str">
        <f aca="false">TRIM(PROPER(F1840))</f>
        <v>Vadodara</v>
      </c>
      <c r="AB1840" s="1" t="str">
        <f aca="false">TRIM(PROPER(C1840))</f>
        <v>Toppr</v>
      </c>
      <c r="AC1840" s="1" t="str">
        <f aca="false">IF(O1840=0,"No Discount",IF(O1840&lt;=15,"Low (1-15%)",IF(O1840&lt;=30,"Medium (16-30%)","High (&gt;30%)")))</f>
        <v>Medium (16-30%)</v>
      </c>
      <c r="AD1840" s="1" t="str">
        <f aca="false">IF(V1840&lt;0,"Loss Making",IF(V1840&lt;20,"Low Margin","Healthy Margin"))</f>
        <v>Healthy Margin</v>
      </c>
      <c r="AE1840" s="1" t="str">
        <f aca="false">TEXT(DATE(VALUE(RIGHT(B1840,4)),VALUE(MID(B1840,4,2)),VALUE(LEFT(B1840,2))),"MMM-YYYY")</f>
        <v>Jan-2024</v>
      </c>
      <c r="AF1840" s="1" t="n">
        <f aca="false">VALUE(RIGHT(B1840,4))</f>
        <v>2024</v>
      </c>
      <c r="AG1840" s="1" t="str">
        <f aca="false">CHOOSE(ROUNDUP(VALUE(MID(B1840,4,2))/3,0),"Q1","Q2","Q3","Q4")</f>
        <v>Q1</v>
      </c>
    </row>
    <row r="1841" customFormat="false" ht="15" hidden="false" customHeight="true" outlineLevel="0" collapsed="false">
      <c r="A1841" s="1" t="s">
        <v>2686</v>
      </c>
      <c r="B1841" s="1" t="s">
        <v>1375</v>
      </c>
      <c r="C1841" s="1" t="s">
        <v>128</v>
      </c>
      <c r="D1841" s="1" t="s">
        <v>123</v>
      </c>
      <c r="E1841" s="1" t="s">
        <v>124</v>
      </c>
      <c r="F1841" s="1" t="s">
        <v>153</v>
      </c>
      <c r="G1841" s="1" t="s">
        <v>76</v>
      </c>
      <c r="H1841" s="1" t="s">
        <v>33</v>
      </c>
      <c r="I1841" s="1" t="s">
        <v>83</v>
      </c>
      <c r="J1841" s="1" t="s">
        <v>131</v>
      </c>
      <c r="K1841" s="1" t="s">
        <v>84</v>
      </c>
      <c r="L1841" s="1" t="s">
        <v>113</v>
      </c>
      <c r="M1841" s="1" t="s">
        <v>62</v>
      </c>
      <c r="N1841" s="1" t="n">
        <v>4999</v>
      </c>
      <c r="O1841" s="1" t="n">
        <v>10</v>
      </c>
      <c r="P1841" s="1" t="n">
        <v>499.9</v>
      </c>
      <c r="Q1841" s="1" t="n">
        <v>4499.1</v>
      </c>
      <c r="R1841" s="1" t="n">
        <v>809.84</v>
      </c>
      <c r="S1841" s="1" t="n">
        <v>3689.26</v>
      </c>
      <c r="T1841" s="1" t="n">
        <v>1733.61</v>
      </c>
      <c r="U1841" s="1" t="n">
        <v>1955.65</v>
      </c>
      <c r="V1841" s="1" t="n">
        <v>53.01</v>
      </c>
      <c r="W1841" s="1" t="s">
        <v>40</v>
      </c>
      <c r="Y1841" s="1" t="s">
        <v>40</v>
      </c>
      <c r="Z1841" s="1" t="n">
        <v>1</v>
      </c>
      <c r="AA1841" s="1" t="str">
        <f aca="false">TRIM(PROPER(F1841))</f>
        <v>Howrah</v>
      </c>
      <c r="AB1841" s="1" t="str">
        <f aca="false">TRIM(PROPER(C1841))</f>
        <v>Great Learning</v>
      </c>
      <c r="AC1841" s="1" t="str">
        <f aca="false">IF(O1841=0,"No Discount",IF(O1841&lt;=15,"Low (1-15%)",IF(O1841&lt;=30,"Medium (16-30%)","High (&gt;30%)")))</f>
        <v>Low (1-15%)</v>
      </c>
      <c r="AD1841" s="1" t="str">
        <f aca="false">IF(V1841&lt;0,"Loss Making",IF(V1841&lt;20,"Low Margin","Healthy Margin"))</f>
        <v>Healthy Margin</v>
      </c>
      <c r="AE1841" s="1" t="str">
        <f aca="false">TEXT(DATE(VALUE(RIGHT(B1841,4)),VALUE(MID(B1841,4,2)),VALUE(LEFT(B1841,2))),"MMM-YYYY")</f>
        <v>Oct-2023</v>
      </c>
      <c r="AF1841" s="1" t="n">
        <f aca="false">VALUE(RIGHT(B1841,4))</f>
        <v>2023</v>
      </c>
      <c r="AG1841" s="1" t="str">
        <f aca="false">CHOOSE(ROUNDUP(VALUE(MID(B1841,4,2))/3,0),"Q1","Q2","Q3","Q4")</f>
        <v>Q4</v>
      </c>
    </row>
    <row r="1842" customFormat="false" ht="15" hidden="false" customHeight="true" outlineLevel="0" collapsed="false">
      <c r="A1842" s="1" t="s">
        <v>2687</v>
      </c>
      <c r="B1842" s="1" t="s">
        <v>1763</v>
      </c>
      <c r="C1842" s="1" t="s">
        <v>100</v>
      </c>
      <c r="D1842" s="1" t="s">
        <v>143</v>
      </c>
      <c r="E1842" s="1" t="s">
        <v>162</v>
      </c>
      <c r="F1842" s="1" t="s">
        <v>150</v>
      </c>
      <c r="G1842" s="1" t="s">
        <v>32</v>
      </c>
      <c r="H1842" s="1" t="s">
        <v>57</v>
      </c>
      <c r="I1842" s="1" t="s">
        <v>83</v>
      </c>
      <c r="J1842" s="1" t="s">
        <v>35</v>
      </c>
      <c r="K1842" s="1" t="s">
        <v>104</v>
      </c>
      <c r="L1842" s="1" t="s">
        <v>37</v>
      </c>
      <c r="M1842" s="1" t="s">
        <v>62</v>
      </c>
      <c r="N1842" s="1" t="n">
        <v>14999</v>
      </c>
      <c r="O1842" s="1" t="n">
        <v>10</v>
      </c>
      <c r="P1842" s="1" t="n">
        <v>1499.9</v>
      </c>
      <c r="Q1842" s="1" t="n">
        <v>13499.1</v>
      </c>
      <c r="R1842" s="1" t="n">
        <v>2429.84</v>
      </c>
      <c r="S1842" s="1" t="n">
        <v>11069.26</v>
      </c>
      <c r="T1842" s="1" t="n">
        <v>4818.29</v>
      </c>
      <c r="U1842" s="1" t="n">
        <v>6250.97</v>
      </c>
      <c r="V1842" s="1" t="n">
        <v>56.47</v>
      </c>
      <c r="W1842" s="1" t="s">
        <v>39</v>
      </c>
      <c r="X1842" s="1" t="n">
        <v>3.5</v>
      </c>
      <c r="Y1842" s="1" t="s">
        <v>40</v>
      </c>
      <c r="Z1842" s="1" t="n">
        <v>0</v>
      </c>
      <c r="AA1842" s="1" t="str">
        <f aca="false">TRIM(PROPER(F1842))</f>
        <v>Jaipur</v>
      </c>
      <c r="AB1842" s="1" t="str">
        <f aca="false">TRIM(PROPER(C1842))</f>
        <v>Physics Wallah</v>
      </c>
      <c r="AC1842" s="1" t="str">
        <f aca="false">IF(O1842=0,"No Discount",IF(O1842&lt;=15,"Low (1-15%)",IF(O1842&lt;=30,"Medium (16-30%)","High (&gt;30%)")))</f>
        <v>Low (1-15%)</v>
      </c>
      <c r="AD1842" s="1" t="str">
        <f aca="false">IF(V1842&lt;0,"Loss Making",IF(V1842&lt;20,"Low Margin","Healthy Margin"))</f>
        <v>Healthy Margin</v>
      </c>
      <c r="AE1842" s="1" t="str">
        <f aca="false">TEXT(DATE(VALUE(RIGHT(B1842,4)),VALUE(MID(B1842,4,2)),VALUE(LEFT(B1842,2))),"MMM-YYYY")</f>
        <v>Mar-2023</v>
      </c>
      <c r="AF1842" s="1" t="n">
        <f aca="false">VALUE(RIGHT(B1842,4))</f>
        <v>2023</v>
      </c>
      <c r="AG1842" s="1" t="str">
        <f aca="false">CHOOSE(ROUNDUP(VALUE(MID(B1842,4,2))/3,0),"Q1","Q2","Q3","Q4")</f>
        <v>Q1</v>
      </c>
    </row>
    <row r="1843" customFormat="false" ht="15" hidden="false" customHeight="true" outlineLevel="0" collapsed="false">
      <c r="A1843" s="1" t="s">
        <v>2688</v>
      </c>
      <c r="B1843" s="1" t="s">
        <v>541</v>
      </c>
      <c r="C1843" s="1" t="s">
        <v>249</v>
      </c>
      <c r="D1843" s="1" t="s">
        <v>29</v>
      </c>
      <c r="E1843" s="1" t="s">
        <v>129</v>
      </c>
      <c r="F1843" s="1" t="s">
        <v>102</v>
      </c>
      <c r="G1843" s="1" t="s">
        <v>103</v>
      </c>
      <c r="H1843" s="1" t="s">
        <v>33</v>
      </c>
      <c r="I1843" s="1" t="s">
        <v>34</v>
      </c>
      <c r="J1843" s="1" t="s">
        <v>131</v>
      </c>
      <c r="K1843" s="1" t="s">
        <v>84</v>
      </c>
      <c r="L1843" s="1" t="s">
        <v>61</v>
      </c>
      <c r="M1843" s="1" t="s">
        <v>50</v>
      </c>
      <c r="N1843" s="1" t="n">
        <v>29999</v>
      </c>
      <c r="O1843" s="1" t="n">
        <v>20</v>
      </c>
      <c r="P1843" s="1" t="n">
        <v>5999.8</v>
      </c>
      <c r="Q1843" s="1" t="n">
        <v>23999.2</v>
      </c>
      <c r="R1843" s="1" t="n">
        <v>4319.86</v>
      </c>
      <c r="S1843" s="1" t="n">
        <v>19679.34</v>
      </c>
      <c r="T1843" s="1" t="n">
        <v>9017.54</v>
      </c>
      <c r="U1843" s="1" t="n">
        <v>10661.8</v>
      </c>
      <c r="V1843" s="1" t="n">
        <v>54.18</v>
      </c>
      <c r="W1843" s="1" t="s">
        <v>39</v>
      </c>
      <c r="X1843" s="1" t="n">
        <v>4.1</v>
      </c>
      <c r="Y1843" s="1" t="s">
        <v>40</v>
      </c>
      <c r="Z1843" s="1" t="n">
        <v>0</v>
      </c>
      <c r="AA1843" s="1" t="str">
        <f aca="false">TRIM(PROPER(F1843))</f>
        <v>Warangal</v>
      </c>
      <c r="AB1843" s="1" t="str">
        <f aca="false">TRIM(PROPER(C1843))</f>
        <v>Whitehat Jr</v>
      </c>
      <c r="AC1843" s="1" t="str">
        <f aca="false">IF(O1843=0,"No Discount",IF(O1843&lt;=15,"Low (1-15%)",IF(O1843&lt;=30,"Medium (16-30%)","High (&gt;30%)")))</f>
        <v>Medium (16-30%)</v>
      </c>
      <c r="AD1843" s="1" t="str">
        <f aca="false">IF(V1843&lt;0,"Loss Making",IF(V1843&lt;20,"Low Margin","Healthy Margin"))</f>
        <v>Healthy Margin</v>
      </c>
      <c r="AE1843" s="1" t="str">
        <f aca="false">TEXT(DATE(VALUE(RIGHT(B1843,4)),VALUE(MID(B1843,4,2)),VALUE(LEFT(B1843,2))),"MMM-YYYY")</f>
        <v>Nov-2024</v>
      </c>
      <c r="AF1843" s="1" t="n">
        <f aca="false">VALUE(RIGHT(B1843,4))</f>
        <v>2024</v>
      </c>
      <c r="AG1843" s="1" t="str">
        <f aca="false">CHOOSE(ROUNDUP(VALUE(MID(B1843,4,2))/3,0),"Q1","Q2","Q3","Q4")</f>
        <v>Q4</v>
      </c>
    </row>
    <row r="1844" customFormat="false" ht="15" hidden="false" customHeight="true" outlineLevel="0" collapsed="false">
      <c r="A1844" s="1" t="s">
        <v>2689</v>
      </c>
      <c r="B1844" s="1" t="s">
        <v>2033</v>
      </c>
      <c r="C1844" s="1" t="s">
        <v>2598</v>
      </c>
      <c r="D1844" s="1" t="s">
        <v>80</v>
      </c>
      <c r="E1844" s="1" t="s">
        <v>175</v>
      </c>
      <c r="F1844" s="1" t="s">
        <v>244</v>
      </c>
      <c r="G1844" s="1" t="s">
        <v>97</v>
      </c>
      <c r="H1844" s="1" t="s">
        <v>57</v>
      </c>
      <c r="I1844" s="1" t="s">
        <v>83</v>
      </c>
      <c r="J1844" s="1" t="s">
        <v>131</v>
      </c>
      <c r="K1844" s="1" t="s">
        <v>48</v>
      </c>
      <c r="L1844" s="1" t="s">
        <v>85</v>
      </c>
      <c r="M1844" s="1" t="s">
        <v>38</v>
      </c>
      <c r="N1844" s="1" t="n">
        <v>19999</v>
      </c>
      <c r="O1844" s="1" t="n">
        <v>30</v>
      </c>
      <c r="P1844" s="1" t="n">
        <v>5999.7</v>
      </c>
      <c r="Q1844" s="1" t="n">
        <v>13999.3</v>
      </c>
      <c r="R1844" s="1" t="n">
        <v>2519.87</v>
      </c>
      <c r="S1844" s="1" t="n">
        <v>11479.43</v>
      </c>
      <c r="T1844" s="1" t="n">
        <v>5556.64</v>
      </c>
      <c r="U1844" s="1" t="n">
        <v>5922.79</v>
      </c>
      <c r="V1844" s="1" t="n">
        <v>51.59</v>
      </c>
      <c r="W1844" s="1" t="s">
        <v>40</v>
      </c>
      <c r="Y1844" s="1" t="s">
        <v>40</v>
      </c>
      <c r="Z1844" s="1" t="n">
        <v>2</v>
      </c>
      <c r="AA1844" s="1" t="str">
        <f aca="false">TRIM(PROPER(F1844))</f>
        <v>Nagpur</v>
      </c>
      <c r="AB1844" s="1" t="str">
        <f aca="false">TRIM(PROPER(C1844))</f>
        <v>Simplilearn</v>
      </c>
      <c r="AC1844" s="1" t="str">
        <f aca="false">IF(O1844=0,"No Discount",IF(O1844&lt;=15,"Low (1-15%)",IF(O1844&lt;=30,"Medium (16-30%)","High (&gt;30%)")))</f>
        <v>Medium (16-30%)</v>
      </c>
      <c r="AD1844" s="1" t="str">
        <f aca="false">IF(V1844&lt;0,"Loss Making",IF(V1844&lt;20,"Low Margin","Healthy Margin"))</f>
        <v>Healthy Margin</v>
      </c>
      <c r="AE1844" s="1" t="str">
        <f aca="false">TEXT(DATE(VALUE(RIGHT(B1844,4)),VALUE(MID(B1844,4,2)),VALUE(LEFT(B1844,2))),"MMM-YYYY")</f>
        <v>Jul-2023</v>
      </c>
      <c r="AF1844" s="1" t="n">
        <f aca="false">VALUE(RIGHT(B1844,4))</f>
        <v>2023</v>
      </c>
      <c r="AG1844" s="1" t="str">
        <f aca="false">CHOOSE(ROUNDUP(VALUE(MID(B1844,4,2))/3,0),"Q1","Q2","Q3","Q4")</f>
        <v>Q3</v>
      </c>
    </row>
    <row r="1845" customFormat="false" ht="15" hidden="false" customHeight="true" outlineLevel="0" collapsed="false">
      <c r="A1845" s="1" t="s">
        <v>2690</v>
      </c>
      <c r="B1845" s="1" t="s">
        <v>248</v>
      </c>
      <c r="C1845" s="1" t="s">
        <v>242</v>
      </c>
      <c r="D1845" s="1" t="s">
        <v>80</v>
      </c>
      <c r="E1845" s="1" t="s">
        <v>81</v>
      </c>
      <c r="F1845" s="1" t="s">
        <v>82</v>
      </c>
      <c r="G1845" s="1" t="s">
        <v>56</v>
      </c>
      <c r="H1845" s="1" t="s">
        <v>69</v>
      </c>
      <c r="I1845" s="1" t="s">
        <v>83</v>
      </c>
      <c r="J1845" s="1" t="s">
        <v>59</v>
      </c>
      <c r="K1845" s="1" t="s">
        <v>71</v>
      </c>
      <c r="L1845" s="1" t="s">
        <v>136</v>
      </c>
      <c r="M1845" s="1" t="s">
        <v>50</v>
      </c>
      <c r="N1845" s="1" t="n">
        <v>12999</v>
      </c>
      <c r="O1845" s="1" t="n">
        <v>30</v>
      </c>
      <c r="P1845" s="1" t="n">
        <v>3899.7</v>
      </c>
      <c r="Q1845" s="1" t="n">
        <v>9099.3</v>
      </c>
      <c r="R1845" s="1" t="n">
        <v>1637.87</v>
      </c>
      <c r="S1845" s="1" t="n">
        <v>7461.43</v>
      </c>
      <c r="T1845" s="1" t="n">
        <v>3015.45</v>
      </c>
      <c r="U1845" s="1" t="n">
        <v>4445.98</v>
      </c>
      <c r="V1845" s="1" t="n">
        <v>59.59</v>
      </c>
      <c r="W1845" s="1" t="s">
        <v>39</v>
      </c>
      <c r="X1845" s="1" t="n">
        <v>2.8</v>
      </c>
      <c r="Y1845" s="1" t="s">
        <v>40</v>
      </c>
      <c r="Z1845" s="1" t="n">
        <v>1</v>
      </c>
      <c r="AA1845" s="1" t="str">
        <f aca="false">TRIM(PROPER(F1845))</f>
        <v>Gurugram</v>
      </c>
      <c r="AB1845" s="1" t="str">
        <f aca="false">TRIM(PROPER(C1845))</f>
        <v>Leverage Edu</v>
      </c>
      <c r="AC1845" s="1" t="str">
        <f aca="false">IF(O1845=0,"No Discount",IF(O1845&lt;=15,"Low (1-15%)",IF(O1845&lt;=30,"Medium (16-30%)","High (&gt;30%)")))</f>
        <v>Medium (16-30%)</v>
      </c>
      <c r="AD1845" s="1" t="str">
        <f aca="false">IF(V1845&lt;0,"Loss Making",IF(V1845&lt;20,"Low Margin","Healthy Margin"))</f>
        <v>Healthy Margin</v>
      </c>
      <c r="AE1845" s="1" t="str">
        <f aca="false">TEXT(DATE(VALUE(RIGHT(B1845,4)),VALUE(MID(B1845,4,2)),VALUE(LEFT(B1845,2))),"MMM-YYYY")</f>
        <v>Jul-2024</v>
      </c>
      <c r="AF1845" s="1" t="n">
        <f aca="false">VALUE(RIGHT(B1845,4))</f>
        <v>2024</v>
      </c>
      <c r="AG1845" s="1" t="str">
        <f aca="false">CHOOSE(ROUNDUP(VALUE(MID(B1845,4,2))/3,0),"Q1","Q2","Q3","Q4")</f>
        <v>Q3</v>
      </c>
    </row>
    <row r="1846" customFormat="false" ht="15" hidden="false" customHeight="true" outlineLevel="0" collapsed="false">
      <c r="A1846" s="1" t="s">
        <v>2691</v>
      </c>
      <c r="B1846" s="1" t="s">
        <v>819</v>
      </c>
      <c r="C1846" s="1" t="s">
        <v>74</v>
      </c>
      <c r="D1846" s="1" t="s">
        <v>123</v>
      </c>
      <c r="E1846" s="1" t="s">
        <v>233</v>
      </c>
      <c r="F1846" s="1" t="s">
        <v>82</v>
      </c>
      <c r="G1846" s="1" t="s">
        <v>56</v>
      </c>
      <c r="H1846" s="1" t="s">
        <v>69</v>
      </c>
      <c r="I1846" s="1" t="s">
        <v>34</v>
      </c>
      <c r="J1846" s="1" t="s">
        <v>131</v>
      </c>
      <c r="K1846" s="1" t="s">
        <v>60</v>
      </c>
      <c r="L1846" s="1" t="s">
        <v>37</v>
      </c>
      <c r="M1846" s="1" t="s">
        <v>38</v>
      </c>
      <c r="N1846" s="1" t="n">
        <v>8999</v>
      </c>
      <c r="O1846" s="1" t="n">
        <v>10</v>
      </c>
      <c r="P1846" s="1" t="n">
        <v>899.9</v>
      </c>
      <c r="Q1846" s="1" t="n">
        <v>8099.1</v>
      </c>
      <c r="R1846" s="1" t="n">
        <v>1457.84</v>
      </c>
      <c r="S1846" s="1" t="n">
        <v>6641.26</v>
      </c>
      <c r="T1846" s="1" t="n">
        <v>3583.69</v>
      </c>
      <c r="U1846" s="1" t="n">
        <v>3057.57</v>
      </c>
      <c r="V1846" s="1" t="n">
        <v>46.04</v>
      </c>
      <c r="W1846" s="1" t="s">
        <v>39</v>
      </c>
      <c r="X1846" s="1" t="n">
        <v>3.6</v>
      </c>
      <c r="Y1846" s="1" t="s">
        <v>40</v>
      </c>
      <c r="Z1846" s="1" t="n">
        <v>1</v>
      </c>
      <c r="AA1846" s="1" t="str">
        <f aca="false">TRIM(PROPER(F1846))</f>
        <v>Gurugram</v>
      </c>
      <c r="AB1846" s="1" t="str">
        <f aca="false">TRIM(PROPER(C1846))</f>
        <v>Vedantu</v>
      </c>
      <c r="AC1846" s="1" t="str">
        <f aca="false">IF(O1846=0,"No Discount",IF(O1846&lt;=15,"Low (1-15%)",IF(O1846&lt;=30,"Medium (16-30%)","High (&gt;30%)")))</f>
        <v>Low (1-15%)</v>
      </c>
      <c r="AD1846" s="1" t="str">
        <f aca="false">IF(V1846&lt;0,"Loss Making",IF(V1846&lt;20,"Low Margin","Healthy Margin"))</f>
        <v>Healthy Margin</v>
      </c>
      <c r="AE1846" s="1" t="str">
        <f aca="false">TEXT(DATE(VALUE(RIGHT(B1846,4)),VALUE(MID(B1846,4,2)),VALUE(LEFT(B1846,2))),"MMM-YYYY")</f>
        <v>Mar-2023</v>
      </c>
      <c r="AF1846" s="1" t="n">
        <f aca="false">VALUE(RIGHT(B1846,4))</f>
        <v>2023</v>
      </c>
      <c r="AG1846" s="1" t="str">
        <f aca="false">CHOOSE(ROUNDUP(VALUE(MID(B1846,4,2))/3,0),"Q1","Q2","Q3","Q4")</f>
        <v>Q1</v>
      </c>
    </row>
    <row r="1847" customFormat="false" ht="15" hidden="false" customHeight="true" outlineLevel="0" collapsed="false">
      <c r="A1847" s="1" t="s">
        <v>2692</v>
      </c>
      <c r="B1847" s="1" t="s">
        <v>320</v>
      </c>
      <c r="C1847" s="1" t="s">
        <v>100</v>
      </c>
      <c r="D1847" s="1" t="s">
        <v>143</v>
      </c>
      <c r="E1847" s="1" t="s">
        <v>243</v>
      </c>
      <c r="F1847" s="1" t="s">
        <v>269</v>
      </c>
      <c r="G1847" s="1" t="s">
        <v>108</v>
      </c>
      <c r="H1847" s="1" t="s">
        <v>57</v>
      </c>
      <c r="I1847" s="1" t="s">
        <v>83</v>
      </c>
      <c r="J1847" s="1" t="s">
        <v>35</v>
      </c>
      <c r="K1847" s="1" t="s">
        <v>71</v>
      </c>
      <c r="L1847" s="1" t="s">
        <v>37</v>
      </c>
      <c r="M1847" s="1" t="s">
        <v>62</v>
      </c>
      <c r="N1847" s="1" t="n">
        <v>22999</v>
      </c>
      <c r="O1847" s="1" t="n">
        <v>25</v>
      </c>
      <c r="P1847" s="1" t="n">
        <v>5749.75</v>
      </c>
      <c r="Q1847" s="1" t="n">
        <v>17249.25</v>
      </c>
      <c r="R1847" s="1" t="n">
        <v>3104.86</v>
      </c>
      <c r="S1847" s="1" t="n">
        <v>14144.39</v>
      </c>
      <c r="T1847" s="1" t="n">
        <v>7564.22</v>
      </c>
      <c r="U1847" s="1" t="n">
        <v>6580.17</v>
      </c>
      <c r="V1847" s="1" t="n">
        <v>46.52</v>
      </c>
      <c r="W1847" s="1" t="s">
        <v>39</v>
      </c>
      <c r="X1847" s="1" t="n">
        <v>3.8</v>
      </c>
      <c r="Y1847" s="1" t="s">
        <v>40</v>
      </c>
      <c r="Z1847" s="1" t="n">
        <v>1</v>
      </c>
      <c r="AA1847" s="1" t="str">
        <f aca="false">TRIM(PROPER(F1847))</f>
        <v>Coimbatore</v>
      </c>
      <c r="AB1847" s="1" t="str">
        <f aca="false">TRIM(PROPER(C1847))</f>
        <v>Physics Wallah</v>
      </c>
      <c r="AC1847" s="1" t="str">
        <f aca="false">IF(O1847=0,"No Discount",IF(O1847&lt;=15,"Low (1-15%)",IF(O1847&lt;=30,"Medium (16-30%)","High (&gt;30%)")))</f>
        <v>Medium (16-30%)</v>
      </c>
      <c r="AD1847" s="1" t="str">
        <f aca="false">IF(V1847&lt;0,"Loss Making",IF(V1847&lt;20,"Low Margin","Healthy Margin"))</f>
        <v>Healthy Margin</v>
      </c>
      <c r="AE1847" s="1" t="str">
        <f aca="false">TEXT(DATE(VALUE(RIGHT(B1847,4)),VALUE(MID(B1847,4,2)),VALUE(LEFT(B1847,2))),"MMM-YYYY")</f>
        <v>Jun-2023</v>
      </c>
      <c r="AF1847" s="1" t="n">
        <f aca="false">VALUE(RIGHT(B1847,4))</f>
        <v>2023</v>
      </c>
      <c r="AG1847" s="1" t="str">
        <f aca="false">CHOOSE(ROUNDUP(VALUE(MID(B1847,4,2))/3,0),"Q1","Q2","Q3","Q4")</f>
        <v>Q2</v>
      </c>
    </row>
    <row r="1848" customFormat="false" ht="15" hidden="false" customHeight="true" outlineLevel="0" collapsed="false">
      <c r="A1848" s="1" t="s">
        <v>2693</v>
      </c>
      <c r="B1848" s="1" t="s">
        <v>766</v>
      </c>
      <c r="C1848" s="1" t="s">
        <v>88</v>
      </c>
      <c r="D1848" s="1" t="s">
        <v>143</v>
      </c>
      <c r="E1848" s="1" t="s">
        <v>243</v>
      </c>
      <c r="F1848" s="1" t="s">
        <v>102</v>
      </c>
      <c r="G1848" s="1" t="s">
        <v>103</v>
      </c>
      <c r="H1848" s="1" t="s">
        <v>33</v>
      </c>
      <c r="I1848" s="1" t="s">
        <v>58</v>
      </c>
      <c r="J1848" s="1" t="s">
        <v>131</v>
      </c>
      <c r="K1848" s="1" t="s">
        <v>112</v>
      </c>
      <c r="L1848" s="1" t="s">
        <v>136</v>
      </c>
      <c r="M1848" s="1" t="s">
        <v>50</v>
      </c>
      <c r="N1848" s="1" t="n">
        <v>22999</v>
      </c>
      <c r="O1848" s="1" t="n">
        <v>50</v>
      </c>
      <c r="P1848" s="1" t="n">
        <v>11499.5</v>
      </c>
      <c r="Q1848" s="1" t="n">
        <v>11499.5</v>
      </c>
      <c r="R1848" s="1" t="n">
        <v>2069.91</v>
      </c>
      <c r="S1848" s="1" t="n">
        <v>9429.59</v>
      </c>
      <c r="T1848" s="1" t="n">
        <v>4305.89</v>
      </c>
      <c r="U1848" s="1" t="n">
        <v>5123.7</v>
      </c>
      <c r="V1848" s="1" t="n">
        <v>54.34</v>
      </c>
      <c r="W1848" s="1" t="s">
        <v>39</v>
      </c>
      <c r="X1848" s="1" t="n">
        <v>4.1</v>
      </c>
      <c r="Y1848" s="1" t="s">
        <v>39</v>
      </c>
      <c r="Z1848" s="1" t="n">
        <v>0</v>
      </c>
      <c r="AA1848" s="1" t="str">
        <f aca="false">TRIM(PROPER(F1848))</f>
        <v>Warangal</v>
      </c>
      <c r="AB1848" s="1" t="str">
        <f aca="false">TRIM(PROPER(C1848))</f>
        <v>Byju'S</v>
      </c>
      <c r="AC1848" s="1" t="str">
        <f aca="false">IF(O1848=0,"No Discount",IF(O1848&lt;=15,"Low (1-15%)",IF(O1848&lt;=30,"Medium (16-30%)","High (&gt;30%)")))</f>
        <v>High (&gt;30%)</v>
      </c>
      <c r="AD1848" s="1" t="str">
        <f aca="false">IF(V1848&lt;0,"Loss Making",IF(V1848&lt;20,"Low Margin","Healthy Margin"))</f>
        <v>Healthy Margin</v>
      </c>
      <c r="AE1848" s="1" t="str">
        <f aca="false">TEXT(DATE(VALUE(RIGHT(B1848,4)),VALUE(MID(B1848,4,2)),VALUE(LEFT(B1848,2))),"MMM-YYYY")</f>
        <v>Feb-2024</v>
      </c>
      <c r="AF1848" s="1" t="n">
        <f aca="false">VALUE(RIGHT(B1848,4))</f>
        <v>2024</v>
      </c>
      <c r="AG1848" s="1" t="str">
        <f aca="false">CHOOSE(ROUNDUP(VALUE(MID(B1848,4,2))/3,0),"Q1","Q2","Q3","Q4")</f>
        <v>Q1</v>
      </c>
    </row>
    <row r="1849" customFormat="false" ht="15" hidden="false" customHeight="true" outlineLevel="0" collapsed="false">
      <c r="A1849" s="1" t="s">
        <v>2694</v>
      </c>
      <c r="B1849" s="1" t="s">
        <v>2695</v>
      </c>
      <c r="C1849" s="1" t="s">
        <v>139</v>
      </c>
      <c r="D1849" s="1" t="s">
        <v>80</v>
      </c>
      <c r="E1849" s="1" t="s">
        <v>190</v>
      </c>
      <c r="F1849" s="1" t="s">
        <v>184</v>
      </c>
      <c r="G1849" s="1" t="s">
        <v>56</v>
      </c>
      <c r="H1849" s="1" t="s">
        <v>57</v>
      </c>
      <c r="I1849" s="1" t="s">
        <v>83</v>
      </c>
      <c r="J1849" s="1" t="s">
        <v>131</v>
      </c>
      <c r="K1849" s="1" t="s">
        <v>90</v>
      </c>
      <c r="L1849" s="1" t="s">
        <v>61</v>
      </c>
      <c r="M1849" s="1" t="s">
        <v>62</v>
      </c>
      <c r="N1849" s="1" t="n">
        <v>15999</v>
      </c>
      <c r="O1849" s="1" t="n">
        <v>25</v>
      </c>
      <c r="P1849" s="1" t="n">
        <v>3999.75</v>
      </c>
      <c r="Q1849" s="1" t="n">
        <v>11999.25</v>
      </c>
      <c r="R1849" s="1" t="n">
        <v>2159.86</v>
      </c>
      <c r="S1849" s="1" t="n">
        <v>9839.39</v>
      </c>
      <c r="T1849" s="1" t="n">
        <v>4137.83</v>
      </c>
      <c r="U1849" s="1" t="n">
        <v>5701.56</v>
      </c>
      <c r="V1849" s="1" t="n">
        <v>57.95</v>
      </c>
      <c r="W1849" s="1" t="s">
        <v>40</v>
      </c>
      <c r="Y1849" s="1" t="s">
        <v>40</v>
      </c>
      <c r="Z1849" s="1" t="n">
        <v>0</v>
      </c>
      <c r="AA1849" s="1" t="str">
        <f aca="false">TRIM(PROPER(F1849))</f>
        <v>Faridabad</v>
      </c>
      <c r="AB1849" s="1" t="str">
        <f aca="false">TRIM(PROPER(C1849))</f>
        <v>Extramarks</v>
      </c>
      <c r="AC1849" s="1" t="str">
        <f aca="false">IF(O1849=0,"No Discount",IF(O1849&lt;=15,"Low (1-15%)",IF(O1849&lt;=30,"Medium (16-30%)","High (&gt;30%)")))</f>
        <v>Medium (16-30%)</v>
      </c>
      <c r="AD1849" s="1" t="str">
        <f aca="false">IF(V1849&lt;0,"Loss Making",IF(V1849&lt;20,"Low Margin","Healthy Margin"))</f>
        <v>Healthy Margin</v>
      </c>
      <c r="AE1849" s="1" t="str">
        <f aca="false">TEXT(DATE(VALUE(RIGHT(B1849,4)),VALUE(MID(B1849,4,2)),VALUE(LEFT(B1849,2))),"MMM-YYYY")</f>
        <v>May-2023</v>
      </c>
      <c r="AF1849" s="1" t="n">
        <f aca="false">VALUE(RIGHT(B1849,4))</f>
        <v>2023</v>
      </c>
      <c r="AG1849" s="1" t="str">
        <f aca="false">CHOOSE(ROUNDUP(VALUE(MID(B1849,4,2))/3,0),"Q1","Q2","Q3","Q4")</f>
        <v>Q2</v>
      </c>
    </row>
    <row r="1850" customFormat="false" ht="15" hidden="false" customHeight="true" outlineLevel="0" collapsed="false">
      <c r="A1850" s="1" t="s">
        <v>2696</v>
      </c>
      <c r="B1850" s="1" t="s">
        <v>2435</v>
      </c>
      <c r="C1850" s="1" t="s">
        <v>28</v>
      </c>
      <c r="D1850" s="1" t="s">
        <v>168</v>
      </c>
      <c r="E1850" s="1" t="s">
        <v>328</v>
      </c>
      <c r="F1850" s="1" t="s">
        <v>120</v>
      </c>
      <c r="G1850" s="1" t="s">
        <v>47</v>
      </c>
      <c r="H1850" s="1" t="s">
        <v>57</v>
      </c>
      <c r="I1850" s="1" t="s">
        <v>58</v>
      </c>
      <c r="J1850" s="1" t="s">
        <v>131</v>
      </c>
      <c r="K1850" s="1" t="s">
        <v>90</v>
      </c>
      <c r="L1850" s="1" t="s">
        <v>85</v>
      </c>
      <c r="M1850" s="1" t="s">
        <v>38</v>
      </c>
      <c r="N1850" s="1" t="n">
        <v>8999</v>
      </c>
      <c r="O1850" s="1" t="n">
        <v>40</v>
      </c>
      <c r="P1850" s="1" t="n">
        <v>3599.6</v>
      </c>
      <c r="Q1850" s="1" t="n">
        <v>5399.4</v>
      </c>
      <c r="R1850" s="1" t="n">
        <v>971.89</v>
      </c>
      <c r="S1850" s="1" t="n">
        <v>4427.51</v>
      </c>
      <c r="T1850" s="1" t="n">
        <v>2432.44</v>
      </c>
      <c r="U1850" s="1" t="n">
        <v>1995.07</v>
      </c>
      <c r="V1850" s="1" t="n">
        <v>45.06</v>
      </c>
      <c r="W1850" s="1" t="s">
        <v>40</v>
      </c>
      <c r="Y1850" s="1" t="s">
        <v>40</v>
      </c>
      <c r="Z1850" s="1" t="n">
        <v>0</v>
      </c>
      <c r="AA1850" s="1" t="str">
        <f aca="false">TRIM(PROPER(F1850))</f>
        <v>Mysuru</v>
      </c>
      <c r="AB1850" s="1" t="str">
        <f aca="false">TRIM(PROPER(C1850))</f>
        <v>Embibe</v>
      </c>
      <c r="AC1850" s="1" t="str">
        <f aca="false">IF(O1850=0,"No Discount",IF(O1850&lt;=15,"Low (1-15%)",IF(O1850&lt;=30,"Medium (16-30%)","High (&gt;30%)")))</f>
        <v>High (&gt;30%)</v>
      </c>
      <c r="AD1850" s="1" t="str">
        <f aca="false">IF(V1850&lt;0,"Loss Making",IF(V1850&lt;20,"Low Margin","Healthy Margin"))</f>
        <v>Healthy Margin</v>
      </c>
      <c r="AE1850" s="1" t="str">
        <f aca="false">TEXT(DATE(VALUE(RIGHT(B1850,4)),VALUE(MID(B1850,4,2)),VALUE(LEFT(B1850,2))),"MMM-YYYY")</f>
        <v>Feb-2023</v>
      </c>
      <c r="AF1850" s="1" t="n">
        <f aca="false">VALUE(RIGHT(B1850,4))</f>
        <v>2023</v>
      </c>
      <c r="AG1850" s="1" t="str">
        <f aca="false">CHOOSE(ROUNDUP(VALUE(MID(B1850,4,2))/3,0),"Q1","Q2","Q3","Q4")</f>
        <v>Q1</v>
      </c>
    </row>
    <row r="1851" customFormat="false" ht="15" hidden="false" customHeight="true" outlineLevel="0" collapsed="false">
      <c r="A1851" s="1" t="s">
        <v>2697</v>
      </c>
      <c r="B1851" s="1" t="s">
        <v>669</v>
      </c>
      <c r="C1851" s="1" t="s">
        <v>134</v>
      </c>
      <c r="D1851" s="1" t="s">
        <v>80</v>
      </c>
      <c r="E1851" s="1" t="s">
        <v>175</v>
      </c>
      <c r="F1851" s="1" t="s">
        <v>67</v>
      </c>
      <c r="G1851" s="1" t="s">
        <v>68</v>
      </c>
      <c r="H1851" s="1" t="s">
        <v>69</v>
      </c>
      <c r="I1851" s="1" t="s">
        <v>83</v>
      </c>
      <c r="J1851" s="1" t="s">
        <v>59</v>
      </c>
      <c r="K1851" s="1" t="s">
        <v>104</v>
      </c>
      <c r="L1851" s="1" t="s">
        <v>136</v>
      </c>
      <c r="M1851" s="1" t="s">
        <v>38</v>
      </c>
      <c r="N1851" s="1" t="n">
        <v>19999</v>
      </c>
      <c r="O1851" s="1" t="n">
        <v>10</v>
      </c>
      <c r="P1851" s="1" t="n">
        <v>1999.9</v>
      </c>
      <c r="Q1851" s="1" t="n">
        <v>17999.1</v>
      </c>
      <c r="R1851" s="1" t="n">
        <v>3239.84</v>
      </c>
      <c r="S1851" s="1" t="n">
        <v>14759.26</v>
      </c>
      <c r="T1851" s="1" t="n">
        <v>5364.35</v>
      </c>
      <c r="U1851" s="1" t="n">
        <v>9394.91</v>
      </c>
      <c r="V1851" s="1" t="n">
        <v>63.65</v>
      </c>
      <c r="W1851" s="1" t="s">
        <v>39</v>
      </c>
      <c r="X1851" s="1" t="n">
        <v>4</v>
      </c>
      <c r="Y1851" s="1" t="s">
        <v>40</v>
      </c>
      <c r="Z1851" s="1" t="n">
        <v>0</v>
      </c>
      <c r="AA1851" s="1" t="str">
        <f aca="false">TRIM(PROPER(F1851))</f>
        <v>Ahmedabad</v>
      </c>
      <c r="AB1851" s="1" t="str">
        <f aca="false">TRIM(PROPER(C1851))</f>
        <v>Doubtnut</v>
      </c>
      <c r="AC1851" s="1" t="str">
        <f aca="false">IF(O1851=0,"No Discount",IF(O1851&lt;=15,"Low (1-15%)",IF(O1851&lt;=30,"Medium (16-30%)","High (&gt;30%)")))</f>
        <v>Low (1-15%)</v>
      </c>
      <c r="AD1851" s="1" t="str">
        <f aca="false">IF(V1851&lt;0,"Loss Making",IF(V1851&lt;20,"Low Margin","Healthy Margin"))</f>
        <v>Healthy Margin</v>
      </c>
      <c r="AE1851" s="1" t="str">
        <f aca="false">TEXT(DATE(VALUE(RIGHT(B1851,4)),VALUE(MID(B1851,4,2)),VALUE(LEFT(B1851,2))),"MMM-YYYY")</f>
        <v>Mar-2023</v>
      </c>
      <c r="AF1851" s="1" t="n">
        <f aca="false">VALUE(RIGHT(B1851,4))</f>
        <v>2023</v>
      </c>
      <c r="AG1851" s="1" t="str">
        <f aca="false">CHOOSE(ROUNDUP(VALUE(MID(B1851,4,2))/3,0),"Q1","Q2","Q3","Q4")</f>
        <v>Q1</v>
      </c>
    </row>
    <row r="1852" customFormat="false" ht="15" hidden="false" customHeight="true" outlineLevel="0" collapsed="false">
      <c r="A1852" s="1" t="s">
        <v>2698</v>
      </c>
      <c r="B1852" s="1" t="s">
        <v>2301</v>
      </c>
      <c r="C1852" s="1" t="s">
        <v>93</v>
      </c>
      <c r="D1852" s="1" t="s">
        <v>53</v>
      </c>
      <c r="E1852" s="1" t="s">
        <v>54</v>
      </c>
      <c r="F1852" s="1" t="s">
        <v>150</v>
      </c>
      <c r="G1852" s="1" t="s">
        <v>32</v>
      </c>
      <c r="H1852" s="1" t="s">
        <v>57</v>
      </c>
      <c r="I1852" s="1" t="s">
        <v>58</v>
      </c>
      <c r="J1852" s="1" t="s">
        <v>70</v>
      </c>
      <c r="K1852" s="1" t="s">
        <v>84</v>
      </c>
      <c r="L1852" s="1" t="s">
        <v>49</v>
      </c>
      <c r="M1852" s="1" t="s">
        <v>38</v>
      </c>
      <c r="N1852" s="1" t="n">
        <v>11999</v>
      </c>
      <c r="O1852" s="1" t="n">
        <v>40</v>
      </c>
      <c r="P1852" s="1" t="n">
        <v>4799.6</v>
      </c>
      <c r="Q1852" s="1" t="n">
        <v>7199.4</v>
      </c>
      <c r="R1852" s="1" t="n">
        <v>1295.89</v>
      </c>
      <c r="S1852" s="1" t="n">
        <v>5903.51</v>
      </c>
      <c r="T1852" s="1" t="n">
        <v>3298.1</v>
      </c>
      <c r="U1852" s="1" t="n">
        <v>2605.41</v>
      </c>
      <c r="V1852" s="1" t="n">
        <v>44.13</v>
      </c>
      <c r="W1852" s="1" t="s">
        <v>39</v>
      </c>
      <c r="X1852" s="1" t="n">
        <v>3.6</v>
      </c>
      <c r="Y1852" s="1" t="s">
        <v>40</v>
      </c>
      <c r="Z1852" s="1" t="n">
        <v>0</v>
      </c>
      <c r="AA1852" s="1" t="str">
        <f aca="false">TRIM(PROPER(F1852))</f>
        <v>Jaipur</v>
      </c>
      <c r="AB1852" s="1" t="str">
        <f aca="false">TRIM(PROPER(C1852))</f>
        <v>Upgrad</v>
      </c>
      <c r="AC1852" s="1" t="str">
        <f aca="false">IF(O1852=0,"No Discount",IF(O1852&lt;=15,"Low (1-15%)",IF(O1852&lt;=30,"Medium (16-30%)","High (&gt;30%)")))</f>
        <v>High (&gt;30%)</v>
      </c>
      <c r="AD1852" s="1" t="str">
        <f aca="false">IF(V1852&lt;0,"Loss Making",IF(V1852&lt;20,"Low Margin","Healthy Margin"))</f>
        <v>Healthy Margin</v>
      </c>
      <c r="AE1852" s="1" t="str">
        <f aca="false">TEXT(DATE(VALUE(RIGHT(B1852,4)),VALUE(MID(B1852,4,2)),VALUE(LEFT(B1852,2))),"MMM-YYYY")</f>
        <v>May-2023</v>
      </c>
      <c r="AF1852" s="1" t="n">
        <f aca="false">VALUE(RIGHT(B1852,4))</f>
        <v>2023</v>
      </c>
      <c r="AG1852" s="1" t="str">
        <f aca="false">CHOOSE(ROUNDUP(VALUE(MID(B1852,4,2))/3,0),"Q1","Q2","Q3","Q4")</f>
        <v>Q2</v>
      </c>
    </row>
    <row r="1853" customFormat="false" ht="15" hidden="false" customHeight="true" outlineLevel="0" collapsed="false">
      <c r="A1853" s="1" t="s">
        <v>2699</v>
      </c>
      <c r="B1853" s="1" t="s">
        <v>945</v>
      </c>
      <c r="C1853" s="1" t="s">
        <v>93</v>
      </c>
      <c r="D1853" s="1" t="s">
        <v>29</v>
      </c>
      <c r="E1853" s="1" t="s">
        <v>129</v>
      </c>
      <c r="F1853" s="1" t="s">
        <v>67</v>
      </c>
      <c r="G1853" s="1" t="s">
        <v>68</v>
      </c>
      <c r="H1853" s="1" t="s">
        <v>69</v>
      </c>
      <c r="I1853" s="1" t="s">
        <v>34</v>
      </c>
      <c r="J1853" s="1" t="s">
        <v>131</v>
      </c>
      <c r="K1853" s="1" t="s">
        <v>36</v>
      </c>
      <c r="L1853" s="1" t="s">
        <v>49</v>
      </c>
      <c r="M1853" s="1" t="s">
        <v>50</v>
      </c>
      <c r="N1853" s="1" t="n">
        <v>29999</v>
      </c>
      <c r="O1853" s="1" t="n">
        <v>15</v>
      </c>
      <c r="P1853" s="1" t="n">
        <v>4499.85</v>
      </c>
      <c r="Q1853" s="1" t="n">
        <v>25499.15</v>
      </c>
      <c r="R1853" s="1" t="n">
        <v>4589.85</v>
      </c>
      <c r="S1853" s="1" t="n">
        <v>20909.3</v>
      </c>
      <c r="T1853" s="1" t="n">
        <v>7119.64</v>
      </c>
      <c r="U1853" s="1" t="n">
        <v>13789.66</v>
      </c>
      <c r="V1853" s="1" t="n">
        <v>65.95</v>
      </c>
      <c r="W1853" s="1" t="s">
        <v>39</v>
      </c>
      <c r="X1853" s="1" t="n">
        <v>4.3</v>
      </c>
      <c r="Y1853" s="1" t="s">
        <v>40</v>
      </c>
      <c r="Z1853" s="1" t="n">
        <v>0</v>
      </c>
      <c r="AA1853" s="1" t="str">
        <f aca="false">TRIM(PROPER(F1853))</f>
        <v>Ahmedabad</v>
      </c>
      <c r="AB1853" s="1" t="str">
        <f aca="false">TRIM(PROPER(C1853))</f>
        <v>Upgrad</v>
      </c>
      <c r="AC1853" s="1" t="str">
        <f aca="false">IF(O1853=0,"No Discount",IF(O1853&lt;=15,"Low (1-15%)",IF(O1853&lt;=30,"Medium (16-30%)","High (&gt;30%)")))</f>
        <v>Low (1-15%)</v>
      </c>
      <c r="AD1853" s="1" t="str">
        <f aca="false">IF(V1853&lt;0,"Loss Making",IF(V1853&lt;20,"Low Margin","Healthy Margin"))</f>
        <v>Healthy Margin</v>
      </c>
      <c r="AE1853" s="1" t="str">
        <f aca="false">TEXT(DATE(VALUE(RIGHT(B1853,4)),VALUE(MID(B1853,4,2)),VALUE(LEFT(B1853,2))),"MMM-YYYY")</f>
        <v>Oct-2023</v>
      </c>
      <c r="AF1853" s="1" t="n">
        <f aca="false">VALUE(RIGHT(B1853,4))</f>
        <v>2023</v>
      </c>
      <c r="AG1853" s="1" t="str">
        <f aca="false">CHOOSE(ROUNDUP(VALUE(MID(B1853,4,2))/3,0),"Q1","Q2","Q3","Q4")</f>
        <v>Q4</v>
      </c>
    </row>
    <row r="1854" customFormat="false" ht="15" hidden="false" customHeight="true" outlineLevel="0" collapsed="false">
      <c r="A1854" s="1" t="s">
        <v>2700</v>
      </c>
      <c r="B1854" s="1" t="s">
        <v>625</v>
      </c>
      <c r="C1854" s="1" t="s">
        <v>178</v>
      </c>
      <c r="D1854" s="1" t="s">
        <v>29</v>
      </c>
      <c r="E1854" s="1" t="s">
        <v>182</v>
      </c>
      <c r="F1854" s="1" t="s">
        <v>184</v>
      </c>
      <c r="G1854" s="1" t="s">
        <v>56</v>
      </c>
      <c r="H1854" s="1" t="s">
        <v>57</v>
      </c>
      <c r="I1854" s="1" t="s">
        <v>34</v>
      </c>
      <c r="J1854" s="1" t="s">
        <v>77</v>
      </c>
      <c r="K1854" s="1" t="s">
        <v>48</v>
      </c>
      <c r="L1854" s="1" t="s">
        <v>61</v>
      </c>
      <c r="M1854" s="1" t="s">
        <v>62</v>
      </c>
      <c r="N1854" s="1" t="n">
        <v>34999</v>
      </c>
      <c r="O1854" s="1" t="n">
        <v>0</v>
      </c>
      <c r="P1854" s="1" t="n">
        <v>0</v>
      </c>
      <c r="Q1854" s="1" t="n">
        <v>34999</v>
      </c>
      <c r="R1854" s="1" t="n">
        <v>6299.82</v>
      </c>
      <c r="S1854" s="1" t="n">
        <v>28699.18</v>
      </c>
      <c r="T1854" s="1" t="n">
        <v>9795.56</v>
      </c>
      <c r="U1854" s="1" t="n">
        <v>18903.62</v>
      </c>
      <c r="V1854" s="1" t="n">
        <v>65.87</v>
      </c>
      <c r="W1854" s="1" t="s">
        <v>39</v>
      </c>
      <c r="X1854" s="1" t="n">
        <v>4.2</v>
      </c>
      <c r="Y1854" s="1" t="s">
        <v>40</v>
      </c>
      <c r="Z1854" s="1" t="n">
        <v>0</v>
      </c>
      <c r="AA1854" s="1" t="str">
        <f aca="false">TRIM(PROPER(F1854))</f>
        <v>Faridabad</v>
      </c>
      <c r="AB1854" s="1" t="str">
        <f aca="false">TRIM(PROPER(C1854))</f>
        <v>Leverage Edu</v>
      </c>
      <c r="AC1854" s="1" t="str">
        <f aca="false">IF(O1854=0,"No Discount",IF(O1854&lt;=15,"Low (1-15%)",IF(O1854&lt;=30,"Medium (16-30%)","High (&gt;30%)")))</f>
        <v>No Discount</v>
      </c>
      <c r="AD1854" s="1" t="str">
        <f aca="false">IF(V1854&lt;0,"Loss Making",IF(V1854&lt;20,"Low Margin","Healthy Margin"))</f>
        <v>Healthy Margin</v>
      </c>
      <c r="AE1854" s="1" t="str">
        <f aca="false">TEXT(DATE(VALUE(RIGHT(B1854,4)),VALUE(MID(B1854,4,2)),VALUE(LEFT(B1854,2))),"MMM-YYYY")</f>
        <v>Dec-2023</v>
      </c>
      <c r="AF1854" s="1" t="n">
        <f aca="false">VALUE(RIGHT(B1854,4))</f>
        <v>2023</v>
      </c>
      <c r="AG1854" s="1" t="str">
        <f aca="false">CHOOSE(ROUNDUP(VALUE(MID(B1854,4,2))/3,0),"Q1","Q2","Q3","Q4")</f>
        <v>Q4</v>
      </c>
    </row>
    <row r="1855" customFormat="false" ht="15" hidden="false" customHeight="true" outlineLevel="0" collapsed="false">
      <c r="A1855" s="1" t="s">
        <v>2701</v>
      </c>
      <c r="B1855" s="1" t="s">
        <v>1275</v>
      </c>
      <c r="C1855" s="1" t="s">
        <v>249</v>
      </c>
      <c r="D1855" s="1" t="s">
        <v>44</v>
      </c>
      <c r="E1855" s="1" t="s">
        <v>221</v>
      </c>
      <c r="F1855" s="1" t="s">
        <v>120</v>
      </c>
      <c r="G1855" s="1" t="s">
        <v>47</v>
      </c>
      <c r="H1855" s="1" t="s">
        <v>57</v>
      </c>
      <c r="I1855" s="1" t="s">
        <v>34</v>
      </c>
      <c r="J1855" s="1" t="s">
        <v>70</v>
      </c>
      <c r="K1855" s="1" t="s">
        <v>36</v>
      </c>
      <c r="L1855" s="1" t="s">
        <v>61</v>
      </c>
      <c r="M1855" s="1" t="s">
        <v>50</v>
      </c>
      <c r="N1855" s="1" t="n">
        <v>16999</v>
      </c>
      <c r="O1855" s="1" t="n">
        <v>30</v>
      </c>
      <c r="P1855" s="1" t="n">
        <v>5099.7</v>
      </c>
      <c r="Q1855" s="1" t="n">
        <v>11899.3</v>
      </c>
      <c r="R1855" s="1" t="n">
        <v>2141.87</v>
      </c>
      <c r="S1855" s="1" t="n">
        <v>9757.43</v>
      </c>
      <c r="T1855" s="1" t="n">
        <v>3975.9</v>
      </c>
      <c r="U1855" s="1" t="n">
        <v>5781.53</v>
      </c>
      <c r="V1855" s="1" t="n">
        <v>59.25</v>
      </c>
      <c r="W1855" s="1" t="s">
        <v>39</v>
      </c>
      <c r="X1855" s="1" t="n">
        <v>3.9</v>
      </c>
      <c r="Y1855" s="1" t="s">
        <v>40</v>
      </c>
      <c r="Z1855" s="1" t="n">
        <v>0</v>
      </c>
      <c r="AA1855" s="1" t="str">
        <f aca="false">TRIM(PROPER(F1855))</f>
        <v>Mysuru</v>
      </c>
      <c r="AB1855" s="1" t="str">
        <f aca="false">TRIM(PROPER(C1855))</f>
        <v>Whitehat Jr</v>
      </c>
      <c r="AC1855" s="1" t="str">
        <f aca="false">IF(O1855=0,"No Discount",IF(O1855&lt;=15,"Low (1-15%)",IF(O1855&lt;=30,"Medium (16-30%)","High (&gt;30%)")))</f>
        <v>Medium (16-30%)</v>
      </c>
      <c r="AD1855" s="1" t="str">
        <f aca="false">IF(V1855&lt;0,"Loss Making",IF(V1855&lt;20,"Low Margin","Healthy Margin"))</f>
        <v>Healthy Margin</v>
      </c>
      <c r="AE1855" s="1" t="str">
        <f aca="false">TEXT(DATE(VALUE(RIGHT(B1855,4)),VALUE(MID(B1855,4,2)),VALUE(LEFT(B1855,2))),"MMM-YYYY")</f>
        <v>Dec-2024</v>
      </c>
      <c r="AF1855" s="1" t="n">
        <f aca="false">VALUE(RIGHT(B1855,4))</f>
        <v>2024</v>
      </c>
      <c r="AG1855" s="1" t="str">
        <f aca="false">CHOOSE(ROUNDUP(VALUE(MID(B1855,4,2))/3,0),"Q1","Q2","Q3","Q4")</f>
        <v>Q4</v>
      </c>
    </row>
    <row r="1856" customFormat="false" ht="15" hidden="false" customHeight="true" outlineLevel="0" collapsed="false">
      <c r="A1856" s="1" t="s">
        <v>2702</v>
      </c>
      <c r="B1856" s="1" t="s">
        <v>876</v>
      </c>
      <c r="C1856" s="1" t="s">
        <v>178</v>
      </c>
      <c r="D1856" s="1" t="s">
        <v>143</v>
      </c>
      <c r="E1856" s="1" t="s">
        <v>243</v>
      </c>
      <c r="F1856" s="1" t="s">
        <v>211</v>
      </c>
      <c r="G1856" s="1" t="s">
        <v>56</v>
      </c>
      <c r="H1856" s="1" t="s">
        <v>69</v>
      </c>
      <c r="I1856" s="1" t="s">
        <v>34</v>
      </c>
      <c r="J1856" s="1" t="s">
        <v>131</v>
      </c>
      <c r="K1856" s="1" t="s">
        <v>36</v>
      </c>
      <c r="L1856" s="1" t="s">
        <v>85</v>
      </c>
      <c r="M1856" s="1" t="s">
        <v>62</v>
      </c>
      <c r="N1856" s="1" t="n">
        <v>22999</v>
      </c>
      <c r="O1856" s="1" t="n">
        <v>15</v>
      </c>
      <c r="P1856" s="1" t="n">
        <v>3449.85</v>
      </c>
      <c r="Q1856" s="1" t="n">
        <v>19549.15</v>
      </c>
      <c r="R1856" s="1" t="n">
        <v>3518.85</v>
      </c>
      <c r="S1856" s="1" t="n">
        <v>16030.3</v>
      </c>
      <c r="T1856" s="1" t="n">
        <v>7340.42</v>
      </c>
      <c r="U1856" s="1" t="n">
        <v>8689.88</v>
      </c>
      <c r="V1856" s="1" t="n">
        <v>54.21</v>
      </c>
      <c r="W1856" s="1" t="s">
        <v>39</v>
      </c>
      <c r="X1856" s="1" t="n">
        <v>3.8</v>
      </c>
      <c r="Y1856" s="1" t="s">
        <v>40</v>
      </c>
      <c r="Z1856" s="1" t="n">
        <v>1</v>
      </c>
      <c r="AA1856" s="1" t="str">
        <f aca="false">TRIM(PROPER(F1856))</f>
        <v>Noida</v>
      </c>
      <c r="AB1856" s="1" t="str">
        <f aca="false">TRIM(PROPER(C1856))</f>
        <v>Leverage Edu</v>
      </c>
      <c r="AC1856" s="1" t="str">
        <f aca="false">IF(O1856=0,"No Discount",IF(O1856&lt;=15,"Low (1-15%)",IF(O1856&lt;=30,"Medium (16-30%)","High (&gt;30%)")))</f>
        <v>Low (1-15%)</v>
      </c>
      <c r="AD1856" s="1" t="str">
        <f aca="false">IF(V1856&lt;0,"Loss Making",IF(V1856&lt;20,"Low Margin","Healthy Margin"))</f>
        <v>Healthy Margin</v>
      </c>
      <c r="AE1856" s="1" t="str">
        <f aca="false">TEXT(DATE(VALUE(RIGHT(B1856,4)),VALUE(MID(B1856,4,2)),VALUE(LEFT(B1856,2))),"MMM-YYYY")</f>
        <v>Jul-2023</v>
      </c>
      <c r="AF1856" s="1" t="n">
        <f aca="false">VALUE(RIGHT(B1856,4))</f>
        <v>2023</v>
      </c>
      <c r="AG1856" s="1" t="str">
        <f aca="false">CHOOSE(ROUNDUP(VALUE(MID(B1856,4,2))/3,0),"Q1","Q2","Q3","Q4")</f>
        <v>Q3</v>
      </c>
    </row>
    <row r="1857" customFormat="false" ht="15" hidden="false" customHeight="true" outlineLevel="0" collapsed="false">
      <c r="A1857" s="1" t="s">
        <v>2703</v>
      </c>
      <c r="B1857" s="1" t="s">
        <v>213</v>
      </c>
      <c r="C1857" s="1" t="s">
        <v>167</v>
      </c>
      <c r="D1857" s="1" t="s">
        <v>29</v>
      </c>
      <c r="E1857" s="1" t="s">
        <v>182</v>
      </c>
      <c r="F1857" s="1" t="s">
        <v>269</v>
      </c>
      <c r="G1857" s="1" t="s">
        <v>108</v>
      </c>
      <c r="H1857" s="1" t="s">
        <v>57</v>
      </c>
      <c r="I1857" s="1" t="s">
        <v>83</v>
      </c>
      <c r="J1857" s="1" t="s">
        <v>70</v>
      </c>
      <c r="K1857" s="1" t="s">
        <v>60</v>
      </c>
      <c r="L1857" s="1" t="s">
        <v>136</v>
      </c>
      <c r="M1857" s="1" t="s">
        <v>50</v>
      </c>
      <c r="N1857" s="1" t="n">
        <v>34999</v>
      </c>
      <c r="O1857" s="1" t="n">
        <v>15</v>
      </c>
      <c r="P1857" s="1" t="n">
        <v>5249.85</v>
      </c>
      <c r="Q1857" s="1" t="n">
        <v>29749.15</v>
      </c>
      <c r="R1857" s="1" t="n">
        <v>5354.85</v>
      </c>
      <c r="S1857" s="1" t="n">
        <v>24394.3</v>
      </c>
      <c r="T1857" s="1" t="n">
        <v>8982.03</v>
      </c>
      <c r="U1857" s="1" t="n">
        <v>15412.27</v>
      </c>
      <c r="V1857" s="1" t="n">
        <v>63.18</v>
      </c>
      <c r="W1857" s="1" t="s">
        <v>40</v>
      </c>
      <c r="Y1857" s="1" t="s">
        <v>40</v>
      </c>
      <c r="Z1857" s="1" t="n">
        <v>0</v>
      </c>
      <c r="AA1857" s="1" t="str">
        <f aca="false">TRIM(PROPER(F1857))</f>
        <v>Coimbatore</v>
      </c>
      <c r="AB1857" s="1" t="str">
        <f aca="false">TRIM(PROPER(C1857))</f>
        <v>Scaler</v>
      </c>
      <c r="AC1857" s="1" t="str">
        <f aca="false">IF(O1857=0,"No Discount",IF(O1857&lt;=15,"Low (1-15%)",IF(O1857&lt;=30,"Medium (16-30%)","High (&gt;30%)")))</f>
        <v>Low (1-15%)</v>
      </c>
      <c r="AD1857" s="1" t="str">
        <f aca="false">IF(V1857&lt;0,"Loss Making",IF(V1857&lt;20,"Low Margin","Healthy Margin"))</f>
        <v>Healthy Margin</v>
      </c>
      <c r="AE1857" s="1" t="str">
        <f aca="false">TEXT(DATE(VALUE(RIGHT(B1857,4)),VALUE(MID(B1857,4,2)),VALUE(LEFT(B1857,2))),"MMM-YYYY")</f>
        <v>Jan-2024</v>
      </c>
      <c r="AF1857" s="1" t="n">
        <f aca="false">VALUE(RIGHT(B1857,4))</f>
        <v>2024</v>
      </c>
      <c r="AG1857" s="1" t="str">
        <f aca="false">CHOOSE(ROUNDUP(VALUE(MID(B1857,4,2))/3,0),"Q1","Q2","Q3","Q4")</f>
        <v>Q1</v>
      </c>
    </row>
    <row r="1858" customFormat="false" ht="15" hidden="false" customHeight="true" outlineLevel="0" collapsed="false">
      <c r="A1858" s="1" t="s">
        <v>2704</v>
      </c>
      <c r="B1858" s="1" t="s">
        <v>630</v>
      </c>
      <c r="C1858" s="1" t="s">
        <v>128</v>
      </c>
      <c r="D1858" s="1" t="s">
        <v>53</v>
      </c>
      <c r="E1858" s="1" t="s">
        <v>54</v>
      </c>
      <c r="F1858" s="1" t="s">
        <v>107</v>
      </c>
      <c r="G1858" s="1" t="s">
        <v>108</v>
      </c>
      <c r="H1858" s="1" t="s">
        <v>33</v>
      </c>
      <c r="I1858" s="1" t="s">
        <v>83</v>
      </c>
      <c r="J1858" s="1" t="s">
        <v>131</v>
      </c>
      <c r="K1858" s="1" t="s">
        <v>36</v>
      </c>
      <c r="L1858" s="1" t="s">
        <v>49</v>
      </c>
      <c r="M1858" s="1" t="s">
        <v>50</v>
      </c>
      <c r="N1858" s="1" t="n">
        <v>11999</v>
      </c>
      <c r="O1858" s="1" t="n">
        <v>10</v>
      </c>
      <c r="P1858" s="1" t="n">
        <v>1199.9</v>
      </c>
      <c r="Q1858" s="1" t="n">
        <v>10799.1</v>
      </c>
      <c r="R1858" s="1" t="n">
        <v>1943.84</v>
      </c>
      <c r="S1858" s="1" t="n">
        <v>8855.26</v>
      </c>
      <c r="T1858" s="1" t="n">
        <v>3710.19</v>
      </c>
      <c r="U1858" s="1" t="n">
        <v>5145.07</v>
      </c>
      <c r="V1858" s="1" t="n">
        <v>58.1</v>
      </c>
      <c r="W1858" s="1" t="s">
        <v>40</v>
      </c>
      <c r="Y1858" s="1" t="s">
        <v>40</v>
      </c>
      <c r="Z1858" s="1" t="n">
        <v>1</v>
      </c>
      <c r="AA1858" s="1" t="str">
        <f aca="false">TRIM(PROPER(F1858))</f>
        <v>Madurai</v>
      </c>
      <c r="AB1858" s="1" t="str">
        <f aca="false">TRIM(PROPER(C1858))</f>
        <v>Great Learning</v>
      </c>
      <c r="AC1858" s="1" t="str">
        <f aca="false">IF(O1858=0,"No Discount",IF(O1858&lt;=15,"Low (1-15%)",IF(O1858&lt;=30,"Medium (16-30%)","High (&gt;30%)")))</f>
        <v>Low (1-15%)</v>
      </c>
      <c r="AD1858" s="1" t="str">
        <f aca="false">IF(V1858&lt;0,"Loss Making",IF(V1858&lt;20,"Low Margin","Healthy Margin"))</f>
        <v>Healthy Margin</v>
      </c>
      <c r="AE1858" s="1" t="str">
        <f aca="false">TEXT(DATE(VALUE(RIGHT(B1858,4)),VALUE(MID(B1858,4,2)),VALUE(LEFT(B1858,2))),"MMM-YYYY")</f>
        <v>Dec-2024</v>
      </c>
      <c r="AF1858" s="1" t="n">
        <f aca="false">VALUE(RIGHT(B1858,4))</f>
        <v>2024</v>
      </c>
      <c r="AG1858" s="1" t="str">
        <f aca="false">CHOOSE(ROUNDUP(VALUE(MID(B1858,4,2))/3,0),"Q1","Q2","Q3","Q4")</f>
        <v>Q4</v>
      </c>
    </row>
    <row r="1859" customFormat="false" ht="15" hidden="false" customHeight="true" outlineLevel="0" collapsed="false">
      <c r="A1859" s="1" t="s">
        <v>2705</v>
      </c>
      <c r="B1859" s="1" t="s">
        <v>483</v>
      </c>
      <c r="C1859" s="1" t="s">
        <v>264</v>
      </c>
      <c r="D1859" s="1" t="s">
        <v>29</v>
      </c>
      <c r="E1859" s="1" t="s">
        <v>129</v>
      </c>
      <c r="F1859" s="1" t="s">
        <v>156</v>
      </c>
      <c r="G1859" s="1" t="s">
        <v>68</v>
      </c>
      <c r="H1859" s="1" t="s">
        <v>57</v>
      </c>
      <c r="I1859" s="1" t="s">
        <v>83</v>
      </c>
      <c r="J1859" s="1" t="s">
        <v>59</v>
      </c>
      <c r="K1859" s="1" t="s">
        <v>90</v>
      </c>
      <c r="L1859" s="1" t="s">
        <v>85</v>
      </c>
      <c r="M1859" s="1" t="s">
        <v>38</v>
      </c>
      <c r="N1859" s="1" t="n">
        <v>29999</v>
      </c>
      <c r="O1859" s="1" t="n">
        <v>5</v>
      </c>
      <c r="P1859" s="1" t="n">
        <v>1499.95</v>
      </c>
      <c r="Q1859" s="1" t="n">
        <v>28499.05</v>
      </c>
      <c r="R1859" s="1" t="n">
        <v>5129.83</v>
      </c>
      <c r="S1859" s="1" t="n">
        <v>23369.22</v>
      </c>
      <c r="T1859" s="1" t="n">
        <v>10265.48</v>
      </c>
      <c r="U1859" s="1" t="n">
        <v>13103.74</v>
      </c>
      <c r="V1859" s="1" t="n">
        <v>56.07</v>
      </c>
      <c r="W1859" s="1" t="s">
        <v>40</v>
      </c>
      <c r="Y1859" s="1" t="s">
        <v>40</v>
      </c>
      <c r="Z1859" s="1" t="n">
        <v>0</v>
      </c>
      <c r="AA1859" s="1" t="str">
        <f aca="false">TRIM(PROPER(F1859))</f>
        <v>Surat</v>
      </c>
      <c r="AB1859" s="1" t="str">
        <f aca="false">TRIM(PROPER(C1859))</f>
        <v>Unacademy</v>
      </c>
      <c r="AC1859" s="1" t="str">
        <f aca="false">IF(O1859=0,"No Discount",IF(O1859&lt;=15,"Low (1-15%)",IF(O1859&lt;=30,"Medium (16-30%)","High (&gt;30%)")))</f>
        <v>Low (1-15%)</v>
      </c>
      <c r="AD1859" s="1" t="str">
        <f aca="false">IF(V1859&lt;0,"Loss Making",IF(V1859&lt;20,"Low Margin","Healthy Margin"))</f>
        <v>Healthy Margin</v>
      </c>
      <c r="AE1859" s="1" t="str">
        <f aca="false">TEXT(DATE(VALUE(RIGHT(B1859,4)),VALUE(MID(B1859,4,2)),VALUE(LEFT(B1859,2))),"MMM-YYYY")</f>
        <v>Dec-2024</v>
      </c>
      <c r="AF1859" s="1" t="n">
        <f aca="false">VALUE(RIGHT(B1859,4))</f>
        <v>2024</v>
      </c>
      <c r="AG1859" s="1" t="str">
        <f aca="false">CHOOSE(ROUNDUP(VALUE(MID(B1859,4,2))/3,0),"Q1","Q2","Q3","Q4")</f>
        <v>Q4</v>
      </c>
    </row>
    <row r="1860" customFormat="false" ht="15" hidden="false" customHeight="true" outlineLevel="0" collapsed="false">
      <c r="A1860" s="1" t="s">
        <v>2706</v>
      </c>
      <c r="B1860" s="1" t="s">
        <v>499</v>
      </c>
      <c r="C1860" s="1" t="s">
        <v>139</v>
      </c>
      <c r="D1860" s="1" t="s">
        <v>94</v>
      </c>
      <c r="E1860" s="1" t="s">
        <v>101</v>
      </c>
      <c r="F1860" s="1" t="s">
        <v>184</v>
      </c>
      <c r="G1860" s="1" t="s">
        <v>56</v>
      </c>
      <c r="H1860" s="1" t="s">
        <v>57</v>
      </c>
      <c r="I1860" s="1" t="s">
        <v>34</v>
      </c>
      <c r="J1860" s="1" t="s">
        <v>59</v>
      </c>
      <c r="K1860" s="1" t="s">
        <v>36</v>
      </c>
      <c r="L1860" s="1" t="s">
        <v>61</v>
      </c>
      <c r="M1860" s="1" t="s">
        <v>50</v>
      </c>
      <c r="N1860" s="1" t="n">
        <v>14999</v>
      </c>
      <c r="O1860" s="1" t="n">
        <v>0</v>
      </c>
      <c r="P1860" s="1" t="n">
        <v>0</v>
      </c>
      <c r="Q1860" s="1" t="n">
        <v>14999</v>
      </c>
      <c r="R1860" s="1" t="n">
        <v>2699.82</v>
      </c>
      <c r="S1860" s="1" t="n">
        <v>12299.18</v>
      </c>
      <c r="T1860" s="1" t="n">
        <v>5883.63</v>
      </c>
      <c r="U1860" s="1" t="n">
        <v>6415.55</v>
      </c>
      <c r="V1860" s="1" t="n">
        <v>52.16</v>
      </c>
      <c r="W1860" s="1" t="s">
        <v>39</v>
      </c>
      <c r="X1860" s="1" t="n">
        <v>4.4</v>
      </c>
      <c r="Y1860" s="1" t="s">
        <v>40</v>
      </c>
      <c r="Z1860" s="1" t="n">
        <v>0</v>
      </c>
      <c r="AA1860" s="1" t="str">
        <f aca="false">TRIM(PROPER(F1860))</f>
        <v>Faridabad</v>
      </c>
      <c r="AB1860" s="1" t="str">
        <f aca="false">TRIM(PROPER(C1860))</f>
        <v>Extramarks</v>
      </c>
      <c r="AC1860" s="1" t="str">
        <f aca="false">IF(O1860=0,"No Discount",IF(O1860&lt;=15,"Low (1-15%)",IF(O1860&lt;=30,"Medium (16-30%)","High (&gt;30%)")))</f>
        <v>No Discount</v>
      </c>
      <c r="AD1860" s="1" t="str">
        <f aca="false">IF(V1860&lt;0,"Loss Making",IF(V1860&lt;20,"Low Margin","Healthy Margin"))</f>
        <v>Healthy Margin</v>
      </c>
      <c r="AE1860" s="1" t="str">
        <f aca="false">TEXT(DATE(VALUE(RIGHT(B1860,4)),VALUE(MID(B1860,4,2)),VALUE(LEFT(B1860,2))),"MMM-YYYY")</f>
        <v>Jun-2023</v>
      </c>
      <c r="AF1860" s="1" t="n">
        <f aca="false">VALUE(RIGHT(B1860,4))</f>
        <v>2023</v>
      </c>
      <c r="AG1860" s="1" t="str">
        <f aca="false">CHOOSE(ROUNDUP(VALUE(MID(B1860,4,2))/3,0),"Q1","Q2","Q3","Q4")</f>
        <v>Q2</v>
      </c>
    </row>
    <row r="1861" customFormat="false" ht="15" hidden="false" customHeight="true" outlineLevel="0" collapsed="false">
      <c r="A1861" s="1" t="s">
        <v>2707</v>
      </c>
      <c r="B1861" s="1" t="s">
        <v>687</v>
      </c>
      <c r="C1861" s="1" t="s">
        <v>93</v>
      </c>
      <c r="D1861" s="1" t="s">
        <v>143</v>
      </c>
      <c r="E1861" s="1" t="s">
        <v>210</v>
      </c>
      <c r="F1861" s="1" t="s">
        <v>125</v>
      </c>
      <c r="G1861" s="1" t="s">
        <v>108</v>
      </c>
      <c r="H1861" s="1" t="s">
        <v>69</v>
      </c>
      <c r="I1861" s="1" t="s">
        <v>34</v>
      </c>
      <c r="J1861" s="1" t="s">
        <v>35</v>
      </c>
      <c r="K1861" s="1" t="s">
        <v>84</v>
      </c>
      <c r="L1861" s="1" t="s">
        <v>136</v>
      </c>
      <c r="M1861" s="1" t="s">
        <v>38</v>
      </c>
      <c r="N1861" s="1" t="n">
        <v>18999</v>
      </c>
      <c r="O1861" s="1" t="n">
        <v>30</v>
      </c>
      <c r="P1861" s="1" t="n">
        <v>5699.7</v>
      </c>
      <c r="Q1861" s="1" t="n">
        <v>13299.3</v>
      </c>
      <c r="R1861" s="1" t="n">
        <v>2393.87</v>
      </c>
      <c r="S1861" s="1" t="n">
        <v>10905.43</v>
      </c>
      <c r="T1861" s="1" t="n">
        <v>4487.21</v>
      </c>
      <c r="U1861" s="1" t="n">
        <v>6418.22</v>
      </c>
      <c r="V1861" s="1" t="n">
        <v>58.85</v>
      </c>
      <c r="W1861" s="1" t="s">
        <v>39</v>
      </c>
      <c r="X1861" s="1" t="n">
        <v>3.7</v>
      </c>
      <c r="Y1861" s="1" t="s">
        <v>40</v>
      </c>
      <c r="Z1861" s="1" t="n">
        <v>0</v>
      </c>
      <c r="AA1861" s="1" t="str">
        <f aca="false">TRIM(PROPER(F1861))</f>
        <v>Chennai</v>
      </c>
      <c r="AB1861" s="1" t="str">
        <f aca="false">TRIM(PROPER(C1861))</f>
        <v>Upgrad</v>
      </c>
      <c r="AC1861" s="1" t="str">
        <f aca="false">IF(O1861=0,"No Discount",IF(O1861&lt;=15,"Low (1-15%)",IF(O1861&lt;=30,"Medium (16-30%)","High (&gt;30%)")))</f>
        <v>Medium (16-30%)</v>
      </c>
      <c r="AD1861" s="1" t="str">
        <f aca="false">IF(V1861&lt;0,"Loss Making",IF(V1861&lt;20,"Low Margin","Healthy Margin"))</f>
        <v>Healthy Margin</v>
      </c>
      <c r="AE1861" s="1" t="str">
        <f aca="false">TEXT(DATE(VALUE(RIGHT(B1861,4)),VALUE(MID(B1861,4,2)),VALUE(LEFT(B1861,2))),"MMM-YYYY")</f>
        <v>Jan-2023</v>
      </c>
      <c r="AF1861" s="1" t="n">
        <f aca="false">VALUE(RIGHT(B1861,4))</f>
        <v>2023</v>
      </c>
      <c r="AG1861" s="1" t="str">
        <f aca="false">CHOOSE(ROUNDUP(VALUE(MID(B1861,4,2))/3,0),"Q1","Q2","Q3","Q4")</f>
        <v>Q1</v>
      </c>
    </row>
    <row r="1862" customFormat="false" ht="15" hidden="false" customHeight="true" outlineLevel="0" collapsed="false">
      <c r="A1862" s="1" t="s">
        <v>2708</v>
      </c>
      <c r="B1862" s="1" t="s">
        <v>1948</v>
      </c>
      <c r="C1862" s="1" t="s">
        <v>28</v>
      </c>
      <c r="D1862" s="1" t="s">
        <v>53</v>
      </c>
      <c r="E1862" s="1" t="s">
        <v>116</v>
      </c>
      <c r="F1862" s="1" t="s">
        <v>102</v>
      </c>
      <c r="G1862" s="1" t="s">
        <v>103</v>
      </c>
      <c r="H1862" s="1" t="s">
        <v>33</v>
      </c>
      <c r="I1862" s="1" t="s">
        <v>34</v>
      </c>
      <c r="J1862" s="1" t="s">
        <v>35</v>
      </c>
      <c r="K1862" s="1" t="s">
        <v>71</v>
      </c>
      <c r="L1862" s="1" t="s">
        <v>61</v>
      </c>
      <c r="M1862" s="1" t="s">
        <v>50</v>
      </c>
      <c r="N1862" s="1" t="n">
        <v>9999</v>
      </c>
      <c r="O1862" s="1" t="n">
        <v>30</v>
      </c>
      <c r="P1862" s="1" t="n">
        <v>2999.7</v>
      </c>
      <c r="Q1862" s="1" t="n">
        <v>6999.3</v>
      </c>
      <c r="R1862" s="1" t="n">
        <v>1259.87</v>
      </c>
      <c r="S1862" s="1" t="n">
        <v>5739.43</v>
      </c>
      <c r="T1862" s="1" t="n">
        <v>2633.75</v>
      </c>
      <c r="U1862" s="1" t="n">
        <v>3105.68</v>
      </c>
      <c r="V1862" s="1" t="n">
        <v>54.11</v>
      </c>
      <c r="W1862" s="1" t="s">
        <v>39</v>
      </c>
      <c r="X1862" s="1" t="n">
        <v>3.4</v>
      </c>
      <c r="Y1862" s="1" t="s">
        <v>40</v>
      </c>
      <c r="Z1862" s="1" t="n">
        <v>0</v>
      </c>
      <c r="AA1862" s="1" t="str">
        <f aca="false">TRIM(PROPER(F1862))</f>
        <v>Warangal</v>
      </c>
      <c r="AB1862" s="1" t="str">
        <f aca="false">TRIM(PROPER(C1862))</f>
        <v>Embibe</v>
      </c>
      <c r="AC1862" s="1" t="str">
        <f aca="false">IF(O1862=0,"No Discount",IF(O1862&lt;=15,"Low (1-15%)",IF(O1862&lt;=30,"Medium (16-30%)","High (&gt;30%)")))</f>
        <v>Medium (16-30%)</v>
      </c>
      <c r="AD1862" s="1" t="str">
        <f aca="false">IF(V1862&lt;0,"Loss Making",IF(V1862&lt;20,"Low Margin","Healthy Margin"))</f>
        <v>Healthy Margin</v>
      </c>
      <c r="AE1862" s="1" t="str">
        <f aca="false">TEXT(DATE(VALUE(RIGHT(B1862,4)),VALUE(MID(B1862,4,2)),VALUE(LEFT(B1862,2))),"MMM-YYYY")</f>
        <v>Apr-2023</v>
      </c>
      <c r="AF1862" s="1" t="n">
        <f aca="false">VALUE(RIGHT(B1862,4))</f>
        <v>2023</v>
      </c>
      <c r="AG1862" s="1" t="str">
        <f aca="false">CHOOSE(ROUNDUP(VALUE(MID(B1862,4,2))/3,0),"Q1","Q2","Q3","Q4")</f>
        <v>Q2</v>
      </c>
    </row>
    <row r="1863" customFormat="false" ht="15" hidden="false" customHeight="true" outlineLevel="0" collapsed="false">
      <c r="A1863" s="1" t="s">
        <v>2709</v>
      </c>
      <c r="B1863" s="1" t="s">
        <v>628</v>
      </c>
      <c r="C1863" s="1" t="s">
        <v>249</v>
      </c>
      <c r="D1863" s="1" t="s">
        <v>44</v>
      </c>
      <c r="E1863" s="1" t="s">
        <v>66</v>
      </c>
      <c r="F1863" s="1" t="s">
        <v>89</v>
      </c>
      <c r="G1863" s="1" t="s">
        <v>68</v>
      </c>
      <c r="H1863" s="1" t="s">
        <v>33</v>
      </c>
      <c r="I1863" s="1" t="s">
        <v>83</v>
      </c>
      <c r="J1863" s="1" t="s">
        <v>59</v>
      </c>
      <c r="K1863" s="1" t="s">
        <v>112</v>
      </c>
      <c r="L1863" s="1" t="s">
        <v>61</v>
      </c>
      <c r="M1863" s="1" t="s">
        <v>62</v>
      </c>
      <c r="N1863" s="1" t="n">
        <v>12999</v>
      </c>
      <c r="O1863" s="1" t="n">
        <v>15</v>
      </c>
      <c r="P1863" s="1" t="n">
        <v>1949.85</v>
      </c>
      <c r="Q1863" s="1" t="n">
        <v>11049.15</v>
      </c>
      <c r="R1863" s="1" t="n">
        <v>1988.85</v>
      </c>
      <c r="S1863" s="1" t="n">
        <v>9060.3</v>
      </c>
      <c r="T1863" s="1" t="n">
        <v>4260.98</v>
      </c>
      <c r="U1863" s="1" t="n">
        <v>4799.32</v>
      </c>
      <c r="V1863" s="1" t="n">
        <v>52.97</v>
      </c>
      <c r="W1863" s="1" t="s">
        <v>40</v>
      </c>
      <c r="Y1863" s="1" t="s">
        <v>40</v>
      </c>
      <c r="Z1863" s="1" t="n">
        <v>1</v>
      </c>
      <c r="AA1863" s="1" t="str">
        <f aca="false">TRIM(PROPER(F1863))</f>
        <v>Vadodara</v>
      </c>
      <c r="AB1863" s="1" t="str">
        <f aca="false">TRIM(PROPER(C1863))</f>
        <v>Whitehat Jr</v>
      </c>
      <c r="AC1863" s="1" t="str">
        <f aca="false">IF(O1863=0,"No Discount",IF(O1863&lt;=15,"Low (1-15%)",IF(O1863&lt;=30,"Medium (16-30%)","High (&gt;30%)")))</f>
        <v>Low (1-15%)</v>
      </c>
      <c r="AD1863" s="1" t="str">
        <f aca="false">IF(V1863&lt;0,"Loss Making",IF(V1863&lt;20,"Low Margin","Healthy Margin"))</f>
        <v>Healthy Margin</v>
      </c>
      <c r="AE1863" s="1" t="str">
        <f aca="false">TEXT(DATE(VALUE(RIGHT(B1863,4)),VALUE(MID(B1863,4,2)),VALUE(LEFT(B1863,2))),"MMM-YYYY")</f>
        <v>Jul-2024</v>
      </c>
      <c r="AF1863" s="1" t="n">
        <f aca="false">VALUE(RIGHT(B1863,4))</f>
        <v>2024</v>
      </c>
      <c r="AG1863" s="1" t="str">
        <f aca="false">CHOOSE(ROUNDUP(VALUE(MID(B1863,4,2))/3,0),"Q1","Q2","Q3","Q4")</f>
        <v>Q3</v>
      </c>
    </row>
    <row r="1864" customFormat="false" ht="15" hidden="false" customHeight="true" outlineLevel="0" collapsed="false">
      <c r="A1864" s="1" t="s">
        <v>2710</v>
      </c>
      <c r="B1864" s="1" t="s">
        <v>1996</v>
      </c>
      <c r="C1864" s="1" t="s">
        <v>249</v>
      </c>
      <c r="D1864" s="1" t="s">
        <v>94</v>
      </c>
      <c r="E1864" s="1" t="s">
        <v>135</v>
      </c>
      <c r="F1864" s="1" t="s">
        <v>67</v>
      </c>
      <c r="G1864" s="1" t="s">
        <v>68</v>
      </c>
      <c r="H1864" s="1" t="s">
        <v>69</v>
      </c>
      <c r="I1864" s="1" t="s">
        <v>83</v>
      </c>
      <c r="J1864" s="1" t="s">
        <v>70</v>
      </c>
      <c r="K1864" s="1" t="s">
        <v>90</v>
      </c>
      <c r="L1864" s="1" t="s">
        <v>85</v>
      </c>
      <c r="M1864" s="1" t="s">
        <v>50</v>
      </c>
      <c r="N1864" s="1" t="n">
        <v>9999</v>
      </c>
      <c r="O1864" s="1" t="n">
        <v>30</v>
      </c>
      <c r="P1864" s="1" t="n">
        <v>2999.7</v>
      </c>
      <c r="Q1864" s="1" t="n">
        <v>6999.3</v>
      </c>
      <c r="R1864" s="1" t="n">
        <v>1259.87</v>
      </c>
      <c r="S1864" s="1" t="n">
        <v>5739.43</v>
      </c>
      <c r="T1864" s="1" t="n">
        <v>1718.12</v>
      </c>
      <c r="U1864" s="1" t="n">
        <v>4021.31</v>
      </c>
      <c r="V1864" s="1" t="n">
        <v>70.06</v>
      </c>
      <c r="W1864" s="1" t="s">
        <v>40</v>
      </c>
      <c r="Y1864" s="1" t="s">
        <v>40</v>
      </c>
      <c r="Z1864" s="1" t="n">
        <v>0</v>
      </c>
      <c r="AA1864" s="1" t="str">
        <f aca="false">TRIM(PROPER(F1864))</f>
        <v>Ahmedabad</v>
      </c>
      <c r="AB1864" s="1" t="str">
        <f aca="false">TRIM(PROPER(C1864))</f>
        <v>Whitehat Jr</v>
      </c>
      <c r="AC1864" s="1" t="str">
        <f aca="false">IF(O1864=0,"No Discount",IF(O1864&lt;=15,"Low (1-15%)",IF(O1864&lt;=30,"Medium (16-30%)","High (&gt;30%)")))</f>
        <v>Medium (16-30%)</v>
      </c>
      <c r="AD1864" s="1" t="str">
        <f aca="false">IF(V1864&lt;0,"Loss Making",IF(V1864&lt;20,"Low Margin","Healthy Margin"))</f>
        <v>Healthy Margin</v>
      </c>
      <c r="AE1864" s="1" t="str">
        <f aca="false">TEXT(DATE(VALUE(RIGHT(B1864,4)),VALUE(MID(B1864,4,2)),VALUE(LEFT(B1864,2))),"MMM-YYYY")</f>
        <v>Sep-2023</v>
      </c>
      <c r="AF1864" s="1" t="n">
        <f aca="false">VALUE(RIGHT(B1864,4))</f>
        <v>2023</v>
      </c>
      <c r="AG1864" s="1" t="str">
        <f aca="false">CHOOSE(ROUNDUP(VALUE(MID(B1864,4,2))/3,0),"Q1","Q2","Q3","Q4")</f>
        <v>Q3</v>
      </c>
    </row>
    <row r="1865" customFormat="false" ht="15" hidden="false" customHeight="true" outlineLevel="0" collapsed="false">
      <c r="A1865" s="1" t="s">
        <v>2711</v>
      </c>
      <c r="B1865" s="1" t="s">
        <v>821</v>
      </c>
      <c r="C1865" s="1" t="s">
        <v>28</v>
      </c>
      <c r="D1865" s="1" t="s">
        <v>123</v>
      </c>
      <c r="E1865" s="1" t="s">
        <v>233</v>
      </c>
      <c r="F1865" s="1" t="s">
        <v>153</v>
      </c>
      <c r="G1865" s="1" t="s">
        <v>76</v>
      </c>
      <c r="H1865" s="1" t="s">
        <v>33</v>
      </c>
      <c r="I1865" s="1" t="s">
        <v>58</v>
      </c>
      <c r="J1865" s="1" t="s">
        <v>77</v>
      </c>
      <c r="K1865" s="1" t="s">
        <v>60</v>
      </c>
      <c r="L1865" s="1" t="s">
        <v>37</v>
      </c>
      <c r="M1865" s="1" t="s">
        <v>38</v>
      </c>
      <c r="N1865" s="1" t="n">
        <v>8999</v>
      </c>
      <c r="O1865" s="1" t="n">
        <v>15</v>
      </c>
      <c r="P1865" s="1" t="n">
        <v>1349.85</v>
      </c>
      <c r="Q1865" s="1" t="n">
        <v>7649.15</v>
      </c>
      <c r="R1865" s="1" t="n">
        <v>1376.85</v>
      </c>
      <c r="S1865" s="1" t="n">
        <v>6272.3</v>
      </c>
      <c r="T1865" s="1" t="n">
        <v>3226.74</v>
      </c>
      <c r="U1865" s="1" t="n">
        <v>3045.56</v>
      </c>
      <c r="V1865" s="1" t="n">
        <v>48.56</v>
      </c>
      <c r="W1865" s="1" t="s">
        <v>39</v>
      </c>
      <c r="X1865" s="1" t="n">
        <v>3.7</v>
      </c>
      <c r="Y1865" s="1" t="s">
        <v>40</v>
      </c>
      <c r="Z1865" s="1" t="n">
        <v>1</v>
      </c>
      <c r="AA1865" s="1" t="str">
        <f aca="false">TRIM(PROPER(F1865))</f>
        <v>Howrah</v>
      </c>
      <c r="AB1865" s="1" t="str">
        <f aca="false">TRIM(PROPER(C1865))</f>
        <v>Embibe</v>
      </c>
      <c r="AC1865" s="1" t="str">
        <f aca="false">IF(O1865=0,"No Discount",IF(O1865&lt;=15,"Low (1-15%)",IF(O1865&lt;=30,"Medium (16-30%)","High (&gt;30%)")))</f>
        <v>Low (1-15%)</v>
      </c>
      <c r="AD1865" s="1" t="str">
        <f aca="false">IF(V1865&lt;0,"Loss Making",IF(V1865&lt;20,"Low Margin","Healthy Margin"))</f>
        <v>Healthy Margin</v>
      </c>
      <c r="AE1865" s="1" t="str">
        <f aca="false">TEXT(DATE(VALUE(RIGHT(B1865,4)),VALUE(MID(B1865,4,2)),VALUE(LEFT(B1865,2))),"MMM-YYYY")</f>
        <v>Jul-2024</v>
      </c>
      <c r="AF1865" s="1" t="n">
        <f aca="false">VALUE(RIGHT(B1865,4))</f>
        <v>2024</v>
      </c>
      <c r="AG1865" s="1" t="str">
        <f aca="false">CHOOSE(ROUNDUP(VALUE(MID(B1865,4,2))/3,0),"Q1","Q2","Q3","Q4")</f>
        <v>Q3</v>
      </c>
    </row>
    <row r="1866" customFormat="false" ht="15" hidden="false" customHeight="true" outlineLevel="0" collapsed="false">
      <c r="A1866" s="1" t="s">
        <v>2712</v>
      </c>
      <c r="B1866" s="1" t="s">
        <v>1946</v>
      </c>
      <c r="C1866" s="1" t="s">
        <v>139</v>
      </c>
      <c r="D1866" s="1" t="s">
        <v>168</v>
      </c>
      <c r="E1866" s="1" t="s">
        <v>328</v>
      </c>
      <c r="F1866" s="1" t="s">
        <v>67</v>
      </c>
      <c r="G1866" s="1" t="s">
        <v>68</v>
      </c>
      <c r="H1866" s="1" t="s">
        <v>69</v>
      </c>
      <c r="I1866" s="1" t="s">
        <v>83</v>
      </c>
      <c r="J1866" s="1" t="s">
        <v>59</v>
      </c>
      <c r="K1866" s="1" t="s">
        <v>60</v>
      </c>
      <c r="L1866" s="1" t="s">
        <v>61</v>
      </c>
      <c r="M1866" s="1" t="s">
        <v>38</v>
      </c>
      <c r="N1866" s="1" t="n">
        <v>8999</v>
      </c>
      <c r="O1866" s="1" t="n">
        <v>25</v>
      </c>
      <c r="P1866" s="1" t="n">
        <v>2249.75</v>
      </c>
      <c r="Q1866" s="1" t="n">
        <v>6749.25</v>
      </c>
      <c r="R1866" s="1" t="n">
        <v>1214.87</v>
      </c>
      <c r="S1866" s="1" t="n">
        <v>5534.38</v>
      </c>
      <c r="T1866" s="1" t="n">
        <v>2235.55</v>
      </c>
      <c r="U1866" s="1" t="n">
        <v>3298.83</v>
      </c>
      <c r="V1866" s="1" t="n">
        <v>59.61</v>
      </c>
      <c r="W1866" s="1" t="s">
        <v>39</v>
      </c>
      <c r="X1866" s="1" t="n">
        <v>3.2</v>
      </c>
      <c r="Y1866" s="1" t="s">
        <v>40</v>
      </c>
      <c r="Z1866" s="1" t="n">
        <v>0</v>
      </c>
      <c r="AA1866" s="1" t="str">
        <f aca="false">TRIM(PROPER(F1866))</f>
        <v>Ahmedabad</v>
      </c>
      <c r="AB1866" s="1" t="str">
        <f aca="false">TRIM(PROPER(C1866))</f>
        <v>Extramarks</v>
      </c>
      <c r="AC1866" s="1" t="str">
        <f aca="false">IF(O1866=0,"No Discount",IF(O1866&lt;=15,"Low (1-15%)",IF(O1866&lt;=30,"Medium (16-30%)","High (&gt;30%)")))</f>
        <v>Medium (16-30%)</v>
      </c>
      <c r="AD1866" s="1" t="str">
        <f aca="false">IF(V1866&lt;0,"Loss Making",IF(V1866&lt;20,"Low Margin","Healthy Margin"))</f>
        <v>Healthy Margin</v>
      </c>
      <c r="AE1866" s="1" t="str">
        <f aca="false">TEXT(DATE(VALUE(RIGHT(B1866,4)),VALUE(MID(B1866,4,2)),VALUE(LEFT(B1866,2))),"MMM-YYYY")</f>
        <v>Jun-2024</v>
      </c>
      <c r="AF1866" s="1" t="n">
        <f aca="false">VALUE(RIGHT(B1866,4))</f>
        <v>2024</v>
      </c>
      <c r="AG1866" s="1" t="str">
        <f aca="false">CHOOSE(ROUNDUP(VALUE(MID(B1866,4,2))/3,0),"Q1","Q2","Q3","Q4")</f>
        <v>Q2</v>
      </c>
    </row>
    <row r="1867" customFormat="false" ht="15" hidden="false" customHeight="true" outlineLevel="0" collapsed="false">
      <c r="A1867" s="1" t="s">
        <v>2713</v>
      </c>
      <c r="B1867" s="1" t="s">
        <v>385</v>
      </c>
      <c r="C1867" s="1" t="s">
        <v>249</v>
      </c>
      <c r="D1867" s="1" t="s">
        <v>123</v>
      </c>
      <c r="E1867" s="1" t="s">
        <v>147</v>
      </c>
      <c r="F1867" s="1" t="s">
        <v>187</v>
      </c>
      <c r="G1867" s="1" t="s">
        <v>97</v>
      </c>
      <c r="H1867" s="1" t="s">
        <v>69</v>
      </c>
      <c r="I1867" s="1" t="s">
        <v>83</v>
      </c>
      <c r="J1867" s="1" t="s">
        <v>131</v>
      </c>
      <c r="K1867" s="1" t="s">
        <v>90</v>
      </c>
      <c r="L1867" s="1" t="s">
        <v>136</v>
      </c>
      <c r="M1867" s="1" t="s">
        <v>62</v>
      </c>
      <c r="N1867" s="1" t="n">
        <v>6999</v>
      </c>
      <c r="O1867" s="1" t="n">
        <v>20</v>
      </c>
      <c r="P1867" s="1" t="n">
        <v>1399.8</v>
      </c>
      <c r="Q1867" s="1" t="n">
        <v>5599.2</v>
      </c>
      <c r="R1867" s="1" t="n">
        <v>1007.86</v>
      </c>
      <c r="S1867" s="1" t="n">
        <v>4591.34</v>
      </c>
      <c r="T1867" s="1" t="n">
        <v>1514.04</v>
      </c>
      <c r="U1867" s="1" t="n">
        <v>3077.3</v>
      </c>
      <c r="V1867" s="1" t="n">
        <v>67.02</v>
      </c>
      <c r="W1867" s="1" t="s">
        <v>39</v>
      </c>
      <c r="X1867" s="1" t="n">
        <v>4.7</v>
      </c>
      <c r="Y1867" s="1" t="s">
        <v>40</v>
      </c>
      <c r="Z1867" s="1" t="n">
        <v>1</v>
      </c>
      <c r="AA1867" s="1" t="str">
        <f aca="false">TRIM(PROPER(F1867))</f>
        <v>Mumbai</v>
      </c>
      <c r="AB1867" s="1" t="str">
        <f aca="false">TRIM(PROPER(C1867))</f>
        <v>Whitehat Jr</v>
      </c>
      <c r="AC1867" s="1" t="str">
        <f aca="false">IF(O1867=0,"No Discount",IF(O1867&lt;=15,"Low (1-15%)",IF(O1867&lt;=30,"Medium (16-30%)","High (&gt;30%)")))</f>
        <v>Medium (16-30%)</v>
      </c>
      <c r="AD1867" s="1" t="str">
        <f aca="false">IF(V1867&lt;0,"Loss Making",IF(V1867&lt;20,"Low Margin","Healthy Margin"))</f>
        <v>Healthy Margin</v>
      </c>
      <c r="AE1867" s="1" t="str">
        <f aca="false">TEXT(DATE(VALUE(RIGHT(B1867,4)),VALUE(MID(B1867,4,2)),VALUE(LEFT(B1867,2))),"MMM-YYYY")</f>
        <v>Jul-2023</v>
      </c>
      <c r="AF1867" s="1" t="n">
        <f aca="false">VALUE(RIGHT(B1867,4))</f>
        <v>2023</v>
      </c>
      <c r="AG1867" s="1" t="str">
        <f aca="false">CHOOSE(ROUNDUP(VALUE(MID(B1867,4,2))/3,0),"Q1","Q2","Q3","Q4")</f>
        <v>Q3</v>
      </c>
    </row>
    <row r="1868" customFormat="false" ht="15" hidden="false" customHeight="true" outlineLevel="0" collapsed="false">
      <c r="A1868" s="1" t="s">
        <v>2714</v>
      </c>
      <c r="B1868" s="1" t="s">
        <v>263</v>
      </c>
      <c r="C1868" s="1" t="s">
        <v>93</v>
      </c>
      <c r="D1868" s="1" t="s">
        <v>80</v>
      </c>
      <c r="E1868" s="1" t="s">
        <v>190</v>
      </c>
      <c r="F1868" s="1" t="s">
        <v>67</v>
      </c>
      <c r="G1868" s="1" t="s">
        <v>68</v>
      </c>
      <c r="H1868" s="1" t="s">
        <v>69</v>
      </c>
      <c r="I1868" s="1" t="s">
        <v>83</v>
      </c>
      <c r="J1868" s="1" t="s">
        <v>77</v>
      </c>
      <c r="K1868" s="1" t="s">
        <v>84</v>
      </c>
      <c r="L1868" s="1" t="s">
        <v>136</v>
      </c>
      <c r="M1868" s="1" t="s">
        <v>38</v>
      </c>
      <c r="N1868" s="1" t="n">
        <v>15999</v>
      </c>
      <c r="O1868" s="1" t="n">
        <v>0</v>
      </c>
      <c r="P1868" s="1" t="n">
        <v>0</v>
      </c>
      <c r="Q1868" s="1" t="n">
        <v>15999</v>
      </c>
      <c r="R1868" s="1" t="n">
        <v>2879.82</v>
      </c>
      <c r="S1868" s="1" t="n">
        <v>13119.18</v>
      </c>
      <c r="T1868" s="1" t="n">
        <v>5437.07</v>
      </c>
      <c r="U1868" s="1" t="n">
        <v>7682.11</v>
      </c>
      <c r="V1868" s="1" t="n">
        <v>58.56</v>
      </c>
      <c r="W1868" s="1" t="s">
        <v>40</v>
      </c>
      <c r="Y1868" s="1" t="s">
        <v>40</v>
      </c>
      <c r="Z1868" s="1" t="n">
        <v>0</v>
      </c>
      <c r="AA1868" s="1" t="str">
        <f aca="false">TRIM(PROPER(F1868))</f>
        <v>Ahmedabad</v>
      </c>
      <c r="AB1868" s="1" t="str">
        <f aca="false">TRIM(PROPER(C1868))</f>
        <v>Upgrad</v>
      </c>
      <c r="AC1868" s="1" t="str">
        <f aca="false">IF(O1868=0,"No Discount",IF(O1868&lt;=15,"Low (1-15%)",IF(O1868&lt;=30,"Medium (16-30%)","High (&gt;30%)")))</f>
        <v>No Discount</v>
      </c>
      <c r="AD1868" s="1" t="str">
        <f aca="false">IF(V1868&lt;0,"Loss Making",IF(V1868&lt;20,"Low Margin","Healthy Margin"))</f>
        <v>Healthy Margin</v>
      </c>
      <c r="AE1868" s="1" t="str">
        <f aca="false">TEXT(DATE(VALUE(RIGHT(B1868,4)),VALUE(MID(B1868,4,2)),VALUE(LEFT(B1868,2))),"MMM-YYYY")</f>
        <v>Jul-2024</v>
      </c>
      <c r="AF1868" s="1" t="n">
        <f aca="false">VALUE(RIGHT(B1868,4))</f>
        <v>2024</v>
      </c>
      <c r="AG1868" s="1" t="str">
        <f aca="false">CHOOSE(ROUNDUP(VALUE(MID(B1868,4,2))/3,0),"Q1","Q2","Q3","Q4")</f>
        <v>Q3</v>
      </c>
    </row>
    <row r="1869" customFormat="false" ht="15" hidden="false" customHeight="true" outlineLevel="0" collapsed="false">
      <c r="A1869" s="1" t="s">
        <v>2715</v>
      </c>
      <c r="B1869" s="1" t="s">
        <v>2716</v>
      </c>
      <c r="C1869" s="1" t="s">
        <v>167</v>
      </c>
      <c r="D1869" s="1" t="s">
        <v>168</v>
      </c>
      <c r="E1869" s="1" t="s">
        <v>197</v>
      </c>
      <c r="F1869" s="1" t="s">
        <v>31</v>
      </c>
      <c r="G1869" s="1" t="s">
        <v>32</v>
      </c>
      <c r="H1869" s="1" t="s">
        <v>33</v>
      </c>
      <c r="I1869" s="1" t="s">
        <v>58</v>
      </c>
      <c r="J1869" s="1" t="s">
        <v>70</v>
      </c>
      <c r="K1869" s="1" t="s">
        <v>36</v>
      </c>
      <c r="L1869" s="1" t="s">
        <v>61</v>
      </c>
      <c r="M1869" s="1" t="s">
        <v>62</v>
      </c>
      <c r="N1869" s="1" t="n">
        <v>8499</v>
      </c>
      <c r="O1869" s="1" t="n">
        <v>5</v>
      </c>
      <c r="P1869" s="1" t="n">
        <v>424.95</v>
      </c>
      <c r="Q1869" s="1" t="n">
        <v>8074.05</v>
      </c>
      <c r="R1869" s="1" t="n">
        <v>1453.33</v>
      </c>
      <c r="S1869" s="1" t="n">
        <v>6620.72</v>
      </c>
      <c r="T1869" s="1" t="n">
        <v>3224.4</v>
      </c>
      <c r="U1869" s="1" t="n">
        <v>3396.32</v>
      </c>
      <c r="V1869" s="1" t="n">
        <v>51.3</v>
      </c>
      <c r="W1869" s="1" t="s">
        <v>39</v>
      </c>
      <c r="X1869" s="1" t="n">
        <v>3.5</v>
      </c>
      <c r="Y1869" s="1" t="s">
        <v>40</v>
      </c>
      <c r="Z1869" s="1" t="n">
        <v>0</v>
      </c>
      <c r="AA1869" s="1" t="str">
        <f aca="false">TRIM(PROPER(F1869))</f>
        <v>Jodhpur</v>
      </c>
      <c r="AB1869" s="1" t="str">
        <f aca="false">TRIM(PROPER(C1869))</f>
        <v>Scaler</v>
      </c>
      <c r="AC1869" s="1" t="str">
        <f aca="false">IF(O1869=0,"No Discount",IF(O1869&lt;=15,"Low (1-15%)",IF(O1869&lt;=30,"Medium (16-30%)","High (&gt;30%)")))</f>
        <v>Low (1-15%)</v>
      </c>
      <c r="AD1869" s="1" t="str">
        <f aca="false">IF(V1869&lt;0,"Loss Making",IF(V1869&lt;20,"Low Margin","Healthy Margin"))</f>
        <v>Healthy Margin</v>
      </c>
      <c r="AE1869" s="1" t="str">
        <f aca="false">TEXT(DATE(VALUE(RIGHT(B1869,4)),VALUE(MID(B1869,4,2)),VALUE(LEFT(B1869,2))),"MMM-YYYY")</f>
        <v>Jan-2023</v>
      </c>
      <c r="AF1869" s="1" t="n">
        <f aca="false">VALUE(RIGHT(B1869,4))</f>
        <v>2023</v>
      </c>
      <c r="AG1869" s="1" t="str">
        <f aca="false">CHOOSE(ROUNDUP(VALUE(MID(B1869,4,2))/3,0),"Q1","Q2","Q3","Q4")</f>
        <v>Q1</v>
      </c>
    </row>
    <row r="1870" customFormat="false" ht="15" hidden="false" customHeight="true" outlineLevel="0" collapsed="false">
      <c r="A1870" s="1" t="s">
        <v>2717</v>
      </c>
      <c r="B1870" s="1" t="s">
        <v>872</v>
      </c>
      <c r="C1870" s="1" t="s">
        <v>119</v>
      </c>
      <c r="D1870" s="1" t="s">
        <v>44</v>
      </c>
      <c r="E1870" s="1" t="s">
        <v>45</v>
      </c>
      <c r="F1870" s="1" t="s">
        <v>269</v>
      </c>
      <c r="G1870" s="1" t="s">
        <v>108</v>
      </c>
      <c r="H1870" s="1" t="s">
        <v>57</v>
      </c>
      <c r="I1870" s="1" t="s">
        <v>58</v>
      </c>
      <c r="J1870" s="1" t="s">
        <v>77</v>
      </c>
      <c r="K1870" s="1" t="s">
        <v>48</v>
      </c>
      <c r="L1870" s="1" t="s">
        <v>136</v>
      </c>
      <c r="M1870" s="1" t="s">
        <v>62</v>
      </c>
      <c r="N1870" s="1" t="n">
        <v>11999</v>
      </c>
      <c r="O1870" s="1" t="n">
        <v>15</v>
      </c>
      <c r="P1870" s="1" t="n">
        <v>1799.85</v>
      </c>
      <c r="Q1870" s="1" t="n">
        <v>10199.15</v>
      </c>
      <c r="R1870" s="1" t="n">
        <v>1835.85</v>
      </c>
      <c r="S1870" s="1" t="n">
        <v>8363.3</v>
      </c>
      <c r="T1870" s="1" t="n">
        <v>3986.48</v>
      </c>
      <c r="U1870" s="1" t="n">
        <v>4376.82</v>
      </c>
      <c r="V1870" s="1" t="n">
        <v>52.33</v>
      </c>
      <c r="W1870" s="1" t="s">
        <v>39</v>
      </c>
      <c r="X1870" s="1" t="n">
        <v>3.4</v>
      </c>
      <c r="Y1870" s="1" t="s">
        <v>40</v>
      </c>
      <c r="Z1870" s="1" t="n">
        <v>0</v>
      </c>
      <c r="AA1870" s="1" t="str">
        <f aca="false">TRIM(PROPER(F1870))</f>
        <v>Coimbatore</v>
      </c>
      <c r="AB1870" s="1" t="str">
        <f aca="false">TRIM(PROPER(C1870))</f>
        <v>Simplilearn</v>
      </c>
      <c r="AC1870" s="1" t="str">
        <f aca="false">IF(O1870=0,"No Discount",IF(O1870&lt;=15,"Low (1-15%)",IF(O1870&lt;=30,"Medium (16-30%)","High (&gt;30%)")))</f>
        <v>Low (1-15%)</v>
      </c>
      <c r="AD1870" s="1" t="str">
        <f aca="false">IF(V1870&lt;0,"Loss Making",IF(V1870&lt;20,"Low Margin","Healthy Margin"))</f>
        <v>Healthy Margin</v>
      </c>
      <c r="AE1870" s="1" t="str">
        <f aca="false">TEXT(DATE(VALUE(RIGHT(B1870,4)),VALUE(MID(B1870,4,2)),VALUE(LEFT(B1870,2))),"MMM-YYYY")</f>
        <v>Sep-2023</v>
      </c>
      <c r="AF1870" s="1" t="n">
        <f aca="false">VALUE(RIGHT(B1870,4))</f>
        <v>2023</v>
      </c>
      <c r="AG1870" s="1" t="str">
        <f aca="false">CHOOSE(ROUNDUP(VALUE(MID(B1870,4,2))/3,0),"Q1","Q2","Q3","Q4")</f>
        <v>Q3</v>
      </c>
    </row>
    <row r="1871" customFormat="false" ht="15" hidden="false" customHeight="true" outlineLevel="0" collapsed="false">
      <c r="A1871" s="1" t="s">
        <v>2718</v>
      </c>
      <c r="B1871" s="1" t="s">
        <v>1118</v>
      </c>
      <c r="C1871" s="1" t="s">
        <v>139</v>
      </c>
      <c r="D1871" s="1" t="s">
        <v>53</v>
      </c>
      <c r="E1871" s="1" t="s">
        <v>54</v>
      </c>
      <c r="F1871" s="1" t="s">
        <v>89</v>
      </c>
      <c r="G1871" s="1" t="s">
        <v>68</v>
      </c>
      <c r="H1871" s="1" t="s">
        <v>33</v>
      </c>
      <c r="I1871" s="1" t="s">
        <v>83</v>
      </c>
      <c r="J1871" s="1" t="s">
        <v>131</v>
      </c>
      <c r="K1871" s="1" t="s">
        <v>112</v>
      </c>
      <c r="L1871" s="1" t="s">
        <v>85</v>
      </c>
      <c r="M1871" s="1" t="s">
        <v>62</v>
      </c>
      <c r="N1871" s="1" t="n">
        <v>11999</v>
      </c>
      <c r="O1871" s="1" t="n">
        <v>15</v>
      </c>
      <c r="P1871" s="1" t="n">
        <v>1799.85</v>
      </c>
      <c r="Q1871" s="1" t="n">
        <v>10199.15</v>
      </c>
      <c r="R1871" s="1" t="n">
        <v>1835.85</v>
      </c>
      <c r="S1871" s="1" t="n">
        <v>8363.3</v>
      </c>
      <c r="T1871" s="1" t="n">
        <v>4105.99</v>
      </c>
      <c r="U1871" s="1" t="n">
        <v>4257.31</v>
      </c>
      <c r="V1871" s="1" t="n">
        <v>50.9</v>
      </c>
      <c r="W1871" s="1" t="s">
        <v>39</v>
      </c>
      <c r="X1871" s="1" t="n">
        <v>4.2</v>
      </c>
      <c r="Y1871" s="1" t="s">
        <v>40</v>
      </c>
      <c r="Z1871" s="1" t="n">
        <v>0</v>
      </c>
      <c r="AA1871" s="1" t="str">
        <f aca="false">TRIM(PROPER(F1871))</f>
        <v>Vadodara</v>
      </c>
      <c r="AB1871" s="1" t="str">
        <f aca="false">TRIM(PROPER(C1871))</f>
        <v>Extramarks</v>
      </c>
      <c r="AC1871" s="1" t="str">
        <f aca="false">IF(O1871=0,"No Discount",IF(O1871&lt;=15,"Low (1-15%)",IF(O1871&lt;=30,"Medium (16-30%)","High (&gt;30%)")))</f>
        <v>Low (1-15%)</v>
      </c>
      <c r="AD1871" s="1" t="str">
        <f aca="false">IF(V1871&lt;0,"Loss Making",IF(V1871&lt;20,"Low Margin","Healthy Margin"))</f>
        <v>Healthy Margin</v>
      </c>
      <c r="AE1871" s="1" t="str">
        <f aca="false">TEXT(DATE(VALUE(RIGHT(B1871,4)),VALUE(MID(B1871,4,2)),VALUE(LEFT(B1871,2))),"MMM-YYYY")</f>
        <v>Jul-2023</v>
      </c>
      <c r="AF1871" s="1" t="n">
        <f aca="false">VALUE(RIGHT(B1871,4))</f>
        <v>2023</v>
      </c>
      <c r="AG1871" s="1" t="str">
        <f aca="false">CHOOSE(ROUNDUP(VALUE(MID(B1871,4,2))/3,0),"Q1","Q2","Q3","Q4")</f>
        <v>Q3</v>
      </c>
    </row>
    <row r="1872" customFormat="false" ht="15" hidden="false" customHeight="true" outlineLevel="0" collapsed="false">
      <c r="A1872" s="1" t="s">
        <v>2719</v>
      </c>
      <c r="B1872" s="1" t="s">
        <v>2720</v>
      </c>
      <c r="C1872" s="1" t="s">
        <v>134</v>
      </c>
      <c r="D1872" s="1" t="s">
        <v>168</v>
      </c>
      <c r="E1872" s="1" t="s">
        <v>169</v>
      </c>
      <c r="F1872" s="1" t="s">
        <v>120</v>
      </c>
      <c r="G1872" s="1" t="s">
        <v>47</v>
      </c>
      <c r="H1872" s="1" t="s">
        <v>57</v>
      </c>
      <c r="I1872" s="1" t="s">
        <v>58</v>
      </c>
      <c r="J1872" s="1" t="s">
        <v>70</v>
      </c>
      <c r="K1872" s="1" t="s">
        <v>90</v>
      </c>
      <c r="L1872" s="1" t="s">
        <v>85</v>
      </c>
      <c r="M1872" s="1" t="s">
        <v>50</v>
      </c>
      <c r="N1872" s="1" t="n">
        <v>4999</v>
      </c>
      <c r="O1872" s="1" t="n">
        <v>20</v>
      </c>
      <c r="P1872" s="1" t="n">
        <v>999.8</v>
      </c>
      <c r="Q1872" s="1" t="n">
        <v>3999.2</v>
      </c>
      <c r="R1872" s="1" t="n">
        <v>719.86</v>
      </c>
      <c r="S1872" s="1" t="n">
        <v>3279.34</v>
      </c>
      <c r="T1872" s="1" t="n">
        <v>1496.89</v>
      </c>
      <c r="U1872" s="1" t="n">
        <v>1782.45</v>
      </c>
      <c r="V1872" s="1" t="n">
        <v>54.35</v>
      </c>
      <c r="W1872" s="1" t="s">
        <v>39</v>
      </c>
      <c r="X1872" s="1" t="n">
        <v>2.8</v>
      </c>
      <c r="Y1872" s="1" t="s">
        <v>40</v>
      </c>
      <c r="Z1872" s="1" t="n">
        <v>1</v>
      </c>
      <c r="AA1872" s="1" t="str">
        <f aca="false">TRIM(PROPER(F1872))</f>
        <v>Mysuru</v>
      </c>
      <c r="AB1872" s="1" t="str">
        <f aca="false">TRIM(PROPER(C1872))</f>
        <v>Doubtnut</v>
      </c>
      <c r="AC1872" s="1" t="str">
        <f aca="false">IF(O1872=0,"No Discount",IF(O1872&lt;=15,"Low (1-15%)",IF(O1872&lt;=30,"Medium (16-30%)","High (&gt;30%)")))</f>
        <v>Medium (16-30%)</v>
      </c>
      <c r="AD1872" s="1" t="str">
        <f aca="false">IF(V1872&lt;0,"Loss Making",IF(V1872&lt;20,"Low Margin","Healthy Margin"))</f>
        <v>Healthy Margin</v>
      </c>
      <c r="AE1872" s="1" t="str">
        <f aca="false">TEXT(DATE(VALUE(RIGHT(B1872,4)),VALUE(MID(B1872,4,2)),VALUE(LEFT(B1872,2))),"MMM-YYYY")</f>
        <v>Aug-2024</v>
      </c>
      <c r="AF1872" s="1" t="n">
        <f aca="false">VALUE(RIGHT(B1872,4))</f>
        <v>2024</v>
      </c>
      <c r="AG1872" s="1" t="str">
        <f aca="false">CHOOSE(ROUNDUP(VALUE(MID(B1872,4,2))/3,0),"Q1","Q2","Q3","Q4")</f>
        <v>Q3</v>
      </c>
    </row>
    <row r="1873" customFormat="false" ht="15" hidden="false" customHeight="true" outlineLevel="0" collapsed="false">
      <c r="A1873" s="1" t="s">
        <v>2721</v>
      </c>
      <c r="B1873" s="1" t="s">
        <v>460</v>
      </c>
      <c r="C1873" s="1" t="s">
        <v>139</v>
      </c>
      <c r="D1873" s="1" t="s">
        <v>143</v>
      </c>
      <c r="E1873" s="1" t="s">
        <v>210</v>
      </c>
      <c r="F1873" s="1" t="s">
        <v>150</v>
      </c>
      <c r="G1873" s="1" t="s">
        <v>32</v>
      </c>
      <c r="H1873" s="1" t="s">
        <v>57</v>
      </c>
      <c r="I1873" s="1" t="s">
        <v>58</v>
      </c>
      <c r="J1873" s="1" t="s">
        <v>59</v>
      </c>
      <c r="K1873" s="1" t="s">
        <v>84</v>
      </c>
      <c r="L1873" s="1" t="s">
        <v>113</v>
      </c>
      <c r="M1873" s="1" t="s">
        <v>62</v>
      </c>
      <c r="N1873" s="1" t="n">
        <v>18999</v>
      </c>
      <c r="O1873" s="1" t="n">
        <v>0</v>
      </c>
      <c r="P1873" s="1" t="n">
        <v>0</v>
      </c>
      <c r="Q1873" s="1" t="n">
        <v>18999</v>
      </c>
      <c r="R1873" s="1" t="n">
        <v>3419.82</v>
      </c>
      <c r="S1873" s="1" t="n">
        <v>15579.18</v>
      </c>
      <c r="T1873" s="1" t="n">
        <v>5921.2</v>
      </c>
      <c r="U1873" s="1" t="n">
        <v>9657.98</v>
      </c>
      <c r="V1873" s="1" t="n">
        <v>61.99</v>
      </c>
      <c r="W1873" s="1" t="s">
        <v>40</v>
      </c>
      <c r="Y1873" s="1" t="s">
        <v>40</v>
      </c>
      <c r="Z1873" s="1" t="n">
        <v>0</v>
      </c>
      <c r="AA1873" s="1" t="str">
        <f aca="false">TRIM(PROPER(F1873))</f>
        <v>Jaipur</v>
      </c>
      <c r="AB1873" s="1" t="str">
        <f aca="false">TRIM(PROPER(C1873))</f>
        <v>Extramarks</v>
      </c>
      <c r="AC1873" s="1" t="str">
        <f aca="false">IF(O1873=0,"No Discount",IF(O1873&lt;=15,"Low (1-15%)",IF(O1873&lt;=30,"Medium (16-30%)","High (&gt;30%)")))</f>
        <v>No Discount</v>
      </c>
      <c r="AD1873" s="1" t="str">
        <f aca="false">IF(V1873&lt;0,"Loss Making",IF(V1873&lt;20,"Low Margin","Healthy Margin"))</f>
        <v>Healthy Margin</v>
      </c>
      <c r="AE1873" s="1" t="str">
        <f aca="false">TEXT(DATE(VALUE(RIGHT(B1873,4)),VALUE(MID(B1873,4,2)),VALUE(LEFT(B1873,2))),"MMM-YYYY")</f>
        <v>Apr-2023</v>
      </c>
      <c r="AF1873" s="1" t="n">
        <f aca="false">VALUE(RIGHT(B1873,4))</f>
        <v>2023</v>
      </c>
      <c r="AG1873" s="1" t="str">
        <f aca="false">CHOOSE(ROUNDUP(VALUE(MID(B1873,4,2))/3,0),"Q1","Q2","Q3","Q4")</f>
        <v>Q2</v>
      </c>
    </row>
    <row r="1874" customFormat="false" ht="15" hidden="false" customHeight="true" outlineLevel="0" collapsed="false">
      <c r="A1874" s="1" t="s">
        <v>2722</v>
      </c>
      <c r="B1874" s="1" t="s">
        <v>1107</v>
      </c>
      <c r="C1874" s="1" t="s">
        <v>128</v>
      </c>
      <c r="D1874" s="1" t="s">
        <v>123</v>
      </c>
      <c r="E1874" s="1" t="s">
        <v>233</v>
      </c>
      <c r="F1874" s="1" t="s">
        <v>187</v>
      </c>
      <c r="G1874" s="1" t="s">
        <v>97</v>
      </c>
      <c r="H1874" s="1" t="s">
        <v>69</v>
      </c>
      <c r="I1874" s="1" t="s">
        <v>34</v>
      </c>
      <c r="J1874" s="1" t="s">
        <v>35</v>
      </c>
      <c r="K1874" s="1" t="s">
        <v>71</v>
      </c>
      <c r="L1874" s="1" t="s">
        <v>37</v>
      </c>
      <c r="M1874" s="1" t="s">
        <v>62</v>
      </c>
      <c r="N1874" s="1" t="n">
        <v>8999</v>
      </c>
      <c r="O1874" s="1" t="n">
        <v>5</v>
      </c>
      <c r="P1874" s="1" t="n">
        <v>449.95</v>
      </c>
      <c r="Q1874" s="1" t="n">
        <v>8549.05</v>
      </c>
      <c r="R1874" s="1" t="n">
        <v>1538.83</v>
      </c>
      <c r="S1874" s="1" t="n">
        <v>7010.22</v>
      </c>
      <c r="T1874" s="1" t="n">
        <v>2802.14</v>
      </c>
      <c r="U1874" s="1" t="n">
        <v>4208.08</v>
      </c>
      <c r="V1874" s="1" t="n">
        <v>60.03</v>
      </c>
      <c r="W1874" s="1" t="s">
        <v>39</v>
      </c>
      <c r="X1874" s="1" t="n">
        <v>3</v>
      </c>
      <c r="Y1874" s="1" t="s">
        <v>40</v>
      </c>
      <c r="Z1874" s="1" t="n">
        <v>0</v>
      </c>
      <c r="AA1874" s="1" t="str">
        <f aca="false">TRIM(PROPER(F1874))</f>
        <v>Mumbai</v>
      </c>
      <c r="AB1874" s="1" t="str">
        <f aca="false">TRIM(PROPER(C1874))</f>
        <v>Great Learning</v>
      </c>
      <c r="AC1874" s="1" t="str">
        <f aca="false">IF(O1874=0,"No Discount",IF(O1874&lt;=15,"Low (1-15%)",IF(O1874&lt;=30,"Medium (16-30%)","High (&gt;30%)")))</f>
        <v>Low (1-15%)</v>
      </c>
      <c r="AD1874" s="1" t="str">
        <f aca="false">IF(V1874&lt;0,"Loss Making",IF(V1874&lt;20,"Low Margin","Healthy Margin"))</f>
        <v>Healthy Margin</v>
      </c>
      <c r="AE1874" s="1" t="str">
        <f aca="false">TEXT(DATE(VALUE(RIGHT(B1874,4)),VALUE(MID(B1874,4,2)),VALUE(LEFT(B1874,2))),"MMM-YYYY")</f>
        <v>Jul-2023</v>
      </c>
      <c r="AF1874" s="1" t="n">
        <f aca="false">VALUE(RIGHT(B1874,4))</f>
        <v>2023</v>
      </c>
      <c r="AG1874" s="1" t="str">
        <f aca="false">CHOOSE(ROUNDUP(VALUE(MID(B1874,4,2))/3,0),"Q1","Q2","Q3","Q4")</f>
        <v>Q3</v>
      </c>
    </row>
    <row r="1875" customFormat="false" ht="15" hidden="false" customHeight="true" outlineLevel="0" collapsed="false">
      <c r="A1875" s="1" t="s">
        <v>2723</v>
      </c>
      <c r="B1875" s="1" t="s">
        <v>1959</v>
      </c>
      <c r="C1875" s="1" t="s">
        <v>139</v>
      </c>
      <c r="D1875" s="1" t="s">
        <v>44</v>
      </c>
      <c r="E1875" s="1" t="s">
        <v>221</v>
      </c>
      <c r="F1875" s="1" t="s">
        <v>205</v>
      </c>
      <c r="G1875" s="1" t="s">
        <v>56</v>
      </c>
      <c r="H1875" s="1" t="s">
        <v>69</v>
      </c>
      <c r="I1875" s="1" t="s">
        <v>34</v>
      </c>
      <c r="J1875" s="1" t="s">
        <v>77</v>
      </c>
      <c r="K1875" s="1" t="s">
        <v>90</v>
      </c>
      <c r="L1875" s="1" t="s">
        <v>85</v>
      </c>
      <c r="M1875" s="1" t="s">
        <v>38</v>
      </c>
      <c r="N1875" s="1" t="n">
        <v>16999</v>
      </c>
      <c r="O1875" s="1" t="n">
        <v>10</v>
      </c>
      <c r="P1875" s="1" t="n">
        <v>1699.9</v>
      </c>
      <c r="Q1875" s="1" t="n">
        <v>15299.1</v>
      </c>
      <c r="R1875" s="1" t="n">
        <v>2753.84</v>
      </c>
      <c r="S1875" s="1" t="n">
        <v>12545.26</v>
      </c>
      <c r="T1875" s="1" t="n">
        <v>4643.27</v>
      </c>
      <c r="U1875" s="1" t="n">
        <v>7901.99</v>
      </c>
      <c r="V1875" s="1" t="n">
        <v>62.99</v>
      </c>
      <c r="W1875" s="1" t="s">
        <v>39</v>
      </c>
      <c r="X1875" s="1" t="n">
        <v>3</v>
      </c>
      <c r="Y1875" s="1" t="s">
        <v>40</v>
      </c>
      <c r="Z1875" s="1" t="n">
        <v>0</v>
      </c>
      <c r="AA1875" s="1" t="str">
        <f aca="false">TRIM(PROPER(F1875))</f>
        <v>New Delhi</v>
      </c>
      <c r="AB1875" s="1" t="str">
        <f aca="false">TRIM(PROPER(C1875))</f>
        <v>Extramarks</v>
      </c>
      <c r="AC1875" s="1" t="str">
        <f aca="false">IF(O1875=0,"No Discount",IF(O1875&lt;=15,"Low (1-15%)",IF(O1875&lt;=30,"Medium (16-30%)","High (&gt;30%)")))</f>
        <v>Low (1-15%)</v>
      </c>
      <c r="AD1875" s="1" t="str">
        <f aca="false">IF(V1875&lt;0,"Loss Making",IF(V1875&lt;20,"Low Margin","Healthy Margin"))</f>
        <v>Healthy Margin</v>
      </c>
      <c r="AE1875" s="1" t="str">
        <f aca="false">TEXT(DATE(VALUE(RIGHT(B1875,4)),VALUE(MID(B1875,4,2)),VALUE(LEFT(B1875,2))),"MMM-YYYY")</f>
        <v>Feb-2023</v>
      </c>
      <c r="AF1875" s="1" t="n">
        <f aca="false">VALUE(RIGHT(B1875,4))</f>
        <v>2023</v>
      </c>
      <c r="AG1875" s="1" t="str">
        <f aca="false">CHOOSE(ROUNDUP(VALUE(MID(B1875,4,2))/3,0),"Q1","Q2","Q3","Q4")</f>
        <v>Q1</v>
      </c>
    </row>
    <row r="1876" customFormat="false" ht="15" hidden="false" customHeight="true" outlineLevel="0" collapsed="false">
      <c r="A1876" s="1" t="s">
        <v>2724</v>
      </c>
      <c r="B1876" s="1" t="s">
        <v>290</v>
      </c>
      <c r="C1876" s="1" t="s">
        <v>28</v>
      </c>
      <c r="D1876" s="1" t="s">
        <v>29</v>
      </c>
      <c r="E1876" s="1" t="s">
        <v>30</v>
      </c>
      <c r="F1876" s="1" t="s">
        <v>67</v>
      </c>
      <c r="G1876" s="1" t="s">
        <v>68</v>
      </c>
      <c r="H1876" s="1" t="s">
        <v>69</v>
      </c>
      <c r="I1876" s="1" t="s">
        <v>34</v>
      </c>
      <c r="J1876" s="1" t="s">
        <v>131</v>
      </c>
      <c r="K1876" s="1" t="s">
        <v>104</v>
      </c>
      <c r="L1876" s="1" t="s">
        <v>61</v>
      </c>
      <c r="M1876" s="1" t="s">
        <v>62</v>
      </c>
      <c r="N1876" s="1" t="n">
        <v>7999</v>
      </c>
      <c r="O1876" s="1" t="n">
        <v>20</v>
      </c>
      <c r="P1876" s="1" t="n">
        <v>1599.8</v>
      </c>
      <c r="Q1876" s="1" t="n">
        <v>6399.2</v>
      </c>
      <c r="R1876" s="1" t="n">
        <v>1151.86</v>
      </c>
      <c r="S1876" s="1" t="n">
        <v>5247.34</v>
      </c>
      <c r="T1876" s="1" t="n">
        <v>1882.52</v>
      </c>
      <c r="U1876" s="1" t="n">
        <v>3364.82</v>
      </c>
      <c r="V1876" s="1" t="n">
        <v>64.12</v>
      </c>
      <c r="W1876" s="1" t="s">
        <v>39</v>
      </c>
      <c r="X1876" s="1" t="n">
        <v>4.1</v>
      </c>
      <c r="Y1876" s="1" t="s">
        <v>40</v>
      </c>
      <c r="Z1876" s="1" t="n">
        <v>0</v>
      </c>
      <c r="AA1876" s="1" t="str">
        <f aca="false">TRIM(PROPER(F1876))</f>
        <v>Ahmedabad</v>
      </c>
      <c r="AB1876" s="1" t="str">
        <f aca="false">TRIM(PROPER(C1876))</f>
        <v>Embibe</v>
      </c>
      <c r="AC1876" s="1" t="str">
        <f aca="false">IF(O1876=0,"No Discount",IF(O1876&lt;=15,"Low (1-15%)",IF(O1876&lt;=30,"Medium (16-30%)","High (&gt;30%)")))</f>
        <v>Medium (16-30%)</v>
      </c>
      <c r="AD1876" s="1" t="str">
        <f aca="false">IF(V1876&lt;0,"Loss Making",IF(V1876&lt;20,"Low Margin","Healthy Margin"))</f>
        <v>Healthy Margin</v>
      </c>
      <c r="AE1876" s="1" t="str">
        <f aca="false">TEXT(DATE(VALUE(RIGHT(B1876,4)),VALUE(MID(B1876,4,2)),VALUE(LEFT(B1876,2))),"MMM-YYYY")</f>
        <v>Jan-2023</v>
      </c>
      <c r="AF1876" s="1" t="n">
        <f aca="false">VALUE(RIGHT(B1876,4))</f>
        <v>2023</v>
      </c>
      <c r="AG1876" s="1" t="str">
        <f aca="false">CHOOSE(ROUNDUP(VALUE(MID(B1876,4,2))/3,0),"Q1","Q2","Q3","Q4")</f>
        <v>Q1</v>
      </c>
    </row>
    <row r="1877" customFormat="false" ht="15" hidden="false" customHeight="true" outlineLevel="0" collapsed="false">
      <c r="A1877" s="1" t="s">
        <v>2725</v>
      </c>
      <c r="B1877" s="1" t="s">
        <v>115</v>
      </c>
      <c r="C1877" s="1" t="s">
        <v>167</v>
      </c>
      <c r="D1877" s="1" t="s">
        <v>94</v>
      </c>
      <c r="E1877" s="1" t="s">
        <v>135</v>
      </c>
      <c r="F1877" s="1" t="s">
        <v>140</v>
      </c>
      <c r="G1877" s="1" t="s">
        <v>97</v>
      </c>
      <c r="H1877" s="1" t="s">
        <v>57</v>
      </c>
      <c r="I1877" s="1" t="s">
        <v>34</v>
      </c>
      <c r="J1877" s="1" t="s">
        <v>59</v>
      </c>
      <c r="K1877" s="1" t="s">
        <v>48</v>
      </c>
      <c r="L1877" s="1" t="s">
        <v>85</v>
      </c>
      <c r="M1877" s="1" t="s">
        <v>38</v>
      </c>
      <c r="N1877" s="1" t="n">
        <v>9999</v>
      </c>
      <c r="O1877" s="1" t="n">
        <v>25</v>
      </c>
      <c r="P1877" s="1" t="n">
        <v>2499.75</v>
      </c>
      <c r="Q1877" s="1" t="n">
        <v>7499.25</v>
      </c>
      <c r="R1877" s="1" t="n">
        <v>1349.87</v>
      </c>
      <c r="S1877" s="1" t="n">
        <v>6149.38</v>
      </c>
      <c r="T1877" s="1" t="n">
        <v>2395.43</v>
      </c>
      <c r="U1877" s="1" t="n">
        <v>3753.95</v>
      </c>
      <c r="V1877" s="1" t="n">
        <v>61.05</v>
      </c>
      <c r="W1877" s="1" t="s">
        <v>40</v>
      </c>
      <c r="Y1877" s="1" t="s">
        <v>39</v>
      </c>
      <c r="Z1877" s="1" t="n">
        <v>0</v>
      </c>
      <c r="AA1877" s="1" t="str">
        <f aca="false">TRIM(PROPER(F1877))</f>
        <v>Nashik</v>
      </c>
      <c r="AB1877" s="1" t="str">
        <f aca="false">TRIM(PROPER(C1877))</f>
        <v>Scaler</v>
      </c>
      <c r="AC1877" s="1" t="str">
        <f aca="false">IF(O1877=0,"No Discount",IF(O1877&lt;=15,"Low (1-15%)",IF(O1877&lt;=30,"Medium (16-30%)","High (&gt;30%)")))</f>
        <v>Medium (16-30%)</v>
      </c>
      <c r="AD1877" s="1" t="str">
        <f aca="false">IF(V1877&lt;0,"Loss Making",IF(V1877&lt;20,"Low Margin","Healthy Margin"))</f>
        <v>Healthy Margin</v>
      </c>
      <c r="AE1877" s="1" t="str">
        <f aca="false">TEXT(DATE(VALUE(RIGHT(B1877,4)),VALUE(MID(B1877,4,2)),VALUE(LEFT(B1877,2))),"MMM-YYYY")</f>
        <v>Feb-2024</v>
      </c>
      <c r="AF1877" s="1" t="n">
        <f aca="false">VALUE(RIGHT(B1877,4))</f>
        <v>2024</v>
      </c>
      <c r="AG1877" s="1" t="str">
        <f aca="false">CHOOSE(ROUNDUP(VALUE(MID(B1877,4,2))/3,0),"Q1","Q2","Q3","Q4")</f>
        <v>Q1</v>
      </c>
    </row>
    <row r="1878" customFormat="false" ht="15" hidden="false" customHeight="true" outlineLevel="0" collapsed="false">
      <c r="A1878" s="1" t="s">
        <v>2726</v>
      </c>
      <c r="B1878" s="1" t="s">
        <v>161</v>
      </c>
      <c r="C1878" s="1" t="s">
        <v>65</v>
      </c>
      <c r="D1878" s="1" t="s">
        <v>80</v>
      </c>
      <c r="E1878" s="1" t="s">
        <v>81</v>
      </c>
      <c r="F1878" s="1" t="s">
        <v>269</v>
      </c>
      <c r="G1878" s="1" t="s">
        <v>108</v>
      </c>
      <c r="H1878" s="1" t="s">
        <v>57</v>
      </c>
      <c r="I1878" s="1" t="s">
        <v>83</v>
      </c>
      <c r="J1878" s="1" t="s">
        <v>70</v>
      </c>
      <c r="K1878" s="1" t="s">
        <v>84</v>
      </c>
      <c r="L1878" s="1" t="s">
        <v>113</v>
      </c>
      <c r="M1878" s="1" t="s">
        <v>38</v>
      </c>
      <c r="N1878" s="1" t="n">
        <v>12999</v>
      </c>
      <c r="O1878" s="1" t="n">
        <v>10</v>
      </c>
      <c r="P1878" s="1" t="n">
        <v>1299.9</v>
      </c>
      <c r="Q1878" s="1" t="n">
        <v>11699.1</v>
      </c>
      <c r="R1878" s="1" t="n">
        <v>2105.84</v>
      </c>
      <c r="S1878" s="1" t="n">
        <v>9593.26</v>
      </c>
      <c r="T1878" s="1" t="n">
        <v>4278.26</v>
      </c>
      <c r="U1878" s="1" t="n">
        <v>5315</v>
      </c>
      <c r="V1878" s="1" t="n">
        <v>55.4</v>
      </c>
      <c r="W1878" s="1" t="s">
        <v>39</v>
      </c>
      <c r="X1878" s="1" t="n">
        <v>4.1</v>
      </c>
      <c r="Y1878" s="1" t="s">
        <v>40</v>
      </c>
      <c r="Z1878" s="1" t="n">
        <v>0</v>
      </c>
      <c r="AA1878" s="1" t="str">
        <f aca="false">TRIM(PROPER(F1878))</f>
        <v>Coimbatore</v>
      </c>
      <c r="AB1878" s="1" t="str">
        <f aca="false">TRIM(PROPER(C1878))</f>
        <v>Toppr</v>
      </c>
      <c r="AC1878" s="1" t="str">
        <f aca="false">IF(O1878=0,"No Discount",IF(O1878&lt;=15,"Low (1-15%)",IF(O1878&lt;=30,"Medium (16-30%)","High (&gt;30%)")))</f>
        <v>Low (1-15%)</v>
      </c>
      <c r="AD1878" s="1" t="str">
        <f aca="false">IF(V1878&lt;0,"Loss Making",IF(V1878&lt;20,"Low Margin","Healthy Margin"))</f>
        <v>Healthy Margin</v>
      </c>
      <c r="AE1878" s="1" t="str">
        <f aca="false">TEXT(DATE(VALUE(RIGHT(B1878,4)),VALUE(MID(B1878,4,2)),VALUE(LEFT(B1878,2))),"MMM-YYYY")</f>
        <v>Jun-2023</v>
      </c>
      <c r="AF1878" s="1" t="n">
        <f aca="false">VALUE(RIGHT(B1878,4))</f>
        <v>2023</v>
      </c>
      <c r="AG1878" s="1" t="str">
        <f aca="false">CHOOSE(ROUNDUP(VALUE(MID(B1878,4,2))/3,0),"Q1","Q2","Q3","Q4")</f>
        <v>Q2</v>
      </c>
    </row>
    <row r="1879" customFormat="false" ht="15" hidden="false" customHeight="true" outlineLevel="0" collapsed="false">
      <c r="A1879" s="1" t="s">
        <v>2727</v>
      </c>
      <c r="B1879" s="1" t="s">
        <v>483</v>
      </c>
      <c r="C1879" s="1" t="s">
        <v>100</v>
      </c>
      <c r="D1879" s="1" t="s">
        <v>44</v>
      </c>
      <c r="E1879" s="1" t="s">
        <v>221</v>
      </c>
      <c r="F1879" s="1" t="s">
        <v>96</v>
      </c>
      <c r="G1879" s="1" t="s">
        <v>97</v>
      </c>
      <c r="H1879" s="1" t="s">
        <v>69</v>
      </c>
      <c r="I1879" s="1" t="s">
        <v>58</v>
      </c>
      <c r="J1879" s="1" t="s">
        <v>59</v>
      </c>
      <c r="K1879" s="1" t="s">
        <v>36</v>
      </c>
      <c r="L1879" s="1" t="s">
        <v>37</v>
      </c>
      <c r="M1879" s="1" t="s">
        <v>62</v>
      </c>
      <c r="N1879" s="1" t="n">
        <v>16999</v>
      </c>
      <c r="O1879" s="1" t="n">
        <v>50</v>
      </c>
      <c r="P1879" s="1" t="n">
        <v>8499.5</v>
      </c>
      <c r="Q1879" s="1" t="n">
        <v>8499.5</v>
      </c>
      <c r="R1879" s="1" t="n">
        <v>1529.91</v>
      </c>
      <c r="S1879" s="1" t="n">
        <v>6969.59</v>
      </c>
      <c r="T1879" s="1" t="n">
        <v>3193.43</v>
      </c>
      <c r="U1879" s="1" t="n">
        <v>3776.16</v>
      </c>
      <c r="V1879" s="1" t="n">
        <v>54.18</v>
      </c>
      <c r="W1879" s="1" t="s">
        <v>39</v>
      </c>
      <c r="X1879" s="1" t="n">
        <v>3.9</v>
      </c>
      <c r="Y1879" s="1" t="s">
        <v>40</v>
      </c>
      <c r="Z1879" s="1" t="n">
        <v>2</v>
      </c>
      <c r="AA1879" s="1" t="str">
        <f aca="false">TRIM(PROPER(F1879))</f>
        <v>Pune</v>
      </c>
      <c r="AB1879" s="1" t="str">
        <f aca="false">TRIM(PROPER(C1879))</f>
        <v>Physics Wallah</v>
      </c>
      <c r="AC1879" s="1" t="str">
        <f aca="false">IF(O1879=0,"No Discount",IF(O1879&lt;=15,"Low (1-15%)",IF(O1879&lt;=30,"Medium (16-30%)","High (&gt;30%)")))</f>
        <v>High (&gt;30%)</v>
      </c>
      <c r="AD1879" s="1" t="str">
        <f aca="false">IF(V1879&lt;0,"Loss Making",IF(V1879&lt;20,"Low Margin","Healthy Margin"))</f>
        <v>Healthy Margin</v>
      </c>
      <c r="AE1879" s="1" t="str">
        <f aca="false">TEXT(DATE(VALUE(RIGHT(B1879,4)),VALUE(MID(B1879,4,2)),VALUE(LEFT(B1879,2))),"MMM-YYYY")</f>
        <v>Dec-2024</v>
      </c>
      <c r="AF1879" s="1" t="n">
        <f aca="false">VALUE(RIGHT(B1879,4))</f>
        <v>2024</v>
      </c>
      <c r="AG1879" s="1" t="str">
        <f aca="false">CHOOSE(ROUNDUP(VALUE(MID(B1879,4,2))/3,0),"Q1","Q2","Q3","Q4")</f>
        <v>Q4</v>
      </c>
    </row>
    <row r="1880" customFormat="false" ht="15" hidden="false" customHeight="true" outlineLevel="0" collapsed="false">
      <c r="A1880" s="1" t="s">
        <v>2728</v>
      </c>
      <c r="B1880" s="1" t="s">
        <v>1698</v>
      </c>
      <c r="C1880" s="1" t="s">
        <v>93</v>
      </c>
      <c r="D1880" s="1" t="s">
        <v>168</v>
      </c>
      <c r="E1880" s="1" t="s">
        <v>328</v>
      </c>
      <c r="F1880" s="1" t="s">
        <v>120</v>
      </c>
      <c r="G1880" s="1" t="s">
        <v>47</v>
      </c>
      <c r="H1880" s="1" t="s">
        <v>57</v>
      </c>
      <c r="I1880" s="1" t="s">
        <v>58</v>
      </c>
      <c r="J1880" s="1" t="s">
        <v>131</v>
      </c>
      <c r="K1880" s="1" t="s">
        <v>84</v>
      </c>
      <c r="L1880" s="1" t="s">
        <v>37</v>
      </c>
      <c r="M1880" s="1" t="s">
        <v>62</v>
      </c>
      <c r="N1880" s="1" t="n">
        <v>8999</v>
      </c>
      <c r="O1880" s="1" t="n">
        <v>50</v>
      </c>
      <c r="P1880" s="1" t="n">
        <v>4499.5</v>
      </c>
      <c r="Q1880" s="1" t="n">
        <v>4499.5</v>
      </c>
      <c r="R1880" s="1" t="n">
        <v>809.91</v>
      </c>
      <c r="S1880" s="1" t="n">
        <v>3689.59</v>
      </c>
      <c r="T1880" s="1" t="n">
        <v>1828.6</v>
      </c>
      <c r="U1880" s="1" t="n">
        <v>1860.99</v>
      </c>
      <c r="V1880" s="1" t="n">
        <v>50.44</v>
      </c>
      <c r="W1880" s="1" t="s">
        <v>39</v>
      </c>
      <c r="X1880" s="1" t="n">
        <v>2.8</v>
      </c>
      <c r="Y1880" s="1" t="s">
        <v>40</v>
      </c>
      <c r="Z1880" s="1" t="n">
        <v>0</v>
      </c>
      <c r="AA1880" s="1" t="str">
        <f aca="false">TRIM(PROPER(F1880))</f>
        <v>Mysuru</v>
      </c>
      <c r="AB1880" s="1" t="str">
        <f aca="false">TRIM(PROPER(C1880))</f>
        <v>Upgrad</v>
      </c>
      <c r="AC1880" s="1" t="str">
        <f aca="false">IF(O1880=0,"No Discount",IF(O1880&lt;=15,"Low (1-15%)",IF(O1880&lt;=30,"Medium (16-30%)","High (&gt;30%)")))</f>
        <v>High (&gt;30%)</v>
      </c>
      <c r="AD1880" s="1" t="str">
        <f aca="false">IF(V1880&lt;0,"Loss Making",IF(V1880&lt;20,"Low Margin","Healthy Margin"))</f>
        <v>Healthy Margin</v>
      </c>
      <c r="AE1880" s="1" t="str">
        <f aca="false">TEXT(DATE(VALUE(RIGHT(B1880,4)),VALUE(MID(B1880,4,2)),VALUE(LEFT(B1880,2))),"MMM-YYYY")</f>
        <v>Jan-2024</v>
      </c>
      <c r="AF1880" s="1" t="n">
        <f aca="false">VALUE(RIGHT(B1880,4))</f>
        <v>2024</v>
      </c>
      <c r="AG1880" s="1" t="str">
        <f aca="false">CHOOSE(ROUNDUP(VALUE(MID(B1880,4,2))/3,0),"Q1","Q2","Q3","Q4")</f>
        <v>Q1</v>
      </c>
    </row>
    <row r="1881" customFormat="false" ht="15" hidden="false" customHeight="true" outlineLevel="0" collapsed="false">
      <c r="A1881" s="1" t="s">
        <v>2729</v>
      </c>
      <c r="B1881" s="1" t="s">
        <v>2730</v>
      </c>
      <c r="C1881" s="1" t="s">
        <v>74</v>
      </c>
      <c r="D1881" s="1" t="s">
        <v>80</v>
      </c>
      <c r="E1881" s="1" t="s">
        <v>81</v>
      </c>
      <c r="F1881" s="1" t="s">
        <v>89</v>
      </c>
      <c r="G1881" s="1" t="s">
        <v>68</v>
      </c>
      <c r="H1881" s="1" t="s">
        <v>33</v>
      </c>
      <c r="I1881" s="1" t="s">
        <v>83</v>
      </c>
      <c r="J1881" s="1" t="s">
        <v>70</v>
      </c>
      <c r="K1881" s="1" t="s">
        <v>104</v>
      </c>
      <c r="L1881" s="1" t="s">
        <v>61</v>
      </c>
      <c r="M1881" s="1" t="s">
        <v>62</v>
      </c>
      <c r="N1881" s="1" t="n">
        <v>12999</v>
      </c>
      <c r="O1881" s="1" t="n">
        <v>10</v>
      </c>
      <c r="P1881" s="1" t="n">
        <v>1299.9</v>
      </c>
      <c r="Q1881" s="1" t="n">
        <v>11699.1</v>
      </c>
      <c r="R1881" s="1" t="n">
        <v>2105.84</v>
      </c>
      <c r="S1881" s="1" t="n">
        <v>9593.26</v>
      </c>
      <c r="T1881" s="1" t="n">
        <v>4037.32</v>
      </c>
      <c r="U1881" s="1" t="n">
        <v>5555.94</v>
      </c>
      <c r="V1881" s="1" t="n">
        <v>57.92</v>
      </c>
      <c r="W1881" s="1" t="s">
        <v>39</v>
      </c>
      <c r="X1881" s="1" t="n">
        <v>3</v>
      </c>
      <c r="Y1881" s="1" t="s">
        <v>40</v>
      </c>
      <c r="Z1881" s="1" t="n">
        <v>0</v>
      </c>
      <c r="AA1881" s="1" t="str">
        <f aca="false">TRIM(PROPER(F1881))</f>
        <v>Vadodara</v>
      </c>
      <c r="AB1881" s="1" t="str">
        <f aca="false">TRIM(PROPER(C1881))</f>
        <v>Vedantu</v>
      </c>
      <c r="AC1881" s="1" t="str">
        <f aca="false">IF(O1881=0,"No Discount",IF(O1881&lt;=15,"Low (1-15%)",IF(O1881&lt;=30,"Medium (16-30%)","High (&gt;30%)")))</f>
        <v>Low (1-15%)</v>
      </c>
      <c r="AD1881" s="1" t="str">
        <f aca="false">IF(V1881&lt;0,"Loss Making",IF(V1881&lt;20,"Low Margin","Healthy Margin"))</f>
        <v>Healthy Margin</v>
      </c>
      <c r="AE1881" s="1" t="str">
        <f aca="false">TEXT(DATE(VALUE(RIGHT(B1881,4)),VALUE(MID(B1881,4,2)),VALUE(LEFT(B1881,2))),"MMM-YYYY")</f>
        <v>Mar-2023</v>
      </c>
      <c r="AF1881" s="1" t="n">
        <f aca="false">VALUE(RIGHT(B1881,4))</f>
        <v>2023</v>
      </c>
      <c r="AG1881" s="1" t="str">
        <f aca="false">CHOOSE(ROUNDUP(VALUE(MID(B1881,4,2))/3,0),"Q1","Q2","Q3","Q4")</f>
        <v>Q1</v>
      </c>
    </row>
    <row r="1882" customFormat="false" ht="15" hidden="false" customHeight="true" outlineLevel="0" collapsed="false">
      <c r="A1882" s="1" t="s">
        <v>2731</v>
      </c>
      <c r="B1882" s="1" t="s">
        <v>2422</v>
      </c>
      <c r="C1882" s="1" t="s">
        <v>43</v>
      </c>
      <c r="D1882" s="1" t="s">
        <v>143</v>
      </c>
      <c r="E1882" s="1" t="s">
        <v>243</v>
      </c>
      <c r="F1882" s="1" t="s">
        <v>67</v>
      </c>
      <c r="G1882" s="1" t="s">
        <v>68</v>
      </c>
      <c r="H1882" s="1" t="s">
        <v>69</v>
      </c>
      <c r="I1882" s="1" t="s">
        <v>34</v>
      </c>
      <c r="J1882" s="1" t="s">
        <v>59</v>
      </c>
      <c r="K1882" s="1" t="s">
        <v>71</v>
      </c>
      <c r="L1882" s="1" t="s">
        <v>85</v>
      </c>
      <c r="M1882" s="1" t="s">
        <v>62</v>
      </c>
      <c r="N1882" s="1" t="n">
        <v>22999</v>
      </c>
      <c r="O1882" s="1" t="n">
        <v>40</v>
      </c>
      <c r="P1882" s="1" t="n">
        <v>9199.6</v>
      </c>
      <c r="Q1882" s="1" t="n">
        <v>13799.4</v>
      </c>
      <c r="R1882" s="1" t="n">
        <v>2483.89</v>
      </c>
      <c r="S1882" s="1" t="n">
        <v>11315.51</v>
      </c>
      <c r="T1882" s="1" t="n">
        <v>4944.38</v>
      </c>
      <c r="U1882" s="1" t="n">
        <v>6371.13</v>
      </c>
      <c r="V1882" s="1" t="n">
        <v>56.3</v>
      </c>
      <c r="W1882" s="1" t="s">
        <v>39</v>
      </c>
      <c r="X1882" s="1" t="n">
        <v>4.8</v>
      </c>
      <c r="Y1882" s="1" t="s">
        <v>40</v>
      </c>
      <c r="Z1882" s="1" t="n">
        <v>0</v>
      </c>
      <c r="AA1882" s="1" t="str">
        <f aca="false">TRIM(PROPER(F1882))</f>
        <v>Ahmedabad</v>
      </c>
      <c r="AB1882" s="1" t="str">
        <f aca="false">TRIM(PROPER(C1882))</f>
        <v>Meritnation</v>
      </c>
      <c r="AC1882" s="1" t="str">
        <f aca="false">IF(O1882=0,"No Discount",IF(O1882&lt;=15,"Low (1-15%)",IF(O1882&lt;=30,"Medium (16-30%)","High (&gt;30%)")))</f>
        <v>High (&gt;30%)</v>
      </c>
      <c r="AD1882" s="1" t="str">
        <f aca="false">IF(V1882&lt;0,"Loss Making",IF(V1882&lt;20,"Low Margin","Healthy Margin"))</f>
        <v>Healthy Margin</v>
      </c>
      <c r="AE1882" s="1" t="str">
        <f aca="false">TEXT(DATE(VALUE(RIGHT(B1882,4)),VALUE(MID(B1882,4,2)),VALUE(LEFT(B1882,2))),"MMM-YYYY")</f>
        <v>Mar-2023</v>
      </c>
      <c r="AF1882" s="1" t="n">
        <f aca="false">VALUE(RIGHT(B1882,4))</f>
        <v>2023</v>
      </c>
      <c r="AG1882" s="1" t="str">
        <f aca="false">CHOOSE(ROUNDUP(VALUE(MID(B1882,4,2))/3,0),"Q1","Q2","Q3","Q4")</f>
        <v>Q1</v>
      </c>
    </row>
    <row r="1883" customFormat="false" ht="15" hidden="false" customHeight="true" outlineLevel="0" collapsed="false">
      <c r="A1883" s="1" t="s">
        <v>2732</v>
      </c>
      <c r="B1883" s="1" t="s">
        <v>1148</v>
      </c>
      <c r="C1883" s="1" t="s">
        <v>88</v>
      </c>
      <c r="D1883" s="1" t="s">
        <v>94</v>
      </c>
      <c r="E1883" s="1" t="s">
        <v>135</v>
      </c>
      <c r="F1883" s="1" t="s">
        <v>150</v>
      </c>
      <c r="G1883" s="1" t="s">
        <v>32</v>
      </c>
      <c r="H1883" s="1" t="s">
        <v>57</v>
      </c>
      <c r="I1883" s="1" t="s">
        <v>58</v>
      </c>
      <c r="J1883" s="1" t="s">
        <v>70</v>
      </c>
      <c r="K1883" s="1" t="s">
        <v>71</v>
      </c>
      <c r="L1883" s="1" t="s">
        <v>85</v>
      </c>
      <c r="M1883" s="1" t="s">
        <v>38</v>
      </c>
      <c r="N1883" s="1" t="n">
        <v>9999</v>
      </c>
      <c r="O1883" s="1" t="n">
        <v>20</v>
      </c>
      <c r="P1883" s="1" t="n">
        <v>1999.8</v>
      </c>
      <c r="Q1883" s="1" t="n">
        <v>7999.2</v>
      </c>
      <c r="R1883" s="1" t="n">
        <v>1439.86</v>
      </c>
      <c r="S1883" s="1" t="n">
        <v>6559.34</v>
      </c>
      <c r="T1883" s="1" t="n">
        <v>3013.85</v>
      </c>
      <c r="U1883" s="1" t="n">
        <v>3545.49</v>
      </c>
      <c r="V1883" s="1" t="n">
        <v>54.05</v>
      </c>
      <c r="W1883" s="1" t="s">
        <v>39</v>
      </c>
      <c r="X1883" s="1" t="n">
        <v>3.7</v>
      </c>
      <c r="Y1883" s="1" t="s">
        <v>40</v>
      </c>
      <c r="Z1883" s="1" t="n">
        <v>0</v>
      </c>
      <c r="AA1883" s="1" t="str">
        <f aca="false">TRIM(PROPER(F1883))</f>
        <v>Jaipur</v>
      </c>
      <c r="AB1883" s="1" t="str">
        <f aca="false">TRIM(PROPER(C1883))</f>
        <v>Byju'S</v>
      </c>
      <c r="AC1883" s="1" t="str">
        <f aca="false">IF(O1883=0,"No Discount",IF(O1883&lt;=15,"Low (1-15%)",IF(O1883&lt;=30,"Medium (16-30%)","High (&gt;30%)")))</f>
        <v>Medium (16-30%)</v>
      </c>
      <c r="AD1883" s="1" t="str">
        <f aca="false">IF(V1883&lt;0,"Loss Making",IF(V1883&lt;20,"Low Margin","Healthy Margin"))</f>
        <v>Healthy Margin</v>
      </c>
      <c r="AE1883" s="1" t="str">
        <f aca="false">TEXT(DATE(VALUE(RIGHT(B1883,4)),VALUE(MID(B1883,4,2)),VALUE(LEFT(B1883,2))),"MMM-YYYY")</f>
        <v>Oct-2024</v>
      </c>
      <c r="AF1883" s="1" t="n">
        <f aca="false">VALUE(RIGHT(B1883,4))</f>
        <v>2024</v>
      </c>
      <c r="AG1883" s="1" t="str">
        <f aca="false">CHOOSE(ROUNDUP(VALUE(MID(B1883,4,2))/3,0),"Q1","Q2","Q3","Q4")</f>
        <v>Q4</v>
      </c>
    </row>
    <row r="1884" customFormat="false" ht="15" hidden="false" customHeight="true" outlineLevel="0" collapsed="false">
      <c r="A1884" s="1" t="s">
        <v>2733</v>
      </c>
      <c r="B1884" s="1" t="s">
        <v>1398</v>
      </c>
      <c r="C1884" s="1" t="s">
        <v>65</v>
      </c>
      <c r="D1884" s="1" t="s">
        <v>53</v>
      </c>
      <c r="E1884" s="1" t="s">
        <v>54</v>
      </c>
      <c r="F1884" s="1" t="s">
        <v>75</v>
      </c>
      <c r="G1884" s="1" t="s">
        <v>76</v>
      </c>
      <c r="H1884" s="1" t="s">
        <v>69</v>
      </c>
      <c r="I1884" s="1" t="s">
        <v>34</v>
      </c>
      <c r="J1884" s="1" t="s">
        <v>131</v>
      </c>
      <c r="K1884" s="1" t="s">
        <v>104</v>
      </c>
      <c r="L1884" s="1" t="s">
        <v>61</v>
      </c>
      <c r="M1884" s="1" t="s">
        <v>50</v>
      </c>
      <c r="N1884" s="1" t="n">
        <v>11999</v>
      </c>
      <c r="O1884" s="1" t="n">
        <v>5</v>
      </c>
      <c r="P1884" s="1" t="n">
        <v>599.95</v>
      </c>
      <c r="Q1884" s="1" t="n">
        <v>11399.05</v>
      </c>
      <c r="R1884" s="1" t="n">
        <v>2051.83</v>
      </c>
      <c r="S1884" s="1" t="n">
        <v>9347.22</v>
      </c>
      <c r="T1884" s="1" t="n">
        <v>4166.71</v>
      </c>
      <c r="U1884" s="1" t="n">
        <v>5180.51</v>
      </c>
      <c r="V1884" s="1" t="n">
        <v>55.42</v>
      </c>
      <c r="W1884" s="1" t="s">
        <v>39</v>
      </c>
      <c r="X1884" s="1" t="n">
        <v>3.6</v>
      </c>
      <c r="Y1884" s="1" t="s">
        <v>40</v>
      </c>
      <c r="Z1884" s="1" t="n">
        <v>0</v>
      </c>
      <c r="AA1884" s="1" t="str">
        <f aca="false">TRIM(PROPER(F1884))</f>
        <v>Kolkata</v>
      </c>
      <c r="AB1884" s="1" t="str">
        <f aca="false">TRIM(PROPER(C1884))</f>
        <v>Toppr</v>
      </c>
      <c r="AC1884" s="1" t="str">
        <f aca="false">IF(O1884=0,"No Discount",IF(O1884&lt;=15,"Low (1-15%)",IF(O1884&lt;=30,"Medium (16-30%)","High (&gt;30%)")))</f>
        <v>Low (1-15%)</v>
      </c>
      <c r="AD1884" s="1" t="str">
        <f aca="false">IF(V1884&lt;0,"Loss Making",IF(V1884&lt;20,"Low Margin","Healthy Margin"))</f>
        <v>Healthy Margin</v>
      </c>
      <c r="AE1884" s="1" t="str">
        <f aca="false">TEXT(DATE(VALUE(RIGHT(B1884,4)),VALUE(MID(B1884,4,2)),VALUE(LEFT(B1884,2))),"MMM-YYYY")</f>
        <v>Jul-2023</v>
      </c>
      <c r="AF1884" s="1" t="n">
        <f aca="false">VALUE(RIGHT(B1884,4))</f>
        <v>2023</v>
      </c>
      <c r="AG1884" s="1" t="str">
        <f aca="false">CHOOSE(ROUNDUP(VALUE(MID(B1884,4,2))/3,0),"Q1","Q2","Q3","Q4")</f>
        <v>Q3</v>
      </c>
    </row>
    <row r="1885" customFormat="false" ht="15" hidden="false" customHeight="true" outlineLevel="0" collapsed="false">
      <c r="A1885" s="1" t="s">
        <v>2734</v>
      </c>
      <c r="B1885" s="1" t="s">
        <v>1565</v>
      </c>
      <c r="C1885" s="1" t="s">
        <v>119</v>
      </c>
      <c r="D1885" s="1" t="s">
        <v>80</v>
      </c>
      <c r="E1885" s="1" t="s">
        <v>193</v>
      </c>
      <c r="F1885" s="1" t="s">
        <v>107</v>
      </c>
      <c r="G1885" s="1" t="s">
        <v>108</v>
      </c>
      <c r="H1885" s="1" t="s">
        <v>33</v>
      </c>
      <c r="I1885" s="1" t="s">
        <v>58</v>
      </c>
      <c r="J1885" s="1" t="s">
        <v>35</v>
      </c>
      <c r="K1885" s="1" t="s">
        <v>104</v>
      </c>
      <c r="L1885" s="1" t="s">
        <v>49</v>
      </c>
      <c r="M1885" s="1" t="s">
        <v>62</v>
      </c>
      <c r="N1885" s="1" t="n">
        <v>8999</v>
      </c>
      <c r="O1885" s="1" t="n">
        <v>50</v>
      </c>
      <c r="P1885" s="1" t="n">
        <v>4499.5</v>
      </c>
      <c r="Q1885" s="1" t="n">
        <v>4499.5</v>
      </c>
      <c r="R1885" s="1" t="n">
        <v>809.91</v>
      </c>
      <c r="S1885" s="1" t="n">
        <v>3689.59</v>
      </c>
      <c r="T1885" s="1" t="n">
        <v>2345.07</v>
      </c>
      <c r="U1885" s="1" t="n">
        <v>1344.52</v>
      </c>
      <c r="V1885" s="1" t="n">
        <v>36.44</v>
      </c>
      <c r="W1885" s="1" t="s">
        <v>40</v>
      </c>
      <c r="Y1885" s="1" t="s">
        <v>40</v>
      </c>
      <c r="Z1885" s="1" t="n">
        <v>1</v>
      </c>
      <c r="AA1885" s="1" t="str">
        <f aca="false">TRIM(PROPER(F1885))</f>
        <v>Madurai</v>
      </c>
      <c r="AB1885" s="1" t="str">
        <f aca="false">TRIM(PROPER(C1885))</f>
        <v>Simplilearn</v>
      </c>
      <c r="AC1885" s="1" t="str">
        <f aca="false">IF(O1885=0,"No Discount",IF(O1885&lt;=15,"Low (1-15%)",IF(O1885&lt;=30,"Medium (16-30%)","High (&gt;30%)")))</f>
        <v>High (&gt;30%)</v>
      </c>
      <c r="AD1885" s="1" t="str">
        <f aca="false">IF(V1885&lt;0,"Loss Making",IF(V1885&lt;20,"Low Margin","Healthy Margin"))</f>
        <v>Healthy Margin</v>
      </c>
      <c r="AE1885" s="1" t="str">
        <f aca="false">TEXT(DATE(VALUE(RIGHT(B1885,4)),VALUE(MID(B1885,4,2)),VALUE(LEFT(B1885,2))),"MMM-YYYY")</f>
        <v>Aug-2024</v>
      </c>
      <c r="AF1885" s="1" t="n">
        <f aca="false">VALUE(RIGHT(B1885,4))</f>
        <v>2024</v>
      </c>
      <c r="AG1885" s="1" t="str">
        <f aca="false">CHOOSE(ROUNDUP(VALUE(MID(B1885,4,2))/3,0),"Q1","Q2","Q3","Q4")</f>
        <v>Q3</v>
      </c>
    </row>
    <row r="1886" customFormat="false" ht="15" hidden="false" customHeight="true" outlineLevel="0" collapsed="false">
      <c r="A1886" s="1" t="s">
        <v>2735</v>
      </c>
      <c r="B1886" s="1" t="s">
        <v>830</v>
      </c>
      <c r="C1886" s="1" t="s">
        <v>139</v>
      </c>
      <c r="D1886" s="1" t="s">
        <v>53</v>
      </c>
      <c r="E1886" s="1" t="s">
        <v>116</v>
      </c>
      <c r="F1886" s="1" t="s">
        <v>130</v>
      </c>
      <c r="G1886" s="1" t="s">
        <v>47</v>
      </c>
      <c r="H1886" s="1" t="s">
        <v>69</v>
      </c>
      <c r="I1886" s="1" t="s">
        <v>83</v>
      </c>
      <c r="J1886" s="1" t="s">
        <v>35</v>
      </c>
      <c r="K1886" s="1" t="s">
        <v>84</v>
      </c>
      <c r="L1886" s="1" t="s">
        <v>136</v>
      </c>
      <c r="M1886" s="1" t="s">
        <v>62</v>
      </c>
      <c r="N1886" s="1" t="n">
        <v>9999</v>
      </c>
      <c r="O1886" s="1" t="n">
        <v>25</v>
      </c>
      <c r="P1886" s="1" t="n">
        <v>2499.75</v>
      </c>
      <c r="Q1886" s="1" t="n">
        <v>7499.25</v>
      </c>
      <c r="R1886" s="1" t="n">
        <v>1349.87</v>
      </c>
      <c r="S1886" s="1" t="n">
        <v>6149.38</v>
      </c>
      <c r="T1886" s="1" t="n">
        <v>2529.01</v>
      </c>
      <c r="U1886" s="1" t="n">
        <v>3620.37</v>
      </c>
      <c r="V1886" s="1" t="n">
        <v>58.87</v>
      </c>
      <c r="W1886" s="1" t="s">
        <v>39</v>
      </c>
      <c r="X1886" s="1" t="n">
        <v>3.1</v>
      </c>
      <c r="Y1886" s="1" t="s">
        <v>40</v>
      </c>
      <c r="Z1886" s="1" t="n">
        <v>1</v>
      </c>
      <c r="AA1886" s="1" t="str">
        <f aca="false">TRIM(PROPER(F1886))</f>
        <v>Bengaluru</v>
      </c>
      <c r="AB1886" s="1" t="str">
        <f aca="false">TRIM(PROPER(C1886))</f>
        <v>Extramarks</v>
      </c>
      <c r="AC1886" s="1" t="str">
        <f aca="false">IF(O1886=0,"No Discount",IF(O1886&lt;=15,"Low (1-15%)",IF(O1886&lt;=30,"Medium (16-30%)","High (&gt;30%)")))</f>
        <v>Medium (16-30%)</v>
      </c>
      <c r="AD1886" s="1" t="str">
        <f aca="false">IF(V1886&lt;0,"Loss Making",IF(V1886&lt;20,"Low Margin","Healthy Margin"))</f>
        <v>Healthy Margin</v>
      </c>
      <c r="AE1886" s="1" t="str">
        <f aca="false">TEXT(DATE(VALUE(RIGHT(B1886,4)),VALUE(MID(B1886,4,2)),VALUE(LEFT(B1886,2))),"MMM-YYYY")</f>
        <v>Feb-2024</v>
      </c>
      <c r="AF1886" s="1" t="n">
        <f aca="false">VALUE(RIGHT(B1886,4))</f>
        <v>2024</v>
      </c>
      <c r="AG1886" s="1" t="str">
        <f aca="false">CHOOSE(ROUNDUP(VALUE(MID(B1886,4,2))/3,0),"Q1","Q2","Q3","Q4")</f>
        <v>Q1</v>
      </c>
    </row>
    <row r="1887" customFormat="false" ht="15" hidden="false" customHeight="true" outlineLevel="0" collapsed="false">
      <c r="A1887" s="1" t="s">
        <v>2736</v>
      </c>
      <c r="B1887" s="1" t="s">
        <v>2422</v>
      </c>
      <c r="C1887" s="1" t="s">
        <v>43</v>
      </c>
      <c r="D1887" s="1" t="s">
        <v>44</v>
      </c>
      <c r="E1887" s="1" t="s">
        <v>66</v>
      </c>
      <c r="F1887" s="1" t="s">
        <v>184</v>
      </c>
      <c r="G1887" s="1" t="s">
        <v>56</v>
      </c>
      <c r="H1887" s="1" t="s">
        <v>57</v>
      </c>
      <c r="I1887" s="1" t="s">
        <v>83</v>
      </c>
      <c r="J1887" s="1" t="s">
        <v>70</v>
      </c>
      <c r="K1887" s="1" t="s">
        <v>48</v>
      </c>
      <c r="L1887" s="1" t="s">
        <v>37</v>
      </c>
      <c r="M1887" s="1" t="s">
        <v>62</v>
      </c>
      <c r="N1887" s="1" t="n">
        <v>12999</v>
      </c>
      <c r="O1887" s="1" t="n">
        <v>0</v>
      </c>
      <c r="P1887" s="1" t="n">
        <v>0</v>
      </c>
      <c r="Q1887" s="1" t="n">
        <v>12999</v>
      </c>
      <c r="R1887" s="1" t="n">
        <v>2339.82</v>
      </c>
      <c r="S1887" s="1" t="n">
        <v>10659.18</v>
      </c>
      <c r="T1887" s="1" t="n">
        <v>4653.19</v>
      </c>
      <c r="U1887" s="1" t="n">
        <v>6005.99</v>
      </c>
      <c r="V1887" s="1" t="n">
        <v>56.35</v>
      </c>
      <c r="W1887" s="1" t="s">
        <v>39</v>
      </c>
      <c r="X1887" s="1" t="n">
        <v>3.5</v>
      </c>
      <c r="Y1887" s="1" t="s">
        <v>40</v>
      </c>
      <c r="Z1887" s="1" t="n">
        <v>0</v>
      </c>
      <c r="AA1887" s="1" t="str">
        <f aca="false">TRIM(PROPER(F1887))</f>
        <v>Faridabad</v>
      </c>
      <c r="AB1887" s="1" t="str">
        <f aca="false">TRIM(PROPER(C1887))</f>
        <v>Meritnation</v>
      </c>
      <c r="AC1887" s="1" t="str">
        <f aca="false">IF(O1887=0,"No Discount",IF(O1887&lt;=15,"Low (1-15%)",IF(O1887&lt;=30,"Medium (16-30%)","High (&gt;30%)")))</f>
        <v>No Discount</v>
      </c>
      <c r="AD1887" s="1" t="str">
        <f aca="false">IF(V1887&lt;0,"Loss Making",IF(V1887&lt;20,"Low Margin","Healthy Margin"))</f>
        <v>Healthy Margin</v>
      </c>
      <c r="AE1887" s="1" t="str">
        <f aca="false">TEXT(DATE(VALUE(RIGHT(B1887,4)),VALUE(MID(B1887,4,2)),VALUE(LEFT(B1887,2))),"MMM-YYYY")</f>
        <v>Mar-2023</v>
      </c>
      <c r="AF1887" s="1" t="n">
        <f aca="false">VALUE(RIGHT(B1887,4))</f>
        <v>2023</v>
      </c>
      <c r="AG1887" s="1" t="str">
        <f aca="false">CHOOSE(ROUNDUP(VALUE(MID(B1887,4,2))/3,0),"Q1","Q2","Q3","Q4")</f>
        <v>Q1</v>
      </c>
    </row>
    <row r="1888" customFormat="false" ht="15" hidden="false" customHeight="true" outlineLevel="0" collapsed="false">
      <c r="A1888" s="1" t="s">
        <v>2737</v>
      </c>
      <c r="B1888" s="1" t="s">
        <v>462</v>
      </c>
      <c r="C1888" s="1" t="s">
        <v>74</v>
      </c>
      <c r="D1888" s="1" t="s">
        <v>168</v>
      </c>
      <c r="E1888" s="1" t="s">
        <v>197</v>
      </c>
      <c r="F1888" s="1" t="s">
        <v>82</v>
      </c>
      <c r="G1888" s="1" t="s">
        <v>56</v>
      </c>
      <c r="H1888" s="1" t="s">
        <v>69</v>
      </c>
      <c r="I1888" s="1" t="s">
        <v>58</v>
      </c>
      <c r="J1888" s="1" t="s">
        <v>59</v>
      </c>
      <c r="K1888" s="1" t="s">
        <v>36</v>
      </c>
      <c r="L1888" s="1" t="s">
        <v>85</v>
      </c>
      <c r="M1888" s="1" t="s">
        <v>38</v>
      </c>
      <c r="N1888" s="1" t="n">
        <v>8499</v>
      </c>
      <c r="O1888" s="1" t="n">
        <v>50</v>
      </c>
      <c r="P1888" s="1" t="n">
        <v>4249.5</v>
      </c>
      <c r="Q1888" s="1" t="n">
        <v>4249.5</v>
      </c>
      <c r="R1888" s="1" t="n">
        <v>764.91</v>
      </c>
      <c r="S1888" s="1" t="n">
        <v>3484.59</v>
      </c>
      <c r="T1888" s="1" t="n">
        <v>2135.01</v>
      </c>
      <c r="U1888" s="1" t="n">
        <v>1349.58</v>
      </c>
      <c r="V1888" s="1" t="n">
        <v>38.73</v>
      </c>
      <c r="W1888" s="1" t="s">
        <v>39</v>
      </c>
      <c r="Y1888" s="1" t="s">
        <v>40</v>
      </c>
      <c r="Z1888" s="1" t="n">
        <v>0</v>
      </c>
      <c r="AA1888" s="1" t="str">
        <f aca="false">TRIM(PROPER(F1888))</f>
        <v>Gurugram</v>
      </c>
      <c r="AB1888" s="1" t="str">
        <f aca="false">TRIM(PROPER(C1888))</f>
        <v>Vedantu</v>
      </c>
      <c r="AC1888" s="1" t="str">
        <f aca="false">IF(O1888=0,"No Discount",IF(O1888&lt;=15,"Low (1-15%)",IF(O1888&lt;=30,"Medium (16-30%)","High (&gt;30%)")))</f>
        <v>High (&gt;30%)</v>
      </c>
      <c r="AD1888" s="1" t="str">
        <f aca="false">IF(V1888&lt;0,"Loss Making",IF(V1888&lt;20,"Low Margin","Healthy Margin"))</f>
        <v>Healthy Margin</v>
      </c>
      <c r="AE1888" s="1" t="str">
        <f aca="false">TEXT(DATE(VALUE(RIGHT(B1888,4)),VALUE(MID(B1888,4,2)),VALUE(LEFT(B1888,2))),"MMM-YYYY")</f>
        <v>Feb-2024</v>
      </c>
      <c r="AF1888" s="1" t="n">
        <f aca="false">VALUE(RIGHT(B1888,4))</f>
        <v>2024</v>
      </c>
      <c r="AG1888" s="1" t="str">
        <f aca="false">CHOOSE(ROUNDUP(VALUE(MID(B1888,4,2))/3,0),"Q1","Q2","Q3","Q4")</f>
        <v>Q1</v>
      </c>
    </row>
    <row r="1889" customFormat="false" ht="15" hidden="false" customHeight="true" outlineLevel="0" collapsed="false">
      <c r="A1889" s="1" t="s">
        <v>2738</v>
      </c>
      <c r="B1889" s="1" t="s">
        <v>366</v>
      </c>
      <c r="C1889" s="1" t="s">
        <v>264</v>
      </c>
      <c r="D1889" s="1" t="s">
        <v>94</v>
      </c>
      <c r="E1889" s="1" t="s">
        <v>135</v>
      </c>
      <c r="F1889" s="1" t="s">
        <v>211</v>
      </c>
      <c r="G1889" s="1" t="s">
        <v>56</v>
      </c>
      <c r="H1889" s="1" t="s">
        <v>69</v>
      </c>
      <c r="I1889" s="1" t="s">
        <v>58</v>
      </c>
      <c r="J1889" s="1" t="s">
        <v>131</v>
      </c>
      <c r="K1889" s="1" t="s">
        <v>48</v>
      </c>
      <c r="L1889" s="1" t="s">
        <v>85</v>
      </c>
      <c r="M1889" s="1" t="s">
        <v>38</v>
      </c>
      <c r="N1889" s="1" t="n">
        <v>9999</v>
      </c>
      <c r="O1889" s="1" t="n">
        <v>40</v>
      </c>
      <c r="P1889" s="1" t="n">
        <v>3999.6</v>
      </c>
      <c r="Q1889" s="1" t="n">
        <v>5999.4</v>
      </c>
      <c r="R1889" s="1" t="n">
        <v>1079.89</v>
      </c>
      <c r="S1889" s="1" t="n">
        <v>4919.51</v>
      </c>
      <c r="T1889" s="1" t="n">
        <v>2711.52</v>
      </c>
      <c r="U1889" s="1" t="n">
        <v>2207.99</v>
      </c>
      <c r="V1889" s="1" t="n">
        <v>44.88</v>
      </c>
      <c r="W1889" s="1" t="s">
        <v>40</v>
      </c>
      <c r="Y1889" s="1" t="s">
        <v>39</v>
      </c>
      <c r="Z1889" s="1" t="n">
        <v>1</v>
      </c>
      <c r="AA1889" s="1" t="str">
        <f aca="false">TRIM(PROPER(F1889))</f>
        <v>Noida</v>
      </c>
      <c r="AB1889" s="1" t="str">
        <f aca="false">TRIM(PROPER(C1889))</f>
        <v>Unacademy</v>
      </c>
      <c r="AC1889" s="1" t="str">
        <f aca="false">IF(O1889=0,"No Discount",IF(O1889&lt;=15,"Low (1-15%)",IF(O1889&lt;=30,"Medium (16-30%)","High (&gt;30%)")))</f>
        <v>High (&gt;30%)</v>
      </c>
      <c r="AD1889" s="1" t="str">
        <f aca="false">IF(V1889&lt;0,"Loss Making",IF(V1889&lt;20,"Low Margin","Healthy Margin"))</f>
        <v>Healthy Margin</v>
      </c>
      <c r="AE1889" s="1" t="str">
        <f aca="false">TEXT(DATE(VALUE(RIGHT(B1889,4)),VALUE(MID(B1889,4,2)),VALUE(LEFT(B1889,2))),"MMM-YYYY")</f>
        <v>Apr-2023</v>
      </c>
      <c r="AF1889" s="1" t="n">
        <f aca="false">VALUE(RIGHT(B1889,4))</f>
        <v>2023</v>
      </c>
      <c r="AG1889" s="1" t="str">
        <f aca="false">CHOOSE(ROUNDUP(VALUE(MID(B1889,4,2))/3,0),"Q1","Q2","Q3","Q4")</f>
        <v>Q2</v>
      </c>
    </row>
    <row r="1890" customFormat="false" ht="15" hidden="false" customHeight="true" outlineLevel="0" collapsed="false">
      <c r="A1890" s="1" t="s">
        <v>2739</v>
      </c>
      <c r="B1890" s="1" t="s">
        <v>922</v>
      </c>
      <c r="C1890" s="1" t="s">
        <v>74</v>
      </c>
      <c r="D1890" s="1" t="s">
        <v>123</v>
      </c>
      <c r="E1890" s="1" t="s">
        <v>147</v>
      </c>
      <c r="F1890" s="1" t="s">
        <v>205</v>
      </c>
      <c r="G1890" s="1" t="s">
        <v>56</v>
      </c>
      <c r="H1890" s="1" t="s">
        <v>69</v>
      </c>
      <c r="I1890" s="1" t="s">
        <v>83</v>
      </c>
      <c r="J1890" s="1" t="s">
        <v>59</v>
      </c>
      <c r="K1890" s="1" t="s">
        <v>48</v>
      </c>
      <c r="L1890" s="1" t="s">
        <v>136</v>
      </c>
      <c r="M1890" s="1" t="s">
        <v>62</v>
      </c>
      <c r="N1890" s="1" t="n">
        <v>6999</v>
      </c>
      <c r="O1890" s="1" t="n">
        <v>40</v>
      </c>
      <c r="P1890" s="1" t="n">
        <v>2799.6</v>
      </c>
      <c r="Q1890" s="1" t="n">
        <v>4199.4</v>
      </c>
      <c r="R1890" s="1" t="n">
        <v>755.89</v>
      </c>
      <c r="S1890" s="1" t="n">
        <v>3443.51</v>
      </c>
      <c r="T1890" s="1" t="n">
        <v>1918.52</v>
      </c>
      <c r="U1890" s="1" t="n">
        <v>1524.99</v>
      </c>
      <c r="V1890" s="1" t="n">
        <v>44.29</v>
      </c>
      <c r="W1890" s="1" t="s">
        <v>40</v>
      </c>
      <c r="Y1890" s="1" t="s">
        <v>40</v>
      </c>
      <c r="Z1890" s="1" t="n">
        <v>0</v>
      </c>
      <c r="AA1890" s="1" t="str">
        <f aca="false">TRIM(PROPER(F1890))</f>
        <v>New Delhi</v>
      </c>
      <c r="AB1890" s="1" t="str">
        <f aca="false">TRIM(PROPER(C1890))</f>
        <v>Vedantu</v>
      </c>
      <c r="AC1890" s="1" t="str">
        <f aca="false">IF(O1890=0,"No Discount",IF(O1890&lt;=15,"Low (1-15%)",IF(O1890&lt;=30,"Medium (16-30%)","High (&gt;30%)")))</f>
        <v>High (&gt;30%)</v>
      </c>
      <c r="AD1890" s="1" t="str">
        <f aca="false">IF(V1890&lt;0,"Loss Making",IF(V1890&lt;20,"Low Margin","Healthy Margin"))</f>
        <v>Healthy Margin</v>
      </c>
      <c r="AE1890" s="1" t="str">
        <f aca="false">TEXT(DATE(VALUE(RIGHT(B1890,4)),VALUE(MID(B1890,4,2)),VALUE(LEFT(B1890,2))),"MMM-YYYY")</f>
        <v>Feb-2024</v>
      </c>
      <c r="AF1890" s="1" t="n">
        <f aca="false">VALUE(RIGHT(B1890,4))</f>
        <v>2024</v>
      </c>
      <c r="AG1890" s="1" t="str">
        <f aca="false">CHOOSE(ROUNDUP(VALUE(MID(B1890,4,2))/3,0),"Q1","Q2","Q3","Q4")</f>
        <v>Q1</v>
      </c>
    </row>
    <row r="1891" customFormat="false" ht="15" hidden="false" customHeight="true" outlineLevel="0" collapsed="false">
      <c r="A1891" s="1" t="s">
        <v>2740</v>
      </c>
      <c r="B1891" s="1" t="s">
        <v>2041</v>
      </c>
      <c r="C1891" s="1" t="s">
        <v>167</v>
      </c>
      <c r="D1891" s="1" t="s">
        <v>44</v>
      </c>
      <c r="E1891" s="1" t="s">
        <v>221</v>
      </c>
      <c r="F1891" s="1" t="s">
        <v>82</v>
      </c>
      <c r="G1891" s="1" t="s">
        <v>56</v>
      </c>
      <c r="H1891" s="1" t="s">
        <v>69</v>
      </c>
      <c r="I1891" s="1" t="s">
        <v>34</v>
      </c>
      <c r="J1891" s="1" t="s">
        <v>77</v>
      </c>
      <c r="K1891" s="1" t="s">
        <v>36</v>
      </c>
      <c r="L1891" s="1" t="s">
        <v>113</v>
      </c>
      <c r="M1891" s="1" t="s">
        <v>62</v>
      </c>
      <c r="N1891" s="1" t="n">
        <v>16999</v>
      </c>
      <c r="O1891" s="1" t="n">
        <v>0</v>
      </c>
      <c r="P1891" s="1" t="n">
        <v>0</v>
      </c>
      <c r="Q1891" s="1" t="n">
        <v>16999</v>
      </c>
      <c r="R1891" s="1" t="n">
        <v>3059.82</v>
      </c>
      <c r="S1891" s="1" t="n">
        <v>13939.18</v>
      </c>
      <c r="T1891" s="1" t="n">
        <v>5491.58</v>
      </c>
      <c r="U1891" s="1" t="n">
        <v>8447.6</v>
      </c>
      <c r="V1891" s="1" t="n">
        <v>60.6</v>
      </c>
      <c r="W1891" s="1" t="s">
        <v>39</v>
      </c>
      <c r="X1891" s="1" t="n">
        <v>3.3</v>
      </c>
      <c r="Y1891" s="1" t="s">
        <v>40</v>
      </c>
      <c r="Z1891" s="1" t="n">
        <v>0</v>
      </c>
      <c r="AA1891" s="1" t="str">
        <f aca="false">TRIM(PROPER(F1891))</f>
        <v>Gurugram</v>
      </c>
      <c r="AB1891" s="1" t="str">
        <f aca="false">TRIM(PROPER(C1891))</f>
        <v>Scaler</v>
      </c>
      <c r="AC1891" s="1" t="str">
        <f aca="false">IF(O1891=0,"No Discount",IF(O1891&lt;=15,"Low (1-15%)",IF(O1891&lt;=30,"Medium (16-30%)","High (&gt;30%)")))</f>
        <v>No Discount</v>
      </c>
      <c r="AD1891" s="1" t="str">
        <f aca="false">IF(V1891&lt;0,"Loss Making",IF(V1891&lt;20,"Low Margin","Healthy Margin"))</f>
        <v>Healthy Margin</v>
      </c>
      <c r="AE1891" s="1" t="str">
        <f aca="false">TEXT(DATE(VALUE(RIGHT(B1891,4)),VALUE(MID(B1891,4,2)),VALUE(LEFT(B1891,2))),"MMM-YYYY")</f>
        <v>Aug-2024</v>
      </c>
      <c r="AF1891" s="1" t="n">
        <f aca="false">VALUE(RIGHT(B1891,4))</f>
        <v>2024</v>
      </c>
      <c r="AG1891" s="1" t="str">
        <f aca="false">CHOOSE(ROUNDUP(VALUE(MID(B1891,4,2))/3,0),"Q1","Q2","Q3","Q4")</f>
        <v>Q3</v>
      </c>
    </row>
    <row r="1892" customFormat="false" ht="15" hidden="false" customHeight="true" outlineLevel="0" collapsed="false">
      <c r="A1892" s="1" t="s">
        <v>2741</v>
      </c>
      <c r="B1892" s="1" t="s">
        <v>962</v>
      </c>
      <c r="C1892" s="1" t="s">
        <v>1811</v>
      </c>
      <c r="D1892" s="1" t="s">
        <v>53</v>
      </c>
      <c r="E1892" s="1" t="s">
        <v>116</v>
      </c>
      <c r="F1892" s="1" t="s">
        <v>107</v>
      </c>
      <c r="G1892" s="1" t="s">
        <v>108</v>
      </c>
      <c r="H1892" s="1" t="s">
        <v>33</v>
      </c>
      <c r="I1892" s="1" t="s">
        <v>58</v>
      </c>
      <c r="J1892" s="1" t="s">
        <v>131</v>
      </c>
      <c r="K1892" s="1" t="s">
        <v>84</v>
      </c>
      <c r="L1892" s="1" t="s">
        <v>113</v>
      </c>
      <c r="M1892" s="1" t="s">
        <v>62</v>
      </c>
      <c r="N1892" s="1" t="n">
        <v>9999</v>
      </c>
      <c r="O1892" s="1" t="n">
        <v>40</v>
      </c>
      <c r="P1892" s="1" t="n">
        <v>3999.6</v>
      </c>
      <c r="Q1892" s="1" t="n">
        <v>5999.4</v>
      </c>
      <c r="R1892" s="1" t="n">
        <v>1079.89</v>
      </c>
      <c r="S1892" s="1" t="n">
        <v>4919.51</v>
      </c>
      <c r="T1892" s="1" t="n">
        <v>2432.6</v>
      </c>
      <c r="U1892" s="1" t="n">
        <v>2486.91</v>
      </c>
      <c r="V1892" s="1" t="n">
        <v>50.55</v>
      </c>
      <c r="W1892" s="1" t="s">
        <v>40</v>
      </c>
      <c r="Y1892" s="1" t="s">
        <v>40</v>
      </c>
      <c r="Z1892" s="1" t="n">
        <v>1</v>
      </c>
      <c r="AA1892" s="1" t="str">
        <f aca="false">TRIM(PROPER(F1892))</f>
        <v>Madurai</v>
      </c>
      <c r="AB1892" s="1" t="str">
        <f aca="false">TRIM(PROPER(C1892))</f>
        <v>Doubtnut</v>
      </c>
      <c r="AC1892" s="1" t="str">
        <f aca="false">IF(O1892=0,"No Discount",IF(O1892&lt;=15,"Low (1-15%)",IF(O1892&lt;=30,"Medium (16-30%)","High (&gt;30%)")))</f>
        <v>High (&gt;30%)</v>
      </c>
      <c r="AD1892" s="1" t="str">
        <f aca="false">IF(V1892&lt;0,"Loss Making",IF(V1892&lt;20,"Low Margin","Healthy Margin"))</f>
        <v>Healthy Margin</v>
      </c>
      <c r="AE1892" s="1" t="str">
        <f aca="false">TEXT(DATE(VALUE(RIGHT(B1892,4)),VALUE(MID(B1892,4,2)),VALUE(LEFT(B1892,2))),"MMM-YYYY")</f>
        <v>Oct-2023</v>
      </c>
      <c r="AF1892" s="1" t="n">
        <f aca="false">VALUE(RIGHT(B1892,4))</f>
        <v>2023</v>
      </c>
      <c r="AG1892" s="1" t="str">
        <f aca="false">CHOOSE(ROUNDUP(VALUE(MID(B1892,4,2))/3,0),"Q1","Q2","Q3","Q4")</f>
        <v>Q4</v>
      </c>
    </row>
    <row r="1893" customFormat="false" ht="15" hidden="false" customHeight="true" outlineLevel="0" collapsed="false">
      <c r="A1893" s="1" t="s">
        <v>2742</v>
      </c>
      <c r="B1893" s="1" t="s">
        <v>2743</v>
      </c>
      <c r="C1893" s="1" t="s">
        <v>249</v>
      </c>
      <c r="D1893" s="1" t="s">
        <v>143</v>
      </c>
      <c r="E1893" s="1" t="s">
        <v>243</v>
      </c>
      <c r="F1893" s="1" t="s">
        <v>211</v>
      </c>
      <c r="G1893" s="1" t="s">
        <v>56</v>
      </c>
      <c r="H1893" s="1" t="s">
        <v>69</v>
      </c>
      <c r="I1893" s="1" t="s">
        <v>58</v>
      </c>
      <c r="J1893" s="1" t="s">
        <v>59</v>
      </c>
      <c r="K1893" s="1" t="s">
        <v>112</v>
      </c>
      <c r="L1893" s="1" t="s">
        <v>136</v>
      </c>
      <c r="M1893" s="1" t="s">
        <v>62</v>
      </c>
      <c r="N1893" s="1" t="n">
        <v>22999</v>
      </c>
      <c r="O1893" s="1" t="n">
        <v>5</v>
      </c>
      <c r="P1893" s="1" t="n">
        <v>1149.95</v>
      </c>
      <c r="Q1893" s="1" t="n">
        <v>21849.05</v>
      </c>
      <c r="R1893" s="1" t="n">
        <v>3932.83</v>
      </c>
      <c r="S1893" s="1" t="n">
        <v>17916.22</v>
      </c>
      <c r="T1893" s="1" t="n">
        <v>5659.14</v>
      </c>
      <c r="U1893" s="1" t="n">
        <v>12257.08</v>
      </c>
      <c r="V1893" s="1" t="n">
        <v>68.41</v>
      </c>
      <c r="W1893" s="1" t="s">
        <v>40</v>
      </c>
      <c r="Y1893" s="1" t="s">
        <v>40</v>
      </c>
      <c r="Z1893" s="1" t="n">
        <v>0</v>
      </c>
      <c r="AA1893" s="1" t="str">
        <f aca="false">TRIM(PROPER(F1893))</f>
        <v>Noida</v>
      </c>
      <c r="AB1893" s="1" t="str">
        <f aca="false">TRIM(PROPER(C1893))</f>
        <v>Whitehat Jr</v>
      </c>
      <c r="AC1893" s="1" t="str">
        <f aca="false">IF(O1893=0,"No Discount",IF(O1893&lt;=15,"Low (1-15%)",IF(O1893&lt;=30,"Medium (16-30%)","High (&gt;30%)")))</f>
        <v>Low (1-15%)</v>
      </c>
      <c r="AD1893" s="1" t="str">
        <f aca="false">IF(V1893&lt;0,"Loss Making",IF(V1893&lt;20,"Low Margin","Healthy Margin"))</f>
        <v>Healthy Margin</v>
      </c>
      <c r="AE1893" s="1" t="str">
        <f aca="false">TEXT(DATE(VALUE(RIGHT(B1893,4)),VALUE(MID(B1893,4,2)),VALUE(LEFT(B1893,2))),"MMM-YYYY")</f>
        <v>Apr-2024</v>
      </c>
      <c r="AF1893" s="1" t="n">
        <f aca="false">VALUE(RIGHT(B1893,4))</f>
        <v>2024</v>
      </c>
      <c r="AG1893" s="1" t="str">
        <f aca="false">CHOOSE(ROUNDUP(VALUE(MID(B1893,4,2))/3,0),"Q1","Q2","Q3","Q4")</f>
        <v>Q2</v>
      </c>
    </row>
    <row r="1894" customFormat="false" ht="15" hidden="false" customHeight="true" outlineLevel="0" collapsed="false">
      <c r="A1894" s="1" t="s">
        <v>2744</v>
      </c>
      <c r="B1894" s="1" t="s">
        <v>657</v>
      </c>
      <c r="C1894" s="1" t="s">
        <v>43</v>
      </c>
      <c r="D1894" s="1" t="s">
        <v>94</v>
      </c>
      <c r="E1894" s="1" t="s">
        <v>95</v>
      </c>
      <c r="F1894" s="1" t="s">
        <v>194</v>
      </c>
      <c r="G1894" s="1" t="s">
        <v>103</v>
      </c>
      <c r="H1894" s="1" t="s">
        <v>69</v>
      </c>
      <c r="I1894" s="1" t="s">
        <v>34</v>
      </c>
      <c r="J1894" s="1" t="s">
        <v>59</v>
      </c>
      <c r="K1894" s="1" t="s">
        <v>90</v>
      </c>
      <c r="L1894" s="1" t="s">
        <v>85</v>
      </c>
      <c r="M1894" s="1" t="s">
        <v>62</v>
      </c>
      <c r="N1894" s="1" t="n">
        <v>6999</v>
      </c>
      <c r="O1894" s="1" t="n">
        <v>50</v>
      </c>
      <c r="P1894" s="1" t="n">
        <v>3499.5</v>
      </c>
      <c r="Q1894" s="1" t="n">
        <v>3499.5</v>
      </c>
      <c r="R1894" s="1" t="n">
        <v>629.91</v>
      </c>
      <c r="S1894" s="1" t="n">
        <v>2869.59</v>
      </c>
      <c r="T1894" s="1" t="n">
        <v>1208.82</v>
      </c>
      <c r="U1894" s="1" t="n">
        <v>1660.77</v>
      </c>
      <c r="V1894" s="1" t="n">
        <v>57.87</v>
      </c>
      <c r="W1894" s="1" t="s">
        <v>39</v>
      </c>
      <c r="X1894" s="1" t="n">
        <v>4</v>
      </c>
      <c r="Y1894" s="1" t="s">
        <v>40</v>
      </c>
      <c r="Z1894" s="1" t="n">
        <v>2</v>
      </c>
      <c r="AA1894" s="1" t="str">
        <f aca="false">TRIM(PROPER(F1894))</f>
        <v>Hyderabad</v>
      </c>
      <c r="AB1894" s="1" t="str">
        <f aca="false">TRIM(PROPER(C1894))</f>
        <v>Meritnation</v>
      </c>
      <c r="AC1894" s="1" t="str">
        <f aca="false">IF(O1894=0,"No Discount",IF(O1894&lt;=15,"Low (1-15%)",IF(O1894&lt;=30,"Medium (16-30%)","High (&gt;30%)")))</f>
        <v>High (&gt;30%)</v>
      </c>
      <c r="AD1894" s="1" t="str">
        <f aca="false">IF(V1894&lt;0,"Loss Making",IF(V1894&lt;20,"Low Margin","Healthy Margin"))</f>
        <v>Healthy Margin</v>
      </c>
      <c r="AE1894" s="1" t="str">
        <f aca="false">TEXT(DATE(VALUE(RIGHT(B1894,4)),VALUE(MID(B1894,4,2)),VALUE(LEFT(B1894,2))),"MMM-YYYY")</f>
        <v>May-2024</v>
      </c>
      <c r="AF1894" s="1" t="n">
        <f aca="false">VALUE(RIGHT(B1894,4))</f>
        <v>2024</v>
      </c>
      <c r="AG1894" s="1" t="str">
        <f aca="false">CHOOSE(ROUNDUP(VALUE(MID(B1894,4,2))/3,0),"Q1","Q2","Q3","Q4")</f>
        <v>Q2</v>
      </c>
    </row>
    <row r="1895" customFormat="false" ht="15" hidden="false" customHeight="true" outlineLevel="0" collapsed="false">
      <c r="A1895" s="1" t="s">
        <v>2745</v>
      </c>
      <c r="B1895" s="1" t="s">
        <v>830</v>
      </c>
      <c r="C1895" s="1" t="s">
        <v>167</v>
      </c>
      <c r="D1895" s="1" t="s">
        <v>123</v>
      </c>
      <c r="E1895" s="1" t="s">
        <v>124</v>
      </c>
      <c r="F1895" s="1" t="s">
        <v>130</v>
      </c>
      <c r="G1895" s="1" t="s">
        <v>47</v>
      </c>
      <c r="H1895" s="1" t="s">
        <v>69</v>
      </c>
      <c r="I1895" s="1" t="s">
        <v>83</v>
      </c>
      <c r="J1895" s="1" t="s">
        <v>77</v>
      </c>
      <c r="K1895" s="1" t="s">
        <v>112</v>
      </c>
      <c r="L1895" s="1" t="s">
        <v>85</v>
      </c>
      <c r="M1895" s="1" t="s">
        <v>38</v>
      </c>
      <c r="N1895" s="1" t="n">
        <v>4999</v>
      </c>
      <c r="O1895" s="1" t="n">
        <v>0</v>
      </c>
      <c r="P1895" s="1" t="n">
        <v>0</v>
      </c>
      <c r="Q1895" s="1" t="n">
        <v>4999</v>
      </c>
      <c r="R1895" s="1" t="n">
        <v>899.82</v>
      </c>
      <c r="S1895" s="1" t="n">
        <v>4099.18</v>
      </c>
      <c r="T1895" s="1" t="n">
        <v>1576.86</v>
      </c>
      <c r="U1895" s="1" t="n">
        <v>2522.32</v>
      </c>
      <c r="V1895" s="1" t="n">
        <v>61.53</v>
      </c>
      <c r="W1895" s="1" t="s">
        <v>39</v>
      </c>
      <c r="X1895" s="1" t="n">
        <v>3</v>
      </c>
      <c r="Y1895" s="1" t="s">
        <v>40</v>
      </c>
      <c r="Z1895" s="1" t="n">
        <v>1</v>
      </c>
      <c r="AA1895" s="1" t="str">
        <f aca="false">TRIM(PROPER(F1895))</f>
        <v>Bengaluru</v>
      </c>
      <c r="AB1895" s="1" t="str">
        <f aca="false">TRIM(PROPER(C1895))</f>
        <v>Scaler</v>
      </c>
      <c r="AC1895" s="1" t="str">
        <f aca="false">IF(O1895=0,"No Discount",IF(O1895&lt;=15,"Low (1-15%)",IF(O1895&lt;=30,"Medium (16-30%)","High (&gt;30%)")))</f>
        <v>No Discount</v>
      </c>
      <c r="AD1895" s="1" t="str">
        <f aca="false">IF(V1895&lt;0,"Loss Making",IF(V1895&lt;20,"Low Margin","Healthy Margin"))</f>
        <v>Healthy Margin</v>
      </c>
      <c r="AE1895" s="1" t="str">
        <f aca="false">TEXT(DATE(VALUE(RIGHT(B1895,4)),VALUE(MID(B1895,4,2)),VALUE(LEFT(B1895,2))),"MMM-YYYY")</f>
        <v>Feb-2024</v>
      </c>
      <c r="AF1895" s="1" t="n">
        <f aca="false">VALUE(RIGHT(B1895,4))</f>
        <v>2024</v>
      </c>
      <c r="AG1895" s="1" t="str">
        <f aca="false">CHOOSE(ROUNDUP(VALUE(MID(B1895,4,2))/3,0),"Q1","Q2","Q3","Q4")</f>
        <v>Q1</v>
      </c>
    </row>
    <row r="1896" customFormat="false" ht="15" hidden="false" customHeight="true" outlineLevel="0" collapsed="false">
      <c r="A1896" s="1" t="s">
        <v>2746</v>
      </c>
      <c r="B1896" s="1" t="s">
        <v>566</v>
      </c>
      <c r="C1896" s="1" t="s">
        <v>88</v>
      </c>
      <c r="D1896" s="1" t="s">
        <v>29</v>
      </c>
      <c r="E1896" s="1" t="s">
        <v>182</v>
      </c>
      <c r="F1896" s="1" t="s">
        <v>31</v>
      </c>
      <c r="G1896" s="1" t="s">
        <v>32</v>
      </c>
      <c r="H1896" s="1" t="s">
        <v>33</v>
      </c>
      <c r="I1896" s="1" t="s">
        <v>34</v>
      </c>
      <c r="J1896" s="1" t="s">
        <v>35</v>
      </c>
      <c r="K1896" s="1" t="s">
        <v>71</v>
      </c>
      <c r="L1896" s="1" t="s">
        <v>85</v>
      </c>
      <c r="M1896" s="1" t="s">
        <v>62</v>
      </c>
      <c r="N1896" s="1" t="n">
        <v>34999</v>
      </c>
      <c r="O1896" s="1" t="n">
        <v>0</v>
      </c>
      <c r="P1896" s="1" t="n">
        <v>0</v>
      </c>
      <c r="Q1896" s="1" t="n">
        <v>34999</v>
      </c>
      <c r="R1896" s="1" t="n">
        <v>6299.82</v>
      </c>
      <c r="S1896" s="1" t="n">
        <v>28699.18</v>
      </c>
      <c r="T1896" s="1" t="n">
        <v>16040.42</v>
      </c>
      <c r="U1896" s="1" t="n">
        <v>12658.76</v>
      </c>
      <c r="V1896" s="1" t="n">
        <v>44.11</v>
      </c>
      <c r="W1896" s="1" t="s">
        <v>39</v>
      </c>
      <c r="X1896" s="1" t="n">
        <v>4.1</v>
      </c>
      <c r="Y1896" s="1" t="s">
        <v>40</v>
      </c>
      <c r="Z1896" s="1" t="n">
        <v>1</v>
      </c>
      <c r="AA1896" s="1" t="str">
        <f aca="false">TRIM(PROPER(F1896))</f>
        <v>Jodhpur</v>
      </c>
      <c r="AB1896" s="1" t="str">
        <f aca="false">TRIM(PROPER(C1896))</f>
        <v>Byju'S</v>
      </c>
      <c r="AC1896" s="1" t="str">
        <f aca="false">IF(O1896=0,"No Discount",IF(O1896&lt;=15,"Low (1-15%)",IF(O1896&lt;=30,"Medium (16-30%)","High (&gt;30%)")))</f>
        <v>No Discount</v>
      </c>
      <c r="AD1896" s="1" t="str">
        <f aca="false">IF(V1896&lt;0,"Loss Making",IF(V1896&lt;20,"Low Margin","Healthy Margin"))</f>
        <v>Healthy Margin</v>
      </c>
      <c r="AE1896" s="1" t="str">
        <f aca="false">TEXT(DATE(VALUE(RIGHT(B1896,4)),VALUE(MID(B1896,4,2)),VALUE(LEFT(B1896,2))),"MMM-YYYY")</f>
        <v>Nov-2024</v>
      </c>
      <c r="AF1896" s="1" t="n">
        <f aca="false">VALUE(RIGHT(B1896,4))</f>
        <v>2024</v>
      </c>
      <c r="AG1896" s="1" t="str">
        <f aca="false">CHOOSE(ROUNDUP(VALUE(MID(B1896,4,2))/3,0),"Q1","Q2","Q3","Q4")</f>
        <v>Q4</v>
      </c>
    </row>
    <row r="1897" customFormat="false" ht="15" hidden="false" customHeight="true" outlineLevel="0" collapsed="false">
      <c r="A1897" s="1" t="s">
        <v>2747</v>
      </c>
      <c r="B1897" s="1" t="s">
        <v>410</v>
      </c>
      <c r="C1897" s="1" t="s">
        <v>88</v>
      </c>
      <c r="D1897" s="1" t="s">
        <v>168</v>
      </c>
      <c r="E1897" s="1" t="s">
        <v>328</v>
      </c>
      <c r="F1897" s="1" t="s">
        <v>194</v>
      </c>
      <c r="G1897" s="1" t="s">
        <v>103</v>
      </c>
      <c r="H1897" s="1" t="s">
        <v>69</v>
      </c>
      <c r="I1897" s="1" t="s">
        <v>34</v>
      </c>
      <c r="J1897" s="1" t="s">
        <v>59</v>
      </c>
      <c r="K1897" s="1" t="s">
        <v>48</v>
      </c>
      <c r="L1897" s="1" t="s">
        <v>85</v>
      </c>
      <c r="M1897" s="1" t="s">
        <v>38</v>
      </c>
      <c r="N1897" s="1" t="n">
        <v>8999</v>
      </c>
      <c r="O1897" s="1" t="n">
        <v>0</v>
      </c>
      <c r="P1897" s="1" t="n">
        <v>0</v>
      </c>
      <c r="Q1897" s="1" t="n">
        <v>8999</v>
      </c>
      <c r="R1897" s="1" t="n">
        <v>1619.82</v>
      </c>
      <c r="S1897" s="1" t="n">
        <v>7379.18</v>
      </c>
      <c r="T1897" s="1" t="n">
        <v>2666.9</v>
      </c>
      <c r="U1897" s="1" t="n">
        <v>4712.28</v>
      </c>
      <c r="V1897" s="1" t="n">
        <v>63.86</v>
      </c>
      <c r="W1897" s="1" t="s">
        <v>40</v>
      </c>
      <c r="Y1897" s="1" t="s">
        <v>40</v>
      </c>
      <c r="Z1897" s="1" t="n">
        <v>0</v>
      </c>
      <c r="AA1897" s="1" t="str">
        <f aca="false">TRIM(PROPER(F1897))</f>
        <v>Hyderabad</v>
      </c>
      <c r="AB1897" s="1" t="str">
        <f aca="false">TRIM(PROPER(C1897))</f>
        <v>Byju'S</v>
      </c>
      <c r="AC1897" s="1" t="str">
        <f aca="false">IF(O1897=0,"No Discount",IF(O1897&lt;=15,"Low (1-15%)",IF(O1897&lt;=30,"Medium (16-30%)","High (&gt;30%)")))</f>
        <v>No Discount</v>
      </c>
      <c r="AD1897" s="1" t="str">
        <f aca="false">IF(V1897&lt;0,"Loss Making",IF(V1897&lt;20,"Low Margin","Healthy Margin"))</f>
        <v>Healthy Margin</v>
      </c>
      <c r="AE1897" s="1" t="str">
        <f aca="false">TEXT(DATE(VALUE(RIGHT(B1897,4)),VALUE(MID(B1897,4,2)),VALUE(LEFT(B1897,2))),"MMM-YYYY")</f>
        <v>Feb-2024</v>
      </c>
      <c r="AF1897" s="1" t="n">
        <f aca="false">VALUE(RIGHT(B1897,4))</f>
        <v>2024</v>
      </c>
      <c r="AG1897" s="1" t="str">
        <f aca="false">CHOOSE(ROUNDUP(VALUE(MID(B1897,4,2))/3,0),"Q1","Q2","Q3","Q4")</f>
        <v>Q1</v>
      </c>
    </row>
    <row r="1898" customFormat="false" ht="15" hidden="false" customHeight="true" outlineLevel="0" collapsed="false">
      <c r="A1898" s="1" t="s">
        <v>2748</v>
      </c>
      <c r="B1898" s="1" t="s">
        <v>177</v>
      </c>
      <c r="C1898" s="1" t="s">
        <v>65</v>
      </c>
      <c r="D1898" s="1" t="s">
        <v>53</v>
      </c>
      <c r="E1898" s="1" t="s">
        <v>54</v>
      </c>
      <c r="F1898" s="1" t="s">
        <v>150</v>
      </c>
      <c r="G1898" s="1" t="s">
        <v>32</v>
      </c>
      <c r="H1898" s="1" t="s">
        <v>57</v>
      </c>
      <c r="I1898" s="1" t="s">
        <v>34</v>
      </c>
      <c r="J1898" s="1" t="s">
        <v>131</v>
      </c>
      <c r="K1898" s="1" t="s">
        <v>71</v>
      </c>
      <c r="L1898" s="1" t="s">
        <v>136</v>
      </c>
      <c r="M1898" s="1" t="s">
        <v>50</v>
      </c>
      <c r="N1898" s="1" t="n">
        <v>11999</v>
      </c>
      <c r="O1898" s="1" t="n">
        <v>10</v>
      </c>
      <c r="P1898" s="1" t="n">
        <v>1199.9</v>
      </c>
      <c r="Q1898" s="1" t="n">
        <v>10799.1</v>
      </c>
      <c r="R1898" s="1" t="n">
        <v>1943.84</v>
      </c>
      <c r="S1898" s="1" t="n">
        <v>8855.26</v>
      </c>
      <c r="T1898" s="1" t="n">
        <v>3088.87</v>
      </c>
      <c r="U1898" s="1" t="n">
        <v>5766.39</v>
      </c>
      <c r="V1898" s="1" t="n">
        <v>65.12</v>
      </c>
      <c r="W1898" s="1" t="s">
        <v>39</v>
      </c>
      <c r="X1898" s="1" t="n">
        <v>4.4</v>
      </c>
      <c r="Y1898" s="1" t="s">
        <v>40</v>
      </c>
      <c r="Z1898" s="1" t="n">
        <v>0</v>
      </c>
      <c r="AA1898" s="1" t="str">
        <f aca="false">TRIM(PROPER(F1898))</f>
        <v>Jaipur</v>
      </c>
      <c r="AB1898" s="1" t="str">
        <f aca="false">TRIM(PROPER(C1898))</f>
        <v>Toppr</v>
      </c>
      <c r="AC1898" s="1" t="str">
        <f aca="false">IF(O1898=0,"No Discount",IF(O1898&lt;=15,"Low (1-15%)",IF(O1898&lt;=30,"Medium (16-30%)","High (&gt;30%)")))</f>
        <v>Low (1-15%)</v>
      </c>
      <c r="AD1898" s="1" t="str">
        <f aca="false">IF(V1898&lt;0,"Loss Making",IF(V1898&lt;20,"Low Margin","Healthy Margin"))</f>
        <v>Healthy Margin</v>
      </c>
      <c r="AE1898" s="1" t="str">
        <f aca="false">TEXT(DATE(VALUE(RIGHT(B1898,4)),VALUE(MID(B1898,4,2)),VALUE(LEFT(B1898,2))),"MMM-YYYY")</f>
        <v>Jul-2024</v>
      </c>
      <c r="AF1898" s="1" t="n">
        <f aca="false">VALUE(RIGHT(B1898,4))</f>
        <v>2024</v>
      </c>
      <c r="AG1898" s="1" t="str">
        <f aca="false">CHOOSE(ROUNDUP(VALUE(MID(B1898,4,2))/3,0),"Q1","Q2","Q3","Q4")</f>
        <v>Q3</v>
      </c>
    </row>
    <row r="1899" customFormat="false" ht="15" hidden="false" customHeight="true" outlineLevel="0" collapsed="false">
      <c r="A1899" s="1" t="s">
        <v>2749</v>
      </c>
      <c r="B1899" s="1" t="s">
        <v>1350</v>
      </c>
      <c r="C1899" s="1" t="s">
        <v>139</v>
      </c>
      <c r="D1899" s="1" t="s">
        <v>80</v>
      </c>
      <c r="E1899" s="1" t="s">
        <v>81</v>
      </c>
      <c r="F1899" s="1" t="s">
        <v>194</v>
      </c>
      <c r="G1899" s="1" t="s">
        <v>103</v>
      </c>
      <c r="H1899" s="1" t="s">
        <v>69</v>
      </c>
      <c r="I1899" s="1" t="s">
        <v>34</v>
      </c>
      <c r="J1899" s="1" t="s">
        <v>131</v>
      </c>
      <c r="K1899" s="1" t="s">
        <v>104</v>
      </c>
      <c r="L1899" s="1" t="s">
        <v>113</v>
      </c>
      <c r="M1899" s="1" t="s">
        <v>38</v>
      </c>
      <c r="N1899" s="1" t="n">
        <v>12999</v>
      </c>
      <c r="O1899" s="1" t="n">
        <v>5</v>
      </c>
      <c r="P1899" s="1" t="n">
        <v>649.95</v>
      </c>
      <c r="Q1899" s="1" t="n">
        <v>12349.05</v>
      </c>
      <c r="R1899" s="1" t="n">
        <v>2222.83</v>
      </c>
      <c r="S1899" s="1" t="n">
        <v>10126.22</v>
      </c>
      <c r="T1899" s="1" t="n">
        <v>3253.6</v>
      </c>
      <c r="U1899" s="1" t="n">
        <v>6872.62</v>
      </c>
      <c r="V1899" s="1" t="n">
        <v>67.87</v>
      </c>
      <c r="W1899" s="1" t="s">
        <v>39</v>
      </c>
      <c r="Y1899" s="1" t="s">
        <v>40</v>
      </c>
      <c r="Z1899" s="1" t="n">
        <v>0</v>
      </c>
      <c r="AA1899" s="1" t="str">
        <f aca="false">TRIM(PROPER(F1899))</f>
        <v>Hyderabad</v>
      </c>
      <c r="AB1899" s="1" t="str">
        <f aca="false">TRIM(PROPER(C1899))</f>
        <v>Extramarks</v>
      </c>
      <c r="AC1899" s="1" t="str">
        <f aca="false">IF(O1899=0,"No Discount",IF(O1899&lt;=15,"Low (1-15%)",IF(O1899&lt;=30,"Medium (16-30%)","High (&gt;30%)")))</f>
        <v>Low (1-15%)</v>
      </c>
      <c r="AD1899" s="1" t="str">
        <f aca="false">IF(V1899&lt;0,"Loss Making",IF(V1899&lt;20,"Low Margin","Healthy Margin"))</f>
        <v>Healthy Margin</v>
      </c>
      <c r="AE1899" s="1" t="str">
        <f aca="false">TEXT(DATE(VALUE(RIGHT(B1899,4)),VALUE(MID(B1899,4,2)),VALUE(LEFT(B1899,2))),"MMM-YYYY")</f>
        <v>Mar-2024</v>
      </c>
      <c r="AF1899" s="1" t="n">
        <f aca="false">VALUE(RIGHT(B1899,4))</f>
        <v>2024</v>
      </c>
      <c r="AG1899" s="1" t="str">
        <f aca="false">CHOOSE(ROUNDUP(VALUE(MID(B1899,4,2))/3,0),"Q1","Q2","Q3","Q4")</f>
        <v>Q1</v>
      </c>
    </row>
    <row r="1900" customFormat="false" ht="15" hidden="false" customHeight="true" outlineLevel="0" collapsed="false">
      <c r="A1900" s="1" t="s">
        <v>2750</v>
      </c>
      <c r="B1900" s="1" t="s">
        <v>2585</v>
      </c>
      <c r="C1900" s="1" t="s">
        <v>249</v>
      </c>
      <c r="D1900" s="1" t="s">
        <v>53</v>
      </c>
      <c r="E1900" s="1" t="s">
        <v>116</v>
      </c>
      <c r="F1900" s="1" t="s">
        <v>125</v>
      </c>
      <c r="G1900" s="1" t="s">
        <v>108</v>
      </c>
      <c r="H1900" s="1" t="s">
        <v>69</v>
      </c>
      <c r="I1900" s="1" t="s">
        <v>58</v>
      </c>
      <c r="J1900" s="1" t="s">
        <v>35</v>
      </c>
      <c r="K1900" s="1" t="s">
        <v>104</v>
      </c>
      <c r="L1900" s="1" t="s">
        <v>49</v>
      </c>
      <c r="M1900" s="1" t="s">
        <v>50</v>
      </c>
      <c r="N1900" s="1" t="n">
        <v>9999</v>
      </c>
      <c r="O1900" s="1" t="n">
        <v>15</v>
      </c>
      <c r="P1900" s="1" t="n">
        <v>1499.85</v>
      </c>
      <c r="Q1900" s="1" t="n">
        <v>8499.15</v>
      </c>
      <c r="R1900" s="1" t="n">
        <v>1529.85</v>
      </c>
      <c r="S1900" s="1" t="n">
        <v>6969.3</v>
      </c>
      <c r="T1900" s="1" t="n">
        <v>3036.93</v>
      </c>
      <c r="U1900" s="1" t="n">
        <v>3932.37</v>
      </c>
      <c r="V1900" s="1" t="n">
        <v>56.42</v>
      </c>
      <c r="W1900" s="1" t="s">
        <v>40</v>
      </c>
      <c r="Y1900" s="1" t="s">
        <v>40</v>
      </c>
      <c r="Z1900" s="1" t="n">
        <v>2</v>
      </c>
      <c r="AA1900" s="1" t="str">
        <f aca="false">TRIM(PROPER(F1900))</f>
        <v>Chennai</v>
      </c>
      <c r="AB1900" s="1" t="str">
        <f aca="false">TRIM(PROPER(C1900))</f>
        <v>Whitehat Jr</v>
      </c>
      <c r="AC1900" s="1" t="str">
        <f aca="false">IF(O1900=0,"No Discount",IF(O1900&lt;=15,"Low (1-15%)",IF(O1900&lt;=30,"Medium (16-30%)","High (&gt;30%)")))</f>
        <v>Low (1-15%)</v>
      </c>
      <c r="AD1900" s="1" t="str">
        <f aca="false">IF(V1900&lt;0,"Loss Making",IF(V1900&lt;20,"Low Margin","Healthy Margin"))</f>
        <v>Healthy Margin</v>
      </c>
      <c r="AE1900" s="1" t="str">
        <f aca="false">TEXT(DATE(VALUE(RIGHT(B1900,4)),VALUE(MID(B1900,4,2)),VALUE(LEFT(B1900,2))),"MMM-YYYY")</f>
        <v>May-2023</v>
      </c>
      <c r="AF1900" s="1" t="n">
        <f aca="false">VALUE(RIGHT(B1900,4))</f>
        <v>2023</v>
      </c>
      <c r="AG1900" s="1" t="str">
        <f aca="false">CHOOSE(ROUNDUP(VALUE(MID(B1900,4,2))/3,0),"Q1","Q2","Q3","Q4")</f>
        <v>Q2</v>
      </c>
    </row>
    <row r="1901" customFormat="false" ht="15" hidden="false" customHeight="true" outlineLevel="0" collapsed="false">
      <c r="A1901" s="1" t="s">
        <v>2751</v>
      </c>
      <c r="B1901" s="1" t="s">
        <v>506</v>
      </c>
      <c r="C1901" s="1" t="s">
        <v>139</v>
      </c>
      <c r="D1901" s="1" t="s">
        <v>44</v>
      </c>
      <c r="E1901" s="1" t="s">
        <v>45</v>
      </c>
      <c r="F1901" s="1" t="s">
        <v>269</v>
      </c>
      <c r="G1901" s="1" t="s">
        <v>108</v>
      </c>
      <c r="H1901" s="1" t="s">
        <v>57</v>
      </c>
      <c r="I1901" s="1" t="s">
        <v>34</v>
      </c>
      <c r="J1901" s="1" t="s">
        <v>131</v>
      </c>
      <c r="K1901" s="1" t="s">
        <v>71</v>
      </c>
      <c r="L1901" s="1" t="s">
        <v>113</v>
      </c>
      <c r="M1901" s="1" t="s">
        <v>38</v>
      </c>
      <c r="N1901" s="1" t="n">
        <v>11999</v>
      </c>
      <c r="O1901" s="1" t="n">
        <v>5</v>
      </c>
      <c r="P1901" s="1" t="n">
        <v>599.95</v>
      </c>
      <c r="Q1901" s="1" t="n">
        <v>11399.05</v>
      </c>
      <c r="R1901" s="1" t="n">
        <v>2051.83</v>
      </c>
      <c r="S1901" s="1" t="n">
        <v>9347.22</v>
      </c>
      <c r="T1901" s="1" t="n">
        <v>4603.32</v>
      </c>
      <c r="U1901" s="1" t="n">
        <v>4743.9</v>
      </c>
      <c r="V1901" s="1" t="n">
        <v>50.75</v>
      </c>
      <c r="W1901" s="1" t="s">
        <v>39</v>
      </c>
      <c r="X1901" s="1" t="n">
        <v>4.4</v>
      </c>
      <c r="Y1901" s="1" t="s">
        <v>40</v>
      </c>
      <c r="Z1901" s="1" t="n">
        <v>1</v>
      </c>
      <c r="AA1901" s="1" t="str">
        <f aca="false">TRIM(PROPER(F1901))</f>
        <v>Coimbatore</v>
      </c>
      <c r="AB1901" s="1" t="str">
        <f aca="false">TRIM(PROPER(C1901))</f>
        <v>Extramarks</v>
      </c>
      <c r="AC1901" s="1" t="str">
        <f aca="false">IF(O1901=0,"No Discount",IF(O1901&lt;=15,"Low (1-15%)",IF(O1901&lt;=30,"Medium (16-30%)","High (&gt;30%)")))</f>
        <v>Low (1-15%)</v>
      </c>
      <c r="AD1901" s="1" t="str">
        <f aca="false">IF(V1901&lt;0,"Loss Making",IF(V1901&lt;20,"Low Margin","Healthy Margin"))</f>
        <v>Healthy Margin</v>
      </c>
      <c r="AE1901" s="1" t="str">
        <f aca="false">TEXT(DATE(VALUE(RIGHT(B1901,4)),VALUE(MID(B1901,4,2)),VALUE(LEFT(B1901,2))),"MMM-YYYY")</f>
        <v>Oct-2023</v>
      </c>
      <c r="AF1901" s="1" t="n">
        <f aca="false">VALUE(RIGHT(B1901,4))</f>
        <v>2023</v>
      </c>
      <c r="AG1901" s="1" t="str">
        <f aca="false">CHOOSE(ROUNDUP(VALUE(MID(B1901,4,2))/3,0),"Q1","Q2","Q3","Q4")</f>
        <v>Q4</v>
      </c>
    </row>
    <row r="1902" customFormat="false" ht="15" hidden="false" customHeight="true" outlineLevel="0" collapsed="false">
      <c r="A1902" s="1" t="s">
        <v>2752</v>
      </c>
      <c r="B1902" s="1" t="s">
        <v>207</v>
      </c>
      <c r="C1902" s="1" t="s">
        <v>167</v>
      </c>
      <c r="D1902" s="1" t="s">
        <v>80</v>
      </c>
      <c r="E1902" s="1" t="s">
        <v>175</v>
      </c>
      <c r="F1902" s="1" t="s">
        <v>46</v>
      </c>
      <c r="G1902" s="1" t="s">
        <v>47</v>
      </c>
      <c r="H1902" s="1" t="s">
        <v>33</v>
      </c>
      <c r="I1902" s="1" t="s">
        <v>34</v>
      </c>
      <c r="J1902" s="1" t="s">
        <v>35</v>
      </c>
      <c r="K1902" s="1" t="s">
        <v>90</v>
      </c>
      <c r="L1902" s="1" t="s">
        <v>85</v>
      </c>
      <c r="M1902" s="1" t="s">
        <v>50</v>
      </c>
      <c r="N1902" s="1" t="n">
        <v>19999</v>
      </c>
      <c r="O1902" s="1" t="n">
        <v>40</v>
      </c>
      <c r="P1902" s="1" t="n">
        <v>7999.6</v>
      </c>
      <c r="Q1902" s="1" t="n">
        <v>11999.4</v>
      </c>
      <c r="R1902" s="1" t="n">
        <v>2159.89</v>
      </c>
      <c r="S1902" s="1" t="n">
        <v>9839.51</v>
      </c>
      <c r="T1902" s="1" t="n">
        <v>4508.63</v>
      </c>
      <c r="U1902" s="1" t="n">
        <v>5330.88</v>
      </c>
      <c r="V1902" s="1" t="n">
        <v>54.18</v>
      </c>
      <c r="W1902" s="1" t="s">
        <v>39</v>
      </c>
      <c r="X1902" s="1" t="n">
        <v>4.8</v>
      </c>
      <c r="Y1902" s="1" t="s">
        <v>40</v>
      </c>
      <c r="Z1902" s="1" t="n">
        <v>0</v>
      </c>
      <c r="AA1902" s="1" t="str">
        <f aca="false">TRIM(PROPER(F1902))</f>
        <v>Mangaluru</v>
      </c>
      <c r="AB1902" s="1" t="str">
        <f aca="false">TRIM(PROPER(C1902))</f>
        <v>Scaler</v>
      </c>
      <c r="AC1902" s="1" t="str">
        <f aca="false">IF(O1902=0,"No Discount",IF(O1902&lt;=15,"Low (1-15%)",IF(O1902&lt;=30,"Medium (16-30%)","High (&gt;30%)")))</f>
        <v>High (&gt;30%)</v>
      </c>
      <c r="AD1902" s="1" t="str">
        <f aca="false">IF(V1902&lt;0,"Loss Making",IF(V1902&lt;20,"Low Margin","Healthy Margin"))</f>
        <v>Healthy Margin</v>
      </c>
      <c r="AE1902" s="1" t="str">
        <f aca="false">TEXT(DATE(VALUE(RIGHT(B1902,4)),VALUE(MID(B1902,4,2)),VALUE(LEFT(B1902,2))),"MMM-YYYY")</f>
        <v>Dec-2023</v>
      </c>
      <c r="AF1902" s="1" t="n">
        <f aca="false">VALUE(RIGHT(B1902,4))</f>
        <v>2023</v>
      </c>
      <c r="AG1902" s="1" t="str">
        <f aca="false">CHOOSE(ROUNDUP(VALUE(MID(B1902,4,2))/3,0),"Q1","Q2","Q3","Q4")</f>
        <v>Q4</v>
      </c>
    </row>
    <row r="1903" customFormat="false" ht="15" hidden="false" customHeight="true" outlineLevel="0" collapsed="false">
      <c r="A1903" s="1" t="s">
        <v>2753</v>
      </c>
      <c r="B1903" s="1" t="s">
        <v>196</v>
      </c>
      <c r="C1903" s="1" t="s">
        <v>88</v>
      </c>
      <c r="D1903" s="1" t="s">
        <v>143</v>
      </c>
      <c r="E1903" s="1" t="s">
        <v>159</v>
      </c>
      <c r="F1903" s="1" t="s">
        <v>269</v>
      </c>
      <c r="G1903" s="1" t="s">
        <v>108</v>
      </c>
      <c r="H1903" s="1" t="s">
        <v>57</v>
      </c>
      <c r="I1903" s="1" t="s">
        <v>83</v>
      </c>
      <c r="J1903" s="1" t="s">
        <v>70</v>
      </c>
      <c r="K1903" s="1" t="s">
        <v>112</v>
      </c>
      <c r="L1903" s="1" t="s">
        <v>49</v>
      </c>
      <c r="M1903" s="1" t="s">
        <v>50</v>
      </c>
      <c r="N1903" s="1" t="n">
        <v>24999</v>
      </c>
      <c r="O1903" s="1" t="n">
        <v>15</v>
      </c>
      <c r="P1903" s="1" t="n">
        <v>3749.85</v>
      </c>
      <c r="Q1903" s="1" t="n">
        <v>21249.15</v>
      </c>
      <c r="R1903" s="1" t="n">
        <v>3824.85</v>
      </c>
      <c r="S1903" s="1" t="n">
        <v>17424.3</v>
      </c>
      <c r="T1903" s="1" t="n">
        <v>7972.38</v>
      </c>
      <c r="U1903" s="1" t="n">
        <v>9451.92</v>
      </c>
      <c r="V1903" s="1" t="n">
        <v>54.25</v>
      </c>
      <c r="W1903" s="1" t="s">
        <v>40</v>
      </c>
      <c r="Y1903" s="1" t="s">
        <v>40</v>
      </c>
      <c r="Z1903" s="1" t="n">
        <v>3</v>
      </c>
      <c r="AA1903" s="1" t="str">
        <f aca="false">TRIM(PROPER(F1903))</f>
        <v>Coimbatore</v>
      </c>
      <c r="AB1903" s="1" t="str">
        <f aca="false">TRIM(PROPER(C1903))</f>
        <v>Byju'S</v>
      </c>
      <c r="AC1903" s="1" t="str">
        <f aca="false">IF(O1903=0,"No Discount",IF(O1903&lt;=15,"Low (1-15%)",IF(O1903&lt;=30,"Medium (16-30%)","High (&gt;30%)")))</f>
        <v>Low (1-15%)</v>
      </c>
      <c r="AD1903" s="1" t="str">
        <f aca="false">IF(V1903&lt;0,"Loss Making",IF(V1903&lt;20,"Low Margin","Healthy Margin"))</f>
        <v>Healthy Margin</v>
      </c>
      <c r="AE1903" s="1" t="str">
        <f aca="false">TEXT(DATE(VALUE(RIGHT(B1903,4)),VALUE(MID(B1903,4,2)),VALUE(LEFT(B1903,2))),"MMM-YYYY")</f>
        <v>Mar-2024</v>
      </c>
      <c r="AF1903" s="1" t="n">
        <f aca="false">VALUE(RIGHT(B1903,4))</f>
        <v>2024</v>
      </c>
      <c r="AG1903" s="1" t="str">
        <f aca="false">CHOOSE(ROUNDUP(VALUE(MID(B1903,4,2))/3,0),"Q1","Q2","Q3","Q4")</f>
        <v>Q1</v>
      </c>
    </row>
    <row r="1904" customFormat="false" ht="15" hidden="false" customHeight="true" outlineLevel="0" collapsed="false">
      <c r="A1904" s="1" t="s">
        <v>2754</v>
      </c>
      <c r="B1904" s="1" t="s">
        <v>2572</v>
      </c>
      <c r="C1904" s="1" t="s">
        <v>28</v>
      </c>
      <c r="D1904" s="1" t="s">
        <v>44</v>
      </c>
      <c r="E1904" s="1" t="s">
        <v>66</v>
      </c>
      <c r="F1904" s="1" t="s">
        <v>187</v>
      </c>
      <c r="G1904" s="1" t="s">
        <v>97</v>
      </c>
      <c r="H1904" s="1" t="s">
        <v>69</v>
      </c>
      <c r="I1904" s="1" t="s">
        <v>34</v>
      </c>
      <c r="J1904" s="1" t="s">
        <v>70</v>
      </c>
      <c r="K1904" s="1" t="s">
        <v>36</v>
      </c>
      <c r="L1904" s="1" t="s">
        <v>136</v>
      </c>
      <c r="M1904" s="1" t="s">
        <v>50</v>
      </c>
      <c r="N1904" s="1" t="n">
        <v>12999</v>
      </c>
      <c r="O1904" s="1" t="n">
        <v>0</v>
      </c>
      <c r="P1904" s="1" t="n">
        <v>0</v>
      </c>
      <c r="Q1904" s="1" t="n">
        <v>12999</v>
      </c>
      <c r="R1904" s="1" t="n">
        <v>2339.82</v>
      </c>
      <c r="S1904" s="1" t="n">
        <v>10659.18</v>
      </c>
      <c r="T1904" s="1" t="n">
        <v>3748.31</v>
      </c>
      <c r="U1904" s="1" t="n">
        <v>6910.87</v>
      </c>
      <c r="V1904" s="1" t="n">
        <v>64.83</v>
      </c>
      <c r="W1904" s="1" t="s">
        <v>39</v>
      </c>
      <c r="Y1904" s="1" t="s">
        <v>39</v>
      </c>
      <c r="Z1904" s="1" t="n">
        <v>0</v>
      </c>
      <c r="AA1904" s="1" t="str">
        <f aca="false">TRIM(PROPER(F1904))</f>
        <v>Mumbai</v>
      </c>
      <c r="AB1904" s="1" t="str">
        <f aca="false">TRIM(PROPER(C1904))</f>
        <v>Embibe</v>
      </c>
      <c r="AC1904" s="1" t="str">
        <f aca="false">IF(O1904=0,"No Discount",IF(O1904&lt;=15,"Low (1-15%)",IF(O1904&lt;=30,"Medium (16-30%)","High (&gt;30%)")))</f>
        <v>No Discount</v>
      </c>
      <c r="AD1904" s="1" t="str">
        <f aca="false">IF(V1904&lt;0,"Loss Making",IF(V1904&lt;20,"Low Margin","Healthy Margin"))</f>
        <v>Healthy Margin</v>
      </c>
      <c r="AE1904" s="1" t="str">
        <f aca="false">TEXT(DATE(VALUE(RIGHT(B1904,4)),VALUE(MID(B1904,4,2)),VALUE(LEFT(B1904,2))),"MMM-YYYY")</f>
        <v>Nov-2024</v>
      </c>
      <c r="AF1904" s="1" t="n">
        <f aca="false">VALUE(RIGHT(B1904,4))</f>
        <v>2024</v>
      </c>
      <c r="AG1904" s="1" t="str">
        <f aca="false">CHOOSE(ROUNDUP(VALUE(MID(B1904,4,2))/3,0),"Q1","Q2","Q3","Q4")</f>
        <v>Q4</v>
      </c>
    </row>
    <row r="1905" customFormat="false" ht="15" hidden="false" customHeight="true" outlineLevel="0" collapsed="false">
      <c r="A1905" s="1" t="s">
        <v>2755</v>
      </c>
      <c r="B1905" s="1" t="s">
        <v>2567</v>
      </c>
      <c r="C1905" s="1" t="s">
        <v>100</v>
      </c>
      <c r="D1905" s="1" t="s">
        <v>168</v>
      </c>
      <c r="E1905" s="1" t="s">
        <v>169</v>
      </c>
      <c r="F1905" s="1" t="s">
        <v>2756</v>
      </c>
      <c r="G1905" s="1" t="s">
        <v>97</v>
      </c>
      <c r="H1905" s="1" t="s">
        <v>57</v>
      </c>
      <c r="I1905" s="1" t="s">
        <v>58</v>
      </c>
      <c r="J1905" s="1" t="s">
        <v>59</v>
      </c>
      <c r="K1905" s="1" t="s">
        <v>48</v>
      </c>
      <c r="L1905" s="1" t="s">
        <v>49</v>
      </c>
      <c r="M1905" s="1" t="s">
        <v>62</v>
      </c>
      <c r="N1905" s="1" t="n">
        <v>4999</v>
      </c>
      <c r="O1905" s="1" t="n">
        <v>30</v>
      </c>
      <c r="P1905" s="1" t="n">
        <v>1499.7</v>
      </c>
      <c r="Q1905" s="1" t="n">
        <v>3499.3</v>
      </c>
      <c r="R1905" s="1" t="n">
        <v>629.87</v>
      </c>
      <c r="S1905" s="1" t="n">
        <v>2869.43</v>
      </c>
      <c r="T1905" s="1" t="n">
        <v>1168.62</v>
      </c>
      <c r="U1905" s="1" t="n">
        <v>1700.81</v>
      </c>
      <c r="V1905" s="1" t="n">
        <v>59.27</v>
      </c>
      <c r="W1905" s="1" t="s">
        <v>39</v>
      </c>
      <c r="X1905" s="1" t="n">
        <v>3.7</v>
      </c>
      <c r="Y1905" s="1" t="s">
        <v>40</v>
      </c>
      <c r="Z1905" s="1" t="n">
        <v>0</v>
      </c>
      <c r="AA1905" s="1" t="str">
        <f aca="false">TRIM(PROPER(F1905))</f>
        <v>Nashik</v>
      </c>
      <c r="AB1905" s="1" t="str">
        <f aca="false">TRIM(PROPER(C1905))</f>
        <v>Physics Wallah</v>
      </c>
      <c r="AC1905" s="1" t="str">
        <f aca="false">IF(O1905=0,"No Discount",IF(O1905&lt;=15,"Low (1-15%)",IF(O1905&lt;=30,"Medium (16-30%)","High (&gt;30%)")))</f>
        <v>Medium (16-30%)</v>
      </c>
      <c r="AD1905" s="1" t="str">
        <f aca="false">IF(V1905&lt;0,"Loss Making",IF(V1905&lt;20,"Low Margin","Healthy Margin"))</f>
        <v>Healthy Margin</v>
      </c>
      <c r="AE1905" s="1" t="str">
        <f aca="false">TEXT(DATE(VALUE(RIGHT(B1905,4)),VALUE(MID(B1905,4,2)),VALUE(LEFT(B1905,2))),"MMM-YYYY")</f>
        <v>Oct-2023</v>
      </c>
      <c r="AF1905" s="1" t="n">
        <f aca="false">VALUE(RIGHT(B1905,4))</f>
        <v>2023</v>
      </c>
      <c r="AG1905" s="1" t="str">
        <f aca="false">CHOOSE(ROUNDUP(VALUE(MID(B1905,4,2))/3,0),"Q1","Q2","Q3","Q4")</f>
        <v>Q4</v>
      </c>
    </row>
    <row r="1906" customFormat="false" ht="15" hidden="false" customHeight="true" outlineLevel="0" collapsed="false">
      <c r="A1906" s="1" t="s">
        <v>2757</v>
      </c>
      <c r="B1906" s="1" t="s">
        <v>515</v>
      </c>
      <c r="C1906" s="1" t="s">
        <v>28</v>
      </c>
      <c r="D1906" s="1" t="s">
        <v>80</v>
      </c>
      <c r="E1906" s="1" t="s">
        <v>193</v>
      </c>
      <c r="F1906" s="1" t="s">
        <v>67</v>
      </c>
      <c r="G1906" s="1" t="s">
        <v>68</v>
      </c>
      <c r="H1906" s="1" t="s">
        <v>69</v>
      </c>
      <c r="I1906" s="1" t="s">
        <v>58</v>
      </c>
      <c r="J1906" s="1" t="s">
        <v>77</v>
      </c>
      <c r="K1906" s="1" t="s">
        <v>90</v>
      </c>
      <c r="L1906" s="1" t="s">
        <v>85</v>
      </c>
      <c r="M1906" s="1" t="s">
        <v>50</v>
      </c>
      <c r="N1906" s="1" t="n">
        <v>8999</v>
      </c>
      <c r="O1906" s="1" t="n">
        <v>20</v>
      </c>
      <c r="P1906" s="1" t="n">
        <v>1799.8</v>
      </c>
      <c r="Q1906" s="1" t="n">
        <v>7199.2</v>
      </c>
      <c r="R1906" s="1" t="n">
        <v>1295.86</v>
      </c>
      <c r="S1906" s="1" t="n">
        <v>5903.34</v>
      </c>
      <c r="T1906" s="1" t="n">
        <v>2221.15</v>
      </c>
      <c r="U1906" s="1" t="n">
        <v>3682.19</v>
      </c>
      <c r="V1906" s="1" t="n">
        <v>62.37</v>
      </c>
      <c r="W1906" s="1" t="s">
        <v>40</v>
      </c>
      <c r="Y1906" s="1" t="s">
        <v>40</v>
      </c>
      <c r="Z1906" s="1" t="n">
        <v>1</v>
      </c>
      <c r="AA1906" s="1" t="str">
        <f aca="false">TRIM(PROPER(F1906))</f>
        <v>Ahmedabad</v>
      </c>
      <c r="AB1906" s="1" t="str">
        <f aca="false">TRIM(PROPER(C1906))</f>
        <v>Embibe</v>
      </c>
      <c r="AC1906" s="1" t="str">
        <f aca="false">IF(O1906=0,"No Discount",IF(O1906&lt;=15,"Low (1-15%)",IF(O1906&lt;=30,"Medium (16-30%)","High (&gt;30%)")))</f>
        <v>Medium (16-30%)</v>
      </c>
      <c r="AD1906" s="1" t="str">
        <f aca="false">IF(V1906&lt;0,"Loss Making",IF(V1906&lt;20,"Low Margin","Healthy Margin"))</f>
        <v>Healthy Margin</v>
      </c>
      <c r="AE1906" s="1" t="str">
        <f aca="false">TEXT(DATE(VALUE(RIGHT(B1906,4)),VALUE(MID(B1906,4,2)),VALUE(LEFT(B1906,2))),"MMM-YYYY")</f>
        <v>Sep-2024</v>
      </c>
      <c r="AF1906" s="1" t="n">
        <f aca="false">VALUE(RIGHT(B1906,4))</f>
        <v>2024</v>
      </c>
      <c r="AG1906" s="1" t="str">
        <f aca="false">CHOOSE(ROUNDUP(VALUE(MID(B1906,4,2))/3,0),"Q1","Q2","Q3","Q4")</f>
        <v>Q3</v>
      </c>
    </row>
    <row r="1907" customFormat="false" ht="15" hidden="false" customHeight="true" outlineLevel="0" collapsed="false">
      <c r="A1907" s="1" t="s">
        <v>2758</v>
      </c>
      <c r="B1907" s="1" t="s">
        <v>2604</v>
      </c>
      <c r="C1907" s="1" t="s">
        <v>167</v>
      </c>
      <c r="D1907" s="1" t="s">
        <v>123</v>
      </c>
      <c r="E1907" s="1" t="s">
        <v>147</v>
      </c>
      <c r="F1907" s="1" t="s">
        <v>205</v>
      </c>
      <c r="G1907" s="1" t="s">
        <v>56</v>
      </c>
      <c r="H1907" s="1" t="s">
        <v>69</v>
      </c>
      <c r="I1907" s="1" t="s">
        <v>34</v>
      </c>
      <c r="J1907" s="1" t="s">
        <v>59</v>
      </c>
      <c r="K1907" s="1" t="s">
        <v>71</v>
      </c>
      <c r="L1907" s="1" t="s">
        <v>37</v>
      </c>
      <c r="M1907" s="1" t="s">
        <v>50</v>
      </c>
      <c r="N1907" s="1" t="n">
        <v>6999</v>
      </c>
      <c r="O1907" s="1" t="n">
        <v>10</v>
      </c>
      <c r="P1907" s="1" t="n">
        <v>699.9</v>
      </c>
      <c r="Q1907" s="1" t="n">
        <v>6299.1</v>
      </c>
      <c r="R1907" s="1" t="n">
        <v>1133.84</v>
      </c>
      <c r="S1907" s="1" t="n">
        <v>5165.26</v>
      </c>
      <c r="T1907" s="1" t="n">
        <v>2129.87</v>
      </c>
      <c r="U1907" s="1" t="n">
        <v>3035.39</v>
      </c>
      <c r="V1907" s="1" t="n">
        <v>58.77</v>
      </c>
      <c r="W1907" s="1" t="s">
        <v>40</v>
      </c>
      <c r="Y1907" s="1" t="s">
        <v>40</v>
      </c>
      <c r="Z1907" s="1" t="n">
        <v>1</v>
      </c>
      <c r="AA1907" s="1" t="str">
        <f aca="false">TRIM(PROPER(F1907))</f>
        <v>New Delhi</v>
      </c>
      <c r="AB1907" s="1" t="str">
        <f aca="false">TRIM(PROPER(C1907))</f>
        <v>Scaler</v>
      </c>
      <c r="AC1907" s="1" t="str">
        <f aca="false">IF(O1907=0,"No Discount",IF(O1907&lt;=15,"Low (1-15%)",IF(O1907&lt;=30,"Medium (16-30%)","High (&gt;30%)")))</f>
        <v>Low (1-15%)</v>
      </c>
      <c r="AD1907" s="1" t="str">
        <f aca="false">IF(V1907&lt;0,"Loss Making",IF(V1907&lt;20,"Low Margin","Healthy Margin"))</f>
        <v>Healthy Margin</v>
      </c>
      <c r="AE1907" s="1" t="str">
        <f aca="false">TEXT(DATE(VALUE(RIGHT(B1907,4)),VALUE(MID(B1907,4,2)),VALUE(LEFT(B1907,2))),"MMM-YYYY")</f>
        <v>May-2023</v>
      </c>
      <c r="AF1907" s="1" t="n">
        <f aca="false">VALUE(RIGHT(B1907,4))</f>
        <v>2023</v>
      </c>
      <c r="AG1907" s="1" t="str">
        <f aca="false">CHOOSE(ROUNDUP(VALUE(MID(B1907,4,2))/3,0),"Q1","Q2","Q3","Q4")</f>
        <v>Q2</v>
      </c>
    </row>
    <row r="1908" customFormat="false" ht="15" hidden="false" customHeight="true" outlineLevel="0" collapsed="false">
      <c r="A1908" s="1" t="s">
        <v>2759</v>
      </c>
      <c r="B1908" s="1" t="s">
        <v>266</v>
      </c>
      <c r="C1908" s="1" t="s">
        <v>167</v>
      </c>
      <c r="D1908" s="1" t="s">
        <v>94</v>
      </c>
      <c r="E1908" s="1" t="s">
        <v>95</v>
      </c>
      <c r="F1908" s="1" t="s">
        <v>82</v>
      </c>
      <c r="G1908" s="1" t="s">
        <v>56</v>
      </c>
      <c r="H1908" s="1" t="s">
        <v>69</v>
      </c>
      <c r="I1908" s="1" t="s">
        <v>58</v>
      </c>
      <c r="J1908" s="1" t="s">
        <v>35</v>
      </c>
      <c r="K1908" s="1" t="s">
        <v>60</v>
      </c>
      <c r="L1908" s="1" t="s">
        <v>136</v>
      </c>
      <c r="M1908" s="1" t="s">
        <v>38</v>
      </c>
      <c r="N1908" s="1" t="n">
        <v>6999</v>
      </c>
      <c r="O1908" s="1" t="n">
        <v>0</v>
      </c>
      <c r="P1908" s="1" t="n">
        <v>0</v>
      </c>
      <c r="Q1908" s="1" t="n">
        <v>6999</v>
      </c>
      <c r="R1908" s="1" t="n">
        <v>1259.82</v>
      </c>
      <c r="S1908" s="1" t="n">
        <v>5739.18</v>
      </c>
      <c r="T1908" s="1" t="n">
        <v>2246.67</v>
      </c>
      <c r="U1908" s="1" t="n">
        <v>3492.51</v>
      </c>
      <c r="V1908" s="1" t="n">
        <v>60.85</v>
      </c>
      <c r="W1908" s="1" t="s">
        <v>39</v>
      </c>
      <c r="X1908" s="1" t="n">
        <v>3</v>
      </c>
      <c r="Y1908" s="1" t="s">
        <v>40</v>
      </c>
      <c r="Z1908" s="1" t="n">
        <v>0</v>
      </c>
      <c r="AA1908" s="1" t="str">
        <f aca="false">TRIM(PROPER(F1908))</f>
        <v>Gurugram</v>
      </c>
      <c r="AB1908" s="1" t="str">
        <f aca="false">TRIM(PROPER(C1908))</f>
        <v>Scaler</v>
      </c>
      <c r="AC1908" s="1" t="str">
        <f aca="false">IF(O1908=0,"No Discount",IF(O1908&lt;=15,"Low (1-15%)",IF(O1908&lt;=30,"Medium (16-30%)","High (&gt;30%)")))</f>
        <v>No Discount</v>
      </c>
      <c r="AD1908" s="1" t="str">
        <f aca="false">IF(V1908&lt;0,"Loss Making",IF(V1908&lt;20,"Low Margin","Healthy Margin"))</f>
        <v>Healthy Margin</v>
      </c>
      <c r="AE1908" s="1" t="str">
        <f aca="false">TEXT(DATE(VALUE(RIGHT(B1908,4)),VALUE(MID(B1908,4,2)),VALUE(LEFT(B1908,2))),"MMM-YYYY")</f>
        <v>Apr-2024</v>
      </c>
      <c r="AF1908" s="1" t="n">
        <f aca="false">VALUE(RIGHT(B1908,4))</f>
        <v>2024</v>
      </c>
      <c r="AG1908" s="1" t="str">
        <f aca="false">CHOOSE(ROUNDUP(VALUE(MID(B1908,4,2))/3,0),"Q1","Q2","Q3","Q4")</f>
        <v>Q2</v>
      </c>
    </row>
    <row r="1909" customFormat="false" ht="15" hidden="false" customHeight="true" outlineLevel="0" collapsed="false">
      <c r="A1909" s="1" t="s">
        <v>2760</v>
      </c>
      <c r="B1909" s="1" t="s">
        <v>1222</v>
      </c>
      <c r="C1909" s="1" t="s">
        <v>65</v>
      </c>
      <c r="D1909" s="1" t="s">
        <v>94</v>
      </c>
      <c r="E1909" s="1" t="s">
        <v>101</v>
      </c>
      <c r="F1909" s="1" t="s">
        <v>211</v>
      </c>
      <c r="G1909" s="1" t="s">
        <v>56</v>
      </c>
      <c r="H1909" s="1" t="s">
        <v>69</v>
      </c>
      <c r="I1909" s="1" t="s">
        <v>34</v>
      </c>
      <c r="J1909" s="1" t="s">
        <v>35</v>
      </c>
      <c r="K1909" s="1" t="s">
        <v>71</v>
      </c>
      <c r="L1909" s="1" t="s">
        <v>37</v>
      </c>
      <c r="M1909" s="1" t="s">
        <v>38</v>
      </c>
      <c r="N1909" s="1" t="n">
        <v>14999</v>
      </c>
      <c r="O1909" s="1" t="n">
        <v>0</v>
      </c>
      <c r="P1909" s="1" t="n">
        <v>0</v>
      </c>
      <c r="Q1909" s="1" t="n">
        <v>14999</v>
      </c>
      <c r="R1909" s="1" t="n">
        <v>2699.82</v>
      </c>
      <c r="S1909" s="1" t="n">
        <v>12299.18</v>
      </c>
      <c r="T1909" s="1" t="n">
        <v>5193.39</v>
      </c>
      <c r="U1909" s="1" t="n">
        <v>7105.79</v>
      </c>
      <c r="V1909" s="1" t="n">
        <v>57.77</v>
      </c>
      <c r="W1909" s="1" t="s">
        <v>39</v>
      </c>
      <c r="X1909" s="1" t="n">
        <v>4.3</v>
      </c>
      <c r="Y1909" s="1" t="s">
        <v>40</v>
      </c>
      <c r="Z1909" s="1" t="n">
        <v>1</v>
      </c>
      <c r="AA1909" s="1" t="str">
        <f aca="false">TRIM(PROPER(F1909))</f>
        <v>Noida</v>
      </c>
      <c r="AB1909" s="1" t="str">
        <f aca="false">TRIM(PROPER(C1909))</f>
        <v>Toppr</v>
      </c>
      <c r="AC1909" s="1" t="str">
        <f aca="false">IF(O1909=0,"No Discount",IF(O1909&lt;=15,"Low (1-15%)",IF(O1909&lt;=30,"Medium (16-30%)","High (&gt;30%)")))</f>
        <v>No Discount</v>
      </c>
      <c r="AD1909" s="1" t="str">
        <f aca="false">IF(V1909&lt;0,"Loss Making",IF(V1909&lt;20,"Low Margin","Healthy Margin"))</f>
        <v>Healthy Margin</v>
      </c>
      <c r="AE1909" s="1" t="str">
        <f aca="false">TEXT(DATE(VALUE(RIGHT(B1909,4)),VALUE(MID(B1909,4,2)),VALUE(LEFT(B1909,2))),"MMM-YYYY")</f>
        <v>Jan-2024</v>
      </c>
      <c r="AF1909" s="1" t="n">
        <f aca="false">VALUE(RIGHT(B1909,4))</f>
        <v>2024</v>
      </c>
      <c r="AG1909" s="1" t="str">
        <f aca="false">CHOOSE(ROUNDUP(VALUE(MID(B1909,4,2))/3,0),"Q1","Q2","Q3","Q4")</f>
        <v>Q1</v>
      </c>
    </row>
    <row r="1910" customFormat="false" ht="15" hidden="false" customHeight="true" outlineLevel="0" collapsed="false">
      <c r="A1910" s="1" t="s">
        <v>2761</v>
      </c>
      <c r="B1910" s="1" t="s">
        <v>1412</v>
      </c>
      <c r="C1910" s="1" t="s">
        <v>88</v>
      </c>
      <c r="D1910" s="1" t="s">
        <v>168</v>
      </c>
      <c r="E1910" s="1" t="s">
        <v>172</v>
      </c>
      <c r="F1910" s="1" t="s">
        <v>2673</v>
      </c>
      <c r="G1910" s="1" t="s">
        <v>97</v>
      </c>
      <c r="H1910" s="1" t="s">
        <v>57</v>
      </c>
      <c r="I1910" s="1" t="s">
        <v>34</v>
      </c>
      <c r="J1910" s="1" t="s">
        <v>35</v>
      </c>
      <c r="K1910" s="1" t="s">
        <v>36</v>
      </c>
      <c r="L1910" s="1" t="s">
        <v>136</v>
      </c>
      <c r="M1910" s="1" t="s">
        <v>62</v>
      </c>
      <c r="N1910" s="1" t="n">
        <v>6999</v>
      </c>
      <c r="O1910" s="1" t="n">
        <v>30</v>
      </c>
      <c r="P1910" s="1" t="n">
        <v>2099.7</v>
      </c>
      <c r="Q1910" s="1" t="n">
        <v>4899.3</v>
      </c>
      <c r="R1910" s="1" t="n">
        <v>881.87</v>
      </c>
      <c r="S1910" s="1" t="n">
        <v>4017.43</v>
      </c>
      <c r="T1910" s="1" t="n">
        <v>1578.25</v>
      </c>
      <c r="U1910" s="1" t="n">
        <v>2439.18</v>
      </c>
      <c r="V1910" s="1" t="n">
        <v>60.71</v>
      </c>
      <c r="W1910" s="1" t="s">
        <v>39</v>
      </c>
      <c r="X1910" s="1" t="n">
        <v>3.8</v>
      </c>
      <c r="Y1910" s="1" t="s">
        <v>40</v>
      </c>
      <c r="Z1910" s="1" t="n">
        <v>0</v>
      </c>
      <c r="AA1910" s="1" t="str">
        <f aca="false">TRIM(PROPER(F1910))</f>
        <v>Nagpur</v>
      </c>
      <c r="AB1910" s="1" t="str">
        <f aca="false">TRIM(PROPER(C1910))</f>
        <v>Byju'S</v>
      </c>
      <c r="AC1910" s="1" t="str">
        <f aca="false">IF(O1910=0,"No Discount",IF(O1910&lt;=15,"Low (1-15%)",IF(O1910&lt;=30,"Medium (16-30%)","High (&gt;30%)")))</f>
        <v>Medium (16-30%)</v>
      </c>
      <c r="AD1910" s="1" t="str">
        <f aca="false">IF(V1910&lt;0,"Loss Making",IF(V1910&lt;20,"Low Margin","Healthy Margin"))</f>
        <v>Healthy Margin</v>
      </c>
      <c r="AE1910" s="1" t="str">
        <f aca="false">TEXT(DATE(VALUE(RIGHT(B1910,4)),VALUE(MID(B1910,4,2)),VALUE(LEFT(B1910,2))),"MMM-YYYY")</f>
        <v>Nov-2023</v>
      </c>
      <c r="AF1910" s="1" t="n">
        <f aca="false">VALUE(RIGHT(B1910,4))</f>
        <v>2023</v>
      </c>
      <c r="AG1910" s="1" t="str">
        <f aca="false">CHOOSE(ROUNDUP(VALUE(MID(B1910,4,2))/3,0),"Q1","Q2","Q3","Q4")</f>
        <v>Q4</v>
      </c>
    </row>
    <row r="1911" customFormat="false" ht="15" hidden="false" customHeight="true" outlineLevel="0" collapsed="false">
      <c r="A1911" s="1" t="s">
        <v>2762</v>
      </c>
      <c r="B1911" s="1" t="s">
        <v>227</v>
      </c>
      <c r="C1911" s="1" t="s">
        <v>167</v>
      </c>
      <c r="D1911" s="1" t="s">
        <v>80</v>
      </c>
      <c r="E1911" s="1" t="s">
        <v>81</v>
      </c>
      <c r="F1911" s="1" t="s">
        <v>55</v>
      </c>
      <c r="G1911" s="1" t="s">
        <v>56</v>
      </c>
      <c r="H1911" s="1" t="s">
        <v>57</v>
      </c>
      <c r="I1911" s="1" t="s">
        <v>58</v>
      </c>
      <c r="J1911" s="1" t="s">
        <v>131</v>
      </c>
      <c r="K1911" s="1" t="s">
        <v>48</v>
      </c>
      <c r="L1911" s="1" t="s">
        <v>136</v>
      </c>
      <c r="M1911" s="1" t="s">
        <v>38</v>
      </c>
      <c r="N1911" s="1" t="n">
        <v>12999</v>
      </c>
      <c r="O1911" s="1" t="n">
        <v>25</v>
      </c>
      <c r="P1911" s="1" t="n">
        <v>3249.75</v>
      </c>
      <c r="Q1911" s="1" t="n">
        <v>9749.25</v>
      </c>
      <c r="R1911" s="1" t="n">
        <v>1754.87</v>
      </c>
      <c r="S1911" s="1" t="n">
        <v>7994.38</v>
      </c>
      <c r="T1911" s="1" t="n">
        <v>4387.49</v>
      </c>
      <c r="U1911" s="1" t="n">
        <v>3606.89</v>
      </c>
      <c r="V1911" s="1" t="n">
        <v>45.12</v>
      </c>
      <c r="W1911" s="1" t="s">
        <v>40</v>
      </c>
      <c r="Y1911" s="1" t="s">
        <v>40</v>
      </c>
      <c r="Z1911" s="1" t="n">
        <v>1</v>
      </c>
      <c r="AA1911" s="1" t="str">
        <f aca="false">TRIM(PROPER(F1911))</f>
        <v>Ghaziabad</v>
      </c>
      <c r="AB1911" s="1" t="str">
        <f aca="false">TRIM(PROPER(C1911))</f>
        <v>Scaler</v>
      </c>
      <c r="AC1911" s="1" t="str">
        <f aca="false">IF(O1911=0,"No Discount",IF(O1911&lt;=15,"Low (1-15%)",IF(O1911&lt;=30,"Medium (16-30%)","High (&gt;30%)")))</f>
        <v>Medium (16-30%)</v>
      </c>
      <c r="AD1911" s="1" t="str">
        <f aca="false">IF(V1911&lt;0,"Loss Making",IF(V1911&lt;20,"Low Margin","Healthy Margin"))</f>
        <v>Healthy Margin</v>
      </c>
      <c r="AE1911" s="1" t="str">
        <f aca="false">TEXT(DATE(VALUE(RIGHT(B1911,4)),VALUE(MID(B1911,4,2)),VALUE(LEFT(B1911,2))),"MMM-YYYY")</f>
        <v>Aug-2023</v>
      </c>
      <c r="AF1911" s="1" t="n">
        <f aca="false">VALUE(RIGHT(B1911,4))</f>
        <v>2023</v>
      </c>
      <c r="AG1911" s="1" t="str">
        <f aca="false">CHOOSE(ROUNDUP(VALUE(MID(B1911,4,2))/3,0),"Q1","Q2","Q3","Q4")</f>
        <v>Q3</v>
      </c>
    </row>
    <row r="1912" customFormat="false" ht="15" hidden="false" customHeight="true" outlineLevel="0" collapsed="false">
      <c r="A1912" s="1" t="s">
        <v>2763</v>
      </c>
      <c r="B1912" s="1" t="s">
        <v>753</v>
      </c>
      <c r="C1912" s="1" t="s">
        <v>100</v>
      </c>
      <c r="D1912" s="1" t="s">
        <v>143</v>
      </c>
      <c r="E1912" s="1" t="s">
        <v>210</v>
      </c>
      <c r="F1912" s="1" t="s">
        <v>269</v>
      </c>
      <c r="G1912" s="1" t="s">
        <v>108</v>
      </c>
      <c r="H1912" s="1" t="s">
        <v>57</v>
      </c>
      <c r="I1912" s="1" t="s">
        <v>83</v>
      </c>
      <c r="J1912" s="1" t="s">
        <v>35</v>
      </c>
      <c r="K1912" s="1" t="s">
        <v>84</v>
      </c>
      <c r="L1912" s="1" t="s">
        <v>61</v>
      </c>
      <c r="M1912" s="1" t="s">
        <v>38</v>
      </c>
      <c r="N1912" s="1" t="n">
        <v>18999</v>
      </c>
      <c r="O1912" s="1" t="n">
        <v>10</v>
      </c>
      <c r="P1912" s="1" t="n">
        <v>1899.9</v>
      </c>
      <c r="Q1912" s="1" t="n">
        <v>17099.1</v>
      </c>
      <c r="R1912" s="1" t="n">
        <v>3077.84</v>
      </c>
      <c r="S1912" s="1" t="n">
        <v>14021.26</v>
      </c>
      <c r="T1912" s="1" t="n">
        <v>5706.01</v>
      </c>
      <c r="U1912" s="1" t="n">
        <v>8315.25</v>
      </c>
      <c r="V1912" s="1" t="n">
        <v>59.3</v>
      </c>
      <c r="W1912" s="1" t="s">
        <v>39</v>
      </c>
      <c r="Y1912" s="1" t="s">
        <v>40</v>
      </c>
      <c r="Z1912" s="1" t="n">
        <v>0</v>
      </c>
      <c r="AA1912" s="1" t="str">
        <f aca="false">TRIM(PROPER(F1912))</f>
        <v>Coimbatore</v>
      </c>
      <c r="AB1912" s="1" t="str">
        <f aca="false">TRIM(PROPER(C1912))</f>
        <v>Physics Wallah</v>
      </c>
      <c r="AC1912" s="1" t="str">
        <f aca="false">IF(O1912=0,"No Discount",IF(O1912&lt;=15,"Low (1-15%)",IF(O1912&lt;=30,"Medium (16-30%)","High (&gt;30%)")))</f>
        <v>Low (1-15%)</v>
      </c>
      <c r="AD1912" s="1" t="str">
        <f aca="false">IF(V1912&lt;0,"Loss Making",IF(V1912&lt;20,"Low Margin","Healthy Margin"))</f>
        <v>Healthy Margin</v>
      </c>
      <c r="AE1912" s="1" t="str">
        <f aca="false">TEXT(DATE(VALUE(RIGHT(B1912,4)),VALUE(MID(B1912,4,2)),VALUE(LEFT(B1912,2))),"MMM-YYYY")</f>
        <v>Jun-2024</v>
      </c>
      <c r="AF1912" s="1" t="n">
        <f aca="false">VALUE(RIGHT(B1912,4))</f>
        <v>2024</v>
      </c>
      <c r="AG1912" s="1" t="str">
        <f aca="false">CHOOSE(ROUNDUP(VALUE(MID(B1912,4,2))/3,0),"Q1","Q2","Q3","Q4")</f>
        <v>Q2</v>
      </c>
    </row>
    <row r="1913" customFormat="false" ht="15" hidden="false" customHeight="true" outlineLevel="0" collapsed="false">
      <c r="A1913" s="1" t="s">
        <v>2764</v>
      </c>
      <c r="B1913" s="1" t="s">
        <v>692</v>
      </c>
      <c r="C1913" s="1" t="s">
        <v>65</v>
      </c>
      <c r="D1913" s="1" t="s">
        <v>80</v>
      </c>
      <c r="E1913" s="1" t="s">
        <v>81</v>
      </c>
      <c r="F1913" s="1" t="s">
        <v>194</v>
      </c>
      <c r="G1913" s="1" t="s">
        <v>103</v>
      </c>
      <c r="H1913" s="1" t="s">
        <v>69</v>
      </c>
      <c r="I1913" s="1" t="s">
        <v>58</v>
      </c>
      <c r="J1913" s="1" t="s">
        <v>131</v>
      </c>
      <c r="K1913" s="1" t="s">
        <v>104</v>
      </c>
      <c r="L1913" s="1" t="s">
        <v>49</v>
      </c>
      <c r="M1913" s="1" t="s">
        <v>38</v>
      </c>
      <c r="N1913" s="1" t="n">
        <v>12999</v>
      </c>
      <c r="O1913" s="1" t="n">
        <v>15</v>
      </c>
      <c r="P1913" s="1" t="n">
        <v>1949.85</v>
      </c>
      <c r="Q1913" s="1" t="n">
        <v>11049.15</v>
      </c>
      <c r="R1913" s="1" t="n">
        <v>1988.85</v>
      </c>
      <c r="S1913" s="1" t="n">
        <v>9060.3</v>
      </c>
      <c r="T1913" s="1" t="n">
        <v>3411.91</v>
      </c>
      <c r="U1913" s="1" t="n">
        <v>5648.39</v>
      </c>
      <c r="V1913" s="1" t="n">
        <v>62.34</v>
      </c>
      <c r="W1913" s="1" t="s">
        <v>39</v>
      </c>
      <c r="X1913" s="1" t="n">
        <v>3.5</v>
      </c>
      <c r="Y1913" s="1" t="s">
        <v>39</v>
      </c>
      <c r="Z1913" s="1" t="n">
        <v>1</v>
      </c>
      <c r="AA1913" s="1" t="str">
        <f aca="false">TRIM(PROPER(F1913))</f>
        <v>Hyderabad</v>
      </c>
      <c r="AB1913" s="1" t="str">
        <f aca="false">TRIM(PROPER(C1913))</f>
        <v>Toppr</v>
      </c>
      <c r="AC1913" s="1" t="str">
        <f aca="false">IF(O1913=0,"No Discount",IF(O1913&lt;=15,"Low (1-15%)",IF(O1913&lt;=30,"Medium (16-30%)","High (&gt;30%)")))</f>
        <v>Low (1-15%)</v>
      </c>
      <c r="AD1913" s="1" t="str">
        <f aca="false">IF(V1913&lt;0,"Loss Making",IF(V1913&lt;20,"Low Margin","Healthy Margin"))</f>
        <v>Healthy Margin</v>
      </c>
      <c r="AE1913" s="1" t="str">
        <f aca="false">TEXT(DATE(VALUE(RIGHT(B1913,4)),VALUE(MID(B1913,4,2)),VALUE(LEFT(B1913,2))),"MMM-YYYY")</f>
        <v>Jan-2024</v>
      </c>
      <c r="AF1913" s="1" t="n">
        <f aca="false">VALUE(RIGHT(B1913,4))</f>
        <v>2024</v>
      </c>
      <c r="AG1913" s="1" t="str">
        <f aca="false">CHOOSE(ROUNDUP(VALUE(MID(B1913,4,2))/3,0),"Q1","Q2","Q3","Q4")</f>
        <v>Q1</v>
      </c>
    </row>
    <row r="1914" customFormat="false" ht="15" hidden="false" customHeight="true" outlineLevel="0" collapsed="false">
      <c r="A1914" s="1" t="s">
        <v>2765</v>
      </c>
      <c r="B1914" s="1" t="s">
        <v>845</v>
      </c>
      <c r="C1914" s="1" t="s">
        <v>74</v>
      </c>
      <c r="D1914" s="1" t="s">
        <v>168</v>
      </c>
      <c r="E1914" s="1" t="s">
        <v>169</v>
      </c>
      <c r="F1914" s="1" t="s">
        <v>194</v>
      </c>
      <c r="G1914" s="1" t="s">
        <v>103</v>
      </c>
      <c r="H1914" s="1" t="s">
        <v>69</v>
      </c>
      <c r="I1914" s="1" t="s">
        <v>58</v>
      </c>
      <c r="J1914" s="1" t="s">
        <v>70</v>
      </c>
      <c r="K1914" s="1" t="s">
        <v>36</v>
      </c>
      <c r="L1914" s="1" t="s">
        <v>136</v>
      </c>
      <c r="M1914" s="1" t="s">
        <v>62</v>
      </c>
      <c r="N1914" s="1" t="n">
        <v>4999</v>
      </c>
      <c r="O1914" s="1" t="n">
        <v>0</v>
      </c>
      <c r="P1914" s="1" t="n">
        <v>0</v>
      </c>
      <c r="Q1914" s="1" t="n">
        <v>4999</v>
      </c>
      <c r="R1914" s="1" t="n">
        <v>899.82</v>
      </c>
      <c r="S1914" s="1" t="n">
        <v>4099.18</v>
      </c>
      <c r="T1914" s="1" t="n">
        <v>1291.11</v>
      </c>
      <c r="U1914" s="1" t="n">
        <v>2808.07</v>
      </c>
      <c r="V1914" s="1" t="n">
        <v>68.5</v>
      </c>
      <c r="W1914" s="1" t="s">
        <v>39</v>
      </c>
      <c r="X1914" s="1" t="n">
        <v>3.6</v>
      </c>
      <c r="Y1914" s="1" t="s">
        <v>40</v>
      </c>
      <c r="Z1914" s="1" t="n">
        <v>1</v>
      </c>
      <c r="AA1914" s="1" t="str">
        <f aca="false">TRIM(PROPER(F1914))</f>
        <v>Hyderabad</v>
      </c>
      <c r="AB1914" s="1" t="str">
        <f aca="false">TRIM(PROPER(C1914))</f>
        <v>Vedantu</v>
      </c>
      <c r="AC1914" s="1" t="str">
        <f aca="false">IF(O1914=0,"No Discount",IF(O1914&lt;=15,"Low (1-15%)",IF(O1914&lt;=30,"Medium (16-30%)","High (&gt;30%)")))</f>
        <v>No Discount</v>
      </c>
      <c r="AD1914" s="1" t="str">
        <f aca="false">IF(V1914&lt;0,"Loss Making",IF(V1914&lt;20,"Low Margin","Healthy Margin"))</f>
        <v>Healthy Margin</v>
      </c>
      <c r="AE1914" s="1" t="str">
        <f aca="false">TEXT(DATE(VALUE(RIGHT(B1914,4)),VALUE(MID(B1914,4,2)),VALUE(LEFT(B1914,2))),"MMM-YYYY")</f>
        <v>Mar-2024</v>
      </c>
      <c r="AF1914" s="1" t="n">
        <f aca="false">VALUE(RIGHT(B1914,4))</f>
        <v>2024</v>
      </c>
      <c r="AG1914" s="1" t="str">
        <f aca="false">CHOOSE(ROUNDUP(VALUE(MID(B1914,4,2))/3,0),"Q1","Q2","Q3","Q4")</f>
        <v>Q1</v>
      </c>
    </row>
    <row r="1915" customFormat="false" ht="15" hidden="false" customHeight="true" outlineLevel="0" collapsed="false">
      <c r="A1915" s="1" t="s">
        <v>2766</v>
      </c>
      <c r="B1915" s="1" t="s">
        <v>1847</v>
      </c>
      <c r="C1915" s="1" t="s">
        <v>249</v>
      </c>
      <c r="D1915" s="1" t="s">
        <v>168</v>
      </c>
      <c r="E1915" s="1" t="s">
        <v>172</v>
      </c>
      <c r="F1915" s="1" t="s">
        <v>184</v>
      </c>
      <c r="G1915" s="1" t="s">
        <v>56</v>
      </c>
      <c r="H1915" s="1" t="s">
        <v>57</v>
      </c>
      <c r="I1915" s="1" t="s">
        <v>34</v>
      </c>
      <c r="J1915" s="1" t="s">
        <v>77</v>
      </c>
      <c r="K1915" s="1" t="s">
        <v>90</v>
      </c>
      <c r="L1915" s="1" t="s">
        <v>37</v>
      </c>
      <c r="M1915" s="1" t="s">
        <v>62</v>
      </c>
      <c r="N1915" s="1" t="n">
        <v>6999</v>
      </c>
      <c r="O1915" s="1" t="n">
        <v>0</v>
      </c>
      <c r="P1915" s="1" t="n">
        <v>0</v>
      </c>
      <c r="Q1915" s="1" t="n">
        <v>6999</v>
      </c>
      <c r="R1915" s="1" t="n">
        <v>1259.82</v>
      </c>
      <c r="S1915" s="1" t="n">
        <v>5739.18</v>
      </c>
      <c r="T1915" s="1" t="n">
        <v>2757.44</v>
      </c>
      <c r="U1915" s="1" t="n">
        <v>2981.74</v>
      </c>
      <c r="V1915" s="1" t="n">
        <v>51.95</v>
      </c>
      <c r="W1915" s="1" t="s">
        <v>39</v>
      </c>
      <c r="X1915" s="1" t="n">
        <v>3.4</v>
      </c>
      <c r="Y1915" s="1" t="s">
        <v>40</v>
      </c>
      <c r="Z1915" s="1" t="n">
        <v>1</v>
      </c>
      <c r="AA1915" s="1" t="str">
        <f aca="false">TRIM(PROPER(F1915))</f>
        <v>Faridabad</v>
      </c>
      <c r="AB1915" s="1" t="str">
        <f aca="false">TRIM(PROPER(C1915))</f>
        <v>Whitehat Jr</v>
      </c>
      <c r="AC1915" s="1" t="str">
        <f aca="false">IF(O1915=0,"No Discount",IF(O1915&lt;=15,"Low (1-15%)",IF(O1915&lt;=30,"Medium (16-30%)","High (&gt;30%)")))</f>
        <v>No Discount</v>
      </c>
      <c r="AD1915" s="1" t="str">
        <f aca="false">IF(V1915&lt;0,"Loss Making",IF(V1915&lt;20,"Low Margin","Healthy Margin"))</f>
        <v>Healthy Margin</v>
      </c>
      <c r="AE1915" s="1" t="str">
        <f aca="false">TEXT(DATE(VALUE(RIGHT(B1915,4)),VALUE(MID(B1915,4,2)),VALUE(LEFT(B1915,2))),"MMM-YYYY")</f>
        <v>Jul-2023</v>
      </c>
      <c r="AF1915" s="1" t="n">
        <f aca="false">VALUE(RIGHT(B1915,4))</f>
        <v>2023</v>
      </c>
      <c r="AG1915" s="1" t="str">
        <f aca="false">CHOOSE(ROUNDUP(VALUE(MID(B1915,4,2))/3,0),"Q1","Q2","Q3","Q4")</f>
        <v>Q3</v>
      </c>
    </row>
    <row r="1916" customFormat="false" ht="15" hidden="false" customHeight="true" outlineLevel="0" collapsed="false">
      <c r="A1916" s="1" t="s">
        <v>2767</v>
      </c>
      <c r="B1916" s="1" t="s">
        <v>2518</v>
      </c>
      <c r="C1916" s="1" t="s">
        <v>167</v>
      </c>
      <c r="D1916" s="1" t="s">
        <v>94</v>
      </c>
      <c r="E1916" s="1" t="s">
        <v>135</v>
      </c>
      <c r="F1916" s="1" t="s">
        <v>150</v>
      </c>
      <c r="G1916" s="1" t="s">
        <v>32</v>
      </c>
      <c r="H1916" s="1" t="s">
        <v>57</v>
      </c>
      <c r="I1916" s="1" t="s">
        <v>83</v>
      </c>
      <c r="J1916" s="1" t="s">
        <v>35</v>
      </c>
      <c r="K1916" s="1" t="s">
        <v>112</v>
      </c>
      <c r="L1916" s="1" t="s">
        <v>37</v>
      </c>
      <c r="M1916" s="1" t="s">
        <v>38</v>
      </c>
      <c r="N1916" s="1" t="n">
        <v>9999</v>
      </c>
      <c r="O1916" s="1" t="n">
        <v>0</v>
      </c>
      <c r="P1916" s="1" t="n">
        <v>0</v>
      </c>
      <c r="Q1916" s="1" t="n">
        <v>9999</v>
      </c>
      <c r="R1916" s="1" t="n">
        <v>1799.82</v>
      </c>
      <c r="S1916" s="1" t="n">
        <v>8199.18</v>
      </c>
      <c r="T1916" s="1" t="n">
        <v>3488.54</v>
      </c>
      <c r="U1916" s="1" t="n">
        <v>4710.64</v>
      </c>
      <c r="V1916" s="1" t="n">
        <v>57.45</v>
      </c>
      <c r="W1916" s="1" t="s">
        <v>40</v>
      </c>
      <c r="Y1916" s="1" t="s">
        <v>40</v>
      </c>
      <c r="Z1916" s="1" t="n">
        <v>1</v>
      </c>
      <c r="AA1916" s="1" t="str">
        <f aca="false">TRIM(PROPER(F1916))</f>
        <v>Jaipur</v>
      </c>
      <c r="AB1916" s="1" t="str">
        <f aca="false">TRIM(PROPER(C1916))</f>
        <v>Scaler</v>
      </c>
      <c r="AC1916" s="1" t="str">
        <f aca="false">IF(O1916=0,"No Discount",IF(O1916&lt;=15,"Low (1-15%)",IF(O1916&lt;=30,"Medium (16-30%)","High (&gt;30%)")))</f>
        <v>No Discount</v>
      </c>
      <c r="AD1916" s="1" t="str">
        <f aca="false">IF(V1916&lt;0,"Loss Making",IF(V1916&lt;20,"Low Margin","Healthy Margin"))</f>
        <v>Healthy Margin</v>
      </c>
      <c r="AE1916" s="1" t="str">
        <f aca="false">TEXT(DATE(VALUE(RIGHT(B1916,4)),VALUE(MID(B1916,4,2)),VALUE(LEFT(B1916,2))),"MMM-YYYY")</f>
        <v>Sep-2024</v>
      </c>
      <c r="AF1916" s="1" t="n">
        <f aca="false">VALUE(RIGHT(B1916,4))</f>
        <v>2024</v>
      </c>
      <c r="AG1916" s="1" t="str">
        <f aca="false">CHOOSE(ROUNDUP(VALUE(MID(B1916,4,2))/3,0),"Q1","Q2","Q3","Q4")</f>
        <v>Q3</v>
      </c>
    </row>
    <row r="1917" customFormat="false" ht="15" hidden="false" customHeight="true" outlineLevel="0" collapsed="false">
      <c r="A1917" s="1" t="s">
        <v>2768</v>
      </c>
      <c r="B1917" s="1" t="s">
        <v>292</v>
      </c>
      <c r="C1917" s="1" t="s">
        <v>264</v>
      </c>
      <c r="D1917" s="1" t="s">
        <v>53</v>
      </c>
      <c r="E1917" s="1" t="s">
        <v>116</v>
      </c>
      <c r="F1917" s="1" t="s">
        <v>46</v>
      </c>
      <c r="G1917" s="1" t="s">
        <v>47</v>
      </c>
      <c r="H1917" s="1" t="s">
        <v>33</v>
      </c>
      <c r="I1917" s="1" t="s">
        <v>34</v>
      </c>
      <c r="J1917" s="1" t="s">
        <v>77</v>
      </c>
      <c r="K1917" s="1" t="s">
        <v>112</v>
      </c>
      <c r="L1917" s="1" t="s">
        <v>61</v>
      </c>
      <c r="M1917" s="1" t="s">
        <v>62</v>
      </c>
      <c r="N1917" s="1" t="n">
        <v>9999</v>
      </c>
      <c r="O1917" s="1" t="n">
        <v>5</v>
      </c>
      <c r="P1917" s="1" t="n">
        <v>499.95</v>
      </c>
      <c r="Q1917" s="1" t="n">
        <v>9499.05</v>
      </c>
      <c r="R1917" s="1" t="n">
        <v>1709.83</v>
      </c>
      <c r="S1917" s="1" t="n">
        <v>7789.22</v>
      </c>
      <c r="T1917" s="1" t="n">
        <v>3424.97</v>
      </c>
      <c r="U1917" s="1" t="n">
        <v>4364.25</v>
      </c>
      <c r="V1917" s="1" t="n">
        <v>56.03</v>
      </c>
      <c r="W1917" s="1" t="s">
        <v>39</v>
      </c>
      <c r="X1917" s="1" t="n">
        <v>3.6</v>
      </c>
      <c r="Y1917" s="1" t="s">
        <v>40</v>
      </c>
      <c r="Z1917" s="1" t="n">
        <v>0</v>
      </c>
      <c r="AA1917" s="1" t="str">
        <f aca="false">TRIM(PROPER(F1917))</f>
        <v>Mangaluru</v>
      </c>
      <c r="AB1917" s="1" t="str">
        <f aca="false">TRIM(PROPER(C1917))</f>
        <v>Unacademy</v>
      </c>
      <c r="AC1917" s="1" t="str">
        <f aca="false">IF(O1917=0,"No Discount",IF(O1917&lt;=15,"Low (1-15%)",IF(O1917&lt;=30,"Medium (16-30%)","High (&gt;30%)")))</f>
        <v>Low (1-15%)</v>
      </c>
      <c r="AD1917" s="1" t="str">
        <f aca="false">IF(V1917&lt;0,"Loss Making",IF(V1917&lt;20,"Low Margin","Healthy Margin"))</f>
        <v>Healthy Margin</v>
      </c>
      <c r="AE1917" s="1" t="str">
        <f aca="false">TEXT(DATE(VALUE(RIGHT(B1917,4)),VALUE(MID(B1917,4,2)),VALUE(LEFT(B1917,2))),"MMM-YYYY")</f>
        <v>Oct-2023</v>
      </c>
      <c r="AF1917" s="1" t="n">
        <f aca="false">VALUE(RIGHT(B1917,4))</f>
        <v>2023</v>
      </c>
      <c r="AG1917" s="1" t="str">
        <f aca="false">CHOOSE(ROUNDUP(VALUE(MID(B1917,4,2))/3,0),"Q1","Q2","Q3","Q4")</f>
        <v>Q4</v>
      </c>
    </row>
    <row r="1918" customFormat="false" ht="15" hidden="false" customHeight="true" outlineLevel="0" collapsed="false">
      <c r="A1918" s="1" t="s">
        <v>2769</v>
      </c>
      <c r="B1918" s="1" t="s">
        <v>760</v>
      </c>
      <c r="C1918" s="1" t="s">
        <v>128</v>
      </c>
      <c r="D1918" s="1" t="s">
        <v>94</v>
      </c>
      <c r="E1918" s="1" t="s">
        <v>101</v>
      </c>
      <c r="F1918" s="1" t="s">
        <v>67</v>
      </c>
      <c r="G1918" s="1" t="s">
        <v>68</v>
      </c>
      <c r="H1918" s="1" t="s">
        <v>69</v>
      </c>
      <c r="I1918" s="1" t="s">
        <v>83</v>
      </c>
      <c r="J1918" s="1" t="s">
        <v>35</v>
      </c>
      <c r="K1918" s="1" t="s">
        <v>90</v>
      </c>
      <c r="L1918" s="1" t="s">
        <v>37</v>
      </c>
      <c r="M1918" s="1" t="s">
        <v>62</v>
      </c>
      <c r="N1918" s="1" t="n">
        <v>14999</v>
      </c>
      <c r="O1918" s="1" t="n">
        <v>0</v>
      </c>
      <c r="P1918" s="1" t="n">
        <v>0</v>
      </c>
      <c r="Q1918" s="1" t="n">
        <v>14999</v>
      </c>
      <c r="R1918" s="1" t="n">
        <v>2699.82</v>
      </c>
      <c r="S1918" s="1" t="n">
        <v>12299.18</v>
      </c>
      <c r="T1918" s="1" t="n">
        <v>5456.42</v>
      </c>
      <c r="U1918" s="1" t="n">
        <v>6842.76</v>
      </c>
      <c r="V1918" s="1" t="n">
        <v>55.64</v>
      </c>
      <c r="W1918" s="1" t="s">
        <v>40</v>
      </c>
      <c r="Y1918" s="1" t="s">
        <v>40</v>
      </c>
      <c r="Z1918" s="1" t="n">
        <v>0</v>
      </c>
      <c r="AA1918" s="1" t="str">
        <f aca="false">TRIM(PROPER(F1918))</f>
        <v>Ahmedabad</v>
      </c>
      <c r="AB1918" s="1" t="str">
        <f aca="false">TRIM(PROPER(C1918))</f>
        <v>Great Learning</v>
      </c>
      <c r="AC1918" s="1" t="str">
        <f aca="false">IF(O1918=0,"No Discount",IF(O1918&lt;=15,"Low (1-15%)",IF(O1918&lt;=30,"Medium (16-30%)","High (&gt;30%)")))</f>
        <v>No Discount</v>
      </c>
      <c r="AD1918" s="1" t="str">
        <f aca="false">IF(V1918&lt;0,"Loss Making",IF(V1918&lt;20,"Low Margin","Healthy Margin"))</f>
        <v>Healthy Margin</v>
      </c>
      <c r="AE1918" s="1" t="str">
        <f aca="false">TEXT(DATE(VALUE(RIGHT(B1918,4)),VALUE(MID(B1918,4,2)),VALUE(LEFT(B1918,2))),"MMM-YYYY")</f>
        <v>Dec-2024</v>
      </c>
      <c r="AF1918" s="1" t="n">
        <f aca="false">VALUE(RIGHT(B1918,4))</f>
        <v>2024</v>
      </c>
      <c r="AG1918" s="1" t="str">
        <f aca="false">CHOOSE(ROUNDUP(VALUE(MID(B1918,4,2))/3,0),"Q1","Q2","Q3","Q4")</f>
        <v>Q4</v>
      </c>
    </row>
    <row r="1919" customFormat="false" ht="15" hidden="false" customHeight="true" outlineLevel="0" collapsed="false">
      <c r="A1919" s="1" t="s">
        <v>2770</v>
      </c>
      <c r="B1919" s="1" t="s">
        <v>885</v>
      </c>
      <c r="C1919" s="1" t="s">
        <v>28</v>
      </c>
      <c r="D1919" s="1" t="s">
        <v>53</v>
      </c>
      <c r="E1919" s="1" t="s">
        <v>54</v>
      </c>
      <c r="F1919" s="1" t="s">
        <v>125</v>
      </c>
      <c r="G1919" s="1" t="s">
        <v>108</v>
      </c>
      <c r="H1919" s="1" t="s">
        <v>69</v>
      </c>
      <c r="I1919" s="1" t="s">
        <v>58</v>
      </c>
      <c r="J1919" s="1" t="s">
        <v>131</v>
      </c>
      <c r="K1919" s="1" t="s">
        <v>104</v>
      </c>
      <c r="L1919" s="1" t="s">
        <v>61</v>
      </c>
      <c r="M1919" s="1" t="s">
        <v>50</v>
      </c>
      <c r="N1919" s="1" t="n">
        <v>11999</v>
      </c>
      <c r="O1919" s="1" t="n">
        <v>0</v>
      </c>
      <c r="P1919" s="1" t="n">
        <v>0</v>
      </c>
      <c r="Q1919" s="1" t="n">
        <v>11999</v>
      </c>
      <c r="R1919" s="1" t="n">
        <v>2159.82</v>
      </c>
      <c r="S1919" s="1" t="n">
        <v>9839.18</v>
      </c>
      <c r="T1919" s="1" t="n">
        <v>4412.66</v>
      </c>
      <c r="U1919" s="1" t="n">
        <v>5426.52</v>
      </c>
      <c r="V1919" s="1" t="n">
        <v>55.15</v>
      </c>
      <c r="W1919" s="1" t="s">
        <v>39</v>
      </c>
      <c r="X1919" s="1" t="n">
        <v>3.8</v>
      </c>
      <c r="Y1919" s="1" t="s">
        <v>40</v>
      </c>
      <c r="Z1919" s="1" t="n">
        <v>0</v>
      </c>
      <c r="AA1919" s="1" t="str">
        <f aca="false">TRIM(PROPER(F1919))</f>
        <v>Chennai</v>
      </c>
      <c r="AB1919" s="1" t="str">
        <f aca="false">TRIM(PROPER(C1919))</f>
        <v>Embibe</v>
      </c>
      <c r="AC1919" s="1" t="str">
        <f aca="false">IF(O1919=0,"No Discount",IF(O1919&lt;=15,"Low (1-15%)",IF(O1919&lt;=30,"Medium (16-30%)","High (&gt;30%)")))</f>
        <v>No Discount</v>
      </c>
      <c r="AD1919" s="1" t="str">
        <f aca="false">IF(V1919&lt;0,"Loss Making",IF(V1919&lt;20,"Low Margin","Healthy Margin"))</f>
        <v>Healthy Margin</v>
      </c>
      <c r="AE1919" s="1" t="str">
        <f aca="false">TEXT(DATE(VALUE(RIGHT(B1919,4)),VALUE(MID(B1919,4,2)),VALUE(LEFT(B1919,2))),"MMM-YYYY")</f>
        <v>Jan-2023</v>
      </c>
      <c r="AF1919" s="1" t="n">
        <f aca="false">VALUE(RIGHT(B1919,4))</f>
        <v>2023</v>
      </c>
      <c r="AG1919" s="1" t="str">
        <f aca="false">CHOOSE(ROUNDUP(VALUE(MID(B1919,4,2))/3,0),"Q1","Q2","Q3","Q4")</f>
        <v>Q1</v>
      </c>
    </row>
    <row r="1920" customFormat="false" ht="15" hidden="false" customHeight="true" outlineLevel="0" collapsed="false">
      <c r="A1920" s="1" t="s">
        <v>2771</v>
      </c>
      <c r="B1920" s="1" t="s">
        <v>1331</v>
      </c>
      <c r="C1920" s="1" t="s">
        <v>28</v>
      </c>
      <c r="D1920" s="1" t="s">
        <v>123</v>
      </c>
      <c r="E1920" s="1" t="s">
        <v>147</v>
      </c>
      <c r="F1920" s="1" t="s">
        <v>184</v>
      </c>
      <c r="G1920" s="1" t="s">
        <v>56</v>
      </c>
      <c r="H1920" s="1" t="s">
        <v>57</v>
      </c>
      <c r="I1920" s="1" t="s">
        <v>58</v>
      </c>
      <c r="J1920" s="1" t="s">
        <v>59</v>
      </c>
      <c r="K1920" s="1" t="s">
        <v>84</v>
      </c>
      <c r="L1920" s="1" t="s">
        <v>61</v>
      </c>
      <c r="M1920" s="1" t="s">
        <v>62</v>
      </c>
      <c r="N1920" s="1" t="n">
        <v>6999</v>
      </c>
      <c r="O1920" s="1" t="n">
        <v>30</v>
      </c>
      <c r="P1920" s="1" t="n">
        <v>2099.7</v>
      </c>
      <c r="Q1920" s="1" t="n">
        <v>4899.3</v>
      </c>
      <c r="R1920" s="1" t="n">
        <v>881.87</v>
      </c>
      <c r="S1920" s="1" t="n">
        <v>4017.43</v>
      </c>
      <c r="T1920" s="1" t="n">
        <v>2111.88</v>
      </c>
      <c r="U1920" s="1" t="n">
        <v>1905.55</v>
      </c>
      <c r="V1920" s="1" t="n">
        <v>47.43</v>
      </c>
      <c r="W1920" s="1" t="s">
        <v>40</v>
      </c>
      <c r="Y1920" s="1" t="s">
        <v>40</v>
      </c>
      <c r="Z1920" s="1" t="n">
        <v>1</v>
      </c>
      <c r="AA1920" s="1" t="str">
        <f aca="false">TRIM(PROPER(F1920))</f>
        <v>Faridabad</v>
      </c>
      <c r="AB1920" s="1" t="str">
        <f aca="false">TRIM(PROPER(C1920))</f>
        <v>Embibe</v>
      </c>
      <c r="AC1920" s="1" t="str">
        <f aca="false">IF(O1920=0,"No Discount",IF(O1920&lt;=15,"Low (1-15%)",IF(O1920&lt;=30,"Medium (16-30%)","High (&gt;30%)")))</f>
        <v>Medium (16-30%)</v>
      </c>
      <c r="AD1920" s="1" t="str">
        <f aca="false">IF(V1920&lt;0,"Loss Making",IF(V1920&lt;20,"Low Margin","Healthy Margin"))</f>
        <v>Healthy Margin</v>
      </c>
      <c r="AE1920" s="1" t="str">
        <f aca="false">TEXT(DATE(VALUE(RIGHT(B1920,4)),VALUE(MID(B1920,4,2)),VALUE(LEFT(B1920,2))),"MMM-YYYY")</f>
        <v>Sep-2024</v>
      </c>
      <c r="AF1920" s="1" t="n">
        <f aca="false">VALUE(RIGHT(B1920,4))</f>
        <v>2024</v>
      </c>
      <c r="AG1920" s="1" t="str">
        <f aca="false">CHOOSE(ROUNDUP(VALUE(MID(B1920,4,2))/3,0),"Q1","Q2","Q3","Q4")</f>
        <v>Q3</v>
      </c>
    </row>
    <row r="1921" customFormat="false" ht="15" hidden="false" customHeight="true" outlineLevel="0" collapsed="false">
      <c r="A1921" s="1" t="s">
        <v>2772</v>
      </c>
      <c r="B1921" s="1" t="s">
        <v>180</v>
      </c>
      <c r="C1921" s="1" t="s">
        <v>178</v>
      </c>
      <c r="D1921" s="1" t="s">
        <v>29</v>
      </c>
      <c r="E1921" s="1" t="s">
        <v>305</v>
      </c>
      <c r="F1921" s="1" t="s">
        <v>31</v>
      </c>
      <c r="G1921" s="1" t="s">
        <v>32</v>
      </c>
      <c r="H1921" s="1" t="s">
        <v>33</v>
      </c>
      <c r="I1921" s="1" t="s">
        <v>58</v>
      </c>
      <c r="J1921" s="1" t="s">
        <v>70</v>
      </c>
      <c r="K1921" s="1" t="s">
        <v>104</v>
      </c>
      <c r="L1921" s="1" t="s">
        <v>136</v>
      </c>
      <c r="M1921" s="1" t="s">
        <v>38</v>
      </c>
      <c r="N1921" s="1" t="n">
        <v>24999</v>
      </c>
      <c r="O1921" s="1" t="n">
        <v>0</v>
      </c>
      <c r="P1921" s="1" t="n">
        <v>0</v>
      </c>
      <c r="Q1921" s="1" t="n">
        <v>24999</v>
      </c>
      <c r="R1921" s="1" t="n">
        <v>4499.82</v>
      </c>
      <c r="S1921" s="1" t="n">
        <v>20499.18</v>
      </c>
      <c r="T1921" s="1" t="n">
        <v>7744.25</v>
      </c>
      <c r="U1921" s="1" t="n">
        <v>12754.93</v>
      </c>
      <c r="V1921" s="1" t="n">
        <v>62.22</v>
      </c>
      <c r="W1921" s="1" t="s">
        <v>39</v>
      </c>
      <c r="X1921" s="1" t="n">
        <v>4</v>
      </c>
      <c r="Y1921" s="1" t="s">
        <v>39</v>
      </c>
      <c r="Z1921" s="1" t="n">
        <v>0</v>
      </c>
      <c r="AA1921" s="1" t="str">
        <f aca="false">TRIM(PROPER(F1921))</f>
        <v>Jodhpur</v>
      </c>
      <c r="AB1921" s="1" t="str">
        <f aca="false">TRIM(PROPER(C1921))</f>
        <v>Leverage Edu</v>
      </c>
      <c r="AC1921" s="1" t="str">
        <f aca="false">IF(O1921=0,"No Discount",IF(O1921&lt;=15,"Low (1-15%)",IF(O1921&lt;=30,"Medium (16-30%)","High (&gt;30%)")))</f>
        <v>No Discount</v>
      </c>
      <c r="AD1921" s="1" t="str">
        <f aca="false">IF(V1921&lt;0,"Loss Making",IF(V1921&lt;20,"Low Margin","Healthy Margin"))</f>
        <v>Healthy Margin</v>
      </c>
      <c r="AE1921" s="1" t="str">
        <f aca="false">TEXT(DATE(VALUE(RIGHT(B1921,4)),VALUE(MID(B1921,4,2)),VALUE(LEFT(B1921,2))),"MMM-YYYY")</f>
        <v>Apr-2024</v>
      </c>
      <c r="AF1921" s="1" t="n">
        <f aca="false">VALUE(RIGHT(B1921,4))</f>
        <v>2024</v>
      </c>
      <c r="AG1921" s="1" t="str">
        <f aca="false">CHOOSE(ROUNDUP(VALUE(MID(B1921,4,2))/3,0),"Q1","Q2","Q3","Q4")</f>
        <v>Q2</v>
      </c>
    </row>
    <row r="1922" customFormat="false" ht="15" hidden="false" customHeight="true" outlineLevel="0" collapsed="false">
      <c r="A1922" s="1" t="s">
        <v>2773</v>
      </c>
      <c r="B1922" s="1" t="s">
        <v>1458</v>
      </c>
      <c r="C1922" s="1" t="s">
        <v>134</v>
      </c>
      <c r="D1922" s="1" t="s">
        <v>123</v>
      </c>
      <c r="E1922" s="1" t="s">
        <v>147</v>
      </c>
      <c r="F1922" s="1" t="s">
        <v>150</v>
      </c>
      <c r="G1922" s="1" t="s">
        <v>32</v>
      </c>
      <c r="H1922" s="1" t="s">
        <v>57</v>
      </c>
      <c r="I1922" s="1" t="s">
        <v>34</v>
      </c>
      <c r="J1922" s="1" t="s">
        <v>35</v>
      </c>
      <c r="K1922" s="1" t="s">
        <v>90</v>
      </c>
      <c r="L1922" s="1" t="s">
        <v>113</v>
      </c>
      <c r="M1922" s="1" t="s">
        <v>50</v>
      </c>
      <c r="N1922" s="1" t="n">
        <v>6999</v>
      </c>
      <c r="O1922" s="1" t="n">
        <v>0</v>
      </c>
      <c r="P1922" s="1" t="n">
        <v>0</v>
      </c>
      <c r="Q1922" s="1" t="n">
        <v>6999</v>
      </c>
      <c r="R1922" s="1" t="n">
        <v>1259.82</v>
      </c>
      <c r="S1922" s="1" t="n">
        <v>5739.18</v>
      </c>
      <c r="T1922" s="1" t="n">
        <v>2698.39</v>
      </c>
      <c r="U1922" s="1" t="n">
        <v>3040.79</v>
      </c>
      <c r="V1922" s="1" t="n">
        <v>52.98</v>
      </c>
      <c r="W1922" s="1" t="s">
        <v>39</v>
      </c>
      <c r="X1922" s="1" t="n">
        <v>3.2</v>
      </c>
      <c r="Y1922" s="1" t="s">
        <v>40</v>
      </c>
      <c r="Z1922" s="1" t="n">
        <v>0</v>
      </c>
      <c r="AA1922" s="1" t="str">
        <f aca="false">TRIM(PROPER(F1922))</f>
        <v>Jaipur</v>
      </c>
      <c r="AB1922" s="1" t="str">
        <f aca="false">TRIM(PROPER(C1922))</f>
        <v>Doubtnut</v>
      </c>
      <c r="AC1922" s="1" t="str">
        <f aca="false">IF(O1922=0,"No Discount",IF(O1922&lt;=15,"Low (1-15%)",IF(O1922&lt;=30,"Medium (16-30%)","High (&gt;30%)")))</f>
        <v>No Discount</v>
      </c>
      <c r="AD1922" s="1" t="str">
        <f aca="false">IF(V1922&lt;0,"Loss Making",IF(V1922&lt;20,"Low Margin","Healthy Margin"))</f>
        <v>Healthy Margin</v>
      </c>
      <c r="AE1922" s="1" t="str">
        <f aca="false">TEXT(DATE(VALUE(RIGHT(B1922,4)),VALUE(MID(B1922,4,2)),VALUE(LEFT(B1922,2))),"MMM-YYYY")</f>
        <v>Apr-2023</v>
      </c>
      <c r="AF1922" s="1" t="n">
        <f aca="false">VALUE(RIGHT(B1922,4))</f>
        <v>2023</v>
      </c>
      <c r="AG1922" s="1" t="str">
        <f aca="false">CHOOSE(ROUNDUP(VALUE(MID(B1922,4,2))/3,0),"Q1","Q2","Q3","Q4")</f>
        <v>Q2</v>
      </c>
    </row>
    <row r="1923" customFormat="false" ht="15" hidden="false" customHeight="true" outlineLevel="0" collapsed="false">
      <c r="A1923" s="1" t="s">
        <v>2774</v>
      </c>
      <c r="B1923" s="1" t="s">
        <v>87</v>
      </c>
      <c r="C1923" s="1" t="s">
        <v>178</v>
      </c>
      <c r="D1923" s="1" t="s">
        <v>168</v>
      </c>
      <c r="E1923" s="1" t="s">
        <v>169</v>
      </c>
      <c r="F1923" s="1" t="s">
        <v>120</v>
      </c>
      <c r="G1923" s="1" t="s">
        <v>47</v>
      </c>
      <c r="H1923" s="1" t="s">
        <v>57</v>
      </c>
      <c r="I1923" s="1" t="s">
        <v>83</v>
      </c>
      <c r="J1923" s="1" t="s">
        <v>131</v>
      </c>
      <c r="K1923" s="1" t="s">
        <v>84</v>
      </c>
      <c r="L1923" s="1" t="s">
        <v>136</v>
      </c>
      <c r="M1923" s="1" t="s">
        <v>62</v>
      </c>
      <c r="N1923" s="1" t="n">
        <v>4999</v>
      </c>
      <c r="O1923" s="1" t="n">
        <v>0</v>
      </c>
      <c r="P1923" s="1" t="n">
        <v>0</v>
      </c>
      <c r="Q1923" s="1" t="n">
        <v>4999</v>
      </c>
      <c r="R1923" s="1" t="n">
        <v>899.82</v>
      </c>
      <c r="S1923" s="1" t="n">
        <v>4099.18</v>
      </c>
      <c r="T1923" s="1" t="n">
        <v>1640.48</v>
      </c>
      <c r="U1923" s="1" t="n">
        <v>2458.7</v>
      </c>
      <c r="V1923" s="1" t="n">
        <v>59.98</v>
      </c>
      <c r="W1923" s="1" t="s">
        <v>39</v>
      </c>
      <c r="X1923" s="1" t="n">
        <v>3.3</v>
      </c>
      <c r="Y1923" s="1" t="s">
        <v>40</v>
      </c>
      <c r="Z1923" s="1" t="n">
        <v>1</v>
      </c>
      <c r="AA1923" s="1" t="str">
        <f aca="false">TRIM(PROPER(F1923))</f>
        <v>Mysuru</v>
      </c>
      <c r="AB1923" s="1" t="str">
        <f aca="false">TRIM(PROPER(C1923))</f>
        <v>Leverage Edu</v>
      </c>
      <c r="AC1923" s="1" t="str">
        <f aca="false">IF(O1923=0,"No Discount",IF(O1923&lt;=15,"Low (1-15%)",IF(O1923&lt;=30,"Medium (16-30%)","High (&gt;30%)")))</f>
        <v>No Discount</v>
      </c>
      <c r="AD1923" s="1" t="str">
        <f aca="false">IF(V1923&lt;0,"Loss Making",IF(V1923&lt;20,"Low Margin","Healthy Margin"))</f>
        <v>Healthy Margin</v>
      </c>
      <c r="AE1923" s="1" t="str">
        <f aca="false">TEXT(DATE(VALUE(RIGHT(B1923,4)),VALUE(MID(B1923,4,2)),VALUE(LEFT(B1923,2))),"MMM-YYYY")</f>
        <v>Nov-2023</v>
      </c>
      <c r="AF1923" s="1" t="n">
        <f aca="false">VALUE(RIGHT(B1923,4))</f>
        <v>2023</v>
      </c>
      <c r="AG1923" s="1" t="str">
        <f aca="false">CHOOSE(ROUNDUP(VALUE(MID(B1923,4,2))/3,0),"Q1","Q2","Q3","Q4")</f>
        <v>Q4</v>
      </c>
    </row>
    <row r="1924" customFormat="false" ht="15" hidden="false" customHeight="true" outlineLevel="0" collapsed="false">
      <c r="A1924" s="1" t="s">
        <v>2775</v>
      </c>
      <c r="B1924" s="1" t="s">
        <v>2137</v>
      </c>
      <c r="C1924" s="1" t="s">
        <v>139</v>
      </c>
      <c r="D1924" s="1" t="s">
        <v>29</v>
      </c>
      <c r="E1924" s="1" t="s">
        <v>129</v>
      </c>
      <c r="F1924" s="1" t="s">
        <v>150</v>
      </c>
      <c r="G1924" s="1" t="s">
        <v>32</v>
      </c>
      <c r="H1924" s="1" t="s">
        <v>57</v>
      </c>
      <c r="I1924" s="1" t="s">
        <v>58</v>
      </c>
      <c r="J1924" s="1" t="s">
        <v>70</v>
      </c>
      <c r="K1924" s="1" t="s">
        <v>84</v>
      </c>
      <c r="L1924" s="1" t="s">
        <v>136</v>
      </c>
      <c r="M1924" s="1" t="s">
        <v>38</v>
      </c>
      <c r="N1924" s="1" t="n">
        <v>29999</v>
      </c>
      <c r="O1924" s="1" t="n">
        <v>40</v>
      </c>
      <c r="P1924" s="1" t="n">
        <v>11999.6</v>
      </c>
      <c r="Q1924" s="1" t="n">
        <v>17999.4</v>
      </c>
      <c r="R1924" s="1" t="n">
        <v>3239.89</v>
      </c>
      <c r="S1924" s="1" t="n">
        <v>14759.51</v>
      </c>
      <c r="T1924" s="1" t="n">
        <v>7498.13</v>
      </c>
      <c r="U1924" s="1" t="n">
        <v>7261.38</v>
      </c>
      <c r="V1924" s="1" t="n">
        <v>49.2</v>
      </c>
      <c r="W1924" s="1" t="s">
        <v>40</v>
      </c>
      <c r="Y1924" s="1" t="s">
        <v>40</v>
      </c>
      <c r="Z1924" s="1" t="n">
        <v>0</v>
      </c>
      <c r="AA1924" s="1" t="str">
        <f aca="false">TRIM(PROPER(F1924))</f>
        <v>Jaipur</v>
      </c>
      <c r="AB1924" s="1" t="str">
        <f aca="false">TRIM(PROPER(C1924))</f>
        <v>Extramarks</v>
      </c>
      <c r="AC1924" s="1" t="str">
        <f aca="false">IF(O1924=0,"No Discount",IF(O1924&lt;=15,"Low (1-15%)",IF(O1924&lt;=30,"Medium (16-30%)","High (&gt;30%)")))</f>
        <v>High (&gt;30%)</v>
      </c>
      <c r="AD1924" s="1" t="str">
        <f aca="false">IF(V1924&lt;0,"Loss Making",IF(V1924&lt;20,"Low Margin","Healthy Margin"))</f>
        <v>Healthy Margin</v>
      </c>
      <c r="AE1924" s="1" t="str">
        <f aca="false">TEXT(DATE(VALUE(RIGHT(B1924,4)),VALUE(MID(B1924,4,2)),VALUE(LEFT(B1924,2))),"MMM-YYYY")</f>
        <v>Aug-2024</v>
      </c>
      <c r="AF1924" s="1" t="n">
        <f aca="false">VALUE(RIGHT(B1924,4))</f>
        <v>2024</v>
      </c>
      <c r="AG1924" s="1" t="str">
        <f aca="false">CHOOSE(ROUNDUP(VALUE(MID(B1924,4,2))/3,0),"Q1","Q2","Q3","Q4")</f>
        <v>Q3</v>
      </c>
    </row>
    <row r="1925" customFormat="false" ht="15" hidden="false" customHeight="true" outlineLevel="0" collapsed="false">
      <c r="A1925" s="1" t="s">
        <v>2776</v>
      </c>
      <c r="B1925" s="1" t="s">
        <v>1097</v>
      </c>
      <c r="C1925" s="1" t="s">
        <v>134</v>
      </c>
      <c r="D1925" s="1" t="s">
        <v>94</v>
      </c>
      <c r="E1925" s="1" t="s">
        <v>101</v>
      </c>
      <c r="F1925" s="1" t="s">
        <v>125</v>
      </c>
      <c r="G1925" s="1" t="s">
        <v>108</v>
      </c>
      <c r="H1925" s="1" t="s">
        <v>69</v>
      </c>
      <c r="I1925" s="1" t="s">
        <v>58</v>
      </c>
      <c r="J1925" s="1" t="s">
        <v>59</v>
      </c>
      <c r="K1925" s="1" t="s">
        <v>90</v>
      </c>
      <c r="L1925" s="1" t="s">
        <v>85</v>
      </c>
      <c r="M1925" s="1" t="s">
        <v>62</v>
      </c>
      <c r="N1925" s="1" t="n">
        <v>14999</v>
      </c>
      <c r="O1925" s="1" t="n">
        <v>25</v>
      </c>
      <c r="P1925" s="1" t="n">
        <v>3749.75</v>
      </c>
      <c r="Q1925" s="1" t="n">
        <v>11249.25</v>
      </c>
      <c r="R1925" s="1" t="n">
        <v>2024.87</v>
      </c>
      <c r="S1925" s="1" t="n">
        <v>9224.38</v>
      </c>
      <c r="T1925" s="1" t="n">
        <v>3641.37</v>
      </c>
      <c r="U1925" s="1" t="n">
        <v>5583.01</v>
      </c>
      <c r="V1925" s="1" t="n">
        <v>60.52</v>
      </c>
      <c r="W1925" s="1" t="s">
        <v>39</v>
      </c>
      <c r="X1925" s="1" t="n">
        <v>3.2</v>
      </c>
      <c r="Y1925" s="1" t="s">
        <v>40</v>
      </c>
      <c r="Z1925" s="1" t="n">
        <v>1</v>
      </c>
      <c r="AA1925" s="1" t="str">
        <f aca="false">TRIM(PROPER(F1925))</f>
        <v>Chennai</v>
      </c>
      <c r="AB1925" s="1" t="str">
        <f aca="false">TRIM(PROPER(C1925))</f>
        <v>Doubtnut</v>
      </c>
      <c r="AC1925" s="1" t="str">
        <f aca="false">IF(O1925=0,"No Discount",IF(O1925&lt;=15,"Low (1-15%)",IF(O1925&lt;=30,"Medium (16-30%)","High (&gt;30%)")))</f>
        <v>Medium (16-30%)</v>
      </c>
      <c r="AD1925" s="1" t="str">
        <f aca="false">IF(V1925&lt;0,"Loss Making",IF(V1925&lt;20,"Low Margin","Healthy Margin"))</f>
        <v>Healthy Margin</v>
      </c>
      <c r="AE1925" s="1" t="str">
        <f aca="false">TEXT(DATE(VALUE(RIGHT(B1925,4)),VALUE(MID(B1925,4,2)),VALUE(LEFT(B1925,2))),"MMM-YYYY")</f>
        <v>Oct-2023</v>
      </c>
      <c r="AF1925" s="1" t="n">
        <f aca="false">VALUE(RIGHT(B1925,4))</f>
        <v>2023</v>
      </c>
      <c r="AG1925" s="1" t="str">
        <f aca="false">CHOOSE(ROUNDUP(VALUE(MID(B1925,4,2))/3,0),"Q1","Q2","Q3","Q4")</f>
        <v>Q4</v>
      </c>
    </row>
    <row r="1926" customFormat="false" ht="15" hidden="false" customHeight="true" outlineLevel="0" collapsed="false">
      <c r="A1926" s="1" t="s">
        <v>2777</v>
      </c>
      <c r="B1926" s="1" t="s">
        <v>913</v>
      </c>
      <c r="C1926" s="1" t="s">
        <v>128</v>
      </c>
      <c r="D1926" s="1" t="s">
        <v>143</v>
      </c>
      <c r="E1926" s="1" t="s">
        <v>243</v>
      </c>
      <c r="F1926" s="1" t="s">
        <v>96</v>
      </c>
      <c r="G1926" s="1" t="s">
        <v>97</v>
      </c>
      <c r="H1926" s="1" t="s">
        <v>69</v>
      </c>
      <c r="I1926" s="1" t="s">
        <v>34</v>
      </c>
      <c r="J1926" s="1" t="s">
        <v>70</v>
      </c>
      <c r="K1926" s="1" t="s">
        <v>112</v>
      </c>
      <c r="L1926" s="1" t="s">
        <v>113</v>
      </c>
      <c r="M1926" s="1" t="s">
        <v>38</v>
      </c>
      <c r="N1926" s="1" t="n">
        <v>22999</v>
      </c>
      <c r="O1926" s="1" t="n">
        <v>30</v>
      </c>
      <c r="P1926" s="1" t="n">
        <v>6899.7</v>
      </c>
      <c r="Q1926" s="1" t="n">
        <v>16099.3</v>
      </c>
      <c r="R1926" s="1" t="n">
        <v>2897.87</v>
      </c>
      <c r="S1926" s="1" t="n">
        <v>13201.43</v>
      </c>
      <c r="T1926" s="1" t="n">
        <v>6233.56</v>
      </c>
      <c r="U1926" s="1" t="n">
        <v>6967.87</v>
      </c>
      <c r="V1926" s="1" t="n">
        <v>52.78</v>
      </c>
      <c r="W1926" s="1" t="s">
        <v>39</v>
      </c>
      <c r="X1926" s="1" t="n">
        <v>3.9</v>
      </c>
      <c r="Y1926" s="1" t="s">
        <v>40</v>
      </c>
      <c r="Z1926" s="1" t="n">
        <v>1</v>
      </c>
      <c r="AA1926" s="1" t="str">
        <f aca="false">TRIM(PROPER(F1926))</f>
        <v>Pune</v>
      </c>
      <c r="AB1926" s="1" t="str">
        <f aca="false">TRIM(PROPER(C1926))</f>
        <v>Great Learning</v>
      </c>
      <c r="AC1926" s="1" t="str">
        <f aca="false">IF(O1926=0,"No Discount",IF(O1926&lt;=15,"Low (1-15%)",IF(O1926&lt;=30,"Medium (16-30%)","High (&gt;30%)")))</f>
        <v>Medium (16-30%)</v>
      </c>
      <c r="AD1926" s="1" t="str">
        <f aca="false">IF(V1926&lt;0,"Loss Making",IF(V1926&lt;20,"Low Margin","Healthy Margin"))</f>
        <v>Healthy Margin</v>
      </c>
      <c r="AE1926" s="1" t="str">
        <f aca="false">TEXT(DATE(VALUE(RIGHT(B1926,4)),VALUE(MID(B1926,4,2)),VALUE(LEFT(B1926,2))),"MMM-YYYY")</f>
        <v>Jan-2023</v>
      </c>
      <c r="AF1926" s="1" t="n">
        <f aca="false">VALUE(RIGHT(B1926,4))</f>
        <v>2023</v>
      </c>
      <c r="AG1926" s="1" t="str">
        <f aca="false">CHOOSE(ROUNDUP(VALUE(MID(B1926,4,2))/3,0),"Q1","Q2","Q3","Q4")</f>
        <v>Q1</v>
      </c>
    </row>
    <row r="1927" customFormat="false" ht="15" hidden="false" customHeight="true" outlineLevel="0" collapsed="false">
      <c r="A1927" s="1" t="s">
        <v>2778</v>
      </c>
      <c r="B1927" s="1" t="s">
        <v>1895</v>
      </c>
      <c r="C1927" s="1" t="s">
        <v>134</v>
      </c>
      <c r="D1927" s="1" t="s">
        <v>44</v>
      </c>
      <c r="E1927" s="1" t="s">
        <v>221</v>
      </c>
      <c r="F1927" s="1" t="s">
        <v>31</v>
      </c>
      <c r="G1927" s="1" t="s">
        <v>32</v>
      </c>
      <c r="H1927" s="1" t="s">
        <v>33</v>
      </c>
      <c r="I1927" s="1" t="s">
        <v>58</v>
      </c>
      <c r="J1927" s="1" t="s">
        <v>77</v>
      </c>
      <c r="K1927" s="1" t="s">
        <v>48</v>
      </c>
      <c r="L1927" s="1" t="s">
        <v>49</v>
      </c>
      <c r="M1927" s="1" t="s">
        <v>50</v>
      </c>
      <c r="N1927" s="1" t="n">
        <v>16999</v>
      </c>
      <c r="O1927" s="1" t="n">
        <v>40</v>
      </c>
      <c r="P1927" s="1" t="n">
        <v>6799.6</v>
      </c>
      <c r="Q1927" s="1" t="n">
        <v>10199.4</v>
      </c>
      <c r="R1927" s="1" t="n">
        <v>1835.89</v>
      </c>
      <c r="S1927" s="1" t="n">
        <v>8363.51</v>
      </c>
      <c r="T1927" s="1" t="n">
        <v>4715.98</v>
      </c>
      <c r="U1927" s="1" t="n">
        <v>3647.53</v>
      </c>
      <c r="V1927" s="1" t="n">
        <v>43.61</v>
      </c>
      <c r="W1927" s="1" t="s">
        <v>39</v>
      </c>
      <c r="X1927" s="1" t="n">
        <v>3.6</v>
      </c>
      <c r="Y1927" s="1" t="s">
        <v>40</v>
      </c>
      <c r="Z1927" s="1" t="n">
        <v>0</v>
      </c>
      <c r="AA1927" s="1" t="str">
        <f aca="false">TRIM(PROPER(F1927))</f>
        <v>Jodhpur</v>
      </c>
      <c r="AB1927" s="1" t="str">
        <f aca="false">TRIM(PROPER(C1927))</f>
        <v>Doubtnut</v>
      </c>
      <c r="AC1927" s="1" t="str">
        <f aca="false">IF(O1927=0,"No Discount",IF(O1927&lt;=15,"Low (1-15%)",IF(O1927&lt;=30,"Medium (16-30%)","High (&gt;30%)")))</f>
        <v>High (&gt;30%)</v>
      </c>
      <c r="AD1927" s="1" t="str">
        <f aca="false">IF(V1927&lt;0,"Loss Making",IF(V1927&lt;20,"Low Margin","Healthy Margin"))</f>
        <v>Healthy Margin</v>
      </c>
      <c r="AE1927" s="1" t="str">
        <f aca="false">TEXT(DATE(VALUE(RIGHT(B1927,4)),VALUE(MID(B1927,4,2)),VALUE(LEFT(B1927,2))),"MMM-YYYY")</f>
        <v>Dec-2023</v>
      </c>
      <c r="AF1927" s="1" t="n">
        <f aca="false">VALUE(RIGHT(B1927,4))</f>
        <v>2023</v>
      </c>
      <c r="AG1927" s="1" t="str">
        <f aca="false">CHOOSE(ROUNDUP(VALUE(MID(B1927,4,2))/3,0),"Q1","Q2","Q3","Q4")</f>
        <v>Q4</v>
      </c>
    </row>
    <row r="1928" customFormat="false" ht="15" hidden="false" customHeight="true" outlineLevel="0" collapsed="false">
      <c r="A1928" s="1" t="s">
        <v>2779</v>
      </c>
      <c r="B1928" s="1" t="s">
        <v>313</v>
      </c>
      <c r="C1928" s="1" t="s">
        <v>65</v>
      </c>
      <c r="D1928" s="1" t="s">
        <v>143</v>
      </c>
      <c r="E1928" s="1" t="s">
        <v>243</v>
      </c>
      <c r="F1928" s="1" t="s">
        <v>107</v>
      </c>
      <c r="G1928" s="1" t="s">
        <v>108</v>
      </c>
      <c r="H1928" s="1" t="s">
        <v>33</v>
      </c>
      <c r="I1928" s="1" t="s">
        <v>34</v>
      </c>
      <c r="J1928" s="1" t="s">
        <v>70</v>
      </c>
      <c r="K1928" s="1" t="s">
        <v>71</v>
      </c>
      <c r="L1928" s="1" t="s">
        <v>37</v>
      </c>
      <c r="M1928" s="1" t="s">
        <v>62</v>
      </c>
      <c r="N1928" s="1" t="n">
        <v>22999</v>
      </c>
      <c r="O1928" s="1" t="n">
        <v>20</v>
      </c>
      <c r="P1928" s="1" t="n">
        <v>4599.8</v>
      </c>
      <c r="Q1928" s="1" t="n">
        <v>18399.2</v>
      </c>
      <c r="R1928" s="1" t="n">
        <v>3311.86</v>
      </c>
      <c r="S1928" s="1" t="n">
        <v>15087.34</v>
      </c>
      <c r="T1928" s="1" t="n">
        <v>6501.52</v>
      </c>
      <c r="U1928" s="1" t="n">
        <v>8585.82</v>
      </c>
      <c r="V1928" s="1" t="n">
        <v>56.91</v>
      </c>
      <c r="W1928" s="1" t="s">
        <v>39</v>
      </c>
      <c r="X1928" s="1" t="n">
        <v>3.9</v>
      </c>
      <c r="Y1928" s="1" t="s">
        <v>40</v>
      </c>
      <c r="Z1928" s="1" t="n">
        <v>0</v>
      </c>
      <c r="AA1928" s="1" t="str">
        <f aca="false">TRIM(PROPER(F1928))</f>
        <v>Madurai</v>
      </c>
      <c r="AB1928" s="1" t="str">
        <f aca="false">TRIM(PROPER(C1928))</f>
        <v>Toppr</v>
      </c>
      <c r="AC1928" s="1" t="str">
        <f aca="false">IF(O1928=0,"No Discount",IF(O1928&lt;=15,"Low (1-15%)",IF(O1928&lt;=30,"Medium (16-30%)","High (&gt;30%)")))</f>
        <v>Medium (16-30%)</v>
      </c>
      <c r="AD1928" s="1" t="str">
        <f aca="false">IF(V1928&lt;0,"Loss Making",IF(V1928&lt;20,"Low Margin","Healthy Margin"))</f>
        <v>Healthy Margin</v>
      </c>
      <c r="AE1928" s="1" t="str">
        <f aca="false">TEXT(DATE(VALUE(RIGHT(B1928,4)),VALUE(MID(B1928,4,2)),VALUE(LEFT(B1928,2))),"MMM-YYYY")</f>
        <v>May-2024</v>
      </c>
      <c r="AF1928" s="1" t="n">
        <f aca="false">VALUE(RIGHT(B1928,4))</f>
        <v>2024</v>
      </c>
      <c r="AG1928" s="1" t="str">
        <f aca="false">CHOOSE(ROUNDUP(VALUE(MID(B1928,4,2))/3,0),"Q1","Q2","Q3","Q4")</f>
        <v>Q2</v>
      </c>
    </row>
    <row r="1929" customFormat="false" ht="15" hidden="false" customHeight="true" outlineLevel="0" collapsed="false">
      <c r="A1929" s="1" t="s">
        <v>2780</v>
      </c>
      <c r="B1929" s="1" t="s">
        <v>1285</v>
      </c>
      <c r="C1929" s="1" t="s">
        <v>65</v>
      </c>
      <c r="D1929" s="1" t="s">
        <v>44</v>
      </c>
      <c r="E1929" s="1" t="s">
        <v>45</v>
      </c>
      <c r="F1929" s="1" t="s">
        <v>96</v>
      </c>
      <c r="G1929" s="1" t="s">
        <v>97</v>
      </c>
      <c r="H1929" s="1" t="s">
        <v>69</v>
      </c>
      <c r="I1929" s="1" t="s">
        <v>34</v>
      </c>
      <c r="J1929" s="1" t="s">
        <v>77</v>
      </c>
      <c r="K1929" s="1" t="s">
        <v>90</v>
      </c>
      <c r="L1929" s="1" t="s">
        <v>85</v>
      </c>
      <c r="M1929" s="1" t="s">
        <v>62</v>
      </c>
      <c r="N1929" s="1" t="n">
        <v>11999</v>
      </c>
      <c r="O1929" s="1" t="n">
        <v>10</v>
      </c>
      <c r="P1929" s="1" t="n">
        <v>1199.9</v>
      </c>
      <c r="Q1929" s="1" t="n">
        <v>10799.1</v>
      </c>
      <c r="R1929" s="1" t="n">
        <v>1943.84</v>
      </c>
      <c r="S1929" s="1" t="n">
        <v>8855.26</v>
      </c>
      <c r="T1929" s="1" t="n">
        <v>3515.25</v>
      </c>
      <c r="U1929" s="1" t="n">
        <v>5340.01</v>
      </c>
      <c r="V1929" s="1" t="n">
        <v>60.3</v>
      </c>
      <c r="W1929" s="1" t="s">
        <v>40</v>
      </c>
      <c r="Y1929" s="1" t="s">
        <v>40</v>
      </c>
      <c r="Z1929" s="1" t="n">
        <v>0</v>
      </c>
      <c r="AA1929" s="1" t="str">
        <f aca="false">TRIM(PROPER(F1929))</f>
        <v>Pune</v>
      </c>
      <c r="AB1929" s="1" t="str">
        <f aca="false">TRIM(PROPER(C1929))</f>
        <v>Toppr</v>
      </c>
      <c r="AC1929" s="1" t="str">
        <f aca="false">IF(O1929=0,"No Discount",IF(O1929&lt;=15,"Low (1-15%)",IF(O1929&lt;=30,"Medium (16-30%)","High (&gt;30%)")))</f>
        <v>Low (1-15%)</v>
      </c>
      <c r="AD1929" s="1" t="str">
        <f aca="false">IF(V1929&lt;0,"Loss Making",IF(V1929&lt;20,"Low Margin","Healthy Margin"))</f>
        <v>Healthy Margin</v>
      </c>
      <c r="AE1929" s="1" t="str">
        <f aca="false">TEXT(DATE(VALUE(RIGHT(B1929,4)),VALUE(MID(B1929,4,2)),VALUE(LEFT(B1929,2))),"MMM-YYYY")</f>
        <v>Feb-2023</v>
      </c>
      <c r="AF1929" s="1" t="n">
        <f aca="false">VALUE(RIGHT(B1929,4))</f>
        <v>2023</v>
      </c>
      <c r="AG1929" s="1" t="str">
        <f aca="false">CHOOSE(ROUNDUP(VALUE(MID(B1929,4,2))/3,0),"Q1","Q2","Q3","Q4")</f>
        <v>Q1</v>
      </c>
    </row>
    <row r="1930" customFormat="false" ht="15" hidden="false" customHeight="true" outlineLevel="0" collapsed="false">
      <c r="A1930" s="1" t="s">
        <v>2781</v>
      </c>
      <c r="B1930" s="1" t="s">
        <v>2235</v>
      </c>
      <c r="C1930" s="1" t="s">
        <v>28</v>
      </c>
      <c r="D1930" s="1" t="s">
        <v>168</v>
      </c>
      <c r="E1930" s="1" t="s">
        <v>328</v>
      </c>
      <c r="F1930" s="1" t="s">
        <v>153</v>
      </c>
      <c r="G1930" s="1" t="s">
        <v>76</v>
      </c>
      <c r="H1930" s="1" t="s">
        <v>33</v>
      </c>
      <c r="I1930" s="1" t="s">
        <v>83</v>
      </c>
      <c r="J1930" s="1" t="s">
        <v>59</v>
      </c>
      <c r="K1930" s="1" t="s">
        <v>84</v>
      </c>
      <c r="L1930" s="1" t="s">
        <v>61</v>
      </c>
      <c r="M1930" s="1" t="s">
        <v>38</v>
      </c>
      <c r="N1930" s="1" t="n">
        <v>8999</v>
      </c>
      <c r="O1930" s="1" t="n">
        <v>10</v>
      </c>
      <c r="P1930" s="1" t="n">
        <v>899.9</v>
      </c>
      <c r="Q1930" s="1" t="n">
        <v>8099.1</v>
      </c>
      <c r="R1930" s="1" t="n">
        <v>1457.84</v>
      </c>
      <c r="S1930" s="1" t="n">
        <v>6641.26</v>
      </c>
      <c r="T1930" s="1" t="n">
        <v>2773.44</v>
      </c>
      <c r="U1930" s="1" t="n">
        <v>3867.82</v>
      </c>
      <c r="V1930" s="1" t="n">
        <v>58.24</v>
      </c>
      <c r="W1930" s="1" t="s">
        <v>40</v>
      </c>
      <c r="Y1930" s="1" t="s">
        <v>40</v>
      </c>
      <c r="Z1930" s="1" t="n">
        <v>0</v>
      </c>
      <c r="AA1930" s="1" t="str">
        <f aca="false">TRIM(PROPER(F1930))</f>
        <v>Howrah</v>
      </c>
      <c r="AB1930" s="1" t="str">
        <f aca="false">TRIM(PROPER(C1930))</f>
        <v>Embibe</v>
      </c>
      <c r="AC1930" s="1" t="str">
        <f aca="false">IF(O1930=0,"No Discount",IF(O1930&lt;=15,"Low (1-15%)",IF(O1930&lt;=30,"Medium (16-30%)","High (&gt;30%)")))</f>
        <v>Low (1-15%)</v>
      </c>
      <c r="AD1930" s="1" t="str">
        <f aca="false">IF(V1930&lt;0,"Loss Making",IF(V1930&lt;20,"Low Margin","Healthy Margin"))</f>
        <v>Healthy Margin</v>
      </c>
      <c r="AE1930" s="1" t="str">
        <f aca="false">TEXT(DATE(VALUE(RIGHT(B1930,4)),VALUE(MID(B1930,4,2)),VALUE(LEFT(B1930,2))),"MMM-YYYY")</f>
        <v>Apr-2024</v>
      </c>
      <c r="AF1930" s="1" t="n">
        <f aca="false">VALUE(RIGHT(B1930,4))</f>
        <v>2024</v>
      </c>
      <c r="AG1930" s="1" t="str">
        <f aca="false">CHOOSE(ROUNDUP(VALUE(MID(B1930,4,2))/3,0),"Q1","Q2","Q3","Q4")</f>
        <v>Q2</v>
      </c>
    </row>
    <row r="1931" customFormat="false" ht="15" hidden="false" customHeight="true" outlineLevel="0" collapsed="false">
      <c r="A1931" s="1" t="s">
        <v>2782</v>
      </c>
      <c r="B1931" s="1" t="s">
        <v>415</v>
      </c>
      <c r="C1931" s="1" t="s">
        <v>43</v>
      </c>
      <c r="D1931" s="1" t="s">
        <v>123</v>
      </c>
      <c r="E1931" s="1" t="s">
        <v>233</v>
      </c>
      <c r="F1931" s="1" t="s">
        <v>150</v>
      </c>
      <c r="G1931" s="1" t="s">
        <v>32</v>
      </c>
      <c r="H1931" s="1" t="s">
        <v>57</v>
      </c>
      <c r="I1931" s="1" t="s">
        <v>58</v>
      </c>
      <c r="J1931" s="1" t="s">
        <v>77</v>
      </c>
      <c r="K1931" s="1" t="s">
        <v>36</v>
      </c>
      <c r="L1931" s="1" t="s">
        <v>113</v>
      </c>
      <c r="M1931" s="1" t="s">
        <v>62</v>
      </c>
      <c r="N1931" s="1" t="n">
        <v>8999</v>
      </c>
      <c r="O1931" s="1" t="n">
        <v>25</v>
      </c>
      <c r="P1931" s="1" t="n">
        <v>2249.75</v>
      </c>
      <c r="Q1931" s="1" t="n">
        <v>6749.25</v>
      </c>
      <c r="R1931" s="1" t="n">
        <v>1214.87</v>
      </c>
      <c r="S1931" s="1" t="n">
        <v>5534.38</v>
      </c>
      <c r="T1931" s="1" t="n">
        <v>2571.33</v>
      </c>
      <c r="U1931" s="1" t="n">
        <v>2963.05</v>
      </c>
      <c r="V1931" s="1" t="n">
        <v>53.54</v>
      </c>
      <c r="W1931" s="1" t="s">
        <v>39</v>
      </c>
      <c r="X1931" s="1" t="n">
        <v>3.3</v>
      </c>
      <c r="Y1931" s="1" t="s">
        <v>40</v>
      </c>
      <c r="Z1931" s="1" t="n">
        <v>0</v>
      </c>
      <c r="AA1931" s="1" t="str">
        <f aca="false">TRIM(PROPER(F1931))</f>
        <v>Jaipur</v>
      </c>
      <c r="AB1931" s="1" t="str">
        <f aca="false">TRIM(PROPER(C1931))</f>
        <v>Meritnation</v>
      </c>
      <c r="AC1931" s="1" t="str">
        <f aca="false">IF(O1931=0,"No Discount",IF(O1931&lt;=15,"Low (1-15%)",IF(O1931&lt;=30,"Medium (16-30%)","High (&gt;30%)")))</f>
        <v>Medium (16-30%)</v>
      </c>
      <c r="AD1931" s="1" t="str">
        <f aca="false">IF(V1931&lt;0,"Loss Making",IF(V1931&lt;20,"Low Margin","Healthy Margin"))</f>
        <v>Healthy Margin</v>
      </c>
      <c r="AE1931" s="1" t="str">
        <f aca="false">TEXT(DATE(VALUE(RIGHT(B1931,4)),VALUE(MID(B1931,4,2)),VALUE(LEFT(B1931,2))),"MMM-YYYY")</f>
        <v>Aug-2023</v>
      </c>
      <c r="AF1931" s="1" t="n">
        <f aca="false">VALUE(RIGHT(B1931,4))</f>
        <v>2023</v>
      </c>
      <c r="AG1931" s="1" t="str">
        <f aca="false">CHOOSE(ROUNDUP(VALUE(MID(B1931,4,2))/3,0),"Q1","Q2","Q3","Q4")</f>
        <v>Q3</v>
      </c>
    </row>
    <row r="1932" customFormat="false" ht="15" hidden="false" customHeight="true" outlineLevel="0" collapsed="false">
      <c r="A1932" s="1" t="s">
        <v>2783</v>
      </c>
      <c r="B1932" s="1" t="s">
        <v>1056</v>
      </c>
      <c r="C1932" s="1" t="s">
        <v>139</v>
      </c>
      <c r="D1932" s="1" t="s">
        <v>143</v>
      </c>
      <c r="E1932" s="1" t="s">
        <v>144</v>
      </c>
      <c r="F1932" s="1" t="s">
        <v>140</v>
      </c>
      <c r="G1932" s="1" t="s">
        <v>97</v>
      </c>
      <c r="H1932" s="1" t="s">
        <v>57</v>
      </c>
      <c r="I1932" s="1" t="s">
        <v>34</v>
      </c>
      <c r="J1932" s="1" t="s">
        <v>59</v>
      </c>
      <c r="K1932" s="1" t="s">
        <v>104</v>
      </c>
      <c r="L1932" s="1" t="s">
        <v>37</v>
      </c>
      <c r="M1932" s="1" t="s">
        <v>62</v>
      </c>
      <c r="N1932" s="1" t="n">
        <v>12999</v>
      </c>
      <c r="O1932" s="1" t="n">
        <v>10</v>
      </c>
      <c r="P1932" s="1" t="n">
        <v>1299.9</v>
      </c>
      <c r="Q1932" s="1" t="n">
        <v>11699.1</v>
      </c>
      <c r="R1932" s="1" t="n">
        <v>2105.84</v>
      </c>
      <c r="S1932" s="1" t="n">
        <v>9593.26</v>
      </c>
      <c r="T1932" s="1" t="n">
        <v>3902.6</v>
      </c>
      <c r="U1932" s="1" t="n">
        <v>5690.66</v>
      </c>
      <c r="V1932" s="1" t="n">
        <v>59.32</v>
      </c>
      <c r="W1932" s="1" t="s">
        <v>39</v>
      </c>
      <c r="X1932" s="1" t="n">
        <v>3.8</v>
      </c>
      <c r="Y1932" s="1" t="s">
        <v>40</v>
      </c>
      <c r="Z1932" s="1" t="n">
        <v>0</v>
      </c>
      <c r="AA1932" s="1" t="str">
        <f aca="false">TRIM(PROPER(F1932))</f>
        <v>Nashik</v>
      </c>
      <c r="AB1932" s="1" t="str">
        <f aca="false">TRIM(PROPER(C1932))</f>
        <v>Extramarks</v>
      </c>
      <c r="AC1932" s="1" t="str">
        <f aca="false">IF(O1932=0,"No Discount",IF(O1932&lt;=15,"Low (1-15%)",IF(O1932&lt;=30,"Medium (16-30%)","High (&gt;30%)")))</f>
        <v>Low (1-15%)</v>
      </c>
      <c r="AD1932" s="1" t="str">
        <f aca="false">IF(V1932&lt;0,"Loss Making",IF(V1932&lt;20,"Low Margin","Healthy Margin"))</f>
        <v>Healthy Margin</v>
      </c>
      <c r="AE1932" s="1" t="str">
        <f aca="false">TEXT(DATE(VALUE(RIGHT(B1932,4)),VALUE(MID(B1932,4,2)),VALUE(LEFT(B1932,2))),"MMM-YYYY")</f>
        <v>Apr-2024</v>
      </c>
      <c r="AF1932" s="1" t="n">
        <f aca="false">VALUE(RIGHT(B1932,4))</f>
        <v>2024</v>
      </c>
      <c r="AG1932" s="1" t="str">
        <f aca="false">CHOOSE(ROUNDUP(VALUE(MID(B1932,4,2))/3,0),"Q1","Q2","Q3","Q4")</f>
        <v>Q2</v>
      </c>
    </row>
    <row r="1933" customFormat="false" ht="15" hidden="false" customHeight="true" outlineLevel="0" collapsed="false">
      <c r="A1933" s="1" t="s">
        <v>2784</v>
      </c>
      <c r="B1933" s="1" t="s">
        <v>342</v>
      </c>
      <c r="C1933" s="1" t="s">
        <v>28</v>
      </c>
      <c r="D1933" s="1" t="s">
        <v>123</v>
      </c>
      <c r="E1933" s="1" t="s">
        <v>233</v>
      </c>
      <c r="F1933" s="1" t="s">
        <v>102</v>
      </c>
      <c r="G1933" s="1" t="s">
        <v>103</v>
      </c>
      <c r="H1933" s="1" t="s">
        <v>33</v>
      </c>
      <c r="I1933" s="1" t="s">
        <v>58</v>
      </c>
      <c r="J1933" s="1" t="s">
        <v>59</v>
      </c>
      <c r="K1933" s="1" t="s">
        <v>112</v>
      </c>
      <c r="L1933" s="1" t="s">
        <v>49</v>
      </c>
      <c r="M1933" s="1" t="s">
        <v>38</v>
      </c>
      <c r="N1933" s="1" t="n">
        <v>8999</v>
      </c>
      <c r="O1933" s="1" t="n">
        <v>25</v>
      </c>
      <c r="P1933" s="1" t="n">
        <v>2249.75</v>
      </c>
      <c r="Q1933" s="1" t="n">
        <v>6749.25</v>
      </c>
      <c r="R1933" s="1" t="n">
        <v>1214.87</v>
      </c>
      <c r="S1933" s="1" t="n">
        <v>5534.38</v>
      </c>
      <c r="T1933" s="1" t="n">
        <v>2249.55</v>
      </c>
      <c r="U1933" s="1" t="n">
        <v>3284.83</v>
      </c>
      <c r="V1933" s="1" t="n">
        <v>59.35</v>
      </c>
      <c r="W1933" s="1" t="s">
        <v>39</v>
      </c>
      <c r="Y1933" s="1" t="s">
        <v>40</v>
      </c>
      <c r="Z1933" s="1" t="n">
        <v>0</v>
      </c>
      <c r="AA1933" s="1" t="str">
        <f aca="false">TRIM(PROPER(F1933))</f>
        <v>Warangal</v>
      </c>
      <c r="AB1933" s="1" t="str">
        <f aca="false">TRIM(PROPER(C1933))</f>
        <v>Embibe</v>
      </c>
      <c r="AC1933" s="1" t="str">
        <f aca="false">IF(O1933=0,"No Discount",IF(O1933&lt;=15,"Low (1-15%)",IF(O1933&lt;=30,"Medium (16-30%)","High (&gt;30%)")))</f>
        <v>Medium (16-30%)</v>
      </c>
      <c r="AD1933" s="1" t="str">
        <f aca="false">IF(V1933&lt;0,"Loss Making",IF(V1933&lt;20,"Low Margin","Healthy Margin"))</f>
        <v>Healthy Margin</v>
      </c>
      <c r="AE1933" s="1" t="str">
        <f aca="false">TEXT(DATE(VALUE(RIGHT(B1933,4)),VALUE(MID(B1933,4,2)),VALUE(LEFT(B1933,2))),"MMM-YYYY")</f>
        <v>Oct-2024</v>
      </c>
      <c r="AF1933" s="1" t="n">
        <f aca="false">VALUE(RIGHT(B1933,4))</f>
        <v>2024</v>
      </c>
      <c r="AG1933" s="1" t="str">
        <f aca="false">CHOOSE(ROUNDUP(VALUE(MID(B1933,4,2))/3,0),"Q1","Q2","Q3","Q4")</f>
        <v>Q4</v>
      </c>
    </row>
    <row r="1934" customFormat="false" ht="15" hidden="false" customHeight="true" outlineLevel="0" collapsed="false">
      <c r="A1934" s="1" t="s">
        <v>2785</v>
      </c>
      <c r="B1934" s="1" t="s">
        <v>2267</v>
      </c>
      <c r="C1934" s="1" t="s">
        <v>178</v>
      </c>
      <c r="D1934" s="1" t="s">
        <v>123</v>
      </c>
      <c r="E1934" s="1" t="s">
        <v>124</v>
      </c>
      <c r="F1934" s="1" t="s">
        <v>205</v>
      </c>
      <c r="G1934" s="1" t="s">
        <v>56</v>
      </c>
      <c r="H1934" s="1" t="s">
        <v>69</v>
      </c>
      <c r="I1934" s="1" t="s">
        <v>58</v>
      </c>
      <c r="J1934" s="1" t="s">
        <v>35</v>
      </c>
      <c r="K1934" s="1" t="s">
        <v>90</v>
      </c>
      <c r="L1934" s="1" t="s">
        <v>136</v>
      </c>
      <c r="M1934" s="1" t="s">
        <v>50</v>
      </c>
      <c r="N1934" s="1" t="n">
        <v>4999</v>
      </c>
      <c r="O1934" s="1" t="n">
        <v>25</v>
      </c>
      <c r="P1934" s="1" t="n">
        <v>1249.75</v>
      </c>
      <c r="Q1934" s="1" t="n">
        <v>3749.25</v>
      </c>
      <c r="R1934" s="1" t="n">
        <v>674.87</v>
      </c>
      <c r="S1934" s="1" t="n">
        <v>3074.38</v>
      </c>
      <c r="T1934" s="1" t="n">
        <v>1187.21</v>
      </c>
      <c r="U1934" s="1" t="n">
        <v>1887.17</v>
      </c>
      <c r="V1934" s="1" t="n">
        <v>61.38</v>
      </c>
      <c r="W1934" s="1" t="s">
        <v>40</v>
      </c>
      <c r="Y1934" s="1" t="s">
        <v>40</v>
      </c>
      <c r="Z1934" s="1" t="n">
        <v>0</v>
      </c>
      <c r="AA1934" s="1" t="str">
        <f aca="false">TRIM(PROPER(F1934))</f>
        <v>New Delhi</v>
      </c>
      <c r="AB1934" s="1" t="str">
        <f aca="false">TRIM(PROPER(C1934))</f>
        <v>Leverage Edu</v>
      </c>
      <c r="AC1934" s="1" t="str">
        <f aca="false">IF(O1934=0,"No Discount",IF(O1934&lt;=15,"Low (1-15%)",IF(O1934&lt;=30,"Medium (16-30%)","High (&gt;30%)")))</f>
        <v>Medium (16-30%)</v>
      </c>
      <c r="AD1934" s="1" t="str">
        <f aca="false">IF(V1934&lt;0,"Loss Making",IF(V1934&lt;20,"Low Margin","Healthy Margin"))</f>
        <v>Healthy Margin</v>
      </c>
      <c r="AE1934" s="1" t="str">
        <f aca="false">TEXT(DATE(VALUE(RIGHT(B1934,4)),VALUE(MID(B1934,4,2)),VALUE(LEFT(B1934,2))),"MMM-YYYY")</f>
        <v>Dec-2023</v>
      </c>
      <c r="AF1934" s="1" t="n">
        <f aca="false">VALUE(RIGHT(B1934,4))</f>
        <v>2023</v>
      </c>
      <c r="AG1934" s="1" t="str">
        <f aca="false">CHOOSE(ROUNDUP(VALUE(MID(B1934,4,2))/3,0),"Q1","Q2","Q3","Q4")</f>
        <v>Q4</v>
      </c>
    </row>
    <row r="1935" customFormat="false" ht="15" hidden="false" customHeight="true" outlineLevel="0" collapsed="false">
      <c r="A1935" s="1" t="s">
        <v>2786</v>
      </c>
      <c r="B1935" s="1" t="s">
        <v>279</v>
      </c>
      <c r="C1935" s="1" t="s">
        <v>178</v>
      </c>
      <c r="D1935" s="1" t="s">
        <v>94</v>
      </c>
      <c r="E1935" s="1" t="s">
        <v>101</v>
      </c>
      <c r="F1935" s="1" t="s">
        <v>75</v>
      </c>
      <c r="G1935" s="1" t="s">
        <v>76</v>
      </c>
      <c r="H1935" s="1" t="s">
        <v>69</v>
      </c>
      <c r="I1935" s="1" t="s">
        <v>34</v>
      </c>
      <c r="J1935" s="1" t="s">
        <v>77</v>
      </c>
      <c r="K1935" s="1" t="s">
        <v>84</v>
      </c>
      <c r="L1935" s="1" t="s">
        <v>49</v>
      </c>
      <c r="M1935" s="1" t="s">
        <v>62</v>
      </c>
      <c r="N1935" s="1" t="n">
        <v>14999</v>
      </c>
      <c r="O1935" s="1" t="n">
        <v>40</v>
      </c>
      <c r="P1935" s="1" t="n">
        <v>5999.6</v>
      </c>
      <c r="Q1935" s="1" t="n">
        <v>8999.4</v>
      </c>
      <c r="R1935" s="1" t="n">
        <v>1619.89</v>
      </c>
      <c r="S1935" s="1" t="n">
        <v>7379.51</v>
      </c>
      <c r="T1935" s="1" t="n">
        <v>4392.44</v>
      </c>
      <c r="U1935" s="1" t="n">
        <v>2987.07</v>
      </c>
      <c r="V1935" s="1" t="n">
        <v>40.48</v>
      </c>
      <c r="W1935" s="1" t="s">
        <v>40</v>
      </c>
      <c r="Y1935" s="1" t="s">
        <v>40</v>
      </c>
      <c r="Z1935" s="1" t="n">
        <v>1</v>
      </c>
      <c r="AA1935" s="1" t="str">
        <f aca="false">TRIM(PROPER(F1935))</f>
        <v>Kolkata</v>
      </c>
      <c r="AB1935" s="1" t="str">
        <f aca="false">TRIM(PROPER(C1935))</f>
        <v>Leverage Edu</v>
      </c>
      <c r="AC1935" s="1" t="str">
        <f aca="false">IF(O1935=0,"No Discount",IF(O1935&lt;=15,"Low (1-15%)",IF(O1935&lt;=30,"Medium (16-30%)","High (&gt;30%)")))</f>
        <v>High (&gt;30%)</v>
      </c>
      <c r="AD1935" s="1" t="str">
        <f aca="false">IF(V1935&lt;0,"Loss Making",IF(V1935&lt;20,"Low Margin","Healthy Margin"))</f>
        <v>Healthy Margin</v>
      </c>
      <c r="AE1935" s="1" t="str">
        <f aca="false">TEXT(DATE(VALUE(RIGHT(B1935,4)),VALUE(MID(B1935,4,2)),VALUE(LEFT(B1935,2))),"MMM-YYYY")</f>
        <v>Jul-2023</v>
      </c>
      <c r="AF1935" s="1" t="n">
        <f aca="false">VALUE(RIGHT(B1935,4))</f>
        <v>2023</v>
      </c>
      <c r="AG1935" s="1" t="str">
        <f aca="false">CHOOSE(ROUNDUP(VALUE(MID(B1935,4,2))/3,0),"Q1","Q2","Q3","Q4")</f>
        <v>Q3</v>
      </c>
    </row>
    <row r="1936" customFormat="false" ht="15" hidden="false" customHeight="true" outlineLevel="0" collapsed="false">
      <c r="A1936" s="1" t="s">
        <v>2787</v>
      </c>
      <c r="B1936" s="1" t="s">
        <v>2788</v>
      </c>
      <c r="C1936" s="1" t="s">
        <v>119</v>
      </c>
      <c r="D1936" s="1" t="s">
        <v>94</v>
      </c>
      <c r="E1936" s="1" t="s">
        <v>95</v>
      </c>
      <c r="F1936" s="1" t="s">
        <v>1137</v>
      </c>
      <c r="G1936" s="1" t="s">
        <v>56</v>
      </c>
      <c r="H1936" s="1" t="s">
        <v>69</v>
      </c>
      <c r="I1936" s="1" t="s">
        <v>34</v>
      </c>
      <c r="J1936" s="1" t="s">
        <v>59</v>
      </c>
      <c r="K1936" s="1" t="s">
        <v>112</v>
      </c>
      <c r="L1936" s="1" t="s">
        <v>49</v>
      </c>
      <c r="M1936" s="1" t="s">
        <v>62</v>
      </c>
      <c r="N1936" s="1" t="n">
        <v>6999</v>
      </c>
      <c r="O1936" s="1" t="n">
        <v>5</v>
      </c>
      <c r="P1936" s="1" t="n">
        <v>349.95</v>
      </c>
      <c r="Q1936" s="1" t="n">
        <v>6649.05</v>
      </c>
      <c r="R1936" s="1" t="n">
        <v>1196.83</v>
      </c>
      <c r="S1936" s="1" t="n">
        <v>5452.22</v>
      </c>
      <c r="T1936" s="1" t="n">
        <v>2226.7</v>
      </c>
      <c r="U1936" s="1" t="n">
        <v>3225.52</v>
      </c>
      <c r="V1936" s="1" t="n">
        <v>59.16</v>
      </c>
      <c r="W1936" s="1" t="s">
        <v>39</v>
      </c>
      <c r="X1936" s="1" t="n">
        <v>3.2</v>
      </c>
      <c r="Y1936" s="1" t="s">
        <v>40</v>
      </c>
      <c r="Z1936" s="1" t="n">
        <v>0</v>
      </c>
      <c r="AA1936" s="1" t="str">
        <f aca="false">TRIM(PROPER(F1936))</f>
        <v>Gurugram</v>
      </c>
      <c r="AB1936" s="1" t="str">
        <f aca="false">TRIM(PROPER(C1936))</f>
        <v>Simplilearn</v>
      </c>
      <c r="AC1936" s="1" t="str">
        <f aca="false">IF(O1936=0,"No Discount",IF(O1936&lt;=15,"Low (1-15%)",IF(O1936&lt;=30,"Medium (16-30%)","High (&gt;30%)")))</f>
        <v>Low (1-15%)</v>
      </c>
      <c r="AD1936" s="1" t="str">
        <f aca="false">IF(V1936&lt;0,"Loss Making",IF(V1936&lt;20,"Low Margin","Healthy Margin"))</f>
        <v>Healthy Margin</v>
      </c>
      <c r="AE1936" s="1" t="str">
        <f aca="false">TEXT(DATE(VALUE(RIGHT(B1936,4)),VALUE(MID(B1936,4,2)),VALUE(LEFT(B1936,2))),"MMM-YYYY")</f>
        <v>Jan-2023</v>
      </c>
      <c r="AF1936" s="1" t="n">
        <f aca="false">VALUE(RIGHT(B1936,4))</f>
        <v>2023</v>
      </c>
      <c r="AG1936" s="1" t="str">
        <f aca="false">CHOOSE(ROUNDUP(VALUE(MID(B1936,4,2))/3,0),"Q1","Q2","Q3","Q4")</f>
        <v>Q1</v>
      </c>
    </row>
    <row r="1937" customFormat="false" ht="15" hidden="false" customHeight="true" outlineLevel="0" collapsed="false">
      <c r="A1937" s="1" t="s">
        <v>2789</v>
      </c>
      <c r="B1937" s="1" t="s">
        <v>506</v>
      </c>
      <c r="C1937" s="1" t="s">
        <v>134</v>
      </c>
      <c r="D1937" s="1" t="s">
        <v>123</v>
      </c>
      <c r="E1937" s="1" t="s">
        <v>147</v>
      </c>
      <c r="F1937" s="1" t="s">
        <v>244</v>
      </c>
      <c r="G1937" s="1" t="s">
        <v>97</v>
      </c>
      <c r="H1937" s="1" t="s">
        <v>57</v>
      </c>
      <c r="I1937" s="1" t="s">
        <v>34</v>
      </c>
      <c r="J1937" s="1" t="s">
        <v>59</v>
      </c>
      <c r="K1937" s="1" t="s">
        <v>36</v>
      </c>
      <c r="L1937" s="1" t="s">
        <v>85</v>
      </c>
      <c r="M1937" s="1" t="s">
        <v>38</v>
      </c>
      <c r="N1937" s="1" t="n">
        <v>6999</v>
      </c>
      <c r="O1937" s="1" t="n">
        <v>5</v>
      </c>
      <c r="P1937" s="1" t="n">
        <v>349.95</v>
      </c>
      <c r="Q1937" s="1" t="n">
        <v>6649.05</v>
      </c>
      <c r="R1937" s="1" t="n">
        <v>1196.83</v>
      </c>
      <c r="S1937" s="1" t="n">
        <v>5452.22</v>
      </c>
      <c r="T1937" s="1" t="n">
        <v>2935.69</v>
      </c>
      <c r="U1937" s="1" t="n">
        <v>2516.53</v>
      </c>
      <c r="V1937" s="1" t="n">
        <v>46.16</v>
      </c>
      <c r="W1937" s="1" t="s">
        <v>39</v>
      </c>
      <c r="X1937" s="1" t="n">
        <v>3</v>
      </c>
      <c r="Y1937" s="1" t="s">
        <v>40</v>
      </c>
      <c r="Z1937" s="1" t="n">
        <v>0</v>
      </c>
      <c r="AA1937" s="1" t="str">
        <f aca="false">TRIM(PROPER(F1937))</f>
        <v>Nagpur</v>
      </c>
      <c r="AB1937" s="1" t="str">
        <f aca="false">TRIM(PROPER(C1937))</f>
        <v>Doubtnut</v>
      </c>
      <c r="AC1937" s="1" t="str">
        <f aca="false">IF(O1937=0,"No Discount",IF(O1937&lt;=15,"Low (1-15%)",IF(O1937&lt;=30,"Medium (16-30%)","High (&gt;30%)")))</f>
        <v>Low (1-15%)</v>
      </c>
      <c r="AD1937" s="1" t="str">
        <f aca="false">IF(V1937&lt;0,"Loss Making",IF(V1937&lt;20,"Low Margin","Healthy Margin"))</f>
        <v>Healthy Margin</v>
      </c>
      <c r="AE1937" s="1" t="str">
        <f aca="false">TEXT(DATE(VALUE(RIGHT(B1937,4)),VALUE(MID(B1937,4,2)),VALUE(LEFT(B1937,2))),"MMM-YYYY")</f>
        <v>Oct-2023</v>
      </c>
      <c r="AF1937" s="1" t="n">
        <f aca="false">VALUE(RIGHT(B1937,4))</f>
        <v>2023</v>
      </c>
      <c r="AG1937" s="1" t="str">
        <f aca="false">CHOOSE(ROUNDUP(VALUE(MID(B1937,4,2))/3,0),"Q1","Q2","Q3","Q4")</f>
        <v>Q4</v>
      </c>
    </row>
    <row r="1938" customFormat="false" ht="15" hidden="false" customHeight="true" outlineLevel="0" collapsed="false">
      <c r="A1938" s="1" t="s">
        <v>2790</v>
      </c>
      <c r="B1938" s="1" t="s">
        <v>1543</v>
      </c>
      <c r="C1938" s="1" t="s">
        <v>43</v>
      </c>
      <c r="D1938" s="1" t="s">
        <v>29</v>
      </c>
      <c r="E1938" s="1" t="s">
        <v>182</v>
      </c>
      <c r="F1938" s="1" t="s">
        <v>184</v>
      </c>
      <c r="G1938" s="1" t="s">
        <v>56</v>
      </c>
      <c r="H1938" s="1" t="s">
        <v>57</v>
      </c>
      <c r="I1938" s="1" t="s">
        <v>34</v>
      </c>
      <c r="J1938" s="1" t="s">
        <v>131</v>
      </c>
      <c r="K1938" s="1" t="s">
        <v>36</v>
      </c>
      <c r="L1938" s="1" t="s">
        <v>113</v>
      </c>
      <c r="M1938" s="1" t="s">
        <v>50</v>
      </c>
      <c r="N1938" s="1" t="n">
        <v>34999</v>
      </c>
      <c r="O1938" s="1" t="n">
        <v>25</v>
      </c>
      <c r="P1938" s="1" t="n">
        <v>8749.75</v>
      </c>
      <c r="Q1938" s="1" t="n">
        <v>26249.25</v>
      </c>
      <c r="R1938" s="1" t="n">
        <v>4724.86</v>
      </c>
      <c r="S1938" s="1" t="n">
        <v>21524.39</v>
      </c>
      <c r="T1938" s="1" t="n">
        <v>6931.51</v>
      </c>
      <c r="U1938" s="1" t="n">
        <v>14592.88</v>
      </c>
      <c r="V1938" s="1" t="n">
        <v>67.8</v>
      </c>
      <c r="W1938" s="1" t="s">
        <v>39</v>
      </c>
      <c r="X1938" s="1" t="n">
        <v>4.4</v>
      </c>
      <c r="Y1938" s="1" t="s">
        <v>40</v>
      </c>
      <c r="Z1938" s="1" t="n">
        <v>1</v>
      </c>
      <c r="AA1938" s="1" t="str">
        <f aca="false">TRIM(PROPER(F1938))</f>
        <v>Faridabad</v>
      </c>
      <c r="AB1938" s="1" t="str">
        <f aca="false">TRIM(PROPER(C1938))</f>
        <v>Meritnation</v>
      </c>
      <c r="AC1938" s="1" t="str">
        <f aca="false">IF(O1938=0,"No Discount",IF(O1938&lt;=15,"Low (1-15%)",IF(O1938&lt;=30,"Medium (16-30%)","High (&gt;30%)")))</f>
        <v>Medium (16-30%)</v>
      </c>
      <c r="AD1938" s="1" t="str">
        <f aca="false">IF(V1938&lt;0,"Loss Making",IF(V1938&lt;20,"Low Margin","Healthy Margin"))</f>
        <v>Healthy Margin</v>
      </c>
      <c r="AE1938" s="1" t="str">
        <f aca="false">TEXT(DATE(VALUE(RIGHT(B1938,4)),VALUE(MID(B1938,4,2)),VALUE(LEFT(B1938,2))),"MMM-YYYY")</f>
        <v>May-2023</v>
      </c>
      <c r="AF1938" s="1" t="n">
        <f aca="false">VALUE(RIGHT(B1938,4))</f>
        <v>2023</v>
      </c>
      <c r="AG1938" s="1" t="str">
        <f aca="false">CHOOSE(ROUNDUP(VALUE(MID(B1938,4,2))/3,0),"Q1","Q2","Q3","Q4")</f>
        <v>Q2</v>
      </c>
    </row>
    <row r="1939" customFormat="false" ht="15" hidden="false" customHeight="true" outlineLevel="0" collapsed="false">
      <c r="A1939" s="1" t="s">
        <v>2791</v>
      </c>
      <c r="B1939" s="1" t="s">
        <v>460</v>
      </c>
      <c r="C1939" s="1" t="s">
        <v>119</v>
      </c>
      <c r="D1939" s="1" t="s">
        <v>80</v>
      </c>
      <c r="E1939" s="1" t="s">
        <v>175</v>
      </c>
      <c r="F1939" s="1" t="s">
        <v>244</v>
      </c>
      <c r="G1939" s="1" t="s">
        <v>97</v>
      </c>
      <c r="H1939" s="1" t="s">
        <v>57</v>
      </c>
      <c r="I1939" s="1" t="s">
        <v>34</v>
      </c>
      <c r="J1939" s="1" t="s">
        <v>77</v>
      </c>
      <c r="K1939" s="1" t="s">
        <v>90</v>
      </c>
      <c r="L1939" s="1" t="s">
        <v>136</v>
      </c>
      <c r="M1939" s="1" t="s">
        <v>62</v>
      </c>
      <c r="N1939" s="1" t="n">
        <v>19999</v>
      </c>
      <c r="O1939" s="1" t="n">
        <v>0</v>
      </c>
      <c r="P1939" s="1" t="n">
        <v>0</v>
      </c>
      <c r="Q1939" s="1" t="n">
        <v>19999</v>
      </c>
      <c r="R1939" s="1" t="n">
        <v>3599.82</v>
      </c>
      <c r="S1939" s="1" t="n">
        <v>16399.18</v>
      </c>
      <c r="T1939" s="1" t="n">
        <v>5958.75</v>
      </c>
      <c r="U1939" s="1" t="n">
        <v>10440.43</v>
      </c>
      <c r="V1939" s="1" t="n">
        <v>63.66</v>
      </c>
      <c r="W1939" s="1" t="s">
        <v>39</v>
      </c>
      <c r="X1939" s="1" t="n">
        <v>4.8</v>
      </c>
      <c r="Y1939" s="1" t="s">
        <v>40</v>
      </c>
      <c r="Z1939" s="1" t="n">
        <v>0</v>
      </c>
      <c r="AA1939" s="1" t="str">
        <f aca="false">TRIM(PROPER(F1939))</f>
        <v>Nagpur</v>
      </c>
      <c r="AB1939" s="1" t="str">
        <f aca="false">TRIM(PROPER(C1939))</f>
        <v>Simplilearn</v>
      </c>
      <c r="AC1939" s="1" t="str">
        <f aca="false">IF(O1939=0,"No Discount",IF(O1939&lt;=15,"Low (1-15%)",IF(O1939&lt;=30,"Medium (16-30%)","High (&gt;30%)")))</f>
        <v>No Discount</v>
      </c>
      <c r="AD1939" s="1" t="str">
        <f aca="false">IF(V1939&lt;0,"Loss Making",IF(V1939&lt;20,"Low Margin","Healthy Margin"))</f>
        <v>Healthy Margin</v>
      </c>
      <c r="AE1939" s="1" t="str">
        <f aca="false">TEXT(DATE(VALUE(RIGHT(B1939,4)),VALUE(MID(B1939,4,2)),VALUE(LEFT(B1939,2))),"MMM-YYYY")</f>
        <v>Apr-2023</v>
      </c>
      <c r="AF1939" s="1" t="n">
        <f aca="false">VALUE(RIGHT(B1939,4))</f>
        <v>2023</v>
      </c>
      <c r="AG1939" s="1" t="str">
        <f aca="false">CHOOSE(ROUNDUP(VALUE(MID(B1939,4,2))/3,0),"Q1","Q2","Q3","Q4")</f>
        <v>Q2</v>
      </c>
    </row>
    <row r="1940" customFormat="false" ht="15" hidden="false" customHeight="true" outlineLevel="0" collapsed="false">
      <c r="A1940" s="1" t="s">
        <v>2792</v>
      </c>
      <c r="B1940" s="1" t="s">
        <v>239</v>
      </c>
      <c r="C1940" s="1" t="s">
        <v>119</v>
      </c>
      <c r="D1940" s="1" t="s">
        <v>53</v>
      </c>
      <c r="E1940" s="1" t="s">
        <v>54</v>
      </c>
      <c r="F1940" s="1" t="s">
        <v>96</v>
      </c>
      <c r="G1940" s="1" t="s">
        <v>97</v>
      </c>
      <c r="H1940" s="1" t="s">
        <v>69</v>
      </c>
      <c r="I1940" s="1" t="s">
        <v>58</v>
      </c>
      <c r="J1940" s="1" t="s">
        <v>35</v>
      </c>
      <c r="K1940" s="1" t="s">
        <v>48</v>
      </c>
      <c r="L1940" s="1" t="s">
        <v>136</v>
      </c>
      <c r="M1940" s="1" t="s">
        <v>62</v>
      </c>
      <c r="N1940" s="1" t="n">
        <v>11999</v>
      </c>
      <c r="O1940" s="1" t="n">
        <v>20</v>
      </c>
      <c r="P1940" s="1" t="n">
        <v>2399.8</v>
      </c>
      <c r="Q1940" s="1" t="n">
        <v>9599.2</v>
      </c>
      <c r="R1940" s="1" t="n">
        <v>1727.86</v>
      </c>
      <c r="S1940" s="1" t="n">
        <v>7871.34</v>
      </c>
      <c r="T1940" s="1" t="n">
        <v>2899.3</v>
      </c>
      <c r="U1940" s="1" t="n">
        <v>4972.04</v>
      </c>
      <c r="V1940" s="1" t="n">
        <v>63.17</v>
      </c>
      <c r="W1940" s="1" t="s">
        <v>40</v>
      </c>
      <c r="Y1940" s="1" t="s">
        <v>40</v>
      </c>
      <c r="Z1940" s="1" t="n">
        <v>1</v>
      </c>
      <c r="AA1940" s="1" t="str">
        <f aca="false">TRIM(PROPER(F1940))</f>
        <v>Pune</v>
      </c>
      <c r="AB1940" s="1" t="str">
        <f aca="false">TRIM(PROPER(C1940))</f>
        <v>Simplilearn</v>
      </c>
      <c r="AC1940" s="1" t="str">
        <f aca="false">IF(O1940=0,"No Discount",IF(O1940&lt;=15,"Low (1-15%)",IF(O1940&lt;=30,"Medium (16-30%)","High (&gt;30%)")))</f>
        <v>Medium (16-30%)</v>
      </c>
      <c r="AD1940" s="1" t="str">
        <f aca="false">IF(V1940&lt;0,"Loss Making",IF(V1940&lt;20,"Low Margin","Healthy Margin"))</f>
        <v>Healthy Margin</v>
      </c>
      <c r="AE1940" s="1" t="str">
        <f aca="false">TEXT(DATE(VALUE(RIGHT(B1940,4)),VALUE(MID(B1940,4,2)),VALUE(LEFT(B1940,2))),"MMM-YYYY")</f>
        <v>Oct-2024</v>
      </c>
      <c r="AF1940" s="1" t="n">
        <f aca="false">VALUE(RIGHT(B1940,4))</f>
        <v>2024</v>
      </c>
      <c r="AG1940" s="1" t="str">
        <f aca="false">CHOOSE(ROUNDUP(VALUE(MID(B1940,4,2))/3,0),"Q1","Q2","Q3","Q4")</f>
        <v>Q4</v>
      </c>
    </row>
    <row r="1941" customFormat="false" ht="15" hidden="false" customHeight="true" outlineLevel="0" collapsed="false">
      <c r="A1941" s="1" t="s">
        <v>2793</v>
      </c>
      <c r="B1941" s="1" t="s">
        <v>133</v>
      </c>
      <c r="C1941" s="1" t="s">
        <v>100</v>
      </c>
      <c r="D1941" s="1" t="s">
        <v>123</v>
      </c>
      <c r="E1941" s="1" t="s">
        <v>147</v>
      </c>
      <c r="F1941" s="1" t="s">
        <v>125</v>
      </c>
      <c r="G1941" s="1" t="s">
        <v>108</v>
      </c>
      <c r="H1941" s="1" t="s">
        <v>69</v>
      </c>
      <c r="I1941" s="1" t="s">
        <v>34</v>
      </c>
      <c r="J1941" s="1" t="s">
        <v>77</v>
      </c>
      <c r="K1941" s="1" t="s">
        <v>48</v>
      </c>
      <c r="L1941" s="1" t="s">
        <v>136</v>
      </c>
      <c r="M1941" s="1" t="s">
        <v>62</v>
      </c>
      <c r="N1941" s="1" t="n">
        <v>6999</v>
      </c>
      <c r="O1941" s="1" t="n">
        <v>25</v>
      </c>
      <c r="P1941" s="1" t="n">
        <v>1749.75</v>
      </c>
      <c r="Q1941" s="1" t="n">
        <v>5249.25</v>
      </c>
      <c r="R1941" s="1" t="n">
        <v>944.87</v>
      </c>
      <c r="S1941" s="1" t="n">
        <v>4304.38</v>
      </c>
      <c r="T1941" s="1" t="n">
        <v>1326.71</v>
      </c>
      <c r="U1941" s="1" t="n">
        <v>2977.67</v>
      </c>
      <c r="V1941" s="1" t="n">
        <v>69.18</v>
      </c>
      <c r="W1941" s="1" t="s">
        <v>39</v>
      </c>
      <c r="X1941" s="1" t="n">
        <v>4.1</v>
      </c>
      <c r="Y1941" s="1" t="s">
        <v>40</v>
      </c>
      <c r="Z1941" s="1" t="n">
        <v>0</v>
      </c>
      <c r="AA1941" s="1" t="str">
        <f aca="false">TRIM(PROPER(F1941))</f>
        <v>Chennai</v>
      </c>
      <c r="AB1941" s="1" t="str">
        <f aca="false">TRIM(PROPER(C1941))</f>
        <v>Physics Wallah</v>
      </c>
      <c r="AC1941" s="1" t="str">
        <f aca="false">IF(O1941=0,"No Discount",IF(O1941&lt;=15,"Low (1-15%)",IF(O1941&lt;=30,"Medium (16-30%)","High (&gt;30%)")))</f>
        <v>Medium (16-30%)</v>
      </c>
      <c r="AD1941" s="1" t="str">
        <f aca="false">IF(V1941&lt;0,"Loss Making",IF(V1941&lt;20,"Low Margin","Healthy Margin"))</f>
        <v>Healthy Margin</v>
      </c>
      <c r="AE1941" s="1" t="str">
        <f aca="false">TEXT(DATE(VALUE(RIGHT(B1941,4)),VALUE(MID(B1941,4,2)),VALUE(LEFT(B1941,2))),"MMM-YYYY")</f>
        <v>Nov-2024</v>
      </c>
      <c r="AF1941" s="1" t="n">
        <f aca="false">VALUE(RIGHT(B1941,4))</f>
        <v>2024</v>
      </c>
      <c r="AG1941" s="1" t="str">
        <f aca="false">CHOOSE(ROUNDUP(VALUE(MID(B1941,4,2))/3,0),"Q1","Q2","Q3","Q4")</f>
        <v>Q4</v>
      </c>
    </row>
    <row r="1942" customFormat="false" ht="15" hidden="false" customHeight="true" outlineLevel="0" collapsed="false">
      <c r="A1942" s="1" t="s">
        <v>2794</v>
      </c>
      <c r="B1942" s="1" t="s">
        <v>1337</v>
      </c>
      <c r="C1942" s="1" t="s">
        <v>128</v>
      </c>
      <c r="D1942" s="1" t="s">
        <v>29</v>
      </c>
      <c r="E1942" s="1" t="s">
        <v>129</v>
      </c>
      <c r="F1942" s="1" t="s">
        <v>120</v>
      </c>
      <c r="G1942" s="1" t="s">
        <v>47</v>
      </c>
      <c r="H1942" s="1" t="s">
        <v>57</v>
      </c>
      <c r="I1942" s="1" t="s">
        <v>58</v>
      </c>
      <c r="J1942" s="1" t="s">
        <v>70</v>
      </c>
      <c r="K1942" s="1" t="s">
        <v>71</v>
      </c>
      <c r="L1942" s="1" t="s">
        <v>113</v>
      </c>
      <c r="M1942" s="1" t="s">
        <v>62</v>
      </c>
      <c r="N1942" s="1" t="n">
        <v>29999</v>
      </c>
      <c r="O1942" s="1" t="n">
        <v>0</v>
      </c>
      <c r="P1942" s="1" t="n">
        <v>0</v>
      </c>
      <c r="Q1942" s="1" t="n">
        <v>29999</v>
      </c>
      <c r="R1942" s="1" t="n">
        <v>5399.82</v>
      </c>
      <c r="S1942" s="1" t="n">
        <v>24599.18</v>
      </c>
      <c r="T1942" s="1" t="n">
        <v>11619.54</v>
      </c>
      <c r="U1942" s="1" t="n">
        <v>12979.64</v>
      </c>
      <c r="V1942" s="1" t="n">
        <v>52.76</v>
      </c>
      <c r="W1942" s="1" t="s">
        <v>40</v>
      </c>
      <c r="Y1942" s="1" t="s">
        <v>39</v>
      </c>
      <c r="Z1942" s="1" t="n">
        <v>2</v>
      </c>
      <c r="AA1942" s="1" t="str">
        <f aca="false">TRIM(PROPER(F1942))</f>
        <v>Mysuru</v>
      </c>
      <c r="AB1942" s="1" t="str">
        <f aca="false">TRIM(PROPER(C1942))</f>
        <v>Great Learning</v>
      </c>
      <c r="AC1942" s="1" t="str">
        <f aca="false">IF(O1942=0,"No Discount",IF(O1942&lt;=15,"Low (1-15%)",IF(O1942&lt;=30,"Medium (16-30%)","High (&gt;30%)")))</f>
        <v>No Discount</v>
      </c>
      <c r="AD1942" s="1" t="str">
        <f aca="false">IF(V1942&lt;0,"Loss Making",IF(V1942&lt;20,"Low Margin","Healthy Margin"))</f>
        <v>Healthy Margin</v>
      </c>
      <c r="AE1942" s="1" t="str">
        <f aca="false">TEXT(DATE(VALUE(RIGHT(B1942,4)),VALUE(MID(B1942,4,2)),VALUE(LEFT(B1942,2))),"MMM-YYYY")</f>
        <v>Dec-2023</v>
      </c>
      <c r="AF1942" s="1" t="n">
        <f aca="false">VALUE(RIGHT(B1942,4))</f>
        <v>2023</v>
      </c>
      <c r="AG1942" s="1" t="str">
        <f aca="false">CHOOSE(ROUNDUP(VALUE(MID(B1942,4,2))/3,0),"Q1","Q2","Q3","Q4")</f>
        <v>Q4</v>
      </c>
    </row>
    <row r="1943" customFormat="false" ht="15" hidden="false" customHeight="true" outlineLevel="0" collapsed="false">
      <c r="A1943" s="1" t="s">
        <v>2795</v>
      </c>
      <c r="B1943" s="1" t="s">
        <v>1553</v>
      </c>
      <c r="C1943" s="1" t="s">
        <v>119</v>
      </c>
      <c r="D1943" s="1" t="s">
        <v>44</v>
      </c>
      <c r="E1943" s="1" t="s">
        <v>66</v>
      </c>
      <c r="F1943" s="1" t="s">
        <v>211</v>
      </c>
      <c r="G1943" s="1" t="s">
        <v>56</v>
      </c>
      <c r="H1943" s="1" t="s">
        <v>69</v>
      </c>
      <c r="I1943" s="1" t="s">
        <v>83</v>
      </c>
      <c r="J1943" s="1" t="s">
        <v>35</v>
      </c>
      <c r="K1943" s="1" t="s">
        <v>71</v>
      </c>
      <c r="L1943" s="1" t="s">
        <v>136</v>
      </c>
      <c r="M1943" s="1" t="s">
        <v>50</v>
      </c>
      <c r="N1943" s="1" t="n">
        <v>12999</v>
      </c>
      <c r="O1943" s="1" t="n">
        <v>25</v>
      </c>
      <c r="P1943" s="1" t="n">
        <v>3249.75</v>
      </c>
      <c r="Q1943" s="1" t="n">
        <v>9749.25</v>
      </c>
      <c r="R1943" s="1" t="n">
        <v>1754.87</v>
      </c>
      <c r="S1943" s="1" t="n">
        <v>7994.38</v>
      </c>
      <c r="T1943" s="1" t="n">
        <v>3404.54</v>
      </c>
      <c r="U1943" s="1" t="n">
        <v>4589.84</v>
      </c>
      <c r="V1943" s="1" t="n">
        <v>57.41</v>
      </c>
      <c r="W1943" s="1" t="s">
        <v>39</v>
      </c>
      <c r="X1943" s="1" t="n">
        <v>3.7</v>
      </c>
      <c r="Y1943" s="1" t="s">
        <v>40</v>
      </c>
      <c r="Z1943" s="1" t="n">
        <v>0</v>
      </c>
      <c r="AA1943" s="1" t="str">
        <f aca="false">TRIM(PROPER(F1943))</f>
        <v>Noida</v>
      </c>
      <c r="AB1943" s="1" t="str">
        <f aca="false">TRIM(PROPER(C1943))</f>
        <v>Simplilearn</v>
      </c>
      <c r="AC1943" s="1" t="str">
        <f aca="false">IF(O1943=0,"No Discount",IF(O1943&lt;=15,"Low (1-15%)",IF(O1943&lt;=30,"Medium (16-30%)","High (&gt;30%)")))</f>
        <v>Medium (16-30%)</v>
      </c>
      <c r="AD1943" s="1" t="str">
        <f aca="false">IF(V1943&lt;0,"Loss Making",IF(V1943&lt;20,"Low Margin","Healthy Margin"))</f>
        <v>Healthy Margin</v>
      </c>
      <c r="AE1943" s="1" t="str">
        <f aca="false">TEXT(DATE(VALUE(RIGHT(B1943,4)),VALUE(MID(B1943,4,2)),VALUE(LEFT(B1943,2))),"MMM-YYYY")</f>
        <v>May-2023</v>
      </c>
      <c r="AF1943" s="1" t="n">
        <f aca="false">VALUE(RIGHT(B1943,4))</f>
        <v>2023</v>
      </c>
      <c r="AG1943" s="1" t="str">
        <f aca="false">CHOOSE(ROUNDUP(VALUE(MID(B1943,4,2))/3,0),"Q1","Q2","Q3","Q4")</f>
        <v>Q2</v>
      </c>
    </row>
    <row r="1944" customFormat="false" ht="15" hidden="false" customHeight="true" outlineLevel="0" collapsed="false">
      <c r="A1944" s="1" t="s">
        <v>2796</v>
      </c>
      <c r="B1944" s="1" t="s">
        <v>1663</v>
      </c>
      <c r="C1944" s="1" t="s">
        <v>119</v>
      </c>
      <c r="D1944" s="1" t="s">
        <v>44</v>
      </c>
      <c r="E1944" s="1" t="s">
        <v>66</v>
      </c>
      <c r="F1944" s="1" t="s">
        <v>96</v>
      </c>
      <c r="G1944" s="1" t="s">
        <v>97</v>
      </c>
      <c r="H1944" s="1" t="s">
        <v>69</v>
      </c>
      <c r="I1944" s="1" t="s">
        <v>34</v>
      </c>
      <c r="J1944" s="1" t="s">
        <v>70</v>
      </c>
      <c r="K1944" s="1" t="s">
        <v>84</v>
      </c>
      <c r="L1944" s="1" t="s">
        <v>37</v>
      </c>
      <c r="M1944" s="1" t="s">
        <v>62</v>
      </c>
      <c r="N1944" s="1" t="n">
        <v>12999</v>
      </c>
      <c r="O1944" s="1" t="n">
        <v>0</v>
      </c>
      <c r="P1944" s="1" t="n">
        <v>0</v>
      </c>
      <c r="Q1944" s="1" t="n">
        <v>12999</v>
      </c>
      <c r="R1944" s="1" t="n">
        <v>2339.82</v>
      </c>
      <c r="S1944" s="1" t="n">
        <v>10659.18</v>
      </c>
      <c r="T1944" s="1" t="n">
        <v>3863.73</v>
      </c>
      <c r="U1944" s="1" t="n">
        <v>6795.45</v>
      </c>
      <c r="V1944" s="1" t="n">
        <v>63.75</v>
      </c>
      <c r="W1944" s="1" t="s">
        <v>40</v>
      </c>
      <c r="Y1944" s="1" t="s">
        <v>40</v>
      </c>
      <c r="Z1944" s="1" t="n">
        <v>0</v>
      </c>
      <c r="AA1944" s="1" t="str">
        <f aca="false">TRIM(PROPER(F1944))</f>
        <v>Pune</v>
      </c>
      <c r="AB1944" s="1" t="str">
        <f aca="false">TRIM(PROPER(C1944))</f>
        <v>Simplilearn</v>
      </c>
      <c r="AC1944" s="1" t="str">
        <f aca="false">IF(O1944=0,"No Discount",IF(O1944&lt;=15,"Low (1-15%)",IF(O1944&lt;=30,"Medium (16-30%)","High (&gt;30%)")))</f>
        <v>No Discount</v>
      </c>
      <c r="AD1944" s="1" t="str">
        <f aca="false">IF(V1944&lt;0,"Loss Making",IF(V1944&lt;20,"Low Margin","Healthy Margin"))</f>
        <v>Healthy Margin</v>
      </c>
      <c r="AE1944" s="1" t="str">
        <f aca="false">TEXT(DATE(VALUE(RIGHT(B1944,4)),VALUE(MID(B1944,4,2)),VALUE(LEFT(B1944,2))),"MMM-YYYY")</f>
        <v>Nov-2023</v>
      </c>
      <c r="AF1944" s="1" t="n">
        <f aca="false">VALUE(RIGHT(B1944,4))</f>
        <v>2023</v>
      </c>
      <c r="AG1944" s="1" t="str">
        <f aca="false">CHOOSE(ROUNDUP(VALUE(MID(B1944,4,2))/3,0),"Q1","Q2","Q3","Q4")</f>
        <v>Q4</v>
      </c>
    </row>
    <row r="1945" customFormat="false" ht="15" hidden="false" customHeight="true" outlineLevel="0" collapsed="false">
      <c r="A1945" s="1" t="s">
        <v>2797</v>
      </c>
      <c r="B1945" s="1" t="s">
        <v>1492</v>
      </c>
      <c r="C1945" s="1" t="s">
        <v>139</v>
      </c>
      <c r="D1945" s="1" t="s">
        <v>123</v>
      </c>
      <c r="E1945" s="1" t="s">
        <v>124</v>
      </c>
      <c r="F1945" s="1" t="s">
        <v>107</v>
      </c>
      <c r="G1945" s="1" t="s">
        <v>108</v>
      </c>
      <c r="H1945" s="1" t="s">
        <v>33</v>
      </c>
      <c r="I1945" s="1" t="s">
        <v>58</v>
      </c>
      <c r="J1945" s="1" t="s">
        <v>59</v>
      </c>
      <c r="K1945" s="1" t="s">
        <v>60</v>
      </c>
      <c r="L1945" s="1" t="s">
        <v>49</v>
      </c>
      <c r="M1945" s="1" t="s">
        <v>50</v>
      </c>
      <c r="N1945" s="1" t="n">
        <v>4999</v>
      </c>
      <c r="O1945" s="1" t="n">
        <v>30</v>
      </c>
      <c r="P1945" s="1" t="n">
        <v>1499.7</v>
      </c>
      <c r="Q1945" s="1" t="n">
        <v>3499.3</v>
      </c>
      <c r="R1945" s="1" t="n">
        <v>629.87</v>
      </c>
      <c r="S1945" s="1" t="n">
        <v>2869.43</v>
      </c>
      <c r="T1945" s="1" t="n">
        <v>1381.59</v>
      </c>
      <c r="U1945" s="1" t="n">
        <v>1487.84</v>
      </c>
      <c r="V1945" s="1" t="n">
        <v>51.85</v>
      </c>
      <c r="W1945" s="1" t="s">
        <v>39</v>
      </c>
      <c r="X1945" s="1" t="n">
        <v>2.6</v>
      </c>
      <c r="Y1945" s="1" t="s">
        <v>40</v>
      </c>
      <c r="Z1945" s="1" t="n">
        <v>0</v>
      </c>
      <c r="AA1945" s="1" t="str">
        <f aca="false">TRIM(PROPER(F1945))</f>
        <v>Madurai</v>
      </c>
      <c r="AB1945" s="1" t="str">
        <f aca="false">TRIM(PROPER(C1945))</f>
        <v>Extramarks</v>
      </c>
      <c r="AC1945" s="1" t="str">
        <f aca="false">IF(O1945=0,"No Discount",IF(O1945&lt;=15,"Low (1-15%)",IF(O1945&lt;=30,"Medium (16-30%)","High (&gt;30%)")))</f>
        <v>Medium (16-30%)</v>
      </c>
      <c r="AD1945" s="1" t="str">
        <f aca="false">IF(V1945&lt;0,"Loss Making",IF(V1945&lt;20,"Low Margin","Healthy Margin"))</f>
        <v>Healthy Margin</v>
      </c>
      <c r="AE1945" s="1" t="str">
        <f aca="false">TEXT(DATE(VALUE(RIGHT(B1945,4)),VALUE(MID(B1945,4,2)),VALUE(LEFT(B1945,2))),"MMM-YYYY")</f>
        <v>Sep-2023</v>
      </c>
      <c r="AF1945" s="1" t="n">
        <f aca="false">VALUE(RIGHT(B1945,4))</f>
        <v>2023</v>
      </c>
      <c r="AG1945" s="1" t="str">
        <f aca="false">CHOOSE(ROUNDUP(VALUE(MID(B1945,4,2))/3,0),"Q1","Q2","Q3","Q4")</f>
        <v>Q3</v>
      </c>
    </row>
    <row r="1946" customFormat="false" ht="15" hidden="false" customHeight="true" outlineLevel="0" collapsed="false">
      <c r="A1946" s="1" t="s">
        <v>2798</v>
      </c>
      <c r="B1946" s="1" t="s">
        <v>2197</v>
      </c>
      <c r="C1946" s="1" t="s">
        <v>74</v>
      </c>
      <c r="D1946" s="1" t="s">
        <v>80</v>
      </c>
      <c r="E1946" s="1" t="s">
        <v>81</v>
      </c>
      <c r="F1946" s="1" t="s">
        <v>187</v>
      </c>
      <c r="G1946" s="1" t="s">
        <v>97</v>
      </c>
      <c r="H1946" s="1" t="s">
        <v>69</v>
      </c>
      <c r="I1946" s="1" t="s">
        <v>83</v>
      </c>
      <c r="J1946" s="1" t="s">
        <v>77</v>
      </c>
      <c r="K1946" s="1" t="s">
        <v>90</v>
      </c>
      <c r="L1946" s="1" t="s">
        <v>37</v>
      </c>
      <c r="M1946" s="1" t="s">
        <v>50</v>
      </c>
      <c r="N1946" s="1" t="n">
        <v>12999</v>
      </c>
      <c r="O1946" s="1" t="n">
        <v>25</v>
      </c>
      <c r="P1946" s="1" t="n">
        <v>3249.75</v>
      </c>
      <c r="Q1946" s="1" t="n">
        <v>9749.25</v>
      </c>
      <c r="R1946" s="1" t="n">
        <v>1754.87</v>
      </c>
      <c r="S1946" s="1" t="n">
        <v>7994.38</v>
      </c>
      <c r="T1946" s="1" t="n">
        <v>3438.82</v>
      </c>
      <c r="U1946" s="1" t="n">
        <v>4555.56</v>
      </c>
      <c r="V1946" s="1" t="n">
        <v>56.98</v>
      </c>
      <c r="W1946" s="1" t="s">
        <v>40</v>
      </c>
      <c r="Y1946" s="1" t="s">
        <v>40</v>
      </c>
      <c r="Z1946" s="1" t="n">
        <v>1</v>
      </c>
      <c r="AA1946" s="1" t="str">
        <f aca="false">TRIM(PROPER(F1946))</f>
        <v>Mumbai</v>
      </c>
      <c r="AB1946" s="1" t="str">
        <f aca="false">TRIM(PROPER(C1946))</f>
        <v>Vedantu</v>
      </c>
      <c r="AC1946" s="1" t="str">
        <f aca="false">IF(O1946=0,"No Discount",IF(O1946&lt;=15,"Low (1-15%)",IF(O1946&lt;=30,"Medium (16-30%)","High (&gt;30%)")))</f>
        <v>Medium (16-30%)</v>
      </c>
      <c r="AD1946" s="1" t="str">
        <f aca="false">IF(V1946&lt;0,"Loss Making",IF(V1946&lt;20,"Low Margin","Healthy Margin"))</f>
        <v>Healthy Margin</v>
      </c>
      <c r="AE1946" s="1" t="str">
        <f aca="false">TEXT(DATE(VALUE(RIGHT(B1946,4)),VALUE(MID(B1946,4,2)),VALUE(LEFT(B1946,2))),"MMM-YYYY")</f>
        <v>Jan-2023</v>
      </c>
      <c r="AF1946" s="1" t="n">
        <f aca="false">VALUE(RIGHT(B1946,4))</f>
        <v>2023</v>
      </c>
      <c r="AG1946" s="1" t="str">
        <f aca="false">CHOOSE(ROUNDUP(VALUE(MID(B1946,4,2))/3,0),"Q1","Q2","Q3","Q4")</f>
        <v>Q1</v>
      </c>
    </row>
    <row r="1947" customFormat="false" ht="15" hidden="false" customHeight="true" outlineLevel="0" collapsed="false">
      <c r="A1947" s="1" t="s">
        <v>2799</v>
      </c>
      <c r="B1947" s="1" t="s">
        <v>1145</v>
      </c>
      <c r="C1947" s="1" t="s">
        <v>88</v>
      </c>
      <c r="D1947" s="1" t="s">
        <v>80</v>
      </c>
      <c r="E1947" s="1" t="s">
        <v>175</v>
      </c>
      <c r="F1947" s="1" t="s">
        <v>184</v>
      </c>
      <c r="G1947" s="1" t="s">
        <v>56</v>
      </c>
      <c r="H1947" s="1" t="s">
        <v>57</v>
      </c>
      <c r="I1947" s="1" t="s">
        <v>34</v>
      </c>
      <c r="J1947" s="1" t="s">
        <v>59</v>
      </c>
      <c r="K1947" s="1" t="s">
        <v>90</v>
      </c>
      <c r="L1947" s="1" t="s">
        <v>113</v>
      </c>
      <c r="M1947" s="1" t="s">
        <v>50</v>
      </c>
      <c r="N1947" s="1" t="n">
        <v>19999</v>
      </c>
      <c r="O1947" s="1" t="n">
        <v>10</v>
      </c>
      <c r="P1947" s="1" t="n">
        <v>1999.9</v>
      </c>
      <c r="Q1947" s="1" t="n">
        <v>17999.1</v>
      </c>
      <c r="R1947" s="1" t="n">
        <v>3239.84</v>
      </c>
      <c r="S1947" s="1" t="n">
        <v>14759.26</v>
      </c>
      <c r="T1947" s="1" t="n">
        <v>6657.86</v>
      </c>
      <c r="U1947" s="1" t="n">
        <v>8101.4</v>
      </c>
      <c r="V1947" s="1" t="n">
        <v>54.89</v>
      </c>
      <c r="W1947" s="1" t="s">
        <v>39</v>
      </c>
      <c r="X1947" s="1" t="n">
        <v>3.2</v>
      </c>
      <c r="Y1947" s="1" t="s">
        <v>40</v>
      </c>
      <c r="Z1947" s="1" t="n">
        <v>0</v>
      </c>
      <c r="AA1947" s="1" t="str">
        <f aca="false">TRIM(PROPER(F1947))</f>
        <v>Faridabad</v>
      </c>
      <c r="AB1947" s="1" t="str">
        <f aca="false">TRIM(PROPER(C1947))</f>
        <v>Byju'S</v>
      </c>
      <c r="AC1947" s="1" t="str">
        <f aca="false">IF(O1947=0,"No Discount",IF(O1947&lt;=15,"Low (1-15%)",IF(O1947&lt;=30,"Medium (16-30%)","High (&gt;30%)")))</f>
        <v>Low (1-15%)</v>
      </c>
      <c r="AD1947" s="1" t="str">
        <f aca="false">IF(V1947&lt;0,"Loss Making",IF(V1947&lt;20,"Low Margin","Healthy Margin"))</f>
        <v>Healthy Margin</v>
      </c>
      <c r="AE1947" s="1" t="str">
        <f aca="false">TEXT(DATE(VALUE(RIGHT(B1947,4)),VALUE(MID(B1947,4,2)),VALUE(LEFT(B1947,2))),"MMM-YYYY")</f>
        <v>Jul-2024</v>
      </c>
      <c r="AF1947" s="1" t="n">
        <f aca="false">VALUE(RIGHT(B1947,4))</f>
        <v>2024</v>
      </c>
      <c r="AG1947" s="1" t="str">
        <f aca="false">CHOOSE(ROUNDUP(VALUE(MID(B1947,4,2))/3,0),"Q1","Q2","Q3","Q4")</f>
        <v>Q3</v>
      </c>
    </row>
    <row r="1948" customFormat="false" ht="15" hidden="false" customHeight="true" outlineLevel="0" collapsed="false">
      <c r="A1948" s="1" t="s">
        <v>2800</v>
      </c>
      <c r="B1948" s="1" t="s">
        <v>410</v>
      </c>
      <c r="C1948" s="1" t="s">
        <v>119</v>
      </c>
      <c r="D1948" s="1" t="s">
        <v>168</v>
      </c>
      <c r="E1948" s="1" t="s">
        <v>172</v>
      </c>
      <c r="F1948" s="1" t="s">
        <v>82</v>
      </c>
      <c r="G1948" s="1" t="s">
        <v>56</v>
      </c>
      <c r="H1948" s="1" t="s">
        <v>69</v>
      </c>
      <c r="I1948" s="1" t="s">
        <v>83</v>
      </c>
      <c r="J1948" s="1" t="s">
        <v>70</v>
      </c>
      <c r="K1948" s="1" t="s">
        <v>112</v>
      </c>
      <c r="L1948" s="1" t="s">
        <v>113</v>
      </c>
      <c r="M1948" s="1" t="s">
        <v>62</v>
      </c>
      <c r="N1948" s="1" t="n">
        <v>6999</v>
      </c>
      <c r="O1948" s="1" t="n">
        <v>5</v>
      </c>
      <c r="P1948" s="1" t="n">
        <v>349.95</v>
      </c>
      <c r="Q1948" s="1" t="n">
        <v>6649.05</v>
      </c>
      <c r="R1948" s="1" t="n">
        <v>1196.83</v>
      </c>
      <c r="S1948" s="1" t="n">
        <v>5452.22</v>
      </c>
      <c r="T1948" s="1" t="n">
        <v>1939.36</v>
      </c>
      <c r="U1948" s="1" t="n">
        <v>3512.86</v>
      </c>
      <c r="V1948" s="1" t="n">
        <v>64.43</v>
      </c>
      <c r="W1948" s="1" t="s">
        <v>39</v>
      </c>
      <c r="X1948" s="1" t="n">
        <v>2.3</v>
      </c>
      <c r="Y1948" s="1" t="s">
        <v>40</v>
      </c>
      <c r="Z1948" s="1" t="n">
        <v>0</v>
      </c>
      <c r="AA1948" s="1" t="str">
        <f aca="false">TRIM(PROPER(F1948))</f>
        <v>Gurugram</v>
      </c>
      <c r="AB1948" s="1" t="str">
        <f aca="false">TRIM(PROPER(C1948))</f>
        <v>Simplilearn</v>
      </c>
      <c r="AC1948" s="1" t="str">
        <f aca="false">IF(O1948=0,"No Discount",IF(O1948&lt;=15,"Low (1-15%)",IF(O1948&lt;=30,"Medium (16-30%)","High (&gt;30%)")))</f>
        <v>Low (1-15%)</v>
      </c>
      <c r="AD1948" s="1" t="str">
        <f aca="false">IF(V1948&lt;0,"Loss Making",IF(V1948&lt;20,"Low Margin","Healthy Margin"))</f>
        <v>Healthy Margin</v>
      </c>
      <c r="AE1948" s="1" t="str">
        <f aca="false">TEXT(DATE(VALUE(RIGHT(B1948,4)),VALUE(MID(B1948,4,2)),VALUE(LEFT(B1948,2))),"MMM-YYYY")</f>
        <v>Feb-2024</v>
      </c>
      <c r="AF1948" s="1" t="n">
        <f aca="false">VALUE(RIGHT(B1948,4))</f>
        <v>2024</v>
      </c>
      <c r="AG1948" s="1" t="str">
        <f aca="false">CHOOSE(ROUNDUP(VALUE(MID(B1948,4,2))/3,0),"Q1","Q2","Q3","Q4")</f>
        <v>Q1</v>
      </c>
    </row>
    <row r="1949" customFormat="false" ht="15" hidden="false" customHeight="true" outlineLevel="0" collapsed="false">
      <c r="A1949" s="1" t="s">
        <v>2801</v>
      </c>
      <c r="B1949" s="1" t="s">
        <v>2633</v>
      </c>
      <c r="C1949" s="1" t="s">
        <v>178</v>
      </c>
      <c r="D1949" s="1" t="s">
        <v>143</v>
      </c>
      <c r="E1949" s="1" t="s">
        <v>162</v>
      </c>
      <c r="F1949" s="1" t="s">
        <v>89</v>
      </c>
      <c r="G1949" s="1" t="s">
        <v>68</v>
      </c>
      <c r="H1949" s="1" t="s">
        <v>33</v>
      </c>
      <c r="I1949" s="1" t="s">
        <v>83</v>
      </c>
      <c r="J1949" s="1" t="s">
        <v>70</v>
      </c>
      <c r="K1949" s="1" t="s">
        <v>104</v>
      </c>
      <c r="L1949" s="1" t="s">
        <v>61</v>
      </c>
      <c r="M1949" s="1" t="s">
        <v>62</v>
      </c>
      <c r="N1949" s="1" t="n">
        <v>14999</v>
      </c>
      <c r="O1949" s="1" t="n">
        <v>30</v>
      </c>
      <c r="P1949" s="1" t="n">
        <v>4499.7</v>
      </c>
      <c r="Q1949" s="1" t="n">
        <v>10499.3</v>
      </c>
      <c r="R1949" s="1" t="n">
        <v>1889.87</v>
      </c>
      <c r="S1949" s="1" t="n">
        <v>8609.43</v>
      </c>
      <c r="T1949" s="1" t="n">
        <v>4226.14</v>
      </c>
      <c r="U1949" s="1" t="n">
        <v>4383.29</v>
      </c>
      <c r="V1949" s="1" t="n">
        <v>50.91</v>
      </c>
      <c r="W1949" s="1" t="s">
        <v>39</v>
      </c>
      <c r="Y1949" s="1" t="s">
        <v>40</v>
      </c>
      <c r="Z1949" s="1" t="n">
        <v>0</v>
      </c>
      <c r="AA1949" s="1" t="str">
        <f aca="false">TRIM(PROPER(F1949))</f>
        <v>Vadodara</v>
      </c>
      <c r="AB1949" s="1" t="str">
        <f aca="false">TRIM(PROPER(C1949))</f>
        <v>Leverage Edu</v>
      </c>
      <c r="AC1949" s="1" t="str">
        <f aca="false">IF(O1949=0,"No Discount",IF(O1949&lt;=15,"Low (1-15%)",IF(O1949&lt;=30,"Medium (16-30%)","High (&gt;30%)")))</f>
        <v>Medium (16-30%)</v>
      </c>
      <c r="AD1949" s="1" t="str">
        <f aca="false">IF(V1949&lt;0,"Loss Making",IF(V1949&lt;20,"Low Margin","Healthy Margin"))</f>
        <v>Healthy Margin</v>
      </c>
      <c r="AE1949" s="1" t="str">
        <f aca="false">TEXT(DATE(VALUE(RIGHT(B1949,4)),VALUE(MID(B1949,4,2)),VALUE(LEFT(B1949,2))),"MMM-YYYY")</f>
        <v>May-2023</v>
      </c>
      <c r="AF1949" s="1" t="n">
        <f aca="false">VALUE(RIGHT(B1949,4))</f>
        <v>2023</v>
      </c>
      <c r="AG1949" s="1" t="str">
        <f aca="false">CHOOSE(ROUNDUP(VALUE(MID(B1949,4,2))/3,0),"Q1","Q2","Q3","Q4")</f>
        <v>Q2</v>
      </c>
    </row>
    <row r="1950" customFormat="false" ht="15" hidden="false" customHeight="true" outlineLevel="0" collapsed="false">
      <c r="A1950" s="1" t="s">
        <v>2802</v>
      </c>
      <c r="B1950" s="1" t="s">
        <v>903</v>
      </c>
      <c r="C1950" s="1" t="s">
        <v>93</v>
      </c>
      <c r="D1950" s="1" t="s">
        <v>168</v>
      </c>
      <c r="E1950" s="1" t="s">
        <v>197</v>
      </c>
      <c r="F1950" s="1" t="s">
        <v>125</v>
      </c>
      <c r="G1950" s="1" t="s">
        <v>108</v>
      </c>
      <c r="H1950" s="1" t="s">
        <v>69</v>
      </c>
      <c r="I1950" s="1" t="s">
        <v>34</v>
      </c>
      <c r="J1950" s="1" t="s">
        <v>131</v>
      </c>
      <c r="K1950" s="1" t="s">
        <v>48</v>
      </c>
      <c r="L1950" s="1" t="s">
        <v>37</v>
      </c>
      <c r="M1950" s="1" t="s">
        <v>38</v>
      </c>
      <c r="N1950" s="1" t="n">
        <v>8499</v>
      </c>
      <c r="O1950" s="1" t="n">
        <v>20</v>
      </c>
      <c r="P1950" s="1" t="n">
        <v>1699.8</v>
      </c>
      <c r="Q1950" s="1" t="n">
        <v>6799.2</v>
      </c>
      <c r="R1950" s="1" t="n">
        <v>1223.86</v>
      </c>
      <c r="S1950" s="1" t="n">
        <v>5575.34</v>
      </c>
      <c r="T1950" s="1" t="n">
        <v>2013.98</v>
      </c>
      <c r="U1950" s="1" t="n">
        <v>3561.36</v>
      </c>
      <c r="V1950" s="1" t="n">
        <v>63.88</v>
      </c>
      <c r="W1950" s="1" t="s">
        <v>39</v>
      </c>
      <c r="X1950" s="1" t="n">
        <v>4</v>
      </c>
      <c r="Y1950" s="1" t="s">
        <v>40</v>
      </c>
      <c r="Z1950" s="1" t="n">
        <v>0</v>
      </c>
      <c r="AA1950" s="1" t="str">
        <f aca="false">TRIM(PROPER(F1950))</f>
        <v>Chennai</v>
      </c>
      <c r="AB1950" s="1" t="str">
        <f aca="false">TRIM(PROPER(C1950))</f>
        <v>Upgrad</v>
      </c>
      <c r="AC1950" s="1" t="str">
        <f aca="false">IF(O1950=0,"No Discount",IF(O1950&lt;=15,"Low (1-15%)",IF(O1950&lt;=30,"Medium (16-30%)","High (&gt;30%)")))</f>
        <v>Medium (16-30%)</v>
      </c>
      <c r="AD1950" s="1" t="str">
        <f aca="false">IF(V1950&lt;0,"Loss Making",IF(V1950&lt;20,"Low Margin","Healthy Margin"))</f>
        <v>Healthy Margin</v>
      </c>
      <c r="AE1950" s="1" t="str">
        <f aca="false">TEXT(DATE(VALUE(RIGHT(B1950,4)),VALUE(MID(B1950,4,2)),VALUE(LEFT(B1950,2))),"MMM-YYYY")</f>
        <v>Jun-2024</v>
      </c>
      <c r="AF1950" s="1" t="n">
        <f aca="false">VALUE(RIGHT(B1950,4))</f>
        <v>2024</v>
      </c>
      <c r="AG1950" s="1" t="str">
        <f aca="false">CHOOSE(ROUNDUP(VALUE(MID(B1950,4,2))/3,0),"Q1","Q2","Q3","Q4")</f>
        <v>Q2</v>
      </c>
    </row>
    <row r="1951" customFormat="false" ht="15" hidden="false" customHeight="true" outlineLevel="0" collapsed="false">
      <c r="A1951" s="1" t="s">
        <v>2803</v>
      </c>
      <c r="B1951" s="1" t="s">
        <v>675</v>
      </c>
      <c r="C1951" s="1" t="s">
        <v>65</v>
      </c>
      <c r="D1951" s="1" t="s">
        <v>44</v>
      </c>
      <c r="E1951" s="1" t="s">
        <v>221</v>
      </c>
      <c r="F1951" s="1" t="s">
        <v>244</v>
      </c>
      <c r="G1951" s="1" t="s">
        <v>97</v>
      </c>
      <c r="H1951" s="1" t="s">
        <v>57</v>
      </c>
      <c r="I1951" s="1" t="s">
        <v>34</v>
      </c>
      <c r="J1951" s="1" t="s">
        <v>77</v>
      </c>
      <c r="K1951" s="1" t="s">
        <v>112</v>
      </c>
      <c r="L1951" s="1" t="s">
        <v>37</v>
      </c>
      <c r="M1951" s="1" t="s">
        <v>38</v>
      </c>
      <c r="N1951" s="1" t="n">
        <v>16999</v>
      </c>
      <c r="O1951" s="1" t="n">
        <v>10</v>
      </c>
      <c r="P1951" s="1" t="n">
        <v>1699.9</v>
      </c>
      <c r="Q1951" s="1" t="n">
        <v>15299.1</v>
      </c>
      <c r="R1951" s="1" t="n">
        <v>2753.84</v>
      </c>
      <c r="S1951" s="1" t="n">
        <v>12545.26</v>
      </c>
      <c r="T1951" s="1" t="n">
        <v>5582.54</v>
      </c>
      <c r="U1951" s="1" t="n">
        <v>6962.72</v>
      </c>
      <c r="V1951" s="1" t="n">
        <v>55.5</v>
      </c>
      <c r="W1951" s="1" t="s">
        <v>39</v>
      </c>
      <c r="X1951" s="1" t="n">
        <v>3.3</v>
      </c>
      <c r="Y1951" s="1" t="s">
        <v>40</v>
      </c>
      <c r="Z1951" s="1" t="n">
        <v>1</v>
      </c>
      <c r="AA1951" s="1" t="str">
        <f aca="false">TRIM(PROPER(F1951))</f>
        <v>Nagpur</v>
      </c>
      <c r="AB1951" s="1" t="str">
        <f aca="false">TRIM(PROPER(C1951))</f>
        <v>Toppr</v>
      </c>
      <c r="AC1951" s="1" t="str">
        <f aca="false">IF(O1951=0,"No Discount",IF(O1951&lt;=15,"Low (1-15%)",IF(O1951&lt;=30,"Medium (16-30%)","High (&gt;30%)")))</f>
        <v>Low (1-15%)</v>
      </c>
      <c r="AD1951" s="1" t="str">
        <f aca="false">IF(V1951&lt;0,"Loss Making",IF(V1951&lt;20,"Low Margin","Healthy Margin"))</f>
        <v>Healthy Margin</v>
      </c>
      <c r="AE1951" s="1" t="str">
        <f aca="false">TEXT(DATE(VALUE(RIGHT(B1951,4)),VALUE(MID(B1951,4,2)),VALUE(LEFT(B1951,2))),"MMM-YYYY")</f>
        <v>Sep-2023</v>
      </c>
      <c r="AF1951" s="1" t="n">
        <f aca="false">VALUE(RIGHT(B1951,4))</f>
        <v>2023</v>
      </c>
      <c r="AG1951" s="1" t="str">
        <f aca="false">CHOOSE(ROUNDUP(VALUE(MID(B1951,4,2))/3,0),"Q1","Q2","Q3","Q4")</f>
        <v>Q3</v>
      </c>
    </row>
    <row r="1952" customFormat="false" ht="15" hidden="false" customHeight="true" outlineLevel="0" collapsed="false">
      <c r="A1952" s="1" t="s">
        <v>2804</v>
      </c>
      <c r="B1952" s="1" t="s">
        <v>630</v>
      </c>
      <c r="C1952" s="1" t="s">
        <v>128</v>
      </c>
      <c r="D1952" s="1" t="s">
        <v>53</v>
      </c>
      <c r="E1952" s="1" t="s">
        <v>54</v>
      </c>
      <c r="F1952" s="1" t="s">
        <v>125</v>
      </c>
      <c r="G1952" s="1" t="s">
        <v>108</v>
      </c>
      <c r="H1952" s="1" t="s">
        <v>69</v>
      </c>
      <c r="I1952" s="1" t="s">
        <v>58</v>
      </c>
      <c r="J1952" s="1" t="s">
        <v>77</v>
      </c>
      <c r="K1952" s="1" t="s">
        <v>84</v>
      </c>
      <c r="L1952" s="1" t="s">
        <v>61</v>
      </c>
      <c r="M1952" s="1" t="s">
        <v>50</v>
      </c>
      <c r="N1952" s="1" t="n">
        <v>11999</v>
      </c>
      <c r="O1952" s="1" t="n">
        <v>0</v>
      </c>
      <c r="P1952" s="1" t="n">
        <v>0</v>
      </c>
      <c r="Q1952" s="1" t="n">
        <v>11999</v>
      </c>
      <c r="R1952" s="1" t="n">
        <v>2159.82</v>
      </c>
      <c r="S1952" s="1" t="n">
        <v>9839.18</v>
      </c>
      <c r="T1952" s="1" t="n">
        <v>3517.03</v>
      </c>
      <c r="U1952" s="1" t="n">
        <v>6322.15</v>
      </c>
      <c r="V1952" s="1" t="n">
        <v>64.25</v>
      </c>
      <c r="W1952" s="1" t="s">
        <v>39</v>
      </c>
      <c r="X1952" s="1" t="n">
        <v>3.5</v>
      </c>
      <c r="Y1952" s="1" t="s">
        <v>40</v>
      </c>
      <c r="Z1952" s="1" t="n">
        <v>0</v>
      </c>
      <c r="AA1952" s="1" t="str">
        <f aca="false">TRIM(PROPER(F1952))</f>
        <v>Chennai</v>
      </c>
      <c r="AB1952" s="1" t="str">
        <f aca="false">TRIM(PROPER(C1952))</f>
        <v>Great Learning</v>
      </c>
      <c r="AC1952" s="1" t="str">
        <f aca="false">IF(O1952=0,"No Discount",IF(O1952&lt;=15,"Low (1-15%)",IF(O1952&lt;=30,"Medium (16-30%)","High (&gt;30%)")))</f>
        <v>No Discount</v>
      </c>
      <c r="AD1952" s="1" t="str">
        <f aca="false">IF(V1952&lt;0,"Loss Making",IF(V1952&lt;20,"Low Margin","Healthy Margin"))</f>
        <v>Healthy Margin</v>
      </c>
      <c r="AE1952" s="1" t="str">
        <f aca="false">TEXT(DATE(VALUE(RIGHT(B1952,4)),VALUE(MID(B1952,4,2)),VALUE(LEFT(B1952,2))),"MMM-YYYY")</f>
        <v>Dec-2024</v>
      </c>
      <c r="AF1952" s="1" t="n">
        <f aca="false">VALUE(RIGHT(B1952,4))</f>
        <v>2024</v>
      </c>
      <c r="AG1952" s="1" t="str">
        <f aca="false">CHOOSE(ROUNDUP(VALUE(MID(B1952,4,2))/3,0),"Q1","Q2","Q3","Q4")</f>
        <v>Q4</v>
      </c>
    </row>
    <row r="1953" customFormat="false" ht="15" hidden="false" customHeight="true" outlineLevel="0" collapsed="false">
      <c r="A1953" s="1" t="s">
        <v>2805</v>
      </c>
      <c r="B1953" s="1" t="s">
        <v>376</v>
      </c>
      <c r="C1953" s="1" t="s">
        <v>178</v>
      </c>
      <c r="D1953" s="1" t="s">
        <v>29</v>
      </c>
      <c r="E1953" s="1" t="s">
        <v>305</v>
      </c>
      <c r="F1953" s="1" t="s">
        <v>31</v>
      </c>
      <c r="G1953" s="1" t="s">
        <v>32</v>
      </c>
      <c r="H1953" s="1" t="s">
        <v>33</v>
      </c>
      <c r="I1953" s="1" t="s">
        <v>83</v>
      </c>
      <c r="J1953" s="1" t="s">
        <v>77</v>
      </c>
      <c r="K1953" s="1" t="s">
        <v>90</v>
      </c>
      <c r="L1953" s="1" t="s">
        <v>85</v>
      </c>
      <c r="M1953" s="1" t="s">
        <v>38</v>
      </c>
      <c r="N1953" s="1" t="n">
        <v>24999</v>
      </c>
      <c r="O1953" s="1" t="n">
        <v>0</v>
      </c>
      <c r="P1953" s="1" t="n">
        <v>0</v>
      </c>
      <c r="Q1953" s="1" t="n">
        <v>24999</v>
      </c>
      <c r="R1953" s="1" t="n">
        <v>4499.82</v>
      </c>
      <c r="S1953" s="1" t="n">
        <v>20499.18</v>
      </c>
      <c r="T1953" s="1" t="n">
        <v>9194.38</v>
      </c>
      <c r="U1953" s="1" t="n">
        <v>11304.8</v>
      </c>
      <c r="V1953" s="1" t="n">
        <v>55.15</v>
      </c>
      <c r="W1953" s="1" t="s">
        <v>40</v>
      </c>
      <c r="Y1953" s="1" t="s">
        <v>40</v>
      </c>
      <c r="Z1953" s="1" t="n">
        <v>1</v>
      </c>
      <c r="AA1953" s="1" t="str">
        <f aca="false">TRIM(PROPER(F1953))</f>
        <v>Jodhpur</v>
      </c>
      <c r="AB1953" s="1" t="str">
        <f aca="false">TRIM(PROPER(C1953))</f>
        <v>Leverage Edu</v>
      </c>
      <c r="AC1953" s="1" t="str">
        <f aca="false">IF(O1953=0,"No Discount",IF(O1953&lt;=15,"Low (1-15%)",IF(O1953&lt;=30,"Medium (16-30%)","High (&gt;30%)")))</f>
        <v>No Discount</v>
      </c>
      <c r="AD1953" s="1" t="str">
        <f aca="false">IF(V1953&lt;0,"Loss Making",IF(V1953&lt;20,"Low Margin","Healthy Margin"))</f>
        <v>Healthy Margin</v>
      </c>
      <c r="AE1953" s="1" t="str">
        <f aca="false">TEXT(DATE(VALUE(RIGHT(B1953,4)),VALUE(MID(B1953,4,2)),VALUE(LEFT(B1953,2))),"MMM-YYYY")</f>
        <v>Apr-2024</v>
      </c>
      <c r="AF1953" s="1" t="n">
        <f aca="false">VALUE(RIGHT(B1953,4))</f>
        <v>2024</v>
      </c>
      <c r="AG1953" s="1" t="str">
        <f aca="false">CHOOSE(ROUNDUP(VALUE(MID(B1953,4,2))/3,0),"Q1","Q2","Q3","Q4")</f>
        <v>Q2</v>
      </c>
    </row>
    <row r="1954" customFormat="false" ht="15" hidden="false" customHeight="true" outlineLevel="0" collapsed="false">
      <c r="A1954" s="1" t="s">
        <v>2806</v>
      </c>
      <c r="B1954" s="1" t="s">
        <v>1773</v>
      </c>
      <c r="C1954" s="1" t="s">
        <v>119</v>
      </c>
      <c r="D1954" s="1" t="s">
        <v>94</v>
      </c>
      <c r="E1954" s="1" t="s">
        <v>135</v>
      </c>
      <c r="F1954" s="1" t="s">
        <v>184</v>
      </c>
      <c r="G1954" s="1" t="s">
        <v>56</v>
      </c>
      <c r="H1954" s="1" t="s">
        <v>57</v>
      </c>
      <c r="I1954" s="1" t="s">
        <v>34</v>
      </c>
      <c r="J1954" s="1" t="s">
        <v>59</v>
      </c>
      <c r="K1954" s="1" t="s">
        <v>84</v>
      </c>
      <c r="L1954" s="1" t="s">
        <v>37</v>
      </c>
      <c r="M1954" s="1" t="s">
        <v>38</v>
      </c>
      <c r="N1954" s="1" t="n">
        <v>9999</v>
      </c>
      <c r="O1954" s="1" t="n">
        <v>25</v>
      </c>
      <c r="P1954" s="1" t="n">
        <v>2499.75</v>
      </c>
      <c r="Q1954" s="1" t="n">
        <v>7499.25</v>
      </c>
      <c r="R1954" s="1" t="n">
        <v>1349.87</v>
      </c>
      <c r="S1954" s="1" t="n">
        <v>6149.38</v>
      </c>
      <c r="T1954" s="1" t="n">
        <v>2574.68</v>
      </c>
      <c r="U1954" s="1" t="n">
        <v>3574.7</v>
      </c>
      <c r="V1954" s="1" t="n">
        <v>58.13</v>
      </c>
      <c r="W1954" s="1" t="s">
        <v>39</v>
      </c>
      <c r="X1954" s="1" t="n">
        <v>4.3</v>
      </c>
      <c r="Y1954" s="1" t="s">
        <v>40</v>
      </c>
      <c r="Z1954" s="1" t="n">
        <v>0</v>
      </c>
      <c r="AA1954" s="1" t="str">
        <f aca="false">TRIM(PROPER(F1954))</f>
        <v>Faridabad</v>
      </c>
      <c r="AB1954" s="1" t="str">
        <f aca="false">TRIM(PROPER(C1954))</f>
        <v>Simplilearn</v>
      </c>
      <c r="AC1954" s="1" t="str">
        <f aca="false">IF(O1954=0,"No Discount",IF(O1954&lt;=15,"Low (1-15%)",IF(O1954&lt;=30,"Medium (16-30%)","High (&gt;30%)")))</f>
        <v>Medium (16-30%)</v>
      </c>
      <c r="AD1954" s="1" t="str">
        <f aca="false">IF(V1954&lt;0,"Loss Making",IF(V1954&lt;20,"Low Margin","Healthy Margin"))</f>
        <v>Healthy Margin</v>
      </c>
      <c r="AE1954" s="1" t="str">
        <f aca="false">TEXT(DATE(VALUE(RIGHT(B1954,4)),VALUE(MID(B1954,4,2)),VALUE(LEFT(B1954,2))),"MMM-YYYY")</f>
        <v>Aug-2024</v>
      </c>
      <c r="AF1954" s="1" t="n">
        <f aca="false">VALUE(RIGHT(B1954,4))</f>
        <v>2024</v>
      </c>
      <c r="AG1954" s="1" t="str">
        <f aca="false">CHOOSE(ROUNDUP(VALUE(MID(B1954,4,2))/3,0),"Q1","Q2","Q3","Q4")</f>
        <v>Q3</v>
      </c>
    </row>
    <row r="1955" customFormat="false" ht="15" hidden="false" customHeight="true" outlineLevel="0" collapsed="false">
      <c r="A1955" s="1" t="s">
        <v>2807</v>
      </c>
      <c r="B1955" s="1" t="s">
        <v>986</v>
      </c>
      <c r="C1955" s="1" t="s">
        <v>264</v>
      </c>
      <c r="D1955" s="1" t="s">
        <v>94</v>
      </c>
      <c r="E1955" s="1" t="s">
        <v>101</v>
      </c>
      <c r="F1955" s="1" t="s">
        <v>102</v>
      </c>
      <c r="G1955" s="1" t="s">
        <v>103</v>
      </c>
      <c r="H1955" s="1" t="s">
        <v>33</v>
      </c>
      <c r="I1955" s="1" t="s">
        <v>58</v>
      </c>
      <c r="J1955" s="1" t="s">
        <v>77</v>
      </c>
      <c r="K1955" s="1" t="s">
        <v>104</v>
      </c>
      <c r="L1955" s="1" t="s">
        <v>113</v>
      </c>
      <c r="M1955" s="1" t="s">
        <v>38</v>
      </c>
      <c r="N1955" s="1" t="n">
        <v>14999</v>
      </c>
      <c r="O1955" s="1" t="n">
        <v>10</v>
      </c>
      <c r="P1955" s="1" t="n">
        <v>1499.9</v>
      </c>
      <c r="Q1955" s="1" t="n">
        <v>13499.1</v>
      </c>
      <c r="R1955" s="1" t="n">
        <v>2429.84</v>
      </c>
      <c r="S1955" s="1" t="n">
        <v>11069.26</v>
      </c>
      <c r="T1955" s="1" t="n">
        <v>4500.6</v>
      </c>
      <c r="U1955" s="1" t="n">
        <v>6568.66</v>
      </c>
      <c r="V1955" s="1" t="n">
        <v>59.34</v>
      </c>
      <c r="W1955" s="1" t="s">
        <v>39</v>
      </c>
      <c r="X1955" s="1" t="n">
        <v>2.4</v>
      </c>
      <c r="Y1955" s="1" t="s">
        <v>40</v>
      </c>
      <c r="Z1955" s="1" t="n">
        <v>1</v>
      </c>
      <c r="AA1955" s="1" t="str">
        <f aca="false">TRIM(PROPER(F1955))</f>
        <v>Warangal</v>
      </c>
      <c r="AB1955" s="1" t="str">
        <f aca="false">TRIM(PROPER(C1955))</f>
        <v>Unacademy</v>
      </c>
      <c r="AC1955" s="1" t="str">
        <f aca="false">IF(O1955=0,"No Discount",IF(O1955&lt;=15,"Low (1-15%)",IF(O1955&lt;=30,"Medium (16-30%)","High (&gt;30%)")))</f>
        <v>Low (1-15%)</v>
      </c>
      <c r="AD1955" s="1" t="str">
        <f aca="false">IF(V1955&lt;0,"Loss Making",IF(V1955&lt;20,"Low Margin","Healthy Margin"))</f>
        <v>Healthy Margin</v>
      </c>
      <c r="AE1955" s="1" t="str">
        <f aca="false">TEXT(DATE(VALUE(RIGHT(B1955,4)),VALUE(MID(B1955,4,2)),VALUE(LEFT(B1955,2))),"MMM-YYYY")</f>
        <v>Mar-2023</v>
      </c>
      <c r="AF1955" s="1" t="n">
        <f aca="false">VALUE(RIGHT(B1955,4))</f>
        <v>2023</v>
      </c>
      <c r="AG1955" s="1" t="str">
        <f aca="false">CHOOSE(ROUNDUP(VALUE(MID(B1955,4,2))/3,0),"Q1","Q2","Q3","Q4")</f>
        <v>Q1</v>
      </c>
    </row>
    <row r="1956" customFormat="false" ht="15" hidden="false" customHeight="true" outlineLevel="0" collapsed="false">
      <c r="A1956" s="1" t="s">
        <v>2808</v>
      </c>
      <c r="B1956" s="1" t="s">
        <v>395</v>
      </c>
      <c r="C1956" s="1" t="s">
        <v>139</v>
      </c>
      <c r="D1956" s="1" t="s">
        <v>80</v>
      </c>
      <c r="E1956" s="1" t="s">
        <v>193</v>
      </c>
      <c r="F1956" s="1" t="s">
        <v>244</v>
      </c>
      <c r="G1956" s="1" t="s">
        <v>97</v>
      </c>
      <c r="H1956" s="1" t="s">
        <v>57</v>
      </c>
      <c r="I1956" s="1" t="s">
        <v>58</v>
      </c>
      <c r="J1956" s="1" t="s">
        <v>70</v>
      </c>
      <c r="K1956" s="1" t="s">
        <v>84</v>
      </c>
      <c r="L1956" s="1" t="s">
        <v>61</v>
      </c>
      <c r="M1956" s="1" t="s">
        <v>50</v>
      </c>
      <c r="N1956" s="1" t="n">
        <v>8999</v>
      </c>
      <c r="O1956" s="1" t="n">
        <v>30</v>
      </c>
      <c r="P1956" s="1" t="n">
        <v>2699.7</v>
      </c>
      <c r="Q1956" s="1" t="n">
        <v>6299.3</v>
      </c>
      <c r="R1956" s="1" t="n">
        <v>1133.87</v>
      </c>
      <c r="S1956" s="1" t="n">
        <v>5165.43</v>
      </c>
      <c r="T1956" s="1" t="n">
        <v>1912.27</v>
      </c>
      <c r="U1956" s="1" t="n">
        <v>3253.16</v>
      </c>
      <c r="V1956" s="1" t="n">
        <v>62.98</v>
      </c>
      <c r="W1956" s="1" t="s">
        <v>39</v>
      </c>
      <c r="X1956" s="1" t="n">
        <v>3.8</v>
      </c>
      <c r="Y1956" s="1" t="s">
        <v>39</v>
      </c>
      <c r="Z1956" s="1" t="n">
        <v>0</v>
      </c>
      <c r="AA1956" s="1" t="str">
        <f aca="false">TRIM(PROPER(F1956))</f>
        <v>Nagpur</v>
      </c>
      <c r="AB1956" s="1" t="str">
        <f aca="false">TRIM(PROPER(C1956))</f>
        <v>Extramarks</v>
      </c>
      <c r="AC1956" s="1" t="str">
        <f aca="false">IF(O1956=0,"No Discount",IF(O1956&lt;=15,"Low (1-15%)",IF(O1956&lt;=30,"Medium (16-30%)","High (&gt;30%)")))</f>
        <v>Medium (16-30%)</v>
      </c>
      <c r="AD1956" s="1" t="str">
        <f aca="false">IF(V1956&lt;0,"Loss Making",IF(V1956&lt;20,"Low Margin","Healthy Margin"))</f>
        <v>Healthy Margin</v>
      </c>
      <c r="AE1956" s="1" t="str">
        <f aca="false">TEXT(DATE(VALUE(RIGHT(B1956,4)),VALUE(MID(B1956,4,2)),VALUE(LEFT(B1956,2))),"MMM-YYYY")</f>
        <v>Sep-2024</v>
      </c>
      <c r="AF1956" s="1" t="n">
        <f aca="false">VALUE(RIGHT(B1956,4))</f>
        <v>2024</v>
      </c>
      <c r="AG1956" s="1" t="str">
        <f aca="false">CHOOSE(ROUNDUP(VALUE(MID(B1956,4,2))/3,0),"Q1","Q2","Q3","Q4")</f>
        <v>Q3</v>
      </c>
    </row>
    <row r="1957" customFormat="false" ht="15" hidden="false" customHeight="true" outlineLevel="0" collapsed="false">
      <c r="A1957" s="1" t="s">
        <v>2809</v>
      </c>
      <c r="B1957" s="1" t="s">
        <v>435</v>
      </c>
      <c r="C1957" s="1" t="s">
        <v>134</v>
      </c>
      <c r="D1957" s="1" t="s">
        <v>29</v>
      </c>
      <c r="E1957" s="1" t="s">
        <v>129</v>
      </c>
      <c r="F1957" s="1" t="s">
        <v>120</v>
      </c>
      <c r="G1957" s="1" t="s">
        <v>47</v>
      </c>
      <c r="H1957" s="1" t="s">
        <v>57</v>
      </c>
      <c r="I1957" s="1" t="s">
        <v>58</v>
      </c>
      <c r="J1957" s="1" t="s">
        <v>77</v>
      </c>
      <c r="K1957" s="1" t="s">
        <v>48</v>
      </c>
      <c r="L1957" s="1" t="s">
        <v>37</v>
      </c>
      <c r="M1957" s="1" t="s">
        <v>38</v>
      </c>
      <c r="N1957" s="1" t="n">
        <v>29999</v>
      </c>
      <c r="O1957" s="1" t="n">
        <v>0</v>
      </c>
      <c r="P1957" s="1" t="n">
        <v>0</v>
      </c>
      <c r="Q1957" s="1" t="n">
        <v>29999</v>
      </c>
      <c r="R1957" s="1" t="n">
        <v>5399.82</v>
      </c>
      <c r="S1957" s="1" t="n">
        <v>24599.18</v>
      </c>
      <c r="T1957" s="1" t="n">
        <v>10024.02</v>
      </c>
      <c r="U1957" s="1" t="n">
        <v>14575.16</v>
      </c>
      <c r="V1957" s="1" t="n">
        <v>59.25</v>
      </c>
      <c r="W1957" s="1" t="s">
        <v>39</v>
      </c>
      <c r="X1957" s="1" t="n">
        <v>3.7</v>
      </c>
      <c r="Y1957" s="1" t="s">
        <v>40</v>
      </c>
      <c r="Z1957" s="1" t="n">
        <v>0</v>
      </c>
      <c r="AA1957" s="1" t="str">
        <f aca="false">TRIM(PROPER(F1957))</f>
        <v>Mysuru</v>
      </c>
      <c r="AB1957" s="1" t="str">
        <f aca="false">TRIM(PROPER(C1957))</f>
        <v>Doubtnut</v>
      </c>
      <c r="AC1957" s="1" t="str">
        <f aca="false">IF(O1957=0,"No Discount",IF(O1957&lt;=15,"Low (1-15%)",IF(O1957&lt;=30,"Medium (16-30%)","High (&gt;30%)")))</f>
        <v>No Discount</v>
      </c>
      <c r="AD1957" s="1" t="str">
        <f aca="false">IF(V1957&lt;0,"Loss Making",IF(V1957&lt;20,"Low Margin","Healthy Margin"))</f>
        <v>Healthy Margin</v>
      </c>
      <c r="AE1957" s="1" t="str">
        <f aca="false">TEXT(DATE(VALUE(RIGHT(B1957,4)),VALUE(MID(B1957,4,2)),VALUE(LEFT(B1957,2))),"MMM-YYYY")</f>
        <v>Feb-2024</v>
      </c>
      <c r="AF1957" s="1" t="n">
        <f aca="false">VALUE(RIGHT(B1957,4))</f>
        <v>2024</v>
      </c>
      <c r="AG1957" s="1" t="str">
        <f aca="false">CHOOSE(ROUNDUP(VALUE(MID(B1957,4,2))/3,0),"Q1","Q2","Q3","Q4")</f>
        <v>Q1</v>
      </c>
    </row>
    <row r="1958" customFormat="false" ht="15" hidden="false" customHeight="true" outlineLevel="0" collapsed="false">
      <c r="A1958" s="1" t="s">
        <v>2810</v>
      </c>
      <c r="B1958" s="1" t="s">
        <v>1163</v>
      </c>
      <c r="C1958" s="1" t="s">
        <v>249</v>
      </c>
      <c r="D1958" s="1" t="s">
        <v>123</v>
      </c>
      <c r="E1958" s="1" t="s">
        <v>147</v>
      </c>
      <c r="F1958" s="1" t="s">
        <v>194</v>
      </c>
      <c r="G1958" s="1" t="s">
        <v>103</v>
      </c>
      <c r="H1958" s="1" t="s">
        <v>69</v>
      </c>
      <c r="I1958" s="1" t="s">
        <v>83</v>
      </c>
      <c r="J1958" s="1" t="s">
        <v>59</v>
      </c>
      <c r="K1958" s="1" t="s">
        <v>90</v>
      </c>
      <c r="L1958" s="1" t="s">
        <v>113</v>
      </c>
      <c r="M1958" s="1" t="s">
        <v>38</v>
      </c>
      <c r="N1958" s="1" t="n">
        <v>6999</v>
      </c>
      <c r="O1958" s="1" t="n">
        <v>0</v>
      </c>
      <c r="P1958" s="1" t="n">
        <v>0</v>
      </c>
      <c r="Q1958" s="1" t="n">
        <v>6999</v>
      </c>
      <c r="R1958" s="1" t="n">
        <v>1259.82</v>
      </c>
      <c r="S1958" s="1" t="n">
        <v>5739.18</v>
      </c>
      <c r="T1958" s="1" t="n">
        <v>2355.01</v>
      </c>
      <c r="U1958" s="1" t="n">
        <v>3384.17</v>
      </c>
      <c r="V1958" s="1" t="n">
        <v>58.97</v>
      </c>
      <c r="W1958" s="1" t="s">
        <v>39</v>
      </c>
      <c r="Y1958" s="1" t="s">
        <v>40</v>
      </c>
      <c r="Z1958" s="1" t="n">
        <v>0</v>
      </c>
      <c r="AA1958" s="1" t="str">
        <f aca="false">TRIM(PROPER(F1958))</f>
        <v>Hyderabad</v>
      </c>
      <c r="AB1958" s="1" t="str">
        <f aca="false">TRIM(PROPER(C1958))</f>
        <v>Whitehat Jr</v>
      </c>
      <c r="AC1958" s="1" t="str">
        <f aca="false">IF(O1958=0,"No Discount",IF(O1958&lt;=15,"Low (1-15%)",IF(O1958&lt;=30,"Medium (16-30%)","High (&gt;30%)")))</f>
        <v>No Discount</v>
      </c>
      <c r="AD1958" s="1" t="str">
        <f aca="false">IF(V1958&lt;0,"Loss Making",IF(V1958&lt;20,"Low Margin","Healthy Margin"))</f>
        <v>Healthy Margin</v>
      </c>
      <c r="AE1958" s="1" t="str">
        <f aca="false">TEXT(DATE(VALUE(RIGHT(B1958,4)),VALUE(MID(B1958,4,2)),VALUE(LEFT(B1958,2))),"MMM-YYYY")</f>
        <v>May-2024</v>
      </c>
      <c r="AF1958" s="1" t="n">
        <f aca="false">VALUE(RIGHT(B1958,4))</f>
        <v>2024</v>
      </c>
      <c r="AG1958" s="1" t="str">
        <f aca="false">CHOOSE(ROUNDUP(VALUE(MID(B1958,4,2))/3,0),"Q1","Q2","Q3","Q4")</f>
        <v>Q2</v>
      </c>
    </row>
    <row r="1959" customFormat="false" ht="15" hidden="false" customHeight="true" outlineLevel="0" collapsed="false">
      <c r="A1959" s="1" t="s">
        <v>2811</v>
      </c>
      <c r="B1959" s="1" t="s">
        <v>1972</v>
      </c>
      <c r="C1959" s="1" t="s">
        <v>139</v>
      </c>
      <c r="D1959" s="1" t="s">
        <v>53</v>
      </c>
      <c r="E1959" s="1" t="s">
        <v>116</v>
      </c>
      <c r="F1959" s="1" t="s">
        <v>89</v>
      </c>
      <c r="G1959" s="1" t="s">
        <v>68</v>
      </c>
      <c r="H1959" s="1" t="s">
        <v>33</v>
      </c>
      <c r="I1959" s="1" t="s">
        <v>34</v>
      </c>
      <c r="J1959" s="1" t="s">
        <v>70</v>
      </c>
      <c r="K1959" s="1" t="s">
        <v>90</v>
      </c>
      <c r="L1959" s="1" t="s">
        <v>37</v>
      </c>
      <c r="M1959" s="1" t="s">
        <v>62</v>
      </c>
      <c r="N1959" s="1" t="n">
        <v>9999</v>
      </c>
      <c r="O1959" s="1" t="n">
        <v>5</v>
      </c>
      <c r="P1959" s="1" t="n">
        <v>499.95</v>
      </c>
      <c r="Q1959" s="1" t="n">
        <v>9499.05</v>
      </c>
      <c r="R1959" s="1" t="n">
        <v>1709.83</v>
      </c>
      <c r="S1959" s="1" t="n">
        <v>7789.22</v>
      </c>
      <c r="T1959" s="1" t="n">
        <v>3392.78</v>
      </c>
      <c r="U1959" s="1" t="n">
        <v>4396.44</v>
      </c>
      <c r="V1959" s="1" t="n">
        <v>56.44</v>
      </c>
      <c r="W1959" s="1" t="s">
        <v>39</v>
      </c>
      <c r="X1959" s="1" t="n">
        <v>4.3</v>
      </c>
      <c r="Y1959" s="1" t="s">
        <v>40</v>
      </c>
      <c r="Z1959" s="1" t="n">
        <v>0</v>
      </c>
      <c r="AA1959" s="1" t="str">
        <f aca="false">TRIM(PROPER(F1959))</f>
        <v>Vadodara</v>
      </c>
      <c r="AB1959" s="1" t="str">
        <f aca="false">TRIM(PROPER(C1959))</f>
        <v>Extramarks</v>
      </c>
      <c r="AC1959" s="1" t="str">
        <f aca="false">IF(O1959=0,"No Discount",IF(O1959&lt;=15,"Low (1-15%)",IF(O1959&lt;=30,"Medium (16-30%)","High (&gt;30%)")))</f>
        <v>Low (1-15%)</v>
      </c>
      <c r="AD1959" s="1" t="str">
        <f aca="false">IF(V1959&lt;0,"Loss Making",IF(V1959&lt;20,"Low Margin","Healthy Margin"))</f>
        <v>Healthy Margin</v>
      </c>
      <c r="AE1959" s="1" t="str">
        <f aca="false">TEXT(DATE(VALUE(RIGHT(B1959,4)),VALUE(MID(B1959,4,2)),VALUE(LEFT(B1959,2))),"MMM-YYYY")</f>
        <v>Jul-2024</v>
      </c>
      <c r="AF1959" s="1" t="n">
        <f aca="false">VALUE(RIGHT(B1959,4))</f>
        <v>2024</v>
      </c>
      <c r="AG1959" s="1" t="str">
        <f aca="false">CHOOSE(ROUNDUP(VALUE(MID(B1959,4,2))/3,0),"Q1","Q2","Q3","Q4")</f>
        <v>Q3</v>
      </c>
    </row>
    <row r="1960" customFormat="false" ht="15" hidden="false" customHeight="true" outlineLevel="0" collapsed="false">
      <c r="A1960" s="1" t="s">
        <v>2812</v>
      </c>
      <c r="B1960" s="1" t="s">
        <v>2570</v>
      </c>
      <c r="C1960" s="1" t="s">
        <v>65</v>
      </c>
      <c r="D1960" s="1" t="s">
        <v>53</v>
      </c>
      <c r="E1960" s="1" t="s">
        <v>54</v>
      </c>
      <c r="F1960" s="1" t="s">
        <v>107</v>
      </c>
      <c r="G1960" s="1" t="s">
        <v>108</v>
      </c>
      <c r="H1960" s="1" t="s">
        <v>33</v>
      </c>
      <c r="I1960" s="1" t="s">
        <v>83</v>
      </c>
      <c r="J1960" s="1" t="s">
        <v>59</v>
      </c>
      <c r="K1960" s="1" t="s">
        <v>104</v>
      </c>
      <c r="L1960" s="1" t="s">
        <v>49</v>
      </c>
      <c r="M1960" s="1" t="s">
        <v>50</v>
      </c>
      <c r="N1960" s="1" t="n">
        <v>11999</v>
      </c>
      <c r="O1960" s="1" t="n">
        <v>15</v>
      </c>
      <c r="P1960" s="1" t="n">
        <v>1799.85</v>
      </c>
      <c r="Q1960" s="1" t="n">
        <v>10199.15</v>
      </c>
      <c r="R1960" s="1" t="n">
        <v>1835.85</v>
      </c>
      <c r="S1960" s="1" t="n">
        <v>8363.3</v>
      </c>
      <c r="T1960" s="1" t="n">
        <v>4234.48</v>
      </c>
      <c r="U1960" s="1" t="n">
        <v>4128.82</v>
      </c>
      <c r="V1960" s="1" t="n">
        <v>49.37</v>
      </c>
      <c r="W1960" s="1" t="s">
        <v>39</v>
      </c>
      <c r="Y1960" s="1" t="s">
        <v>40</v>
      </c>
      <c r="Z1960" s="1" t="n">
        <v>1</v>
      </c>
      <c r="AA1960" s="1" t="str">
        <f aca="false">TRIM(PROPER(F1960))</f>
        <v>Madurai</v>
      </c>
      <c r="AB1960" s="1" t="str">
        <f aca="false">TRIM(PROPER(C1960))</f>
        <v>Toppr</v>
      </c>
      <c r="AC1960" s="1" t="str">
        <f aca="false">IF(O1960=0,"No Discount",IF(O1960&lt;=15,"Low (1-15%)",IF(O1960&lt;=30,"Medium (16-30%)","High (&gt;30%)")))</f>
        <v>Low (1-15%)</v>
      </c>
      <c r="AD1960" s="1" t="str">
        <f aca="false">IF(V1960&lt;0,"Loss Making",IF(V1960&lt;20,"Low Margin","Healthy Margin"))</f>
        <v>Healthy Margin</v>
      </c>
      <c r="AE1960" s="1" t="str">
        <f aca="false">TEXT(DATE(VALUE(RIGHT(B1960,4)),VALUE(MID(B1960,4,2)),VALUE(LEFT(B1960,2))),"MMM-YYYY")</f>
        <v>Nov-2023</v>
      </c>
      <c r="AF1960" s="1" t="n">
        <f aca="false">VALUE(RIGHT(B1960,4))</f>
        <v>2023</v>
      </c>
      <c r="AG1960" s="1" t="str">
        <f aca="false">CHOOSE(ROUNDUP(VALUE(MID(B1960,4,2))/3,0),"Q1","Q2","Q3","Q4")</f>
        <v>Q4</v>
      </c>
    </row>
    <row r="1961" customFormat="false" ht="15" hidden="false" customHeight="true" outlineLevel="0" collapsed="false">
      <c r="A1961" s="1" t="s">
        <v>2813</v>
      </c>
      <c r="B1961" s="1" t="s">
        <v>1461</v>
      </c>
      <c r="C1961" s="1" t="s">
        <v>74</v>
      </c>
      <c r="D1961" s="1" t="s">
        <v>94</v>
      </c>
      <c r="E1961" s="1" t="s">
        <v>95</v>
      </c>
      <c r="F1961" s="1" t="s">
        <v>211</v>
      </c>
      <c r="G1961" s="1" t="s">
        <v>56</v>
      </c>
      <c r="H1961" s="1" t="s">
        <v>69</v>
      </c>
      <c r="I1961" s="1" t="s">
        <v>34</v>
      </c>
      <c r="J1961" s="1" t="s">
        <v>70</v>
      </c>
      <c r="K1961" s="1" t="s">
        <v>112</v>
      </c>
      <c r="L1961" s="1" t="s">
        <v>85</v>
      </c>
      <c r="M1961" s="1" t="s">
        <v>62</v>
      </c>
      <c r="N1961" s="1" t="n">
        <v>6999</v>
      </c>
      <c r="O1961" s="1" t="n">
        <v>25</v>
      </c>
      <c r="P1961" s="1" t="n">
        <v>1749.75</v>
      </c>
      <c r="Q1961" s="1" t="n">
        <v>5249.25</v>
      </c>
      <c r="R1961" s="1" t="n">
        <v>944.87</v>
      </c>
      <c r="S1961" s="1" t="n">
        <v>4304.38</v>
      </c>
      <c r="T1961" s="1" t="n">
        <v>1343.27</v>
      </c>
      <c r="U1961" s="1" t="n">
        <v>2961.11</v>
      </c>
      <c r="V1961" s="1" t="n">
        <v>68.79</v>
      </c>
      <c r="W1961" s="1" t="s">
        <v>39</v>
      </c>
      <c r="Y1961" s="1" t="s">
        <v>40</v>
      </c>
      <c r="Z1961" s="1" t="n">
        <v>0</v>
      </c>
      <c r="AA1961" s="1" t="str">
        <f aca="false">TRIM(PROPER(F1961))</f>
        <v>Noida</v>
      </c>
      <c r="AB1961" s="1" t="str">
        <f aca="false">TRIM(PROPER(C1961))</f>
        <v>Vedantu</v>
      </c>
      <c r="AC1961" s="1" t="str">
        <f aca="false">IF(O1961=0,"No Discount",IF(O1961&lt;=15,"Low (1-15%)",IF(O1961&lt;=30,"Medium (16-30%)","High (&gt;30%)")))</f>
        <v>Medium (16-30%)</v>
      </c>
      <c r="AD1961" s="1" t="str">
        <f aca="false">IF(V1961&lt;0,"Loss Making",IF(V1961&lt;20,"Low Margin","Healthy Margin"))</f>
        <v>Healthy Margin</v>
      </c>
      <c r="AE1961" s="1" t="str">
        <f aca="false">TEXT(DATE(VALUE(RIGHT(B1961,4)),VALUE(MID(B1961,4,2)),VALUE(LEFT(B1961,2))),"MMM-YYYY")</f>
        <v>May-2023</v>
      </c>
      <c r="AF1961" s="1" t="n">
        <f aca="false">VALUE(RIGHT(B1961,4))</f>
        <v>2023</v>
      </c>
      <c r="AG1961" s="1" t="str">
        <f aca="false">CHOOSE(ROUNDUP(VALUE(MID(B1961,4,2))/3,0),"Q1","Q2","Q3","Q4")</f>
        <v>Q2</v>
      </c>
    </row>
    <row r="1962" customFormat="false" ht="15" hidden="false" customHeight="true" outlineLevel="0" collapsed="false">
      <c r="A1962" s="1" t="s">
        <v>2814</v>
      </c>
      <c r="B1962" s="1" t="s">
        <v>524</v>
      </c>
      <c r="C1962" s="1" t="s">
        <v>264</v>
      </c>
      <c r="D1962" s="1" t="s">
        <v>80</v>
      </c>
      <c r="E1962" s="1" t="s">
        <v>190</v>
      </c>
      <c r="F1962" s="1" t="s">
        <v>153</v>
      </c>
      <c r="G1962" s="1" t="s">
        <v>76</v>
      </c>
      <c r="H1962" s="1" t="s">
        <v>33</v>
      </c>
      <c r="I1962" s="1" t="s">
        <v>34</v>
      </c>
      <c r="J1962" s="1" t="s">
        <v>77</v>
      </c>
      <c r="K1962" s="1" t="s">
        <v>104</v>
      </c>
      <c r="L1962" s="1" t="s">
        <v>85</v>
      </c>
      <c r="M1962" s="1" t="s">
        <v>50</v>
      </c>
      <c r="N1962" s="1" t="n">
        <v>15999</v>
      </c>
      <c r="O1962" s="1" t="n">
        <v>0</v>
      </c>
      <c r="P1962" s="1" t="n">
        <v>0</v>
      </c>
      <c r="Q1962" s="1" t="n">
        <v>15999</v>
      </c>
      <c r="R1962" s="1" t="n">
        <v>2879.82</v>
      </c>
      <c r="S1962" s="1" t="n">
        <v>13119.18</v>
      </c>
      <c r="T1962" s="1" t="n">
        <v>5934.09</v>
      </c>
      <c r="U1962" s="1" t="n">
        <v>7185.09</v>
      </c>
      <c r="V1962" s="1" t="n">
        <v>54.77</v>
      </c>
      <c r="W1962" s="1" t="s">
        <v>39</v>
      </c>
      <c r="X1962" s="1" t="n">
        <v>5</v>
      </c>
      <c r="Y1962" s="1" t="s">
        <v>40</v>
      </c>
      <c r="Z1962" s="1" t="n">
        <v>1</v>
      </c>
      <c r="AA1962" s="1" t="str">
        <f aca="false">TRIM(PROPER(F1962))</f>
        <v>Howrah</v>
      </c>
      <c r="AB1962" s="1" t="str">
        <f aca="false">TRIM(PROPER(C1962))</f>
        <v>Unacademy</v>
      </c>
      <c r="AC1962" s="1" t="str">
        <f aca="false">IF(O1962=0,"No Discount",IF(O1962&lt;=15,"Low (1-15%)",IF(O1962&lt;=30,"Medium (16-30%)","High (&gt;30%)")))</f>
        <v>No Discount</v>
      </c>
      <c r="AD1962" s="1" t="str">
        <f aca="false">IF(V1962&lt;0,"Loss Making",IF(V1962&lt;20,"Low Margin","Healthy Margin"))</f>
        <v>Healthy Margin</v>
      </c>
      <c r="AE1962" s="1" t="str">
        <f aca="false">TEXT(DATE(VALUE(RIGHT(B1962,4)),VALUE(MID(B1962,4,2)),VALUE(LEFT(B1962,2))),"MMM-YYYY")</f>
        <v>Mar-2023</v>
      </c>
      <c r="AF1962" s="1" t="n">
        <f aca="false">VALUE(RIGHT(B1962,4))</f>
        <v>2023</v>
      </c>
      <c r="AG1962" s="1" t="str">
        <f aca="false">CHOOSE(ROUNDUP(VALUE(MID(B1962,4,2))/3,0),"Q1","Q2","Q3","Q4")</f>
        <v>Q1</v>
      </c>
    </row>
    <row r="1963" customFormat="false" ht="15" hidden="false" customHeight="true" outlineLevel="0" collapsed="false">
      <c r="A1963" s="1" t="s">
        <v>2815</v>
      </c>
      <c r="B1963" s="1" t="s">
        <v>1633</v>
      </c>
      <c r="C1963" s="1" t="s">
        <v>100</v>
      </c>
      <c r="D1963" s="1" t="s">
        <v>29</v>
      </c>
      <c r="E1963" s="1" t="s">
        <v>182</v>
      </c>
      <c r="F1963" s="1" t="s">
        <v>96</v>
      </c>
      <c r="G1963" s="1" t="s">
        <v>97</v>
      </c>
      <c r="H1963" s="1" t="s">
        <v>69</v>
      </c>
      <c r="I1963" s="1" t="s">
        <v>83</v>
      </c>
      <c r="J1963" s="1" t="s">
        <v>35</v>
      </c>
      <c r="K1963" s="1" t="s">
        <v>60</v>
      </c>
      <c r="L1963" s="1" t="s">
        <v>61</v>
      </c>
      <c r="M1963" s="1" t="s">
        <v>50</v>
      </c>
      <c r="N1963" s="1" t="n">
        <v>34999</v>
      </c>
      <c r="O1963" s="1" t="n">
        <v>10</v>
      </c>
      <c r="P1963" s="1" t="n">
        <v>3499.9</v>
      </c>
      <c r="Q1963" s="1" t="n">
        <v>31499.1</v>
      </c>
      <c r="R1963" s="1" t="n">
        <v>5669.84</v>
      </c>
      <c r="S1963" s="1" t="n">
        <v>25829.26</v>
      </c>
      <c r="T1963" s="1" t="n">
        <v>7333.99</v>
      </c>
      <c r="U1963" s="1" t="n">
        <v>18495.27</v>
      </c>
      <c r="V1963" s="1" t="n">
        <v>71.61</v>
      </c>
      <c r="W1963" s="1" t="s">
        <v>39</v>
      </c>
      <c r="X1963" s="1" t="n">
        <v>4.5</v>
      </c>
      <c r="Y1963" s="1" t="s">
        <v>40</v>
      </c>
      <c r="Z1963" s="1" t="n">
        <v>0</v>
      </c>
      <c r="AA1963" s="1" t="str">
        <f aca="false">TRIM(PROPER(F1963))</f>
        <v>Pune</v>
      </c>
      <c r="AB1963" s="1" t="str">
        <f aca="false">TRIM(PROPER(C1963))</f>
        <v>Physics Wallah</v>
      </c>
      <c r="AC1963" s="1" t="str">
        <f aca="false">IF(O1963=0,"No Discount",IF(O1963&lt;=15,"Low (1-15%)",IF(O1963&lt;=30,"Medium (16-30%)","High (&gt;30%)")))</f>
        <v>Low (1-15%)</v>
      </c>
      <c r="AD1963" s="1" t="str">
        <f aca="false">IF(V1963&lt;0,"Loss Making",IF(V1963&lt;20,"Low Margin","Healthy Margin"))</f>
        <v>Healthy Margin</v>
      </c>
      <c r="AE1963" s="1" t="str">
        <f aca="false">TEXT(DATE(VALUE(RIGHT(B1963,4)),VALUE(MID(B1963,4,2)),VALUE(LEFT(B1963,2))),"MMM-YYYY")</f>
        <v>Dec-2024</v>
      </c>
      <c r="AF1963" s="1" t="n">
        <f aca="false">VALUE(RIGHT(B1963,4))</f>
        <v>2024</v>
      </c>
      <c r="AG1963" s="1" t="str">
        <f aca="false">CHOOSE(ROUNDUP(VALUE(MID(B1963,4,2))/3,0),"Q1","Q2","Q3","Q4")</f>
        <v>Q4</v>
      </c>
    </row>
    <row r="1964" customFormat="false" ht="15" hidden="false" customHeight="true" outlineLevel="0" collapsed="false">
      <c r="A1964" s="1" t="s">
        <v>2816</v>
      </c>
      <c r="B1964" s="1" t="s">
        <v>263</v>
      </c>
      <c r="C1964" s="1" t="s">
        <v>139</v>
      </c>
      <c r="D1964" s="1" t="s">
        <v>143</v>
      </c>
      <c r="E1964" s="1" t="s">
        <v>159</v>
      </c>
      <c r="F1964" s="1" t="s">
        <v>205</v>
      </c>
      <c r="G1964" s="1" t="s">
        <v>56</v>
      </c>
      <c r="H1964" s="1" t="s">
        <v>69</v>
      </c>
      <c r="I1964" s="1" t="s">
        <v>58</v>
      </c>
      <c r="J1964" s="1" t="s">
        <v>35</v>
      </c>
      <c r="K1964" s="1" t="s">
        <v>60</v>
      </c>
      <c r="L1964" s="1" t="s">
        <v>37</v>
      </c>
      <c r="M1964" s="1" t="s">
        <v>62</v>
      </c>
      <c r="N1964" s="1" t="n">
        <v>24999</v>
      </c>
      <c r="O1964" s="1" t="n">
        <v>10</v>
      </c>
      <c r="P1964" s="1" t="n">
        <v>2499.9</v>
      </c>
      <c r="Q1964" s="1" t="n">
        <v>22499.1</v>
      </c>
      <c r="R1964" s="1" t="n">
        <v>4049.84</v>
      </c>
      <c r="S1964" s="1" t="n">
        <v>18449.26</v>
      </c>
      <c r="T1964" s="1" t="n">
        <v>6264.58</v>
      </c>
      <c r="U1964" s="1" t="n">
        <v>12184.68</v>
      </c>
      <c r="V1964" s="1" t="n">
        <v>66.04</v>
      </c>
      <c r="W1964" s="1" t="s">
        <v>39</v>
      </c>
      <c r="Y1964" s="1" t="s">
        <v>40</v>
      </c>
      <c r="Z1964" s="1" t="n">
        <v>0</v>
      </c>
      <c r="AA1964" s="1" t="str">
        <f aca="false">TRIM(PROPER(F1964))</f>
        <v>New Delhi</v>
      </c>
      <c r="AB1964" s="1" t="str">
        <f aca="false">TRIM(PROPER(C1964))</f>
        <v>Extramarks</v>
      </c>
      <c r="AC1964" s="1" t="str">
        <f aca="false">IF(O1964=0,"No Discount",IF(O1964&lt;=15,"Low (1-15%)",IF(O1964&lt;=30,"Medium (16-30%)","High (&gt;30%)")))</f>
        <v>Low (1-15%)</v>
      </c>
      <c r="AD1964" s="1" t="str">
        <f aca="false">IF(V1964&lt;0,"Loss Making",IF(V1964&lt;20,"Low Margin","Healthy Margin"))</f>
        <v>Healthy Margin</v>
      </c>
      <c r="AE1964" s="1" t="str">
        <f aca="false">TEXT(DATE(VALUE(RIGHT(B1964,4)),VALUE(MID(B1964,4,2)),VALUE(LEFT(B1964,2))),"MMM-YYYY")</f>
        <v>Jul-2024</v>
      </c>
      <c r="AF1964" s="1" t="n">
        <f aca="false">VALUE(RIGHT(B1964,4))</f>
        <v>2024</v>
      </c>
      <c r="AG1964" s="1" t="str">
        <f aca="false">CHOOSE(ROUNDUP(VALUE(MID(B1964,4,2))/3,0),"Q1","Q2","Q3","Q4")</f>
        <v>Q3</v>
      </c>
    </row>
    <row r="1965" customFormat="false" ht="15" hidden="false" customHeight="true" outlineLevel="0" collapsed="false">
      <c r="A1965" s="1" t="s">
        <v>2817</v>
      </c>
      <c r="B1965" s="1" t="s">
        <v>275</v>
      </c>
      <c r="C1965" s="1" t="s">
        <v>139</v>
      </c>
      <c r="D1965" s="1" t="s">
        <v>29</v>
      </c>
      <c r="E1965" s="1" t="s">
        <v>30</v>
      </c>
      <c r="F1965" s="1" t="s">
        <v>89</v>
      </c>
      <c r="G1965" s="1" t="s">
        <v>68</v>
      </c>
      <c r="H1965" s="1" t="s">
        <v>33</v>
      </c>
      <c r="I1965" s="1" t="s">
        <v>58</v>
      </c>
      <c r="J1965" s="1" t="s">
        <v>77</v>
      </c>
      <c r="K1965" s="1" t="s">
        <v>71</v>
      </c>
      <c r="L1965" s="1" t="s">
        <v>113</v>
      </c>
      <c r="M1965" s="1" t="s">
        <v>50</v>
      </c>
      <c r="N1965" s="1" t="n">
        <v>7999</v>
      </c>
      <c r="O1965" s="1" t="n">
        <v>5</v>
      </c>
      <c r="P1965" s="1" t="n">
        <v>399.95</v>
      </c>
      <c r="Q1965" s="1" t="n">
        <v>7599.05</v>
      </c>
      <c r="R1965" s="1" t="n">
        <v>1367.83</v>
      </c>
      <c r="S1965" s="1" t="n">
        <v>6231.22</v>
      </c>
      <c r="T1965" s="1" t="n">
        <v>2631.09</v>
      </c>
      <c r="U1965" s="1" t="n">
        <v>3600.13</v>
      </c>
      <c r="V1965" s="1" t="n">
        <v>57.78</v>
      </c>
      <c r="W1965" s="1" t="s">
        <v>39</v>
      </c>
      <c r="X1965" s="1" t="n">
        <v>4.1</v>
      </c>
      <c r="Y1965" s="1" t="s">
        <v>40</v>
      </c>
      <c r="Z1965" s="1" t="n">
        <v>0</v>
      </c>
      <c r="AA1965" s="1" t="str">
        <f aca="false">TRIM(PROPER(F1965))</f>
        <v>Vadodara</v>
      </c>
      <c r="AB1965" s="1" t="str">
        <f aca="false">TRIM(PROPER(C1965))</f>
        <v>Extramarks</v>
      </c>
      <c r="AC1965" s="1" t="str">
        <f aca="false">IF(O1965=0,"No Discount",IF(O1965&lt;=15,"Low (1-15%)",IF(O1965&lt;=30,"Medium (16-30%)","High (&gt;30%)")))</f>
        <v>Low (1-15%)</v>
      </c>
      <c r="AD1965" s="1" t="str">
        <f aca="false">IF(V1965&lt;0,"Loss Making",IF(V1965&lt;20,"Low Margin","Healthy Margin"))</f>
        <v>Healthy Margin</v>
      </c>
      <c r="AE1965" s="1" t="str">
        <f aca="false">TEXT(DATE(VALUE(RIGHT(B1965,4)),VALUE(MID(B1965,4,2)),VALUE(LEFT(B1965,2))),"MMM-YYYY")</f>
        <v>Aug-2024</v>
      </c>
      <c r="AF1965" s="1" t="n">
        <f aca="false">VALUE(RIGHT(B1965,4))</f>
        <v>2024</v>
      </c>
      <c r="AG1965" s="1" t="str">
        <f aca="false">CHOOSE(ROUNDUP(VALUE(MID(B1965,4,2))/3,0),"Q1","Q2","Q3","Q4")</f>
        <v>Q3</v>
      </c>
    </row>
    <row r="1966" customFormat="false" ht="15" hidden="false" customHeight="true" outlineLevel="0" collapsed="false">
      <c r="A1966" s="1" t="s">
        <v>2818</v>
      </c>
      <c r="B1966" s="1" t="s">
        <v>1610</v>
      </c>
      <c r="C1966" s="1" t="s">
        <v>139</v>
      </c>
      <c r="D1966" s="1" t="s">
        <v>44</v>
      </c>
      <c r="E1966" s="1" t="s">
        <v>66</v>
      </c>
      <c r="F1966" s="1" t="s">
        <v>75</v>
      </c>
      <c r="G1966" s="1" t="s">
        <v>76</v>
      </c>
      <c r="H1966" s="1" t="s">
        <v>69</v>
      </c>
      <c r="I1966" s="1" t="s">
        <v>83</v>
      </c>
      <c r="J1966" s="1" t="s">
        <v>70</v>
      </c>
      <c r="K1966" s="1" t="s">
        <v>48</v>
      </c>
      <c r="L1966" s="1" t="s">
        <v>61</v>
      </c>
      <c r="M1966" s="1" t="s">
        <v>62</v>
      </c>
      <c r="N1966" s="1" t="n">
        <v>12999</v>
      </c>
      <c r="O1966" s="1" t="n">
        <v>0</v>
      </c>
      <c r="P1966" s="1" t="n">
        <v>0</v>
      </c>
      <c r="Q1966" s="1" t="n">
        <v>12999</v>
      </c>
      <c r="R1966" s="1" t="n">
        <v>2339.82</v>
      </c>
      <c r="S1966" s="1" t="n">
        <v>10659.18</v>
      </c>
      <c r="T1966" s="1" t="n">
        <v>3901.67</v>
      </c>
      <c r="U1966" s="1" t="n">
        <v>6757.51</v>
      </c>
      <c r="V1966" s="1" t="n">
        <v>63.4</v>
      </c>
      <c r="W1966" s="1" t="s">
        <v>40</v>
      </c>
      <c r="Y1966" s="1" t="s">
        <v>39</v>
      </c>
      <c r="Z1966" s="1" t="n">
        <v>0</v>
      </c>
      <c r="AA1966" s="1" t="str">
        <f aca="false">TRIM(PROPER(F1966))</f>
        <v>Kolkata</v>
      </c>
      <c r="AB1966" s="1" t="str">
        <f aca="false">TRIM(PROPER(C1966))</f>
        <v>Extramarks</v>
      </c>
      <c r="AC1966" s="1" t="str">
        <f aca="false">IF(O1966=0,"No Discount",IF(O1966&lt;=15,"Low (1-15%)",IF(O1966&lt;=30,"Medium (16-30%)","High (&gt;30%)")))</f>
        <v>No Discount</v>
      </c>
      <c r="AD1966" s="1" t="str">
        <f aca="false">IF(V1966&lt;0,"Loss Making",IF(V1966&lt;20,"Low Margin","Healthy Margin"))</f>
        <v>Healthy Margin</v>
      </c>
      <c r="AE1966" s="1" t="str">
        <f aca="false">TEXT(DATE(VALUE(RIGHT(B1966,4)),VALUE(MID(B1966,4,2)),VALUE(LEFT(B1966,2))),"MMM-YYYY")</f>
        <v>Mar-2023</v>
      </c>
      <c r="AF1966" s="1" t="n">
        <f aca="false">VALUE(RIGHT(B1966,4))</f>
        <v>2023</v>
      </c>
      <c r="AG1966" s="1" t="str">
        <f aca="false">CHOOSE(ROUNDUP(VALUE(MID(B1966,4,2))/3,0),"Q1","Q2","Q3","Q4")</f>
        <v>Q1</v>
      </c>
    </row>
    <row r="1967" customFormat="false" ht="15" hidden="false" customHeight="true" outlineLevel="0" collapsed="false">
      <c r="A1967" s="1" t="s">
        <v>2819</v>
      </c>
      <c r="B1967" s="1" t="s">
        <v>406</v>
      </c>
      <c r="C1967" s="1" t="s">
        <v>134</v>
      </c>
      <c r="D1967" s="1" t="s">
        <v>80</v>
      </c>
      <c r="E1967" s="1" t="s">
        <v>81</v>
      </c>
      <c r="F1967" s="1" t="s">
        <v>194</v>
      </c>
      <c r="G1967" s="1" t="s">
        <v>103</v>
      </c>
      <c r="H1967" s="1" t="s">
        <v>69</v>
      </c>
      <c r="I1967" s="1" t="s">
        <v>58</v>
      </c>
      <c r="J1967" s="1" t="s">
        <v>70</v>
      </c>
      <c r="K1967" s="1" t="s">
        <v>48</v>
      </c>
      <c r="L1967" s="1" t="s">
        <v>136</v>
      </c>
      <c r="M1967" s="1" t="s">
        <v>50</v>
      </c>
      <c r="N1967" s="1" t="n">
        <v>12999</v>
      </c>
      <c r="O1967" s="1" t="n">
        <v>5</v>
      </c>
      <c r="P1967" s="1" t="n">
        <v>649.95</v>
      </c>
      <c r="Q1967" s="1" t="n">
        <v>12349.05</v>
      </c>
      <c r="R1967" s="1" t="n">
        <v>2222.83</v>
      </c>
      <c r="S1967" s="1" t="n">
        <v>10126.22</v>
      </c>
      <c r="T1967" s="1" t="n">
        <v>3553.14</v>
      </c>
      <c r="U1967" s="1" t="n">
        <v>6573.08</v>
      </c>
      <c r="V1967" s="1" t="n">
        <v>64.91</v>
      </c>
      <c r="W1967" s="1" t="s">
        <v>39</v>
      </c>
      <c r="X1967" s="1" t="n">
        <v>3.6</v>
      </c>
      <c r="Y1967" s="1" t="s">
        <v>40</v>
      </c>
      <c r="Z1967" s="1" t="n">
        <v>0</v>
      </c>
      <c r="AA1967" s="1" t="str">
        <f aca="false">TRIM(PROPER(F1967))</f>
        <v>Hyderabad</v>
      </c>
      <c r="AB1967" s="1" t="str">
        <f aca="false">TRIM(PROPER(C1967))</f>
        <v>Doubtnut</v>
      </c>
      <c r="AC1967" s="1" t="str">
        <f aca="false">IF(O1967=0,"No Discount",IF(O1967&lt;=15,"Low (1-15%)",IF(O1967&lt;=30,"Medium (16-30%)","High (&gt;30%)")))</f>
        <v>Low (1-15%)</v>
      </c>
      <c r="AD1967" s="1" t="str">
        <f aca="false">IF(V1967&lt;0,"Loss Making",IF(V1967&lt;20,"Low Margin","Healthy Margin"))</f>
        <v>Healthy Margin</v>
      </c>
      <c r="AE1967" s="1" t="str">
        <f aca="false">TEXT(DATE(VALUE(RIGHT(B1967,4)),VALUE(MID(B1967,4,2)),VALUE(LEFT(B1967,2))),"MMM-YYYY")</f>
        <v>Apr-2023</v>
      </c>
      <c r="AF1967" s="1" t="n">
        <f aca="false">VALUE(RIGHT(B1967,4))</f>
        <v>2023</v>
      </c>
      <c r="AG1967" s="1" t="str">
        <f aca="false">CHOOSE(ROUNDUP(VALUE(MID(B1967,4,2))/3,0),"Q1","Q2","Q3","Q4")</f>
        <v>Q2</v>
      </c>
    </row>
    <row r="1968" customFormat="false" ht="15" hidden="false" customHeight="true" outlineLevel="0" collapsed="false">
      <c r="A1968" s="1" t="s">
        <v>2820</v>
      </c>
      <c r="B1968" s="1" t="s">
        <v>1614</v>
      </c>
      <c r="C1968" s="1" t="s">
        <v>88</v>
      </c>
      <c r="D1968" s="1" t="s">
        <v>53</v>
      </c>
      <c r="E1968" s="1" t="s">
        <v>216</v>
      </c>
      <c r="F1968" s="1" t="s">
        <v>125</v>
      </c>
      <c r="G1968" s="1" t="s">
        <v>108</v>
      </c>
      <c r="H1968" s="1" t="s">
        <v>69</v>
      </c>
      <c r="I1968" s="1" t="s">
        <v>83</v>
      </c>
      <c r="J1968" s="1" t="s">
        <v>131</v>
      </c>
      <c r="K1968" s="1" t="s">
        <v>71</v>
      </c>
      <c r="L1968" s="1" t="s">
        <v>49</v>
      </c>
      <c r="M1968" s="1" t="s">
        <v>62</v>
      </c>
      <c r="N1968" s="1" t="n">
        <v>7499</v>
      </c>
      <c r="O1968" s="1" t="n">
        <v>10</v>
      </c>
      <c r="P1968" s="1" t="n">
        <v>749.9</v>
      </c>
      <c r="Q1968" s="1" t="n">
        <v>6749.1</v>
      </c>
      <c r="R1968" s="1" t="n">
        <v>1214.84</v>
      </c>
      <c r="S1968" s="1" t="n">
        <v>5534.26</v>
      </c>
      <c r="T1968" s="1" t="n">
        <v>2309.88</v>
      </c>
      <c r="U1968" s="1" t="n">
        <v>3224.38</v>
      </c>
      <c r="V1968" s="1" t="n">
        <v>58.26</v>
      </c>
      <c r="W1968" s="1" t="s">
        <v>39</v>
      </c>
      <c r="X1968" s="1" t="n">
        <v>4</v>
      </c>
      <c r="Y1968" s="1" t="s">
        <v>40</v>
      </c>
      <c r="Z1968" s="1" t="n">
        <v>0</v>
      </c>
      <c r="AA1968" s="1" t="str">
        <f aca="false">TRIM(PROPER(F1968))</f>
        <v>Chennai</v>
      </c>
      <c r="AB1968" s="1" t="str">
        <f aca="false">TRIM(PROPER(C1968))</f>
        <v>Byju'S</v>
      </c>
      <c r="AC1968" s="1" t="str">
        <f aca="false">IF(O1968=0,"No Discount",IF(O1968&lt;=15,"Low (1-15%)",IF(O1968&lt;=30,"Medium (16-30%)","High (&gt;30%)")))</f>
        <v>Low (1-15%)</v>
      </c>
      <c r="AD1968" s="1" t="str">
        <f aca="false">IF(V1968&lt;0,"Loss Making",IF(V1968&lt;20,"Low Margin","Healthy Margin"))</f>
        <v>Healthy Margin</v>
      </c>
      <c r="AE1968" s="1" t="str">
        <f aca="false">TEXT(DATE(VALUE(RIGHT(B1968,4)),VALUE(MID(B1968,4,2)),VALUE(LEFT(B1968,2))),"MMM-YYYY")</f>
        <v>Jan-2024</v>
      </c>
      <c r="AF1968" s="1" t="n">
        <f aca="false">VALUE(RIGHT(B1968,4))</f>
        <v>2024</v>
      </c>
      <c r="AG1968" s="1" t="str">
        <f aca="false">CHOOSE(ROUNDUP(VALUE(MID(B1968,4,2))/3,0),"Q1","Q2","Q3","Q4")</f>
        <v>Q1</v>
      </c>
    </row>
    <row r="1969" customFormat="false" ht="15" hidden="false" customHeight="true" outlineLevel="0" collapsed="false">
      <c r="A1969" s="1" t="s">
        <v>2821</v>
      </c>
      <c r="B1969" s="1" t="s">
        <v>622</v>
      </c>
      <c r="C1969" s="1" t="s">
        <v>134</v>
      </c>
      <c r="D1969" s="1" t="s">
        <v>44</v>
      </c>
      <c r="E1969" s="1" t="s">
        <v>66</v>
      </c>
      <c r="F1969" s="1" t="s">
        <v>153</v>
      </c>
      <c r="G1969" s="1" t="s">
        <v>76</v>
      </c>
      <c r="H1969" s="1" t="s">
        <v>33</v>
      </c>
      <c r="I1969" s="1" t="s">
        <v>58</v>
      </c>
      <c r="J1969" s="1" t="s">
        <v>70</v>
      </c>
      <c r="K1969" s="1" t="s">
        <v>90</v>
      </c>
      <c r="L1969" s="1" t="s">
        <v>49</v>
      </c>
      <c r="M1969" s="1" t="s">
        <v>62</v>
      </c>
      <c r="N1969" s="1" t="n">
        <v>12999</v>
      </c>
      <c r="O1969" s="1" t="n">
        <v>0</v>
      </c>
      <c r="P1969" s="1" t="n">
        <v>0</v>
      </c>
      <c r="Q1969" s="1" t="n">
        <v>12999</v>
      </c>
      <c r="R1969" s="1" t="n">
        <v>2339.82</v>
      </c>
      <c r="S1969" s="1" t="n">
        <v>10659.18</v>
      </c>
      <c r="T1969" s="1" t="n">
        <v>5640.55</v>
      </c>
      <c r="U1969" s="1" t="n">
        <v>5018.63</v>
      </c>
      <c r="V1969" s="1" t="n">
        <v>47.08</v>
      </c>
      <c r="W1969" s="1" t="s">
        <v>40</v>
      </c>
      <c r="Y1969" s="1" t="s">
        <v>39</v>
      </c>
      <c r="Z1969" s="1" t="n">
        <v>0</v>
      </c>
      <c r="AA1969" s="1" t="str">
        <f aca="false">TRIM(PROPER(F1969))</f>
        <v>Howrah</v>
      </c>
      <c r="AB1969" s="1" t="str">
        <f aca="false">TRIM(PROPER(C1969))</f>
        <v>Doubtnut</v>
      </c>
      <c r="AC1969" s="1" t="str">
        <f aca="false">IF(O1969=0,"No Discount",IF(O1969&lt;=15,"Low (1-15%)",IF(O1969&lt;=30,"Medium (16-30%)","High (&gt;30%)")))</f>
        <v>No Discount</v>
      </c>
      <c r="AD1969" s="1" t="str">
        <f aca="false">IF(V1969&lt;0,"Loss Making",IF(V1969&lt;20,"Low Margin","Healthy Margin"))</f>
        <v>Healthy Margin</v>
      </c>
      <c r="AE1969" s="1" t="str">
        <f aca="false">TEXT(DATE(VALUE(RIGHT(B1969,4)),VALUE(MID(B1969,4,2)),VALUE(LEFT(B1969,2))),"MMM-YYYY")</f>
        <v>Apr-2023</v>
      </c>
      <c r="AF1969" s="1" t="n">
        <f aca="false">VALUE(RIGHT(B1969,4))</f>
        <v>2023</v>
      </c>
      <c r="AG1969" s="1" t="str">
        <f aca="false">CHOOSE(ROUNDUP(VALUE(MID(B1969,4,2))/3,0),"Q1","Q2","Q3","Q4")</f>
        <v>Q2</v>
      </c>
    </row>
    <row r="1970" customFormat="false" ht="15" hidden="false" customHeight="true" outlineLevel="0" collapsed="false">
      <c r="A1970" s="1" t="s">
        <v>2822</v>
      </c>
      <c r="B1970" s="1" t="s">
        <v>419</v>
      </c>
      <c r="C1970" s="1" t="s">
        <v>28</v>
      </c>
      <c r="D1970" s="1" t="s">
        <v>94</v>
      </c>
      <c r="E1970" s="1" t="s">
        <v>135</v>
      </c>
      <c r="F1970" s="1" t="s">
        <v>96</v>
      </c>
      <c r="G1970" s="1" t="s">
        <v>97</v>
      </c>
      <c r="H1970" s="1" t="s">
        <v>69</v>
      </c>
      <c r="I1970" s="1" t="s">
        <v>83</v>
      </c>
      <c r="J1970" s="1" t="s">
        <v>35</v>
      </c>
      <c r="K1970" s="1" t="s">
        <v>48</v>
      </c>
      <c r="L1970" s="1" t="s">
        <v>136</v>
      </c>
      <c r="M1970" s="1" t="s">
        <v>38</v>
      </c>
      <c r="N1970" s="1" t="n">
        <v>9999</v>
      </c>
      <c r="O1970" s="1" t="n">
        <v>0</v>
      </c>
      <c r="P1970" s="1" t="n">
        <v>0</v>
      </c>
      <c r="Q1970" s="1" t="n">
        <v>9999</v>
      </c>
      <c r="R1970" s="1" t="n">
        <v>1799.82</v>
      </c>
      <c r="S1970" s="1" t="n">
        <v>8199.18</v>
      </c>
      <c r="T1970" s="1" t="n">
        <v>2806.51</v>
      </c>
      <c r="U1970" s="1" t="n">
        <v>5392.67</v>
      </c>
      <c r="V1970" s="1" t="n">
        <v>65.77</v>
      </c>
      <c r="W1970" s="1" t="s">
        <v>40</v>
      </c>
      <c r="Y1970" s="1" t="s">
        <v>40</v>
      </c>
      <c r="Z1970" s="1" t="n">
        <v>1</v>
      </c>
      <c r="AA1970" s="1" t="str">
        <f aca="false">TRIM(PROPER(F1970))</f>
        <v>Pune</v>
      </c>
      <c r="AB1970" s="1" t="str">
        <f aca="false">TRIM(PROPER(C1970))</f>
        <v>Embibe</v>
      </c>
      <c r="AC1970" s="1" t="str">
        <f aca="false">IF(O1970=0,"No Discount",IF(O1970&lt;=15,"Low (1-15%)",IF(O1970&lt;=30,"Medium (16-30%)","High (&gt;30%)")))</f>
        <v>No Discount</v>
      </c>
      <c r="AD1970" s="1" t="str">
        <f aca="false">IF(V1970&lt;0,"Loss Making",IF(V1970&lt;20,"Low Margin","Healthy Margin"))</f>
        <v>Healthy Margin</v>
      </c>
      <c r="AE1970" s="1" t="str">
        <f aca="false">TEXT(DATE(VALUE(RIGHT(B1970,4)),VALUE(MID(B1970,4,2)),VALUE(LEFT(B1970,2))),"MMM-YYYY")</f>
        <v>Jul-2023</v>
      </c>
      <c r="AF1970" s="1" t="n">
        <f aca="false">VALUE(RIGHT(B1970,4))</f>
        <v>2023</v>
      </c>
      <c r="AG1970" s="1" t="str">
        <f aca="false">CHOOSE(ROUNDUP(VALUE(MID(B1970,4,2))/3,0),"Q1","Q2","Q3","Q4")</f>
        <v>Q3</v>
      </c>
    </row>
    <row r="1971" customFormat="false" ht="15" hidden="false" customHeight="true" outlineLevel="0" collapsed="false">
      <c r="A1971" s="1" t="s">
        <v>2823</v>
      </c>
      <c r="B1971" s="1" t="s">
        <v>825</v>
      </c>
      <c r="C1971" s="1" t="s">
        <v>178</v>
      </c>
      <c r="D1971" s="1" t="s">
        <v>143</v>
      </c>
      <c r="E1971" s="1" t="s">
        <v>210</v>
      </c>
      <c r="F1971" s="1" t="s">
        <v>125</v>
      </c>
      <c r="G1971" s="1" t="s">
        <v>108</v>
      </c>
      <c r="H1971" s="1" t="s">
        <v>69</v>
      </c>
      <c r="I1971" s="1" t="s">
        <v>83</v>
      </c>
      <c r="J1971" s="1" t="s">
        <v>77</v>
      </c>
      <c r="K1971" s="1" t="s">
        <v>84</v>
      </c>
      <c r="L1971" s="1" t="s">
        <v>49</v>
      </c>
      <c r="M1971" s="1" t="s">
        <v>62</v>
      </c>
      <c r="N1971" s="1" t="n">
        <v>18999</v>
      </c>
      <c r="O1971" s="1" t="n">
        <v>0</v>
      </c>
      <c r="P1971" s="1" t="n">
        <v>0</v>
      </c>
      <c r="Q1971" s="1" t="n">
        <v>18999</v>
      </c>
      <c r="R1971" s="1" t="n">
        <v>3419.82</v>
      </c>
      <c r="S1971" s="1" t="n">
        <v>15579.18</v>
      </c>
      <c r="T1971" s="1" t="n">
        <v>6741.4</v>
      </c>
      <c r="U1971" s="1" t="n">
        <v>8837.78</v>
      </c>
      <c r="V1971" s="1" t="n">
        <v>56.73</v>
      </c>
      <c r="W1971" s="1" t="s">
        <v>39</v>
      </c>
      <c r="X1971" s="1" t="n">
        <v>3.5</v>
      </c>
      <c r="Y1971" s="1" t="s">
        <v>40</v>
      </c>
      <c r="Z1971" s="1" t="n">
        <v>1</v>
      </c>
      <c r="AA1971" s="1" t="str">
        <f aca="false">TRIM(PROPER(F1971))</f>
        <v>Chennai</v>
      </c>
      <c r="AB1971" s="1" t="str">
        <f aca="false">TRIM(PROPER(C1971))</f>
        <v>Leverage Edu</v>
      </c>
      <c r="AC1971" s="1" t="str">
        <f aca="false">IF(O1971=0,"No Discount",IF(O1971&lt;=15,"Low (1-15%)",IF(O1971&lt;=30,"Medium (16-30%)","High (&gt;30%)")))</f>
        <v>No Discount</v>
      </c>
      <c r="AD1971" s="1" t="str">
        <f aca="false">IF(V1971&lt;0,"Loss Making",IF(V1971&lt;20,"Low Margin","Healthy Margin"))</f>
        <v>Healthy Margin</v>
      </c>
      <c r="AE1971" s="1" t="str">
        <f aca="false">TEXT(DATE(VALUE(RIGHT(B1971,4)),VALUE(MID(B1971,4,2)),VALUE(LEFT(B1971,2))),"MMM-YYYY")</f>
        <v>Apr-2023</v>
      </c>
      <c r="AF1971" s="1" t="n">
        <f aca="false">VALUE(RIGHT(B1971,4))</f>
        <v>2023</v>
      </c>
      <c r="AG1971" s="1" t="str">
        <f aca="false">CHOOSE(ROUNDUP(VALUE(MID(B1971,4,2))/3,0),"Q1","Q2","Q3","Q4")</f>
        <v>Q2</v>
      </c>
    </row>
    <row r="1972" customFormat="false" ht="15" hidden="false" customHeight="true" outlineLevel="0" collapsed="false">
      <c r="A1972" s="1" t="s">
        <v>2824</v>
      </c>
      <c r="B1972" s="1" t="s">
        <v>1339</v>
      </c>
      <c r="C1972" s="1" t="s">
        <v>139</v>
      </c>
      <c r="D1972" s="1" t="s">
        <v>80</v>
      </c>
      <c r="E1972" s="1" t="s">
        <v>190</v>
      </c>
      <c r="F1972" s="1" t="s">
        <v>187</v>
      </c>
      <c r="G1972" s="1" t="s">
        <v>97</v>
      </c>
      <c r="H1972" s="1" t="s">
        <v>69</v>
      </c>
      <c r="I1972" s="1" t="s">
        <v>58</v>
      </c>
      <c r="J1972" s="1" t="s">
        <v>70</v>
      </c>
      <c r="K1972" s="1" t="s">
        <v>84</v>
      </c>
      <c r="L1972" s="1" t="s">
        <v>61</v>
      </c>
      <c r="M1972" s="1" t="s">
        <v>50</v>
      </c>
      <c r="N1972" s="1" t="n">
        <v>15999</v>
      </c>
      <c r="O1972" s="1" t="n">
        <v>30</v>
      </c>
      <c r="P1972" s="1" t="n">
        <v>4799.7</v>
      </c>
      <c r="Q1972" s="1" t="n">
        <v>11199.3</v>
      </c>
      <c r="R1972" s="1" t="n">
        <v>2015.87</v>
      </c>
      <c r="S1972" s="1" t="n">
        <v>9183.43</v>
      </c>
      <c r="T1972" s="1" t="n">
        <v>4502.87</v>
      </c>
      <c r="U1972" s="1" t="n">
        <v>4680.56</v>
      </c>
      <c r="V1972" s="1" t="n">
        <v>50.97</v>
      </c>
      <c r="W1972" s="1" t="s">
        <v>39</v>
      </c>
      <c r="Y1972" s="1" t="s">
        <v>40</v>
      </c>
      <c r="Z1972" s="1" t="n">
        <v>0</v>
      </c>
      <c r="AA1972" s="1" t="str">
        <f aca="false">TRIM(PROPER(F1972))</f>
        <v>Mumbai</v>
      </c>
      <c r="AB1972" s="1" t="str">
        <f aca="false">TRIM(PROPER(C1972))</f>
        <v>Extramarks</v>
      </c>
      <c r="AC1972" s="1" t="str">
        <f aca="false">IF(O1972=0,"No Discount",IF(O1972&lt;=15,"Low (1-15%)",IF(O1972&lt;=30,"Medium (16-30%)","High (&gt;30%)")))</f>
        <v>Medium (16-30%)</v>
      </c>
      <c r="AD1972" s="1" t="str">
        <f aca="false">IF(V1972&lt;0,"Loss Making",IF(V1972&lt;20,"Low Margin","Healthy Margin"))</f>
        <v>Healthy Margin</v>
      </c>
      <c r="AE1972" s="1" t="str">
        <f aca="false">TEXT(DATE(VALUE(RIGHT(B1972,4)),VALUE(MID(B1972,4,2)),VALUE(LEFT(B1972,2))),"MMM-YYYY")</f>
        <v>May-2024</v>
      </c>
      <c r="AF1972" s="1" t="n">
        <f aca="false">VALUE(RIGHT(B1972,4))</f>
        <v>2024</v>
      </c>
      <c r="AG1972" s="1" t="str">
        <f aca="false">CHOOSE(ROUNDUP(VALUE(MID(B1972,4,2))/3,0),"Q1","Q2","Q3","Q4")</f>
        <v>Q2</v>
      </c>
    </row>
    <row r="1973" customFormat="false" ht="15" hidden="false" customHeight="true" outlineLevel="0" collapsed="false">
      <c r="A1973" s="1" t="s">
        <v>2825</v>
      </c>
      <c r="B1973" s="1" t="s">
        <v>2826</v>
      </c>
      <c r="C1973" s="1" t="s">
        <v>65</v>
      </c>
      <c r="D1973" s="1" t="s">
        <v>168</v>
      </c>
      <c r="E1973" s="1" t="s">
        <v>328</v>
      </c>
      <c r="F1973" s="1" t="s">
        <v>194</v>
      </c>
      <c r="G1973" s="1" t="s">
        <v>103</v>
      </c>
      <c r="H1973" s="1" t="s">
        <v>69</v>
      </c>
      <c r="I1973" s="1" t="s">
        <v>34</v>
      </c>
      <c r="J1973" s="1" t="s">
        <v>59</v>
      </c>
      <c r="K1973" s="1" t="s">
        <v>60</v>
      </c>
      <c r="L1973" s="1" t="s">
        <v>85</v>
      </c>
      <c r="M1973" s="1" t="s">
        <v>38</v>
      </c>
      <c r="N1973" s="1" t="n">
        <v>8999</v>
      </c>
      <c r="O1973" s="1" t="n">
        <v>20</v>
      </c>
      <c r="P1973" s="1" t="n">
        <v>1799.8</v>
      </c>
      <c r="Q1973" s="1" t="n">
        <v>7199.2</v>
      </c>
      <c r="R1973" s="1" t="n">
        <v>1295.86</v>
      </c>
      <c r="S1973" s="1" t="n">
        <v>5903.34</v>
      </c>
      <c r="T1973" s="1" t="n">
        <v>2185.94</v>
      </c>
      <c r="U1973" s="1" t="n">
        <v>3717.4</v>
      </c>
      <c r="V1973" s="1" t="n">
        <v>62.97</v>
      </c>
      <c r="W1973" s="1" t="s">
        <v>39</v>
      </c>
      <c r="X1973" s="1" t="n">
        <v>3.2</v>
      </c>
      <c r="Y1973" s="1" t="s">
        <v>40</v>
      </c>
      <c r="Z1973" s="1" t="n">
        <v>0</v>
      </c>
      <c r="AA1973" s="1" t="str">
        <f aca="false">TRIM(PROPER(F1973))</f>
        <v>Hyderabad</v>
      </c>
      <c r="AB1973" s="1" t="str">
        <f aca="false">TRIM(PROPER(C1973))</f>
        <v>Toppr</v>
      </c>
      <c r="AC1973" s="1" t="str">
        <f aca="false">IF(O1973=0,"No Discount",IF(O1973&lt;=15,"Low (1-15%)",IF(O1973&lt;=30,"Medium (16-30%)","High (&gt;30%)")))</f>
        <v>Medium (16-30%)</v>
      </c>
      <c r="AD1973" s="1" t="str">
        <f aca="false">IF(V1973&lt;0,"Loss Making",IF(V1973&lt;20,"Low Margin","Healthy Margin"))</f>
        <v>Healthy Margin</v>
      </c>
      <c r="AE1973" s="1" t="str">
        <f aca="false">TEXT(DATE(VALUE(RIGHT(B1973,4)),VALUE(MID(B1973,4,2)),VALUE(LEFT(B1973,2))),"MMM-YYYY")</f>
        <v>Mar-2024</v>
      </c>
      <c r="AF1973" s="1" t="n">
        <f aca="false">VALUE(RIGHT(B1973,4))</f>
        <v>2024</v>
      </c>
      <c r="AG1973" s="1" t="str">
        <f aca="false">CHOOSE(ROUNDUP(VALUE(MID(B1973,4,2))/3,0),"Q1","Q2","Q3","Q4")</f>
        <v>Q1</v>
      </c>
    </row>
    <row r="1974" customFormat="false" ht="15" hidden="false" customHeight="true" outlineLevel="0" collapsed="false">
      <c r="A1974" s="1" t="s">
        <v>2827</v>
      </c>
      <c r="B1974" s="1" t="s">
        <v>1461</v>
      </c>
      <c r="C1974" s="1" t="s">
        <v>65</v>
      </c>
      <c r="D1974" s="1" t="s">
        <v>168</v>
      </c>
      <c r="E1974" s="1" t="s">
        <v>172</v>
      </c>
      <c r="F1974" s="1" t="s">
        <v>194</v>
      </c>
      <c r="G1974" s="1" t="s">
        <v>103</v>
      </c>
      <c r="H1974" s="1" t="s">
        <v>69</v>
      </c>
      <c r="I1974" s="1" t="s">
        <v>34</v>
      </c>
      <c r="J1974" s="1" t="s">
        <v>77</v>
      </c>
      <c r="K1974" s="1" t="s">
        <v>104</v>
      </c>
      <c r="L1974" s="1" t="s">
        <v>136</v>
      </c>
      <c r="M1974" s="1" t="s">
        <v>62</v>
      </c>
      <c r="N1974" s="1" t="n">
        <v>6999</v>
      </c>
      <c r="O1974" s="1" t="n">
        <v>20</v>
      </c>
      <c r="P1974" s="1" t="n">
        <v>1399.8</v>
      </c>
      <c r="Q1974" s="1" t="n">
        <v>5599.2</v>
      </c>
      <c r="R1974" s="1" t="n">
        <v>1007.86</v>
      </c>
      <c r="S1974" s="1" t="n">
        <v>4591.34</v>
      </c>
      <c r="T1974" s="1" t="n">
        <v>1676.52</v>
      </c>
      <c r="U1974" s="1" t="n">
        <v>2914.82</v>
      </c>
      <c r="V1974" s="1" t="n">
        <v>63.49</v>
      </c>
      <c r="W1974" s="1" t="s">
        <v>40</v>
      </c>
      <c r="Y1974" s="1" t="s">
        <v>40</v>
      </c>
      <c r="Z1974" s="1" t="n">
        <v>1</v>
      </c>
      <c r="AA1974" s="1" t="str">
        <f aca="false">TRIM(PROPER(F1974))</f>
        <v>Hyderabad</v>
      </c>
      <c r="AB1974" s="1" t="str">
        <f aca="false">TRIM(PROPER(C1974))</f>
        <v>Toppr</v>
      </c>
      <c r="AC1974" s="1" t="str">
        <f aca="false">IF(O1974=0,"No Discount",IF(O1974&lt;=15,"Low (1-15%)",IF(O1974&lt;=30,"Medium (16-30%)","High (&gt;30%)")))</f>
        <v>Medium (16-30%)</v>
      </c>
      <c r="AD1974" s="1" t="str">
        <f aca="false">IF(V1974&lt;0,"Loss Making",IF(V1974&lt;20,"Low Margin","Healthy Margin"))</f>
        <v>Healthy Margin</v>
      </c>
      <c r="AE1974" s="1" t="str">
        <f aca="false">TEXT(DATE(VALUE(RIGHT(B1974,4)),VALUE(MID(B1974,4,2)),VALUE(LEFT(B1974,2))),"MMM-YYYY")</f>
        <v>May-2023</v>
      </c>
      <c r="AF1974" s="1" t="n">
        <f aca="false">VALUE(RIGHT(B1974,4))</f>
        <v>2023</v>
      </c>
      <c r="AG1974" s="1" t="str">
        <f aca="false">CHOOSE(ROUNDUP(VALUE(MID(B1974,4,2))/3,0),"Q1","Q2","Q3","Q4")</f>
        <v>Q2</v>
      </c>
    </row>
    <row r="1975" customFormat="false" ht="15" hidden="false" customHeight="true" outlineLevel="0" collapsed="false">
      <c r="A1975" s="1" t="s">
        <v>2828</v>
      </c>
      <c r="B1975" s="1" t="s">
        <v>158</v>
      </c>
      <c r="C1975" s="1" t="s">
        <v>249</v>
      </c>
      <c r="D1975" s="1" t="s">
        <v>80</v>
      </c>
      <c r="E1975" s="1" t="s">
        <v>190</v>
      </c>
      <c r="F1975" s="1" t="s">
        <v>211</v>
      </c>
      <c r="G1975" s="1" t="s">
        <v>56</v>
      </c>
      <c r="H1975" s="1" t="s">
        <v>69</v>
      </c>
      <c r="I1975" s="1" t="s">
        <v>34</v>
      </c>
      <c r="J1975" s="1" t="s">
        <v>70</v>
      </c>
      <c r="K1975" s="1" t="s">
        <v>48</v>
      </c>
      <c r="L1975" s="1" t="s">
        <v>37</v>
      </c>
      <c r="M1975" s="1" t="s">
        <v>38</v>
      </c>
      <c r="N1975" s="1" t="n">
        <v>15999</v>
      </c>
      <c r="O1975" s="1" t="n">
        <v>0</v>
      </c>
      <c r="P1975" s="1" t="n">
        <v>0</v>
      </c>
      <c r="Q1975" s="1" t="n">
        <v>15999</v>
      </c>
      <c r="R1975" s="1" t="n">
        <v>2879.82</v>
      </c>
      <c r="S1975" s="1" t="n">
        <v>13119.18</v>
      </c>
      <c r="T1975" s="1" t="n">
        <v>5616.88</v>
      </c>
      <c r="U1975" s="1" t="n">
        <v>7502.3</v>
      </c>
      <c r="V1975" s="1" t="n">
        <v>57.19</v>
      </c>
      <c r="W1975" s="1" t="s">
        <v>40</v>
      </c>
      <c r="Y1975" s="1" t="s">
        <v>40</v>
      </c>
      <c r="Z1975" s="1" t="n">
        <v>0</v>
      </c>
      <c r="AA1975" s="1" t="str">
        <f aca="false">TRIM(PROPER(F1975))</f>
        <v>Noida</v>
      </c>
      <c r="AB1975" s="1" t="str">
        <f aca="false">TRIM(PROPER(C1975))</f>
        <v>Whitehat Jr</v>
      </c>
      <c r="AC1975" s="1" t="str">
        <f aca="false">IF(O1975=0,"No Discount",IF(O1975&lt;=15,"Low (1-15%)",IF(O1975&lt;=30,"Medium (16-30%)","High (&gt;30%)")))</f>
        <v>No Discount</v>
      </c>
      <c r="AD1975" s="1" t="str">
        <f aca="false">IF(V1975&lt;0,"Loss Making",IF(V1975&lt;20,"Low Margin","Healthy Margin"))</f>
        <v>Healthy Margin</v>
      </c>
      <c r="AE1975" s="1" t="str">
        <f aca="false">TEXT(DATE(VALUE(RIGHT(B1975,4)),VALUE(MID(B1975,4,2)),VALUE(LEFT(B1975,2))),"MMM-YYYY")</f>
        <v>Jan-2024</v>
      </c>
      <c r="AF1975" s="1" t="n">
        <f aca="false">VALUE(RIGHT(B1975,4))</f>
        <v>2024</v>
      </c>
      <c r="AG1975" s="1" t="str">
        <f aca="false">CHOOSE(ROUNDUP(VALUE(MID(B1975,4,2))/3,0),"Q1","Q2","Q3","Q4")</f>
        <v>Q1</v>
      </c>
    </row>
    <row r="1976" customFormat="false" ht="15" hidden="false" customHeight="true" outlineLevel="0" collapsed="false">
      <c r="A1976" s="1" t="s">
        <v>2829</v>
      </c>
      <c r="B1976" s="1" t="s">
        <v>2110</v>
      </c>
      <c r="C1976" s="1" t="s">
        <v>28</v>
      </c>
      <c r="D1976" s="1" t="s">
        <v>94</v>
      </c>
      <c r="E1976" s="1" t="s">
        <v>95</v>
      </c>
      <c r="F1976" s="1" t="s">
        <v>150</v>
      </c>
      <c r="G1976" s="1" t="s">
        <v>32</v>
      </c>
      <c r="H1976" s="1" t="s">
        <v>57</v>
      </c>
      <c r="I1976" s="1" t="s">
        <v>83</v>
      </c>
      <c r="J1976" s="1" t="s">
        <v>35</v>
      </c>
      <c r="K1976" s="1" t="s">
        <v>48</v>
      </c>
      <c r="L1976" s="1" t="s">
        <v>61</v>
      </c>
      <c r="M1976" s="1" t="s">
        <v>62</v>
      </c>
      <c r="N1976" s="1" t="n">
        <v>6999</v>
      </c>
      <c r="O1976" s="1" t="n">
        <v>10</v>
      </c>
      <c r="P1976" s="1" t="n">
        <v>699.9</v>
      </c>
      <c r="Q1976" s="1" t="n">
        <v>6299.1</v>
      </c>
      <c r="R1976" s="1" t="n">
        <v>1133.84</v>
      </c>
      <c r="S1976" s="1" t="n">
        <v>5165.26</v>
      </c>
      <c r="T1976" s="1" t="n">
        <v>2309.5</v>
      </c>
      <c r="U1976" s="1" t="n">
        <v>2855.76</v>
      </c>
      <c r="V1976" s="1" t="n">
        <v>55.29</v>
      </c>
      <c r="W1976" s="1" t="s">
        <v>40</v>
      </c>
      <c r="Y1976" s="1" t="s">
        <v>40</v>
      </c>
      <c r="Z1976" s="1" t="n">
        <v>3</v>
      </c>
      <c r="AA1976" s="1" t="str">
        <f aca="false">TRIM(PROPER(F1976))</f>
        <v>Jaipur</v>
      </c>
      <c r="AB1976" s="1" t="str">
        <f aca="false">TRIM(PROPER(C1976))</f>
        <v>Embibe</v>
      </c>
      <c r="AC1976" s="1" t="str">
        <f aca="false">IF(O1976=0,"No Discount",IF(O1976&lt;=15,"Low (1-15%)",IF(O1976&lt;=30,"Medium (16-30%)","High (&gt;30%)")))</f>
        <v>Low (1-15%)</v>
      </c>
      <c r="AD1976" s="1" t="str">
        <f aca="false">IF(V1976&lt;0,"Loss Making",IF(V1976&lt;20,"Low Margin","Healthy Margin"))</f>
        <v>Healthy Margin</v>
      </c>
      <c r="AE1976" s="1" t="str">
        <f aca="false">TEXT(DATE(VALUE(RIGHT(B1976,4)),VALUE(MID(B1976,4,2)),VALUE(LEFT(B1976,2))),"MMM-YYYY")</f>
        <v>Nov-2024</v>
      </c>
      <c r="AF1976" s="1" t="n">
        <f aca="false">VALUE(RIGHT(B1976,4))</f>
        <v>2024</v>
      </c>
      <c r="AG1976" s="1" t="str">
        <f aca="false">CHOOSE(ROUNDUP(VALUE(MID(B1976,4,2))/3,0),"Q1","Q2","Q3","Q4")</f>
        <v>Q4</v>
      </c>
    </row>
    <row r="1977" customFormat="false" ht="15" hidden="false" customHeight="true" outlineLevel="0" collapsed="false">
      <c r="A1977" s="1" t="s">
        <v>2830</v>
      </c>
      <c r="B1977" s="1" t="s">
        <v>1644</v>
      </c>
      <c r="C1977" s="1" t="s">
        <v>93</v>
      </c>
      <c r="D1977" s="1" t="s">
        <v>44</v>
      </c>
      <c r="E1977" s="1" t="s">
        <v>221</v>
      </c>
      <c r="F1977" s="1" t="s">
        <v>55</v>
      </c>
      <c r="G1977" s="1" t="s">
        <v>56</v>
      </c>
      <c r="H1977" s="1" t="s">
        <v>57</v>
      </c>
      <c r="I1977" s="1" t="s">
        <v>34</v>
      </c>
      <c r="J1977" s="1" t="s">
        <v>77</v>
      </c>
      <c r="K1977" s="1" t="s">
        <v>90</v>
      </c>
      <c r="L1977" s="1" t="s">
        <v>136</v>
      </c>
      <c r="M1977" s="1" t="s">
        <v>38</v>
      </c>
      <c r="N1977" s="1" t="n">
        <v>16999</v>
      </c>
      <c r="O1977" s="1" t="n">
        <v>50</v>
      </c>
      <c r="P1977" s="1" t="n">
        <v>8499.5</v>
      </c>
      <c r="Q1977" s="1" t="n">
        <v>8499.5</v>
      </c>
      <c r="R1977" s="1" t="n">
        <v>1529.91</v>
      </c>
      <c r="S1977" s="1" t="n">
        <v>6969.59</v>
      </c>
      <c r="T1977" s="1" t="n">
        <v>4269.79</v>
      </c>
      <c r="U1977" s="1" t="n">
        <v>2699.8</v>
      </c>
      <c r="V1977" s="1" t="n">
        <v>38.74</v>
      </c>
      <c r="W1977" s="1" t="s">
        <v>40</v>
      </c>
      <c r="Y1977" s="1" t="s">
        <v>40</v>
      </c>
      <c r="Z1977" s="1" t="n">
        <v>4</v>
      </c>
      <c r="AA1977" s="1" t="str">
        <f aca="false">TRIM(PROPER(F1977))</f>
        <v>Ghaziabad</v>
      </c>
      <c r="AB1977" s="1" t="str">
        <f aca="false">TRIM(PROPER(C1977))</f>
        <v>Upgrad</v>
      </c>
      <c r="AC1977" s="1" t="str">
        <f aca="false">IF(O1977=0,"No Discount",IF(O1977&lt;=15,"Low (1-15%)",IF(O1977&lt;=30,"Medium (16-30%)","High (&gt;30%)")))</f>
        <v>High (&gt;30%)</v>
      </c>
      <c r="AD1977" s="1" t="str">
        <f aca="false">IF(V1977&lt;0,"Loss Making",IF(V1977&lt;20,"Low Margin","Healthy Margin"))</f>
        <v>Healthy Margin</v>
      </c>
      <c r="AE1977" s="1" t="str">
        <f aca="false">TEXT(DATE(VALUE(RIGHT(B1977,4)),VALUE(MID(B1977,4,2)),VALUE(LEFT(B1977,2))),"MMM-YYYY")</f>
        <v>Mar-2023</v>
      </c>
      <c r="AF1977" s="1" t="n">
        <f aca="false">VALUE(RIGHT(B1977,4))</f>
        <v>2023</v>
      </c>
      <c r="AG1977" s="1" t="str">
        <f aca="false">CHOOSE(ROUNDUP(VALUE(MID(B1977,4,2))/3,0),"Q1","Q2","Q3","Q4")</f>
        <v>Q1</v>
      </c>
    </row>
    <row r="1978" customFormat="false" ht="15" hidden="false" customHeight="true" outlineLevel="0" collapsed="false">
      <c r="A1978" s="1" t="s">
        <v>2831</v>
      </c>
      <c r="B1978" s="1" t="s">
        <v>1337</v>
      </c>
      <c r="C1978" s="1" t="s">
        <v>74</v>
      </c>
      <c r="D1978" s="1" t="s">
        <v>29</v>
      </c>
      <c r="E1978" s="1" t="s">
        <v>129</v>
      </c>
      <c r="F1978" s="1" t="s">
        <v>102</v>
      </c>
      <c r="G1978" s="1" t="s">
        <v>103</v>
      </c>
      <c r="H1978" s="1" t="s">
        <v>33</v>
      </c>
      <c r="I1978" s="1" t="s">
        <v>83</v>
      </c>
      <c r="J1978" s="1" t="s">
        <v>35</v>
      </c>
      <c r="K1978" s="1" t="s">
        <v>90</v>
      </c>
      <c r="L1978" s="1" t="s">
        <v>136</v>
      </c>
      <c r="M1978" s="1" t="s">
        <v>50</v>
      </c>
      <c r="N1978" s="1" t="n">
        <v>29999</v>
      </c>
      <c r="O1978" s="1" t="n">
        <v>5</v>
      </c>
      <c r="P1978" s="1" t="n">
        <v>1499.95</v>
      </c>
      <c r="Q1978" s="1" t="n">
        <v>28499.05</v>
      </c>
      <c r="R1978" s="1" t="n">
        <v>5129.83</v>
      </c>
      <c r="S1978" s="1" t="n">
        <v>23369.22</v>
      </c>
      <c r="T1978" s="1" t="n">
        <v>9006.09</v>
      </c>
      <c r="U1978" s="1" t="n">
        <v>14363.13</v>
      </c>
      <c r="V1978" s="1" t="n">
        <v>61.46</v>
      </c>
      <c r="W1978" s="1" t="s">
        <v>40</v>
      </c>
      <c r="Y1978" s="1" t="s">
        <v>40</v>
      </c>
      <c r="Z1978" s="1" t="n">
        <v>1</v>
      </c>
      <c r="AA1978" s="1" t="str">
        <f aca="false">TRIM(PROPER(F1978))</f>
        <v>Warangal</v>
      </c>
      <c r="AB1978" s="1" t="str">
        <f aca="false">TRIM(PROPER(C1978))</f>
        <v>Vedantu</v>
      </c>
      <c r="AC1978" s="1" t="str">
        <f aca="false">IF(O1978=0,"No Discount",IF(O1978&lt;=15,"Low (1-15%)",IF(O1978&lt;=30,"Medium (16-30%)","High (&gt;30%)")))</f>
        <v>Low (1-15%)</v>
      </c>
      <c r="AD1978" s="1" t="str">
        <f aca="false">IF(V1978&lt;0,"Loss Making",IF(V1978&lt;20,"Low Margin","Healthy Margin"))</f>
        <v>Healthy Margin</v>
      </c>
      <c r="AE1978" s="1" t="str">
        <f aca="false">TEXT(DATE(VALUE(RIGHT(B1978,4)),VALUE(MID(B1978,4,2)),VALUE(LEFT(B1978,2))),"MMM-YYYY")</f>
        <v>Dec-2023</v>
      </c>
      <c r="AF1978" s="1" t="n">
        <f aca="false">VALUE(RIGHT(B1978,4))</f>
        <v>2023</v>
      </c>
      <c r="AG1978" s="1" t="str">
        <f aca="false">CHOOSE(ROUNDUP(VALUE(MID(B1978,4,2))/3,0),"Q1","Q2","Q3","Q4")</f>
        <v>Q4</v>
      </c>
    </row>
    <row r="1979" customFormat="false" ht="15" hidden="false" customHeight="true" outlineLevel="0" collapsed="false">
      <c r="A1979" s="1" t="s">
        <v>2832</v>
      </c>
      <c r="B1979" s="1" t="s">
        <v>692</v>
      </c>
      <c r="C1979" s="1" t="s">
        <v>93</v>
      </c>
      <c r="D1979" s="1" t="s">
        <v>94</v>
      </c>
      <c r="E1979" s="1" t="s">
        <v>95</v>
      </c>
      <c r="F1979" s="1" t="s">
        <v>194</v>
      </c>
      <c r="G1979" s="1" t="s">
        <v>103</v>
      </c>
      <c r="H1979" s="1" t="s">
        <v>69</v>
      </c>
      <c r="I1979" s="1" t="s">
        <v>58</v>
      </c>
      <c r="J1979" s="1" t="s">
        <v>131</v>
      </c>
      <c r="K1979" s="1" t="s">
        <v>48</v>
      </c>
      <c r="L1979" s="1" t="s">
        <v>136</v>
      </c>
      <c r="M1979" s="1" t="s">
        <v>62</v>
      </c>
      <c r="N1979" s="1" t="n">
        <v>6999</v>
      </c>
      <c r="O1979" s="1" t="n">
        <v>50</v>
      </c>
      <c r="P1979" s="1" t="n">
        <v>3499.5</v>
      </c>
      <c r="Q1979" s="1" t="n">
        <v>3499.5</v>
      </c>
      <c r="R1979" s="1" t="n">
        <v>629.91</v>
      </c>
      <c r="S1979" s="1" t="n">
        <v>2869.59</v>
      </c>
      <c r="T1979" s="1" t="n">
        <v>1452.42</v>
      </c>
      <c r="U1979" s="1" t="n">
        <v>1417.17</v>
      </c>
      <c r="V1979" s="1" t="n">
        <v>49.39</v>
      </c>
      <c r="W1979" s="1" t="s">
        <v>39</v>
      </c>
      <c r="X1979" s="1" t="n">
        <v>3.6</v>
      </c>
      <c r="Y1979" s="1" t="s">
        <v>40</v>
      </c>
      <c r="Z1979" s="1" t="n">
        <v>0</v>
      </c>
      <c r="AA1979" s="1" t="str">
        <f aca="false">TRIM(PROPER(F1979))</f>
        <v>Hyderabad</v>
      </c>
      <c r="AB1979" s="1" t="str">
        <f aca="false">TRIM(PROPER(C1979))</f>
        <v>Upgrad</v>
      </c>
      <c r="AC1979" s="1" t="str">
        <f aca="false">IF(O1979=0,"No Discount",IF(O1979&lt;=15,"Low (1-15%)",IF(O1979&lt;=30,"Medium (16-30%)","High (&gt;30%)")))</f>
        <v>High (&gt;30%)</v>
      </c>
      <c r="AD1979" s="1" t="str">
        <f aca="false">IF(V1979&lt;0,"Loss Making",IF(V1979&lt;20,"Low Margin","Healthy Margin"))</f>
        <v>Healthy Margin</v>
      </c>
      <c r="AE1979" s="1" t="str">
        <f aca="false">TEXT(DATE(VALUE(RIGHT(B1979,4)),VALUE(MID(B1979,4,2)),VALUE(LEFT(B1979,2))),"MMM-YYYY")</f>
        <v>Jan-2024</v>
      </c>
      <c r="AF1979" s="1" t="n">
        <f aca="false">VALUE(RIGHT(B1979,4))</f>
        <v>2024</v>
      </c>
      <c r="AG1979" s="1" t="str">
        <f aca="false">CHOOSE(ROUNDUP(VALUE(MID(B1979,4,2))/3,0),"Q1","Q2","Q3","Q4")</f>
        <v>Q1</v>
      </c>
    </row>
    <row r="1980" customFormat="false" ht="15" hidden="false" customHeight="true" outlineLevel="0" collapsed="false">
      <c r="A1980" s="1" t="s">
        <v>2833</v>
      </c>
      <c r="B1980" s="1" t="s">
        <v>1688</v>
      </c>
      <c r="C1980" s="1" t="s">
        <v>249</v>
      </c>
      <c r="D1980" s="1" t="s">
        <v>94</v>
      </c>
      <c r="E1980" s="1" t="s">
        <v>135</v>
      </c>
      <c r="F1980" s="1" t="s">
        <v>31</v>
      </c>
      <c r="G1980" s="1" t="s">
        <v>32</v>
      </c>
      <c r="H1980" s="1" t="s">
        <v>33</v>
      </c>
      <c r="I1980" s="1" t="s">
        <v>83</v>
      </c>
      <c r="J1980" s="1" t="s">
        <v>77</v>
      </c>
      <c r="K1980" s="1" t="s">
        <v>112</v>
      </c>
      <c r="L1980" s="1" t="s">
        <v>113</v>
      </c>
      <c r="M1980" s="1" t="s">
        <v>50</v>
      </c>
      <c r="N1980" s="1" t="n">
        <v>9999</v>
      </c>
      <c r="O1980" s="1" t="n">
        <v>30</v>
      </c>
      <c r="P1980" s="1" t="n">
        <v>2999.7</v>
      </c>
      <c r="Q1980" s="1" t="n">
        <v>6999.3</v>
      </c>
      <c r="R1980" s="1" t="n">
        <v>1259.87</v>
      </c>
      <c r="S1980" s="1" t="n">
        <v>5739.43</v>
      </c>
      <c r="T1980" s="1" t="n">
        <v>2223.91</v>
      </c>
      <c r="U1980" s="1" t="n">
        <v>3515.52</v>
      </c>
      <c r="V1980" s="1" t="n">
        <v>61.25</v>
      </c>
      <c r="W1980" s="1" t="s">
        <v>39</v>
      </c>
      <c r="Y1980" s="1" t="s">
        <v>40</v>
      </c>
      <c r="Z1980" s="1" t="n">
        <v>0</v>
      </c>
      <c r="AA1980" s="1" t="str">
        <f aca="false">TRIM(PROPER(F1980))</f>
        <v>Jodhpur</v>
      </c>
      <c r="AB1980" s="1" t="str">
        <f aca="false">TRIM(PROPER(C1980))</f>
        <v>Whitehat Jr</v>
      </c>
      <c r="AC1980" s="1" t="str">
        <f aca="false">IF(O1980=0,"No Discount",IF(O1980&lt;=15,"Low (1-15%)",IF(O1980&lt;=30,"Medium (16-30%)","High (&gt;30%)")))</f>
        <v>Medium (16-30%)</v>
      </c>
      <c r="AD1980" s="1" t="str">
        <f aca="false">IF(V1980&lt;0,"Loss Making",IF(V1980&lt;20,"Low Margin","Healthy Margin"))</f>
        <v>Healthy Margin</v>
      </c>
      <c r="AE1980" s="1" t="str">
        <f aca="false">TEXT(DATE(VALUE(RIGHT(B1980,4)),VALUE(MID(B1980,4,2)),VALUE(LEFT(B1980,2))),"MMM-YYYY")</f>
        <v>Mar-2024</v>
      </c>
      <c r="AF1980" s="1" t="n">
        <f aca="false">VALUE(RIGHT(B1980,4))</f>
        <v>2024</v>
      </c>
      <c r="AG1980" s="1" t="str">
        <f aca="false">CHOOSE(ROUNDUP(VALUE(MID(B1980,4,2))/3,0),"Q1","Q2","Q3","Q4")</f>
        <v>Q1</v>
      </c>
    </row>
    <row r="1981" customFormat="false" ht="15" hidden="false" customHeight="true" outlineLevel="0" collapsed="false">
      <c r="A1981" s="1" t="s">
        <v>2834</v>
      </c>
      <c r="B1981" s="1" t="s">
        <v>441</v>
      </c>
      <c r="C1981" s="1" t="s">
        <v>242</v>
      </c>
      <c r="D1981" s="1" t="s">
        <v>29</v>
      </c>
      <c r="E1981" s="1" t="s">
        <v>305</v>
      </c>
      <c r="F1981" s="1" t="s">
        <v>75</v>
      </c>
      <c r="G1981" s="1" t="s">
        <v>76</v>
      </c>
      <c r="H1981" s="1" t="s">
        <v>69</v>
      </c>
      <c r="I1981" s="1" t="s">
        <v>58</v>
      </c>
      <c r="J1981" s="1" t="s">
        <v>70</v>
      </c>
      <c r="K1981" s="1" t="s">
        <v>84</v>
      </c>
      <c r="L1981" s="1" t="s">
        <v>85</v>
      </c>
      <c r="M1981" s="1" t="s">
        <v>62</v>
      </c>
      <c r="N1981" s="1" t="n">
        <v>24999</v>
      </c>
      <c r="O1981" s="1" t="n">
        <v>0</v>
      </c>
      <c r="P1981" s="1" t="n">
        <v>0</v>
      </c>
      <c r="Q1981" s="1" t="n">
        <v>24999</v>
      </c>
      <c r="R1981" s="1" t="n">
        <v>4499.82</v>
      </c>
      <c r="S1981" s="1" t="n">
        <v>20499.18</v>
      </c>
      <c r="T1981" s="1" t="n">
        <v>5651.97</v>
      </c>
      <c r="U1981" s="1" t="n">
        <v>14847.21</v>
      </c>
      <c r="V1981" s="1" t="n">
        <v>72.43</v>
      </c>
      <c r="W1981" s="1" t="s">
        <v>39</v>
      </c>
      <c r="Y1981" s="1" t="s">
        <v>40</v>
      </c>
      <c r="Z1981" s="1" t="n">
        <v>1</v>
      </c>
      <c r="AA1981" s="1" t="str">
        <f aca="false">TRIM(PROPER(F1981))</f>
        <v>Kolkata</v>
      </c>
      <c r="AB1981" s="1" t="str">
        <f aca="false">TRIM(PROPER(C1981))</f>
        <v>Leverage Edu</v>
      </c>
      <c r="AC1981" s="1" t="str">
        <f aca="false">IF(O1981=0,"No Discount",IF(O1981&lt;=15,"Low (1-15%)",IF(O1981&lt;=30,"Medium (16-30%)","High (&gt;30%)")))</f>
        <v>No Discount</v>
      </c>
      <c r="AD1981" s="1" t="str">
        <f aca="false">IF(V1981&lt;0,"Loss Making",IF(V1981&lt;20,"Low Margin","Healthy Margin"))</f>
        <v>Healthy Margin</v>
      </c>
      <c r="AE1981" s="1" t="str">
        <f aca="false">TEXT(DATE(VALUE(RIGHT(B1981,4)),VALUE(MID(B1981,4,2)),VALUE(LEFT(B1981,2))),"MMM-YYYY")</f>
        <v>Aug-2024</v>
      </c>
      <c r="AF1981" s="1" t="n">
        <f aca="false">VALUE(RIGHT(B1981,4))</f>
        <v>2024</v>
      </c>
      <c r="AG1981" s="1" t="str">
        <f aca="false">CHOOSE(ROUNDUP(VALUE(MID(B1981,4,2))/3,0),"Q1","Q2","Q3","Q4")</f>
        <v>Q3</v>
      </c>
    </row>
    <row r="1982" customFormat="false" ht="15" hidden="false" customHeight="true" outlineLevel="0" collapsed="false">
      <c r="A1982" s="1" t="s">
        <v>2835</v>
      </c>
      <c r="B1982" s="1" t="s">
        <v>1543</v>
      </c>
      <c r="C1982" s="1" t="s">
        <v>74</v>
      </c>
      <c r="D1982" s="1" t="s">
        <v>80</v>
      </c>
      <c r="E1982" s="1" t="s">
        <v>190</v>
      </c>
      <c r="F1982" s="1" t="s">
        <v>55</v>
      </c>
      <c r="G1982" s="1" t="s">
        <v>56</v>
      </c>
      <c r="H1982" s="1" t="s">
        <v>57</v>
      </c>
      <c r="I1982" s="1" t="s">
        <v>34</v>
      </c>
      <c r="J1982" s="1" t="s">
        <v>77</v>
      </c>
      <c r="K1982" s="1" t="s">
        <v>84</v>
      </c>
      <c r="L1982" s="1" t="s">
        <v>85</v>
      </c>
      <c r="M1982" s="1" t="s">
        <v>62</v>
      </c>
      <c r="N1982" s="1" t="n">
        <v>15999</v>
      </c>
      <c r="O1982" s="1" t="n">
        <v>30</v>
      </c>
      <c r="P1982" s="1" t="n">
        <v>4799.7</v>
      </c>
      <c r="Q1982" s="1" t="n">
        <v>11199.3</v>
      </c>
      <c r="R1982" s="1" t="n">
        <v>2015.87</v>
      </c>
      <c r="S1982" s="1" t="n">
        <v>9183.43</v>
      </c>
      <c r="T1982" s="1" t="n">
        <v>4413.68</v>
      </c>
      <c r="U1982" s="1" t="n">
        <v>4769.75</v>
      </c>
      <c r="V1982" s="1" t="n">
        <v>51.94</v>
      </c>
      <c r="W1982" s="1" t="s">
        <v>40</v>
      </c>
      <c r="Y1982" s="1" t="s">
        <v>39</v>
      </c>
      <c r="Z1982" s="1" t="n">
        <v>1</v>
      </c>
      <c r="AA1982" s="1" t="str">
        <f aca="false">TRIM(PROPER(F1982))</f>
        <v>Ghaziabad</v>
      </c>
      <c r="AB1982" s="1" t="str">
        <f aca="false">TRIM(PROPER(C1982))</f>
        <v>Vedantu</v>
      </c>
      <c r="AC1982" s="1" t="str">
        <f aca="false">IF(O1982=0,"No Discount",IF(O1982&lt;=15,"Low (1-15%)",IF(O1982&lt;=30,"Medium (16-30%)","High (&gt;30%)")))</f>
        <v>Medium (16-30%)</v>
      </c>
      <c r="AD1982" s="1" t="str">
        <f aca="false">IF(V1982&lt;0,"Loss Making",IF(V1982&lt;20,"Low Margin","Healthy Margin"))</f>
        <v>Healthy Margin</v>
      </c>
      <c r="AE1982" s="1" t="str">
        <f aca="false">TEXT(DATE(VALUE(RIGHT(B1982,4)),VALUE(MID(B1982,4,2)),VALUE(LEFT(B1982,2))),"MMM-YYYY")</f>
        <v>May-2023</v>
      </c>
      <c r="AF1982" s="1" t="n">
        <f aca="false">VALUE(RIGHT(B1982,4))</f>
        <v>2023</v>
      </c>
      <c r="AG1982" s="1" t="str">
        <f aca="false">CHOOSE(ROUNDUP(VALUE(MID(B1982,4,2))/3,0),"Q1","Q2","Q3","Q4")</f>
        <v>Q2</v>
      </c>
    </row>
    <row r="1983" customFormat="false" ht="15" hidden="false" customHeight="true" outlineLevel="0" collapsed="false">
      <c r="A1983" s="1" t="s">
        <v>2836</v>
      </c>
      <c r="B1983" s="1" t="s">
        <v>1118</v>
      </c>
      <c r="C1983" s="1" t="s">
        <v>139</v>
      </c>
      <c r="D1983" s="1" t="s">
        <v>168</v>
      </c>
      <c r="E1983" s="1" t="s">
        <v>172</v>
      </c>
      <c r="F1983" s="1" t="s">
        <v>211</v>
      </c>
      <c r="G1983" s="1" t="s">
        <v>56</v>
      </c>
      <c r="H1983" s="1" t="s">
        <v>69</v>
      </c>
      <c r="I1983" s="1" t="s">
        <v>34</v>
      </c>
      <c r="J1983" s="1" t="s">
        <v>59</v>
      </c>
      <c r="K1983" s="1" t="s">
        <v>112</v>
      </c>
      <c r="L1983" s="1" t="s">
        <v>136</v>
      </c>
      <c r="M1983" s="1" t="s">
        <v>38</v>
      </c>
      <c r="N1983" s="1" t="n">
        <v>6999</v>
      </c>
      <c r="O1983" s="1" t="n">
        <v>15</v>
      </c>
      <c r="P1983" s="1" t="n">
        <v>1049.85</v>
      </c>
      <c r="Q1983" s="1" t="n">
        <v>5949.15</v>
      </c>
      <c r="R1983" s="1" t="n">
        <v>1070.85</v>
      </c>
      <c r="S1983" s="1" t="n">
        <v>4878.3</v>
      </c>
      <c r="T1983" s="1" t="n">
        <v>2171.24</v>
      </c>
      <c r="U1983" s="1" t="n">
        <v>2707.06</v>
      </c>
      <c r="V1983" s="1" t="n">
        <v>55.49</v>
      </c>
      <c r="W1983" s="1" t="s">
        <v>39</v>
      </c>
      <c r="X1983" s="1" t="n">
        <v>4.5</v>
      </c>
      <c r="Y1983" s="1" t="s">
        <v>40</v>
      </c>
      <c r="Z1983" s="1" t="n">
        <v>0</v>
      </c>
      <c r="AA1983" s="1" t="str">
        <f aca="false">TRIM(PROPER(F1983))</f>
        <v>Noida</v>
      </c>
      <c r="AB1983" s="1" t="str">
        <f aca="false">TRIM(PROPER(C1983))</f>
        <v>Extramarks</v>
      </c>
      <c r="AC1983" s="1" t="str">
        <f aca="false">IF(O1983=0,"No Discount",IF(O1983&lt;=15,"Low (1-15%)",IF(O1983&lt;=30,"Medium (16-30%)","High (&gt;30%)")))</f>
        <v>Low (1-15%)</v>
      </c>
      <c r="AD1983" s="1" t="str">
        <f aca="false">IF(V1983&lt;0,"Loss Making",IF(V1983&lt;20,"Low Margin","Healthy Margin"))</f>
        <v>Healthy Margin</v>
      </c>
      <c r="AE1983" s="1" t="str">
        <f aca="false">TEXT(DATE(VALUE(RIGHT(B1983,4)),VALUE(MID(B1983,4,2)),VALUE(LEFT(B1983,2))),"MMM-YYYY")</f>
        <v>Jul-2023</v>
      </c>
      <c r="AF1983" s="1" t="n">
        <f aca="false">VALUE(RIGHT(B1983,4))</f>
        <v>2023</v>
      </c>
      <c r="AG1983" s="1" t="str">
        <f aca="false">CHOOSE(ROUNDUP(VALUE(MID(B1983,4,2))/3,0),"Q1","Q2","Q3","Q4")</f>
        <v>Q3</v>
      </c>
    </row>
    <row r="1984" customFormat="false" ht="15" hidden="false" customHeight="true" outlineLevel="0" collapsed="false">
      <c r="A1984" s="1" t="s">
        <v>2837</v>
      </c>
      <c r="B1984" s="1" t="s">
        <v>1036</v>
      </c>
      <c r="C1984" s="1" t="s">
        <v>100</v>
      </c>
      <c r="D1984" s="1" t="s">
        <v>29</v>
      </c>
      <c r="E1984" s="1" t="s">
        <v>305</v>
      </c>
      <c r="F1984" s="1" t="s">
        <v>187</v>
      </c>
      <c r="G1984" s="1" t="s">
        <v>97</v>
      </c>
      <c r="H1984" s="1" t="s">
        <v>69</v>
      </c>
      <c r="I1984" s="1" t="s">
        <v>83</v>
      </c>
      <c r="J1984" s="1" t="s">
        <v>131</v>
      </c>
      <c r="K1984" s="1" t="s">
        <v>112</v>
      </c>
      <c r="L1984" s="1" t="s">
        <v>49</v>
      </c>
      <c r="M1984" s="1" t="s">
        <v>62</v>
      </c>
      <c r="N1984" s="1" t="n">
        <v>24999</v>
      </c>
      <c r="O1984" s="1" t="n">
        <v>15</v>
      </c>
      <c r="P1984" s="1" t="n">
        <v>3749.85</v>
      </c>
      <c r="Q1984" s="1" t="n">
        <v>21249.15</v>
      </c>
      <c r="R1984" s="1" t="n">
        <v>3824.85</v>
      </c>
      <c r="S1984" s="1" t="n">
        <v>17424.3</v>
      </c>
      <c r="T1984" s="1" t="n">
        <v>5481.46</v>
      </c>
      <c r="U1984" s="1" t="n">
        <v>11942.84</v>
      </c>
      <c r="V1984" s="1" t="n">
        <v>68.54</v>
      </c>
      <c r="W1984" s="1" t="s">
        <v>39</v>
      </c>
      <c r="X1984" s="1" t="n">
        <v>3.6</v>
      </c>
      <c r="Y1984" s="1" t="s">
        <v>40</v>
      </c>
      <c r="Z1984" s="1" t="n">
        <v>0</v>
      </c>
      <c r="AA1984" s="1" t="str">
        <f aca="false">TRIM(PROPER(F1984))</f>
        <v>Mumbai</v>
      </c>
      <c r="AB1984" s="1" t="str">
        <f aca="false">TRIM(PROPER(C1984))</f>
        <v>Physics Wallah</v>
      </c>
      <c r="AC1984" s="1" t="str">
        <f aca="false">IF(O1984=0,"No Discount",IF(O1984&lt;=15,"Low (1-15%)",IF(O1984&lt;=30,"Medium (16-30%)","High (&gt;30%)")))</f>
        <v>Low (1-15%)</v>
      </c>
      <c r="AD1984" s="1" t="str">
        <f aca="false">IF(V1984&lt;0,"Loss Making",IF(V1984&lt;20,"Low Margin","Healthy Margin"))</f>
        <v>Healthy Margin</v>
      </c>
      <c r="AE1984" s="1" t="str">
        <f aca="false">TEXT(DATE(VALUE(RIGHT(B1984,4)),VALUE(MID(B1984,4,2)),VALUE(LEFT(B1984,2))),"MMM-YYYY")</f>
        <v>Apr-2023</v>
      </c>
      <c r="AF1984" s="1" t="n">
        <f aca="false">VALUE(RIGHT(B1984,4))</f>
        <v>2023</v>
      </c>
      <c r="AG1984" s="1" t="str">
        <f aca="false">CHOOSE(ROUNDUP(VALUE(MID(B1984,4,2))/3,0),"Q1","Q2","Q3","Q4")</f>
        <v>Q2</v>
      </c>
    </row>
    <row r="1985" customFormat="false" ht="15" hidden="false" customHeight="true" outlineLevel="0" collapsed="false">
      <c r="A1985" s="1" t="s">
        <v>2838</v>
      </c>
      <c r="B1985" s="1" t="s">
        <v>959</v>
      </c>
      <c r="C1985" s="1" t="s">
        <v>264</v>
      </c>
      <c r="D1985" s="1" t="s">
        <v>53</v>
      </c>
      <c r="E1985" s="1" t="s">
        <v>216</v>
      </c>
      <c r="F1985" s="1" t="s">
        <v>211</v>
      </c>
      <c r="G1985" s="1" t="s">
        <v>56</v>
      </c>
      <c r="H1985" s="1" t="s">
        <v>69</v>
      </c>
      <c r="I1985" s="1" t="s">
        <v>83</v>
      </c>
      <c r="J1985" s="1" t="s">
        <v>77</v>
      </c>
      <c r="K1985" s="1" t="s">
        <v>60</v>
      </c>
      <c r="L1985" s="1" t="s">
        <v>49</v>
      </c>
      <c r="M1985" s="1" t="s">
        <v>62</v>
      </c>
      <c r="N1985" s="1" t="n">
        <v>7499</v>
      </c>
      <c r="O1985" s="1" t="n">
        <v>10</v>
      </c>
      <c r="P1985" s="1" t="n">
        <v>749.9</v>
      </c>
      <c r="Q1985" s="1" t="n">
        <v>6749.1</v>
      </c>
      <c r="R1985" s="1" t="n">
        <v>1214.84</v>
      </c>
      <c r="S1985" s="1" t="n">
        <v>5534.26</v>
      </c>
      <c r="T1985" s="1" t="n">
        <v>2254.24</v>
      </c>
      <c r="U1985" s="1" t="n">
        <v>3280.02</v>
      </c>
      <c r="V1985" s="1" t="n">
        <v>59.27</v>
      </c>
      <c r="W1985" s="1" t="s">
        <v>39</v>
      </c>
      <c r="X1985" s="1" t="n">
        <v>4.1</v>
      </c>
      <c r="Y1985" s="1" t="s">
        <v>40</v>
      </c>
      <c r="Z1985" s="1" t="n">
        <v>0</v>
      </c>
      <c r="AA1985" s="1" t="str">
        <f aca="false">TRIM(PROPER(F1985))</f>
        <v>Noida</v>
      </c>
      <c r="AB1985" s="1" t="str">
        <f aca="false">TRIM(PROPER(C1985))</f>
        <v>Unacademy</v>
      </c>
      <c r="AC1985" s="1" t="str">
        <f aca="false">IF(O1985=0,"No Discount",IF(O1985&lt;=15,"Low (1-15%)",IF(O1985&lt;=30,"Medium (16-30%)","High (&gt;30%)")))</f>
        <v>Low (1-15%)</v>
      </c>
      <c r="AD1985" s="1" t="str">
        <f aca="false">IF(V1985&lt;0,"Loss Making",IF(V1985&lt;20,"Low Margin","Healthy Margin"))</f>
        <v>Healthy Margin</v>
      </c>
      <c r="AE1985" s="1" t="str">
        <f aca="false">TEXT(DATE(VALUE(RIGHT(B1985,4)),VALUE(MID(B1985,4,2)),VALUE(LEFT(B1985,2))),"MMM-YYYY")</f>
        <v>May-2023</v>
      </c>
      <c r="AF1985" s="1" t="n">
        <f aca="false">VALUE(RIGHT(B1985,4))</f>
        <v>2023</v>
      </c>
      <c r="AG1985" s="1" t="str">
        <f aca="false">CHOOSE(ROUNDUP(VALUE(MID(B1985,4,2))/3,0),"Q1","Q2","Q3","Q4")</f>
        <v>Q2</v>
      </c>
    </row>
    <row r="1986" customFormat="false" ht="15" hidden="false" customHeight="true" outlineLevel="0" collapsed="false">
      <c r="A1986" s="1" t="s">
        <v>2839</v>
      </c>
      <c r="B1986" s="1" t="s">
        <v>164</v>
      </c>
      <c r="C1986" s="1" t="s">
        <v>65</v>
      </c>
      <c r="D1986" s="1" t="s">
        <v>80</v>
      </c>
      <c r="E1986" s="1" t="s">
        <v>81</v>
      </c>
      <c r="F1986" s="1" t="s">
        <v>107</v>
      </c>
      <c r="G1986" s="1" t="s">
        <v>108</v>
      </c>
      <c r="H1986" s="1" t="s">
        <v>33</v>
      </c>
      <c r="I1986" s="1" t="s">
        <v>34</v>
      </c>
      <c r="J1986" s="1" t="s">
        <v>59</v>
      </c>
      <c r="K1986" s="1" t="s">
        <v>84</v>
      </c>
      <c r="L1986" s="1" t="s">
        <v>49</v>
      </c>
      <c r="M1986" s="1" t="s">
        <v>38</v>
      </c>
      <c r="N1986" s="1" t="n">
        <v>12999</v>
      </c>
      <c r="O1986" s="1" t="n">
        <v>30</v>
      </c>
      <c r="P1986" s="1" t="n">
        <v>3899.7</v>
      </c>
      <c r="Q1986" s="1" t="n">
        <v>9099.3</v>
      </c>
      <c r="R1986" s="1" t="n">
        <v>1637.87</v>
      </c>
      <c r="S1986" s="1" t="n">
        <v>7461.43</v>
      </c>
      <c r="T1986" s="1" t="n">
        <v>3149.66</v>
      </c>
      <c r="U1986" s="1" t="n">
        <v>4311.77</v>
      </c>
      <c r="V1986" s="1" t="n">
        <v>57.79</v>
      </c>
      <c r="W1986" s="1" t="s">
        <v>40</v>
      </c>
      <c r="Y1986" s="1" t="s">
        <v>40</v>
      </c>
      <c r="Z1986" s="1" t="n">
        <v>1</v>
      </c>
      <c r="AA1986" s="1" t="str">
        <f aca="false">TRIM(PROPER(F1986))</f>
        <v>Madurai</v>
      </c>
      <c r="AB1986" s="1" t="str">
        <f aca="false">TRIM(PROPER(C1986))</f>
        <v>Toppr</v>
      </c>
      <c r="AC1986" s="1" t="str">
        <f aca="false">IF(O1986=0,"No Discount",IF(O1986&lt;=15,"Low (1-15%)",IF(O1986&lt;=30,"Medium (16-30%)","High (&gt;30%)")))</f>
        <v>Medium (16-30%)</v>
      </c>
      <c r="AD1986" s="1" t="str">
        <f aca="false">IF(V1986&lt;0,"Loss Making",IF(V1986&lt;20,"Low Margin","Healthy Margin"))</f>
        <v>Healthy Margin</v>
      </c>
      <c r="AE1986" s="1" t="str">
        <f aca="false">TEXT(DATE(VALUE(RIGHT(B1986,4)),VALUE(MID(B1986,4,2)),VALUE(LEFT(B1986,2))),"MMM-YYYY")</f>
        <v>Jan-2023</v>
      </c>
      <c r="AF1986" s="1" t="n">
        <f aca="false">VALUE(RIGHT(B1986,4))</f>
        <v>2023</v>
      </c>
      <c r="AG1986" s="1" t="str">
        <f aca="false">CHOOSE(ROUNDUP(VALUE(MID(B1986,4,2))/3,0),"Q1","Q2","Q3","Q4")</f>
        <v>Q1</v>
      </c>
    </row>
    <row r="1987" customFormat="false" ht="15" hidden="false" customHeight="true" outlineLevel="0" collapsed="false">
      <c r="A1987" s="1" t="s">
        <v>2840</v>
      </c>
      <c r="B1987" s="1" t="s">
        <v>2086</v>
      </c>
      <c r="C1987" s="1" t="s">
        <v>100</v>
      </c>
      <c r="D1987" s="1" t="s">
        <v>143</v>
      </c>
      <c r="E1987" s="1" t="s">
        <v>144</v>
      </c>
      <c r="F1987" s="1" t="s">
        <v>140</v>
      </c>
      <c r="G1987" s="1" t="s">
        <v>97</v>
      </c>
      <c r="H1987" s="1" t="s">
        <v>57</v>
      </c>
      <c r="I1987" s="1" t="s">
        <v>83</v>
      </c>
      <c r="J1987" s="1" t="s">
        <v>131</v>
      </c>
      <c r="K1987" s="1" t="s">
        <v>112</v>
      </c>
      <c r="L1987" s="1" t="s">
        <v>61</v>
      </c>
      <c r="M1987" s="1" t="s">
        <v>62</v>
      </c>
      <c r="N1987" s="1" t="n">
        <v>12999</v>
      </c>
      <c r="O1987" s="1" t="n">
        <v>50</v>
      </c>
      <c r="P1987" s="1" t="n">
        <v>6499.5</v>
      </c>
      <c r="Q1987" s="1" t="n">
        <v>6499.5</v>
      </c>
      <c r="R1987" s="1" t="n">
        <v>1169.91</v>
      </c>
      <c r="S1987" s="1" t="n">
        <v>5329.59</v>
      </c>
      <c r="T1987" s="1" t="n">
        <v>3275.93</v>
      </c>
      <c r="U1987" s="1" t="n">
        <v>2053.66</v>
      </c>
      <c r="V1987" s="1" t="n">
        <v>38.53</v>
      </c>
      <c r="W1987" s="1" t="s">
        <v>39</v>
      </c>
      <c r="X1987" s="1" t="n">
        <v>3.8</v>
      </c>
      <c r="Y1987" s="1" t="s">
        <v>40</v>
      </c>
      <c r="Z1987" s="1" t="n">
        <v>0</v>
      </c>
      <c r="AA1987" s="1" t="str">
        <f aca="false">TRIM(PROPER(F1987))</f>
        <v>Nashik</v>
      </c>
      <c r="AB1987" s="1" t="str">
        <f aca="false">TRIM(PROPER(C1987))</f>
        <v>Physics Wallah</v>
      </c>
      <c r="AC1987" s="1" t="str">
        <f aca="false">IF(O1987=0,"No Discount",IF(O1987&lt;=15,"Low (1-15%)",IF(O1987&lt;=30,"Medium (16-30%)","High (&gt;30%)")))</f>
        <v>High (&gt;30%)</v>
      </c>
      <c r="AD1987" s="1" t="str">
        <f aca="false">IF(V1987&lt;0,"Loss Making",IF(V1987&lt;20,"Low Margin","Healthy Margin"))</f>
        <v>Healthy Margin</v>
      </c>
      <c r="AE1987" s="1" t="str">
        <f aca="false">TEXT(DATE(VALUE(RIGHT(B1987,4)),VALUE(MID(B1987,4,2)),VALUE(LEFT(B1987,2))),"MMM-YYYY")</f>
        <v>Oct-2024</v>
      </c>
      <c r="AF1987" s="1" t="n">
        <f aca="false">VALUE(RIGHT(B1987,4))</f>
        <v>2024</v>
      </c>
      <c r="AG1987" s="1" t="str">
        <f aca="false">CHOOSE(ROUNDUP(VALUE(MID(B1987,4,2))/3,0),"Q1","Q2","Q3","Q4")</f>
        <v>Q4</v>
      </c>
    </row>
    <row r="1988" customFormat="false" ht="15" hidden="false" customHeight="true" outlineLevel="0" collapsed="false">
      <c r="A1988" s="1" t="s">
        <v>2841</v>
      </c>
      <c r="B1988" s="1" t="s">
        <v>1318</v>
      </c>
      <c r="C1988" s="1" t="s">
        <v>74</v>
      </c>
      <c r="D1988" s="1" t="s">
        <v>94</v>
      </c>
      <c r="E1988" s="1" t="s">
        <v>135</v>
      </c>
      <c r="F1988" s="1" t="s">
        <v>156</v>
      </c>
      <c r="G1988" s="1" t="s">
        <v>68</v>
      </c>
      <c r="H1988" s="1" t="s">
        <v>57</v>
      </c>
      <c r="I1988" s="1" t="s">
        <v>34</v>
      </c>
      <c r="J1988" s="1" t="s">
        <v>77</v>
      </c>
      <c r="K1988" s="1" t="s">
        <v>90</v>
      </c>
      <c r="L1988" s="1" t="s">
        <v>49</v>
      </c>
      <c r="M1988" s="1" t="s">
        <v>38</v>
      </c>
      <c r="N1988" s="1" t="n">
        <v>9999</v>
      </c>
      <c r="O1988" s="1" t="n">
        <v>0</v>
      </c>
      <c r="P1988" s="1" t="n">
        <v>0</v>
      </c>
      <c r="Q1988" s="1" t="n">
        <v>9999</v>
      </c>
      <c r="R1988" s="1" t="n">
        <v>1799.82</v>
      </c>
      <c r="S1988" s="1" t="n">
        <v>8199.18</v>
      </c>
      <c r="T1988" s="1" t="n">
        <v>4142.85</v>
      </c>
      <c r="U1988" s="1" t="n">
        <v>4056.33</v>
      </c>
      <c r="V1988" s="1" t="n">
        <v>49.47</v>
      </c>
      <c r="W1988" s="1" t="s">
        <v>39</v>
      </c>
      <c r="X1988" s="1" t="n">
        <v>4</v>
      </c>
      <c r="Y1988" s="1" t="s">
        <v>40</v>
      </c>
      <c r="Z1988" s="1" t="n">
        <v>0</v>
      </c>
      <c r="AA1988" s="1" t="str">
        <f aca="false">TRIM(PROPER(F1988))</f>
        <v>Surat</v>
      </c>
      <c r="AB1988" s="1" t="str">
        <f aca="false">TRIM(PROPER(C1988))</f>
        <v>Vedantu</v>
      </c>
      <c r="AC1988" s="1" t="str">
        <f aca="false">IF(O1988=0,"No Discount",IF(O1988&lt;=15,"Low (1-15%)",IF(O1988&lt;=30,"Medium (16-30%)","High (&gt;30%)")))</f>
        <v>No Discount</v>
      </c>
      <c r="AD1988" s="1" t="str">
        <f aca="false">IF(V1988&lt;0,"Loss Making",IF(V1988&lt;20,"Low Margin","Healthy Margin"))</f>
        <v>Healthy Margin</v>
      </c>
      <c r="AE1988" s="1" t="str">
        <f aca="false">TEXT(DATE(VALUE(RIGHT(B1988,4)),VALUE(MID(B1988,4,2)),VALUE(LEFT(B1988,2))),"MMM-YYYY")</f>
        <v>Mar-2024</v>
      </c>
      <c r="AF1988" s="1" t="n">
        <f aca="false">VALUE(RIGHT(B1988,4))</f>
        <v>2024</v>
      </c>
      <c r="AG1988" s="1" t="str">
        <f aca="false">CHOOSE(ROUNDUP(VALUE(MID(B1988,4,2))/3,0),"Q1","Q2","Q3","Q4")</f>
        <v>Q1</v>
      </c>
    </row>
    <row r="1989" customFormat="false" ht="15" hidden="false" customHeight="true" outlineLevel="0" collapsed="false">
      <c r="A1989" s="1" t="s">
        <v>2842</v>
      </c>
      <c r="B1989" s="1" t="s">
        <v>583</v>
      </c>
      <c r="C1989" s="1" t="s">
        <v>178</v>
      </c>
      <c r="D1989" s="1" t="s">
        <v>123</v>
      </c>
      <c r="E1989" s="1" t="s">
        <v>124</v>
      </c>
      <c r="F1989" s="1" t="s">
        <v>269</v>
      </c>
      <c r="G1989" s="1" t="s">
        <v>108</v>
      </c>
      <c r="H1989" s="1" t="s">
        <v>57</v>
      </c>
      <c r="I1989" s="1" t="s">
        <v>58</v>
      </c>
      <c r="J1989" s="1" t="s">
        <v>35</v>
      </c>
      <c r="K1989" s="1" t="s">
        <v>84</v>
      </c>
      <c r="L1989" s="1" t="s">
        <v>136</v>
      </c>
      <c r="M1989" s="1" t="s">
        <v>50</v>
      </c>
      <c r="N1989" s="1" t="n">
        <v>4999</v>
      </c>
      <c r="O1989" s="1" t="n">
        <v>10</v>
      </c>
      <c r="P1989" s="1" t="n">
        <v>499.9</v>
      </c>
      <c r="Q1989" s="1" t="n">
        <v>4499.1</v>
      </c>
      <c r="R1989" s="1" t="n">
        <v>809.84</v>
      </c>
      <c r="S1989" s="1" t="n">
        <v>3689.26</v>
      </c>
      <c r="T1989" s="1" t="n">
        <v>1780.71</v>
      </c>
      <c r="U1989" s="1" t="n">
        <v>1908.55</v>
      </c>
      <c r="V1989" s="1" t="n">
        <v>51.73</v>
      </c>
      <c r="W1989" s="1" t="s">
        <v>39</v>
      </c>
      <c r="X1989" s="1" t="n">
        <v>4.3</v>
      </c>
      <c r="Y1989" s="1" t="s">
        <v>40</v>
      </c>
      <c r="Z1989" s="1" t="n">
        <v>0</v>
      </c>
      <c r="AA1989" s="1" t="str">
        <f aca="false">TRIM(PROPER(F1989))</f>
        <v>Coimbatore</v>
      </c>
      <c r="AB1989" s="1" t="str">
        <f aca="false">TRIM(PROPER(C1989))</f>
        <v>Leverage Edu</v>
      </c>
      <c r="AC1989" s="1" t="str">
        <f aca="false">IF(O1989=0,"No Discount",IF(O1989&lt;=15,"Low (1-15%)",IF(O1989&lt;=30,"Medium (16-30%)","High (&gt;30%)")))</f>
        <v>Low (1-15%)</v>
      </c>
      <c r="AD1989" s="1" t="str">
        <f aca="false">IF(V1989&lt;0,"Loss Making",IF(V1989&lt;20,"Low Margin","Healthy Margin"))</f>
        <v>Healthy Margin</v>
      </c>
      <c r="AE1989" s="1" t="str">
        <f aca="false">TEXT(DATE(VALUE(RIGHT(B1989,4)),VALUE(MID(B1989,4,2)),VALUE(LEFT(B1989,2))),"MMM-YYYY")</f>
        <v>Oct-2024</v>
      </c>
      <c r="AF1989" s="1" t="n">
        <f aca="false">VALUE(RIGHT(B1989,4))</f>
        <v>2024</v>
      </c>
      <c r="AG1989" s="1" t="str">
        <f aca="false">CHOOSE(ROUNDUP(VALUE(MID(B1989,4,2))/3,0),"Q1","Q2","Q3","Q4")</f>
        <v>Q4</v>
      </c>
    </row>
    <row r="1990" customFormat="false" ht="15" hidden="false" customHeight="true" outlineLevel="0" collapsed="false">
      <c r="A1990" s="1" t="s">
        <v>2843</v>
      </c>
      <c r="B1990" s="1" t="s">
        <v>1170</v>
      </c>
      <c r="C1990" s="1" t="s">
        <v>134</v>
      </c>
      <c r="D1990" s="1" t="s">
        <v>123</v>
      </c>
      <c r="E1990" s="1" t="s">
        <v>233</v>
      </c>
      <c r="F1990" s="1" t="s">
        <v>107</v>
      </c>
      <c r="G1990" s="1" t="s">
        <v>108</v>
      </c>
      <c r="H1990" s="1" t="s">
        <v>33</v>
      </c>
      <c r="I1990" s="1" t="s">
        <v>83</v>
      </c>
      <c r="J1990" s="1" t="s">
        <v>77</v>
      </c>
      <c r="K1990" s="1" t="s">
        <v>104</v>
      </c>
      <c r="L1990" s="1" t="s">
        <v>113</v>
      </c>
      <c r="M1990" s="1" t="s">
        <v>38</v>
      </c>
      <c r="N1990" s="1" t="n">
        <v>8999</v>
      </c>
      <c r="O1990" s="1" t="n">
        <v>5</v>
      </c>
      <c r="P1990" s="1" t="n">
        <v>449.95</v>
      </c>
      <c r="Q1990" s="1" t="n">
        <v>8549.05</v>
      </c>
      <c r="R1990" s="1" t="n">
        <v>1538.83</v>
      </c>
      <c r="S1990" s="1" t="n">
        <v>7010.22</v>
      </c>
      <c r="T1990" s="1" t="n">
        <v>4053.89</v>
      </c>
      <c r="U1990" s="1" t="n">
        <v>2956.33</v>
      </c>
      <c r="V1990" s="1" t="n">
        <v>42.17</v>
      </c>
      <c r="W1990" s="1" t="s">
        <v>40</v>
      </c>
      <c r="Y1990" s="1" t="s">
        <v>40</v>
      </c>
      <c r="Z1990" s="1" t="n">
        <v>0</v>
      </c>
      <c r="AA1990" s="1" t="str">
        <f aca="false">TRIM(PROPER(F1990))</f>
        <v>Madurai</v>
      </c>
      <c r="AB1990" s="1" t="str">
        <f aca="false">TRIM(PROPER(C1990))</f>
        <v>Doubtnut</v>
      </c>
      <c r="AC1990" s="1" t="str">
        <f aca="false">IF(O1990=0,"No Discount",IF(O1990&lt;=15,"Low (1-15%)",IF(O1990&lt;=30,"Medium (16-30%)","High (&gt;30%)")))</f>
        <v>Low (1-15%)</v>
      </c>
      <c r="AD1990" s="1" t="str">
        <f aca="false">IF(V1990&lt;0,"Loss Making",IF(V1990&lt;20,"Low Margin","Healthy Margin"))</f>
        <v>Healthy Margin</v>
      </c>
      <c r="AE1990" s="1" t="str">
        <f aca="false">TEXT(DATE(VALUE(RIGHT(B1990,4)),VALUE(MID(B1990,4,2)),VALUE(LEFT(B1990,2))),"MMM-YYYY")</f>
        <v>Apr-2024</v>
      </c>
      <c r="AF1990" s="1" t="n">
        <f aca="false">VALUE(RIGHT(B1990,4))</f>
        <v>2024</v>
      </c>
      <c r="AG1990" s="1" t="str">
        <f aca="false">CHOOSE(ROUNDUP(VALUE(MID(B1990,4,2))/3,0),"Q1","Q2","Q3","Q4")</f>
        <v>Q2</v>
      </c>
    </row>
    <row r="1991" customFormat="false" ht="15" hidden="false" customHeight="true" outlineLevel="0" collapsed="false">
      <c r="A1991" s="1" t="s">
        <v>2844</v>
      </c>
      <c r="B1991" s="1" t="s">
        <v>1339</v>
      </c>
      <c r="C1991" s="1" t="s">
        <v>100</v>
      </c>
      <c r="D1991" s="1" t="s">
        <v>94</v>
      </c>
      <c r="E1991" s="1" t="s">
        <v>95</v>
      </c>
      <c r="F1991" s="1" t="s">
        <v>46</v>
      </c>
      <c r="G1991" s="1" t="s">
        <v>47</v>
      </c>
      <c r="H1991" s="1" t="s">
        <v>33</v>
      </c>
      <c r="I1991" s="1" t="s">
        <v>83</v>
      </c>
      <c r="J1991" s="1" t="s">
        <v>70</v>
      </c>
      <c r="K1991" s="1" t="s">
        <v>90</v>
      </c>
      <c r="L1991" s="1" t="s">
        <v>49</v>
      </c>
      <c r="M1991" s="1" t="s">
        <v>50</v>
      </c>
      <c r="N1991" s="1" t="n">
        <v>6999</v>
      </c>
      <c r="O1991" s="1" t="n">
        <v>5</v>
      </c>
      <c r="P1991" s="1" t="n">
        <v>349.95</v>
      </c>
      <c r="Q1991" s="1" t="n">
        <v>6649.05</v>
      </c>
      <c r="R1991" s="1" t="n">
        <v>1196.83</v>
      </c>
      <c r="S1991" s="1" t="n">
        <v>5452.22</v>
      </c>
      <c r="T1991" s="1" t="n">
        <v>2432.45</v>
      </c>
      <c r="U1991" s="1" t="n">
        <v>3019.77</v>
      </c>
      <c r="V1991" s="1" t="n">
        <v>55.39</v>
      </c>
      <c r="W1991" s="1" t="s">
        <v>39</v>
      </c>
      <c r="X1991" s="1" t="n">
        <v>3.6</v>
      </c>
      <c r="Y1991" s="1" t="s">
        <v>40</v>
      </c>
      <c r="Z1991" s="1" t="n">
        <v>1</v>
      </c>
      <c r="AA1991" s="1" t="str">
        <f aca="false">TRIM(PROPER(F1991))</f>
        <v>Mangaluru</v>
      </c>
      <c r="AB1991" s="1" t="str">
        <f aca="false">TRIM(PROPER(C1991))</f>
        <v>Physics Wallah</v>
      </c>
      <c r="AC1991" s="1" t="str">
        <f aca="false">IF(O1991=0,"No Discount",IF(O1991&lt;=15,"Low (1-15%)",IF(O1991&lt;=30,"Medium (16-30%)","High (&gt;30%)")))</f>
        <v>Low (1-15%)</v>
      </c>
      <c r="AD1991" s="1" t="str">
        <f aca="false">IF(V1991&lt;0,"Loss Making",IF(V1991&lt;20,"Low Margin","Healthy Margin"))</f>
        <v>Healthy Margin</v>
      </c>
      <c r="AE1991" s="1" t="str">
        <f aca="false">TEXT(DATE(VALUE(RIGHT(B1991,4)),VALUE(MID(B1991,4,2)),VALUE(LEFT(B1991,2))),"MMM-YYYY")</f>
        <v>May-2024</v>
      </c>
      <c r="AF1991" s="1" t="n">
        <f aca="false">VALUE(RIGHT(B1991,4))</f>
        <v>2024</v>
      </c>
      <c r="AG1991" s="1" t="str">
        <f aca="false">CHOOSE(ROUNDUP(VALUE(MID(B1991,4,2))/3,0),"Q1","Q2","Q3","Q4")</f>
        <v>Q2</v>
      </c>
    </row>
    <row r="1992" customFormat="false" ht="15" hidden="false" customHeight="true" outlineLevel="0" collapsed="false">
      <c r="A1992" s="1" t="s">
        <v>2845</v>
      </c>
      <c r="B1992" s="1" t="s">
        <v>2846</v>
      </c>
      <c r="C1992" s="1" t="s">
        <v>74</v>
      </c>
      <c r="D1992" s="1" t="s">
        <v>29</v>
      </c>
      <c r="E1992" s="1" t="s">
        <v>129</v>
      </c>
      <c r="F1992" s="1" t="s">
        <v>89</v>
      </c>
      <c r="G1992" s="1" t="s">
        <v>68</v>
      </c>
      <c r="H1992" s="1" t="s">
        <v>33</v>
      </c>
      <c r="I1992" s="1" t="s">
        <v>34</v>
      </c>
      <c r="J1992" s="1" t="s">
        <v>70</v>
      </c>
      <c r="K1992" s="1" t="s">
        <v>48</v>
      </c>
      <c r="L1992" s="1" t="s">
        <v>113</v>
      </c>
      <c r="M1992" s="1" t="s">
        <v>50</v>
      </c>
      <c r="N1992" s="1" t="n">
        <v>29999</v>
      </c>
      <c r="O1992" s="1" t="n">
        <v>30</v>
      </c>
      <c r="P1992" s="1" t="n">
        <v>8999.7</v>
      </c>
      <c r="Q1992" s="1" t="n">
        <v>20999.3</v>
      </c>
      <c r="R1992" s="1" t="n">
        <v>3779.87</v>
      </c>
      <c r="S1992" s="1" t="n">
        <v>17219.43</v>
      </c>
      <c r="T1992" s="1" t="n">
        <v>7126.51</v>
      </c>
      <c r="U1992" s="1" t="n">
        <v>10092.92</v>
      </c>
      <c r="V1992" s="1" t="n">
        <v>58.61</v>
      </c>
      <c r="W1992" s="1" t="s">
        <v>39</v>
      </c>
      <c r="X1992" s="1" t="n">
        <v>3.4</v>
      </c>
      <c r="Y1992" s="1" t="s">
        <v>40</v>
      </c>
      <c r="Z1992" s="1" t="n">
        <v>0</v>
      </c>
      <c r="AA1992" s="1" t="str">
        <f aca="false">TRIM(PROPER(F1992))</f>
        <v>Vadodara</v>
      </c>
      <c r="AB1992" s="1" t="str">
        <f aca="false">TRIM(PROPER(C1992))</f>
        <v>Vedantu</v>
      </c>
      <c r="AC1992" s="1" t="str">
        <f aca="false">IF(O1992=0,"No Discount",IF(O1992&lt;=15,"Low (1-15%)",IF(O1992&lt;=30,"Medium (16-30%)","High (&gt;30%)")))</f>
        <v>Medium (16-30%)</v>
      </c>
      <c r="AD1992" s="1" t="str">
        <f aca="false">IF(V1992&lt;0,"Loss Making",IF(V1992&lt;20,"Low Margin","Healthy Margin"))</f>
        <v>Healthy Margin</v>
      </c>
      <c r="AE1992" s="1" t="str">
        <f aca="false">TEXT(DATE(VALUE(RIGHT(B1992,4)),VALUE(MID(B1992,4,2)),VALUE(LEFT(B1992,2))),"MMM-YYYY")</f>
        <v>Apr-2024</v>
      </c>
      <c r="AF1992" s="1" t="n">
        <f aca="false">VALUE(RIGHT(B1992,4))</f>
        <v>2024</v>
      </c>
      <c r="AG1992" s="1" t="str">
        <f aca="false">CHOOSE(ROUNDUP(VALUE(MID(B1992,4,2))/3,0),"Q1","Q2","Q3","Q4")</f>
        <v>Q2</v>
      </c>
    </row>
    <row r="1993" customFormat="false" ht="15" hidden="false" customHeight="true" outlineLevel="0" collapsed="false">
      <c r="A1993" s="1" t="s">
        <v>2847</v>
      </c>
      <c r="B1993" s="1" t="s">
        <v>965</v>
      </c>
      <c r="C1993" s="1" t="s">
        <v>74</v>
      </c>
      <c r="D1993" s="1" t="s">
        <v>80</v>
      </c>
      <c r="E1993" s="1" t="s">
        <v>81</v>
      </c>
      <c r="F1993" s="1" t="s">
        <v>89</v>
      </c>
      <c r="G1993" s="1" t="s">
        <v>68</v>
      </c>
      <c r="H1993" s="1" t="s">
        <v>33</v>
      </c>
      <c r="I1993" s="1" t="s">
        <v>34</v>
      </c>
      <c r="J1993" s="1" t="s">
        <v>77</v>
      </c>
      <c r="K1993" s="1" t="s">
        <v>48</v>
      </c>
      <c r="L1993" s="1" t="s">
        <v>49</v>
      </c>
      <c r="M1993" s="1" t="s">
        <v>62</v>
      </c>
      <c r="N1993" s="1" t="n">
        <v>12999</v>
      </c>
      <c r="O1993" s="1" t="n">
        <v>10</v>
      </c>
      <c r="P1993" s="1" t="n">
        <v>1299.9</v>
      </c>
      <c r="Q1993" s="1" t="n">
        <v>11699.1</v>
      </c>
      <c r="R1993" s="1" t="n">
        <v>2105.84</v>
      </c>
      <c r="S1993" s="1" t="n">
        <v>9593.26</v>
      </c>
      <c r="T1993" s="1" t="n">
        <v>4080.42</v>
      </c>
      <c r="U1993" s="1" t="n">
        <v>5512.84</v>
      </c>
      <c r="V1993" s="1" t="n">
        <v>57.47</v>
      </c>
      <c r="W1993" s="1" t="s">
        <v>39</v>
      </c>
      <c r="X1993" s="1" t="n">
        <v>4.1</v>
      </c>
      <c r="Y1993" s="1" t="s">
        <v>40</v>
      </c>
      <c r="Z1993" s="1" t="n">
        <v>1</v>
      </c>
      <c r="AA1993" s="1" t="str">
        <f aca="false">TRIM(PROPER(F1993))</f>
        <v>Vadodara</v>
      </c>
      <c r="AB1993" s="1" t="str">
        <f aca="false">TRIM(PROPER(C1993))</f>
        <v>Vedantu</v>
      </c>
      <c r="AC1993" s="1" t="str">
        <f aca="false">IF(O1993=0,"No Discount",IF(O1993&lt;=15,"Low (1-15%)",IF(O1993&lt;=30,"Medium (16-30%)","High (&gt;30%)")))</f>
        <v>Low (1-15%)</v>
      </c>
      <c r="AD1993" s="1" t="str">
        <f aca="false">IF(V1993&lt;0,"Loss Making",IF(V1993&lt;20,"Low Margin","Healthy Margin"))</f>
        <v>Healthy Margin</v>
      </c>
      <c r="AE1993" s="1" t="str">
        <f aca="false">TEXT(DATE(VALUE(RIGHT(B1993,4)),VALUE(MID(B1993,4,2)),VALUE(LEFT(B1993,2))),"MMM-YYYY")</f>
        <v>Jan-2023</v>
      </c>
      <c r="AF1993" s="1" t="n">
        <f aca="false">VALUE(RIGHT(B1993,4))</f>
        <v>2023</v>
      </c>
      <c r="AG1993" s="1" t="str">
        <f aca="false">CHOOSE(ROUNDUP(VALUE(MID(B1993,4,2))/3,0),"Q1","Q2","Q3","Q4")</f>
        <v>Q1</v>
      </c>
    </row>
    <row r="1994" customFormat="false" ht="15" hidden="false" customHeight="true" outlineLevel="0" collapsed="false">
      <c r="A1994" s="1" t="s">
        <v>2848</v>
      </c>
      <c r="B1994" s="1" t="s">
        <v>732</v>
      </c>
      <c r="C1994" s="1" t="s">
        <v>134</v>
      </c>
      <c r="D1994" s="1" t="s">
        <v>29</v>
      </c>
      <c r="E1994" s="1" t="s">
        <v>182</v>
      </c>
      <c r="F1994" s="1" t="s">
        <v>46</v>
      </c>
      <c r="G1994" s="1" t="s">
        <v>47</v>
      </c>
      <c r="H1994" s="1" t="s">
        <v>33</v>
      </c>
      <c r="I1994" s="1" t="s">
        <v>58</v>
      </c>
      <c r="J1994" s="1" t="s">
        <v>131</v>
      </c>
      <c r="K1994" s="1" t="s">
        <v>104</v>
      </c>
      <c r="L1994" s="1" t="s">
        <v>49</v>
      </c>
      <c r="M1994" s="1" t="s">
        <v>38</v>
      </c>
      <c r="N1994" s="1" t="n">
        <v>34999</v>
      </c>
      <c r="O1994" s="1" t="n">
        <v>50</v>
      </c>
      <c r="P1994" s="1" t="n">
        <v>17499.5</v>
      </c>
      <c r="Q1994" s="1" t="n">
        <v>17499.5</v>
      </c>
      <c r="R1994" s="1" t="n">
        <v>3149.91</v>
      </c>
      <c r="S1994" s="1" t="n">
        <v>14349.59</v>
      </c>
      <c r="T1994" s="1" t="n">
        <v>7529.32</v>
      </c>
      <c r="U1994" s="1" t="n">
        <v>6820.27</v>
      </c>
      <c r="V1994" s="1" t="n">
        <v>47.53</v>
      </c>
      <c r="W1994" s="1" t="s">
        <v>39</v>
      </c>
      <c r="X1994" s="1" t="n">
        <v>3.8</v>
      </c>
      <c r="Y1994" s="1" t="s">
        <v>40</v>
      </c>
      <c r="Z1994" s="1" t="n">
        <v>0</v>
      </c>
      <c r="AA1994" s="1" t="str">
        <f aca="false">TRIM(PROPER(F1994))</f>
        <v>Mangaluru</v>
      </c>
      <c r="AB1994" s="1" t="str">
        <f aca="false">TRIM(PROPER(C1994))</f>
        <v>Doubtnut</v>
      </c>
      <c r="AC1994" s="1" t="str">
        <f aca="false">IF(O1994=0,"No Discount",IF(O1994&lt;=15,"Low (1-15%)",IF(O1994&lt;=30,"Medium (16-30%)","High (&gt;30%)")))</f>
        <v>High (&gt;30%)</v>
      </c>
      <c r="AD1994" s="1" t="str">
        <f aca="false">IF(V1994&lt;0,"Loss Making",IF(V1994&lt;20,"Low Margin","Healthy Margin"))</f>
        <v>Healthy Margin</v>
      </c>
      <c r="AE1994" s="1" t="str">
        <f aca="false">TEXT(DATE(VALUE(RIGHT(B1994,4)),VALUE(MID(B1994,4,2)),VALUE(LEFT(B1994,2))),"MMM-YYYY")</f>
        <v>Jul-2023</v>
      </c>
      <c r="AF1994" s="1" t="n">
        <f aca="false">VALUE(RIGHT(B1994,4))</f>
        <v>2023</v>
      </c>
      <c r="AG1994" s="1" t="str">
        <f aca="false">CHOOSE(ROUNDUP(VALUE(MID(B1994,4,2))/3,0),"Q1","Q2","Q3","Q4")</f>
        <v>Q3</v>
      </c>
    </row>
    <row r="1995" customFormat="false" ht="15" hidden="false" customHeight="true" outlineLevel="0" collapsed="false">
      <c r="A1995" s="1" t="s">
        <v>2849</v>
      </c>
      <c r="B1995" s="1" t="s">
        <v>1897</v>
      </c>
      <c r="C1995" s="1" t="s">
        <v>128</v>
      </c>
      <c r="D1995" s="1" t="s">
        <v>53</v>
      </c>
      <c r="E1995" s="1" t="s">
        <v>116</v>
      </c>
      <c r="F1995" s="1" t="s">
        <v>156</v>
      </c>
      <c r="G1995" s="1" t="s">
        <v>68</v>
      </c>
      <c r="H1995" s="1" t="s">
        <v>57</v>
      </c>
      <c r="I1995" s="1" t="s">
        <v>83</v>
      </c>
      <c r="J1995" s="1" t="s">
        <v>131</v>
      </c>
      <c r="K1995" s="1" t="s">
        <v>36</v>
      </c>
      <c r="L1995" s="1" t="s">
        <v>49</v>
      </c>
      <c r="M1995" s="1" t="s">
        <v>50</v>
      </c>
      <c r="N1995" s="1" t="n">
        <v>9999</v>
      </c>
      <c r="O1995" s="1" t="n">
        <v>0</v>
      </c>
      <c r="P1995" s="1" t="n">
        <v>0</v>
      </c>
      <c r="Q1995" s="1" t="n">
        <v>9999</v>
      </c>
      <c r="R1995" s="1" t="n">
        <v>1799.82</v>
      </c>
      <c r="S1995" s="1" t="n">
        <v>8199.18</v>
      </c>
      <c r="T1995" s="1" t="n">
        <v>3635.51</v>
      </c>
      <c r="U1995" s="1" t="n">
        <v>4563.67</v>
      </c>
      <c r="V1995" s="1" t="n">
        <v>55.66</v>
      </c>
      <c r="W1995" s="1" t="s">
        <v>39</v>
      </c>
      <c r="X1995" s="1" t="n">
        <v>2.7</v>
      </c>
      <c r="Y1995" s="1" t="s">
        <v>40</v>
      </c>
      <c r="Z1995" s="1" t="n">
        <v>0</v>
      </c>
      <c r="AA1995" s="1" t="str">
        <f aca="false">TRIM(PROPER(F1995))</f>
        <v>Surat</v>
      </c>
      <c r="AB1995" s="1" t="str">
        <f aca="false">TRIM(PROPER(C1995))</f>
        <v>Great Learning</v>
      </c>
      <c r="AC1995" s="1" t="str">
        <f aca="false">IF(O1995=0,"No Discount",IF(O1995&lt;=15,"Low (1-15%)",IF(O1995&lt;=30,"Medium (16-30%)","High (&gt;30%)")))</f>
        <v>No Discount</v>
      </c>
      <c r="AD1995" s="1" t="str">
        <f aca="false">IF(V1995&lt;0,"Loss Making",IF(V1995&lt;20,"Low Margin","Healthy Margin"))</f>
        <v>Healthy Margin</v>
      </c>
      <c r="AE1995" s="1" t="str">
        <f aca="false">TEXT(DATE(VALUE(RIGHT(B1995,4)),VALUE(MID(B1995,4,2)),VALUE(LEFT(B1995,2))),"MMM-YYYY")</f>
        <v>Feb-2023</v>
      </c>
      <c r="AF1995" s="1" t="n">
        <f aca="false">VALUE(RIGHT(B1995,4))</f>
        <v>2023</v>
      </c>
      <c r="AG1995" s="1" t="str">
        <f aca="false">CHOOSE(ROUNDUP(VALUE(MID(B1995,4,2))/3,0),"Q1","Q2","Q3","Q4")</f>
        <v>Q1</v>
      </c>
    </row>
    <row r="1996" customFormat="false" ht="15" hidden="false" customHeight="true" outlineLevel="0" collapsed="false">
      <c r="A1996" s="1" t="s">
        <v>2850</v>
      </c>
      <c r="B1996" s="1" t="s">
        <v>1107</v>
      </c>
      <c r="C1996" s="1" t="s">
        <v>43</v>
      </c>
      <c r="D1996" s="1" t="s">
        <v>94</v>
      </c>
      <c r="E1996" s="1" t="s">
        <v>95</v>
      </c>
      <c r="F1996" s="1" t="s">
        <v>205</v>
      </c>
      <c r="G1996" s="1" t="s">
        <v>56</v>
      </c>
      <c r="H1996" s="1" t="s">
        <v>69</v>
      </c>
      <c r="I1996" s="1" t="s">
        <v>83</v>
      </c>
      <c r="J1996" s="1" t="s">
        <v>77</v>
      </c>
      <c r="K1996" s="1" t="s">
        <v>90</v>
      </c>
      <c r="L1996" s="1" t="s">
        <v>85</v>
      </c>
      <c r="M1996" s="1" t="s">
        <v>50</v>
      </c>
      <c r="N1996" s="1" t="n">
        <v>6999</v>
      </c>
      <c r="O1996" s="1" t="n">
        <v>50</v>
      </c>
      <c r="P1996" s="1" t="n">
        <v>3499.5</v>
      </c>
      <c r="Q1996" s="1" t="n">
        <v>3499.5</v>
      </c>
      <c r="R1996" s="1" t="n">
        <v>629.91</v>
      </c>
      <c r="S1996" s="1" t="n">
        <v>2869.59</v>
      </c>
      <c r="T1996" s="1" t="n">
        <v>1605.16</v>
      </c>
      <c r="U1996" s="1" t="n">
        <v>1264.43</v>
      </c>
      <c r="V1996" s="1" t="n">
        <v>44.06</v>
      </c>
      <c r="W1996" s="1" t="s">
        <v>39</v>
      </c>
      <c r="X1996" s="1" t="n">
        <v>4</v>
      </c>
      <c r="Y1996" s="1" t="s">
        <v>40</v>
      </c>
      <c r="Z1996" s="1" t="n">
        <v>0</v>
      </c>
      <c r="AA1996" s="1" t="str">
        <f aca="false">TRIM(PROPER(F1996))</f>
        <v>New Delhi</v>
      </c>
      <c r="AB1996" s="1" t="str">
        <f aca="false">TRIM(PROPER(C1996))</f>
        <v>Meritnation</v>
      </c>
      <c r="AC1996" s="1" t="str">
        <f aca="false">IF(O1996=0,"No Discount",IF(O1996&lt;=15,"Low (1-15%)",IF(O1996&lt;=30,"Medium (16-30%)","High (&gt;30%)")))</f>
        <v>High (&gt;30%)</v>
      </c>
      <c r="AD1996" s="1" t="str">
        <f aca="false">IF(V1996&lt;0,"Loss Making",IF(V1996&lt;20,"Low Margin","Healthy Margin"))</f>
        <v>Healthy Margin</v>
      </c>
      <c r="AE1996" s="1" t="str">
        <f aca="false">TEXT(DATE(VALUE(RIGHT(B1996,4)),VALUE(MID(B1996,4,2)),VALUE(LEFT(B1996,2))),"MMM-YYYY")</f>
        <v>Jul-2023</v>
      </c>
      <c r="AF1996" s="1" t="n">
        <f aca="false">VALUE(RIGHT(B1996,4))</f>
        <v>2023</v>
      </c>
      <c r="AG1996" s="1" t="str">
        <f aca="false">CHOOSE(ROUNDUP(VALUE(MID(B1996,4,2))/3,0),"Q1","Q2","Q3","Q4")</f>
        <v>Q3</v>
      </c>
    </row>
    <row r="1997" customFormat="false" ht="15" hidden="false" customHeight="true" outlineLevel="0" collapsed="false">
      <c r="A1997" s="1" t="s">
        <v>2851</v>
      </c>
      <c r="B1997" s="1" t="s">
        <v>508</v>
      </c>
      <c r="C1997" s="1" t="s">
        <v>100</v>
      </c>
      <c r="D1997" s="1" t="s">
        <v>143</v>
      </c>
      <c r="E1997" s="1" t="s">
        <v>243</v>
      </c>
      <c r="F1997" s="1" t="s">
        <v>55</v>
      </c>
      <c r="G1997" s="1" t="s">
        <v>56</v>
      </c>
      <c r="H1997" s="1" t="s">
        <v>57</v>
      </c>
      <c r="I1997" s="1" t="s">
        <v>58</v>
      </c>
      <c r="J1997" s="1" t="s">
        <v>70</v>
      </c>
      <c r="K1997" s="1" t="s">
        <v>71</v>
      </c>
      <c r="L1997" s="1" t="s">
        <v>49</v>
      </c>
      <c r="M1997" s="1" t="s">
        <v>38</v>
      </c>
      <c r="N1997" s="1" t="n">
        <v>22999</v>
      </c>
      <c r="O1997" s="1" t="n">
        <v>10</v>
      </c>
      <c r="P1997" s="1" t="n">
        <v>2299.9</v>
      </c>
      <c r="Q1997" s="1" t="n">
        <v>20699.1</v>
      </c>
      <c r="R1997" s="1" t="n">
        <v>3725.84</v>
      </c>
      <c r="S1997" s="1" t="n">
        <v>16973.26</v>
      </c>
      <c r="T1997" s="1" t="n">
        <v>6840.33</v>
      </c>
      <c r="U1997" s="1" t="n">
        <v>10132.93</v>
      </c>
      <c r="V1997" s="1" t="n">
        <v>59.7</v>
      </c>
      <c r="W1997" s="1" t="s">
        <v>39</v>
      </c>
      <c r="X1997" s="1" t="n">
        <v>3.6</v>
      </c>
      <c r="Y1997" s="1" t="s">
        <v>40</v>
      </c>
      <c r="Z1997" s="1" t="n">
        <v>0</v>
      </c>
      <c r="AA1997" s="1" t="str">
        <f aca="false">TRIM(PROPER(F1997))</f>
        <v>Ghaziabad</v>
      </c>
      <c r="AB1997" s="1" t="str">
        <f aca="false">TRIM(PROPER(C1997))</f>
        <v>Physics Wallah</v>
      </c>
      <c r="AC1997" s="1" t="str">
        <f aca="false">IF(O1997=0,"No Discount",IF(O1997&lt;=15,"Low (1-15%)",IF(O1997&lt;=30,"Medium (16-30%)","High (&gt;30%)")))</f>
        <v>Low (1-15%)</v>
      </c>
      <c r="AD1997" s="1" t="str">
        <f aca="false">IF(V1997&lt;0,"Loss Making",IF(V1997&lt;20,"Low Margin","Healthy Margin"))</f>
        <v>Healthy Margin</v>
      </c>
      <c r="AE1997" s="1" t="str">
        <f aca="false">TEXT(DATE(VALUE(RIGHT(B1997,4)),VALUE(MID(B1997,4,2)),VALUE(LEFT(B1997,2))),"MMM-YYYY")</f>
        <v>Oct-2024</v>
      </c>
      <c r="AF1997" s="1" t="n">
        <f aca="false">VALUE(RIGHT(B1997,4))</f>
        <v>2024</v>
      </c>
      <c r="AG1997" s="1" t="str">
        <f aca="false">CHOOSE(ROUNDUP(VALUE(MID(B1997,4,2))/3,0),"Q1","Q2","Q3","Q4")</f>
        <v>Q4</v>
      </c>
    </row>
    <row r="1998" customFormat="false" ht="15" hidden="false" customHeight="true" outlineLevel="0" collapsed="false">
      <c r="A1998" s="1" t="s">
        <v>2852</v>
      </c>
      <c r="B1998" s="1" t="s">
        <v>1234</v>
      </c>
      <c r="C1998" s="1" t="s">
        <v>264</v>
      </c>
      <c r="D1998" s="1" t="s">
        <v>143</v>
      </c>
      <c r="E1998" s="1" t="s">
        <v>210</v>
      </c>
      <c r="F1998" s="1" t="s">
        <v>194</v>
      </c>
      <c r="G1998" s="1" t="s">
        <v>103</v>
      </c>
      <c r="H1998" s="1" t="s">
        <v>69</v>
      </c>
      <c r="I1998" s="1" t="s">
        <v>58</v>
      </c>
      <c r="J1998" s="1" t="s">
        <v>59</v>
      </c>
      <c r="K1998" s="1" t="s">
        <v>36</v>
      </c>
      <c r="L1998" s="1" t="s">
        <v>113</v>
      </c>
      <c r="M1998" s="1" t="s">
        <v>38</v>
      </c>
      <c r="N1998" s="1" t="n">
        <v>18999</v>
      </c>
      <c r="O1998" s="1" t="n">
        <v>0</v>
      </c>
      <c r="P1998" s="1" t="n">
        <v>0</v>
      </c>
      <c r="Q1998" s="1" t="n">
        <v>18999</v>
      </c>
      <c r="R1998" s="1" t="n">
        <v>3419.82</v>
      </c>
      <c r="S1998" s="1" t="n">
        <v>15579.18</v>
      </c>
      <c r="T1998" s="1" t="n">
        <v>5646.89</v>
      </c>
      <c r="U1998" s="1" t="n">
        <v>9932.29</v>
      </c>
      <c r="V1998" s="1" t="n">
        <v>63.75</v>
      </c>
      <c r="W1998" s="1" t="s">
        <v>39</v>
      </c>
      <c r="Y1998" s="1" t="s">
        <v>40</v>
      </c>
      <c r="Z1998" s="1" t="n">
        <v>0</v>
      </c>
      <c r="AA1998" s="1" t="str">
        <f aca="false">TRIM(PROPER(F1998))</f>
        <v>Hyderabad</v>
      </c>
      <c r="AB1998" s="1" t="str">
        <f aca="false">TRIM(PROPER(C1998))</f>
        <v>Unacademy</v>
      </c>
      <c r="AC1998" s="1" t="str">
        <f aca="false">IF(O1998=0,"No Discount",IF(O1998&lt;=15,"Low (1-15%)",IF(O1998&lt;=30,"Medium (16-30%)","High (&gt;30%)")))</f>
        <v>No Discount</v>
      </c>
      <c r="AD1998" s="1" t="str">
        <f aca="false">IF(V1998&lt;0,"Loss Making",IF(V1998&lt;20,"Low Margin","Healthy Margin"))</f>
        <v>Healthy Margin</v>
      </c>
      <c r="AE1998" s="1" t="str">
        <f aca="false">TEXT(DATE(VALUE(RIGHT(B1998,4)),VALUE(MID(B1998,4,2)),VALUE(LEFT(B1998,2))),"MMM-YYYY")</f>
        <v>Feb-2024</v>
      </c>
      <c r="AF1998" s="1" t="n">
        <f aca="false">VALUE(RIGHT(B1998,4))</f>
        <v>2024</v>
      </c>
      <c r="AG1998" s="1" t="str">
        <f aca="false">CHOOSE(ROUNDUP(VALUE(MID(B1998,4,2))/3,0),"Q1","Q2","Q3","Q4")</f>
        <v>Q1</v>
      </c>
    </row>
    <row r="1999" customFormat="false" ht="15" hidden="false" customHeight="true" outlineLevel="0" collapsed="false">
      <c r="A1999" s="1" t="s">
        <v>2853</v>
      </c>
      <c r="B1999" s="1" t="s">
        <v>1580</v>
      </c>
      <c r="C1999" s="1" t="s">
        <v>178</v>
      </c>
      <c r="D1999" s="1" t="s">
        <v>53</v>
      </c>
      <c r="E1999" s="1" t="s">
        <v>216</v>
      </c>
      <c r="F1999" s="1" t="s">
        <v>125</v>
      </c>
      <c r="G1999" s="1" t="s">
        <v>108</v>
      </c>
      <c r="H1999" s="1" t="s">
        <v>69</v>
      </c>
      <c r="I1999" s="1" t="s">
        <v>58</v>
      </c>
      <c r="J1999" s="1" t="s">
        <v>59</v>
      </c>
      <c r="K1999" s="1" t="s">
        <v>60</v>
      </c>
      <c r="L1999" s="1" t="s">
        <v>37</v>
      </c>
      <c r="M1999" s="1" t="s">
        <v>50</v>
      </c>
      <c r="N1999" s="1" t="n">
        <v>7499</v>
      </c>
      <c r="O1999" s="1" t="n">
        <v>50</v>
      </c>
      <c r="P1999" s="1" t="n">
        <v>3749.5</v>
      </c>
      <c r="Q1999" s="1" t="n">
        <v>3749.5</v>
      </c>
      <c r="R1999" s="1" t="n">
        <v>674.91</v>
      </c>
      <c r="S1999" s="1" t="n">
        <v>3074.59</v>
      </c>
      <c r="T1999" s="1" t="n">
        <v>1220.28</v>
      </c>
      <c r="U1999" s="1" t="n">
        <v>1854.31</v>
      </c>
      <c r="V1999" s="1" t="n">
        <v>60.31</v>
      </c>
      <c r="W1999" s="1" t="s">
        <v>40</v>
      </c>
      <c r="Y1999" s="1" t="s">
        <v>40</v>
      </c>
      <c r="Z1999" s="1" t="n">
        <v>0</v>
      </c>
      <c r="AA1999" s="1" t="str">
        <f aca="false">TRIM(PROPER(F1999))</f>
        <v>Chennai</v>
      </c>
      <c r="AB1999" s="1" t="str">
        <f aca="false">TRIM(PROPER(C1999))</f>
        <v>Leverage Edu</v>
      </c>
      <c r="AC1999" s="1" t="str">
        <f aca="false">IF(O1999=0,"No Discount",IF(O1999&lt;=15,"Low (1-15%)",IF(O1999&lt;=30,"Medium (16-30%)","High (&gt;30%)")))</f>
        <v>High (&gt;30%)</v>
      </c>
      <c r="AD1999" s="1" t="str">
        <f aca="false">IF(V1999&lt;0,"Loss Making",IF(V1999&lt;20,"Low Margin","Healthy Margin"))</f>
        <v>Healthy Margin</v>
      </c>
      <c r="AE1999" s="1" t="str">
        <f aca="false">TEXT(DATE(VALUE(RIGHT(B1999,4)),VALUE(MID(B1999,4,2)),VALUE(LEFT(B1999,2))),"MMM-YYYY")</f>
        <v>Dec-2023</v>
      </c>
      <c r="AF1999" s="1" t="n">
        <f aca="false">VALUE(RIGHT(B1999,4))</f>
        <v>2023</v>
      </c>
      <c r="AG1999" s="1" t="str">
        <f aca="false">CHOOSE(ROUNDUP(VALUE(MID(B1999,4,2))/3,0),"Q1","Q2","Q3","Q4")</f>
        <v>Q4</v>
      </c>
    </row>
    <row r="2000" customFormat="false" ht="15" hidden="false" customHeight="true" outlineLevel="0" collapsed="false">
      <c r="A2000" s="1" t="s">
        <v>2854</v>
      </c>
      <c r="B2000" s="1" t="s">
        <v>220</v>
      </c>
      <c r="C2000" s="1" t="s">
        <v>264</v>
      </c>
      <c r="D2000" s="1" t="s">
        <v>143</v>
      </c>
      <c r="E2000" s="1" t="s">
        <v>162</v>
      </c>
      <c r="F2000" s="1" t="s">
        <v>205</v>
      </c>
      <c r="G2000" s="1" t="s">
        <v>56</v>
      </c>
      <c r="H2000" s="1" t="s">
        <v>69</v>
      </c>
      <c r="I2000" s="1" t="s">
        <v>83</v>
      </c>
      <c r="J2000" s="1" t="s">
        <v>59</v>
      </c>
      <c r="K2000" s="1" t="s">
        <v>60</v>
      </c>
      <c r="L2000" s="1" t="s">
        <v>49</v>
      </c>
      <c r="M2000" s="1" t="s">
        <v>50</v>
      </c>
      <c r="N2000" s="1" t="n">
        <v>14999</v>
      </c>
      <c r="O2000" s="1" t="n">
        <v>20</v>
      </c>
      <c r="P2000" s="1" t="n">
        <v>2999.8</v>
      </c>
      <c r="Q2000" s="1" t="n">
        <v>11999.2</v>
      </c>
      <c r="R2000" s="1" t="n">
        <v>2159.86</v>
      </c>
      <c r="S2000" s="1" t="n">
        <v>9839.34</v>
      </c>
      <c r="T2000" s="1" t="n">
        <v>3989.14</v>
      </c>
      <c r="U2000" s="1" t="n">
        <v>5850.2</v>
      </c>
      <c r="V2000" s="1" t="n">
        <v>59.46</v>
      </c>
      <c r="W2000" s="1" t="s">
        <v>39</v>
      </c>
      <c r="X2000" s="1" t="n">
        <v>3.9</v>
      </c>
      <c r="Y2000" s="1" t="s">
        <v>40</v>
      </c>
      <c r="Z2000" s="1" t="n">
        <v>0</v>
      </c>
      <c r="AA2000" s="1" t="str">
        <f aca="false">TRIM(PROPER(F2000))</f>
        <v>New Delhi</v>
      </c>
      <c r="AB2000" s="1" t="str">
        <f aca="false">TRIM(PROPER(C2000))</f>
        <v>Unacademy</v>
      </c>
      <c r="AC2000" s="1" t="str">
        <f aca="false">IF(O2000=0,"No Discount",IF(O2000&lt;=15,"Low (1-15%)",IF(O2000&lt;=30,"Medium (16-30%)","High (&gt;30%)")))</f>
        <v>Medium (16-30%)</v>
      </c>
      <c r="AD2000" s="1" t="str">
        <f aca="false">IF(V2000&lt;0,"Loss Making",IF(V2000&lt;20,"Low Margin","Healthy Margin"))</f>
        <v>Healthy Margin</v>
      </c>
      <c r="AE2000" s="1" t="str">
        <f aca="false">TEXT(DATE(VALUE(RIGHT(B2000,4)),VALUE(MID(B2000,4,2)),VALUE(LEFT(B2000,2))),"MMM-YYYY")</f>
        <v>Oct-2024</v>
      </c>
      <c r="AF2000" s="1" t="n">
        <f aca="false">VALUE(RIGHT(B2000,4))</f>
        <v>2024</v>
      </c>
      <c r="AG2000" s="1" t="str">
        <f aca="false">CHOOSE(ROUNDUP(VALUE(MID(B2000,4,2))/3,0),"Q1","Q2","Q3","Q4")</f>
        <v>Q4</v>
      </c>
    </row>
    <row r="2001" customFormat="false" ht="15" hidden="false" customHeight="true" outlineLevel="0" collapsed="false">
      <c r="A2001" s="1" t="s">
        <v>2855</v>
      </c>
      <c r="B2001" s="1" t="s">
        <v>539</v>
      </c>
      <c r="C2001" s="1" t="s">
        <v>93</v>
      </c>
      <c r="D2001" s="1" t="s">
        <v>29</v>
      </c>
      <c r="E2001" s="1" t="s">
        <v>30</v>
      </c>
      <c r="F2001" s="1" t="s">
        <v>125</v>
      </c>
      <c r="G2001" s="1" t="s">
        <v>108</v>
      </c>
      <c r="H2001" s="1" t="s">
        <v>69</v>
      </c>
      <c r="I2001" s="1" t="s">
        <v>58</v>
      </c>
      <c r="J2001" s="1" t="s">
        <v>35</v>
      </c>
      <c r="K2001" s="1" t="s">
        <v>112</v>
      </c>
      <c r="L2001" s="1" t="s">
        <v>85</v>
      </c>
      <c r="M2001" s="1" t="s">
        <v>62</v>
      </c>
      <c r="N2001" s="1" t="n">
        <v>7999</v>
      </c>
      <c r="O2001" s="1" t="n">
        <v>0</v>
      </c>
      <c r="P2001" s="1" t="n">
        <v>0</v>
      </c>
      <c r="Q2001" s="1" t="n">
        <v>7999</v>
      </c>
      <c r="R2001" s="1" t="n">
        <v>1439.82</v>
      </c>
      <c r="S2001" s="1" t="n">
        <v>6559.18</v>
      </c>
      <c r="T2001" s="1" t="n">
        <v>2390.4</v>
      </c>
      <c r="U2001" s="1" t="n">
        <v>4168.78</v>
      </c>
      <c r="V2001" s="1" t="n">
        <v>63.56</v>
      </c>
      <c r="W2001" s="1" t="s">
        <v>40</v>
      </c>
      <c r="Y2001" s="1" t="s">
        <v>40</v>
      </c>
      <c r="Z2001" s="1" t="n">
        <v>2</v>
      </c>
      <c r="AA2001" s="1" t="str">
        <f aca="false">TRIM(PROPER(F2001))</f>
        <v>Chennai</v>
      </c>
      <c r="AB2001" s="1" t="str">
        <f aca="false">TRIM(PROPER(C2001))</f>
        <v>Upgrad</v>
      </c>
      <c r="AC2001" s="1" t="str">
        <f aca="false">IF(O2001=0,"No Discount",IF(O2001&lt;=15,"Low (1-15%)",IF(O2001&lt;=30,"Medium (16-30%)","High (&gt;30%)")))</f>
        <v>No Discount</v>
      </c>
      <c r="AD2001" s="1" t="str">
        <f aca="false">IF(V2001&lt;0,"Loss Making",IF(V2001&lt;20,"Low Margin","Healthy Margin"))</f>
        <v>Healthy Margin</v>
      </c>
      <c r="AE2001" s="1" t="str">
        <f aca="false">TEXT(DATE(VALUE(RIGHT(B2001,4)),VALUE(MID(B2001,4,2)),VALUE(LEFT(B2001,2))),"MMM-YYYY")</f>
        <v>Feb-2023</v>
      </c>
      <c r="AF2001" s="1" t="n">
        <f aca="false">VALUE(RIGHT(B2001,4))</f>
        <v>2023</v>
      </c>
      <c r="AG2001" s="1" t="str">
        <f aca="false">CHOOSE(ROUNDUP(VALUE(MID(B2001,4,2))/3,0),"Q1","Q2","Q3","Q4")</f>
        <v>Q1</v>
      </c>
    </row>
    <row r="2002" customFormat="false" ht="15" hidden="false" customHeight="true" outlineLevel="0" collapsed="false">
      <c r="A2002" s="1" t="s">
        <v>2856</v>
      </c>
      <c r="B2002" s="1" t="s">
        <v>766</v>
      </c>
      <c r="C2002" s="1" t="s">
        <v>88</v>
      </c>
      <c r="D2002" s="1" t="s">
        <v>29</v>
      </c>
      <c r="E2002" s="1" t="s">
        <v>182</v>
      </c>
      <c r="F2002" s="1" t="s">
        <v>194</v>
      </c>
      <c r="G2002" s="1" t="s">
        <v>103</v>
      </c>
      <c r="H2002" s="1" t="s">
        <v>69</v>
      </c>
      <c r="I2002" s="1" t="s">
        <v>58</v>
      </c>
      <c r="J2002" s="1" t="s">
        <v>35</v>
      </c>
      <c r="K2002" s="1" t="s">
        <v>71</v>
      </c>
      <c r="L2002" s="1" t="s">
        <v>113</v>
      </c>
      <c r="M2002" s="1" t="s">
        <v>38</v>
      </c>
      <c r="N2002" s="1" t="n">
        <v>34999</v>
      </c>
      <c r="O2002" s="1" t="n">
        <v>30</v>
      </c>
      <c r="P2002" s="1" t="n">
        <v>10499.7</v>
      </c>
      <c r="Q2002" s="1" t="n">
        <v>24499.3</v>
      </c>
      <c r="R2002" s="1" t="n">
        <v>4409.87</v>
      </c>
      <c r="S2002" s="1" t="n">
        <v>20089.43</v>
      </c>
      <c r="T2002" s="1" t="n">
        <v>6153.81</v>
      </c>
      <c r="U2002" s="1" t="n">
        <v>13935.62</v>
      </c>
      <c r="V2002" s="1" t="n">
        <v>69.37</v>
      </c>
      <c r="W2002" s="1" t="s">
        <v>40</v>
      </c>
      <c r="Y2002" s="1" t="s">
        <v>39</v>
      </c>
      <c r="Z2002" s="1" t="n">
        <v>1</v>
      </c>
      <c r="AA2002" s="1" t="str">
        <f aca="false">TRIM(PROPER(F2002))</f>
        <v>Hyderabad</v>
      </c>
      <c r="AB2002" s="1" t="str">
        <f aca="false">TRIM(PROPER(C2002))</f>
        <v>Byju'S</v>
      </c>
      <c r="AC2002" s="1" t="str">
        <f aca="false">IF(O2002=0,"No Discount",IF(O2002&lt;=15,"Low (1-15%)",IF(O2002&lt;=30,"Medium (16-30%)","High (&gt;30%)")))</f>
        <v>Medium (16-30%)</v>
      </c>
      <c r="AD2002" s="1" t="str">
        <f aca="false">IF(V2002&lt;0,"Loss Making",IF(V2002&lt;20,"Low Margin","Healthy Margin"))</f>
        <v>Healthy Margin</v>
      </c>
      <c r="AE2002" s="1" t="str">
        <f aca="false">TEXT(DATE(VALUE(RIGHT(B2002,4)),VALUE(MID(B2002,4,2)),VALUE(LEFT(B2002,2))),"MMM-YYYY")</f>
        <v>Feb-2024</v>
      </c>
      <c r="AF2002" s="1" t="n">
        <f aca="false">VALUE(RIGHT(B2002,4))</f>
        <v>2024</v>
      </c>
      <c r="AG2002" s="1" t="str">
        <f aca="false">CHOOSE(ROUNDUP(VALUE(MID(B2002,4,2))/3,0),"Q1","Q2","Q3","Q4")</f>
        <v>Q1</v>
      </c>
    </row>
    <row r="2003" customFormat="false" ht="15" hidden="false" customHeight="true" outlineLevel="0" collapsed="false">
      <c r="A2003" s="1" t="s">
        <v>2857</v>
      </c>
      <c r="B2003" s="1" t="s">
        <v>348</v>
      </c>
      <c r="C2003" s="1" t="s">
        <v>178</v>
      </c>
      <c r="D2003" s="1" t="s">
        <v>29</v>
      </c>
      <c r="E2003" s="1" t="s">
        <v>305</v>
      </c>
      <c r="F2003" s="1" t="s">
        <v>67</v>
      </c>
      <c r="G2003" s="1" t="s">
        <v>68</v>
      </c>
      <c r="H2003" s="1" t="s">
        <v>69</v>
      </c>
      <c r="I2003" s="1" t="s">
        <v>83</v>
      </c>
      <c r="J2003" s="1" t="s">
        <v>70</v>
      </c>
      <c r="K2003" s="1" t="s">
        <v>36</v>
      </c>
      <c r="L2003" s="1" t="s">
        <v>49</v>
      </c>
      <c r="M2003" s="1" t="s">
        <v>62</v>
      </c>
      <c r="N2003" s="1" t="n">
        <v>24999</v>
      </c>
      <c r="O2003" s="1" t="n">
        <v>40</v>
      </c>
      <c r="P2003" s="1" t="n">
        <v>9999.6</v>
      </c>
      <c r="Q2003" s="1" t="n">
        <v>14999.4</v>
      </c>
      <c r="R2003" s="1" t="n">
        <v>2699.89</v>
      </c>
      <c r="S2003" s="1" t="n">
        <v>12299.51</v>
      </c>
      <c r="T2003" s="1" t="n">
        <v>3722.11</v>
      </c>
      <c r="U2003" s="1" t="n">
        <v>8577.4</v>
      </c>
      <c r="V2003" s="1" t="n">
        <v>69.74</v>
      </c>
      <c r="W2003" s="1" t="s">
        <v>40</v>
      </c>
      <c r="Y2003" s="1" t="s">
        <v>40</v>
      </c>
      <c r="Z2003" s="1" t="n">
        <v>0</v>
      </c>
      <c r="AA2003" s="1" t="str">
        <f aca="false">TRIM(PROPER(F2003))</f>
        <v>Ahmedabad</v>
      </c>
      <c r="AB2003" s="1" t="str">
        <f aca="false">TRIM(PROPER(C2003))</f>
        <v>Leverage Edu</v>
      </c>
      <c r="AC2003" s="1" t="str">
        <f aca="false">IF(O2003=0,"No Discount",IF(O2003&lt;=15,"Low (1-15%)",IF(O2003&lt;=30,"Medium (16-30%)","High (&gt;30%)")))</f>
        <v>High (&gt;30%)</v>
      </c>
      <c r="AD2003" s="1" t="str">
        <f aca="false">IF(V2003&lt;0,"Loss Making",IF(V2003&lt;20,"Low Margin","Healthy Margin"))</f>
        <v>Healthy Margin</v>
      </c>
      <c r="AE2003" s="1" t="str">
        <f aca="false">TEXT(DATE(VALUE(RIGHT(B2003,4)),VALUE(MID(B2003,4,2)),VALUE(LEFT(B2003,2))),"MMM-YYYY")</f>
        <v>Aug-2024</v>
      </c>
      <c r="AF2003" s="1" t="n">
        <f aca="false">VALUE(RIGHT(B2003,4))</f>
        <v>2024</v>
      </c>
      <c r="AG2003" s="1" t="str">
        <f aca="false">CHOOSE(ROUNDUP(VALUE(MID(B2003,4,2))/3,0),"Q1","Q2","Q3","Q4")</f>
        <v>Q3</v>
      </c>
    </row>
    <row r="2004" customFormat="false" ht="15" hidden="false" customHeight="true" outlineLevel="0" collapsed="false">
      <c r="A2004" s="1" t="s">
        <v>2858</v>
      </c>
      <c r="B2004" s="1" t="s">
        <v>304</v>
      </c>
      <c r="C2004" s="1" t="s">
        <v>100</v>
      </c>
      <c r="D2004" s="1" t="s">
        <v>143</v>
      </c>
      <c r="E2004" s="1" t="s">
        <v>210</v>
      </c>
      <c r="F2004" s="1" t="s">
        <v>184</v>
      </c>
      <c r="G2004" s="1" t="s">
        <v>56</v>
      </c>
      <c r="H2004" s="1" t="s">
        <v>57</v>
      </c>
      <c r="I2004" s="1" t="s">
        <v>58</v>
      </c>
      <c r="J2004" s="1" t="s">
        <v>77</v>
      </c>
      <c r="K2004" s="1" t="s">
        <v>48</v>
      </c>
      <c r="L2004" s="1" t="s">
        <v>61</v>
      </c>
      <c r="M2004" s="1" t="s">
        <v>38</v>
      </c>
      <c r="N2004" s="1" t="n">
        <v>18999</v>
      </c>
      <c r="O2004" s="1" t="n">
        <v>15</v>
      </c>
      <c r="P2004" s="1" t="n">
        <v>2849.85</v>
      </c>
      <c r="Q2004" s="1" t="n">
        <v>16149.15</v>
      </c>
      <c r="R2004" s="1" t="n">
        <v>2906.85</v>
      </c>
      <c r="S2004" s="1" t="n">
        <v>13242.3</v>
      </c>
      <c r="T2004" s="1" t="n">
        <v>6322.09</v>
      </c>
      <c r="U2004" s="1" t="n">
        <v>6920.21</v>
      </c>
      <c r="V2004" s="1" t="n">
        <v>52.26</v>
      </c>
      <c r="W2004" s="1" t="s">
        <v>40</v>
      </c>
      <c r="Y2004" s="1" t="s">
        <v>40</v>
      </c>
      <c r="Z2004" s="1" t="n">
        <v>0</v>
      </c>
      <c r="AA2004" s="1" t="str">
        <f aca="false">TRIM(PROPER(F2004))</f>
        <v>Faridabad</v>
      </c>
      <c r="AB2004" s="1" t="str">
        <f aca="false">TRIM(PROPER(C2004))</f>
        <v>Physics Wallah</v>
      </c>
      <c r="AC2004" s="1" t="str">
        <f aca="false">IF(O2004=0,"No Discount",IF(O2004&lt;=15,"Low (1-15%)",IF(O2004&lt;=30,"Medium (16-30%)","High (&gt;30%)")))</f>
        <v>Low (1-15%)</v>
      </c>
      <c r="AD2004" s="1" t="str">
        <f aca="false">IF(V2004&lt;0,"Loss Making",IF(V2004&lt;20,"Low Margin","Healthy Margin"))</f>
        <v>Healthy Margin</v>
      </c>
      <c r="AE2004" s="1" t="str">
        <f aca="false">TEXT(DATE(VALUE(RIGHT(B2004,4)),VALUE(MID(B2004,4,2)),VALUE(LEFT(B2004,2))),"MMM-YYYY")</f>
        <v>Oct-2023</v>
      </c>
      <c r="AF2004" s="1" t="n">
        <f aca="false">VALUE(RIGHT(B2004,4))</f>
        <v>2023</v>
      </c>
      <c r="AG2004" s="1" t="str">
        <f aca="false">CHOOSE(ROUNDUP(VALUE(MID(B2004,4,2))/3,0),"Q1","Q2","Q3","Q4")</f>
        <v>Q4</v>
      </c>
    </row>
    <row r="2005" customFormat="false" ht="15" hidden="false" customHeight="true" outlineLevel="0" collapsed="false">
      <c r="A2005" s="1" t="s">
        <v>2859</v>
      </c>
      <c r="B2005" s="1" t="s">
        <v>1507</v>
      </c>
      <c r="C2005" s="1" t="s">
        <v>119</v>
      </c>
      <c r="D2005" s="1" t="s">
        <v>94</v>
      </c>
      <c r="E2005" s="1" t="s">
        <v>95</v>
      </c>
      <c r="F2005" s="1" t="s">
        <v>150</v>
      </c>
      <c r="G2005" s="1" t="s">
        <v>32</v>
      </c>
      <c r="H2005" s="1" t="s">
        <v>57</v>
      </c>
      <c r="I2005" s="1" t="s">
        <v>83</v>
      </c>
      <c r="J2005" s="1" t="s">
        <v>77</v>
      </c>
      <c r="K2005" s="1" t="s">
        <v>104</v>
      </c>
      <c r="L2005" s="1" t="s">
        <v>136</v>
      </c>
      <c r="M2005" s="1" t="s">
        <v>62</v>
      </c>
      <c r="N2005" s="1" t="n">
        <v>6999</v>
      </c>
      <c r="O2005" s="1" t="n">
        <v>20</v>
      </c>
      <c r="P2005" s="1" t="n">
        <v>1399.8</v>
      </c>
      <c r="Q2005" s="1" t="n">
        <v>5599.2</v>
      </c>
      <c r="R2005" s="1" t="n">
        <v>1007.86</v>
      </c>
      <c r="S2005" s="1" t="n">
        <v>4591.34</v>
      </c>
      <c r="T2005" s="1" t="n">
        <v>2077.67</v>
      </c>
      <c r="U2005" s="1" t="n">
        <v>2513.67</v>
      </c>
      <c r="V2005" s="1" t="n">
        <v>54.75</v>
      </c>
      <c r="W2005" s="1" t="s">
        <v>39</v>
      </c>
      <c r="X2005" s="1" t="n">
        <v>4.2</v>
      </c>
      <c r="Y2005" s="1" t="s">
        <v>40</v>
      </c>
      <c r="Z2005" s="1" t="n">
        <v>0</v>
      </c>
      <c r="AA2005" s="1" t="str">
        <f aca="false">TRIM(PROPER(F2005))</f>
        <v>Jaipur</v>
      </c>
      <c r="AB2005" s="1" t="str">
        <f aca="false">TRIM(PROPER(C2005))</f>
        <v>Simplilearn</v>
      </c>
      <c r="AC2005" s="1" t="str">
        <f aca="false">IF(O2005=0,"No Discount",IF(O2005&lt;=15,"Low (1-15%)",IF(O2005&lt;=30,"Medium (16-30%)","High (&gt;30%)")))</f>
        <v>Medium (16-30%)</v>
      </c>
      <c r="AD2005" s="1" t="str">
        <f aca="false">IF(V2005&lt;0,"Loss Making",IF(V2005&lt;20,"Low Margin","Healthy Margin"))</f>
        <v>Healthy Margin</v>
      </c>
      <c r="AE2005" s="1" t="str">
        <f aca="false">TEXT(DATE(VALUE(RIGHT(B2005,4)),VALUE(MID(B2005,4,2)),VALUE(LEFT(B2005,2))),"MMM-YYYY")</f>
        <v>Feb-2023</v>
      </c>
      <c r="AF2005" s="1" t="n">
        <f aca="false">VALUE(RIGHT(B2005,4))</f>
        <v>2023</v>
      </c>
      <c r="AG2005" s="1" t="str">
        <f aca="false">CHOOSE(ROUNDUP(VALUE(MID(B2005,4,2))/3,0),"Q1","Q2","Q3","Q4")</f>
        <v>Q1</v>
      </c>
    </row>
    <row r="2006" customFormat="false" ht="15" hidden="false" customHeight="true" outlineLevel="0" collapsed="false">
      <c r="A2006" s="1" t="s">
        <v>2860</v>
      </c>
      <c r="B2006" s="1" t="s">
        <v>1640</v>
      </c>
      <c r="C2006" s="1" t="s">
        <v>178</v>
      </c>
      <c r="D2006" s="1" t="s">
        <v>80</v>
      </c>
      <c r="E2006" s="1" t="s">
        <v>81</v>
      </c>
      <c r="F2006" s="1" t="s">
        <v>75</v>
      </c>
      <c r="G2006" s="1" t="s">
        <v>76</v>
      </c>
      <c r="H2006" s="1" t="s">
        <v>69</v>
      </c>
      <c r="I2006" s="1" t="s">
        <v>83</v>
      </c>
      <c r="J2006" s="1" t="s">
        <v>131</v>
      </c>
      <c r="K2006" s="1" t="s">
        <v>60</v>
      </c>
      <c r="L2006" s="1" t="s">
        <v>49</v>
      </c>
      <c r="M2006" s="1" t="s">
        <v>38</v>
      </c>
      <c r="N2006" s="1" t="n">
        <v>12999</v>
      </c>
      <c r="O2006" s="1" t="n">
        <v>0</v>
      </c>
      <c r="P2006" s="1" t="n">
        <v>0</v>
      </c>
      <c r="Q2006" s="1" t="n">
        <v>12999</v>
      </c>
      <c r="R2006" s="1" t="n">
        <v>2339.82</v>
      </c>
      <c r="S2006" s="1" t="n">
        <v>10659.18</v>
      </c>
      <c r="T2006" s="1" t="n">
        <v>3914.9</v>
      </c>
      <c r="U2006" s="1" t="n">
        <v>6744.28</v>
      </c>
      <c r="V2006" s="1" t="n">
        <v>63.27</v>
      </c>
      <c r="W2006" s="1" t="s">
        <v>39</v>
      </c>
      <c r="X2006" s="1" t="n">
        <v>3.9</v>
      </c>
      <c r="Y2006" s="1" t="s">
        <v>40</v>
      </c>
      <c r="Z2006" s="1" t="n">
        <v>0</v>
      </c>
      <c r="AA2006" s="1" t="str">
        <f aca="false">TRIM(PROPER(F2006))</f>
        <v>Kolkata</v>
      </c>
      <c r="AB2006" s="1" t="str">
        <f aca="false">TRIM(PROPER(C2006))</f>
        <v>Leverage Edu</v>
      </c>
      <c r="AC2006" s="1" t="str">
        <f aca="false">IF(O2006=0,"No Discount",IF(O2006&lt;=15,"Low (1-15%)",IF(O2006&lt;=30,"Medium (16-30%)","High (&gt;30%)")))</f>
        <v>No Discount</v>
      </c>
      <c r="AD2006" s="1" t="str">
        <f aca="false">IF(V2006&lt;0,"Loss Making",IF(V2006&lt;20,"Low Margin","Healthy Margin"))</f>
        <v>Healthy Margin</v>
      </c>
      <c r="AE2006" s="1" t="str">
        <f aca="false">TEXT(DATE(VALUE(RIGHT(B2006,4)),VALUE(MID(B2006,4,2)),VALUE(LEFT(B2006,2))),"MMM-YYYY")</f>
        <v>May-2024</v>
      </c>
      <c r="AF2006" s="1" t="n">
        <f aca="false">VALUE(RIGHT(B2006,4))</f>
        <v>2024</v>
      </c>
      <c r="AG2006" s="1" t="str">
        <f aca="false">CHOOSE(ROUNDUP(VALUE(MID(B2006,4,2))/3,0),"Q1","Q2","Q3","Q4")</f>
        <v>Q2</v>
      </c>
    </row>
    <row r="2007" customFormat="false" ht="15" hidden="false" customHeight="true" outlineLevel="0" collapsed="false">
      <c r="A2007" s="1" t="s">
        <v>2861</v>
      </c>
      <c r="B2007" s="1" t="s">
        <v>2862</v>
      </c>
      <c r="C2007" s="1" t="s">
        <v>134</v>
      </c>
      <c r="D2007" s="1" t="s">
        <v>29</v>
      </c>
      <c r="E2007" s="1" t="s">
        <v>30</v>
      </c>
      <c r="F2007" s="1" t="s">
        <v>75</v>
      </c>
      <c r="G2007" s="1" t="s">
        <v>76</v>
      </c>
      <c r="H2007" s="1" t="s">
        <v>69</v>
      </c>
      <c r="I2007" s="1" t="s">
        <v>58</v>
      </c>
      <c r="J2007" s="1" t="s">
        <v>35</v>
      </c>
      <c r="K2007" s="1" t="s">
        <v>71</v>
      </c>
      <c r="L2007" s="1" t="s">
        <v>85</v>
      </c>
      <c r="M2007" s="1" t="s">
        <v>50</v>
      </c>
      <c r="N2007" s="1" t="n">
        <v>7999</v>
      </c>
      <c r="O2007" s="1" t="n">
        <v>5</v>
      </c>
      <c r="P2007" s="1" t="n">
        <v>399.95</v>
      </c>
      <c r="Q2007" s="1" t="n">
        <v>7599.05</v>
      </c>
      <c r="R2007" s="1" t="n">
        <v>1367.83</v>
      </c>
      <c r="S2007" s="1" t="n">
        <v>6231.22</v>
      </c>
      <c r="T2007" s="1" t="n">
        <v>2463.25</v>
      </c>
      <c r="U2007" s="1" t="n">
        <v>3767.97</v>
      </c>
      <c r="V2007" s="1" t="n">
        <v>60.47</v>
      </c>
      <c r="W2007" s="1" t="s">
        <v>40</v>
      </c>
      <c r="Y2007" s="1" t="s">
        <v>40</v>
      </c>
      <c r="Z2007" s="1" t="n">
        <v>1</v>
      </c>
      <c r="AA2007" s="1" t="str">
        <f aca="false">TRIM(PROPER(F2007))</f>
        <v>Kolkata</v>
      </c>
      <c r="AB2007" s="1" t="str">
        <f aca="false">TRIM(PROPER(C2007))</f>
        <v>Doubtnut</v>
      </c>
      <c r="AC2007" s="1" t="str">
        <f aca="false">IF(O2007=0,"No Discount",IF(O2007&lt;=15,"Low (1-15%)",IF(O2007&lt;=30,"Medium (16-30%)","High (&gt;30%)")))</f>
        <v>Low (1-15%)</v>
      </c>
      <c r="AD2007" s="1" t="str">
        <f aca="false">IF(V2007&lt;0,"Loss Making",IF(V2007&lt;20,"Low Margin","Healthy Margin"))</f>
        <v>Healthy Margin</v>
      </c>
      <c r="AE2007" s="1" t="str">
        <f aca="false">TEXT(DATE(VALUE(RIGHT(B2007,4)),VALUE(MID(B2007,4,2)),VALUE(LEFT(B2007,2))),"MMM-YYYY")</f>
        <v>Aug-2023</v>
      </c>
      <c r="AF2007" s="1" t="n">
        <f aca="false">VALUE(RIGHT(B2007,4))</f>
        <v>2023</v>
      </c>
      <c r="AG2007" s="1" t="str">
        <f aca="false">CHOOSE(ROUNDUP(VALUE(MID(B2007,4,2))/3,0),"Q1","Q2","Q3","Q4")</f>
        <v>Q3</v>
      </c>
    </row>
    <row r="2008" customFormat="false" ht="15" hidden="false" customHeight="true" outlineLevel="0" collapsed="false">
      <c r="A2008" s="1" t="s">
        <v>2863</v>
      </c>
      <c r="B2008" s="1" t="s">
        <v>518</v>
      </c>
      <c r="C2008" s="1" t="s">
        <v>88</v>
      </c>
      <c r="D2008" s="1" t="s">
        <v>80</v>
      </c>
      <c r="E2008" s="1" t="s">
        <v>175</v>
      </c>
      <c r="F2008" s="1" t="s">
        <v>269</v>
      </c>
      <c r="G2008" s="1" t="s">
        <v>108</v>
      </c>
      <c r="H2008" s="1" t="s">
        <v>57</v>
      </c>
      <c r="I2008" s="1" t="s">
        <v>34</v>
      </c>
      <c r="J2008" s="1" t="s">
        <v>77</v>
      </c>
      <c r="K2008" s="1" t="s">
        <v>90</v>
      </c>
      <c r="L2008" s="1" t="s">
        <v>85</v>
      </c>
      <c r="M2008" s="1" t="s">
        <v>50</v>
      </c>
      <c r="N2008" s="1" t="n">
        <v>19999</v>
      </c>
      <c r="O2008" s="1" t="n">
        <v>20</v>
      </c>
      <c r="P2008" s="1" t="n">
        <v>3999.8</v>
      </c>
      <c r="Q2008" s="1" t="n">
        <v>15999.2</v>
      </c>
      <c r="R2008" s="1" t="n">
        <v>2879.86</v>
      </c>
      <c r="S2008" s="1" t="n">
        <v>13119.34</v>
      </c>
      <c r="T2008" s="1" t="n">
        <v>5598.99</v>
      </c>
      <c r="U2008" s="1" t="n">
        <v>7520.35</v>
      </c>
      <c r="V2008" s="1" t="n">
        <v>57.32</v>
      </c>
      <c r="W2008" s="1" t="s">
        <v>40</v>
      </c>
      <c r="Y2008" s="1" t="s">
        <v>40</v>
      </c>
      <c r="Z2008" s="1" t="n">
        <v>0</v>
      </c>
      <c r="AA2008" s="1" t="str">
        <f aca="false">TRIM(PROPER(F2008))</f>
        <v>Coimbatore</v>
      </c>
      <c r="AB2008" s="1" t="str">
        <f aca="false">TRIM(PROPER(C2008))</f>
        <v>Byju'S</v>
      </c>
      <c r="AC2008" s="1" t="str">
        <f aca="false">IF(O2008=0,"No Discount",IF(O2008&lt;=15,"Low (1-15%)",IF(O2008&lt;=30,"Medium (16-30%)","High (&gt;30%)")))</f>
        <v>Medium (16-30%)</v>
      </c>
      <c r="AD2008" s="1" t="str">
        <f aca="false">IF(V2008&lt;0,"Loss Making",IF(V2008&lt;20,"Low Margin","Healthy Margin"))</f>
        <v>Healthy Margin</v>
      </c>
      <c r="AE2008" s="1" t="str">
        <f aca="false">TEXT(DATE(VALUE(RIGHT(B2008,4)),VALUE(MID(B2008,4,2)),VALUE(LEFT(B2008,2))),"MMM-YYYY")</f>
        <v>Jul-2024</v>
      </c>
      <c r="AF2008" s="1" t="n">
        <f aca="false">VALUE(RIGHT(B2008,4))</f>
        <v>2024</v>
      </c>
      <c r="AG2008" s="1" t="str">
        <f aca="false">CHOOSE(ROUNDUP(VALUE(MID(B2008,4,2))/3,0),"Q1","Q2","Q3","Q4")</f>
        <v>Q3</v>
      </c>
    </row>
    <row r="2009" customFormat="false" ht="15" hidden="false" customHeight="true" outlineLevel="0" collapsed="false">
      <c r="A2009" s="1" t="s">
        <v>2864</v>
      </c>
      <c r="B2009" s="1" t="s">
        <v>1064</v>
      </c>
      <c r="C2009" s="1" t="s">
        <v>167</v>
      </c>
      <c r="D2009" s="1" t="s">
        <v>94</v>
      </c>
      <c r="E2009" s="1" t="s">
        <v>95</v>
      </c>
      <c r="F2009" s="1" t="s">
        <v>244</v>
      </c>
      <c r="G2009" s="1" t="s">
        <v>97</v>
      </c>
      <c r="H2009" s="1" t="s">
        <v>57</v>
      </c>
      <c r="I2009" s="1" t="s">
        <v>58</v>
      </c>
      <c r="J2009" s="1" t="s">
        <v>35</v>
      </c>
      <c r="K2009" s="1" t="s">
        <v>48</v>
      </c>
      <c r="L2009" s="1" t="s">
        <v>85</v>
      </c>
      <c r="M2009" s="1" t="s">
        <v>62</v>
      </c>
      <c r="N2009" s="1" t="n">
        <v>6999</v>
      </c>
      <c r="O2009" s="1" t="n">
        <v>15</v>
      </c>
      <c r="P2009" s="1" t="n">
        <v>1049.85</v>
      </c>
      <c r="Q2009" s="1" t="n">
        <v>5949.15</v>
      </c>
      <c r="R2009" s="1" t="n">
        <v>1070.85</v>
      </c>
      <c r="S2009" s="1" t="n">
        <v>4878.3</v>
      </c>
      <c r="T2009" s="1" t="n">
        <v>2606.13</v>
      </c>
      <c r="U2009" s="1" t="n">
        <v>2272.17</v>
      </c>
      <c r="V2009" s="1" t="n">
        <v>46.58</v>
      </c>
      <c r="W2009" s="1" t="s">
        <v>39</v>
      </c>
      <c r="X2009" s="1" t="n">
        <v>3.1</v>
      </c>
      <c r="Y2009" s="1" t="s">
        <v>40</v>
      </c>
      <c r="Z2009" s="1" t="n">
        <v>0</v>
      </c>
      <c r="AA2009" s="1" t="str">
        <f aca="false">TRIM(PROPER(F2009))</f>
        <v>Nagpur</v>
      </c>
      <c r="AB2009" s="1" t="str">
        <f aca="false">TRIM(PROPER(C2009))</f>
        <v>Scaler</v>
      </c>
      <c r="AC2009" s="1" t="str">
        <f aca="false">IF(O2009=0,"No Discount",IF(O2009&lt;=15,"Low (1-15%)",IF(O2009&lt;=30,"Medium (16-30%)","High (&gt;30%)")))</f>
        <v>Low (1-15%)</v>
      </c>
      <c r="AD2009" s="1" t="str">
        <f aca="false">IF(V2009&lt;0,"Loss Making",IF(V2009&lt;20,"Low Margin","Healthy Margin"))</f>
        <v>Healthy Margin</v>
      </c>
      <c r="AE2009" s="1" t="str">
        <f aca="false">TEXT(DATE(VALUE(RIGHT(B2009,4)),VALUE(MID(B2009,4,2)),VALUE(LEFT(B2009,2))),"MMM-YYYY")</f>
        <v>May-2023</v>
      </c>
      <c r="AF2009" s="1" t="n">
        <f aca="false">VALUE(RIGHT(B2009,4))</f>
        <v>2023</v>
      </c>
      <c r="AG2009" s="1" t="str">
        <f aca="false">CHOOSE(ROUNDUP(VALUE(MID(B2009,4,2))/3,0),"Q1","Q2","Q3","Q4")</f>
        <v>Q2</v>
      </c>
    </row>
    <row r="2010" customFormat="false" ht="15" hidden="false" customHeight="true" outlineLevel="0" collapsed="false">
      <c r="A2010" s="1" t="s">
        <v>2865</v>
      </c>
      <c r="B2010" s="1" t="s">
        <v>549</v>
      </c>
      <c r="C2010" s="1" t="s">
        <v>28</v>
      </c>
      <c r="D2010" s="1" t="s">
        <v>143</v>
      </c>
      <c r="E2010" s="1" t="s">
        <v>159</v>
      </c>
      <c r="F2010" s="1" t="s">
        <v>211</v>
      </c>
      <c r="G2010" s="1" t="s">
        <v>56</v>
      </c>
      <c r="H2010" s="1" t="s">
        <v>69</v>
      </c>
      <c r="I2010" s="1" t="s">
        <v>34</v>
      </c>
      <c r="J2010" s="1" t="s">
        <v>77</v>
      </c>
      <c r="K2010" s="1" t="s">
        <v>48</v>
      </c>
      <c r="L2010" s="1" t="s">
        <v>49</v>
      </c>
      <c r="M2010" s="1" t="s">
        <v>38</v>
      </c>
      <c r="N2010" s="1" t="n">
        <v>24999</v>
      </c>
      <c r="O2010" s="1" t="n">
        <v>40</v>
      </c>
      <c r="P2010" s="1" t="n">
        <v>9999.6</v>
      </c>
      <c r="Q2010" s="1" t="n">
        <v>14999.4</v>
      </c>
      <c r="R2010" s="1" t="n">
        <v>2699.89</v>
      </c>
      <c r="S2010" s="1" t="n">
        <v>12299.51</v>
      </c>
      <c r="T2010" s="1" t="n">
        <v>7339.93</v>
      </c>
      <c r="U2010" s="1" t="n">
        <v>4959.58</v>
      </c>
      <c r="V2010" s="1" t="n">
        <v>40.32</v>
      </c>
      <c r="W2010" s="1" t="s">
        <v>39</v>
      </c>
      <c r="X2010" s="1" t="n">
        <v>3.4</v>
      </c>
      <c r="Y2010" s="1" t="s">
        <v>40</v>
      </c>
      <c r="Z2010" s="1" t="n">
        <v>1</v>
      </c>
      <c r="AA2010" s="1" t="str">
        <f aca="false">TRIM(PROPER(F2010))</f>
        <v>Noida</v>
      </c>
      <c r="AB2010" s="1" t="str">
        <f aca="false">TRIM(PROPER(C2010))</f>
        <v>Embibe</v>
      </c>
      <c r="AC2010" s="1" t="str">
        <f aca="false">IF(O2010=0,"No Discount",IF(O2010&lt;=15,"Low (1-15%)",IF(O2010&lt;=30,"Medium (16-30%)","High (&gt;30%)")))</f>
        <v>High (&gt;30%)</v>
      </c>
      <c r="AD2010" s="1" t="str">
        <f aca="false">IF(V2010&lt;0,"Loss Making",IF(V2010&lt;20,"Low Margin","Healthy Margin"))</f>
        <v>Healthy Margin</v>
      </c>
      <c r="AE2010" s="1" t="str">
        <f aca="false">TEXT(DATE(VALUE(RIGHT(B2010,4)),VALUE(MID(B2010,4,2)),VALUE(LEFT(B2010,2))),"MMM-YYYY")</f>
        <v>Apr-2023</v>
      </c>
      <c r="AF2010" s="1" t="n">
        <f aca="false">VALUE(RIGHT(B2010,4))</f>
        <v>2023</v>
      </c>
      <c r="AG2010" s="1" t="str">
        <f aca="false">CHOOSE(ROUNDUP(VALUE(MID(B2010,4,2))/3,0),"Q1","Q2","Q3","Q4")</f>
        <v>Q2</v>
      </c>
    </row>
    <row r="2011" customFormat="false" ht="15" hidden="false" customHeight="true" outlineLevel="0" collapsed="false">
      <c r="A2011" s="1" t="s">
        <v>2866</v>
      </c>
      <c r="B2011" s="1" t="s">
        <v>441</v>
      </c>
      <c r="C2011" s="1" t="s">
        <v>249</v>
      </c>
      <c r="D2011" s="1" t="s">
        <v>168</v>
      </c>
      <c r="E2011" s="1" t="s">
        <v>172</v>
      </c>
      <c r="F2011" s="1" t="s">
        <v>67</v>
      </c>
      <c r="G2011" s="1" t="s">
        <v>68</v>
      </c>
      <c r="H2011" s="1" t="s">
        <v>69</v>
      </c>
      <c r="I2011" s="1" t="s">
        <v>83</v>
      </c>
      <c r="J2011" s="1" t="s">
        <v>59</v>
      </c>
      <c r="K2011" s="1" t="s">
        <v>36</v>
      </c>
      <c r="L2011" s="1" t="s">
        <v>61</v>
      </c>
      <c r="M2011" s="1" t="s">
        <v>50</v>
      </c>
      <c r="N2011" s="1" t="n">
        <v>6999</v>
      </c>
      <c r="O2011" s="1" t="n">
        <v>30</v>
      </c>
      <c r="P2011" s="1" t="n">
        <v>2099.7</v>
      </c>
      <c r="Q2011" s="1" t="n">
        <v>4899.3</v>
      </c>
      <c r="R2011" s="1" t="n">
        <v>881.87</v>
      </c>
      <c r="S2011" s="1" t="n">
        <v>4017.43</v>
      </c>
      <c r="T2011" s="1" t="n">
        <v>1577.78</v>
      </c>
      <c r="U2011" s="1" t="n">
        <v>2439.65</v>
      </c>
      <c r="V2011" s="1" t="n">
        <v>60.73</v>
      </c>
      <c r="W2011" s="1" t="s">
        <v>39</v>
      </c>
      <c r="X2011" s="1" t="n">
        <v>3.2</v>
      </c>
      <c r="Y2011" s="1" t="s">
        <v>40</v>
      </c>
      <c r="Z2011" s="1" t="n">
        <v>1</v>
      </c>
      <c r="AA2011" s="1" t="str">
        <f aca="false">TRIM(PROPER(F2011))</f>
        <v>Ahmedabad</v>
      </c>
      <c r="AB2011" s="1" t="str">
        <f aca="false">TRIM(PROPER(C2011))</f>
        <v>Whitehat Jr</v>
      </c>
      <c r="AC2011" s="1" t="str">
        <f aca="false">IF(O2011=0,"No Discount",IF(O2011&lt;=15,"Low (1-15%)",IF(O2011&lt;=30,"Medium (16-30%)","High (&gt;30%)")))</f>
        <v>Medium (16-30%)</v>
      </c>
      <c r="AD2011" s="1" t="str">
        <f aca="false">IF(V2011&lt;0,"Loss Making",IF(V2011&lt;20,"Low Margin","Healthy Margin"))</f>
        <v>Healthy Margin</v>
      </c>
      <c r="AE2011" s="1" t="str">
        <f aca="false">TEXT(DATE(VALUE(RIGHT(B2011,4)),VALUE(MID(B2011,4,2)),VALUE(LEFT(B2011,2))),"MMM-YYYY")</f>
        <v>Aug-2024</v>
      </c>
      <c r="AF2011" s="1" t="n">
        <f aca="false">VALUE(RIGHT(B2011,4))</f>
        <v>2024</v>
      </c>
      <c r="AG2011" s="1" t="str">
        <f aca="false">CHOOSE(ROUNDUP(VALUE(MID(B2011,4,2))/3,0),"Q1","Q2","Q3","Q4")</f>
        <v>Q3</v>
      </c>
    </row>
    <row r="2012" customFormat="false" ht="15" hidden="false" customHeight="true" outlineLevel="0" collapsed="false">
      <c r="A2012" s="1" t="s">
        <v>2867</v>
      </c>
      <c r="B2012" s="1" t="s">
        <v>235</v>
      </c>
      <c r="C2012" s="1" t="s">
        <v>88</v>
      </c>
      <c r="D2012" s="1" t="s">
        <v>53</v>
      </c>
      <c r="E2012" s="1" t="s">
        <v>216</v>
      </c>
      <c r="F2012" s="1" t="s">
        <v>96</v>
      </c>
      <c r="G2012" s="1" t="s">
        <v>97</v>
      </c>
      <c r="H2012" s="1" t="s">
        <v>69</v>
      </c>
      <c r="I2012" s="1" t="s">
        <v>58</v>
      </c>
      <c r="J2012" s="1" t="s">
        <v>77</v>
      </c>
      <c r="K2012" s="1" t="s">
        <v>48</v>
      </c>
      <c r="L2012" s="1" t="s">
        <v>37</v>
      </c>
      <c r="M2012" s="1" t="s">
        <v>50</v>
      </c>
      <c r="N2012" s="1" t="n">
        <v>7499</v>
      </c>
      <c r="O2012" s="1" t="n">
        <v>30</v>
      </c>
      <c r="P2012" s="1" t="n">
        <v>2249.7</v>
      </c>
      <c r="Q2012" s="1" t="n">
        <v>5249.3</v>
      </c>
      <c r="R2012" s="1" t="n">
        <v>944.87</v>
      </c>
      <c r="S2012" s="1" t="n">
        <v>4304.43</v>
      </c>
      <c r="T2012" s="1" t="n">
        <v>1876.51</v>
      </c>
      <c r="U2012" s="1" t="n">
        <v>2427.92</v>
      </c>
      <c r="V2012" s="1" t="n">
        <v>56.41</v>
      </c>
      <c r="W2012" s="1" t="s">
        <v>40</v>
      </c>
      <c r="Y2012" s="1" t="s">
        <v>40</v>
      </c>
      <c r="Z2012" s="1" t="n">
        <v>0</v>
      </c>
      <c r="AA2012" s="1" t="str">
        <f aca="false">TRIM(PROPER(F2012))</f>
        <v>Pune</v>
      </c>
      <c r="AB2012" s="1" t="str">
        <f aca="false">TRIM(PROPER(C2012))</f>
        <v>Byju'S</v>
      </c>
      <c r="AC2012" s="1" t="str">
        <f aca="false">IF(O2012=0,"No Discount",IF(O2012&lt;=15,"Low (1-15%)",IF(O2012&lt;=30,"Medium (16-30%)","High (&gt;30%)")))</f>
        <v>Medium (16-30%)</v>
      </c>
      <c r="AD2012" s="1" t="str">
        <f aca="false">IF(V2012&lt;0,"Loss Making",IF(V2012&lt;20,"Low Margin","Healthy Margin"))</f>
        <v>Healthy Margin</v>
      </c>
      <c r="AE2012" s="1" t="str">
        <f aca="false">TEXT(DATE(VALUE(RIGHT(B2012,4)),VALUE(MID(B2012,4,2)),VALUE(LEFT(B2012,2))),"MMM-YYYY")</f>
        <v>Sep-2023</v>
      </c>
      <c r="AF2012" s="1" t="n">
        <f aca="false">VALUE(RIGHT(B2012,4))</f>
        <v>2023</v>
      </c>
      <c r="AG2012" s="1" t="str">
        <f aca="false">CHOOSE(ROUNDUP(VALUE(MID(B2012,4,2))/3,0),"Q1","Q2","Q3","Q4")</f>
        <v>Q3</v>
      </c>
    </row>
    <row r="2013" customFormat="false" ht="15" hidden="false" customHeight="true" outlineLevel="0" collapsed="false">
      <c r="A2013" s="1" t="s">
        <v>2868</v>
      </c>
      <c r="B2013" s="1" t="s">
        <v>2869</v>
      </c>
      <c r="C2013" s="1" t="s">
        <v>100</v>
      </c>
      <c r="D2013" s="1" t="s">
        <v>44</v>
      </c>
      <c r="E2013" s="1" t="s">
        <v>66</v>
      </c>
      <c r="F2013" s="1" t="s">
        <v>55</v>
      </c>
      <c r="G2013" s="1" t="s">
        <v>56</v>
      </c>
      <c r="H2013" s="1" t="s">
        <v>57</v>
      </c>
      <c r="I2013" s="1" t="s">
        <v>83</v>
      </c>
      <c r="J2013" s="1" t="s">
        <v>131</v>
      </c>
      <c r="K2013" s="1" t="s">
        <v>48</v>
      </c>
      <c r="L2013" s="1" t="s">
        <v>85</v>
      </c>
      <c r="M2013" s="1" t="s">
        <v>62</v>
      </c>
      <c r="N2013" s="1" t="n">
        <v>12999</v>
      </c>
      <c r="O2013" s="1" t="n">
        <v>15</v>
      </c>
      <c r="P2013" s="1" t="n">
        <v>1949.85</v>
      </c>
      <c r="Q2013" s="1" t="n">
        <v>11049.15</v>
      </c>
      <c r="R2013" s="1" t="n">
        <v>1988.85</v>
      </c>
      <c r="S2013" s="1" t="n">
        <v>9060.3</v>
      </c>
      <c r="T2013" s="1" t="n">
        <v>4695.08</v>
      </c>
      <c r="U2013" s="1" t="n">
        <v>4365.22</v>
      </c>
      <c r="V2013" s="1" t="n">
        <v>48.18</v>
      </c>
      <c r="W2013" s="1" t="s">
        <v>39</v>
      </c>
      <c r="X2013" s="1" t="n">
        <v>3.6</v>
      </c>
      <c r="Y2013" s="1" t="s">
        <v>40</v>
      </c>
      <c r="Z2013" s="1" t="n">
        <v>0</v>
      </c>
      <c r="AA2013" s="1" t="str">
        <f aca="false">TRIM(PROPER(F2013))</f>
        <v>Ghaziabad</v>
      </c>
      <c r="AB2013" s="1" t="str">
        <f aca="false">TRIM(PROPER(C2013))</f>
        <v>Physics Wallah</v>
      </c>
      <c r="AC2013" s="1" t="str">
        <f aca="false">IF(O2013=0,"No Discount",IF(O2013&lt;=15,"Low (1-15%)",IF(O2013&lt;=30,"Medium (16-30%)","High (&gt;30%)")))</f>
        <v>Low (1-15%)</v>
      </c>
      <c r="AD2013" s="1" t="str">
        <f aca="false">IF(V2013&lt;0,"Loss Making",IF(V2013&lt;20,"Low Margin","Healthy Margin"))</f>
        <v>Healthy Margin</v>
      </c>
      <c r="AE2013" s="1" t="str">
        <f aca="false">TEXT(DATE(VALUE(RIGHT(B2013,4)),VALUE(MID(B2013,4,2)),VALUE(LEFT(B2013,2))),"MMM-YYYY")</f>
        <v>Jan-2024</v>
      </c>
      <c r="AF2013" s="1" t="n">
        <f aca="false">VALUE(RIGHT(B2013,4))</f>
        <v>2024</v>
      </c>
      <c r="AG2013" s="1" t="str">
        <f aca="false">CHOOSE(ROUNDUP(VALUE(MID(B2013,4,2))/3,0),"Q1","Q2","Q3","Q4")</f>
        <v>Q1</v>
      </c>
    </row>
    <row r="2014" customFormat="false" ht="15" hidden="false" customHeight="true" outlineLevel="0" collapsed="false">
      <c r="A2014" s="1" t="s">
        <v>2870</v>
      </c>
      <c r="B2014" s="1" t="s">
        <v>1170</v>
      </c>
      <c r="C2014" s="1" t="s">
        <v>100</v>
      </c>
      <c r="D2014" s="1" t="s">
        <v>44</v>
      </c>
      <c r="E2014" s="1" t="s">
        <v>45</v>
      </c>
      <c r="F2014" s="1" t="s">
        <v>244</v>
      </c>
      <c r="G2014" s="1" t="s">
        <v>97</v>
      </c>
      <c r="H2014" s="1" t="s">
        <v>57</v>
      </c>
      <c r="I2014" s="1" t="s">
        <v>34</v>
      </c>
      <c r="J2014" s="1" t="s">
        <v>70</v>
      </c>
      <c r="K2014" s="1" t="s">
        <v>60</v>
      </c>
      <c r="L2014" s="1" t="s">
        <v>136</v>
      </c>
      <c r="M2014" s="1" t="s">
        <v>38</v>
      </c>
      <c r="N2014" s="1" t="n">
        <v>11999</v>
      </c>
      <c r="O2014" s="1" t="n">
        <v>10</v>
      </c>
      <c r="P2014" s="1" t="n">
        <v>1199.9</v>
      </c>
      <c r="Q2014" s="1" t="n">
        <v>10799.1</v>
      </c>
      <c r="R2014" s="1" t="n">
        <v>1943.84</v>
      </c>
      <c r="S2014" s="1" t="n">
        <v>8855.26</v>
      </c>
      <c r="T2014" s="1" t="n">
        <v>3629.85</v>
      </c>
      <c r="U2014" s="1" t="n">
        <v>5225.41</v>
      </c>
      <c r="V2014" s="1" t="n">
        <v>59.01</v>
      </c>
      <c r="W2014" s="1" t="s">
        <v>40</v>
      </c>
      <c r="Y2014" s="1" t="s">
        <v>40</v>
      </c>
      <c r="Z2014" s="1" t="n">
        <v>1</v>
      </c>
      <c r="AA2014" s="1" t="str">
        <f aca="false">TRIM(PROPER(F2014))</f>
        <v>Nagpur</v>
      </c>
      <c r="AB2014" s="1" t="str">
        <f aca="false">TRIM(PROPER(C2014))</f>
        <v>Physics Wallah</v>
      </c>
      <c r="AC2014" s="1" t="str">
        <f aca="false">IF(O2014=0,"No Discount",IF(O2014&lt;=15,"Low (1-15%)",IF(O2014&lt;=30,"Medium (16-30%)","High (&gt;30%)")))</f>
        <v>Low (1-15%)</v>
      </c>
      <c r="AD2014" s="1" t="str">
        <f aca="false">IF(V2014&lt;0,"Loss Making",IF(V2014&lt;20,"Low Margin","Healthy Margin"))</f>
        <v>Healthy Margin</v>
      </c>
      <c r="AE2014" s="1" t="str">
        <f aca="false">TEXT(DATE(VALUE(RIGHT(B2014,4)),VALUE(MID(B2014,4,2)),VALUE(LEFT(B2014,2))),"MMM-YYYY")</f>
        <v>Apr-2024</v>
      </c>
      <c r="AF2014" s="1" t="n">
        <f aca="false">VALUE(RIGHT(B2014,4))</f>
        <v>2024</v>
      </c>
      <c r="AG2014" s="1" t="str">
        <f aca="false">CHOOSE(ROUNDUP(VALUE(MID(B2014,4,2))/3,0),"Q1","Q2","Q3","Q4")</f>
        <v>Q2</v>
      </c>
    </row>
    <row r="2015" customFormat="false" ht="15" hidden="false" customHeight="true" outlineLevel="0" collapsed="false">
      <c r="A2015" s="1" t="s">
        <v>2871</v>
      </c>
      <c r="B2015" s="1" t="s">
        <v>1154</v>
      </c>
      <c r="C2015" s="1" t="s">
        <v>128</v>
      </c>
      <c r="D2015" s="1" t="s">
        <v>53</v>
      </c>
      <c r="E2015" s="1" t="s">
        <v>216</v>
      </c>
      <c r="F2015" s="1" t="s">
        <v>55</v>
      </c>
      <c r="G2015" s="1" t="s">
        <v>56</v>
      </c>
      <c r="H2015" s="1" t="s">
        <v>57</v>
      </c>
      <c r="I2015" s="1" t="s">
        <v>83</v>
      </c>
      <c r="J2015" s="1" t="s">
        <v>77</v>
      </c>
      <c r="K2015" s="1" t="s">
        <v>90</v>
      </c>
      <c r="L2015" s="1" t="s">
        <v>113</v>
      </c>
      <c r="M2015" s="1" t="s">
        <v>38</v>
      </c>
      <c r="N2015" s="1" t="n">
        <v>7499</v>
      </c>
      <c r="O2015" s="1" t="n">
        <v>10</v>
      </c>
      <c r="P2015" s="1" t="n">
        <v>749.9</v>
      </c>
      <c r="Q2015" s="1" t="n">
        <v>6749.1</v>
      </c>
      <c r="R2015" s="1" t="n">
        <v>1214.84</v>
      </c>
      <c r="S2015" s="1" t="n">
        <v>5534.26</v>
      </c>
      <c r="T2015" s="1" t="n">
        <v>2503.4</v>
      </c>
      <c r="U2015" s="1" t="n">
        <v>3030.86</v>
      </c>
      <c r="V2015" s="1" t="n">
        <v>54.77</v>
      </c>
      <c r="W2015" s="1" t="s">
        <v>39</v>
      </c>
      <c r="X2015" s="1" t="n">
        <v>4.1</v>
      </c>
      <c r="Y2015" s="1" t="s">
        <v>40</v>
      </c>
      <c r="Z2015" s="1" t="n">
        <v>0</v>
      </c>
      <c r="AA2015" s="1" t="str">
        <f aca="false">TRIM(PROPER(F2015))</f>
        <v>Ghaziabad</v>
      </c>
      <c r="AB2015" s="1" t="str">
        <f aca="false">TRIM(PROPER(C2015))</f>
        <v>Great Learning</v>
      </c>
      <c r="AC2015" s="1" t="str">
        <f aca="false">IF(O2015=0,"No Discount",IF(O2015&lt;=15,"Low (1-15%)",IF(O2015&lt;=30,"Medium (16-30%)","High (&gt;30%)")))</f>
        <v>Low (1-15%)</v>
      </c>
      <c r="AD2015" s="1" t="str">
        <f aca="false">IF(V2015&lt;0,"Loss Making",IF(V2015&lt;20,"Low Margin","Healthy Margin"))</f>
        <v>Healthy Margin</v>
      </c>
      <c r="AE2015" s="1" t="str">
        <f aca="false">TEXT(DATE(VALUE(RIGHT(B2015,4)),VALUE(MID(B2015,4,2)),VALUE(LEFT(B2015,2))),"MMM-YYYY")</f>
        <v>Dec-2024</v>
      </c>
      <c r="AF2015" s="1" t="n">
        <f aca="false">VALUE(RIGHT(B2015,4))</f>
        <v>2024</v>
      </c>
      <c r="AG2015" s="1" t="str">
        <f aca="false">CHOOSE(ROUNDUP(VALUE(MID(B2015,4,2))/3,0),"Q1","Q2","Q3","Q4")</f>
        <v>Q4</v>
      </c>
    </row>
    <row r="2016" customFormat="false" ht="15" hidden="false" customHeight="true" outlineLevel="0" collapsed="false">
      <c r="A2016" s="1" t="s">
        <v>2872</v>
      </c>
      <c r="B2016" s="1" t="s">
        <v>845</v>
      </c>
      <c r="C2016" s="1" t="s">
        <v>264</v>
      </c>
      <c r="D2016" s="1" t="s">
        <v>53</v>
      </c>
      <c r="E2016" s="1" t="s">
        <v>54</v>
      </c>
      <c r="F2016" s="1" t="s">
        <v>120</v>
      </c>
      <c r="G2016" s="1" t="s">
        <v>47</v>
      </c>
      <c r="H2016" s="1" t="s">
        <v>57</v>
      </c>
      <c r="I2016" s="1" t="s">
        <v>34</v>
      </c>
      <c r="J2016" s="1" t="s">
        <v>131</v>
      </c>
      <c r="K2016" s="1" t="s">
        <v>112</v>
      </c>
      <c r="L2016" s="1" t="s">
        <v>136</v>
      </c>
      <c r="M2016" s="1" t="s">
        <v>50</v>
      </c>
      <c r="N2016" s="1" t="n">
        <v>11999</v>
      </c>
      <c r="O2016" s="1" t="n">
        <v>0</v>
      </c>
      <c r="P2016" s="1" t="n">
        <v>0</v>
      </c>
      <c r="Q2016" s="1" t="n">
        <v>11999</v>
      </c>
      <c r="R2016" s="1" t="n">
        <v>2159.82</v>
      </c>
      <c r="S2016" s="1" t="n">
        <v>9839.18</v>
      </c>
      <c r="T2016" s="1" t="n">
        <v>4919.3</v>
      </c>
      <c r="U2016" s="1" t="n">
        <v>4919.88</v>
      </c>
      <c r="V2016" s="1" t="n">
        <v>50</v>
      </c>
      <c r="W2016" s="1" t="s">
        <v>39</v>
      </c>
      <c r="X2016" s="1" t="n">
        <v>4.3</v>
      </c>
      <c r="Y2016" s="1" t="s">
        <v>40</v>
      </c>
      <c r="Z2016" s="1" t="n">
        <v>2</v>
      </c>
      <c r="AA2016" s="1" t="str">
        <f aca="false">TRIM(PROPER(F2016))</f>
        <v>Mysuru</v>
      </c>
      <c r="AB2016" s="1" t="str">
        <f aca="false">TRIM(PROPER(C2016))</f>
        <v>Unacademy</v>
      </c>
      <c r="AC2016" s="1" t="str">
        <f aca="false">IF(O2016=0,"No Discount",IF(O2016&lt;=15,"Low (1-15%)",IF(O2016&lt;=30,"Medium (16-30%)","High (&gt;30%)")))</f>
        <v>No Discount</v>
      </c>
      <c r="AD2016" s="1" t="str">
        <f aca="false">IF(V2016&lt;0,"Loss Making",IF(V2016&lt;20,"Low Margin","Healthy Margin"))</f>
        <v>Healthy Margin</v>
      </c>
      <c r="AE2016" s="1" t="str">
        <f aca="false">TEXT(DATE(VALUE(RIGHT(B2016,4)),VALUE(MID(B2016,4,2)),VALUE(LEFT(B2016,2))),"MMM-YYYY")</f>
        <v>Mar-2024</v>
      </c>
      <c r="AF2016" s="1" t="n">
        <f aca="false">VALUE(RIGHT(B2016,4))</f>
        <v>2024</v>
      </c>
      <c r="AG2016" s="1" t="str">
        <f aca="false">CHOOSE(ROUNDUP(VALUE(MID(B2016,4,2))/3,0),"Q1","Q2","Q3","Q4")</f>
        <v>Q1</v>
      </c>
    </row>
    <row r="2017" customFormat="false" ht="15" hidden="false" customHeight="true" outlineLevel="0" collapsed="false">
      <c r="A2017" s="1" t="s">
        <v>2873</v>
      </c>
      <c r="B2017" s="1" t="s">
        <v>304</v>
      </c>
      <c r="C2017" s="1" t="s">
        <v>249</v>
      </c>
      <c r="D2017" s="1" t="s">
        <v>29</v>
      </c>
      <c r="E2017" s="1" t="s">
        <v>129</v>
      </c>
      <c r="F2017" s="1" t="s">
        <v>194</v>
      </c>
      <c r="G2017" s="1" t="s">
        <v>103</v>
      </c>
      <c r="H2017" s="1" t="s">
        <v>69</v>
      </c>
      <c r="I2017" s="1" t="s">
        <v>83</v>
      </c>
      <c r="J2017" s="1" t="s">
        <v>70</v>
      </c>
      <c r="K2017" s="1" t="s">
        <v>104</v>
      </c>
      <c r="L2017" s="1" t="s">
        <v>113</v>
      </c>
      <c r="M2017" s="1" t="s">
        <v>62</v>
      </c>
      <c r="N2017" s="1" t="n">
        <v>29999</v>
      </c>
      <c r="O2017" s="1" t="n">
        <v>30</v>
      </c>
      <c r="P2017" s="1" t="n">
        <v>8999.7</v>
      </c>
      <c r="Q2017" s="1" t="n">
        <v>20999.3</v>
      </c>
      <c r="R2017" s="1" t="n">
        <v>3779.87</v>
      </c>
      <c r="S2017" s="1" t="n">
        <v>17219.43</v>
      </c>
      <c r="T2017" s="1" t="n">
        <v>6511.31</v>
      </c>
      <c r="U2017" s="1" t="n">
        <v>10708.12</v>
      </c>
      <c r="V2017" s="1" t="n">
        <v>62.19</v>
      </c>
      <c r="W2017" s="1" t="s">
        <v>40</v>
      </c>
      <c r="Y2017" s="1" t="s">
        <v>40</v>
      </c>
      <c r="Z2017" s="1" t="n">
        <v>0</v>
      </c>
      <c r="AA2017" s="1" t="str">
        <f aca="false">TRIM(PROPER(F2017))</f>
        <v>Hyderabad</v>
      </c>
      <c r="AB2017" s="1" t="str">
        <f aca="false">TRIM(PROPER(C2017))</f>
        <v>Whitehat Jr</v>
      </c>
      <c r="AC2017" s="1" t="str">
        <f aca="false">IF(O2017=0,"No Discount",IF(O2017&lt;=15,"Low (1-15%)",IF(O2017&lt;=30,"Medium (16-30%)","High (&gt;30%)")))</f>
        <v>Medium (16-30%)</v>
      </c>
      <c r="AD2017" s="1" t="str">
        <f aca="false">IF(V2017&lt;0,"Loss Making",IF(V2017&lt;20,"Low Margin","Healthy Margin"))</f>
        <v>Healthy Margin</v>
      </c>
      <c r="AE2017" s="1" t="str">
        <f aca="false">TEXT(DATE(VALUE(RIGHT(B2017,4)),VALUE(MID(B2017,4,2)),VALUE(LEFT(B2017,2))),"MMM-YYYY")</f>
        <v>Oct-2023</v>
      </c>
      <c r="AF2017" s="1" t="n">
        <f aca="false">VALUE(RIGHT(B2017,4))</f>
        <v>2023</v>
      </c>
      <c r="AG2017" s="1" t="str">
        <f aca="false">CHOOSE(ROUNDUP(VALUE(MID(B2017,4,2))/3,0),"Q1","Q2","Q3","Q4")</f>
        <v>Q4</v>
      </c>
    </row>
    <row r="2018" customFormat="false" ht="15" hidden="false" customHeight="true" outlineLevel="0" collapsed="false">
      <c r="A2018" s="1" t="s">
        <v>2874</v>
      </c>
      <c r="B2018" s="1" t="s">
        <v>1420</v>
      </c>
      <c r="C2018" s="1" t="s">
        <v>128</v>
      </c>
      <c r="D2018" s="1" t="s">
        <v>53</v>
      </c>
      <c r="E2018" s="1" t="s">
        <v>116</v>
      </c>
      <c r="F2018" s="1" t="s">
        <v>244</v>
      </c>
      <c r="G2018" s="1" t="s">
        <v>97</v>
      </c>
      <c r="H2018" s="1" t="s">
        <v>57</v>
      </c>
      <c r="I2018" s="1" t="s">
        <v>83</v>
      </c>
      <c r="J2018" s="1" t="s">
        <v>59</v>
      </c>
      <c r="K2018" s="1" t="s">
        <v>60</v>
      </c>
      <c r="L2018" s="1" t="s">
        <v>49</v>
      </c>
      <c r="M2018" s="1" t="s">
        <v>62</v>
      </c>
      <c r="N2018" s="1" t="n">
        <v>9999</v>
      </c>
      <c r="O2018" s="1" t="n">
        <v>10</v>
      </c>
      <c r="P2018" s="1" t="n">
        <v>999.9</v>
      </c>
      <c r="Q2018" s="1" t="n">
        <v>8999.1</v>
      </c>
      <c r="R2018" s="1" t="n">
        <v>1619.84</v>
      </c>
      <c r="S2018" s="1" t="n">
        <v>7379.26</v>
      </c>
      <c r="T2018" s="1" t="n">
        <v>3446.89</v>
      </c>
      <c r="U2018" s="1" t="n">
        <v>3932.37</v>
      </c>
      <c r="V2018" s="1" t="n">
        <v>53.29</v>
      </c>
      <c r="W2018" s="1" t="s">
        <v>39</v>
      </c>
      <c r="Y2018" s="1" t="s">
        <v>40</v>
      </c>
      <c r="Z2018" s="1" t="n">
        <v>0</v>
      </c>
      <c r="AA2018" s="1" t="str">
        <f aca="false">TRIM(PROPER(F2018))</f>
        <v>Nagpur</v>
      </c>
      <c r="AB2018" s="1" t="str">
        <f aca="false">TRIM(PROPER(C2018))</f>
        <v>Great Learning</v>
      </c>
      <c r="AC2018" s="1" t="str">
        <f aca="false">IF(O2018=0,"No Discount",IF(O2018&lt;=15,"Low (1-15%)",IF(O2018&lt;=30,"Medium (16-30%)","High (&gt;30%)")))</f>
        <v>Low (1-15%)</v>
      </c>
      <c r="AD2018" s="1" t="str">
        <f aca="false">IF(V2018&lt;0,"Loss Making",IF(V2018&lt;20,"Low Margin","Healthy Margin"))</f>
        <v>Healthy Margin</v>
      </c>
      <c r="AE2018" s="1" t="str">
        <f aca="false">TEXT(DATE(VALUE(RIGHT(B2018,4)),VALUE(MID(B2018,4,2)),VALUE(LEFT(B2018,2))),"MMM-YYYY")</f>
        <v>Nov-2023</v>
      </c>
      <c r="AF2018" s="1" t="n">
        <f aca="false">VALUE(RIGHT(B2018,4))</f>
        <v>2023</v>
      </c>
      <c r="AG2018" s="1" t="str">
        <f aca="false">CHOOSE(ROUNDUP(VALUE(MID(B2018,4,2))/3,0),"Q1","Q2","Q3","Q4")</f>
        <v>Q4</v>
      </c>
    </row>
    <row r="2019" customFormat="false" ht="15" hidden="false" customHeight="true" outlineLevel="0" collapsed="false">
      <c r="A2019" s="1" t="s">
        <v>2405</v>
      </c>
      <c r="B2019" s="1" t="s">
        <v>364</v>
      </c>
      <c r="C2019" s="1" t="s">
        <v>74</v>
      </c>
      <c r="D2019" s="1" t="s">
        <v>29</v>
      </c>
      <c r="E2019" s="1" t="s">
        <v>305</v>
      </c>
      <c r="F2019" s="1" t="s">
        <v>184</v>
      </c>
      <c r="G2019" s="1" t="s">
        <v>56</v>
      </c>
      <c r="H2019" s="1" t="s">
        <v>57</v>
      </c>
      <c r="I2019" s="1" t="s">
        <v>83</v>
      </c>
      <c r="J2019" s="1" t="s">
        <v>131</v>
      </c>
      <c r="K2019" s="1" t="s">
        <v>90</v>
      </c>
      <c r="L2019" s="1" t="s">
        <v>85</v>
      </c>
      <c r="M2019" s="1" t="s">
        <v>62</v>
      </c>
      <c r="N2019" s="1" t="n">
        <v>24999</v>
      </c>
      <c r="O2019" s="1" t="n">
        <v>0</v>
      </c>
      <c r="P2019" s="1" t="n">
        <v>0</v>
      </c>
      <c r="Q2019" s="1" t="n">
        <v>24999</v>
      </c>
      <c r="R2019" s="1" t="n">
        <v>4499.82</v>
      </c>
      <c r="S2019" s="1" t="n">
        <v>20499.18</v>
      </c>
      <c r="T2019" s="1" t="n">
        <v>8361.87</v>
      </c>
      <c r="U2019" s="1" t="n">
        <v>12137.31</v>
      </c>
      <c r="V2019" s="1" t="n">
        <v>59.21</v>
      </c>
      <c r="W2019" s="1" t="s">
        <v>39</v>
      </c>
      <c r="X2019" s="1" t="n">
        <v>3.7</v>
      </c>
      <c r="Y2019" s="1" t="s">
        <v>40</v>
      </c>
      <c r="Z2019" s="1" t="n">
        <v>0</v>
      </c>
      <c r="AA2019" s="1" t="str">
        <f aca="false">TRIM(PROPER(F2019))</f>
        <v>Faridabad</v>
      </c>
      <c r="AB2019" s="1" t="str">
        <f aca="false">TRIM(PROPER(C2019))</f>
        <v>Vedantu</v>
      </c>
      <c r="AC2019" s="1" t="str">
        <f aca="false">IF(O2019=0,"No Discount",IF(O2019&lt;=15,"Low (1-15%)",IF(O2019&lt;=30,"Medium (16-30%)","High (&gt;30%)")))</f>
        <v>No Discount</v>
      </c>
      <c r="AD2019" s="1" t="str">
        <f aca="false">IF(V2019&lt;0,"Loss Making",IF(V2019&lt;20,"Low Margin","Healthy Margin"))</f>
        <v>Healthy Margin</v>
      </c>
      <c r="AE2019" s="1" t="str">
        <f aca="false">TEXT(DATE(VALUE(RIGHT(B2019,4)),VALUE(MID(B2019,4,2)),VALUE(LEFT(B2019,2))),"MMM-YYYY")</f>
        <v>Apr-2023</v>
      </c>
      <c r="AF2019" s="1" t="n">
        <f aca="false">VALUE(RIGHT(B2019,4))</f>
        <v>2023</v>
      </c>
      <c r="AG2019" s="1" t="str">
        <f aca="false">CHOOSE(ROUNDUP(VALUE(MID(B2019,4,2))/3,0),"Q1","Q2","Q3","Q4")</f>
        <v>Q2</v>
      </c>
    </row>
    <row r="2020" customFormat="false" ht="15" hidden="false" customHeight="true" outlineLevel="0" collapsed="false">
      <c r="A2020" s="1" t="s">
        <v>2875</v>
      </c>
      <c r="B2020" s="1" t="s">
        <v>520</v>
      </c>
      <c r="C2020" s="1" t="s">
        <v>100</v>
      </c>
      <c r="D2020" s="1" t="s">
        <v>44</v>
      </c>
      <c r="E2020" s="1" t="s">
        <v>221</v>
      </c>
      <c r="F2020" s="1" t="s">
        <v>102</v>
      </c>
      <c r="G2020" s="1" t="s">
        <v>103</v>
      </c>
      <c r="H2020" s="1" t="s">
        <v>33</v>
      </c>
      <c r="I2020" s="1" t="s">
        <v>34</v>
      </c>
      <c r="J2020" s="1" t="s">
        <v>59</v>
      </c>
      <c r="K2020" s="1" t="s">
        <v>104</v>
      </c>
      <c r="L2020" s="1" t="s">
        <v>136</v>
      </c>
      <c r="M2020" s="1" t="s">
        <v>62</v>
      </c>
      <c r="N2020" s="1" t="n">
        <v>16999</v>
      </c>
      <c r="O2020" s="1" t="n">
        <v>40</v>
      </c>
      <c r="P2020" s="1" t="n">
        <v>6799.6</v>
      </c>
      <c r="Q2020" s="1" t="n">
        <v>10199.4</v>
      </c>
      <c r="R2020" s="1" t="n">
        <v>1835.89</v>
      </c>
      <c r="S2020" s="1" t="n">
        <v>8363.51</v>
      </c>
      <c r="T2020" s="1" t="n">
        <v>5269.95</v>
      </c>
      <c r="U2020" s="1" t="n">
        <v>3093.56</v>
      </c>
      <c r="V2020" s="1" t="n">
        <v>36.99</v>
      </c>
      <c r="W2020" s="1" t="s">
        <v>39</v>
      </c>
      <c r="Y2020" s="1" t="s">
        <v>40</v>
      </c>
      <c r="Z2020" s="1" t="n">
        <v>0</v>
      </c>
      <c r="AA2020" s="1" t="str">
        <f aca="false">TRIM(PROPER(F2020))</f>
        <v>Warangal</v>
      </c>
      <c r="AB2020" s="1" t="str">
        <f aca="false">TRIM(PROPER(C2020))</f>
        <v>Physics Wallah</v>
      </c>
      <c r="AC2020" s="1" t="str">
        <f aca="false">IF(O2020=0,"No Discount",IF(O2020&lt;=15,"Low (1-15%)",IF(O2020&lt;=30,"Medium (16-30%)","High (&gt;30%)")))</f>
        <v>High (&gt;30%)</v>
      </c>
      <c r="AD2020" s="1" t="str">
        <f aca="false">IF(V2020&lt;0,"Loss Making",IF(V2020&lt;20,"Low Margin","Healthy Margin"))</f>
        <v>Healthy Margin</v>
      </c>
      <c r="AE2020" s="1" t="str">
        <f aca="false">TEXT(DATE(VALUE(RIGHT(B2020,4)),VALUE(MID(B2020,4,2)),VALUE(LEFT(B2020,2))),"MMM-YYYY")</f>
        <v>Jul-2024</v>
      </c>
      <c r="AF2020" s="1" t="n">
        <f aca="false">VALUE(RIGHT(B2020,4))</f>
        <v>2024</v>
      </c>
      <c r="AG2020" s="1" t="str">
        <f aca="false">CHOOSE(ROUNDUP(VALUE(MID(B2020,4,2))/3,0),"Q1","Q2","Q3","Q4")</f>
        <v>Q3</v>
      </c>
    </row>
    <row r="2021" customFormat="false" ht="15" hidden="false" customHeight="true" outlineLevel="0" collapsed="false">
      <c r="A2021" s="1" t="s">
        <v>2876</v>
      </c>
      <c r="B2021" s="1" t="s">
        <v>2572</v>
      </c>
      <c r="C2021" s="1" t="s">
        <v>128</v>
      </c>
      <c r="D2021" s="1" t="s">
        <v>80</v>
      </c>
      <c r="E2021" s="1" t="s">
        <v>81</v>
      </c>
      <c r="F2021" s="1" t="s">
        <v>96</v>
      </c>
      <c r="G2021" s="1" t="s">
        <v>97</v>
      </c>
      <c r="H2021" s="1" t="s">
        <v>69</v>
      </c>
      <c r="I2021" s="1" t="s">
        <v>34</v>
      </c>
      <c r="J2021" s="1" t="s">
        <v>59</v>
      </c>
      <c r="K2021" s="1" t="s">
        <v>60</v>
      </c>
      <c r="L2021" s="1" t="s">
        <v>85</v>
      </c>
      <c r="M2021" s="1" t="s">
        <v>38</v>
      </c>
      <c r="N2021" s="1" t="n">
        <v>12999</v>
      </c>
      <c r="O2021" s="1" t="n">
        <v>50</v>
      </c>
      <c r="P2021" s="1" t="n">
        <v>6499.5</v>
      </c>
      <c r="Q2021" s="1" t="n">
        <v>6499.5</v>
      </c>
      <c r="R2021" s="1" t="n">
        <v>1169.91</v>
      </c>
      <c r="S2021" s="1" t="n">
        <v>5329.59</v>
      </c>
      <c r="T2021" s="1" t="n">
        <v>2940.06</v>
      </c>
      <c r="U2021" s="1" t="n">
        <v>2389.53</v>
      </c>
      <c r="V2021" s="1" t="n">
        <v>44.84</v>
      </c>
      <c r="W2021" s="1" t="s">
        <v>39</v>
      </c>
      <c r="X2021" s="1" t="n">
        <v>3.8</v>
      </c>
      <c r="Y2021" s="1" t="s">
        <v>40</v>
      </c>
      <c r="Z2021" s="1" t="n">
        <v>1</v>
      </c>
      <c r="AA2021" s="1" t="str">
        <f aca="false">TRIM(PROPER(F2021))</f>
        <v>Pune</v>
      </c>
      <c r="AB2021" s="1" t="str">
        <f aca="false">TRIM(PROPER(C2021))</f>
        <v>Great Learning</v>
      </c>
      <c r="AC2021" s="1" t="str">
        <f aca="false">IF(O2021=0,"No Discount",IF(O2021&lt;=15,"Low (1-15%)",IF(O2021&lt;=30,"Medium (16-30%)","High (&gt;30%)")))</f>
        <v>High (&gt;30%)</v>
      </c>
      <c r="AD2021" s="1" t="str">
        <f aca="false">IF(V2021&lt;0,"Loss Making",IF(V2021&lt;20,"Low Margin","Healthy Margin"))</f>
        <v>Healthy Margin</v>
      </c>
      <c r="AE2021" s="1" t="str">
        <f aca="false">TEXT(DATE(VALUE(RIGHT(B2021,4)),VALUE(MID(B2021,4,2)),VALUE(LEFT(B2021,2))),"MMM-YYYY")</f>
        <v>Nov-2024</v>
      </c>
      <c r="AF2021" s="1" t="n">
        <f aca="false">VALUE(RIGHT(B2021,4))</f>
        <v>2024</v>
      </c>
      <c r="AG2021" s="1" t="str">
        <f aca="false">CHOOSE(ROUNDUP(VALUE(MID(B2021,4,2))/3,0),"Q1","Q2","Q3","Q4")</f>
        <v>Q4</v>
      </c>
    </row>
    <row r="2022" customFormat="false" ht="15" hidden="false" customHeight="true" outlineLevel="0" collapsed="false">
      <c r="A2022" s="1" t="s">
        <v>2877</v>
      </c>
      <c r="B2022" s="1" t="s">
        <v>587</v>
      </c>
      <c r="C2022" s="1" t="s">
        <v>88</v>
      </c>
      <c r="D2022" s="1" t="s">
        <v>94</v>
      </c>
      <c r="E2022" s="1" t="s">
        <v>101</v>
      </c>
      <c r="F2022" s="1" t="s">
        <v>82</v>
      </c>
      <c r="G2022" s="1" t="s">
        <v>56</v>
      </c>
      <c r="H2022" s="1" t="s">
        <v>69</v>
      </c>
      <c r="I2022" s="1" t="s">
        <v>34</v>
      </c>
      <c r="J2022" s="1" t="s">
        <v>59</v>
      </c>
      <c r="K2022" s="1" t="s">
        <v>84</v>
      </c>
      <c r="L2022" s="1" t="s">
        <v>37</v>
      </c>
      <c r="M2022" s="1" t="s">
        <v>50</v>
      </c>
      <c r="N2022" s="1" t="n">
        <v>14999</v>
      </c>
      <c r="O2022" s="1" t="n">
        <v>0</v>
      </c>
      <c r="P2022" s="1" t="n">
        <v>0</v>
      </c>
      <c r="Q2022" s="1" t="n">
        <v>14999</v>
      </c>
      <c r="R2022" s="1" t="n">
        <v>2699.82</v>
      </c>
      <c r="S2022" s="1" t="n">
        <v>12299.18</v>
      </c>
      <c r="T2022" s="1" t="n">
        <v>5179.36</v>
      </c>
      <c r="U2022" s="1" t="n">
        <v>7119.82</v>
      </c>
      <c r="V2022" s="1" t="n">
        <v>57.89</v>
      </c>
      <c r="W2022" s="1" t="s">
        <v>39</v>
      </c>
      <c r="X2022" s="1" t="n">
        <v>3.5</v>
      </c>
      <c r="Y2022" s="1" t="s">
        <v>40</v>
      </c>
      <c r="Z2022" s="1" t="n">
        <v>0</v>
      </c>
      <c r="AA2022" s="1" t="str">
        <f aca="false">TRIM(PROPER(F2022))</f>
        <v>Gurugram</v>
      </c>
      <c r="AB2022" s="1" t="str">
        <f aca="false">TRIM(PROPER(C2022))</f>
        <v>Byju'S</v>
      </c>
      <c r="AC2022" s="1" t="str">
        <f aca="false">IF(O2022=0,"No Discount",IF(O2022&lt;=15,"Low (1-15%)",IF(O2022&lt;=30,"Medium (16-30%)","High (&gt;30%)")))</f>
        <v>No Discount</v>
      </c>
      <c r="AD2022" s="1" t="str">
        <f aca="false">IF(V2022&lt;0,"Loss Making",IF(V2022&lt;20,"Low Margin","Healthy Margin"))</f>
        <v>Healthy Margin</v>
      </c>
      <c r="AE2022" s="1" t="str">
        <f aca="false">TEXT(DATE(VALUE(RIGHT(B2022,4)),VALUE(MID(B2022,4,2)),VALUE(LEFT(B2022,2))),"MMM-YYYY")</f>
        <v>Apr-2023</v>
      </c>
      <c r="AF2022" s="1" t="n">
        <f aca="false">VALUE(RIGHT(B2022,4))</f>
        <v>2023</v>
      </c>
      <c r="AG2022" s="1" t="str">
        <f aca="false">CHOOSE(ROUNDUP(VALUE(MID(B2022,4,2))/3,0),"Q1","Q2","Q3","Q4")</f>
        <v>Q2</v>
      </c>
    </row>
    <row r="2023" customFormat="false" ht="15" hidden="false" customHeight="true" outlineLevel="0" collapsed="false">
      <c r="A2023" s="1" t="s">
        <v>2878</v>
      </c>
      <c r="B2023" s="1" t="s">
        <v>2879</v>
      </c>
      <c r="C2023" s="1" t="s">
        <v>264</v>
      </c>
      <c r="D2023" s="1" t="s">
        <v>29</v>
      </c>
      <c r="E2023" s="1" t="s">
        <v>305</v>
      </c>
      <c r="F2023" s="1" t="s">
        <v>269</v>
      </c>
      <c r="G2023" s="1" t="s">
        <v>108</v>
      </c>
      <c r="H2023" s="1" t="s">
        <v>57</v>
      </c>
      <c r="I2023" s="1" t="s">
        <v>34</v>
      </c>
      <c r="J2023" s="1" t="s">
        <v>59</v>
      </c>
      <c r="K2023" s="1" t="s">
        <v>112</v>
      </c>
      <c r="L2023" s="1" t="s">
        <v>113</v>
      </c>
      <c r="M2023" s="1" t="s">
        <v>38</v>
      </c>
      <c r="N2023" s="1" t="n">
        <v>24999</v>
      </c>
      <c r="O2023" s="1" t="n">
        <v>25</v>
      </c>
      <c r="P2023" s="1" t="n">
        <v>6249.75</v>
      </c>
      <c r="Q2023" s="1" t="n">
        <v>18749.25</v>
      </c>
      <c r="R2023" s="1" t="n">
        <v>3374.86</v>
      </c>
      <c r="S2023" s="1" t="n">
        <v>15374.39</v>
      </c>
      <c r="T2023" s="1" t="n">
        <v>6682.44</v>
      </c>
      <c r="U2023" s="1" t="n">
        <v>8691.95</v>
      </c>
      <c r="V2023" s="1" t="n">
        <v>56.54</v>
      </c>
      <c r="W2023" s="1" t="s">
        <v>39</v>
      </c>
      <c r="Y2023" s="1" t="s">
        <v>40</v>
      </c>
      <c r="Z2023" s="1" t="n">
        <v>0</v>
      </c>
      <c r="AA2023" s="1" t="str">
        <f aca="false">TRIM(PROPER(F2023))</f>
        <v>Coimbatore</v>
      </c>
      <c r="AB2023" s="1" t="str">
        <f aca="false">TRIM(PROPER(C2023))</f>
        <v>Unacademy</v>
      </c>
      <c r="AC2023" s="1" t="str">
        <f aca="false">IF(O2023=0,"No Discount",IF(O2023&lt;=15,"Low (1-15%)",IF(O2023&lt;=30,"Medium (16-30%)","High (&gt;30%)")))</f>
        <v>Medium (16-30%)</v>
      </c>
      <c r="AD2023" s="1" t="str">
        <f aca="false">IF(V2023&lt;0,"Loss Making",IF(V2023&lt;20,"Low Margin","Healthy Margin"))</f>
        <v>Healthy Margin</v>
      </c>
      <c r="AE2023" s="1" t="str">
        <f aca="false">TEXT(DATE(VALUE(RIGHT(B2023,4)),VALUE(MID(B2023,4,2)),VALUE(LEFT(B2023,2))),"MMM-YYYY")</f>
        <v>Sep-2024</v>
      </c>
      <c r="AF2023" s="1" t="n">
        <f aca="false">VALUE(RIGHT(B2023,4))</f>
        <v>2024</v>
      </c>
      <c r="AG2023" s="1" t="str">
        <f aca="false">CHOOSE(ROUNDUP(VALUE(MID(B2023,4,2))/3,0),"Q1","Q2","Q3","Q4")</f>
        <v>Q3</v>
      </c>
    </row>
    <row r="2024" customFormat="false" ht="15" hidden="false" customHeight="true" outlineLevel="0" collapsed="false">
      <c r="A2024" s="1" t="s">
        <v>2880</v>
      </c>
      <c r="B2024" s="1" t="s">
        <v>2881</v>
      </c>
      <c r="C2024" s="1" t="s">
        <v>139</v>
      </c>
      <c r="D2024" s="1" t="s">
        <v>44</v>
      </c>
      <c r="E2024" s="1" t="s">
        <v>45</v>
      </c>
      <c r="F2024" s="1" t="s">
        <v>31</v>
      </c>
      <c r="G2024" s="1" t="s">
        <v>32</v>
      </c>
      <c r="H2024" s="1" t="s">
        <v>33</v>
      </c>
      <c r="I2024" s="1" t="s">
        <v>83</v>
      </c>
      <c r="J2024" s="1" t="s">
        <v>77</v>
      </c>
      <c r="K2024" s="1" t="s">
        <v>112</v>
      </c>
      <c r="L2024" s="1" t="s">
        <v>113</v>
      </c>
      <c r="M2024" s="1" t="s">
        <v>50</v>
      </c>
      <c r="N2024" s="1" t="n">
        <v>11999</v>
      </c>
      <c r="O2024" s="1" t="n">
        <v>0</v>
      </c>
      <c r="P2024" s="1" t="n">
        <v>0</v>
      </c>
      <c r="Q2024" s="1" t="n">
        <v>11999</v>
      </c>
      <c r="R2024" s="1" t="n">
        <v>2159.82</v>
      </c>
      <c r="S2024" s="1" t="n">
        <v>9839.18</v>
      </c>
      <c r="T2024" s="1" t="n">
        <v>5233.64</v>
      </c>
      <c r="U2024" s="1" t="n">
        <v>4605.54</v>
      </c>
      <c r="V2024" s="1" t="n">
        <v>46.81</v>
      </c>
      <c r="W2024" s="1" t="s">
        <v>39</v>
      </c>
      <c r="X2024" s="1" t="n">
        <v>2.4</v>
      </c>
      <c r="Y2024" s="1" t="s">
        <v>40</v>
      </c>
      <c r="Z2024" s="1" t="n">
        <v>0</v>
      </c>
      <c r="AA2024" s="1" t="str">
        <f aca="false">TRIM(PROPER(F2024))</f>
        <v>Jodhpur</v>
      </c>
      <c r="AB2024" s="1" t="str">
        <f aca="false">TRIM(PROPER(C2024))</f>
        <v>Extramarks</v>
      </c>
      <c r="AC2024" s="1" t="str">
        <f aca="false">IF(O2024=0,"No Discount",IF(O2024&lt;=15,"Low (1-15%)",IF(O2024&lt;=30,"Medium (16-30%)","High (&gt;30%)")))</f>
        <v>No Discount</v>
      </c>
      <c r="AD2024" s="1" t="str">
        <f aca="false">IF(V2024&lt;0,"Loss Making",IF(V2024&lt;20,"Low Margin","Healthy Margin"))</f>
        <v>Healthy Margin</v>
      </c>
      <c r="AE2024" s="1" t="str">
        <f aca="false">TEXT(DATE(VALUE(RIGHT(B2024,4)),VALUE(MID(B2024,4,2)),VALUE(LEFT(B2024,2))),"MMM-YYYY")</f>
        <v>Sep-2024</v>
      </c>
      <c r="AF2024" s="1" t="n">
        <f aca="false">VALUE(RIGHT(B2024,4))</f>
        <v>2024</v>
      </c>
      <c r="AG2024" s="1" t="str">
        <f aca="false">CHOOSE(ROUNDUP(VALUE(MID(B2024,4,2))/3,0),"Q1","Q2","Q3","Q4")</f>
        <v>Q3</v>
      </c>
    </row>
    <row r="2025" customFormat="false" ht="15" hidden="false" customHeight="true" outlineLevel="0" collapsed="false">
      <c r="A2025" s="1" t="s">
        <v>2882</v>
      </c>
      <c r="B2025" s="1" t="s">
        <v>999</v>
      </c>
      <c r="C2025" s="1" t="s">
        <v>119</v>
      </c>
      <c r="D2025" s="1" t="s">
        <v>168</v>
      </c>
      <c r="E2025" s="1" t="s">
        <v>169</v>
      </c>
      <c r="F2025" s="1" t="s">
        <v>194</v>
      </c>
      <c r="G2025" s="1" t="s">
        <v>103</v>
      </c>
      <c r="H2025" s="1" t="s">
        <v>69</v>
      </c>
      <c r="I2025" s="1" t="s">
        <v>34</v>
      </c>
      <c r="J2025" s="1" t="s">
        <v>70</v>
      </c>
      <c r="K2025" s="1" t="s">
        <v>90</v>
      </c>
      <c r="L2025" s="1" t="s">
        <v>37</v>
      </c>
      <c r="M2025" s="1" t="s">
        <v>50</v>
      </c>
      <c r="N2025" s="1" t="n">
        <v>4999</v>
      </c>
      <c r="O2025" s="1" t="n">
        <v>0</v>
      </c>
      <c r="P2025" s="1" t="n">
        <v>0</v>
      </c>
      <c r="Q2025" s="1" t="n">
        <v>4999</v>
      </c>
      <c r="R2025" s="1" t="n">
        <v>899.82</v>
      </c>
      <c r="S2025" s="1" t="n">
        <v>4099.18</v>
      </c>
      <c r="T2025" s="1" t="n">
        <v>1620.32</v>
      </c>
      <c r="U2025" s="1" t="n">
        <v>2478.86</v>
      </c>
      <c r="V2025" s="1" t="n">
        <v>60.47</v>
      </c>
      <c r="W2025" s="1" t="s">
        <v>39</v>
      </c>
      <c r="X2025" s="1" t="n">
        <v>4.1</v>
      </c>
      <c r="Y2025" s="1" t="s">
        <v>40</v>
      </c>
      <c r="Z2025" s="1" t="n">
        <v>1</v>
      </c>
      <c r="AA2025" s="1" t="str">
        <f aca="false">TRIM(PROPER(F2025))</f>
        <v>Hyderabad</v>
      </c>
      <c r="AB2025" s="1" t="str">
        <f aca="false">TRIM(PROPER(C2025))</f>
        <v>Simplilearn</v>
      </c>
      <c r="AC2025" s="1" t="str">
        <f aca="false">IF(O2025=0,"No Discount",IF(O2025&lt;=15,"Low (1-15%)",IF(O2025&lt;=30,"Medium (16-30%)","High (&gt;30%)")))</f>
        <v>No Discount</v>
      </c>
      <c r="AD2025" s="1" t="str">
        <f aca="false">IF(V2025&lt;0,"Loss Making",IF(V2025&lt;20,"Low Margin","Healthy Margin"))</f>
        <v>Healthy Margin</v>
      </c>
      <c r="AE2025" s="1" t="str">
        <f aca="false">TEXT(DATE(VALUE(RIGHT(B2025,4)),VALUE(MID(B2025,4,2)),VALUE(LEFT(B2025,2))),"MMM-YYYY")</f>
        <v>Mar-2023</v>
      </c>
      <c r="AF2025" s="1" t="n">
        <f aca="false">VALUE(RIGHT(B2025,4))</f>
        <v>2023</v>
      </c>
      <c r="AG2025" s="1" t="str">
        <f aca="false">CHOOSE(ROUNDUP(VALUE(MID(B2025,4,2))/3,0),"Q1","Q2","Q3","Q4")</f>
        <v>Q1</v>
      </c>
    </row>
    <row r="2026" customFormat="false" ht="15" hidden="false" customHeight="true" outlineLevel="0" collapsed="false">
      <c r="A2026" s="1" t="s">
        <v>2883</v>
      </c>
      <c r="B2026" s="1" t="s">
        <v>218</v>
      </c>
      <c r="C2026" s="1" t="s">
        <v>119</v>
      </c>
      <c r="D2026" s="1" t="s">
        <v>123</v>
      </c>
      <c r="E2026" s="1" t="s">
        <v>147</v>
      </c>
      <c r="F2026" s="1" t="s">
        <v>107</v>
      </c>
      <c r="G2026" s="1" t="s">
        <v>108</v>
      </c>
      <c r="H2026" s="1" t="s">
        <v>33</v>
      </c>
      <c r="I2026" s="1" t="s">
        <v>83</v>
      </c>
      <c r="J2026" s="1" t="s">
        <v>70</v>
      </c>
      <c r="K2026" s="1" t="s">
        <v>36</v>
      </c>
      <c r="L2026" s="1" t="s">
        <v>49</v>
      </c>
      <c r="M2026" s="1" t="s">
        <v>62</v>
      </c>
      <c r="N2026" s="1" t="n">
        <v>6999</v>
      </c>
      <c r="O2026" s="1" t="n">
        <v>0</v>
      </c>
      <c r="P2026" s="1" t="n">
        <v>0</v>
      </c>
      <c r="Q2026" s="1" t="n">
        <v>6999</v>
      </c>
      <c r="R2026" s="1" t="n">
        <v>1259.82</v>
      </c>
      <c r="S2026" s="1" t="n">
        <v>5739.18</v>
      </c>
      <c r="T2026" s="1" t="n">
        <v>2813.32</v>
      </c>
      <c r="U2026" s="1" t="n">
        <v>2925.86</v>
      </c>
      <c r="V2026" s="1" t="n">
        <v>50.98</v>
      </c>
      <c r="W2026" s="1" t="s">
        <v>40</v>
      </c>
      <c r="Y2026" s="1" t="s">
        <v>40</v>
      </c>
      <c r="Z2026" s="1" t="n">
        <v>0</v>
      </c>
      <c r="AA2026" s="1" t="str">
        <f aca="false">TRIM(PROPER(F2026))</f>
        <v>Madurai</v>
      </c>
      <c r="AB2026" s="1" t="str">
        <f aca="false">TRIM(PROPER(C2026))</f>
        <v>Simplilearn</v>
      </c>
      <c r="AC2026" s="1" t="str">
        <f aca="false">IF(O2026=0,"No Discount",IF(O2026&lt;=15,"Low (1-15%)",IF(O2026&lt;=30,"Medium (16-30%)","High (&gt;30%)")))</f>
        <v>No Discount</v>
      </c>
      <c r="AD2026" s="1" t="str">
        <f aca="false">IF(V2026&lt;0,"Loss Making",IF(V2026&lt;20,"Low Margin","Healthy Margin"))</f>
        <v>Healthy Margin</v>
      </c>
      <c r="AE2026" s="1" t="str">
        <f aca="false">TEXT(DATE(VALUE(RIGHT(B2026,4)),VALUE(MID(B2026,4,2)),VALUE(LEFT(B2026,2))),"MMM-YYYY")</f>
        <v>May-2023</v>
      </c>
      <c r="AF2026" s="1" t="n">
        <f aca="false">VALUE(RIGHT(B2026,4))</f>
        <v>2023</v>
      </c>
      <c r="AG2026" s="1" t="str">
        <f aca="false">CHOOSE(ROUNDUP(VALUE(MID(B2026,4,2))/3,0),"Q1","Q2","Q3","Q4")</f>
        <v>Q2</v>
      </c>
    </row>
    <row r="2027" customFormat="false" ht="15" hidden="false" customHeight="true" outlineLevel="0" collapsed="false">
      <c r="A2027" s="1" t="s">
        <v>2884</v>
      </c>
      <c r="B2027" s="1" t="s">
        <v>1734</v>
      </c>
      <c r="C2027" s="1" t="s">
        <v>88</v>
      </c>
      <c r="D2027" s="1" t="s">
        <v>44</v>
      </c>
      <c r="E2027" s="1" t="s">
        <v>45</v>
      </c>
      <c r="F2027" s="1" t="s">
        <v>125</v>
      </c>
      <c r="G2027" s="1" t="s">
        <v>108</v>
      </c>
      <c r="H2027" s="1" t="s">
        <v>69</v>
      </c>
      <c r="I2027" s="1" t="s">
        <v>58</v>
      </c>
      <c r="J2027" s="1" t="s">
        <v>131</v>
      </c>
      <c r="K2027" s="1" t="s">
        <v>90</v>
      </c>
      <c r="L2027" s="1" t="s">
        <v>61</v>
      </c>
      <c r="M2027" s="1" t="s">
        <v>50</v>
      </c>
      <c r="N2027" s="1" t="n">
        <v>11999</v>
      </c>
      <c r="O2027" s="1" t="n">
        <v>20</v>
      </c>
      <c r="P2027" s="1" t="n">
        <v>2399.8</v>
      </c>
      <c r="Q2027" s="1" t="n">
        <v>9599.2</v>
      </c>
      <c r="R2027" s="1" t="n">
        <v>1727.86</v>
      </c>
      <c r="S2027" s="1" t="n">
        <v>7871.34</v>
      </c>
      <c r="T2027" s="1" t="n">
        <v>3720.24</v>
      </c>
      <c r="U2027" s="1" t="n">
        <v>4151.1</v>
      </c>
      <c r="V2027" s="1" t="n">
        <v>52.74</v>
      </c>
      <c r="W2027" s="1" t="s">
        <v>39</v>
      </c>
      <c r="X2027" s="1" t="n">
        <v>3.3</v>
      </c>
      <c r="Y2027" s="1" t="s">
        <v>40</v>
      </c>
      <c r="Z2027" s="1" t="n">
        <v>0</v>
      </c>
      <c r="AA2027" s="1" t="str">
        <f aca="false">TRIM(PROPER(F2027))</f>
        <v>Chennai</v>
      </c>
      <c r="AB2027" s="1" t="str">
        <f aca="false">TRIM(PROPER(C2027))</f>
        <v>Byju'S</v>
      </c>
      <c r="AC2027" s="1" t="str">
        <f aca="false">IF(O2027=0,"No Discount",IF(O2027&lt;=15,"Low (1-15%)",IF(O2027&lt;=30,"Medium (16-30%)","High (&gt;30%)")))</f>
        <v>Medium (16-30%)</v>
      </c>
      <c r="AD2027" s="1" t="str">
        <f aca="false">IF(V2027&lt;0,"Loss Making",IF(V2027&lt;20,"Low Margin","Healthy Margin"))</f>
        <v>Healthy Margin</v>
      </c>
      <c r="AE2027" s="1" t="str">
        <f aca="false">TEXT(DATE(VALUE(RIGHT(B2027,4)),VALUE(MID(B2027,4,2)),VALUE(LEFT(B2027,2))),"MMM-YYYY")</f>
        <v>Nov-2023</v>
      </c>
      <c r="AF2027" s="1" t="n">
        <f aca="false">VALUE(RIGHT(B2027,4))</f>
        <v>2023</v>
      </c>
      <c r="AG2027" s="1" t="str">
        <f aca="false">CHOOSE(ROUNDUP(VALUE(MID(B2027,4,2))/3,0),"Q1","Q2","Q3","Q4")</f>
        <v>Q4</v>
      </c>
    </row>
    <row r="2028" customFormat="false" ht="15" hidden="false" customHeight="true" outlineLevel="0" collapsed="false">
      <c r="A2028" s="1" t="s">
        <v>2885</v>
      </c>
      <c r="B2028" s="1" t="s">
        <v>253</v>
      </c>
      <c r="C2028" s="1" t="s">
        <v>28</v>
      </c>
      <c r="D2028" s="1" t="s">
        <v>53</v>
      </c>
      <c r="E2028" s="1" t="s">
        <v>116</v>
      </c>
      <c r="F2028" s="1" t="s">
        <v>130</v>
      </c>
      <c r="G2028" s="1" t="s">
        <v>47</v>
      </c>
      <c r="H2028" s="1" t="s">
        <v>69</v>
      </c>
      <c r="I2028" s="1" t="s">
        <v>58</v>
      </c>
      <c r="J2028" s="1" t="s">
        <v>70</v>
      </c>
      <c r="K2028" s="1" t="s">
        <v>84</v>
      </c>
      <c r="L2028" s="1" t="s">
        <v>113</v>
      </c>
      <c r="M2028" s="1" t="s">
        <v>50</v>
      </c>
      <c r="N2028" s="1" t="n">
        <v>9999</v>
      </c>
      <c r="O2028" s="1" t="n">
        <v>0</v>
      </c>
      <c r="P2028" s="1" t="n">
        <v>0</v>
      </c>
      <c r="Q2028" s="1" t="n">
        <v>9999</v>
      </c>
      <c r="R2028" s="1" t="n">
        <v>1799.82</v>
      </c>
      <c r="S2028" s="1" t="n">
        <v>8199.18</v>
      </c>
      <c r="T2028" s="1" t="n">
        <v>3386.74</v>
      </c>
      <c r="U2028" s="1" t="n">
        <v>4812.44</v>
      </c>
      <c r="V2028" s="1" t="n">
        <v>58.69</v>
      </c>
      <c r="W2028" s="1" t="s">
        <v>39</v>
      </c>
      <c r="X2028" s="1" t="n">
        <v>3.6</v>
      </c>
      <c r="Y2028" s="1" t="s">
        <v>40</v>
      </c>
      <c r="Z2028" s="1" t="n">
        <v>0</v>
      </c>
      <c r="AA2028" s="1" t="str">
        <f aca="false">TRIM(PROPER(F2028))</f>
        <v>Bengaluru</v>
      </c>
      <c r="AB2028" s="1" t="str">
        <f aca="false">TRIM(PROPER(C2028))</f>
        <v>Embibe</v>
      </c>
      <c r="AC2028" s="1" t="str">
        <f aca="false">IF(O2028=0,"No Discount",IF(O2028&lt;=15,"Low (1-15%)",IF(O2028&lt;=30,"Medium (16-30%)","High (&gt;30%)")))</f>
        <v>No Discount</v>
      </c>
      <c r="AD2028" s="1" t="str">
        <f aca="false">IF(V2028&lt;0,"Loss Making",IF(V2028&lt;20,"Low Margin","Healthy Margin"))</f>
        <v>Healthy Margin</v>
      </c>
      <c r="AE2028" s="1" t="str">
        <f aca="false">TEXT(DATE(VALUE(RIGHT(B2028,4)),VALUE(MID(B2028,4,2)),VALUE(LEFT(B2028,2))),"MMM-YYYY")</f>
        <v>Sep-2023</v>
      </c>
      <c r="AF2028" s="1" t="n">
        <f aca="false">VALUE(RIGHT(B2028,4))</f>
        <v>2023</v>
      </c>
      <c r="AG2028" s="1" t="str">
        <f aca="false">CHOOSE(ROUNDUP(VALUE(MID(B2028,4,2))/3,0),"Q1","Q2","Q3","Q4")</f>
        <v>Q3</v>
      </c>
    </row>
    <row r="2029" customFormat="false" ht="15" hidden="false" customHeight="true" outlineLevel="0" collapsed="false">
      <c r="A2029" s="1" t="s">
        <v>2886</v>
      </c>
      <c r="B2029" s="1" t="s">
        <v>805</v>
      </c>
      <c r="C2029" s="1" t="s">
        <v>65</v>
      </c>
      <c r="D2029" s="1" t="s">
        <v>168</v>
      </c>
      <c r="E2029" s="1" t="s">
        <v>169</v>
      </c>
      <c r="F2029" s="1" t="s">
        <v>82</v>
      </c>
      <c r="G2029" s="1" t="s">
        <v>56</v>
      </c>
      <c r="H2029" s="1" t="s">
        <v>69</v>
      </c>
      <c r="I2029" s="1" t="s">
        <v>83</v>
      </c>
      <c r="J2029" s="1" t="s">
        <v>131</v>
      </c>
      <c r="K2029" s="1" t="s">
        <v>90</v>
      </c>
      <c r="L2029" s="1" t="s">
        <v>136</v>
      </c>
      <c r="M2029" s="1" t="s">
        <v>38</v>
      </c>
      <c r="N2029" s="1" t="n">
        <v>4999</v>
      </c>
      <c r="O2029" s="1" t="n">
        <v>0</v>
      </c>
      <c r="P2029" s="1" t="n">
        <v>0</v>
      </c>
      <c r="Q2029" s="1" t="n">
        <v>4999</v>
      </c>
      <c r="R2029" s="1" t="n">
        <v>899.82</v>
      </c>
      <c r="S2029" s="1" t="n">
        <v>4099.18</v>
      </c>
      <c r="T2029" s="1" t="n">
        <v>1850.5</v>
      </c>
      <c r="U2029" s="1" t="n">
        <v>2248.68</v>
      </c>
      <c r="V2029" s="1" t="n">
        <v>54.86</v>
      </c>
      <c r="W2029" s="1" t="s">
        <v>39</v>
      </c>
      <c r="X2029" s="1" t="n">
        <v>3.5</v>
      </c>
      <c r="Y2029" s="1" t="s">
        <v>40</v>
      </c>
      <c r="Z2029" s="1" t="n">
        <v>0</v>
      </c>
      <c r="AA2029" s="1" t="str">
        <f aca="false">TRIM(PROPER(F2029))</f>
        <v>Gurugram</v>
      </c>
      <c r="AB2029" s="1" t="str">
        <f aca="false">TRIM(PROPER(C2029))</f>
        <v>Toppr</v>
      </c>
      <c r="AC2029" s="1" t="str">
        <f aca="false">IF(O2029=0,"No Discount",IF(O2029&lt;=15,"Low (1-15%)",IF(O2029&lt;=30,"Medium (16-30%)","High (&gt;30%)")))</f>
        <v>No Discount</v>
      </c>
      <c r="AD2029" s="1" t="str">
        <f aca="false">IF(V2029&lt;0,"Loss Making",IF(V2029&lt;20,"Low Margin","Healthy Margin"))</f>
        <v>Healthy Margin</v>
      </c>
      <c r="AE2029" s="1" t="str">
        <f aca="false">TEXT(DATE(VALUE(RIGHT(B2029,4)),VALUE(MID(B2029,4,2)),VALUE(LEFT(B2029,2))),"MMM-YYYY")</f>
        <v>Jan-2023</v>
      </c>
      <c r="AF2029" s="1" t="n">
        <f aca="false">VALUE(RIGHT(B2029,4))</f>
        <v>2023</v>
      </c>
      <c r="AG2029" s="1" t="str">
        <f aca="false">CHOOSE(ROUNDUP(VALUE(MID(B2029,4,2))/3,0),"Q1","Q2","Q3","Q4")</f>
        <v>Q1</v>
      </c>
    </row>
    <row r="2030" customFormat="false" ht="15" hidden="false" customHeight="true" outlineLevel="0" collapsed="false">
      <c r="A2030" s="1" t="s">
        <v>2887</v>
      </c>
      <c r="B2030" s="1" t="s">
        <v>259</v>
      </c>
      <c r="C2030" s="1" t="s">
        <v>178</v>
      </c>
      <c r="D2030" s="1" t="s">
        <v>143</v>
      </c>
      <c r="E2030" s="1" t="s">
        <v>162</v>
      </c>
      <c r="F2030" s="1" t="s">
        <v>67</v>
      </c>
      <c r="G2030" s="1" t="s">
        <v>68</v>
      </c>
      <c r="H2030" s="1" t="s">
        <v>69</v>
      </c>
      <c r="I2030" s="1" t="s">
        <v>34</v>
      </c>
      <c r="J2030" s="1" t="s">
        <v>131</v>
      </c>
      <c r="K2030" s="1" t="s">
        <v>71</v>
      </c>
      <c r="L2030" s="1" t="s">
        <v>61</v>
      </c>
      <c r="M2030" s="1" t="s">
        <v>62</v>
      </c>
      <c r="N2030" s="1" t="n">
        <v>14999</v>
      </c>
      <c r="O2030" s="1" t="n">
        <v>0</v>
      </c>
      <c r="P2030" s="1" t="n">
        <v>0</v>
      </c>
      <c r="Q2030" s="1" t="n">
        <v>14999</v>
      </c>
      <c r="R2030" s="1" t="n">
        <v>2699.82</v>
      </c>
      <c r="S2030" s="1" t="n">
        <v>12299.18</v>
      </c>
      <c r="T2030" s="1" t="n">
        <v>4761.84</v>
      </c>
      <c r="U2030" s="1" t="n">
        <v>7537.34</v>
      </c>
      <c r="V2030" s="1" t="n">
        <v>61.28</v>
      </c>
      <c r="W2030" s="1" t="s">
        <v>39</v>
      </c>
      <c r="Y2030" s="1" t="s">
        <v>40</v>
      </c>
      <c r="Z2030" s="1" t="n">
        <v>0</v>
      </c>
      <c r="AA2030" s="1" t="str">
        <f aca="false">TRIM(PROPER(F2030))</f>
        <v>Ahmedabad</v>
      </c>
      <c r="AB2030" s="1" t="str">
        <f aca="false">TRIM(PROPER(C2030))</f>
        <v>Leverage Edu</v>
      </c>
      <c r="AC2030" s="1" t="str">
        <f aca="false">IF(O2030=0,"No Discount",IF(O2030&lt;=15,"Low (1-15%)",IF(O2030&lt;=30,"Medium (16-30%)","High (&gt;30%)")))</f>
        <v>No Discount</v>
      </c>
      <c r="AD2030" s="1" t="str">
        <f aca="false">IF(V2030&lt;0,"Loss Making",IF(V2030&lt;20,"Low Margin","Healthy Margin"))</f>
        <v>Healthy Margin</v>
      </c>
      <c r="AE2030" s="1" t="str">
        <f aca="false">TEXT(DATE(VALUE(RIGHT(B2030,4)),VALUE(MID(B2030,4,2)),VALUE(LEFT(B2030,2))),"MMM-YYYY")</f>
        <v>Dec-2024</v>
      </c>
      <c r="AF2030" s="1" t="n">
        <f aca="false">VALUE(RIGHT(B2030,4))</f>
        <v>2024</v>
      </c>
      <c r="AG2030" s="1" t="str">
        <f aca="false">CHOOSE(ROUNDUP(VALUE(MID(B2030,4,2))/3,0),"Q1","Q2","Q3","Q4")</f>
        <v>Q4</v>
      </c>
    </row>
    <row r="2031" customFormat="false" ht="15" hidden="false" customHeight="true" outlineLevel="0" collapsed="false">
      <c r="A2031" s="1" t="s">
        <v>2888</v>
      </c>
      <c r="B2031" s="1" t="s">
        <v>1946</v>
      </c>
      <c r="C2031" s="1" t="s">
        <v>139</v>
      </c>
      <c r="D2031" s="1" t="s">
        <v>143</v>
      </c>
      <c r="E2031" s="1" t="s">
        <v>243</v>
      </c>
      <c r="F2031" s="1" t="s">
        <v>120</v>
      </c>
      <c r="G2031" s="1" t="s">
        <v>47</v>
      </c>
      <c r="H2031" s="1" t="s">
        <v>57</v>
      </c>
      <c r="I2031" s="1" t="s">
        <v>34</v>
      </c>
      <c r="J2031" s="1" t="s">
        <v>77</v>
      </c>
      <c r="K2031" s="1" t="s">
        <v>84</v>
      </c>
      <c r="L2031" s="1" t="s">
        <v>49</v>
      </c>
      <c r="M2031" s="1" t="s">
        <v>38</v>
      </c>
      <c r="N2031" s="1" t="n">
        <v>22999</v>
      </c>
      <c r="O2031" s="1" t="n">
        <v>40</v>
      </c>
      <c r="P2031" s="1" t="n">
        <v>9199.6</v>
      </c>
      <c r="Q2031" s="1" t="n">
        <v>13799.4</v>
      </c>
      <c r="R2031" s="1" t="n">
        <v>2483.89</v>
      </c>
      <c r="S2031" s="1" t="n">
        <v>11315.51</v>
      </c>
      <c r="T2031" s="1" t="n">
        <v>6216.74</v>
      </c>
      <c r="U2031" s="1" t="n">
        <v>5098.77</v>
      </c>
      <c r="V2031" s="1" t="n">
        <v>45.06</v>
      </c>
      <c r="W2031" s="1" t="s">
        <v>39</v>
      </c>
      <c r="X2031" s="1" t="n">
        <v>3</v>
      </c>
      <c r="Y2031" s="1" t="s">
        <v>40</v>
      </c>
      <c r="Z2031" s="1" t="n">
        <v>0</v>
      </c>
      <c r="AA2031" s="1" t="str">
        <f aca="false">TRIM(PROPER(F2031))</f>
        <v>Mysuru</v>
      </c>
      <c r="AB2031" s="1" t="str">
        <f aca="false">TRIM(PROPER(C2031))</f>
        <v>Extramarks</v>
      </c>
      <c r="AC2031" s="1" t="str">
        <f aca="false">IF(O2031=0,"No Discount",IF(O2031&lt;=15,"Low (1-15%)",IF(O2031&lt;=30,"Medium (16-30%)","High (&gt;30%)")))</f>
        <v>High (&gt;30%)</v>
      </c>
      <c r="AD2031" s="1" t="str">
        <f aca="false">IF(V2031&lt;0,"Loss Making",IF(V2031&lt;20,"Low Margin","Healthy Margin"))</f>
        <v>Healthy Margin</v>
      </c>
      <c r="AE2031" s="1" t="str">
        <f aca="false">TEXT(DATE(VALUE(RIGHT(B2031,4)),VALUE(MID(B2031,4,2)),VALUE(LEFT(B2031,2))),"MMM-YYYY")</f>
        <v>Jun-2024</v>
      </c>
      <c r="AF2031" s="1" t="n">
        <f aca="false">VALUE(RIGHT(B2031,4))</f>
        <v>2024</v>
      </c>
      <c r="AG2031" s="1" t="str">
        <f aca="false">CHOOSE(ROUNDUP(VALUE(MID(B2031,4,2))/3,0),"Q1","Q2","Q3","Q4")</f>
        <v>Q2</v>
      </c>
    </row>
    <row r="2032" customFormat="false" ht="15" hidden="false" customHeight="true" outlineLevel="0" collapsed="false">
      <c r="A2032" s="1" t="s">
        <v>2889</v>
      </c>
      <c r="B2032" s="1" t="s">
        <v>805</v>
      </c>
      <c r="C2032" s="1" t="s">
        <v>128</v>
      </c>
      <c r="D2032" s="1" t="s">
        <v>29</v>
      </c>
      <c r="E2032" s="1" t="s">
        <v>182</v>
      </c>
      <c r="F2032" s="1" t="s">
        <v>102</v>
      </c>
      <c r="G2032" s="1" t="s">
        <v>103</v>
      </c>
      <c r="H2032" s="1" t="s">
        <v>33</v>
      </c>
      <c r="I2032" s="1" t="s">
        <v>34</v>
      </c>
      <c r="J2032" s="1" t="s">
        <v>59</v>
      </c>
      <c r="K2032" s="1" t="s">
        <v>60</v>
      </c>
      <c r="L2032" s="1" t="s">
        <v>113</v>
      </c>
      <c r="M2032" s="1" t="s">
        <v>50</v>
      </c>
      <c r="N2032" s="1" t="n">
        <v>34999</v>
      </c>
      <c r="O2032" s="1" t="n">
        <v>5</v>
      </c>
      <c r="P2032" s="1" t="n">
        <v>1749.95</v>
      </c>
      <c r="Q2032" s="1" t="n">
        <v>33249.05</v>
      </c>
      <c r="R2032" s="1" t="n">
        <v>5984.83</v>
      </c>
      <c r="S2032" s="1" t="n">
        <v>27264.22</v>
      </c>
      <c r="T2032" s="1" t="n">
        <v>11215.41</v>
      </c>
      <c r="U2032" s="1" t="n">
        <v>16048.81</v>
      </c>
      <c r="V2032" s="1" t="n">
        <v>58.86</v>
      </c>
      <c r="W2032" s="1" t="s">
        <v>39</v>
      </c>
      <c r="X2032" s="1" t="n">
        <v>4.2</v>
      </c>
      <c r="Y2032" s="1" t="s">
        <v>40</v>
      </c>
      <c r="Z2032" s="1" t="n">
        <v>0</v>
      </c>
      <c r="AA2032" s="1" t="str">
        <f aca="false">TRIM(PROPER(F2032))</f>
        <v>Warangal</v>
      </c>
      <c r="AB2032" s="1" t="str">
        <f aca="false">TRIM(PROPER(C2032))</f>
        <v>Great Learning</v>
      </c>
      <c r="AC2032" s="1" t="str">
        <f aca="false">IF(O2032=0,"No Discount",IF(O2032&lt;=15,"Low (1-15%)",IF(O2032&lt;=30,"Medium (16-30%)","High (&gt;30%)")))</f>
        <v>Low (1-15%)</v>
      </c>
      <c r="AD2032" s="1" t="str">
        <f aca="false">IF(V2032&lt;0,"Loss Making",IF(V2032&lt;20,"Low Margin","Healthy Margin"))</f>
        <v>Healthy Margin</v>
      </c>
      <c r="AE2032" s="1" t="str">
        <f aca="false">TEXT(DATE(VALUE(RIGHT(B2032,4)),VALUE(MID(B2032,4,2)),VALUE(LEFT(B2032,2))),"MMM-YYYY")</f>
        <v>Jan-2023</v>
      </c>
      <c r="AF2032" s="1" t="n">
        <f aca="false">VALUE(RIGHT(B2032,4))</f>
        <v>2023</v>
      </c>
      <c r="AG2032" s="1" t="str">
        <f aca="false">CHOOSE(ROUNDUP(VALUE(MID(B2032,4,2))/3,0),"Q1","Q2","Q3","Q4")</f>
        <v>Q1</v>
      </c>
    </row>
    <row r="2033" customFormat="false" ht="15" hidden="false" customHeight="true" outlineLevel="0" collapsed="false">
      <c r="A2033" s="1" t="s">
        <v>2890</v>
      </c>
      <c r="B2033" s="1" t="s">
        <v>1691</v>
      </c>
      <c r="C2033" s="1" t="s">
        <v>249</v>
      </c>
      <c r="D2033" s="1" t="s">
        <v>168</v>
      </c>
      <c r="E2033" s="1" t="s">
        <v>328</v>
      </c>
      <c r="F2033" s="1" t="s">
        <v>125</v>
      </c>
      <c r="G2033" s="1" t="s">
        <v>108</v>
      </c>
      <c r="H2033" s="1" t="s">
        <v>69</v>
      </c>
      <c r="I2033" s="1" t="s">
        <v>34</v>
      </c>
      <c r="J2033" s="1" t="s">
        <v>59</v>
      </c>
      <c r="K2033" s="1" t="s">
        <v>60</v>
      </c>
      <c r="L2033" s="1" t="s">
        <v>61</v>
      </c>
      <c r="M2033" s="1" t="s">
        <v>62</v>
      </c>
      <c r="N2033" s="1" t="n">
        <v>8999</v>
      </c>
      <c r="O2033" s="1" t="n">
        <v>0</v>
      </c>
      <c r="P2033" s="1" t="n">
        <v>0</v>
      </c>
      <c r="Q2033" s="1" t="n">
        <v>8999</v>
      </c>
      <c r="R2033" s="1" t="n">
        <v>1619.82</v>
      </c>
      <c r="S2033" s="1" t="n">
        <v>7379.18</v>
      </c>
      <c r="T2033" s="1" t="n">
        <v>2998</v>
      </c>
      <c r="U2033" s="1" t="n">
        <v>4381.18</v>
      </c>
      <c r="V2033" s="1" t="n">
        <v>59.37</v>
      </c>
      <c r="W2033" s="1" t="s">
        <v>40</v>
      </c>
      <c r="Y2033" s="1" t="s">
        <v>40</v>
      </c>
      <c r="Z2033" s="1" t="n">
        <v>0</v>
      </c>
      <c r="AA2033" s="1" t="str">
        <f aca="false">TRIM(PROPER(F2033))</f>
        <v>Chennai</v>
      </c>
      <c r="AB2033" s="1" t="str">
        <f aca="false">TRIM(PROPER(C2033))</f>
        <v>Whitehat Jr</v>
      </c>
      <c r="AC2033" s="1" t="str">
        <f aca="false">IF(O2033=0,"No Discount",IF(O2033&lt;=15,"Low (1-15%)",IF(O2033&lt;=30,"Medium (16-30%)","High (&gt;30%)")))</f>
        <v>No Discount</v>
      </c>
      <c r="AD2033" s="1" t="str">
        <f aca="false">IF(V2033&lt;0,"Loss Making",IF(V2033&lt;20,"Low Margin","Healthy Margin"))</f>
        <v>Healthy Margin</v>
      </c>
      <c r="AE2033" s="1" t="str">
        <f aca="false">TEXT(DATE(VALUE(RIGHT(B2033,4)),VALUE(MID(B2033,4,2)),VALUE(LEFT(B2033,2))),"MMM-YYYY")</f>
        <v>Mar-2023</v>
      </c>
      <c r="AF2033" s="1" t="n">
        <f aca="false">VALUE(RIGHT(B2033,4))</f>
        <v>2023</v>
      </c>
      <c r="AG2033" s="1" t="str">
        <f aca="false">CHOOSE(ROUNDUP(VALUE(MID(B2033,4,2))/3,0),"Q1","Q2","Q3","Q4")</f>
        <v>Q1</v>
      </c>
    </row>
    <row r="2034" customFormat="false" ht="15" hidden="false" customHeight="true" outlineLevel="0" collapsed="false">
      <c r="A2034" s="1" t="s">
        <v>2891</v>
      </c>
      <c r="B2034" s="1" t="s">
        <v>495</v>
      </c>
      <c r="C2034" s="1" t="s">
        <v>43</v>
      </c>
      <c r="D2034" s="1" t="s">
        <v>80</v>
      </c>
      <c r="E2034" s="1" t="s">
        <v>190</v>
      </c>
      <c r="F2034" s="1" t="s">
        <v>130</v>
      </c>
      <c r="G2034" s="1" t="s">
        <v>47</v>
      </c>
      <c r="H2034" s="1" t="s">
        <v>69</v>
      </c>
      <c r="I2034" s="1" t="s">
        <v>83</v>
      </c>
      <c r="J2034" s="1" t="s">
        <v>131</v>
      </c>
      <c r="K2034" s="1" t="s">
        <v>48</v>
      </c>
      <c r="L2034" s="1" t="s">
        <v>136</v>
      </c>
      <c r="M2034" s="1" t="s">
        <v>50</v>
      </c>
      <c r="N2034" s="1" t="n">
        <v>15999</v>
      </c>
      <c r="O2034" s="1" t="n">
        <v>50</v>
      </c>
      <c r="P2034" s="1" t="n">
        <v>7999.5</v>
      </c>
      <c r="Q2034" s="1" t="n">
        <v>7999.5</v>
      </c>
      <c r="R2034" s="1" t="n">
        <v>1439.91</v>
      </c>
      <c r="S2034" s="1" t="n">
        <v>6559.59</v>
      </c>
      <c r="T2034" s="1" t="n">
        <v>3268.27</v>
      </c>
      <c r="U2034" s="1" t="n">
        <v>3291.32</v>
      </c>
      <c r="V2034" s="1" t="n">
        <v>50.18</v>
      </c>
      <c r="W2034" s="1" t="s">
        <v>39</v>
      </c>
      <c r="X2034" s="1" t="n">
        <v>4.5</v>
      </c>
      <c r="Y2034" s="1" t="s">
        <v>40</v>
      </c>
      <c r="Z2034" s="1" t="n">
        <v>0</v>
      </c>
      <c r="AA2034" s="1" t="str">
        <f aca="false">TRIM(PROPER(F2034))</f>
        <v>Bengaluru</v>
      </c>
      <c r="AB2034" s="1" t="str">
        <f aca="false">TRIM(PROPER(C2034))</f>
        <v>Meritnation</v>
      </c>
      <c r="AC2034" s="1" t="str">
        <f aca="false">IF(O2034=0,"No Discount",IF(O2034&lt;=15,"Low (1-15%)",IF(O2034&lt;=30,"Medium (16-30%)","High (&gt;30%)")))</f>
        <v>High (&gt;30%)</v>
      </c>
      <c r="AD2034" s="1" t="str">
        <f aca="false">IF(V2034&lt;0,"Loss Making",IF(V2034&lt;20,"Low Margin","Healthy Margin"))</f>
        <v>Healthy Margin</v>
      </c>
      <c r="AE2034" s="1" t="str">
        <f aca="false">TEXT(DATE(VALUE(RIGHT(B2034,4)),VALUE(MID(B2034,4,2)),VALUE(LEFT(B2034,2))),"MMM-YYYY")</f>
        <v>Sep-2023</v>
      </c>
      <c r="AF2034" s="1" t="n">
        <f aca="false">VALUE(RIGHT(B2034,4))</f>
        <v>2023</v>
      </c>
      <c r="AG2034" s="1" t="str">
        <f aca="false">CHOOSE(ROUNDUP(VALUE(MID(B2034,4,2))/3,0),"Q1","Q2","Q3","Q4")</f>
        <v>Q3</v>
      </c>
    </row>
    <row r="2035" customFormat="false" ht="15" hidden="false" customHeight="true" outlineLevel="0" collapsed="false">
      <c r="A2035" s="1" t="s">
        <v>2892</v>
      </c>
      <c r="B2035" s="1" t="s">
        <v>947</v>
      </c>
      <c r="C2035" s="1" t="s">
        <v>119</v>
      </c>
      <c r="D2035" s="1" t="s">
        <v>143</v>
      </c>
      <c r="E2035" s="1" t="s">
        <v>144</v>
      </c>
      <c r="F2035" s="1" t="s">
        <v>75</v>
      </c>
      <c r="G2035" s="1" t="s">
        <v>76</v>
      </c>
      <c r="H2035" s="1" t="s">
        <v>69</v>
      </c>
      <c r="I2035" s="1" t="s">
        <v>83</v>
      </c>
      <c r="J2035" s="1" t="s">
        <v>70</v>
      </c>
      <c r="K2035" s="1" t="s">
        <v>71</v>
      </c>
      <c r="L2035" s="1" t="s">
        <v>113</v>
      </c>
      <c r="M2035" s="1" t="s">
        <v>38</v>
      </c>
      <c r="N2035" s="1" t="n">
        <v>12999</v>
      </c>
      <c r="O2035" s="1" t="n">
        <v>15</v>
      </c>
      <c r="P2035" s="1" t="n">
        <v>1949.85</v>
      </c>
      <c r="Q2035" s="1" t="n">
        <v>11049.15</v>
      </c>
      <c r="R2035" s="1" t="n">
        <v>1988.85</v>
      </c>
      <c r="S2035" s="1" t="n">
        <v>9060.3</v>
      </c>
      <c r="T2035" s="1" t="n">
        <v>3338.58</v>
      </c>
      <c r="U2035" s="1" t="n">
        <v>5721.72</v>
      </c>
      <c r="V2035" s="1" t="n">
        <v>63.15</v>
      </c>
      <c r="W2035" s="1" t="s">
        <v>39</v>
      </c>
      <c r="X2035" s="1" t="n">
        <v>3.3</v>
      </c>
      <c r="Y2035" s="1" t="s">
        <v>40</v>
      </c>
      <c r="Z2035" s="1" t="n">
        <v>0</v>
      </c>
      <c r="AA2035" s="1" t="str">
        <f aca="false">TRIM(PROPER(F2035))</f>
        <v>Kolkata</v>
      </c>
      <c r="AB2035" s="1" t="str">
        <f aca="false">TRIM(PROPER(C2035))</f>
        <v>Simplilearn</v>
      </c>
      <c r="AC2035" s="1" t="str">
        <f aca="false">IF(O2035=0,"No Discount",IF(O2035&lt;=15,"Low (1-15%)",IF(O2035&lt;=30,"Medium (16-30%)","High (&gt;30%)")))</f>
        <v>Low (1-15%)</v>
      </c>
      <c r="AD2035" s="1" t="str">
        <f aca="false">IF(V2035&lt;0,"Loss Making",IF(V2035&lt;20,"Low Margin","Healthy Margin"))</f>
        <v>Healthy Margin</v>
      </c>
      <c r="AE2035" s="1" t="str">
        <f aca="false">TEXT(DATE(VALUE(RIGHT(B2035,4)),VALUE(MID(B2035,4,2)),VALUE(LEFT(B2035,2))),"MMM-YYYY")</f>
        <v>Jun-2023</v>
      </c>
      <c r="AF2035" s="1" t="n">
        <f aca="false">VALUE(RIGHT(B2035,4))</f>
        <v>2023</v>
      </c>
      <c r="AG2035" s="1" t="str">
        <f aca="false">CHOOSE(ROUNDUP(VALUE(MID(B2035,4,2))/3,0),"Q1","Q2","Q3","Q4")</f>
        <v>Q2</v>
      </c>
    </row>
    <row r="2036" customFormat="false" ht="15" hidden="false" customHeight="true" outlineLevel="0" collapsed="false">
      <c r="A2036" s="1" t="s">
        <v>2893</v>
      </c>
      <c r="B2036" s="1" t="s">
        <v>122</v>
      </c>
      <c r="C2036" s="1" t="s">
        <v>167</v>
      </c>
      <c r="D2036" s="1" t="s">
        <v>53</v>
      </c>
      <c r="E2036" s="1" t="s">
        <v>54</v>
      </c>
      <c r="F2036" s="1" t="s">
        <v>46</v>
      </c>
      <c r="G2036" s="1" t="s">
        <v>47</v>
      </c>
      <c r="H2036" s="1" t="s">
        <v>33</v>
      </c>
      <c r="I2036" s="1" t="s">
        <v>58</v>
      </c>
      <c r="J2036" s="1" t="s">
        <v>35</v>
      </c>
      <c r="K2036" s="1" t="s">
        <v>104</v>
      </c>
      <c r="L2036" s="1" t="s">
        <v>61</v>
      </c>
      <c r="M2036" s="1" t="s">
        <v>50</v>
      </c>
      <c r="N2036" s="1" t="n">
        <v>11999</v>
      </c>
      <c r="O2036" s="1" t="n">
        <v>40</v>
      </c>
      <c r="P2036" s="1" t="n">
        <v>4799.6</v>
      </c>
      <c r="Q2036" s="1" t="n">
        <v>7199.4</v>
      </c>
      <c r="R2036" s="1" t="n">
        <v>1295.89</v>
      </c>
      <c r="S2036" s="1" t="n">
        <v>5903.51</v>
      </c>
      <c r="T2036" s="1" t="n">
        <v>3361.75</v>
      </c>
      <c r="U2036" s="1" t="n">
        <v>2541.76</v>
      </c>
      <c r="V2036" s="1" t="n">
        <v>43.06</v>
      </c>
      <c r="W2036" s="1" t="s">
        <v>39</v>
      </c>
      <c r="X2036" s="1" t="n">
        <v>3.6</v>
      </c>
      <c r="Y2036" s="1" t="s">
        <v>40</v>
      </c>
      <c r="Z2036" s="1" t="n">
        <v>0</v>
      </c>
      <c r="AA2036" s="1" t="str">
        <f aca="false">TRIM(PROPER(F2036))</f>
        <v>Mangaluru</v>
      </c>
      <c r="AB2036" s="1" t="str">
        <f aca="false">TRIM(PROPER(C2036))</f>
        <v>Scaler</v>
      </c>
      <c r="AC2036" s="1" t="str">
        <f aca="false">IF(O2036=0,"No Discount",IF(O2036&lt;=15,"Low (1-15%)",IF(O2036&lt;=30,"Medium (16-30%)","High (&gt;30%)")))</f>
        <v>High (&gt;30%)</v>
      </c>
      <c r="AD2036" s="1" t="str">
        <f aca="false">IF(V2036&lt;0,"Loss Making",IF(V2036&lt;20,"Low Margin","Healthy Margin"))</f>
        <v>Healthy Margin</v>
      </c>
      <c r="AE2036" s="1" t="str">
        <f aca="false">TEXT(DATE(VALUE(RIGHT(B2036,4)),VALUE(MID(B2036,4,2)),VALUE(LEFT(B2036,2))),"MMM-YYYY")</f>
        <v>Nov-2023</v>
      </c>
      <c r="AF2036" s="1" t="n">
        <f aca="false">VALUE(RIGHT(B2036,4))</f>
        <v>2023</v>
      </c>
      <c r="AG2036" s="1" t="str">
        <f aca="false">CHOOSE(ROUNDUP(VALUE(MID(B2036,4,2))/3,0),"Q1","Q2","Q3","Q4")</f>
        <v>Q4</v>
      </c>
    </row>
    <row r="2037" customFormat="false" ht="15" hidden="false" customHeight="true" outlineLevel="0" collapsed="false">
      <c r="A2037" s="1" t="s">
        <v>2894</v>
      </c>
      <c r="B2037" s="1" t="s">
        <v>851</v>
      </c>
      <c r="C2037" s="1" t="s">
        <v>74</v>
      </c>
      <c r="D2037" s="1" t="s">
        <v>123</v>
      </c>
      <c r="E2037" s="1" t="s">
        <v>233</v>
      </c>
      <c r="F2037" s="1" t="s">
        <v>150</v>
      </c>
      <c r="G2037" s="1" t="s">
        <v>32</v>
      </c>
      <c r="H2037" s="1" t="s">
        <v>57</v>
      </c>
      <c r="I2037" s="1" t="s">
        <v>58</v>
      </c>
      <c r="J2037" s="1" t="s">
        <v>70</v>
      </c>
      <c r="K2037" s="1" t="s">
        <v>48</v>
      </c>
      <c r="L2037" s="1" t="s">
        <v>61</v>
      </c>
      <c r="M2037" s="1" t="s">
        <v>50</v>
      </c>
      <c r="N2037" s="1" t="n">
        <v>8999</v>
      </c>
      <c r="O2037" s="1" t="n">
        <v>0</v>
      </c>
      <c r="P2037" s="1" t="n">
        <v>0</v>
      </c>
      <c r="Q2037" s="1" t="n">
        <v>8999</v>
      </c>
      <c r="R2037" s="1" t="n">
        <v>1619.82</v>
      </c>
      <c r="S2037" s="1" t="n">
        <v>7379.18</v>
      </c>
      <c r="T2037" s="1" t="n">
        <v>3387.51</v>
      </c>
      <c r="U2037" s="1" t="n">
        <v>3991.67</v>
      </c>
      <c r="V2037" s="1" t="n">
        <v>54.09</v>
      </c>
      <c r="W2037" s="1" t="s">
        <v>40</v>
      </c>
      <c r="Y2037" s="1" t="s">
        <v>40</v>
      </c>
      <c r="Z2037" s="1" t="n">
        <v>0</v>
      </c>
      <c r="AA2037" s="1" t="str">
        <f aca="false">TRIM(PROPER(F2037))</f>
        <v>Jaipur</v>
      </c>
      <c r="AB2037" s="1" t="str">
        <f aca="false">TRIM(PROPER(C2037))</f>
        <v>Vedantu</v>
      </c>
      <c r="AC2037" s="1" t="str">
        <f aca="false">IF(O2037=0,"No Discount",IF(O2037&lt;=15,"Low (1-15%)",IF(O2037&lt;=30,"Medium (16-30%)","High (&gt;30%)")))</f>
        <v>No Discount</v>
      </c>
      <c r="AD2037" s="1" t="str">
        <f aca="false">IF(V2037&lt;0,"Loss Making",IF(V2037&lt;20,"Low Margin","Healthy Margin"))</f>
        <v>Healthy Margin</v>
      </c>
      <c r="AE2037" s="1" t="str">
        <f aca="false">TEXT(DATE(VALUE(RIGHT(B2037,4)),VALUE(MID(B2037,4,2)),VALUE(LEFT(B2037,2))),"MMM-YYYY")</f>
        <v>Nov-2023</v>
      </c>
      <c r="AF2037" s="1" t="n">
        <f aca="false">VALUE(RIGHT(B2037,4))</f>
        <v>2023</v>
      </c>
      <c r="AG2037" s="1" t="str">
        <f aca="false">CHOOSE(ROUNDUP(VALUE(MID(B2037,4,2))/3,0),"Q1","Q2","Q3","Q4")</f>
        <v>Q4</v>
      </c>
    </row>
    <row r="2038" customFormat="false" ht="15" hidden="false" customHeight="true" outlineLevel="0" collapsed="false">
      <c r="A2038" s="1" t="s">
        <v>2895</v>
      </c>
      <c r="B2038" s="1" t="s">
        <v>740</v>
      </c>
      <c r="C2038" s="1" t="s">
        <v>100</v>
      </c>
      <c r="D2038" s="1" t="s">
        <v>123</v>
      </c>
      <c r="E2038" s="1" t="s">
        <v>233</v>
      </c>
      <c r="F2038" s="1" t="s">
        <v>153</v>
      </c>
      <c r="G2038" s="1" t="s">
        <v>76</v>
      </c>
      <c r="H2038" s="1" t="s">
        <v>33</v>
      </c>
      <c r="I2038" s="1" t="s">
        <v>58</v>
      </c>
      <c r="J2038" s="1" t="s">
        <v>70</v>
      </c>
      <c r="K2038" s="1" t="s">
        <v>60</v>
      </c>
      <c r="L2038" s="1" t="s">
        <v>49</v>
      </c>
      <c r="M2038" s="1" t="s">
        <v>50</v>
      </c>
      <c r="N2038" s="1" t="n">
        <v>8999</v>
      </c>
      <c r="O2038" s="1" t="n">
        <v>5</v>
      </c>
      <c r="P2038" s="1" t="n">
        <v>449.95</v>
      </c>
      <c r="Q2038" s="1" t="n">
        <v>8549.05</v>
      </c>
      <c r="R2038" s="1" t="n">
        <v>1538.83</v>
      </c>
      <c r="S2038" s="1" t="n">
        <v>7010.22</v>
      </c>
      <c r="T2038" s="1" t="n">
        <v>2338.1</v>
      </c>
      <c r="U2038" s="1" t="n">
        <v>4672.12</v>
      </c>
      <c r="V2038" s="1" t="n">
        <v>66.65</v>
      </c>
      <c r="W2038" s="1" t="s">
        <v>39</v>
      </c>
      <c r="X2038" s="1" t="n">
        <v>3.2</v>
      </c>
      <c r="Y2038" s="1" t="s">
        <v>40</v>
      </c>
      <c r="Z2038" s="1" t="n">
        <v>0</v>
      </c>
      <c r="AA2038" s="1" t="str">
        <f aca="false">TRIM(PROPER(F2038))</f>
        <v>Howrah</v>
      </c>
      <c r="AB2038" s="1" t="str">
        <f aca="false">TRIM(PROPER(C2038))</f>
        <v>Physics Wallah</v>
      </c>
      <c r="AC2038" s="1" t="str">
        <f aca="false">IF(O2038=0,"No Discount",IF(O2038&lt;=15,"Low (1-15%)",IF(O2038&lt;=30,"Medium (16-30%)","High (&gt;30%)")))</f>
        <v>Low (1-15%)</v>
      </c>
      <c r="AD2038" s="1" t="str">
        <f aca="false">IF(V2038&lt;0,"Loss Making",IF(V2038&lt;20,"Low Margin","Healthy Margin"))</f>
        <v>Healthy Margin</v>
      </c>
      <c r="AE2038" s="1" t="str">
        <f aca="false">TEXT(DATE(VALUE(RIGHT(B2038,4)),VALUE(MID(B2038,4,2)),VALUE(LEFT(B2038,2))),"MMM-YYYY")</f>
        <v>Sep-2024</v>
      </c>
      <c r="AF2038" s="1" t="n">
        <f aca="false">VALUE(RIGHT(B2038,4))</f>
        <v>2024</v>
      </c>
      <c r="AG2038" s="1" t="str">
        <f aca="false">CHOOSE(ROUNDUP(VALUE(MID(B2038,4,2))/3,0),"Q1","Q2","Q3","Q4")</f>
        <v>Q3</v>
      </c>
    </row>
    <row r="2039" customFormat="false" ht="15" hidden="false" customHeight="true" outlineLevel="0" collapsed="false">
      <c r="A2039" s="1" t="s">
        <v>2896</v>
      </c>
      <c r="B2039" s="1" t="s">
        <v>2018</v>
      </c>
      <c r="C2039" s="1" t="s">
        <v>167</v>
      </c>
      <c r="D2039" s="1" t="s">
        <v>94</v>
      </c>
      <c r="E2039" s="1" t="s">
        <v>95</v>
      </c>
      <c r="F2039" s="1" t="s">
        <v>102</v>
      </c>
      <c r="G2039" s="1" t="s">
        <v>103</v>
      </c>
      <c r="H2039" s="1" t="s">
        <v>33</v>
      </c>
      <c r="I2039" s="1" t="s">
        <v>34</v>
      </c>
      <c r="J2039" s="1" t="s">
        <v>77</v>
      </c>
      <c r="K2039" s="1" t="s">
        <v>60</v>
      </c>
      <c r="L2039" s="1" t="s">
        <v>136</v>
      </c>
      <c r="M2039" s="1" t="s">
        <v>38</v>
      </c>
      <c r="N2039" s="1" t="n">
        <v>6999</v>
      </c>
      <c r="O2039" s="1" t="n">
        <v>30</v>
      </c>
      <c r="P2039" s="1" t="n">
        <v>2099.7</v>
      </c>
      <c r="Q2039" s="1" t="n">
        <v>4899.3</v>
      </c>
      <c r="R2039" s="1" t="n">
        <v>881.87</v>
      </c>
      <c r="S2039" s="1" t="n">
        <v>4017.43</v>
      </c>
      <c r="T2039" s="1" t="n">
        <v>1959.48</v>
      </c>
      <c r="U2039" s="1" t="n">
        <v>2057.95</v>
      </c>
      <c r="V2039" s="1" t="n">
        <v>51.23</v>
      </c>
      <c r="W2039" s="1" t="s">
        <v>40</v>
      </c>
      <c r="Y2039" s="1" t="s">
        <v>40</v>
      </c>
      <c r="Z2039" s="1" t="n">
        <v>0</v>
      </c>
      <c r="AA2039" s="1" t="str">
        <f aca="false">TRIM(PROPER(F2039))</f>
        <v>Warangal</v>
      </c>
      <c r="AB2039" s="1" t="str">
        <f aca="false">TRIM(PROPER(C2039))</f>
        <v>Scaler</v>
      </c>
      <c r="AC2039" s="1" t="str">
        <f aca="false">IF(O2039=0,"No Discount",IF(O2039&lt;=15,"Low (1-15%)",IF(O2039&lt;=30,"Medium (16-30%)","High (&gt;30%)")))</f>
        <v>Medium (16-30%)</v>
      </c>
      <c r="AD2039" s="1" t="str">
        <f aca="false">IF(V2039&lt;0,"Loss Making",IF(V2039&lt;20,"Low Margin","Healthy Margin"))</f>
        <v>Healthy Margin</v>
      </c>
      <c r="AE2039" s="1" t="str">
        <f aca="false">TEXT(DATE(VALUE(RIGHT(B2039,4)),VALUE(MID(B2039,4,2)),VALUE(LEFT(B2039,2))),"MMM-YYYY")</f>
        <v>Oct-2023</v>
      </c>
      <c r="AF2039" s="1" t="n">
        <f aca="false">VALUE(RIGHT(B2039,4))</f>
        <v>2023</v>
      </c>
      <c r="AG2039" s="1" t="str">
        <f aca="false">CHOOSE(ROUNDUP(VALUE(MID(B2039,4,2))/3,0),"Q1","Q2","Q3","Q4")</f>
        <v>Q4</v>
      </c>
    </row>
    <row r="2040" customFormat="false" ht="15" hidden="false" customHeight="true" outlineLevel="0" collapsed="false">
      <c r="A2040" s="1" t="s">
        <v>2897</v>
      </c>
      <c r="B2040" s="1" t="s">
        <v>1895</v>
      </c>
      <c r="C2040" s="1" t="s">
        <v>28</v>
      </c>
      <c r="D2040" s="1" t="s">
        <v>94</v>
      </c>
      <c r="E2040" s="1" t="s">
        <v>95</v>
      </c>
      <c r="F2040" s="1" t="s">
        <v>194</v>
      </c>
      <c r="G2040" s="1" t="s">
        <v>103</v>
      </c>
      <c r="H2040" s="1" t="s">
        <v>69</v>
      </c>
      <c r="I2040" s="1" t="s">
        <v>83</v>
      </c>
      <c r="J2040" s="1" t="s">
        <v>77</v>
      </c>
      <c r="K2040" s="1" t="s">
        <v>36</v>
      </c>
      <c r="L2040" s="1" t="s">
        <v>49</v>
      </c>
      <c r="M2040" s="1" t="s">
        <v>62</v>
      </c>
      <c r="N2040" s="1" t="n">
        <v>6999</v>
      </c>
      <c r="O2040" s="1" t="n">
        <v>10</v>
      </c>
      <c r="P2040" s="1" t="n">
        <v>699.9</v>
      </c>
      <c r="Q2040" s="1" t="n">
        <v>6299.1</v>
      </c>
      <c r="R2040" s="1" t="n">
        <v>1133.84</v>
      </c>
      <c r="S2040" s="1" t="n">
        <v>5165.26</v>
      </c>
      <c r="T2040" s="1" t="n">
        <v>2020.26</v>
      </c>
      <c r="U2040" s="1" t="n">
        <v>3145</v>
      </c>
      <c r="V2040" s="1" t="n">
        <v>60.89</v>
      </c>
      <c r="W2040" s="1" t="s">
        <v>40</v>
      </c>
      <c r="Y2040" s="1" t="s">
        <v>40</v>
      </c>
      <c r="Z2040" s="1" t="n">
        <v>0</v>
      </c>
      <c r="AA2040" s="1" t="str">
        <f aca="false">TRIM(PROPER(F2040))</f>
        <v>Hyderabad</v>
      </c>
      <c r="AB2040" s="1" t="str">
        <f aca="false">TRIM(PROPER(C2040))</f>
        <v>Embibe</v>
      </c>
      <c r="AC2040" s="1" t="str">
        <f aca="false">IF(O2040=0,"No Discount",IF(O2040&lt;=15,"Low (1-15%)",IF(O2040&lt;=30,"Medium (16-30%)","High (&gt;30%)")))</f>
        <v>Low (1-15%)</v>
      </c>
      <c r="AD2040" s="1" t="str">
        <f aca="false">IF(V2040&lt;0,"Loss Making",IF(V2040&lt;20,"Low Margin","Healthy Margin"))</f>
        <v>Healthy Margin</v>
      </c>
      <c r="AE2040" s="1" t="str">
        <f aca="false">TEXT(DATE(VALUE(RIGHT(B2040,4)),VALUE(MID(B2040,4,2)),VALUE(LEFT(B2040,2))),"MMM-YYYY")</f>
        <v>Dec-2023</v>
      </c>
      <c r="AF2040" s="1" t="n">
        <f aca="false">VALUE(RIGHT(B2040,4))</f>
        <v>2023</v>
      </c>
      <c r="AG2040" s="1" t="str">
        <f aca="false">CHOOSE(ROUNDUP(VALUE(MID(B2040,4,2))/3,0),"Q1","Q2","Q3","Q4")</f>
        <v>Q4</v>
      </c>
    </row>
    <row r="2041" customFormat="false" ht="15" hidden="false" customHeight="true" outlineLevel="0" collapsed="false">
      <c r="A2041" s="1" t="s">
        <v>2898</v>
      </c>
      <c r="B2041" s="1" t="s">
        <v>545</v>
      </c>
      <c r="C2041" s="1" t="s">
        <v>43</v>
      </c>
      <c r="D2041" s="1" t="s">
        <v>143</v>
      </c>
      <c r="E2041" s="1" t="s">
        <v>162</v>
      </c>
      <c r="F2041" s="1" t="s">
        <v>96</v>
      </c>
      <c r="G2041" s="1" t="s">
        <v>97</v>
      </c>
      <c r="H2041" s="1" t="s">
        <v>69</v>
      </c>
      <c r="I2041" s="1" t="s">
        <v>34</v>
      </c>
      <c r="J2041" s="1" t="s">
        <v>59</v>
      </c>
      <c r="K2041" s="1" t="s">
        <v>104</v>
      </c>
      <c r="L2041" s="1" t="s">
        <v>61</v>
      </c>
      <c r="M2041" s="1" t="s">
        <v>38</v>
      </c>
      <c r="N2041" s="1" t="n">
        <v>14999</v>
      </c>
      <c r="O2041" s="1" t="n">
        <v>10</v>
      </c>
      <c r="P2041" s="1" t="n">
        <v>1499.9</v>
      </c>
      <c r="Q2041" s="1" t="n">
        <v>13499.1</v>
      </c>
      <c r="R2041" s="1" t="n">
        <v>2429.84</v>
      </c>
      <c r="S2041" s="1" t="n">
        <v>11069.26</v>
      </c>
      <c r="T2041" s="1" t="n">
        <v>4976.54</v>
      </c>
      <c r="U2041" s="1" t="n">
        <v>6092.72</v>
      </c>
      <c r="V2041" s="1" t="n">
        <v>55.04</v>
      </c>
      <c r="W2041" s="1" t="s">
        <v>39</v>
      </c>
      <c r="X2041" s="1" t="n">
        <v>3.4</v>
      </c>
      <c r="Y2041" s="1" t="s">
        <v>40</v>
      </c>
      <c r="Z2041" s="1" t="n">
        <v>0</v>
      </c>
      <c r="AA2041" s="1" t="str">
        <f aca="false">TRIM(PROPER(F2041))</f>
        <v>Pune</v>
      </c>
      <c r="AB2041" s="1" t="str">
        <f aca="false">TRIM(PROPER(C2041))</f>
        <v>Meritnation</v>
      </c>
      <c r="AC2041" s="1" t="str">
        <f aca="false">IF(O2041=0,"No Discount",IF(O2041&lt;=15,"Low (1-15%)",IF(O2041&lt;=30,"Medium (16-30%)","High (&gt;30%)")))</f>
        <v>Low (1-15%)</v>
      </c>
      <c r="AD2041" s="1" t="str">
        <f aca="false">IF(V2041&lt;0,"Loss Making",IF(V2041&lt;20,"Low Margin","Healthy Margin"))</f>
        <v>Healthy Margin</v>
      </c>
      <c r="AE2041" s="1" t="str">
        <f aca="false">TEXT(DATE(VALUE(RIGHT(B2041,4)),VALUE(MID(B2041,4,2)),VALUE(LEFT(B2041,2))),"MMM-YYYY")</f>
        <v>May-2023</v>
      </c>
      <c r="AF2041" s="1" t="n">
        <f aca="false">VALUE(RIGHT(B2041,4))</f>
        <v>2023</v>
      </c>
      <c r="AG2041" s="1" t="str">
        <f aca="false">CHOOSE(ROUNDUP(VALUE(MID(B2041,4,2))/3,0),"Q1","Q2","Q3","Q4")</f>
        <v>Q2</v>
      </c>
    </row>
    <row r="2042" customFormat="false" ht="15" hidden="false" customHeight="true" outlineLevel="0" collapsed="false">
      <c r="A2042" s="1" t="s">
        <v>2899</v>
      </c>
      <c r="B2042" s="1" t="s">
        <v>1746</v>
      </c>
      <c r="C2042" s="1" t="s">
        <v>100</v>
      </c>
      <c r="D2042" s="1" t="s">
        <v>29</v>
      </c>
      <c r="E2042" s="1" t="s">
        <v>30</v>
      </c>
      <c r="F2042" s="1" t="s">
        <v>184</v>
      </c>
      <c r="G2042" s="1" t="s">
        <v>56</v>
      </c>
      <c r="H2042" s="1" t="s">
        <v>57</v>
      </c>
      <c r="I2042" s="1" t="s">
        <v>83</v>
      </c>
      <c r="J2042" s="1" t="s">
        <v>77</v>
      </c>
      <c r="K2042" s="1" t="s">
        <v>71</v>
      </c>
      <c r="L2042" s="1" t="s">
        <v>85</v>
      </c>
      <c r="M2042" s="1" t="s">
        <v>38</v>
      </c>
      <c r="N2042" s="1" t="n">
        <v>7999</v>
      </c>
      <c r="O2042" s="1" t="n">
        <v>0</v>
      </c>
      <c r="P2042" s="1" t="n">
        <v>0</v>
      </c>
      <c r="Q2042" s="1" t="n">
        <v>7999</v>
      </c>
      <c r="R2042" s="1" t="n">
        <v>1439.82</v>
      </c>
      <c r="S2042" s="1" t="n">
        <v>6559.18</v>
      </c>
      <c r="T2042" s="1" t="n">
        <v>2912.46</v>
      </c>
      <c r="U2042" s="1" t="n">
        <v>3646.72</v>
      </c>
      <c r="V2042" s="1" t="n">
        <v>55.6</v>
      </c>
      <c r="W2042" s="1" t="s">
        <v>39</v>
      </c>
      <c r="X2042" s="1" t="n">
        <v>4.1</v>
      </c>
      <c r="Y2042" s="1" t="s">
        <v>40</v>
      </c>
      <c r="Z2042" s="1" t="n">
        <v>0</v>
      </c>
      <c r="AA2042" s="1" t="str">
        <f aca="false">TRIM(PROPER(F2042))</f>
        <v>Faridabad</v>
      </c>
      <c r="AB2042" s="1" t="str">
        <f aca="false">TRIM(PROPER(C2042))</f>
        <v>Physics Wallah</v>
      </c>
      <c r="AC2042" s="1" t="str">
        <f aca="false">IF(O2042=0,"No Discount",IF(O2042&lt;=15,"Low (1-15%)",IF(O2042&lt;=30,"Medium (16-30%)","High (&gt;30%)")))</f>
        <v>No Discount</v>
      </c>
      <c r="AD2042" s="1" t="str">
        <f aca="false">IF(V2042&lt;0,"Loss Making",IF(V2042&lt;20,"Low Margin","Healthy Margin"))</f>
        <v>Healthy Margin</v>
      </c>
      <c r="AE2042" s="1" t="str">
        <f aca="false">TEXT(DATE(VALUE(RIGHT(B2042,4)),VALUE(MID(B2042,4,2)),VALUE(LEFT(B2042,2))),"MMM-YYYY")</f>
        <v>Nov-2023</v>
      </c>
      <c r="AF2042" s="1" t="n">
        <f aca="false">VALUE(RIGHT(B2042,4))</f>
        <v>2023</v>
      </c>
      <c r="AG2042" s="1" t="str">
        <f aca="false">CHOOSE(ROUNDUP(VALUE(MID(B2042,4,2))/3,0),"Q1","Q2","Q3","Q4")</f>
        <v>Q4</v>
      </c>
    </row>
    <row r="2043" customFormat="false" ht="15" hidden="false" customHeight="true" outlineLevel="0" collapsed="false">
      <c r="A2043" s="1" t="s">
        <v>2900</v>
      </c>
      <c r="B2043" s="1" t="s">
        <v>1614</v>
      </c>
      <c r="C2043" s="1" t="s">
        <v>28</v>
      </c>
      <c r="D2043" s="1" t="s">
        <v>80</v>
      </c>
      <c r="E2043" s="1" t="s">
        <v>193</v>
      </c>
      <c r="F2043" s="1" t="s">
        <v>31</v>
      </c>
      <c r="G2043" s="1" t="s">
        <v>32</v>
      </c>
      <c r="H2043" s="1" t="s">
        <v>33</v>
      </c>
      <c r="I2043" s="1" t="s">
        <v>58</v>
      </c>
      <c r="J2043" s="1" t="s">
        <v>35</v>
      </c>
      <c r="K2043" s="1" t="s">
        <v>112</v>
      </c>
      <c r="L2043" s="1" t="s">
        <v>113</v>
      </c>
      <c r="M2043" s="1" t="s">
        <v>62</v>
      </c>
      <c r="N2043" s="1" t="n">
        <v>8999</v>
      </c>
      <c r="O2043" s="1" t="n">
        <v>25</v>
      </c>
      <c r="P2043" s="1" t="n">
        <v>2249.75</v>
      </c>
      <c r="Q2043" s="1" t="n">
        <v>6749.25</v>
      </c>
      <c r="R2043" s="1" t="n">
        <v>1214.87</v>
      </c>
      <c r="S2043" s="1" t="n">
        <v>5534.38</v>
      </c>
      <c r="T2043" s="1" t="n">
        <v>2447.68</v>
      </c>
      <c r="U2043" s="1" t="n">
        <v>3086.7</v>
      </c>
      <c r="V2043" s="1" t="n">
        <v>55.77</v>
      </c>
      <c r="W2043" s="1" t="s">
        <v>40</v>
      </c>
      <c r="Y2043" s="1" t="s">
        <v>40</v>
      </c>
      <c r="Z2043" s="1" t="n">
        <v>0</v>
      </c>
      <c r="AA2043" s="1" t="str">
        <f aca="false">TRIM(PROPER(F2043))</f>
        <v>Jodhpur</v>
      </c>
      <c r="AB2043" s="1" t="str">
        <f aca="false">TRIM(PROPER(C2043))</f>
        <v>Embibe</v>
      </c>
      <c r="AC2043" s="1" t="str">
        <f aca="false">IF(O2043=0,"No Discount",IF(O2043&lt;=15,"Low (1-15%)",IF(O2043&lt;=30,"Medium (16-30%)","High (&gt;30%)")))</f>
        <v>Medium (16-30%)</v>
      </c>
      <c r="AD2043" s="1" t="str">
        <f aca="false">IF(V2043&lt;0,"Loss Making",IF(V2043&lt;20,"Low Margin","Healthy Margin"))</f>
        <v>Healthy Margin</v>
      </c>
      <c r="AE2043" s="1" t="str">
        <f aca="false">TEXT(DATE(VALUE(RIGHT(B2043,4)),VALUE(MID(B2043,4,2)),VALUE(LEFT(B2043,2))),"MMM-YYYY")</f>
        <v>Jan-2024</v>
      </c>
      <c r="AF2043" s="1" t="n">
        <f aca="false">VALUE(RIGHT(B2043,4))</f>
        <v>2024</v>
      </c>
      <c r="AG2043" s="1" t="str">
        <f aca="false">CHOOSE(ROUNDUP(VALUE(MID(B2043,4,2))/3,0),"Q1","Q2","Q3","Q4")</f>
        <v>Q1</v>
      </c>
    </row>
    <row r="2044" customFormat="false" ht="15" hidden="false" customHeight="true" outlineLevel="0" collapsed="false">
      <c r="A2044" s="1" t="s">
        <v>2901</v>
      </c>
      <c r="B2044" s="1" t="s">
        <v>2902</v>
      </c>
      <c r="C2044" s="1" t="s">
        <v>178</v>
      </c>
      <c r="D2044" s="1" t="s">
        <v>143</v>
      </c>
      <c r="E2044" s="1" t="s">
        <v>210</v>
      </c>
      <c r="F2044" s="1" t="s">
        <v>184</v>
      </c>
      <c r="G2044" s="1" t="s">
        <v>56</v>
      </c>
      <c r="H2044" s="1" t="s">
        <v>57</v>
      </c>
      <c r="I2044" s="1" t="s">
        <v>83</v>
      </c>
      <c r="J2044" s="1" t="s">
        <v>77</v>
      </c>
      <c r="K2044" s="1" t="s">
        <v>104</v>
      </c>
      <c r="L2044" s="1" t="s">
        <v>49</v>
      </c>
      <c r="M2044" s="1" t="s">
        <v>62</v>
      </c>
      <c r="N2044" s="1" t="n">
        <v>18999</v>
      </c>
      <c r="O2044" s="1" t="n">
        <v>5</v>
      </c>
      <c r="P2044" s="1" t="n">
        <v>949.95</v>
      </c>
      <c r="Q2044" s="1" t="n">
        <v>18049.05</v>
      </c>
      <c r="R2044" s="1" t="n">
        <v>3248.83</v>
      </c>
      <c r="S2044" s="1" t="n">
        <v>14800.22</v>
      </c>
      <c r="T2044" s="1" t="n">
        <v>7272.05</v>
      </c>
      <c r="U2044" s="1" t="n">
        <v>7528.17</v>
      </c>
      <c r="V2044" s="1" t="n">
        <v>50.87</v>
      </c>
      <c r="W2044" s="1" t="s">
        <v>40</v>
      </c>
      <c r="Y2044" s="1" t="s">
        <v>39</v>
      </c>
      <c r="Z2044" s="1" t="n">
        <v>3</v>
      </c>
      <c r="AA2044" s="1" t="str">
        <f aca="false">TRIM(PROPER(F2044))</f>
        <v>Faridabad</v>
      </c>
      <c r="AB2044" s="1" t="str">
        <f aca="false">TRIM(PROPER(C2044))</f>
        <v>Leverage Edu</v>
      </c>
      <c r="AC2044" s="1" t="str">
        <f aca="false">IF(O2044=0,"No Discount",IF(O2044&lt;=15,"Low (1-15%)",IF(O2044&lt;=30,"Medium (16-30%)","High (&gt;30%)")))</f>
        <v>Low (1-15%)</v>
      </c>
      <c r="AD2044" s="1" t="str">
        <f aca="false">IF(V2044&lt;0,"Loss Making",IF(V2044&lt;20,"Low Margin","Healthy Margin"))</f>
        <v>Healthy Margin</v>
      </c>
      <c r="AE2044" s="1" t="str">
        <f aca="false">TEXT(DATE(VALUE(RIGHT(B2044,4)),VALUE(MID(B2044,4,2)),VALUE(LEFT(B2044,2))),"MMM-YYYY")</f>
        <v>May-2023</v>
      </c>
      <c r="AF2044" s="1" t="n">
        <f aca="false">VALUE(RIGHT(B2044,4))</f>
        <v>2023</v>
      </c>
      <c r="AG2044" s="1" t="str">
        <f aca="false">CHOOSE(ROUNDUP(VALUE(MID(B2044,4,2))/3,0),"Q1","Q2","Q3","Q4")</f>
        <v>Q2</v>
      </c>
    </row>
    <row r="2045" customFormat="false" ht="15" hidden="false" customHeight="true" outlineLevel="0" collapsed="false">
      <c r="A2045" s="1" t="s">
        <v>2903</v>
      </c>
      <c r="B2045" s="1" t="s">
        <v>2021</v>
      </c>
      <c r="C2045" s="1" t="s">
        <v>134</v>
      </c>
      <c r="D2045" s="1" t="s">
        <v>94</v>
      </c>
      <c r="E2045" s="1" t="s">
        <v>95</v>
      </c>
      <c r="F2045" s="1" t="s">
        <v>641</v>
      </c>
      <c r="G2045" s="1" t="s">
        <v>103</v>
      </c>
      <c r="H2045" s="1" t="s">
        <v>33</v>
      </c>
      <c r="I2045" s="1" t="s">
        <v>58</v>
      </c>
      <c r="J2045" s="1" t="s">
        <v>70</v>
      </c>
      <c r="K2045" s="1" t="s">
        <v>84</v>
      </c>
      <c r="L2045" s="1" t="s">
        <v>113</v>
      </c>
      <c r="M2045" s="1" t="s">
        <v>38</v>
      </c>
      <c r="N2045" s="1" t="n">
        <v>6999</v>
      </c>
      <c r="O2045" s="1" t="n">
        <v>15</v>
      </c>
      <c r="P2045" s="1" t="n">
        <v>1049.85</v>
      </c>
      <c r="Q2045" s="1" t="n">
        <v>5949.15</v>
      </c>
      <c r="R2045" s="1" t="n">
        <v>1070.85</v>
      </c>
      <c r="S2045" s="1" t="n">
        <v>4878.3</v>
      </c>
      <c r="T2045" s="1" t="n">
        <v>2509.61</v>
      </c>
      <c r="U2045" s="1" t="n">
        <v>2368.69</v>
      </c>
      <c r="V2045" s="1" t="n">
        <v>48.56</v>
      </c>
      <c r="W2045" s="1" t="s">
        <v>39</v>
      </c>
      <c r="X2045" s="1" t="n">
        <v>4.4</v>
      </c>
      <c r="Y2045" s="1" t="s">
        <v>40</v>
      </c>
      <c r="Z2045" s="1" t="n">
        <v>3</v>
      </c>
      <c r="AA2045" s="1" t="str">
        <f aca="false">TRIM(PROPER(F2045))</f>
        <v>Warangal</v>
      </c>
      <c r="AB2045" s="1" t="str">
        <f aca="false">TRIM(PROPER(C2045))</f>
        <v>Doubtnut</v>
      </c>
      <c r="AC2045" s="1" t="str">
        <f aca="false">IF(O2045=0,"No Discount",IF(O2045&lt;=15,"Low (1-15%)",IF(O2045&lt;=30,"Medium (16-30%)","High (&gt;30%)")))</f>
        <v>Low (1-15%)</v>
      </c>
      <c r="AD2045" s="1" t="str">
        <f aca="false">IF(V2045&lt;0,"Loss Making",IF(V2045&lt;20,"Low Margin","Healthy Margin"))</f>
        <v>Healthy Margin</v>
      </c>
      <c r="AE2045" s="1" t="str">
        <f aca="false">TEXT(DATE(VALUE(RIGHT(B2045,4)),VALUE(MID(B2045,4,2)),VALUE(LEFT(B2045,2))),"MMM-YYYY")</f>
        <v>Nov-2024</v>
      </c>
      <c r="AF2045" s="1" t="n">
        <f aca="false">VALUE(RIGHT(B2045,4))</f>
        <v>2024</v>
      </c>
      <c r="AG2045" s="1" t="str">
        <f aca="false">CHOOSE(ROUNDUP(VALUE(MID(B2045,4,2))/3,0),"Q1","Q2","Q3","Q4")</f>
        <v>Q4</v>
      </c>
    </row>
    <row r="2046" customFormat="false" ht="15" hidden="false" customHeight="true" outlineLevel="0" collapsed="false">
      <c r="A2046" s="1" t="s">
        <v>2904</v>
      </c>
      <c r="B2046" s="1" t="s">
        <v>1372</v>
      </c>
      <c r="C2046" s="1" t="s">
        <v>74</v>
      </c>
      <c r="D2046" s="1" t="s">
        <v>143</v>
      </c>
      <c r="E2046" s="1" t="s">
        <v>243</v>
      </c>
      <c r="F2046" s="1" t="s">
        <v>184</v>
      </c>
      <c r="G2046" s="1" t="s">
        <v>56</v>
      </c>
      <c r="H2046" s="1" t="s">
        <v>57</v>
      </c>
      <c r="I2046" s="1" t="s">
        <v>83</v>
      </c>
      <c r="J2046" s="1" t="s">
        <v>35</v>
      </c>
      <c r="K2046" s="1" t="s">
        <v>84</v>
      </c>
      <c r="L2046" s="1" t="s">
        <v>61</v>
      </c>
      <c r="M2046" s="1" t="s">
        <v>38</v>
      </c>
      <c r="N2046" s="1" t="n">
        <v>22999</v>
      </c>
      <c r="O2046" s="1" t="n">
        <v>50</v>
      </c>
      <c r="P2046" s="1" t="n">
        <v>11499.5</v>
      </c>
      <c r="Q2046" s="1" t="n">
        <v>11499.5</v>
      </c>
      <c r="R2046" s="1" t="n">
        <v>2069.91</v>
      </c>
      <c r="S2046" s="1" t="n">
        <v>9429.59</v>
      </c>
      <c r="T2046" s="1" t="n">
        <v>4501.45</v>
      </c>
      <c r="U2046" s="1" t="n">
        <v>4928.14</v>
      </c>
      <c r="V2046" s="1" t="n">
        <v>52.26</v>
      </c>
      <c r="W2046" s="1" t="s">
        <v>40</v>
      </c>
      <c r="Y2046" s="1" t="s">
        <v>40</v>
      </c>
      <c r="Z2046" s="1" t="n">
        <v>2</v>
      </c>
      <c r="AA2046" s="1" t="str">
        <f aca="false">TRIM(PROPER(F2046))</f>
        <v>Faridabad</v>
      </c>
      <c r="AB2046" s="1" t="str">
        <f aca="false">TRIM(PROPER(C2046))</f>
        <v>Vedantu</v>
      </c>
      <c r="AC2046" s="1" t="str">
        <f aca="false">IF(O2046=0,"No Discount",IF(O2046&lt;=15,"Low (1-15%)",IF(O2046&lt;=30,"Medium (16-30%)","High (&gt;30%)")))</f>
        <v>High (&gt;30%)</v>
      </c>
      <c r="AD2046" s="1" t="str">
        <f aca="false">IF(V2046&lt;0,"Loss Making",IF(V2046&lt;20,"Low Margin","Healthy Margin"))</f>
        <v>Healthy Margin</v>
      </c>
      <c r="AE2046" s="1" t="str">
        <f aca="false">TEXT(DATE(VALUE(RIGHT(B2046,4)),VALUE(MID(B2046,4,2)),VALUE(LEFT(B2046,2))),"MMM-YYYY")</f>
        <v>Dec-2023</v>
      </c>
      <c r="AF2046" s="1" t="n">
        <f aca="false">VALUE(RIGHT(B2046,4))</f>
        <v>2023</v>
      </c>
      <c r="AG2046" s="1" t="str">
        <f aca="false">CHOOSE(ROUNDUP(VALUE(MID(B2046,4,2))/3,0),"Q1","Q2","Q3","Q4")</f>
        <v>Q4</v>
      </c>
    </row>
    <row r="2047" customFormat="false" ht="15" hidden="false" customHeight="true" outlineLevel="0" collapsed="false">
      <c r="A2047" s="1" t="s">
        <v>2905</v>
      </c>
      <c r="B2047" s="1" t="s">
        <v>616</v>
      </c>
      <c r="C2047" s="1" t="s">
        <v>119</v>
      </c>
      <c r="D2047" s="1" t="s">
        <v>94</v>
      </c>
      <c r="E2047" s="1" t="s">
        <v>95</v>
      </c>
      <c r="F2047" s="1" t="s">
        <v>140</v>
      </c>
      <c r="G2047" s="1" t="s">
        <v>97</v>
      </c>
      <c r="H2047" s="1" t="s">
        <v>57</v>
      </c>
      <c r="I2047" s="1" t="s">
        <v>58</v>
      </c>
      <c r="J2047" s="1" t="s">
        <v>59</v>
      </c>
      <c r="K2047" s="1" t="s">
        <v>112</v>
      </c>
      <c r="L2047" s="1" t="s">
        <v>85</v>
      </c>
      <c r="M2047" s="1" t="s">
        <v>38</v>
      </c>
      <c r="N2047" s="1" t="n">
        <v>6999</v>
      </c>
      <c r="O2047" s="1" t="n">
        <v>30</v>
      </c>
      <c r="P2047" s="1" t="n">
        <v>2099.7</v>
      </c>
      <c r="Q2047" s="1" t="n">
        <v>4899.3</v>
      </c>
      <c r="R2047" s="1" t="n">
        <v>881.87</v>
      </c>
      <c r="S2047" s="1" t="n">
        <v>4017.43</v>
      </c>
      <c r="T2047" s="1" t="n">
        <v>1960.41</v>
      </c>
      <c r="U2047" s="1" t="n">
        <v>2057.02</v>
      </c>
      <c r="V2047" s="1" t="n">
        <v>51.2</v>
      </c>
      <c r="W2047" s="1" t="s">
        <v>40</v>
      </c>
      <c r="Y2047" s="1" t="s">
        <v>40</v>
      </c>
      <c r="Z2047" s="1" t="n">
        <v>1</v>
      </c>
      <c r="AA2047" s="1" t="str">
        <f aca="false">TRIM(PROPER(F2047))</f>
        <v>Nashik</v>
      </c>
      <c r="AB2047" s="1" t="str">
        <f aca="false">TRIM(PROPER(C2047))</f>
        <v>Simplilearn</v>
      </c>
      <c r="AC2047" s="1" t="str">
        <f aca="false">IF(O2047=0,"No Discount",IF(O2047&lt;=15,"Low (1-15%)",IF(O2047&lt;=30,"Medium (16-30%)","High (&gt;30%)")))</f>
        <v>Medium (16-30%)</v>
      </c>
      <c r="AD2047" s="1" t="str">
        <f aca="false">IF(V2047&lt;0,"Loss Making",IF(V2047&lt;20,"Low Margin","Healthy Margin"))</f>
        <v>Healthy Margin</v>
      </c>
      <c r="AE2047" s="1" t="str">
        <f aca="false">TEXT(DATE(VALUE(RIGHT(B2047,4)),VALUE(MID(B2047,4,2)),VALUE(LEFT(B2047,2))),"MMM-YYYY")</f>
        <v>Jan-2023</v>
      </c>
      <c r="AF2047" s="1" t="n">
        <f aca="false">VALUE(RIGHT(B2047,4))</f>
        <v>2023</v>
      </c>
      <c r="AG2047" s="1" t="str">
        <f aca="false">CHOOSE(ROUNDUP(VALUE(MID(B2047,4,2))/3,0),"Q1","Q2","Q3","Q4")</f>
        <v>Q1</v>
      </c>
    </row>
    <row r="2048" customFormat="false" ht="15" hidden="false" customHeight="true" outlineLevel="0" collapsed="false">
      <c r="A2048" s="1" t="s">
        <v>2906</v>
      </c>
      <c r="B2048" s="1" t="s">
        <v>1135</v>
      </c>
      <c r="C2048" s="1" t="s">
        <v>139</v>
      </c>
      <c r="D2048" s="1" t="s">
        <v>168</v>
      </c>
      <c r="E2048" s="1" t="s">
        <v>172</v>
      </c>
      <c r="F2048" s="1" t="s">
        <v>125</v>
      </c>
      <c r="G2048" s="1" t="s">
        <v>108</v>
      </c>
      <c r="H2048" s="1" t="s">
        <v>69</v>
      </c>
      <c r="I2048" s="1" t="s">
        <v>34</v>
      </c>
      <c r="J2048" s="1" t="s">
        <v>77</v>
      </c>
      <c r="K2048" s="1" t="s">
        <v>112</v>
      </c>
      <c r="L2048" s="1" t="s">
        <v>61</v>
      </c>
      <c r="M2048" s="1" t="s">
        <v>62</v>
      </c>
      <c r="N2048" s="1" t="n">
        <v>6999</v>
      </c>
      <c r="O2048" s="1" t="n">
        <v>10</v>
      </c>
      <c r="P2048" s="1" t="n">
        <v>699.9</v>
      </c>
      <c r="Q2048" s="1" t="n">
        <v>6299.1</v>
      </c>
      <c r="R2048" s="1" t="n">
        <v>1133.84</v>
      </c>
      <c r="S2048" s="1" t="n">
        <v>5165.26</v>
      </c>
      <c r="T2048" s="1" t="n">
        <v>1981.38</v>
      </c>
      <c r="U2048" s="1" t="n">
        <v>3183.88</v>
      </c>
      <c r="V2048" s="1" t="n">
        <v>61.64</v>
      </c>
      <c r="W2048" s="1" t="s">
        <v>39</v>
      </c>
      <c r="Y2048" s="1" t="s">
        <v>40</v>
      </c>
      <c r="Z2048" s="1" t="n">
        <v>1</v>
      </c>
      <c r="AA2048" s="1" t="str">
        <f aca="false">TRIM(PROPER(F2048))</f>
        <v>Chennai</v>
      </c>
      <c r="AB2048" s="1" t="str">
        <f aca="false">TRIM(PROPER(C2048))</f>
        <v>Extramarks</v>
      </c>
      <c r="AC2048" s="1" t="str">
        <f aca="false">IF(O2048=0,"No Discount",IF(O2048&lt;=15,"Low (1-15%)",IF(O2048&lt;=30,"Medium (16-30%)","High (&gt;30%)")))</f>
        <v>Low (1-15%)</v>
      </c>
      <c r="AD2048" s="1" t="str">
        <f aca="false">IF(V2048&lt;0,"Loss Making",IF(V2048&lt;20,"Low Margin","Healthy Margin"))</f>
        <v>Healthy Margin</v>
      </c>
      <c r="AE2048" s="1" t="str">
        <f aca="false">TEXT(DATE(VALUE(RIGHT(B2048,4)),VALUE(MID(B2048,4,2)),VALUE(LEFT(B2048,2))),"MMM-YYYY")</f>
        <v>Jun-2024</v>
      </c>
      <c r="AF2048" s="1" t="n">
        <f aca="false">VALUE(RIGHT(B2048,4))</f>
        <v>2024</v>
      </c>
      <c r="AG2048" s="1" t="str">
        <f aca="false">CHOOSE(ROUNDUP(VALUE(MID(B2048,4,2))/3,0),"Q1","Q2","Q3","Q4")</f>
        <v>Q2</v>
      </c>
    </row>
    <row r="2049" customFormat="false" ht="15" hidden="false" customHeight="true" outlineLevel="0" collapsed="false">
      <c r="A2049" s="1" t="s">
        <v>2907</v>
      </c>
      <c r="B2049" s="1" t="s">
        <v>1131</v>
      </c>
      <c r="C2049" s="1" t="s">
        <v>43</v>
      </c>
      <c r="D2049" s="1" t="s">
        <v>143</v>
      </c>
      <c r="E2049" s="1" t="s">
        <v>159</v>
      </c>
      <c r="F2049" s="1" t="s">
        <v>125</v>
      </c>
      <c r="G2049" s="1" t="s">
        <v>108</v>
      </c>
      <c r="H2049" s="1" t="s">
        <v>69</v>
      </c>
      <c r="I2049" s="1" t="s">
        <v>58</v>
      </c>
      <c r="J2049" s="1" t="s">
        <v>70</v>
      </c>
      <c r="K2049" s="1" t="s">
        <v>112</v>
      </c>
      <c r="L2049" s="1" t="s">
        <v>136</v>
      </c>
      <c r="M2049" s="1" t="s">
        <v>62</v>
      </c>
      <c r="N2049" s="1" t="n">
        <v>24999</v>
      </c>
      <c r="O2049" s="1" t="n">
        <v>10</v>
      </c>
      <c r="P2049" s="1" t="n">
        <v>2499.9</v>
      </c>
      <c r="Q2049" s="1" t="n">
        <v>22499.1</v>
      </c>
      <c r="R2049" s="1" t="n">
        <v>4049.84</v>
      </c>
      <c r="S2049" s="1" t="n">
        <v>18449.26</v>
      </c>
      <c r="T2049" s="1" t="n">
        <v>7757.23</v>
      </c>
      <c r="U2049" s="1" t="n">
        <v>10692.03</v>
      </c>
      <c r="V2049" s="1" t="n">
        <v>57.95</v>
      </c>
      <c r="W2049" s="1" t="s">
        <v>40</v>
      </c>
      <c r="Y2049" s="1" t="s">
        <v>40</v>
      </c>
      <c r="Z2049" s="1" t="n">
        <v>0</v>
      </c>
      <c r="AA2049" s="1" t="str">
        <f aca="false">TRIM(PROPER(F2049))</f>
        <v>Chennai</v>
      </c>
      <c r="AB2049" s="1" t="str">
        <f aca="false">TRIM(PROPER(C2049))</f>
        <v>Meritnation</v>
      </c>
      <c r="AC2049" s="1" t="str">
        <f aca="false">IF(O2049=0,"No Discount",IF(O2049&lt;=15,"Low (1-15%)",IF(O2049&lt;=30,"Medium (16-30%)","High (&gt;30%)")))</f>
        <v>Low (1-15%)</v>
      </c>
      <c r="AD2049" s="1" t="str">
        <f aca="false">IF(V2049&lt;0,"Loss Making",IF(V2049&lt;20,"Low Margin","Healthy Margin"))</f>
        <v>Healthy Margin</v>
      </c>
      <c r="AE2049" s="1" t="str">
        <f aca="false">TEXT(DATE(VALUE(RIGHT(B2049,4)),VALUE(MID(B2049,4,2)),VALUE(LEFT(B2049,2))),"MMM-YYYY")</f>
        <v>Apr-2024</v>
      </c>
      <c r="AF2049" s="1" t="n">
        <f aca="false">VALUE(RIGHT(B2049,4))</f>
        <v>2024</v>
      </c>
      <c r="AG2049" s="1" t="str">
        <f aca="false">CHOOSE(ROUNDUP(VALUE(MID(B2049,4,2))/3,0),"Q1","Q2","Q3","Q4")</f>
        <v>Q2</v>
      </c>
    </row>
    <row r="2050" customFormat="false" ht="15" hidden="false" customHeight="true" outlineLevel="0" collapsed="false">
      <c r="A2050" s="1" t="s">
        <v>2908</v>
      </c>
      <c r="B2050" s="1" t="s">
        <v>1054</v>
      </c>
      <c r="C2050" s="1" t="s">
        <v>93</v>
      </c>
      <c r="D2050" s="1" t="s">
        <v>44</v>
      </c>
      <c r="E2050" s="1" t="s">
        <v>66</v>
      </c>
      <c r="F2050" s="1" t="s">
        <v>67</v>
      </c>
      <c r="G2050" s="1" t="s">
        <v>68</v>
      </c>
      <c r="H2050" s="1" t="s">
        <v>69</v>
      </c>
      <c r="I2050" s="1" t="s">
        <v>58</v>
      </c>
      <c r="J2050" s="1" t="s">
        <v>35</v>
      </c>
      <c r="K2050" s="1" t="s">
        <v>90</v>
      </c>
      <c r="L2050" s="1" t="s">
        <v>136</v>
      </c>
      <c r="M2050" s="1" t="s">
        <v>50</v>
      </c>
      <c r="N2050" s="1" t="n">
        <v>12999</v>
      </c>
      <c r="O2050" s="1" t="n">
        <v>20</v>
      </c>
      <c r="P2050" s="1" t="n">
        <v>2599.8</v>
      </c>
      <c r="Q2050" s="1" t="n">
        <v>10399.2</v>
      </c>
      <c r="R2050" s="1" t="n">
        <v>1871.86</v>
      </c>
      <c r="S2050" s="1" t="n">
        <v>8527.34</v>
      </c>
      <c r="T2050" s="1" t="n">
        <v>2564.4</v>
      </c>
      <c r="U2050" s="1" t="n">
        <v>5962.94</v>
      </c>
      <c r="V2050" s="1" t="n">
        <v>69.93</v>
      </c>
      <c r="W2050" s="1" t="s">
        <v>40</v>
      </c>
      <c r="Y2050" s="1" t="s">
        <v>40</v>
      </c>
      <c r="Z2050" s="1" t="n">
        <v>1</v>
      </c>
      <c r="AA2050" s="1" t="str">
        <f aca="false">TRIM(PROPER(F2050))</f>
        <v>Ahmedabad</v>
      </c>
      <c r="AB2050" s="1" t="str">
        <f aca="false">TRIM(PROPER(C2050))</f>
        <v>Upgrad</v>
      </c>
      <c r="AC2050" s="1" t="str">
        <f aca="false">IF(O2050=0,"No Discount",IF(O2050&lt;=15,"Low (1-15%)",IF(O2050&lt;=30,"Medium (16-30%)","High (&gt;30%)")))</f>
        <v>Medium (16-30%)</v>
      </c>
      <c r="AD2050" s="1" t="str">
        <f aca="false">IF(V2050&lt;0,"Loss Making",IF(V2050&lt;20,"Low Margin","Healthy Margin"))</f>
        <v>Healthy Margin</v>
      </c>
      <c r="AE2050" s="1" t="str">
        <f aca="false">TEXT(DATE(VALUE(RIGHT(B2050,4)),VALUE(MID(B2050,4,2)),VALUE(LEFT(B2050,2))),"MMM-YYYY")</f>
        <v>Nov-2024</v>
      </c>
      <c r="AF2050" s="1" t="n">
        <f aca="false">VALUE(RIGHT(B2050,4))</f>
        <v>2024</v>
      </c>
      <c r="AG2050" s="1" t="str">
        <f aca="false">CHOOSE(ROUNDUP(VALUE(MID(B2050,4,2))/3,0),"Q1","Q2","Q3","Q4")</f>
        <v>Q4</v>
      </c>
    </row>
    <row r="2051" customFormat="false" ht="15" hidden="false" customHeight="true" outlineLevel="0" collapsed="false">
      <c r="A2051" s="1" t="s">
        <v>2909</v>
      </c>
      <c r="B2051" s="1" t="s">
        <v>657</v>
      </c>
      <c r="C2051" s="1" t="s">
        <v>28</v>
      </c>
      <c r="D2051" s="1" t="s">
        <v>123</v>
      </c>
      <c r="E2051" s="1" t="s">
        <v>124</v>
      </c>
      <c r="F2051" s="1" t="s">
        <v>211</v>
      </c>
      <c r="G2051" s="1" t="s">
        <v>56</v>
      </c>
      <c r="H2051" s="1" t="s">
        <v>69</v>
      </c>
      <c r="I2051" s="1" t="s">
        <v>58</v>
      </c>
      <c r="J2051" s="1" t="s">
        <v>35</v>
      </c>
      <c r="K2051" s="1" t="s">
        <v>84</v>
      </c>
      <c r="L2051" s="1" t="s">
        <v>49</v>
      </c>
      <c r="M2051" s="1" t="s">
        <v>50</v>
      </c>
      <c r="N2051" s="1" t="n">
        <v>4999</v>
      </c>
      <c r="O2051" s="1" t="n">
        <v>30</v>
      </c>
      <c r="P2051" s="1" t="n">
        <v>1499.7</v>
      </c>
      <c r="Q2051" s="1" t="n">
        <v>3499.3</v>
      </c>
      <c r="R2051" s="1" t="n">
        <v>629.87</v>
      </c>
      <c r="S2051" s="1" t="n">
        <v>2869.43</v>
      </c>
      <c r="T2051" s="1" t="n">
        <v>1179.94</v>
      </c>
      <c r="U2051" s="1" t="n">
        <v>1689.49</v>
      </c>
      <c r="V2051" s="1" t="n">
        <v>58.88</v>
      </c>
      <c r="W2051" s="1" t="s">
        <v>40</v>
      </c>
      <c r="Y2051" s="1" t="s">
        <v>40</v>
      </c>
      <c r="Z2051" s="1" t="n">
        <v>2</v>
      </c>
      <c r="AA2051" s="1" t="str">
        <f aca="false">TRIM(PROPER(F2051))</f>
        <v>Noida</v>
      </c>
      <c r="AB2051" s="1" t="str">
        <f aca="false">TRIM(PROPER(C2051))</f>
        <v>Embibe</v>
      </c>
      <c r="AC2051" s="1" t="str">
        <f aca="false">IF(O2051=0,"No Discount",IF(O2051&lt;=15,"Low (1-15%)",IF(O2051&lt;=30,"Medium (16-30%)","High (&gt;30%)")))</f>
        <v>Medium (16-30%)</v>
      </c>
      <c r="AD2051" s="1" t="str">
        <f aca="false">IF(V2051&lt;0,"Loss Making",IF(V2051&lt;20,"Low Margin","Healthy Margin"))</f>
        <v>Healthy Margin</v>
      </c>
      <c r="AE2051" s="1" t="str">
        <f aca="false">TEXT(DATE(VALUE(RIGHT(B2051,4)),VALUE(MID(B2051,4,2)),VALUE(LEFT(B2051,2))),"MMM-YYYY")</f>
        <v>May-2024</v>
      </c>
      <c r="AF2051" s="1" t="n">
        <f aca="false">VALUE(RIGHT(B2051,4))</f>
        <v>2024</v>
      </c>
      <c r="AG2051" s="1" t="str">
        <f aca="false">CHOOSE(ROUNDUP(VALUE(MID(B2051,4,2))/3,0),"Q1","Q2","Q3","Q4")</f>
        <v>Q2</v>
      </c>
    </row>
    <row r="2052" customFormat="false" ht="15" hidden="false" customHeight="true" outlineLevel="0" collapsed="false">
      <c r="A2052" s="1" t="s">
        <v>2910</v>
      </c>
      <c r="B2052" s="1" t="s">
        <v>1430</v>
      </c>
      <c r="C2052" s="1" t="s">
        <v>178</v>
      </c>
      <c r="D2052" s="1" t="s">
        <v>94</v>
      </c>
      <c r="E2052" s="1" t="s">
        <v>95</v>
      </c>
      <c r="F2052" s="1" t="s">
        <v>140</v>
      </c>
      <c r="G2052" s="1" t="s">
        <v>97</v>
      </c>
      <c r="H2052" s="1" t="s">
        <v>57</v>
      </c>
      <c r="I2052" s="1" t="s">
        <v>83</v>
      </c>
      <c r="J2052" s="1" t="s">
        <v>77</v>
      </c>
      <c r="K2052" s="1" t="s">
        <v>36</v>
      </c>
      <c r="L2052" s="1" t="s">
        <v>136</v>
      </c>
      <c r="M2052" s="1" t="s">
        <v>38</v>
      </c>
      <c r="N2052" s="1" t="n">
        <v>6999</v>
      </c>
      <c r="O2052" s="1" t="n">
        <v>0</v>
      </c>
      <c r="P2052" s="1" t="n">
        <v>0</v>
      </c>
      <c r="Q2052" s="1" t="n">
        <v>6999</v>
      </c>
      <c r="R2052" s="1" t="n">
        <v>1259.82</v>
      </c>
      <c r="S2052" s="1" t="n">
        <v>5739.18</v>
      </c>
      <c r="T2052" s="1" t="n">
        <v>2488.88</v>
      </c>
      <c r="U2052" s="1" t="n">
        <v>3250.3</v>
      </c>
      <c r="V2052" s="1" t="n">
        <v>56.63</v>
      </c>
      <c r="W2052" s="1" t="s">
        <v>39</v>
      </c>
      <c r="Y2052" s="1" t="s">
        <v>40</v>
      </c>
      <c r="Z2052" s="1" t="n">
        <v>1</v>
      </c>
      <c r="AA2052" s="1" t="str">
        <f aca="false">TRIM(PROPER(F2052))</f>
        <v>Nashik</v>
      </c>
      <c r="AB2052" s="1" t="str">
        <f aca="false">TRIM(PROPER(C2052))</f>
        <v>Leverage Edu</v>
      </c>
      <c r="AC2052" s="1" t="str">
        <f aca="false">IF(O2052=0,"No Discount",IF(O2052&lt;=15,"Low (1-15%)",IF(O2052&lt;=30,"Medium (16-30%)","High (&gt;30%)")))</f>
        <v>No Discount</v>
      </c>
      <c r="AD2052" s="1" t="str">
        <f aca="false">IF(V2052&lt;0,"Loss Making",IF(V2052&lt;20,"Low Margin","Healthy Margin"))</f>
        <v>Healthy Margin</v>
      </c>
      <c r="AE2052" s="1" t="str">
        <f aca="false">TEXT(DATE(VALUE(RIGHT(B2052,4)),VALUE(MID(B2052,4,2)),VALUE(LEFT(B2052,2))),"MMM-YYYY")</f>
        <v>Oct-2023</v>
      </c>
      <c r="AF2052" s="1" t="n">
        <f aca="false">VALUE(RIGHT(B2052,4))</f>
        <v>2023</v>
      </c>
      <c r="AG2052" s="1" t="str">
        <f aca="false">CHOOSE(ROUNDUP(VALUE(MID(B2052,4,2))/3,0),"Q1","Q2","Q3","Q4")</f>
        <v>Q4</v>
      </c>
    </row>
    <row r="2053" customFormat="false" ht="15" hidden="false" customHeight="true" outlineLevel="0" collapsed="false">
      <c r="A2053" s="1" t="s">
        <v>2911</v>
      </c>
      <c r="B2053" s="1" t="s">
        <v>530</v>
      </c>
      <c r="C2053" s="1" t="s">
        <v>859</v>
      </c>
      <c r="D2053" s="1" t="s">
        <v>29</v>
      </c>
      <c r="E2053" s="1" t="s">
        <v>305</v>
      </c>
      <c r="F2053" s="1" t="s">
        <v>46</v>
      </c>
      <c r="G2053" s="1" t="s">
        <v>47</v>
      </c>
      <c r="H2053" s="1" t="s">
        <v>33</v>
      </c>
      <c r="I2053" s="1" t="s">
        <v>83</v>
      </c>
      <c r="J2053" s="1" t="s">
        <v>77</v>
      </c>
      <c r="K2053" s="1" t="s">
        <v>48</v>
      </c>
      <c r="L2053" s="1" t="s">
        <v>136</v>
      </c>
      <c r="M2053" s="1" t="s">
        <v>50</v>
      </c>
      <c r="N2053" s="1" t="n">
        <v>24999</v>
      </c>
      <c r="O2053" s="1" t="n">
        <v>10</v>
      </c>
      <c r="P2053" s="1" t="n">
        <v>2499.9</v>
      </c>
      <c r="Q2053" s="1" t="n">
        <v>22499.1</v>
      </c>
      <c r="R2053" s="1" t="n">
        <v>4049.84</v>
      </c>
      <c r="S2053" s="1" t="n">
        <v>18449.26</v>
      </c>
      <c r="T2053" s="1" t="n">
        <v>7180.12</v>
      </c>
      <c r="U2053" s="1" t="n">
        <v>11269.14</v>
      </c>
      <c r="V2053" s="1" t="n">
        <v>61.08</v>
      </c>
      <c r="W2053" s="1" t="s">
        <v>39</v>
      </c>
      <c r="X2053" s="1" t="n">
        <v>3.5</v>
      </c>
      <c r="Y2053" s="1" t="s">
        <v>40</v>
      </c>
      <c r="Z2053" s="1" t="n">
        <v>1</v>
      </c>
      <c r="AA2053" s="1" t="str">
        <f aca="false">TRIM(PROPER(F2053))</f>
        <v>Mangaluru</v>
      </c>
      <c r="AB2053" s="1" t="str">
        <f aca="false">TRIM(PROPER(C2053))</f>
        <v>Whitehat Jr</v>
      </c>
      <c r="AC2053" s="1" t="str">
        <f aca="false">IF(O2053=0,"No Discount",IF(O2053&lt;=15,"Low (1-15%)",IF(O2053&lt;=30,"Medium (16-30%)","High (&gt;30%)")))</f>
        <v>Low (1-15%)</v>
      </c>
      <c r="AD2053" s="1" t="str">
        <f aca="false">IF(V2053&lt;0,"Loss Making",IF(V2053&lt;20,"Low Margin","Healthy Margin"))</f>
        <v>Healthy Margin</v>
      </c>
      <c r="AE2053" s="1" t="str">
        <f aca="false">TEXT(DATE(VALUE(RIGHT(B2053,4)),VALUE(MID(B2053,4,2)),VALUE(LEFT(B2053,2))),"MMM-YYYY")</f>
        <v>Nov-2023</v>
      </c>
      <c r="AF2053" s="1" t="n">
        <f aca="false">VALUE(RIGHT(B2053,4))</f>
        <v>2023</v>
      </c>
      <c r="AG2053" s="1" t="str">
        <f aca="false">CHOOSE(ROUNDUP(VALUE(MID(B2053,4,2))/3,0),"Q1","Q2","Q3","Q4")</f>
        <v>Q4</v>
      </c>
    </row>
    <row r="2054" customFormat="false" ht="15" hidden="false" customHeight="true" outlineLevel="0" collapsed="false">
      <c r="A2054" s="1" t="s">
        <v>2912</v>
      </c>
      <c r="B2054" s="1" t="s">
        <v>223</v>
      </c>
      <c r="C2054" s="1" t="s">
        <v>249</v>
      </c>
      <c r="D2054" s="1" t="s">
        <v>168</v>
      </c>
      <c r="E2054" s="1" t="s">
        <v>172</v>
      </c>
      <c r="F2054" s="1" t="s">
        <v>55</v>
      </c>
      <c r="G2054" s="1" t="s">
        <v>56</v>
      </c>
      <c r="H2054" s="1" t="s">
        <v>57</v>
      </c>
      <c r="I2054" s="1" t="s">
        <v>58</v>
      </c>
      <c r="J2054" s="1" t="s">
        <v>131</v>
      </c>
      <c r="K2054" s="1" t="s">
        <v>84</v>
      </c>
      <c r="L2054" s="1" t="s">
        <v>61</v>
      </c>
      <c r="M2054" s="1" t="s">
        <v>38</v>
      </c>
      <c r="N2054" s="1" t="n">
        <v>6999</v>
      </c>
      <c r="O2054" s="1" t="n">
        <v>25</v>
      </c>
      <c r="P2054" s="1" t="n">
        <v>1749.75</v>
      </c>
      <c r="Q2054" s="1" t="n">
        <v>5249.25</v>
      </c>
      <c r="R2054" s="1" t="n">
        <v>944.87</v>
      </c>
      <c r="S2054" s="1" t="n">
        <v>4304.38</v>
      </c>
      <c r="T2054" s="1" t="n">
        <v>2250.07</v>
      </c>
      <c r="U2054" s="1" t="n">
        <v>2054.31</v>
      </c>
      <c r="V2054" s="1" t="n">
        <v>47.73</v>
      </c>
      <c r="W2054" s="1" t="s">
        <v>39</v>
      </c>
      <c r="X2054" s="1" t="n">
        <v>4</v>
      </c>
      <c r="Y2054" s="1" t="s">
        <v>40</v>
      </c>
      <c r="Z2054" s="1" t="n">
        <v>1</v>
      </c>
      <c r="AA2054" s="1" t="str">
        <f aca="false">TRIM(PROPER(F2054))</f>
        <v>Ghaziabad</v>
      </c>
      <c r="AB2054" s="1" t="str">
        <f aca="false">TRIM(PROPER(C2054))</f>
        <v>Whitehat Jr</v>
      </c>
      <c r="AC2054" s="1" t="str">
        <f aca="false">IF(O2054=0,"No Discount",IF(O2054&lt;=15,"Low (1-15%)",IF(O2054&lt;=30,"Medium (16-30%)","High (&gt;30%)")))</f>
        <v>Medium (16-30%)</v>
      </c>
      <c r="AD2054" s="1" t="str">
        <f aca="false">IF(V2054&lt;0,"Loss Making",IF(V2054&lt;20,"Low Margin","Healthy Margin"))</f>
        <v>Healthy Margin</v>
      </c>
      <c r="AE2054" s="1" t="str">
        <f aca="false">TEXT(DATE(VALUE(RIGHT(B2054,4)),VALUE(MID(B2054,4,2)),VALUE(LEFT(B2054,2))),"MMM-YYYY")</f>
        <v>Nov-2024</v>
      </c>
      <c r="AF2054" s="1" t="n">
        <f aca="false">VALUE(RIGHT(B2054,4))</f>
        <v>2024</v>
      </c>
      <c r="AG2054" s="1" t="str">
        <f aca="false">CHOOSE(ROUNDUP(VALUE(MID(B2054,4,2))/3,0),"Q1","Q2","Q3","Q4")</f>
        <v>Q4</v>
      </c>
    </row>
    <row r="2055" customFormat="false" ht="15" hidden="false" customHeight="true" outlineLevel="0" collapsed="false">
      <c r="A2055" s="1" t="s">
        <v>2913</v>
      </c>
      <c r="B2055" s="1" t="s">
        <v>2267</v>
      </c>
      <c r="C2055" s="1" t="s">
        <v>119</v>
      </c>
      <c r="D2055" s="1" t="s">
        <v>80</v>
      </c>
      <c r="E2055" s="1" t="s">
        <v>193</v>
      </c>
      <c r="F2055" s="1" t="s">
        <v>211</v>
      </c>
      <c r="G2055" s="1" t="s">
        <v>56</v>
      </c>
      <c r="H2055" s="1" t="s">
        <v>69</v>
      </c>
      <c r="I2055" s="1" t="s">
        <v>58</v>
      </c>
      <c r="J2055" s="1" t="s">
        <v>70</v>
      </c>
      <c r="K2055" s="1" t="s">
        <v>112</v>
      </c>
      <c r="L2055" s="1" t="s">
        <v>61</v>
      </c>
      <c r="M2055" s="1" t="s">
        <v>50</v>
      </c>
      <c r="N2055" s="1" t="n">
        <v>8999</v>
      </c>
      <c r="O2055" s="1" t="n">
        <v>50</v>
      </c>
      <c r="P2055" s="1" t="n">
        <v>4499.5</v>
      </c>
      <c r="Q2055" s="1" t="n">
        <v>4499.5</v>
      </c>
      <c r="R2055" s="1" t="n">
        <v>809.91</v>
      </c>
      <c r="S2055" s="1" t="n">
        <v>3689.59</v>
      </c>
      <c r="T2055" s="1" t="n">
        <v>1926.33</v>
      </c>
      <c r="U2055" s="1" t="n">
        <v>1763.26</v>
      </c>
      <c r="V2055" s="1" t="n">
        <v>47.79</v>
      </c>
      <c r="W2055" s="1" t="s">
        <v>39</v>
      </c>
      <c r="X2055" s="1" t="n">
        <v>4.2</v>
      </c>
      <c r="Y2055" s="1" t="s">
        <v>40</v>
      </c>
      <c r="Z2055" s="1" t="n">
        <v>1</v>
      </c>
      <c r="AA2055" s="1" t="str">
        <f aca="false">TRIM(PROPER(F2055))</f>
        <v>Noida</v>
      </c>
      <c r="AB2055" s="1" t="str">
        <f aca="false">TRIM(PROPER(C2055))</f>
        <v>Simplilearn</v>
      </c>
      <c r="AC2055" s="1" t="str">
        <f aca="false">IF(O2055=0,"No Discount",IF(O2055&lt;=15,"Low (1-15%)",IF(O2055&lt;=30,"Medium (16-30%)","High (&gt;30%)")))</f>
        <v>High (&gt;30%)</v>
      </c>
      <c r="AD2055" s="1" t="str">
        <f aca="false">IF(V2055&lt;0,"Loss Making",IF(V2055&lt;20,"Low Margin","Healthy Margin"))</f>
        <v>Healthy Margin</v>
      </c>
      <c r="AE2055" s="1" t="str">
        <f aca="false">TEXT(DATE(VALUE(RIGHT(B2055,4)),VALUE(MID(B2055,4,2)),VALUE(LEFT(B2055,2))),"MMM-YYYY")</f>
        <v>Dec-2023</v>
      </c>
      <c r="AF2055" s="1" t="n">
        <f aca="false">VALUE(RIGHT(B2055,4))</f>
        <v>2023</v>
      </c>
      <c r="AG2055" s="1" t="str">
        <f aca="false">CHOOSE(ROUNDUP(VALUE(MID(B2055,4,2))/3,0),"Q1","Q2","Q3","Q4")</f>
        <v>Q4</v>
      </c>
    </row>
    <row r="2056" customFormat="false" ht="15" hidden="false" customHeight="true" outlineLevel="0" collapsed="false">
      <c r="A2056" s="1" t="s">
        <v>2914</v>
      </c>
      <c r="B2056" s="1" t="s">
        <v>1394</v>
      </c>
      <c r="C2056" s="1" t="s">
        <v>88</v>
      </c>
      <c r="D2056" s="1" t="s">
        <v>143</v>
      </c>
      <c r="E2056" s="1" t="s">
        <v>243</v>
      </c>
      <c r="F2056" s="1" t="s">
        <v>187</v>
      </c>
      <c r="G2056" s="1" t="s">
        <v>97</v>
      </c>
      <c r="H2056" s="1" t="s">
        <v>69</v>
      </c>
      <c r="I2056" s="1" t="s">
        <v>34</v>
      </c>
      <c r="J2056" s="1" t="s">
        <v>77</v>
      </c>
      <c r="K2056" s="1" t="s">
        <v>36</v>
      </c>
      <c r="L2056" s="1" t="s">
        <v>49</v>
      </c>
      <c r="M2056" s="1" t="s">
        <v>50</v>
      </c>
      <c r="N2056" s="1" t="n">
        <v>22999</v>
      </c>
      <c r="O2056" s="1" t="n">
        <v>15</v>
      </c>
      <c r="P2056" s="1" t="n">
        <v>3449.85</v>
      </c>
      <c r="Q2056" s="1" t="n">
        <v>19549.15</v>
      </c>
      <c r="R2056" s="1" t="n">
        <v>3518.85</v>
      </c>
      <c r="S2056" s="1" t="n">
        <v>16030.3</v>
      </c>
      <c r="T2056" s="1" t="n">
        <v>5238.14</v>
      </c>
      <c r="U2056" s="1" t="n">
        <v>10792.16</v>
      </c>
      <c r="V2056" s="1" t="n">
        <v>67.32</v>
      </c>
      <c r="W2056" s="1" t="s">
        <v>39</v>
      </c>
      <c r="X2056" s="1" t="n">
        <v>3.7</v>
      </c>
      <c r="Y2056" s="1" t="s">
        <v>40</v>
      </c>
      <c r="Z2056" s="1" t="n">
        <v>0</v>
      </c>
      <c r="AA2056" s="1" t="str">
        <f aca="false">TRIM(PROPER(F2056))</f>
        <v>Mumbai</v>
      </c>
      <c r="AB2056" s="1" t="str">
        <f aca="false">TRIM(PROPER(C2056))</f>
        <v>Byju'S</v>
      </c>
      <c r="AC2056" s="1" t="str">
        <f aca="false">IF(O2056=0,"No Discount",IF(O2056&lt;=15,"Low (1-15%)",IF(O2056&lt;=30,"Medium (16-30%)","High (&gt;30%)")))</f>
        <v>Low (1-15%)</v>
      </c>
      <c r="AD2056" s="1" t="str">
        <f aca="false">IF(V2056&lt;0,"Loss Making",IF(V2056&lt;20,"Low Margin","Healthy Margin"))</f>
        <v>Healthy Margin</v>
      </c>
      <c r="AE2056" s="1" t="str">
        <f aca="false">TEXT(DATE(VALUE(RIGHT(B2056,4)),VALUE(MID(B2056,4,2)),VALUE(LEFT(B2056,2))),"MMM-YYYY")</f>
        <v>Feb-2024</v>
      </c>
      <c r="AF2056" s="1" t="n">
        <f aca="false">VALUE(RIGHT(B2056,4))</f>
        <v>2024</v>
      </c>
      <c r="AG2056" s="1" t="str">
        <f aca="false">CHOOSE(ROUNDUP(VALUE(MID(B2056,4,2))/3,0),"Q1","Q2","Q3","Q4")</f>
        <v>Q1</v>
      </c>
    </row>
    <row r="2057" customFormat="false" ht="15" hidden="false" customHeight="true" outlineLevel="0" collapsed="false">
      <c r="A2057" s="1" t="s">
        <v>2915</v>
      </c>
      <c r="B2057" s="1" t="s">
        <v>348</v>
      </c>
      <c r="C2057" s="1" t="s">
        <v>119</v>
      </c>
      <c r="D2057" s="1" t="s">
        <v>123</v>
      </c>
      <c r="E2057" s="1" t="s">
        <v>147</v>
      </c>
      <c r="F2057" s="1" t="s">
        <v>604</v>
      </c>
      <c r="G2057" s="1" t="s">
        <v>56</v>
      </c>
      <c r="H2057" s="1" t="s">
        <v>57</v>
      </c>
      <c r="I2057" s="1" t="s">
        <v>83</v>
      </c>
      <c r="J2057" s="1" t="s">
        <v>131</v>
      </c>
      <c r="K2057" s="1" t="s">
        <v>48</v>
      </c>
      <c r="L2057" s="1" t="s">
        <v>49</v>
      </c>
      <c r="M2057" s="1" t="s">
        <v>62</v>
      </c>
      <c r="N2057" s="1" t="n">
        <v>6999</v>
      </c>
      <c r="O2057" s="1" t="n">
        <v>30</v>
      </c>
      <c r="P2057" s="1" t="n">
        <v>2099.7</v>
      </c>
      <c r="Q2057" s="1" t="n">
        <v>4899.3</v>
      </c>
      <c r="R2057" s="1" t="n">
        <v>881.87</v>
      </c>
      <c r="S2057" s="1" t="n">
        <v>4017.43</v>
      </c>
      <c r="T2057" s="1" t="n">
        <v>2010.43</v>
      </c>
      <c r="U2057" s="1" t="n">
        <v>2007</v>
      </c>
      <c r="V2057" s="1" t="n">
        <v>49.96</v>
      </c>
      <c r="W2057" s="1" t="s">
        <v>39</v>
      </c>
      <c r="X2057" s="1" t="n">
        <v>3.4</v>
      </c>
      <c r="Y2057" s="1" t="s">
        <v>40</v>
      </c>
      <c r="Z2057" s="1" t="n">
        <v>2</v>
      </c>
      <c r="AA2057" s="1" t="str">
        <f aca="false">TRIM(PROPER(F2057))</f>
        <v>Faridabad</v>
      </c>
      <c r="AB2057" s="1" t="str">
        <f aca="false">TRIM(PROPER(C2057))</f>
        <v>Simplilearn</v>
      </c>
      <c r="AC2057" s="1" t="str">
        <f aca="false">IF(O2057=0,"No Discount",IF(O2057&lt;=15,"Low (1-15%)",IF(O2057&lt;=30,"Medium (16-30%)","High (&gt;30%)")))</f>
        <v>Medium (16-30%)</v>
      </c>
      <c r="AD2057" s="1" t="str">
        <f aca="false">IF(V2057&lt;0,"Loss Making",IF(V2057&lt;20,"Low Margin","Healthy Margin"))</f>
        <v>Healthy Margin</v>
      </c>
      <c r="AE2057" s="1" t="str">
        <f aca="false">TEXT(DATE(VALUE(RIGHT(B2057,4)),VALUE(MID(B2057,4,2)),VALUE(LEFT(B2057,2))),"MMM-YYYY")</f>
        <v>Aug-2024</v>
      </c>
      <c r="AF2057" s="1" t="n">
        <f aca="false">VALUE(RIGHT(B2057,4))</f>
        <v>2024</v>
      </c>
      <c r="AG2057" s="1" t="str">
        <f aca="false">CHOOSE(ROUNDUP(VALUE(MID(B2057,4,2))/3,0),"Q1","Q2","Q3","Q4")</f>
        <v>Q3</v>
      </c>
    </row>
    <row r="2058" customFormat="false" ht="15" hidden="false" customHeight="true" outlineLevel="0" collapsed="false">
      <c r="A2058" s="1" t="s">
        <v>2916</v>
      </c>
      <c r="B2058" s="1" t="s">
        <v>1623</v>
      </c>
      <c r="C2058" s="1" t="s">
        <v>88</v>
      </c>
      <c r="D2058" s="1" t="s">
        <v>123</v>
      </c>
      <c r="E2058" s="1" t="s">
        <v>233</v>
      </c>
      <c r="F2058" s="1" t="s">
        <v>211</v>
      </c>
      <c r="G2058" s="1" t="s">
        <v>56</v>
      </c>
      <c r="H2058" s="1" t="s">
        <v>69</v>
      </c>
      <c r="I2058" s="1" t="s">
        <v>83</v>
      </c>
      <c r="J2058" s="1" t="s">
        <v>70</v>
      </c>
      <c r="K2058" s="1" t="s">
        <v>48</v>
      </c>
      <c r="L2058" s="1" t="s">
        <v>85</v>
      </c>
      <c r="M2058" s="1" t="s">
        <v>50</v>
      </c>
      <c r="N2058" s="1" t="n">
        <v>8999</v>
      </c>
      <c r="O2058" s="1" t="n">
        <v>15</v>
      </c>
      <c r="P2058" s="1" t="n">
        <v>1349.85</v>
      </c>
      <c r="Q2058" s="1" t="n">
        <v>7649.15</v>
      </c>
      <c r="R2058" s="1" t="n">
        <v>1376.85</v>
      </c>
      <c r="S2058" s="1" t="n">
        <v>6272.3</v>
      </c>
      <c r="T2058" s="1" t="n">
        <v>2005.66</v>
      </c>
      <c r="U2058" s="1" t="n">
        <v>4266.64</v>
      </c>
      <c r="V2058" s="1" t="n">
        <v>68.02</v>
      </c>
      <c r="W2058" s="1" t="s">
        <v>39</v>
      </c>
      <c r="X2058" s="1" t="n">
        <v>3.2</v>
      </c>
      <c r="Y2058" s="1" t="s">
        <v>40</v>
      </c>
      <c r="Z2058" s="1" t="n">
        <v>0</v>
      </c>
      <c r="AA2058" s="1" t="str">
        <f aca="false">TRIM(PROPER(F2058))</f>
        <v>Noida</v>
      </c>
      <c r="AB2058" s="1" t="str">
        <f aca="false">TRIM(PROPER(C2058))</f>
        <v>Byju'S</v>
      </c>
      <c r="AC2058" s="1" t="str">
        <f aca="false">IF(O2058=0,"No Discount",IF(O2058&lt;=15,"Low (1-15%)",IF(O2058&lt;=30,"Medium (16-30%)","High (&gt;30%)")))</f>
        <v>Low (1-15%)</v>
      </c>
      <c r="AD2058" s="1" t="str">
        <f aca="false">IF(V2058&lt;0,"Loss Making",IF(V2058&lt;20,"Low Margin","Healthy Margin"))</f>
        <v>Healthy Margin</v>
      </c>
      <c r="AE2058" s="1" t="str">
        <f aca="false">TEXT(DATE(VALUE(RIGHT(B2058,4)),VALUE(MID(B2058,4,2)),VALUE(LEFT(B2058,2))),"MMM-YYYY")</f>
        <v>Mar-2024</v>
      </c>
      <c r="AF2058" s="1" t="n">
        <f aca="false">VALUE(RIGHT(B2058,4))</f>
        <v>2024</v>
      </c>
      <c r="AG2058" s="1" t="str">
        <f aca="false">CHOOSE(ROUNDUP(VALUE(MID(B2058,4,2))/3,0),"Q1","Q2","Q3","Q4")</f>
        <v>Q1</v>
      </c>
    </row>
    <row r="2059" customFormat="false" ht="15" hidden="false" customHeight="true" outlineLevel="0" collapsed="false">
      <c r="A2059" s="1" t="s">
        <v>2917</v>
      </c>
      <c r="B2059" s="1" t="s">
        <v>1588</v>
      </c>
      <c r="C2059" s="1" t="s">
        <v>28</v>
      </c>
      <c r="D2059" s="1" t="s">
        <v>53</v>
      </c>
      <c r="E2059" s="1" t="s">
        <v>54</v>
      </c>
      <c r="F2059" s="1" t="s">
        <v>31</v>
      </c>
      <c r="G2059" s="1" t="s">
        <v>32</v>
      </c>
      <c r="H2059" s="1" t="s">
        <v>33</v>
      </c>
      <c r="I2059" s="1" t="s">
        <v>83</v>
      </c>
      <c r="J2059" s="1" t="s">
        <v>131</v>
      </c>
      <c r="K2059" s="1" t="s">
        <v>71</v>
      </c>
      <c r="L2059" s="1" t="s">
        <v>61</v>
      </c>
      <c r="M2059" s="1" t="s">
        <v>62</v>
      </c>
      <c r="N2059" s="1" t="n">
        <v>11999</v>
      </c>
      <c r="O2059" s="1" t="n">
        <v>25</v>
      </c>
      <c r="P2059" s="1" t="n">
        <v>2999.75</v>
      </c>
      <c r="Q2059" s="1" t="n">
        <v>8999.25</v>
      </c>
      <c r="R2059" s="1" t="n">
        <v>1619.87</v>
      </c>
      <c r="S2059" s="1" t="n">
        <v>7379.38</v>
      </c>
      <c r="T2059" s="1" t="n">
        <v>3651.63</v>
      </c>
      <c r="U2059" s="1" t="n">
        <v>3727.75</v>
      </c>
      <c r="V2059" s="1" t="n">
        <v>50.52</v>
      </c>
      <c r="W2059" s="1" t="s">
        <v>39</v>
      </c>
      <c r="Y2059" s="1" t="s">
        <v>40</v>
      </c>
      <c r="Z2059" s="1" t="n">
        <v>0</v>
      </c>
      <c r="AA2059" s="1" t="str">
        <f aca="false">TRIM(PROPER(F2059))</f>
        <v>Jodhpur</v>
      </c>
      <c r="AB2059" s="1" t="str">
        <f aca="false">TRIM(PROPER(C2059))</f>
        <v>Embibe</v>
      </c>
      <c r="AC2059" s="1" t="str">
        <f aca="false">IF(O2059=0,"No Discount",IF(O2059&lt;=15,"Low (1-15%)",IF(O2059&lt;=30,"Medium (16-30%)","High (&gt;30%)")))</f>
        <v>Medium (16-30%)</v>
      </c>
      <c r="AD2059" s="1" t="str">
        <f aca="false">IF(V2059&lt;0,"Loss Making",IF(V2059&lt;20,"Low Margin","Healthy Margin"))</f>
        <v>Healthy Margin</v>
      </c>
      <c r="AE2059" s="1" t="str">
        <f aca="false">TEXT(DATE(VALUE(RIGHT(B2059,4)),VALUE(MID(B2059,4,2)),VALUE(LEFT(B2059,2))),"MMM-YYYY")</f>
        <v>Jan-2024</v>
      </c>
      <c r="AF2059" s="1" t="n">
        <f aca="false">VALUE(RIGHT(B2059,4))</f>
        <v>2024</v>
      </c>
      <c r="AG2059" s="1" t="str">
        <f aca="false">CHOOSE(ROUNDUP(VALUE(MID(B2059,4,2))/3,0),"Q1","Q2","Q3","Q4")</f>
        <v>Q1</v>
      </c>
    </row>
    <row r="2060" customFormat="false" ht="15" hidden="false" customHeight="true" outlineLevel="0" collapsed="false">
      <c r="A2060" s="1" t="s">
        <v>2918</v>
      </c>
      <c r="B2060" s="1" t="s">
        <v>513</v>
      </c>
      <c r="C2060" s="1" t="s">
        <v>128</v>
      </c>
      <c r="D2060" s="1" t="s">
        <v>123</v>
      </c>
      <c r="E2060" s="1" t="s">
        <v>124</v>
      </c>
      <c r="F2060" s="1" t="s">
        <v>244</v>
      </c>
      <c r="G2060" s="1" t="s">
        <v>97</v>
      </c>
      <c r="H2060" s="1" t="s">
        <v>57</v>
      </c>
      <c r="I2060" s="1" t="s">
        <v>58</v>
      </c>
      <c r="J2060" s="1" t="s">
        <v>77</v>
      </c>
      <c r="K2060" s="1" t="s">
        <v>84</v>
      </c>
      <c r="L2060" s="1" t="s">
        <v>49</v>
      </c>
      <c r="M2060" s="1" t="s">
        <v>62</v>
      </c>
      <c r="N2060" s="1" t="n">
        <v>4999</v>
      </c>
      <c r="O2060" s="1" t="n">
        <v>0</v>
      </c>
      <c r="P2060" s="1" t="n">
        <v>0</v>
      </c>
      <c r="Q2060" s="1" t="n">
        <v>4999</v>
      </c>
      <c r="R2060" s="1" t="n">
        <v>899.82</v>
      </c>
      <c r="S2060" s="1" t="n">
        <v>4099.18</v>
      </c>
      <c r="T2060" s="1" t="n">
        <v>1555.86</v>
      </c>
      <c r="U2060" s="1" t="n">
        <v>2543.32</v>
      </c>
      <c r="V2060" s="1" t="n">
        <v>62.04</v>
      </c>
      <c r="W2060" s="1" t="s">
        <v>39</v>
      </c>
      <c r="Y2060" s="1" t="s">
        <v>40</v>
      </c>
      <c r="Z2060" s="1" t="n">
        <v>0</v>
      </c>
      <c r="AA2060" s="1" t="str">
        <f aca="false">TRIM(PROPER(F2060))</f>
        <v>Nagpur</v>
      </c>
      <c r="AB2060" s="1" t="str">
        <f aca="false">TRIM(PROPER(C2060))</f>
        <v>Great Learning</v>
      </c>
      <c r="AC2060" s="1" t="str">
        <f aca="false">IF(O2060=0,"No Discount",IF(O2060&lt;=15,"Low (1-15%)",IF(O2060&lt;=30,"Medium (16-30%)","High (&gt;30%)")))</f>
        <v>No Discount</v>
      </c>
      <c r="AD2060" s="1" t="str">
        <f aca="false">IF(V2060&lt;0,"Loss Making",IF(V2060&lt;20,"Low Margin","Healthy Margin"))</f>
        <v>Healthy Margin</v>
      </c>
      <c r="AE2060" s="1" t="str">
        <f aca="false">TEXT(DATE(VALUE(RIGHT(B2060,4)),VALUE(MID(B2060,4,2)),VALUE(LEFT(B2060,2))),"MMM-YYYY")</f>
        <v>Jun-2023</v>
      </c>
      <c r="AF2060" s="1" t="n">
        <f aca="false">VALUE(RIGHT(B2060,4))</f>
        <v>2023</v>
      </c>
      <c r="AG2060" s="1" t="str">
        <f aca="false">CHOOSE(ROUNDUP(VALUE(MID(B2060,4,2))/3,0),"Q1","Q2","Q3","Q4")</f>
        <v>Q2</v>
      </c>
    </row>
    <row r="2061" customFormat="false" ht="15" hidden="false" customHeight="true" outlineLevel="0" collapsed="false">
      <c r="A2061" s="1" t="s">
        <v>2919</v>
      </c>
      <c r="B2061" s="1" t="s">
        <v>2920</v>
      </c>
      <c r="C2061" s="1" t="s">
        <v>28</v>
      </c>
      <c r="D2061" s="1" t="s">
        <v>123</v>
      </c>
      <c r="E2061" s="1" t="s">
        <v>124</v>
      </c>
      <c r="F2061" s="1" t="s">
        <v>211</v>
      </c>
      <c r="G2061" s="1" t="s">
        <v>56</v>
      </c>
      <c r="H2061" s="1" t="s">
        <v>69</v>
      </c>
      <c r="I2061" s="1" t="s">
        <v>34</v>
      </c>
      <c r="J2061" s="1" t="s">
        <v>59</v>
      </c>
      <c r="K2061" s="1" t="s">
        <v>84</v>
      </c>
      <c r="L2061" s="1" t="s">
        <v>49</v>
      </c>
      <c r="M2061" s="1" t="s">
        <v>62</v>
      </c>
      <c r="N2061" s="1" t="n">
        <v>4999</v>
      </c>
      <c r="O2061" s="1" t="n">
        <v>5</v>
      </c>
      <c r="P2061" s="1" t="n">
        <v>249.95</v>
      </c>
      <c r="Q2061" s="1" t="n">
        <v>4749.05</v>
      </c>
      <c r="R2061" s="1" t="n">
        <v>854.83</v>
      </c>
      <c r="S2061" s="1" t="n">
        <v>3894.22</v>
      </c>
      <c r="T2061" s="1" t="n">
        <v>1986.87</v>
      </c>
      <c r="U2061" s="1" t="n">
        <v>1907.35</v>
      </c>
      <c r="V2061" s="1" t="n">
        <v>48.98</v>
      </c>
      <c r="W2061" s="1" t="s">
        <v>40</v>
      </c>
      <c r="Y2061" s="1" t="s">
        <v>40</v>
      </c>
      <c r="Z2061" s="1" t="n">
        <v>0</v>
      </c>
      <c r="AA2061" s="1" t="str">
        <f aca="false">TRIM(PROPER(F2061))</f>
        <v>Noida</v>
      </c>
      <c r="AB2061" s="1" t="str">
        <f aca="false">TRIM(PROPER(C2061))</f>
        <v>Embibe</v>
      </c>
      <c r="AC2061" s="1" t="str">
        <f aca="false">IF(O2061=0,"No Discount",IF(O2061&lt;=15,"Low (1-15%)",IF(O2061&lt;=30,"Medium (16-30%)","High (&gt;30%)")))</f>
        <v>Low (1-15%)</v>
      </c>
      <c r="AD2061" s="1" t="str">
        <f aca="false">IF(V2061&lt;0,"Loss Making",IF(V2061&lt;20,"Low Margin","Healthy Margin"))</f>
        <v>Healthy Margin</v>
      </c>
      <c r="AE2061" s="1" t="str">
        <f aca="false">TEXT(DATE(VALUE(RIGHT(B2061,4)),VALUE(MID(B2061,4,2)),VALUE(LEFT(B2061,2))),"MMM-YYYY")</f>
        <v>Apr-2023</v>
      </c>
      <c r="AF2061" s="1" t="n">
        <f aca="false">VALUE(RIGHT(B2061,4))</f>
        <v>2023</v>
      </c>
      <c r="AG2061" s="1" t="str">
        <f aca="false">CHOOSE(ROUNDUP(VALUE(MID(B2061,4,2))/3,0),"Q1","Q2","Q3","Q4")</f>
        <v>Q2</v>
      </c>
    </row>
    <row r="2062" customFormat="false" ht="15" hidden="false" customHeight="true" outlineLevel="0" collapsed="false">
      <c r="A2062" s="1" t="s">
        <v>2921</v>
      </c>
      <c r="B2062" s="1" t="s">
        <v>1250</v>
      </c>
      <c r="C2062" s="1" t="s">
        <v>100</v>
      </c>
      <c r="D2062" s="1" t="s">
        <v>123</v>
      </c>
      <c r="E2062" s="1" t="s">
        <v>233</v>
      </c>
      <c r="F2062" s="1" t="s">
        <v>67</v>
      </c>
      <c r="G2062" s="1" t="s">
        <v>68</v>
      </c>
      <c r="H2062" s="1" t="s">
        <v>69</v>
      </c>
      <c r="I2062" s="1" t="s">
        <v>34</v>
      </c>
      <c r="J2062" s="1" t="s">
        <v>35</v>
      </c>
      <c r="K2062" s="1" t="s">
        <v>90</v>
      </c>
      <c r="L2062" s="1" t="s">
        <v>61</v>
      </c>
      <c r="M2062" s="1" t="s">
        <v>62</v>
      </c>
      <c r="N2062" s="1" t="n">
        <v>8999</v>
      </c>
      <c r="O2062" s="1" t="n">
        <v>0</v>
      </c>
      <c r="P2062" s="1" t="n">
        <v>0</v>
      </c>
      <c r="Q2062" s="1" t="n">
        <v>8999</v>
      </c>
      <c r="R2062" s="1" t="n">
        <v>1619.82</v>
      </c>
      <c r="S2062" s="1" t="n">
        <v>7379.18</v>
      </c>
      <c r="T2062" s="1" t="n">
        <v>3219.73</v>
      </c>
      <c r="U2062" s="1" t="n">
        <v>4159.45</v>
      </c>
      <c r="V2062" s="1" t="n">
        <v>56.37</v>
      </c>
      <c r="W2062" s="1" t="s">
        <v>40</v>
      </c>
      <c r="Y2062" s="1" t="s">
        <v>40</v>
      </c>
      <c r="Z2062" s="1" t="n">
        <v>0</v>
      </c>
      <c r="AA2062" s="1" t="str">
        <f aca="false">TRIM(PROPER(F2062))</f>
        <v>Ahmedabad</v>
      </c>
      <c r="AB2062" s="1" t="str">
        <f aca="false">TRIM(PROPER(C2062))</f>
        <v>Physics Wallah</v>
      </c>
      <c r="AC2062" s="1" t="str">
        <f aca="false">IF(O2062=0,"No Discount",IF(O2062&lt;=15,"Low (1-15%)",IF(O2062&lt;=30,"Medium (16-30%)","High (&gt;30%)")))</f>
        <v>No Discount</v>
      </c>
      <c r="AD2062" s="1" t="str">
        <f aca="false">IF(V2062&lt;0,"Loss Making",IF(V2062&lt;20,"Low Margin","Healthy Margin"))</f>
        <v>Healthy Margin</v>
      </c>
      <c r="AE2062" s="1" t="str">
        <f aca="false">TEXT(DATE(VALUE(RIGHT(B2062,4)),VALUE(MID(B2062,4,2)),VALUE(LEFT(B2062,2))),"MMM-YYYY")</f>
        <v>Jul-2023</v>
      </c>
      <c r="AF2062" s="1" t="n">
        <f aca="false">VALUE(RIGHT(B2062,4))</f>
        <v>2023</v>
      </c>
      <c r="AG2062" s="1" t="str">
        <f aca="false">CHOOSE(ROUNDUP(VALUE(MID(B2062,4,2))/3,0),"Q1","Q2","Q3","Q4")</f>
        <v>Q3</v>
      </c>
    </row>
    <row r="2063" customFormat="false" ht="15" hidden="false" customHeight="true" outlineLevel="0" collapsed="false">
      <c r="A2063" s="1" t="s">
        <v>2922</v>
      </c>
      <c r="B2063" s="1" t="s">
        <v>2923</v>
      </c>
      <c r="C2063" s="1" t="s">
        <v>139</v>
      </c>
      <c r="D2063" s="1" t="s">
        <v>143</v>
      </c>
      <c r="E2063" s="1" t="s">
        <v>159</v>
      </c>
      <c r="F2063" s="1" t="s">
        <v>82</v>
      </c>
      <c r="G2063" s="1" t="s">
        <v>56</v>
      </c>
      <c r="H2063" s="1" t="s">
        <v>69</v>
      </c>
      <c r="I2063" s="1" t="s">
        <v>34</v>
      </c>
      <c r="J2063" s="1" t="s">
        <v>131</v>
      </c>
      <c r="K2063" s="1" t="s">
        <v>71</v>
      </c>
      <c r="L2063" s="1" t="s">
        <v>136</v>
      </c>
      <c r="M2063" s="1" t="s">
        <v>50</v>
      </c>
      <c r="N2063" s="1" t="n">
        <v>24999</v>
      </c>
      <c r="O2063" s="1" t="n">
        <v>20</v>
      </c>
      <c r="P2063" s="1" t="n">
        <v>4999.8</v>
      </c>
      <c r="Q2063" s="1" t="n">
        <v>19999.2</v>
      </c>
      <c r="R2063" s="1" t="n">
        <v>3599.86</v>
      </c>
      <c r="S2063" s="1" t="n">
        <v>16399.34</v>
      </c>
      <c r="T2063" s="1" t="n">
        <v>6451.7</v>
      </c>
      <c r="U2063" s="1" t="n">
        <v>9947.64</v>
      </c>
      <c r="V2063" s="1" t="n">
        <v>60.66</v>
      </c>
      <c r="W2063" s="1" t="s">
        <v>39</v>
      </c>
      <c r="X2063" s="1" t="n">
        <v>3.2</v>
      </c>
      <c r="Y2063" s="1" t="s">
        <v>40</v>
      </c>
      <c r="Z2063" s="1" t="n">
        <v>1</v>
      </c>
      <c r="AA2063" s="1" t="str">
        <f aca="false">TRIM(PROPER(F2063))</f>
        <v>Gurugram</v>
      </c>
      <c r="AB2063" s="1" t="str">
        <f aca="false">TRIM(PROPER(C2063))</f>
        <v>Extramarks</v>
      </c>
      <c r="AC2063" s="1" t="str">
        <f aca="false">IF(O2063=0,"No Discount",IF(O2063&lt;=15,"Low (1-15%)",IF(O2063&lt;=30,"Medium (16-30%)","High (&gt;30%)")))</f>
        <v>Medium (16-30%)</v>
      </c>
      <c r="AD2063" s="1" t="str">
        <f aca="false">IF(V2063&lt;0,"Loss Making",IF(V2063&lt;20,"Low Margin","Healthy Margin"))</f>
        <v>Healthy Margin</v>
      </c>
      <c r="AE2063" s="1" t="str">
        <f aca="false">TEXT(DATE(VALUE(RIGHT(B2063,4)),VALUE(MID(B2063,4,2)),VALUE(LEFT(B2063,2))),"MMM-YYYY")</f>
        <v>Sep-2024</v>
      </c>
      <c r="AF2063" s="1" t="n">
        <f aca="false">VALUE(RIGHT(B2063,4))</f>
        <v>2024</v>
      </c>
      <c r="AG2063" s="1" t="str">
        <f aca="false">CHOOSE(ROUNDUP(VALUE(MID(B2063,4,2))/3,0),"Q1","Q2","Q3","Q4")</f>
        <v>Q3</v>
      </c>
    </row>
    <row r="2064" customFormat="false" ht="15" hidden="false" customHeight="true" outlineLevel="0" collapsed="false">
      <c r="A2064" s="1" t="s">
        <v>2924</v>
      </c>
      <c r="B2064" s="1" t="s">
        <v>1182</v>
      </c>
      <c r="C2064" s="1" t="s">
        <v>28</v>
      </c>
      <c r="D2064" s="1" t="s">
        <v>44</v>
      </c>
      <c r="E2064" s="1" t="s">
        <v>221</v>
      </c>
      <c r="F2064" s="1" t="s">
        <v>153</v>
      </c>
      <c r="G2064" s="1" t="s">
        <v>76</v>
      </c>
      <c r="H2064" s="1" t="s">
        <v>33</v>
      </c>
      <c r="I2064" s="1" t="s">
        <v>83</v>
      </c>
      <c r="J2064" s="1" t="s">
        <v>35</v>
      </c>
      <c r="K2064" s="1" t="s">
        <v>71</v>
      </c>
      <c r="L2064" s="1" t="s">
        <v>136</v>
      </c>
      <c r="M2064" s="1" t="s">
        <v>62</v>
      </c>
      <c r="N2064" s="1" t="n">
        <v>16999</v>
      </c>
      <c r="O2064" s="1" t="n">
        <v>30</v>
      </c>
      <c r="P2064" s="1" t="n">
        <v>5099.7</v>
      </c>
      <c r="Q2064" s="1" t="n">
        <v>11899.3</v>
      </c>
      <c r="R2064" s="1" t="n">
        <v>2141.87</v>
      </c>
      <c r="S2064" s="1" t="n">
        <v>9757.43</v>
      </c>
      <c r="T2064" s="1" t="n">
        <v>3909.94</v>
      </c>
      <c r="U2064" s="1" t="n">
        <v>5847.49</v>
      </c>
      <c r="V2064" s="1" t="n">
        <v>59.93</v>
      </c>
      <c r="W2064" s="1" t="s">
        <v>39</v>
      </c>
      <c r="X2064" s="1" t="n">
        <v>3.4</v>
      </c>
      <c r="Y2064" s="1" t="s">
        <v>40</v>
      </c>
      <c r="Z2064" s="1" t="n">
        <v>0</v>
      </c>
      <c r="AA2064" s="1" t="str">
        <f aca="false">TRIM(PROPER(F2064))</f>
        <v>Howrah</v>
      </c>
      <c r="AB2064" s="1" t="str">
        <f aca="false">TRIM(PROPER(C2064))</f>
        <v>Embibe</v>
      </c>
      <c r="AC2064" s="1" t="str">
        <f aca="false">IF(O2064=0,"No Discount",IF(O2064&lt;=15,"Low (1-15%)",IF(O2064&lt;=30,"Medium (16-30%)","High (&gt;30%)")))</f>
        <v>Medium (16-30%)</v>
      </c>
      <c r="AD2064" s="1" t="str">
        <f aca="false">IF(V2064&lt;0,"Loss Making",IF(V2064&lt;20,"Low Margin","Healthy Margin"))</f>
        <v>Healthy Margin</v>
      </c>
      <c r="AE2064" s="1" t="str">
        <f aca="false">TEXT(DATE(VALUE(RIGHT(B2064,4)),VALUE(MID(B2064,4,2)),VALUE(LEFT(B2064,2))),"MMM-YYYY")</f>
        <v>Apr-2024</v>
      </c>
      <c r="AF2064" s="1" t="n">
        <f aca="false">VALUE(RIGHT(B2064,4))</f>
        <v>2024</v>
      </c>
      <c r="AG2064" s="1" t="str">
        <f aca="false">CHOOSE(ROUNDUP(VALUE(MID(B2064,4,2))/3,0),"Q1","Q2","Q3","Q4")</f>
        <v>Q2</v>
      </c>
    </row>
    <row r="2065" customFormat="false" ht="15" hidden="false" customHeight="true" outlineLevel="0" collapsed="false">
      <c r="A2065" s="1" t="s">
        <v>2925</v>
      </c>
      <c r="B2065" s="1" t="s">
        <v>547</v>
      </c>
      <c r="C2065" s="1" t="s">
        <v>119</v>
      </c>
      <c r="D2065" s="1" t="s">
        <v>123</v>
      </c>
      <c r="E2065" s="1" t="s">
        <v>124</v>
      </c>
      <c r="F2065" s="1" t="s">
        <v>46</v>
      </c>
      <c r="G2065" s="1" t="s">
        <v>47</v>
      </c>
      <c r="H2065" s="1" t="s">
        <v>33</v>
      </c>
      <c r="I2065" s="1" t="s">
        <v>83</v>
      </c>
      <c r="J2065" s="1" t="s">
        <v>131</v>
      </c>
      <c r="K2065" s="1" t="s">
        <v>36</v>
      </c>
      <c r="L2065" s="1" t="s">
        <v>85</v>
      </c>
      <c r="M2065" s="1" t="s">
        <v>38</v>
      </c>
      <c r="N2065" s="1" t="n">
        <v>4999</v>
      </c>
      <c r="O2065" s="1" t="n">
        <v>15</v>
      </c>
      <c r="P2065" s="1" t="n">
        <v>749.85</v>
      </c>
      <c r="Q2065" s="1" t="n">
        <v>4249.15</v>
      </c>
      <c r="R2065" s="1" t="n">
        <v>764.85</v>
      </c>
      <c r="S2065" s="1" t="n">
        <v>3484.3</v>
      </c>
      <c r="T2065" s="1" t="n">
        <v>1803.27</v>
      </c>
      <c r="U2065" s="1" t="n">
        <v>1681.03</v>
      </c>
      <c r="V2065" s="1" t="n">
        <v>48.25</v>
      </c>
      <c r="W2065" s="1" t="s">
        <v>39</v>
      </c>
      <c r="X2065" s="1" t="n">
        <v>3.3</v>
      </c>
      <c r="Y2065" s="1" t="s">
        <v>40</v>
      </c>
      <c r="Z2065" s="1" t="n">
        <v>0</v>
      </c>
      <c r="AA2065" s="1" t="str">
        <f aca="false">TRIM(PROPER(F2065))</f>
        <v>Mangaluru</v>
      </c>
      <c r="AB2065" s="1" t="str">
        <f aca="false">TRIM(PROPER(C2065))</f>
        <v>Simplilearn</v>
      </c>
      <c r="AC2065" s="1" t="str">
        <f aca="false">IF(O2065=0,"No Discount",IF(O2065&lt;=15,"Low (1-15%)",IF(O2065&lt;=30,"Medium (16-30%)","High (&gt;30%)")))</f>
        <v>Low (1-15%)</v>
      </c>
      <c r="AD2065" s="1" t="str">
        <f aca="false">IF(V2065&lt;0,"Loss Making",IF(V2065&lt;20,"Low Margin","Healthy Margin"))</f>
        <v>Healthy Margin</v>
      </c>
      <c r="AE2065" s="1" t="str">
        <f aca="false">TEXT(DATE(VALUE(RIGHT(B2065,4)),VALUE(MID(B2065,4,2)),VALUE(LEFT(B2065,2))),"MMM-YYYY")</f>
        <v>Apr-2023</v>
      </c>
      <c r="AF2065" s="1" t="n">
        <f aca="false">VALUE(RIGHT(B2065,4))</f>
        <v>2023</v>
      </c>
      <c r="AG2065" s="1" t="str">
        <f aca="false">CHOOSE(ROUNDUP(VALUE(MID(B2065,4,2))/3,0),"Q1","Q2","Q3","Q4")</f>
        <v>Q2</v>
      </c>
    </row>
    <row r="2066" customFormat="false" ht="15" hidden="false" customHeight="true" outlineLevel="0" collapsed="false">
      <c r="A2066" s="1" t="s">
        <v>2926</v>
      </c>
      <c r="B2066" s="1" t="s">
        <v>460</v>
      </c>
      <c r="C2066" s="1" t="s">
        <v>100</v>
      </c>
      <c r="D2066" s="1" t="s">
        <v>168</v>
      </c>
      <c r="E2066" s="1" t="s">
        <v>169</v>
      </c>
      <c r="F2066" s="1" t="s">
        <v>205</v>
      </c>
      <c r="G2066" s="1" t="s">
        <v>56</v>
      </c>
      <c r="H2066" s="1" t="s">
        <v>69</v>
      </c>
      <c r="I2066" s="1" t="s">
        <v>58</v>
      </c>
      <c r="J2066" s="1" t="s">
        <v>77</v>
      </c>
      <c r="K2066" s="1" t="s">
        <v>60</v>
      </c>
      <c r="L2066" s="1" t="s">
        <v>61</v>
      </c>
      <c r="M2066" s="1" t="s">
        <v>62</v>
      </c>
      <c r="N2066" s="1" t="n">
        <v>4999</v>
      </c>
      <c r="O2066" s="1" t="n">
        <v>0</v>
      </c>
      <c r="P2066" s="1" t="n">
        <v>0</v>
      </c>
      <c r="Q2066" s="1" t="n">
        <v>4999</v>
      </c>
      <c r="R2066" s="1" t="n">
        <v>899.82</v>
      </c>
      <c r="S2066" s="1" t="n">
        <v>4099.18</v>
      </c>
      <c r="T2066" s="1" t="n">
        <v>1886.58</v>
      </c>
      <c r="U2066" s="1" t="n">
        <v>2212.6</v>
      </c>
      <c r="V2066" s="1" t="n">
        <v>53.98</v>
      </c>
      <c r="W2066" s="1" t="s">
        <v>39</v>
      </c>
      <c r="Y2066" s="1" t="s">
        <v>40</v>
      </c>
      <c r="Z2066" s="1" t="n">
        <v>0</v>
      </c>
      <c r="AA2066" s="1" t="str">
        <f aca="false">TRIM(PROPER(F2066))</f>
        <v>New Delhi</v>
      </c>
      <c r="AB2066" s="1" t="str">
        <f aca="false">TRIM(PROPER(C2066))</f>
        <v>Physics Wallah</v>
      </c>
      <c r="AC2066" s="1" t="str">
        <f aca="false">IF(O2066=0,"No Discount",IF(O2066&lt;=15,"Low (1-15%)",IF(O2066&lt;=30,"Medium (16-30%)","High (&gt;30%)")))</f>
        <v>No Discount</v>
      </c>
      <c r="AD2066" s="1" t="str">
        <f aca="false">IF(V2066&lt;0,"Loss Making",IF(V2066&lt;20,"Low Margin","Healthy Margin"))</f>
        <v>Healthy Margin</v>
      </c>
      <c r="AE2066" s="1" t="str">
        <f aca="false">TEXT(DATE(VALUE(RIGHT(B2066,4)),VALUE(MID(B2066,4,2)),VALUE(LEFT(B2066,2))),"MMM-YYYY")</f>
        <v>Apr-2023</v>
      </c>
      <c r="AF2066" s="1" t="n">
        <f aca="false">VALUE(RIGHT(B2066,4))</f>
        <v>2023</v>
      </c>
      <c r="AG2066" s="1" t="str">
        <f aca="false">CHOOSE(ROUNDUP(VALUE(MID(B2066,4,2))/3,0),"Q1","Q2","Q3","Q4")</f>
        <v>Q2</v>
      </c>
    </row>
    <row r="2067" customFormat="false" ht="15" hidden="false" customHeight="true" outlineLevel="0" collapsed="false">
      <c r="A2067" s="1" t="s">
        <v>2927</v>
      </c>
      <c r="B2067" s="1" t="s">
        <v>2363</v>
      </c>
      <c r="C2067" s="1" t="s">
        <v>178</v>
      </c>
      <c r="D2067" s="1" t="s">
        <v>29</v>
      </c>
      <c r="E2067" s="1" t="s">
        <v>182</v>
      </c>
      <c r="F2067" s="1" t="s">
        <v>120</v>
      </c>
      <c r="G2067" s="1" t="s">
        <v>47</v>
      </c>
      <c r="H2067" s="1" t="s">
        <v>57</v>
      </c>
      <c r="I2067" s="1" t="s">
        <v>34</v>
      </c>
      <c r="J2067" s="1" t="s">
        <v>131</v>
      </c>
      <c r="K2067" s="1" t="s">
        <v>71</v>
      </c>
      <c r="L2067" s="1" t="s">
        <v>113</v>
      </c>
      <c r="M2067" s="1" t="s">
        <v>50</v>
      </c>
      <c r="N2067" s="1" t="n">
        <v>34999</v>
      </c>
      <c r="O2067" s="1" t="n">
        <v>40</v>
      </c>
      <c r="P2067" s="1" t="n">
        <v>13999.6</v>
      </c>
      <c r="Q2067" s="1" t="n">
        <v>20999.4</v>
      </c>
      <c r="R2067" s="1" t="n">
        <v>3779.89</v>
      </c>
      <c r="S2067" s="1" t="n">
        <v>17219.51</v>
      </c>
      <c r="T2067" s="1" t="n">
        <v>9072.87</v>
      </c>
      <c r="U2067" s="1" t="n">
        <v>8146.64</v>
      </c>
      <c r="V2067" s="1" t="n">
        <v>47.31</v>
      </c>
      <c r="W2067" s="1" t="s">
        <v>39</v>
      </c>
      <c r="Y2067" s="1" t="s">
        <v>40</v>
      </c>
      <c r="Z2067" s="1" t="n">
        <v>0</v>
      </c>
      <c r="AA2067" s="1" t="str">
        <f aca="false">TRIM(PROPER(F2067))</f>
        <v>Mysuru</v>
      </c>
      <c r="AB2067" s="1" t="str">
        <f aca="false">TRIM(PROPER(C2067))</f>
        <v>Leverage Edu</v>
      </c>
      <c r="AC2067" s="1" t="str">
        <f aca="false">IF(O2067=0,"No Discount",IF(O2067&lt;=15,"Low (1-15%)",IF(O2067&lt;=30,"Medium (16-30%)","High (&gt;30%)")))</f>
        <v>High (&gt;30%)</v>
      </c>
      <c r="AD2067" s="1" t="str">
        <f aca="false">IF(V2067&lt;0,"Loss Making",IF(V2067&lt;20,"Low Margin","Healthy Margin"))</f>
        <v>Healthy Margin</v>
      </c>
      <c r="AE2067" s="1" t="str">
        <f aca="false">TEXT(DATE(VALUE(RIGHT(B2067,4)),VALUE(MID(B2067,4,2)),VALUE(LEFT(B2067,2))),"MMM-YYYY")</f>
        <v>Dec-2023</v>
      </c>
      <c r="AF2067" s="1" t="n">
        <f aca="false">VALUE(RIGHT(B2067,4))</f>
        <v>2023</v>
      </c>
      <c r="AG2067" s="1" t="str">
        <f aca="false">CHOOSE(ROUNDUP(VALUE(MID(B2067,4,2))/3,0),"Q1","Q2","Q3","Q4")</f>
        <v>Q4</v>
      </c>
    </row>
    <row r="2068" customFormat="false" ht="15" hidden="false" customHeight="true" outlineLevel="0" collapsed="false">
      <c r="A2068" s="1" t="s">
        <v>2928</v>
      </c>
      <c r="B2068" s="1" t="s">
        <v>606</v>
      </c>
      <c r="C2068" s="1" t="s">
        <v>119</v>
      </c>
      <c r="D2068" s="1" t="s">
        <v>80</v>
      </c>
      <c r="E2068" s="1" t="s">
        <v>193</v>
      </c>
      <c r="F2068" s="1" t="s">
        <v>130</v>
      </c>
      <c r="G2068" s="1" t="s">
        <v>47</v>
      </c>
      <c r="H2068" s="1" t="s">
        <v>69</v>
      </c>
      <c r="I2068" s="1" t="s">
        <v>83</v>
      </c>
      <c r="J2068" s="1" t="s">
        <v>35</v>
      </c>
      <c r="K2068" s="1" t="s">
        <v>104</v>
      </c>
      <c r="L2068" s="1" t="s">
        <v>85</v>
      </c>
      <c r="M2068" s="1" t="s">
        <v>62</v>
      </c>
      <c r="N2068" s="1" t="n">
        <v>8999</v>
      </c>
      <c r="O2068" s="1" t="n">
        <v>10</v>
      </c>
      <c r="P2068" s="1" t="n">
        <v>899.9</v>
      </c>
      <c r="Q2068" s="1" t="n">
        <v>8099.1</v>
      </c>
      <c r="R2068" s="1" t="n">
        <v>1457.84</v>
      </c>
      <c r="S2068" s="1" t="n">
        <v>6641.26</v>
      </c>
      <c r="T2068" s="1" t="n">
        <v>3471.82</v>
      </c>
      <c r="U2068" s="1" t="n">
        <v>3169.44</v>
      </c>
      <c r="V2068" s="1" t="n">
        <v>47.72</v>
      </c>
      <c r="W2068" s="1" t="s">
        <v>39</v>
      </c>
      <c r="X2068" s="1" t="n">
        <v>3.7</v>
      </c>
      <c r="Y2068" s="1" t="s">
        <v>40</v>
      </c>
      <c r="Z2068" s="1" t="n">
        <v>0</v>
      </c>
      <c r="AA2068" s="1" t="str">
        <f aca="false">TRIM(PROPER(F2068))</f>
        <v>Bengaluru</v>
      </c>
      <c r="AB2068" s="1" t="str">
        <f aca="false">TRIM(PROPER(C2068))</f>
        <v>Simplilearn</v>
      </c>
      <c r="AC2068" s="1" t="str">
        <f aca="false">IF(O2068=0,"No Discount",IF(O2068&lt;=15,"Low (1-15%)",IF(O2068&lt;=30,"Medium (16-30%)","High (&gt;30%)")))</f>
        <v>Low (1-15%)</v>
      </c>
      <c r="AD2068" s="1" t="str">
        <f aca="false">IF(V2068&lt;0,"Loss Making",IF(V2068&lt;20,"Low Margin","Healthy Margin"))</f>
        <v>Healthy Margin</v>
      </c>
      <c r="AE2068" s="1" t="str">
        <f aca="false">TEXT(DATE(VALUE(RIGHT(B2068,4)),VALUE(MID(B2068,4,2)),VALUE(LEFT(B2068,2))),"MMM-YYYY")</f>
        <v>May-2023</v>
      </c>
      <c r="AF2068" s="1" t="n">
        <f aca="false">VALUE(RIGHT(B2068,4))</f>
        <v>2023</v>
      </c>
      <c r="AG2068" s="1" t="str">
        <f aca="false">CHOOSE(ROUNDUP(VALUE(MID(B2068,4,2))/3,0),"Q1","Q2","Q3","Q4")</f>
        <v>Q2</v>
      </c>
    </row>
    <row r="2069" customFormat="false" ht="15" hidden="false" customHeight="true" outlineLevel="0" collapsed="false">
      <c r="A2069" s="1" t="s">
        <v>2929</v>
      </c>
      <c r="B2069" s="1" t="s">
        <v>1633</v>
      </c>
      <c r="C2069" s="1" t="s">
        <v>100</v>
      </c>
      <c r="D2069" s="1" t="s">
        <v>168</v>
      </c>
      <c r="E2069" s="1" t="s">
        <v>169</v>
      </c>
      <c r="F2069" s="1" t="s">
        <v>205</v>
      </c>
      <c r="G2069" s="1" t="s">
        <v>56</v>
      </c>
      <c r="H2069" s="1" t="s">
        <v>69</v>
      </c>
      <c r="I2069" s="1" t="s">
        <v>34</v>
      </c>
      <c r="J2069" s="1" t="s">
        <v>131</v>
      </c>
      <c r="K2069" s="1" t="s">
        <v>48</v>
      </c>
      <c r="L2069" s="1" t="s">
        <v>113</v>
      </c>
      <c r="M2069" s="1" t="s">
        <v>62</v>
      </c>
      <c r="N2069" s="1" t="n">
        <v>4999</v>
      </c>
      <c r="O2069" s="1" t="n">
        <v>10</v>
      </c>
      <c r="P2069" s="1" t="n">
        <v>499.9</v>
      </c>
      <c r="Q2069" s="1" t="n">
        <v>4499.1</v>
      </c>
      <c r="R2069" s="1" t="n">
        <v>809.84</v>
      </c>
      <c r="S2069" s="1" t="n">
        <v>3689.26</v>
      </c>
      <c r="T2069" s="1" t="n">
        <v>1239.71</v>
      </c>
      <c r="U2069" s="1" t="n">
        <v>2449.55</v>
      </c>
      <c r="V2069" s="1" t="n">
        <v>66.4</v>
      </c>
      <c r="W2069" s="1" t="s">
        <v>39</v>
      </c>
      <c r="Y2069" s="1" t="s">
        <v>40</v>
      </c>
      <c r="Z2069" s="1" t="n">
        <v>0</v>
      </c>
      <c r="AA2069" s="1" t="str">
        <f aca="false">TRIM(PROPER(F2069))</f>
        <v>New Delhi</v>
      </c>
      <c r="AB2069" s="1" t="str">
        <f aca="false">TRIM(PROPER(C2069))</f>
        <v>Physics Wallah</v>
      </c>
      <c r="AC2069" s="1" t="str">
        <f aca="false">IF(O2069=0,"No Discount",IF(O2069&lt;=15,"Low (1-15%)",IF(O2069&lt;=30,"Medium (16-30%)","High (&gt;30%)")))</f>
        <v>Low (1-15%)</v>
      </c>
      <c r="AD2069" s="1" t="str">
        <f aca="false">IF(V2069&lt;0,"Loss Making",IF(V2069&lt;20,"Low Margin","Healthy Margin"))</f>
        <v>Healthy Margin</v>
      </c>
      <c r="AE2069" s="1" t="str">
        <f aca="false">TEXT(DATE(VALUE(RIGHT(B2069,4)),VALUE(MID(B2069,4,2)),VALUE(LEFT(B2069,2))),"MMM-YYYY")</f>
        <v>Dec-2024</v>
      </c>
      <c r="AF2069" s="1" t="n">
        <f aca="false">VALUE(RIGHT(B2069,4))</f>
        <v>2024</v>
      </c>
      <c r="AG2069" s="1" t="str">
        <f aca="false">CHOOSE(ROUNDUP(VALUE(MID(B2069,4,2))/3,0),"Q1","Q2","Q3","Q4")</f>
        <v>Q4</v>
      </c>
    </row>
    <row r="2070" customFormat="false" ht="15" hidden="false" customHeight="true" outlineLevel="0" collapsed="false">
      <c r="A2070" s="1" t="s">
        <v>2930</v>
      </c>
      <c r="B2070" s="1" t="s">
        <v>596</v>
      </c>
      <c r="C2070" s="1" t="s">
        <v>139</v>
      </c>
      <c r="D2070" s="1" t="s">
        <v>29</v>
      </c>
      <c r="E2070" s="1" t="s">
        <v>30</v>
      </c>
      <c r="F2070" s="1" t="s">
        <v>211</v>
      </c>
      <c r="G2070" s="1" t="s">
        <v>56</v>
      </c>
      <c r="H2070" s="1" t="s">
        <v>69</v>
      </c>
      <c r="I2070" s="1" t="s">
        <v>34</v>
      </c>
      <c r="J2070" s="1" t="s">
        <v>77</v>
      </c>
      <c r="K2070" s="1" t="s">
        <v>84</v>
      </c>
      <c r="L2070" s="1" t="s">
        <v>85</v>
      </c>
      <c r="M2070" s="1" t="s">
        <v>50</v>
      </c>
      <c r="N2070" s="1" t="n">
        <v>7999</v>
      </c>
      <c r="O2070" s="1" t="n">
        <v>10</v>
      </c>
      <c r="P2070" s="1" t="n">
        <v>799.9</v>
      </c>
      <c r="Q2070" s="1" t="n">
        <v>7199.1</v>
      </c>
      <c r="R2070" s="1" t="n">
        <v>1295.84</v>
      </c>
      <c r="S2070" s="1" t="n">
        <v>5903.26</v>
      </c>
      <c r="T2070" s="1" t="n">
        <v>2078.82</v>
      </c>
      <c r="U2070" s="1" t="n">
        <v>3824.44</v>
      </c>
      <c r="V2070" s="1" t="n">
        <v>64.79</v>
      </c>
      <c r="W2070" s="1" t="s">
        <v>39</v>
      </c>
      <c r="X2070" s="1" t="n">
        <v>4.7</v>
      </c>
      <c r="Y2070" s="1" t="s">
        <v>40</v>
      </c>
      <c r="Z2070" s="1" t="n">
        <v>1</v>
      </c>
      <c r="AA2070" s="1" t="str">
        <f aca="false">TRIM(PROPER(F2070))</f>
        <v>Noida</v>
      </c>
      <c r="AB2070" s="1" t="str">
        <f aca="false">TRIM(PROPER(C2070))</f>
        <v>Extramarks</v>
      </c>
      <c r="AC2070" s="1" t="str">
        <f aca="false">IF(O2070=0,"No Discount",IF(O2070&lt;=15,"Low (1-15%)",IF(O2070&lt;=30,"Medium (16-30%)","High (&gt;30%)")))</f>
        <v>Low (1-15%)</v>
      </c>
      <c r="AD2070" s="1" t="str">
        <f aca="false">IF(V2070&lt;0,"Loss Making",IF(V2070&lt;20,"Low Margin","Healthy Margin"))</f>
        <v>Healthy Margin</v>
      </c>
      <c r="AE2070" s="1" t="str">
        <f aca="false">TEXT(DATE(VALUE(RIGHT(B2070,4)),VALUE(MID(B2070,4,2)),VALUE(LEFT(B2070,2))),"MMM-YYYY")</f>
        <v>Dec-2024</v>
      </c>
      <c r="AF2070" s="1" t="n">
        <f aca="false">VALUE(RIGHT(B2070,4))</f>
        <v>2024</v>
      </c>
      <c r="AG2070" s="1" t="str">
        <f aca="false">CHOOSE(ROUNDUP(VALUE(MID(B2070,4,2))/3,0),"Q1","Q2","Q3","Q4")</f>
        <v>Q4</v>
      </c>
    </row>
    <row r="2071" customFormat="false" ht="15" hidden="false" customHeight="true" outlineLevel="0" collapsed="false">
      <c r="A2071" s="1" t="s">
        <v>2931</v>
      </c>
      <c r="B2071" s="1" t="s">
        <v>2932</v>
      </c>
      <c r="C2071" s="1" t="s">
        <v>74</v>
      </c>
      <c r="D2071" s="1" t="s">
        <v>80</v>
      </c>
      <c r="E2071" s="1" t="s">
        <v>175</v>
      </c>
      <c r="F2071" s="1" t="s">
        <v>150</v>
      </c>
      <c r="G2071" s="1" t="s">
        <v>32</v>
      </c>
      <c r="H2071" s="1" t="s">
        <v>57</v>
      </c>
      <c r="I2071" s="1" t="s">
        <v>34</v>
      </c>
      <c r="J2071" s="1" t="s">
        <v>77</v>
      </c>
      <c r="K2071" s="1" t="s">
        <v>60</v>
      </c>
      <c r="L2071" s="1" t="s">
        <v>61</v>
      </c>
      <c r="M2071" s="1" t="s">
        <v>62</v>
      </c>
      <c r="N2071" s="1" t="n">
        <v>19999</v>
      </c>
      <c r="O2071" s="1" t="n">
        <v>0</v>
      </c>
      <c r="P2071" s="1" t="n">
        <v>0</v>
      </c>
      <c r="Q2071" s="1" t="n">
        <v>19999</v>
      </c>
      <c r="R2071" s="1" t="n">
        <v>3599.82</v>
      </c>
      <c r="S2071" s="1" t="n">
        <v>16399.18</v>
      </c>
      <c r="T2071" s="1" t="n">
        <v>6925.31</v>
      </c>
      <c r="U2071" s="1" t="n">
        <v>9473.87</v>
      </c>
      <c r="V2071" s="1" t="n">
        <v>57.77</v>
      </c>
      <c r="W2071" s="1" t="s">
        <v>39</v>
      </c>
      <c r="X2071" s="1" t="n">
        <v>5</v>
      </c>
      <c r="Y2071" s="1" t="s">
        <v>40</v>
      </c>
      <c r="Z2071" s="1" t="n">
        <v>0</v>
      </c>
      <c r="AA2071" s="1" t="str">
        <f aca="false">TRIM(PROPER(F2071))</f>
        <v>Jaipur</v>
      </c>
      <c r="AB2071" s="1" t="str">
        <f aca="false">TRIM(PROPER(C2071))</f>
        <v>Vedantu</v>
      </c>
      <c r="AC2071" s="1" t="str">
        <f aca="false">IF(O2071=0,"No Discount",IF(O2071&lt;=15,"Low (1-15%)",IF(O2071&lt;=30,"Medium (16-30%)","High (&gt;30%)")))</f>
        <v>No Discount</v>
      </c>
      <c r="AD2071" s="1" t="str">
        <f aca="false">IF(V2071&lt;0,"Loss Making",IF(V2071&lt;20,"Low Margin","Healthy Margin"))</f>
        <v>Healthy Margin</v>
      </c>
      <c r="AE2071" s="1" t="str">
        <f aca="false">TEXT(DATE(VALUE(RIGHT(B2071,4)),VALUE(MID(B2071,4,2)),VALUE(LEFT(B2071,2))),"MMM-YYYY")</f>
        <v>Feb-2023</v>
      </c>
      <c r="AF2071" s="1" t="n">
        <f aca="false">VALUE(RIGHT(B2071,4))</f>
        <v>2023</v>
      </c>
      <c r="AG2071" s="1" t="str">
        <f aca="false">CHOOSE(ROUNDUP(VALUE(MID(B2071,4,2))/3,0),"Q1","Q2","Q3","Q4")</f>
        <v>Q1</v>
      </c>
    </row>
    <row r="2072" customFormat="false" ht="15" hidden="false" customHeight="true" outlineLevel="0" collapsed="false">
      <c r="A2072" s="1" t="s">
        <v>2933</v>
      </c>
      <c r="B2072" s="1" t="s">
        <v>2226</v>
      </c>
      <c r="C2072" s="1" t="s">
        <v>100</v>
      </c>
      <c r="D2072" s="1" t="s">
        <v>143</v>
      </c>
      <c r="E2072" s="1" t="s">
        <v>159</v>
      </c>
      <c r="F2072" s="1" t="s">
        <v>187</v>
      </c>
      <c r="G2072" s="1" t="s">
        <v>97</v>
      </c>
      <c r="H2072" s="1" t="s">
        <v>69</v>
      </c>
      <c r="I2072" s="1" t="s">
        <v>58</v>
      </c>
      <c r="J2072" s="1" t="s">
        <v>131</v>
      </c>
      <c r="K2072" s="1" t="s">
        <v>112</v>
      </c>
      <c r="L2072" s="1" t="s">
        <v>49</v>
      </c>
      <c r="M2072" s="1" t="s">
        <v>62</v>
      </c>
      <c r="N2072" s="1" t="n">
        <v>24999</v>
      </c>
      <c r="O2072" s="1" t="n">
        <v>0</v>
      </c>
      <c r="P2072" s="1" t="n">
        <v>0</v>
      </c>
      <c r="Q2072" s="1" t="n">
        <v>24999</v>
      </c>
      <c r="R2072" s="1" t="n">
        <v>4499.82</v>
      </c>
      <c r="S2072" s="1" t="n">
        <v>20499.18</v>
      </c>
      <c r="T2072" s="1" t="n">
        <v>8054.52</v>
      </c>
      <c r="U2072" s="1" t="n">
        <v>12444.66</v>
      </c>
      <c r="V2072" s="1" t="n">
        <v>60.71</v>
      </c>
      <c r="W2072" s="1" t="s">
        <v>40</v>
      </c>
      <c r="Y2072" s="1" t="s">
        <v>40</v>
      </c>
      <c r="Z2072" s="1" t="n">
        <v>0</v>
      </c>
      <c r="AA2072" s="1" t="str">
        <f aca="false">TRIM(PROPER(F2072))</f>
        <v>Mumbai</v>
      </c>
      <c r="AB2072" s="1" t="str">
        <f aca="false">TRIM(PROPER(C2072))</f>
        <v>Physics Wallah</v>
      </c>
      <c r="AC2072" s="1" t="str">
        <f aca="false">IF(O2072=0,"No Discount",IF(O2072&lt;=15,"Low (1-15%)",IF(O2072&lt;=30,"Medium (16-30%)","High (&gt;30%)")))</f>
        <v>No Discount</v>
      </c>
      <c r="AD2072" s="1" t="str">
        <f aca="false">IF(V2072&lt;0,"Loss Making",IF(V2072&lt;20,"Low Margin","Healthy Margin"))</f>
        <v>Healthy Margin</v>
      </c>
      <c r="AE2072" s="1" t="str">
        <f aca="false">TEXT(DATE(VALUE(RIGHT(B2072,4)),VALUE(MID(B2072,4,2)),VALUE(LEFT(B2072,2))),"MMM-YYYY")</f>
        <v>Dec-2023</v>
      </c>
      <c r="AF2072" s="1" t="n">
        <f aca="false">VALUE(RIGHT(B2072,4))</f>
        <v>2023</v>
      </c>
      <c r="AG2072" s="1" t="str">
        <f aca="false">CHOOSE(ROUNDUP(VALUE(MID(B2072,4,2))/3,0),"Q1","Q2","Q3","Q4")</f>
        <v>Q4</v>
      </c>
    </row>
    <row r="2073" customFormat="false" ht="15" hidden="false" customHeight="true" outlineLevel="0" collapsed="false">
      <c r="A2073" s="1" t="s">
        <v>2934</v>
      </c>
      <c r="B2073" s="1" t="s">
        <v>515</v>
      </c>
      <c r="C2073" s="1" t="s">
        <v>43</v>
      </c>
      <c r="D2073" s="1" t="s">
        <v>143</v>
      </c>
      <c r="E2073" s="1" t="s">
        <v>243</v>
      </c>
      <c r="F2073" s="1" t="s">
        <v>67</v>
      </c>
      <c r="G2073" s="1" t="s">
        <v>68</v>
      </c>
      <c r="H2073" s="1" t="s">
        <v>69</v>
      </c>
      <c r="I2073" s="1" t="s">
        <v>83</v>
      </c>
      <c r="J2073" s="1" t="s">
        <v>131</v>
      </c>
      <c r="K2073" s="1" t="s">
        <v>84</v>
      </c>
      <c r="L2073" s="1" t="s">
        <v>136</v>
      </c>
      <c r="M2073" s="1" t="s">
        <v>50</v>
      </c>
      <c r="N2073" s="1" t="n">
        <v>22999</v>
      </c>
      <c r="O2073" s="1" t="n">
        <v>10</v>
      </c>
      <c r="P2073" s="1" t="n">
        <v>2299.9</v>
      </c>
      <c r="Q2073" s="1" t="n">
        <v>20699.1</v>
      </c>
      <c r="R2073" s="1" t="n">
        <v>3725.84</v>
      </c>
      <c r="S2073" s="1" t="n">
        <v>16973.26</v>
      </c>
      <c r="T2073" s="1" t="n">
        <v>6985.31</v>
      </c>
      <c r="U2073" s="1" t="n">
        <v>9987.95</v>
      </c>
      <c r="V2073" s="1" t="n">
        <v>58.85</v>
      </c>
      <c r="W2073" s="1" t="s">
        <v>39</v>
      </c>
      <c r="X2073" s="1" t="n">
        <v>4.2</v>
      </c>
      <c r="Y2073" s="1" t="s">
        <v>39</v>
      </c>
      <c r="Z2073" s="1" t="n">
        <v>0</v>
      </c>
      <c r="AA2073" s="1" t="str">
        <f aca="false">TRIM(PROPER(F2073))</f>
        <v>Ahmedabad</v>
      </c>
      <c r="AB2073" s="1" t="str">
        <f aca="false">TRIM(PROPER(C2073))</f>
        <v>Meritnation</v>
      </c>
      <c r="AC2073" s="1" t="str">
        <f aca="false">IF(O2073=0,"No Discount",IF(O2073&lt;=15,"Low (1-15%)",IF(O2073&lt;=30,"Medium (16-30%)","High (&gt;30%)")))</f>
        <v>Low (1-15%)</v>
      </c>
      <c r="AD2073" s="1" t="str">
        <f aca="false">IF(V2073&lt;0,"Loss Making",IF(V2073&lt;20,"Low Margin","Healthy Margin"))</f>
        <v>Healthy Margin</v>
      </c>
      <c r="AE2073" s="1" t="str">
        <f aca="false">TEXT(DATE(VALUE(RIGHT(B2073,4)),VALUE(MID(B2073,4,2)),VALUE(LEFT(B2073,2))),"MMM-YYYY")</f>
        <v>Sep-2024</v>
      </c>
      <c r="AF2073" s="1" t="n">
        <f aca="false">VALUE(RIGHT(B2073,4))</f>
        <v>2024</v>
      </c>
      <c r="AG2073" s="1" t="str">
        <f aca="false">CHOOSE(ROUNDUP(VALUE(MID(B2073,4,2))/3,0),"Q1","Q2","Q3","Q4")</f>
        <v>Q3</v>
      </c>
    </row>
    <row r="2074" customFormat="false" ht="15" hidden="false" customHeight="true" outlineLevel="0" collapsed="false">
      <c r="A2074" s="1" t="s">
        <v>2935</v>
      </c>
      <c r="B2074" s="1" t="s">
        <v>1959</v>
      </c>
      <c r="C2074" s="1" t="s">
        <v>249</v>
      </c>
      <c r="D2074" s="1" t="s">
        <v>123</v>
      </c>
      <c r="E2074" s="1" t="s">
        <v>147</v>
      </c>
      <c r="F2074" s="1" t="s">
        <v>184</v>
      </c>
      <c r="G2074" s="1" t="s">
        <v>56</v>
      </c>
      <c r="H2074" s="1" t="s">
        <v>57</v>
      </c>
      <c r="I2074" s="1" t="s">
        <v>83</v>
      </c>
      <c r="J2074" s="1" t="s">
        <v>35</v>
      </c>
      <c r="K2074" s="1" t="s">
        <v>90</v>
      </c>
      <c r="L2074" s="1" t="s">
        <v>113</v>
      </c>
      <c r="M2074" s="1" t="s">
        <v>38</v>
      </c>
      <c r="N2074" s="1" t="n">
        <v>6999</v>
      </c>
      <c r="O2074" s="1" t="n">
        <v>30</v>
      </c>
      <c r="P2074" s="1" t="n">
        <v>2099.7</v>
      </c>
      <c r="Q2074" s="1" t="n">
        <v>4899.3</v>
      </c>
      <c r="R2074" s="1" t="n">
        <v>881.87</v>
      </c>
      <c r="S2074" s="1" t="n">
        <v>4017.43</v>
      </c>
      <c r="T2074" s="1" t="n">
        <v>1983.19</v>
      </c>
      <c r="U2074" s="1" t="n">
        <v>2034.24</v>
      </c>
      <c r="V2074" s="1" t="n">
        <v>50.64</v>
      </c>
      <c r="W2074" s="1" t="s">
        <v>40</v>
      </c>
      <c r="Y2074" s="1" t="s">
        <v>40</v>
      </c>
      <c r="Z2074" s="1" t="n">
        <v>1</v>
      </c>
      <c r="AA2074" s="1" t="str">
        <f aca="false">TRIM(PROPER(F2074))</f>
        <v>Faridabad</v>
      </c>
      <c r="AB2074" s="1" t="str">
        <f aca="false">TRIM(PROPER(C2074))</f>
        <v>Whitehat Jr</v>
      </c>
      <c r="AC2074" s="1" t="str">
        <f aca="false">IF(O2074=0,"No Discount",IF(O2074&lt;=15,"Low (1-15%)",IF(O2074&lt;=30,"Medium (16-30%)","High (&gt;30%)")))</f>
        <v>Medium (16-30%)</v>
      </c>
      <c r="AD2074" s="1" t="str">
        <f aca="false">IF(V2074&lt;0,"Loss Making",IF(V2074&lt;20,"Low Margin","Healthy Margin"))</f>
        <v>Healthy Margin</v>
      </c>
      <c r="AE2074" s="1" t="str">
        <f aca="false">TEXT(DATE(VALUE(RIGHT(B2074,4)),VALUE(MID(B2074,4,2)),VALUE(LEFT(B2074,2))),"MMM-YYYY")</f>
        <v>Feb-2023</v>
      </c>
      <c r="AF2074" s="1" t="n">
        <f aca="false">VALUE(RIGHT(B2074,4))</f>
        <v>2023</v>
      </c>
      <c r="AG2074" s="1" t="str">
        <f aca="false">CHOOSE(ROUNDUP(VALUE(MID(B2074,4,2))/3,0),"Q1","Q2","Q3","Q4")</f>
        <v>Q1</v>
      </c>
    </row>
    <row r="2075" customFormat="false" ht="15" hidden="false" customHeight="true" outlineLevel="0" collapsed="false">
      <c r="A2075" s="1" t="s">
        <v>2936</v>
      </c>
      <c r="B2075" s="1" t="s">
        <v>680</v>
      </c>
      <c r="C2075" s="1" t="s">
        <v>43</v>
      </c>
      <c r="D2075" s="1" t="s">
        <v>80</v>
      </c>
      <c r="E2075" s="1" t="s">
        <v>193</v>
      </c>
      <c r="F2075" s="1" t="s">
        <v>184</v>
      </c>
      <c r="G2075" s="1" t="s">
        <v>56</v>
      </c>
      <c r="H2075" s="1" t="s">
        <v>57</v>
      </c>
      <c r="I2075" s="1" t="s">
        <v>34</v>
      </c>
      <c r="J2075" s="1" t="s">
        <v>35</v>
      </c>
      <c r="K2075" s="1" t="s">
        <v>48</v>
      </c>
      <c r="L2075" s="1" t="s">
        <v>49</v>
      </c>
      <c r="M2075" s="1" t="s">
        <v>50</v>
      </c>
      <c r="N2075" s="1" t="n">
        <v>8999</v>
      </c>
      <c r="O2075" s="1" t="n">
        <v>0</v>
      </c>
      <c r="P2075" s="1" t="n">
        <v>0</v>
      </c>
      <c r="Q2075" s="1" t="n">
        <v>8999</v>
      </c>
      <c r="R2075" s="1" t="n">
        <v>1619.82</v>
      </c>
      <c r="S2075" s="1" t="n">
        <v>7379.18</v>
      </c>
      <c r="T2075" s="1" t="n">
        <v>3048.44</v>
      </c>
      <c r="U2075" s="1" t="n">
        <v>4330.74</v>
      </c>
      <c r="V2075" s="1" t="n">
        <v>58.69</v>
      </c>
      <c r="W2075" s="1" t="s">
        <v>40</v>
      </c>
      <c r="Y2075" s="1" t="s">
        <v>40</v>
      </c>
      <c r="Z2075" s="1" t="n">
        <v>1</v>
      </c>
      <c r="AA2075" s="1" t="str">
        <f aca="false">TRIM(PROPER(F2075))</f>
        <v>Faridabad</v>
      </c>
      <c r="AB2075" s="1" t="str">
        <f aca="false">TRIM(PROPER(C2075))</f>
        <v>Meritnation</v>
      </c>
      <c r="AC2075" s="1" t="str">
        <f aca="false">IF(O2075=0,"No Discount",IF(O2075&lt;=15,"Low (1-15%)",IF(O2075&lt;=30,"Medium (16-30%)","High (&gt;30%)")))</f>
        <v>No Discount</v>
      </c>
      <c r="AD2075" s="1" t="str">
        <f aca="false">IF(V2075&lt;0,"Loss Making",IF(V2075&lt;20,"Low Margin","Healthy Margin"))</f>
        <v>Healthy Margin</v>
      </c>
      <c r="AE2075" s="1" t="str">
        <f aca="false">TEXT(DATE(VALUE(RIGHT(B2075,4)),VALUE(MID(B2075,4,2)),VALUE(LEFT(B2075,2))),"MMM-YYYY")</f>
        <v>May-2023</v>
      </c>
      <c r="AF2075" s="1" t="n">
        <f aca="false">VALUE(RIGHT(B2075,4))</f>
        <v>2023</v>
      </c>
      <c r="AG2075" s="1" t="str">
        <f aca="false">CHOOSE(ROUNDUP(VALUE(MID(B2075,4,2))/3,0),"Q1","Q2","Q3","Q4")</f>
        <v>Q2</v>
      </c>
    </row>
    <row r="2076" customFormat="false" ht="15" hidden="false" customHeight="true" outlineLevel="0" collapsed="false">
      <c r="A2076" s="1" t="s">
        <v>2937</v>
      </c>
      <c r="B2076" s="1" t="s">
        <v>1984</v>
      </c>
      <c r="C2076" s="1" t="s">
        <v>178</v>
      </c>
      <c r="D2076" s="1" t="s">
        <v>53</v>
      </c>
      <c r="E2076" s="1" t="s">
        <v>54</v>
      </c>
      <c r="F2076" s="1" t="s">
        <v>75</v>
      </c>
      <c r="G2076" s="1" t="s">
        <v>76</v>
      </c>
      <c r="H2076" s="1" t="s">
        <v>69</v>
      </c>
      <c r="I2076" s="1" t="s">
        <v>34</v>
      </c>
      <c r="J2076" s="1" t="s">
        <v>35</v>
      </c>
      <c r="K2076" s="1" t="s">
        <v>36</v>
      </c>
      <c r="L2076" s="1" t="s">
        <v>49</v>
      </c>
      <c r="M2076" s="1" t="s">
        <v>62</v>
      </c>
      <c r="N2076" s="1" t="n">
        <v>11999</v>
      </c>
      <c r="O2076" s="1" t="n">
        <v>20</v>
      </c>
      <c r="P2076" s="1" t="n">
        <v>2399.8</v>
      </c>
      <c r="Q2076" s="1" t="n">
        <v>9599.2</v>
      </c>
      <c r="R2076" s="1" t="n">
        <v>1727.86</v>
      </c>
      <c r="S2076" s="1" t="n">
        <v>7871.34</v>
      </c>
      <c r="T2076" s="1" t="n">
        <v>2671.27</v>
      </c>
      <c r="U2076" s="1" t="n">
        <v>5200.07</v>
      </c>
      <c r="V2076" s="1" t="n">
        <v>66.06</v>
      </c>
      <c r="W2076" s="1" t="s">
        <v>39</v>
      </c>
      <c r="X2076" s="1" t="n">
        <v>3.7</v>
      </c>
      <c r="Y2076" s="1" t="s">
        <v>40</v>
      </c>
      <c r="Z2076" s="1" t="n">
        <v>0</v>
      </c>
      <c r="AA2076" s="1" t="str">
        <f aca="false">TRIM(PROPER(F2076))</f>
        <v>Kolkata</v>
      </c>
      <c r="AB2076" s="1" t="str">
        <f aca="false">TRIM(PROPER(C2076))</f>
        <v>Leverage Edu</v>
      </c>
      <c r="AC2076" s="1" t="str">
        <f aca="false">IF(O2076=0,"No Discount",IF(O2076&lt;=15,"Low (1-15%)",IF(O2076&lt;=30,"Medium (16-30%)","High (&gt;30%)")))</f>
        <v>Medium (16-30%)</v>
      </c>
      <c r="AD2076" s="1" t="str">
        <f aca="false">IF(V2076&lt;0,"Loss Making",IF(V2076&lt;20,"Low Margin","Healthy Margin"))</f>
        <v>Healthy Margin</v>
      </c>
      <c r="AE2076" s="1" t="str">
        <f aca="false">TEXT(DATE(VALUE(RIGHT(B2076,4)),VALUE(MID(B2076,4,2)),VALUE(LEFT(B2076,2))),"MMM-YYYY")</f>
        <v>Dec-2024</v>
      </c>
      <c r="AF2076" s="1" t="n">
        <f aca="false">VALUE(RIGHT(B2076,4))</f>
        <v>2024</v>
      </c>
      <c r="AG2076" s="1" t="str">
        <f aca="false">CHOOSE(ROUNDUP(VALUE(MID(B2076,4,2))/3,0),"Q1","Q2","Q3","Q4")</f>
        <v>Q4</v>
      </c>
    </row>
    <row r="2077" customFormat="false" ht="15" hidden="false" customHeight="true" outlineLevel="0" collapsed="false">
      <c r="A2077" s="1" t="s">
        <v>2938</v>
      </c>
      <c r="B2077" s="1" t="s">
        <v>772</v>
      </c>
      <c r="C2077" s="1" t="s">
        <v>249</v>
      </c>
      <c r="D2077" s="1" t="s">
        <v>123</v>
      </c>
      <c r="E2077" s="1" t="s">
        <v>147</v>
      </c>
      <c r="F2077" s="1" t="s">
        <v>46</v>
      </c>
      <c r="G2077" s="1" t="s">
        <v>47</v>
      </c>
      <c r="H2077" s="1" t="s">
        <v>33</v>
      </c>
      <c r="I2077" s="1" t="s">
        <v>34</v>
      </c>
      <c r="J2077" s="1" t="s">
        <v>70</v>
      </c>
      <c r="K2077" s="1" t="s">
        <v>84</v>
      </c>
      <c r="L2077" s="1" t="s">
        <v>61</v>
      </c>
      <c r="M2077" s="1" t="s">
        <v>38</v>
      </c>
      <c r="N2077" s="1" t="n">
        <v>6999</v>
      </c>
      <c r="O2077" s="1" t="n">
        <v>0</v>
      </c>
      <c r="P2077" s="1" t="n">
        <v>0</v>
      </c>
      <c r="Q2077" s="1" t="n">
        <v>6999</v>
      </c>
      <c r="R2077" s="1" t="n">
        <v>1259.82</v>
      </c>
      <c r="S2077" s="1" t="n">
        <v>5739.18</v>
      </c>
      <c r="T2077" s="1" t="n">
        <v>2855.69</v>
      </c>
      <c r="U2077" s="1" t="n">
        <v>2883.49</v>
      </c>
      <c r="V2077" s="1" t="n">
        <v>50.24</v>
      </c>
      <c r="W2077" s="1" t="s">
        <v>40</v>
      </c>
      <c r="Y2077" s="1" t="s">
        <v>40</v>
      </c>
      <c r="Z2077" s="1" t="n">
        <v>0</v>
      </c>
      <c r="AA2077" s="1" t="str">
        <f aca="false">TRIM(PROPER(F2077))</f>
        <v>Mangaluru</v>
      </c>
      <c r="AB2077" s="1" t="str">
        <f aca="false">TRIM(PROPER(C2077))</f>
        <v>Whitehat Jr</v>
      </c>
      <c r="AC2077" s="1" t="str">
        <f aca="false">IF(O2077=0,"No Discount",IF(O2077&lt;=15,"Low (1-15%)",IF(O2077&lt;=30,"Medium (16-30%)","High (&gt;30%)")))</f>
        <v>No Discount</v>
      </c>
      <c r="AD2077" s="1" t="str">
        <f aca="false">IF(V2077&lt;0,"Loss Making",IF(V2077&lt;20,"Low Margin","Healthy Margin"))</f>
        <v>Healthy Margin</v>
      </c>
      <c r="AE2077" s="1" t="str">
        <f aca="false">TEXT(DATE(VALUE(RIGHT(B2077,4)),VALUE(MID(B2077,4,2)),VALUE(LEFT(B2077,2))),"MMM-YYYY")</f>
        <v>Apr-2023</v>
      </c>
      <c r="AF2077" s="1" t="n">
        <f aca="false">VALUE(RIGHT(B2077,4))</f>
        <v>2023</v>
      </c>
      <c r="AG2077" s="1" t="str">
        <f aca="false">CHOOSE(ROUNDUP(VALUE(MID(B2077,4,2))/3,0),"Q1","Q2","Q3","Q4")</f>
        <v>Q2</v>
      </c>
    </row>
    <row r="2078" customFormat="false" ht="15" hidden="false" customHeight="true" outlineLevel="0" collapsed="false">
      <c r="A2078" s="1" t="s">
        <v>2939</v>
      </c>
      <c r="B2078" s="1" t="s">
        <v>315</v>
      </c>
      <c r="C2078" s="1" t="s">
        <v>74</v>
      </c>
      <c r="D2078" s="1" t="s">
        <v>53</v>
      </c>
      <c r="E2078" s="1" t="s">
        <v>54</v>
      </c>
      <c r="F2078" s="1" t="s">
        <v>130</v>
      </c>
      <c r="G2078" s="1" t="s">
        <v>47</v>
      </c>
      <c r="H2078" s="1" t="s">
        <v>69</v>
      </c>
      <c r="I2078" s="1" t="s">
        <v>58</v>
      </c>
      <c r="J2078" s="1" t="s">
        <v>35</v>
      </c>
      <c r="K2078" s="1" t="s">
        <v>48</v>
      </c>
      <c r="L2078" s="1" t="s">
        <v>37</v>
      </c>
      <c r="M2078" s="1" t="s">
        <v>62</v>
      </c>
      <c r="N2078" s="1" t="n">
        <v>11999</v>
      </c>
      <c r="O2078" s="1" t="n">
        <v>50</v>
      </c>
      <c r="P2078" s="1" t="n">
        <v>5999.5</v>
      </c>
      <c r="Q2078" s="1" t="n">
        <v>5999.5</v>
      </c>
      <c r="R2078" s="1" t="n">
        <v>1079.91</v>
      </c>
      <c r="S2078" s="1" t="n">
        <v>4919.59</v>
      </c>
      <c r="T2078" s="1" t="n">
        <v>2831.17</v>
      </c>
      <c r="U2078" s="1" t="n">
        <v>2088.42</v>
      </c>
      <c r="V2078" s="1" t="n">
        <v>42.45</v>
      </c>
      <c r="W2078" s="1" t="s">
        <v>39</v>
      </c>
      <c r="X2078" s="1" t="n">
        <v>3.5</v>
      </c>
      <c r="Y2078" s="1" t="s">
        <v>40</v>
      </c>
      <c r="Z2078" s="1" t="n">
        <v>1</v>
      </c>
      <c r="AA2078" s="1" t="str">
        <f aca="false">TRIM(PROPER(F2078))</f>
        <v>Bengaluru</v>
      </c>
      <c r="AB2078" s="1" t="str">
        <f aca="false">TRIM(PROPER(C2078))</f>
        <v>Vedantu</v>
      </c>
      <c r="AC2078" s="1" t="str">
        <f aca="false">IF(O2078=0,"No Discount",IF(O2078&lt;=15,"Low (1-15%)",IF(O2078&lt;=30,"Medium (16-30%)","High (&gt;30%)")))</f>
        <v>High (&gt;30%)</v>
      </c>
      <c r="AD2078" s="1" t="str">
        <f aca="false">IF(V2078&lt;0,"Loss Making",IF(V2078&lt;20,"Low Margin","Healthy Margin"))</f>
        <v>Healthy Margin</v>
      </c>
      <c r="AE2078" s="1" t="str">
        <f aca="false">TEXT(DATE(VALUE(RIGHT(B2078,4)),VALUE(MID(B2078,4,2)),VALUE(LEFT(B2078,2))),"MMM-YYYY")</f>
        <v>Jun-2023</v>
      </c>
      <c r="AF2078" s="1" t="n">
        <f aca="false">VALUE(RIGHT(B2078,4))</f>
        <v>2023</v>
      </c>
      <c r="AG2078" s="1" t="str">
        <f aca="false">CHOOSE(ROUNDUP(VALUE(MID(B2078,4,2))/3,0),"Q1","Q2","Q3","Q4")</f>
        <v>Q2</v>
      </c>
    </row>
    <row r="2079" customFormat="false" ht="15" hidden="false" customHeight="true" outlineLevel="0" collapsed="false">
      <c r="A2079" s="1" t="s">
        <v>2940</v>
      </c>
      <c r="B2079" s="1" t="s">
        <v>1052</v>
      </c>
      <c r="C2079" s="1" t="s">
        <v>134</v>
      </c>
      <c r="D2079" s="1" t="s">
        <v>29</v>
      </c>
      <c r="E2079" s="1" t="s">
        <v>305</v>
      </c>
      <c r="F2079" s="1" t="s">
        <v>96</v>
      </c>
      <c r="G2079" s="1" t="s">
        <v>97</v>
      </c>
      <c r="H2079" s="1" t="s">
        <v>69</v>
      </c>
      <c r="I2079" s="1" t="s">
        <v>83</v>
      </c>
      <c r="J2079" s="1" t="s">
        <v>59</v>
      </c>
      <c r="K2079" s="1" t="s">
        <v>104</v>
      </c>
      <c r="L2079" s="1" t="s">
        <v>136</v>
      </c>
      <c r="M2079" s="1" t="s">
        <v>62</v>
      </c>
      <c r="N2079" s="1" t="n">
        <v>24999</v>
      </c>
      <c r="O2079" s="1" t="n">
        <v>0</v>
      </c>
      <c r="P2079" s="1" t="n">
        <v>0</v>
      </c>
      <c r="Q2079" s="1" t="n">
        <v>24999</v>
      </c>
      <c r="R2079" s="1" t="n">
        <v>4499.82</v>
      </c>
      <c r="S2079" s="1" t="n">
        <v>20499.18</v>
      </c>
      <c r="T2079" s="1" t="n">
        <v>8017.56</v>
      </c>
      <c r="U2079" s="1" t="n">
        <v>12481.62</v>
      </c>
      <c r="V2079" s="1" t="n">
        <v>60.89</v>
      </c>
      <c r="W2079" s="1" t="s">
        <v>39</v>
      </c>
      <c r="Y2079" s="1" t="s">
        <v>40</v>
      </c>
      <c r="Z2079" s="1" t="n">
        <v>1</v>
      </c>
      <c r="AA2079" s="1" t="str">
        <f aca="false">TRIM(PROPER(F2079))</f>
        <v>Pune</v>
      </c>
      <c r="AB2079" s="1" t="str">
        <f aca="false">TRIM(PROPER(C2079))</f>
        <v>Doubtnut</v>
      </c>
      <c r="AC2079" s="1" t="str">
        <f aca="false">IF(O2079=0,"No Discount",IF(O2079&lt;=15,"Low (1-15%)",IF(O2079&lt;=30,"Medium (16-30%)","High (&gt;30%)")))</f>
        <v>No Discount</v>
      </c>
      <c r="AD2079" s="1" t="str">
        <f aca="false">IF(V2079&lt;0,"Loss Making",IF(V2079&lt;20,"Low Margin","Healthy Margin"))</f>
        <v>Healthy Margin</v>
      </c>
      <c r="AE2079" s="1" t="str">
        <f aca="false">TEXT(DATE(VALUE(RIGHT(B2079,4)),VALUE(MID(B2079,4,2)),VALUE(LEFT(B2079,2))),"MMM-YYYY")</f>
        <v>May-2023</v>
      </c>
      <c r="AF2079" s="1" t="n">
        <f aca="false">VALUE(RIGHT(B2079,4))</f>
        <v>2023</v>
      </c>
      <c r="AG2079" s="1" t="str">
        <f aca="false">CHOOSE(ROUNDUP(VALUE(MID(B2079,4,2))/3,0),"Q1","Q2","Q3","Q4")</f>
        <v>Q2</v>
      </c>
    </row>
    <row r="2080" customFormat="false" ht="15" hidden="false" customHeight="true" outlineLevel="0" collapsed="false">
      <c r="A2080" s="1" t="s">
        <v>2941</v>
      </c>
      <c r="B2080" s="1" t="s">
        <v>1018</v>
      </c>
      <c r="C2080" s="1" t="s">
        <v>28</v>
      </c>
      <c r="D2080" s="1" t="s">
        <v>168</v>
      </c>
      <c r="E2080" s="1" t="s">
        <v>169</v>
      </c>
      <c r="F2080" s="1" t="s">
        <v>89</v>
      </c>
      <c r="G2080" s="1" t="s">
        <v>68</v>
      </c>
      <c r="H2080" s="1" t="s">
        <v>33</v>
      </c>
      <c r="I2080" s="1" t="s">
        <v>34</v>
      </c>
      <c r="J2080" s="1" t="s">
        <v>70</v>
      </c>
      <c r="K2080" s="1" t="s">
        <v>71</v>
      </c>
      <c r="L2080" s="1" t="s">
        <v>136</v>
      </c>
      <c r="M2080" s="1" t="s">
        <v>38</v>
      </c>
      <c r="N2080" s="1" t="n">
        <v>4999</v>
      </c>
      <c r="O2080" s="1" t="n">
        <v>0</v>
      </c>
      <c r="P2080" s="1" t="n">
        <v>0</v>
      </c>
      <c r="Q2080" s="1" t="n">
        <v>4999</v>
      </c>
      <c r="R2080" s="1" t="n">
        <v>899.82</v>
      </c>
      <c r="S2080" s="1" t="n">
        <v>4099.18</v>
      </c>
      <c r="T2080" s="1" t="n">
        <v>1799.05</v>
      </c>
      <c r="U2080" s="1" t="n">
        <v>2300.13</v>
      </c>
      <c r="V2080" s="1" t="n">
        <v>56.11</v>
      </c>
      <c r="W2080" s="1" t="s">
        <v>40</v>
      </c>
      <c r="Y2080" s="1" t="s">
        <v>40</v>
      </c>
      <c r="Z2080" s="1" t="n">
        <v>1</v>
      </c>
      <c r="AA2080" s="1" t="str">
        <f aca="false">TRIM(PROPER(F2080))</f>
        <v>Vadodara</v>
      </c>
      <c r="AB2080" s="1" t="str">
        <f aca="false">TRIM(PROPER(C2080))</f>
        <v>Embibe</v>
      </c>
      <c r="AC2080" s="1" t="str">
        <f aca="false">IF(O2080=0,"No Discount",IF(O2080&lt;=15,"Low (1-15%)",IF(O2080&lt;=30,"Medium (16-30%)","High (&gt;30%)")))</f>
        <v>No Discount</v>
      </c>
      <c r="AD2080" s="1" t="str">
        <f aca="false">IF(V2080&lt;0,"Loss Making",IF(V2080&lt;20,"Low Margin","Healthy Margin"))</f>
        <v>Healthy Margin</v>
      </c>
      <c r="AE2080" s="1" t="str">
        <f aca="false">TEXT(DATE(VALUE(RIGHT(B2080,4)),VALUE(MID(B2080,4,2)),VALUE(LEFT(B2080,2))),"MMM-YYYY")</f>
        <v>Dec-2023</v>
      </c>
      <c r="AF2080" s="1" t="n">
        <f aca="false">VALUE(RIGHT(B2080,4))</f>
        <v>2023</v>
      </c>
      <c r="AG2080" s="1" t="str">
        <f aca="false">CHOOSE(ROUNDUP(VALUE(MID(B2080,4,2))/3,0),"Q1","Q2","Q3","Q4")</f>
        <v>Q4</v>
      </c>
    </row>
    <row r="2081" customFormat="false" ht="15" hidden="false" customHeight="true" outlineLevel="0" collapsed="false">
      <c r="A2081" s="1" t="s">
        <v>2942</v>
      </c>
      <c r="B2081" s="1" t="s">
        <v>491</v>
      </c>
      <c r="C2081" s="1" t="s">
        <v>74</v>
      </c>
      <c r="D2081" s="1" t="s">
        <v>168</v>
      </c>
      <c r="E2081" s="1" t="s">
        <v>172</v>
      </c>
      <c r="F2081" s="1" t="s">
        <v>31</v>
      </c>
      <c r="G2081" s="1" t="s">
        <v>32</v>
      </c>
      <c r="H2081" s="1" t="s">
        <v>33</v>
      </c>
      <c r="I2081" s="1" t="s">
        <v>58</v>
      </c>
      <c r="J2081" s="1" t="s">
        <v>59</v>
      </c>
      <c r="K2081" s="1" t="s">
        <v>60</v>
      </c>
      <c r="L2081" s="1" t="s">
        <v>85</v>
      </c>
      <c r="M2081" s="1" t="s">
        <v>38</v>
      </c>
      <c r="N2081" s="1" t="n">
        <v>6999</v>
      </c>
      <c r="O2081" s="1" t="n">
        <v>25</v>
      </c>
      <c r="P2081" s="1" t="n">
        <v>1749.75</v>
      </c>
      <c r="Q2081" s="1" t="n">
        <v>5249.25</v>
      </c>
      <c r="R2081" s="1" t="n">
        <v>944.87</v>
      </c>
      <c r="S2081" s="1" t="n">
        <v>4304.38</v>
      </c>
      <c r="T2081" s="1" t="n">
        <v>1958.08</v>
      </c>
      <c r="U2081" s="1" t="n">
        <v>2346.3</v>
      </c>
      <c r="V2081" s="1" t="n">
        <v>54.51</v>
      </c>
      <c r="W2081" s="1" t="s">
        <v>39</v>
      </c>
      <c r="X2081" s="1" t="n">
        <v>3.3</v>
      </c>
      <c r="Y2081" s="1" t="s">
        <v>40</v>
      </c>
      <c r="Z2081" s="1" t="n">
        <v>0</v>
      </c>
      <c r="AA2081" s="1" t="str">
        <f aca="false">TRIM(PROPER(F2081))</f>
        <v>Jodhpur</v>
      </c>
      <c r="AB2081" s="1" t="str">
        <f aca="false">TRIM(PROPER(C2081))</f>
        <v>Vedantu</v>
      </c>
      <c r="AC2081" s="1" t="str">
        <f aca="false">IF(O2081=0,"No Discount",IF(O2081&lt;=15,"Low (1-15%)",IF(O2081&lt;=30,"Medium (16-30%)","High (&gt;30%)")))</f>
        <v>Medium (16-30%)</v>
      </c>
      <c r="AD2081" s="1" t="str">
        <f aca="false">IF(V2081&lt;0,"Loss Making",IF(V2081&lt;20,"Low Margin","Healthy Margin"))</f>
        <v>Healthy Margin</v>
      </c>
      <c r="AE2081" s="1" t="str">
        <f aca="false">TEXT(DATE(VALUE(RIGHT(B2081,4)),VALUE(MID(B2081,4,2)),VALUE(LEFT(B2081,2))),"MMM-YYYY")</f>
        <v>Jun-2023</v>
      </c>
      <c r="AF2081" s="1" t="n">
        <f aca="false">VALUE(RIGHT(B2081,4))</f>
        <v>2023</v>
      </c>
      <c r="AG2081" s="1" t="str">
        <f aca="false">CHOOSE(ROUNDUP(VALUE(MID(B2081,4,2))/3,0),"Q1","Q2","Q3","Q4")</f>
        <v>Q2</v>
      </c>
    </row>
    <row r="2082" customFormat="false" ht="15" hidden="false" customHeight="true" outlineLevel="0" collapsed="false">
      <c r="A2082" s="1" t="s">
        <v>2943</v>
      </c>
      <c r="B2082" s="1" t="s">
        <v>2360</v>
      </c>
      <c r="C2082" s="1" t="s">
        <v>167</v>
      </c>
      <c r="D2082" s="1" t="s">
        <v>94</v>
      </c>
      <c r="E2082" s="1" t="s">
        <v>135</v>
      </c>
      <c r="F2082" s="1" t="s">
        <v>75</v>
      </c>
      <c r="G2082" s="1" t="s">
        <v>76</v>
      </c>
      <c r="H2082" s="1" t="s">
        <v>69</v>
      </c>
      <c r="I2082" s="1" t="s">
        <v>83</v>
      </c>
      <c r="J2082" s="1" t="s">
        <v>59</v>
      </c>
      <c r="K2082" s="1" t="s">
        <v>48</v>
      </c>
      <c r="L2082" s="1" t="s">
        <v>85</v>
      </c>
      <c r="M2082" s="1" t="s">
        <v>62</v>
      </c>
      <c r="N2082" s="1" t="n">
        <v>9999</v>
      </c>
      <c r="O2082" s="1" t="n">
        <v>10</v>
      </c>
      <c r="P2082" s="1" t="n">
        <v>999.9</v>
      </c>
      <c r="Q2082" s="1" t="n">
        <v>8999.1</v>
      </c>
      <c r="R2082" s="1" t="n">
        <v>1619.84</v>
      </c>
      <c r="S2082" s="1" t="n">
        <v>7379.26</v>
      </c>
      <c r="T2082" s="1" t="n">
        <v>3435</v>
      </c>
      <c r="U2082" s="1" t="n">
        <v>3944.26</v>
      </c>
      <c r="V2082" s="1" t="n">
        <v>53.45</v>
      </c>
      <c r="W2082" s="1" t="s">
        <v>40</v>
      </c>
      <c r="Y2082" s="1" t="s">
        <v>40</v>
      </c>
      <c r="Z2082" s="1" t="n">
        <v>2</v>
      </c>
      <c r="AA2082" s="1" t="str">
        <f aca="false">TRIM(PROPER(F2082))</f>
        <v>Kolkata</v>
      </c>
      <c r="AB2082" s="1" t="str">
        <f aca="false">TRIM(PROPER(C2082))</f>
        <v>Scaler</v>
      </c>
      <c r="AC2082" s="1" t="str">
        <f aca="false">IF(O2082=0,"No Discount",IF(O2082&lt;=15,"Low (1-15%)",IF(O2082&lt;=30,"Medium (16-30%)","High (&gt;30%)")))</f>
        <v>Low (1-15%)</v>
      </c>
      <c r="AD2082" s="1" t="str">
        <f aca="false">IF(V2082&lt;0,"Loss Making",IF(V2082&lt;20,"Low Margin","Healthy Margin"))</f>
        <v>Healthy Margin</v>
      </c>
      <c r="AE2082" s="1" t="str">
        <f aca="false">TEXT(DATE(VALUE(RIGHT(B2082,4)),VALUE(MID(B2082,4,2)),VALUE(LEFT(B2082,2))),"MMM-YYYY")</f>
        <v>Jan-2023</v>
      </c>
      <c r="AF2082" s="1" t="n">
        <f aca="false">VALUE(RIGHT(B2082,4))</f>
        <v>2023</v>
      </c>
      <c r="AG2082" s="1" t="str">
        <f aca="false">CHOOSE(ROUNDUP(VALUE(MID(B2082,4,2))/3,0),"Q1","Q2","Q3","Q4")</f>
        <v>Q1</v>
      </c>
    </row>
    <row r="2083" customFormat="false" ht="15" hidden="false" customHeight="true" outlineLevel="0" collapsed="false">
      <c r="A2083" s="1" t="s">
        <v>2944</v>
      </c>
      <c r="B2083" s="1" t="s">
        <v>1453</v>
      </c>
      <c r="C2083" s="1" t="s">
        <v>178</v>
      </c>
      <c r="D2083" s="1" t="s">
        <v>94</v>
      </c>
      <c r="E2083" s="1" t="s">
        <v>95</v>
      </c>
      <c r="F2083" s="1" t="s">
        <v>153</v>
      </c>
      <c r="G2083" s="1" t="s">
        <v>76</v>
      </c>
      <c r="H2083" s="1" t="s">
        <v>33</v>
      </c>
      <c r="I2083" s="1" t="s">
        <v>34</v>
      </c>
      <c r="J2083" s="1" t="s">
        <v>131</v>
      </c>
      <c r="K2083" s="1" t="s">
        <v>112</v>
      </c>
      <c r="L2083" s="1" t="s">
        <v>85</v>
      </c>
      <c r="M2083" s="1" t="s">
        <v>38</v>
      </c>
      <c r="N2083" s="1" t="n">
        <v>6999</v>
      </c>
      <c r="O2083" s="1" t="n">
        <v>0</v>
      </c>
      <c r="P2083" s="1" t="n">
        <v>0</v>
      </c>
      <c r="Q2083" s="1" t="n">
        <v>6999</v>
      </c>
      <c r="R2083" s="1" t="n">
        <v>1259.82</v>
      </c>
      <c r="S2083" s="1" t="n">
        <v>5739.18</v>
      </c>
      <c r="T2083" s="1" t="n">
        <v>2954.89</v>
      </c>
      <c r="U2083" s="1" t="n">
        <v>2784.29</v>
      </c>
      <c r="V2083" s="1" t="n">
        <v>48.51</v>
      </c>
      <c r="W2083" s="1" t="s">
        <v>40</v>
      </c>
      <c r="Y2083" s="1" t="s">
        <v>40</v>
      </c>
      <c r="Z2083" s="1" t="n">
        <v>2</v>
      </c>
      <c r="AA2083" s="1" t="str">
        <f aca="false">TRIM(PROPER(F2083))</f>
        <v>Howrah</v>
      </c>
      <c r="AB2083" s="1" t="str">
        <f aca="false">TRIM(PROPER(C2083))</f>
        <v>Leverage Edu</v>
      </c>
      <c r="AC2083" s="1" t="str">
        <f aca="false">IF(O2083=0,"No Discount",IF(O2083&lt;=15,"Low (1-15%)",IF(O2083&lt;=30,"Medium (16-30%)","High (&gt;30%)")))</f>
        <v>No Discount</v>
      </c>
      <c r="AD2083" s="1" t="str">
        <f aca="false">IF(V2083&lt;0,"Loss Making",IF(V2083&lt;20,"Low Margin","Healthy Margin"))</f>
        <v>Healthy Margin</v>
      </c>
      <c r="AE2083" s="1" t="str">
        <f aca="false">TEXT(DATE(VALUE(RIGHT(B2083,4)),VALUE(MID(B2083,4,2)),VALUE(LEFT(B2083,2))),"MMM-YYYY")</f>
        <v>Jan-2024</v>
      </c>
      <c r="AF2083" s="1" t="n">
        <f aca="false">VALUE(RIGHT(B2083,4))</f>
        <v>2024</v>
      </c>
      <c r="AG2083" s="1" t="str">
        <f aca="false">CHOOSE(ROUNDUP(VALUE(MID(B2083,4,2))/3,0),"Q1","Q2","Q3","Q4")</f>
        <v>Q1</v>
      </c>
    </row>
    <row r="2084" customFormat="false" ht="15" hidden="false" customHeight="true" outlineLevel="0" collapsed="false">
      <c r="A2084" s="1" t="s">
        <v>2945</v>
      </c>
      <c r="B2084" s="1" t="s">
        <v>2946</v>
      </c>
      <c r="C2084" s="1" t="s">
        <v>28</v>
      </c>
      <c r="D2084" s="1" t="s">
        <v>94</v>
      </c>
      <c r="E2084" s="1" t="s">
        <v>135</v>
      </c>
      <c r="F2084" s="1" t="s">
        <v>125</v>
      </c>
      <c r="G2084" s="1" t="s">
        <v>108</v>
      </c>
      <c r="H2084" s="1" t="s">
        <v>69</v>
      </c>
      <c r="I2084" s="1" t="s">
        <v>58</v>
      </c>
      <c r="J2084" s="1" t="s">
        <v>59</v>
      </c>
      <c r="K2084" s="1" t="s">
        <v>104</v>
      </c>
      <c r="L2084" s="1" t="s">
        <v>37</v>
      </c>
      <c r="M2084" s="1" t="s">
        <v>62</v>
      </c>
      <c r="N2084" s="1" t="n">
        <v>9999</v>
      </c>
      <c r="O2084" s="1" t="n">
        <v>15</v>
      </c>
      <c r="P2084" s="1" t="n">
        <v>1499.85</v>
      </c>
      <c r="Q2084" s="1" t="n">
        <v>8499.15</v>
      </c>
      <c r="R2084" s="1" t="n">
        <v>1529.85</v>
      </c>
      <c r="S2084" s="1" t="n">
        <v>6969.3</v>
      </c>
      <c r="T2084" s="1" t="n">
        <v>2824.54</v>
      </c>
      <c r="U2084" s="1" t="n">
        <v>4144.76</v>
      </c>
      <c r="V2084" s="1" t="n">
        <v>59.47</v>
      </c>
      <c r="W2084" s="1" t="s">
        <v>39</v>
      </c>
      <c r="X2084" s="1" t="n">
        <v>4.3</v>
      </c>
      <c r="Y2084" s="1" t="s">
        <v>40</v>
      </c>
      <c r="Z2084" s="1" t="n">
        <v>0</v>
      </c>
      <c r="AA2084" s="1" t="str">
        <f aca="false">TRIM(PROPER(F2084))</f>
        <v>Chennai</v>
      </c>
      <c r="AB2084" s="1" t="str">
        <f aca="false">TRIM(PROPER(C2084))</f>
        <v>Embibe</v>
      </c>
      <c r="AC2084" s="1" t="str">
        <f aca="false">IF(O2084=0,"No Discount",IF(O2084&lt;=15,"Low (1-15%)",IF(O2084&lt;=30,"Medium (16-30%)","High (&gt;30%)")))</f>
        <v>Low (1-15%)</v>
      </c>
      <c r="AD2084" s="1" t="str">
        <f aca="false">IF(V2084&lt;0,"Loss Making",IF(V2084&lt;20,"Low Margin","Healthy Margin"))</f>
        <v>Healthy Margin</v>
      </c>
      <c r="AE2084" s="1" t="str">
        <f aca="false">TEXT(DATE(VALUE(RIGHT(B2084,4)),VALUE(MID(B2084,4,2)),VALUE(LEFT(B2084,2))),"MMM-YYYY")</f>
        <v>Jul-2024</v>
      </c>
      <c r="AF2084" s="1" t="n">
        <f aca="false">VALUE(RIGHT(B2084,4))</f>
        <v>2024</v>
      </c>
      <c r="AG2084" s="1" t="str">
        <f aca="false">CHOOSE(ROUNDUP(VALUE(MID(B2084,4,2))/3,0),"Q1","Q2","Q3","Q4")</f>
        <v>Q3</v>
      </c>
    </row>
    <row r="2085" customFormat="false" ht="15" hidden="false" customHeight="true" outlineLevel="0" collapsed="false">
      <c r="A2085" s="1" t="s">
        <v>2947</v>
      </c>
      <c r="B2085" s="1" t="s">
        <v>1311</v>
      </c>
      <c r="C2085" s="1" t="s">
        <v>100</v>
      </c>
      <c r="D2085" s="1" t="s">
        <v>53</v>
      </c>
      <c r="E2085" s="1" t="s">
        <v>116</v>
      </c>
      <c r="F2085" s="1" t="s">
        <v>31</v>
      </c>
      <c r="G2085" s="1" t="s">
        <v>32</v>
      </c>
      <c r="H2085" s="1" t="s">
        <v>33</v>
      </c>
      <c r="I2085" s="1" t="s">
        <v>34</v>
      </c>
      <c r="J2085" s="1" t="s">
        <v>77</v>
      </c>
      <c r="K2085" s="1" t="s">
        <v>84</v>
      </c>
      <c r="L2085" s="1" t="s">
        <v>113</v>
      </c>
      <c r="M2085" s="1" t="s">
        <v>50</v>
      </c>
      <c r="N2085" s="1" t="n">
        <v>9999</v>
      </c>
      <c r="O2085" s="1" t="n">
        <v>5</v>
      </c>
      <c r="P2085" s="1" t="n">
        <v>499.95</v>
      </c>
      <c r="Q2085" s="1" t="n">
        <v>9499.05</v>
      </c>
      <c r="R2085" s="1" t="n">
        <v>1709.83</v>
      </c>
      <c r="S2085" s="1" t="n">
        <v>7789.22</v>
      </c>
      <c r="T2085" s="1" t="n">
        <v>3836.54</v>
      </c>
      <c r="U2085" s="1" t="n">
        <v>3952.68</v>
      </c>
      <c r="V2085" s="1" t="n">
        <v>50.75</v>
      </c>
      <c r="W2085" s="1" t="s">
        <v>39</v>
      </c>
      <c r="X2085" s="1" t="n">
        <v>3.9</v>
      </c>
      <c r="Y2085" s="1" t="s">
        <v>40</v>
      </c>
      <c r="Z2085" s="1" t="n">
        <v>0</v>
      </c>
      <c r="AA2085" s="1" t="str">
        <f aca="false">TRIM(PROPER(F2085))</f>
        <v>Jodhpur</v>
      </c>
      <c r="AB2085" s="1" t="str">
        <f aca="false">TRIM(PROPER(C2085))</f>
        <v>Physics Wallah</v>
      </c>
      <c r="AC2085" s="1" t="str">
        <f aca="false">IF(O2085=0,"No Discount",IF(O2085&lt;=15,"Low (1-15%)",IF(O2085&lt;=30,"Medium (16-30%)","High (&gt;30%)")))</f>
        <v>Low (1-15%)</v>
      </c>
      <c r="AD2085" s="1" t="str">
        <f aca="false">IF(V2085&lt;0,"Loss Making",IF(V2085&lt;20,"Low Margin","Healthy Margin"))</f>
        <v>Healthy Margin</v>
      </c>
      <c r="AE2085" s="1" t="str">
        <f aca="false">TEXT(DATE(VALUE(RIGHT(B2085,4)),VALUE(MID(B2085,4,2)),VALUE(LEFT(B2085,2))),"MMM-YYYY")</f>
        <v>Mar-2024</v>
      </c>
      <c r="AF2085" s="1" t="n">
        <f aca="false">VALUE(RIGHT(B2085,4))</f>
        <v>2024</v>
      </c>
      <c r="AG2085" s="1" t="str">
        <f aca="false">CHOOSE(ROUNDUP(VALUE(MID(B2085,4,2))/3,0),"Q1","Q2","Q3","Q4")</f>
        <v>Q1</v>
      </c>
    </row>
    <row r="2086" customFormat="false" ht="15" hidden="false" customHeight="true" outlineLevel="0" collapsed="false">
      <c r="A2086" s="1" t="s">
        <v>2948</v>
      </c>
      <c r="B2086" s="1" t="s">
        <v>371</v>
      </c>
      <c r="C2086" s="1" t="s">
        <v>249</v>
      </c>
      <c r="D2086" s="1" t="s">
        <v>123</v>
      </c>
      <c r="E2086" s="1" t="s">
        <v>147</v>
      </c>
      <c r="F2086" s="1" t="s">
        <v>187</v>
      </c>
      <c r="G2086" s="1" t="s">
        <v>97</v>
      </c>
      <c r="H2086" s="1" t="s">
        <v>69</v>
      </c>
      <c r="I2086" s="1" t="s">
        <v>83</v>
      </c>
      <c r="J2086" s="1" t="s">
        <v>70</v>
      </c>
      <c r="K2086" s="1" t="s">
        <v>71</v>
      </c>
      <c r="L2086" s="1" t="s">
        <v>85</v>
      </c>
      <c r="M2086" s="1" t="s">
        <v>50</v>
      </c>
      <c r="N2086" s="1" t="n">
        <v>6999</v>
      </c>
      <c r="O2086" s="1" t="n">
        <v>10</v>
      </c>
      <c r="P2086" s="1" t="n">
        <v>699.9</v>
      </c>
      <c r="Q2086" s="1" t="n">
        <v>6299.1</v>
      </c>
      <c r="R2086" s="1" t="n">
        <v>1133.84</v>
      </c>
      <c r="S2086" s="1" t="n">
        <v>5165.26</v>
      </c>
      <c r="T2086" s="1" t="n">
        <v>2223.7</v>
      </c>
      <c r="U2086" s="1" t="n">
        <v>2941.56</v>
      </c>
      <c r="V2086" s="1" t="n">
        <v>56.95</v>
      </c>
      <c r="W2086" s="1" t="s">
        <v>39</v>
      </c>
      <c r="X2086" s="1" t="n">
        <v>3.4</v>
      </c>
      <c r="Y2086" s="1" t="s">
        <v>40</v>
      </c>
      <c r="Z2086" s="1" t="n">
        <v>0</v>
      </c>
      <c r="AA2086" s="1" t="str">
        <f aca="false">TRIM(PROPER(F2086))</f>
        <v>Mumbai</v>
      </c>
      <c r="AB2086" s="1" t="str">
        <f aca="false">TRIM(PROPER(C2086))</f>
        <v>Whitehat Jr</v>
      </c>
      <c r="AC2086" s="1" t="str">
        <f aca="false">IF(O2086=0,"No Discount",IF(O2086&lt;=15,"Low (1-15%)",IF(O2086&lt;=30,"Medium (16-30%)","High (&gt;30%)")))</f>
        <v>Low (1-15%)</v>
      </c>
      <c r="AD2086" s="1" t="str">
        <f aca="false">IF(V2086&lt;0,"Loss Making",IF(V2086&lt;20,"Low Margin","Healthy Margin"))</f>
        <v>Healthy Margin</v>
      </c>
      <c r="AE2086" s="1" t="str">
        <f aca="false">TEXT(DATE(VALUE(RIGHT(B2086,4)),VALUE(MID(B2086,4,2)),VALUE(LEFT(B2086,2))),"MMM-YYYY")</f>
        <v>Jan-2023</v>
      </c>
      <c r="AF2086" s="1" t="n">
        <f aca="false">VALUE(RIGHT(B2086,4))</f>
        <v>2023</v>
      </c>
      <c r="AG2086" s="1" t="str">
        <f aca="false">CHOOSE(ROUNDUP(VALUE(MID(B2086,4,2))/3,0),"Q1","Q2","Q3","Q4")</f>
        <v>Q1</v>
      </c>
    </row>
    <row r="2087" customFormat="false" ht="15" hidden="false" customHeight="true" outlineLevel="0" collapsed="false">
      <c r="A2087" s="1" t="s">
        <v>2949</v>
      </c>
      <c r="B2087" s="1" t="s">
        <v>2168</v>
      </c>
      <c r="C2087" s="1" t="s">
        <v>264</v>
      </c>
      <c r="D2087" s="1" t="s">
        <v>94</v>
      </c>
      <c r="E2087" s="1" t="s">
        <v>135</v>
      </c>
      <c r="F2087" s="1" t="s">
        <v>125</v>
      </c>
      <c r="G2087" s="1" t="s">
        <v>108</v>
      </c>
      <c r="H2087" s="1" t="s">
        <v>69</v>
      </c>
      <c r="I2087" s="1" t="s">
        <v>83</v>
      </c>
      <c r="J2087" s="1" t="s">
        <v>70</v>
      </c>
      <c r="K2087" s="1" t="s">
        <v>84</v>
      </c>
      <c r="L2087" s="1" t="s">
        <v>61</v>
      </c>
      <c r="M2087" s="1" t="s">
        <v>50</v>
      </c>
      <c r="N2087" s="1" t="n">
        <v>9999</v>
      </c>
      <c r="O2087" s="1" t="n">
        <v>30</v>
      </c>
      <c r="P2087" s="1" t="n">
        <v>2999.7</v>
      </c>
      <c r="Q2087" s="1" t="n">
        <v>6999.3</v>
      </c>
      <c r="R2087" s="1" t="n">
        <v>1259.87</v>
      </c>
      <c r="S2087" s="1" t="n">
        <v>5739.43</v>
      </c>
      <c r="T2087" s="1" t="n">
        <v>2031.28</v>
      </c>
      <c r="U2087" s="1" t="n">
        <v>3708.15</v>
      </c>
      <c r="V2087" s="1" t="n">
        <v>64.61</v>
      </c>
      <c r="W2087" s="1" t="s">
        <v>40</v>
      </c>
      <c r="Y2087" s="1" t="s">
        <v>40</v>
      </c>
      <c r="Z2087" s="1" t="n">
        <v>3</v>
      </c>
      <c r="AA2087" s="1" t="str">
        <f aca="false">TRIM(PROPER(F2087))</f>
        <v>Chennai</v>
      </c>
      <c r="AB2087" s="1" t="str">
        <f aca="false">TRIM(PROPER(C2087))</f>
        <v>Unacademy</v>
      </c>
      <c r="AC2087" s="1" t="str">
        <f aca="false">IF(O2087=0,"No Discount",IF(O2087&lt;=15,"Low (1-15%)",IF(O2087&lt;=30,"Medium (16-30%)","High (&gt;30%)")))</f>
        <v>Medium (16-30%)</v>
      </c>
      <c r="AD2087" s="1" t="str">
        <f aca="false">IF(V2087&lt;0,"Loss Making",IF(V2087&lt;20,"Low Margin","Healthy Margin"))</f>
        <v>Healthy Margin</v>
      </c>
      <c r="AE2087" s="1" t="str">
        <f aca="false">TEXT(DATE(VALUE(RIGHT(B2087,4)),VALUE(MID(B2087,4,2)),VALUE(LEFT(B2087,2))),"MMM-YYYY")</f>
        <v>Dec-2023</v>
      </c>
      <c r="AF2087" s="1" t="n">
        <f aca="false">VALUE(RIGHT(B2087,4))</f>
        <v>2023</v>
      </c>
      <c r="AG2087" s="1" t="str">
        <f aca="false">CHOOSE(ROUNDUP(VALUE(MID(B2087,4,2))/3,0),"Q1","Q2","Q3","Q4")</f>
        <v>Q4</v>
      </c>
    </row>
    <row r="2088" customFormat="false" ht="15" hidden="false" customHeight="true" outlineLevel="0" collapsed="false">
      <c r="A2088" s="1" t="s">
        <v>2950</v>
      </c>
      <c r="B2088" s="1" t="s">
        <v>851</v>
      </c>
      <c r="C2088" s="1" t="s">
        <v>93</v>
      </c>
      <c r="D2088" s="1" t="s">
        <v>44</v>
      </c>
      <c r="E2088" s="1" t="s">
        <v>221</v>
      </c>
      <c r="F2088" s="1" t="s">
        <v>75</v>
      </c>
      <c r="G2088" s="1" t="s">
        <v>76</v>
      </c>
      <c r="H2088" s="1" t="s">
        <v>69</v>
      </c>
      <c r="I2088" s="1" t="s">
        <v>34</v>
      </c>
      <c r="J2088" s="1" t="s">
        <v>35</v>
      </c>
      <c r="K2088" s="1" t="s">
        <v>104</v>
      </c>
      <c r="L2088" s="1" t="s">
        <v>49</v>
      </c>
      <c r="M2088" s="1" t="s">
        <v>38</v>
      </c>
      <c r="N2088" s="1" t="n">
        <v>16999</v>
      </c>
      <c r="O2088" s="1" t="n">
        <v>5</v>
      </c>
      <c r="P2088" s="1" t="n">
        <v>849.95</v>
      </c>
      <c r="Q2088" s="1" t="n">
        <v>16149.05</v>
      </c>
      <c r="R2088" s="1" t="n">
        <v>2906.83</v>
      </c>
      <c r="S2088" s="1" t="n">
        <v>13242.22</v>
      </c>
      <c r="T2088" s="1" t="n">
        <v>4858.05</v>
      </c>
      <c r="U2088" s="1" t="n">
        <v>8384.17</v>
      </c>
      <c r="V2088" s="1" t="n">
        <v>63.31</v>
      </c>
      <c r="W2088" s="1" t="s">
        <v>40</v>
      </c>
      <c r="Y2088" s="1" t="s">
        <v>40</v>
      </c>
      <c r="Z2088" s="1" t="n">
        <v>2</v>
      </c>
      <c r="AA2088" s="1" t="str">
        <f aca="false">TRIM(PROPER(F2088))</f>
        <v>Kolkata</v>
      </c>
      <c r="AB2088" s="1" t="str">
        <f aca="false">TRIM(PROPER(C2088))</f>
        <v>Upgrad</v>
      </c>
      <c r="AC2088" s="1" t="str">
        <f aca="false">IF(O2088=0,"No Discount",IF(O2088&lt;=15,"Low (1-15%)",IF(O2088&lt;=30,"Medium (16-30%)","High (&gt;30%)")))</f>
        <v>Low (1-15%)</v>
      </c>
      <c r="AD2088" s="1" t="str">
        <f aca="false">IF(V2088&lt;0,"Loss Making",IF(V2088&lt;20,"Low Margin","Healthy Margin"))</f>
        <v>Healthy Margin</v>
      </c>
      <c r="AE2088" s="1" t="str">
        <f aca="false">TEXT(DATE(VALUE(RIGHT(B2088,4)),VALUE(MID(B2088,4,2)),VALUE(LEFT(B2088,2))),"MMM-YYYY")</f>
        <v>Nov-2023</v>
      </c>
      <c r="AF2088" s="1" t="n">
        <f aca="false">VALUE(RIGHT(B2088,4))</f>
        <v>2023</v>
      </c>
      <c r="AG2088" s="1" t="str">
        <f aca="false">CHOOSE(ROUNDUP(VALUE(MID(B2088,4,2))/3,0),"Q1","Q2","Q3","Q4")</f>
        <v>Q4</v>
      </c>
    </row>
    <row r="2089" customFormat="false" ht="15" hidden="false" customHeight="true" outlineLevel="0" collapsed="false">
      <c r="A2089" s="1" t="s">
        <v>2951</v>
      </c>
      <c r="B2089" s="1" t="s">
        <v>580</v>
      </c>
      <c r="C2089" s="1" t="s">
        <v>119</v>
      </c>
      <c r="D2089" s="1" t="s">
        <v>80</v>
      </c>
      <c r="E2089" s="1" t="s">
        <v>175</v>
      </c>
      <c r="F2089" s="1" t="s">
        <v>55</v>
      </c>
      <c r="G2089" s="1" t="s">
        <v>56</v>
      </c>
      <c r="H2089" s="1" t="s">
        <v>57</v>
      </c>
      <c r="I2089" s="1" t="s">
        <v>83</v>
      </c>
      <c r="J2089" s="1" t="s">
        <v>131</v>
      </c>
      <c r="K2089" s="1" t="s">
        <v>71</v>
      </c>
      <c r="L2089" s="1" t="s">
        <v>49</v>
      </c>
      <c r="M2089" s="1" t="s">
        <v>50</v>
      </c>
      <c r="N2089" s="1" t="n">
        <v>19999</v>
      </c>
      <c r="O2089" s="1" t="n">
        <v>25</v>
      </c>
      <c r="P2089" s="1" t="n">
        <v>4999.75</v>
      </c>
      <c r="Q2089" s="1" t="n">
        <v>14999.25</v>
      </c>
      <c r="R2089" s="1" t="n">
        <v>2699.86</v>
      </c>
      <c r="S2089" s="1" t="n">
        <v>12299.39</v>
      </c>
      <c r="T2089" s="1" t="n">
        <v>5256.98</v>
      </c>
      <c r="U2089" s="1" t="n">
        <v>7042.41</v>
      </c>
      <c r="V2089" s="1" t="n">
        <v>57.26</v>
      </c>
      <c r="W2089" s="1" t="s">
        <v>39</v>
      </c>
      <c r="X2089" s="1" t="n">
        <v>3.8</v>
      </c>
      <c r="Y2089" s="1" t="s">
        <v>40</v>
      </c>
      <c r="Z2089" s="1" t="n">
        <v>0</v>
      </c>
      <c r="AA2089" s="1" t="str">
        <f aca="false">TRIM(PROPER(F2089))</f>
        <v>Ghaziabad</v>
      </c>
      <c r="AB2089" s="1" t="str">
        <f aca="false">TRIM(PROPER(C2089))</f>
        <v>Simplilearn</v>
      </c>
      <c r="AC2089" s="1" t="str">
        <f aca="false">IF(O2089=0,"No Discount",IF(O2089&lt;=15,"Low (1-15%)",IF(O2089&lt;=30,"Medium (16-30%)","High (&gt;30%)")))</f>
        <v>Medium (16-30%)</v>
      </c>
      <c r="AD2089" s="1" t="str">
        <f aca="false">IF(V2089&lt;0,"Loss Making",IF(V2089&lt;20,"Low Margin","Healthy Margin"))</f>
        <v>Healthy Margin</v>
      </c>
      <c r="AE2089" s="1" t="str">
        <f aca="false">TEXT(DATE(VALUE(RIGHT(B2089,4)),VALUE(MID(B2089,4,2)),VALUE(LEFT(B2089,2))),"MMM-YYYY")</f>
        <v>Mar-2023</v>
      </c>
      <c r="AF2089" s="1" t="n">
        <f aca="false">VALUE(RIGHT(B2089,4))</f>
        <v>2023</v>
      </c>
      <c r="AG2089" s="1" t="str">
        <f aca="false">CHOOSE(ROUNDUP(VALUE(MID(B2089,4,2))/3,0),"Q1","Q2","Q3","Q4")</f>
        <v>Q1</v>
      </c>
    </row>
    <row r="2090" customFormat="false" ht="15" hidden="false" customHeight="true" outlineLevel="0" collapsed="false">
      <c r="A2090" s="1" t="s">
        <v>2952</v>
      </c>
      <c r="B2090" s="1" t="s">
        <v>1698</v>
      </c>
      <c r="C2090" s="1" t="s">
        <v>93</v>
      </c>
      <c r="D2090" s="1" t="s">
        <v>44</v>
      </c>
      <c r="E2090" s="1" t="s">
        <v>66</v>
      </c>
      <c r="F2090" s="1" t="s">
        <v>107</v>
      </c>
      <c r="G2090" s="1" t="s">
        <v>108</v>
      </c>
      <c r="H2090" s="1" t="s">
        <v>33</v>
      </c>
      <c r="I2090" s="1" t="s">
        <v>83</v>
      </c>
      <c r="J2090" s="1" t="s">
        <v>35</v>
      </c>
      <c r="K2090" s="1" t="s">
        <v>36</v>
      </c>
      <c r="L2090" s="1" t="s">
        <v>49</v>
      </c>
      <c r="M2090" s="1" t="s">
        <v>38</v>
      </c>
      <c r="N2090" s="1" t="n">
        <v>12999</v>
      </c>
      <c r="O2090" s="1" t="n">
        <v>30</v>
      </c>
      <c r="P2090" s="1" t="n">
        <v>3899.7</v>
      </c>
      <c r="Q2090" s="1" t="n">
        <v>9099.3</v>
      </c>
      <c r="R2090" s="1" t="n">
        <v>1637.87</v>
      </c>
      <c r="S2090" s="1" t="n">
        <v>7461.43</v>
      </c>
      <c r="T2090" s="1" t="n">
        <v>3255.79</v>
      </c>
      <c r="U2090" s="1" t="n">
        <v>4205.64</v>
      </c>
      <c r="V2090" s="1" t="n">
        <v>56.37</v>
      </c>
      <c r="W2090" s="1" t="s">
        <v>40</v>
      </c>
      <c r="Y2090" s="1" t="s">
        <v>39</v>
      </c>
      <c r="Z2090" s="1" t="n">
        <v>1</v>
      </c>
      <c r="AA2090" s="1" t="str">
        <f aca="false">TRIM(PROPER(F2090))</f>
        <v>Madurai</v>
      </c>
      <c r="AB2090" s="1" t="str">
        <f aca="false">TRIM(PROPER(C2090))</f>
        <v>Upgrad</v>
      </c>
      <c r="AC2090" s="1" t="str">
        <f aca="false">IF(O2090=0,"No Discount",IF(O2090&lt;=15,"Low (1-15%)",IF(O2090&lt;=30,"Medium (16-30%)","High (&gt;30%)")))</f>
        <v>Medium (16-30%)</v>
      </c>
      <c r="AD2090" s="1" t="str">
        <f aca="false">IF(V2090&lt;0,"Loss Making",IF(V2090&lt;20,"Low Margin","Healthy Margin"))</f>
        <v>Healthy Margin</v>
      </c>
      <c r="AE2090" s="1" t="str">
        <f aca="false">TEXT(DATE(VALUE(RIGHT(B2090,4)),VALUE(MID(B2090,4,2)),VALUE(LEFT(B2090,2))),"MMM-YYYY")</f>
        <v>Jan-2024</v>
      </c>
      <c r="AF2090" s="1" t="n">
        <f aca="false">VALUE(RIGHT(B2090,4))</f>
        <v>2024</v>
      </c>
      <c r="AG2090" s="1" t="str">
        <f aca="false">CHOOSE(ROUNDUP(VALUE(MID(B2090,4,2))/3,0),"Q1","Q2","Q3","Q4")</f>
        <v>Q1</v>
      </c>
    </row>
    <row r="2091" customFormat="false" ht="15" hidden="false" customHeight="true" outlineLevel="0" collapsed="false">
      <c r="A2091" s="1" t="s">
        <v>2953</v>
      </c>
      <c r="B2091" s="1" t="s">
        <v>1797</v>
      </c>
      <c r="C2091" s="1" t="s">
        <v>167</v>
      </c>
      <c r="D2091" s="1" t="s">
        <v>29</v>
      </c>
      <c r="E2091" s="1" t="s">
        <v>182</v>
      </c>
      <c r="F2091" s="1" t="s">
        <v>46</v>
      </c>
      <c r="G2091" s="1" t="s">
        <v>47</v>
      </c>
      <c r="H2091" s="1" t="s">
        <v>33</v>
      </c>
      <c r="I2091" s="1" t="s">
        <v>34</v>
      </c>
      <c r="J2091" s="1" t="s">
        <v>35</v>
      </c>
      <c r="K2091" s="1" t="s">
        <v>112</v>
      </c>
      <c r="L2091" s="1" t="s">
        <v>61</v>
      </c>
      <c r="M2091" s="1" t="s">
        <v>62</v>
      </c>
      <c r="N2091" s="1" t="n">
        <v>34999</v>
      </c>
      <c r="O2091" s="1" t="n">
        <v>40</v>
      </c>
      <c r="P2091" s="1" t="n">
        <v>13999.6</v>
      </c>
      <c r="Q2091" s="1" t="n">
        <v>20999.4</v>
      </c>
      <c r="R2091" s="1" t="n">
        <v>3779.89</v>
      </c>
      <c r="S2091" s="1" t="n">
        <v>17219.51</v>
      </c>
      <c r="T2091" s="1" t="n">
        <v>9142.41</v>
      </c>
      <c r="U2091" s="1" t="n">
        <v>8077.1</v>
      </c>
      <c r="V2091" s="1" t="n">
        <v>46.91</v>
      </c>
      <c r="W2091" s="1" t="s">
        <v>40</v>
      </c>
      <c r="Y2091" s="1" t="s">
        <v>40</v>
      </c>
      <c r="Z2091" s="1" t="n">
        <v>1</v>
      </c>
      <c r="AA2091" s="1" t="str">
        <f aca="false">TRIM(PROPER(F2091))</f>
        <v>Mangaluru</v>
      </c>
      <c r="AB2091" s="1" t="str">
        <f aca="false">TRIM(PROPER(C2091))</f>
        <v>Scaler</v>
      </c>
      <c r="AC2091" s="1" t="str">
        <f aca="false">IF(O2091=0,"No Discount",IF(O2091&lt;=15,"Low (1-15%)",IF(O2091&lt;=30,"Medium (16-30%)","High (&gt;30%)")))</f>
        <v>High (&gt;30%)</v>
      </c>
      <c r="AD2091" s="1" t="str">
        <f aca="false">IF(V2091&lt;0,"Loss Making",IF(V2091&lt;20,"Low Margin","Healthy Margin"))</f>
        <v>Healthy Margin</v>
      </c>
      <c r="AE2091" s="1" t="str">
        <f aca="false">TEXT(DATE(VALUE(RIGHT(B2091,4)),VALUE(MID(B2091,4,2)),VALUE(LEFT(B2091,2))),"MMM-YYYY")</f>
        <v>Apr-2024</v>
      </c>
      <c r="AF2091" s="1" t="n">
        <f aca="false">VALUE(RIGHT(B2091,4))</f>
        <v>2024</v>
      </c>
      <c r="AG2091" s="1" t="str">
        <f aca="false">CHOOSE(ROUNDUP(VALUE(MID(B2091,4,2))/3,0),"Q1","Q2","Q3","Q4")</f>
        <v>Q2</v>
      </c>
    </row>
    <row r="2092" customFormat="false" ht="15" hidden="false" customHeight="true" outlineLevel="0" collapsed="false">
      <c r="A2092" s="1" t="s">
        <v>2954</v>
      </c>
      <c r="B2092" s="1" t="s">
        <v>1979</v>
      </c>
      <c r="C2092" s="1" t="s">
        <v>43</v>
      </c>
      <c r="D2092" s="1" t="s">
        <v>53</v>
      </c>
      <c r="E2092" s="1" t="s">
        <v>54</v>
      </c>
      <c r="F2092" s="1" t="s">
        <v>153</v>
      </c>
      <c r="G2092" s="1" t="s">
        <v>76</v>
      </c>
      <c r="H2092" s="1" t="s">
        <v>33</v>
      </c>
      <c r="I2092" s="1" t="s">
        <v>34</v>
      </c>
      <c r="J2092" s="1" t="s">
        <v>35</v>
      </c>
      <c r="K2092" s="1" t="s">
        <v>84</v>
      </c>
      <c r="L2092" s="1" t="s">
        <v>61</v>
      </c>
      <c r="M2092" s="1" t="s">
        <v>62</v>
      </c>
      <c r="N2092" s="1" t="n">
        <v>11999</v>
      </c>
      <c r="O2092" s="1" t="n">
        <v>0</v>
      </c>
      <c r="P2092" s="1" t="n">
        <v>0</v>
      </c>
      <c r="Q2092" s="1" t="n">
        <v>11999</v>
      </c>
      <c r="R2092" s="1" t="n">
        <v>2159.82</v>
      </c>
      <c r="S2092" s="1" t="n">
        <v>9839.18</v>
      </c>
      <c r="T2092" s="1" t="n">
        <v>4070.1</v>
      </c>
      <c r="U2092" s="1" t="n">
        <v>5769.08</v>
      </c>
      <c r="V2092" s="1" t="n">
        <v>58.63</v>
      </c>
      <c r="W2092" s="1" t="s">
        <v>39</v>
      </c>
      <c r="X2092" s="1" t="n">
        <v>3.9</v>
      </c>
      <c r="Y2092" s="1" t="s">
        <v>40</v>
      </c>
      <c r="Z2092" s="1" t="n">
        <v>0</v>
      </c>
      <c r="AA2092" s="1" t="str">
        <f aca="false">TRIM(PROPER(F2092))</f>
        <v>Howrah</v>
      </c>
      <c r="AB2092" s="1" t="str">
        <f aca="false">TRIM(PROPER(C2092))</f>
        <v>Meritnation</v>
      </c>
      <c r="AC2092" s="1" t="str">
        <f aca="false">IF(O2092=0,"No Discount",IF(O2092&lt;=15,"Low (1-15%)",IF(O2092&lt;=30,"Medium (16-30%)","High (&gt;30%)")))</f>
        <v>No Discount</v>
      </c>
      <c r="AD2092" s="1" t="str">
        <f aca="false">IF(V2092&lt;0,"Loss Making",IF(V2092&lt;20,"Low Margin","Healthy Margin"))</f>
        <v>Healthy Margin</v>
      </c>
      <c r="AE2092" s="1" t="str">
        <f aca="false">TEXT(DATE(VALUE(RIGHT(B2092,4)),VALUE(MID(B2092,4,2)),VALUE(LEFT(B2092,2))),"MMM-YYYY")</f>
        <v>May-2024</v>
      </c>
      <c r="AF2092" s="1" t="n">
        <f aca="false">VALUE(RIGHT(B2092,4))</f>
        <v>2024</v>
      </c>
      <c r="AG2092" s="1" t="str">
        <f aca="false">CHOOSE(ROUNDUP(VALUE(MID(B2092,4,2))/3,0),"Q1","Q2","Q3","Q4")</f>
        <v>Q2</v>
      </c>
    </row>
    <row r="2093" customFormat="false" ht="15" hidden="false" customHeight="true" outlineLevel="0" collapsed="false">
      <c r="A2093" s="1" t="s">
        <v>2955</v>
      </c>
      <c r="B2093" s="1" t="s">
        <v>354</v>
      </c>
      <c r="C2093" s="1" t="s">
        <v>93</v>
      </c>
      <c r="D2093" s="1" t="s">
        <v>80</v>
      </c>
      <c r="E2093" s="1" t="s">
        <v>175</v>
      </c>
      <c r="F2093" s="1" t="s">
        <v>184</v>
      </c>
      <c r="G2093" s="1" t="s">
        <v>56</v>
      </c>
      <c r="H2093" s="1" t="s">
        <v>57</v>
      </c>
      <c r="I2093" s="1" t="s">
        <v>34</v>
      </c>
      <c r="J2093" s="1" t="s">
        <v>35</v>
      </c>
      <c r="K2093" s="1" t="s">
        <v>84</v>
      </c>
      <c r="L2093" s="1" t="s">
        <v>49</v>
      </c>
      <c r="M2093" s="1" t="s">
        <v>62</v>
      </c>
      <c r="N2093" s="1" t="n">
        <v>19999</v>
      </c>
      <c r="O2093" s="1" t="n">
        <v>40</v>
      </c>
      <c r="P2093" s="1" t="n">
        <v>7999.6</v>
      </c>
      <c r="Q2093" s="1" t="n">
        <v>11999.4</v>
      </c>
      <c r="R2093" s="1" t="n">
        <v>2159.89</v>
      </c>
      <c r="S2093" s="1" t="n">
        <v>9839.51</v>
      </c>
      <c r="T2093" s="1" t="n">
        <v>6117.14</v>
      </c>
      <c r="U2093" s="1" t="n">
        <v>3722.37</v>
      </c>
      <c r="V2093" s="1" t="n">
        <v>37.83</v>
      </c>
      <c r="W2093" s="1" t="s">
        <v>40</v>
      </c>
      <c r="Y2093" s="1" t="s">
        <v>40</v>
      </c>
      <c r="Z2093" s="1" t="n">
        <v>0</v>
      </c>
      <c r="AA2093" s="1" t="str">
        <f aca="false">TRIM(PROPER(F2093))</f>
        <v>Faridabad</v>
      </c>
      <c r="AB2093" s="1" t="str">
        <f aca="false">TRIM(PROPER(C2093))</f>
        <v>Upgrad</v>
      </c>
      <c r="AC2093" s="1" t="str">
        <f aca="false">IF(O2093=0,"No Discount",IF(O2093&lt;=15,"Low (1-15%)",IF(O2093&lt;=30,"Medium (16-30%)","High (&gt;30%)")))</f>
        <v>High (&gt;30%)</v>
      </c>
      <c r="AD2093" s="1" t="str">
        <f aca="false">IF(V2093&lt;0,"Loss Making",IF(V2093&lt;20,"Low Margin","Healthy Margin"))</f>
        <v>Healthy Margin</v>
      </c>
      <c r="AE2093" s="1" t="str">
        <f aca="false">TEXT(DATE(VALUE(RIGHT(B2093,4)),VALUE(MID(B2093,4,2)),VALUE(LEFT(B2093,2))),"MMM-YYYY")</f>
        <v>May-2024</v>
      </c>
      <c r="AF2093" s="1" t="n">
        <f aca="false">VALUE(RIGHT(B2093,4))</f>
        <v>2024</v>
      </c>
      <c r="AG2093" s="1" t="str">
        <f aca="false">CHOOSE(ROUNDUP(VALUE(MID(B2093,4,2))/3,0),"Q1","Q2","Q3","Q4")</f>
        <v>Q2</v>
      </c>
    </row>
    <row r="2094" customFormat="false" ht="15" hidden="false" customHeight="true" outlineLevel="0" collapsed="false">
      <c r="A2094" s="1" t="s">
        <v>2956</v>
      </c>
      <c r="B2094" s="1" t="s">
        <v>364</v>
      </c>
      <c r="C2094" s="1" t="s">
        <v>119</v>
      </c>
      <c r="D2094" s="1" t="s">
        <v>168</v>
      </c>
      <c r="E2094" s="1" t="s">
        <v>328</v>
      </c>
      <c r="F2094" s="1" t="s">
        <v>156</v>
      </c>
      <c r="G2094" s="1" t="s">
        <v>68</v>
      </c>
      <c r="H2094" s="1" t="s">
        <v>57</v>
      </c>
      <c r="I2094" s="1" t="s">
        <v>34</v>
      </c>
      <c r="J2094" s="1" t="s">
        <v>59</v>
      </c>
      <c r="K2094" s="1" t="s">
        <v>112</v>
      </c>
      <c r="L2094" s="1" t="s">
        <v>37</v>
      </c>
      <c r="M2094" s="1" t="s">
        <v>62</v>
      </c>
      <c r="N2094" s="1" t="n">
        <v>8999</v>
      </c>
      <c r="O2094" s="1" t="n">
        <v>15</v>
      </c>
      <c r="P2094" s="1" t="n">
        <v>1349.85</v>
      </c>
      <c r="Q2094" s="1" t="n">
        <v>7649.15</v>
      </c>
      <c r="R2094" s="1" t="n">
        <v>1376.85</v>
      </c>
      <c r="S2094" s="1" t="n">
        <v>6272.3</v>
      </c>
      <c r="T2094" s="1" t="n">
        <v>2701.05</v>
      </c>
      <c r="U2094" s="1" t="n">
        <v>3571.25</v>
      </c>
      <c r="V2094" s="1" t="n">
        <v>56.94</v>
      </c>
      <c r="W2094" s="1" t="s">
        <v>39</v>
      </c>
      <c r="X2094" s="1" t="n">
        <v>3.9</v>
      </c>
      <c r="Y2094" s="1" t="s">
        <v>40</v>
      </c>
      <c r="Z2094" s="1" t="n">
        <v>0</v>
      </c>
      <c r="AA2094" s="1" t="str">
        <f aca="false">TRIM(PROPER(F2094))</f>
        <v>Surat</v>
      </c>
      <c r="AB2094" s="1" t="str">
        <f aca="false">TRIM(PROPER(C2094))</f>
        <v>Simplilearn</v>
      </c>
      <c r="AC2094" s="1" t="str">
        <f aca="false">IF(O2094=0,"No Discount",IF(O2094&lt;=15,"Low (1-15%)",IF(O2094&lt;=30,"Medium (16-30%)","High (&gt;30%)")))</f>
        <v>Low (1-15%)</v>
      </c>
      <c r="AD2094" s="1" t="str">
        <f aca="false">IF(V2094&lt;0,"Loss Making",IF(V2094&lt;20,"Low Margin","Healthy Margin"))</f>
        <v>Healthy Margin</v>
      </c>
      <c r="AE2094" s="1" t="str">
        <f aca="false">TEXT(DATE(VALUE(RIGHT(B2094,4)),VALUE(MID(B2094,4,2)),VALUE(LEFT(B2094,2))),"MMM-YYYY")</f>
        <v>Apr-2023</v>
      </c>
      <c r="AF2094" s="1" t="n">
        <f aca="false">VALUE(RIGHT(B2094,4))</f>
        <v>2023</v>
      </c>
      <c r="AG2094" s="1" t="str">
        <f aca="false">CHOOSE(ROUNDUP(VALUE(MID(B2094,4,2))/3,0),"Q1","Q2","Q3","Q4")</f>
        <v>Q2</v>
      </c>
    </row>
    <row r="2095" customFormat="false" ht="15" hidden="false" customHeight="true" outlineLevel="0" collapsed="false">
      <c r="A2095" s="1" t="s">
        <v>2957</v>
      </c>
      <c r="B2095" s="1" t="s">
        <v>340</v>
      </c>
      <c r="C2095" s="1" t="s">
        <v>74</v>
      </c>
      <c r="D2095" s="1" t="s">
        <v>53</v>
      </c>
      <c r="E2095" s="1" t="s">
        <v>116</v>
      </c>
      <c r="F2095" s="1" t="s">
        <v>75</v>
      </c>
      <c r="G2095" s="1" t="s">
        <v>76</v>
      </c>
      <c r="H2095" s="1" t="s">
        <v>69</v>
      </c>
      <c r="I2095" s="1" t="s">
        <v>34</v>
      </c>
      <c r="J2095" s="1" t="s">
        <v>77</v>
      </c>
      <c r="K2095" s="1" t="s">
        <v>112</v>
      </c>
      <c r="L2095" s="1" t="s">
        <v>136</v>
      </c>
      <c r="M2095" s="1" t="s">
        <v>62</v>
      </c>
      <c r="N2095" s="1" t="n">
        <v>9999</v>
      </c>
      <c r="O2095" s="1" t="n">
        <v>20</v>
      </c>
      <c r="P2095" s="1" t="n">
        <v>1999.8</v>
      </c>
      <c r="Q2095" s="1" t="n">
        <v>7999.2</v>
      </c>
      <c r="R2095" s="1" t="n">
        <v>1439.86</v>
      </c>
      <c r="S2095" s="1" t="n">
        <v>6559.34</v>
      </c>
      <c r="T2095" s="1" t="n">
        <v>2374.02</v>
      </c>
      <c r="U2095" s="1" t="n">
        <v>4185.32</v>
      </c>
      <c r="V2095" s="1" t="n">
        <v>63.81</v>
      </c>
      <c r="W2095" s="1" t="s">
        <v>39</v>
      </c>
      <c r="X2095" s="1" t="n">
        <v>4</v>
      </c>
      <c r="Y2095" s="1" t="s">
        <v>40</v>
      </c>
      <c r="Z2095" s="1" t="n">
        <v>0</v>
      </c>
      <c r="AA2095" s="1" t="str">
        <f aca="false">TRIM(PROPER(F2095))</f>
        <v>Kolkata</v>
      </c>
      <c r="AB2095" s="1" t="str">
        <f aca="false">TRIM(PROPER(C2095))</f>
        <v>Vedantu</v>
      </c>
      <c r="AC2095" s="1" t="str">
        <f aca="false">IF(O2095=0,"No Discount",IF(O2095&lt;=15,"Low (1-15%)",IF(O2095&lt;=30,"Medium (16-30%)","High (&gt;30%)")))</f>
        <v>Medium (16-30%)</v>
      </c>
      <c r="AD2095" s="1" t="str">
        <f aca="false">IF(V2095&lt;0,"Loss Making",IF(V2095&lt;20,"Low Margin","Healthy Margin"))</f>
        <v>Healthy Margin</v>
      </c>
      <c r="AE2095" s="1" t="str">
        <f aca="false">TEXT(DATE(VALUE(RIGHT(B2095,4)),VALUE(MID(B2095,4,2)),VALUE(LEFT(B2095,2))),"MMM-YYYY")</f>
        <v>Feb-2023</v>
      </c>
      <c r="AF2095" s="1" t="n">
        <f aca="false">VALUE(RIGHT(B2095,4))</f>
        <v>2023</v>
      </c>
      <c r="AG2095" s="1" t="str">
        <f aca="false">CHOOSE(ROUNDUP(VALUE(MID(B2095,4,2))/3,0),"Q1","Q2","Q3","Q4")</f>
        <v>Q1</v>
      </c>
    </row>
    <row r="2096" customFormat="false" ht="15" hidden="false" customHeight="true" outlineLevel="0" collapsed="false">
      <c r="A2096" s="1" t="s">
        <v>2958</v>
      </c>
      <c r="B2096" s="1" t="s">
        <v>1244</v>
      </c>
      <c r="C2096" s="1" t="s">
        <v>43</v>
      </c>
      <c r="D2096" s="1" t="s">
        <v>123</v>
      </c>
      <c r="E2096" s="1" t="s">
        <v>233</v>
      </c>
      <c r="F2096" s="1" t="s">
        <v>120</v>
      </c>
      <c r="G2096" s="1" t="s">
        <v>47</v>
      </c>
      <c r="H2096" s="1" t="s">
        <v>57</v>
      </c>
      <c r="I2096" s="1" t="s">
        <v>83</v>
      </c>
      <c r="J2096" s="1" t="s">
        <v>59</v>
      </c>
      <c r="K2096" s="1" t="s">
        <v>112</v>
      </c>
      <c r="L2096" s="1" t="s">
        <v>61</v>
      </c>
      <c r="M2096" s="1" t="s">
        <v>50</v>
      </c>
      <c r="N2096" s="1" t="n">
        <v>8999</v>
      </c>
      <c r="O2096" s="1" t="n">
        <v>10</v>
      </c>
      <c r="P2096" s="1" t="n">
        <v>899.9</v>
      </c>
      <c r="Q2096" s="1" t="n">
        <v>8099.1</v>
      </c>
      <c r="R2096" s="1" t="n">
        <v>1457.84</v>
      </c>
      <c r="S2096" s="1" t="n">
        <v>6641.26</v>
      </c>
      <c r="T2096" s="1" t="n">
        <v>2690.11</v>
      </c>
      <c r="U2096" s="1" t="n">
        <v>3951.15</v>
      </c>
      <c r="V2096" s="1" t="n">
        <v>59.49</v>
      </c>
      <c r="W2096" s="1" t="s">
        <v>39</v>
      </c>
      <c r="X2096" s="1" t="n">
        <v>4.1</v>
      </c>
      <c r="Y2096" s="1" t="s">
        <v>40</v>
      </c>
      <c r="Z2096" s="1" t="n">
        <v>0</v>
      </c>
      <c r="AA2096" s="1" t="str">
        <f aca="false">TRIM(PROPER(F2096))</f>
        <v>Mysuru</v>
      </c>
      <c r="AB2096" s="1" t="str">
        <f aca="false">TRIM(PROPER(C2096))</f>
        <v>Meritnation</v>
      </c>
      <c r="AC2096" s="1" t="str">
        <f aca="false">IF(O2096=0,"No Discount",IF(O2096&lt;=15,"Low (1-15%)",IF(O2096&lt;=30,"Medium (16-30%)","High (&gt;30%)")))</f>
        <v>Low (1-15%)</v>
      </c>
      <c r="AD2096" s="1" t="str">
        <f aca="false">IF(V2096&lt;0,"Loss Making",IF(V2096&lt;20,"Low Margin","Healthy Margin"))</f>
        <v>Healthy Margin</v>
      </c>
      <c r="AE2096" s="1" t="str">
        <f aca="false">TEXT(DATE(VALUE(RIGHT(B2096,4)),VALUE(MID(B2096,4,2)),VALUE(LEFT(B2096,2))),"MMM-YYYY")</f>
        <v>Jul-2024</v>
      </c>
      <c r="AF2096" s="1" t="n">
        <f aca="false">VALUE(RIGHT(B2096,4))</f>
        <v>2024</v>
      </c>
      <c r="AG2096" s="1" t="str">
        <f aca="false">CHOOSE(ROUNDUP(VALUE(MID(B2096,4,2))/3,0),"Q1","Q2","Q3","Q4")</f>
        <v>Q3</v>
      </c>
    </row>
    <row r="2097" customFormat="false" ht="15" hidden="false" customHeight="true" outlineLevel="0" collapsed="false">
      <c r="A2097" s="1" t="s">
        <v>2959</v>
      </c>
      <c r="B2097" s="1" t="s">
        <v>1580</v>
      </c>
      <c r="C2097" s="1" t="s">
        <v>43</v>
      </c>
      <c r="D2097" s="1" t="s">
        <v>168</v>
      </c>
      <c r="E2097" s="1" t="s">
        <v>172</v>
      </c>
      <c r="F2097" s="1" t="s">
        <v>244</v>
      </c>
      <c r="G2097" s="1" t="s">
        <v>97</v>
      </c>
      <c r="H2097" s="1" t="s">
        <v>57</v>
      </c>
      <c r="I2097" s="1" t="s">
        <v>58</v>
      </c>
      <c r="J2097" s="1" t="s">
        <v>59</v>
      </c>
      <c r="K2097" s="1" t="s">
        <v>71</v>
      </c>
      <c r="L2097" s="1" t="s">
        <v>113</v>
      </c>
      <c r="M2097" s="1" t="s">
        <v>38</v>
      </c>
      <c r="N2097" s="1" t="n">
        <v>6999</v>
      </c>
      <c r="O2097" s="1" t="n">
        <v>0</v>
      </c>
      <c r="P2097" s="1" t="n">
        <v>0</v>
      </c>
      <c r="Q2097" s="1" t="n">
        <v>6999</v>
      </c>
      <c r="R2097" s="1" t="n">
        <v>1259.82</v>
      </c>
      <c r="S2097" s="1" t="n">
        <v>5739.18</v>
      </c>
      <c r="T2097" s="1" t="n">
        <v>2533.29</v>
      </c>
      <c r="U2097" s="1" t="n">
        <v>3205.89</v>
      </c>
      <c r="V2097" s="1" t="n">
        <v>55.86</v>
      </c>
      <c r="W2097" s="1" t="s">
        <v>40</v>
      </c>
      <c r="Y2097" s="1" t="s">
        <v>40</v>
      </c>
      <c r="Z2097" s="1" t="n">
        <v>0</v>
      </c>
      <c r="AA2097" s="1" t="str">
        <f aca="false">TRIM(PROPER(F2097))</f>
        <v>Nagpur</v>
      </c>
      <c r="AB2097" s="1" t="str">
        <f aca="false">TRIM(PROPER(C2097))</f>
        <v>Meritnation</v>
      </c>
      <c r="AC2097" s="1" t="str">
        <f aca="false">IF(O2097=0,"No Discount",IF(O2097&lt;=15,"Low (1-15%)",IF(O2097&lt;=30,"Medium (16-30%)","High (&gt;30%)")))</f>
        <v>No Discount</v>
      </c>
      <c r="AD2097" s="1" t="str">
        <f aca="false">IF(V2097&lt;0,"Loss Making",IF(V2097&lt;20,"Low Margin","Healthy Margin"))</f>
        <v>Healthy Margin</v>
      </c>
      <c r="AE2097" s="1" t="str">
        <f aca="false">TEXT(DATE(VALUE(RIGHT(B2097,4)),VALUE(MID(B2097,4,2)),VALUE(LEFT(B2097,2))),"MMM-YYYY")</f>
        <v>Dec-2023</v>
      </c>
      <c r="AF2097" s="1" t="n">
        <f aca="false">VALUE(RIGHT(B2097,4))</f>
        <v>2023</v>
      </c>
      <c r="AG2097" s="1" t="str">
        <f aca="false">CHOOSE(ROUNDUP(VALUE(MID(B2097,4,2))/3,0),"Q1","Q2","Q3","Q4")</f>
        <v>Q4</v>
      </c>
    </row>
    <row r="2098" customFormat="false" ht="15" hidden="false" customHeight="true" outlineLevel="0" collapsed="false">
      <c r="A2098" s="1" t="s">
        <v>688</v>
      </c>
      <c r="B2098" s="1" t="s">
        <v>689</v>
      </c>
      <c r="C2098" s="1" t="s">
        <v>119</v>
      </c>
      <c r="D2098" s="1" t="s">
        <v>29</v>
      </c>
      <c r="E2098" s="1" t="s">
        <v>30</v>
      </c>
      <c r="F2098" s="1" t="s">
        <v>187</v>
      </c>
      <c r="G2098" s="1" t="s">
        <v>97</v>
      </c>
      <c r="H2098" s="1" t="s">
        <v>69</v>
      </c>
      <c r="I2098" s="1" t="s">
        <v>83</v>
      </c>
      <c r="J2098" s="1" t="s">
        <v>70</v>
      </c>
      <c r="K2098" s="1" t="s">
        <v>112</v>
      </c>
      <c r="L2098" s="1" t="s">
        <v>37</v>
      </c>
      <c r="M2098" s="1" t="s">
        <v>62</v>
      </c>
      <c r="N2098" s="1" t="n">
        <v>7999</v>
      </c>
      <c r="O2098" s="1" t="n">
        <v>40</v>
      </c>
      <c r="P2098" s="1" t="n">
        <v>3199.6</v>
      </c>
      <c r="Q2098" s="1" t="n">
        <v>4799.4</v>
      </c>
      <c r="R2098" s="1" t="n">
        <v>863.89</v>
      </c>
      <c r="S2098" s="1" t="n">
        <v>3935.51</v>
      </c>
      <c r="T2098" s="1" t="n">
        <v>1858.25</v>
      </c>
      <c r="U2098" s="1" t="n">
        <v>2077.26</v>
      </c>
      <c r="V2098" s="1" t="n">
        <v>52.78</v>
      </c>
      <c r="W2098" s="1" t="s">
        <v>40</v>
      </c>
      <c r="Y2098" s="1" t="s">
        <v>39</v>
      </c>
      <c r="Z2098" s="1" t="n">
        <v>1</v>
      </c>
      <c r="AA2098" s="1" t="str">
        <f aca="false">TRIM(PROPER(F2098))</f>
        <v>Mumbai</v>
      </c>
      <c r="AB2098" s="1" t="str">
        <f aca="false">TRIM(PROPER(C2098))</f>
        <v>Simplilearn</v>
      </c>
      <c r="AC2098" s="1" t="str">
        <f aca="false">IF(O2098=0,"No Discount",IF(O2098&lt;=15,"Low (1-15%)",IF(O2098&lt;=30,"Medium (16-30%)","High (&gt;30%)")))</f>
        <v>High (&gt;30%)</v>
      </c>
      <c r="AD2098" s="1" t="str">
        <f aca="false">IF(V2098&lt;0,"Loss Making",IF(V2098&lt;20,"Low Margin","Healthy Margin"))</f>
        <v>Healthy Margin</v>
      </c>
      <c r="AE2098" s="1" t="str">
        <f aca="false">TEXT(DATE(VALUE(RIGHT(B2098,4)),VALUE(MID(B2098,4,2)),VALUE(LEFT(B2098,2))),"MMM-YYYY")</f>
        <v>Jul-2023</v>
      </c>
      <c r="AF2098" s="1" t="n">
        <f aca="false">VALUE(RIGHT(B2098,4))</f>
        <v>2023</v>
      </c>
      <c r="AG2098" s="1" t="str">
        <f aca="false">CHOOSE(ROUNDUP(VALUE(MID(B2098,4,2))/3,0),"Q1","Q2","Q3","Q4")</f>
        <v>Q3</v>
      </c>
    </row>
    <row r="2099" customFormat="false" ht="15" hidden="false" customHeight="true" outlineLevel="0" collapsed="false">
      <c r="A2099" s="1" t="s">
        <v>2960</v>
      </c>
      <c r="B2099" s="1" t="s">
        <v>1396</v>
      </c>
      <c r="C2099" s="1" t="s">
        <v>264</v>
      </c>
      <c r="D2099" s="1" t="s">
        <v>53</v>
      </c>
      <c r="E2099" s="1" t="s">
        <v>216</v>
      </c>
      <c r="F2099" s="1" t="s">
        <v>205</v>
      </c>
      <c r="G2099" s="1" t="s">
        <v>56</v>
      </c>
      <c r="H2099" s="1" t="s">
        <v>69</v>
      </c>
      <c r="I2099" s="1" t="s">
        <v>83</v>
      </c>
      <c r="J2099" s="1" t="s">
        <v>59</v>
      </c>
      <c r="K2099" s="1" t="s">
        <v>90</v>
      </c>
      <c r="L2099" s="1" t="s">
        <v>113</v>
      </c>
      <c r="M2099" s="1" t="s">
        <v>62</v>
      </c>
      <c r="N2099" s="1" t="n">
        <v>7499</v>
      </c>
      <c r="O2099" s="1" t="n">
        <v>50</v>
      </c>
      <c r="P2099" s="1" t="n">
        <v>3749.5</v>
      </c>
      <c r="Q2099" s="1" t="n">
        <v>3749.5</v>
      </c>
      <c r="R2099" s="1" t="n">
        <v>674.91</v>
      </c>
      <c r="S2099" s="1" t="n">
        <v>3074.59</v>
      </c>
      <c r="T2099" s="1" t="n">
        <v>1528.59</v>
      </c>
      <c r="U2099" s="1" t="n">
        <v>1546</v>
      </c>
      <c r="V2099" s="1" t="n">
        <v>50.28</v>
      </c>
      <c r="W2099" s="1" t="s">
        <v>40</v>
      </c>
      <c r="Y2099" s="1" t="s">
        <v>40</v>
      </c>
      <c r="Z2099" s="1" t="n">
        <v>2</v>
      </c>
      <c r="AA2099" s="1" t="str">
        <f aca="false">TRIM(PROPER(F2099))</f>
        <v>New Delhi</v>
      </c>
      <c r="AB2099" s="1" t="str">
        <f aca="false">TRIM(PROPER(C2099))</f>
        <v>Unacademy</v>
      </c>
      <c r="AC2099" s="1" t="str">
        <f aca="false">IF(O2099=0,"No Discount",IF(O2099&lt;=15,"Low (1-15%)",IF(O2099&lt;=30,"Medium (16-30%)","High (&gt;30%)")))</f>
        <v>High (&gt;30%)</v>
      </c>
      <c r="AD2099" s="1" t="str">
        <f aca="false">IF(V2099&lt;0,"Loss Making",IF(V2099&lt;20,"Low Margin","Healthy Margin"))</f>
        <v>Healthy Margin</v>
      </c>
      <c r="AE2099" s="1" t="str">
        <f aca="false">TEXT(DATE(VALUE(RIGHT(B2099,4)),VALUE(MID(B2099,4,2)),VALUE(LEFT(B2099,2))),"MMM-YYYY")</f>
        <v>Aug-2023</v>
      </c>
      <c r="AF2099" s="1" t="n">
        <f aca="false">VALUE(RIGHT(B2099,4))</f>
        <v>2023</v>
      </c>
      <c r="AG2099" s="1" t="str">
        <f aca="false">CHOOSE(ROUNDUP(VALUE(MID(B2099,4,2))/3,0),"Q1","Q2","Q3","Q4")</f>
        <v>Q3</v>
      </c>
    </row>
    <row r="2100" customFormat="false" ht="15" hidden="false" customHeight="true" outlineLevel="0" collapsed="false">
      <c r="A2100" s="1" t="s">
        <v>2961</v>
      </c>
      <c r="B2100" s="1" t="s">
        <v>504</v>
      </c>
      <c r="C2100" s="1" t="s">
        <v>119</v>
      </c>
      <c r="D2100" s="1" t="s">
        <v>94</v>
      </c>
      <c r="E2100" s="1" t="s">
        <v>101</v>
      </c>
      <c r="F2100" s="1" t="s">
        <v>184</v>
      </c>
      <c r="G2100" s="1" t="s">
        <v>56</v>
      </c>
      <c r="H2100" s="1" t="s">
        <v>57</v>
      </c>
      <c r="I2100" s="1" t="s">
        <v>83</v>
      </c>
      <c r="J2100" s="1" t="s">
        <v>77</v>
      </c>
      <c r="K2100" s="1" t="s">
        <v>48</v>
      </c>
      <c r="L2100" s="1" t="s">
        <v>49</v>
      </c>
      <c r="M2100" s="1" t="s">
        <v>38</v>
      </c>
      <c r="N2100" s="1" t="n">
        <v>14999</v>
      </c>
      <c r="O2100" s="1" t="n">
        <v>20</v>
      </c>
      <c r="P2100" s="1" t="n">
        <v>2999.8</v>
      </c>
      <c r="Q2100" s="1" t="n">
        <v>11999.2</v>
      </c>
      <c r="R2100" s="1" t="n">
        <v>2159.86</v>
      </c>
      <c r="S2100" s="1" t="n">
        <v>9839.34</v>
      </c>
      <c r="T2100" s="1" t="n">
        <v>4089.95</v>
      </c>
      <c r="U2100" s="1" t="n">
        <v>5749.39</v>
      </c>
      <c r="V2100" s="1" t="n">
        <v>58.43</v>
      </c>
      <c r="W2100" s="1" t="s">
        <v>39</v>
      </c>
      <c r="X2100" s="1" t="n">
        <v>4.2</v>
      </c>
      <c r="Y2100" s="1" t="s">
        <v>40</v>
      </c>
      <c r="Z2100" s="1" t="n">
        <v>0</v>
      </c>
      <c r="AA2100" s="1" t="str">
        <f aca="false">TRIM(PROPER(F2100))</f>
        <v>Faridabad</v>
      </c>
      <c r="AB2100" s="1" t="str">
        <f aca="false">TRIM(PROPER(C2100))</f>
        <v>Simplilearn</v>
      </c>
      <c r="AC2100" s="1" t="str">
        <f aca="false">IF(O2100=0,"No Discount",IF(O2100&lt;=15,"Low (1-15%)",IF(O2100&lt;=30,"Medium (16-30%)","High (&gt;30%)")))</f>
        <v>Medium (16-30%)</v>
      </c>
      <c r="AD2100" s="1" t="str">
        <f aca="false">IF(V2100&lt;0,"Loss Making",IF(V2100&lt;20,"Low Margin","Healthy Margin"))</f>
        <v>Healthy Margin</v>
      </c>
      <c r="AE2100" s="1" t="str">
        <f aca="false">TEXT(DATE(VALUE(RIGHT(B2100,4)),VALUE(MID(B2100,4,2)),VALUE(LEFT(B2100,2))),"MMM-YYYY")</f>
        <v>Aug-2024</v>
      </c>
      <c r="AF2100" s="1" t="n">
        <f aca="false">VALUE(RIGHT(B2100,4))</f>
        <v>2024</v>
      </c>
      <c r="AG2100" s="1" t="str">
        <f aca="false">CHOOSE(ROUNDUP(VALUE(MID(B2100,4,2))/3,0),"Q1","Q2","Q3","Q4")</f>
        <v>Q3</v>
      </c>
    </row>
    <row r="2101" customFormat="false" ht="15" hidden="false" customHeight="true" outlineLevel="0" collapsed="false">
      <c r="A2101" s="1" t="s">
        <v>2962</v>
      </c>
      <c r="B2101" s="1" t="s">
        <v>2963</v>
      </c>
      <c r="C2101" s="1" t="s">
        <v>93</v>
      </c>
      <c r="D2101" s="1" t="s">
        <v>123</v>
      </c>
      <c r="E2101" s="1" t="s">
        <v>124</v>
      </c>
      <c r="F2101" s="1" t="s">
        <v>125</v>
      </c>
      <c r="G2101" s="1" t="s">
        <v>108</v>
      </c>
      <c r="H2101" s="1" t="s">
        <v>69</v>
      </c>
      <c r="I2101" s="1" t="s">
        <v>83</v>
      </c>
      <c r="J2101" s="1" t="s">
        <v>70</v>
      </c>
      <c r="K2101" s="1" t="s">
        <v>104</v>
      </c>
      <c r="L2101" s="1" t="s">
        <v>61</v>
      </c>
      <c r="M2101" s="1" t="s">
        <v>50</v>
      </c>
      <c r="N2101" s="1" t="n">
        <v>4999</v>
      </c>
      <c r="O2101" s="1" t="n">
        <v>10</v>
      </c>
      <c r="P2101" s="1" t="n">
        <v>499.9</v>
      </c>
      <c r="Q2101" s="1" t="n">
        <v>4499.1</v>
      </c>
      <c r="R2101" s="1" t="n">
        <v>809.84</v>
      </c>
      <c r="S2101" s="1" t="n">
        <v>3689.26</v>
      </c>
      <c r="T2101" s="1" t="n">
        <v>1262.53</v>
      </c>
      <c r="U2101" s="1" t="n">
        <v>2426.73</v>
      </c>
      <c r="V2101" s="1" t="n">
        <v>65.78</v>
      </c>
      <c r="W2101" s="1" t="s">
        <v>40</v>
      </c>
      <c r="Y2101" s="1" t="s">
        <v>40</v>
      </c>
      <c r="Z2101" s="1" t="n">
        <v>1</v>
      </c>
      <c r="AA2101" s="1" t="str">
        <f aca="false">TRIM(PROPER(F2101))</f>
        <v>Chennai</v>
      </c>
      <c r="AB2101" s="1" t="str">
        <f aca="false">TRIM(PROPER(C2101))</f>
        <v>Upgrad</v>
      </c>
      <c r="AC2101" s="1" t="str">
        <f aca="false">IF(O2101=0,"No Discount",IF(O2101&lt;=15,"Low (1-15%)",IF(O2101&lt;=30,"Medium (16-30%)","High (&gt;30%)")))</f>
        <v>Low (1-15%)</v>
      </c>
      <c r="AD2101" s="1" t="str">
        <f aca="false">IF(V2101&lt;0,"Loss Making",IF(V2101&lt;20,"Low Margin","Healthy Margin"))</f>
        <v>Healthy Margin</v>
      </c>
      <c r="AE2101" s="1" t="str">
        <f aca="false">TEXT(DATE(VALUE(RIGHT(B2101,4)),VALUE(MID(B2101,4,2)),VALUE(LEFT(B2101,2))),"MMM-YYYY")</f>
        <v>Mar-2023</v>
      </c>
      <c r="AF2101" s="1" t="n">
        <f aca="false">VALUE(RIGHT(B2101,4))</f>
        <v>2023</v>
      </c>
      <c r="AG2101" s="1" t="str">
        <f aca="false">CHOOSE(ROUNDUP(VALUE(MID(B2101,4,2))/3,0),"Q1","Q2","Q3","Q4")</f>
        <v>Q1</v>
      </c>
    </row>
    <row r="2102" customFormat="false" ht="15" hidden="false" customHeight="true" outlineLevel="0" collapsed="false">
      <c r="A2102" s="1" t="s">
        <v>2964</v>
      </c>
      <c r="B2102" s="1" t="s">
        <v>1486</v>
      </c>
      <c r="C2102" s="1" t="s">
        <v>128</v>
      </c>
      <c r="D2102" s="1" t="s">
        <v>94</v>
      </c>
      <c r="E2102" s="1" t="s">
        <v>95</v>
      </c>
      <c r="F2102" s="1" t="s">
        <v>46</v>
      </c>
      <c r="G2102" s="1" t="s">
        <v>47</v>
      </c>
      <c r="H2102" s="1" t="s">
        <v>33</v>
      </c>
      <c r="I2102" s="1" t="s">
        <v>58</v>
      </c>
      <c r="J2102" s="1" t="s">
        <v>70</v>
      </c>
      <c r="K2102" s="1" t="s">
        <v>36</v>
      </c>
      <c r="L2102" s="1" t="s">
        <v>49</v>
      </c>
      <c r="M2102" s="1" t="s">
        <v>38</v>
      </c>
      <c r="N2102" s="1" t="n">
        <v>6999</v>
      </c>
      <c r="O2102" s="1" t="n">
        <v>15</v>
      </c>
      <c r="P2102" s="1" t="n">
        <v>1049.85</v>
      </c>
      <c r="Q2102" s="1" t="n">
        <v>5949.15</v>
      </c>
      <c r="R2102" s="1" t="n">
        <v>1070.85</v>
      </c>
      <c r="S2102" s="1" t="n">
        <v>4878.3</v>
      </c>
      <c r="T2102" s="1" t="n">
        <v>2042.28</v>
      </c>
      <c r="U2102" s="1" t="n">
        <v>2836.02</v>
      </c>
      <c r="V2102" s="1" t="n">
        <v>58.14</v>
      </c>
      <c r="W2102" s="1" t="s">
        <v>39</v>
      </c>
      <c r="X2102" s="1" t="n">
        <v>3.6</v>
      </c>
      <c r="Y2102" s="1" t="s">
        <v>40</v>
      </c>
      <c r="Z2102" s="1" t="n">
        <v>0</v>
      </c>
      <c r="AA2102" s="1" t="str">
        <f aca="false">TRIM(PROPER(F2102))</f>
        <v>Mangaluru</v>
      </c>
      <c r="AB2102" s="1" t="str">
        <f aca="false">TRIM(PROPER(C2102))</f>
        <v>Great Learning</v>
      </c>
      <c r="AC2102" s="1" t="str">
        <f aca="false">IF(O2102=0,"No Discount",IF(O2102&lt;=15,"Low (1-15%)",IF(O2102&lt;=30,"Medium (16-30%)","High (&gt;30%)")))</f>
        <v>Low (1-15%)</v>
      </c>
      <c r="AD2102" s="1" t="str">
        <f aca="false">IF(V2102&lt;0,"Loss Making",IF(V2102&lt;20,"Low Margin","Healthy Margin"))</f>
        <v>Healthy Margin</v>
      </c>
      <c r="AE2102" s="1" t="str">
        <f aca="false">TEXT(DATE(VALUE(RIGHT(B2102,4)),VALUE(MID(B2102,4,2)),VALUE(LEFT(B2102,2))),"MMM-YYYY")</f>
        <v>Jun-2024</v>
      </c>
      <c r="AF2102" s="1" t="n">
        <f aca="false">VALUE(RIGHT(B2102,4))</f>
        <v>2024</v>
      </c>
      <c r="AG2102" s="1" t="str">
        <f aca="false">CHOOSE(ROUNDUP(VALUE(MID(B2102,4,2))/3,0),"Q1","Q2","Q3","Q4")</f>
        <v>Q2</v>
      </c>
    </row>
    <row r="2103" customFormat="false" ht="15" hidden="false" customHeight="true" outlineLevel="0" collapsed="false">
      <c r="A2103" s="1" t="s">
        <v>2965</v>
      </c>
      <c r="B2103" s="1" t="s">
        <v>2265</v>
      </c>
      <c r="C2103" s="1" t="s">
        <v>134</v>
      </c>
      <c r="D2103" s="1" t="s">
        <v>123</v>
      </c>
      <c r="E2103" s="1" t="s">
        <v>124</v>
      </c>
      <c r="F2103" s="1" t="s">
        <v>107</v>
      </c>
      <c r="G2103" s="1" t="s">
        <v>108</v>
      </c>
      <c r="H2103" s="1" t="s">
        <v>33</v>
      </c>
      <c r="I2103" s="1" t="s">
        <v>34</v>
      </c>
      <c r="J2103" s="1" t="s">
        <v>77</v>
      </c>
      <c r="K2103" s="1" t="s">
        <v>36</v>
      </c>
      <c r="L2103" s="1" t="s">
        <v>113</v>
      </c>
      <c r="M2103" s="1" t="s">
        <v>50</v>
      </c>
      <c r="N2103" s="1" t="n">
        <v>4999</v>
      </c>
      <c r="O2103" s="1" t="n">
        <v>25</v>
      </c>
      <c r="P2103" s="1" t="n">
        <v>1249.75</v>
      </c>
      <c r="Q2103" s="1" t="n">
        <v>3749.25</v>
      </c>
      <c r="R2103" s="1" t="n">
        <v>674.87</v>
      </c>
      <c r="S2103" s="1" t="n">
        <v>3074.38</v>
      </c>
      <c r="T2103" s="1" t="n">
        <v>1312.86</v>
      </c>
      <c r="U2103" s="1" t="n">
        <v>1761.52</v>
      </c>
      <c r="V2103" s="1" t="n">
        <v>57.3</v>
      </c>
      <c r="W2103" s="1" t="s">
        <v>40</v>
      </c>
      <c r="Y2103" s="1" t="s">
        <v>40</v>
      </c>
      <c r="Z2103" s="1" t="n">
        <v>0</v>
      </c>
      <c r="AA2103" s="1" t="str">
        <f aca="false">TRIM(PROPER(F2103))</f>
        <v>Madurai</v>
      </c>
      <c r="AB2103" s="1" t="str">
        <f aca="false">TRIM(PROPER(C2103))</f>
        <v>Doubtnut</v>
      </c>
      <c r="AC2103" s="1" t="str">
        <f aca="false">IF(O2103=0,"No Discount",IF(O2103&lt;=15,"Low (1-15%)",IF(O2103&lt;=30,"Medium (16-30%)","High (&gt;30%)")))</f>
        <v>Medium (16-30%)</v>
      </c>
      <c r="AD2103" s="1" t="str">
        <f aca="false">IF(V2103&lt;0,"Loss Making",IF(V2103&lt;20,"Low Margin","Healthy Margin"))</f>
        <v>Healthy Margin</v>
      </c>
      <c r="AE2103" s="1" t="str">
        <f aca="false">TEXT(DATE(VALUE(RIGHT(B2103,4)),VALUE(MID(B2103,4,2)),VALUE(LEFT(B2103,2))),"MMM-YYYY")</f>
        <v>Apr-2024</v>
      </c>
      <c r="AF2103" s="1" t="n">
        <f aca="false">VALUE(RIGHT(B2103,4))</f>
        <v>2024</v>
      </c>
      <c r="AG2103" s="1" t="str">
        <f aca="false">CHOOSE(ROUNDUP(VALUE(MID(B2103,4,2))/3,0),"Q1","Q2","Q3","Q4")</f>
        <v>Q2</v>
      </c>
    </row>
    <row r="2104" customFormat="false" ht="15" hidden="false" customHeight="true" outlineLevel="0" collapsed="false">
      <c r="A2104" s="1" t="s">
        <v>2966</v>
      </c>
      <c r="B2104" s="1" t="s">
        <v>520</v>
      </c>
      <c r="C2104" s="1" t="s">
        <v>134</v>
      </c>
      <c r="D2104" s="1" t="s">
        <v>94</v>
      </c>
      <c r="E2104" s="1" t="s">
        <v>101</v>
      </c>
      <c r="F2104" s="1" t="s">
        <v>102</v>
      </c>
      <c r="G2104" s="1" t="s">
        <v>103</v>
      </c>
      <c r="H2104" s="1" t="s">
        <v>33</v>
      </c>
      <c r="I2104" s="1" t="s">
        <v>34</v>
      </c>
      <c r="J2104" s="1" t="s">
        <v>77</v>
      </c>
      <c r="K2104" s="1" t="s">
        <v>36</v>
      </c>
      <c r="L2104" s="1" t="s">
        <v>136</v>
      </c>
      <c r="M2104" s="1" t="s">
        <v>38</v>
      </c>
      <c r="N2104" s="1" t="n">
        <v>14999</v>
      </c>
      <c r="O2104" s="1" t="n">
        <v>0</v>
      </c>
      <c r="P2104" s="1" t="n">
        <v>0</v>
      </c>
      <c r="Q2104" s="1" t="n">
        <v>14999</v>
      </c>
      <c r="R2104" s="1" t="n">
        <v>2699.82</v>
      </c>
      <c r="S2104" s="1" t="n">
        <v>12299.18</v>
      </c>
      <c r="T2104" s="1" t="n">
        <v>5422.46</v>
      </c>
      <c r="U2104" s="1" t="n">
        <v>6876.72</v>
      </c>
      <c r="V2104" s="1" t="n">
        <v>55.91</v>
      </c>
      <c r="W2104" s="1" t="s">
        <v>39</v>
      </c>
      <c r="X2104" s="1" t="n">
        <v>3.5</v>
      </c>
      <c r="Y2104" s="1" t="s">
        <v>40</v>
      </c>
      <c r="Z2104" s="1" t="n">
        <v>2</v>
      </c>
      <c r="AA2104" s="1" t="str">
        <f aca="false">TRIM(PROPER(F2104))</f>
        <v>Warangal</v>
      </c>
      <c r="AB2104" s="1" t="str">
        <f aca="false">TRIM(PROPER(C2104))</f>
        <v>Doubtnut</v>
      </c>
      <c r="AC2104" s="1" t="str">
        <f aca="false">IF(O2104=0,"No Discount",IF(O2104&lt;=15,"Low (1-15%)",IF(O2104&lt;=30,"Medium (16-30%)","High (&gt;30%)")))</f>
        <v>No Discount</v>
      </c>
      <c r="AD2104" s="1" t="str">
        <f aca="false">IF(V2104&lt;0,"Loss Making",IF(V2104&lt;20,"Low Margin","Healthy Margin"))</f>
        <v>Healthy Margin</v>
      </c>
      <c r="AE2104" s="1" t="str">
        <f aca="false">TEXT(DATE(VALUE(RIGHT(B2104,4)),VALUE(MID(B2104,4,2)),VALUE(LEFT(B2104,2))),"MMM-YYYY")</f>
        <v>Jul-2024</v>
      </c>
      <c r="AF2104" s="1" t="n">
        <f aca="false">VALUE(RIGHT(B2104,4))</f>
        <v>2024</v>
      </c>
      <c r="AG2104" s="1" t="str">
        <f aca="false">CHOOSE(ROUNDUP(VALUE(MID(B2104,4,2))/3,0),"Q1","Q2","Q3","Q4")</f>
        <v>Q3</v>
      </c>
    </row>
    <row r="2105" customFormat="false" ht="15" hidden="false" customHeight="true" outlineLevel="0" collapsed="false">
      <c r="A2105" s="1" t="s">
        <v>2967</v>
      </c>
      <c r="B2105" s="1" t="s">
        <v>284</v>
      </c>
      <c r="C2105" s="1" t="s">
        <v>28</v>
      </c>
      <c r="D2105" s="1" t="s">
        <v>53</v>
      </c>
      <c r="E2105" s="1" t="s">
        <v>216</v>
      </c>
      <c r="F2105" s="1" t="s">
        <v>205</v>
      </c>
      <c r="G2105" s="1" t="s">
        <v>56</v>
      </c>
      <c r="H2105" s="1" t="s">
        <v>69</v>
      </c>
      <c r="I2105" s="1" t="s">
        <v>34</v>
      </c>
      <c r="J2105" s="1" t="s">
        <v>35</v>
      </c>
      <c r="K2105" s="1" t="s">
        <v>36</v>
      </c>
      <c r="L2105" s="1" t="s">
        <v>113</v>
      </c>
      <c r="M2105" s="1" t="s">
        <v>50</v>
      </c>
      <c r="N2105" s="1" t="n">
        <v>7499</v>
      </c>
      <c r="O2105" s="1" t="n">
        <v>5</v>
      </c>
      <c r="P2105" s="1" t="n">
        <v>374.95</v>
      </c>
      <c r="Q2105" s="1" t="n">
        <v>7124.05</v>
      </c>
      <c r="R2105" s="1" t="n">
        <v>1282.33</v>
      </c>
      <c r="S2105" s="1" t="n">
        <v>5841.72</v>
      </c>
      <c r="T2105" s="1" t="n">
        <v>2350.07</v>
      </c>
      <c r="U2105" s="1" t="n">
        <v>3491.65</v>
      </c>
      <c r="V2105" s="1" t="n">
        <v>59.77</v>
      </c>
      <c r="W2105" s="1" t="s">
        <v>39</v>
      </c>
      <c r="Y2105" s="1" t="s">
        <v>40</v>
      </c>
      <c r="Z2105" s="1" t="n">
        <v>0</v>
      </c>
      <c r="AA2105" s="1" t="str">
        <f aca="false">TRIM(PROPER(F2105))</f>
        <v>New Delhi</v>
      </c>
      <c r="AB2105" s="1" t="str">
        <f aca="false">TRIM(PROPER(C2105))</f>
        <v>Embibe</v>
      </c>
      <c r="AC2105" s="1" t="str">
        <f aca="false">IF(O2105=0,"No Discount",IF(O2105&lt;=15,"Low (1-15%)",IF(O2105&lt;=30,"Medium (16-30%)","High (&gt;30%)")))</f>
        <v>Low (1-15%)</v>
      </c>
      <c r="AD2105" s="1" t="str">
        <f aca="false">IF(V2105&lt;0,"Loss Making",IF(V2105&lt;20,"Low Margin","Healthy Margin"))</f>
        <v>Healthy Margin</v>
      </c>
      <c r="AE2105" s="1" t="str">
        <f aca="false">TEXT(DATE(VALUE(RIGHT(B2105,4)),VALUE(MID(B2105,4,2)),VALUE(LEFT(B2105,2))),"MMM-YYYY")</f>
        <v>Oct-2024</v>
      </c>
      <c r="AF2105" s="1" t="n">
        <f aca="false">VALUE(RIGHT(B2105,4))</f>
        <v>2024</v>
      </c>
      <c r="AG2105" s="1" t="str">
        <f aca="false">CHOOSE(ROUNDUP(VALUE(MID(B2105,4,2))/3,0),"Q1","Q2","Q3","Q4")</f>
        <v>Q4</v>
      </c>
    </row>
    <row r="2106" customFormat="false" ht="15" hidden="false" customHeight="true" outlineLevel="0" collapsed="false">
      <c r="A2106" s="1" t="s">
        <v>2968</v>
      </c>
      <c r="B2106" s="1" t="s">
        <v>2041</v>
      </c>
      <c r="C2106" s="1" t="s">
        <v>74</v>
      </c>
      <c r="D2106" s="1" t="s">
        <v>123</v>
      </c>
      <c r="E2106" s="1" t="s">
        <v>233</v>
      </c>
      <c r="F2106" s="1" t="s">
        <v>107</v>
      </c>
      <c r="G2106" s="1" t="s">
        <v>108</v>
      </c>
      <c r="H2106" s="1" t="s">
        <v>33</v>
      </c>
      <c r="I2106" s="1" t="s">
        <v>58</v>
      </c>
      <c r="J2106" s="1" t="s">
        <v>59</v>
      </c>
      <c r="K2106" s="1" t="s">
        <v>112</v>
      </c>
      <c r="L2106" s="1" t="s">
        <v>49</v>
      </c>
      <c r="M2106" s="1" t="s">
        <v>62</v>
      </c>
      <c r="N2106" s="1" t="n">
        <v>8999</v>
      </c>
      <c r="O2106" s="1" t="n">
        <v>0</v>
      </c>
      <c r="P2106" s="1" t="n">
        <v>0</v>
      </c>
      <c r="Q2106" s="1" t="n">
        <v>8999</v>
      </c>
      <c r="R2106" s="1" t="n">
        <v>1619.82</v>
      </c>
      <c r="S2106" s="1" t="n">
        <v>7379.18</v>
      </c>
      <c r="T2106" s="1" t="n">
        <v>3336.8</v>
      </c>
      <c r="U2106" s="1" t="n">
        <v>4042.38</v>
      </c>
      <c r="V2106" s="1" t="n">
        <v>54.78</v>
      </c>
      <c r="W2106" s="1" t="s">
        <v>40</v>
      </c>
      <c r="Y2106" s="1" t="s">
        <v>40</v>
      </c>
      <c r="Z2106" s="1" t="n">
        <v>1</v>
      </c>
      <c r="AA2106" s="1" t="str">
        <f aca="false">TRIM(PROPER(F2106))</f>
        <v>Madurai</v>
      </c>
      <c r="AB2106" s="1" t="str">
        <f aca="false">TRIM(PROPER(C2106))</f>
        <v>Vedantu</v>
      </c>
      <c r="AC2106" s="1" t="str">
        <f aca="false">IF(O2106=0,"No Discount",IF(O2106&lt;=15,"Low (1-15%)",IF(O2106&lt;=30,"Medium (16-30%)","High (&gt;30%)")))</f>
        <v>No Discount</v>
      </c>
      <c r="AD2106" s="1" t="str">
        <f aca="false">IF(V2106&lt;0,"Loss Making",IF(V2106&lt;20,"Low Margin","Healthy Margin"))</f>
        <v>Healthy Margin</v>
      </c>
      <c r="AE2106" s="1" t="str">
        <f aca="false">TEXT(DATE(VALUE(RIGHT(B2106,4)),VALUE(MID(B2106,4,2)),VALUE(LEFT(B2106,2))),"MMM-YYYY")</f>
        <v>Aug-2024</v>
      </c>
      <c r="AF2106" s="1" t="n">
        <f aca="false">VALUE(RIGHT(B2106,4))</f>
        <v>2024</v>
      </c>
      <c r="AG2106" s="1" t="str">
        <f aca="false">CHOOSE(ROUNDUP(VALUE(MID(B2106,4,2))/3,0),"Q1","Q2","Q3","Q4")</f>
        <v>Q3</v>
      </c>
    </row>
    <row r="2107" customFormat="false" ht="15" hidden="false" customHeight="true" outlineLevel="0" collapsed="false">
      <c r="A2107" s="1" t="s">
        <v>2969</v>
      </c>
      <c r="B2107" s="1" t="s">
        <v>1480</v>
      </c>
      <c r="C2107" s="1" t="s">
        <v>65</v>
      </c>
      <c r="D2107" s="1" t="s">
        <v>44</v>
      </c>
      <c r="E2107" s="1" t="s">
        <v>66</v>
      </c>
      <c r="F2107" s="1" t="s">
        <v>140</v>
      </c>
      <c r="G2107" s="1" t="s">
        <v>97</v>
      </c>
      <c r="H2107" s="1" t="s">
        <v>57</v>
      </c>
      <c r="I2107" s="1" t="s">
        <v>34</v>
      </c>
      <c r="J2107" s="1" t="s">
        <v>70</v>
      </c>
      <c r="K2107" s="1" t="s">
        <v>84</v>
      </c>
      <c r="L2107" s="1" t="s">
        <v>37</v>
      </c>
      <c r="M2107" s="1" t="s">
        <v>50</v>
      </c>
      <c r="N2107" s="1" t="n">
        <v>12999</v>
      </c>
      <c r="O2107" s="1" t="n">
        <v>0</v>
      </c>
      <c r="P2107" s="1" t="n">
        <v>0</v>
      </c>
      <c r="Q2107" s="1" t="n">
        <v>12999</v>
      </c>
      <c r="R2107" s="1" t="n">
        <v>2339.82</v>
      </c>
      <c r="S2107" s="1" t="n">
        <v>10659.18</v>
      </c>
      <c r="T2107" s="1" t="n">
        <v>5550.58</v>
      </c>
      <c r="U2107" s="1" t="n">
        <v>5108.6</v>
      </c>
      <c r="V2107" s="1" t="n">
        <v>47.93</v>
      </c>
      <c r="W2107" s="1" t="s">
        <v>39</v>
      </c>
      <c r="X2107" s="1" t="n">
        <v>4.2</v>
      </c>
      <c r="Y2107" s="1" t="s">
        <v>40</v>
      </c>
      <c r="Z2107" s="1" t="n">
        <v>0</v>
      </c>
      <c r="AA2107" s="1" t="str">
        <f aca="false">TRIM(PROPER(F2107))</f>
        <v>Nashik</v>
      </c>
      <c r="AB2107" s="1" t="str">
        <f aca="false">TRIM(PROPER(C2107))</f>
        <v>Toppr</v>
      </c>
      <c r="AC2107" s="1" t="str">
        <f aca="false">IF(O2107=0,"No Discount",IF(O2107&lt;=15,"Low (1-15%)",IF(O2107&lt;=30,"Medium (16-30%)","High (&gt;30%)")))</f>
        <v>No Discount</v>
      </c>
      <c r="AD2107" s="1" t="str">
        <f aca="false">IF(V2107&lt;0,"Loss Making",IF(V2107&lt;20,"Low Margin","Healthy Margin"))</f>
        <v>Healthy Margin</v>
      </c>
      <c r="AE2107" s="1" t="str">
        <f aca="false">TEXT(DATE(VALUE(RIGHT(B2107,4)),VALUE(MID(B2107,4,2)),VALUE(LEFT(B2107,2))),"MMM-YYYY")</f>
        <v>Apr-2024</v>
      </c>
      <c r="AF2107" s="1" t="n">
        <f aca="false">VALUE(RIGHT(B2107,4))</f>
        <v>2024</v>
      </c>
      <c r="AG2107" s="1" t="str">
        <f aca="false">CHOOSE(ROUNDUP(VALUE(MID(B2107,4,2))/3,0),"Q1","Q2","Q3","Q4")</f>
        <v>Q2</v>
      </c>
    </row>
    <row r="2108" customFormat="false" ht="15" hidden="false" customHeight="true" outlineLevel="0" collapsed="false">
      <c r="A2108" s="1" t="s">
        <v>2970</v>
      </c>
      <c r="B2108" s="1" t="s">
        <v>1525</v>
      </c>
      <c r="C2108" s="1" t="s">
        <v>134</v>
      </c>
      <c r="D2108" s="1" t="s">
        <v>123</v>
      </c>
      <c r="E2108" s="1" t="s">
        <v>147</v>
      </c>
      <c r="F2108" s="1" t="s">
        <v>1363</v>
      </c>
      <c r="G2108" s="1" t="s">
        <v>68</v>
      </c>
      <c r="H2108" s="1" t="s">
        <v>33</v>
      </c>
      <c r="I2108" s="1" t="s">
        <v>34</v>
      </c>
      <c r="J2108" s="1" t="s">
        <v>35</v>
      </c>
      <c r="K2108" s="1" t="s">
        <v>36</v>
      </c>
      <c r="L2108" s="1" t="s">
        <v>85</v>
      </c>
      <c r="M2108" s="1" t="s">
        <v>50</v>
      </c>
      <c r="N2108" s="1" t="n">
        <v>6999</v>
      </c>
      <c r="O2108" s="1" t="n">
        <v>25</v>
      </c>
      <c r="P2108" s="1" t="n">
        <v>1749.75</v>
      </c>
      <c r="Q2108" s="1" t="n">
        <v>5249.25</v>
      </c>
      <c r="R2108" s="1" t="n">
        <v>944.87</v>
      </c>
      <c r="S2108" s="1" t="n">
        <v>4304.38</v>
      </c>
      <c r="T2108" s="1" t="n">
        <v>2128.03</v>
      </c>
      <c r="U2108" s="1" t="n">
        <v>2176.35</v>
      </c>
      <c r="V2108" s="1" t="n">
        <v>50.56</v>
      </c>
      <c r="W2108" s="1" t="s">
        <v>39</v>
      </c>
      <c r="Y2108" s="1" t="s">
        <v>40</v>
      </c>
      <c r="Z2108" s="1" t="n">
        <v>1</v>
      </c>
      <c r="AA2108" s="1" t="str">
        <f aca="false">TRIM(PROPER(F2108))</f>
        <v>Vadodara</v>
      </c>
      <c r="AB2108" s="1" t="str">
        <f aca="false">TRIM(PROPER(C2108))</f>
        <v>Doubtnut</v>
      </c>
      <c r="AC2108" s="1" t="str">
        <f aca="false">IF(O2108=0,"No Discount",IF(O2108&lt;=15,"Low (1-15%)",IF(O2108&lt;=30,"Medium (16-30%)","High (&gt;30%)")))</f>
        <v>Medium (16-30%)</v>
      </c>
      <c r="AD2108" s="1" t="str">
        <f aca="false">IF(V2108&lt;0,"Loss Making",IF(V2108&lt;20,"Low Margin","Healthy Margin"))</f>
        <v>Healthy Margin</v>
      </c>
      <c r="AE2108" s="1" t="str">
        <f aca="false">TEXT(DATE(VALUE(RIGHT(B2108,4)),VALUE(MID(B2108,4,2)),VALUE(LEFT(B2108,2))),"MMM-YYYY")</f>
        <v>Feb-2024</v>
      </c>
      <c r="AF2108" s="1" t="n">
        <f aca="false">VALUE(RIGHT(B2108,4))</f>
        <v>2024</v>
      </c>
      <c r="AG2108" s="1" t="str">
        <f aca="false">CHOOSE(ROUNDUP(VALUE(MID(B2108,4,2))/3,0),"Q1","Q2","Q3","Q4")</f>
        <v>Q1</v>
      </c>
    </row>
    <row r="2109" customFormat="false" ht="15" hidden="false" customHeight="true" outlineLevel="0" collapsed="false">
      <c r="A2109" s="1" t="s">
        <v>2971</v>
      </c>
      <c r="B2109" s="1" t="s">
        <v>435</v>
      </c>
      <c r="C2109" s="1" t="s">
        <v>43</v>
      </c>
      <c r="D2109" s="1" t="s">
        <v>94</v>
      </c>
      <c r="E2109" s="1" t="s">
        <v>135</v>
      </c>
      <c r="F2109" s="1" t="s">
        <v>75</v>
      </c>
      <c r="G2109" s="1" t="s">
        <v>76</v>
      </c>
      <c r="H2109" s="1" t="s">
        <v>69</v>
      </c>
      <c r="I2109" s="1" t="s">
        <v>34</v>
      </c>
      <c r="J2109" s="1" t="s">
        <v>59</v>
      </c>
      <c r="K2109" s="1" t="s">
        <v>60</v>
      </c>
      <c r="L2109" s="1" t="s">
        <v>85</v>
      </c>
      <c r="M2109" s="1" t="s">
        <v>50</v>
      </c>
      <c r="N2109" s="1" t="n">
        <v>9999</v>
      </c>
      <c r="O2109" s="1" t="n">
        <v>20</v>
      </c>
      <c r="P2109" s="1" t="n">
        <v>1999.8</v>
      </c>
      <c r="Q2109" s="1" t="n">
        <v>7999.2</v>
      </c>
      <c r="R2109" s="1" t="n">
        <v>1439.86</v>
      </c>
      <c r="S2109" s="1" t="n">
        <v>6559.34</v>
      </c>
      <c r="T2109" s="1" t="n">
        <v>2892.58</v>
      </c>
      <c r="U2109" s="1" t="n">
        <v>3666.76</v>
      </c>
      <c r="V2109" s="1" t="n">
        <v>55.9</v>
      </c>
      <c r="W2109" s="1" t="s">
        <v>40</v>
      </c>
      <c r="Y2109" s="1" t="s">
        <v>40</v>
      </c>
      <c r="Z2109" s="1" t="n">
        <v>1</v>
      </c>
      <c r="AA2109" s="1" t="str">
        <f aca="false">TRIM(PROPER(F2109))</f>
        <v>Kolkata</v>
      </c>
      <c r="AB2109" s="1" t="str">
        <f aca="false">TRIM(PROPER(C2109))</f>
        <v>Meritnation</v>
      </c>
      <c r="AC2109" s="1" t="str">
        <f aca="false">IF(O2109=0,"No Discount",IF(O2109&lt;=15,"Low (1-15%)",IF(O2109&lt;=30,"Medium (16-30%)","High (&gt;30%)")))</f>
        <v>Medium (16-30%)</v>
      </c>
      <c r="AD2109" s="1" t="str">
        <f aca="false">IF(V2109&lt;0,"Loss Making",IF(V2109&lt;20,"Low Margin","Healthy Margin"))</f>
        <v>Healthy Margin</v>
      </c>
      <c r="AE2109" s="1" t="str">
        <f aca="false">TEXT(DATE(VALUE(RIGHT(B2109,4)),VALUE(MID(B2109,4,2)),VALUE(LEFT(B2109,2))),"MMM-YYYY")</f>
        <v>Feb-2024</v>
      </c>
      <c r="AF2109" s="1" t="n">
        <f aca="false">VALUE(RIGHT(B2109,4))</f>
        <v>2024</v>
      </c>
      <c r="AG2109" s="1" t="str">
        <f aca="false">CHOOSE(ROUNDUP(VALUE(MID(B2109,4,2))/3,0),"Q1","Q2","Q3","Q4")</f>
        <v>Q1</v>
      </c>
    </row>
    <row r="2110" customFormat="false" ht="15" hidden="false" customHeight="true" outlineLevel="0" collapsed="false">
      <c r="A2110" s="1" t="s">
        <v>2972</v>
      </c>
      <c r="B2110" s="1" t="s">
        <v>332</v>
      </c>
      <c r="C2110" s="1" t="s">
        <v>134</v>
      </c>
      <c r="D2110" s="1" t="s">
        <v>80</v>
      </c>
      <c r="E2110" s="1" t="s">
        <v>175</v>
      </c>
      <c r="F2110" s="1" t="s">
        <v>194</v>
      </c>
      <c r="G2110" s="1" t="s">
        <v>103</v>
      </c>
      <c r="H2110" s="1" t="s">
        <v>69</v>
      </c>
      <c r="I2110" s="1" t="s">
        <v>83</v>
      </c>
      <c r="J2110" s="1" t="s">
        <v>77</v>
      </c>
      <c r="K2110" s="1" t="s">
        <v>71</v>
      </c>
      <c r="L2110" s="1" t="s">
        <v>37</v>
      </c>
      <c r="M2110" s="1" t="s">
        <v>50</v>
      </c>
      <c r="N2110" s="1" t="n">
        <v>19999</v>
      </c>
      <c r="O2110" s="1" t="n">
        <v>0</v>
      </c>
      <c r="P2110" s="1" t="n">
        <v>0</v>
      </c>
      <c r="Q2110" s="1" t="n">
        <v>19999</v>
      </c>
      <c r="R2110" s="1" t="n">
        <v>3599.82</v>
      </c>
      <c r="S2110" s="1" t="n">
        <v>16399.18</v>
      </c>
      <c r="T2110" s="1" t="n">
        <v>4918.33</v>
      </c>
      <c r="U2110" s="1" t="n">
        <v>11480.85</v>
      </c>
      <c r="V2110" s="1" t="n">
        <v>70.01</v>
      </c>
      <c r="W2110" s="1" t="s">
        <v>39</v>
      </c>
      <c r="X2110" s="1" t="n">
        <v>3.7</v>
      </c>
      <c r="Y2110" s="1" t="s">
        <v>40</v>
      </c>
      <c r="Z2110" s="1" t="n">
        <v>1</v>
      </c>
      <c r="AA2110" s="1" t="str">
        <f aca="false">TRIM(PROPER(F2110))</f>
        <v>Hyderabad</v>
      </c>
      <c r="AB2110" s="1" t="str">
        <f aca="false">TRIM(PROPER(C2110))</f>
        <v>Doubtnut</v>
      </c>
      <c r="AC2110" s="1" t="str">
        <f aca="false">IF(O2110=0,"No Discount",IF(O2110&lt;=15,"Low (1-15%)",IF(O2110&lt;=30,"Medium (16-30%)","High (&gt;30%)")))</f>
        <v>No Discount</v>
      </c>
      <c r="AD2110" s="1" t="str">
        <f aca="false">IF(V2110&lt;0,"Loss Making",IF(V2110&lt;20,"Low Margin","Healthy Margin"))</f>
        <v>Healthy Margin</v>
      </c>
      <c r="AE2110" s="1" t="str">
        <f aca="false">TEXT(DATE(VALUE(RIGHT(B2110,4)),VALUE(MID(B2110,4,2)),VALUE(LEFT(B2110,2))),"MMM-YYYY")</f>
        <v>Jan-2023</v>
      </c>
      <c r="AF2110" s="1" t="n">
        <f aca="false">VALUE(RIGHT(B2110,4))</f>
        <v>2023</v>
      </c>
      <c r="AG2110" s="1" t="str">
        <f aca="false">CHOOSE(ROUNDUP(VALUE(MID(B2110,4,2))/3,0),"Q1","Q2","Q3","Q4")</f>
        <v>Q1</v>
      </c>
    </row>
    <row r="2111" customFormat="false" ht="15" hidden="false" customHeight="true" outlineLevel="0" collapsed="false">
      <c r="A2111" s="1" t="s">
        <v>2973</v>
      </c>
      <c r="B2111" s="1" t="s">
        <v>397</v>
      </c>
      <c r="C2111" s="1" t="s">
        <v>28</v>
      </c>
      <c r="D2111" s="1" t="s">
        <v>29</v>
      </c>
      <c r="E2111" s="1" t="s">
        <v>182</v>
      </c>
      <c r="F2111" s="1" t="s">
        <v>194</v>
      </c>
      <c r="G2111" s="1" t="s">
        <v>103</v>
      </c>
      <c r="H2111" s="1" t="s">
        <v>69</v>
      </c>
      <c r="I2111" s="1" t="s">
        <v>83</v>
      </c>
      <c r="J2111" s="1" t="s">
        <v>131</v>
      </c>
      <c r="K2111" s="1" t="s">
        <v>84</v>
      </c>
      <c r="L2111" s="1" t="s">
        <v>37</v>
      </c>
      <c r="M2111" s="1" t="s">
        <v>50</v>
      </c>
      <c r="N2111" s="1" t="n">
        <v>34999</v>
      </c>
      <c r="O2111" s="1" t="n">
        <v>30</v>
      </c>
      <c r="P2111" s="1" t="n">
        <v>10499.7</v>
      </c>
      <c r="Q2111" s="1" t="n">
        <v>24499.3</v>
      </c>
      <c r="R2111" s="1" t="n">
        <v>4409.87</v>
      </c>
      <c r="S2111" s="1" t="n">
        <v>20089.43</v>
      </c>
      <c r="T2111" s="1" t="n">
        <v>8386.48</v>
      </c>
      <c r="U2111" s="1" t="n">
        <v>11702.95</v>
      </c>
      <c r="V2111" s="1" t="n">
        <v>58.25</v>
      </c>
      <c r="W2111" s="1" t="s">
        <v>40</v>
      </c>
      <c r="Y2111" s="1" t="s">
        <v>40</v>
      </c>
      <c r="Z2111" s="1" t="n">
        <v>3</v>
      </c>
      <c r="AA2111" s="1" t="str">
        <f aca="false">TRIM(PROPER(F2111))</f>
        <v>Hyderabad</v>
      </c>
      <c r="AB2111" s="1" t="str">
        <f aca="false">TRIM(PROPER(C2111))</f>
        <v>Embibe</v>
      </c>
      <c r="AC2111" s="1" t="str">
        <f aca="false">IF(O2111=0,"No Discount",IF(O2111&lt;=15,"Low (1-15%)",IF(O2111&lt;=30,"Medium (16-30%)","High (&gt;30%)")))</f>
        <v>Medium (16-30%)</v>
      </c>
      <c r="AD2111" s="1" t="str">
        <f aca="false">IF(V2111&lt;0,"Loss Making",IF(V2111&lt;20,"Low Margin","Healthy Margin"))</f>
        <v>Healthy Margin</v>
      </c>
      <c r="AE2111" s="1" t="str">
        <f aca="false">TEXT(DATE(VALUE(RIGHT(B2111,4)),VALUE(MID(B2111,4,2)),VALUE(LEFT(B2111,2))),"MMM-YYYY")</f>
        <v>Mar-2023</v>
      </c>
      <c r="AF2111" s="1" t="n">
        <f aca="false">VALUE(RIGHT(B2111,4))</f>
        <v>2023</v>
      </c>
      <c r="AG2111" s="1" t="str">
        <f aca="false">CHOOSE(ROUNDUP(VALUE(MID(B2111,4,2))/3,0),"Q1","Q2","Q3","Q4")</f>
        <v>Q1</v>
      </c>
    </row>
    <row r="2112" customFormat="false" ht="15" hidden="false" customHeight="true" outlineLevel="0" collapsed="false">
      <c r="A2112" s="1" t="s">
        <v>2974</v>
      </c>
      <c r="B2112" s="1" t="s">
        <v>366</v>
      </c>
      <c r="C2112" s="1" t="s">
        <v>119</v>
      </c>
      <c r="D2112" s="1" t="s">
        <v>168</v>
      </c>
      <c r="E2112" s="1" t="s">
        <v>169</v>
      </c>
      <c r="F2112" s="1" t="s">
        <v>205</v>
      </c>
      <c r="G2112" s="1" t="s">
        <v>56</v>
      </c>
      <c r="H2112" s="1" t="s">
        <v>69</v>
      </c>
      <c r="I2112" s="1" t="s">
        <v>34</v>
      </c>
      <c r="J2112" s="1" t="s">
        <v>77</v>
      </c>
      <c r="K2112" s="1" t="s">
        <v>84</v>
      </c>
      <c r="L2112" s="1" t="s">
        <v>113</v>
      </c>
      <c r="M2112" s="1" t="s">
        <v>38</v>
      </c>
      <c r="N2112" s="1" t="n">
        <v>4999</v>
      </c>
      <c r="O2112" s="1" t="n">
        <v>10</v>
      </c>
      <c r="P2112" s="1" t="n">
        <v>499.9</v>
      </c>
      <c r="Q2112" s="1" t="n">
        <v>4499.1</v>
      </c>
      <c r="R2112" s="1" t="n">
        <v>809.84</v>
      </c>
      <c r="S2112" s="1" t="n">
        <v>3689.26</v>
      </c>
      <c r="T2112" s="1" t="n">
        <v>1482.44</v>
      </c>
      <c r="U2112" s="1" t="n">
        <v>2206.82</v>
      </c>
      <c r="V2112" s="1" t="n">
        <v>59.82</v>
      </c>
      <c r="W2112" s="1" t="s">
        <v>40</v>
      </c>
      <c r="Y2112" s="1" t="s">
        <v>40</v>
      </c>
      <c r="Z2112" s="1" t="n">
        <v>1</v>
      </c>
      <c r="AA2112" s="1" t="str">
        <f aca="false">TRIM(PROPER(F2112))</f>
        <v>New Delhi</v>
      </c>
      <c r="AB2112" s="1" t="str">
        <f aca="false">TRIM(PROPER(C2112))</f>
        <v>Simplilearn</v>
      </c>
      <c r="AC2112" s="1" t="str">
        <f aca="false">IF(O2112=0,"No Discount",IF(O2112&lt;=15,"Low (1-15%)",IF(O2112&lt;=30,"Medium (16-30%)","High (&gt;30%)")))</f>
        <v>Low (1-15%)</v>
      </c>
      <c r="AD2112" s="1" t="str">
        <f aca="false">IF(V2112&lt;0,"Loss Making",IF(V2112&lt;20,"Low Margin","Healthy Margin"))</f>
        <v>Healthy Margin</v>
      </c>
      <c r="AE2112" s="1" t="str">
        <f aca="false">TEXT(DATE(VALUE(RIGHT(B2112,4)),VALUE(MID(B2112,4,2)),VALUE(LEFT(B2112,2))),"MMM-YYYY")</f>
        <v>Apr-2023</v>
      </c>
      <c r="AF2112" s="1" t="n">
        <f aca="false">VALUE(RIGHT(B2112,4))</f>
        <v>2023</v>
      </c>
      <c r="AG2112" s="1" t="str">
        <f aca="false">CHOOSE(ROUNDUP(VALUE(MID(B2112,4,2))/3,0),"Q1","Q2","Q3","Q4")</f>
        <v>Q2</v>
      </c>
    </row>
    <row r="2113" customFormat="false" ht="15" hidden="false" customHeight="true" outlineLevel="0" collapsed="false">
      <c r="A2113" s="1" t="s">
        <v>2975</v>
      </c>
      <c r="B2113" s="1" t="s">
        <v>2086</v>
      </c>
      <c r="C2113" s="1" t="s">
        <v>119</v>
      </c>
      <c r="D2113" s="1" t="s">
        <v>143</v>
      </c>
      <c r="E2113" s="1" t="s">
        <v>144</v>
      </c>
      <c r="F2113" s="1" t="s">
        <v>89</v>
      </c>
      <c r="G2113" s="1" t="s">
        <v>68</v>
      </c>
      <c r="H2113" s="1" t="s">
        <v>33</v>
      </c>
      <c r="I2113" s="1" t="s">
        <v>83</v>
      </c>
      <c r="J2113" s="1" t="s">
        <v>131</v>
      </c>
      <c r="K2113" s="1" t="s">
        <v>104</v>
      </c>
      <c r="L2113" s="1" t="s">
        <v>136</v>
      </c>
      <c r="M2113" s="1" t="s">
        <v>62</v>
      </c>
      <c r="N2113" s="1" t="n">
        <v>12999</v>
      </c>
      <c r="O2113" s="1" t="n">
        <v>0</v>
      </c>
      <c r="P2113" s="1" t="n">
        <v>0</v>
      </c>
      <c r="Q2113" s="1" t="n">
        <v>12999</v>
      </c>
      <c r="R2113" s="1" t="n">
        <v>2339.82</v>
      </c>
      <c r="S2113" s="1" t="n">
        <v>10659.18</v>
      </c>
      <c r="T2113" s="1" t="n">
        <v>4232.11</v>
      </c>
      <c r="U2113" s="1" t="n">
        <v>6427.07</v>
      </c>
      <c r="V2113" s="1" t="n">
        <v>60.3</v>
      </c>
      <c r="W2113" s="1" t="s">
        <v>40</v>
      </c>
      <c r="Y2113" s="1" t="s">
        <v>40</v>
      </c>
      <c r="Z2113" s="1" t="n">
        <v>1</v>
      </c>
      <c r="AA2113" s="1" t="str">
        <f aca="false">TRIM(PROPER(F2113))</f>
        <v>Vadodara</v>
      </c>
      <c r="AB2113" s="1" t="str">
        <f aca="false">TRIM(PROPER(C2113))</f>
        <v>Simplilearn</v>
      </c>
      <c r="AC2113" s="1" t="str">
        <f aca="false">IF(O2113=0,"No Discount",IF(O2113&lt;=15,"Low (1-15%)",IF(O2113&lt;=30,"Medium (16-30%)","High (&gt;30%)")))</f>
        <v>No Discount</v>
      </c>
      <c r="AD2113" s="1" t="str">
        <f aca="false">IF(V2113&lt;0,"Loss Making",IF(V2113&lt;20,"Low Margin","Healthy Margin"))</f>
        <v>Healthy Margin</v>
      </c>
      <c r="AE2113" s="1" t="str">
        <f aca="false">TEXT(DATE(VALUE(RIGHT(B2113,4)),VALUE(MID(B2113,4,2)),VALUE(LEFT(B2113,2))),"MMM-YYYY")</f>
        <v>Oct-2024</v>
      </c>
      <c r="AF2113" s="1" t="n">
        <f aca="false">VALUE(RIGHT(B2113,4))</f>
        <v>2024</v>
      </c>
      <c r="AG2113" s="1" t="str">
        <f aca="false">CHOOSE(ROUNDUP(VALUE(MID(B2113,4,2))/3,0),"Q1","Q2","Q3","Q4")</f>
        <v>Q4</v>
      </c>
    </row>
    <row r="2114" customFormat="false" ht="15" hidden="false" customHeight="true" outlineLevel="0" collapsed="false">
      <c r="A2114" s="1" t="s">
        <v>2976</v>
      </c>
      <c r="B2114" s="1" t="s">
        <v>2977</v>
      </c>
      <c r="C2114" s="1" t="s">
        <v>43</v>
      </c>
      <c r="D2114" s="1" t="s">
        <v>143</v>
      </c>
      <c r="E2114" s="1" t="s">
        <v>159</v>
      </c>
      <c r="F2114" s="1" t="s">
        <v>75</v>
      </c>
      <c r="G2114" s="1" t="s">
        <v>76</v>
      </c>
      <c r="H2114" s="1" t="s">
        <v>69</v>
      </c>
      <c r="I2114" s="1" t="s">
        <v>34</v>
      </c>
      <c r="J2114" s="1" t="s">
        <v>59</v>
      </c>
      <c r="K2114" s="1" t="s">
        <v>48</v>
      </c>
      <c r="L2114" s="1" t="s">
        <v>37</v>
      </c>
      <c r="M2114" s="1" t="s">
        <v>62</v>
      </c>
      <c r="N2114" s="1" t="n">
        <v>24999</v>
      </c>
      <c r="O2114" s="1" t="n">
        <v>0</v>
      </c>
      <c r="P2114" s="1" t="n">
        <v>0</v>
      </c>
      <c r="Q2114" s="1" t="n">
        <v>24999</v>
      </c>
      <c r="R2114" s="1" t="n">
        <v>4499.82</v>
      </c>
      <c r="S2114" s="1" t="n">
        <v>20499.18</v>
      </c>
      <c r="T2114" s="1" t="n">
        <v>8870.44</v>
      </c>
      <c r="U2114" s="1" t="n">
        <v>11628.74</v>
      </c>
      <c r="V2114" s="1" t="n">
        <v>56.73</v>
      </c>
      <c r="W2114" s="1" t="s">
        <v>40</v>
      </c>
      <c r="Y2114" s="1" t="s">
        <v>40</v>
      </c>
      <c r="Z2114" s="1" t="n">
        <v>0</v>
      </c>
      <c r="AA2114" s="1" t="str">
        <f aca="false">TRIM(PROPER(F2114))</f>
        <v>Kolkata</v>
      </c>
      <c r="AB2114" s="1" t="str">
        <f aca="false">TRIM(PROPER(C2114))</f>
        <v>Meritnation</v>
      </c>
      <c r="AC2114" s="1" t="str">
        <f aca="false">IF(O2114=0,"No Discount",IF(O2114&lt;=15,"Low (1-15%)",IF(O2114&lt;=30,"Medium (16-30%)","High (&gt;30%)")))</f>
        <v>No Discount</v>
      </c>
      <c r="AD2114" s="1" t="str">
        <f aca="false">IF(V2114&lt;0,"Loss Making",IF(V2114&lt;20,"Low Margin","Healthy Margin"))</f>
        <v>Healthy Margin</v>
      </c>
      <c r="AE2114" s="1" t="str">
        <f aca="false">TEXT(DATE(VALUE(RIGHT(B2114,4)),VALUE(MID(B2114,4,2)),VALUE(LEFT(B2114,2))),"MMM-YYYY")</f>
        <v>Nov-2023</v>
      </c>
      <c r="AF2114" s="1" t="n">
        <f aca="false">VALUE(RIGHT(B2114,4))</f>
        <v>2023</v>
      </c>
      <c r="AG2114" s="1" t="str">
        <f aca="false">CHOOSE(ROUNDUP(VALUE(MID(B2114,4,2))/3,0),"Q1","Q2","Q3","Q4")</f>
        <v>Q4</v>
      </c>
    </row>
    <row r="2115" customFormat="false" ht="15" hidden="false" customHeight="true" outlineLevel="0" collapsed="false">
      <c r="A2115" s="1" t="s">
        <v>2978</v>
      </c>
      <c r="B2115" s="1" t="s">
        <v>2145</v>
      </c>
      <c r="C2115" s="1" t="s">
        <v>134</v>
      </c>
      <c r="D2115" s="1" t="s">
        <v>44</v>
      </c>
      <c r="E2115" s="1" t="s">
        <v>66</v>
      </c>
      <c r="F2115" s="1" t="s">
        <v>46</v>
      </c>
      <c r="G2115" s="1" t="s">
        <v>47</v>
      </c>
      <c r="H2115" s="1" t="s">
        <v>33</v>
      </c>
      <c r="I2115" s="1" t="s">
        <v>34</v>
      </c>
      <c r="J2115" s="1" t="s">
        <v>131</v>
      </c>
      <c r="K2115" s="1" t="s">
        <v>90</v>
      </c>
      <c r="L2115" s="1" t="s">
        <v>49</v>
      </c>
      <c r="M2115" s="1" t="s">
        <v>50</v>
      </c>
      <c r="N2115" s="1" t="n">
        <v>12999</v>
      </c>
      <c r="O2115" s="1" t="n">
        <v>0</v>
      </c>
      <c r="P2115" s="1" t="n">
        <v>0</v>
      </c>
      <c r="Q2115" s="1" t="n">
        <v>12999</v>
      </c>
      <c r="R2115" s="1" t="n">
        <v>2339.82</v>
      </c>
      <c r="S2115" s="1" t="n">
        <v>10659.18</v>
      </c>
      <c r="T2115" s="1" t="n">
        <v>4610.17</v>
      </c>
      <c r="U2115" s="1" t="n">
        <v>6049.01</v>
      </c>
      <c r="V2115" s="1" t="n">
        <v>56.75</v>
      </c>
      <c r="W2115" s="1" t="s">
        <v>39</v>
      </c>
      <c r="X2115" s="1" t="n">
        <v>3.6</v>
      </c>
      <c r="Y2115" s="1" t="s">
        <v>40</v>
      </c>
      <c r="Z2115" s="1" t="n">
        <v>0</v>
      </c>
      <c r="AA2115" s="1" t="str">
        <f aca="false">TRIM(PROPER(F2115))</f>
        <v>Mangaluru</v>
      </c>
      <c r="AB2115" s="1" t="str">
        <f aca="false">TRIM(PROPER(C2115))</f>
        <v>Doubtnut</v>
      </c>
      <c r="AC2115" s="1" t="str">
        <f aca="false">IF(O2115=0,"No Discount",IF(O2115&lt;=15,"Low (1-15%)",IF(O2115&lt;=30,"Medium (16-30%)","High (&gt;30%)")))</f>
        <v>No Discount</v>
      </c>
      <c r="AD2115" s="1" t="str">
        <f aca="false">IF(V2115&lt;0,"Loss Making",IF(V2115&lt;20,"Low Margin","Healthy Margin"))</f>
        <v>Healthy Margin</v>
      </c>
      <c r="AE2115" s="1" t="str">
        <f aca="false">TEXT(DATE(VALUE(RIGHT(B2115,4)),VALUE(MID(B2115,4,2)),VALUE(LEFT(B2115,2))),"MMM-YYYY")</f>
        <v>Aug-2023</v>
      </c>
      <c r="AF2115" s="1" t="n">
        <f aca="false">VALUE(RIGHT(B2115,4))</f>
        <v>2023</v>
      </c>
      <c r="AG2115" s="1" t="str">
        <f aca="false">CHOOSE(ROUNDUP(VALUE(MID(B2115,4,2))/3,0),"Q1","Q2","Q3","Q4")</f>
        <v>Q3</v>
      </c>
    </row>
    <row r="2116" customFormat="false" ht="15" hidden="false" customHeight="true" outlineLevel="0" collapsed="false">
      <c r="A2116" s="1" t="s">
        <v>2979</v>
      </c>
      <c r="B2116" s="1" t="s">
        <v>1944</v>
      </c>
      <c r="C2116" s="1" t="s">
        <v>93</v>
      </c>
      <c r="D2116" s="1" t="s">
        <v>53</v>
      </c>
      <c r="E2116" s="1" t="s">
        <v>216</v>
      </c>
      <c r="F2116" s="1" t="s">
        <v>67</v>
      </c>
      <c r="G2116" s="1" t="s">
        <v>68</v>
      </c>
      <c r="H2116" s="1" t="s">
        <v>69</v>
      </c>
      <c r="I2116" s="1" t="s">
        <v>34</v>
      </c>
      <c r="J2116" s="1" t="s">
        <v>35</v>
      </c>
      <c r="K2116" s="1" t="s">
        <v>84</v>
      </c>
      <c r="L2116" s="1" t="s">
        <v>85</v>
      </c>
      <c r="M2116" s="1" t="s">
        <v>62</v>
      </c>
      <c r="N2116" s="1" t="n">
        <v>7499</v>
      </c>
      <c r="O2116" s="1" t="n">
        <v>25</v>
      </c>
      <c r="P2116" s="1" t="n">
        <v>1874.75</v>
      </c>
      <c r="Q2116" s="1" t="n">
        <v>5624.25</v>
      </c>
      <c r="R2116" s="1" t="n">
        <v>1012.37</v>
      </c>
      <c r="S2116" s="1" t="n">
        <v>4611.88</v>
      </c>
      <c r="T2116" s="1" t="n">
        <v>2031.54</v>
      </c>
      <c r="U2116" s="1" t="n">
        <v>2580.34</v>
      </c>
      <c r="V2116" s="1" t="n">
        <v>55.95</v>
      </c>
      <c r="W2116" s="1" t="s">
        <v>40</v>
      </c>
      <c r="Y2116" s="1" t="s">
        <v>40</v>
      </c>
      <c r="Z2116" s="1" t="n">
        <v>2</v>
      </c>
      <c r="AA2116" s="1" t="str">
        <f aca="false">TRIM(PROPER(F2116))</f>
        <v>Ahmedabad</v>
      </c>
      <c r="AB2116" s="1" t="str">
        <f aca="false">TRIM(PROPER(C2116))</f>
        <v>Upgrad</v>
      </c>
      <c r="AC2116" s="1" t="str">
        <f aca="false">IF(O2116=0,"No Discount",IF(O2116&lt;=15,"Low (1-15%)",IF(O2116&lt;=30,"Medium (16-30%)","High (&gt;30%)")))</f>
        <v>Medium (16-30%)</v>
      </c>
      <c r="AD2116" s="1" t="str">
        <f aca="false">IF(V2116&lt;0,"Loss Making",IF(V2116&lt;20,"Low Margin","Healthy Margin"))</f>
        <v>Healthy Margin</v>
      </c>
      <c r="AE2116" s="1" t="str">
        <f aca="false">TEXT(DATE(VALUE(RIGHT(B2116,4)),VALUE(MID(B2116,4,2)),VALUE(LEFT(B2116,2))),"MMM-YYYY")</f>
        <v>Jul-2024</v>
      </c>
      <c r="AF2116" s="1" t="n">
        <f aca="false">VALUE(RIGHT(B2116,4))</f>
        <v>2024</v>
      </c>
      <c r="AG2116" s="1" t="str">
        <f aca="false">CHOOSE(ROUNDUP(VALUE(MID(B2116,4,2))/3,0),"Q1","Q2","Q3","Q4")</f>
        <v>Q3</v>
      </c>
    </row>
    <row r="2117" customFormat="false" ht="15" hidden="false" customHeight="true" outlineLevel="0" collapsed="false">
      <c r="A2117" s="1" t="s">
        <v>2980</v>
      </c>
      <c r="B2117" s="1" t="s">
        <v>1023</v>
      </c>
      <c r="C2117" s="1" t="s">
        <v>119</v>
      </c>
      <c r="D2117" s="1" t="s">
        <v>94</v>
      </c>
      <c r="E2117" s="1" t="s">
        <v>101</v>
      </c>
      <c r="F2117" s="1" t="s">
        <v>125</v>
      </c>
      <c r="G2117" s="1" t="s">
        <v>108</v>
      </c>
      <c r="H2117" s="1" t="s">
        <v>69</v>
      </c>
      <c r="I2117" s="1" t="s">
        <v>83</v>
      </c>
      <c r="J2117" s="1" t="s">
        <v>70</v>
      </c>
      <c r="K2117" s="1" t="s">
        <v>60</v>
      </c>
      <c r="L2117" s="1" t="s">
        <v>136</v>
      </c>
      <c r="M2117" s="1" t="s">
        <v>50</v>
      </c>
      <c r="N2117" s="1" t="n">
        <v>14999</v>
      </c>
      <c r="O2117" s="1" t="n">
        <v>30</v>
      </c>
      <c r="P2117" s="1" t="n">
        <v>4499.7</v>
      </c>
      <c r="Q2117" s="1" t="n">
        <v>10499.3</v>
      </c>
      <c r="R2117" s="1" t="n">
        <v>1889.87</v>
      </c>
      <c r="S2117" s="1" t="n">
        <v>8609.43</v>
      </c>
      <c r="T2117" s="1" t="n">
        <v>3399.82</v>
      </c>
      <c r="U2117" s="1" t="n">
        <v>5209.61</v>
      </c>
      <c r="V2117" s="1" t="n">
        <v>60.51</v>
      </c>
      <c r="W2117" s="1" t="s">
        <v>39</v>
      </c>
      <c r="X2117" s="1" t="n">
        <v>3.9</v>
      </c>
      <c r="Y2117" s="1" t="s">
        <v>40</v>
      </c>
      <c r="Z2117" s="1" t="n">
        <v>0</v>
      </c>
      <c r="AA2117" s="1" t="str">
        <f aca="false">TRIM(PROPER(F2117))</f>
        <v>Chennai</v>
      </c>
      <c r="AB2117" s="1" t="str">
        <f aca="false">TRIM(PROPER(C2117))</f>
        <v>Simplilearn</v>
      </c>
      <c r="AC2117" s="1" t="str">
        <f aca="false">IF(O2117=0,"No Discount",IF(O2117&lt;=15,"Low (1-15%)",IF(O2117&lt;=30,"Medium (16-30%)","High (&gt;30%)")))</f>
        <v>Medium (16-30%)</v>
      </c>
      <c r="AD2117" s="1" t="str">
        <f aca="false">IF(V2117&lt;0,"Loss Making",IF(V2117&lt;20,"Low Margin","Healthy Margin"))</f>
        <v>Healthy Margin</v>
      </c>
      <c r="AE2117" s="1" t="str">
        <f aca="false">TEXT(DATE(VALUE(RIGHT(B2117,4)),VALUE(MID(B2117,4,2)),VALUE(LEFT(B2117,2))),"MMM-YYYY")</f>
        <v>Sep-2023</v>
      </c>
      <c r="AF2117" s="1" t="n">
        <f aca="false">VALUE(RIGHT(B2117,4))</f>
        <v>2023</v>
      </c>
      <c r="AG2117" s="1" t="str">
        <f aca="false">CHOOSE(ROUNDUP(VALUE(MID(B2117,4,2))/3,0),"Q1","Q2","Q3","Q4")</f>
        <v>Q3</v>
      </c>
    </row>
    <row r="2118" customFormat="false" ht="15" hidden="false" customHeight="true" outlineLevel="0" collapsed="false">
      <c r="A2118" s="1" t="s">
        <v>2981</v>
      </c>
      <c r="B2118" s="1" t="s">
        <v>874</v>
      </c>
      <c r="C2118" s="1" t="s">
        <v>178</v>
      </c>
      <c r="D2118" s="1" t="s">
        <v>53</v>
      </c>
      <c r="E2118" s="1" t="s">
        <v>216</v>
      </c>
      <c r="F2118" s="1" t="s">
        <v>125</v>
      </c>
      <c r="G2118" s="1" t="s">
        <v>108</v>
      </c>
      <c r="H2118" s="1" t="s">
        <v>69</v>
      </c>
      <c r="I2118" s="1" t="s">
        <v>34</v>
      </c>
      <c r="J2118" s="1" t="s">
        <v>70</v>
      </c>
      <c r="K2118" s="1" t="s">
        <v>71</v>
      </c>
      <c r="L2118" s="1" t="s">
        <v>37</v>
      </c>
      <c r="M2118" s="1" t="s">
        <v>50</v>
      </c>
      <c r="N2118" s="1" t="n">
        <v>7499</v>
      </c>
      <c r="O2118" s="1" t="n">
        <v>0</v>
      </c>
      <c r="P2118" s="1" t="n">
        <v>0</v>
      </c>
      <c r="Q2118" s="1" t="n">
        <v>7499</v>
      </c>
      <c r="R2118" s="1" t="n">
        <v>1349.82</v>
      </c>
      <c r="S2118" s="1" t="n">
        <v>6149.18</v>
      </c>
      <c r="T2118" s="1" t="n">
        <v>2806.56</v>
      </c>
      <c r="U2118" s="1" t="n">
        <v>3342.62</v>
      </c>
      <c r="V2118" s="1" t="n">
        <v>54.36</v>
      </c>
      <c r="W2118" s="1" t="s">
        <v>39</v>
      </c>
      <c r="Y2118" s="1" t="s">
        <v>40</v>
      </c>
      <c r="Z2118" s="1" t="n">
        <v>1</v>
      </c>
      <c r="AA2118" s="1" t="str">
        <f aca="false">TRIM(PROPER(F2118))</f>
        <v>Chennai</v>
      </c>
      <c r="AB2118" s="1" t="str">
        <f aca="false">TRIM(PROPER(C2118))</f>
        <v>Leverage Edu</v>
      </c>
      <c r="AC2118" s="1" t="str">
        <f aca="false">IF(O2118=0,"No Discount",IF(O2118&lt;=15,"Low (1-15%)",IF(O2118&lt;=30,"Medium (16-30%)","High (&gt;30%)")))</f>
        <v>No Discount</v>
      </c>
      <c r="AD2118" s="1" t="str">
        <f aca="false">IF(V2118&lt;0,"Loss Making",IF(V2118&lt;20,"Low Margin","Healthy Margin"))</f>
        <v>Healthy Margin</v>
      </c>
      <c r="AE2118" s="1" t="str">
        <f aca="false">TEXT(DATE(VALUE(RIGHT(B2118,4)),VALUE(MID(B2118,4,2)),VALUE(LEFT(B2118,2))),"MMM-YYYY")</f>
        <v>Sep-2023</v>
      </c>
      <c r="AF2118" s="1" t="n">
        <f aca="false">VALUE(RIGHT(B2118,4))</f>
        <v>2023</v>
      </c>
      <c r="AG2118" s="1" t="str">
        <f aca="false">CHOOSE(ROUNDUP(VALUE(MID(B2118,4,2))/3,0),"Q1","Q2","Q3","Q4")</f>
        <v>Q3</v>
      </c>
    </row>
    <row r="2119" customFormat="false" ht="15" hidden="false" customHeight="true" outlineLevel="0" collapsed="false">
      <c r="A2119" s="1" t="s">
        <v>2982</v>
      </c>
      <c r="B2119" s="1" t="s">
        <v>1077</v>
      </c>
      <c r="C2119" s="1" t="s">
        <v>28</v>
      </c>
      <c r="D2119" s="1" t="s">
        <v>29</v>
      </c>
      <c r="E2119" s="1" t="s">
        <v>129</v>
      </c>
      <c r="F2119" s="1" t="s">
        <v>55</v>
      </c>
      <c r="G2119" s="1" t="s">
        <v>56</v>
      </c>
      <c r="H2119" s="1" t="s">
        <v>57</v>
      </c>
      <c r="I2119" s="1" t="s">
        <v>83</v>
      </c>
      <c r="J2119" s="1" t="s">
        <v>59</v>
      </c>
      <c r="K2119" s="1" t="s">
        <v>90</v>
      </c>
      <c r="L2119" s="1" t="s">
        <v>113</v>
      </c>
      <c r="M2119" s="1" t="s">
        <v>38</v>
      </c>
      <c r="N2119" s="1" t="n">
        <v>29999</v>
      </c>
      <c r="O2119" s="1" t="n">
        <v>20</v>
      </c>
      <c r="P2119" s="1" t="n">
        <v>5999.8</v>
      </c>
      <c r="Q2119" s="1" t="n">
        <v>23999.2</v>
      </c>
      <c r="R2119" s="1" t="n">
        <v>4319.86</v>
      </c>
      <c r="S2119" s="1" t="n">
        <v>19679.34</v>
      </c>
      <c r="T2119" s="1" t="n">
        <v>7895.85</v>
      </c>
      <c r="U2119" s="1" t="n">
        <v>11783.49</v>
      </c>
      <c r="V2119" s="1" t="n">
        <v>59.88</v>
      </c>
      <c r="W2119" s="1" t="s">
        <v>39</v>
      </c>
      <c r="X2119" s="1" t="n">
        <v>4.2</v>
      </c>
      <c r="Y2119" s="1" t="s">
        <v>40</v>
      </c>
      <c r="Z2119" s="1" t="n">
        <v>0</v>
      </c>
      <c r="AA2119" s="1" t="str">
        <f aca="false">TRIM(PROPER(F2119))</f>
        <v>Ghaziabad</v>
      </c>
      <c r="AB2119" s="1" t="str">
        <f aca="false">TRIM(PROPER(C2119))</f>
        <v>Embibe</v>
      </c>
      <c r="AC2119" s="1" t="str">
        <f aca="false">IF(O2119=0,"No Discount",IF(O2119&lt;=15,"Low (1-15%)",IF(O2119&lt;=30,"Medium (16-30%)","High (&gt;30%)")))</f>
        <v>Medium (16-30%)</v>
      </c>
      <c r="AD2119" s="1" t="str">
        <f aca="false">IF(V2119&lt;0,"Loss Making",IF(V2119&lt;20,"Low Margin","Healthy Margin"))</f>
        <v>Healthy Margin</v>
      </c>
      <c r="AE2119" s="1" t="str">
        <f aca="false">TEXT(DATE(VALUE(RIGHT(B2119,4)),VALUE(MID(B2119,4,2)),VALUE(LEFT(B2119,2))),"MMM-YYYY")</f>
        <v>Jan-2023</v>
      </c>
      <c r="AF2119" s="1" t="n">
        <f aca="false">VALUE(RIGHT(B2119,4))</f>
        <v>2023</v>
      </c>
      <c r="AG2119" s="1" t="str">
        <f aca="false">CHOOSE(ROUNDUP(VALUE(MID(B2119,4,2))/3,0),"Q1","Q2","Q3","Q4")</f>
        <v>Q1</v>
      </c>
    </row>
    <row r="2120" customFormat="false" ht="15" hidden="false" customHeight="true" outlineLevel="0" collapsed="false">
      <c r="A2120" s="1" t="s">
        <v>2983</v>
      </c>
      <c r="B2120" s="1" t="s">
        <v>477</v>
      </c>
      <c r="C2120" s="1" t="s">
        <v>65</v>
      </c>
      <c r="D2120" s="1" t="s">
        <v>29</v>
      </c>
      <c r="E2120" s="1" t="s">
        <v>305</v>
      </c>
      <c r="F2120" s="1" t="s">
        <v>150</v>
      </c>
      <c r="G2120" s="1" t="s">
        <v>32</v>
      </c>
      <c r="H2120" s="1" t="s">
        <v>57</v>
      </c>
      <c r="I2120" s="1" t="s">
        <v>58</v>
      </c>
      <c r="J2120" s="1" t="s">
        <v>59</v>
      </c>
      <c r="K2120" s="1" t="s">
        <v>60</v>
      </c>
      <c r="L2120" s="1" t="s">
        <v>113</v>
      </c>
      <c r="M2120" s="1" t="s">
        <v>38</v>
      </c>
      <c r="N2120" s="1" t="n">
        <v>24999</v>
      </c>
      <c r="O2120" s="1" t="n">
        <v>50</v>
      </c>
      <c r="P2120" s="1" t="n">
        <v>12499.5</v>
      </c>
      <c r="Q2120" s="1" t="n">
        <v>12499.5</v>
      </c>
      <c r="R2120" s="1" t="n">
        <v>2249.91</v>
      </c>
      <c r="S2120" s="1" t="n">
        <v>10249.59</v>
      </c>
      <c r="T2120" s="1" t="n">
        <v>5073.63</v>
      </c>
      <c r="U2120" s="1" t="n">
        <v>5175.96</v>
      </c>
      <c r="V2120" s="1" t="n">
        <v>50.5</v>
      </c>
      <c r="W2120" s="1" t="s">
        <v>40</v>
      </c>
      <c r="Y2120" s="1" t="s">
        <v>40</v>
      </c>
      <c r="Z2120" s="1" t="n">
        <v>0</v>
      </c>
      <c r="AA2120" s="1" t="str">
        <f aca="false">TRIM(PROPER(F2120))</f>
        <v>Jaipur</v>
      </c>
      <c r="AB2120" s="1" t="str">
        <f aca="false">TRIM(PROPER(C2120))</f>
        <v>Toppr</v>
      </c>
      <c r="AC2120" s="1" t="str">
        <f aca="false">IF(O2120=0,"No Discount",IF(O2120&lt;=15,"Low (1-15%)",IF(O2120&lt;=30,"Medium (16-30%)","High (&gt;30%)")))</f>
        <v>High (&gt;30%)</v>
      </c>
      <c r="AD2120" s="1" t="str">
        <f aca="false">IF(V2120&lt;0,"Loss Making",IF(V2120&lt;20,"Low Margin","Healthy Margin"))</f>
        <v>Healthy Margin</v>
      </c>
      <c r="AE2120" s="1" t="str">
        <f aca="false">TEXT(DATE(VALUE(RIGHT(B2120,4)),VALUE(MID(B2120,4,2)),VALUE(LEFT(B2120,2))),"MMM-YYYY")</f>
        <v>Jan-2024</v>
      </c>
      <c r="AF2120" s="1" t="n">
        <f aca="false">VALUE(RIGHT(B2120,4))</f>
        <v>2024</v>
      </c>
      <c r="AG2120" s="1" t="str">
        <f aca="false">CHOOSE(ROUNDUP(VALUE(MID(B2120,4,2))/3,0),"Q1","Q2","Q3","Q4")</f>
        <v>Q1</v>
      </c>
    </row>
    <row r="2121" customFormat="false" ht="15" hidden="false" customHeight="true" outlineLevel="0" collapsed="false">
      <c r="A2121" s="1" t="s">
        <v>2984</v>
      </c>
      <c r="B2121" s="1" t="s">
        <v>118</v>
      </c>
      <c r="C2121" s="1" t="s">
        <v>43</v>
      </c>
      <c r="D2121" s="1" t="s">
        <v>29</v>
      </c>
      <c r="E2121" s="1" t="s">
        <v>182</v>
      </c>
      <c r="F2121" s="1" t="s">
        <v>31</v>
      </c>
      <c r="G2121" s="1" t="s">
        <v>32</v>
      </c>
      <c r="H2121" s="1" t="s">
        <v>33</v>
      </c>
      <c r="I2121" s="1" t="s">
        <v>83</v>
      </c>
      <c r="J2121" s="1" t="s">
        <v>35</v>
      </c>
      <c r="K2121" s="1" t="s">
        <v>48</v>
      </c>
      <c r="L2121" s="1" t="s">
        <v>113</v>
      </c>
      <c r="M2121" s="1" t="s">
        <v>62</v>
      </c>
      <c r="N2121" s="1" t="n">
        <v>34999</v>
      </c>
      <c r="O2121" s="1" t="n">
        <v>40</v>
      </c>
      <c r="P2121" s="1" t="n">
        <v>13999.6</v>
      </c>
      <c r="Q2121" s="1" t="n">
        <v>20999.4</v>
      </c>
      <c r="R2121" s="1" t="n">
        <v>3779.89</v>
      </c>
      <c r="S2121" s="1" t="n">
        <v>17219.51</v>
      </c>
      <c r="T2121" s="1" t="n">
        <v>9430.6</v>
      </c>
      <c r="U2121" s="1" t="n">
        <v>7788.91</v>
      </c>
      <c r="V2121" s="1" t="n">
        <v>45.23</v>
      </c>
      <c r="W2121" s="1" t="s">
        <v>39</v>
      </c>
      <c r="X2121" s="1" t="n">
        <v>4</v>
      </c>
      <c r="Y2121" s="1" t="s">
        <v>40</v>
      </c>
      <c r="Z2121" s="1" t="n">
        <v>0</v>
      </c>
      <c r="AA2121" s="1" t="str">
        <f aca="false">TRIM(PROPER(F2121))</f>
        <v>Jodhpur</v>
      </c>
      <c r="AB2121" s="1" t="str">
        <f aca="false">TRIM(PROPER(C2121))</f>
        <v>Meritnation</v>
      </c>
      <c r="AC2121" s="1" t="str">
        <f aca="false">IF(O2121=0,"No Discount",IF(O2121&lt;=15,"Low (1-15%)",IF(O2121&lt;=30,"Medium (16-30%)","High (&gt;30%)")))</f>
        <v>High (&gt;30%)</v>
      </c>
      <c r="AD2121" s="1" t="str">
        <f aca="false">IF(V2121&lt;0,"Loss Making",IF(V2121&lt;20,"Low Margin","Healthy Margin"))</f>
        <v>Healthy Margin</v>
      </c>
      <c r="AE2121" s="1" t="str">
        <f aca="false">TEXT(DATE(VALUE(RIGHT(B2121,4)),VALUE(MID(B2121,4,2)),VALUE(LEFT(B2121,2))),"MMM-YYYY")</f>
        <v>Oct-2023</v>
      </c>
      <c r="AF2121" s="1" t="n">
        <f aca="false">VALUE(RIGHT(B2121,4))</f>
        <v>2023</v>
      </c>
      <c r="AG2121" s="1" t="str">
        <f aca="false">CHOOSE(ROUNDUP(VALUE(MID(B2121,4,2))/3,0),"Q1","Q2","Q3","Q4")</f>
        <v>Q4</v>
      </c>
    </row>
    <row r="2122" customFormat="false" ht="15" hidden="false" customHeight="true" outlineLevel="0" collapsed="false">
      <c r="A2122" s="1" t="s">
        <v>2985</v>
      </c>
      <c r="B2122" s="1" t="s">
        <v>959</v>
      </c>
      <c r="C2122" s="1" t="s">
        <v>74</v>
      </c>
      <c r="D2122" s="1" t="s">
        <v>44</v>
      </c>
      <c r="E2122" s="1" t="s">
        <v>66</v>
      </c>
      <c r="F2122" s="1" t="s">
        <v>31</v>
      </c>
      <c r="G2122" s="1" t="s">
        <v>32</v>
      </c>
      <c r="H2122" s="1" t="s">
        <v>33</v>
      </c>
      <c r="I2122" s="1" t="s">
        <v>58</v>
      </c>
      <c r="J2122" s="1" t="s">
        <v>131</v>
      </c>
      <c r="K2122" s="1" t="s">
        <v>112</v>
      </c>
      <c r="L2122" s="1" t="s">
        <v>136</v>
      </c>
      <c r="M2122" s="1" t="s">
        <v>38</v>
      </c>
      <c r="N2122" s="1" t="n">
        <v>12999</v>
      </c>
      <c r="O2122" s="1" t="n">
        <v>0</v>
      </c>
      <c r="P2122" s="1" t="n">
        <v>0</v>
      </c>
      <c r="Q2122" s="1" t="n">
        <v>12999</v>
      </c>
      <c r="R2122" s="1" t="n">
        <v>2339.82</v>
      </c>
      <c r="S2122" s="1" t="n">
        <v>10659.18</v>
      </c>
      <c r="T2122" s="1" t="n">
        <v>4516.25</v>
      </c>
      <c r="U2122" s="1" t="n">
        <v>6142.93</v>
      </c>
      <c r="V2122" s="1" t="n">
        <v>57.63</v>
      </c>
      <c r="W2122" s="1" t="s">
        <v>39</v>
      </c>
      <c r="X2122" s="1" t="n">
        <v>3.8</v>
      </c>
      <c r="Y2122" s="1" t="s">
        <v>40</v>
      </c>
      <c r="Z2122" s="1" t="n">
        <v>0</v>
      </c>
      <c r="AA2122" s="1" t="str">
        <f aca="false">TRIM(PROPER(F2122))</f>
        <v>Jodhpur</v>
      </c>
      <c r="AB2122" s="1" t="str">
        <f aca="false">TRIM(PROPER(C2122))</f>
        <v>Vedantu</v>
      </c>
      <c r="AC2122" s="1" t="str">
        <f aca="false">IF(O2122=0,"No Discount",IF(O2122&lt;=15,"Low (1-15%)",IF(O2122&lt;=30,"Medium (16-30%)","High (&gt;30%)")))</f>
        <v>No Discount</v>
      </c>
      <c r="AD2122" s="1" t="str">
        <f aca="false">IF(V2122&lt;0,"Loss Making",IF(V2122&lt;20,"Low Margin","Healthy Margin"))</f>
        <v>Healthy Margin</v>
      </c>
      <c r="AE2122" s="1" t="str">
        <f aca="false">TEXT(DATE(VALUE(RIGHT(B2122,4)),VALUE(MID(B2122,4,2)),VALUE(LEFT(B2122,2))),"MMM-YYYY")</f>
        <v>May-2023</v>
      </c>
      <c r="AF2122" s="1" t="n">
        <f aca="false">VALUE(RIGHT(B2122,4))</f>
        <v>2023</v>
      </c>
      <c r="AG2122" s="1" t="str">
        <f aca="false">CHOOSE(ROUNDUP(VALUE(MID(B2122,4,2))/3,0),"Q1","Q2","Q3","Q4")</f>
        <v>Q2</v>
      </c>
    </row>
    <row r="2123" customFormat="false" ht="15" hidden="false" customHeight="true" outlineLevel="0" collapsed="false">
      <c r="A2123" s="1" t="s">
        <v>2986</v>
      </c>
      <c r="B2123" s="1" t="s">
        <v>2987</v>
      </c>
      <c r="C2123" s="1" t="s">
        <v>100</v>
      </c>
      <c r="D2123" s="1" t="s">
        <v>168</v>
      </c>
      <c r="E2123" s="1" t="s">
        <v>197</v>
      </c>
      <c r="F2123" s="1" t="s">
        <v>205</v>
      </c>
      <c r="G2123" s="1" t="s">
        <v>56</v>
      </c>
      <c r="H2123" s="1" t="s">
        <v>69</v>
      </c>
      <c r="I2123" s="1" t="s">
        <v>34</v>
      </c>
      <c r="J2123" s="1" t="s">
        <v>131</v>
      </c>
      <c r="K2123" s="1" t="s">
        <v>112</v>
      </c>
      <c r="L2123" s="1" t="s">
        <v>49</v>
      </c>
      <c r="M2123" s="1" t="s">
        <v>62</v>
      </c>
      <c r="N2123" s="1" t="n">
        <v>8499</v>
      </c>
      <c r="O2123" s="1" t="n">
        <v>50</v>
      </c>
      <c r="P2123" s="1" t="n">
        <v>4249.5</v>
      </c>
      <c r="Q2123" s="1" t="n">
        <v>4249.5</v>
      </c>
      <c r="R2123" s="1" t="n">
        <v>764.91</v>
      </c>
      <c r="S2123" s="1" t="n">
        <v>3484.59</v>
      </c>
      <c r="T2123" s="1" t="n">
        <v>2060.44</v>
      </c>
      <c r="U2123" s="1" t="n">
        <v>1424.15</v>
      </c>
      <c r="V2123" s="1" t="n">
        <v>40.87</v>
      </c>
      <c r="W2123" s="1" t="s">
        <v>39</v>
      </c>
      <c r="X2123" s="1" t="n">
        <v>3.1</v>
      </c>
      <c r="Y2123" s="1" t="s">
        <v>40</v>
      </c>
      <c r="Z2123" s="1" t="n">
        <v>0</v>
      </c>
      <c r="AA2123" s="1" t="str">
        <f aca="false">TRIM(PROPER(F2123))</f>
        <v>New Delhi</v>
      </c>
      <c r="AB2123" s="1" t="str">
        <f aca="false">TRIM(PROPER(C2123))</f>
        <v>Physics Wallah</v>
      </c>
      <c r="AC2123" s="1" t="str">
        <f aca="false">IF(O2123=0,"No Discount",IF(O2123&lt;=15,"Low (1-15%)",IF(O2123&lt;=30,"Medium (16-30%)","High (&gt;30%)")))</f>
        <v>High (&gt;30%)</v>
      </c>
      <c r="AD2123" s="1" t="str">
        <f aca="false">IF(V2123&lt;0,"Loss Making",IF(V2123&lt;20,"Low Margin","Healthy Margin"))</f>
        <v>Healthy Margin</v>
      </c>
      <c r="AE2123" s="1" t="str">
        <f aca="false">TEXT(DATE(VALUE(RIGHT(B2123,4)),VALUE(MID(B2123,4,2)),VALUE(LEFT(B2123,2))),"MMM-YYYY")</f>
        <v>Feb-2023</v>
      </c>
      <c r="AF2123" s="1" t="n">
        <f aca="false">VALUE(RIGHT(B2123,4))</f>
        <v>2023</v>
      </c>
      <c r="AG2123" s="1" t="str">
        <f aca="false">CHOOSE(ROUNDUP(VALUE(MID(B2123,4,2))/3,0),"Q1","Q2","Q3","Q4")</f>
        <v>Q1</v>
      </c>
    </row>
    <row r="2124" customFormat="false" ht="15" hidden="false" customHeight="true" outlineLevel="0" collapsed="false">
      <c r="A2124" s="1" t="s">
        <v>2988</v>
      </c>
      <c r="B2124" s="1" t="s">
        <v>307</v>
      </c>
      <c r="C2124" s="1" t="s">
        <v>93</v>
      </c>
      <c r="D2124" s="1" t="s">
        <v>44</v>
      </c>
      <c r="E2124" s="1" t="s">
        <v>221</v>
      </c>
      <c r="F2124" s="1" t="s">
        <v>211</v>
      </c>
      <c r="G2124" s="1" t="s">
        <v>56</v>
      </c>
      <c r="H2124" s="1" t="s">
        <v>69</v>
      </c>
      <c r="I2124" s="1" t="s">
        <v>58</v>
      </c>
      <c r="J2124" s="1" t="s">
        <v>70</v>
      </c>
      <c r="K2124" s="1" t="s">
        <v>71</v>
      </c>
      <c r="L2124" s="1" t="s">
        <v>113</v>
      </c>
      <c r="M2124" s="1" t="s">
        <v>38</v>
      </c>
      <c r="N2124" s="1" t="n">
        <v>16999</v>
      </c>
      <c r="O2124" s="1" t="n">
        <v>10</v>
      </c>
      <c r="P2124" s="1" t="n">
        <v>1699.9</v>
      </c>
      <c r="Q2124" s="1" t="n">
        <v>15299.1</v>
      </c>
      <c r="R2124" s="1" t="n">
        <v>2753.84</v>
      </c>
      <c r="S2124" s="1" t="n">
        <v>12545.26</v>
      </c>
      <c r="T2124" s="1" t="n">
        <v>4649.22</v>
      </c>
      <c r="U2124" s="1" t="n">
        <v>7896.04</v>
      </c>
      <c r="V2124" s="1" t="n">
        <v>62.94</v>
      </c>
      <c r="W2124" s="1" t="s">
        <v>40</v>
      </c>
      <c r="Y2124" s="1" t="s">
        <v>40</v>
      </c>
      <c r="Z2124" s="1" t="n">
        <v>0</v>
      </c>
      <c r="AA2124" s="1" t="str">
        <f aca="false">TRIM(PROPER(F2124))</f>
        <v>Noida</v>
      </c>
      <c r="AB2124" s="1" t="str">
        <f aca="false">TRIM(PROPER(C2124))</f>
        <v>Upgrad</v>
      </c>
      <c r="AC2124" s="1" t="str">
        <f aca="false">IF(O2124=0,"No Discount",IF(O2124&lt;=15,"Low (1-15%)",IF(O2124&lt;=30,"Medium (16-30%)","High (&gt;30%)")))</f>
        <v>Low (1-15%)</v>
      </c>
      <c r="AD2124" s="1" t="str">
        <f aca="false">IF(V2124&lt;0,"Loss Making",IF(V2124&lt;20,"Low Margin","Healthy Margin"))</f>
        <v>Healthy Margin</v>
      </c>
      <c r="AE2124" s="1" t="str">
        <f aca="false">TEXT(DATE(VALUE(RIGHT(B2124,4)),VALUE(MID(B2124,4,2)),VALUE(LEFT(B2124,2))),"MMM-YYYY")</f>
        <v>Oct-2023</v>
      </c>
      <c r="AF2124" s="1" t="n">
        <f aca="false">VALUE(RIGHT(B2124,4))</f>
        <v>2023</v>
      </c>
      <c r="AG2124" s="1" t="str">
        <f aca="false">CHOOSE(ROUNDUP(VALUE(MID(B2124,4,2))/3,0),"Q1","Q2","Q3","Q4")</f>
        <v>Q4</v>
      </c>
    </row>
    <row r="2125" customFormat="false" ht="15" hidden="false" customHeight="true" outlineLevel="0" collapsed="false">
      <c r="A2125" s="1" t="s">
        <v>2989</v>
      </c>
      <c r="B2125" s="1" t="s">
        <v>866</v>
      </c>
      <c r="C2125" s="1" t="s">
        <v>249</v>
      </c>
      <c r="D2125" s="1" t="s">
        <v>168</v>
      </c>
      <c r="E2125" s="1" t="s">
        <v>197</v>
      </c>
      <c r="F2125" s="1" t="s">
        <v>604</v>
      </c>
      <c r="G2125" s="1" t="s">
        <v>56</v>
      </c>
      <c r="H2125" s="1" t="s">
        <v>57</v>
      </c>
      <c r="I2125" s="1" t="s">
        <v>58</v>
      </c>
      <c r="J2125" s="1" t="s">
        <v>70</v>
      </c>
      <c r="K2125" s="1" t="s">
        <v>71</v>
      </c>
      <c r="L2125" s="1" t="s">
        <v>85</v>
      </c>
      <c r="M2125" s="1" t="s">
        <v>50</v>
      </c>
      <c r="N2125" s="1" t="n">
        <v>8499</v>
      </c>
      <c r="O2125" s="1" t="n">
        <v>50</v>
      </c>
      <c r="P2125" s="1" t="n">
        <v>4249.5</v>
      </c>
      <c r="Q2125" s="1" t="n">
        <v>4249.5</v>
      </c>
      <c r="R2125" s="1" t="n">
        <v>764.91</v>
      </c>
      <c r="S2125" s="1" t="n">
        <v>3484.59</v>
      </c>
      <c r="T2125" s="1" t="n">
        <v>1888.69</v>
      </c>
      <c r="U2125" s="1" t="n">
        <v>1595.9</v>
      </c>
      <c r="V2125" s="1" t="n">
        <v>45.8</v>
      </c>
      <c r="W2125" s="1" t="s">
        <v>39</v>
      </c>
      <c r="X2125" s="1" t="n">
        <v>3.7</v>
      </c>
      <c r="Y2125" s="1" t="s">
        <v>40</v>
      </c>
      <c r="Z2125" s="1" t="n">
        <v>0</v>
      </c>
      <c r="AA2125" s="1" t="str">
        <f aca="false">TRIM(PROPER(F2125))</f>
        <v>Faridabad</v>
      </c>
      <c r="AB2125" s="1" t="str">
        <f aca="false">TRIM(PROPER(C2125))</f>
        <v>Whitehat Jr</v>
      </c>
      <c r="AC2125" s="1" t="str">
        <f aca="false">IF(O2125=0,"No Discount",IF(O2125&lt;=15,"Low (1-15%)",IF(O2125&lt;=30,"Medium (16-30%)","High (&gt;30%)")))</f>
        <v>High (&gt;30%)</v>
      </c>
      <c r="AD2125" s="1" t="str">
        <f aca="false">IF(V2125&lt;0,"Loss Making",IF(V2125&lt;20,"Low Margin","Healthy Margin"))</f>
        <v>Healthy Margin</v>
      </c>
      <c r="AE2125" s="1" t="str">
        <f aca="false">TEXT(DATE(VALUE(RIGHT(B2125,4)),VALUE(MID(B2125,4,2)),VALUE(LEFT(B2125,2))),"MMM-YYYY")</f>
        <v>Jul-2023</v>
      </c>
      <c r="AF2125" s="1" t="n">
        <f aca="false">VALUE(RIGHT(B2125,4))</f>
        <v>2023</v>
      </c>
      <c r="AG2125" s="1" t="str">
        <f aca="false">CHOOSE(ROUNDUP(VALUE(MID(B2125,4,2))/3,0),"Q1","Q2","Q3","Q4")</f>
        <v>Q3</v>
      </c>
    </row>
    <row r="2126" customFormat="false" ht="15" hidden="false" customHeight="true" outlineLevel="0" collapsed="false">
      <c r="A2126" s="1" t="s">
        <v>2990</v>
      </c>
      <c r="B2126" s="1" t="s">
        <v>1621</v>
      </c>
      <c r="C2126" s="1" t="s">
        <v>264</v>
      </c>
      <c r="D2126" s="1" t="s">
        <v>44</v>
      </c>
      <c r="E2126" s="1" t="s">
        <v>221</v>
      </c>
      <c r="F2126" s="1" t="s">
        <v>140</v>
      </c>
      <c r="G2126" s="1" t="s">
        <v>97</v>
      </c>
      <c r="H2126" s="1" t="s">
        <v>57</v>
      </c>
      <c r="I2126" s="1" t="s">
        <v>83</v>
      </c>
      <c r="J2126" s="1" t="s">
        <v>35</v>
      </c>
      <c r="K2126" s="1" t="s">
        <v>48</v>
      </c>
      <c r="L2126" s="1" t="s">
        <v>136</v>
      </c>
      <c r="M2126" s="1" t="s">
        <v>62</v>
      </c>
      <c r="N2126" s="1" t="n">
        <v>16999</v>
      </c>
      <c r="O2126" s="1" t="n">
        <v>0</v>
      </c>
      <c r="P2126" s="1" t="n">
        <v>0</v>
      </c>
      <c r="Q2126" s="1" t="n">
        <v>16999</v>
      </c>
      <c r="R2126" s="1" t="n">
        <v>3059.82</v>
      </c>
      <c r="S2126" s="1" t="n">
        <v>13939.18</v>
      </c>
      <c r="T2126" s="1" t="n">
        <v>7540.55</v>
      </c>
      <c r="U2126" s="1" t="n">
        <v>6398.63</v>
      </c>
      <c r="V2126" s="1" t="n">
        <v>45.9</v>
      </c>
      <c r="W2126" s="1" t="s">
        <v>40</v>
      </c>
      <c r="Y2126" s="1" t="s">
        <v>40</v>
      </c>
      <c r="Z2126" s="1" t="n">
        <v>1</v>
      </c>
      <c r="AA2126" s="1" t="str">
        <f aca="false">TRIM(PROPER(F2126))</f>
        <v>Nashik</v>
      </c>
      <c r="AB2126" s="1" t="str">
        <f aca="false">TRIM(PROPER(C2126))</f>
        <v>Unacademy</v>
      </c>
      <c r="AC2126" s="1" t="str">
        <f aca="false">IF(O2126=0,"No Discount",IF(O2126&lt;=15,"Low (1-15%)",IF(O2126&lt;=30,"Medium (16-30%)","High (&gt;30%)")))</f>
        <v>No Discount</v>
      </c>
      <c r="AD2126" s="1" t="str">
        <f aca="false">IF(V2126&lt;0,"Loss Making",IF(V2126&lt;20,"Low Margin","Healthy Margin"))</f>
        <v>Healthy Margin</v>
      </c>
      <c r="AE2126" s="1" t="str">
        <f aca="false">TEXT(DATE(VALUE(RIGHT(B2126,4)),VALUE(MID(B2126,4,2)),VALUE(LEFT(B2126,2))),"MMM-YYYY")</f>
        <v>Mar-2024</v>
      </c>
      <c r="AF2126" s="1" t="n">
        <f aca="false">VALUE(RIGHT(B2126,4))</f>
        <v>2024</v>
      </c>
      <c r="AG2126" s="1" t="str">
        <f aca="false">CHOOSE(ROUNDUP(VALUE(MID(B2126,4,2))/3,0),"Q1","Q2","Q3","Q4")</f>
        <v>Q1</v>
      </c>
    </row>
    <row r="2127" customFormat="false" ht="15" hidden="false" customHeight="true" outlineLevel="0" collapsed="false">
      <c r="A2127" s="1" t="s">
        <v>2991</v>
      </c>
      <c r="B2127" s="1" t="s">
        <v>2499</v>
      </c>
      <c r="C2127" s="1" t="s">
        <v>43</v>
      </c>
      <c r="D2127" s="1" t="s">
        <v>29</v>
      </c>
      <c r="E2127" s="1" t="s">
        <v>30</v>
      </c>
      <c r="F2127" s="1" t="s">
        <v>102</v>
      </c>
      <c r="G2127" s="1" t="s">
        <v>103</v>
      </c>
      <c r="H2127" s="1" t="s">
        <v>33</v>
      </c>
      <c r="I2127" s="1" t="s">
        <v>58</v>
      </c>
      <c r="J2127" s="1" t="s">
        <v>131</v>
      </c>
      <c r="K2127" s="1" t="s">
        <v>84</v>
      </c>
      <c r="L2127" s="1" t="s">
        <v>37</v>
      </c>
      <c r="M2127" s="1" t="s">
        <v>38</v>
      </c>
      <c r="N2127" s="1" t="n">
        <v>7999</v>
      </c>
      <c r="O2127" s="1" t="n">
        <v>5</v>
      </c>
      <c r="P2127" s="1" t="n">
        <v>399.95</v>
      </c>
      <c r="Q2127" s="1" t="n">
        <v>7599.05</v>
      </c>
      <c r="R2127" s="1" t="n">
        <v>1367.83</v>
      </c>
      <c r="S2127" s="1" t="n">
        <v>6231.22</v>
      </c>
      <c r="T2127" s="1" t="n">
        <v>2927.46</v>
      </c>
      <c r="U2127" s="1" t="n">
        <v>3303.76</v>
      </c>
      <c r="V2127" s="1" t="n">
        <v>53.02</v>
      </c>
      <c r="W2127" s="1" t="s">
        <v>39</v>
      </c>
      <c r="Y2127" s="1" t="s">
        <v>40</v>
      </c>
      <c r="Z2127" s="1" t="n">
        <v>1</v>
      </c>
      <c r="AA2127" s="1" t="str">
        <f aca="false">TRIM(PROPER(F2127))</f>
        <v>Warangal</v>
      </c>
      <c r="AB2127" s="1" t="str">
        <f aca="false">TRIM(PROPER(C2127))</f>
        <v>Meritnation</v>
      </c>
      <c r="AC2127" s="1" t="str">
        <f aca="false">IF(O2127=0,"No Discount",IF(O2127&lt;=15,"Low (1-15%)",IF(O2127&lt;=30,"Medium (16-30%)","High (&gt;30%)")))</f>
        <v>Low (1-15%)</v>
      </c>
      <c r="AD2127" s="1" t="str">
        <f aca="false">IF(V2127&lt;0,"Loss Making",IF(V2127&lt;20,"Low Margin","Healthy Margin"))</f>
        <v>Healthy Margin</v>
      </c>
      <c r="AE2127" s="1" t="str">
        <f aca="false">TEXT(DATE(VALUE(RIGHT(B2127,4)),VALUE(MID(B2127,4,2)),VALUE(LEFT(B2127,2))),"MMM-YYYY")</f>
        <v>Jun-2023</v>
      </c>
      <c r="AF2127" s="1" t="n">
        <f aca="false">VALUE(RIGHT(B2127,4))</f>
        <v>2023</v>
      </c>
      <c r="AG2127" s="1" t="str">
        <f aca="false">CHOOSE(ROUNDUP(VALUE(MID(B2127,4,2))/3,0),"Q1","Q2","Q3","Q4")</f>
        <v>Q2</v>
      </c>
    </row>
    <row r="2128" customFormat="false" ht="15" hidden="false" customHeight="true" outlineLevel="0" collapsed="false">
      <c r="A2128" s="1" t="s">
        <v>2992</v>
      </c>
      <c r="B2128" s="1" t="s">
        <v>232</v>
      </c>
      <c r="C2128" s="1" t="s">
        <v>128</v>
      </c>
      <c r="D2128" s="1" t="s">
        <v>143</v>
      </c>
      <c r="E2128" s="1" t="s">
        <v>243</v>
      </c>
      <c r="F2128" s="1" t="s">
        <v>125</v>
      </c>
      <c r="G2128" s="1" t="s">
        <v>108</v>
      </c>
      <c r="H2128" s="1" t="s">
        <v>69</v>
      </c>
      <c r="I2128" s="1" t="s">
        <v>58</v>
      </c>
      <c r="J2128" s="1" t="s">
        <v>35</v>
      </c>
      <c r="K2128" s="1" t="s">
        <v>90</v>
      </c>
      <c r="L2128" s="1" t="s">
        <v>136</v>
      </c>
      <c r="M2128" s="1" t="s">
        <v>50</v>
      </c>
      <c r="N2128" s="1" t="n">
        <v>22999</v>
      </c>
      <c r="O2128" s="1" t="n">
        <v>15</v>
      </c>
      <c r="P2128" s="1" t="n">
        <v>3449.85</v>
      </c>
      <c r="Q2128" s="1" t="n">
        <v>19549.15</v>
      </c>
      <c r="R2128" s="1" t="n">
        <v>3518.85</v>
      </c>
      <c r="S2128" s="1" t="n">
        <v>16030.3</v>
      </c>
      <c r="T2128" s="1" t="n">
        <v>5794.61</v>
      </c>
      <c r="U2128" s="1" t="n">
        <v>10235.69</v>
      </c>
      <c r="V2128" s="1" t="n">
        <v>63.85</v>
      </c>
      <c r="W2128" s="1" t="s">
        <v>39</v>
      </c>
      <c r="X2128" s="1" t="n">
        <v>5</v>
      </c>
      <c r="Y2128" s="1" t="s">
        <v>40</v>
      </c>
      <c r="Z2128" s="1" t="n">
        <v>0</v>
      </c>
      <c r="AA2128" s="1" t="str">
        <f aca="false">TRIM(PROPER(F2128))</f>
        <v>Chennai</v>
      </c>
      <c r="AB2128" s="1" t="str">
        <f aca="false">TRIM(PROPER(C2128))</f>
        <v>Great Learning</v>
      </c>
      <c r="AC2128" s="1" t="str">
        <f aca="false">IF(O2128=0,"No Discount",IF(O2128&lt;=15,"Low (1-15%)",IF(O2128&lt;=30,"Medium (16-30%)","High (&gt;30%)")))</f>
        <v>Low (1-15%)</v>
      </c>
      <c r="AD2128" s="1" t="str">
        <f aca="false">IF(V2128&lt;0,"Loss Making",IF(V2128&lt;20,"Low Margin","Healthy Margin"))</f>
        <v>Healthy Margin</v>
      </c>
      <c r="AE2128" s="1" t="str">
        <f aca="false">TEXT(DATE(VALUE(RIGHT(B2128,4)),VALUE(MID(B2128,4,2)),VALUE(LEFT(B2128,2))),"MMM-YYYY")</f>
        <v>Sep-2024</v>
      </c>
      <c r="AF2128" s="1" t="n">
        <f aca="false">VALUE(RIGHT(B2128,4))</f>
        <v>2024</v>
      </c>
      <c r="AG2128" s="1" t="str">
        <f aca="false">CHOOSE(ROUNDUP(VALUE(MID(B2128,4,2))/3,0),"Q1","Q2","Q3","Q4")</f>
        <v>Q3</v>
      </c>
    </row>
    <row r="2129" customFormat="false" ht="15" hidden="false" customHeight="true" outlineLevel="0" collapsed="false">
      <c r="A2129" s="1" t="s">
        <v>2993</v>
      </c>
      <c r="B2129" s="1" t="s">
        <v>158</v>
      </c>
      <c r="C2129" s="1" t="s">
        <v>74</v>
      </c>
      <c r="D2129" s="1" t="s">
        <v>53</v>
      </c>
      <c r="E2129" s="1" t="s">
        <v>216</v>
      </c>
      <c r="F2129" s="1" t="s">
        <v>211</v>
      </c>
      <c r="G2129" s="1" t="s">
        <v>56</v>
      </c>
      <c r="H2129" s="1" t="s">
        <v>69</v>
      </c>
      <c r="I2129" s="1" t="s">
        <v>34</v>
      </c>
      <c r="J2129" s="1" t="s">
        <v>59</v>
      </c>
      <c r="K2129" s="1" t="s">
        <v>112</v>
      </c>
      <c r="L2129" s="1" t="s">
        <v>37</v>
      </c>
      <c r="M2129" s="1" t="s">
        <v>50</v>
      </c>
      <c r="N2129" s="1" t="n">
        <v>7499</v>
      </c>
      <c r="O2129" s="1" t="n">
        <v>10</v>
      </c>
      <c r="P2129" s="1" t="n">
        <v>749.9</v>
      </c>
      <c r="Q2129" s="1" t="n">
        <v>6749.1</v>
      </c>
      <c r="R2129" s="1" t="n">
        <v>1214.84</v>
      </c>
      <c r="S2129" s="1" t="n">
        <v>5534.26</v>
      </c>
      <c r="T2129" s="1" t="n">
        <v>2327.06</v>
      </c>
      <c r="U2129" s="1" t="n">
        <v>3207.2</v>
      </c>
      <c r="V2129" s="1" t="n">
        <v>57.95</v>
      </c>
      <c r="W2129" s="1" t="s">
        <v>40</v>
      </c>
      <c r="Y2129" s="1" t="s">
        <v>40</v>
      </c>
      <c r="Z2129" s="1" t="n">
        <v>0</v>
      </c>
      <c r="AA2129" s="1" t="str">
        <f aca="false">TRIM(PROPER(F2129))</f>
        <v>Noida</v>
      </c>
      <c r="AB2129" s="1" t="str">
        <f aca="false">TRIM(PROPER(C2129))</f>
        <v>Vedantu</v>
      </c>
      <c r="AC2129" s="1" t="str">
        <f aca="false">IF(O2129=0,"No Discount",IF(O2129&lt;=15,"Low (1-15%)",IF(O2129&lt;=30,"Medium (16-30%)","High (&gt;30%)")))</f>
        <v>Low (1-15%)</v>
      </c>
      <c r="AD2129" s="1" t="str">
        <f aca="false">IF(V2129&lt;0,"Loss Making",IF(V2129&lt;20,"Low Margin","Healthy Margin"))</f>
        <v>Healthy Margin</v>
      </c>
      <c r="AE2129" s="1" t="str">
        <f aca="false">TEXT(DATE(VALUE(RIGHT(B2129,4)),VALUE(MID(B2129,4,2)),VALUE(LEFT(B2129,2))),"MMM-YYYY")</f>
        <v>Jan-2024</v>
      </c>
      <c r="AF2129" s="1" t="n">
        <f aca="false">VALUE(RIGHT(B2129,4))</f>
        <v>2024</v>
      </c>
      <c r="AG2129" s="1" t="str">
        <f aca="false">CHOOSE(ROUNDUP(VALUE(MID(B2129,4,2))/3,0),"Q1","Q2","Q3","Q4")</f>
        <v>Q1</v>
      </c>
    </row>
    <row r="2130" customFormat="false" ht="15" hidden="false" customHeight="true" outlineLevel="0" collapsed="false">
      <c r="A2130" s="1" t="s">
        <v>2994</v>
      </c>
      <c r="B2130" s="1" t="s">
        <v>636</v>
      </c>
      <c r="C2130" s="1" t="s">
        <v>100</v>
      </c>
      <c r="D2130" s="1" t="s">
        <v>143</v>
      </c>
      <c r="E2130" s="1" t="s">
        <v>210</v>
      </c>
      <c r="F2130" s="1" t="s">
        <v>120</v>
      </c>
      <c r="G2130" s="1" t="s">
        <v>47</v>
      </c>
      <c r="H2130" s="1" t="s">
        <v>57</v>
      </c>
      <c r="I2130" s="1" t="s">
        <v>34</v>
      </c>
      <c r="J2130" s="1" t="s">
        <v>77</v>
      </c>
      <c r="K2130" s="1" t="s">
        <v>60</v>
      </c>
      <c r="L2130" s="1" t="s">
        <v>113</v>
      </c>
      <c r="M2130" s="1" t="s">
        <v>38</v>
      </c>
      <c r="N2130" s="1" t="n">
        <v>18999</v>
      </c>
      <c r="O2130" s="1" t="n">
        <v>5</v>
      </c>
      <c r="P2130" s="1" t="n">
        <v>949.95</v>
      </c>
      <c r="Q2130" s="1" t="n">
        <v>18049.05</v>
      </c>
      <c r="R2130" s="1" t="n">
        <v>3248.83</v>
      </c>
      <c r="S2130" s="1" t="n">
        <v>14800.22</v>
      </c>
      <c r="T2130" s="1" t="n">
        <v>5369.63</v>
      </c>
      <c r="U2130" s="1" t="n">
        <v>9430.59</v>
      </c>
      <c r="V2130" s="1" t="n">
        <v>63.72</v>
      </c>
      <c r="W2130" s="1" t="s">
        <v>39</v>
      </c>
      <c r="X2130" s="1" t="n">
        <v>2.9</v>
      </c>
      <c r="Y2130" s="1" t="s">
        <v>40</v>
      </c>
      <c r="Z2130" s="1" t="n">
        <v>0</v>
      </c>
      <c r="AA2130" s="1" t="str">
        <f aca="false">TRIM(PROPER(F2130))</f>
        <v>Mysuru</v>
      </c>
      <c r="AB2130" s="1" t="str">
        <f aca="false">TRIM(PROPER(C2130))</f>
        <v>Physics Wallah</v>
      </c>
      <c r="AC2130" s="1" t="str">
        <f aca="false">IF(O2130=0,"No Discount",IF(O2130&lt;=15,"Low (1-15%)",IF(O2130&lt;=30,"Medium (16-30%)","High (&gt;30%)")))</f>
        <v>Low (1-15%)</v>
      </c>
      <c r="AD2130" s="1" t="str">
        <f aca="false">IF(V2130&lt;0,"Loss Making",IF(V2130&lt;20,"Low Margin","Healthy Margin"))</f>
        <v>Healthy Margin</v>
      </c>
      <c r="AE2130" s="1" t="str">
        <f aca="false">TEXT(DATE(VALUE(RIGHT(B2130,4)),VALUE(MID(B2130,4,2)),VALUE(LEFT(B2130,2))),"MMM-YYYY")</f>
        <v>Nov-2024</v>
      </c>
      <c r="AF2130" s="1" t="n">
        <f aca="false">VALUE(RIGHT(B2130,4))</f>
        <v>2024</v>
      </c>
      <c r="AG2130" s="1" t="str">
        <f aca="false">CHOOSE(ROUNDUP(VALUE(MID(B2130,4,2))/3,0),"Q1","Q2","Q3","Q4")</f>
        <v>Q4</v>
      </c>
    </row>
    <row r="2131" customFormat="false" ht="15" hidden="false" customHeight="true" outlineLevel="0" collapsed="false">
      <c r="A2131" s="1" t="s">
        <v>2995</v>
      </c>
      <c r="B2131" s="1" t="s">
        <v>385</v>
      </c>
      <c r="C2131" s="1" t="s">
        <v>780</v>
      </c>
      <c r="D2131" s="1" t="s">
        <v>80</v>
      </c>
      <c r="E2131" s="1" t="s">
        <v>190</v>
      </c>
      <c r="F2131" s="1" t="s">
        <v>125</v>
      </c>
      <c r="G2131" s="1" t="s">
        <v>108</v>
      </c>
      <c r="H2131" s="1" t="s">
        <v>69</v>
      </c>
      <c r="I2131" s="1" t="s">
        <v>34</v>
      </c>
      <c r="J2131" s="1" t="s">
        <v>131</v>
      </c>
      <c r="K2131" s="1" t="s">
        <v>90</v>
      </c>
      <c r="L2131" s="1" t="s">
        <v>136</v>
      </c>
      <c r="M2131" s="1" t="s">
        <v>50</v>
      </c>
      <c r="N2131" s="1" t="n">
        <v>15999</v>
      </c>
      <c r="O2131" s="1" t="n">
        <v>15</v>
      </c>
      <c r="P2131" s="1" t="n">
        <v>2399.85</v>
      </c>
      <c r="Q2131" s="1" t="n">
        <v>13599.15</v>
      </c>
      <c r="R2131" s="1" t="n">
        <v>2447.85</v>
      </c>
      <c r="S2131" s="1" t="n">
        <v>11151.3</v>
      </c>
      <c r="T2131" s="1" t="n">
        <v>4692.06</v>
      </c>
      <c r="U2131" s="1" t="n">
        <v>6459.24</v>
      </c>
      <c r="V2131" s="1" t="n">
        <v>57.92</v>
      </c>
      <c r="W2131" s="1" t="s">
        <v>39</v>
      </c>
      <c r="X2131" s="1" t="n">
        <v>3.8</v>
      </c>
      <c r="Y2131" s="1" t="s">
        <v>40</v>
      </c>
      <c r="Z2131" s="1" t="n">
        <v>0</v>
      </c>
      <c r="AA2131" s="1" t="str">
        <f aca="false">TRIM(PROPER(F2131))</f>
        <v>Chennai</v>
      </c>
      <c r="AB2131" s="1" t="str">
        <f aca="false">TRIM(PROPER(C2131))</f>
        <v>Extramarks</v>
      </c>
      <c r="AC2131" s="1" t="str">
        <f aca="false">IF(O2131=0,"No Discount",IF(O2131&lt;=15,"Low (1-15%)",IF(O2131&lt;=30,"Medium (16-30%)","High (&gt;30%)")))</f>
        <v>Low (1-15%)</v>
      </c>
      <c r="AD2131" s="1" t="str">
        <f aca="false">IF(V2131&lt;0,"Loss Making",IF(V2131&lt;20,"Low Margin","Healthy Margin"))</f>
        <v>Healthy Margin</v>
      </c>
      <c r="AE2131" s="1" t="str">
        <f aca="false">TEXT(DATE(VALUE(RIGHT(B2131,4)),VALUE(MID(B2131,4,2)),VALUE(LEFT(B2131,2))),"MMM-YYYY")</f>
        <v>Jul-2023</v>
      </c>
      <c r="AF2131" s="1" t="n">
        <f aca="false">VALUE(RIGHT(B2131,4))</f>
        <v>2023</v>
      </c>
      <c r="AG2131" s="1" t="str">
        <f aca="false">CHOOSE(ROUNDUP(VALUE(MID(B2131,4,2))/3,0),"Q1","Q2","Q3","Q4")</f>
        <v>Q3</v>
      </c>
    </row>
    <row r="2132" customFormat="false" ht="15" hidden="false" customHeight="true" outlineLevel="0" collapsed="false">
      <c r="A2132" s="1" t="s">
        <v>2996</v>
      </c>
      <c r="B2132" s="1" t="s">
        <v>870</v>
      </c>
      <c r="C2132" s="1" t="s">
        <v>88</v>
      </c>
      <c r="D2132" s="1" t="s">
        <v>29</v>
      </c>
      <c r="E2132" s="1" t="s">
        <v>305</v>
      </c>
      <c r="F2132" s="1" t="s">
        <v>82</v>
      </c>
      <c r="G2132" s="1" t="s">
        <v>56</v>
      </c>
      <c r="H2132" s="1" t="s">
        <v>69</v>
      </c>
      <c r="I2132" s="1" t="s">
        <v>58</v>
      </c>
      <c r="J2132" s="1" t="s">
        <v>35</v>
      </c>
      <c r="K2132" s="1" t="s">
        <v>90</v>
      </c>
      <c r="L2132" s="1" t="s">
        <v>61</v>
      </c>
      <c r="M2132" s="1" t="s">
        <v>62</v>
      </c>
      <c r="N2132" s="1" t="n">
        <v>24999</v>
      </c>
      <c r="O2132" s="1" t="n">
        <v>0</v>
      </c>
      <c r="P2132" s="1" t="n">
        <v>0</v>
      </c>
      <c r="Q2132" s="1" t="n">
        <v>24999</v>
      </c>
      <c r="R2132" s="1" t="n">
        <v>4499.82</v>
      </c>
      <c r="S2132" s="1" t="n">
        <v>20499.18</v>
      </c>
      <c r="T2132" s="1" t="n">
        <v>7776.83</v>
      </c>
      <c r="U2132" s="1" t="n">
        <v>12722.35</v>
      </c>
      <c r="V2132" s="1" t="n">
        <v>62.06</v>
      </c>
      <c r="W2132" s="1" t="s">
        <v>39</v>
      </c>
      <c r="X2132" s="1" t="n">
        <v>4.8</v>
      </c>
      <c r="Y2132" s="1" t="s">
        <v>40</v>
      </c>
      <c r="Z2132" s="1" t="n">
        <v>1</v>
      </c>
      <c r="AA2132" s="1" t="str">
        <f aca="false">TRIM(PROPER(F2132))</f>
        <v>Gurugram</v>
      </c>
      <c r="AB2132" s="1" t="str">
        <f aca="false">TRIM(PROPER(C2132))</f>
        <v>Byju'S</v>
      </c>
      <c r="AC2132" s="1" t="str">
        <f aca="false">IF(O2132=0,"No Discount",IF(O2132&lt;=15,"Low (1-15%)",IF(O2132&lt;=30,"Medium (16-30%)","High (&gt;30%)")))</f>
        <v>No Discount</v>
      </c>
      <c r="AD2132" s="1" t="str">
        <f aca="false">IF(V2132&lt;0,"Loss Making",IF(V2132&lt;20,"Low Margin","Healthy Margin"))</f>
        <v>Healthy Margin</v>
      </c>
      <c r="AE2132" s="1" t="str">
        <f aca="false">TEXT(DATE(VALUE(RIGHT(B2132,4)),VALUE(MID(B2132,4,2)),VALUE(LEFT(B2132,2))),"MMM-YYYY")</f>
        <v>Nov-2024</v>
      </c>
      <c r="AF2132" s="1" t="n">
        <f aca="false">VALUE(RIGHT(B2132,4))</f>
        <v>2024</v>
      </c>
      <c r="AG2132" s="1" t="str">
        <f aca="false">CHOOSE(ROUNDUP(VALUE(MID(B2132,4,2))/3,0),"Q1","Q2","Q3","Q4")</f>
        <v>Q4</v>
      </c>
    </row>
    <row r="2133" customFormat="false" ht="15" hidden="false" customHeight="true" outlineLevel="0" collapsed="false">
      <c r="A2133" s="1" t="s">
        <v>2997</v>
      </c>
      <c r="B2133" s="1" t="s">
        <v>290</v>
      </c>
      <c r="C2133" s="1" t="s">
        <v>2610</v>
      </c>
      <c r="D2133" s="1" t="s">
        <v>29</v>
      </c>
      <c r="E2133" s="1" t="s">
        <v>182</v>
      </c>
      <c r="F2133" s="1" t="s">
        <v>125</v>
      </c>
      <c r="G2133" s="1" t="s">
        <v>108</v>
      </c>
      <c r="H2133" s="1" t="s">
        <v>69</v>
      </c>
      <c r="I2133" s="1" t="s">
        <v>58</v>
      </c>
      <c r="J2133" s="1" t="s">
        <v>59</v>
      </c>
      <c r="K2133" s="1" t="s">
        <v>84</v>
      </c>
      <c r="L2133" s="1" t="s">
        <v>37</v>
      </c>
      <c r="M2133" s="1" t="s">
        <v>38</v>
      </c>
      <c r="N2133" s="1" t="n">
        <v>34999</v>
      </c>
      <c r="O2133" s="1" t="n">
        <v>30</v>
      </c>
      <c r="P2133" s="1" t="n">
        <v>10499.7</v>
      </c>
      <c r="Q2133" s="1" t="n">
        <v>24499.3</v>
      </c>
      <c r="R2133" s="1" t="n">
        <v>4409.87</v>
      </c>
      <c r="S2133" s="1" t="n">
        <v>20089.43</v>
      </c>
      <c r="T2133" s="1" t="n">
        <v>9104.85</v>
      </c>
      <c r="U2133" s="1" t="n">
        <v>10984.58</v>
      </c>
      <c r="V2133" s="1" t="n">
        <v>54.68</v>
      </c>
      <c r="W2133" s="1" t="s">
        <v>39</v>
      </c>
      <c r="X2133" s="1" t="n">
        <v>3.6</v>
      </c>
      <c r="Y2133" s="1" t="s">
        <v>40</v>
      </c>
      <c r="Z2133" s="1" t="n">
        <v>0</v>
      </c>
      <c r="AA2133" s="1" t="str">
        <f aca="false">TRIM(PROPER(F2133))</f>
        <v>Chennai</v>
      </c>
      <c r="AB2133" s="1" t="str">
        <f aca="false">TRIM(PROPER(C2133))</f>
        <v>Physics Wallah</v>
      </c>
      <c r="AC2133" s="1" t="str">
        <f aca="false">IF(O2133=0,"No Discount",IF(O2133&lt;=15,"Low (1-15%)",IF(O2133&lt;=30,"Medium (16-30%)","High (&gt;30%)")))</f>
        <v>Medium (16-30%)</v>
      </c>
      <c r="AD2133" s="1" t="str">
        <f aca="false">IF(V2133&lt;0,"Loss Making",IF(V2133&lt;20,"Low Margin","Healthy Margin"))</f>
        <v>Healthy Margin</v>
      </c>
      <c r="AE2133" s="1" t="str">
        <f aca="false">TEXT(DATE(VALUE(RIGHT(B2133,4)),VALUE(MID(B2133,4,2)),VALUE(LEFT(B2133,2))),"MMM-YYYY")</f>
        <v>Jan-2023</v>
      </c>
      <c r="AF2133" s="1" t="n">
        <f aca="false">VALUE(RIGHT(B2133,4))</f>
        <v>2023</v>
      </c>
      <c r="AG2133" s="1" t="str">
        <f aca="false">CHOOSE(ROUNDUP(VALUE(MID(B2133,4,2))/3,0),"Q1","Q2","Q3","Q4")</f>
        <v>Q1</v>
      </c>
    </row>
    <row r="2134" customFormat="false" ht="15" hidden="false" customHeight="true" outlineLevel="0" collapsed="false">
      <c r="A2134" s="1" t="s">
        <v>2998</v>
      </c>
      <c r="B2134" s="1" t="s">
        <v>452</v>
      </c>
      <c r="C2134" s="1" t="s">
        <v>139</v>
      </c>
      <c r="D2134" s="1" t="s">
        <v>123</v>
      </c>
      <c r="E2134" s="1" t="s">
        <v>147</v>
      </c>
      <c r="F2134" s="1" t="s">
        <v>205</v>
      </c>
      <c r="G2134" s="1" t="s">
        <v>56</v>
      </c>
      <c r="H2134" s="1" t="s">
        <v>69</v>
      </c>
      <c r="I2134" s="1" t="s">
        <v>58</v>
      </c>
      <c r="J2134" s="1" t="s">
        <v>131</v>
      </c>
      <c r="K2134" s="1" t="s">
        <v>60</v>
      </c>
      <c r="L2134" s="1" t="s">
        <v>136</v>
      </c>
      <c r="M2134" s="1" t="s">
        <v>38</v>
      </c>
      <c r="N2134" s="1" t="n">
        <v>6999</v>
      </c>
      <c r="O2134" s="1" t="n">
        <v>40</v>
      </c>
      <c r="P2134" s="1" t="n">
        <v>2799.6</v>
      </c>
      <c r="Q2134" s="1" t="n">
        <v>4199.4</v>
      </c>
      <c r="R2134" s="1" t="n">
        <v>755.89</v>
      </c>
      <c r="S2134" s="1" t="n">
        <v>3443.51</v>
      </c>
      <c r="T2134" s="1" t="n">
        <v>1996.98</v>
      </c>
      <c r="U2134" s="1" t="n">
        <v>1446.53</v>
      </c>
      <c r="V2134" s="1" t="n">
        <v>42.01</v>
      </c>
      <c r="W2134" s="1" t="s">
        <v>39</v>
      </c>
      <c r="X2134" s="1" t="n">
        <v>4.1</v>
      </c>
      <c r="Y2134" s="1" t="s">
        <v>40</v>
      </c>
      <c r="Z2134" s="1" t="n">
        <v>0</v>
      </c>
      <c r="AA2134" s="1" t="str">
        <f aca="false">TRIM(PROPER(F2134))</f>
        <v>New Delhi</v>
      </c>
      <c r="AB2134" s="1" t="str">
        <f aca="false">TRIM(PROPER(C2134))</f>
        <v>Extramarks</v>
      </c>
      <c r="AC2134" s="1" t="str">
        <f aca="false">IF(O2134=0,"No Discount",IF(O2134&lt;=15,"Low (1-15%)",IF(O2134&lt;=30,"Medium (16-30%)","High (&gt;30%)")))</f>
        <v>High (&gt;30%)</v>
      </c>
      <c r="AD2134" s="1" t="str">
        <f aca="false">IF(V2134&lt;0,"Loss Making",IF(V2134&lt;20,"Low Margin","Healthy Margin"))</f>
        <v>Healthy Margin</v>
      </c>
      <c r="AE2134" s="1" t="str">
        <f aca="false">TEXT(DATE(VALUE(RIGHT(B2134,4)),VALUE(MID(B2134,4,2)),VALUE(LEFT(B2134,2))),"MMM-YYYY")</f>
        <v>Jul-2023</v>
      </c>
      <c r="AF2134" s="1" t="n">
        <f aca="false">VALUE(RIGHT(B2134,4))</f>
        <v>2023</v>
      </c>
      <c r="AG2134" s="1" t="str">
        <f aca="false">CHOOSE(ROUNDUP(VALUE(MID(B2134,4,2))/3,0),"Q1","Q2","Q3","Q4")</f>
        <v>Q3</v>
      </c>
    </row>
    <row r="2135" customFormat="false" ht="15" hidden="false" customHeight="true" outlineLevel="0" collapsed="false">
      <c r="A2135" s="1" t="s">
        <v>2999</v>
      </c>
      <c r="B2135" s="1" t="s">
        <v>3000</v>
      </c>
      <c r="C2135" s="1" t="s">
        <v>249</v>
      </c>
      <c r="D2135" s="1" t="s">
        <v>168</v>
      </c>
      <c r="E2135" s="1" t="s">
        <v>169</v>
      </c>
      <c r="F2135" s="1" t="s">
        <v>184</v>
      </c>
      <c r="G2135" s="1" t="s">
        <v>56</v>
      </c>
      <c r="H2135" s="1" t="s">
        <v>57</v>
      </c>
      <c r="I2135" s="1" t="s">
        <v>83</v>
      </c>
      <c r="J2135" s="1" t="s">
        <v>131</v>
      </c>
      <c r="K2135" s="1" t="s">
        <v>112</v>
      </c>
      <c r="L2135" s="1" t="s">
        <v>61</v>
      </c>
      <c r="M2135" s="1" t="s">
        <v>62</v>
      </c>
      <c r="N2135" s="1" t="n">
        <v>4999</v>
      </c>
      <c r="O2135" s="1" t="n">
        <v>25</v>
      </c>
      <c r="P2135" s="1" t="n">
        <v>1249.75</v>
      </c>
      <c r="Q2135" s="1" t="n">
        <v>3749.25</v>
      </c>
      <c r="R2135" s="1" t="n">
        <v>674.87</v>
      </c>
      <c r="S2135" s="1" t="n">
        <v>3074.38</v>
      </c>
      <c r="T2135" s="1" t="n">
        <v>1308.06</v>
      </c>
      <c r="U2135" s="1" t="n">
        <v>1766.32</v>
      </c>
      <c r="V2135" s="1" t="n">
        <v>57.45</v>
      </c>
      <c r="W2135" s="1" t="s">
        <v>40</v>
      </c>
      <c r="Y2135" s="1" t="s">
        <v>40</v>
      </c>
      <c r="Z2135" s="1" t="n">
        <v>1</v>
      </c>
      <c r="AA2135" s="1" t="str">
        <f aca="false">TRIM(PROPER(F2135))</f>
        <v>Faridabad</v>
      </c>
      <c r="AB2135" s="1" t="str">
        <f aca="false">TRIM(PROPER(C2135))</f>
        <v>Whitehat Jr</v>
      </c>
      <c r="AC2135" s="1" t="str">
        <f aca="false">IF(O2135=0,"No Discount",IF(O2135&lt;=15,"Low (1-15%)",IF(O2135&lt;=30,"Medium (16-30%)","High (&gt;30%)")))</f>
        <v>Medium (16-30%)</v>
      </c>
      <c r="AD2135" s="1" t="str">
        <f aca="false">IF(V2135&lt;0,"Loss Making",IF(V2135&lt;20,"Low Margin","Healthy Margin"))</f>
        <v>Healthy Margin</v>
      </c>
      <c r="AE2135" s="1" t="str">
        <f aca="false">TEXT(DATE(VALUE(RIGHT(B2135,4)),VALUE(MID(B2135,4,2)),VALUE(LEFT(B2135,2))),"MMM-YYYY")</f>
        <v>Aug-2023</v>
      </c>
      <c r="AF2135" s="1" t="n">
        <f aca="false">VALUE(RIGHT(B2135,4))</f>
        <v>2023</v>
      </c>
      <c r="AG2135" s="1" t="str">
        <f aca="false">CHOOSE(ROUNDUP(VALUE(MID(B2135,4,2))/3,0),"Q1","Q2","Q3","Q4")</f>
        <v>Q3</v>
      </c>
    </row>
    <row r="2136" customFormat="false" ht="15" hidden="false" customHeight="true" outlineLevel="0" collapsed="false">
      <c r="A2136" s="1" t="s">
        <v>3001</v>
      </c>
      <c r="B2136" s="1" t="s">
        <v>983</v>
      </c>
      <c r="C2136" s="1" t="s">
        <v>88</v>
      </c>
      <c r="D2136" s="1" t="s">
        <v>123</v>
      </c>
      <c r="E2136" s="1" t="s">
        <v>124</v>
      </c>
      <c r="F2136" s="1" t="s">
        <v>31</v>
      </c>
      <c r="G2136" s="1" t="s">
        <v>32</v>
      </c>
      <c r="H2136" s="1" t="s">
        <v>33</v>
      </c>
      <c r="I2136" s="1" t="s">
        <v>34</v>
      </c>
      <c r="J2136" s="1" t="s">
        <v>35</v>
      </c>
      <c r="K2136" s="1" t="s">
        <v>36</v>
      </c>
      <c r="L2136" s="1" t="s">
        <v>85</v>
      </c>
      <c r="M2136" s="1" t="s">
        <v>50</v>
      </c>
      <c r="N2136" s="1" t="n">
        <v>4999</v>
      </c>
      <c r="O2136" s="1" t="n">
        <v>10</v>
      </c>
      <c r="P2136" s="1" t="n">
        <v>499.9</v>
      </c>
      <c r="Q2136" s="1" t="n">
        <v>4499.1</v>
      </c>
      <c r="R2136" s="1" t="n">
        <v>809.84</v>
      </c>
      <c r="S2136" s="1" t="n">
        <v>3689.26</v>
      </c>
      <c r="T2136" s="1" t="n">
        <v>1462.92</v>
      </c>
      <c r="U2136" s="1" t="n">
        <v>2226.34</v>
      </c>
      <c r="V2136" s="1" t="n">
        <v>60.35</v>
      </c>
      <c r="W2136" s="1" t="s">
        <v>40</v>
      </c>
      <c r="Y2136" s="1" t="s">
        <v>40</v>
      </c>
      <c r="Z2136" s="1" t="n">
        <v>1</v>
      </c>
      <c r="AA2136" s="1" t="str">
        <f aca="false">TRIM(PROPER(F2136))</f>
        <v>Jodhpur</v>
      </c>
      <c r="AB2136" s="1" t="str">
        <f aca="false">TRIM(PROPER(C2136))</f>
        <v>Byju'S</v>
      </c>
      <c r="AC2136" s="1" t="str">
        <f aca="false">IF(O2136=0,"No Discount",IF(O2136&lt;=15,"Low (1-15%)",IF(O2136&lt;=30,"Medium (16-30%)","High (&gt;30%)")))</f>
        <v>Low (1-15%)</v>
      </c>
      <c r="AD2136" s="1" t="str">
        <f aca="false">IF(V2136&lt;0,"Loss Making",IF(V2136&lt;20,"Low Margin","Healthy Margin"))</f>
        <v>Healthy Margin</v>
      </c>
      <c r="AE2136" s="1" t="str">
        <f aca="false">TEXT(DATE(VALUE(RIGHT(B2136,4)),VALUE(MID(B2136,4,2)),VALUE(LEFT(B2136,2))),"MMM-YYYY")</f>
        <v>Jul-2023</v>
      </c>
      <c r="AF2136" s="1" t="n">
        <f aca="false">VALUE(RIGHT(B2136,4))</f>
        <v>2023</v>
      </c>
      <c r="AG2136" s="1" t="str">
        <f aca="false">CHOOSE(ROUNDUP(VALUE(MID(B2136,4,2))/3,0),"Q1","Q2","Q3","Q4")</f>
        <v>Q3</v>
      </c>
    </row>
    <row r="2137" customFormat="false" ht="15" hidden="false" customHeight="true" outlineLevel="0" collapsed="false">
      <c r="A2137" s="1" t="s">
        <v>3002</v>
      </c>
      <c r="B2137" s="1" t="s">
        <v>261</v>
      </c>
      <c r="C2137" s="1" t="s">
        <v>93</v>
      </c>
      <c r="D2137" s="1" t="s">
        <v>123</v>
      </c>
      <c r="E2137" s="1" t="s">
        <v>124</v>
      </c>
      <c r="F2137" s="1" t="s">
        <v>211</v>
      </c>
      <c r="G2137" s="1" t="s">
        <v>56</v>
      </c>
      <c r="H2137" s="1" t="s">
        <v>69</v>
      </c>
      <c r="I2137" s="1" t="s">
        <v>58</v>
      </c>
      <c r="J2137" s="1" t="s">
        <v>131</v>
      </c>
      <c r="K2137" s="1" t="s">
        <v>36</v>
      </c>
      <c r="L2137" s="1" t="s">
        <v>136</v>
      </c>
      <c r="M2137" s="1" t="s">
        <v>38</v>
      </c>
      <c r="N2137" s="1" t="n">
        <v>4999</v>
      </c>
      <c r="O2137" s="1" t="n">
        <v>0</v>
      </c>
      <c r="P2137" s="1" t="n">
        <v>0</v>
      </c>
      <c r="Q2137" s="1" t="n">
        <v>4999</v>
      </c>
      <c r="R2137" s="1" t="n">
        <v>899.82</v>
      </c>
      <c r="S2137" s="1" t="n">
        <v>4099.18</v>
      </c>
      <c r="T2137" s="1" t="n">
        <v>1796.94</v>
      </c>
      <c r="U2137" s="1" t="n">
        <v>2302.24</v>
      </c>
      <c r="V2137" s="1" t="n">
        <v>56.16</v>
      </c>
      <c r="W2137" s="1" t="s">
        <v>39</v>
      </c>
      <c r="X2137" s="1" t="n">
        <v>4</v>
      </c>
      <c r="Y2137" s="1" t="s">
        <v>40</v>
      </c>
      <c r="Z2137" s="1" t="n">
        <v>0</v>
      </c>
      <c r="AA2137" s="1" t="str">
        <f aca="false">TRIM(PROPER(F2137))</f>
        <v>Noida</v>
      </c>
      <c r="AB2137" s="1" t="str">
        <f aca="false">TRIM(PROPER(C2137))</f>
        <v>Upgrad</v>
      </c>
      <c r="AC2137" s="1" t="str">
        <f aca="false">IF(O2137=0,"No Discount",IF(O2137&lt;=15,"Low (1-15%)",IF(O2137&lt;=30,"Medium (16-30%)","High (&gt;30%)")))</f>
        <v>No Discount</v>
      </c>
      <c r="AD2137" s="1" t="str">
        <f aca="false">IF(V2137&lt;0,"Loss Making",IF(V2137&lt;20,"Low Margin","Healthy Margin"))</f>
        <v>Healthy Margin</v>
      </c>
      <c r="AE2137" s="1" t="str">
        <f aca="false">TEXT(DATE(VALUE(RIGHT(B2137,4)),VALUE(MID(B2137,4,2)),VALUE(LEFT(B2137,2))),"MMM-YYYY")</f>
        <v>Feb-2024</v>
      </c>
      <c r="AF2137" s="1" t="n">
        <f aca="false">VALUE(RIGHT(B2137,4))</f>
        <v>2024</v>
      </c>
      <c r="AG2137" s="1" t="str">
        <f aca="false">CHOOSE(ROUNDUP(VALUE(MID(B2137,4,2))/3,0),"Q1","Q2","Q3","Q4")</f>
        <v>Q1</v>
      </c>
    </row>
    <row r="2138" customFormat="false" ht="15" hidden="false" customHeight="true" outlineLevel="0" collapsed="false">
      <c r="A2138" s="1" t="s">
        <v>3003</v>
      </c>
      <c r="B2138" s="1" t="s">
        <v>952</v>
      </c>
      <c r="C2138" s="1" t="s">
        <v>43</v>
      </c>
      <c r="D2138" s="1" t="s">
        <v>44</v>
      </c>
      <c r="E2138" s="1" t="s">
        <v>45</v>
      </c>
      <c r="F2138" s="1" t="s">
        <v>1389</v>
      </c>
      <c r="G2138" s="1" t="s">
        <v>32</v>
      </c>
      <c r="H2138" s="1" t="s">
        <v>57</v>
      </c>
      <c r="I2138" s="1" t="s">
        <v>58</v>
      </c>
      <c r="J2138" s="1" t="s">
        <v>35</v>
      </c>
      <c r="K2138" s="1" t="s">
        <v>90</v>
      </c>
      <c r="L2138" s="1" t="s">
        <v>113</v>
      </c>
      <c r="M2138" s="1" t="s">
        <v>50</v>
      </c>
      <c r="N2138" s="1" t="n">
        <v>11999</v>
      </c>
      <c r="O2138" s="1" t="n">
        <v>20</v>
      </c>
      <c r="P2138" s="1" t="n">
        <v>2399.8</v>
      </c>
      <c r="Q2138" s="1" t="n">
        <v>9599.2</v>
      </c>
      <c r="R2138" s="1" t="n">
        <v>1727.86</v>
      </c>
      <c r="S2138" s="1" t="n">
        <v>7871.34</v>
      </c>
      <c r="T2138" s="1" t="n">
        <v>3441.75</v>
      </c>
      <c r="U2138" s="1" t="n">
        <v>4429.59</v>
      </c>
      <c r="V2138" s="1" t="n">
        <v>56.27</v>
      </c>
      <c r="W2138" s="1" t="s">
        <v>39</v>
      </c>
      <c r="X2138" s="1" t="n">
        <v>2.4</v>
      </c>
      <c r="Y2138" s="1" t="s">
        <v>40</v>
      </c>
      <c r="Z2138" s="1" t="n">
        <v>0</v>
      </c>
      <c r="AA2138" s="1" t="str">
        <f aca="false">TRIM(PROPER(F2138))</f>
        <v>Jaipur</v>
      </c>
      <c r="AB2138" s="1" t="str">
        <f aca="false">TRIM(PROPER(C2138))</f>
        <v>Meritnation</v>
      </c>
      <c r="AC2138" s="1" t="str">
        <f aca="false">IF(O2138=0,"No Discount",IF(O2138&lt;=15,"Low (1-15%)",IF(O2138&lt;=30,"Medium (16-30%)","High (&gt;30%)")))</f>
        <v>Medium (16-30%)</v>
      </c>
      <c r="AD2138" s="1" t="str">
        <f aca="false">IF(V2138&lt;0,"Loss Making",IF(V2138&lt;20,"Low Margin","Healthy Margin"))</f>
        <v>Healthy Margin</v>
      </c>
      <c r="AE2138" s="1" t="str">
        <f aca="false">TEXT(DATE(VALUE(RIGHT(B2138,4)),VALUE(MID(B2138,4,2)),VALUE(LEFT(B2138,2))),"MMM-YYYY")</f>
        <v>Aug-2023</v>
      </c>
      <c r="AF2138" s="1" t="n">
        <f aca="false">VALUE(RIGHT(B2138,4))</f>
        <v>2023</v>
      </c>
      <c r="AG2138" s="1" t="str">
        <f aca="false">CHOOSE(ROUNDUP(VALUE(MID(B2138,4,2))/3,0),"Q1","Q2","Q3","Q4")</f>
        <v>Q3</v>
      </c>
    </row>
    <row r="2139" customFormat="false" ht="15" hidden="false" customHeight="true" outlineLevel="0" collapsed="false">
      <c r="A2139" s="1" t="s">
        <v>3004</v>
      </c>
      <c r="B2139" s="1" t="s">
        <v>1215</v>
      </c>
      <c r="C2139" s="1" t="s">
        <v>134</v>
      </c>
      <c r="D2139" s="1" t="s">
        <v>94</v>
      </c>
      <c r="E2139" s="1" t="s">
        <v>95</v>
      </c>
      <c r="F2139" s="1" t="s">
        <v>140</v>
      </c>
      <c r="G2139" s="1" t="s">
        <v>97</v>
      </c>
      <c r="H2139" s="1" t="s">
        <v>57</v>
      </c>
      <c r="I2139" s="1" t="s">
        <v>34</v>
      </c>
      <c r="J2139" s="1" t="s">
        <v>77</v>
      </c>
      <c r="K2139" s="1" t="s">
        <v>90</v>
      </c>
      <c r="L2139" s="1" t="s">
        <v>49</v>
      </c>
      <c r="M2139" s="1" t="s">
        <v>38</v>
      </c>
      <c r="N2139" s="1" t="n">
        <v>6999</v>
      </c>
      <c r="O2139" s="1" t="n">
        <v>20</v>
      </c>
      <c r="P2139" s="1" t="n">
        <v>1399.8</v>
      </c>
      <c r="Q2139" s="1" t="n">
        <v>5599.2</v>
      </c>
      <c r="R2139" s="1" t="n">
        <v>1007.86</v>
      </c>
      <c r="S2139" s="1" t="n">
        <v>4591.34</v>
      </c>
      <c r="T2139" s="1" t="n">
        <v>2425.5</v>
      </c>
      <c r="U2139" s="1" t="n">
        <v>2165.84</v>
      </c>
      <c r="V2139" s="1" t="n">
        <v>47.17</v>
      </c>
      <c r="W2139" s="1" t="s">
        <v>39</v>
      </c>
      <c r="Y2139" s="1" t="s">
        <v>40</v>
      </c>
      <c r="Z2139" s="1" t="n">
        <v>0</v>
      </c>
      <c r="AA2139" s="1" t="str">
        <f aca="false">TRIM(PROPER(F2139))</f>
        <v>Nashik</v>
      </c>
      <c r="AB2139" s="1" t="str">
        <f aca="false">TRIM(PROPER(C2139))</f>
        <v>Doubtnut</v>
      </c>
      <c r="AC2139" s="1" t="str">
        <f aca="false">IF(O2139=0,"No Discount",IF(O2139&lt;=15,"Low (1-15%)",IF(O2139&lt;=30,"Medium (16-30%)","High (&gt;30%)")))</f>
        <v>Medium (16-30%)</v>
      </c>
      <c r="AD2139" s="1" t="str">
        <f aca="false">IF(V2139&lt;0,"Loss Making",IF(V2139&lt;20,"Low Margin","Healthy Margin"))</f>
        <v>Healthy Margin</v>
      </c>
      <c r="AE2139" s="1" t="str">
        <f aca="false">TEXT(DATE(VALUE(RIGHT(B2139,4)),VALUE(MID(B2139,4,2)),VALUE(LEFT(B2139,2))),"MMM-YYYY")</f>
        <v>Oct-2024</v>
      </c>
      <c r="AF2139" s="1" t="n">
        <f aca="false">VALUE(RIGHT(B2139,4))</f>
        <v>2024</v>
      </c>
      <c r="AG2139" s="1" t="str">
        <f aca="false">CHOOSE(ROUNDUP(VALUE(MID(B2139,4,2))/3,0),"Q1","Q2","Q3","Q4")</f>
        <v>Q4</v>
      </c>
    </row>
    <row r="2140" customFormat="false" ht="15" hidden="false" customHeight="true" outlineLevel="0" collapsed="false">
      <c r="A2140" s="1" t="s">
        <v>3005</v>
      </c>
      <c r="B2140" s="1" t="s">
        <v>719</v>
      </c>
      <c r="C2140" s="1" t="s">
        <v>167</v>
      </c>
      <c r="D2140" s="1" t="s">
        <v>168</v>
      </c>
      <c r="E2140" s="1" t="s">
        <v>172</v>
      </c>
      <c r="F2140" s="1" t="s">
        <v>120</v>
      </c>
      <c r="G2140" s="1" t="s">
        <v>47</v>
      </c>
      <c r="H2140" s="1" t="s">
        <v>57</v>
      </c>
      <c r="I2140" s="1" t="s">
        <v>34</v>
      </c>
      <c r="J2140" s="1" t="s">
        <v>70</v>
      </c>
      <c r="K2140" s="1" t="s">
        <v>60</v>
      </c>
      <c r="L2140" s="1" t="s">
        <v>37</v>
      </c>
      <c r="M2140" s="1" t="s">
        <v>38</v>
      </c>
      <c r="N2140" s="1" t="n">
        <v>6999</v>
      </c>
      <c r="O2140" s="1" t="n">
        <v>0</v>
      </c>
      <c r="P2140" s="1" t="n">
        <v>0</v>
      </c>
      <c r="Q2140" s="1" t="n">
        <v>6999</v>
      </c>
      <c r="R2140" s="1" t="n">
        <v>1259.82</v>
      </c>
      <c r="S2140" s="1" t="n">
        <v>5739.18</v>
      </c>
      <c r="T2140" s="1" t="n">
        <v>2250.25</v>
      </c>
      <c r="U2140" s="1" t="n">
        <v>3488.93</v>
      </c>
      <c r="V2140" s="1" t="n">
        <v>60.79</v>
      </c>
      <c r="W2140" s="1" t="s">
        <v>40</v>
      </c>
      <c r="Y2140" s="1" t="s">
        <v>39</v>
      </c>
      <c r="Z2140" s="1" t="n">
        <v>0</v>
      </c>
      <c r="AA2140" s="1" t="str">
        <f aca="false">TRIM(PROPER(F2140))</f>
        <v>Mysuru</v>
      </c>
      <c r="AB2140" s="1" t="str">
        <f aca="false">TRIM(PROPER(C2140))</f>
        <v>Scaler</v>
      </c>
      <c r="AC2140" s="1" t="str">
        <f aca="false">IF(O2140=0,"No Discount",IF(O2140&lt;=15,"Low (1-15%)",IF(O2140&lt;=30,"Medium (16-30%)","High (&gt;30%)")))</f>
        <v>No Discount</v>
      </c>
      <c r="AD2140" s="1" t="str">
        <f aca="false">IF(V2140&lt;0,"Loss Making",IF(V2140&lt;20,"Low Margin","Healthy Margin"))</f>
        <v>Healthy Margin</v>
      </c>
      <c r="AE2140" s="1" t="str">
        <f aca="false">TEXT(DATE(VALUE(RIGHT(B2140,4)),VALUE(MID(B2140,4,2)),VALUE(LEFT(B2140,2))),"MMM-YYYY")</f>
        <v>Jan-2024</v>
      </c>
      <c r="AF2140" s="1" t="n">
        <f aca="false">VALUE(RIGHT(B2140,4))</f>
        <v>2024</v>
      </c>
      <c r="AG2140" s="1" t="str">
        <f aca="false">CHOOSE(ROUNDUP(VALUE(MID(B2140,4,2))/3,0),"Q1","Q2","Q3","Q4")</f>
        <v>Q1</v>
      </c>
    </row>
    <row r="2141" customFormat="false" ht="15" hidden="false" customHeight="true" outlineLevel="0" collapsed="false">
      <c r="A2141" s="1" t="s">
        <v>3006</v>
      </c>
      <c r="B2141" s="1" t="s">
        <v>2987</v>
      </c>
      <c r="C2141" s="1" t="s">
        <v>119</v>
      </c>
      <c r="D2141" s="1" t="s">
        <v>168</v>
      </c>
      <c r="E2141" s="1" t="s">
        <v>172</v>
      </c>
      <c r="F2141" s="1" t="s">
        <v>120</v>
      </c>
      <c r="G2141" s="1" t="s">
        <v>47</v>
      </c>
      <c r="H2141" s="1" t="s">
        <v>57</v>
      </c>
      <c r="I2141" s="1" t="s">
        <v>83</v>
      </c>
      <c r="J2141" s="1" t="s">
        <v>35</v>
      </c>
      <c r="K2141" s="1" t="s">
        <v>104</v>
      </c>
      <c r="L2141" s="1" t="s">
        <v>85</v>
      </c>
      <c r="M2141" s="1" t="s">
        <v>38</v>
      </c>
      <c r="N2141" s="1" t="n">
        <v>6999</v>
      </c>
      <c r="O2141" s="1" t="n">
        <v>20</v>
      </c>
      <c r="P2141" s="1" t="n">
        <v>1399.8</v>
      </c>
      <c r="Q2141" s="1" t="n">
        <v>5599.2</v>
      </c>
      <c r="R2141" s="1" t="n">
        <v>1007.86</v>
      </c>
      <c r="S2141" s="1" t="n">
        <v>4591.34</v>
      </c>
      <c r="T2141" s="1" t="n">
        <v>2061.2</v>
      </c>
      <c r="U2141" s="1" t="n">
        <v>2530.14</v>
      </c>
      <c r="V2141" s="1" t="n">
        <v>55.11</v>
      </c>
      <c r="W2141" s="1" t="s">
        <v>40</v>
      </c>
      <c r="Y2141" s="1" t="s">
        <v>40</v>
      </c>
      <c r="Z2141" s="1" t="n">
        <v>0</v>
      </c>
      <c r="AA2141" s="1" t="str">
        <f aca="false">TRIM(PROPER(F2141))</f>
        <v>Mysuru</v>
      </c>
      <c r="AB2141" s="1" t="str">
        <f aca="false">TRIM(PROPER(C2141))</f>
        <v>Simplilearn</v>
      </c>
      <c r="AC2141" s="1" t="str">
        <f aca="false">IF(O2141=0,"No Discount",IF(O2141&lt;=15,"Low (1-15%)",IF(O2141&lt;=30,"Medium (16-30%)","High (&gt;30%)")))</f>
        <v>Medium (16-30%)</v>
      </c>
      <c r="AD2141" s="1" t="str">
        <f aca="false">IF(V2141&lt;0,"Loss Making",IF(V2141&lt;20,"Low Margin","Healthy Margin"))</f>
        <v>Healthy Margin</v>
      </c>
      <c r="AE2141" s="1" t="str">
        <f aca="false">TEXT(DATE(VALUE(RIGHT(B2141,4)),VALUE(MID(B2141,4,2)),VALUE(LEFT(B2141,2))),"MMM-YYYY")</f>
        <v>Feb-2023</v>
      </c>
      <c r="AF2141" s="1" t="n">
        <f aca="false">VALUE(RIGHT(B2141,4))</f>
        <v>2023</v>
      </c>
      <c r="AG2141" s="1" t="str">
        <f aca="false">CHOOSE(ROUNDUP(VALUE(MID(B2141,4,2))/3,0),"Q1","Q2","Q3","Q4")</f>
        <v>Q1</v>
      </c>
    </row>
    <row r="2142" customFormat="false" ht="15" hidden="false" customHeight="true" outlineLevel="0" collapsed="false">
      <c r="A2142" s="1" t="s">
        <v>3007</v>
      </c>
      <c r="B2142" s="1" t="s">
        <v>774</v>
      </c>
      <c r="C2142" s="1" t="s">
        <v>264</v>
      </c>
      <c r="D2142" s="1" t="s">
        <v>53</v>
      </c>
      <c r="E2142" s="1" t="s">
        <v>216</v>
      </c>
      <c r="F2142" s="1" t="s">
        <v>184</v>
      </c>
      <c r="G2142" s="1" t="s">
        <v>56</v>
      </c>
      <c r="H2142" s="1" t="s">
        <v>57</v>
      </c>
      <c r="I2142" s="1" t="s">
        <v>34</v>
      </c>
      <c r="J2142" s="1" t="s">
        <v>35</v>
      </c>
      <c r="K2142" s="1" t="s">
        <v>48</v>
      </c>
      <c r="L2142" s="1" t="s">
        <v>85</v>
      </c>
      <c r="M2142" s="1" t="s">
        <v>50</v>
      </c>
      <c r="N2142" s="1" t="n">
        <v>7499</v>
      </c>
      <c r="O2142" s="1" t="n">
        <v>5</v>
      </c>
      <c r="P2142" s="1" t="n">
        <v>374.95</v>
      </c>
      <c r="Q2142" s="1" t="n">
        <v>7124.05</v>
      </c>
      <c r="R2142" s="1" t="n">
        <v>1282.33</v>
      </c>
      <c r="S2142" s="1" t="n">
        <v>5841.72</v>
      </c>
      <c r="T2142" s="1" t="n">
        <v>2777.6</v>
      </c>
      <c r="U2142" s="1" t="n">
        <v>3064.12</v>
      </c>
      <c r="V2142" s="1" t="n">
        <v>52.45</v>
      </c>
      <c r="W2142" s="1" t="s">
        <v>40</v>
      </c>
      <c r="Y2142" s="1" t="s">
        <v>40</v>
      </c>
      <c r="Z2142" s="1" t="n">
        <v>0</v>
      </c>
      <c r="AA2142" s="1" t="str">
        <f aca="false">TRIM(PROPER(F2142))</f>
        <v>Faridabad</v>
      </c>
      <c r="AB2142" s="1" t="str">
        <f aca="false">TRIM(PROPER(C2142))</f>
        <v>Unacademy</v>
      </c>
      <c r="AC2142" s="1" t="str">
        <f aca="false">IF(O2142=0,"No Discount",IF(O2142&lt;=15,"Low (1-15%)",IF(O2142&lt;=30,"Medium (16-30%)","High (&gt;30%)")))</f>
        <v>Low (1-15%)</v>
      </c>
      <c r="AD2142" s="1" t="str">
        <f aca="false">IF(V2142&lt;0,"Loss Making",IF(V2142&lt;20,"Low Margin","Healthy Margin"))</f>
        <v>Healthy Margin</v>
      </c>
      <c r="AE2142" s="1" t="str">
        <f aca="false">TEXT(DATE(VALUE(RIGHT(B2142,4)),VALUE(MID(B2142,4,2)),VALUE(LEFT(B2142,2))),"MMM-YYYY")</f>
        <v>Oct-2023</v>
      </c>
      <c r="AF2142" s="1" t="n">
        <f aca="false">VALUE(RIGHT(B2142,4))</f>
        <v>2023</v>
      </c>
      <c r="AG2142" s="1" t="str">
        <f aca="false">CHOOSE(ROUNDUP(VALUE(MID(B2142,4,2))/3,0),"Q1","Q2","Q3","Q4")</f>
        <v>Q4</v>
      </c>
    </row>
    <row r="2143" customFormat="false" ht="15" hidden="false" customHeight="true" outlineLevel="0" collapsed="false">
      <c r="A2143" s="1" t="s">
        <v>3008</v>
      </c>
      <c r="B2143" s="1" t="s">
        <v>1066</v>
      </c>
      <c r="C2143" s="1" t="s">
        <v>74</v>
      </c>
      <c r="D2143" s="1" t="s">
        <v>44</v>
      </c>
      <c r="E2143" s="1" t="s">
        <v>221</v>
      </c>
      <c r="F2143" s="1" t="s">
        <v>120</v>
      </c>
      <c r="G2143" s="1" t="s">
        <v>47</v>
      </c>
      <c r="H2143" s="1" t="s">
        <v>57</v>
      </c>
      <c r="I2143" s="1" t="s">
        <v>83</v>
      </c>
      <c r="J2143" s="1" t="s">
        <v>70</v>
      </c>
      <c r="K2143" s="1" t="s">
        <v>84</v>
      </c>
      <c r="L2143" s="1" t="s">
        <v>113</v>
      </c>
      <c r="M2143" s="1" t="s">
        <v>38</v>
      </c>
      <c r="N2143" s="1" t="n">
        <v>16999</v>
      </c>
      <c r="O2143" s="1" t="n">
        <v>20</v>
      </c>
      <c r="P2143" s="1" t="n">
        <v>3399.8</v>
      </c>
      <c r="Q2143" s="1" t="n">
        <v>13599.2</v>
      </c>
      <c r="R2143" s="1" t="n">
        <v>2447.86</v>
      </c>
      <c r="S2143" s="1" t="n">
        <v>11151.34</v>
      </c>
      <c r="T2143" s="1" t="n">
        <v>4031.07</v>
      </c>
      <c r="U2143" s="1" t="n">
        <v>7120.27</v>
      </c>
      <c r="V2143" s="1" t="n">
        <v>63.85</v>
      </c>
      <c r="W2143" s="1" t="s">
        <v>39</v>
      </c>
      <c r="X2143" s="1" t="n">
        <v>3.8</v>
      </c>
      <c r="Y2143" s="1" t="s">
        <v>40</v>
      </c>
      <c r="Z2143" s="1" t="n">
        <v>0</v>
      </c>
      <c r="AA2143" s="1" t="str">
        <f aca="false">TRIM(PROPER(F2143))</f>
        <v>Mysuru</v>
      </c>
      <c r="AB2143" s="1" t="str">
        <f aca="false">TRIM(PROPER(C2143))</f>
        <v>Vedantu</v>
      </c>
      <c r="AC2143" s="1" t="str">
        <f aca="false">IF(O2143=0,"No Discount",IF(O2143&lt;=15,"Low (1-15%)",IF(O2143&lt;=30,"Medium (16-30%)","High (&gt;30%)")))</f>
        <v>Medium (16-30%)</v>
      </c>
      <c r="AD2143" s="1" t="str">
        <f aca="false">IF(V2143&lt;0,"Loss Making",IF(V2143&lt;20,"Low Margin","Healthy Margin"))</f>
        <v>Healthy Margin</v>
      </c>
      <c r="AE2143" s="1" t="str">
        <f aca="false">TEXT(DATE(VALUE(RIGHT(B2143,4)),VALUE(MID(B2143,4,2)),VALUE(LEFT(B2143,2))),"MMM-YYYY")</f>
        <v>Jan-2024</v>
      </c>
      <c r="AF2143" s="1" t="n">
        <f aca="false">VALUE(RIGHT(B2143,4))</f>
        <v>2024</v>
      </c>
      <c r="AG2143" s="1" t="str">
        <f aca="false">CHOOSE(ROUNDUP(VALUE(MID(B2143,4,2))/3,0),"Q1","Q2","Q3","Q4")</f>
        <v>Q1</v>
      </c>
    </row>
    <row r="2144" customFormat="false" ht="15" hidden="false" customHeight="true" outlineLevel="0" collapsed="false">
      <c r="A2144" s="1" t="s">
        <v>3009</v>
      </c>
      <c r="B2144" s="1" t="s">
        <v>889</v>
      </c>
      <c r="C2144" s="1" t="s">
        <v>167</v>
      </c>
      <c r="D2144" s="1" t="s">
        <v>29</v>
      </c>
      <c r="E2144" s="1" t="s">
        <v>182</v>
      </c>
      <c r="F2144" s="1" t="s">
        <v>187</v>
      </c>
      <c r="G2144" s="1" t="s">
        <v>97</v>
      </c>
      <c r="H2144" s="1" t="s">
        <v>69</v>
      </c>
      <c r="I2144" s="1" t="s">
        <v>83</v>
      </c>
      <c r="J2144" s="1" t="s">
        <v>77</v>
      </c>
      <c r="K2144" s="1" t="s">
        <v>84</v>
      </c>
      <c r="L2144" s="1" t="s">
        <v>61</v>
      </c>
      <c r="M2144" s="1" t="s">
        <v>50</v>
      </c>
      <c r="N2144" s="1" t="n">
        <v>34999</v>
      </c>
      <c r="O2144" s="1" t="n">
        <v>0</v>
      </c>
      <c r="P2144" s="1" t="n">
        <v>0</v>
      </c>
      <c r="Q2144" s="1" t="n">
        <v>34999</v>
      </c>
      <c r="R2144" s="1" t="n">
        <v>6299.82</v>
      </c>
      <c r="S2144" s="1" t="n">
        <v>28699.18</v>
      </c>
      <c r="T2144" s="1" t="n">
        <v>10746.97</v>
      </c>
      <c r="U2144" s="1" t="n">
        <v>17952.21</v>
      </c>
      <c r="V2144" s="1" t="n">
        <v>62.55</v>
      </c>
      <c r="W2144" s="1" t="s">
        <v>39</v>
      </c>
      <c r="X2144" s="1" t="n">
        <v>3.9</v>
      </c>
      <c r="Y2144" s="1" t="s">
        <v>40</v>
      </c>
      <c r="Z2144" s="1" t="n">
        <v>0</v>
      </c>
      <c r="AA2144" s="1" t="str">
        <f aca="false">TRIM(PROPER(F2144))</f>
        <v>Mumbai</v>
      </c>
      <c r="AB2144" s="1" t="str">
        <f aca="false">TRIM(PROPER(C2144))</f>
        <v>Scaler</v>
      </c>
      <c r="AC2144" s="1" t="str">
        <f aca="false">IF(O2144=0,"No Discount",IF(O2144&lt;=15,"Low (1-15%)",IF(O2144&lt;=30,"Medium (16-30%)","High (&gt;30%)")))</f>
        <v>No Discount</v>
      </c>
      <c r="AD2144" s="1" t="str">
        <f aca="false">IF(V2144&lt;0,"Loss Making",IF(V2144&lt;20,"Low Margin","Healthy Margin"))</f>
        <v>Healthy Margin</v>
      </c>
      <c r="AE2144" s="1" t="str">
        <f aca="false">TEXT(DATE(VALUE(RIGHT(B2144,4)),VALUE(MID(B2144,4,2)),VALUE(LEFT(B2144,2))),"MMM-YYYY")</f>
        <v>Sep-2024</v>
      </c>
      <c r="AF2144" s="1" t="n">
        <f aca="false">VALUE(RIGHT(B2144,4))</f>
        <v>2024</v>
      </c>
      <c r="AG2144" s="1" t="str">
        <f aca="false">CHOOSE(ROUNDUP(VALUE(MID(B2144,4,2))/3,0),"Q1","Q2","Q3","Q4")</f>
        <v>Q3</v>
      </c>
    </row>
    <row r="2145" customFormat="false" ht="15" hidden="false" customHeight="true" outlineLevel="0" collapsed="false">
      <c r="A2145" s="1" t="s">
        <v>3010</v>
      </c>
      <c r="B2145" s="1" t="s">
        <v>1054</v>
      </c>
      <c r="C2145" s="1" t="s">
        <v>28</v>
      </c>
      <c r="D2145" s="1" t="s">
        <v>53</v>
      </c>
      <c r="E2145" s="1" t="s">
        <v>216</v>
      </c>
      <c r="F2145" s="1" t="s">
        <v>31</v>
      </c>
      <c r="G2145" s="1" t="s">
        <v>32</v>
      </c>
      <c r="H2145" s="1" t="s">
        <v>33</v>
      </c>
      <c r="I2145" s="1" t="s">
        <v>83</v>
      </c>
      <c r="J2145" s="1" t="s">
        <v>77</v>
      </c>
      <c r="K2145" s="1" t="s">
        <v>36</v>
      </c>
      <c r="L2145" s="1" t="s">
        <v>85</v>
      </c>
      <c r="M2145" s="1" t="s">
        <v>38</v>
      </c>
      <c r="N2145" s="1" t="n">
        <v>7499</v>
      </c>
      <c r="O2145" s="1" t="n">
        <v>0</v>
      </c>
      <c r="P2145" s="1" t="n">
        <v>0</v>
      </c>
      <c r="Q2145" s="1" t="n">
        <v>7499</v>
      </c>
      <c r="R2145" s="1" t="n">
        <v>1349.82</v>
      </c>
      <c r="S2145" s="1" t="n">
        <v>6149.18</v>
      </c>
      <c r="T2145" s="1" t="n">
        <v>2334.39</v>
      </c>
      <c r="U2145" s="1" t="n">
        <v>3814.79</v>
      </c>
      <c r="V2145" s="1" t="n">
        <v>62.04</v>
      </c>
      <c r="W2145" s="1" t="s">
        <v>40</v>
      </c>
      <c r="Y2145" s="1" t="s">
        <v>40</v>
      </c>
      <c r="Z2145" s="1" t="n">
        <v>1</v>
      </c>
      <c r="AA2145" s="1" t="str">
        <f aca="false">TRIM(PROPER(F2145))</f>
        <v>Jodhpur</v>
      </c>
      <c r="AB2145" s="1" t="str">
        <f aca="false">TRIM(PROPER(C2145))</f>
        <v>Embibe</v>
      </c>
      <c r="AC2145" s="1" t="str">
        <f aca="false">IF(O2145=0,"No Discount",IF(O2145&lt;=15,"Low (1-15%)",IF(O2145&lt;=30,"Medium (16-30%)","High (&gt;30%)")))</f>
        <v>No Discount</v>
      </c>
      <c r="AD2145" s="1" t="str">
        <f aca="false">IF(V2145&lt;0,"Loss Making",IF(V2145&lt;20,"Low Margin","Healthy Margin"))</f>
        <v>Healthy Margin</v>
      </c>
      <c r="AE2145" s="1" t="str">
        <f aca="false">TEXT(DATE(VALUE(RIGHT(B2145,4)),VALUE(MID(B2145,4,2)),VALUE(LEFT(B2145,2))),"MMM-YYYY")</f>
        <v>Nov-2024</v>
      </c>
      <c r="AF2145" s="1" t="n">
        <f aca="false">VALUE(RIGHT(B2145,4))</f>
        <v>2024</v>
      </c>
      <c r="AG2145" s="1" t="str">
        <f aca="false">CHOOSE(ROUNDUP(VALUE(MID(B2145,4,2))/3,0),"Q1","Q2","Q3","Q4")</f>
        <v>Q4</v>
      </c>
    </row>
    <row r="2146" customFormat="false" ht="15" hidden="false" customHeight="true" outlineLevel="0" collapsed="false">
      <c r="A2146" s="1" t="s">
        <v>3011</v>
      </c>
      <c r="B2146" s="1" t="s">
        <v>1253</v>
      </c>
      <c r="C2146" s="1" t="s">
        <v>65</v>
      </c>
      <c r="D2146" s="1" t="s">
        <v>123</v>
      </c>
      <c r="E2146" s="1" t="s">
        <v>233</v>
      </c>
      <c r="F2146" s="1" t="s">
        <v>75</v>
      </c>
      <c r="G2146" s="1" t="s">
        <v>76</v>
      </c>
      <c r="H2146" s="1" t="s">
        <v>69</v>
      </c>
      <c r="I2146" s="1" t="s">
        <v>58</v>
      </c>
      <c r="J2146" s="1" t="s">
        <v>131</v>
      </c>
      <c r="K2146" s="1" t="s">
        <v>90</v>
      </c>
      <c r="L2146" s="1" t="s">
        <v>61</v>
      </c>
      <c r="M2146" s="1" t="s">
        <v>38</v>
      </c>
      <c r="N2146" s="1" t="n">
        <v>8999</v>
      </c>
      <c r="O2146" s="1" t="n">
        <v>0</v>
      </c>
      <c r="P2146" s="1" t="n">
        <v>0</v>
      </c>
      <c r="Q2146" s="1" t="n">
        <v>8999</v>
      </c>
      <c r="R2146" s="1" t="n">
        <v>1619.82</v>
      </c>
      <c r="S2146" s="1" t="n">
        <v>7379.18</v>
      </c>
      <c r="T2146" s="1" t="n">
        <v>3192.06</v>
      </c>
      <c r="U2146" s="1" t="n">
        <v>4187.12</v>
      </c>
      <c r="V2146" s="1" t="n">
        <v>56.74</v>
      </c>
      <c r="W2146" s="1" t="s">
        <v>39</v>
      </c>
      <c r="Y2146" s="1" t="s">
        <v>40</v>
      </c>
      <c r="Z2146" s="1" t="n">
        <v>1</v>
      </c>
      <c r="AA2146" s="1" t="str">
        <f aca="false">TRIM(PROPER(F2146))</f>
        <v>Kolkata</v>
      </c>
      <c r="AB2146" s="1" t="str">
        <f aca="false">TRIM(PROPER(C2146))</f>
        <v>Toppr</v>
      </c>
      <c r="AC2146" s="1" t="str">
        <f aca="false">IF(O2146=0,"No Discount",IF(O2146&lt;=15,"Low (1-15%)",IF(O2146&lt;=30,"Medium (16-30%)","High (&gt;30%)")))</f>
        <v>No Discount</v>
      </c>
      <c r="AD2146" s="1" t="str">
        <f aca="false">IF(V2146&lt;0,"Loss Making",IF(V2146&lt;20,"Low Margin","Healthy Margin"))</f>
        <v>Healthy Margin</v>
      </c>
      <c r="AE2146" s="1" t="str">
        <f aca="false">TEXT(DATE(VALUE(RIGHT(B2146,4)),VALUE(MID(B2146,4,2)),VALUE(LEFT(B2146,2))),"MMM-YYYY")</f>
        <v>Jun-2024</v>
      </c>
      <c r="AF2146" s="1" t="n">
        <f aca="false">VALUE(RIGHT(B2146,4))</f>
        <v>2024</v>
      </c>
      <c r="AG2146" s="1" t="str">
        <f aca="false">CHOOSE(ROUNDUP(VALUE(MID(B2146,4,2))/3,0),"Q1","Q2","Q3","Q4")</f>
        <v>Q2</v>
      </c>
    </row>
    <row r="2147" customFormat="false" ht="15" hidden="false" customHeight="true" outlineLevel="0" collapsed="false">
      <c r="A2147" s="1" t="s">
        <v>3012</v>
      </c>
      <c r="B2147" s="1" t="s">
        <v>322</v>
      </c>
      <c r="C2147" s="1" t="s">
        <v>43</v>
      </c>
      <c r="D2147" s="1" t="s">
        <v>80</v>
      </c>
      <c r="E2147" s="1" t="s">
        <v>190</v>
      </c>
      <c r="F2147" s="1" t="s">
        <v>46</v>
      </c>
      <c r="G2147" s="1" t="s">
        <v>47</v>
      </c>
      <c r="H2147" s="1" t="s">
        <v>33</v>
      </c>
      <c r="I2147" s="1" t="s">
        <v>58</v>
      </c>
      <c r="J2147" s="1" t="s">
        <v>70</v>
      </c>
      <c r="K2147" s="1" t="s">
        <v>36</v>
      </c>
      <c r="L2147" s="1" t="s">
        <v>61</v>
      </c>
      <c r="M2147" s="1" t="s">
        <v>38</v>
      </c>
      <c r="N2147" s="1" t="n">
        <v>15999</v>
      </c>
      <c r="O2147" s="1" t="n">
        <v>10</v>
      </c>
      <c r="P2147" s="1" t="n">
        <v>1599.9</v>
      </c>
      <c r="Q2147" s="1" t="n">
        <v>14399.1</v>
      </c>
      <c r="R2147" s="1" t="n">
        <v>2591.84</v>
      </c>
      <c r="S2147" s="1" t="n">
        <v>11807.26</v>
      </c>
      <c r="T2147" s="1" t="n">
        <v>4313.81</v>
      </c>
      <c r="U2147" s="1" t="n">
        <v>7493.45</v>
      </c>
      <c r="V2147" s="1" t="n">
        <v>63.46</v>
      </c>
      <c r="W2147" s="1" t="s">
        <v>40</v>
      </c>
      <c r="Y2147" s="1" t="s">
        <v>40</v>
      </c>
      <c r="Z2147" s="1" t="n">
        <v>0</v>
      </c>
      <c r="AA2147" s="1" t="str">
        <f aca="false">TRIM(PROPER(F2147))</f>
        <v>Mangaluru</v>
      </c>
      <c r="AB2147" s="1" t="str">
        <f aca="false">TRIM(PROPER(C2147))</f>
        <v>Meritnation</v>
      </c>
      <c r="AC2147" s="1" t="str">
        <f aca="false">IF(O2147=0,"No Discount",IF(O2147&lt;=15,"Low (1-15%)",IF(O2147&lt;=30,"Medium (16-30%)","High (&gt;30%)")))</f>
        <v>Low (1-15%)</v>
      </c>
      <c r="AD2147" s="1" t="str">
        <f aca="false">IF(V2147&lt;0,"Loss Making",IF(V2147&lt;20,"Low Margin","Healthy Margin"))</f>
        <v>Healthy Margin</v>
      </c>
      <c r="AE2147" s="1" t="str">
        <f aca="false">TEXT(DATE(VALUE(RIGHT(B2147,4)),VALUE(MID(B2147,4,2)),VALUE(LEFT(B2147,2))),"MMM-YYYY")</f>
        <v>Feb-2023</v>
      </c>
      <c r="AF2147" s="1" t="n">
        <f aca="false">VALUE(RIGHT(B2147,4))</f>
        <v>2023</v>
      </c>
      <c r="AG2147" s="1" t="str">
        <f aca="false">CHOOSE(ROUNDUP(VALUE(MID(B2147,4,2))/3,0),"Q1","Q2","Q3","Q4")</f>
        <v>Q1</v>
      </c>
    </row>
    <row r="2148" customFormat="false" ht="15" hidden="false" customHeight="true" outlineLevel="0" collapsed="false">
      <c r="A2148" s="1" t="s">
        <v>3013</v>
      </c>
      <c r="B2148" s="1" t="s">
        <v>2382</v>
      </c>
      <c r="C2148" s="1" t="s">
        <v>167</v>
      </c>
      <c r="D2148" s="1" t="s">
        <v>143</v>
      </c>
      <c r="E2148" s="1" t="s">
        <v>162</v>
      </c>
      <c r="F2148" s="1" t="s">
        <v>140</v>
      </c>
      <c r="G2148" s="1" t="s">
        <v>97</v>
      </c>
      <c r="H2148" s="1" t="s">
        <v>57</v>
      </c>
      <c r="I2148" s="1" t="s">
        <v>58</v>
      </c>
      <c r="J2148" s="1" t="s">
        <v>77</v>
      </c>
      <c r="K2148" s="1" t="s">
        <v>112</v>
      </c>
      <c r="L2148" s="1" t="s">
        <v>113</v>
      </c>
      <c r="M2148" s="1" t="s">
        <v>50</v>
      </c>
      <c r="N2148" s="1" t="n">
        <v>14999</v>
      </c>
      <c r="O2148" s="1" t="n">
        <v>10</v>
      </c>
      <c r="P2148" s="1" t="n">
        <v>1499.9</v>
      </c>
      <c r="Q2148" s="1" t="n">
        <v>13499.1</v>
      </c>
      <c r="R2148" s="1" t="n">
        <v>2429.84</v>
      </c>
      <c r="S2148" s="1" t="n">
        <v>11069.26</v>
      </c>
      <c r="T2148" s="1" t="n">
        <v>4920.97</v>
      </c>
      <c r="U2148" s="1" t="n">
        <v>6148.29</v>
      </c>
      <c r="V2148" s="1" t="n">
        <v>55.54</v>
      </c>
      <c r="W2148" s="1" t="s">
        <v>40</v>
      </c>
      <c r="Y2148" s="1" t="s">
        <v>40</v>
      </c>
      <c r="Z2148" s="1" t="n">
        <v>0</v>
      </c>
      <c r="AA2148" s="1" t="str">
        <f aca="false">TRIM(PROPER(F2148))</f>
        <v>Nashik</v>
      </c>
      <c r="AB2148" s="1" t="str">
        <f aca="false">TRIM(PROPER(C2148))</f>
        <v>Scaler</v>
      </c>
      <c r="AC2148" s="1" t="str">
        <f aca="false">IF(O2148=0,"No Discount",IF(O2148&lt;=15,"Low (1-15%)",IF(O2148&lt;=30,"Medium (16-30%)","High (&gt;30%)")))</f>
        <v>Low (1-15%)</v>
      </c>
      <c r="AD2148" s="1" t="str">
        <f aca="false">IF(V2148&lt;0,"Loss Making",IF(V2148&lt;20,"Low Margin","Healthy Margin"))</f>
        <v>Healthy Margin</v>
      </c>
      <c r="AE2148" s="1" t="str">
        <f aca="false">TEXT(DATE(VALUE(RIGHT(B2148,4)),VALUE(MID(B2148,4,2)),VALUE(LEFT(B2148,2))),"MMM-YYYY")</f>
        <v>Jan-2023</v>
      </c>
      <c r="AF2148" s="1" t="n">
        <f aca="false">VALUE(RIGHT(B2148,4))</f>
        <v>2023</v>
      </c>
      <c r="AG2148" s="1" t="str">
        <f aca="false">CHOOSE(ROUNDUP(VALUE(MID(B2148,4,2))/3,0),"Q1","Q2","Q3","Q4")</f>
        <v>Q1</v>
      </c>
    </row>
    <row r="2149" customFormat="false" ht="15" hidden="false" customHeight="true" outlineLevel="0" collapsed="false">
      <c r="A2149" s="1" t="s">
        <v>3014</v>
      </c>
      <c r="B2149" s="1" t="s">
        <v>52</v>
      </c>
      <c r="C2149" s="1" t="s">
        <v>74</v>
      </c>
      <c r="D2149" s="1" t="s">
        <v>29</v>
      </c>
      <c r="E2149" s="1" t="s">
        <v>305</v>
      </c>
      <c r="F2149" s="1" t="s">
        <v>46</v>
      </c>
      <c r="G2149" s="1" t="s">
        <v>47</v>
      </c>
      <c r="H2149" s="1" t="s">
        <v>33</v>
      </c>
      <c r="I2149" s="1" t="s">
        <v>58</v>
      </c>
      <c r="J2149" s="1" t="s">
        <v>35</v>
      </c>
      <c r="K2149" s="1" t="s">
        <v>60</v>
      </c>
      <c r="L2149" s="1" t="s">
        <v>37</v>
      </c>
      <c r="M2149" s="1" t="s">
        <v>62</v>
      </c>
      <c r="N2149" s="1" t="n">
        <v>24999</v>
      </c>
      <c r="O2149" s="1" t="n">
        <v>10</v>
      </c>
      <c r="P2149" s="1" t="n">
        <v>2499.9</v>
      </c>
      <c r="Q2149" s="1" t="n">
        <v>22499.1</v>
      </c>
      <c r="R2149" s="1" t="n">
        <v>4049.84</v>
      </c>
      <c r="S2149" s="1" t="n">
        <v>18449.26</v>
      </c>
      <c r="T2149" s="1" t="n">
        <v>7203.23</v>
      </c>
      <c r="U2149" s="1" t="n">
        <v>11246.03</v>
      </c>
      <c r="V2149" s="1" t="n">
        <v>60.96</v>
      </c>
      <c r="W2149" s="1" t="s">
        <v>40</v>
      </c>
      <c r="Y2149" s="1" t="s">
        <v>40</v>
      </c>
      <c r="Z2149" s="1" t="n">
        <v>1</v>
      </c>
      <c r="AA2149" s="1" t="str">
        <f aca="false">TRIM(PROPER(F2149))</f>
        <v>Mangaluru</v>
      </c>
      <c r="AB2149" s="1" t="str">
        <f aca="false">TRIM(PROPER(C2149))</f>
        <v>Vedantu</v>
      </c>
      <c r="AC2149" s="1" t="str">
        <f aca="false">IF(O2149=0,"No Discount",IF(O2149&lt;=15,"Low (1-15%)",IF(O2149&lt;=30,"Medium (16-30%)","High (&gt;30%)")))</f>
        <v>Low (1-15%)</v>
      </c>
      <c r="AD2149" s="1" t="str">
        <f aca="false">IF(V2149&lt;0,"Loss Making",IF(V2149&lt;20,"Low Margin","Healthy Margin"))</f>
        <v>Healthy Margin</v>
      </c>
      <c r="AE2149" s="1" t="str">
        <f aca="false">TEXT(DATE(VALUE(RIGHT(B2149,4)),VALUE(MID(B2149,4,2)),VALUE(LEFT(B2149,2))),"MMM-YYYY")</f>
        <v>Dec-2024</v>
      </c>
      <c r="AF2149" s="1" t="n">
        <f aca="false">VALUE(RIGHT(B2149,4))</f>
        <v>2024</v>
      </c>
      <c r="AG2149" s="1" t="str">
        <f aca="false">CHOOSE(ROUNDUP(VALUE(MID(B2149,4,2))/3,0),"Q1","Q2","Q3","Q4")</f>
        <v>Q4</v>
      </c>
    </row>
    <row r="2150" customFormat="false" ht="15" hidden="false" customHeight="true" outlineLevel="0" collapsed="false">
      <c r="A2150" s="1" t="s">
        <v>3015</v>
      </c>
      <c r="B2150" s="1" t="s">
        <v>653</v>
      </c>
      <c r="C2150" s="1" t="s">
        <v>43</v>
      </c>
      <c r="D2150" s="1" t="s">
        <v>143</v>
      </c>
      <c r="E2150" s="1" t="s">
        <v>210</v>
      </c>
      <c r="F2150" s="1" t="s">
        <v>269</v>
      </c>
      <c r="G2150" s="1" t="s">
        <v>108</v>
      </c>
      <c r="H2150" s="1" t="s">
        <v>57</v>
      </c>
      <c r="I2150" s="1" t="s">
        <v>83</v>
      </c>
      <c r="J2150" s="1" t="s">
        <v>70</v>
      </c>
      <c r="K2150" s="1" t="s">
        <v>112</v>
      </c>
      <c r="L2150" s="1" t="s">
        <v>61</v>
      </c>
      <c r="M2150" s="1" t="s">
        <v>50</v>
      </c>
      <c r="N2150" s="1" t="n">
        <v>18999</v>
      </c>
      <c r="O2150" s="1" t="n">
        <v>30</v>
      </c>
      <c r="P2150" s="1" t="n">
        <v>5699.7</v>
      </c>
      <c r="Q2150" s="1" t="n">
        <v>13299.3</v>
      </c>
      <c r="R2150" s="1" t="n">
        <v>2393.87</v>
      </c>
      <c r="S2150" s="1" t="n">
        <v>10905.43</v>
      </c>
      <c r="T2150" s="1" t="n">
        <v>5987.91</v>
      </c>
      <c r="U2150" s="1" t="n">
        <v>4917.52</v>
      </c>
      <c r="V2150" s="1" t="n">
        <v>45.09</v>
      </c>
      <c r="W2150" s="1" t="s">
        <v>40</v>
      </c>
      <c r="Y2150" s="1" t="s">
        <v>40</v>
      </c>
      <c r="Z2150" s="1" t="n">
        <v>2</v>
      </c>
      <c r="AA2150" s="1" t="str">
        <f aca="false">TRIM(PROPER(F2150))</f>
        <v>Coimbatore</v>
      </c>
      <c r="AB2150" s="1" t="str">
        <f aca="false">TRIM(PROPER(C2150))</f>
        <v>Meritnation</v>
      </c>
      <c r="AC2150" s="1" t="str">
        <f aca="false">IF(O2150=0,"No Discount",IF(O2150&lt;=15,"Low (1-15%)",IF(O2150&lt;=30,"Medium (16-30%)","High (&gt;30%)")))</f>
        <v>Medium (16-30%)</v>
      </c>
      <c r="AD2150" s="1" t="str">
        <f aca="false">IF(V2150&lt;0,"Loss Making",IF(V2150&lt;20,"Low Margin","Healthy Margin"))</f>
        <v>Healthy Margin</v>
      </c>
      <c r="AE2150" s="1" t="str">
        <f aca="false">TEXT(DATE(VALUE(RIGHT(B2150,4)),VALUE(MID(B2150,4,2)),VALUE(LEFT(B2150,2))),"MMM-YYYY")</f>
        <v>Aug-2024</v>
      </c>
      <c r="AF2150" s="1" t="n">
        <f aca="false">VALUE(RIGHT(B2150,4))</f>
        <v>2024</v>
      </c>
      <c r="AG2150" s="1" t="str">
        <f aca="false">CHOOSE(ROUNDUP(VALUE(MID(B2150,4,2))/3,0),"Q1","Q2","Q3","Q4")</f>
        <v>Q3</v>
      </c>
    </row>
    <row r="2151" customFormat="false" ht="15" hidden="false" customHeight="true" outlineLevel="0" collapsed="false">
      <c r="A2151" s="1" t="s">
        <v>3016</v>
      </c>
      <c r="B2151" s="1" t="s">
        <v>918</v>
      </c>
      <c r="C2151" s="1" t="s">
        <v>249</v>
      </c>
      <c r="D2151" s="1" t="s">
        <v>168</v>
      </c>
      <c r="E2151" s="1" t="s">
        <v>197</v>
      </c>
      <c r="F2151" s="1" t="s">
        <v>82</v>
      </c>
      <c r="G2151" s="1" t="s">
        <v>56</v>
      </c>
      <c r="H2151" s="1" t="s">
        <v>69</v>
      </c>
      <c r="I2151" s="1" t="s">
        <v>83</v>
      </c>
      <c r="J2151" s="1" t="s">
        <v>35</v>
      </c>
      <c r="K2151" s="1" t="s">
        <v>90</v>
      </c>
      <c r="L2151" s="1" t="s">
        <v>37</v>
      </c>
      <c r="M2151" s="1" t="s">
        <v>38</v>
      </c>
      <c r="N2151" s="1" t="n">
        <v>8499</v>
      </c>
      <c r="O2151" s="1" t="n">
        <v>40</v>
      </c>
      <c r="P2151" s="1" t="n">
        <v>3399.6</v>
      </c>
      <c r="Q2151" s="1" t="n">
        <v>5099.4</v>
      </c>
      <c r="R2151" s="1" t="n">
        <v>917.89</v>
      </c>
      <c r="S2151" s="1" t="n">
        <v>4181.51</v>
      </c>
      <c r="T2151" s="1" t="n">
        <v>2403.83</v>
      </c>
      <c r="U2151" s="1" t="n">
        <v>1777.68</v>
      </c>
      <c r="V2151" s="1" t="n">
        <v>42.51</v>
      </c>
      <c r="W2151" s="1" t="s">
        <v>39</v>
      </c>
      <c r="X2151" s="1" t="n">
        <v>3.6</v>
      </c>
      <c r="Y2151" s="1" t="s">
        <v>40</v>
      </c>
      <c r="Z2151" s="1" t="n">
        <v>0</v>
      </c>
      <c r="AA2151" s="1" t="str">
        <f aca="false">TRIM(PROPER(F2151))</f>
        <v>Gurugram</v>
      </c>
      <c r="AB2151" s="1" t="str">
        <f aca="false">TRIM(PROPER(C2151))</f>
        <v>Whitehat Jr</v>
      </c>
      <c r="AC2151" s="1" t="str">
        <f aca="false">IF(O2151=0,"No Discount",IF(O2151&lt;=15,"Low (1-15%)",IF(O2151&lt;=30,"Medium (16-30%)","High (&gt;30%)")))</f>
        <v>High (&gt;30%)</v>
      </c>
      <c r="AD2151" s="1" t="str">
        <f aca="false">IF(V2151&lt;0,"Loss Making",IF(V2151&lt;20,"Low Margin","Healthy Margin"))</f>
        <v>Healthy Margin</v>
      </c>
      <c r="AE2151" s="1" t="str">
        <f aca="false">TEXT(DATE(VALUE(RIGHT(B2151,4)),VALUE(MID(B2151,4,2)),VALUE(LEFT(B2151,2))),"MMM-YYYY")</f>
        <v>Feb-2024</v>
      </c>
      <c r="AF2151" s="1" t="n">
        <f aca="false">VALUE(RIGHT(B2151,4))</f>
        <v>2024</v>
      </c>
      <c r="AG2151" s="1" t="str">
        <f aca="false">CHOOSE(ROUNDUP(VALUE(MID(B2151,4,2))/3,0),"Q1","Q2","Q3","Q4")</f>
        <v>Q1</v>
      </c>
    </row>
    <row r="2152" customFormat="false" ht="15" hidden="false" customHeight="true" outlineLevel="0" collapsed="false">
      <c r="A2152" s="1" t="s">
        <v>3017</v>
      </c>
      <c r="B2152" s="1" t="s">
        <v>1242</v>
      </c>
      <c r="C2152" s="1" t="s">
        <v>88</v>
      </c>
      <c r="D2152" s="1" t="s">
        <v>53</v>
      </c>
      <c r="E2152" s="1" t="s">
        <v>216</v>
      </c>
      <c r="F2152" s="1" t="s">
        <v>82</v>
      </c>
      <c r="G2152" s="1" t="s">
        <v>56</v>
      </c>
      <c r="H2152" s="1" t="s">
        <v>69</v>
      </c>
      <c r="I2152" s="1" t="s">
        <v>34</v>
      </c>
      <c r="J2152" s="1" t="s">
        <v>70</v>
      </c>
      <c r="K2152" s="1" t="s">
        <v>71</v>
      </c>
      <c r="L2152" s="1" t="s">
        <v>61</v>
      </c>
      <c r="M2152" s="1" t="s">
        <v>62</v>
      </c>
      <c r="N2152" s="1" t="n">
        <v>7499</v>
      </c>
      <c r="O2152" s="1" t="n">
        <v>5</v>
      </c>
      <c r="P2152" s="1" t="n">
        <v>374.95</v>
      </c>
      <c r="Q2152" s="1" t="n">
        <v>7124.05</v>
      </c>
      <c r="R2152" s="1" t="n">
        <v>1282.33</v>
      </c>
      <c r="S2152" s="1" t="n">
        <v>5841.72</v>
      </c>
      <c r="T2152" s="1" t="n">
        <v>2168.86</v>
      </c>
      <c r="U2152" s="1" t="n">
        <v>3672.86</v>
      </c>
      <c r="V2152" s="1" t="n">
        <v>62.87</v>
      </c>
      <c r="W2152" s="1" t="s">
        <v>39</v>
      </c>
      <c r="X2152" s="1" t="n">
        <v>3.5</v>
      </c>
      <c r="Y2152" s="1" t="s">
        <v>40</v>
      </c>
      <c r="Z2152" s="1" t="n">
        <v>1</v>
      </c>
      <c r="AA2152" s="1" t="str">
        <f aca="false">TRIM(PROPER(F2152))</f>
        <v>Gurugram</v>
      </c>
      <c r="AB2152" s="1" t="str">
        <f aca="false">TRIM(PROPER(C2152))</f>
        <v>Byju'S</v>
      </c>
      <c r="AC2152" s="1" t="str">
        <f aca="false">IF(O2152=0,"No Discount",IF(O2152&lt;=15,"Low (1-15%)",IF(O2152&lt;=30,"Medium (16-30%)","High (&gt;30%)")))</f>
        <v>Low (1-15%)</v>
      </c>
      <c r="AD2152" s="1" t="str">
        <f aca="false">IF(V2152&lt;0,"Loss Making",IF(V2152&lt;20,"Low Margin","Healthy Margin"))</f>
        <v>Healthy Margin</v>
      </c>
      <c r="AE2152" s="1" t="str">
        <f aca="false">TEXT(DATE(VALUE(RIGHT(B2152,4)),VALUE(MID(B2152,4,2)),VALUE(LEFT(B2152,2))),"MMM-YYYY")</f>
        <v>Jan-2023</v>
      </c>
      <c r="AF2152" s="1" t="n">
        <f aca="false">VALUE(RIGHT(B2152,4))</f>
        <v>2023</v>
      </c>
      <c r="AG2152" s="1" t="str">
        <f aca="false">CHOOSE(ROUNDUP(VALUE(MID(B2152,4,2))/3,0),"Q1","Q2","Q3","Q4")</f>
        <v>Q1</v>
      </c>
    </row>
    <row r="2153" customFormat="false" ht="15" hidden="false" customHeight="true" outlineLevel="0" collapsed="false">
      <c r="A2153" s="1" t="s">
        <v>3018</v>
      </c>
      <c r="B2153" s="1" t="s">
        <v>1145</v>
      </c>
      <c r="C2153" s="1" t="s">
        <v>249</v>
      </c>
      <c r="D2153" s="1" t="s">
        <v>53</v>
      </c>
      <c r="E2153" s="1" t="s">
        <v>116</v>
      </c>
      <c r="F2153" s="1" t="s">
        <v>67</v>
      </c>
      <c r="G2153" s="1" t="s">
        <v>68</v>
      </c>
      <c r="H2153" s="1" t="s">
        <v>69</v>
      </c>
      <c r="I2153" s="1" t="s">
        <v>58</v>
      </c>
      <c r="J2153" s="1" t="s">
        <v>35</v>
      </c>
      <c r="K2153" s="1" t="s">
        <v>112</v>
      </c>
      <c r="L2153" s="1" t="s">
        <v>136</v>
      </c>
      <c r="M2153" s="1" t="s">
        <v>50</v>
      </c>
      <c r="N2153" s="1" t="n">
        <v>9999</v>
      </c>
      <c r="O2153" s="1" t="n">
        <v>50</v>
      </c>
      <c r="P2153" s="1" t="n">
        <v>4999.5</v>
      </c>
      <c r="Q2153" s="1" t="n">
        <v>4999.5</v>
      </c>
      <c r="R2153" s="1" t="n">
        <v>899.91</v>
      </c>
      <c r="S2153" s="1" t="n">
        <v>4099.59</v>
      </c>
      <c r="T2153" s="1" t="n">
        <v>1810.47</v>
      </c>
      <c r="U2153" s="1" t="n">
        <v>2289.12</v>
      </c>
      <c r="V2153" s="1" t="n">
        <v>55.84</v>
      </c>
      <c r="W2153" s="1" t="s">
        <v>40</v>
      </c>
      <c r="Y2153" s="1" t="s">
        <v>40</v>
      </c>
      <c r="Z2153" s="1" t="n">
        <v>0</v>
      </c>
      <c r="AA2153" s="1" t="str">
        <f aca="false">TRIM(PROPER(F2153))</f>
        <v>Ahmedabad</v>
      </c>
      <c r="AB2153" s="1" t="str">
        <f aca="false">TRIM(PROPER(C2153))</f>
        <v>Whitehat Jr</v>
      </c>
      <c r="AC2153" s="1" t="str">
        <f aca="false">IF(O2153=0,"No Discount",IF(O2153&lt;=15,"Low (1-15%)",IF(O2153&lt;=30,"Medium (16-30%)","High (&gt;30%)")))</f>
        <v>High (&gt;30%)</v>
      </c>
      <c r="AD2153" s="1" t="str">
        <f aca="false">IF(V2153&lt;0,"Loss Making",IF(V2153&lt;20,"Low Margin","Healthy Margin"))</f>
        <v>Healthy Margin</v>
      </c>
      <c r="AE2153" s="1" t="str">
        <f aca="false">TEXT(DATE(VALUE(RIGHT(B2153,4)),VALUE(MID(B2153,4,2)),VALUE(LEFT(B2153,2))),"MMM-YYYY")</f>
        <v>Jul-2024</v>
      </c>
      <c r="AF2153" s="1" t="n">
        <f aca="false">VALUE(RIGHT(B2153,4))</f>
        <v>2024</v>
      </c>
      <c r="AG2153" s="1" t="str">
        <f aca="false">CHOOSE(ROUNDUP(VALUE(MID(B2153,4,2))/3,0),"Q1","Q2","Q3","Q4")</f>
        <v>Q3</v>
      </c>
    </row>
    <row r="2154" customFormat="false" ht="15" hidden="false" customHeight="true" outlineLevel="0" collapsed="false">
      <c r="A2154" s="1" t="s">
        <v>3019</v>
      </c>
      <c r="B2154" s="1" t="s">
        <v>311</v>
      </c>
      <c r="C2154" s="1" t="s">
        <v>74</v>
      </c>
      <c r="D2154" s="1" t="s">
        <v>94</v>
      </c>
      <c r="E2154" s="1" t="s">
        <v>101</v>
      </c>
      <c r="F2154" s="1" t="s">
        <v>46</v>
      </c>
      <c r="G2154" s="1" t="s">
        <v>47</v>
      </c>
      <c r="H2154" s="1" t="s">
        <v>33</v>
      </c>
      <c r="I2154" s="1" t="s">
        <v>34</v>
      </c>
      <c r="J2154" s="1" t="s">
        <v>131</v>
      </c>
      <c r="K2154" s="1" t="s">
        <v>48</v>
      </c>
      <c r="L2154" s="1" t="s">
        <v>49</v>
      </c>
      <c r="M2154" s="1" t="s">
        <v>38</v>
      </c>
      <c r="N2154" s="1" t="n">
        <v>14999</v>
      </c>
      <c r="O2154" s="1" t="n">
        <v>15</v>
      </c>
      <c r="P2154" s="1" t="n">
        <v>2249.85</v>
      </c>
      <c r="Q2154" s="1" t="n">
        <v>12749.15</v>
      </c>
      <c r="R2154" s="1" t="n">
        <v>2294.85</v>
      </c>
      <c r="S2154" s="1" t="n">
        <v>10454.3</v>
      </c>
      <c r="T2154" s="1" t="n">
        <v>4839.07</v>
      </c>
      <c r="U2154" s="1" t="n">
        <v>5615.23</v>
      </c>
      <c r="V2154" s="1" t="n">
        <v>53.71</v>
      </c>
      <c r="W2154" s="1" t="s">
        <v>40</v>
      </c>
      <c r="Y2154" s="1" t="s">
        <v>40</v>
      </c>
      <c r="Z2154" s="1" t="n">
        <v>0</v>
      </c>
      <c r="AA2154" s="1" t="str">
        <f aca="false">TRIM(PROPER(F2154))</f>
        <v>Mangaluru</v>
      </c>
      <c r="AB2154" s="1" t="str">
        <f aca="false">TRIM(PROPER(C2154))</f>
        <v>Vedantu</v>
      </c>
      <c r="AC2154" s="1" t="str">
        <f aca="false">IF(O2154=0,"No Discount",IF(O2154&lt;=15,"Low (1-15%)",IF(O2154&lt;=30,"Medium (16-30%)","High (&gt;30%)")))</f>
        <v>Low (1-15%)</v>
      </c>
      <c r="AD2154" s="1" t="str">
        <f aca="false">IF(V2154&lt;0,"Loss Making",IF(V2154&lt;20,"Low Margin","Healthy Margin"))</f>
        <v>Healthy Margin</v>
      </c>
      <c r="AE2154" s="1" t="str">
        <f aca="false">TEXT(DATE(VALUE(RIGHT(B2154,4)),VALUE(MID(B2154,4,2)),VALUE(LEFT(B2154,2))),"MMM-YYYY")</f>
        <v>Oct-2023</v>
      </c>
      <c r="AF2154" s="1" t="n">
        <f aca="false">VALUE(RIGHT(B2154,4))</f>
        <v>2023</v>
      </c>
      <c r="AG2154" s="1" t="str">
        <f aca="false">CHOOSE(ROUNDUP(VALUE(MID(B2154,4,2))/3,0),"Q1","Q2","Q3","Q4")</f>
        <v>Q4</v>
      </c>
    </row>
    <row r="2155" customFormat="false" ht="15" hidden="false" customHeight="true" outlineLevel="0" collapsed="false">
      <c r="A2155" s="1" t="s">
        <v>3020</v>
      </c>
      <c r="B2155" s="1" t="s">
        <v>133</v>
      </c>
      <c r="C2155" s="1" t="s">
        <v>128</v>
      </c>
      <c r="D2155" s="1" t="s">
        <v>44</v>
      </c>
      <c r="E2155" s="1" t="s">
        <v>45</v>
      </c>
      <c r="F2155" s="1" t="s">
        <v>107</v>
      </c>
      <c r="G2155" s="1" t="s">
        <v>108</v>
      </c>
      <c r="H2155" s="1" t="s">
        <v>33</v>
      </c>
      <c r="I2155" s="1" t="s">
        <v>83</v>
      </c>
      <c r="J2155" s="1" t="s">
        <v>131</v>
      </c>
      <c r="K2155" s="1" t="s">
        <v>104</v>
      </c>
      <c r="L2155" s="1" t="s">
        <v>49</v>
      </c>
      <c r="M2155" s="1" t="s">
        <v>62</v>
      </c>
      <c r="N2155" s="1" t="n">
        <v>11999</v>
      </c>
      <c r="O2155" s="1" t="n">
        <v>25</v>
      </c>
      <c r="P2155" s="1" t="n">
        <v>2999.75</v>
      </c>
      <c r="Q2155" s="1" t="n">
        <v>8999.25</v>
      </c>
      <c r="R2155" s="1" t="n">
        <v>1619.87</v>
      </c>
      <c r="S2155" s="1" t="n">
        <v>7379.38</v>
      </c>
      <c r="T2155" s="1" t="n">
        <v>4362.81</v>
      </c>
      <c r="U2155" s="1" t="n">
        <v>3016.57</v>
      </c>
      <c r="V2155" s="1" t="n">
        <v>40.88</v>
      </c>
      <c r="W2155" s="1" t="s">
        <v>39</v>
      </c>
      <c r="X2155" s="1" t="n">
        <v>3.5</v>
      </c>
      <c r="Y2155" s="1" t="s">
        <v>40</v>
      </c>
      <c r="Z2155" s="1" t="n">
        <v>0</v>
      </c>
      <c r="AA2155" s="1" t="str">
        <f aca="false">TRIM(PROPER(F2155))</f>
        <v>Madurai</v>
      </c>
      <c r="AB2155" s="1" t="str">
        <f aca="false">TRIM(PROPER(C2155))</f>
        <v>Great Learning</v>
      </c>
      <c r="AC2155" s="1" t="str">
        <f aca="false">IF(O2155=0,"No Discount",IF(O2155&lt;=15,"Low (1-15%)",IF(O2155&lt;=30,"Medium (16-30%)","High (&gt;30%)")))</f>
        <v>Medium (16-30%)</v>
      </c>
      <c r="AD2155" s="1" t="str">
        <f aca="false">IF(V2155&lt;0,"Loss Making",IF(V2155&lt;20,"Low Margin","Healthy Margin"))</f>
        <v>Healthy Margin</v>
      </c>
      <c r="AE2155" s="1" t="str">
        <f aca="false">TEXT(DATE(VALUE(RIGHT(B2155,4)),VALUE(MID(B2155,4,2)),VALUE(LEFT(B2155,2))),"MMM-YYYY")</f>
        <v>Nov-2024</v>
      </c>
      <c r="AF2155" s="1" t="n">
        <f aca="false">VALUE(RIGHT(B2155,4))</f>
        <v>2024</v>
      </c>
      <c r="AG2155" s="1" t="str">
        <f aca="false">CHOOSE(ROUNDUP(VALUE(MID(B2155,4,2))/3,0),"Q1","Q2","Q3","Q4")</f>
        <v>Q4</v>
      </c>
    </row>
    <row r="2156" customFormat="false" ht="15" hidden="false" customHeight="true" outlineLevel="0" collapsed="false">
      <c r="A2156" s="1" t="s">
        <v>3021</v>
      </c>
      <c r="B2156" s="1" t="s">
        <v>557</v>
      </c>
      <c r="C2156" s="1" t="s">
        <v>139</v>
      </c>
      <c r="D2156" s="1" t="s">
        <v>80</v>
      </c>
      <c r="E2156" s="1" t="s">
        <v>190</v>
      </c>
      <c r="F2156" s="1" t="s">
        <v>187</v>
      </c>
      <c r="G2156" s="1" t="s">
        <v>97</v>
      </c>
      <c r="H2156" s="1" t="s">
        <v>69</v>
      </c>
      <c r="I2156" s="1" t="s">
        <v>58</v>
      </c>
      <c r="J2156" s="1" t="s">
        <v>131</v>
      </c>
      <c r="K2156" s="1" t="s">
        <v>36</v>
      </c>
      <c r="L2156" s="1" t="s">
        <v>136</v>
      </c>
      <c r="M2156" s="1" t="s">
        <v>50</v>
      </c>
      <c r="N2156" s="1" t="n">
        <v>15999</v>
      </c>
      <c r="O2156" s="1" t="n">
        <v>0</v>
      </c>
      <c r="P2156" s="1" t="n">
        <v>0</v>
      </c>
      <c r="Q2156" s="1" t="n">
        <v>15999</v>
      </c>
      <c r="R2156" s="1" t="n">
        <v>2879.82</v>
      </c>
      <c r="S2156" s="1" t="n">
        <v>13119.18</v>
      </c>
      <c r="T2156" s="1" t="n">
        <v>5205.97</v>
      </c>
      <c r="U2156" s="1" t="n">
        <v>7913.21</v>
      </c>
      <c r="V2156" s="1" t="n">
        <v>60.32</v>
      </c>
      <c r="W2156" s="1" t="s">
        <v>40</v>
      </c>
      <c r="Y2156" s="1" t="s">
        <v>40</v>
      </c>
      <c r="Z2156" s="1" t="n">
        <v>2</v>
      </c>
      <c r="AA2156" s="1" t="str">
        <f aca="false">TRIM(PROPER(F2156))</f>
        <v>Mumbai</v>
      </c>
      <c r="AB2156" s="1" t="str">
        <f aca="false">TRIM(PROPER(C2156))</f>
        <v>Extramarks</v>
      </c>
      <c r="AC2156" s="1" t="str">
        <f aca="false">IF(O2156=0,"No Discount",IF(O2156&lt;=15,"Low (1-15%)",IF(O2156&lt;=30,"Medium (16-30%)","High (&gt;30%)")))</f>
        <v>No Discount</v>
      </c>
      <c r="AD2156" s="1" t="str">
        <f aca="false">IF(V2156&lt;0,"Loss Making",IF(V2156&lt;20,"Low Margin","Healthy Margin"))</f>
        <v>Healthy Margin</v>
      </c>
      <c r="AE2156" s="1" t="str">
        <f aca="false">TEXT(DATE(VALUE(RIGHT(B2156,4)),VALUE(MID(B2156,4,2)),VALUE(LEFT(B2156,2))),"MMM-YYYY")</f>
        <v>Apr-2023</v>
      </c>
      <c r="AF2156" s="1" t="n">
        <f aca="false">VALUE(RIGHT(B2156,4))</f>
        <v>2023</v>
      </c>
      <c r="AG2156" s="1" t="str">
        <f aca="false">CHOOSE(ROUNDUP(VALUE(MID(B2156,4,2))/3,0),"Q1","Q2","Q3","Q4")</f>
        <v>Q2</v>
      </c>
    </row>
    <row r="2157" customFormat="false" ht="15" hidden="false" customHeight="true" outlineLevel="0" collapsed="false">
      <c r="A2157" s="1" t="s">
        <v>3022</v>
      </c>
      <c r="B2157" s="1" t="s">
        <v>866</v>
      </c>
      <c r="C2157" s="1" t="s">
        <v>28</v>
      </c>
      <c r="D2157" s="1" t="s">
        <v>29</v>
      </c>
      <c r="E2157" s="1" t="s">
        <v>182</v>
      </c>
      <c r="F2157" s="1" t="s">
        <v>140</v>
      </c>
      <c r="G2157" s="1" t="s">
        <v>97</v>
      </c>
      <c r="H2157" s="1" t="s">
        <v>57</v>
      </c>
      <c r="I2157" s="1" t="s">
        <v>34</v>
      </c>
      <c r="J2157" s="1" t="s">
        <v>131</v>
      </c>
      <c r="K2157" s="1" t="s">
        <v>36</v>
      </c>
      <c r="L2157" s="1" t="s">
        <v>61</v>
      </c>
      <c r="M2157" s="1" t="s">
        <v>62</v>
      </c>
      <c r="N2157" s="1" t="n">
        <v>34999</v>
      </c>
      <c r="O2157" s="1" t="n">
        <v>20</v>
      </c>
      <c r="P2157" s="1" t="n">
        <v>6999.8</v>
      </c>
      <c r="Q2157" s="1" t="n">
        <v>27999.2</v>
      </c>
      <c r="R2157" s="1" t="n">
        <v>5039.86</v>
      </c>
      <c r="S2157" s="1" t="n">
        <v>22959.34</v>
      </c>
      <c r="T2157" s="1" t="n">
        <v>9755.05</v>
      </c>
      <c r="U2157" s="1" t="n">
        <v>13204.29</v>
      </c>
      <c r="V2157" s="1" t="n">
        <v>57.51</v>
      </c>
      <c r="W2157" s="1" t="s">
        <v>39</v>
      </c>
      <c r="X2157" s="1" t="n">
        <v>4</v>
      </c>
      <c r="Y2157" s="1" t="s">
        <v>40</v>
      </c>
      <c r="Z2157" s="1" t="n">
        <v>0</v>
      </c>
      <c r="AA2157" s="1" t="str">
        <f aca="false">TRIM(PROPER(F2157))</f>
        <v>Nashik</v>
      </c>
      <c r="AB2157" s="1" t="str">
        <f aca="false">TRIM(PROPER(C2157))</f>
        <v>Embibe</v>
      </c>
      <c r="AC2157" s="1" t="str">
        <f aca="false">IF(O2157=0,"No Discount",IF(O2157&lt;=15,"Low (1-15%)",IF(O2157&lt;=30,"Medium (16-30%)","High (&gt;30%)")))</f>
        <v>Medium (16-30%)</v>
      </c>
      <c r="AD2157" s="1" t="str">
        <f aca="false">IF(V2157&lt;0,"Loss Making",IF(V2157&lt;20,"Low Margin","Healthy Margin"))</f>
        <v>Healthy Margin</v>
      </c>
      <c r="AE2157" s="1" t="str">
        <f aca="false">TEXT(DATE(VALUE(RIGHT(B2157,4)),VALUE(MID(B2157,4,2)),VALUE(LEFT(B2157,2))),"MMM-YYYY")</f>
        <v>Jul-2023</v>
      </c>
      <c r="AF2157" s="1" t="n">
        <f aca="false">VALUE(RIGHT(B2157,4))</f>
        <v>2023</v>
      </c>
      <c r="AG2157" s="1" t="str">
        <f aca="false">CHOOSE(ROUNDUP(VALUE(MID(B2157,4,2))/3,0),"Q1","Q2","Q3","Q4")</f>
        <v>Q3</v>
      </c>
    </row>
    <row r="2158" customFormat="false" ht="15" hidden="false" customHeight="true" outlineLevel="0" collapsed="false">
      <c r="A2158" s="1" t="s">
        <v>3023</v>
      </c>
      <c r="B2158" s="1" t="s">
        <v>596</v>
      </c>
      <c r="C2158" s="1" t="s">
        <v>134</v>
      </c>
      <c r="D2158" s="1" t="s">
        <v>29</v>
      </c>
      <c r="E2158" s="1" t="s">
        <v>129</v>
      </c>
      <c r="F2158" s="1" t="s">
        <v>125</v>
      </c>
      <c r="G2158" s="1" t="s">
        <v>108</v>
      </c>
      <c r="H2158" s="1" t="s">
        <v>69</v>
      </c>
      <c r="I2158" s="1" t="s">
        <v>58</v>
      </c>
      <c r="J2158" s="1" t="s">
        <v>77</v>
      </c>
      <c r="K2158" s="1" t="s">
        <v>71</v>
      </c>
      <c r="L2158" s="1" t="s">
        <v>136</v>
      </c>
      <c r="M2158" s="1" t="s">
        <v>62</v>
      </c>
      <c r="N2158" s="1" t="n">
        <v>29999</v>
      </c>
      <c r="O2158" s="1" t="n">
        <v>20</v>
      </c>
      <c r="P2158" s="1" t="n">
        <v>5999.8</v>
      </c>
      <c r="Q2158" s="1" t="n">
        <v>23999.2</v>
      </c>
      <c r="R2158" s="1" t="n">
        <v>4319.86</v>
      </c>
      <c r="S2158" s="1" t="n">
        <v>19679.34</v>
      </c>
      <c r="T2158" s="1" t="n">
        <v>8427.71</v>
      </c>
      <c r="U2158" s="1" t="n">
        <v>11251.63</v>
      </c>
      <c r="V2158" s="1" t="n">
        <v>57.17</v>
      </c>
      <c r="W2158" s="1" t="s">
        <v>39</v>
      </c>
      <c r="X2158" s="1" t="n">
        <v>3</v>
      </c>
      <c r="Y2158" s="1" t="s">
        <v>40</v>
      </c>
      <c r="Z2158" s="1" t="n">
        <v>0</v>
      </c>
      <c r="AA2158" s="1" t="str">
        <f aca="false">TRIM(PROPER(F2158))</f>
        <v>Chennai</v>
      </c>
      <c r="AB2158" s="1" t="str">
        <f aca="false">TRIM(PROPER(C2158))</f>
        <v>Doubtnut</v>
      </c>
      <c r="AC2158" s="1" t="str">
        <f aca="false">IF(O2158=0,"No Discount",IF(O2158&lt;=15,"Low (1-15%)",IF(O2158&lt;=30,"Medium (16-30%)","High (&gt;30%)")))</f>
        <v>Medium (16-30%)</v>
      </c>
      <c r="AD2158" s="1" t="str">
        <f aca="false">IF(V2158&lt;0,"Loss Making",IF(V2158&lt;20,"Low Margin","Healthy Margin"))</f>
        <v>Healthy Margin</v>
      </c>
      <c r="AE2158" s="1" t="str">
        <f aca="false">TEXT(DATE(VALUE(RIGHT(B2158,4)),VALUE(MID(B2158,4,2)),VALUE(LEFT(B2158,2))),"MMM-YYYY")</f>
        <v>Dec-2024</v>
      </c>
      <c r="AF2158" s="1" t="n">
        <f aca="false">VALUE(RIGHT(B2158,4))</f>
        <v>2024</v>
      </c>
      <c r="AG2158" s="1" t="str">
        <f aca="false">CHOOSE(ROUNDUP(VALUE(MID(B2158,4,2))/3,0),"Q1","Q2","Q3","Q4")</f>
        <v>Q4</v>
      </c>
    </row>
    <row r="2159" customFormat="false" ht="15" hidden="false" customHeight="true" outlineLevel="0" collapsed="false">
      <c r="A2159" s="1" t="s">
        <v>3024</v>
      </c>
      <c r="B2159" s="1" t="s">
        <v>787</v>
      </c>
      <c r="C2159" s="1" t="s">
        <v>264</v>
      </c>
      <c r="D2159" s="1" t="s">
        <v>80</v>
      </c>
      <c r="E2159" s="1" t="s">
        <v>190</v>
      </c>
      <c r="F2159" s="1" t="s">
        <v>205</v>
      </c>
      <c r="G2159" s="1" t="s">
        <v>56</v>
      </c>
      <c r="H2159" s="1" t="s">
        <v>69</v>
      </c>
      <c r="I2159" s="1" t="s">
        <v>58</v>
      </c>
      <c r="J2159" s="1" t="s">
        <v>35</v>
      </c>
      <c r="K2159" s="1" t="s">
        <v>104</v>
      </c>
      <c r="L2159" s="1" t="s">
        <v>49</v>
      </c>
      <c r="M2159" s="1" t="s">
        <v>50</v>
      </c>
      <c r="N2159" s="1" t="n">
        <v>15999</v>
      </c>
      <c r="O2159" s="1" t="n">
        <v>15</v>
      </c>
      <c r="P2159" s="1" t="n">
        <v>2399.85</v>
      </c>
      <c r="Q2159" s="1" t="n">
        <v>13599.15</v>
      </c>
      <c r="R2159" s="1" t="n">
        <v>2447.85</v>
      </c>
      <c r="S2159" s="1" t="n">
        <v>11151.3</v>
      </c>
      <c r="T2159" s="1" t="n">
        <v>4085.57</v>
      </c>
      <c r="U2159" s="1" t="n">
        <v>7065.73</v>
      </c>
      <c r="V2159" s="1" t="n">
        <v>63.36</v>
      </c>
      <c r="W2159" s="1" t="s">
        <v>39</v>
      </c>
      <c r="X2159" s="1" t="n">
        <v>3.1</v>
      </c>
      <c r="Y2159" s="1" t="s">
        <v>40</v>
      </c>
      <c r="Z2159" s="1" t="n">
        <v>0</v>
      </c>
      <c r="AA2159" s="1" t="str">
        <f aca="false">TRIM(PROPER(F2159))</f>
        <v>New Delhi</v>
      </c>
      <c r="AB2159" s="1" t="str">
        <f aca="false">TRIM(PROPER(C2159))</f>
        <v>Unacademy</v>
      </c>
      <c r="AC2159" s="1" t="str">
        <f aca="false">IF(O2159=0,"No Discount",IF(O2159&lt;=15,"Low (1-15%)",IF(O2159&lt;=30,"Medium (16-30%)","High (&gt;30%)")))</f>
        <v>Low (1-15%)</v>
      </c>
      <c r="AD2159" s="1" t="str">
        <f aca="false">IF(V2159&lt;0,"Loss Making",IF(V2159&lt;20,"Low Margin","Healthy Margin"))</f>
        <v>Healthy Margin</v>
      </c>
      <c r="AE2159" s="1" t="str">
        <f aca="false">TEXT(DATE(VALUE(RIGHT(B2159,4)),VALUE(MID(B2159,4,2)),VALUE(LEFT(B2159,2))),"MMM-YYYY")</f>
        <v>Feb-2024</v>
      </c>
      <c r="AF2159" s="1" t="n">
        <f aca="false">VALUE(RIGHT(B2159,4))</f>
        <v>2024</v>
      </c>
      <c r="AG2159" s="1" t="str">
        <f aca="false">CHOOSE(ROUNDUP(VALUE(MID(B2159,4,2))/3,0),"Q1","Q2","Q3","Q4")</f>
        <v>Q1</v>
      </c>
    </row>
    <row r="2160" customFormat="false" ht="15" hidden="false" customHeight="true" outlineLevel="0" collapsed="false">
      <c r="A2160" s="1" t="s">
        <v>3025</v>
      </c>
      <c r="B2160" s="1" t="s">
        <v>2027</v>
      </c>
      <c r="C2160" s="1" t="s">
        <v>249</v>
      </c>
      <c r="D2160" s="1" t="s">
        <v>123</v>
      </c>
      <c r="E2160" s="1" t="s">
        <v>233</v>
      </c>
      <c r="F2160" s="1" t="s">
        <v>153</v>
      </c>
      <c r="G2160" s="1" t="s">
        <v>76</v>
      </c>
      <c r="H2160" s="1" t="s">
        <v>33</v>
      </c>
      <c r="I2160" s="1" t="s">
        <v>34</v>
      </c>
      <c r="J2160" s="1" t="s">
        <v>35</v>
      </c>
      <c r="K2160" s="1" t="s">
        <v>71</v>
      </c>
      <c r="L2160" s="1" t="s">
        <v>113</v>
      </c>
      <c r="M2160" s="1" t="s">
        <v>62</v>
      </c>
      <c r="N2160" s="1" t="n">
        <v>8999</v>
      </c>
      <c r="O2160" s="1" t="n">
        <v>30</v>
      </c>
      <c r="P2160" s="1" t="n">
        <v>2699.7</v>
      </c>
      <c r="Q2160" s="1" t="n">
        <v>6299.3</v>
      </c>
      <c r="R2160" s="1" t="n">
        <v>1133.87</v>
      </c>
      <c r="S2160" s="1" t="n">
        <v>5165.43</v>
      </c>
      <c r="T2160" s="1" t="n">
        <v>2183.42</v>
      </c>
      <c r="U2160" s="1" t="n">
        <v>2982.01</v>
      </c>
      <c r="V2160" s="1" t="n">
        <v>57.73</v>
      </c>
      <c r="W2160" s="1" t="s">
        <v>39</v>
      </c>
      <c r="X2160" s="1" t="n">
        <v>3.3</v>
      </c>
      <c r="Y2160" s="1" t="s">
        <v>40</v>
      </c>
      <c r="Z2160" s="1" t="n">
        <v>1</v>
      </c>
      <c r="AA2160" s="1" t="str">
        <f aca="false">TRIM(PROPER(F2160))</f>
        <v>Howrah</v>
      </c>
      <c r="AB2160" s="1" t="str">
        <f aca="false">TRIM(PROPER(C2160))</f>
        <v>Whitehat Jr</v>
      </c>
      <c r="AC2160" s="1" t="str">
        <f aca="false">IF(O2160=0,"No Discount",IF(O2160&lt;=15,"Low (1-15%)",IF(O2160&lt;=30,"Medium (16-30%)","High (&gt;30%)")))</f>
        <v>Medium (16-30%)</v>
      </c>
      <c r="AD2160" s="1" t="str">
        <f aca="false">IF(V2160&lt;0,"Loss Making",IF(V2160&lt;20,"Low Margin","Healthy Margin"))</f>
        <v>Healthy Margin</v>
      </c>
      <c r="AE2160" s="1" t="str">
        <f aca="false">TEXT(DATE(VALUE(RIGHT(B2160,4)),VALUE(MID(B2160,4,2)),VALUE(LEFT(B2160,2))),"MMM-YYYY")</f>
        <v>Jul-2023</v>
      </c>
      <c r="AF2160" s="1" t="n">
        <f aca="false">VALUE(RIGHT(B2160,4))</f>
        <v>2023</v>
      </c>
      <c r="AG2160" s="1" t="str">
        <f aca="false">CHOOSE(ROUNDUP(VALUE(MID(B2160,4,2))/3,0),"Q1","Q2","Q3","Q4")</f>
        <v>Q3</v>
      </c>
    </row>
    <row r="2161" customFormat="false" ht="15" hidden="false" customHeight="true" outlineLevel="0" collapsed="false">
      <c r="A2161" s="1" t="s">
        <v>3026</v>
      </c>
      <c r="B2161" s="1" t="s">
        <v>2570</v>
      </c>
      <c r="C2161" s="1" t="s">
        <v>139</v>
      </c>
      <c r="D2161" s="1" t="s">
        <v>44</v>
      </c>
      <c r="E2161" s="1" t="s">
        <v>221</v>
      </c>
      <c r="F2161" s="1" t="s">
        <v>153</v>
      </c>
      <c r="G2161" s="1" t="s">
        <v>76</v>
      </c>
      <c r="H2161" s="1" t="s">
        <v>33</v>
      </c>
      <c r="I2161" s="1" t="s">
        <v>83</v>
      </c>
      <c r="J2161" s="1" t="s">
        <v>59</v>
      </c>
      <c r="K2161" s="1" t="s">
        <v>84</v>
      </c>
      <c r="L2161" s="1" t="s">
        <v>61</v>
      </c>
      <c r="M2161" s="1" t="s">
        <v>62</v>
      </c>
      <c r="N2161" s="1" t="n">
        <v>16999</v>
      </c>
      <c r="O2161" s="1" t="n">
        <v>0</v>
      </c>
      <c r="P2161" s="1" t="n">
        <v>0</v>
      </c>
      <c r="Q2161" s="1" t="n">
        <v>16999</v>
      </c>
      <c r="R2161" s="1" t="n">
        <v>3059.82</v>
      </c>
      <c r="S2161" s="1" t="n">
        <v>13939.18</v>
      </c>
      <c r="T2161" s="1" t="n">
        <v>6504.88</v>
      </c>
      <c r="U2161" s="1" t="n">
        <v>7434.3</v>
      </c>
      <c r="V2161" s="1" t="n">
        <v>53.33</v>
      </c>
      <c r="W2161" s="1" t="s">
        <v>39</v>
      </c>
      <c r="X2161" s="1" t="n">
        <v>4.3</v>
      </c>
      <c r="Y2161" s="1" t="s">
        <v>40</v>
      </c>
      <c r="Z2161" s="1" t="n">
        <v>0</v>
      </c>
      <c r="AA2161" s="1" t="str">
        <f aca="false">TRIM(PROPER(F2161))</f>
        <v>Howrah</v>
      </c>
      <c r="AB2161" s="1" t="str">
        <f aca="false">TRIM(PROPER(C2161))</f>
        <v>Extramarks</v>
      </c>
      <c r="AC2161" s="1" t="str">
        <f aca="false">IF(O2161=0,"No Discount",IF(O2161&lt;=15,"Low (1-15%)",IF(O2161&lt;=30,"Medium (16-30%)","High (&gt;30%)")))</f>
        <v>No Discount</v>
      </c>
      <c r="AD2161" s="1" t="str">
        <f aca="false">IF(V2161&lt;0,"Loss Making",IF(V2161&lt;20,"Low Margin","Healthy Margin"))</f>
        <v>Healthy Margin</v>
      </c>
      <c r="AE2161" s="1" t="str">
        <f aca="false">TEXT(DATE(VALUE(RIGHT(B2161,4)),VALUE(MID(B2161,4,2)),VALUE(LEFT(B2161,2))),"MMM-YYYY")</f>
        <v>Nov-2023</v>
      </c>
      <c r="AF2161" s="1" t="n">
        <f aca="false">VALUE(RIGHT(B2161,4))</f>
        <v>2023</v>
      </c>
      <c r="AG2161" s="1" t="str">
        <f aca="false">CHOOSE(ROUNDUP(VALUE(MID(B2161,4,2))/3,0),"Q1","Q2","Q3","Q4")</f>
        <v>Q4</v>
      </c>
    </row>
    <row r="2162" customFormat="false" ht="15" hidden="false" customHeight="true" outlineLevel="0" collapsed="false">
      <c r="A2162" s="1" t="s">
        <v>3027</v>
      </c>
      <c r="B2162" s="1" t="s">
        <v>1355</v>
      </c>
      <c r="C2162" s="1" t="s">
        <v>119</v>
      </c>
      <c r="D2162" s="1" t="s">
        <v>29</v>
      </c>
      <c r="E2162" s="1" t="s">
        <v>129</v>
      </c>
      <c r="F2162" s="1" t="s">
        <v>46</v>
      </c>
      <c r="G2162" s="1" t="s">
        <v>47</v>
      </c>
      <c r="H2162" s="1" t="s">
        <v>33</v>
      </c>
      <c r="I2162" s="1" t="s">
        <v>83</v>
      </c>
      <c r="J2162" s="1" t="s">
        <v>131</v>
      </c>
      <c r="K2162" s="1" t="s">
        <v>36</v>
      </c>
      <c r="L2162" s="1" t="s">
        <v>37</v>
      </c>
      <c r="M2162" s="1" t="s">
        <v>62</v>
      </c>
      <c r="N2162" s="1" t="n">
        <v>29999</v>
      </c>
      <c r="O2162" s="1" t="n">
        <v>30</v>
      </c>
      <c r="P2162" s="1" t="n">
        <v>8999.7</v>
      </c>
      <c r="Q2162" s="1" t="n">
        <v>20999.3</v>
      </c>
      <c r="R2162" s="1" t="n">
        <v>3779.87</v>
      </c>
      <c r="S2162" s="1" t="n">
        <v>17219.43</v>
      </c>
      <c r="T2162" s="1" t="n">
        <v>8835.12</v>
      </c>
      <c r="U2162" s="1" t="n">
        <v>8384.31</v>
      </c>
      <c r="V2162" s="1" t="n">
        <v>48.69</v>
      </c>
      <c r="W2162" s="1" t="s">
        <v>40</v>
      </c>
      <c r="Y2162" s="1" t="s">
        <v>40</v>
      </c>
      <c r="Z2162" s="1" t="n">
        <v>1</v>
      </c>
      <c r="AA2162" s="1" t="str">
        <f aca="false">TRIM(PROPER(F2162))</f>
        <v>Mangaluru</v>
      </c>
      <c r="AB2162" s="1" t="str">
        <f aca="false">TRIM(PROPER(C2162))</f>
        <v>Simplilearn</v>
      </c>
      <c r="AC2162" s="1" t="str">
        <f aca="false">IF(O2162=0,"No Discount",IF(O2162&lt;=15,"Low (1-15%)",IF(O2162&lt;=30,"Medium (16-30%)","High (&gt;30%)")))</f>
        <v>Medium (16-30%)</v>
      </c>
      <c r="AD2162" s="1" t="str">
        <f aca="false">IF(V2162&lt;0,"Loss Making",IF(V2162&lt;20,"Low Margin","Healthy Margin"))</f>
        <v>Healthy Margin</v>
      </c>
      <c r="AE2162" s="1" t="str">
        <f aca="false">TEXT(DATE(VALUE(RIGHT(B2162,4)),VALUE(MID(B2162,4,2)),VALUE(LEFT(B2162,2))),"MMM-YYYY")</f>
        <v>Aug-2024</v>
      </c>
      <c r="AF2162" s="1" t="n">
        <f aca="false">VALUE(RIGHT(B2162,4))</f>
        <v>2024</v>
      </c>
      <c r="AG2162" s="1" t="str">
        <f aca="false">CHOOSE(ROUNDUP(VALUE(MID(B2162,4,2))/3,0),"Q1","Q2","Q3","Q4")</f>
        <v>Q3</v>
      </c>
    </row>
    <row r="2163" customFormat="false" ht="15" hidden="false" customHeight="true" outlineLevel="0" collapsed="false">
      <c r="A2163" s="1" t="s">
        <v>3028</v>
      </c>
      <c r="B2163" s="1" t="s">
        <v>3029</v>
      </c>
      <c r="C2163" s="1" t="s">
        <v>93</v>
      </c>
      <c r="D2163" s="1" t="s">
        <v>94</v>
      </c>
      <c r="E2163" s="1" t="s">
        <v>135</v>
      </c>
      <c r="F2163" s="1" t="s">
        <v>269</v>
      </c>
      <c r="G2163" s="1" t="s">
        <v>108</v>
      </c>
      <c r="H2163" s="1" t="s">
        <v>57</v>
      </c>
      <c r="I2163" s="1" t="s">
        <v>58</v>
      </c>
      <c r="J2163" s="1" t="s">
        <v>131</v>
      </c>
      <c r="K2163" s="1" t="s">
        <v>48</v>
      </c>
      <c r="L2163" s="1" t="s">
        <v>85</v>
      </c>
      <c r="M2163" s="1" t="s">
        <v>50</v>
      </c>
      <c r="N2163" s="1" t="n">
        <v>9999</v>
      </c>
      <c r="O2163" s="1" t="n">
        <v>40</v>
      </c>
      <c r="P2163" s="1" t="n">
        <v>3999.6</v>
      </c>
      <c r="Q2163" s="1" t="n">
        <v>5999.4</v>
      </c>
      <c r="R2163" s="1" t="n">
        <v>1079.89</v>
      </c>
      <c r="S2163" s="1" t="n">
        <v>4919.51</v>
      </c>
      <c r="T2163" s="1" t="n">
        <v>2843.07</v>
      </c>
      <c r="U2163" s="1" t="n">
        <v>2076.44</v>
      </c>
      <c r="V2163" s="1" t="n">
        <v>42.21</v>
      </c>
      <c r="W2163" s="1" t="s">
        <v>39</v>
      </c>
      <c r="X2163" s="1" t="n">
        <v>2.9</v>
      </c>
      <c r="Y2163" s="1" t="s">
        <v>40</v>
      </c>
      <c r="Z2163" s="1" t="n">
        <v>0</v>
      </c>
      <c r="AA2163" s="1" t="str">
        <f aca="false">TRIM(PROPER(F2163))</f>
        <v>Coimbatore</v>
      </c>
      <c r="AB2163" s="1" t="str">
        <f aca="false">TRIM(PROPER(C2163))</f>
        <v>Upgrad</v>
      </c>
      <c r="AC2163" s="1" t="str">
        <f aca="false">IF(O2163=0,"No Discount",IF(O2163&lt;=15,"Low (1-15%)",IF(O2163&lt;=30,"Medium (16-30%)","High (&gt;30%)")))</f>
        <v>High (&gt;30%)</v>
      </c>
      <c r="AD2163" s="1" t="str">
        <f aca="false">IF(V2163&lt;0,"Loss Making",IF(V2163&lt;20,"Low Margin","Healthy Margin"))</f>
        <v>Healthy Margin</v>
      </c>
      <c r="AE2163" s="1" t="str">
        <f aca="false">TEXT(DATE(VALUE(RIGHT(B2163,4)),VALUE(MID(B2163,4,2)),VALUE(LEFT(B2163,2))),"MMM-YYYY")</f>
        <v>Oct-2024</v>
      </c>
      <c r="AF2163" s="1" t="n">
        <f aca="false">VALUE(RIGHT(B2163,4))</f>
        <v>2024</v>
      </c>
      <c r="AG2163" s="1" t="str">
        <f aca="false">CHOOSE(ROUNDUP(VALUE(MID(B2163,4,2))/3,0),"Q1","Q2","Q3","Q4")</f>
        <v>Q4</v>
      </c>
    </row>
    <row r="2164" customFormat="false" ht="15" hidden="false" customHeight="true" outlineLevel="0" collapsed="false">
      <c r="A2164" s="1" t="s">
        <v>3030</v>
      </c>
      <c r="B2164" s="1" t="s">
        <v>127</v>
      </c>
      <c r="C2164" s="1" t="s">
        <v>128</v>
      </c>
      <c r="D2164" s="1" t="s">
        <v>53</v>
      </c>
      <c r="E2164" s="1" t="s">
        <v>216</v>
      </c>
      <c r="F2164" s="1" t="s">
        <v>184</v>
      </c>
      <c r="G2164" s="1" t="s">
        <v>56</v>
      </c>
      <c r="H2164" s="1" t="s">
        <v>57</v>
      </c>
      <c r="I2164" s="1" t="s">
        <v>34</v>
      </c>
      <c r="J2164" s="1" t="s">
        <v>35</v>
      </c>
      <c r="K2164" s="1" t="s">
        <v>112</v>
      </c>
      <c r="L2164" s="1" t="s">
        <v>37</v>
      </c>
      <c r="M2164" s="1" t="s">
        <v>38</v>
      </c>
      <c r="N2164" s="1" t="n">
        <v>7499</v>
      </c>
      <c r="O2164" s="1" t="n">
        <v>10</v>
      </c>
      <c r="P2164" s="1" t="n">
        <v>749.9</v>
      </c>
      <c r="Q2164" s="1" t="n">
        <v>6749.1</v>
      </c>
      <c r="R2164" s="1" t="n">
        <v>1214.84</v>
      </c>
      <c r="S2164" s="1" t="n">
        <v>5534.26</v>
      </c>
      <c r="T2164" s="1" t="n">
        <v>2366.79</v>
      </c>
      <c r="U2164" s="1" t="n">
        <v>3167.47</v>
      </c>
      <c r="V2164" s="1" t="n">
        <v>57.23</v>
      </c>
      <c r="W2164" s="1" t="s">
        <v>40</v>
      </c>
      <c r="Y2164" s="1" t="s">
        <v>39</v>
      </c>
      <c r="Z2164" s="1" t="n">
        <v>2</v>
      </c>
      <c r="AA2164" s="1" t="str">
        <f aca="false">TRIM(PROPER(F2164))</f>
        <v>Faridabad</v>
      </c>
      <c r="AB2164" s="1" t="str">
        <f aca="false">TRIM(PROPER(C2164))</f>
        <v>Great Learning</v>
      </c>
      <c r="AC2164" s="1" t="str">
        <f aca="false">IF(O2164=0,"No Discount",IF(O2164&lt;=15,"Low (1-15%)",IF(O2164&lt;=30,"Medium (16-30%)","High (&gt;30%)")))</f>
        <v>Low (1-15%)</v>
      </c>
      <c r="AD2164" s="1" t="str">
        <f aca="false">IF(V2164&lt;0,"Loss Making",IF(V2164&lt;20,"Low Margin","Healthy Margin"))</f>
        <v>Healthy Margin</v>
      </c>
      <c r="AE2164" s="1" t="str">
        <f aca="false">TEXT(DATE(VALUE(RIGHT(B2164,4)),VALUE(MID(B2164,4,2)),VALUE(LEFT(B2164,2))),"MMM-YYYY")</f>
        <v>Dec-2024</v>
      </c>
      <c r="AF2164" s="1" t="n">
        <f aca="false">VALUE(RIGHT(B2164,4))</f>
        <v>2024</v>
      </c>
      <c r="AG2164" s="1" t="str">
        <f aca="false">CHOOSE(ROUNDUP(VALUE(MID(B2164,4,2))/3,0),"Q1","Q2","Q3","Q4")</f>
        <v>Q4</v>
      </c>
    </row>
    <row r="2165" customFormat="false" ht="15" hidden="false" customHeight="true" outlineLevel="0" collapsed="false">
      <c r="A2165" s="1" t="s">
        <v>3031</v>
      </c>
      <c r="B2165" s="1" t="s">
        <v>491</v>
      </c>
      <c r="C2165" s="1" t="s">
        <v>249</v>
      </c>
      <c r="D2165" s="1" t="s">
        <v>168</v>
      </c>
      <c r="E2165" s="1" t="s">
        <v>172</v>
      </c>
      <c r="F2165" s="1" t="s">
        <v>194</v>
      </c>
      <c r="G2165" s="1" t="s">
        <v>103</v>
      </c>
      <c r="H2165" s="1" t="s">
        <v>69</v>
      </c>
      <c r="I2165" s="1" t="s">
        <v>34</v>
      </c>
      <c r="J2165" s="1" t="s">
        <v>35</v>
      </c>
      <c r="K2165" s="1" t="s">
        <v>36</v>
      </c>
      <c r="L2165" s="1" t="s">
        <v>136</v>
      </c>
      <c r="M2165" s="1" t="s">
        <v>50</v>
      </c>
      <c r="N2165" s="1" t="n">
        <v>6999</v>
      </c>
      <c r="O2165" s="1" t="n">
        <v>10</v>
      </c>
      <c r="P2165" s="1" t="n">
        <v>699.9</v>
      </c>
      <c r="Q2165" s="1" t="n">
        <v>6299.1</v>
      </c>
      <c r="R2165" s="1" t="n">
        <v>1133.84</v>
      </c>
      <c r="S2165" s="1" t="n">
        <v>5165.26</v>
      </c>
      <c r="T2165" s="1" t="n">
        <v>2160.57</v>
      </c>
      <c r="U2165" s="1" t="n">
        <v>3004.69</v>
      </c>
      <c r="V2165" s="1" t="n">
        <v>58.17</v>
      </c>
      <c r="W2165" s="1" t="s">
        <v>39</v>
      </c>
      <c r="X2165" s="1" t="n">
        <v>4.2</v>
      </c>
      <c r="Y2165" s="1" t="s">
        <v>40</v>
      </c>
      <c r="Z2165" s="1" t="n">
        <v>0</v>
      </c>
      <c r="AA2165" s="1" t="str">
        <f aca="false">TRIM(PROPER(F2165))</f>
        <v>Hyderabad</v>
      </c>
      <c r="AB2165" s="1" t="str">
        <f aca="false">TRIM(PROPER(C2165))</f>
        <v>Whitehat Jr</v>
      </c>
      <c r="AC2165" s="1" t="str">
        <f aca="false">IF(O2165=0,"No Discount",IF(O2165&lt;=15,"Low (1-15%)",IF(O2165&lt;=30,"Medium (16-30%)","High (&gt;30%)")))</f>
        <v>Low (1-15%)</v>
      </c>
      <c r="AD2165" s="1" t="str">
        <f aca="false">IF(V2165&lt;0,"Loss Making",IF(V2165&lt;20,"Low Margin","Healthy Margin"))</f>
        <v>Healthy Margin</v>
      </c>
      <c r="AE2165" s="1" t="str">
        <f aca="false">TEXT(DATE(VALUE(RIGHT(B2165,4)),VALUE(MID(B2165,4,2)),VALUE(LEFT(B2165,2))),"MMM-YYYY")</f>
        <v>Jun-2023</v>
      </c>
      <c r="AF2165" s="1" t="n">
        <f aca="false">VALUE(RIGHT(B2165,4))</f>
        <v>2023</v>
      </c>
      <c r="AG2165" s="1" t="str">
        <f aca="false">CHOOSE(ROUNDUP(VALUE(MID(B2165,4,2))/3,0),"Q1","Q2","Q3","Q4")</f>
        <v>Q2</v>
      </c>
    </row>
    <row r="2166" customFormat="false" ht="15" hidden="false" customHeight="true" outlineLevel="0" collapsed="false">
      <c r="A2166" s="1" t="s">
        <v>3032</v>
      </c>
      <c r="B2166" s="1" t="s">
        <v>1665</v>
      </c>
      <c r="C2166" s="1" t="s">
        <v>264</v>
      </c>
      <c r="D2166" s="1" t="s">
        <v>80</v>
      </c>
      <c r="E2166" s="1" t="s">
        <v>190</v>
      </c>
      <c r="F2166" s="1" t="s">
        <v>82</v>
      </c>
      <c r="G2166" s="1" t="s">
        <v>56</v>
      </c>
      <c r="H2166" s="1" t="s">
        <v>69</v>
      </c>
      <c r="I2166" s="1" t="s">
        <v>83</v>
      </c>
      <c r="J2166" s="1" t="s">
        <v>35</v>
      </c>
      <c r="K2166" s="1" t="s">
        <v>48</v>
      </c>
      <c r="L2166" s="1" t="s">
        <v>113</v>
      </c>
      <c r="M2166" s="1" t="s">
        <v>38</v>
      </c>
      <c r="N2166" s="1" t="n">
        <v>15999</v>
      </c>
      <c r="O2166" s="1" t="n">
        <v>5</v>
      </c>
      <c r="P2166" s="1" t="n">
        <v>799.95</v>
      </c>
      <c r="Q2166" s="1" t="n">
        <v>15199.05</v>
      </c>
      <c r="R2166" s="1" t="n">
        <v>2735.83</v>
      </c>
      <c r="S2166" s="1" t="n">
        <v>12463.22</v>
      </c>
      <c r="T2166" s="1" t="n">
        <v>5921.5</v>
      </c>
      <c r="U2166" s="1" t="n">
        <v>6541.72</v>
      </c>
      <c r="V2166" s="1" t="n">
        <v>52.49</v>
      </c>
      <c r="W2166" s="1" t="s">
        <v>40</v>
      </c>
      <c r="Y2166" s="1" t="s">
        <v>40</v>
      </c>
      <c r="Z2166" s="1" t="n">
        <v>0</v>
      </c>
      <c r="AA2166" s="1" t="str">
        <f aca="false">TRIM(PROPER(F2166))</f>
        <v>Gurugram</v>
      </c>
      <c r="AB2166" s="1" t="str">
        <f aca="false">TRIM(PROPER(C2166))</f>
        <v>Unacademy</v>
      </c>
      <c r="AC2166" s="1" t="str">
        <f aca="false">IF(O2166=0,"No Discount",IF(O2166&lt;=15,"Low (1-15%)",IF(O2166&lt;=30,"Medium (16-30%)","High (&gt;30%)")))</f>
        <v>Low (1-15%)</v>
      </c>
      <c r="AD2166" s="1" t="str">
        <f aca="false">IF(V2166&lt;0,"Loss Making",IF(V2166&lt;20,"Low Margin","Healthy Margin"))</f>
        <v>Healthy Margin</v>
      </c>
      <c r="AE2166" s="1" t="str">
        <f aca="false">TEXT(DATE(VALUE(RIGHT(B2166,4)),VALUE(MID(B2166,4,2)),VALUE(LEFT(B2166,2))),"MMM-YYYY")</f>
        <v>Sep-2024</v>
      </c>
      <c r="AF2166" s="1" t="n">
        <f aca="false">VALUE(RIGHT(B2166,4))</f>
        <v>2024</v>
      </c>
      <c r="AG2166" s="1" t="str">
        <f aca="false">CHOOSE(ROUNDUP(VALUE(MID(B2166,4,2))/3,0),"Q1","Q2","Q3","Q4")</f>
        <v>Q3</v>
      </c>
    </row>
    <row r="2167" customFormat="false" ht="15" hidden="false" customHeight="true" outlineLevel="0" collapsed="false">
      <c r="A2167" s="1" t="s">
        <v>3033</v>
      </c>
      <c r="B2167" s="1" t="s">
        <v>1113</v>
      </c>
      <c r="C2167" s="1" t="s">
        <v>74</v>
      </c>
      <c r="D2167" s="1" t="s">
        <v>123</v>
      </c>
      <c r="E2167" s="1" t="s">
        <v>233</v>
      </c>
      <c r="F2167" s="1" t="s">
        <v>184</v>
      </c>
      <c r="G2167" s="1" t="s">
        <v>56</v>
      </c>
      <c r="H2167" s="1" t="s">
        <v>57</v>
      </c>
      <c r="I2167" s="1" t="s">
        <v>34</v>
      </c>
      <c r="J2167" s="1" t="s">
        <v>131</v>
      </c>
      <c r="K2167" s="1" t="s">
        <v>90</v>
      </c>
      <c r="L2167" s="1" t="s">
        <v>49</v>
      </c>
      <c r="M2167" s="1" t="s">
        <v>50</v>
      </c>
      <c r="N2167" s="1" t="n">
        <v>8999</v>
      </c>
      <c r="O2167" s="1" t="n">
        <v>0</v>
      </c>
      <c r="P2167" s="1" t="n">
        <v>0</v>
      </c>
      <c r="Q2167" s="1" t="n">
        <v>8999</v>
      </c>
      <c r="R2167" s="1" t="n">
        <v>1619.82</v>
      </c>
      <c r="S2167" s="1" t="n">
        <v>7379.18</v>
      </c>
      <c r="T2167" s="1" t="n">
        <v>2909.34</v>
      </c>
      <c r="U2167" s="1" t="n">
        <v>4469.84</v>
      </c>
      <c r="V2167" s="1" t="n">
        <v>60.57</v>
      </c>
      <c r="W2167" s="1" t="s">
        <v>39</v>
      </c>
      <c r="X2167" s="1" t="n">
        <v>3.1</v>
      </c>
      <c r="Y2167" s="1" t="s">
        <v>40</v>
      </c>
      <c r="Z2167" s="1" t="n">
        <v>1</v>
      </c>
      <c r="AA2167" s="1" t="str">
        <f aca="false">TRIM(PROPER(F2167))</f>
        <v>Faridabad</v>
      </c>
      <c r="AB2167" s="1" t="str">
        <f aca="false">TRIM(PROPER(C2167))</f>
        <v>Vedantu</v>
      </c>
      <c r="AC2167" s="1" t="str">
        <f aca="false">IF(O2167=0,"No Discount",IF(O2167&lt;=15,"Low (1-15%)",IF(O2167&lt;=30,"Medium (16-30%)","High (&gt;30%)")))</f>
        <v>No Discount</v>
      </c>
      <c r="AD2167" s="1" t="str">
        <f aca="false">IF(V2167&lt;0,"Loss Making",IF(V2167&lt;20,"Low Margin","Healthy Margin"))</f>
        <v>Healthy Margin</v>
      </c>
      <c r="AE2167" s="1" t="str">
        <f aca="false">TEXT(DATE(VALUE(RIGHT(B2167,4)),VALUE(MID(B2167,4,2)),VALUE(LEFT(B2167,2))),"MMM-YYYY")</f>
        <v>Feb-2024</v>
      </c>
      <c r="AF2167" s="1" t="n">
        <f aca="false">VALUE(RIGHT(B2167,4))</f>
        <v>2024</v>
      </c>
      <c r="AG2167" s="1" t="str">
        <f aca="false">CHOOSE(ROUNDUP(VALUE(MID(B2167,4,2))/3,0),"Q1","Q2","Q3","Q4")</f>
        <v>Q1</v>
      </c>
    </row>
    <row r="2168" customFormat="false" ht="15" hidden="false" customHeight="true" outlineLevel="0" collapsed="false">
      <c r="A2168" s="1" t="s">
        <v>3034</v>
      </c>
      <c r="B2168" s="1" t="s">
        <v>1565</v>
      </c>
      <c r="C2168" s="1" t="s">
        <v>65</v>
      </c>
      <c r="D2168" s="1" t="s">
        <v>94</v>
      </c>
      <c r="E2168" s="1" t="s">
        <v>101</v>
      </c>
      <c r="F2168" s="1" t="s">
        <v>244</v>
      </c>
      <c r="G2168" s="1" t="s">
        <v>97</v>
      </c>
      <c r="H2168" s="1" t="s">
        <v>57</v>
      </c>
      <c r="I2168" s="1" t="s">
        <v>83</v>
      </c>
      <c r="J2168" s="1" t="s">
        <v>59</v>
      </c>
      <c r="K2168" s="1" t="s">
        <v>90</v>
      </c>
      <c r="L2168" s="1" t="s">
        <v>136</v>
      </c>
      <c r="M2168" s="1" t="s">
        <v>38</v>
      </c>
      <c r="N2168" s="1" t="n">
        <v>14999</v>
      </c>
      <c r="O2168" s="1" t="n">
        <v>50</v>
      </c>
      <c r="P2168" s="1" t="n">
        <v>7499.5</v>
      </c>
      <c r="Q2168" s="1" t="n">
        <v>7499.5</v>
      </c>
      <c r="R2168" s="1" t="n">
        <v>1349.91</v>
      </c>
      <c r="S2168" s="1" t="n">
        <v>6149.59</v>
      </c>
      <c r="T2168" s="1" t="n">
        <v>3881.39</v>
      </c>
      <c r="U2168" s="1" t="n">
        <v>2268.2</v>
      </c>
      <c r="V2168" s="1" t="n">
        <v>36.88</v>
      </c>
      <c r="W2168" s="1" t="s">
        <v>39</v>
      </c>
      <c r="X2168" s="1" t="n">
        <v>3.2</v>
      </c>
      <c r="Y2168" s="1" t="s">
        <v>40</v>
      </c>
      <c r="Z2168" s="1" t="n">
        <v>0</v>
      </c>
      <c r="AA2168" s="1" t="str">
        <f aca="false">TRIM(PROPER(F2168))</f>
        <v>Nagpur</v>
      </c>
      <c r="AB2168" s="1" t="str">
        <f aca="false">TRIM(PROPER(C2168))</f>
        <v>Toppr</v>
      </c>
      <c r="AC2168" s="1" t="str">
        <f aca="false">IF(O2168=0,"No Discount",IF(O2168&lt;=15,"Low (1-15%)",IF(O2168&lt;=30,"Medium (16-30%)","High (&gt;30%)")))</f>
        <v>High (&gt;30%)</v>
      </c>
      <c r="AD2168" s="1" t="str">
        <f aca="false">IF(V2168&lt;0,"Loss Making",IF(V2168&lt;20,"Low Margin","Healthy Margin"))</f>
        <v>Healthy Margin</v>
      </c>
      <c r="AE2168" s="1" t="str">
        <f aca="false">TEXT(DATE(VALUE(RIGHT(B2168,4)),VALUE(MID(B2168,4,2)),VALUE(LEFT(B2168,2))),"MMM-YYYY")</f>
        <v>Aug-2024</v>
      </c>
      <c r="AF2168" s="1" t="n">
        <f aca="false">VALUE(RIGHT(B2168,4))</f>
        <v>2024</v>
      </c>
      <c r="AG2168" s="1" t="str">
        <f aca="false">CHOOSE(ROUNDUP(VALUE(MID(B2168,4,2))/3,0),"Q1","Q2","Q3","Q4")</f>
        <v>Q3</v>
      </c>
    </row>
    <row r="2169" customFormat="false" ht="15" hidden="false" customHeight="true" outlineLevel="0" collapsed="false">
      <c r="A2169" s="1" t="s">
        <v>3035</v>
      </c>
      <c r="B2169" s="1" t="s">
        <v>841</v>
      </c>
      <c r="C2169" s="1" t="s">
        <v>134</v>
      </c>
      <c r="D2169" s="1" t="s">
        <v>29</v>
      </c>
      <c r="E2169" s="1" t="s">
        <v>30</v>
      </c>
      <c r="F2169" s="1" t="s">
        <v>150</v>
      </c>
      <c r="G2169" s="1" t="s">
        <v>32</v>
      </c>
      <c r="H2169" s="1" t="s">
        <v>57</v>
      </c>
      <c r="I2169" s="1" t="s">
        <v>34</v>
      </c>
      <c r="J2169" s="1" t="s">
        <v>35</v>
      </c>
      <c r="K2169" s="1" t="s">
        <v>71</v>
      </c>
      <c r="L2169" s="1" t="s">
        <v>113</v>
      </c>
      <c r="M2169" s="1" t="s">
        <v>38</v>
      </c>
      <c r="N2169" s="1" t="n">
        <v>7999</v>
      </c>
      <c r="O2169" s="1" t="n">
        <v>10</v>
      </c>
      <c r="P2169" s="1" t="n">
        <v>799.9</v>
      </c>
      <c r="Q2169" s="1" t="n">
        <v>7199.1</v>
      </c>
      <c r="R2169" s="1" t="n">
        <v>1295.84</v>
      </c>
      <c r="S2169" s="1" t="n">
        <v>5903.26</v>
      </c>
      <c r="T2169" s="1" t="n">
        <v>2670.01</v>
      </c>
      <c r="U2169" s="1" t="n">
        <v>3233.25</v>
      </c>
      <c r="V2169" s="1" t="n">
        <v>54.77</v>
      </c>
      <c r="W2169" s="1" t="s">
        <v>39</v>
      </c>
      <c r="X2169" s="1" t="n">
        <v>4.6</v>
      </c>
      <c r="Y2169" s="1" t="s">
        <v>40</v>
      </c>
      <c r="Z2169" s="1" t="n">
        <v>0</v>
      </c>
      <c r="AA2169" s="1" t="str">
        <f aca="false">TRIM(PROPER(F2169))</f>
        <v>Jaipur</v>
      </c>
      <c r="AB2169" s="1" t="str">
        <f aca="false">TRIM(PROPER(C2169))</f>
        <v>Doubtnut</v>
      </c>
      <c r="AC2169" s="1" t="str">
        <f aca="false">IF(O2169=0,"No Discount",IF(O2169&lt;=15,"Low (1-15%)",IF(O2169&lt;=30,"Medium (16-30%)","High (&gt;30%)")))</f>
        <v>Low (1-15%)</v>
      </c>
      <c r="AD2169" s="1" t="str">
        <f aca="false">IF(V2169&lt;0,"Loss Making",IF(V2169&lt;20,"Low Margin","Healthy Margin"))</f>
        <v>Healthy Margin</v>
      </c>
      <c r="AE2169" s="1" t="str">
        <f aca="false">TEXT(DATE(VALUE(RIGHT(B2169,4)),VALUE(MID(B2169,4,2)),VALUE(LEFT(B2169,2))),"MMM-YYYY")</f>
        <v>Dec-2024</v>
      </c>
      <c r="AF2169" s="1" t="n">
        <f aca="false">VALUE(RIGHT(B2169,4))</f>
        <v>2024</v>
      </c>
      <c r="AG2169" s="1" t="str">
        <f aca="false">CHOOSE(ROUNDUP(VALUE(MID(B2169,4,2))/3,0),"Q1","Q2","Q3","Q4")</f>
        <v>Q4</v>
      </c>
    </row>
    <row r="2170" customFormat="false" ht="15" hidden="false" customHeight="true" outlineLevel="0" collapsed="false">
      <c r="A2170" s="1" t="s">
        <v>3036</v>
      </c>
      <c r="B2170" s="1" t="s">
        <v>218</v>
      </c>
      <c r="C2170" s="1" t="s">
        <v>167</v>
      </c>
      <c r="D2170" s="1" t="s">
        <v>80</v>
      </c>
      <c r="E2170" s="1" t="s">
        <v>193</v>
      </c>
      <c r="F2170" s="1" t="s">
        <v>120</v>
      </c>
      <c r="G2170" s="1" t="s">
        <v>47</v>
      </c>
      <c r="H2170" s="1" t="s">
        <v>57</v>
      </c>
      <c r="I2170" s="1" t="s">
        <v>83</v>
      </c>
      <c r="J2170" s="1" t="s">
        <v>131</v>
      </c>
      <c r="K2170" s="1" t="s">
        <v>36</v>
      </c>
      <c r="L2170" s="1" t="s">
        <v>136</v>
      </c>
      <c r="M2170" s="1" t="s">
        <v>50</v>
      </c>
      <c r="N2170" s="1" t="n">
        <v>8999</v>
      </c>
      <c r="O2170" s="1" t="n">
        <v>50</v>
      </c>
      <c r="P2170" s="1" t="n">
        <v>4499.5</v>
      </c>
      <c r="Q2170" s="1" t="n">
        <v>4499.5</v>
      </c>
      <c r="R2170" s="1" t="n">
        <v>809.91</v>
      </c>
      <c r="S2170" s="1" t="n">
        <v>3689.59</v>
      </c>
      <c r="T2170" s="1" t="n">
        <v>2095.64</v>
      </c>
      <c r="U2170" s="1" t="n">
        <v>1593.95</v>
      </c>
      <c r="V2170" s="1" t="n">
        <v>43.2</v>
      </c>
      <c r="W2170" s="1" t="s">
        <v>39</v>
      </c>
      <c r="X2170" s="1" t="n">
        <v>3.5</v>
      </c>
      <c r="Y2170" s="1" t="s">
        <v>40</v>
      </c>
      <c r="Z2170" s="1" t="n">
        <v>0</v>
      </c>
      <c r="AA2170" s="1" t="str">
        <f aca="false">TRIM(PROPER(F2170))</f>
        <v>Mysuru</v>
      </c>
      <c r="AB2170" s="1" t="str">
        <f aca="false">TRIM(PROPER(C2170))</f>
        <v>Scaler</v>
      </c>
      <c r="AC2170" s="1" t="str">
        <f aca="false">IF(O2170=0,"No Discount",IF(O2170&lt;=15,"Low (1-15%)",IF(O2170&lt;=30,"Medium (16-30%)","High (&gt;30%)")))</f>
        <v>High (&gt;30%)</v>
      </c>
      <c r="AD2170" s="1" t="str">
        <f aca="false">IF(V2170&lt;0,"Loss Making",IF(V2170&lt;20,"Low Margin","Healthy Margin"))</f>
        <v>Healthy Margin</v>
      </c>
      <c r="AE2170" s="1" t="str">
        <f aca="false">TEXT(DATE(VALUE(RIGHT(B2170,4)),VALUE(MID(B2170,4,2)),VALUE(LEFT(B2170,2))),"MMM-YYYY")</f>
        <v>May-2023</v>
      </c>
      <c r="AF2170" s="1" t="n">
        <f aca="false">VALUE(RIGHT(B2170,4))</f>
        <v>2023</v>
      </c>
      <c r="AG2170" s="1" t="str">
        <f aca="false">CHOOSE(ROUNDUP(VALUE(MID(B2170,4,2))/3,0),"Q1","Q2","Q3","Q4")</f>
        <v>Q2</v>
      </c>
    </row>
    <row r="2171" customFormat="false" ht="15" hidden="false" customHeight="true" outlineLevel="0" collapsed="false">
      <c r="A2171" s="1" t="s">
        <v>3037</v>
      </c>
      <c r="B2171" s="1" t="s">
        <v>791</v>
      </c>
      <c r="C2171" s="1" t="s">
        <v>28</v>
      </c>
      <c r="D2171" s="1" t="s">
        <v>168</v>
      </c>
      <c r="E2171" s="1" t="s">
        <v>169</v>
      </c>
      <c r="F2171" s="1" t="s">
        <v>269</v>
      </c>
      <c r="G2171" s="1" t="s">
        <v>108</v>
      </c>
      <c r="H2171" s="1" t="s">
        <v>57</v>
      </c>
      <c r="I2171" s="1" t="s">
        <v>58</v>
      </c>
      <c r="J2171" s="1" t="s">
        <v>59</v>
      </c>
      <c r="K2171" s="1" t="s">
        <v>112</v>
      </c>
      <c r="L2171" s="1" t="s">
        <v>49</v>
      </c>
      <c r="M2171" s="1" t="s">
        <v>50</v>
      </c>
      <c r="N2171" s="1" t="n">
        <v>4999</v>
      </c>
      <c r="O2171" s="1" t="n">
        <v>10</v>
      </c>
      <c r="P2171" s="1" t="n">
        <v>499.9</v>
      </c>
      <c r="Q2171" s="1" t="n">
        <v>4499.1</v>
      </c>
      <c r="R2171" s="1" t="n">
        <v>809.84</v>
      </c>
      <c r="S2171" s="1" t="n">
        <v>3689.26</v>
      </c>
      <c r="T2171" s="1" t="n">
        <v>1465.33</v>
      </c>
      <c r="U2171" s="1" t="n">
        <v>2223.93</v>
      </c>
      <c r="V2171" s="1" t="n">
        <v>60.28</v>
      </c>
      <c r="W2171" s="1" t="s">
        <v>39</v>
      </c>
      <c r="X2171" s="1" t="n">
        <v>2.6</v>
      </c>
      <c r="Y2171" s="1" t="s">
        <v>40</v>
      </c>
      <c r="Z2171" s="1" t="n">
        <v>0</v>
      </c>
      <c r="AA2171" s="1" t="str">
        <f aca="false">TRIM(PROPER(F2171))</f>
        <v>Coimbatore</v>
      </c>
      <c r="AB2171" s="1" t="str">
        <f aca="false">TRIM(PROPER(C2171))</f>
        <v>Embibe</v>
      </c>
      <c r="AC2171" s="1" t="str">
        <f aca="false">IF(O2171=0,"No Discount",IF(O2171&lt;=15,"Low (1-15%)",IF(O2171&lt;=30,"Medium (16-30%)","High (&gt;30%)")))</f>
        <v>Low (1-15%)</v>
      </c>
      <c r="AD2171" s="1" t="str">
        <f aca="false">IF(V2171&lt;0,"Loss Making",IF(V2171&lt;20,"Low Margin","Healthy Margin"))</f>
        <v>Healthy Margin</v>
      </c>
      <c r="AE2171" s="1" t="str">
        <f aca="false">TEXT(DATE(VALUE(RIGHT(B2171,4)),VALUE(MID(B2171,4,2)),VALUE(LEFT(B2171,2))),"MMM-YYYY")</f>
        <v>Jun-2023</v>
      </c>
      <c r="AF2171" s="1" t="n">
        <f aca="false">VALUE(RIGHT(B2171,4))</f>
        <v>2023</v>
      </c>
      <c r="AG2171" s="1" t="str">
        <f aca="false">CHOOSE(ROUNDUP(VALUE(MID(B2171,4,2))/3,0),"Q1","Q2","Q3","Q4")</f>
        <v>Q2</v>
      </c>
    </row>
    <row r="2172" customFormat="false" ht="15" hidden="false" customHeight="true" outlineLevel="0" collapsed="false">
      <c r="A2172" s="1" t="s">
        <v>3038</v>
      </c>
      <c r="B2172" s="1" t="s">
        <v>3039</v>
      </c>
      <c r="C2172" s="1" t="s">
        <v>65</v>
      </c>
      <c r="D2172" s="1" t="s">
        <v>94</v>
      </c>
      <c r="E2172" s="1" t="s">
        <v>135</v>
      </c>
      <c r="F2172" s="1" t="s">
        <v>46</v>
      </c>
      <c r="G2172" s="1" t="s">
        <v>47</v>
      </c>
      <c r="H2172" s="1" t="s">
        <v>33</v>
      </c>
      <c r="I2172" s="1" t="s">
        <v>34</v>
      </c>
      <c r="J2172" s="1" t="s">
        <v>35</v>
      </c>
      <c r="K2172" s="1" t="s">
        <v>104</v>
      </c>
      <c r="L2172" s="1" t="s">
        <v>136</v>
      </c>
      <c r="M2172" s="1" t="s">
        <v>62</v>
      </c>
      <c r="N2172" s="1" t="n">
        <v>9999</v>
      </c>
      <c r="O2172" s="1" t="n">
        <v>5</v>
      </c>
      <c r="P2172" s="1" t="n">
        <v>499.95</v>
      </c>
      <c r="Q2172" s="1" t="n">
        <v>9499.05</v>
      </c>
      <c r="R2172" s="1" t="n">
        <v>1709.83</v>
      </c>
      <c r="S2172" s="1" t="n">
        <v>7789.22</v>
      </c>
      <c r="T2172" s="1" t="n">
        <v>3983.33</v>
      </c>
      <c r="U2172" s="1" t="n">
        <v>3805.89</v>
      </c>
      <c r="V2172" s="1" t="n">
        <v>48.86</v>
      </c>
      <c r="W2172" s="1" t="s">
        <v>39</v>
      </c>
      <c r="X2172" s="1" t="n">
        <v>3.1</v>
      </c>
      <c r="Y2172" s="1" t="s">
        <v>40</v>
      </c>
      <c r="Z2172" s="1" t="n">
        <v>0</v>
      </c>
      <c r="AA2172" s="1" t="str">
        <f aca="false">TRIM(PROPER(F2172))</f>
        <v>Mangaluru</v>
      </c>
      <c r="AB2172" s="1" t="str">
        <f aca="false">TRIM(PROPER(C2172))</f>
        <v>Toppr</v>
      </c>
      <c r="AC2172" s="1" t="str">
        <f aca="false">IF(O2172=0,"No Discount",IF(O2172&lt;=15,"Low (1-15%)",IF(O2172&lt;=30,"Medium (16-30%)","High (&gt;30%)")))</f>
        <v>Low (1-15%)</v>
      </c>
      <c r="AD2172" s="1" t="str">
        <f aca="false">IF(V2172&lt;0,"Loss Making",IF(V2172&lt;20,"Low Margin","Healthy Margin"))</f>
        <v>Healthy Margin</v>
      </c>
      <c r="AE2172" s="1" t="str">
        <f aca="false">TEXT(DATE(VALUE(RIGHT(B2172,4)),VALUE(MID(B2172,4,2)),VALUE(LEFT(B2172,2))),"MMM-YYYY")</f>
        <v>Dec-2023</v>
      </c>
      <c r="AF2172" s="1" t="n">
        <f aca="false">VALUE(RIGHT(B2172,4))</f>
        <v>2023</v>
      </c>
      <c r="AG2172" s="1" t="str">
        <f aca="false">CHOOSE(ROUNDUP(VALUE(MID(B2172,4,2))/3,0),"Q1","Q2","Q3","Q4")</f>
        <v>Q4</v>
      </c>
    </row>
    <row r="2173" customFormat="false" ht="15" hidden="false" customHeight="true" outlineLevel="0" collapsed="false">
      <c r="A2173" s="1" t="s">
        <v>3040</v>
      </c>
      <c r="B2173" s="1" t="s">
        <v>225</v>
      </c>
      <c r="C2173" s="1" t="s">
        <v>178</v>
      </c>
      <c r="D2173" s="1" t="s">
        <v>80</v>
      </c>
      <c r="E2173" s="1" t="s">
        <v>81</v>
      </c>
      <c r="F2173" s="1" t="s">
        <v>67</v>
      </c>
      <c r="G2173" s="1" t="s">
        <v>68</v>
      </c>
      <c r="H2173" s="1" t="s">
        <v>69</v>
      </c>
      <c r="I2173" s="1" t="s">
        <v>34</v>
      </c>
      <c r="J2173" s="1" t="s">
        <v>35</v>
      </c>
      <c r="K2173" s="1" t="s">
        <v>60</v>
      </c>
      <c r="L2173" s="1" t="s">
        <v>136</v>
      </c>
      <c r="M2173" s="1" t="s">
        <v>38</v>
      </c>
      <c r="N2173" s="1" t="n">
        <v>12999</v>
      </c>
      <c r="O2173" s="1" t="n">
        <v>10</v>
      </c>
      <c r="P2173" s="1" t="n">
        <v>1299.9</v>
      </c>
      <c r="Q2173" s="1" t="n">
        <v>11699.1</v>
      </c>
      <c r="R2173" s="1" t="n">
        <v>2105.84</v>
      </c>
      <c r="S2173" s="1" t="n">
        <v>9593.26</v>
      </c>
      <c r="T2173" s="1" t="n">
        <v>4071.67</v>
      </c>
      <c r="U2173" s="1" t="n">
        <v>5521.59</v>
      </c>
      <c r="V2173" s="1" t="n">
        <v>57.56</v>
      </c>
      <c r="W2173" s="1" t="s">
        <v>39</v>
      </c>
      <c r="X2173" s="1" t="n">
        <v>3.7</v>
      </c>
      <c r="Y2173" s="1" t="s">
        <v>39</v>
      </c>
      <c r="Z2173" s="1" t="n">
        <v>0</v>
      </c>
      <c r="AA2173" s="1" t="str">
        <f aca="false">TRIM(PROPER(F2173))</f>
        <v>Ahmedabad</v>
      </c>
      <c r="AB2173" s="1" t="str">
        <f aca="false">TRIM(PROPER(C2173))</f>
        <v>Leverage Edu</v>
      </c>
      <c r="AC2173" s="1" t="str">
        <f aca="false">IF(O2173=0,"No Discount",IF(O2173&lt;=15,"Low (1-15%)",IF(O2173&lt;=30,"Medium (16-30%)","High (&gt;30%)")))</f>
        <v>Low (1-15%)</v>
      </c>
      <c r="AD2173" s="1" t="str">
        <f aca="false">IF(V2173&lt;0,"Loss Making",IF(V2173&lt;20,"Low Margin","Healthy Margin"))</f>
        <v>Healthy Margin</v>
      </c>
      <c r="AE2173" s="1" t="str">
        <f aca="false">TEXT(DATE(VALUE(RIGHT(B2173,4)),VALUE(MID(B2173,4,2)),VALUE(LEFT(B2173,2))),"MMM-YYYY")</f>
        <v>May-2024</v>
      </c>
      <c r="AF2173" s="1" t="n">
        <f aca="false">VALUE(RIGHT(B2173,4))</f>
        <v>2024</v>
      </c>
      <c r="AG2173" s="1" t="str">
        <f aca="false">CHOOSE(ROUNDUP(VALUE(MID(B2173,4,2))/3,0),"Q1","Q2","Q3","Q4")</f>
        <v>Q2</v>
      </c>
    </row>
    <row r="2174" customFormat="false" ht="15" hidden="false" customHeight="true" outlineLevel="0" collapsed="false">
      <c r="A2174" s="1" t="s">
        <v>3041</v>
      </c>
      <c r="B2174" s="1" t="s">
        <v>1052</v>
      </c>
      <c r="C2174" s="1" t="s">
        <v>88</v>
      </c>
      <c r="D2174" s="1" t="s">
        <v>143</v>
      </c>
      <c r="E2174" s="1" t="s">
        <v>144</v>
      </c>
      <c r="F2174" s="1" t="s">
        <v>244</v>
      </c>
      <c r="G2174" s="1" t="s">
        <v>97</v>
      </c>
      <c r="H2174" s="1" t="s">
        <v>57</v>
      </c>
      <c r="I2174" s="1" t="s">
        <v>58</v>
      </c>
      <c r="J2174" s="1" t="s">
        <v>35</v>
      </c>
      <c r="K2174" s="1" t="s">
        <v>104</v>
      </c>
      <c r="L2174" s="1" t="s">
        <v>113</v>
      </c>
      <c r="M2174" s="1" t="s">
        <v>62</v>
      </c>
      <c r="N2174" s="1" t="n">
        <v>12999</v>
      </c>
      <c r="O2174" s="1" t="n">
        <v>40</v>
      </c>
      <c r="P2174" s="1" t="n">
        <v>5199.6</v>
      </c>
      <c r="Q2174" s="1" t="n">
        <v>7799.4</v>
      </c>
      <c r="R2174" s="1" t="n">
        <v>1403.89</v>
      </c>
      <c r="S2174" s="1" t="n">
        <v>6395.51</v>
      </c>
      <c r="T2174" s="1" t="n">
        <v>3092.77</v>
      </c>
      <c r="U2174" s="1" t="n">
        <v>3302.74</v>
      </c>
      <c r="V2174" s="1" t="n">
        <v>51.64</v>
      </c>
      <c r="W2174" s="1" t="s">
        <v>40</v>
      </c>
      <c r="Y2174" s="1" t="s">
        <v>40</v>
      </c>
      <c r="Z2174" s="1" t="n">
        <v>1</v>
      </c>
      <c r="AA2174" s="1" t="str">
        <f aca="false">TRIM(PROPER(F2174))</f>
        <v>Nagpur</v>
      </c>
      <c r="AB2174" s="1" t="str">
        <f aca="false">TRIM(PROPER(C2174))</f>
        <v>Byju'S</v>
      </c>
      <c r="AC2174" s="1" t="str">
        <f aca="false">IF(O2174=0,"No Discount",IF(O2174&lt;=15,"Low (1-15%)",IF(O2174&lt;=30,"Medium (16-30%)","High (&gt;30%)")))</f>
        <v>High (&gt;30%)</v>
      </c>
      <c r="AD2174" s="1" t="str">
        <f aca="false">IF(V2174&lt;0,"Loss Making",IF(V2174&lt;20,"Low Margin","Healthy Margin"))</f>
        <v>Healthy Margin</v>
      </c>
      <c r="AE2174" s="1" t="str">
        <f aca="false">TEXT(DATE(VALUE(RIGHT(B2174,4)),VALUE(MID(B2174,4,2)),VALUE(LEFT(B2174,2))),"MMM-YYYY")</f>
        <v>May-2023</v>
      </c>
      <c r="AF2174" s="1" t="n">
        <f aca="false">VALUE(RIGHT(B2174,4))</f>
        <v>2023</v>
      </c>
      <c r="AG2174" s="1" t="str">
        <f aca="false">CHOOSE(ROUNDUP(VALUE(MID(B2174,4,2))/3,0),"Q1","Q2","Q3","Q4")</f>
        <v>Q2</v>
      </c>
    </row>
    <row r="2175" customFormat="false" ht="15" hidden="false" customHeight="true" outlineLevel="0" collapsed="false">
      <c r="A2175" s="1" t="s">
        <v>3042</v>
      </c>
      <c r="B2175" s="1" t="s">
        <v>277</v>
      </c>
      <c r="C2175" s="1" t="s">
        <v>1602</v>
      </c>
      <c r="D2175" s="1" t="s">
        <v>143</v>
      </c>
      <c r="E2175" s="1" t="s">
        <v>162</v>
      </c>
      <c r="F2175" s="1" t="s">
        <v>194</v>
      </c>
      <c r="G2175" s="1" t="s">
        <v>103</v>
      </c>
      <c r="H2175" s="1" t="s">
        <v>69</v>
      </c>
      <c r="I2175" s="1" t="s">
        <v>34</v>
      </c>
      <c r="J2175" s="1" t="s">
        <v>59</v>
      </c>
      <c r="K2175" s="1" t="s">
        <v>90</v>
      </c>
      <c r="L2175" s="1" t="s">
        <v>37</v>
      </c>
      <c r="M2175" s="1" t="s">
        <v>50</v>
      </c>
      <c r="N2175" s="1" t="n">
        <v>14999</v>
      </c>
      <c r="O2175" s="1" t="n">
        <v>30</v>
      </c>
      <c r="P2175" s="1" t="n">
        <v>4499.7</v>
      </c>
      <c r="Q2175" s="1" t="n">
        <v>10499.3</v>
      </c>
      <c r="R2175" s="1" t="n">
        <v>1889.87</v>
      </c>
      <c r="S2175" s="1" t="n">
        <v>8609.43</v>
      </c>
      <c r="T2175" s="1" t="n">
        <v>3020.93</v>
      </c>
      <c r="U2175" s="1" t="n">
        <v>5588.5</v>
      </c>
      <c r="V2175" s="1" t="n">
        <v>64.91</v>
      </c>
      <c r="W2175" s="1" t="s">
        <v>40</v>
      </c>
      <c r="Y2175" s="1" t="s">
        <v>40</v>
      </c>
      <c r="Z2175" s="1" t="n">
        <v>1</v>
      </c>
      <c r="AA2175" s="1" t="str">
        <f aca="false">TRIM(PROPER(F2175))</f>
        <v>Hyderabad</v>
      </c>
      <c r="AB2175" s="1" t="str">
        <f aca="false">TRIM(PROPER(C2175))</f>
        <v>Upgrad</v>
      </c>
      <c r="AC2175" s="1" t="str">
        <f aca="false">IF(O2175=0,"No Discount",IF(O2175&lt;=15,"Low (1-15%)",IF(O2175&lt;=30,"Medium (16-30%)","High (&gt;30%)")))</f>
        <v>Medium (16-30%)</v>
      </c>
      <c r="AD2175" s="1" t="str">
        <f aca="false">IF(V2175&lt;0,"Loss Making",IF(V2175&lt;20,"Low Margin","Healthy Margin"))</f>
        <v>Healthy Margin</v>
      </c>
      <c r="AE2175" s="1" t="str">
        <f aca="false">TEXT(DATE(VALUE(RIGHT(B2175,4)),VALUE(MID(B2175,4,2)),VALUE(LEFT(B2175,2))),"MMM-YYYY")</f>
        <v>May-2023</v>
      </c>
      <c r="AF2175" s="1" t="n">
        <f aca="false">VALUE(RIGHT(B2175,4))</f>
        <v>2023</v>
      </c>
      <c r="AG2175" s="1" t="str">
        <f aca="false">CHOOSE(ROUNDUP(VALUE(MID(B2175,4,2))/3,0),"Q1","Q2","Q3","Q4")</f>
        <v>Q2</v>
      </c>
    </row>
    <row r="2176" customFormat="false" ht="15" hidden="false" customHeight="true" outlineLevel="0" collapsed="false">
      <c r="A2176" s="1" t="s">
        <v>3043</v>
      </c>
      <c r="B2176" s="1" t="s">
        <v>1375</v>
      </c>
      <c r="C2176" s="1" t="s">
        <v>28</v>
      </c>
      <c r="D2176" s="1" t="s">
        <v>168</v>
      </c>
      <c r="E2176" s="1" t="s">
        <v>328</v>
      </c>
      <c r="F2176" s="1" t="s">
        <v>31</v>
      </c>
      <c r="G2176" s="1" t="s">
        <v>32</v>
      </c>
      <c r="H2176" s="1" t="s">
        <v>33</v>
      </c>
      <c r="I2176" s="1" t="s">
        <v>58</v>
      </c>
      <c r="J2176" s="1" t="s">
        <v>70</v>
      </c>
      <c r="K2176" s="1" t="s">
        <v>104</v>
      </c>
      <c r="L2176" s="1" t="s">
        <v>61</v>
      </c>
      <c r="M2176" s="1" t="s">
        <v>50</v>
      </c>
      <c r="N2176" s="1" t="n">
        <v>8999</v>
      </c>
      <c r="O2176" s="1" t="n">
        <v>10</v>
      </c>
      <c r="P2176" s="1" t="n">
        <v>899.9</v>
      </c>
      <c r="Q2176" s="1" t="n">
        <v>8099.1</v>
      </c>
      <c r="R2176" s="1" t="n">
        <v>1457.84</v>
      </c>
      <c r="S2176" s="1" t="n">
        <v>6641.26</v>
      </c>
      <c r="T2176" s="1" t="n">
        <v>3006.9</v>
      </c>
      <c r="U2176" s="1" t="n">
        <v>3634.36</v>
      </c>
      <c r="V2176" s="1" t="n">
        <v>54.72</v>
      </c>
      <c r="W2176" s="1" t="s">
        <v>40</v>
      </c>
      <c r="Y2176" s="1" t="s">
        <v>40</v>
      </c>
      <c r="Z2176" s="1" t="n">
        <v>0</v>
      </c>
      <c r="AA2176" s="1" t="str">
        <f aca="false">TRIM(PROPER(F2176))</f>
        <v>Jodhpur</v>
      </c>
      <c r="AB2176" s="1" t="str">
        <f aca="false">TRIM(PROPER(C2176))</f>
        <v>Embibe</v>
      </c>
      <c r="AC2176" s="1" t="str">
        <f aca="false">IF(O2176=0,"No Discount",IF(O2176&lt;=15,"Low (1-15%)",IF(O2176&lt;=30,"Medium (16-30%)","High (&gt;30%)")))</f>
        <v>Low (1-15%)</v>
      </c>
      <c r="AD2176" s="1" t="str">
        <f aca="false">IF(V2176&lt;0,"Loss Making",IF(V2176&lt;20,"Low Margin","Healthy Margin"))</f>
        <v>Healthy Margin</v>
      </c>
      <c r="AE2176" s="1" t="str">
        <f aca="false">TEXT(DATE(VALUE(RIGHT(B2176,4)),VALUE(MID(B2176,4,2)),VALUE(LEFT(B2176,2))),"MMM-YYYY")</f>
        <v>Oct-2023</v>
      </c>
      <c r="AF2176" s="1" t="n">
        <f aca="false">VALUE(RIGHT(B2176,4))</f>
        <v>2023</v>
      </c>
      <c r="AG2176" s="1" t="str">
        <f aca="false">CHOOSE(ROUNDUP(VALUE(MID(B2176,4,2))/3,0),"Q1","Q2","Q3","Q4")</f>
        <v>Q4</v>
      </c>
    </row>
    <row r="2177" customFormat="false" ht="15" hidden="false" customHeight="true" outlineLevel="0" collapsed="false">
      <c r="A2177" s="1" t="s">
        <v>3044</v>
      </c>
      <c r="B2177" s="1" t="s">
        <v>689</v>
      </c>
      <c r="C2177" s="1" t="s">
        <v>178</v>
      </c>
      <c r="D2177" s="1" t="s">
        <v>143</v>
      </c>
      <c r="E2177" s="1" t="s">
        <v>210</v>
      </c>
      <c r="F2177" s="1" t="s">
        <v>269</v>
      </c>
      <c r="G2177" s="1" t="s">
        <v>108</v>
      </c>
      <c r="H2177" s="1" t="s">
        <v>57</v>
      </c>
      <c r="I2177" s="1" t="s">
        <v>34</v>
      </c>
      <c r="J2177" s="1" t="s">
        <v>77</v>
      </c>
      <c r="K2177" s="1" t="s">
        <v>84</v>
      </c>
      <c r="L2177" s="1" t="s">
        <v>136</v>
      </c>
      <c r="M2177" s="1" t="s">
        <v>62</v>
      </c>
      <c r="N2177" s="1" t="n">
        <v>18999</v>
      </c>
      <c r="O2177" s="1" t="n">
        <v>5</v>
      </c>
      <c r="P2177" s="1" t="n">
        <v>949.95</v>
      </c>
      <c r="Q2177" s="1" t="n">
        <v>18049.05</v>
      </c>
      <c r="R2177" s="1" t="n">
        <v>3248.83</v>
      </c>
      <c r="S2177" s="1" t="n">
        <v>14800.22</v>
      </c>
      <c r="T2177" s="1" t="n">
        <v>6857.55</v>
      </c>
      <c r="U2177" s="1" t="n">
        <v>7942.67</v>
      </c>
      <c r="V2177" s="1" t="n">
        <v>53.67</v>
      </c>
      <c r="W2177" s="1" t="s">
        <v>39</v>
      </c>
      <c r="X2177" s="1" t="n">
        <v>3.9</v>
      </c>
      <c r="Y2177" s="1" t="s">
        <v>40</v>
      </c>
      <c r="Z2177" s="1" t="n">
        <v>0</v>
      </c>
      <c r="AA2177" s="1" t="str">
        <f aca="false">TRIM(PROPER(F2177))</f>
        <v>Coimbatore</v>
      </c>
      <c r="AB2177" s="1" t="str">
        <f aca="false">TRIM(PROPER(C2177))</f>
        <v>Leverage Edu</v>
      </c>
      <c r="AC2177" s="1" t="str">
        <f aca="false">IF(O2177=0,"No Discount",IF(O2177&lt;=15,"Low (1-15%)",IF(O2177&lt;=30,"Medium (16-30%)","High (&gt;30%)")))</f>
        <v>Low (1-15%)</v>
      </c>
      <c r="AD2177" s="1" t="str">
        <f aca="false">IF(V2177&lt;0,"Loss Making",IF(V2177&lt;20,"Low Margin","Healthy Margin"))</f>
        <v>Healthy Margin</v>
      </c>
      <c r="AE2177" s="1" t="str">
        <f aca="false">TEXT(DATE(VALUE(RIGHT(B2177,4)),VALUE(MID(B2177,4,2)),VALUE(LEFT(B2177,2))),"MMM-YYYY")</f>
        <v>Jul-2023</v>
      </c>
      <c r="AF2177" s="1" t="n">
        <f aca="false">VALUE(RIGHT(B2177,4))</f>
        <v>2023</v>
      </c>
      <c r="AG2177" s="1" t="str">
        <f aca="false">CHOOSE(ROUNDUP(VALUE(MID(B2177,4,2))/3,0),"Q1","Q2","Q3","Q4")</f>
        <v>Q3</v>
      </c>
    </row>
    <row r="2178" customFormat="false" ht="15" hidden="false" customHeight="true" outlineLevel="0" collapsed="false">
      <c r="A2178" s="1" t="s">
        <v>3045</v>
      </c>
      <c r="B2178" s="1" t="s">
        <v>1205</v>
      </c>
      <c r="C2178" s="1" t="s">
        <v>264</v>
      </c>
      <c r="D2178" s="1" t="s">
        <v>143</v>
      </c>
      <c r="E2178" s="1" t="s">
        <v>210</v>
      </c>
      <c r="F2178" s="1" t="s">
        <v>205</v>
      </c>
      <c r="G2178" s="1" t="s">
        <v>56</v>
      </c>
      <c r="H2178" s="1" t="s">
        <v>69</v>
      </c>
      <c r="I2178" s="1" t="s">
        <v>83</v>
      </c>
      <c r="J2178" s="1" t="s">
        <v>35</v>
      </c>
      <c r="K2178" s="1" t="s">
        <v>48</v>
      </c>
      <c r="L2178" s="1" t="s">
        <v>136</v>
      </c>
      <c r="M2178" s="1" t="s">
        <v>50</v>
      </c>
      <c r="N2178" s="1" t="n">
        <v>18999</v>
      </c>
      <c r="O2178" s="1" t="n">
        <v>30</v>
      </c>
      <c r="P2178" s="1" t="n">
        <v>5699.7</v>
      </c>
      <c r="Q2178" s="1" t="n">
        <v>13299.3</v>
      </c>
      <c r="R2178" s="1" t="n">
        <v>2393.87</v>
      </c>
      <c r="S2178" s="1" t="n">
        <v>10905.43</v>
      </c>
      <c r="T2178" s="1" t="n">
        <v>3639.12</v>
      </c>
      <c r="U2178" s="1" t="n">
        <v>7266.31</v>
      </c>
      <c r="V2178" s="1" t="n">
        <v>66.63</v>
      </c>
      <c r="W2178" s="1" t="s">
        <v>39</v>
      </c>
      <c r="Y2178" s="1" t="s">
        <v>40</v>
      </c>
      <c r="Z2178" s="1" t="n">
        <v>0</v>
      </c>
      <c r="AA2178" s="1" t="str">
        <f aca="false">TRIM(PROPER(F2178))</f>
        <v>New Delhi</v>
      </c>
      <c r="AB2178" s="1" t="str">
        <f aca="false">TRIM(PROPER(C2178))</f>
        <v>Unacademy</v>
      </c>
      <c r="AC2178" s="1" t="str">
        <f aca="false">IF(O2178=0,"No Discount",IF(O2178&lt;=15,"Low (1-15%)",IF(O2178&lt;=30,"Medium (16-30%)","High (&gt;30%)")))</f>
        <v>Medium (16-30%)</v>
      </c>
      <c r="AD2178" s="1" t="str">
        <f aca="false">IF(V2178&lt;0,"Loss Making",IF(V2178&lt;20,"Low Margin","Healthy Margin"))</f>
        <v>Healthy Margin</v>
      </c>
      <c r="AE2178" s="1" t="str">
        <f aca="false">TEXT(DATE(VALUE(RIGHT(B2178,4)),VALUE(MID(B2178,4,2)),VALUE(LEFT(B2178,2))),"MMM-YYYY")</f>
        <v>May-2024</v>
      </c>
      <c r="AF2178" s="1" t="n">
        <f aca="false">VALUE(RIGHT(B2178,4))</f>
        <v>2024</v>
      </c>
      <c r="AG2178" s="1" t="str">
        <f aca="false">CHOOSE(ROUNDUP(VALUE(MID(B2178,4,2))/3,0),"Q1","Q2","Q3","Q4")</f>
        <v>Q2</v>
      </c>
    </row>
    <row r="2179" customFormat="false" ht="15" hidden="false" customHeight="true" outlineLevel="0" collapsed="false">
      <c r="A2179" s="1" t="s">
        <v>3046</v>
      </c>
      <c r="B2179" s="1" t="s">
        <v>2869</v>
      </c>
      <c r="C2179" s="1" t="s">
        <v>100</v>
      </c>
      <c r="D2179" s="1" t="s">
        <v>44</v>
      </c>
      <c r="E2179" s="1" t="s">
        <v>66</v>
      </c>
      <c r="F2179" s="1" t="s">
        <v>120</v>
      </c>
      <c r="G2179" s="1" t="s">
        <v>47</v>
      </c>
      <c r="H2179" s="1" t="s">
        <v>57</v>
      </c>
      <c r="I2179" s="1" t="s">
        <v>58</v>
      </c>
      <c r="J2179" s="1" t="s">
        <v>35</v>
      </c>
      <c r="K2179" s="1" t="s">
        <v>84</v>
      </c>
      <c r="L2179" s="1" t="s">
        <v>85</v>
      </c>
      <c r="M2179" s="1" t="s">
        <v>38</v>
      </c>
      <c r="N2179" s="1" t="n">
        <v>12999</v>
      </c>
      <c r="O2179" s="1" t="n">
        <v>10</v>
      </c>
      <c r="P2179" s="1" t="n">
        <v>1299.9</v>
      </c>
      <c r="Q2179" s="1" t="n">
        <v>11699.1</v>
      </c>
      <c r="R2179" s="1" t="n">
        <v>2105.84</v>
      </c>
      <c r="S2179" s="1" t="n">
        <v>9593.26</v>
      </c>
      <c r="T2179" s="1" t="n">
        <v>4144.63</v>
      </c>
      <c r="U2179" s="1" t="n">
        <v>5448.63</v>
      </c>
      <c r="V2179" s="1" t="n">
        <v>56.8</v>
      </c>
      <c r="W2179" s="1" t="s">
        <v>39</v>
      </c>
      <c r="Y2179" s="1" t="s">
        <v>40</v>
      </c>
      <c r="Z2179" s="1" t="n">
        <v>0</v>
      </c>
      <c r="AA2179" s="1" t="str">
        <f aca="false">TRIM(PROPER(F2179))</f>
        <v>Mysuru</v>
      </c>
      <c r="AB2179" s="1" t="str">
        <f aca="false">TRIM(PROPER(C2179))</f>
        <v>Physics Wallah</v>
      </c>
      <c r="AC2179" s="1" t="str">
        <f aca="false">IF(O2179=0,"No Discount",IF(O2179&lt;=15,"Low (1-15%)",IF(O2179&lt;=30,"Medium (16-30%)","High (&gt;30%)")))</f>
        <v>Low (1-15%)</v>
      </c>
      <c r="AD2179" s="1" t="str">
        <f aca="false">IF(V2179&lt;0,"Loss Making",IF(V2179&lt;20,"Low Margin","Healthy Margin"))</f>
        <v>Healthy Margin</v>
      </c>
      <c r="AE2179" s="1" t="str">
        <f aca="false">TEXT(DATE(VALUE(RIGHT(B2179,4)),VALUE(MID(B2179,4,2)),VALUE(LEFT(B2179,2))),"MMM-YYYY")</f>
        <v>Jan-2024</v>
      </c>
      <c r="AF2179" s="1" t="n">
        <f aca="false">VALUE(RIGHT(B2179,4))</f>
        <v>2024</v>
      </c>
      <c r="AG2179" s="1" t="str">
        <f aca="false">CHOOSE(ROUNDUP(VALUE(MID(B2179,4,2))/3,0),"Q1","Q2","Q3","Q4")</f>
        <v>Q1</v>
      </c>
    </row>
    <row r="2180" customFormat="false" ht="15" hidden="false" customHeight="true" outlineLevel="0" collapsed="false">
      <c r="A2180" s="1" t="s">
        <v>3047</v>
      </c>
      <c r="B2180" s="1" t="s">
        <v>1665</v>
      </c>
      <c r="C2180" s="1" t="s">
        <v>93</v>
      </c>
      <c r="D2180" s="1" t="s">
        <v>29</v>
      </c>
      <c r="E2180" s="1" t="s">
        <v>30</v>
      </c>
      <c r="F2180" s="1" t="s">
        <v>55</v>
      </c>
      <c r="G2180" s="1" t="s">
        <v>56</v>
      </c>
      <c r="H2180" s="1" t="s">
        <v>57</v>
      </c>
      <c r="I2180" s="1" t="s">
        <v>58</v>
      </c>
      <c r="J2180" s="1" t="s">
        <v>131</v>
      </c>
      <c r="K2180" s="1" t="s">
        <v>36</v>
      </c>
      <c r="L2180" s="1" t="s">
        <v>85</v>
      </c>
      <c r="M2180" s="1" t="s">
        <v>50</v>
      </c>
      <c r="N2180" s="1" t="n">
        <v>7999</v>
      </c>
      <c r="O2180" s="1" t="n">
        <v>20</v>
      </c>
      <c r="P2180" s="1" t="n">
        <v>1599.8</v>
      </c>
      <c r="Q2180" s="1" t="n">
        <v>6399.2</v>
      </c>
      <c r="R2180" s="1" t="n">
        <v>1151.86</v>
      </c>
      <c r="S2180" s="1" t="n">
        <v>5247.34</v>
      </c>
      <c r="T2180" s="1" t="n">
        <v>2076.89</v>
      </c>
      <c r="U2180" s="1" t="n">
        <v>3170.45</v>
      </c>
      <c r="V2180" s="1" t="n">
        <v>60.42</v>
      </c>
      <c r="W2180" s="1" t="s">
        <v>40</v>
      </c>
      <c r="Y2180" s="1" t="s">
        <v>40</v>
      </c>
      <c r="Z2180" s="1" t="n">
        <v>1</v>
      </c>
      <c r="AA2180" s="1" t="str">
        <f aca="false">TRIM(PROPER(F2180))</f>
        <v>Ghaziabad</v>
      </c>
      <c r="AB2180" s="1" t="str">
        <f aca="false">TRIM(PROPER(C2180))</f>
        <v>Upgrad</v>
      </c>
      <c r="AC2180" s="1" t="str">
        <f aca="false">IF(O2180=0,"No Discount",IF(O2180&lt;=15,"Low (1-15%)",IF(O2180&lt;=30,"Medium (16-30%)","High (&gt;30%)")))</f>
        <v>Medium (16-30%)</v>
      </c>
      <c r="AD2180" s="1" t="str">
        <f aca="false">IF(V2180&lt;0,"Loss Making",IF(V2180&lt;20,"Low Margin","Healthy Margin"))</f>
        <v>Healthy Margin</v>
      </c>
      <c r="AE2180" s="1" t="str">
        <f aca="false">TEXT(DATE(VALUE(RIGHT(B2180,4)),VALUE(MID(B2180,4,2)),VALUE(LEFT(B2180,2))),"MMM-YYYY")</f>
        <v>Sep-2024</v>
      </c>
      <c r="AF2180" s="1" t="n">
        <f aca="false">VALUE(RIGHT(B2180,4))</f>
        <v>2024</v>
      </c>
      <c r="AG2180" s="1" t="str">
        <f aca="false">CHOOSE(ROUNDUP(VALUE(MID(B2180,4,2))/3,0),"Q1","Q2","Q3","Q4")</f>
        <v>Q3</v>
      </c>
    </row>
    <row r="2181" customFormat="false" ht="15" hidden="false" customHeight="true" outlineLevel="0" collapsed="false">
      <c r="A2181" s="1" t="s">
        <v>3048</v>
      </c>
      <c r="B2181" s="1" t="s">
        <v>227</v>
      </c>
      <c r="C2181" s="1" t="s">
        <v>74</v>
      </c>
      <c r="D2181" s="1" t="s">
        <v>168</v>
      </c>
      <c r="E2181" s="1" t="s">
        <v>169</v>
      </c>
      <c r="F2181" s="1" t="s">
        <v>184</v>
      </c>
      <c r="G2181" s="1" t="s">
        <v>56</v>
      </c>
      <c r="H2181" s="1" t="s">
        <v>57</v>
      </c>
      <c r="I2181" s="1" t="s">
        <v>34</v>
      </c>
      <c r="J2181" s="1" t="s">
        <v>70</v>
      </c>
      <c r="K2181" s="1" t="s">
        <v>48</v>
      </c>
      <c r="L2181" s="1" t="s">
        <v>49</v>
      </c>
      <c r="M2181" s="1" t="s">
        <v>38</v>
      </c>
      <c r="N2181" s="1" t="n">
        <v>4999</v>
      </c>
      <c r="O2181" s="1" t="n">
        <v>50</v>
      </c>
      <c r="P2181" s="1" t="n">
        <v>2499.5</v>
      </c>
      <c r="Q2181" s="1" t="n">
        <v>2499.5</v>
      </c>
      <c r="R2181" s="1" t="n">
        <v>449.91</v>
      </c>
      <c r="S2181" s="1" t="n">
        <v>2049.59</v>
      </c>
      <c r="T2181" s="1" t="n">
        <v>1122.61</v>
      </c>
      <c r="U2181" s="1" t="n">
        <v>926.98</v>
      </c>
      <c r="V2181" s="1" t="n">
        <v>45.23</v>
      </c>
      <c r="W2181" s="1" t="s">
        <v>39</v>
      </c>
      <c r="X2181" s="1" t="n">
        <v>3.5</v>
      </c>
      <c r="Y2181" s="1" t="s">
        <v>40</v>
      </c>
      <c r="Z2181" s="1" t="n">
        <v>0</v>
      </c>
      <c r="AA2181" s="1" t="str">
        <f aca="false">TRIM(PROPER(F2181))</f>
        <v>Faridabad</v>
      </c>
      <c r="AB2181" s="1" t="str">
        <f aca="false">TRIM(PROPER(C2181))</f>
        <v>Vedantu</v>
      </c>
      <c r="AC2181" s="1" t="str">
        <f aca="false">IF(O2181=0,"No Discount",IF(O2181&lt;=15,"Low (1-15%)",IF(O2181&lt;=30,"Medium (16-30%)","High (&gt;30%)")))</f>
        <v>High (&gt;30%)</v>
      </c>
      <c r="AD2181" s="1" t="str">
        <f aca="false">IF(V2181&lt;0,"Loss Making",IF(V2181&lt;20,"Low Margin","Healthy Margin"))</f>
        <v>Healthy Margin</v>
      </c>
      <c r="AE2181" s="1" t="str">
        <f aca="false">TEXT(DATE(VALUE(RIGHT(B2181,4)),VALUE(MID(B2181,4,2)),VALUE(LEFT(B2181,2))),"MMM-YYYY")</f>
        <v>Aug-2023</v>
      </c>
      <c r="AF2181" s="1" t="n">
        <f aca="false">VALUE(RIGHT(B2181,4))</f>
        <v>2023</v>
      </c>
      <c r="AG2181" s="1" t="str">
        <f aca="false">CHOOSE(ROUNDUP(VALUE(MID(B2181,4,2))/3,0),"Q1","Q2","Q3","Q4")</f>
        <v>Q3</v>
      </c>
    </row>
    <row r="2182" customFormat="false" ht="15" hidden="false" customHeight="true" outlineLevel="0" collapsed="false">
      <c r="A2182" s="1" t="s">
        <v>3049</v>
      </c>
      <c r="B2182" s="1" t="s">
        <v>1686</v>
      </c>
      <c r="C2182" s="1" t="s">
        <v>128</v>
      </c>
      <c r="D2182" s="1" t="s">
        <v>168</v>
      </c>
      <c r="E2182" s="1" t="s">
        <v>172</v>
      </c>
      <c r="F2182" s="1" t="s">
        <v>150</v>
      </c>
      <c r="G2182" s="1" t="s">
        <v>32</v>
      </c>
      <c r="H2182" s="1" t="s">
        <v>57</v>
      </c>
      <c r="I2182" s="1" t="s">
        <v>34</v>
      </c>
      <c r="J2182" s="1" t="s">
        <v>77</v>
      </c>
      <c r="K2182" s="1" t="s">
        <v>104</v>
      </c>
      <c r="L2182" s="1" t="s">
        <v>61</v>
      </c>
      <c r="M2182" s="1" t="s">
        <v>62</v>
      </c>
      <c r="N2182" s="1" t="n">
        <v>6999</v>
      </c>
      <c r="O2182" s="1" t="n">
        <v>0</v>
      </c>
      <c r="P2182" s="1" t="n">
        <v>0</v>
      </c>
      <c r="Q2182" s="1" t="n">
        <v>6999</v>
      </c>
      <c r="R2182" s="1" t="n">
        <v>1259.82</v>
      </c>
      <c r="S2182" s="1" t="n">
        <v>5739.18</v>
      </c>
      <c r="T2182" s="1" t="n">
        <v>2589.04</v>
      </c>
      <c r="U2182" s="1" t="n">
        <v>3150.14</v>
      </c>
      <c r="V2182" s="1" t="n">
        <v>54.89</v>
      </c>
      <c r="W2182" s="1" t="s">
        <v>39</v>
      </c>
      <c r="X2182" s="1" t="n">
        <v>4</v>
      </c>
      <c r="Y2182" s="1" t="s">
        <v>40</v>
      </c>
      <c r="Z2182" s="1" t="n">
        <v>1</v>
      </c>
      <c r="AA2182" s="1" t="str">
        <f aca="false">TRIM(PROPER(F2182))</f>
        <v>Jaipur</v>
      </c>
      <c r="AB2182" s="1" t="str">
        <f aca="false">TRIM(PROPER(C2182))</f>
        <v>Great Learning</v>
      </c>
      <c r="AC2182" s="1" t="str">
        <f aca="false">IF(O2182=0,"No Discount",IF(O2182&lt;=15,"Low (1-15%)",IF(O2182&lt;=30,"Medium (16-30%)","High (&gt;30%)")))</f>
        <v>No Discount</v>
      </c>
      <c r="AD2182" s="1" t="str">
        <f aca="false">IF(V2182&lt;0,"Loss Making",IF(V2182&lt;20,"Low Margin","Healthy Margin"))</f>
        <v>Healthy Margin</v>
      </c>
      <c r="AE2182" s="1" t="str">
        <f aca="false">TEXT(DATE(VALUE(RIGHT(B2182,4)),VALUE(MID(B2182,4,2)),VALUE(LEFT(B2182,2))),"MMM-YYYY")</f>
        <v>Aug-2023</v>
      </c>
      <c r="AF2182" s="1" t="n">
        <f aca="false">VALUE(RIGHT(B2182,4))</f>
        <v>2023</v>
      </c>
      <c r="AG2182" s="1" t="str">
        <f aca="false">CHOOSE(ROUNDUP(VALUE(MID(B2182,4,2))/3,0),"Q1","Q2","Q3","Q4")</f>
        <v>Q3</v>
      </c>
    </row>
    <row r="2183" customFormat="false" ht="15" hidden="false" customHeight="true" outlineLevel="0" collapsed="false">
      <c r="A2183" s="1" t="s">
        <v>3050</v>
      </c>
      <c r="B2183" s="1" t="s">
        <v>2670</v>
      </c>
      <c r="C2183" s="1" t="s">
        <v>93</v>
      </c>
      <c r="D2183" s="1" t="s">
        <v>168</v>
      </c>
      <c r="E2183" s="1" t="s">
        <v>172</v>
      </c>
      <c r="F2183" s="1" t="s">
        <v>140</v>
      </c>
      <c r="G2183" s="1" t="s">
        <v>97</v>
      </c>
      <c r="H2183" s="1" t="s">
        <v>57</v>
      </c>
      <c r="I2183" s="1" t="s">
        <v>34</v>
      </c>
      <c r="J2183" s="1" t="s">
        <v>59</v>
      </c>
      <c r="K2183" s="1" t="s">
        <v>112</v>
      </c>
      <c r="L2183" s="1" t="s">
        <v>136</v>
      </c>
      <c r="M2183" s="1" t="s">
        <v>38</v>
      </c>
      <c r="N2183" s="1" t="n">
        <v>6999</v>
      </c>
      <c r="O2183" s="1" t="n">
        <v>0</v>
      </c>
      <c r="P2183" s="1" t="n">
        <v>0</v>
      </c>
      <c r="Q2183" s="1" t="n">
        <v>6999</v>
      </c>
      <c r="R2183" s="1" t="n">
        <v>1259.82</v>
      </c>
      <c r="S2183" s="1" t="n">
        <v>5739.18</v>
      </c>
      <c r="T2183" s="1" t="n">
        <v>2637.9</v>
      </c>
      <c r="U2183" s="1" t="n">
        <v>3101.28</v>
      </c>
      <c r="V2183" s="1" t="n">
        <v>54.04</v>
      </c>
      <c r="W2183" s="1" t="s">
        <v>40</v>
      </c>
      <c r="Y2183" s="1" t="s">
        <v>40</v>
      </c>
      <c r="Z2183" s="1" t="n">
        <v>1</v>
      </c>
      <c r="AA2183" s="1" t="str">
        <f aca="false">TRIM(PROPER(F2183))</f>
        <v>Nashik</v>
      </c>
      <c r="AB2183" s="1" t="str">
        <f aca="false">TRIM(PROPER(C2183))</f>
        <v>Upgrad</v>
      </c>
      <c r="AC2183" s="1" t="str">
        <f aca="false">IF(O2183=0,"No Discount",IF(O2183&lt;=15,"Low (1-15%)",IF(O2183&lt;=30,"Medium (16-30%)","High (&gt;30%)")))</f>
        <v>No Discount</v>
      </c>
      <c r="AD2183" s="1" t="str">
        <f aca="false">IF(V2183&lt;0,"Loss Making",IF(V2183&lt;20,"Low Margin","Healthy Margin"))</f>
        <v>Healthy Margin</v>
      </c>
      <c r="AE2183" s="1" t="str">
        <f aca="false">TEXT(DATE(VALUE(RIGHT(B2183,4)),VALUE(MID(B2183,4,2)),VALUE(LEFT(B2183,2))),"MMM-YYYY")</f>
        <v>Aug-2023</v>
      </c>
      <c r="AF2183" s="1" t="n">
        <f aca="false">VALUE(RIGHT(B2183,4))</f>
        <v>2023</v>
      </c>
      <c r="AG2183" s="1" t="str">
        <f aca="false">CHOOSE(ROUNDUP(VALUE(MID(B2183,4,2))/3,0),"Q1","Q2","Q3","Q4")</f>
        <v>Q3</v>
      </c>
    </row>
    <row r="2184" customFormat="false" ht="15" hidden="false" customHeight="true" outlineLevel="0" collapsed="false">
      <c r="A2184" s="1" t="s">
        <v>3051</v>
      </c>
      <c r="B2184" s="1" t="s">
        <v>1649</v>
      </c>
      <c r="C2184" s="1" t="s">
        <v>100</v>
      </c>
      <c r="D2184" s="1" t="s">
        <v>44</v>
      </c>
      <c r="E2184" s="1" t="s">
        <v>45</v>
      </c>
      <c r="F2184" s="1" t="s">
        <v>187</v>
      </c>
      <c r="G2184" s="1" t="s">
        <v>97</v>
      </c>
      <c r="H2184" s="1" t="s">
        <v>69</v>
      </c>
      <c r="I2184" s="1" t="s">
        <v>83</v>
      </c>
      <c r="J2184" s="1" t="s">
        <v>131</v>
      </c>
      <c r="K2184" s="1" t="s">
        <v>48</v>
      </c>
      <c r="L2184" s="1" t="s">
        <v>49</v>
      </c>
      <c r="M2184" s="1" t="s">
        <v>38</v>
      </c>
      <c r="N2184" s="1" t="n">
        <v>11999</v>
      </c>
      <c r="O2184" s="1" t="n">
        <v>0</v>
      </c>
      <c r="P2184" s="1" t="n">
        <v>0</v>
      </c>
      <c r="Q2184" s="1" t="n">
        <v>11999</v>
      </c>
      <c r="R2184" s="1" t="n">
        <v>2159.82</v>
      </c>
      <c r="S2184" s="1" t="n">
        <v>9839.18</v>
      </c>
      <c r="T2184" s="1" t="n">
        <v>3950.15</v>
      </c>
      <c r="U2184" s="1" t="n">
        <v>5889.03</v>
      </c>
      <c r="V2184" s="1" t="n">
        <v>59.85</v>
      </c>
      <c r="W2184" s="1" t="s">
        <v>39</v>
      </c>
      <c r="X2184" s="1" t="n">
        <v>3.2</v>
      </c>
      <c r="Y2184" s="1" t="s">
        <v>40</v>
      </c>
      <c r="Z2184" s="1" t="n">
        <v>0</v>
      </c>
      <c r="AA2184" s="1" t="str">
        <f aca="false">TRIM(PROPER(F2184))</f>
        <v>Mumbai</v>
      </c>
      <c r="AB2184" s="1" t="str">
        <f aca="false">TRIM(PROPER(C2184))</f>
        <v>Physics Wallah</v>
      </c>
      <c r="AC2184" s="1" t="str">
        <f aca="false">IF(O2184=0,"No Discount",IF(O2184&lt;=15,"Low (1-15%)",IF(O2184&lt;=30,"Medium (16-30%)","High (&gt;30%)")))</f>
        <v>No Discount</v>
      </c>
      <c r="AD2184" s="1" t="str">
        <f aca="false">IF(V2184&lt;0,"Loss Making",IF(V2184&lt;20,"Low Margin","Healthy Margin"))</f>
        <v>Healthy Margin</v>
      </c>
      <c r="AE2184" s="1" t="str">
        <f aca="false">TEXT(DATE(VALUE(RIGHT(B2184,4)),VALUE(MID(B2184,4,2)),VALUE(LEFT(B2184,2))),"MMM-YYYY")</f>
        <v>May-2024</v>
      </c>
      <c r="AF2184" s="1" t="n">
        <f aca="false">VALUE(RIGHT(B2184,4))</f>
        <v>2024</v>
      </c>
      <c r="AG2184" s="1" t="str">
        <f aca="false">CHOOSE(ROUNDUP(VALUE(MID(B2184,4,2))/3,0),"Q1","Q2","Q3","Q4")</f>
        <v>Q2</v>
      </c>
    </row>
    <row r="2185" customFormat="false" ht="15" hidden="false" customHeight="true" outlineLevel="0" collapsed="false">
      <c r="A2185" s="1" t="s">
        <v>3052</v>
      </c>
      <c r="B2185" s="1" t="s">
        <v>903</v>
      </c>
      <c r="C2185" s="1" t="s">
        <v>134</v>
      </c>
      <c r="D2185" s="1" t="s">
        <v>123</v>
      </c>
      <c r="E2185" s="1" t="s">
        <v>147</v>
      </c>
      <c r="F2185" s="1" t="s">
        <v>102</v>
      </c>
      <c r="G2185" s="1" t="s">
        <v>103</v>
      </c>
      <c r="H2185" s="1" t="s">
        <v>33</v>
      </c>
      <c r="I2185" s="1" t="s">
        <v>83</v>
      </c>
      <c r="J2185" s="1" t="s">
        <v>70</v>
      </c>
      <c r="K2185" s="1" t="s">
        <v>60</v>
      </c>
      <c r="L2185" s="1" t="s">
        <v>113</v>
      </c>
      <c r="M2185" s="1" t="s">
        <v>50</v>
      </c>
      <c r="N2185" s="1" t="n">
        <v>6999</v>
      </c>
      <c r="O2185" s="1" t="n">
        <v>15</v>
      </c>
      <c r="P2185" s="1" t="n">
        <v>1049.85</v>
      </c>
      <c r="Q2185" s="1" t="n">
        <v>5949.15</v>
      </c>
      <c r="R2185" s="1" t="n">
        <v>1070.85</v>
      </c>
      <c r="S2185" s="1" t="n">
        <v>4878.3</v>
      </c>
      <c r="T2185" s="1" t="n">
        <v>2204.39</v>
      </c>
      <c r="U2185" s="1" t="n">
        <v>2673.91</v>
      </c>
      <c r="V2185" s="1" t="n">
        <v>54.81</v>
      </c>
      <c r="W2185" s="1" t="s">
        <v>39</v>
      </c>
      <c r="Y2185" s="1" t="s">
        <v>40</v>
      </c>
      <c r="Z2185" s="1" t="n">
        <v>0</v>
      </c>
      <c r="AA2185" s="1" t="str">
        <f aca="false">TRIM(PROPER(F2185))</f>
        <v>Warangal</v>
      </c>
      <c r="AB2185" s="1" t="str">
        <f aca="false">TRIM(PROPER(C2185))</f>
        <v>Doubtnut</v>
      </c>
      <c r="AC2185" s="1" t="str">
        <f aca="false">IF(O2185=0,"No Discount",IF(O2185&lt;=15,"Low (1-15%)",IF(O2185&lt;=30,"Medium (16-30%)","High (&gt;30%)")))</f>
        <v>Low (1-15%)</v>
      </c>
      <c r="AD2185" s="1" t="str">
        <f aca="false">IF(V2185&lt;0,"Loss Making",IF(V2185&lt;20,"Low Margin","Healthy Margin"))</f>
        <v>Healthy Margin</v>
      </c>
      <c r="AE2185" s="1" t="str">
        <f aca="false">TEXT(DATE(VALUE(RIGHT(B2185,4)),VALUE(MID(B2185,4,2)),VALUE(LEFT(B2185,2))),"MMM-YYYY")</f>
        <v>Jun-2024</v>
      </c>
      <c r="AF2185" s="1" t="n">
        <f aca="false">VALUE(RIGHT(B2185,4))</f>
        <v>2024</v>
      </c>
      <c r="AG2185" s="1" t="str">
        <f aca="false">CHOOSE(ROUNDUP(VALUE(MID(B2185,4,2))/3,0),"Q1","Q2","Q3","Q4")</f>
        <v>Q2</v>
      </c>
    </row>
    <row r="2186" customFormat="false" ht="15" hidden="false" customHeight="true" outlineLevel="0" collapsed="false">
      <c r="A2186" s="1" t="s">
        <v>3053</v>
      </c>
      <c r="B2186" s="1" t="s">
        <v>192</v>
      </c>
      <c r="C2186" s="1" t="s">
        <v>93</v>
      </c>
      <c r="D2186" s="1" t="s">
        <v>29</v>
      </c>
      <c r="E2186" s="1" t="s">
        <v>305</v>
      </c>
      <c r="F2186" s="1" t="s">
        <v>153</v>
      </c>
      <c r="G2186" s="1" t="s">
        <v>76</v>
      </c>
      <c r="H2186" s="1" t="s">
        <v>33</v>
      </c>
      <c r="I2186" s="1" t="s">
        <v>58</v>
      </c>
      <c r="J2186" s="1" t="s">
        <v>70</v>
      </c>
      <c r="K2186" s="1" t="s">
        <v>36</v>
      </c>
      <c r="L2186" s="1" t="s">
        <v>61</v>
      </c>
      <c r="M2186" s="1" t="s">
        <v>50</v>
      </c>
      <c r="N2186" s="1" t="n">
        <v>24999</v>
      </c>
      <c r="O2186" s="1" t="n">
        <v>0</v>
      </c>
      <c r="P2186" s="1" t="n">
        <v>0</v>
      </c>
      <c r="Q2186" s="1" t="n">
        <v>24999</v>
      </c>
      <c r="R2186" s="1" t="n">
        <v>4499.82</v>
      </c>
      <c r="S2186" s="1" t="n">
        <v>20499.18</v>
      </c>
      <c r="T2186" s="1" t="n">
        <v>7439.94</v>
      </c>
      <c r="U2186" s="1" t="n">
        <v>13059.24</v>
      </c>
      <c r="V2186" s="1" t="n">
        <v>63.71</v>
      </c>
      <c r="W2186" s="1" t="s">
        <v>39</v>
      </c>
      <c r="X2186" s="1" t="n">
        <v>4.2</v>
      </c>
      <c r="Y2186" s="1" t="s">
        <v>40</v>
      </c>
      <c r="Z2186" s="1" t="n">
        <v>0</v>
      </c>
      <c r="AA2186" s="1" t="str">
        <f aca="false">TRIM(PROPER(F2186))</f>
        <v>Howrah</v>
      </c>
      <c r="AB2186" s="1" t="str">
        <f aca="false">TRIM(PROPER(C2186))</f>
        <v>Upgrad</v>
      </c>
      <c r="AC2186" s="1" t="str">
        <f aca="false">IF(O2186=0,"No Discount",IF(O2186&lt;=15,"Low (1-15%)",IF(O2186&lt;=30,"Medium (16-30%)","High (&gt;30%)")))</f>
        <v>No Discount</v>
      </c>
      <c r="AD2186" s="1" t="str">
        <f aca="false">IF(V2186&lt;0,"Loss Making",IF(V2186&lt;20,"Low Margin","Healthy Margin"))</f>
        <v>Healthy Margin</v>
      </c>
      <c r="AE2186" s="1" t="str">
        <f aca="false">TEXT(DATE(VALUE(RIGHT(B2186,4)),VALUE(MID(B2186,4,2)),VALUE(LEFT(B2186,2))),"MMM-YYYY")</f>
        <v>Oct-2023</v>
      </c>
      <c r="AF2186" s="1" t="n">
        <f aca="false">VALUE(RIGHT(B2186,4))</f>
        <v>2023</v>
      </c>
      <c r="AG2186" s="1" t="str">
        <f aca="false">CHOOSE(ROUNDUP(VALUE(MID(B2186,4,2))/3,0),"Q1","Q2","Q3","Q4")</f>
        <v>Q4</v>
      </c>
    </row>
    <row r="2187" customFormat="false" ht="15" hidden="false" customHeight="true" outlineLevel="0" collapsed="false">
      <c r="A2187" s="1" t="s">
        <v>3054</v>
      </c>
      <c r="B2187" s="1" t="s">
        <v>373</v>
      </c>
      <c r="C2187" s="1" t="s">
        <v>264</v>
      </c>
      <c r="D2187" s="1" t="s">
        <v>168</v>
      </c>
      <c r="E2187" s="1" t="s">
        <v>169</v>
      </c>
      <c r="F2187" s="1" t="s">
        <v>125</v>
      </c>
      <c r="G2187" s="1" t="s">
        <v>108</v>
      </c>
      <c r="H2187" s="1" t="s">
        <v>69</v>
      </c>
      <c r="I2187" s="1" t="s">
        <v>83</v>
      </c>
      <c r="J2187" s="1" t="s">
        <v>77</v>
      </c>
      <c r="K2187" s="1" t="s">
        <v>104</v>
      </c>
      <c r="L2187" s="1" t="s">
        <v>85</v>
      </c>
      <c r="M2187" s="1" t="s">
        <v>62</v>
      </c>
      <c r="N2187" s="1" t="n">
        <v>4999</v>
      </c>
      <c r="O2187" s="1" t="n">
        <v>0</v>
      </c>
      <c r="P2187" s="1" t="n">
        <v>0</v>
      </c>
      <c r="Q2187" s="1" t="n">
        <v>4999</v>
      </c>
      <c r="R2187" s="1" t="n">
        <v>899.82</v>
      </c>
      <c r="S2187" s="1" t="n">
        <v>4099.18</v>
      </c>
      <c r="T2187" s="1" t="n">
        <v>1849.88</v>
      </c>
      <c r="U2187" s="1" t="n">
        <v>2249.3</v>
      </c>
      <c r="V2187" s="1" t="n">
        <v>54.87</v>
      </c>
      <c r="W2187" s="1" t="s">
        <v>39</v>
      </c>
      <c r="X2187" s="1" t="n">
        <v>3.9</v>
      </c>
      <c r="Y2187" s="1" t="s">
        <v>40</v>
      </c>
      <c r="Z2187" s="1" t="n">
        <v>1</v>
      </c>
      <c r="AA2187" s="1" t="str">
        <f aca="false">TRIM(PROPER(F2187))</f>
        <v>Chennai</v>
      </c>
      <c r="AB2187" s="1" t="str">
        <f aca="false">TRIM(PROPER(C2187))</f>
        <v>Unacademy</v>
      </c>
      <c r="AC2187" s="1" t="str">
        <f aca="false">IF(O2187=0,"No Discount",IF(O2187&lt;=15,"Low (1-15%)",IF(O2187&lt;=30,"Medium (16-30%)","High (&gt;30%)")))</f>
        <v>No Discount</v>
      </c>
      <c r="AD2187" s="1" t="str">
        <f aca="false">IF(V2187&lt;0,"Loss Making",IF(V2187&lt;20,"Low Margin","Healthy Margin"))</f>
        <v>Healthy Margin</v>
      </c>
      <c r="AE2187" s="1" t="str">
        <f aca="false">TEXT(DATE(VALUE(RIGHT(B2187,4)),VALUE(MID(B2187,4,2)),VALUE(LEFT(B2187,2))),"MMM-YYYY")</f>
        <v>Oct-2024</v>
      </c>
      <c r="AF2187" s="1" t="n">
        <f aca="false">VALUE(RIGHT(B2187,4))</f>
        <v>2024</v>
      </c>
      <c r="AG2187" s="1" t="str">
        <f aca="false">CHOOSE(ROUNDUP(VALUE(MID(B2187,4,2))/3,0),"Q1","Q2","Q3","Q4")</f>
        <v>Q4</v>
      </c>
    </row>
    <row r="2188" customFormat="false" ht="15" hidden="false" customHeight="true" outlineLevel="0" collapsed="false">
      <c r="A2188" s="1" t="s">
        <v>3055</v>
      </c>
      <c r="B2188" s="1" t="s">
        <v>1893</v>
      </c>
      <c r="C2188" s="1" t="s">
        <v>167</v>
      </c>
      <c r="D2188" s="1" t="s">
        <v>168</v>
      </c>
      <c r="E2188" s="1" t="s">
        <v>169</v>
      </c>
      <c r="F2188" s="1" t="s">
        <v>75</v>
      </c>
      <c r="G2188" s="1" t="s">
        <v>76</v>
      </c>
      <c r="H2188" s="1" t="s">
        <v>69</v>
      </c>
      <c r="I2188" s="1" t="s">
        <v>58</v>
      </c>
      <c r="J2188" s="1" t="s">
        <v>131</v>
      </c>
      <c r="K2188" s="1" t="s">
        <v>60</v>
      </c>
      <c r="L2188" s="1" t="s">
        <v>49</v>
      </c>
      <c r="M2188" s="1" t="s">
        <v>50</v>
      </c>
      <c r="N2188" s="1" t="n">
        <v>4999</v>
      </c>
      <c r="O2188" s="1" t="n">
        <v>30</v>
      </c>
      <c r="P2188" s="1" t="n">
        <v>1499.7</v>
      </c>
      <c r="Q2188" s="1" t="n">
        <v>3499.3</v>
      </c>
      <c r="R2188" s="1" t="n">
        <v>629.87</v>
      </c>
      <c r="S2188" s="1" t="n">
        <v>2869.43</v>
      </c>
      <c r="T2188" s="1" t="n">
        <v>1113.86</v>
      </c>
      <c r="U2188" s="1" t="n">
        <v>1755.57</v>
      </c>
      <c r="V2188" s="1" t="n">
        <v>61.18</v>
      </c>
      <c r="W2188" s="1" t="s">
        <v>40</v>
      </c>
      <c r="Y2188" s="1" t="s">
        <v>40</v>
      </c>
      <c r="Z2188" s="1" t="n">
        <v>0</v>
      </c>
      <c r="AA2188" s="1" t="str">
        <f aca="false">TRIM(PROPER(F2188))</f>
        <v>Kolkata</v>
      </c>
      <c r="AB2188" s="1" t="str">
        <f aca="false">TRIM(PROPER(C2188))</f>
        <v>Scaler</v>
      </c>
      <c r="AC2188" s="1" t="str">
        <f aca="false">IF(O2188=0,"No Discount",IF(O2188&lt;=15,"Low (1-15%)",IF(O2188&lt;=30,"Medium (16-30%)","High (&gt;30%)")))</f>
        <v>Medium (16-30%)</v>
      </c>
      <c r="AD2188" s="1" t="str">
        <f aca="false">IF(V2188&lt;0,"Loss Making",IF(V2188&lt;20,"Low Margin","Healthy Margin"))</f>
        <v>Healthy Margin</v>
      </c>
      <c r="AE2188" s="1" t="str">
        <f aca="false">TEXT(DATE(VALUE(RIGHT(B2188,4)),VALUE(MID(B2188,4,2)),VALUE(LEFT(B2188,2))),"MMM-YYYY")</f>
        <v>Feb-2023</v>
      </c>
      <c r="AF2188" s="1" t="n">
        <f aca="false">VALUE(RIGHT(B2188,4))</f>
        <v>2023</v>
      </c>
      <c r="AG2188" s="1" t="str">
        <f aca="false">CHOOSE(ROUNDUP(VALUE(MID(B2188,4,2))/3,0),"Q1","Q2","Q3","Q4")</f>
        <v>Q1</v>
      </c>
    </row>
    <row r="2189" customFormat="false" ht="15" hidden="false" customHeight="true" outlineLevel="0" collapsed="false">
      <c r="A2189" s="1" t="s">
        <v>3056</v>
      </c>
      <c r="B2189" s="1" t="s">
        <v>616</v>
      </c>
      <c r="C2189" s="1" t="s">
        <v>65</v>
      </c>
      <c r="D2189" s="1" t="s">
        <v>123</v>
      </c>
      <c r="E2189" s="1" t="s">
        <v>147</v>
      </c>
      <c r="F2189" s="1" t="s">
        <v>184</v>
      </c>
      <c r="G2189" s="1" t="s">
        <v>56</v>
      </c>
      <c r="H2189" s="1" t="s">
        <v>57</v>
      </c>
      <c r="I2189" s="1" t="s">
        <v>34</v>
      </c>
      <c r="J2189" s="1" t="s">
        <v>77</v>
      </c>
      <c r="K2189" s="1" t="s">
        <v>36</v>
      </c>
      <c r="L2189" s="1" t="s">
        <v>37</v>
      </c>
      <c r="M2189" s="1" t="s">
        <v>38</v>
      </c>
      <c r="N2189" s="1" t="n">
        <v>6999</v>
      </c>
      <c r="O2189" s="1" t="n">
        <v>0</v>
      </c>
      <c r="P2189" s="1" t="n">
        <v>0</v>
      </c>
      <c r="Q2189" s="1" t="n">
        <v>6999</v>
      </c>
      <c r="R2189" s="1" t="n">
        <v>1259.82</v>
      </c>
      <c r="S2189" s="1" t="n">
        <v>5739.18</v>
      </c>
      <c r="T2189" s="1" t="n">
        <v>2997.53</v>
      </c>
      <c r="U2189" s="1" t="n">
        <v>2741.65</v>
      </c>
      <c r="V2189" s="1" t="n">
        <v>47.77</v>
      </c>
      <c r="W2189" s="1" t="s">
        <v>39</v>
      </c>
      <c r="X2189" s="1" t="n">
        <v>4.1</v>
      </c>
      <c r="Y2189" s="1" t="s">
        <v>39</v>
      </c>
      <c r="Z2189" s="1" t="n">
        <v>0</v>
      </c>
      <c r="AA2189" s="1" t="str">
        <f aca="false">TRIM(PROPER(F2189))</f>
        <v>Faridabad</v>
      </c>
      <c r="AB2189" s="1" t="str">
        <f aca="false">TRIM(PROPER(C2189))</f>
        <v>Toppr</v>
      </c>
      <c r="AC2189" s="1" t="str">
        <f aca="false">IF(O2189=0,"No Discount",IF(O2189&lt;=15,"Low (1-15%)",IF(O2189&lt;=30,"Medium (16-30%)","High (&gt;30%)")))</f>
        <v>No Discount</v>
      </c>
      <c r="AD2189" s="1" t="str">
        <f aca="false">IF(V2189&lt;0,"Loss Making",IF(V2189&lt;20,"Low Margin","Healthy Margin"))</f>
        <v>Healthy Margin</v>
      </c>
      <c r="AE2189" s="1" t="str">
        <f aca="false">TEXT(DATE(VALUE(RIGHT(B2189,4)),VALUE(MID(B2189,4,2)),VALUE(LEFT(B2189,2))),"MMM-YYYY")</f>
        <v>Jan-2023</v>
      </c>
      <c r="AF2189" s="1" t="n">
        <f aca="false">VALUE(RIGHT(B2189,4))</f>
        <v>2023</v>
      </c>
      <c r="AG2189" s="1" t="str">
        <f aca="false">CHOOSE(ROUNDUP(VALUE(MID(B2189,4,2))/3,0),"Q1","Q2","Q3","Q4")</f>
        <v>Q1</v>
      </c>
    </row>
    <row r="2190" customFormat="false" ht="15" hidden="false" customHeight="true" outlineLevel="0" collapsed="false">
      <c r="A2190" s="1" t="s">
        <v>3057</v>
      </c>
      <c r="B2190" s="1" t="s">
        <v>332</v>
      </c>
      <c r="C2190" s="1" t="s">
        <v>128</v>
      </c>
      <c r="D2190" s="1" t="s">
        <v>44</v>
      </c>
      <c r="E2190" s="1" t="s">
        <v>45</v>
      </c>
      <c r="F2190" s="1" t="s">
        <v>82</v>
      </c>
      <c r="G2190" s="1" t="s">
        <v>56</v>
      </c>
      <c r="H2190" s="1" t="s">
        <v>69</v>
      </c>
      <c r="I2190" s="1" t="s">
        <v>83</v>
      </c>
      <c r="J2190" s="1" t="s">
        <v>70</v>
      </c>
      <c r="K2190" s="1" t="s">
        <v>60</v>
      </c>
      <c r="L2190" s="1" t="s">
        <v>136</v>
      </c>
      <c r="M2190" s="1" t="s">
        <v>62</v>
      </c>
      <c r="N2190" s="1" t="n">
        <v>11999</v>
      </c>
      <c r="O2190" s="1" t="n">
        <v>5</v>
      </c>
      <c r="P2190" s="1" t="n">
        <v>599.95</v>
      </c>
      <c r="Q2190" s="1" t="n">
        <v>11399.05</v>
      </c>
      <c r="R2190" s="1" t="n">
        <v>2051.83</v>
      </c>
      <c r="S2190" s="1" t="n">
        <v>9347.22</v>
      </c>
      <c r="T2190" s="1" t="n">
        <v>4063.15</v>
      </c>
      <c r="U2190" s="1" t="n">
        <v>5284.07</v>
      </c>
      <c r="V2190" s="1" t="n">
        <v>56.53</v>
      </c>
      <c r="W2190" s="1" t="s">
        <v>39</v>
      </c>
      <c r="Y2190" s="1" t="s">
        <v>40</v>
      </c>
      <c r="Z2190" s="1" t="n">
        <v>0</v>
      </c>
      <c r="AA2190" s="1" t="str">
        <f aca="false">TRIM(PROPER(F2190))</f>
        <v>Gurugram</v>
      </c>
      <c r="AB2190" s="1" t="str">
        <f aca="false">TRIM(PROPER(C2190))</f>
        <v>Great Learning</v>
      </c>
      <c r="AC2190" s="1" t="str">
        <f aca="false">IF(O2190=0,"No Discount",IF(O2190&lt;=15,"Low (1-15%)",IF(O2190&lt;=30,"Medium (16-30%)","High (&gt;30%)")))</f>
        <v>Low (1-15%)</v>
      </c>
      <c r="AD2190" s="1" t="str">
        <f aca="false">IF(V2190&lt;0,"Loss Making",IF(V2190&lt;20,"Low Margin","Healthy Margin"))</f>
        <v>Healthy Margin</v>
      </c>
      <c r="AE2190" s="1" t="str">
        <f aca="false">TEXT(DATE(VALUE(RIGHT(B2190,4)),VALUE(MID(B2190,4,2)),VALUE(LEFT(B2190,2))),"MMM-YYYY")</f>
        <v>Jan-2023</v>
      </c>
      <c r="AF2190" s="1" t="n">
        <f aca="false">VALUE(RIGHT(B2190,4))</f>
        <v>2023</v>
      </c>
      <c r="AG2190" s="1" t="str">
        <f aca="false">CHOOSE(ROUNDUP(VALUE(MID(B2190,4,2))/3,0),"Q1","Q2","Q3","Q4")</f>
        <v>Q1</v>
      </c>
    </row>
    <row r="2191" customFormat="false" ht="15" hidden="false" customHeight="true" outlineLevel="0" collapsed="false">
      <c r="A2191" s="1" t="s">
        <v>3058</v>
      </c>
      <c r="B2191" s="1" t="s">
        <v>959</v>
      </c>
      <c r="C2191" s="1" t="s">
        <v>28</v>
      </c>
      <c r="D2191" s="1" t="s">
        <v>143</v>
      </c>
      <c r="E2191" s="1" t="s">
        <v>243</v>
      </c>
      <c r="F2191" s="1" t="s">
        <v>140</v>
      </c>
      <c r="G2191" s="1" t="s">
        <v>97</v>
      </c>
      <c r="H2191" s="1" t="s">
        <v>57</v>
      </c>
      <c r="I2191" s="1" t="s">
        <v>34</v>
      </c>
      <c r="J2191" s="1" t="s">
        <v>77</v>
      </c>
      <c r="K2191" s="1" t="s">
        <v>60</v>
      </c>
      <c r="L2191" s="1" t="s">
        <v>37</v>
      </c>
      <c r="M2191" s="1" t="s">
        <v>62</v>
      </c>
      <c r="N2191" s="1" t="n">
        <v>22999</v>
      </c>
      <c r="O2191" s="1" t="n">
        <v>10</v>
      </c>
      <c r="P2191" s="1" t="n">
        <v>2299.9</v>
      </c>
      <c r="Q2191" s="1" t="n">
        <v>20699.1</v>
      </c>
      <c r="R2191" s="1" t="n">
        <v>3725.84</v>
      </c>
      <c r="S2191" s="1" t="n">
        <v>16973.26</v>
      </c>
      <c r="T2191" s="1" t="n">
        <v>7173.91</v>
      </c>
      <c r="U2191" s="1" t="n">
        <v>9799.35</v>
      </c>
      <c r="V2191" s="1" t="n">
        <v>57.73</v>
      </c>
      <c r="W2191" s="1" t="s">
        <v>39</v>
      </c>
      <c r="Y2191" s="1" t="s">
        <v>40</v>
      </c>
      <c r="Z2191" s="1" t="n">
        <v>0</v>
      </c>
      <c r="AA2191" s="1" t="str">
        <f aca="false">TRIM(PROPER(F2191))</f>
        <v>Nashik</v>
      </c>
      <c r="AB2191" s="1" t="str">
        <f aca="false">TRIM(PROPER(C2191))</f>
        <v>Embibe</v>
      </c>
      <c r="AC2191" s="1" t="str">
        <f aca="false">IF(O2191=0,"No Discount",IF(O2191&lt;=15,"Low (1-15%)",IF(O2191&lt;=30,"Medium (16-30%)","High (&gt;30%)")))</f>
        <v>Low (1-15%)</v>
      </c>
      <c r="AD2191" s="1" t="str">
        <f aca="false">IF(V2191&lt;0,"Loss Making",IF(V2191&lt;20,"Low Margin","Healthy Margin"))</f>
        <v>Healthy Margin</v>
      </c>
      <c r="AE2191" s="1" t="str">
        <f aca="false">TEXT(DATE(VALUE(RIGHT(B2191,4)),VALUE(MID(B2191,4,2)),VALUE(LEFT(B2191,2))),"MMM-YYYY")</f>
        <v>May-2023</v>
      </c>
      <c r="AF2191" s="1" t="n">
        <f aca="false">VALUE(RIGHT(B2191,4))</f>
        <v>2023</v>
      </c>
      <c r="AG2191" s="1" t="str">
        <f aca="false">CHOOSE(ROUNDUP(VALUE(MID(B2191,4,2))/3,0),"Q1","Q2","Q3","Q4")</f>
        <v>Q2</v>
      </c>
    </row>
    <row r="2192" customFormat="false" ht="15" hidden="false" customHeight="true" outlineLevel="0" collapsed="false">
      <c r="A2192" s="1" t="s">
        <v>3059</v>
      </c>
      <c r="B2192" s="1" t="s">
        <v>52</v>
      </c>
      <c r="C2192" s="1" t="s">
        <v>167</v>
      </c>
      <c r="D2192" s="1" t="s">
        <v>123</v>
      </c>
      <c r="E2192" s="1" t="s">
        <v>147</v>
      </c>
      <c r="F2192" s="1" t="s">
        <v>75</v>
      </c>
      <c r="G2192" s="1" t="s">
        <v>76</v>
      </c>
      <c r="H2192" s="1" t="s">
        <v>69</v>
      </c>
      <c r="I2192" s="1" t="s">
        <v>83</v>
      </c>
      <c r="J2192" s="1" t="s">
        <v>70</v>
      </c>
      <c r="K2192" s="1" t="s">
        <v>60</v>
      </c>
      <c r="L2192" s="1" t="s">
        <v>61</v>
      </c>
      <c r="M2192" s="1" t="s">
        <v>50</v>
      </c>
      <c r="N2192" s="1" t="n">
        <v>6999</v>
      </c>
      <c r="O2192" s="1" t="n">
        <v>50</v>
      </c>
      <c r="P2192" s="1" t="n">
        <v>3499.5</v>
      </c>
      <c r="Q2192" s="1" t="n">
        <v>3499.5</v>
      </c>
      <c r="R2192" s="1" t="n">
        <v>629.91</v>
      </c>
      <c r="S2192" s="1" t="n">
        <v>2869.59</v>
      </c>
      <c r="T2192" s="1" t="n">
        <v>1416.96</v>
      </c>
      <c r="U2192" s="1" t="n">
        <v>1452.63</v>
      </c>
      <c r="V2192" s="1" t="n">
        <v>50.62</v>
      </c>
      <c r="W2192" s="1" t="s">
        <v>39</v>
      </c>
      <c r="X2192" s="1" t="n">
        <v>4.1</v>
      </c>
      <c r="Y2192" s="1" t="s">
        <v>40</v>
      </c>
      <c r="Z2192" s="1" t="n">
        <v>0</v>
      </c>
      <c r="AA2192" s="1" t="str">
        <f aca="false">TRIM(PROPER(F2192))</f>
        <v>Kolkata</v>
      </c>
      <c r="AB2192" s="1" t="str">
        <f aca="false">TRIM(PROPER(C2192))</f>
        <v>Scaler</v>
      </c>
      <c r="AC2192" s="1" t="str">
        <f aca="false">IF(O2192=0,"No Discount",IF(O2192&lt;=15,"Low (1-15%)",IF(O2192&lt;=30,"Medium (16-30%)","High (&gt;30%)")))</f>
        <v>High (&gt;30%)</v>
      </c>
      <c r="AD2192" s="1" t="str">
        <f aca="false">IF(V2192&lt;0,"Loss Making",IF(V2192&lt;20,"Low Margin","Healthy Margin"))</f>
        <v>Healthy Margin</v>
      </c>
      <c r="AE2192" s="1" t="str">
        <f aca="false">TEXT(DATE(VALUE(RIGHT(B2192,4)),VALUE(MID(B2192,4,2)),VALUE(LEFT(B2192,2))),"MMM-YYYY")</f>
        <v>Dec-2024</v>
      </c>
      <c r="AF2192" s="1" t="n">
        <f aca="false">VALUE(RIGHT(B2192,4))</f>
        <v>2024</v>
      </c>
      <c r="AG2192" s="1" t="str">
        <f aca="false">CHOOSE(ROUNDUP(VALUE(MID(B2192,4,2))/3,0),"Q1","Q2","Q3","Q4")</f>
        <v>Q4</v>
      </c>
    </row>
    <row r="2193" customFormat="false" ht="15" hidden="false" customHeight="true" outlineLevel="0" collapsed="false">
      <c r="A2193" s="1" t="s">
        <v>3060</v>
      </c>
      <c r="B2193" s="1" t="s">
        <v>425</v>
      </c>
      <c r="C2193" s="1" t="s">
        <v>119</v>
      </c>
      <c r="D2193" s="1" t="s">
        <v>94</v>
      </c>
      <c r="E2193" s="1" t="s">
        <v>101</v>
      </c>
      <c r="F2193" s="1" t="s">
        <v>107</v>
      </c>
      <c r="G2193" s="1" t="s">
        <v>108</v>
      </c>
      <c r="H2193" s="1" t="s">
        <v>33</v>
      </c>
      <c r="I2193" s="1" t="s">
        <v>58</v>
      </c>
      <c r="J2193" s="1" t="s">
        <v>59</v>
      </c>
      <c r="K2193" s="1" t="s">
        <v>48</v>
      </c>
      <c r="L2193" s="1" t="s">
        <v>113</v>
      </c>
      <c r="M2193" s="1" t="s">
        <v>62</v>
      </c>
      <c r="N2193" s="1" t="n">
        <v>14999</v>
      </c>
      <c r="O2193" s="1" t="n">
        <v>50</v>
      </c>
      <c r="P2193" s="1" t="n">
        <v>7499.5</v>
      </c>
      <c r="Q2193" s="1" t="n">
        <v>7499.5</v>
      </c>
      <c r="R2193" s="1" t="n">
        <v>1349.91</v>
      </c>
      <c r="S2193" s="1" t="n">
        <v>6149.59</v>
      </c>
      <c r="T2193" s="1" t="n">
        <v>3786.55</v>
      </c>
      <c r="U2193" s="1" t="n">
        <v>2363.04</v>
      </c>
      <c r="V2193" s="1" t="n">
        <v>38.43</v>
      </c>
      <c r="W2193" s="1" t="s">
        <v>40</v>
      </c>
      <c r="Y2193" s="1" t="s">
        <v>39</v>
      </c>
      <c r="Z2193" s="1" t="n">
        <v>1</v>
      </c>
      <c r="AA2193" s="1" t="str">
        <f aca="false">TRIM(PROPER(F2193))</f>
        <v>Madurai</v>
      </c>
      <c r="AB2193" s="1" t="str">
        <f aca="false">TRIM(PROPER(C2193))</f>
        <v>Simplilearn</v>
      </c>
      <c r="AC2193" s="1" t="str">
        <f aca="false">IF(O2193=0,"No Discount",IF(O2193&lt;=15,"Low (1-15%)",IF(O2193&lt;=30,"Medium (16-30%)","High (&gt;30%)")))</f>
        <v>High (&gt;30%)</v>
      </c>
      <c r="AD2193" s="1" t="str">
        <f aca="false">IF(V2193&lt;0,"Loss Making",IF(V2193&lt;20,"Low Margin","Healthy Margin"))</f>
        <v>Healthy Margin</v>
      </c>
      <c r="AE2193" s="1" t="str">
        <f aca="false">TEXT(DATE(VALUE(RIGHT(B2193,4)),VALUE(MID(B2193,4,2)),VALUE(LEFT(B2193,2))),"MMM-YYYY")</f>
        <v>Feb-2023</v>
      </c>
      <c r="AF2193" s="1" t="n">
        <f aca="false">VALUE(RIGHT(B2193,4))</f>
        <v>2023</v>
      </c>
      <c r="AG2193" s="1" t="str">
        <f aca="false">CHOOSE(ROUNDUP(VALUE(MID(B2193,4,2))/3,0),"Q1","Q2","Q3","Q4")</f>
        <v>Q1</v>
      </c>
    </row>
    <row r="2194" customFormat="false" ht="15" hidden="false" customHeight="true" outlineLevel="0" collapsed="false">
      <c r="A2194" s="1" t="s">
        <v>3061</v>
      </c>
      <c r="B2194" s="1" t="s">
        <v>1160</v>
      </c>
      <c r="C2194" s="1" t="s">
        <v>128</v>
      </c>
      <c r="D2194" s="1" t="s">
        <v>123</v>
      </c>
      <c r="E2194" s="1" t="s">
        <v>124</v>
      </c>
      <c r="F2194" s="1" t="s">
        <v>184</v>
      </c>
      <c r="G2194" s="1" t="s">
        <v>56</v>
      </c>
      <c r="H2194" s="1" t="s">
        <v>57</v>
      </c>
      <c r="I2194" s="1" t="s">
        <v>83</v>
      </c>
      <c r="J2194" s="1" t="s">
        <v>35</v>
      </c>
      <c r="K2194" s="1" t="s">
        <v>60</v>
      </c>
      <c r="L2194" s="1" t="s">
        <v>113</v>
      </c>
      <c r="M2194" s="1" t="s">
        <v>50</v>
      </c>
      <c r="N2194" s="1" t="n">
        <v>4999</v>
      </c>
      <c r="O2194" s="1" t="n">
        <v>20</v>
      </c>
      <c r="P2194" s="1" t="n">
        <v>999.8</v>
      </c>
      <c r="Q2194" s="1" t="n">
        <v>3999.2</v>
      </c>
      <c r="R2194" s="1" t="n">
        <v>719.86</v>
      </c>
      <c r="S2194" s="1" t="n">
        <v>3279.34</v>
      </c>
      <c r="T2194" s="1" t="n">
        <v>1378.58</v>
      </c>
      <c r="U2194" s="1" t="n">
        <v>1900.76</v>
      </c>
      <c r="V2194" s="1" t="n">
        <v>57.96</v>
      </c>
      <c r="W2194" s="1" t="s">
        <v>39</v>
      </c>
      <c r="X2194" s="1" t="n">
        <v>4.7</v>
      </c>
      <c r="Y2194" s="1" t="s">
        <v>40</v>
      </c>
      <c r="Z2194" s="1" t="n">
        <v>0</v>
      </c>
      <c r="AA2194" s="1" t="str">
        <f aca="false">TRIM(PROPER(F2194))</f>
        <v>Faridabad</v>
      </c>
      <c r="AB2194" s="1" t="str">
        <f aca="false">TRIM(PROPER(C2194))</f>
        <v>Great Learning</v>
      </c>
      <c r="AC2194" s="1" t="str">
        <f aca="false">IF(O2194=0,"No Discount",IF(O2194&lt;=15,"Low (1-15%)",IF(O2194&lt;=30,"Medium (16-30%)","High (&gt;30%)")))</f>
        <v>Medium (16-30%)</v>
      </c>
      <c r="AD2194" s="1" t="str">
        <f aca="false">IF(V2194&lt;0,"Loss Making",IF(V2194&lt;20,"Low Margin","Healthy Margin"))</f>
        <v>Healthy Margin</v>
      </c>
      <c r="AE2194" s="1" t="str">
        <f aca="false">TEXT(DATE(VALUE(RIGHT(B2194,4)),VALUE(MID(B2194,4,2)),VALUE(LEFT(B2194,2))),"MMM-YYYY")</f>
        <v>Jan-2023</v>
      </c>
      <c r="AF2194" s="1" t="n">
        <f aca="false">VALUE(RIGHT(B2194,4))</f>
        <v>2023</v>
      </c>
      <c r="AG2194" s="1" t="str">
        <f aca="false">CHOOSE(ROUNDUP(VALUE(MID(B2194,4,2))/3,0),"Q1","Q2","Q3","Q4")</f>
        <v>Q1</v>
      </c>
    </row>
    <row r="2195" customFormat="false" ht="15" hidden="false" customHeight="true" outlineLevel="0" collapsed="false">
      <c r="A2195" s="1" t="s">
        <v>3062</v>
      </c>
      <c r="B2195" s="1" t="s">
        <v>587</v>
      </c>
      <c r="C2195" s="1" t="s">
        <v>100</v>
      </c>
      <c r="D2195" s="1" t="s">
        <v>53</v>
      </c>
      <c r="E2195" s="1" t="s">
        <v>54</v>
      </c>
      <c r="F2195" s="1" t="s">
        <v>194</v>
      </c>
      <c r="G2195" s="1" t="s">
        <v>103</v>
      </c>
      <c r="H2195" s="1" t="s">
        <v>69</v>
      </c>
      <c r="I2195" s="1" t="s">
        <v>83</v>
      </c>
      <c r="J2195" s="1" t="s">
        <v>59</v>
      </c>
      <c r="K2195" s="1" t="s">
        <v>104</v>
      </c>
      <c r="L2195" s="1" t="s">
        <v>113</v>
      </c>
      <c r="M2195" s="1" t="s">
        <v>62</v>
      </c>
      <c r="N2195" s="1" t="n">
        <v>11999</v>
      </c>
      <c r="O2195" s="1" t="n">
        <v>30</v>
      </c>
      <c r="P2195" s="1" t="n">
        <v>3599.7</v>
      </c>
      <c r="Q2195" s="1" t="n">
        <v>8399.3</v>
      </c>
      <c r="R2195" s="1" t="n">
        <v>1511.87</v>
      </c>
      <c r="S2195" s="1" t="n">
        <v>6887.43</v>
      </c>
      <c r="T2195" s="1" t="n">
        <v>2836.32</v>
      </c>
      <c r="U2195" s="1" t="n">
        <v>4051.11</v>
      </c>
      <c r="V2195" s="1" t="n">
        <v>58.82</v>
      </c>
      <c r="W2195" s="1" t="s">
        <v>40</v>
      </c>
      <c r="Y2195" s="1" t="s">
        <v>39</v>
      </c>
      <c r="Z2195" s="1" t="n">
        <v>0</v>
      </c>
      <c r="AA2195" s="1" t="str">
        <f aca="false">TRIM(PROPER(F2195))</f>
        <v>Hyderabad</v>
      </c>
      <c r="AB2195" s="1" t="str">
        <f aca="false">TRIM(PROPER(C2195))</f>
        <v>Physics Wallah</v>
      </c>
      <c r="AC2195" s="1" t="str">
        <f aca="false">IF(O2195=0,"No Discount",IF(O2195&lt;=15,"Low (1-15%)",IF(O2195&lt;=30,"Medium (16-30%)","High (&gt;30%)")))</f>
        <v>Medium (16-30%)</v>
      </c>
      <c r="AD2195" s="1" t="str">
        <f aca="false">IF(V2195&lt;0,"Loss Making",IF(V2195&lt;20,"Low Margin","Healthy Margin"))</f>
        <v>Healthy Margin</v>
      </c>
      <c r="AE2195" s="1" t="str">
        <f aca="false">TEXT(DATE(VALUE(RIGHT(B2195,4)),VALUE(MID(B2195,4,2)),VALUE(LEFT(B2195,2))),"MMM-YYYY")</f>
        <v>Apr-2023</v>
      </c>
      <c r="AF2195" s="1" t="n">
        <f aca="false">VALUE(RIGHT(B2195,4))</f>
        <v>2023</v>
      </c>
      <c r="AG2195" s="1" t="str">
        <f aca="false">CHOOSE(ROUNDUP(VALUE(MID(B2195,4,2))/3,0),"Q1","Q2","Q3","Q4")</f>
        <v>Q2</v>
      </c>
    </row>
    <row r="2196" customFormat="false" ht="15" hidden="false" customHeight="true" outlineLevel="0" collapsed="false">
      <c r="A2196" s="1" t="s">
        <v>3063</v>
      </c>
      <c r="B2196" s="1" t="s">
        <v>2149</v>
      </c>
      <c r="C2196" s="1" t="s">
        <v>65</v>
      </c>
      <c r="D2196" s="1" t="s">
        <v>168</v>
      </c>
      <c r="E2196" s="1" t="s">
        <v>328</v>
      </c>
      <c r="F2196" s="1" t="s">
        <v>125</v>
      </c>
      <c r="G2196" s="1" t="s">
        <v>108</v>
      </c>
      <c r="H2196" s="1" t="s">
        <v>69</v>
      </c>
      <c r="I2196" s="1" t="s">
        <v>34</v>
      </c>
      <c r="J2196" s="1" t="s">
        <v>77</v>
      </c>
      <c r="K2196" s="1" t="s">
        <v>36</v>
      </c>
      <c r="L2196" s="1" t="s">
        <v>136</v>
      </c>
      <c r="M2196" s="1" t="s">
        <v>62</v>
      </c>
      <c r="N2196" s="1" t="n">
        <v>8999</v>
      </c>
      <c r="O2196" s="1" t="n">
        <v>0</v>
      </c>
      <c r="P2196" s="1" t="n">
        <v>0</v>
      </c>
      <c r="Q2196" s="1" t="n">
        <v>8999</v>
      </c>
      <c r="R2196" s="1" t="n">
        <v>1619.82</v>
      </c>
      <c r="S2196" s="1" t="n">
        <v>7379.18</v>
      </c>
      <c r="T2196" s="1" t="n">
        <v>3438.97</v>
      </c>
      <c r="U2196" s="1" t="n">
        <v>3940.21</v>
      </c>
      <c r="V2196" s="1" t="n">
        <v>53.4</v>
      </c>
      <c r="W2196" s="1" t="s">
        <v>39</v>
      </c>
      <c r="X2196" s="1" t="n">
        <v>3.9</v>
      </c>
      <c r="Y2196" s="1" t="s">
        <v>40</v>
      </c>
      <c r="Z2196" s="1" t="n">
        <v>0</v>
      </c>
      <c r="AA2196" s="1" t="str">
        <f aca="false">TRIM(PROPER(F2196))</f>
        <v>Chennai</v>
      </c>
      <c r="AB2196" s="1" t="str">
        <f aca="false">TRIM(PROPER(C2196))</f>
        <v>Toppr</v>
      </c>
      <c r="AC2196" s="1" t="str">
        <f aca="false">IF(O2196=0,"No Discount",IF(O2196&lt;=15,"Low (1-15%)",IF(O2196&lt;=30,"Medium (16-30%)","High (&gt;30%)")))</f>
        <v>No Discount</v>
      </c>
      <c r="AD2196" s="1" t="str">
        <f aca="false">IF(V2196&lt;0,"Loss Making",IF(V2196&lt;20,"Low Margin","Healthy Margin"))</f>
        <v>Healthy Margin</v>
      </c>
      <c r="AE2196" s="1" t="str">
        <f aca="false">TEXT(DATE(VALUE(RIGHT(B2196,4)),VALUE(MID(B2196,4,2)),VALUE(LEFT(B2196,2))),"MMM-YYYY")</f>
        <v>Sep-2023</v>
      </c>
      <c r="AF2196" s="1" t="n">
        <f aca="false">VALUE(RIGHT(B2196,4))</f>
        <v>2023</v>
      </c>
      <c r="AG2196" s="1" t="str">
        <f aca="false">CHOOSE(ROUNDUP(VALUE(MID(B2196,4,2))/3,0),"Q1","Q2","Q3","Q4")</f>
        <v>Q3</v>
      </c>
    </row>
    <row r="2197" customFormat="false" ht="15" hidden="false" customHeight="true" outlineLevel="0" collapsed="false">
      <c r="A2197" s="1" t="s">
        <v>3064</v>
      </c>
      <c r="B2197" s="1" t="s">
        <v>520</v>
      </c>
      <c r="C2197" s="1" t="s">
        <v>28</v>
      </c>
      <c r="D2197" s="1" t="s">
        <v>143</v>
      </c>
      <c r="E2197" s="1" t="s">
        <v>162</v>
      </c>
      <c r="F2197" s="1" t="s">
        <v>244</v>
      </c>
      <c r="G2197" s="1" t="s">
        <v>97</v>
      </c>
      <c r="H2197" s="1" t="s">
        <v>57</v>
      </c>
      <c r="I2197" s="1" t="s">
        <v>83</v>
      </c>
      <c r="J2197" s="1" t="s">
        <v>70</v>
      </c>
      <c r="K2197" s="1" t="s">
        <v>36</v>
      </c>
      <c r="L2197" s="1" t="s">
        <v>85</v>
      </c>
      <c r="M2197" s="1" t="s">
        <v>62</v>
      </c>
      <c r="N2197" s="1" t="n">
        <v>14999</v>
      </c>
      <c r="O2197" s="1" t="n">
        <v>10</v>
      </c>
      <c r="P2197" s="1" t="n">
        <v>1499.9</v>
      </c>
      <c r="Q2197" s="1" t="n">
        <v>13499.1</v>
      </c>
      <c r="R2197" s="1" t="n">
        <v>2429.84</v>
      </c>
      <c r="S2197" s="1" t="n">
        <v>11069.26</v>
      </c>
      <c r="T2197" s="1" t="n">
        <v>4578.24</v>
      </c>
      <c r="U2197" s="1" t="n">
        <v>6491.02</v>
      </c>
      <c r="V2197" s="1" t="n">
        <v>58.64</v>
      </c>
      <c r="W2197" s="1" t="s">
        <v>39</v>
      </c>
      <c r="X2197" s="1" t="n">
        <v>3.3</v>
      </c>
      <c r="Y2197" s="1" t="s">
        <v>40</v>
      </c>
      <c r="Z2197" s="1" t="n">
        <v>0</v>
      </c>
      <c r="AA2197" s="1" t="str">
        <f aca="false">TRIM(PROPER(F2197))</f>
        <v>Nagpur</v>
      </c>
      <c r="AB2197" s="1" t="str">
        <f aca="false">TRIM(PROPER(C2197))</f>
        <v>Embibe</v>
      </c>
      <c r="AC2197" s="1" t="str">
        <f aca="false">IF(O2197=0,"No Discount",IF(O2197&lt;=15,"Low (1-15%)",IF(O2197&lt;=30,"Medium (16-30%)","High (&gt;30%)")))</f>
        <v>Low (1-15%)</v>
      </c>
      <c r="AD2197" s="1" t="str">
        <f aca="false">IF(V2197&lt;0,"Loss Making",IF(V2197&lt;20,"Low Margin","Healthy Margin"))</f>
        <v>Healthy Margin</v>
      </c>
      <c r="AE2197" s="1" t="str">
        <f aca="false">TEXT(DATE(VALUE(RIGHT(B2197,4)),VALUE(MID(B2197,4,2)),VALUE(LEFT(B2197,2))),"MMM-YYYY")</f>
        <v>Jul-2024</v>
      </c>
      <c r="AF2197" s="1" t="n">
        <f aca="false">VALUE(RIGHT(B2197,4))</f>
        <v>2024</v>
      </c>
      <c r="AG2197" s="1" t="str">
        <f aca="false">CHOOSE(ROUNDUP(VALUE(MID(B2197,4,2))/3,0),"Q1","Q2","Q3","Q4")</f>
        <v>Q3</v>
      </c>
    </row>
    <row r="2198" customFormat="false" ht="15" hidden="false" customHeight="true" outlineLevel="0" collapsed="false">
      <c r="A2198" s="1" t="s">
        <v>3065</v>
      </c>
      <c r="B2198" s="1" t="s">
        <v>913</v>
      </c>
      <c r="C2198" s="1" t="s">
        <v>93</v>
      </c>
      <c r="D2198" s="1" t="s">
        <v>44</v>
      </c>
      <c r="E2198" s="1" t="s">
        <v>221</v>
      </c>
      <c r="F2198" s="1" t="s">
        <v>82</v>
      </c>
      <c r="G2198" s="1" t="s">
        <v>56</v>
      </c>
      <c r="H2198" s="1" t="s">
        <v>69</v>
      </c>
      <c r="I2198" s="1" t="s">
        <v>83</v>
      </c>
      <c r="J2198" s="1" t="s">
        <v>77</v>
      </c>
      <c r="K2198" s="1" t="s">
        <v>112</v>
      </c>
      <c r="L2198" s="1" t="s">
        <v>85</v>
      </c>
      <c r="M2198" s="1" t="s">
        <v>38</v>
      </c>
      <c r="N2198" s="1" t="n">
        <v>16999</v>
      </c>
      <c r="O2198" s="1" t="n">
        <v>15</v>
      </c>
      <c r="P2198" s="1" t="n">
        <v>2549.85</v>
      </c>
      <c r="Q2198" s="1" t="n">
        <v>14449.15</v>
      </c>
      <c r="R2198" s="1" t="n">
        <v>2600.85</v>
      </c>
      <c r="S2198" s="1" t="n">
        <v>11848.3</v>
      </c>
      <c r="T2198" s="1" t="n">
        <v>4903.16</v>
      </c>
      <c r="U2198" s="1" t="n">
        <v>6945.14</v>
      </c>
      <c r="V2198" s="1" t="n">
        <v>58.62</v>
      </c>
      <c r="W2198" s="1" t="s">
        <v>40</v>
      </c>
      <c r="Y2198" s="1" t="s">
        <v>40</v>
      </c>
      <c r="Z2198" s="1" t="n">
        <v>0</v>
      </c>
      <c r="AA2198" s="1" t="str">
        <f aca="false">TRIM(PROPER(F2198))</f>
        <v>Gurugram</v>
      </c>
      <c r="AB2198" s="1" t="str">
        <f aca="false">TRIM(PROPER(C2198))</f>
        <v>Upgrad</v>
      </c>
      <c r="AC2198" s="1" t="str">
        <f aca="false">IF(O2198=0,"No Discount",IF(O2198&lt;=15,"Low (1-15%)",IF(O2198&lt;=30,"Medium (16-30%)","High (&gt;30%)")))</f>
        <v>Low (1-15%)</v>
      </c>
      <c r="AD2198" s="1" t="str">
        <f aca="false">IF(V2198&lt;0,"Loss Making",IF(V2198&lt;20,"Low Margin","Healthy Margin"))</f>
        <v>Healthy Margin</v>
      </c>
      <c r="AE2198" s="1" t="str">
        <f aca="false">TEXT(DATE(VALUE(RIGHT(B2198,4)),VALUE(MID(B2198,4,2)),VALUE(LEFT(B2198,2))),"MMM-YYYY")</f>
        <v>Jan-2023</v>
      </c>
      <c r="AF2198" s="1" t="n">
        <f aca="false">VALUE(RIGHT(B2198,4))</f>
        <v>2023</v>
      </c>
      <c r="AG2198" s="1" t="str">
        <f aca="false">CHOOSE(ROUNDUP(VALUE(MID(B2198,4,2))/3,0),"Q1","Q2","Q3","Q4")</f>
        <v>Q1</v>
      </c>
    </row>
    <row r="2199" customFormat="false" ht="15" hidden="false" customHeight="true" outlineLevel="0" collapsed="false">
      <c r="A2199" s="1" t="s">
        <v>3066</v>
      </c>
      <c r="B2199" s="1" t="s">
        <v>1480</v>
      </c>
      <c r="C2199" s="1" t="s">
        <v>249</v>
      </c>
      <c r="D2199" s="1" t="s">
        <v>80</v>
      </c>
      <c r="E2199" s="1" t="s">
        <v>190</v>
      </c>
      <c r="F2199" s="1" t="s">
        <v>211</v>
      </c>
      <c r="G2199" s="1" t="s">
        <v>56</v>
      </c>
      <c r="H2199" s="1" t="s">
        <v>69</v>
      </c>
      <c r="I2199" s="1" t="s">
        <v>34</v>
      </c>
      <c r="J2199" s="1" t="s">
        <v>59</v>
      </c>
      <c r="K2199" s="1" t="s">
        <v>90</v>
      </c>
      <c r="L2199" s="1" t="s">
        <v>113</v>
      </c>
      <c r="M2199" s="1" t="s">
        <v>38</v>
      </c>
      <c r="N2199" s="1" t="n">
        <v>15999</v>
      </c>
      <c r="O2199" s="1" t="n">
        <v>40</v>
      </c>
      <c r="P2199" s="1" t="n">
        <v>6399.6</v>
      </c>
      <c r="Q2199" s="1" t="n">
        <v>9599.4</v>
      </c>
      <c r="R2199" s="1" t="n">
        <v>1727.89</v>
      </c>
      <c r="S2199" s="1" t="n">
        <v>7871.51</v>
      </c>
      <c r="T2199" s="1" t="n">
        <v>3686.67</v>
      </c>
      <c r="U2199" s="1" t="n">
        <v>4184.84</v>
      </c>
      <c r="V2199" s="1" t="n">
        <v>53.16</v>
      </c>
      <c r="W2199" s="1" t="s">
        <v>40</v>
      </c>
      <c r="Y2199" s="1" t="s">
        <v>40</v>
      </c>
      <c r="Z2199" s="1" t="n">
        <v>1</v>
      </c>
      <c r="AA2199" s="1" t="str">
        <f aca="false">TRIM(PROPER(F2199))</f>
        <v>Noida</v>
      </c>
      <c r="AB2199" s="1" t="str">
        <f aca="false">TRIM(PROPER(C2199))</f>
        <v>Whitehat Jr</v>
      </c>
      <c r="AC2199" s="1" t="str">
        <f aca="false">IF(O2199=0,"No Discount",IF(O2199&lt;=15,"Low (1-15%)",IF(O2199&lt;=30,"Medium (16-30%)","High (&gt;30%)")))</f>
        <v>High (&gt;30%)</v>
      </c>
      <c r="AD2199" s="1" t="str">
        <f aca="false">IF(V2199&lt;0,"Loss Making",IF(V2199&lt;20,"Low Margin","Healthy Margin"))</f>
        <v>Healthy Margin</v>
      </c>
      <c r="AE2199" s="1" t="str">
        <f aca="false">TEXT(DATE(VALUE(RIGHT(B2199,4)),VALUE(MID(B2199,4,2)),VALUE(LEFT(B2199,2))),"MMM-YYYY")</f>
        <v>Apr-2024</v>
      </c>
      <c r="AF2199" s="1" t="n">
        <f aca="false">VALUE(RIGHT(B2199,4))</f>
        <v>2024</v>
      </c>
      <c r="AG2199" s="1" t="str">
        <f aca="false">CHOOSE(ROUNDUP(VALUE(MID(B2199,4,2))/3,0),"Q1","Q2","Q3","Q4")</f>
        <v>Q2</v>
      </c>
    </row>
    <row r="2200" customFormat="false" ht="15" hidden="false" customHeight="true" outlineLevel="0" collapsed="false">
      <c r="A2200" s="1" t="s">
        <v>3067</v>
      </c>
      <c r="B2200" s="1" t="s">
        <v>740</v>
      </c>
      <c r="C2200" s="1" t="s">
        <v>178</v>
      </c>
      <c r="D2200" s="1" t="s">
        <v>94</v>
      </c>
      <c r="E2200" s="1" t="s">
        <v>135</v>
      </c>
      <c r="F2200" s="1" t="s">
        <v>150</v>
      </c>
      <c r="G2200" s="1" t="s">
        <v>32</v>
      </c>
      <c r="H2200" s="1" t="s">
        <v>57</v>
      </c>
      <c r="I2200" s="1" t="s">
        <v>58</v>
      </c>
      <c r="J2200" s="1" t="s">
        <v>77</v>
      </c>
      <c r="K2200" s="1" t="s">
        <v>112</v>
      </c>
      <c r="L2200" s="1" t="s">
        <v>85</v>
      </c>
      <c r="M2200" s="1" t="s">
        <v>50</v>
      </c>
      <c r="N2200" s="1" t="n">
        <v>9999</v>
      </c>
      <c r="O2200" s="1" t="n">
        <v>15</v>
      </c>
      <c r="P2200" s="1" t="n">
        <v>1499.85</v>
      </c>
      <c r="Q2200" s="1" t="n">
        <v>8499.15</v>
      </c>
      <c r="R2200" s="1" t="n">
        <v>1529.85</v>
      </c>
      <c r="S2200" s="1" t="n">
        <v>6969.3</v>
      </c>
      <c r="T2200" s="1" t="n">
        <v>3044.43</v>
      </c>
      <c r="U2200" s="1" t="n">
        <v>3924.87</v>
      </c>
      <c r="V2200" s="1" t="n">
        <v>56.32</v>
      </c>
      <c r="W2200" s="1" t="s">
        <v>39</v>
      </c>
      <c r="X2200" s="1" t="n">
        <v>3.2</v>
      </c>
      <c r="Y2200" s="1" t="s">
        <v>40</v>
      </c>
      <c r="Z2200" s="1" t="n">
        <v>0</v>
      </c>
      <c r="AA2200" s="1" t="str">
        <f aca="false">TRIM(PROPER(F2200))</f>
        <v>Jaipur</v>
      </c>
      <c r="AB2200" s="1" t="str">
        <f aca="false">TRIM(PROPER(C2200))</f>
        <v>Leverage Edu</v>
      </c>
      <c r="AC2200" s="1" t="str">
        <f aca="false">IF(O2200=0,"No Discount",IF(O2200&lt;=15,"Low (1-15%)",IF(O2200&lt;=30,"Medium (16-30%)","High (&gt;30%)")))</f>
        <v>Low (1-15%)</v>
      </c>
      <c r="AD2200" s="1" t="str">
        <f aca="false">IF(V2200&lt;0,"Loss Making",IF(V2200&lt;20,"Low Margin","Healthy Margin"))</f>
        <v>Healthy Margin</v>
      </c>
      <c r="AE2200" s="1" t="str">
        <f aca="false">TEXT(DATE(VALUE(RIGHT(B2200,4)),VALUE(MID(B2200,4,2)),VALUE(LEFT(B2200,2))),"MMM-YYYY")</f>
        <v>Sep-2024</v>
      </c>
      <c r="AF2200" s="1" t="n">
        <f aca="false">VALUE(RIGHT(B2200,4))</f>
        <v>2024</v>
      </c>
      <c r="AG2200" s="1" t="str">
        <f aca="false">CHOOSE(ROUNDUP(VALUE(MID(B2200,4,2))/3,0),"Q1","Q2","Q3","Q4")</f>
        <v>Q3</v>
      </c>
    </row>
    <row r="2201" customFormat="false" ht="15" hidden="false" customHeight="true" outlineLevel="0" collapsed="false">
      <c r="A2201" s="1" t="s">
        <v>3068</v>
      </c>
      <c r="B2201" s="1" t="s">
        <v>1830</v>
      </c>
      <c r="C2201" s="1" t="s">
        <v>249</v>
      </c>
      <c r="D2201" s="1" t="s">
        <v>123</v>
      </c>
      <c r="E2201" s="1" t="s">
        <v>147</v>
      </c>
      <c r="F2201" s="1" t="s">
        <v>31</v>
      </c>
      <c r="G2201" s="1" t="s">
        <v>32</v>
      </c>
      <c r="H2201" s="1" t="s">
        <v>33</v>
      </c>
      <c r="I2201" s="1" t="s">
        <v>83</v>
      </c>
      <c r="J2201" s="1" t="s">
        <v>35</v>
      </c>
      <c r="K2201" s="1" t="s">
        <v>104</v>
      </c>
      <c r="L2201" s="1" t="s">
        <v>49</v>
      </c>
      <c r="M2201" s="1" t="s">
        <v>62</v>
      </c>
      <c r="N2201" s="1" t="n">
        <v>6999</v>
      </c>
      <c r="O2201" s="1" t="n">
        <v>15</v>
      </c>
      <c r="P2201" s="1" t="n">
        <v>1049.85</v>
      </c>
      <c r="Q2201" s="1" t="n">
        <v>5949.15</v>
      </c>
      <c r="R2201" s="1" t="n">
        <v>1070.85</v>
      </c>
      <c r="S2201" s="1" t="n">
        <v>4878.3</v>
      </c>
      <c r="T2201" s="1" t="n">
        <v>1936.37</v>
      </c>
      <c r="U2201" s="1" t="n">
        <v>2941.93</v>
      </c>
      <c r="V2201" s="1" t="n">
        <v>60.31</v>
      </c>
      <c r="W2201" s="1" t="s">
        <v>40</v>
      </c>
      <c r="Y2201" s="1" t="s">
        <v>40</v>
      </c>
      <c r="Z2201" s="1" t="n">
        <v>0</v>
      </c>
      <c r="AA2201" s="1" t="str">
        <f aca="false">TRIM(PROPER(F2201))</f>
        <v>Jodhpur</v>
      </c>
      <c r="AB2201" s="1" t="str">
        <f aca="false">TRIM(PROPER(C2201))</f>
        <v>Whitehat Jr</v>
      </c>
      <c r="AC2201" s="1" t="str">
        <f aca="false">IF(O2201=0,"No Discount",IF(O2201&lt;=15,"Low (1-15%)",IF(O2201&lt;=30,"Medium (16-30%)","High (&gt;30%)")))</f>
        <v>Low (1-15%)</v>
      </c>
      <c r="AD2201" s="1" t="str">
        <f aca="false">IF(V2201&lt;0,"Loss Making",IF(V2201&lt;20,"Low Margin","Healthy Margin"))</f>
        <v>Healthy Margin</v>
      </c>
      <c r="AE2201" s="1" t="str">
        <f aca="false">TEXT(DATE(VALUE(RIGHT(B2201,4)),VALUE(MID(B2201,4,2)),VALUE(LEFT(B2201,2))),"MMM-YYYY")</f>
        <v>Mar-2023</v>
      </c>
      <c r="AF2201" s="1" t="n">
        <f aca="false">VALUE(RIGHT(B2201,4))</f>
        <v>2023</v>
      </c>
      <c r="AG2201" s="1" t="str">
        <f aca="false">CHOOSE(ROUNDUP(VALUE(MID(B2201,4,2))/3,0),"Q1","Q2","Q3","Q4")</f>
        <v>Q1</v>
      </c>
    </row>
    <row r="2202" customFormat="false" ht="15" hidden="false" customHeight="true" outlineLevel="0" collapsed="false">
      <c r="A2202" s="1" t="s">
        <v>3069</v>
      </c>
      <c r="B2202" s="1" t="s">
        <v>625</v>
      </c>
      <c r="C2202" s="1" t="s">
        <v>74</v>
      </c>
      <c r="D2202" s="1" t="s">
        <v>29</v>
      </c>
      <c r="E2202" s="1" t="s">
        <v>305</v>
      </c>
      <c r="F2202" s="1" t="s">
        <v>184</v>
      </c>
      <c r="G2202" s="1" t="s">
        <v>56</v>
      </c>
      <c r="H2202" s="1" t="s">
        <v>57</v>
      </c>
      <c r="I2202" s="1" t="s">
        <v>83</v>
      </c>
      <c r="J2202" s="1" t="s">
        <v>131</v>
      </c>
      <c r="K2202" s="1" t="s">
        <v>104</v>
      </c>
      <c r="L2202" s="1" t="s">
        <v>37</v>
      </c>
      <c r="M2202" s="1" t="s">
        <v>50</v>
      </c>
      <c r="N2202" s="1" t="n">
        <v>24999</v>
      </c>
      <c r="O2202" s="1" t="n">
        <v>15</v>
      </c>
      <c r="P2202" s="1" t="n">
        <v>3749.85</v>
      </c>
      <c r="Q2202" s="1" t="n">
        <v>21249.15</v>
      </c>
      <c r="R2202" s="1" t="n">
        <v>3824.85</v>
      </c>
      <c r="S2202" s="1" t="n">
        <v>17424.3</v>
      </c>
      <c r="T2202" s="1" t="n">
        <v>7146.64</v>
      </c>
      <c r="U2202" s="1" t="n">
        <v>10277.66</v>
      </c>
      <c r="V2202" s="1" t="n">
        <v>58.98</v>
      </c>
      <c r="W2202" s="1" t="s">
        <v>39</v>
      </c>
      <c r="X2202" s="1" t="n">
        <v>3.5</v>
      </c>
      <c r="Y2202" s="1" t="s">
        <v>39</v>
      </c>
      <c r="Z2202" s="1" t="n">
        <v>0</v>
      </c>
      <c r="AA2202" s="1" t="str">
        <f aca="false">TRIM(PROPER(F2202))</f>
        <v>Faridabad</v>
      </c>
      <c r="AB2202" s="1" t="str">
        <f aca="false">TRIM(PROPER(C2202))</f>
        <v>Vedantu</v>
      </c>
      <c r="AC2202" s="1" t="str">
        <f aca="false">IF(O2202=0,"No Discount",IF(O2202&lt;=15,"Low (1-15%)",IF(O2202&lt;=30,"Medium (16-30%)","High (&gt;30%)")))</f>
        <v>Low (1-15%)</v>
      </c>
      <c r="AD2202" s="1" t="str">
        <f aca="false">IF(V2202&lt;0,"Loss Making",IF(V2202&lt;20,"Low Margin","Healthy Margin"))</f>
        <v>Healthy Margin</v>
      </c>
      <c r="AE2202" s="1" t="str">
        <f aca="false">TEXT(DATE(VALUE(RIGHT(B2202,4)),VALUE(MID(B2202,4,2)),VALUE(LEFT(B2202,2))),"MMM-YYYY")</f>
        <v>Dec-2023</v>
      </c>
      <c r="AF2202" s="1" t="n">
        <f aca="false">VALUE(RIGHT(B2202,4))</f>
        <v>2023</v>
      </c>
      <c r="AG2202" s="1" t="str">
        <f aca="false">CHOOSE(ROUNDUP(VALUE(MID(B2202,4,2))/3,0),"Q1","Q2","Q3","Q4")</f>
        <v>Q4</v>
      </c>
    </row>
    <row r="2203" customFormat="false" ht="15" hidden="false" customHeight="true" outlineLevel="0" collapsed="false">
      <c r="A2203" s="1" t="s">
        <v>3070</v>
      </c>
      <c r="B2203" s="1" t="s">
        <v>378</v>
      </c>
      <c r="C2203" s="1" t="s">
        <v>28</v>
      </c>
      <c r="D2203" s="1" t="s">
        <v>80</v>
      </c>
      <c r="E2203" s="1" t="s">
        <v>190</v>
      </c>
      <c r="F2203" s="1" t="s">
        <v>194</v>
      </c>
      <c r="G2203" s="1" t="s">
        <v>103</v>
      </c>
      <c r="H2203" s="1" t="s">
        <v>69</v>
      </c>
      <c r="I2203" s="1" t="s">
        <v>83</v>
      </c>
      <c r="J2203" s="1" t="s">
        <v>59</v>
      </c>
      <c r="K2203" s="1" t="s">
        <v>60</v>
      </c>
      <c r="L2203" s="1" t="s">
        <v>61</v>
      </c>
      <c r="M2203" s="1" t="s">
        <v>62</v>
      </c>
      <c r="N2203" s="1" t="n">
        <v>15999</v>
      </c>
      <c r="O2203" s="1" t="n">
        <v>0</v>
      </c>
      <c r="P2203" s="1" t="n">
        <v>0</v>
      </c>
      <c r="Q2203" s="1" t="n">
        <v>15999</v>
      </c>
      <c r="R2203" s="1" t="n">
        <v>2879.82</v>
      </c>
      <c r="S2203" s="1" t="n">
        <v>13119.18</v>
      </c>
      <c r="T2203" s="1" t="n">
        <v>3889.06</v>
      </c>
      <c r="U2203" s="1" t="n">
        <v>9230.12</v>
      </c>
      <c r="V2203" s="1" t="n">
        <v>70.36</v>
      </c>
      <c r="W2203" s="1" t="s">
        <v>39</v>
      </c>
      <c r="X2203" s="1" t="n">
        <v>5</v>
      </c>
      <c r="Y2203" s="1" t="s">
        <v>40</v>
      </c>
      <c r="Z2203" s="1" t="n">
        <v>0</v>
      </c>
      <c r="AA2203" s="1" t="str">
        <f aca="false">TRIM(PROPER(F2203))</f>
        <v>Hyderabad</v>
      </c>
      <c r="AB2203" s="1" t="str">
        <f aca="false">TRIM(PROPER(C2203))</f>
        <v>Embibe</v>
      </c>
      <c r="AC2203" s="1" t="str">
        <f aca="false">IF(O2203=0,"No Discount",IF(O2203&lt;=15,"Low (1-15%)",IF(O2203&lt;=30,"Medium (16-30%)","High (&gt;30%)")))</f>
        <v>No Discount</v>
      </c>
      <c r="AD2203" s="1" t="str">
        <f aca="false">IF(V2203&lt;0,"Loss Making",IF(V2203&lt;20,"Low Margin","Healthy Margin"))</f>
        <v>Healthy Margin</v>
      </c>
      <c r="AE2203" s="1" t="str">
        <f aca="false">TEXT(DATE(VALUE(RIGHT(B2203,4)),VALUE(MID(B2203,4,2)),VALUE(LEFT(B2203,2))),"MMM-YYYY")</f>
        <v>Oct-2024</v>
      </c>
      <c r="AF2203" s="1" t="n">
        <f aca="false">VALUE(RIGHT(B2203,4))</f>
        <v>2024</v>
      </c>
      <c r="AG2203" s="1" t="str">
        <f aca="false">CHOOSE(ROUNDUP(VALUE(MID(B2203,4,2))/3,0),"Q1","Q2","Q3","Q4")</f>
        <v>Q4</v>
      </c>
    </row>
    <row r="2204" customFormat="false" ht="15" hidden="false" customHeight="true" outlineLevel="0" collapsed="false">
      <c r="A2204" s="1" t="s">
        <v>3071</v>
      </c>
      <c r="B2204" s="1" t="s">
        <v>798</v>
      </c>
      <c r="C2204" s="1" t="s">
        <v>264</v>
      </c>
      <c r="D2204" s="1" t="s">
        <v>80</v>
      </c>
      <c r="E2204" s="1" t="s">
        <v>175</v>
      </c>
      <c r="F2204" s="1" t="s">
        <v>89</v>
      </c>
      <c r="G2204" s="1" t="s">
        <v>68</v>
      </c>
      <c r="H2204" s="1" t="s">
        <v>33</v>
      </c>
      <c r="I2204" s="1" t="s">
        <v>58</v>
      </c>
      <c r="J2204" s="1" t="s">
        <v>35</v>
      </c>
      <c r="K2204" s="1" t="s">
        <v>60</v>
      </c>
      <c r="L2204" s="1" t="s">
        <v>113</v>
      </c>
      <c r="M2204" s="1" t="s">
        <v>50</v>
      </c>
      <c r="N2204" s="1" t="n">
        <v>19999</v>
      </c>
      <c r="O2204" s="1" t="n">
        <v>5</v>
      </c>
      <c r="P2204" s="1" t="n">
        <v>999.95</v>
      </c>
      <c r="Q2204" s="1" t="n">
        <v>18999.05</v>
      </c>
      <c r="R2204" s="1" t="n">
        <v>3419.83</v>
      </c>
      <c r="S2204" s="1" t="n">
        <v>15579.22</v>
      </c>
      <c r="T2204" s="1" t="n">
        <v>6427.04</v>
      </c>
      <c r="U2204" s="1" t="n">
        <v>9152.18</v>
      </c>
      <c r="V2204" s="1" t="n">
        <v>58.75</v>
      </c>
      <c r="W2204" s="1" t="s">
        <v>39</v>
      </c>
      <c r="X2204" s="1" t="n">
        <v>4.7</v>
      </c>
      <c r="Y2204" s="1" t="s">
        <v>40</v>
      </c>
      <c r="Z2204" s="1" t="n">
        <v>0</v>
      </c>
      <c r="AA2204" s="1" t="str">
        <f aca="false">TRIM(PROPER(F2204))</f>
        <v>Vadodara</v>
      </c>
      <c r="AB2204" s="1" t="str">
        <f aca="false">TRIM(PROPER(C2204))</f>
        <v>Unacademy</v>
      </c>
      <c r="AC2204" s="1" t="str">
        <f aca="false">IF(O2204=0,"No Discount",IF(O2204&lt;=15,"Low (1-15%)",IF(O2204&lt;=30,"Medium (16-30%)","High (&gt;30%)")))</f>
        <v>Low (1-15%)</v>
      </c>
      <c r="AD2204" s="1" t="str">
        <f aca="false">IF(V2204&lt;0,"Loss Making",IF(V2204&lt;20,"Low Margin","Healthy Margin"))</f>
        <v>Healthy Margin</v>
      </c>
      <c r="AE2204" s="1" t="str">
        <f aca="false">TEXT(DATE(VALUE(RIGHT(B2204,4)),VALUE(MID(B2204,4,2)),VALUE(LEFT(B2204,2))),"MMM-YYYY")</f>
        <v>Apr-2023</v>
      </c>
      <c r="AF2204" s="1" t="n">
        <f aca="false">VALUE(RIGHT(B2204,4))</f>
        <v>2023</v>
      </c>
      <c r="AG2204" s="1" t="str">
        <f aca="false">CHOOSE(ROUNDUP(VALUE(MID(B2204,4,2))/3,0),"Q1","Q2","Q3","Q4")</f>
        <v>Q2</v>
      </c>
    </row>
    <row r="2205" customFormat="false" ht="15" hidden="false" customHeight="true" outlineLevel="0" collapsed="false">
      <c r="A2205" s="1" t="s">
        <v>3072</v>
      </c>
      <c r="B2205" s="1" t="s">
        <v>1585</v>
      </c>
      <c r="C2205" s="1" t="s">
        <v>128</v>
      </c>
      <c r="D2205" s="1" t="s">
        <v>53</v>
      </c>
      <c r="E2205" s="1" t="s">
        <v>54</v>
      </c>
      <c r="F2205" s="1" t="s">
        <v>75</v>
      </c>
      <c r="G2205" s="1" t="s">
        <v>76</v>
      </c>
      <c r="H2205" s="1" t="s">
        <v>69</v>
      </c>
      <c r="I2205" s="1" t="s">
        <v>83</v>
      </c>
      <c r="J2205" s="1" t="s">
        <v>59</v>
      </c>
      <c r="K2205" s="1" t="s">
        <v>48</v>
      </c>
      <c r="L2205" s="1" t="s">
        <v>113</v>
      </c>
      <c r="M2205" s="1" t="s">
        <v>62</v>
      </c>
      <c r="N2205" s="1" t="n">
        <v>11999</v>
      </c>
      <c r="O2205" s="1" t="n">
        <v>15</v>
      </c>
      <c r="P2205" s="1" t="n">
        <v>1799.85</v>
      </c>
      <c r="Q2205" s="1" t="n">
        <v>10199.15</v>
      </c>
      <c r="R2205" s="1" t="n">
        <v>1835.85</v>
      </c>
      <c r="S2205" s="1" t="n">
        <v>8363.3</v>
      </c>
      <c r="T2205" s="1" t="n">
        <v>3811.76</v>
      </c>
      <c r="U2205" s="1" t="n">
        <v>4551.54</v>
      </c>
      <c r="V2205" s="1" t="n">
        <v>54.42</v>
      </c>
      <c r="W2205" s="1" t="s">
        <v>39</v>
      </c>
      <c r="X2205" s="1" t="n">
        <v>3.4</v>
      </c>
      <c r="Y2205" s="1" t="s">
        <v>40</v>
      </c>
      <c r="Z2205" s="1" t="n">
        <v>0</v>
      </c>
      <c r="AA2205" s="1" t="str">
        <f aca="false">TRIM(PROPER(F2205))</f>
        <v>Kolkata</v>
      </c>
      <c r="AB2205" s="1" t="str">
        <f aca="false">TRIM(PROPER(C2205))</f>
        <v>Great Learning</v>
      </c>
      <c r="AC2205" s="1" t="str">
        <f aca="false">IF(O2205=0,"No Discount",IF(O2205&lt;=15,"Low (1-15%)",IF(O2205&lt;=30,"Medium (16-30%)","High (&gt;30%)")))</f>
        <v>Low (1-15%)</v>
      </c>
      <c r="AD2205" s="1" t="str">
        <f aca="false">IF(V2205&lt;0,"Loss Making",IF(V2205&lt;20,"Low Margin","Healthy Margin"))</f>
        <v>Healthy Margin</v>
      </c>
      <c r="AE2205" s="1" t="str">
        <f aca="false">TEXT(DATE(VALUE(RIGHT(B2205,4)),VALUE(MID(B2205,4,2)),VALUE(LEFT(B2205,2))),"MMM-YYYY")</f>
        <v>May-2024</v>
      </c>
      <c r="AF2205" s="1" t="n">
        <f aca="false">VALUE(RIGHT(B2205,4))</f>
        <v>2024</v>
      </c>
      <c r="AG2205" s="1" t="str">
        <f aca="false">CHOOSE(ROUNDUP(VALUE(MID(B2205,4,2))/3,0),"Q1","Q2","Q3","Q4")</f>
        <v>Q2</v>
      </c>
    </row>
    <row r="2206" customFormat="false" ht="15" hidden="false" customHeight="true" outlineLevel="0" collapsed="false">
      <c r="A2206" s="1" t="s">
        <v>3073</v>
      </c>
      <c r="B2206" s="1" t="s">
        <v>2086</v>
      </c>
      <c r="C2206" s="1" t="s">
        <v>74</v>
      </c>
      <c r="D2206" s="1" t="s">
        <v>94</v>
      </c>
      <c r="E2206" s="1" t="s">
        <v>101</v>
      </c>
      <c r="F2206" s="1" t="s">
        <v>31</v>
      </c>
      <c r="G2206" s="1" t="s">
        <v>32</v>
      </c>
      <c r="H2206" s="1" t="s">
        <v>33</v>
      </c>
      <c r="I2206" s="1" t="s">
        <v>34</v>
      </c>
      <c r="J2206" s="1" t="s">
        <v>59</v>
      </c>
      <c r="K2206" s="1" t="s">
        <v>48</v>
      </c>
      <c r="L2206" s="1" t="s">
        <v>85</v>
      </c>
      <c r="M2206" s="1" t="s">
        <v>50</v>
      </c>
      <c r="N2206" s="1" t="n">
        <v>14999</v>
      </c>
      <c r="O2206" s="1" t="n">
        <v>40</v>
      </c>
      <c r="P2206" s="1" t="n">
        <v>5999.6</v>
      </c>
      <c r="Q2206" s="1" t="n">
        <v>8999.4</v>
      </c>
      <c r="R2206" s="1" t="n">
        <v>1619.89</v>
      </c>
      <c r="S2206" s="1" t="n">
        <v>7379.51</v>
      </c>
      <c r="T2206" s="1" t="n">
        <v>3785.38</v>
      </c>
      <c r="U2206" s="1" t="n">
        <v>3594.13</v>
      </c>
      <c r="V2206" s="1" t="n">
        <v>48.7</v>
      </c>
      <c r="W2206" s="1" t="s">
        <v>39</v>
      </c>
      <c r="Y2206" s="1" t="s">
        <v>40</v>
      </c>
      <c r="Z2206" s="1" t="n">
        <v>1</v>
      </c>
      <c r="AA2206" s="1" t="str">
        <f aca="false">TRIM(PROPER(F2206))</f>
        <v>Jodhpur</v>
      </c>
      <c r="AB2206" s="1" t="str">
        <f aca="false">TRIM(PROPER(C2206))</f>
        <v>Vedantu</v>
      </c>
      <c r="AC2206" s="1" t="str">
        <f aca="false">IF(O2206=0,"No Discount",IF(O2206&lt;=15,"Low (1-15%)",IF(O2206&lt;=30,"Medium (16-30%)","High (&gt;30%)")))</f>
        <v>High (&gt;30%)</v>
      </c>
      <c r="AD2206" s="1" t="str">
        <f aca="false">IF(V2206&lt;0,"Loss Making",IF(V2206&lt;20,"Low Margin","Healthy Margin"))</f>
        <v>Healthy Margin</v>
      </c>
      <c r="AE2206" s="1" t="str">
        <f aca="false">TEXT(DATE(VALUE(RIGHT(B2206,4)),VALUE(MID(B2206,4,2)),VALUE(LEFT(B2206,2))),"MMM-YYYY")</f>
        <v>Oct-2024</v>
      </c>
      <c r="AF2206" s="1" t="n">
        <f aca="false">VALUE(RIGHT(B2206,4))</f>
        <v>2024</v>
      </c>
      <c r="AG2206" s="1" t="str">
        <f aca="false">CHOOSE(ROUNDUP(VALUE(MID(B2206,4,2))/3,0),"Q1","Q2","Q3","Q4")</f>
        <v>Q4</v>
      </c>
    </row>
    <row r="2207" customFormat="false" ht="15" hidden="false" customHeight="true" outlineLevel="0" collapsed="false">
      <c r="A2207" s="1" t="s">
        <v>3074</v>
      </c>
      <c r="B2207" s="1" t="s">
        <v>2564</v>
      </c>
      <c r="C2207" s="1" t="s">
        <v>100</v>
      </c>
      <c r="D2207" s="1" t="s">
        <v>143</v>
      </c>
      <c r="E2207" s="1" t="s">
        <v>243</v>
      </c>
      <c r="F2207" s="1" t="s">
        <v>107</v>
      </c>
      <c r="G2207" s="1" t="s">
        <v>108</v>
      </c>
      <c r="H2207" s="1" t="s">
        <v>33</v>
      </c>
      <c r="I2207" s="1" t="s">
        <v>34</v>
      </c>
      <c r="J2207" s="1" t="s">
        <v>35</v>
      </c>
      <c r="K2207" s="1" t="s">
        <v>84</v>
      </c>
      <c r="L2207" s="1" t="s">
        <v>113</v>
      </c>
      <c r="M2207" s="1" t="s">
        <v>38</v>
      </c>
      <c r="N2207" s="1" t="n">
        <v>22999</v>
      </c>
      <c r="O2207" s="1" t="n">
        <v>10</v>
      </c>
      <c r="P2207" s="1" t="n">
        <v>2299.9</v>
      </c>
      <c r="Q2207" s="1" t="n">
        <v>20699.1</v>
      </c>
      <c r="R2207" s="1" t="n">
        <v>3725.84</v>
      </c>
      <c r="S2207" s="1" t="n">
        <v>16973.26</v>
      </c>
      <c r="T2207" s="1" t="n">
        <v>7703.11</v>
      </c>
      <c r="U2207" s="1" t="n">
        <v>9270.15</v>
      </c>
      <c r="V2207" s="1" t="n">
        <v>54.62</v>
      </c>
      <c r="W2207" s="1" t="s">
        <v>39</v>
      </c>
      <c r="X2207" s="1" t="n">
        <v>3.8</v>
      </c>
      <c r="Y2207" s="1" t="s">
        <v>40</v>
      </c>
      <c r="Z2207" s="1" t="n">
        <v>0</v>
      </c>
      <c r="AA2207" s="1" t="str">
        <f aca="false">TRIM(PROPER(F2207))</f>
        <v>Madurai</v>
      </c>
      <c r="AB2207" s="1" t="str">
        <f aca="false">TRIM(PROPER(C2207))</f>
        <v>Physics Wallah</v>
      </c>
      <c r="AC2207" s="1" t="str">
        <f aca="false">IF(O2207=0,"No Discount",IF(O2207&lt;=15,"Low (1-15%)",IF(O2207&lt;=30,"Medium (16-30%)","High (&gt;30%)")))</f>
        <v>Low (1-15%)</v>
      </c>
      <c r="AD2207" s="1" t="str">
        <f aca="false">IF(V2207&lt;0,"Loss Making",IF(V2207&lt;20,"Low Margin","Healthy Margin"))</f>
        <v>Healthy Margin</v>
      </c>
      <c r="AE2207" s="1" t="str">
        <f aca="false">TEXT(DATE(VALUE(RIGHT(B2207,4)),VALUE(MID(B2207,4,2)),VALUE(LEFT(B2207,2))),"MMM-YYYY")</f>
        <v>Jul-2023</v>
      </c>
      <c r="AF2207" s="1" t="n">
        <f aca="false">VALUE(RIGHT(B2207,4))</f>
        <v>2023</v>
      </c>
      <c r="AG2207" s="1" t="str">
        <f aca="false">CHOOSE(ROUNDUP(VALUE(MID(B2207,4,2))/3,0),"Q1","Q2","Q3","Q4")</f>
        <v>Q3</v>
      </c>
    </row>
    <row r="2208" customFormat="false" ht="15" hidden="false" customHeight="true" outlineLevel="0" collapsed="false">
      <c r="A2208" s="1" t="s">
        <v>3075</v>
      </c>
      <c r="B2208" s="1" t="s">
        <v>127</v>
      </c>
      <c r="C2208" s="1" t="s">
        <v>139</v>
      </c>
      <c r="D2208" s="1" t="s">
        <v>53</v>
      </c>
      <c r="E2208" s="1" t="s">
        <v>54</v>
      </c>
      <c r="F2208" s="1" t="s">
        <v>67</v>
      </c>
      <c r="G2208" s="1" t="s">
        <v>68</v>
      </c>
      <c r="H2208" s="1" t="s">
        <v>69</v>
      </c>
      <c r="I2208" s="1" t="s">
        <v>83</v>
      </c>
      <c r="J2208" s="1" t="s">
        <v>131</v>
      </c>
      <c r="K2208" s="1" t="s">
        <v>104</v>
      </c>
      <c r="L2208" s="1" t="s">
        <v>49</v>
      </c>
      <c r="M2208" s="1" t="s">
        <v>62</v>
      </c>
      <c r="N2208" s="1" t="n">
        <v>11999</v>
      </c>
      <c r="O2208" s="1" t="n">
        <v>0</v>
      </c>
      <c r="P2208" s="1" t="n">
        <v>0</v>
      </c>
      <c r="Q2208" s="1" t="n">
        <v>11999</v>
      </c>
      <c r="R2208" s="1" t="n">
        <v>2159.82</v>
      </c>
      <c r="S2208" s="1" t="n">
        <v>9839.18</v>
      </c>
      <c r="T2208" s="1" t="n">
        <v>3741.33</v>
      </c>
      <c r="U2208" s="1" t="n">
        <v>6097.85</v>
      </c>
      <c r="V2208" s="1" t="n">
        <v>61.98</v>
      </c>
      <c r="W2208" s="1" t="s">
        <v>39</v>
      </c>
      <c r="X2208" s="1" t="n">
        <v>4.4</v>
      </c>
      <c r="Y2208" s="1" t="s">
        <v>40</v>
      </c>
      <c r="Z2208" s="1" t="n">
        <v>1</v>
      </c>
      <c r="AA2208" s="1" t="str">
        <f aca="false">TRIM(PROPER(F2208))</f>
        <v>Ahmedabad</v>
      </c>
      <c r="AB2208" s="1" t="str">
        <f aca="false">TRIM(PROPER(C2208))</f>
        <v>Extramarks</v>
      </c>
      <c r="AC2208" s="1" t="str">
        <f aca="false">IF(O2208=0,"No Discount",IF(O2208&lt;=15,"Low (1-15%)",IF(O2208&lt;=30,"Medium (16-30%)","High (&gt;30%)")))</f>
        <v>No Discount</v>
      </c>
      <c r="AD2208" s="1" t="str">
        <f aca="false">IF(V2208&lt;0,"Loss Making",IF(V2208&lt;20,"Low Margin","Healthy Margin"))</f>
        <v>Healthy Margin</v>
      </c>
      <c r="AE2208" s="1" t="str">
        <f aca="false">TEXT(DATE(VALUE(RIGHT(B2208,4)),VALUE(MID(B2208,4,2)),VALUE(LEFT(B2208,2))),"MMM-YYYY")</f>
        <v>Dec-2024</v>
      </c>
      <c r="AF2208" s="1" t="n">
        <f aca="false">VALUE(RIGHT(B2208,4))</f>
        <v>2024</v>
      </c>
      <c r="AG2208" s="1" t="str">
        <f aca="false">CHOOSE(ROUNDUP(VALUE(MID(B2208,4,2))/3,0),"Q1","Q2","Q3","Q4")</f>
        <v>Q4</v>
      </c>
    </row>
    <row r="2209" customFormat="false" ht="15" hidden="false" customHeight="true" outlineLevel="0" collapsed="false">
      <c r="A2209" s="1" t="s">
        <v>3076</v>
      </c>
      <c r="B2209" s="1" t="s">
        <v>622</v>
      </c>
      <c r="C2209" s="1" t="s">
        <v>74</v>
      </c>
      <c r="D2209" s="1" t="s">
        <v>29</v>
      </c>
      <c r="E2209" s="1" t="s">
        <v>182</v>
      </c>
      <c r="F2209" s="1" t="s">
        <v>130</v>
      </c>
      <c r="G2209" s="1" t="s">
        <v>47</v>
      </c>
      <c r="H2209" s="1" t="s">
        <v>69</v>
      </c>
      <c r="I2209" s="1" t="s">
        <v>58</v>
      </c>
      <c r="J2209" s="1" t="s">
        <v>70</v>
      </c>
      <c r="K2209" s="1" t="s">
        <v>104</v>
      </c>
      <c r="L2209" s="1" t="s">
        <v>37</v>
      </c>
      <c r="M2209" s="1" t="s">
        <v>38</v>
      </c>
      <c r="N2209" s="1" t="n">
        <v>34999</v>
      </c>
      <c r="O2209" s="1" t="n">
        <v>0</v>
      </c>
      <c r="P2209" s="1" t="n">
        <v>0</v>
      </c>
      <c r="Q2209" s="1" t="n">
        <v>34999</v>
      </c>
      <c r="R2209" s="1" t="n">
        <v>6299.82</v>
      </c>
      <c r="S2209" s="1" t="n">
        <v>28699.18</v>
      </c>
      <c r="T2209" s="1" t="n">
        <v>10605.52</v>
      </c>
      <c r="U2209" s="1" t="n">
        <v>18093.66</v>
      </c>
      <c r="V2209" s="1" t="n">
        <v>63.05</v>
      </c>
      <c r="W2209" s="1" t="s">
        <v>39</v>
      </c>
      <c r="Y2209" s="1" t="s">
        <v>39</v>
      </c>
      <c r="Z2209" s="1" t="n">
        <v>0</v>
      </c>
      <c r="AA2209" s="1" t="str">
        <f aca="false">TRIM(PROPER(F2209))</f>
        <v>Bengaluru</v>
      </c>
      <c r="AB2209" s="1" t="str">
        <f aca="false">TRIM(PROPER(C2209))</f>
        <v>Vedantu</v>
      </c>
      <c r="AC2209" s="1" t="str">
        <f aca="false">IF(O2209=0,"No Discount",IF(O2209&lt;=15,"Low (1-15%)",IF(O2209&lt;=30,"Medium (16-30%)","High (&gt;30%)")))</f>
        <v>No Discount</v>
      </c>
      <c r="AD2209" s="1" t="str">
        <f aca="false">IF(V2209&lt;0,"Loss Making",IF(V2209&lt;20,"Low Margin","Healthy Margin"))</f>
        <v>Healthy Margin</v>
      </c>
      <c r="AE2209" s="1" t="str">
        <f aca="false">TEXT(DATE(VALUE(RIGHT(B2209,4)),VALUE(MID(B2209,4,2)),VALUE(LEFT(B2209,2))),"MMM-YYYY")</f>
        <v>Apr-2023</v>
      </c>
      <c r="AF2209" s="1" t="n">
        <f aca="false">VALUE(RIGHT(B2209,4))</f>
        <v>2023</v>
      </c>
      <c r="AG2209" s="1" t="str">
        <f aca="false">CHOOSE(ROUNDUP(VALUE(MID(B2209,4,2))/3,0),"Q1","Q2","Q3","Q4")</f>
        <v>Q2</v>
      </c>
    </row>
    <row r="2210" customFormat="false" ht="15" hidden="false" customHeight="true" outlineLevel="0" collapsed="false">
      <c r="A2210" s="1" t="s">
        <v>3077</v>
      </c>
      <c r="B2210" s="1" t="s">
        <v>983</v>
      </c>
      <c r="C2210" s="1" t="s">
        <v>134</v>
      </c>
      <c r="D2210" s="1" t="s">
        <v>143</v>
      </c>
      <c r="E2210" s="1" t="s">
        <v>162</v>
      </c>
      <c r="F2210" s="1" t="s">
        <v>120</v>
      </c>
      <c r="G2210" s="1" t="s">
        <v>47</v>
      </c>
      <c r="H2210" s="1" t="s">
        <v>57</v>
      </c>
      <c r="I2210" s="1" t="s">
        <v>34</v>
      </c>
      <c r="J2210" s="1" t="s">
        <v>59</v>
      </c>
      <c r="K2210" s="1" t="s">
        <v>104</v>
      </c>
      <c r="L2210" s="1" t="s">
        <v>61</v>
      </c>
      <c r="M2210" s="1" t="s">
        <v>38</v>
      </c>
      <c r="N2210" s="1" t="n">
        <v>14999</v>
      </c>
      <c r="O2210" s="1" t="n">
        <v>15</v>
      </c>
      <c r="P2210" s="1" t="n">
        <v>2249.85</v>
      </c>
      <c r="Q2210" s="1" t="n">
        <v>12749.15</v>
      </c>
      <c r="R2210" s="1" t="n">
        <v>2294.85</v>
      </c>
      <c r="S2210" s="1" t="n">
        <v>10454.3</v>
      </c>
      <c r="T2210" s="1" t="n">
        <v>5120.69</v>
      </c>
      <c r="U2210" s="1" t="n">
        <v>5333.61</v>
      </c>
      <c r="V2210" s="1" t="n">
        <v>51.02</v>
      </c>
      <c r="W2210" s="1" t="s">
        <v>39</v>
      </c>
      <c r="X2210" s="1" t="n">
        <v>3.7</v>
      </c>
      <c r="Y2210" s="1" t="s">
        <v>40</v>
      </c>
      <c r="Z2210" s="1" t="n">
        <v>1</v>
      </c>
      <c r="AA2210" s="1" t="str">
        <f aca="false">TRIM(PROPER(F2210))</f>
        <v>Mysuru</v>
      </c>
      <c r="AB2210" s="1" t="str">
        <f aca="false">TRIM(PROPER(C2210))</f>
        <v>Doubtnut</v>
      </c>
      <c r="AC2210" s="1" t="str">
        <f aca="false">IF(O2210=0,"No Discount",IF(O2210&lt;=15,"Low (1-15%)",IF(O2210&lt;=30,"Medium (16-30%)","High (&gt;30%)")))</f>
        <v>Low (1-15%)</v>
      </c>
      <c r="AD2210" s="1" t="str">
        <f aca="false">IF(V2210&lt;0,"Loss Making",IF(V2210&lt;20,"Low Margin","Healthy Margin"))</f>
        <v>Healthy Margin</v>
      </c>
      <c r="AE2210" s="1" t="str">
        <f aca="false">TEXT(DATE(VALUE(RIGHT(B2210,4)),VALUE(MID(B2210,4,2)),VALUE(LEFT(B2210,2))),"MMM-YYYY")</f>
        <v>Jul-2023</v>
      </c>
      <c r="AF2210" s="1" t="n">
        <f aca="false">VALUE(RIGHT(B2210,4))</f>
        <v>2023</v>
      </c>
      <c r="AG2210" s="1" t="str">
        <f aca="false">CHOOSE(ROUNDUP(VALUE(MID(B2210,4,2))/3,0),"Q1","Q2","Q3","Q4")</f>
        <v>Q3</v>
      </c>
    </row>
    <row r="2211" customFormat="false" ht="15" hidden="false" customHeight="true" outlineLevel="0" collapsed="false">
      <c r="A2211" s="1" t="s">
        <v>3078</v>
      </c>
      <c r="B2211" s="1" t="s">
        <v>404</v>
      </c>
      <c r="C2211" s="1" t="s">
        <v>119</v>
      </c>
      <c r="D2211" s="1" t="s">
        <v>44</v>
      </c>
      <c r="E2211" s="1" t="s">
        <v>45</v>
      </c>
      <c r="F2211" s="1" t="s">
        <v>211</v>
      </c>
      <c r="G2211" s="1" t="s">
        <v>56</v>
      </c>
      <c r="H2211" s="1" t="s">
        <v>69</v>
      </c>
      <c r="I2211" s="1" t="s">
        <v>34</v>
      </c>
      <c r="J2211" s="1" t="s">
        <v>70</v>
      </c>
      <c r="K2211" s="1" t="s">
        <v>90</v>
      </c>
      <c r="L2211" s="1" t="s">
        <v>49</v>
      </c>
      <c r="M2211" s="1" t="s">
        <v>50</v>
      </c>
      <c r="N2211" s="1" t="n">
        <v>11999</v>
      </c>
      <c r="O2211" s="1" t="n">
        <v>30</v>
      </c>
      <c r="P2211" s="1" t="n">
        <v>3599.7</v>
      </c>
      <c r="Q2211" s="1" t="n">
        <v>8399.3</v>
      </c>
      <c r="R2211" s="1" t="n">
        <v>1511.87</v>
      </c>
      <c r="S2211" s="1" t="n">
        <v>6887.43</v>
      </c>
      <c r="T2211" s="1" t="n">
        <v>3118.66</v>
      </c>
      <c r="U2211" s="1" t="n">
        <v>3768.77</v>
      </c>
      <c r="V2211" s="1" t="n">
        <v>54.72</v>
      </c>
      <c r="W2211" s="1" t="s">
        <v>40</v>
      </c>
      <c r="Y2211" s="1" t="s">
        <v>39</v>
      </c>
      <c r="Z2211" s="1" t="n">
        <v>2</v>
      </c>
      <c r="AA2211" s="1" t="str">
        <f aca="false">TRIM(PROPER(F2211))</f>
        <v>Noida</v>
      </c>
      <c r="AB2211" s="1" t="str">
        <f aca="false">TRIM(PROPER(C2211))</f>
        <v>Simplilearn</v>
      </c>
      <c r="AC2211" s="1" t="str">
        <f aca="false">IF(O2211=0,"No Discount",IF(O2211&lt;=15,"Low (1-15%)",IF(O2211&lt;=30,"Medium (16-30%)","High (&gt;30%)")))</f>
        <v>Medium (16-30%)</v>
      </c>
      <c r="AD2211" s="1" t="str">
        <f aca="false">IF(V2211&lt;0,"Loss Making",IF(V2211&lt;20,"Low Margin","Healthy Margin"))</f>
        <v>Healthy Margin</v>
      </c>
      <c r="AE2211" s="1" t="str">
        <f aca="false">TEXT(DATE(VALUE(RIGHT(B2211,4)),VALUE(MID(B2211,4,2)),VALUE(LEFT(B2211,2))),"MMM-YYYY")</f>
        <v>Dec-2024</v>
      </c>
      <c r="AF2211" s="1" t="n">
        <f aca="false">VALUE(RIGHT(B2211,4))</f>
        <v>2024</v>
      </c>
      <c r="AG2211" s="1" t="str">
        <f aca="false">CHOOSE(ROUNDUP(VALUE(MID(B2211,4,2))/3,0),"Q1","Q2","Q3","Q4")</f>
        <v>Q4</v>
      </c>
    </row>
    <row r="2212" customFormat="false" ht="15" hidden="false" customHeight="true" outlineLevel="0" collapsed="false">
      <c r="A2212" s="1" t="s">
        <v>3079</v>
      </c>
      <c r="B2212" s="1" t="s">
        <v>2560</v>
      </c>
      <c r="C2212" s="1" t="s">
        <v>93</v>
      </c>
      <c r="D2212" s="1" t="s">
        <v>123</v>
      </c>
      <c r="E2212" s="1" t="s">
        <v>147</v>
      </c>
      <c r="F2212" s="1" t="s">
        <v>153</v>
      </c>
      <c r="G2212" s="1" t="s">
        <v>76</v>
      </c>
      <c r="H2212" s="1" t="s">
        <v>33</v>
      </c>
      <c r="I2212" s="1" t="s">
        <v>34</v>
      </c>
      <c r="J2212" s="1" t="s">
        <v>77</v>
      </c>
      <c r="K2212" s="1" t="s">
        <v>90</v>
      </c>
      <c r="L2212" s="1" t="s">
        <v>85</v>
      </c>
      <c r="M2212" s="1" t="s">
        <v>38</v>
      </c>
      <c r="N2212" s="1" t="n">
        <v>6999</v>
      </c>
      <c r="O2212" s="1" t="n">
        <v>30</v>
      </c>
      <c r="P2212" s="1" t="n">
        <v>2099.7</v>
      </c>
      <c r="Q2212" s="1" t="n">
        <v>4899.3</v>
      </c>
      <c r="R2212" s="1" t="n">
        <v>881.87</v>
      </c>
      <c r="S2212" s="1" t="n">
        <v>4017.43</v>
      </c>
      <c r="T2212" s="1" t="n">
        <v>1771.2</v>
      </c>
      <c r="U2212" s="1" t="n">
        <v>2246.23</v>
      </c>
      <c r="V2212" s="1" t="n">
        <v>55.91</v>
      </c>
      <c r="W2212" s="1" t="s">
        <v>40</v>
      </c>
      <c r="Y2212" s="1" t="s">
        <v>40</v>
      </c>
      <c r="Z2212" s="1" t="n">
        <v>0</v>
      </c>
      <c r="AA2212" s="1" t="str">
        <f aca="false">TRIM(PROPER(F2212))</f>
        <v>Howrah</v>
      </c>
      <c r="AB2212" s="1" t="str">
        <f aca="false">TRIM(PROPER(C2212))</f>
        <v>Upgrad</v>
      </c>
      <c r="AC2212" s="1" t="str">
        <f aca="false">IF(O2212=0,"No Discount",IF(O2212&lt;=15,"Low (1-15%)",IF(O2212&lt;=30,"Medium (16-30%)","High (&gt;30%)")))</f>
        <v>Medium (16-30%)</v>
      </c>
      <c r="AD2212" s="1" t="str">
        <f aca="false">IF(V2212&lt;0,"Loss Making",IF(V2212&lt;20,"Low Margin","Healthy Margin"))</f>
        <v>Healthy Margin</v>
      </c>
      <c r="AE2212" s="1" t="str">
        <f aca="false">TEXT(DATE(VALUE(RIGHT(B2212,4)),VALUE(MID(B2212,4,2)),VALUE(LEFT(B2212,2))),"MMM-YYYY")</f>
        <v>Nov-2023</v>
      </c>
      <c r="AF2212" s="1" t="n">
        <f aca="false">VALUE(RIGHT(B2212,4))</f>
        <v>2023</v>
      </c>
      <c r="AG2212" s="1" t="str">
        <f aca="false">CHOOSE(ROUNDUP(VALUE(MID(B2212,4,2))/3,0),"Q1","Q2","Q3","Q4")</f>
        <v>Q4</v>
      </c>
    </row>
    <row r="2213" customFormat="false" ht="15" hidden="false" customHeight="true" outlineLevel="0" collapsed="false">
      <c r="A2213" s="1" t="s">
        <v>3080</v>
      </c>
      <c r="B2213" s="1" t="s">
        <v>203</v>
      </c>
      <c r="C2213" s="1" t="s">
        <v>178</v>
      </c>
      <c r="D2213" s="1" t="s">
        <v>123</v>
      </c>
      <c r="E2213" s="1" t="s">
        <v>233</v>
      </c>
      <c r="F2213" s="1" t="s">
        <v>153</v>
      </c>
      <c r="G2213" s="1" t="s">
        <v>76</v>
      </c>
      <c r="H2213" s="1" t="s">
        <v>33</v>
      </c>
      <c r="I2213" s="1" t="s">
        <v>34</v>
      </c>
      <c r="J2213" s="1" t="s">
        <v>59</v>
      </c>
      <c r="K2213" s="1" t="s">
        <v>60</v>
      </c>
      <c r="L2213" s="1" t="s">
        <v>113</v>
      </c>
      <c r="M2213" s="1" t="s">
        <v>50</v>
      </c>
      <c r="N2213" s="1" t="n">
        <v>8999</v>
      </c>
      <c r="O2213" s="1" t="n">
        <v>30</v>
      </c>
      <c r="P2213" s="1" t="n">
        <v>2699.7</v>
      </c>
      <c r="Q2213" s="1" t="n">
        <v>6299.3</v>
      </c>
      <c r="R2213" s="1" t="n">
        <v>1133.87</v>
      </c>
      <c r="S2213" s="1" t="n">
        <v>5165.43</v>
      </c>
      <c r="T2213" s="1" t="n">
        <v>2433.97</v>
      </c>
      <c r="U2213" s="1" t="n">
        <v>2731.46</v>
      </c>
      <c r="V2213" s="1" t="n">
        <v>52.88</v>
      </c>
      <c r="W2213" s="1" t="s">
        <v>40</v>
      </c>
      <c r="Y2213" s="1" t="s">
        <v>39</v>
      </c>
      <c r="Z2213" s="1" t="n">
        <v>0</v>
      </c>
      <c r="AA2213" s="1" t="str">
        <f aca="false">TRIM(PROPER(F2213))</f>
        <v>Howrah</v>
      </c>
      <c r="AB2213" s="1" t="str">
        <f aca="false">TRIM(PROPER(C2213))</f>
        <v>Leverage Edu</v>
      </c>
      <c r="AC2213" s="1" t="str">
        <f aca="false">IF(O2213=0,"No Discount",IF(O2213&lt;=15,"Low (1-15%)",IF(O2213&lt;=30,"Medium (16-30%)","High (&gt;30%)")))</f>
        <v>Medium (16-30%)</v>
      </c>
      <c r="AD2213" s="1" t="str">
        <f aca="false">IF(V2213&lt;0,"Loss Making",IF(V2213&lt;20,"Low Margin","Healthy Margin"))</f>
        <v>Healthy Margin</v>
      </c>
      <c r="AE2213" s="1" t="str">
        <f aca="false">TEXT(DATE(VALUE(RIGHT(B2213,4)),VALUE(MID(B2213,4,2)),VALUE(LEFT(B2213,2))),"MMM-YYYY")</f>
        <v>Nov-2023</v>
      </c>
      <c r="AF2213" s="1" t="n">
        <f aca="false">VALUE(RIGHT(B2213,4))</f>
        <v>2023</v>
      </c>
      <c r="AG2213" s="1" t="str">
        <f aca="false">CHOOSE(ROUNDUP(VALUE(MID(B2213,4,2))/3,0),"Q1","Q2","Q3","Q4")</f>
        <v>Q4</v>
      </c>
    </row>
    <row r="2214" customFormat="false" ht="15" hidden="false" customHeight="true" outlineLevel="0" collapsed="false">
      <c r="A2214" s="1" t="s">
        <v>3081</v>
      </c>
      <c r="B2214" s="1" t="s">
        <v>1610</v>
      </c>
      <c r="C2214" s="1" t="s">
        <v>249</v>
      </c>
      <c r="D2214" s="1" t="s">
        <v>80</v>
      </c>
      <c r="E2214" s="1" t="s">
        <v>190</v>
      </c>
      <c r="F2214" s="1" t="s">
        <v>194</v>
      </c>
      <c r="G2214" s="1" t="s">
        <v>103</v>
      </c>
      <c r="H2214" s="1" t="s">
        <v>69</v>
      </c>
      <c r="I2214" s="1" t="s">
        <v>58</v>
      </c>
      <c r="J2214" s="1" t="s">
        <v>35</v>
      </c>
      <c r="K2214" s="1" t="s">
        <v>71</v>
      </c>
      <c r="L2214" s="1" t="s">
        <v>113</v>
      </c>
      <c r="M2214" s="1" t="s">
        <v>38</v>
      </c>
      <c r="N2214" s="1" t="n">
        <v>15999</v>
      </c>
      <c r="O2214" s="1" t="n">
        <v>20</v>
      </c>
      <c r="P2214" s="1" t="n">
        <v>3199.8</v>
      </c>
      <c r="Q2214" s="1" t="n">
        <v>12799.2</v>
      </c>
      <c r="R2214" s="1" t="n">
        <v>2303.86</v>
      </c>
      <c r="S2214" s="1" t="n">
        <v>10495.34</v>
      </c>
      <c r="T2214" s="1" t="n">
        <v>3550.39</v>
      </c>
      <c r="U2214" s="1" t="n">
        <v>6944.95</v>
      </c>
      <c r="V2214" s="1" t="n">
        <v>66.17</v>
      </c>
      <c r="W2214" s="1" t="s">
        <v>40</v>
      </c>
      <c r="Y2214" s="1" t="s">
        <v>40</v>
      </c>
      <c r="Z2214" s="1" t="n">
        <v>1</v>
      </c>
      <c r="AA2214" s="1" t="str">
        <f aca="false">TRIM(PROPER(F2214))</f>
        <v>Hyderabad</v>
      </c>
      <c r="AB2214" s="1" t="str">
        <f aca="false">TRIM(PROPER(C2214))</f>
        <v>Whitehat Jr</v>
      </c>
      <c r="AC2214" s="1" t="str">
        <f aca="false">IF(O2214=0,"No Discount",IF(O2214&lt;=15,"Low (1-15%)",IF(O2214&lt;=30,"Medium (16-30%)","High (&gt;30%)")))</f>
        <v>Medium (16-30%)</v>
      </c>
      <c r="AD2214" s="1" t="str">
        <f aca="false">IF(V2214&lt;0,"Loss Making",IF(V2214&lt;20,"Low Margin","Healthy Margin"))</f>
        <v>Healthy Margin</v>
      </c>
      <c r="AE2214" s="1" t="str">
        <f aca="false">TEXT(DATE(VALUE(RIGHT(B2214,4)),VALUE(MID(B2214,4,2)),VALUE(LEFT(B2214,2))),"MMM-YYYY")</f>
        <v>Mar-2023</v>
      </c>
      <c r="AF2214" s="1" t="n">
        <f aca="false">VALUE(RIGHT(B2214,4))</f>
        <v>2023</v>
      </c>
      <c r="AG2214" s="1" t="str">
        <f aca="false">CHOOSE(ROUNDUP(VALUE(MID(B2214,4,2))/3,0),"Q1","Q2","Q3","Q4")</f>
        <v>Q1</v>
      </c>
    </row>
    <row r="2215" customFormat="false" ht="15" hidden="false" customHeight="true" outlineLevel="0" collapsed="false">
      <c r="A2215" s="1" t="s">
        <v>3082</v>
      </c>
      <c r="B2215" s="1" t="s">
        <v>99</v>
      </c>
      <c r="C2215" s="1" t="s">
        <v>264</v>
      </c>
      <c r="D2215" s="1" t="s">
        <v>80</v>
      </c>
      <c r="E2215" s="1" t="s">
        <v>190</v>
      </c>
      <c r="F2215" s="1" t="s">
        <v>107</v>
      </c>
      <c r="G2215" s="1" t="s">
        <v>108</v>
      </c>
      <c r="H2215" s="1" t="s">
        <v>33</v>
      </c>
      <c r="I2215" s="1" t="s">
        <v>34</v>
      </c>
      <c r="J2215" s="1" t="s">
        <v>77</v>
      </c>
      <c r="K2215" s="1" t="s">
        <v>112</v>
      </c>
      <c r="L2215" s="1" t="s">
        <v>49</v>
      </c>
      <c r="M2215" s="1" t="s">
        <v>62</v>
      </c>
      <c r="N2215" s="1" t="n">
        <v>15999</v>
      </c>
      <c r="O2215" s="1" t="n">
        <v>30</v>
      </c>
      <c r="P2215" s="1" t="n">
        <v>4799.7</v>
      </c>
      <c r="Q2215" s="1" t="n">
        <v>11199.3</v>
      </c>
      <c r="R2215" s="1" t="n">
        <v>2015.87</v>
      </c>
      <c r="S2215" s="1" t="n">
        <v>9183.43</v>
      </c>
      <c r="T2215" s="1" t="n">
        <v>3424.13</v>
      </c>
      <c r="U2215" s="1" t="n">
        <v>5759.3</v>
      </c>
      <c r="V2215" s="1" t="n">
        <v>62.71</v>
      </c>
      <c r="W2215" s="1" t="s">
        <v>39</v>
      </c>
      <c r="Y2215" s="1" t="s">
        <v>40</v>
      </c>
      <c r="Z2215" s="1" t="n">
        <v>1</v>
      </c>
      <c r="AA2215" s="1" t="str">
        <f aca="false">TRIM(PROPER(F2215))</f>
        <v>Madurai</v>
      </c>
      <c r="AB2215" s="1" t="str">
        <f aca="false">TRIM(PROPER(C2215))</f>
        <v>Unacademy</v>
      </c>
      <c r="AC2215" s="1" t="str">
        <f aca="false">IF(O2215=0,"No Discount",IF(O2215&lt;=15,"Low (1-15%)",IF(O2215&lt;=30,"Medium (16-30%)","High (&gt;30%)")))</f>
        <v>Medium (16-30%)</v>
      </c>
      <c r="AD2215" s="1" t="str">
        <f aca="false">IF(V2215&lt;0,"Loss Making",IF(V2215&lt;20,"Low Margin","Healthy Margin"))</f>
        <v>Healthy Margin</v>
      </c>
      <c r="AE2215" s="1" t="str">
        <f aca="false">TEXT(DATE(VALUE(RIGHT(B2215,4)),VALUE(MID(B2215,4,2)),VALUE(LEFT(B2215,2))),"MMM-YYYY")</f>
        <v>Jan-2023</v>
      </c>
      <c r="AF2215" s="1" t="n">
        <f aca="false">VALUE(RIGHT(B2215,4))</f>
        <v>2023</v>
      </c>
      <c r="AG2215" s="1" t="str">
        <f aca="false">CHOOSE(ROUNDUP(VALUE(MID(B2215,4,2))/3,0),"Q1","Q2","Q3","Q4")</f>
        <v>Q1</v>
      </c>
    </row>
    <row r="2216" customFormat="false" ht="15" hidden="false" customHeight="true" outlineLevel="0" collapsed="false">
      <c r="A2216" s="1" t="s">
        <v>3083</v>
      </c>
      <c r="B2216" s="1" t="s">
        <v>1250</v>
      </c>
      <c r="C2216" s="1" t="s">
        <v>88</v>
      </c>
      <c r="D2216" s="1" t="s">
        <v>123</v>
      </c>
      <c r="E2216" s="1" t="s">
        <v>233</v>
      </c>
      <c r="F2216" s="1" t="s">
        <v>82</v>
      </c>
      <c r="G2216" s="1" t="s">
        <v>56</v>
      </c>
      <c r="H2216" s="1" t="s">
        <v>69</v>
      </c>
      <c r="I2216" s="1" t="s">
        <v>83</v>
      </c>
      <c r="J2216" s="1" t="s">
        <v>59</v>
      </c>
      <c r="K2216" s="1" t="s">
        <v>36</v>
      </c>
      <c r="L2216" s="1" t="s">
        <v>113</v>
      </c>
      <c r="M2216" s="1" t="s">
        <v>62</v>
      </c>
      <c r="N2216" s="1" t="n">
        <v>8999</v>
      </c>
      <c r="O2216" s="1" t="n">
        <v>15</v>
      </c>
      <c r="P2216" s="1" t="n">
        <v>1349.85</v>
      </c>
      <c r="Q2216" s="1" t="n">
        <v>7649.15</v>
      </c>
      <c r="R2216" s="1" t="n">
        <v>1376.85</v>
      </c>
      <c r="S2216" s="1" t="n">
        <v>6272.3</v>
      </c>
      <c r="T2216" s="1" t="n">
        <v>2491.17</v>
      </c>
      <c r="U2216" s="1" t="n">
        <v>3781.13</v>
      </c>
      <c r="V2216" s="1" t="n">
        <v>60.28</v>
      </c>
      <c r="W2216" s="1" t="s">
        <v>40</v>
      </c>
      <c r="Y2216" s="1" t="s">
        <v>40</v>
      </c>
      <c r="Z2216" s="1" t="n">
        <v>1</v>
      </c>
      <c r="AA2216" s="1" t="str">
        <f aca="false">TRIM(PROPER(F2216))</f>
        <v>Gurugram</v>
      </c>
      <c r="AB2216" s="1" t="str">
        <f aca="false">TRIM(PROPER(C2216))</f>
        <v>Byju'S</v>
      </c>
      <c r="AC2216" s="1" t="str">
        <f aca="false">IF(O2216=0,"No Discount",IF(O2216&lt;=15,"Low (1-15%)",IF(O2216&lt;=30,"Medium (16-30%)","High (&gt;30%)")))</f>
        <v>Low (1-15%)</v>
      </c>
      <c r="AD2216" s="1" t="str">
        <f aca="false">IF(V2216&lt;0,"Loss Making",IF(V2216&lt;20,"Low Margin","Healthy Margin"))</f>
        <v>Healthy Margin</v>
      </c>
      <c r="AE2216" s="1" t="str">
        <f aca="false">TEXT(DATE(VALUE(RIGHT(B2216,4)),VALUE(MID(B2216,4,2)),VALUE(LEFT(B2216,2))),"MMM-YYYY")</f>
        <v>Jul-2023</v>
      </c>
      <c r="AF2216" s="1" t="n">
        <f aca="false">VALUE(RIGHT(B2216,4))</f>
        <v>2023</v>
      </c>
      <c r="AG2216" s="1" t="str">
        <f aca="false">CHOOSE(ROUNDUP(VALUE(MID(B2216,4,2))/3,0),"Q1","Q2","Q3","Q4")</f>
        <v>Q3</v>
      </c>
    </row>
    <row r="2217" customFormat="false" ht="15" hidden="false" customHeight="true" outlineLevel="0" collapsed="false">
      <c r="A2217" s="1" t="s">
        <v>3084</v>
      </c>
      <c r="B2217" s="1" t="s">
        <v>1746</v>
      </c>
      <c r="C2217" s="1" t="s">
        <v>93</v>
      </c>
      <c r="D2217" s="1" t="s">
        <v>143</v>
      </c>
      <c r="E2217" s="1" t="s">
        <v>144</v>
      </c>
      <c r="F2217" s="1" t="s">
        <v>184</v>
      </c>
      <c r="G2217" s="1" t="s">
        <v>56</v>
      </c>
      <c r="H2217" s="1" t="s">
        <v>57</v>
      </c>
      <c r="I2217" s="1" t="s">
        <v>83</v>
      </c>
      <c r="J2217" s="1" t="s">
        <v>70</v>
      </c>
      <c r="K2217" s="1" t="s">
        <v>36</v>
      </c>
      <c r="L2217" s="1" t="s">
        <v>37</v>
      </c>
      <c r="M2217" s="1" t="s">
        <v>62</v>
      </c>
      <c r="N2217" s="1" t="n">
        <v>12999</v>
      </c>
      <c r="O2217" s="1" t="n">
        <v>10</v>
      </c>
      <c r="P2217" s="1" t="n">
        <v>1299.9</v>
      </c>
      <c r="Q2217" s="1" t="n">
        <v>11699.1</v>
      </c>
      <c r="R2217" s="1" t="n">
        <v>2105.84</v>
      </c>
      <c r="S2217" s="1" t="n">
        <v>9593.26</v>
      </c>
      <c r="T2217" s="1" t="n">
        <v>4406.66</v>
      </c>
      <c r="U2217" s="1" t="n">
        <v>5186.6</v>
      </c>
      <c r="V2217" s="1" t="n">
        <v>54.07</v>
      </c>
      <c r="W2217" s="1" t="s">
        <v>39</v>
      </c>
      <c r="X2217" s="1" t="n">
        <v>3.3</v>
      </c>
      <c r="Y2217" s="1" t="s">
        <v>40</v>
      </c>
      <c r="Z2217" s="1" t="n">
        <v>0</v>
      </c>
      <c r="AA2217" s="1" t="str">
        <f aca="false">TRIM(PROPER(F2217))</f>
        <v>Faridabad</v>
      </c>
      <c r="AB2217" s="1" t="str">
        <f aca="false">TRIM(PROPER(C2217))</f>
        <v>Upgrad</v>
      </c>
      <c r="AC2217" s="1" t="str">
        <f aca="false">IF(O2217=0,"No Discount",IF(O2217&lt;=15,"Low (1-15%)",IF(O2217&lt;=30,"Medium (16-30%)","High (&gt;30%)")))</f>
        <v>Low (1-15%)</v>
      </c>
      <c r="AD2217" s="1" t="str">
        <f aca="false">IF(V2217&lt;0,"Loss Making",IF(V2217&lt;20,"Low Margin","Healthy Margin"))</f>
        <v>Healthy Margin</v>
      </c>
      <c r="AE2217" s="1" t="str">
        <f aca="false">TEXT(DATE(VALUE(RIGHT(B2217,4)),VALUE(MID(B2217,4,2)),VALUE(LEFT(B2217,2))),"MMM-YYYY")</f>
        <v>Nov-2023</v>
      </c>
      <c r="AF2217" s="1" t="n">
        <f aca="false">VALUE(RIGHT(B2217,4))</f>
        <v>2023</v>
      </c>
      <c r="AG2217" s="1" t="str">
        <f aca="false">CHOOSE(ROUNDUP(VALUE(MID(B2217,4,2))/3,0),"Q1","Q2","Q3","Q4")</f>
        <v>Q4</v>
      </c>
    </row>
    <row r="2218" customFormat="false" ht="15" hidden="false" customHeight="true" outlineLevel="0" collapsed="false">
      <c r="A2218" s="1" t="s">
        <v>3085</v>
      </c>
      <c r="B2218" s="1" t="s">
        <v>1621</v>
      </c>
      <c r="C2218" s="1" t="s">
        <v>119</v>
      </c>
      <c r="D2218" s="1" t="s">
        <v>168</v>
      </c>
      <c r="E2218" s="1" t="s">
        <v>169</v>
      </c>
      <c r="F2218" s="1" t="s">
        <v>194</v>
      </c>
      <c r="G2218" s="1" t="s">
        <v>103</v>
      </c>
      <c r="H2218" s="1" t="s">
        <v>69</v>
      </c>
      <c r="I2218" s="1" t="s">
        <v>83</v>
      </c>
      <c r="J2218" s="1" t="s">
        <v>59</v>
      </c>
      <c r="K2218" s="1" t="s">
        <v>90</v>
      </c>
      <c r="L2218" s="1" t="s">
        <v>37</v>
      </c>
      <c r="M2218" s="1" t="s">
        <v>38</v>
      </c>
      <c r="N2218" s="1" t="n">
        <v>4999</v>
      </c>
      <c r="O2218" s="1" t="n">
        <v>20</v>
      </c>
      <c r="P2218" s="1" t="n">
        <v>999.8</v>
      </c>
      <c r="Q2218" s="1" t="n">
        <v>3999.2</v>
      </c>
      <c r="R2218" s="1" t="n">
        <v>719.86</v>
      </c>
      <c r="S2218" s="1" t="n">
        <v>3279.34</v>
      </c>
      <c r="T2218" s="1" t="n">
        <v>1413.88</v>
      </c>
      <c r="U2218" s="1" t="n">
        <v>1865.46</v>
      </c>
      <c r="V2218" s="1" t="n">
        <v>56.89</v>
      </c>
      <c r="W2218" s="1" t="s">
        <v>40</v>
      </c>
      <c r="Y2218" s="1" t="s">
        <v>40</v>
      </c>
      <c r="Z2218" s="1" t="n">
        <v>0</v>
      </c>
      <c r="AA2218" s="1" t="str">
        <f aca="false">TRIM(PROPER(F2218))</f>
        <v>Hyderabad</v>
      </c>
      <c r="AB2218" s="1" t="str">
        <f aca="false">TRIM(PROPER(C2218))</f>
        <v>Simplilearn</v>
      </c>
      <c r="AC2218" s="1" t="str">
        <f aca="false">IF(O2218=0,"No Discount",IF(O2218&lt;=15,"Low (1-15%)",IF(O2218&lt;=30,"Medium (16-30%)","High (&gt;30%)")))</f>
        <v>Medium (16-30%)</v>
      </c>
      <c r="AD2218" s="1" t="str">
        <f aca="false">IF(V2218&lt;0,"Loss Making",IF(V2218&lt;20,"Low Margin","Healthy Margin"))</f>
        <v>Healthy Margin</v>
      </c>
      <c r="AE2218" s="1" t="str">
        <f aca="false">TEXT(DATE(VALUE(RIGHT(B2218,4)),VALUE(MID(B2218,4,2)),VALUE(LEFT(B2218,2))),"MMM-YYYY")</f>
        <v>Mar-2024</v>
      </c>
      <c r="AF2218" s="1" t="n">
        <f aca="false">VALUE(RIGHT(B2218,4))</f>
        <v>2024</v>
      </c>
      <c r="AG2218" s="1" t="str">
        <f aca="false">CHOOSE(ROUNDUP(VALUE(MID(B2218,4,2))/3,0),"Q1","Q2","Q3","Q4")</f>
        <v>Q1</v>
      </c>
    </row>
    <row r="2219" customFormat="false" ht="15" hidden="false" customHeight="true" outlineLevel="0" collapsed="false">
      <c r="A2219" s="1" t="s">
        <v>3086</v>
      </c>
      <c r="B2219" s="1" t="s">
        <v>913</v>
      </c>
      <c r="C2219" s="1" t="s">
        <v>93</v>
      </c>
      <c r="D2219" s="1" t="s">
        <v>44</v>
      </c>
      <c r="E2219" s="1" t="s">
        <v>45</v>
      </c>
      <c r="F2219" s="1" t="s">
        <v>55</v>
      </c>
      <c r="G2219" s="1" t="s">
        <v>56</v>
      </c>
      <c r="H2219" s="1" t="s">
        <v>57</v>
      </c>
      <c r="I2219" s="1" t="s">
        <v>83</v>
      </c>
      <c r="J2219" s="1" t="s">
        <v>77</v>
      </c>
      <c r="K2219" s="1" t="s">
        <v>84</v>
      </c>
      <c r="L2219" s="1" t="s">
        <v>37</v>
      </c>
      <c r="M2219" s="1" t="s">
        <v>50</v>
      </c>
      <c r="N2219" s="1" t="n">
        <v>11999</v>
      </c>
      <c r="O2219" s="1" t="n">
        <v>10</v>
      </c>
      <c r="P2219" s="1" t="n">
        <v>1199.9</v>
      </c>
      <c r="Q2219" s="1" t="n">
        <v>10799.1</v>
      </c>
      <c r="R2219" s="1" t="n">
        <v>1943.84</v>
      </c>
      <c r="S2219" s="1" t="n">
        <v>8855.26</v>
      </c>
      <c r="T2219" s="1" t="n">
        <v>4678.46</v>
      </c>
      <c r="U2219" s="1" t="n">
        <v>4176.8</v>
      </c>
      <c r="V2219" s="1" t="n">
        <v>47.17</v>
      </c>
      <c r="W2219" s="1" t="s">
        <v>39</v>
      </c>
      <c r="X2219" s="1" t="n">
        <v>4</v>
      </c>
      <c r="Y2219" s="1" t="s">
        <v>40</v>
      </c>
      <c r="Z2219" s="1" t="n">
        <v>1</v>
      </c>
      <c r="AA2219" s="1" t="str">
        <f aca="false">TRIM(PROPER(F2219))</f>
        <v>Ghaziabad</v>
      </c>
      <c r="AB2219" s="1" t="str">
        <f aca="false">TRIM(PROPER(C2219))</f>
        <v>Upgrad</v>
      </c>
      <c r="AC2219" s="1" t="str">
        <f aca="false">IF(O2219=0,"No Discount",IF(O2219&lt;=15,"Low (1-15%)",IF(O2219&lt;=30,"Medium (16-30%)","High (&gt;30%)")))</f>
        <v>Low (1-15%)</v>
      </c>
      <c r="AD2219" s="1" t="str">
        <f aca="false">IF(V2219&lt;0,"Loss Making",IF(V2219&lt;20,"Low Margin","Healthy Margin"))</f>
        <v>Healthy Margin</v>
      </c>
      <c r="AE2219" s="1" t="str">
        <f aca="false">TEXT(DATE(VALUE(RIGHT(B2219,4)),VALUE(MID(B2219,4,2)),VALUE(LEFT(B2219,2))),"MMM-YYYY")</f>
        <v>Jan-2023</v>
      </c>
      <c r="AF2219" s="1" t="n">
        <f aca="false">VALUE(RIGHT(B2219,4))</f>
        <v>2023</v>
      </c>
      <c r="AG2219" s="1" t="str">
        <f aca="false">CHOOSE(ROUNDUP(VALUE(MID(B2219,4,2))/3,0),"Q1","Q2","Q3","Q4")</f>
        <v>Q1</v>
      </c>
    </row>
    <row r="2220" customFormat="false" ht="15" hidden="false" customHeight="true" outlineLevel="0" collapsed="false">
      <c r="A2220" s="1" t="s">
        <v>3087</v>
      </c>
      <c r="B2220" s="1" t="s">
        <v>489</v>
      </c>
      <c r="C2220" s="1" t="s">
        <v>43</v>
      </c>
      <c r="D2220" s="1" t="s">
        <v>168</v>
      </c>
      <c r="E2220" s="1" t="s">
        <v>328</v>
      </c>
      <c r="F2220" s="1" t="s">
        <v>55</v>
      </c>
      <c r="G2220" s="1" t="s">
        <v>56</v>
      </c>
      <c r="H2220" s="1" t="s">
        <v>57</v>
      </c>
      <c r="I2220" s="1" t="s">
        <v>58</v>
      </c>
      <c r="J2220" s="1" t="s">
        <v>77</v>
      </c>
      <c r="K2220" s="1" t="s">
        <v>71</v>
      </c>
      <c r="L2220" s="1" t="s">
        <v>85</v>
      </c>
      <c r="M2220" s="1" t="s">
        <v>38</v>
      </c>
      <c r="N2220" s="1" t="n">
        <v>8999</v>
      </c>
      <c r="O2220" s="1" t="n">
        <v>0</v>
      </c>
      <c r="P2220" s="1" t="n">
        <v>0</v>
      </c>
      <c r="Q2220" s="1" t="n">
        <v>8999</v>
      </c>
      <c r="R2220" s="1" t="n">
        <v>1619.82</v>
      </c>
      <c r="S2220" s="1" t="n">
        <v>7379.18</v>
      </c>
      <c r="T2220" s="1" t="n">
        <v>3126.02</v>
      </c>
      <c r="U2220" s="1" t="n">
        <v>4253.16</v>
      </c>
      <c r="V2220" s="1" t="n">
        <v>57.64</v>
      </c>
      <c r="W2220" s="1" t="s">
        <v>39</v>
      </c>
      <c r="X2220" s="1" t="n">
        <v>4</v>
      </c>
      <c r="Y2220" s="1" t="s">
        <v>40</v>
      </c>
      <c r="Z2220" s="1" t="n">
        <v>0</v>
      </c>
      <c r="AA2220" s="1" t="str">
        <f aca="false">TRIM(PROPER(F2220))</f>
        <v>Ghaziabad</v>
      </c>
      <c r="AB2220" s="1" t="str">
        <f aca="false">TRIM(PROPER(C2220))</f>
        <v>Meritnation</v>
      </c>
      <c r="AC2220" s="1" t="str">
        <f aca="false">IF(O2220=0,"No Discount",IF(O2220&lt;=15,"Low (1-15%)",IF(O2220&lt;=30,"Medium (16-30%)","High (&gt;30%)")))</f>
        <v>No Discount</v>
      </c>
      <c r="AD2220" s="1" t="str">
        <f aca="false">IF(V2220&lt;0,"Loss Making",IF(V2220&lt;20,"Low Margin","Healthy Margin"))</f>
        <v>Healthy Margin</v>
      </c>
      <c r="AE2220" s="1" t="str">
        <f aca="false">TEXT(DATE(VALUE(RIGHT(B2220,4)),VALUE(MID(B2220,4,2)),VALUE(LEFT(B2220,2))),"MMM-YYYY")</f>
        <v>Apr-2023</v>
      </c>
      <c r="AF2220" s="1" t="n">
        <f aca="false">VALUE(RIGHT(B2220,4))</f>
        <v>2023</v>
      </c>
      <c r="AG2220" s="1" t="str">
        <f aca="false">CHOOSE(ROUNDUP(VALUE(MID(B2220,4,2))/3,0),"Q1","Q2","Q3","Q4")</f>
        <v>Q2</v>
      </c>
    </row>
    <row r="2221" customFormat="false" ht="15" hidden="false" customHeight="true" outlineLevel="0" collapsed="false">
      <c r="A2221" s="1" t="s">
        <v>3088</v>
      </c>
      <c r="B2221" s="1" t="s">
        <v>2499</v>
      </c>
      <c r="C2221" s="1" t="s">
        <v>249</v>
      </c>
      <c r="D2221" s="1" t="s">
        <v>143</v>
      </c>
      <c r="E2221" s="1" t="s">
        <v>159</v>
      </c>
      <c r="F2221" s="1" t="s">
        <v>140</v>
      </c>
      <c r="G2221" s="1" t="s">
        <v>97</v>
      </c>
      <c r="H2221" s="1" t="s">
        <v>57</v>
      </c>
      <c r="I2221" s="1" t="s">
        <v>34</v>
      </c>
      <c r="J2221" s="1" t="s">
        <v>35</v>
      </c>
      <c r="K2221" s="1" t="s">
        <v>60</v>
      </c>
      <c r="L2221" s="1" t="s">
        <v>37</v>
      </c>
      <c r="M2221" s="1" t="s">
        <v>38</v>
      </c>
      <c r="N2221" s="1" t="n">
        <v>24999</v>
      </c>
      <c r="O2221" s="1" t="n">
        <v>40</v>
      </c>
      <c r="P2221" s="1" t="n">
        <v>9999.6</v>
      </c>
      <c r="Q2221" s="1" t="n">
        <v>14999.4</v>
      </c>
      <c r="R2221" s="1" t="n">
        <v>2699.89</v>
      </c>
      <c r="S2221" s="1" t="n">
        <v>12299.51</v>
      </c>
      <c r="T2221" s="1" t="n">
        <v>7596.19</v>
      </c>
      <c r="U2221" s="1" t="n">
        <v>4703.32</v>
      </c>
      <c r="V2221" s="1" t="n">
        <v>38.24</v>
      </c>
      <c r="W2221" s="1" t="s">
        <v>39</v>
      </c>
      <c r="X2221" s="1" t="n">
        <v>3.8</v>
      </c>
      <c r="Y2221" s="1" t="s">
        <v>40</v>
      </c>
      <c r="Z2221" s="1" t="n">
        <v>0</v>
      </c>
      <c r="AA2221" s="1" t="str">
        <f aca="false">TRIM(PROPER(F2221))</f>
        <v>Nashik</v>
      </c>
      <c r="AB2221" s="1" t="str">
        <f aca="false">TRIM(PROPER(C2221))</f>
        <v>Whitehat Jr</v>
      </c>
      <c r="AC2221" s="1" t="str">
        <f aca="false">IF(O2221=0,"No Discount",IF(O2221&lt;=15,"Low (1-15%)",IF(O2221&lt;=30,"Medium (16-30%)","High (&gt;30%)")))</f>
        <v>High (&gt;30%)</v>
      </c>
      <c r="AD2221" s="1" t="str">
        <f aca="false">IF(V2221&lt;0,"Loss Making",IF(V2221&lt;20,"Low Margin","Healthy Margin"))</f>
        <v>Healthy Margin</v>
      </c>
      <c r="AE2221" s="1" t="str">
        <f aca="false">TEXT(DATE(VALUE(RIGHT(B2221,4)),VALUE(MID(B2221,4,2)),VALUE(LEFT(B2221,2))),"MMM-YYYY")</f>
        <v>Jun-2023</v>
      </c>
      <c r="AF2221" s="1" t="n">
        <f aca="false">VALUE(RIGHT(B2221,4))</f>
        <v>2023</v>
      </c>
      <c r="AG2221" s="1" t="str">
        <f aca="false">CHOOSE(ROUNDUP(VALUE(MID(B2221,4,2))/3,0),"Q1","Q2","Q3","Q4")</f>
        <v>Q2</v>
      </c>
    </row>
    <row r="2222" customFormat="false" ht="15" hidden="false" customHeight="true" outlineLevel="0" collapsed="false">
      <c r="A2222" s="1" t="s">
        <v>3089</v>
      </c>
      <c r="B2222" s="1" t="s">
        <v>2360</v>
      </c>
      <c r="C2222" s="1" t="s">
        <v>93</v>
      </c>
      <c r="D2222" s="1" t="s">
        <v>143</v>
      </c>
      <c r="E2222" s="1" t="s">
        <v>162</v>
      </c>
      <c r="F2222" s="1" t="s">
        <v>82</v>
      </c>
      <c r="G2222" s="1" t="s">
        <v>56</v>
      </c>
      <c r="H2222" s="1" t="s">
        <v>69</v>
      </c>
      <c r="I2222" s="1" t="s">
        <v>83</v>
      </c>
      <c r="J2222" s="1" t="s">
        <v>70</v>
      </c>
      <c r="K2222" s="1" t="s">
        <v>36</v>
      </c>
      <c r="L2222" s="1" t="s">
        <v>61</v>
      </c>
      <c r="M2222" s="1" t="s">
        <v>50</v>
      </c>
      <c r="N2222" s="1" t="n">
        <v>14999</v>
      </c>
      <c r="O2222" s="1" t="n">
        <v>20</v>
      </c>
      <c r="P2222" s="1" t="n">
        <v>2999.8</v>
      </c>
      <c r="Q2222" s="1" t="n">
        <v>11999.2</v>
      </c>
      <c r="R2222" s="1" t="n">
        <v>2159.86</v>
      </c>
      <c r="S2222" s="1" t="n">
        <v>9839.34</v>
      </c>
      <c r="T2222" s="1" t="n">
        <v>3899.23</v>
      </c>
      <c r="U2222" s="1" t="n">
        <v>5940.11</v>
      </c>
      <c r="V2222" s="1" t="n">
        <v>60.37</v>
      </c>
      <c r="W2222" s="1" t="s">
        <v>39</v>
      </c>
      <c r="Y2222" s="1" t="s">
        <v>40</v>
      </c>
      <c r="Z2222" s="1" t="n">
        <v>0</v>
      </c>
      <c r="AA2222" s="1" t="str">
        <f aca="false">TRIM(PROPER(F2222))</f>
        <v>Gurugram</v>
      </c>
      <c r="AB2222" s="1" t="str">
        <f aca="false">TRIM(PROPER(C2222))</f>
        <v>Upgrad</v>
      </c>
      <c r="AC2222" s="1" t="str">
        <f aca="false">IF(O2222=0,"No Discount",IF(O2222&lt;=15,"Low (1-15%)",IF(O2222&lt;=30,"Medium (16-30%)","High (&gt;30%)")))</f>
        <v>Medium (16-30%)</v>
      </c>
      <c r="AD2222" s="1" t="str">
        <f aca="false">IF(V2222&lt;0,"Loss Making",IF(V2222&lt;20,"Low Margin","Healthy Margin"))</f>
        <v>Healthy Margin</v>
      </c>
      <c r="AE2222" s="1" t="str">
        <f aca="false">TEXT(DATE(VALUE(RIGHT(B2222,4)),VALUE(MID(B2222,4,2)),VALUE(LEFT(B2222,2))),"MMM-YYYY")</f>
        <v>Jan-2023</v>
      </c>
      <c r="AF2222" s="1" t="n">
        <f aca="false">VALUE(RIGHT(B2222,4))</f>
        <v>2023</v>
      </c>
      <c r="AG2222" s="1" t="str">
        <f aca="false">CHOOSE(ROUNDUP(VALUE(MID(B2222,4,2))/3,0),"Q1","Q2","Q3","Q4")</f>
        <v>Q1</v>
      </c>
    </row>
    <row r="2223" customFormat="false" ht="15" hidden="false" customHeight="true" outlineLevel="0" collapsed="false">
      <c r="A2223" s="1" t="s">
        <v>3090</v>
      </c>
      <c r="B2223" s="1" t="s">
        <v>415</v>
      </c>
      <c r="C2223" s="1" t="s">
        <v>28</v>
      </c>
      <c r="D2223" s="1" t="s">
        <v>123</v>
      </c>
      <c r="E2223" s="1" t="s">
        <v>147</v>
      </c>
      <c r="F2223" s="1" t="s">
        <v>211</v>
      </c>
      <c r="G2223" s="1" t="s">
        <v>56</v>
      </c>
      <c r="H2223" s="1" t="s">
        <v>69</v>
      </c>
      <c r="I2223" s="1" t="s">
        <v>34</v>
      </c>
      <c r="J2223" s="1" t="s">
        <v>70</v>
      </c>
      <c r="K2223" s="1" t="s">
        <v>84</v>
      </c>
      <c r="L2223" s="1" t="s">
        <v>136</v>
      </c>
      <c r="M2223" s="1" t="s">
        <v>38</v>
      </c>
      <c r="N2223" s="1" t="n">
        <v>6999</v>
      </c>
      <c r="O2223" s="1" t="n">
        <v>10</v>
      </c>
      <c r="P2223" s="1" t="n">
        <v>699.9</v>
      </c>
      <c r="Q2223" s="1" t="n">
        <v>6299.1</v>
      </c>
      <c r="R2223" s="1" t="n">
        <v>1133.84</v>
      </c>
      <c r="S2223" s="1" t="n">
        <v>5165.26</v>
      </c>
      <c r="T2223" s="1" t="n">
        <v>1832.97</v>
      </c>
      <c r="U2223" s="1" t="n">
        <v>3332.29</v>
      </c>
      <c r="V2223" s="1" t="n">
        <v>64.51</v>
      </c>
      <c r="W2223" s="1" t="s">
        <v>39</v>
      </c>
      <c r="X2223" s="1" t="n">
        <v>3</v>
      </c>
      <c r="Y2223" s="1" t="s">
        <v>40</v>
      </c>
      <c r="Z2223" s="1" t="n">
        <v>1</v>
      </c>
      <c r="AA2223" s="1" t="str">
        <f aca="false">TRIM(PROPER(F2223))</f>
        <v>Noida</v>
      </c>
      <c r="AB2223" s="1" t="str">
        <f aca="false">TRIM(PROPER(C2223))</f>
        <v>Embibe</v>
      </c>
      <c r="AC2223" s="1" t="str">
        <f aca="false">IF(O2223=0,"No Discount",IF(O2223&lt;=15,"Low (1-15%)",IF(O2223&lt;=30,"Medium (16-30%)","High (&gt;30%)")))</f>
        <v>Low (1-15%)</v>
      </c>
      <c r="AD2223" s="1" t="str">
        <f aca="false">IF(V2223&lt;0,"Loss Making",IF(V2223&lt;20,"Low Margin","Healthy Margin"))</f>
        <v>Healthy Margin</v>
      </c>
      <c r="AE2223" s="1" t="str">
        <f aca="false">TEXT(DATE(VALUE(RIGHT(B2223,4)),VALUE(MID(B2223,4,2)),VALUE(LEFT(B2223,2))),"MMM-YYYY")</f>
        <v>Aug-2023</v>
      </c>
      <c r="AF2223" s="1" t="n">
        <f aca="false">VALUE(RIGHT(B2223,4))</f>
        <v>2023</v>
      </c>
      <c r="AG2223" s="1" t="str">
        <f aca="false">CHOOSE(ROUNDUP(VALUE(MID(B2223,4,2))/3,0),"Q1","Q2","Q3","Q4")</f>
        <v>Q3</v>
      </c>
    </row>
    <row r="2224" customFormat="false" ht="15" hidden="false" customHeight="true" outlineLevel="0" collapsed="false">
      <c r="A2224" s="1" t="s">
        <v>3091</v>
      </c>
      <c r="B2224" s="1" t="s">
        <v>1802</v>
      </c>
      <c r="C2224" s="1" t="s">
        <v>249</v>
      </c>
      <c r="D2224" s="1" t="s">
        <v>123</v>
      </c>
      <c r="E2224" s="1" t="s">
        <v>147</v>
      </c>
      <c r="F2224" s="1" t="s">
        <v>205</v>
      </c>
      <c r="G2224" s="1" t="s">
        <v>56</v>
      </c>
      <c r="H2224" s="1" t="s">
        <v>69</v>
      </c>
      <c r="I2224" s="1" t="s">
        <v>34</v>
      </c>
      <c r="J2224" s="1" t="s">
        <v>70</v>
      </c>
      <c r="K2224" s="1" t="s">
        <v>71</v>
      </c>
      <c r="L2224" s="1" t="s">
        <v>136</v>
      </c>
      <c r="M2224" s="1" t="s">
        <v>50</v>
      </c>
      <c r="N2224" s="1" t="n">
        <v>6999</v>
      </c>
      <c r="O2224" s="1" t="n">
        <v>40</v>
      </c>
      <c r="P2224" s="1" t="n">
        <v>2799.6</v>
      </c>
      <c r="Q2224" s="1" t="n">
        <v>4199.4</v>
      </c>
      <c r="R2224" s="1" t="n">
        <v>755.89</v>
      </c>
      <c r="S2224" s="1" t="n">
        <v>3443.51</v>
      </c>
      <c r="T2224" s="1" t="n">
        <v>1888.8</v>
      </c>
      <c r="U2224" s="1" t="n">
        <v>1554.71</v>
      </c>
      <c r="V2224" s="1" t="n">
        <v>45.15</v>
      </c>
      <c r="W2224" s="1" t="s">
        <v>40</v>
      </c>
      <c r="Y2224" s="1" t="s">
        <v>40</v>
      </c>
      <c r="Z2224" s="1" t="n">
        <v>0</v>
      </c>
      <c r="AA2224" s="1" t="str">
        <f aca="false">TRIM(PROPER(F2224))</f>
        <v>New Delhi</v>
      </c>
      <c r="AB2224" s="1" t="str">
        <f aca="false">TRIM(PROPER(C2224))</f>
        <v>Whitehat Jr</v>
      </c>
      <c r="AC2224" s="1" t="str">
        <f aca="false">IF(O2224=0,"No Discount",IF(O2224&lt;=15,"Low (1-15%)",IF(O2224&lt;=30,"Medium (16-30%)","High (&gt;30%)")))</f>
        <v>High (&gt;30%)</v>
      </c>
      <c r="AD2224" s="1" t="str">
        <f aca="false">IF(V2224&lt;0,"Loss Making",IF(V2224&lt;20,"Low Margin","Healthy Margin"))</f>
        <v>Healthy Margin</v>
      </c>
      <c r="AE2224" s="1" t="str">
        <f aca="false">TEXT(DATE(VALUE(RIGHT(B2224,4)),VALUE(MID(B2224,4,2)),VALUE(LEFT(B2224,2))),"MMM-YYYY")</f>
        <v>Mar-2023</v>
      </c>
      <c r="AF2224" s="1" t="n">
        <f aca="false">VALUE(RIGHT(B2224,4))</f>
        <v>2023</v>
      </c>
      <c r="AG2224" s="1" t="str">
        <f aca="false">CHOOSE(ROUNDUP(VALUE(MID(B2224,4,2))/3,0),"Q1","Q2","Q3","Q4")</f>
        <v>Q1</v>
      </c>
    </row>
    <row r="2225" customFormat="false" ht="15" hidden="false" customHeight="true" outlineLevel="0" collapsed="false">
      <c r="A2225" s="1" t="s">
        <v>3092</v>
      </c>
      <c r="B2225" s="1" t="s">
        <v>428</v>
      </c>
      <c r="C2225" s="1" t="s">
        <v>134</v>
      </c>
      <c r="D2225" s="1" t="s">
        <v>123</v>
      </c>
      <c r="E2225" s="1" t="s">
        <v>147</v>
      </c>
      <c r="F2225" s="1" t="s">
        <v>383</v>
      </c>
      <c r="G2225" s="1" t="s">
        <v>56</v>
      </c>
      <c r="H2225" s="1" t="s">
        <v>57</v>
      </c>
      <c r="I2225" s="1" t="s">
        <v>83</v>
      </c>
      <c r="J2225" s="1" t="s">
        <v>70</v>
      </c>
      <c r="K2225" s="1" t="s">
        <v>60</v>
      </c>
      <c r="L2225" s="1" t="s">
        <v>61</v>
      </c>
      <c r="M2225" s="1" t="s">
        <v>62</v>
      </c>
      <c r="N2225" s="1" t="n">
        <v>6999</v>
      </c>
      <c r="O2225" s="1" t="n">
        <v>0</v>
      </c>
      <c r="P2225" s="1" t="n">
        <v>0</v>
      </c>
      <c r="Q2225" s="1" t="n">
        <v>6999</v>
      </c>
      <c r="R2225" s="1" t="n">
        <v>1259.82</v>
      </c>
      <c r="S2225" s="1" t="n">
        <v>5739.18</v>
      </c>
      <c r="T2225" s="1" t="n">
        <v>2574.43</v>
      </c>
      <c r="U2225" s="1" t="n">
        <v>3164.75</v>
      </c>
      <c r="V2225" s="1" t="n">
        <v>55.14</v>
      </c>
      <c r="W2225" s="1" t="s">
        <v>40</v>
      </c>
      <c r="Y2225" s="1" t="s">
        <v>40</v>
      </c>
      <c r="Z2225" s="1" t="n">
        <v>0</v>
      </c>
      <c r="AA2225" s="1" t="str">
        <f aca="false">TRIM(PROPER(F2225))</f>
        <v>Ghaziabad</v>
      </c>
      <c r="AB2225" s="1" t="str">
        <f aca="false">TRIM(PROPER(C2225))</f>
        <v>Doubtnut</v>
      </c>
      <c r="AC2225" s="1" t="str">
        <f aca="false">IF(O2225=0,"No Discount",IF(O2225&lt;=15,"Low (1-15%)",IF(O2225&lt;=30,"Medium (16-30%)","High (&gt;30%)")))</f>
        <v>No Discount</v>
      </c>
      <c r="AD2225" s="1" t="str">
        <f aca="false">IF(V2225&lt;0,"Loss Making",IF(V2225&lt;20,"Low Margin","Healthy Margin"))</f>
        <v>Healthy Margin</v>
      </c>
      <c r="AE2225" s="1" t="str">
        <f aca="false">TEXT(DATE(VALUE(RIGHT(B2225,4)),VALUE(MID(B2225,4,2)),VALUE(LEFT(B2225,2))),"MMM-YYYY")</f>
        <v>Aug-2023</v>
      </c>
      <c r="AF2225" s="1" t="n">
        <f aca="false">VALUE(RIGHT(B2225,4))</f>
        <v>2023</v>
      </c>
      <c r="AG2225" s="1" t="str">
        <f aca="false">CHOOSE(ROUNDUP(VALUE(MID(B2225,4,2))/3,0),"Q1","Q2","Q3","Q4")</f>
        <v>Q3</v>
      </c>
    </row>
    <row r="2226" customFormat="false" ht="15" hidden="false" customHeight="true" outlineLevel="0" collapsed="false">
      <c r="A2226" s="1" t="s">
        <v>3093</v>
      </c>
      <c r="B2226" s="1" t="s">
        <v>1659</v>
      </c>
      <c r="C2226" s="1" t="s">
        <v>28</v>
      </c>
      <c r="D2226" s="1" t="s">
        <v>94</v>
      </c>
      <c r="E2226" s="1" t="s">
        <v>95</v>
      </c>
      <c r="F2226" s="1" t="s">
        <v>31</v>
      </c>
      <c r="G2226" s="1" t="s">
        <v>32</v>
      </c>
      <c r="H2226" s="1" t="s">
        <v>33</v>
      </c>
      <c r="I2226" s="1" t="s">
        <v>34</v>
      </c>
      <c r="J2226" s="1" t="s">
        <v>70</v>
      </c>
      <c r="K2226" s="1" t="s">
        <v>48</v>
      </c>
      <c r="L2226" s="1" t="s">
        <v>113</v>
      </c>
      <c r="M2226" s="1" t="s">
        <v>38</v>
      </c>
      <c r="N2226" s="1" t="n">
        <v>6999</v>
      </c>
      <c r="O2226" s="1" t="n">
        <v>40</v>
      </c>
      <c r="P2226" s="1" t="n">
        <v>2799.6</v>
      </c>
      <c r="Q2226" s="1" t="n">
        <v>4199.4</v>
      </c>
      <c r="R2226" s="1" t="n">
        <v>755.89</v>
      </c>
      <c r="S2226" s="1" t="n">
        <v>3443.51</v>
      </c>
      <c r="T2226" s="1" t="n">
        <v>1856.28</v>
      </c>
      <c r="U2226" s="1" t="n">
        <v>1587.23</v>
      </c>
      <c r="V2226" s="1" t="n">
        <v>46.09</v>
      </c>
      <c r="W2226" s="1" t="s">
        <v>39</v>
      </c>
      <c r="X2226" s="1" t="n">
        <v>3.8</v>
      </c>
      <c r="Y2226" s="1" t="s">
        <v>40</v>
      </c>
      <c r="Z2226" s="1" t="n">
        <v>0</v>
      </c>
      <c r="AA2226" s="1" t="str">
        <f aca="false">TRIM(PROPER(F2226))</f>
        <v>Jodhpur</v>
      </c>
      <c r="AB2226" s="1" t="str">
        <f aca="false">TRIM(PROPER(C2226))</f>
        <v>Embibe</v>
      </c>
      <c r="AC2226" s="1" t="str">
        <f aca="false">IF(O2226=0,"No Discount",IF(O2226&lt;=15,"Low (1-15%)",IF(O2226&lt;=30,"Medium (16-30%)","High (&gt;30%)")))</f>
        <v>High (&gt;30%)</v>
      </c>
      <c r="AD2226" s="1" t="str">
        <f aca="false">IF(V2226&lt;0,"Loss Making",IF(V2226&lt;20,"Low Margin","Healthy Margin"))</f>
        <v>Healthy Margin</v>
      </c>
      <c r="AE2226" s="1" t="str">
        <f aca="false">TEXT(DATE(VALUE(RIGHT(B2226,4)),VALUE(MID(B2226,4,2)),VALUE(LEFT(B2226,2))),"MMM-YYYY")</f>
        <v>Sep-2023</v>
      </c>
      <c r="AF2226" s="1" t="n">
        <f aca="false">VALUE(RIGHT(B2226,4))</f>
        <v>2023</v>
      </c>
      <c r="AG2226" s="1" t="str">
        <f aca="false">CHOOSE(ROUNDUP(VALUE(MID(B2226,4,2))/3,0),"Q1","Q2","Q3","Q4")</f>
        <v>Q3</v>
      </c>
    </row>
    <row r="2227" customFormat="false" ht="15" hidden="false" customHeight="true" outlineLevel="0" collapsed="false">
      <c r="A2227" s="1" t="s">
        <v>3094</v>
      </c>
      <c r="B2227" s="1" t="s">
        <v>939</v>
      </c>
      <c r="C2227" s="1" t="s">
        <v>139</v>
      </c>
      <c r="D2227" s="1" t="s">
        <v>53</v>
      </c>
      <c r="E2227" s="1" t="s">
        <v>116</v>
      </c>
      <c r="F2227" s="1" t="s">
        <v>205</v>
      </c>
      <c r="G2227" s="1" t="s">
        <v>56</v>
      </c>
      <c r="H2227" s="1" t="s">
        <v>69</v>
      </c>
      <c r="I2227" s="1" t="s">
        <v>34</v>
      </c>
      <c r="J2227" s="1" t="s">
        <v>131</v>
      </c>
      <c r="K2227" s="1" t="s">
        <v>84</v>
      </c>
      <c r="L2227" s="1" t="s">
        <v>49</v>
      </c>
      <c r="M2227" s="1" t="s">
        <v>62</v>
      </c>
      <c r="N2227" s="1" t="n">
        <v>9999</v>
      </c>
      <c r="O2227" s="1" t="n">
        <v>40</v>
      </c>
      <c r="P2227" s="1" t="n">
        <v>3999.6</v>
      </c>
      <c r="Q2227" s="1" t="n">
        <v>5999.4</v>
      </c>
      <c r="R2227" s="1" t="n">
        <v>1079.89</v>
      </c>
      <c r="S2227" s="1" t="n">
        <v>4919.51</v>
      </c>
      <c r="T2227" s="1" t="n">
        <v>2095.28</v>
      </c>
      <c r="U2227" s="1" t="n">
        <v>2824.23</v>
      </c>
      <c r="V2227" s="1" t="n">
        <v>57.41</v>
      </c>
      <c r="W2227" s="1" t="s">
        <v>40</v>
      </c>
      <c r="Y2227" s="1" t="s">
        <v>39</v>
      </c>
      <c r="Z2227" s="1" t="n">
        <v>1</v>
      </c>
      <c r="AA2227" s="1" t="str">
        <f aca="false">TRIM(PROPER(F2227))</f>
        <v>New Delhi</v>
      </c>
      <c r="AB2227" s="1" t="str">
        <f aca="false">TRIM(PROPER(C2227))</f>
        <v>Extramarks</v>
      </c>
      <c r="AC2227" s="1" t="str">
        <f aca="false">IF(O2227=0,"No Discount",IF(O2227&lt;=15,"Low (1-15%)",IF(O2227&lt;=30,"Medium (16-30%)","High (&gt;30%)")))</f>
        <v>High (&gt;30%)</v>
      </c>
      <c r="AD2227" s="1" t="str">
        <f aca="false">IF(V2227&lt;0,"Loss Making",IF(V2227&lt;20,"Low Margin","Healthy Margin"))</f>
        <v>Healthy Margin</v>
      </c>
      <c r="AE2227" s="1" t="str">
        <f aca="false">TEXT(DATE(VALUE(RIGHT(B2227,4)),VALUE(MID(B2227,4,2)),VALUE(LEFT(B2227,2))),"MMM-YYYY")</f>
        <v>Jun-2024</v>
      </c>
      <c r="AF2227" s="1" t="n">
        <f aca="false">VALUE(RIGHT(B2227,4))</f>
        <v>2024</v>
      </c>
      <c r="AG2227" s="1" t="str">
        <f aca="false">CHOOSE(ROUNDUP(VALUE(MID(B2227,4,2))/3,0),"Q1","Q2","Q3","Q4")</f>
        <v>Q2</v>
      </c>
    </row>
    <row r="2228" customFormat="false" ht="15" hidden="false" customHeight="true" outlineLevel="0" collapsed="false">
      <c r="A2228" s="1" t="s">
        <v>3095</v>
      </c>
      <c r="B2228" s="1" t="s">
        <v>1944</v>
      </c>
      <c r="C2228" s="1" t="s">
        <v>264</v>
      </c>
      <c r="D2228" s="1" t="s">
        <v>29</v>
      </c>
      <c r="E2228" s="1" t="s">
        <v>305</v>
      </c>
      <c r="F2228" s="1" t="s">
        <v>153</v>
      </c>
      <c r="G2228" s="1" t="s">
        <v>76</v>
      </c>
      <c r="H2228" s="1" t="s">
        <v>33</v>
      </c>
      <c r="I2228" s="1" t="s">
        <v>58</v>
      </c>
      <c r="J2228" s="1" t="s">
        <v>35</v>
      </c>
      <c r="K2228" s="1" t="s">
        <v>48</v>
      </c>
      <c r="L2228" s="1" t="s">
        <v>49</v>
      </c>
      <c r="M2228" s="1" t="s">
        <v>62</v>
      </c>
      <c r="N2228" s="1" t="n">
        <v>24999</v>
      </c>
      <c r="O2228" s="1" t="n">
        <v>0</v>
      </c>
      <c r="P2228" s="1" t="n">
        <v>0</v>
      </c>
      <c r="Q2228" s="1" t="n">
        <v>24999</v>
      </c>
      <c r="R2228" s="1" t="n">
        <v>4499.82</v>
      </c>
      <c r="S2228" s="1" t="n">
        <v>20499.18</v>
      </c>
      <c r="T2228" s="1" t="n">
        <v>8578.1</v>
      </c>
      <c r="U2228" s="1" t="n">
        <v>11921.08</v>
      </c>
      <c r="V2228" s="1" t="n">
        <v>58.15</v>
      </c>
      <c r="W2228" s="1" t="s">
        <v>39</v>
      </c>
      <c r="X2228" s="1" t="n">
        <v>4</v>
      </c>
      <c r="Y2228" s="1" t="s">
        <v>40</v>
      </c>
      <c r="Z2228" s="1" t="n">
        <v>1</v>
      </c>
      <c r="AA2228" s="1" t="str">
        <f aca="false">TRIM(PROPER(F2228))</f>
        <v>Howrah</v>
      </c>
      <c r="AB2228" s="1" t="str">
        <f aca="false">TRIM(PROPER(C2228))</f>
        <v>Unacademy</v>
      </c>
      <c r="AC2228" s="1" t="str">
        <f aca="false">IF(O2228=0,"No Discount",IF(O2228&lt;=15,"Low (1-15%)",IF(O2228&lt;=30,"Medium (16-30%)","High (&gt;30%)")))</f>
        <v>No Discount</v>
      </c>
      <c r="AD2228" s="1" t="str">
        <f aca="false">IF(V2228&lt;0,"Loss Making",IF(V2228&lt;20,"Low Margin","Healthy Margin"))</f>
        <v>Healthy Margin</v>
      </c>
      <c r="AE2228" s="1" t="str">
        <f aca="false">TEXT(DATE(VALUE(RIGHT(B2228,4)),VALUE(MID(B2228,4,2)),VALUE(LEFT(B2228,2))),"MMM-YYYY")</f>
        <v>Jul-2024</v>
      </c>
      <c r="AF2228" s="1" t="n">
        <f aca="false">VALUE(RIGHT(B2228,4))</f>
        <v>2024</v>
      </c>
      <c r="AG2228" s="1" t="str">
        <f aca="false">CHOOSE(ROUNDUP(VALUE(MID(B2228,4,2))/3,0),"Q1","Q2","Q3","Q4")</f>
        <v>Q3</v>
      </c>
    </row>
    <row r="2229" customFormat="false" ht="15" hidden="false" customHeight="true" outlineLevel="0" collapsed="false">
      <c r="A2229" s="1" t="s">
        <v>3096</v>
      </c>
      <c r="B2229" s="1" t="s">
        <v>3097</v>
      </c>
      <c r="C2229" s="1" t="s">
        <v>167</v>
      </c>
      <c r="D2229" s="1" t="s">
        <v>123</v>
      </c>
      <c r="E2229" s="1" t="s">
        <v>233</v>
      </c>
      <c r="F2229" s="1" t="s">
        <v>140</v>
      </c>
      <c r="G2229" s="1" t="s">
        <v>97</v>
      </c>
      <c r="H2229" s="1" t="s">
        <v>57</v>
      </c>
      <c r="I2229" s="1" t="s">
        <v>83</v>
      </c>
      <c r="J2229" s="1" t="s">
        <v>70</v>
      </c>
      <c r="K2229" s="1" t="s">
        <v>60</v>
      </c>
      <c r="L2229" s="1" t="s">
        <v>85</v>
      </c>
      <c r="M2229" s="1" t="s">
        <v>50</v>
      </c>
      <c r="N2229" s="1" t="n">
        <v>8999</v>
      </c>
      <c r="O2229" s="1" t="n">
        <v>30</v>
      </c>
      <c r="P2229" s="1" t="n">
        <v>2699.7</v>
      </c>
      <c r="Q2229" s="1" t="n">
        <v>6299.3</v>
      </c>
      <c r="R2229" s="1" t="n">
        <v>1133.87</v>
      </c>
      <c r="S2229" s="1" t="n">
        <v>5165.43</v>
      </c>
      <c r="T2229" s="1" t="n">
        <v>2503.98</v>
      </c>
      <c r="U2229" s="1" t="n">
        <v>2661.45</v>
      </c>
      <c r="V2229" s="1" t="n">
        <v>51.52</v>
      </c>
      <c r="W2229" s="1" t="s">
        <v>40</v>
      </c>
      <c r="Y2229" s="1" t="s">
        <v>40</v>
      </c>
      <c r="Z2229" s="1" t="n">
        <v>1</v>
      </c>
      <c r="AA2229" s="1" t="str">
        <f aca="false">TRIM(PROPER(F2229))</f>
        <v>Nashik</v>
      </c>
      <c r="AB2229" s="1" t="str">
        <f aca="false">TRIM(PROPER(C2229))</f>
        <v>Scaler</v>
      </c>
      <c r="AC2229" s="1" t="str">
        <f aca="false">IF(O2229=0,"No Discount",IF(O2229&lt;=15,"Low (1-15%)",IF(O2229&lt;=30,"Medium (16-30%)","High (&gt;30%)")))</f>
        <v>Medium (16-30%)</v>
      </c>
      <c r="AD2229" s="1" t="str">
        <f aca="false">IF(V2229&lt;0,"Loss Making",IF(V2229&lt;20,"Low Margin","Healthy Margin"))</f>
        <v>Healthy Margin</v>
      </c>
      <c r="AE2229" s="1" t="str">
        <f aca="false">TEXT(DATE(VALUE(RIGHT(B2229,4)),VALUE(MID(B2229,4,2)),VALUE(LEFT(B2229,2))),"MMM-YYYY")</f>
        <v>May-2024</v>
      </c>
      <c r="AF2229" s="1" t="n">
        <f aca="false">VALUE(RIGHT(B2229,4))</f>
        <v>2024</v>
      </c>
      <c r="AG2229" s="1" t="str">
        <f aca="false">CHOOSE(ROUNDUP(VALUE(MID(B2229,4,2))/3,0),"Q1","Q2","Q3","Q4")</f>
        <v>Q2</v>
      </c>
    </row>
    <row r="2230" customFormat="false" ht="15" hidden="false" customHeight="true" outlineLevel="0" collapsed="false">
      <c r="A2230" s="1" t="s">
        <v>3098</v>
      </c>
      <c r="B2230" s="1" t="s">
        <v>2644</v>
      </c>
      <c r="C2230" s="1" t="s">
        <v>28</v>
      </c>
      <c r="D2230" s="1" t="s">
        <v>143</v>
      </c>
      <c r="E2230" s="1" t="s">
        <v>144</v>
      </c>
      <c r="F2230" s="1" t="s">
        <v>205</v>
      </c>
      <c r="G2230" s="1" t="s">
        <v>56</v>
      </c>
      <c r="H2230" s="1" t="s">
        <v>69</v>
      </c>
      <c r="I2230" s="1" t="s">
        <v>58</v>
      </c>
      <c r="J2230" s="1" t="s">
        <v>77</v>
      </c>
      <c r="K2230" s="1" t="s">
        <v>71</v>
      </c>
      <c r="L2230" s="1" t="s">
        <v>37</v>
      </c>
      <c r="M2230" s="1" t="s">
        <v>38</v>
      </c>
      <c r="N2230" s="1" t="n">
        <v>12999</v>
      </c>
      <c r="O2230" s="1" t="n">
        <v>0</v>
      </c>
      <c r="P2230" s="1" t="n">
        <v>0</v>
      </c>
      <c r="Q2230" s="1" t="n">
        <v>12999</v>
      </c>
      <c r="R2230" s="1" t="n">
        <v>2339.82</v>
      </c>
      <c r="S2230" s="1" t="n">
        <v>10659.18</v>
      </c>
      <c r="T2230" s="1" t="n">
        <v>3536.37</v>
      </c>
      <c r="U2230" s="1" t="n">
        <v>7122.81</v>
      </c>
      <c r="V2230" s="1" t="n">
        <v>66.82</v>
      </c>
      <c r="W2230" s="1" t="s">
        <v>39</v>
      </c>
      <c r="X2230" s="1" t="n">
        <v>4</v>
      </c>
      <c r="Y2230" s="1" t="s">
        <v>40</v>
      </c>
      <c r="Z2230" s="1" t="n">
        <v>0</v>
      </c>
      <c r="AA2230" s="1" t="str">
        <f aca="false">TRIM(PROPER(F2230))</f>
        <v>New Delhi</v>
      </c>
      <c r="AB2230" s="1" t="str">
        <f aca="false">TRIM(PROPER(C2230))</f>
        <v>Embibe</v>
      </c>
      <c r="AC2230" s="1" t="str">
        <f aca="false">IF(O2230=0,"No Discount",IF(O2230&lt;=15,"Low (1-15%)",IF(O2230&lt;=30,"Medium (16-30%)","High (&gt;30%)")))</f>
        <v>No Discount</v>
      </c>
      <c r="AD2230" s="1" t="str">
        <f aca="false">IF(V2230&lt;0,"Loss Making",IF(V2230&lt;20,"Low Margin","Healthy Margin"))</f>
        <v>Healthy Margin</v>
      </c>
      <c r="AE2230" s="1" t="str">
        <f aca="false">TEXT(DATE(VALUE(RIGHT(B2230,4)),VALUE(MID(B2230,4,2)),VALUE(LEFT(B2230,2))),"MMM-YYYY")</f>
        <v>Dec-2023</v>
      </c>
      <c r="AF2230" s="1" t="n">
        <f aca="false">VALUE(RIGHT(B2230,4))</f>
        <v>2023</v>
      </c>
      <c r="AG2230" s="1" t="str">
        <f aca="false">CHOOSE(ROUNDUP(VALUE(MID(B2230,4,2))/3,0),"Q1","Q2","Q3","Q4")</f>
        <v>Q4</v>
      </c>
    </row>
    <row r="2231" customFormat="false" ht="15" hidden="false" customHeight="true" outlineLevel="0" collapsed="false">
      <c r="A2231" s="1" t="s">
        <v>3099</v>
      </c>
      <c r="B2231" s="1" t="s">
        <v>1264</v>
      </c>
      <c r="C2231" s="1" t="s">
        <v>178</v>
      </c>
      <c r="D2231" s="1" t="s">
        <v>94</v>
      </c>
      <c r="E2231" s="1" t="s">
        <v>135</v>
      </c>
      <c r="F2231" s="1" t="s">
        <v>130</v>
      </c>
      <c r="G2231" s="1" t="s">
        <v>47</v>
      </c>
      <c r="H2231" s="1" t="s">
        <v>69</v>
      </c>
      <c r="I2231" s="1" t="s">
        <v>83</v>
      </c>
      <c r="J2231" s="1" t="s">
        <v>77</v>
      </c>
      <c r="K2231" s="1" t="s">
        <v>84</v>
      </c>
      <c r="L2231" s="1" t="s">
        <v>113</v>
      </c>
      <c r="M2231" s="1" t="s">
        <v>50</v>
      </c>
      <c r="N2231" s="1" t="n">
        <v>9999</v>
      </c>
      <c r="O2231" s="1" t="n">
        <v>0</v>
      </c>
      <c r="P2231" s="1" t="n">
        <v>0</v>
      </c>
      <c r="Q2231" s="1" t="n">
        <v>9999</v>
      </c>
      <c r="R2231" s="1" t="n">
        <v>1799.82</v>
      </c>
      <c r="S2231" s="1" t="n">
        <v>8199.18</v>
      </c>
      <c r="T2231" s="1" t="n">
        <v>3249.36</v>
      </c>
      <c r="U2231" s="1" t="n">
        <v>4949.82</v>
      </c>
      <c r="V2231" s="1" t="n">
        <v>60.37</v>
      </c>
      <c r="W2231" s="1" t="s">
        <v>40</v>
      </c>
      <c r="Y2231" s="1" t="s">
        <v>40</v>
      </c>
      <c r="Z2231" s="1" t="n">
        <v>0</v>
      </c>
      <c r="AA2231" s="1" t="str">
        <f aca="false">TRIM(PROPER(F2231))</f>
        <v>Bengaluru</v>
      </c>
      <c r="AB2231" s="1" t="str">
        <f aca="false">TRIM(PROPER(C2231))</f>
        <v>Leverage Edu</v>
      </c>
      <c r="AC2231" s="1" t="str">
        <f aca="false">IF(O2231=0,"No Discount",IF(O2231&lt;=15,"Low (1-15%)",IF(O2231&lt;=30,"Medium (16-30%)","High (&gt;30%)")))</f>
        <v>No Discount</v>
      </c>
      <c r="AD2231" s="1" t="str">
        <f aca="false">IF(V2231&lt;0,"Loss Making",IF(V2231&lt;20,"Low Margin","Healthy Margin"))</f>
        <v>Healthy Margin</v>
      </c>
      <c r="AE2231" s="1" t="str">
        <f aca="false">TEXT(DATE(VALUE(RIGHT(B2231,4)),VALUE(MID(B2231,4,2)),VALUE(LEFT(B2231,2))),"MMM-YYYY")</f>
        <v>Feb-2023</v>
      </c>
      <c r="AF2231" s="1" t="n">
        <f aca="false">VALUE(RIGHT(B2231,4))</f>
        <v>2023</v>
      </c>
      <c r="AG2231" s="1" t="str">
        <f aca="false">CHOOSE(ROUNDUP(VALUE(MID(B2231,4,2))/3,0),"Q1","Q2","Q3","Q4")</f>
        <v>Q1</v>
      </c>
    </row>
    <row r="2232" customFormat="false" ht="15" hidden="false" customHeight="true" outlineLevel="0" collapsed="false">
      <c r="A2232" s="1" t="s">
        <v>3100</v>
      </c>
      <c r="B2232" s="1" t="s">
        <v>309</v>
      </c>
      <c r="C2232" s="1" t="s">
        <v>100</v>
      </c>
      <c r="D2232" s="1" t="s">
        <v>44</v>
      </c>
      <c r="E2232" s="1" t="s">
        <v>221</v>
      </c>
      <c r="F2232" s="1" t="s">
        <v>211</v>
      </c>
      <c r="G2232" s="1" t="s">
        <v>56</v>
      </c>
      <c r="H2232" s="1" t="s">
        <v>69</v>
      </c>
      <c r="I2232" s="1" t="s">
        <v>83</v>
      </c>
      <c r="J2232" s="1" t="s">
        <v>131</v>
      </c>
      <c r="K2232" s="1" t="s">
        <v>90</v>
      </c>
      <c r="L2232" s="1" t="s">
        <v>113</v>
      </c>
      <c r="M2232" s="1" t="s">
        <v>38</v>
      </c>
      <c r="N2232" s="1" t="n">
        <v>16999</v>
      </c>
      <c r="O2232" s="1" t="n">
        <v>20</v>
      </c>
      <c r="P2232" s="1" t="n">
        <v>3399.8</v>
      </c>
      <c r="Q2232" s="1" t="n">
        <v>13599.2</v>
      </c>
      <c r="R2232" s="1" t="n">
        <v>2447.86</v>
      </c>
      <c r="S2232" s="1" t="n">
        <v>11151.34</v>
      </c>
      <c r="T2232" s="1" t="n">
        <v>3868.12</v>
      </c>
      <c r="U2232" s="1" t="n">
        <v>7283.22</v>
      </c>
      <c r="V2232" s="1" t="n">
        <v>65.31</v>
      </c>
      <c r="W2232" s="1" t="s">
        <v>39</v>
      </c>
      <c r="X2232" s="1" t="n">
        <v>2.9</v>
      </c>
      <c r="Y2232" s="1" t="s">
        <v>40</v>
      </c>
      <c r="Z2232" s="1" t="n">
        <v>3</v>
      </c>
      <c r="AA2232" s="1" t="str">
        <f aca="false">TRIM(PROPER(F2232))</f>
        <v>Noida</v>
      </c>
      <c r="AB2232" s="1" t="str">
        <f aca="false">TRIM(PROPER(C2232))</f>
        <v>Physics Wallah</v>
      </c>
      <c r="AC2232" s="1" t="str">
        <f aca="false">IF(O2232=0,"No Discount",IF(O2232&lt;=15,"Low (1-15%)",IF(O2232&lt;=30,"Medium (16-30%)","High (&gt;30%)")))</f>
        <v>Medium (16-30%)</v>
      </c>
      <c r="AD2232" s="1" t="str">
        <f aca="false">IF(V2232&lt;0,"Loss Making",IF(V2232&lt;20,"Low Margin","Healthy Margin"))</f>
        <v>Healthy Margin</v>
      </c>
      <c r="AE2232" s="1" t="str">
        <f aca="false">TEXT(DATE(VALUE(RIGHT(B2232,4)),VALUE(MID(B2232,4,2)),VALUE(LEFT(B2232,2))),"MMM-YYYY")</f>
        <v>Oct-2024</v>
      </c>
      <c r="AF2232" s="1" t="n">
        <f aca="false">VALUE(RIGHT(B2232,4))</f>
        <v>2024</v>
      </c>
      <c r="AG2232" s="1" t="str">
        <f aca="false">CHOOSE(ROUNDUP(VALUE(MID(B2232,4,2))/3,0),"Q1","Q2","Q3","Q4")</f>
        <v>Q4</v>
      </c>
    </row>
    <row r="2233" customFormat="false" ht="15" hidden="false" customHeight="true" outlineLevel="0" collapsed="false">
      <c r="A2233" s="1" t="s">
        <v>3101</v>
      </c>
      <c r="B2233" s="1" t="s">
        <v>1441</v>
      </c>
      <c r="C2233" s="1" t="s">
        <v>119</v>
      </c>
      <c r="D2233" s="1" t="s">
        <v>168</v>
      </c>
      <c r="E2233" s="1" t="s">
        <v>328</v>
      </c>
      <c r="F2233" s="1" t="s">
        <v>269</v>
      </c>
      <c r="G2233" s="1" t="s">
        <v>108</v>
      </c>
      <c r="H2233" s="1" t="s">
        <v>57</v>
      </c>
      <c r="I2233" s="1" t="s">
        <v>34</v>
      </c>
      <c r="J2233" s="1" t="s">
        <v>70</v>
      </c>
      <c r="K2233" s="1" t="s">
        <v>36</v>
      </c>
      <c r="L2233" s="1" t="s">
        <v>85</v>
      </c>
      <c r="M2233" s="1" t="s">
        <v>50</v>
      </c>
      <c r="N2233" s="1" t="n">
        <v>8999</v>
      </c>
      <c r="O2233" s="1" t="n">
        <v>10</v>
      </c>
      <c r="P2233" s="1" t="n">
        <v>899.9</v>
      </c>
      <c r="Q2233" s="1" t="n">
        <v>8099.1</v>
      </c>
      <c r="R2233" s="1" t="n">
        <v>1457.84</v>
      </c>
      <c r="S2233" s="1" t="n">
        <v>6641.26</v>
      </c>
      <c r="T2233" s="1" t="n">
        <v>3129.23</v>
      </c>
      <c r="U2233" s="1" t="n">
        <v>3512.03</v>
      </c>
      <c r="V2233" s="1" t="n">
        <v>52.88</v>
      </c>
      <c r="W2233" s="1" t="s">
        <v>40</v>
      </c>
      <c r="Y2233" s="1" t="s">
        <v>40</v>
      </c>
      <c r="Z2233" s="1" t="n">
        <v>2</v>
      </c>
      <c r="AA2233" s="1" t="str">
        <f aca="false">TRIM(PROPER(F2233))</f>
        <v>Coimbatore</v>
      </c>
      <c r="AB2233" s="1" t="str">
        <f aca="false">TRIM(PROPER(C2233))</f>
        <v>Simplilearn</v>
      </c>
      <c r="AC2233" s="1" t="str">
        <f aca="false">IF(O2233=0,"No Discount",IF(O2233&lt;=15,"Low (1-15%)",IF(O2233&lt;=30,"Medium (16-30%)","High (&gt;30%)")))</f>
        <v>Low (1-15%)</v>
      </c>
      <c r="AD2233" s="1" t="str">
        <f aca="false">IF(V2233&lt;0,"Loss Making",IF(V2233&lt;20,"Low Margin","Healthy Margin"))</f>
        <v>Healthy Margin</v>
      </c>
      <c r="AE2233" s="1" t="str">
        <f aca="false">TEXT(DATE(VALUE(RIGHT(B2233,4)),VALUE(MID(B2233,4,2)),VALUE(LEFT(B2233,2))),"MMM-YYYY")</f>
        <v>Oct-2024</v>
      </c>
      <c r="AF2233" s="1" t="n">
        <f aca="false">VALUE(RIGHT(B2233,4))</f>
        <v>2024</v>
      </c>
      <c r="AG2233" s="1" t="str">
        <f aca="false">CHOOSE(ROUNDUP(VALUE(MID(B2233,4,2))/3,0),"Q1","Q2","Q3","Q4")</f>
        <v>Q4</v>
      </c>
    </row>
    <row r="2234" customFormat="false" ht="15" hidden="false" customHeight="true" outlineLevel="0" collapsed="false">
      <c r="A2234" s="1" t="s">
        <v>3102</v>
      </c>
      <c r="B2234" s="1" t="s">
        <v>441</v>
      </c>
      <c r="C2234" s="1" t="s">
        <v>134</v>
      </c>
      <c r="D2234" s="1" t="s">
        <v>168</v>
      </c>
      <c r="E2234" s="1" t="s">
        <v>172</v>
      </c>
      <c r="F2234" s="1" t="s">
        <v>194</v>
      </c>
      <c r="G2234" s="1" t="s">
        <v>103</v>
      </c>
      <c r="H2234" s="1" t="s">
        <v>69</v>
      </c>
      <c r="I2234" s="1" t="s">
        <v>83</v>
      </c>
      <c r="J2234" s="1" t="s">
        <v>77</v>
      </c>
      <c r="K2234" s="1" t="s">
        <v>84</v>
      </c>
      <c r="L2234" s="1" t="s">
        <v>85</v>
      </c>
      <c r="M2234" s="1" t="s">
        <v>62</v>
      </c>
      <c r="N2234" s="1" t="n">
        <v>6999</v>
      </c>
      <c r="O2234" s="1" t="n">
        <v>0</v>
      </c>
      <c r="P2234" s="1" t="n">
        <v>0</v>
      </c>
      <c r="Q2234" s="1" t="n">
        <v>6999</v>
      </c>
      <c r="R2234" s="1" t="n">
        <v>1259.82</v>
      </c>
      <c r="S2234" s="1" t="n">
        <v>5739.18</v>
      </c>
      <c r="T2234" s="1" t="n">
        <v>2573.89</v>
      </c>
      <c r="U2234" s="1" t="n">
        <v>3165.29</v>
      </c>
      <c r="V2234" s="1" t="n">
        <v>55.15</v>
      </c>
      <c r="W2234" s="1" t="s">
        <v>39</v>
      </c>
      <c r="X2234" s="1" t="n">
        <v>3.5</v>
      </c>
      <c r="Y2234" s="1" t="s">
        <v>40</v>
      </c>
      <c r="Z2234" s="1" t="n">
        <v>1</v>
      </c>
      <c r="AA2234" s="1" t="str">
        <f aca="false">TRIM(PROPER(F2234))</f>
        <v>Hyderabad</v>
      </c>
      <c r="AB2234" s="1" t="str">
        <f aca="false">TRIM(PROPER(C2234))</f>
        <v>Doubtnut</v>
      </c>
      <c r="AC2234" s="1" t="str">
        <f aca="false">IF(O2234=0,"No Discount",IF(O2234&lt;=15,"Low (1-15%)",IF(O2234&lt;=30,"Medium (16-30%)","High (&gt;30%)")))</f>
        <v>No Discount</v>
      </c>
      <c r="AD2234" s="1" t="str">
        <f aca="false">IF(V2234&lt;0,"Loss Making",IF(V2234&lt;20,"Low Margin","Healthy Margin"))</f>
        <v>Healthy Margin</v>
      </c>
      <c r="AE2234" s="1" t="str">
        <f aca="false">TEXT(DATE(VALUE(RIGHT(B2234,4)),VALUE(MID(B2234,4,2)),VALUE(LEFT(B2234,2))),"MMM-YYYY")</f>
        <v>Aug-2024</v>
      </c>
      <c r="AF2234" s="1" t="n">
        <f aca="false">VALUE(RIGHT(B2234,4))</f>
        <v>2024</v>
      </c>
      <c r="AG2234" s="1" t="str">
        <f aca="false">CHOOSE(ROUNDUP(VALUE(MID(B2234,4,2))/3,0),"Q1","Q2","Q3","Q4")</f>
        <v>Q3</v>
      </c>
    </row>
    <row r="2235" customFormat="false" ht="15" hidden="false" customHeight="true" outlineLevel="0" collapsed="false">
      <c r="A2235" s="1" t="s">
        <v>3103</v>
      </c>
      <c r="B2235" s="1" t="s">
        <v>448</v>
      </c>
      <c r="C2235" s="1" t="s">
        <v>93</v>
      </c>
      <c r="D2235" s="1" t="s">
        <v>53</v>
      </c>
      <c r="E2235" s="1" t="s">
        <v>116</v>
      </c>
      <c r="F2235" s="1" t="s">
        <v>153</v>
      </c>
      <c r="G2235" s="1" t="s">
        <v>76</v>
      </c>
      <c r="H2235" s="1" t="s">
        <v>33</v>
      </c>
      <c r="I2235" s="1" t="s">
        <v>83</v>
      </c>
      <c r="J2235" s="1" t="s">
        <v>77</v>
      </c>
      <c r="K2235" s="1" t="s">
        <v>48</v>
      </c>
      <c r="L2235" s="1" t="s">
        <v>85</v>
      </c>
      <c r="M2235" s="1" t="s">
        <v>50</v>
      </c>
      <c r="N2235" s="1" t="n">
        <v>9999</v>
      </c>
      <c r="O2235" s="1" t="n">
        <v>25</v>
      </c>
      <c r="P2235" s="1" t="n">
        <v>2499.75</v>
      </c>
      <c r="Q2235" s="1" t="n">
        <v>7499.25</v>
      </c>
      <c r="R2235" s="1" t="n">
        <v>1349.87</v>
      </c>
      <c r="S2235" s="1" t="n">
        <v>6149.38</v>
      </c>
      <c r="T2235" s="1" t="n">
        <v>3285.64</v>
      </c>
      <c r="U2235" s="1" t="n">
        <v>2863.74</v>
      </c>
      <c r="V2235" s="1" t="n">
        <v>46.57</v>
      </c>
      <c r="W2235" s="1" t="s">
        <v>40</v>
      </c>
      <c r="Y2235" s="1" t="s">
        <v>40</v>
      </c>
      <c r="Z2235" s="1" t="n">
        <v>0</v>
      </c>
      <c r="AA2235" s="1" t="str">
        <f aca="false">TRIM(PROPER(F2235))</f>
        <v>Howrah</v>
      </c>
      <c r="AB2235" s="1" t="str">
        <f aca="false">TRIM(PROPER(C2235))</f>
        <v>Upgrad</v>
      </c>
      <c r="AC2235" s="1" t="str">
        <f aca="false">IF(O2235=0,"No Discount",IF(O2235&lt;=15,"Low (1-15%)",IF(O2235&lt;=30,"Medium (16-30%)","High (&gt;30%)")))</f>
        <v>Medium (16-30%)</v>
      </c>
      <c r="AD2235" s="1" t="str">
        <f aca="false">IF(V2235&lt;0,"Loss Making",IF(V2235&lt;20,"Low Margin","Healthy Margin"))</f>
        <v>Healthy Margin</v>
      </c>
      <c r="AE2235" s="1" t="str">
        <f aca="false">TEXT(DATE(VALUE(RIGHT(B2235,4)),VALUE(MID(B2235,4,2)),VALUE(LEFT(B2235,2))),"MMM-YYYY")</f>
        <v>Oct-2024</v>
      </c>
      <c r="AF2235" s="1" t="n">
        <f aca="false">VALUE(RIGHT(B2235,4))</f>
        <v>2024</v>
      </c>
      <c r="AG2235" s="1" t="str">
        <f aca="false">CHOOSE(ROUNDUP(VALUE(MID(B2235,4,2))/3,0),"Q1","Q2","Q3","Q4")</f>
        <v>Q4</v>
      </c>
    </row>
    <row r="2236" customFormat="false" ht="15" hidden="false" customHeight="true" outlineLevel="0" collapsed="false">
      <c r="A2236" s="1" t="s">
        <v>3104</v>
      </c>
      <c r="B2236" s="1" t="s">
        <v>366</v>
      </c>
      <c r="C2236" s="1" t="s">
        <v>134</v>
      </c>
      <c r="D2236" s="1" t="s">
        <v>123</v>
      </c>
      <c r="E2236" s="1" t="s">
        <v>124</v>
      </c>
      <c r="F2236" s="1" t="s">
        <v>125</v>
      </c>
      <c r="G2236" s="1" t="s">
        <v>108</v>
      </c>
      <c r="H2236" s="1" t="s">
        <v>69</v>
      </c>
      <c r="I2236" s="1" t="s">
        <v>83</v>
      </c>
      <c r="J2236" s="1" t="s">
        <v>59</v>
      </c>
      <c r="K2236" s="1" t="s">
        <v>90</v>
      </c>
      <c r="L2236" s="1" t="s">
        <v>61</v>
      </c>
      <c r="M2236" s="1" t="s">
        <v>50</v>
      </c>
      <c r="N2236" s="1" t="n">
        <v>4999</v>
      </c>
      <c r="O2236" s="1" t="n">
        <v>25</v>
      </c>
      <c r="P2236" s="1" t="n">
        <v>1249.75</v>
      </c>
      <c r="Q2236" s="1" t="n">
        <v>3749.25</v>
      </c>
      <c r="R2236" s="1" t="n">
        <v>674.87</v>
      </c>
      <c r="S2236" s="1" t="n">
        <v>3074.38</v>
      </c>
      <c r="T2236" s="1" t="n">
        <v>1279.43</v>
      </c>
      <c r="U2236" s="1" t="n">
        <v>1794.95</v>
      </c>
      <c r="V2236" s="1" t="n">
        <v>58.38</v>
      </c>
      <c r="W2236" s="1" t="s">
        <v>40</v>
      </c>
      <c r="Y2236" s="1" t="s">
        <v>40</v>
      </c>
      <c r="Z2236" s="1" t="n">
        <v>0</v>
      </c>
      <c r="AA2236" s="1" t="str">
        <f aca="false">TRIM(PROPER(F2236))</f>
        <v>Chennai</v>
      </c>
      <c r="AB2236" s="1" t="str">
        <f aca="false">TRIM(PROPER(C2236))</f>
        <v>Doubtnut</v>
      </c>
      <c r="AC2236" s="1" t="str">
        <f aca="false">IF(O2236=0,"No Discount",IF(O2236&lt;=15,"Low (1-15%)",IF(O2236&lt;=30,"Medium (16-30%)","High (&gt;30%)")))</f>
        <v>Medium (16-30%)</v>
      </c>
      <c r="AD2236" s="1" t="str">
        <f aca="false">IF(V2236&lt;0,"Loss Making",IF(V2236&lt;20,"Low Margin","Healthy Margin"))</f>
        <v>Healthy Margin</v>
      </c>
      <c r="AE2236" s="1" t="str">
        <f aca="false">TEXT(DATE(VALUE(RIGHT(B2236,4)),VALUE(MID(B2236,4,2)),VALUE(LEFT(B2236,2))),"MMM-YYYY")</f>
        <v>Apr-2023</v>
      </c>
      <c r="AF2236" s="1" t="n">
        <f aca="false">VALUE(RIGHT(B2236,4))</f>
        <v>2023</v>
      </c>
      <c r="AG2236" s="1" t="str">
        <f aca="false">CHOOSE(ROUNDUP(VALUE(MID(B2236,4,2))/3,0),"Q1","Q2","Q3","Q4")</f>
        <v>Q2</v>
      </c>
    </row>
    <row r="2237" customFormat="false" ht="15" hidden="false" customHeight="true" outlineLevel="0" collapsed="false">
      <c r="A2237" s="1" t="s">
        <v>3105</v>
      </c>
      <c r="B2237" s="1" t="s">
        <v>3106</v>
      </c>
      <c r="C2237" s="1" t="s">
        <v>264</v>
      </c>
      <c r="D2237" s="1" t="s">
        <v>53</v>
      </c>
      <c r="E2237" s="1" t="s">
        <v>216</v>
      </c>
      <c r="F2237" s="1" t="s">
        <v>140</v>
      </c>
      <c r="G2237" s="1" t="s">
        <v>97</v>
      </c>
      <c r="H2237" s="1" t="s">
        <v>57</v>
      </c>
      <c r="I2237" s="1" t="s">
        <v>83</v>
      </c>
      <c r="J2237" s="1" t="s">
        <v>70</v>
      </c>
      <c r="K2237" s="1" t="s">
        <v>112</v>
      </c>
      <c r="L2237" s="1" t="s">
        <v>49</v>
      </c>
      <c r="M2237" s="1" t="s">
        <v>62</v>
      </c>
      <c r="N2237" s="1" t="n">
        <v>7499</v>
      </c>
      <c r="O2237" s="1" t="n">
        <v>0</v>
      </c>
      <c r="P2237" s="1" t="n">
        <v>0</v>
      </c>
      <c r="Q2237" s="1" t="n">
        <v>7499</v>
      </c>
      <c r="R2237" s="1" t="n">
        <v>1349.82</v>
      </c>
      <c r="S2237" s="1" t="n">
        <v>6149.18</v>
      </c>
      <c r="T2237" s="1" t="n">
        <v>2911.65</v>
      </c>
      <c r="U2237" s="1" t="n">
        <v>3237.53</v>
      </c>
      <c r="V2237" s="1" t="n">
        <v>52.65</v>
      </c>
      <c r="W2237" s="1" t="s">
        <v>39</v>
      </c>
      <c r="X2237" s="1" t="n">
        <v>3.4</v>
      </c>
      <c r="Y2237" s="1" t="s">
        <v>40</v>
      </c>
      <c r="Z2237" s="1" t="n">
        <v>1</v>
      </c>
      <c r="AA2237" s="1" t="str">
        <f aca="false">TRIM(PROPER(F2237))</f>
        <v>Nashik</v>
      </c>
      <c r="AB2237" s="1" t="str">
        <f aca="false">TRIM(PROPER(C2237))</f>
        <v>Unacademy</v>
      </c>
      <c r="AC2237" s="1" t="str">
        <f aca="false">IF(O2237=0,"No Discount",IF(O2237&lt;=15,"Low (1-15%)",IF(O2237&lt;=30,"Medium (16-30%)","High (&gt;30%)")))</f>
        <v>No Discount</v>
      </c>
      <c r="AD2237" s="1" t="str">
        <f aca="false">IF(V2237&lt;0,"Loss Making",IF(V2237&lt;20,"Low Margin","Healthy Margin"))</f>
        <v>Healthy Margin</v>
      </c>
      <c r="AE2237" s="1" t="str">
        <f aca="false">TEXT(DATE(VALUE(RIGHT(B2237,4)),VALUE(MID(B2237,4,2)),VALUE(LEFT(B2237,2))),"MMM-YYYY")</f>
        <v>May-2023</v>
      </c>
      <c r="AF2237" s="1" t="n">
        <f aca="false">VALUE(RIGHT(B2237,4))</f>
        <v>2023</v>
      </c>
      <c r="AG2237" s="1" t="str">
        <f aca="false">CHOOSE(ROUNDUP(VALUE(MID(B2237,4,2))/3,0),"Q1","Q2","Q3","Q4")</f>
        <v>Q2</v>
      </c>
    </row>
    <row r="2238" customFormat="false" ht="15" hidden="false" customHeight="true" outlineLevel="0" collapsed="false">
      <c r="A2238" s="1" t="s">
        <v>3107</v>
      </c>
      <c r="B2238" s="1" t="s">
        <v>965</v>
      </c>
      <c r="C2238" s="1" t="s">
        <v>28</v>
      </c>
      <c r="D2238" s="1" t="s">
        <v>94</v>
      </c>
      <c r="E2238" s="1" t="s">
        <v>135</v>
      </c>
      <c r="F2238" s="1" t="s">
        <v>82</v>
      </c>
      <c r="G2238" s="1" t="s">
        <v>56</v>
      </c>
      <c r="H2238" s="1" t="s">
        <v>69</v>
      </c>
      <c r="I2238" s="1" t="s">
        <v>83</v>
      </c>
      <c r="J2238" s="1" t="s">
        <v>77</v>
      </c>
      <c r="K2238" s="1" t="s">
        <v>104</v>
      </c>
      <c r="L2238" s="1" t="s">
        <v>61</v>
      </c>
      <c r="M2238" s="1" t="s">
        <v>38</v>
      </c>
      <c r="N2238" s="1" t="n">
        <v>9999</v>
      </c>
      <c r="O2238" s="1" t="n">
        <v>30</v>
      </c>
      <c r="P2238" s="1" t="n">
        <v>2999.7</v>
      </c>
      <c r="Q2238" s="1" t="n">
        <v>6999.3</v>
      </c>
      <c r="R2238" s="1" t="n">
        <v>1259.87</v>
      </c>
      <c r="S2238" s="1" t="n">
        <v>5739.43</v>
      </c>
      <c r="T2238" s="1" t="n">
        <v>2778.31</v>
      </c>
      <c r="U2238" s="1" t="n">
        <v>2961.12</v>
      </c>
      <c r="V2238" s="1" t="n">
        <v>51.59</v>
      </c>
      <c r="W2238" s="1" t="s">
        <v>40</v>
      </c>
      <c r="Y2238" s="1" t="s">
        <v>40</v>
      </c>
      <c r="Z2238" s="1" t="n">
        <v>0</v>
      </c>
      <c r="AA2238" s="1" t="str">
        <f aca="false">TRIM(PROPER(F2238))</f>
        <v>Gurugram</v>
      </c>
      <c r="AB2238" s="1" t="str">
        <f aca="false">TRIM(PROPER(C2238))</f>
        <v>Embibe</v>
      </c>
      <c r="AC2238" s="1" t="str">
        <f aca="false">IF(O2238=0,"No Discount",IF(O2238&lt;=15,"Low (1-15%)",IF(O2238&lt;=30,"Medium (16-30%)","High (&gt;30%)")))</f>
        <v>Medium (16-30%)</v>
      </c>
      <c r="AD2238" s="1" t="str">
        <f aca="false">IF(V2238&lt;0,"Loss Making",IF(V2238&lt;20,"Low Margin","Healthy Margin"))</f>
        <v>Healthy Margin</v>
      </c>
      <c r="AE2238" s="1" t="str">
        <f aca="false">TEXT(DATE(VALUE(RIGHT(B2238,4)),VALUE(MID(B2238,4,2)),VALUE(LEFT(B2238,2))),"MMM-YYYY")</f>
        <v>Jan-2023</v>
      </c>
      <c r="AF2238" s="1" t="n">
        <f aca="false">VALUE(RIGHT(B2238,4))</f>
        <v>2023</v>
      </c>
      <c r="AG2238" s="1" t="str">
        <f aca="false">CHOOSE(ROUNDUP(VALUE(MID(B2238,4,2))/3,0),"Q1","Q2","Q3","Q4")</f>
        <v>Q1</v>
      </c>
    </row>
    <row r="2239" customFormat="false" ht="15" hidden="false" customHeight="true" outlineLevel="0" collapsed="false">
      <c r="A2239" s="1" t="s">
        <v>3108</v>
      </c>
      <c r="B2239" s="1" t="s">
        <v>667</v>
      </c>
      <c r="C2239" s="1" t="s">
        <v>264</v>
      </c>
      <c r="D2239" s="1" t="s">
        <v>53</v>
      </c>
      <c r="E2239" s="1" t="s">
        <v>216</v>
      </c>
      <c r="F2239" s="1" t="s">
        <v>107</v>
      </c>
      <c r="G2239" s="1" t="s">
        <v>108</v>
      </c>
      <c r="H2239" s="1" t="s">
        <v>33</v>
      </c>
      <c r="I2239" s="1" t="s">
        <v>83</v>
      </c>
      <c r="J2239" s="1" t="s">
        <v>77</v>
      </c>
      <c r="K2239" s="1" t="s">
        <v>36</v>
      </c>
      <c r="L2239" s="1" t="s">
        <v>37</v>
      </c>
      <c r="M2239" s="1" t="s">
        <v>62</v>
      </c>
      <c r="N2239" s="1" t="n">
        <v>7499</v>
      </c>
      <c r="O2239" s="1" t="n">
        <v>30</v>
      </c>
      <c r="P2239" s="1" t="n">
        <v>2249.7</v>
      </c>
      <c r="Q2239" s="1" t="n">
        <v>5249.3</v>
      </c>
      <c r="R2239" s="1" t="n">
        <v>944.87</v>
      </c>
      <c r="S2239" s="1" t="n">
        <v>4304.43</v>
      </c>
      <c r="T2239" s="1" t="n">
        <v>2025.38</v>
      </c>
      <c r="U2239" s="1" t="n">
        <v>2279.05</v>
      </c>
      <c r="V2239" s="1" t="n">
        <v>52.95</v>
      </c>
      <c r="W2239" s="1" t="s">
        <v>39</v>
      </c>
      <c r="Y2239" s="1" t="s">
        <v>40</v>
      </c>
      <c r="Z2239" s="1" t="n">
        <v>0</v>
      </c>
      <c r="AA2239" s="1" t="str">
        <f aca="false">TRIM(PROPER(F2239))</f>
        <v>Madurai</v>
      </c>
      <c r="AB2239" s="1" t="str">
        <f aca="false">TRIM(PROPER(C2239))</f>
        <v>Unacademy</v>
      </c>
      <c r="AC2239" s="1" t="str">
        <f aca="false">IF(O2239=0,"No Discount",IF(O2239&lt;=15,"Low (1-15%)",IF(O2239&lt;=30,"Medium (16-30%)","High (&gt;30%)")))</f>
        <v>Medium (16-30%)</v>
      </c>
      <c r="AD2239" s="1" t="str">
        <f aca="false">IF(V2239&lt;0,"Loss Making",IF(V2239&lt;20,"Low Margin","Healthy Margin"))</f>
        <v>Healthy Margin</v>
      </c>
      <c r="AE2239" s="1" t="str">
        <f aca="false">TEXT(DATE(VALUE(RIGHT(B2239,4)),VALUE(MID(B2239,4,2)),VALUE(LEFT(B2239,2))),"MMM-YYYY")</f>
        <v>Jul-2023</v>
      </c>
      <c r="AF2239" s="1" t="n">
        <f aca="false">VALUE(RIGHT(B2239,4))</f>
        <v>2023</v>
      </c>
      <c r="AG2239" s="1" t="str">
        <f aca="false">CHOOSE(ROUNDUP(VALUE(MID(B2239,4,2))/3,0),"Q1","Q2","Q3","Q4")</f>
        <v>Q3</v>
      </c>
    </row>
    <row r="2240" customFormat="false" ht="15" hidden="false" customHeight="true" outlineLevel="0" collapsed="false">
      <c r="A2240" s="1" t="s">
        <v>3109</v>
      </c>
      <c r="B2240" s="1" t="s">
        <v>622</v>
      </c>
      <c r="C2240" s="1" t="s">
        <v>167</v>
      </c>
      <c r="D2240" s="1" t="s">
        <v>168</v>
      </c>
      <c r="E2240" s="1" t="s">
        <v>169</v>
      </c>
      <c r="F2240" s="1" t="s">
        <v>1137</v>
      </c>
      <c r="G2240" s="1" t="s">
        <v>56</v>
      </c>
      <c r="H2240" s="1" t="s">
        <v>69</v>
      </c>
      <c r="I2240" s="1" t="s">
        <v>58</v>
      </c>
      <c r="J2240" s="1" t="s">
        <v>77</v>
      </c>
      <c r="K2240" s="1" t="s">
        <v>60</v>
      </c>
      <c r="L2240" s="1" t="s">
        <v>113</v>
      </c>
      <c r="M2240" s="1" t="s">
        <v>38</v>
      </c>
      <c r="N2240" s="1" t="n">
        <v>4999</v>
      </c>
      <c r="O2240" s="1" t="n">
        <v>25</v>
      </c>
      <c r="P2240" s="1" t="n">
        <v>1249.75</v>
      </c>
      <c r="Q2240" s="1" t="n">
        <v>3749.25</v>
      </c>
      <c r="R2240" s="1" t="n">
        <v>674.87</v>
      </c>
      <c r="S2240" s="1" t="n">
        <v>3074.38</v>
      </c>
      <c r="T2240" s="1" t="n">
        <v>860.26</v>
      </c>
      <c r="U2240" s="1" t="n">
        <v>2214.12</v>
      </c>
      <c r="V2240" s="1" t="n">
        <v>72.02</v>
      </c>
      <c r="W2240" s="1" t="s">
        <v>39</v>
      </c>
      <c r="X2240" s="1" t="n">
        <v>4</v>
      </c>
      <c r="Y2240" s="1" t="s">
        <v>40</v>
      </c>
      <c r="Z2240" s="1" t="n">
        <v>2</v>
      </c>
      <c r="AA2240" s="1" t="str">
        <f aca="false">TRIM(PROPER(F2240))</f>
        <v>Gurugram</v>
      </c>
      <c r="AB2240" s="1" t="str">
        <f aca="false">TRIM(PROPER(C2240))</f>
        <v>Scaler</v>
      </c>
      <c r="AC2240" s="1" t="str">
        <f aca="false">IF(O2240=0,"No Discount",IF(O2240&lt;=15,"Low (1-15%)",IF(O2240&lt;=30,"Medium (16-30%)","High (&gt;30%)")))</f>
        <v>Medium (16-30%)</v>
      </c>
      <c r="AD2240" s="1" t="str">
        <f aca="false">IF(V2240&lt;0,"Loss Making",IF(V2240&lt;20,"Low Margin","Healthy Margin"))</f>
        <v>Healthy Margin</v>
      </c>
      <c r="AE2240" s="1" t="str">
        <f aca="false">TEXT(DATE(VALUE(RIGHT(B2240,4)),VALUE(MID(B2240,4,2)),VALUE(LEFT(B2240,2))),"MMM-YYYY")</f>
        <v>Apr-2023</v>
      </c>
      <c r="AF2240" s="1" t="n">
        <f aca="false">VALUE(RIGHT(B2240,4))</f>
        <v>2023</v>
      </c>
      <c r="AG2240" s="1" t="str">
        <f aca="false">CHOOSE(ROUNDUP(VALUE(MID(B2240,4,2))/3,0),"Q1","Q2","Q3","Q4")</f>
        <v>Q2</v>
      </c>
    </row>
    <row r="2241" customFormat="false" ht="15" hidden="false" customHeight="true" outlineLevel="0" collapsed="false">
      <c r="A2241" s="1" t="s">
        <v>3110</v>
      </c>
      <c r="B2241" s="1" t="s">
        <v>2716</v>
      </c>
      <c r="C2241" s="1" t="s">
        <v>249</v>
      </c>
      <c r="D2241" s="1" t="s">
        <v>168</v>
      </c>
      <c r="E2241" s="1" t="s">
        <v>328</v>
      </c>
      <c r="F2241" s="1" t="s">
        <v>194</v>
      </c>
      <c r="G2241" s="1" t="s">
        <v>103</v>
      </c>
      <c r="H2241" s="1" t="s">
        <v>69</v>
      </c>
      <c r="I2241" s="1" t="s">
        <v>58</v>
      </c>
      <c r="J2241" s="1" t="s">
        <v>70</v>
      </c>
      <c r="K2241" s="1" t="s">
        <v>90</v>
      </c>
      <c r="L2241" s="1" t="s">
        <v>113</v>
      </c>
      <c r="M2241" s="1" t="s">
        <v>38</v>
      </c>
      <c r="N2241" s="1" t="n">
        <v>8999</v>
      </c>
      <c r="O2241" s="1" t="n">
        <v>50</v>
      </c>
      <c r="P2241" s="1" t="n">
        <v>4499.5</v>
      </c>
      <c r="Q2241" s="1" t="n">
        <v>4499.5</v>
      </c>
      <c r="R2241" s="1" t="n">
        <v>809.91</v>
      </c>
      <c r="S2241" s="1" t="n">
        <v>3689.59</v>
      </c>
      <c r="T2241" s="1" t="n">
        <v>2072.84</v>
      </c>
      <c r="U2241" s="1" t="n">
        <v>1616.75</v>
      </c>
      <c r="V2241" s="1" t="n">
        <v>43.82</v>
      </c>
      <c r="W2241" s="1" t="s">
        <v>40</v>
      </c>
      <c r="Y2241" s="1" t="s">
        <v>39</v>
      </c>
      <c r="Z2241" s="1" t="n">
        <v>0</v>
      </c>
      <c r="AA2241" s="1" t="str">
        <f aca="false">TRIM(PROPER(F2241))</f>
        <v>Hyderabad</v>
      </c>
      <c r="AB2241" s="1" t="str">
        <f aca="false">TRIM(PROPER(C2241))</f>
        <v>Whitehat Jr</v>
      </c>
      <c r="AC2241" s="1" t="str">
        <f aca="false">IF(O2241=0,"No Discount",IF(O2241&lt;=15,"Low (1-15%)",IF(O2241&lt;=30,"Medium (16-30%)","High (&gt;30%)")))</f>
        <v>High (&gt;30%)</v>
      </c>
      <c r="AD2241" s="1" t="str">
        <f aca="false">IF(V2241&lt;0,"Loss Making",IF(V2241&lt;20,"Low Margin","Healthy Margin"))</f>
        <v>Healthy Margin</v>
      </c>
      <c r="AE2241" s="1" t="str">
        <f aca="false">TEXT(DATE(VALUE(RIGHT(B2241,4)),VALUE(MID(B2241,4,2)),VALUE(LEFT(B2241,2))),"MMM-YYYY")</f>
        <v>Jan-2023</v>
      </c>
      <c r="AF2241" s="1" t="n">
        <f aca="false">VALUE(RIGHT(B2241,4))</f>
        <v>2023</v>
      </c>
      <c r="AG2241" s="1" t="str">
        <f aca="false">CHOOSE(ROUNDUP(VALUE(MID(B2241,4,2))/3,0),"Q1","Q2","Q3","Q4")</f>
        <v>Q1</v>
      </c>
    </row>
    <row r="2242" customFormat="false" ht="15" hidden="false" customHeight="true" outlineLevel="0" collapsed="false">
      <c r="A2242" s="1" t="s">
        <v>3111</v>
      </c>
      <c r="B2242" s="1" t="s">
        <v>428</v>
      </c>
      <c r="C2242" s="1" t="s">
        <v>249</v>
      </c>
      <c r="D2242" s="1" t="s">
        <v>44</v>
      </c>
      <c r="E2242" s="1" t="s">
        <v>45</v>
      </c>
      <c r="F2242" s="1" t="s">
        <v>96</v>
      </c>
      <c r="G2242" s="1" t="s">
        <v>97</v>
      </c>
      <c r="H2242" s="1" t="s">
        <v>69</v>
      </c>
      <c r="I2242" s="1" t="s">
        <v>83</v>
      </c>
      <c r="J2242" s="1" t="s">
        <v>131</v>
      </c>
      <c r="K2242" s="1" t="s">
        <v>36</v>
      </c>
      <c r="L2242" s="1" t="s">
        <v>61</v>
      </c>
      <c r="M2242" s="1" t="s">
        <v>38</v>
      </c>
      <c r="N2242" s="1" t="n">
        <v>11999</v>
      </c>
      <c r="O2242" s="1" t="n">
        <v>0</v>
      </c>
      <c r="P2242" s="1" t="n">
        <v>0</v>
      </c>
      <c r="Q2242" s="1" t="n">
        <v>11999</v>
      </c>
      <c r="R2242" s="1" t="n">
        <v>2159.82</v>
      </c>
      <c r="S2242" s="1" t="n">
        <v>9839.18</v>
      </c>
      <c r="T2242" s="1" t="n">
        <v>3807.26</v>
      </c>
      <c r="U2242" s="1" t="n">
        <v>6031.92</v>
      </c>
      <c r="V2242" s="1" t="n">
        <v>61.31</v>
      </c>
      <c r="W2242" s="1" t="s">
        <v>40</v>
      </c>
      <c r="Y2242" s="1" t="s">
        <v>40</v>
      </c>
      <c r="Z2242" s="1" t="n">
        <v>0</v>
      </c>
      <c r="AA2242" s="1" t="str">
        <f aca="false">TRIM(PROPER(F2242))</f>
        <v>Pune</v>
      </c>
      <c r="AB2242" s="1" t="str">
        <f aca="false">TRIM(PROPER(C2242))</f>
        <v>Whitehat Jr</v>
      </c>
      <c r="AC2242" s="1" t="str">
        <f aca="false">IF(O2242=0,"No Discount",IF(O2242&lt;=15,"Low (1-15%)",IF(O2242&lt;=30,"Medium (16-30%)","High (&gt;30%)")))</f>
        <v>No Discount</v>
      </c>
      <c r="AD2242" s="1" t="str">
        <f aca="false">IF(V2242&lt;0,"Loss Making",IF(V2242&lt;20,"Low Margin","Healthy Margin"))</f>
        <v>Healthy Margin</v>
      </c>
      <c r="AE2242" s="1" t="str">
        <f aca="false">TEXT(DATE(VALUE(RIGHT(B2242,4)),VALUE(MID(B2242,4,2)),VALUE(LEFT(B2242,2))),"MMM-YYYY")</f>
        <v>Aug-2023</v>
      </c>
      <c r="AF2242" s="1" t="n">
        <f aca="false">VALUE(RIGHT(B2242,4))</f>
        <v>2023</v>
      </c>
      <c r="AG2242" s="1" t="str">
        <f aca="false">CHOOSE(ROUNDUP(VALUE(MID(B2242,4,2))/3,0),"Q1","Q2","Q3","Q4")</f>
        <v>Q3</v>
      </c>
    </row>
    <row r="2243" customFormat="false" ht="15" hidden="false" customHeight="true" outlineLevel="0" collapsed="false">
      <c r="A2243" s="1" t="s">
        <v>3112</v>
      </c>
      <c r="B2243" s="1" t="s">
        <v>373</v>
      </c>
      <c r="C2243" s="1" t="s">
        <v>88</v>
      </c>
      <c r="D2243" s="1" t="s">
        <v>168</v>
      </c>
      <c r="E2243" s="1" t="s">
        <v>328</v>
      </c>
      <c r="F2243" s="1" t="s">
        <v>153</v>
      </c>
      <c r="G2243" s="1" t="s">
        <v>76</v>
      </c>
      <c r="H2243" s="1" t="s">
        <v>33</v>
      </c>
      <c r="I2243" s="1" t="s">
        <v>58</v>
      </c>
      <c r="J2243" s="1" t="s">
        <v>59</v>
      </c>
      <c r="K2243" s="1" t="s">
        <v>84</v>
      </c>
      <c r="L2243" s="1" t="s">
        <v>61</v>
      </c>
      <c r="M2243" s="1" t="s">
        <v>38</v>
      </c>
      <c r="N2243" s="1" t="n">
        <v>8999</v>
      </c>
      <c r="O2243" s="1" t="n">
        <v>50</v>
      </c>
      <c r="P2243" s="1" t="n">
        <v>4499.5</v>
      </c>
      <c r="Q2243" s="1" t="n">
        <v>4499.5</v>
      </c>
      <c r="R2243" s="1" t="n">
        <v>809.91</v>
      </c>
      <c r="S2243" s="1" t="n">
        <v>3689.59</v>
      </c>
      <c r="T2243" s="1" t="n">
        <v>2107.83</v>
      </c>
      <c r="U2243" s="1" t="n">
        <v>1581.76</v>
      </c>
      <c r="V2243" s="1" t="n">
        <v>42.87</v>
      </c>
      <c r="W2243" s="1" t="s">
        <v>40</v>
      </c>
      <c r="Y2243" s="1" t="s">
        <v>40</v>
      </c>
      <c r="Z2243" s="1" t="n">
        <v>1</v>
      </c>
      <c r="AA2243" s="1" t="str">
        <f aca="false">TRIM(PROPER(F2243))</f>
        <v>Howrah</v>
      </c>
      <c r="AB2243" s="1" t="str">
        <f aca="false">TRIM(PROPER(C2243))</f>
        <v>Byju'S</v>
      </c>
      <c r="AC2243" s="1" t="str">
        <f aca="false">IF(O2243=0,"No Discount",IF(O2243&lt;=15,"Low (1-15%)",IF(O2243&lt;=30,"Medium (16-30%)","High (&gt;30%)")))</f>
        <v>High (&gt;30%)</v>
      </c>
      <c r="AD2243" s="1" t="str">
        <f aca="false">IF(V2243&lt;0,"Loss Making",IF(V2243&lt;20,"Low Margin","Healthy Margin"))</f>
        <v>Healthy Margin</v>
      </c>
      <c r="AE2243" s="1" t="str">
        <f aca="false">TEXT(DATE(VALUE(RIGHT(B2243,4)),VALUE(MID(B2243,4,2)),VALUE(LEFT(B2243,2))),"MMM-YYYY")</f>
        <v>Oct-2024</v>
      </c>
      <c r="AF2243" s="1" t="n">
        <f aca="false">VALUE(RIGHT(B2243,4))</f>
        <v>2024</v>
      </c>
      <c r="AG2243" s="1" t="str">
        <f aca="false">CHOOSE(ROUNDUP(VALUE(MID(B2243,4,2))/3,0),"Q1","Q2","Q3","Q4")</f>
        <v>Q4</v>
      </c>
    </row>
    <row r="2244" customFormat="false" ht="15" hidden="false" customHeight="true" outlineLevel="0" collapsed="false">
      <c r="A2244" s="1" t="s">
        <v>3113</v>
      </c>
      <c r="B2244" s="1" t="s">
        <v>1396</v>
      </c>
      <c r="C2244" s="1" t="s">
        <v>74</v>
      </c>
      <c r="D2244" s="1" t="s">
        <v>143</v>
      </c>
      <c r="E2244" s="1" t="s">
        <v>210</v>
      </c>
      <c r="F2244" s="1" t="s">
        <v>82</v>
      </c>
      <c r="G2244" s="1" t="s">
        <v>56</v>
      </c>
      <c r="H2244" s="1" t="s">
        <v>69</v>
      </c>
      <c r="I2244" s="1" t="s">
        <v>58</v>
      </c>
      <c r="J2244" s="1" t="s">
        <v>131</v>
      </c>
      <c r="K2244" s="1" t="s">
        <v>84</v>
      </c>
      <c r="L2244" s="1" t="s">
        <v>49</v>
      </c>
      <c r="M2244" s="1" t="s">
        <v>38</v>
      </c>
      <c r="N2244" s="1" t="n">
        <v>18999</v>
      </c>
      <c r="O2244" s="1" t="n">
        <v>0</v>
      </c>
      <c r="P2244" s="1" t="n">
        <v>0</v>
      </c>
      <c r="Q2244" s="1" t="n">
        <v>18999</v>
      </c>
      <c r="R2244" s="1" t="n">
        <v>3419.82</v>
      </c>
      <c r="S2244" s="1" t="n">
        <v>15579.18</v>
      </c>
      <c r="T2244" s="1" t="n">
        <v>5360.85</v>
      </c>
      <c r="U2244" s="1" t="n">
        <v>10218.33</v>
      </c>
      <c r="V2244" s="1" t="n">
        <v>65.59</v>
      </c>
      <c r="W2244" s="1" t="s">
        <v>39</v>
      </c>
      <c r="X2244" s="1" t="n">
        <v>3.2</v>
      </c>
      <c r="Y2244" s="1" t="s">
        <v>40</v>
      </c>
      <c r="Z2244" s="1" t="n">
        <v>0</v>
      </c>
      <c r="AA2244" s="1" t="str">
        <f aca="false">TRIM(PROPER(F2244))</f>
        <v>Gurugram</v>
      </c>
      <c r="AB2244" s="1" t="str">
        <f aca="false">TRIM(PROPER(C2244))</f>
        <v>Vedantu</v>
      </c>
      <c r="AC2244" s="1" t="str">
        <f aca="false">IF(O2244=0,"No Discount",IF(O2244&lt;=15,"Low (1-15%)",IF(O2244&lt;=30,"Medium (16-30%)","High (&gt;30%)")))</f>
        <v>No Discount</v>
      </c>
      <c r="AD2244" s="1" t="str">
        <f aca="false">IF(V2244&lt;0,"Loss Making",IF(V2244&lt;20,"Low Margin","Healthy Margin"))</f>
        <v>Healthy Margin</v>
      </c>
      <c r="AE2244" s="1" t="str">
        <f aca="false">TEXT(DATE(VALUE(RIGHT(B2244,4)),VALUE(MID(B2244,4,2)),VALUE(LEFT(B2244,2))),"MMM-YYYY")</f>
        <v>Aug-2023</v>
      </c>
      <c r="AF2244" s="1" t="n">
        <f aca="false">VALUE(RIGHT(B2244,4))</f>
        <v>2023</v>
      </c>
      <c r="AG2244" s="1" t="str">
        <f aca="false">CHOOSE(ROUNDUP(VALUE(MID(B2244,4,2))/3,0),"Q1","Q2","Q3","Q4")</f>
        <v>Q3</v>
      </c>
    </row>
    <row r="2245" customFormat="false" ht="15" hidden="false" customHeight="true" outlineLevel="0" collapsed="false">
      <c r="A2245" s="1" t="s">
        <v>3114</v>
      </c>
      <c r="B2245" s="1" t="s">
        <v>1739</v>
      </c>
      <c r="C2245" s="1" t="s">
        <v>139</v>
      </c>
      <c r="D2245" s="1" t="s">
        <v>80</v>
      </c>
      <c r="E2245" s="1" t="s">
        <v>190</v>
      </c>
      <c r="F2245" s="1" t="s">
        <v>55</v>
      </c>
      <c r="G2245" s="1" t="s">
        <v>56</v>
      </c>
      <c r="H2245" s="1" t="s">
        <v>57</v>
      </c>
      <c r="I2245" s="1" t="s">
        <v>83</v>
      </c>
      <c r="J2245" s="1" t="s">
        <v>35</v>
      </c>
      <c r="K2245" s="1" t="s">
        <v>104</v>
      </c>
      <c r="L2245" s="1" t="s">
        <v>113</v>
      </c>
      <c r="M2245" s="1" t="s">
        <v>50</v>
      </c>
      <c r="N2245" s="1" t="n">
        <v>15999</v>
      </c>
      <c r="O2245" s="1" t="n">
        <v>5</v>
      </c>
      <c r="P2245" s="1" t="n">
        <v>799.95</v>
      </c>
      <c r="Q2245" s="1" t="n">
        <v>15199.05</v>
      </c>
      <c r="R2245" s="1" t="n">
        <v>2735.83</v>
      </c>
      <c r="S2245" s="1" t="n">
        <v>12463.22</v>
      </c>
      <c r="T2245" s="1" t="n">
        <v>5806.39</v>
      </c>
      <c r="U2245" s="1" t="n">
        <v>6656.83</v>
      </c>
      <c r="V2245" s="1" t="n">
        <v>53.41</v>
      </c>
      <c r="W2245" s="1" t="s">
        <v>39</v>
      </c>
      <c r="X2245" s="1" t="n">
        <v>3.8</v>
      </c>
      <c r="Y2245" s="1" t="s">
        <v>40</v>
      </c>
      <c r="Z2245" s="1" t="n">
        <v>0</v>
      </c>
      <c r="AA2245" s="1" t="str">
        <f aca="false">TRIM(PROPER(F2245))</f>
        <v>Ghaziabad</v>
      </c>
      <c r="AB2245" s="1" t="str">
        <f aca="false">TRIM(PROPER(C2245))</f>
        <v>Extramarks</v>
      </c>
      <c r="AC2245" s="1" t="str">
        <f aca="false">IF(O2245=0,"No Discount",IF(O2245&lt;=15,"Low (1-15%)",IF(O2245&lt;=30,"Medium (16-30%)","High (&gt;30%)")))</f>
        <v>Low (1-15%)</v>
      </c>
      <c r="AD2245" s="1" t="str">
        <f aca="false">IF(V2245&lt;0,"Loss Making",IF(V2245&lt;20,"Low Margin","Healthy Margin"))</f>
        <v>Healthy Margin</v>
      </c>
      <c r="AE2245" s="1" t="str">
        <f aca="false">TEXT(DATE(VALUE(RIGHT(B2245,4)),VALUE(MID(B2245,4,2)),VALUE(LEFT(B2245,2))),"MMM-YYYY")</f>
        <v>Oct-2024</v>
      </c>
      <c r="AF2245" s="1" t="n">
        <f aca="false">VALUE(RIGHT(B2245,4))</f>
        <v>2024</v>
      </c>
      <c r="AG2245" s="1" t="str">
        <f aca="false">CHOOSE(ROUNDUP(VALUE(MID(B2245,4,2))/3,0),"Q1","Q2","Q3","Q4")</f>
        <v>Q4</v>
      </c>
    </row>
    <row r="2246" customFormat="false" ht="15" hidden="false" customHeight="true" outlineLevel="0" collapsed="false">
      <c r="A2246" s="1" t="s">
        <v>2400</v>
      </c>
      <c r="B2246" s="1" t="s">
        <v>483</v>
      </c>
      <c r="C2246" s="1" t="s">
        <v>65</v>
      </c>
      <c r="D2246" s="1" t="s">
        <v>94</v>
      </c>
      <c r="E2246" s="1" t="s">
        <v>135</v>
      </c>
      <c r="F2246" s="1" t="s">
        <v>150</v>
      </c>
      <c r="G2246" s="1" t="s">
        <v>32</v>
      </c>
      <c r="H2246" s="1" t="s">
        <v>57</v>
      </c>
      <c r="I2246" s="1" t="s">
        <v>34</v>
      </c>
      <c r="J2246" s="1" t="s">
        <v>59</v>
      </c>
      <c r="K2246" s="1" t="s">
        <v>104</v>
      </c>
      <c r="L2246" s="1" t="s">
        <v>136</v>
      </c>
      <c r="M2246" s="1" t="s">
        <v>38</v>
      </c>
      <c r="N2246" s="1" t="n">
        <v>9999</v>
      </c>
      <c r="O2246" s="1" t="n">
        <v>30</v>
      </c>
      <c r="P2246" s="1" t="n">
        <v>2999.7</v>
      </c>
      <c r="Q2246" s="1" t="n">
        <v>6999.3</v>
      </c>
      <c r="R2246" s="1" t="n">
        <v>1259.87</v>
      </c>
      <c r="S2246" s="1" t="n">
        <v>5739.43</v>
      </c>
      <c r="T2246" s="1" t="n">
        <v>2881.25</v>
      </c>
      <c r="U2246" s="1" t="n">
        <v>2858.18</v>
      </c>
      <c r="V2246" s="1" t="n">
        <v>49.8</v>
      </c>
      <c r="W2246" s="1" t="s">
        <v>40</v>
      </c>
      <c r="Y2246" s="1" t="s">
        <v>40</v>
      </c>
      <c r="Z2246" s="1" t="n">
        <v>2</v>
      </c>
      <c r="AA2246" s="1" t="str">
        <f aca="false">TRIM(PROPER(F2246))</f>
        <v>Jaipur</v>
      </c>
      <c r="AB2246" s="1" t="str">
        <f aca="false">TRIM(PROPER(C2246))</f>
        <v>Toppr</v>
      </c>
      <c r="AC2246" s="1" t="str">
        <f aca="false">IF(O2246=0,"No Discount",IF(O2246&lt;=15,"Low (1-15%)",IF(O2246&lt;=30,"Medium (16-30%)","High (&gt;30%)")))</f>
        <v>Medium (16-30%)</v>
      </c>
      <c r="AD2246" s="1" t="str">
        <f aca="false">IF(V2246&lt;0,"Loss Making",IF(V2246&lt;20,"Low Margin","Healthy Margin"))</f>
        <v>Healthy Margin</v>
      </c>
      <c r="AE2246" s="1" t="str">
        <f aca="false">TEXT(DATE(VALUE(RIGHT(B2246,4)),VALUE(MID(B2246,4,2)),VALUE(LEFT(B2246,2))),"MMM-YYYY")</f>
        <v>Dec-2024</v>
      </c>
      <c r="AF2246" s="1" t="n">
        <f aca="false">VALUE(RIGHT(B2246,4))</f>
        <v>2024</v>
      </c>
      <c r="AG2246" s="1" t="str">
        <f aca="false">CHOOSE(ROUNDUP(VALUE(MID(B2246,4,2))/3,0),"Q1","Q2","Q3","Q4")</f>
        <v>Q4</v>
      </c>
    </row>
    <row r="2247" customFormat="false" ht="15" hidden="false" customHeight="true" outlineLevel="0" collapsed="false">
      <c r="A2247" s="1" t="s">
        <v>3115</v>
      </c>
      <c r="B2247" s="1" t="s">
        <v>2987</v>
      </c>
      <c r="C2247" s="1" t="s">
        <v>119</v>
      </c>
      <c r="D2247" s="1" t="s">
        <v>143</v>
      </c>
      <c r="E2247" s="1" t="s">
        <v>144</v>
      </c>
      <c r="F2247" s="1" t="s">
        <v>130</v>
      </c>
      <c r="G2247" s="1" t="s">
        <v>47</v>
      </c>
      <c r="H2247" s="1" t="s">
        <v>69</v>
      </c>
      <c r="I2247" s="1" t="s">
        <v>34</v>
      </c>
      <c r="J2247" s="1" t="s">
        <v>35</v>
      </c>
      <c r="K2247" s="1" t="s">
        <v>112</v>
      </c>
      <c r="L2247" s="1" t="s">
        <v>49</v>
      </c>
      <c r="M2247" s="1" t="s">
        <v>50</v>
      </c>
      <c r="N2247" s="1" t="n">
        <v>12999</v>
      </c>
      <c r="O2247" s="1" t="n">
        <v>10</v>
      </c>
      <c r="P2247" s="1" t="n">
        <v>1299.9</v>
      </c>
      <c r="Q2247" s="1" t="n">
        <v>11699.1</v>
      </c>
      <c r="R2247" s="1" t="n">
        <v>2105.84</v>
      </c>
      <c r="S2247" s="1" t="n">
        <v>9593.26</v>
      </c>
      <c r="T2247" s="1" t="n">
        <v>3027.39</v>
      </c>
      <c r="U2247" s="1" t="n">
        <v>6565.87</v>
      </c>
      <c r="V2247" s="1" t="n">
        <v>68.44</v>
      </c>
      <c r="W2247" s="1" t="s">
        <v>39</v>
      </c>
      <c r="X2247" s="1" t="n">
        <v>4</v>
      </c>
      <c r="Y2247" s="1" t="s">
        <v>40</v>
      </c>
      <c r="Z2247" s="1" t="n">
        <v>0</v>
      </c>
      <c r="AA2247" s="1" t="str">
        <f aca="false">TRIM(PROPER(F2247))</f>
        <v>Bengaluru</v>
      </c>
      <c r="AB2247" s="1" t="str">
        <f aca="false">TRIM(PROPER(C2247))</f>
        <v>Simplilearn</v>
      </c>
      <c r="AC2247" s="1" t="str">
        <f aca="false">IF(O2247=0,"No Discount",IF(O2247&lt;=15,"Low (1-15%)",IF(O2247&lt;=30,"Medium (16-30%)","High (&gt;30%)")))</f>
        <v>Low (1-15%)</v>
      </c>
      <c r="AD2247" s="1" t="str">
        <f aca="false">IF(V2247&lt;0,"Loss Making",IF(V2247&lt;20,"Low Margin","Healthy Margin"))</f>
        <v>Healthy Margin</v>
      </c>
      <c r="AE2247" s="1" t="str">
        <f aca="false">TEXT(DATE(VALUE(RIGHT(B2247,4)),VALUE(MID(B2247,4,2)),VALUE(LEFT(B2247,2))),"MMM-YYYY")</f>
        <v>Feb-2023</v>
      </c>
      <c r="AF2247" s="1" t="n">
        <f aca="false">VALUE(RIGHT(B2247,4))</f>
        <v>2023</v>
      </c>
      <c r="AG2247" s="1" t="str">
        <f aca="false">CHOOSE(ROUNDUP(VALUE(MID(B2247,4,2))/3,0),"Q1","Q2","Q3","Q4")</f>
        <v>Q1</v>
      </c>
    </row>
    <row r="2248" customFormat="false" ht="15" hidden="false" customHeight="true" outlineLevel="0" collapsed="false">
      <c r="A2248" s="1" t="s">
        <v>3116</v>
      </c>
      <c r="B2248" s="1" t="s">
        <v>325</v>
      </c>
      <c r="C2248" s="1" t="s">
        <v>139</v>
      </c>
      <c r="D2248" s="1" t="s">
        <v>80</v>
      </c>
      <c r="E2248" s="1" t="s">
        <v>81</v>
      </c>
      <c r="F2248" s="1" t="s">
        <v>130</v>
      </c>
      <c r="G2248" s="1" t="s">
        <v>47</v>
      </c>
      <c r="H2248" s="1" t="s">
        <v>69</v>
      </c>
      <c r="I2248" s="1" t="s">
        <v>83</v>
      </c>
      <c r="J2248" s="1" t="s">
        <v>59</v>
      </c>
      <c r="K2248" s="1" t="s">
        <v>84</v>
      </c>
      <c r="L2248" s="1" t="s">
        <v>113</v>
      </c>
      <c r="M2248" s="1" t="s">
        <v>50</v>
      </c>
      <c r="N2248" s="1" t="n">
        <v>12999</v>
      </c>
      <c r="O2248" s="1" t="n">
        <v>30</v>
      </c>
      <c r="P2248" s="1" t="n">
        <v>3899.7</v>
      </c>
      <c r="Q2248" s="1" t="n">
        <v>9099.3</v>
      </c>
      <c r="R2248" s="1" t="n">
        <v>1637.87</v>
      </c>
      <c r="S2248" s="1" t="n">
        <v>7461.43</v>
      </c>
      <c r="T2248" s="1" t="n">
        <v>3167.83</v>
      </c>
      <c r="U2248" s="1" t="n">
        <v>4293.6</v>
      </c>
      <c r="V2248" s="1" t="n">
        <v>57.54</v>
      </c>
      <c r="W2248" s="1" t="s">
        <v>39</v>
      </c>
      <c r="Y2248" s="1" t="s">
        <v>40</v>
      </c>
      <c r="Z2248" s="1" t="n">
        <v>0</v>
      </c>
      <c r="AA2248" s="1" t="str">
        <f aca="false">TRIM(PROPER(F2248))</f>
        <v>Bengaluru</v>
      </c>
      <c r="AB2248" s="1" t="str">
        <f aca="false">TRIM(PROPER(C2248))</f>
        <v>Extramarks</v>
      </c>
      <c r="AC2248" s="1" t="str">
        <f aca="false">IF(O2248=0,"No Discount",IF(O2248&lt;=15,"Low (1-15%)",IF(O2248&lt;=30,"Medium (16-30%)","High (&gt;30%)")))</f>
        <v>Medium (16-30%)</v>
      </c>
      <c r="AD2248" s="1" t="str">
        <f aca="false">IF(V2248&lt;0,"Loss Making",IF(V2248&lt;20,"Low Margin","Healthy Margin"))</f>
        <v>Healthy Margin</v>
      </c>
      <c r="AE2248" s="1" t="str">
        <f aca="false">TEXT(DATE(VALUE(RIGHT(B2248,4)),VALUE(MID(B2248,4,2)),VALUE(LEFT(B2248,2))),"MMM-YYYY")</f>
        <v>May-2023</v>
      </c>
      <c r="AF2248" s="1" t="n">
        <f aca="false">VALUE(RIGHT(B2248,4))</f>
        <v>2023</v>
      </c>
      <c r="AG2248" s="1" t="str">
        <f aca="false">CHOOSE(ROUNDUP(VALUE(MID(B2248,4,2))/3,0),"Q1","Q2","Q3","Q4")</f>
        <v>Q2</v>
      </c>
    </row>
    <row r="2249" customFormat="false" ht="15" hidden="false" customHeight="true" outlineLevel="0" collapsed="false">
      <c r="A2249" s="1" t="s">
        <v>3117</v>
      </c>
      <c r="B2249" s="1" t="s">
        <v>2387</v>
      </c>
      <c r="C2249" s="1" t="s">
        <v>28</v>
      </c>
      <c r="D2249" s="1" t="s">
        <v>29</v>
      </c>
      <c r="E2249" s="1" t="s">
        <v>182</v>
      </c>
      <c r="F2249" s="1" t="s">
        <v>55</v>
      </c>
      <c r="G2249" s="1" t="s">
        <v>56</v>
      </c>
      <c r="H2249" s="1" t="s">
        <v>57</v>
      </c>
      <c r="I2249" s="1" t="s">
        <v>58</v>
      </c>
      <c r="J2249" s="1" t="s">
        <v>59</v>
      </c>
      <c r="K2249" s="1" t="s">
        <v>60</v>
      </c>
      <c r="L2249" s="1" t="s">
        <v>85</v>
      </c>
      <c r="M2249" s="1" t="s">
        <v>50</v>
      </c>
      <c r="N2249" s="1" t="n">
        <v>34999</v>
      </c>
      <c r="O2249" s="1" t="n">
        <v>20</v>
      </c>
      <c r="P2249" s="1" t="n">
        <v>6999.8</v>
      </c>
      <c r="Q2249" s="1" t="n">
        <v>27999.2</v>
      </c>
      <c r="R2249" s="1" t="n">
        <v>5039.86</v>
      </c>
      <c r="S2249" s="1" t="n">
        <v>22959.34</v>
      </c>
      <c r="T2249" s="1" t="n">
        <v>10638.43</v>
      </c>
      <c r="U2249" s="1" t="n">
        <v>12320.91</v>
      </c>
      <c r="V2249" s="1" t="n">
        <v>53.66</v>
      </c>
      <c r="W2249" s="1" t="s">
        <v>40</v>
      </c>
      <c r="Y2249" s="1" t="s">
        <v>40</v>
      </c>
      <c r="Z2249" s="1" t="n">
        <v>0</v>
      </c>
      <c r="AA2249" s="1" t="str">
        <f aca="false">TRIM(PROPER(F2249))</f>
        <v>Ghaziabad</v>
      </c>
      <c r="AB2249" s="1" t="str">
        <f aca="false">TRIM(PROPER(C2249))</f>
        <v>Embibe</v>
      </c>
      <c r="AC2249" s="1" t="str">
        <f aca="false">IF(O2249=0,"No Discount",IF(O2249&lt;=15,"Low (1-15%)",IF(O2249&lt;=30,"Medium (16-30%)","High (&gt;30%)")))</f>
        <v>Medium (16-30%)</v>
      </c>
      <c r="AD2249" s="1" t="str">
        <f aca="false">IF(V2249&lt;0,"Loss Making",IF(V2249&lt;20,"Low Margin","Healthy Margin"))</f>
        <v>Healthy Margin</v>
      </c>
      <c r="AE2249" s="1" t="str">
        <f aca="false">TEXT(DATE(VALUE(RIGHT(B2249,4)),VALUE(MID(B2249,4,2)),VALUE(LEFT(B2249,2))),"MMM-YYYY")</f>
        <v>Jul-2024</v>
      </c>
      <c r="AF2249" s="1" t="n">
        <f aca="false">VALUE(RIGHT(B2249,4))</f>
        <v>2024</v>
      </c>
      <c r="AG2249" s="1" t="str">
        <f aca="false">CHOOSE(ROUNDUP(VALUE(MID(B2249,4,2))/3,0),"Q1","Q2","Q3","Q4")</f>
        <v>Q3</v>
      </c>
    </row>
    <row r="2250" customFormat="false" ht="15" hidden="false" customHeight="true" outlineLevel="0" collapsed="false">
      <c r="A2250" s="1" t="s">
        <v>3118</v>
      </c>
      <c r="B2250" s="1" t="s">
        <v>1131</v>
      </c>
      <c r="C2250" s="1" t="s">
        <v>28</v>
      </c>
      <c r="D2250" s="1" t="s">
        <v>44</v>
      </c>
      <c r="E2250" s="1" t="s">
        <v>66</v>
      </c>
      <c r="F2250" s="1" t="s">
        <v>107</v>
      </c>
      <c r="G2250" s="1" t="s">
        <v>108</v>
      </c>
      <c r="H2250" s="1" t="s">
        <v>33</v>
      </c>
      <c r="I2250" s="1" t="s">
        <v>83</v>
      </c>
      <c r="J2250" s="1" t="s">
        <v>70</v>
      </c>
      <c r="K2250" s="1" t="s">
        <v>48</v>
      </c>
      <c r="L2250" s="1" t="s">
        <v>136</v>
      </c>
      <c r="M2250" s="1" t="s">
        <v>38</v>
      </c>
      <c r="N2250" s="1" t="n">
        <v>12999</v>
      </c>
      <c r="O2250" s="1" t="n">
        <v>20</v>
      </c>
      <c r="P2250" s="1" t="n">
        <v>2599.8</v>
      </c>
      <c r="Q2250" s="1" t="n">
        <v>10399.2</v>
      </c>
      <c r="R2250" s="1" t="n">
        <v>1871.86</v>
      </c>
      <c r="S2250" s="1" t="n">
        <v>8527.34</v>
      </c>
      <c r="T2250" s="1" t="n">
        <v>4079.67</v>
      </c>
      <c r="U2250" s="1" t="n">
        <v>4447.67</v>
      </c>
      <c r="V2250" s="1" t="n">
        <v>52.16</v>
      </c>
      <c r="W2250" s="1" t="s">
        <v>39</v>
      </c>
      <c r="X2250" s="1" t="n">
        <v>3.4</v>
      </c>
      <c r="Y2250" s="1" t="s">
        <v>40</v>
      </c>
      <c r="Z2250" s="1" t="n">
        <v>0</v>
      </c>
      <c r="AA2250" s="1" t="str">
        <f aca="false">TRIM(PROPER(F2250))</f>
        <v>Madurai</v>
      </c>
      <c r="AB2250" s="1" t="str">
        <f aca="false">TRIM(PROPER(C2250))</f>
        <v>Embibe</v>
      </c>
      <c r="AC2250" s="1" t="str">
        <f aca="false">IF(O2250=0,"No Discount",IF(O2250&lt;=15,"Low (1-15%)",IF(O2250&lt;=30,"Medium (16-30%)","High (&gt;30%)")))</f>
        <v>Medium (16-30%)</v>
      </c>
      <c r="AD2250" s="1" t="str">
        <f aca="false">IF(V2250&lt;0,"Loss Making",IF(V2250&lt;20,"Low Margin","Healthy Margin"))</f>
        <v>Healthy Margin</v>
      </c>
      <c r="AE2250" s="1" t="str">
        <f aca="false">TEXT(DATE(VALUE(RIGHT(B2250,4)),VALUE(MID(B2250,4,2)),VALUE(LEFT(B2250,2))),"MMM-YYYY")</f>
        <v>Apr-2024</v>
      </c>
      <c r="AF2250" s="1" t="n">
        <f aca="false">VALUE(RIGHT(B2250,4))</f>
        <v>2024</v>
      </c>
      <c r="AG2250" s="1" t="str">
        <f aca="false">CHOOSE(ROUNDUP(VALUE(MID(B2250,4,2))/3,0),"Q1","Q2","Q3","Q4")</f>
        <v>Q2</v>
      </c>
    </row>
    <row r="2251" customFormat="false" ht="15" hidden="false" customHeight="true" outlineLevel="0" collapsed="false">
      <c r="A2251" s="1" t="s">
        <v>3119</v>
      </c>
      <c r="B2251" s="1" t="s">
        <v>259</v>
      </c>
      <c r="C2251" s="1" t="s">
        <v>65</v>
      </c>
      <c r="D2251" s="1" t="s">
        <v>29</v>
      </c>
      <c r="E2251" s="1" t="s">
        <v>305</v>
      </c>
      <c r="F2251" s="1" t="s">
        <v>184</v>
      </c>
      <c r="G2251" s="1" t="s">
        <v>56</v>
      </c>
      <c r="H2251" s="1" t="s">
        <v>57</v>
      </c>
      <c r="I2251" s="1" t="s">
        <v>34</v>
      </c>
      <c r="J2251" s="1" t="s">
        <v>59</v>
      </c>
      <c r="K2251" s="1" t="s">
        <v>90</v>
      </c>
      <c r="L2251" s="1" t="s">
        <v>37</v>
      </c>
      <c r="M2251" s="1" t="s">
        <v>62</v>
      </c>
      <c r="N2251" s="1" t="n">
        <v>24999</v>
      </c>
      <c r="O2251" s="1" t="n">
        <v>0</v>
      </c>
      <c r="P2251" s="1" t="n">
        <v>0</v>
      </c>
      <c r="Q2251" s="1" t="n">
        <v>24999</v>
      </c>
      <c r="R2251" s="1" t="n">
        <v>4499.82</v>
      </c>
      <c r="S2251" s="1" t="n">
        <v>20499.18</v>
      </c>
      <c r="T2251" s="1" t="n">
        <v>7609.04</v>
      </c>
      <c r="U2251" s="1" t="n">
        <v>12890.14</v>
      </c>
      <c r="V2251" s="1" t="n">
        <v>62.88</v>
      </c>
      <c r="W2251" s="1" t="s">
        <v>39</v>
      </c>
      <c r="X2251" s="1" t="n">
        <v>3.6</v>
      </c>
      <c r="Y2251" s="1" t="s">
        <v>40</v>
      </c>
      <c r="Z2251" s="1" t="n">
        <v>1</v>
      </c>
      <c r="AA2251" s="1" t="str">
        <f aca="false">TRIM(PROPER(F2251))</f>
        <v>Faridabad</v>
      </c>
      <c r="AB2251" s="1" t="str">
        <f aca="false">TRIM(PROPER(C2251))</f>
        <v>Toppr</v>
      </c>
      <c r="AC2251" s="1" t="str">
        <f aca="false">IF(O2251=0,"No Discount",IF(O2251&lt;=15,"Low (1-15%)",IF(O2251&lt;=30,"Medium (16-30%)","High (&gt;30%)")))</f>
        <v>No Discount</v>
      </c>
      <c r="AD2251" s="1" t="str">
        <f aca="false">IF(V2251&lt;0,"Loss Making",IF(V2251&lt;20,"Low Margin","Healthy Margin"))</f>
        <v>Healthy Margin</v>
      </c>
      <c r="AE2251" s="1" t="str">
        <f aca="false">TEXT(DATE(VALUE(RIGHT(B2251,4)),VALUE(MID(B2251,4,2)),VALUE(LEFT(B2251,2))),"MMM-YYYY")</f>
        <v>Dec-2024</v>
      </c>
      <c r="AF2251" s="1" t="n">
        <f aca="false">VALUE(RIGHT(B2251,4))</f>
        <v>2024</v>
      </c>
      <c r="AG2251" s="1" t="str">
        <f aca="false">CHOOSE(ROUNDUP(VALUE(MID(B2251,4,2))/3,0),"Q1","Q2","Q3","Q4")</f>
        <v>Q4</v>
      </c>
    </row>
    <row r="2252" customFormat="false" ht="15" hidden="false" customHeight="true" outlineLevel="0" collapsed="false">
      <c r="A2252" s="1" t="s">
        <v>3120</v>
      </c>
      <c r="B2252" s="1" t="s">
        <v>563</v>
      </c>
      <c r="C2252" s="1" t="s">
        <v>134</v>
      </c>
      <c r="D2252" s="1" t="s">
        <v>143</v>
      </c>
      <c r="E2252" s="1" t="s">
        <v>159</v>
      </c>
      <c r="F2252" s="1" t="s">
        <v>211</v>
      </c>
      <c r="G2252" s="1" t="s">
        <v>56</v>
      </c>
      <c r="H2252" s="1" t="s">
        <v>69</v>
      </c>
      <c r="I2252" s="1" t="s">
        <v>34</v>
      </c>
      <c r="J2252" s="1" t="s">
        <v>131</v>
      </c>
      <c r="K2252" s="1" t="s">
        <v>112</v>
      </c>
      <c r="L2252" s="1" t="s">
        <v>61</v>
      </c>
      <c r="M2252" s="1" t="s">
        <v>50</v>
      </c>
      <c r="N2252" s="1" t="n">
        <v>24999</v>
      </c>
      <c r="O2252" s="1" t="n">
        <v>0</v>
      </c>
      <c r="P2252" s="1" t="n">
        <v>0</v>
      </c>
      <c r="Q2252" s="1" t="n">
        <v>24999</v>
      </c>
      <c r="R2252" s="1" t="n">
        <v>4499.82</v>
      </c>
      <c r="S2252" s="1" t="n">
        <v>20499.18</v>
      </c>
      <c r="T2252" s="1" t="n">
        <v>8990.73</v>
      </c>
      <c r="U2252" s="1" t="n">
        <v>11508.45</v>
      </c>
      <c r="V2252" s="1" t="n">
        <v>56.14</v>
      </c>
      <c r="W2252" s="1" t="s">
        <v>40</v>
      </c>
      <c r="Y2252" s="1" t="s">
        <v>40</v>
      </c>
      <c r="Z2252" s="1" t="n">
        <v>2</v>
      </c>
      <c r="AA2252" s="1" t="str">
        <f aca="false">TRIM(PROPER(F2252))</f>
        <v>Noida</v>
      </c>
      <c r="AB2252" s="1" t="str">
        <f aca="false">TRIM(PROPER(C2252))</f>
        <v>Doubtnut</v>
      </c>
      <c r="AC2252" s="1" t="str">
        <f aca="false">IF(O2252=0,"No Discount",IF(O2252&lt;=15,"Low (1-15%)",IF(O2252&lt;=30,"Medium (16-30%)","High (&gt;30%)")))</f>
        <v>No Discount</v>
      </c>
      <c r="AD2252" s="1" t="str">
        <f aca="false">IF(V2252&lt;0,"Loss Making",IF(V2252&lt;20,"Low Margin","Healthy Margin"))</f>
        <v>Healthy Margin</v>
      </c>
      <c r="AE2252" s="1" t="str">
        <f aca="false">TEXT(DATE(VALUE(RIGHT(B2252,4)),VALUE(MID(B2252,4,2)),VALUE(LEFT(B2252,2))),"MMM-YYYY")</f>
        <v>Aug-2023</v>
      </c>
      <c r="AF2252" s="1" t="n">
        <f aca="false">VALUE(RIGHT(B2252,4))</f>
        <v>2023</v>
      </c>
      <c r="AG2252" s="1" t="str">
        <f aca="false">CHOOSE(ROUNDUP(VALUE(MID(B2252,4,2))/3,0),"Q1","Q2","Q3","Q4")</f>
        <v>Q3</v>
      </c>
    </row>
    <row r="2253" customFormat="false" ht="15" hidden="false" customHeight="true" outlineLevel="0" collapsed="false">
      <c r="A2253" s="1" t="s">
        <v>3121</v>
      </c>
      <c r="B2253" s="1" t="s">
        <v>2902</v>
      </c>
      <c r="C2253" s="1" t="s">
        <v>249</v>
      </c>
      <c r="D2253" s="1" t="s">
        <v>44</v>
      </c>
      <c r="E2253" s="1" t="s">
        <v>45</v>
      </c>
      <c r="F2253" s="1" t="s">
        <v>107</v>
      </c>
      <c r="G2253" s="1" t="s">
        <v>108</v>
      </c>
      <c r="H2253" s="1" t="s">
        <v>33</v>
      </c>
      <c r="I2253" s="1" t="s">
        <v>58</v>
      </c>
      <c r="J2253" s="1" t="s">
        <v>59</v>
      </c>
      <c r="K2253" s="1" t="s">
        <v>112</v>
      </c>
      <c r="L2253" s="1" t="s">
        <v>49</v>
      </c>
      <c r="M2253" s="1" t="s">
        <v>50</v>
      </c>
      <c r="N2253" s="1" t="n">
        <v>11999</v>
      </c>
      <c r="O2253" s="1" t="n">
        <v>0</v>
      </c>
      <c r="P2253" s="1" t="n">
        <v>0</v>
      </c>
      <c r="Q2253" s="1" t="n">
        <v>11999</v>
      </c>
      <c r="R2253" s="1" t="n">
        <v>2159.82</v>
      </c>
      <c r="S2253" s="1" t="n">
        <v>9839.18</v>
      </c>
      <c r="T2253" s="1" t="n">
        <v>4856.72</v>
      </c>
      <c r="U2253" s="1" t="n">
        <v>4982.46</v>
      </c>
      <c r="V2253" s="1" t="n">
        <v>50.64</v>
      </c>
      <c r="W2253" s="1" t="s">
        <v>40</v>
      </c>
      <c r="Y2253" s="1" t="s">
        <v>40</v>
      </c>
      <c r="Z2253" s="1" t="n">
        <v>1</v>
      </c>
      <c r="AA2253" s="1" t="str">
        <f aca="false">TRIM(PROPER(F2253))</f>
        <v>Madurai</v>
      </c>
      <c r="AB2253" s="1" t="str">
        <f aca="false">TRIM(PROPER(C2253))</f>
        <v>Whitehat Jr</v>
      </c>
      <c r="AC2253" s="1" t="str">
        <f aca="false">IF(O2253=0,"No Discount",IF(O2253&lt;=15,"Low (1-15%)",IF(O2253&lt;=30,"Medium (16-30%)","High (&gt;30%)")))</f>
        <v>No Discount</v>
      </c>
      <c r="AD2253" s="1" t="str">
        <f aca="false">IF(V2253&lt;0,"Loss Making",IF(V2253&lt;20,"Low Margin","Healthy Margin"))</f>
        <v>Healthy Margin</v>
      </c>
      <c r="AE2253" s="1" t="str">
        <f aca="false">TEXT(DATE(VALUE(RIGHT(B2253,4)),VALUE(MID(B2253,4,2)),VALUE(LEFT(B2253,2))),"MMM-YYYY")</f>
        <v>May-2023</v>
      </c>
      <c r="AF2253" s="1" t="n">
        <f aca="false">VALUE(RIGHT(B2253,4))</f>
        <v>2023</v>
      </c>
      <c r="AG2253" s="1" t="str">
        <f aca="false">CHOOSE(ROUNDUP(VALUE(MID(B2253,4,2))/3,0),"Q1","Q2","Q3","Q4")</f>
        <v>Q2</v>
      </c>
    </row>
    <row r="2254" customFormat="false" ht="15" hidden="false" customHeight="true" outlineLevel="0" collapsed="false">
      <c r="A2254" s="1" t="s">
        <v>3122</v>
      </c>
      <c r="B2254" s="1" t="s">
        <v>1594</v>
      </c>
      <c r="C2254" s="1" t="s">
        <v>178</v>
      </c>
      <c r="D2254" s="1" t="s">
        <v>53</v>
      </c>
      <c r="E2254" s="1" t="s">
        <v>54</v>
      </c>
      <c r="F2254" s="1" t="s">
        <v>125</v>
      </c>
      <c r="G2254" s="1" t="s">
        <v>108</v>
      </c>
      <c r="H2254" s="1" t="s">
        <v>69</v>
      </c>
      <c r="I2254" s="1" t="s">
        <v>58</v>
      </c>
      <c r="J2254" s="1" t="s">
        <v>77</v>
      </c>
      <c r="K2254" s="1" t="s">
        <v>60</v>
      </c>
      <c r="L2254" s="1" t="s">
        <v>61</v>
      </c>
      <c r="M2254" s="1" t="s">
        <v>38</v>
      </c>
      <c r="N2254" s="1" t="n">
        <v>11999</v>
      </c>
      <c r="O2254" s="1" t="n">
        <v>50</v>
      </c>
      <c r="P2254" s="1" t="n">
        <v>5999.5</v>
      </c>
      <c r="Q2254" s="1" t="n">
        <v>5999.5</v>
      </c>
      <c r="R2254" s="1" t="n">
        <v>1079.91</v>
      </c>
      <c r="S2254" s="1" t="n">
        <v>4919.59</v>
      </c>
      <c r="T2254" s="1" t="n">
        <v>2276.81</v>
      </c>
      <c r="U2254" s="1" t="n">
        <v>2642.78</v>
      </c>
      <c r="V2254" s="1" t="n">
        <v>53.72</v>
      </c>
      <c r="W2254" s="1" t="s">
        <v>40</v>
      </c>
      <c r="Y2254" s="1" t="s">
        <v>40</v>
      </c>
      <c r="Z2254" s="1" t="n">
        <v>0</v>
      </c>
      <c r="AA2254" s="1" t="str">
        <f aca="false">TRIM(PROPER(F2254))</f>
        <v>Chennai</v>
      </c>
      <c r="AB2254" s="1" t="str">
        <f aca="false">TRIM(PROPER(C2254))</f>
        <v>Leverage Edu</v>
      </c>
      <c r="AC2254" s="1" t="str">
        <f aca="false">IF(O2254=0,"No Discount",IF(O2254&lt;=15,"Low (1-15%)",IF(O2254&lt;=30,"Medium (16-30%)","High (&gt;30%)")))</f>
        <v>High (&gt;30%)</v>
      </c>
      <c r="AD2254" s="1" t="str">
        <f aca="false">IF(V2254&lt;0,"Loss Making",IF(V2254&lt;20,"Low Margin","Healthy Margin"))</f>
        <v>Healthy Margin</v>
      </c>
      <c r="AE2254" s="1" t="str">
        <f aca="false">TEXT(DATE(VALUE(RIGHT(B2254,4)),VALUE(MID(B2254,4,2)),VALUE(LEFT(B2254,2))),"MMM-YYYY")</f>
        <v>Jul-2023</v>
      </c>
      <c r="AF2254" s="1" t="n">
        <f aca="false">VALUE(RIGHT(B2254,4))</f>
        <v>2023</v>
      </c>
      <c r="AG2254" s="1" t="str">
        <f aca="false">CHOOSE(ROUNDUP(VALUE(MID(B2254,4,2))/3,0),"Q1","Q2","Q3","Q4")</f>
        <v>Q3</v>
      </c>
    </row>
    <row r="2255" customFormat="false" ht="15" hidden="false" customHeight="true" outlineLevel="0" collapsed="false">
      <c r="A2255" s="1" t="s">
        <v>3123</v>
      </c>
      <c r="B2255" s="1" t="s">
        <v>776</v>
      </c>
      <c r="C2255" s="1" t="s">
        <v>178</v>
      </c>
      <c r="D2255" s="1" t="s">
        <v>168</v>
      </c>
      <c r="E2255" s="1" t="s">
        <v>328</v>
      </c>
      <c r="F2255" s="1" t="s">
        <v>96</v>
      </c>
      <c r="G2255" s="1" t="s">
        <v>97</v>
      </c>
      <c r="H2255" s="1" t="s">
        <v>69</v>
      </c>
      <c r="I2255" s="1" t="s">
        <v>58</v>
      </c>
      <c r="J2255" s="1" t="s">
        <v>131</v>
      </c>
      <c r="K2255" s="1" t="s">
        <v>71</v>
      </c>
      <c r="L2255" s="1" t="s">
        <v>113</v>
      </c>
      <c r="M2255" s="1" t="s">
        <v>38</v>
      </c>
      <c r="N2255" s="1" t="n">
        <v>8999</v>
      </c>
      <c r="O2255" s="1" t="n">
        <v>20</v>
      </c>
      <c r="P2255" s="1" t="n">
        <v>1799.8</v>
      </c>
      <c r="Q2255" s="1" t="n">
        <v>7199.2</v>
      </c>
      <c r="R2255" s="1" t="n">
        <v>1295.86</v>
      </c>
      <c r="S2255" s="1" t="n">
        <v>5903.34</v>
      </c>
      <c r="T2255" s="1" t="n">
        <v>2181.41</v>
      </c>
      <c r="U2255" s="1" t="n">
        <v>3721.93</v>
      </c>
      <c r="V2255" s="1" t="n">
        <v>63.05</v>
      </c>
      <c r="W2255" s="1" t="s">
        <v>40</v>
      </c>
      <c r="Y2255" s="1" t="s">
        <v>39</v>
      </c>
      <c r="Z2255" s="1" t="n">
        <v>2</v>
      </c>
      <c r="AA2255" s="1" t="str">
        <f aca="false">TRIM(PROPER(F2255))</f>
        <v>Pune</v>
      </c>
      <c r="AB2255" s="1" t="str">
        <f aca="false">TRIM(PROPER(C2255))</f>
        <v>Leverage Edu</v>
      </c>
      <c r="AC2255" s="1" t="str">
        <f aca="false">IF(O2255=0,"No Discount",IF(O2255&lt;=15,"Low (1-15%)",IF(O2255&lt;=30,"Medium (16-30%)","High (&gt;30%)")))</f>
        <v>Medium (16-30%)</v>
      </c>
      <c r="AD2255" s="1" t="str">
        <f aca="false">IF(V2255&lt;0,"Loss Making",IF(V2255&lt;20,"Low Margin","Healthy Margin"))</f>
        <v>Healthy Margin</v>
      </c>
      <c r="AE2255" s="1" t="str">
        <f aca="false">TEXT(DATE(VALUE(RIGHT(B2255,4)),VALUE(MID(B2255,4,2)),VALUE(LEFT(B2255,2))),"MMM-YYYY")</f>
        <v>Mar-2023</v>
      </c>
      <c r="AF2255" s="1" t="n">
        <f aca="false">VALUE(RIGHT(B2255,4))</f>
        <v>2023</v>
      </c>
      <c r="AG2255" s="1" t="str">
        <f aca="false">CHOOSE(ROUNDUP(VALUE(MID(B2255,4,2))/3,0),"Q1","Q2","Q3","Q4")</f>
        <v>Q1</v>
      </c>
    </row>
    <row r="2256" customFormat="false" ht="15" hidden="false" customHeight="true" outlineLevel="0" collapsed="false">
      <c r="A2256" s="1" t="s">
        <v>3124</v>
      </c>
      <c r="B2256" s="1" t="s">
        <v>1011</v>
      </c>
      <c r="C2256" s="1" t="s">
        <v>74</v>
      </c>
      <c r="D2256" s="1" t="s">
        <v>53</v>
      </c>
      <c r="E2256" s="1" t="s">
        <v>116</v>
      </c>
      <c r="F2256" s="1" t="s">
        <v>102</v>
      </c>
      <c r="G2256" s="1" t="s">
        <v>103</v>
      </c>
      <c r="H2256" s="1" t="s">
        <v>33</v>
      </c>
      <c r="I2256" s="1" t="s">
        <v>83</v>
      </c>
      <c r="J2256" s="1" t="s">
        <v>70</v>
      </c>
      <c r="K2256" s="1" t="s">
        <v>112</v>
      </c>
      <c r="L2256" s="1" t="s">
        <v>49</v>
      </c>
      <c r="M2256" s="1" t="s">
        <v>50</v>
      </c>
      <c r="N2256" s="1" t="n">
        <v>9999</v>
      </c>
      <c r="O2256" s="1" t="n">
        <v>20</v>
      </c>
      <c r="P2256" s="1" t="n">
        <v>1999.8</v>
      </c>
      <c r="Q2256" s="1" t="n">
        <v>7999.2</v>
      </c>
      <c r="R2256" s="1" t="n">
        <v>1439.86</v>
      </c>
      <c r="S2256" s="1" t="n">
        <v>6559.34</v>
      </c>
      <c r="T2256" s="1" t="n">
        <v>2677.81</v>
      </c>
      <c r="U2256" s="1" t="n">
        <v>3881.53</v>
      </c>
      <c r="V2256" s="1" t="n">
        <v>59.18</v>
      </c>
      <c r="W2256" s="1" t="s">
        <v>39</v>
      </c>
      <c r="X2256" s="1" t="n">
        <v>3.7</v>
      </c>
      <c r="Y2256" s="1" t="s">
        <v>40</v>
      </c>
      <c r="Z2256" s="1" t="n">
        <v>0</v>
      </c>
      <c r="AA2256" s="1" t="str">
        <f aca="false">TRIM(PROPER(F2256))</f>
        <v>Warangal</v>
      </c>
      <c r="AB2256" s="1" t="str">
        <f aca="false">TRIM(PROPER(C2256))</f>
        <v>Vedantu</v>
      </c>
      <c r="AC2256" s="1" t="str">
        <f aca="false">IF(O2256=0,"No Discount",IF(O2256&lt;=15,"Low (1-15%)",IF(O2256&lt;=30,"Medium (16-30%)","High (&gt;30%)")))</f>
        <v>Medium (16-30%)</v>
      </c>
      <c r="AD2256" s="1" t="str">
        <f aca="false">IF(V2256&lt;0,"Loss Making",IF(V2256&lt;20,"Low Margin","Healthy Margin"))</f>
        <v>Healthy Margin</v>
      </c>
      <c r="AE2256" s="1" t="str">
        <f aca="false">TEXT(DATE(VALUE(RIGHT(B2256,4)),VALUE(MID(B2256,4,2)),VALUE(LEFT(B2256,2))),"MMM-YYYY")</f>
        <v>May-2024</v>
      </c>
      <c r="AF2256" s="1" t="n">
        <f aca="false">VALUE(RIGHT(B2256,4))</f>
        <v>2024</v>
      </c>
      <c r="AG2256" s="1" t="str">
        <f aca="false">CHOOSE(ROUNDUP(VALUE(MID(B2256,4,2))/3,0),"Q1","Q2","Q3","Q4")</f>
        <v>Q2</v>
      </c>
    </row>
    <row r="2257" customFormat="false" ht="15" hidden="false" customHeight="true" outlineLevel="0" collapsed="false">
      <c r="A2257" s="1" t="s">
        <v>3125</v>
      </c>
      <c r="B2257" s="1" t="s">
        <v>747</v>
      </c>
      <c r="C2257" s="1" t="s">
        <v>28</v>
      </c>
      <c r="D2257" s="1" t="s">
        <v>44</v>
      </c>
      <c r="E2257" s="1" t="s">
        <v>66</v>
      </c>
      <c r="F2257" s="1" t="s">
        <v>55</v>
      </c>
      <c r="G2257" s="1" t="s">
        <v>56</v>
      </c>
      <c r="H2257" s="1" t="s">
        <v>57</v>
      </c>
      <c r="I2257" s="1" t="s">
        <v>58</v>
      </c>
      <c r="J2257" s="1" t="s">
        <v>59</v>
      </c>
      <c r="K2257" s="1" t="s">
        <v>36</v>
      </c>
      <c r="L2257" s="1" t="s">
        <v>113</v>
      </c>
      <c r="M2257" s="1" t="s">
        <v>50</v>
      </c>
      <c r="N2257" s="1" t="n">
        <v>12999</v>
      </c>
      <c r="O2257" s="1" t="n">
        <v>0</v>
      </c>
      <c r="P2257" s="1" t="n">
        <v>0</v>
      </c>
      <c r="Q2257" s="1" t="n">
        <v>12999</v>
      </c>
      <c r="R2257" s="1" t="n">
        <v>2339.82</v>
      </c>
      <c r="S2257" s="1" t="n">
        <v>10659.18</v>
      </c>
      <c r="T2257" s="1" t="n">
        <v>3950.04</v>
      </c>
      <c r="U2257" s="1" t="n">
        <v>6709.14</v>
      </c>
      <c r="V2257" s="1" t="n">
        <v>62.94</v>
      </c>
      <c r="W2257" s="1" t="s">
        <v>39</v>
      </c>
      <c r="X2257" s="1" t="n">
        <v>4.2</v>
      </c>
      <c r="Y2257" s="1" t="s">
        <v>40</v>
      </c>
      <c r="Z2257" s="1" t="n">
        <v>0</v>
      </c>
      <c r="AA2257" s="1" t="str">
        <f aca="false">TRIM(PROPER(F2257))</f>
        <v>Ghaziabad</v>
      </c>
      <c r="AB2257" s="1" t="str">
        <f aca="false">TRIM(PROPER(C2257))</f>
        <v>Embibe</v>
      </c>
      <c r="AC2257" s="1" t="str">
        <f aca="false">IF(O2257=0,"No Discount",IF(O2257&lt;=15,"Low (1-15%)",IF(O2257&lt;=30,"Medium (16-30%)","High (&gt;30%)")))</f>
        <v>No Discount</v>
      </c>
      <c r="AD2257" s="1" t="str">
        <f aca="false">IF(V2257&lt;0,"Loss Making",IF(V2257&lt;20,"Low Margin","Healthy Margin"))</f>
        <v>Healthy Margin</v>
      </c>
      <c r="AE2257" s="1" t="str">
        <f aca="false">TEXT(DATE(VALUE(RIGHT(B2257,4)),VALUE(MID(B2257,4,2)),VALUE(LEFT(B2257,2))),"MMM-YYYY")</f>
        <v>Oct-2023</v>
      </c>
      <c r="AF2257" s="1" t="n">
        <f aca="false">VALUE(RIGHT(B2257,4))</f>
        <v>2023</v>
      </c>
      <c r="AG2257" s="1" t="str">
        <f aca="false">CHOOSE(ROUNDUP(VALUE(MID(B2257,4,2))/3,0),"Q1","Q2","Q3","Q4")</f>
        <v>Q4</v>
      </c>
    </row>
    <row r="2258" customFormat="false" ht="15" hidden="false" customHeight="true" outlineLevel="0" collapsed="false">
      <c r="A2258" s="1" t="s">
        <v>3126</v>
      </c>
      <c r="B2258" s="1" t="s">
        <v>1727</v>
      </c>
      <c r="C2258" s="1" t="s">
        <v>128</v>
      </c>
      <c r="D2258" s="1" t="s">
        <v>94</v>
      </c>
      <c r="E2258" s="1" t="s">
        <v>135</v>
      </c>
      <c r="F2258" s="1" t="s">
        <v>130</v>
      </c>
      <c r="G2258" s="1" t="s">
        <v>47</v>
      </c>
      <c r="H2258" s="1" t="s">
        <v>69</v>
      </c>
      <c r="I2258" s="1" t="s">
        <v>58</v>
      </c>
      <c r="J2258" s="1" t="s">
        <v>59</v>
      </c>
      <c r="K2258" s="1" t="s">
        <v>84</v>
      </c>
      <c r="L2258" s="1" t="s">
        <v>136</v>
      </c>
      <c r="M2258" s="1" t="s">
        <v>62</v>
      </c>
      <c r="N2258" s="1" t="n">
        <v>9999</v>
      </c>
      <c r="O2258" s="1" t="n">
        <v>50</v>
      </c>
      <c r="P2258" s="1" t="n">
        <v>4999.5</v>
      </c>
      <c r="Q2258" s="1" t="n">
        <v>4999.5</v>
      </c>
      <c r="R2258" s="1" t="n">
        <v>899.91</v>
      </c>
      <c r="S2258" s="1" t="n">
        <v>4099.59</v>
      </c>
      <c r="T2258" s="1" t="n">
        <v>1547.13</v>
      </c>
      <c r="U2258" s="1" t="n">
        <v>2552.46</v>
      </c>
      <c r="V2258" s="1" t="n">
        <v>62.26</v>
      </c>
      <c r="W2258" s="1" t="s">
        <v>39</v>
      </c>
      <c r="X2258" s="1" t="n">
        <v>3.6</v>
      </c>
      <c r="Y2258" s="1" t="s">
        <v>40</v>
      </c>
      <c r="Z2258" s="1" t="n">
        <v>1</v>
      </c>
      <c r="AA2258" s="1" t="str">
        <f aca="false">TRIM(PROPER(F2258))</f>
        <v>Bengaluru</v>
      </c>
      <c r="AB2258" s="1" t="str">
        <f aca="false">TRIM(PROPER(C2258))</f>
        <v>Great Learning</v>
      </c>
      <c r="AC2258" s="1" t="str">
        <f aca="false">IF(O2258=0,"No Discount",IF(O2258&lt;=15,"Low (1-15%)",IF(O2258&lt;=30,"Medium (16-30%)","High (&gt;30%)")))</f>
        <v>High (&gt;30%)</v>
      </c>
      <c r="AD2258" s="1" t="str">
        <f aca="false">IF(V2258&lt;0,"Loss Making",IF(V2258&lt;20,"Low Margin","Healthy Margin"))</f>
        <v>Healthy Margin</v>
      </c>
      <c r="AE2258" s="1" t="str">
        <f aca="false">TEXT(DATE(VALUE(RIGHT(B2258,4)),VALUE(MID(B2258,4,2)),VALUE(LEFT(B2258,2))),"MMM-YYYY")</f>
        <v>Jun-2024</v>
      </c>
      <c r="AF2258" s="1" t="n">
        <f aca="false">VALUE(RIGHT(B2258,4))</f>
        <v>2024</v>
      </c>
      <c r="AG2258" s="1" t="str">
        <f aca="false">CHOOSE(ROUNDUP(VALUE(MID(B2258,4,2))/3,0),"Q1","Q2","Q3","Q4")</f>
        <v>Q2</v>
      </c>
    </row>
    <row r="2259" customFormat="false" ht="15" hidden="false" customHeight="true" outlineLevel="0" collapsed="false">
      <c r="A2259" s="1" t="s">
        <v>3127</v>
      </c>
      <c r="B2259" s="1" t="s">
        <v>974</v>
      </c>
      <c r="C2259" s="1" t="s">
        <v>128</v>
      </c>
      <c r="D2259" s="1" t="s">
        <v>29</v>
      </c>
      <c r="E2259" s="1" t="s">
        <v>182</v>
      </c>
      <c r="F2259" s="1" t="s">
        <v>55</v>
      </c>
      <c r="G2259" s="1" t="s">
        <v>56</v>
      </c>
      <c r="H2259" s="1" t="s">
        <v>57</v>
      </c>
      <c r="I2259" s="1" t="s">
        <v>58</v>
      </c>
      <c r="J2259" s="1" t="s">
        <v>35</v>
      </c>
      <c r="K2259" s="1" t="s">
        <v>112</v>
      </c>
      <c r="L2259" s="1" t="s">
        <v>136</v>
      </c>
      <c r="M2259" s="1" t="s">
        <v>62</v>
      </c>
      <c r="N2259" s="1" t="n">
        <v>34999</v>
      </c>
      <c r="O2259" s="1" t="n">
        <v>15</v>
      </c>
      <c r="P2259" s="1" t="n">
        <v>5249.85</v>
      </c>
      <c r="Q2259" s="1" t="n">
        <v>29749.15</v>
      </c>
      <c r="R2259" s="1" t="n">
        <v>5354.85</v>
      </c>
      <c r="S2259" s="1" t="n">
        <v>24394.3</v>
      </c>
      <c r="T2259" s="1" t="n">
        <v>10019.91</v>
      </c>
      <c r="U2259" s="1" t="n">
        <v>14374.39</v>
      </c>
      <c r="V2259" s="1" t="n">
        <v>58.93</v>
      </c>
      <c r="W2259" s="1" t="s">
        <v>39</v>
      </c>
      <c r="Y2259" s="1" t="s">
        <v>40</v>
      </c>
      <c r="Z2259" s="1" t="n">
        <v>0</v>
      </c>
      <c r="AA2259" s="1" t="str">
        <f aca="false">TRIM(PROPER(F2259))</f>
        <v>Ghaziabad</v>
      </c>
      <c r="AB2259" s="1" t="str">
        <f aca="false">TRIM(PROPER(C2259))</f>
        <v>Great Learning</v>
      </c>
      <c r="AC2259" s="1" t="str">
        <f aca="false">IF(O2259=0,"No Discount",IF(O2259&lt;=15,"Low (1-15%)",IF(O2259&lt;=30,"Medium (16-30%)","High (&gt;30%)")))</f>
        <v>Low (1-15%)</v>
      </c>
      <c r="AD2259" s="1" t="str">
        <f aca="false">IF(V2259&lt;0,"Loss Making",IF(V2259&lt;20,"Low Margin","Healthy Margin"))</f>
        <v>Healthy Margin</v>
      </c>
      <c r="AE2259" s="1" t="str">
        <f aca="false">TEXT(DATE(VALUE(RIGHT(B2259,4)),VALUE(MID(B2259,4,2)),VALUE(LEFT(B2259,2))),"MMM-YYYY")</f>
        <v>Feb-2023</v>
      </c>
      <c r="AF2259" s="1" t="n">
        <f aca="false">VALUE(RIGHT(B2259,4))</f>
        <v>2023</v>
      </c>
      <c r="AG2259" s="1" t="str">
        <f aca="false">CHOOSE(ROUNDUP(VALUE(MID(B2259,4,2))/3,0),"Q1","Q2","Q3","Q4")</f>
        <v>Q1</v>
      </c>
    </row>
    <row r="2260" customFormat="false" ht="15" hidden="false" customHeight="true" outlineLevel="0" collapsed="false">
      <c r="A2260" s="1" t="s">
        <v>3128</v>
      </c>
      <c r="B2260" s="1" t="s">
        <v>2695</v>
      </c>
      <c r="C2260" s="1" t="s">
        <v>43</v>
      </c>
      <c r="D2260" s="1" t="s">
        <v>143</v>
      </c>
      <c r="E2260" s="1" t="s">
        <v>210</v>
      </c>
      <c r="F2260" s="1" t="s">
        <v>55</v>
      </c>
      <c r="G2260" s="1" t="s">
        <v>56</v>
      </c>
      <c r="H2260" s="1" t="s">
        <v>57</v>
      </c>
      <c r="I2260" s="1" t="s">
        <v>58</v>
      </c>
      <c r="J2260" s="1" t="s">
        <v>35</v>
      </c>
      <c r="K2260" s="1" t="s">
        <v>104</v>
      </c>
      <c r="L2260" s="1" t="s">
        <v>49</v>
      </c>
      <c r="M2260" s="1" t="s">
        <v>62</v>
      </c>
      <c r="N2260" s="1" t="n">
        <v>18999</v>
      </c>
      <c r="O2260" s="1" t="n">
        <v>10</v>
      </c>
      <c r="P2260" s="1" t="n">
        <v>1899.9</v>
      </c>
      <c r="Q2260" s="1" t="n">
        <v>17099.1</v>
      </c>
      <c r="R2260" s="1" t="n">
        <v>3077.84</v>
      </c>
      <c r="S2260" s="1" t="n">
        <v>14021.26</v>
      </c>
      <c r="T2260" s="1" t="n">
        <v>6173.77</v>
      </c>
      <c r="U2260" s="1" t="n">
        <v>7847.49</v>
      </c>
      <c r="V2260" s="1" t="n">
        <v>55.97</v>
      </c>
      <c r="W2260" s="1" t="s">
        <v>40</v>
      </c>
      <c r="Y2260" s="1" t="s">
        <v>40</v>
      </c>
      <c r="Z2260" s="1" t="n">
        <v>0</v>
      </c>
      <c r="AA2260" s="1" t="str">
        <f aca="false">TRIM(PROPER(F2260))</f>
        <v>Ghaziabad</v>
      </c>
      <c r="AB2260" s="1" t="str">
        <f aca="false">TRIM(PROPER(C2260))</f>
        <v>Meritnation</v>
      </c>
      <c r="AC2260" s="1" t="str">
        <f aca="false">IF(O2260=0,"No Discount",IF(O2260&lt;=15,"Low (1-15%)",IF(O2260&lt;=30,"Medium (16-30%)","High (&gt;30%)")))</f>
        <v>Low (1-15%)</v>
      </c>
      <c r="AD2260" s="1" t="str">
        <f aca="false">IF(V2260&lt;0,"Loss Making",IF(V2260&lt;20,"Low Margin","Healthy Margin"))</f>
        <v>Healthy Margin</v>
      </c>
      <c r="AE2260" s="1" t="str">
        <f aca="false">TEXT(DATE(VALUE(RIGHT(B2260,4)),VALUE(MID(B2260,4,2)),VALUE(LEFT(B2260,2))),"MMM-YYYY")</f>
        <v>May-2023</v>
      </c>
      <c r="AF2260" s="1" t="n">
        <f aca="false">VALUE(RIGHT(B2260,4))</f>
        <v>2023</v>
      </c>
      <c r="AG2260" s="1" t="str">
        <f aca="false">CHOOSE(ROUNDUP(VALUE(MID(B2260,4,2))/3,0),"Q1","Q2","Q3","Q4")</f>
        <v>Q2</v>
      </c>
    </row>
    <row r="2261" customFormat="false" ht="15" hidden="false" customHeight="true" outlineLevel="0" collapsed="false">
      <c r="A2261" s="1" t="s">
        <v>3129</v>
      </c>
      <c r="B2261" s="1" t="s">
        <v>2932</v>
      </c>
      <c r="C2261" s="1" t="s">
        <v>65</v>
      </c>
      <c r="D2261" s="1" t="s">
        <v>123</v>
      </c>
      <c r="E2261" s="1" t="s">
        <v>233</v>
      </c>
      <c r="F2261" s="1" t="s">
        <v>102</v>
      </c>
      <c r="G2261" s="1" t="s">
        <v>103</v>
      </c>
      <c r="H2261" s="1" t="s">
        <v>33</v>
      </c>
      <c r="I2261" s="1" t="s">
        <v>83</v>
      </c>
      <c r="J2261" s="1" t="s">
        <v>35</v>
      </c>
      <c r="K2261" s="1" t="s">
        <v>48</v>
      </c>
      <c r="L2261" s="1" t="s">
        <v>61</v>
      </c>
      <c r="M2261" s="1" t="s">
        <v>38</v>
      </c>
      <c r="N2261" s="1" t="n">
        <v>8999</v>
      </c>
      <c r="O2261" s="1" t="n">
        <v>25</v>
      </c>
      <c r="P2261" s="1" t="n">
        <v>2249.75</v>
      </c>
      <c r="Q2261" s="1" t="n">
        <v>6749.25</v>
      </c>
      <c r="R2261" s="1" t="n">
        <v>1214.87</v>
      </c>
      <c r="S2261" s="1" t="n">
        <v>5534.38</v>
      </c>
      <c r="T2261" s="1" t="n">
        <v>2853.06</v>
      </c>
      <c r="U2261" s="1" t="n">
        <v>2681.32</v>
      </c>
      <c r="V2261" s="1" t="n">
        <v>48.45</v>
      </c>
      <c r="W2261" s="1" t="s">
        <v>39</v>
      </c>
      <c r="X2261" s="1" t="n">
        <v>3.4</v>
      </c>
      <c r="Y2261" s="1" t="s">
        <v>40</v>
      </c>
      <c r="Z2261" s="1" t="n">
        <v>0</v>
      </c>
      <c r="AA2261" s="1" t="str">
        <f aca="false">TRIM(PROPER(F2261))</f>
        <v>Warangal</v>
      </c>
      <c r="AB2261" s="1" t="str">
        <f aca="false">TRIM(PROPER(C2261))</f>
        <v>Toppr</v>
      </c>
      <c r="AC2261" s="1" t="str">
        <f aca="false">IF(O2261=0,"No Discount",IF(O2261&lt;=15,"Low (1-15%)",IF(O2261&lt;=30,"Medium (16-30%)","High (&gt;30%)")))</f>
        <v>Medium (16-30%)</v>
      </c>
      <c r="AD2261" s="1" t="str">
        <f aca="false">IF(V2261&lt;0,"Loss Making",IF(V2261&lt;20,"Low Margin","Healthy Margin"))</f>
        <v>Healthy Margin</v>
      </c>
      <c r="AE2261" s="1" t="str">
        <f aca="false">TEXT(DATE(VALUE(RIGHT(B2261,4)),VALUE(MID(B2261,4,2)),VALUE(LEFT(B2261,2))),"MMM-YYYY")</f>
        <v>Feb-2023</v>
      </c>
      <c r="AF2261" s="1" t="n">
        <f aca="false">VALUE(RIGHT(B2261,4))</f>
        <v>2023</v>
      </c>
      <c r="AG2261" s="1" t="str">
        <f aca="false">CHOOSE(ROUNDUP(VALUE(MID(B2261,4,2))/3,0),"Q1","Q2","Q3","Q4")</f>
        <v>Q1</v>
      </c>
    </row>
    <row r="2262" customFormat="false" ht="15" hidden="false" customHeight="true" outlineLevel="0" collapsed="false">
      <c r="A2262" s="1" t="s">
        <v>3130</v>
      </c>
      <c r="B2262" s="1" t="s">
        <v>1751</v>
      </c>
      <c r="C2262" s="1" t="s">
        <v>139</v>
      </c>
      <c r="D2262" s="1" t="s">
        <v>44</v>
      </c>
      <c r="E2262" s="1" t="s">
        <v>45</v>
      </c>
      <c r="F2262" s="1" t="s">
        <v>55</v>
      </c>
      <c r="G2262" s="1" t="s">
        <v>56</v>
      </c>
      <c r="H2262" s="1" t="s">
        <v>57</v>
      </c>
      <c r="I2262" s="1" t="s">
        <v>34</v>
      </c>
      <c r="J2262" s="1" t="s">
        <v>77</v>
      </c>
      <c r="K2262" s="1" t="s">
        <v>84</v>
      </c>
      <c r="L2262" s="1" t="s">
        <v>136</v>
      </c>
      <c r="M2262" s="1" t="s">
        <v>38</v>
      </c>
      <c r="N2262" s="1" t="n">
        <v>11999</v>
      </c>
      <c r="O2262" s="1" t="n">
        <v>0</v>
      </c>
      <c r="P2262" s="1" t="n">
        <v>0</v>
      </c>
      <c r="Q2262" s="1" t="n">
        <v>11999</v>
      </c>
      <c r="R2262" s="1" t="n">
        <v>2159.82</v>
      </c>
      <c r="S2262" s="1" t="n">
        <v>9839.18</v>
      </c>
      <c r="T2262" s="1" t="n">
        <v>4161.42</v>
      </c>
      <c r="U2262" s="1" t="n">
        <v>5677.76</v>
      </c>
      <c r="V2262" s="1" t="n">
        <v>57.71</v>
      </c>
      <c r="W2262" s="1" t="s">
        <v>40</v>
      </c>
      <c r="Y2262" s="1" t="s">
        <v>40</v>
      </c>
      <c r="Z2262" s="1" t="n">
        <v>0</v>
      </c>
      <c r="AA2262" s="1" t="str">
        <f aca="false">TRIM(PROPER(F2262))</f>
        <v>Ghaziabad</v>
      </c>
      <c r="AB2262" s="1" t="str">
        <f aca="false">TRIM(PROPER(C2262))</f>
        <v>Extramarks</v>
      </c>
      <c r="AC2262" s="1" t="str">
        <f aca="false">IF(O2262=0,"No Discount",IF(O2262&lt;=15,"Low (1-15%)",IF(O2262&lt;=30,"Medium (16-30%)","High (&gt;30%)")))</f>
        <v>No Discount</v>
      </c>
      <c r="AD2262" s="1" t="str">
        <f aca="false">IF(V2262&lt;0,"Loss Making",IF(V2262&lt;20,"Low Margin","Healthy Margin"))</f>
        <v>Healthy Margin</v>
      </c>
      <c r="AE2262" s="1" t="str">
        <f aca="false">TEXT(DATE(VALUE(RIGHT(B2262,4)),VALUE(MID(B2262,4,2)),VALUE(LEFT(B2262,2))),"MMM-YYYY")</f>
        <v>Jun-2024</v>
      </c>
      <c r="AF2262" s="1" t="n">
        <f aca="false">VALUE(RIGHT(B2262,4))</f>
        <v>2024</v>
      </c>
      <c r="AG2262" s="1" t="str">
        <f aca="false">CHOOSE(ROUNDUP(VALUE(MID(B2262,4,2))/3,0),"Q1","Q2","Q3","Q4")</f>
        <v>Q2</v>
      </c>
    </row>
    <row r="2263" customFormat="false" ht="15" hidden="false" customHeight="true" outlineLevel="0" collapsed="false">
      <c r="A2263" s="1" t="s">
        <v>3131</v>
      </c>
      <c r="B2263" s="1" t="s">
        <v>438</v>
      </c>
      <c r="C2263" s="1" t="s">
        <v>249</v>
      </c>
      <c r="D2263" s="1" t="s">
        <v>29</v>
      </c>
      <c r="E2263" s="1" t="s">
        <v>182</v>
      </c>
      <c r="F2263" s="1" t="s">
        <v>211</v>
      </c>
      <c r="G2263" s="1" t="s">
        <v>56</v>
      </c>
      <c r="H2263" s="1" t="s">
        <v>69</v>
      </c>
      <c r="I2263" s="1" t="s">
        <v>58</v>
      </c>
      <c r="J2263" s="1" t="s">
        <v>35</v>
      </c>
      <c r="K2263" s="1" t="s">
        <v>90</v>
      </c>
      <c r="L2263" s="1" t="s">
        <v>61</v>
      </c>
      <c r="M2263" s="1" t="s">
        <v>38</v>
      </c>
      <c r="N2263" s="1" t="n">
        <v>34999</v>
      </c>
      <c r="O2263" s="1" t="n">
        <v>50</v>
      </c>
      <c r="P2263" s="1" t="n">
        <v>17499.5</v>
      </c>
      <c r="Q2263" s="1" t="n">
        <v>17499.5</v>
      </c>
      <c r="R2263" s="1" t="n">
        <v>3149.91</v>
      </c>
      <c r="S2263" s="1" t="n">
        <v>14349.59</v>
      </c>
      <c r="T2263" s="1" t="n">
        <v>7870.77</v>
      </c>
      <c r="U2263" s="1" t="n">
        <v>6478.82</v>
      </c>
      <c r="V2263" s="1" t="n">
        <v>45.15</v>
      </c>
      <c r="W2263" s="1" t="s">
        <v>39</v>
      </c>
      <c r="Y2263" s="1" t="s">
        <v>40</v>
      </c>
      <c r="Z2263" s="1" t="n">
        <v>0</v>
      </c>
      <c r="AA2263" s="1" t="str">
        <f aca="false">TRIM(PROPER(F2263))</f>
        <v>Noida</v>
      </c>
      <c r="AB2263" s="1" t="str">
        <f aca="false">TRIM(PROPER(C2263))</f>
        <v>Whitehat Jr</v>
      </c>
      <c r="AC2263" s="1" t="str">
        <f aca="false">IF(O2263=0,"No Discount",IF(O2263&lt;=15,"Low (1-15%)",IF(O2263&lt;=30,"Medium (16-30%)","High (&gt;30%)")))</f>
        <v>High (&gt;30%)</v>
      </c>
      <c r="AD2263" s="1" t="str">
        <f aca="false">IF(V2263&lt;0,"Loss Making",IF(V2263&lt;20,"Low Margin","Healthy Margin"))</f>
        <v>Healthy Margin</v>
      </c>
      <c r="AE2263" s="1" t="str">
        <f aca="false">TEXT(DATE(VALUE(RIGHT(B2263,4)),VALUE(MID(B2263,4,2)),VALUE(LEFT(B2263,2))),"MMM-YYYY")</f>
        <v>May-2023</v>
      </c>
      <c r="AF2263" s="1" t="n">
        <f aca="false">VALUE(RIGHT(B2263,4))</f>
        <v>2023</v>
      </c>
      <c r="AG2263" s="1" t="str">
        <f aca="false">CHOOSE(ROUNDUP(VALUE(MID(B2263,4,2))/3,0),"Q1","Q2","Q3","Q4")</f>
        <v>Q2</v>
      </c>
    </row>
    <row r="2264" customFormat="false" ht="15" hidden="false" customHeight="true" outlineLevel="0" collapsed="false">
      <c r="A2264" s="1" t="s">
        <v>3132</v>
      </c>
      <c r="B2264" s="1" t="s">
        <v>42</v>
      </c>
      <c r="C2264" s="1" t="s">
        <v>43</v>
      </c>
      <c r="D2264" s="1" t="s">
        <v>29</v>
      </c>
      <c r="E2264" s="1" t="s">
        <v>182</v>
      </c>
      <c r="F2264" s="1" t="s">
        <v>107</v>
      </c>
      <c r="G2264" s="1" t="s">
        <v>108</v>
      </c>
      <c r="H2264" s="1" t="s">
        <v>33</v>
      </c>
      <c r="I2264" s="1" t="s">
        <v>58</v>
      </c>
      <c r="J2264" s="1" t="s">
        <v>35</v>
      </c>
      <c r="K2264" s="1" t="s">
        <v>36</v>
      </c>
      <c r="L2264" s="1" t="s">
        <v>61</v>
      </c>
      <c r="M2264" s="1" t="s">
        <v>38</v>
      </c>
      <c r="N2264" s="1" t="n">
        <v>34999</v>
      </c>
      <c r="O2264" s="1" t="n">
        <v>30</v>
      </c>
      <c r="P2264" s="1" t="n">
        <v>10499.7</v>
      </c>
      <c r="Q2264" s="1" t="n">
        <v>24499.3</v>
      </c>
      <c r="R2264" s="1" t="n">
        <v>4409.87</v>
      </c>
      <c r="S2264" s="1" t="n">
        <v>20089.43</v>
      </c>
      <c r="T2264" s="1" t="n">
        <v>8911.11</v>
      </c>
      <c r="U2264" s="1" t="n">
        <v>11178.32</v>
      </c>
      <c r="V2264" s="1" t="n">
        <v>55.64</v>
      </c>
      <c r="W2264" s="1" t="s">
        <v>39</v>
      </c>
      <c r="X2264" s="1" t="n">
        <v>4.1</v>
      </c>
      <c r="Y2264" s="1" t="s">
        <v>40</v>
      </c>
      <c r="Z2264" s="1" t="n">
        <v>0</v>
      </c>
      <c r="AA2264" s="1" t="str">
        <f aca="false">TRIM(PROPER(F2264))</f>
        <v>Madurai</v>
      </c>
      <c r="AB2264" s="1" t="str">
        <f aca="false">TRIM(PROPER(C2264))</f>
        <v>Meritnation</v>
      </c>
      <c r="AC2264" s="1" t="str">
        <f aca="false">IF(O2264=0,"No Discount",IF(O2264&lt;=15,"Low (1-15%)",IF(O2264&lt;=30,"Medium (16-30%)","High (&gt;30%)")))</f>
        <v>Medium (16-30%)</v>
      </c>
      <c r="AD2264" s="1" t="str">
        <f aca="false">IF(V2264&lt;0,"Loss Making",IF(V2264&lt;20,"Low Margin","Healthy Margin"))</f>
        <v>Healthy Margin</v>
      </c>
      <c r="AE2264" s="1" t="str">
        <f aca="false">TEXT(DATE(VALUE(RIGHT(B2264,4)),VALUE(MID(B2264,4,2)),VALUE(LEFT(B2264,2))),"MMM-YYYY")</f>
        <v>Dec-2023</v>
      </c>
      <c r="AF2264" s="1" t="n">
        <f aca="false">VALUE(RIGHT(B2264,4))</f>
        <v>2023</v>
      </c>
      <c r="AG2264" s="1" t="str">
        <f aca="false">CHOOSE(ROUNDUP(VALUE(MID(B2264,4,2))/3,0),"Q1","Q2","Q3","Q4")</f>
        <v>Q4</v>
      </c>
    </row>
    <row r="2265" customFormat="false" ht="15" hidden="false" customHeight="true" outlineLevel="0" collapsed="false">
      <c r="A2265" s="1" t="s">
        <v>3133</v>
      </c>
      <c r="B2265" s="1" t="s">
        <v>901</v>
      </c>
      <c r="C2265" s="1" t="s">
        <v>43</v>
      </c>
      <c r="D2265" s="1" t="s">
        <v>53</v>
      </c>
      <c r="E2265" s="1" t="s">
        <v>54</v>
      </c>
      <c r="F2265" s="1" t="s">
        <v>31</v>
      </c>
      <c r="G2265" s="1" t="s">
        <v>32</v>
      </c>
      <c r="H2265" s="1" t="s">
        <v>33</v>
      </c>
      <c r="I2265" s="1" t="s">
        <v>34</v>
      </c>
      <c r="J2265" s="1" t="s">
        <v>59</v>
      </c>
      <c r="K2265" s="1" t="s">
        <v>90</v>
      </c>
      <c r="L2265" s="1" t="s">
        <v>61</v>
      </c>
      <c r="M2265" s="1" t="s">
        <v>50</v>
      </c>
      <c r="N2265" s="1" t="n">
        <v>11999</v>
      </c>
      <c r="O2265" s="1" t="n">
        <v>40</v>
      </c>
      <c r="P2265" s="1" t="n">
        <v>4799.6</v>
      </c>
      <c r="Q2265" s="1" t="n">
        <v>7199.4</v>
      </c>
      <c r="R2265" s="1" t="n">
        <v>1295.89</v>
      </c>
      <c r="S2265" s="1" t="n">
        <v>5903.51</v>
      </c>
      <c r="T2265" s="1" t="n">
        <v>2852.36</v>
      </c>
      <c r="U2265" s="1" t="n">
        <v>3051.15</v>
      </c>
      <c r="V2265" s="1" t="n">
        <v>51.68</v>
      </c>
      <c r="W2265" s="1" t="s">
        <v>40</v>
      </c>
      <c r="Y2265" s="1" t="s">
        <v>40</v>
      </c>
      <c r="Z2265" s="1" t="n">
        <v>0</v>
      </c>
      <c r="AA2265" s="1" t="str">
        <f aca="false">TRIM(PROPER(F2265))</f>
        <v>Jodhpur</v>
      </c>
      <c r="AB2265" s="1" t="str">
        <f aca="false">TRIM(PROPER(C2265))</f>
        <v>Meritnation</v>
      </c>
      <c r="AC2265" s="1" t="str">
        <f aca="false">IF(O2265=0,"No Discount",IF(O2265&lt;=15,"Low (1-15%)",IF(O2265&lt;=30,"Medium (16-30%)","High (&gt;30%)")))</f>
        <v>High (&gt;30%)</v>
      </c>
      <c r="AD2265" s="1" t="str">
        <f aca="false">IF(V2265&lt;0,"Loss Making",IF(V2265&lt;20,"Low Margin","Healthy Margin"))</f>
        <v>Healthy Margin</v>
      </c>
      <c r="AE2265" s="1" t="str">
        <f aca="false">TEXT(DATE(VALUE(RIGHT(B2265,4)),VALUE(MID(B2265,4,2)),VALUE(LEFT(B2265,2))),"MMM-YYYY")</f>
        <v>Jan-2023</v>
      </c>
      <c r="AF2265" s="1" t="n">
        <f aca="false">VALUE(RIGHT(B2265,4))</f>
        <v>2023</v>
      </c>
      <c r="AG2265" s="1" t="str">
        <f aca="false">CHOOSE(ROUNDUP(VALUE(MID(B2265,4,2))/3,0),"Q1","Q2","Q3","Q4")</f>
        <v>Q1</v>
      </c>
    </row>
    <row r="2266" customFormat="false" ht="15" hidden="false" customHeight="true" outlineLevel="0" collapsed="false">
      <c r="A2266" s="1" t="s">
        <v>3134</v>
      </c>
      <c r="B2266" s="1" t="s">
        <v>785</v>
      </c>
      <c r="C2266" s="1" t="s">
        <v>249</v>
      </c>
      <c r="D2266" s="1" t="s">
        <v>143</v>
      </c>
      <c r="E2266" s="1" t="s">
        <v>210</v>
      </c>
      <c r="F2266" s="1" t="s">
        <v>120</v>
      </c>
      <c r="G2266" s="1" t="s">
        <v>47</v>
      </c>
      <c r="H2266" s="1" t="s">
        <v>57</v>
      </c>
      <c r="I2266" s="1" t="s">
        <v>34</v>
      </c>
      <c r="J2266" s="1" t="s">
        <v>59</v>
      </c>
      <c r="K2266" s="1" t="s">
        <v>90</v>
      </c>
      <c r="L2266" s="1" t="s">
        <v>85</v>
      </c>
      <c r="M2266" s="1" t="s">
        <v>38</v>
      </c>
      <c r="N2266" s="1" t="n">
        <v>18999</v>
      </c>
      <c r="O2266" s="1" t="n">
        <v>5</v>
      </c>
      <c r="P2266" s="1" t="n">
        <v>949.95</v>
      </c>
      <c r="Q2266" s="1" t="n">
        <v>18049.05</v>
      </c>
      <c r="R2266" s="1" t="n">
        <v>3248.83</v>
      </c>
      <c r="S2266" s="1" t="n">
        <v>14800.22</v>
      </c>
      <c r="T2266" s="1" t="n">
        <v>5662.43</v>
      </c>
      <c r="U2266" s="1" t="n">
        <v>9137.79</v>
      </c>
      <c r="V2266" s="1" t="n">
        <v>61.74</v>
      </c>
      <c r="W2266" s="1" t="s">
        <v>40</v>
      </c>
      <c r="Y2266" s="1" t="s">
        <v>40</v>
      </c>
      <c r="Z2266" s="1" t="n">
        <v>1</v>
      </c>
      <c r="AA2266" s="1" t="str">
        <f aca="false">TRIM(PROPER(F2266))</f>
        <v>Mysuru</v>
      </c>
      <c r="AB2266" s="1" t="str">
        <f aca="false">TRIM(PROPER(C2266))</f>
        <v>Whitehat Jr</v>
      </c>
      <c r="AC2266" s="1" t="str">
        <f aca="false">IF(O2266=0,"No Discount",IF(O2266&lt;=15,"Low (1-15%)",IF(O2266&lt;=30,"Medium (16-30%)","High (&gt;30%)")))</f>
        <v>Low (1-15%)</v>
      </c>
      <c r="AD2266" s="1" t="str">
        <f aca="false">IF(V2266&lt;0,"Loss Making",IF(V2266&lt;20,"Low Margin","Healthy Margin"))</f>
        <v>Healthy Margin</v>
      </c>
      <c r="AE2266" s="1" t="str">
        <f aca="false">TEXT(DATE(VALUE(RIGHT(B2266,4)),VALUE(MID(B2266,4,2)),VALUE(LEFT(B2266,2))),"MMM-YYYY")</f>
        <v>Aug-2024</v>
      </c>
      <c r="AF2266" s="1" t="n">
        <f aca="false">VALUE(RIGHT(B2266,4))</f>
        <v>2024</v>
      </c>
      <c r="AG2266" s="1" t="str">
        <f aca="false">CHOOSE(ROUNDUP(VALUE(MID(B2266,4,2))/3,0),"Q1","Q2","Q3","Q4")</f>
        <v>Q3</v>
      </c>
    </row>
    <row r="2267" customFormat="false" ht="15" hidden="false" customHeight="true" outlineLevel="0" collapsed="false">
      <c r="A2267" s="1" t="s">
        <v>3135</v>
      </c>
      <c r="B2267" s="1" t="s">
        <v>3136</v>
      </c>
      <c r="C2267" s="1" t="s">
        <v>93</v>
      </c>
      <c r="D2267" s="1" t="s">
        <v>80</v>
      </c>
      <c r="E2267" s="1" t="s">
        <v>190</v>
      </c>
      <c r="F2267" s="1" t="s">
        <v>205</v>
      </c>
      <c r="G2267" s="1" t="s">
        <v>56</v>
      </c>
      <c r="H2267" s="1" t="s">
        <v>69</v>
      </c>
      <c r="I2267" s="1" t="s">
        <v>34</v>
      </c>
      <c r="J2267" s="1" t="s">
        <v>131</v>
      </c>
      <c r="K2267" s="1" t="s">
        <v>84</v>
      </c>
      <c r="L2267" s="1" t="s">
        <v>37</v>
      </c>
      <c r="M2267" s="1" t="s">
        <v>50</v>
      </c>
      <c r="N2267" s="1" t="n">
        <v>15999</v>
      </c>
      <c r="O2267" s="1" t="n">
        <v>10</v>
      </c>
      <c r="P2267" s="1" t="n">
        <v>1599.9</v>
      </c>
      <c r="Q2267" s="1" t="n">
        <v>14399.1</v>
      </c>
      <c r="R2267" s="1" t="n">
        <v>2591.84</v>
      </c>
      <c r="S2267" s="1" t="n">
        <v>11807.26</v>
      </c>
      <c r="T2267" s="1" t="n">
        <v>4300.66</v>
      </c>
      <c r="U2267" s="1" t="n">
        <v>7506.6</v>
      </c>
      <c r="V2267" s="1" t="n">
        <v>63.58</v>
      </c>
      <c r="W2267" s="1" t="s">
        <v>40</v>
      </c>
      <c r="Y2267" s="1" t="s">
        <v>40</v>
      </c>
      <c r="Z2267" s="1" t="n">
        <v>1</v>
      </c>
      <c r="AA2267" s="1" t="str">
        <f aca="false">TRIM(PROPER(F2267))</f>
        <v>New Delhi</v>
      </c>
      <c r="AB2267" s="1" t="str">
        <f aca="false">TRIM(PROPER(C2267))</f>
        <v>Upgrad</v>
      </c>
      <c r="AC2267" s="1" t="str">
        <f aca="false">IF(O2267=0,"No Discount",IF(O2267&lt;=15,"Low (1-15%)",IF(O2267&lt;=30,"Medium (16-30%)","High (&gt;30%)")))</f>
        <v>Low (1-15%)</v>
      </c>
      <c r="AD2267" s="1" t="str">
        <f aca="false">IF(V2267&lt;0,"Loss Making",IF(V2267&lt;20,"Low Margin","Healthy Margin"))</f>
        <v>Healthy Margin</v>
      </c>
      <c r="AE2267" s="1" t="str">
        <f aca="false">TEXT(DATE(VALUE(RIGHT(B2267,4)),VALUE(MID(B2267,4,2)),VALUE(LEFT(B2267,2))),"MMM-YYYY")</f>
        <v>Feb-2023</v>
      </c>
      <c r="AF2267" s="1" t="n">
        <f aca="false">VALUE(RIGHT(B2267,4))</f>
        <v>2023</v>
      </c>
      <c r="AG2267" s="1" t="str">
        <f aca="false">CHOOSE(ROUNDUP(VALUE(MID(B2267,4,2))/3,0),"Q1","Q2","Q3","Q4")</f>
        <v>Q1</v>
      </c>
    </row>
    <row r="2268" customFormat="false" ht="15" hidden="false" customHeight="true" outlineLevel="0" collapsed="false">
      <c r="A2268" s="1" t="s">
        <v>3137</v>
      </c>
      <c r="B2268" s="1" t="s">
        <v>740</v>
      </c>
      <c r="C2268" s="1" t="s">
        <v>134</v>
      </c>
      <c r="D2268" s="1" t="s">
        <v>94</v>
      </c>
      <c r="E2268" s="1" t="s">
        <v>135</v>
      </c>
      <c r="F2268" s="1" t="s">
        <v>150</v>
      </c>
      <c r="G2268" s="1" t="s">
        <v>32</v>
      </c>
      <c r="H2268" s="1" t="s">
        <v>57</v>
      </c>
      <c r="I2268" s="1" t="s">
        <v>83</v>
      </c>
      <c r="J2268" s="1" t="s">
        <v>131</v>
      </c>
      <c r="K2268" s="1" t="s">
        <v>104</v>
      </c>
      <c r="L2268" s="1" t="s">
        <v>136</v>
      </c>
      <c r="M2268" s="1" t="s">
        <v>62</v>
      </c>
      <c r="N2268" s="1" t="n">
        <v>9999</v>
      </c>
      <c r="O2268" s="1" t="n">
        <v>15</v>
      </c>
      <c r="P2268" s="1" t="n">
        <v>1499.85</v>
      </c>
      <c r="Q2268" s="1" t="n">
        <v>8499.15</v>
      </c>
      <c r="R2268" s="1" t="n">
        <v>1529.85</v>
      </c>
      <c r="S2268" s="1" t="n">
        <v>6969.3</v>
      </c>
      <c r="T2268" s="1" t="n">
        <v>3280.72</v>
      </c>
      <c r="U2268" s="1" t="n">
        <v>3688.58</v>
      </c>
      <c r="V2268" s="1" t="n">
        <v>52.93</v>
      </c>
      <c r="W2268" s="1" t="s">
        <v>40</v>
      </c>
      <c r="Y2268" s="1" t="s">
        <v>40</v>
      </c>
      <c r="Z2268" s="1" t="n">
        <v>0</v>
      </c>
      <c r="AA2268" s="1" t="str">
        <f aca="false">TRIM(PROPER(F2268))</f>
        <v>Jaipur</v>
      </c>
      <c r="AB2268" s="1" t="str">
        <f aca="false">TRIM(PROPER(C2268))</f>
        <v>Doubtnut</v>
      </c>
      <c r="AC2268" s="1" t="str">
        <f aca="false">IF(O2268=0,"No Discount",IF(O2268&lt;=15,"Low (1-15%)",IF(O2268&lt;=30,"Medium (16-30%)","High (&gt;30%)")))</f>
        <v>Low (1-15%)</v>
      </c>
      <c r="AD2268" s="1" t="str">
        <f aca="false">IF(V2268&lt;0,"Loss Making",IF(V2268&lt;20,"Low Margin","Healthy Margin"))</f>
        <v>Healthy Margin</v>
      </c>
      <c r="AE2268" s="1" t="str">
        <f aca="false">TEXT(DATE(VALUE(RIGHT(B2268,4)),VALUE(MID(B2268,4,2)),VALUE(LEFT(B2268,2))),"MMM-YYYY")</f>
        <v>Sep-2024</v>
      </c>
      <c r="AF2268" s="1" t="n">
        <f aca="false">VALUE(RIGHT(B2268,4))</f>
        <v>2024</v>
      </c>
      <c r="AG2268" s="1" t="str">
        <f aca="false">CHOOSE(ROUNDUP(VALUE(MID(B2268,4,2))/3,0),"Q1","Q2","Q3","Q4")</f>
        <v>Q3</v>
      </c>
    </row>
    <row r="2269" customFormat="false" ht="15" hidden="false" customHeight="true" outlineLevel="0" collapsed="false">
      <c r="A2269" s="1" t="s">
        <v>3138</v>
      </c>
      <c r="B2269" s="1" t="s">
        <v>2281</v>
      </c>
      <c r="C2269" s="1" t="s">
        <v>100</v>
      </c>
      <c r="D2269" s="1" t="s">
        <v>94</v>
      </c>
      <c r="E2269" s="1" t="s">
        <v>101</v>
      </c>
      <c r="F2269" s="1" t="s">
        <v>55</v>
      </c>
      <c r="G2269" s="1" t="s">
        <v>56</v>
      </c>
      <c r="H2269" s="1" t="s">
        <v>57</v>
      </c>
      <c r="I2269" s="1" t="s">
        <v>83</v>
      </c>
      <c r="J2269" s="1" t="s">
        <v>77</v>
      </c>
      <c r="K2269" s="1" t="s">
        <v>104</v>
      </c>
      <c r="L2269" s="1" t="s">
        <v>136</v>
      </c>
      <c r="M2269" s="1" t="s">
        <v>62</v>
      </c>
      <c r="N2269" s="1" t="n">
        <v>14999</v>
      </c>
      <c r="O2269" s="1" t="n">
        <v>25</v>
      </c>
      <c r="P2269" s="1" t="n">
        <v>3749.75</v>
      </c>
      <c r="Q2269" s="1" t="n">
        <v>11249.25</v>
      </c>
      <c r="R2269" s="1" t="n">
        <v>2024.87</v>
      </c>
      <c r="S2269" s="1" t="n">
        <v>9224.38</v>
      </c>
      <c r="T2269" s="1" t="n">
        <v>4335.65</v>
      </c>
      <c r="U2269" s="1" t="n">
        <v>4888.73</v>
      </c>
      <c r="V2269" s="1" t="n">
        <v>53</v>
      </c>
      <c r="W2269" s="1" t="s">
        <v>40</v>
      </c>
      <c r="Y2269" s="1" t="s">
        <v>40</v>
      </c>
      <c r="Z2269" s="1" t="n">
        <v>1</v>
      </c>
      <c r="AA2269" s="1" t="str">
        <f aca="false">TRIM(PROPER(F2269))</f>
        <v>Ghaziabad</v>
      </c>
      <c r="AB2269" s="1" t="str">
        <f aca="false">TRIM(PROPER(C2269))</f>
        <v>Physics Wallah</v>
      </c>
      <c r="AC2269" s="1" t="str">
        <f aca="false">IF(O2269=0,"No Discount",IF(O2269&lt;=15,"Low (1-15%)",IF(O2269&lt;=30,"Medium (16-30%)","High (&gt;30%)")))</f>
        <v>Medium (16-30%)</v>
      </c>
      <c r="AD2269" s="1" t="str">
        <f aca="false">IF(V2269&lt;0,"Loss Making",IF(V2269&lt;20,"Low Margin","Healthy Margin"))</f>
        <v>Healthy Margin</v>
      </c>
      <c r="AE2269" s="1" t="str">
        <f aca="false">TEXT(DATE(VALUE(RIGHT(B2269,4)),VALUE(MID(B2269,4,2)),VALUE(LEFT(B2269,2))),"MMM-YYYY")</f>
        <v>May-2024</v>
      </c>
      <c r="AF2269" s="1" t="n">
        <f aca="false">VALUE(RIGHT(B2269,4))</f>
        <v>2024</v>
      </c>
      <c r="AG2269" s="1" t="str">
        <f aca="false">CHOOSE(ROUNDUP(VALUE(MID(B2269,4,2))/3,0),"Q1","Q2","Q3","Q4")</f>
        <v>Q2</v>
      </c>
    </row>
    <row r="2270" customFormat="false" ht="15" hidden="false" customHeight="true" outlineLevel="0" collapsed="false">
      <c r="A2270" s="1" t="s">
        <v>3139</v>
      </c>
      <c r="B2270" s="1" t="s">
        <v>913</v>
      </c>
      <c r="C2270" s="1" t="s">
        <v>139</v>
      </c>
      <c r="D2270" s="1" t="s">
        <v>80</v>
      </c>
      <c r="E2270" s="1" t="s">
        <v>193</v>
      </c>
      <c r="F2270" s="1" t="s">
        <v>194</v>
      </c>
      <c r="G2270" s="1" t="s">
        <v>103</v>
      </c>
      <c r="H2270" s="1" t="s">
        <v>69</v>
      </c>
      <c r="I2270" s="1" t="s">
        <v>58</v>
      </c>
      <c r="J2270" s="1" t="s">
        <v>35</v>
      </c>
      <c r="K2270" s="1" t="s">
        <v>60</v>
      </c>
      <c r="L2270" s="1" t="s">
        <v>85</v>
      </c>
      <c r="M2270" s="1" t="s">
        <v>50</v>
      </c>
      <c r="N2270" s="1" t="n">
        <v>8999</v>
      </c>
      <c r="O2270" s="1" t="n">
        <v>0</v>
      </c>
      <c r="P2270" s="1" t="n">
        <v>0</v>
      </c>
      <c r="Q2270" s="1" t="n">
        <v>8999</v>
      </c>
      <c r="R2270" s="1" t="n">
        <v>1619.82</v>
      </c>
      <c r="S2270" s="1" t="n">
        <v>7379.18</v>
      </c>
      <c r="T2270" s="1" t="n">
        <v>3191.31</v>
      </c>
      <c r="U2270" s="1" t="n">
        <v>4187.87</v>
      </c>
      <c r="V2270" s="1" t="n">
        <v>56.75</v>
      </c>
      <c r="W2270" s="1" t="s">
        <v>39</v>
      </c>
      <c r="X2270" s="1" t="n">
        <v>3.9</v>
      </c>
      <c r="Y2270" s="1" t="s">
        <v>39</v>
      </c>
      <c r="Z2270" s="1" t="n">
        <v>0</v>
      </c>
      <c r="AA2270" s="1" t="str">
        <f aca="false">TRIM(PROPER(F2270))</f>
        <v>Hyderabad</v>
      </c>
      <c r="AB2270" s="1" t="str">
        <f aca="false">TRIM(PROPER(C2270))</f>
        <v>Extramarks</v>
      </c>
      <c r="AC2270" s="1" t="str">
        <f aca="false">IF(O2270=0,"No Discount",IF(O2270&lt;=15,"Low (1-15%)",IF(O2270&lt;=30,"Medium (16-30%)","High (&gt;30%)")))</f>
        <v>No Discount</v>
      </c>
      <c r="AD2270" s="1" t="str">
        <f aca="false">IF(V2270&lt;0,"Loss Making",IF(V2270&lt;20,"Low Margin","Healthy Margin"))</f>
        <v>Healthy Margin</v>
      </c>
      <c r="AE2270" s="1" t="str">
        <f aca="false">TEXT(DATE(VALUE(RIGHT(B2270,4)),VALUE(MID(B2270,4,2)),VALUE(LEFT(B2270,2))),"MMM-YYYY")</f>
        <v>Jan-2023</v>
      </c>
      <c r="AF2270" s="1" t="n">
        <f aca="false">VALUE(RIGHT(B2270,4))</f>
        <v>2023</v>
      </c>
      <c r="AG2270" s="1" t="str">
        <f aca="false">CHOOSE(ROUNDUP(VALUE(MID(B2270,4,2))/3,0),"Q1","Q2","Q3","Q4")</f>
        <v>Q1</v>
      </c>
    </row>
    <row r="2271" customFormat="false" ht="15" hidden="false" customHeight="true" outlineLevel="0" collapsed="false">
      <c r="A2271" s="1" t="s">
        <v>3140</v>
      </c>
      <c r="B2271" s="1" t="s">
        <v>177</v>
      </c>
      <c r="C2271" s="1" t="s">
        <v>134</v>
      </c>
      <c r="D2271" s="1" t="s">
        <v>94</v>
      </c>
      <c r="E2271" s="1" t="s">
        <v>101</v>
      </c>
      <c r="F2271" s="1" t="s">
        <v>696</v>
      </c>
      <c r="G2271" s="1" t="s">
        <v>56</v>
      </c>
      <c r="H2271" s="1" t="s">
        <v>69</v>
      </c>
      <c r="I2271" s="1" t="s">
        <v>34</v>
      </c>
      <c r="J2271" s="1" t="s">
        <v>35</v>
      </c>
      <c r="K2271" s="1" t="s">
        <v>112</v>
      </c>
      <c r="L2271" s="1" t="s">
        <v>85</v>
      </c>
      <c r="M2271" s="1" t="s">
        <v>50</v>
      </c>
      <c r="N2271" s="1" t="n">
        <v>14999</v>
      </c>
      <c r="O2271" s="1" t="n">
        <v>10</v>
      </c>
      <c r="P2271" s="1" t="n">
        <v>1499.9</v>
      </c>
      <c r="Q2271" s="1" t="n">
        <v>13499.1</v>
      </c>
      <c r="R2271" s="1" t="n">
        <v>2429.84</v>
      </c>
      <c r="S2271" s="1" t="n">
        <v>11069.26</v>
      </c>
      <c r="T2271" s="1" t="n">
        <v>4508.13</v>
      </c>
      <c r="U2271" s="1" t="n">
        <v>6561.13</v>
      </c>
      <c r="V2271" s="1" t="n">
        <v>59.27</v>
      </c>
      <c r="W2271" s="1" t="s">
        <v>39</v>
      </c>
      <c r="X2271" s="1" t="n">
        <v>4</v>
      </c>
      <c r="Y2271" s="1" t="s">
        <v>40</v>
      </c>
      <c r="Z2271" s="1" t="n">
        <v>0</v>
      </c>
      <c r="AA2271" s="1" t="str">
        <f aca="false">TRIM(PROPER(F2271))</f>
        <v>New Delhi</v>
      </c>
      <c r="AB2271" s="1" t="str">
        <f aca="false">TRIM(PROPER(C2271))</f>
        <v>Doubtnut</v>
      </c>
      <c r="AC2271" s="1" t="str">
        <f aca="false">IF(O2271=0,"No Discount",IF(O2271&lt;=15,"Low (1-15%)",IF(O2271&lt;=30,"Medium (16-30%)","High (&gt;30%)")))</f>
        <v>Low (1-15%)</v>
      </c>
      <c r="AD2271" s="1" t="str">
        <f aca="false">IF(V2271&lt;0,"Loss Making",IF(V2271&lt;20,"Low Margin","Healthy Margin"))</f>
        <v>Healthy Margin</v>
      </c>
      <c r="AE2271" s="1" t="str">
        <f aca="false">TEXT(DATE(VALUE(RIGHT(B2271,4)),VALUE(MID(B2271,4,2)),VALUE(LEFT(B2271,2))),"MMM-YYYY")</f>
        <v>Jul-2024</v>
      </c>
      <c r="AF2271" s="1" t="n">
        <f aca="false">VALUE(RIGHT(B2271,4))</f>
        <v>2024</v>
      </c>
      <c r="AG2271" s="1" t="str">
        <f aca="false">CHOOSE(ROUNDUP(VALUE(MID(B2271,4,2))/3,0),"Q1","Q2","Q3","Q4")</f>
        <v>Q3</v>
      </c>
    </row>
    <row r="2272" customFormat="false" ht="15" hidden="false" customHeight="true" outlineLevel="0" collapsed="false">
      <c r="A2272" s="1" t="s">
        <v>3141</v>
      </c>
      <c r="B2272" s="1" t="s">
        <v>1948</v>
      </c>
      <c r="C2272" s="1" t="s">
        <v>100</v>
      </c>
      <c r="D2272" s="1" t="s">
        <v>94</v>
      </c>
      <c r="E2272" s="1" t="s">
        <v>95</v>
      </c>
      <c r="F2272" s="1" t="s">
        <v>140</v>
      </c>
      <c r="G2272" s="1" t="s">
        <v>97</v>
      </c>
      <c r="H2272" s="1" t="s">
        <v>57</v>
      </c>
      <c r="I2272" s="1" t="s">
        <v>58</v>
      </c>
      <c r="J2272" s="1" t="s">
        <v>35</v>
      </c>
      <c r="K2272" s="1" t="s">
        <v>104</v>
      </c>
      <c r="L2272" s="1" t="s">
        <v>61</v>
      </c>
      <c r="M2272" s="1" t="s">
        <v>62</v>
      </c>
      <c r="N2272" s="1" t="n">
        <v>6999</v>
      </c>
      <c r="O2272" s="1" t="n">
        <v>15</v>
      </c>
      <c r="P2272" s="1" t="n">
        <v>1049.85</v>
      </c>
      <c r="Q2272" s="1" t="n">
        <v>5949.15</v>
      </c>
      <c r="R2272" s="1" t="n">
        <v>1070.85</v>
      </c>
      <c r="S2272" s="1" t="n">
        <v>4878.3</v>
      </c>
      <c r="T2272" s="1" t="n">
        <v>2018.37</v>
      </c>
      <c r="U2272" s="1" t="n">
        <v>2859.93</v>
      </c>
      <c r="V2272" s="1" t="n">
        <v>58.63</v>
      </c>
      <c r="W2272" s="1" t="s">
        <v>39</v>
      </c>
      <c r="X2272" s="1" t="n">
        <v>3</v>
      </c>
      <c r="Y2272" s="1" t="s">
        <v>40</v>
      </c>
      <c r="Z2272" s="1" t="n">
        <v>0</v>
      </c>
      <c r="AA2272" s="1" t="str">
        <f aca="false">TRIM(PROPER(F2272))</f>
        <v>Nashik</v>
      </c>
      <c r="AB2272" s="1" t="str">
        <f aca="false">TRIM(PROPER(C2272))</f>
        <v>Physics Wallah</v>
      </c>
      <c r="AC2272" s="1" t="str">
        <f aca="false">IF(O2272=0,"No Discount",IF(O2272&lt;=15,"Low (1-15%)",IF(O2272&lt;=30,"Medium (16-30%)","High (&gt;30%)")))</f>
        <v>Low (1-15%)</v>
      </c>
      <c r="AD2272" s="1" t="str">
        <f aca="false">IF(V2272&lt;0,"Loss Making",IF(V2272&lt;20,"Low Margin","Healthy Margin"))</f>
        <v>Healthy Margin</v>
      </c>
      <c r="AE2272" s="1" t="str">
        <f aca="false">TEXT(DATE(VALUE(RIGHT(B2272,4)),VALUE(MID(B2272,4,2)),VALUE(LEFT(B2272,2))),"MMM-YYYY")</f>
        <v>Apr-2023</v>
      </c>
      <c r="AF2272" s="1" t="n">
        <f aca="false">VALUE(RIGHT(B2272,4))</f>
        <v>2023</v>
      </c>
      <c r="AG2272" s="1" t="str">
        <f aca="false">CHOOSE(ROUNDUP(VALUE(MID(B2272,4,2))/3,0),"Q1","Q2","Q3","Q4")</f>
        <v>Q2</v>
      </c>
    </row>
    <row r="2273" customFormat="false" ht="15" hidden="false" customHeight="true" outlineLevel="0" collapsed="false">
      <c r="A2273" s="1" t="s">
        <v>3142</v>
      </c>
      <c r="B2273" s="1" t="s">
        <v>841</v>
      </c>
      <c r="C2273" s="1" t="s">
        <v>65</v>
      </c>
      <c r="D2273" s="1" t="s">
        <v>123</v>
      </c>
      <c r="E2273" s="1" t="s">
        <v>147</v>
      </c>
      <c r="F2273" s="1" t="s">
        <v>187</v>
      </c>
      <c r="G2273" s="1" t="s">
        <v>97</v>
      </c>
      <c r="H2273" s="1" t="s">
        <v>69</v>
      </c>
      <c r="I2273" s="1" t="s">
        <v>58</v>
      </c>
      <c r="J2273" s="1" t="s">
        <v>131</v>
      </c>
      <c r="K2273" s="1" t="s">
        <v>60</v>
      </c>
      <c r="L2273" s="1" t="s">
        <v>136</v>
      </c>
      <c r="M2273" s="1" t="s">
        <v>38</v>
      </c>
      <c r="N2273" s="1" t="n">
        <v>6999</v>
      </c>
      <c r="O2273" s="1" t="n">
        <v>0</v>
      </c>
      <c r="P2273" s="1" t="n">
        <v>0</v>
      </c>
      <c r="Q2273" s="1" t="n">
        <v>6999</v>
      </c>
      <c r="R2273" s="1" t="n">
        <v>1259.82</v>
      </c>
      <c r="S2273" s="1" t="n">
        <v>5739.18</v>
      </c>
      <c r="T2273" s="1" t="n">
        <v>2537.38</v>
      </c>
      <c r="U2273" s="1" t="n">
        <v>3201.8</v>
      </c>
      <c r="V2273" s="1" t="n">
        <v>55.79</v>
      </c>
      <c r="W2273" s="1" t="s">
        <v>40</v>
      </c>
      <c r="Y2273" s="1" t="s">
        <v>40</v>
      </c>
      <c r="Z2273" s="1" t="n">
        <v>1</v>
      </c>
      <c r="AA2273" s="1" t="str">
        <f aca="false">TRIM(PROPER(F2273))</f>
        <v>Mumbai</v>
      </c>
      <c r="AB2273" s="1" t="str">
        <f aca="false">TRIM(PROPER(C2273))</f>
        <v>Toppr</v>
      </c>
      <c r="AC2273" s="1" t="str">
        <f aca="false">IF(O2273=0,"No Discount",IF(O2273&lt;=15,"Low (1-15%)",IF(O2273&lt;=30,"Medium (16-30%)","High (&gt;30%)")))</f>
        <v>No Discount</v>
      </c>
      <c r="AD2273" s="1" t="str">
        <f aca="false">IF(V2273&lt;0,"Loss Making",IF(V2273&lt;20,"Low Margin","Healthy Margin"))</f>
        <v>Healthy Margin</v>
      </c>
      <c r="AE2273" s="1" t="str">
        <f aca="false">TEXT(DATE(VALUE(RIGHT(B2273,4)),VALUE(MID(B2273,4,2)),VALUE(LEFT(B2273,2))),"MMM-YYYY")</f>
        <v>Dec-2024</v>
      </c>
      <c r="AF2273" s="1" t="n">
        <f aca="false">VALUE(RIGHT(B2273,4))</f>
        <v>2024</v>
      </c>
      <c r="AG2273" s="1" t="str">
        <f aca="false">CHOOSE(ROUNDUP(VALUE(MID(B2273,4,2))/3,0),"Q1","Q2","Q3","Q4")</f>
        <v>Q4</v>
      </c>
    </row>
    <row r="2274" customFormat="false" ht="15" hidden="false" customHeight="true" outlineLevel="0" collapsed="false">
      <c r="A2274" s="1" t="s">
        <v>3143</v>
      </c>
      <c r="B2274" s="1" t="s">
        <v>209</v>
      </c>
      <c r="C2274" s="1" t="s">
        <v>249</v>
      </c>
      <c r="D2274" s="1" t="s">
        <v>143</v>
      </c>
      <c r="E2274" s="1" t="s">
        <v>210</v>
      </c>
      <c r="F2274" s="1" t="s">
        <v>55</v>
      </c>
      <c r="G2274" s="1" t="s">
        <v>56</v>
      </c>
      <c r="H2274" s="1" t="s">
        <v>57</v>
      </c>
      <c r="I2274" s="1" t="s">
        <v>34</v>
      </c>
      <c r="J2274" s="1" t="s">
        <v>131</v>
      </c>
      <c r="K2274" s="1" t="s">
        <v>60</v>
      </c>
      <c r="L2274" s="1" t="s">
        <v>85</v>
      </c>
      <c r="M2274" s="1" t="s">
        <v>38</v>
      </c>
      <c r="N2274" s="1" t="n">
        <v>18999</v>
      </c>
      <c r="O2274" s="1" t="n">
        <v>40</v>
      </c>
      <c r="P2274" s="1" t="n">
        <v>7599.6</v>
      </c>
      <c r="Q2274" s="1" t="n">
        <v>11399.4</v>
      </c>
      <c r="R2274" s="1" t="n">
        <v>2051.89</v>
      </c>
      <c r="S2274" s="1" t="n">
        <v>9347.51</v>
      </c>
      <c r="T2274" s="1" t="n">
        <v>5066.13</v>
      </c>
      <c r="U2274" s="1" t="n">
        <v>4281.38</v>
      </c>
      <c r="V2274" s="1" t="n">
        <v>45.8</v>
      </c>
      <c r="W2274" s="1" t="s">
        <v>39</v>
      </c>
      <c r="Y2274" s="1" t="s">
        <v>40</v>
      </c>
      <c r="Z2274" s="1" t="n">
        <v>1</v>
      </c>
      <c r="AA2274" s="1" t="str">
        <f aca="false">TRIM(PROPER(F2274))</f>
        <v>Ghaziabad</v>
      </c>
      <c r="AB2274" s="1" t="str">
        <f aca="false">TRIM(PROPER(C2274))</f>
        <v>Whitehat Jr</v>
      </c>
      <c r="AC2274" s="1" t="str">
        <f aca="false">IF(O2274=0,"No Discount",IF(O2274&lt;=15,"Low (1-15%)",IF(O2274&lt;=30,"Medium (16-30%)","High (&gt;30%)")))</f>
        <v>High (&gt;30%)</v>
      </c>
      <c r="AD2274" s="1" t="str">
        <f aca="false">IF(V2274&lt;0,"Loss Making",IF(V2274&lt;20,"Low Margin","Healthy Margin"))</f>
        <v>Healthy Margin</v>
      </c>
      <c r="AE2274" s="1" t="str">
        <f aca="false">TEXT(DATE(VALUE(RIGHT(B2274,4)),VALUE(MID(B2274,4,2)),VALUE(LEFT(B2274,2))),"MMM-YYYY")</f>
        <v>Mar-2024</v>
      </c>
      <c r="AF2274" s="1" t="n">
        <f aca="false">VALUE(RIGHT(B2274,4))</f>
        <v>2024</v>
      </c>
      <c r="AG2274" s="1" t="str">
        <f aca="false">CHOOSE(ROUNDUP(VALUE(MID(B2274,4,2))/3,0),"Q1","Q2","Q3","Q4")</f>
        <v>Q1</v>
      </c>
    </row>
    <row r="2275" customFormat="false" ht="15" hidden="false" customHeight="true" outlineLevel="0" collapsed="false">
      <c r="A2275" s="1" t="s">
        <v>3144</v>
      </c>
      <c r="B2275" s="1" t="s">
        <v>3145</v>
      </c>
      <c r="C2275" s="1" t="s">
        <v>43</v>
      </c>
      <c r="D2275" s="1" t="s">
        <v>123</v>
      </c>
      <c r="E2275" s="1" t="s">
        <v>124</v>
      </c>
      <c r="F2275" s="1" t="s">
        <v>153</v>
      </c>
      <c r="G2275" s="1" t="s">
        <v>76</v>
      </c>
      <c r="H2275" s="1" t="s">
        <v>33</v>
      </c>
      <c r="I2275" s="1" t="s">
        <v>83</v>
      </c>
      <c r="J2275" s="1" t="s">
        <v>59</v>
      </c>
      <c r="K2275" s="1" t="s">
        <v>112</v>
      </c>
      <c r="L2275" s="1" t="s">
        <v>37</v>
      </c>
      <c r="M2275" s="1" t="s">
        <v>62</v>
      </c>
      <c r="N2275" s="1" t="n">
        <v>4999</v>
      </c>
      <c r="O2275" s="1" t="n">
        <v>0</v>
      </c>
      <c r="P2275" s="1" t="n">
        <v>0</v>
      </c>
      <c r="Q2275" s="1" t="n">
        <v>4999</v>
      </c>
      <c r="R2275" s="1" t="n">
        <v>899.82</v>
      </c>
      <c r="S2275" s="1" t="n">
        <v>4099.18</v>
      </c>
      <c r="T2275" s="1" t="n">
        <v>1987.86</v>
      </c>
      <c r="U2275" s="1" t="n">
        <v>2111.32</v>
      </c>
      <c r="V2275" s="1" t="n">
        <v>51.51</v>
      </c>
      <c r="W2275" s="1" t="s">
        <v>39</v>
      </c>
      <c r="X2275" s="1" t="n">
        <v>4</v>
      </c>
      <c r="Y2275" s="1" t="s">
        <v>40</v>
      </c>
      <c r="Z2275" s="1" t="n">
        <v>0</v>
      </c>
      <c r="AA2275" s="1" t="str">
        <f aca="false">TRIM(PROPER(F2275))</f>
        <v>Howrah</v>
      </c>
      <c r="AB2275" s="1" t="str">
        <f aca="false">TRIM(PROPER(C2275))</f>
        <v>Meritnation</v>
      </c>
      <c r="AC2275" s="1" t="str">
        <f aca="false">IF(O2275=0,"No Discount",IF(O2275&lt;=15,"Low (1-15%)",IF(O2275&lt;=30,"Medium (16-30%)","High (&gt;30%)")))</f>
        <v>No Discount</v>
      </c>
      <c r="AD2275" s="1" t="str">
        <f aca="false">IF(V2275&lt;0,"Loss Making",IF(V2275&lt;20,"Low Margin","Healthy Margin"))</f>
        <v>Healthy Margin</v>
      </c>
      <c r="AE2275" s="1" t="str">
        <f aca="false">TEXT(DATE(VALUE(RIGHT(B2275,4)),VALUE(MID(B2275,4,2)),VALUE(LEFT(B2275,2))),"MMM-YYYY")</f>
        <v>Nov-2023</v>
      </c>
      <c r="AF2275" s="1" t="n">
        <f aca="false">VALUE(RIGHT(B2275,4))</f>
        <v>2023</v>
      </c>
      <c r="AG2275" s="1" t="str">
        <f aca="false">CHOOSE(ROUNDUP(VALUE(MID(B2275,4,2))/3,0),"Q1","Q2","Q3","Q4")</f>
        <v>Q4</v>
      </c>
    </row>
    <row r="2276" customFormat="false" ht="15" hidden="false" customHeight="true" outlineLevel="0" collapsed="false">
      <c r="A2276" s="1" t="s">
        <v>3146</v>
      </c>
      <c r="B2276" s="1" t="s">
        <v>2631</v>
      </c>
      <c r="C2276" s="1" t="s">
        <v>128</v>
      </c>
      <c r="D2276" s="1" t="s">
        <v>123</v>
      </c>
      <c r="E2276" s="1" t="s">
        <v>124</v>
      </c>
      <c r="F2276" s="1" t="s">
        <v>140</v>
      </c>
      <c r="G2276" s="1" t="s">
        <v>97</v>
      </c>
      <c r="H2276" s="1" t="s">
        <v>57</v>
      </c>
      <c r="I2276" s="1" t="s">
        <v>58</v>
      </c>
      <c r="J2276" s="1" t="s">
        <v>70</v>
      </c>
      <c r="K2276" s="1" t="s">
        <v>71</v>
      </c>
      <c r="L2276" s="1" t="s">
        <v>85</v>
      </c>
      <c r="M2276" s="1" t="s">
        <v>50</v>
      </c>
      <c r="N2276" s="1" t="n">
        <v>4999</v>
      </c>
      <c r="O2276" s="1" t="n">
        <v>10</v>
      </c>
      <c r="P2276" s="1" t="n">
        <v>499.9</v>
      </c>
      <c r="Q2276" s="1" t="n">
        <v>4499.1</v>
      </c>
      <c r="R2276" s="1" t="n">
        <v>809.84</v>
      </c>
      <c r="S2276" s="1" t="n">
        <v>3689.26</v>
      </c>
      <c r="T2276" s="1" t="n">
        <v>1718.13</v>
      </c>
      <c r="U2276" s="1" t="n">
        <v>1971.13</v>
      </c>
      <c r="V2276" s="1" t="n">
        <v>53.43</v>
      </c>
      <c r="W2276" s="1" t="s">
        <v>39</v>
      </c>
      <c r="X2276" s="1" t="n">
        <v>2.6</v>
      </c>
      <c r="Y2276" s="1" t="s">
        <v>40</v>
      </c>
      <c r="Z2276" s="1" t="n">
        <v>1</v>
      </c>
      <c r="AA2276" s="1" t="str">
        <f aca="false">TRIM(PROPER(F2276))</f>
        <v>Nashik</v>
      </c>
      <c r="AB2276" s="1" t="str">
        <f aca="false">TRIM(PROPER(C2276))</f>
        <v>Great Learning</v>
      </c>
      <c r="AC2276" s="1" t="str">
        <f aca="false">IF(O2276=0,"No Discount",IF(O2276&lt;=15,"Low (1-15%)",IF(O2276&lt;=30,"Medium (16-30%)","High (&gt;30%)")))</f>
        <v>Low (1-15%)</v>
      </c>
      <c r="AD2276" s="1" t="str">
        <f aca="false">IF(V2276&lt;0,"Loss Making",IF(V2276&lt;20,"Low Margin","Healthy Margin"))</f>
        <v>Healthy Margin</v>
      </c>
      <c r="AE2276" s="1" t="str">
        <f aca="false">TEXT(DATE(VALUE(RIGHT(B2276,4)),VALUE(MID(B2276,4,2)),VALUE(LEFT(B2276,2))),"MMM-YYYY")</f>
        <v>Jan-2024</v>
      </c>
      <c r="AF2276" s="1" t="n">
        <f aca="false">VALUE(RIGHT(B2276,4))</f>
        <v>2024</v>
      </c>
      <c r="AG2276" s="1" t="str">
        <f aca="false">CHOOSE(ROUNDUP(VALUE(MID(B2276,4,2))/3,0),"Q1","Q2","Q3","Q4")</f>
        <v>Q1</v>
      </c>
    </row>
    <row r="2277" customFormat="false" ht="15" hidden="false" customHeight="true" outlineLevel="0" collapsed="false">
      <c r="A2277" s="1" t="s">
        <v>3147</v>
      </c>
      <c r="B2277" s="1" t="s">
        <v>227</v>
      </c>
      <c r="C2277" s="1" t="s">
        <v>139</v>
      </c>
      <c r="D2277" s="1" t="s">
        <v>80</v>
      </c>
      <c r="E2277" s="1" t="s">
        <v>193</v>
      </c>
      <c r="F2277" s="1" t="s">
        <v>269</v>
      </c>
      <c r="G2277" s="1" t="s">
        <v>108</v>
      </c>
      <c r="H2277" s="1" t="s">
        <v>57</v>
      </c>
      <c r="I2277" s="1" t="s">
        <v>58</v>
      </c>
      <c r="J2277" s="1" t="s">
        <v>131</v>
      </c>
      <c r="K2277" s="1" t="s">
        <v>71</v>
      </c>
      <c r="L2277" s="1" t="s">
        <v>85</v>
      </c>
      <c r="M2277" s="1" t="s">
        <v>38</v>
      </c>
      <c r="N2277" s="1" t="n">
        <v>8999</v>
      </c>
      <c r="O2277" s="1" t="n">
        <v>10</v>
      </c>
      <c r="P2277" s="1" t="n">
        <v>899.9</v>
      </c>
      <c r="Q2277" s="1" t="n">
        <v>8099.1</v>
      </c>
      <c r="R2277" s="1" t="n">
        <v>1457.84</v>
      </c>
      <c r="S2277" s="1" t="n">
        <v>6641.26</v>
      </c>
      <c r="T2277" s="1" t="n">
        <v>2929.55</v>
      </c>
      <c r="U2277" s="1" t="n">
        <v>3711.71</v>
      </c>
      <c r="V2277" s="1" t="n">
        <v>55.89</v>
      </c>
      <c r="W2277" s="1" t="s">
        <v>39</v>
      </c>
      <c r="X2277" s="1" t="n">
        <v>3.7</v>
      </c>
      <c r="Y2277" s="1" t="s">
        <v>40</v>
      </c>
      <c r="Z2277" s="1" t="n">
        <v>0</v>
      </c>
      <c r="AA2277" s="1" t="str">
        <f aca="false">TRIM(PROPER(F2277))</f>
        <v>Coimbatore</v>
      </c>
      <c r="AB2277" s="1" t="str">
        <f aca="false">TRIM(PROPER(C2277))</f>
        <v>Extramarks</v>
      </c>
      <c r="AC2277" s="1" t="str">
        <f aca="false">IF(O2277=0,"No Discount",IF(O2277&lt;=15,"Low (1-15%)",IF(O2277&lt;=30,"Medium (16-30%)","High (&gt;30%)")))</f>
        <v>Low (1-15%)</v>
      </c>
      <c r="AD2277" s="1" t="str">
        <f aca="false">IF(V2277&lt;0,"Loss Making",IF(V2277&lt;20,"Low Margin","Healthy Margin"))</f>
        <v>Healthy Margin</v>
      </c>
      <c r="AE2277" s="1" t="str">
        <f aca="false">TEXT(DATE(VALUE(RIGHT(B2277,4)),VALUE(MID(B2277,4,2)),VALUE(LEFT(B2277,2))),"MMM-YYYY")</f>
        <v>Aug-2023</v>
      </c>
      <c r="AF2277" s="1" t="n">
        <f aca="false">VALUE(RIGHT(B2277,4))</f>
        <v>2023</v>
      </c>
      <c r="AG2277" s="1" t="str">
        <f aca="false">CHOOSE(ROUNDUP(VALUE(MID(B2277,4,2))/3,0),"Q1","Q2","Q3","Q4")</f>
        <v>Q3</v>
      </c>
    </row>
    <row r="2278" customFormat="false" ht="15" hidden="false" customHeight="true" outlineLevel="0" collapsed="false">
      <c r="A2278" s="1" t="s">
        <v>3148</v>
      </c>
      <c r="B2278" s="1" t="s">
        <v>1756</v>
      </c>
      <c r="C2278" s="1" t="s">
        <v>100</v>
      </c>
      <c r="D2278" s="1" t="s">
        <v>80</v>
      </c>
      <c r="E2278" s="1" t="s">
        <v>81</v>
      </c>
      <c r="F2278" s="1" t="s">
        <v>184</v>
      </c>
      <c r="G2278" s="1" t="s">
        <v>56</v>
      </c>
      <c r="H2278" s="1" t="s">
        <v>57</v>
      </c>
      <c r="I2278" s="1" t="s">
        <v>83</v>
      </c>
      <c r="J2278" s="1" t="s">
        <v>77</v>
      </c>
      <c r="K2278" s="1" t="s">
        <v>60</v>
      </c>
      <c r="L2278" s="1" t="s">
        <v>113</v>
      </c>
      <c r="M2278" s="1" t="s">
        <v>38</v>
      </c>
      <c r="N2278" s="1" t="n">
        <v>12999</v>
      </c>
      <c r="O2278" s="1" t="n">
        <v>25</v>
      </c>
      <c r="P2278" s="1" t="n">
        <v>3249.75</v>
      </c>
      <c r="Q2278" s="1" t="n">
        <v>9749.25</v>
      </c>
      <c r="R2278" s="1" t="n">
        <v>1754.87</v>
      </c>
      <c r="S2278" s="1" t="n">
        <v>7994.38</v>
      </c>
      <c r="T2278" s="1" t="n">
        <v>4212.25</v>
      </c>
      <c r="U2278" s="1" t="n">
        <v>3782.13</v>
      </c>
      <c r="V2278" s="1" t="n">
        <v>47.31</v>
      </c>
      <c r="W2278" s="1" t="s">
        <v>39</v>
      </c>
      <c r="X2278" s="1" t="n">
        <v>4.4</v>
      </c>
      <c r="Y2278" s="1" t="s">
        <v>40</v>
      </c>
      <c r="Z2278" s="1" t="n">
        <v>0</v>
      </c>
      <c r="AA2278" s="1" t="str">
        <f aca="false">TRIM(PROPER(F2278))</f>
        <v>Faridabad</v>
      </c>
      <c r="AB2278" s="1" t="str">
        <f aca="false">TRIM(PROPER(C2278))</f>
        <v>Physics Wallah</v>
      </c>
      <c r="AC2278" s="1" t="str">
        <f aca="false">IF(O2278=0,"No Discount",IF(O2278&lt;=15,"Low (1-15%)",IF(O2278&lt;=30,"Medium (16-30%)","High (&gt;30%)")))</f>
        <v>Medium (16-30%)</v>
      </c>
      <c r="AD2278" s="1" t="str">
        <f aca="false">IF(V2278&lt;0,"Loss Making",IF(V2278&lt;20,"Low Margin","Healthy Margin"))</f>
        <v>Healthy Margin</v>
      </c>
      <c r="AE2278" s="1" t="str">
        <f aca="false">TEXT(DATE(VALUE(RIGHT(B2278,4)),VALUE(MID(B2278,4,2)),VALUE(LEFT(B2278,2))),"MMM-YYYY")</f>
        <v>Dec-2023</v>
      </c>
      <c r="AF2278" s="1" t="n">
        <f aca="false">VALUE(RIGHT(B2278,4))</f>
        <v>2023</v>
      </c>
      <c r="AG2278" s="1" t="str">
        <f aca="false">CHOOSE(ROUNDUP(VALUE(MID(B2278,4,2))/3,0),"Q1","Q2","Q3","Q4")</f>
        <v>Q4</v>
      </c>
    </row>
    <row r="2279" customFormat="false" ht="15" hidden="false" customHeight="true" outlineLevel="0" collapsed="false">
      <c r="A2279" s="1" t="s">
        <v>3149</v>
      </c>
      <c r="B2279" s="1" t="s">
        <v>1313</v>
      </c>
      <c r="C2279" s="1" t="s">
        <v>93</v>
      </c>
      <c r="D2279" s="1" t="s">
        <v>53</v>
      </c>
      <c r="E2279" s="1" t="s">
        <v>216</v>
      </c>
      <c r="F2279" s="1" t="s">
        <v>140</v>
      </c>
      <c r="G2279" s="1" t="s">
        <v>97</v>
      </c>
      <c r="H2279" s="1" t="s">
        <v>57</v>
      </c>
      <c r="I2279" s="1" t="s">
        <v>83</v>
      </c>
      <c r="J2279" s="1" t="s">
        <v>131</v>
      </c>
      <c r="K2279" s="1" t="s">
        <v>90</v>
      </c>
      <c r="L2279" s="1" t="s">
        <v>49</v>
      </c>
      <c r="M2279" s="1" t="s">
        <v>62</v>
      </c>
      <c r="N2279" s="1" t="n">
        <v>7499</v>
      </c>
      <c r="O2279" s="1" t="n">
        <v>0</v>
      </c>
      <c r="P2279" s="1" t="n">
        <v>0</v>
      </c>
      <c r="Q2279" s="1" t="n">
        <v>7499</v>
      </c>
      <c r="R2279" s="1" t="n">
        <v>1349.82</v>
      </c>
      <c r="S2279" s="1" t="n">
        <v>6149.18</v>
      </c>
      <c r="T2279" s="1" t="n">
        <v>3050.24</v>
      </c>
      <c r="U2279" s="1" t="n">
        <v>3098.94</v>
      </c>
      <c r="V2279" s="1" t="n">
        <v>50.4</v>
      </c>
      <c r="W2279" s="1" t="s">
        <v>39</v>
      </c>
      <c r="X2279" s="1" t="n">
        <v>3.8</v>
      </c>
      <c r="Y2279" s="1" t="s">
        <v>40</v>
      </c>
      <c r="Z2279" s="1" t="n">
        <v>0</v>
      </c>
      <c r="AA2279" s="1" t="str">
        <f aca="false">TRIM(PROPER(F2279))</f>
        <v>Nashik</v>
      </c>
      <c r="AB2279" s="1" t="str">
        <f aca="false">TRIM(PROPER(C2279))</f>
        <v>Upgrad</v>
      </c>
      <c r="AC2279" s="1" t="str">
        <f aca="false">IF(O2279=0,"No Discount",IF(O2279&lt;=15,"Low (1-15%)",IF(O2279&lt;=30,"Medium (16-30%)","High (&gt;30%)")))</f>
        <v>No Discount</v>
      </c>
      <c r="AD2279" s="1" t="str">
        <f aca="false">IF(V2279&lt;0,"Loss Making",IF(V2279&lt;20,"Low Margin","Healthy Margin"))</f>
        <v>Healthy Margin</v>
      </c>
      <c r="AE2279" s="1" t="str">
        <f aca="false">TEXT(DATE(VALUE(RIGHT(B2279,4)),VALUE(MID(B2279,4,2)),VALUE(LEFT(B2279,2))),"MMM-YYYY")</f>
        <v>Dec-2024</v>
      </c>
      <c r="AF2279" s="1" t="n">
        <f aca="false">VALUE(RIGHT(B2279,4))</f>
        <v>2024</v>
      </c>
      <c r="AG2279" s="1" t="str">
        <f aca="false">CHOOSE(ROUNDUP(VALUE(MID(B2279,4,2))/3,0),"Q1","Q2","Q3","Q4")</f>
        <v>Q4</v>
      </c>
    </row>
    <row r="2280" customFormat="false" ht="15" hidden="false" customHeight="true" outlineLevel="0" collapsed="false">
      <c r="A2280" s="1" t="s">
        <v>3150</v>
      </c>
      <c r="B2280" s="1" t="s">
        <v>1558</v>
      </c>
      <c r="C2280" s="1" t="s">
        <v>93</v>
      </c>
      <c r="D2280" s="1" t="s">
        <v>123</v>
      </c>
      <c r="E2280" s="1" t="s">
        <v>124</v>
      </c>
      <c r="F2280" s="1" t="s">
        <v>107</v>
      </c>
      <c r="G2280" s="1" t="s">
        <v>108</v>
      </c>
      <c r="H2280" s="1" t="s">
        <v>33</v>
      </c>
      <c r="I2280" s="1" t="s">
        <v>83</v>
      </c>
      <c r="J2280" s="1" t="s">
        <v>35</v>
      </c>
      <c r="K2280" s="1" t="s">
        <v>60</v>
      </c>
      <c r="L2280" s="1" t="s">
        <v>85</v>
      </c>
      <c r="M2280" s="1" t="s">
        <v>38</v>
      </c>
      <c r="N2280" s="1" t="n">
        <v>4999</v>
      </c>
      <c r="O2280" s="1" t="n">
        <v>20</v>
      </c>
      <c r="P2280" s="1" t="n">
        <v>999.8</v>
      </c>
      <c r="Q2280" s="1" t="n">
        <v>3999.2</v>
      </c>
      <c r="R2280" s="1" t="n">
        <v>719.86</v>
      </c>
      <c r="S2280" s="1" t="n">
        <v>3279.34</v>
      </c>
      <c r="T2280" s="1" t="n">
        <v>1333.87</v>
      </c>
      <c r="U2280" s="1" t="n">
        <v>1945.47</v>
      </c>
      <c r="V2280" s="1" t="n">
        <v>59.33</v>
      </c>
      <c r="W2280" s="1" t="s">
        <v>40</v>
      </c>
      <c r="Y2280" s="1" t="s">
        <v>40</v>
      </c>
      <c r="Z2280" s="1" t="n">
        <v>0</v>
      </c>
      <c r="AA2280" s="1" t="str">
        <f aca="false">TRIM(PROPER(F2280))</f>
        <v>Madurai</v>
      </c>
      <c r="AB2280" s="1" t="str">
        <f aca="false">TRIM(PROPER(C2280))</f>
        <v>Upgrad</v>
      </c>
      <c r="AC2280" s="1" t="str">
        <f aca="false">IF(O2280=0,"No Discount",IF(O2280&lt;=15,"Low (1-15%)",IF(O2280&lt;=30,"Medium (16-30%)","High (&gt;30%)")))</f>
        <v>Medium (16-30%)</v>
      </c>
      <c r="AD2280" s="1" t="str">
        <f aca="false">IF(V2280&lt;0,"Loss Making",IF(V2280&lt;20,"Low Margin","Healthy Margin"))</f>
        <v>Healthy Margin</v>
      </c>
      <c r="AE2280" s="1" t="str">
        <f aca="false">TEXT(DATE(VALUE(RIGHT(B2280,4)),VALUE(MID(B2280,4,2)),VALUE(LEFT(B2280,2))),"MMM-YYYY")</f>
        <v>Mar-2024</v>
      </c>
      <c r="AF2280" s="1" t="n">
        <f aca="false">VALUE(RIGHT(B2280,4))</f>
        <v>2024</v>
      </c>
      <c r="AG2280" s="1" t="str">
        <f aca="false">CHOOSE(ROUNDUP(VALUE(MID(B2280,4,2))/3,0),"Q1","Q2","Q3","Q4")</f>
        <v>Q1</v>
      </c>
    </row>
    <row r="2281" customFormat="false" ht="15" hidden="false" customHeight="true" outlineLevel="0" collapsed="false">
      <c r="A2281" s="1" t="s">
        <v>3151</v>
      </c>
      <c r="B2281" s="1" t="s">
        <v>1453</v>
      </c>
      <c r="C2281" s="1" t="s">
        <v>93</v>
      </c>
      <c r="D2281" s="1" t="s">
        <v>29</v>
      </c>
      <c r="E2281" s="1" t="s">
        <v>129</v>
      </c>
      <c r="F2281" s="1" t="s">
        <v>269</v>
      </c>
      <c r="G2281" s="1" t="s">
        <v>108</v>
      </c>
      <c r="H2281" s="1" t="s">
        <v>57</v>
      </c>
      <c r="I2281" s="1" t="s">
        <v>58</v>
      </c>
      <c r="J2281" s="1" t="s">
        <v>35</v>
      </c>
      <c r="K2281" s="1" t="s">
        <v>84</v>
      </c>
      <c r="L2281" s="1" t="s">
        <v>136</v>
      </c>
      <c r="M2281" s="1" t="s">
        <v>38</v>
      </c>
      <c r="N2281" s="1" t="n">
        <v>29999</v>
      </c>
      <c r="O2281" s="1" t="n">
        <v>0</v>
      </c>
      <c r="P2281" s="1" t="n">
        <v>0</v>
      </c>
      <c r="Q2281" s="1" t="n">
        <v>29999</v>
      </c>
      <c r="R2281" s="1" t="n">
        <v>5399.82</v>
      </c>
      <c r="S2281" s="1" t="n">
        <v>24599.18</v>
      </c>
      <c r="T2281" s="1" t="n">
        <v>9797.81</v>
      </c>
      <c r="U2281" s="1" t="n">
        <v>14801.37</v>
      </c>
      <c r="V2281" s="1" t="n">
        <v>60.17</v>
      </c>
      <c r="W2281" s="1" t="s">
        <v>39</v>
      </c>
      <c r="X2281" s="1" t="n">
        <v>3.8</v>
      </c>
      <c r="Y2281" s="1" t="s">
        <v>40</v>
      </c>
      <c r="Z2281" s="1" t="n">
        <v>0</v>
      </c>
      <c r="AA2281" s="1" t="str">
        <f aca="false">TRIM(PROPER(F2281))</f>
        <v>Coimbatore</v>
      </c>
      <c r="AB2281" s="1" t="str">
        <f aca="false">TRIM(PROPER(C2281))</f>
        <v>Upgrad</v>
      </c>
      <c r="AC2281" s="1" t="str">
        <f aca="false">IF(O2281=0,"No Discount",IF(O2281&lt;=15,"Low (1-15%)",IF(O2281&lt;=30,"Medium (16-30%)","High (&gt;30%)")))</f>
        <v>No Discount</v>
      </c>
      <c r="AD2281" s="1" t="str">
        <f aca="false">IF(V2281&lt;0,"Loss Making",IF(V2281&lt;20,"Low Margin","Healthy Margin"))</f>
        <v>Healthy Margin</v>
      </c>
      <c r="AE2281" s="1" t="str">
        <f aca="false">TEXT(DATE(VALUE(RIGHT(B2281,4)),VALUE(MID(B2281,4,2)),VALUE(LEFT(B2281,2))),"MMM-YYYY")</f>
        <v>Jan-2024</v>
      </c>
      <c r="AF2281" s="1" t="n">
        <f aca="false">VALUE(RIGHT(B2281,4))</f>
        <v>2024</v>
      </c>
      <c r="AG2281" s="1" t="str">
        <f aca="false">CHOOSE(ROUNDUP(VALUE(MID(B2281,4,2))/3,0),"Q1","Q2","Q3","Q4")</f>
        <v>Q1</v>
      </c>
    </row>
    <row r="2282" customFormat="false" ht="15" hidden="false" customHeight="true" outlineLevel="0" collapsed="false">
      <c r="A2282" s="1" t="s">
        <v>3152</v>
      </c>
      <c r="B2282" s="1" t="s">
        <v>1663</v>
      </c>
      <c r="C2282" s="1" t="s">
        <v>264</v>
      </c>
      <c r="D2282" s="1" t="s">
        <v>53</v>
      </c>
      <c r="E2282" s="1" t="s">
        <v>216</v>
      </c>
      <c r="F2282" s="1" t="s">
        <v>184</v>
      </c>
      <c r="G2282" s="1" t="s">
        <v>56</v>
      </c>
      <c r="H2282" s="1" t="s">
        <v>57</v>
      </c>
      <c r="I2282" s="1" t="s">
        <v>83</v>
      </c>
      <c r="J2282" s="1" t="s">
        <v>70</v>
      </c>
      <c r="K2282" s="1" t="s">
        <v>48</v>
      </c>
      <c r="L2282" s="1" t="s">
        <v>113</v>
      </c>
      <c r="M2282" s="1" t="s">
        <v>50</v>
      </c>
      <c r="N2282" s="1" t="n">
        <v>7499</v>
      </c>
      <c r="O2282" s="1" t="n">
        <v>5</v>
      </c>
      <c r="P2282" s="1" t="n">
        <v>374.95</v>
      </c>
      <c r="Q2282" s="1" t="n">
        <v>7124.05</v>
      </c>
      <c r="R2282" s="1" t="n">
        <v>1282.33</v>
      </c>
      <c r="S2282" s="1" t="n">
        <v>5841.72</v>
      </c>
      <c r="T2282" s="1" t="n">
        <v>2533.02</v>
      </c>
      <c r="U2282" s="1" t="n">
        <v>3308.7</v>
      </c>
      <c r="V2282" s="1" t="n">
        <v>56.64</v>
      </c>
      <c r="W2282" s="1" t="s">
        <v>40</v>
      </c>
      <c r="Y2282" s="1" t="s">
        <v>39</v>
      </c>
      <c r="Z2282" s="1" t="n">
        <v>0</v>
      </c>
      <c r="AA2282" s="1" t="str">
        <f aca="false">TRIM(PROPER(F2282))</f>
        <v>Faridabad</v>
      </c>
      <c r="AB2282" s="1" t="str">
        <f aca="false">TRIM(PROPER(C2282))</f>
        <v>Unacademy</v>
      </c>
      <c r="AC2282" s="1" t="str">
        <f aca="false">IF(O2282=0,"No Discount",IF(O2282&lt;=15,"Low (1-15%)",IF(O2282&lt;=30,"Medium (16-30%)","High (&gt;30%)")))</f>
        <v>Low (1-15%)</v>
      </c>
      <c r="AD2282" s="1" t="str">
        <f aca="false">IF(V2282&lt;0,"Loss Making",IF(V2282&lt;20,"Low Margin","Healthy Margin"))</f>
        <v>Healthy Margin</v>
      </c>
      <c r="AE2282" s="1" t="str">
        <f aca="false">TEXT(DATE(VALUE(RIGHT(B2282,4)),VALUE(MID(B2282,4,2)),VALUE(LEFT(B2282,2))),"MMM-YYYY")</f>
        <v>Nov-2023</v>
      </c>
      <c r="AF2282" s="1" t="n">
        <f aca="false">VALUE(RIGHT(B2282,4))</f>
        <v>2023</v>
      </c>
      <c r="AG2282" s="1" t="str">
        <f aca="false">CHOOSE(ROUNDUP(VALUE(MID(B2282,4,2))/3,0),"Q1","Q2","Q3","Q4")</f>
        <v>Q4</v>
      </c>
    </row>
    <row r="2283" customFormat="false" ht="15" hidden="false" customHeight="true" outlineLevel="0" collapsed="false">
      <c r="A2283" s="1" t="s">
        <v>3153</v>
      </c>
      <c r="B2283" s="1" t="s">
        <v>209</v>
      </c>
      <c r="C2283" s="1" t="s">
        <v>178</v>
      </c>
      <c r="D2283" s="1" t="s">
        <v>123</v>
      </c>
      <c r="E2283" s="1" t="s">
        <v>233</v>
      </c>
      <c r="F2283" s="1" t="s">
        <v>150</v>
      </c>
      <c r="G2283" s="1" t="s">
        <v>32</v>
      </c>
      <c r="H2283" s="1" t="s">
        <v>57</v>
      </c>
      <c r="I2283" s="1" t="s">
        <v>83</v>
      </c>
      <c r="J2283" s="1" t="s">
        <v>70</v>
      </c>
      <c r="K2283" s="1" t="s">
        <v>104</v>
      </c>
      <c r="L2283" s="1" t="s">
        <v>37</v>
      </c>
      <c r="M2283" s="1" t="s">
        <v>50</v>
      </c>
      <c r="N2283" s="1" t="n">
        <v>8999</v>
      </c>
      <c r="O2283" s="1" t="n">
        <v>20</v>
      </c>
      <c r="P2283" s="1" t="n">
        <v>1799.8</v>
      </c>
      <c r="Q2283" s="1" t="n">
        <v>7199.2</v>
      </c>
      <c r="R2283" s="1" t="n">
        <v>1295.86</v>
      </c>
      <c r="S2283" s="1" t="n">
        <v>5903.34</v>
      </c>
      <c r="T2283" s="1" t="n">
        <v>2575.22</v>
      </c>
      <c r="U2283" s="1" t="n">
        <v>3328.12</v>
      </c>
      <c r="V2283" s="1" t="n">
        <v>56.38</v>
      </c>
      <c r="W2283" s="1" t="s">
        <v>40</v>
      </c>
      <c r="Y2283" s="1" t="s">
        <v>40</v>
      </c>
      <c r="Z2283" s="1" t="n">
        <v>0</v>
      </c>
      <c r="AA2283" s="1" t="str">
        <f aca="false">TRIM(PROPER(F2283))</f>
        <v>Jaipur</v>
      </c>
      <c r="AB2283" s="1" t="str">
        <f aca="false">TRIM(PROPER(C2283))</f>
        <v>Leverage Edu</v>
      </c>
      <c r="AC2283" s="1" t="str">
        <f aca="false">IF(O2283=0,"No Discount",IF(O2283&lt;=15,"Low (1-15%)",IF(O2283&lt;=30,"Medium (16-30%)","High (&gt;30%)")))</f>
        <v>Medium (16-30%)</v>
      </c>
      <c r="AD2283" s="1" t="str">
        <f aca="false">IF(V2283&lt;0,"Loss Making",IF(V2283&lt;20,"Low Margin","Healthy Margin"))</f>
        <v>Healthy Margin</v>
      </c>
      <c r="AE2283" s="1" t="str">
        <f aca="false">TEXT(DATE(VALUE(RIGHT(B2283,4)),VALUE(MID(B2283,4,2)),VALUE(LEFT(B2283,2))),"MMM-YYYY")</f>
        <v>Mar-2024</v>
      </c>
      <c r="AF2283" s="1" t="n">
        <f aca="false">VALUE(RIGHT(B2283,4))</f>
        <v>2024</v>
      </c>
      <c r="AG2283" s="1" t="str">
        <f aca="false">CHOOSE(ROUNDUP(VALUE(MID(B2283,4,2))/3,0),"Q1","Q2","Q3","Q4")</f>
        <v>Q1</v>
      </c>
    </row>
    <row r="2284" customFormat="false" ht="15" hidden="false" customHeight="true" outlineLevel="0" collapsed="false">
      <c r="A2284" s="1" t="s">
        <v>3154</v>
      </c>
      <c r="B2284" s="1" t="s">
        <v>288</v>
      </c>
      <c r="C2284" s="1" t="s">
        <v>43</v>
      </c>
      <c r="D2284" s="1" t="s">
        <v>168</v>
      </c>
      <c r="E2284" s="1" t="s">
        <v>172</v>
      </c>
      <c r="F2284" s="1" t="s">
        <v>107</v>
      </c>
      <c r="G2284" s="1" t="s">
        <v>108</v>
      </c>
      <c r="H2284" s="1" t="s">
        <v>33</v>
      </c>
      <c r="I2284" s="1" t="s">
        <v>83</v>
      </c>
      <c r="J2284" s="1" t="s">
        <v>77</v>
      </c>
      <c r="K2284" s="1" t="s">
        <v>104</v>
      </c>
      <c r="L2284" s="1" t="s">
        <v>136</v>
      </c>
      <c r="M2284" s="1" t="s">
        <v>62</v>
      </c>
      <c r="N2284" s="1" t="n">
        <v>6999</v>
      </c>
      <c r="O2284" s="1" t="n">
        <v>30</v>
      </c>
      <c r="P2284" s="1" t="n">
        <v>2099.7</v>
      </c>
      <c r="Q2284" s="1" t="n">
        <v>4899.3</v>
      </c>
      <c r="R2284" s="1" t="n">
        <v>881.87</v>
      </c>
      <c r="S2284" s="1" t="n">
        <v>4017.43</v>
      </c>
      <c r="T2284" s="1" t="n">
        <v>1996.66</v>
      </c>
      <c r="U2284" s="1" t="n">
        <v>2020.77</v>
      </c>
      <c r="V2284" s="1" t="n">
        <v>50.3</v>
      </c>
      <c r="W2284" s="1" t="s">
        <v>39</v>
      </c>
      <c r="X2284" s="1" t="n">
        <v>3.1</v>
      </c>
      <c r="Y2284" s="1" t="s">
        <v>40</v>
      </c>
      <c r="Z2284" s="1" t="n">
        <v>0</v>
      </c>
      <c r="AA2284" s="1" t="str">
        <f aca="false">TRIM(PROPER(F2284))</f>
        <v>Madurai</v>
      </c>
      <c r="AB2284" s="1" t="str">
        <f aca="false">TRIM(PROPER(C2284))</f>
        <v>Meritnation</v>
      </c>
      <c r="AC2284" s="1" t="str">
        <f aca="false">IF(O2284=0,"No Discount",IF(O2284&lt;=15,"Low (1-15%)",IF(O2284&lt;=30,"Medium (16-30%)","High (&gt;30%)")))</f>
        <v>Medium (16-30%)</v>
      </c>
      <c r="AD2284" s="1" t="str">
        <f aca="false">IF(V2284&lt;0,"Loss Making",IF(V2284&lt;20,"Low Margin","Healthy Margin"))</f>
        <v>Healthy Margin</v>
      </c>
      <c r="AE2284" s="1" t="str">
        <f aca="false">TEXT(DATE(VALUE(RIGHT(B2284,4)),VALUE(MID(B2284,4,2)),VALUE(LEFT(B2284,2))),"MMM-YYYY")</f>
        <v>Mar-2023</v>
      </c>
      <c r="AF2284" s="1" t="n">
        <f aca="false">VALUE(RIGHT(B2284,4))</f>
        <v>2023</v>
      </c>
      <c r="AG2284" s="1" t="str">
        <f aca="false">CHOOSE(ROUNDUP(VALUE(MID(B2284,4,2))/3,0),"Q1","Q2","Q3","Q4")</f>
        <v>Q1</v>
      </c>
    </row>
    <row r="2285" customFormat="false" ht="15" hidden="false" customHeight="true" outlineLevel="0" collapsed="false">
      <c r="A2285" s="1" t="s">
        <v>3155</v>
      </c>
      <c r="B2285" s="1" t="s">
        <v>1621</v>
      </c>
      <c r="C2285" s="1" t="s">
        <v>28</v>
      </c>
      <c r="D2285" s="1" t="s">
        <v>80</v>
      </c>
      <c r="E2285" s="1" t="s">
        <v>175</v>
      </c>
      <c r="F2285" s="1" t="s">
        <v>184</v>
      </c>
      <c r="G2285" s="1" t="s">
        <v>56</v>
      </c>
      <c r="H2285" s="1" t="s">
        <v>57</v>
      </c>
      <c r="I2285" s="1" t="s">
        <v>83</v>
      </c>
      <c r="J2285" s="1" t="s">
        <v>131</v>
      </c>
      <c r="K2285" s="1" t="s">
        <v>36</v>
      </c>
      <c r="L2285" s="1" t="s">
        <v>113</v>
      </c>
      <c r="M2285" s="1" t="s">
        <v>38</v>
      </c>
      <c r="N2285" s="1" t="n">
        <v>19999</v>
      </c>
      <c r="O2285" s="1" t="n">
        <v>20</v>
      </c>
      <c r="P2285" s="1" t="n">
        <v>3999.8</v>
      </c>
      <c r="Q2285" s="1" t="n">
        <v>15999.2</v>
      </c>
      <c r="R2285" s="1" t="n">
        <v>2879.86</v>
      </c>
      <c r="S2285" s="1" t="n">
        <v>13119.34</v>
      </c>
      <c r="T2285" s="1" t="n">
        <v>6908.89</v>
      </c>
      <c r="U2285" s="1" t="n">
        <v>6210.45</v>
      </c>
      <c r="V2285" s="1" t="n">
        <v>47.34</v>
      </c>
      <c r="W2285" s="1" t="s">
        <v>39</v>
      </c>
      <c r="Y2285" s="1" t="s">
        <v>40</v>
      </c>
      <c r="Z2285" s="1" t="n">
        <v>1</v>
      </c>
      <c r="AA2285" s="1" t="str">
        <f aca="false">TRIM(PROPER(F2285))</f>
        <v>Faridabad</v>
      </c>
      <c r="AB2285" s="1" t="str">
        <f aca="false">TRIM(PROPER(C2285))</f>
        <v>Embibe</v>
      </c>
      <c r="AC2285" s="1" t="str">
        <f aca="false">IF(O2285=0,"No Discount",IF(O2285&lt;=15,"Low (1-15%)",IF(O2285&lt;=30,"Medium (16-30%)","High (&gt;30%)")))</f>
        <v>Medium (16-30%)</v>
      </c>
      <c r="AD2285" s="1" t="str">
        <f aca="false">IF(V2285&lt;0,"Loss Making",IF(V2285&lt;20,"Low Margin","Healthy Margin"))</f>
        <v>Healthy Margin</v>
      </c>
      <c r="AE2285" s="1" t="str">
        <f aca="false">TEXT(DATE(VALUE(RIGHT(B2285,4)),VALUE(MID(B2285,4,2)),VALUE(LEFT(B2285,2))),"MMM-YYYY")</f>
        <v>Mar-2024</v>
      </c>
      <c r="AF2285" s="1" t="n">
        <f aca="false">VALUE(RIGHT(B2285,4))</f>
        <v>2024</v>
      </c>
      <c r="AG2285" s="1" t="str">
        <f aca="false">CHOOSE(ROUNDUP(VALUE(MID(B2285,4,2))/3,0),"Q1","Q2","Q3","Q4")</f>
        <v>Q1</v>
      </c>
    </row>
    <row r="2286" customFormat="false" ht="15" hidden="false" customHeight="true" outlineLevel="0" collapsed="false">
      <c r="A2286" s="1" t="s">
        <v>3156</v>
      </c>
      <c r="B2286" s="1" t="s">
        <v>2570</v>
      </c>
      <c r="C2286" s="1" t="s">
        <v>167</v>
      </c>
      <c r="D2286" s="1" t="s">
        <v>80</v>
      </c>
      <c r="E2286" s="1" t="s">
        <v>81</v>
      </c>
      <c r="F2286" s="1" t="s">
        <v>211</v>
      </c>
      <c r="G2286" s="1" t="s">
        <v>56</v>
      </c>
      <c r="H2286" s="1" t="s">
        <v>69</v>
      </c>
      <c r="I2286" s="1" t="s">
        <v>58</v>
      </c>
      <c r="J2286" s="1" t="s">
        <v>70</v>
      </c>
      <c r="K2286" s="1" t="s">
        <v>90</v>
      </c>
      <c r="L2286" s="1" t="s">
        <v>49</v>
      </c>
      <c r="M2286" s="1" t="s">
        <v>38</v>
      </c>
      <c r="N2286" s="1" t="n">
        <v>12999</v>
      </c>
      <c r="O2286" s="1" t="n">
        <v>25</v>
      </c>
      <c r="P2286" s="1" t="n">
        <v>3249.75</v>
      </c>
      <c r="Q2286" s="1" t="n">
        <v>9749.25</v>
      </c>
      <c r="R2286" s="1" t="n">
        <v>1754.87</v>
      </c>
      <c r="S2286" s="1" t="n">
        <v>7994.38</v>
      </c>
      <c r="T2286" s="1" t="n">
        <v>3281.05</v>
      </c>
      <c r="U2286" s="1" t="n">
        <v>4713.33</v>
      </c>
      <c r="V2286" s="1" t="n">
        <v>58.96</v>
      </c>
      <c r="W2286" s="1" t="s">
        <v>39</v>
      </c>
      <c r="Y2286" s="1" t="s">
        <v>40</v>
      </c>
      <c r="Z2286" s="1" t="n">
        <v>0</v>
      </c>
      <c r="AA2286" s="1" t="str">
        <f aca="false">TRIM(PROPER(F2286))</f>
        <v>Noida</v>
      </c>
      <c r="AB2286" s="1" t="str">
        <f aca="false">TRIM(PROPER(C2286))</f>
        <v>Scaler</v>
      </c>
      <c r="AC2286" s="1" t="str">
        <f aca="false">IF(O2286=0,"No Discount",IF(O2286&lt;=15,"Low (1-15%)",IF(O2286&lt;=30,"Medium (16-30%)","High (&gt;30%)")))</f>
        <v>Medium (16-30%)</v>
      </c>
      <c r="AD2286" s="1" t="str">
        <f aca="false">IF(V2286&lt;0,"Loss Making",IF(V2286&lt;20,"Low Margin","Healthy Margin"))</f>
        <v>Healthy Margin</v>
      </c>
      <c r="AE2286" s="1" t="str">
        <f aca="false">TEXT(DATE(VALUE(RIGHT(B2286,4)),VALUE(MID(B2286,4,2)),VALUE(LEFT(B2286,2))),"MMM-YYYY")</f>
        <v>Nov-2023</v>
      </c>
      <c r="AF2286" s="1" t="n">
        <f aca="false">VALUE(RIGHT(B2286,4))</f>
        <v>2023</v>
      </c>
      <c r="AG2286" s="1" t="str">
        <f aca="false">CHOOSE(ROUNDUP(VALUE(MID(B2286,4,2))/3,0),"Q1","Q2","Q3","Q4")</f>
        <v>Q4</v>
      </c>
    </row>
    <row r="2287" customFormat="false" ht="15" hidden="false" customHeight="true" outlineLevel="0" collapsed="false">
      <c r="A2287" s="1" t="s">
        <v>3157</v>
      </c>
      <c r="B2287" s="1" t="s">
        <v>836</v>
      </c>
      <c r="C2287" s="1" t="s">
        <v>242</v>
      </c>
      <c r="D2287" s="1" t="s">
        <v>53</v>
      </c>
      <c r="E2287" s="1" t="s">
        <v>54</v>
      </c>
      <c r="F2287" s="1" t="s">
        <v>211</v>
      </c>
      <c r="G2287" s="1" t="s">
        <v>56</v>
      </c>
      <c r="H2287" s="1" t="s">
        <v>69</v>
      </c>
      <c r="I2287" s="1" t="s">
        <v>83</v>
      </c>
      <c r="J2287" s="1" t="s">
        <v>131</v>
      </c>
      <c r="K2287" s="1" t="s">
        <v>48</v>
      </c>
      <c r="L2287" s="1" t="s">
        <v>37</v>
      </c>
      <c r="M2287" s="1" t="s">
        <v>50</v>
      </c>
      <c r="N2287" s="1" t="n">
        <v>11999</v>
      </c>
      <c r="O2287" s="1" t="n">
        <v>30</v>
      </c>
      <c r="P2287" s="1" t="n">
        <v>3599.7</v>
      </c>
      <c r="Q2287" s="1" t="n">
        <v>8399.3</v>
      </c>
      <c r="R2287" s="1" t="n">
        <v>1511.87</v>
      </c>
      <c r="S2287" s="1" t="n">
        <v>6887.43</v>
      </c>
      <c r="T2287" s="1" t="n">
        <v>2758</v>
      </c>
      <c r="U2287" s="1" t="n">
        <v>4129.43</v>
      </c>
      <c r="V2287" s="1" t="n">
        <v>59.96</v>
      </c>
      <c r="W2287" s="1" t="s">
        <v>39</v>
      </c>
      <c r="X2287" s="1" t="n">
        <v>4.1</v>
      </c>
      <c r="Y2287" s="1" t="s">
        <v>40</v>
      </c>
      <c r="Z2287" s="1" t="n">
        <v>1</v>
      </c>
      <c r="AA2287" s="1" t="str">
        <f aca="false">TRIM(PROPER(F2287))</f>
        <v>Noida</v>
      </c>
      <c r="AB2287" s="1" t="str">
        <f aca="false">TRIM(PROPER(C2287))</f>
        <v>Leverage Edu</v>
      </c>
      <c r="AC2287" s="1" t="str">
        <f aca="false">IF(O2287=0,"No Discount",IF(O2287&lt;=15,"Low (1-15%)",IF(O2287&lt;=30,"Medium (16-30%)","High (&gt;30%)")))</f>
        <v>Medium (16-30%)</v>
      </c>
      <c r="AD2287" s="1" t="str">
        <f aca="false">IF(V2287&lt;0,"Loss Making",IF(V2287&lt;20,"Low Margin","Healthy Margin"))</f>
        <v>Healthy Margin</v>
      </c>
      <c r="AE2287" s="1" t="str">
        <f aca="false">TEXT(DATE(VALUE(RIGHT(B2287,4)),VALUE(MID(B2287,4,2)),VALUE(LEFT(B2287,2))),"MMM-YYYY")</f>
        <v>Sep-2023</v>
      </c>
      <c r="AF2287" s="1" t="n">
        <f aca="false">VALUE(RIGHT(B2287,4))</f>
        <v>2023</v>
      </c>
      <c r="AG2287" s="1" t="str">
        <f aca="false">CHOOSE(ROUNDUP(VALUE(MID(B2287,4,2))/3,0),"Q1","Q2","Q3","Q4")</f>
        <v>Q3</v>
      </c>
    </row>
    <row r="2288" customFormat="false" ht="15" hidden="false" customHeight="true" outlineLevel="0" collapsed="false">
      <c r="A2288" s="1" t="s">
        <v>3158</v>
      </c>
      <c r="B2288" s="1" t="s">
        <v>382</v>
      </c>
      <c r="C2288" s="1" t="s">
        <v>74</v>
      </c>
      <c r="D2288" s="1" t="s">
        <v>80</v>
      </c>
      <c r="E2288" s="1" t="s">
        <v>193</v>
      </c>
      <c r="F2288" s="1" t="s">
        <v>184</v>
      </c>
      <c r="G2288" s="1" t="s">
        <v>56</v>
      </c>
      <c r="H2288" s="1" t="s">
        <v>57</v>
      </c>
      <c r="I2288" s="1" t="s">
        <v>58</v>
      </c>
      <c r="J2288" s="1" t="s">
        <v>35</v>
      </c>
      <c r="K2288" s="1" t="s">
        <v>60</v>
      </c>
      <c r="L2288" s="1" t="s">
        <v>61</v>
      </c>
      <c r="M2288" s="1" t="s">
        <v>62</v>
      </c>
      <c r="N2288" s="1" t="n">
        <v>8999</v>
      </c>
      <c r="O2288" s="1" t="n">
        <v>10</v>
      </c>
      <c r="P2288" s="1" t="n">
        <v>899.9</v>
      </c>
      <c r="Q2288" s="1" t="n">
        <v>8099.1</v>
      </c>
      <c r="R2288" s="1" t="n">
        <v>1457.84</v>
      </c>
      <c r="S2288" s="1" t="n">
        <v>6641.26</v>
      </c>
      <c r="T2288" s="1" t="n">
        <v>3072.81</v>
      </c>
      <c r="U2288" s="1" t="n">
        <v>3568.45</v>
      </c>
      <c r="V2288" s="1" t="n">
        <v>53.73</v>
      </c>
      <c r="W2288" s="1" t="s">
        <v>40</v>
      </c>
      <c r="Y2288" s="1" t="s">
        <v>40</v>
      </c>
      <c r="Z2288" s="1" t="n">
        <v>1</v>
      </c>
      <c r="AA2288" s="1" t="str">
        <f aca="false">TRIM(PROPER(F2288))</f>
        <v>Faridabad</v>
      </c>
      <c r="AB2288" s="1" t="str">
        <f aca="false">TRIM(PROPER(C2288))</f>
        <v>Vedantu</v>
      </c>
      <c r="AC2288" s="1" t="str">
        <f aca="false">IF(O2288=0,"No Discount",IF(O2288&lt;=15,"Low (1-15%)",IF(O2288&lt;=30,"Medium (16-30%)","High (&gt;30%)")))</f>
        <v>Low (1-15%)</v>
      </c>
      <c r="AD2288" s="1" t="str">
        <f aca="false">IF(V2288&lt;0,"Loss Making",IF(V2288&lt;20,"Low Margin","Healthy Margin"))</f>
        <v>Healthy Margin</v>
      </c>
      <c r="AE2288" s="1" t="str">
        <f aca="false">TEXT(DATE(VALUE(RIGHT(B2288,4)),VALUE(MID(B2288,4,2)),VALUE(LEFT(B2288,2))),"MMM-YYYY")</f>
        <v>Jan-2024</v>
      </c>
      <c r="AF2288" s="1" t="n">
        <f aca="false">VALUE(RIGHT(B2288,4))</f>
        <v>2024</v>
      </c>
      <c r="AG2288" s="1" t="str">
        <f aca="false">CHOOSE(ROUNDUP(VALUE(MID(B2288,4,2))/3,0),"Q1","Q2","Q3","Q4")</f>
        <v>Q1</v>
      </c>
    </row>
    <row r="2289" customFormat="false" ht="15" hidden="false" customHeight="true" outlineLevel="0" collapsed="false">
      <c r="A2289" s="1" t="s">
        <v>3159</v>
      </c>
      <c r="B2289" s="1" t="s">
        <v>1305</v>
      </c>
      <c r="C2289" s="1" t="s">
        <v>43</v>
      </c>
      <c r="D2289" s="1" t="s">
        <v>80</v>
      </c>
      <c r="E2289" s="1" t="s">
        <v>175</v>
      </c>
      <c r="F2289" s="1" t="s">
        <v>211</v>
      </c>
      <c r="G2289" s="1" t="s">
        <v>56</v>
      </c>
      <c r="H2289" s="1" t="s">
        <v>69</v>
      </c>
      <c r="I2289" s="1" t="s">
        <v>58</v>
      </c>
      <c r="J2289" s="1" t="s">
        <v>77</v>
      </c>
      <c r="K2289" s="1" t="s">
        <v>71</v>
      </c>
      <c r="L2289" s="1" t="s">
        <v>136</v>
      </c>
      <c r="M2289" s="1" t="s">
        <v>62</v>
      </c>
      <c r="N2289" s="1" t="n">
        <v>19999</v>
      </c>
      <c r="O2289" s="1" t="n">
        <v>10</v>
      </c>
      <c r="P2289" s="1" t="n">
        <v>1999.9</v>
      </c>
      <c r="Q2289" s="1" t="n">
        <v>17999.1</v>
      </c>
      <c r="R2289" s="1" t="n">
        <v>3239.84</v>
      </c>
      <c r="S2289" s="1" t="n">
        <v>14759.26</v>
      </c>
      <c r="T2289" s="1" t="n">
        <v>5153.04</v>
      </c>
      <c r="U2289" s="1" t="n">
        <v>9606.22</v>
      </c>
      <c r="V2289" s="1" t="n">
        <v>65.09</v>
      </c>
      <c r="W2289" s="1" t="s">
        <v>39</v>
      </c>
      <c r="Y2289" s="1" t="s">
        <v>40</v>
      </c>
      <c r="Z2289" s="1" t="n">
        <v>0</v>
      </c>
      <c r="AA2289" s="1" t="str">
        <f aca="false">TRIM(PROPER(F2289))</f>
        <v>Noida</v>
      </c>
      <c r="AB2289" s="1" t="str">
        <f aca="false">TRIM(PROPER(C2289))</f>
        <v>Meritnation</v>
      </c>
      <c r="AC2289" s="1" t="str">
        <f aca="false">IF(O2289=0,"No Discount",IF(O2289&lt;=15,"Low (1-15%)",IF(O2289&lt;=30,"Medium (16-30%)","High (&gt;30%)")))</f>
        <v>Low (1-15%)</v>
      </c>
      <c r="AD2289" s="1" t="str">
        <f aca="false">IF(V2289&lt;0,"Loss Making",IF(V2289&lt;20,"Low Margin","Healthy Margin"))</f>
        <v>Healthy Margin</v>
      </c>
      <c r="AE2289" s="1" t="str">
        <f aca="false">TEXT(DATE(VALUE(RIGHT(B2289,4)),VALUE(MID(B2289,4,2)),VALUE(LEFT(B2289,2))),"MMM-YYYY")</f>
        <v>Feb-2023</v>
      </c>
      <c r="AF2289" s="1" t="n">
        <f aca="false">VALUE(RIGHT(B2289,4))</f>
        <v>2023</v>
      </c>
      <c r="AG2289" s="1" t="str">
        <f aca="false">CHOOSE(ROUNDUP(VALUE(MID(B2289,4,2))/3,0),"Q1","Q2","Q3","Q4")</f>
        <v>Q1</v>
      </c>
    </row>
    <row r="2290" customFormat="false" ht="15" hidden="false" customHeight="true" outlineLevel="0" collapsed="false">
      <c r="A2290" s="1" t="s">
        <v>3160</v>
      </c>
      <c r="B2290" s="1" t="s">
        <v>722</v>
      </c>
      <c r="C2290" s="1" t="s">
        <v>65</v>
      </c>
      <c r="D2290" s="1" t="s">
        <v>168</v>
      </c>
      <c r="E2290" s="1" t="s">
        <v>197</v>
      </c>
      <c r="F2290" s="1" t="s">
        <v>120</v>
      </c>
      <c r="G2290" s="1" t="s">
        <v>47</v>
      </c>
      <c r="H2290" s="1" t="s">
        <v>57</v>
      </c>
      <c r="I2290" s="1" t="s">
        <v>58</v>
      </c>
      <c r="J2290" s="1" t="s">
        <v>70</v>
      </c>
      <c r="K2290" s="1" t="s">
        <v>104</v>
      </c>
      <c r="L2290" s="1" t="s">
        <v>37</v>
      </c>
      <c r="M2290" s="1" t="s">
        <v>62</v>
      </c>
      <c r="N2290" s="1" t="n">
        <v>8499</v>
      </c>
      <c r="O2290" s="1" t="n">
        <v>40</v>
      </c>
      <c r="P2290" s="1" t="n">
        <v>3399.6</v>
      </c>
      <c r="Q2290" s="1" t="n">
        <v>5099.4</v>
      </c>
      <c r="R2290" s="1" t="n">
        <v>917.89</v>
      </c>
      <c r="S2290" s="1" t="n">
        <v>4181.51</v>
      </c>
      <c r="T2290" s="1" t="n">
        <v>2040.26</v>
      </c>
      <c r="U2290" s="1" t="n">
        <v>2141.25</v>
      </c>
      <c r="V2290" s="1" t="n">
        <v>51.21</v>
      </c>
      <c r="W2290" s="1" t="s">
        <v>39</v>
      </c>
      <c r="X2290" s="1" t="n">
        <v>4.4</v>
      </c>
      <c r="Y2290" s="1" t="s">
        <v>40</v>
      </c>
      <c r="Z2290" s="1" t="n">
        <v>0</v>
      </c>
      <c r="AA2290" s="1" t="str">
        <f aca="false">TRIM(PROPER(F2290))</f>
        <v>Mysuru</v>
      </c>
      <c r="AB2290" s="1" t="str">
        <f aca="false">TRIM(PROPER(C2290))</f>
        <v>Toppr</v>
      </c>
      <c r="AC2290" s="1" t="str">
        <f aca="false">IF(O2290=0,"No Discount",IF(O2290&lt;=15,"Low (1-15%)",IF(O2290&lt;=30,"Medium (16-30%)","High (&gt;30%)")))</f>
        <v>High (&gt;30%)</v>
      </c>
      <c r="AD2290" s="1" t="str">
        <f aca="false">IF(V2290&lt;0,"Loss Making",IF(V2290&lt;20,"Low Margin","Healthy Margin"))</f>
        <v>Healthy Margin</v>
      </c>
      <c r="AE2290" s="1" t="str">
        <f aca="false">TEXT(DATE(VALUE(RIGHT(B2290,4)),VALUE(MID(B2290,4,2)),VALUE(LEFT(B2290,2))),"MMM-YYYY")</f>
        <v>Oct-2023</v>
      </c>
      <c r="AF2290" s="1" t="n">
        <f aca="false">VALUE(RIGHT(B2290,4))</f>
        <v>2023</v>
      </c>
      <c r="AG2290" s="1" t="str">
        <f aca="false">CHOOSE(ROUNDUP(VALUE(MID(B2290,4,2))/3,0),"Q1","Q2","Q3","Q4")</f>
        <v>Q4</v>
      </c>
    </row>
    <row r="2291" customFormat="false" ht="15" hidden="false" customHeight="true" outlineLevel="0" collapsed="false">
      <c r="A2291" s="1" t="s">
        <v>3161</v>
      </c>
      <c r="B2291" s="1" t="s">
        <v>2631</v>
      </c>
      <c r="C2291" s="1" t="s">
        <v>119</v>
      </c>
      <c r="D2291" s="1" t="s">
        <v>80</v>
      </c>
      <c r="E2291" s="1" t="s">
        <v>175</v>
      </c>
      <c r="F2291" s="1" t="s">
        <v>244</v>
      </c>
      <c r="G2291" s="1" t="s">
        <v>97</v>
      </c>
      <c r="H2291" s="1" t="s">
        <v>57</v>
      </c>
      <c r="I2291" s="1" t="s">
        <v>34</v>
      </c>
      <c r="J2291" s="1" t="s">
        <v>59</v>
      </c>
      <c r="K2291" s="1" t="s">
        <v>112</v>
      </c>
      <c r="L2291" s="1" t="s">
        <v>37</v>
      </c>
      <c r="M2291" s="1" t="s">
        <v>62</v>
      </c>
      <c r="N2291" s="1" t="n">
        <v>19999</v>
      </c>
      <c r="O2291" s="1" t="n">
        <v>50</v>
      </c>
      <c r="P2291" s="1" t="n">
        <v>9999.5</v>
      </c>
      <c r="Q2291" s="1" t="n">
        <v>9999.5</v>
      </c>
      <c r="R2291" s="1" t="n">
        <v>1799.91</v>
      </c>
      <c r="S2291" s="1" t="n">
        <v>8199.59</v>
      </c>
      <c r="T2291" s="1" t="n">
        <v>4706.56</v>
      </c>
      <c r="U2291" s="1" t="n">
        <v>3493.03</v>
      </c>
      <c r="V2291" s="1" t="n">
        <v>42.6</v>
      </c>
      <c r="W2291" s="1" t="s">
        <v>39</v>
      </c>
      <c r="X2291" s="1" t="n">
        <v>4.7</v>
      </c>
      <c r="Y2291" s="1" t="s">
        <v>40</v>
      </c>
      <c r="Z2291" s="1" t="n">
        <v>1</v>
      </c>
      <c r="AA2291" s="1" t="str">
        <f aca="false">TRIM(PROPER(F2291))</f>
        <v>Nagpur</v>
      </c>
      <c r="AB2291" s="1" t="str">
        <f aca="false">TRIM(PROPER(C2291))</f>
        <v>Simplilearn</v>
      </c>
      <c r="AC2291" s="1" t="str">
        <f aca="false">IF(O2291=0,"No Discount",IF(O2291&lt;=15,"Low (1-15%)",IF(O2291&lt;=30,"Medium (16-30%)","High (&gt;30%)")))</f>
        <v>High (&gt;30%)</v>
      </c>
      <c r="AD2291" s="1" t="str">
        <f aca="false">IF(V2291&lt;0,"Loss Making",IF(V2291&lt;20,"Low Margin","Healthy Margin"))</f>
        <v>Healthy Margin</v>
      </c>
      <c r="AE2291" s="1" t="str">
        <f aca="false">TEXT(DATE(VALUE(RIGHT(B2291,4)),VALUE(MID(B2291,4,2)),VALUE(LEFT(B2291,2))),"MMM-YYYY")</f>
        <v>Jan-2024</v>
      </c>
      <c r="AF2291" s="1" t="n">
        <f aca="false">VALUE(RIGHT(B2291,4))</f>
        <v>2024</v>
      </c>
      <c r="AG2291" s="1" t="str">
        <f aca="false">CHOOSE(ROUNDUP(VALUE(MID(B2291,4,2))/3,0),"Q1","Q2","Q3","Q4")</f>
        <v>Q1</v>
      </c>
    </row>
    <row r="2292" customFormat="false" ht="15" hidden="false" customHeight="true" outlineLevel="0" collapsed="false">
      <c r="A2292" s="1" t="s">
        <v>3162</v>
      </c>
      <c r="B2292" s="1" t="s">
        <v>1381</v>
      </c>
      <c r="C2292" s="1" t="s">
        <v>249</v>
      </c>
      <c r="D2292" s="1" t="s">
        <v>123</v>
      </c>
      <c r="E2292" s="1" t="s">
        <v>147</v>
      </c>
      <c r="F2292" s="1" t="s">
        <v>125</v>
      </c>
      <c r="G2292" s="1" t="s">
        <v>108</v>
      </c>
      <c r="H2292" s="1" t="s">
        <v>69</v>
      </c>
      <c r="I2292" s="1" t="s">
        <v>34</v>
      </c>
      <c r="J2292" s="1" t="s">
        <v>35</v>
      </c>
      <c r="K2292" s="1" t="s">
        <v>36</v>
      </c>
      <c r="L2292" s="1" t="s">
        <v>136</v>
      </c>
      <c r="M2292" s="1" t="s">
        <v>50</v>
      </c>
      <c r="N2292" s="1" t="n">
        <v>6999</v>
      </c>
      <c r="O2292" s="1" t="n">
        <v>0</v>
      </c>
      <c r="P2292" s="1" t="n">
        <v>0</v>
      </c>
      <c r="Q2292" s="1" t="n">
        <v>6999</v>
      </c>
      <c r="R2292" s="1" t="n">
        <v>1259.82</v>
      </c>
      <c r="S2292" s="1" t="n">
        <v>5739.18</v>
      </c>
      <c r="T2292" s="1" t="n">
        <v>2929.62</v>
      </c>
      <c r="U2292" s="1" t="n">
        <v>2809.56</v>
      </c>
      <c r="V2292" s="1" t="n">
        <v>48.95</v>
      </c>
      <c r="W2292" s="1" t="s">
        <v>39</v>
      </c>
      <c r="X2292" s="1" t="n">
        <v>3.3</v>
      </c>
      <c r="Y2292" s="1" t="s">
        <v>40</v>
      </c>
      <c r="Z2292" s="1" t="n">
        <v>0</v>
      </c>
      <c r="AA2292" s="1" t="str">
        <f aca="false">TRIM(PROPER(F2292))</f>
        <v>Chennai</v>
      </c>
      <c r="AB2292" s="1" t="str">
        <f aca="false">TRIM(PROPER(C2292))</f>
        <v>Whitehat Jr</v>
      </c>
      <c r="AC2292" s="1" t="str">
        <f aca="false">IF(O2292=0,"No Discount",IF(O2292&lt;=15,"Low (1-15%)",IF(O2292&lt;=30,"Medium (16-30%)","High (&gt;30%)")))</f>
        <v>No Discount</v>
      </c>
      <c r="AD2292" s="1" t="str">
        <f aca="false">IF(V2292&lt;0,"Loss Making",IF(V2292&lt;20,"Low Margin","Healthy Margin"))</f>
        <v>Healthy Margin</v>
      </c>
      <c r="AE2292" s="1" t="str">
        <f aca="false">TEXT(DATE(VALUE(RIGHT(B2292,4)),VALUE(MID(B2292,4,2)),VALUE(LEFT(B2292,2))),"MMM-YYYY")</f>
        <v>Oct-2024</v>
      </c>
      <c r="AF2292" s="1" t="n">
        <f aca="false">VALUE(RIGHT(B2292,4))</f>
        <v>2024</v>
      </c>
      <c r="AG2292" s="1" t="str">
        <f aca="false">CHOOSE(ROUNDUP(VALUE(MID(B2292,4,2))/3,0),"Q1","Q2","Q3","Q4")</f>
        <v>Q4</v>
      </c>
    </row>
    <row r="2293" customFormat="false" ht="15" hidden="false" customHeight="true" outlineLevel="0" collapsed="false">
      <c r="A2293" s="1" t="s">
        <v>3163</v>
      </c>
      <c r="B2293" s="1" t="s">
        <v>1927</v>
      </c>
      <c r="C2293" s="1" t="s">
        <v>93</v>
      </c>
      <c r="D2293" s="1" t="s">
        <v>123</v>
      </c>
      <c r="E2293" s="1" t="s">
        <v>147</v>
      </c>
      <c r="F2293" s="1" t="s">
        <v>96</v>
      </c>
      <c r="G2293" s="1" t="s">
        <v>97</v>
      </c>
      <c r="H2293" s="1" t="s">
        <v>69</v>
      </c>
      <c r="I2293" s="1" t="s">
        <v>34</v>
      </c>
      <c r="J2293" s="1" t="s">
        <v>70</v>
      </c>
      <c r="K2293" s="1" t="s">
        <v>71</v>
      </c>
      <c r="L2293" s="1" t="s">
        <v>85</v>
      </c>
      <c r="M2293" s="1" t="s">
        <v>50</v>
      </c>
      <c r="N2293" s="1" t="n">
        <v>6999</v>
      </c>
      <c r="O2293" s="1" t="n">
        <v>50</v>
      </c>
      <c r="P2293" s="1" t="n">
        <v>3499.5</v>
      </c>
      <c r="Q2293" s="1" t="n">
        <v>3499.5</v>
      </c>
      <c r="R2293" s="1" t="n">
        <v>629.91</v>
      </c>
      <c r="S2293" s="1" t="n">
        <v>2869.59</v>
      </c>
      <c r="T2293" s="1" t="n">
        <v>1272.44</v>
      </c>
      <c r="U2293" s="1" t="n">
        <v>1597.15</v>
      </c>
      <c r="V2293" s="1" t="n">
        <v>55.66</v>
      </c>
      <c r="W2293" s="1" t="s">
        <v>39</v>
      </c>
      <c r="X2293" s="1" t="n">
        <v>3.5</v>
      </c>
      <c r="Y2293" s="1" t="s">
        <v>40</v>
      </c>
      <c r="Z2293" s="1" t="n">
        <v>0</v>
      </c>
      <c r="AA2293" s="1" t="str">
        <f aca="false">TRIM(PROPER(F2293))</f>
        <v>Pune</v>
      </c>
      <c r="AB2293" s="1" t="str">
        <f aca="false">TRIM(PROPER(C2293))</f>
        <v>Upgrad</v>
      </c>
      <c r="AC2293" s="1" t="str">
        <f aca="false">IF(O2293=0,"No Discount",IF(O2293&lt;=15,"Low (1-15%)",IF(O2293&lt;=30,"Medium (16-30%)","High (&gt;30%)")))</f>
        <v>High (&gt;30%)</v>
      </c>
      <c r="AD2293" s="1" t="str">
        <f aca="false">IF(V2293&lt;0,"Loss Making",IF(V2293&lt;20,"Low Margin","Healthy Margin"))</f>
        <v>Healthy Margin</v>
      </c>
      <c r="AE2293" s="1" t="str">
        <f aca="false">TEXT(DATE(VALUE(RIGHT(B2293,4)),VALUE(MID(B2293,4,2)),VALUE(LEFT(B2293,2))),"MMM-YYYY")</f>
        <v>May-2023</v>
      </c>
      <c r="AF2293" s="1" t="n">
        <f aca="false">VALUE(RIGHT(B2293,4))</f>
        <v>2023</v>
      </c>
      <c r="AG2293" s="1" t="str">
        <f aca="false">CHOOSE(ROUNDUP(VALUE(MID(B2293,4,2))/3,0),"Q1","Q2","Q3","Q4")</f>
        <v>Q2</v>
      </c>
    </row>
    <row r="2294" customFormat="false" ht="15" hidden="false" customHeight="true" outlineLevel="0" collapsed="false">
      <c r="A2294" s="1" t="s">
        <v>3164</v>
      </c>
      <c r="B2294" s="1" t="s">
        <v>489</v>
      </c>
      <c r="C2294" s="1" t="s">
        <v>128</v>
      </c>
      <c r="D2294" s="1" t="s">
        <v>143</v>
      </c>
      <c r="E2294" s="1" t="s">
        <v>243</v>
      </c>
      <c r="F2294" s="1" t="s">
        <v>153</v>
      </c>
      <c r="G2294" s="1" t="s">
        <v>76</v>
      </c>
      <c r="H2294" s="1" t="s">
        <v>33</v>
      </c>
      <c r="I2294" s="1" t="s">
        <v>83</v>
      </c>
      <c r="J2294" s="1" t="s">
        <v>77</v>
      </c>
      <c r="K2294" s="1" t="s">
        <v>48</v>
      </c>
      <c r="L2294" s="1" t="s">
        <v>85</v>
      </c>
      <c r="M2294" s="1" t="s">
        <v>50</v>
      </c>
      <c r="N2294" s="1" t="n">
        <v>22999</v>
      </c>
      <c r="O2294" s="1" t="n">
        <v>50</v>
      </c>
      <c r="P2294" s="1" t="n">
        <v>11499.5</v>
      </c>
      <c r="Q2294" s="1" t="n">
        <v>11499.5</v>
      </c>
      <c r="R2294" s="1" t="n">
        <v>2069.91</v>
      </c>
      <c r="S2294" s="1" t="n">
        <v>9429.59</v>
      </c>
      <c r="T2294" s="1" t="n">
        <v>5072.45</v>
      </c>
      <c r="U2294" s="1" t="n">
        <v>4357.14</v>
      </c>
      <c r="V2294" s="1" t="n">
        <v>46.21</v>
      </c>
      <c r="W2294" s="1" t="s">
        <v>40</v>
      </c>
      <c r="Y2294" s="1" t="s">
        <v>40</v>
      </c>
      <c r="Z2294" s="1" t="n">
        <v>1</v>
      </c>
      <c r="AA2294" s="1" t="str">
        <f aca="false">TRIM(PROPER(F2294))</f>
        <v>Howrah</v>
      </c>
      <c r="AB2294" s="1" t="str">
        <f aca="false">TRIM(PROPER(C2294))</f>
        <v>Great Learning</v>
      </c>
      <c r="AC2294" s="1" t="str">
        <f aca="false">IF(O2294=0,"No Discount",IF(O2294&lt;=15,"Low (1-15%)",IF(O2294&lt;=30,"Medium (16-30%)","High (&gt;30%)")))</f>
        <v>High (&gt;30%)</v>
      </c>
      <c r="AD2294" s="1" t="str">
        <f aca="false">IF(V2294&lt;0,"Loss Making",IF(V2294&lt;20,"Low Margin","Healthy Margin"))</f>
        <v>Healthy Margin</v>
      </c>
      <c r="AE2294" s="1" t="str">
        <f aca="false">TEXT(DATE(VALUE(RIGHT(B2294,4)),VALUE(MID(B2294,4,2)),VALUE(LEFT(B2294,2))),"MMM-YYYY")</f>
        <v>Apr-2023</v>
      </c>
      <c r="AF2294" s="1" t="n">
        <f aca="false">VALUE(RIGHT(B2294,4))</f>
        <v>2023</v>
      </c>
      <c r="AG2294" s="1" t="str">
        <f aca="false">CHOOSE(ROUNDUP(VALUE(MID(B2294,4,2))/3,0),"Q1","Q2","Q3","Q4")</f>
        <v>Q2</v>
      </c>
    </row>
    <row r="2295" customFormat="false" ht="15" hidden="false" customHeight="true" outlineLevel="0" collapsed="false">
      <c r="A2295" s="1" t="s">
        <v>3165</v>
      </c>
      <c r="B2295" s="1" t="s">
        <v>146</v>
      </c>
      <c r="C2295" s="1" t="s">
        <v>139</v>
      </c>
      <c r="D2295" s="1" t="s">
        <v>168</v>
      </c>
      <c r="E2295" s="1" t="s">
        <v>169</v>
      </c>
      <c r="F2295" s="1" t="s">
        <v>46</v>
      </c>
      <c r="G2295" s="1" t="s">
        <v>47</v>
      </c>
      <c r="H2295" s="1" t="s">
        <v>33</v>
      </c>
      <c r="I2295" s="1" t="s">
        <v>34</v>
      </c>
      <c r="J2295" s="1" t="s">
        <v>131</v>
      </c>
      <c r="K2295" s="1" t="s">
        <v>48</v>
      </c>
      <c r="L2295" s="1" t="s">
        <v>113</v>
      </c>
      <c r="M2295" s="1" t="s">
        <v>50</v>
      </c>
      <c r="N2295" s="1" t="n">
        <v>4999</v>
      </c>
      <c r="O2295" s="1" t="n">
        <v>0</v>
      </c>
      <c r="P2295" s="1" t="n">
        <v>0</v>
      </c>
      <c r="Q2295" s="1" t="n">
        <v>4999</v>
      </c>
      <c r="R2295" s="1" t="n">
        <v>899.82</v>
      </c>
      <c r="S2295" s="1" t="n">
        <v>4099.18</v>
      </c>
      <c r="T2295" s="1" t="n">
        <v>1622.28</v>
      </c>
      <c r="U2295" s="1" t="n">
        <v>2476.9</v>
      </c>
      <c r="V2295" s="1" t="n">
        <v>60.42</v>
      </c>
      <c r="W2295" s="1" t="s">
        <v>39</v>
      </c>
      <c r="X2295" s="1" t="n">
        <v>3.4</v>
      </c>
      <c r="Y2295" s="1" t="s">
        <v>40</v>
      </c>
      <c r="Z2295" s="1" t="n">
        <v>0</v>
      </c>
      <c r="AA2295" s="1" t="str">
        <f aca="false">TRIM(PROPER(F2295))</f>
        <v>Mangaluru</v>
      </c>
      <c r="AB2295" s="1" t="str">
        <f aca="false">TRIM(PROPER(C2295))</f>
        <v>Extramarks</v>
      </c>
      <c r="AC2295" s="1" t="str">
        <f aca="false">IF(O2295=0,"No Discount",IF(O2295&lt;=15,"Low (1-15%)",IF(O2295&lt;=30,"Medium (16-30%)","High (&gt;30%)")))</f>
        <v>No Discount</v>
      </c>
      <c r="AD2295" s="1" t="str">
        <f aca="false">IF(V2295&lt;0,"Loss Making",IF(V2295&lt;20,"Low Margin","Healthy Margin"))</f>
        <v>Healthy Margin</v>
      </c>
      <c r="AE2295" s="1" t="str">
        <f aca="false">TEXT(DATE(VALUE(RIGHT(B2295,4)),VALUE(MID(B2295,4,2)),VALUE(LEFT(B2295,2))),"MMM-YYYY")</f>
        <v>Jun-2024</v>
      </c>
      <c r="AF2295" s="1" t="n">
        <f aca="false">VALUE(RIGHT(B2295,4))</f>
        <v>2024</v>
      </c>
      <c r="AG2295" s="1" t="str">
        <f aca="false">CHOOSE(ROUNDUP(VALUE(MID(B2295,4,2))/3,0),"Q1","Q2","Q3","Q4")</f>
        <v>Q2</v>
      </c>
    </row>
    <row r="2296" customFormat="false" ht="15" hidden="false" customHeight="true" outlineLevel="0" collapsed="false">
      <c r="A2296" s="1" t="s">
        <v>3166</v>
      </c>
      <c r="B2296" s="1" t="s">
        <v>2049</v>
      </c>
      <c r="C2296" s="1" t="s">
        <v>43</v>
      </c>
      <c r="D2296" s="1" t="s">
        <v>53</v>
      </c>
      <c r="E2296" s="1" t="s">
        <v>116</v>
      </c>
      <c r="F2296" s="1" t="s">
        <v>89</v>
      </c>
      <c r="G2296" s="1" t="s">
        <v>68</v>
      </c>
      <c r="H2296" s="1" t="s">
        <v>33</v>
      </c>
      <c r="I2296" s="1" t="s">
        <v>83</v>
      </c>
      <c r="J2296" s="1" t="s">
        <v>59</v>
      </c>
      <c r="K2296" s="1" t="s">
        <v>112</v>
      </c>
      <c r="L2296" s="1" t="s">
        <v>37</v>
      </c>
      <c r="M2296" s="1" t="s">
        <v>50</v>
      </c>
      <c r="N2296" s="1" t="n">
        <v>9999</v>
      </c>
      <c r="O2296" s="1" t="n">
        <v>40</v>
      </c>
      <c r="P2296" s="1" t="n">
        <v>3999.6</v>
      </c>
      <c r="Q2296" s="1" t="n">
        <v>5999.4</v>
      </c>
      <c r="R2296" s="1" t="n">
        <v>1079.89</v>
      </c>
      <c r="S2296" s="1" t="n">
        <v>4919.51</v>
      </c>
      <c r="T2296" s="1" t="n">
        <v>2595.94</v>
      </c>
      <c r="U2296" s="1" t="n">
        <v>2323.57</v>
      </c>
      <c r="V2296" s="1" t="n">
        <v>47.23</v>
      </c>
      <c r="W2296" s="1" t="s">
        <v>39</v>
      </c>
      <c r="X2296" s="1" t="n">
        <v>4</v>
      </c>
      <c r="Y2296" s="1" t="s">
        <v>40</v>
      </c>
      <c r="Z2296" s="1" t="n">
        <v>0</v>
      </c>
      <c r="AA2296" s="1" t="str">
        <f aca="false">TRIM(PROPER(F2296))</f>
        <v>Vadodara</v>
      </c>
      <c r="AB2296" s="1" t="str">
        <f aca="false">TRIM(PROPER(C2296))</f>
        <v>Meritnation</v>
      </c>
      <c r="AC2296" s="1" t="str">
        <f aca="false">IF(O2296=0,"No Discount",IF(O2296&lt;=15,"Low (1-15%)",IF(O2296&lt;=30,"Medium (16-30%)","High (&gt;30%)")))</f>
        <v>High (&gt;30%)</v>
      </c>
      <c r="AD2296" s="1" t="str">
        <f aca="false">IF(V2296&lt;0,"Loss Making",IF(V2296&lt;20,"Low Margin","Healthy Margin"))</f>
        <v>Healthy Margin</v>
      </c>
      <c r="AE2296" s="1" t="str">
        <f aca="false">TEXT(DATE(VALUE(RIGHT(B2296,4)),VALUE(MID(B2296,4,2)),VALUE(LEFT(B2296,2))),"MMM-YYYY")</f>
        <v>Feb-2023</v>
      </c>
      <c r="AF2296" s="1" t="n">
        <f aca="false">VALUE(RIGHT(B2296,4))</f>
        <v>2023</v>
      </c>
      <c r="AG2296" s="1" t="str">
        <f aca="false">CHOOSE(ROUNDUP(VALUE(MID(B2296,4,2))/3,0),"Q1","Q2","Q3","Q4")</f>
        <v>Q1</v>
      </c>
    </row>
    <row r="2297" customFormat="false" ht="15" hidden="false" customHeight="true" outlineLevel="0" collapsed="false">
      <c r="A2297" s="1" t="s">
        <v>3167</v>
      </c>
      <c r="B2297" s="1" t="s">
        <v>435</v>
      </c>
      <c r="C2297" s="1" t="s">
        <v>100</v>
      </c>
      <c r="D2297" s="1" t="s">
        <v>29</v>
      </c>
      <c r="E2297" s="1" t="s">
        <v>129</v>
      </c>
      <c r="F2297" s="1" t="s">
        <v>96</v>
      </c>
      <c r="G2297" s="1" t="s">
        <v>97</v>
      </c>
      <c r="H2297" s="1" t="s">
        <v>69</v>
      </c>
      <c r="I2297" s="1" t="s">
        <v>58</v>
      </c>
      <c r="J2297" s="1" t="s">
        <v>131</v>
      </c>
      <c r="K2297" s="1" t="s">
        <v>84</v>
      </c>
      <c r="L2297" s="1" t="s">
        <v>49</v>
      </c>
      <c r="M2297" s="1" t="s">
        <v>62</v>
      </c>
      <c r="N2297" s="1" t="n">
        <v>29999</v>
      </c>
      <c r="O2297" s="1" t="n">
        <v>20</v>
      </c>
      <c r="P2297" s="1" t="n">
        <v>5999.8</v>
      </c>
      <c r="Q2297" s="1" t="n">
        <v>23999.2</v>
      </c>
      <c r="R2297" s="1" t="n">
        <v>4319.86</v>
      </c>
      <c r="S2297" s="1" t="n">
        <v>19679.34</v>
      </c>
      <c r="T2297" s="1" t="n">
        <v>6005.31</v>
      </c>
      <c r="U2297" s="1" t="n">
        <v>13674.03</v>
      </c>
      <c r="V2297" s="1" t="n">
        <v>69.48</v>
      </c>
      <c r="W2297" s="1" t="s">
        <v>39</v>
      </c>
      <c r="X2297" s="1" t="n">
        <v>3.6</v>
      </c>
      <c r="Y2297" s="1" t="s">
        <v>40</v>
      </c>
      <c r="Z2297" s="1" t="n">
        <v>1</v>
      </c>
      <c r="AA2297" s="1" t="str">
        <f aca="false">TRIM(PROPER(F2297))</f>
        <v>Pune</v>
      </c>
      <c r="AB2297" s="1" t="str">
        <f aca="false">TRIM(PROPER(C2297))</f>
        <v>Physics Wallah</v>
      </c>
      <c r="AC2297" s="1" t="str">
        <f aca="false">IF(O2297=0,"No Discount",IF(O2297&lt;=15,"Low (1-15%)",IF(O2297&lt;=30,"Medium (16-30%)","High (&gt;30%)")))</f>
        <v>Medium (16-30%)</v>
      </c>
      <c r="AD2297" s="1" t="str">
        <f aca="false">IF(V2297&lt;0,"Loss Making",IF(V2297&lt;20,"Low Margin","Healthy Margin"))</f>
        <v>Healthy Margin</v>
      </c>
      <c r="AE2297" s="1" t="str">
        <f aca="false">TEXT(DATE(VALUE(RIGHT(B2297,4)),VALUE(MID(B2297,4,2)),VALUE(LEFT(B2297,2))),"MMM-YYYY")</f>
        <v>Feb-2024</v>
      </c>
      <c r="AF2297" s="1" t="n">
        <f aca="false">VALUE(RIGHT(B2297,4))</f>
        <v>2024</v>
      </c>
      <c r="AG2297" s="1" t="str">
        <f aca="false">CHOOSE(ROUNDUP(VALUE(MID(B2297,4,2))/3,0),"Q1","Q2","Q3","Q4")</f>
        <v>Q1</v>
      </c>
    </row>
    <row r="2298" customFormat="false" ht="15" hidden="false" customHeight="true" outlineLevel="0" collapsed="false">
      <c r="A2298" s="1" t="s">
        <v>3168</v>
      </c>
      <c r="B2298" s="1" t="s">
        <v>2265</v>
      </c>
      <c r="C2298" s="1" t="s">
        <v>167</v>
      </c>
      <c r="D2298" s="1" t="s">
        <v>94</v>
      </c>
      <c r="E2298" s="1" t="s">
        <v>95</v>
      </c>
      <c r="F2298" s="1" t="s">
        <v>89</v>
      </c>
      <c r="G2298" s="1" t="s">
        <v>68</v>
      </c>
      <c r="H2298" s="1" t="s">
        <v>33</v>
      </c>
      <c r="I2298" s="1" t="s">
        <v>83</v>
      </c>
      <c r="J2298" s="1" t="s">
        <v>35</v>
      </c>
      <c r="K2298" s="1" t="s">
        <v>112</v>
      </c>
      <c r="L2298" s="1" t="s">
        <v>37</v>
      </c>
      <c r="M2298" s="1" t="s">
        <v>38</v>
      </c>
      <c r="N2298" s="1" t="n">
        <v>6999</v>
      </c>
      <c r="O2298" s="1" t="n">
        <v>10</v>
      </c>
      <c r="P2298" s="1" t="n">
        <v>699.9</v>
      </c>
      <c r="Q2298" s="1" t="n">
        <v>6299.1</v>
      </c>
      <c r="R2298" s="1" t="n">
        <v>1133.84</v>
      </c>
      <c r="S2298" s="1" t="n">
        <v>5165.26</v>
      </c>
      <c r="T2298" s="1" t="n">
        <v>2190.72</v>
      </c>
      <c r="U2298" s="1" t="n">
        <v>2974.54</v>
      </c>
      <c r="V2298" s="1" t="n">
        <v>57.59</v>
      </c>
      <c r="W2298" s="1" t="s">
        <v>39</v>
      </c>
      <c r="X2298" s="1" t="n">
        <v>4.1</v>
      </c>
      <c r="Y2298" s="1" t="s">
        <v>40</v>
      </c>
      <c r="Z2298" s="1" t="n">
        <v>0</v>
      </c>
      <c r="AA2298" s="1" t="str">
        <f aca="false">TRIM(PROPER(F2298))</f>
        <v>Vadodara</v>
      </c>
      <c r="AB2298" s="1" t="str">
        <f aca="false">TRIM(PROPER(C2298))</f>
        <v>Scaler</v>
      </c>
      <c r="AC2298" s="1" t="str">
        <f aca="false">IF(O2298=0,"No Discount",IF(O2298&lt;=15,"Low (1-15%)",IF(O2298&lt;=30,"Medium (16-30%)","High (&gt;30%)")))</f>
        <v>Low (1-15%)</v>
      </c>
      <c r="AD2298" s="1" t="str">
        <f aca="false">IF(V2298&lt;0,"Loss Making",IF(V2298&lt;20,"Low Margin","Healthy Margin"))</f>
        <v>Healthy Margin</v>
      </c>
      <c r="AE2298" s="1" t="str">
        <f aca="false">TEXT(DATE(VALUE(RIGHT(B2298,4)),VALUE(MID(B2298,4,2)),VALUE(LEFT(B2298,2))),"MMM-YYYY")</f>
        <v>Apr-2024</v>
      </c>
      <c r="AF2298" s="1" t="n">
        <f aca="false">VALUE(RIGHT(B2298,4))</f>
        <v>2024</v>
      </c>
      <c r="AG2298" s="1" t="str">
        <f aca="false">CHOOSE(ROUNDUP(VALUE(MID(B2298,4,2))/3,0),"Q1","Q2","Q3","Q4")</f>
        <v>Q2</v>
      </c>
    </row>
    <row r="2299" customFormat="false" ht="15" hidden="false" customHeight="true" outlineLevel="0" collapsed="false">
      <c r="A2299" s="1" t="s">
        <v>3169</v>
      </c>
      <c r="B2299" s="1" t="s">
        <v>610</v>
      </c>
      <c r="C2299" s="1" t="s">
        <v>134</v>
      </c>
      <c r="D2299" s="1" t="s">
        <v>143</v>
      </c>
      <c r="E2299" s="1" t="s">
        <v>162</v>
      </c>
      <c r="F2299" s="1" t="s">
        <v>55</v>
      </c>
      <c r="G2299" s="1" t="s">
        <v>56</v>
      </c>
      <c r="H2299" s="1" t="s">
        <v>57</v>
      </c>
      <c r="I2299" s="1" t="s">
        <v>58</v>
      </c>
      <c r="J2299" s="1" t="s">
        <v>77</v>
      </c>
      <c r="K2299" s="1" t="s">
        <v>84</v>
      </c>
      <c r="L2299" s="1" t="s">
        <v>61</v>
      </c>
      <c r="M2299" s="1" t="s">
        <v>62</v>
      </c>
      <c r="N2299" s="1" t="n">
        <v>14999</v>
      </c>
      <c r="O2299" s="1" t="n">
        <v>10</v>
      </c>
      <c r="P2299" s="1" t="n">
        <v>1499.9</v>
      </c>
      <c r="Q2299" s="1" t="n">
        <v>13499.1</v>
      </c>
      <c r="R2299" s="1" t="n">
        <v>2429.84</v>
      </c>
      <c r="S2299" s="1" t="n">
        <v>11069.26</v>
      </c>
      <c r="T2299" s="1" t="n">
        <v>5333.67</v>
      </c>
      <c r="U2299" s="1" t="n">
        <v>5735.59</v>
      </c>
      <c r="V2299" s="1" t="n">
        <v>51.82</v>
      </c>
      <c r="W2299" s="1" t="s">
        <v>40</v>
      </c>
      <c r="Y2299" s="1" t="s">
        <v>40</v>
      </c>
      <c r="Z2299" s="1" t="n">
        <v>1</v>
      </c>
      <c r="AA2299" s="1" t="str">
        <f aca="false">TRIM(PROPER(F2299))</f>
        <v>Ghaziabad</v>
      </c>
      <c r="AB2299" s="1" t="str">
        <f aca="false">TRIM(PROPER(C2299))</f>
        <v>Doubtnut</v>
      </c>
      <c r="AC2299" s="1" t="str">
        <f aca="false">IF(O2299=0,"No Discount",IF(O2299&lt;=15,"Low (1-15%)",IF(O2299&lt;=30,"Medium (16-30%)","High (&gt;30%)")))</f>
        <v>Low (1-15%)</v>
      </c>
      <c r="AD2299" s="1" t="str">
        <f aca="false">IF(V2299&lt;0,"Loss Making",IF(V2299&lt;20,"Low Margin","Healthy Margin"))</f>
        <v>Healthy Margin</v>
      </c>
      <c r="AE2299" s="1" t="str">
        <f aca="false">TEXT(DATE(VALUE(RIGHT(B2299,4)),VALUE(MID(B2299,4,2)),VALUE(LEFT(B2299,2))),"MMM-YYYY")</f>
        <v>May-2023</v>
      </c>
      <c r="AF2299" s="1" t="n">
        <f aca="false">VALUE(RIGHT(B2299,4))</f>
        <v>2023</v>
      </c>
      <c r="AG2299" s="1" t="str">
        <f aca="false">CHOOSE(ROUNDUP(VALUE(MID(B2299,4,2))/3,0),"Q1","Q2","Q3","Q4")</f>
        <v>Q2</v>
      </c>
    </row>
    <row r="2300" customFormat="false" ht="15" hidden="false" customHeight="true" outlineLevel="0" collapsed="false">
      <c r="A2300" s="1" t="s">
        <v>3170</v>
      </c>
      <c r="B2300" s="1" t="s">
        <v>1196</v>
      </c>
      <c r="C2300" s="1" t="s">
        <v>28</v>
      </c>
      <c r="D2300" s="1" t="s">
        <v>44</v>
      </c>
      <c r="E2300" s="1" t="s">
        <v>66</v>
      </c>
      <c r="F2300" s="1" t="s">
        <v>194</v>
      </c>
      <c r="G2300" s="1" t="s">
        <v>103</v>
      </c>
      <c r="H2300" s="1" t="s">
        <v>69</v>
      </c>
      <c r="I2300" s="1" t="s">
        <v>83</v>
      </c>
      <c r="J2300" s="1" t="s">
        <v>131</v>
      </c>
      <c r="K2300" s="1" t="s">
        <v>112</v>
      </c>
      <c r="L2300" s="1" t="s">
        <v>85</v>
      </c>
      <c r="M2300" s="1" t="s">
        <v>50</v>
      </c>
      <c r="N2300" s="1" t="n">
        <v>12999</v>
      </c>
      <c r="O2300" s="1" t="n">
        <v>10</v>
      </c>
      <c r="P2300" s="1" t="n">
        <v>1299.9</v>
      </c>
      <c r="Q2300" s="1" t="n">
        <v>11699.1</v>
      </c>
      <c r="R2300" s="1" t="n">
        <v>2105.84</v>
      </c>
      <c r="S2300" s="1" t="n">
        <v>9593.26</v>
      </c>
      <c r="T2300" s="1" t="n">
        <v>4356.27</v>
      </c>
      <c r="U2300" s="1" t="n">
        <v>5236.99</v>
      </c>
      <c r="V2300" s="1" t="n">
        <v>54.59</v>
      </c>
      <c r="W2300" s="1" t="s">
        <v>39</v>
      </c>
      <c r="Y2300" s="1" t="s">
        <v>40</v>
      </c>
      <c r="Z2300" s="1" t="n">
        <v>0</v>
      </c>
      <c r="AA2300" s="1" t="str">
        <f aca="false">TRIM(PROPER(F2300))</f>
        <v>Hyderabad</v>
      </c>
      <c r="AB2300" s="1" t="str">
        <f aca="false">TRIM(PROPER(C2300))</f>
        <v>Embibe</v>
      </c>
      <c r="AC2300" s="1" t="str">
        <f aca="false">IF(O2300=0,"No Discount",IF(O2300&lt;=15,"Low (1-15%)",IF(O2300&lt;=30,"Medium (16-30%)","High (&gt;30%)")))</f>
        <v>Low (1-15%)</v>
      </c>
      <c r="AD2300" s="1" t="str">
        <f aca="false">IF(V2300&lt;0,"Loss Making",IF(V2300&lt;20,"Low Margin","Healthy Margin"))</f>
        <v>Healthy Margin</v>
      </c>
      <c r="AE2300" s="1" t="str">
        <f aca="false">TEXT(DATE(VALUE(RIGHT(B2300,4)),VALUE(MID(B2300,4,2)),VALUE(LEFT(B2300,2))),"MMM-YYYY")</f>
        <v>Jun-2024</v>
      </c>
      <c r="AF2300" s="1" t="n">
        <f aca="false">VALUE(RIGHT(B2300,4))</f>
        <v>2024</v>
      </c>
      <c r="AG2300" s="1" t="str">
        <f aca="false">CHOOSE(ROUNDUP(VALUE(MID(B2300,4,2))/3,0),"Q1","Q2","Q3","Q4")</f>
        <v>Q2</v>
      </c>
    </row>
    <row r="2301" customFormat="false" ht="15" hidden="false" customHeight="true" outlineLevel="0" collapsed="false">
      <c r="A2301" s="1" t="s">
        <v>3171</v>
      </c>
      <c r="B2301" s="1" t="s">
        <v>1018</v>
      </c>
      <c r="C2301" s="1" t="s">
        <v>28</v>
      </c>
      <c r="D2301" s="1" t="s">
        <v>80</v>
      </c>
      <c r="E2301" s="1" t="s">
        <v>193</v>
      </c>
      <c r="F2301" s="1" t="s">
        <v>107</v>
      </c>
      <c r="G2301" s="1" t="s">
        <v>108</v>
      </c>
      <c r="H2301" s="1" t="s">
        <v>33</v>
      </c>
      <c r="I2301" s="1" t="s">
        <v>58</v>
      </c>
      <c r="J2301" s="1" t="s">
        <v>77</v>
      </c>
      <c r="K2301" s="1" t="s">
        <v>112</v>
      </c>
      <c r="L2301" s="1" t="s">
        <v>113</v>
      </c>
      <c r="M2301" s="1" t="s">
        <v>38</v>
      </c>
      <c r="N2301" s="1" t="n">
        <v>8999</v>
      </c>
      <c r="O2301" s="1" t="n">
        <v>10</v>
      </c>
      <c r="P2301" s="1" t="n">
        <v>899.9</v>
      </c>
      <c r="Q2301" s="1" t="n">
        <v>8099.1</v>
      </c>
      <c r="R2301" s="1" t="n">
        <v>1457.84</v>
      </c>
      <c r="S2301" s="1" t="n">
        <v>6641.26</v>
      </c>
      <c r="T2301" s="1" t="n">
        <v>2745.85</v>
      </c>
      <c r="U2301" s="1" t="n">
        <v>3895.41</v>
      </c>
      <c r="V2301" s="1" t="n">
        <v>58.65</v>
      </c>
      <c r="W2301" s="1" t="s">
        <v>39</v>
      </c>
      <c r="X2301" s="1" t="n">
        <v>4</v>
      </c>
      <c r="Y2301" s="1" t="s">
        <v>40</v>
      </c>
      <c r="Z2301" s="1" t="n">
        <v>0</v>
      </c>
      <c r="AA2301" s="1" t="str">
        <f aca="false">TRIM(PROPER(F2301))</f>
        <v>Madurai</v>
      </c>
      <c r="AB2301" s="1" t="str">
        <f aca="false">TRIM(PROPER(C2301))</f>
        <v>Embibe</v>
      </c>
      <c r="AC2301" s="1" t="str">
        <f aca="false">IF(O2301=0,"No Discount",IF(O2301&lt;=15,"Low (1-15%)",IF(O2301&lt;=30,"Medium (16-30%)","High (&gt;30%)")))</f>
        <v>Low (1-15%)</v>
      </c>
      <c r="AD2301" s="1" t="str">
        <f aca="false">IF(V2301&lt;0,"Loss Making",IF(V2301&lt;20,"Low Margin","Healthy Margin"))</f>
        <v>Healthy Margin</v>
      </c>
      <c r="AE2301" s="1" t="str">
        <f aca="false">TEXT(DATE(VALUE(RIGHT(B2301,4)),VALUE(MID(B2301,4,2)),VALUE(LEFT(B2301,2))),"MMM-YYYY")</f>
        <v>Dec-2023</v>
      </c>
      <c r="AF2301" s="1" t="n">
        <f aca="false">VALUE(RIGHT(B2301,4))</f>
        <v>2023</v>
      </c>
      <c r="AG2301" s="1" t="str">
        <f aca="false">CHOOSE(ROUNDUP(VALUE(MID(B2301,4,2))/3,0),"Q1","Q2","Q3","Q4")</f>
        <v>Q4</v>
      </c>
    </row>
    <row r="2302" customFormat="false" ht="15" hidden="false" customHeight="true" outlineLevel="0" collapsed="false">
      <c r="A2302" s="1" t="s">
        <v>3172</v>
      </c>
      <c r="B2302" s="1" t="s">
        <v>956</v>
      </c>
      <c r="C2302" s="1" t="s">
        <v>65</v>
      </c>
      <c r="D2302" s="1" t="s">
        <v>143</v>
      </c>
      <c r="E2302" s="1" t="s">
        <v>159</v>
      </c>
      <c r="F2302" s="1" t="s">
        <v>184</v>
      </c>
      <c r="G2302" s="1" t="s">
        <v>56</v>
      </c>
      <c r="H2302" s="1" t="s">
        <v>57</v>
      </c>
      <c r="I2302" s="1" t="s">
        <v>83</v>
      </c>
      <c r="J2302" s="1" t="s">
        <v>131</v>
      </c>
      <c r="K2302" s="1" t="s">
        <v>60</v>
      </c>
      <c r="L2302" s="1" t="s">
        <v>37</v>
      </c>
      <c r="M2302" s="1" t="s">
        <v>50</v>
      </c>
      <c r="N2302" s="1" t="n">
        <v>24999</v>
      </c>
      <c r="O2302" s="1" t="n">
        <v>20</v>
      </c>
      <c r="P2302" s="1" t="n">
        <v>4999.8</v>
      </c>
      <c r="Q2302" s="1" t="n">
        <v>19999.2</v>
      </c>
      <c r="R2302" s="1" t="n">
        <v>3599.86</v>
      </c>
      <c r="S2302" s="1" t="n">
        <v>16399.34</v>
      </c>
      <c r="T2302" s="1" t="n">
        <v>8795.65</v>
      </c>
      <c r="U2302" s="1" t="n">
        <v>7603.69</v>
      </c>
      <c r="V2302" s="1" t="n">
        <v>46.37</v>
      </c>
      <c r="W2302" s="1" t="s">
        <v>39</v>
      </c>
      <c r="Y2302" s="1" t="s">
        <v>40</v>
      </c>
      <c r="Z2302" s="1" t="n">
        <v>0</v>
      </c>
      <c r="AA2302" s="1" t="str">
        <f aca="false">TRIM(PROPER(F2302))</f>
        <v>Faridabad</v>
      </c>
      <c r="AB2302" s="1" t="str">
        <f aca="false">TRIM(PROPER(C2302))</f>
        <v>Toppr</v>
      </c>
      <c r="AC2302" s="1" t="str">
        <f aca="false">IF(O2302=0,"No Discount",IF(O2302&lt;=15,"Low (1-15%)",IF(O2302&lt;=30,"Medium (16-30%)","High (&gt;30%)")))</f>
        <v>Medium (16-30%)</v>
      </c>
      <c r="AD2302" s="1" t="str">
        <f aca="false">IF(V2302&lt;0,"Loss Making",IF(V2302&lt;20,"Low Margin","Healthy Margin"))</f>
        <v>Healthy Margin</v>
      </c>
      <c r="AE2302" s="1" t="str">
        <f aca="false">TEXT(DATE(VALUE(RIGHT(B2302,4)),VALUE(MID(B2302,4,2)),VALUE(LEFT(B2302,2))),"MMM-YYYY")</f>
        <v>Sep-2024</v>
      </c>
      <c r="AF2302" s="1" t="n">
        <f aca="false">VALUE(RIGHT(B2302,4))</f>
        <v>2024</v>
      </c>
      <c r="AG2302" s="1" t="str">
        <f aca="false">CHOOSE(ROUNDUP(VALUE(MID(B2302,4,2))/3,0),"Q1","Q2","Q3","Q4")</f>
        <v>Q3</v>
      </c>
    </row>
    <row r="2303" customFormat="false" ht="15" hidden="false" customHeight="true" outlineLevel="0" collapsed="false">
      <c r="A2303" s="1" t="s">
        <v>3173</v>
      </c>
      <c r="B2303" s="1" t="s">
        <v>1244</v>
      </c>
      <c r="C2303" s="1" t="s">
        <v>43</v>
      </c>
      <c r="D2303" s="1" t="s">
        <v>168</v>
      </c>
      <c r="E2303" s="1" t="s">
        <v>197</v>
      </c>
      <c r="F2303" s="1" t="s">
        <v>102</v>
      </c>
      <c r="G2303" s="1" t="s">
        <v>103</v>
      </c>
      <c r="H2303" s="1" t="s">
        <v>33</v>
      </c>
      <c r="I2303" s="1" t="s">
        <v>58</v>
      </c>
      <c r="J2303" s="1" t="s">
        <v>59</v>
      </c>
      <c r="K2303" s="1" t="s">
        <v>104</v>
      </c>
      <c r="L2303" s="1" t="s">
        <v>136</v>
      </c>
      <c r="M2303" s="1" t="s">
        <v>62</v>
      </c>
      <c r="N2303" s="1" t="n">
        <v>8499</v>
      </c>
      <c r="O2303" s="1" t="n">
        <v>40</v>
      </c>
      <c r="P2303" s="1" t="n">
        <v>3399.6</v>
      </c>
      <c r="Q2303" s="1" t="n">
        <v>5099.4</v>
      </c>
      <c r="R2303" s="1" t="n">
        <v>917.89</v>
      </c>
      <c r="S2303" s="1" t="n">
        <v>4181.51</v>
      </c>
      <c r="T2303" s="1" t="n">
        <v>2669.51</v>
      </c>
      <c r="U2303" s="1" t="n">
        <v>1512</v>
      </c>
      <c r="V2303" s="1" t="n">
        <v>36.16</v>
      </c>
      <c r="W2303" s="1" t="s">
        <v>40</v>
      </c>
      <c r="Y2303" s="1" t="s">
        <v>40</v>
      </c>
      <c r="Z2303" s="1" t="n">
        <v>1</v>
      </c>
      <c r="AA2303" s="1" t="str">
        <f aca="false">TRIM(PROPER(F2303))</f>
        <v>Warangal</v>
      </c>
      <c r="AB2303" s="1" t="str">
        <f aca="false">TRIM(PROPER(C2303))</f>
        <v>Meritnation</v>
      </c>
      <c r="AC2303" s="1" t="str">
        <f aca="false">IF(O2303=0,"No Discount",IF(O2303&lt;=15,"Low (1-15%)",IF(O2303&lt;=30,"Medium (16-30%)","High (&gt;30%)")))</f>
        <v>High (&gt;30%)</v>
      </c>
      <c r="AD2303" s="1" t="str">
        <f aca="false">IF(V2303&lt;0,"Loss Making",IF(V2303&lt;20,"Low Margin","Healthy Margin"))</f>
        <v>Healthy Margin</v>
      </c>
      <c r="AE2303" s="1" t="str">
        <f aca="false">TEXT(DATE(VALUE(RIGHT(B2303,4)),VALUE(MID(B2303,4,2)),VALUE(LEFT(B2303,2))),"MMM-YYYY")</f>
        <v>Jul-2024</v>
      </c>
      <c r="AF2303" s="1" t="n">
        <f aca="false">VALUE(RIGHT(B2303,4))</f>
        <v>2024</v>
      </c>
      <c r="AG2303" s="1" t="str">
        <f aca="false">CHOOSE(ROUNDUP(VALUE(MID(B2303,4,2))/3,0),"Q1","Q2","Q3","Q4")</f>
        <v>Q3</v>
      </c>
    </row>
    <row r="2304" customFormat="false" ht="15" hidden="false" customHeight="true" outlineLevel="0" collapsed="false">
      <c r="A2304" s="1" t="s">
        <v>3174</v>
      </c>
      <c r="B2304" s="1" t="s">
        <v>470</v>
      </c>
      <c r="C2304" s="1" t="s">
        <v>28</v>
      </c>
      <c r="D2304" s="1" t="s">
        <v>44</v>
      </c>
      <c r="E2304" s="1" t="s">
        <v>221</v>
      </c>
      <c r="F2304" s="1" t="s">
        <v>184</v>
      </c>
      <c r="G2304" s="1" t="s">
        <v>56</v>
      </c>
      <c r="H2304" s="1" t="s">
        <v>57</v>
      </c>
      <c r="I2304" s="1" t="s">
        <v>58</v>
      </c>
      <c r="J2304" s="1" t="s">
        <v>131</v>
      </c>
      <c r="K2304" s="1" t="s">
        <v>84</v>
      </c>
      <c r="L2304" s="1" t="s">
        <v>113</v>
      </c>
      <c r="M2304" s="1" t="s">
        <v>50</v>
      </c>
      <c r="N2304" s="1" t="n">
        <v>16999</v>
      </c>
      <c r="O2304" s="1" t="n">
        <v>0</v>
      </c>
      <c r="P2304" s="1" t="n">
        <v>0</v>
      </c>
      <c r="Q2304" s="1" t="n">
        <v>16999</v>
      </c>
      <c r="R2304" s="1" t="n">
        <v>3059.82</v>
      </c>
      <c r="S2304" s="1" t="n">
        <v>13939.18</v>
      </c>
      <c r="T2304" s="1" t="n">
        <v>6046.19</v>
      </c>
      <c r="U2304" s="1" t="n">
        <v>7892.99</v>
      </c>
      <c r="V2304" s="1" t="n">
        <v>56.62</v>
      </c>
      <c r="W2304" s="1" t="s">
        <v>39</v>
      </c>
      <c r="X2304" s="1" t="n">
        <v>3.9</v>
      </c>
      <c r="Y2304" s="1" t="s">
        <v>40</v>
      </c>
      <c r="Z2304" s="1" t="n">
        <v>2</v>
      </c>
      <c r="AA2304" s="1" t="str">
        <f aca="false">TRIM(PROPER(F2304))</f>
        <v>Faridabad</v>
      </c>
      <c r="AB2304" s="1" t="str">
        <f aca="false">TRIM(PROPER(C2304))</f>
        <v>Embibe</v>
      </c>
      <c r="AC2304" s="1" t="str">
        <f aca="false">IF(O2304=0,"No Discount",IF(O2304&lt;=15,"Low (1-15%)",IF(O2304&lt;=30,"Medium (16-30%)","High (&gt;30%)")))</f>
        <v>No Discount</v>
      </c>
      <c r="AD2304" s="1" t="str">
        <f aca="false">IF(V2304&lt;0,"Loss Making",IF(V2304&lt;20,"Low Margin","Healthy Margin"))</f>
        <v>Healthy Margin</v>
      </c>
      <c r="AE2304" s="1" t="str">
        <f aca="false">TEXT(DATE(VALUE(RIGHT(B2304,4)),VALUE(MID(B2304,4,2)),VALUE(LEFT(B2304,2))),"MMM-YYYY")</f>
        <v>Sep-2023</v>
      </c>
      <c r="AF2304" s="1" t="n">
        <f aca="false">VALUE(RIGHT(B2304,4))</f>
        <v>2023</v>
      </c>
      <c r="AG2304" s="1" t="str">
        <f aca="false">CHOOSE(ROUNDUP(VALUE(MID(B2304,4,2))/3,0),"Q1","Q2","Q3","Q4")</f>
        <v>Q3</v>
      </c>
    </row>
    <row r="2305" customFormat="false" ht="15" hidden="false" customHeight="true" outlineLevel="0" collapsed="false">
      <c r="A2305" s="1" t="s">
        <v>3175</v>
      </c>
      <c r="B2305" s="1" t="s">
        <v>1691</v>
      </c>
      <c r="C2305" s="1" t="s">
        <v>249</v>
      </c>
      <c r="D2305" s="1" t="s">
        <v>29</v>
      </c>
      <c r="E2305" s="1" t="s">
        <v>305</v>
      </c>
      <c r="F2305" s="1" t="s">
        <v>120</v>
      </c>
      <c r="G2305" s="1" t="s">
        <v>47</v>
      </c>
      <c r="H2305" s="1" t="s">
        <v>57</v>
      </c>
      <c r="I2305" s="1" t="s">
        <v>83</v>
      </c>
      <c r="J2305" s="1" t="s">
        <v>70</v>
      </c>
      <c r="K2305" s="1" t="s">
        <v>84</v>
      </c>
      <c r="L2305" s="1" t="s">
        <v>113</v>
      </c>
      <c r="M2305" s="1" t="s">
        <v>62</v>
      </c>
      <c r="N2305" s="1" t="n">
        <v>24999</v>
      </c>
      <c r="O2305" s="1" t="n">
        <v>15</v>
      </c>
      <c r="P2305" s="1" t="n">
        <v>3749.85</v>
      </c>
      <c r="Q2305" s="1" t="n">
        <v>21249.15</v>
      </c>
      <c r="R2305" s="1" t="n">
        <v>3824.85</v>
      </c>
      <c r="S2305" s="1" t="n">
        <v>17424.3</v>
      </c>
      <c r="T2305" s="1" t="n">
        <v>7185.07</v>
      </c>
      <c r="U2305" s="1" t="n">
        <v>10239.23</v>
      </c>
      <c r="V2305" s="1" t="n">
        <v>58.76</v>
      </c>
      <c r="W2305" s="1" t="s">
        <v>39</v>
      </c>
      <c r="X2305" s="1" t="n">
        <v>3.7</v>
      </c>
      <c r="Y2305" s="1" t="s">
        <v>40</v>
      </c>
      <c r="Z2305" s="1" t="n">
        <v>0</v>
      </c>
      <c r="AA2305" s="1" t="str">
        <f aca="false">TRIM(PROPER(F2305))</f>
        <v>Mysuru</v>
      </c>
      <c r="AB2305" s="1" t="str">
        <f aca="false">TRIM(PROPER(C2305))</f>
        <v>Whitehat Jr</v>
      </c>
      <c r="AC2305" s="1" t="str">
        <f aca="false">IF(O2305=0,"No Discount",IF(O2305&lt;=15,"Low (1-15%)",IF(O2305&lt;=30,"Medium (16-30%)","High (&gt;30%)")))</f>
        <v>Low (1-15%)</v>
      </c>
      <c r="AD2305" s="1" t="str">
        <f aca="false">IF(V2305&lt;0,"Loss Making",IF(V2305&lt;20,"Low Margin","Healthy Margin"))</f>
        <v>Healthy Margin</v>
      </c>
      <c r="AE2305" s="1" t="str">
        <f aca="false">TEXT(DATE(VALUE(RIGHT(B2305,4)),VALUE(MID(B2305,4,2)),VALUE(LEFT(B2305,2))),"MMM-YYYY")</f>
        <v>Mar-2023</v>
      </c>
      <c r="AF2305" s="1" t="n">
        <f aca="false">VALUE(RIGHT(B2305,4))</f>
        <v>2023</v>
      </c>
      <c r="AG2305" s="1" t="str">
        <f aca="false">CHOOSE(ROUNDUP(VALUE(MID(B2305,4,2))/3,0),"Q1","Q2","Q3","Q4")</f>
        <v>Q1</v>
      </c>
    </row>
    <row r="2306" customFormat="false" ht="15" hidden="false" customHeight="true" outlineLevel="0" collapsed="false">
      <c r="A2306" s="1" t="s">
        <v>3176</v>
      </c>
      <c r="B2306" s="1" t="s">
        <v>142</v>
      </c>
      <c r="C2306" s="1" t="s">
        <v>134</v>
      </c>
      <c r="D2306" s="1" t="s">
        <v>143</v>
      </c>
      <c r="E2306" s="1" t="s">
        <v>210</v>
      </c>
      <c r="F2306" s="1" t="s">
        <v>46</v>
      </c>
      <c r="G2306" s="1" t="s">
        <v>47</v>
      </c>
      <c r="H2306" s="1" t="s">
        <v>33</v>
      </c>
      <c r="I2306" s="1" t="s">
        <v>83</v>
      </c>
      <c r="J2306" s="1" t="s">
        <v>77</v>
      </c>
      <c r="K2306" s="1" t="s">
        <v>104</v>
      </c>
      <c r="L2306" s="1" t="s">
        <v>37</v>
      </c>
      <c r="M2306" s="1" t="s">
        <v>38</v>
      </c>
      <c r="N2306" s="1" t="n">
        <v>18999</v>
      </c>
      <c r="O2306" s="1" t="n">
        <v>25</v>
      </c>
      <c r="P2306" s="1" t="n">
        <v>4749.75</v>
      </c>
      <c r="Q2306" s="1" t="n">
        <v>14249.25</v>
      </c>
      <c r="R2306" s="1" t="n">
        <v>2564.86</v>
      </c>
      <c r="S2306" s="1" t="n">
        <v>11684.39</v>
      </c>
      <c r="T2306" s="1" t="n">
        <v>4918.68</v>
      </c>
      <c r="U2306" s="1" t="n">
        <v>6765.71</v>
      </c>
      <c r="V2306" s="1" t="n">
        <v>57.9</v>
      </c>
      <c r="W2306" s="1" t="s">
        <v>39</v>
      </c>
      <c r="X2306" s="1" t="n">
        <v>3.6</v>
      </c>
      <c r="Y2306" s="1" t="s">
        <v>40</v>
      </c>
      <c r="Z2306" s="1" t="n">
        <v>0</v>
      </c>
      <c r="AA2306" s="1" t="str">
        <f aca="false">TRIM(PROPER(F2306))</f>
        <v>Mangaluru</v>
      </c>
      <c r="AB2306" s="1" t="str">
        <f aca="false">TRIM(PROPER(C2306))</f>
        <v>Doubtnut</v>
      </c>
      <c r="AC2306" s="1" t="str">
        <f aca="false">IF(O2306=0,"No Discount",IF(O2306&lt;=15,"Low (1-15%)",IF(O2306&lt;=30,"Medium (16-30%)","High (&gt;30%)")))</f>
        <v>Medium (16-30%)</v>
      </c>
      <c r="AD2306" s="1" t="str">
        <f aca="false">IF(V2306&lt;0,"Loss Making",IF(V2306&lt;20,"Low Margin","Healthy Margin"))</f>
        <v>Healthy Margin</v>
      </c>
      <c r="AE2306" s="1" t="str">
        <f aca="false">TEXT(DATE(VALUE(RIGHT(B2306,4)),VALUE(MID(B2306,4,2)),VALUE(LEFT(B2306,2))),"MMM-YYYY")</f>
        <v>Nov-2023</v>
      </c>
      <c r="AF2306" s="1" t="n">
        <f aca="false">VALUE(RIGHT(B2306,4))</f>
        <v>2023</v>
      </c>
      <c r="AG2306" s="1" t="str">
        <f aca="false">CHOOSE(ROUNDUP(VALUE(MID(B2306,4,2))/3,0),"Q1","Q2","Q3","Q4")</f>
        <v>Q4</v>
      </c>
    </row>
    <row r="2307" customFormat="false" ht="15" hidden="false" customHeight="true" outlineLevel="0" collapsed="false">
      <c r="A2307" s="1" t="s">
        <v>3177</v>
      </c>
      <c r="B2307" s="1" t="s">
        <v>1396</v>
      </c>
      <c r="C2307" s="1" t="s">
        <v>128</v>
      </c>
      <c r="D2307" s="1" t="s">
        <v>29</v>
      </c>
      <c r="E2307" s="1" t="s">
        <v>182</v>
      </c>
      <c r="F2307" s="1" t="s">
        <v>140</v>
      </c>
      <c r="G2307" s="1" t="s">
        <v>97</v>
      </c>
      <c r="H2307" s="1" t="s">
        <v>57</v>
      </c>
      <c r="I2307" s="1" t="s">
        <v>58</v>
      </c>
      <c r="J2307" s="1" t="s">
        <v>35</v>
      </c>
      <c r="K2307" s="1" t="s">
        <v>104</v>
      </c>
      <c r="L2307" s="1" t="s">
        <v>37</v>
      </c>
      <c r="M2307" s="1" t="s">
        <v>38</v>
      </c>
      <c r="N2307" s="1" t="n">
        <v>34999</v>
      </c>
      <c r="O2307" s="1" t="n">
        <v>0</v>
      </c>
      <c r="P2307" s="1" t="n">
        <v>0</v>
      </c>
      <c r="Q2307" s="1" t="n">
        <v>34999</v>
      </c>
      <c r="R2307" s="1" t="n">
        <v>6299.82</v>
      </c>
      <c r="S2307" s="1" t="n">
        <v>28699.18</v>
      </c>
      <c r="T2307" s="1" t="n">
        <v>14253.35</v>
      </c>
      <c r="U2307" s="1" t="n">
        <v>14445.83</v>
      </c>
      <c r="V2307" s="1" t="n">
        <v>50.34</v>
      </c>
      <c r="W2307" s="1" t="s">
        <v>39</v>
      </c>
      <c r="X2307" s="1" t="n">
        <v>4.1</v>
      </c>
      <c r="Y2307" s="1" t="s">
        <v>40</v>
      </c>
      <c r="Z2307" s="1" t="n">
        <v>0</v>
      </c>
      <c r="AA2307" s="1" t="str">
        <f aca="false">TRIM(PROPER(F2307))</f>
        <v>Nashik</v>
      </c>
      <c r="AB2307" s="1" t="str">
        <f aca="false">TRIM(PROPER(C2307))</f>
        <v>Great Learning</v>
      </c>
      <c r="AC2307" s="1" t="str">
        <f aca="false">IF(O2307=0,"No Discount",IF(O2307&lt;=15,"Low (1-15%)",IF(O2307&lt;=30,"Medium (16-30%)","High (&gt;30%)")))</f>
        <v>No Discount</v>
      </c>
      <c r="AD2307" s="1" t="str">
        <f aca="false">IF(V2307&lt;0,"Loss Making",IF(V2307&lt;20,"Low Margin","Healthy Margin"))</f>
        <v>Healthy Margin</v>
      </c>
      <c r="AE2307" s="1" t="str">
        <f aca="false">TEXT(DATE(VALUE(RIGHT(B2307,4)),VALUE(MID(B2307,4,2)),VALUE(LEFT(B2307,2))),"MMM-YYYY")</f>
        <v>Aug-2023</v>
      </c>
      <c r="AF2307" s="1" t="n">
        <f aca="false">VALUE(RIGHT(B2307,4))</f>
        <v>2023</v>
      </c>
      <c r="AG2307" s="1" t="str">
        <f aca="false">CHOOSE(ROUNDUP(VALUE(MID(B2307,4,2))/3,0),"Q1","Q2","Q3","Q4")</f>
        <v>Q3</v>
      </c>
    </row>
    <row r="2308" customFormat="false" ht="15" hidden="false" customHeight="true" outlineLevel="0" collapsed="false">
      <c r="A2308" s="1" t="s">
        <v>3178</v>
      </c>
      <c r="B2308" s="1" t="s">
        <v>1094</v>
      </c>
      <c r="C2308" s="1" t="s">
        <v>74</v>
      </c>
      <c r="D2308" s="1" t="s">
        <v>168</v>
      </c>
      <c r="E2308" s="1" t="s">
        <v>172</v>
      </c>
      <c r="F2308" s="1" t="s">
        <v>31</v>
      </c>
      <c r="G2308" s="1" t="s">
        <v>32</v>
      </c>
      <c r="H2308" s="1" t="s">
        <v>33</v>
      </c>
      <c r="I2308" s="1" t="s">
        <v>83</v>
      </c>
      <c r="J2308" s="1" t="s">
        <v>59</v>
      </c>
      <c r="K2308" s="1" t="s">
        <v>36</v>
      </c>
      <c r="L2308" s="1" t="s">
        <v>37</v>
      </c>
      <c r="M2308" s="1" t="s">
        <v>62</v>
      </c>
      <c r="N2308" s="1" t="n">
        <v>6999</v>
      </c>
      <c r="O2308" s="1" t="n">
        <v>30</v>
      </c>
      <c r="P2308" s="1" t="n">
        <v>2099.7</v>
      </c>
      <c r="Q2308" s="1" t="n">
        <v>4899.3</v>
      </c>
      <c r="R2308" s="1" t="n">
        <v>881.87</v>
      </c>
      <c r="S2308" s="1" t="n">
        <v>4017.43</v>
      </c>
      <c r="T2308" s="1" t="n">
        <v>2041.56</v>
      </c>
      <c r="U2308" s="1" t="n">
        <v>1975.87</v>
      </c>
      <c r="V2308" s="1" t="n">
        <v>49.18</v>
      </c>
      <c r="W2308" s="1" t="s">
        <v>40</v>
      </c>
      <c r="Y2308" s="1" t="s">
        <v>40</v>
      </c>
      <c r="Z2308" s="1" t="n">
        <v>2</v>
      </c>
      <c r="AA2308" s="1" t="str">
        <f aca="false">TRIM(PROPER(F2308))</f>
        <v>Jodhpur</v>
      </c>
      <c r="AB2308" s="1" t="str">
        <f aca="false">TRIM(PROPER(C2308))</f>
        <v>Vedantu</v>
      </c>
      <c r="AC2308" s="1" t="str">
        <f aca="false">IF(O2308=0,"No Discount",IF(O2308&lt;=15,"Low (1-15%)",IF(O2308&lt;=30,"Medium (16-30%)","High (&gt;30%)")))</f>
        <v>Medium (16-30%)</v>
      </c>
      <c r="AD2308" s="1" t="str">
        <f aca="false">IF(V2308&lt;0,"Loss Making",IF(V2308&lt;20,"Low Margin","Healthy Margin"))</f>
        <v>Healthy Margin</v>
      </c>
      <c r="AE2308" s="1" t="str">
        <f aca="false">TEXT(DATE(VALUE(RIGHT(B2308,4)),VALUE(MID(B2308,4,2)),VALUE(LEFT(B2308,2))),"MMM-YYYY")</f>
        <v>Sep-2024</v>
      </c>
      <c r="AF2308" s="1" t="n">
        <f aca="false">VALUE(RIGHT(B2308,4))</f>
        <v>2024</v>
      </c>
      <c r="AG2308" s="1" t="str">
        <f aca="false">CHOOSE(ROUNDUP(VALUE(MID(B2308,4,2))/3,0),"Q1","Q2","Q3","Q4")</f>
        <v>Q3</v>
      </c>
    </row>
    <row r="2309" customFormat="false" ht="15" hidden="false" customHeight="true" outlineLevel="0" collapsed="false">
      <c r="A2309" s="1" t="s">
        <v>3179</v>
      </c>
      <c r="B2309" s="1" t="s">
        <v>1264</v>
      </c>
      <c r="C2309" s="1" t="s">
        <v>139</v>
      </c>
      <c r="D2309" s="1" t="s">
        <v>143</v>
      </c>
      <c r="E2309" s="1" t="s">
        <v>210</v>
      </c>
      <c r="F2309" s="1" t="s">
        <v>140</v>
      </c>
      <c r="G2309" s="1" t="s">
        <v>97</v>
      </c>
      <c r="H2309" s="1" t="s">
        <v>57</v>
      </c>
      <c r="I2309" s="1" t="s">
        <v>83</v>
      </c>
      <c r="J2309" s="1" t="s">
        <v>35</v>
      </c>
      <c r="K2309" s="1" t="s">
        <v>36</v>
      </c>
      <c r="L2309" s="1" t="s">
        <v>113</v>
      </c>
      <c r="M2309" s="1" t="s">
        <v>50</v>
      </c>
      <c r="N2309" s="1" t="n">
        <v>18999</v>
      </c>
      <c r="O2309" s="1" t="n">
        <v>30</v>
      </c>
      <c r="P2309" s="1" t="n">
        <v>5699.7</v>
      </c>
      <c r="Q2309" s="1" t="n">
        <v>13299.3</v>
      </c>
      <c r="R2309" s="1" t="n">
        <v>2393.87</v>
      </c>
      <c r="S2309" s="1" t="n">
        <v>10905.43</v>
      </c>
      <c r="T2309" s="1" t="n">
        <v>4572</v>
      </c>
      <c r="U2309" s="1" t="n">
        <v>6333.43</v>
      </c>
      <c r="V2309" s="1" t="n">
        <v>58.08</v>
      </c>
      <c r="W2309" s="1" t="s">
        <v>39</v>
      </c>
      <c r="X2309" s="1" t="n">
        <v>3.9</v>
      </c>
      <c r="Y2309" s="1" t="s">
        <v>40</v>
      </c>
      <c r="Z2309" s="1" t="n">
        <v>0</v>
      </c>
      <c r="AA2309" s="1" t="str">
        <f aca="false">TRIM(PROPER(F2309))</f>
        <v>Nashik</v>
      </c>
      <c r="AB2309" s="1" t="str">
        <f aca="false">TRIM(PROPER(C2309))</f>
        <v>Extramarks</v>
      </c>
      <c r="AC2309" s="1" t="str">
        <f aca="false">IF(O2309=0,"No Discount",IF(O2309&lt;=15,"Low (1-15%)",IF(O2309&lt;=30,"Medium (16-30%)","High (&gt;30%)")))</f>
        <v>Medium (16-30%)</v>
      </c>
      <c r="AD2309" s="1" t="str">
        <f aca="false">IF(V2309&lt;0,"Loss Making",IF(V2309&lt;20,"Low Margin","Healthy Margin"))</f>
        <v>Healthy Margin</v>
      </c>
      <c r="AE2309" s="1" t="str">
        <f aca="false">TEXT(DATE(VALUE(RIGHT(B2309,4)),VALUE(MID(B2309,4,2)),VALUE(LEFT(B2309,2))),"MMM-YYYY")</f>
        <v>Feb-2023</v>
      </c>
      <c r="AF2309" s="1" t="n">
        <f aca="false">VALUE(RIGHT(B2309,4))</f>
        <v>2023</v>
      </c>
      <c r="AG2309" s="1" t="str">
        <f aca="false">CHOOSE(ROUNDUP(VALUE(MID(B2309,4,2))/3,0),"Q1","Q2","Q3","Q4")</f>
        <v>Q1</v>
      </c>
    </row>
    <row r="2310" customFormat="false" ht="15" hidden="false" customHeight="true" outlineLevel="0" collapsed="false">
      <c r="A2310" s="1" t="s">
        <v>3180</v>
      </c>
      <c r="B2310" s="1" t="s">
        <v>1188</v>
      </c>
      <c r="C2310" s="1" t="s">
        <v>181</v>
      </c>
      <c r="D2310" s="1" t="s">
        <v>168</v>
      </c>
      <c r="E2310" s="1" t="s">
        <v>197</v>
      </c>
      <c r="F2310" s="1" t="s">
        <v>55</v>
      </c>
      <c r="G2310" s="1" t="s">
        <v>56</v>
      </c>
      <c r="H2310" s="1" t="s">
        <v>57</v>
      </c>
      <c r="I2310" s="1" t="s">
        <v>58</v>
      </c>
      <c r="J2310" s="1" t="s">
        <v>70</v>
      </c>
      <c r="K2310" s="1" t="s">
        <v>60</v>
      </c>
      <c r="L2310" s="1" t="s">
        <v>49</v>
      </c>
      <c r="M2310" s="1" t="s">
        <v>62</v>
      </c>
      <c r="N2310" s="1" t="n">
        <v>8499</v>
      </c>
      <c r="O2310" s="1" t="n">
        <v>50</v>
      </c>
      <c r="P2310" s="1" t="n">
        <v>4249.5</v>
      </c>
      <c r="Q2310" s="1" t="n">
        <v>4249.5</v>
      </c>
      <c r="R2310" s="1" t="n">
        <v>764.91</v>
      </c>
      <c r="S2310" s="1" t="n">
        <v>3484.59</v>
      </c>
      <c r="T2310" s="1" t="n">
        <v>1725.32</v>
      </c>
      <c r="U2310" s="1" t="n">
        <v>1759.27</v>
      </c>
      <c r="V2310" s="1" t="n">
        <v>50.49</v>
      </c>
      <c r="W2310" s="1" t="s">
        <v>40</v>
      </c>
      <c r="Y2310" s="1" t="s">
        <v>40</v>
      </c>
      <c r="Z2310" s="1" t="n">
        <v>1</v>
      </c>
      <c r="AA2310" s="1" t="str">
        <f aca="false">TRIM(PROPER(F2310))</f>
        <v>Ghaziabad</v>
      </c>
      <c r="AB2310" s="1" t="str">
        <f aca="false">TRIM(PROPER(C2310))</f>
        <v>Great Learning</v>
      </c>
      <c r="AC2310" s="1" t="str">
        <f aca="false">IF(O2310=0,"No Discount",IF(O2310&lt;=15,"Low (1-15%)",IF(O2310&lt;=30,"Medium (16-30%)","High (&gt;30%)")))</f>
        <v>High (&gt;30%)</v>
      </c>
      <c r="AD2310" s="1" t="str">
        <f aca="false">IF(V2310&lt;0,"Loss Making",IF(V2310&lt;20,"Low Margin","Healthy Margin"))</f>
        <v>Healthy Margin</v>
      </c>
      <c r="AE2310" s="1" t="str">
        <f aca="false">TEXT(DATE(VALUE(RIGHT(B2310,4)),VALUE(MID(B2310,4,2)),VALUE(LEFT(B2310,2))),"MMM-YYYY")</f>
        <v>Jul-2023</v>
      </c>
      <c r="AF2310" s="1" t="n">
        <f aca="false">VALUE(RIGHT(B2310,4))</f>
        <v>2023</v>
      </c>
      <c r="AG2310" s="1" t="str">
        <f aca="false">CHOOSE(ROUNDUP(VALUE(MID(B2310,4,2))/3,0),"Q1","Q2","Q3","Q4")</f>
        <v>Q3</v>
      </c>
    </row>
    <row r="2311" customFormat="false" ht="15" hidden="false" customHeight="true" outlineLevel="0" collapsed="false">
      <c r="A2311" s="1" t="s">
        <v>3181</v>
      </c>
      <c r="B2311" s="1" t="s">
        <v>428</v>
      </c>
      <c r="C2311" s="1" t="s">
        <v>93</v>
      </c>
      <c r="D2311" s="1" t="s">
        <v>44</v>
      </c>
      <c r="E2311" s="1" t="s">
        <v>66</v>
      </c>
      <c r="F2311" s="1" t="s">
        <v>211</v>
      </c>
      <c r="G2311" s="1" t="s">
        <v>56</v>
      </c>
      <c r="H2311" s="1" t="s">
        <v>69</v>
      </c>
      <c r="I2311" s="1" t="s">
        <v>34</v>
      </c>
      <c r="J2311" s="1" t="s">
        <v>77</v>
      </c>
      <c r="K2311" s="1" t="s">
        <v>60</v>
      </c>
      <c r="L2311" s="1" t="s">
        <v>61</v>
      </c>
      <c r="M2311" s="1" t="s">
        <v>38</v>
      </c>
      <c r="N2311" s="1" t="n">
        <v>12999</v>
      </c>
      <c r="O2311" s="1" t="n">
        <v>30</v>
      </c>
      <c r="P2311" s="1" t="n">
        <v>3899.7</v>
      </c>
      <c r="Q2311" s="1" t="n">
        <v>9099.3</v>
      </c>
      <c r="R2311" s="1" t="n">
        <v>1637.87</v>
      </c>
      <c r="S2311" s="1" t="n">
        <v>7461.43</v>
      </c>
      <c r="T2311" s="1" t="n">
        <v>3065.27</v>
      </c>
      <c r="U2311" s="1" t="n">
        <v>4396.16</v>
      </c>
      <c r="V2311" s="1" t="n">
        <v>58.92</v>
      </c>
      <c r="W2311" s="1" t="s">
        <v>39</v>
      </c>
      <c r="X2311" s="1" t="n">
        <v>4.1</v>
      </c>
      <c r="Y2311" s="1" t="s">
        <v>40</v>
      </c>
      <c r="Z2311" s="1" t="n">
        <v>0</v>
      </c>
      <c r="AA2311" s="1" t="str">
        <f aca="false">TRIM(PROPER(F2311))</f>
        <v>Noida</v>
      </c>
      <c r="AB2311" s="1" t="str">
        <f aca="false">TRIM(PROPER(C2311))</f>
        <v>Upgrad</v>
      </c>
      <c r="AC2311" s="1" t="str">
        <f aca="false">IF(O2311=0,"No Discount",IF(O2311&lt;=15,"Low (1-15%)",IF(O2311&lt;=30,"Medium (16-30%)","High (&gt;30%)")))</f>
        <v>Medium (16-30%)</v>
      </c>
      <c r="AD2311" s="1" t="str">
        <f aca="false">IF(V2311&lt;0,"Loss Making",IF(V2311&lt;20,"Low Margin","Healthy Margin"))</f>
        <v>Healthy Margin</v>
      </c>
      <c r="AE2311" s="1" t="str">
        <f aca="false">TEXT(DATE(VALUE(RIGHT(B2311,4)),VALUE(MID(B2311,4,2)),VALUE(LEFT(B2311,2))),"MMM-YYYY")</f>
        <v>Aug-2023</v>
      </c>
      <c r="AF2311" s="1" t="n">
        <f aca="false">VALUE(RIGHT(B2311,4))</f>
        <v>2023</v>
      </c>
      <c r="AG2311" s="1" t="str">
        <f aca="false">CHOOSE(ROUNDUP(VALUE(MID(B2311,4,2))/3,0),"Q1","Q2","Q3","Q4")</f>
        <v>Q3</v>
      </c>
    </row>
    <row r="2312" customFormat="false" ht="15" hidden="false" customHeight="true" outlineLevel="0" collapsed="false">
      <c r="A2312" s="1" t="s">
        <v>3182</v>
      </c>
      <c r="B2312" s="1" t="s">
        <v>64</v>
      </c>
      <c r="C2312" s="1" t="s">
        <v>74</v>
      </c>
      <c r="D2312" s="1" t="s">
        <v>94</v>
      </c>
      <c r="E2312" s="1" t="s">
        <v>95</v>
      </c>
      <c r="F2312" s="1" t="s">
        <v>187</v>
      </c>
      <c r="G2312" s="1" t="s">
        <v>97</v>
      </c>
      <c r="H2312" s="1" t="s">
        <v>69</v>
      </c>
      <c r="I2312" s="1" t="s">
        <v>58</v>
      </c>
      <c r="J2312" s="1" t="s">
        <v>70</v>
      </c>
      <c r="K2312" s="1" t="s">
        <v>60</v>
      </c>
      <c r="L2312" s="1" t="s">
        <v>136</v>
      </c>
      <c r="M2312" s="1" t="s">
        <v>50</v>
      </c>
      <c r="N2312" s="1" t="n">
        <v>6999</v>
      </c>
      <c r="O2312" s="1" t="n">
        <v>15</v>
      </c>
      <c r="P2312" s="1" t="n">
        <v>1049.85</v>
      </c>
      <c r="Q2312" s="1" t="n">
        <v>5949.15</v>
      </c>
      <c r="R2312" s="1" t="n">
        <v>1070.85</v>
      </c>
      <c r="S2312" s="1" t="n">
        <v>4878.3</v>
      </c>
      <c r="T2312" s="1" t="n">
        <v>1739.87</v>
      </c>
      <c r="U2312" s="1" t="n">
        <v>3138.43</v>
      </c>
      <c r="V2312" s="1" t="n">
        <v>64.33</v>
      </c>
      <c r="W2312" s="1" t="s">
        <v>39</v>
      </c>
      <c r="X2312" s="1" t="n">
        <v>3.9</v>
      </c>
      <c r="Y2312" s="1" t="s">
        <v>40</v>
      </c>
      <c r="Z2312" s="1" t="n">
        <v>1</v>
      </c>
      <c r="AA2312" s="1" t="str">
        <f aca="false">TRIM(PROPER(F2312))</f>
        <v>Mumbai</v>
      </c>
      <c r="AB2312" s="1" t="str">
        <f aca="false">TRIM(PROPER(C2312))</f>
        <v>Vedantu</v>
      </c>
      <c r="AC2312" s="1" t="str">
        <f aca="false">IF(O2312=0,"No Discount",IF(O2312&lt;=15,"Low (1-15%)",IF(O2312&lt;=30,"Medium (16-30%)","High (&gt;30%)")))</f>
        <v>Low (1-15%)</v>
      </c>
      <c r="AD2312" s="1" t="str">
        <f aca="false">IF(V2312&lt;0,"Loss Making",IF(V2312&lt;20,"Low Margin","Healthy Margin"))</f>
        <v>Healthy Margin</v>
      </c>
      <c r="AE2312" s="1" t="str">
        <f aca="false">TEXT(DATE(VALUE(RIGHT(B2312,4)),VALUE(MID(B2312,4,2)),VALUE(LEFT(B2312,2))),"MMM-YYYY")</f>
        <v>Aug-2024</v>
      </c>
      <c r="AF2312" s="1" t="n">
        <f aca="false">VALUE(RIGHT(B2312,4))</f>
        <v>2024</v>
      </c>
      <c r="AG2312" s="1" t="str">
        <f aca="false">CHOOSE(ROUNDUP(VALUE(MID(B2312,4,2))/3,0),"Q1","Q2","Q3","Q4")</f>
        <v>Q3</v>
      </c>
    </row>
    <row r="2313" customFormat="false" ht="15" hidden="false" customHeight="true" outlineLevel="0" collapsed="false">
      <c r="A2313" s="1" t="s">
        <v>3183</v>
      </c>
      <c r="B2313" s="1" t="s">
        <v>3145</v>
      </c>
      <c r="C2313" s="1" t="s">
        <v>134</v>
      </c>
      <c r="D2313" s="1" t="s">
        <v>80</v>
      </c>
      <c r="E2313" s="1" t="s">
        <v>81</v>
      </c>
      <c r="F2313" s="1" t="s">
        <v>46</v>
      </c>
      <c r="G2313" s="1" t="s">
        <v>47</v>
      </c>
      <c r="H2313" s="1" t="s">
        <v>33</v>
      </c>
      <c r="I2313" s="1" t="s">
        <v>34</v>
      </c>
      <c r="J2313" s="1" t="s">
        <v>35</v>
      </c>
      <c r="K2313" s="1" t="s">
        <v>112</v>
      </c>
      <c r="L2313" s="1" t="s">
        <v>113</v>
      </c>
      <c r="M2313" s="1" t="s">
        <v>62</v>
      </c>
      <c r="N2313" s="1" t="n">
        <v>12999</v>
      </c>
      <c r="O2313" s="1" t="n">
        <v>0</v>
      </c>
      <c r="P2313" s="1" t="n">
        <v>0</v>
      </c>
      <c r="Q2313" s="1" t="n">
        <v>12999</v>
      </c>
      <c r="R2313" s="1" t="n">
        <v>2339.82</v>
      </c>
      <c r="S2313" s="1" t="n">
        <v>10659.18</v>
      </c>
      <c r="T2313" s="1" t="n">
        <v>4132.7</v>
      </c>
      <c r="U2313" s="1" t="n">
        <v>6526.48</v>
      </c>
      <c r="V2313" s="1" t="n">
        <v>61.23</v>
      </c>
      <c r="W2313" s="1" t="s">
        <v>40</v>
      </c>
      <c r="Y2313" s="1" t="s">
        <v>39</v>
      </c>
      <c r="Z2313" s="1" t="n">
        <v>1</v>
      </c>
      <c r="AA2313" s="1" t="str">
        <f aca="false">TRIM(PROPER(F2313))</f>
        <v>Mangaluru</v>
      </c>
      <c r="AB2313" s="1" t="str">
        <f aca="false">TRIM(PROPER(C2313))</f>
        <v>Doubtnut</v>
      </c>
      <c r="AC2313" s="1" t="str">
        <f aca="false">IF(O2313=0,"No Discount",IF(O2313&lt;=15,"Low (1-15%)",IF(O2313&lt;=30,"Medium (16-30%)","High (&gt;30%)")))</f>
        <v>No Discount</v>
      </c>
      <c r="AD2313" s="1" t="str">
        <f aca="false">IF(V2313&lt;0,"Loss Making",IF(V2313&lt;20,"Low Margin","Healthy Margin"))</f>
        <v>Healthy Margin</v>
      </c>
      <c r="AE2313" s="1" t="str">
        <f aca="false">TEXT(DATE(VALUE(RIGHT(B2313,4)),VALUE(MID(B2313,4,2)),VALUE(LEFT(B2313,2))),"MMM-YYYY")</f>
        <v>Nov-2023</v>
      </c>
      <c r="AF2313" s="1" t="n">
        <f aca="false">VALUE(RIGHT(B2313,4))</f>
        <v>2023</v>
      </c>
      <c r="AG2313" s="1" t="str">
        <f aca="false">CHOOSE(ROUNDUP(VALUE(MID(B2313,4,2))/3,0),"Q1","Q2","Q3","Q4")</f>
        <v>Q4</v>
      </c>
    </row>
    <row r="2314" customFormat="false" ht="15" hidden="false" customHeight="true" outlineLevel="0" collapsed="false">
      <c r="A2314" s="1" t="s">
        <v>3184</v>
      </c>
      <c r="B2314" s="1" t="s">
        <v>196</v>
      </c>
      <c r="C2314" s="1" t="s">
        <v>65</v>
      </c>
      <c r="D2314" s="1" t="s">
        <v>53</v>
      </c>
      <c r="E2314" s="1" t="s">
        <v>116</v>
      </c>
      <c r="F2314" s="1" t="s">
        <v>31</v>
      </c>
      <c r="G2314" s="1" t="s">
        <v>32</v>
      </c>
      <c r="H2314" s="1" t="s">
        <v>33</v>
      </c>
      <c r="I2314" s="1" t="s">
        <v>34</v>
      </c>
      <c r="J2314" s="1" t="s">
        <v>131</v>
      </c>
      <c r="K2314" s="1" t="s">
        <v>112</v>
      </c>
      <c r="L2314" s="1" t="s">
        <v>49</v>
      </c>
      <c r="M2314" s="1" t="s">
        <v>50</v>
      </c>
      <c r="N2314" s="1" t="n">
        <v>9999</v>
      </c>
      <c r="O2314" s="1" t="n">
        <v>0</v>
      </c>
      <c r="P2314" s="1" t="n">
        <v>0</v>
      </c>
      <c r="Q2314" s="1" t="n">
        <v>9999</v>
      </c>
      <c r="R2314" s="1" t="n">
        <v>1799.82</v>
      </c>
      <c r="S2314" s="1" t="n">
        <v>8199.18</v>
      </c>
      <c r="T2314" s="1" t="n">
        <v>3444.71</v>
      </c>
      <c r="U2314" s="1" t="n">
        <v>4754.47</v>
      </c>
      <c r="V2314" s="1" t="n">
        <v>57.99</v>
      </c>
      <c r="W2314" s="1" t="s">
        <v>39</v>
      </c>
      <c r="Y2314" s="1" t="s">
        <v>40</v>
      </c>
      <c r="Z2314" s="1" t="n">
        <v>0</v>
      </c>
      <c r="AA2314" s="1" t="str">
        <f aca="false">TRIM(PROPER(F2314))</f>
        <v>Jodhpur</v>
      </c>
      <c r="AB2314" s="1" t="str">
        <f aca="false">TRIM(PROPER(C2314))</f>
        <v>Toppr</v>
      </c>
      <c r="AC2314" s="1" t="str">
        <f aca="false">IF(O2314=0,"No Discount",IF(O2314&lt;=15,"Low (1-15%)",IF(O2314&lt;=30,"Medium (16-30%)","High (&gt;30%)")))</f>
        <v>No Discount</v>
      </c>
      <c r="AD2314" s="1" t="str">
        <f aca="false">IF(V2314&lt;0,"Loss Making",IF(V2314&lt;20,"Low Margin","Healthy Margin"))</f>
        <v>Healthy Margin</v>
      </c>
      <c r="AE2314" s="1" t="str">
        <f aca="false">TEXT(DATE(VALUE(RIGHT(B2314,4)),VALUE(MID(B2314,4,2)),VALUE(LEFT(B2314,2))),"MMM-YYYY")</f>
        <v>Mar-2024</v>
      </c>
      <c r="AF2314" s="1" t="n">
        <f aca="false">VALUE(RIGHT(B2314,4))</f>
        <v>2024</v>
      </c>
      <c r="AG2314" s="1" t="str">
        <f aca="false">CHOOSE(ROUNDUP(VALUE(MID(B2314,4,2))/3,0),"Q1","Q2","Q3","Q4")</f>
        <v>Q1</v>
      </c>
    </row>
    <row r="2315" customFormat="false" ht="15" hidden="false" customHeight="true" outlineLevel="0" collapsed="false">
      <c r="A2315" s="1" t="s">
        <v>3185</v>
      </c>
      <c r="B2315" s="1" t="s">
        <v>2657</v>
      </c>
      <c r="C2315" s="1" t="s">
        <v>93</v>
      </c>
      <c r="D2315" s="1" t="s">
        <v>44</v>
      </c>
      <c r="E2315" s="1" t="s">
        <v>45</v>
      </c>
      <c r="F2315" s="1" t="s">
        <v>211</v>
      </c>
      <c r="G2315" s="1" t="s">
        <v>56</v>
      </c>
      <c r="H2315" s="1" t="s">
        <v>69</v>
      </c>
      <c r="I2315" s="1" t="s">
        <v>34</v>
      </c>
      <c r="J2315" s="1" t="s">
        <v>77</v>
      </c>
      <c r="K2315" s="1" t="s">
        <v>60</v>
      </c>
      <c r="L2315" s="1" t="s">
        <v>49</v>
      </c>
      <c r="M2315" s="1" t="s">
        <v>62</v>
      </c>
      <c r="N2315" s="1" t="n">
        <v>11999</v>
      </c>
      <c r="O2315" s="1" t="n">
        <v>5</v>
      </c>
      <c r="P2315" s="1" t="n">
        <v>599.95</v>
      </c>
      <c r="Q2315" s="1" t="n">
        <v>11399.05</v>
      </c>
      <c r="R2315" s="1" t="n">
        <v>2051.83</v>
      </c>
      <c r="S2315" s="1" t="n">
        <v>9347.22</v>
      </c>
      <c r="T2315" s="1" t="n">
        <v>3941.47</v>
      </c>
      <c r="U2315" s="1" t="n">
        <v>5405.75</v>
      </c>
      <c r="V2315" s="1" t="n">
        <v>57.83</v>
      </c>
      <c r="W2315" s="1" t="s">
        <v>40</v>
      </c>
      <c r="Y2315" s="1" t="s">
        <v>40</v>
      </c>
      <c r="Z2315" s="1" t="n">
        <v>2</v>
      </c>
      <c r="AA2315" s="1" t="str">
        <f aca="false">TRIM(PROPER(F2315))</f>
        <v>Noida</v>
      </c>
      <c r="AB2315" s="1" t="str">
        <f aca="false">TRIM(PROPER(C2315))</f>
        <v>Upgrad</v>
      </c>
      <c r="AC2315" s="1" t="str">
        <f aca="false">IF(O2315=0,"No Discount",IF(O2315&lt;=15,"Low (1-15%)",IF(O2315&lt;=30,"Medium (16-30%)","High (&gt;30%)")))</f>
        <v>Low (1-15%)</v>
      </c>
      <c r="AD2315" s="1" t="str">
        <f aca="false">IF(V2315&lt;0,"Loss Making",IF(V2315&lt;20,"Low Margin","Healthy Margin"))</f>
        <v>Healthy Margin</v>
      </c>
      <c r="AE2315" s="1" t="str">
        <f aca="false">TEXT(DATE(VALUE(RIGHT(B2315,4)),VALUE(MID(B2315,4,2)),VALUE(LEFT(B2315,2))),"MMM-YYYY")</f>
        <v>May-2024</v>
      </c>
      <c r="AF2315" s="1" t="n">
        <f aca="false">VALUE(RIGHT(B2315,4))</f>
        <v>2024</v>
      </c>
      <c r="AG2315" s="1" t="str">
        <f aca="false">CHOOSE(ROUNDUP(VALUE(MID(B2315,4,2))/3,0),"Q1","Q2","Q3","Q4")</f>
        <v>Q2</v>
      </c>
    </row>
    <row r="2316" customFormat="false" ht="15" hidden="false" customHeight="true" outlineLevel="0" collapsed="false">
      <c r="A2316" s="1" t="s">
        <v>3186</v>
      </c>
      <c r="B2316" s="1" t="s">
        <v>1079</v>
      </c>
      <c r="C2316" s="1" t="s">
        <v>134</v>
      </c>
      <c r="D2316" s="1" t="s">
        <v>80</v>
      </c>
      <c r="E2316" s="1" t="s">
        <v>175</v>
      </c>
      <c r="F2316" s="1" t="s">
        <v>140</v>
      </c>
      <c r="G2316" s="1" t="s">
        <v>97</v>
      </c>
      <c r="H2316" s="1" t="s">
        <v>57</v>
      </c>
      <c r="I2316" s="1" t="s">
        <v>34</v>
      </c>
      <c r="J2316" s="1" t="s">
        <v>70</v>
      </c>
      <c r="K2316" s="1" t="s">
        <v>84</v>
      </c>
      <c r="L2316" s="1" t="s">
        <v>49</v>
      </c>
      <c r="M2316" s="1" t="s">
        <v>38</v>
      </c>
      <c r="N2316" s="1" t="n">
        <v>19999</v>
      </c>
      <c r="O2316" s="1" t="n">
        <v>10</v>
      </c>
      <c r="P2316" s="1" t="n">
        <v>1999.9</v>
      </c>
      <c r="Q2316" s="1" t="n">
        <v>17999.1</v>
      </c>
      <c r="R2316" s="1" t="n">
        <v>3239.84</v>
      </c>
      <c r="S2316" s="1" t="n">
        <v>14759.26</v>
      </c>
      <c r="T2316" s="1" t="n">
        <v>7063.07</v>
      </c>
      <c r="U2316" s="1" t="n">
        <v>7696.19</v>
      </c>
      <c r="V2316" s="1" t="n">
        <v>52.14</v>
      </c>
      <c r="W2316" s="1" t="s">
        <v>40</v>
      </c>
      <c r="Y2316" s="1" t="s">
        <v>40</v>
      </c>
      <c r="Z2316" s="1" t="n">
        <v>0</v>
      </c>
      <c r="AA2316" s="1" t="str">
        <f aca="false">TRIM(PROPER(F2316))</f>
        <v>Nashik</v>
      </c>
      <c r="AB2316" s="1" t="str">
        <f aca="false">TRIM(PROPER(C2316))</f>
        <v>Doubtnut</v>
      </c>
      <c r="AC2316" s="1" t="str">
        <f aca="false">IF(O2316=0,"No Discount",IF(O2316&lt;=15,"Low (1-15%)",IF(O2316&lt;=30,"Medium (16-30%)","High (&gt;30%)")))</f>
        <v>Low (1-15%)</v>
      </c>
      <c r="AD2316" s="1" t="str">
        <f aca="false">IF(V2316&lt;0,"Loss Making",IF(V2316&lt;20,"Low Margin","Healthy Margin"))</f>
        <v>Healthy Margin</v>
      </c>
      <c r="AE2316" s="1" t="str">
        <f aca="false">TEXT(DATE(VALUE(RIGHT(B2316,4)),VALUE(MID(B2316,4,2)),VALUE(LEFT(B2316,2))),"MMM-YYYY")</f>
        <v>Oct-2024</v>
      </c>
      <c r="AF2316" s="1" t="n">
        <f aca="false">VALUE(RIGHT(B2316,4))</f>
        <v>2024</v>
      </c>
      <c r="AG2316" s="1" t="str">
        <f aca="false">CHOOSE(ROUNDUP(VALUE(MID(B2316,4,2))/3,0),"Q1","Q2","Q3","Q4")</f>
        <v>Q4</v>
      </c>
    </row>
    <row r="2317" customFormat="false" ht="15" hidden="false" customHeight="true" outlineLevel="0" collapsed="false">
      <c r="A2317" s="1" t="s">
        <v>3187</v>
      </c>
      <c r="B2317" s="1" t="s">
        <v>821</v>
      </c>
      <c r="C2317" s="1" t="s">
        <v>43</v>
      </c>
      <c r="D2317" s="1" t="s">
        <v>29</v>
      </c>
      <c r="E2317" s="1" t="s">
        <v>182</v>
      </c>
      <c r="F2317" s="1" t="s">
        <v>187</v>
      </c>
      <c r="G2317" s="1" t="s">
        <v>97</v>
      </c>
      <c r="H2317" s="1" t="s">
        <v>69</v>
      </c>
      <c r="I2317" s="1" t="s">
        <v>83</v>
      </c>
      <c r="J2317" s="1" t="s">
        <v>77</v>
      </c>
      <c r="K2317" s="1" t="s">
        <v>36</v>
      </c>
      <c r="L2317" s="1" t="s">
        <v>37</v>
      </c>
      <c r="M2317" s="1" t="s">
        <v>62</v>
      </c>
      <c r="N2317" s="1" t="n">
        <v>34999</v>
      </c>
      <c r="O2317" s="1" t="n">
        <v>0</v>
      </c>
      <c r="P2317" s="1" t="n">
        <v>0</v>
      </c>
      <c r="Q2317" s="1" t="n">
        <v>34999</v>
      </c>
      <c r="R2317" s="1" t="n">
        <v>6299.82</v>
      </c>
      <c r="S2317" s="1" t="n">
        <v>28699.18</v>
      </c>
      <c r="T2317" s="1" t="n">
        <v>9624.54</v>
      </c>
      <c r="U2317" s="1" t="n">
        <v>19074.64</v>
      </c>
      <c r="V2317" s="1" t="n">
        <v>66.46</v>
      </c>
      <c r="W2317" s="1" t="s">
        <v>39</v>
      </c>
      <c r="X2317" s="1" t="n">
        <v>4</v>
      </c>
      <c r="Y2317" s="1" t="s">
        <v>40</v>
      </c>
      <c r="Z2317" s="1" t="n">
        <v>0</v>
      </c>
      <c r="AA2317" s="1" t="str">
        <f aca="false">TRIM(PROPER(F2317))</f>
        <v>Mumbai</v>
      </c>
      <c r="AB2317" s="1" t="str">
        <f aca="false">TRIM(PROPER(C2317))</f>
        <v>Meritnation</v>
      </c>
      <c r="AC2317" s="1" t="str">
        <f aca="false">IF(O2317=0,"No Discount",IF(O2317&lt;=15,"Low (1-15%)",IF(O2317&lt;=30,"Medium (16-30%)","High (&gt;30%)")))</f>
        <v>No Discount</v>
      </c>
      <c r="AD2317" s="1" t="str">
        <f aca="false">IF(V2317&lt;0,"Loss Making",IF(V2317&lt;20,"Low Margin","Healthy Margin"))</f>
        <v>Healthy Margin</v>
      </c>
      <c r="AE2317" s="1" t="str">
        <f aca="false">TEXT(DATE(VALUE(RIGHT(B2317,4)),VALUE(MID(B2317,4,2)),VALUE(LEFT(B2317,2))),"MMM-YYYY")</f>
        <v>Jul-2024</v>
      </c>
      <c r="AF2317" s="1" t="n">
        <f aca="false">VALUE(RIGHT(B2317,4))</f>
        <v>2024</v>
      </c>
      <c r="AG2317" s="1" t="str">
        <f aca="false">CHOOSE(ROUNDUP(VALUE(MID(B2317,4,2))/3,0),"Q1","Q2","Q3","Q4")</f>
        <v>Q3</v>
      </c>
    </row>
    <row r="2318" customFormat="false" ht="15" hidden="false" customHeight="true" outlineLevel="0" collapsed="false">
      <c r="A2318" s="1" t="s">
        <v>3188</v>
      </c>
      <c r="B2318" s="1" t="s">
        <v>142</v>
      </c>
      <c r="C2318" s="1" t="s">
        <v>249</v>
      </c>
      <c r="D2318" s="1" t="s">
        <v>44</v>
      </c>
      <c r="E2318" s="1" t="s">
        <v>221</v>
      </c>
      <c r="F2318" s="1" t="s">
        <v>150</v>
      </c>
      <c r="G2318" s="1" t="s">
        <v>32</v>
      </c>
      <c r="H2318" s="1" t="s">
        <v>57</v>
      </c>
      <c r="I2318" s="1" t="s">
        <v>58</v>
      </c>
      <c r="J2318" s="1" t="s">
        <v>70</v>
      </c>
      <c r="K2318" s="1" t="s">
        <v>84</v>
      </c>
      <c r="L2318" s="1" t="s">
        <v>136</v>
      </c>
      <c r="M2318" s="1" t="s">
        <v>50</v>
      </c>
      <c r="N2318" s="1" t="n">
        <v>16999</v>
      </c>
      <c r="O2318" s="1" t="n">
        <v>0</v>
      </c>
      <c r="P2318" s="1" t="n">
        <v>0</v>
      </c>
      <c r="Q2318" s="1" t="n">
        <v>16999</v>
      </c>
      <c r="R2318" s="1" t="n">
        <v>3059.82</v>
      </c>
      <c r="S2318" s="1" t="n">
        <v>13939.18</v>
      </c>
      <c r="T2318" s="1" t="n">
        <v>6751.24</v>
      </c>
      <c r="U2318" s="1" t="n">
        <v>7187.94</v>
      </c>
      <c r="V2318" s="1" t="n">
        <v>51.57</v>
      </c>
      <c r="W2318" s="1" t="s">
        <v>39</v>
      </c>
      <c r="X2318" s="1" t="n">
        <v>3.8</v>
      </c>
      <c r="Y2318" s="1" t="s">
        <v>40</v>
      </c>
      <c r="Z2318" s="1" t="n">
        <v>0</v>
      </c>
      <c r="AA2318" s="1" t="str">
        <f aca="false">TRIM(PROPER(F2318))</f>
        <v>Jaipur</v>
      </c>
      <c r="AB2318" s="1" t="str">
        <f aca="false">TRIM(PROPER(C2318))</f>
        <v>Whitehat Jr</v>
      </c>
      <c r="AC2318" s="1" t="str">
        <f aca="false">IF(O2318=0,"No Discount",IF(O2318&lt;=15,"Low (1-15%)",IF(O2318&lt;=30,"Medium (16-30%)","High (&gt;30%)")))</f>
        <v>No Discount</v>
      </c>
      <c r="AD2318" s="1" t="str">
        <f aca="false">IF(V2318&lt;0,"Loss Making",IF(V2318&lt;20,"Low Margin","Healthy Margin"))</f>
        <v>Healthy Margin</v>
      </c>
      <c r="AE2318" s="1" t="str">
        <f aca="false">TEXT(DATE(VALUE(RIGHT(B2318,4)),VALUE(MID(B2318,4,2)),VALUE(LEFT(B2318,2))),"MMM-YYYY")</f>
        <v>Nov-2023</v>
      </c>
      <c r="AF2318" s="1" t="n">
        <f aca="false">VALUE(RIGHT(B2318,4))</f>
        <v>2023</v>
      </c>
      <c r="AG2318" s="1" t="str">
        <f aca="false">CHOOSE(ROUNDUP(VALUE(MID(B2318,4,2))/3,0),"Q1","Q2","Q3","Q4")</f>
        <v>Q4</v>
      </c>
    </row>
    <row r="2319" customFormat="false" ht="15" hidden="false" customHeight="true" outlineLevel="0" collapsed="false">
      <c r="A2319" s="1" t="s">
        <v>3189</v>
      </c>
      <c r="B2319" s="1" t="s">
        <v>1570</v>
      </c>
      <c r="C2319" s="1" t="s">
        <v>100</v>
      </c>
      <c r="D2319" s="1" t="s">
        <v>80</v>
      </c>
      <c r="E2319" s="1" t="s">
        <v>193</v>
      </c>
      <c r="F2319" s="1" t="s">
        <v>89</v>
      </c>
      <c r="G2319" s="1" t="s">
        <v>68</v>
      </c>
      <c r="H2319" s="1" t="s">
        <v>33</v>
      </c>
      <c r="I2319" s="1" t="s">
        <v>34</v>
      </c>
      <c r="J2319" s="1" t="s">
        <v>70</v>
      </c>
      <c r="K2319" s="1" t="s">
        <v>48</v>
      </c>
      <c r="L2319" s="1" t="s">
        <v>113</v>
      </c>
      <c r="M2319" s="1" t="s">
        <v>62</v>
      </c>
      <c r="N2319" s="1" t="n">
        <v>8999</v>
      </c>
      <c r="O2319" s="1" t="n">
        <v>30</v>
      </c>
      <c r="P2319" s="1" t="n">
        <v>2699.7</v>
      </c>
      <c r="Q2319" s="1" t="n">
        <v>6299.3</v>
      </c>
      <c r="R2319" s="1" t="n">
        <v>1133.87</v>
      </c>
      <c r="S2319" s="1" t="n">
        <v>5165.43</v>
      </c>
      <c r="T2319" s="1" t="n">
        <v>2266.84</v>
      </c>
      <c r="U2319" s="1" t="n">
        <v>2898.59</v>
      </c>
      <c r="V2319" s="1" t="n">
        <v>56.12</v>
      </c>
      <c r="W2319" s="1" t="s">
        <v>40</v>
      </c>
      <c r="Y2319" s="1" t="s">
        <v>40</v>
      </c>
      <c r="Z2319" s="1" t="n">
        <v>1</v>
      </c>
      <c r="AA2319" s="1" t="str">
        <f aca="false">TRIM(PROPER(F2319))</f>
        <v>Vadodara</v>
      </c>
      <c r="AB2319" s="1" t="str">
        <f aca="false">TRIM(PROPER(C2319))</f>
        <v>Physics Wallah</v>
      </c>
      <c r="AC2319" s="1" t="str">
        <f aca="false">IF(O2319=0,"No Discount",IF(O2319&lt;=15,"Low (1-15%)",IF(O2319&lt;=30,"Medium (16-30%)","High (&gt;30%)")))</f>
        <v>Medium (16-30%)</v>
      </c>
      <c r="AD2319" s="1" t="str">
        <f aca="false">IF(V2319&lt;0,"Loss Making",IF(V2319&lt;20,"Low Margin","Healthy Margin"))</f>
        <v>Healthy Margin</v>
      </c>
      <c r="AE2319" s="1" t="str">
        <f aca="false">TEXT(DATE(VALUE(RIGHT(B2319,4)),VALUE(MID(B2319,4,2)),VALUE(LEFT(B2319,2))),"MMM-YYYY")</f>
        <v>Nov-2024</v>
      </c>
      <c r="AF2319" s="1" t="n">
        <f aca="false">VALUE(RIGHT(B2319,4))</f>
        <v>2024</v>
      </c>
      <c r="AG2319" s="1" t="str">
        <f aca="false">CHOOSE(ROUNDUP(VALUE(MID(B2319,4,2))/3,0),"Q1","Q2","Q3","Q4")</f>
        <v>Q4</v>
      </c>
    </row>
    <row r="2320" customFormat="false" ht="15" hidden="false" customHeight="true" outlineLevel="0" collapsed="false">
      <c r="A2320" s="1" t="s">
        <v>3190</v>
      </c>
      <c r="B2320" s="1" t="s">
        <v>3145</v>
      </c>
      <c r="C2320" s="1" t="s">
        <v>43</v>
      </c>
      <c r="D2320" s="1" t="s">
        <v>29</v>
      </c>
      <c r="E2320" s="1" t="s">
        <v>305</v>
      </c>
      <c r="F2320" s="1" t="s">
        <v>67</v>
      </c>
      <c r="G2320" s="1" t="s">
        <v>68</v>
      </c>
      <c r="H2320" s="1" t="s">
        <v>69</v>
      </c>
      <c r="I2320" s="1" t="s">
        <v>83</v>
      </c>
      <c r="J2320" s="1" t="s">
        <v>35</v>
      </c>
      <c r="K2320" s="1" t="s">
        <v>104</v>
      </c>
      <c r="L2320" s="1" t="s">
        <v>136</v>
      </c>
      <c r="M2320" s="1" t="s">
        <v>62</v>
      </c>
      <c r="N2320" s="1" t="n">
        <v>24999</v>
      </c>
      <c r="O2320" s="1" t="n">
        <v>0</v>
      </c>
      <c r="P2320" s="1" t="n">
        <v>0</v>
      </c>
      <c r="Q2320" s="1" t="n">
        <v>24999</v>
      </c>
      <c r="R2320" s="1" t="n">
        <v>4499.82</v>
      </c>
      <c r="S2320" s="1" t="n">
        <v>20499.18</v>
      </c>
      <c r="T2320" s="1" t="n">
        <v>6628.83</v>
      </c>
      <c r="U2320" s="1" t="n">
        <v>13870.35</v>
      </c>
      <c r="V2320" s="1" t="n">
        <v>67.66</v>
      </c>
      <c r="W2320" s="1" t="s">
        <v>39</v>
      </c>
      <c r="X2320" s="1" t="n">
        <v>3.4</v>
      </c>
      <c r="Y2320" s="1" t="s">
        <v>40</v>
      </c>
      <c r="Z2320" s="1" t="n">
        <v>0</v>
      </c>
      <c r="AA2320" s="1" t="str">
        <f aca="false">TRIM(PROPER(F2320))</f>
        <v>Ahmedabad</v>
      </c>
      <c r="AB2320" s="1" t="str">
        <f aca="false">TRIM(PROPER(C2320))</f>
        <v>Meritnation</v>
      </c>
      <c r="AC2320" s="1" t="str">
        <f aca="false">IF(O2320=0,"No Discount",IF(O2320&lt;=15,"Low (1-15%)",IF(O2320&lt;=30,"Medium (16-30%)","High (&gt;30%)")))</f>
        <v>No Discount</v>
      </c>
      <c r="AD2320" s="1" t="str">
        <f aca="false">IF(V2320&lt;0,"Loss Making",IF(V2320&lt;20,"Low Margin","Healthy Margin"))</f>
        <v>Healthy Margin</v>
      </c>
      <c r="AE2320" s="1" t="str">
        <f aca="false">TEXT(DATE(VALUE(RIGHT(B2320,4)),VALUE(MID(B2320,4,2)),VALUE(LEFT(B2320,2))),"MMM-YYYY")</f>
        <v>Nov-2023</v>
      </c>
      <c r="AF2320" s="1" t="n">
        <f aca="false">VALUE(RIGHT(B2320,4))</f>
        <v>2023</v>
      </c>
      <c r="AG2320" s="1" t="str">
        <f aca="false">CHOOSE(ROUNDUP(VALUE(MID(B2320,4,2))/3,0),"Q1","Q2","Q3","Q4")</f>
        <v>Q4</v>
      </c>
    </row>
    <row r="2321" customFormat="false" ht="15" hidden="false" customHeight="true" outlineLevel="0" collapsed="false">
      <c r="A2321" s="1" t="s">
        <v>3191</v>
      </c>
      <c r="B2321" s="1" t="s">
        <v>3192</v>
      </c>
      <c r="C2321" s="1" t="s">
        <v>249</v>
      </c>
      <c r="D2321" s="1" t="s">
        <v>94</v>
      </c>
      <c r="E2321" s="1" t="s">
        <v>101</v>
      </c>
      <c r="F2321" s="1" t="s">
        <v>187</v>
      </c>
      <c r="G2321" s="1" t="s">
        <v>97</v>
      </c>
      <c r="H2321" s="1" t="s">
        <v>69</v>
      </c>
      <c r="I2321" s="1" t="s">
        <v>58</v>
      </c>
      <c r="J2321" s="1" t="s">
        <v>77</v>
      </c>
      <c r="K2321" s="1" t="s">
        <v>71</v>
      </c>
      <c r="L2321" s="1" t="s">
        <v>113</v>
      </c>
      <c r="M2321" s="1" t="s">
        <v>62</v>
      </c>
      <c r="N2321" s="1" t="n">
        <v>14999</v>
      </c>
      <c r="O2321" s="1" t="n">
        <v>0</v>
      </c>
      <c r="P2321" s="1" t="n">
        <v>0</v>
      </c>
      <c r="Q2321" s="1" t="n">
        <v>14999</v>
      </c>
      <c r="R2321" s="1" t="n">
        <v>2699.82</v>
      </c>
      <c r="S2321" s="1" t="n">
        <v>12299.18</v>
      </c>
      <c r="T2321" s="1" t="n">
        <v>4590</v>
      </c>
      <c r="U2321" s="1" t="n">
        <v>7709.18</v>
      </c>
      <c r="V2321" s="1" t="n">
        <v>62.68</v>
      </c>
      <c r="W2321" s="1" t="s">
        <v>39</v>
      </c>
      <c r="X2321" s="1" t="n">
        <v>3.9</v>
      </c>
      <c r="Y2321" s="1" t="s">
        <v>40</v>
      </c>
      <c r="Z2321" s="1" t="n">
        <v>0</v>
      </c>
      <c r="AA2321" s="1" t="str">
        <f aca="false">TRIM(PROPER(F2321))</f>
        <v>Mumbai</v>
      </c>
      <c r="AB2321" s="1" t="str">
        <f aca="false">TRIM(PROPER(C2321))</f>
        <v>Whitehat Jr</v>
      </c>
      <c r="AC2321" s="1" t="str">
        <f aca="false">IF(O2321=0,"No Discount",IF(O2321&lt;=15,"Low (1-15%)",IF(O2321&lt;=30,"Medium (16-30%)","High (&gt;30%)")))</f>
        <v>No Discount</v>
      </c>
      <c r="AD2321" s="1" t="str">
        <f aca="false">IF(V2321&lt;0,"Loss Making",IF(V2321&lt;20,"Low Margin","Healthy Margin"))</f>
        <v>Healthy Margin</v>
      </c>
      <c r="AE2321" s="1" t="str">
        <f aca="false">TEXT(DATE(VALUE(RIGHT(B2321,4)),VALUE(MID(B2321,4,2)),VALUE(LEFT(B2321,2))),"MMM-YYYY")</f>
        <v>Sep-2023</v>
      </c>
      <c r="AF2321" s="1" t="n">
        <f aca="false">VALUE(RIGHT(B2321,4))</f>
        <v>2023</v>
      </c>
      <c r="AG2321" s="1" t="str">
        <f aca="false">CHOOSE(ROUNDUP(VALUE(MID(B2321,4,2))/3,0),"Q1","Q2","Q3","Q4")</f>
        <v>Q3</v>
      </c>
    </row>
    <row r="2322" customFormat="false" ht="15" hidden="false" customHeight="true" outlineLevel="0" collapsed="false">
      <c r="A2322" s="1" t="s">
        <v>3193</v>
      </c>
      <c r="B2322" s="1" t="s">
        <v>1152</v>
      </c>
      <c r="C2322" s="1" t="s">
        <v>128</v>
      </c>
      <c r="D2322" s="1" t="s">
        <v>29</v>
      </c>
      <c r="E2322" s="1" t="s">
        <v>30</v>
      </c>
      <c r="F2322" s="1" t="s">
        <v>153</v>
      </c>
      <c r="G2322" s="1" t="s">
        <v>76</v>
      </c>
      <c r="H2322" s="1" t="s">
        <v>33</v>
      </c>
      <c r="I2322" s="1" t="s">
        <v>58</v>
      </c>
      <c r="J2322" s="1" t="s">
        <v>77</v>
      </c>
      <c r="K2322" s="1" t="s">
        <v>90</v>
      </c>
      <c r="L2322" s="1" t="s">
        <v>85</v>
      </c>
      <c r="M2322" s="1" t="s">
        <v>62</v>
      </c>
      <c r="N2322" s="1" t="n">
        <v>7999</v>
      </c>
      <c r="O2322" s="1" t="n">
        <v>30</v>
      </c>
      <c r="P2322" s="1" t="n">
        <v>2399.7</v>
      </c>
      <c r="Q2322" s="1" t="n">
        <v>5599.3</v>
      </c>
      <c r="R2322" s="1" t="n">
        <v>1007.87</v>
      </c>
      <c r="S2322" s="1" t="n">
        <v>4591.43</v>
      </c>
      <c r="T2322" s="1" t="n">
        <v>1766.12</v>
      </c>
      <c r="U2322" s="1" t="n">
        <v>2825.31</v>
      </c>
      <c r="V2322" s="1" t="n">
        <v>61.53</v>
      </c>
      <c r="W2322" s="1" t="s">
        <v>39</v>
      </c>
      <c r="X2322" s="1" t="n">
        <v>4.8</v>
      </c>
      <c r="Y2322" s="1" t="s">
        <v>40</v>
      </c>
      <c r="Z2322" s="1" t="n">
        <v>0</v>
      </c>
      <c r="AA2322" s="1" t="str">
        <f aca="false">TRIM(PROPER(F2322))</f>
        <v>Howrah</v>
      </c>
      <c r="AB2322" s="1" t="str">
        <f aca="false">TRIM(PROPER(C2322))</f>
        <v>Great Learning</v>
      </c>
      <c r="AC2322" s="1" t="str">
        <f aca="false">IF(O2322=0,"No Discount",IF(O2322&lt;=15,"Low (1-15%)",IF(O2322&lt;=30,"Medium (16-30%)","High (&gt;30%)")))</f>
        <v>Medium (16-30%)</v>
      </c>
      <c r="AD2322" s="1" t="str">
        <f aca="false">IF(V2322&lt;0,"Loss Making",IF(V2322&lt;20,"Low Margin","Healthy Margin"))</f>
        <v>Healthy Margin</v>
      </c>
      <c r="AE2322" s="1" t="str">
        <f aca="false">TEXT(DATE(VALUE(RIGHT(B2322,4)),VALUE(MID(B2322,4,2)),VALUE(LEFT(B2322,2))),"MMM-YYYY")</f>
        <v>Aug-2024</v>
      </c>
      <c r="AF2322" s="1" t="n">
        <f aca="false">VALUE(RIGHT(B2322,4))</f>
        <v>2024</v>
      </c>
      <c r="AG2322" s="1" t="str">
        <f aca="false">CHOOSE(ROUNDUP(VALUE(MID(B2322,4,2))/3,0),"Q1","Q2","Q3","Q4")</f>
        <v>Q3</v>
      </c>
    </row>
    <row r="2323" customFormat="false" ht="15" hidden="false" customHeight="true" outlineLevel="0" collapsed="false">
      <c r="A2323" s="1" t="s">
        <v>3194</v>
      </c>
      <c r="B2323" s="1" t="s">
        <v>1739</v>
      </c>
      <c r="C2323" s="1" t="s">
        <v>139</v>
      </c>
      <c r="D2323" s="1" t="s">
        <v>80</v>
      </c>
      <c r="E2323" s="1" t="s">
        <v>81</v>
      </c>
      <c r="F2323" s="1" t="s">
        <v>130</v>
      </c>
      <c r="G2323" s="1" t="s">
        <v>47</v>
      </c>
      <c r="H2323" s="1" t="s">
        <v>69</v>
      </c>
      <c r="I2323" s="1" t="s">
        <v>58</v>
      </c>
      <c r="J2323" s="1" t="s">
        <v>70</v>
      </c>
      <c r="K2323" s="1" t="s">
        <v>112</v>
      </c>
      <c r="L2323" s="1" t="s">
        <v>136</v>
      </c>
      <c r="M2323" s="1" t="s">
        <v>62</v>
      </c>
      <c r="N2323" s="1" t="n">
        <v>12999</v>
      </c>
      <c r="O2323" s="1" t="n">
        <v>10</v>
      </c>
      <c r="P2323" s="1" t="n">
        <v>1299.9</v>
      </c>
      <c r="Q2323" s="1" t="n">
        <v>11699.1</v>
      </c>
      <c r="R2323" s="1" t="n">
        <v>2105.84</v>
      </c>
      <c r="S2323" s="1" t="n">
        <v>9593.26</v>
      </c>
      <c r="T2323" s="1" t="n">
        <v>4260.25</v>
      </c>
      <c r="U2323" s="1" t="n">
        <v>5333.01</v>
      </c>
      <c r="V2323" s="1" t="n">
        <v>55.59</v>
      </c>
      <c r="W2323" s="1" t="s">
        <v>40</v>
      </c>
      <c r="Y2323" s="1" t="s">
        <v>40</v>
      </c>
      <c r="Z2323" s="1" t="n">
        <v>0</v>
      </c>
      <c r="AA2323" s="1" t="str">
        <f aca="false">TRIM(PROPER(F2323))</f>
        <v>Bengaluru</v>
      </c>
      <c r="AB2323" s="1" t="str">
        <f aca="false">TRIM(PROPER(C2323))</f>
        <v>Extramarks</v>
      </c>
      <c r="AC2323" s="1" t="str">
        <f aca="false">IF(O2323=0,"No Discount",IF(O2323&lt;=15,"Low (1-15%)",IF(O2323&lt;=30,"Medium (16-30%)","High (&gt;30%)")))</f>
        <v>Low (1-15%)</v>
      </c>
      <c r="AD2323" s="1" t="str">
        <f aca="false">IF(V2323&lt;0,"Loss Making",IF(V2323&lt;20,"Low Margin","Healthy Margin"))</f>
        <v>Healthy Margin</v>
      </c>
      <c r="AE2323" s="1" t="str">
        <f aca="false">TEXT(DATE(VALUE(RIGHT(B2323,4)),VALUE(MID(B2323,4,2)),VALUE(LEFT(B2323,2))),"MMM-YYYY")</f>
        <v>Oct-2024</v>
      </c>
      <c r="AF2323" s="1" t="n">
        <f aca="false">VALUE(RIGHT(B2323,4))</f>
        <v>2024</v>
      </c>
      <c r="AG2323" s="1" t="str">
        <f aca="false">CHOOSE(ROUNDUP(VALUE(MID(B2323,4,2))/3,0),"Q1","Q2","Q3","Q4")</f>
        <v>Q4</v>
      </c>
    </row>
    <row r="2324" customFormat="false" ht="15" hidden="false" customHeight="true" outlineLevel="0" collapsed="false">
      <c r="A2324" s="1" t="s">
        <v>3195</v>
      </c>
      <c r="B2324" s="1" t="s">
        <v>487</v>
      </c>
      <c r="C2324" s="1" t="s">
        <v>28</v>
      </c>
      <c r="D2324" s="1" t="s">
        <v>53</v>
      </c>
      <c r="E2324" s="1" t="s">
        <v>216</v>
      </c>
      <c r="F2324" s="1" t="s">
        <v>125</v>
      </c>
      <c r="G2324" s="1" t="s">
        <v>108</v>
      </c>
      <c r="H2324" s="1" t="s">
        <v>69</v>
      </c>
      <c r="I2324" s="1" t="s">
        <v>34</v>
      </c>
      <c r="J2324" s="1" t="s">
        <v>131</v>
      </c>
      <c r="K2324" s="1" t="s">
        <v>71</v>
      </c>
      <c r="L2324" s="1" t="s">
        <v>85</v>
      </c>
      <c r="M2324" s="1" t="s">
        <v>50</v>
      </c>
      <c r="N2324" s="1" t="n">
        <v>7499</v>
      </c>
      <c r="O2324" s="1" t="n">
        <v>40</v>
      </c>
      <c r="P2324" s="1" t="n">
        <v>2999.6</v>
      </c>
      <c r="Q2324" s="1" t="n">
        <v>4499.4</v>
      </c>
      <c r="R2324" s="1" t="n">
        <v>809.89</v>
      </c>
      <c r="S2324" s="1" t="n">
        <v>3689.51</v>
      </c>
      <c r="T2324" s="1" t="n">
        <v>1665.99</v>
      </c>
      <c r="U2324" s="1" t="n">
        <v>2023.52</v>
      </c>
      <c r="V2324" s="1" t="n">
        <v>54.85</v>
      </c>
      <c r="W2324" s="1" t="s">
        <v>40</v>
      </c>
      <c r="Y2324" s="1" t="s">
        <v>39</v>
      </c>
      <c r="Z2324" s="1" t="n">
        <v>0</v>
      </c>
      <c r="AA2324" s="1" t="str">
        <f aca="false">TRIM(PROPER(F2324))</f>
        <v>Chennai</v>
      </c>
      <c r="AB2324" s="1" t="str">
        <f aca="false">TRIM(PROPER(C2324))</f>
        <v>Embibe</v>
      </c>
      <c r="AC2324" s="1" t="str">
        <f aca="false">IF(O2324=0,"No Discount",IF(O2324&lt;=15,"Low (1-15%)",IF(O2324&lt;=30,"Medium (16-30%)","High (&gt;30%)")))</f>
        <v>High (&gt;30%)</v>
      </c>
      <c r="AD2324" s="1" t="str">
        <f aca="false">IF(V2324&lt;0,"Loss Making",IF(V2324&lt;20,"Low Margin","Healthy Margin"))</f>
        <v>Healthy Margin</v>
      </c>
      <c r="AE2324" s="1" t="str">
        <f aca="false">TEXT(DATE(VALUE(RIGHT(B2324,4)),VALUE(MID(B2324,4,2)),VALUE(LEFT(B2324,2))),"MMM-YYYY")</f>
        <v>Mar-2023</v>
      </c>
      <c r="AF2324" s="1" t="n">
        <f aca="false">VALUE(RIGHT(B2324,4))</f>
        <v>2023</v>
      </c>
      <c r="AG2324" s="1" t="str">
        <f aca="false">CHOOSE(ROUNDUP(VALUE(MID(B2324,4,2))/3,0),"Q1","Q2","Q3","Q4")</f>
        <v>Q1</v>
      </c>
    </row>
    <row r="2325" customFormat="false" ht="15" hidden="false" customHeight="true" outlineLevel="0" collapsed="false">
      <c r="A2325" s="1" t="s">
        <v>3196</v>
      </c>
      <c r="B2325" s="1" t="s">
        <v>344</v>
      </c>
      <c r="C2325" s="1" t="s">
        <v>249</v>
      </c>
      <c r="D2325" s="1" t="s">
        <v>168</v>
      </c>
      <c r="E2325" s="1" t="s">
        <v>197</v>
      </c>
      <c r="F2325" s="1" t="s">
        <v>120</v>
      </c>
      <c r="G2325" s="1" t="s">
        <v>47</v>
      </c>
      <c r="H2325" s="1" t="s">
        <v>57</v>
      </c>
      <c r="I2325" s="1" t="s">
        <v>34</v>
      </c>
      <c r="J2325" s="1" t="s">
        <v>35</v>
      </c>
      <c r="K2325" s="1" t="s">
        <v>71</v>
      </c>
      <c r="L2325" s="1" t="s">
        <v>113</v>
      </c>
      <c r="M2325" s="1" t="s">
        <v>38</v>
      </c>
      <c r="N2325" s="1" t="n">
        <v>8499</v>
      </c>
      <c r="O2325" s="1" t="n">
        <v>0</v>
      </c>
      <c r="P2325" s="1" t="n">
        <v>0</v>
      </c>
      <c r="Q2325" s="1" t="n">
        <v>8499</v>
      </c>
      <c r="R2325" s="1" t="n">
        <v>1529.82</v>
      </c>
      <c r="S2325" s="1" t="n">
        <v>6969.18</v>
      </c>
      <c r="T2325" s="1" t="n">
        <v>3106.05</v>
      </c>
      <c r="U2325" s="1" t="n">
        <v>3863.13</v>
      </c>
      <c r="V2325" s="1" t="n">
        <v>55.43</v>
      </c>
      <c r="W2325" s="1" t="s">
        <v>39</v>
      </c>
      <c r="X2325" s="1" t="n">
        <v>3.3</v>
      </c>
      <c r="Y2325" s="1" t="s">
        <v>40</v>
      </c>
      <c r="Z2325" s="1" t="n">
        <v>0</v>
      </c>
      <c r="AA2325" s="1" t="str">
        <f aca="false">TRIM(PROPER(F2325))</f>
        <v>Mysuru</v>
      </c>
      <c r="AB2325" s="1" t="str">
        <f aca="false">TRIM(PROPER(C2325))</f>
        <v>Whitehat Jr</v>
      </c>
      <c r="AC2325" s="1" t="str">
        <f aca="false">IF(O2325=0,"No Discount",IF(O2325&lt;=15,"Low (1-15%)",IF(O2325&lt;=30,"Medium (16-30%)","High (&gt;30%)")))</f>
        <v>No Discount</v>
      </c>
      <c r="AD2325" s="1" t="str">
        <f aca="false">IF(V2325&lt;0,"Loss Making",IF(V2325&lt;20,"Low Margin","Healthy Margin"))</f>
        <v>Healthy Margin</v>
      </c>
      <c r="AE2325" s="1" t="str">
        <f aca="false">TEXT(DATE(VALUE(RIGHT(B2325,4)),VALUE(MID(B2325,4,2)),VALUE(LEFT(B2325,2))),"MMM-YYYY")</f>
        <v>Dec-2024</v>
      </c>
      <c r="AF2325" s="1" t="n">
        <f aca="false">VALUE(RIGHT(B2325,4))</f>
        <v>2024</v>
      </c>
      <c r="AG2325" s="1" t="str">
        <f aca="false">CHOOSE(ROUNDUP(VALUE(MID(B2325,4,2))/3,0),"Q1","Q2","Q3","Q4")</f>
        <v>Q4</v>
      </c>
    </row>
    <row r="2326" customFormat="false" ht="15" hidden="false" customHeight="true" outlineLevel="0" collapsed="false">
      <c r="A2326" s="1" t="s">
        <v>3197</v>
      </c>
      <c r="B2326" s="1" t="s">
        <v>537</v>
      </c>
      <c r="C2326" s="1" t="s">
        <v>43</v>
      </c>
      <c r="D2326" s="1" t="s">
        <v>29</v>
      </c>
      <c r="E2326" s="1" t="s">
        <v>182</v>
      </c>
      <c r="F2326" s="1" t="s">
        <v>883</v>
      </c>
      <c r="G2326" s="1" t="s">
        <v>68</v>
      </c>
      <c r="H2326" s="1" t="s">
        <v>69</v>
      </c>
      <c r="I2326" s="1" t="s">
        <v>34</v>
      </c>
      <c r="J2326" s="1" t="s">
        <v>131</v>
      </c>
      <c r="K2326" s="1" t="s">
        <v>112</v>
      </c>
      <c r="L2326" s="1" t="s">
        <v>37</v>
      </c>
      <c r="M2326" s="1" t="s">
        <v>50</v>
      </c>
      <c r="N2326" s="1" t="n">
        <v>34999</v>
      </c>
      <c r="O2326" s="1" t="n">
        <v>30</v>
      </c>
      <c r="P2326" s="1" t="n">
        <v>10499.7</v>
      </c>
      <c r="Q2326" s="1" t="n">
        <v>24499.3</v>
      </c>
      <c r="R2326" s="1" t="n">
        <v>4409.87</v>
      </c>
      <c r="S2326" s="1" t="n">
        <v>20089.43</v>
      </c>
      <c r="T2326" s="1" t="n">
        <v>6115.04</v>
      </c>
      <c r="U2326" s="1" t="n">
        <v>13974.39</v>
      </c>
      <c r="V2326" s="1" t="n">
        <v>69.56</v>
      </c>
      <c r="W2326" s="1" t="s">
        <v>39</v>
      </c>
      <c r="X2326" s="1" t="n">
        <v>4</v>
      </c>
      <c r="Y2326" s="1" t="s">
        <v>40</v>
      </c>
      <c r="Z2326" s="1" t="n">
        <v>0</v>
      </c>
      <c r="AA2326" s="1" t="str">
        <f aca="false">TRIM(PROPER(F2326))</f>
        <v>Ahmedabad</v>
      </c>
      <c r="AB2326" s="1" t="str">
        <f aca="false">TRIM(PROPER(C2326))</f>
        <v>Meritnation</v>
      </c>
      <c r="AC2326" s="1" t="str">
        <f aca="false">IF(O2326=0,"No Discount",IF(O2326&lt;=15,"Low (1-15%)",IF(O2326&lt;=30,"Medium (16-30%)","High (&gt;30%)")))</f>
        <v>Medium (16-30%)</v>
      </c>
      <c r="AD2326" s="1" t="str">
        <f aca="false">IF(V2326&lt;0,"Loss Making",IF(V2326&lt;20,"Low Margin","Healthy Margin"))</f>
        <v>Healthy Margin</v>
      </c>
      <c r="AE2326" s="1" t="str">
        <f aca="false">TEXT(DATE(VALUE(RIGHT(B2326,4)),VALUE(MID(B2326,4,2)),VALUE(LEFT(B2326,2))),"MMM-YYYY")</f>
        <v>Mar-2024</v>
      </c>
      <c r="AF2326" s="1" t="n">
        <f aca="false">VALUE(RIGHT(B2326,4))</f>
        <v>2024</v>
      </c>
      <c r="AG2326" s="1" t="str">
        <f aca="false">CHOOSE(ROUNDUP(VALUE(MID(B2326,4,2))/3,0),"Q1","Q2","Q3","Q4")</f>
        <v>Q1</v>
      </c>
    </row>
    <row r="2327" customFormat="false" ht="15" hidden="false" customHeight="true" outlineLevel="0" collapsed="false">
      <c r="A2327" s="1" t="s">
        <v>3198</v>
      </c>
      <c r="B2327" s="1" t="s">
        <v>3199</v>
      </c>
      <c r="C2327" s="1" t="s">
        <v>167</v>
      </c>
      <c r="D2327" s="1" t="s">
        <v>94</v>
      </c>
      <c r="E2327" s="1" t="s">
        <v>101</v>
      </c>
      <c r="F2327" s="1" t="s">
        <v>107</v>
      </c>
      <c r="G2327" s="1" t="s">
        <v>108</v>
      </c>
      <c r="H2327" s="1" t="s">
        <v>33</v>
      </c>
      <c r="I2327" s="1" t="s">
        <v>34</v>
      </c>
      <c r="J2327" s="1" t="s">
        <v>59</v>
      </c>
      <c r="K2327" s="1" t="s">
        <v>60</v>
      </c>
      <c r="L2327" s="1" t="s">
        <v>113</v>
      </c>
      <c r="M2327" s="1" t="s">
        <v>62</v>
      </c>
      <c r="N2327" s="1" t="n">
        <v>14999</v>
      </c>
      <c r="O2327" s="1" t="n">
        <v>50</v>
      </c>
      <c r="P2327" s="1" t="n">
        <v>7499.5</v>
      </c>
      <c r="Q2327" s="1" t="n">
        <v>7499.5</v>
      </c>
      <c r="R2327" s="1" t="n">
        <v>1349.91</v>
      </c>
      <c r="S2327" s="1" t="n">
        <v>6149.59</v>
      </c>
      <c r="T2327" s="1" t="n">
        <v>3265.81</v>
      </c>
      <c r="U2327" s="1" t="n">
        <v>2883.78</v>
      </c>
      <c r="V2327" s="1" t="n">
        <v>46.89</v>
      </c>
      <c r="W2327" s="1" t="s">
        <v>40</v>
      </c>
      <c r="Y2327" s="1" t="s">
        <v>40</v>
      </c>
      <c r="Z2327" s="1" t="n">
        <v>0</v>
      </c>
      <c r="AA2327" s="1" t="str">
        <f aca="false">TRIM(PROPER(F2327))</f>
        <v>Madurai</v>
      </c>
      <c r="AB2327" s="1" t="str">
        <f aca="false">TRIM(PROPER(C2327))</f>
        <v>Scaler</v>
      </c>
      <c r="AC2327" s="1" t="str">
        <f aca="false">IF(O2327=0,"No Discount",IF(O2327&lt;=15,"Low (1-15%)",IF(O2327&lt;=30,"Medium (16-30%)","High (&gt;30%)")))</f>
        <v>High (&gt;30%)</v>
      </c>
      <c r="AD2327" s="1" t="str">
        <f aca="false">IF(V2327&lt;0,"Loss Making",IF(V2327&lt;20,"Low Margin","Healthy Margin"))</f>
        <v>Healthy Margin</v>
      </c>
      <c r="AE2327" s="1" t="str">
        <f aca="false">TEXT(DATE(VALUE(RIGHT(B2327,4)),VALUE(MID(B2327,4,2)),VALUE(LEFT(B2327,2))),"MMM-YYYY")</f>
        <v>Apr-2023</v>
      </c>
      <c r="AF2327" s="1" t="n">
        <f aca="false">VALUE(RIGHT(B2327,4))</f>
        <v>2023</v>
      </c>
      <c r="AG2327" s="1" t="str">
        <f aca="false">CHOOSE(ROUNDUP(VALUE(MID(B2327,4,2))/3,0),"Q1","Q2","Q3","Q4")</f>
        <v>Q2</v>
      </c>
    </row>
    <row r="2328" customFormat="false" ht="15" hidden="false" customHeight="true" outlineLevel="0" collapsed="false">
      <c r="A2328" s="1" t="s">
        <v>3200</v>
      </c>
      <c r="B2328" s="1" t="s">
        <v>1226</v>
      </c>
      <c r="C2328" s="1" t="s">
        <v>128</v>
      </c>
      <c r="D2328" s="1" t="s">
        <v>80</v>
      </c>
      <c r="E2328" s="1" t="s">
        <v>81</v>
      </c>
      <c r="F2328" s="1" t="s">
        <v>31</v>
      </c>
      <c r="G2328" s="1" t="s">
        <v>32</v>
      </c>
      <c r="H2328" s="1" t="s">
        <v>33</v>
      </c>
      <c r="I2328" s="1" t="s">
        <v>83</v>
      </c>
      <c r="J2328" s="1" t="s">
        <v>59</v>
      </c>
      <c r="K2328" s="1" t="s">
        <v>48</v>
      </c>
      <c r="L2328" s="1" t="s">
        <v>85</v>
      </c>
      <c r="M2328" s="1" t="s">
        <v>50</v>
      </c>
      <c r="N2328" s="1" t="n">
        <v>12999</v>
      </c>
      <c r="O2328" s="1" t="n">
        <v>25</v>
      </c>
      <c r="P2328" s="1" t="n">
        <v>3249.75</v>
      </c>
      <c r="Q2328" s="1" t="n">
        <v>9749.25</v>
      </c>
      <c r="R2328" s="1" t="n">
        <v>1754.87</v>
      </c>
      <c r="S2328" s="1" t="n">
        <v>7994.38</v>
      </c>
      <c r="T2328" s="1" t="n">
        <v>3034.86</v>
      </c>
      <c r="U2328" s="1" t="n">
        <v>4959.52</v>
      </c>
      <c r="V2328" s="1" t="n">
        <v>62.04</v>
      </c>
      <c r="W2328" s="1" t="s">
        <v>39</v>
      </c>
      <c r="X2328" s="1" t="n">
        <v>3.4</v>
      </c>
      <c r="Y2328" s="1" t="s">
        <v>40</v>
      </c>
      <c r="Z2328" s="1" t="n">
        <v>0</v>
      </c>
      <c r="AA2328" s="1" t="str">
        <f aca="false">TRIM(PROPER(F2328))</f>
        <v>Jodhpur</v>
      </c>
      <c r="AB2328" s="1" t="str">
        <f aca="false">TRIM(PROPER(C2328))</f>
        <v>Great Learning</v>
      </c>
      <c r="AC2328" s="1" t="str">
        <f aca="false">IF(O2328=0,"No Discount",IF(O2328&lt;=15,"Low (1-15%)",IF(O2328&lt;=30,"Medium (16-30%)","High (&gt;30%)")))</f>
        <v>Medium (16-30%)</v>
      </c>
      <c r="AD2328" s="1" t="str">
        <f aca="false">IF(V2328&lt;0,"Loss Making",IF(V2328&lt;20,"Low Margin","Healthy Margin"))</f>
        <v>Healthy Margin</v>
      </c>
      <c r="AE2328" s="1" t="str">
        <f aca="false">TEXT(DATE(VALUE(RIGHT(B2328,4)),VALUE(MID(B2328,4,2)),VALUE(LEFT(B2328,2))),"MMM-YYYY")</f>
        <v>Sep-2023</v>
      </c>
      <c r="AF2328" s="1" t="n">
        <f aca="false">VALUE(RIGHT(B2328,4))</f>
        <v>2023</v>
      </c>
      <c r="AG2328" s="1" t="str">
        <f aca="false">CHOOSE(ROUNDUP(VALUE(MID(B2328,4,2))/3,0),"Q1","Q2","Q3","Q4")</f>
        <v>Q3</v>
      </c>
    </row>
    <row r="2329" customFormat="false" ht="15" hidden="false" customHeight="true" outlineLevel="0" collapsed="false">
      <c r="A2329" s="1" t="s">
        <v>3201</v>
      </c>
      <c r="B2329" s="1" t="s">
        <v>1346</v>
      </c>
      <c r="C2329" s="1" t="s">
        <v>65</v>
      </c>
      <c r="D2329" s="1" t="s">
        <v>53</v>
      </c>
      <c r="E2329" s="1" t="s">
        <v>54</v>
      </c>
      <c r="F2329" s="1" t="s">
        <v>102</v>
      </c>
      <c r="G2329" s="1" t="s">
        <v>103</v>
      </c>
      <c r="H2329" s="1" t="s">
        <v>33</v>
      </c>
      <c r="I2329" s="1" t="s">
        <v>34</v>
      </c>
      <c r="J2329" s="1" t="s">
        <v>70</v>
      </c>
      <c r="K2329" s="1" t="s">
        <v>90</v>
      </c>
      <c r="L2329" s="1" t="s">
        <v>49</v>
      </c>
      <c r="M2329" s="1" t="s">
        <v>38</v>
      </c>
      <c r="N2329" s="1" t="n">
        <v>11999</v>
      </c>
      <c r="O2329" s="1" t="n">
        <v>20</v>
      </c>
      <c r="P2329" s="1" t="n">
        <v>2399.8</v>
      </c>
      <c r="Q2329" s="1" t="n">
        <v>9599.2</v>
      </c>
      <c r="R2329" s="1" t="n">
        <v>1727.86</v>
      </c>
      <c r="S2329" s="1" t="n">
        <v>7871.34</v>
      </c>
      <c r="T2329" s="1" t="n">
        <v>3191.48</v>
      </c>
      <c r="U2329" s="1" t="n">
        <v>4679.86</v>
      </c>
      <c r="V2329" s="1" t="n">
        <v>59.45</v>
      </c>
      <c r="W2329" s="1" t="s">
        <v>40</v>
      </c>
      <c r="Y2329" s="1" t="s">
        <v>40</v>
      </c>
      <c r="Z2329" s="1" t="n">
        <v>1</v>
      </c>
      <c r="AA2329" s="1" t="str">
        <f aca="false">TRIM(PROPER(F2329))</f>
        <v>Warangal</v>
      </c>
      <c r="AB2329" s="1" t="str">
        <f aca="false">TRIM(PROPER(C2329))</f>
        <v>Toppr</v>
      </c>
      <c r="AC2329" s="1" t="str">
        <f aca="false">IF(O2329=0,"No Discount",IF(O2329&lt;=15,"Low (1-15%)",IF(O2329&lt;=30,"Medium (16-30%)","High (&gt;30%)")))</f>
        <v>Medium (16-30%)</v>
      </c>
      <c r="AD2329" s="1" t="str">
        <f aca="false">IF(V2329&lt;0,"Loss Making",IF(V2329&lt;20,"Low Margin","Healthy Margin"))</f>
        <v>Healthy Margin</v>
      </c>
      <c r="AE2329" s="1" t="str">
        <f aca="false">TEXT(DATE(VALUE(RIGHT(B2329,4)),VALUE(MID(B2329,4,2)),VALUE(LEFT(B2329,2))),"MMM-YYYY")</f>
        <v>Aug-2024</v>
      </c>
      <c r="AF2329" s="1" t="n">
        <f aca="false">VALUE(RIGHT(B2329,4))</f>
        <v>2024</v>
      </c>
      <c r="AG2329" s="1" t="str">
        <f aca="false">CHOOSE(ROUNDUP(VALUE(MID(B2329,4,2))/3,0),"Q1","Q2","Q3","Q4")</f>
        <v>Q3</v>
      </c>
    </row>
    <row r="2330" customFormat="false" ht="15" hidden="false" customHeight="true" outlineLevel="0" collapsed="false">
      <c r="A2330" s="1" t="s">
        <v>3202</v>
      </c>
      <c r="B2330" s="1" t="s">
        <v>868</v>
      </c>
      <c r="C2330" s="1" t="s">
        <v>249</v>
      </c>
      <c r="D2330" s="1" t="s">
        <v>53</v>
      </c>
      <c r="E2330" s="1" t="s">
        <v>116</v>
      </c>
      <c r="F2330" s="1" t="s">
        <v>89</v>
      </c>
      <c r="G2330" s="1" t="s">
        <v>68</v>
      </c>
      <c r="H2330" s="1" t="s">
        <v>33</v>
      </c>
      <c r="I2330" s="1" t="s">
        <v>34</v>
      </c>
      <c r="J2330" s="1" t="s">
        <v>77</v>
      </c>
      <c r="K2330" s="1" t="s">
        <v>104</v>
      </c>
      <c r="L2330" s="1" t="s">
        <v>61</v>
      </c>
      <c r="M2330" s="1" t="s">
        <v>38</v>
      </c>
      <c r="N2330" s="1" t="n">
        <v>9999</v>
      </c>
      <c r="O2330" s="1" t="n">
        <v>30</v>
      </c>
      <c r="P2330" s="1" t="n">
        <v>2999.7</v>
      </c>
      <c r="Q2330" s="1" t="n">
        <v>6999.3</v>
      </c>
      <c r="R2330" s="1" t="n">
        <v>1259.87</v>
      </c>
      <c r="S2330" s="1" t="n">
        <v>5739.43</v>
      </c>
      <c r="T2330" s="1" t="n">
        <v>1671.12</v>
      </c>
      <c r="U2330" s="1" t="n">
        <v>4068.31</v>
      </c>
      <c r="V2330" s="1" t="n">
        <v>70.88</v>
      </c>
      <c r="W2330" s="1" t="s">
        <v>40</v>
      </c>
      <c r="Y2330" s="1" t="s">
        <v>40</v>
      </c>
      <c r="Z2330" s="1" t="n">
        <v>1</v>
      </c>
      <c r="AA2330" s="1" t="str">
        <f aca="false">TRIM(PROPER(F2330))</f>
        <v>Vadodara</v>
      </c>
      <c r="AB2330" s="1" t="str">
        <f aca="false">TRIM(PROPER(C2330))</f>
        <v>Whitehat Jr</v>
      </c>
      <c r="AC2330" s="1" t="str">
        <f aca="false">IF(O2330=0,"No Discount",IF(O2330&lt;=15,"Low (1-15%)",IF(O2330&lt;=30,"Medium (16-30%)","High (&gt;30%)")))</f>
        <v>Medium (16-30%)</v>
      </c>
      <c r="AD2330" s="1" t="str">
        <f aca="false">IF(V2330&lt;0,"Loss Making",IF(V2330&lt;20,"Low Margin","Healthy Margin"))</f>
        <v>Healthy Margin</v>
      </c>
      <c r="AE2330" s="1" t="str">
        <f aca="false">TEXT(DATE(VALUE(RIGHT(B2330,4)),VALUE(MID(B2330,4,2)),VALUE(LEFT(B2330,2))),"MMM-YYYY")</f>
        <v>Mar-2024</v>
      </c>
      <c r="AF2330" s="1" t="n">
        <f aca="false">VALUE(RIGHT(B2330,4))</f>
        <v>2024</v>
      </c>
      <c r="AG2330" s="1" t="str">
        <f aca="false">CHOOSE(ROUNDUP(VALUE(MID(B2330,4,2))/3,0),"Q1","Q2","Q3","Q4")</f>
        <v>Q1</v>
      </c>
    </row>
    <row r="2331" customFormat="false" ht="15" hidden="false" customHeight="true" outlineLevel="0" collapsed="false">
      <c r="A2331" s="1" t="s">
        <v>3203</v>
      </c>
      <c r="B2331" s="1" t="s">
        <v>3039</v>
      </c>
      <c r="C2331" s="1" t="s">
        <v>264</v>
      </c>
      <c r="D2331" s="1" t="s">
        <v>80</v>
      </c>
      <c r="E2331" s="1" t="s">
        <v>193</v>
      </c>
      <c r="F2331" s="1" t="s">
        <v>55</v>
      </c>
      <c r="G2331" s="1" t="s">
        <v>56</v>
      </c>
      <c r="H2331" s="1" t="s">
        <v>57</v>
      </c>
      <c r="I2331" s="1" t="s">
        <v>83</v>
      </c>
      <c r="J2331" s="1" t="s">
        <v>70</v>
      </c>
      <c r="K2331" s="1" t="s">
        <v>48</v>
      </c>
      <c r="L2331" s="1" t="s">
        <v>85</v>
      </c>
      <c r="M2331" s="1" t="s">
        <v>38</v>
      </c>
      <c r="N2331" s="1" t="n">
        <v>8999</v>
      </c>
      <c r="O2331" s="1" t="n">
        <v>0</v>
      </c>
      <c r="P2331" s="1" t="n">
        <v>0</v>
      </c>
      <c r="Q2331" s="1" t="n">
        <v>8999</v>
      </c>
      <c r="R2331" s="1" t="n">
        <v>1619.82</v>
      </c>
      <c r="S2331" s="1" t="n">
        <v>7379.18</v>
      </c>
      <c r="T2331" s="1" t="n">
        <v>3372.16</v>
      </c>
      <c r="U2331" s="1" t="n">
        <v>4007.02</v>
      </c>
      <c r="V2331" s="1" t="n">
        <v>54.3</v>
      </c>
      <c r="W2331" s="1" t="s">
        <v>39</v>
      </c>
      <c r="X2331" s="1" t="n">
        <v>4.1</v>
      </c>
      <c r="Y2331" s="1" t="s">
        <v>40</v>
      </c>
      <c r="Z2331" s="1" t="n">
        <v>0</v>
      </c>
      <c r="AA2331" s="1" t="str">
        <f aca="false">TRIM(PROPER(F2331))</f>
        <v>Ghaziabad</v>
      </c>
      <c r="AB2331" s="1" t="str">
        <f aca="false">TRIM(PROPER(C2331))</f>
        <v>Unacademy</v>
      </c>
      <c r="AC2331" s="1" t="str">
        <f aca="false">IF(O2331=0,"No Discount",IF(O2331&lt;=15,"Low (1-15%)",IF(O2331&lt;=30,"Medium (16-30%)","High (&gt;30%)")))</f>
        <v>No Discount</v>
      </c>
      <c r="AD2331" s="1" t="str">
        <f aca="false">IF(V2331&lt;0,"Loss Making",IF(V2331&lt;20,"Low Margin","Healthy Margin"))</f>
        <v>Healthy Margin</v>
      </c>
      <c r="AE2331" s="1" t="str">
        <f aca="false">TEXT(DATE(VALUE(RIGHT(B2331,4)),VALUE(MID(B2331,4,2)),VALUE(LEFT(B2331,2))),"MMM-YYYY")</f>
        <v>Dec-2023</v>
      </c>
      <c r="AF2331" s="1" t="n">
        <f aca="false">VALUE(RIGHT(B2331,4))</f>
        <v>2023</v>
      </c>
      <c r="AG2331" s="1" t="str">
        <f aca="false">CHOOSE(ROUNDUP(VALUE(MID(B2331,4,2))/3,0),"Q1","Q2","Q3","Q4")</f>
        <v>Q4</v>
      </c>
    </row>
    <row r="2332" customFormat="false" ht="15" hidden="false" customHeight="true" outlineLevel="0" collapsed="false">
      <c r="A2332" s="1" t="s">
        <v>3204</v>
      </c>
      <c r="B2332" s="1" t="s">
        <v>3205</v>
      </c>
      <c r="C2332" s="1" t="s">
        <v>100</v>
      </c>
      <c r="D2332" s="1" t="s">
        <v>168</v>
      </c>
      <c r="E2332" s="1" t="s">
        <v>172</v>
      </c>
      <c r="F2332" s="1" t="s">
        <v>31</v>
      </c>
      <c r="G2332" s="1" t="s">
        <v>32</v>
      </c>
      <c r="H2332" s="1" t="s">
        <v>33</v>
      </c>
      <c r="I2332" s="1" t="s">
        <v>34</v>
      </c>
      <c r="J2332" s="1" t="s">
        <v>131</v>
      </c>
      <c r="K2332" s="1" t="s">
        <v>84</v>
      </c>
      <c r="L2332" s="1" t="s">
        <v>37</v>
      </c>
      <c r="M2332" s="1" t="s">
        <v>50</v>
      </c>
      <c r="N2332" s="1" t="n">
        <v>6999</v>
      </c>
      <c r="O2332" s="1" t="n">
        <v>0</v>
      </c>
      <c r="P2332" s="1" t="n">
        <v>0</v>
      </c>
      <c r="Q2332" s="1" t="n">
        <v>6999</v>
      </c>
      <c r="R2332" s="1" t="n">
        <v>1259.82</v>
      </c>
      <c r="S2332" s="1" t="n">
        <v>5739.18</v>
      </c>
      <c r="T2332" s="1" t="n">
        <v>2433.8</v>
      </c>
      <c r="U2332" s="1" t="n">
        <v>3305.38</v>
      </c>
      <c r="V2332" s="1" t="n">
        <v>57.59</v>
      </c>
      <c r="W2332" s="1" t="s">
        <v>39</v>
      </c>
      <c r="Y2332" s="1" t="s">
        <v>40</v>
      </c>
      <c r="Z2332" s="1" t="n">
        <v>0</v>
      </c>
      <c r="AA2332" s="1" t="str">
        <f aca="false">TRIM(PROPER(F2332))</f>
        <v>Jodhpur</v>
      </c>
      <c r="AB2332" s="1" t="str">
        <f aca="false">TRIM(PROPER(C2332))</f>
        <v>Physics Wallah</v>
      </c>
      <c r="AC2332" s="1" t="str">
        <f aca="false">IF(O2332=0,"No Discount",IF(O2332&lt;=15,"Low (1-15%)",IF(O2332&lt;=30,"Medium (16-30%)","High (&gt;30%)")))</f>
        <v>No Discount</v>
      </c>
      <c r="AD2332" s="1" t="str">
        <f aca="false">IF(V2332&lt;0,"Loss Making",IF(V2332&lt;20,"Low Margin","Healthy Margin"))</f>
        <v>Healthy Margin</v>
      </c>
      <c r="AE2332" s="1" t="str">
        <f aca="false">TEXT(DATE(VALUE(RIGHT(B2332,4)),VALUE(MID(B2332,4,2)),VALUE(LEFT(B2332,2))),"MMM-YYYY")</f>
        <v>Dec-2024</v>
      </c>
      <c r="AF2332" s="1" t="n">
        <f aca="false">VALUE(RIGHT(B2332,4))</f>
        <v>2024</v>
      </c>
      <c r="AG2332" s="1" t="str">
        <f aca="false">CHOOSE(ROUNDUP(VALUE(MID(B2332,4,2))/3,0),"Q1","Q2","Q3","Q4")</f>
        <v>Q4</v>
      </c>
    </row>
    <row r="2333" customFormat="false" ht="15" hidden="false" customHeight="true" outlineLevel="0" collapsed="false">
      <c r="A2333" s="1" t="s">
        <v>2847</v>
      </c>
      <c r="B2333" s="1" t="s">
        <v>965</v>
      </c>
      <c r="C2333" s="1" t="s">
        <v>74</v>
      </c>
      <c r="D2333" s="1" t="s">
        <v>80</v>
      </c>
      <c r="E2333" s="1" t="s">
        <v>81</v>
      </c>
      <c r="F2333" s="1" t="s">
        <v>89</v>
      </c>
      <c r="G2333" s="1" t="s">
        <v>68</v>
      </c>
      <c r="H2333" s="1" t="s">
        <v>33</v>
      </c>
      <c r="I2333" s="1" t="s">
        <v>34</v>
      </c>
      <c r="J2333" s="1" t="s">
        <v>77</v>
      </c>
      <c r="K2333" s="1" t="s">
        <v>48</v>
      </c>
      <c r="L2333" s="1" t="s">
        <v>49</v>
      </c>
      <c r="M2333" s="1" t="s">
        <v>62</v>
      </c>
      <c r="N2333" s="1" t="n">
        <v>12999</v>
      </c>
      <c r="O2333" s="1" t="n">
        <v>10</v>
      </c>
      <c r="P2333" s="1" t="n">
        <v>1299.9</v>
      </c>
      <c r="Q2333" s="1" t="n">
        <v>11699.1</v>
      </c>
      <c r="R2333" s="1" t="n">
        <v>2105.84</v>
      </c>
      <c r="S2333" s="1" t="n">
        <v>9593.26</v>
      </c>
      <c r="T2333" s="1" t="n">
        <v>4080.42</v>
      </c>
      <c r="U2333" s="1" t="n">
        <v>5512.84</v>
      </c>
      <c r="V2333" s="1" t="n">
        <v>57.47</v>
      </c>
      <c r="W2333" s="1" t="s">
        <v>39</v>
      </c>
      <c r="X2333" s="1" t="n">
        <v>4.1</v>
      </c>
      <c r="Y2333" s="1" t="s">
        <v>40</v>
      </c>
      <c r="Z2333" s="1" t="n">
        <v>1</v>
      </c>
      <c r="AA2333" s="1" t="str">
        <f aca="false">TRIM(PROPER(F2333))</f>
        <v>Vadodara</v>
      </c>
      <c r="AB2333" s="1" t="str">
        <f aca="false">TRIM(PROPER(C2333))</f>
        <v>Vedantu</v>
      </c>
      <c r="AC2333" s="1" t="str">
        <f aca="false">IF(O2333=0,"No Discount",IF(O2333&lt;=15,"Low (1-15%)",IF(O2333&lt;=30,"Medium (16-30%)","High (&gt;30%)")))</f>
        <v>Low (1-15%)</v>
      </c>
      <c r="AD2333" s="1" t="str">
        <f aca="false">IF(V2333&lt;0,"Loss Making",IF(V2333&lt;20,"Low Margin","Healthy Margin"))</f>
        <v>Healthy Margin</v>
      </c>
      <c r="AE2333" s="1" t="str">
        <f aca="false">TEXT(DATE(VALUE(RIGHT(B2333,4)),VALUE(MID(B2333,4,2)),VALUE(LEFT(B2333,2))),"MMM-YYYY")</f>
        <v>Jan-2023</v>
      </c>
      <c r="AF2333" s="1" t="n">
        <f aca="false">VALUE(RIGHT(B2333,4))</f>
        <v>2023</v>
      </c>
      <c r="AG2333" s="1" t="str">
        <f aca="false">CHOOSE(ROUNDUP(VALUE(MID(B2333,4,2))/3,0),"Q1","Q2","Q3","Q4")</f>
        <v>Q1</v>
      </c>
    </row>
    <row r="2334" customFormat="false" ht="15" hidden="false" customHeight="true" outlineLevel="0" collapsed="false">
      <c r="A2334" s="1" t="s">
        <v>3206</v>
      </c>
      <c r="B2334" s="1" t="s">
        <v>1751</v>
      </c>
      <c r="C2334" s="1" t="s">
        <v>28</v>
      </c>
      <c r="D2334" s="1" t="s">
        <v>94</v>
      </c>
      <c r="E2334" s="1" t="s">
        <v>101</v>
      </c>
      <c r="F2334" s="1" t="s">
        <v>120</v>
      </c>
      <c r="G2334" s="1" t="s">
        <v>47</v>
      </c>
      <c r="H2334" s="1" t="s">
        <v>57</v>
      </c>
      <c r="I2334" s="1" t="s">
        <v>58</v>
      </c>
      <c r="J2334" s="1" t="s">
        <v>35</v>
      </c>
      <c r="K2334" s="1" t="s">
        <v>48</v>
      </c>
      <c r="L2334" s="1" t="s">
        <v>85</v>
      </c>
      <c r="M2334" s="1" t="s">
        <v>38</v>
      </c>
      <c r="N2334" s="1" t="n">
        <v>14999</v>
      </c>
      <c r="O2334" s="1" t="n">
        <v>15</v>
      </c>
      <c r="P2334" s="1" t="n">
        <v>2249.85</v>
      </c>
      <c r="Q2334" s="1" t="n">
        <v>12749.15</v>
      </c>
      <c r="R2334" s="1" t="n">
        <v>2294.85</v>
      </c>
      <c r="S2334" s="1" t="n">
        <v>10454.3</v>
      </c>
      <c r="T2334" s="1" t="n">
        <v>5439.22</v>
      </c>
      <c r="U2334" s="1" t="n">
        <v>5015.08</v>
      </c>
      <c r="V2334" s="1" t="n">
        <v>47.97</v>
      </c>
      <c r="W2334" s="1" t="s">
        <v>39</v>
      </c>
      <c r="X2334" s="1" t="n">
        <v>3.5</v>
      </c>
      <c r="Y2334" s="1" t="s">
        <v>40</v>
      </c>
      <c r="Z2334" s="1" t="n">
        <v>1</v>
      </c>
      <c r="AA2334" s="1" t="str">
        <f aca="false">TRIM(PROPER(F2334))</f>
        <v>Mysuru</v>
      </c>
      <c r="AB2334" s="1" t="str">
        <f aca="false">TRIM(PROPER(C2334))</f>
        <v>Embibe</v>
      </c>
      <c r="AC2334" s="1" t="str">
        <f aca="false">IF(O2334=0,"No Discount",IF(O2334&lt;=15,"Low (1-15%)",IF(O2334&lt;=30,"Medium (16-30%)","High (&gt;30%)")))</f>
        <v>Low (1-15%)</v>
      </c>
      <c r="AD2334" s="1" t="str">
        <f aca="false">IF(V2334&lt;0,"Loss Making",IF(V2334&lt;20,"Low Margin","Healthy Margin"))</f>
        <v>Healthy Margin</v>
      </c>
      <c r="AE2334" s="1" t="str">
        <f aca="false">TEXT(DATE(VALUE(RIGHT(B2334,4)),VALUE(MID(B2334,4,2)),VALUE(LEFT(B2334,2))),"MMM-YYYY")</f>
        <v>Jun-2024</v>
      </c>
      <c r="AF2334" s="1" t="n">
        <f aca="false">VALUE(RIGHT(B2334,4))</f>
        <v>2024</v>
      </c>
      <c r="AG2334" s="1" t="str">
        <f aca="false">CHOOSE(ROUNDUP(VALUE(MID(B2334,4,2))/3,0),"Q1","Q2","Q3","Q4")</f>
        <v>Q2</v>
      </c>
    </row>
    <row r="2335" customFormat="false" ht="15" hidden="false" customHeight="true" outlineLevel="0" collapsed="false">
      <c r="A2335" s="1" t="s">
        <v>3207</v>
      </c>
      <c r="B2335" s="1" t="s">
        <v>1002</v>
      </c>
      <c r="C2335" s="1" t="s">
        <v>65</v>
      </c>
      <c r="D2335" s="1" t="s">
        <v>53</v>
      </c>
      <c r="E2335" s="1" t="s">
        <v>216</v>
      </c>
      <c r="F2335" s="1" t="s">
        <v>75</v>
      </c>
      <c r="G2335" s="1" t="s">
        <v>76</v>
      </c>
      <c r="H2335" s="1" t="s">
        <v>69</v>
      </c>
      <c r="I2335" s="1" t="s">
        <v>58</v>
      </c>
      <c r="J2335" s="1" t="s">
        <v>59</v>
      </c>
      <c r="K2335" s="1" t="s">
        <v>71</v>
      </c>
      <c r="L2335" s="1" t="s">
        <v>61</v>
      </c>
      <c r="M2335" s="1" t="s">
        <v>50</v>
      </c>
      <c r="N2335" s="1" t="n">
        <v>7499</v>
      </c>
      <c r="O2335" s="1" t="n">
        <v>10</v>
      </c>
      <c r="P2335" s="1" t="n">
        <v>749.9</v>
      </c>
      <c r="Q2335" s="1" t="n">
        <v>6749.1</v>
      </c>
      <c r="R2335" s="1" t="n">
        <v>1214.84</v>
      </c>
      <c r="S2335" s="1" t="n">
        <v>5534.26</v>
      </c>
      <c r="T2335" s="1" t="n">
        <v>2443.14</v>
      </c>
      <c r="U2335" s="1" t="n">
        <v>3091.12</v>
      </c>
      <c r="V2335" s="1" t="n">
        <v>55.85</v>
      </c>
      <c r="W2335" s="1" t="s">
        <v>39</v>
      </c>
      <c r="X2335" s="1" t="n">
        <v>3.5</v>
      </c>
      <c r="Y2335" s="1" t="s">
        <v>40</v>
      </c>
      <c r="Z2335" s="1" t="n">
        <v>0</v>
      </c>
      <c r="AA2335" s="1" t="str">
        <f aca="false">TRIM(PROPER(F2335))</f>
        <v>Kolkata</v>
      </c>
      <c r="AB2335" s="1" t="str">
        <f aca="false">TRIM(PROPER(C2335))</f>
        <v>Toppr</v>
      </c>
      <c r="AC2335" s="1" t="str">
        <f aca="false">IF(O2335=0,"No Discount",IF(O2335&lt;=15,"Low (1-15%)",IF(O2335&lt;=30,"Medium (16-30%)","High (&gt;30%)")))</f>
        <v>Low (1-15%)</v>
      </c>
      <c r="AD2335" s="1" t="str">
        <f aca="false">IF(V2335&lt;0,"Loss Making",IF(V2335&lt;20,"Low Margin","Healthy Margin"))</f>
        <v>Healthy Margin</v>
      </c>
      <c r="AE2335" s="1" t="str">
        <f aca="false">TEXT(DATE(VALUE(RIGHT(B2335,4)),VALUE(MID(B2335,4,2)),VALUE(LEFT(B2335,2))),"MMM-YYYY")</f>
        <v>Oct-2024</v>
      </c>
      <c r="AF2335" s="1" t="n">
        <f aca="false">VALUE(RIGHT(B2335,4))</f>
        <v>2024</v>
      </c>
      <c r="AG2335" s="1" t="str">
        <f aca="false">CHOOSE(ROUNDUP(VALUE(MID(B2335,4,2))/3,0),"Q1","Q2","Q3","Q4")</f>
        <v>Q4</v>
      </c>
    </row>
    <row r="2336" customFormat="false" ht="15" hidden="false" customHeight="true" outlineLevel="0" collapsed="false">
      <c r="A2336" s="1" t="s">
        <v>3208</v>
      </c>
      <c r="B2336" s="1" t="s">
        <v>999</v>
      </c>
      <c r="C2336" s="1" t="s">
        <v>516</v>
      </c>
      <c r="D2336" s="1" t="s">
        <v>80</v>
      </c>
      <c r="E2336" s="1" t="s">
        <v>175</v>
      </c>
      <c r="F2336" s="1" t="s">
        <v>120</v>
      </c>
      <c r="G2336" s="1" t="s">
        <v>47</v>
      </c>
      <c r="H2336" s="1" t="s">
        <v>57</v>
      </c>
      <c r="I2336" s="1" t="s">
        <v>83</v>
      </c>
      <c r="J2336" s="1" t="s">
        <v>35</v>
      </c>
      <c r="K2336" s="1" t="s">
        <v>36</v>
      </c>
      <c r="L2336" s="1" t="s">
        <v>136</v>
      </c>
      <c r="M2336" s="1" t="s">
        <v>50</v>
      </c>
      <c r="N2336" s="1" t="n">
        <v>19999</v>
      </c>
      <c r="O2336" s="1" t="n">
        <v>0</v>
      </c>
      <c r="P2336" s="1" t="n">
        <v>0</v>
      </c>
      <c r="Q2336" s="1" t="n">
        <v>19999</v>
      </c>
      <c r="R2336" s="1" t="n">
        <v>3599.82</v>
      </c>
      <c r="S2336" s="1" t="n">
        <v>16399.18</v>
      </c>
      <c r="T2336" s="1" t="n">
        <v>6875.73</v>
      </c>
      <c r="U2336" s="1" t="n">
        <v>9523.45</v>
      </c>
      <c r="V2336" s="1" t="n">
        <v>58.07</v>
      </c>
      <c r="W2336" s="1" t="s">
        <v>40</v>
      </c>
      <c r="Y2336" s="1" t="s">
        <v>40</v>
      </c>
      <c r="Z2336" s="1" t="n">
        <v>1</v>
      </c>
      <c r="AA2336" s="1" t="str">
        <f aca="false">TRIM(PROPER(F2336))</f>
        <v>Mysuru</v>
      </c>
      <c r="AB2336" s="1" t="str">
        <f aca="false">TRIM(PROPER(C2336))</f>
        <v>Meritnation</v>
      </c>
      <c r="AC2336" s="1" t="str">
        <f aca="false">IF(O2336=0,"No Discount",IF(O2336&lt;=15,"Low (1-15%)",IF(O2336&lt;=30,"Medium (16-30%)","High (&gt;30%)")))</f>
        <v>No Discount</v>
      </c>
      <c r="AD2336" s="1" t="str">
        <f aca="false">IF(V2336&lt;0,"Loss Making",IF(V2336&lt;20,"Low Margin","Healthy Margin"))</f>
        <v>Healthy Margin</v>
      </c>
      <c r="AE2336" s="1" t="str">
        <f aca="false">TEXT(DATE(VALUE(RIGHT(B2336,4)),VALUE(MID(B2336,4,2)),VALUE(LEFT(B2336,2))),"MMM-YYYY")</f>
        <v>Mar-2023</v>
      </c>
      <c r="AF2336" s="1" t="n">
        <f aca="false">VALUE(RIGHT(B2336,4))</f>
        <v>2023</v>
      </c>
      <c r="AG2336" s="1" t="str">
        <f aca="false">CHOOSE(ROUNDUP(VALUE(MID(B2336,4,2))/3,0),"Q1","Q2","Q3","Q4")</f>
        <v>Q1</v>
      </c>
    </row>
    <row r="2337" customFormat="false" ht="15" hidden="false" customHeight="true" outlineLevel="0" collapsed="false">
      <c r="A2337" s="1" t="s">
        <v>3209</v>
      </c>
      <c r="B2337" s="1" t="s">
        <v>2041</v>
      </c>
      <c r="C2337" s="1" t="s">
        <v>128</v>
      </c>
      <c r="D2337" s="1" t="s">
        <v>80</v>
      </c>
      <c r="E2337" s="1" t="s">
        <v>190</v>
      </c>
      <c r="F2337" s="1" t="s">
        <v>107</v>
      </c>
      <c r="G2337" s="1" t="s">
        <v>108</v>
      </c>
      <c r="H2337" s="1" t="s">
        <v>33</v>
      </c>
      <c r="I2337" s="1" t="s">
        <v>34</v>
      </c>
      <c r="J2337" s="1" t="s">
        <v>59</v>
      </c>
      <c r="K2337" s="1" t="s">
        <v>71</v>
      </c>
      <c r="L2337" s="1" t="s">
        <v>61</v>
      </c>
      <c r="M2337" s="1" t="s">
        <v>38</v>
      </c>
      <c r="N2337" s="1" t="n">
        <v>15999</v>
      </c>
      <c r="O2337" s="1" t="n">
        <v>10</v>
      </c>
      <c r="P2337" s="1" t="n">
        <v>1599.9</v>
      </c>
      <c r="Q2337" s="1" t="n">
        <v>14399.1</v>
      </c>
      <c r="R2337" s="1" t="n">
        <v>2591.84</v>
      </c>
      <c r="S2337" s="1" t="n">
        <v>11807.26</v>
      </c>
      <c r="T2337" s="1" t="n">
        <v>4834.16</v>
      </c>
      <c r="U2337" s="1" t="n">
        <v>6973.1</v>
      </c>
      <c r="V2337" s="1" t="n">
        <v>59.06</v>
      </c>
      <c r="W2337" s="1" t="s">
        <v>40</v>
      </c>
      <c r="Y2337" s="1" t="s">
        <v>40</v>
      </c>
      <c r="Z2337" s="1" t="n">
        <v>0</v>
      </c>
      <c r="AA2337" s="1" t="str">
        <f aca="false">TRIM(PROPER(F2337))</f>
        <v>Madurai</v>
      </c>
      <c r="AB2337" s="1" t="str">
        <f aca="false">TRIM(PROPER(C2337))</f>
        <v>Great Learning</v>
      </c>
      <c r="AC2337" s="1" t="str">
        <f aca="false">IF(O2337=0,"No Discount",IF(O2337&lt;=15,"Low (1-15%)",IF(O2337&lt;=30,"Medium (16-30%)","High (&gt;30%)")))</f>
        <v>Low (1-15%)</v>
      </c>
      <c r="AD2337" s="1" t="str">
        <f aca="false">IF(V2337&lt;0,"Loss Making",IF(V2337&lt;20,"Low Margin","Healthy Margin"))</f>
        <v>Healthy Margin</v>
      </c>
      <c r="AE2337" s="1" t="str">
        <f aca="false">TEXT(DATE(VALUE(RIGHT(B2337,4)),VALUE(MID(B2337,4,2)),VALUE(LEFT(B2337,2))),"MMM-YYYY")</f>
        <v>Aug-2024</v>
      </c>
      <c r="AF2337" s="1" t="n">
        <f aca="false">VALUE(RIGHT(B2337,4))</f>
        <v>2024</v>
      </c>
      <c r="AG2337" s="1" t="str">
        <f aca="false">CHOOSE(ROUNDUP(VALUE(MID(B2337,4,2))/3,0),"Q1","Q2","Q3","Q4")</f>
        <v>Q3</v>
      </c>
    </row>
    <row r="2338" customFormat="false" ht="15" hidden="false" customHeight="true" outlineLevel="0" collapsed="false">
      <c r="A2338" s="1" t="s">
        <v>3210</v>
      </c>
      <c r="B2338" s="1" t="s">
        <v>616</v>
      </c>
      <c r="C2338" s="1" t="s">
        <v>119</v>
      </c>
      <c r="D2338" s="1" t="s">
        <v>80</v>
      </c>
      <c r="E2338" s="1" t="s">
        <v>81</v>
      </c>
      <c r="F2338" s="1" t="s">
        <v>89</v>
      </c>
      <c r="G2338" s="1" t="s">
        <v>68</v>
      </c>
      <c r="H2338" s="1" t="s">
        <v>33</v>
      </c>
      <c r="I2338" s="1" t="s">
        <v>34</v>
      </c>
      <c r="J2338" s="1" t="s">
        <v>70</v>
      </c>
      <c r="K2338" s="1" t="s">
        <v>60</v>
      </c>
      <c r="L2338" s="1" t="s">
        <v>85</v>
      </c>
      <c r="M2338" s="1" t="s">
        <v>62</v>
      </c>
      <c r="N2338" s="1" t="n">
        <v>12999</v>
      </c>
      <c r="O2338" s="1" t="n">
        <v>40</v>
      </c>
      <c r="P2338" s="1" t="n">
        <v>5199.6</v>
      </c>
      <c r="Q2338" s="1" t="n">
        <v>7799.4</v>
      </c>
      <c r="R2338" s="1" t="n">
        <v>1403.89</v>
      </c>
      <c r="S2338" s="1" t="n">
        <v>6395.51</v>
      </c>
      <c r="T2338" s="1" t="n">
        <v>3874.62</v>
      </c>
      <c r="U2338" s="1" t="n">
        <v>2520.89</v>
      </c>
      <c r="V2338" s="1" t="n">
        <v>39.42</v>
      </c>
      <c r="W2338" s="1" t="s">
        <v>39</v>
      </c>
      <c r="X2338" s="1" t="n">
        <v>4.2</v>
      </c>
      <c r="Y2338" s="1" t="s">
        <v>40</v>
      </c>
      <c r="Z2338" s="1" t="n">
        <v>0</v>
      </c>
      <c r="AA2338" s="1" t="str">
        <f aca="false">TRIM(PROPER(F2338))</f>
        <v>Vadodara</v>
      </c>
      <c r="AB2338" s="1" t="str">
        <f aca="false">TRIM(PROPER(C2338))</f>
        <v>Simplilearn</v>
      </c>
      <c r="AC2338" s="1" t="str">
        <f aca="false">IF(O2338=0,"No Discount",IF(O2338&lt;=15,"Low (1-15%)",IF(O2338&lt;=30,"Medium (16-30%)","High (&gt;30%)")))</f>
        <v>High (&gt;30%)</v>
      </c>
      <c r="AD2338" s="1" t="str">
        <f aca="false">IF(V2338&lt;0,"Loss Making",IF(V2338&lt;20,"Low Margin","Healthy Margin"))</f>
        <v>Healthy Margin</v>
      </c>
      <c r="AE2338" s="1" t="str">
        <f aca="false">TEXT(DATE(VALUE(RIGHT(B2338,4)),VALUE(MID(B2338,4,2)),VALUE(LEFT(B2338,2))),"MMM-YYYY")</f>
        <v>Jan-2023</v>
      </c>
      <c r="AF2338" s="1" t="n">
        <f aca="false">VALUE(RIGHT(B2338,4))</f>
        <v>2023</v>
      </c>
      <c r="AG2338" s="1" t="str">
        <f aca="false">CHOOSE(ROUNDUP(VALUE(MID(B2338,4,2))/3,0),"Q1","Q2","Q3","Q4")</f>
        <v>Q1</v>
      </c>
    </row>
    <row r="2339" customFormat="false" ht="15" hidden="false" customHeight="true" outlineLevel="0" collapsed="false">
      <c r="A2339" s="1" t="s">
        <v>3211</v>
      </c>
      <c r="B2339" s="1" t="s">
        <v>209</v>
      </c>
      <c r="C2339" s="1" t="s">
        <v>128</v>
      </c>
      <c r="D2339" s="1" t="s">
        <v>53</v>
      </c>
      <c r="E2339" s="1" t="s">
        <v>216</v>
      </c>
      <c r="F2339" s="1" t="s">
        <v>120</v>
      </c>
      <c r="G2339" s="1" t="s">
        <v>47</v>
      </c>
      <c r="H2339" s="1" t="s">
        <v>57</v>
      </c>
      <c r="I2339" s="1" t="s">
        <v>34</v>
      </c>
      <c r="J2339" s="1" t="s">
        <v>131</v>
      </c>
      <c r="K2339" s="1" t="s">
        <v>71</v>
      </c>
      <c r="L2339" s="1" t="s">
        <v>37</v>
      </c>
      <c r="M2339" s="1" t="s">
        <v>62</v>
      </c>
      <c r="N2339" s="1" t="n">
        <v>7499</v>
      </c>
      <c r="O2339" s="1" t="n">
        <v>10</v>
      </c>
      <c r="P2339" s="1" t="n">
        <v>749.9</v>
      </c>
      <c r="Q2339" s="1" t="n">
        <v>6749.1</v>
      </c>
      <c r="R2339" s="1" t="n">
        <v>1214.84</v>
      </c>
      <c r="S2339" s="1" t="n">
        <v>5534.26</v>
      </c>
      <c r="T2339" s="1" t="n">
        <v>2546.24</v>
      </c>
      <c r="U2339" s="1" t="n">
        <v>2988.02</v>
      </c>
      <c r="V2339" s="1" t="n">
        <v>53.99</v>
      </c>
      <c r="W2339" s="1" t="s">
        <v>39</v>
      </c>
      <c r="X2339" s="1" t="n">
        <v>3.8</v>
      </c>
      <c r="Y2339" s="1" t="s">
        <v>40</v>
      </c>
      <c r="Z2339" s="1" t="n">
        <v>0</v>
      </c>
      <c r="AA2339" s="1" t="str">
        <f aca="false">TRIM(PROPER(F2339))</f>
        <v>Mysuru</v>
      </c>
      <c r="AB2339" s="1" t="str">
        <f aca="false">TRIM(PROPER(C2339))</f>
        <v>Great Learning</v>
      </c>
      <c r="AC2339" s="1" t="str">
        <f aca="false">IF(O2339=0,"No Discount",IF(O2339&lt;=15,"Low (1-15%)",IF(O2339&lt;=30,"Medium (16-30%)","High (&gt;30%)")))</f>
        <v>Low (1-15%)</v>
      </c>
      <c r="AD2339" s="1" t="str">
        <f aca="false">IF(V2339&lt;0,"Loss Making",IF(V2339&lt;20,"Low Margin","Healthy Margin"))</f>
        <v>Healthy Margin</v>
      </c>
      <c r="AE2339" s="1" t="str">
        <f aca="false">TEXT(DATE(VALUE(RIGHT(B2339,4)),VALUE(MID(B2339,4,2)),VALUE(LEFT(B2339,2))),"MMM-YYYY")</f>
        <v>Mar-2024</v>
      </c>
      <c r="AF2339" s="1" t="n">
        <f aca="false">VALUE(RIGHT(B2339,4))</f>
        <v>2024</v>
      </c>
      <c r="AG2339" s="1" t="str">
        <f aca="false">CHOOSE(ROUNDUP(VALUE(MID(B2339,4,2))/3,0),"Q1","Q2","Q3","Q4")</f>
        <v>Q1</v>
      </c>
    </row>
    <row r="2340" customFormat="false" ht="15" hidden="false" customHeight="true" outlineLevel="0" collapsed="false">
      <c r="A2340" s="1" t="s">
        <v>3212</v>
      </c>
      <c r="B2340" s="1" t="s">
        <v>1170</v>
      </c>
      <c r="C2340" s="1" t="s">
        <v>249</v>
      </c>
      <c r="D2340" s="1" t="s">
        <v>94</v>
      </c>
      <c r="E2340" s="1" t="s">
        <v>101</v>
      </c>
      <c r="F2340" s="1" t="s">
        <v>89</v>
      </c>
      <c r="G2340" s="1" t="s">
        <v>68</v>
      </c>
      <c r="H2340" s="1" t="s">
        <v>33</v>
      </c>
      <c r="I2340" s="1" t="s">
        <v>34</v>
      </c>
      <c r="J2340" s="1" t="s">
        <v>77</v>
      </c>
      <c r="K2340" s="1" t="s">
        <v>60</v>
      </c>
      <c r="L2340" s="1" t="s">
        <v>37</v>
      </c>
      <c r="M2340" s="1" t="s">
        <v>50</v>
      </c>
      <c r="N2340" s="1" t="n">
        <v>14999</v>
      </c>
      <c r="O2340" s="1" t="n">
        <v>10</v>
      </c>
      <c r="P2340" s="1" t="n">
        <v>1499.9</v>
      </c>
      <c r="Q2340" s="1" t="n">
        <v>13499.1</v>
      </c>
      <c r="R2340" s="1" t="n">
        <v>2429.84</v>
      </c>
      <c r="S2340" s="1" t="n">
        <v>11069.26</v>
      </c>
      <c r="T2340" s="1" t="n">
        <v>5519.38</v>
      </c>
      <c r="U2340" s="1" t="n">
        <v>5549.88</v>
      </c>
      <c r="V2340" s="1" t="n">
        <v>50.14</v>
      </c>
      <c r="W2340" s="1" t="s">
        <v>39</v>
      </c>
      <c r="X2340" s="1" t="n">
        <v>3.9</v>
      </c>
      <c r="Y2340" s="1" t="s">
        <v>40</v>
      </c>
      <c r="Z2340" s="1" t="n">
        <v>0</v>
      </c>
      <c r="AA2340" s="1" t="str">
        <f aca="false">TRIM(PROPER(F2340))</f>
        <v>Vadodara</v>
      </c>
      <c r="AB2340" s="1" t="str">
        <f aca="false">TRIM(PROPER(C2340))</f>
        <v>Whitehat Jr</v>
      </c>
      <c r="AC2340" s="1" t="str">
        <f aca="false">IF(O2340=0,"No Discount",IF(O2340&lt;=15,"Low (1-15%)",IF(O2340&lt;=30,"Medium (16-30%)","High (&gt;30%)")))</f>
        <v>Low (1-15%)</v>
      </c>
      <c r="AD2340" s="1" t="str">
        <f aca="false">IF(V2340&lt;0,"Loss Making",IF(V2340&lt;20,"Low Margin","Healthy Margin"))</f>
        <v>Healthy Margin</v>
      </c>
      <c r="AE2340" s="1" t="str">
        <f aca="false">TEXT(DATE(VALUE(RIGHT(B2340,4)),VALUE(MID(B2340,4,2)),VALUE(LEFT(B2340,2))),"MMM-YYYY")</f>
        <v>Apr-2024</v>
      </c>
      <c r="AF2340" s="1" t="n">
        <f aca="false">VALUE(RIGHT(B2340,4))</f>
        <v>2024</v>
      </c>
      <c r="AG2340" s="1" t="str">
        <f aca="false">CHOOSE(ROUNDUP(VALUE(MID(B2340,4,2))/3,0),"Q1","Q2","Q3","Q4")</f>
        <v>Q2</v>
      </c>
    </row>
    <row r="2341" customFormat="false" ht="15" hidden="false" customHeight="true" outlineLevel="0" collapsed="false">
      <c r="A2341" s="1" t="s">
        <v>3213</v>
      </c>
      <c r="B2341" s="1" t="s">
        <v>1266</v>
      </c>
      <c r="C2341" s="1" t="s">
        <v>93</v>
      </c>
      <c r="D2341" s="1" t="s">
        <v>53</v>
      </c>
      <c r="E2341" s="1" t="s">
        <v>54</v>
      </c>
      <c r="F2341" s="1" t="s">
        <v>46</v>
      </c>
      <c r="G2341" s="1" t="s">
        <v>47</v>
      </c>
      <c r="H2341" s="1" t="s">
        <v>33</v>
      </c>
      <c r="I2341" s="1" t="s">
        <v>83</v>
      </c>
      <c r="J2341" s="1" t="s">
        <v>131</v>
      </c>
      <c r="K2341" s="1" t="s">
        <v>48</v>
      </c>
      <c r="L2341" s="1" t="s">
        <v>37</v>
      </c>
      <c r="M2341" s="1" t="s">
        <v>62</v>
      </c>
      <c r="N2341" s="1" t="n">
        <v>11999</v>
      </c>
      <c r="O2341" s="1" t="n">
        <v>0</v>
      </c>
      <c r="P2341" s="1" t="n">
        <v>0</v>
      </c>
      <c r="Q2341" s="1" t="n">
        <v>11999</v>
      </c>
      <c r="R2341" s="1" t="n">
        <v>2159.82</v>
      </c>
      <c r="S2341" s="1" t="n">
        <v>9839.18</v>
      </c>
      <c r="T2341" s="1" t="n">
        <v>5090.12</v>
      </c>
      <c r="U2341" s="1" t="n">
        <v>4749.06</v>
      </c>
      <c r="V2341" s="1" t="n">
        <v>48.27</v>
      </c>
      <c r="W2341" s="1" t="s">
        <v>40</v>
      </c>
      <c r="Y2341" s="1" t="s">
        <v>40</v>
      </c>
      <c r="Z2341" s="1" t="n">
        <v>1</v>
      </c>
      <c r="AA2341" s="1" t="str">
        <f aca="false">TRIM(PROPER(F2341))</f>
        <v>Mangaluru</v>
      </c>
      <c r="AB2341" s="1" t="str">
        <f aca="false">TRIM(PROPER(C2341))</f>
        <v>Upgrad</v>
      </c>
      <c r="AC2341" s="1" t="str">
        <f aca="false">IF(O2341=0,"No Discount",IF(O2341&lt;=15,"Low (1-15%)",IF(O2341&lt;=30,"Medium (16-30%)","High (&gt;30%)")))</f>
        <v>No Discount</v>
      </c>
      <c r="AD2341" s="1" t="str">
        <f aca="false">IF(V2341&lt;0,"Loss Making",IF(V2341&lt;20,"Low Margin","Healthy Margin"))</f>
        <v>Healthy Margin</v>
      </c>
      <c r="AE2341" s="1" t="str">
        <f aca="false">TEXT(DATE(VALUE(RIGHT(B2341,4)),VALUE(MID(B2341,4,2)),VALUE(LEFT(B2341,2))),"MMM-YYYY")</f>
        <v>Jun-2024</v>
      </c>
      <c r="AF2341" s="1" t="n">
        <f aca="false">VALUE(RIGHT(B2341,4))</f>
        <v>2024</v>
      </c>
      <c r="AG2341" s="1" t="str">
        <f aca="false">CHOOSE(ROUNDUP(VALUE(MID(B2341,4,2))/3,0),"Q1","Q2","Q3","Q4")</f>
        <v>Q2</v>
      </c>
    </row>
    <row r="2342" customFormat="false" ht="15" hidden="false" customHeight="true" outlineLevel="0" collapsed="false">
      <c r="A2342" s="1" t="s">
        <v>3214</v>
      </c>
      <c r="B2342" s="1" t="s">
        <v>406</v>
      </c>
      <c r="C2342" s="1" t="s">
        <v>100</v>
      </c>
      <c r="D2342" s="1" t="s">
        <v>44</v>
      </c>
      <c r="E2342" s="1" t="s">
        <v>221</v>
      </c>
      <c r="F2342" s="1" t="s">
        <v>150</v>
      </c>
      <c r="G2342" s="1" t="s">
        <v>32</v>
      </c>
      <c r="H2342" s="1" t="s">
        <v>57</v>
      </c>
      <c r="I2342" s="1" t="s">
        <v>58</v>
      </c>
      <c r="J2342" s="1" t="s">
        <v>70</v>
      </c>
      <c r="K2342" s="1" t="s">
        <v>112</v>
      </c>
      <c r="L2342" s="1" t="s">
        <v>49</v>
      </c>
      <c r="M2342" s="1" t="s">
        <v>38</v>
      </c>
      <c r="N2342" s="1" t="n">
        <v>16999</v>
      </c>
      <c r="O2342" s="1" t="n">
        <v>15</v>
      </c>
      <c r="P2342" s="1" t="n">
        <v>2549.85</v>
      </c>
      <c r="Q2342" s="1" t="n">
        <v>14449.15</v>
      </c>
      <c r="R2342" s="1" t="n">
        <v>2600.85</v>
      </c>
      <c r="S2342" s="1" t="n">
        <v>11848.3</v>
      </c>
      <c r="T2342" s="1" t="n">
        <v>6032.75</v>
      </c>
      <c r="U2342" s="1" t="n">
        <v>5815.55</v>
      </c>
      <c r="V2342" s="1" t="n">
        <v>49.08</v>
      </c>
      <c r="W2342" s="1" t="s">
        <v>39</v>
      </c>
      <c r="Y2342" s="1" t="s">
        <v>40</v>
      </c>
      <c r="Z2342" s="1" t="n">
        <v>1</v>
      </c>
      <c r="AA2342" s="1" t="str">
        <f aca="false">TRIM(PROPER(F2342))</f>
        <v>Jaipur</v>
      </c>
      <c r="AB2342" s="1" t="str">
        <f aca="false">TRIM(PROPER(C2342))</f>
        <v>Physics Wallah</v>
      </c>
      <c r="AC2342" s="1" t="str">
        <f aca="false">IF(O2342=0,"No Discount",IF(O2342&lt;=15,"Low (1-15%)",IF(O2342&lt;=30,"Medium (16-30%)","High (&gt;30%)")))</f>
        <v>Low (1-15%)</v>
      </c>
      <c r="AD2342" s="1" t="str">
        <f aca="false">IF(V2342&lt;0,"Loss Making",IF(V2342&lt;20,"Low Margin","Healthy Margin"))</f>
        <v>Healthy Margin</v>
      </c>
      <c r="AE2342" s="1" t="str">
        <f aca="false">TEXT(DATE(VALUE(RIGHT(B2342,4)),VALUE(MID(B2342,4,2)),VALUE(LEFT(B2342,2))),"MMM-YYYY")</f>
        <v>Apr-2023</v>
      </c>
      <c r="AF2342" s="1" t="n">
        <f aca="false">VALUE(RIGHT(B2342,4))</f>
        <v>2023</v>
      </c>
      <c r="AG2342" s="1" t="str">
        <f aca="false">CHOOSE(ROUNDUP(VALUE(MID(B2342,4,2))/3,0),"Q1","Q2","Q3","Q4")</f>
        <v>Q2</v>
      </c>
    </row>
    <row r="2343" customFormat="false" ht="15" hidden="false" customHeight="true" outlineLevel="0" collapsed="false">
      <c r="A2343" s="1" t="s">
        <v>3215</v>
      </c>
      <c r="B2343" s="1" t="s">
        <v>868</v>
      </c>
      <c r="C2343" s="1" t="s">
        <v>100</v>
      </c>
      <c r="D2343" s="1" t="s">
        <v>53</v>
      </c>
      <c r="E2343" s="1" t="s">
        <v>216</v>
      </c>
      <c r="F2343" s="1" t="s">
        <v>153</v>
      </c>
      <c r="G2343" s="1" t="s">
        <v>76</v>
      </c>
      <c r="H2343" s="1" t="s">
        <v>33</v>
      </c>
      <c r="I2343" s="1" t="s">
        <v>83</v>
      </c>
      <c r="J2343" s="1" t="s">
        <v>131</v>
      </c>
      <c r="K2343" s="1" t="s">
        <v>36</v>
      </c>
      <c r="L2343" s="1" t="s">
        <v>136</v>
      </c>
      <c r="M2343" s="1" t="s">
        <v>50</v>
      </c>
      <c r="N2343" s="1" t="n">
        <v>7499</v>
      </c>
      <c r="O2343" s="1" t="n">
        <v>0</v>
      </c>
      <c r="P2343" s="1" t="n">
        <v>0</v>
      </c>
      <c r="Q2343" s="1" t="n">
        <v>7499</v>
      </c>
      <c r="R2343" s="1" t="n">
        <v>1349.82</v>
      </c>
      <c r="S2343" s="1" t="n">
        <v>6149.18</v>
      </c>
      <c r="T2343" s="1" t="n">
        <v>2694.05</v>
      </c>
      <c r="U2343" s="1" t="n">
        <v>3455.13</v>
      </c>
      <c r="V2343" s="1" t="n">
        <v>56.19</v>
      </c>
      <c r="W2343" s="1" t="s">
        <v>39</v>
      </c>
      <c r="X2343" s="1" t="n">
        <v>4.2</v>
      </c>
      <c r="Y2343" s="1" t="s">
        <v>40</v>
      </c>
      <c r="Z2343" s="1" t="n">
        <v>0</v>
      </c>
      <c r="AA2343" s="1" t="str">
        <f aca="false">TRIM(PROPER(F2343))</f>
        <v>Howrah</v>
      </c>
      <c r="AB2343" s="1" t="str">
        <f aca="false">TRIM(PROPER(C2343))</f>
        <v>Physics Wallah</v>
      </c>
      <c r="AC2343" s="1" t="str">
        <f aca="false">IF(O2343=0,"No Discount",IF(O2343&lt;=15,"Low (1-15%)",IF(O2343&lt;=30,"Medium (16-30%)","High (&gt;30%)")))</f>
        <v>No Discount</v>
      </c>
      <c r="AD2343" s="1" t="str">
        <f aca="false">IF(V2343&lt;0,"Loss Making",IF(V2343&lt;20,"Low Margin","Healthy Margin"))</f>
        <v>Healthy Margin</v>
      </c>
      <c r="AE2343" s="1" t="str">
        <f aca="false">TEXT(DATE(VALUE(RIGHT(B2343,4)),VALUE(MID(B2343,4,2)),VALUE(LEFT(B2343,2))),"MMM-YYYY")</f>
        <v>Mar-2024</v>
      </c>
      <c r="AF2343" s="1" t="n">
        <f aca="false">VALUE(RIGHT(B2343,4))</f>
        <v>2024</v>
      </c>
      <c r="AG2343" s="1" t="str">
        <f aca="false">CHOOSE(ROUNDUP(VALUE(MID(B2343,4,2))/3,0),"Q1","Q2","Q3","Q4")</f>
        <v>Q1</v>
      </c>
    </row>
    <row r="2344" customFormat="false" ht="15" hidden="false" customHeight="true" outlineLevel="0" collapsed="false">
      <c r="A2344" s="1" t="s">
        <v>3216</v>
      </c>
      <c r="B2344" s="1" t="s">
        <v>774</v>
      </c>
      <c r="C2344" s="1" t="s">
        <v>249</v>
      </c>
      <c r="D2344" s="1" t="s">
        <v>168</v>
      </c>
      <c r="E2344" s="1" t="s">
        <v>172</v>
      </c>
      <c r="F2344" s="1" t="s">
        <v>153</v>
      </c>
      <c r="G2344" s="1" t="s">
        <v>76</v>
      </c>
      <c r="H2344" s="1" t="s">
        <v>33</v>
      </c>
      <c r="I2344" s="1" t="s">
        <v>83</v>
      </c>
      <c r="J2344" s="1" t="s">
        <v>70</v>
      </c>
      <c r="K2344" s="1" t="s">
        <v>71</v>
      </c>
      <c r="L2344" s="1" t="s">
        <v>37</v>
      </c>
      <c r="M2344" s="1" t="s">
        <v>62</v>
      </c>
      <c r="N2344" s="1" t="n">
        <v>6999</v>
      </c>
      <c r="O2344" s="1" t="n">
        <v>0</v>
      </c>
      <c r="P2344" s="1" t="n">
        <v>0</v>
      </c>
      <c r="Q2344" s="1" t="n">
        <v>6999</v>
      </c>
      <c r="R2344" s="1" t="n">
        <v>1259.82</v>
      </c>
      <c r="S2344" s="1" t="n">
        <v>5739.18</v>
      </c>
      <c r="T2344" s="1" t="n">
        <v>2403.7</v>
      </c>
      <c r="U2344" s="1" t="n">
        <v>3335.48</v>
      </c>
      <c r="V2344" s="1" t="n">
        <v>58.12</v>
      </c>
      <c r="W2344" s="1" t="s">
        <v>40</v>
      </c>
      <c r="Y2344" s="1" t="s">
        <v>40</v>
      </c>
      <c r="Z2344" s="1" t="n">
        <v>0</v>
      </c>
      <c r="AA2344" s="1" t="str">
        <f aca="false">TRIM(PROPER(F2344))</f>
        <v>Howrah</v>
      </c>
      <c r="AB2344" s="1" t="str">
        <f aca="false">TRIM(PROPER(C2344))</f>
        <v>Whitehat Jr</v>
      </c>
      <c r="AC2344" s="1" t="str">
        <f aca="false">IF(O2344=0,"No Discount",IF(O2344&lt;=15,"Low (1-15%)",IF(O2344&lt;=30,"Medium (16-30%)","High (&gt;30%)")))</f>
        <v>No Discount</v>
      </c>
      <c r="AD2344" s="1" t="str">
        <f aca="false">IF(V2344&lt;0,"Loss Making",IF(V2344&lt;20,"Low Margin","Healthy Margin"))</f>
        <v>Healthy Margin</v>
      </c>
      <c r="AE2344" s="1" t="str">
        <f aca="false">TEXT(DATE(VALUE(RIGHT(B2344,4)),VALUE(MID(B2344,4,2)),VALUE(LEFT(B2344,2))),"MMM-YYYY")</f>
        <v>Oct-2023</v>
      </c>
      <c r="AF2344" s="1" t="n">
        <f aca="false">VALUE(RIGHT(B2344,4))</f>
        <v>2023</v>
      </c>
      <c r="AG2344" s="1" t="str">
        <f aca="false">CHOOSE(ROUNDUP(VALUE(MID(B2344,4,2))/3,0),"Q1","Q2","Q3","Q4")</f>
        <v>Q4</v>
      </c>
    </row>
    <row r="2345" customFormat="false" ht="15" hidden="false" customHeight="true" outlineLevel="0" collapsed="false">
      <c r="A2345" s="1" t="s">
        <v>3217</v>
      </c>
      <c r="B2345" s="1" t="s">
        <v>2923</v>
      </c>
      <c r="C2345" s="1" t="s">
        <v>88</v>
      </c>
      <c r="D2345" s="1" t="s">
        <v>53</v>
      </c>
      <c r="E2345" s="1" t="s">
        <v>54</v>
      </c>
      <c r="F2345" s="1" t="s">
        <v>184</v>
      </c>
      <c r="G2345" s="1" t="s">
        <v>56</v>
      </c>
      <c r="H2345" s="1" t="s">
        <v>57</v>
      </c>
      <c r="I2345" s="1" t="s">
        <v>83</v>
      </c>
      <c r="J2345" s="1" t="s">
        <v>35</v>
      </c>
      <c r="K2345" s="1" t="s">
        <v>60</v>
      </c>
      <c r="L2345" s="1" t="s">
        <v>136</v>
      </c>
      <c r="M2345" s="1" t="s">
        <v>62</v>
      </c>
      <c r="N2345" s="1" t="n">
        <v>11999</v>
      </c>
      <c r="O2345" s="1" t="n">
        <v>10</v>
      </c>
      <c r="P2345" s="1" t="n">
        <v>1199.9</v>
      </c>
      <c r="Q2345" s="1" t="n">
        <v>10799.1</v>
      </c>
      <c r="R2345" s="1" t="n">
        <v>1943.84</v>
      </c>
      <c r="S2345" s="1" t="n">
        <v>8855.26</v>
      </c>
      <c r="T2345" s="1" t="n">
        <v>4417.81</v>
      </c>
      <c r="U2345" s="1" t="n">
        <v>4437.45</v>
      </c>
      <c r="V2345" s="1" t="n">
        <v>50.11</v>
      </c>
      <c r="W2345" s="1" t="s">
        <v>40</v>
      </c>
      <c r="Y2345" s="1" t="s">
        <v>39</v>
      </c>
      <c r="Z2345" s="1" t="n">
        <v>0</v>
      </c>
      <c r="AA2345" s="1" t="str">
        <f aca="false">TRIM(PROPER(F2345))</f>
        <v>Faridabad</v>
      </c>
      <c r="AB2345" s="1" t="str">
        <f aca="false">TRIM(PROPER(C2345))</f>
        <v>Byju'S</v>
      </c>
      <c r="AC2345" s="1" t="str">
        <f aca="false">IF(O2345=0,"No Discount",IF(O2345&lt;=15,"Low (1-15%)",IF(O2345&lt;=30,"Medium (16-30%)","High (&gt;30%)")))</f>
        <v>Low (1-15%)</v>
      </c>
      <c r="AD2345" s="1" t="str">
        <f aca="false">IF(V2345&lt;0,"Loss Making",IF(V2345&lt;20,"Low Margin","Healthy Margin"))</f>
        <v>Healthy Margin</v>
      </c>
      <c r="AE2345" s="1" t="str">
        <f aca="false">TEXT(DATE(VALUE(RIGHT(B2345,4)),VALUE(MID(B2345,4,2)),VALUE(LEFT(B2345,2))),"MMM-YYYY")</f>
        <v>Sep-2024</v>
      </c>
      <c r="AF2345" s="1" t="n">
        <f aca="false">VALUE(RIGHT(B2345,4))</f>
        <v>2024</v>
      </c>
      <c r="AG2345" s="1" t="str">
        <f aca="false">CHOOSE(ROUNDUP(VALUE(MID(B2345,4,2))/3,0),"Q1","Q2","Q3","Q4")</f>
        <v>Q3</v>
      </c>
    </row>
    <row r="2346" customFormat="false" ht="15" hidden="false" customHeight="true" outlineLevel="0" collapsed="false">
      <c r="A2346" s="1" t="s">
        <v>3218</v>
      </c>
      <c r="B2346" s="1" t="s">
        <v>1486</v>
      </c>
      <c r="C2346" s="1" t="s">
        <v>88</v>
      </c>
      <c r="D2346" s="1" t="s">
        <v>29</v>
      </c>
      <c r="E2346" s="1" t="s">
        <v>30</v>
      </c>
      <c r="F2346" s="1" t="s">
        <v>205</v>
      </c>
      <c r="G2346" s="1" t="s">
        <v>56</v>
      </c>
      <c r="H2346" s="1" t="s">
        <v>69</v>
      </c>
      <c r="I2346" s="1" t="s">
        <v>34</v>
      </c>
      <c r="J2346" s="1" t="s">
        <v>77</v>
      </c>
      <c r="K2346" s="1" t="s">
        <v>60</v>
      </c>
      <c r="L2346" s="1" t="s">
        <v>61</v>
      </c>
      <c r="M2346" s="1" t="s">
        <v>50</v>
      </c>
      <c r="N2346" s="1" t="n">
        <v>7999</v>
      </c>
      <c r="O2346" s="1" t="n">
        <v>10</v>
      </c>
      <c r="P2346" s="1" t="n">
        <v>799.9</v>
      </c>
      <c r="Q2346" s="1" t="n">
        <v>7199.1</v>
      </c>
      <c r="R2346" s="1" t="n">
        <v>1295.84</v>
      </c>
      <c r="S2346" s="1" t="n">
        <v>5903.26</v>
      </c>
      <c r="T2346" s="1" t="n">
        <v>2218.39</v>
      </c>
      <c r="U2346" s="1" t="n">
        <v>3684.87</v>
      </c>
      <c r="V2346" s="1" t="n">
        <v>62.42</v>
      </c>
      <c r="W2346" s="1" t="s">
        <v>40</v>
      </c>
      <c r="Y2346" s="1" t="s">
        <v>39</v>
      </c>
      <c r="Z2346" s="1" t="n">
        <v>0</v>
      </c>
      <c r="AA2346" s="1" t="str">
        <f aca="false">TRIM(PROPER(F2346))</f>
        <v>New Delhi</v>
      </c>
      <c r="AB2346" s="1" t="str">
        <f aca="false">TRIM(PROPER(C2346))</f>
        <v>Byju'S</v>
      </c>
      <c r="AC2346" s="1" t="str">
        <f aca="false">IF(O2346=0,"No Discount",IF(O2346&lt;=15,"Low (1-15%)",IF(O2346&lt;=30,"Medium (16-30%)","High (&gt;30%)")))</f>
        <v>Low (1-15%)</v>
      </c>
      <c r="AD2346" s="1" t="str">
        <f aca="false">IF(V2346&lt;0,"Loss Making",IF(V2346&lt;20,"Low Margin","Healthy Margin"))</f>
        <v>Healthy Margin</v>
      </c>
      <c r="AE2346" s="1" t="str">
        <f aca="false">TEXT(DATE(VALUE(RIGHT(B2346,4)),VALUE(MID(B2346,4,2)),VALUE(LEFT(B2346,2))),"MMM-YYYY")</f>
        <v>Jun-2024</v>
      </c>
      <c r="AF2346" s="1" t="n">
        <f aca="false">VALUE(RIGHT(B2346,4))</f>
        <v>2024</v>
      </c>
      <c r="AG2346" s="1" t="str">
        <f aca="false">CHOOSE(ROUNDUP(VALUE(MID(B2346,4,2))/3,0),"Q1","Q2","Q3","Q4")</f>
        <v>Q2</v>
      </c>
    </row>
    <row r="2347" customFormat="false" ht="15" hidden="false" customHeight="true" outlineLevel="0" collapsed="false">
      <c r="A2347" s="1" t="s">
        <v>3219</v>
      </c>
      <c r="B2347" s="1" t="s">
        <v>598</v>
      </c>
      <c r="C2347" s="1" t="s">
        <v>178</v>
      </c>
      <c r="D2347" s="1" t="s">
        <v>53</v>
      </c>
      <c r="E2347" s="1" t="s">
        <v>116</v>
      </c>
      <c r="F2347" s="1" t="s">
        <v>153</v>
      </c>
      <c r="G2347" s="1" t="s">
        <v>76</v>
      </c>
      <c r="H2347" s="1" t="s">
        <v>33</v>
      </c>
      <c r="I2347" s="1" t="s">
        <v>83</v>
      </c>
      <c r="J2347" s="1" t="s">
        <v>131</v>
      </c>
      <c r="K2347" s="1" t="s">
        <v>84</v>
      </c>
      <c r="L2347" s="1" t="s">
        <v>61</v>
      </c>
      <c r="M2347" s="1" t="s">
        <v>62</v>
      </c>
      <c r="N2347" s="1" t="n">
        <v>9999</v>
      </c>
      <c r="O2347" s="1" t="n">
        <v>15</v>
      </c>
      <c r="P2347" s="1" t="n">
        <v>1499.85</v>
      </c>
      <c r="Q2347" s="1" t="n">
        <v>8499.15</v>
      </c>
      <c r="R2347" s="1" t="n">
        <v>1529.85</v>
      </c>
      <c r="S2347" s="1" t="n">
        <v>6969.3</v>
      </c>
      <c r="T2347" s="1" t="n">
        <v>3610.82</v>
      </c>
      <c r="U2347" s="1" t="n">
        <v>3358.48</v>
      </c>
      <c r="V2347" s="1" t="n">
        <v>48.19</v>
      </c>
      <c r="W2347" s="1" t="s">
        <v>39</v>
      </c>
      <c r="X2347" s="1" t="n">
        <v>4.8</v>
      </c>
      <c r="Y2347" s="1" t="s">
        <v>40</v>
      </c>
      <c r="Z2347" s="1" t="n">
        <v>1</v>
      </c>
      <c r="AA2347" s="1" t="str">
        <f aca="false">TRIM(PROPER(F2347))</f>
        <v>Howrah</v>
      </c>
      <c r="AB2347" s="1" t="str">
        <f aca="false">TRIM(PROPER(C2347))</f>
        <v>Leverage Edu</v>
      </c>
      <c r="AC2347" s="1" t="str">
        <f aca="false">IF(O2347=0,"No Discount",IF(O2347&lt;=15,"Low (1-15%)",IF(O2347&lt;=30,"Medium (16-30%)","High (&gt;30%)")))</f>
        <v>Low (1-15%)</v>
      </c>
      <c r="AD2347" s="1" t="str">
        <f aca="false">IF(V2347&lt;0,"Loss Making",IF(V2347&lt;20,"Low Margin","Healthy Margin"))</f>
        <v>Healthy Margin</v>
      </c>
      <c r="AE2347" s="1" t="str">
        <f aca="false">TEXT(DATE(VALUE(RIGHT(B2347,4)),VALUE(MID(B2347,4,2)),VALUE(LEFT(B2347,2))),"MMM-YYYY")</f>
        <v>Feb-2024</v>
      </c>
      <c r="AF2347" s="1" t="n">
        <f aca="false">VALUE(RIGHT(B2347,4))</f>
        <v>2024</v>
      </c>
      <c r="AG2347" s="1" t="str">
        <f aca="false">CHOOSE(ROUNDUP(VALUE(MID(B2347,4,2))/3,0),"Q1","Q2","Q3","Q4")</f>
        <v>Q1</v>
      </c>
    </row>
    <row r="2348" customFormat="false" ht="15" hidden="false" customHeight="true" outlineLevel="0" collapsed="false">
      <c r="A2348" s="1" t="s">
        <v>3220</v>
      </c>
      <c r="B2348" s="1" t="s">
        <v>279</v>
      </c>
      <c r="C2348" s="1" t="s">
        <v>249</v>
      </c>
      <c r="D2348" s="1" t="s">
        <v>80</v>
      </c>
      <c r="E2348" s="1" t="s">
        <v>81</v>
      </c>
      <c r="F2348" s="1" t="s">
        <v>31</v>
      </c>
      <c r="G2348" s="1" t="s">
        <v>32</v>
      </c>
      <c r="H2348" s="1" t="s">
        <v>33</v>
      </c>
      <c r="I2348" s="1" t="s">
        <v>58</v>
      </c>
      <c r="J2348" s="1" t="s">
        <v>35</v>
      </c>
      <c r="K2348" s="1" t="s">
        <v>36</v>
      </c>
      <c r="L2348" s="1" t="s">
        <v>37</v>
      </c>
      <c r="M2348" s="1" t="s">
        <v>62</v>
      </c>
      <c r="N2348" s="1" t="n">
        <v>12999</v>
      </c>
      <c r="O2348" s="1" t="n">
        <v>0</v>
      </c>
      <c r="P2348" s="1" t="n">
        <v>0</v>
      </c>
      <c r="Q2348" s="1" t="n">
        <v>12999</v>
      </c>
      <c r="R2348" s="1" t="n">
        <v>2339.82</v>
      </c>
      <c r="S2348" s="1" t="n">
        <v>10659.18</v>
      </c>
      <c r="T2348" s="1" t="n">
        <v>4195.55</v>
      </c>
      <c r="U2348" s="1" t="n">
        <v>6463.63</v>
      </c>
      <c r="V2348" s="1" t="n">
        <v>60.64</v>
      </c>
      <c r="W2348" s="1" t="s">
        <v>40</v>
      </c>
      <c r="Y2348" s="1" t="s">
        <v>39</v>
      </c>
      <c r="Z2348" s="1" t="n">
        <v>1</v>
      </c>
      <c r="AA2348" s="1" t="str">
        <f aca="false">TRIM(PROPER(F2348))</f>
        <v>Jodhpur</v>
      </c>
      <c r="AB2348" s="1" t="str">
        <f aca="false">TRIM(PROPER(C2348))</f>
        <v>Whitehat Jr</v>
      </c>
      <c r="AC2348" s="1" t="str">
        <f aca="false">IF(O2348=0,"No Discount",IF(O2348&lt;=15,"Low (1-15%)",IF(O2348&lt;=30,"Medium (16-30%)","High (&gt;30%)")))</f>
        <v>No Discount</v>
      </c>
      <c r="AD2348" s="1" t="str">
        <f aca="false">IF(V2348&lt;0,"Loss Making",IF(V2348&lt;20,"Low Margin","Healthy Margin"))</f>
        <v>Healthy Margin</v>
      </c>
      <c r="AE2348" s="1" t="str">
        <f aca="false">TEXT(DATE(VALUE(RIGHT(B2348,4)),VALUE(MID(B2348,4,2)),VALUE(LEFT(B2348,2))),"MMM-YYYY")</f>
        <v>Jul-2023</v>
      </c>
      <c r="AF2348" s="1" t="n">
        <f aca="false">VALUE(RIGHT(B2348,4))</f>
        <v>2023</v>
      </c>
      <c r="AG2348" s="1" t="str">
        <f aca="false">CHOOSE(ROUNDUP(VALUE(MID(B2348,4,2))/3,0),"Q1","Q2","Q3","Q4")</f>
        <v>Q3</v>
      </c>
    </row>
    <row r="2349" customFormat="false" ht="15" hidden="false" customHeight="true" outlineLevel="0" collapsed="false">
      <c r="A2349" s="1" t="s">
        <v>3221</v>
      </c>
      <c r="B2349" s="1" t="s">
        <v>1500</v>
      </c>
      <c r="C2349" s="1" t="s">
        <v>139</v>
      </c>
      <c r="D2349" s="1" t="s">
        <v>123</v>
      </c>
      <c r="E2349" s="1" t="s">
        <v>233</v>
      </c>
      <c r="F2349" s="1" t="s">
        <v>156</v>
      </c>
      <c r="G2349" s="1" t="s">
        <v>68</v>
      </c>
      <c r="H2349" s="1" t="s">
        <v>57</v>
      </c>
      <c r="I2349" s="1" t="s">
        <v>34</v>
      </c>
      <c r="J2349" s="1" t="s">
        <v>131</v>
      </c>
      <c r="K2349" s="1" t="s">
        <v>71</v>
      </c>
      <c r="L2349" s="1" t="s">
        <v>61</v>
      </c>
      <c r="M2349" s="1" t="s">
        <v>62</v>
      </c>
      <c r="N2349" s="1" t="n">
        <v>8999</v>
      </c>
      <c r="O2349" s="1" t="n">
        <v>10</v>
      </c>
      <c r="P2349" s="1" t="n">
        <v>899.9</v>
      </c>
      <c r="Q2349" s="1" t="n">
        <v>8099.1</v>
      </c>
      <c r="R2349" s="1" t="n">
        <v>1457.84</v>
      </c>
      <c r="S2349" s="1" t="n">
        <v>6641.26</v>
      </c>
      <c r="T2349" s="1" t="n">
        <v>3295.35</v>
      </c>
      <c r="U2349" s="1" t="n">
        <v>3345.91</v>
      </c>
      <c r="V2349" s="1" t="n">
        <v>50.38</v>
      </c>
      <c r="W2349" s="1" t="s">
        <v>39</v>
      </c>
      <c r="Y2349" s="1" t="s">
        <v>40</v>
      </c>
      <c r="Z2349" s="1" t="n">
        <v>0</v>
      </c>
      <c r="AA2349" s="1" t="str">
        <f aca="false">TRIM(PROPER(F2349))</f>
        <v>Surat</v>
      </c>
      <c r="AB2349" s="1" t="str">
        <f aca="false">TRIM(PROPER(C2349))</f>
        <v>Extramarks</v>
      </c>
      <c r="AC2349" s="1" t="str">
        <f aca="false">IF(O2349=0,"No Discount",IF(O2349&lt;=15,"Low (1-15%)",IF(O2349&lt;=30,"Medium (16-30%)","High (&gt;30%)")))</f>
        <v>Low (1-15%)</v>
      </c>
      <c r="AD2349" s="1" t="str">
        <f aca="false">IF(V2349&lt;0,"Loss Making",IF(V2349&lt;20,"Low Margin","Healthy Margin"))</f>
        <v>Healthy Margin</v>
      </c>
      <c r="AE2349" s="1" t="str">
        <f aca="false">TEXT(DATE(VALUE(RIGHT(B2349,4)),VALUE(MID(B2349,4,2)),VALUE(LEFT(B2349,2))),"MMM-YYYY")</f>
        <v>Aug-2023</v>
      </c>
      <c r="AF2349" s="1" t="n">
        <f aca="false">VALUE(RIGHT(B2349,4))</f>
        <v>2023</v>
      </c>
      <c r="AG2349" s="1" t="str">
        <f aca="false">CHOOSE(ROUNDUP(VALUE(MID(B2349,4,2))/3,0),"Q1","Q2","Q3","Q4")</f>
        <v>Q3</v>
      </c>
    </row>
    <row r="2350" customFormat="false" ht="15" hidden="false" customHeight="true" outlineLevel="0" collapsed="false">
      <c r="A2350" s="1" t="s">
        <v>3222</v>
      </c>
      <c r="B2350" s="1" t="s">
        <v>1488</v>
      </c>
      <c r="C2350" s="1" t="s">
        <v>264</v>
      </c>
      <c r="D2350" s="1" t="s">
        <v>168</v>
      </c>
      <c r="E2350" s="1" t="s">
        <v>328</v>
      </c>
      <c r="F2350" s="1" t="s">
        <v>205</v>
      </c>
      <c r="G2350" s="1" t="s">
        <v>56</v>
      </c>
      <c r="H2350" s="1" t="s">
        <v>69</v>
      </c>
      <c r="I2350" s="1" t="s">
        <v>34</v>
      </c>
      <c r="J2350" s="1" t="s">
        <v>59</v>
      </c>
      <c r="K2350" s="1" t="s">
        <v>36</v>
      </c>
      <c r="L2350" s="1" t="s">
        <v>85</v>
      </c>
      <c r="M2350" s="1" t="s">
        <v>50</v>
      </c>
      <c r="N2350" s="1" t="n">
        <v>8999</v>
      </c>
      <c r="O2350" s="1" t="n">
        <v>0</v>
      </c>
      <c r="P2350" s="1" t="n">
        <v>0</v>
      </c>
      <c r="Q2350" s="1" t="n">
        <v>8999</v>
      </c>
      <c r="R2350" s="1" t="n">
        <v>1619.82</v>
      </c>
      <c r="S2350" s="1" t="n">
        <v>7379.18</v>
      </c>
      <c r="T2350" s="1" t="n">
        <v>2737.87</v>
      </c>
      <c r="U2350" s="1" t="n">
        <v>4641.31</v>
      </c>
      <c r="V2350" s="1" t="n">
        <v>62.9</v>
      </c>
      <c r="W2350" s="1" t="s">
        <v>39</v>
      </c>
      <c r="X2350" s="1" t="n">
        <v>3.8</v>
      </c>
      <c r="Y2350" s="1" t="s">
        <v>40</v>
      </c>
      <c r="Z2350" s="1" t="n">
        <v>1</v>
      </c>
      <c r="AA2350" s="1" t="str">
        <f aca="false">TRIM(PROPER(F2350))</f>
        <v>New Delhi</v>
      </c>
      <c r="AB2350" s="1" t="str">
        <f aca="false">TRIM(PROPER(C2350))</f>
        <v>Unacademy</v>
      </c>
      <c r="AC2350" s="1" t="str">
        <f aca="false">IF(O2350=0,"No Discount",IF(O2350&lt;=15,"Low (1-15%)",IF(O2350&lt;=30,"Medium (16-30%)","High (&gt;30%)")))</f>
        <v>No Discount</v>
      </c>
      <c r="AD2350" s="1" t="str">
        <f aca="false">IF(V2350&lt;0,"Loss Making",IF(V2350&lt;20,"Low Margin","Healthy Margin"))</f>
        <v>Healthy Margin</v>
      </c>
      <c r="AE2350" s="1" t="str">
        <f aca="false">TEXT(DATE(VALUE(RIGHT(B2350,4)),VALUE(MID(B2350,4,2)),VALUE(LEFT(B2350,2))),"MMM-YYYY")</f>
        <v>Jun-2024</v>
      </c>
      <c r="AF2350" s="1" t="n">
        <f aca="false">VALUE(RIGHT(B2350,4))</f>
        <v>2024</v>
      </c>
      <c r="AG2350" s="1" t="str">
        <f aca="false">CHOOSE(ROUNDUP(VALUE(MID(B2350,4,2))/3,0),"Q1","Q2","Q3","Q4")</f>
        <v>Q2</v>
      </c>
    </row>
    <row r="2351" customFormat="false" ht="15" hidden="false" customHeight="true" outlineLevel="0" collapsed="false">
      <c r="A2351" s="1" t="s">
        <v>3223</v>
      </c>
      <c r="B2351" s="1" t="s">
        <v>315</v>
      </c>
      <c r="C2351" s="1" t="s">
        <v>139</v>
      </c>
      <c r="D2351" s="1" t="s">
        <v>123</v>
      </c>
      <c r="E2351" s="1" t="s">
        <v>124</v>
      </c>
      <c r="F2351" s="1" t="s">
        <v>96</v>
      </c>
      <c r="G2351" s="1" t="s">
        <v>97</v>
      </c>
      <c r="H2351" s="1" t="s">
        <v>69</v>
      </c>
      <c r="I2351" s="1" t="s">
        <v>34</v>
      </c>
      <c r="J2351" s="1" t="s">
        <v>59</v>
      </c>
      <c r="K2351" s="1" t="s">
        <v>90</v>
      </c>
      <c r="L2351" s="1" t="s">
        <v>37</v>
      </c>
      <c r="M2351" s="1" t="s">
        <v>38</v>
      </c>
      <c r="N2351" s="1" t="n">
        <v>4999</v>
      </c>
      <c r="O2351" s="1" t="n">
        <v>5</v>
      </c>
      <c r="P2351" s="1" t="n">
        <v>249.95</v>
      </c>
      <c r="Q2351" s="1" t="n">
        <v>4749.05</v>
      </c>
      <c r="R2351" s="1" t="n">
        <v>854.83</v>
      </c>
      <c r="S2351" s="1" t="n">
        <v>3894.22</v>
      </c>
      <c r="T2351" s="1" t="n">
        <v>1377.67</v>
      </c>
      <c r="U2351" s="1" t="n">
        <v>2516.55</v>
      </c>
      <c r="V2351" s="1" t="n">
        <v>64.62</v>
      </c>
      <c r="W2351" s="1" t="s">
        <v>39</v>
      </c>
      <c r="X2351" s="1" t="n">
        <v>3.5</v>
      </c>
      <c r="Y2351" s="1" t="s">
        <v>40</v>
      </c>
      <c r="Z2351" s="1" t="n">
        <v>0</v>
      </c>
      <c r="AA2351" s="1" t="str">
        <f aca="false">TRIM(PROPER(F2351))</f>
        <v>Pune</v>
      </c>
      <c r="AB2351" s="1" t="str">
        <f aca="false">TRIM(PROPER(C2351))</f>
        <v>Extramarks</v>
      </c>
      <c r="AC2351" s="1" t="str">
        <f aca="false">IF(O2351=0,"No Discount",IF(O2351&lt;=15,"Low (1-15%)",IF(O2351&lt;=30,"Medium (16-30%)","High (&gt;30%)")))</f>
        <v>Low (1-15%)</v>
      </c>
      <c r="AD2351" s="1" t="str">
        <f aca="false">IF(V2351&lt;0,"Loss Making",IF(V2351&lt;20,"Low Margin","Healthy Margin"))</f>
        <v>Healthy Margin</v>
      </c>
      <c r="AE2351" s="1" t="str">
        <f aca="false">TEXT(DATE(VALUE(RIGHT(B2351,4)),VALUE(MID(B2351,4,2)),VALUE(LEFT(B2351,2))),"MMM-YYYY")</f>
        <v>Jun-2023</v>
      </c>
      <c r="AF2351" s="1" t="n">
        <f aca="false">VALUE(RIGHT(B2351,4))</f>
        <v>2023</v>
      </c>
      <c r="AG2351" s="1" t="str">
        <f aca="false">CHOOSE(ROUNDUP(VALUE(MID(B2351,4,2))/3,0),"Q1","Q2","Q3","Q4")</f>
        <v>Q2</v>
      </c>
    </row>
    <row r="2352" customFormat="false" ht="15" hidden="false" customHeight="true" outlineLevel="0" collapsed="false">
      <c r="A2352" s="1" t="s">
        <v>3224</v>
      </c>
      <c r="B2352" s="1" t="s">
        <v>845</v>
      </c>
      <c r="C2352" s="1" t="s">
        <v>65</v>
      </c>
      <c r="D2352" s="1" t="s">
        <v>53</v>
      </c>
      <c r="E2352" s="1" t="s">
        <v>54</v>
      </c>
      <c r="F2352" s="1" t="s">
        <v>125</v>
      </c>
      <c r="G2352" s="1" t="s">
        <v>108</v>
      </c>
      <c r="H2352" s="1" t="s">
        <v>69</v>
      </c>
      <c r="I2352" s="1" t="s">
        <v>83</v>
      </c>
      <c r="J2352" s="1" t="s">
        <v>70</v>
      </c>
      <c r="K2352" s="1" t="s">
        <v>71</v>
      </c>
      <c r="L2352" s="1" t="s">
        <v>136</v>
      </c>
      <c r="M2352" s="1" t="s">
        <v>62</v>
      </c>
      <c r="N2352" s="1" t="n">
        <v>11999</v>
      </c>
      <c r="O2352" s="1" t="n">
        <v>20</v>
      </c>
      <c r="P2352" s="1" t="n">
        <v>2399.8</v>
      </c>
      <c r="Q2352" s="1" t="n">
        <v>9599.2</v>
      </c>
      <c r="R2352" s="1" t="n">
        <v>1727.86</v>
      </c>
      <c r="S2352" s="1" t="n">
        <v>7871.34</v>
      </c>
      <c r="T2352" s="1" t="n">
        <v>2527.08</v>
      </c>
      <c r="U2352" s="1" t="n">
        <v>5344.26</v>
      </c>
      <c r="V2352" s="1" t="n">
        <v>67.9</v>
      </c>
      <c r="W2352" s="1" t="s">
        <v>40</v>
      </c>
      <c r="Y2352" s="1" t="s">
        <v>40</v>
      </c>
      <c r="Z2352" s="1" t="n">
        <v>1</v>
      </c>
      <c r="AA2352" s="1" t="str">
        <f aca="false">TRIM(PROPER(F2352))</f>
        <v>Chennai</v>
      </c>
      <c r="AB2352" s="1" t="str">
        <f aca="false">TRIM(PROPER(C2352))</f>
        <v>Toppr</v>
      </c>
      <c r="AC2352" s="1" t="str">
        <f aca="false">IF(O2352=0,"No Discount",IF(O2352&lt;=15,"Low (1-15%)",IF(O2352&lt;=30,"Medium (16-30%)","High (&gt;30%)")))</f>
        <v>Medium (16-30%)</v>
      </c>
      <c r="AD2352" s="1" t="str">
        <f aca="false">IF(V2352&lt;0,"Loss Making",IF(V2352&lt;20,"Low Margin","Healthy Margin"))</f>
        <v>Healthy Margin</v>
      </c>
      <c r="AE2352" s="1" t="str">
        <f aca="false">TEXT(DATE(VALUE(RIGHT(B2352,4)),VALUE(MID(B2352,4,2)),VALUE(LEFT(B2352,2))),"MMM-YYYY")</f>
        <v>Mar-2024</v>
      </c>
      <c r="AF2352" s="1" t="n">
        <f aca="false">VALUE(RIGHT(B2352,4))</f>
        <v>2024</v>
      </c>
      <c r="AG2352" s="1" t="str">
        <f aca="false">CHOOSE(ROUNDUP(VALUE(MID(B2352,4,2))/3,0),"Q1","Q2","Q3","Q4")</f>
        <v>Q1</v>
      </c>
    </row>
    <row r="2353" customFormat="false" ht="15" hidden="false" customHeight="true" outlineLevel="0" collapsed="false">
      <c r="A2353" s="1" t="s">
        <v>3225</v>
      </c>
      <c r="B2353" s="1" t="s">
        <v>2902</v>
      </c>
      <c r="C2353" s="1" t="s">
        <v>2598</v>
      </c>
      <c r="D2353" s="1" t="s">
        <v>29</v>
      </c>
      <c r="E2353" s="1" t="s">
        <v>305</v>
      </c>
      <c r="F2353" s="1" t="s">
        <v>156</v>
      </c>
      <c r="G2353" s="1" t="s">
        <v>68</v>
      </c>
      <c r="H2353" s="1" t="s">
        <v>57</v>
      </c>
      <c r="I2353" s="1" t="s">
        <v>83</v>
      </c>
      <c r="J2353" s="1" t="s">
        <v>131</v>
      </c>
      <c r="K2353" s="1" t="s">
        <v>90</v>
      </c>
      <c r="L2353" s="1" t="s">
        <v>85</v>
      </c>
      <c r="M2353" s="1" t="s">
        <v>50</v>
      </c>
      <c r="N2353" s="1" t="n">
        <v>24999</v>
      </c>
      <c r="O2353" s="1" t="n">
        <v>50</v>
      </c>
      <c r="P2353" s="1" t="n">
        <v>12499.5</v>
      </c>
      <c r="Q2353" s="1" t="n">
        <v>12499.5</v>
      </c>
      <c r="R2353" s="1" t="n">
        <v>2249.91</v>
      </c>
      <c r="S2353" s="1" t="n">
        <v>10249.59</v>
      </c>
      <c r="T2353" s="1" t="n">
        <v>5225.19</v>
      </c>
      <c r="U2353" s="1" t="n">
        <v>5024.4</v>
      </c>
      <c r="V2353" s="1" t="n">
        <v>49.02</v>
      </c>
      <c r="W2353" s="1" t="s">
        <v>40</v>
      </c>
      <c r="Y2353" s="1" t="s">
        <v>40</v>
      </c>
      <c r="Z2353" s="1" t="n">
        <v>1</v>
      </c>
      <c r="AA2353" s="1" t="str">
        <f aca="false">TRIM(PROPER(F2353))</f>
        <v>Surat</v>
      </c>
      <c r="AB2353" s="1" t="str">
        <f aca="false">TRIM(PROPER(C2353))</f>
        <v>Simplilearn</v>
      </c>
      <c r="AC2353" s="1" t="str">
        <f aca="false">IF(O2353=0,"No Discount",IF(O2353&lt;=15,"Low (1-15%)",IF(O2353&lt;=30,"Medium (16-30%)","High (&gt;30%)")))</f>
        <v>High (&gt;30%)</v>
      </c>
      <c r="AD2353" s="1" t="str">
        <f aca="false">IF(V2353&lt;0,"Loss Making",IF(V2353&lt;20,"Low Margin","Healthy Margin"))</f>
        <v>Healthy Margin</v>
      </c>
      <c r="AE2353" s="1" t="str">
        <f aca="false">TEXT(DATE(VALUE(RIGHT(B2353,4)),VALUE(MID(B2353,4,2)),VALUE(LEFT(B2353,2))),"MMM-YYYY")</f>
        <v>May-2023</v>
      </c>
      <c r="AF2353" s="1" t="n">
        <f aca="false">VALUE(RIGHT(B2353,4))</f>
        <v>2023</v>
      </c>
      <c r="AG2353" s="1" t="str">
        <f aca="false">CHOOSE(ROUNDUP(VALUE(MID(B2353,4,2))/3,0),"Q1","Q2","Q3","Q4")</f>
        <v>Q2</v>
      </c>
    </row>
    <row r="2354" customFormat="false" ht="15" hidden="false" customHeight="true" outlineLevel="0" collapsed="false">
      <c r="A2354" s="1" t="s">
        <v>3226</v>
      </c>
      <c r="B2354" s="1" t="s">
        <v>366</v>
      </c>
      <c r="C2354" s="1" t="s">
        <v>264</v>
      </c>
      <c r="D2354" s="1" t="s">
        <v>53</v>
      </c>
      <c r="E2354" s="1" t="s">
        <v>116</v>
      </c>
      <c r="F2354" s="1" t="s">
        <v>205</v>
      </c>
      <c r="G2354" s="1" t="s">
        <v>56</v>
      </c>
      <c r="H2354" s="1" t="s">
        <v>69</v>
      </c>
      <c r="I2354" s="1" t="s">
        <v>34</v>
      </c>
      <c r="J2354" s="1" t="s">
        <v>77</v>
      </c>
      <c r="K2354" s="1" t="s">
        <v>71</v>
      </c>
      <c r="L2354" s="1" t="s">
        <v>136</v>
      </c>
      <c r="M2354" s="1" t="s">
        <v>50</v>
      </c>
      <c r="N2354" s="1" t="n">
        <v>9999</v>
      </c>
      <c r="O2354" s="1" t="n">
        <v>40</v>
      </c>
      <c r="P2354" s="1" t="n">
        <v>3999.6</v>
      </c>
      <c r="Q2354" s="1" t="n">
        <v>5999.4</v>
      </c>
      <c r="R2354" s="1" t="n">
        <v>1079.89</v>
      </c>
      <c r="S2354" s="1" t="n">
        <v>4919.51</v>
      </c>
      <c r="T2354" s="1" t="n">
        <v>2290</v>
      </c>
      <c r="U2354" s="1" t="n">
        <v>2629.51</v>
      </c>
      <c r="V2354" s="1" t="n">
        <v>53.45</v>
      </c>
      <c r="W2354" s="1" t="s">
        <v>39</v>
      </c>
      <c r="Y2354" s="1" t="s">
        <v>40</v>
      </c>
      <c r="Z2354" s="1" t="n">
        <v>1</v>
      </c>
      <c r="AA2354" s="1" t="str">
        <f aca="false">TRIM(PROPER(F2354))</f>
        <v>New Delhi</v>
      </c>
      <c r="AB2354" s="1" t="str">
        <f aca="false">TRIM(PROPER(C2354))</f>
        <v>Unacademy</v>
      </c>
      <c r="AC2354" s="1" t="str">
        <f aca="false">IF(O2354=0,"No Discount",IF(O2354&lt;=15,"Low (1-15%)",IF(O2354&lt;=30,"Medium (16-30%)","High (&gt;30%)")))</f>
        <v>High (&gt;30%)</v>
      </c>
      <c r="AD2354" s="1" t="str">
        <f aca="false">IF(V2354&lt;0,"Loss Making",IF(V2354&lt;20,"Low Margin","Healthy Margin"))</f>
        <v>Healthy Margin</v>
      </c>
      <c r="AE2354" s="1" t="str">
        <f aca="false">TEXT(DATE(VALUE(RIGHT(B2354,4)),VALUE(MID(B2354,4,2)),VALUE(LEFT(B2354,2))),"MMM-YYYY")</f>
        <v>Apr-2023</v>
      </c>
      <c r="AF2354" s="1" t="n">
        <f aca="false">VALUE(RIGHT(B2354,4))</f>
        <v>2023</v>
      </c>
      <c r="AG2354" s="1" t="str">
        <f aca="false">CHOOSE(ROUNDUP(VALUE(MID(B2354,4,2))/3,0),"Q1","Q2","Q3","Q4")</f>
        <v>Q2</v>
      </c>
    </row>
    <row r="2355" customFormat="false" ht="15" hidden="false" customHeight="true" outlineLevel="0" collapsed="false">
      <c r="A2355" s="1" t="s">
        <v>3227</v>
      </c>
      <c r="B2355" s="1" t="s">
        <v>284</v>
      </c>
      <c r="C2355" s="1" t="s">
        <v>178</v>
      </c>
      <c r="D2355" s="1" t="s">
        <v>53</v>
      </c>
      <c r="E2355" s="1" t="s">
        <v>216</v>
      </c>
      <c r="F2355" s="1" t="s">
        <v>82</v>
      </c>
      <c r="G2355" s="1" t="s">
        <v>56</v>
      </c>
      <c r="H2355" s="1" t="s">
        <v>69</v>
      </c>
      <c r="I2355" s="1" t="s">
        <v>58</v>
      </c>
      <c r="J2355" s="1" t="s">
        <v>77</v>
      </c>
      <c r="K2355" s="1" t="s">
        <v>90</v>
      </c>
      <c r="L2355" s="1" t="s">
        <v>85</v>
      </c>
      <c r="M2355" s="1" t="s">
        <v>50</v>
      </c>
      <c r="N2355" s="1" t="n">
        <v>7499</v>
      </c>
      <c r="O2355" s="1" t="n">
        <v>0</v>
      </c>
      <c r="P2355" s="1" t="n">
        <v>0</v>
      </c>
      <c r="Q2355" s="1" t="n">
        <v>7499</v>
      </c>
      <c r="R2355" s="1" t="n">
        <v>1349.82</v>
      </c>
      <c r="S2355" s="1" t="n">
        <v>6149.18</v>
      </c>
      <c r="T2355" s="1" t="n">
        <v>2676.76</v>
      </c>
      <c r="U2355" s="1" t="n">
        <v>3472.42</v>
      </c>
      <c r="V2355" s="1" t="n">
        <v>56.47</v>
      </c>
      <c r="W2355" s="1" t="s">
        <v>39</v>
      </c>
      <c r="X2355" s="1" t="n">
        <v>3.2</v>
      </c>
      <c r="Y2355" s="1" t="s">
        <v>40</v>
      </c>
      <c r="Z2355" s="1" t="n">
        <v>0</v>
      </c>
      <c r="AA2355" s="1" t="str">
        <f aca="false">TRIM(PROPER(F2355))</f>
        <v>Gurugram</v>
      </c>
      <c r="AB2355" s="1" t="str">
        <f aca="false">TRIM(PROPER(C2355))</f>
        <v>Leverage Edu</v>
      </c>
      <c r="AC2355" s="1" t="str">
        <f aca="false">IF(O2355=0,"No Discount",IF(O2355&lt;=15,"Low (1-15%)",IF(O2355&lt;=30,"Medium (16-30%)","High (&gt;30%)")))</f>
        <v>No Discount</v>
      </c>
      <c r="AD2355" s="1" t="str">
        <f aca="false">IF(V2355&lt;0,"Loss Making",IF(V2355&lt;20,"Low Margin","Healthy Margin"))</f>
        <v>Healthy Margin</v>
      </c>
      <c r="AE2355" s="1" t="str">
        <f aca="false">TEXT(DATE(VALUE(RIGHT(B2355,4)),VALUE(MID(B2355,4,2)),VALUE(LEFT(B2355,2))),"MMM-YYYY")</f>
        <v>Oct-2024</v>
      </c>
      <c r="AF2355" s="1" t="n">
        <f aca="false">VALUE(RIGHT(B2355,4))</f>
        <v>2024</v>
      </c>
      <c r="AG2355" s="1" t="str">
        <f aca="false">CHOOSE(ROUNDUP(VALUE(MID(B2355,4,2))/3,0),"Q1","Q2","Q3","Q4")</f>
        <v>Q4</v>
      </c>
    </row>
    <row r="2356" customFormat="false" ht="15" hidden="false" customHeight="true" outlineLevel="0" collapsed="false">
      <c r="A2356" s="1" t="s">
        <v>3228</v>
      </c>
      <c r="B2356" s="1" t="s">
        <v>1048</v>
      </c>
      <c r="C2356" s="1" t="s">
        <v>128</v>
      </c>
      <c r="D2356" s="1" t="s">
        <v>53</v>
      </c>
      <c r="E2356" s="1" t="s">
        <v>54</v>
      </c>
      <c r="F2356" s="1" t="s">
        <v>130</v>
      </c>
      <c r="G2356" s="1" t="s">
        <v>47</v>
      </c>
      <c r="H2356" s="1" t="s">
        <v>69</v>
      </c>
      <c r="I2356" s="1" t="s">
        <v>34</v>
      </c>
      <c r="J2356" s="1" t="s">
        <v>35</v>
      </c>
      <c r="K2356" s="1" t="s">
        <v>112</v>
      </c>
      <c r="L2356" s="1" t="s">
        <v>113</v>
      </c>
      <c r="M2356" s="1" t="s">
        <v>62</v>
      </c>
      <c r="N2356" s="1" t="n">
        <v>11999</v>
      </c>
      <c r="O2356" s="1" t="n">
        <v>15</v>
      </c>
      <c r="P2356" s="1" t="n">
        <v>1799.85</v>
      </c>
      <c r="Q2356" s="1" t="n">
        <v>10199.15</v>
      </c>
      <c r="R2356" s="1" t="n">
        <v>1835.85</v>
      </c>
      <c r="S2356" s="1" t="n">
        <v>8363.3</v>
      </c>
      <c r="T2356" s="1" t="n">
        <v>3608.61</v>
      </c>
      <c r="U2356" s="1" t="n">
        <v>4754.69</v>
      </c>
      <c r="V2356" s="1" t="n">
        <v>56.85</v>
      </c>
      <c r="W2356" s="1" t="s">
        <v>39</v>
      </c>
      <c r="X2356" s="1" t="n">
        <v>3.4</v>
      </c>
      <c r="Y2356" s="1" t="s">
        <v>40</v>
      </c>
      <c r="Z2356" s="1" t="n">
        <v>0</v>
      </c>
      <c r="AA2356" s="1" t="str">
        <f aca="false">TRIM(PROPER(F2356))</f>
        <v>Bengaluru</v>
      </c>
      <c r="AB2356" s="1" t="str">
        <f aca="false">TRIM(PROPER(C2356))</f>
        <v>Great Learning</v>
      </c>
      <c r="AC2356" s="1" t="str">
        <f aca="false">IF(O2356=0,"No Discount",IF(O2356&lt;=15,"Low (1-15%)",IF(O2356&lt;=30,"Medium (16-30%)","High (&gt;30%)")))</f>
        <v>Low (1-15%)</v>
      </c>
      <c r="AD2356" s="1" t="str">
        <f aca="false">IF(V2356&lt;0,"Loss Making",IF(V2356&lt;20,"Low Margin","Healthy Margin"))</f>
        <v>Healthy Margin</v>
      </c>
      <c r="AE2356" s="1" t="str">
        <f aca="false">TEXT(DATE(VALUE(RIGHT(B2356,4)),VALUE(MID(B2356,4,2)),VALUE(LEFT(B2356,2))),"MMM-YYYY")</f>
        <v>Jan-2023</v>
      </c>
      <c r="AF2356" s="1" t="n">
        <f aca="false">VALUE(RIGHT(B2356,4))</f>
        <v>2023</v>
      </c>
      <c r="AG2356" s="1" t="str">
        <f aca="false">CHOOSE(ROUNDUP(VALUE(MID(B2356,4,2))/3,0),"Q1","Q2","Q3","Q4")</f>
        <v>Q1</v>
      </c>
    </row>
    <row r="2357" customFormat="false" ht="15" hidden="false" customHeight="true" outlineLevel="0" collapsed="false">
      <c r="A2357" s="1" t="s">
        <v>3229</v>
      </c>
      <c r="B2357" s="1" t="s">
        <v>2449</v>
      </c>
      <c r="C2357" s="1" t="s">
        <v>139</v>
      </c>
      <c r="D2357" s="1" t="s">
        <v>168</v>
      </c>
      <c r="E2357" s="1" t="s">
        <v>328</v>
      </c>
      <c r="F2357" s="1" t="s">
        <v>107</v>
      </c>
      <c r="G2357" s="1" t="s">
        <v>108</v>
      </c>
      <c r="H2357" s="1" t="s">
        <v>33</v>
      </c>
      <c r="I2357" s="1" t="s">
        <v>34</v>
      </c>
      <c r="J2357" s="1" t="s">
        <v>131</v>
      </c>
      <c r="K2357" s="1" t="s">
        <v>84</v>
      </c>
      <c r="L2357" s="1" t="s">
        <v>85</v>
      </c>
      <c r="M2357" s="1" t="s">
        <v>50</v>
      </c>
      <c r="N2357" s="1" t="n">
        <v>8999</v>
      </c>
      <c r="O2357" s="1" t="n">
        <v>25</v>
      </c>
      <c r="P2357" s="1" t="n">
        <v>2249.75</v>
      </c>
      <c r="Q2357" s="1" t="n">
        <v>6749.25</v>
      </c>
      <c r="R2357" s="1" t="n">
        <v>1214.87</v>
      </c>
      <c r="S2357" s="1" t="n">
        <v>5534.38</v>
      </c>
      <c r="T2357" s="1" t="n">
        <v>2788.22</v>
      </c>
      <c r="U2357" s="1" t="n">
        <v>2746.16</v>
      </c>
      <c r="V2357" s="1" t="n">
        <v>49.62</v>
      </c>
      <c r="W2357" s="1" t="s">
        <v>39</v>
      </c>
      <c r="X2357" s="1" t="n">
        <v>4.7</v>
      </c>
      <c r="Y2357" s="1" t="s">
        <v>40</v>
      </c>
      <c r="Z2357" s="1" t="n">
        <v>1</v>
      </c>
      <c r="AA2357" s="1" t="str">
        <f aca="false">TRIM(PROPER(F2357))</f>
        <v>Madurai</v>
      </c>
      <c r="AB2357" s="1" t="str">
        <f aca="false">TRIM(PROPER(C2357))</f>
        <v>Extramarks</v>
      </c>
      <c r="AC2357" s="1" t="str">
        <f aca="false">IF(O2357=0,"No Discount",IF(O2357&lt;=15,"Low (1-15%)",IF(O2357&lt;=30,"Medium (16-30%)","High (&gt;30%)")))</f>
        <v>Medium (16-30%)</v>
      </c>
      <c r="AD2357" s="1" t="str">
        <f aca="false">IF(V2357&lt;0,"Loss Making",IF(V2357&lt;20,"Low Margin","Healthy Margin"))</f>
        <v>Healthy Margin</v>
      </c>
      <c r="AE2357" s="1" t="str">
        <f aca="false">TEXT(DATE(VALUE(RIGHT(B2357,4)),VALUE(MID(B2357,4,2)),VALUE(LEFT(B2357,2))),"MMM-YYYY")</f>
        <v>Apr-2024</v>
      </c>
      <c r="AF2357" s="1" t="n">
        <f aca="false">VALUE(RIGHT(B2357,4))</f>
        <v>2024</v>
      </c>
      <c r="AG2357" s="1" t="str">
        <f aca="false">CHOOSE(ROUNDUP(VALUE(MID(B2357,4,2))/3,0),"Q1","Q2","Q3","Q4")</f>
        <v>Q2</v>
      </c>
    </row>
    <row r="2358" customFormat="false" ht="15" hidden="false" customHeight="true" outlineLevel="0" collapsed="false">
      <c r="A2358" s="1" t="s">
        <v>3230</v>
      </c>
      <c r="B2358" s="1" t="s">
        <v>2422</v>
      </c>
      <c r="C2358" s="1" t="s">
        <v>139</v>
      </c>
      <c r="D2358" s="1" t="s">
        <v>29</v>
      </c>
      <c r="E2358" s="1" t="s">
        <v>305</v>
      </c>
      <c r="F2358" s="1" t="s">
        <v>125</v>
      </c>
      <c r="G2358" s="1" t="s">
        <v>108</v>
      </c>
      <c r="H2358" s="1" t="s">
        <v>69</v>
      </c>
      <c r="I2358" s="1" t="s">
        <v>58</v>
      </c>
      <c r="J2358" s="1" t="s">
        <v>131</v>
      </c>
      <c r="K2358" s="1" t="s">
        <v>60</v>
      </c>
      <c r="L2358" s="1" t="s">
        <v>49</v>
      </c>
      <c r="M2358" s="1" t="s">
        <v>38</v>
      </c>
      <c r="N2358" s="1" t="n">
        <v>24999</v>
      </c>
      <c r="O2358" s="1" t="n">
        <v>0</v>
      </c>
      <c r="P2358" s="1" t="n">
        <v>0</v>
      </c>
      <c r="Q2358" s="1" t="n">
        <v>24999</v>
      </c>
      <c r="R2358" s="1" t="n">
        <v>4499.82</v>
      </c>
      <c r="S2358" s="1" t="n">
        <v>20499.18</v>
      </c>
      <c r="T2358" s="1" t="n">
        <v>8434.72</v>
      </c>
      <c r="U2358" s="1" t="n">
        <v>12064.46</v>
      </c>
      <c r="V2358" s="1" t="n">
        <v>58.85</v>
      </c>
      <c r="W2358" s="1" t="s">
        <v>40</v>
      </c>
      <c r="Y2358" s="1" t="s">
        <v>40</v>
      </c>
      <c r="Z2358" s="1" t="n">
        <v>0</v>
      </c>
      <c r="AA2358" s="1" t="str">
        <f aca="false">TRIM(PROPER(F2358))</f>
        <v>Chennai</v>
      </c>
      <c r="AB2358" s="1" t="str">
        <f aca="false">TRIM(PROPER(C2358))</f>
        <v>Extramarks</v>
      </c>
      <c r="AC2358" s="1" t="str">
        <f aca="false">IF(O2358=0,"No Discount",IF(O2358&lt;=15,"Low (1-15%)",IF(O2358&lt;=30,"Medium (16-30%)","High (&gt;30%)")))</f>
        <v>No Discount</v>
      </c>
      <c r="AD2358" s="1" t="str">
        <f aca="false">IF(V2358&lt;0,"Loss Making",IF(V2358&lt;20,"Low Margin","Healthy Margin"))</f>
        <v>Healthy Margin</v>
      </c>
      <c r="AE2358" s="1" t="str">
        <f aca="false">TEXT(DATE(VALUE(RIGHT(B2358,4)),VALUE(MID(B2358,4,2)),VALUE(LEFT(B2358,2))),"MMM-YYYY")</f>
        <v>Mar-2023</v>
      </c>
      <c r="AF2358" s="1" t="n">
        <f aca="false">VALUE(RIGHT(B2358,4))</f>
        <v>2023</v>
      </c>
      <c r="AG2358" s="1" t="str">
        <f aca="false">CHOOSE(ROUNDUP(VALUE(MID(B2358,4,2))/3,0),"Q1","Q2","Q3","Q4")</f>
        <v>Q1</v>
      </c>
    </row>
    <row r="2359" customFormat="false" ht="15" hidden="false" customHeight="true" outlineLevel="0" collapsed="false">
      <c r="A2359" s="1" t="s">
        <v>3231</v>
      </c>
      <c r="B2359" s="1" t="s">
        <v>497</v>
      </c>
      <c r="C2359" s="1" t="s">
        <v>780</v>
      </c>
      <c r="D2359" s="1" t="s">
        <v>44</v>
      </c>
      <c r="E2359" s="1" t="s">
        <v>45</v>
      </c>
      <c r="F2359" s="1" t="s">
        <v>211</v>
      </c>
      <c r="G2359" s="1" t="s">
        <v>56</v>
      </c>
      <c r="H2359" s="1" t="s">
        <v>69</v>
      </c>
      <c r="I2359" s="1" t="s">
        <v>34</v>
      </c>
      <c r="J2359" s="1" t="s">
        <v>77</v>
      </c>
      <c r="K2359" s="1" t="s">
        <v>48</v>
      </c>
      <c r="L2359" s="1" t="s">
        <v>136</v>
      </c>
      <c r="M2359" s="1" t="s">
        <v>62</v>
      </c>
      <c r="N2359" s="1" t="n">
        <v>11999</v>
      </c>
      <c r="O2359" s="1" t="n">
        <v>40</v>
      </c>
      <c r="P2359" s="1" t="n">
        <v>4799.6</v>
      </c>
      <c r="Q2359" s="1" t="n">
        <v>7199.4</v>
      </c>
      <c r="R2359" s="1" t="n">
        <v>1295.89</v>
      </c>
      <c r="S2359" s="1" t="n">
        <v>5903.51</v>
      </c>
      <c r="T2359" s="1" t="n">
        <v>3197.69</v>
      </c>
      <c r="U2359" s="1" t="n">
        <v>2705.82</v>
      </c>
      <c r="V2359" s="1" t="n">
        <v>45.83</v>
      </c>
      <c r="W2359" s="1" t="s">
        <v>40</v>
      </c>
      <c r="Y2359" s="1" t="s">
        <v>40</v>
      </c>
      <c r="Z2359" s="1" t="n">
        <v>0</v>
      </c>
      <c r="AA2359" s="1" t="str">
        <f aca="false">TRIM(PROPER(F2359))</f>
        <v>Noida</v>
      </c>
      <c r="AB2359" s="1" t="str">
        <f aca="false">TRIM(PROPER(C2359))</f>
        <v>Extramarks</v>
      </c>
      <c r="AC2359" s="1" t="str">
        <f aca="false">IF(O2359=0,"No Discount",IF(O2359&lt;=15,"Low (1-15%)",IF(O2359&lt;=30,"Medium (16-30%)","High (&gt;30%)")))</f>
        <v>High (&gt;30%)</v>
      </c>
      <c r="AD2359" s="1" t="str">
        <f aca="false">IF(V2359&lt;0,"Loss Making",IF(V2359&lt;20,"Low Margin","Healthy Margin"))</f>
        <v>Healthy Margin</v>
      </c>
      <c r="AE2359" s="1" t="str">
        <f aca="false">TEXT(DATE(VALUE(RIGHT(B2359,4)),VALUE(MID(B2359,4,2)),VALUE(LEFT(B2359,2))),"MMM-YYYY")</f>
        <v>Apr-2023</v>
      </c>
      <c r="AF2359" s="1" t="n">
        <f aca="false">VALUE(RIGHT(B2359,4))</f>
        <v>2023</v>
      </c>
      <c r="AG2359" s="1" t="str">
        <f aca="false">CHOOSE(ROUNDUP(VALUE(MID(B2359,4,2))/3,0),"Q1","Q2","Q3","Q4")</f>
        <v>Q2</v>
      </c>
    </row>
    <row r="2360" customFormat="false" ht="15" hidden="false" customHeight="true" outlineLevel="0" collapsed="false">
      <c r="A2360" s="1" t="s">
        <v>3232</v>
      </c>
      <c r="B2360" s="1" t="s">
        <v>779</v>
      </c>
      <c r="C2360" s="1" t="s">
        <v>43</v>
      </c>
      <c r="D2360" s="1" t="s">
        <v>80</v>
      </c>
      <c r="E2360" s="1" t="s">
        <v>175</v>
      </c>
      <c r="F2360" s="1" t="s">
        <v>55</v>
      </c>
      <c r="G2360" s="1" t="s">
        <v>56</v>
      </c>
      <c r="H2360" s="1" t="s">
        <v>57</v>
      </c>
      <c r="I2360" s="1" t="s">
        <v>83</v>
      </c>
      <c r="J2360" s="1" t="s">
        <v>70</v>
      </c>
      <c r="K2360" s="1" t="s">
        <v>60</v>
      </c>
      <c r="L2360" s="1" t="s">
        <v>136</v>
      </c>
      <c r="M2360" s="1" t="s">
        <v>38</v>
      </c>
      <c r="N2360" s="1" t="n">
        <v>19999</v>
      </c>
      <c r="O2360" s="1" t="n">
        <v>15</v>
      </c>
      <c r="P2360" s="1" t="n">
        <v>2999.85</v>
      </c>
      <c r="Q2360" s="1" t="n">
        <v>16999.15</v>
      </c>
      <c r="R2360" s="1" t="n">
        <v>3059.85</v>
      </c>
      <c r="S2360" s="1" t="n">
        <v>13939.3</v>
      </c>
      <c r="T2360" s="1" t="n">
        <v>5667.97</v>
      </c>
      <c r="U2360" s="1" t="n">
        <v>8271.33</v>
      </c>
      <c r="V2360" s="1" t="n">
        <v>59.34</v>
      </c>
      <c r="W2360" s="1" t="s">
        <v>39</v>
      </c>
      <c r="X2360" s="1" t="n">
        <v>3.3</v>
      </c>
      <c r="Y2360" s="1" t="s">
        <v>40</v>
      </c>
      <c r="Z2360" s="1" t="n">
        <v>0</v>
      </c>
      <c r="AA2360" s="1" t="str">
        <f aca="false">TRIM(PROPER(F2360))</f>
        <v>Ghaziabad</v>
      </c>
      <c r="AB2360" s="1" t="str">
        <f aca="false">TRIM(PROPER(C2360))</f>
        <v>Meritnation</v>
      </c>
      <c r="AC2360" s="1" t="str">
        <f aca="false">IF(O2360=0,"No Discount",IF(O2360&lt;=15,"Low (1-15%)",IF(O2360&lt;=30,"Medium (16-30%)","High (&gt;30%)")))</f>
        <v>Low (1-15%)</v>
      </c>
      <c r="AD2360" s="1" t="str">
        <f aca="false">IF(V2360&lt;0,"Loss Making",IF(V2360&lt;20,"Low Margin","Healthy Margin"))</f>
        <v>Healthy Margin</v>
      </c>
      <c r="AE2360" s="1" t="str">
        <f aca="false">TEXT(DATE(VALUE(RIGHT(B2360,4)),VALUE(MID(B2360,4,2)),VALUE(LEFT(B2360,2))),"MMM-YYYY")</f>
        <v>Dec-2024</v>
      </c>
      <c r="AF2360" s="1" t="n">
        <f aca="false">VALUE(RIGHT(B2360,4))</f>
        <v>2024</v>
      </c>
      <c r="AG2360" s="1" t="str">
        <f aca="false">CHOOSE(ROUNDUP(VALUE(MID(B2360,4,2))/3,0),"Q1","Q2","Q3","Q4")</f>
        <v>Q4</v>
      </c>
    </row>
    <row r="2361" customFormat="false" ht="15" hidden="false" customHeight="true" outlineLevel="0" collapsed="false">
      <c r="A2361" s="1" t="s">
        <v>3233</v>
      </c>
      <c r="B2361" s="1" t="s">
        <v>722</v>
      </c>
      <c r="C2361" s="1" t="s">
        <v>100</v>
      </c>
      <c r="D2361" s="1" t="s">
        <v>53</v>
      </c>
      <c r="E2361" s="1" t="s">
        <v>116</v>
      </c>
      <c r="F2361" s="1" t="s">
        <v>107</v>
      </c>
      <c r="G2361" s="1" t="s">
        <v>108</v>
      </c>
      <c r="H2361" s="1" t="s">
        <v>33</v>
      </c>
      <c r="I2361" s="1" t="s">
        <v>58</v>
      </c>
      <c r="J2361" s="1" t="s">
        <v>77</v>
      </c>
      <c r="K2361" s="1" t="s">
        <v>60</v>
      </c>
      <c r="L2361" s="1" t="s">
        <v>61</v>
      </c>
      <c r="M2361" s="1" t="s">
        <v>38</v>
      </c>
      <c r="N2361" s="1" t="n">
        <v>9999</v>
      </c>
      <c r="O2361" s="1" t="n">
        <v>0</v>
      </c>
      <c r="P2361" s="1" t="n">
        <v>0</v>
      </c>
      <c r="Q2361" s="1" t="n">
        <v>9999</v>
      </c>
      <c r="R2361" s="1" t="n">
        <v>1799.82</v>
      </c>
      <c r="S2361" s="1" t="n">
        <v>8199.18</v>
      </c>
      <c r="T2361" s="1" t="n">
        <v>4773.39</v>
      </c>
      <c r="U2361" s="1" t="n">
        <v>3425.79</v>
      </c>
      <c r="V2361" s="1" t="n">
        <v>41.78</v>
      </c>
      <c r="W2361" s="1" t="s">
        <v>39</v>
      </c>
      <c r="Y2361" s="1" t="s">
        <v>40</v>
      </c>
      <c r="Z2361" s="1" t="n">
        <v>1</v>
      </c>
      <c r="AA2361" s="1" t="str">
        <f aca="false">TRIM(PROPER(F2361))</f>
        <v>Madurai</v>
      </c>
      <c r="AB2361" s="1" t="str">
        <f aca="false">TRIM(PROPER(C2361))</f>
        <v>Physics Wallah</v>
      </c>
      <c r="AC2361" s="1" t="str">
        <f aca="false">IF(O2361=0,"No Discount",IF(O2361&lt;=15,"Low (1-15%)",IF(O2361&lt;=30,"Medium (16-30%)","High (&gt;30%)")))</f>
        <v>No Discount</v>
      </c>
      <c r="AD2361" s="1" t="str">
        <f aca="false">IF(V2361&lt;0,"Loss Making",IF(V2361&lt;20,"Low Margin","Healthy Margin"))</f>
        <v>Healthy Margin</v>
      </c>
      <c r="AE2361" s="1" t="str">
        <f aca="false">TEXT(DATE(VALUE(RIGHT(B2361,4)),VALUE(MID(B2361,4,2)),VALUE(LEFT(B2361,2))),"MMM-YYYY")</f>
        <v>Oct-2023</v>
      </c>
      <c r="AF2361" s="1" t="n">
        <f aca="false">VALUE(RIGHT(B2361,4))</f>
        <v>2023</v>
      </c>
      <c r="AG2361" s="1" t="str">
        <f aca="false">CHOOSE(ROUNDUP(VALUE(MID(B2361,4,2))/3,0),"Q1","Q2","Q3","Q4")</f>
        <v>Q4</v>
      </c>
    </row>
    <row r="2362" customFormat="false" ht="15" hidden="false" customHeight="true" outlineLevel="0" collapsed="false">
      <c r="A2362" s="1" t="s">
        <v>3234</v>
      </c>
      <c r="B2362" s="1" t="s">
        <v>430</v>
      </c>
      <c r="C2362" s="1" t="s">
        <v>74</v>
      </c>
      <c r="D2362" s="1" t="s">
        <v>94</v>
      </c>
      <c r="E2362" s="1" t="s">
        <v>101</v>
      </c>
      <c r="F2362" s="1" t="s">
        <v>55</v>
      </c>
      <c r="G2362" s="1" t="s">
        <v>56</v>
      </c>
      <c r="H2362" s="1" t="s">
        <v>57</v>
      </c>
      <c r="I2362" s="1" t="s">
        <v>58</v>
      </c>
      <c r="J2362" s="1" t="s">
        <v>131</v>
      </c>
      <c r="K2362" s="1" t="s">
        <v>112</v>
      </c>
      <c r="L2362" s="1" t="s">
        <v>61</v>
      </c>
      <c r="M2362" s="1" t="s">
        <v>50</v>
      </c>
      <c r="N2362" s="1" t="n">
        <v>14999</v>
      </c>
      <c r="O2362" s="1" t="n">
        <v>20</v>
      </c>
      <c r="P2362" s="1" t="n">
        <v>2999.8</v>
      </c>
      <c r="Q2362" s="1" t="n">
        <v>11999.2</v>
      </c>
      <c r="R2362" s="1" t="n">
        <v>2159.86</v>
      </c>
      <c r="S2362" s="1" t="n">
        <v>9839.34</v>
      </c>
      <c r="T2362" s="1" t="n">
        <v>3918.54</v>
      </c>
      <c r="U2362" s="1" t="n">
        <v>5920.8</v>
      </c>
      <c r="V2362" s="1" t="n">
        <v>60.17</v>
      </c>
      <c r="W2362" s="1" t="s">
        <v>40</v>
      </c>
      <c r="Y2362" s="1" t="s">
        <v>40</v>
      </c>
      <c r="Z2362" s="1" t="n">
        <v>0</v>
      </c>
      <c r="AA2362" s="1" t="str">
        <f aca="false">TRIM(PROPER(F2362))</f>
        <v>Ghaziabad</v>
      </c>
      <c r="AB2362" s="1" t="str">
        <f aca="false">TRIM(PROPER(C2362))</f>
        <v>Vedantu</v>
      </c>
      <c r="AC2362" s="1" t="str">
        <f aca="false">IF(O2362=0,"No Discount",IF(O2362&lt;=15,"Low (1-15%)",IF(O2362&lt;=30,"Medium (16-30%)","High (&gt;30%)")))</f>
        <v>Medium (16-30%)</v>
      </c>
      <c r="AD2362" s="1" t="str">
        <f aca="false">IF(V2362&lt;0,"Loss Making",IF(V2362&lt;20,"Low Margin","Healthy Margin"))</f>
        <v>Healthy Margin</v>
      </c>
      <c r="AE2362" s="1" t="str">
        <f aca="false">TEXT(DATE(VALUE(RIGHT(B2362,4)),VALUE(MID(B2362,4,2)),VALUE(LEFT(B2362,2))),"MMM-YYYY")</f>
        <v>Nov-2023</v>
      </c>
      <c r="AF2362" s="1" t="n">
        <f aca="false">VALUE(RIGHT(B2362,4))</f>
        <v>2023</v>
      </c>
      <c r="AG2362" s="1" t="str">
        <f aca="false">CHOOSE(ROUNDUP(VALUE(MID(B2362,4,2))/3,0),"Q1","Q2","Q3","Q4")</f>
        <v>Q4</v>
      </c>
    </row>
    <row r="2363" customFormat="false" ht="15" hidden="false" customHeight="true" outlineLevel="0" collapsed="false">
      <c r="A2363" s="1" t="s">
        <v>3235</v>
      </c>
      <c r="B2363" s="1" t="s">
        <v>166</v>
      </c>
      <c r="C2363" s="1" t="s">
        <v>88</v>
      </c>
      <c r="D2363" s="1" t="s">
        <v>123</v>
      </c>
      <c r="E2363" s="1" t="s">
        <v>147</v>
      </c>
      <c r="F2363" s="1" t="s">
        <v>107</v>
      </c>
      <c r="G2363" s="1" t="s">
        <v>108</v>
      </c>
      <c r="H2363" s="1" t="s">
        <v>33</v>
      </c>
      <c r="I2363" s="1" t="s">
        <v>58</v>
      </c>
      <c r="J2363" s="1" t="s">
        <v>59</v>
      </c>
      <c r="K2363" s="1" t="s">
        <v>104</v>
      </c>
      <c r="L2363" s="1" t="s">
        <v>49</v>
      </c>
      <c r="M2363" s="1" t="s">
        <v>50</v>
      </c>
      <c r="N2363" s="1" t="n">
        <v>6999</v>
      </c>
      <c r="O2363" s="1" t="n">
        <v>10</v>
      </c>
      <c r="P2363" s="1" t="n">
        <v>699.9</v>
      </c>
      <c r="Q2363" s="1" t="n">
        <v>6299.1</v>
      </c>
      <c r="R2363" s="1" t="n">
        <v>1133.84</v>
      </c>
      <c r="S2363" s="1" t="n">
        <v>5165.26</v>
      </c>
      <c r="T2363" s="1" t="n">
        <v>2637.04</v>
      </c>
      <c r="U2363" s="1" t="n">
        <v>2528.22</v>
      </c>
      <c r="V2363" s="1" t="n">
        <v>48.95</v>
      </c>
      <c r="W2363" s="1" t="s">
        <v>40</v>
      </c>
      <c r="Y2363" s="1" t="s">
        <v>40</v>
      </c>
      <c r="Z2363" s="1" t="n">
        <v>0</v>
      </c>
      <c r="AA2363" s="1" t="str">
        <f aca="false">TRIM(PROPER(F2363))</f>
        <v>Madurai</v>
      </c>
      <c r="AB2363" s="1" t="str">
        <f aca="false">TRIM(PROPER(C2363))</f>
        <v>Byju'S</v>
      </c>
      <c r="AC2363" s="1" t="str">
        <f aca="false">IF(O2363=0,"No Discount",IF(O2363&lt;=15,"Low (1-15%)",IF(O2363&lt;=30,"Medium (16-30%)","High (&gt;30%)")))</f>
        <v>Low (1-15%)</v>
      </c>
      <c r="AD2363" s="1" t="str">
        <f aca="false">IF(V2363&lt;0,"Loss Making",IF(V2363&lt;20,"Low Margin","Healthy Margin"))</f>
        <v>Healthy Margin</v>
      </c>
      <c r="AE2363" s="1" t="str">
        <f aca="false">TEXT(DATE(VALUE(RIGHT(B2363,4)),VALUE(MID(B2363,4,2)),VALUE(LEFT(B2363,2))),"MMM-YYYY")</f>
        <v>May-2024</v>
      </c>
      <c r="AF2363" s="1" t="n">
        <f aca="false">VALUE(RIGHT(B2363,4))</f>
        <v>2024</v>
      </c>
      <c r="AG2363" s="1" t="str">
        <f aca="false">CHOOSE(ROUNDUP(VALUE(MID(B2363,4,2))/3,0),"Q1","Q2","Q3","Q4")</f>
        <v>Q2</v>
      </c>
    </row>
    <row r="2364" customFormat="false" ht="15" hidden="false" customHeight="true" outlineLevel="0" collapsed="false">
      <c r="A2364" s="1" t="s">
        <v>3236</v>
      </c>
      <c r="B2364" s="1" t="s">
        <v>1212</v>
      </c>
      <c r="C2364" s="1" t="s">
        <v>167</v>
      </c>
      <c r="D2364" s="1" t="s">
        <v>168</v>
      </c>
      <c r="E2364" s="1" t="s">
        <v>197</v>
      </c>
      <c r="F2364" s="1" t="s">
        <v>96</v>
      </c>
      <c r="G2364" s="1" t="s">
        <v>97</v>
      </c>
      <c r="H2364" s="1" t="s">
        <v>69</v>
      </c>
      <c r="I2364" s="1" t="s">
        <v>34</v>
      </c>
      <c r="J2364" s="1" t="s">
        <v>131</v>
      </c>
      <c r="K2364" s="1" t="s">
        <v>90</v>
      </c>
      <c r="L2364" s="1" t="s">
        <v>113</v>
      </c>
      <c r="M2364" s="1" t="s">
        <v>62</v>
      </c>
      <c r="N2364" s="1" t="n">
        <v>8499</v>
      </c>
      <c r="O2364" s="1" t="n">
        <v>10</v>
      </c>
      <c r="P2364" s="1" t="n">
        <v>849.9</v>
      </c>
      <c r="Q2364" s="1" t="n">
        <v>7649.1</v>
      </c>
      <c r="R2364" s="1" t="n">
        <v>1376.84</v>
      </c>
      <c r="S2364" s="1" t="n">
        <v>6272.26</v>
      </c>
      <c r="T2364" s="1" t="n">
        <v>2649.36</v>
      </c>
      <c r="U2364" s="1" t="n">
        <v>3622.9</v>
      </c>
      <c r="V2364" s="1" t="n">
        <v>57.76</v>
      </c>
      <c r="W2364" s="1" t="s">
        <v>39</v>
      </c>
      <c r="X2364" s="1" t="n">
        <v>3.7</v>
      </c>
      <c r="Y2364" s="1" t="s">
        <v>40</v>
      </c>
      <c r="Z2364" s="1" t="n">
        <v>0</v>
      </c>
      <c r="AA2364" s="1" t="str">
        <f aca="false">TRIM(PROPER(F2364))</f>
        <v>Pune</v>
      </c>
      <c r="AB2364" s="1" t="str">
        <f aca="false">TRIM(PROPER(C2364))</f>
        <v>Scaler</v>
      </c>
      <c r="AC2364" s="1" t="str">
        <f aca="false">IF(O2364=0,"No Discount",IF(O2364&lt;=15,"Low (1-15%)",IF(O2364&lt;=30,"Medium (16-30%)","High (&gt;30%)")))</f>
        <v>Low (1-15%)</v>
      </c>
      <c r="AD2364" s="1" t="str">
        <f aca="false">IF(V2364&lt;0,"Loss Making",IF(V2364&lt;20,"Low Margin","Healthy Margin"))</f>
        <v>Healthy Margin</v>
      </c>
      <c r="AE2364" s="1" t="str">
        <f aca="false">TEXT(DATE(VALUE(RIGHT(B2364,4)),VALUE(MID(B2364,4,2)),VALUE(LEFT(B2364,2))),"MMM-YYYY")</f>
        <v>Jul-2023</v>
      </c>
      <c r="AF2364" s="1" t="n">
        <f aca="false">VALUE(RIGHT(B2364,4))</f>
        <v>2023</v>
      </c>
      <c r="AG2364" s="1" t="str">
        <f aca="false">CHOOSE(ROUNDUP(VALUE(MID(B2364,4,2))/3,0),"Q1","Q2","Q3","Q4")</f>
        <v>Q3</v>
      </c>
    </row>
    <row r="2365" customFormat="false" ht="15" hidden="false" customHeight="true" outlineLevel="0" collapsed="false">
      <c r="A2365" s="1" t="s">
        <v>3237</v>
      </c>
      <c r="B2365" s="1" t="s">
        <v>2440</v>
      </c>
      <c r="C2365" s="1" t="s">
        <v>264</v>
      </c>
      <c r="D2365" s="1" t="s">
        <v>53</v>
      </c>
      <c r="E2365" s="1" t="s">
        <v>54</v>
      </c>
      <c r="F2365" s="1" t="s">
        <v>130</v>
      </c>
      <c r="G2365" s="1" t="s">
        <v>47</v>
      </c>
      <c r="H2365" s="1" t="s">
        <v>69</v>
      </c>
      <c r="I2365" s="1" t="s">
        <v>58</v>
      </c>
      <c r="J2365" s="1" t="s">
        <v>59</v>
      </c>
      <c r="K2365" s="1" t="s">
        <v>60</v>
      </c>
      <c r="L2365" s="1" t="s">
        <v>85</v>
      </c>
      <c r="M2365" s="1" t="s">
        <v>62</v>
      </c>
      <c r="N2365" s="1" t="n">
        <v>11999</v>
      </c>
      <c r="O2365" s="1" t="n">
        <v>0</v>
      </c>
      <c r="P2365" s="1" t="n">
        <v>0</v>
      </c>
      <c r="Q2365" s="1" t="n">
        <v>11999</v>
      </c>
      <c r="R2365" s="1" t="n">
        <v>2159.82</v>
      </c>
      <c r="S2365" s="1" t="n">
        <v>9839.18</v>
      </c>
      <c r="T2365" s="1" t="n">
        <v>3574.99</v>
      </c>
      <c r="U2365" s="1" t="n">
        <v>6264.19</v>
      </c>
      <c r="V2365" s="1" t="n">
        <v>63.67</v>
      </c>
      <c r="W2365" s="1" t="s">
        <v>39</v>
      </c>
      <c r="X2365" s="1" t="n">
        <v>3.8</v>
      </c>
      <c r="Y2365" s="1" t="s">
        <v>40</v>
      </c>
      <c r="Z2365" s="1" t="n">
        <v>1</v>
      </c>
      <c r="AA2365" s="1" t="str">
        <f aca="false">TRIM(PROPER(F2365))</f>
        <v>Bengaluru</v>
      </c>
      <c r="AB2365" s="1" t="str">
        <f aca="false">TRIM(PROPER(C2365))</f>
        <v>Unacademy</v>
      </c>
      <c r="AC2365" s="1" t="str">
        <f aca="false">IF(O2365=0,"No Discount",IF(O2365&lt;=15,"Low (1-15%)",IF(O2365&lt;=30,"Medium (16-30%)","High (&gt;30%)")))</f>
        <v>No Discount</v>
      </c>
      <c r="AD2365" s="1" t="str">
        <f aca="false">IF(V2365&lt;0,"Loss Making",IF(V2365&lt;20,"Low Margin","Healthy Margin"))</f>
        <v>Healthy Margin</v>
      </c>
      <c r="AE2365" s="1" t="str">
        <f aca="false">TEXT(DATE(VALUE(RIGHT(B2365,4)),VALUE(MID(B2365,4,2)),VALUE(LEFT(B2365,2))),"MMM-YYYY")</f>
        <v>Sep-2023</v>
      </c>
      <c r="AF2365" s="1" t="n">
        <f aca="false">VALUE(RIGHT(B2365,4))</f>
        <v>2023</v>
      </c>
      <c r="AG2365" s="1" t="str">
        <f aca="false">CHOOSE(ROUNDUP(VALUE(MID(B2365,4,2))/3,0),"Q1","Q2","Q3","Q4")</f>
        <v>Q3</v>
      </c>
    </row>
    <row r="2366" customFormat="false" ht="15" hidden="false" customHeight="true" outlineLevel="0" collapsed="false">
      <c r="A2366" s="1" t="s">
        <v>3238</v>
      </c>
      <c r="B2366" s="1" t="s">
        <v>1640</v>
      </c>
      <c r="C2366" s="1" t="s">
        <v>93</v>
      </c>
      <c r="D2366" s="1" t="s">
        <v>143</v>
      </c>
      <c r="E2366" s="1" t="s">
        <v>162</v>
      </c>
      <c r="F2366" s="1" t="s">
        <v>205</v>
      </c>
      <c r="G2366" s="1" t="s">
        <v>56</v>
      </c>
      <c r="H2366" s="1" t="s">
        <v>69</v>
      </c>
      <c r="I2366" s="1" t="s">
        <v>83</v>
      </c>
      <c r="J2366" s="1" t="s">
        <v>35</v>
      </c>
      <c r="K2366" s="1" t="s">
        <v>104</v>
      </c>
      <c r="L2366" s="1" t="s">
        <v>61</v>
      </c>
      <c r="M2366" s="1" t="s">
        <v>62</v>
      </c>
      <c r="N2366" s="1" t="n">
        <v>14999</v>
      </c>
      <c r="O2366" s="1" t="n">
        <v>40</v>
      </c>
      <c r="P2366" s="1" t="n">
        <v>5999.6</v>
      </c>
      <c r="Q2366" s="1" t="n">
        <v>8999.4</v>
      </c>
      <c r="R2366" s="1" t="n">
        <v>1619.89</v>
      </c>
      <c r="S2366" s="1" t="n">
        <v>7379.51</v>
      </c>
      <c r="T2366" s="1" t="n">
        <v>3278.89</v>
      </c>
      <c r="U2366" s="1" t="n">
        <v>4100.62</v>
      </c>
      <c r="V2366" s="1" t="n">
        <v>55.57</v>
      </c>
      <c r="W2366" s="1" t="s">
        <v>39</v>
      </c>
      <c r="X2366" s="1" t="n">
        <v>2.4</v>
      </c>
      <c r="Y2366" s="1" t="s">
        <v>40</v>
      </c>
      <c r="Z2366" s="1" t="n">
        <v>0</v>
      </c>
      <c r="AA2366" s="1" t="str">
        <f aca="false">TRIM(PROPER(F2366))</f>
        <v>New Delhi</v>
      </c>
      <c r="AB2366" s="1" t="str">
        <f aca="false">TRIM(PROPER(C2366))</f>
        <v>Upgrad</v>
      </c>
      <c r="AC2366" s="1" t="str">
        <f aca="false">IF(O2366=0,"No Discount",IF(O2366&lt;=15,"Low (1-15%)",IF(O2366&lt;=30,"Medium (16-30%)","High (&gt;30%)")))</f>
        <v>High (&gt;30%)</v>
      </c>
      <c r="AD2366" s="1" t="str">
        <f aca="false">IF(V2366&lt;0,"Loss Making",IF(V2366&lt;20,"Low Margin","Healthy Margin"))</f>
        <v>Healthy Margin</v>
      </c>
      <c r="AE2366" s="1" t="str">
        <f aca="false">TEXT(DATE(VALUE(RIGHT(B2366,4)),VALUE(MID(B2366,4,2)),VALUE(LEFT(B2366,2))),"MMM-YYYY")</f>
        <v>May-2024</v>
      </c>
      <c r="AF2366" s="1" t="n">
        <f aca="false">VALUE(RIGHT(B2366,4))</f>
        <v>2024</v>
      </c>
      <c r="AG2366" s="1" t="str">
        <f aca="false">CHOOSE(ROUNDUP(VALUE(MID(B2366,4,2))/3,0),"Q1","Q2","Q3","Q4")</f>
        <v>Q2</v>
      </c>
    </row>
    <row r="2367" customFormat="false" ht="15" hidden="false" customHeight="true" outlineLevel="0" collapsed="false">
      <c r="A2367" s="1" t="s">
        <v>3239</v>
      </c>
      <c r="B2367" s="1" t="s">
        <v>325</v>
      </c>
      <c r="C2367" s="1" t="s">
        <v>28</v>
      </c>
      <c r="D2367" s="1" t="s">
        <v>94</v>
      </c>
      <c r="E2367" s="1" t="s">
        <v>95</v>
      </c>
      <c r="F2367" s="1" t="s">
        <v>31</v>
      </c>
      <c r="G2367" s="1" t="s">
        <v>32</v>
      </c>
      <c r="H2367" s="1" t="s">
        <v>33</v>
      </c>
      <c r="I2367" s="1" t="s">
        <v>83</v>
      </c>
      <c r="J2367" s="1" t="s">
        <v>59</v>
      </c>
      <c r="K2367" s="1" t="s">
        <v>84</v>
      </c>
      <c r="L2367" s="1" t="s">
        <v>37</v>
      </c>
      <c r="M2367" s="1" t="s">
        <v>62</v>
      </c>
      <c r="N2367" s="1" t="n">
        <v>6999</v>
      </c>
      <c r="O2367" s="1" t="n">
        <v>0</v>
      </c>
      <c r="P2367" s="1" t="n">
        <v>0</v>
      </c>
      <c r="Q2367" s="1" t="n">
        <v>6999</v>
      </c>
      <c r="R2367" s="1" t="n">
        <v>1259.82</v>
      </c>
      <c r="S2367" s="1" t="n">
        <v>5739.18</v>
      </c>
      <c r="T2367" s="1" t="n">
        <v>2488.58</v>
      </c>
      <c r="U2367" s="1" t="n">
        <v>3250.6</v>
      </c>
      <c r="V2367" s="1" t="n">
        <v>56.64</v>
      </c>
      <c r="W2367" s="1" t="s">
        <v>40</v>
      </c>
      <c r="Y2367" s="1" t="s">
        <v>40</v>
      </c>
      <c r="Z2367" s="1" t="n">
        <v>2</v>
      </c>
      <c r="AA2367" s="1" t="str">
        <f aca="false">TRIM(PROPER(F2367))</f>
        <v>Jodhpur</v>
      </c>
      <c r="AB2367" s="1" t="str">
        <f aca="false">TRIM(PROPER(C2367))</f>
        <v>Embibe</v>
      </c>
      <c r="AC2367" s="1" t="str">
        <f aca="false">IF(O2367=0,"No Discount",IF(O2367&lt;=15,"Low (1-15%)",IF(O2367&lt;=30,"Medium (16-30%)","High (&gt;30%)")))</f>
        <v>No Discount</v>
      </c>
      <c r="AD2367" s="1" t="str">
        <f aca="false">IF(V2367&lt;0,"Loss Making",IF(V2367&lt;20,"Low Margin","Healthy Margin"))</f>
        <v>Healthy Margin</v>
      </c>
      <c r="AE2367" s="1" t="str">
        <f aca="false">TEXT(DATE(VALUE(RIGHT(B2367,4)),VALUE(MID(B2367,4,2)),VALUE(LEFT(B2367,2))),"MMM-YYYY")</f>
        <v>May-2023</v>
      </c>
      <c r="AF2367" s="1" t="n">
        <f aca="false">VALUE(RIGHT(B2367,4))</f>
        <v>2023</v>
      </c>
      <c r="AG2367" s="1" t="str">
        <f aca="false">CHOOSE(ROUNDUP(VALUE(MID(B2367,4,2))/3,0),"Q1","Q2","Q3","Q4")</f>
        <v>Q2</v>
      </c>
    </row>
    <row r="2368" customFormat="false" ht="15" hidden="false" customHeight="true" outlineLevel="0" collapsed="false">
      <c r="A2368" s="1" t="s">
        <v>3240</v>
      </c>
      <c r="B2368" s="1" t="s">
        <v>1486</v>
      </c>
      <c r="C2368" s="1" t="s">
        <v>264</v>
      </c>
      <c r="D2368" s="1" t="s">
        <v>80</v>
      </c>
      <c r="E2368" s="1" t="s">
        <v>81</v>
      </c>
      <c r="F2368" s="1" t="s">
        <v>75</v>
      </c>
      <c r="G2368" s="1" t="s">
        <v>76</v>
      </c>
      <c r="H2368" s="1" t="s">
        <v>69</v>
      </c>
      <c r="I2368" s="1" t="s">
        <v>34</v>
      </c>
      <c r="J2368" s="1" t="s">
        <v>59</v>
      </c>
      <c r="K2368" s="1" t="s">
        <v>60</v>
      </c>
      <c r="L2368" s="1" t="s">
        <v>49</v>
      </c>
      <c r="M2368" s="1" t="s">
        <v>50</v>
      </c>
      <c r="N2368" s="1" t="n">
        <v>12999</v>
      </c>
      <c r="O2368" s="1" t="n">
        <v>0</v>
      </c>
      <c r="P2368" s="1" t="n">
        <v>0</v>
      </c>
      <c r="Q2368" s="1" t="n">
        <v>12999</v>
      </c>
      <c r="R2368" s="1" t="n">
        <v>2339.82</v>
      </c>
      <c r="S2368" s="1" t="n">
        <v>10659.18</v>
      </c>
      <c r="T2368" s="1" t="n">
        <v>3976.52</v>
      </c>
      <c r="U2368" s="1" t="n">
        <v>6682.66</v>
      </c>
      <c r="V2368" s="1" t="n">
        <v>62.69</v>
      </c>
      <c r="W2368" s="1" t="s">
        <v>39</v>
      </c>
      <c r="X2368" s="1" t="n">
        <v>3.7</v>
      </c>
      <c r="Y2368" s="1" t="s">
        <v>40</v>
      </c>
      <c r="Z2368" s="1" t="n">
        <v>0</v>
      </c>
      <c r="AA2368" s="1" t="str">
        <f aca="false">TRIM(PROPER(F2368))</f>
        <v>Kolkata</v>
      </c>
      <c r="AB2368" s="1" t="str">
        <f aca="false">TRIM(PROPER(C2368))</f>
        <v>Unacademy</v>
      </c>
      <c r="AC2368" s="1" t="str">
        <f aca="false">IF(O2368=0,"No Discount",IF(O2368&lt;=15,"Low (1-15%)",IF(O2368&lt;=30,"Medium (16-30%)","High (&gt;30%)")))</f>
        <v>No Discount</v>
      </c>
      <c r="AD2368" s="1" t="str">
        <f aca="false">IF(V2368&lt;0,"Loss Making",IF(V2368&lt;20,"Low Margin","Healthy Margin"))</f>
        <v>Healthy Margin</v>
      </c>
      <c r="AE2368" s="1" t="str">
        <f aca="false">TEXT(DATE(VALUE(RIGHT(B2368,4)),VALUE(MID(B2368,4,2)),VALUE(LEFT(B2368,2))),"MMM-YYYY")</f>
        <v>Jun-2024</v>
      </c>
      <c r="AF2368" s="1" t="n">
        <f aca="false">VALUE(RIGHT(B2368,4))</f>
        <v>2024</v>
      </c>
      <c r="AG2368" s="1" t="str">
        <f aca="false">CHOOSE(ROUNDUP(VALUE(MID(B2368,4,2))/3,0),"Q1","Q2","Q3","Q4")</f>
        <v>Q2</v>
      </c>
    </row>
    <row r="2369" customFormat="false" ht="15" hidden="false" customHeight="true" outlineLevel="0" collapsed="false">
      <c r="A2369" s="1" t="s">
        <v>3241</v>
      </c>
      <c r="B2369" s="1" t="s">
        <v>1606</v>
      </c>
      <c r="C2369" s="1" t="s">
        <v>28</v>
      </c>
      <c r="D2369" s="1" t="s">
        <v>94</v>
      </c>
      <c r="E2369" s="1" t="s">
        <v>101</v>
      </c>
      <c r="F2369" s="1" t="s">
        <v>89</v>
      </c>
      <c r="G2369" s="1" t="s">
        <v>68</v>
      </c>
      <c r="H2369" s="1" t="s">
        <v>33</v>
      </c>
      <c r="I2369" s="1" t="s">
        <v>83</v>
      </c>
      <c r="J2369" s="1" t="s">
        <v>77</v>
      </c>
      <c r="K2369" s="1" t="s">
        <v>60</v>
      </c>
      <c r="L2369" s="1" t="s">
        <v>37</v>
      </c>
      <c r="M2369" s="1" t="s">
        <v>38</v>
      </c>
      <c r="N2369" s="1" t="n">
        <v>14999</v>
      </c>
      <c r="O2369" s="1" t="n">
        <v>10</v>
      </c>
      <c r="P2369" s="1" t="n">
        <v>1499.9</v>
      </c>
      <c r="Q2369" s="1" t="n">
        <v>13499.1</v>
      </c>
      <c r="R2369" s="1" t="n">
        <v>2429.84</v>
      </c>
      <c r="S2369" s="1" t="n">
        <v>11069.26</v>
      </c>
      <c r="T2369" s="1" t="n">
        <v>5988.95</v>
      </c>
      <c r="U2369" s="1" t="n">
        <v>5080.31</v>
      </c>
      <c r="V2369" s="1" t="n">
        <v>45.9</v>
      </c>
      <c r="W2369" s="1" t="s">
        <v>39</v>
      </c>
      <c r="X2369" s="1" t="n">
        <v>4</v>
      </c>
      <c r="Y2369" s="1" t="s">
        <v>40</v>
      </c>
      <c r="Z2369" s="1" t="n">
        <v>0</v>
      </c>
      <c r="AA2369" s="1" t="str">
        <f aca="false">TRIM(PROPER(F2369))</f>
        <v>Vadodara</v>
      </c>
      <c r="AB2369" s="1" t="str">
        <f aca="false">TRIM(PROPER(C2369))</f>
        <v>Embibe</v>
      </c>
      <c r="AC2369" s="1" t="str">
        <f aca="false">IF(O2369=0,"No Discount",IF(O2369&lt;=15,"Low (1-15%)",IF(O2369&lt;=30,"Medium (16-30%)","High (&gt;30%)")))</f>
        <v>Low (1-15%)</v>
      </c>
      <c r="AD2369" s="1" t="str">
        <f aca="false">IF(V2369&lt;0,"Loss Making",IF(V2369&lt;20,"Low Margin","Healthy Margin"))</f>
        <v>Healthy Margin</v>
      </c>
      <c r="AE2369" s="1" t="str">
        <f aca="false">TEXT(DATE(VALUE(RIGHT(B2369,4)),VALUE(MID(B2369,4,2)),VALUE(LEFT(B2369,2))),"MMM-YYYY")</f>
        <v>May-2024</v>
      </c>
      <c r="AF2369" s="1" t="n">
        <f aca="false">VALUE(RIGHT(B2369,4))</f>
        <v>2024</v>
      </c>
      <c r="AG2369" s="1" t="str">
        <f aca="false">CHOOSE(ROUNDUP(VALUE(MID(B2369,4,2))/3,0),"Q1","Q2","Q3","Q4")</f>
        <v>Q2</v>
      </c>
    </row>
    <row r="2370" customFormat="false" ht="15" hidden="false" customHeight="true" outlineLevel="0" collapsed="false">
      <c r="A2370" s="1" t="s">
        <v>3242</v>
      </c>
      <c r="B2370" s="1" t="s">
        <v>1102</v>
      </c>
      <c r="C2370" s="1" t="s">
        <v>65</v>
      </c>
      <c r="D2370" s="1" t="s">
        <v>168</v>
      </c>
      <c r="E2370" s="1" t="s">
        <v>172</v>
      </c>
      <c r="F2370" s="1" t="s">
        <v>96</v>
      </c>
      <c r="G2370" s="1" t="s">
        <v>97</v>
      </c>
      <c r="H2370" s="1" t="s">
        <v>69</v>
      </c>
      <c r="I2370" s="1" t="s">
        <v>58</v>
      </c>
      <c r="J2370" s="1" t="s">
        <v>77</v>
      </c>
      <c r="K2370" s="1" t="s">
        <v>104</v>
      </c>
      <c r="L2370" s="1" t="s">
        <v>61</v>
      </c>
      <c r="M2370" s="1" t="s">
        <v>38</v>
      </c>
      <c r="N2370" s="1" t="n">
        <v>6999</v>
      </c>
      <c r="O2370" s="1" t="n">
        <v>40</v>
      </c>
      <c r="P2370" s="1" t="n">
        <v>2799.6</v>
      </c>
      <c r="Q2370" s="1" t="n">
        <v>4199.4</v>
      </c>
      <c r="R2370" s="1" t="n">
        <v>755.89</v>
      </c>
      <c r="S2370" s="1" t="n">
        <v>3443.51</v>
      </c>
      <c r="T2370" s="1" t="n">
        <v>1885.87</v>
      </c>
      <c r="U2370" s="1" t="n">
        <v>1557.64</v>
      </c>
      <c r="V2370" s="1" t="n">
        <v>45.23</v>
      </c>
      <c r="W2370" s="1" t="s">
        <v>39</v>
      </c>
      <c r="X2370" s="1" t="n">
        <v>3.4</v>
      </c>
      <c r="Y2370" s="1" t="s">
        <v>40</v>
      </c>
      <c r="Z2370" s="1" t="n">
        <v>0</v>
      </c>
      <c r="AA2370" s="1" t="str">
        <f aca="false">TRIM(PROPER(F2370))</f>
        <v>Pune</v>
      </c>
      <c r="AB2370" s="1" t="str">
        <f aca="false">TRIM(PROPER(C2370))</f>
        <v>Toppr</v>
      </c>
      <c r="AC2370" s="1" t="str">
        <f aca="false">IF(O2370=0,"No Discount",IF(O2370&lt;=15,"Low (1-15%)",IF(O2370&lt;=30,"Medium (16-30%)","High (&gt;30%)")))</f>
        <v>High (&gt;30%)</v>
      </c>
      <c r="AD2370" s="1" t="str">
        <f aca="false">IF(V2370&lt;0,"Loss Making",IF(V2370&lt;20,"Low Margin","Healthy Margin"))</f>
        <v>Healthy Margin</v>
      </c>
      <c r="AE2370" s="1" t="str">
        <f aca="false">TEXT(DATE(VALUE(RIGHT(B2370,4)),VALUE(MID(B2370,4,2)),VALUE(LEFT(B2370,2))),"MMM-YYYY")</f>
        <v>Mar-2023</v>
      </c>
      <c r="AF2370" s="1" t="n">
        <f aca="false">VALUE(RIGHT(B2370,4))</f>
        <v>2023</v>
      </c>
      <c r="AG2370" s="1" t="str">
        <f aca="false">CHOOSE(ROUNDUP(VALUE(MID(B2370,4,2))/3,0),"Q1","Q2","Q3","Q4")</f>
        <v>Q1</v>
      </c>
    </row>
    <row r="2371" customFormat="false" ht="15" hidden="false" customHeight="true" outlineLevel="0" collapsed="false">
      <c r="A2371" s="1" t="s">
        <v>3243</v>
      </c>
      <c r="B2371" s="1" t="s">
        <v>1113</v>
      </c>
      <c r="C2371" s="1" t="s">
        <v>28</v>
      </c>
      <c r="D2371" s="1" t="s">
        <v>168</v>
      </c>
      <c r="E2371" s="1" t="s">
        <v>172</v>
      </c>
      <c r="F2371" s="1" t="s">
        <v>89</v>
      </c>
      <c r="G2371" s="1" t="s">
        <v>68</v>
      </c>
      <c r="H2371" s="1" t="s">
        <v>33</v>
      </c>
      <c r="I2371" s="1" t="s">
        <v>58</v>
      </c>
      <c r="J2371" s="1" t="s">
        <v>131</v>
      </c>
      <c r="K2371" s="1" t="s">
        <v>104</v>
      </c>
      <c r="L2371" s="1" t="s">
        <v>49</v>
      </c>
      <c r="M2371" s="1" t="s">
        <v>50</v>
      </c>
      <c r="N2371" s="1" t="n">
        <v>6999</v>
      </c>
      <c r="O2371" s="1" t="n">
        <v>10</v>
      </c>
      <c r="P2371" s="1" t="n">
        <v>699.9</v>
      </c>
      <c r="Q2371" s="1" t="n">
        <v>6299.1</v>
      </c>
      <c r="R2371" s="1" t="n">
        <v>1133.84</v>
      </c>
      <c r="S2371" s="1" t="n">
        <v>5165.26</v>
      </c>
      <c r="T2371" s="1" t="n">
        <v>2466.76</v>
      </c>
      <c r="U2371" s="1" t="n">
        <v>2698.5</v>
      </c>
      <c r="V2371" s="1" t="n">
        <v>52.24</v>
      </c>
      <c r="W2371" s="1" t="s">
        <v>40</v>
      </c>
      <c r="Y2371" s="1" t="s">
        <v>40</v>
      </c>
      <c r="Z2371" s="1" t="n">
        <v>0</v>
      </c>
      <c r="AA2371" s="1" t="str">
        <f aca="false">TRIM(PROPER(F2371))</f>
        <v>Vadodara</v>
      </c>
      <c r="AB2371" s="1" t="str">
        <f aca="false">TRIM(PROPER(C2371))</f>
        <v>Embibe</v>
      </c>
      <c r="AC2371" s="1" t="str">
        <f aca="false">IF(O2371=0,"No Discount",IF(O2371&lt;=15,"Low (1-15%)",IF(O2371&lt;=30,"Medium (16-30%)","High (&gt;30%)")))</f>
        <v>Low (1-15%)</v>
      </c>
      <c r="AD2371" s="1" t="str">
        <f aca="false">IF(V2371&lt;0,"Loss Making",IF(V2371&lt;20,"Low Margin","Healthy Margin"))</f>
        <v>Healthy Margin</v>
      </c>
      <c r="AE2371" s="1" t="str">
        <f aca="false">TEXT(DATE(VALUE(RIGHT(B2371,4)),VALUE(MID(B2371,4,2)),VALUE(LEFT(B2371,2))),"MMM-YYYY")</f>
        <v>Feb-2024</v>
      </c>
      <c r="AF2371" s="1" t="n">
        <f aca="false">VALUE(RIGHT(B2371,4))</f>
        <v>2024</v>
      </c>
      <c r="AG2371" s="1" t="str">
        <f aca="false">CHOOSE(ROUNDUP(VALUE(MID(B2371,4,2))/3,0),"Q1","Q2","Q3","Q4")</f>
        <v>Q1</v>
      </c>
    </row>
    <row r="2372" customFormat="false" ht="15" hidden="false" customHeight="true" outlineLevel="0" collapsed="false">
      <c r="A2372" s="1" t="s">
        <v>3244</v>
      </c>
      <c r="B2372" s="1" t="s">
        <v>589</v>
      </c>
      <c r="C2372" s="1" t="s">
        <v>74</v>
      </c>
      <c r="D2372" s="1" t="s">
        <v>143</v>
      </c>
      <c r="E2372" s="1" t="s">
        <v>243</v>
      </c>
      <c r="F2372" s="1" t="s">
        <v>156</v>
      </c>
      <c r="G2372" s="1" t="s">
        <v>68</v>
      </c>
      <c r="H2372" s="1" t="s">
        <v>57</v>
      </c>
      <c r="I2372" s="1" t="s">
        <v>83</v>
      </c>
      <c r="J2372" s="1" t="s">
        <v>131</v>
      </c>
      <c r="K2372" s="1" t="s">
        <v>60</v>
      </c>
      <c r="L2372" s="1" t="s">
        <v>136</v>
      </c>
      <c r="M2372" s="1" t="s">
        <v>62</v>
      </c>
      <c r="N2372" s="1" t="n">
        <v>22999</v>
      </c>
      <c r="O2372" s="1" t="n">
        <v>5</v>
      </c>
      <c r="P2372" s="1" t="n">
        <v>1149.95</v>
      </c>
      <c r="Q2372" s="1" t="n">
        <v>21849.05</v>
      </c>
      <c r="R2372" s="1" t="n">
        <v>3932.83</v>
      </c>
      <c r="S2372" s="1" t="n">
        <v>17916.22</v>
      </c>
      <c r="T2372" s="1" t="n">
        <v>7263.94</v>
      </c>
      <c r="U2372" s="1" t="n">
        <v>10652.28</v>
      </c>
      <c r="V2372" s="1" t="n">
        <v>59.46</v>
      </c>
      <c r="W2372" s="1" t="s">
        <v>40</v>
      </c>
      <c r="Y2372" s="1" t="s">
        <v>40</v>
      </c>
      <c r="Z2372" s="1" t="n">
        <v>1</v>
      </c>
      <c r="AA2372" s="1" t="str">
        <f aca="false">TRIM(PROPER(F2372))</f>
        <v>Surat</v>
      </c>
      <c r="AB2372" s="1" t="str">
        <f aca="false">TRIM(PROPER(C2372))</f>
        <v>Vedantu</v>
      </c>
      <c r="AC2372" s="1" t="str">
        <f aca="false">IF(O2372=0,"No Discount",IF(O2372&lt;=15,"Low (1-15%)",IF(O2372&lt;=30,"Medium (16-30%)","High (&gt;30%)")))</f>
        <v>Low (1-15%)</v>
      </c>
      <c r="AD2372" s="1" t="str">
        <f aca="false">IF(V2372&lt;0,"Loss Making",IF(V2372&lt;20,"Low Margin","Healthy Margin"))</f>
        <v>Healthy Margin</v>
      </c>
      <c r="AE2372" s="1" t="str">
        <f aca="false">TEXT(DATE(VALUE(RIGHT(B2372,4)),VALUE(MID(B2372,4,2)),VALUE(LEFT(B2372,2))),"MMM-YYYY")</f>
        <v>Apr-2024</v>
      </c>
      <c r="AF2372" s="1" t="n">
        <f aca="false">VALUE(RIGHT(B2372,4))</f>
        <v>2024</v>
      </c>
      <c r="AG2372" s="1" t="str">
        <f aca="false">CHOOSE(ROUNDUP(VALUE(MID(B2372,4,2))/3,0),"Q1","Q2","Q3","Q4")</f>
        <v>Q2</v>
      </c>
    </row>
    <row r="2373" customFormat="false" ht="15" hidden="false" customHeight="true" outlineLevel="0" collapsed="false">
      <c r="A2373" s="1" t="s">
        <v>3245</v>
      </c>
      <c r="B2373" s="1" t="s">
        <v>622</v>
      </c>
      <c r="C2373" s="1" t="s">
        <v>65</v>
      </c>
      <c r="D2373" s="1" t="s">
        <v>53</v>
      </c>
      <c r="E2373" s="1" t="s">
        <v>116</v>
      </c>
      <c r="F2373" s="1" t="s">
        <v>153</v>
      </c>
      <c r="G2373" s="1" t="s">
        <v>76</v>
      </c>
      <c r="H2373" s="1" t="s">
        <v>33</v>
      </c>
      <c r="I2373" s="1" t="s">
        <v>83</v>
      </c>
      <c r="J2373" s="1" t="s">
        <v>59</v>
      </c>
      <c r="K2373" s="1" t="s">
        <v>84</v>
      </c>
      <c r="L2373" s="1" t="s">
        <v>85</v>
      </c>
      <c r="M2373" s="1" t="s">
        <v>38</v>
      </c>
      <c r="N2373" s="1" t="n">
        <v>9999</v>
      </c>
      <c r="O2373" s="1" t="n">
        <v>50</v>
      </c>
      <c r="P2373" s="1" t="n">
        <v>4999.5</v>
      </c>
      <c r="Q2373" s="1" t="n">
        <v>4999.5</v>
      </c>
      <c r="R2373" s="1" t="n">
        <v>899.91</v>
      </c>
      <c r="S2373" s="1" t="n">
        <v>4099.59</v>
      </c>
      <c r="T2373" s="1" t="n">
        <v>2212.71</v>
      </c>
      <c r="U2373" s="1" t="n">
        <v>1886.88</v>
      </c>
      <c r="V2373" s="1" t="n">
        <v>46.03</v>
      </c>
      <c r="W2373" s="1" t="s">
        <v>40</v>
      </c>
      <c r="Y2373" s="1" t="s">
        <v>40</v>
      </c>
      <c r="Z2373" s="1" t="n">
        <v>1</v>
      </c>
      <c r="AA2373" s="1" t="str">
        <f aca="false">TRIM(PROPER(F2373))</f>
        <v>Howrah</v>
      </c>
      <c r="AB2373" s="1" t="str">
        <f aca="false">TRIM(PROPER(C2373))</f>
        <v>Toppr</v>
      </c>
      <c r="AC2373" s="1" t="str">
        <f aca="false">IF(O2373=0,"No Discount",IF(O2373&lt;=15,"Low (1-15%)",IF(O2373&lt;=30,"Medium (16-30%)","High (&gt;30%)")))</f>
        <v>High (&gt;30%)</v>
      </c>
      <c r="AD2373" s="1" t="str">
        <f aca="false">IF(V2373&lt;0,"Loss Making",IF(V2373&lt;20,"Low Margin","Healthy Margin"))</f>
        <v>Healthy Margin</v>
      </c>
      <c r="AE2373" s="1" t="str">
        <f aca="false">TEXT(DATE(VALUE(RIGHT(B2373,4)),VALUE(MID(B2373,4,2)),VALUE(LEFT(B2373,2))),"MMM-YYYY")</f>
        <v>Apr-2023</v>
      </c>
      <c r="AF2373" s="1" t="n">
        <f aca="false">VALUE(RIGHT(B2373,4))</f>
        <v>2023</v>
      </c>
      <c r="AG2373" s="1" t="str">
        <f aca="false">CHOOSE(ROUNDUP(VALUE(MID(B2373,4,2))/3,0),"Q1","Q2","Q3","Q4")</f>
        <v>Q2</v>
      </c>
    </row>
    <row r="2374" customFormat="false" ht="15" hidden="false" customHeight="true" outlineLevel="0" collapsed="false">
      <c r="A2374" s="1" t="s">
        <v>3246</v>
      </c>
      <c r="B2374" s="1" t="s">
        <v>843</v>
      </c>
      <c r="C2374" s="1" t="s">
        <v>43</v>
      </c>
      <c r="D2374" s="1" t="s">
        <v>168</v>
      </c>
      <c r="E2374" s="1" t="s">
        <v>169</v>
      </c>
      <c r="F2374" s="1" t="s">
        <v>89</v>
      </c>
      <c r="G2374" s="1" t="s">
        <v>68</v>
      </c>
      <c r="H2374" s="1" t="s">
        <v>33</v>
      </c>
      <c r="I2374" s="1" t="s">
        <v>58</v>
      </c>
      <c r="J2374" s="1" t="s">
        <v>131</v>
      </c>
      <c r="K2374" s="1" t="s">
        <v>71</v>
      </c>
      <c r="L2374" s="1" t="s">
        <v>49</v>
      </c>
      <c r="M2374" s="1" t="s">
        <v>38</v>
      </c>
      <c r="N2374" s="1" t="n">
        <v>4999</v>
      </c>
      <c r="O2374" s="1" t="n">
        <v>5</v>
      </c>
      <c r="P2374" s="1" t="n">
        <v>249.95</v>
      </c>
      <c r="Q2374" s="1" t="n">
        <v>4749.05</v>
      </c>
      <c r="R2374" s="1" t="n">
        <v>854.83</v>
      </c>
      <c r="S2374" s="1" t="n">
        <v>3894.22</v>
      </c>
      <c r="T2374" s="1" t="n">
        <v>1934.94</v>
      </c>
      <c r="U2374" s="1" t="n">
        <v>1959.28</v>
      </c>
      <c r="V2374" s="1" t="n">
        <v>50.31</v>
      </c>
      <c r="W2374" s="1" t="s">
        <v>40</v>
      </c>
      <c r="Y2374" s="1" t="s">
        <v>40</v>
      </c>
      <c r="Z2374" s="1" t="n">
        <v>0</v>
      </c>
      <c r="AA2374" s="1" t="str">
        <f aca="false">TRIM(PROPER(F2374))</f>
        <v>Vadodara</v>
      </c>
      <c r="AB2374" s="1" t="str">
        <f aca="false">TRIM(PROPER(C2374))</f>
        <v>Meritnation</v>
      </c>
      <c r="AC2374" s="1" t="str">
        <f aca="false">IF(O2374=0,"No Discount",IF(O2374&lt;=15,"Low (1-15%)",IF(O2374&lt;=30,"Medium (16-30%)","High (&gt;30%)")))</f>
        <v>Low (1-15%)</v>
      </c>
      <c r="AD2374" s="1" t="str">
        <f aca="false">IF(V2374&lt;0,"Loss Making",IF(V2374&lt;20,"Low Margin","Healthy Margin"))</f>
        <v>Healthy Margin</v>
      </c>
      <c r="AE2374" s="1" t="str">
        <f aca="false">TEXT(DATE(VALUE(RIGHT(B2374,4)),VALUE(MID(B2374,4,2)),VALUE(LEFT(B2374,2))),"MMM-YYYY")</f>
        <v>Oct-2023</v>
      </c>
      <c r="AF2374" s="1" t="n">
        <f aca="false">VALUE(RIGHT(B2374,4))</f>
        <v>2023</v>
      </c>
      <c r="AG2374" s="1" t="str">
        <f aca="false">CHOOSE(ROUNDUP(VALUE(MID(B2374,4,2))/3,0),"Q1","Q2","Q3","Q4")</f>
        <v>Q4</v>
      </c>
    </row>
    <row r="2375" customFormat="false" ht="15" hidden="false" customHeight="true" outlineLevel="0" collapsed="false">
      <c r="A2375" s="1" t="s">
        <v>3247</v>
      </c>
      <c r="B2375" s="1" t="s">
        <v>1488</v>
      </c>
      <c r="C2375" s="1" t="s">
        <v>1811</v>
      </c>
      <c r="D2375" s="1" t="s">
        <v>168</v>
      </c>
      <c r="E2375" s="1" t="s">
        <v>197</v>
      </c>
      <c r="F2375" s="1" t="s">
        <v>153</v>
      </c>
      <c r="G2375" s="1" t="s">
        <v>76</v>
      </c>
      <c r="H2375" s="1" t="s">
        <v>33</v>
      </c>
      <c r="I2375" s="1" t="s">
        <v>34</v>
      </c>
      <c r="J2375" s="1" t="s">
        <v>35</v>
      </c>
      <c r="K2375" s="1" t="s">
        <v>60</v>
      </c>
      <c r="L2375" s="1" t="s">
        <v>113</v>
      </c>
      <c r="M2375" s="1" t="s">
        <v>38</v>
      </c>
      <c r="N2375" s="1" t="n">
        <v>8499</v>
      </c>
      <c r="O2375" s="1" t="n">
        <v>10</v>
      </c>
      <c r="P2375" s="1" t="n">
        <v>849.9</v>
      </c>
      <c r="Q2375" s="1" t="n">
        <v>7649.1</v>
      </c>
      <c r="R2375" s="1" t="n">
        <v>1376.84</v>
      </c>
      <c r="S2375" s="1" t="n">
        <v>6272.26</v>
      </c>
      <c r="T2375" s="1" t="n">
        <v>2843.94</v>
      </c>
      <c r="U2375" s="1" t="n">
        <v>3428.32</v>
      </c>
      <c r="V2375" s="1" t="n">
        <v>54.66</v>
      </c>
      <c r="W2375" s="1" t="s">
        <v>40</v>
      </c>
      <c r="Y2375" s="1" t="s">
        <v>39</v>
      </c>
      <c r="Z2375" s="1" t="n">
        <v>1</v>
      </c>
      <c r="AA2375" s="1" t="str">
        <f aca="false">TRIM(PROPER(F2375))</f>
        <v>Howrah</v>
      </c>
      <c r="AB2375" s="1" t="str">
        <f aca="false">TRIM(PROPER(C2375))</f>
        <v>Doubtnut</v>
      </c>
      <c r="AC2375" s="1" t="str">
        <f aca="false">IF(O2375=0,"No Discount",IF(O2375&lt;=15,"Low (1-15%)",IF(O2375&lt;=30,"Medium (16-30%)","High (&gt;30%)")))</f>
        <v>Low (1-15%)</v>
      </c>
      <c r="AD2375" s="1" t="str">
        <f aca="false">IF(V2375&lt;0,"Loss Making",IF(V2375&lt;20,"Low Margin","Healthy Margin"))</f>
        <v>Healthy Margin</v>
      </c>
      <c r="AE2375" s="1" t="str">
        <f aca="false">TEXT(DATE(VALUE(RIGHT(B2375,4)),VALUE(MID(B2375,4,2)),VALUE(LEFT(B2375,2))),"MMM-YYYY")</f>
        <v>Jun-2024</v>
      </c>
      <c r="AF2375" s="1" t="n">
        <f aca="false">VALUE(RIGHT(B2375,4))</f>
        <v>2024</v>
      </c>
      <c r="AG2375" s="1" t="str">
        <f aca="false">CHOOSE(ROUNDUP(VALUE(MID(B2375,4,2))/3,0),"Q1","Q2","Q3","Q4")</f>
        <v>Q2</v>
      </c>
    </row>
    <row r="2376" customFormat="false" ht="15" hidden="false" customHeight="true" outlineLevel="0" collapsed="false">
      <c r="A2376" s="1" t="s">
        <v>3248</v>
      </c>
      <c r="B2376" s="1" t="s">
        <v>2137</v>
      </c>
      <c r="C2376" s="1" t="s">
        <v>28</v>
      </c>
      <c r="D2376" s="1" t="s">
        <v>53</v>
      </c>
      <c r="E2376" s="1" t="s">
        <v>216</v>
      </c>
      <c r="F2376" s="1" t="s">
        <v>46</v>
      </c>
      <c r="G2376" s="1" t="s">
        <v>47</v>
      </c>
      <c r="H2376" s="1" t="s">
        <v>33</v>
      </c>
      <c r="I2376" s="1" t="s">
        <v>34</v>
      </c>
      <c r="J2376" s="1" t="s">
        <v>59</v>
      </c>
      <c r="K2376" s="1" t="s">
        <v>48</v>
      </c>
      <c r="L2376" s="1" t="s">
        <v>136</v>
      </c>
      <c r="M2376" s="1" t="s">
        <v>50</v>
      </c>
      <c r="N2376" s="1" t="n">
        <v>7499</v>
      </c>
      <c r="O2376" s="1" t="n">
        <v>50</v>
      </c>
      <c r="P2376" s="1" t="n">
        <v>3749.5</v>
      </c>
      <c r="Q2376" s="1" t="n">
        <v>3749.5</v>
      </c>
      <c r="R2376" s="1" t="n">
        <v>674.91</v>
      </c>
      <c r="S2376" s="1" t="n">
        <v>3074.59</v>
      </c>
      <c r="T2376" s="1" t="n">
        <v>1646.91</v>
      </c>
      <c r="U2376" s="1" t="n">
        <v>1427.68</v>
      </c>
      <c r="V2376" s="1" t="n">
        <v>46.43</v>
      </c>
      <c r="W2376" s="1" t="s">
        <v>39</v>
      </c>
      <c r="X2376" s="1" t="n">
        <v>3.6</v>
      </c>
      <c r="Y2376" s="1" t="s">
        <v>40</v>
      </c>
      <c r="Z2376" s="1" t="n">
        <v>0</v>
      </c>
      <c r="AA2376" s="1" t="str">
        <f aca="false">TRIM(PROPER(F2376))</f>
        <v>Mangaluru</v>
      </c>
      <c r="AB2376" s="1" t="str">
        <f aca="false">TRIM(PROPER(C2376))</f>
        <v>Embibe</v>
      </c>
      <c r="AC2376" s="1" t="str">
        <f aca="false">IF(O2376=0,"No Discount",IF(O2376&lt;=15,"Low (1-15%)",IF(O2376&lt;=30,"Medium (16-30%)","High (&gt;30%)")))</f>
        <v>High (&gt;30%)</v>
      </c>
      <c r="AD2376" s="1" t="str">
        <f aca="false">IF(V2376&lt;0,"Loss Making",IF(V2376&lt;20,"Low Margin","Healthy Margin"))</f>
        <v>Healthy Margin</v>
      </c>
      <c r="AE2376" s="1" t="str">
        <f aca="false">TEXT(DATE(VALUE(RIGHT(B2376,4)),VALUE(MID(B2376,4,2)),VALUE(LEFT(B2376,2))),"MMM-YYYY")</f>
        <v>Aug-2024</v>
      </c>
      <c r="AF2376" s="1" t="n">
        <f aca="false">VALUE(RIGHT(B2376,4))</f>
        <v>2024</v>
      </c>
      <c r="AG2376" s="1" t="str">
        <f aca="false">CHOOSE(ROUNDUP(VALUE(MID(B2376,4,2))/3,0),"Q1","Q2","Q3","Q4")</f>
        <v>Q3</v>
      </c>
    </row>
    <row r="2377" customFormat="false" ht="15" hidden="false" customHeight="true" outlineLevel="0" collapsed="false">
      <c r="A2377" s="1" t="s">
        <v>3249</v>
      </c>
      <c r="B2377" s="1" t="s">
        <v>956</v>
      </c>
      <c r="C2377" s="1" t="s">
        <v>249</v>
      </c>
      <c r="D2377" s="1" t="s">
        <v>53</v>
      </c>
      <c r="E2377" s="1" t="s">
        <v>116</v>
      </c>
      <c r="F2377" s="1" t="s">
        <v>89</v>
      </c>
      <c r="G2377" s="1" t="s">
        <v>68</v>
      </c>
      <c r="H2377" s="1" t="s">
        <v>33</v>
      </c>
      <c r="I2377" s="1" t="s">
        <v>83</v>
      </c>
      <c r="J2377" s="1" t="s">
        <v>59</v>
      </c>
      <c r="K2377" s="1" t="s">
        <v>84</v>
      </c>
      <c r="L2377" s="1" t="s">
        <v>136</v>
      </c>
      <c r="M2377" s="1" t="s">
        <v>50</v>
      </c>
      <c r="N2377" s="1" t="n">
        <v>9999</v>
      </c>
      <c r="O2377" s="1" t="n">
        <v>20</v>
      </c>
      <c r="P2377" s="1" t="n">
        <v>1999.8</v>
      </c>
      <c r="Q2377" s="1" t="n">
        <v>7999.2</v>
      </c>
      <c r="R2377" s="1" t="n">
        <v>1439.86</v>
      </c>
      <c r="S2377" s="1" t="n">
        <v>6559.34</v>
      </c>
      <c r="T2377" s="1" t="n">
        <v>2541.22</v>
      </c>
      <c r="U2377" s="1" t="n">
        <v>4018.12</v>
      </c>
      <c r="V2377" s="1" t="n">
        <v>61.26</v>
      </c>
      <c r="W2377" s="1" t="s">
        <v>39</v>
      </c>
      <c r="X2377" s="1" t="n">
        <v>4.6</v>
      </c>
      <c r="Y2377" s="1" t="s">
        <v>39</v>
      </c>
      <c r="Z2377" s="1" t="n">
        <v>1</v>
      </c>
      <c r="AA2377" s="1" t="str">
        <f aca="false">TRIM(PROPER(F2377))</f>
        <v>Vadodara</v>
      </c>
      <c r="AB2377" s="1" t="str">
        <f aca="false">TRIM(PROPER(C2377))</f>
        <v>Whitehat Jr</v>
      </c>
      <c r="AC2377" s="1" t="str">
        <f aca="false">IF(O2377=0,"No Discount",IF(O2377&lt;=15,"Low (1-15%)",IF(O2377&lt;=30,"Medium (16-30%)","High (&gt;30%)")))</f>
        <v>Medium (16-30%)</v>
      </c>
      <c r="AD2377" s="1" t="str">
        <f aca="false">IF(V2377&lt;0,"Loss Making",IF(V2377&lt;20,"Low Margin","Healthy Margin"))</f>
        <v>Healthy Margin</v>
      </c>
      <c r="AE2377" s="1" t="str">
        <f aca="false">TEXT(DATE(VALUE(RIGHT(B2377,4)),VALUE(MID(B2377,4,2)),VALUE(LEFT(B2377,2))),"MMM-YYYY")</f>
        <v>Sep-2024</v>
      </c>
      <c r="AF2377" s="1" t="n">
        <f aca="false">VALUE(RIGHT(B2377,4))</f>
        <v>2024</v>
      </c>
      <c r="AG2377" s="1" t="str">
        <f aca="false">CHOOSE(ROUNDUP(VALUE(MID(B2377,4,2))/3,0),"Q1","Q2","Q3","Q4")</f>
        <v>Q3</v>
      </c>
    </row>
    <row r="2378" customFormat="false" ht="15" hidden="false" customHeight="true" outlineLevel="0" collapsed="false">
      <c r="A2378" s="1" t="s">
        <v>3250</v>
      </c>
      <c r="B2378" s="1" t="s">
        <v>2149</v>
      </c>
      <c r="C2378" s="1" t="s">
        <v>134</v>
      </c>
      <c r="D2378" s="1" t="s">
        <v>168</v>
      </c>
      <c r="E2378" s="1" t="s">
        <v>172</v>
      </c>
      <c r="F2378" s="1" t="s">
        <v>130</v>
      </c>
      <c r="G2378" s="1" t="s">
        <v>47</v>
      </c>
      <c r="H2378" s="1" t="s">
        <v>69</v>
      </c>
      <c r="I2378" s="1" t="s">
        <v>83</v>
      </c>
      <c r="J2378" s="1" t="s">
        <v>131</v>
      </c>
      <c r="K2378" s="1" t="s">
        <v>60</v>
      </c>
      <c r="L2378" s="1" t="s">
        <v>49</v>
      </c>
      <c r="M2378" s="1" t="s">
        <v>62</v>
      </c>
      <c r="N2378" s="1" t="n">
        <v>6999</v>
      </c>
      <c r="O2378" s="1" t="n">
        <v>15</v>
      </c>
      <c r="P2378" s="1" t="n">
        <v>1049.85</v>
      </c>
      <c r="Q2378" s="1" t="n">
        <v>5949.15</v>
      </c>
      <c r="R2378" s="1" t="n">
        <v>1070.85</v>
      </c>
      <c r="S2378" s="1" t="n">
        <v>4878.3</v>
      </c>
      <c r="T2378" s="1" t="n">
        <v>1825.66</v>
      </c>
      <c r="U2378" s="1" t="n">
        <v>3052.64</v>
      </c>
      <c r="V2378" s="1" t="n">
        <v>62.58</v>
      </c>
      <c r="W2378" s="1" t="s">
        <v>39</v>
      </c>
      <c r="X2378" s="1" t="n">
        <v>3.9</v>
      </c>
      <c r="Y2378" s="1" t="s">
        <v>40</v>
      </c>
      <c r="Z2378" s="1" t="n">
        <v>0</v>
      </c>
      <c r="AA2378" s="1" t="str">
        <f aca="false">TRIM(PROPER(F2378))</f>
        <v>Bengaluru</v>
      </c>
      <c r="AB2378" s="1" t="str">
        <f aca="false">TRIM(PROPER(C2378))</f>
        <v>Doubtnut</v>
      </c>
      <c r="AC2378" s="1" t="str">
        <f aca="false">IF(O2378=0,"No Discount",IF(O2378&lt;=15,"Low (1-15%)",IF(O2378&lt;=30,"Medium (16-30%)","High (&gt;30%)")))</f>
        <v>Low (1-15%)</v>
      </c>
      <c r="AD2378" s="1" t="str">
        <f aca="false">IF(V2378&lt;0,"Loss Making",IF(V2378&lt;20,"Low Margin","Healthy Margin"))</f>
        <v>Healthy Margin</v>
      </c>
      <c r="AE2378" s="1" t="str">
        <f aca="false">TEXT(DATE(VALUE(RIGHT(B2378,4)),VALUE(MID(B2378,4,2)),VALUE(LEFT(B2378,2))),"MMM-YYYY")</f>
        <v>Sep-2023</v>
      </c>
      <c r="AF2378" s="1" t="n">
        <f aca="false">VALUE(RIGHT(B2378,4))</f>
        <v>2023</v>
      </c>
      <c r="AG2378" s="1" t="str">
        <f aca="false">CHOOSE(ROUNDUP(VALUE(MID(B2378,4,2))/3,0),"Q1","Q2","Q3","Q4")</f>
        <v>Q3</v>
      </c>
    </row>
    <row r="2379" customFormat="false" ht="15" hidden="false" customHeight="true" outlineLevel="0" collapsed="false">
      <c r="A2379" s="1" t="s">
        <v>3251</v>
      </c>
      <c r="B2379" s="1" t="s">
        <v>959</v>
      </c>
      <c r="C2379" s="1" t="s">
        <v>167</v>
      </c>
      <c r="D2379" s="1" t="s">
        <v>94</v>
      </c>
      <c r="E2379" s="1" t="s">
        <v>101</v>
      </c>
      <c r="F2379" s="1" t="s">
        <v>244</v>
      </c>
      <c r="G2379" s="1" t="s">
        <v>97</v>
      </c>
      <c r="H2379" s="1" t="s">
        <v>57</v>
      </c>
      <c r="I2379" s="1" t="s">
        <v>34</v>
      </c>
      <c r="J2379" s="1" t="s">
        <v>131</v>
      </c>
      <c r="K2379" s="1" t="s">
        <v>84</v>
      </c>
      <c r="L2379" s="1" t="s">
        <v>85</v>
      </c>
      <c r="M2379" s="1" t="s">
        <v>50</v>
      </c>
      <c r="N2379" s="1" t="n">
        <v>14999</v>
      </c>
      <c r="O2379" s="1" t="n">
        <v>40</v>
      </c>
      <c r="P2379" s="1" t="n">
        <v>5999.6</v>
      </c>
      <c r="Q2379" s="1" t="n">
        <v>8999.4</v>
      </c>
      <c r="R2379" s="1" t="n">
        <v>1619.89</v>
      </c>
      <c r="S2379" s="1" t="n">
        <v>7379.51</v>
      </c>
      <c r="T2379" s="1" t="n">
        <v>4350.83</v>
      </c>
      <c r="U2379" s="1" t="n">
        <v>3028.68</v>
      </c>
      <c r="V2379" s="1" t="n">
        <v>41.04</v>
      </c>
      <c r="W2379" s="1" t="s">
        <v>40</v>
      </c>
      <c r="Y2379" s="1" t="s">
        <v>39</v>
      </c>
      <c r="Z2379" s="1" t="n">
        <v>1</v>
      </c>
      <c r="AA2379" s="1" t="str">
        <f aca="false">TRIM(PROPER(F2379))</f>
        <v>Nagpur</v>
      </c>
      <c r="AB2379" s="1" t="str">
        <f aca="false">TRIM(PROPER(C2379))</f>
        <v>Scaler</v>
      </c>
      <c r="AC2379" s="1" t="str">
        <f aca="false">IF(O2379=0,"No Discount",IF(O2379&lt;=15,"Low (1-15%)",IF(O2379&lt;=30,"Medium (16-30%)","High (&gt;30%)")))</f>
        <v>High (&gt;30%)</v>
      </c>
      <c r="AD2379" s="1" t="str">
        <f aca="false">IF(V2379&lt;0,"Loss Making",IF(V2379&lt;20,"Low Margin","Healthy Margin"))</f>
        <v>Healthy Margin</v>
      </c>
      <c r="AE2379" s="1" t="str">
        <f aca="false">TEXT(DATE(VALUE(RIGHT(B2379,4)),VALUE(MID(B2379,4,2)),VALUE(LEFT(B2379,2))),"MMM-YYYY")</f>
        <v>May-2023</v>
      </c>
      <c r="AF2379" s="1" t="n">
        <f aca="false">VALUE(RIGHT(B2379,4))</f>
        <v>2023</v>
      </c>
      <c r="AG2379" s="1" t="str">
        <f aca="false">CHOOSE(ROUNDUP(VALUE(MID(B2379,4,2))/3,0),"Q1","Q2","Q3","Q4")</f>
        <v>Q2</v>
      </c>
    </row>
    <row r="2380" customFormat="false" ht="15" hidden="false" customHeight="true" outlineLevel="0" collapsed="false">
      <c r="A2380" s="1" t="s">
        <v>3252</v>
      </c>
      <c r="B2380" s="1" t="s">
        <v>680</v>
      </c>
      <c r="C2380" s="1" t="s">
        <v>119</v>
      </c>
      <c r="D2380" s="1" t="s">
        <v>53</v>
      </c>
      <c r="E2380" s="1" t="s">
        <v>216</v>
      </c>
      <c r="F2380" s="1" t="s">
        <v>1709</v>
      </c>
      <c r="G2380" s="1" t="s">
        <v>97</v>
      </c>
      <c r="H2380" s="1" t="s">
        <v>69</v>
      </c>
      <c r="I2380" s="1" t="s">
        <v>83</v>
      </c>
      <c r="J2380" s="1" t="s">
        <v>77</v>
      </c>
      <c r="K2380" s="1" t="s">
        <v>90</v>
      </c>
      <c r="L2380" s="1" t="s">
        <v>136</v>
      </c>
      <c r="M2380" s="1" t="s">
        <v>50</v>
      </c>
      <c r="N2380" s="1" t="n">
        <v>7499</v>
      </c>
      <c r="O2380" s="1" t="n">
        <v>0</v>
      </c>
      <c r="P2380" s="1" t="n">
        <v>0</v>
      </c>
      <c r="Q2380" s="1" t="n">
        <v>7499</v>
      </c>
      <c r="R2380" s="1" t="n">
        <v>1349.82</v>
      </c>
      <c r="S2380" s="1" t="n">
        <v>6149.18</v>
      </c>
      <c r="T2380" s="1" t="n">
        <v>2271.58</v>
      </c>
      <c r="U2380" s="1" t="n">
        <v>3877.6</v>
      </c>
      <c r="V2380" s="1" t="n">
        <v>63.06</v>
      </c>
      <c r="W2380" s="1" t="s">
        <v>40</v>
      </c>
      <c r="Y2380" s="1" t="s">
        <v>40</v>
      </c>
      <c r="Z2380" s="1" t="n">
        <v>0</v>
      </c>
      <c r="AA2380" s="1" t="str">
        <f aca="false">TRIM(PROPER(F2380))</f>
        <v>Mumbai</v>
      </c>
      <c r="AB2380" s="1" t="str">
        <f aca="false">TRIM(PROPER(C2380))</f>
        <v>Simplilearn</v>
      </c>
      <c r="AC2380" s="1" t="str">
        <f aca="false">IF(O2380=0,"No Discount",IF(O2380&lt;=15,"Low (1-15%)",IF(O2380&lt;=30,"Medium (16-30%)","High (&gt;30%)")))</f>
        <v>No Discount</v>
      </c>
      <c r="AD2380" s="1" t="str">
        <f aca="false">IF(V2380&lt;0,"Loss Making",IF(V2380&lt;20,"Low Margin","Healthy Margin"))</f>
        <v>Healthy Margin</v>
      </c>
      <c r="AE2380" s="1" t="str">
        <f aca="false">TEXT(DATE(VALUE(RIGHT(B2380,4)),VALUE(MID(B2380,4,2)),VALUE(LEFT(B2380,2))),"MMM-YYYY")</f>
        <v>May-2023</v>
      </c>
      <c r="AF2380" s="1" t="n">
        <f aca="false">VALUE(RIGHT(B2380,4))</f>
        <v>2023</v>
      </c>
      <c r="AG2380" s="1" t="str">
        <f aca="false">CHOOSE(ROUNDUP(VALUE(MID(B2380,4,2))/3,0),"Q1","Q2","Q3","Q4")</f>
        <v>Q2</v>
      </c>
    </row>
    <row r="2381" customFormat="false" ht="15" hidden="false" customHeight="true" outlineLevel="0" collapsed="false">
      <c r="A2381" s="1" t="s">
        <v>3253</v>
      </c>
      <c r="B2381" s="1" t="s">
        <v>897</v>
      </c>
      <c r="C2381" s="1" t="s">
        <v>100</v>
      </c>
      <c r="D2381" s="1" t="s">
        <v>44</v>
      </c>
      <c r="E2381" s="1" t="s">
        <v>66</v>
      </c>
      <c r="F2381" s="1" t="s">
        <v>269</v>
      </c>
      <c r="G2381" s="1" t="s">
        <v>108</v>
      </c>
      <c r="H2381" s="1" t="s">
        <v>57</v>
      </c>
      <c r="I2381" s="1" t="s">
        <v>83</v>
      </c>
      <c r="J2381" s="1" t="s">
        <v>59</v>
      </c>
      <c r="K2381" s="1" t="s">
        <v>36</v>
      </c>
      <c r="L2381" s="1" t="s">
        <v>113</v>
      </c>
      <c r="M2381" s="1" t="s">
        <v>62</v>
      </c>
      <c r="N2381" s="1" t="n">
        <v>12999</v>
      </c>
      <c r="O2381" s="1" t="n">
        <v>0</v>
      </c>
      <c r="P2381" s="1" t="n">
        <v>0</v>
      </c>
      <c r="Q2381" s="1" t="n">
        <v>12999</v>
      </c>
      <c r="R2381" s="1" t="n">
        <v>2339.82</v>
      </c>
      <c r="S2381" s="1" t="n">
        <v>10659.18</v>
      </c>
      <c r="T2381" s="1" t="n">
        <v>4889.34</v>
      </c>
      <c r="U2381" s="1" t="n">
        <v>5769.84</v>
      </c>
      <c r="V2381" s="1" t="n">
        <v>54.13</v>
      </c>
      <c r="W2381" s="1" t="s">
        <v>39</v>
      </c>
      <c r="X2381" s="1" t="n">
        <v>2.9</v>
      </c>
      <c r="Y2381" s="1" t="s">
        <v>40</v>
      </c>
      <c r="Z2381" s="1" t="n">
        <v>1</v>
      </c>
      <c r="AA2381" s="1" t="str">
        <f aca="false">TRIM(PROPER(F2381))</f>
        <v>Coimbatore</v>
      </c>
      <c r="AB2381" s="1" t="str">
        <f aca="false">TRIM(PROPER(C2381))</f>
        <v>Physics Wallah</v>
      </c>
      <c r="AC2381" s="1" t="str">
        <f aca="false">IF(O2381=0,"No Discount",IF(O2381&lt;=15,"Low (1-15%)",IF(O2381&lt;=30,"Medium (16-30%)","High (&gt;30%)")))</f>
        <v>No Discount</v>
      </c>
      <c r="AD2381" s="1" t="str">
        <f aca="false">IF(V2381&lt;0,"Loss Making",IF(V2381&lt;20,"Low Margin","Healthy Margin"))</f>
        <v>Healthy Margin</v>
      </c>
      <c r="AE2381" s="1" t="str">
        <f aca="false">TEXT(DATE(VALUE(RIGHT(B2381,4)),VALUE(MID(B2381,4,2)),VALUE(LEFT(B2381,2))),"MMM-YYYY")</f>
        <v>Jan-2024</v>
      </c>
      <c r="AF2381" s="1" t="n">
        <f aca="false">VALUE(RIGHT(B2381,4))</f>
        <v>2024</v>
      </c>
      <c r="AG2381" s="1" t="str">
        <f aca="false">CHOOSE(ROUNDUP(VALUE(MID(B2381,4,2))/3,0),"Q1","Q2","Q3","Q4")</f>
        <v>Q1</v>
      </c>
    </row>
    <row r="2382" customFormat="false" ht="15" hidden="false" customHeight="true" outlineLevel="0" collapsed="false">
      <c r="A2382" s="1" t="s">
        <v>3254</v>
      </c>
      <c r="B2382" s="1" t="s">
        <v>513</v>
      </c>
      <c r="C2382" s="1" t="s">
        <v>88</v>
      </c>
      <c r="D2382" s="1" t="s">
        <v>80</v>
      </c>
      <c r="E2382" s="1" t="s">
        <v>193</v>
      </c>
      <c r="F2382" s="1" t="s">
        <v>187</v>
      </c>
      <c r="G2382" s="1" t="s">
        <v>97</v>
      </c>
      <c r="H2382" s="1" t="s">
        <v>69</v>
      </c>
      <c r="I2382" s="1" t="s">
        <v>83</v>
      </c>
      <c r="J2382" s="1" t="s">
        <v>59</v>
      </c>
      <c r="K2382" s="1" t="s">
        <v>104</v>
      </c>
      <c r="L2382" s="1" t="s">
        <v>136</v>
      </c>
      <c r="M2382" s="1" t="s">
        <v>38</v>
      </c>
      <c r="N2382" s="1" t="n">
        <v>8999</v>
      </c>
      <c r="O2382" s="1" t="n">
        <v>30</v>
      </c>
      <c r="P2382" s="1" t="n">
        <v>2699.7</v>
      </c>
      <c r="Q2382" s="1" t="n">
        <v>6299.3</v>
      </c>
      <c r="R2382" s="1" t="n">
        <v>1133.87</v>
      </c>
      <c r="S2382" s="1" t="n">
        <v>5165.43</v>
      </c>
      <c r="T2382" s="1" t="n">
        <v>1901.54</v>
      </c>
      <c r="U2382" s="1" t="n">
        <v>3263.89</v>
      </c>
      <c r="V2382" s="1" t="n">
        <v>63.19</v>
      </c>
      <c r="W2382" s="1" t="s">
        <v>40</v>
      </c>
      <c r="Y2382" s="1" t="s">
        <v>40</v>
      </c>
      <c r="Z2382" s="1" t="n">
        <v>1</v>
      </c>
      <c r="AA2382" s="1" t="str">
        <f aca="false">TRIM(PROPER(F2382))</f>
        <v>Mumbai</v>
      </c>
      <c r="AB2382" s="1" t="str">
        <f aca="false">TRIM(PROPER(C2382))</f>
        <v>Byju'S</v>
      </c>
      <c r="AC2382" s="1" t="str">
        <f aca="false">IF(O2382=0,"No Discount",IF(O2382&lt;=15,"Low (1-15%)",IF(O2382&lt;=30,"Medium (16-30%)","High (&gt;30%)")))</f>
        <v>Medium (16-30%)</v>
      </c>
      <c r="AD2382" s="1" t="str">
        <f aca="false">IF(V2382&lt;0,"Loss Making",IF(V2382&lt;20,"Low Margin","Healthy Margin"))</f>
        <v>Healthy Margin</v>
      </c>
      <c r="AE2382" s="1" t="str">
        <f aca="false">TEXT(DATE(VALUE(RIGHT(B2382,4)),VALUE(MID(B2382,4,2)),VALUE(LEFT(B2382,2))),"MMM-YYYY")</f>
        <v>Jun-2023</v>
      </c>
      <c r="AF2382" s="1" t="n">
        <f aca="false">VALUE(RIGHT(B2382,4))</f>
        <v>2023</v>
      </c>
      <c r="AG2382" s="1" t="str">
        <f aca="false">CHOOSE(ROUNDUP(VALUE(MID(B2382,4,2))/3,0),"Q1","Q2","Q3","Q4")</f>
        <v>Q2</v>
      </c>
    </row>
    <row r="2383" customFormat="false" ht="15" hidden="false" customHeight="true" outlineLevel="0" collapsed="false">
      <c r="A2383" s="1" t="s">
        <v>3255</v>
      </c>
      <c r="B2383" s="1" t="s">
        <v>1678</v>
      </c>
      <c r="C2383" s="1" t="s">
        <v>128</v>
      </c>
      <c r="D2383" s="1" t="s">
        <v>94</v>
      </c>
      <c r="E2383" s="1" t="s">
        <v>95</v>
      </c>
      <c r="F2383" s="1" t="s">
        <v>96</v>
      </c>
      <c r="G2383" s="1" t="s">
        <v>97</v>
      </c>
      <c r="H2383" s="1" t="s">
        <v>69</v>
      </c>
      <c r="I2383" s="1" t="s">
        <v>58</v>
      </c>
      <c r="J2383" s="1" t="s">
        <v>70</v>
      </c>
      <c r="K2383" s="1" t="s">
        <v>48</v>
      </c>
      <c r="L2383" s="1" t="s">
        <v>85</v>
      </c>
      <c r="M2383" s="1" t="s">
        <v>62</v>
      </c>
      <c r="N2383" s="1" t="n">
        <v>6999</v>
      </c>
      <c r="O2383" s="1" t="n">
        <v>0</v>
      </c>
      <c r="P2383" s="1" t="n">
        <v>0</v>
      </c>
      <c r="Q2383" s="1" t="n">
        <v>6999</v>
      </c>
      <c r="R2383" s="1" t="n">
        <v>1259.82</v>
      </c>
      <c r="S2383" s="1" t="n">
        <v>5739.18</v>
      </c>
      <c r="T2383" s="1" t="n">
        <v>2491.35</v>
      </c>
      <c r="U2383" s="1" t="n">
        <v>3247.83</v>
      </c>
      <c r="V2383" s="1" t="n">
        <v>56.59</v>
      </c>
      <c r="W2383" s="1" t="s">
        <v>39</v>
      </c>
      <c r="Y2383" s="1" t="s">
        <v>40</v>
      </c>
      <c r="Z2383" s="1" t="n">
        <v>1</v>
      </c>
      <c r="AA2383" s="1" t="str">
        <f aca="false">TRIM(PROPER(F2383))</f>
        <v>Pune</v>
      </c>
      <c r="AB2383" s="1" t="str">
        <f aca="false">TRIM(PROPER(C2383))</f>
        <v>Great Learning</v>
      </c>
      <c r="AC2383" s="1" t="str">
        <f aca="false">IF(O2383=0,"No Discount",IF(O2383&lt;=15,"Low (1-15%)",IF(O2383&lt;=30,"Medium (16-30%)","High (&gt;30%)")))</f>
        <v>No Discount</v>
      </c>
      <c r="AD2383" s="1" t="str">
        <f aca="false">IF(V2383&lt;0,"Loss Making",IF(V2383&lt;20,"Low Margin","Healthy Margin"))</f>
        <v>Healthy Margin</v>
      </c>
      <c r="AE2383" s="1" t="str">
        <f aca="false">TEXT(DATE(VALUE(RIGHT(B2383,4)),VALUE(MID(B2383,4,2)),VALUE(LEFT(B2383,2))),"MMM-YYYY")</f>
        <v>Sep-2024</v>
      </c>
      <c r="AF2383" s="1" t="n">
        <f aca="false">VALUE(RIGHT(B2383,4))</f>
        <v>2024</v>
      </c>
      <c r="AG2383" s="1" t="str">
        <f aca="false">CHOOSE(ROUNDUP(VALUE(MID(B2383,4,2))/3,0),"Q1","Q2","Q3","Q4")</f>
        <v>Q3</v>
      </c>
    </row>
    <row r="2384" customFormat="false" ht="15" hidden="false" customHeight="true" outlineLevel="0" collapsed="false">
      <c r="A2384" s="1" t="s">
        <v>3256</v>
      </c>
      <c r="B2384" s="1" t="s">
        <v>371</v>
      </c>
      <c r="C2384" s="1" t="s">
        <v>43</v>
      </c>
      <c r="D2384" s="1" t="s">
        <v>143</v>
      </c>
      <c r="E2384" s="1" t="s">
        <v>159</v>
      </c>
      <c r="F2384" s="1" t="s">
        <v>153</v>
      </c>
      <c r="G2384" s="1" t="s">
        <v>76</v>
      </c>
      <c r="H2384" s="1" t="s">
        <v>33</v>
      </c>
      <c r="I2384" s="1" t="s">
        <v>58</v>
      </c>
      <c r="J2384" s="1" t="s">
        <v>35</v>
      </c>
      <c r="K2384" s="1" t="s">
        <v>84</v>
      </c>
      <c r="L2384" s="1" t="s">
        <v>113</v>
      </c>
      <c r="M2384" s="1" t="s">
        <v>62</v>
      </c>
      <c r="N2384" s="1" t="n">
        <v>24999</v>
      </c>
      <c r="O2384" s="1" t="n">
        <v>0</v>
      </c>
      <c r="P2384" s="1" t="n">
        <v>0</v>
      </c>
      <c r="Q2384" s="1" t="n">
        <v>24999</v>
      </c>
      <c r="R2384" s="1" t="n">
        <v>4499.82</v>
      </c>
      <c r="S2384" s="1" t="n">
        <v>20499.18</v>
      </c>
      <c r="T2384" s="1" t="n">
        <v>10092.61</v>
      </c>
      <c r="U2384" s="1" t="n">
        <v>10406.57</v>
      </c>
      <c r="V2384" s="1" t="n">
        <v>50.77</v>
      </c>
      <c r="W2384" s="1" t="s">
        <v>39</v>
      </c>
      <c r="X2384" s="1" t="n">
        <v>3.9</v>
      </c>
      <c r="Y2384" s="1" t="s">
        <v>40</v>
      </c>
      <c r="Z2384" s="1" t="n">
        <v>0</v>
      </c>
      <c r="AA2384" s="1" t="str">
        <f aca="false">TRIM(PROPER(F2384))</f>
        <v>Howrah</v>
      </c>
      <c r="AB2384" s="1" t="str">
        <f aca="false">TRIM(PROPER(C2384))</f>
        <v>Meritnation</v>
      </c>
      <c r="AC2384" s="1" t="str">
        <f aca="false">IF(O2384=0,"No Discount",IF(O2384&lt;=15,"Low (1-15%)",IF(O2384&lt;=30,"Medium (16-30%)","High (&gt;30%)")))</f>
        <v>No Discount</v>
      </c>
      <c r="AD2384" s="1" t="str">
        <f aca="false">IF(V2384&lt;0,"Loss Making",IF(V2384&lt;20,"Low Margin","Healthy Margin"))</f>
        <v>Healthy Margin</v>
      </c>
      <c r="AE2384" s="1" t="str">
        <f aca="false">TEXT(DATE(VALUE(RIGHT(B2384,4)),VALUE(MID(B2384,4,2)),VALUE(LEFT(B2384,2))),"MMM-YYYY")</f>
        <v>Jan-2023</v>
      </c>
      <c r="AF2384" s="1" t="n">
        <f aca="false">VALUE(RIGHT(B2384,4))</f>
        <v>2023</v>
      </c>
      <c r="AG2384" s="1" t="str">
        <f aca="false">CHOOSE(ROUNDUP(VALUE(MID(B2384,4,2))/3,0),"Q1","Q2","Q3","Q4")</f>
        <v>Q1</v>
      </c>
    </row>
    <row r="2385" customFormat="false" ht="15" hidden="false" customHeight="true" outlineLevel="0" collapsed="false">
      <c r="A2385" s="1" t="s">
        <v>3257</v>
      </c>
      <c r="B2385" s="1" t="s">
        <v>601</v>
      </c>
      <c r="C2385" s="1" t="s">
        <v>249</v>
      </c>
      <c r="D2385" s="1" t="s">
        <v>44</v>
      </c>
      <c r="E2385" s="1" t="s">
        <v>45</v>
      </c>
      <c r="F2385" s="1" t="s">
        <v>244</v>
      </c>
      <c r="G2385" s="1" t="s">
        <v>97</v>
      </c>
      <c r="H2385" s="1" t="s">
        <v>57</v>
      </c>
      <c r="I2385" s="1" t="s">
        <v>58</v>
      </c>
      <c r="J2385" s="1" t="s">
        <v>35</v>
      </c>
      <c r="K2385" s="1" t="s">
        <v>84</v>
      </c>
      <c r="L2385" s="1" t="s">
        <v>61</v>
      </c>
      <c r="M2385" s="1" t="s">
        <v>62</v>
      </c>
      <c r="N2385" s="1" t="n">
        <v>11999</v>
      </c>
      <c r="O2385" s="1" t="n">
        <v>20</v>
      </c>
      <c r="P2385" s="1" t="n">
        <v>2399.8</v>
      </c>
      <c r="Q2385" s="1" t="n">
        <v>9599.2</v>
      </c>
      <c r="R2385" s="1" t="n">
        <v>1727.86</v>
      </c>
      <c r="S2385" s="1" t="n">
        <v>7871.34</v>
      </c>
      <c r="T2385" s="1" t="n">
        <v>3369.05</v>
      </c>
      <c r="U2385" s="1" t="n">
        <v>4502.29</v>
      </c>
      <c r="V2385" s="1" t="n">
        <v>57.2</v>
      </c>
      <c r="W2385" s="1" t="s">
        <v>39</v>
      </c>
      <c r="X2385" s="1" t="n">
        <v>3.7</v>
      </c>
      <c r="Y2385" s="1" t="s">
        <v>40</v>
      </c>
      <c r="Z2385" s="1" t="n">
        <v>0</v>
      </c>
      <c r="AA2385" s="1" t="str">
        <f aca="false">TRIM(PROPER(F2385))</f>
        <v>Nagpur</v>
      </c>
      <c r="AB2385" s="1" t="str">
        <f aca="false">TRIM(PROPER(C2385))</f>
        <v>Whitehat Jr</v>
      </c>
      <c r="AC2385" s="1" t="str">
        <f aca="false">IF(O2385=0,"No Discount",IF(O2385&lt;=15,"Low (1-15%)",IF(O2385&lt;=30,"Medium (16-30%)","High (&gt;30%)")))</f>
        <v>Medium (16-30%)</v>
      </c>
      <c r="AD2385" s="1" t="str">
        <f aca="false">IF(V2385&lt;0,"Loss Making",IF(V2385&lt;20,"Low Margin","Healthy Margin"))</f>
        <v>Healthy Margin</v>
      </c>
      <c r="AE2385" s="1" t="str">
        <f aca="false">TEXT(DATE(VALUE(RIGHT(B2385,4)),VALUE(MID(B2385,4,2)),VALUE(LEFT(B2385,2))),"MMM-YYYY")</f>
        <v>Jun-2023</v>
      </c>
      <c r="AF2385" s="1" t="n">
        <f aca="false">VALUE(RIGHT(B2385,4))</f>
        <v>2023</v>
      </c>
      <c r="AG2385" s="1" t="str">
        <f aca="false">CHOOSE(ROUNDUP(VALUE(MID(B2385,4,2))/3,0),"Q1","Q2","Q3","Q4")</f>
        <v>Q2</v>
      </c>
    </row>
    <row r="2386" customFormat="false" ht="15" hidden="false" customHeight="true" outlineLevel="0" collapsed="false">
      <c r="A2386" s="1" t="s">
        <v>3258</v>
      </c>
      <c r="B2386" s="1" t="s">
        <v>876</v>
      </c>
      <c r="C2386" s="1" t="s">
        <v>43</v>
      </c>
      <c r="D2386" s="1" t="s">
        <v>123</v>
      </c>
      <c r="E2386" s="1" t="s">
        <v>147</v>
      </c>
      <c r="F2386" s="1" t="s">
        <v>205</v>
      </c>
      <c r="G2386" s="1" t="s">
        <v>56</v>
      </c>
      <c r="H2386" s="1" t="s">
        <v>69</v>
      </c>
      <c r="I2386" s="1" t="s">
        <v>58</v>
      </c>
      <c r="J2386" s="1" t="s">
        <v>77</v>
      </c>
      <c r="K2386" s="1" t="s">
        <v>84</v>
      </c>
      <c r="L2386" s="1" t="s">
        <v>85</v>
      </c>
      <c r="M2386" s="1" t="s">
        <v>38</v>
      </c>
      <c r="N2386" s="1" t="n">
        <v>6999</v>
      </c>
      <c r="O2386" s="1" t="n">
        <v>30</v>
      </c>
      <c r="P2386" s="1" t="n">
        <v>2099.7</v>
      </c>
      <c r="Q2386" s="1" t="n">
        <v>4899.3</v>
      </c>
      <c r="R2386" s="1" t="n">
        <v>881.87</v>
      </c>
      <c r="S2386" s="1" t="n">
        <v>4017.43</v>
      </c>
      <c r="T2386" s="1" t="n">
        <v>1404.68</v>
      </c>
      <c r="U2386" s="1" t="n">
        <v>2612.75</v>
      </c>
      <c r="V2386" s="1" t="n">
        <v>65.04</v>
      </c>
      <c r="W2386" s="1" t="s">
        <v>40</v>
      </c>
      <c r="Y2386" s="1" t="s">
        <v>40</v>
      </c>
      <c r="Z2386" s="1" t="n">
        <v>0</v>
      </c>
      <c r="AA2386" s="1" t="str">
        <f aca="false">TRIM(PROPER(F2386))</f>
        <v>New Delhi</v>
      </c>
      <c r="AB2386" s="1" t="str">
        <f aca="false">TRIM(PROPER(C2386))</f>
        <v>Meritnation</v>
      </c>
      <c r="AC2386" s="1" t="str">
        <f aca="false">IF(O2386=0,"No Discount",IF(O2386&lt;=15,"Low (1-15%)",IF(O2386&lt;=30,"Medium (16-30%)","High (&gt;30%)")))</f>
        <v>Medium (16-30%)</v>
      </c>
      <c r="AD2386" s="1" t="str">
        <f aca="false">IF(V2386&lt;0,"Loss Making",IF(V2386&lt;20,"Low Margin","Healthy Margin"))</f>
        <v>Healthy Margin</v>
      </c>
      <c r="AE2386" s="1" t="str">
        <f aca="false">TEXT(DATE(VALUE(RIGHT(B2386,4)),VALUE(MID(B2386,4,2)),VALUE(LEFT(B2386,2))),"MMM-YYYY")</f>
        <v>Jul-2023</v>
      </c>
      <c r="AF2386" s="1" t="n">
        <f aca="false">VALUE(RIGHT(B2386,4))</f>
        <v>2023</v>
      </c>
      <c r="AG2386" s="1" t="str">
        <f aca="false">CHOOSE(ROUNDUP(VALUE(MID(B2386,4,2))/3,0),"Q1","Q2","Q3","Q4")</f>
        <v>Q3</v>
      </c>
    </row>
    <row r="2387" customFormat="false" ht="15" hidden="false" customHeight="true" outlineLevel="0" collapsed="false">
      <c r="A2387" s="1" t="s">
        <v>3259</v>
      </c>
      <c r="B2387" s="1" t="s">
        <v>598</v>
      </c>
      <c r="C2387" s="1" t="s">
        <v>178</v>
      </c>
      <c r="D2387" s="1" t="s">
        <v>44</v>
      </c>
      <c r="E2387" s="1" t="s">
        <v>45</v>
      </c>
      <c r="F2387" s="1" t="s">
        <v>150</v>
      </c>
      <c r="G2387" s="1" t="s">
        <v>32</v>
      </c>
      <c r="H2387" s="1" t="s">
        <v>57</v>
      </c>
      <c r="I2387" s="1" t="s">
        <v>58</v>
      </c>
      <c r="J2387" s="1" t="s">
        <v>59</v>
      </c>
      <c r="K2387" s="1" t="s">
        <v>90</v>
      </c>
      <c r="L2387" s="1" t="s">
        <v>49</v>
      </c>
      <c r="M2387" s="1" t="s">
        <v>50</v>
      </c>
      <c r="N2387" s="1" t="n">
        <v>11999</v>
      </c>
      <c r="O2387" s="1" t="n">
        <v>0</v>
      </c>
      <c r="P2387" s="1" t="n">
        <v>0</v>
      </c>
      <c r="Q2387" s="1" t="n">
        <v>11999</v>
      </c>
      <c r="R2387" s="1" t="n">
        <v>2159.82</v>
      </c>
      <c r="S2387" s="1" t="n">
        <v>9839.18</v>
      </c>
      <c r="T2387" s="1" t="n">
        <v>4880.24</v>
      </c>
      <c r="U2387" s="1" t="n">
        <v>4958.94</v>
      </c>
      <c r="V2387" s="1" t="n">
        <v>50.4</v>
      </c>
      <c r="W2387" s="1" t="s">
        <v>39</v>
      </c>
      <c r="X2387" s="1" t="n">
        <v>3.7</v>
      </c>
      <c r="Y2387" s="1" t="s">
        <v>40</v>
      </c>
      <c r="Z2387" s="1" t="n">
        <v>0</v>
      </c>
      <c r="AA2387" s="1" t="str">
        <f aca="false">TRIM(PROPER(F2387))</f>
        <v>Jaipur</v>
      </c>
      <c r="AB2387" s="1" t="str">
        <f aca="false">TRIM(PROPER(C2387))</f>
        <v>Leverage Edu</v>
      </c>
      <c r="AC2387" s="1" t="str">
        <f aca="false">IF(O2387=0,"No Discount",IF(O2387&lt;=15,"Low (1-15%)",IF(O2387&lt;=30,"Medium (16-30%)","High (&gt;30%)")))</f>
        <v>No Discount</v>
      </c>
      <c r="AD2387" s="1" t="str">
        <f aca="false">IF(V2387&lt;0,"Loss Making",IF(V2387&lt;20,"Low Margin","Healthy Margin"))</f>
        <v>Healthy Margin</v>
      </c>
      <c r="AE2387" s="1" t="str">
        <f aca="false">TEXT(DATE(VALUE(RIGHT(B2387,4)),VALUE(MID(B2387,4,2)),VALUE(LEFT(B2387,2))),"MMM-YYYY")</f>
        <v>Feb-2024</v>
      </c>
      <c r="AF2387" s="1" t="n">
        <f aca="false">VALUE(RIGHT(B2387,4))</f>
        <v>2024</v>
      </c>
      <c r="AG2387" s="1" t="str">
        <f aca="false">CHOOSE(ROUNDUP(VALUE(MID(B2387,4,2))/3,0),"Q1","Q2","Q3","Q4")</f>
        <v>Q1</v>
      </c>
    </row>
    <row r="2388" customFormat="false" ht="15" hidden="false" customHeight="true" outlineLevel="0" collapsed="false">
      <c r="A2388" s="1" t="s">
        <v>3260</v>
      </c>
      <c r="B2388" s="1" t="s">
        <v>387</v>
      </c>
      <c r="C2388" s="1" t="s">
        <v>43</v>
      </c>
      <c r="D2388" s="1" t="s">
        <v>168</v>
      </c>
      <c r="E2388" s="1" t="s">
        <v>328</v>
      </c>
      <c r="F2388" s="1" t="s">
        <v>75</v>
      </c>
      <c r="G2388" s="1" t="s">
        <v>76</v>
      </c>
      <c r="H2388" s="1" t="s">
        <v>69</v>
      </c>
      <c r="I2388" s="1" t="s">
        <v>34</v>
      </c>
      <c r="J2388" s="1" t="s">
        <v>131</v>
      </c>
      <c r="K2388" s="1" t="s">
        <v>48</v>
      </c>
      <c r="L2388" s="1" t="s">
        <v>61</v>
      </c>
      <c r="M2388" s="1" t="s">
        <v>62</v>
      </c>
      <c r="N2388" s="1" t="n">
        <v>8999</v>
      </c>
      <c r="O2388" s="1" t="n">
        <v>10</v>
      </c>
      <c r="P2388" s="1" t="n">
        <v>899.9</v>
      </c>
      <c r="Q2388" s="1" t="n">
        <v>8099.1</v>
      </c>
      <c r="R2388" s="1" t="n">
        <v>1457.84</v>
      </c>
      <c r="S2388" s="1" t="n">
        <v>6641.26</v>
      </c>
      <c r="T2388" s="1" t="n">
        <v>2263.33</v>
      </c>
      <c r="U2388" s="1" t="n">
        <v>4377.93</v>
      </c>
      <c r="V2388" s="1" t="n">
        <v>65.92</v>
      </c>
      <c r="W2388" s="1" t="s">
        <v>39</v>
      </c>
      <c r="Y2388" s="1" t="s">
        <v>40</v>
      </c>
      <c r="Z2388" s="1" t="n">
        <v>1</v>
      </c>
      <c r="AA2388" s="1" t="str">
        <f aca="false">TRIM(PROPER(F2388))</f>
        <v>Kolkata</v>
      </c>
      <c r="AB2388" s="1" t="str">
        <f aca="false">TRIM(PROPER(C2388))</f>
        <v>Meritnation</v>
      </c>
      <c r="AC2388" s="1" t="str">
        <f aca="false">IF(O2388=0,"No Discount",IF(O2388&lt;=15,"Low (1-15%)",IF(O2388&lt;=30,"Medium (16-30%)","High (&gt;30%)")))</f>
        <v>Low (1-15%)</v>
      </c>
      <c r="AD2388" s="1" t="str">
        <f aca="false">IF(V2388&lt;0,"Loss Making",IF(V2388&lt;20,"Low Margin","Healthy Margin"))</f>
        <v>Healthy Margin</v>
      </c>
      <c r="AE2388" s="1" t="str">
        <f aca="false">TEXT(DATE(VALUE(RIGHT(B2388,4)),VALUE(MID(B2388,4,2)),VALUE(LEFT(B2388,2))),"MMM-YYYY")</f>
        <v>Dec-2023</v>
      </c>
      <c r="AF2388" s="1" t="n">
        <f aca="false">VALUE(RIGHT(B2388,4))</f>
        <v>2023</v>
      </c>
      <c r="AG2388" s="1" t="str">
        <f aca="false">CHOOSE(ROUNDUP(VALUE(MID(B2388,4,2))/3,0),"Q1","Q2","Q3","Q4")</f>
        <v>Q4</v>
      </c>
    </row>
    <row r="2389" customFormat="false" ht="15" hidden="false" customHeight="true" outlineLevel="0" collapsed="false">
      <c r="A2389" s="1" t="s">
        <v>3261</v>
      </c>
      <c r="B2389" s="1" t="s">
        <v>2360</v>
      </c>
      <c r="C2389" s="1" t="s">
        <v>264</v>
      </c>
      <c r="D2389" s="1" t="s">
        <v>143</v>
      </c>
      <c r="E2389" s="1" t="s">
        <v>162</v>
      </c>
      <c r="F2389" s="1" t="s">
        <v>602</v>
      </c>
      <c r="G2389" s="1" t="s">
        <v>32</v>
      </c>
      <c r="H2389" s="1" t="s">
        <v>33</v>
      </c>
      <c r="I2389" s="1" t="s">
        <v>83</v>
      </c>
      <c r="J2389" s="1" t="s">
        <v>35</v>
      </c>
      <c r="K2389" s="1" t="s">
        <v>36</v>
      </c>
      <c r="L2389" s="1" t="s">
        <v>136</v>
      </c>
      <c r="M2389" s="1" t="s">
        <v>62</v>
      </c>
      <c r="N2389" s="1" t="n">
        <v>14999</v>
      </c>
      <c r="O2389" s="1" t="n">
        <v>5</v>
      </c>
      <c r="P2389" s="1" t="n">
        <v>749.95</v>
      </c>
      <c r="Q2389" s="1" t="n">
        <v>14249.05</v>
      </c>
      <c r="R2389" s="1" t="n">
        <v>2564.83</v>
      </c>
      <c r="S2389" s="1" t="n">
        <v>11684.22</v>
      </c>
      <c r="T2389" s="1" t="n">
        <v>5939.74</v>
      </c>
      <c r="U2389" s="1" t="n">
        <v>5744.48</v>
      </c>
      <c r="V2389" s="1" t="n">
        <v>49.16</v>
      </c>
      <c r="W2389" s="1" t="s">
        <v>40</v>
      </c>
      <c r="Y2389" s="1" t="s">
        <v>40</v>
      </c>
      <c r="Z2389" s="1" t="n">
        <v>1</v>
      </c>
      <c r="AA2389" s="1" t="str">
        <f aca="false">TRIM(PROPER(F2389))</f>
        <v>Jodhpur</v>
      </c>
      <c r="AB2389" s="1" t="str">
        <f aca="false">TRIM(PROPER(C2389))</f>
        <v>Unacademy</v>
      </c>
      <c r="AC2389" s="1" t="str">
        <f aca="false">IF(O2389=0,"No Discount",IF(O2389&lt;=15,"Low (1-15%)",IF(O2389&lt;=30,"Medium (16-30%)","High (&gt;30%)")))</f>
        <v>Low (1-15%)</v>
      </c>
      <c r="AD2389" s="1" t="str">
        <f aca="false">IF(V2389&lt;0,"Loss Making",IF(V2389&lt;20,"Low Margin","Healthy Margin"))</f>
        <v>Healthy Margin</v>
      </c>
      <c r="AE2389" s="1" t="str">
        <f aca="false">TEXT(DATE(VALUE(RIGHT(B2389,4)),VALUE(MID(B2389,4,2)),VALUE(LEFT(B2389,2))),"MMM-YYYY")</f>
        <v>Jan-2023</v>
      </c>
      <c r="AF2389" s="1" t="n">
        <f aca="false">VALUE(RIGHT(B2389,4))</f>
        <v>2023</v>
      </c>
      <c r="AG2389" s="1" t="str">
        <f aca="false">CHOOSE(ROUNDUP(VALUE(MID(B2389,4,2))/3,0),"Q1","Q2","Q3","Q4")</f>
        <v>Q1</v>
      </c>
    </row>
    <row r="2390" customFormat="false" ht="15" hidden="false" customHeight="true" outlineLevel="0" collapsed="false">
      <c r="A2390" s="1" t="s">
        <v>590</v>
      </c>
      <c r="B2390" s="1" t="s">
        <v>591</v>
      </c>
      <c r="C2390" s="1" t="s">
        <v>88</v>
      </c>
      <c r="D2390" s="1" t="s">
        <v>44</v>
      </c>
      <c r="E2390" s="1" t="s">
        <v>45</v>
      </c>
      <c r="F2390" s="1" t="s">
        <v>184</v>
      </c>
      <c r="G2390" s="1" t="s">
        <v>56</v>
      </c>
      <c r="H2390" s="1" t="s">
        <v>57</v>
      </c>
      <c r="I2390" s="1" t="s">
        <v>83</v>
      </c>
      <c r="J2390" s="1" t="s">
        <v>35</v>
      </c>
      <c r="K2390" s="1" t="s">
        <v>112</v>
      </c>
      <c r="L2390" s="1" t="s">
        <v>49</v>
      </c>
      <c r="M2390" s="1" t="s">
        <v>50</v>
      </c>
      <c r="N2390" s="1" t="n">
        <v>11999</v>
      </c>
      <c r="O2390" s="1" t="n">
        <v>30</v>
      </c>
      <c r="P2390" s="1" t="n">
        <v>3599.7</v>
      </c>
      <c r="Q2390" s="1" t="n">
        <v>8399.3</v>
      </c>
      <c r="R2390" s="1" t="n">
        <v>1511.87</v>
      </c>
      <c r="S2390" s="1" t="n">
        <v>6887.43</v>
      </c>
      <c r="T2390" s="1" t="n">
        <v>3300</v>
      </c>
      <c r="U2390" s="1" t="n">
        <v>3587.43</v>
      </c>
      <c r="V2390" s="1" t="n">
        <v>52.09</v>
      </c>
      <c r="W2390" s="1" t="s">
        <v>40</v>
      </c>
      <c r="Y2390" s="1" t="s">
        <v>40</v>
      </c>
      <c r="Z2390" s="1" t="n">
        <v>2</v>
      </c>
      <c r="AA2390" s="1" t="str">
        <f aca="false">TRIM(PROPER(F2390))</f>
        <v>Faridabad</v>
      </c>
      <c r="AB2390" s="1" t="str">
        <f aca="false">TRIM(PROPER(C2390))</f>
        <v>Byju'S</v>
      </c>
      <c r="AC2390" s="1" t="str">
        <f aca="false">IF(O2390=0,"No Discount",IF(O2390&lt;=15,"Low (1-15%)",IF(O2390&lt;=30,"Medium (16-30%)","High (&gt;30%)")))</f>
        <v>Medium (16-30%)</v>
      </c>
      <c r="AD2390" s="1" t="str">
        <f aca="false">IF(V2390&lt;0,"Loss Making",IF(V2390&lt;20,"Low Margin","Healthy Margin"))</f>
        <v>Healthy Margin</v>
      </c>
      <c r="AE2390" s="1" t="str">
        <f aca="false">TEXT(DATE(VALUE(RIGHT(B2390,4)),VALUE(MID(B2390,4,2)),VALUE(LEFT(B2390,2))),"MMM-YYYY")</f>
        <v>May-2024</v>
      </c>
      <c r="AF2390" s="1" t="n">
        <f aca="false">VALUE(RIGHT(B2390,4))</f>
        <v>2024</v>
      </c>
      <c r="AG2390" s="1" t="str">
        <f aca="false">CHOOSE(ROUNDUP(VALUE(MID(B2390,4,2))/3,0),"Q1","Q2","Q3","Q4")</f>
        <v>Q2</v>
      </c>
    </row>
    <row r="2391" customFormat="false" ht="15" hidden="false" customHeight="true" outlineLevel="0" collapsed="false">
      <c r="A2391" s="1" t="s">
        <v>3262</v>
      </c>
      <c r="B2391" s="1" t="s">
        <v>994</v>
      </c>
      <c r="C2391" s="1" t="s">
        <v>264</v>
      </c>
      <c r="D2391" s="1" t="s">
        <v>143</v>
      </c>
      <c r="E2391" s="1" t="s">
        <v>243</v>
      </c>
      <c r="F2391" s="1" t="s">
        <v>31</v>
      </c>
      <c r="G2391" s="1" t="s">
        <v>32</v>
      </c>
      <c r="H2391" s="1" t="s">
        <v>33</v>
      </c>
      <c r="I2391" s="1" t="s">
        <v>58</v>
      </c>
      <c r="J2391" s="1" t="s">
        <v>77</v>
      </c>
      <c r="K2391" s="1" t="s">
        <v>60</v>
      </c>
      <c r="L2391" s="1" t="s">
        <v>37</v>
      </c>
      <c r="M2391" s="1" t="s">
        <v>38</v>
      </c>
      <c r="N2391" s="1" t="n">
        <v>22999</v>
      </c>
      <c r="O2391" s="1" t="n">
        <v>10</v>
      </c>
      <c r="P2391" s="1" t="n">
        <v>2299.9</v>
      </c>
      <c r="Q2391" s="1" t="n">
        <v>20699.1</v>
      </c>
      <c r="R2391" s="1" t="n">
        <v>3725.84</v>
      </c>
      <c r="S2391" s="1" t="n">
        <v>16973.26</v>
      </c>
      <c r="T2391" s="1" t="n">
        <v>7090.85</v>
      </c>
      <c r="U2391" s="1" t="n">
        <v>9882.41</v>
      </c>
      <c r="V2391" s="1" t="n">
        <v>58.22</v>
      </c>
      <c r="W2391" s="1" t="s">
        <v>40</v>
      </c>
      <c r="Y2391" s="1" t="s">
        <v>39</v>
      </c>
      <c r="Z2391" s="1" t="n">
        <v>1</v>
      </c>
      <c r="AA2391" s="1" t="str">
        <f aca="false">TRIM(PROPER(F2391))</f>
        <v>Jodhpur</v>
      </c>
      <c r="AB2391" s="1" t="str">
        <f aca="false">TRIM(PROPER(C2391))</f>
        <v>Unacademy</v>
      </c>
      <c r="AC2391" s="1" t="str">
        <f aca="false">IF(O2391=0,"No Discount",IF(O2391&lt;=15,"Low (1-15%)",IF(O2391&lt;=30,"Medium (16-30%)","High (&gt;30%)")))</f>
        <v>Low (1-15%)</v>
      </c>
      <c r="AD2391" s="1" t="str">
        <f aca="false">IF(V2391&lt;0,"Loss Making",IF(V2391&lt;20,"Low Margin","Healthy Margin"))</f>
        <v>Healthy Margin</v>
      </c>
      <c r="AE2391" s="1" t="str">
        <f aca="false">TEXT(DATE(VALUE(RIGHT(B2391,4)),VALUE(MID(B2391,4,2)),VALUE(LEFT(B2391,2))),"MMM-YYYY")</f>
        <v>Oct-2023</v>
      </c>
      <c r="AF2391" s="1" t="n">
        <f aca="false">VALUE(RIGHT(B2391,4))</f>
        <v>2023</v>
      </c>
      <c r="AG2391" s="1" t="str">
        <f aca="false">CHOOSE(ROUNDUP(VALUE(MID(B2391,4,2))/3,0),"Q1","Q2","Q3","Q4")</f>
        <v>Q4</v>
      </c>
    </row>
    <row r="2392" customFormat="false" ht="15" hidden="false" customHeight="true" outlineLevel="0" collapsed="false">
      <c r="A2392" s="1" t="s">
        <v>3263</v>
      </c>
      <c r="B2392" s="1" t="s">
        <v>1625</v>
      </c>
      <c r="C2392" s="1" t="s">
        <v>119</v>
      </c>
      <c r="D2392" s="1" t="s">
        <v>80</v>
      </c>
      <c r="E2392" s="1" t="s">
        <v>193</v>
      </c>
      <c r="F2392" s="1" t="s">
        <v>125</v>
      </c>
      <c r="G2392" s="1" t="s">
        <v>108</v>
      </c>
      <c r="H2392" s="1" t="s">
        <v>69</v>
      </c>
      <c r="I2392" s="1" t="s">
        <v>83</v>
      </c>
      <c r="J2392" s="1" t="s">
        <v>77</v>
      </c>
      <c r="K2392" s="1" t="s">
        <v>90</v>
      </c>
      <c r="L2392" s="1" t="s">
        <v>113</v>
      </c>
      <c r="M2392" s="1" t="s">
        <v>38</v>
      </c>
      <c r="N2392" s="1" t="n">
        <v>8999</v>
      </c>
      <c r="O2392" s="1" t="n">
        <v>10</v>
      </c>
      <c r="P2392" s="1" t="n">
        <v>899.9</v>
      </c>
      <c r="Q2392" s="1" t="n">
        <v>8099.1</v>
      </c>
      <c r="R2392" s="1" t="n">
        <v>1457.84</v>
      </c>
      <c r="S2392" s="1" t="n">
        <v>6641.26</v>
      </c>
      <c r="T2392" s="1" t="n">
        <v>2670.44</v>
      </c>
      <c r="U2392" s="1" t="n">
        <v>3970.82</v>
      </c>
      <c r="V2392" s="1" t="n">
        <v>59.79</v>
      </c>
      <c r="W2392" s="1" t="s">
        <v>39</v>
      </c>
      <c r="X2392" s="1" t="n">
        <v>3.9</v>
      </c>
      <c r="Y2392" s="1" t="s">
        <v>40</v>
      </c>
      <c r="Z2392" s="1" t="n">
        <v>3</v>
      </c>
      <c r="AA2392" s="1" t="str">
        <f aca="false">TRIM(PROPER(F2392))</f>
        <v>Chennai</v>
      </c>
      <c r="AB2392" s="1" t="str">
        <f aca="false">TRIM(PROPER(C2392))</f>
        <v>Simplilearn</v>
      </c>
      <c r="AC2392" s="1" t="str">
        <f aca="false">IF(O2392=0,"No Discount",IF(O2392&lt;=15,"Low (1-15%)",IF(O2392&lt;=30,"Medium (16-30%)","High (&gt;30%)")))</f>
        <v>Low (1-15%)</v>
      </c>
      <c r="AD2392" s="1" t="str">
        <f aca="false">IF(V2392&lt;0,"Loss Making",IF(V2392&lt;20,"Low Margin","Healthy Margin"))</f>
        <v>Healthy Margin</v>
      </c>
      <c r="AE2392" s="1" t="str">
        <f aca="false">TEXT(DATE(VALUE(RIGHT(B2392,4)),VALUE(MID(B2392,4,2)),VALUE(LEFT(B2392,2))),"MMM-YYYY")</f>
        <v>Sep-2023</v>
      </c>
      <c r="AF2392" s="1" t="n">
        <f aca="false">VALUE(RIGHT(B2392,4))</f>
        <v>2023</v>
      </c>
      <c r="AG2392" s="1" t="str">
        <f aca="false">CHOOSE(ROUNDUP(VALUE(MID(B2392,4,2))/3,0),"Q1","Q2","Q3","Q4")</f>
        <v>Q3</v>
      </c>
    </row>
    <row r="2393" customFormat="false" ht="15" hidden="false" customHeight="true" outlineLevel="0" collapsed="false">
      <c r="A2393" s="1" t="s">
        <v>3264</v>
      </c>
      <c r="B2393" s="1" t="s">
        <v>1855</v>
      </c>
      <c r="C2393" s="1" t="s">
        <v>65</v>
      </c>
      <c r="D2393" s="1" t="s">
        <v>53</v>
      </c>
      <c r="E2393" s="1" t="s">
        <v>116</v>
      </c>
      <c r="F2393" s="1" t="s">
        <v>67</v>
      </c>
      <c r="G2393" s="1" t="s">
        <v>68</v>
      </c>
      <c r="H2393" s="1" t="s">
        <v>69</v>
      </c>
      <c r="I2393" s="1" t="s">
        <v>83</v>
      </c>
      <c r="J2393" s="1" t="s">
        <v>77</v>
      </c>
      <c r="K2393" s="1" t="s">
        <v>36</v>
      </c>
      <c r="L2393" s="1" t="s">
        <v>37</v>
      </c>
      <c r="M2393" s="1" t="s">
        <v>50</v>
      </c>
      <c r="N2393" s="1" t="n">
        <v>9999</v>
      </c>
      <c r="O2393" s="1" t="n">
        <v>25</v>
      </c>
      <c r="P2393" s="1" t="n">
        <v>2499.75</v>
      </c>
      <c r="Q2393" s="1" t="n">
        <v>7499.25</v>
      </c>
      <c r="R2393" s="1" t="n">
        <v>1349.87</v>
      </c>
      <c r="S2393" s="1" t="n">
        <v>6149.38</v>
      </c>
      <c r="T2393" s="1" t="n">
        <v>2541.01</v>
      </c>
      <c r="U2393" s="1" t="n">
        <v>3608.37</v>
      </c>
      <c r="V2393" s="1" t="n">
        <v>58.68</v>
      </c>
      <c r="W2393" s="1" t="s">
        <v>40</v>
      </c>
      <c r="Y2393" s="1" t="s">
        <v>40</v>
      </c>
      <c r="Z2393" s="1" t="n">
        <v>0</v>
      </c>
      <c r="AA2393" s="1" t="str">
        <f aca="false">TRIM(PROPER(F2393))</f>
        <v>Ahmedabad</v>
      </c>
      <c r="AB2393" s="1" t="str">
        <f aca="false">TRIM(PROPER(C2393))</f>
        <v>Toppr</v>
      </c>
      <c r="AC2393" s="1" t="str">
        <f aca="false">IF(O2393=0,"No Discount",IF(O2393&lt;=15,"Low (1-15%)",IF(O2393&lt;=30,"Medium (16-30%)","High (&gt;30%)")))</f>
        <v>Medium (16-30%)</v>
      </c>
      <c r="AD2393" s="1" t="str">
        <f aca="false">IF(V2393&lt;0,"Loss Making",IF(V2393&lt;20,"Low Margin","Healthy Margin"))</f>
        <v>Healthy Margin</v>
      </c>
      <c r="AE2393" s="1" t="str">
        <f aca="false">TEXT(DATE(VALUE(RIGHT(B2393,4)),VALUE(MID(B2393,4,2)),VALUE(LEFT(B2393,2))),"MMM-YYYY")</f>
        <v>May-2024</v>
      </c>
      <c r="AF2393" s="1" t="n">
        <f aca="false">VALUE(RIGHT(B2393,4))</f>
        <v>2024</v>
      </c>
      <c r="AG2393" s="1" t="str">
        <f aca="false">CHOOSE(ROUNDUP(VALUE(MID(B2393,4,2))/3,0),"Q1","Q2","Q3","Q4")</f>
        <v>Q2</v>
      </c>
    </row>
    <row r="2394" customFormat="false" ht="15" hidden="false" customHeight="true" outlineLevel="0" collapsed="false">
      <c r="A2394" s="1" t="s">
        <v>3265</v>
      </c>
      <c r="B2394" s="1" t="s">
        <v>882</v>
      </c>
      <c r="C2394" s="1" t="s">
        <v>249</v>
      </c>
      <c r="D2394" s="1" t="s">
        <v>168</v>
      </c>
      <c r="E2394" s="1" t="s">
        <v>169</v>
      </c>
      <c r="F2394" s="1" t="s">
        <v>46</v>
      </c>
      <c r="G2394" s="1" t="s">
        <v>47</v>
      </c>
      <c r="H2394" s="1" t="s">
        <v>33</v>
      </c>
      <c r="I2394" s="1" t="s">
        <v>34</v>
      </c>
      <c r="J2394" s="1" t="s">
        <v>77</v>
      </c>
      <c r="K2394" s="1" t="s">
        <v>48</v>
      </c>
      <c r="L2394" s="1" t="s">
        <v>37</v>
      </c>
      <c r="M2394" s="1" t="s">
        <v>38</v>
      </c>
      <c r="N2394" s="1" t="n">
        <v>4999</v>
      </c>
      <c r="O2394" s="1" t="n">
        <v>10</v>
      </c>
      <c r="P2394" s="1" t="n">
        <v>499.9</v>
      </c>
      <c r="Q2394" s="1" t="n">
        <v>4499.1</v>
      </c>
      <c r="R2394" s="1" t="n">
        <v>809.84</v>
      </c>
      <c r="S2394" s="1" t="n">
        <v>3689.26</v>
      </c>
      <c r="T2394" s="1" t="n">
        <v>1541.08</v>
      </c>
      <c r="U2394" s="1" t="n">
        <v>2148.18</v>
      </c>
      <c r="V2394" s="1" t="n">
        <v>58.23</v>
      </c>
      <c r="W2394" s="1" t="s">
        <v>39</v>
      </c>
      <c r="X2394" s="1" t="n">
        <v>3.7</v>
      </c>
      <c r="Y2394" s="1" t="s">
        <v>40</v>
      </c>
      <c r="Z2394" s="1" t="n">
        <v>0</v>
      </c>
      <c r="AA2394" s="1" t="str">
        <f aca="false">TRIM(PROPER(F2394))</f>
        <v>Mangaluru</v>
      </c>
      <c r="AB2394" s="1" t="str">
        <f aca="false">TRIM(PROPER(C2394))</f>
        <v>Whitehat Jr</v>
      </c>
      <c r="AC2394" s="1" t="str">
        <f aca="false">IF(O2394=0,"No Discount",IF(O2394&lt;=15,"Low (1-15%)",IF(O2394&lt;=30,"Medium (16-30%)","High (&gt;30%)")))</f>
        <v>Low (1-15%)</v>
      </c>
      <c r="AD2394" s="1" t="str">
        <f aca="false">IF(V2394&lt;0,"Loss Making",IF(V2394&lt;20,"Low Margin","Healthy Margin"))</f>
        <v>Healthy Margin</v>
      </c>
      <c r="AE2394" s="1" t="str">
        <f aca="false">TEXT(DATE(VALUE(RIGHT(B2394,4)),VALUE(MID(B2394,4,2)),VALUE(LEFT(B2394,2))),"MMM-YYYY")</f>
        <v>Aug-2024</v>
      </c>
      <c r="AF2394" s="1" t="n">
        <f aca="false">VALUE(RIGHT(B2394,4))</f>
        <v>2024</v>
      </c>
      <c r="AG2394" s="1" t="str">
        <f aca="false">CHOOSE(ROUNDUP(VALUE(MID(B2394,4,2))/3,0),"Q1","Q2","Q3","Q4")</f>
        <v>Q3</v>
      </c>
    </row>
    <row r="2395" customFormat="false" ht="15" hidden="false" customHeight="true" outlineLevel="0" collapsed="false">
      <c r="A2395" s="1" t="s">
        <v>3266</v>
      </c>
      <c r="B2395" s="1" t="s">
        <v>732</v>
      </c>
      <c r="C2395" s="1" t="s">
        <v>88</v>
      </c>
      <c r="D2395" s="1" t="s">
        <v>80</v>
      </c>
      <c r="E2395" s="1" t="s">
        <v>175</v>
      </c>
      <c r="F2395" s="1" t="s">
        <v>46</v>
      </c>
      <c r="G2395" s="1" t="s">
        <v>47</v>
      </c>
      <c r="H2395" s="1" t="s">
        <v>33</v>
      </c>
      <c r="I2395" s="1" t="s">
        <v>83</v>
      </c>
      <c r="J2395" s="1" t="s">
        <v>77</v>
      </c>
      <c r="K2395" s="1" t="s">
        <v>112</v>
      </c>
      <c r="L2395" s="1" t="s">
        <v>85</v>
      </c>
      <c r="M2395" s="1" t="s">
        <v>62</v>
      </c>
      <c r="N2395" s="1" t="n">
        <v>19999</v>
      </c>
      <c r="O2395" s="1" t="n">
        <v>0</v>
      </c>
      <c r="P2395" s="1" t="n">
        <v>0</v>
      </c>
      <c r="Q2395" s="1" t="n">
        <v>19999</v>
      </c>
      <c r="R2395" s="1" t="n">
        <v>3599.82</v>
      </c>
      <c r="S2395" s="1" t="n">
        <v>16399.18</v>
      </c>
      <c r="T2395" s="1" t="n">
        <v>7538.13</v>
      </c>
      <c r="U2395" s="1" t="n">
        <v>8861.05</v>
      </c>
      <c r="V2395" s="1" t="n">
        <v>54.03</v>
      </c>
      <c r="W2395" s="1" t="s">
        <v>39</v>
      </c>
      <c r="X2395" s="1" t="n">
        <v>3.9</v>
      </c>
      <c r="Y2395" s="1" t="s">
        <v>40</v>
      </c>
      <c r="Z2395" s="1" t="n">
        <v>0</v>
      </c>
      <c r="AA2395" s="1" t="str">
        <f aca="false">TRIM(PROPER(F2395))</f>
        <v>Mangaluru</v>
      </c>
      <c r="AB2395" s="1" t="str">
        <f aca="false">TRIM(PROPER(C2395))</f>
        <v>Byju'S</v>
      </c>
      <c r="AC2395" s="1" t="str">
        <f aca="false">IF(O2395=0,"No Discount",IF(O2395&lt;=15,"Low (1-15%)",IF(O2395&lt;=30,"Medium (16-30%)","High (&gt;30%)")))</f>
        <v>No Discount</v>
      </c>
      <c r="AD2395" s="1" t="str">
        <f aca="false">IF(V2395&lt;0,"Loss Making",IF(V2395&lt;20,"Low Margin","Healthy Margin"))</f>
        <v>Healthy Margin</v>
      </c>
      <c r="AE2395" s="1" t="str">
        <f aca="false">TEXT(DATE(VALUE(RIGHT(B2395,4)),VALUE(MID(B2395,4,2)),VALUE(LEFT(B2395,2))),"MMM-YYYY")</f>
        <v>Jul-2023</v>
      </c>
      <c r="AF2395" s="1" t="n">
        <f aca="false">VALUE(RIGHT(B2395,4))</f>
        <v>2023</v>
      </c>
      <c r="AG2395" s="1" t="str">
        <f aca="false">CHOOSE(ROUNDUP(VALUE(MID(B2395,4,2))/3,0),"Q1","Q2","Q3","Q4")</f>
        <v>Q3</v>
      </c>
    </row>
    <row r="2396" customFormat="false" ht="15" hidden="false" customHeight="true" outlineLevel="0" collapsed="false">
      <c r="A2396" s="1" t="s">
        <v>3267</v>
      </c>
      <c r="B2396" s="1" t="s">
        <v>2360</v>
      </c>
      <c r="C2396" s="1" t="s">
        <v>134</v>
      </c>
      <c r="D2396" s="1" t="s">
        <v>94</v>
      </c>
      <c r="E2396" s="1" t="s">
        <v>135</v>
      </c>
      <c r="F2396" s="1" t="s">
        <v>130</v>
      </c>
      <c r="G2396" s="1" t="s">
        <v>47</v>
      </c>
      <c r="H2396" s="1" t="s">
        <v>69</v>
      </c>
      <c r="I2396" s="1" t="s">
        <v>34</v>
      </c>
      <c r="J2396" s="1" t="s">
        <v>70</v>
      </c>
      <c r="K2396" s="1" t="s">
        <v>90</v>
      </c>
      <c r="L2396" s="1" t="s">
        <v>136</v>
      </c>
      <c r="M2396" s="1" t="s">
        <v>38</v>
      </c>
      <c r="N2396" s="1" t="n">
        <v>9999</v>
      </c>
      <c r="O2396" s="1" t="n">
        <v>0</v>
      </c>
      <c r="P2396" s="1" t="n">
        <v>0</v>
      </c>
      <c r="Q2396" s="1" t="n">
        <v>9999</v>
      </c>
      <c r="R2396" s="1" t="n">
        <v>1799.82</v>
      </c>
      <c r="S2396" s="1" t="n">
        <v>8199.18</v>
      </c>
      <c r="T2396" s="1" t="n">
        <v>2467.44</v>
      </c>
      <c r="U2396" s="1" t="n">
        <v>5731.74</v>
      </c>
      <c r="V2396" s="1" t="n">
        <v>69.91</v>
      </c>
      <c r="W2396" s="1" t="s">
        <v>39</v>
      </c>
      <c r="X2396" s="1" t="n">
        <v>4.9</v>
      </c>
      <c r="Y2396" s="1" t="s">
        <v>40</v>
      </c>
      <c r="Z2396" s="1" t="n">
        <v>3</v>
      </c>
      <c r="AA2396" s="1" t="str">
        <f aca="false">TRIM(PROPER(F2396))</f>
        <v>Bengaluru</v>
      </c>
      <c r="AB2396" s="1" t="str">
        <f aca="false">TRIM(PROPER(C2396))</f>
        <v>Doubtnut</v>
      </c>
      <c r="AC2396" s="1" t="str">
        <f aca="false">IF(O2396=0,"No Discount",IF(O2396&lt;=15,"Low (1-15%)",IF(O2396&lt;=30,"Medium (16-30%)","High (&gt;30%)")))</f>
        <v>No Discount</v>
      </c>
      <c r="AD2396" s="1" t="str">
        <f aca="false">IF(V2396&lt;0,"Loss Making",IF(V2396&lt;20,"Low Margin","Healthy Margin"))</f>
        <v>Healthy Margin</v>
      </c>
      <c r="AE2396" s="1" t="str">
        <f aca="false">TEXT(DATE(VALUE(RIGHT(B2396,4)),VALUE(MID(B2396,4,2)),VALUE(LEFT(B2396,2))),"MMM-YYYY")</f>
        <v>Jan-2023</v>
      </c>
      <c r="AF2396" s="1" t="n">
        <f aca="false">VALUE(RIGHT(B2396,4))</f>
        <v>2023</v>
      </c>
      <c r="AG2396" s="1" t="str">
        <f aca="false">CHOOSE(ROUNDUP(VALUE(MID(B2396,4,2))/3,0),"Q1","Q2","Q3","Q4")</f>
        <v>Q1</v>
      </c>
    </row>
    <row r="2397" customFormat="false" ht="15" hidden="false" customHeight="true" outlineLevel="0" collapsed="false">
      <c r="A2397" s="1" t="s">
        <v>3268</v>
      </c>
      <c r="B2397" s="1" t="s">
        <v>1056</v>
      </c>
      <c r="C2397" s="1" t="s">
        <v>88</v>
      </c>
      <c r="D2397" s="1" t="s">
        <v>143</v>
      </c>
      <c r="E2397" s="1" t="s">
        <v>159</v>
      </c>
      <c r="F2397" s="1" t="s">
        <v>211</v>
      </c>
      <c r="G2397" s="1" t="s">
        <v>56</v>
      </c>
      <c r="H2397" s="1" t="s">
        <v>69</v>
      </c>
      <c r="I2397" s="1" t="s">
        <v>34</v>
      </c>
      <c r="J2397" s="1" t="s">
        <v>131</v>
      </c>
      <c r="K2397" s="1" t="s">
        <v>36</v>
      </c>
      <c r="L2397" s="1" t="s">
        <v>85</v>
      </c>
      <c r="M2397" s="1" t="s">
        <v>50</v>
      </c>
      <c r="N2397" s="1" t="n">
        <v>24999</v>
      </c>
      <c r="O2397" s="1" t="n">
        <v>15</v>
      </c>
      <c r="P2397" s="1" t="n">
        <v>3749.85</v>
      </c>
      <c r="Q2397" s="1" t="n">
        <v>21249.15</v>
      </c>
      <c r="R2397" s="1" t="n">
        <v>3824.85</v>
      </c>
      <c r="S2397" s="1" t="n">
        <v>17424.3</v>
      </c>
      <c r="T2397" s="1" t="n">
        <v>6039.59</v>
      </c>
      <c r="U2397" s="1" t="n">
        <v>11384.71</v>
      </c>
      <c r="V2397" s="1" t="n">
        <v>65.34</v>
      </c>
      <c r="W2397" s="1" t="s">
        <v>39</v>
      </c>
      <c r="X2397" s="1" t="n">
        <v>3.8</v>
      </c>
      <c r="Y2397" s="1" t="s">
        <v>40</v>
      </c>
      <c r="Z2397" s="1" t="n">
        <v>0</v>
      </c>
      <c r="AA2397" s="1" t="str">
        <f aca="false">TRIM(PROPER(F2397))</f>
        <v>Noida</v>
      </c>
      <c r="AB2397" s="1" t="str">
        <f aca="false">TRIM(PROPER(C2397))</f>
        <v>Byju'S</v>
      </c>
      <c r="AC2397" s="1" t="str">
        <f aca="false">IF(O2397=0,"No Discount",IF(O2397&lt;=15,"Low (1-15%)",IF(O2397&lt;=30,"Medium (16-30%)","High (&gt;30%)")))</f>
        <v>Low (1-15%)</v>
      </c>
      <c r="AD2397" s="1" t="str">
        <f aca="false">IF(V2397&lt;0,"Loss Making",IF(V2397&lt;20,"Low Margin","Healthy Margin"))</f>
        <v>Healthy Margin</v>
      </c>
      <c r="AE2397" s="1" t="str">
        <f aca="false">TEXT(DATE(VALUE(RIGHT(B2397,4)),VALUE(MID(B2397,4,2)),VALUE(LEFT(B2397,2))),"MMM-YYYY")</f>
        <v>Apr-2024</v>
      </c>
      <c r="AF2397" s="1" t="n">
        <f aca="false">VALUE(RIGHT(B2397,4))</f>
        <v>2024</v>
      </c>
      <c r="AG2397" s="1" t="str">
        <f aca="false">CHOOSE(ROUNDUP(VALUE(MID(B2397,4,2))/3,0),"Q1","Q2","Q3","Q4")</f>
        <v>Q2</v>
      </c>
    </row>
    <row r="2398" customFormat="false" ht="15" hidden="false" customHeight="true" outlineLevel="0" collapsed="false">
      <c r="A2398" s="1" t="s">
        <v>3269</v>
      </c>
      <c r="B2398" s="1" t="s">
        <v>515</v>
      </c>
      <c r="C2398" s="1" t="s">
        <v>88</v>
      </c>
      <c r="D2398" s="1" t="s">
        <v>168</v>
      </c>
      <c r="E2398" s="1" t="s">
        <v>328</v>
      </c>
      <c r="F2398" s="1" t="s">
        <v>150</v>
      </c>
      <c r="G2398" s="1" t="s">
        <v>32</v>
      </c>
      <c r="H2398" s="1" t="s">
        <v>57</v>
      </c>
      <c r="I2398" s="1" t="s">
        <v>34</v>
      </c>
      <c r="J2398" s="1" t="s">
        <v>77</v>
      </c>
      <c r="K2398" s="1" t="s">
        <v>36</v>
      </c>
      <c r="L2398" s="1" t="s">
        <v>37</v>
      </c>
      <c r="M2398" s="1" t="s">
        <v>50</v>
      </c>
      <c r="N2398" s="1" t="n">
        <v>8999</v>
      </c>
      <c r="O2398" s="1" t="n">
        <v>40</v>
      </c>
      <c r="P2398" s="1" t="n">
        <v>3599.6</v>
      </c>
      <c r="Q2398" s="1" t="n">
        <v>5399.4</v>
      </c>
      <c r="R2398" s="1" t="n">
        <v>971.89</v>
      </c>
      <c r="S2398" s="1" t="n">
        <v>4427.51</v>
      </c>
      <c r="T2398" s="1" t="n">
        <v>2098.98</v>
      </c>
      <c r="U2398" s="1" t="n">
        <v>2328.53</v>
      </c>
      <c r="V2398" s="1" t="n">
        <v>52.59</v>
      </c>
      <c r="W2398" s="1" t="s">
        <v>39</v>
      </c>
      <c r="X2398" s="1" t="n">
        <v>3.6</v>
      </c>
      <c r="Y2398" s="1" t="s">
        <v>40</v>
      </c>
      <c r="Z2398" s="1" t="n">
        <v>1</v>
      </c>
      <c r="AA2398" s="1" t="str">
        <f aca="false">TRIM(PROPER(F2398))</f>
        <v>Jaipur</v>
      </c>
      <c r="AB2398" s="1" t="str">
        <f aca="false">TRIM(PROPER(C2398))</f>
        <v>Byju'S</v>
      </c>
      <c r="AC2398" s="1" t="str">
        <f aca="false">IF(O2398=0,"No Discount",IF(O2398&lt;=15,"Low (1-15%)",IF(O2398&lt;=30,"Medium (16-30%)","High (&gt;30%)")))</f>
        <v>High (&gt;30%)</v>
      </c>
      <c r="AD2398" s="1" t="str">
        <f aca="false">IF(V2398&lt;0,"Loss Making",IF(V2398&lt;20,"Low Margin","Healthy Margin"))</f>
        <v>Healthy Margin</v>
      </c>
      <c r="AE2398" s="1" t="str">
        <f aca="false">TEXT(DATE(VALUE(RIGHT(B2398,4)),VALUE(MID(B2398,4,2)),VALUE(LEFT(B2398,2))),"MMM-YYYY")</f>
        <v>Sep-2024</v>
      </c>
      <c r="AF2398" s="1" t="n">
        <f aca="false">VALUE(RIGHT(B2398,4))</f>
        <v>2024</v>
      </c>
      <c r="AG2398" s="1" t="str">
        <f aca="false">CHOOSE(ROUNDUP(VALUE(MID(B2398,4,2))/3,0),"Q1","Q2","Q3","Q4")</f>
        <v>Q3</v>
      </c>
    </row>
    <row r="2399" customFormat="false" ht="15" hidden="false" customHeight="true" outlineLevel="0" collapsed="false">
      <c r="A2399" s="1" t="s">
        <v>3270</v>
      </c>
      <c r="B2399" s="1" t="s">
        <v>1298</v>
      </c>
      <c r="C2399" s="1" t="s">
        <v>43</v>
      </c>
      <c r="D2399" s="1" t="s">
        <v>168</v>
      </c>
      <c r="E2399" s="1" t="s">
        <v>197</v>
      </c>
      <c r="F2399" s="1" t="s">
        <v>89</v>
      </c>
      <c r="G2399" s="1" t="s">
        <v>68</v>
      </c>
      <c r="H2399" s="1" t="s">
        <v>33</v>
      </c>
      <c r="I2399" s="1" t="s">
        <v>83</v>
      </c>
      <c r="J2399" s="1" t="s">
        <v>131</v>
      </c>
      <c r="K2399" s="1" t="s">
        <v>60</v>
      </c>
      <c r="L2399" s="1" t="s">
        <v>61</v>
      </c>
      <c r="M2399" s="1" t="s">
        <v>62</v>
      </c>
      <c r="N2399" s="1" t="n">
        <v>8499</v>
      </c>
      <c r="O2399" s="1" t="n">
        <v>25</v>
      </c>
      <c r="P2399" s="1" t="n">
        <v>2124.75</v>
      </c>
      <c r="Q2399" s="1" t="n">
        <v>6374.25</v>
      </c>
      <c r="R2399" s="1" t="n">
        <v>1147.37</v>
      </c>
      <c r="S2399" s="1" t="n">
        <v>5226.88</v>
      </c>
      <c r="T2399" s="1" t="n">
        <v>2598.56</v>
      </c>
      <c r="U2399" s="1" t="n">
        <v>2628.32</v>
      </c>
      <c r="V2399" s="1" t="n">
        <v>50.28</v>
      </c>
      <c r="W2399" s="1" t="s">
        <v>40</v>
      </c>
      <c r="Y2399" s="1" t="s">
        <v>40</v>
      </c>
      <c r="Z2399" s="1" t="n">
        <v>0</v>
      </c>
      <c r="AA2399" s="1" t="str">
        <f aca="false">TRIM(PROPER(F2399))</f>
        <v>Vadodara</v>
      </c>
      <c r="AB2399" s="1" t="str">
        <f aca="false">TRIM(PROPER(C2399))</f>
        <v>Meritnation</v>
      </c>
      <c r="AC2399" s="1" t="str">
        <f aca="false">IF(O2399=0,"No Discount",IF(O2399&lt;=15,"Low (1-15%)",IF(O2399&lt;=30,"Medium (16-30%)","High (&gt;30%)")))</f>
        <v>Medium (16-30%)</v>
      </c>
      <c r="AD2399" s="1" t="str">
        <f aca="false">IF(V2399&lt;0,"Loss Making",IF(V2399&lt;20,"Low Margin","Healthy Margin"))</f>
        <v>Healthy Margin</v>
      </c>
      <c r="AE2399" s="1" t="str">
        <f aca="false">TEXT(DATE(VALUE(RIGHT(B2399,4)),VALUE(MID(B2399,4,2)),VALUE(LEFT(B2399,2))),"MMM-YYYY")</f>
        <v>Feb-2024</v>
      </c>
      <c r="AF2399" s="1" t="n">
        <f aca="false">VALUE(RIGHT(B2399,4))</f>
        <v>2024</v>
      </c>
      <c r="AG2399" s="1" t="str">
        <f aca="false">CHOOSE(ROUNDUP(VALUE(MID(B2399,4,2))/3,0),"Q1","Q2","Q3","Q4")</f>
        <v>Q1</v>
      </c>
    </row>
    <row r="2400" customFormat="false" ht="15" hidden="false" customHeight="true" outlineLevel="0" collapsed="false">
      <c r="A2400" s="1" t="s">
        <v>3271</v>
      </c>
      <c r="B2400" s="1" t="s">
        <v>138</v>
      </c>
      <c r="C2400" s="1" t="s">
        <v>128</v>
      </c>
      <c r="D2400" s="1" t="s">
        <v>53</v>
      </c>
      <c r="E2400" s="1" t="s">
        <v>216</v>
      </c>
      <c r="F2400" s="1" t="s">
        <v>31</v>
      </c>
      <c r="G2400" s="1" t="s">
        <v>32</v>
      </c>
      <c r="H2400" s="1" t="s">
        <v>33</v>
      </c>
      <c r="I2400" s="1" t="s">
        <v>34</v>
      </c>
      <c r="J2400" s="1" t="s">
        <v>59</v>
      </c>
      <c r="K2400" s="1" t="s">
        <v>36</v>
      </c>
      <c r="L2400" s="1" t="s">
        <v>61</v>
      </c>
      <c r="M2400" s="1" t="s">
        <v>62</v>
      </c>
      <c r="N2400" s="1" t="n">
        <v>7499</v>
      </c>
      <c r="O2400" s="1" t="n">
        <v>40</v>
      </c>
      <c r="P2400" s="1" t="n">
        <v>2999.6</v>
      </c>
      <c r="Q2400" s="1" t="n">
        <v>4499.4</v>
      </c>
      <c r="R2400" s="1" t="n">
        <v>809.89</v>
      </c>
      <c r="S2400" s="1" t="n">
        <v>3689.51</v>
      </c>
      <c r="T2400" s="1" t="n">
        <v>2170.62</v>
      </c>
      <c r="U2400" s="1" t="n">
        <v>1518.89</v>
      </c>
      <c r="V2400" s="1" t="n">
        <v>41.17</v>
      </c>
      <c r="W2400" s="1" t="s">
        <v>40</v>
      </c>
      <c r="Y2400" s="1" t="s">
        <v>40</v>
      </c>
      <c r="Z2400" s="1" t="n">
        <v>3</v>
      </c>
      <c r="AA2400" s="1" t="str">
        <f aca="false">TRIM(PROPER(F2400))</f>
        <v>Jodhpur</v>
      </c>
      <c r="AB2400" s="1" t="str">
        <f aca="false">TRIM(PROPER(C2400))</f>
        <v>Great Learning</v>
      </c>
      <c r="AC2400" s="1" t="str">
        <f aca="false">IF(O2400=0,"No Discount",IF(O2400&lt;=15,"Low (1-15%)",IF(O2400&lt;=30,"Medium (16-30%)","High (&gt;30%)")))</f>
        <v>High (&gt;30%)</v>
      </c>
      <c r="AD2400" s="1" t="str">
        <f aca="false">IF(V2400&lt;0,"Loss Making",IF(V2400&lt;20,"Low Margin","Healthy Margin"))</f>
        <v>Healthy Margin</v>
      </c>
      <c r="AE2400" s="1" t="str">
        <f aca="false">TEXT(DATE(VALUE(RIGHT(B2400,4)),VALUE(MID(B2400,4,2)),VALUE(LEFT(B2400,2))),"MMM-YYYY")</f>
        <v>Nov-2023</v>
      </c>
      <c r="AF2400" s="1" t="n">
        <f aca="false">VALUE(RIGHT(B2400,4))</f>
        <v>2023</v>
      </c>
      <c r="AG2400" s="1" t="str">
        <f aca="false">CHOOSE(ROUNDUP(VALUE(MID(B2400,4,2))/3,0),"Q1","Q2","Q3","Q4")</f>
        <v>Q4</v>
      </c>
    </row>
    <row r="2401" customFormat="false" ht="15" hidden="false" customHeight="true" outlineLevel="0" collapsed="false">
      <c r="A2401" s="1" t="s">
        <v>3272</v>
      </c>
      <c r="B2401" s="1" t="s">
        <v>315</v>
      </c>
      <c r="C2401" s="1" t="s">
        <v>28</v>
      </c>
      <c r="D2401" s="1" t="s">
        <v>80</v>
      </c>
      <c r="E2401" s="1" t="s">
        <v>175</v>
      </c>
      <c r="F2401" s="1" t="s">
        <v>67</v>
      </c>
      <c r="G2401" s="1" t="s">
        <v>68</v>
      </c>
      <c r="H2401" s="1" t="s">
        <v>69</v>
      </c>
      <c r="I2401" s="1" t="s">
        <v>58</v>
      </c>
      <c r="J2401" s="1" t="s">
        <v>70</v>
      </c>
      <c r="K2401" s="1" t="s">
        <v>60</v>
      </c>
      <c r="L2401" s="1" t="s">
        <v>61</v>
      </c>
      <c r="M2401" s="1" t="s">
        <v>62</v>
      </c>
      <c r="N2401" s="1" t="n">
        <v>19999</v>
      </c>
      <c r="O2401" s="1" t="n">
        <v>0</v>
      </c>
      <c r="P2401" s="1" t="n">
        <v>0</v>
      </c>
      <c r="Q2401" s="1" t="n">
        <v>19999</v>
      </c>
      <c r="R2401" s="1" t="n">
        <v>3599.82</v>
      </c>
      <c r="S2401" s="1" t="n">
        <v>16399.18</v>
      </c>
      <c r="T2401" s="1" t="n">
        <v>5980.68</v>
      </c>
      <c r="U2401" s="1" t="n">
        <v>10418.5</v>
      </c>
      <c r="V2401" s="1" t="n">
        <v>63.53</v>
      </c>
      <c r="W2401" s="1" t="s">
        <v>39</v>
      </c>
      <c r="X2401" s="1" t="n">
        <v>3.9</v>
      </c>
      <c r="Y2401" s="1" t="s">
        <v>40</v>
      </c>
      <c r="Z2401" s="1" t="n">
        <v>0</v>
      </c>
      <c r="AA2401" s="1" t="str">
        <f aca="false">TRIM(PROPER(F2401))</f>
        <v>Ahmedabad</v>
      </c>
      <c r="AB2401" s="1" t="str">
        <f aca="false">TRIM(PROPER(C2401))</f>
        <v>Embibe</v>
      </c>
      <c r="AC2401" s="1" t="str">
        <f aca="false">IF(O2401=0,"No Discount",IF(O2401&lt;=15,"Low (1-15%)",IF(O2401&lt;=30,"Medium (16-30%)","High (&gt;30%)")))</f>
        <v>No Discount</v>
      </c>
      <c r="AD2401" s="1" t="str">
        <f aca="false">IF(V2401&lt;0,"Loss Making",IF(V2401&lt;20,"Low Margin","Healthy Margin"))</f>
        <v>Healthy Margin</v>
      </c>
      <c r="AE2401" s="1" t="str">
        <f aca="false">TEXT(DATE(VALUE(RIGHT(B2401,4)),VALUE(MID(B2401,4,2)),VALUE(LEFT(B2401,2))),"MMM-YYYY")</f>
        <v>Jun-2023</v>
      </c>
      <c r="AF2401" s="1" t="n">
        <f aca="false">VALUE(RIGHT(B2401,4))</f>
        <v>2023</v>
      </c>
      <c r="AG2401" s="1" t="str">
        <f aca="false">CHOOSE(ROUNDUP(VALUE(MID(B2401,4,2))/3,0),"Q1","Q2","Q3","Q4")</f>
        <v>Q2</v>
      </c>
    </row>
    <row r="2402" customFormat="false" ht="15" hidden="false" customHeight="true" outlineLevel="0" collapsed="false">
      <c r="A2402" s="1" t="s">
        <v>3273</v>
      </c>
      <c r="B2402" s="1" t="s">
        <v>393</v>
      </c>
      <c r="C2402" s="1" t="s">
        <v>65</v>
      </c>
      <c r="D2402" s="1" t="s">
        <v>94</v>
      </c>
      <c r="E2402" s="1" t="s">
        <v>95</v>
      </c>
      <c r="F2402" s="1" t="s">
        <v>67</v>
      </c>
      <c r="G2402" s="1" t="s">
        <v>68</v>
      </c>
      <c r="H2402" s="1" t="s">
        <v>69</v>
      </c>
      <c r="I2402" s="1" t="s">
        <v>34</v>
      </c>
      <c r="J2402" s="1" t="s">
        <v>77</v>
      </c>
      <c r="K2402" s="1" t="s">
        <v>60</v>
      </c>
      <c r="L2402" s="1" t="s">
        <v>113</v>
      </c>
      <c r="M2402" s="1" t="s">
        <v>50</v>
      </c>
      <c r="N2402" s="1" t="n">
        <v>6999</v>
      </c>
      <c r="O2402" s="1" t="n">
        <v>0</v>
      </c>
      <c r="P2402" s="1" t="n">
        <v>0</v>
      </c>
      <c r="Q2402" s="1" t="n">
        <v>6999</v>
      </c>
      <c r="R2402" s="1" t="n">
        <v>1259.82</v>
      </c>
      <c r="S2402" s="1" t="n">
        <v>5739.18</v>
      </c>
      <c r="T2402" s="1" t="n">
        <v>2162.86</v>
      </c>
      <c r="U2402" s="1" t="n">
        <v>3576.32</v>
      </c>
      <c r="V2402" s="1" t="n">
        <v>62.31</v>
      </c>
      <c r="W2402" s="1" t="s">
        <v>39</v>
      </c>
      <c r="X2402" s="1" t="n">
        <v>3.3</v>
      </c>
      <c r="Y2402" s="1" t="s">
        <v>40</v>
      </c>
      <c r="Z2402" s="1" t="n">
        <v>0</v>
      </c>
      <c r="AA2402" s="1" t="str">
        <f aca="false">TRIM(PROPER(F2402))</f>
        <v>Ahmedabad</v>
      </c>
      <c r="AB2402" s="1" t="str">
        <f aca="false">TRIM(PROPER(C2402))</f>
        <v>Toppr</v>
      </c>
      <c r="AC2402" s="1" t="str">
        <f aca="false">IF(O2402=0,"No Discount",IF(O2402&lt;=15,"Low (1-15%)",IF(O2402&lt;=30,"Medium (16-30%)","High (&gt;30%)")))</f>
        <v>No Discount</v>
      </c>
      <c r="AD2402" s="1" t="str">
        <f aca="false">IF(V2402&lt;0,"Loss Making",IF(V2402&lt;20,"Low Margin","Healthy Margin"))</f>
        <v>Healthy Margin</v>
      </c>
      <c r="AE2402" s="1" t="str">
        <f aca="false">TEXT(DATE(VALUE(RIGHT(B2402,4)),VALUE(MID(B2402,4,2)),VALUE(LEFT(B2402,2))),"MMM-YYYY")</f>
        <v>Dec-2023</v>
      </c>
      <c r="AF2402" s="1" t="n">
        <f aca="false">VALUE(RIGHT(B2402,4))</f>
        <v>2023</v>
      </c>
      <c r="AG2402" s="1" t="str">
        <f aca="false">CHOOSE(ROUNDUP(VALUE(MID(B2402,4,2))/3,0),"Q1","Q2","Q3","Q4")</f>
        <v>Q4</v>
      </c>
    </row>
    <row r="2403" customFormat="false" ht="15" hidden="false" customHeight="true" outlineLevel="0" collapsed="false">
      <c r="A2403" s="1" t="s">
        <v>3274</v>
      </c>
      <c r="B2403" s="1" t="s">
        <v>847</v>
      </c>
      <c r="C2403" s="1" t="s">
        <v>100</v>
      </c>
      <c r="D2403" s="1" t="s">
        <v>53</v>
      </c>
      <c r="E2403" s="1" t="s">
        <v>216</v>
      </c>
      <c r="F2403" s="1" t="s">
        <v>55</v>
      </c>
      <c r="G2403" s="1" t="s">
        <v>56</v>
      </c>
      <c r="H2403" s="1" t="s">
        <v>57</v>
      </c>
      <c r="I2403" s="1" t="s">
        <v>83</v>
      </c>
      <c r="J2403" s="1" t="s">
        <v>70</v>
      </c>
      <c r="K2403" s="1" t="s">
        <v>90</v>
      </c>
      <c r="L2403" s="1" t="s">
        <v>136</v>
      </c>
      <c r="M2403" s="1" t="s">
        <v>38</v>
      </c>
      <c r="N2403" s="1" t="n">
        <v>7499</v>
      </c>
      <c r="O2403" s="1" t="n">
        <v>0</v>
      </c>
      <c r="P2403" s="1" t="n">
        <v>0</v>
      </c>
      <c r="Q2403" s="1" t="n">
        <v>7499</v>
      </c>
      <c r="R2403" s="1" t="n">
        <v>1349.82</v>
      </c>
      <c r="S2403" s="1" t="n">
        <v>6149.18</v>
      </c>
      <c r="T2403" s="1" t="n">
        <v>2727.05</v>
      </c>
      <c r="U2403" s="1" t="n">
        <v>3422.13</v>
      </c>
      <c r="V2403" s="1" t="n">
        <v>55.65</v>
      </c>
      <c r="W2403" s="1" t="s">
        <v>39</v>
      </c>
      <c r="X2403" s="1" t="n">
        <v>3.4</v>
      </c>
      <c r="Y2403" s="1" t="s">
        <v>40</v>
      </c>
      <c r="Z2403" s="1" t="n">
        <v>0</v>
      </c>
      <c r="AA2403" s="1" t="str">
        <f aca="false">TRIM(PROPER(F2403))</f>
        <v>Ghaziabad</v>
      </c>
      <c r="AB2403" s="1" t="str">
        <f aca="false">TRIM(PROPER(C2403))</f>
        <v>Physics Wallah</v>
      </c>
      <c r="AC2403" s="1" t="str">
        <f aca="false">IF(O2403=0,"No Discount",IF(O2403&lt;=15,"Low (1-15%)",IF(O2403&lt;=30,"Medium (16-30%)","High (&gt;30%)")))</f>
        <v>No Discount</v>
      </c>
      <c r="AD2403" s="1" t="str">
        <f aca="false">IF(V2403&lt;0,"Loss Making",IF(V2403&lt;20,"Low Margin","Healthy Margin"))</f>
        <v>Healthy Margin</v>
      </c>
      <c r="AE2403" s="1" t="str">
        <f aca="false">TEXT(DATE(VALUE(RIGHT(B2403,4)),VALUE(MID(B2403,4,2)),VALUE(LEFT(B2403,2))),"MMM-YYYY")</f>
        <v>Jun-2023</v>
      </c>
      <c r="AF2403" s="1" t="n">
        <f aca="false">VALUE(RIGHT(B2403,4))</f>
        <v>2023</v>
      </c>
      <c r="AG2403" s="1" t="str">
        <f aca="false">CHOOSE(ROUNDUP(VALUE(MID(B2403,4,2))/3,0),"Q1","Q2","Q3","Q4")</f>
        <v>Q2</v>
      </c>
    </row>
    <row r="2404" customFormat="false" ht="15" hidden="false" customHeight="true" outlineLevel="0" collapsed="false">
      <c r="A2404" s="1" t="s">
        <v>3275</v>
      </c>
      <c r="B2404" s="1" t="s">
        <v>1683</v>
      </c>
      <c r="C2404" s="1" t="s">
        <v>100</v>
      </c>
      <c r="D2404" s="1" t="s">
        <v>143</v>
      </c>
      <c r="E2404" s="1" t="s">
        <v>210</v>
      </c>
      <c r="F2404" s="1" t="s">
        <v>89</v>
      </c>
      <c r="G2404" s="1" t="s">
        <v>68</v>
      </c>
      <c r="H2404" s="1" t="s">
        <v>33</v>
      </c>
      <c r="I2404" s="1" t="s">
        <v>83</v>
      </c>
      <c r="J2404" s="1" t="s">
        <v>131</v>
      </c>
      <c r="K2404" s="1" t="s">
        <v>71</v>
      </c>
      <c r="L2404" s="1" t="s">
        <v>37</v>
      </c>
      <c r="M2404" s="1" t="s">
        <v>38</v>
      </c>
      <c r="N2404" s="1" t="n">
        <v>18999</v>
      </c>
      <c r="O2404" s="1" t="n">
        <v>15</v>
      </c>
      <c r="P2404" s="1" t="n">
        <v>2849.85</v>
      </c>
      <c r="Q2404" s="1" t="n">
        <v>16149.15</v>
      </c>
      <c r="R2404" s="1" t="n">
        <v>2906.85</v>
      </c>
      <c r="S2404" s="1" t="n">
        <v>13242.3</v>
      </c>
      <c r="T2404" s="1" t="n">
        <v>5088.06</v>
      </c>
      <c r="U2404" s="1" t="n">
        <v>8154.24</v>
      </c>
      <c r="V2404" s="1" t="n">
        <v>61.58</v>
      </c>
      <c r="W2404" s="1" t="s">
        <v>40</v>
      </c>
      <c r="Y2404" s="1" t="s">
        <v>40</v>
      </c>
      <c r="Z2404" s="1" t="n">
        <v>1</v>
      </c>
      <c r="AA2404" s="1" t="str">
        <f aca="false">TRIM(PROPER(F2404))</f>
        <v>Vadodara</v>
      </c>
      <c r="AB2404" s="1" t="str">
        <f aca="false">TRIM(PROPER(C2404))</f>
        <v>Physics Wallah</v>
      </c>
      <c r="AC2404" s="1" t="str">
        <f aca="false">IF(O2404=0,"No Discount",IF(O2404&lt;=15,"Low (1-15%)",IF(O2404&lt;=30,"Medium (16-30%)","High (&gt;30%)")))</f>
        <v>Low (1-15%)</v>
      </c>
      <c r="AD2404" s="1" t="str">
        <f aca="false">IF(V2404&lt;0,"Loss Making",IF(V2404&lt;20,"Low Margin","Healthy Margin"))</f>
        <v>Healthy Margin</v>
      </c>
      <c r="AE2404" s="1" t="str">
        <f aca="false">TEXT(DATE(VALUE(RIGHT(B2404,4)),VALUE(MID(B2404,4,2)),VALUE(LEFT(B2404,2))),"MMM-YYYY")</f>
        <v>Apr-2024</v>
      </c>
      <c r="AF2404" s="1" t="n">
        <f aca="false">VALUE(RIGHT(B2404,4))</f>
        <v>2024</v>
      </c>
      <c r="AG2404" s="1" t="str">
        <f aca="false">CHOOSE(ROUNDUP(VALUE(MID(B2404,4,2))/3,0),"Q1","Q2","Q3","Q4")</f>
        <v>Q2</v>
      </c>
    </row>
    <row r="2405" customFormat="false" ht="15" hidden="false" customHeight="true" outlineLevel="0" collapsed="false">
      <c r="A2405" s="1" t="s">
        <v>3276</v>
      </c>
      <c r="B2405" s="1" t="s">
        <v>572</v>
      </c>
      <c r="C2405" s="1" t="s">
        <v>167</v>
      </c>
      <c r="D2405" s="1" t="s">
        <v>143</v>
      </c>
      <c r="E2405" s="1" t="s">
        <v>243</v>
      </c>
      <c r="F2405" s="1" t="s">
        <v>696</v>
      </c>
      <c r="G2405" s="1" t="s">
        <v>56</v>
      </c>
      <c r="H2405" s="1" t="s">
        <v>69</v>
      </c>
      <c r="I2405" s="1" t="s">
        <v>34</v>
      </c>
      <c r="J2405" s="1" t="s">
        <v>35</v>
      </c>
      <c r="K2405" s="1" t="s">
        <v>90</v>
      </c>
      <c r="L2405" s="1" t="s">
        <v>136</v>
      </c>
      <c r="M2405" s="1" t="s">
        <v>50</v>
      </c>
      <c r="N2405" s="1" t="n">
        <v>22999</v>
      </c>
      <c r="O2405" s="1" t="n">
        <v>0</v>
      </c>
      <c r="P2405" s="1" t="n">
        <v>0</v>
      </c>
      <c r="Q2405" s="1" t="n">
        <v>22999</v>
      </c>
      <c r="R2405" s="1" t="n">
        <v>4139.82</v>
      </c>
      <c r="S2405" s="1" t="n">
        <v>18859.18</v>
      </c>
      <c r="T2405" s="1" t="n">
        <v>8184.22</v>
      </c>
      <c r="U2405" s="1" t="n">
        <v>10674.96</v>
      </c>
      <c r="V2405" s="1" t="n">
        <v>56.6</v>
      </c>
      <c r="W2405" s="1" t="s">
        <v>40</v>
      </c>
      <c r="Y2405" s="1" t="s">
        <v>40</v>
      </c>
      <c r="Z2405" s="1" t="n">
        <v>0</v>
      </c>
      <c r="AA2405" s="1" t="str">
        <f aca="false">TRIM(PROPER(F2405))</f>
        <v>New Delhi</v>
      </c>
      <c r="AB2405" s="1" t="str">
        <f aca="false">TRIM(PROPER(C2405))</f>
        <v>Scaler</v>
      </c>
      <c r="AC2405" s="1" t="str">
        <f aca="false">IF(O2405=0,"No Discount",IF(O2405&lt;=15,"Low (1-15%)",IF(O2405&lt;=30,"Medium (16-30%)","High (&gt;30%)")))</f>
        <v>No Discount</v>
      </c>
      <c r="AD2405" s="1" t="str">
        <f aca="false">IF(V2405&lt;0,"Loss Making",IF(V2405&lt;20,"Low Margin","Healthy Margin"))</f>
        <v>Healthy Margin</v>
      </c>
      <c r="AE2405" s="1" t="str">
        <f aca="false">TEXT(DATE(VALUE(RIGHT(B2405,4)),VALUE(MID(B2405,4,2)),VALUE(LEFT(B2405,2))),"MMM-YYYY")</f>
        <v>Oct-2024</v>
      </c>
      <c r="AF2405" s="1" t="n">
        <f aca="false">VALUE(RIGHT(B2405,4))</f>
        <v>2024</v>
      </c>
      <c r="AG2405" s="1" t="str">
        <f aca="false">CHOOSE(ROUNDUP(VALUE(MID(B2405,4,2))/3,0),"Q1","Q2","Q3","Q4")</f>
        <v>Q4</v>
      </c>
    </row>
    <row r="2406" customFormat="false" ht="15" hidden="false" customHeight="true" outlineLevel="0" collapsed="false">
      <c r="A2406" s="1" t="s">
        <v>3277</v>
      </c>
      <c r="B2406" s="1" t="s">
        <v>189</v>
      </c>
      <c r="C2406" s="1" t="s">
        <v>264</v>
      </c>
      <c r="D2406" s="1" t="s">
        <v>123</v>
      </c>
      <c r="E2406" s="1" t="s">
        <v>233</v>
      </c>
      <c r="F2406" s="1" t="s">
        <v>75</v>
      </c>
      <c r="G2406" s="1" t="s">
        <v>76</v>
      </c>
      <c r="H2406" s="1" t="s">
        <v>69</v>
      </c>
      <c r="I2406" s="1" t="s">
        <v>83</v>
      </c>
      <c r="J2406" s="1" t="s">
        <v>35</v>
      </c>
      <c r="K2406" s="1" t="s">
        <v>36</v>
      </c>
      <c r="L2406" s="1" t="s">
        <v>37</v>
      </c>
      <c r="M2406" s="1" t="s">
        <v>62</v>
      </c>
      <c r="N2406" s="1" t="n">
        <v>8999</v>
      </c>
      <c r="O2406" s="1" t="n">
        <v>25</v>
      </c>
      <c r="P2406" s="1" t="n">
        <v>2249.75</v>
      </c>
      <c r="Q2406" s="1" t="n">
        <v>6749.25</v>
      </c>
      <c r="R2406" s="1" t="n">
        <v>1214.87</v>
      </c>
      <c r="S2406" s="1" t="n">
        <v>5534.38</v>
      </c>
      <c r="T2406" s="1" t="n">
        <v>2895.38</v>
      </c>
      <c r="U2406" s="1" t="n">
        <v>2639</v>
      </c>
      <c r="V2406" s="1" t="n">
        <v>47.68</v>
      </c>
      <c r="W2406" s="1" t="s">
        <v>39</v>
      </c>
      <c r="Y2406" s="1" t="s">
        <v>40</v>
      </c>
      <c r="Z2406" s="1" t="n">
        <v>0</v>
      </c>
      <c r="AA2406" s="1" t="str">
        <f aca="false">TRIM(PROPER(F2406))</f>
        <v>Kolkata</v>
      </c>
      <c r="AB2406" s="1" t="str">
        <f aca="false">TRIM(PROPER(C2406))</f>
        <v>Unacademy</v>
      </c>
      <c r="AC2406" s="1" t="str">
        <f aca="false">IF(O2406=0,"No Discount",IF(O2406&lt;=15,"Low (1-15%)",IF(O2406&lt;=30,"Medium (16-30%)","High (&gt;30%)")))</f>
        <v>Medium (16-30%)</v>
      </c>
      <c r="AD2406" s="1" t="str">
        <f aca="false">IF(V2406&lt;0,"Loss Making",IF(V2406&lt;20,"Low Margin","Healthy Margin"))</f>
        <v>Healthy Margin</v>
      </c>
      <c r="AE2406" s="1" t="str">
        <f aca="false">TEXT(DATE(VALUE(RIGHT(B2406,4)),VALUE(MID(B2406,4,2)),VALUE(LEFT(B2406,2))),"MMM-YYYY")</f>
        <v>Jun-2023</v>
      </c>
      <c r="AF2406" s="1" t="n">
        <f aca="false">VALUE(RIGHT(B2406,4))</f>
        <v>2023</v>
      </c>
      <c r="AG2406" s="1" t="str">
        <f aca="false">CHOOSE(ROUNDUP(VALUE(MID(B2406,4,2))/3,0),"Q1","Q2","Q3","Q4")</f>
        <v>Q2</v>
      </c>
    </row>
    <row r="2407" customFormat="false" ht="15" hidden="false" customHeight="true" outlineLevel="0" collapsed="false">
      <c r="A2407" s="1" t="s">
        <v>3278</v>
      </c>
      <c r="B2407" s="1" t="s">
        <v>764</v>
      </c>
      <c r="C2407" s="1" t="s">
        <v>139</v>
      </c>
      <c r="D2407" s="1" t="s">
        <v>168</v>
      </c>
      <c r="E2407" s="1" t="s">
        <v>172</v>
      </c>
      <c r="F2407" s="1" t="s">
        <v>31</v>
      </c>
      <c r="G2407" s="1" t="s">
        <v>32</v>
      </c>
      <c r="H2407" s="1" t="s">
        <v>33</v>
      </c>
      <c r="I2407" s="1" t="s">
        <v>58</v>
      </c>
      <c r="J2407" s="1" t="s">
        <v>131</v>
      </c>
      <c r="K2407" s="1" t="s">
        <v>60</v>
      </c>
      <c r="L2407" s="1" t="s">
        <v>49</v>
      </c>
      <c r="M2407" s="1" t="s">
        <v>62</v>
      </c>
      <c r="N2407" s="1" t="n">
        <v>6999</v>
      </c>
      <c r="O2407" s="1" t="n">
        <v>10</v>
      </c>
      <c r="P2407" s="1" t="n">
        <v>699.9</v>
      </c>
      <c r="Q2407" s="1" t="n">
        <v>6299.1</v>
      </c>
      <c r="R2407" s="1" t="n">
        <v>1133.84</v>
      </c>
      <c r="S2407" s="1" t="n">
        <v>5165.26</v>
      </c>
      <c r="T2407" s="1" t="n">
        <v>1983.68</v>
      </c>
      <c r="U2407" s="1" t="n">
        <v>3181.58</v>
      </c>
      <c r="V2407" s="1" t="n">
        <v>61.6</v>
      </c>
      <c r="W2407" s="1" t="s">
        <v>40</v>
      </c>
      <c r="Y2407" s="1" t="s">
        <v>40</v>
      </c>
      <c r="Z2407" s="1" t="n">
        <v>1</v>
      </c>
      <c r="AA2407" s="1" t="str">
        <f aca="false">TRIM(PROPER(F2407))</f>
        <v>Jodhpur</v>
      </c>
      <c r="AB2407" s="1" t="str">
        <f aca="false">TRIM(PROPER(C2407))</f>
        <v>Extramarks</v>
      </c>
      <c r="AC2407" s="1" t="str">
        <f aca="false">IF(O2407=0,"No Discount",IF(O2407&lt;=15,"Low (1-15%)",IF(O2407&lt;=30,"Medium (16-30%)","High (&gt;30%)")))</f>
        <v>Low (1-15%)</v>
      </c>
      <c r="AD2407" s="1" t="str">
        <f aca="false">IF(V2407&lt;0,"Loss Making",IF(V2407&lt;20,"Low Margin","Healthy Margin"))</f>
        <v>Healthy Margin</v>
      </c>
      <c r="AE2407" s="1" t="str">
        <f aca="false">TEXT(DATE(VALUE(RIGHT(B2407,4)),VALUE(MID(B2407,4,2)),VALUE(LEFT(B2407,2))),"MMM-YYYY")</f>
        <v>Nov-2023</v>
      </c>
      <c r="AF2407" s="1" t="n">
        <f aca="false">VALUE(RIGHT(B2407,4))</f>
        <v>2023</v>
      </c>
      <c r="AG2407" s="1" t="str">
        <f aca="false">CHOOSE(ROUNDUP(VALUE(MID(B2407,4,2))/3,0),"Q1","Q2","Q3","Q4")</f>
        <v>Q4</v>
      </c>
    </row>
    <row r="2408" customFormat="false" ht="15" hidden="false" customHeight="true" outlineLevel="0" collapsed="false">
      <c r="A2408" s="1" t="s">
        <v>3279</v>
      </c>
      <c r="B2408" s="1" t="s">
        <v>1420</v>
      </c>
      <c r="C2408" s="1" t="s">
        <v>119</v>
      </c>
      <c r="D2408" s="1" t="s">
        <v>94</v>
      </c>
      <c r="E2408" s="1" t="s">
        <v>135</v>
      </c>
      <c r="F2408" s="1" t="s">
        <v>153</v>
      </c>
      <c r="G2408" s="1" t="s">
        <v>76</v>
      </c>
      <c r="H2408" s="1" t="s">
        <v>33</v>
      </c>
      <c r="I2408" s="1" t="s">
        <v>34</v>
      </c>
      <c r="J2408" s="1" t="s">
        <v>35</v>
      </c>
      <c r="K2408" s="1" t="s">
        <v>112</v>
      </c>
      <c r="L2408" s="1" t="s">
        <v>37</v>
      </c>
      <c r="M2408" s="1" t="s">
        <v>38</v>
      </c>
      <c r="N2408" s="1" t="n">
        <v>9999</v>
      </c>
      <c r="O2408" s="1" t="n">
        <v>40</v>
      </c>
      <c r="P2408" s="1" t="n">
        <v>3999.6</v>
      </c>
      <c r="Q2408" s="1" t="n">
        <v>5999.4</v>
      </c>
      <c r="R2408" s="1" t="n">
        <v>1079.89</v>
      </c>
      <c r="S2408" s="1" t="n">
        <v>4919.51</v>
      </c>
      <c r="T2408" s="1" t="n">
        <v>2540.9</v>
      </c>
      <c r="U2408" s="1" t="n">
        <v>2378.61</v>
      </c>
      <c r="V2408" s="1" t="n">
        <v>48.35</v>
      </c>
      <c r="W2408" s="1" t="s">
        <v>39</v>
      </c>
      <c r="X2408" s="1" t="n">
        <v>3.1</v>
      </c>
      <c r="Y2408" s="1" t="s">
        <v>40</v>
      </c>
      <c r="Z2408" s="1" t="n">
        <v>0</v>
      </c>
      <c r="AA2408" s="1" t="str">
        <f aca="false">TRIM(PROPER(F2408))</f>
        <v>Howrah</v>
      </c>
      <c r="AB2408" s="1" t="str">
        <f aca="false">TRIM(PROPER(C2408))</f>
        <v>Simplilearn</v>
      </c>
      <c r="AC2408" s="1" t="str">
        <f aca="false">IF(O2408=0,"No Discount",IF(O2408&lt;=15,"Low (1-15%)",IF(O2408&lt;=30,"Medium (16-30%)","High (&gt;30%)")))</f>
        <v>High (&gt;30%)</v>
      </c>
      <c r="AD2408" s="1" t="str">
        <f aca="false">IF(V2408&lt;0,"Loss Making",IF(V2408&lt;20,"Low Margin","Healthy Margin"))</f>
        <v>Healthy Margin</v>
      </c>
      <c r="AE2408" s="1" t="str">
        <f aca="false">TEXT(DATE(VALUE(RIGHT(B2408,4)),VALUE(MID(B2408,4,2)),VALUE(LEFT(B2408,2))),"MMM-YYYY")</f>
        <v>Nov-2023</v>
      </c>
      <c r="AF2408" s="1" t="n">
        <f aca="false">VALUE(RIGHT(B2408,4))</f>
        <v>2023</v>
      </c>
      <c r="AG2408" s="1" t="str">
        <f aca="false">CHOOSE(ROUNDUP(VALUE(MID(B2408,4,2))/3,0),"Q1","Q2","Q3","Q4")</f>
        <v>Q4</v>
      </c>
    </row>
    <row r="2409" customFormat="false" ht="15" hidden="false" customHeight="true" outlineLevel="0" collapsed="false">
      <c r="A2409" s="1" t="s">
        <v>3280</v>
      </c>
      <c r="B2409" s="1" t="s">
        <v>485</v>
      </c>
      <c r="C2409" s="1" t="s">
        <v>28</v>
      </c>
      <c r="D2409" s="1" t="s">
        <v>44</v>
      </c>
      <c r="E2409" s="1" t="s">
        <v>45</v>
      </c>
      <c r="F2409" s="1" t="s">
        <v>963</v>
      </c>
      <c r="G2409" s="1" t="s">
        <v>68</v>
      </c>
      <c r="H2409" s="1" t="s">
        <v>57</v>
      </c>
      <c r="I2409" s="1" t="s">
        <v>58</v>
      </c>
      <c r="J2409" s="1" t="s">
        <v>70</v>
      </c>
      <c r="K2409" s="1" t="s">
        <v>36</v>
      </c>
      <c r="L2409" s="1" t="s">
        <v>136</v>
      </c>
      <c r="M2409" s="1" t="s">
        <v>50</v>
      </c>
      <c r="N2409" s="1" t="n">
        <v>11999</v>
      </c>
      <c r="O2409" s="1" t="n">
        <v>20</v>
      </c>
      <c r="P2409" s="1" t="n">
        <v>2399.8</v>
      </c>
      <c r="Q2409" s="1" t="n">
        <v>9599.2</v>
      </c>
      <c r="R2409" s="1" t="n">
        <v>1727.86</v>
      </c>
      <c r="S2409" s="1" t="n">
        <v>7871.34</v>
      </c>
      <c r="T2409" s="1" t="n">
        <v>3274.88</v>
      </c>
      <c r="U2409" s="1" t="n">
        <v>4596.46</v>
      </c>
      <c r="V2409" s="1" t="n">
        <v>58.39</v>
      </c>
      <c r="W2409" s="1" t="s">
        <v>39</v>
      </c>
      <c r="X2409" s="1" t="n">
        <v>3.2</v>
      </c>
      <c r="Y2409" s="1" t="s">
        <v>40</v>
      </c>
      <c r="Z2409" s="1" t="n">
        <v>0</v>
      </c>
      <c r="AA2409" s="1" t="str">
        <f aca="false">TRIM(PROPER(F2409))</f>
        <v>Surat</v>
      </c>
      <c r="AB2409" s="1" t="str">
        <f aca="false">TRIM(PROPER(C2409))</f>
        <v>Embibe</v>
      </c>
      <c r="AC2409" s="1" t="str">
        <f aca="false">IF(O2409=0,"No Discount",IF(O2409&lt;=15,"Low (1-15%)",IF(O2409&lt;=30,"Medium (16-30%)","High (&gt;30%)")))</f>
        <v>Medium (16-30%)</v>
      </c>
      <c r="AD2409" s="1" t="str">
        <f aca="false">IF(V2409&lt;0,"Loss Making",IF(V2409&lt;20,"Low Margin","Healthy Margin"))</f>
        <v>Healthy Margin</v>
      </c>
      <c r="AE2409" s="1" t="str">
        <f aca="false">TEXT(DATE(VALUE(RIGHT(B2409,4)),VALUE(MID(B2409,4,2)),VALUE(LEFT(B2409,2))),"MMM-YYYY")</f>
        <v>Mar-2023</v>
      </c>
      <c r="AF2409" s="1" t="n">
        <f aca="false">VALUE(RIGHT(B2409,4))</f>
        <v>2023</v>
      </c>
      <c r="AG2409" s="1" t="str">
        <f aca="false">CHOOSE(ROUNDUP(VALUE(MID(B2409,4,2))/3,0),"Q1","Q2","Q3","Q4")</f>
        <v>Q1</v>
      </c>
    </row>
    <row r="2410" customFormat="false" ht="15" hidden="false" customHeight="true" outlineLevel="0" collapsed="false">
      <c r="A2410" s="1" t="s">
        <v>3281</v>
      </c>
      <c r="B2410" s="1" t="s">
        <v>572</v>
      </c>
      <c r="C2410" s="1" t="s">
        <v>93</v>
      </c>
      <c r="D2410" s="1" t="s">
        <v>123</v>
      </c>
      <c r="E2410" s="1" t="s">
        <v>233</v>
      </c>
      <c r="F2410" s="1" t="s">
        <v>89</v>
      </c>
      <c r="G2410" s="1" t="s">
        <v>68</v>
      </c>
      <c r="H2410" s="1" t="s">
        <v>33</v>
      </c>
      <c r="I2410" s="1" t="s">
        <v>34</v>
      </c>
      <c r="J2410" s="1" t="s">
        <v>131</v>
      </c>
      <c r="K2410" s="1" t="s">
        <v>104</v>
      </c>
      <c r="L2410" s="1" t="s">
        <v>61</v>
      </c>
      <c r="M2410" s="1" t="s">
        <v>62</v>
      </c>
      <c r="N2410" s="1" t="n">
        <v>8999</v>
      </c>
      <c r="O2410" s="1" t="n">
        <v>15</v>
      </c>
      <c r="P2410" s="1" t="n">
        <v>1349.85</v>
      </c>
      <c r="Q2410" s="1" t="n">
        <v>7649.15</v>
      </c>
      <c r="R2410" s="1" t="n">
        <v>1376.85</v>
      </c>
      <c r="S2410" s="1" t="n">
        <v>6272.3</v>
      </c>
      <c r="T2410" s="1" t="n">
        <v>2533</v>
      </c>
      <c r="U2410" s="1" t="n">
        <v>3739.3</v>
      </c>
      <c r="V2410" s="1" t="n">
        <v>59.62</v>
      </c>
      <c r="W2410" s="1" t="s">
        <v>39</v>
      </c>
      <c r="Y2410" s="1" t="s">
        <v>40</v>
      </c>
      <c r="Z2410" s="1" t="n">
        <v>0</v>
      </c>
      <c r="AA2410" s="1" t="str">
        <f aca="false">TRIM(PROPER(F2410))</f>
        <v>Vadodara</v>
      </c>
      <c r="AB2410" s="1" t="str">
        <f aca="false">TRIM(PROPER(C2410))</f>
        <v>Upgrad</v>
      </c>
      <c r="AC2410" s="1" t="str">
        <f aca="false">IF(O2410=0,"No Discount",IF(O2410&lt;=15,"Low (1-15%)",IF(O2410&lt;=30,"Medium (16-30%)","High (&gt;30%)")))</f>
        <v>Low (1-15%)</v>
      </c>
      <c r="AD2410" s="1" t="str">
        <f aca="false">IF(V2410&lt;0,"Loss Making",IF(V2410&lt;20,"Low Margin","Healthy Margin"))</f>
        <v>Healthy Margin</v>
      </c>
      <c r="AE2410" s="1" t="str">
        <f aca="false">TEXT(DATE(VALUE(RIGHT(B2410,4)),VALUE(MID(B2410,4,2)),VALUE(LEFT(B2410,2))),"MMM-YYYY")</f>
        <v>Oct-2024</v>
      </c>
      <c r="AF2410" s="1" t="n">
        <f aca="false">VALUE(RIGHT(B2410,4))</f>
        <v>2024</v>
      </c>
      <c r="AG2410" s="1" t="str">
        <f aca="false">CHOOSE(ROUNDUP(VALUE(MID(B2410,4,2))/3,0),"Q1","Q2","Q3","Q4")</f>
        <v>Q4</v>
      </c>
    </row>
    <row r="2411" customFormat="false" ht="15" hidden="false" customHeight="true" outlineLevel="0" collapsed="false">
      <c r="A2411" s="1" t="s">
        <v>3282</v>
      </c>
      <c r="B2411" s="1" t="s">
        <v>389</v>
      </c>
      <c r="C2411" s="1" t="s">
        <v>93</v>
      </c>
      <c r="D2411" s="1" t="s">
        <v>53</v>
      </c>
      <c r="E2411" s="1" t="s">
        <v>216</v>
      </c>
      <c r="F2411" s="1" t="s">
        <v>120</v>
      </c>
      <c r="G2411" s="1" t="s">
        <v>47</v>
      </c>
      <c r="H2411" s="1" t="s">
        <v>57</v>
      </c>
      <c r="I2411" s="1" t="s">
        <v>83</v>
      </c>
      <c r="J2411" s="1" t="s">
        <v>35</v>
      </c>
      <c r="K2411" s="1" t="s">
        <v>36</v>
      </c>
      <c r="L2411" s="1" t="s">
        <v>37</v>
      </c>
      <c r="M2411" s="1" t="s">
        <v>38</v>
      </c>
      <c r="N2411" s="1" t="n">
        <v>7499</v>
      </c>
      <c r="O2411" s="1" t="n">
        <v>30</v>
      </c>
      <c r="P2411" s="1" t="n">
        <v>2249.7</v>
      </c>
      <c r="Q2411" s="1" t="n">
        <v>5249.3</v>
      </c>
      <c r="R2411" s="1" t="n">
        <v>944.87</v>
      </c>
      <c r="S2411" s="1" t="n">
        <v>4304.43</v>
      </c>
      <c r="T2411" s="1" t="n">
        <v>1891.96</v>
      </c>
      <c r="U2411" s="1" t="n">
        <v>2412.47</v>
      </c>
      <c r="V2411" s="1" t="n">
        <v>56.05</v>
      </c>
      <c r="W2411" s="1" t="s">
        <v>39</v>
      </c>
      <c r="X2411" s="1" t="n">
        <v>3.1</v>
      </c>
      <c r="Y2411" s="1" t="s">
        <v>40</v>
      </c>
      <c r="Z2411" s="1" t="n">
        <v>0</v>
      </c>
      <c r="AA2411" s="1" t="str">
        <f aca="false">TRIM(PROPER(F2411))</f>
        <v>Mysuru</v>
      </c>
      <c r="AB2411" s="1" t="str">
        <f aca="false">TRIM(PROPER(C2411))</f>
        <v>Upgrad</v>
      </c>
      <c r="AC2411" s="1" t="str">
        <f aca="false">IF(O2411=0,"No Discount",IF(O2411&lt;=15,"Low (1-15%)",IF(O2411&lt;=30,"Medium (16-30%)","High (&gt;30%)")))</f>
        <v>Medium (16-30%)</v>
      </c>
      <c r="AD2411" s="1" t="str">
        <f aca="false">IF(V2411&lt;0,"Loss Making",IF(V2411&lt;20,"Low Margin","Healthy Margin"))</f>
        <v>Healthy Margin</v>
      </c>
      <c r="AE2411" s="1" t="str">
        <f aca="false">TEXT(DATE(VALUE(RIGHT(B2411,4)),VALUE(MID(B2411,4,2)),VALUE(LEFT(B2411,2))),"MMM-YYYY")</f>
        <v>Feb-2023</v>
      </c>
      <c r="AF2411" s="1" t="n">
        <f aca="false">VALUE(RIGHT(B2411,4))</f>
        <v>2023</v>
      </c>
      <c r="AG2411" s="1" t="str">
        <f aca="false">CHOOSE(ROUNDUP(VALUE(MID(B2411,4,2))/3,0),"Q1","Q2","Q3","Q4")</f>
        <v>Q1</v>
      </c>
    </row>
    <row r="2412" customFormat="false" ht="15" hidden="false" customHeight="true" outlineLevel="0" collapsed="false">
      <c r="A2412" s="1" t="s">
        <v>3283</v>
      </c>
      <c r="B2412" s="1" t="s">
        <v>1042</v>
      </c>
      <c r="C2412" s="1" t="s">
        <v>178</v>
      </c>
      <c r="D2412" s="1" t="s">
        <v>53</v>
      </c>
      <c r="E2412" s="1" t="s">
        <v>54</v>
      </c>
      <c r="F2412" s="1" t="s">
        <v>89</v>
      </c>
      <c r="G2412" s="1" t="s">
        <v>68</v>
      </c>
      <c r="H2412" s="1" t="s">
        <v>33</v>
      </c>
      <c r="I2412" s="1" t="s">
        <v>83</v>
      </c>
      <c r="J2412" s="1" t="s">
        <v>59</v>
      </c>
      <c r="K2412" s="1" t="s">
        <v>60</v>
      </c>
      <c r="L2412" s="1" t="s">
        <v>136</v>
      </c>
      <c r="M2412" s="1" t="s">
        <v>62</v>
      </c>
      <c r="N2412" s="1" t="n">
        <v>11999</v>
      </c>
      <c r="O2412" s="1" t="n">
        <v>0</v>
      </c>
      <c r="P2412" s="1" t="n">
        <v>0</v>
      </c>
      <c r="Q2412" s="1" t="n">
        <v>11999</v>
      </c>
      <c r="R2412" s="1" t="n">
        <v>2159.82</v>
      </c>
      <c r="S2412" s="1" t="n">
        <v>9839.18</v>
      </c>
      <c r="T2412" s="1" t="n">
        <v>5187.43</v>
      </c>
      <c r="U2412" s="1" t="n">
        <v>4651.75</v>
      </c>
      <c r="V2412" s="1" t="n">
        <v>47.28</v>
      </c>
      <c r="W2412" s="1" t="s">
        <v>39</v>
      </c>
      <c r="X2412" s="1" t="n">
        <v>2.8</v>
      </c>
      <c r="Y2412" s="1" t="s">
        <v>40</v>
      </c>
      <c r="Z2412" s="1" t="n">
        <v>1</v>
      </c>
      <c r="AA2412" s="1" t="str">
        <f aca="false">TRIM(PROPER(F2412))</f>
        <v>Vadodara</v>
      </c>
      <c r="AB2412" s="1" t="str">
        <f aca="false">TRIM(PROPER(C2412))</f>
        <v>Leverage Edu</v>
      </c>
      <c r="AC2412" s="1" t="str">
        <f aca="false">IF(O2412=0,"No Discount",IF(O2412&lt;=15,"Low (1-15%)",IF(O2412&lt;=30,"Medium (16-30%)","High (&gt;30%)")))</f>
        <v>No Discount</v>
      </c>
      <c r="AD2412" s="1" t="str">
        <f aca="false">IF(V2412&lt;0,"Loss Making",IF(V2412&lt;20,"Low Margin","Healthy Margin"))</f>
        <v>Healthy Margin</v>
      </c>
      <c r="AE2412" s="1" t="str">
        <f aca="false">TEXT(DATE(VALUE(RIGHT(B2412,4)),VALUE(MID(B2412,4,2)),VALUE(LEFT(B2412,2))),"MMM-YYYY")</f>
        <v>Mar-2023</v>
      </c>
      <c r="AF2412" s="1" t="n">
        <f aca="false">VALUE(RIGHT(B2412,4))</f>
        <v>2023</v>
      </c>
      <c r="AG2412" s="1" t="str">
        <f aca="false">CHOOSE(ROUNDUP(VALUE(MID(B2412,4,2))/3,0),"Q1","Q2","Q3","Q4")</f>
        <v>Q1</v>
      </c>
    </row>
    <row r="2413" customFormat="false" ht="15" hidden="false" customHeight="true" outlineLevel="0" collapsed="false">
      <c r="A2413" s="1" t="s">
        <v>3284</v>
      </c>
      <c r="B2413" s="1" t="s">
        <v>1893</v>
      </c>
      <c r="C2413" s="1" t="s">
        <v>65</v>
      </c>
      <c r="D2413" s="1" t="s">
        <v>53</v>
      </c>
      <c r="E2413" s="1" t="s">
        <v>216</v>
      </c>
      <c r="F2413" s="1" t="s">
        <v>194</v>
      </c>
      <c r="G2413" s="1" t="s">
        <v>103</v>
      </c>
      <c r="H2413" s="1" t="s">
        <v>69</v>
      </c>
      <c r="I2413" s="1" t="s">
        <v>83</v>
      </c>
      <c r="J2413" s="1" t="s">
        <v>70</v>
      </c>
      <c r="K2413" s="1" t="s">
        <v>104</v>
      </c>
      <c r="L2413" s="1" t="s">
        <v>37</v>
      </c>
      <c r="M2413" s="1" t="s">
        <v>50</v>
      </c>
      <c r="N2413" s="1" t="n">
        <v>7499</v>
      </c>
      <c r="O2413" s="1" t="n">
        <v>20</v>
      </c>
      <c r="P2413" s="1" t="n">
        <v>1499.8</v>
      </c>
      <c r="Q2413" s="1" t="n">
        <v>5999.2</v>
      </c>
      <c r="R2413" s="1" t="n">
        <v>1079.86</v>
      </c>
      <c r="S2413" s="1" t="n">
        <v>4919.34</v>
      </c>
      <c r="T2413" s="1" t="n">
        <v>1628.04</v>
      </c>
      <c r="U2413" s="1" t="n">
        <v>3291.3</v>
      </c>
      <c r="V2413" s="1" t="n">
        <v>66.91</v>
      </c>
      <c r="W2413" s="1" t="s">
        <v>39</v>
      </c>
      <c r="X2413" s="1" t="n">
        <v>4</v>
      </c>
      <c r="Y2413" s="1" t="s">
        <v>40</v>
      </c>
      <c r="Z2413" s="1" t="n">
        <v>0</v>
      </c>
      <c r="AA2413" s="1" t="str">
        <f aca="false">TRIM(PROPER(F2413))</f>
        <v>Hyderabad</v>
      </c>
      <c r="AB2413" s="1" t="str">
        <f aca="false">TRIM(PROPER(C2413))</f>
        <v>Toppr</v>
      </c>
      <c r="AC2413" s="1" t="str">
        <f aca="false">IF(O2413=0,"No Discount",IF(O2413&lt;=15,"Low (1-15%)",IF(O2413&lt;=30,"Medium (16-30%)","High (&gt;30%)")))</f>
        <v>Medium (16-30%)</v>
      </c>
      <c r="AD2413" s="1" t="str">
        <f aca="false">IF(V2413&lt;0,"Loss Making",IF(V2413&lt;20,"Low Margin","Healthy Margin"))</f>
        <v>Healthy Margin</v>
      </c>
      <c r="AE2413" s="1" t="str">
        <f aca="false">TEXT(DATE(VALUE(RIGHT(B2413,4)),VALUE(MID(B2413,4,2)),VALUE(LEFT(B2413,2))),"MMM-YYYY")</f>
        <v>Feb-2023</v>
      </c>
      <c r="AF2413" s="1" t="n">
        <f aca="false">VALUE(RIGHT(B2413,4))</f>
        <v>2023</v>
      </c>
      <c r="AG2413" s="1" t="str">
        <f aca="false">CHOOSE(ROUNDUP(VALUE(MID(B2413,4,2))/3,0),"Q1","Q2","Q3","Q4")</f>
        <v>Q1</v>
      </c>
    </row>
    <row r="2414" customFormat="false" ht="15" hidden="false" customHeight="true" outlineLevel="0" collapsed="false">
      <c r="A2414" s="1" t="s">
        <v>3285</v>
      </c>
      <c r="B2414" s="1" t="s">
        <v>155</v>
      </c>
      <c r="C2414" s="1" t="s">
        <v>88</v>
      </c>
      <c r="D2414" s="1" t="s">
        <v>29</v>
      </c>
      <c r="E2414" s="1" t="s">
        <v>129</v>
      </c>
      <c r="F2414" s="1" t="s">
        <v>803</v>
      </c>
      <c r="G2414" s="1" t="s">
        <v>108</v>
      </c>
      <c r="H2414" s="1" t="s">
        <v>33</v>
      </c>
      <c r="I2414" s="1" t="s">
        <v>34</v>
      </c>
      <c r="J2414" s="1" t="s">
        <v>59</v>
      </c>
      <c r="K2414" s="1" t="s">
        <v>71</v>
      </c>
      <c r="L2414" s="1" t="s">
        <v>61</v>
      </c>
      <c r="M2414" s="1" t="s">
        <v>38</v>
      </c>
      <c r="N2414" s="1" t="n">
        <v>29999</v>
      </c>
      <c r="O2414" s="1" t="n">
        <v>10</v>
      </c>
      <c r="P2414" s="1" t="n">
        <v>2999.9</v>
      </c>
      <c r="Q2414" s="1" t="n">
        <v>26999.1</v>
      </c>
      <c r="R2414" s="1" t="n">
        <v>4859.84</v>
      </c>
      <c r="S2414" s="1" t="n">
        <v>22139.26</v>
      </c>
      <c r="T2414" s="1" t="n">
        <v>10169.76</v>
      </c>
      <c r="U2414" s="1" t="n">
        <v>11969.5</v>
      </c>
      <c r="V2414" s="1" t="n">
        <v>54.06</v>
      </c>
      <c r="W2414" s="1" t="s">
        <v>39</v>
      </c>
      <c r="X2414" s="1" t="n">
        <v>4.6</v>
      </c>
      <c r="Y2414" s="1" t="s">
        <v>40</v>
      </c>
      <c r="Z2414" s="1" t="n">
        <v>1</v>
      </c>
      <c r="AA2414" s="1" t="str">
        <f aca="false">TRIM(PROPER(F2414))</f>
        <v>Madurai</v>
      </c>
      <c r="AB2414" s="1" t="str">
        <f aca="false">TRIM(PROPER(C2414))</f>
        <v>Byju'S</v>
      </c>
      <c r="AC2414" s="1" t="str">
        <f aca="false">IF(O2414=0,"No Discount",IF(O2414&lt;=15,"Low (1-15%)",IF(O2414&lt;=30,"Medium (16-30%)","High (&gt;30%)")))</f>
        <v>Low (1-15%)</v>
      </c>
      <c r="AD2414" s="1" t="str">
        <f aca="false">IF(V2414&lt;0,"Loss Making",IF(V2414&lt;20,"Low Margin","Healthy Margin"))</f>
        <v>Healthy Margin</v>
      </c>
      <c r="AE2414" s="1" t="str">
        <f aca="false">TEXT(DATE(VALUE(RIGHT(B2414,4)),VALUE(MID(B2414,4,2)),VALUE(LEFT(B2414,2))),"MMM-YYYY")</f>
        <v>Oct-2023</v>
      </c>
      <c r="AF2414" s="1" t="n">
        <f aca="false">VALUE(RIGHT(B2414,4))</f>
        <v>2023</v>
      </c>
      <c r="AG2414" s="1" t="str">
        <f aca="false">CHOOSE(ROUNDUP(VALUE(MID(B2414,4,2))/3,0),"Q1","Q2","Q3","Q4")</f>
        <v>Q4</v>
      </c>
    </row>
    <row r="2415" customFormat="false" ht="15" hidden="false" customHeight="true" outlineLevel="0" collapsed="false">
      <c r="A2415" s="1" t="s">
        <v>3286</v>
      </c>
      <c r="B2415" s="1" t="s">
        <v>1913</v>
      </c>
      <c r="C2415" s="1" t="s">
        <v>128</v>
      </c>
      <c r="D2415" s="1" t="s">
        <v>44</v>
      </c>
      <c r="E2415" s="1" t="s">
        <v>45</v>
      </c>
      <c r="F2415" s="1" t="s">
        <v>120</v>
      </c>
      <c r="G2415" s="1" t="s">
        <v>47</v>
      </c>
      <c r="H2415" s="1" t="s">
        <v>57</v>
      </c>
      <c r="I2415" s="1" t="s">
        <v>34</v>
      </c>
      <c r="J2415" s="1" t="s">
        <v>131</v>
      </c>
      <c r="K2415" s="1" t="s">
        <v>112</v>
      </c>
      <c r="L2415" s="1" t="s">
        <v>37</v>
      </c>
      <c r="M2415" s="1" t="s">
        <v>38</v>
      </c>
      <c r="N2415" s="1" t="n">
        <v>11999</v>
      </c>
      <c r="O2415" s="1" t="n">
        <v>30</v>
      </c>
      <c r="P2415" s="1" t="n">
        <v>3599.7</v>
      </c>
      <c r="Q2415" s="1" t="n">
        <v>8399.3</v>
      </c>
      <c r="R2415" s="1" t="n">
        <v>1511.87</v>
      </c>
      <c r="S2415" s="1" t="n">
        <v>6887.43</v>
      </c>
      <c r="T2415" s="1" t="n">
        <v>3320.32</v>
      </c>
      <c r="U2415" s="1" t="n">
        <v>3567.11</v>
      </c>
      <c r="V2415" s="1" t="n">
        <v>51.79</v>
      </c>
      <c r="W2415" s="1" t="s">
        <v>39</v>
      </c>
      <c r="X2415" s="1" t="n">
        <v>3.4</v>
      </c>
      <c r="Y2415" s="1" t="s">
        <v>40</v>
      </c>
      <c r="Z2415" s="1" t="n">
        <v>2</v>
      </c>
      <c r="AA2415" s="1" t="str">
        <f aca="false">TRIM(PROPER(F2415))</f>
        <v>Mysuru</v>
      </c>
      <c r="AB2415" s="1" t="str">
        <f aca="false">TRIM(PROPER(C2415))</f>
        <v>Great Learning</v>
      </c>
      <c r="AC2415" s="1" t="str">
        <f aca="false">IF(O2415=0,"No Discount",IF(O2415&lt;=15,"Low (1-15%)",IF(O2415&lt;=30,"Medium (16-30%)","High (&gt;30%)")))</f>
        <v>Medium (16-30%)</v>
      </c>
      <c r="AD2415" s="1" t="str">
        <f aca="false">IF(V2415&lt;0,"Loss Making",IF(V2415&lt;20,"Low Margin","Healthy Margin"))</f>
        <v>Healthy Margin</v>
      </c>
      <c r="AE2415" s="1" t="str">
        <f aca="false">TEXT(DATE(VALUE(RIGHT(B2415,4)),VALUE(MID(B2415,4,2)),VALUE(LEFT(B2415,2))),"MMM-YYYY")</f>
        <v>Jul-2023</v>
      </c>
      <c r="AF2415" s="1" t="n">
        <f aca="false">VALUE(RIGHT(B2415,4))</f>
        <v>2023</v>
      </c>
      <c r="AG2415" s="1" t="str">
        <f aca="false">CHOOSE(ROUNDUP(VALUE(MID(B2415,4,2))/3,0),"Q1","Q2","Q3","Q4")</f>
        <v>Q3</v>
      </c>
    </row>
    <row r="2416" customFormat="false" ht="15" hidden="false" customHeight="true" outlineLevel="0" collapsed="false">
      <c r="A2416" s="1" t="s">
        <v>3287</v>
      </c>
      <c r="B2416" s="1" t="s">
        <v>959</v>
      </c>
      <c r="C2416" s="1" t="s">
        <v>43</v>
      </c>
      <c r="D2416" s="1" t="s">
        <v>143</v>
      </c>
      <c r="E2416" s="1" t="s">
        <v>159</v>
      </c>
      <c r="F2416" s="1" t="s">
        <v>205</v>
      </c>
      <c r="G2416" s="1" t="s">
        <v>56</v>
      </c>
      <c r="H2416" s="1" t="s">
        <v>69</v>
      </c>
      <c r="I2416" s="1" t="s">
        <v>34</v>
      </c>
      <c r="J2416" s="1" t="s">
        <v>77</v>
      </c>
      <c r="K2416" s="1" t="s">
        <v>36</v>
      </c>
      <c r="L2416" s="1" t="s">
        <v>136</v>
      </c>
      <c r="M2416" s="1" t="s">
        <v>62</v>
      </c>
      <c r="N2416" s="1" t="n">
        <v>24999</v>
      </c>
      <c r="O2416" s="1" t="n">
        <v>10</v>
      </c>
      <c r="P2416" s="1" t="n">
        <v>2499.9</v>
      </c>
      <c r="Q2416" s="1" t="n">
        <v>22499.1</v>
      </c>
      <c r="R2416" s="1" t="n">
        <v>4049.84</v>
      </c>
      <c r="S2416" s="1" t="n">
        <v>18449.26</v>
      </c>
      <c r="T2416" s="1" t="n">
        <v>6820.05</v>
      </c>
      <c r="U2416" s="1" t="n">
        <v>11629.21</v>
      </c>
      <c r="V2416" s="1" t="n">
        <v>63.03</v>
      </c>
      <c r="W2416" s="1" t="s">
        <v>39</v>
      </c>
      <c r="X2416" s="1" t="n">
        <v>4.3</v>
      </c>
      <c r="Y2416" s="1" t="s">
        <v>40</v>
      </c>
      <c r="Z2416" s="1" t="n">
        <v>0</v>
      </c>
      <c r="AA2416" s="1" t="str">
        <f aca="false">TRIM(PROPER(F2416))</f>
        <v>New Delhi</v>
      </c>
      <c r="AB2416" s="1" t="str">
        <f aca="false">TRIM(PROPER(C2416))</f>
        <v>Meritnation</v>
      </c>
      <c r="AC2416" s="1" t="str">
        <f aca="false">IF(O2416=0,"No Discount",IF(O2416&lt;=15,"Low (1-15%)",IF(O2416&lt;=30,"Medium (16-30%)","High (&gt;30%)")))</f>
        <v>Low (1-15%)</v>
      </c>
      <c r="AD2416" s="1" t="str">
        <f aca="false">IF(V2416&lt;0,"Loss Making",IF(V2416&lt;20,"Low Margin","Healthy Margin"))</f>
        <v>Healthy Margin</v>
      </c>
      <c r="AE2416" s="1" t="str">
        <f aca="false">TEXT(DATE(VALUE(RIGHT(B2416,4)),VALUE(MID(B2416,4,2)),VALUE(LEFT(B2416,2))),"MMM-YYYY")</f>
        <v>May-2023</v>
      </c>
      <c r="AF2416" s="1" t="n">
        <f aca="false">VALUE(RIGHT(B2416,4))</f>
        <v>2023</v>
      </c>
      <c r="AG2416" s="1" t="str">
        <f aca="false">CHOOSE(ROUNDUP(VALUE(MID(B2416,4,2))/3,0),"Q1","Q2","Q3","Q4")</f>
        <v>Q2</v>
      </c>
    </row>
    <row r="2417" customFormat="false" ht="15" hidden="false" customHeight="true" outlineLevel="0" collapsed="false">
      <c r="A2417" s="1" t="s">
        <v>3288</v>
      </c>
      <c r="B2417" s="1" t="s">
        <v>1633</v>
      </c>
      <c r="C2417" s="1" t="s">
        <v>167</v>
      </c>
      <c r="D2417" s="1" t="s">
        <v>80</v>
      </c>
      <c r="E2417" s="1" t="s">
        <v>81</v>
      </c>
      <c r="F2417" s="1" t="s">
        <v>211</v>
      </c>
      <c r="G2417" s="1" t="s">
        <v>56</v>
      </c>
      <c r="H2417" s="1" t="s">
        <v>69</v>
      </c>
      <c r="I2417" s="1" t="s">
        <v>83</v>
      </c>
      <c r="J2417" s="1" t="s">
        <v>131</v>
      </c>
      <c r="K2417" s="1" t="s">
        <v>60</v>
      </c>
      <c r="L2417" s="1" t="s">
        <v>49</v>
      </c>
      <c r="M2417" s="1" t="s">
        <v>62</v>
      </c>
      <c r="N2417" s="1" t="n">
        <v>12999</v>
      </c>
      <c r="O2417" s="1" t="n">
        <v>10</v>
      </c>
      <c r="P2417" s="1" t="n">
        <v>1299.9</v>
      </c>
      <c r="Q2417" s="1" t="n">
        <v>11699.1</v>
      </c>
      <c r="R2417" s="1" t="n">
        <v>2105.84</v>
      </c>
      <c r="S2417" s="1" t="n">
        <v>9593.26</v>
      </c>
      <c r="T2417" s="1" t="n">
        <v>3847.32</v>
      </c>
      <c r="U2417" s="1" t="n">
        <v>5745.94</v>
      </c>
      <c r="V2417" s="1" t="n">
        <v>59.9</v>
      </c>
      <c r="W2417" s="1" t="s">
        <v>39</v>
      </c>
      <c r="X2417" s="1" t="n">
        <v>3.4</v>
      </c>
      <c r="Y2417" s="1" t="s">
        <v>40</v>
      </c>
      <c r="Z2417" s="1" t="n">
        <v>0</v>
      </c>
      <c r="AA2417" s="1" t="str">
        <f aca="false">TRIM(PROPER(F2417))</f>
        <v>Noida</v>
      </c>
      <c r="AB2417" s="1" t="str">
        <f aca="false">TRIM(PROPER(C2417))</f>
        <v>Scaler</v>
      </c>
      <c r="AC2417" s="1" t="str">
        <f aca="false">IF(O2417=0,"No Discount",IF(O2417&lt;=15,"Low (1-15%)",IF(O2417&lt;=30,"Medium (16-30%)","High (&gt;30%)")))</f>
        <v>Low (1-15%)</v>
      </c>
      <c r="AD2417" s="1" t="str">
        <f aca="false">IF(V2417&lt;0,"Loss Making",IF(V2417&lt;20,"Low Margin","Healthy Margin"))</f>
        <v>Healthy Margin</v>
      </c>
      <c r="AE2417" s="1" t="str">
        <f aca="false">TEXT(DATE(VALUE(RIGHT(B2417,4)),VALUE(MID(B2417,4,2)),VALUE(LEFT(B2417,2))),"MMM-YYYY")</f>
        <v>Dec-2024</v>
      </c>
      <c r="AF2417" s="1" t="n">
        <f aca="false">VALUE(RIGHT(B2417,4))</f>
        <v>2024</v>
      </c>
      <c r="AG2417" s="1" t="str">
        <f aca="false">CHOOSE(ROUNDUP(VALUE(MID(B2417,4,2))/3,0),"Q1","Q2","Q3","Q4")</f>
        <v>Q4</v>
      </c>
    </row>
    <row r="2418" customFormat="false" ht="15" hidden="false" customHeight="true" outlineLevel="0" collapsed="false">
      <c r="A2418" s="1" t="s">
        <v>3289</v>
      </c>
      <c r="B2418" s="1" t="s">
        <v>638</v>
      </c>
      <c r="C2418" s="1" t="s">
        <v>128</v>
      </c>
      <c r="D2418" s="1" t="s">
        <v>168</v>
      </c>
      <c r="E2418" s="1" t="s">
        <v>197</v>
      </c>
      <c r="F2418" s="1" t="s">
        <v>107</v>
      </c>
      <c r="G2418" s="1" t="s">
        <v>108</v>
      </c>
      <c r="H2418" s="1" t="s">
        <v>33</v>
      </c>
      <c r="I2418" s="1" t="s">
        <v>58</v>
      </c>
      <c r="J2418" s="1" t="s">
        <v>131</v>
      </c>
      <c r="K2418" s="1" t="s">
        <v>90</v>
      </c>
      <c r="L2418" s="1" t="s">
        <v>85</v>
      </c>
      <c r="M2418" s="1" t="s">
        <v>38</v>
      </c>
      <c r="N2418" s="1" t="n">
        <v>8499</v>
      </c>
      <c r="O2418" s="1" t="n">
        <v>5</v>
      </c>
      <c r="P2418" s="1" t="n">
        <v>424.95</v>
      </c>
      <c r="Q2418" s="1" t="n">
        <v>8074.05</v>
      </c>
      <c r="R2418" s="1" t="n">
        <v>1453.33</v>
      </c>
      <c r="S2418" s="1" t="n">
        <v>6620.72</v>
      </c>
      <c r="T2418" s="1" t="n">
        <v>3363.95</v>
      </c>
      <c r="U2418" s="1" t="n">
        <v>3256.77</v>
      </c>
      <c r="V2418" s="1" t="n">
        <v>49.19</v>
      </c>
      <c r="W2418" s="1" t="s">
        <v>40</v>
      </c>
      <c r="Y2418" s="1" t="s">
        <v>40</v>
      </c>
      <c r="Z2418" s="1" t="n">
        <v>0</v>
      </c>
      <c r="AA2418" s="1" t="str">
        <f aca="false">TRIM(PROPER(F2418))</f>
        <v>Madurai</v>
      </c>
      <c r="AB2418" s="1" t="str">
        <f aca="false">TRIM(PROPER(C2418))</f>
        <v>Great Learning</v>
      </c>
      <c r="AC2418" s="1" t="str">
        <f aca="false">IF(O2418=0,"No Discount",IF(O2418&lt;=15,"Low (1-15%)",IF(O2418&lt;=30,"Medium (16-30%)","High (&gt;30%)")))</f>
        <v>Low (1-15%)</v>
      </c>
      <c r="AD2418" s="1" t="str">
        <f aca="false">IF(V2418&lt;0,"Loss Making",IF(V2418&lt;20,"Low Margin","Healthy Margin"))</f>
        <v>Healthy Margin</v>
      </c>
      <c r="AE2418" s="1" t="str">
        <f aca="false">TEXT(DATE(VALUE(RIGHT(B2418,4)),VALUE(MID(B2418,4,2)),VALUE(LEFT(B2418,2))),"MMM-YYYY")</f>
        <v>Nov-2023</v>
      </c>
      <c r="AF2418" s="1" t="n">
        <f aca="false">VALUE(RIGHT(B2418,4))</f>
        <v>2023</v>
      </c>
      <c r="AG2418" s="1" t="str">
        <f aca="false">CHOOSE(ROUNDUP(VALUE(MID(B2418,4,2))/3,0),"Q1","Q2","Q3","Q4")</f>
        <v>Q4</v>
      </c>
    </row>
    <row r="2419" customFormat="false" ht="15" hidden="false" customHeight="true" outlineLevel="0" collapsed="false">
      <c r="A2419" s="1" t="s">
        <v>3290</v>
      </c>
      <c r="B2419" s="1" t="s">
        <v>259</v>
      </c>
      <c r="C2419" s="1" t="s">
        <v>88</v>
      </c>
      <c r="D2419" s="1" t="s">
        <v>44</v>
      </c>
      <c r="E2419" s="1" t="s">
        <v>66</v>
      </c>
      <c r="F2419" s="1" t="s">
        <v>102</v>
      </c>
      <c r="G2419" s="1" t="s">
        <v>103</v>
      </c>
      <c r="H2419" s="1" t="s">
        <v>33</v>
      </c>
      <c r="I2419" s="1" t="s">
        <v>58</v>
      </c>
      <c r="J2419" s="1" t="s">
        <v>77</v>
      </c>
      <c r="K2419" s="1" t="s">
        <v>90</v>
      </c>
      <c r="L2419" s="1" t="s">
        <v>136</v>
      </c>
      <c r="M2419" s="1" t="s">
        <v>38</v>
      </c>
      <c r="N2419" s="1" t="n">
        <v>12999</v>
      </c>
      <c r="O2419" s="1" t="n">
        <v>0</v>
      </c>
      <c r="P2419" s="1" t="n">
        <v>0</v>
      </c>
      <c r="Q2419" s="1" t="n">
        <v>12999</v>
      </c>
      <c r="R2419" s="1" t="n">
        <v>2339.82</v>
      </c>
      <c r="S2419" s="1" t="n">
        <v>10659.18</v>
      </c>
      <c r="T2419" s="1" t="n">
        <v>5844.92</v>
      </c>
      <c r="U2419" s="1" t="n">
        <v>4814.26</v>
      </c>
      <c r="V2419" s="1" t="n">
        <v>45.17</v>
      </c>
      <c r="W2419" s="1" t="s">
        <v>40</v>
      </c>
      <c r="Y2419" s="1" t="s">
        <v>40</v>
      </c>
      <c r="Z2419" s="1" t="n">
        <v>0</v>
      </c>
      <c r="AA2419" s="1" t="str">
        <f aca="false">TRIM(PROPER(F2419))</f>
        <v>Warangal</v>
      </c>
      <c r="AB2419" s="1" t="str">
        <f aca="false">TRIM(PROPER(C2419))</f>
        <v>Byju'S</v>
      </c>
      <c r="AC2419" s="1" t="str">
        <f aca="false">IF(O2419=0,"No Discount",IF(O2419&lt;=15,"Low (1-15%)",IF(O2419&lt;=30,"Medium (16-30%)","High (&gt;30%)")))</f>
        <v>No Discount</v>
      </c>
      <c r="AD2419" s="1" t="str">
        <f aca="false">IF(V2419&lt;0,"Loss Making",IF(V2419&lt;20,"Low Margin","Healthy Margin"))</f>
        <v>Healthy Margin</v>
      </c>
      <c r="AE2419" s="1" t="str">
        <f aca="false">TEXT(DATE(VALUE(RIGHT(B2419,4)),VALUE(MID(B2419,4,2)),VALUE(LEFT(B2419,2))),"MMM-YYYY")</f>
        <v>Dec-2024</v>
      </c>
      <c r="AF2419" s="1" t="n">
        <f aca="false">VALUE(RIGHT(B2419,4))</f>
        <v>2024</v>
      </c>
      <c r="AG2419" s="1" t="str">
        <f aca="false">CHOOSE(ROUNDUP(VALUE(MID(B2419,4,2))/3,0),"Q1","Q2","Q3","Q4")</f>
        <v>Q4</v>
      </c>
    </row>
    <row r="2420" customFormat="false" ht="15" hidden="false" customHeight="true" outlineLevel="0" collapsed="false">
      <c r="A2420" s="1" t="s">
        <v>3291</v>
      </c>
      <c r="B2420" s="1" t="s">
        <v>352</v>
      </c>
      <c r="C2420" s="1" t="s">
        <v>74</v>
      </c>
      <c r="D2420" s="1" t="s">
        <v>168</v>
      </c>
      <c r="E2420" s="1" t="s">
        <v>197</v>
      </c>
      <c r="F2420" s="1" t="s">
        <v>107</v>
      </c>
      <c r="G2420" s="1" t="s">
        <v>108</v>
      </c>
      <c r="H2420" s="1" t="s">
        <v>33</v>
      </c>
      <c r="I2420" s="1" t="s">
        <v>34</v>
      </c>
      <c r="J2420" s="1" t="s">
        <v>35</v>
      </c>
      <c r="K2420" s="1" t="s">
        <v>112</v>
      </c>
      <c r="L2420" s="1" t="s">
        <v>85</v>
      </c>
      <c r="M2420" s="1" t="s">
        <v>50</v>
      </c>
      <c r="N2420" s="1" t="n">
        <v>8499</v>
      </c>
      <c r="O2420" s="1" t="n">
        <v>20</v>
      </c>
      <c r="P2420" s="1" t="n">
        <v>1699.8</v>
      </c>
      <c r="Q2420" s="1" t="n">
        <v>6799.2</v>
      </c>
      <c r="R2420" s="1" t="n">
        <v>1223.86</v>
      </c>
      <c r="S2420" s="1" t="n">
        <v>5575.34</v>
      </c>
      <c r="T2420" s="1" t="n">
        <v>1812.53</v>
      </c>
      <c r="U2420" s="1" t="n">
        <v>3762.81</v>
      </c>
      <c r="V2420" s="1" t="n">
        <v>67.49</v>
      </c>
      <c r="W2420" s="1" t="s">
        <v>39</v>
      </c>
      <c r="X2420" s="1" t="n">
        <v>3.7</v>
      </c>
      <c r="Y2420" s="1" t="s">
        <v>40</v>
      </c>
      <c r="Z2420" s="1" t="n">
        <v>1</v>
      </c>
      <c r="AA2420" s="1" t="str">
        <f aca="false">TRIM(PROPER(F2420))</f>
        <v>Madurai</v>
      </c>
      <c r="AB2420" s="1" t="str">
        <f aca="false">TRIM(PROPER(C2420))</f>
        <v>Vedantu</v>
      </c>
      <c r="AC2420" s="1" t="str">
        <f aca="false">IF(O2420=0,"No Discount",IF(O2420&lt;=15,"Low (1-15%)",IF(O2420&lt;=30,"Medium (16-30%)","High (&gt;30%)")))</f>
        <v>Medium (16-30%)</v>
      </c>
      <c r="AD2420" s="1" t="str">
        <f aca="false">IF(V2420&lt;0,"Loss Making",IF(V2420&lt;20,"Low Margin","Healthy Margin"))</f>
        <v>Healthy Margin</v>
      </c>
      <c r="AE2420" s="1" t="str">
        <f aca="false">TEXT(DATE(VALUE(RIGHT(B2420,4)),VALUE(MID(B2420,4,2)),VALUE(LEFT(B2420,2))),"MMM-YYYY")</f>
        <v>Jul-2024</v>
      </c>
      <c r="AF2420" s="1" t="n">
        <f aca="false">VALUE(RIGHT(B2420,4))</f>
        <v>2024</v>
      </c>
      <c r="AG2420" s="1" t="str">
        <f aca="false">CHOOSE(ROUNDUP(VALUE(MID(B2420,4,2))/3,0),"Q1","Q2","Q3","Q4")</f>
        <v>Q3</v>
      </c>
    </row>
    <row r="2421" customFormat="false" ht="15" hidden="false" customHeight="true" outlineLevel="0" collapsed="false">
      <c r="A2421" s="1" t="s">
        <v>3292</v>
      </c>
      <c r="B2421" s="1" t="s">
        <v>257</v>
      </c>
      <c r="C2421" s="1" t="s">
        <v>88</v>
      </c>
      <c r="D2421" s="1" t="s">
        <v>29</v>
      </c>
      <c r="E2421" s="1" t="s">
        <v>182</v>
      </c>
      <c r="F2421" s="1" t="s">
        <v>89</v>
      </c>
      <c r="G2421" s="1" t="s">
        <v>68</v>
      </c>
      <c r="H2421" s="1" t="s">
        <v>33</v>
      </c>
      <c r="I2421" s="1" t="s">
        <v>58</v>
      </c>
      <c r="J2421" s="1" t="s">
        <v>35</v>
      </c>
      <c r="K2421" s="1" t="s">
        <v>60</v>
      </c>
      <c r="L2421" s="1" t="s">
        <v>61</v>
      </c>
      <c r="M2421" s="1" t="s">
        <v>62</v>
      </c>
      <c r="N2421" s="1" t="n">
        <v>34999</v>
      </c>
      <c r="O2421" s="1" t="n">
        <v>0</v>
      </c>
      <c r="P2421" s="1" t="n">
        <v>0</v>
      </c>
      <c r="Q2421" s="1" t="n">
        <v>34999</v>
      </c>
      <c r="R2421" s="1" t="n">
        <v>6299.82</v>
      </c>
      <c r="S2421" s="1" t="n">
        <v>28699.18</v>
      </c>
      <c r="T2421" s="1" t="n">
        <v>15697.25</v>
      </c>
      <c r="U2421" s="1" t="n">
        <v>13001.93</v>
      </c>
      <c r="V2421" s="1" t="n">
        <v>45.3</v>
      </c>
      <c r="W2421" s="1" t="s">
        <v>40</v>
      </c>
      <c r="Y2421" s="1" t="s">
        <v>40</v>
      </c>
      <c r="Z2421" s="1" t="n">
        <v>0</v>
      </c>
      <c r="AA2421" s="1" t="str">
        <f aca="false">TRIM(PROPER(F2421))</f>
        <v>Vadodara</v>
      </c>
      <c r="AB2421" s="1" t="str">
        <f aca="false">TRIM(PROPER(C2421))</f>
        <v>Byju'S</v>
      </c>
      <c r="AC2421" s="1" t="str">
        <f aca="false">IF(O2421=0,"No Discount",IF(O2421&lt;=15,"Low (1-15%)",IF(O2421&lt;=30,"Medium (16-30%)","High (&gt;30%)")))</f>
        <v>No Discount</v>
      </c>
      <c r="AD2421" s="1" t="str">
        <f aca="false">IF(V2421&lt;0,"Loss Making",IF(V2421&lt;20,"Low Margin","Healthy Margin"))</f>
        <v>Healthy Margin</v>
      </c>
      <c r="AE2421" s="1" t="str">
        <f aca="false">TEXT(DATE(VALUE(RIGHT(B2421,4)),VALUE(MID(B2421,4,2)),VALUE(LEFT(B2421,2))),"MMM-YYYY")</f>
        <v>Jun-2023</v>
      </c>
      <c r="AF2421" s="1" t="n">
        <f aca="false">VALUE(RIGHT(B2421,4))</f>
        <v>2023</v>
      </c>
      <c r="AG2421" s="1" t="str">
        <f aca="false">CHOOSE(ROUNDUP(VALUE(MID(B2421,4,2))/3,0),"Q1","Q2","Q3","Q4")</f>
        <v>Q2</v>
      </c>
    </row>
    <row r="2422" customFormat="false" ht="15" hidden="false" customHeight="true" outlineLevel="0" collapsed="false">
      <c r="A2422" s="1" t="s">
        <v>3293</v>
      </c>
      <c r="B2422" s="1" t="s">
        <v>1640</v>
      </c>
      <c r="C2422" s="1" t="s">
        <v>134</v>
      </c>
      <c r="D2422" s="1" t="s">
        <v>29</v>
      </c>
      <c r="E2422" s="1" t="s">
        <v>129</v>
      </c>
      <c r="F2422" s="1" t="s">
        <v>107</v>
      </c>
      <c r="G2422" s="1" t="s">
        <v>108</v>
      </c>
      <c r="H2422" s="1" t="s">
        <v>33</v>
      </c>
      <c r="I2422" s="1" t="s">
        <v>58</v>
      </c>
      <c r="J2422" s="1" t="s">
        <v>59</v>
      </c>
      <c r="K2422" s="1" t="s">
        <v>48</v>
      </c>
      <c r="L2422" s="1" t="s">
        <v>85</v>
      </c>
      <c r="M2422" s="1" t="s">
        <v>62</v>
      </c>
      <c r="N2422" s="1" t="n">
        <v>29999</v>
      </c>
      <c r="O2422" s="1" t="n">
        <v>5</v>
      </c>
      <c r="P2422" s="1" t="n">
        <v>1499.95</v>
      </c>
      <c r="Q2422" s="1" t="n">
        <v>28499.05</v>
      </c>
      <c r="R2422" s="1" t="n">
        <v>5129.83</v>
      </c>
      <c r="S2422" s="1" t="n">
        <v>23369.22</v>
      </c>
      <c r="T2422" s="1" t="n">
        <v>9158.65</v>
      </c>
      <c r="U2422" s="1" t="n">
        <v>14210.57</v>
      </c>
      <c r="V2422" s="1" t="n">
        <v>60.81</v>
      </c>
      <c r="W2422" s="1" t="s">
        <v>39</v>
      </c>
      <c r="Y2422" s="1" t="s">
        <v>40</v>
      </c>
      <c r="Z2422" s="1" t="n">
        <v>0</v>
      </c>
      <c r="AA2422" s="1" t="str">
        <f aca="false">TRIM(PROPER(F2422))</f>
        <v>Madurai</v>
      </c>
      <c r="AB2422" s="1" t="str">
        <f aca="false">TRIM(PROPER(C2422))</f>
        <v>Doubtnut</v>
      </c>
      <c r="AC2422" s="1" t="str">
        <f aca="false">IF(O2422=0,"No Discount",IF(O2422&lt;=15,"Low (1-15%)",IF(O2422&lt;=30,"Medium (16-30%)","High (&gt;30%)")))</f>
        <v>Low (1-15%)</v>
      </c>
      <c r="AD2422" s="1" t="str">
        <f aca="false">IF(V2422&lt;0,"Loss Making",IF(V2422&lt;20,"Low Margin","Healthy Margin"))</f>
        <v>Healthy Margin</v>
      </c>
      <c r="AE2422" s="1" t="str">
        <f aca="false">TEXT(DATE(VALUE(RIGHT(B2422,4)),VALUE(MID(B2422,4,2)),VALUE(LEFT(B2422,2))),"MMM-YYYY")</f>
        <v>May-2024</v>
      </c>
      <c r="AF2422" s="1" t="n">
        <f aca="false">VALUE(RIGHT(B2422,4))</f>
        <v>2024</v>
      </c>
      <c r="AG2422" s="1" t="str">
        <f aca="false">CHOOSE(ROUNDUP(VALUE(MID(B2422,4,2))/3,0),"Q1","Q2","Q3","Q4")</f>
        <v>Q2</v>
      </c>
    </row>
    <row r="2423" customFormat="false" ht="15" hidden="false" customHeight="true" outlineLevel="0" collapsed="false">
      <c r="A2423" s="1" t="s">
        <v>3294</v>
      </c>
      <c r="B2423" s="1" t="s">
        <v>3295</v>
      </c>
      <c r="C2423" s="1" t="s">
        <v>139</v>
      </c>
      <c r="D2423" s="1" t="s">
        <v>53</v>
      </c>
      <c r="E2423" s="1" t="s">
        <v>116</v>
      </c>
      <c r="F2423" s="1" t="s">
        <v>150</v>
      </c>
      <c r="G2423" s="1" t="s">
        <v>32</v>
      </c>
      <c r="H2423" s="1" t="s">
        <v>57</v>
      </c>
      <c r="I2423" s="1" t="s">
        <v>34</v>
      </c>
      <c r="J2423" s="1" t="s">
        <v>59</v>
      </c>
      <c r="K2423" s="1" t="s">
        <v>48</v>
      </c>
      <c r="L2423" s="1" t="s">
        <v>37</v>
      </c>
      <c r="M2423" s="1" t="s">
        <v>50</v>
      </c>
      <c r="N2423" s="1" t="n">
        <v>9999</v>
      </c>
      <c r="O2423" s="1" t="n">
        <v>40</v>
      </c>
      <c r="P2423" s="1" t="n">
        <v>3999.6</v>
      </c>
      <c r="Q2423" s="1" t="n">
        <v>5999.4</v>
      </c>
      <c r="R2423" s="1" t="n">
        <v>1079.89</v>
      </c>
      <c r="S2423" s="1" t="n">
        <v>4919.51</v>
      </c>
      <c r="T2423" s="1" t="n">
        <v>2951.94</v>
      </c>
      <c r="U2423" s="1" t="n">
        <v>1967.57</v>
      </c>
      <c r="V2423" s="1" t="n">
        <v>40</v>
      </c>
      <c r="W2423" s="1" t="s">
        <v>39</v>
      </c>
      <c r="X2423" s="1" t="n">
        <v>4</v>
      </c>
      <c r="Y2423" s="1" t="s">
        <v>40</v>
      </c>
      <c r="Z2423" s="1" t="n">
        <v>0</v>
      </c>
      <c r="AA2423" s="1" t="str">
        <f aca="false">TRIM(PROPER(F2423))</f>
        <v>Jaipur</v>
      </c>
      <c r="AB2423" s="1" t="str">
        <f aca="false">TRIM(PROPER(C2423))</f>
        <v>Extramarks</v>
      </c>
      <c r="AC2423" s="1" t="str">
        <f aca="false">IF(O2423=0,"No Discount",IF(O2423&lt;=15,"Low (1-15%)",IF(O2423&lt;=30,"Medium (16-30%)","High (&gt;30%)")))</f>
        <v>High (&gt;30%)</v>
      </c>
      <c r="AD2423" s="1" t="str">
        <f aca="false">IF(V2423&lt;0,"Loss Making",IF(V2423&lt;20,"Low Margin","Healthy Margin"))</f>
        <v>Healthy Margin</v>
      </c>
      <c r="AE2423" s="1" t="str">
        <f aca="false">TEXT(DATE(VALUE(RIGHT(B2423,4)),VALUE(MID(B2423,4,2)),VALUE(LEFT(B2423,2))),"MMM-YYYY")</f>
        <v>Aug-2023</v>
      </c>
      <c r="AF2423" s="1" t="n">
        <f aca="false">VALUE(RIGHT(B2423,4))</f>
        <v>2023</v>
      </c>
      <c r="AG2423" s="1" t="str">
        <f aca="false">CHOOSE(ROUNDUP(VALUE(MID(B2423,4,2))/3,0),"Q1","Q2","Q3","Q4")</f>
        <v>Q3</v>
      </c>
    </row>
    <row r="2424" customFormat="false" ht="15" hidden="false" customHeight="true" outlineLevel="0" collapsed="false">
      <c r="A2424" s="1" t="s">
        <v>3296</v>
      </c>
      <c r="B2424" s="1" t="s">
        <v>526</v>
      </c>
      <c r="C2424" s="1" t="s">
        <v>167</v>
      </c>
      <c r="D2424" s="1" t="s">
        <v>44</v>
      </c>
      <c r="E2424" s="1" t="s">
        <v>66</v>
      </c>
      <c r="F2424" s="1" t="s">
        <v>1075</v>
      </c>
      <c r="G2424" s="1" t="s">
        <v>76</v>
      </c>
      <c r="H2424" s="1" t="s">
        <v>69</v>
      </c>
      <c r="I2424" s="1" t="s">
        <v>34</v>
      </c>
      <c r="J2424" s="1" t="s">
        <v>59</v>
      </c>
      <c r="K2424" s="1" t="s">
        <v>84</v>
      </c>
      <c r="L2424" s="1" t="s">
        <v>136</v>
      </c>
      <c r="M2424" s="1" t="s">
        <v>38</v>
      </c>
      <c r="N2424" s="1" t="n">
        <v>12999</v>
      </c>
      <c r="O2424" s="1" t="n">
        <v>50</v>
      </c>
      <c r="P2424" s="1" t="n">
        <v>6499.5</v>
      </c>
      <c r="Q2424" s="1" t="n">
        <v>6499.5</v>
      </c>
      <c r="R2424" s="1" t="n">
        <v>1169.91</v>
      </c>
      <c r="S2424" s="1" t="n">
        <v>5329.59</v>
      </c>
      <c r="T2424" s="1" t="n">
        <v>2708.35</v>
      </c>
      <c r="U2424" s="1" t="n">
        <v>2621.24</v>
      </c>
      <c r="V2424" s="1" t="n">
        <v>49.18</v>
      </c>
      <c r="W2424" s="1" t="s">
        <v>40</v>
      </c>
      <c r="Y2424" s="1" t="s">
        <v>39</v>
      </c>
      <c r="Z2424" s="1" t="n">
        <v>0</v>
      </c>
      <c r="AA2424" s="1" t="str">
        <f aca="false">TRIM(PROPER(F2424))</f>
        <v>Kolkata</v>
      </c>
      <c r="AB2424" s="1" t="str">
        <f aca="false">TRIM(PROPER(C2424))</f>
        <v>Scaler</v>
      </c>
      <c r="AC2424" s="1" t="str">
        <f aca="false">IF(O2424=0,"No Discount",IF(O2424&lt;=15,"Low (1-15%)",IF(O2424&lt;=30,"Medium (16-30%)","High (&gt;30%)")))</f>
        <v>High (&gt;30%)</v>
      </c>
      <c r="AD2424" s="1" t="str">
        <f aca="false">IF(V2424&lt;0,"Loss Making",IF(V2424&lt;20,"Low Margin","Healthy Margin"))</f>
        <v>Healthy Margin</v>
      </c>
      <c r="AE2424" s="1" t="str">
        <f aca="false">TEXT(DATE(VALUE(RIGHT(B2424,4)),VALUE(MID(B2424,4,2)),VALUE(LEFT(B2424,2))),"MMM-YYYY")</f>
        <v>Oct-2024</v>
      </c>
      <c r="AF2424" s="1" t="n">
        <f aca="false">VALUE(RIGHT(B2424,4))</f>
        <v>2024</v>
      </c>
      <c r="AG2424" s="1" t="str">
        <f aca="false">CHOOSE(ROUNDUP(VALUE(MID(B2424,4,2))/3,0),"Q1","Q2","Q3","Q4")</f>
        <v>Q4</v>
      </c>
    </row>
    <row r="2425" customFormat="false" ht="15" hidden="false" customHeight="true" outlineLevel="0" collapsed="false">
      <c r="A2425" s="1" t="s">
        <v>3297</v>
      </c>
      <c r="B2425" s="1" t="s">
        <v>1528</v>
      </c>
      <c r="C2425" s="1" t="s">
        <v>100</v>
      </c>
      <c r="D2425" s="1" t="s">
        <v>168</v>
      </c>
      <c r="E2425" s="1" t="s">
        <v>197</v>
      </c>
      <c r="F2425" s="1" t="s">
        <v>194</v>
      </c>
      <c r="G2425" s="1" t="s">
        <v>103</v>
      </c>
      <c r="H2425" s="1" t="s">
        <v>69</v>
      </c>
      <c r="I2425" s="1" t="s">
        <v>34</v>
      </c>
      <c r="J2425" s="1" t="s">
        <v>35</v>
      </c>
      <c r="K2425" s="1" t="s">
        <v>71</v>
      </c>
      <c r="L2425" s="1" t="s">
        <v>113</v>
      </c>
      <c r="M2425" s="1" t="s">
        <v>38</v>
      </c>
      <c r="N2425" s="1" t="n">
        <v>8499</v>
      </c>
      <c r="O2425" s="1" t="n">
        <v>25</v>
      </c>
      <c r="P2425" s="1" t="n">
        <v>2124.75</v>
      </c>
      <c r="Q2425" s="1" t="n">
        <v>6374.25</v>
      </c>
      <c r="R2425" s="1" t="n">
        <v>1147.37</v>
      </c>
      <c r="S2425" s="1" t="n">
        <v>5226.88</v>
      </c>
      <c r="T2425" s="1" t="n">
        <v>1968.92</v>
      </c>
      <c r="U2425" s="1" t="n">
        <v>3257.96</v>
      </c>
      <c r="V2425" s="1" t="n">
        <v>62.33</v>
      </c>
      <c r="W2425" s="1" t="s">
        <v>39</v>
      </c>
      <c r="X2425" s="1" t="n">
        <v>3.5</v>
      </c>
      <c r="Y2425" s="1" t="s">
        <v>40</v>
      </c>
      <c r="Z2425" s="1" t="n">
        <v>0</v>
      </c>
      <c r="AA2425" s="1" t="str">
        <f aca="false">TRIM(PROPER(F2425))</f>
        <v>Hyderabad</v>
      </c>
      <c r="AB2425" s="1" t="str">
        <f aca="false">TRIM(PROPER(C2425))</f>
        <v>Physics Wallah</v>
      </c>
      <c r="AC2425" s="1" t="str">
        <f aca="false">IF(O2425=0,"No Discount",IF(O2425&lt;=15,"Low (1-15%)",IF(O2425&lt;=30,"Medium (16-30%)","High (&gt;30%)")))</f>
        <v>Medium (16-30%)</v>
      </c>
      <c r="AD2425" s="1" t="str">
        <f aca="false">IF(V2425&lt;0,"Loss Making",IF(V2425&lt;20,"Low Margin","Healthy Margin"))</f>
        <v>Healthy Margin</v>
      </c>
      <c r="AE2425" s="1" t="str">
        <f aca="false">TEXT(DATE(VALUE(RIGHT(B2425,4)),VALUE(MID(B2425,4,2)),VALUE(LEFT(B2425,2))),"MMM-YYYY")</f>
        <v>Jul-2024</v>
      </c>
      <c r="AF2425" s="1" t="n">
        <f aca="false">VALUE(RIGHT(B2425,4))</f>
        <v>2024</v>
      </c>
      <c r="AG2425" s="1" t="str">
        <f aca="false">CHOOSE(ROUNDUP(VALUE(MID(B2425,4,2))/3,0),"Q1","Q2","Q3","Q4")</f>
        <v>Q3</v>
      </c>
    </row>
    <row r="2426" customFormat="false" ht="15" hidden="false" customHeight="true" outlineLevel="0" collapsed="false">
      <c r="A2426" s="1" t="s">
        <v>3298</v>
      </c>
      <c r="B2426" s="1" t="s">
        <v>248</v>
      </c>
      <c r="C2426" s="1" t="s">
        <v>139</v>
      </c>
      <c r="D2426" s="1" t="s">
        <v>80</v>
      </c>
      <c r="E2426" s="1" t="s">
        <v>175</v>
      </c>
      <c r="F2426" s="1" t="s">
        <v>107</v>
      </c>
      <c r="G2426" s="1" t="s">
        <v>108</v>
      </c>
      <c r="H2426" s="1" t="s">
        <v>33</v>
      </c>
      <c r="I2426" s="1" t="s">
        <v>34</v>
      </c>
      <c r="J2426" s="1" t="s">
        <v>70</v>
      </c>
      <c r="K2426" s="1" t="s">
        <v>104</v>
      </c>
      <c r="L2426" s="1" t="s">
        <v>61</v>
      </c>
      <c r="M2426" s="1" t="s">
        <v>50</v>
      </c>
      <c r="N2426" s="1" t="n">
        <v>19999</v>
      </c>
      <c r="O2426" s="1" t="n">
        <v>25</v>
      </c>
      <c r="P2426" s="1" t="n">
        <v>4999.75</v>
      </c>
      <c r="Q2426" s="1" t="n">
        <v>14999.25</v>
      </c>
      <c r="R2426" s="1" t="n">
        <v>2699.86</v>
      </c>
      <c r="S2426" s="1" t="n">
        <v>12299.39</v>
      </c>
      <c r="T2426" s="1" t="n">
        <v>6405.45</v>
      </c>
      <c r="U2426" s="1" t="n">
        <v>5893.94</v>
      </c>
      <c r="V2426" s="1" t="n">
        <v>47.92</v>
      </c>
      <c r="W2426" s="1" t="s">
        <v>40</v>
      </c>
      <c r="Y2426" s="1" t="s">
        <v>40</v>
      </c>
      <c r="Z2426" s="1" t="n">
        <v>0</v>
      </c>
      <c r="AA2426" s="1" t="str">
        <f aca="false">TRIM(PROPER(F2426))</f>
        <v>Madurai</v>
      </c>
      <c r="AB2426" s="1" t="str">
        <f aca="false">TRIM(PROPER(C2426))</f>
        <v>Extramarks</v>
      </c>
      <c r="AC2426" s="1" t="str">
        <f aca="false">IF(O2426=0,"No Discount",IF(O2426&lt;=15,"Low (1-15%)",IF(O2426&lt;=30,"Medium (16-30%)","High (&gt;30%)")))</f>
        <v>Medium (16-30%)</v>
      </c>
      <c r="AD2426" s="1" t="str">
        <f aca="false">IF(V2426&lt;0,"Loss Making",IF(V2426&lt;20,"Low Margin","Healthy Margin"))</f>
        <v>Healthy Margin</v>
      </c>
      <c r="AE2426" s="1" t="str">
        <f aca="false">TEXT(DATE(VALUE(RIGHT(B2426,4)),VALUE(MID(B2426,4,2)),VALUE(LEFT(B2426,2))),"MMM-YYYY")</f>
        <v>Jul-2024</v>
      </c>
      <c r="AF2426" s="1" t="n">
        <f aca="false">VALUE(RIGHT(B2426,4))</f>
        <v>2024</v>
      </c>
      <c r="AG2426" s="1" t="str">
        <f aca="false">CHOOSE(ROUNDUP(VALUE(MID(B2426,4,2))/3,0),"Q1","Q2","Q3","Q4")</f>
        <v>Q3</v>
      </c>
    </row>
    <row r="2427" customFormat="false" ht="15" hidden="false" customHeight="true" outlineLevel="0" collapsed="false">
      <c r="A2427" s="1" t="s">
        <v>3299</v>
      </c>
      <c r="B2427" s="1" t="s">
        <v>661</v>
      </c>
      <c r="C2427" s="1" t="s">
        <v>167</v>
      </c>
      <c r="D2427" s="1" t="s">
        <v>123</v>
      </c>
      <c r="E2427" s="1" t="s">
        <v>147</v>
      </c>
      <c r="F2427" s="1" t="s">
        <v>82</v>
      </c>
      <c r="G2427" s="1" t="s">
        <v>56</v>
      </c>
      <c r="H2427" s="1" t="s">
        <v>69</v>
      </c>
      <c r="I2427" s="1" t="s">
        <v>34</v>
      </c>
      <c r="J2427" s="1" t="s">
        <v>35</v>
      </c>
      <c r="K2427" s="1" t="s">
        <v>71</v>
      </c>
      <c r="L2427" s="1" t="s">
        <v>113</v>
      </c>
      <c r="M2427" s="1" t="s">
        <v>50</v>
      </c>
      <c r="N2427" s="1" t="n">
        <v>6999</v>
      </c>
      <c r="O2427" s="1" t="n">
        <v>5</v>
      </c>
      <c r="P2427" s="1" t="n">
        <v>349.95</v>
      </c>
      <c r="Q2427" s="1" t="n">
        <v>6649.05</v>
      </c>
      <c r="R2427" s="1" t="n">
        <v>1196.83</v>
      </c>
      <c r="S2427" s="1" t="n">
        <v>5452.22</v>
      </c>
      <c r="T2427" s="1" t="n">
        <v>2263.65</v>
      </c>
      <c r="U2427" s="1" t="n">
        <v>3188.57</v>
      </c>
      <c r="V2427" s="1" t="n">
        <v>58.48</v>
      </c>
      <c r="W2427" s="1" t="s">
        <v>39</v>
      </c>
      <c r="Y2427" s="1" t="s">
        <v>40</v>
      </c>
      <c r="Z2427" s="1" t="n">
        <v>0</v>
      </c>
      <c r="AA2427" s="1" t="str">
        <f aca="false">TRIM(PROPER(F2427))</f>
        <v>Gurugram</v>
      </c>
      <c r="AB2427" s="1" t="str">
        <f aca="false">TRIM(PROPER(C2427))</f>
        <v>Scaler</v>
      </c>
      <c r="AC2427" s="1" t="str">
        <f aca="false">IF(O2427=0,"No Discount",IF(O2427&lt;=15,"Low (1-15%)",IF(O2427&lt;=30,"Medium (16-30%)","High (&gt;30%)")))</f>
        <v>Low (1-15%)</v>
      </c>
      <c r="AD2427" s="1" t="str">
        <f aca="false">IF(V2427&lt;0,"Loss Making",IF(V2427&lt;20,"Low Margin","Healthy Margin"))</f>
        <v>Healthy Margin</v>
      </c>
      <c r="AE2427" s="1" t="str">
        <f aca="false">TEXT(DATE(VALUE(RIGHT(B2427,4)),VALUE(MID(B2427,4,2)),VALUE(LEFT(B2427,2))),"MMM-YYYY")</f>
        <v>Apr-2023</v>
      </c>
      <c r="AF2427" s="1" t="n">
        <f aca="false">VALUE(RIGHT(B2427,4))</f>
        <v>2023</v>
      </c>
      <c r="AG2427" s="1" t="str">
        <f aca="false">CHOOSE(ROUNDUP(VALUE(MID(B2427,4,2))/3,0),"Q1","Q2","Q3","Q4")</f>
        <v>Q2</v>
      </c>
    </row>
    <row r="2428" customFormat="false" ht="15" hidden="false" customHeight="true" outlineLevel="0" collapsed="false">
      <c r="A2428" s="1" t="s">
        <v>3300</v>
      </c>
      <c r="B2428" s="1" t="s">
        <v>1588</v>
      </c>
      <c r="C2428" s="1" t="s">
        <v>43</v>
      </c>
      <c r="D2428" s="1" t="s">
        <v>29</v>
      </c>
      <c r="E2428" s="1" t="s">
        <v>30</v>
      </c>
      <c r="F2428" s="1" t="s">
        <v>211</v>
      </c>
      <c r="G2428" s="1" t="s">
        <v>56</v>
      </c>
      <c r="H2428" s="1" t="s">
        <v>69</v>
      </c>
      <c r="I2428" s="1" t="s">
        <v>83</v>
      </c>
      <c r="J2428" s="1" t="s">
        <v>70</v>
      </c>
      <c r="K2428" s="1" t="s">
        <v>60</v>
      </c>
      <c r="L2428" s="1" t="s">
        <v>136</v>
      </c>
      <c r="M2428" s="1" t="s">
        <v>50</v>
      </c>
      <c r="N2428" s="1" t="n">
        <v>7999</v>
      </c>
      <c r="O2428" s="1" t="n">
        <v>0</v>
      </c>
      <c r="P2428" s="1" t="n">
        <v>0</v>
      </c>
      <c r="Q2428" s="1" t="n">
        <v>7999</v>
      </c>
      <c r="R2428" s="1" t="n">
        <v>1439.82</v>
      </c>
      <c r="S2428" s="1" t="n">
        <v>6559.18</v>
      </c>
      <c r="T2428" s="1" t="n">
        <v>2098.73</v>
      </c>
      <c r="U2428" s="1" t="n">
        <v>4460.45</v>
      </c>
      <c r="V2428" s="1" t="n">
        <v>68</v>
      </c>
      <c r="W2428" s="1" t="s">
        <v>39</v>
      </c>
      <c r="X2428" s="1" t="n">
        <v>3.4</v>
      </c>
      <c r="Y2428" s="1" t="s">
        <v>40</v>
      </c>
      <c r="Z2428" s="1" t="n">
        <v>0</v>
      </c>
      <c r="AA2428" s="1" t="str">
        <f aca="false">TRIM(PROPER(F2428))</f>
        <v>Noida</v>
      </c>
      <c r="AB2428" s="1" t="str">
        <f aca="false">TRIM(PROPER(C2428))</f>
        <v>Meritnation</v>
      </c>
      <c r="AC2428" s="1" t="str">
        <f aca="false">IF(O2428=0,"No Discount",IF(O2428&lt;=15,"Low (1-15%)",IF(O2428&lt;=30,"Medium (16-30%)","High (&gt;30%)")))</f>
        <v>No Discount</v>
      </c>
      <c r="AD2428" s="1" t="str">
        <f aca="false">IF(V2428&lt;0,"Loss Making",IF(V2428&lt;20,"Low Margin","Healthy Margin"))</f>
        <v>Healthy Margin</v>
      </c>
      <c r="AE2428" s="1" t="str">
        <f aca="false">TEXT(DATE(VALUE(RIGHT(B2428,4)),VALUE(MID(B2428,4,2)),VALUE(LEFT(B2428,2))),"MMM-YYYY")</f>
        <v>Jan-2024</v>
      </c>
      <c r="AF2428" s="1" t="n">
        <f aca="false">VALUE(RIGHT(B2428,4))</f>
        <v>2024</v>
      </c>
      <c r="AG2428" s="1" t="str">
        <f aca="false">CHOOSE(ROUNDUP(VALUE(MID(B2428,4,2))/3,0),"Q1","Q2","Q3","Q4")</f>
        <v>Q1</v>
      </c>
    </row>
    <row r="2429" customFormat="false" ht="15" hidden="false" customHeight="true" outlineLevel="0" collapsed="false">
      <c r="A2429" s="1" t="s">
        <v>3301</v>
      </c>
      <c r="B2429" s="1" t="s">
        <v>2604</v>
      </c>
      <c r="C2429" s="1" t="s">
        <v>119</v>
      </c>
      <c r="D2429" s="1" t="s">
        <v>168</v>
      </c>
      <c r="E2429" s="1" t="s">
        <v>172</v>
      </c>
      <c r="F2429" s="1" t="s">
        <v>102</v>
      </c>
      <c r="G2429" s="1" t="s">
        <v>103</v>
      </c>
      <c r="H2429" s="1" t="s">
        <v>33</v>
      </c>
      <c r="I2429" s="1" t="s">
        <v>34</v>
      </c>
      <c r="J2429" s="1" t="s">
        <v>35</v>
      </c>
      <c r="K2429" s="1" t="s">
        <v>60</v>
      </c>
      <c r="L2429" s="1" t="s">
        <v>85</v>
      </c>
      <c r="M2429" s="1" t="s">
        <v>62</v>
      </c>
      <c r="N2429" s="1" t="n">
        <v>6999</v>
      </c>
      <c r="O2429" s="1" t="n">
        <v>20</v>
      </c>
      <c r="P2429" s="1" t="n">
        <v>1399.8</v>
      </c>
      <c r="Q2429" s="1" t="n">
        <v>5599.2</v>
      </c>
      <c r="R2429" s="1" t="n">
        <v>1007.86</v>
      </c>
      <c r="S2429" s="1" t="n">
        <v>4591.34</v>
      </c>
      <c r="T2429" s="1" t="n">
        <v>1801.1</v>
      </c>
      <c r="U2429" s="1" t="n">
        <v>2790.24</v>
      </c>
      <c r="V2429" s="1" t="n">
        <v>60.77</v>
      </c>
      <c r="W2429" s="1" t="s">
        <v>39</v>
      </c>
      <c r="Y2429" s="1" t="s">
        <v>40</v>
      </c>
      <c r="Z2429" s="1" t="n">
        <v>0</v>
      </c>
      <c r="AA2429" s="1" t="str">
        <f aca="false">TRIM(PROPER(F2429))</f>
        <v>Warangal</v>
      </c>
      <c r="AB2429" s="1" t="str">
        <f aca="false">TRIM(PROPER(C2429))</f>
        <v>Simplilearn</v>
      </c>
      <c r="AC2429" s="1" t="str">
        <f aca="false">IF(O2429=0,"No Discount",IF(O2429&lt;=15,"Low (1-15%)",IF(O2429&lt;=30,"Medium (16-30%)","High (&gt;30%)")))</f>
        <v>Medium (16-30%)</v>
      </c>
      <c r="AD2429" s="1" t="str">
        <f aca="false">IF(V2429&lt;0,"Loss Making",IF(V2429&lt;20,"Low Margin","Healthy Margin"))</f>
        <v>Healthy Margin</v>
      </c>
      <c r="AE2429" s="1" t="str">
        <f aca="false">TEXT(DATE(VALUE(RIGHT(B2429,4)),VALUE(MID(B2429,4,2)),VALUE(LEFT(B2429,2))),"MMM-YYYY")</f>
        <v>May-2023</v>
      </c>
      <c r="AF2429" s="1" t="n">
        <f aca="false">VALUE(RIGHT(B2429,4))</f>
        <v>2023</v>
      </c>
      <c r="AG2429" s="1" t="str">
        <f aca="false">CHOOSE(ROUNDUP(VALUE(MID(B2429,4,2))/3,0),"Q1","Q2","Q3","Q4")</f>
        <v>Q2</v>
      </c>
    </row>
    <row r="2430" customFormat="false" ht="15" hidden="false" customHeight="true" outlineLevel="0" collapsed="false">
      <c r="A2430" s="1" t="s">
        <v>3302</v>
      </c>
      <c r="B2430" s="1" t="s">
        <v>1913</v>
      </c>
      <c r="C2430" s="1" t="s">
        <v>100</v>
      </c>
      <c r="D2430" s="1" t="s">
        <v>94</v>
      </c>
      <c r="E2430" s="1" t="s">
        <v>135</v>
      </c>
      <c r="F2430" s="1" t="s">
        <v>55</v>
      </c>
      <c r="G2430" s="1" t="s">
        <v>56</v>
      </c>
      <c r="H2430" s="1" t="s">
        <v>57</v>
      </c>
      <c r="I2430" s="1" t="s">
        <v>58</v>
      </c>
      <c r="J2430" s="1" t="s">
        <v>70</v>
      </c>
      <c r="K2430" s="1" t="s">
        <v>84</v>
      </c>
      <c r="L2430" s="1" t="s">
        <v>85</v>
      </c>
      <c r="M2430" s="1" t="s">
        <v>50</v>
      </c>
      <c r="N2430" s="1" t="n">
        <v>9999</v>
      </c>
      <c r="O2430" s="1" t="n">
        <v>0</v>
      </c>
      <c r="P2430" s="1" t="n">
        <v>0</v>
      </c>
      <c r="Q2430" s="1" t="n">
        <v>9999</v>
      </c>
      <c r="R2430" s="1" t="n">
        <v>1799.82</v>
      </c>
      <c r="S2430" s="1" t="n">
        <v>8199.18</v>
      </c>
      <c r="T2430" s="1" t="n">
        <v>3595.45</v>
      </c>
      <c r="U2430" s="1" t="n">
        <v>4603.73</v>
      </c>
      <c r="V2430" s="1" t="n">
        <v>56.15</v>
      </c>
      <c r="W2430" s="1" t="s">
        <v>40</v>
      </c>
      <c r="Y2430" s="1" t="s">
        <v>39</v>
      </c>
      <c r="Z2430" s="1" t="n">
        <v>0</v>
      </c>
      <c r="AA2430" s="1" t="str">
        <f aca="false">TRIM(PROPER(F2430))</f>
        <v>Ghaziabad</v>
      </c>
      <c r="AB2430" s="1" t="str">
        <f aca="false">TRIM(PROPER(C2430))</f>
        <v>Physics Wallah</v>
      </c>
      <c r="AC2430" s="1" t="str">
        <f aca="false">IF(O2430=0,"No Discount",IF(O2430&lt;=15,"Low (1-15%)",IF(O2430&lt;=30,"Medium (16-30%)","High (&gt;30%)")))</f>
        <v>No Discount</v>
      </c>
      <c r="AD2430" s="1" t="str">
        <f aca="false">IF(V2430&lt;0,"Loss Making",IF(V2430&lt;20,"Low Margin","Healthy Margin"))</f>
        <v>Healthy Margin</v>
      </c>
      <c r="AE2430" s="1" t="str">
        <f aca="false">TEXT(DATE(VALUE(RIGHT(B2430,4)),VALUE(MID(B2430,4,2)),VALUE(LEFT(B2430,2))),"MMM-YYYY")</f>
        <v>Jul-2023</v>
      </c>
      <c r="AF2430" s="1" t="n">
        <f aca="false">VALUE(RIGHT(B2430,4))</f>
        <v>2023</v>
      </c>
      <c r="AG2430" s="1" t="str">
        <f aca="false">CHOOSE(ROUNDUP(VALUE(MID(B2430,4,2))/3,0),"Q1","Q2","Q3","Q4")</f>
        <v>Q3</v>
      </c>
    </row>
    <row r="2431" customFormat="false" ht="15" hidden="false" customHeight="true" outlineLevel="0" collapsed="false">
      <c r="A2431" s="1" t="s">
        <v>3303</v>
      </c>
      <c r="B2431" s="1" t="s">
        <v>1507</v>
      </c>
      <c r="C2431" s="1" t="s">
        <v>119</v>
      </c>
      <c r="D2431" s="1" t="s">
        <v>80</v>
      </c>
      <c r="E2431" s="1" t="s">
        <v>193</v>
      </c>
      <c r="F2431" s="1" t="s">
        <v>46</v>
      </c>
      <c r="G2431" s="1" t="s">
        <v>47</v>
      </c>
      <c r="H2431" s="1" t="s">
        <v>33</v>
      </c>
      <c r="I2431" s="1" t="s">
        <v>58</v>
      </c>
      <c r="J2431" s="1" t="s">
        <v>77</v>
      </c>
      <c r="K2431" s="1" t="s">
        <v>112</v>
      </c>
      <c r="L2431" s="1" t="s">
        <v>37</v>
      </c>
      <c r="M2431" s="1" t="s">
        <v>50</v>
      </c>
      <c r="N2431" s="1" t="n">
        <v>8999</v>
      </c>
      <c r="O2431" s="1" t="n">
        <v>10</v>
      </c>
      <c r="P2431" s="1" t="n">
        <v>899.9</v>
      </c>
      <c r="Q2431" s="1" t="n">
        <v>8099.1</v>
      </c>
      <c r="R2431" s="1" t="n">
        <v>1457.84</v>
      </c>
      <c r="S2431" s="1" t="n">
        <v>6641.26</v>
      </c>
      <c r="T2431" s="1" t="n">
        <v>2923.67</v>
      </c>
      <c r="U2431" s="1" t="n">
        <v>3717.59</v>
      </c>
      <c r="V2431" s="1" t="n">
        <v>55.98</v>
      </c>
      <c r="W2431" s="1" t="s">
        <v>39</v>
      </c>
      <c r="X2431" s="1" t="n">
        <v>4</v>
      </c>
      <c r="Y2431" s="1" t="s">
        <v>40</v>
      </c>
      <c r="Z2431" s="1" t="n">
        <v>1</v>
      </c>
      <c r="AA2431" s="1" t="str">
        <f aca="false">TRIM(PROPER(F2431))</f>
        <v>Mangaluru</v>
      </c>
      <c r="AB2431" s="1" t="str">
        <f aca="false">TRIM(PROPER(C2431))</f>
        <v>Simplilearn</v>
      </c>
      <c r="AC2431" s="1" t="str">
        <f aca="false">IF(O2431=0,"No Discount",IF(O2431&lt;=15,"Low (1-15%)",IF(O2431&lt;=30,"Medium (16-30%)","High (&gt;30%)")))</f>
        <v>Low (1-15%)</v>
      </c>
      <c r="AD2431" s="1" t="str">
        <f aca="false">IF(V2431&lt;0,"Loss Making",IF(V2431&lt;20,"Low Margin","Healthy Margin"))</f>
        <v>Healthy Margin</v>
      </c>
      <c r="AE2431" s="1" t="str">
        <f aca="false">TEXT(DATE(VALUE(RIGHT(B2431,4)),VALUE(MID(B2431,4,2)),VALUE(LEFT(B2431,2))),"MMM-YYYY")</f>
        <v>Feb-2023</v>
      </c>
      <c r="AF2431" s="1" t="n">
        <f aca="false">VALUE(RIGHT(B2431,4))</f>
        <v>2023</v>
      </c>
      <c r="AG2431" s="1" t="str">
        <f aca="false">CHOOSE(ROUNDUP(VALUE(MID(B2431,4,2))/3,0),"Q1","Q2","Q3","Q4")</f>
        <v>Q1</v>
      </c>
    </row>
    <row r="2432" customFormat="false" ht="15" hidden="false" customHeight="true" outlineLevel="0" collapsed="false">
      <c r="A2432" s="1" t="s">
        <v>3304</v>
      </c>
      <c r="B2432" s="1" t="s">
        <v>1313</v>
      </c>
      <c r="C2432" s="1" t="s">
        <v>93</v>
      </c>
      <c r="D2432" s="1" t="s">
        <v>53</v>
      </c>
      <c r="E2432" s="1" t="s">
        <v>216</v>
      </c>
      <c r="F2432" s="1" t="s">
        <v>102</v>
      </c>
      <c r="G2432" s="1" t="s">
        <v>103</v>
      </c>
      <c r="H2432" s="1" t="s">
        <v>33</v>
      </c>
      <c r="I2432" s="1" t="s">
        <v>34</v>
      </c>
      <c r="J2432" s="1" t="s">
        <v>70</v>
      </c>
      <c r="K2432" s="1" t="s">
        <v>60</v>
      </c>
      <c r="L2432" s="1" t="s">
        <v>113</v>
      </c>
      <c r="M2432" s="1" t="s">
        <v>38</v>
      </c>
      <c r="N2432" s="1" t="n">
        <v>7499</v>
      </c>
      <c r="O2432" s="1" t="n">
        <v>30</v>
      </c>
      <c r="P2432" s="1" t="n">
        <v>2249.7</v>
      </c>
      <c r="Q2432" s="1" t="n">
        <v>5249.3</v>
      </c>
      <c r="R2432" s="1" t="n">
        <v>944.87</v>
      </c>
      <c r="S2432" s="1" t="n">
        <v>4304.43</v>
      </c>
      <c r="T2432" s="1" t="n">
        <v>1923.52</v>
      </c>
      <c r="U2432" s="1" t="n">
        <v>2380.91</v>
      </c>
      <c r="V2432" s="1" t="n">
        <v>55.31</v>
      </c>
      <c r="W2432" s="1" t="s">
        <v>39</v>
      </c>
      <c r="X2432" s="1" t="n">
        <v>4</v>
      </c>
      <c r="Y2432" s="1" t="s">
        <v>40</v>
      </c>
      <c r="Z2432" s="1" t="n">
        <v>0</v>
      </c>
      <c r="AA2432" s="1" t="str">
        <f aca="false">TRIM(PROPER(F2432))</f>
        <v>Warangal</v>
      </c>
      <c r="AB2432" s="1" t="str">
        <f aca="false">TRIM(PROPER(C2432))</f>
        <v>Upgrad</v>
      </c>
      <c r="AC2432" s="1" t="str">
        <f aca="false">IF(O2432=0,"No Discount",IF(O2432&lt;=15,"Low (1-15%)",IF(O2432&lt;=30,"Medium (16-30%)","High (&gt;30%)")))</f>
        <v>Medium (16-30%)</v>
      </c>
      <c r="AD2432" s="1" t="str">
        <f aca="false">IF(V2432&lt;0,"Loss Making",IF(V2432&lt;20,"Low Margin","Healthy Margin"))</f>
        <v>Healthy Margin</v>
      </c>
      <c r="AE2432" s="1" t="str">
        <f aca="false">TEXT(DATE(VALUE(RIGHT(B2432,4)),VALUE(MID(B2432,4,2)),VALUE(LEFT(B2432,2))),"MMM-YYYY")</f>
        <v>Dec-2024</v>
      </c>
      <c r="AF2432" s="1" t="n">
        <f aca="false">VALUE(RIGHT(B2432,4))</f>
        <v>2024</v>
      </c>
      <c r="AG2432" s="1" t="str">
        <f aca="false">CHOOSE(ROUNDUP(VALUE(MID(B2432,4,2))/3,0),"Q1","Q2","Q3","Q4")</f>
        <v>Q4</v>
      </c>
    </row>
    <row r="2433" customFormat="false" ht="15" hidden="false" customHeight="true" outlineLevel="0" collapsed="false">
      <c r="A2433" s="1" t="s">
        <v>3305</v>
      </c>
      <c r="B2433" s="1" t="s">
        <v>1285</v>
      </c>
      <c r="C2433" s="1" t="s">
        <v>65</v>
      </c>
      <c r="D2433" s="1" t="s">
        <v>29</v>
      </c>
      <c r="E2433" s="1" t="s">
        <v>129</v>
      </c>
      <c r="F2433" s="1" t="s">
        <v>89</v>
      </c>
      <c r="G2433" s="1" t="s">
        <v>68</v>
      </c>
      <c r="H2433" s="1" t="s">
        <v>33</v>
      </c>
      <c r="I2433" s="1" t="s">
        <v>58</v>
      </c>
      <c r="J2433" s="1" t="s">
        <v>131</v>
      </c>
      <c r="K2433" s="1" t="s">
        <v>60</v>
      </c>
      <c r="L2433" s="1" t="s">
        <v>113</v>
      </c>
      <c r="M2433" s="1" t="s">
        <v>38</v>
      </c>
      <c r="N2433" s="1" t="n">
        <v>29999</v>
      </c>
      <c r="O2433" s="1" t="n">
        <v>0</v>
      </c>
      <c r="P2433" s="1" t="n">
        <v>0</v>
      </c>
      <c r="Q2433" s="1" t="n">
        <v>29999</v>
      </c>
      <c r="R2433" s="1" t="n">
        <v>5399.82</v>
      </c>
      <c r="S2433" s="1" t="n">
        <v>24599.18</v>
      </c>
      <c r="T2433" s="1" t="n">
        <v>10939.29</v>
      </c>
      <c r="U2433" s="1" t="n">
        <v>13659.89</v>
      </c>
      <c r="V2433" s="1" t="n">
        <v>55.53</v>
      </c>
      <c r="W2433" s="1" t="s">
        <v>40</v>
      </c>
      <c r="Y2433" s="1" t="s">
        <v>40</v>
      </c>
      <c r="Z2433" s="1" t="n">
        <v>0</v>
      </c>
      <c r="AA2433" s="1" t="str">
        <f aca="false">TRIM(PROPER(F2433))</f>
        <v>Vadodara</v>
      </c>
      <c r="AB2433" s="1" t="str">
        <f aca="false">TRIM(PROPER(C2433))</f>
        <v>Toppr</v>
      </c>
      <c r="AC2433" s="1" t="str">
        <f aca="false">IF(O2433=0,"No Discount",IF(O2433&lt;=15,"Low (1-15%)",IF(O2433&lt;=30,"Medium (16-30%)","High (&gt;30%)")))</f>
        <v>No Discount</v>
      </c>
      <c r="AD2433" s="1" t="str">
        <f aca="false">IF(V2433&lt;0,"Loss Making",IF(V2433&lt;20,"Low Margin","Healthy Margin"))</f>
        <v>Healthy Margin</v>
      </c>
      <c r="AE2433" s="1" t="str">
        <f aca="false">TEXT(DATE(VALUE(RIGHT(B2433,4)),VALUE(MID(B2433,4,2)),VALUE(LEFT(B2433,2))),"MMM-YYYY")</f>
        <v>Feb-2023</v>
      </c>
      <c r="AF2433" s="1" t="n">
        <f aca="false">VALUE(RIGHT(B2433,4))</f>
        <v>2023</v>
      </c>
      <c r="AG2433" s="1" t="str">
        <f aca="false">CHOOSE(ROUNDUP(VALUE(MID(B2433,4,2))/3,0),"Q1","Q2","Q3","Q4")</f>
        <v>Q1</v>
      </c>
    </row>
    <row r="2434" customFormat="false" ht="15" hidden="false" customHeight="true" outlineLevel="0" collapsed="false">
      <c r="A2434" s="1" t="s">
        <v>3306</v>
      </c>
      <c r="B2434" s="1" t="s">
        <v>667</v>
      </c>
      <c r="C2434" s="1" t="s">
        <v>249</v>
      </c>
      <c r="D2434" s="1" t="s">
        <v>94</v>
      </c>
      <c r="E2434" s="1" t="s">
        <v>101</v>
      </c>
      <c r="F2434" s="1" t="s">
        <v>125</v>
      </c>
      <c r="G2434" s="1" t="s">
        <v>108</v>
      </c>
      <c r="H2434" s="1" t="s">
        <v>69</v>
      </c>
      <c r="I2434" s="1" t="s">
        <v>58</v>
      </c>
      <c r="J2434" s="1" t="s">
        <v>131</v>
      </c>
      <c r="K2434" s="1" t="s">
        <v>60</v>
      </c>
      <c r="L2434" s="1" t="s">
        <v>113</v>
      </c>
      <c r="M2434" s="1" t="s">
        <v>38</v>
      </c>
      <c r="N2434" s="1" t="n">
        <v>14999</v>
      </c>
      <c r="O2434" s="1" t="n">
        <v>5</v>
      </c>
      <c r="P2434" s="1" t="n">
        <v>749.95</v>
      </c>
      <c r="Q2434" s="1" t="n">
        <v>14249.05</v>
      </c>
      <c r="R2434" s="1" t="n">
        <v>2564.83</v>
      </c>
      <c r="S2434" s="1" t="n">
        <v>11684.22</v>
      </c>
      <c r="T2434" s="1" t="n">
        <v>4974.12</v>
      </c>
      <c r="U2434" s="1" t="n">
        <v>6710.1</v>
      </c>
      <c r="V2434" s="1" t="n">
        <v>57.43</v>
      </c>
      <c r="W2434" s="1" t="s">
        <v>39</v>
      </c>
      <c r="X2434" s="1" t="n">
        <v>3.5</v>
      </c>
      <c r="Y2434" s="1" t="s">
        <v>39</v>
      </c>
      <c r="Z2434" s="1" t="n">
        <v>0</v>
      </c>
      <c r="AA2434" s="1" t="str">
        <f aca="false">TRIM(PROPER(F2434))</f>
        <v>Chennai</v>
      </c>
      <c r="AB2434" s="1" t="str">
        <f aca="false">TRIM(PROPER(C2434))</f>
        <v>Whitehat Jr</v>
      </c>
      <c r="AC2434" s="1" t="str">
        <f aca="false">IF(O2434=0,"No Discount",IF(O2434&lt;=15,"Low (1-15%)",IF(O2434&lt;=30,"Medium (16-30%)","High (&gt;30%)")))</f>
        <v>Low (1-15%)</v>
      </c>
      <c r="AD2434" s="1" t="str">
        <f aca="false">IF(V2434&lt;0,"Loss Making",IF(V2434&lt;20,"Low Margin","Healthy Margin"))</f>
        <v>Healthy Margin</v>
      </c>
      <c r="AE2434" s="1" t="str">
        <f aca="false">TEXT(DATE(VALUE(RIGHT(B2434,4)),VALUE(MID(B2434,4,2)),VALUE(LEFT(B2434,2))),"MMM-YYYY")</f>
        <v>Jul-2023</v>
      </c>
      <c r="AF2434" s="1" t="n">
        <f aca="false">VALUE(RIGHT(B2434,4))</f>
        <v>2023</v>
      </c>
      <c r="AG2434" s="1" t="str">
        <f aca="false">CHOOSE(ROUNDUP(VALUE(MID(B2434,4,2))/3,0),"Q1","Q2","Q3","Q4")</f>
        <v>Q3</v>
      </c>
    </row>
    <row r="2435" customFormat="false" ht="15" hidden="false" customHeight="true" outlineLevel="0" collapsed="false">
      <c r="A2435" s="1" t="s">
        <v>3307</v>
      </c>
      <c r="B2435" s="1" t="s">
        <v>1640</v>
      </c>
      <c r="C2435" s="1" t="s">
        <v>43</v>
      </c>
      <c r="D2435" s="1" t="s">
        <v>29</v>
      </c>
      <c r="E2435" s="1" t="s">
        <v>129</v>
      </c>
      <c r="F2435" s="1" t="s">
        <v>269</v>
      </c>
      <c r="G2435" s="1" t="s">
        <v>108</v>
      </c>
      <c r="H2435" s="1" t="s">
        <v>57</v>
      </c>
      <c r="I2435" s="1" t="s">
        <v>58</v>
      </c>
      <c r="J2435" s="1" t="s">
        <v>59</v>
      </c>
      <c r="K2435" s="1" t="s">
        <v>104</v>
      </c>
      <c r="L2435" s="1" t="s">
        <v>136</v>
      </c>
      <c r="M2435" s="1" t="s">
        <v>38</v>
      </c>
      <c r="N2435" s="1" t="n">
        <v>29999</v>
      </c>
      <c r="O2435" s="1" t="n">
        <v>10</v>
      </c>
      <c r="P2435" s="1" t="n">
        <v>2999.9</v>
      </c>
      <c r="Q2435" s="1" t="n">
        <v>26999.1</v>
      </c>
      <c r="R2435" s="1" t="n">
        <v>4859.84</v>
      </c>
      <c r="S2435" s="1" t="n">
        <v>22139.26</v>
      </c>
      <c r="T2435" s="1" t="n">
        <v>8148.51</v>
      </c>
      <c r="U2435" s="1" t="n">
        <v>13990.75</v>
      </c>
      <c r="V2435" s="1" t="n">
        <v>63.19</v>
      </c>
      <c r="W2435" s="1" t="s">
        <v>40</v>
      </c>
      <c r="Y2435" s="1" t="s">
        <v>40</v>
      </c>
      <c r="Z2435" s="1" t="n">
        <v>0</v>
      </c>
      <c r="AA2435" s="1" t="str">
        <f aca="false">TRIM(PROPER(F2435))</f>
        <v>Coimbatore</v>
      </c>
      <c r="AB2435" s="1" t="str">
        <f aca="false">TRIM(PROPER(C2435))</f>
        <v>Meritnation</v>
      </c>
      <c r="AC2435" s="1" t="str">
        <f aca="false">IF(O2435=0,"No Discount",IF(O2435&lt;=15,"Low (1-15%)",IF(O2435&lt;=30,"Medium (16-30%)","High (&gt;30%)")))</f>
        <v>Low (1-15%)</v>
      </c>
      <c r="AD2435" s="1" t="str">
        <f aca="false">IF(V2435&lt;0,"Loss Making",IF(V2435&lt;20,"Low Margin","Healthy Margin"))</f>
        <v>Healthy Margin</v>
      </c>
      <c r="AE2435" s="1" t="str">
        <f aca="false">TEXT(DATE(VALUE(RIGHT(B2435,4)),VALUE(MID(B2435,4,2)),VALUE(LEFT(B2435,2))),"MMM-YYYY")</f>
        <v>May-2024</v>
      </c>
      <c r="AF2435" s="1" t="n">
        <f aca="false">VALUE(RIGHT(B2435,4))</f>
        <v>2024</v>
      </c>
      <c r="AG2435" s="1" t="str">
        <f aca="false">CHOOSE(ROUNDUP(VALUE(MID(B2435,4,2))/3,0),"Q1","Q2","Q3","Q4")</f>
        <v>Q2</v>
      </c>
    </row>
    <row r="2436" customFormat="false" ht="15" hidden="false" customHeight="true" outlineLevel="0" collapsed="false">
      <c r="A2436" s="1" t="s">
        <v>3308</v>
      </c>
      <c r="B2436" s="1" t="s">
        <v>448</v>
      </c>
      <c r="C2436" s="1" t="s">
        <v>65</v>
      </c>
      <c r="D2436" s="1" t="s">
        <v>80</v>
      </c>
      <c r="E2436" s="1" t="s">
        <v>193</v>
      </c>
      <c r="F2436" s="1" t="s">
        <v>187</v>
      </c>
      <c r="G2436" s="1" t="s">
        <v>97</v>
      </c>
      <c r="H2436" s="1" t="s">
        <v>69</v>
      </c>
      <c r="I2436" s="1" t="s">
        <v>34</v>
      </c>
      <c r="J2436" s="1" t="s">
        <v>35</v>
      </c>
      <c r="K2436" s="1" t="s">
        <v>104</v>
      </c>
      <c r="L2436" s="1" t="s">
        <v>136</v>
      </c>
      <c r="M2436" s="1" t="s">
        <v>50</v>
      </c>
      <c r="N2436" s="1" t="n">
        <v>8999</v>
      </c>
      <c r="O2436" s="1" t="n">
        <v>5</v>
      </c>
      <c r="P2436" s="1" t="n">
        <v>449.95</v>
      </c>
      <c r="Q2436" s="1" t="n">
        <v>8549.05</v>
      </c>
      <c r="R2436" s="1" t="n">
        <v>1538.83</v>
      </c>
      <c r="S2436" s="1" t="n">
        <v>7010.22</v>
      </c>
      <c r="T2436" s="1" t="n">
        <v>2205.64</v>
      </c>
      <c r="U2436" s="1" t="n">
        <v>4804.58</v>
      </c>
      <c r="V2436" s="1" t="n">
        <v>68.54</v>
      </c>
      <c r="W2436" s="1" t="s">
        <v>39</v>
      </c>
      <c r="X2436" s="1" t="n">
        <v>3.7</v>
      </c>
      <c r="Y2436" s="1" t="s">
        <v>40</v>
      </c>
      <c r="Z2436" s="1" t="n">
        <v>1</v>
      </c>
      <c r="AA2436" s="1" t="str">
        <f aca="false">TRIM(PROPER(F2436))</f>
        <v>Mumbai</v>
      </c>
      <c r="AB2436" s="1" t="str">
        <f aca="false">TRIM(PROPER(C2436))</f>
        <v>Toppr</v>
      </c>
      <c r="AC2436" s="1" t="str">
        <f aca="false">IF(O2436=0,"No Discount",IF(O2436&lt;=15,"Low (1-15%)",IF(O2436&lt;=30,"Medium (16-30%)","High (&gt;30%)")))</f>
        <v>Low (1-15%)</v>
      </c>
      <c r="AD2436" s="1" t="str">
        <f aca="false">IF(V2436&lt;0,"Loss Making",IF(V2436&lt;20,"Low Margin","Healthy Margin"))</f>
        <v>Healthy Margin</v>
      </c>
      <c r="AE2436" s="1" t="str">
        <f aca="false">TEXT(DATE(VALUE(RIGHT(B2436,4)),VALUE(MID(B2436,4,2)),VALUE(LEFT(B2436,2))),"MMM-YYYY")</f>
        <v>Oct-2024</v>
      </c>
      <c r="AF2436" s="1" t="n">
        <f aca="false">VALUE(RIGHT(B2436,4))</f>
        <v>2024</v>
      </c>
      <c r="AG2436" s="1" t="str">
        <f aca="false">CHOOSE(ROUNDUP(VALUE(MID(B2436,4,2))/3,0),"Q1","Q2","Q3","Q4")</f>
        <v>Q4</v>
      </c>
    </row>
    <row r="2437" customFormat="false" ht="15" hidden="false" customHeight="true" outlineLevel="0" collapsed="false">
      <c r="A2437" s="1" t="s">
        <v>3309</v>
      </c>
      <c r="B2437" s="1" t="s">
        <v>304</v>
      </c>
      <c r="C2437" s="1" t="s">
        <v>167</v>
      </c>
      <c r="D2437" s="1" t="s">
        <v>143</v>
      </c>
      <c r="E2437" s="1" t="s">
        <v>162</v>
      </c>
      <c r="F2437" s="1" t="s">
        <v>187</v>
      </c>
      <c r="G2437" s="1" t="s">
        <v>97</v>
      </c>
      <c r="H2437" s="1" t="s">
        <v>69</v>
      </c>
      <c r="I2437" s="1" t="s">
        <v>58</v>
      </c>
      <c r="J2437" s="1" t="s">
        <v>77</v>
      </c>
      <c r="K2437" s="1" t="s">
        <v>48</v>
      </c>
      <c r="L2437" s="1" t="s">
        <v>113</v>
      </c>
      <c r="M2437" s="1" t="s">
        <v>62</v>
      </c>
      <c r="N2437" s="1" t="n">
        <v>14999</v>
      </c>
      <c r="O2437" s="1" t="n">
        <v>10</v>
      </c>
      <c r="P2437" s="1" t="n">
        <v>1499.9</v>
      </c>
      <c r="Q2437" s="1" t="n">
        <v>13499.1</v>
      </c>
      <c r="R2437" s="1" t="n">
        <v>2429.84</v>
      </c>
      <c r="S2437" s="1" t="n">
        <v>11069.26</v>
      </c>
      <c r="T2437" s="1" t="n">
        <v>4393.82</v>
      </c>
      <c r="U2437" s="1" t="n">
        <v>6675.44</v>
      </c>
      <c r="V2437" s="1" t="n">
        <v>60.31</v>
      </c>
      <c r="W2437" s="1" t="s">
        <v>39</v>
      </c>
      <c r="X2437" s="1" t="n">
        <v>4.2</v>
      </c>
      <c r="Y2437" s="1" t="s">
        <v>40</v>
      </c>
      <c r="Z2437" s="1" t="n">
        <v>0</v>
      </c>
      <c r="AA2437" s="1" t="str">
        <f aca="false">TRIM(PROPER(F2437))</f>
        <v>Mumbai</v>
      </c>
      <c r="AB2437" s="1" t="str">
        <f aca="false">TRIM(PROPER(C2437))</f>
        <v>Scaler</v>
      </c>
      <c r="AC2437" s="1" t="str">
        <f aca="false">IF(O2437=0,"No Discount",IF(O2437&lt;=15,"Low (1-15%)",IF(O2437&lt;=30,"Medium (16-30%)","High (&gt;30%)")))</f>
        <v>Low (1-15%)</v>
      </c>
      <c r="AD2437" s="1" t="str">
        <f aca="false">IF(V2437&lt;0,"Loss Making",IF(V2437&lt;20,"Low Margin","Healthy Margin"))</f>
        <v>Healthy Margin</v>
      </c>
      <c r="AE2437" s="1" t="str">
        <f aca="false">TEXT(DATE(VALUE(RIGHT(B2437,4)),VALUE(MID(B2437,4,2)),VALUE(LEFT(B2437,2))),"MMM-YYYY")</f>
        <v>Oct-2023</v>
      </c>
      <c r="AF2437" s="1" t="n">
        <f aca="false">VALUE(RIGHT(B2437,4))</f>
        <v>2023</v>
      </c>
      <c r="AG2437" s="1" t="str">
        <f aca="false">CHOOSE(ROUNDUP(VALUE(MID(B2437,4,2))/3,0),"Q1","Q2","Q3","Q4")</f>
        <v>Q4</v>
      </c>
    </row>
    <row r="2438" customFormat="false" ht="15" hidden="false" customHeight="true" outlineLevel="0" collapsed="false">
      <c r="A2438" s="1" t="s">
        <v>3310</v>
      </c>
      <c r="B2438" s="1" t="s">
        <v>889</v>
      </c>
      <c r="C2438" s="1" t="s">
        <v>264</v>
      </c>
      <c r="D2438" s="1" t="s">
        <v>80</v>
      </c>
      <c r="E2438" s="1" t="s">
        <v>81</v>
      </c>
      <c r="F2438" s="1" t="s">
        <v>184</v>
      </c>
      <c r="G2438" s="1" t="s">
        <v>56</v>
      </c>
      <c r="H2438" s="1" t="s">
        <v>57</v>
      </c>
      <c r="I2438" s="1" t="s">
        <v>58</v>
      </c>
      <c r="J2438" s="1" t="s">
        <v>131</v>
      </c>
      <c r="K2438" s="1" t="s">
        <v>112</v>
      </c>
      <c r="L2438" s="1" t="s">
        <v>37</v>
      </c>
      <c r="M2438" s="1" t="s">
        <v>50</v>
      </c>
      <c r="N2438" s="1" t="n">
        <v>12999</v>
      </c>
      <c r="O2438" s="1" t="n">
        <v>50</v>
      </c>
      <c r="P2438" s="1" t="n">
        <v>6499.5</v>
      </c>
      <c r="Q2438" s="1" t="n">
        <v>6499.5</v>
      </c>
      <c r="R2438" s="1" t="n">
        <v>1169.91</v>
      </c>
      <c r="S2438" s="1" t="n">
        <v>5329.59</v>
      </c>
      <c r="T2438" s="1" t="n">
        <v>2920.88</v>
      </c>
      <c r="U2438" s="1" t="n">
        <v>2408.71</v>
      </c>
      <c r="V2438" s="1" t="n">
        <v>45.2</v>
      </c>
      <c r="W2438" s="1" t="s">
        <v>39</v>
      </c>
      <c r="X2438" s="1" t="n">
        <v>4</v>
      </c>
      <c r="Y2438" s="1" t="s">
        <v>40</v>
      </c>
      <c r="Z2438" s="1" t="n">
        <v>0</v>
      </c>
      <c r="AA2438" s="1" t="str">
        <f aca="false">TRIM(PROPER(F2438))</f>
        <v>Faridabad</v>
      </c>
      <c r="AB2438" s="1" t="str">
        <f aca="false">TRIM(PROPER(C2438))</f>
        <v>Unacademy</v>
      </c>
      <c r="AC2438" s="1" t="str">
        <f aca="false">IF(O2438=0,"No Discount",IF(O2438&lt;=15,"Low (1-15%)",IF(O2438&lt;=30,"Medium (16-30%)","High (&gt;30%)")))</f>
        <v>High (&gt;30%)</v>
      </c>
      <c r="AD2438" s="1" t="str">
        <f aca="false">IF(V2438&lt;0,"Loss Making",IF(V2438&lt;20,"Low Margin","Healthy Margin"))</f>
        <v>Healthy Margin</v>
      </c>
      <c r="AE2438" s="1" t="str">
        <f aca="false">TEXT(DATE(VALUE(RIGHT(B2438,4)),VALUE(MID(B2438,4,2)),VALUE(LEFT(B2438,2))),"MMM-YYYY")</f>
        <v>Sep-2024</v>
      </c>
      <c r="AF2438" s="1" t="n">
        <f aca="false">VALUE(RIGHT(B2438,4))</f>
        <v>2024</v>
      </c>
      <c r="AG2438" s="1" t="str">
        <f aca="false">CHOOSE(ROUNDUP(VALUE(MID(B2438,4,2))/3,0),"Q1","Q2","Q3","Q4")</f>
        <v>Q3</v>
      </c>
    </row>
    <row r="2439" customFormat="false" ht="15" hidden="false" customHeight="true" outlineLevel="0" collapsed="false">
      <c r="A2439" s="1" t="s">
        <v>3311</v>
      </c>
      <c r="B2439" s="1" t="s">
        <v>296</v>
      </c>
      <c r="C2439" s="1" t="s">
        <v>134</v>
      </c>
      <c r="D2439" s="1" t="s">
        <v>29</v>
      </c>
      <c r="E2439" s="1" t="s">
        <v>182</v>
      </c>
      <c r="F2439" s="1" t="s">
        <v>269</v>
      </c>
      <c r="G2439" s="1" t="s">
        <v>108</v>
      </c>
      <c r="H2439" s="1" t="s">
        <v>57</v>
      </c>
      <c r="I2439" s="1" t="s">
        <v>83</v>
      </c>
      <c r="J2439" s="1" t="s">
        <v>77</v>
      </c>
      <c r="K2439" s="1" t="s">
        <v>60</v>
      </c>
      <c r="L2439" s="1" t="s">
        <v>136</v>
      </c>
      <c r="M2439" s="1" t="s">
        <v>50</v>
      </c>
      <c r="N2439" s="1" t="n">
        <v>34999</v>
      </c>
      <c r="O2439" s="1" t="n">
        <v>25</v>
      </c>
      <c r="P2439" s="1" t="n">
        <v>8749.75</v>
      </c>
      <c r="Q2439" s="1" t="n">
        <v>26249.25</v>
      </c>
      <c r="R2439" s="1" t="n">
        <v>4724.86</v>
      </c>
      <c r="S2439" s="1" t="n">
        <v>21524.39</v>
      </c>
      <c r="T2439" s="1" t="n">
        <v>7513.77</v>
      </c>
      <c r="U2439" s="1" t="n">
        <v>14010.62</v>
      </c>
      <c r="V2439" s="1" t="n">
        <v>65.09</v>
      </c>
      <c r="W2439" s="1" t="s">
        <v>39</v>
      </c>
      <c r="X2439" s="1" t="n">
        <v>3.2</v>
      </c>
      <c r="Y2439" s="1" t="s">
        <v>40</v>
      </c>
      <c r="Z2439" s="1" t="n">
        <v>1</v>
      </c>
      <c r="AA2439" s="1" t="str">
        <f aca="false">TRIM(PROPER(F2439))</f>
        <v>Coimbatore</v>
      </c>
      <c r="AB2439" s="1" t="str">
        <f aca="false">TRIM(PROPER(C2439))</f>
        <v>Doubtnut</v>
      </c>
      <c r="AC2439" s="1" t="str">
        <f aca="false">IF(O2439=0,"No Discount",IF(O2439&lt;=15,"Low (1-15%)",IF(O2439&lt;=30,"Medium (16-30%)","High (&gt;30%)")))</f>
        <v>Medium (16-30%)</v>
      </c>
      <c r="AD2439" s="1" t="str">
        <f aca="false">IF(V2439&lt;0,"Loss Making",IF(V2439&lt;20,"Low Margin","Healthy Margin"))</f>
        <v>Healthy Margin</v>
      </c>
      <c r="AE2439" s="1" t="str">
        <f aca="false">TEXT(DATE(VALUE(RIGHT(B2439,4)),VALUE(MID(B2439,4,2)),VALUE(LEFT(B2439,2))),"MMM-YYYY")</f>
        <v>Jun-2023</v>
      </c>
      <c r="AF2439" s="1" t="n">
        <f aca="false">VALUE(RIGHT(B2439,4))</f>
        <v>2023</v>
      </c>
      <c r="AG2439" s="1" t="str">
        <f aca="false">CHOOSE(ROUNDUP(VALUE(MID(B2439,4,2))/3,0),"Q1","Q2","Q3","Q4")</f>
        <v>Q2</v>
      </c>
    </row>
    <row r="2440" customFormat="false" ht="15" hidden="false" customHeight="true" outlineLevel="0" collapsed="false">
      <c r="A2440" s="1" t="s">
        <v>3312</v>
      </c>
      <c r="B2440" s="1" t="s">
        <v>1655</v>
      </c>
      <c r="C2440" s="1" t="s">
        <v>100</v>
      </c>
      <c r="D2440" s="1" t="s">
        <v>29</v>
      </c>
      <c r="E2440" s="1" t="s">
        <v>305</v>
      </c>
      <c r="F2440" s="1" t="s">
        <v>244</v>
      </c>
      <c r="G2440" s="1" t="s">
        <v>97</v>
      </c>
      <c r="H2440" s="1" t="s">
        <v>57</v>
      </c>
      <c r="I2440" s="1" t="s">
        <v>34</v>
      </c>
      <c r="J2440" s="1" t="s">
        <v>59</v>
      </c>
      <c r="K2440" s="1" t="s">
        <v>112</v>
      </c>
      <c r="L2440" s="1" t="s">
        <v>113</v>
      </c>
      <c r="M2440" s="1" t="s">
        <v>38</v>
      </c>
      <c r="N2440" s="1" t="n">
        <v>24999</v>
      </c>
      <c r="O2440" s="1" t="n">
        <v>40</v>
      </c>
      <c r="P2440" s="1" t="n">
        <v>9999.6</v>
      </c>
      <c r="Q2440" s="1" t="n">
        <v>14999.4</v>
      </c>
      <c r="R2440" s="1" t="n">
        <v>2699.89</v>
      </c>
      <c r="S2440" s="1" t="n">
        <v>12299.51</v>
      </c>
      <c r="T2440" s="1" t="n">
        <v>6227.85</v>
      </c>
      <c r="U2440" s="1" t="n">
        <v>6071.66</v>
      </c>
      <c r="V2440" s="1" t="n">
        <v>49.37</v>
      </c>
      <c r="W2440" s="1" t="s">
        <v>39</v>
      </c>
      <c r="X2440" s="1" t="n">
        <v>4.1</v>
      </c>
      <c r="Y2440" s="1" t="s">
        <v>40</v>
      </c>
      <c r="Z2440" s="1" t="n">
        <v>0</v>
      </c>
      <c r="AA2440" s="1" t="str">
        <f aca="false">TRIM(PROPER(F2440))</f>
        <v>Nagpur</v>
      </c>
      <c r="AB2440" s="1" t="str">
        <f aca="false">TRIM(PROPER(C2440))</f>
        <v>Physics Wallah</v>
      </c>
      <c r="AC2440" s="1" t="str">
        <f aca="false">IF(O2440=0,"No Discount",IF(O2440&lt;=15,"Low (1-15%)",IF(O2440&lt;=30,"Medium (16-30%)","High (&gt;30%)")))</f>
        <v>High (&gt;30%)</v>
      </c>
      <c r="AD2440" s="1" t="str">
        <f aca="false">IF(V2440&lt;0,"Loss Making",IF(V2440&lt;20,"Low Margin","Healthy Margin"))</f>
        <v>Healthy Margin</v>
      </c>
      <c r="AE2440" s="1" t="str">
        <f aca="false">TEXT(DATE(VALUE(RIGHT(B2440,4)),VALUE(MID(B2440,4,2)),VALUE(LEFT(B2440,2))),"MMM-YYYY")</f>
        <v>Sep-2024</v>
      </c>
      <c r="AF2440" s="1" t="n">
        <f aca="false">VALUE(RIGHT(B2440,4))</f>
        <v>2024</v>
      </c>
      <c r="AG2440" s="1" t="str">
        <f aca="false">CHOOSE(ROUNDUP(VALUE(MID(B2440,4,2))/3,0),"Q1","Q2","Q3","Q4")</f>
        <v>Q3</v>
      </c>
    </row>
    <row r="2441" customFormat="false" ht="15" hidden="false" customHeight="true" outlineLevel="0" collapsed="false">
      <c r="A2441" s="1" t="s">
        <v>3313</v>
      </c>
      <c r="B2441" s="1" t="s">
        <v>646</v>
      </c>
      <c r="C2441" s="1" t="s">
        <v>74</v>
      </c>
      <c r="D2441" s="1" t="s">
        <v>53</v>
      </c>
      <c r="E2441" s="1" t="s">
        <v>116</v>
      </c>
      <c r="F2441" s="1" t="s">
        <v>153</v>
      </c>
      <c r="G2441" s="1" t="s">
        <v>76</v>
      </c>
      <c r="H2441" s="1" t="s">
        <v>33</v>
      </c>
      <c r="I2441" s="1" t="s">
        <v>83</v>
      </c>
      <c r="J2441" s="1" t="s">
        <v>131</v>
      </c>
      <c r="K2441" s="1" t="s">
        <v>84</v>
      </c>
      <c r="L2441" s="1" t="s">
        <v>136</v>
      </c>
      <c r="M2441" s="1" t="s">
        <v>50</v>
      </c>
      <c r="N2441" s="1" t="n">
        <v>9999</v>
      </c>
      <c r="O2441" s="1" t="n">
        <v>15</v>
      </c>
      <c r="P2441" s="1" t="n">
        <v>1499.85</v>
      </c>
      <c r="Q2441" s="1" t="n">
        <v>8499.15</v>
      </c>
      <c r="R2441" s="1" t="n">
        <v>1529.85</v>
      </c>
      <c r="S2441" s="1" t="n">
        <v>6969.3</v>
      </c>
      <c r="T2441" s="1" t="n">
        <v>3234.9</v>
      </c>
      <c r="U2441" s="1" t="n">
        <v>3734.4</v>
      </c>
      <c r="V2441" s="1" t="n">
        <v>53.58</v>
      </c>
      <c r="W2441" s="1" t="s">
        <v>40</v>
      </c>
      <c r="Y2441" s="1" t="s">
        <v>40</v>
      </c>
      <c r="Z2441" s="1" t="n">
        <v>0</v>
      </c>
      <c r="AA2441" s="1" t="str">
        <f aca="false">TRIM(PROPER(F2441))</f>
        <v>Howrah</v>
      </c>
      <c r="AB2441" s="1" t="str">
        <f aca="false">TRIM(PROPER(C2441))</f>
        <v>Vedantu</v>
      </c>
      <c r="AC2441" s="1" t="str">
        <f aca="false">IF(O2441=0,"No Discount",IF(O2441&lt;=15,"Low (1-15%)",IF(O2441&lt;=30,"Medium (16-30%)","High (&gt;30%)")))</f>
        <v>Low (1-15%)</v>
      </c>
      <c r="AD2441" s="1" t="str">
        <f aca="false">IF(V2441&lt;0,"Loss Making",IF(V2441&lt;20,"Low Margin","Healthy Margin"))</f>
        <v>Healthy Margin</v>
      </c>
      <c r="AE2441" s="1" t="str">
        <f aca="false">TEXT(DATE(VALUE(RIGHT(B2441,4)),VALUE(MID(B2441,4,2)),VALUE(LEFT(B2441,2))),"MMM-YYYY")</f>
        <v>Dec-2024</v>
      </c>
      <c r="AF2441" s="1" t="n">
        <f aca="false">VALUE(RIGHT(B2441,4))</f>
        <v>2024</v>
      </c>
      <c r="AG2441" s="1" t="str">
        <f aca="false">CHOOSE(ROUNDUP(VALUE(MID(B2441,4,2))/3,0),"Q1","Q2","Q3","Q4")</f>
        <v>Q4</v>
      </c>
    </row>
    <row r="2442" customFormat="false" ht="15" hidden="false" customHeight="true" outlineLevel="0" collapsed="false">
      <c r="A2442" s="1" t="s">
        <v>3314</v>
      </c>
      <c r="B2442" s="1" t="s">
        <v>2385</v>
      </c>
      <c r="C2442" s="1" t="s">
        <v>88</v>
      </c>
      <c r="D2442" s="1" t="s">
        <v>94</v>
      </c>
      <c r="E2442" s="1" t="s">
        <v>135</v>
      </c>
      <c r="F2442" s="1" t="s">
        <v>130</v>
      </c>
      <c r="G2442" s="1" t="s">
        <v>47</v>
      </c>
      <c r="H2442" s="1" t="s">
        <v>69</v>
      </c>
      <c r="I2442" s="1" t="s">
        <v>34</v>
      </c>
      <c r="J2442" s="1" t="s">
        <v>77</v>
      </c>
      <c r="K2442" s="1" t="s">
        <v>104</v>
      </c>
      <c r="L2442" s="1" t="s">
        <v>49</v>
      </c>
      <c r="M2442" s="1" t="s">
        <v>62</v>
      </c>
      <c r="N2442" s="1" t="n">
        <v>9999</v>
      </c>
      <c r="O2442" s="1" t="n">
        <v>10</v>
      </c>
      <c r="P2442" s="1" t="n">
        <v>999.9</v>
      </c>
      <c r="Q2442" s="1" t="n">
        <v>8999.1</v>
      </c>
      <c r="R2442" s="1" t="n">
        <v>1619.84</v>
      </c>
      <c r="S2442" s="1" t="n">
        <v>7379.26</v>
      </c>
      <c r="T2442" s="1" t="n">
        <v>2429.09</v>
      </c>
      <c r="U2442" s="1" t="n">
        <v>4950.17</v>
      </c>
      <c r="V2442" s="1" t="n">
        <v>67.08</v>
      </c>
      <c r="W2442" s="1" t="s">
        <v>39</v>
      </c>
      <c r="X2442" s="1" t="n">
        <v>2.8</v>
      </c>
      <c r="Y2442" s="1" t="s">
        <v>39</v>
      </c>
      <c r="Z2442" s="1" t="n">
        <v>1</v>
      </c>
      <c r="AA2442" s="1" t="str">
        <f aca="false">TRIM(PROPER(F2442))</f>
        <v>Bengaluru</v>
      </c>
      <c r="AB2442" s="1" t="str">
        <f aca="false">TRIM(PROPER(C2442))</f>
        <v>Byju'S</v>
      </c>
      <c r="AC2442" s="1" t="str">
        <f aca="false">IF(O2442=0,"No Discount",IF(O2442&lt;=15,"Low (1-15%)",IF(O2442&lt;=30,"Medium (16-30%)","High (&gt;30%)")))</f>
        <v>Low (1-15%)</v>
      </c>
      <c r="AD2442" s="1" t="str">
        <f aca="false">IF(V2442&lt;0,"Loss Making",IF(V2442&lt;20,"Low Margin","Healthy Margin"))</f>
        <v>Healthy Margin</v>
      </c>
      <c r="AE2442" s="1" t="str">
        <f aca="false">TEXT(DATE(VALUE(RIGHT(B2442,4)),VALUE(MID(B2442,4,2)),VALUE(LEFT(B2442,2))),"MMM-YYYY")</f>
        <v>Mar-2023</v>
      </c>
      <c r="AF2442" s="1" t="n">
        <f aca="false">VALUE(RIGHT(B2442,4))</f>
        <v>2023</v>
      </c>
      <c r="AG2442" s="1" t="str">
        <f aca="false">CHOOSE(ROUNDUP(VALUE(MID(B2442,4,2))/3,0),"Q1","Q2","Q3","Q4")</f>
        <v>Q1</v>
      </c>
    </row>
    <row r="2443" customFormat="false" ht="15" hidden="false" customHeight="true" outlineLevel="0" collapsed="false">
      <c r="A2443" s="1" t="s">
        <v>3315</v>
      </c>
      <c r="B2443" s="1" t="s">
        <v>506</v>
      </c>
      <c r="C2443" s="1" t="s">
        <v>128</v>
      </c>
      <c r="D2443" s="1" t="s">
        <v>168</v>
      </c>
      <c r="E2443" s="1" t="s">
        <v>172</v>
      </c>
      <c r="F2443" s="1" t="s">
        <v>269</v>
      </c>
      <c r="G2443" s="1" t="s">
        <v>108</v>
      </c>
      <c r="H2443" s="1" t="s">
        <v>57</v>
      </c>
      <c r="I2443" s="1" t="s">
        <v>58</v>
      </c>
      <c r="J2443" s="1" t="s">
        <v>59</v>
      </c>
      <c r="K2443" s="1" t="s">
        <v>104</v>
      </c>
      <c r="L2443" s="1" t="s">
        <v>61</v>
      </c>
      <c r="M2443" s="1" t="s">
        <v>50</v>
      </c>
      <c r="N2443" s="1" t="n">
        <v>6999</v>
      </c>
      <c r="O2443" s="1" t="n">
        <v>10</v>
      </c>
      <c r="P2443" s="1" t="n">
        <v>699.9</v>
      </c>
      <c r="Q2443" s="1" t="n">
        <v>6299.1</v>
      </c>
      <c r="R2443" s="1" t="n">
        <v>1133.84</v>
      </c>
      <c r="S2443" s="1" t="n">
        <v>5165.26</v>
      </c>
      <c r="T2443" s="1" t="n">
        <v>2412.47</v>
      </c>
      <c r="U2443" s="1" t="n">
        <v>2752.79</v>
      </c>
      <c r="V2443" s="1" t="n">
        <v>53.29</v>
      </c>
      <c r="W2443" s="1" t="s">
        <v>39</v>
      </c>
      <c r="X2443" s="1" t="n">
        <v>3.7</v>
      </c>
      <c r="Y2443" s="1" t="s">
        <v>40</v>
      </c>
      <c r="Z2443" s="1" t="n">
        <v>0</v>
      </c>
      <c r="AA2443" s="1" t="str">
        <f aca="false">TRIM(PROPER(F2443))</f>
        <v>Coimbatore</v>
      </c>
      <c r="AB2443" s="1" t="str">
        <f aca="false">TRIM(PROPER(C2443))</f>
        <v>Great Learning</v>
      </c>
      <c r="AC2443" s="1" t="str">
        <f aca="false">IF(O2443=0,"No Discount",IF(O2443&lt;=15,"Low (1-15%)",IF(O2443&lt;=30,"Medium (16-30%)","High (&gt;30%)")))</f>
        <v>Low (1-15%)</v>
      </c>
      <c r="AD2443" s="1" t="str">
        <f aca="false">IF(V2443&lt;0,"Loss Making",IF(V2443&lt;20,"Low Margin","Healthy Margin"))</f>
        <v>Healthy Margin</v>
      </c>
      <c r="AE2443" s="1" t="str">
        <f aca="false">TEXT(DATE(VALUE(RIGHT(B2443,4)),VALUE(MID(B2443,4,2)),VALUE(LEFT(B2443,2))),"MMM-YYYY")</f>
        <v>Oct-2023</v>
      </c>
      <c r="AF2443" s="1" t="n">
        <f aca="false">VALUE(RIGHT(B2443,4))</f>
        <v>2023</v>
      </c>
      <c r="AG2443" s="1" t="str">
        <f aca="false">CHOOSE(ROUNDUP(VALUE(MID(B2443,4,2))/3,0),"Q1","Q2","Q3","Q4")</f>
        <v>Q4</v>
      </c>
    </row>
    <row r="2444" customFormat="false" ht="15" hidden="false" customHeight="true" outlineLevel="0" collapsed="false">
      <c r="A2444" s="1" t="s">
        <v>3316</v>
      </c>
      <c r="B2444" s="1" t="s">
        <v>2226</v>
      </c>
      <c r="C2444" s="1" t="s">
        <v>43</v>
      </c>
      <c r="D2444" s="1" t="s">
        <v>80</v>
      </c>
      <c r="E2444" s="1" t="s">
        <v>175</v>
      </c>
      <c r="F2444" s="1" t="s">
        <v>153</v>
      </c>
      <c r="G2444" s="1" t="s">
        <v>76</v>
      </c>
      <c r="H2444" s="1" t="s">
        <v>33</v>
      </c>
      <c r="I2444" s="1" t="s">
        <v>83</v>
      </c>
      <c r="J2444" s="1" t="s">
        <v>70</v>
      </c>
      <c r="K2444" s="1" t="s">
        <v>71</v>
      </c>
      <c r="L2444" s="1" t="s">
        <v>85</v>
      </c>
      <c r="M2444" s="1" t="s">
        <v>62</v>
      </c>
      <c r="N2444" s="1" t="n">
        <v>19999</v>
      </c>
      <c r="O2444" s="1" t="n">
        <v>0</v>
      </c>
      <c r="P2444" s="1" t="n">
        <v>0</v>
      </c>
      <c r="Q2444" s="1" t="n">
        <v>19999</v>
      </c>
      <c r="R2444" s="1" t="n">
        <v>3599.82</v>
      </c>
      <c r="S2444" s="1" t="n">
        <v>16399.18</v>
      </c>
      <c r="T2444" s="1" t="n">
        <v>8238.54</v>
      </c>
      <c r="U2444" s="1" t="n">
        <v>8160.64</v>
      </c>
      <c r="V2444" s="1" t="n">
        <v>49.76</v>
      </c>
      <c r="W2444" s="1" t="s">
        <v>40</v>
      </c>
      <c r="Y2444" s="1" t="s">
        <v>40</v>
      </c>
      <c r="Z2444" s="1" t="n">
        <v>0</v>
      </c>
      <c r="AA2444" s="1" t="str">
        <f aca="false">TRIM(PROPER(F2444))</f>
        <v>Howrah</v>
      </c>
      <c r="AB2444" s="1" t="str">
        <f aca="false">TRIM(PROPER(C2444))</f>
        <v>Meritnation</v>
      </c>
      <c r="AC2444" s="1" t="str">
        <f aca="false">IF(O2444=0,"No Discount",IF(O2444&lt;=15,"Low (1-15%)",IF(O2444&lt;=30,"Medium (16-30%)","High (&gt;30%)")))</f>
        <v>No Discount</v>
      </c>
      <c r="AD2444" s="1" t="str">
        <f aca="false">IF(V2444&lt;0,"Loss Making",IF(V2444&lt;20,"Low Margin","Healthy Margin"))</f>
        <v>Healthy Margin</v>
      </c>
      <c r="AE2444" s="1" t="str">
        <f aca="false">TEXT(DATE(VALUE(RIGHT(B2444,4)),VALUE(MID(B2444,4,2)),VALUE(LEFT(B2444,2))),"MMM-YYYY")</f>
        <v>Dec-2023</v>
      </c>
      <c r="AF2444" s="1" t="n">
        <f aca="false">VALUE(RIGHT(B2444,4))</f>
        <v>2023</v>
      </c>
      <c r="AG2444" s="1" t="str">
        <f aca="false">CHOOSE(ROUNDUP(VALUE(MID(B2444,4,2))/3,0),"Q1","Q2","Q3","Q4")</f>
        <v>Q4</v>
      </c>
    </row>
    <row r="2445" customFormat="false" ht="15" hidden="false" customHeight="true" outlineLevel="0" collapsed="false">
      <c r="A2445" s="1" t="s">
        <v>3317</v>
      </c>
      <c r="B2445" s="1" t="s">
        <v>1525</v>
      </c>
      <c r="C2445" s="1" t="s">
        <v>74</v>
      </c>
      <c r="D2445" s="1" t="s">
        <v>44</v>
      </c>
      <c r="E2445" s="1" t="s">
        <v>45</v>
      </c>
      <c r="F2445" s="1" t="s">
        <v>1213</v>
      </c>
      <c r="G2445" s="1" t="s">
        <v>47</v>
      </c>
      <c r="H2445" s="1" t="s">
        <v>57</v>
      </c>
      <c r="I2445" s="1" t="s">
        <v>58</v>
      </c>
      <c r="J2445" s="1" t="s">
        <v>70</v>
      </c>
      <c r="K2445" s="1" t="s">
        <v>90</v>
      </c>
      <c r="L2445" s="1" t="s">
        <v>85</v>
      </c>
      <c r="M2445" s="1" t="s">
        <v>50</v>
      </c>
      <c r="N2445" s="1" t="n">
        <v>11999</v>
      </c>
      <c r="O2445" s="1" t="n">
        <v>0</v>
      </c>
      <c r="P2445" s="1" t="n">
        <v>0</v>
      </c>
      <c r="Q2445" s="1" t="n">
        <v>11999</v>
      </c>
      <c r="R2445" s="1" t="n">
        <v>2159.82</v>
      </c>
      <c r="S2445" s="1" t="n">
        <v>9839.18</v>
      </c>
      <c r="T2445" s="1" t="n">
        <v>5306.64</v>
      </c>
      <c r="U2445" s="1" t="n">
        <v>4532.54</v>
      </c>
      <c r="V2445" s="1" t="n">
        <v>46.07</v>
      </c>
      <c r="W2445" s="1" t="s">
        <v>40</v>
      </c>
      <c r="Y2445" s="1" t="s">
        <v>40</v>
      </c>
      <c r="Z2445" s="1" t="n">
        <v>1</v>
      </c>
      <c r="AA2445" s="1" t="str">
        <f aca="false">TRIM(PROPER(F2445))</f>
        <v>Mysuru</v>
      </c>
      <c r="AB2445" s="1" t="str">
        <f aca="false">TRIM(PROPER(C2445))</f>
        <v>Vedantu</v>
      </c>
      <c r="AC2445" s="1" t="str">
        <f aca="false">IF(O2445=0,"No Discount",IF(O2445&lt;=15,"Low (1-15%)",IF(O2445&lt;=30,"Medium (16-30%)","High (&gt;30%)")))</f>
        <v>No Discount</v>
      </c>
      <c r="AD2445" s="1" t="str">
        <f aca="false">IF(V2445&lt;0,"Loss Making",IF(V2445&lt;20,"Low Margin","Healthy Margin"))</f>
        <v>Healthy Margin</v>
      </c>
      <c r="AE2445" s="1" t="str">
        <f aca="false">TEXT(DATE(VALUE(RIGHT(B2445,4)),VALUE(MID(B2445,4,2)),VALUE(LEFT(B2445,2))),"MMM-YYYY")</f>
        <v>Feb-2024</v>
      </c>
      <c r="AF2445" s="1" t="n">
        <f aca="false">VALUE(RIGHT(B2445,4))</f>
        <v>2024</v>
      </c>
      <c r="AG2445" s="1" t="str">
        <f aca="false">CHOOSE(ROUNDUP(VALUE(MID(B2445,4,2))/3,0),"Q1","Q2","Q3","Q4")</f>
        <v>Q1</v>
      </c>
    </row>
    <row r="2446" customFormat="false" ht="15" hidden="false" customHeight="true" outlineLevel="0" collapsed="false">
      <c r="A2446" s="1" t="s">
        <v>3318</v>
      </c>
      <c r="B2446" s="1" t="s">
        <v>625</v>
      </c>
      <c r="C2446" s="1" t="s">
        <v>119</v>
      </c>
      <c r="D2446" s="1" t="s">
        <v>94</v>
      </c>
      <c r="E2446" s="1" t="s">
        <v>135</v>
      </c>
      <c r="F2446" s="1" t="s">
        <v>211</v>
      </c>
      <c r="G2446" s="1" t="s">
        <v>56</v>
      </c>
      <c r="H2446" s="1" t="s">
        <v>69</v>
      </c>
      <c r="I2446" s="1" t="s">
        <v>34</v>
      </c>
      <c r="J2446" s="1" t="s">
        <v>131</v>
      </c>
      <c r="K2446" s="1" t="s">
        <v>36</v>
      </c>
      <c r="L2446" s="1" t="s">
        <v>85</v>
      </c>
      <c r="M2446" s="1" t="s">
        <v>38</v>
      </c>
      <c r="N2446" s="1" t="n">
        <v>9999</v>
      </c>
      <c r="O2446" s="1" t="n">
        <v>5</v>
      </c>
      <c r="P2446" s="1" t="n">
        <v>499.95</v>
      </c>
      <c r="Q2446" s="1" t="n">
        <v>9499.05</v>
      </c>
      <c r="R2446" s="1" t="n">
        <v>1709.83</v>
      </c>
      <c r="S2446" s="1" t="n">
        <v>7789.22</v>
      </c>
      <c r="T2446" s="1" t="n">
        <v>3136.14</v>
      </c>
      <c r="U2446" s="1" t="n">
        <v>4653.08</v>
      </c>
      <c r="V2446" s="1" t="n">
        <v>59.74</v>
      </c>
      <c r="W2446" s="1" t="s">
        <v>39</v>
      </c>
      <c r="X2446" s="1" t="n">
        <v>3.1</v>
      </c>
      <c r="Y2446" s="1" t="s">
        <v>40</v>
      </c>
      <c r="Z2446" s="1" t="n">
        <v>0</v>
      </c>
      <c r="AA2446" s="1" t="str">
        <f aca="false">TRIM(PROPER(F2446))</f>
        <v>Noida</v>
      </c>
      <c r="AB2446" s="1" t="str">
        <f aca="false">TRIM(PROPER(C2446))</f>
        <v>Simplilearn</v>
      </c>
      <c r="AC2446" s="1" t="str">
        <f aca="false">IF(O2446=0,"No Discount",IF(O2446&lt;=15,"Low (1-15%)",IF(O2446&lt;=30,"Medium (16-30%)","High (&gt;30%)")))</f>
        <v>Low (1-15%)</v>
      </c>
      <c r="AD2446" s="1" t="str">
        <f aca="false">IF(V2446&lt;0,"Loss Making",IF(V2446&lt;20,"Low Margin","Healthy Margin"))</f>
        <v>Healthy Margin</v>
      </c>
      <c r="AE2446" s="1" t="str">
        <f aca="false">TEXT(DATE(VALUE(RIGHT(B2446,4)),VALUE(MID(B2446,4,2)),VALUE(LEFT(B2446,2))),"MMM-YYYY")</f>
        <v>Dec-2023</v>
      </c>
      <c r="AF2446" s="1" t="n">
        <f aca="false">VALUE(RIGHT(B2446,4))</f>
        <v>2023</v>
      </c>
      <c r="AG2446" s="1" t="str">
        <f aca="false">CHOOSE(ROUNDUP(VALUE(MID(B2446,4,2))/3,0),"Q1","Q2","Q3","Q4")</f>
        <v>Q4</v>
      </c>
    </row>
    <row r="2447" customFormat="false" ht="15" hidden="false" customHeight="true" outlineLevel="0" collapsed="false">
      <c r="A2447" s="1" t="s">
        <v>3319</v>
      </c>
      <c r="B2447" s="1" t="s">
        <v>1375</v>
      </c>
      <c r="C2447" s="1" t="s">
        <v>28</v>
      </c>
      <c r="D2447" s="1" t="s">
        <v>94</v>
      </c>
      <c r="E2447" s="1" t="s">
        <v>101</v>
      </c>
      <c r="F2447" s="1" t="s">
        <v>150</v>
      </c>
      <c r="G2447" s="1" t="s">
        <v>32</v>
      </c>
      <c r="H2447" s="1" t="s">
        <v>57</v>
      </c>
      <c r="I2447" s="1" t="s">
        <v>83</v>
      </c>
      <c r="J2447" s="1" t="s">
        <v>70</v>
      </c>
      <c r="K2447" s="1" t="s">
        <v>104</v>
      </c>
      <c r="L2447" s="1" t="s">
        <v>136</v>
      </c>
      <c r="M2447" s="1" t="s">
        <v>62</v>
      </c>
      <c r="N2447" s="1" t="n">
        <v>14999</v>
      </c>
      <c r="O2447" s="1" t="n">
        <v>10</v>
      </c>
      <c r="P2447" s="1" t="n">
        <v>1499.9</v>
      </c>
      <c r="Q2447" s="1" t="n">
        <v>13499.1</v>
      </c>
      <c r="R2447" s="1" t="n">
        <v>2429.84</v>
      </c>
      <c r="S2447" s="1" t="n">
        <v>11069.26</v>
      </c>
      <c r="T2447" s="1" t="n">
        <v>3966.28</v>
      </c>
      <c r="U2447" s="1" t="n">
        <v>7102.98</v>
      </c>
      <c r="V2447" s="1" t="n">
        <v>64.17</v>
      </c>
      <c r="W2447" s="1" t="s">
        <v>39</v>
      </c>
      <c r="X2447" s="1" t="n">
        <v>3</v>
      </c>
      <c r="Y2447" s="1" t="s">
        <v>40</v>
      </c>
      <c r="Z2447" s="1" t="n">
        <v>0</v>
      </c>
      <c r="AA2447" s="1" t="str">
        <f aca="false">TRIM(PROPER(F2447))</f>
        <v>Jaipur</v>
      </c>
      <c r="AB2447" s="1" t="str">
        <f aca="false">TRIM(PROPER(C2447))</f>
        <v>Embibe</v>
      </c>
      <c r="AC2447" s="1" t="str">
        <f aca="false">IF(O2447=0,"No Discount",IF(O2447&lt;=15,"Low (1-15%)",IF(O2447&lt;=30,"Medium (16-30%)","High (&gt;30%)")))</f>
        <v>Low (1-15%)</v>
      </c>
      <c r="AD2447" s="1" t="str">
        <f aca="false">IF(V2447&lt;0,"Loss Making",IF(V2447&lt;20,"Low Margin","Healthy Margin"))</f>
        <v>Healthy Margin</v>
      </c>
      <c r="AE2447" s="1" t="str">
        <f aca="false">TEXT(DATE(VALUE(RIGHT(B2447,4)),VALUE(MID(B2447,4,2)),VALUE(LEFT(B2447,2))),"MMM-YYYY")</f>
        <v>Oct-2023</v>
      </c>
      <c r="AF2447" s="1" t="n">
        <f aca="false">VALUE(RIGHT(B2447,4))</f>
        <v>2023</v>
      </c>
      <c r="AG2447" s="1" t="str">
        <f aca="false">CHOOSE(ROUNDUP(VALUE(MID(B2447,4,2))/3,0),"Q1","Q2","Q3","Q4")</f>
        <v>Q4</v>
      </c>
    </row>
    <row r="2448" customFormat="false" ht="15" hidden="false" customHeight="true" outlineLevel="0" collapsed="false">
      <c r="A2448" s="1" t="s">
        <v>3320</v>
      </c>
      <c r="B2448" s="1" t="s">
        <v>1298</v>
      </c>
      <c r="C2448" s="1" t="s">
        <v>88</v>
      </c>
      <c r="D2448" s="1" t="s">
        <v>143</v>
      </c>
      <c r="E2448" s="1" t="s">
        <v>144</v>
      </c>
      <c r="F2448" s="1" t="s">
        <v>102</v>
      </c>
      <c r="G2448" s="1" t="s">
        <v>103</v>
      </c>
      <c r="H2448" s="1" t="s">
        <v>33</v>
      </c>
      <c r="I2448" s="1" t="s">
        <v>58</v>
      </c>
      <c r="J2448" s="1" t="s">
        <v>35</v>
      </c>
      <c r="K2448" s="1" t="s">
        <v>90</v>
      </c>
      <c r="L2448" s="1" t="s">
        <v>49</v>
      </c>
      <c r="M2448" s="1" t="s">
        <v>38</v>
      </c>
      <c r="N2448" s="1" t="n">
        <v>12999</v>
      </c>
      <c r="O2448" s="1" t="n">
        <v>10</v>
      </c>
      <c r="P2448" s="1" t="n">
        <v>1299.9</v>
      </c>
      <c r="Q2448" s="1" t="n">
        <v>11699.1</v>
      </c>
      <c r="R2448" s="1" t="n">
        <v>2105.84</v>
      </c>
      <c r="S2448" s="1" t="n">
        <v>9593.26</v>
      </c>
      <c r="T2448" s="1" t="n">
        <v>4867.34</v>
      </c>
      <c r="U2448" s="1" t="n">
        <v>4725.92</v>
      </c>
      <c r="V2448" s="1" t="n">
        <v>49.26</v>
      </c>
      <c r="W2448" s="1" t="s">
        <v>39</v>
      </c>
      <c r="X2448" s="1" t="n">
        <v>4.3</v>
      </c>
      <c r="Y2448" s="1" t="s">
        <v>40</v>
      </c>
      <c r="Z2448" s="1" t="n">
        <v>0</v>
      </c>
      <c r="AA2448" s="1" t="str">
        <f aca="false">TRIM(PROPER(F2448))</f>
        <v>Warangal</v>
      </c>
      <c r="AB2448" s="1" t="str">
        <f aca="false">TRIM(PROPER(C2448))</f>
        <v>Byju'S</v>
      </c>
      <c r="AC2448" s="1" t="str">
        <f aca="false">IF(O2448=0,"No Discount",IF(O2448&lt;=15,"Low (1-15%)",IF(O2448&lt;=30,"Medium (16-30%)","High (&gt;30%)")))</f>
        <v>Low (1-15%)</v>
      </c>
      <c r="AD2448" s="1" t="str">
        <f aca="false">IF(V2448&lt;0,"Loss Making",IF(V2448&lt;20,"Low Margin","Healthy Margin"))</f>
        <v>Healthy Margin</v>
      </c>
      <c r="AE2448" s="1" t="str">
        <f aca="false">TEXT(DATE(VALUE(RIGHT(B2448,4)),VALUE(MID(B2448,4,2)),VALUE(LEFT(B2448,2))),"MMM-YYYY")</f>
        <v>Feb-2024</v>
      </c>
      <c r="AF2448" s="1" t="n">
        <f aca="false">VALUE(RIGHT(B2448,4))</f>
        <v>2024</v>
      </c>
      <c r="AG2448" s="1" t="str">
        <f aca="false">CHOOSE(ROUNDUP(VALUE(MID(B2448,4,2))/3,0),"Q1","Q2","Q3","Q4")</f>
        <v>Q1</v>
      </c>
    </row>
    <row r="2449" customFormat="false" ht="15" hidden="false" customHeight="true" outlineLevel="0" collapsed="false">
      <c r="A2449" s="1" t="s">
        <v>3321</v>
      </c>
      <c r="B2449" s="1" t="s">
        <v>622</v>
      </c>
      <c r="C2449" s="1" t="s">
        <v>139</v>
      </c>
      <c r="D2449" s="1" t="s">
        <v>123</v>
      </c>
      <c r="E2449" s="1" t="s">
        <v>124</v>
      </c>
      <c r="F2449" s="1" t="s">
        <v>67</v>
      </c>
      <c r="G2449" s="1" t="s">
        <v>68</v>
      </c>
      <c r="H2449" s="1" t="s">
        <v>69</v>
      </c>
      <c r="I2449" s="1" t="s">
        <v>34</v>
      </c>
      <c r="J2449" s="1" t="s">
        <v>70</v>
      </c>
      <c r="K2449" s="1" t="s">
        <v>84</v>
      </c>
      <c r="L2449" s="1" t="s">
        <v>85</v>
      </c>
      <c r="M2449" s="1" t="s">
        <v>38</v>
      </c>
      <c r="N2449" s="1" t="n">
        <v>4999</v>
      </c>
      <c r="O2449" s="1" t="n">
        <v>5</v>
      </c>
      <c r="P2449" s="1" t="n">
        <v>249.95</v>
      </c>
      <c r="Q2449" s="1" t="n">
        <v>4749.05</v>
      </c>
      <c r="R2449" s="1" t="n">
        <v>854.83</v>
      </c>
      <c r="S2449" s="1" t="n">
        <v>3894.22</v>
      </c>
      <c r="T2449" s="1" t="n">
        <v>1933.86</v>
      </c>
      <c r="U2449" s="1" t="n">
        <v>1960.36</v>
      </c>
      <c r="V2449" s="1" t="n">
        <v>50.34</v>
      </c>
      <c r="W2449" s="1" t="s">
        <v>39</v>
      </c>
      <c r="X2449" s="1" t="n">
        <v>4</v>
      </c>
      <c r="Y2449" s="1" t="s">
        <v>40</v>
      </c>
      <c r="Z2449" s="1" t="n">
        <v>0</v>
      </c>
      <c r="AA2449" s="1" t="str">
        <f aca="false">TRIM(PROPER(F2449))</f>
        <v>Ahmedabad</v>
      </c>
      <c r="AB2449" s="1" t="str">
        <f aca="false">TRIM(PROPER(C2449))</f>
        <v>Extramarks</v>
      </c>
      <c r="AC2449" s="1" t="str">
        <f aca="false">IF(O2449=0,"No Discount",IF(O2449&lt;=15,"Low (1-15%)",IF(O2449&lt;=30,"Medium (16-30%)","High (&gt;30%)")))</f>
        <v>Low (1-15%)</v>
      </c>
      <c r="AD2449" s="1" t="str">
        <f aca="false">IF(V2449&lt;0,"Loss Making",IF(V2449&lt;20,"Low Margin","Healthy Margin"))</f>
        <v>Healthy Margin</v>
      </c>
      <c r="AE2449" s="1" t="str">
        <f aca="false">TEXT(DATE(VALUE(RIGHT(B2449,4)),VALUE(MID(B2449,4,2)),VALUE(LEFT(B2449,2))),"MMM-YYYY")</f>
        <v>Apr-2023</v>
      </c>
      <c r="AF2449" s="1" t="n">
        <f aca="false">VALUE(RIGHT(B2449,4))</f>
        <v>2023</v>
      </c>
      <c r="AG2449" s="1" t="str">
        <f aca="false">CHOOSE(ROUNDUP(VALUE(MID(B2449,4,2))/3,0),"Q1","Q2","Q3","Q4")</f>
        <v>Q2</v>
      </c>
    </row>
    <row r="2450" customFormat="false" ht="15" hidden="false" customHeight="true" outlineLevel="0" collapsed="false">
      <c r="A2450" s="1" t="s">
        <v>3322</v>
      </c>
      <c r="B2450" s="1" t="s">
        <v>939</v>
      </c>
      <c r="C2450" s="1" t="s">
        <v>74</v>
      </c>
      <c r="D2450" s="1" t="s">
        <v>143</v>
      </c>
      <c r="E2450" s="1" t="s">
        <v>159</v>
      </c>
      <c r="F2450" s="1" t="s">
        <v>187</v>
      </c>
      <c r="G2450" s="1" t="s">
        <v>97</v>
      </c>
      <c r="H2450" s="1" t="s">
        <v>69</v>
      </c>
      <c r="I2450" s="1" t="s">
        <v>34</v>
      </c>
      <c r="J2450" s="1" t="s">
        <v>70</v>
      </c>
      <c r="K2450" s="1" t="s">
        <v>104</v>
      </c>
      <c r="L2450" s="1" t="s">
        <v>136</v>
      </c>
      <c r="M2450" s="1" t="s">
        <v>38</v>
      </c>
      <c r="N2450" s="1" t="n">
        <v>24999</v>
      </c>
      <c r="O2450" s="1" t="n">
        <v>10</v>
      </c>
      <c r="P2450" s="1" t="n">
        <v>2499.9</v>
      </c>
      <c r="Q2450" s="1" t="n">
        <v>22499.1</v>
      </c>
      <c r="R2450" s="1" t="n">
        <v>4049.84</v>
      </c>
      <c r="S2450" s="1" t="n">
        <v>18449.26</v>
      </c>
      <c r="T2450" s="1" t="n">
        <v>8187.94</v>
      </c>
      <c r="U2450" s="1" t="n">
        <v>10261.32</v>
      </c>
      <c r="V2450" s="1" t="n">
        <v>55.62</v>
      </c>
      <c r="W2450" s="1" t="s">
        <v>40</v>
      </c>
      <c r="Y2450" s="1" t="s">
        <v>39</v>
      </c>
      <c r="Z2450" s="1" t="n">
        <v>2</v>
      </c>
      <c r="AA2450" s="1" t="str">
        <f aca="false">TRIM(PROPER(F2450))</f>
        <v>Mumbai</v>
      </c>
      <c r="AB2450" s="1" t="str">
        <f aca="false">TRIM(PROPER(C2450))</f>
        <v>Vedantu</v>
      </c>
      <c r="AC2450" s="1" t="str">
        <f aca="false">IF(O2450=0,"No Discount",IF(O2450&lt;=15,"Low (1-15%)",IF(O2450&lt;=30,"Medium (16-30%)","High (&gt;30%)")))</f>
        <v>Low (1-15%)</v>
      </c>
      <c r="AD2450" s="1" t="str">
        <f aca="false">IF(V2450&lt;0,"Loss Making",IF(V2450&lt;20,"Low Margin","Healthy Margin"))</f>
        <v>Healthy Margin</v>
      </c>
      <c r="AE2450" s="1" t="str">
        <f aca="false">TEXT(DATE(VALUE(RIGHT(B2450,4)),VALUE(MID(B2450,4,2)),VALUE(LEFT(B2450,2))),"MMM-YYYY")</f>
        <v>Jun-2024</v>
      </c>
      <c r="AF2450" s="1" t="n">
        <f aca="false">VALUE(RIGHT(B2450,4))</f>
        <v>2024</v>
      </c>
      <c r="AG2450" s="1" t="str">
        <f aca="false">CHOOSE(ROUNDUP(VALUE(MID(B2450,4,2))/3,0),"Q1","Q2","Q3","Q4")</f>
        <v>Q2</v>
      </c>
    </row>
    <row r="2451" customFormat="false" ht="15" hidden="false" customHeight="true" outlineLevel="0" collapsed="false">
      <c r="A2451" s="1" t="s">
        <v>3323</v>
      </c>
      <c r="B2451" s="1" t="s">
        <v>535</v>
      </c>
      <c r="C2451" s="1" t="s">
        <v>28</v>
      </c>
      <c r="D2451" s="1" t="s">
        <v>53</v>
      </c>
      <c r="E2451" s="1" t="s">
        <v>116</v>
      </c>
      <c r="F2451" s="1" t="s">
        <v>67</v>
      </c>
      <c r="G2451" s="1" t="s">
        <v>68</v>
      </c>
      <c r="H2451" s="1" t="s">
        <v>69</v>
      </c>
      <c r="I2451" s="1" t="s">
        <v>34</v>
      </c>
      <c r="J2451" s="1" t="s">
        <v>77</v>
      </c>
      <c r="K2451" s="1" t="s">
        <v>90</v>
      </c>
      <c r="L2451" s="1" t="s">
        <v>85</v>
      </c>
      <c r="M2451" s="1" t="s">
        <v>62</v>
      </c>
      <c r="N2451" s="1" t="n">
        <v>9999</v>
      </c>
      <c r="O2451" s="1" t="n">
        <v>0</v>
      </c>
      <c r="P2451" s="1" t="n">
        <v>0</v>
      </c>
      <c r="Q2451" s="1" t="n">
        <v>9999</v>
      </c>
      <c r="R2451" s="1" t="n">
        <v>1799.82</v>
      </c>
      <c r="S2451" s="1" t="n">
        <v>8199.18</v>
      </c>
      <c r="T2451" s="1" t="n">
        <v>3589.46</v>
      </c>
      <c r="U2451" s="1" t="n">
        <v>4609.72</v>
      </c>
      <c r="V2451" s="1" t="n">
        <v>56.22</v>
      </c>
      <c r="W2451" s="1" t="s">
        <v>39</v>
      </c>
      <c r="X2451" s="1" t="n">
        <v>3</v>
      </c>
      <c r="Y2451" s="1" t="s">
        <v>40</v>
      </c>
      <c r="Z2451" s="1" t="n">
        <v>1</v>
      </c>
      <c r="AA2451" s="1" t="str">
        <f aca="false">TRIM(PROPER(F2451))</f>
        <v>Ahmedabad</v>
      </c>
      <c r="AB2451" s="1" t="str">
        <f aca="false">TRIM(PROPER(C2451))</f>
        <v>Embibe</v>
      </c>
      <c r="AC2451" s="1" t="str">
        <f aca="false">IF(O2451=0,"No Discount",IF(O2451&lt;=15,"Low (1-15%)",IF(O2451&lt;=30,"Medium (16-30%)","High (&gt;30%)")))</f>
        <v>No Discount</v>
      </c>
      <c r="AD2451" s="1" t="str">
        <f aca="false">IF(V2451&lt;0,"Loss Making",IF(V2451&lt;20,"Low Margin","Healthy Margin"))</f>
        <v>Healthy Margin</v>
      </c>
      <c r="AE2451" s="1" t="str">
        <f aca="false">TEXT(DATE(VALUE(RIGHT(B2451,4)),VALUE(MID(B2451,4,2)),VALUE(LEFT(B2451,2))),"MMM-YYYY")</f>
        <v>Jan-2023</v>
      </c>
      <c r="AF2451" s="1" t="n">
        <f aca="false">VALUE(RIGHT(B2451,4))</f>
        <v>2023</v>
      </c>
      <c r="AG2451" s="1" t="str">
        <f aca="false">CHOOSE(ROUNDUP(VALUE(MID(B2451,4,2))/3,0),"Q1","Q2","Q3","Q4")</f>
        <v>Q1</v>
      </c>
    </row>
    <row r="2452" customFormat="false" ht="15" hidden="false" customHeight="true" outlineLevel="0" collapsed="false">
      <c r="A2452" s="1" t="s">
        <v>3324</v>
      </c>
      <c r="B2452" s="1" t="s">
        <v>1168</v>
      </c>
      <c r="C2452" s="1" t="s">
        <v>43</v>
      </c>
      <c r="D2452" s="1" t="s">
        <v>123</v>
      </c>
      <c r="E2452" s="1" t="s">
        <v>147</v>
      </c>
      <c r="F2452" s="1" t="s">
        <v>102</v>
      </c>
      <c r="G2452" s="1" t="s">
        <v>103</v>
      </c>
      <c r="H2452" s="1" t="s">
        <v>33</v>
      </c>
      <c r="I2452" s="1" t="s">
        <v>34</v>
      </c>
      <c r="J2452" s="1" t="s">
        <v>70</v>
      </c>
      <c r="K2452" s="1" t="s">
        <v>84</v>
      </c>
      <c r="L2452" s="1" t="s">
        <v>37</v>
      </c>
      <c r="M2452" s="1" t="s">
        <v>50</v>
      </c>
      <c r="N2452" s="1" t="n">
        <v>6999</v>
      </c>
      <c r="O2452" s="1" t="n">
        <v>15</v>
      </c>
      <c r="P2452" s="1" t="n">
        <v>1049.85</v>
      </c>
      <c r="Q2452" s="1" t="n">
        <v>5949.15</v>
      </c>
      <c r="R2452" s="1" t="n">
        <v>1070.85</v>
      </c>
      <c r="S2452" s="1" t="n">
        <v>4878.3</v>
      </c>
      <c r="T2452" s="1" t="n">
        <v>2288.95</v>
      </c>
      <c r="U2452" s="1" t="n">
        <v>2589.35</v>
      </c>
      <c r="V2452" s="1" t="n">
        <v>53.08</v>
      </c>
      <c r="W2452" s="1" t="s">
        <v>40</v>
      </c>
      <c r="Y2452" s="1" t="s">
        <v>40</v>
      </c>
      <c r="Z2452" s="1" t="n">
        <v>4</v>
      </c>
      <c r="AA2452" s="1" t="str">
        <f aca="false">TRIM(PROPER(F2452))</f>
        <v>Warangal</v>
      </c>
      <c r="AB2452" s="1" t="str">
        <f aca="false">TRIM(PROPER(C2452))</f>
        <v>Meritnation</v>
      </c>
      <c r="AC2452" s="1" t="str">
        <f aca="false">IF(O2452=0,"No Discount",IF(O2452&lt;=15,"Low (1-15%)",IF(O2452&lt;=30,"Medium (16-30%)","High (&gt;30%)")))</f>
        <v>Low (1-15%)</v>
      </c>
      <c r="AD2452" s="1" t="str">
        <f aca="false">IF(V2452&lt;0,"Loss Making",IF(V2452&lt;20,"Low Margin","Healthy Margin"))</f>
        <v>Healthy Margin</v>
      </c>
      <c r="AE2452" s="1" t="str">
        <f aca="false">TEXT(DATE(VALUE(RIGHT(B2452,4)),VALUE(MID(B2452,4,2)),VALUE(LEFT(B2452,2))),"MMM-YYYY")</f>
        <v>Oct-2024</v>
      </c>
      <c r="AF2452" s="1" t="n">
        <f aca="false">VALUE(RIGHT(B2452,4))</f>
        <v>2024</v>
      </c>
      <c r="AG2452" s="1" t="str">
        <f aca="false">CHOOSE(ROUNDUP(VALUE(MID(B2452,4,2))/3,0),"Q1","Q2","Q3","Q4")</f>
        <v>Q4</v>
      </c>
    </row>
    <row r="2453" customFormat="false" ht="15" hidden="false" customHeight="true" outlineLevel="0" collapsed="false">
      <c r="A2453" s="1" t="s">
        <v>3325</v>
      </c>
      <c r="B2453" s="1" t="s">
        <v>3326</v>
      </c>
      <c r="C2453" s="1" t="s">
        <v>128</v>
      </c>
      <c r="D2453" s="1" t="s">
        <v>94</v>
      </c>
      <c r="E2453" s="1" t="s">
        <v>135</v>
      </c>
      <c r="F2453" s="1" t="s">
        <v>82</v>
      </c>
      <c r="G2453" s="1" t="s">
        <v>56</v>
      </c>
      <c r="H2453" s="1" t="s">
        <v>69</v>
      </c>
      <c r="I2453" s="1" t="s">
        <v>58</v>
      </c>
      <c r="J2453" s="1" t="s">
        <v>35</v>
      </c>
      <c r="K2453" s="1" t="s">
        <v>36</v>
      </c>
      <c r="L2453" s="1" t="s">
        <v>113</v>
      </c>
      <c r="M2453" s="1" t="s">
        <v>50</v>
      </c>
      <c r="N2453" s="1" t="n">
        <v>9999</v>
      </c>
      <c r="O2453" s="1" t="n">
        <v>15</v>
      </c>
      <c r="P2453" s="1" t="n">
        <v>1499.85</v>
      </c>
      <c r="Q2453" s="1" t="n">
        <v>8499.15</v>
      </c>
      <c r="R2453" s="1" t="n">
        <v>1529.85</v>
      </c>
      <c r="S2453" s="1" t="n">
        <v>6969.3</v>
      </c>
      <c r="T2453" s="1" t="n">
        <v>3246.26</v>
      </c>
      <c r="U2453" s="1" t="n">
        <v>3723.04</v>
      </c>
      <c r="V2453" s="1" t="n">
        <v>53.42</v>
      </c>
      <c r="W2453" s="1" t="s">
        <v>39</v>
      </c>
      <c r="Y2453" s="1" t="s">
        <v>40</v>
      </c>
      <c r="Z2453" s="1" t="n">
        <v>0</v>
      </c>
      <c r="AA2453" s="1" t="str">
        <f aca="false">TRIM(PROPER(F2453))</f>
        <v>Gurugram</v>
      </c>
      <c r="AB2453" s="1" t="str">
        <f aca="false">TRIM(PROPER(C2453))</f>
        <v>Great Learning</v>
      </c>
      <c r="AC2453" s="1" t="str">
        <f aca="false">IF(O2453=0,"No Discount",IF(O2453&lt;=15,"Low (1-15%)",IF(O2453&lt;=30,"Medium (16-30%)","High (&gt;30%)")))</f>
        <v>Low (1-15%)</v>
      </c>
      <c r="AD2453" s="1" t="str">
        <f aca="false">IF(V2453&lt;0,"Loss Making",IF(V2453&lt;20,"Low Margin","Healthy Margin"))</f>
        <v>Healthy Margin</v>
      </c>
      <c r="AE2453" s="1" t="str">
        <f aca="false">TEXT(DATE(VALUE(RIGHT(B2453,4)),VALUE(MID(B2453,4,2)),VALUE(LEFT(B2453,2))),"MMM-YYYY")</f>
        <v>Mar-2024</v>
      </c>
      <c r="AF2453" s="1" t="n">
        <f aca="false">VALUE(RIGHT(B2453,4))</f>
        <v>2024</v>
      </c>
      <c r="AG2453" s="1" t="str">
        <f aca="false">CHOOSE(ROUNDUP(VALUE(MID(B2453,4,2))/3,0),"Q1","Q2","Q3","Q4")</f>
        <v>Q1</v>
      </c>
    </row>
    <row r="2454" customFormat="false" ht="15" hidden="false" customHeight="true" outlineLevel="0" collapsed="false">
      <c r="A2454" s="1" t="s">
        <v>3327</v>
      </c>
      <c r="B2454" s="1" t="s">
        <v>415</v>
      </c>
      <c r="C2454" s="1" t="s">
        <v>119</v>
      </c>
      <c r="D2454" s="1" t="s">
        <v>53</v>
      </c>
      <c r="E2454" s="1" t="s">
        <v>116</v>
      </c>
      <c r="F2454" s="1" t="s">
        <v>184</v>
      </c>
      <c r="G2454" s="1" t="s">
        <v>56</v>
      </c>
      <c r="H2454" s="1" t="s">
        <v>57</v>
      </c>
      <c r="I2454" s="1" t="s">
        <v>83</v>
      </c>
      <c r="J2454" s="1" t="s">
        <v>70</v>
      </c>
      <c r="K2454" s="1" t="s">
        <v>36</v>
      </c>
      <c r="L2454" s="1" t="s">
        <v>136</v>
      </c>
      <c r="M2454" s="1" t="s">
        <v>62</v>
      </c>
      <c r="N2454" s="1" t="n">
        <v>9999</v>
      </c>
      <c r="O2454" s="1" t="n">
        <v>5</v>
      </c>
      <c r="P2454" s="1" t="n">
        <v>499.95</v>
      </c>
      <c r="Q2454" s="1" t="n">
        <v>9499.05</v>
      </c>
      <c r="R2454" s="1" t="n">
        <v>1709.83</v>
      </c>
      <c r="S2454" s="1" t="n">
        <v>7789.22</v>
      </c>
      <c r="T2454" s="1" t="n">
        <v>3861.9</v>
      </c>
      <c r="U2454" s="1" t="n">
        <v>3927.32</v>
      </c>
      <c r="V2454" s="1" t="n">
        <v>50.42</v>
      </c>
      <c r="W2454" s="1" t="s">
        <v>40</v>
      </c>
      <c r="Y2454" s="1" t="s">
        <v>40</v>
      </c>
      <c r="Z2454" s="1" t="n">
        <v>0</v>
      </c>
      <c r="AA2454" s="1" t="str">
        <f aca="false">TRIM(PROPER(F2454))</f>
        <v>Faridabad</v>
      </c>
      <c r="AB2454" s="1" t="str">
        <f aca="false">TRIM(PROPER(C2454))</f>
        <v>Simplilearn</v>
      </c>
      <c r="AC2454" s="1" t="str">
        <f aca="false">IF(O2454=0,"No Discount",IF(O2454&lt;=15,"Low (1-15%)",IF(O2454&lt;=30,"Medium (16-30%)","High (&gt;30%)")))</f>
        <v>Low (1-15%)</v>
      </c>
      <c r="AD2454" s="1" t="str">
        <f aca="false">IF(V2454&lt;0,"Loss Making",IF(V2454&lt;20,"Low Margin","Healthy Margin"))</f>
        <v>Healthy Margin</v>
      </c>
      <c r="AE2454" s="1" t="str">
        <f aca="false">TEXT(DATE(VALUE(RIGHT(B2454,4)),VALUE(MID(B2454,4,2)),VALUE(LEFT(B2454,2))),"MMM-YYYY")</f>
        <v>Aug-2023</v>
      </c>
      <c r="AF2454" s="1" t="n">
        <f aca="false">VALUE(RIGHT(B2454,4))</f>
        <v>2023</v>
      </c>
      <c r="AG2454" s="1" t="str">
        <f aca="false">CHOOSE(ROUNDUP(VALUE(MID(B2454,4,2))/3,0),"Q1","Q2","Q3","Q4")</f>
        <v>Q3</v>
      </c>
    </row>
    <row r="2455" customFormat="false" ht="15" hidden="false" customHeight="true" outlineLevel="0" collapsed="false">
      <c r="A2455" s="1" t="s">
        <v>3328</v>
      </c>
      <c r="B2455" s="1" t="s">
        <v>589</v>
      </c>
      <c r="C2455" s="1" t="s">
        <v>139</v>
      </c>
      <c r="D2455" s="1" t="s">
        <v>44</v>
      </c>
      <c r="E2455" s="1" t="s">
        <v>66</v>
      </c>
      <c r="F2455" s="1" t="s">
        <v>55</v>
      </c>
      <c r="G2455" s="1" t="s">
        <v>56</v>
      </c>
      <c r="H2455" s="1" t="s">
        <v>57</v>
      </c>
      <c r="I2455" s="1" t="s">
        <v>58</v>
      </c>
      <c r="J2455" s="1" t="s">
        <v>77</v>
      </c>
      <c r="K2455" s="1" t="s">
        <v>48</v>
      </c>
      <c r="L2455" s="1" t="s">
        <v>113</v>
      </c>
      <c r="M2455" s="1" t="s">
        <v>38</v>
      </c>
      <c r="N2455" s="1" t="n">
        <v>12999</v>
      </c>
      <c r="O2455" s="1" t="n">
        <v>20</v>
      </c>
      <c r="P2455" s="1" t="n">
        <v>2599.8</v>
      </c>
      <c r="Q2455" s="1" t="n">
        <v>10399.2</v>
      </c>
      <c r="R2455" s="1" t="n">
        <v>1871.86</v>
      </c>
      <c r="S2455" s="1" t="n">
        <v>8527.34</v>
      </c>
      <c r="T2455" s="1" t="n">
        <v>3822.34</v>
      </c>
      <c r="U2455" s="1" t="n">
        <v>4705</v>
      </c>
      <c r="V2455" s="1" t="n">
        <v>55.18</v>
      </c>
      <c r="W2455" s="1" t="s">
        <v>39</v>
      </c>
      <c r="X2455" s="1" t="n">
        <v>4.3</v>
      </c>
      <c r="Y2455" s="1" t="s">
        <v>40</v>
      </c>
      <c r="Z2455" s="1" t="n">
        <v>0</v>
      </c>
      <c r="AA2455" s="1" t="str">
        <f aca="false">TRIM(PROPER(F2455))</f>
        <v>Ghaziabad</v>
      </c>
      <c r="AB2455" s="1" t="str">
        <f aca="false">TRIM(PROPER(C2455))</f>
        <v>Extramarks</v>
      </c>
      <c r="AC2455" s="1" t="str">
        <f aca="false">IF(O2455=0,"No Discount",IF(O2455&lt;=15,"Low (1-15%)",IF(O2455&lt;=30,"Medium (16-30%)","High (&gt;30%)")))</f>
        <v>Medium (16-30%)</v>
      </c>
      <c r="AD2455" s="1" t="str">
        <f aca="false">IF(V2455&lt;0,"Loss Making",IF(V2455&lt;20,"Low Margin","Healthy Margin"))</f>
        <v>Healthy Margin</v>
      </c>
      <c r="AE2455" s="1" t="str">
        <f aca="false">TEXT(DATE(VALUE(RIGHT(B2455,4)),VALUE(MID(B2455,4,2)),VALUE(LEFT(B2455,2))),"MMM-YYYY")</f>
        <v>Apr-2024</v>
      </c>
      <c r="AF2455" s="1" t="n">
        <f aca="false">VALUE(RIGHT(B2455,4))</f>
        <v>2024</v>
      </c>
      <c r="AG2455" s="1" t="str">
        <f aca="false">CHOOSE(ROUNDUP(VALUE(MID(B2455,4,2))/3,0),"Q1","Q2","Q3","Q4")</f>
        <v>Q2</v>
      </c>
    </row>
    <row r="2456" customFormat="false" ht="15" hidden="false" customHeight="true" outlineLevel="0" collapsed="false">
      <c r="A2456" s="1" t="s">
        <v>3329</v>
      </c>
      <c r="B2456" s="1" t="s">
        <v>1355</v>
      </c>
      <c r="C2456" s="1" t="s">
        <v>88</v>
      </c>
      <c r="D2456" s="1" t="s">
        <v>168</v>
      </c>
      <c r="E2456" s="1" t="s">
        <v>328</v>
      </c>
      <c r="F2456" s="1" t="s">
        <v>269</v>
      </c>
      <c r="G2456" s="1" t="s">
        <v>108</v>
      </c>
      <c r="H2456" s="1" t="s">
        <v>57</v>
      </c>
      <c r="I2456" s="1" t="s">
        <v>58</v>
      </c>
      <c r="J2456" s="1" t="s">
        <v>77</v>
      </c>
      <c r="K2456" s="1" t="s">
        <v>36</v>
      </c>
      <c r="L2456" s="1" t="s">
        <v>37</v>
      </c>
      <c r="M2456" s="1" t="s">
        <v>62</v>
      </c>
      <c r="N2456" s="1" t="n">
        <v>8999</v>
      </c>
      <c r="O2456" s="1" t="n">
        <v>5</v>
      </c>
      <c r="P2456" s="1" t="n">
        <v>449.95</v>
      </c>
      <c r="Q2456" s="1" t="n">
        <v>8549.05</v>
      </c>
      <c r="R2456" s="1" t="n">
        <v>1538.83</v>
      </c>
      <c r="S2456" s="1" t="n">
        <v>7010.22</v>
      </c>
      <c r="T2456" s="1" t="n">
        <v>2638.63</v>
      </c>
      <c r="U2456" s="1" t="n">
        <v>4371.59</v>
      </c>
      <c r="V2456" s="1" t="n">
        <v>62.36</v>
      </c>
      <c r="W2456" s="1" t="s">
        <v>39</v>
      </c>
      <c r="X2456" s="1" t="n">
        <v>4.4</v>
      </c>
      <c r="Y2456" s="1" t="s">
        <v>40</v>
      </c>
      <c r="Z2456" s="1" t="n">
        <v>0</v>
      </c>
      <c r="AA2456" s="1" t="str">
        <f aca="false">TRIM(PROPER(F2456))</f>
        <v>Coimbatore</v>
      </c>
      <c r="AB2456" s="1" t="str">
        <f aca="false">TRIM(PROPER(C2456))</f>
        <v>Byju'S</v>
      </c>
      <c r="AC2456" s="1" t="str">
        <f aca="false">IF(O2456=0,"No Discount",IF(O2456&lt;=15,"Low (1-15%)",IF(O2456&lt;=30,"Medium (16-30%)","High (&gt;30%)")))</f>
        <v>Low (1-15%)</v>
      </c>
      <c r="AD2456" s="1" t="str">
        <f aca="false">IF(V2456&lt;0,"Loss Making",IF(V2456&lt;20,"Low Margin","Healthy Margin"))</f>
        <v>Healthy Margin</v>
      </c>
      <c r="AE2456" s="1" t="str">
        <f aca="false">TEXT(DATE(VALUE(RIGHT(B2456,4)),VALUE(MID(B2456,4,2)),VALUE(LEFT(B2456,2))),"MMM-YYYY")</f>
        <v>Aug-2024</v>
      </c>
      <c r="AF2456" s="1" t="n">
        <f aca="false">VALUE(RIGHT(B2456,4))</f>
        <v>2024</v>
      </c>
      <c r="AG2456" s="1" t="str">
        <f aca="false">CHOOSE(ROUNDUP(VALUE(MID(B2456,4,2))/3,0),"Q1","Q2","Q3","Q4")</f>
        <v>Q3</v>
      </c>
    </row>
    <row r="2457" customFormat="false" ht="15" hidden="false" customHeight="true" outlineLevel="0" collapsed="false">
      <c r="A2457" s="1" t="s">
        <v>3330</v>
      </c>
      <c r="B2457" s="1" t="s">
        <v>747</v>
      </c>
      <c r="C2457" s="1" t="s">
        <v>28</v>
      </c>
      <c r="D2457" s="1" t="s">
        <v>29</v>
      </c>
      <c r="E2457" s="1" t="s">
        <v>182</v>
      </c>
      <c r="F2457" s="1" t="s">
        <v>211</v>
      </c>
      <c r="G2457" s="1" t="s">
        <v>56</v>
      </c>
      <c r="H2457" s="1" t="s">
        <v>69</v>
      </c>
      <c r="I2457" s="1" t="s">
        <v>58</v>
      </c>
      <c r="J2457" s="1" t="s">
        <v>35</v>
      </c>
      <c r="K2457" s="1" t="s">
        <v>36</v>
      </c>
      <c r="L2457" s="1" t="s">
        <v>113</v>
      </c>
      <c r="M2457" s="1" t="s">
        <v>38</v>
      </c>
      <c r="N2457" s="1" t="n">
        <v>34999</v>
      </c>
      <c r="O2457" s="1" t="n">
        <v>40</v>
      </c>
      <c r="P2457" s="1" t="n">
        <v>13999.6</v>
      </c>
      <c r="Q2457" s="1" t="n">
        <v>20999.4</v>
      </c>
      <c r="R2457" s="1" t="n">
        <v>3779.89</v>
      </c>
      <c r="S2457" s="1" t="n">
        <v>17219.51</v>
      </c>
      <c r="T2457" s="1" t="n">
        <v>7334.96</v>
      </c>
      <c r="U2457" s="1" t="n">
        <v>9884.55</v>
      </c>
      <c r="V2457" s="1" t="n">
        <v>57.4</v>
      </c>
      <c r="W2457" s="1" t="s">
        <v>39</v>
      </c>
      <c r="X2457" s="1" t="n">
        <v>3.8</v>
      </c>
      <c r="Y2457" s="1" t="s">
        <v>40</v>
      </c>
      <c r="Z2457" s="1" t="n">
        <v>0</v>
      </c>
      <c r="AA2457" s="1" t="str">
        <f aca="false">TRIM(PROPER(F2457))</f>
        <v>Noida</v>
      </c>
      <c r="AB2457" s="1" t="str">
        <f aca="false">TRIM(PROPER(C2457))</f>
        <v>Embibe</v>
      </c>
      <c r="AC2457" s="1" t="str">
        <f aca="false">IF(O2457=0,"No Discount",IF(O2457&lt;=15,"Low (1-15%)",IF(O2457&lt;=30,"Medium (16-30%)","High (&gt;30%)")))</f>
        <v>High (&gt;30%)</v>
      </c>
      <c r="AD2457" s="1" t="str">
        <f aca="false">IF(V2457&lt;0,"Loss Making",IF(V2457&lt;20,"Low Margin","Healthy Margin"))</f>
        <v>Healthy Margin</v>
      </c>
      <c r="AE2457" s="1" t="str">
        <f aca="false">TEXT(DATE(VALUE(RIGHT(B2457,4)),VALUE(MID(B2457,4,2)),VALUE(LEFT(B2457,2))),"MMM-YYYY")</f>
        <v>Oct-2023</v>
      </c>
      <c r="AF2457" s="1" t="n">
        <f aca="false">VALUE(RIGHT(B2457,4))</f>
        <v>2023</v>
      </c>
      <c r="AG2457" s="1" t="str">
        <f aca="false">CHOOSE(ROUNDUP(VALUE(MID(B2457,4,2))/3,0),"Q1","Q2","Q3","Q4")</f>
        <v>Q4</v>
      </c>
    </row>
    <row r="2458" customFormat="false" ht="15" hidden="false" customHeight="true" outlineLevel="0" collapsed="false">
      <c r="A2458" s="1" t="s">
        <v>3331</v>
      </c>
      <c r="B2458" s="1" t="s">
        <v>425</v>
      </c>
      <c r="C2458" s="1" t="s">
        <v>139</v>
      </c>
      <c r="D2458" s="1" t="s">
        <v>123</v>
      </c>
      <c r="E2458" s="1" t="s">
        <v>124</v>
      </c>
      <c r="F2458" s="1" t="s">
        <v>46</v>
      </c>
      <c r="G2458" s="1" t="s">
        <v>47</v>
      </c>
      <c r="H2458" s="1" t="s">
        <v>33</v>
      </c>
      <c r="I2458" s="1" t="s">
        <v>58</v>
      </c>
      <c r="J2458" s="1" t="s">
        <v>59</v>
      </c>
      <c r="K2458" s="1" t="s">
        <v>36</v>
      </c>
      <c r="L2458" s="1" t="s">
        <v>85</v>
      </c>
      <c r="M2458" s="1" t="s">
        <v>62</v>
      </c>
      <c r="N2458" s="1" t="n">
        <v>4999</v>
      </c>
      <c r="O2458" s="1" t="n">
        <v>0</v>
      </c>
      <c r="P2458" s="1" t="n">
        <v>0</v>
      </c>
      <c r="Q2458" s="1" t="n">
        <v>4999</v>
      </c>
      <c r="R2458" s="1" t="n">
        <v>899.82</v>
      </c>
      <c r="S2458" s="1" t="n">
        <v>4099.18</v>
      </c>
      <c r="T2458" s="1" t="n">
        <v>1830.64</v>
      </c>
      <c r="U2458" s="1" t="n">
        <v>2268.54</v>
      </c>
      <c r="V2458" s="1" t="n">
        <v>55.34</v>
      </c>
      <c r="W2458" s="1" t="s">
        <v>39</v>
      </c>
      <c r="X2458" s="1" t="n">
        <v>4.3</v>
      </c>
      <c r="Y2458" s="1" t="s">
        <v>40</v>
      </c>
      <c r="Z2458" s="1" t="n">
        <v>0</v>
      </c>
      <c r="AA2458" s="1" t="str">
        <f aca="false">TRIM(PROPER(F2458))</f>
        <v>Mangaluru</v>
      </c>
      <c r="AB2458" s="1" t="str">
        <f aca="false">TRIM(PROPER(C2458))</f>
        <v>Extramarks</v>
      </c>
      <c r="AC2458" s="1" t="str">
        <f aca="false">IF(O2458=0,"No Discount",IF(O2458&lt;=15,"Low (1-15%)",IF(O2458&lt;=30,"Medium (16-30%)","High (&gt;30%)")))</f>
        <v>No Discount</v>
      </c>
      <c r="AD2458" s="1" t="str">
        <f aca="false">IF(V2458&lt;0,"Loss Making",IF(V2458&lt;20,"Low Margin","Healthy Margin"))</f>
        <v>Healthy Margin</v>
      </c>
      <c r="AE2458" s="1" t="str">
        <f aca="false">TEXT(DATE(VALUE(RIGHT(B2458,4)),VALUE(MID(B2458,4,2)),VALUE(LEFT(B2458,2))),"MMM-YYYY")</f>
        <v>Feb-2023</v>
      </c>
      <c r="AF2458" s="1" t="n">
        <f aca="false">VALUE(RIGHT(B2458,4))</f>
        <v>2023</v>
      </c>
      <c r="AG2458" s="1" t="str">
        <f aca="false">CHOOSE(ROUNDUP(VALUE(MID(B2458,4,2))/3,0),"Q1","Q2","Q3","Q4")</f>
        <v>Q1</v>
      </c>
    </row>
    <row r="2459" customFormat="false" ht="15" hidden="false" customHeight="true" outlineLevel="0" collapsed="false">
      <c r="A2459" s="1" t="s">
        <v>3332</v>
      </c>
      <c r="B2459" s="1" t="s">
        <v>809</v>
      </c>
      <c r="C2459" s="1" t="s">
        <v>74</v>
      </c>
      <c r="D2459" s="1" t="s">
        <v>168</v>
      </c>
      <c r="E2459" s="1" t="s">
        <v>328</v>
      </c>
      <c r="F2459" s="1" t="s">
        <v>125</v>
      </c>
      <c r="G2459" s="1" t="s">
        <v>108</v>
      </c>
      <c r="H2459" s="1" t="s">
        <v>69</v>
      </c>
      <c r="I2459" s="1" t="s">
        <v>83</v>
      </c>
      <c r="J2459" s="1" t="s">
        <v>70</v>
      </c>
      <c r="K2459" s="1" t="s">
        <v>36</v>
      </c>
      <c r="L2459" s="1" t="s">
        <v>136</v>
      </c>
      <c r="M2459" s="1" t="s">
        <v>38</v>
      </c>
      <c r="N2459" s="1" t="n">
        <v>8999</v>
      </c>
      <c r="O2459" s="1" t="n">
        <v>25</v>
      </c>
      <c r="P2459" s="1" t="n">
        <v>2249.75</v>
      </c>
      <c r="Q2459" s="1" t="n">
        <v>6749.25</v>
      </c>
      <c r="R2459" s="1" t="n">
        <v>1214.87</v>
      </c>
      <c r="S2459" s="1" t="n">
        <v>5534.38</v>
      </c>
      <c r="T2459" s="1" t="n">
        <v>2312.32</v>
      </c>
      <c r="U2459" s="1" t="n">
        <v>3222.06</v>
      </c>
      <c r="V2459" s="1" t="n">
        <v>58.22</v>
      </c>
      <c r="W2459" s="1" t="s">
        <v>40</v>
      </c>
      <c r="Y2459" s="1" t="s">
        <v>39</v>
      </c>
      <c r="Z2459" s="1" t="n">
        <v>0</v>
      </c>
      <c r="AA2459" s="1" t="str">
        <f aca="false">TRIM(PROPER(F2459))</f>
        <v>Chennai</v>
      </c>
      <c r="AB2459" s="1" t="str">
        <f aca="false">TRIM(PROPER(C2459))</f>
        <v>Vedantu</v>
      </c>
      <c r="AC2459" s="1" t="str">
        <f aca="false">IF(O2459=0,"No Discount",IF(O2459&lt;=15,"Low (1-15%)",IF(O2459&lt;=30,"Medium (16-30%)","High (&gt;30%)")))</f>
        <v>Medium (16-30%)</v>
      </c>
      <c r="AD2459" s="1" t="str">
        <f aca="false">IF(V2459&lt;0,"Loss Making",IF(V2459&lt;20,"Low Margin","Healthy Margin"))</f>
        <v>Healthy Margin</v>
      </c>
      <c r="AE2459" s="1" t="str">
        <f aca="false">TEXT(DATE(VALUE(RIGHT(B2459,4)),VALUE(MID(B2459,4,2)),VALUE(LEFT(B2459,2))),"MMM-YYYY")</f>
        <v>Mar-2023</v>
      </c>
      <c r="AF2459" s="1" t="n">
        <f aca="false">VALUE(RIGHT(B2459,4))</f>
        <v>2023</v>
      </c>
      <c r="AG2459" s="1" t="str">
        <f aca="false">CHOOSE(ROUNDUP(VALUE(MID(B2459,4,2))/3,0),"Q1","Q2","Q3","Q4")</f>
        <v>Q1</v>
      </c>
    </row>
    <row r="2460" customFormat="false" ht="15" hidden="false" customHeight="true" outlineLevel="0" collapsed="false">
      <c r="A2460" s="1" t="s">
        <v>3333</v>
      </c>
      <c r="B2460" s="1" t="s">
        <v>1250</v>
      </c>
      <c r="C2460" s="1" t="s">
        <v>264</v>
      </c>
      <c r="D2460" s="1" t="s">
        <v>94</v>
      </c>
      <c r="E2460" s="1" t="s">
        <v>95</v>
      </c>
      <c r="F2460" s="1" t="s">
        <v>150</v>
      </c>
      <c r="G2460" s="1" t="s">
        <v>32</v>
      </c>
      <c r="H2460" s="1" t="s">
        <v>57</v>
      </c>
      <c r="I2460" s="1" t="s">
        <v>83</v>
      </c>
      <c r="J2460" s="1" t="s">
        <v>59</v>
      </c>
      <c r="K2460" s="1" t="s">
        <v>48</v>
      </c>
      <c r="L2460" s="1" t="s">
        <v>61</v>
      </c>
      <c r="M2460" s="1" t="s">
        <v>62</v>
      </c>
      <c r="N2460" s="1" t="n">
        <v>6999</v>
      </c>
      <c r="O2460" s="1" t="n">
        <v>10</v>
      </c>
      <c r="P2460" s="1" t="n">
        <v>699.9</v>
      </c>
      <c r="Q2460" s="1" t="n">
        <v>6299.1</v>
      </c>
      <c r="R2460" s="1" t="n">
        <v>1133.84</v>
      </c>
      <c r="S2460" s="1" t="n">
        <v>5165.26</v>
      </c>
      <c r="T2460" s="1" t="n">
        <v>2269.84</v>
      </c>
      <c r="U2460" s="1" t="n">
        <v>2895.42</v>
      </c>
      <c r="V2460" s="1" t="n">
        <v>56.06</v>
      </c>
      <c r="W2460" s="1" t="s">
        <v>40</v>
      </c>
      <c r="Y2460" s="1" t="s">
        <v>40</v>
      </c>
      <c r="Z2460" s="1" t="n">
        <v>1</v>
      </c>
      <c r="AA2460" s="1" t="str">
        <f aca="false">TRIM(PROPER(F2460))</f>
        <v>Jaipur</v>
      </c>
      <c r="AB2460" s="1" t="str">
        <f aca="false">TRIM(PROPER(C2460))</f>
        <v>Unacademy</v>
      </c>
      <c r="AC2460" s="1" t="str">
        <f aca="false">IF(O2460=0,"No Discount",IF(O2460&lt;=15,"Low (1-15%)",IF(O2460&lt;=30,"Medium (16-30%)","High (&gt;30%)")))</f>
        <v>Low (1-15%)</v>
      </c>
      <c r="AD2460" s="1" t="str">
        <f aca="false">IF(V2460&lt;0,"Loss Making",IF(V2460&lt;20,"Low Margin","Healthy Margin"))</f>
        <v>Healthy Margin</v>
      </c>
      <c r="AE2460" s="1" t="str">
        <f aca="false">TEXT(DATE(VALUE(RIGHT(B2460,4)),VALUE(MID(B2460,4,2)),VALUE(LEFT(B2460,2))),"MMM-YYYY")</f>
        <v>Jul-2023</v>
      </c>
      <c r="AF2460" s="1" t="n">
        <f aca="false">VALUE(RIGHT(B2460,4))</f>
        <v>2023</v>
      </c>
      <c r="AG2460" s="1" t="str">
        <f aca="false">CHOOSE(ROUNDUP(VALUE(MID(B2460,4,2))/3,0),"Q1","Q2","Q3","Q4")</f>
        <v>Q3</v>
      </c>
    </row>
    <row r="2461" customFormat="false" ht="15" hidden="false" customHeight="true" outlineLevel="0" collapsed="false">
      <c r="A2461" s="1" t="s">
        <v>3334</v>
      </c>
      <c r="B2461" s="1" t="s">
        <v>413</v>
      </c>
      <c r="C2461" s="1" t="s">
        <v>28</v>
      </c>
      <c r="D2461" s="1" t="s">
        <v>143</v>
      </c>
      <c r="E2461" s="1" t="s">
        <v>243</v>
      </c>
      <c r="F2461" s="1" t="s">
        <v>55</v>
      </c>
      <c r="G2461" s="1" t="s">
        <v>56</v>
      </c>
      <c r="H2461" s="1" t="s">
        <v>57</v>
      </c>
      <c r="I2461" s="1" t="s">
        <v>58</v>
      </c>
      <c r="J2461" s="1" t="s">
        <v>59</v>
      </c>
      <c r="K2461" s="1" t="s">
        <v>48</v>
      </c>
      <c r="L2461" s="1" t="s">
        <v>113</v>
      </c>
      <c r="M2461" s="1" t="s">
        <v>62</v>
      </c>
      <c r="N2461" s="1" t="n">
        <v>22999</v>
      </c>
      <c r="O2461" s="1" t="n">
        <v>0</v>
      </c>
      <c r="P2461" s="1" t="n">
        <v>0</v>
      </c>
      <c r="Q2461" s="1" t="n">
        <v>22999</v>
      </c>
      <c r="R2461" s="1" t="n">
        <v>4139.82</v>
      </c>
      <c r="S2461" s="1" t="n">
        <v>18859.18</v>
      </c>
      <c r="T2461" s="1" t="n">
        <v>7740.86</v>
      </c>
      <c r="U2461" s="1" t="n">
        <v>11118.32</v>
      </c>
      <c r="V2461" s="1" t="n">
        <v>58.95</v>
      </c>
      <c r="W2461" s="1" t="s">
        <v>39</v>
      </c>
      <c r="Y2461" s="1" t="s">
        <v>40</v>
      </c>
      <c r="Z2461" s="1" t="n">
        <v>1</v>
      </c>
      <c r="AA2461" s="1" t="str">
        <f aca="false">TRIM(PROPER(F2461))</f>
        <v>Ghaziabad</v>
      </c>
      <c r="AB2461" s="1" t="str">
        <f aca="false">TRIM(PROPER(C2461))</f>
        <v>Embibe</v>
      </c>
      <c r="AC2461" s="1" t="str">
        <f aca="false">IF(O2461=0,"No Discount",IF(O2461&lt;=15,"Low (1-15%)",IF(O2461&lt;=30,"Medium (16-30%)","High (&gt;30%)")))</f>
        <v>No Discount</v>
      </c>
      <c r="AD2461" s="1" t="str">
        <f aca="false">IF(V2461&lt;0,"Loss Making",IF(V2461&lt;20,"Low Margin","Healthy Margin"))</f>
        <v>Healthy Margin</v>
      </c>
      <c r="AE2461" s="1" t="str">
        <f aca="false">TEXT(DATE(VALUE(RIGHT(B2461,4)),VALUE(MID(B2461,4,2)),VALUE(LEFT(B2461,2))),"MMM-YYYY")</f>
        <v>Jan-2023</v>
      </c>
      <c r="AF2461" s="1" t="n">
        <f aca="false">VALUE(RIGHT(B2461,4))</f>
        <v>2023</v>
      </c>
      <c r="AG2461" s="1" t="str">
        <f aca="false">CHOOSE(ROUNDUP(VALUE(MID(B2461,4,2))/3,0),"Q1","Q2","Q3","Q4")</f>
        <v>Q1</v>
      </c>
    </row>
    <row r="2462" customFormat="false" ht="15" hidden="false" customHeight="true" outlineLevel="0" collapsed="false">
      <c r="A2462" s="1" t="s">
        <v>3335</v>
      </c>
      <c r="B2462" s="1" t="s">
        <v>2422</v>
      </c>
      <c r="C2462" s="1" t="s">
        <v>264</v>
      </c>
      <c r="D2462" s="1" t="s">
        <v>80</v>
      </c>
      <c r="E2462" s="1" t="s">
        <v>193</v>
      </c>
      <c r="F2462" s="1" t="s">
        <v>96</v>
      </c>
      <c r="G2462" s="1" t="s">
        <v>97</v>
      </c>
      <c r="H2462" s="1" t="s">
        <v>69</v>
      </c>
      <c r="I2462" s="1" t="s">
        <v>34</v>
      </c>
      <c r="J2462" s="1" t="s">
        <v>131</v>
      </c>
      <c r="K2462" s="1" t="s">
        <v>112</v>
      </c>
      <c r="L2462" s="1" t="s">
        <v>37</v>
      </c>
      <c r="M2462" s="1" t="s">
        <v>50</v>
      </c>
      <c r="N2462" s="1" t="n">
        <v>8999</v>
      </c>
      <c r="O2462" s="1" t="n">
        <v>15</v>
      </c>
      <c r="P2462" s="1" t="n">
        <v>1349.85</v>
      </c>
      <c r="Q2462" s="1" t="n">
        <v>7649.15</v>
      </c>
      <c r="R2462" s="1" t="n">
        <v>1376.85</v>
      </c>
      <c r="S2462" s="1" t="n">
        <v>6272.3</v>
      </c>
      <c r="T2462" s="1" t="n">
        <v>2224.09</v>
      </c>
      <c r="U2462" s="1" t="n">
        <v>4048.21</v>
      </c>
      <c r="V2462" s="1" t="n">
        <v>64.54</v>
      </c>
      <c r="W2462" s="1" t="s">
        <v>39</v>
      </c>
      <c r="Y2462" s="1" t="s">
        <v>40</v>
      </c>
      <c r="Z2462" s="1" t="n">
        <v>0</v>
      </c>
      <c r="AA2462" s="1" t="str">
        <f aca="false">TRIM(PROPER(F2462))</f>
        <v>Pune</v>
      </c>
      <c r="AB2462" s="1" t="str">
        <f aca="false">TRIM(PROPER(C2462))</f>
        <v>Unacademy</v>
      </c>
      <c r="AC2462" s="1" t="str">
        <f aca="false">IF(O2462=0,"No Discount",IF(O2462&lt;=15,"Low (1-15%)",IF(O2462&lt;=30,"Medium (16-30%)","High (&gt;30%)")))</f>
        <v>Low (1-15%)</v>
      </c>
      <c r="AD2462" s="1" t="str">
        <f aca="false">IF(V2462&lt;0,"Loss Making",IF(V2462&lt;20,"Low Margin","Healthy Margin"))</f>
        <v>Healthy Margin</v>
      </c>
      <c r="AE2462" s="1" t="str">
        <f aca="false">TEXT(DATE(VALUE(RIGHT(B2462,4)),VALUE(MID(B2462,4,2)),VALUE(LEFT(B2462,2))),"MMM-YYYY")</f>
        <v>Mar-2023</v>
      </c>
      <c r="AF2462" s="1" t="n">
        <f aca="false">VALUE(RIGHT(B2462,4))</f>
        <v>2023</v>
      </c>
      <c r="AG2462" s="1" t="str">
        <f aca="false">CHOOSE(ROUNDUP(VALUE(MID(B2462,4,2))/3,0),"Q1","Q2","Q3","Q4")</f>
        <v>Q1</v>
      </c>
    </row>
    <row r="2463" customFormat="false" ht="15" hidden="false" customHeight="true" outlineLevel="0" collapsed="false">
      <c r="A2463" s="1" t="s">
        <v>3336</v>
      </c>
      <c r="B2463" s="1" t="s">
        <v>1107</v>
      </c>
      <c r="C2463" s="1" t="s">
        <v>88</v>
      </c>
      <c r="D2463" s="1" t="s">
        <v>143</v>
      </c>
      <c r="E2463" s="1" t="s">
        <v>162</v>
      </c>
      <c r="F2463" s="1" t="s">
        <v>205</v>
      </c>
      <c r="G2463" s="1" t="s">
        <v>56</v>
      </c>
      <c r="H2463" s="1" t="s">
        <v>69</v>
      </c>
      <c r="I2463" s="1" t="s">
        <v>83</v>
      </c>
      <c r="J2463" s="1" t="s">
        <v>70</v>
      </c>
      <c r="K2463" s="1" t="s">
        <v>104</v>
      </c>
      <c r="L2463" s="1" t="s">
        <v>37</v>
      </c>
      <c r="M2463" s="1" t="s">
        <v>50</v>
      </c>
      <c r="N2463" s="1" t="n">
        <v>14999</v>
      </c>
      <c r="O2463" s="1" t="n">
        <v>50</v>
      </c>
      <c r="P2463" s="1" t="n">
        <v>7499.5</v>
      </c>
      <c r="Q2463" s="1" t="n">
        <v>7499.5</v>
      </c>
      <c r="R2463" s="1" t="n">
        <v>1349.91</v>
      </c>
      <c r="S2463" s="1" t="n">
        <v>6149.59</v>
      </c>
      <c r="T2463" s="1" t="n">
        <v>3513.56</v>
      </c>
      <c r="U2463" s="1" t="n">
        <v>2636.03</v>
      </c>
      <c r="V2463" s="1" t="n">
        <v>42.87</v>
      </c>
      <c r="W2463" s="1" t="s">
        <v>40</v>
      </c>
      <c r="Y2463" s="1" t="s">
        <v>40</v>
      </c>
      <c r="Z2463" s="1" t="n">
        <v>2</v>
      </c>
      <c r="AA2463" s="1" t="str">
        <f aca="false">TRIM(PROPER(F2463))</f>
        <v>New Delhi</v>
      </c>
      <c r="AB2463" s="1" t="str">
        <f aca="false">TRIM(PROPER(C2463))</f>
        <v>Byju'S</v>
      </c>
      <c r="AC2463" s="1" t="str">
        <f aca="false">IF(O2463=0,"No Discount",IF(O2463&lt;=15,"Low (1-15%)",IF(O2463&lt;=30,"Medium (16-30%)","High (&gt;30%)")))</f>
        <v>High (&gt;30%)</v>
      </c>
      <c r="AD2463" s="1" t="str">
        <f aca="false">IF(V2463&lt;0,"Loss Making",IF(V2463&lt;20,"Low Margin","Healthy Margin"))</f>
        <v>Healthy Margin</v>
      </c>
      <c r="AE2463" s="1" t="str">
        <f aca="false">TEXT(DATE(VALUE(RIGHT(B2463,4)),VALUE(MID(B2463,4,2)),VALUE(LEFT(B2463,2))),"MMM-YYYY")</f>
        <v>Jul-2023</v>
      </c>
      <c r="AF2463" s="1" t="n">
        <f aca="false">VALUE(RIGHT(B2463,4))</f>
        <v>2023</v>
      </c>
      <c r="AG2463" s="1" t="str">
        <f aca="false">CHOOSE(ROUNDUP(VALUE(MID(B2463,4,2))/3,0),"Q1","Q2","Q3","Q4")</f>
        <v>Q3</v>
      </c>
    </row>
    <row r="2464" customFormat="false" ht="15" hidden="false" customHeight="true" outlineLevel="0" collapsed="false">
      <c r="A2464" s="1" t="s">
        <v>3337</v>
      </c>
      <c r="B2464" s="1" t="s">
        <v>1044</v>
      </c>
      <c r="C2464" s="1" t="s">
        <v>93</v>
      </c>
      <c r="D2464" s="1" t="s">
        <v>123</v>
      </c>
      <c r="E2464" s="1" t="s">
        <v>233</v>
      </c>
      <c r="F2464" s="1" t="s">
        <v>211</v>
      </c>
      <c r="G2464" s="1" t="s">
        <v>56</v>
      </c>
      <c r="H2464" s="1" t="s">
        <v>69</v>
      </c>
      <c r="I2464" s="1" t="s">
        <v>58</v>
      </c>
      <c r="J2464" s="1" t="s">
        <v>59</v>
      </c>
      <c r="K2464" s="1" t="s">
        <v>36</v>
      </c>
      <c r="L2464" s="1" t="s">
        <v>61</v>
      </c>
      <c r="M2464" s="1" t="s">
        <v>62</v>
      </c>
      <c r="N2464" s="1" t="n">
        <v>8999</v>
      </c>
      <c r="O2464" s="1" t="n">
        <v>30</v>
      </c>
      <c r="P2464" s="1" t="n">
        <v>2699.7</v>
      </c>
      <c r="Q2464" s="1" t="n">
        <v>6299.3</v>
      </c>
      <c r="R2464" s="1" t="n">
        <v>1133.87</v>
      </c>
      <c r="S2464" s="1" t="n">
        <v>5165.43</v>
      </c>
      <c r="T2464" s="1" t="n">
        <v>1879.97</v>
      </c>
      <c r="U2464" s="1" t="n">
        <v>3285.46</v>
      </c>
      <c r="V2464" s="1" t="n">
        <v>63.6</v>
      </c>
      <c r="W2464" s="1" t="s">
        <v>39</v>
      </c>
      <c r="Y2464" s="1" t="s">
        <v>40</v>
      </c>
      <c r="Z2464" s="1" t="n">
        <v>0</v>
      </c>
      <c r="AA2464" s="1" t="str">
        <f aca="false">TRIM(PROPER(F2464))</f>
        <v>Noida</v>
      </c>
      <c r="AB2464" s="1" t="str">
        <f aca="false">TRIM(PROPER(C2464))</f>
        <v>Upgrad</v>
      </c>
      <c r="AC2464" s="1" t="str">
        <f aca="false">IF(O2464=0,"No Discount",IF(O2464&lt;=15,"Low (1-15%)",IF(O2464&lt;=30,"Medium (16-30%)","High (&gt;30%)")))</f>
        <v>Medium (16-30%)</v>
      </c>
      <c r="AD2464" s="1" t="str">
        <f aca="false">IF(V2464&lt;0,"Loss Making",IF(V2464&lt;20,"Low Margin","Healthy Margin"))</f>
        <v>Healthy Margin</v>
      </c>
      <c r="AE2464" s="1" t="str">
        <f aca="false">TEXT(DATE(VALUE(RIGHT(B2464,4)),VALUE(MID(B2464,4,2)),VALUE(LEFT(B2464,2))),"MMM-YYYY")</f>
        <v>Apr-2023</v>
      </c>
      <c r="AF2464" s="1" t="n">
        <f aca="false">VALUE(RIGHT(B2464,4))</f>
        <v>2023</v>
      </c>
      <c r="AG2464" s="1" t="str">
        <f aca="false">CHOOSE(ROUNDUP(VALUE(MID(B2464,4,2))/3,0),"Q1","Q2","Q3","Q4")</f>
        <v>Q2</v>
      </c>
    </row>
    <row r="2465" customFormat="false" ht="15" hidden="false" customHeight="true" outlineLevel="0" collapsed="false">
      <c r="A2465" s="1" t="s">
        <v>3338</v>
      </c>
      <c r="B2465" s="1" t="s">
        <v>1398</v>
      </c>
      <c r="C2465" s="1" t="s">
        <v>88</v>
      </c>
      <c r="D2465" s="1" t="s">
        <v>143</v>
      </c>
      <c r="E2465" s="1" t="s">
        <v>243</v>
      </c>
      <c r="F2465" s="1" t="s">
        <v>150</v>
      </c>
      <c r="G2465" s="1" t="s">
        <v>32</v>
      </c>
      <c r="H2465" s="1" t="s">
        <v>57</v>
      </c>
      <c r="I2465" s="1" t="s">
        <v>34</v>
      </c>
      <c r="J2465" s="1" t="s">
        <v>59</v>
      </c>
      <c r="K2465" s="1" t="s">
        <v>84</v>
      </c>
      <c r="L2465" s="1" t="s">
        <v>49</v>
      </c>
      <c r="M2465" s="1" t="s">
        <v>50</v>
      </c>
      <c r="N2465" s="1" t="n">
        <v>22999</v>
      </c>
      <c r="O2465" s="1" t="n">
        <v>0</v>
      </c>
      <c r="P2465" s="1" t="n">
        <v>0</v>
      </c>
      <c r="Q2465" s="1" t="n">
        <v>22999</v>
      </c>
      <c r="R2465" s="1" t="n">
        <v>4139.82</v>
      </c>
      <c r="S2465" s="1" t="n">
        <v>18859.18</v>
      </c>
      <c r="T2465" s="1" t="n">
        <v>8764.78</v>
      </c>
      <c r="U2465" s="1" t="n">
        <v>10094.4</v>
      </c>
      <c r="V2465" s="1" t="n">
        <v>53.53</v>
      </c>
      <c r="W2465" s="1" t="s">
        <v>40</v>
      </c>
      <c r="Y2465" s="1" t="s">
        <v>40</v>
      </c>
      <c r="Z2465" s="1" t="n">
        <v>0</v>
      </c>
      <c r="AA2465" s="1" t="str">
        <f aca="false">TRIM(PROPER(F2465))</f>
        <v>Jaipur</v>
      </c>
      <c r="AB2465" s="1" t="str">
        <f aca="false">TRIM(PROPER(C2465))</f>
        <v>Byju'S</v>
      </c>
      <c r="AC2465" s="1" t="str">
        <f aca="false">IF(O2465=0,"No Discount",IF(O2465&lt;=15,"Low (1-15%)",IF(O2465&lt;=30,"Medium (16-30%)","High (&gt;30%)")))</f>
        <v>No Discount</v>
      </c>
      <c r="AD2465" s="1" t="str">
        <f aca="false">IF(V2465&lt;0,"Loss Making",IF(V2465&lt;20,"Low Margin","Healthy Margin"))</f>
        <v>Healthy Margin</v>
      </c>
      <c r="AE2465" s="1" t="str">
        <f aca="false">TEXT(DATE(VALUE(RIGHT(B2465,4)),VALUE(MID(B2465,4,2)),VALUE(LEFT(B2465,2))),"MMM-YYYY")</f>
        <v>Jul-2023</v>
      </c>
      <c r="AF2465" s="1" t="n">
        <f aca="false">VALUE(RIGHT(B2465,4))</f>
        <v>2023</v>
      </c>
      <c r="AG2465" s="1" t="str">
        <f aca="false">CHOOSE(ROUNDUP(VALUE(MID(B2465,4,2))/3,0),"Q1","Q2","Q3","Q4")</f>
        <v>Q3</v>
      </c>
    </row>
    <row r="2466" customFormat="false" ht="15" hidden="false" customHeight="true" outlineLevel="0" collapsed="false">
      <c r="A2466" s="1" t="s">
        <v>3339</v>
      </c>
      <c r="B2466" s="1" t="s">
        <v>2987</v>
      </c>
      <c r="C2466" s="1" t="s">
        <v>28</v>
      </c>
      <c r="D2466" s="1" t="s">
        <v>143</v>
      </c>
      <c r="E2466" s="1" t="s">
        <v>162</v>
      </c>
      <c r="F2466" s="1" t="s">
        <v>156</v>
      </c>
      <c r="G2466" s="1" t="s">
        <v>68</v>
      </c>
      <c r="H2466" s="1" t="s">
        <v>57</v>
      </c>
      <c r="I2466" s="1" t="s">
        <v>34</v>
      </c>
      <c r="J2466" s="1" t="s">
        <v>70</v>
      </c>
      <c r="K2466" s="1" t="s">
        <v>84</v>
      </c>
      <c r="L2466" s="1" t="s">
        <v>61</v>
      </c>
      <c r="M2466" s="1" t="s">
        <v>62</v>
      </c>
      <c r="N2466" s="1" t="n">
        <v>14999</v>
      </c>
      <c r="O2466" s="1" t="n">
        <v>50</v>
      </c>
      <c r="P2466" s="1" t="n">
        <v>7499.5</v>
      </c>
      <c r="Q2466" s="1" t="n">
        <v>7499.5</v>
      </c>
      <c r="R2466" s="1" t="n">
        <v>1349.91</v>
      </c>
      <c r="S2466" s="1" t="n">
        <v>6149.59</v>
      </c>
      <c r="T2466" s="1" t="n">
        <v>3217.67</v>
      </c>
      <c r="U2466" s="1" t="n">
        <v>2931.92</v>
      </c>
      <c r="V2466" s="1" t="n">
        <v>47.68</v>
      </c>
      <c r="W2466" s="1" t="s">
        <v>39</v>
      </c>
      <c r="Y2466" s="1" t="s">
        <v>40</v>
      </c>
      <c r="Z2466" s="1" t="n">
        <v>0</v>
      </c>
      <c r="AA2466" s="1" t="str">
        <f aca="false">TRIM(PROPER(F2466))</f>
        <v>Surat</v>
      </c>
      <c r="AB2466" s="1" t="str">
        <f aca="false">TRIM(PROPER(C2466))</f>
        <v>Embibe</v>
      </c>
      <c r="AC2466" s="1" t="str">
        <f aca="false">IF(O2466=0,"No Discount",IF(O2466&lt;=15,"Low (1-15%)",IF(O2466&lt;=30,"Medium (16-30%)","High (&gt;30%)")))</f>
        <v>High (&gt;30%)</v>
      </c>
      <c r="AD2466" s="1" t="str">
        <f aca="false">IF(V2466&lt;0,"Loss Making",IF(V2466&lt;20,"Low Margin","Healthy Margin"))</f>
        <v>Healthy Margin</v>
      </c>
      <c r="AE2466" s="1" t="str">
        <f aca="false">TEXT(DATE(VALUE(RIGHT(B2466,4)),VALUE(MID(B2466,4,2)),VALUE(LEFT(B2466,2))),"MMM-YYYY")</f>
        <v>Feb-2023</v>
      </c>
      <c r="AF2466" s="1" t="n">
        <f aca="false">VALUE(RIGHT(B2466,4))</f>
        <v>2023</v>
      </c>
      <c r="AG2466" s="1" t="str">
        <f aca="false">CHOOSE(ROUNDUP(VALUE(MID(B2466,4,2))/3,0),"Q1","Q2","Q3","Q4")</f>
        <v>Q1</v>
      </c>
    </row>
    <row r="2467" customFormat="false" ht="15" hidden="false" customHeight="true" outlineLevel="0" collapsed="false">
      <c r="A2467" s="1" t="s">
        <v>3340</v>
      </c>
      <c r="B2467" s="1" t="s">
        <v>2394</v>
      </c>
      <c r="C2467" s="1" t="s">
        <v>43</v>
      </c>
      <c r="D2467" s="1" t="s">
        <v>123</v>
      </c>
      <c r="E2467" s="1" t="s">
        <v>124</v>
      </c>
      <c r="F2467" s="1" t="s">
        <v>130</v>
      </c>
      <c r="G2467" s="1" t="s">
        <v>47</v>
      </c>
      <c r="H2467" s="1" t="s">
        <v>69</v>
      </c>
      <c r="I2467" s="1" t="s">
        <v>34</v>
      </c>
      <c r="J2467" s="1" t="s">
        <v>77</v>
      </c>
      <c r="K2467" s="1" t="s">
        <v>112</v>
      </c>
      <c r="L2467" s="1" t="s">
        <v>113</v>
      </c>
      <c r="M2467" s="1" t="s">
        <v>38</v>
      </c>
      <c r="N2467" s="1" t="n">
        <v>4999</v>
      </c>
      <c r="O2467" s="1" t="n">
        <v>20</v>
      </c>
      <c r="P2467" s="1" t="n">
        <v>999.8</v>
      </c>
      <c r="Q2467" s="1" t="n">
        <v>3999.2</v>
      </c>
      <c r="R2467" s="1" t="n">
        <v>719.86</v>
      </c>
      <c r="S2467" s="1" t="n">
        <v>3279.34</v>
      </c>
      <c r="T2467" s="1" t="n">
        <v>1364.65</v>
      </c>
      <c r="U2467" s="1" t="n">
        <v>1914.69</v>
      </c>
      <c r="V2467" s="1" t="n">
        <v>58.39</v>
      </c>
      <c r="W2467" s="1" t="s">
        <v>40</v>
      </c>
      <c r="Y2467" s="1" t="s">
        <v>39</v>
      </c>
      <c r="Z2467" s="1" t="n">
        <v>1</v>
      </c>
      <c r="AA2467" s="1" t="str">
        <f aca="false">TRIM(PROPER(F2467))</f>
        <v>Bengaluru</v>
      </c>
      <c r="AB2467" s="1" t="str">
        <f aca="false">TRIM(PROPER(C2467))</f>
        <v>Meritnation</v>
      </c>
      <c r="AC2467" s="1" t="str">
        <f aca="false">IF(O2467=0,"No Discount",IF(O2467&lt;=15,"Low (1-15%)",IF(O2467&lt;=30,"Medium (16-30%)","High (&gt;30%)")))</f>
        <v>Medium (16-30%)</v>
      </c>
      <c r="AD2467" s="1" t="str">
        <f aca="false">IF(V2467&lt;0,"Loss Making",IF(V2467&lt;20,"Low Margin","Healthy Margin"))</f>
        <v>Healthy Margin</v>
      </c>
      <c r="AE2467" s="1" t="str">
        <f aca="false">TEXT(DATE(VALUE(RIGHT(B2467,4)),VALUE(MID(B2467,4,2)),VALUE(LEFT(B2467,2))),"MMM-YYYY")</f>
        <v>May-2024</v>
      </c>
      <c r="AF2467" s="1" t="n">
        <f aca="false">VALUE(RIGHT(B2467,4))</f>
        <v>2024</v>
      </c>
      <c r="AG2467" s="1" t="str">
        <f aca="false">CHOOSE(ROUNDUP(VALUE(MID(B2467,4,2))/3,0),"Q1","Q2","Q3","Q4")</f>
        <v>Q2</v>
      </c>
    </row>
    <row r="2468" customFormat="false" ht="15" hidden="false" customHeight="true" outlineLevel="0" collapsed="false">
      <c r="A2468" s="1" t="s">
        <v>3341</v>
      </c>
      <c r="B2468" s="1" t="s">
        <v>760</v>
      </c>
      <c r="C2468" s="1" t="s">
        <v>100</v>
      </c>
      <c r="D2468" s="1" t="s">
        <v>44</v>
      </c>
      <c r="E2468" s="1" t="s">
        <v>66</v>
      </c>
      <c r="F2468" s="1" t="s">
        <v>194</v>
      </c>
      <c r="G2468" s="1" t="s">
        <v>103</v>
      </c>
      <c r="H2468" s="1" t="s">
        <v>69</v>
      </c>
      <c r="I2468" s="1" t="s">
        <v>58</v>
      </c>
      <c r="J2468" s="1" t="s">
        <v>77</v>
      </c>
      <c r="K2468" s="1" t="s">
        <v>84</v>
      </c>
      <c r="L2468" s="1" t="s">
        <v>85</v>
      </c>
      <c r="M2468" s="1" t="s">
        <v>50</v>
      </c>
      <c r="N2468" s="1" t="n">
        <v>12999</v>
      </c>
      <c r="O2468" s="1" t="n">
        <v>30</v>
      </c>
      <c r="P2468" s="1" t="n">
        <v>3899.7</v>
      </c>
      <c r="Q2468" s="1" t="n">
        <v>9099.3</v>
      </c>
      <c r="R2468" s="1" t="n">
        <v>1637.87</v>
      </c>
      <c r="S2468" s="1" t="n">
        <v>7461.43</v>
      </c>
      <c r="T2468" s="1" t="n">
        <v>3141.52</v>
      </c>
      <c r="U2468" s="1" t="n">
        <v>4319.91</v>
      </c>
      <c r="V2468" s="1" t="n">
        <v>57.9</v>
      </c>
      <c r="W2468" s="1" t="s">
        <v>39</v>
      </c>
      <c r="X2468" s="1" t="n">
        <v>4.1</v>
      </c>
      <c r="Y2468" s="1" t="s">
        <v>40</v>
      </c>
      <c r="Z2468" s="1" t="n">
        <v>0</v>
      </c>
      <c r="AA2468" s="1" t="str">
        <f aca="false">TRIM(PROPER(F2468))</f>
        <v>Hyderabad</v>
      </c>
      <c r="AB2468" s="1" t="str">
        <f aca="false">TRIM(PROPER(C2468))</f>
        <v>Physics Wallah</v>
      </c>
      <c r="AC2468" s="1" t="str">
        <f aca="false">IF(O2468=0,"No Discount",IF(O2468&lt;=15,"Low (1-15%)",IF(O2468&lt;=30,"Medium (16-30%)","High (&gt;30%)")))</f>
        <v>Medium (16-30%)</v>
      </c>
      <c r="AD2468" s="1" t="str">
        <f aca="false">IF(V2468&lt;0,"Loss Making",IF(V2468&lt;20,"Low Margin","Healthy Margin"))</f>
        <v>Healthy Margin</v>
      </c>
      <c r="AE2468" s="1" t="str">
        <f aca="false">TEXT(DATE(VALUE(RIGHT(B2468,4)),VALUE(MID(B2468,4,2)),VALUE(LEFT(B2468,2))),"MMM-YYYY")</f>
        <v>Dec-2024</v>
      </c>
      <c r="AF2468" s="1" t="n">
        <f aca="false">VALUE(RIGHT(B2468,4))</f>
        <v>2024</v>
      </c>
      <c r="AG2468" s="1" t="str">
        <f aca="false">CHOOSE(ROUNDUP(VALUE(MID(B2468,4,2))/3,0),"Q1","Q2","Q3","Q4")</f>
        <v>Q4</v>
      </c>
    </row>
    <row r="2469" customFormat="false" ht="15" hidden="false" customHeight="true" outlineLevel="0" collapsed="false">
      <c r="A2469" s="1" t="s">
        <v>3342</v>
      </c>
      <c r="B2469" s="1" t="s">
        <v>3343</v>
      </c>
      <c r="C2469" s="1" t="s">
        <v>139</v>
      </c>
      <c r="D2469" s="1" t="s">
        <v>168</v>
      </c>
      <c r="E2469" s="1" t="s">
        <v>328</v>
      </c>
      <c r="F2469" s="1" t="s">
        <v>269</v>
      </c>
      <c r="G2469" s="1" t="s">
        <v>108</v>
      </c>
      <c r="H2469" s="1" t="s">
        <v>57</v>
      </c>
      <c r="I2469" s="1" t="s">
        <v>34</v>
      </c>
      <c r="J2469" s="1" t="s">
        <v>70</v>
      </c>
      <c r="K2469" s="1" t="s">
        <v>104</v>
      </c>
      <c r="L2469" s="1" t="s">
        <v>49</v>
      </c>
      <c r="M2469" s="1" t="s">
        <v>62</v>
      </c>
      <c r="N2469" s="1" t="n">
        <v>8999</v>
      </c>
      <c r="O2469" s="1" t="n">
        <v>20</v>
      </c>
      <c r="P2469" s="1" t="n">
        <v>1799.8</v>
      </c>
      <c r="Q2469" s="1" t="n">
        <v>7199.2</v>
      </c>
      <c r="R2469" s="1" t="n">
        <v>1295.86</v>
      </c>
      <c r="S2469" s="1" t="n">
        <v>5903.34</v>
      </c>
      <c r="T2469" s="1" t="n">
        <v>2666.55</v>
      </c>
      <c r="U2469" s="1" t="n">
        <v>3236.79</v>
      </c>
      <c r="V2469" s="1" t="n">
        <v>54.83</v>
      </c>
      <c r="W2469" s="1" t="s">
        <v>39</v>
      </c>
      <c r="X2469" s="1" t="n">
        <v>3.9</v>
      </c>
      <c r="Y2469" s="1" t="s">
        <v>40</v>
      </c>
      <c r="Z2469" s="1" t="n">
        <v>0</v>
      </c>
      <c r="AA2469" s="1" t="str">
        <f aca="false">TRIM(PROPER(F2469))</f>
        <v>Coimbatore</v>
      </c>
      <c r="AB2469" s="1" t="str">
        <f aca="false">TRIM(PROPER(C2469))</f>
        <v>Extramarks</v>
      </c>
      <c r="AC2469" s="1" t="str">
        <f aca="false">IF(O2469=0,"No Discount",IF(O2469&lt;=15,"Low (1-15%)",IF(O2469&lt;=30,"Medium (16-30%)","High (&gt;30%)")))</f>
        <v>Medium (16-30%)</v>
      </c>
      <c r="AD2469" s="1" t="str">
        <f aca="false">IF(V2469&lt;0,"Loss Making",IF(V2469&lt;20,"Low Margin","Healthy Margin"))</f>
        <v>Healthy Margin</v>
      </c>
      <c r="AE2469" s="1" t="str">
        <f aca="false">TEXT(DATE(VALUE(RIGHT(B2469,4)),VALUE(MID(B2469,4,2)),VALUE(LEFT(B2469,2))),"MMM-YYYY")</f>
        <v>Aug-2023</v>
      </c>
      <c r="AF2469" s="1" t="n">
        <f aca="false">VALUE(RIGHT(B2469,4))</f>
        <v>2023</v>
      </c>
      <c r="AG2469" s="1" t="str">
        <f aca="false">CHOOSE(ROUNDUP(VALUE(MID(B2469,4,2))/3,0),"Q1","Q2","Q3","Q4")</f>
        <v>Q3</v>
      </c>
    </row>
    <row r="2470" customFormat="false" ht="15" hidden="false" customHeight="true" outlineLevel="0" collapsed="false">
      <c r="A2470" s="1" t="s">
        <v>3344</v>
      </c>
      <c r="B2470" s="1" t="s">
        <v>273</v>
      </c>
      <c r="C2470" s="1" t="s">
        <v>28</v>
      </c>
      <c r="D2470" s="1" t="s">
        <v>123</v>
      </c>
      <c r="E2470" s="1" t="s">
        <v>233</v>
      </c>
      <c r="F2470" s="1" t="s">
        <v>75</v>
      </c>
      <c r="G2470" s="1" t="s">
        <v>76</v>
      </c>
      <c r="H2470" s="1" t="s">
        <v>69</v>
      </c>
      <c r="I2470" s="1" t="s">
        <v>34</v>
      </c>
      <c r="J2470" s="1" t="s">
        <v>70</v>
      </c>
      <c r="K2470" s="1" t="s">
        <v>112</v>
      </c>
      <c r="L2470" s="1" t="s">
        <v>61</v>
      </c>
      <c r="M2470" s="1" t="s">
        <v>38</v>
      </c>
      <c r="N2470" s="1" t="n">
        <v>8999</v>
      </c>
      <c r="O2470" s="1" t="n">
        <v>0</v>
      </c>
      <c r="P2470" s="1" t="n">
        <v>0</v>
      </c>
      <c r="Q2470" s="1" t="n">
        <v>8999</v>
      </c>
      <c r="R2470" s="1" t="n">
        <v>1619.82</v>
      </c>
      <c r="S2470" s="1" t="n">
        <v>7379.18</v>
      </c>
      <c r="T2470" s="1" t="n">
        <v>3001.82</v>
      </c>
      <c r="U2470" s="1" t="n">
        <v>4377.36</v>
      </c>
      <c r="V2470" s="1" t="n">
        <v>59.32</v>
      </c>
      <c r="W2470" s="1" t="s">
        <v>39</v>
      </c>
      <c r="X2470" s="1" t="n">
        <v>3.8</v>
      </c>
      <c r="Y2470" s="1" t="s">
        <v>40</v>
      </c>
      <c r="Z2470" s="1" t="n">
        <v>0</v>
      </c>
      <c r="AA2470" s="1" t="str">
        <f aca="false">TRIM(PROPER(F2470))</f>
        <v>Kolkata</v>
      </c>
      <c r="AB2470" s="1" t="str">
        <f aca="false">TRIM(PROPER(C2470))</f>
        <v>Embibe</v>
      </c>
      <c r="AC2470" s="1" t="str">
        <f aca="false">IF(O2470=0,"No Discount",IF(O2470&lt;=15,"Low (1-15%)",IF(O2470&lt;=30,"Medium (16-30%)","High (&gt;30%)")))</f>
        <v>No Discount</v>
      </c>
      <c r="AD2470" s="1" t="str">
        <f aca="false">IF(V2470&lt;0,"Loss Making",IF(V2470&lt;20,"Low Margin","Healthy Margin"))</f>
        <v>Healthy Margin</v>
      </c>
      <c r="AE2470" s="1" t="str">
        <f aca="false">TEXT(DATE(VALUE(RIGHT(B2470,4)),VALUE(MID(B2470,4,2)),VALUE(LEFT(B2470,2))),"MMM-YYYY")</f>
        <v>Apr-2024</v>
      </c>
      <c r="AF2470" s="1" t="n">
        <f aca="false">VALUE(RIGHT(B2470,4))</f>
        <v>2024</v>
      </c>
      <c r="AG2470" s="1" t="str">
        <f aca="false">CHOOSE(ROUNDUP(VALUE(MID(B2470,4,2))/3,0),"Q1","Q2","Q3","Q4")</f>
        <v>Q2</v>
      </c>
    </row>
    <row r="2471" customFormat="false" ht="15" hidden="false" customHeight="true" outlineLevel="0" collapsed="false">
      <c r="A2471" s="1" t="s">
        <v>3345</v>
      </c>
      <c r="B2471" s="1" t="s">
        <v>3346</v>
      </c>
      <c r="C2471" s="1" t="s">
        <v>93</v>
      </c>
      <c r="D2471" s="1" t="s">
        <v>123</v>
      </c>
      <c r="E2471" s="1" t="s">
        <v>233</v>
      </c>
      <c r="F2471" s="1" t="s">
        <v>55</v>
      </c>
      <c r="G2471" s="1" t="s">
        <v>56</v>
      </c>
      <c r="H2471" s="1" t="s">
        <v>57</v>
      </c>
      <c r="I2471" s="1" t="s">
        <v>34</v>
      </c>
      <c r="J2471" s="1" t="s">
        <v>131</v>
      </c>
      <c r="K2471" s="1" t="s">
        <v>84</v>
      </c>
      <c r="L2471" s="1" t="s">
        <v>85</v>
      </c>
      <c r="M2471" s="1" t="s">
        <v>38</v>
      </c>
      <c r="N2471" s="1" t="n">
        <v>8999</v>
      </c>
      <c r="O2471" s="1" t="n">
        <v>40</v>
      </c>
      <c r="P2471" s="1" t="n">
        <v>3599.6</v>
      </c>
      <c r="Q2471" s="1" t="n">
        <v>5399.4</v>
      </c>
      <c r="R2471" s="1" t="n">
        <v>971.89</v>
      </c>
      <c r="S2471" s="1" t="n">
        <v>4427.51</v>
      </c>
      <c r="T2471" s="1" t="n">
        <v>2509.81</v>
      </c>
      <c r="U2471" s="1" t="n">
        <v>1917.7</v>
      </c>
      <c r="V2471" s="1" t="n">
        <v>43.31</v>
      </c>
      <c r="W2471" s="1" t="s">
        <v>39</v>
      </c>
      <c r="X2471" s="1" t="n">
        <v>3.7</v>
      </c>
      <c r="Y2471" s="1" t="s">
        <v>40</v>
      </c>
      <c r="Z2471" s="1" t="n">
        <v>0</v>
      </c>
      <c r="AA2471" s="1" t="str">
        <f aca="false">TRIM(PROPER(F2471))</f>
        <v>Ghaziabad</v>
      </c>
      <c r="AB2471" s="1" t="str">
        <f aca="false">TRIM(PROPER(C2471))</f>
        <v>Upgrad</v>
      </c>
      <c r="AC2471" s="1" t="str">
        <f aca="false">IF(O2471=0,"No Discount",IF(O2471&lt;=15,"Low (1-15%)",IF(O2471&lt;=30,"Medium (16-30%)","High (&gt;30%)")))</f>
        <v>High (&gt;30%)</v>
      </c>
      <c r="AD2471" s="1" t="str">
        <f aca="false">IF(V2471&lt;0,"Loss Making",IF(V2471&lt;20,"Low Margin","Healthy Margin"))</f>
        <v>Healthy Margin</v>
      </c>
      <c r="AE2471" s="1" t="str">
        <f aca="false">TEXT(DATE(VALUE(RIGHT(B2471,4)),VALUE(MID(B2471,4,2)),VALUE(LEFT(B2471,2))),"MMM-YYYY")</f>
        <v>Jul-2024</v>
      </c>
      <c r="AF2471" s="1" t="n">
        <f aca="false">VALUE(RIGHT(B2471,4))</f>
        <v>2024</v>
      </c>
      <c r="AG2471" s="1" t="str">
        <f aca="false">CHOOSE(ROUNDUP(VALUE(MID(B2471,4,2))/3,0),"Q1","Q2","Q3","Q4")</f>
        <v>Q3</v>
      </c>
    </row>
    <row r="2472" customFormat="false" ht="15" hidden="false" customHeight="true" outlineLevel="0" collapsed="false">
      <c r="A2472" s="1" t="s">
        <v>3347</v>
      </c>
      <c r="B2472" s="1" t="s">
        <v>878</v>
      </c>
      <c r="C2472" s="1" t="s">
        <v>88</v>
      </c>
      <c r="D2472" s="1" t="s">
        <v>44</v>
      </c>
      <c r="E2472" s="1" t="s">
        <v>221</v>
      </c>
      <c r="F2472" s="1" t="s">
        <v>244</v>
      </c>
      <c r="G2472" s="1" t="s">
        <v>97</v>
      </c>
      <c r="H2472" s="1" t="s">
        <v>57</v>
      </c>
      <c r="I2472" s="1" t="s">
        <v>83</v>
      </c>
      <c r="J2472" s="1" t="s">
        <v>131</v>
      </c>
      <c r="K2472" s="1" t="s">
        <v>36</v>
      </c>
      <c r="L2472" s="1" t="s">
        <v>61</v>
      </c>
      <c r="M2472" s="1" t="s">
        <v>50</v>
      </c>
      <c r="N2472" s="1" t="n">
        <v>16999</v>
      </c>
      <c r="O2472" s="1" t="n">
        <v>0</v>
      </c>
      <c r="P2472" s="1" t="n">
        <v>0</v>
      </c>
      <c r="Q2472" s="1" t="n">
        <v>16999</v>
      </c>
      <c r="R2472" s="1" t="n">
        <v>3059.82</v>
      </c>
      <c r="S2472" s="1" t="n">
        <v>13939.18</v>
      </c>
      <c r="T2472" s="1" t="n">
        <v>7079.18</v>
      </c>
      <c r="U2472" s="1" t="n">
        <v>6860</v>
      </c>
      <c r="V2472" s="1" t="n">
        <v>49.21</v>
      </c>
      <c r="W2472" s="1" t="s">
        <v>40</v>
      </c>
      <c r="Y2472" s="1" t="s">
        <v>40</v>
      </c>
      <c r="Z2472" s="1" t="n">
        <v>1</v>
      </c>
      <c r="AA2472" s="1" t="str">
        <f aca="false">TRIM(PROPER(F2472))</f>
        <v>Nagpur</v>
      </c>
      <c r="AB2472" s="1" t="str">
        <f aca="false">TRIM(PROPER(C2472))</f>
        <v>Byju'S</v>
      </c>
      <c r="AC2472" s="1" t="str">
        <f aca="false">IF(O2472=0,"No Discount",IF(O2472&lt;=15,"Low (1-15%)",IF(O2472&lt;=30,"Medium (16-30%)","High (&gt;30%)")))</f>
        <v>No Discount</v>
      </c>
      <c r="AD2472" s="1" t="str">
        <f aca="false">IF(V2472&lt;0,"Loss Making",IF(V2472&lt;20,"Low Margin","Healthy Margin"))</f>
        <v>Healthy Margin</v>
      </c>
      <c r="AE2472" s="1" t="str">
        <f aca="false">TEXT(DATE(VALUE(RIGHT(B2472,4)),VALUE(MID(B2472,4,2)),VALUE(LEFT(B2472,2))),"MMM-YYYY")</f>
        <v>Aug-2024</v>
      </c>
      <c r="AF2472" s="1" t="n">
        <f aca="false">VALUE(RIGHT(B2472,4))</f>
        <v>2024</v>
      </c>
      <c r="AG2472" s="1" t="str">
        <f aca="false">CHOOSE(ROUNDUP(VALUE(MID(B2472,4,2))/3,0),"Q1","Q2","Q3","Q4")</f>
        <v>Q3</v>
      </c>
    </row>
    <row r="2473" customFormat="false" ht="15" hidden="false" customHeight="true" outlineLevel="0" collapsed="false">
      <c r="A2473" s="1" t="s">
        <v>3348</v>
      </c>
      <c r="B2473" s="1" t="s">
        <v>196</v>
      </c>
      <c r="C2473" s="1" t="s">
        <v>74</v>
      </c>
      <c r="D2473" s="1" t="s">
        <v>143</v>
      </c>
      <c r="E2473" s="1" t="s">
        <v>243</v>
      </c>
      <c r="F2473" s="1" t="s">
        <v>211</v>
      </c>
      <c r="G2473" s="1" t="s">
        <v>56</v>
      </c>
      <c r="H2473" s="1" t="s">
        <v>69</v>
      </c>
      <c r="I2473" s="1" t="s">
        <v>58</v>
      </c>
      <c r="J2473" s="1" t="s">
        <v>77</v>
      </c>
      <c r="K2473" s="1" t="s">
        <v>112</v>
      </c>
      <c r="L2473" s="1" t="s">
        <v>61</v>
      </c>
      <c r="M2473" s="1" t="s">
        <v>38</v>
      </c>
      <c r="N2473" s="1" t="n">
        <v>22999</v>
      </c>
      <c r="O2473" s="1" t="n">
        <v>0</v>
      </c>
      <c r="P2473" s="1" t="n">
        <v>0</v>
      </c>
      <c r="Q2473" s="1" t="n">
        <v>22999</v>
      </c>
      <c r="R2473" s="1" t="n">
        <v>4139.82</v>
      </c>
      <c r="S2473" s="1" t="n">
        <v>18859.18</v>
      </c>
      <c r="T2473" s="1" t="n">
        <v>8261.9</v>
      </c>
      <c r="U2473" s="1" t="n">
        <v>10597.28</v>
      </c>
      <c r="V2473" s="1" t="n">
        <v>56.19</v>
      </c>
      <c r="W2473" s="1" t="s">
        <v>39</v>
      </c>
      <c r="X2473" s="1" t="n">
        <v>3.1</v>
      </c>
      <c r="Y2473" s="1" t="s">
        <v>40</v>
      </c>
      <c r="Z2473" s="1" t="n">
        <v>1</v>
      </c>
      <c r="AA2473" s="1" t="str">
        <f aca="false">TRIM(PROPER(F2473))</f>
        <v>Noida</v>
      </c>
      <c r="AB2473" s="1" t="str">
        <f aca="false">TRIM(PROPER(C2473))</f>
        <v>Vedantu</v>
      </c>
      <c r="AC2473" s="1" t="str">
        <f aca="false">IF(O2473=0,"No Discount",IF(O2473&lt;=15,"Low (1-15%)",IF(O2473&lt;=30,"Medium (16-30%)","High (&gt;30%)")))</f>
        <v>No Discount</v>
      </c>
      <c r="AD2473" s="1" t="str">
        <f aca="false">IF(V2473&lt;0,"Loss Making",IF(V2473&lt;20,"Low Margin","Healthy Margin"))</f>
        <v>Healthy Margin</v>
      </c>
      <c r="AE2473" s="1" t="str">
        <f aca="false">TEXT(DATE(VALUE(RIGHT(B2473,4)),VALUE(MID(B2473,4,2)),VALUE(LEFT(B2473,2))),"MMM-YYYY")</f>
        <v>Mar-2024</v>
      </c>
      <c r="AF2473" s="1" t="n">
        <f aca="false">VALUE(RIGHT(B2473,4))</f>
        <v>2024</v>
      </c>
      <c r="AG2473" s="1" t="str">
        <f aca="false">CHOOSE(ROUNDUP(VALUE(MID(B2473,4,2))/3,0),"Q1","Q2","Q3","Q4")</f>
        <v>Q1</v>
      </c>
    </row>
    <row r="2474" customFormat="false" ht="15" hidden="false" customHeight="true" outlineLevel="0" collapsed="false">
      <c r="A2474" s="1" t="s">
        <v>3349</v>
      </c>
      <c r="B2474" s="1" t="s">
        <v>352</v>
      </c>
      <c r="C2474" s="1" t="s">
        <v>74</v>
      </c>
      <c r="D2474" s="1" t="s">
        <v>29</v>
      </c>
      <c r="E2474" s="1" t="s">
        <v>30</v>
      </c>
      <c r="F2474" s="1" t="s">
        <v>153</v>
      </c>
      <c r="G2474" s="1" t="s">
        <v>76</v>
      </c>
      <c r="H2474" s="1" t="s">
        <v>33</v>
      </c>
      <c r="I2474" s="1" t="s">
        <v>83</v>
      </c>
      <c r="J2474" s="1" t="s">
        <v>59</v>
      </c>
      <c r="K2474" s="1" t="s">
        <v>112</v>
      </c>
      <c r="L2474" s="1" t="s">
        <v>61</v>
      </c>
      <c r="M2474" s="1" t="s">
        <v>50</v>
      </c>
      <c r="N2474" s="1" t="n">
        <v>7999</v>
      </c>
      <c r="O2474" s="1" t="n">
        <v>30</v>
      </c>
      <c r="P2474" s="1" t="n">
        <v>2399.7</v>
      </c>
      <c r="Q2474" s="1" t="n">
        <v>5599.3</v>
      </c>
      <c r="R2474" s="1" t="n">
        <v>1007.87</v>
      </c>
      <c r="S2474" s="1" t="n">
        <v>4591.43</v>
      </c>
      <c r="T2474" s="1" t="n">
        <v>1823.82</v>
      </c>
      <c r="U2474" s="1" t="n">
        <v>2767.61</v>
      </c>
      <c r="V2474" s="1" t="n">
        <v>60.28</v>
      </c>
      <c r="W2474" s="1" t="s">
        <v>39</v>
      </c>
      <c r="Y2474" s="1" t="s">
        <v>40</v>
      </c>
      <c r="Z2474" s="1" t="n">
        <v>1</v>
      </c>
      <c r="AA2474" s="1" t="str">
        <f aca="false">TRIM(PROPER(F2474))</f>
        <v>Howrah</v>
      </c>
      <c r="AB2474" s="1" t="str">
        <f aca="false">TRIM(PROPER(C2474))</f>
        <v>Vedantu</v>
      </c>
      <c r="AC2474" s="1" t="str">
        <f aca="false">IF(O2474=0,"No Discount",IF(O2474&lt;=15,"Low (1-15%)",IF(O2474&lt;=30,"Medium (16-30%)","High (&gt;30%)")))</f>
        <v>Medium (16-30%)</v>
      </c>
      <c r="AD2474" s="1" t="str">
        <f aca="false">IF(V2474&lt;0,"Loss Making",IF(V2474&lt;20,"Low Margin","Healthy Margin"))</f>
        <v>Healthy Margin</v>
      </c>
      <c r="AE2474" s="1" t="str">
        <f aca="false">TEXT(DATE(VALUE(RIGHT(B2474,4)),VALUE(MID(B2474,4,2)),VALUE(LEFT(B2474,2))),"MMM-YYYY")</f>
        <v>Jul-2024</v>
      </c>
      <c r="AF2474" s="1" t="n">
        <f aca="false">VALUE(RIGHT(B2474,4))</f>
        <v>2024</v>
      </c>
      <c r="AG2474" s="1" t="str">
        <f aca="false">CHOOSE(ROUNDUP(VALUE(MID(B2474,4,2))/3,0),"Q1","Q2","Q3","Q4")</f>
        <v>Q3</v>
      </c>
    </row>
    <row r="2475" customFormat="false" ht="15" hidden="false" customHeight="true" outlineLevel="0" collapsed="false">
      <c r="A2475" s="1" t="s">
        <v>3350</v>
      </c>
      <c r="B2475" s="1" t="s">
        <v>522</v>
      </c>
      <c r="C2475" s="1" t="s">
        <v>264</v>
      </c>
      <c r="D2475" s="1" t="s">
        <v>53</v>
      </c>
      <c r="E2475" s="1" t="s">
        <v>116</v>
      </c>
      <c r="F2475" s="1" t="s">
        <v>55</v>
      </c>
      <c r="G2475" s="1" t="s">
        <v>56</v>
      </c>
      <c r="H2475" s="1" t="s">
        <v>57</v>
      </c>
      <c r="I2475" s="1" t="s">
        <v>34</v>
      </c>
      <c r="J2475" s="1" t="s">
        <v>59</v>
      </c>
      <c r="K2475" s="1" t="s">
        <v>84</v>
      </c>
      <c r="L2475" s="1" t="s">
        <v>113</v>
      </c>
      <c r="M2475" s="1" t="s">
        <v>62</v>
      </c>
      <c r="N2475" s="1" t="n">
        <v>9999</v>
      </c>
      <c r="O2475" s="1" t="n">
        <v>25</v>
      </c>
      <c r="P2475" s="1" t="n">
        <v>2499.75</v>
      </c>
      <c r="Q2475" s="1" t="n">
        <v>7499.25</v>
      </c>
      <c r="R2475" s="1" t="n">
        <v>1349.87</v>
      </c>
      <c r="S2475" s="1" t="n">
        <v>6149.38</v>
      </c>
      <c r="T2475" s="1" t="n">
        <v>3004.2</v>
      </c>
      <c r="U2475" s="1" t="n">
        <v>3145.18</v>
      </c>
      <c r="V2475" s="1" t="n">
        <v>51.15</v>
      </c>
      <c r="W2475" s="1" t="s">
        <v>40</v>
      </c>
      <c r="Y2475" s="1" t="s">
        <v>40</v>
      </c>
      <c r="Z2475" s="1" t="n">
        <v>1</v>
      </c>
      <c r="AA2475" s="1" t="str">
        <f aca="false">TRIM(PROPER(F2475))</f>
        <v>Ghaziabad</v>
      </c>
      <c r="AB2475" s="1" t="str">
        <f aca="false">TRIM(PROPER(C2475))</f>
        <v>Unacademy</v>
      </c>
      <c r="AC2475" s="1" t="str">
        <f aca="false">IF(O2475=0,"No Discount",IF(O2475&lt;=15,"Low (1-15%)",IF(O2475&lt;=30,"Medium (16-30%)","High (&gt;30%)")))</f>
        <v>Medium (16-30%)</v>
      </c>
      <c r="AD2475" s="1" t="str">
        <f aca="false">IF(V2475&lt;0,"Loss Making",IF(V2475&lt;20,"Low Margin","Healthy Margin"))</f>
        <v>Healthy Margin</v>
      </c>
      <c r="AE2475" s="1" t="str">
        <f aca="false">TEXT(DATE(VALUE(RIGHT(B2475,4)),VALUE(MID(B2475,4,2)),VALUE(LEFT(B2475,2))),"MMM-YYYY")</f>
        <v>Dec-2023</v>
      </c>
      <c r="AF2475" s="1" t="n">
        <f aca="false">VALUE(RIGHT(B2475,4))</f>
        <v>2023</v>
      </c>
      <c r="AG2475" s="1" t="str">
        <f aca="false">CHOOSE(ROUNDUP(VALUE(MID(B2475,4,2))/3,0),"Q1","Q2","Q3","Q4")</f>
        <v>Q4</v>
      </c>
    </row>
    <row r="2476" customFormat="false" ht="15" hidden="false" customHeight="true" outlineLevel="0" collapsed="false">
      <c r="A2476" s="1" t="s">
        <v>3351</v>
      </c>
      <c r="B2476" s="1" t="s">
        <v>673</v>
      </c>
      <c r="C2476" s="1" t="s">
        <v>74</v>
      </c>
      <c r="D2476" s="1" t="s">
        <v>44</v>
      </c>
      <c r="E2476" s="1" t="s">
        <v>66</v>
      </c>
      <c r="F2476" s="1" t="s">
        <v>125</v>
      </c>
      <c r="G2476" s="1" t="s">
        <v>108</v>
      </c>
      <c r="H2476" s="1" t="s">
        <v>69</v>
      </c>
      <c r="I2476" s="1" t="s">
        <v>34</v>
      </c>
      <c r="J2476" s="1" t="s">
        <v>77</v>
      </c>
      <c r="K2476" s="1" t="s">
        <v>84</v>
      </c>
      <c r="L2476" s="1" t="s">
        <v>136</v>
      </c>
      <c r="M2476" s="1" t="s">
        <v>38</v>
      </c>
      <c r="N2476" s="1" t="n">
        <v>12999</v>
      </c>
      <c r="O2476" s="1" t="n">
        <v>25</v>
      </c>
      <c r="P2476" s="1" t="n">
        <v>3249.75</v>
      </c>
      <c r="Q2476" s="1" t="n">
        <v>9749.25</v>
      </c>
      <c r="R2476" s="1" t="n">
        <v>1754.87</v>
      </c>
      <c r="S2476" s="1" t="n">
        <v>7994.38</v>
      </c>
      <c r="T2476" s="1" t="n">
        <v>3777.38</v>
      </c>
      <c r="U2476" s="1" t="n">
        <v>4217</v>
      </c>
      <c r="V2476" s="1" t="n">
        <v>52.75</v>
      </c>
      <c r="W2476" s="1" t="s">
        <v>39</v>
      </c>
      <c r="X2476" s="1" t="n">
        <v>3.3</v>
      </c>
      <c r="Y2476" s="1" t="s">
        <v>40</v>
      </c>
      <c r="Z2476" s="1" t="n">
        <v>1</v>
      </c>
      <c r="AA2476" s="1" t="str">
        <f aca="false">TRIM(PROPER(F2476))</f>
        <v>Chennai</v>
      </c>
      <c r="AB2476" s="1" t="str">
        <f aca="false">TRIM(PROPER(C2476))</f>
        <v>Vedantu</v>
      </c>
      <c r="AC2476" s="1" t="str">
        <f aca="false">IF(O2476=0,"No Discount",IF(O2476&lt;=15,"Low (1-15%)",IF(O2476&lt;=30,"Medium (16-30%)","High (&gt;30%)")))</f>
        <v>Medium (16-30%)</v>
      </c>
      <c r="AD2476" s="1" t="str">
        <f aca="false">IF(V2476&lt;0,"Loss Making",IF(V2476&lt;20,"Low Margin","Healthy Margin"))</f>
        <v>Healthy Margin</v>
      </c>
      <c r="AE2476" s="1" t="str">
        <f aca="false">TEXT(DATE(VALUE(RIGHT(B2476,4)),VALUE(MID(B2476,4,2)),VALUE(LEFT(B2476,2))),"MMM-YYYY")</f>
        <v>Jun-2024</v>
      </c>
      <c r="AF2476" s="1" t="n">
        <f aca="false">VALUE(RIGHT(B2476,4))</f>
        <v>2024</v>
      </c>
      <c r="AG2476" s="1" t="str">
        <f aca="false">CHOOSE(ROUNDUP(VALUE(MID(B2476,4,2))/3,0),"Q1","Q2","Q3","Q4")</f>
        <v>Q2</v>
      </c>
    </row>
    <row r="2477" customFormat="false" ht="15" hidden="false" customHeight="true" outlineLevel="0" collapsed="false">
      <c r="A2477" s="1" t="s">
        <v>3352</v>
      </c>
      <c r="B2477" s="1" t="s">
        <v>906</v>
      </c>
      <c r="C2477" s="1" t="s">
        <v>134</v>
      </c>
      <c r="D2477" s="1" t="s">
        <v>29</v>
      </c>
      <c r="E2477" s="1" t="s">
        <v>129</v>
      </c>
      <c r="F2477" s="1" t="s">
        <v>102</v>
      </c>
      <c r="G2477" s="1" t="s">
        <v>103</v>
      </c>
      <c r="H2477" s="1" t="s">
        <v>33</v>
      </c>
      <c r="I2477" s="1" t="s">
        <v>34</v>
      </c>
      <c r="J2477" s="1" t="s">
        <v>77</v>
      </c>
      <c r="K2477" s="1" t="s">
        <v>60</v>
      </c>
      <c r="L2477" s="1" t="s">
        <v>37</v>
      </c>
      <c r="M2477" s="1" t="s">
        <v>50</v>
      </c>
      <c r="N2477" s="1" t="n">
        <v>29999</v>
      </c>
      <c r="O2477" s="1" t="n">
        <v>50</v>
      </c>
      <c r="P2477" s="1" t="n">
        <v>14999.5</v>
      </c>
      <c r="Q2477" s="1" t="n">
        <v>14999.5</v>
      </c>
      <c r="R2477" s="1" t="n">
        <v>2699.91</v>
      </c>
      <c r="S2477" s="1" t="n">
        <v>12299.59</v>
      </c>
      <c r="T2477" s="1" t="n">
        <v>5365.34</v>
      </c>
      <c r="U2477" s="1" t="n">
        <v>6934.25</v>
      </c>
      <c r="V2477" s="1" t="n">
        <v>56.38</v>
      </c>
      <c r="W2477" s="1" t="s">
        <v>39</v>
      </c>
      <c r="X2477" s="1" t="n">
        <v>4.8</v>
      </c>
      <c r="Y2477" s="1" t="s">
        <v>40</v>
      </c>
      <c r="Z2477" s="1" t="n">
        <v>0</v>
      </c>
      <c r="AA2477" s="1" t="str">
        <f aca="false">TRIM(PROPER(F2477))</f>
        <v>Warangal</v>
      </c>
      <c r="AB2477" s="1" t="str">
        <f aca="false">TRIM(PROPER(C2477))</f>
        <v>Doubtnut</v>
      </c>
      <c r="AC2477" s="1" t="str">
        <f aca="false">IF(O2477=0,"No Discount",IF(O2477&lt;=15,"Low (1-15%)",IF(O2477&lt;=30,"Medium (16-30%)","High (&gt;30%)")))</f>
        <v>High (&gt;30%)</v>
      </c>
      <c r="AD2477" s="1" t="str">
        <f aca="false">IF(V2477&lt;0,"Loss Making",IF(V2477&lt;20,"Low Margin","Healthy Margin"))</f>
        <v>Healthy Margin</v>
      </c>
      <c r="AE2477" s="1" t="str">
        <f aca="false">TEXT(DATE(VALUE(RIGHT(B2477,4)),VALUE(MID(B2477,4,2)),VALUE(LEFT(B2477,2))),"MMM-YYYY")</f>
        <v>Sep-2023</v>
      </c>
      <c r="AF2477" s="1" t="n">
        <f aca="false">VALUE(RIGHT(B2477,4))</f>
        <v>2023</v>
      </c>
      <c r="AG2477" s="1" t="str">
        <f aca="false">CHOOSE(ROUNDUP(VALUE(MID(B2477,4,2))/3,0),"Q1","Q2","Q3","Q4")</f>
        <v>Q3</v>
      </c>
    </row>
    <row r="2478" customFormat="false" ht="15" hidden="false" customHeight="true" outlineLevel="0" collapsed="false">
      <c r="A2478" s="1" t="s">
        <v>3353</v>
      </c>
      <c r="B2478" s="1" t="s">
        <v>410</v>
      </c>
      <c r="C2478" s="1" t="s">
        <v>264</v>
      </c>
      <c r="D2478" s="1" t="s">
        <v>29</v>
      </c>
      <c r="E2478" s="1" t="s">
        <v>305</v>
      </c>
      <c r="F2478" s="1" t="s">
        <v>89</v>
      </c>
      <c r="G2478" s="1" t="s">
        <v>68</v>
      </c>
      <c r="H2478" s="1" t="s">
        <v>33</v>
      </c>
      <c r="I2478" s="1" t="s">
        <v>58</v>
      </c>
      <c r="J2478" s="1" t="s">
        <v>35</v>
      </c>
      <c r="K2478" s="1" t="s">
        <v>84</v>
      </c>
      <c r="L2478" s="1" t="s">
        <v>113</v>
      </c>
      <c r="M2478" s="1" t="s">
        <v>38</v>
      </c>
      <c r="N2478" s="1" t="n">
        <v>24999</v>
      </c>
      <c r="O2478" s="1" t="n">
        <v>5</v>
      </c>
      <c r="P2478" s="1" t="n">
        <v>1249.95</v>
      </c>
      <c r="Q2478" s="1" t="n">
        <v>23749.05</v>
      </c>
      <c r="R2478" s="1" t="n">
        <v>4274.83</v>
      </c>
      <c r="S2478" s="1" t="n">
        <v>19474.22</v>
      </c>
      <c r="T2478" s="1" t="n">
        <v>7501.45</v>
      </c>
      <c r="U2478" s="1" t="n">
        <v>11972.77</v>
      </c>
      <c r="V2478" s="1" t="n">
        <v>61.48</v>
      </c>
      <c r="W2478" s="1" t="s">
        <v>39</v>
      </c>
      <c r="X2478" s="1" t="n">
        <v>4.7</v>
      </c>
      <c r="Y2478" s="1" t="s">
        <v>40</v>
      </c>
      <c r="Z2478" s="1" t="n">
        <v>0</v>
      </c>
      <c r="AA2478" s="1" t="str">
        <f aca="false">TRIM(PROPER(F2478))</f>
        <v>Vadodara</v>
      </c>
      <c r="AB2478" s="1" t="str">
        <f aca="false">TRIM(PROPER(C2478))</f>
        <v>Unacademy</v>
      </c>
      <c r="AC2478" s="1" t="str">
        <f aca="false">IF(O2478=0,"No Discount",IF(O2478&lt;=15,"Low (1-15%)",IF(O2478&lt;=30,"Medium (16-30%)","High (&gt;30%)")))</f>
        <v>Low (1-15%)</v>
      </c>
      <c r="AD2478" s="1" t="str">
        <f aca="false">IF(V2478&lt;0,"Loss Making",IF(V2478&lt;20,"Low Margin","Healthy Margin"))</f>
        <v>Healthy Margin</v>
      </c>
      <c r="AE2478" s="1" t="str">
        <f aca="false">TEXT(DATE(VALUE(RIGHT(B2478,4)),VALUE(MID(B2478,4,2)),VALUE(LEFT(B2478,2))),"MMM-YYYY")</f>
        <v>Feb-2024</v>
      </c>
      <c r="AF2478" s="1" t="n">
        <f aca="false">VALUE(RIGHT(B2478,4))</f>
        <v>2024</v>
      </c>
      <c r="AG2478" s="1" t="str">
        <f aca="false">CHOOSE(ROUNDUP(VALUE(MID(B2478,4,2))/3,0),"Q1","Q2","Q3","Q4")</f>
        <v>Q1</v>
      </c>
    </row>
    <row r="2479" customFormat="false" ht="15" hidden="false" customHeight="true" outlineLevel="0" collapsed="false">
      <c r="A2479" s="1" t="s">
        <v>3354</v>
      </c>
      <c r="B2479" s="1" t="s">
        <v>2657</v>
      </c>
      <c r="C2479" s="1" t="s">
        <v>178</v>
      </c>
      <c r="D2479" s="1" t="s">
        <v>143</v>
      </c>
      <c r="E2479" s="1" t="s">
        <v>144</v>
      </c>
      <c r="F2479" s="1" t="s">
        <v>156</v>
      </c>
      <c r="G2479" s="1" t="s">
        <v>68</v>
      </c>
      <c r="H2479" s="1" t="s">
        <v>57</v>
      </c>
      <c r="I2479" s="1" t="s">
        <v>34</v>
      </c>
      <c r="J2479" s="1" t="s">
        <v>77</v>
      </c>
      <c r="K2479" s="1" t="s">
        <v>84</v>
      </c>
      <c r="L2479" s="1" t="s">
        <v>37</v>
      </c>
      <c r="M2479" s="1" t="s">
        <v>50</v>
      </c>
      <c r="N2479" s="1" t="n">
        <v>12999</v>
      </c>
      <c r="O2479" s="1" t="n">
        <v>0</v>
      </c>
      <c r="P2479" s="1" t="n">
        <v>0</v>
      </c>
      <c r="Q2479" s="1" t="n">
        <v>12999</v>
      </c>
      <c r="R2479" s="1" t="n">
        <v>2339.82</v>
      </c>
      <c r="S2479" s="1" t="n">
        <v>10659.18</v>
      </c>
      <c r="T2479" s="1" t="n">
        <v>5215.43</v>
      </c>
      <c r="U2479" s="1" t="n">
        <v>5443.75</v>
      </c>
      <c r="V2479" s="1" t="n">
        <v>51.07</v>
      </c>
      <c r="W2479" s="1" t="s">
        <v>40</v>
      </c>
      <c r="Y2479" s="1" t="s">
        <v>40</v>
      </c>
      <c r="Z2479" s="1" t="n">
        <v>1</v>
      </c>
      <c r="AA2479" s="1" t="str">
        <f aca="false">TRIM(PROPER(F2479))</f>
        <v>Surat</v>
      </c>
      <c r="AB2479" s="1" t="str">
        <f aca="false">TRIM(PROPER(C2479))</f>
        <v>Leverage Edu</v>
      </c>
      <c r="AC2479" s="1" t="str">
        <f aca="false">IF(O2479=0,"No Discount",IF(O2479&lt;=15,"Low (1-15%)",IF(O2479&lt;=30,"Medium (16-30%)","High (&gt;30%)")))</f>
        <v>No Discount</v>
      </c>
      <c r="AD2479" s="1" t="str">
        <f aca="false">IF(V2479&lt;0,"Loss Making",IF(V2479&lt;20,"Low Margin","Healthy Margin"))</f>
        <v>Healthy Margin</v>
      </c>
      <c r="AE2479" s="1" t="str">
        <f aca="false">TEXT(DATE(VALUE(RIGHT(B2479,4)),VALUE(MID(B2479,4,2)),VALUE(LEFT(B2479,2))),"MMM-YYYY")</f>
        <v>May-2024</v>
      </c>
      <c r="AF2479" s="1" t="n">
        <f aca="false">VALUE(RIGHT(B2479,4))</f>
        <v>2024</v>
      </c>
      <c r="AG2479" s="1" t="str">
        <f aca="false">CHOOSE(ROUNDUP(VALUE(MID(B2479,4,2))/3,0),"Q1","Q2","Q3","Q4")</f>
        <v>Q2</v>
      </c>
    </row>
    <row r="2480" customFormat="false" ht="15" hidden="false" customHeight="true" outlineLevel="0" collapsed="false">
      <c r="A2480" s="1" t="s">
        <v>3355</v>
      </c>
      <c r="B2480" s="1" t="s">
        <v>2352</v>
      </c>
      <c r="C2480" s="1" t="s">
        <v>128</v>
      </c>
      <c r="D2480" s="1" t="s">
        <v>168</v>
      </c>
      <c r="E2480" s="1" t="s">
        <v>197</v>
      </c>
      <c r="F2480" s="1" t="s">
        <v>46</v>
      </c>
      <c r="G2480" s="1" t="s">
        <v>47</v>
      </c>
      <c r="H2480" s="1" t="s">
        <v>33</v>
      </c>
      <c r="I2480" s="1" t="s">
        <v>58</v>
      </c>
      <c r="J2480" s="1" t="s">
        <v>131</v>
      </c>
      <c r="K2480" s="1" t="s">
        <v>104</v>
      </c>
      <c r="L2480" s="1" t="s">
        <v>113</v>
      </c>
      <c r="M2480" s="1" t="s">
        <v>38</v>
      </c>
      <c r="N2480" s="1" t="n">
        <v>8499</v>
      </c>
      <c r="O2480" s="1" t="n">
        <v>10</v>
      </c>
      <c r="P2480" s="1" t="n">
        <v>849.9</v>
      </c>
      <c r="Q2480" s="1" t="n">
        <v>7649.1</v>
      </c>
      <c r="R2480" s="1" t="n">
        <v>1376.84</v>
      </c>
      <c r="S2480" s="1" t="n">
        <v>6272.26</v>
      </c>
      <c r="T2480" s="1" t="n">
        <v>2822.73</v>
      </c>
      <c r="U2480" s="1" t="n">
        <v>3449.53</v>
      </c>
      <c r="V2480" s="1" t="n">
        <v>55</v>
      </c>
      <c r="W2480" s="1" t="s">
        <v>40</v>
      </c>
      <c r="Y2480" s="1" t="s">
        <v>40</v>
      </c>
      <c r="Z2480" s="1" t="n">
        <v>0</v>
      </c>
      <c r="AA2480" s="1" t="str">
        <f aca="false">TRIM(PROPER(F2480))</f>
        <v>Mangaluru</v>
      </c>
      <c r="AB2480" s="1" t="str">
        <f aca="false">TRIM(PROPER(C2480))</f>
        <v>Great Learning</v>
      </c>
      <c r="AC2480" s="1" t="str">
        <f aca="false">IF(O2480=0,"No Discount",IF(O2480&lt;=15,"Low (1-15%)",IF(O2480&lt;=30,"Medium (16-30%)","High (&gt;30%)")))</f>
        <v>Low (1-15%)</v>
      </c>
      <c r="AD2480" s="1" t="str">
        <f aca="false">IF(V2480&lt;0,"Loss Making",IF(V2480&lt;20,"Low Margin","Healthy Margin"))</f>
        <v>Healthy Margin</v>
      </c>
      <c r="AE2480" s="1" t="str">
        <f aca="false">TEXT(DATE(VALUE(RIGHT(B2480,4)),VALUE(MID(B2480,4,2)),VALUE(LEFT(B2480,2))),"MMM-YYYY")</f>
        <v>Sep-2023</v>
      </c>
      <c r="AF2480" s="1" t="n">
        <f aca="false">VALUE(RIGHT(B2480,4))</f>
        <v>2023</v>
      </c>
      <c r="AG2480" s="1" t="str">
        <f aca="false">CHOOSE(ROUNDUP(VALUE(MID(B2480,4,2))/3,0),"Q1","Q2","Q3","Q4")</f>
        <v>Q3</v>
      </c>
    </row>
    <row r="2481" customFormat="false" ht="15" hidden="false" customHeight="true" outlineLevel="0" collapsed="false">
      <c r="A2481" s="1" t="s">
        <v>3356</v>
      </c>
      <c r="B2481" s="1" t="s">
        <v>444</v>
      </c>
      <c r="C2481" s="1" t="s">
        <v>93</v>
      </c>
      <c r="D2481" s="1" t="s">
        <v>94</v>
      </c>
      <c r="E2481" s="1" t="s">
        <v>135</v>
      </c>
      <c r="F2481" s="1" t="s">
        <v>82</v>
      </c>
      <c r="G2481" s="1" t="s">
        <v>56</v>
      </c>
      <c r="H2481" s="1" t="s">
        <v>69</v>
      </c>
      <c r="I2481" s="1" t="s">
        <v>58</v>
      </c>
      <c r="J2481" s="1" t="s">
        <v>59</v>
      </c>
      <c r="K2481" s="1" t="s">
        <v>112</v>
      </c>
      <c r="L2481" s="1" t="s">
        <v>49</v>
      </c>
      <c r="M2481" s="1" t="s">
        <v>50</v>
      </c>
      <c r="N2481" s="1" t="n">
        <v>9999</v>
      </c>
      <c r="O2481" s="1" t="n">
        <v>10</v>
      </c>
      <c r="P2481" s="1" t="n">
        <v>999.9</v>
      </c>
      <c r="Q2481" s="1" t="n">
        <v>8999.1</v>
      </c>
      <c r="R2481" s="1" t="n">
        <v>1619.84</v>
      </c>
      <c r="S2481" s="1" t="n">
        <v>7379.26</v>
      </c>
      <c r="T2481" s="1" t="n">
        <v>3186.85</v>
      </c>
      <c r="U2481" s="1" t="n">
        <v>4192.41</v>
      </c>
      <c r="V2481" s="1" t="n">
        <v>56.81</v>
      </c>
      <c r="W2481" s="1" t="s">
        <v>39</v>
      </c>
      <c r="X2481" s="1" t="n">
        <v>3</v>
      </c>
      <c r="Y2481" s="1" t="s">
        <v>40</v>
      </c>
      <c r="Z2481" s="1" t="n">
        <v>0</v>
      </c>
      <c r="AA2481" s="1" t="str">
        <f aca="false">TRIM(PROPER(F2481))</f>
        <v>Gurugram</v>
      </c>
      <c r="AB2481" s="1" t="str">
        <f aca="false">TRIM(PROPER(C2481))</f>
        <v>Upgrad</v>
      </c>
      <c r="AC2481" s="1" t="str">
        <f aca="false">IF(O2481=0,"No Discount",IF(O2481&lt;=15,"Low (1-15%)",IF(O2481&lt;=30,"Medium (16-30%)","High (&gt;30%)")))</f>
        <v>Low (1-15%)</v>
      </c>
      <c r="AD2481" s="1" t="str">
        <f aca="false">IF(V2481&lt;0,"Loss Making",IF(V2481&lt;20,"Low Margin","Healthy Margin"))</f>
        <v>Healthy Margin</v>
      </c>
      <c r="AE2481" s="1" t="str">
        <f aca="false">TEXT(DATE(VALUE(RIGHT(B2481,4)),VALUE(MID(B2481,4,2)),VALUE(LEFT(B2481,2))),"MMM-YYYY")</f>
        <v>Oct-2024</v>
      </c>
      <c r="AF2481" s="1" t="n">
        <f aca="false">VALUE(RIGHT(B2481,4))</f>
        <v>2024</v>
      </c>
      <c r="AG2481" s="1" t="str">
        <f aca="false">CHOOSE(ROUNDUP(VALUE(MID(B2481,4,2))/3,0),"Q1","Q2","Q3","Q4")</f>
        <v>Q4</v>
      </c>
    </row>
    <row r="2482" customFormat="false" ht="15" hidden="false" customHeight="true" outlineLevel="0" collapsed="false">
      <c r="A2482" s="1" t="s">
        <v>3357</v>
      </c>
      <c r="B2482" s="1" t="s">
        <v>839</v>
      </c>
      <c r="C2482" s="1" t="s">
        <v>249</v>
      </c>
      <c r="D2482" s="1" t="s">
        <v>53</v>
      </c>
      <c r="E2482" s="1" t="s">
        <v>54</v>
      </c>
      <c r="F2482" s="1" t="s">
        <v>120</v>
      </c>
      <c r="G2482" s="1" t="s">
        <v>47</v>
      </c>
      <c r="H2482" s="1" t="s">
        <v>57</v>
      </c>
      <c r="I2482" s="1" t="s">
        <v>58</v>
      </c>
      <c r="J2482" s="1" t="s">
        <v>77</v>
      </c>
      <c r="K2482" s="1" t="s">
        <v>48</v>
      </c>
      <c r="L2482" s="1" t="s">
        <v>49</v>
      </c>
      <c r="M2482" s="1" t="s">
        <v>38</v>
      </c>
      <c r="N2482" s="1" t="n">
        <v>11999</v>
      </c>
      <c r="O2482" s="1" t="n">
        <v>10</v>
      </c>
      <c r="P2482" s="1" t="n">
        <v>1199.9</v>
      </c>
      <c r="Q2482" s="1" t="n">
        <v>10799.1</v>
      </c>
      <c r="R2482" s="1" t="n">
        <v>1943.84</v>
      </c>
      <c r="S2482" s="1" t="n">
        <v>8855.26</v>
      </c>
      <c r="T2482" s="1" t="n">
        <v>3384.07</v>
      </c>
      <c r="U2482" s="1" t="n">
        <v>5471.19</v>
      </c>
      <c r="V2482" s="1" t="n">
        <v>61.78</v>
      </c>
      <c r="W2482" s="1" t="s">
        <v>40</v>
      </c>
      <c r="Y2482" s="1" t="s">
        <v>40</v>
      </c>
      <c r="Z2482" s="1" t="n">
        <v>0</v>
      </c>
      <c r="AA2482" s="1" t="str">
        <f aca="false">TRIM(PROPER(F2482))</f>
        <v>Mysuru</v>
      </c>
      <c r="AB2482" s="1" t="str">
        <f aca="false">TRIM(PROPER(C2482))</f>
        <v>Whitehat Jr</v>
      </c>
      <c r="AC2482" s="1" t="str">
        <f aca="false">IF(O2482=0,"No Discount",IF(O2482&lt;=15,"Low (1-15%)",IF(O2482&lt;=30,"Medium (16-30%)","High (&gt;30%)")))</f>
        <v>Low (1-15%)</v>
      </c>
      <c r="AD2482" s="1" t="str">
        <f aca="false">IF(V2482&lt;0,"Loss Making",IF(V2482&lt;20,"Low Margin","Healthy Margin"))</f>
        <v>Healthy Margin</v>
      </c>
      <c r="AE2482" s="1" t="str">
        <f aca="false">TEXT(DATE(VALUE(RIGHT(B2482,4)),VALUE(MID(B2482,4,2)),VALUE(LEFT(B2482,2))),"MMM-YYYY")</f>
        <v>Dec-2023</v>
      </c>
      <c r="AF2482" s="1" t="n">
        <f aca="false">VALUE(RIGHT(B2482,4))</f>
        <v>2023</v>
      </c>
      <c r="AG2482" s="1" t="str">
        <f aca="false">CHOOSE(ROUNDUP(VALUE(MID(B2482,4,2))/3,0),"Q1","Q2","Q3","Q4")</f>
        <v>Q4</v>
      </c>
    </row>
    <row r="2483" customFormat="false" ht="15" hidden="false" customHeight="true" outlineLevel="0" collapsed="false">
      <c r="A2483" s="1" t="s">
        <v>3358</v>
      </c>
      <c r="B2483" s="1" t="s">
        <v>3359</v>
      </c>
      <c r="C2483" s="1" t="s">
        <v>88</v>
      </c>
      <c r="D2483" s="1" t="s">
        <v>123</v>
      </c>
      <c r="E2483" s="1" t="s">
        <v>147</v>
      </c>
      <c r="F2483" s="1" t="s">
        <v>194</v>
      </c>
      <c r="G2483" s="1" t="s">
        <v>103</v>
      </c>
      <c r="H2483" s="1" t="s">
        <v>69</v>
      </c>
      <c r="I2483" s="1" t="s">
        <v>58</v>
      </c>
      <c r="J2483" s="1" t="s">
        <v>131</v>
      </c>
      <c r="K2483" s="1" t="s">
        <v>84</v>
      </c>
      <c r="L2483" s="1" t="s">
        <v>61</v>
      </c>
      <c r="M2483" s="1" t="s">
        <v>38</v>
      </c>
      <c r="N2483" s="1" t="n">
        <v>6999</v>
      </c>
      <c r="O2483" s="1" t="n">
        <v>15</v>
      </c>
      <c r="P2483" s="1" t="n">
        <v>1049.85</v>
      </c>
      <c r="Q2483" s="1" t="n">
        <v>5949.15</v>
      </c>
      <c r="R2483" s="1" t="n">
        <v>1070.85</v>
      </c>
      <c r="S2483" s="1" t="n">
        <v>4878.3</v>
      </c>
      <c r="T2483" s="1" t="n">
        <v>2176.69</v>
      </c>
      <c r="U2483" s="1" t="n">
        <v>2701.61</v>
      </c>
      <c r="V2483" s="1" t="n">
        <v>55.38</v>
      </c>
      <c r="W2483" s="1" t="s">
        <v>39</v>
      </c>
      <c r="X2483" s="1" t="n">
        <v>3.2</v>
      </c>
      <c r="Y2483" s="1" t="s">
        <v>40</v>
      </c>
      <c r="Z2483" s="1" t="n">
        <v>0</v>
      </c>
      <c r="AA2483" s="1" t="str">
        <f aca="false">TRIM(PROPER(F2483))</f>
        <v>Hyderabad</v>
      </c>
      <c r="AB2483" s="1" t="str">
        <f aca="false">TRIM(PROPER(C2483))</f>
        <v>Byju'S</v>
      </c>
      <c r="AC2483" s="1" t="str">
        <f aca="false">IF(O2483=0,"No Discount",IF(O2483&lt;=15,"Low (1-15%)",IF(O2483&lt;=30,"Medium (16-30%)","High (&gt;30%)")))</f>
        <v>Low (1-15%)</v>
      </c>
      <c r="AD2483" s="1" t="str">
        <f aca="false">IF(V2483&lt;0,"Loss Making",IF(V2483&lt;20,"Low Margin","Healthy Margin"))</f>
        <v>Healthy Margin</v>
      </c>
      <c r="AE2483" s="1" t="str">
        <f aca="false">TEXT(DATE(VALUE(RIGHT(B2483,4)),VALUE(MID(B2483,4,2)),VALUE(LEFT(B2483,2))),"MMM-YYYY")</f>
        <v>Oct-2023</v>
      </c>
      <c r="AF2483" s="1" t="n">
        <f aca="false">VALUE(RIGHT(B2483,4))</f>
        <v>2023</v>
      </c>
      <c r="AG2483" s="1" t="str">
        <f aca="false">CHOOSE(ROUNDUP(VALUE(MID(B2483,4,2))/3,0),"Q1","Q2","Q3","Q4")</f>
        <v>Q4</v>
      </c>
    </row>
    <row r="2484" customFormat="false" ht="15" hidden="false" customHeight="true" outlineLevel="0" collapsed="false">
      <c r="A2484" s="1" t="s">
        <v>3360</v>
      </c>
      <c r="B2484" s="1" t="s">
        <v>735</v>
      </c>
      <c r="C2484" s="1" t="s">
        <v>167</v>
      </c>
      <c r="D2484" s="1" t="s">
        <v>168</v>
      </c>
      <c r="E2484" s="1" t="s">
        <v>169</v>
      </c>
      <c r="F2484" s="1" t="s">
        <v>130</v>
      </c>
      <c r="G2484" s="1" t="s">
        <v>47</v>
      </c>
      <c r="H2484" s="1" t="s">
        <v>69</v>
      </c>
      <c r="I2484" s="1" t="s">
        <v>34</v>
      </c>
      <c r="J2484" s="1" t="s">
        <v>77</v>
      </c>
      <c r="K2484" s="1" t="s">
        <v>60</v>
      </c>
      <c r="L2484" s="1" t="s">
        <v>49</v>
      </c>
      <c r="M2484" s="1" t="s">
        <v>38</v>
      </c>
      <c r="N2484" s="1" t="n">
        <v>4999</v>
      </c>
      <c r="O2484" s="1" t="n">
        <v>15</v>
      </c>
      <c r="P2484" s="1" t="n">
        <v>749.85</v>
      </c>
      <c r="Q2484" s="1" t="n">
        <v>4249.15</v>
      </c>
      <c r="R2484" s="1" t="n">
        <v>764.85</v>
      </c>
      <c r="S2484" s="1" t="n">
        <v>3484.3</v>
      </c>
      <c r="T2484" s="1" t="n">
        <v>1692.66</v>
      </c>
      <c r="U2484" s="1" t="n">
        <v>1791.64</v>
      </c>
      <c r="V2484" s="1" t="n">
        <v>51.42</v>
      </c>
      <c r="W2484" s="1" t="s">
        <v>39</v>
      </c>
      <c r="X2484" s="1" t="n">
        <v>3.9</v>
      </c>
      <c r="Y2484" s="1" t="s">
        <v>40</v>
      </c>
      <c r="Z2484" s="1" t="n">
        <v>0</v>
      </c>
      <c r="AA2484" s="1" t="str">
        <f aca="false">TRIM(PROPER(F2484))</f>
        <v>Bengaluru</v>
      </c>
      <c r="AB2484" s="1" t="str">
        <f aca="false">TRIM(PROPER(C2484))</f>
        <v>Scaler</v>
      </c>
      <c r="AC2484" s="1" t="str">
        <f aca="false">IF(O2484=0,"No Discount",IF(O2484&lt;=15,"Low (1-15%)",IF(O2484&lt;=30,"Medium (16-30%)","High (&gt;30%)")))</f>
        <v>Low (1-15%)</v>
      </c>
      <c r="AD2484" s="1" t="str">
        <f aca="false">IF(V2484&lt;0,"Loss Making",IF(V2484&lt;20,"Low Margin","Healthy Margin"))</f>
        <v>Healthy Margin</v>
      </c>
      <c r="AE2484" s="1" t="str">
        <f aca="false">TEXT(DATE(VALUE(RIGHT(B2484,4)),VALUE(MID(B2484,4,2)),VALUE(LEFT(B2484,2))),"MMM-YYYY")</f>
        <v>Feb-2024</v>
      </c>
      <c r="AF2484" s="1" t="n">
        <f aca="false">VALUE(RIGHT(B2484,4))</f>
        <v>2024</v>
      </c>
      <c r="AG2484" s="1" t="str">
        <f aca="false">CHOOSE(ROUNDUP(VALUE(MID(B2484,4,2))/3,0),"Q1","Q2","Q3","Q4")</f>
        <v>Q1</v>
      </c>
    </row>
    <row r="2485" customFormat="false" ht="15" hidden="false" customHeight="true" outlineLevel="0" collapsed="false">
      <c r="A2485" s="1" t="s">
        <v>3361</v>
      </c>
      <c r="B2485" s="1" t="s">
        <v>965</v>
      </c>
      <c r="C2485" s="1" t="s">
        <v>178</v>
      </c>
      <c r="D2485" s="1" t="s">
        <v>94</v>
      </c>
      <c r="E2485" s="1" t="s">
        <v>101</v>
      </c>
      <c r="F2485" s="1" t="s">
        <v>269</v>
      </c>
      <c r="G2485" s="1" t="s">
        <v>108</v>
      </c>
      <c r="H2485" s="1" t="s">
        <v>57</v>
      </c>
      <c r="I2485" s="1" t="s">
        <v>34</v>
      </c>
      <c r="J2485" s="1" t="s">
        <v>131</v>
      </c>
      <c r="K2485" s="1" t="s">
        <v>84</v>
      </c>
      <c r="L2485" s="1" t="s">
        <v>113</v>
      </c>
      <c r="M2485" s="1" t="s">
        <v>38</v>
      </c>
      <c r="N2485" s="1" t="n">
        <v>14999</v>
      </c>
      <c r="O2485" s="1" t="n">
        <v>40</v>
      </c>
      <c r="P2485" s="1" t="n">
        <v>5999.6</v>
      </c>
      <c r="Q2485" s="1" t="n">
        <v>8999.4</v>
      </c>
      <c r="R2485" s="1" t="n">
        <v>1619.89</v>
      </c>
      <c r="S2485" s="1" t="n">
        <v>7379.51</v>
      </c>
      <c r="T2485" s="1" t="n">
        <v>4505.76</v>
      </c>
      <c r="U2485" s="1" t="n">
        <v>2873.75</v>
      </c>
      <c r="V2485" s="1" t="n">
        <v>38.94</v>
      </c>
      <c r="W2485" s="1" t="s">
        <v>39</v>
      </c>
      <c r="X2485" s="1" t="n">
        <v>3.4</v>
      </c>
      <c r="Y2485" s="1" t="s">
        <v>40</v>
      </c>
      <c r="Z2485" s="1" t="n">
        <v>0</v>
      </c>
      <c r="AA2485" s="1" t="str">
        <f aca="false">TRIM(PROPER(F2485))</f>
        <v>Coimbatore</v>
      </c>
      <c r="AB2485" s="1" t="str">
        <f aca="false">TRIM(PROPER(C2485))</f>
        <v>Leverage Edu</v>
      </c>
      <c r="AC2485" s="1" t="str">
        <f aca="false">IF(O2485=0,"No Discount",IF(O2485&lt;=15,"Low (1-15%)",IF(O2485&lt;=30,"Medium (16-30%)","High (&gt;30%)")))</f>
        <v>High (&gt;30%)</v>
      </c>
      <c r="AD2485" s="1" t="str">
        <f aca="false">IF(V2485&lt;0,"Loss Making",IF(V2485&lt;20,"Low Margin","Healthy Margin"))</f>
        <v>Healthy Margin</v>
      </c>
      <c r="AE2485" s="1" t="str">
        <f aca="false">TEXT(DATE(VALUE(RIGHT(B2485,4)),VALUE(MID(B2485,4,2)),VALUE(LEFT(B2485,2))),"MMM-YYYY")</f>
        <v>Jan-2023</v>
      </c>
      <c r="AF2485" s="1" t="n">
        <f aca="false">VALUE(RIGHT(B2485,4))</f>
        <v>2023</v>
      </c>
      <c r="AG2485" s="1" t="str">
        <f aca="false">CHOOSE(ROUNDUP(VALUE(MID(B2485,4,2))/3,0),"Q1","Q2","Q3","Q4")</f>
        <v>Q1</v>
      </c>
    </row>
    <row r="2486" customFormat="false" ht="15" hidden="false" customHeight="true" outlineLevel="0" collapsed="false">
      <c r="A2486" s="1" t="s">
        <v>3362</v>
      </c>
      <c r="B2486" s="1" t="s">
        <v>1285</v>
      </c>
      <c r="C2486" s="1" t="s">
        <v>139</v>
      </c>
      <c r="D2486" s="1" t="s">
        <v>80</v>
      </c>
      <c r="E2486" s="1" t="s">
        <v>81</v>
      </c>
      <c r="F2486" s="1" t="s">
        <v>187</v>
      </c>
      <c r="G2486" s="1" t="s">
        <v>97</v>
      </c>
      <c r="H2486" s="1" t="s">
        <v>69</v>
      </c>
      <c r="I2486" s="1" t="s">
        <v>58</v>
      </c>
      <c r="J2486" s="1" t="s">
        <v>77</v>
      </c>
      <c r="K2486" s="1" t="s">
        <v>36</v>
      </c>
      <c r="L2486" s="1" t="s">
        <v>49</v>
      </c>
      <c r="M2486" s="1" t="s">
        <v>62</v>
      </c>
      <c r="N2486" s="1" t="n">
        <v>12999</v>
      </c>
      <c r="O2486" s="1" t="n">
        <v>40</v>
      </c>
      <c r="P2486" s="1" t="n">
        <v>5199.6</v>
      </c>
      <c r="Q2486" s="1" t="n">
        <v>7799.4</v>
      </c>
      <c r="R2486" s="1" t="n">
        <v>1403.89</v>
      </c>
      <c r="S2486" s="1" t="n">
        <v>6395.51</v>
      </c>
      <c r="T2486" s="1" t="n">
        <v>3324.65</v>
      </c>
      <c r="U2486" s="1" t="n">
        <v>3070.86</v>
      </c>
      <c r="V2486" s="1" t="n">
        <v>48.02</v>
      </c>
      <c r="W2486" s="1" t="s">
        <v>39</v>
      </c>
      <c r="X2486" s="1" t="n">
        <v>4.5</v>
      </c>
      <c r="Y2486" s="1" t="s">
        <v>40</v>
      </c>
      <c r="Z2486" s="1" t="n">
        <v>0</v>
      </c>
      <c r="AA2486" s="1" t="str">
        <f aca="false">TRIM(PROPER(F2486))</f>
        <v>Mumbai</v>
      </c>
      <c r="AB2486" s="1" t="str">
        <f aca="false">TRIM(PROPER(C2486))</f>
        <v>Extramarks</v>
      </c>
      <c r="AC2486" s="1" t="str">
        <f aca="false">IF(O2486=0,"No Discount",IF(O2486&lt;=15,"Low (1-15%)",IF(O2486&lt;=30,"Medium (16-30%)","High (&gt;30%)")))</f>
        <v>High (&gt;30%)</v>
      </c>
      <c r="AD2486" s="1" t="str">
        <f aca="false">IF(V2486&lt;0,"Loss Making",IF(V2486&lt;20,"Low Margin","Healthy Margin"))</f>
        <v>Healthy Margin</v>
      </c>
      <c r="AE2486" s="1" t="str">
        <f aca="false">TEXT(DATE(VALUE(RIGHT(B2486,4)),VALUE(MID(B2486,4,2)),VALUE(LEFT(B2486,2))),"MMM-YYYY")</f>
        <v>Feb-2023</v>
      </c>
      <c r="AF2486" s="1" t="n">
        <f aca="false">VALUE(RIGHT(B2486,4))</f>
        <v>2023</v>
      </c>
      <c r="AG2486" s="1" t="str">
        <f aca="false">CHOOSE(ROUNDUP(VALUE(MID(B2486,4,2))/3,0),"Q1","Q2","Q3","Q4")</f>
        <v>Q1</v>
      </c>
    </row>
    <row r="2487" customFormat="false" ht="15" hidden="false" customHeight="true" outlineLevel="0" collapsed="false">
      <c r="A2487" s="1" t="s">
        <v>3363</v>
      </c>
      <c r="B2487" s="1" t="s">
        <v>667</v>
      </c>
      <c r="C2487" s="1" t="s">
        <v>119</v>
      </c>
      <c r="D2487" s="1" t="s">
        <v>80</v>
      </c>
      <c r="E2487" s="1" t="s">
        <v>175</v>
      </c>
      <c r="F2487" s="1" t="s">
        <v>67</v>
      </c>
      <c r="G2487" s="1" t="s">
        <v>68</v>
      </c>
      <c r="H2487" s="1" t="s">
        <v>69</v>
      </c>
      <c r="I2487" s="1" t="s">
        <v>34</v>
      </c>
      <c r="J2487" s="1" t="s">
        <v>35</v>
      </c>
      <c r="K2487" s="1" t="s">
        <v>112</v>
      </c>
      <c r="L2487" s="1" t="s">
        <v>61</v>
      </c>
      <c r="M2487" s="1" t="s">
        <v>50</v>
      </c>
      <c r="N2487" s="1" t="n">
        <v>19999</v>
      </c>
      <c r="O2487" s="1" t="n">
        <v>20</v>
      </c>
      <c r="P2487" s="1" t="n">
        <v>3999.8</v>
      </c>
      <c r="Q2487" s="1" t="n">
        <v>15999.2</v>
      </c>
      <c r="R2487" s="1" t="n">
        <v>2879.86</v>
      </c>
      <c r="S2487" s="1" t="n">
        <v>13119.34</v>
      </c>
      <c r="T2487" s="1" t="n">
        <v>3869.6</v>
      </c>
      <c r="U2487" s="1" t="n">
        <v>9249.74</v>
      </c>
      <c r="V2487" s="1" t="n">
        <v>70.5</v>
      </c>
      <c r="W2487" s="1" t="s">
        <v>39</v>
      </c>
      <c r="X2487" s="1" t="n">
        <v>3.6</v>
      </c>
      <c r="Y2487" s="1" t="s">
        <v>40</v>
      </c>
      <c r="Z2487" s="1" t="n">
        <v>0</v>
      </c>
      <c r="AA2487" s="1" t="str">
        <f aca="false">TRIM(PROPER(F2487))</f>
        <v>Ahmedabad</v>
      </c>
      <c r="AB2487" s="1" t="str">
        <f aca="false">TRIM(PROPER(C2487))</f>
        <v>Simplilearn</v>
      </c>
      <c r="AC2487" s="1" t="str">
        <f aca="false">IF(O2487=0,"No Discount",IF(O2487&lt;=15,"Low (1-15%)",IF(O2487&lt;=30,"Medium (16-30%)","High (&gt;30%)")))</f>
        <v>Medium (16-30%)</v>
      </c>
      <c r="AD2487" s="1" t="str">
        <f aca="false">IF(V2487&lt;0,"Loss Making",IF(V2487&lt;20,"Low Margin","Healthy Margin"))</f>
        <v>Healthy Margin</v>
      </c>
      <c r="AE2487" s="1" t="str">
        <f aca="false">TEXT(DATE(VALUE(RIGHT(B2487,4)),VALUE(MID(B2487,4,2)),VALUE(LEFT(B2487,2))),"MMM-YYYY")</f>
        <v>Jul-2023</v>
      </c>
      <c r="AF2487" s="1" t="n">
        <f aca="false">VALUE(RIGHT(B2487,4))</f>
        <v>2023</v>
      </c>
      <c r="AG2487" s="1" t="str">
        <f aca="false">CHOOSE(ROUNDUP(VALUE(MID(B2487,4,2))/3,0),"Q1","Q2","Q3","Q4")</f>
        <v>Q3</v>
      </c>
    </row>
    <row r="2488" customFormat="false" ht="15" hidden="false" customHeight="true" outlineLevel="0" collapsed="false">
      <c r="A2488" s="1" t="s">
        <v>3364</v>
      </c>
      <c r="B2488" s="1" t="s">
        <v>1939</v>
      </c>
      <c r="C2488" s="1" t="s">
        <v>88</v>
      </c>
      <c r="D2488" s="1" t="s">
        <v>29</v>
      </c>
      <c r="E2488" s="1" t="s">
        <v>182</v>
      </c>
      <c r="F2488" s="1" t="s">
        <v>244</v>
      </c>
      <c r="G2488" s="1" t="s">
        <v>97</v>
      </c>
      <c r="H2488" s="1" t="s">
        <v>57</v>
      </c>
      <c r="I2488" s="1" t="s">
        <v>83</v>
      </c>
      <c r="J2488" s="1" t="s">
        <v>131</v>
      </c>
      <c r="K2488" s="1" t="s">
        <v>104</v>
      </c>
      <c r="L2488" s="1" t="s">
        <v>113</v>
      </c>
      <c r="M2488" s="1" t="s">
        <v>50</v>
      </c>
      <c r="N2488" s="1" t="n">
        <v>34999</v>
      </c>
      <c r="O2488" s="1" t="n">
        <v>0</v>
      </c>
      <c r="P2488" s="1" t="n">
        <v>0</v>
      </c>
      <c r="Q2488" s="1" t="n">
        <v>34999</v>
      </c>
      <c r="R2488" s="1" t="n">
        <v>6299.82</v>
      </c>
      <c r="S2488" s="1" t="n">
        <v>28699.18</v>
      </c>
      <c r="T2488" s="1" t="n">
        <v>14318.19</v>
      </c>
      <c r="U2488" s="1" t="n">
        <v>14380.99</v>
      </c>
      <c r="V2488" s="1" t="n">
        <v>50.11</v>
      </c>
      <c r="W2488" s="1" t="s">
        <v>39</v>
      </c>
      <c r="Y2488" s="1" t="s">
        <v>40</v>
      </c>
      <c r="Z2488" s="1" t="n">
        <v>2</v>
      </c>
      <c r="AA2488" s="1" t="str">
        <f aca="false">TRIM(PROPER(F2488))</f>
        <v>Nagpur</v>
      </c>
      <c r="AB2488" s="1" t="str">
        <f aca="false">TRIM(PROPER(C2488))</f>
        <v>Byju'S</v>
      </c>
      <c r="AC2488" s="1" t="str">
        <f aca="false">IF(O2488=0,"No Discount",IF(O2488&lt;=15,"Low (1-15%)",IF(O2488&lt;=30,"Medium (16-30%)","High (&gt;30%)")))</f>
        <v>No Discount</v>
      </c>
      <c r="AD2488" s="1" t="str">
        <f aca="false">IF(V2488&lt;0,"Loss Making",IF(V2488&lt;20,"Low Margin","Healthy Margin"))</f>
        <v>Healthy Margin</v>
      </c>
      <c r="AE2488" s="1" t="str">
        <f aca="false">TEXT(DATE(VALUE(RIGHT(B2488,4)),VALUE(MID(B2488,4,2)),VALUE(LEFT(B2488,2))),"MMM-YYYY")</f>
        <v>Apr-2024</v>
      </c>
      <c r="AF2488" s="1" t="n">
        <f aca="false">VALUE(RIGHT(B2488,4))</f>
        <v>2024</v>
      </c>
      <c r="AG2488" s="1" t="str">
        <f aca="false">CHOOSE(ROUNDUP(VALUE(MID(B2488,4,2))/3,0),"Q1","Q2","Q3","Q4")</f>
        <v>Q2</v>
      </c>
    </row>
    <row r="2489" customFormat="false" ht="15" hidden="false" customHeight="true" outlineLevel="0" collapsed="false">
      <c r="A2489" s="1" t="s">
        <v>3365</v>
      </c>
      <c r="B2489" s="1" t="s">
        <v>1610</v>
      </c>
      <c r="C2489" s="1" t="s">
        <v>134</v>
      </c>
      <c r="D2489" s="1" t="s">
        <v>143</v>
      </c>
      <c r="E2489" s="1" t="s">
        <v>243</v>
      </c>
      <c r="F2489" s="1" t="s">
        <v>125</v>
      </c>
      <c r="G2489" s="1" t="s">
        <v>108</v>
      </c>
      <c r="H2489" s="1" t="s">
        <v>69</v>
      </c>
      <c r="I2489" s="1" t="s">
        <v>34</v>
      </c>
      <c r="J2489" s="1" t="s">
        <v>35</v>
      </c>
      <c r="K2489" s="1" t="s">
        <v>84</v>
      </c>
      <c r="L2489" s="1" t="s">
        <v>61</v>
      </c>
      <c r="M2489" s="1" t="s">
        <v>38</v>
      </c>
      <c r="N2489" s="1" t="n">
        <v>22999</v>
      </c>
      <c r="O2489" s="1" t="n">
        <v>0</v>
      </c>
      <c r="P2489" s="1" t="n">
        <v>0</v>
      </c>
      <c r="Q2489" s="1" t="n">
        <v>22999</v>
      </c>
      <c r="R2489" s="1" t="n">
        <v>4139.82</v>
      </c>
      <c r="S2489" s="1" t="n">
        <v>18859.18</v>
      </c>
      <c r="T2489" s="1" t="n">
        <v>7251.78</v>
      </c>
      <c r="U2489" s="1" t="n">
        <v>11607.4</v>
      </c>
      <c r="V2489" s="1" t="n">
        <v>61.55</v>
      </c>
      <c r="W2489" s="1" t="s">
        <v>39</v>
      </c>
      <c r="X2489" s="1" t="n">
        <v>4.6</v>
      </c>
      <c r="Y2489" s="1" t="s">
        <v>40</v>
      </c>
      <c r="Z2489" s="1" t="n">
        <v>1</v>
      </c>
      <c r="AA2489" s="1" t="str">
        <f aca="false">TRIM(PROPER(F2489))</f>
        <v>Chennai</v>
      </c>
      <c r="AB2489" s="1" t="str">
        <f aca="false">TRIM(PROPER(C2489))</f>
        <v>Doubtnut</v>
      </c>
      <c r="AC2489" s="1" t="str">
        <f aca="false">IF(O2489=0,"No Discount",IF(O2489&lt;=15,"Low (1-15%)",IF(O2489&lt;=30,"Medium (16-30%)","High (&gt;30%)")))</f>
        <v>No Discount</v>
      </c>
      <c r="AD2489" s="1" t="str">
        <f aca="false">IF(V2489&lt;0,"Loss Making",IF(V2489&lt;20,"Low Margin","Healthy Margin"))</f>
        <v>Healthy Margin</v>
      </c>
      <c r="AE2489" s="1" t="str">
        <f aca="false">TEXT(DATE(VALUE(RIGHT(B2489,4)),VALUE(MID(B2489,4,2)),VALUE(LEFT(B2489,2))),"MMM-YYYY")</f>
        <v>Mar-2023</v>
      </c>
      <c r="AF2489" s="1" t="n">
        <f aca="false">VALUE(RIGHT(B2489,4))</f>
        <v>2023</v>
      </c>
      <c r="AG2489" s="1" t="str">
        <f aca="false">CHOOSE(ROUNDUP(VALUE(MID(B2489,4,2))/3,0),"Q1","Q2","Q3","Q4")</f>
        <v>Q1</v>
      </c>
    </row>
    <row r="2490" customFormat="false" ht="15" hidden="false" customHeight="true" outlineLevel="0" collapsed="false">
      <c r="A2490" s="1" t="s">
        <v>3366</v>
      </c>
      <c r="B2490" s="1" t="s">
        <v>2021</v>
      </c>
      <c r="C2490" s="1" t="s">
        <v>264</v>
      </c>
      <c r="D2490" s="1" t="s">
        <v>143</v>
      </c>
      <c r="E2490" s="1" t="s">
        <v>144</v>
      </c>
      <c r="F2490" s="1" t="s">
        <v>125</v>
      </c>
      <c r="G2490" s="1" t="s">
        <v>108</v>
      </c>
      <c r="H2490" s="1" t="s">
        <v>69</v>
      </c>
      <c r="I2490" s="1" t="s">
        <v>34</v>
      </c>
      <c r="J2490" s="1" t="s">
        <v>59</v>
      </c>
      <c r="K2490" s="1" t="s">
        <v>112</v>
      </c>
      <c r="L2490" s="1" t="s">
        <v>85</v>
      </c>
      <c r="M2490" s="1" t="s">
        <v>50</v>
      </c>
      <c r="N2490" s="1" t="n">
        <v>12999</v>
      </c>
      <c r="O2490" s="1" t="n">
        <v>40</v>
      </c>
      <c r="P2490" s="1" t="n">
        <v>5199.6</v>
      </c>
      <c r="Q2490" s="1" t="n">
        <v>7799.4</v>
      </c>
      <c r="R2490" s="1" t="n">
        <v>1403.89</v>
      </c>
      <c r="S2490" s="1" t="n">
        <v>6395.51</v>
      </c>
      <c r="T2490" s="1" t="n">
        <v>3198.18</v>
      </c>
      <c r="U2490" s="1" t="n">
        <v>3197.33</v>
      </c>
      <c r="V2490" s="1" t="n">
        <v>49.99</v>
      </c>
      <c r="W2490" s="1" t="s">
        <v>40</v>
      </c>
      <c r="Y2490" s="1" t="s">
        <v>40</v>
      </c>
      <c r="Z2490" s="1" t="n">
        <v>0</v>
      </c>
      <c r="AA2490" s="1" t="str">
        <f aca="false">TRIM(PROPER(F2490))</f>
        <v>Chennai</v>
      </c>
      <c r="AB2490" s="1" t="str">
        <f aca="false">TRIM(PROPER(C2490))</f>
        <v>Unacademy</v>
      </c>
      <c r="AC2490" s="1" t="str">
        <f aca="false">IF(O2490=0,"No Discount",IF(O2490&lt;=15,"Low (1-15%)",IF(O2490&lt;=30,"Medium (16-30%)","High (&gt;30%)")))</f>
        <v>High (&gt;30%)</v>
      </c>
      <c r="AD2490" s="1" t="str">
        <f aca="false">IF(V2490&lt;0,"Loss Making",IF(V2490&lt;20,"Low Margin","Healthy Margin"))</f>
        <v>Healthy Margin</v>
      </c>
      <c r="AE2490" s="1" t="str">
        <f aca="false">TEXT(DATE(VALUE(RIGHT(B2490,4)),VALUE(MID(B2490,4,2)),VALUE(LEFT(B2490,2))),"MMM-YYYY")</f>
        <v>Nov-2024</v>
      </c>
      <c r="AF2490" s="1" t="n">
        <f aca="false">VALUE(RIGHT(B2490,4))</f>
        <v>2024</v>
      </c>
      <c r="AG2490" s="1" t="str">
        <f aca="false">CHOOSE(ROUNDUP(VALUE(MID(B2490,4,2))/3,0),"Q1","Q2","Q3","Q4")</f>
        <v>Q4</v>
      </c>
    </row>
    <row r="2491" customFormat="false" ht="15" hidden="false" customHeight="true" outlineLevel="0" collapsed="false">
      <c r="A2491" s="1" t="s">
        <v>3367</v>
      </c>
      <c r="B2491" s="1" t="s">
        <v>1271</v>
      </c>
      <c r="C2491" s="1" t="s">
        <v>128</v>
      </c>
      <c r="D2491" s="1" t="s">
        <v>94</v>
      </c>
      <c r="E2491" s="1" t="s">
        <v>101</v>
      </c>
      <c r="F2491" s="1" t="s">
        <v>46</v>
      </c>
      <c r="G2491" s="1" t="s">
        <v>47</v>
      </c>
      <c r="H2491" s="1" t="s">
        <v>33</v>
      </c>
      <c r="I2491" s="1" t="s">
        <v>58</v>
      </c>
      <c r="J2491" s="1" t="s">
        <v>131</v>
      </c>
      <c r="K2491" s="1" t="s">
        <v>104</v>
      </c>
      <c r="L2491" s="1" t="s">
        <v>113</v>
      </c>
      <c r="M2491" s="1" t="s">
        <v>38</v>
      </c>
      <c r="N2491" s="1" t="n">
        <v>14999</v>
      </c>
      <c r="O2491" s="1" t="n">
        <v>15</v>
      </c>
      <c r="P2491" s="1" t="n">
        <v>2249.85</v>
      </c>
      <c r="Q2491" s="1" t="n">
        <v>12749.15</v>
      </c>
      <c r="R2491" s="1" t="n">
        <v>2294.85</v>
      </c>
      <c r="S2491" s="1" t="n">
        <v>10454.3</v>
      </c>
      <c r="T2491" s="1" t="n">
        <v>4143.2</v>
      </c>
      <c r="U2491" s="1" t="n">
        <v>6311.1</v>
      </c>
      <c r="V2491" s="1" t="n">
        <v>60.37</v>
      </c>
      <c r="W2491" s="1" t="s">
        <v>39</v>
      </c>
      <c r="X2491" s="1" t="n">
        <v>3.5</v>
      </c>
      <c r="Y2491" s="1" t="s">
        <v>40</v>
      </c>
      <c r="Z2491" s="1" t="n">
        <v>0</v>
      </c>
      <c r="AA2491" s="1" t="str">
        <f aca="false">TRIM(PROPER(F2491))</f>
        <v>Mangaluru</v>
      </c>
      <c r="AB2491" s="1" t="str">
        <f aca="false">TRIM(PROPER(C2491))</f>
        <v>Great Learning</v>
      </c>
      <c r="AC2491" s="1" t="str">
        <f aca="false">IF(O2491=0,"No Discount",IF(O2491&lt;=15,"Low (1-15%)",IF(O2491&lt;=30,"Medium (16-30%)","High (&gt;30%)")))</f>
        <v>Low (1-15%)</v>
      </c>
      <c r="AD2491" s="1" t="str">
        <f aca="false">IF(V2491&lt;0,"Loss Making",IF(V2491&lt;20,"Low Margin","Healthy Margin"))</f>
        <v>Healthy Margin</v>
      </c>
      <c r="AE2491" s="1" t="str">
        <f aca="false">TEXT(DATE(VALUE(RIGHT(B2491,4)),VALUE(MID(B2491,4,2)),VALUE(LEFT(B2491,2))),"MMM-YYYY")</f>
        <v>Feb-2023</v>
      </c>
      <c r="AF2491" s="1" t="n">
        <f aca="false">VALUE(RIGHT(B2491,4))</f>
        <v>2023</v>
      </c>
      <c r="AG2491" s="1" t="str">
        <f aca="false">CHOOSE(ROUNDUP(VALUE(MID(B2491,4,2))/3,0),"Q1","Q2","Q3","Q4")</f>
        <v>Q1</v>
      </c>
    </row>
    <row r="2492" customFormat="false" ht="15" hidden="false" customHeight="true" outlineLevel="0" collapsed="false">
      <c r="A2492" s="1" t="s">
        <v>3368</v>
      </c>
      <c r="B2492" s="1" t="s">
        <v>618</v>
      </c>
      <c r="C2492" s="1" t="s">
        <v>65</v>
      </c>
      <c r="D2492" s="1" t="s">
        <v>44</v>
      </c>
      <c r="E2492" s="1" t="s">
        <v>66</v>
      </c>
      <c r="F2492" s="1" t="s">
        <v>125</v>
      </c>
      <c r="G2492" s="1" t="s">
        <v>108</v>
      </c>
      <c r="H2492" s="1" t="s">
        <v>69</v>
      </c>
      <c r="I2492" s="1" t="s">
        <v>83</v>
      </c>
      <c r="J2492" s="1" t="s">
        <v>70</v>
      </c>
      <c r="K2492" s="1" t="s">
        <v>48</v>
      </c>
      <c r="L2492" s="1" t="s">
        <v>85</v>
      </c>
      <c r="M2492" s="1" t="s">
        <v>62</v>
      </c>
      <c r="N2492" s="1" t="n">
        <v>12999</v>
      </c>
      <c r="O2492" s="1" t="n">
        <v>20</v>
      </c>
      <c r="P2492" s="1" t="n">
        <v>2599.8</v>
      </c>
      <c r="Q2492" s="1" t="n">
        <v>10399.2</v>
      </c>
      <c r="R2492" s="1" t="n">
        <v>1871.86</v>
      </c>
      <c r="S2492" s="1" t="n">
        <v>8527.34</v>
      </c>
      <c r="T2492" s="1" t="n">
        <v>3382.18</v>
      </c>
      <c r="U2492" s="1" t="n">
        <v>5145.16</v>
      </c>
      <c r="V2492" s="1" t="n">
        <v>60.34</v>
      </c>
      <c r="W2492" s="1" t="s">
        <v>40</v>
      </c>
      <c r="Y2492" s="1" t="s">
        <v>40</v>
      </c>
      <c r="Z2492" s="1" t="n">
        <v>1</v>
      </c>
      <c r="AA2492" s="1" t="str">
        <f aca="false">TRIM(PROPER(F2492))</f>
        <v>Chennai</v>
      </c>
      <c r="AB2492" s="1" t="str">
        <f aca="false">TRIM(PROPER(C2492))</f>
        <v>Toppr</v>
      </c>
      <c r="AC2492" s="1" t="str">
        <f aca="false">IF(O2492=0,"No Discount",IF(O2492&lt;=15,"Low (1-15%)",IF(O2492&lt;=30,"Medium (16-30%)","High (&gt;30%)")))</f>
        <v>Medium (16-30%)</v>
      </c>
      <c r="AD2492" s="1" t="str">
        <f aca="false">IF(V2492&lt;0,"Loss Making",IF(V2492&lt;20,"Low Margin","Healthy Margin"))</f>
        <v>Healthy Margin</v>
      </c>
      <c r="AE2492" s="1" t="str">
        <f aca="false">TEXT(DATE(VALUE(RIGHT(B2492,4)),VALUE(MID(B2492,4,2)),VALUE(LEFT(B2492,2))),"MMM-YYYY")</f>
        <v>Nov-2023</v>
      </c>
      <c r="AF2492" s="1" t="n">
        <f aca="false">VALUE(RIGHT(B2492,4))</f>
        <v>2023</v>
      </c>
      <c r="AG2492" s="1" t="str">
        <f aca="false">CHOOSE(ROUNDUP(VALUE(MID(B2492,4,2))/3,0),"Q1","Q2","Q3","Q4")</f>
        <v>Q4</v>
      </c>
    </row>
    <row r="2493" customFormat="false" ht="15" hidden="false" customHeight="true" outlineLevel="0" collapsed="false">
      <c r="A2493" s="1" t="s">
        <v>3369</v>
      </c>
      <c r="B2493" s="1" t="s">
        <v>1244</v>
      </c>
      <c r="C2493" s="1" t="s">
        <v>128</v>
      </c>
      <c r="D2493" s="1" t="s">
        <v>80</v>
      </c>
      <c r="E2493" s="1" t="s">
        <v>193</v>
      </c>
      <c r="F2493" s="1" t="s">
        <v>31</v>
      </c>
      <c r="G2493" s="1" t="s">
        <v>32</v>
      </c>
      <c r="H2493" s="1" t="s">
        <v>33</v>
      </c>
      <c r="I2493" s="1" t="s">
        <v>34</v>
      </c>
      <c r="J2493" s="1" t="s">
        <v>70</v>
      </c>
      <c r="K2493" s="1" t="s">
        <v>84</v>
      </c>
      <c r="L2493" s="1" t="s">
        <v>61</v>
      </c>
      <c r="M2493" s="1" t="s">
        <v>62</v>
      </c>
      <c r="N2493" s="1" t="n">
        <v>8999</v>
      </c>
      <c r="O2493" s="1" t="n">
        <v>25</v>
      </c>
      <c r="P2493" s="1" t="n">
        <v>2249.75</v>
      </c>
      <c r="Q2493" s="1" t="n">
        <v>6749.25</v>
      </c>
      <c r="R2493" s="1" t="n">
        <v>1214.87</v>
      </c>
      <c r="S2493" s="1" t="n">
        <v>5534.38</v>
      </c>
      <c r="T2493" s="1" t="n">
        <v>2657.77</v>
      </c>
      <c r="U2493" s="1" t="n">
        <v>2876.61</v>
      </c>
      <c r="V2493" s="1" t="n">
        <v>51.98</v>
      </c>
      <c r="W2493" s="1" t="s">
        <v>39</v>
      </c>
      <c r="X2493" s="1" t="n">
        <v>3.7</v>
      </c>
      <c r="Y2493" s="1" t="s">
        <v>40</v>
      </c>
      <c r="Z2493" s="1" t="n">
        <v>0</v>
      </c>
      <c r="AA2493" s="1" t="str">
        <f aca="false">TRIM(PROPER(F2493))</f>
        <v>Jodhpur</v>
      </c>
      <c r="AB2493" s="1" t="str">
        <f aca="false">TRIM(PROPER(C2493))</f>
        <v>Great Learning</v>
      </c>
      <c r="AC2493" s="1" t="str">
        <f aca="false">IF(O2493=0,"No Discount",IF(O2493&lt;=15,"Low (1-15%)",IF(O2493&lt;=30,"Medium (16-30%)","High (&gt;30%)")))</f>
        <v>Medium (16-30%)</v>
      </c>
      <c r="AD2493" s="1" t="str">
        <f aca="false">IF(V2493&lt;0,"Loss Making",IF(V2493&lt;20,"Low Margin","Healthy Margin"))</f>
        <v>Healthy Margin</v>
      </c>
      <c r="AE2493" s="1" t="str">
        <f aca="false">TEXT(DATE(VALUE(RIGHT(B2493,4)),VALUE(MID(B2493,4,2)),VALUE(LEFT(B2493,2))),"MMM-YYYY")</f>
        <v>Jul-2024</v>
      </c>
      <c r="AF2493" s="1" t="n">
        <f aca="false">VALUE(RIGHT(B2493,4))</f>
        <v>2024</v>
      </c>
      <c r="AG2493" s="1" t="str">
        <f aca="false">CHOOSE(ROUNDUP(VALUE(MID(B2493,4,2))/3,0),"Q1","Q2","Q3","Q4")</f>
        <v>Q3</v>
      </c>
    </row>
    <row r="2494" customFormat="false" ht="15" hidden="false" customHeight="true" outlineLevel="0" collapsed="false">
      <c r="A2494" s="1" t="s">
        <v>3370</v>
      </c>
      <c r="B2494" s="1" t="s">
        <v>620</v>
      </c>
      <c r="C2494" s="1" t="s">
        <v>178</v>
      </c>
      <c r="D2494" s="1" t="s">
        <v>143</v>
      </c>
      <c r="E2494" s="1" t="s">
        <v>162</v>
      </c>
      <c r="F2494" s="1" t="s">
        <v>46</v>
      </c>
      <c r="G2494" s="1" t="s">
        <v>47</v>
      </c>
      <c r="H2494" s="1" t="s">
        <v>33</v>
      </c>
      <c r="I2494" s="1" t="s">
        <v>34</v>
      </c>
      <c r="J2494" s="1" t="s">
        <v>35</v>
      </c>
      <c r="K2494" s="1" t="s">
        <v>84</v>
      </c>
      <c r="L2494" s="1" t="s">
        <v>37</v>
      </c>
      <c r="M2494" s="1" t="s">
        <v>62</v>
      </c>
      <c r="N2494" s="1" t="n">
        <v>14999</v>
      </c>
      <c r="O2494" s="1" t="n">
        <v>0</v>
      </c>
      <c r="P2494" s="1" t="n">
        <v>0</v>
      </c>
      <c r="Q2494" s="1" t="n">
        <v>14999</v>
      </c>
      <c r="R2494" s="1" t="n">
        <v>2699.82</v>
      </c>
      <c r="S2494" s="1" t="n">
        <v>12299.18</v>
      </c>
      <c r="T2494" s="1" t="n">
        <v>4988.86</v>
      </c>
      <c r="U2494" s="1" t="n">
        <v>7310.32</v>
      </c>
      <c r="V2494" s="1" t="n">
        <v>59.44</v>
      </c>
      <c r="W2494" s="1" t="s">
        <v>39</v>
      </c>
      <c r="X2494" s="1" t="n">
        <v>4.1</v>
      </c>
      <c r="Y2494" s="1" t="s">
        <v>40</v>
      </c>
      <c r="Z2494" s="1" t="n">
        <v>1</v>
      </c>
      <c r="AA2494" s="1" t="str">
        <f aca="false">TRIM(PROPER(F2494))</f>
        <v>Mangaluru</v>
      </c>
      <c r="AB2494" s="1" t="str">
        <f aca="false">TRIM(PROPER(C2494))</f>
        <v>Leverage Edu</v>
      </c>
      <c r="AC2494" s="1" t="str">
        <f aca="false">IF(O2494=0,"No Discount",IF(O2494&lt;=15,"Low (1-15%)",IF(O2494&lt;=30,"Medium (16-30%)","High (&gt;30%)")))</f>
        <v>No Discount</v>
      </c>
      <c r="AD2494" s="1" t="str">
        <f aca="false">IF(V2494&lt;0,"Loss Making",IF(V2494&lt;20,"Low Margin","Healthy Margin"))</f>
        <v>Healthy Margin</v>
      </c>
      <c r="AE2494" s="1" t="str">
        <f aca="false">TEXT(DATE(VALUE(RIGHT(B2494,4)),VALUE(MID(B2494,4,2)),VALUE(LEFT(B2494,2))),"MMM-YYYY")</f>
        <v>Jan-2024</v>
      </c>
      <c r="AF2494" s="1" t="n">
        <f aca="false">VALUE(RIGHT(B2494,4))</f>
        <v>2024</v>
      </c>
      <c r="AG2494" s="1" t="str">
        <f aca="false">CHOOSE(ROUNDUP(VALUE(MID(B2494,4,2))/3,0),"Q1","Q2","Q3","Q4")</f>
        <v>Q1</v>
      </c>
    </row>
    <row r="2495" customFormat="false" ht="15" hidden="false" customHeight="true" outlineLevel="0" collapsed="false">
      <c r="A2495" s="1" t="s">
        <v>3371</v>
      </c>
      <c r="B2495" s="1" t="s">
        <v>1456</v>
      </c>
      <c r="C2495" s="1" t="s">
        <v>74</v>
      </c>
      <c r="D2495" s="1" t="s">
        <v>143</v>
      </c>
      <c r="E2495" s="1" t="s">
        <v>243</v>
      </c>
      <c r="F2495" s="1" t="s">
        <v>75</v>
      </c>
      <c r="G2495" s="1" t="s">
        <v>76</v>
      </c>
      <c r="H2495" s="1" t="s">
        <v>69</v>
      </c>
      <c r="I2495" s="1" t="s">
        <v>83</v>
      </c>
      <c r="J2495" s="1" t="s">
        <v>131</v>
      </c>
      <c r="K2495" s="1" t="s">
        <v>112</v>
      </c>
      <c r="L2495" s="1" t="s">
        <v>61</v>
      </c>
      <c r="M2495" s="1" t="s">
        <v>38</v>
      </c>
      <c r="N2495" s="1" t="n">
        <v>22999</v>
      </c>
      <c r="O2495" s="1" t="n">
        <v>0</v>
      </c>
      <c r="P2495" s="1" t="n">
        <v>0</v>
      </c>
      <c r="Q2495" s="1" t="n">
        <v>22999</v>
      </c>
      <c r="R2495" s="1" t="n">
        <v>4139.82</v>
      </c>
      <c r="S2495" s="1" t="n">
        <v>18859.18</v>
      </c>
      <c r="T2495" s="1" t="n">
        <v>7924.55</v>
      </c>
      <c r="U2495" s="1" t="n">
        <v>10934.63</v>
      </c>
      <c r="V2495" s="1" t="n">
        <v>57.98</v>
      </c>
      <c r="W2495" s="1" t="s">
        <v>39</v>
      </c>
      <c r="X2495" s="1" t="n">
        <v>3.9</v>
      </c>
      <c r="Y2495" s="1" t="s">
        <v>40</v>
      </c>
      <c r="Z2495" s="1" t="n">
        <v>0</v>
      </c>
      <c r="AA2495" s="1" t="str">
        <f aca="false">TRIM(PROPER(F2495))</f>
        <v>Kolkata</v>
      </c>
      <c r="AB2495" s="1" t="str">
        <f aca="false">TRIM(PROPER(C2495))</f>
        <v>Vedantu</v>
      </c>
      <c r="AC2495" s="1" t="str">
        <f aca="false">IF(O2495=0,"No Discount",IF(O2495&lt;=15,"Low (1-15%)",IF(O2495&lt;=30,"Medium (16-30%)","High (&gt;30%)")))</f>
        <v>No Discount</v>
      </c>
      <c r="AD2495" s="1" t="str">
        <f aca="false">IF(V2495&lt;0,"Loss Making",IF(V2495&lt;20,"Low Margin","Healthy Margin"))</f>
        <v>Healthy Margin</v>
      </c>
      <c r="AE2495" s="1" t="str">
        <f aca="false">TEXT(DATE(VALUE(RIGHT(B2495,4)),VALUE(MID(B2495,4,2)),VALUE(LEFT(B2495,2))),"MMM-YYYY")</f>
        <v>Jan-2024</v>
      </c>
      <c r="AF2495" s="1" t="n">
        <f aca="false">VALUE(RIGHT(B2495,4))</f>
        <v>2024</v>
      </c>
      <c r="AG2495" s="1" t="str">
        <f aca="false">CHOOSE(ROUNDUP(VALUE(MID(B2495,4,2))/3,0),"Q1","Q2","Q3","Q4")</f>
        <v>Q1</v>
      </c>
    </row>
    <row r="2496" customFormat="false" ht="15" hidden="false" customHeight="true" outlineLevel="0" collapsed="false">
      <c r="A2496" s="1" t="s">
        <v>3372</v>
      </c>
      <c r="B2496" s="1" t="s">
        <v>791</v>
      </c>
      <c r="C2496" s="1" t="s">
        <v>178</v>
      </c>
      <c r="D2496" s="1" t="s">
        <v>53</v>
      </c>
      <c r="E2496" s="1" t="s">
        <v>116</v>
      </c>
      <c r="F2496" s="1" t="s">
        <v>96</v>
      </c>
      <c r="G2496" s="1" t="s">
        <v>97</v>
      </c>
      <c r="H2496" s="1" t="s">
        <v>69</v>
      </c>
      <c r="I2496" s="1" t="s">
        <v>83</v>
      </c>
      <c r="J2496" s="1" t="s">
        <v>70</v>
      </c>
      <c r="K2496" s="1" t="s">
        <v>48</v>
      </c>
      <c r="L2496" s="1" t="s">
        <v>37</v>
      </c>
      <c r="M2496" s="1" t="s">
        <v>62</v>
      </c>
      <c r="N2496" s="1" t="n">
        <v>9999</v>
      </c>
      <c r="O2496" s="1" t="n">
        <v>5</v>
      </c>
      <c r="P2496" s="1" t="n">
        <v>499.95</v>
      </c>
      <c r="Q2496" s="1" t="n">
        <v>9499.05</v>
      </c>
      <c r="R2496" s="1" t="n">
        <v>1709.83</v>
      </c>
      <c r="S2496" s="1" t="n">
        <v>7789.22</v>
      </c>
      <c r="T2496" s="1" t="n">
        <v>3060.48</v>
      </c>
      <c r="U2496" s="1" t="n">
        <v>4728.74</v>
      </c>
      <c r="V2496" s="1" t="n">
        <v>60.71</v>
      </c>
      <c r="W2496" s="1" t="s">
        <v>39</v>
      </c>
      <c r="X2496" s="1" t="n">
        <v>3.8</v>
      </c>
      <c r="Y2496" s="1" t="s">
        <v>40</v>
      </c>
      <c r="Z2496" s="1" t="n">
        <v>0</v>
      </c>
      <c r="AA2496" s="1" t="str">
        <f aca="false">TRIM(PROPER(F2496))</f>
        <v>Pune</v>
      </c>
      <c r="AB2496" s="1" t="str">
        <f aca="false">TRIM(PROPER(C2496))</f>
        <v>Leverage Edu</v>
      </c>
      <c r="AC2496" s="1" t="str">
        <f aca="false">IF(O2496=0,"No Discount",IF(O2496&lt;=15,"Low (1-15%)",IF(O2496&lt;=30,"Medium (16-30%)","High (&gt;30%)")))</f>
        <v>Low (1-15%)</v>
      </c>
      <c r="AD2496" s="1" t="str">
        <f aca="false">IF(V2496&lt;0,"Loss Making",IF(V2496&lt;20,"Low Margin","Healthy Margin"))</f>
        <v>Healthy Margin</v>
      </c>
      <c r="AE2496" s="1" t="str">
        <f aca="false">TEXT(DATE(VALUE(RIGHT(B2496,4)),VALUE(MID(B2496,4,2)),VALUE(LEFT(B2496,2))),"MMM-YYYY")</f>
        <v>Jun-2023</v>
      </c>
      <c r="AF2496" s="1" t="n">
        <f aca="false">VALUE(RIGHT(B2496,4))</f>
        <v>2023</v>
      </c>
      <c r="AG2496" s="1" t="str">
        <f aca="false">CHOOSE(ROUNDUP(VALUE(MID(B2496,4,2))/3,0),"Q1","Q2","Q3","Q4")</f>
        <v>Q2</v>
      </c>
    </row>
    <row r="2497" customFormat="false" ht="15" hidden="false" customHeight="true" outlineLevel="0" collapsed="false">
      <c r="A2497" s="1" t="s">
        <v>3373</v>
      </c>
      <c r="B2497" s="1" t="s">
        <v>2137</v>
      </c>
      <c r="C2497" s="1" t="s">
        <v>65</v>
      </c>
      <c r="D2497" s="1" t="s">
        <v>80</v>
      </c>
      <c r="E2497" s="1" t="s">
        <v>175</v>
      </c>
      <c r="F2497" s="1" t="s">
        <v>140</v>
      </c>
      <c r="G2497" s="1" t="s">
        <v>97</v>
      </c>
      <c r="H2497" s="1" t="s">
        <v>57</v>
      </c>
      <c r="I2497" s="1" t="s">
        <v>83</v>
      </c>
      <c r="J2497" s="1" t="s">
        <v>35</v>
      </c>
      <c r="K2497" s="1" t="s">
        <v>71</v>
      </c>
      <c r="L2497" s="1" t="s">
        <v>37</v>
      </c>
      <c r="M2497" s="1" t="s">
        <v>50</v>
      </c>
      <c r="N2497" s="1" t="n">
        <v>19999</v>
      </c>
      <c r="O2497" s="1" t="n">
        <v>10</v>
      </c>
      <c r="P2497" s="1" t="n">
        <v>1999.9</v>
      </c>
      <c r="Q2497" s="1" t="n">
        <v>17999.1</v>
      </c>
      <c r="R2497" s="1" t="n">
        <v>3239.84</v>
      </c>
      <c r="S2497" s="1" t="n">
        <v>14759.26</v>
      </c>
      <c r="T2497" s="1" t="n">
        <v>6281.78</v>
      </c>
      <c r="U2497" s="1" t="n">
        <v>8477.48</v>
      </c>
      <c r="V2497" s="1" t="n">
        <v>57.44</v>
      </c>
      <c r="W2497" s="1" t="s">
        <v>39</v>
      </c>
      <c r="X2497" s="1" t="n">
        <v>4.2</v>
      </c>
      <c r="Y2497" s="1" t="s">
        <v>40</v>
      </c>
      <c r="Z2497" s="1" t="n">
        <v>1</v>
      </c>
      <c r="AA2497" s="1" t="str">
        <f aca="false">TRIM(PROPER(F2497))</f>
        <v>Nashik</v>
      </c>
      <c r="AB2497" s="1" t="str">
        <f aca="false">TRIM(PROPER(C2497))</f>
        <v>Toppr</v>
      </c>
      <c r="AC2497" s="1" t="str">
        <f aca="false">IF(O2497=0,"No Discount",IF(O2497&lt;=15,"Low (1-15%)",IF(O2497&lt;=30,"Medium (16-30%)","High (&gt;30%)")))</f>
        <v>Low (1-15%)</v>
      </c>
      <c r="AD2497" s="1" t="str">
        <f aca="false">IF(V2497&lt;0,"Loss Making",IF(V2497&lt;20,"Low Margin","Healthy Margin"))</f>
        <v>Healthy Margin</v>
      </c>
      <c r="AE2497" s="1" t="str">
        <f aca="false">TEXT(DATE(VALUE(RIGHT(B2497,4)),VALUE(MID(B2497,4,2)),VALUE(LEFT(B2497,2))),"MMM-YYYY")</f>
        <v>Aug-2024</v>
      </c>
      <c r="AF2497" s="1" t="n">
        <f aca="false">VALUE(RIGHT(B2497,4))</f>
        <v>2024</v>
      </c>
      <c r="AG2497" s="1" t="str">
        <f aca="false">CHOOSE(ROUNDUP(VALUE(MID(B2497,4,2))/3,0),"Q1","Q2","Q3","Q4")</f>
        <v>Q3</v>
      </c>
    </row>
    <row r="2498" customFormat="false" ht="15" hidden="false" customHeight="true" outlineLevel="0" collapsed="false">
      <c r="A2498" s="1" t="s">
        <v>3374</v>
      </c>
      <c r="B2498" s="1" t="s">
        <v>1847</v>
      </c>
      <c r="C2498" s="1" t="s">
        <v>134</v>
      </c>
      <c r="D2498" s="1" t="s">
        <v>53</v>
      </c>
      <c r="E2498" s="1" t="s">
        <v>216</v>
      </c>
      <c r="F2498" s="1" t="s">
        <v>130</v>
      </c>
      <c r="G2498" s="1" t="s">
        <v>47</v>
      </c>
      <c r="H2498" s="1" t="s">
        <v>69</v>
      </c>
      <c r="I2498" s="1" t="s">
        <v>58</v>
      </c>
      <c r="J2498" s="1" t="s">
        <v>77</v>
      </c>
      <c r="K2498" s="1" t="s">
        <v>84</v>
      </c>
      <c r="L2498" s="1" t="s">
        <v>113</v>
      </c>
      <c r="M2498" s="1" t="s">
        <v>50</v>
      </c>
      <c r="N2498" s="1" t="n">
        <v>7499</v>
      </c>
      <c r="O2498" s="1" t="n">
        <v>25</v>
      </c>
      <c r="P2498" s="1" t="n">
        <v>1874.75</v>
      </c>
      <c r="Q2498" s="1" t="n">
        <v>5624.25</v>
      </c>
      <c r="R2498" s="1" t="n">
        <v>1012.37</v>
      </c>
      <c r="S2498" s="1" t="n">
        <v>4611.88</v>
      </c>
      <c r="T2498" s="1" t="n">
        <v>2472.41</v>
      </c>
      <c r="U2498" s="1" t="n">
        <v>2139.47</v>
      </c>
      <c r="V2498" s="1" t="n">
        <v>46.39</v>
      </c>
      <c r="W2498" s="1" t="s">
        <v>40</v>
      </c>
      <c r="Y2498" s="1" t="s">
        <v>40</v>
      </c>
      <c r="Z2498" s="1" t="n">
        <v>1</v>
      </c>
      <c r="AA2498" s="1" t="str">
        <f aca="false">TRIM(PROPER(F2498))</f>
        <v>Bengaluru</v>
      </c>
      <c r="AB2498" s="1" t="str">
        <f aca="false">TRIM(PROPER(C2498))</f>
        <v>Doubtnut</v>
      </c>
      <c r="AC2498" s="1" t="str">
        <f aca="false">IF(O2498=0,"No Discount",IF(O2498&lt;=15,"Low (1-15%)",IF(O2498&lt;=30,"Medium (16-30%)","High (&gt;30%)")))</f>
        <v>Medium (16-30%)</v>
      </c>
      <c r="AD2498" s="1" t="str">
        <f aca="false">IF(V2498&lt;0,"Loss Making",IF(V2498&lt;20,"Low Margin","Healthy Margin"))</f>
        <v>Healthy Margin</v>
      </c>
      <c r="AE2498" s="1" t="str">
        <f aca="false">TEXT(DATE(VALUE(RIGHT(B2498,4)),VALUE(MID(B2498,4,2)),VALUE(LEFT(B2498,2))),"MMM-YYYY")</f>
        <v>Jul-2023</v>
      </c>
      <c r="AF2498" s="1" t="n">
        <f aca="false">VALUE(RIGHT(B2498,4))</f>
        <v>2023</v>
      </c>
      <c r="AG2498" s="1" t="str">
        <f aca="false">CHOOSE(ROUNDUP(VALUE(MID(B2498,4,2))/3,0),"Q1","Q2","Q3","Q4")</f>
        <v>Q3</v>
      </c>
    </row>
    <row r="2499" customFormat="false" ht="15" hidden="false" customHeight="true" outlineLevel="0" collapsed="false">
      <c r="A2499" s="1" t="s">
        <v>3375</v>
      </c>
      <c r="B2499" s="1" t="s">
        <v>692</v>
      </c>
      <c r="C2499" s="1" t="s">
        <v>139</v>
      </c>
      <c r="D2499" s="1" t="s">
        <v>123</v>
      </c>
      <c r="E2499" s="1" t="s">
        <v>147</v>
      </c>
      <c r="F2499" s="1" t="s">
        <v>102</v>
      </c>
      <c r="G2499" s="1" t="s">
        <v>103</v>
      </c>
      <c r="H2499" s="1" t="s">
        <v>33</v>
      </c>
      <c r="I2499" s="1" t="s">
        <v>34</v>
      </c>
      <c r="J2499" s="1" t="s">
        <v>131</v>
      </c>
      <c r="K2499" s="1" t="s">
        <v>84</v>
      </c>
      <c r="L2499" s="1" t="s">
        <v>61</v>
      </c>
      <c r="M2499" s="1" t="s">
        <v>50</v>
      </c>
      <c r="N2499" s="1" t="n">
        <v>6999</v>
      </c>
      <c r="O2499" s="1" t="n">
        <v>0</v>
      </c>
      <c r="P2499" s="1" t="n">
        <v>0</v>
      </c>
      <c r="Q2499" s="1" t="n">
        <v>6999</v>
      </c>
      <c r="R2499" s="1" t="n">
        <v>1259.82</v>
      </c>
      <c r="S2499" s="1" t="n">
        <v>5739.18</v>
      </c>
      <c r="T2499" s="1" t="n">
        <v>1900.69</v>
      </c>
      <c r="U2499" s="1" t="n">
        <v>3838.49</v>
      </c>
      <c r="V2499" s="1" t="n">
        <v>66.88</v>
      </c>
      <c r="W2499" s="1" t="s">
        <v>40</v>
      </c>
      <c r="Y2499" s="1" t="s">
        <v>40</v>
      </c>
      <c r="Z2499" s="1" t="n">
        <v>1</v>
      </c>
      <c r="AA2499" s="1" t="str">
        <f aca="false">TRIM(PROPER(F2499))</f>
        <v>Warangal</v>
      </c>
      <c r="AB2499" s="1" t="str">
        <f aca="false">TRIM(PROPER(C2499))</f>
        <v>Extramarks</v>
      </c>
      <c r="AC2499" s="1" t="str">
        <f aca="false">IF(O2499=0,"No Discount",IF(O2499&lt;=15,"Low (1-15%)",IF(O2499&lt;=30,"Medium (16-30%)","High (&gt;30%)")))</f>
        <v>No Discount</v>
      </c>
      <c r="AD2499" s="1" t="str">
        <f aca="false">IF(V2499&lt;0,"Loss Making",IF(V2499&lt;20,"Low Margin","Healthy Margin"))</f>
        <v>Healthy Margin</v>
      </c>
      <c r="AE2499" s="1" t="str">
        <f aca="false">TEXT(DATE(VALUE(RIGHT(B2499,4)),VALUE(MID(B2499,4,2)),VALUE(LEFT(B2499,2))),"MMM-YYYY")</f>
        <v>Jan-2024</v>
      </c>
      <c r="AF2499" s="1" t="n">
        <f aca="false">VALUE(RIGHT(B2499,4))</f>
        <v>2024</v>
      </c>
      <c r="AG2499" s="1" t="str">
        <f aca="false">CHOOSE(ROUNDUP(VALUE(MID(B2499,4,2))/3,0),"Q1","Q2","Q3","Q4")</f>
        <v>Q1</v>
      </c>
    </row>
    <row r="2500" customFormat="false" ht="15" hidden="false" customHeight="true" outlineLevel="0" collapsed="false">
      <c r="A2500" s="1" t="s">
        <v>3376</v>
      </c>
      <c r="B2500" s="1" t="s">
        <v>665</v>
      </c>
      <c r="C2500" s="1" t="s">
        <v>93</v>
      </c>
      <c r="D2500" s="1" t="s">
        <v>44</v>
      </c>
      <c r="E2500" s="1" t="s">
        <v>221</v>
      </c>
      <c r="F2500" s="1" t="s">
        <v>269</v>
      </c>
      <c r="G2500" s="1" t="s">
        <v>108</v>
      </c>
      <c r="H2500" s="1" t="s">
        <v>57</v>
      </c>
      <c r="I2500" s="1" t="s">
        <v>58</v>
      </c>
      <c r="J2500" s="1" t="s">
        <v>70</v>
      </c>
      <c r="K2500" s="1" t="s">
        <v>36</v>
      </c>
      <c r="L2500" s="1" t="s">
        <v>49</v>
      </c>
      <c r="M2500" s="1" t="s">
        <v>50</v>
      </c>
      <c r="N2500" s="1" t="n">
        <v>16999</v>
      </c>
      <c r="O2500" s="1" t="n">
        <v>15</v>
      </c>
      <c r="P2500" s="1" t="n">
        <v>2549.85</v>
      </c>
      <c r="Q2500" s="1" t="n">
        <v>14449.15</v>
      </c>
      <c r="R2500" s="1" t="n">
        <v>2600.85</v>
      </c>
      <c r="S2500" s="1" t="n">
        <v>11848.3</v>
      </c>
      <c r="T2500" s="1" t="n">
        <v>5604.23</v>
      </c>
      <c r="U2500" s="1" t="n">
        <v>6244.07</v>
      </c>
      <c r="V2500" s="1" t="n">
        <v>52.7</v>
      </c>
      <c r="W2500" s="1" t="s">
        <v>39</v>
      </c>
      <c r="X2500" s="1" t="n">
        <v>4.7</v>
      </c>
      <c r="Y2500" s="1" t="s">
        <v>39</v>
      </c>
      <c r="Z2500" s="1" t="n">
        <v>0</v>
      </c>
      <c r="AA2500" s="1" t="str">
        <f aca="false">TRIM(PROPER(F2500))</f>
        <v>Coimbatore</v>
      </c>
      <c r="AB2500" s="1" t="str">
        <f aca="false">TRIM(PROPER(C2500))</f>
        <v>Upgrad</v>
      </c>
      <c r="AC2500" s="1" t="str">
        <f aca="false">IF(O2500=0,"No Discount",IF(O2500&lt;=15,"Low (1-15%)",IF(O2500&lt;=30,"Medium (16-30%)","High (&gt;30%)")))</f>
        <v>Low (1-15%)</v>
      </c>
      <c r="AD2500" s="1" t="str">
        <f aca="false">IF(V2500&lt;0,"Loss Making",IF(V2500&lt;20,"Low Margin","Healthy Margin"))</f>
        <v>Healthy Margin</v>
      </c>
      <c r="AE2500" s="1" t="str">
        <f aca="false">TEXT(DATE(VALUE(RIGHT(B2500,4)),VALUE(MID(B2500,4,2)),VALUE(LEFT(B2500,2))),"MMM-YYYY")</f>
        <v>Sep-2023</v>
      </c>
      <c r="AF2500" s="1" t="n">
        <f aca="false">VALUE(RIGHT(B2500,4))</f>
        <v>2023</v>
      </c>
      <c r="AG2500" s="1" t="str">
        <f aca="false">CHOOSE(ROUNDUP(VALUE(MID(B2500,4,2))/3,0),"Q1","Q2","Q3","Q4")</f>
        <v>Q3</v>
      </c>
    </row>
    <row r="2501" customFormat="false" ht="15" hidden="false" customHeight="true" outlineLevel="0" collapsed="false">
      <c r="A2501" s="1" t="s">
        <v>3377</v>
      </c>
      <c r="B2501" s="1" t="s">
        <v>1402</v>
      </c>
      <c r="C2501" s="1" t="s">
        <v>28</v>
      </c>
      <c r="D2501" s="1" t="s">
        <v>80</v>
      </c>
      <c r="E2501" s="1" t="s">
        <v>175</v>
      </c>
      <c r="F2501" s="1" t="s">
        <v>184</v>
      </c>
      <c r="G2501" s="1" t="s">
        <v>56</v>
      </c>
      <c r="H2501" s="1" t="s">
        <v>57</v>
      </c>
      <c r="I2501" s="1" t="s">
        <v>83</v>
      </c>
      <c r="J2501" s="1" t="s">
        <v>131</v>
      </c>
      <c r="K2501" s="1" t="s">
        <v>112</v>
      </c>
      <c r="L2501" s="1" t="s">
        <v>49</v>
      </c>
      <c r="M2501" s="1" t="s">
        <v>62</v>
      </c>
      <c r="N2501" s="1" t="n">
        <v>19999</v>
      </c>
      <c r="O2501" s="1" t="n">
        <v>10</v>
      </c>
      <c r="P2501" s="1" t="n">
        <v>1999.9</v>
      </c>
      <c r="Q2501" s="1" t="n">
        <v>17999.1</v>
      </c>
      <c r="R2501" s="1" t="n">
        <v>3239.84</v>
      </c>
      <c r="S2501" s="1" t="n">
        <v>14759.26</v>
      </c>
      <c r="T2501" s="1" t="n">
        <v>8460.66</v>
      </c>
      <c r="U2501" s="1" t="n">
        <v>6298.6</v>
      </c>
      <c r="V2501" s="1" t="n">
        <v>42.68</v>
      </c>
      <c r="W2501" s="1" t="s">
        <v>39</v>
      </c>
      <c r="X2501" s="1" t="n">
        <v>3.7</v>
      </c>
      <c r="Y2501" s="1" t="s">
        <v>40</v>
      </c>
      <c r="Z2501" s="1" t="n">
        <v>0</v>
      </c>
      <c r="AA2501" s="1" t="str">
        <f aca="false">TRIM(PROPER(F2501))</f>
        <v>Faridabad</v>
      </c>
      <c r="AB2501" s="1" t="str">
        <f aca="false">TRIM(PROPER(C2501))</f>
        <v>Embibe</v>
      </c>
      <c r="AC2501" s="1" t="str">
        <f aca="false">IF(O2501=0,"No Discount",IF(O2501&lt;=15,"Low (1-15%)",IF(O2501&lt;=30,"Medium (16-30%)","High (&gt;30%)")))</f>
        <v>Low (1-15%)</v>
      </c>
      <c r="AD2501" s="1" t="str">
        <f aca="false">IF(V2501&lt;0,"Loss Making",IF(V2501&lt;20,"Low Margin","Healthy Margin"))</f>
        <v>Healthy Margin</v>
      </c>
      <c r="AE2501" s="1" t="str">
        <f aca="false">TEXT(DATE(VALUE(RIGHT(B2501,4)),VALUE(MID(B2501,4,2)),VALUE(LEFT(B2501,2))),"MMM-YYYY")</f>
        <v>Apr-2023</v>
      </c>
      <c r="AF2501" s="1" t="n">
        <f aca="false">VALUE(RIGHT(B2501,4))</f>
        <v>2023</v>
      </c>
      <c r="AG2501" s="1" t="str">
        <f aca="false">CHOOSE(ROUNDUP(VALUE(MID(B2501,4,2))/3,0),"Q1","Q2","Q3","Q4")</f>
        <v>Q2</v>
      </c>
    </row>
    <row r="2502" customFormat="false" ht="15" hidden="false" customHeight="true" outlineLevel="0" collapsed="false">
      <c r="A2502" s="1" t="s">
        <v>3378</v>
      </c>
      <c r="B2502" s="1" t="s">
        <v>630</v>
      </c>
      <c r="C2502" s="1" t="s">
        <v>134</v>
      </c>
      <c r="D2502" s="1" t="s">
        <v>123</v>
      </c>
      <c r="E2502" s="1" t="s">
        <v>233</v>
      </c>
      <c r="F2502" s="1" t="s">
        <v>269</v>
      </c>
      <c r="G2502" s="1" t="s">
        <v>108</v>
      </c>
      <c r="H2502" s="1" t="s">
        <v>57</v>
      </c>
      <c r="I2502" s="1" t="s">
        <v>34</v>
      </c>
      <c r="J2502" s="1" t="s">
        <v>35</v>
      </c>
      <c r="K2502" s="1" t="s">
        <v>84</v>
      </c>
      <c r="L2502" s="1" t="s">
        <v>113</v>
      </c>
      <c r="M2502" s="1" t="s">
        <v>38</v>
      </c>
      <c r="N2502" s="1" t="n">
        <v>8999</v>
      </c>
      <c r="O2502" s="1" t="n">
        <v>50</v>
      </c>
      <c r="P2502" s="1" t="n">
        <v>4499.5</v>
      </c>
      <c r="Q2502" s="1" t="n">
        <v>4499.5</v>
      </c>
      <c r="R2502" s="1" t="n">
        <v>809.91</v>
      </c>
      <c r="S2502" s="1" t="n">
        <v>3689.59</v>
      </c>
      <c r="T2502" s="1" t="n">
        <v>1968.25</v>
      </c>
      <c r="U2502" s="1" t="n">
        <v>1721.34</v>
      </c>
      <c r="V2502" s="1" t="n">
        <v>46.65</v>
      </c>
      <c r="W2502" s="1" t="s">
        <v>39</v>
      </c>
      <c r="X2502" s="1" t="n">
        <v>3.8</v>
      </c>
      <c r="Y2502" s="1" t="s">
        <v>40</v>
      </c>
      <c r="Z2502" s="1" t="n">
        <v>0</v>
      </c>
      <c r="AA2502" s="1" t="str">
        <f aca="false">TRIM(PROPER(F2502))</f>
        <v>Coimbatore</v>
      </c>
      <c r="AB2502" s="1" t="str">
        <f aca="false">TRIM(PROPER(C2502))</f>
        <v>Doubtnut</v>
      </c>
      <c r="AC2502" s="1" t="str">
        <f aca="false">IF(O2502=0,"No Discount",IF(O2502&lt;=15,"Low (1-15%)",IF(O2502&lt;=30,"Medium (16-30%)","High (&gt;30%)")))</f>
        <v>High (&gt;30%)</v>
      </c>
      <c r="AD2502" s="1" t="str">
        <f aca="false">IF(V2502&lt;0,"Loss Making",IF(V2502&lt;20,"Low Margin","Healthy Margin"))</f>
        <v>Healthy Margin</v>
      </c>
      <c r="AE2502" s="1" t="str">
        <f aca="false">TEXT(DATE(VALUE(RIGHT(B2502,4)),VALUE(MID(B2502,4,2)),VALUE(LEFT(B2502,2))),"MMM-YYYY")</f>
        <v>Dec-2024</v>
      </c>
      <c r="AF2502" s="1" t="n">
        <f aca="false">VALUE(RIGHT(B2502,4))</f>
        <v>2024</v>
      </c>
      <c r="AG2502" s="1" t="str">
        <f aca="false">CHOOSE(ROUNDUP(VALUE(MID(B2502,4,2))/3,0),"Q1","Q2","Q3","Q4")</f>
        <v>Q4</v>
      </c>
    </row>
    <row r="2503" customFormat="false" ht="15" hidden="false" customHeight="true" outlineLevel="0" collapsed="false">
      <c r="A2503" s="1" t="s">
        <v>3379</v>
      </c>
      <c r="B2503" s="1" t="s">
        <v>397</v>
      </c>
      <c r="C2503" s="1" t="s">
        <v>264</v>
      </c>
      <c r="D2503" s="1" t="s">
        <v>29</v>
      </c>
      <c r="E2503" s="1" t="s">
        <v>182</v>
      </c>
      <c r="F2503" s="1" t="s">
        <v>107</v>
      </c>
      <c r="G2503" s="1" t="s">
        <v>108</v>
      </c>
      <c r="H2503" s="1" t="s">
        <v>33</v>
      </c>
      <c r="I2503" s="1" t="s">
        <v>58</v>
      </c>
      <c r="J2503" s="1" t="s">
        <v>35</v>
      </c>
      <c r="K2503" s="1" t="s">
        <v>90</v>
      </c>
      <c r="L2503" s="1" t="s">
        <v>37</v>
      </c>
      <c r="M2503" s="1" t="s">
        <v>38</v>
      </c>
      <c r="N2503" s="1" t="n">
        <v>34999</v>
      </c>
      <c r="O2503" s="1" t="n">
        <v>10</v>
      </c>
      <c r="P2503" s="1" t="n">
        <v>3499.9</v>
      </c>
      <c r="Q2503" s="1" t="n">
        <v>31499.1</v>
      </c>
      <c r="R2503" s="1" t="n">
        <v>5669.84</v>
      </c>
      <c r="S2503" s="1" t="n">
        <v>25829.26</v>
      </c>
      <c r="T2503" s="1" t="n">
        <v>12093.46</v>
      </c>
      <c r="U2503" s="1" t="n">
        <v>13735.8</v>
      </c>
      <c r="V2503" s="1" t="n">
        <v>53.18</v>
      </c>
      <c r="W2503" s="1" t="s">
        <v>40</v>
      </c>
      <c r="Y2503" s="1" t="s">
        <v>39</v>
      </c>
      <c r="Z2503" s="1" t="n">
        <v>1</v>
      </c>
      <c r="AA2503" s="1" t="str">
        <f aca="false">TRIM(PROPER(F2503))</f>
        <v>Madurai</v>
      </c>
      <c r="AB2503" s="1" t="str">
        <f aca="false">TRIM(PROPER(C2503))</f>
        <v>Unacademy</v>
      </c>
      <c r="AC2503" s="1" t="str">
        <f aca="false">IF(O2503=0,"No Discount",IF(O2503&lt;=15,"Low (1-15%)",IF(O2503&lt;=30,"Medium (16-30%)","High (&gt;30%)")))</f>
        <v>Low (1-15%)</v>
      </c>
      <c r="AD2503" s="1" t="str">
        <f aca="false">IF(V2503&lt;0,"Loss Making",IF(V2503&lt;20,"Low Margin","Healthy Margin"))</f>
        <v>Healthy Margin</v>
      </c>
      <c r="AE2503" s="1" t="str">
        <f aca="false">TEXT(DATE(VALUE(RIGHT(B2503,4)),VALUE(MID(B2503,4,2)),VALUE(LEFT(B2503,2))),"MMM-YYYY")</f>
        <v>Mar-2023</v>
      </c>
      <c r="AF2503" s="1" t="n">
        <f aca="false">VALUE(RIGHT(B2503,4))</f>
        <v>2023</v>
      </c>
      <c r="AG2503" s="1" t="str">
        <f aca="false">CHOOSE(ROUNDUP(VALUE(MID(B2503,4,2))/3,0),"Q1","Q2","Q3","Q4")</f>
        <v>Q1</v>
      </c>
    </row>
    <row r="2504" customFormat="false" ht="15" hidden="false" customHeight="true" outlineLevel="0" collapsed="false">
      <c r="A2504" s="1" t="s">
        <v>3380</v>
      </c>
      <c r="B2504" s="1" t="s">
        <v>2920</v>
      </c>
      <c r="C2504" s="1" t="s">
        <v>28</v>
      </c>
      <c r="D2504" s="1" t="s">
        <v>123</v>
      </c>
      <c r="E2504" s="1" t="s">
        <v>147</v>
      </c>
      <c r="F2504" s="1" t="s">
        <v>187</v>
      </c>
      <c r="G2504" s="1" t="s">
        <v>97</v>
      </c>
      <c r="H2504" s="1" t="s">
        <v>69</v>
      </c>
      <c r="I2504" s="1" t="s">
        <v>58</v>
      </c>
      <c r="J2504" s="1" t="s">
        <v>35</v>
      </c>
      <c r="K2504" s="1" t="s">
        <v>112</v>
      </c>
      <c r="L2504" s="1" t="s">
        <v>61</v>
      </c>
      <c r="M2504" s="1" t="s">
        <v>38</v>
      </c>
      <c r="N2504" s="1" t="n">
        <v>6999</v>
      </c>
      <c r="O2504" s="1" t="n">
        <v>0</v>
      </c>
      <c r="P2504" s="1" t="n">
        <v>0</v>
      </c>
      <c r="Q2504" s="1" t="n">
        <v>6999</v>
      </c>
      <c r="R2504" s="1" t="n">
        <v>1259.82</v>
      </c>
      <c r="S2504" s="1" t="n">
        <v>5739.18</v>
      </c>
      <c r="T2504" s="1" t="n">
        <v>2604.99</v>
      </c>
      <c r="U2504" s="1" t="n">
        <v>3134.19</v>
      </c>
      <c r="V2504" s="1" t="n">
        <v>54.61</v>
      </c>
      <c r="W2504" s="1" t="s">
        <v>39</v>
      </c>
      <c r="X2504" s="1" t="n">
        <v>2.8</v>
      </c>
      <c r="Y2504" s="1" t="s">
        <v>40</v>
      </c>
      <c r="Z2504" s="1" t="n">
        <v>1</v>
      </c>
      <c r="AA2504" s="1" t="str">
        <f aca="false">TRIM(PROPER(F2504))</f>
        <v>Mumbai</v>
      </c>
      <c r="AB2504" s="1" t="str">
        <f aca="false">TRIM(PROPER(C2504))</f>
        <v>Embibe</v>
      </c>
      <c r="AC2504" s="1" t="str">
        <f aca="false">IF(O2504=0,"No Discount",IF(O2504&lt;=15,"Low (1-15%)",IF(O2504&lt;=30,"Medium (16-30%)","High (&gt;30%)")))</f>
        <v>No Discount</v>
      </c>
      <c r="AD2504" s="1" t="str">
        <f aca="false">IF(V2504&lt;0,"Loss Making",IF(V2504&lt;20,"Low Margin","Healthy Margin"))</f>
        <v>Healthy Margin</v>
      </c>
      <c r="AE2504" s="1" t="str">
        <f aca="false">TEXT(DATE(VALUE(RIGHT(B2504,4)),VALUE(MID(B2504,4,2)),VALUE(LEFT(B2504,2))),"MMM-YYYY")</f>
        <v>Apr-2023</v>
      </c>
      <c r="AF2504" s="1" t="n">
        <f aca="false">VALUE(RIGHT(B2504,4))</f>
        <v>2023</v>
      </c>
      <c r="AG2504" s="1" t="str">
        <f aca="false">CHOOSE(ROUNDUP(VALUE(MID(B2504,4,2))/3,0),"Q1","Q2","Q3","Q4")</f>
        <v>Q2</v>
      </c>
    </row>
    <row r="2505" customFormat="false" ht="15" hidden="false" customHeight="true" outlineLevel="0" collapsed="false">
      <c r="A2505" s="1" t="s">
        <v>3381</v>
      </c>
      <c r="B2505" s="1" t="s">
        <v>1614</v>
      </c>
      <c r="C2505" s="1" t="s">
        <v>128</v>
      </c>
      <c r="D2505" s="1" t="s">
        <v>168</v>
      </c>
      <c r="E2505" s="1" t="s">
        <v>169</v>
      </c>
      <c r="F2505" s="1" t="s">
        <v>75</v>
      </c>
      <c r="G2505" s="1" t="s">
        <v>76</v>
      </c>
      <c r="H2505" s="1" t="s">
        <v>69</v>
      </c>
      <c r="I2505" s="1" t="s">
        <v>83</v>
      </c>
      <c r="J2505" s="1" t="s">
        <v>35</v>
      </c>
      <c r="K2505" s="1" t="s">
        <v>48</v>
      </c>
      <c r="L2505" s="1" t="s">
        <v>85</v>
      </c>
      <c r="M2505" s="1" t="s">
        <v>62</v>
      </c>
      <c r="N2505" s="1" t="n">
        <v>4999</v>
      </c>
      <c r="O2505" s="1" t="n">
        <v>50</v>
      </c>
      <c r="P2505" s="1" t="n">
        <v>2499.5</v>
      </c>
      <c r="Q2505" s="1" t="n">
        <v>2499.5</v>
      </c>
      <c r="R2505" s="1" t="n">
        <v>449.91</v>
      </c>
      <c r="S2505" s="1" t="n">
        <v>2049.59</v>
      </c>
      <c r="T2505" s="1" t="n">
        <v>1076.14</v>
      </c>
      <c r="U2505" s="1" t="n">
        <v>973.45</v>
      </c>
      <c r="V2505" s="1" t="n">
        <v>47.49</v>
      </c>
      <c r="W2505" s="1" t="s">
        <v>39</v>
      </c>
      <c r="X2505" s="1" t="n">
        <v>3.5</v>
      </c>
      <c r="Y2505" s="1" t="s">
        <v>40</v>
      </c>
      <c r="Z2505" s="1" t="n">
        <v>0</v>
      </c>
      <c r="AA2505" s="1" t="str">
        <f aca="false">TRIM(PROPER(F2505))</f>
        <v>Kolkata</v>
      </c>
      <c r="AB2505" s="1" t="str">
        <f aca="false">TRIM(PROPER(C2505))</f>
        <v>Great Learning</v>
      </c>
      <c r="AC2505" s="1" t="str">
        <f aca="false">IF(O2505=0,"No Discount",IF(O2505&lt;=15,"Low (1-15%)",IF(O2505&lt;=30,"Medium (16-30%)","High (&gt;30%)")))</f>
        <v>High (&gt;30%)</v>
      </c>
      <c r="AD2505" s="1" t="str">
        <f aca="false">IF(V2505&lt;0,"Loss Making",IF(V2505&lt;20,"Low Margin","Healthy Margin"))</f>
        <v>Healthy Margin</v>
      </c>
      <c r="AE2505" s="1" t="str">
        <f aca="false">TEXT(DATE(VALUE(RIGHT(B2505,4)),VALUE(MID(B2505,4,2)),VALUE(LEFT(B2505,2))),"MMM-YYYY")</f>
        <v>Jan-2024</v>
      </c>
      <c r="AF2505" s="1" t="n">
        <f aca="false">VALUE(RIGHT(B2505,4))</f>
        <v>2024</v>
      </c>
      <c r="AG2505" s="1" t="str">
        <f aca="false">CHOOSE(ROUNDUP(VALUE(MID(B2505,4,2))/3,0),"Q1","Q2","Q3","Q4")</f>
        <v>Q1</v>
      </c>
    </row>
    <row r="2506" customFormat="false" ht="15" hidden="false" customHeight="true" outlineLevel="0" collapsed="false">
      <c r="A2506" s="1" t="s">
        <v>3382</v>
      </c>
      <c r="B2506" s="1" t="s">
        <v>1291</v>
      </c>
      <c r="C2506" s="1" t="s">
        <v>74</v>
      </c>
      <c r="D2506" s="1" t="s">
        <v>44</v>
      </c>
      <c r="E2506" s="1" t="s">
        <v>45</v>
      </c>
      <c r="F2506" s="1" t="s">
        <v>130</v>
      </c>
      <c r="G2506" s="1" t="s">
        <v>47</v>
      </c>
      <c r="H2506" s="1" t="s">
        <v>69</v>
      </c>
      <c r="I2506" s="1" t="s">
        <v>83</v>
      </c>
      <c r="J2506" s="1" t="s">
        <v>59</v>
      </c>
      <c r="K2506" s="1" t="s">
        <v>112</v>
      </c>
      <c r="L2506" s="1" t="s">
        <v>85</v>
      </c>
      <c r="M2506" s="1" t="s">
        <v>62</v>
      </c>
      <c r="N2506" s="1" t="n">
        <v>11999</v>
      </c>
      <c r="O2506" s="1" t="n">
        <v>20</v>
      </c>
      <c r="P2506" s="1" t="n">
        <v>2399.8</v>
      </c>
      <c r="Q2506" s="1" t="n">
        <v>9599.2</v>
      </c>
      <c r="R2506" s="1" t="n">
        <v>1727.86</v>
      </c>
      <c r="S2506" s="1" t="n">
        <v>7871.34</v>
      </c>
      <c r="T2506" s="1" t="n">
        <v>3443.98</v>
      </c>
      <c r="U2506" s="1" t="n">
        <v>4427.36</v>
      </c>
      <c r="V2506" s="1" t="n">
        <v>56.25</v>
      </c>
      <c r="W2506" s="1" t="s">
        <v>40</v>
      </c>
      <c r="Y2506" s="1" t="s">
        <v>40</v>
      </c>
      <c r="Z2506" s="1" t="n">
        <v>0</v>
      </c>
      <c r="AA2506" s="1" t="str">
        <f aca="false">TRIM(PROPER(F2506))</f>
        <v>Bengaluru</v>
      </c>
      <c r="AB2506" s="1" t="str">
        <f aca="false">TRIM(PROPER(C2506))</f>
        <v>Vedantu</v>
      </c>
      <c r="AC2506" s="1" t="str">
        <f aca="false">IF(O2506=0,"No Discount",IF(O2506&lt;=15,"Low (1-15%)",IF(O2506&lt;=30,"Medium (16-30%)","High (&gt;30%)")))</f>
        <v>Medium (16-30%)</v>
      </c>
      <c r="AD2506" s="1" t="str">
        <f aca="false">IF(V2506&lt;0,"Loss Making",IF(V2506&lt;20,"Low Margin","Healthy Margin"))</f>
        <v>Healthy Margin</v>
      </c>
      <c r="AE2506" s="1" t="str">
        <f aca="false">TEXT(DATE(VALUE(RIGHT(B2506,4)),VALUE(MID(B2506,4,2)),VALUE(LEFT(B2506,2))),"MMM-YYYY")</f>
        <v>Jun-2023</v>
      </c>
      <c r="AF2506" s="1" t="n">
        <f aca="false">VALUE(RIGHT(B2506,4))</f>
        <v>2023</v>
      </c>
      <c r="AG2506" s="1" t="str">
        <f aca="false">CHOOSE(ROUNDUP(VALUE(MID(B2506,4,2))/3,0),"Q1","Q2","Q3","Q4")</f>
        <v>Q2</v>
      </c>
    </row>
    <row r="2507" customFormat="false" ht="15" hidden="false" customHeight="true" outlineLevel="0" collapsed="false">
      <c r="A2507" s="1" t="s">
        <v>3383</v>
      </c>
      <c r="B2507" s="1" t="s">
        <v>460</v>
      </c>
      <c r="C2507" s="1" t="s">
        <v>88</v>
      </c>
      <c r="D2507" s="1" t="s">
        <v>143</v>
      </c>
      <c r="E2507" s="1" t="s">
        <v>144</v>
      </c>
      <c r="F2507" s="1" t="s">
        <v>1137</v>
      </c>
      <c r="G2507" s="1" t="s">
        <v>56</v>
      </c>
      <c r="H2507" s="1" t="s">
        <v>69</v>
      </c>
      <c r="I2507" s="1" t="s">
        <v>83</v>
      </c>
      <c r="J2507" s="1" t="s">
        <v>59</v>
      </c>
      <c r="K2507" s="1" t="s">
        <v>36</v>
      </c>
      <c r="L2507" s="1" t="s">
        <v>113</v>
      </c>
      <c r="M2507" s="1" t="s">
        <v>50</v>
      </c>
      <c r="N2507" s="1" t="n">
        <v>12999</v>
      </c>
      <c r="O2507" s="1" t="n">
        <v>50</v>
      </c>
      <c r="P2507" s="1" t="n">
        <v>6499.5</v>
      </c>
      <c r="Q2507" s="1" t="n">
        <v>6499.5</v>
      </c>
      <c r="R2507" s="1" t="n">
        <v>1169.91</v>
      </c>
      <c r="S2507" s="1" t="n">
        <v>5329.59</v>
      </c>
      <c r="T2507" s="1" t="n">
        <v>2412.31</v>
      </c>
      <c r="U2507" s="1" t="n">
        <v>2917.28</v>
      </c>
      <c r="V2507" s="1" t="n">
        <v>54.74</v>
      </c>
      <c r="W2507" s="1" t="s">
        <v>39</v>
      </c>
      <c r="Y2507" s="1" t="s">
        <v>40</v>
      </c>
      <c r="Z2507" s="1" t="n">
        <v>0</v>
      </c>
      <c r="AA2507" s="1" t="str">
        <f aca="false">TRIM(PROPER(F2507))</f>
        <v>Gurugram</v>
      </c>
      <c r="AB2507" s="1" t="str">
        <f aca="false">TRIM(PROPER(C2507))</f>
        <v>Byju'S</v>
      </c>
      <c r="AC2507" s="1" t="str">
        <f aca="false">IF(O2507=0,"No Discount",IF(O2507&lt;=15,"Low (1-15%)",IF(O2507&lt;=30,"Medium (16-30%)","High (&gt;30%)")))</f>
        <v>High (&gt;30%)</v>
      </c>
      <c r="AD2507" s="1" t="str">
        <f aca="false">IF(V2507&lt;0,"Loss Making",IF(V2507&lt;20,"Low Margin","Healthy Margin"))</f>
        <v>Healthy Margin</v>
      </c>
      <c r="AE2507" s="1" t="str">
        <f aca="false">TEXT(DATE(VALUE(RIGHT(B2507,4)),VALUE(MID(B2507,4,2)),VALUE(LEFT(B2507,2))),"MMM-YYYY")</f>
        <v>Apr-2023</v>
      </c>
      <c r="AF2507" s="1" t="n">
        <f aca="false">VALUE(RIGHT(B2507,4))</f>
        <v>2023</v>
      </c>
      <c r="AG2507" s="1" t="str">
        <f aca="false">CHOOSE(ROUNDUP(VALUE(MID(B2507,4,2))/3,0),"Q1","Q2","Q3","Q4")</f>
        <v>Q2</v>
      </c>
    </row>
    <row r="2508" customFormat="false" ht="15" hidden="false" customHeight="true" outlineLevel="0" collapsed="false">
      <c r="A2508" s="1" t="s">
        <v>3384</v>
      </c>
      <c r="B2508" s="1" t="s">
        <v>2826</v>
      </c>
      <c r="C2508" s="1" t="s">
        <v>139</v>
      </c>
      <c r="D2508" s="1" t="s">
        <v>44</v>
      </c>
      <c r="E2508" s="1" t="s">
        <v>66</v>
      </c>
      <c r="F2508" s="1" t="s">
        <v>205</v>
      </c>
      <c r="G2508" s="1" t="s">
        <v>56</v>
      </c>
      <c r="H2508" s="1" t="s">
        <v>69</v>
      </c>
      <c r="I2508" s="1" t="s">
        <v>34</v>
      </c>
      <c r="J2508" s="1" t="s">
        <v>59</v>
      </c>
      <c r="K2508" s="1" t="s">
        <v>112</v>
      </c>
      <c r="L2508" s="1" t="s">
        <v>113</v>
      </c>
      <c r="M2508" s="1" t="s">
        <v>62</v>
      </c>
      <c r="N2508" s="1" t="n">
        <v>12999</v>
      </c>
      <c r="O2508" s="1" t="n">
        <v>5</v>
      </c>
      <c r="P2508" s="1" t="n">
        <v>649.95</v>
      </c>
      <c r="Q2508" s="1" t="n">
        <v>12349.05</v>
      </c>
      <c r="R2508" s="1" t="n">
        <v>2222.83</v>
      </c>
      <c r="S2508" s="1" t="n">
        <v>10126.22</v>
      </c>
      <c r="T2508" s="1" t="n">
        <v>4032.99</v>
      </c>
      <c r="U2508" s="1" t="n">
        <v>6093.23</v>
      </c>
      <c r="V2508" s="1" t="n">
        <v>60.17</v>
      </c>
      <c r="W2508" s="1" t="s">
        <v>39</v>
      </c>
      <c r="X2508" s="1" t="n">
        <v>3.6</v>
      </c>
      <c r="Y2508" s="1" t="s">
        <v>40</v>
      </c>
      <c r="Z2508" s="1" t="n">
        <v>0</v>
      </c>
      <c r="AA2508" s="1" t="str">
        <f aca="false">TRIM(PROPER(F2508))</f>
        <v>New Delhi</v>
      </c>
      <c r="AB2508" s="1" t="str">
        <f aca="false">TRIM(PROPER(C2508))</f>
        <v>Extramarks</v>
      </c>
      <c r="AC2508" s="1" t="str">
        <f aca="false">IF(O2508=0,"No Discount",IF(O2508&lt;=15,"Low (1-15%)",IF(O2508&lt;=30,"Medium (16-30%)","High (&gt;30%)")))</f>
        <v>Low (1-15%)</v>
      </c>
      <c r="AD2508" s="1" t="str">
        <f aca="false">IF(V2508&lt;0,"Loss Making",IF(V2508&lt;20,"Low Margin","Healthy Margin"))</f>
        <v>Healthy Margin</v>
      </c>
      <c r="AE2508" s="1" t="str">
        <f aca="false">TEXT(DATE(VALUE(RIGHT(B2508,4)),VALUE(MID(B2508,4,2)),VALUE(LEFT(B2508,2))),"MMM-YYYY")</f>
        <v>Mar-2024</v>
      </c>
      <c r="AF2508" s="1" t="n">
        <f aca="false">VALUE(RIGHT(B2508,4))</f>
        <v>2024</v>
      </c>
      <c r="AG2508" s="1" t="str">
        <f aca="false">CHOOSE(ROUNDUP(VALUE(MID(B2508,4,2))/3,0),"Q1","Q2","Q3","Q4")</f>
        <v>Q1</v>
      </c>
    </row>
    <row r="2509" customFormat="false" ht="15" hidden="false" customHeight="true" outlineLevel="0" collapsed="false">
      <c r="A2509" s="1" t="s">
        <v>3385</v>
      </c>
      <c r="B2509" s="1" t="s">
        <v>827</v>
      </c>
      <c r="C2509" s="1" t="s">
        <v>93</v>
      </c>
      <c r="D2509" s="1" t="s">
        <v>94</v>
      </c>
      <c r="E2509" s="1" t="s">
        <v>95</v>
      </c>
      <c r="F2509" s="1" t="s">
        <v>75</v>
      </c>
      <c r="G2509" s="1" t="s">
        <v>76</v>
      </c>
      <c r="H2509" s="1" t="s">
        <v>69</v>
      </c>
      <c r="I2509" s="1" t="s">
        <v>58</v>
      </c>
      <c r="J2509" s="1" t="s">
        <v>70</v>
      </c>
      <c r="K2509" s="1" t="s">
        <v>112</v>
      </c>
      <c r="L2509" s="1" t="s">
        <v>136</v>
      </c>
      <c r="M2509" s="1" t="s">
        <v>50</v>
      </c>
      <c r="N2509" s="1" t="n">
        <v>6999</v>
      </c>
      <c r="O2509" s="1" t="n">
        <v>0</v>
      </c>
      <c r="P2509" s="1" t="n">
        <v>0</v>
      </c>
      <c r="Q2509" s="1" t="n">
        <v>6999</v>
      </c>
      <c r="R2509" s="1" t="n">
        <v>1259.82</v>
      </c>
      <c r="S2509" s="1" t="n">
        <v>5739.18</v>
      </c>
      <c r="T2509" s="1" t="n">
        <v>2608.89</v>
      </c>
      <c r="U2509" s="1" t="n">
        <v>3130.29</v>
      </c>
      <c r="V2509" s="1" t="n">
        <v>54.54</v>
      </c>
      <c r="W2509" s="1" t="s">
        <v>39</v>
      </c>
      <c r="X2509" s="1" t="n">
        <v>3.8</v>
      </c>
      <c r="Y2509" s="1" t="s">
        <v>40</v>
      </c>
      <c r="Z2509" s="1" t="n">
        <v>0</v>
      </c>
      <c r="AA2509" s="1" t="str">
        <f aca="false">TRIM(PROPER(F2509))</f>
        <v>Kolkata</v>
      </c>
      <c r="AB2509" s="1" t="str">
        <f aca="false">TRIM(PROPER(C2509))</f>
        <v>Upgrad</v>
      </c>
      <c r="AC2509" s="1" t="str">
        <f aca="false">IF(O2509=0,"No Discount",IF(O2509&lt;=15,"Low (1-15%)",IF(O2509&lt;=30,"Medium (16-30%)","High (&gt;30%)")))</f>
        <v>No Discount</v>
      </c>
      <c r="AD2509" s="1" t="str">
        <f aca="false">IF(V2509&lt;0,"Loss Making",IF(V2509&lt;20,"Low Margin","Healthy Margin"))</f>
        <v>Healthy Margin</v>
      </c>
      <c r="AE2509" s="1" t="str">
        <f aca="false">TEXT(DATE(VALUE(RIGHT(B2509,4)),VALUE(MID(B2509,4,2)),VALUE(LEFT(B2509,2))),"MMM-YYYY")</f>
        <v>Nov-2024</v>
      </c>
      <c r="AF2509" s="1" t="n">
        <f aca="false">VALUE(RIGHT(B2509,4))</f>
        <v>2024</v>
      </c>
      <c r="AG2509" s="1" t="str">
        <f aca="false">CHOOSE(ROUNDUP(VALUE(MID(B2509,4,2))/3,0),"Q1","Q2","Q3","Q4")</f>
        <v>Q4</v>
      </c>
    </row>
    <row r="2510" customFormat="false" ht="15" hidden="false" customHeight="true" outlineLevel="0" collapsed="false"/>
    <row r="2511" customFormat="false" ht="15" hidden="false" customHeight="true" outlineLevel="0" collapsed="false"/>
    <row r="2512" customFormat="false" ht="15" hidden="false" customHeight="true" outlineLevel="0" collapsed="false"/>
    <row r="2513" customFormat="false" ht="15" hidden="false" customHeight="true" outlineLevel="0" collapsed="false"/>
    <row r="2514" customFormat="false" ht="15" hidden="false" customHeight="true" outlineLevel="0" collapsed="false"/>
    <row r="2515" customFormat="false" ht="15" hidden="false" customHeight="true" outlineLevel="0" collapsed="false"/>
    <row r="2516" customFormat="false" ht="15" hidden="false" customHeight="true" outlineLevel="0" collapsed="false"/>
    <row r="2517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4"/>
    <col collapsed="false" customWidth="true" hidden="false" outlineLevel="0" max="6" min="6" style="1" width="2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3" t="s">
        <v>3393</v>
      </c>
      <c r="B1" s="3"/>
      <c r="C1" s="3"/>
      <c r="D1" s="3"/>
      <c r="F1" s="3" t="s">
        <v>3394</v>
      </c>
      <c r="G1" s="3"/>
    </row>
    <row r="2" customFormat="false" ht="15" hidden="false" customHeight="true" outlineLevel="0" collapsed="false">
      <c r="A2" s="4" t="s">
        <v>5</v>
      </c>
      <c r="B2" s="4" t="s">
        <v>6</v>
      </c>
      <c r="C2" s="4" t="s">
        <v>7</v>
      </c>
      <c r="D2" s="4" t="s">
        <v>3395</v>
      </c>
      <c r="F2" s="4" t="s">
        <v>3396</v>
      </c>
      <c r="G2" s="4" t="s">
        <v>3397</v>
      </c>
    </row>
    <row r="3" customFormat="false" ht="15" hidden="false" customHeight="true" outlineLevel="0" collapsed="false">
      <c r="A3" s="1" t="s">
        <v>205</v>
      </c>
      <c r="B3" s="1" t="s">
        <v>56</v>
      </c>
      <c r="C3" s="1" t="s">
        <v>69</v>
      </c>
      <c r="D3" s="1" t="s">
        <v>3398</v>
      </c>
      <c r="F3" s="1" t="s">
        <v>3399</v>
      </c>
      <c r="G3" s="1" t="s">
        <v>3400</v>
      </c>
    </row>
    <row r="4" customFormat="false" ht="15" hidden="false" customHeight="true" outlineLevel="0" collapsed="false">
      <c r="A4" s="1" t="s">
        <v>82</v>
      </c>
      <c r="B4" s="1" t="s">
        <v>56</v>
      </c>
      <c r="C4" s="1" t="s">
        <v>69</v>
      </c>
      <c r="D4" s="1" t="s">
        <v>3398</v>
      </c>
      <c r="F4" s="1" t="s">
        <v>3401</v>
      </c>
      <c r="G4" s="1" t="s">
        <v>3402</v>
      </c>
    </row>
    <row r="5" customFormat="false" ht="15" hidden="false" customHeight="true" outlineLevel="0" collapsed="false">
      <c r="A5" s="1" t="s">
        <v>211</v>
      </c>
      <c r="B5" s="1" t="s">
        <v>56</v>
      </c>
      <c r="C5" s="1" t="s">
        <v>69</v>
      </c>
      <c r="D5" s="1" t="s">
        <v>3398</v>
      </c>
      <c r="F5" s="1" t="s">
        <v>3403</v>
      </c>
      <c r="G5" s="1" t="s">
        <v>3402</v>
      </c>
    </row>
    <row r="6" customFormat="false" ht="15" hidden="false" customHeight="true" outlineLevel="0" collapsed="false">
      <c r="A6" s="1" t="s">
        <v>184</v>
      </c>
      <c r="B6" s="1" t="s">
        <v>56</v>
      </c>
      <c r="C6" s="1" t="s">
        <v>57</v>
      </c>
      <c r="D6" s="1" t="s">
        <v>3404</v>
      </c>
    </row>
    <row r="7" customFormat="false" ht="15" hidden="false" customHeight="true" outlineLevel="0" collapsed="false">
      <c r="A7" s="1" t="s">
        <v>55</v>
      </c>
      <c r="B7" s="1" t="s">
        <v>56</v>
      </c>
      <c r="C7" s="1" t="s">
        <v>57</v>
      </c>
      <c r="D7" s="1" t="s">
        <v>3404</v>
      </c>
    </row>
    <row r="8" customFormat="false" ht="15" hidden="false" customHeight="true" outlineLevel="0" collapsed="false">
      <c r="A8" s="1" t="s">
        <v>187</v>
      </c>
      <c r="B8" s="1" t="s">
        <v>97</v>
      </c>
      <c r="C8" s="1" t="s">
        <v>69</v>
      </c>
      <c r="D8" s="1" t="s">
        <v>3398</v>
      </c>
    </row>
    <row r="9" customFormat="false" ht="15" hidden="false" customHeight="true" outlineLevel="0" collapsed="false">
      <c r="A9" s="1" t="s">
        <v>96</v>
      </c>
      <c r="B9" s="1" t="s">
        <v>97</v>
      </c>
      <c r="C9" s="1" t="s">
        <v>69</v>
      </c>
      <c r="D9" s="1" t="s">
        <v>3398</v>
      </c>
    </row>
    <row r="10" customFormat="false" ht="15" hidden="false" customHeight="true" outlineLevel="0" collapsed="false">
      <c r="A10" s="1" t="s">
        <v>244</v>
      </c>
      <c r="B10" s="1" t="s">
        <v>97</v>
      </c>
      <c r="C10" s="1" t="s">
        <v>57</v>
      </c>
      <c r="D10" s="1" t="s">
        <v>3404</v>
      </c>
    </row>
    <row r="11" customFormat="false" ht="15" hidden="false" customHeight="true" outlineLevel="0" collapsed="false">
      <c r="A11" s="1" t="s">
        <v>140</v>
      </c>
      <c r="B11" s="1" t="s">
        <v>97</v>
      </c>
      <c r="C11" s="1" t="s">
        <v>57</v>
      </c>
      <c r="D11" s="1" t="s">
        <v>3404</v>
      </c>
    </row>
    <row r="12" customFormat="false" ht="15" hidden="false" customHeight="true" outlineLevel="0" collapsed="false">
      <c r="A12" s="1" t="s">
        <v>130</v>
      </c>
      <c r="B12" s="1" t="s">
        <v>47</v>
      </c>
      <c r="C12" s="1" t="s">
        <v>69</v>
      </c>
      <c r="D12" s="1" t="s">
        <v>3398</v>
      </c>
    </row>
    <row r="13" customFormat="false" ht="15" hidden="false" customHeight="true" outlineLevel="0" collapsed="false">
      <c r="A13" s="1" t="s">
        <v>120</v>
      </c>
      <c r="B13" s="1" t="s">
        <v>47</v>
      </c>
      <c r="C13" s="1" t="s">
        <v>57</v>
      </c>
      <c r="D13" s="1" t="s">
        <v>3404</v>
      </c>
    </row>
    <row r="14" customFormat="false" ht="15" hidden="false" customHeight="true" outlineLevel="0" collapsed="false">
      <c r="A14" s="1" t="s">
        <v>46</v>
      </c>
      <c r="B14" s="1" t="s">
        <v>47</v>
      </c>
      <c r="C14" s="1" t="s">
        <v>33</v>
      </c>
      <c r="D14" s="1" t="s">
        <v>3405</v>
      </c>
    </row>
    <row r="15" customFormat="false" ht="15" hidden="false" customHeight="true" outlineLevel="0" collapsed="false">
      <c r="A15" s="1" t="s">
        <v>125</v>
      </c>
      <c r="B15" s="1" t="s">
        <v>108</v>
      </c>
      <c r="C15" s="1" t="s">
        <v>69</v>
      </c>
      <c r="D15" s="1" t="s">
        <v>3398</v>
      </c>
    </row>
    <row r="16" customFormat="false" ht="15" hidden="false" customHeight="true" outlineLevel="0" collapsed="false">
      <c r="A16" s="1" t="s">
        <v>269</v>
      </c>
      <c r="B16" s="1" t="s">
        <v>108</v>
      </c>
      <c r="C16" s="1" t="s">
        <v>57</v>
      </c>
      <c r="D16" s="1" t="s">
        <v>3404</v>
      </c>
    </row>
    <row r="17" customFormat="false" ht="15" hidden="false" customHeight="true" outlineLevel="0" collapsed="false">
      <c r="A17" s="1" t="s">
        <v>107</v>
      </c>
      <c r="B17" s="1" t="s">
        <v>108</v>
      </c>
      <c r="C17" s="1" t="s">
        <v>33</v>
      </c>
      <c r="D17" s="1" t="s">
        <v>3405</v>
      </c>
    </row>
    <row r="18" customFormat="false" ht="15" hidden="false" customHeight="true" outlineLevel="0" collapsed="false">
      <c r="A18" s="1" t="s">
        <v>194</v>
      </c>
      <c r="B18" s="1" t="s">
        <v>103</v>
      </c>
      <c r="C18" s="1" t="s">
        <v>69</v>
      </c>
      <c r="D18" s="1" t="s">
        <v>3398</v>
      </c>
    </row>
    <row r="19" customFormat="false" ht="15" hidden="false" customHeight="true" outlineLevel="0" collapsed="false">
      <c r="A19" s="1" t="s">
        <v>102</v>
      </c>
      <c r="B19" s="1" t="s">
        <v>103</v>
      </c>
      <c r="C19" s="1" t="s">
        <v>33</v>
      </c>
      <c r="D19" s="1" t="s">
        <v>3405</v>
      </c>
    </row>
    <row r="20" customFormat="false" ht="15" hidden="false" customHeight="true" outlineLevel="0" collapsed="false">
      <c r="A20" s="1" t="s">
        <v>75</v>
      </c>
      <c r="B20" s="1" t="s">
        <v>76</v>
      </c>
      <c r="C20" s="1" t="s">
        <v>69</v>
      </c>
      <c r="D20" s="1" t="s">
        <v>3398</v>
      </c>
    </row>
    <row r="21" customFormat="false" ht="15" hidden="false" customHeight="true" outlineLevel="0" collapsed="false">
      <c r="A21" s="1" t="s">
        <v>153</v>
      </c>
      <c r="B21" s="1" t="s">
        <v>76</v>
      </c>
      <c r="C21" s="1" t="s">
        <v>33</v>
      </c>
      <c r="D21" s="1" t="s">
        <v>3405</v>
      </c>
    </row>
    <row r="22" customFormat="false" ht="15" hidden="false" customHeight="true" outlineLevel="0" collapsed="false">
      <c r="A22" s="1" t="s">
        <v>67</v>
      </c>
      <c r="B22" s="1" t="s">
        <v>68</v>
      </c>
      <c r="C22" s="1" t="s">
        <v>69</v>
      </c>
      <c r="D22" s="1" t="s">
        <v>3398</v>
      </c>
    </row>
    <row r="23" customFormat="false" ht="15" hidden="false" customHeight="true" outlineLevel="0" collapsed="false">
      <c r="A23" s="1" t="s">
        <v>156</v>
      </c>
      <c r="B23" s="1" t="s">
        <v>68</v>
      </c>
      <c r="C23" s="1" t="s">
        <v>57</v>
      </c>
      <c r="D23" s="1" t="s">
        <v>3404</v>
      </c>
    </row>
    <row r="24" customFormat="false" ht="15" hidden="false" customHeight="true" outlineLevel="0" collapsed="false">
      <c r="A24" s="1" t="s">
        <v>89</v>
      </c>
      <c r="B24" s="1" t="s">
        <v>68</v>
      </c>
      <c r="C24" s="1" t="s">
        <v>33</v>
      </c>
      <c r="D24" s="1" t="s">
        <v>3405</v>
      </c>
    </row>
    <row r="25" customFormat="false" ht="15" hidden="false" customHeight="true" outlineLevel="0" collapsed="false">
      <c r="A25" s="1" t="s">
        <v>150</v>
      </c>
      <c r="B25" s="1" t="s">
        <v>32</v>
      </c>
      <c r="C25" s="1" t="s">
        <v>57</v>
      </c>
      <c r="D25" s="1" t="s">
        <v>3404</v>
      </c>
    </row>
    <row r="26" customFormat="false" ht="15" hidden="false" customHeight="true" outlineLevel="0" collapsed="false">
      <c r="A26" s="1" t="s">
        <v>31</v>
      </c>
      <c r="B26" s="1" t="s">
        <v>32</v>
      </c>
      <c r="C26" s="1" t="s">
        <v>33</v>
      </c>
      <c r="D26" s="1" t="s">
        <v>3405</v>
      </c>
    </row>
  </sheetData>
  <mergeCells count="2">
    <mergeCell ref="A1:D1"/>
    <mergeCell ref="F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5.75" hidden="false" customHeight="true" outlineLevel="0" collapsed="false">
      <c r="A1" s="5" t="s">
        <v>3406</v>
      </c>
      <c r="B1" s="5"/>
      <c r="C1" s="5"/>
      <c r="D1" s="5"/>
      <c r="E1" s="5"/>
      <c r="F1" s="5"/>
      <c r="G1" s="5"/>
      <c r="H1" s="5"/>
    </row>
    <row r="3" customFormat="false" ht="15" hidden="false" customHeight="true" outlineLevel="0" collapsed="false">
      <c r="A3" s="6" t="s">
        <v>3407</v>
      </c>
    </row>
    <row r="5" customFormat="false" ht="15" hidden="false" customHeight="true" outlineLevel="0" collapsed="false">
      <c r="A5" s="2" t="s">
        <v>3</v>
      </c>
      <c r="B5" s="2" t="s">
        <v>3408</v>
      </c>
      <c r="C5" s="2" t="s">
        <v>3409</v>
      </c>
      <c r="D5" s="2" t="s">
        <v>3410</v>
      </c>
      <c r="E5" s="2" t="s">
        <v>3411</v>
      </c>
      <c r="F5" s="2" t="s">
        <v>3412</v>
      </c>
      <c r="G5" s="2" t="s">
        <v>3413</v>
      </c>
      <c r="H5" s="2" t="s">
        <v>3414</v>
      </c>
    </row>
    <row r="6" customFormat="false" ht="15" hidden="false" customHeight="true" outlineLevel="0" collapsed="false">
      <c r="A6" s="1" t="s">
        <v>168</v>
      </c>
      <c r="B6" s="1" t="n">
        <f aca="false">COUNTIFS('Working Data'!D:D,A6)</f>
        <v>311</v>
      </c>
      <c r="C6" s="1" t="n">
        <f aca="false">SUMIFS('Working Data'!S:S,'Working Data'!D:D,A6)</f>
        <v>1535835.24</v>
      </c>
      <c r="D6" s="1" t="n">
        <f aca="false">SUMIFS('Working Data'!U:U,'Working Data'!D:D,A6)</f>
        <v>861549.18</v>
      </c>
      <c r="E6" s="1" t="n">
        <f aca="false">IFERROR(D6/C6,0)</f>
        <v>0.56096458627945</v>
      </c>
      <c r="F6" s="1" t="n">
        <f aca="false">IFERROR(COUNTIFS('Working Data'!D:D,A6,'Working Data'!W:W,"Yes")/B6,0)</f>
        <v>0.601286173633441</v>
      </c>
      <c r="G6" s="1" t="n">
        <f aca="false">IFERROR(COUNTIFS('Working Data'!D:D,A6,'Working Data'!Y:Y,"Yes")/B6,0)</f>
        <v>0.106109324758842</v>
      </c>
      <c r="H6" s="1" t="n">
        <f aca="false">IFERROR(AVERAGEIFS('Working Data'!X:X,'Working Data'!D:D,A6,'Working Data'!X:X,"&lt;&gt;"),"")</f>
        <v>3.66918238993711</v>
      </c>
    </row>
    <row r="7" customFormat="false" ht="15" hidden="false" customHeight="true" outlineLevel="0" collapsed="false">
      <c r="A7" s="1" t="s">
        <v>143</v>
      </c>
      <c r="B7" s="1" t="n">
        <f aca="false">COUNTIFS('Working Data'!D:D,A7)</f>
        <v>322</v>
      </c>
      <c r="C7" s="1" t="n">
        <f aca="false">SUMIFS('Working Data'!S:S,'Working Data'!D:D,A7)</f>
        <v>4154596.23</v>
      </c>
      <c r="D7" s="1" t="n">
        <f aca="false">SUMIFS('Working Data'!U:U,'Working Data'!D:D,A7)</f>
        <v>2342879.48</v>
      </c>
      <c r="E7" s="1" t="n">
        <f aca="false">IFERROR(D7/C7,0)</f>
        <v>0.563924711403303</v>
      </c>
      <c r="F7" s="1" t="n">
        <f aca="false">IFERROR(COUNTIFS('Working Data'!D:D,A7,'Working Data'!W:W,"Yes")/B7,0)</f>
        <v>0.590062111801242</v>
      </c>
      <c r="G7" s="1" t="n">
        <f aca="false">IFERROR(COUNTIFS('Working Data'!D:D,A7,'Working Data'!Y:Y,"Yes")/B7,0)</f>
        <v>0.0807453416149068</v>
      </c>
      <c r="H7" s="1" t="n">
        <f aca="false">IFERROR(AVERAGEIFS('Working Data'!X:X,'Working Data'!D:D,A7,'Working Data'!X:X,"&lt;&gt;"),"")</f>
        <v>3.67798742138365</v>
      </c>
    </row>
    <row r="8" customFormat="false" ht="15" hidden="false" customHeight="true" outlineLevel="0" collapsed="false">
      <c r="A8" s="1" t="s">
        <v>53</v>
      </c>
      <c r="B8" s="1" t="n">
        <f aca="false">COUNTIFS('Working Data'!D:D,A8)</f>
        <v>328</v>
      </c>
      <c r="C8" s="1" t="n">
        <f aca="false">SUMIFS('Working Data'!S:S,'Working Data'!D:D,A8)</f>
        <v>2200349.61</v>
      </c>
      <c r="D8" s="1" t="n">
        <f aca="false">SUMIFS('Working Data'!U:U,'Working Data'!D:D,A8)</f>
        <v>1230576.06</v>
      </c>
      <c r="E8" s="1" t="n">
        <f aca="false">IFERROR(D8/C8,0)</f>
        <v>0.559263879888615</v>
      </c>
      <c r="F8" s="1" t="n">
        <f aca="false">IFERROR(COUNTIFS('Working Data'!D:D,A8,'Working Data'!W:W,"Yes")/B8,0)</f>
        <v>0.591463414634146</v>
      </c>
      <c r="G8" s="1" t="n">
        <f aca="false">IFERROR(COUNTIFS('Working Data'!D:D,A8,'Working Data'!Y:Y,"Yes")/B8,0)</f>
        <v>0.100609756097561</v>
      </c>
      <c r="H8" s="1" t="n">
        <f aca="false">IFERROR(AVERAGEIFS('Working Data'!X:X,'Working Data'!D:D,A8,'Working Data'!X:X,"&lt;&gt;"),"")</f>
        <v>3.72883435582822</v>
      </c>
    </row>
    <row r="9" customFormat="false" ht="15" hidden="false" customHeight="true" outlineLevel="0" collapsed="false">
      <c r="A9" s="1" t="s">
        <v>80</v>
      </c>
      <c r="B9" s="1" t="n">
        <f aca="false">COUNTIFS('Working Data'!D:D,A9)</f>
        <v>320</v>
      </c>
      <c r="C9" s="1" t="n">
        <f aca="false">SUMIFS('Working Data'!S:S,'Working Data'!D:D,A9)</f>
        <v>3179253.07</v>
      </c>
      <c r="D9" s="1" t="n">
        <f aca="false">SUMIFS('Working Data'!U:U,'Working Data'!D:D,A9)</f>
        <v>1794086.74</v>
      </c>
      <c r="E9" s="1" t="n">
        <f aca="false">IFERROR(D9/C9,0)</f>
        <v>0.564310767497348</v>
      </c>
      <c r="F9" s="1" t="n">
        <f aca="false">IFERROR(COUNTIFS('Working Data'!D:D,A9,'Working Data'!W:W,"Yes")/B9,0)</f>
        <v>0.63125</v>
      </c>
      <c r="G9" s="1" t="n">
        <f aca="false">IFERROR(COUNTIFS('Working Data'!D:D,A9,'Working Data'!Y:Y,"Yes")/B9,0)</f>
        <v>0.075</v>
      </c>
      <c r="H9" s="1" t="n">
        <f aca="false">IFERROR(AVERAGEIFS('Working Data'!X:X,'Working Data'!D:D,A9,'Working Data'!X:X,"&lt;&gt;"),"")</f>
        <v>3.99491525423729</v>
      </c>
    </row>
    <row r="10" customFormat="false" ht="15" hidden="false" customHeight="true" outlineLevel="0" collapsed="false">
      <c r="A10" s="1" t="s">
        <v>29</v>
      </c>
      <c r="B10" s="1" t="n">
        <f aca="false">COUNTIFS('Working Data'!D:D,A10)</f>
        <v>303</v>
      </c>
      <c r="C10" s="1" t="n">
        <f aca="false">SUMIFS('Working Data'!S:S,'Working Data'!D:D,A10)</f>
        <v>5012087.24</v>
      </c>
      <c r="D10" s="1" t="n">
        <f aca="false">SUMIFS('Working Data'!U:U,'Working Data'!D:D,A10)</f>
        <v>2949812.91</v>
      </c>
      <c r="E10" s="1" t="n">
        <f aca="false">IFERROR(D10/C10,0)</f>
        <v>0.588539817595035</v>
      </c>
      <c r="F10" s="1" t="n">
        <f aca="false">IFERROR(COUNTIFS('Working Data'!D:D,A10,'Working Data'!W:W,"Yes")/B10,0)</f>
        <v>0.663366336633663</v>
      </c>
      <c r="G10" s="1" t="n">
        <f aca="false">IFERROR(COUNTIFS('Working Data'!D:D,A10,'Working Data'!Y:Y,"Yes")/B10,0)</f>
        <v>0.0957095709570957</v>
      </c>
      <c r="H10" s="1" t="n">
        <f aca="false">IFERROR(AVERAGEIFS('Working Data'!X:X,'Working Data'!D:D,A10,'Working Data'!X:X,"&lt;&gt;"),"")</f>
        <v>4.01317365269461</v>
      </c>
    </row>
    <row r="11" customFormat="false" ht="15" hidden="false" customHeight="true" outlineLevel="0" collapsed="false">
      <c r="A11" s="1" t="s">
        <v>123</v>
      </c>
      <c r="B11" s="1" t="n">
        <f aca="false">COUNTIFS('Working Data'!D:D,A11)</f>
        <v>293</v>
      </c>
      <c r="C11" s="1" t="n">
        <f aca="false">SUMIFS('Working Data'!S:S,'Working Data'!D:D,A11)</f>
        <v>1398842.18</v>
      </c>
      <c r="D11" s="1" t="n">
        <f aca="false">SUMIFS('Working Data'!U:U,'Working Data'!D:D,A11)</f>
        <v>776390.17</v>
      </c>
      <c r="E11" s="1" t="n">
        <f aca="false">IFERROR(D11/C11,0)</f>
        <v>0.55502341943964</v>
      </c>
      <c r="F11" s="1" t="n">
        <f aca="false">IFERROR(COUNTIFS('Working Data'!D:D,A11,'Working Data'!W:W,"Yes")/B11,0)</f>
        <v>0.58703071672355</v>
      </c>
      <c r="G11" s="1" t="n">
        <f aca="false">IFERROR(COUNTIFS('Working Data'!D:D,A11,'Working Data'!Y:Y,"Yes")/B11,0)</f>
        <v>0.0955631399317406</v>
      </c>
      <c r="H11" s="1" t="n">
        <f aca="false">IFERROR(AVERAGEIFS('Working Data'!X:X,'Working Data'!D:D,A11,'Working Data'!X:X,"&lt;&gt;"),"")</f>
        <v>3.63862068965517</v>
      </c>
    </row>
    <row r="12" customFormat="false" ht="15" hidden="false" customHeight="true" outlineLevel="0" collapsed="false">
      <c r="A12" s="1" t="s">
        <v>94</v>
      </c>
      <c r="B12" s="1" t="n">
        <f aca="false">COUNTIFS('Working Data'!D:D,A12)</f>
        <v>315</v>
      </c>
      <c r="C12" s="1" t="n">
        <f aca="false">SUMIFS('Working Data'!S:S,'Working Data'!D:D,A12)</f>
        <v>2285702.75</v>
      </c>
      <c r="D12" s="1" t="n">
        <f aca="false">SUMIFS('Working Data'!U:U,'Working Data'!D:D,A12)</f>
        <v>1273862.19</v>
      </c>
      <c r="E12" s="1" t="n">
        <f aca="false">IFERROR(D12/C12,0)</f>
        <v>0.557317520836863</v>
      </c>
      <c r="F12" s="1" t="n">
        <f aca="false">IFERROR(COUNTIFS('Working Data'!D:D,A12,'Working Data'!W:W,"Yes")/B12,0)</f>
        <v>0.638095238095238</v>
      </c>
      <c r="G12" s="1" t="n">
        <f aca="false">IFERROR(COUNTIFS('Working Data'!D:D,A12,'Working Data'!Y:Y,"Yes")/B12,0)</f>
        <v>0.0920634920634921</v>
      </c>
      <c r="H12" s="1" t="n">
        <f aca="false">IFERROR(AVERAGEIFS('Working Data'!X:X,'Working Data'!D:D,A12,'Working Data'!X:X,"&lt;&gt;"),"")</f>
        <v>3.70116279069767</v>
      </c>
    </row>
    <row r="13" customFormat="false" ht="15" hidden="false" customHeight="true" outlineLevel="0" collapsed="false">
      <c r="A13" s="1" t="s">
        <v>44</v>
      </c>
      <c r="B13" s="1" t="n">
        <f aca="false">COUNTIFS('Working Data'!D:D,A13)</f>
        <v>316</v>
      </c>
      <c r="C13" s="1" t="n">
        <f aca="false">SUMIFS('Working Data'!S:S,'Working Data'!D:D,A13)</f>
        <v>3048418.53</v>
      </c>
      <c r="D13" s="1" t="n">
        <f aca="false">SUMIFS('Working Data'!U:U,'Working Data'!D:D,A13)</f>
        <v>1698438.18</v>
      </c>
      <c r="E13" s="1" t="n">
        <f aca="false">IFERROR(D13/C13,0)</f>
        <v>0.557153869550845</v>
      </c>
      <c r="F13" s="1" t="n">
        <f aca="false">IFERROR(COUNTIFS('Working Data'!D:D,A13,'Working Data'!W:W,"Yes")/B13,0)</f>
        <v>0.670886075949367</v>
      </c>
      <c r="G13" s="1" t="n">
        <f aca="false">IFERROR(COUNTIFS('Working Data'!D:D,A13,'Working Data'!Y:Y,"Yes")/B13,0)</f>
        <v>0.0791139240506329</v>
      </c>
      <c r="H13" s="1" t="n">
        <f aca="false">IFERROR(AVERAGEIFS('Working Data'!X:X,'Working Data'!D:D,A13,'Working Data'!X:X,"&lt;&gt;"),"")</f>
        <v>3.70327868852459</v>
      </c>
    </row>
    <row r="16" customFormat="false" ht="15" hidden="false" customHeight="true" outlineLevel="0" collapsed="false">
      <c r="A16" s="6" t="s">
        <v>3415</v>
      </c>
    </row>
    <row r="18" customFormat="false" ht="15" hidden="false" customHeight="true" outlineLevel="0" collapsed="false">
      <c r="A18" s="2" t="s">
        <v>7</v>
      </c>
      <c r="B18" s="2" t="s">
        <v>3408</v>
      </c>
      <c r="C18" s="2" t="s">
        <v>3409</v>
      </c>
      <c r="D18" s="2" t="s">
        <v>3410</v>
      </c>
      <c r="E18" s="2" t="s">
        <v>3411</v>
      </c>
      <c r="F18" s="2" t="s">
        <v>3412</v>
      </c>
      <c r="G18" s="2" t="s">
        <v>3413</v>
      </c>
      <c r="H18" s="2" t="s">
        <v>3414</v>
      </c>
    </row>
    <row r="19" customFormat="false" ht="15" hidden="false" customHeight="true" outlineLevel="0" collapsed="false">
      <c r="A19" s="1" t="s">
        <v>69</v>
      </c>
      <c r="B19" s="1" t="n">
        <f aca="false">COUNTIFS('Working Data'!H:H,A19)</f>
        <v>1055</v>
      </c>
      <c r="C19" s="1" t="n">
        <f aca="false">SUMIFS('Working Data'!S:S,'Working Data'!H:H,A19)</f>
        <v>9501994.93</v>
      </c>
      <c r="D19" s="1" t="n">
        <f aca="false">SUMIFS('Working Data'!U:U,'Working Data'!H:H,A19)</f>
        <v>5669036.08</v>
      </c>
      <c r="E19" s="1" t="n">
        <f aca="false">IFERROR(D19/C19,0)</f>
        <v>0.596615355171527</v>
      </c>
      <c r="F19" s="1" t="n">
        <f aca="false">IFERROR(COUNTIFS('Working Data'!H:H,A19,'Working Data'!W:W,"Yes")/B19,0)</f>
        <v>0.625592417061611</v>
      </c>
      <c r="G19" s="1" t="n">
        <f aca="false">IFERROR(COUNTIFS('Working Data'!H:H,A19,'Working Data'!Y:Y,"Yes")/B19,0)</f>
        <v>0.0900473933649289</v>
      </c>
      <c r="H19" s="1" t="n">
        <f aca="false">IFERROR(AVERAGEIFS('Working Data'!X:X,'Working Data'!H:H,A19,'Working Data'!X:X,"&lt;&gt;"),"")</f>
        <v>3.78273381294964</v>
      </c>
    </row>
    <row r="20" customFormat="false" ht="15" hidden="false" customHeight="true" outlineLevel="0" collapsed="false">
      <c r="A20" s="1" t="s">
        <v>57</v>
      </c>
      <c r="B20" s="1" t="n">
        <f aca="false">COUNTIFS('Working Data'!H:H,A20)</f>
        <v>819</v>
      </c>
      <c r="C20" s="1" t="n">
        <f aca="false">SUMIFS('Working Data'!S:S,'Working Data'!H:H,A20)</f>
        <v>7450319.63</v>
      </c>
      <c r="D20" s="1" t="n">
        <f aca="false">SUMIFS('Working Data'!U:U,'Working Data'!H:H,A20)</f>
        <v>4057538.73</v>
      </c>
      <c r="E20" s="1" t="n">
        <f aca="false">IFERROR(D20/C20,0)</f>
        <v>0.544612705428317</v>
      </c>
      <c r="F20" s="1" t="n">
        <f aca="false">IFERROR(COUNTIFS('Working Data'!H:H,A20,'Working Data'!W:W,"Yes")/B20,0)</f>
        <v>0.641025641025641</v>
      </c>
      <c r="G20" s="1" t="n">
        <f aca="false">IFERROR(COUNTIFS('Working Data'!H:H,A20,'Working Data'!Y:Y,"Yes")/B20,0)</f>
        <v>0.0732600732600733</v>
      </c>
      <c r="H20" s="1" t="n">
        <f aca="false">IFERROR(AVERAGEIFS('Working Data'!X:X,'Working Data'!H:H,A20,'Working Data'!X:X,"&lt;&gt;"),"")</f>
        <v>3.73650442477876</v>
      </c>
    </row>
    <row r="21" customFormat="false" ht="15" hidden="false" customHeight="true" outlineLevel="0" collapsed="false">
      <c r="A21" s="1" t="s">
        <v>33</v>
      </c>
      <c r="B21" s="1" t="n">
        <f aca="false">COUNTIFS('Working Data'!H:H,A21)</f>
        <v>634</v>
      </c>
      <c r="C21" s="1" t="n">
        <f aca="false">SUMIFS('Working Data'!S:S,'Working Data'!H:H,A21)</f>
        <v>5862770.29</v>
      </c>
      <c r="D21" s="1" t="n">
        <f aca="false">SUMIFS('Working Data'!U:U,'Working Data'!H:H,A21)</f>
        <v>3201020.1</v>
      </c>
      <c r="E21" s="1" t="n">
        <f aca="false">IFERROR(D21/C21,0)</f>
        <v>0.545991048883479</v>
      </c>
      <c r="F21" s="1" t="n">
        <f aca="false">IFERROR(COUNTIFS('Working Data'!H:H,A21,'Working Data'!W:W,"Yes")/B21,0)</f>
        <v>0.589905362776025</v>
      </c>
      <c r="G21" s="1" t="n">
        <f aca="false">IFERROR(COUNTIFS('Working Data'!H:H,A21,'Working Data'!Y:Y,"Yes")/B21,0)</f>
        <v>0.113564668769716</v>
      </c>
      <c r="H21" s="1" t="n">
        <f aca="false">IFERROR(AVERAGEIFS('Working Data'!X:X,'Working Data'!H:H,A21,'Working Data'!X:X,"&lt;&gt;"),"")</f>
        <v>3.79526813880126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  <col collapsed="false" customWidth="true" hidden="false" outlineLevel="0" max="3" min="3" style="1" width="5"/>
  </cols>
  <sheetData>
    <row r="1" customFormat="false" ht="15.75" hidden="false" customHeight="true" outlineLevel="0" collapsed="false">
      <c r="A1" s="5" t="s">
        <v>3416</v>
      </c>
      <c r="B1" s="5"/>
      <c r="C1" s="5"/>
    </row>
    <row r="3" customFormat="false" ht="15" hidden="false" customHeight="true" outlineLevel="0" collapsed="false">
      <c r="A3" s="7" t="s">
        <v>3417</v>
      </c>
      <c r="B3" s="8" t="s">
        <v>3418</v>
      </c>
      <c r="C3" s="8"/>
    </row>
    <row r="4" customFormat="false" ht="45" hidden="false" customHeight="true" outlineLevel="0" collapsed="false">
      <c r="A4" s="9" t="s">
        <v>3419</v>
      </c>
      <c r="B4" s="10" t="s">
        <v>3420</v>
      </c>
      <c r="C4" s="10"/>
    </row>
    <row r="5" customFormat="false" ht="45" hidden="false" customHeight="true" outlineLevel="0" collapsed="false">
      <c r="A5" s="9" t="s">
        <v>3421</v>
      </c>
      <c r="B5" s="10" t="s">
        <v>3422</v>
      </c>
      <c r="C5" s="10"/>
    </row>
    <row r="6" customFormat="false" ht="45" hidden="false" customHeight="true" outlineLevel="0" collapsed="false">
      <c r="A6" s="9" t="s">
        <v>3423</v>
      </c>
      <c r="B6" s="10" t="s">
        <v>3424</v>
      </c>
      <c r="C6" s="10"/>
    </row>
    <row r="7" customFormat="false" ht="45" hidden="false" customHeight="true" outlineLevel="0" collapsed="false">
      <c r="A7" s="9" t="s">
        <v>3425</v>
      </c>
      <c r="B7" s="10" t="s">
        <v>3426</v>
      </c>
      <c r="C7" s="10"/>
    </row>
    <row r="8" customFormat="false" ht="45" hidden="false" customHeight="true" outlineLevel="0" collapsed="false">
      <c r="A8" s="9" t="s">
        <v>3427</v>
      </c>
      <c r="B8" s="10" t="s">
        <v>3428</v>
      </c>
      <c r="C8" s="10"/>
    </row>
    <row r="9" customFormat="false" ht="45" hidden="false" customHeight="true" outlineLevel="0" collapsed="false">
      <c r="A9" s="9" t="s">
        <v>3429</v>
      </c>
      <c r="B9" s="10" t="s">
        <v>3430</v>
      </c>
      <c r="C9" s="10"/>
    </row>
    <row r="10" customFormat="false" ht="45" hidden="false" customHeight="true" outlineLevel="0" collapsed="false">
      <c r="A10" s="9" t="s">
        <v>3431</v>
      </c>
      <c r="B10" s="10" t="s">
        <v>3432</v>
      </c>
      <c r="C10" s="10"/>
    </row>
    <row r="11" customFormat="false" ht="45" hidden="false" customHeight="true" outlineLevel="0" collapsed="false">
      <c r="A11" s="9" t="s">
        <v>3433</v>
      </c>
      <c r="B11" s="10" t="s">
        <v>3434</v>
      </c>
      <c r="C11" s="10"/>
    </row>
    <row r="12" customFormat="false" ht="45" hidden="false" customHeight="true" outlineLevel="0" collapsed="false">
      <c r="A12" s="9" t="s">
        <v>3435</v>
      </c>
      <c r="B12" s="10" t="s">
        <v>3436</v>
      </c>
      <c r="C12" s="10"/>
    </row>
    <row r="13" customFormat="false" ht="45" hidden="false" customHeight="true" outlineLevel="0" collapsed="false">
      <c r="A13" s="9" t="s">
        <v>3437</v>
      </c>
      <c r="B13" s="10" t="s">
        <v>3438</v>
      </c>
      <c r="C13" s="10"/>
    </row>
    <row r="14" customFormat="false" ht="15" hidden="false" customHeight="false" outlineLevel="0" collapsed="false">
      <c r="A14" s="1" t="s">
        <v>3439</v>
      </c>
      <c r="B14" s="1" t="s">
        <v>3440</v>
      </c>
    </row>
  </sheetData>
  <mergeCells count="12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2026-06-14T16:13:52Z</dcterms:created>
  <dc:creator>openpyxl</dc:creator>
  <dc:description/>
  <dc:language>en-US</dc:language>
  <cp:lastModifiedBy/>
  <dcterms:modified xsi:type="dcterms:W3CDTF">2026-06-14T16:58:21Z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